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27200" yWindow="-2760" windowWidth="35700" windowHeight="16720" tabRatio="943" activeTab="18"/>
  </bookViews>
  <sheets>
    <sheet name="Sheet1" sheetId="107" r:id="rId1"/>
    <sheet name="output" sheetId="103" r:id="rId2"/>
    <sheet name="input_1" sheetId="106" r:id="rId3"/>
    <sheet name="tables_1" sheetId="82" r:id="rId4"/>
    <sheet name="input_2" sheetId="110" r:id="rId5"/>
    <sheet name="tables_2" sheetId="111" r:id="rId6"/>
    <sheet name="input_3" sheetId="112" r:id="rId7"/>
    <sheet name="tables_3" sheetId="113" r:id="rId8"/>
    <sheet name="input_4" sheetId="114" r:id="rId9"/>
    <sheet name="tables_4" sheetId="115" r:id="rId10"/>
    <sheet name="input_5" sheetId="116" r:id="rId11"/>
    <sheet name="tables_5" sheetId="117" r:id="rId12"/>
    <sheet name="input_6" sheetId="118" r:id="rId13"/>
    <sheet name="tables_6" sheetId="119" r:id="rId14"/>
    <sheet name="input_0" sheetId="120" r:id="rId15"/>
    <sheet name="tables_0" sheetId="121" r:id="rId16"/>
    <sheet name="input_settle_1" sheetId="125" r:id="rId17"/>
    <sheet name="gacha_settle_tables_1" sheetId="123" r:id="rId18"/>
    <sheet name="input_settle_2" sheetId="126" r:id="rId19"/>
    <sheet name="gacha_settle_tables_2" sheetId="124" r:id="rId20"/>
    <sheet name="gacha_bonus_tables" sheetId="98" r:id="rId21"/>
    <sheet name="bug_conf_sheet" sheetId="104" r:id="rId22"/>
    <sheet name="check_sheet" sheetId="105" r:id="rId23"/>
  </sheets>
  <externalReferences>
    <externalReference r:id="rId24"/>
  </externalReferences>
  <definedNames>
    <definedName name="_xlnm._FilterDatabase" localSheetId="20" hidden="1">gacha_bonus_tables!$A$1:$F$1</definedName>
    <definedName name="_xlnm._FilterDatabase" localSheetId="17" hidden="1">gacha_settle_tables_1!$A$1:$S$81</definedName>
    <definedName name="_xlnm._FilterDatabase" localSheetId="19" hidden="1">gacha_settle_tables_2!$A$1:$S$18</definedName>
    <definedName name="_xlnm._FilterDatabase" localSheetId="15" hidden="1">tables_0!$A$1:$S$255</definedName>
    <definedName name="_xlnm._FilterDatabase" localSheetId="3" hidden="1">tables_1!$A$1:$S$255</definedName>
    <definedName name="_xlnm._FilterDatabase" localSheetId="5" hidden="1">tables_2!$A$1:$S$255</definedName>
    <definedName name="_xlnm._FilterDatabase" localSheetId="7" hidden="1">tables_3!$A$1:$S$255</definedName>
    <definedName name="_xlnm._FilterDatabase" localSheetId="9" hidden="1">tables_4!$A$1:$S$255</definedName>
    <definedName name="_xlnm._FilterDatabase" localSheetId="11" hidden="1">tables_5!$A$1:$S$255</definedName>
    <definedName name="_xlnm._FilterDatabase" localSheetId="13" hidden="1">tables_6!$A$1:$S$245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94" i="115" l="1"/>
  <c r="C194" i="115"/>
  <c r="G194" i="115"/>
  <c r="B194" i="115"/>
  <c r="F189" i="115"/>
  <c r="C189" i="115"/>
  <c r="G189" i="115"/>
  <c r="B189" i="115"/>
  <c r="F187" i="115"/>
  <c r="C187" i="115"/>
  <c r="G187" i="115"/>
  <c r="B187" i="115"/>
  <c r="F159" i="115"/>
  <c r="C159" i="115"/>
  <c r="G159" i="115"/>
  <c r="B159" i="115"/>
  <c r="F156" i="115"/>
  <c r="C156" i="115"/>
  <c r="G156" i="115"/>
  <c r="B156" i="115"/>
  <c r="A32" i="110"/>
  <c r="A32" i="112"/>
  <c r="A32" i="125"/>
  <c r="G3" i="124"/>
  <c r="B3" i="124"/>
  <c r="G4" i="124"/>
  <c r="B4" i="124"/>
  <c r="G5" i="124"/>
  <c r="B5" i="124"/>
  <c r="G6" i="124"/>
  <c r="B6" i="124"/>
  <c r="G7" i="124"/>
  <c r="B7" i="124"/>
  <c r="G8" i="124"/>
  <c r="B8" i="124"/>
  <c r="G9" i="124"/>
  <c r="B9" i="124"/>
  <c r="G10" i="124"/>
  <c r="B10" i="124"/>
  <c r="G11" i="124"/>
  <c r="B11" i="124"/>
  <c r="G12" i="124"/>
  <c r="B12" i="124"/>
  <c r="G13" i="124"/>
  <c r="B13" i="124"/>
  <c r="G14" i="124"/>
  <c r="B14" i="124"/>
  <c r="G15" i="124"/>
  <c r="B15" i="124"/>
  <c r="G16" i="124"/>
  <c r="B16" i="124"/>
  <c r="G17" i="124"/>
  <c r="B17" i="124"/>
  <c r="G18" i="124"/>
  <c r="B18" i="124"/>
  <c r="G19" i="124"/>
  <c r="B19" i="124"/>
  <c r="G20" i="124"/>
  <c r="B20" i="124"/>
  <c r="G21" i="124"/>
  <c r="B21" i="124"/>
  <c r="G22" i="124"/>
  <c r="B22" i="124"/>
  <c r="G23" i="124"/>
  <c r="B23" i="124"/>
  <c r="G24" i="124"/>
  <c r="B24" i="124"/>
  <c r="G25" i="124"/>
  <c r="B25" i="124"/>
  <c r="G26" i="124"/>
  <c r="B26" i="124"/>
  <c r="G27" i="124"/>
  <c r="B27" i="124"/>
  <c r="G28" i="124"/>
  <c r="B28" i="124"/>
  <c r="G29" i="124"/>
  <c r="B29" i="124"/>
  <c r="G30" i="124"/>
  <c r="B30" i="124"/>
  <c r="G31" i="124"/>
  <c r="B31" i="124"/>
  <c r="G32" i="124"/>
  <c r="B32" i="124"/>
  <c r="G33" i="124"/>
  <c r="B33" i="124"/>
  <c r="G34" i="124"/>
  <c r="B34" i="124"/>
  <c r="G35" i="124"/>
  <c r="B35" i="124"/>
  <c r="G36" i="124"/>
  <c r="B36" i="124"/>
  <c r="G37" i="124"/>
  <c r="B37" i="124"/>
  <c r="G38" i="124"/>
  <c r="B38" i="124"/>
  <c r="G39" i="124"/>
  <c r="B39" i="124"/>
  <c r="G40" i="124"/>
  <c r="B40" i="124"/>
  <c r="G41" i="124"/>
  <c r="B41" i="124"/>
  <c r="G42" i="124"/>
  <c r="B42" i="124"/>
  <c r="G43" i="124"/>
  <c r="B43" i="124"/>
  <c r="G44" i="124"/>
  <c r="B44" i="124"/>
  <c r="G45" i="124"/>
  <c r="B45" i="124"/>
  <c r="G46" i="124"/>
  <c r="B46" i="124"/>
  <c r="G47" i="124"/>
  <c r="B47" i="124"/>
  <c r="G48" i="124"/>
  <c r="B48" i="124"/>
  <c r="G49" i="124"/>
  <c r="B49" i="124"/>
  <c r="G50" i="124"/>
  <c r="B50" i="124"/>
  <c r="G51" i="124"/>
  <c r="B51" i="124"/>
  <c r="G52" i="124"/>
  <c r="B52" i="124"/>
  <c r="G53" i="124"/>
  <c r="B53" i="124"/>
  <c r="G2" i="124"/>
  <c r="B2" i="124"/>
  <c r="B42" i="126"/>
  <c r="E22" i="126"/>
  <c r="G22" i="126"/>
  <c r="H22" i="126"/>
  <c r="E19" i="126"/>
  <c r="G19" i="126"/>
  <c r="H19" i="126"/>
  <c r="L2" i="124"/>
  <c r="L3" i="124"/>
  <c r="L5" i="124"/>
  <c r="L7" i="124"/>
  <c r="L9" i="124"/>
  <c r="L4" i="124"/>
  <c r="L6" i="124"/>
  <c r="L8" i="124"/>
  <c r="L10" i="124"/>
  <c r="L11" i="124"/>
  <c r="L12" i="124"/>
  <c r="L13" i="124"/>
  <c r="L14" i="124"/>
  <c r="L15" i="124"/>
  <c r="L16" i="124"/>
  <c r="L17" i="124"/>
  <c r="L18" i="124"/>
  <c r="L19" i="124"/>
  <c r="L20" i="124"/>
  <c r="L21" i="124"/>
  <c r="L22" i="124"/>
  <c r="L23" i="124"/>
  <c r="L24" i="124"/>
  <c r="L25" i="124"/>
  <c r="L26" i="124"/>
  <c r="L27" i="124"/>
  <c r="L28" i="124"/>
  <c r="L29" i="124"/>
  <c r="L30" i="124"/>
  <c r="L31" i="124"/>
  <c r="L32" i="124"/>
  <c r="L33" i="124"/>
  <c r="L34" i="124"/>
  <c r="L35" i="124"/>
  <c r="L36" i="124"/>
  <c r="L37" i="124"/>
  <c r="L38" i="124"/>
  <c r="L39" i="124"/>
  <c r="L40" i="124"/>
  <c r="L41" i="124"/>
  <c r="L42" i="124"/>
  <c r="L43" i="124"/>
  <c r="L44" i="124"/>
  <c r="L45" i="124"/>
  <c r="L46" i="124"/>
  <c r="L47" i="124"/>
  <c r="L48" i="124"/>
  <c r="L49" i="124"/>
  <c r="L50" i="124"/>
  <c r="L51" i="124"/>
  <c r="L52" i="124"/>
  <c r="L53" i="124"/>
  <c r="B41" i="126"/>
  <c r="B40" i="126"/>
  <c r="B39" i="126"/>
  <c r="B38" i="126"/>
  <c r="B37" i="126"/>
  <c r="B36" i="126"/>
  <c r="E23" i="126"/>
  <c r="E21" i="126"/>
  <c r="E20" i="126"/>
  <c r="E18" i="126"/>
  <c r="E17" i="126"/>
  <c r="B42" i="125"/>
  <c r="E22" i="125"/>
  <c r="G22" i="125"/>
  <c r="H22" i="125"/>
  <c r="L34" i="123"/>
  <c r="L35" i="123"/>
  <c r="L36" i="123"/>
  <c r="L37" i="123"/>
  <c r="E21" i="125"/>
  <c r="G21" i="125"/>
  <c r="H21" i="125"/>
  <c r="L2" i="123"/>
  <c r="L3" i="123"/>
  <c r="L4" i="123"/>
  <c r="L5" i="123"/>
  <c r="L6" i="123"/>
  <c r="L7" i="123"/>
  <c r="L8" i="123"/>
  <c r="L9" i="123"/>
  <c r="L10" i="123"/>
  <c r="L11" i="123"/>
  <c r="L12" i="123"/>
  <c r="L13" i="123"/>
  <c r="L14" i="123"/>
  <c r="L15" i="123"/>
  <c r="L16" i="123"/>
  <c r="L17" i="123"/>
  <c r="L18" i="123"/>
  <c r="L19" i="123"/>
  <c r="L20" i="123"/>
  <c r="L21" i="123"/>
  <c r="L22" i="123"/>
  <c r="L23" i="123"/>
  <c r="L24" i="123"/>
  <c r="L25" i="123"/>
  <c r="L26" i="123"/>
  <c r="L27" i="123"/>
  <c r="L28" i="123"/>
  <c r="L29" i="123"/>
  <c r="L30" i="123"/>
  <c r="L31" i="123"/>
  <c r="L32" i="123"/>
  <c r="L33" i="123"/>
  <c r="L38" i="123"/>
  <c r="L39" i="123"/>
  <c r="L40" i="123"/>
  <c r="L41" i="123"/>
  <c r="L42" i="123"/>
  <c r="L43" i="123"/>
  <c r="L44" i="123"/>
  <c r="L45" i="123"/>
  <c r="L46" i="123"/>
  <c r="L47" i="123"/>
  <c r="L48" i="123"/>
  <c r="L49" i="123"/>
  <c r="L50" i="123"/>
  <c r="L51" i="123"/>
  <c r="L52" i="123"/>
  <c r="L53" i="123"/>
  <c r="L54" i="123"/>
  <c r="L55" i="123"/>
  <c r="L56" i="123"/>
  <c r="L57" i="123"/>
  <c r="L58" i="123"/>
  <c r="L59" i="123"/>
  <c r="L60" i="123"/>
  <c r="L61" i="123"/>
  <c r="L62" i="123"/>
  <c r="L63" i="123"/>
  <c r="L64" i="123"/>
  <c r="L65" i="123"/>
  <c r="L66" i="123"/>
  <c r="L67" i="123"/>
  <c r="L68" i="123"/>
  <c r="L69" i="123"/>
  <c r="L70" i="123"/>
  <c r="L71" i="123"/>
  <c r="L72" i="123"/>
  <c r="L73" i="123"/>
  <c r="L74" i="123"/>
  <c r="L75" i="123"/>
  <c r="L76" i="123"/>
  <c r="L77" i="123"/>
  <c r="L78" i="123"/>
  <c r="L79" i="123"/>
  <c r="L80" i="123"/>
  <c r="L81" i="123"/>
  <c r="B41" i="125"/>
  <c r="B40" i="125"/>
  <c r="B39" i="125"/>
  <c r="B38" i="125"/>
  <c r="B37" i="125"/>
  <c r="B36" i="125"/>
  <c r="E23" i="125"/>
  <c r="E20" i="125"/>
  <c r="E19" i="125"/>
  <c r="E18" i="125"/>
  <c r="E17" i="125"/>
  <c r="B22" i="126"/>
  <c r="B19" i="126"/>
  <c r="D19" i="126"/>
  <c r="B43" i="126"/>
  <c r="C39" i="126"/>
  <c r="C42" i="126"/>
  <c r="F43" i="126"/>
  <c r="C38" i="126"/>
  <c r="C41" i="126"/>
  <c r="F42" i="126"/>
  <c r="C36" i="126"/>
  <c r="C37" i="126"/>
  <c r="C40" i="126"/>
  <c r="F41" i="126"/>
  <c r="F38" i="126"/>
  <c r="F37" i="126"/>
  <c r="F36" i="126"/>
  <c r="B5" i="126"/>
  <c r="B17" i="126"/>
  <c r="B20" i="126"/>
  <c r="B23" i="126"/>
  <c r="B24" i="126"/>
  <c r="C17" i="126"/>
  <c r="C18" i="126"/>
  <c r="C19" i="126"/>
  <c r="C20" i="126"/>
  <c r="C21" i="126"/>
  <c r="C22" i="126"/>
  <c r="C23" i="126"/>
  <c r="C24" i="126"/>
  <c r="D24" i="126"/>
  <c r="D23" i="126"/>
  <c r="G23" i="126"/>
  <c r="H23" i="126"/>
  <c r="I23" i="126"/>
  <c r="J23" i="126"/>
  <c r="F23" i="126"/>
  <c r="D22" i="126"/>
  <c r="I22" i="126"/>
  <c r="J22" i="126"/>
  <c r="F22" i="126"/>
  <c r="D21" i="126"/>
  <c r="G21" i="126"/>
  <c r="H21" i="126"/>
  <c r="I21" i="126"/>
  <c r="J21" i="126"/>
  <c r="F21" i="126"/>
  <c r="D20" i="126"/>
  <c r="G20" i="126"/>
  <c r="H20" i="126"/>
  <c r="I20" i="126"/>
  <c r="J20" i="126"/>
  <c r="F20" i="126"/>
  <c r="I19" i="126"/>
  <c r="J19" i="126"/>
  <c r="F19" i="126"/>
  <c r="D18" i="126"/>
  <c r="G18" i="126"/>
  <c r="H18" i="126"/>
  <c r="I18" i="126"/>
  <c r="J18" i="126"/>
  <c r="F18" i="126"/>
  <c r="D17" i="126"/>
  <c r="G17" i="126"/>
  <c r="H17" i="126"/>
  <c r="I17" i="126"/>
  <c r="J17" i="126"/>
  <c r="F17" i="126"/>
  <c r="B10" i="126"/>
  <c r="D22" i="125"/>
  <c r="B21" i="125"/>
  <c r="D21" i="125"/>
  <c r="B43" i="125"/>
  <c r="C39" i="125"/>
  <c r="C42" i="125"/>
  <c r="F43" i="125"/>
  <c r="C38" i="125"/>
  <c r="C41" i="125"/>
  <c r="F42" i="125"/>
  <c r="C36" i="125"/>
  <c r="C37" i="125"/>
  <c r="C40" i="125"/>
  <c r="F41" i="125"/>
  <c r="F38" i="125"/>
  <c r="F37" i="125"/>
  <c r="F36" i="125"/>
  <c r="B5" i="125"/>
  <c r="B17" i="125"/>
  <c r="B19" i="125"/>
  <c r="B20" i="125"/>
  <c r="B18" i="125"/>
  <c r="B23" i="125"/>
  <c r="B24" i="125"/>
  <c r="C17" i="125"/>
  <c r="C18" i="125"/>
  <c r="C19" i="125"/>
  <c r="C20" i="125"/>
  <c r="C21" i="125"/>
  <c r="C22" i="125"/>
  <c r="C23" i="125"/>
  <c r="C24" i="125"/>
  <c r="D24" i="125"/>
  <c r="D23" i="125"/>
  <c r="G23" i="125"/>
  <c r="H23" i="125"/>
  <c r="I23" i="125"/>
  <c r="J23" i="125"/>
  <c r="F23" i="125"/>
  <c r="I22" i="125"/>
  <c r="J22" i="125"/>
  <c r="F22" i="125"/>
  <c r="I21" i="125"/>
  <c r="J21" i="125"/>
  <c r="F21" i="125"/>
  <c r="D20" i="125"/>
  <c r="G20" i="125"/>
  <c r="H20" i="125"/>
  <c r="I20" i="125"/>
  <c r="J20" i="125"/>
  <c r="F20" i="125"/>
  <c r="D19" i="125"/>
  <c r="G19" i="125"/>
  <c r="H19" i="125"/>
  <c r="I19" i="125"/>
  <c r="J19" i="125"/>
  <c r="F19" i="125"/>
  <c r="D18" i="125"/>
  <c r="G18" i="125"/>
  <c r="H18" i="125"/>
  <c r="I18" i="125"/>
  <c r="J18" i="125"/>
  <c r="F18" i="125"/>
  <c r="D17" i="125"/>
  <c r="G17" i="125"/>
  <c r="H17" i="125"/>
  <c r="I17" i="125"/>
  <c r="J17" i="125"/>
  <c r="F17" i="125"/>
  <c r="B10" i="125"/>
  <c r="A32" i="114"/>
  <c r="A32" i="106"/>
  <c r="F151" i="82"/>
  <c r="C151" i="82"/>
  <c r="G151" i="82"/>
  <c r="B151" i="82"/>
  <c r="F2" i="82"/>
  <c r="C2" i="82"/>
  <c r="G2" i="82"/>
  <c r="B2" i="82"/>
  <c r="F3" i="82"/>
  <c r="C3" i="82"/>
  <c r="G3" i="82"/>
  <c r="B3" i="82"/>
  <c r="F4" i="82"/>
  <c r="C4" i="82"/>
  <c r="G4" i="82"/>
  <c r="B4" i="82"/>
  <c r="F5" i="82"/>
  <c r="C5" i="82"/>
  <c r="G5" i="82"/>
  <c r="B5" i="82"/>
  <c r="F6" i="82"/>
  <c r="C6" i="82"/>
  <c r="G6" i="82"/>
  <c r="B6" i="82"/>
  <c r="F7" i="82"/>
  <c r="C7" i="82"/>
  <c r="G7" i="82"/>
  <c r="B7" i="82"/>
  <c r="F8" i="82"/>
  <c r="C8" i="82"/>
  <c r="G8" i="82"/>
  <c r="B8" i="82"/>
  <c r="F9" i="82"/>
  <c r="C9" i="82"/>
  <c r="G9" i="82"/>
  <c r="B9" i="82"/>
  <c r="F10" i="82"/>
  <c r="C10" i="82"/>
  <c r="G10" i="82"/>
  <c r="B10" i="82"/>
  <c r="F11" i="82"/>
  <c r="C11" i="82"/>
  <c r="G11" i="82"/>
  <c r="B11" i="82"/>
  <c r="F12" i="82"/>
  <c r="C12" i="82"/>
  <c r="G12" i="82"/>
  <c r="B12" i="82"/>
  <c r="F13" i="82"/>
  <c r="C13" i="82"/>
  <c r="G13" i="82"/>
  <c r="B13" i="82"/>
  <c r="F14" i="82"/>
  <c r="C14" i="82"/>
  <c r="G14" i="82"/>
  <c r="B14" i="82"/>
  <c r="F15" i="82"/>
  <c r="C15" i="82"/>
  <c r="G15" i="82"/>
  <c r="B15" i="82"/>
  <c r="F16" i="82"/>
  <c r="C16" i="82"/>
  <c r="G16" i="82"/>
  <c r="B16" i="82"/>
  <c r="F17" i="82"/>
  <c r="C17" i="82"/>
  <c r="G17" i="82"/>
  <c r="B17" i="82"/>
  <c r="F18" i="82"/>
  <c r="C18" i="82"/>
  <c r="G18" i="82"/>
  <c r="B18" i="82"/>
  <c r="F19" i="82"/>
  <c r="C19" i="82"/>
  <c r="G19" i="82"/>
  <c r="B19" i="82"/>
  <c r="F20" i="82"/>
  <c r="C20" i="82"/>
  <c r="G20" i="82"/>
  <c r="B20" i="82"/>
  <c r="F21" i="82"/>
  <c r="C21" i="82"/>
  <c r="G21" i="82"/>
  <c r="B21" i="82"/>
  <c r="F22" i="82"/>
  <c r="C22" i="82"/>
  <c r="G22" i="82"/>
  <c r="B22" i="82"/>
  <c r="F23" i="82"/>
  <c r="C23" i="82"/>
  <c r="G23" i="82"/>
  <c r="B23" i="82"/>
  <c r="F24" i="82"/>
  <c r="C24" i="82"/>
  <c r="G24" i="82"/>
  <c r="B24" i="82"/>
  <c r="F25" i="82"/>
  <c r="C25" i="82"/>
  <c r="G25" i="82"/>
  <c r="B25" i="82"/>
  <c r="F26" i="82"/>
  <c r="C26" i="82"/>
  <c r="G26" i="82"/>
  <c r="B26" i="82"/>
  <c r="F27" i="82"/>
  <c r="C27" i="82"/>
  <c r="G27" i="82"/>
  <c r="B27" i="82"/>
  <c r="F28" i="82"/>
  <c r="C28" i="82"/>
  <c r="G28" i="82"/>
  <c r="B28" i="82"/>
  <c r="F29" i="82"/>
  <c r="C29" i="82"/>
  <c r="G29" i="82"/>
  <c r="B29" i="82"/>
  <c r="F30" i="82"/>
  <c r="C30" i="82"/>
  <c r="G30" i="82"/>
  <c r="B30" i="82"/>
  <c r="F31" i="82"/>
  <c r="C31" i="82"/>
  <c r="G31" i="82"/>
  <c r="B31" i="82"/>
  <c r="F32" i="82"/>
  <c r="C32" i="82"/>
  <c r="G32" i="82"/>
  <c r="B32" i="82"/>
  <c r="F33" i="82"/>
  <c r="C33" i="82"/>
  <c r="G33" i="82"/>
  <c r="B33" i="82"/>
  <c r="F34" i="82"/>
  <c r="C34" i="82"/>
  <c r="G34" i="82"/>
  <c r="B34" i="82"/>
  <c r="F35" i="82"/>
  <c r="C35" i="82"/>
  <c r="G35" i="82"/>
  <c r="B35" i="82"/>
  <c r="F36" i="82"/>
  <c r="C36" i="82"/>
  <c r="G36" i="82"/>
  <c r="B36" i="82"/>
  <c r="F37" i="82"/>
  <c r="C37" i="82"/>
  <c r="G37" i="82"/>
  <c r="B37" i="82"/>
  <c r="F38" i="82"/>
  <c r="C38" i="82"/>
  <c r="G38" i="82"/>
  <c r="B38" i="82"/>
  <c r="F39" i="82"/>
  <c r="C39" i="82"/>
  <c r="G39" i="82"/>
  <c r="B39" i="82"/>
  <c r="F40" i="82"/>
  <c r="C40" i="82"/>
  <c r="G40" i="82"/>
  <c r="B40" i="82"/>
  <c r="F41" i="82"/>
  <c r="C41" i="82"/>
  <c r="G41" i="82"/>
  <c r="B41" i="82"/>
  <c r="F42" i="82"/>
  <c r="C42" i="82"/>
  <c r="G42" i="82"/>
  <c r="B42" i="82"/>
  <c r="F43" i="82"/>
  <c r="C43" i="82"/>
  <c r="G43" i="82"/>
  <c r="B43" i="82"/>
  <c r="F44" i="82"/>
  <c r="C44" i="82"/>
  <c r="G44" i="82"/>
  <c r="B44" i="82"/>
  <c r="F45" i="82"/>
  <c r="C45" i="82"/>
  <c r="G45" i="82"/>
  <c r="B45" i="82"/>
  <c r="F46" i="82"/>
  <c r="C46" i="82"/>
  <c r="G46" i="82"/>
  <c r="B46" i="82"/>
  <c r="F47" i="82"/>
  <c r="C47" i="82"/>
  <c r="G47" i="82"/>
  <c r="B47" i="82"/>
  <c r="F48" i="82"/>
  <c r="C48" i="82"/>
  <c r="G48" i="82"/>
  <c r="B48" i="82"/>
  <c r="F49" i="82"/>
  <c r="C49" i="82"/>
  <c r="G49" i="82"/>
  <c r="B49" i="82"/>
  <c r="F50" i="82"/>
  <c r="C50" i="82"/>
  <c r="G50" i="82"/>
  <c r="B50" i="82"/>
  <c r="F51" i="82"/>
  <c r="C51" i="82"/>
  <c r="G51" i="82"/>
  <c r="B51" i="82"/>
  <c r="F52" i="82"/>
  <c r="C52" i="82"/>
  <c r="G52" i="82"/>
  <c r="B52" i="82"/>
  <c r="F53" i="82"/>
  <c r="C53" i="82"/>
  <c r="G53" i="82"/>
  <c r="B53" i="82"/>
  <c r="F54" i="82"/>
  <c r="C54" i="82"/>
  <c r="G54" i="82"/>
  <c r="B54" i="82"/>
  <c r="F55" i="82"/>
  <c r="C55" i="82"/>
  <c r="G55" i="82"/>
  <c r="B55" i="82"/>
  <c r="F56" i="82"/>
  <c r="C56" i="82"/>
  <c r="G56" i="82"/>
  <c r="B56" i="82"/>
  <c r="F57" i="82"/>
  <c r="C57" i="82"/>
  <c r="G57" i="82"/>
  <c r="B57" i="82"/>
  <c r="F58" i="82"/>
  <c r="C58" i="82"/>
  <c r="G58" i="82"/>
  <c r="B58" i="82"/>
  <c r="F59" i="82"/>
  <c r="C59" i="82"/>
  <c r="G59" i="82"/>
  <c r="B59" i="82"/>
  <c r="F60" i="82"/>
  <c r="C60" i="82"/>
  <c r="G60" i="82"/>
  <c r="B60" i="82"/>
  <c r="F61" i="82"/>
  <c r="C61" i="82"/>
  <c r="G61" i="82"/>
  <c r="B61" i="82"/>
  <c r="F62" i="82"/>
  <c r="C62" i="82"/>
  <c r="G62" i="82"/>
  <c r="B62" i="82"/>
  <c r="F63" i="82"/>
  <c r="C63" i="82"/>
  <c r="G63" i="82"/>
  <c r="B63" i="82"/>
  <c r="F64" i="82"/>
  <c r="C64" i="82"/>
  <c r="G64" i="82"/>
  <c r="B64" i="82"/>
  <c r="F65" i="82"/>
  <c r="C65" i="82"/>
  <c r="G65" i="82"/>
  <c r="B65" i="82"/>
  <c r="F66" i="82"/>
  <c r="C66" i="82"/>
  <c r="G66" i="82"/>
  <c r="B66" i="82"/>
  <c r="F67" i="82"/>
  <c r="C67" i="82"/>
  <c r="G67" i="82"/>
  <c r="B67" i="82"/>
  <c r="F68" i="82"/>
  <c r="C68" i="82"/>
  <c r="G68" i="82"/>
  <c r="B68" i="82"/>
  <c r="F69" i="82"/>
  <c r="C69" i="82"/>
  <c r="G69" i="82"/>
  <c r="B69" i="82"/>
  <c r="F70" i="82"/>
  <c r="C70" i="82"/>
  <c r="G70" i="82"/>
  <c r="B70" i="82"/>
  <c r="F71" i="82"/>
  <c r="C71" i="82"/>
  <c r="G71" i="82"/>
  <c r="B71" i="82"/>
  <c r="F72" i="82"/>
  <c r="C72" i="82"/>
  <c r="G72" i="82"/>
  <c r="B72" i="82"/>
  <c r="F73" i="82"/>
  <c r="C73" i="82"/>
  <c r="G73" i="82"/>
  <c r="B73" i="82"/>
  <c r="F74" i="82"/>
  <c r="C74" i="82"/>
  <c r="G74" i="82"/>
  <c r="B74" i="82"/>
  <c r="F75" i="82"/>
  <c r="C75" i="82"/>
  <c r="G75" i="82"/>
  <c r="B75" i="82"/>
  <c r="F76" i="82"/>
  <c r="C76" i="82"/>
  <c r="G76" i="82"/>
  <c r="B76" i="82"/>
  <c r="F77" i="82"/>
  <c r="C77" i="82"/>
  <c r="G77" i="82"/>
  <c r="B77" i="82"/>
  <c r="F78" i="82"/>
  <c r="C78" i="82"/>
  <c r="G78" i="82"/>
  <c r="B78" i="82"/>
  <c r="F79" i="82"/>
  <c r="C79" i="82"/>
  <c r="G79" i="82"/>
  <c r="B79" i="82"/>
  <c r="F80" i="82"/>
  <c r="C80" i="82"/>
  <c r="G80" i="82"/>
  <c r="B80" i="82"/>
  <c r="F81" i="82"/>
  <c r="C81" i="82"/>
  <c r="G81" i="82"/>
  <c r="B81" i="82"/>
  <c r="F82" i="82"/>
  <c r="C82" i="82"/>
  <c r="G82" i="82"/>
  <c r="B82" i="82"/>
  <c r="F83" i="82"/>
  <c r="C83" i="82"/>
  <c r="G83" i="82"/>
  <c r="B83" i="82"/>
  <c r="F84" i="82"/>
  <c r="C84" i="82"/>
  <c r="G84" i="82"/>
  <c r="B84" i="82"/>
  <c r="F85" i="82"/>
  <c r="C85" i="82"/>
  <c r="G85" i="82"/>
  <c r="B85" i="82"/>
  <c r="F86" i="82"/>
  <c r="C86" i="82"/>
  <c r="G86" i="82"/>
  <c r="B86" i="82"/>
  <c r="F87" i="82"/>
  <c r="C87" i="82"/>
  <c r="G87" i="82"/>
  <c r="B87" i="82"/>
  <c r="F88" i="82"/>
  <c r="C88" i="82"/>
  <c r="G88" i="82"/>
  <c r="B88" i="82"/>
  <c r="F89" i="82"/>
  <c r="C89" i="82"/>
  <c r="G89" i="82"/>
  <c r="B89" i="82"/>
  <c r="F90" i="82"/>
  <c r="C90" i="82"/>
  <c r="G90" i="82"/>
  <c r="B90" i="82"/>
  <c r="F91" i="82"/>
  <c r="C91" i="82"/>
  <c r="G91" i="82"/>
  <c r="B91" i="82"/>
  <c r="F92" i="82"/>
  <c r="C92" i="82"/>
  <c r="G92" i="82"/>
  <c r="B92" i="82"/>
  <c r="F93" i="82"/>
  <c r="C93" i="82"/>
  <c r="G93" i="82"/>
  <c r="B93" i="82"/>
  <c r="F94" i="82"/>
  <c r="C94" i="82"/>
  <c r="G94" i="82"/>
  <c r="B94" i="82"/>
  <c r="F95" i="82"/>
  <c r="C95" i="82"/>
  <c r="G95" i="82"/>
  <c r="B95" i="82"/>
  <c r="F96" i="82"/>
  <c r="C96" i="82"/>
  <c r="G96" i="82"/>
  <c r="B96" i="82"/>
  <c r="F97" i="82"/>
  <c r="C97" i="82"/>
  <c r="G97" i="82"/>
  <c r="B97" i="82"/>
  <c r="F98" i="82"/>
  <c r="C98" i="82"/>
  <c r="G98" i="82"/>
  <c r="B98" i="82"/>
  <c r="F99" i="82"/>
  <c r="C99" i="82"/>
  <c r="G99" i="82"/>
  <c r="B99" i="82"/>
  <c r="F100" i="82"/>
  <c r="C100" i="82"/>
  <c r="G100" i="82"/>
  <c r="B100" i="82"/>
  <c r="F101" i="82"/>
  <c r="C101" i="82"/>
  <c r="G101" i="82"/>
  <c r="B101" i="82"/>
  <c r="F102" i="82"/>
  <c r="C102" i="82"/>
  <c r="G102" i="82"/>
  <c r="B102" i="82"/>
  <c r="F103" i="82"/>
  <c r="C103" i="82"/>
  <c r="G103" i="82"/>
  <c r="B103" i="82"/>
  <c r="F104" i="82"/>
  <c r="C104" i="82"/>
  <c r="G104" i="82"/>
  <c r="B104" i="82"/>
  <c r="F105" i="82"/>
  <c r="C105" i="82"/>
  <c r="G105" i="82"/>
  <c r="B105" i="82"/>
  <c r="F106" i="82"/>
  <c r="C106" i="82"/>
  <c r="G106" i="82"/>
  <c r="B106" i="82"/>
  <c r="F107" i="82"/>
  <c r="C107" i="82"/>
  <c r="G107" i="82"/>
  <c r="B107" i="82"/>
  <c r="F108" i="82"/>
  <c r="C108" i="82"/>
  <c r="G108" i="82"/>
  <c r="B108" i="82"/>
  <c r="F109" i="82"/>
  <c r="C109" i="82"/>
  <c r="G109" i="82"/>
  <c r="B109" i="82"/>
  <c r="F110" i="82"/>
  <c r="C110" i="82"/>
  <c r="G110" i="82"/>
  <c r="B110" i="82"/>
  <c r="F111" i="82"/>
  <c r="C111" i="82"/>
  <c r="G111" i="82"/>
  <c r="B111" i="82"/>
  <c r="F112" i="82"/>
  <c r="C112" i="82"/>
  <c r="G112" i="82"/>
  <c r="B112" i="82"/>
  <c r="F113" i="82"/>
  <c r="C113" i="82"/>
  <c r="G113" i="82"/>
  <c r="B113" i="82"/>
  <c r="F114" i="82"/>
  <c r="C114" i="82"/>
  <c r="G114" i="82"/>
  <c r="B114" i="82"/>
  <c r="F115" i="82"/>
  <c r="C115" i="82"/>
  <c r="G115" i="82"/>
  <c r="B115" i="82"/>
  <c r="F116" i="82"/>
  <c r="C116" i="82"/>
  <c r="G116" i="82"/>
  <c r="B116" i="82"/>
  <c r="F117" i="82"/>
  <c r="C117" i="82"/>
  <c r="G117" i="82"/>
  <c r="B117" i="82"/>
  <c r="F118" i="82"/>
  <c r="C118" i="82"/>
  <c r="G118" i="82"/>
  <c r="B118" i="82"/>
  <c r="F119" i="82"/>
  <c r="C119" i="82"/>
  <c r="G119" i="82"/>
  <c r="B119" i="82"/>
  <c r="F120" i="82"/>
  <c r="C120" i="82"/>
  <c r="G120" i="82"/>
  <c r="B120" i="82"/>
  <c r="F121" i="82"/>
  <c r="C121" i="82"/>
  <c r="G121" i="82"/>
  <c r="B121" i="82"/>
  <c r="F122" i="82"/>
  <c r="C122" i="82"/>
  <c r="G122" i="82"/>
  <c r="B122" i="82"/>
  <c r="F123" i="82"/>
  <c r="C123" i="82"/>
  <c r="G123" i="82"/>
  <c r="B123" i="82"/>
  <c r="F124" i="82"/>
  <c r="C124" i="82"/>
  <c r="G124" i="82"/>
  <c r="B124" i="82"/>
  <c r="F125" i="82"/>
  <c r="C125" i="82"/>
  <c r="G125" i="82"/>
  <c r="B125" i="82"/>
  <c r="F126" i="82"/>
  <c r="C126" i="82"/>
  <c r="G126" i="82"/>
  <c r="B126" i="82"/>
  <c r="F127" i="82"/>
  <c r="C127" i="82"/>
  <c r="G127" i="82"/>
  <c r="B127" i="82"/>
  <c r="F128" i="82"/>
  <c r="C128" i="82"/>
  <c r="G128" i="82"/>
  <c r="B128" i="82"/>
  <c r="F129" i="82"/>
  <c r="C129" i="82"/>
  <c r="G129" i="82"/>
  <c r="B129" i="82"/>
  <c r="F130" i="82"/>
  <c r="C130" i="82"/>
  <c r="G130" i="82"/>
  <c r="B130" i="82"/>
  <c r="F131" i="82"/>
  <c r="C131" i="82"/>
  <c r="G131" i="82"/>
  <c r="B131" i="82"/>
  <c r="F132" i="82"/>
  <c r="C132" i="82"/>
  <c r="G132" i="82"/>
  <c r="B132" i="82"/>
  <c r="F133" i="82"/>
  <c r="C133" i="82"/>
  <c r="G133" i="82"/>
  <c r="B133" i="82"/>
  <c r="F134" i="82"/>
  <c r="C134" i="82"/>
  <c r="G134" i="82"/>
  <c r="B134" i="82"/>
  <c r="F135" i="82"/>
  <c r="C135" i="82"/>
  <c r="G135" i="82"/>
  <c r="B135" i="82"/>
  <c r="F136" i="82"/>
  <c r="C136" i="82"/>
  <c r="G136" i="82"/>
  <c r="B136" i="82"/>
  <c r="F137" i="82"/>
  <c r="C137" i="82"/>
  <c r="G137" i="82"/>
  <c r="B137" i="82"/>
  <c r="F138" i="82"/>
  <c r="C138" i="82"/>
  <c r="G138" i="82"/>
  <c r="B138" i="82"/>
  <c r="F139" i="82"/>
  <c r="C139" i="82"/>
  <c r="G139" i="82"/>
  <c r="B139" i="82"/>
  <c r="F140" i="82"/>
  <c r="C140" i="82"/>
  <c r="G140" i="82"/>
  <c r="B140" i="82"/>
  <c r="F141" i="82"/>
  <c r="C141" i="82"/>
  <c r="G141" i="82"/>
  <c r="B141" i="82"/>
  <c r="F142" i="82"/>
  <c r="C142" i="82"/>
  <c r="G142" i="82"/>
  <c r="B142" i="82"/>
  <c r="F143" i="82"/>
  <c r="C143" i="82"/>
  <c r="G143" i="82"/>
  <c r="B143" i="82"/>
  <c r="F144" i="82"/>
  <c r="C144" i="82"/>
  <c r="G144" i="82"/>
  <c r="B144" i="82"/>
  <c r="F145" i="82"/>
  <c r="C145" i="82"/>
  <c r="G145" i="82"/>
  <c r="B145" i="82"/>
  <c r="F146" i="82"/>
  <c r="C146" i="82"/>
  <c r="G146" i="82"/>
  <c r="B146" i="82"/>
  <c r="F147" i="82"/>
  <c r="C147" i="82"/>
  <c r="G147" i="82"/>
  <c r="B147" i="82"/>
  <c r="F148" i="82"/>
  <c r="C148" i="82"/>
  <c r="G148" i="82"/>
  <c r="B148" i="82"/>
  <c r="F149" i="82"/>
  <c r="C149" i="82"/>
  <c r="G149" i="82"/>
  <c r="B149" i="82"/>
  <c r="F150" i="82"/>
  <c r="C150" i="82"/>
  <c r="G150" i="82"/>
  <c r="B150" i="82"/>
  <c r="F152" i="82"/>
  <c r="C152" i="82"/>
  <c r="G152" i="82"/>
  <c r="B152" i="82"/>
  <c r="F153" i="82"/>
  <c r="C153" i="82"/>
  <c r="G153" i="82"/>
  <c r="B153" i="82"/>
  <c r="F154" i="82"/>
  <c r="C154" i="82"/>
  <c r="G154" i="82"/>
  <c r="B154" i="82"/>
  <c r="F155" i="82"/>
  <c r="C155" i="82"/>
  <c r="G155" i="82"/>
  <c r="B155" i="82"/>
  <c r="F156" i="82"/>
  <c r="C156" i="82"/>
  <c r="G156" i="82"/>
  <c r="B156" i="82"/>
  <c r="F157" i="82"/>
  <c r="C157" i="82"/>
  <c r="G157" i="82"/>
  <c r="B157" i="82"/>
  <c r="F158" i="82"/>
  <c r="C158" i="82"/>
  <c r="G158" i="82"/>
  <c r="B158" i="82"/>
  <c r="F159" i="82"/>
  <c r="C159" i="82"/>
  <c r="G159" i="82"/>
  <c r="B159" i="82"/>
  <c r="F160" i="82"/>
  <c r="C160" i="82"/>
  <c r="G160" i="82"/>
  <c r="B160" i="82"/>
  <c r="F161" i="82"/>
  <c r="C161" i="82"/>
  <c r="G161" i="82"/>
  <c r="B161" i="82"/>
  <c r="F162" i="82"/>
  <c r="C162" i="82"/>
  <c r="G162" i="82"/>
  <c r="B162" i="82"/>
  <c r="F163" i="82"/>
  <c r="C163" i="82"/>
  <c r="G163" i="82"/>
  <c r="B163" i="82"/>
  <c r="F164" i="82"/>
  <c r="C164" i="82"/>
  <c r="G164" i="82"/>
  <c r="B164" i="82"/>
  <c r="F165" i="82"/>
  <c r="C165" i="82"/>
  <c r="G165" i="82"/>
  <c r="B165" i="82"/>
  <c r="F166" i="82"/>
  <c r="C166" i="82"/>
  <c r="G166" i="82"/>
  <c r="B166" i="82"/>
  <c r="F167" i="82"/>
  <c r="C167" i="82"/>
  <c r="G167" i="82"/>
  <c r="B167" i="82"/>
  <c r="F168" i="82"/>
  <c r="C168" i="82"/>
  <c r="G168" i="82"/>
  <c r="B168" i="82"/>
  <c r="F169" i="82"/>
  <c r="C169" i="82"/>
  <c r="G169" i="82"/>
  <c r="B169" i="82"/>
  <c r="F170" i="82"/>
  <c r="C170" i="82"/>
  <c r="G170" i="82"/>
  <c r="B170" i="82"/>
  <c r="F171" i="82"/>
  <c r="C171" i="82"/>
  <c r="G171" i="82"/>
  <c r="B171" i="82"/>
  <c r="F172" i="82"/>
  <c r="C172" i="82"/>
  <c r="G172" i="82"/>
  <c r="B172" i="82"/>
  <c r="F173" i="82"/>
  <c r="C173" i="82"/>
  <c r="G173" i="82"/>
  <c r="B173" i="82"/>
  <c r="F174" i="82"/>
  <c r="C174" i="82"/>
  <c r="G174" i="82"/>
  <c r="B174" i="82"/>
  <c r="F175" i="82"/>
  <c r="C175" i="82"/>
  <c r="G175" i="82"/>
  <c r="B175" i="82"/>
  <c r="F176" i="82"/>
  <c r="C176" i="82"/>
  <c r="G176" i="82"/>
  <c r="B176" i="82"/>
  <c r="F177" i="82"/>
  <c r="C177" i="82"/>
  <c r="G177" i="82"/>
  <c r="B177" i="82"/>
  <c r="F178" i="82"/>
  <c r="C178" i="82"/>
  <c r="G178" i="82"/>
  <c r="B178" i="82"/>
  <c r="F179" i="82"/>
  <c r="C179" i="82"/>
  <c r="G179" i="82"/>
  <c r="B179" i="82"/>
  <c r="F180" i="82"/>
  <c r="C180" i="82"/>
  <c r="G180" i="82"/>
  <c r="B180" i="82"/>
  <c r="F181" i="82"/>
  <c r="C181" i="82"/>
  <c r="G181" i="82"/>
  <c r="B181" i="82"/>
  <c r="F182" i="82"/>
  <c r="C182" i="82"/>
  <c r="G182" i="82"/>
  <c r="B182" i="82"/>
  <c r="F183" i="82"/>
  <c r="C183" i="82"/>
  <c r="G183" i="82"/>
  <c r="B183" i="82"/>
  <c r="F184" i="82"/>
  <c r="C184" i="82"/>
  <c r="G184" i="82"/>
  <c r="B184" i="82"/>
  <c r="F185" i="82"/>
  <c r="C185" i="82"/>
  <c r="G185" i="82"/>
  <c r="B185" i="82"/>
  <c r="F186" i="82"/>
  <c r="C186" i="82"/>
  <c r="G186" i="82"/>
  <c r="B186" i="82"/>
  <c r="F187" i="82"/>
  <c r="C187" i="82"/>
  <c r="G187" i="82"/>
  <c r="B187" i="82"/>
  <c r="F188" i="82"/>
  <c r="C188" i="82"/>
  <c r="G188" i="82"/>
  <c r="B188" i="82"/>
  <c r="F189" i="82"/>
  <c r="C189" i="82"/>
  <c r="G189" i="82"/>
  <c r="B189" i="82"/>
  <c r="F190" i="82"/>
  <c r="C190" i="82"/>
  <c r="G190" i="82"/>
  <c r="B190" i="82"/>
  <c r="F191" i="82"/>
  <c r="C191" i="82"/>
  <c r="G191" i="82"/>
  <c r="B191" i="82"/>
  <c r="F192" i="82"/>
  <c r="C192" i="82"/>
  <c r="G192" i="82"/>
  <c r="B192" i="82"/>
  <c r="F193" i="82"/>
  <c r="C193" i="82"/>
  <c r="G193" i="82"/>
  <c r="B193" i="82"/>
  <c r="F194" i="82"/>
  <c r="C194" i="82"/>
  <c r="G194" i="82"/>
  <c r="B194" i="82"/>
  <c r="F195" i="82"/>
  <c r="C195" i="82"/>
  <c r="G195" i="82"/>
  <c r="B195" i="82"/>
  <c r="F196" i="82"/>
  <c r="C196" i="82"/>
  <c r="G196" i="82"/>
  <c r="B196" i="82"/>
  <c r="F197" i="82"/>
  <c r="C197" i="82"/>
  <c r="G197" i="82"/>
  <c r="B197" i="82"/>
  <c r="F198" i="82"/>
  <c r="C198" i="82"/>
  <c r="G198" i="82"/>
  <c r="B198" i="82"/>
  <c r="F199" i="82"/>
  <c r="C199" i="82"/>
  <c r="G199" i="82"/>
  <c r="B199" i="82"/>
  <c r="F200" i="82"/>
  <c r="C200" i="82"/>
  <c r="G200" i="82"/>
  <c r="B200" i="82"/>
  <c r="F201" i="82"/>
  <c r="C201" i="82"/>
  <c r="G201" i="82"/>
  <c r="B201" i="82"/>
  <c r="F202" i="82"/>
  <c r="C202" i="82"/>
  <c r="G202" i="82"/>
  <c r="B202" i="82"/>
  <c r="F203" i="82"/>
  <c r="C203" i="82"/>
  <c r="G203" i="82"/>
  <c r="B203" i="82"/>
  <c r="F204" i="82"/>
  <c r="C204" i="82"/>
  <c r="G204" i="82"/>
  <c r="B204" i="82"/>
  <c r="F205" i="82"/>
  <c r="C205" i="82"/>
  <c r="G205" i="82"/>
  <c r="B205" i="82"/>
  <c r="F206" i="82"/>
  <c r="C206" i="82"/>
  <c r="G206" i="82"/>
  <c r="B206" i="82"/>
  <c r="F207" i="82"/>
  <c r="C207" i="82"/>
  <c r="G207" i="82"/>
  <c r="B207" i="82"/>
  <c r="F208" i="82"/>
  <c r="C208" i="82"/>
  <c r="G208" i="82"/>
  <c r="B208" i="82"/>
  <c r="F209" i="82"/>
  <c r="C209" i="82"/>
  <c r="G209" i="82"/>
  <c r="B209" i="82"/>
  <c r="F210" i="82"/>
  <c r="C210" i="82"/>
  <c r="G210" i="82"/>
  <c r="B210" i="82"/>
  <c r="F211" i="82"/>
  <c r="C211" i="82"/>
  <c r="G211" i="82"/>
  <c r="B211" i="82"/>
  <c r="F212" i="82"/>
  <c r="C212" i="82"/>
  <c r="G212" i="82"/>
  <c r="B212" i="82"/>
  <c r="F213" i="82"/>
  <c r="C213" i="82"/>
  <c r="G213" i="82"/>
  <c r="B213" i="82"/>
  <c r="F214" i="82"/>
  <c r="C214" i="82"/>
  <c r="G214" i="82"/>
  <c r="B214" i="82"/>
  <c r="F215" i="82"/>
  <c r="C215" i="82"/>
  <c r="G215" i="82"/>
  <c r="B215" i="82"/>
  <c r="F216" i="82"/>
  <c r="C216" i="82"/>
  <c r="G216" i="82"/>
  <c r="B216" i="82"/>
  <c r="F217" i="82"/>
  <c r="C217" i="82"/>
  <c r="G217" i="82"/>
  <c r="B217" i="82"/>
  <c r="F218" i="82"/>
  <c r="C218" i="82"/>
  <c r="G218" i="82"/>
  <c r="B218" i="82"/>
  <c r="F219" i="82"/>
  <c r="C219" i="82"/>
  <c r="G219" i="82"/>
  <c r="B219" i="82"/>
  <c r="F220" i="82"/>
  <c r="C220" i="82"/>
  <c r="G220" i="82"/>
  <c r="B220" i="82"/>
  <c r="F221" i="82"/>
  <c r="C221" i="82"/>
  <c r="G221" i="82"/>
  <c r="B221" i="82"/>
  <c r="F222" i="82"/>
  <c r="C222" i="82"/>
  <c r="G222" i="82"/>
  <c r="B222" i="82"/>
  <c r="F223" i="82"/>
  <c r="C223" i="82"/>
  <c r="G223" i="82"/>
  <c r="B223" i="82"/>
  <c r="F224" i="82"/>
  <c r="C224" i="82"/>
  <c r="G224" i="82"/>
  <c r="B224" i="82"/>
  <c r="F225" i="82"/>
  <c r="C225" i="82"/>
  <c r="G225" i="82"/>
  <c r="B225" i="82"/>
  <c r="F226" i="82"/>
  <c r="C226" i="82"/>
  <c r="G226" i="82"/>
  <c r="B226" i="82"/>
  <c r="F227" i="82"/>
  <c r="C227" i="82"/>
  <c r="G227" i="82"/>
  <c r="B227" i="82"/>
  <c r="F228" i="82"/>
  <c r="C228" i="82"/>
  <c r="G228" i="82"/>
  <c r="B228" i="82"/>
  <c r="F229" i="82"/>
  <c r="C229" i="82"/>
  <c r="G229" i="82"/>
  <c r="B229" i="82"/>
  <c r="F230" i="82"/>
  <c r="C230" i="82"/>
  <c r="G230" i="82"/>
  <c r="B230" i="82"/>
  <c r="F231" i="82"/>
  <c r="C231" i="82"/>
  <c r="G231" i="82"/>
  <c r="B231" i="82"/>
  <c r="F232" i="82"/>
  <c r="C232" i="82"/>
  <c r="G232" i="82"/>
  <c r="B232" i="82"/>
  <c r="F233" i="82"/>
  <c r="C233" i="82"/>
  <c r="G233" i="82"/>
  <c r="B233" i="82"/>
  <c r="F234" i="82"/>
  <c r="C234" i="82"/>
  <c r="G234" i="82"/>
  <c r="B234" i="82"/>
  <c r="F235" i="82"/>
  <c r="C235" i="82"/>
  <c r="G235" i="82"/>
  <c r="B235" i="82"/>
  <c r="F236" i="82"/>
  <c r="C236" i="82"/>
  <c r="G236" i="82"/>
  <c r="B236" i="82"/>
  <c r="F237" i="82"/>
  <c r="C237" i="82"/>
  <c r="G237" i="82"/>
  <c r="B237" i="82"/>
  <c r="F238" i="82"/>
  <c r="C238" i="82"/>
  <c r="G238" i="82"/>
  <c r="B238" i="82"/>
  <c r="F239" i="82"/>
  <c r="C239" i="82"/>
  <c r="G239" i="82"/>
  <c r="B239" i="82"/>
  <c r="F240" i="82"/>
  <c r="C240" i="82"/>
  <c r="G240" i="82"/>
  <c r="B240" i="82"/>
  <c r="F241" i="82"/>
  <c r="C241" i="82"/>
  <c r="G241" i="82"/>
  <c r="B241" i="82"/>
  <c r="F242" i="82"/>
  <c r="C242" i="82"/>
  <c r="G242" i="82"/>
  <c r="B242" i="82"/>
  <c r="F243" i="82"/>
  <c r="C243" i="82"/>
  <c r="G243" i="82"/>
  <c r="B243" i="82"/>
  <c r="F244" i="82"/>
  <c r="C244" i="82"/>
  <c r="G244" i="82"/>
  <c r="B244" i="82"/>
  <c r="F245" i="82"/>
  <c r="C245" i="82"/>
  <c r="G245" i="82"/>
  <c r="B245" i="82"/>
  <c r="F246" i="82"/>
  <c r="C246" i="82"/>
  <c r="G246" i="82"/>
  <c r="B246" i="82"/>
  <c r="F247" i="82"/>
  <c r="C247" i="82"/>
  <c r="G247" i="82"/>
  <c r="B247" i="82"/>
  <c r="F248" i="82"/>
  <c r="C248" i="82"/>
  <c r="G248" i="82"/>
  <c r="B248" i="82"/>
  <c r="F249" i="82"/>
  <c r="C249" i="82"/>
  <c r="G249" i="82"/>
  <c r="B249" i="82"/>
  <c r="F250" i="82"/>
  <c r="C250" i="82"/>
  <c r="G250" i="82"/>
  <c r="B250" i="82"/>
  <c r="F251" i="82"/>
  <c r="C251" i="82"/>
  <c r="G251" i="82"/>
  <c r="B251" i="82"/>
  <c r="F252" i="82"/>
  <c r="C252" i="82"/>
  <c r="G252" i="82"/>
  <c r="B252" i="82"/>
  <c r="F253" i="82"/>
  <c r="C253" i="82"/>
  <c r="G253" i="82"/>
  <c r="B253" i="82"/>
  <c r="F254" i="82"/>
  <c r="C254" i="82"/>
  <c r="G254" i="82"/>
  <c r="B254" i="82"/>
  <c r="F255" i="82"/>
  <c r="C255" i="82"/>
  <c r="G255" i="82"/>
  <c r="B255" i="82"/>
  <c r="E18" i="106"/>
  <c r="E17" i="106"/>
  <c r="S53" i="124"/>
  <c r="R53" i="124"/>
  <c r="Q53" i="124"/>
  <c r="P53" i="124"/>
  <c r="O53" i="124"/>
  <c r="N53" i="124"/>
  <c r="F2" i="121"/>
  <c r="C2" i="121"/>
  <c r="G2" i="121"/>
  <c r="B2" i="121"/>
  <c r="F3" i="121"/>
  <c r="C3" i="121"/>
  <c r="G3" i="121"/>
  <c r="B3" i="121"/>
  <c r="F4" i="121"/>
  <c r="C4" i="121"/>
  <c r="G4" i="121"/>
  <c r="B4" i="121"/>
  <c r="F5" i="121"/>
  <c r="C5" i="121"/>
  <c r="G5" i="121"/>
  <c r="B5" i="121"/>
  <c r="F6" i="121"/>
  <c r="C6" i="121"/>
  <c r="G6" i="121"/>
  <c r="B6" i="121"/>
  <c r="F7" i="121"/>
  <c r="C7" i="121"/>
  <c r="G7" i="121"/>
  <c r="B7" i="121"/>
  <c r="F8" i="121"/>
  <c r="C8" i="121"/>
  <c r="G8" i="121"/>
  <c r="B8" i="121"/>
  <c r="F9" i="121"/>
  <c r="C9" i="121"/>
  <c r="G9" i="121"/>
  <c r="B9" i="121"/>
  <c r="F10" i="121"/>
  <c r="C10" i="121"/>
  <c r="G10" i="121"/>
  <c r="B10" i="121"/>
  <c r="F11" i="121"/>
  <c r="C11" i="121"/>
  <c r="G11" i="121"/>
  <c r="B11" i="121"/>
  <c r="F12" i="121"/>
  <c r="C12" i="121"/>
  <c r="G12" i="121"/>
  <c r="B12" i="121"/>
  <c r="F13" i="121"/>
  <c r="C13" i="121"/>
  <c r="G13" i="121"/>
  <c r="B13" i="121"/>
  <c r="F14" i="121"/>
  <c r="C14" i="121"/>
  <c r="G14" i="121"/>
  <c r="B14" i="121"/>
  <c r="F15" i="121"/>
  <c r="C15" i="121"/>
  <c r="G15" i="121"/>
  <c r="B15" i="121"/>
  <c r="F16" i="121"/>
  <c r="C16" i="121"/>
  <c r="G16" i="121"/>
  <c r="B16" i="121"/>
  <c r="F17" i="121"/>
  <c r="C17" i="121"/>
  <c r="G17" i="121"/>
  <c r="B17" i="121"/>
  <c r="F18" i="121"/>
  <c r="C18" i="121"/>
  <c r="G18" i="121"/>
  <c r="B18" i="121"/>
  <c r="F19" i="121"/>
  <c r="C19" i="121"/>
  <c r="G19" i="121"/>
  <c r="B19" i="121"/>
  <c r="F20" i="121"/>
  <c r="C20" i="121"/>
  <c r="G20" i="121"/>
  <c r="B20" i="121"/>
  <c r="F21" i="121"/>
  <c r="C21" i="121"/>
  <c r="G21" i="121"/>
  <c r="B21" i="121"/>
  <c r="F22" i="121"/>
  <c r="C22" i="121"/>
  <c r="G22" i="121"/>
  <c r="B22" i="121"/>
  <c r="F23" i="121"/>
  <c r="C23" i="121"/>
  <c r="G23" i="121"/>
  <c r="B23" i="121"/>
  <c r="F24" i="121"/>
  <c r="C24" i="121"/>
  <c r="G24" i="121"/>
  <c r="B24" i="121"/>
  <c r="F25" i="121"/>
  <c r="C25" i="121"/>
  <c r="G25" i="121"/>
  <c r="B25" i="121"/>
  <c r="F26" i="121"/>
  <c r="C26" i="121"/>
  <c r="G26" i="121"/>
  <c r="B26" i="121"/>
  <c r="F27" i="121"/>
  <c r="C27" i="121"/>
  <c r="G27" i="121"/>
  <c r="B27" i="121"/>
  <c r="F28" i="121"/>
  <c r="C28" i="121"/>
  <c r="G28" i="121"/>
  <c r="B28" i="121"/>
  <c r="F29" i="121"/>
  <c r="C29" i="121"/>
  <c r="G29" i="121"/>
  <c r="B29" i="121"/>
  <c r="F30" i="121"/>
  <c r="C30" i="121"/>
  <c r="G30" i="121"/>
  <c r="B30" i="121"/>
  <c r="F31" i="121"/>
  <c r="C31" i="121"/>
  <c r="G31" i="121"/>
  <c r="B31" i="121"/>
  <c r="F32" i="121"/>
  <c r="C32" i="121"/>
  <c r="G32" i="121"/>
  <c r="B32" i="121"/>
  <c r="F33" i="121"/>
  <c r="C33" i="121"/>
  <c r="G33" i="121"/>
  <c r="B33" i="121"/>
  <c r="F34" i="121"/>
  <c r="C34" i="121"/>
  <c r="G34" i="121"/>
  <c r="B34" i="121"/>
  <c r="F35" i="121"/>
  <c r="C35" i="121"/>
  <c r="G35" i="121"/>
  <c r="B35" i="121"/>
  <c r="F36" i="121"/>
  <c r="C36" i="121"/>
  <c r="G36" i="121"/>
  <c r="B36" i="121"/>
  <c r="F37" i="121"/>
  <c r="C37" i="121"/>
  <c r="G37" i="121"/>
  <c r="B37" i="121"/>
  <c r="F38" i="121"/>
  <c r="C38" i="121"/>
  <c r="G38" i="121"/>
  <c r="B38" i="121"/>
  <c r="F39" i="121"/>
  <c r="C39" i="121"/>
  <c r="G39" i="121"/>
  <c r="B39" i="121"/>
  <c r="F40" i="121"/>
  <c r="C40" i="121"/>
  <c r="G40" i="121"/>
  <c r="B40" i="121"/>
  <c r="F41" i="121"/>
  <c r="C41" i="121"/>
  <c r="G41" i="121"/>
  <c r="B41" i="121"/>
  <c r="F42" i="121"/>
  <c r="C42" i="121"/>
  <c r="G42" i="121"/>
  <c r="B42" i="121"/>
  <c r="F43" i="121"/>
  <c r="C43" i="121"/>
  <c r="G43" i="121"/>
  <c r="B43" i="121"/>
  <c r="F44" i="121"/>
  <c r="C44" i="121"/>
  <c r="G44" i="121"/>
  <c r="B44" i="121"/>
  <c r="F45" i="121"/>
  <c r="C45" i="121"/>
  <c r="G45" i="121"/>
  <c r="B45" i="121"/>
  <c r="F46" i="121"/>
  <c r="C46" i="121"/>
  <c r="G46" i="121"/>
  <c r="B46" i="121"/>
  <c r="F47" i="121"/>
  <c r="C47" i="121"/>
  <c r="G47" i="121"/>
  <c r="B47" i="121"/>
  <c r="F48" i="121"/>
  <c r="C48" i="121"/>
  <c r="G48" i="121"/>
  <c r="B48" i="121"/>
  <c r="F49" i="121"/>
  <c r="C49" i="121"/>
  <c r="G49" i="121"/>
  <c r="B49" i="121"/>
  <c r="F50" i="121"/>
  <c r="C50" i="121"/>
  <c r="G50" i="121"/>
  <c r="B50" i="121"/>
  <c r="F51" i="121"/>
  <c r="C51" i="121"/>
  <c r="G51" i="121"/>
  <c r="B51" i="121"/>
  <c r="F52" i="121"/>
  <c r="C52" i="121"/>
  <c r="G52" i="121"/>
  <c r="B52" i="121"/>
  <c r="F53" i="121"/>
  <c r="C53" i="121"/>
  <c r="G53" i="121"/>
  <c r="B53" i="121"/>
  <c r="F54" i="121"/>
  <c r="C54" i="121"/>
  <c r="G54" i="121"/>
  <c r="B54" i="121"/>
  <c r="F55" i="121"/>
  <c r="C55" i="121"/>
  <c r="G55" i="121"/>
  <c r="B55" i="121"/>
  <c r="F56" i="121"/>
  <c r="C56" i="121"/>
  <c r="G56" i="121"/>
  <c r="B56" i="121"/>
  <c r="F57" i="121"/>
  <c r="C57" i="121"/>
  <c r="G57" i="121"/>
  <c r="B57" i="121"/>
  <c r="F58" i="121"/>
  <c r="C58" i="121"/>
  <c r="G58" i="121"/>
  <c r="B58" i="121"/>
  <c r="F59" i="121"/>
  <c r="C59" i="121"/>
  <c r="G59" i="121"/>
  <c r="B59" i="121"/>
  <c r="F60" i="121"/>
  <c r="C60" i="121"/>
  <c r="G60" i="121"/>
  <c r="B60" i="121"/>
  <c r="F61" i="121"/>
  <c r="C61" i="121"/>
  <c r="G61" i="121"/>
  <c r="B61" i="121"/>
  <c r="F62" i="121"/>
  <c r="C62" i="121"/>
  <c r="G62" i="121"/>
  <c r="B62" i="121"/>
  <c r="F63" i="121"/>
  <c r="C63" i="121"/>
  <c r="G63" i="121"/>
  <c r="B63" i="121"/>
  <c r="F64" i="121"/>
  <c r="C64" i="121"/>
  <c r="G64" i="121"/>
  <c r="B64" i="121"/>
  <c r="F65" i="121"/>
  <c r="C65" i="121"/>
  <c r="G65" i="121"/>
  <c r="B65" i="121"/>
  <c r="F66" i="121"/>
  <c r="C66" i="121"/>
  <c r="G66" i="121"/>
  <c r="B66" i="121"/>
  <c r="F67" i="121"/>
  <c r="C67" i="121"/>
  <c r="G67" i="121"/>
  <c r="B67" i="121"/>
  <c r="F68" i="121"/>
  <c r="C68" i="121"/>
  <c r="G68" i="121"/>
  <c r="B68" i="121"/>
  <c r="F69" i="121"/>
  <c r="C69" i="121"/>
  <c r="G69" i="121"/>
  <c r="B69" i="121"/>
  <c r="F70" i="121"/>
  <c r="C70" i="121"/>
  <c r="G70" i="121"/>
  <c r="B70" i="121"/>
  <c r="F71" i="121"/>
  <c r="C71" i="121"/>
  <c r="G71" i="121"/>
  <c r="B71" i="121"/>
  <c r="F72" i="121"/>
  <c r="C72" i="121"/>
  <c r="G72" i="121"/>
  <c r="B72" i="121"/>
  <c r="F73" i="121"/>
  <c r="C73" i="121"/>
  <c r="G73" i="121"/>
  <c r="B73" i="121"/>
  <c r="F74" i="121"/>
  <c r="C74" i="121"/>
  <c r="G74" i="121"/>
  <c r="B74" i="121"/>
  <c r="F75" i="121"/>
  <c r="C75" i="121"/>
  <c r="G75" i="121"/>
  <c r="B75" i="121"/>
  <c r="F76" i="121"/>
  <c r="C76" i="121"/>
  <c r="G76" i="121"/>
  <c r="B76" i="121"/>
  <c r="F77" i="121"/>
  <c r="C77" i="121"/>
  <c r="G77" i="121"/>
  <c r="B77" i="121"/>
  <c r="F78" i="121"/>
  <c r="C78" i="121"/>
  <c r="G78" i="121"/>
  <c r="B78" i="121"/>
  <c r="F79" i="121"/>
  <c r="C79" i="121"/>
  <c r="G79" i="121"/>
  <c r="B79" i="121"/>
  <c r="F80" i="121"/>
  <c r="C80" i="121"/>
  <c r="G80" i="121"/>
  <c r="B80" i="121"/>
  <c r="F81" i="121"/>
  <c r="C81" i="121"/>
  <c r="G81" i="121"/>
  <c r="B81" i="121"/>
  <c r="F82" i="121"/>
  <c r="C82" i="121"/>
  <c r="G82" i="121"/>
  <c r="B82" i="121"/>
  <c r="F83" i="121"/>
  <c r="C83" i="121"/>
  <c r="G83" i="121"/>
  <c r="B83" i="121"/>
  <c r="F84" i="121"/>
  <c r="C84" i="121"/>
  <c r="G84" i="121"/>
  <c r="B84" i="121"/>
  <c r="F85" i="121"/>
  <c r="C85" i="121"/>
  <c r="G85" i="121"/>
  <c r="B85" i="121"/>
  <c r="F86" i="121"/>
  <c r="C86" i="121"/>
  <c r="G86" i="121"/>
  <c r="B86" i="121"/>
  <c r="F87" i="121"/>
  <c r="C87" i="121"/>
  <c r="G87" i="121"/>
  <c r="B87" i="121"/>
  <c r="F88" i="121"/>
  <c r="C88" i="121"/>
  <c r="G88" i="121"/>
  <c r="B88" i="121"/>
  <c r="F89" i="121"/>
  <c r="C89" i="121"/>
  <c r="G89" i="121"/>
  <c r="B89" i="121"/>
  <c r="F90" i="121"/>
  <c r="C90" i="121"/>
  <c r="G90" i="121"/>
  <c r="B90" i="121"/>
  <c r="F91" i="121"/>
  <c r="C91" i="121"/>
  <c r="G91" i="121"/>
  <c r="B91" i="121"/>
  <c r="F92" i="121"/>
  <c r="C92" i="121"/>
  <c r="G92" i="121"/>
  <c r="B92" i="121"/>
  <c r="F93" i="121"/>
  <c r="C93" i="121"/>
  <c r="G93" i="121"/>
  <c r="B93" i="121"/>
  <c r="F94" i="121"/>
  <c r="C94" i="121"/>
  <c r="G94" i="121"/>
  <c r="B94" i="121"/>
  <c r="F95" i="121"/>
  <c r="C95" i="121"/>
  <c r="G95" i="121"/>
  <c r="B95" i="121"/>
  <c r="F96" i="121"/>
  <c r="C96" i="121"/>
  <c r="G96" i="121"/>
  <c r="B96" i="121"/>
  <c r="F97" i="121"/>
  <c r="C97" i="121"/>
  <c r="G97" i="121"/>
  <c r="B97" i="121"/>
  <c r="F98" i="121"/>
  <c r="C98" i="121"/>
  <c r="G98" i="121"/>
  <c r="B98" i="121"/>
  <c r="F99" i="121"/>
  <c r="C99" i="121"/>
  <c r="G99" i="121"/>
  <c r="B99" i="121"/>
  <c r="F100" i="121"/>
  <c r="C100" i="121"/>
  <c r="G100" i="121"/>
  <c r="B100" i="121"/>
  <c r="F101" i="121"/>
  <c r="C101" i="121"/>
  <c r="G101" i="121"/>
  <c r="B101" i="121"/>
  <c r="F102" i="121"/>
  <c r="C102" i="121"/>
  <c r="G102" i="121"/>
  <c r="B102" i="121"/>
  <c r="F103" i="121"/>
  <c r="C103" i="121"/>
  <c r="G103" i="121"/>
  <c r="B103" i="121"/>
  <c r="F104" i="121"/>
  <c r="C104" i="121"/>
  <c r="G104" i="121"/>
  <c r="B104" i="121"/>
  <c r="F105" i="121"/>
  <c r="C105" i="121"/>
  <c r="G105" i="121"/>
  <c r="B105" i="121"/>
  <c r="F106" i="121"/>
  <c r="C106" i="121"/>
  <c r="G106" i="121"/>
  <c r="B106" i="121"/>
  <c r="F107" i="121"/>
  <c r="C107" i="121"/>
  <c r="G107" i="121"/>
  <c r="B107" i="121"/>
  <c r="F108" i="121"/>
  <c r="C108" i="121"/>
  <c r="G108" i="121"/>
  <c r="B108" i="121"/>
  <c r="F109" i="121"/>
  <c r="C109" i="121"/>
  <c r="G109" i="121"/>
  <c r="B109" i="121"/>
  <c r="F110" i="121"/>
  <c r="C110" i="121"/>
  <c r="G110" i="121"/>
  <c r="B110" i="121"/>
  <c r="F111" i="121"/>
  <c r="C111" i="121"/>
  <c r="G111" i="121"/>
  <c r="B111" i="121"/>
  <c r="F112" i="121"/>
  <c r="C112" i="121"/>
  <c r="G112" i="121"/>
  <c r="B112" i="121"/>
  <c r="F113" i="121"/>
  <c r="C113" i="121"/>
  <c r="G113" i="121"/>
  <c r="B113" i="121"/>
  <c r="F114" i="121"/>
  <c r="C114" i="121"/>
  <c r="G114" i="121"/>
  <c r="B114" i="121"/>
  <c r="F115" i="121"/>
  <c r="C115" i="121"/>
  <c r="G115" i="121"/>
  <c r="B115" i="121"/>
  <c r="F116" i="121"/>
  <c r="C116" i="121"/>
  <c r="G116" i="121"/>
  <c r="B116" i="121"/>
  <c r="F117" i="121"/>
  <c r="C117" i="121"/>
  <c r="G117" i="121"/>
  <c r="B117" i="121"/>
  <c r="F118" i="121"/>
  <c r="C118" i="121"/>
  <c r="G118" i="121"/>
  <c r="B118" i="121"/>
  <c r="F119" i="121"/>
  <c r="C119" i="121"/>
  <c r="G119" i="121"/>
  <c r="B119" i="121"/>
  <c r="F120" i="121"/>
  <c r="C120" i="121"/>
  <c r="G120" i="121"/>
  <c r="B120" i="121"/>
  <c r="F121" i="121"/>
  <c r="C121" i="121"/>
  <c r="G121" i="121"/>
  <c r="B121" i="121"/>
  <c r="F122" i="121"/>
  <c r="C122" i="121"/>
  <c r="G122" i="121"/>
  <c r="B122" i="121"/>
  <c r="F123" i="121"/>
  <c r="C123" i="121"/>
  <c r="G123" i="121"/>
  <c r="B123" i="121"/>
  <c r="F124" i="121"/>
  <c r="C124" i="121"/>
  <c r="G124" i="121"/>
  <c r="B124" i="121"/>
  <c r="F125" i="121"/>
  <c r="C125" i="121"/>
  <c r="G125" i="121"/>
  <c r="B125" i="121"/>
  <c r="F126" i="121"/>
  <c r="C126" i="121"/>
  <c r="G126" i="121"/>
  <c r="B126" i="121"/>
  <c r="F127" i="121"/>
  <c r="C127" i="121"/>
  <c r="G127" i="121"/>
  <c r="B127" i="121"/>
  <c r="F128" i="121"/>
  <c r="C128" i="121"/>
  <c r="G128" i="121"/>
  <c r="B128" i="121"/>
  <c r="F129" i="121"/>
  <c r="C129" i="121"/>
  <c r="G129" i="121"/>
  <c r="B129" i="121"/>
  <c r="F130" i="121"/>
  <c r="C130" i="121"/>
  <c r="G130" i="121"/>
  <c r="B130" i="121"/>
  <c r="F131" i="121"/>
  <c r="C131" i="121"/>
  <c r="G131" i="121"/>
  <c r="B131" i="121"/>
  <c r="F132" i="121"/>
  <c r="C132" i="121"/>
  <c r="G132" i="121"/>
  <c r="B132" i="121"/>
  <c r="F133" i="121"/>
  <c r="C133" i="121"/>
  <c r="G133" i="121"/>
  <c r="B133" i="121"/>
  <c r="F134" i="121"/>
  <c r="C134" i="121"/>
  <c r="G134" i="121"/>
  <c r="B134" i="121"/>
  <c r="F135" i="121"/>
  <c r="C135" i="121"/>
  <c r="G135" i="121"/>
  <c r="B135" i="121"/>
  <c r="F136" i="121"/>
  <c r="C136" i="121"/>
  <c r="G136" i="121"/>
  <c r="B136" i="121"/>
  <c r="F137" i="121"/>
  <c r="C137" i="121"/>
  <c r="G137" i="121"/>
  <c r="B137" i="121"/>
  <c r="F138" i="121"/>
  <c r="C138" i="121"/>
  <c r="G138" i="121"/>
  <c r="B138" i="121"/>
  <c r="F139" i="121"/>
  <c r="C139" i="121"/>
  <c r="G139" i="121"/>
  <c r="B139" i="121"/>
  <c r="F140" i="121"/>
  <c r="C140" i="121"/>
  <c r="G140" i="121"/>
  <c r="B140" i="121"/>
  <c r="F141" i="121"/>
  <c r="C141" i="121"/>
  <c r="G141" i="121"/>
  <c r="B141" i="121"/>
  <c r="F142" i="121"/>
  <c r="C142" i="121"/>
  <c r="G142" i="121"/>
  <c r="B142" i="121"/>
  <c r="F143" i="121"/>
  <c r="C143" i="121"/>
  <c r="G143" i="121"/>
  <c r="B143" i="121"/>
  <c r="F144" i="121"/>
  <c r="C144" i="121"/>
  <c r="G144" i="121"/>
  <c r="B144" i="121"/>
  <c r="F145" i="121"/>
  <c r="C145" i="121"/>
  <c r="G145" i="121"/>
  <c r="B145" i="121"/>
  <c r="F146" i="121"/>
  <c r="C146" i="121"/>
  <c r="G146" i="121"/>
  <c r="B146" i="121"/>
  <c r="F147" i="121"/>
  <c r="C147" i="121"/>
  <c r="G147" i="121"/>
  <c r="B147" i="121"/>
  <c r="F148" i="121"/>
  <c r="C148" i="121"/>
  <c r="G148" i="121"/>
  <c r="B148" i="121"/>
  <c r="F149" i="121"/>
  <c r="C149" i="121"/>
  <c r="G149" i="121"/>
  <c r="B149" i="121"/>
  <c r="F150" i="121"/>
  <c r="C150" i="121"/>
  <c r="G150" i="121"/>
  <c r="B150" i="121"/>
  <c r="F151" i="121"/>
  <c r="C151" i="121"/>
  <c r="G151" i="121"/>
  <c r="B151" i="121"/>
  <c r="F152" i="121"/>
  <c r="C152" i="121"/>
  <c r="G152" i="121"/>
  <c r="B152" i="121"/>
  <c r="F153" i="121"/>
  <c r="C153" i="121"/>
  <c r="G153" i="121"/>
  <c r="B153" i="121"/>
  <c r="F154" i="121"/>
  <c r="C154" i="121"/>
  <c r="G154" i="121"/>
  <c r="B154" i="121"/>
  <c r="F155" i="121"/>
  <c r="C155" i="121"/>
  <c r="G155" i="121"/>
  <c r="B155" i="121"/>
  <c r="F156" i="121"/>
  <c r="C156" i="121"/>
  <c r="G156" i="121"/>
  <c r="B156" i="121"/>
  <c r="F157" i="121"/>
  <c r="C157" i="121"/>
  <c r="G157" i="121"/>
  <c r="B157" i="121"/>
  <c r="F158" i="121"/>
  <c r="C158" i="121"/>
  <c r="G158" i="121"/>
  <c r="B158" i="121"/>
  <c r="F159" i="121"/>
  <c r="C159" i="121"/>
  <c r="G159" i="121"/>
  <c r="B159" i="121"/>
  <c r="F160" i="121"/>
  <c r="C160" i="121"/>
  <c r="G160" i="121"/>
  <c r="B160" i="121"/>
  <c r="F161" i="121"/>
  <c r="C161" i="121"/>
  <c r="G161" i="121"/>
  <c r="B161" i="121"/>
  <c r="F162" i="121"/>
  <c r="C162" i="121"/>
  <c r="G162" i="121"/>
  <c r="B162" i="121"/>
  <c r="F163" i="121"/>
  <c r="C163" i="121"/>
  <c r="G163" i="121"/>
  <c r="B163" i="121"/>
  <c r="F164" i="121"/>
  <c r="C164" i="121"/>
  <c r="G164" i="121"/>
  <c r="B164" i="121"/>
  <c r="F165" i="121"/>
  <c r="C165" i="121"/>
  <c r="G165" i="121"/>
  <c r="B165" i="121"/>
  <c r="F166" i="121"/>
  <c r="C166" i="121"/>
  <c r="G166" i="121"/>
  <c r="B166" i="121"/>
  <c r="F167" i="121"/>
  <c r="C167" i="121"/>
  <c r="G167" i="121"/>
  <c r="B167" i="121"/>
  <c r="F168" i="121"/>
  <c r="C168" i="121"/>
  <c r="G168" i="121"/>
  <c r="B168" i="121"/>
  <c r="F169" i="121"/>
  <c r="C169" i="121"/>
  <c r="G169" i="121"/>
  <c r="B169" i="121"/>
  <c r="F170" i="121"/>
  <c r="C170" i="121"/>
  <c r="G170" i="121"/>
  <c r="B170" i="121"/>
  <c r="F171" i="121"/>
  <c r="C171" i="121"/>
  <c r="G171" i="121"/>
  <c r="B171" i="121"/>
  <c r="F172" i="121"/>
  <c r="C172" i="121"/>
  <c r="G172" i="121"/>
  <c r="B172" i="121"/>
  <c r="F173" i="121"/>
  <c r="C173" i="121"/>
  <c r="G173" i="121"/>
  <c r="B173" i="121"/>
  <c r="F174" i="121"/>
  <c r="C174" i="121"/>
  <c r="G174" i="121"/>
  <c r="B174" i="121"/>
  <c r="F175" i="121"/>
  <c r="C175" i="121"/>
  <c r="G175" i="121"/>
  <c r="B175" i="121"/>
  <c r="F176" i="121"/>
  <c r="C176" i="121"/>
  <c r="G176" i="121"/>
  <c r="B176" i="121"/>
  <c r="F177" i="121"/>
  <c r="C177" i="121"/>
  <c r="G177" i="121"/>
  <c r="B177" i="121"/>
  <c r="F178" i="121"/>
  <c r="C178" i="121"/>
  <c r="G178" i="121"/>
  <c r="B178" i="121"/>
  <c r="F179" i="121"/>
  <c r="C179" i="121"/>
  <c r="G179" i="121"/>
  <c r="B179" i="121"/>
  <c r="F180" i="121"/>
  <c r="C180" i="121"/>
  <c r="G180" i="121"/>
  <c r="B180" i="121"/>
  <c r="F181" i="121"/>
  <c r="C181" i="121"/>
  <c r="G181" i="121"/>
  <c r="B181" i="121"/>
  <c r="F182" i="121"/>
  <c r="C182" i="121"/>
  <c r="G182" i="121"/>
  <c r="B182" i="121"/>
  <c r="F183" i="121"/>
  <c r="C183" i="121"/>
  <c r="G183" i="121"/>
  <c r="B183" i="121"/>
  <c r="F184" i="121"/>
  <c r="C184" i="121"/>
  <c r="G184" i="121"/>
  <c r="B184" i="121"/>
  <c r="F185" i="121"/>
  <c r="C185" i="121"/>
  <c r="G185" i="121"/>
  <c r="B185" i="121"/>
  <c r="F186" i="121"/>
  <c r="C186" i="121"/>
  <c r="G186" i="121"/>
  <c r="B186" i="121"/>
  <c r="F187" i="121"/>
  <c r="C187" i="121"/>
  <c r="G187" i="121"/>
  <c r="B187" i="121"/>
  <c r="F188" i="121"/>
  <c r="C188" i="121"/>
  <c r="G188" i="121"/>
  <c r="B188" i="121"/>
  <c r="F189" i="121"/>
  <c r="C189" i="121"/>
  <c r="G189" i="121"/>
  <c r="B189" i="121"/>
  <c r="F190" i="121"/>
  <c r="C190" i="121"/>
  <c r="G190" i="121"/>
  <c r="B190" i="121"/>
  <c r="F191" i="121"/>
  <c r="C191" i="121"/>
  <c r="G191" i="121"/>
  <c r="B191" i="121"/>
  <c r="F192" i="121"/>
  <c r="C192" i="121"/>
  <c r="G192" i="121"/>
  <c r="B192" i="121"/>
  <c r="F193" i="121"/>
  <c r="C193" i="121"/>
  <c r="G193" i="121"/>
  <c r="B193" i="121"/>
  <c r="F194" i="121"/>
  <c r="C194" i="121"/>
  <c r="G194" i="121"/>
  <c r="B194" i="121"/>
  <c r="F195" i="121"/>
  <c r="C195" i="121"/>
  <c r="G195" i="121"/>
  <c r="B195" i="121"/>
  <c r="F196" i="121"/>
  <c r="C196" i="121"/>
  <c r="G196" i="121"/>
  <c r="B196" i="121"/>
  <c r="F197" i="121"/>
  <c r="C197" i="121"/>
  <c r="G197" i="121"/>
  <c r="B197" i="121"/>
  <c r="F198" i="121"/>
  <c r="C198" i="121"/>
  <c r="G198" i="121"/>
  <c r="B198" i="121"/>
  <c r="F199" i="121"/>
  <c r="C199" i="121"/>
  <c r="G199" i="121"/>
  <c r="B199" i="121"/>
  <c r="F200" i="121"/>
  <c r="C200" i="121"/>
  <c r="G200" i="121"/>
  <c r="B200" i="121"/>
  <c r="F201" i="121"/>
  <c r="C201" i="121"/>
  <c r="G201" i="121"/>
  <c r="B201" i="121"/>
  <c r="F202" i="121"/>
  <c r="C202" i="121"/>
  <c r="G202" i="121"/>
  <c r="B202" i="121"/>
  <c r="F203" i="121"/>
  <c r="C203" i="121"/>
  <c r="G203" i="121"/>
  <c r="B203" i="121"/>
  <c r="F204" i="121"/>
  <c r="C204" i="121"/>
  <c r="G204" i="121"/>
  <c r="B204" i="121"/>
  <c r="F205" i="121"/>
  <c r="C205" i="121"/>
  <c r="G205" i="121"/>
  <c r="B205" i="121"/>
  <c r="F206" i="121"/>
  <c r="C206" i="121"/>
  <c r="G206" i="121"/>
  <c r="B206" i="121"/>
  <c r="F207" i="121"/>
  <c r="C207" i="121"/>
  <c r="G207" i="121"/>
  <c r="B207" i="121"/>
  <c r="F208" i="121"/>
  <c r="C208" i="121"/>
  <c r="G208" i="121"/>
  <c r="B208" i="121"/>
  <c r="F209" i="121"/>
  <c r="C209" i="121"/>
  <c r="G209" i="121"/>
  <c r="B209" i="121"/>
  <c r="F210" i="121"/>
  <c r="C210" i="121"/>
  <c r="G210" i="121"/>
  <c r="B210" i="121"/>
  <c r="F211" i="121"/>
  <c r="C211" i="121"/>
  <c r="G211" i="121"/>
  <c r="B211" i="121"/>
  <c r="F212" i="121"/>
  <c r="C212" i="121"/>
  <c r="G212" i="121"/>
  <c r="B212" i="121"/>
  <c r="F213" i="121"/>
  <c r="C213" i="121"/>
  <c r="G213" i="121"/>
  <c r="B213" i="121"/>
  <c r="F214" i="121"/>
  <c r="C214" i="121"/>
  <c r="G214" i="121"/>
  <c r="B214" i="121"/>
  <c r="F215" i="121"/>
  <c r="C215" i="121"/>
  <c r="G215" i="121"/>
  <c r="B215" i="121"/>
  <c r="F216" i="121"/>
  <c r="C216" i="121"/>
  <c r="G216" i="121"/>
  <c r="B216" i="121"/>
  <c r="F217" i="121"/>
  <c r="C217" i="121"/>
  <c r="G217" i="121"/>
  <c r="B217" i="121"/>
  <c r="F218" i="121"/>
  <c r="C218" i="121"/>
  <c r="G218" i="121"/>
  <c r="B218" i="121"/>
  <c r="F219" i="121"/>
  <c r="C219" i="121"/>
  <c r="G219" i="121"/>
  <c r="B219" i="121"/>
  <c r="F220" i="121"/>
  <c r="C220" i="121"/>
  <c r="G220" i="121"/>
  <c r="B220" i="121"/>
  <c r="F221" i="121"/>
  <c r="C221" i="121"/>
  <c r="G221" i="121"/>
  <c r="B221" i="121"/>
  <c r="F222" i="121"/>
  <c r="C222" i="121"/>
  <c r="G222" i="121"/>
  <c r="B222" i="121"/>
  <c r="F223" i="121"/>
  <c r="C223" i="121"/>
  <c r="G223" i="121"/>
  <c r="B223" i="121"/>
  <c r="F224" i="121"/>
  <c r="C224" i="121"/>
  <c r="G224" i="121"/>
  <c r="B224" i="121"/>
  <c r="F225" i="121"/>
  <c r="C225" i="121"/>
  <c r="G225" i="121"/>
  <c r="B225" i="121"/>
  <c r="F226" i="121"/>
  <c r="C226" i="121"/>
  <c r="G226" i="121"/>
  <c r="B226" i="121"/>
  <c r="F227" i="121"/>
  <c r="C227" i="121"/>
  <c r="G227" i="121"/>
  <c r="B227" i="121"/>
  <c r="F228" i="121"/>
  <c r="C228" i="121"/>
  <c r="G228" i="121"/>
  <c r="B228" i="121"/>
  <c r="F229" i="121"/>
  <c r="C229" i="121"/>
  <c r="G229" i="121"/>
  <c r="B229" i="121"/>
  <c r="F230" i="121"/>
  <c r="C230" i="121"/>
  <c r="G230" i="121"/>
  <c r="B230" i="121"/>
  <c r="F231" i="121"/>
  <c r="C231" i="121"/>
  <c r="G231" i="121"/>
  <c r="B231" i="121"/>
  <c r="F232" i="121"/>
  <c r="C232" i="121"/>
  <c r="G232" i="121"/>
  <c r="B232" i="121"/>
  <c r="F233" i="121"/>
  <c r="C233" i="121"/>
  <c r="G233" i="121"/>
  <c r="B233" i="121"/>
  <c r="F234" i="121"/>
  <c r="C234" i="121"/>
  <c r="G234" i="121"/>
  <c r="B234" i="121"/>
  <c r="F235" i="121"/>
  <c r="C235" i="121"/>
  <c r="G235" i="121"/>
  <c r="B235" i="121"/>
  <c r="F236" i="121"/>
  <c r="C236" i="121"/>
  <c r="G236" i="121"/>
  <c r="B236" i="121"/>
  <c r="F237" i="121"/>
  <c r="C237" i="121"/>
  <c r="G237" i="121"/>
  <c r="B237" i="121"/>
  <c r="F238" i="121"/>
  <c r="C238" i="121"/>
  <c r="G238" i="121"/>
  <c r="B238" i="121"/>
  <c r="F239" i="121"/>
  <c r="C239" i="121"/>
  <c r="G239" i="121"/>
  <c r="B239" i="121"/>
  <c r="F240" i="121"/>
  <c r="C240" i="121"/>
  <c r="G240" i="121"/>
  <c r="B240" i="121"/>
  <c r="F241" i="121"/>
  <c r="C241" i="121"/>
  <c r="G241" i="121"/>
  <c r="B241" i="121"/>
  <c r="F242" i="121"/>
  <c r="C242" i="121"/>
  <c r="G242" i="121"/>
  <c r="B242" i="121"/>
  <c r="F243" i="121"/>
  <c r="C243" i="121"/>
  <c r="G243" i="121"/>
  <c r="B243" i="121"/>
  <c r="F244" i="121"/>
  <c r="C244" i="121"/>
  <c r="G244" i="121"/>
  <c r="B244" i="121"/>
  <c r="F245" i="121"/>
  <c r="C245" i="121"/>
  <c r="G245" i="121"/>
  <c r="B245" i="121"/>
  <c r="F246" i="121"/>
  <c r="C246" i="121"/>
  <c r="G246" i="121"/>
  <c r="B246" i="121"/>
  <c r="F247" i="121"/>
  <c r="C247" i="121"/>
  <c r="G247" i="121"/>
  <c r="B247" i="121"/>
  <c r="F248" i="121"/>
  <c r="C248" i="121"/>
  <c r="G248" i="121"/>
  <c r="B248" i="121"/>
  <c r="F249" i="121"/>
  <c r="C249" i="121"/>
  <c r="G249" i="121"/>
  <c r="B249" i="121"/>
  <c r="F250" i="121"/>
  <c r="C250" i="121"/>
  <c r="G250" i="121"/>
  <c r="B250" i="121"/>
  <c r="F251" i="121"/>
  <c r="C251" i="121"/>
  <c r="G251" i="121"/>
  <c r="B251" i="121"/>
  <c r="F252" i="121"/>
  <c r="C252" i="121"/>
  <c r="G252" i="121"/>
  <c r="B252" i="121"/>
  <c r="F253" i="121"/>
  <c r="C253" i="121"/>
  <c r="G253" i="121"/>
  <c r="B253" i="121"/>
  <c r="F254" i="121"/>
  <c r="C254" i="121"/>
  <c r="G254" i="121"/>
  <c r="B254" i="121"/>
  <c r="F255" i="121"/>
  <c r="C255" i="121"/>
  <c r="G255" i="121"/>
  <c r="B255" i="121"/>
  <c r="E22" i="120"/>
  <c r="H22" i="120"/>
  <c r="E19" i="120"/>
  <c r="H19" i="120"/>
  <c r="M53" i="124"/>
  <c r="K53" i="124"/>
  <c r="J53" i="124"/>
  <c r="I53" i="124"/>
  <c r="H53" i="124"/>
  <c r="F53" i="124"/>
  <c r="E53" i="124"/>
  <c r="S52" i="124"/>
  <c r="R52" i="124"/>
  <c r="Q52" i="124"/>
  <c r="P52" i="124"/>
  <c r="O52" i="124"/>
  <c r="N52" i="124"/>
  <c r="M52" i="124"/>
  <c r="K52" i="124"/>
  <c r="J52" i="124"/>
  <c r="I52" i="124"/>
  <c r="H52" i="124"/>
  <c r="F52" i="124"/>
  <c r="E52" i="124"/>
  <c r="S51" i="124"/>
  <c r="R51" i="124"/>
  <c r="Q51" i="124"/>
  <c r="P51" i="124"/>
  <c r="O51" i="124"/>
  <c r="N51" i="124"/>
  <c r="M51" i="124"/>
  <c r="K51" i="124"/>
  <c r="J51" i="124"/>
  <c r="I51" i="124"/>
  <c r="H51" i="124"/>
  <c r="F51" i="124"/>
  <c r="E51" i="124"/>
  <c r="S50" i="124"/>
  <c r="R50" i="124"/>
  <c r="Q50" i="124"/>
  <c r="P50" i="124"/>
  <c r="O50" i="124"/>
  <c r="N50" i="124"/>
  <c r="M50" i="124"/>
  <c r="K50" i="124"/>
  <c r="J50" i="124"/>
  <c r="I50" i="124"/>
  <c r="H50" i="124"/>
  <c r="F50" i="124"/>
  <c r="E50" i="124"/>
  <c r="S49" i="124"/>
  <c r="R49" i="124"/>
  <c r="Q49" i="124"/>
  <c r="P49" i="124"/>
  <c r="O49" i="124"/>
  <c r="N49" i="124"/>
  <c r="M49" i="124"/>
  <c r="K49" i="124"/>
  <c r="J49" i="124"/>
  <c r="I49" i="124"/>
  <c r="H49" i="124"/>
  <c r="F49" i="124"/>
  <c r="E49" i="124"/>
  <c r="S48" i="124"/>
  <c r="R48" i="124"/>
  <c r="Q48" i="124"/>
  <c r="P48" i="124"/>
  <c r="O48" i="124"/>
  <c r="N48" i="124"/>
  <c r="M48" i="124"/>
  <c r="K48" i="124"/>
  <c r="J48" i="124"/>
  <c r="I48" i="124"/>
  <c r="H48" i="124"/>
  <c r="F48" i="124"/>
  <c r="E48" i="124"/>
  <c r="S47" i="124"/>
  <c r="R47" i="124"/>
  <c r="Q47" i="124"/>
  <c r="P47" i="124"/>
  <c r="O47" i="124"/>
  <c r="N47" i="124"/>
  <c r="M47" i="124"/>
  <c r="K47" i="124"/>
  <c r="J47" i="124"/>
  <c r="I47" i="124"/>
  <c r="H47" i="124"/>
  <c r="F47" i="124"/>
  <c r="E47" i="124"/>
  <c r="S46" i="124"/>
  <c r="R46" i="124"/>
  <c r="Q46" i="124"/>
  <c r="P46" i="124"/>
  <c r="O46" i="124"/>
  <c r="N46" i="124"/>
  <c r="M46" i="124"/>
  <c r="K46" i="124"/>
  <c r="J46" i="124"/>
  <c r="I46" i="124"/>
  <c r="H46" i="124"/>
  <c r="F46" i="124"/>
  <c r="E46" i="124"/>
  <c r="S45" i="124"/>
  <c r="R45" i="124"/>
  <c r="Q45" i="124"/>
  <c r="P45" i="124"/>
  <c r="O45" i="124"/>
  <c r="N45" i="124"/>
  <c r="M45" i="124"/>
  <c r="K45" i="124"/>
  <c r="J45" i="124"/>
  <c r="I45" i="124"/>
  <c r="H45" i="124"/>
  <c r="F45" i="124"/>
  <c r="E45" i="124"/>
  <c r="S44" i="124"/>
  <c r="R44" i="124"/>
  <c r="Q44" i="124"/>
  <c r="P44" i="124"/>
  <c r="O44" i="124"/>
  <c r="N44" i="124"/>
  <c r="M44" i="124"/>
  <c r="K44" i="124"/>
  <c r="J44" i="124"/>
  <c r="I44" i="124"/>
  <c r="H44" i="124"/>
  <c r="F44" i="124"/>
  <c r="E44" i="124"/>
  <c r="S43" i="124"/>
  <c r="R43" i="124"/>
  <c r="Q43" i="124"/>
  <c r="P43" i="124"/>
  <c r="O43" i="124"/>
  <c r="N43" i="124"/>
  <c r="M43" i="124"/>
  <c r="K43" i="124"/>
  <c r="J43" i="124"/>
  <c r="I43" i="124"/>
  <c r="H43" i="124"/>
  <c r="F43" i="124"/>
  <c r="E43" i="124"/>
  <c r="S42" i="124"/>
  <c r="R42" i="124"/>
  <c r="Q42" i="124"/>
  <c r="P42" i="124"/>
  <c r="O42" i="124"/>
  <c r="N42" i="124"/>
  <c r="M42" i="124"/>
  <c r="K42" i="124"/>
  <c r="J42" i="124"/>
  <c r="I42" i="124"/>
  <c r="H42" i="124"/>
  <c r="F42" i="124"/>
  <c r="E42" i="124"/>
  <c r="S41" i="124"/>
  <c r="R41" i="124"/>
  <c r="Q41" i="124"/>
  <c r="P41" i="124"/>
  <c r="O41" i="124"/>
  <c r="N41" i="124"/>
  <c r="M41" i="124"/>
  <c r="K41" i="124"/>
  <c r="J41" i="124"/>
  <c r="I41" i="124"/>
  <c r="H41" i="124"/>
  <c r="F41" i="124"/>
  <c r="E41" i="124"/>
  <c r="S40" i="124"/>
  <c r="R40" i="124"/>
  <c r="Q40" i="124"/>
  <c r="P40" i="124"/>
  <c r="O40" i="124"/>
  <c r="N40" i="124"/>
  <c r="M40" i="124"/>
  <c r="K40" i="124"/>
  <c r="J40" i="124"/>
  <c r="I40" i="124"/>
  <c r="H40" i="124"/>
  <c r="F40" i="124"/>
  <c r="E40" i="124"/>
  <c r="S39" i="124"/>
  <c r="R39" i="124"/>
  <c r="Q39" i="124"/>
  <c r="P39" i="124"/>
  <c r="O39" i="124"/>
  <c r="N39" i="124"/>
  <c r="M39" i="124"/>
  <c r="K39" i="124"/>
  <c r="J39" i="124"/>
  <c r="I39" i="124"/>
  <c r="H39" i="124"/>
  <c r="F39" i="124"/>
  <c r="E39" i="124"/>
  <c r="S38" i="124"/>
  <c r="R38" i="124"/>
  <c r="Q38" i="124"/>
  <c r="P38" i="124"/>
  <c r="O38" i="124"/>
  <c r="N38" i="124"/>
  <c r="M38" i="124"/>
  <c r="K38" i="124"/>
  <c r="J38" i="124"/>
  <c r="I38" i="124"/>
  <c r="H38" i="124"/>
  <c r="F38" i="124"/>
  <c r="E38" i="124"/>
  <c r="S37" i="124"/>
  <c r="R37" i="124"/>
  <c r="Q37" i="124"/>
  <c r="P37" i="124"/>
  <c r="O37" i="124"/>
  <c r="N37" i="124"/>
  <c r="M37" i="124"/>
  <c r="K37" i="124"/>
  <c r="J37" i="124"/>
  <c r="I37" i="124"/>
  <c r="H37" i="124"/>
  <c r="F37" i="124"/>
  <c r="E37" i="124"/>
  <c r="S36" i="124"/>
  <c r="R36" i="124"/>
  <c r="Q36" i="124"/>
  <c r="P36" i="124"/>
  <c r="O36" i="124"/>
  <c r="N36" i="124"/>
  <c r="M36" i="124"/>
  <c r="K36" i="124"/>
  <c r="J36" i="124"/>
  <c r="I36" i="124"/>
  <c r="H36" i="124"/>
  <c r="F36" i="124"/>
  <c r="E36" i="124"/>
  <c r="S35" i="124"/>
  <c r="R35" i="124"/>
  <c r="Q35" i="124"/>
  <c r="P35" i="124"/>
  <c r="O35" i="124"/>
  <c r="N35" i="124"/>
  <c r="M35" i="124"/>
  <c r="K35" i="124"/>
  <c r="J35" i="124"/>
  <c r="I35" i="124"/>
  <c r="H35" i="124"/>
  <c r="F35" i="124"/>
  <c r="E35" i="124"/>
  <c r="S34" i="124"/>
  <c r="R34" i="124"/>
  <c r="Q34" i="124"/>
  <c r="P34" i="124"/>
  <c r="O34" i="124"/>
  <c r="N34" i="124"/>
  <c r="M34" i="124"/>
  <c r="K34" i="124"/>
  <c r="J34" i="124"/>
  <c r="I34" i="124"/>
  <c r="H34" i="124"/>
  <c r="F34" i="124"/>
  <c r="E34" i="124"/>
  <c r="S33" i="124"/>
  <c r="R33" i="124"/>
  <c r="Q33" i="124"/>
  <c r="P33" i="124"/>
  <c r="O33" i="124"/>
  <c r="N33" i="124"/>
  <c r="M33" i="124"/>
  <c r="K33" i="124"/>
  <c r="J33" i="124"/>
  <c r="I33" i="124"/>
  <c r="H33" i="124"/>
  <c r="F33" i="124"/>
  <c r="E33" i="124"/>
  <c r="S32" i="124"/>
  <c r="R32" i="124"/>
  <c r="Q32" i="124"/>
  <c r="P32" i="124"/>
  <c r="O32" i="124"/>
  <c r="N32" i="124"/>
  <c r="M32" i="124"/>
  <c r="K32" i="124"/>
  <c r="J32" i="124"/>
  <c r="I32" i="124"/>
  <c r="H32" i="124"/>
  <c r="F32" i="124"/>
  <c r="E32" i="124"/>
  <c r="S31" i="124"/>
  <c r="R31" i="124"/>
  <c r="Q31" i="124"/>
  <c r="P31" i="124"/>
  <c r="O31" i="124"/>
  <c r="N31" i="124"/>
  <c r="M31" i="124"/>
  <c r="K31" i="124"/>
  <c r="J31" i="124"/>
  <c r="I31" i="124"/>
  <c r="H31" i="124"/>
  <c r="F31" i="124"/>
  <c r="E31" i="124"/>
  <c r="S30" i="124"/>
  <c r="R30" i="124"/>
  <c r="Q30" i="124"/>
  <c r="P30" i="124"/>
  <c r="O30" i="124"/>
  <c r="N30" i="124"/>
  <c r="M30" i="124"/>
  <c r="K30" i="124"/>
  <c r="J30" i="124"/>
  <c r="I30" i="124"/>
  <c r="H30" i="124"/>
  <c r="F30" i="124"/>
  <c r="E30" i="124"/>
  <c r="S29" i="124"/>
  <c r="R29" i="124"/>
  <c r="Q29" i="124"/>
  <c r="P29" i="124"/>
  <c r="O29" i="124"/>
  <c r="N29" i="124"/>
  <c r="M29" i="124"/>
  <c r="K29" i="124"/>
  <c r="J29" i="124"/>
  <c r="I29" i="124"/>
  <c r="H29" i="124"/>
  <c r="F29" i="124"/>
  <c r="E29" i="124"/>
  <c r="S28" i="124"/>
  <c r="R28" i="124"/>
  <c r="Q28" i="124"/>
  <c r="P28" i="124"/>
  <c r="O28" i="124"/>
  <c r="N28" i="124"/>
  <c r="M28" i="124"/>
  <c r="K28" i="124"/>
  <c r="J28" i="124"/>
  <c r="I28" i="124"/>
  <c r="H28" i="124"/>
  <c r="F28" i="124"/>
  <c r="E28" i="124"/>
  <c r="S27" i="124"/>
  <c r="R27" i="124"/>
  <c r="Q27" i="124"/>
  <c r="P27" i="124"/>
  <c r="O27" i="124"/>
  <c r="N27" i="124"/>
  <c r="M27" i="124"/>
  <c r="K27" i="124"/>
  <c r="J27" i="124"/>
  <c r="I27" i="124"/>
  <c r="H27" i="124"/>
  <c r="F27" i="124"/>
  <c r="E27" i="124"/>
  <c r="S26" i="124"/>
  <c r="R26" i="124"/>
  <c r="Q26" i="124"/>
  <c r="P26" i="124"/>
  <c r="O26" i="124"/>
  <c r="N26" i="124"/>
  <c r="M26" i="124"/>
  <c r="K26" i="124"/>
  <c r="J26" i="124"/>
  <c r="I26" i="124"/>
  <c r="H26" i="124"/>
  <c r="F26" i="124"/>
  <c r="E26" i="124"/>
  <c r="S25" i="124"/>
  <c r="R25" i="124"/>
  <c r="Q25" i="124"/>
  <c r="P25" i="124"/>
  <c r="O25" i="124"/>
  <c r="N25" i="124"/>
  <c r="M25" i="124"/>
  <c r="K25" i="124"/>
  <c r="J25" i="124"/>
  <c r="I25" i="124"/>
  <c r="H25" i="124"/>
  <c r="F25" i="124"/>
  <c r="E25" i="124"/>
  <c r="S24" i="124"/>
  <c r="R24" i="124"/>
  <c r="Q24" i="124"/>
  <c r="P24" i="124"/>
  <c r="O24" i="124"/>
  <c r="N24" i="124"/>
  <c r="M24" i="124"/>
  <c r="K24" i="124"/>
  <c r="J24" i="124"/>
  <c r="I24" i="124"/>
  <c r="H24" i="124"/>
  <c r="F24" i="124"/>
  <c r="E24" i="124"/>
  <c r="S23" i="124"/>
  <c r="R23" i="124"/>
  <c r="Q23" i="124"/>
  <c r="P23" i="124"/>
  <c r="O23" i="124"/>
  <c r="N23" i="124"/>
  <c r="M23" i="124"/>
  <c r="K23" i="124"/>
  <c r="J23" i="124"/>
  <c r="I23" i="124"/>
  <c r="H23" i="124"/>
  <c r="F23" i="124"/>
  <c r="E23" i="124"/>
  <c r="S22" i="124"/>
  <c r="R22" i="124"/>
  <c r="Q22" i="124"/>
  <c r="P22" i="124"/>
  <c r="O22" i="124"/>
  <c r="N22" i="124"/>
  <c r="M22" i="124"/>
  <c r="K22" i="124"/>
  <c r="J22" i="124"/>
  <c r="I22" i="124"/>
  <c r="H22" i="124"/>
  <c r="F22" i="124"/>
  <c r="E22" i="124"/>
  <c r="S21" i="124"/>
  <c r="R21" i="124"/>
  <c r="Q21" i="124"/>
  <c r="P21" i="124"/>
  <c r="O21" i="124"/>
  <c r="N21" i="124"/>
  <c r="M21" i="124"/>
  <c r="K21" i="124"/>
  <c r="J21" i="124"/>
  <c r="I21" i="124"/>
  <c r="H21" i="124"/>
  <c r="F21" i="124"/>
  <c r="E21" i="124"/>
  <c r="S20" i="124"/>
  <c r="R20" i="124"/>
  <c r="Q20" i="124"/>
  <c r="P20" i="124"/>
  <c r="O20" i="124"/>
  <c r="N20" i="124"/>
  <c r="M20" i="124"/>
  <c r="K20" i="124"/>
  <c r="J20" i="124"/>
  <c r="I20" i="124"/>
  <c r="H20" i="124"/>
  <c r="F20" i="124"/>
  <c r="E20" i="124"/>
  <c r="S19" i="124"/>
  <c r="R19" i="124"/>
  <c r="Q19" i="124"/>
  <c r="P19" i="124"/>
  <c r="O19" i="124"/>
  <c r="N19" i="124"/>
  <c r="M19" i="124"/>
  <c r="K19" i="124"/>
  <c r="J19" i="124"/>
  <c r="I19" i="124"/>
  <c r="H19" i="124"/>
  <c r="F19" i="124"/>
  <c r="E19" i="124"/>
  <c r="S18" i="124"/>
  <c r="R18" i="124"/>
  <c r="Q18" i="124"/>
  <c r="P18" i="124"/>
  <c r="O18" i="124"/>
  <c r="N18" i="124"/>
  <c r="M18" i="124"/>
  <c r="K18" i="124"/>
  <c r="J18" i="124"/>
  <c r="I18" i="124"/>
  <c r="H18" i="124"/>
  <c r="F18" i="124"/>
  <c r="E18" i="124"/>
  <c r="S17" i="124"/>
  <c r="R17" i="124"/>
  <c r="Q17" i="124"/>
  <c r="P17" i="124"/>
  <c r="O17" i="124"/>
  <c r="N17" i="124"/>
  <c r="M17" i="124"/>
  <c r="K17" i="124"/>
  <c r="J17" i="124"/>
  <c r="I17" i="124"/>
  <c r="H17" i="124"/>
  <c r="F17" i="124"/>
  <c r="E17" i="124"/>
  <c r="S16" i="124"/>
  <c r="R16" i="124"/>
  <c r="Q16" i="124"/>
  <c r="P16" i="124"/>
  <c r="O16" i="124"/>
  <c r="N16" i="124"/>
  <c r="M16" i="124"/>
  <c r="K16" i="124"/>
  <c r="J16" i="124"/>
  <c r="I16" i="124"/>
  <c r="H16" i="124"/>
  <c r="F16" i="124"/>
  <c r="E16" i="124"/>
  <c r="S15" i="124"/>
  <c r="R15" i="124"/>
  <c r="Q15" i="124"/>
  <c r="P15" i="124"/>
  <c r="O15" i="124"/>
  <c r="N15" i="124"/>
  <c r="M15" i="124"/>
  <c r="K15" i="124"/>
  <c r="J15" i="124"/>
  <c r="I15" i="124"/>
  <c r="H15" i="124"/>
  <c r="F15" i="124"/>
  <c r="E15" i="124"/>
  <c r="S14" i="124"/>
  <c r="R14" i="124"/>
  <c r="Q14" i="124"/>
  <c r="P14" i="124"/>
  <c r="O14" i="124"/>
  <c r="N14" i="124"/>
  <c r="M14" i="124"/>
  <c r="K14" i="124"/>
  <c r="J14" i="124"/>
  <c r="I14" i="124"/>
  <c r="H14" i="124"/>
  <c r="F14" i="124"/>
  <c r="E14" i="124"/>
  <c r="S13" i="124"/>
  <c r="R13" i="124"/>
  <c r="Q13" i="124"/>
  <c r="P13" i="124"/>
  <c r="O13" i="124"/>
  <c r="N13" i="124"/>
  <c r="M13" i="124"/>
  <c r="K13" i="124"/>
  <c r="J13" i="124"/>
  <c r="I13" i="124"/>
  <c r="H13" i="124"/>
  <c r="F13" i="124"/>
  <c r="E13" i="124"/>
  <c r="S12" i="124"/>
  <c r="R12" i="124"/>
  <c r="Q12" i="124"/>
  <c r="P12" i="124"/>
  <c r="O12" i="124"/>
  <c r="N12" i="124"/>
  <c r="M12" i="124"/>
  <c r="K12" i="124"/>
  <c r="J12" i="124"/>
  <c r="I12" i="124"/>
  <c r="H12" i="124"/>
  <c r="F12" i="124"/>
  <c r="E12" i="124"/>
  <c r="S11" i="124"/>
  <c r="R11" i="124"/>
  <c r="Q11" i="124"/>
  <c r="P11" i="124"/>
  <c r="O11" i="124"/>
  <c r="N11" i="124"/>
  <c r="M11" i="124"/>
  <c r="K11" i="124"/>
  <c r="J11" i="124"/>
  <c r="I11" i="124"/>
  <c r="H11" i="124"/>
  <c r="F11" i="124"/>
  <c r="E11" i="124"/>
  <c r="S10" i="124"/>
  <c r="R10" i="124"/>
  <c r="Q10" i="124"/>
  <c r="P10" i="124"/>
  <c r="O10" i="124"/>
  <c r="N10" i="124"/>
  <c r="M10" i="124"/>
  <c r="K10" i="124"/>
  <c r="J10" i="124"/>
  <c r="I10" i="124"/>
  <c r="H10" i="124"/>
  <c r="F10" i="124"/>
  <c r="E10" i="124"/>
  <c r="S9" i="124"/>
  <c r="R9" i="124"/>
  <c r="Q9" i="124"/>
  <c r="P9" i="124"/>
  <c r="O9" i="124"/>
  <c r="N9" i="124"/>
  <c r="M9" i="124"/>
  <c r="K9" i="124"/>
  <c r="J9" i="124"/>
  <c r="I9" i="124"/>
  <c r="H9" i="124"/>
  <c r="F9" i="124"/>
  <c r="E9" i="124"/>
  <c r="S8" i="124"/>
  <c r="R8" i="124"/>
  <c r="Q8" i="124"/>
  <c r="P8" i="124"/>
  <c r="O8" i="124"/>
  <c r="N8" i="124"/>
  <c r="M8" i="124"/>
  <c r="K8" i="124"/>
  <c r="J8" i="124"/>
  <c r="I8" i="124"/>
  <c r="H8" i="124"/>
  <c r="F8" i="124"/>
  <c r="E8" i="124"/>
  <c r="S7" i="124"/>
  <c r="R7" i="124"/>
  <c r="Q7" i="124"/>
  <c r="P7" i="124"/>
  <c r="O7" i="124"/>
  <c r="N7" i="124"/>
  <c r="M7" i="124"/>
  <c r="K7" i="124"/>
  <c r="J7" i="124"/>
  <c r="I7" i="124"/>
  <c r="H7" i="124"/>
  <c r="F7" i="124"/>
  <c r="E7" i="124"/>
  <c r="S6" i="124"/>
  <c r="R6" i="124"/>
  <c r="Q6" i="124"/>
  <c r="P6" i="124"/>
  <c r="O6" i="124"/>
  <c r="N6" i="124"/>
  <c r="M6" i="124"/>
  <c r="K6" i="124"/>
  <c r="J6" i="124"/>
  <c r="I6" i="124"/>
  <c r="H6" i="124"/>
  <c r="F6" i="124"/>
  <c r="E6" i="124"/>
  <c r="S5" i="124"/>
  <c r="R5" i="124"/>
  <c r="Q5" i="124"/>
  <c r="P5" i="124"/>
  <c r="O5" i="124"/>
  <c r="N5" i="124"/>
  <c r="M5" i="124"/>
  <c r="K5" i="124"/>
  <c r="J5" i="124"/>
  <c r="I5" i="124"/>
  <c r="H5" i="124"/>
  <c r="F5" i="124"/>
  <c r="E5" i="124"/>
  <c r="S4" i="124"/>
  <c r="R4" i="124"/>
  <c r="Q4" i="124"/>
  <c r="P4" i="124"/>
  <c r="O4" i="124"/>
  <c r="N4" i="124"/>
  <c r="M4" i="124"/>
  <c r="K4" i="124"/>
  <c r="J4" i="124"/>
  <c r="I4" i="124"/>
  <c r="H4" i="124"/>
  <c r="F4" i="124"/>
  <c r="E4" i="124"/>
  <c r="S3" i="124"/>
  <c r="R3" i="124"/>
  <c r="Q3" i="124"/>
  <c r="P3" i="124"/>
  <c r="O3" i="124"/>
  <c r="N3" i="124"/>
  <c r="M3" i="124"/>
  <c r="K3" i="124"/>
  <c r="J3" i="124"/>
  <c r="I3" i="124"/>
  <c r="H3" i="124"/>
  <c r="F3" i="124"/>
  <c r="E3" i="124"/>
  <c r="S2" i="124"/>
  <c r="R2" i="124"/>
  <c r="Q2" i="124"/>
  <c r="P2" i="124"/>
  <c r="O2" i="124"/>
  <c r="N2" i="124"/>
  <c r="M2" i="124"/>
  <c r="K2" i="124"/>
  <c r="J2" i="124"/>
  <c r="I2" i="124"/>
  <c r="H2" i="124"/>
  <c r="F2" i="124"/>
  <c r="E2" i="124"/>
  <c r="E10" i="103"/>
  <c r="E8" i="103"/>
  <c r="E7" i="103"/>
  <c r="E6" i="103"/>
  <c r="E9" i="103"/>
  <c r="E11" i="103"/>
  <c r="E5" i="103"/>
  <c r="E4" i="103"/>
  <c r="E21" i="120"/>
  <c r="H21" i="120"/>
  <c r="E3" i="123"/>
  <c r="F3" i="123"/>
  <c r="G3" i="123"/>
  <c r="H3" i="123"/>
  <c r="I3" i="123"/>
  <c r="J3" i="123"/>
  <c r="K3" i="123"/>
  <c r="M3" i="123"/>
  <c r="N3" i="123"/>
  <c r="O3" i="123"/>
  <c r="P3" i="123"/>
  <c r="Q3" i="123"/>
  <c r="R3" i="123"/>
  <c r="S3" i="123"/>
  <c r="E4" i="123"/>
  <c r="F4" i="123"/>
  <c r="G4" i="123"/>
  <c r="H4" i="123"/>
  <c r="I4" i="123"/>
  <c r="J4" i="123"/>
  <c r="K4" i="123"/>
  <c r="M4" i="123"/>
  <c r="N4" i="123"/>
  <c r="O4" i="123"/>
  <c r="P4" i="123"/>
  <c r="Q4" i="123"/>
  <c r="R4" i="123"/>
  <c r="S4" i="123"/>
  <c r="E5" i="123"/>
  <c r="F5" i="123"/>
  <c r="G5" i="123"/>
  <c r="H5" i="123"/>
  <c r="I5" i="123"/>
  <c r="J5" i="123"/>
  <c r="K5" i="123"/>
  <c r="M5" i="123"/>
  <c r="N5" i="123"/>
  <c r="O5" i="123"/>
  <c r="P5" i="123"/>
  <c r="Q5" i="123"/>
  <c r="R5" i="123"/>
  <c r="S5" i="123"/>
  <c r="E6" i="123"/>
  <c r="F6" i="123"/>
  <c r="G6" i="123"/>
  <c r="H6" i="123"/>
  <c r="I6" i="123"/>
  <c r="J6" i="123"/>
  <c r="K6" i="123"/>
  <c r="M6" i="123"/>
  <c r="N6" i="123"/>
  <c r="O6" i="123"/>
  <c r="P6" i="123"/>
  <c r="Q6" i="123"/>
  <c r="R6" i="123"/>
  <c r="S6" i="123"/>
  <c r="E7" i="123"/>
  <c r="F7" i="123"/>
  <c r="G7" i="123"/>
  <c r="H7" i="123"/>
  <c r="I7" i="123"/>
  <c r="J7" i="123"/>
  <c r="K7" i="123"/>
  <c r="M7" i="123"/>
  <c r="N7" i="123"/>
  <c r="O7" i="123"/>
  <c r="P7" i="123"/>
  <c r="Q7" i="123"/>
  <c r="R7" i="123"/>
  <c r="S7" i="123"/>
  <c r="E8" i="123"/>
  <c r="F8" i="123"/>
  <c r="G8" i="123"/>
  <c r="H8" i="123"/>
  <c r="I8" i="123"/>
  <c r="J8" i="123"/>
  <c r="K8" i="123"/>
  <c r="M8" i="123"/>
  <c r="N8" i="123"/>
  <c r="O8" i="123"/>
  <c r="P8" i="123"/>
  <c r="Q8" i="123"/>
  <c r="R8" i="123"/>
  <c r="S8" i="123"/>
  <c r="E9" i="123"/>
  <c r="F9" i="123"/>
  <c r="G9" i="123"/>
  <c r="H9" i="123"/>
  <c r="I9" i="123"/>
  <c r="J9" i="123"/>
  <c r="K9" i="123"/>
  <c r="M9" i="123"/>
  <c r="N9" i="123"/>
  <c r="O9" i="123"/>
  <c r="P9" i="123"/>
  <c r="Q9" i="123"/>
  <c r="R9" i="123"/>
  <c r="S9" i="123"/>
  <c r="E10" i="123"/>
  <c r="F10" i="123"/>
  <c r="G10" i="123"/>
  <c r="H10" i="123"/>
  <c r="I10" i="123"/>
  <c r="J10" i="123"/>
  <c r="K10" i="123"/>
  <c r="M10" i="123"/>
  <c r="N10" i="123"/>
  <c r="O10" i="123"/>
  <c r="P10" i="123"/>
  <c r="Q10" i="123"/>
  <c r="R10" i="123"/>
  <c r="S10" i="123"/>
  <c r="E11" i="123"/>
  <c r="F11" i="123"/>
  <c r="G11" i="123"/>
  <c r="H11" i="123"/>
  <c r="I11" i="123"/>
  <c r="J11" i="123"/>
  <c r="K11" i="123"/>
  <c r="M11" i="123"/>
  <c r="N11" i="123"/>
  <c r="O11" i="123"/>
  <c r="P11" i="123"/>
  <c r="Q11" i="123"/>
  <c r="R11" i="123"/>
  <c r="S11" i="123"/>
  <c r="E12" i="123"/>
  <c r="F12" i="123"/>
  <c r="G12" i="123"/>
  <c r="H12" i="123"/>
  <c r="I12" i="123"/>
  <c r="J12" i="123"/>
  <c r="K12" i="123"/>
  <c r="M12" i="123"/>
  <c r="N12" i="123"/>
  <c r="O12" i="123"/>
  <c r="P12" i="123"/>
  <c r="Q12" i="123"/>
  <c r="R12" i="123"/>
  <c r="S12" i="123"/>
  <c r="E13" i="123"/>
  <c r="F13" i="123"/>
  <c r="G13" i="123"/>
  <c r="H13" i="123"/>
  <c r="I13" i="123"/>
  <c r="J13" i="123"/>
  <c r="K13" i="123"/>
  <c r="M13" i="123"/>
  <c r="N13" i="123"/>
  <c r="O13" i="123"/>
  <c r="P13" i="123"/>
  <c r="Q13" i="123"/>
  <c r="R13" i="123"/>
  <c r="S13" i="123"/>
  <c r="E14" i="123"/>
  <c r="F14" i="123"/>
  <c r="G14" i="123"/>
  <c r="H14" i="123"/>
  <c r="I14" i="123"/>
  <c r="J14" i="123"/>
  <c r="K14" i="123"/>
  <c r="M14" i="123"/>
  <c r="N14" i="123"/>
  <c r="O14" i="123"/>
  <c r="P14" i="123"/>
  <c r="Q14" i="123"/>
  <c r="R14" i="123"/>
  <c r="S14" i="123"/>
  <c r="E15" i="123"/>
  <c r="F15" i="123"/>
  <c r="G15" i="123"/>
  <c r="H15" i="123"/>
  <c r="I15" i="123"/>
  <c r="J15" i="123"/>
  <c r="K15" i="123"/>
  <c r="M15" i="123"/>
  <c r="N15" i="123"/>
  <c r="O15" i="123"/>
  <c r="P15" i="123"/>
  <c r="Q15" i="123"/>
  <c r="R15" i="123"/>
  <c r="S15" i="123"/>
  <c r="E16" i="123"/>
  <c r="F16" i="123"/>
  <c r="G16" i="123"/>
  <c r="H16" i="123"/>
  <c r="I16" i="123"/>
  <c r="J16" i="123"/>
  <c r="K16" i="123"/>
  <c r="M16" i="123"/>
  <c r="N16" i="123"/>
  <c r="O16" i="123"/>
  <c r="P16" i="123"/>
  <c r="Q16" i="123"/>
  <c r="R16" i="123"/>
  <c r="S16" i="123"/>
  <c r="E17" i="123"/>
  <c r="F17" i="123"/>
  <c r="G17" i="123"/>
  <c r="H17" i="123"/>
  <c r="I17" i="123"/>
  <c r="J17" i="123"/>
  <c r="K17" i="123"/>
  <c r="M17" i="123"/>
  <c r="N17" i="123"/>
  <c r="O17" i="123"/>
  <c r="P17" i="123"/>
  <c r="Q17" i="123"/>
  <c r="R17" i="123"/>
  <c r="S17" i="123"/>
  <c r="E18" i="123"/>
  <c r="F18" i="123"/>
  <c r="G18" i="123"/>
  <c r="H18" i="123"/>
  <c r="I18" i="123"/>
  <c r="J18" i="123"/>
  <c r="K18" i="123"/>
  <c r="M18" i="123"/>
  <c r="N18" i="123"/>
  <c r="O18" i="123"/>
  <c r="P18" i="123"/>
  <c r="Q18" i="123"/>
  <c r="R18" i="123"/>
  <c r="S18" i="123"/>
  <c r="E19" i="123"/>
  <c r="F19" i="123"/>
  <c r="G19" i="123"/>
  <c r="H19" i="123"/>
  <c r="I19" i="123"/>
  <c r="J19" i="123"/>
  <c r="K19" i="123"/>
  <c r="M19" i="123"/>
  <c r="N19" i="123"/>
  <c r="O19" i="123"/>
  <c r="P19" i="123"/>
  <c r="Q19" i="123"/>
  <c r="R19" i="123"/>
  <c r="S19" i="123"/>
  <c r="E20" i="123"/>
  <c r="F20" i="123"/>
  <c r="G20" i="123"/>
  <c r="H20" i="123"/>
  <c r="I20" i="123"/>
  <c r="J20" i="123"/>
  <c r="K20" i="123"/>
  <c r="M20" i="123"/>
  <c r="N20" i="123"/>
  <c r="O20" i="123"/>
  <c r="P20" i="123"/>
  <c r="Q20" i="123"/>
  <c r="R20" i="123"/>
  <c r="S20" i="123"/>
  <c r="E21" i="123"/>
  <c r="F21" i="123"/>
  <c r="G21" i="123"/>
  <c r="H21" i="123"/>
  <c r="I21" i="123"/>
  <c r="J21" i="123"/>
  <c r="K21" i="123"/>
  <c r="M21" i="123"/>
  <c r="N21" i="123"/>
  <c r="O21" i="123"/>
  <c r="P21" i="123"/>
  <c r="Q21" i="123"/>
  <c r="R21" i="123"/>
  <c r="S21" i="123"/>
  <c r="E22" i="123"/>
  <c r="F22" i="123"/>
  <c r="G22" i="123"/>
  <c r="H22" i="123"/>
  <c r="I22" i="123"/>
  <c r="J22" i="123"/>
  <c r="K22" i="123"/>
  <c r="M22" i="123"/>
  <c r="N22" i="123"/>
  <c r="O22" i="123"/>
  <c r="P22" i="123"/>
  <c r="Q22" i="123"/>
  <c r="R22" i="123"/>
  <c r="S22" i="123"/>
  <c r="E23" i="123"/>
  <c r="F23" i="123"/>
  <c r="G23" i="123"/>
  <c r="H23" i="123"/>
  <c r="I23" i="123"/>
  <c r="J23" i="123"/>
  <c r="K23" i="123"/>
  <c r="M23" i="123"/>
  <c r="N23" i="123"/>
  <c r="O23" i="123"/>
  <c r="P23" i="123"/>
  <c r="Q23" i="123"/>
  <c r="R23" i="123"/>
  <c r="S23" i="123"/>
  <c r="E24" i="123"/>
  <c r="F24" i="123"/>
  <c r="G24" i="123"/>
  <c r="H24" i="123"/>
  <c r="I24" i="123"/>
  <c r="J24" i="123"/>
  <c r="K24" i="123"/>
  <c r="M24" i="123"/>
  <c r="N24" i="123"/>
  <c r="O24" i="123"/>
  <c r="P24" i="123"/>
  <c r="Q24" i="123"/>
  <c r="R24" i="123"/>
  <c r="S24" i="123"/>
  <c r="E25" i="123"/>
  <c r="F25" i="123"/>
  <c r="G25" i="123"/>
  <c r="H25" i="123"/>
  <c r="I25" i="123"/>
  <c r="J25" i="123"/>
  <c r="K25" i="123"/>
  <c r="M25" i="123"/>
  <c r="N25" i="123"/>
  <c r="O25" i="123"/>
  <c r="P25" i="123"/>
  <c r="Q25" i="123"/>
  <c r="R25" i="123"/>
  <c r="S25" i="123"/>
  <c r="E26" i="123"/>
  <c r="F26" i="123"/>
  <c r="G26" i="123"/>
  <c r="H26" i="123"/>
  <c r="I26" i="123"/>
  <c r="J26" i="123"/>
  <c r="K26" i="123"/>
  <c r="M26" i="123"/>
  <c r="N26" i="123"/>
  <c r="O26" i="123"/>
  <c r="P26" i="123"/>
  <c r="Q26" i="123"/>
  <c r="R26" i="123"/>
  <c r="S26" i="123"/>
  <c r="E27" i="123"/>
  <c r="F27" i="123"/>
  <c r="G27" i="123"/>
  <c r="H27" i="123"/>
  <c r="I27" i="123"/>
  <c r="J27" i="123"/>
  <c r="K27" i="123"/>
  <c r="M27" i="123"/>
  <c r="N27" i="123"/>
  <c r="O27" i="123"/>
  <c r="P27" i="123"/>
  <c r="Q27" i="123"/>
  <c r="R27" i="123"/>
  <c r="S27" i="123"/>
  <c r="E28" i="123"/>
  <c r="F28" i="123"/>
  <c r="G28" i="123"/>
  <c r="H28" i="123"/>
  <c r="I28" i="123"/>
  <c r="J28" i="123"/>
  <c r="K28" i="123"/>
  <c r="M28" i="123"/>
  <c r="N28" i="123"/>
  <c r="O28" i="123"/>
  <c r="P28" i="123"/>
  <c r="Q28" i="123"/>
  <c r="R28" i="123"/>
  <c r="S28" i="123"/>
  <c r="E29" i="123"/>
  <c r="F29" i="123"/>
  <c r="G29" i="123"/>
  <c r="H29" i="123"/>
  <c r="I29" i="123"/>
  <c r="J29" i="123"/>
  <c r="K29" i="123"/>
  <c r="M29" i="123"/>
  <c r="N29" i="123"/>
  <c r="O29" i="123"/>
  <c r="P29" i="123"/>
  <c r="Q29" i="123"/>
  <c r="R29" i="123"/>
  <c r="S29" i="123"/>
  <c r="E30" i="123"/>
  <c r="F30" i="123"/>
  <c r="G30" i="123"/>
  <c r="H30" i="123"/>
  <c r="I30" i="123"/>
  <c r="J30" i="123"/>
  <c r="K30" i="123"/>
  <c r="M30" i="123"/>
  <c r="N30" i="123"/>
  <c r="O30" i="123"/>
  <c r="P30" i="123"/>
  <c r="Q30" i="123"/>
  <c r="R30" i="123"/>
  <c r="S30" i="123"/>
  <c r="E31" i="123"/>
  <c r="F31" i="123"/>
  <c r="G31" i="123"/>
  <c r="H31" i="123"/>
  <c r="I31" i="123"/>
  <c r="J31" i="123"/>
  <c r="K31" i="123"/>
  <c r="M31" i="123"/>
  <c r="N31" i="123"/>
  <c r="O31" i="123"/>
  <c r="P31" i="123"/>
  <c r="Q31" i="123"/>
  <c r="R31" i="123"/>
  <c r="S31" i="123"/>
  <c r="E32" i="123"/>
  <c r="F32" i="123"/>
  <c r="G32" i="123"/>
  <c r="H32" i="123"/>
  <c r="I32" i="123"/>
  <c r="J32" i="123"/>
  <c r="K32" i="123"/>
  <c r="M32" i="123"/>
  <c r="N32" i="123"/>
  <c r="O32" i="123"/>
  <c r="P32" i="123"/>
  <c r="Q32" i="123"/>
  <c r="R32" i="123"/>
  <c r="S32" i="123"/>
  <c r="E33" i="123"/>
  <c r="F33" i="123"/>
  <c r="G33" i="123"/>
  <c r="H33" i="123"/>
  <c r="I33" i="123"/>
  <c r="J33" i="123"/>
  <c r="K33" i="123"/>
  <c r="M33" i="123"/>
  <c r="N33" i="123"/>
  <c r="O33" i="123"/>
  <c r="P33" i="123"/>
  <c r="Q33" i="123"/>
  <c r="R33" i="123"/>
  <c r="S33" i="123"/>
  <c r="E34" i="123"/>
  <c r="F34" i="123"/>
  <c r="G34" i="123"/>
  <c r="H34" i="123"/>
  <c r="I34" i="123"/>
  <c r="J34" i="123"/>
  <c r="K34" i="123"/>
  <c r="M34" i="123"/>
  <c r="N34" i="123"/>
  <c r="O34" i="123"/>
  <c r="P34" i="123"/>
  <c r="Q34" i="123"/>
  <c r="R34" i="123"/>
  <c r="S34" i="123"/>
  <c r="E35" i="123"/>
  <c r="F35" i="123"/>
  <c r="G35" i="123"/>
  <c r="H35" i="123"/>
  <c r="I35" i="123"/>
  <c r="J35" i="123"/>
  <c r="K35" i="123"/>
  <c r="M35" i="123"/>
  <c r="N35" i="123"/>
  <c r="O35" i="123"/>
  <c r="P35" i="123"/>
  <c r="Q35" i="123"/>
  <c r="R35" i="123"/>
  <c r="S35" i="123"/>
  <c r="E36" i="123"/>
  <c r="F36" i="123"/>
  <c r="G36" i="123"/>
  <c r="H36" i="123"/>
  <c r="I36" i="123"/>
  <c r="J36" i="123"/>
  <c r="K36" i="123"/>
  <c r="M36" i="123"/>
  <c r="N36" i="123"/>
  <c r="O36" i="123"/>
  <c r="P36" i="123"/>
  <c r="Q36" i="123"/>
  <c r="R36" i="123"/>
  <c r="S36" i="123"/>
  <c r="E37" i="123"/>
  <c r="F37" i="123"/>
  <c r="G37" i="123"/>
  <c r="H37" i="123"/>
  <c r="I37" i="123"/>
  <c r="J37" i="123"/>
  <c r="K37" i="123"/>
  <c r="M37" i="123"/>
  <c r="N37" i="123"/>
  <c r="O37" i="123"/>
  <c r="P37" i="123"/>
  <c r="Q37" i="123"/>
  <c r="R37" i="123"/>
  <c r="S37" i="123"/>
  <c r="E38" i="123"/>
  <c r="F38" i="123"/>
  <c r="G38" i="123"/>
  <c r="H38" i="123"/>
  <c r="I38" i="123"/>
  <c r="J38" i="123"/>
  <c r="K38" i="123"/>
  <c r="M38" i="123"/>
  <c r="N38" i="123"/>
  <c r="O38" i="123"/>
  <c r="P38" i="123"/>
  <c r="Q38" i="123"/>
  <c r="R38" i="123"/>
  <c r="S38" i="123"/>
  <c r="E39" i="123"/>
  <c r="F39" i="123"/>
  <c r="G39" i="123"/>
  <c r="H39" i="123"/>
  <c r="I39" i="123"/>
  <c r="J39" i="123"/>
  <c r="K39" i="123"/>
  <c r="M39" i="123"/>
  <c r="N39" i="123"/>
  <c r="O39" i="123"/>
  <c r="P39" i="123"/>
  <c r="Q39" i="123"/>
  <c r="R39" i="123"/>
  <c r="S39" i="123"/>
  <c r="E40" i="123"/>
  <c r="F40" i="123"/>
  <c r="G40" i="123"/>
  <c r="H40" i="123"/>
  <c r="I40" i="123"/>
  <c r="J40" i="123"/>
  <c r="K40" i="123"/>
  <c r="M40" i="123"/>
  <c r="N40" i="123"/>
  <c r="O40" i="123"/>
  <c r="P40" i="123"/>
  <c r="Q40" i="123"/>
  <c r="R40" i="123"/>
  <c r="S40" i="123"/>
  <c r="E41" i="123"/>
  <c r="F41" i="123"/>
  <c r="G41" i="123"/>
  <c r="H41" i="123"/>
  <c r="I41" i="123"/>
  <c r="J41" i="123"/>
  <c r="K41" i="123"/>
  <c r="M41" i="123"/>
  <c r="N41" i="123"/>
  <c r="O41" i="123"/>
  <c r="P41" i="123"/>
  <c r="Q41" i="123"/>
  <c r="R41" i="123"/>
  <c r="S41" i="123"/>
  <c r="E42" i="123"/>
  <c r="F42" i="123"/>
  <c r="G42" i="123"/>
  <c r="H42" i="123"/>
  <c r="I42" i="123"/>
  <c r="J42" i="123"/>
  <c r="K42" i="123"/>
  <c r="M42" i="123"/>
  <c r="N42" i="123"/>
  <c r="O42" i="123"/>
  <c r="P42" i="123"/>
  <c r="Q42" i="123"/>
  <c r="R42" i="123"/>
  <c r="S42" i="123"/>
  <c r="E43" i="123"/>
  <c r="F43" i="123"/>
  <c r="G43" i="123"/>
  <c r="H43" i="123"/>
  <c r="I43" i="123"/>
  <c r="J43" i="123"/>
  <c r="K43" i="123"/>
  <c r="M43" i="123"/>
  <c r="N43" i="123"/>
  <c r="O43" i="123"/>
  <c r="P43" i="123"/>
  <c r="Q43" i="123"/>
  <c r="R43" i="123"/>
  <c r="S43" i="123"/>
  <c r="E44" i="123"/>
  <c r="F44" i="123"/>
  <c r="G44" i="123"/>
  <c r="H44" i="123"/>
  <c r="I44" i="123"/>
  <c r="J44" i="123"/>
  <c r="K44" i="123"/>
  <c r="M44" i="123"/>
  <c r="N44" i="123"/>
  <c r="O44" i="123"/>
  <c r="P44" i="123"/>
  <c r="Q44" i="123"/>
  <c r="R44" i="123"/>
  <c r="S44" i="123"/>
  <c r="E45" i="123"/>
  <c r="F45" i="123"/>
  <c r="G45" i="123"/>
  <c r="H45" i="123"/>
  <c r="I45" i="123"/>
  <c r="J45" i="123"/>
  <c r="K45" i="123"/>
  <c r="M45" i="123"/>
  <c r="N45" i="123"/>
  <c r="O45" i="123"/>
  <c r="P45" i="123"/>
  <c r="Q45" i="123"/>
  <c r="R45" i="123"/>
  <c r="S45" i="123"/>
  <c r="E46" i="123"/>
  <c r="F46" i="123"/>
  <c r="G46" i="123"/>
  <c r="H46" i="123"/>
  <c r="I46" i="123"/>
  <c r="J46" i="123"/>
  <c r="K46" i="123"/>
  <c r="M46" i="123"/>
  <c r="N46" i="123"/>
  <c r="O46" i="123"/>
  <c r="P46" i="123"/>
  <c r="Q46" i="123"/>
  <c r="R46" i="123"/>
  <c r="S46" i="123"/>
  <c r="E47" i="123"/>
  <c r="F47" i="123"/>
  <c r="G47" i="123"/>
  <c r="H47" i="123"/>
  <c r="I47" i="123"/>
  <c r="J47" i="123"/>
  <c r="K47" i="123"/>
  <c r="M47" i="123"/>
  <c r="N47" i="123"/>
  <c r="O47" i="123"/>
  <c r="P47" i="123"/>
  <c r="Q47" i="123"/>
  <c r="R47" i="123"/>
  <c r="S47" i="123"/>
  <c r="E48" i="123"/>
  <c r="F48" i="123"/>
  <c r="G48" i="123"/>
  <c r="H48" i="123"/>
  <c r="I48" i="123"/>
  <c r="J48" i="123"/>
  <c r="K48" i="123"/>
  <c r="M48" i="123"/>
  <c r="N48" i="123"/>
  <c r="O48" i="123"/>
  <c r="P48" i="123"/>
  <c r="Q48" i="123"/>
  <c r="R48" i="123"/>
  <c r="S48" i="123"/>
  <c r="E49" i="123"/>
  <c r="F49" i="123"/>
  <c r="G49" i="123"/>
  <c r="H49" i="123"/>
  <c r="I49" i="123"/>
  <c r="J49" i="123"/>
  <c r="K49" i="123"/>
  <c r="M49" i="123"/>
  <c r="N49" i="123"/>
  <c r="O49" i="123"/>
  <c r="P49" i="123"/>
  <c r="Q49" i="123"/>
  <c r="R49" i="123"/>
  <c r="S49" i="123"/>
  <c r="E50" i="123"/>
  <c r="F50" i="123"/>
  <c r="G50" i="123"/>
  <c r="H50" i="123"/>
  <c r="I50" i="123"/>
  <c r="J50" i="123"/>
  <c r="K50" i="123"/>
  <c r="M50" i="123"/>
  <c r="N50" i="123"/>
  <c r="O50" i="123"/>
  <c r="P50" i="123"/>
  <c r="Q50" i="123"/>
  <c r="R50" i="123"/>
  <c r="S50" i="123"/>
  <c r="E51" i="123"/>
  <c r="F51" i="123"/>
  <c r="G51" i="123"/>
  <c r="H51" i="123"/>
  <c r="I51" i="123"/>
  <c r="J51" i="123"/>
  <c r="K51" i="123"/>
  <c r="M51" i="123"/>
  <c r="N51" i="123"/>
  <c r="O51" i="123"/>
  <c r="P51" i="123"/>
  <c r="Q51" i="123"/>
  <c r="R51" i="123"/>
  <c r="S51" i="123"/>
  <c r="E52" i="123"/>
  <c r="F52" i="123"/>
  <c r="G52" i="123"/>
  <c r="H52" i="123"/>
  <c r="I52" i="123"/>
  <c r="J52" i="123"/>
  <c r="K52" i="123"/>
  <c r="M52" i="123"/>
  <c r="N52" i="123"/>
  <c r="O52" i="123"/>
  <c r="P52" i="123"/>
  <c r="Q52" i="123"/>
  <c r="R52" i="123"/>
  <c r="S52" i="123"/>
  <c r="E53" i="123"/>
  <c r="F53" i="123"/>
  <c r="G53" i="123"/>
  <c r="H53" i="123"/>
  <c r="I53" i="123"/>
  <c r="J53" i="123"/>
  <c r="K53" i="123"/>
  <c r="M53" i="123"/>
  <c r="N53" i="123"/>
  <c r="O53" i="123"/>
  <c r="P53" i="123"/>
  <c r="Q53" i="123"/>
  <c r="R53" i="123"/>
  <c r="S53" i="123"/>
  <c r="E54" i="123"/>
  <c r="F54" i="123"/>
  <c r="G54" i="123"/>
  <c r="H54" i="123"/>
  <c r="I54" i="123"/>
  <c r="J54" i="123"/>
  <c r="K54" i="123"/>
  <c r="M54" i="123"/>
  <c r="N54" i="123"/>
  <c r="O54" i="123"/>
  <c r="P54" i="123"/>
  <c r="Q54" i="123"/>
  <c r="R54" i="123"/>
  <c r="S54" i="123"/>
  <c r="E55" i="123"/>
  <c r="F55" i="123"/>
  <c r="G55" i="123"/>
  <c r="H55" i="123"/>
  <c r="I55" i="123"/>
  <c r="J55" i="123"/>
  <c r="K55" i="123"/>
  <c r="M55" i="123"/>
  <c r="N55" i="123"/>
  <c r="O55" i="123"/>
  <c r="P55" i="123"/>
  <c r="Q55" i="123"/>
  <c r="R55" i="123"/>
  <c r="S55" i="123"/>
  <c r="E56" i="123"/>
  <c r="F56" i="123"/>
  <c r="G56" i="123"/>
  <c r="H56" i="123"/>
  <c r="I56" i="123"/>
  <c r="J56" i="123"/>
  <c r="K56" i="123"/>
  <c r="M56" i="123"/>
  <c r="N56" i="123"/>
  <c r="O56" i="123"/>
  <c r="P56" i="123"/>
  <c r="Q56" i="123"/>
  <c r="R56" i="123"/>
  <c r="S56" i="123"/>
  <c r="E57" i="123"/>
  <c r="F57" i="123"/>
  <c r="G57" i="123"/>
  <c r="H57" i="123"/>
  <c r="I57" i="123"/>
  <c r="J57" i="123"/>
  <c r="K57" i="123"/>
  <c r="M57" i="123"/>
  <c r="N57" i="123"/>
  <c r="O57" i="123"/>
  <c r="P57" i="123"/>
  <c r="Q57" i="123"/>
  <c r="R57" i="123"/>
  <c r="S57" i="123"/>
  <c r="E58" i="123"/>
  <c r="F58" i="123"/>
  <c r="G58" i="123"/>
  <c r="H58" i="123"/>
  <c r="I58" i="123"/>
  <c r="J58" i="123"/>
  <c r="K58" i="123"/>
  <c r="M58" i="123"/>
  <c r="N58" i="123"/>
  <c r="O58" i="123"/>
  <c r="P58" i="123"/>
  <c r="Q58" i="123"/>
  <c r="R58" i="123"/>
  <c r="S58" i="123"/>
  <c r="E59" i="123"/>
  <c r="F59" i="123"/>
  <c r="G59" i="123"/>
  <c r="H59" i="123"/>
  <c r="I59" i="123"/>
  <c r="J59" i="123"/>
  <c r="K59" i="123"/>
  <c r="M59" i="123"/>
  <c r="N59" i="123"/>
  <c r="O59" i="123"/>
  <c r="P59" i="123"/>
  <c r="Q59" i="123"/>
  <c r="R59" i="123"/>
  <c r="S59" i="123"/>
  <c r="E60" i="123"/>
  <c r="F60" i="123"/>
  <c r="G60" i="123"/>
  <c r="H60" i="123"/>
  <c r="I60" i="123"/>
  <c r="J60" i="123"/>
  <c r="K60" i="123"/>
  <c r="M60" i="123"/>
  <c r="N60" i="123"/>
  <c r="O60" i="123"/>
  <c r="P60" i="123"/>
  <c r="Q60" i="123"/>
  <c r="R60" i="123"/>
  <c r="S60" i="123"/>
  <c r="E61" i="123"/>
  <c r="F61" i="123"/>
  <c r="G61" i="123"/>
  <c r="H61" i="123"/>
  <c r="I61" i="123"/>
  <c r="J61" i="123"/>
  <c r="K61" i="123"/>
  <c r="M61" i="123"/>
  <c r="N61" i="123"/>
  <c r="O61" i="123"/>
  <c r="P61" i="123"/>
  <c r="Q61" i="123"/>
  <c r="R61" i="123"/>
  <c r="S61" i="123"/>
  <c r="E62" i="123"/>
  <c r="F62" i="123"/>
  <c r="G62" i="123"/>
  <c r="H62" i="123"/>
  <c r="I62" i="123"/>
  <c r="J62" i="123"/>
  <c r="K62" i="123"/>
  <c r="M62" i="123"/>
  <c r="N62" i="123"/>
  <c r="O62" i="123"/>
  <c r="P62" i="123"/>
  <c r="Q62" i="123"/>
  <c r="R62" i="123"/>
  <c r="S62" i="123"/>
  <c r="E63" i="123"/>
  <c r="F63" i="123"/>
  <c r="G63" i="123"/>
  <c r="H63" i="123"/>
  <c r="I63" i="123"/>
  <c r="J63" i="123"/>
  <c r="K63" i="123"/>
  <c r="M63" i="123"/>
  <c r="N63" i="123"/>
  <c r="O63" i="123"/>
  <c r="P63" i="123"/>
  <c r="Q63" i="123"/>
  <c r="R63" i="123"/>
  <c r="S63" i="123"/>
  <c r="E64" i="123"/>
  <c r="F64" i="123"/>
  <c r="G64" i="123"/>
  <c r="H64" i="123"/>
  <c r="I64" i="123"/>
  <c r="J64" i="123"/>
  <c r="K64" i="123"/>
  <c r="M64" i="123"/>
  <c r="N64" i="123"/>
  <c r="O64" i="123"/>
  <c r="P64" i="123"/>
  <c r="Q64" i="123"/>
  <c r="R64" i="123"/>
  <c r="S64" i="123"/>
  <c r="E65" i="123"/>
  <c r="F65" i="123"/>
  <c r="G65" i="123"/>
  <c r="H65" i="123"/>
  <c r="I65" i="123"/>
  <c r="J65" i="123"/>
  <c r="K65" i="123"/>
  <c r="M65" i="123"/>
  <c r="N65" i="123"/>
  <c r="O65" i="123"/>
  <c r="P65" i="123"/>
  <c r="Q65" i="123"/>
  <c r="R65" i="123"/>
  <c r="S65" i="123"/>
  <c r="E66" i="123"/>
  <c r="F66" i="123"/>
  <c r="G66" i="123"/>
  <c r="H66" i="123"/>
  <c r="I66" i="123"/>
  <c r="J66" i="123"/>
  <c r="K66" i="123"/>
  <c r="M66" i="123"/>
  <c r="N66" i="123"/>
  <c r="O66" i="123"/>
  <c r="P66" i="123"/>
  <c r="Q66" i="123"/>
  <c r="R66" i="123"/>
  <c r="S66" i="123"/>
  <c r="E67" i="123"/>
  <c r="F67" i="123"/>
  <c r="G67" i="123"/>
  <c r="H67" i="123"/>
  <c r="I67" i="123"/>
  <c r="J67" i="123"/>
  <c r="K67" i="123"/>
  <c r="M67" i="123"/>
  <c r="N67" i="123"/>
  <c r="O67" i="123"/>
  <c r="P67" i="123"/>
  <c r="Q67" i="123"/>
  <c r="R67" i="123"/>
  <c r="S67" i="123"/>
  <c r="E68" i="123"/>
  <c r="F68" i="123"/>
  <c r="G68" i="123"/>
  <c r="H68" i="123"/>
  <c r="I68" i="123"/>
  <c r="J68" i="123"/>
  <c r="K68" i="123"/>
  <c r="M68" i="123"/>
  <c r="N68" i="123"/>
  <c r="O68" i="123"/>
  <c r="P68" i="123"/>
  <c r="Q68" i="123"/>
  <c r="R68" i="123"/>
  <c r="S68" i="123"/>
  <c r="E69" i="123"/>
  <c r="F69" i="123"/>
  <c r="G69" i="123"/>
  <c r="H69" i="123"/>
  <c r="I69" i="123"/>
  <c r="J69" i="123"/>
  <c r="K69" i="123"/>
  <c r="M69" i="123"/>
  <c r="N69" i="123"/>
  <c r="O69" i="123"/>
  <c r="P69" i="123"/>
  <c r="Q69" i="123"/>
  <c r="R69" i="123"/>
  <c r="S69" i="123"/>
  <c r="E70" i="123"/>
  <c r="F70" i="123"/>
  <c r="G70" i="123"/>
  <c r="H70" i="123"/>
  <c r="I70" i="123"/>
  <c r="J70" i="123"/>
  <c r="K70" i="123"/>
  <c r="M70" i="123"/>
  <c r="N70" i="123"/>
  <c r="O70" i="123"/>
  <c r="P70" i="123"/>
  <c r="Q70" i="123"/>
  <c r="R70" i="123"/>
  <c r="S70" i="123"/>
  <c r="E71" i="123"/>
  <c r="F71" i="123"/>
  <c r="G71" i="123"/>
  <c r="H71" i="123"/>
  <c r="I71" i="123"/>
  <c r="J71" i="123"/>
  <c r="K71" i="123"/>
  <c r="M71" i="123"/>
  <c r="N71" i="123"/>
  <c r="O71" i="123"/>
  <c r="P71" i="123"/>
  <c r="Q71" i="123"/>
  <c r="R71" i="123"/>
  <c r="S71" i="123"/>
  <c r="E72" i="123"/>
  <c r="F72" i="123"/>
  <c r="G72" i="123"/>
  <c r="H72" i="123"/>
  <c r="I72" i="123"/>
  <c r="J72" i="123"/>
  <c r="K72" i="123"/>
  <c r="M72" i="123"/>
  <c r="N72" i="123"/>
  <c r="O72" i="123"/>
  <c r="P72" i="123"/>
  <c r="Q72" i="123"/>
  <c r="R72" i="123"/>
  <c r="S72" i="123"/>
  <c r="E73" i="123"/>
  <c r="F73" i="123"/>
  <c r="G73" i="123"/>
  <c r="H73" i="123"/>
  <c r="I73" i="123"/>
  <c r="J73" i="123"/>
  <c r="K73" i="123"/>
  <c r="M73" i="123"/>
  <c r="N73" i="123"/>
  <c r="O73" i="123"/>
  <c r="P73" i="123"/>
  <c r="Q73" i="123"/>
  <c r="R73" i="123"/>
  <c r="S73" i="123"/>
  <c r="E74" i="123"/>
  <c r="F74" i="123"/>
  <c r="G74" i="123"/>
  <c r="H74" i="123"/>
  <c r="I74" i="123"/>
  <c r="J74" i="123"/>
  <c r="K74" i="123"/>
  <c r="M74" i="123"/>
  <c r="N74" i="123"/>
  <c r="O74" i="123"/>
  <c r="P74" i="123"/>
  <c r="Q74" i="123"/>
  <c r="R74" i="123"/>
  <c r="S74" i="123"/>
  <c r="E75" i="123"/>
  <c r="F75" i="123"/>
  <c r="G75" i="123"/>
  <c r="H75" i="123"/>
  <c r="I75" i="123"/>
  <c r="J75" i="123"/>
  <c r="K75" i="123"/>
  <c r="M75" i="123"/>
  <c r="N75" i="123"/>
  <c r="O75" i="123"/>
  <c r="P75" i="123"/>
  <c r="Q75" i="123"/>
  <c r="R75" i="123"/>
  <c r="S75" i="123"/>
  <c r="E76" i="123"/>
  <c r="F76" i="123"/>
  <c r="G76" i="123"/>
  <c r="H76" i="123"/>
  <c r="I76" i="123"/>
  <c r="J76" i="123"/>
  <c r="K76" i="123"/>
  <c r="M76" i="123"/>
  <c r="N76" i="123"/>
  <c r="O76" i="123"/>
  <c r="P76" i="123"/>
  <c r="Q76" i="123"/>
  <c r="R76" i="123"/>
  <c r="S76" i="123"/>
  <c r="E77" i="123"/>
  <c r="F77" i="123"/>
  <c r="G77" i="123"/>
  <c r="H77" i="123"/>
  <c r="I77" i="123"/>
  <c r="J77" i="123"/>
  <c r="K77" i="123"/>
  <c r="M77" i="123"/>
  <c r="N77" i="123"/>
  <c r="O77" i="123"/>
  <c r="P77" i="123"/>
  <c r="Q77" i="123"/>
  <c r="R77" i="123"/>
  <c r="S77" i="123"/>
  <c r="E78" i="123"/>
  <c r="F78" i="123"/>
  <c r="G78" i="123"/>
  <c r="H78" i="123"/>
  <c r="I78" i="123"/>
  <c r="J78" i="123"/>
  <c r="K78" i="123"/>
  <c r="M78" i="123"/>
  <c r="N78" i="123"/>
  <c r="O78" i="123"/>
  <c r="P78" i="123"/>
  <c r="Q78" i="123"/>
  <c r="R78" i="123"/>
  <c r="S78" i="123"/>
  <c r="E79" i="123"/>
  <c r="F79" i="123"/>
  <c r="G79" i="123"/>
  <c r="H79" i="123"/>
  <c r="I79" i="123"/>
  <c r="J79" i="123"/>
  <c r="K79" i="123"/>
  <c r="M79" i="123"/>
  <c r="N79" i="123"/>
  <c r="O79" i="123"/>
  <c r="P79" i="123"/>
  <c r="Q79" i="123"/>
  <c r="R79" i="123"/>
  <c r="S79" i="123"/>
  <c r="E80" i="123"/>
  <c r="F80" i="123"/>
  <c r="G80" i="123"/>
  <c r="H80" i="123"/>
  <c r="I80" i="123"/>
  <c r="J80" i="123"/>
  <c r="K80" i="123"/>
  <c r="M80" i="123"/>
  <c r="N80" i="123"/>
  <c r="O80" i="123"/>
  <c r="P80" i="123"/>
  <c r="Q80" i="123"/>
  <c r="R80" i="123"/>
  <c r="S80" i="123"/>
  <c r="E81" i="123"/>
  <c r="F81" i="123"/>
  <c r="G81" i="123"/>
  <c r="H81" i="123"/>
  <c r="I81" i="123"/>
  <c r="J81" i="123"/>
  <c r="K81" i="123"/>
  <c r="M81" i="123"/>
  <c r="N81" i="123"/>
  <c r="O81" i="123"/>
  <c r="P81" i="123"/>
  <c r="Q81" i="123"/>
  <c r="R81" i="123"/>
  <c r="S81" i="123"/>
  <c r="S2" i="123"/>
  <c r="R2" i="123"/>
  <c r="Q2" i="123"/>
  <c r="P2" i="123"/>
  <c r="O2" i="123"/>
  <c r="N2" i="123"/>
  <c r="M2" i="123"/>
  <c r="K2" i="123"/>
  <c r="J2" i="123"/>
  <c r="I2" i="123"/>
  <c r="H2" i="123"/>
  <c r="G2" i="123"/>
  <c r="F2" i="123"/>
  <c r="E2" i="123"/>
  <c r="S255" i="121"/>
  <c r="R255" i="121"/>
  <c r="Q255" i="121"/>
  <c r="P255" i="121"/>
  <c r="O255" i="121"/>
  <c r="N255" i="121"/>
  <c r="A32" i="120"/>
  <c r="B22" i="120"/>
  <c r="C22" i="120"/>
  <c r="D22" i="120"/>
  <c r="G22" i="120"/>
  <c r="L255" i="121"/>
  <c r="B5" i="120"/>
  <c r="B17" i="120"/>
  <c r="C17" i="120"/>
  <c r="D17" i="120"/>
  <c r="G17" i="120"/>
  <c r="E17" i="120"/>
  <c r="H17" i="120"/>
  <c r="L2" i="121"/>
  <c r="B19" i="120"/>
  <c r="B20" i="120"/>
  <c r="B18" i="120"/>
  <c r="C18" i="120"/>
  <c r="D18" i="120"/>
  <c r="G18" i="120"/>
  <c r="E18" i="120"/>
  <c r="H18" i="120"/>
  <c r="L3" i="121"/>
  <c r="L4" i="121"/>
  <c r="L5" i="121"/>
  <c r="L6" i="121"/>
  <c r="L7" i="121"/>
  <c r="L8" i="121"/>
  <c r="L9" i="121"/>
  <c r="L10" i="121"/>
  <c r="L11" i="121"/>
  <c r="L12" i="121"/>
  <c r="L13" i="121"/>
  <c r="L14" i="121"/>
  <c r="L15" i="121"/>
  <c r="L16" i="121"/>
  <c r="L17" i="121"/>
  <c r="L18" i="121"/>
  <c r="L19" i="121"/>
  <c r="L20" i="121"/>
  <c r="L21" i="121"/>
  <c r="L22" i="121"/>
  <c r="L23" i="121"/>
  <c r="L24" i="121"/>
  <c r="L25" i="121"/>
  <c r="L26" i="121"/>
  <c r="L27" i="121"/>
  <c r="L28" i="121"/>
  <c r="L29" i="121"/>
  <c r="L30" i="121"/>
  <c r="L31" i="121"/>
  <c r="L32" i="121"/>
  <c r="L33" i="121"/>
  <c r="L34" i="121"/>
  <c r="L35" i="121"/>
  <c r="L36" i="121"/>
  <c r="L37" i="121"/>
  <c r="L38" i="121"/>
  <c r="L39" i="121"/>
  <c r="L40" i="121"/>
  <c r="L41" i="121"/>
  <c r="L42" i="121"/>
  <c r="L43" i="121"/>
  <c r="B23" i="120"/>
  <c r="B21" i="120"/>
  <c r="C21" i="120"/>
  <c r="D21" i="120"/>
  <c r="G21" i="120"/>
  <c r="L44" i="121"/>
  <c r="L45" i="121"/>
  <c r="L46" i="121"/>
  <c r="L47" i="121"/>
  <c r="L48" i="121"/>
  <c r="L49" i="121"/>
  <c r="L50" i="121"/>
  <c r="L51" i="121"/>
  <c r="L52" i="121"/>
  <c r="L53" i="121"/>
  <c r="L54" i="121"/>
  <c r="L55" i="121"/>
  <c r="L56" i="121"/>
  <c r="L57" i="121"/>
  <c r="L58" i="121"/>
  <c r="L59" i="121"/>
  <c r="L60" i="121"/>
  <c r="L61" i="121"/>
  <c r="L62" i="121"/>
  <c r="L63" i="121"/>
  <c r="L64" i="121"/>
  <c r="L65" i="121"/>
  <c r="L66" i="121"/>
  <c r="L67" i="121"/>
  <c r="L68" i="121"/>
  <c r="L69" i="121"/>
  <c r="L70" i="121"/>
  <c r="L71" i="121"/>
  <c r="L72" i="121"/>
  <c r="L73" i="121"/>
  <c r="L74" i="121"/>
  <c r="L75" i="121"/>
  <c r="L76" i="121"/>
  <c r="L77" i="121"/>
  <c r="L78" i="121"/>
  <c r="L79" i="121"/>
  <c r="L80" i="121"/>
  <c r="L81" i="121"/>
  <c r="L82" i="121"/>
  <c r="L83" i="121"/>
  <c r="L84" i="121"/>
  <c r="L85" i="121"/>
  <c r="L86" i="121"/>
  <c r="L87" i="121"/>
  <c r="L88" i="121"/>
  <c r="L89" i="121"/>
  <c r="L90" i="121"/>
  <c r="L91" i="121"/>
  <c r="L92" i="121"/>
  <c r="L93" i="121"/>
  <c r="L94" i="121"/>
  <c r="L95" i="121"/>
  <c r="L96" i="121"/>
  <c r="L97" i="121"/>
  <c r="L98" i="121"/>
  <c r="L99" i="121"/>
  <c r="L100" i="121"/>
  <c r="L101" i="121"/>
  <c r="L102" i="121"/>
  <c r="L103" i="121"/>
  <c r="L104" i="121"/>
  <c r="L105" i="121"/>
  <c r="L106" i="121"/>
  <c r="L107" i="121"/>
  <c r="L108" i="121"/>
  <c r="L109" i="121"/>
  <c r="L110" i="121"/>
  <c r="L111" i="121"/>
  <c r="L112" i="121"/>
  <c r="L113" i="121"/>
  <c r="L114" i="121"/>
  <c r="L115" i="121"/>
  <c r="L116" i="121"/>
  <c r="L117" i="121"/>
  <c r="L118" i="121"/>
  <c r="L119" i="121"/>
  <c r="L120" i="121"/>
  <c r="L121" i="121"/>
  <c r="L122" i="121"/>
  <c r="L123" i="121"/>
  <c r="L124" i="121"/>
  <c r="L125" i="121"/>
  <c r="L126" i="121"/>
  <c r="L127" i="121"/>
  <c r="L128" i="121"/>
  <c r="L129" i="121"/>
  <c r="L130" i="121"/>
  <c r="L131" i="121"/>
  <c r="L132" i="121"/>
  <c r="L133" i="121"/>
  <c r="L134" i="121"/>
  <c r="L135" i="121"/>
  <c r="L136" i="121"/>
  <c r="L137" i="121"/>
  <c r="C19" i="120"/>
  <c r="D19" i="120"/>
  <c r="G19" i="120"/>
  <c r="L138" i="121"/>
  <c r="L139" i="121"/>
  <c r="L140" i="121"/>
  <c r="L141" i="121"/>
  <c r="L142" i="121"/>
  <c r="L143" i="121"/>
  <c r="L144" i="121"/>
  <c r="L145" i="121"/>
  <c r="L146" i="121"/>
  <c r="L147" i="121"/>
  <c r="L148" i="121"/>
  <c r="L149" i="121"/>
  <c r="L150" i="121"/>
  <c r="L151" i="121"/>
  <c r="L152" i="121"/>
  <c r="L153" i="121"/>
  <c r="L154" i="121"/>
  <c r="L155" i="121"/>
  <c r="L156" i="121"/>
  <c r="L157" i="121"/>
  <c r="L158" i="121"/>
  <c r="L159" i="121"/>
  <c r="L160" i="121"/>
  <c r="L161" i="121"/>
  <c r="L162" i="121"/>
  <c r="L163" i="121"/>
  <c r="L164" i="121"/>
  <c r="L165" i="121"/>
  <c r="L166" i="121"/>
  <c r="L167" i="121"/>
  <c r="L168" i="121"/>
  <c r="L169" i="121"/>
  <c r="L170" i="121"/>
  <c r="L171" i="121"/>
  <c r="L172" i="121"/>
  <c r="L173" i="121"/>
  <c r="L174" i="121"/>
  <c r="L175" i="121"/>
  <c r="L176" i="121"/>
  <c r="L177" i="121"/>
  <c r="L178" i="121"/>
  <c r="L179" i="121"/>
  <c r="L180" i="121"/>
  <c r="L181" i="121"/>
  <c r="L182" i="121"/>
  <c r="L183" i="121"/>
  <c r="L184" i="121"/>
  <c r="L185" i="121"/>
  <c r="L186" i="121"/>
  <c r="L187" i="121"/>
  <c r="L188" i="121"/>
  <c r="L189" i="121"/>
  <c r="L190" i="121"/>
  <c r="L191" i="121"/>
  <c r="L192" i="121"/>
  <c r="L193" i="121"/>
  <c r="L194" i="121"/>
  <c r="L195" i="121"/>
  <c r="L196" i="121"/>
  <c r="L197" i="121"/>
  <c r="L198" i="121"/>
  <c r="L199" i="121"/>
  <c r="L200" i="121"/>
  <c r="L201" i="121"/>
  <c r="L202" i="121"/>
  <c r="L203" i="121"/>
  <c r="L204" i="121"/>
  <c r="L205" i="121"/>
  <c r="L206" i="121"/>
  <c r="L207" i="121"/>
  <c r="L208" i="121"/>
  <c r="L209" i="121"/>
  <c r="L210" i="121"/>
  <c r="L211" i="121"/>
  <c r="L212" i="121"/>
  <c r="L213" i="121"/>
  <c r="L214" i="121"/>
  <c r="L215" i="121"/>
  <c r="L216" i="121"/>
  <c r="L217" i="121"/>
  <c r="L218" i="121"/>
  <c r="L219" i="121"/>
  <c r="L220" i="121"/>
  <c r="L221" i="121"/>
  <c r="L222" i="121"/>
  <c r="L223" i="121"/>
  <c r="L224" i="121"/>
  <c r="L225" i="121"/>
  <c r="L226" i="121"/>
  <c r="L227" i="121"/>
  <c r="L228" i="121"/>
  <c r="L229" i="121"/>
  <c r="L230" i="121"/>
  <c r="L231" i="121"/>
  <c r="L232" i="121"/>
  <c r="L233" i="121"/>
  <c r="L234" i="121"/>
  <c r="L235" i="121"/>
  <c r="L236" i="121"/>
  <c r="L237" i="121"/>
  <c r="L238" i="121"/>
  <c r="L239" i="121"/>
  <c r="L240" i="121"/>
  <c r="L241" i="121"/>
  <c r="L242" i="121"/>
  <c r="L243" i="121"/>
  <c r="L244" i="121"/>
  <c r="L245" i="121"/>
  <c r="L246" i="121"/>
  <c r="L247" i="121"/>
  <c r="L248" i="121"/>
  <c r="L249" i="121"/>
  <c r="L250" i="121"/>
  <c r="L251" i="121"/>
  <c r="L252" i="121"/>
  <c r="L253" i="121"/>
  <c r="L254" i="121"/>
  <c r="M255" i="121"/>
  <c r="K255" i="121"/>
  <c r="J255" i="121"/>
  <c r="I255" i="121"/>
  <c r="H255" i="121"/>
  <c r="E255" i="121"/>
  <c r="A255" i="121"/>
  <c r="S254" i="121"/>
  <c r="R254" i="121"/>
  <c r="Q254" i="121"/>
  <c r="P254" i="121"/>
  <c r="O254" i="121"/>
  <c r="N254" i="121"/>
  <c r="M254" i="121"/>
  <c r="K254" i="121"/>
  <c r="J254" i="121"/>
  <c r="I254" i="121"/>
  <c r="H254" i="121"/>
  <c r="E254" i="121"/>
  <c r="A254" i="121"/>
  <c r="S253" i="121"/>
  <c r="R253" i="121"/>
  <c r="Q253" i="121"/>
  <c r="P253" i="121"/>
  <c r="O253" i="121"/>
  <c r="N253" i="121"/>
  <c r="M253" i="121"/>
  <c r="K253" i="121"/>
  <c r="J253" i="121"/>
  <c r="I253" i="121"/>
  <c r="H253" i="121"/>
  <c r="E253" i="121"/>
  <c r="A253" i="121"/>
  <c r="S252" i="121"/>
  <c r="R252" i="121"/>
  <c r="Q252" i="121"/>
  <c r="P252" i="121"/>
  <c r="O252" i="121"/>
  <c r="N252" i="121"/>
  <c r="M252" i="121"/>
  <c r="K252" i="121"/>
  <c r="J252" i="121"/>
  <c r="I252" i="121"/>
  <c r="H252" i="121"/>
  <c r="E252" i="121"/>
  <c r="A252" i="121"/>
  <c r="S251" i="121"/>
  <c r="R251" i="121"/>
  <c r="Q251" i="121"/>
  <c r="P251" i="121"/>
  <c r="O251" i="121"/>
  <c r="N251" i="121"/>
  <c r="M251" i="121"/>
  <c r="K251" i="121"/>
  <c r="J251" i="121"/>
  <c r="I251" i="121"/>
  <c r="H251" i="121"/>
  <c r="E251" i="121"/>
  <c r="A251" i="121"/>
  <c r="S250" i="121"/>
  <c r="R250" i="121"/>
  <c r="Q250" i="121"/>
  <c r="P250" i="121"/>
  <c r="O250" i="121"/>
  <c r="N250" i="121"/>
  <c r="M250" i="121"/>
  <c r="K250" i="121"/>
  <c r="J250" i="121"/>
  <c r="I250" i="121"/>
  <c r="H250" i="121"/>
  <c r="E250" i="121"/>
  <c r="A250" i="121"/>
  <c r="S249" i="121"/>
  <c r="R249" i="121"/>
  <c r="Q249" i="121"/>
  <c r="P249" i="121"/>
  <c r="O249" i="121"/>
  <c r="N249" i="121"/>
  <c r="M249" i="121"/>
  <c r="K249" i="121"/>
  <c r="J249" i="121"/>
  <c r="I249" i="121"/>
  <c r="H249" i="121"/>
  <c r="E249" i="121"/>
  <c r="A249" i="121"/>
  <c r="S248" i="121"/>
  <c r="R248" i="121"/>
  <c r="Q248" i="121"/>
  <c r="P248" i="121"/>
  <c r="O248" i="121"/>
  <c r="N248" i="121"/>
  <c r="M248" i="121"/>
  <c r="K248" i="121"/>
  <c r="J248" i="121"/>
  <c r="I248" i="121"/>
  <c r="H248" i="121"/>
  <c r="E248" i="121"/>
  <c r="A248" i="121"/>
  <c r="S247" i="121"/>
  <c r="R247" i="121"/>
  <c r="Q247" i="121"/>
  <c r="P247" i="121"/>
  <c r="O247" i="121"/>
  <c r="N247" i="121"/>
  <c r="M247" i="121"/>
  <c r="K247" i="121"/>
  <c r="J247" i="121"/>
  <c r="I247" i="121"/>
  <c r="H247" i="121"/>
  <c r="E247" i="121"/>
  <c r="A247" i="121"/>
  <c r="S246" i="121"/>
  <c r="R246" i="121"/>
  <c r="Q246" i="121"/>
  <c r="P246" i="121"/>
  <c r="O246" i="121"/>
  <c r="N246" i="121"/>
  <c r="M246" i="121"/>
  <c r="K246" i="121"/>
  <c r="J246" i="121"/>
  <c r="I246" i="121"/>
  <c r="H246" i="121"/>
  <c r="E246" i="121"/>
  <c r="A246" i="121"/>
  <c r="S245" i="121"/>
  <c r="R245" i="121"/>
  <c r="Q245" i="121"/>
  <c r="P245" i="121"/>
  <c r="O245" i="121"/>
  <c r="N245" i="121"/>
  <c r="M245" i="121"/>
  <c r="K245" i="121"/>
  <c r="J245" i="121"/>
  <c r="I245" i="121"/>
  <c r="H245" i="121"/>
  <c r="E245" i="121"/>
  <c r="A245" i="121"/>
  <c r="S244" i="121"/>
  <c r="R244" i="121"/>
  <c r="Q244" i="121"/>
  <c r="P244" i="121"/>
  <c r="O244" i="121"/>
  <c r="N244" i="121"/>
  <c r="M244" i="121"/>
  <c r="K244" i="121"/>
  <c r="J244" i="121"/>
  <c r="I244" i="121"/>
  <c r="H244" i="121"/>
  <c r="E244" i="121"/>
  <c r="A244" i="121"/>
  <c r="S243" i="121"/>
  <c r="R243" i="121"/>
  <c r="Q243" i="121"/>
  <c r="P243" i="121"/>
  <c r="O243" i="121"/>
  <c r="N243" i="121"/>
  <c r="M243" i="121"/>
  <c r="K243" i="121"/>
  <c r="J243" i="121"/>
  <c r="I243" i="121"/>
  <c r="H243" i="121"/>
  <c r="E243" i="121"/>
  <c r="A243" i="121"/>
  <c r="S242" i="121"/>
  <c r="R242" i="121"/>
  <c r="Q242" i="121"/>
  <c r="P242" i="121"/>
  <c r="O242" i="121"/>
  <c r="N242" i="121"/>
  <c r="M242" i="121"/>
  <c r="K242" i="121"/>
  <c r="J242" i="121"/>
  <c r="I242" i="121"/>
  <c r="H242" i="121"/>
  <c r="E242" i="121"/>
  <c r="A242" i="121"/>
  <c r="S241" i="121"/>
  <c r="R241" i="121"/>
  <c r="Q241" i="121"/>
  <c r="P241" i="121"/>
  <c r="O241" i="121"/>
  <c r="N241" i="121"/>
  <c r="M241" i="121"/>
  <c r="K241" i="121"/>
  <c r="J241" i="121"/>
  <c r="I241" i="121"/>
  <c r="H241" i="121"/>
  <c r="E241" i="121"/>
  <c r="A241" i="121"/>
  <c r="S240" i="121"/>
  <c r="R240" i="121"/>
  <c r="Q240" i="121"/>
  <c r="P240" i="121"/>
  <c r="O240" i="121"/>
  <c r="N240" i="121"/>
  <c r="M240" i="121"/>
  <c r="K240" i="121"/>
  <c r="J240" i="121"/>
  <c r="I240" i="121"/>
  <c r="H240" i="121"/>
  <c r="E240" i="121"/>
  <c r="A240" i="121"/>
  <c r="S239" i="121"/>
  <c r="R239" i="121"/>
  <c r="Q239" i="121"/>
  <c r="P239" i="121"/>
  <c r="O239" i="121"/>
  <c r="N239" i="121"/>
  <c r="M239" i="121"/>
  <c r="K239" i="121"/>
  <c r="J239" i="121"/>
  <c r="I239" i="121"/>
  <c r="H239" i="121"/>
  <c r="E239" i="121"/>
  <c r="A239" i="121"/>
  <c r="S238" i="121"/>
  <c r="R238" i="121"/>
  <c r="Q238" i="121"/>
  <c r="P238" i="121"/>
  <c r="O238" i="121"/>
  <c r="N238" i="121"/>
  <c r="M238" i="121"/>
  <c r="K238" i="121"/>
  <c r="J238" i="121"/>
  <c r="I238" i="121"/>
  <c r="H238" i="121"/>
  <c r="E238" i="121"/>
  <c r="A238" i="121"/>
  <c r="S237" i="121"/>
  <c r="R237" i="121"/>
  <c r="Q237" i="121"/>
  <c r="P237" i="121"/>
  <c r="O237" i="121"/>
  <c r="N237" i="121"/>
  <c r="M237" i="121"/>
  <c r="K237" i="121"/>
  <c r="J237" i="121"/>
  <c r="I237" i="121"/>
  <c r="H237" i="121"/>
  <c r="E237" i="121"/>
  <c r="A237" i="121"/>
  <c r="S236" i="121"/>
  <c r="R236" i="121"/>
  <c r="Q236" i="121"/>
  <c r="P236" i="121"/>
  <c r="O236" i="121"/>
  <c r="N236" i="121"/>
  <c r="M236" i="121"/>
  <c r="K236" i="121"/>
  <c r="J236" i="121"/>
  <c r="I236" i="121"/>
  <c r="H236" i="121"/>
  <c r="E236" i="121"/>
  <c r="A236" i="121"/>
  <c r="S235" i="121"/>
  <c r="R235" i="121"/>
  <c r="Q235" i="121"/>
  <c r="P235" i="121"/>
  <c r="O235" i="121"/>
  <c r="N235" i="121"/>
  <c r="M235" i="121"/>
  <c r="K235" i="121"/>
  <c r="J235" i="121"/>
  <c r="I235" i="121"/>
  <c r="H235" i="121"/>
  <c r="E235" i="121"/>
  <c r="A235" i="121"/>
  <c r="S234" i="121"/>
  <c r="R234" i="121"/>
  <c r="Q234" i="121"/>
  <c r="P234" i="121"/>
  <c r="O234" i="121"/>
  <c r="N234" i="121"/>
  <c r="M234" i="121"/>
  <c r="K234" i="121"/>
  <c r="J234" i="121"/>
  <c r="I234" i="121"/>
  <c r="H234" i="121"/>
  <c r="E234" i="121"/>
  <c r="A234" i="121"/>
  <c r="S233" i="121"/>
  <c r="R233" i="121"/>
  <c r="Q233" i="121"/>
  <c r="P233" i="121"/>
  <c r="O233" i="121"/>
  <c r="N233" i="121"/>
  <c r="M233" i="121"/>
  <c r="K233" i="121"/>
  <c r="J233" i="121"/>
  <c r="I233" i="121"/>
  <c r="H233" i="121"/>
  <c r="E233" i="121"/>
  <c r="A233" i="121"/>
  <c r="S232" i="121"/>
  <c r="R232" i="121"/>
  <c r="Q232" i="121"/>
  <c r="P232" i="121"/>
  <c r="O232" i="121"/>
  <c r="N232" i="121"/>
  <c r="M232" i="121"/>
  <c r="K232" i="121"/>
  <c r="J232" i="121"/>
  <c r="I232" i="121"/>
  <c r="H232" i="121"/>
  <c r="E232" i="121"/>
  <c r="A232" i="121"/>
  <c r="S231" i="121"/>
  <c r="R231" i="121"/>
  <c r="Q231" i="121"/>
  <c r="P231" i="121"/>
  <c r="O231" i="121"/>
  <c r="N231" i="121"/>
  <c r="M231" i="121"/>
  <c r="K231" i="121"/>
  <c r="J231" i="121"/>
  <c r="I231" i="121"/>
  <c r="H231" i="121"/>
  <c r="E231" i="121"/>
  <c r="A231" i="121"/>
  <c r="S230" i="121"/>
  <c r="R230" i="121"/>
  <c r="Q230" i="121"/>
  <c r="P230" i="121"/>
  <c r="O230" i="121"/>
  <c r="N230" i="121"/>
  <c r="M230" i="121"/>
  <c r="K230" i="121"/>
  <c r="J230" i="121"/>
  <c r="I230" i="121"/>
  <c r="H230" i="121"/>
  <c r="E230" i="121"/>
  <c r="A230" i="121"/>
  <c r="S229" i="121"/>
  <c r="R229" i="121"/>
  <c r="Q229" i="121"/>
  <c r="P229" i="121"/>
  <c r="O229" i="121"/>
  <c r="N229" i="121"/>
  <c r="M229" i="121"/>
  <c r="K229" i="121"/>
  <c r="J229" i="121"/>
  <c r="I229" i="121"/>
  <c r="H229" i="121"/>
  <c r="E229" i="121"/>
  <c r="A229" i="121"/>
  <c r="S228" i="121"/>
  <c r="R228" i="121"/>
  <c r="Q228" i="121"/>
  <c r="P228" i="121"/>
  <c r="O228" i="121"/>
  <c r="N228" i="121"/>
  <c r="M228" i="121"/>
  <c r="K228" i="121"/>
  <c r="J228" i="121"/>
  <c r="I228" i="121"/>
  <c r="H228" i="121"/>
  <c r="E228" i="121"/>
  <c r="A228" i="121"/>
  <c r="S227" i="121"/>
  <c r="R227" i="121"/>
  <c r="Q227" i="121"/>
  <c r="P227" i="121"/>
  <c r="O227" i="121"/>
  <c r="N227" i="121"/>
  <c r="M227" i="121"/>
  <c r="K227" i="121"/>
  <c r="J227" i="121"/>
  <c r="I227" i="121"/>
  <c r="H227" i="121"/>
  <c r="E227" i="121"/>
  <c r="A227" i="121"/>
  <c r="S226" i="121"/>
  <c r="R226" i="121"/>
  <c r="Q226" i="121"/>
  <c r="P226" i="121"/>
  <c r="O226" i="121"/>
  <c r="N226" i="121"/>
  <c r="M226" i="121"/>
  <c r="K226" i="121"/>
  <c r="J226" i="121"/>
  <c r="I226" i="121"/>
  <c r="H226" i="121"/>
  <c r="E226" i="121"/>
  <c r="A226" i="121"/>
  <c r="S225" i="121"/>
  <c r="R225" i="121"/>
  <c r="Q225" i="121"/>
  <c r="P225" i="121"/>
  <c r="O225" i="121"/>
  <c r="N225" i="121"/>
  <c r="M225" i="121"/>
  <c r="K225" i="121"/>
  <c r="J225" i="121"/>
  <c r="I225" i="121"/>
  <c r="H225" i="121"/>
  <c r="E225" i="121"/>
  <c r="A225" i="121"/>
  <c r="S224" i="121"/>
  <c r="R224" i="121"/>
  <c r="Q224" i="121"/>
  <c r="P224" i="121"/>
  <c r="O224" i="121"/>
  <c r="N224" i="121"/>
  <c r="M224" i="121"/>
  <c r="K224" i="121"/>
  <c r="J224" i="121"/>
  <c r="I224" i="121"/>
  <c r="H224" i="121"/>
  <c r="E224" i="121"/>
  <c r="A224" i="121"/>
  <c r="S223" i="121"/>
  <c r="R223" i="121"/>
  <c r="Q223" i="121"/>
  <c r="P223" i="121"/>
  <c r="O223" i="121"/>
  <c r="N223" i="121"/>
  <c r="M223" i="121"/>
  <c r="K223" i="121"/>
  <c r="J223" i="121"/>
  <c r="I223" i="121"/>
  <c r="H223" i="121"/>
  <c r="E223" i="121"/>
  <c r="A223" i="121"/>
  <c r="S222" i="121"/>
  <c r="R222" i="121"/>
  <c r="Q222" i="121"/>
  <c r="P222" i="121"/>
  <c r="O222" i="121"/>
  <c r="N222" i="121"/>
  <c r="M222" i="121"/>
  <c r="K222" i="121"/>
  <c r="J222" i="121"/>
  <c r="I222" i="121"/>
  <c r="H222" i="121"/>
  <c r="E222" i="121"/>
  <c r="A222" i="121"/>
  <c r="S221" i="121"/>
  <c r="R221" i="121"/>
  <c r="Q221" i="121"/>
  <c r="P221" i="121"/>
  <c r="O221" i="121"/>
  <c r="N221" i="121"/>
  <c r="M221" i="121"/>
  <c r="K221" i="121"/>
  <c r="J221" i="121"/>
  <c r="I221" i="121"/>
  <c r="H221" i="121"/>
  <c r="E221" i="121"/>
  <c r="A221" i="121"/>
  <c r="S220" i="121"/>
  <c r="R220" i="121"/>
  <c r="Q220" i="121"/>
  <c r="P220" i="121"/>
  <c r="O220" i="121"/>
  <c r="N220" i="121"/>
  <c r="M220" i="121"/>
  <c r="K220" i="121"/>
  <c r="J220" i="121"/>
  <c r="I220" i="121"/>
  <c r="H220" i="121"/>
  <c r="E220" i="121"/>
  <c r="A220" i="121"/>
  <c r="S219" i="121"/>
  <c r="R219" i="121"/>
  <c r="Q219" i="121"/>
  <c r="P219" i="121"/>
  <c r="O219" i="121"/>
  <c r="N219" i="121"/>
  <c r="M219" i="121"/>
  <c r="K219" i="121"/>
  <c r="J219" i="121"/>
  <c r="I219" i="121"/>
  <c r="H219" i="121"/>
  <c r="E219" i="121"/>
  <c r="A219" i="121"/>
  <c r="S218" i="121"/>
  <c r="R218" i="121"/>
  <c r="Q218" i="121"/>
  <c r="P218" i="121"/>
  <c r="O218" i="121"/>
  <c r="N218" i="121"/>
  <c r="M218" i="121"/>
  <c r="K218" i="121"/>
  <c r="J218" i="121"/>
  <c r="I218" i="121"/>
  <c r="H218" i="121"/>
  <c r="E218" i="121"/>
  <c r="A218" i="121"/>
  <c r="S217" i="121"/>
  <c r="R217" i="121"/>
  <c r="Q217" i="121"/>
  <c r="P217" i="121"/>
  <c r="O217" i="121"/>
  <c r="N217" i="121"/>
  <c r="M217" i="121"/>
  <c r="K217" i="121"/>
  <c r="J217" i="121"/>
  <c r="I217" i="121"/>
  <c r="H217" i="121"/>
  <c r="E217" i="121"/>
  <c r="A217" i="121"/>
  <c r="S216" i="121"/>
  <c r="R216" i="121"/>
  <c r="Q216" i="121"/>
  <c r="P216" i="121"/>
  <c r="O216" i="121"/>
  <c r="N216" i="121"/>
  <c r="M216" i="121"/>
  <c r="K216" i="121"/>
  <c r="J216" i="121"/>
  <c r="I216" i="121"/>
  <c r="H216" i="121"/>
  <c r="E216" i="121"/>
  <c r="A216" i="121"/>
  <c r="S215" i="121"/>
  <c r="R215" i="121"/>
  <c r="Q215" i="121"/>
  <c r="P215" i="121"/>
  <c r="O215" i="121"/>
  <c r="N215" i="121"/>
  <c r="M215" i="121"/>
  <c r="K215" i="121"/>
  <c r="J215" i="121"/>
  <c r="I215" i="121"/>
  <c r="H215" i="121"/>
  <c r="E215" i="121"/>
  <c r="A215" i="121"/>
  <c r="S214" i="121"/>
  <c r="R214" i="121"/>
  <c r="Q214" i="121"/>
  <c r="P214" i="121"/>
  <c r="O214" i="121"/>
  <c r="N214" i="121"/>
  <c r="M214" i="121"/>
  <c r="K214" i="121"/>
  <c r="J214" i="121"/>
  <c r="I214" i="121"/>
  <c r="H214" i="121"/>
  <c r="E214" i="121"/>
  <c r="A214" i="121"/>
  <c r="S213" i="121"/>
  <c r="R213" i="121"/>
  <c r="Q213" i="121"/>
  <c r="P213" i="121"/>
  <c r="O213" i="121"/>
  <c r="N213" i="121"/>
  <c r="M213" i="121"/>
  <c r="K213" i="121"/>
  <c r="J213" i="121"/>
  <c r="I213" i="121"/>
  <c r="H213" i="121"/>
  <c r="E213" i="121"/>
  <c r="A213" i="121"/>
  <c r="S212" i="121"/>
  <c r="R212" i="121"/>
  <c r="Q212" i="121"/>
  <c r="P212" i="121"/>
  <c r="O212" i="121"/>
  <c r="N212" i="121"/>
  <c r="M212" i="121"/>
  <c r="K212" i="121"/>
  <c r="J212" i="121"/>
  <c r="I212" i="121"/>
  <c r="H212" i="121"/>
  <c r="E212" i="121"/>
  <c r="A212" i="121"/>
  <c r="S211" i="121"/>
  <c r="R211" i="121"/>
  <c r="Q211" i="121"/>
  <c r="P211" i="121"/>
  <c r="O211" i="121"/>
  <c r="N211" i="121"/>
  <c r="M211" i="121"/>
  <c r="K211" i="121"/>
  <c r="J211" i="121"/>
  <c r="I211" i="121"/>
  <c r="H211" i="121"/>
  <c r="E211" i="121"/>
  <c r="A211" i="121"/>
  <c r="S210" i="121"/>
  <c r="R210" i="121"/>
  <c r="Q210" i="121"/>
  <c r="P210" i="121"/>
  <c r="O210" i="121"/>
  <c r="N210" i="121"/>
  <c r="M210" i="121"/>
  <c r="K210" i="121"/>
  <c r="J210" i="121"/>
  <c r="I210" i="121"/>
  <c r="H210" i="121"/>
  <c r="E210" i="121"/>
  <c r="A210" i="121"/>
  <c r="S209" i="121"/>
  <c r="R209" i="121"/>
  <c r="Q209" i="121"/>
  <c r="P209" i="121"/>
  <c r="O209" i="121"/>
  <c r="N209" i="121"/>
  <c r="M209" i="121"/>
  <c r="K209" i="121"/>
  <c r="J209" i="121"/>
  <c r="I209" i="121"/>
  <c r="H209" i="121"/>
  <c r="E209" i="121"/>
  <c r="A209" i="121"/>
  <c r="S208" i="121"/>
  <c r="R208" i="121"/>
  <c r="Q208" i="121"/>
  <c r="P208" i="121"/>
  <c r="O208" i="121"/>
  <c r="N208" i="121"/>
  <c r="M208" i="121"/>
  <c r="K208" i="121"/>
  <c r="J208" i="121"/>
  <c r="I208" i="121"/>
  <c r="H208" i="121"/>
  <c r="E208" i="121"/>
  <c r="A208" i="121"/>
  <c r="S207" i="121"/>
  <c r="R207" i="121"/>
  <c r="Q207" i="121"/>
  <c r="P207" i="121"/>
  <c r="O207" i="121"/>
  <c r="N207" i="121"/>
  <c r="M207" i="121"/>
  <c r="K207" i="121"/>
  <c r="J207" i="121"/>
  <c r="I207" i="121"/>
  <c r="H207" i="121"/>
  <c r="E207" i="121"/>
  <c r="A207" i="121"/>
  <c r="S206" i="121"/>
  <c r="R206" i="121"/>
  <c r="Q206" i="121"/>
  <c r="P206" i="121"/>
  <c r="O206" i="121"/>
  <c r="N206" i="121"/>
  <c r="M206" i="121"/>
  <c r="K206" i="121"/>
  <c r="J206" i="121"/>
  <c r="I206" i="121"/>
  <c r="H206" i="121"/>
  <c r="E206" i="121"/>
  <c r="A206" i="121"/>
  <c r="S205" i="121"/>
  <c r="R205" i="121"/>
  <c r="Q205" i="121"/>
  <c r="P205" i="121"/>
  <c r="O205" i="121"/>
  <c r="N205" i="121"/>
  <c r="M205" i="121"/>
  <c r="K205" i="121"/>
  <c r="J205" i="121"/>
  <c r="I205" i="121"/>
  <c r="H205" i="121"/>
  <c r="E205" i="121"/>
  <c r="A205" i="121"/>
  <c r="S204" i="121"/>
  <c r="R204" i="121"/>
  <c r="Q204" i="121"/>
  <c r="P204" i="121"/>
  <c r="O204" i="121"/>
  <c r="N204" i="121"/>
  <c r="M204" i="121"/>
  <c r="K204" i="121"/>
  <c r="J204" i="121"/>
  <c r="I204" i="121"/>
  <c r="H204" i="121"/>
  <c r="E204" i="121"/>
  <c r="A204" i="121"/>
  <c r="S203" i="121"/>
  <c r="R203" i="121"/>
  <c r="Q203" i="121"/>
  <c r="P203" i="121"/>
  <c r="O203" i="121"/>
  <c r="N203" i="121"/>
  <c r="M203" i="121"/>
  <c r="K203" i="121"/>
  <c r="J203" i="121"/>
  <c r="I203" i="121"/>
  <c r="H203" i="121"/>
  <c r="E203" i="121"/>
  <c r="A203" i="121"/>
  <c r="S202" i="121"/>
  <c r="R202" i="121"/>
  <c r="Q202" i="121"/>
  <c r="P202" i="121"/>
  <c r="O202" i="121"/>
  <c r="N202" i="121"/>
  <c r="M202" i="121"/>
  <c r="K202" i="121"/>
  <c r="J202" i="121"/>
  <c r="I202" i="121"/>
  <c r="H202" i="121"/>
  <c r="E202" i="121"/>
  <c r="A202" i="121"/>
  <c r="S201" i="121"/>
  <c r="R201" i="121"/>
  <c r="Q201" i="121"/>
  <c r="P201" i="121"/>
  <c r="O201" i="121"/>
  <c r="N201" i="121"/>
  <c r="M201" i="121"/>
  <c r="K201" i="121"/>
  <c r="J201" i="121"/>
  <c r="I201" i="121"/>
  <c r="H201" i="121"/>
  <c r="E201" i="121"/>
  <c r="A201" i="121"/>
  <c r="S200" i="121"/>
  <c r="R200" i="121"/>
  <c r="Q200" i="121"/>
  <c r="P200" i="121"/>
  <c r="O200" i="121"/>
  <c r="N200" i="121"/>
  <c r="M200" i="121"/>
  <c r="K200" i="121"/>
  <c r="J200" i="121"/>
  <c r="I200" i="121"/>
  <c r="H200" i="121"/>
  <c r="E200" i="121"/>
  <c r="A200" i="121"/>
  <c r="S199" i="121"/>
  <c r="R199" i="121"/>
  <c r="Q199" i="121"/>
  <c r="P199" i="121"/>
  <c r="O199" i="121"/>
  <c r="N199" i="121"/>
  <c r="M199" i="121"/>
  <c r="K199" i="121"/>
  <c r="J199" i="121"/>
  <c r="I199" i="121"/>
  <c r="H199" i="121"/>
  <c r="E199" i="121"/>
  <c r="A199" i="121"/>
  <c r="S198" i="121"/>
  <c r="R198" i="121"/>
  <c r="Q198" i="121"/>
  <c r="P198" i="121"/>
  <c r="O198" i="121"/>
  <c r="N198" i="121"/>
  <c r="M198" i="121"/>
  <c r="K198" i="121"/>
  <c r="J198" i="121"/>
  <c r="I198" i="121"/>
  <c r="H198" i="121"/>
  <c r="E198" i="121"/>
  <c r="A198" i="121"/>
  <c r="S197" i="121"/>
  <c r="R197" i="121"/>
  <c r="Q197" i="121"/>
  <c r="P197" i="121"/>
  <c r="O197" i="121"/>
  <c r="N197" i="121"/>
  <c r="M197" i="121"/>
  <c r="K197" i="121"/>
  <c r="J197" i="121"/>
  <c r="I197" i="121"/>
  <c r="H197" i="121"/>
  <c r="E197" i="121"/>
  <c r="A197" i="121"/>
  <c r="S196" i="121"/>
  <c r="R196" i="121"/>
  <c r="Q196" i="121"/>
  <c r="P196" i="121"/>
  <c r="O196" i="121"/>
  <c r="N196" i="121"/>
  <c r="M196" i="121"/>
  <c r="K196" i="121"/>
  <c r="J196" i="121"/>
  <c r="I196" i="121"/>
  <c r="H196" i="121"/>
  <c r="E196" i="121"/>
  <c r="A196" i="121"/>
  <c r="S195" i="121"/>
  <c r="R195" i="121"/>
  <c r="Q195" i="121"/>
  <c r="P195" i="121"/>
  <c r="O195" i="121"/>
  <c r="N195" i="121"/>
  <c r="M195" i="121"/>
  <c r="K195" i="121"/>
  <c r="J195" i="121"/>
  <c r="I195" i="121"/>
  <c r="H195" i="121"/>
  <c r="E195" i="121"/>
  <c r="A195" i="121"/>
  <c r="S194" i="121"/>
  <c r="R194" i="121"/>
  <c r="Q194" i="121"/>
  <c r="P194" i="121"/>
  <c r="O194" i="121"/>
  <c r="N194" i="121"/>
  <c r="M194" i="121"/>
  <c r="K194" i="121"/>
  <c r="J194" i="121"/>
  <c r="I194" i="121"/>
  <c r="H194" i="121"/>
  <c r="E194" i="121"/>
  <c r="A194" i="121"/>
  <c r="S193" i="121"/>
  <c r="R193" i="121"/>
  <c r="Q193" i="121"/>
  <c r="P193" i="121"/>
  <c r="O193" i="121"/>
  <c r="N193" i="121"/>
  <c r="M193" i="121"/>
  <c r="K193" i="121"/>
  <c r="J193" i="121"/>
  <c r="I193" i="121"/>
  <c r="H193" i="121"/>
  <c r="E193" i="121"/>
  <c r="A193" i="121"/>
  <c r="S192" i="121"/>
  <c r="R192" i="121"/>
  <c r="Q192" i="121"/>
  <c r="P192" i="121"/>
  <c r="O192" i="121"/>
  <c r="N192" i="121"/>
  <c r="M192" i="121"/>
  <c r="K192" i="121"/>
  <c r="J192" i="121"/>
  <c r="I192" i="121"/>
  <c r="H192" i="121"/>
  <c r="E192" i="121"/>
  <c r="A192" i="121"/>
  <c r="S191" i="121"/>
  <c r="R191" i="121"/>
  <c r="Q191" i="121"/>
  <c r="P191" i="121"/>
  <c r="O191" i="121"/>
  <c r="N191" i="121"/>
  <c r="M191" i="121"/>
  <c r="K191" i="121"/>
  <c r="J191" i="121"/>
  <c r="I191" i="121"/>
  <c r="H191" i="121"/>
  <c r="E191" i="121"/>
  <c r="A191" i="121"/>
  <c r="S190" i="121"/>
  <c r="R190" i="121"/>
  <c r="Q190" i="121"/>
  <c r="P190" i="121"/>
  <c r="O190" i="121"/>
  <c r="N190" i="121"/>
  <c r="M190" i="121"/>
  <c r="K190" i="121"/>
  <c r="J190" i="121"/>
  <c r="I190" i="121"/>
  <c r="H190" i="121"/>
  <c r="E190" i="121"/>
  <c r="A190" i="121"/>
  <c r="S189" i="121"/>
  <c r="R189" i="121"/>
  <c r="Q189" i="121"/>
  <c r="P189" i="121"/>
  <c r="O189" i="121"/>
  <c r="N189" i="121"/>
  <c r="M189" i="121"/>
  <c r="K189" i="121"/>
  <c r="J189" i="121"/>
  <c r="I189" i="121"/>
  <c r="H189" i="121"/>
  <c r="E189" i="121"/>
  <c r="A189" i="121"/>
  <c r="S188" i="121"/>
  <c r="R188" i="121"/>
  <c r="Q188" i="121"/>
  <c r="P188" i="121"/>
  <c r="O188" i="121"/>
  <c r="N188" i="121"/>
  <c r="M188" i="121"/>
  <c r="K188" i="121"/>
  <c r="J188" i="121"/>
  <c r="I188" i="121"/>
  <c r="H188" i="121"/>
  <c r="E188" i="121"/>
  <c r="A188" i="121"/>
  <c r="S187" i="121"/>
  <c r="R187" i="121"/>
  <c r="Q187" i="121"/>
  <c r="P187" i="121"/>
  <c r="O187" i="121"/>
  <c r="N187" i="121"/>
  <c r="M187" i="121"/>
  <c r="K187" i="121"/>
  <c r="J187" i="121"/>
  <c r="I187" i="121"/>
  <c r="H187" i="121"/>
  <c r="E187" i="121"/>
  <c r="A187" i="121"/>
  <c r="S186" i="121"/>
  <c r="R186" i="121"/>
  <c r="Q186" i="121"/>
  <c r="P186" i="121"/>
  <c r="O186" i="121"/>
  <c r="N186" i="121"/>
  <c r="M186" i="121"/>
  <c r="K186" i="121"/>
  <c r="J186" i="121"/>
  <c r="I186" i="121"/>
  <c r="H186" i="121"/>
  <c r="E186" i="121"/>
  <c r="A186" i="121"/>
  <c r="S185" i="121"/>
  <c r="R185" i="121"/>
  <c r="Q185" i="121"/>
  <c r="P185" i="121"/>
  <c r="O185" i="121"/>
  <c r="N185" i="121"/>
  <c r="M185" i="121"/>
  <c r="K185" i="121"/>
  <c r="J185" i="121"/>
  <c r="I185" i="121"/>
  <c r="H185" i="121"/>
  <c r="E185" i="121"/>
  <c r="A185" i="121"/>
  <c r="S184" i="121"/>
  <c r="R184" i="121"/>
  <c r="Q184" i="121"/>
  <c r="P184" i="121"/>
  <c r="O184" i="121"/>
  <c r="N184" i="121"/>
  <c r="M184" i="121"/>
  <c r="K184" i="121"/>
  <c r="J184" i="121"/>
  <c r="I184" i="121"/>
  <c r="H184" i="121"/>
  <c r="E184" i="121"/>
  <c r="A184" i="121"/>
  <c r="S183" i="121"/>
  <c r="R183" i="121"/>
  <c r="Q183" i="121"/>
  <c r="P183" i="121"/>
  <c r="O183" i="121"/>
  <c r="N183" i="121"/>
  <c r="M183" i="121"/>
  <c r="K183" i="121"/>
  <c r="J183" i="121"/>
  <c r="I183" i="121"/>
  <c r="H183" i="121"/>
  <c r="E183" i="121"/>
  <c r="A183" i="121"/>
  <c r="S182" i="121"/>
  <c r="R182" i="121"/>
  <c r="Q182" i="121"/>
  <c r="P182" i="121"/>
  <c r="O182" i="121"/>
  <c r="N182" i="121"/>
  <c r="M182" i="121"/>
  <c r="K182" i="121"/>
  <c r="J182" i="121"/>
  <c r="I182" i="121"/>
  <c r="H182" i="121"/>
  <c r="E182" i="121"/>
  <c r="A182" i="121"/>
  <c r="S181" i="121"/>
  <c r="R181" i="121"/>
  <c r="Q181" i="121"/>
  <c r="P181" i="121"/>
  <c r="O181" i="121"/>
  <c r="N181" i="121"/>
  <c r="M181" i="121"/>
  <c r="K181" i="121"/>
  <c r="J181" i="121"/>
  <c r="I181" i="121"/>
  <c r="H181" i="121"/>
  <c r="E181" i="121"/>
  <c r="A181" i="121"/>
  <c r="S180" i="121"/>
  <c r="R180" i="121"/>
  <c r="Q180" i="121"/>
  <c r="P180" i="121"/>
  <c r="O180" i="121"/>
  <c r="N180" i="121"/>
  <c r="M180" i="121"/>
  <c r="K180" i="121"/>
  <c r="J180" i="121"/>
  <c r="I180" i="121"/>
  <c r="H180" i="121"/>
  <c r="E180" i="121"/>
  <c r="A180" i="121"/>
  <c r="S179" i="121"/>
  <c r="R179" i="121"/>
  <c r="Q179" i="121"/>
  <c r="P179" i="121"/>
  <c r="O179" i="121"/>
  <c r="N179" i="121"/>
  <c r="M179" i="121"/>
  <c r="K179" i="121"/>
  <c r="J179" i="121"/>
  <c r="I179" i="121"/>
  <c r="H179" i="121"/>
  <c r="E179" i="121"/>
  <c r="A179" i="121"/>
  <c r="S178" i="121"/>
  <c r="R178" i="121"/>
  <c r="Q178" i="121"/>
  <c r="P178" i="121"/>
  <c r="O178" i="121"/>
  <c r="N178" i="121"/>
  <c r="M178" i="121"/>
  <c r="K178" i="121"/>
  <c r="J178" i="121"/>
  <c r="I178" i="121"/>
  <c r="H178" i="121"/>
  <c r="E178" i="121"/>
  <c r="A178" i="121"/>
  <c r="S177" i="121"/>
  <c r="R177" i="121"/>
  <c r="Q177" i="121"/>
  <c r="P177" i="121"/>
  <c r="O177" i="121"/>
  <c r="N177" i="121"/>
  <c r="M177" i="121"/>
  <c r="K177" i="121"/>
  <c r="J177" i="121"/>
  <c r="I177" i="121"/>
  <c r="H177" i="121"/>
  <c r="E177" i="121"/>
  <c r="A177" i="121"/>
  <c r="S176" i="121"/>
  <c r="R176" i="121"/>
  <c r="Q176" i="121"/>
  <c r="P176" i="121"/>
  <c r="O176" i="121"/>
  <c r="N176" i="121"/>
  <c r="M176" i="121"/>
  <c r="K176" i="121"/>
  <c r="J176" i="121"/>
  <c r="I176" i="121"/>
  <c r="H176" i="121"/>
  <c r="E176" i="121"/>
  <c r="A176" i="121"/>
  <c r="S175" i="121"/>
  <c r="R175" i="121"/>
  <c r="Q175" i="121"/>
  <c r="P175" i="121"/>
  <c r="O175" i="121"/>
  <c r="N175" i="121"/>
  <c r="M175" i="121"/>
  <c r="K175" i="121"/>
  <c r="J175" i="121"/>
  <c r="I175" i="121"/>
  <c r="H175" i="121"/>
  <c r="E175" i="121"/>
  <c r="A175" i="121"/>
  <c r="S174" i="121"/>
  <c r="R174" i="121"/>
  <c r="Q174" i="121"/>
  <c r="P174" i="121"/>
  <c r="O174" i="121"/>
  <c r="N174" i="121"/>
  <c r="M174" i="121"/>
  <c r="K174" i="121"/>
  <c r="J174" i="121"/>
  <c r="I174" i="121"/>
  <c r="H174" i="121"/>
  <c r="E174" i="121"/>
  <c r="A174" i="121"/>
  <c r="S173" i="121"/>
  <c r="R173" i="121"/>
  <c r="Q173" i="121"/>
  <c r="P173" i="121"/>
  <c r="O173" i="121"/>
  <c r="N173" i="121"/>
  <c r="M173" i="121"/>
  <c r="K173" i="121"/>
  <c r="J173" i="121"/>
  <c r="I173" i="121"/>
  <c r="H173" i="121"/>
  <c r="E173" i="121"/>
  <c r="A173" i="121"/>
  <c r="S172" i="121"/>
  <c r="R172" i="121"/>
  <c r="Q172" i="121"/>
  <c r="P172" i="121"/>
  <c r="O172" i="121"/>
  <c r="N172" i="121"/>
  <c r="M172" i="121"/>
  <c r="K172" i="121"/>
  <c r="J172" i="121"/>
  <c r="I172" i="121"/>
  <c r="H172" i="121"/>
  <c r="E172" i="121"/>
  <c r="A172" i="121"/>
  <c r="S171" i="121"/>
  <c r="R171" i="121"/>
  <c r="Q171" i="121"/>
  <c r="P171" i="121"/>
  <c r="O171" i="121"/>
  <c r="N171" i="121"/>
  <c r="M171" i="121"/>
  <c r="K171" i="121"/>
  <c r="J171" i="121"/>
  <c r="I171" i="121"/>
  <c r="H171" i="121"/>
  <c r="E171" i="121"/>
  <c r="A171" i="121"/>
  <c r="S170" i="121"/>
  <c r="R170" i="121"/>
  <c r="Q170" i="121"/>
  <c r="P170" i="121"/>
  <c r="O170" i="121"/>
  <c r="N170" i="121"/>
  <c r="M170" i="121"/>
  <c r="K170" i="121"/>
  <c r="J170" i="121"/>
  <c r="I170" i="121"/>
  <c r="H170" i="121"/>
  <c r="E170" i="121"/>
  <c r="A170" i="121"/>
  <c r="S169" i="121"/>
  <c r="R169" i="121"/>
  <c r="Q169" i="121"/>
  <c r="P169" i="121"/>
  <c r="O169" i="121"/>
  <c r="N169" i="121"/>
  <c r="M169" i="121"/>
  <c r="K169" i="121"/>
  <c r="J169" i="121"/>
  <c r="I169" i="121"/>
  <c r="H169" i="121"/>
  <c r="E169" i="121"/>
  <c r="A169" i="121"/>
  <c r="S168" i="121"/>
  <c r="R168" i="121"/>
  <c r="Q168" i="121"/>
  <c r="P168" i="121"/>
  <c r="O168" i="121"/>
  <c r="N168" i="121"/>
  <c r="M168" i="121"/>
  <c r="K168" i="121"/>
  <c r="J168" i="121"/>
  <c r="I168" i="121"/>
  <c r="H168" i="121"/>
  <c r="E168" i="121"/>
  <c r="A168" i="121"/>
  <c r="S167" i="121"/>
  <c r="R167" i="121"/>
  <c r="Q167" i="121"/>
  <c r="P167" i="121"/>
  <c r="O167" i="121"/>
  <c r="N167" i="121"/>
  <c r="M167" i="121"/>
  <c r="K167" i="121"/>
  <c r="J167" i="121"/>
  <c r="I167" i="121"/>
  <c r="H167" i="121"/>
  <c r="E167" i="121"/>
  <c r="A167" i="121"/>
  <c r="S166" i="121"/>
  <c r="R166" i="121"/>
  <c r="Q166" i="121"/>
  <c r="P166" i="121"/>
  <c r="O166" i="121"/>
  <c r="N166" i="121"/>
  <c r="M166" i="121"/>
  <c r="K166" i="121"/>
  <c r="J166" i="121"/>
  <c r="I166" i="121"/>
  <c r="H166" i="121"/>
  <c r="E166" i="121"/>
  <c r="A166" i="121"/>
  <c r="S165" i="121"/>
  <c r="R165" i="121"/>
  <c r="Q165" i="121"/>
  <c r="P165" i="121"/>
  <c r="O165" i="121"/>
  <c r="N165" i="121"/>
  <c r="M165" i="121"/>
  <c r="K165" i="121"/>
  <c r="J165" i="121"/>
  <c r="I165" i="121"/>
  <c r="H165" i="121"/>
  <c r="E165" i="121"/>
  <c r="A165" i="121"/>
  <c r="S164" i="121"/>
  <c r="R164" i="121"/>
  <c r="Q164" i="121"/>
  <c r="P164" i="121"/>
  <c r="O164" i="121"/>
  <c r="N164" i="121"/>
  <c r="M164" i="121"/>
  <c r="K164" i="121"/>
  <c r="J164" i="121"/>
  <c r="I164" i="121"/>
  <c r="H164" i="121"/>
  <c r="E164" i="121"/>
  <c r="A164" i="121"/>
  <c r="S163" i="121"/>
  <c r="R163" i="121"/>
  <c r="Q163" i="121"/>
  <c r="P163" i="121"/>
  <c r="O163" i="121"/>
  <c r="N163" i="121"/>
  <c r="M163" i="121"/>
  <c r="K163" i="121"/>
  <c r="J163" i="121"/>
  <c r="I163" i="121"/>
  <c r="H163" i="121"/>
  <c r="E163" i="121"/>
  <c r="A163" i="121"/>
  <c r="S162" i="121"/>
  <c r="R162" i="121"/>
  <c r="Q162" i="121"/>
  <c r="P162" i="121"/>
  <c r="O162" i="121"/>
  <c r="N162" i="121"/>
  <c r="M162" i="121"/>
  <c r="K162" i="121"/>
  <c r="J162" i="121"/>
  <c r="I162" i="121"/>
  <c r="H162" i="121"/>
  <c r="E162" i="121"/>
  <c r="A162" i="121"/>
  <c r="S161" i="121"/>
  <c r="R161" i="121"/>
  <c r="Q161" i="121"/>
  <c r="P161" i="121"/>
  <c r="O161" i="121"/>
  <c r="N161" i="121"/>
  <c r="M161" i="121"/>
  <c r="K161" i="121"/>
  <c r="J161" i="121"/>
  <c r="I161" i="121"/>
  <c r="H161" i="121"/>
  <c r="E161" i="121"/>
  <c r="A161" i="121"/>
  <c r="S160" i="121"/>
  <c r="R160" i="121"/>
  <c r="Q160" i="121"/>
  <c r="P160" i="121"/>
  <c r="O160" i="121"/>
  <c r="N160" i="121"/>
  <c r="M160" i="121"/>
  <c r="K160" i="121"/>
  <c r="J160" i="121"/>
  <c r="I160" i="121"/>
  <c r="H160" i="121"/>
  <c r="E160" i="121"/>
  <c r="A160" i="121"/>
  <c r="S159" i="121"/>
  <c r="R159" i="121"/>
  <c r="Q159" i="121"/>
  <c r="P159" i="121"/>
  <c r="O159" i="121"/>
  <c r="N159" i="121"/>
  <c r="M159" i="121"/>
  <c r="K159" i="121"/>
  <c r="J159" i="121"/>
  <c r="I159" i="121"/>
  <c r="H159" i="121"/>
  <c r="E159" i="121"/>
  <c r="A159" i="121"/>
  <c r="S158" i="121"/>
  <c r="R158" i="121"/>
  <c r="Q158" i="121"/>
  <c r="P158" i="121"/>
  <c r="O158" i="121"/>
  <c r="N158" i="121"/>
  <c r="M158" i="121"/>
  <c r="K158" i="121"/>
  <c r="J158" i="121"/>
  <c r="I158" i="121"/>
  <c r="H158" i="121"/>
  <c r="E158" i="121"/>
  <c r="A158" i="121"/>
  <c r="S157" i="121"/>
  <c r="R157" i="121"/>
  <c r="Q157" i="121"/>
  <c r="P157" i="121"/>
  <c r="O157" i="121"/>
  <c r="N157" i="121"/>
  <c r="M157" i="121"/>
  <c r="K157" i="121"/>
  <c r="J157" i="121"/>
  <c r="I157" i="121"/>
  <c r="H157" i="121"/>
  <c r="E157" i="121"/>
  <c r="A157" i="121"/>
  <c r="S156" i="121"/>
  <c r="R156" i="121"/>
  <c r="Q156" i="121"/>
  <c r="P156" i="121"/>
  <c r="O156" i="121"/>
  <c r="N156" i="121"/>
  <c r="M156" i="121"/>
  <c r="K156" i="121"/>
  <c r="J156" i="121"/>
  <c r="I156" i="121"/>
  <c r="H156" i="121"/>
  <c r="E156" i="121"/>
  <c r="A156" i="121"/>
  <c r="S155" i="121"/>
  <c r="R155" i="121"/>
  <c r="Q155" i="121"/>
  <c r="P155" i="121"/>
  <c r="O155" i="121"/>
  <c r="N155" i="121"/>
  <c r="M155" i="121"/>
  <c r="K155" i="121"/>
  <c r="J155" i="121"/>
  <c r="I155" i="121"/>
  <c r="H155" i="121"/>
  <c r="E155" i="121"/>
  <c r="A155" i="121"/>
  <c r="S154" i="121"/>
  <c r="R154" i="121"/>
  <c r="Q154" i="121"/>
  <c r="P154" i="121"/>
  <c r="O154" i="121"/>
  <c r="N154" i="121"/>
  <c r="M154" i="121"/>
  <c r="K154" i="121"/>
  <c r="J154" i="121"/>
  <c r="I154" i="121"/>
  <c r="H154" i="121"/>
  <c r="E154" i="121"/>
  <c r="A154" i="121"/>
  <c r="S153" i="121"/>
  <c r="R153" i="121"/>
  <c r="Q153" i="121"/>
  <c r="P153" i="121"/>
  <c r="O153" i="121"/>
  <c r="N153" i="121"/>
  <c r="M153" i="121"/>
  <c r="K153" i="121"/>
  <c r="J153" i="121"/>
  <c r="I153" i="121"/>
  <c r="H153" i="121"/>
  <c r="E153" i="121"/>
  <c r="A153" i="121"/>
  <c r="S152" i="121"/>
  <c r="R152" i="121"/>
  <c r="Q152" i="121"/>
  <c r="P152" i="121"/>
  <c r="O152" i="121"/>
  <c r="N152" i="121"/>
  <c r="M152" i="121"/>
  <c r="K152" i="121"/>
  <c r="J152" i="121"/>
  <c r="I152" i="121"/>
  <c r="H152" i="121"/>
  <c r="E152" i="121"/>
  <c r="A152" i="121"/>
  <c r="S151" i="121"/>
  <c r="R151" i="121"/>
  <c r="Q151" i="121"/>
  <c r="P151" i="121"/>
  <c r="O151" i="121"/>
  <c r="N151" i="121"/>
  <c r="M151" i="121"/>
  <c r="K151" i="121"/>
  <c r="J151" i="121"/>
  <c r="I151" i="121"/>
  <c r="H151" i="121"/>
  <c r="E151" i="121"/>
  <c r="A151" i="121"/>
  <c r="S150" i="121"/>
  <c r="R150" i="121"/>
  <c r="Q150" i="121"/>
  <c r="P150" i="121"/>
  <c r="O150" i="121"/>
  <c r="N150" i="121"/>
  <c r="M150" i="121"/>
  <c r="K150" i="121"/>
  <c r="J150" i="121"/>
  <c r="I150" i="121"/>
  <c r="H150" i="121"/>
  <c r="E150" i="121"/>
  <c r="A150" i="121"/>
  <c r="S149" i="121"/>
  <c r="R149" i="121"/>
  <c r="Q149" i="121"/>
  <c r="P149" i="121"/>
  <c r="O149" i="121"/>
  <c r="N149" i="121"/>
  <c r="M149" i="121"/>
  <c r="K149" i="121"/>
  <c r="J149" i="121"/>
  <c r="I149" i="121"/>
  <c r="H149" i="121"/>
  <c r="E149" i="121"/>
  <c r="A149" i="121"/>
  <c r="S148" i="121"/>
  <c r="R148" i="121"/>
  <c r="Q148" i="121"/>
  <c r="P148" i="121"/>
  <c r="O148" i="121"/>
  <c r="N148" i="121"/>
  <c r="M148" i="121"/>
  <c r="K148" i="121"/>
  <c r="J148" i="121"/>
  <c r="I148" i="121"/>
  <c r="H148" i="121"/>
  <c r="E148" i="121"/>
  <c r="A148" i="121"/>
  <c r="S147" i="121"/>
  <c r="R147" i="121"/>
  <c r="Q147" i="121"/>
  <c r="P147" i="121"/>
  <c r="O147" i="121"/>
  <c r="N147" i="121"/>
  <c r="M147" i="121"/>
  <c r="K147" i="121"/>
  <c r="J147" i="121"/>
  <c r="I147" i="121"/>
  <c r="H147" i="121"/>
  <c r="E147" i="121"/>
  <c r="A147" i="121"/>
  <c r="S146" i="121"/>
  <c r="R146" i="121"/>
  <c r="Q146" i="121"/>
  <c r="P146" i="121"/>
  <c r="O146" i="121"/>
  <c r="N146" i="121"/>
  <c r="M146" i="121"/>
  <c r="K146" i="121"/>
  <c r="J146" i="121"/>
  <c r="I146" i="121"/>
  <c r="H146" i="121"/>
  <c r="E146" i="121"/>
  <c r="A146" i="121"/>
  <c r="S145" i="121"/>
  <c r="R145" i="121"/>
  <c r="Q145" i="121"/>
  <c r="P145" i="121"/>
  <c r="O145" i="121"/>
  <c r="N145" i="121"/>
  <c r="M145" i="121"/>
  <c r="K145" i="121"/>
  <c r="J145" i="121"/>
  <c r="I145" i="121"/>
  <c r="H145" i="121"/>
  <c r="E145" i="121"/>
  <c r="A145" i="121"/>
  <c r="S144" i="121"/>
  <c r="R144" i="121"/>
  <c r="Q144" i="121"/>
  <c r="P144" i="121"/>
  <c r="O144" i="121"/>
  <c r="N144" i="121"/>
  <c r="M144" i="121"/>
  <c r="K144" i="121"/>
  <c r="J144" i="121"/>
  <c r="I144" i="121"/>
  <c r="H144" i="121"/>
  <c r="E144" i="121"/>
  <c r="A144" i="121"/>
  <c r="S143" i="121"/>
  <c r="R143" i="121"/>
  <c r="Q143" i="121"/>
  <c r="P143" i="121"/>
  <c r="O143" i="121"/>
  <c r="N143" i="121"/>
  <c r="M143" i="121"/>
  <c r="K143" i="121"/>
  <c r="J143" i="121"/>
  <c r="I143" i="121"/>
  <c r="H143" i="121"/>
  <c r="E143" i="121"/>
  <c r="A143" i="121"/>
  <c r="S142" i="121"/>
  <c r="R142" i="121"/>
  <c r="Q142" i="121"/>
  <c r="P142" i="121"/>
  <c r="O142" i="121"/>
  <c r="N142" i="121"/>
  <c r="M142" i="121"/>
  <c r="K142" i="121"/>
  <c r="J142" i="121"/>
  <c r="I142" i="121"/>
  <c r="H142" i="121"/>
  <c r="E142" i="121"/>
  <c r="A142" i="121"/>
  <c r="S141" i="121"/>
  <c r="R141" i="121"/>
  <c r="Q141" i="121"/>
  <c r="P141" i="121"/>
  <c r="O141" i="121"/>
  <c r="N141" i="121"/>
  <c r="M141" i="121"/>
  <c r="K141" i="121"/>
  <c r="J141" i="121"/>
  <c r="I141" i="121"/>
  <c r="H141" i="121"/>
  <c r="E141" i="121"/>
  <c r="A141" i="121"/>
  <c r="S140" i="121"/>
  <c r="R140" i="121"/>
  <c r="Q140" i="121"/>
  <c r="P140" i="121"/>
  <c r="O140" i="121"/>
  <c r="N140" i="121"/>
  <c r="M140" i="121"/>
  <c r="K140" i="121"/>
  <c r="J140" i="121"/>
  <c r="I140" i="121"/>
  <c r="H140" i="121"/>
  <c r="E140" i="121"/>
  <c r="A140" i="121"/>
  <c r="S139" i="121"/>
  <c r="R139" i="121"/>
  <c r="Q139" i="121"/>
  <c r="P139" i="121"/>
  <c r="O139" i="121"/>
  <c r="N139" i="121"/>
  <c r="M139" i="121"/>
  <c r="K139" i="121"/>
  <c r="J139" i="121"/>
  <c r="I139" i="121"/>
  <c r="H139" i="121"/>
  <c r="E139" i="121"/>
  <c r="A139" i="121"/>
  <c r="S138" i="121"/>
  <c r="R138" i="121"/>
  <c r="Q138" i="121"/>
  <c r="P138" i="121"/>
  <c r="O138" i="121"/>
  <c r="N138" i="121"/>
  <c r="M138" i="121"/>
  <c r="K138" i="121"/>
  <c r="J138" i="121"/>
  <c r="I138" i="121"/>
  <c r="H138" i="121"/>
  <c r="E138" i="121"/>
  <c r="A138" i="121"/>
  <c r="S137" i="121"/>
  <c r="R137" i="121"/>
  <c r="Q137" i="121"/>
  <c r="P137" i="121"/>
  <c r="O137" i="121"/>
  <c r="N137" i="121"/>
  <c r="M137" i="121"/>
  <c r="K137" i="121"/>
  <c r="J137" i="121"/>
  <c r="I137" i="121"/>
  <c r="H137" i="121"/>
  <c r="E137" i="121"/>
  <c r="A137" i="121"/>
  <c r="S136" i="121"/>
  <c r="R136" i="121"/>
  <c r="Q136" i="121"/>
  <c r="P136" i="121"/>
  <c r="O136" i="121"/>
  <c r="N136" i="121"/>
  <c r="M136" i="121"/>
  <c r="K136" i="121"/>
  <c r="J136" i="121"/>
  <c r="I136" i="121"/>
  <c r="H136" i="121"/>
  <c r="E136" i="121"/>
  <c r="A136" i="121"/>
  <c r="S135" i="121"/>
  <c r="R135" i="121"/>
  <c r="Q135" i="121"/>
  <c r="P135" i="121"/>
  <c r="O135" i="121"/>
  <c r="N135" i="121"/>
  <c r="M135" i="121"/>
  <c r="K135" i="121"/>
  <c r="J135" i="121"/>
  <c r="I135" i="121"/>
  <c r="H135" i="121"/>
  <c r="E135" i="121"/>
  <c r="A135" i="121"/>
  <c r="S134" i="121"/>
  <c r="R134" i="121"/>
  <c r="Q134" i="121"/>
  <c r="P134" i="121"/>
  <c r="O134" i="121"/>
  <c r="N134" i="121"/>
  <c r="M134" i="121"/>
  <c r="K134" i="121"/>
  <c r="J134" i="121"/>
  <c r="I134" i="121"/>
  <c r="H134" i="121"/>
  <c r="E134" i="121"/>
  <c r="A134" i="121"/>
  <c r="S133" i="121"/>
  <c r="R133" i="121"/>
  <c r="Q133" i="121"/>
  <c r="P133" i="121"/>
  <c r="O133" i="121"/>
  <c r="N133" i="121"/>
  <c r="M133" i="121"/>
  <c r="K133" i="121"/>
  <c r="J133" i="121"/>
  <c r="I133" i="121"/>
  <c r="H133" i="121"/>
  <c r="E133" i="121"/>
  <c r="A133" i="121"/>
  <c r="S132" i="121"/>
  <c r="R132" i="121"/>
  <c r="Q132" i="121"/>
  <c r="P132" i="121"/>
  <c r="O132" i="121"/>
  <c r="N132" i="121"/>
  <c r="M132" i="121"/>
  <c r="K132" i="121"/>
  <c r="J132" i="121"/>
  <c r="I132" i="121"/>
  <c r="H132" i="121"/>
  <c r="E132" i="121"/>
  <c r="A132" i="121"/>
  <c r="S131" i="121"/>
  <c r="R131" i="121"/>
  <c r="Q131" i="121"/>
  <c r="P131" i="121"/>
  <c r="O131" i="121"/>
  <c r="N131" i="121"/>
  <c r="M131" i="121"/>
  <c r="K131" i="121"/>
  <c r="J131" i="121"/>
  <c r="I131" i="121"/>
  <c r="H131" i="121"/>
  <c r="E131" i="121"/>
  <c r="A131" i="121"/>
  <c r="S130" i="121"/>
  <c r="R130" i="121"/>
  <c r="Q130" i="121"/>
  <c r="P130" i="121"/>
  <c r="O130" i="121"/>
  <c r="N130" i="121"/>
  <c r="M130" i="121"/>
  <c r="K130" i="121"/>
  <c r="J130" i="121"/>
  <c r="I130" i="121"/>
  <c r="H130" i="121"/>
  <c r="E130" i="121"/>
  <c r="A130" i="121"/>
  <c r="S129" i="121"/>
  <c r="R129" i="121"/>
  <c r="Q129" i="121"/>
  <c r="P129" i="121"/>
  <c r="O129" i="121"/>
  <c r="N129" i="121"/>
  <c r="M129" i="121"/>
  <c r="K129" i="121"/>
  <c r="J129" i="121"/>
  <c r="I129" i="121"/>
  <c r="H129" i="121"/>
  <c r="E129" i="121"/>
  <c r="A129" i="121"/>
  <c r="S128" i="121"/>
  <c r="R128" i="121"/>
  <c r="Q128" i="121"/>
  <c r="P128" i="121"/>
  <c r="O128" i="121"/>
  <c r="N128" i="121"/>
  <c r="M128" i="121"/>
  <c r="K128" i="121"/>
  <c r="J128" i="121"/>
  <c r="I128" i="121"/>
  <c r="H128" i="121"/>
  <c r="E128" i="121"/>
  <c r="A128" i="121"/>
  <c r="S127" i="121"/>
  <c r="R127" i="121"/>
  <c r="Q127" i="121"/>
  <c r="P127" i="121"/>
  <c r="O127" i="121"/>
  <c r="N127" i="121"/>
  <c r="M127" i="121"/>
  <c r="K127" i="121"/>
  <c r="J127" i="121"/>
  <c r="I127" i="121"/>
  <c r="H127" i="121"/>
  <c r="E127" i="121"/>
  <c r="A127" i="121"/>
  <c r="S126" i="121"/>
  <c r="R126" i="121"/>
  <c r="Q126" i="121"/>
  <c r="P126" i="121"/>
  <c r="O126" i="121"/>
  <c r="N126" i="121"/>
  <c r="M126" i="121"/>
  <c r="K126" i="121"/>
  <c r="J126" i="121"/>
  <c r="I126" i="121"/>
  <c r="H126" i="121"/>
  <c r="E126" i="121"/>
  <c r="A126" i="121"/>
  <c r="S125" i="121"/>
  <c r="R125" i="121"/>
  <c r="Q125" i="121"/>
  <c r="P125" i="121"/>
  <c r="O125" i="121"/>
  <c r="N125" i="121"/>
  <c r="M125" i="121"/>
  <c r="K125" i="121"/>
  <c r="J125" i="121"/>
  <c r="I125" i="121"/>
  <c r="H125" i="121"/>
  <c r="E125" i="121"/>
  <c r="A125" i="121"/>
  <c r="S124" i="121"/>
  <c r="R124" i="121"/>
  <c r="Q124" i="121"/>
  <c r="P124" i="121"/>
  <c r="O124" i="121"/>
  <c r="N124" i="121"/>
  <c r="M124" i="121"/>
  <c r="K124" i="121"/>
  <c r="J124" i="121"/>
  <c r="I124" i="121"/>
  <c r="H124" i="121"/>
  <c r="E124" i="121"/>
  <c r="A124" i="121"/>
  <c r="S123" i="121"/>
  <c r="R123" i="121"/>
  <c r="Q123" i="121"/>
  <c r="P123" i="121"/>
  <c r="O123" i="121"/>
  <c r="N123" i="121"/>
  <c r="M123" i="121"/>
  <c r="K123" i="121"/>
  <c r="J123" i="121"/>
  <c r="I123" i="121"/>
  <c r="H123" i="121"/>
  <c r="E123" i="121"/>
  <c r="A123" i="121"/>
  <c r="S122" i="121"/>
  <c r="R122" i="121"/>
  <c r="Q122" i="121"/>
  <c r="P122" i="121"/>
  <c r="O122" i="121"/>
  <c r="N122" i="121"/>
  <c r="M122" i="121"/>
  <c r="K122" i="121"/>
  <c r="J122" i="121"/>
  <c r="I122" i="121"/>
  <c r="H122" i="121"/>
  <c r="E122" i="121"/>
  <c r="A122" i="121"/>
  <c r="S121" i="121"/>
  <c r="R121" i="121"/>
  <c r="Q121" i="121"/>
  <c r="P121" i="121"/>
  <c r="O121" i="121"/>
  <c r="N121" i="121"/>
  <c r="M121" i="121"/>
  <c r="K121" i="121"/>
  <c r="J121" i="121"/>
  <c r="I121" i="121"/>
  <c r="H121" i="121"/>
  <c r="E121" i="121"/>
  <c r="A121" i="121"/>
  <c r="S120" i="121"/>
  <c r="R120" i="121"/>
  <c r="Q120" i="121"/>
  <c r="P120" i="121"/>
  <c r="O120" i="121"/>
  <c r="N120" i="121"/>
  <c r="M120" i="121"/>
  <c r="K120" i="121"/>
  <c r="J120" i="121"/>
  <c r="I120" i="121"/>
  <c r="H120" i="121"/>
  <c r="E120" i="121"/>
  <c r="A120" i="121"/>
  <c r="S119" i="121"/>
  <c r="R119" i="121"/>
  <c r="Q119" i="121"/>
  <c r="P119" i="121"/>
  <c r="O119" i="121"/>
  <c r="N119" i="121"/>
  <c r="M119" i="121"/>
  <c r="K119" i="121"/>
  <c r="J119" i="121"/>
  <c r="I119" i="121"/>
  <c r="H119" i="121"/>
  <c r="E119" i="121"/>
  <c r="A119" i="121"/>
  <c r="S118" i="121"/>
  <c r="R118" i="121"/>
  <c r="Q118" i="121"/>
  <c r="P118" i="121"/>
  <c r="O118" i="121"/>
  <c r="N118" i="121"/>
  <c r="M118" i="121"/>
  <c r="K118" i="121"/>
  <c r="J118" i="121"/>
  <c r="I118" i="121"/>
  <c r="H118" i="121"/>
  <c r="E118" i="121"/>
  <c r="A118" i="121"/>
  <c r="S117" i="121"/>
  <c r="R117" i="121"/>
  <c r="Q117" i="121"/>
  <c r="P117" i="121"/>
  <c r="O117" i="121"/>
  <c r="N117" i="121"/>
  <c r="M117" i="121"/>
  <c r="K117" i="121"/>
  <c r="J117" i="121"/>
  <c r="I117" i="121"/>
  <c r="H117" i="121"/>
  <c r="E117" i="121"/>
  <c r="A117" i="121"/>
  <c r="S116" i="121"/>
  <c r="R116" i="121"/>
  <c r="Q116" i="121"/>
  <c r="P116" i="121"/>
  <c r="O116" i="121"/>
  <c r="N116" i="121"/>
  <c r="M116" i="121"/>
  <c r="K116" i="121"/>
  <c r="J116" i="121"/>
  <c r="I116" i="121"/>
  <c r="H116" i="121"/>
  <c r="E116" i="121"/>
  <c r="A116" i="121"/>
  <c r="S115" i="121"/>
  <c r="R115" i="121"/>
  <c r="Q115" i="121"/>
  <c r="P115" i="121"/>
  <c r="O115" i="121"/>
  <c r="N115" i="121"/>
  <c r="M115" i="121"/>
  <c r="K115" i="121"/>
  <c r="J115" i="121"/>
  <c r="I115" i="121"/>
  <c r="H115" i="121"/>
  <c r="E115" i="121"/>
  <c r="A115" i="121"/>
  <c r="S114" i="121"/>
  <c r="R114" i="121"/>
  <c r="Q114" i="121"/>
  <c r="P114" i="121"/>
  <c r="O114" i="121"/>
  <c r="N114" i="121"/>
  <c r="M114" i="121"/>
  <c r="K114" i="121"/>
  <c r="J114" i="121"/>
  <c r="I114" i="121"/>
  <c r="H114" i="121"/>
  <c r="E114" i="121"/>
  <c r="A114" i="121"/>
  <c r="S113" i="121"/>
  <c r="R113" i="121"/>
  <c r="Q113" i="121"/>
  <c r="P113" i="121"/>
  <c r="O113" i="121"/>
  <c r="N113" i="121"/>
  <c r="M113" i="121"/>
  <c r="K113" i="121"/>
  <c r="J113" i="121"/>
  <c r="I113" i="121"/>
  <c r="H113" i="121"/>
  <c r="E113" i="121"/>
  <c r="A113" i="121"/>
  <c r="S112" i="121"/>
  <c r="R112" i="121"/>
  <c r="Q112" i="121"/>
  <c r="P112" i="121"/>
  <c r="O112" i="121"/>
  <c r="N112" i="121"/>
  <c r="M112" i="121"/>
  <c r="K112" i="121"/>
  <c r="J112" i="121"/>
  <c r="I112" i="121"/>
  <c r="H112" i="121"/>
  <c r="E112" i="121"/>
  <c r="A112" i="121"/>
  <c r="S111" i="121"/>
  <c r="R111" i="121"/>
  <c r="Q111" i="121"/>
  <c r="P111" i="121"/>
  <c r="O111" i="121"/>
  <c r="N111" i="121"/>
  <c r="M111" i="121"/>
  <c r="K111" i="121"/>
  <c r="J111" i="121"/>
  <c r="I111" i="121"/>
  <c r="H111" i="121"/>
  <c r="E111" i="121"/>
  <c r="A111" i="121"/>
  <c r="S110" i="121"/>
  <c r="R110" i="121"/>
  <c r="Q110" i="121"/>
  <c r="P110" i="121"/>
  <c r="O110" i="121"/>
  <c r="N110" i="121"/>
  <c r="M110" i="121"/>
  <c r="K110" i="121"/>
  <c r="J110" i="121"/>
  <c r="I110" i="121"/>
  <c r="H110" i="121"/>
  <c r="E110" i="121"/>
  <c r="A110" i="121"/>
  <c r="S109" i="121"/>
  <c r="R109" i="121"/>
  <c r="Q109" i="121"/>
  <c r="P109" i="121"/>
  <c r="O109" i="121"/>
  <c r="N109" i="121"/>
  <c r="M109" i="121"/>
  <c r="K109" i="121"/>
  <c r="J109" i="121"/>
  <c r="I109" i="121"/>
  <c r="H109" i="121"/>
  <c r="E109" i="121"/>
  <c r="A109" i="121"/>
  <c r="S108" i="121"/>
  <c r="R108" i="121"/>
  <c r="Q108" i="121"/>
  <c r="P108" i="121"/>
  <c r="O108" i="121"/>
  <c r="N108" i="121"/>
  <c r="M108" i="121"/>
  <c r="K108" i="121"/>
  <c r="J108" i="121"/>
  <c r="I108" i="121"/>
  <c r="H108" i="121"/>
  <c r="E108" i="121"/>
  <c r="A108" i="121"/>
  <c r="S107" i="121"/>
  <c r="R107" i="121"/>
  <c r="Q107" i="121"/>
  <c r="P107" i="121"/>
  <c r="O107" i="121"/>
  <c r="N107" i="121"/>
  <c r="M107" i="121"/>
  <c r="K107" i="121"/>
  <c r="J107" i="121"/>
  <c r="I107" i="121"/>
  <c r="H107" i="121"/>
  <c r="E107" i="121"/>
  <c r="A107" i="121"/>
  <c r="S106" i="121"/>
  <c r="R106" i="121"/>
  <c r="Q106" i="121"/>
  <c r="P106" i="121"/>
  <c r="O106" i="121"/>
  <c r="N106" i="121"/>
  <c r="M106" i="121"/>
  <c r="K106" i="121"/>
  <c r="J106" i="121"/>
  <c r="I106" i="121"/>
  <c r="H106" i="121"/>
  <c r="E106" i="121"/>
  <c r="A106" i="121"/>
  <c r="S105" i="121"/>
  <c r="R105" i="121"/>
  <c r="Q105" i="121"/>
  <c r="P105" i="121"/>
  <c r="O105" i="121"/>
  <c r="N105" i="121"/>
  <c r="M105" i="121"/>
  <c r="K105" i="121"/>
  <c r="J105" i="121"/>
  <c r="I105" i="121"/>
  <c r="H105" i="121"/>
  <c r="E105" i="121"/>
  <c r="A105" i="121"/>
  <c r="S104" i="121"/>
  <c r="R104" i="121"/>
  <c r="Q104" i="121"/>
  <c r="P104" i="121"/>
  <c r="O104" i="121"/>
  <c r="N104" i="121"/>
  <c r="M104" i="121"/>
  <c r="K104" i="121"/>
  <c r="J104" i="121"/>
  <c r="I104" i="121"/>
  <c r="H104" i="121"/>
  <c r="E104" i="121"/>
  <c r="A104" i="121"/>
  <c r="S103" i="121"/>
  <c r="R103" i="121"/>
  <c r="Q103" i="121"/>
  <c r="P103" i="121"/>
  <c r="O103" i="121"/>
  <c r="N103" i="121"/>
  <c r="M103" i="121"/>
  <c r="K103" i="121"/>
  <c r="J103" i="121"/>
  <c r="I103" i="121"/>
  <c r="H103" i="121"/>
  <c r="E103" i="121"/>
  <c r="A103" i="121"/>
  <c r="S102" i="121"/>
  <c r="R102" i="121"/>
  <c r="Q102" i="121"/>
  <c r="P102" i="121"/>
  <c r="O102" i="121"/>
  <c r="N102" i="121"/>
  <c r="M102" i="121"/>
  <c r="K102" i="121"/>
  <c r="J102" i="121"/>
  <c r="I102" i="121"/>
  <c r="H102" i="121"/>
  <c r="E102" i="121"/>
  <c r="A102" i="121"/>
  <c r="S101" i="121"/>
  <c r="R101" i="121"/>
  <c r="Q101" i="121"/>
  <c r="P101" i="121"/>
  <c r="O101" i="121"/>
  <c r="N101" i="121"/>
  <c r="M101" i="121"/>
  <c r="K101" i="121"/>
  <c r="J101" i="121"/>
  <c r="I101" i="121"/>
  <c r="H101" i="121"/>
  <c r="E101" i="121"/>
  <c r="A101" i="121"/>
  <c r="S100" i="121"/>
  <c r="R100" i="121"/>
  <c r="Q100" i="121"/>
  <c r="P100" i="121"/>
  <c r="O100" i="121"/>
  <c r="N100" i="121"/>
  <c r="M100" i="121"/>
  <c r="K100" i="121"/>
  <c r="J100" i="121"/>
  <c r="I100" i="121"/>
  <c r="H100" i="121"/>
  <c r="E100" i="121"/>
  <c r="A100" i="121"/>
  <c r="S99" i="121"/>
  <c r="R99" i="121"/>
  <c r="Q99" i="121"/>
  <c r="P99" i="121"/>
  <c r="O99" i="121"/>
  <c r="N99" i="121"/>
  <c r="M99" i="121"/>
  <c r="K99" i="121"/>
  <c r="J99" i="121"/>
  <c r="I99" i="121"/>
  <c r="H99" i="121"/>
  <c r="E99" i="121"/>
  <c r="A99" i="121"/>
  <c r="S98" i="121"/>
  <c r="R98" i="121"/>
  <c r="Q98" i="121"/>
  <c r="P98" i="121"/>
  <c r="O98" i="121"/>
  <c r="N98" i="121"/>
  <c r="M98" i="121"/>
  <c r="K98" i="121"/>
  <c r="J98" i="121"/>
  <c r="I98" i="121"/>
  <c r="H98" i="121"/>
  <c r="E98" i="121"/>
  <c r="A98" i="121"/>
  <c r="S97" i="121"/>
  <c r="R97" i="121"/>
  <c r="Q97" i="121"/>
  <c r="P97" i="121"/>
  <c r="O97" i="121"/>
  <c r="N97" i="121"/>
  <c r="M97" i="121"/>
  <c r="K97" i="121"/>
  <c r="J97" i="121"/>
  <c r="I97" i="121"/>
  <c r="H97" i="121"/>
  <c r="E97" i="121"/>
  <c r="A97" i="121"/>
  <c r="S96" i="121"/>
  <c r="R96" i="121"/>
  <c r="Q96" i="121"/>
  <c r="P96" i="121"/>
  <c r="O96" i="121"/>
  <c r="N96" i="121"/>
  <c r="M96" i="121"/>
  <c r="K96" i="121"/>
  <c r="J96" i="121"/>
  <c r="I96" i="121"/>
  <c r="H96" i="121"/>
  <c r="E96" i="121"/>
  <c r="A96" i="121"/>
  <c r="S95" i="121"/>
  <c r="R95" i="121"/>
  <c r="Q95" i="121"/>
  <c r="P95" i="121"/>
  <c r="O95" i="121"/>
  <c r="N95" i="121"/>
  <c r="M95" i="121"/>
  <c r="K95" i="121"/>
  <c r="J95" i="121"/>
  <c r="I95" i="121"/>
  <c r="H95" i="121"/>
  <c r="E95" i="121"/>
  <c r="A95" i="121"/>
  <c r="S94" i="121"/>
  <c r="R94" i="121"/>
  <c r="Q94" i="121"/>
  <c r="P94" i="121"/>
  <c r="O94" i="121"/>
  <c r="N94" i="121"/>
  <c r="M94" i="121"/>
  <c r="K94" i="121"/>
  <c r="J94" i="121"/>
  <c r="I94" i="121"/>
  <c r="H94" i="121"/>
  <c r="E94" i="121"/>
  <c r="A94" i="121"/>
  <c r="S93" i="121"/>
  <c r="R93" i="121"/>
  <c r="Q93" i="121"/>
  <c r="P93" i="121"/>
  <c r="O93" i="121"/>
  <c r="N93" i="121"/>
  <c r="M93" i="121"/>
  <c r="K93" i="121"/>
  <c r="J93" i="121"/>
  <c r="I93" i="121"/>
  <c r="H93" i="121"/>
  <c r="E93" i="121"/>
  <c r="A93" i="121"/>
  <c r="S92" i="121"/>
  <c r="R92" i="121"/>
  <c r="Q92" i="121"/>
  <c r="P92" i="121"/>
  <c r="O92" i="121"/>
  <c r="N92" i="121"/>
  <c r="M92" i="121"/>
  <c r="K92" i="121"/>
  <c r="J92" i="121"/>
  <c r="I92" i="121"/>
  <c r="H92" i="121"/>
  <c r="E92" i="121"/>
  <c r="A92" i="121"/>
  <c r="S91" i="121"/>
  <c r="R91" i="121"/>
  <c r="Q91" i="121"/>
  <c r="P91" i="121"/>
  <c r="O91" i="121"/>
  <c r="N91" i="121"/>
  <c r="M91" i="121"/>
  <c r="K91" i="121"/>
  <c r="J91" i="121"/>
  <c r="I91" i="121"/>
  <c r="H91" i="121"/>
  <c r="E91" i="121"/>
  <c r="A91" i="121"/>
  <c r="S90" i="121"/>
  <c r="R90" i="121"/>
  <c r="Q90" i="121"/>
  <c r="P90" i="121"/>
  <c r="O90" i="121"/>
  <c r="N90" i="121"/>
  <c r="M90" i="121"/>
  <c r="K90" i="121"/>
  <c r="J90" i="121"/>
  <c r="I90" i="121"/>
  <c r="H90" i="121"/>
  <c r="E90" i="121"/>
  <c r="A90" i="121"/>
  <c r="S89" i="121"/>
  <c r="R89" i="121"/>
  <c r="Q89" i="121"/>
  <c r="P89" i="121"/>
  <c r="O89" i="121"/>
  <c r="N89" i="121"/>
  <c r="M89" i="121"/>
  <c r="K89" i="121"/>
  <c r="J89" i="121"/>
  <c r="I89" i="121"/>
  <c r="H89" i="121"/>
  <c r="E89" i="121"/>
  <c r="A89" i="121"/>
  <c r="S88" i="121"/>
  <c r="R88" i="121"/>
  <c r="Q88" i="121"/>
  <c r="P88" i="121"/>
  <c r="O88" i="121"/>
  <c r="N88" i="121"/>
  <c r="M88" i="121"/>
  <c r="K88" i="121"/>
  <c r="J88" i="121"/>
  <c r="I88" i="121"/>
  <c r="H88" i="121"/>
  <c r="E88" i="121"/>
  <c r="A88" i="121"/>
  <c r="S87" i="121"/>
  <c r="R87" i="121"/>
  <c r="Q87" i="121"/>
  <c r="P87" i="121"/>
  <c r="O87" i="121"/>
  <c r="N87" i="121"/>
  <c r="M87" i="121"/>
  <c r="K87" i="121"/>
  <c r="J87" i="121"/>
  <c r="I87" i="121"/>
  <c r="H87" i="121"/>
  <c r="E87" i="121"/>
  <c r="A87" i="121"/>
  <c r="S86" i="121"/>
  <c r="R86" i="121"/>
  <c r="Q86" i="121"/>
  <c r="P86" i="121"/>
  <c r="O86" i="121"/>
  <c r="N86" i="121"/>
  <c r="M86" i="121"/>
  <c r="K86" i="121"/>
  <c r="J86" i="121"/>
  <c r="I86" i="121"/>
  <c r="H86" i="121"/>
  <c r="E86" i="121"/>
  <c r="A86" i="121"/>
  <c r="S85" i="121"/>
  <c r="R85" i="121"/>
  <c r="Q85" i="121"/>
  <c r="P85" i="121"/>
  <c r="O85" i="121"/>
  <c r="N85" i="121"/>
  <c r="M85" i="121"/>
  <c r="K85" i="121"/>
  <c r="J85" i="121"/>
  <c r="I85" i="121"/>
  <c r="H85" i="121"/>
  <c r="E85" i="121"/>
  <c r="A85" i="121"/>
  <c r="S84" i="121"/>
  <c r="R84" i="121"/>
  <c r="Q84" i="121"/>
  <c r="P84" i="121"/>
  <c r="O84" i="121"/>
  <c r="N84" i="121"/>
  <c r="M84" i="121"/>
  <c r="K84" i="121"/>
  <c r="J84" i="121"/>
  <c r="I84" i="121"/>
  <c r="H84" i="121"/>
  <c r="E84" i="121"/>
  <c r="A84" i="121"/>
  <c r="S83" i="121"/>
  <c r="R83" i="121"/>
  <c r="Q83" i="121"/>
  <c r="P83" i="121"/>
  <c r="O83" i="121"/>
  <c r="N83" i="121"/>
  <c r="M83" i="121"/>
  <c r="K83" i="121"/>
  <c r="J83" i="121"/>
  <c r="I83" i="121"/>
  <c r="H83" i="121"/>
  <c r="E83" i="121"/>
  <c r="A83" i="121"/>
  <c r="S82" i="121"/>
  <c r="R82" i="121"/>
  <c r="Q82" i="121"/>
  <c r="P82" i="121"/>
  <c r="O82" i="121"/>
  <c r="N82" i="121"/>
  <c r="M82" i="121"/>
  <c r="K82" i="121"/>
  <c r="J82" i="121"/>
  <c r="I82" i="121"/>
  <c r="H82" i="121"/>
  <c r="E82" i="121"/>
  <c r="A82" i="121"/>
  <c r="S81" i="121"/>
  <c r="R81" i="121"/>
  <c r="Q81" i="121"/>
  <c r="P81" i="121"/>
  <c r="O81" i="121"/>
  <c r="N81" i="121"/>
  <c r="M81" i="121"/>
  <c r="K81" i="121"/>
  <c r="J81" i="121"/>
  <c r="I81" i="121"/>
  <c r="H81" i="121"/>
  <c r="E81" i="121"/>
  <c r="A81" i="121"/>
  <c r="S80" i="121"/>
  <c r="R80" i="121"/>
  <c r="Q80" i="121"/>
  <c r="P80" i="121"/>
  <c r="O80" i="121"/>
  <c r="N80" i="121"/>
  <c r="M80" i="121"/>
  <c r="K80" i="121"/>
  <c r="J80" i="121"/>
  <c r="I80" i="121"/>
  <c r="H80" i="121"/>
  <c r="E80" i="121"/>
  <c r="A80" i="121"/>
  <c r="S79" i="121"/>
  <c r="R79" i="121"/>
  <c r="Q79" i="121"/>
  <c r="P79" i="121"/>
  <c r="O79" i="121"/>
  <c r="N79" i="121"/>
  <c r="M79" i="121"/>
  <c r="K79" i="121"/>
  <c r="J79" i="121"/>
  <c r="I79" i="121"/>
  <c r="H79" i="121"/>
  <c r="E79" i="121"/>
  <c r="A79" i="121"/>
  <c r="S78" i="121"/>
  <c r="R78" i="121"/>
  <c r="Q78" i="121"/>
  <c r="P78" i="121"/>
  <c r="O78" i="121"/>
  <c r="N78" i="121"/>
  <c r="M78" i="121"/>
  <c r="K78" i="121"/>
  <c r="J78" i="121"/>
  <c r="I78" i="121"/>
  <c r="H78" i="121"/>
  <c r="E78" i="121"/>
  <c r="A78" i="121"/>
  <c r="S77" i="121"/>
  <c r="R77" i="121"/>
  <c r="Q77" i="121"/>
  <c r="P77" i="121"/>
  <c r="O77" i="121"/>
  <c r="N77" i="121"/>
  <c r="M77" i="121"/>
  <c r="K77" i="121"/>
  <c r="J77" i="121"/>
  <c r="I77" i="121"/>
  <c r="H77" i="121"/>
  <c r="E77" i="121"/>
  <c r="A77" i="121"/>
  <c r="S76" i="121"/>
  <c r="R76" i="121"/>
  <c r="Q76" i="121"/>
  <c r="P76" i="121"/>
  <c r="O76" i="121"/>
  <c r="N76" i="121"/>
  <c r="M76" i="121"/>
  <c r="K76" i="121"/>
  <c r="J76" i="121"/>
  <c r="I76" i="121"/>
  <c r="H76" i="121"/>
  <c r="E76" i="121"/>
  <c r="A76" i="121"/>
  <c r="S75" i="121"/>
  <c r="R75" i="121"/>
  <c r="Q75" i="121"/>
  <c r="P75" i="121"/>
  <c r="O75" i="121"/>
  <c r="N75" i="121"/>
  <c r="M75" i="121"/>
  <c r="K75" i="121"/>
  <c r="J75" i="121"/>
  <c r="I75" i="121"/>
  <c r="H75" i="121"/>
  <c r="E75" i="121"/>
  <c r="A75" i="121"/>
  <c r="S74" i="121"/>
  <c r="R74" i="121"/>
  <c r="Q74" i="121"/>
  <c r="P74" i="121"/>
  <c r="O74" i="121"/>
  <c r="N74" i="121"/>
  <c r="M74" i="121"/>
  <c r="K74" i="121"/>
  <c r="J74" i="121"/>
  <c r="I74" i="121"/>
  <c r="H74" i="121"/>
  <c r="E74" i="121"/>
  <c r="A74" i="121"/>
  <c r="S73" i="121"/>
  <c r="R73" i="121"/>
  <c r="Q73" i="121"/>
  <c r="P73" i="121"/>
  <c r="O73" i="121"/>
  <c r="N73" i="121"/>
  <c r="M73" i="121"/>
  <c r="K73" i="121"/>
  <c r="J73" i="121"/>
  <c r="I73" i="121"/>
  <c r="H73" i="121"/>
  <c r="E73" i="121"/>
  <c r="A73" i="121"/>
  <c r="S72" i="121"/>
  <c r="R72" i="121"/>
  <c r="Q72" i="121"/>
  <c r="P72" i="121"/>
  <c r="O72" i="121"/>
  <c r="N72" i="121"/>
  <c r="M72" i="121"/>
  <c r="K72" i="121"/>
  <c r="J72" i="121"/>
  <c r="I72" i="121"/>
  <c r="H72" i="121"/>
  <c r="E72" i="121"/>
  <c r="A72" i="121"/>
  <c r="S71" i="121"/>
  <c r="R71" i="121"/>
  <c r="Q71" i="121"/>
  <c r="P71" i="121"/>
  <c r="O71" i="121"/>
  <c r="N71" i="121"/>
  <c r="M71" i="121"/>
  <c r="K71" i="121"/>
  <c r="J71" i="121"/>
  <c r="I71" i="121"/>
  <c r="H71" i="121"/>
  <c r="E71" i="121"/>
  <c r="A71" i="121"/>
  <c r="S70" i="121"/>
  <c r="R70" i="121"/>
  <c r="Q70" i="121"/>
  <c r="P70" i="121"/>
  <c r="O70" i="121"/>
  <c r="N70" i="121"/>
  <c r="M70" i="121"/>
  <c r="K70" i="121"/>
  <c r="J70" i="121"/>
  <c r="I70" i="121"/>
  <c r="H70" i="121"/>
  <c r="E70" i="121"/>
  <c r="A70" i="121"/>
  <c r="S69" i="121"/>
  <c r="R69" i="121"/>
  <c r="Q69" i="121"/>
  <c r="P69" i="121"/>
  <c r="O69" i="121"/>
  <c r="N69" i="121"/>
  <c r="M69" i="121"/>
  <c r="K69" i="121"/>
  <c r="J69" i="121"/>
  <c r="I69" i="121"/>
  <c r="H69" i="121"/>
  <c r="E69" i="121"/>
  <c r="A69" i="121"/>
  <c r="S68" i="121"/>
  <c r="R68" i="121"/>
  <c r="Q68" i="121"/>
  <c r="P68" i="121"/>
  <c r="O68" i="121"/>
  <c r="N68" i="121"/>
  <c r="M68" i="121"/>
  <c r="K68" i="121"/>
  <c r="J68" i="121"/>
  <c r="I68" i="121"/>
  <c r="H68" i="121"/>
  <c r="E68" i="121"/>
  <c r="A68" i="121"/>
  <c r="S67" i="121"/>
  <c r="R67" i="121"/>
  <c r="Q67" i="121"/>
  <c r="P67" i="121"/>
  <c r="O67" i="121"/>
  <c r="N67" i="121"/>
  <c r="M67" i="121"/>
  <c r="K67" i="121"/>
  <c r="J67" i="121"/>
  <c r="I67" i="121"/>
  <c r="H67" i="121"/>
  <c r="E67" i="121"/>
  <c r="A67" i="121"/>
  <c r="S66" i="121"/>
  <c r="R66" i="121"/>
  <c r="Q66" i="121"/>
  <c r="P66" i="121"/>
  <c r="O66" i="121"/>
  <c r="N66" i="121"/>
  <c r="M66" i="121"/>
  <c r="K66" i="121"/>
  <c r="J66" i="121"/>
  <c r="I66" i="121"/>
  <c r="H66" i="121"/>
  <c r="E66" i="121"/>
  <c r="A66" i="121"/>
  <c r="S65" i="121"/>
  <c r="R65" i="121"/>
  <c r="Q65" i="121"/>
  <c r="P65" i="121"/>
  <c r="O65" i="121"/>
  <c r="N65" i="121"/>
  <c r="M65" i="121"/>
  <c r="K65" i="121"/>
  <c r="J65" i="121"/>
  <c r="I65" i="121"/>
  <c r="H65" i="121"/>
  <c r="E65" i="121"/>
  <c r="A65" i="121"/>
  <c r="S64" i="121"/>
  <c r="R64" i="121"/>
  <c r="Q64" i="121"/>
  <c r="P64" i="121"/>
  <c r="O64" i="121"/>
  <c r="N64" i="121"/>
  <c r="M64" i="121"/>
  <c r="K64" i="121"/>
  <c r="J64" i="121"/>
  <c r="I64" i="121"/>
  <c r="H64" i="121"/>
  <c r="E64" i="121"/>
  <c r="A64" i="121"/>
  <c r="S63" i="121"/>
  <c r="R63" i="121"/>
  <c r="Q63" i="121"/>
  <c r="P63" i="121"/>
  <c r="O63" i="121"/>
  <c r="N63" i="121"/>
  <c r="M63" i="121"/>
  <c r="K63" i="121"/>
  <c r="J63" i="121"/>
  <c r="I63" i="121"/>
  <c r="H63" i="121"/>
  <c r="E63" i="121"/>
  <c r="A63" i="121"/>
  <c r="S62" i="121"/>
  <c r="R62" i="121"/>
  <c r="Q62" i="121"/>
  <c r="P62" i="121"/>
  <c r="O62" i="121"/>
  <c r="N62" i="121"/>
  <c r="M62" i="121"/>
  <c r="K62" i="121"/>
  <c r="J62" i="121"/>
  <c r="I62" i="121"/>
  <c r="H62" i="121"/>
  <c r="E62" i="121"/>
  <c r="A62" i="121"/>
  <c r="S61" i="121"/>
  <c r="R61" i="121"/>
  <c r="Q61" i="121"/>
  <c r="P61" i="121"/>
  <c r="O61" i="121"/>
  <c r="N61" i="121"/>
  <c r="M61" i="121"/>
  <c r="K61" i="121"/>
  <c r="J61" i="121"/>
  <c r="I61" i="121"/>
  <c r="H61" i="121"/>
  <c r="E61" i="121"/>
  <c r="A61" i="121"/>
  <c r="S60" i="121"/>
  <c r="R60" i="121"/>
  <c r="Q60" i="121"/>
  <c r="P60" i="121"/>
  <c r="O60" i="121"/>
  <c r="N60" i="121"/>
  <c r="M60" i="121"/>
  <c r="K60" i="121"/>
  <c r="J60" i="121"/>
  <c r="I60" i="121"/>
  <c r="H60" i="121"/>
  <c r="E60" i="121"/>
  <c r="A60" i="121"/>
  <c r="S59" i="121"/>
  <c r="R59" i="121"/>
  <c r="Q59" i="121"/>
  <c r="P59" i="121"/>
  <c r="O59" i="121"/>
  <c r="N59" i="121"/>
  <c r="M59" i="121"/>
  <c r="K59" i="121"/>
  <c r="J59" i="121"/>
  <c r="I59" i="121"/>
  <c r="H59" i="121"/>
  <c r="E59" i="121"/>
  <c r="A59" i="121"/>
  <c r="S58" i="121"/>
  <c r="R58" i="121"/>
  <c r="Q58" i="121"/>
  <c r="P58" i="121"/>
  <c r="O58" i="121"/>
  <c r="N58" i="121"/>
  <c r="M58" i="121"/>
  <c r="K58" i="121"/>
  <c r="J58" i="121"/>
  <c r="I58" i="121"/>
  <c r="H58" i="121"/>
  <c r="E58" i="121"/>
  <c r="A58" i="121"/>
  <c r="S57" i="121"/>
  <c r="R57" i="121"/>
  <c r="Q57" i="121"/>
  <c r="P57" i="121"/>
  <c r="O57" i="121"/>
  <c r="N57" i="121"/>
  <c r="M57" i="121"/>
  <c r="K57" i="121"/>
  <c r="J57" i="121"/>
  <c r="I57" i="121"/>
  <c r="H57" i="121"/>
  <c r="E57" i="121"/>
  <c r="A57" i="121"/>
  <c r="S56" i="121"/>
  <c r="R56" i="121"/>
  <c r="Q56" i="121"/>
  <c r="P56" i="121"/>
  <c r="O56" i="121"/>
  <c r="N56" i="121"/>
  <c r="M56" i="121"/>
  <c r="K56" i="121"/>
  <c r="J56" i="121"/>
  <c r="I56" i="121"/>
  <c r="H56" i="121"/>
  <c r="E56" i="121"/>
  <c r="A56" i="121"/>
  <c r="S55" i="121"/>
  <c r="R55" i="121"/>
  <c r="Q55" i="121"/>
  <c r="P55" i="121"/>
  <c r="O55" i="121"/>
  <c r="N55" i="121"/>
  <c r="M55" i="121"/>
  <c r="K55" i="121"/>
  <c r="J55" i="121"/>
  <c r="I55" i="121"/>
  <c r="H55" i="121"/>
  <c r="E55" i="121"/>
  <c r="A55" i="121"/>
  <c r="S54" i="121"/>
  <c r="R54" i="121"/>
  <c r="Q54" i="121"/>
  <c r="P54" i="121"/>
  <c r="O54" i="121"/>
  <c r="N54" i="121"/>
  <c r="M54" i="121"/>
  <c r="K54" i="121"/>
  <c r="J54" i="121"/>
  <c r="I54" i="121"/>
  <c r="H54" i="121"/>
  <c r="E54" i="121"/>
  <c r="A54" i="121"/>
  <c r="S53" i="121"/>
  <c r="R53" i="121"/>
  <c r="Q53" i="121"/>
  <c r="P53" i="121"/>
  <c r="O53" i="121"/>
  <c r="N53" i="121"/>
  <c r="M53" i="121"/>
  <c r="K53" i="121"/>
  <c r="J53" i="121"/>
  <c r="I53" i="121"/>
  <c r="H53" i="121"/>
  <c r="E53" i="121"/>
  <c r="A53" i="121"/>
  <c r="S52" i="121"/>
  <c r="R52" i="121"/>
  <c r="Q52" i="121"/>
  <c r="P52" i="121"/>
  <c r="O52" i="121"/>
  <c r="N52" i="121"/>
  <c r="M52" i="121"/>
  <c r="K52" i="121"/>
  <c r="J52" i="121"/>
  <c r="I52" i="121"/>
  <c r="H52" i="121"/>
  <c r="E52" i="121"/>
  <c r="A52" i="121"/>
  <c r="S51" i="121"/>
  <c r="R51" i="121"/>
  <c r="Q51" i="121"/>
  <c r="P51" i="121"/>
  <c r="O51" i="121"/>
  <c r="N51" i="121"/>
  <c r="M51" i="121"/>
  <c r="K51" i="121"/>
  <c r="J51" i="121"/>
  <c r="I51" i="121"/>
  <c r="H51" i="121"/>
  <c r="E51" i="121"/>
  <c r="A51" i="121"/>
  <c r="S50" i="121"/>
  <c r="R50" i="121"/>
  <c r="Q50" i="121"/>
  <c r="P50" i="121"/>
  <c r="O50" i="121"/>
  <c r="N50" i="121"/>
  <c r="M50" i="121"/>
  <c r="K50" i="121"/>
  <c r="J50" i="121"/>
  <c r="I50" i="121"/>
  <c r="H50" i="121"/>
  <c r="E50" i="121"/>
  <c r="A50" i="121"/>
  <c r="S49" i="121"/>
  <c r="R49" i="121"/>
  <c r="Q49" i="121"/>
  <c r="P49" i="121"/>
  <c r="O49" i="121"/>
  <c r="N49" i="121"/>
  <c r="M49" i="121"/>
  <c r="K49" i="121"/>
  <c r="J49" i="121"/>
  <c r="I49" i="121"/>
  <c r="H49" i="121"/>
  <c r="E49" i="121"/>
  <c r="A49" i="121"/>
  <c r="S48" i="121"/>
  <c r="R48" i="121"/>
  <c r="Q48" i="121"/>
  <c r="P48" i="121"/>
  <c r="O48" i="121"/>
  <c r="N48" i="121"/>
  <c r="M48" i="121"/>
  <c r="K48" i="121"/>
  <c r="J48" i="121"/>
  <c r="I48" i="121"/>
  <c r="H48" i="121"/>
  <c r="E48" i="121"/>
  <c r="A48" i="121"/>
  <c r="S47" i="121"/>
  <c r="R47" i="121"/>
  <c r="Q47" i="121"/>
  <c r="P47" i="121"/>
  <c r="O47" i="121"/>
  <c r="N47" i="121"/>
  <c r="M47" i="121"/>
  <c r="K47" i="121"/>
  <c r="J47" i="121"/>
  <c r="I47" i="121"/>
  <c r="H47" i="121"/>
  <c r="E47" i="121"/>
  <c r="A47" i="121"/>
  <c r="S46" i="121"/>
  <c r="R46" i="121"/>
  <c r="Q46" i="121"/>
  <c r="P46" i="121"/>
  <c r="O46" i="121"/>
  <c r="N46" i="121"/>
  <c r="M46" i="121"/>
  <c r="K46" i="121"/>
  <c r="J46" i="121"/>
  <c r="I46" i="121"/>
  <c r="H46" i="121"/>
  <c r="E46" i="121"/>
  <c r="A46" i="121"/>
  <c r="S45" i="121"/>
  <c r="R45" i="121"/>
  <c r="Q45" i="121"/>
  <c r="P45" i="121"/>
  <c r="O45" i="121"/>
  <c r="N45" i="121"/>
  <c r="M45" i="121"/>
  <c r="K45" i="121"/>
  <c r="J45" i="121"/>
  <c r="I45" i="121"/>
  <c r="H45" i="121"/>
  <c r="E45" i="121"/>
  <c r="A45" i="121"/>
  <c r="S44" i="121"/>
  <c r="R44" i="121"/>
  <c r="Q44" i="121"/>
  <c r="P44" i="121"/>
  <c r="O44" i="121"/>
  <c r="N44" i="121"/>
  <c r="M44" i="121"/>
  <c r="K44" i="121"/>
  <c r="J44" i="121"/>
  <c r="I44" i="121"/>
  <c r="H44" i="121"/>
  <c r="E44" i="121"/>
  <c r="A44" i="121"/>
  <c r="S43" i="121"/>
  <c r="R43" i="121"/>
  <c r="Q43" i="121"/>
  <c r="P43" i="121"/>
  <c r="O43" i="121"/>
  <c r="N43" i="121"/>
  <c r="M43" i="121"/>
  <c r="K43" i="121"/>
  <c r="J43" i="121"/>
  <c r="I43" i="121"/>
  <c r="H43" i="121"/>
  <c r="E43" i="121"/>
  <c r="A43" i="121"/>
  <c r="S42" i="121"/>
  <c r="R42" i="121"/>
  <c r="Q42" i="121"/>
  <c r="P42" i="121"/>
  <c r="O42" i="121"/>
  <c r="N42" i="121"/>
  <c r="M42" i="121"/>
  <c r="K42" i="121"/>
  <c r="J42" i="121"/>
  <c r="I42" i="121"/>
  <c r="H42" i="121"/>
  <c r="E42" i="121"/>
  <c r="A42" i="121"/>
  <c r="S41" i="121"/>
  <c r="R41" i="121"/>
  <c r="Q41" i="121"/>
  <c r="P41" i="121"/>
  <c r="O41" i="121"/>
  <c r="N41" i="121"/>
  <c r="M41" i="121"/>
  <c r="K41" i="121"/>
  <c r="J41" i="121"/>
  <c r="I41" i="121"/>
  <c r="H41" i="121"/>
  <c r="E41" i="121"/>
  <c r="A41" i="121"/>
  <c r="S40" i="121"/>
  <c r="R40" i="121"/>
  <c r="Q40" i="121"/>
  <c r="P40" i="121"/>
  <c r="O40" i="121"/>
  <c r="N40" i="121"/>
  <c r="M40" i="121"/>
  <c r="K40" i="121"/>
  <c r="J40" i="121"/>
  <c r="I40" i="121"/>
  <c r="H40" i="121"/>
  <c r="E40" i="121"/>
  <c r="A40" i="121"/>
  <c r="S39" i="121"/>
  <c r="R39" i="121"/>
  <c r="Q39" i="121"/>
  <c r="P39" i="121"/>
  <c r="O39" i="121"/>
  <c r="N39" i="121"/>
  <c r="M39" i="121"/>
  <c r="K39" i="121"/>
  <c r="J39" i="121"/>
  <c r="I39" i="121"/>
  <c r="H39" i="121"/>
  <c r="E39" i="121"/>
  <c r="A39" i="121"/>
  <c r="S38" i="121"/>
  <c r="R38" i="121"/>
  <c r="Q38" i="121"/>
  <c r="P38" i="121"/>
  <c r="O38" i="121"/>
  <c r="N38" i="121"/>
  <c r="M38" i="121"/>
  <c r="K38" i="121"/>
  <c r="J38" i="121"/>
  <c r="I38" i="121"/>
  <c r="H38" i="121"/>
  <c r="E38" i="121"/>
  <c r="A38" i="121"/>
  <c r="S37" i="121"/>
  <c r="R37" i="121"/>
  <c r="Q37" i="121"/>
  <c r="P37" i="121"/>
  <c r="O37" i="121"/>
  <c r="N37" i="121"/>
  <c r="M37" i="121"/>
  <c r="K37" i="121"/>
  <c r="J37" i="121"/>
  <c r="I37" i="121"/>
  <c r="H37" i="121"/>
  <c r="E37" i="121"/>
  <c r="A37" i="121"/>
  <c r="S36" i="121"/>
  <c r="R36" i="121"/>
  <c r="Q36" i="121"/>
  <c r="P36" i="121"/>
  <c r="O36" i="121"/>
  <c r="N36" i="121"/>
  <c r="M36" i="121"/>
  <c r="K36" i="121"/>
  <c r="J36" i="121"/>
  <c r="I36" i="121"/>
  <c r="H36" i="121"/>
  <c r="E36" i="121"/>
  <c r="A36" i="121"/>
  <c r="S35" i="121"/>
  <c r="R35" i="121"/>
  <c r="Q35" i="121"/>
  <c r="P35" i="121"/>
  <c r="O35" i="121"/>
  <c r="N35" i="121"/>
  <c r="M35" i="121"/>
  <c r="K35" i="121"/>
  <c r="J35" i="121"/>
  <c r="I35" i="121"/>
  <c r="H35" i="121"/>
  <c r="E35" i="121"/>
  <c r="A35" i="121"/>
  <c r="S34" i="121"/>
  <c r="R34" i="121"/>
  <c r="Q34" i="121"/>
  <c r="P34" i="121"/>
  <c r="O34" i="121"/>
  <c r="N34" i="121"/>
  <c r="M34" i="121"/>
  <c r="K34" i="121"/>
  <c r="J34" i="121"/>
  <c r="I34" i="121"/>
  <c r="H34" i="121"/>
  <c r="E34" i="121"/>
  <c r="A34" i="121"/>
  <c r="S33" i="121"/>
  <c r="R33" i="121"/>
  <c r="Q33" i="121"/>
  <c r="P33" i="121"/>
  <c r="O33" i="121"/>
  <c r="N33" i="121"/>
  <c r="M33" i="121"/>
  <c r="K33" i="121"/>
  <c r="J33" i="121"/>
  <c r="I33" i="121"/>
  <c r="H33" i="121"/>
  <c r="E33" i="121"/>
  <c r="A33" i="121"/>
  <c r="S32" i="121"/>
  <c r="R32" i="121"/>
  <c r="Q32" i="121"/>
  <c r="P32" i="121"/>
  <c r="O32" i="121"/>
  <c r="N32" i="121"/>
  <c r="M32" i="121"/>
  <c r="K32" i="121"/>
  <c r="J32" i="121"/>
  <c r="I32" i="121"/>
  <c r="H32" i="121"/>
  <c r="E32" i="121"/>
  <c r="A32" i="121"/>
  <c r="S31" i="121"/>
  <c r="R31" i="121"/>
  <c r="Q31" i="121"/>
  <c r="P31" i="121"/>
  <c r="O31" i="121"/>
  <c r="N31" i="121"/>
  <c r="M31" i="121"/>
  <c r="K31" i="121"/>
  <c r="J31" i="121"/>
  <c r="I31" i="121"/>
  <c r="H31" i="121"/>
  <c r="E31" i="121"/>
  <c r="A31" i="121"/>
  <c r="S30" i="121"/>
  <c r="R30" i="121"/>
  <c r="Q30" i="121"/>
  <c r="P30" i="121"/>
  <c r="O30" i="121"/>
  <c r="N30" i="121"/>
  <c r="M30" i="121"/>
  <c r="K30" i="121"/>
  <c r="J30" i="121"/>
  <c r="I30" i="121"/>
  <c r="H30" i="121"/>
  <c r="E30" i="121"/>
  <c r="A30" i="121"/>
  <c r="S29" i="121"/>
  <c r="R29" i="121"/>
  <c r="Q29" i="121"/>
  <c r="P29" i="121"/>
  <c r="O29" i="121"/>
  <c r="N29" i="121"/>
  <c r="M29" i="121"/>
  <c r="K29" i="121"/>
  <c r="J29" i="121"/>
  <c r="I29" i="121"/>
  <c r="H29" i="121"/>
  <c r="E29" i="121"/>
  <c r="A29" i="121"/>
  <c r="S28" i="121"/>
  <c r="R28" i="121"/>
  <c r="Q28" i="121"/>
  <c r="P28" i="121"/>
  <c r="O28" i="121"/>
  <c r="N28" i="121"/>
  <c r="M28" i="121"/>
  <c r="K28" i="121"/>
  <c r="J28" i="121"/>
  <c r="I28" i="121"/>
  <c r="H28" i="121"/>
  <c r="E28" i="121"/>
  <c r="A28" i="121"/>
  <c r="S27" i="121"/>
  <c r="R27" i="121"/>
  <c r="Q27" i="121"/>
  <c r="P27" i="121"/>
  <c r="O27" i="121"/>
  <c r="N27" i="121"/>
  <c r="M27" i="121"/>
  <c r="K27" i="121"/>
  <c r="J27" i="121"/>
  <c r="I27" i="121"/>
  <c r="H27" i="121"/>
  <c r="E27" i="121"/>
  <c r="A27" i="121"/>
  <c r="S26" i="121"/>
  <c r="R26" i="121"/>
  <c r="Q26" i="121"/>
  <c r="P26" i="121"/>
  <c r="O26" i="121"/>
  <c r="N26" i="121"/>
  <c r="M26" i="121"/>
  <c r="K26" i="121"/>
  <c r="J26" i="121"/>
  <c r="I26" i="121"/>
  <c r="H26" i="121"/>
  <c r="E26" i="121"/>
  <c r="A26" i="121"/>
  <c r="S25" i="121"/>
  <c r="R25" i="121"/>
  <c r="Q25" i="121"/>
  <c r="P25" i="121"/>
  <c r="O25" i="121"/>
  <c r="N25" i="121"/>
  <c r="M25" i="121"/>
  <c r="K25" i="121"/>
  <c r="J25" i="121"/>
  <c r="I25" i="121"/>
  <c r="H25" i="121"/>
  <c r="E25" i="121"/>
  <c r="A25" i="121"/>
  <c r="S24" i="121"/>
  <c r="R24" i="121"/>
  <c r="Q24" i="121"/>
  <c r="P24" i="121"/>
  <c r="O24" i="121"/>
  <c r="N24" i="121"/>
  <c r="M24" i="121"/>
  <c r="K24" i="121"/>
  <c r="J24" i="121"/>
  <c r="I24" i="121"/>
  <c r="H24" i="121"/>
  <c r="E24" i="121"/>
  <c r="A24" i="121"/>
  <c r="S23" i="121"/>
  <c r="R23" i="121"/>
  <c r="Q23" i="121"/>
  <c r="P23" i="121"/>
  <c r="O23" i="121"/>
  <c r="N23" i="121"/>
  <c r="M23" i="121"/>
  <c r="K23" i="121"/>
  <c r="J23" i="121"/>
  <c r="I23" i="121"/>
  <c r="H23" i="121"/>
  <c r="E23" i="121"/>
  <c r="A23" i="121"/>
  <c r="S22" i="121"/>
  <c r="R22" i="121"/>
  <c r="Q22" i="121"/>
  <c r="P22" i="121"/>
  <c r="O22" i="121"/>
  <c r="N22" i="121"/>
  <c r="M22" i="121"/>
  <c r="K22" i="121"/>
  <c r="J22" i="121"/>
  <c r="I22" i="121"/>
  <c r="H22" i="121"/>
  <c r="E22" i="121"/>
  <c r="A22" i="121"/>
  <c r="S21" i="121"/>
  <c r="R21" i="121"/>
  <c r="Q21" i="121"/>
  <c r="P21" i="121"/>
  <c r="O21" i="121"/>
  <c r="N21" i="121"/>
  <c r="M21" i="121"/>
  <c r="K21" i="121"/>
  <c r="J21" i="121"/>
  <c r="I21" i="121"/>
  <c r="H21" i="121"/>
  <c r="E21" i="121"/>
  <c r="A21" i="121"/>
  <c r="S20" i="121"/>
  <c r="R20" i="121"/>
  <c r="Q20" i="121"/>
  <c r="P20" i="121"/>
  <c r="O20" i="121"/>
  <c r="N20" i="121"/>
  <c r="M20" i="121"/>
  <c r="K20" i="121"/>
  <c r="J20" i="121"/>
  <c r="I20" i="121"/>
  <c r="H20" i="121"/>
  <c r="E20" i="121"/>
  <c r="A20" i="121"/>
  <c r="S19" i="121"/>
  <c r="R19" i="121"/>
  <c r="Q19" i="121"/>
  <c r="P19" i="121"/>
  <c r="O19" i="121"/>
  <c r="N19" i="121"/>
  <c r="M19" i="121"/>
  <c r="K19" i="121"/>
  <c r="J19" i="121"/>
  <c r="I19" i="121"/>
  <c r="H19" i="121"/>
  <c r="E19" i="121"/>
  <c r="A19" i="121"/>
  <c r="S18" i="121"/>
  <c r="R18" i="121"/>
  <c r="Q18" i="121"/>
  <c r="P18" i="121"/>
  <c r="O18" i="121"/>
  <c r="N18" i="121"/>
  <c r="M18" i="121"/>
  <c r="K18" i="121"/>
  <c r="J18" i="121"/>
  <c r="I18" i="121"/>
  <c r="H18" i="121"/>
  <c r="E18" i="121"/>
  <c r="A18" i="121"/>
  <c r="S17" i="121"/>
  <c r="R17" i="121"/>
  <c r="Q17" i="121"/>
  <c r="P17" i="121"/>
  <c r="O17" i="121"/>
  <c r="N17" i="121"/>
  <c r="M17" i="121"/>
  <c r="K17" i="121"/>
  <c r="J17" i="121"/>
  <c r="I17" i="121"/>
  <c r="H17" i="121"/>
  <c r="E17" i="121"/>
  <c r="A17" i="121"/>
  <c r="S16" i="121"/>
  <c r="R16" i="121"/>
  <c r="Q16" i="121"/>
  <c r="P16" i="121"/>
  <c r="O16" i="121"/>
  <c r="N16" i="121"/>
  <c r="M16" i="121"/>
  <c r="K16" i="121"/>
  <c r="J16" i="121"/>
  <c r="I16" i="121"/>
  <c r="H16" i="121"/>
  <c r="E16" i="121"/>
  <c r="A16" i="121"/>
  <c r="S15" i="121"/>
  <c r="R15" i="121"/>
  <c r="Q15" i="121"/>
  <c r="P15" i="121"/>
  <c r="O15" i="121"/>
  <c r="N15" i="121"/>
  <c r="M15" i="121"/>
  <c r="K15" i="121"/>
  <c r="J15" i="121"/>
  <c r="I15" i="121"/>
  <c r="H15" i="121"/>
  <c r="E15" i="121"/>
  <c r="A15" i="121"/>
  <c r="S14" i="121"/>
  <c r="R14" i="121"/>
  <c r="Q14" i="121"/>
  <c r="P14" i="121"/>
  <c r="O14" i="121"/>
  <c r="N14" i="121"/>
  <c r="M14" i="121"/>
  <c r="K14" i="121"/>
  <c r="J14" i="121"/>
  <c r="I14" i="121"/>
  <c r="H14" i="121"/>
  <c r="E14" i="121"/>
  <c r="A14" i="121"/>
  <c r="S13" i="121"/>
  <c r="R13" i="121"/>
  <c r="Q13" i="121"/>
  <c r="P13" i="121"/>
  <c r="O13" i="121"/>
  <c r="N13" i="121"/>
  <c r="M13" i="121"/>
  <c r="K13" i="121"/>
  <c r="J13" i="121"/>
  <c r="I13" i="121"/>
  <c r="H13" i="121"/>
  <c r="E13" i="121"/>
  <c r="A13" i="121"/>
  <c r="S12" i="121"/>
  <c r="R12" i="121"/>
  <c r="Q12" i="121"/>
  <c r="P12" i="121"/>
  <c r="O12" i="121"/>
  <c r="N12" i="121"/>
  <c r="M12" i="121"/>
  <c r="K12" i="121"/>
  <c r="J12" i="121"/>
  <c r="I12" i="121"/>
  <c r="H12" i="121"/>
  <c r="E12" i="121"/>
  <c r="A12" i="121"/>
  <c r="S11" i="121"/>
  <c r="R11" i="121"/>
  <c r="Q11" i="121"/>
  <c r="P11" i="121"/>
  <c r="O11" i="121"/>
  <c r="N11" i="121"/>
  <c r="M11" i="121"/>
  <c r="K11" i="121"/>
  <c r="J11" i="121"/>
  <c r="I11" i="121"/>
  <c r="H11" i="121"/>
  <c r="E11" i="121"/>
  <c r="A11" i="121"/>
  <c r="S10" i="121"/>
  <c r="R10" i="121"/>
  <c r="Q10" i="121"/>
  <c r="P10" i="121"/>
  <c r="O10" i="121"/>
  <c r="N10" i="121"/>
  <c r="M10" i="121"/>
  <c r="K10" i="121"/>
  <c r="J10" i="121"/>
  <c r="I10" i="121"/>
  <c r="H10" i="121"/>
  <c r="E10" i="121"/>
  <c r="A10" i="121"/>
  <c r="S9" i="121"/>
  <c r="R9" i="121"/>
  <c r="Q9" i="121"/>
  <c r="P9" i="121"/>
  <c r="O9" i="121"/>
  <c r="N9" i="121"/>
  <c r="M9" i="121"/>
  <c r="K9" i="121"/>
  <c r="J9" i="121"/>
  <c r="I9" i="121"/>
  <c r="H9" i="121"/>
  <c r="E9" i="121"/>
  <c r="A9" i="121"/>
  <c r="S8" i="121"/>
  <c r="R8" i="121"/>
  <c r="Q8" i="121"/>
  <c r="P8" i="121"/>
  <c r="O8" i="121"/>
  <c r="N8" i="121"/>
  <c r="M8" i="121"/>
  <c r="K8" i="121"/>
  <c r="J8" i="121"/>
  <c r="I8" i="121"/>
  <c r="H8" i="121"/>
  <c r="E8" i="121"/>
  <c r="A8" i="121"/>
  <c r="S7" i="121"/>
  <c r="R7" i="121"/>
  <c r="Q7" i="121"/>
  <c r="P7" i="121"/>
  <c r="O7" i="121"/>
  <c r="N7" i="121"/>
  <c r="M7" i="121"/>
  <c r="K7" i="121"/>
  <c r="J7" i="121"/>
  <c r="I7" i="121"/>
  <c r="H7" i="121"/>
  <c r="E7" i="121"/>
  <c r="A7" i="121"/>
  <c r="S6" i="121"/>
  <c r="R6" i="121"/>
  <c r="Q6" i="121"/>
  <c r="P6" i="121"/>
  <c r="O6" i="121"/>
  <c r="N6" i="121"/>
  <c r="M6" i="121"/>
  <c r="K6" i="121"/>
  <c r="J6" i="121"/>
  <c r="I6" i="121"/>
  <c r="H6" i="121"/>
  <c r="E6" i="121"/>
  <c r="A6" i="121"/>
  <c r="S5" i="121"/>
  <c r="R5" i="121"/>
  <c r="Q5" i="121"/>
  <c r="P5" i="121"/>
  <c r="O5" i="121"/>
  <c r="N5" i="121"/>
  <c r="M5" i="121"/>
  <c r="K5" i="121"/>
  <c r="J5" i="121"/>
  <c r="I5" i="121"/>
  <c r="H5" i="121"/>
  <c r="E5" i="121"/>
  <c r="A5" i="121"/>
  <c r="S4" i="121"/>
  <c r="R4" i="121"/>
  <c r="Q4" i="121"/>
  <c r="P4" i="121"/>
  <c r="O4" i="121"/>
  <c r="N4" i="121"/>
  <c r="M4" i="121"/>
  <c r="K4" i="121"/>
  <c r="J4" i="121"/>
  <c r="I4" i="121"/>
  <c r="H4" i="121"/>
  <c r="E4" i="121"/>
  <c r="A4" i="121"/>
  <c r="S3" i="121"/>
  <c r="R3" i="121"/>
  <c r="Q3" i="121"/>
  <c r="P3" i="121"/>
  <c r="O3" i="121"/>
  <c r="N3" i="121"/>
  <c r="M3" i="121"/>
  <c r="K3" i="121"/>
  <c r="J3" i="121"/>
  <c r="I3" i="121"/>
  <c r="H3" i="121"/>
  <c r="E3" i="121"/>
  <c r="A3" i="121"/>
  <c r="S2" i="121"/>
  <c r="R2" i="121"/>
  <c r="Q2" i="121"/>
  <c r="P2" i="121"/>
  <c r="O2" i="121"/>
  <c r="N2" i="121"/>
  <c r="M2" i="121"/>
  <c r="K2" i="121"/>
  <c r="J2" i="121"/>
  <c r="I2" i="121"/>
  <c r="H2" i="121"/>
  <c r="E2" i="121"/>
  <c r="A2" i="121"/>
  <c r="B39" i="120"/>
  <c r="B36" i="120"/>
  <c r="B37" i="120"/>
  <c r="B38" i="120"/>
  <c r="B40" i="120"/>
  <c r="B41" i="120"/>
  <c r="B42" i="120"/>
  <c r="B43" i="120"/>
  <c r="C39" i="120"/>
  <c r="C42" i="120"/>
  <c r="F43" i="120"/>
  <c r="C38" i="120"/>
  <c r="C41" i="120"/>
  <c r="F42" i="120"/>
  <c r="C36" i="120"/>
  <c r="C37" i="120"/>
  <c r="C40" i="120"/>
  <c r="F41" i="120"/>
  <c r="F38" i="120"/>
  <c r="F37" i="120"/>
  <c r="F36" i="120"/>
  <c r="B24" i="120"/>
  <c r="C20" i="120"/>
  <c r="C23" i="120"/>
  <c r="C24" i="120"/>
  <c r="D24" i="120"/>
  <c r="D23" i="120"/>
  <c r="G23" i="120"/>
  <c r="E23" i="120"/>
  <c r="H23" i="120"/>
  <c r="I23" i="120"/>
  <c r="J23" i="120"/>
  <c r="F23" i="120"/>
  <c r="I22" i="120"/>
  <c r="J22" i="120"/>
  <c r="F22" i="120"/>
  <c r="I21" i="120"/>
  <c r="J21" i="120"/>
  <c r="F21" i="120"/>
  <c r="D20" i="120"/>
  <c r="G20" i="120"/>
  <c r="E20" i="120"/>
  <c r="H20" i="120"/>
  <c r="I20" i="120"/>
  <c r="J20" i="120"/>
  <c r="F20" i="120"/>
  <c r="I19" i="120"/>
  <c r="J19" i="120"/>
  <c r="F19" i="120"/>
  <c r="I18" i="120"/>
  <c r="J18" i="120"/>
  <c r="F18" i="120"/>
  <c r="I17" i="120"/>
  <c r="J17" i="120"/>
  <c r="F17" i="120"/>
  <c r="B10" i="120"/>
  <c r="A32" i="118"/>
  <c r="S255" i="119"/>
  <c r="R255" i="119"/>
  <c r="Q255" i="119"/>
  <c r="P255" i="119"/>
  <c r="O255" i="119"/>
  <c r="N255" i="119"/>
  <c r="F255" i="119"/>
  <c r="C255" i="119"/>
  <c r="G255" i="119"/>
  <c r="B255" i="119"/>
  <c r="B22" i="118"/>
  <c r="C22" i="118"/>
  <c r="D22" i="118"/>
  <c r="G22" i="118"/>
  <c r="F2" i="119"/>
  <c r="C2" i="119"/>
  <c r="G2" i="119"/>
  <c r="B2" i="119"/>
  <c r="F3" i="119"/>
  <c r="C3" i="119"/>
  <c r="G3" i="119"/>
  <c r="B3" i="119"/>
  <c r="F4" i="119"/>
  <c r="C4" i="119"/>
  <c r="G4" i="119"/>
  <c r="B4" i="119"/>
  <c r="F5" i="119"/>
  <c r="C5" i="119"/>
  <c r="G5" i="119"/>
  <c r="B5" i="119"/>
  <c r="F6" i="119"/>
  <c r="C6" i="119"/>
  <c r="G6" i="119"/>
  <c r="B6" i="119"/>
  <c r="F7" i="119"/>
  <c r="C7" i="119"/>
  <c r="G7" i="119"/>
  <c r="B7" i="119"/>
  <c r="F8" i="119"/>
  <c r="C8" i="119"/>
  <c r="G8" i="119"/>
  <c r="B8" i="119"/>
  <c r="F9" i="119"/>
  <c r="C9" i="119"/>
  <c r="G9" i="119"/>
  <c r="B9" i="119"/>
  <c r="F10" i="119"/>
  <c r="C10" i="119"/>
  <c r="G10" i="119"/>
  <c r="B10" i="119"/>
  <c r="F11" i="119"/>
  <c r="C11" i="119"/>
  <c r="G11" i="119"/>
  <c r="B11" i="119"/>
  <c r="F12" i="119"/>
  <c r="C12" i="119"/>
  <c r="G12" i="119"/>
  <c r="B12" i="119"/>
  <c r="F13" i="119"/>
  <c r="C13" i="119"/>
  <c r="G13" i="119"/>
  <c r="B13" i="119"/>
  <c r="F14" i="119"/>
  <c r="C14" i="119"/>
  <c r="G14" i="119"/>
  <c r="B14" i="119"/>
  <c r="F15" i="119"/>
  <c r="C15" i="119"/>
  <c r="G15" i="119"/>
  <c r="B15" i="119"/>
  <c r="F16" i="119"/>
  <c r="C16" i="119"/>
  <c r="G16" i="119"/>
  <c r="B16" i="119"/>
  <c r="F17" i="119"/>
  <c r="C17" i="119"/>
  <c r="G17" i="119"/>
  <c r="B17" i="119"/>
  <c r="F18" i="119"/>
  <c r="C18" i="119"/>
  <c r="G18" i="119"/>
  <c r="B18" i="119"/>
  <c r="F19" i="119"/>
  <c r="C19" i="119"/>
  <c r="G19" i="119"/>
  <c r="B19" i="119"/>
  <c r="F20" i="119"/>
  <c r="C20" i="119"/>
  <c r="G20" i="119"/>
  <c r="B20" i="119"/>
  <c r="F21" i="119"/>
  <c r="C21" i="119"/>
  <c r="G21" i="119"/>
  <c r="B21" i="119"/>
  <c r="F22" i="119"/>
  <c r="C22" i="119"/>
  <c r="G22" i="119"/>
  <c r="B22" i="119"/>
  <c r="F23" i="119"/>
  <c r="C23" i="119"/>
  <c r="G23" i="119"/>
  <c r="B23" i="119"/>
  <c r="F24" i="119"/>
  <c r="C24" i="119"/>
  <c r="G24" i="119"/>
  <c r="B24" i="119"/>
  <c r="F25" i="119"/>
  <c r="C25" i="119"/>
  <c r="G25" i="119"/>
  <c r="B25" i="119"/>
  <c r="F26" i="119"/>
  <c r="C26" i="119"/>
  <c r="G26" i="119"/>
  <c r="B26" i="119"/>
  <c r="F27" i="119"/>
  <c r="C27" i="119"/>
  <c r="G27" i="119"/>
  <c r="B27" i="119"/>
  <c r="F28" i="119"/>
  <c r="C28" i="119"/>
  <c r="G28" i="119"/>
  <c r="B28" i="119"/>
  <c r="F29" i="119"/>
  <c r="C29" i="119"/>
  <c r="G29" i="119"/>
  <c r="B29" i="119"/>
  <c r="F30" i="119"/>
  <c r="C30" i="119"/>
  <c r="G30" i="119"/>
  <c r="B30" i="119"/>
  <c r="F31" i="119"/>
  <c r="C31" i="119"/>
  <c r="G31" i="119"/>
  <c r="B31" i="119"/>
  <c r="F32" i="119"/>
  <c r="C32" i="119"/>
  <c r="G32" i="119"/>
  <c r="B32" i="119"/>
  <c r="F33" i="119"/>
  <c r="C33" i="119"/>
  <c r="G33" i="119"/>
  <c r="B33" i="119"/>
  <c r="F34" i="119"/>
  <c r="C34" i="119"/>
  <c r="G34" i="119"/>
  <c r="B34" i="119"/>
  <c r="F35" i="119"/>
  <c r="C35" i="119"/>
  <c r="G35" i="119"/>
  <c r="B35" i="119"/>
  <c r="F36" i="119"/>
  <c r="C36" i="119"/>
  <c r="G36" i="119"/>
  <c r="B36" i="119"/>
  <c r="F37" i="119"/>
  <c r="C37" i="119"/>
  <c r="G37" i="119"/>
  <c r="B37" i="119"/>
  <c r="F38" i="119"/>
  <c r="C38" i="119"/>
  <c r="G38" i="119"/>
  <c r="B38" i="119"/>
  <c r="F39" i="119"/>
  <c r="C39" i="119"/>
  <c r="G39" i="119"/>
  <c r="B39" i="119"/>
  <c r="F40" i="119"/>
  <c r="C40" i="119"/>
  <c r="G40" i="119"/>
  <c r="B40" i="119"/>
  <c r="F41" i="119"/>
  <c r="C41" i="119"/>
  <c r="G41" i="119"/>
  <c r="B41" i="119"/>
  <c r="F42" i="119"/>
  <c r="C42" i="119"/>
  <c r="G42" i="119"/>
  <c r="B42" i="119"/>
  <c r="F43" i="119"/>
  <c r="C43" i="119"/>
  <c r="G43" i="119"/>
  <c r="B43" i="119"/>
  <c r="F44" i="119"/>
  <c r="C44" i="119"/>
  <c r="G44" i="119"/>
  <c r="B44" i="119"/>
  <c r="F45" i="119"/>
  <c r="C45" i="119"/>
  <c r="G45" i="119"/>
  <c r="B45" i="119"/>
  <c r="F46" i="119"/>
  <c r="C46" i="119"/>
  <c r="G46" i="119"/>
  <c r="B46" i="119"/>
  <c r="F47" i="119"/>
  <c r="C47" i="119"/>
  <c r="G47" i="119"/>
  <c r="B47" i="119"/>
  <c r="F48" i="119"/>
  <c r="C48" i="119"/>
  <c r="G48" i="119"/>
  <c r="B48" i="119"/>
  <c r="F49" i="119"/>
  <c r="C49" i="119"/>
  <c r="G49" i="119"/>
  <c r="B49" i="119"/>
  <c r="F50" i="119"/>
  <c r="C50" i="119"/>
  <c r="G50" i="119"/>
  <c r="B50" i="119"/>
  <c r="F51" i="119"/>
  <c r="C51" i="119"/>
  <c r="G51" i="119"/>
  <c r="B51" i="119"/>
  <c r="F52" i="119"/>
  <c r="C52" i="119"/>
  <c r="G52" i="119"/>
  <c r="B52" i="119"/>
  <c r="F53" i="119"/>
  <c r="C53" i="119"/>
  <c r="G53" i="119"/>
  <c r="B53" i="119"/>
  <c r="F54" i="119"/>
  <c r="C54" i="119"/>
  <c r="G54" i="119"/>
  <c r="B54" i="119"/>
  <c r="F55" i="119"/>
  <c r="C55" i="119"/>
  <c r="G55" i="119"/>
  <c r="B55" i="119"/>
  <c r="F56" i="119"/>
  <c r="C56" i="119"/>
  <c r="G56" i="119"/>
  <c r="B56" i="119"/>
  <c r="F57" i="119"/>
  <c r="C57" i="119"/>
  <c r="G57" i="119"/>
  <c r="B57" i="119"/>
  <c r="F58" i="119"/>
  <c r="C58" i="119"/>
  <c r="G58" i="119"/>
  <c r="B58" i="119"/>
  <c r="F59" i="119"/>
  <c r="C59" i="119"/>
  <c r="G59" i="119"/>
  <c r="B59" i="119"/>
  <c r="F60" i="119"/>
  <c r="C60" i="119"/>
  <c r="G60" i="119"/>
  <c r="B60" i="119"/>
  <c r="F61" i="119"/>
  <c r="C61" i="119"/>
  <c r="G61" i="119"/>
  <c r="B61" i="119"/>
  <c r="F62" i="119"/>
  <c r="C62" i="119"/>
  <c r="G62" i="119"/>
  <c r="B62" i="119"/>
  <c r="F63" i="119"/>
  <c r="C63" i="119"/>
  <c r="G63" i="119"/>
  <c r="B63" i="119"/>
  <c r="F64" i="119"/>
  <c r="C64" i="119"/>
  <c r="G64" i="119"/>
  <c r="B64" i="119"/>
  <c r="F65" i="119"/>
  <c r="C65" i="119"/>
  <c r="G65" i="119"/>
  <c r="B65" i="119"/>
  <c r="F66" i="119"/>
  <c r="C66" i="119"/>
  <c r="G66" i="119"/>
  <c r="B66" i="119"/>
  <c r="F67" i="119"/>
  <c r="C67" i="119"/>
  <c r="G67" i="119"/>
  <c r="B67" i="119"/>
  <c r="F68" i="119"/>
  <c r="C68" i="119"/>
  <c r="G68" i="119"/>
  <c r="B68" i="119"/>
  <c r="F69" i="119"/>
  <c r="C69" i="119"/>
  <c r="G69" i="119"/>
  <c r="B69" i="119"/>
  <c r="F70" i="119"/>
  <c r="C70" i="119"/>
  <c r="G70" i="119"/>
  <c r="B70" i="119"/>
  <c r="F71" i="119"/>
  <c r="C71" i="119"/>
  <c r="G71" i="119"/>
  <c r="B71" i="119"/>
  <c r="F72" i="119"/>
  <c r="C72" i="119"/>
  <c r="G72" i="119"/>
  <c r="B72" i="119"/>
  <c r="F73" i="119"/>
  <c r="C73" i="119"/>
  <c r="G73" i="119"/>
  <c r="B73" i="119"/>
  <c r="F74" i="119"/>
  <c r="C74" i="119"/>
  <c r="G74" i="119"/>
  <c r="B74" i="119"/>
  <c r="F75" i="119"/>
  <c r="C75" i="119"/>
  <c r="G75" i="119"/>
  <c r="B75" i="119"/>
  <c r="F76" i="119"/>
  <c r="C76" i="119"/>
  <c r="G76" i="119"/>
  <c r="B76" i="119"/>
  <c r="F77" i="119"/>
  <c r="C77" i="119"/>
  <c r="G77" i="119"/>
  <c r="B77" i="119"/>
  <c r="F78" i="119"/>
  <c r="C78" i="119"/>
  <c r="G78" i="119"/>
  <c r="B78" i="119"/>
  <c r="F79" i="119"/>
  <c r="C79" i="119"/>
  <c r="G79" i="119"/>
  <c r="B79" i="119"/>
  <c r="F80" i="119"/>
  <c r="C80" i="119"/>
  <c r="G80" i="119"/>
  <c r="B80" i="119"/>
  <c r="F81" i="119"/>
  <c r="C81" i="119"/>
  <c r="G81" i="119"/>
  <c r="B81" i="119"/>
  <c r="F82" i="119"/>
  <c r="C82" i="119"/>
  <c r="G82" i="119"/>
  <c r="B82" i="119"/>
  <c r="F83" i="119"/>
  <c r="C83" i="119"/>
  <c r="G83" i="119"/>
  <c r="B83" i="119"/>
  <c r="F84" i="119"/>
  <c r="C84" i="119"/>
  <c r="G84" i="119"/>
  <c r="B84" i="119"/>
  <c r="F85" i="119"/>
  <c r="C85" i="119"/>
  <c r="G85" i="119"/>
  <c r="B85" i="119"/>
  <c r="F86" i="119"/>
  <c r="C86" i="119"/>
  <c r="G86" i="119"/>
  <c r="B86" i="119"/>
  <c r="F87" i="119"/>
  <c r="C87" i="119"/>
  <c r="G87" i="119"/>
  <c r="B87" i="119"/>
  <c r="F88" i="119"/>
  <c r="C88" i="119"/>
  <c r="G88" i="119"/>
  <c r="B88" i="119"/>
  <c r="F89" i="119"/>
  <c r="C89" i="119"/>
  <c r="G89" i="119"/>
  <c r="B89" i="119"/>
  <c r="F90" i="119"/>
  <c r="C90" i="119"/>
  <c r="G90" i="119"/>
  <c r="B90" i="119"/>
  <c r="F91" i="119"/>
  <c r="C91" i="119"/>
  <c r="G91" i="119"/>
  <c r="B91" i="119"/>
  <c r="F92" i="119"/>
  <c r="C92" i="119"/>
  <c r="G92" i="119"/>
  <c r="B92" i="119"/>
  <c r="F93" i="119"/>
  <c r="C93" i="119"/>
  <c r="G93" i="119"/>
  <c r="B93" i="119"/>
  <c r="F94" i="119"/>
  <c r="C94" i="119"/>
  <c r="G94" i="119"/>
  <c r="B94" i="119"/>
  <c r="F95" i="119"/>
  <c r="C95" i="119"/>
  <c r="G95" i="119"/>
  <c r="B95" i="119"/>
  <c r="F96" i="119"/>
  <c r="C96" i="119"/>
  <c r="G96" i="119"/>
  <c r="B96" i="119"/>
  <c r="F97" i="119"/>
  <c r="C97" i="119"/>
  <c r="G97" i="119"/>
  <c r="B97" i="119"/>
  <c r="F98" i="119"/>
  <c r="C98" i="119"/>
  <c r="G98" i="119"/>
  <c r="B98" i="119"/>
  <c r="F99" i="119"/>
  <c r="C99" i="119"/>
  <c r="G99" i="119"/>
  <c r="B99" i="119"/>
  <c r="F100" i="119"/>
  <c r="C100" i="119"/>
  <c r="G100" i="119"/>
  <c r="B100" i="119"/>
  <c r="F101" i="119"/>
  <c r="C101" i="119"/>
  <c r="G101" i="119"/>
  <c r="B101" i="119"/>
  <c r="F102" i="119"/>
  <c r="C102" i="119"/>
  <c r="G102" i="119"/>
  <c r="B102" i="119"/>
  <c r="F103" i="119"/>
  <c r="C103" i="119"/>
  <c r="G103" i="119"/>
  <c r="B103" i="119"/>
  <c r="F104" i="119"/>
  <c r="C104" i="119"/>
  <c r="G104" i="119"/>
  <c r="B104" i="119"/>
  <c r="F105" i="119"/>
  <c r="C105" i="119"/>
  <c r="G105" i="119"/>
  <c r="B105" i="119"/>
  <c r="F106" i="119"/>
  <c r="C106" i="119"/>
  <c r="G106" i="119"/>
  <c r="B106" i="119"/>
  <c r="F107" i="119"/>
  <c r="C107" i="119"/>
  <c r="G107" i="119"/>
  <c r="B107" i="119"/>
  <c r="F108" i="119"/>
  <c r="C108" i="119"/>
  <c r="G108" i="119"/>
  <c r="B108" i="119"/>
  <c r="F109" i="119"/>
  <c r="C109" i="119"/>
  <c r="G109" i="119"/>
  <c r="B109" i="119"/>
  <c r="F110" i="119"/>
  <c r="C110" i="119"/>
  <c r="G110" i="119"/>
  <c r="B110" i="119"/>
  <c r="F111" i="119"/>
  <c r="C111" i="119"/>
  <c r="G111" i="119"/>
  <c r="B111" i="119"/>
  <c r="F112" i="119"/>
  <c r="C112" i="119"/>
  <c r="G112" i="119"/>
  <c r="B112" i="119"/>
  <c r="F113" i="119"/>
  <c r="C113" i="119"/>
  <c r="G113" i="119"/>
  <c r="B113" i="119"/>
  <c r="F114" i="119"/>
  <c r="C114" i="119"/>
  <c r="G114" i="119"/>
  <c r="B114" i="119"/>
  <c r="F115" i="119"/>
  <c r="C115" i="119"/>
  <c r="G115" i="119"/>
  <c r="B115" i="119"/>
  <c r="F116" i="119"/>
  <c r="C116" i="119"/>
  <c r="G116" i="119"/>
  <c r="B116" i="119"/>
  <c r="F117" i="119"/>
  <c r="C117" i="119"/>
  <c r="G117" i="119"/>
  <c r="B117" i="119"/>
  <c r="F118" i="119"/>
  <c r="C118" i="119"/>
  <c r="G118" i="119"/>
  <c r="B118" i="119"/>
  <c r="F119" i="119"/>
  <c r="C119" i="119"/>
  <c r="G119" i="119"/>
  <c r="B119" i="119"/>
  <c r="F120" i="119"/>
  <c r="C120" i="119"/>
  <c r="G120" i="119"/>
  <c r="B120" i="119"/>
  <c r="F121" i="119"/>
  <c r="C121" i="119"/>
  <c r="G121" i="119"/>
  <c r="B121" i="119"/>
  <c r="F122" i="119"/>
  <c r="C122" i="119"/>
  <c r="G122" i="119"/>
  <c r="B122" i="119"/>
  <c r="F123" i="119"/>
  <c r="C123" i="119"/>
  <c r="G123" i="119"/>
  <c r="B123" i="119"/>
  <c r="F124" i="119"/>
  <c r="C124" i="119"/>
  <c r="G124" i="119"/>
  <c r="B124" i="119"/>
  <c r="F125" i="119"/>
  <c r="C125" i="119"/>
  <c r="G125" i="119"/>
  <c r="B125" i="119"/>
  <c r="F126" i="119"/>
  <c r="C126" i="119"/>
  <c r="G126" i="119"/>
  <c r="B126" i="119"/>
  <c r="F127" i="119"/>
  <c r="C127" i="119"/>
  <c r="G127" i="119"/>
  <c r="B127" i="119"/>
  <c r="F128" i="119"/>
  <c r="C128" i="119"/>
  <c r="G128" i="119"/>
  <c r="B128" i="119"/>
  <c r="F129" i="119"/>
  <c r="C129" i="119"/>
  <c r="G129" i="119"/>
  <c r="B129" i="119"/>
  <c r="F130" i="119"/>
  <c r="C130" i="119"/>
  <c r="G130" i="119"/>
  <c r="B130" i="119"/>
  <c r="F131" i="119"/>
  <c r="C131" i="119"/>
  <c r="G131" i="119"/>
  <c r="B131" i="119"/>
  <c r="F132" i="119"/>
  <c r="C132" i="119"/>
  <c r="G132" i="119"/>
  <c r="B132" i="119"/>
  <c r="F133" i="119"/>
  <c r="C133" i="119"/>
  <c r="G133" i="119"/>
  <c r="B133" i="119"/>
  <c r="F134" i="119"/>
  <c r="C134" i="119"/>
  <c r="G134" i="119"/>
  <c r="B134" i="119"/>
  <c r="F135" i="119"/>
  <c r="C135" i="119"/>
  <c r="G135" i="119"/>
  <c r="B135" i="119"/>
  <c r="F136" i="119"/>
  <c r="C136" i="119"/>
  <c r="G136" i="119"/>
  <c r="B136" i="119"/>
  <c r="F137" i="119"/>
  <c r="C137" i="119"/>
  <c r="G137" i="119"/>
  <c r="B137" i="119"/>
  <c r="F138" i="119"/>
  <c r="C138" i="119"/>
  <c r="G138" i="119"/>
  <c r="B138" i="119"/>
  <c r="F139" i="119"/>
  <c r="C139" i="119"/>
  <c r="G139" i="119"/>
  <c r="B139" i="119"/>
  <c r="F140" i="119"/>
  <c r="C140" i="119"/>
  <c r="G140" i="119"/>
  <c r="B140" i="119"/>
  <c r="F141" i="119"/>
  <c r="C141" i="119"/>
  <c r="G141" i="119"/>
  <c r="B141" i="119"/>
  <c r="F142" i="119"/>
  <c r="C142" i="119"/>
  <c r="G142" i="119"/>
  <c r="B142" i="119"/>
  <c r="F143" i="119"/>
  <c r="C143" i="119"/>
  <c r="G143" i="119"/>
  <c r="B143" i="119"/>
  <c r="F144" i="119"/>
  <c r="C144" i="119"/>
  <c r="G144" i="119"/>
  <c r="B144" i="119"/>
  <c r="F145" i="119"/>
  <c r="C145" i="119"/>
  <c r="G145" i="119"/>
  <c r="B145" i="119"/>
  <c r="F146" i="119"/>
  <c r="C146" i="119"/>
  <c r="G146" i="119"/>
  <c r="B146" i="119"/>
  <c r="F147" i="119"/>
  <c r="C147" i="119"/>
  <c r="G147" i="119"/>
  <c r="B147" i="119"/>
  <c r="F148" i="119"/>
  <c r="C148" i="119"/>
  <c r="G148" i="119"/>
  <c r="B148" i="119"/>
  <c r="F149" i="119"/>
  <c r="C149" i="119"/>
  <c r="G149" i="119"/>
  <c r="B149" i="119"/>
  <c r="F150" i="119"/>
  <c r="C150" i="119"/>
  <c r="G150" i="119"/>
  <c r="B150" i="119"/>
  <c r="F151" i="119"/>
  <c r="C151" i="119"/>
  <c r="G151" i="119"/>
  <c r="B151" i="119"/>
  <c r="F152" i="119"/>
  <c r="C152" i="119"/>
  <c r="G152" i="119"/>
  <c r="B152" i="119"/>
  <c r="F153" i="119"/>
  <c r="C153" i="119"/>
  <c r="G153" i="119"/>
  <c r="B153" i="119"/>
  <c r="F154" i="119"/>
  <c r="C154" i="119"/>
  <c r="G154" i="119"/>
  <c r="B154" i="119"/>
  <c r="F155" i="119"/>
  <c r="C155" i="119"/>
  <c r="G155" i="119"/>
  <c r="B155" i="119"/>
  <c r="F156" i="119"/>
  <c r="C156" i="119"/>
  <c r="G156" i="119"/>
  <c r="B156" i="119"/>
  <c r="F157" i="119"/>
  <c r="C157" i="119"/>
  <c r="G157" i="119"/>
  <c r="B157" i="119"/>
  <c r="F158" i="119"/>
  <c r="C158" i="119"/>
  <c r="G158" i="119"/>
  <c r="B158" i="119"/>
  <c r="F159" i="119"/>
  <c r="C159" i="119"/>
  <c r="G159" i="119"/>
  <c r="B159" i="119"/>
  <c r="F160" i="119"/>
  <c r="C160" i="119"/>
  <c r="G160" i="119"/>
  <c r="B160" i="119"/>
  <c r="F161" i="119"/>
  <c r="C161" i="119"/>
  <c r="G161" i="119"/>
  <c r="B161" i="119"/>
  <c r="F162" i="119"/>
  <c r="C162" i="119"/>
  <c r="G162" i="119"/>
  <c r="B162" i="119"/>
  <c r="F163" i="119"/>
  <c r="C163" i="119"/>
  <c r="G163" i="119"/>
  <c r="B163" i="119"/>
  <c r="F164" i="119"/>
  <c r="C164" i="119"/>
  <c r="G164" i="119"/>
  <c r="B164" i="119"/>
  <c r="F165" i="119"/>
  <c r="C165" i="119"/>
  <c r="G165" i="119"/>
  <c r="B165" i="119"/>
  <c r="F166" i="119"/>
  <c r="C166" i="119"/>
  <c r="G166" i="119"/>
  <c r="B166" i="119"/>
  <c r="F167" i="119"/>
  <c r="C167" i="119"/>
  <c r="G167" i="119"/>
  <c r="B167" i="119"/>
  <c r="F168" i="119"/>
  <c r="C168" i="119"/>
  <c r="G168" i="119"/>
  <c r="B168" i="119"/>
  <c r="F169" i="119"/>
  <c r="C169" i="119"/>
  <c r="G169" i="119"/>
  <c r="B169" i="119"/>
  <c r="F170" i="119"/>
  <c r="C170" i="119"/>
  <c r="G170" i="119"/>
  <c r="B170" i="119"/>
  <c r="F171" i="119"/>
  <c r="C171" i="119"/>
  <c r="G171" i="119"/>
  <c r="B171" i="119"/>
  <c r="F172" i="119"/>
  <c r="C172" i="119"/>
  <c r="G172" i="119"/>
  <c r="B172" i="119"/>
  <c r="F173" i="119"/>
  <c r="C173" i="119"/>
  <c r="G173" i="119"/>
  <c r="B173" i="119"/>
  <c r="F174" i="119"/>
  <c r="C174" i="119"/>
  <c r="G174" i="119"/>
  <c r="B174" i="119"/>
  <c r="F175" i="119"/>
  <c r="C175" i="119"/>
  <c r="G175" i="119"/>
  <c r="B175" i="119"/>
  <c r="F176" i="119"/>
  <c r="C176" i="119"/>
  <c r="G176" i="119"/>
  <c r="B176" i="119"/>
  <c r="F177" i="119"/>
  <c r="C177" i="119"/>
  <c r="G177" i="119"/>
  <c r="B177" i="119"/>
  <c r="F178" i="119"/>
  <c r="C178" i="119"/>
  <c r="G178" i="119"/>
  <c r="B178" i="119"/>
  <c r="F179" i="119"/>
  <c r="C179" i="119"/>
  <c r="G179" i="119"/>
  <c r="B179" i="119"/>
  <c r="F180" i="119"/>
  <c r="C180" i="119"/>
  <c r="G180" i="119"/>
  <c r="B180" i="119"/>
  <c r="F181" i="119"/>
  <c r="C181" i="119"/>
  <c r="G181" i="119"/>
  <c r="B181" i="119"/>
  <c r="F182" i="119"/>
  <c r="C182" i="119"/>
  <c r="G182" i="119"/>
  <c r="B182" i="119"/>
  <c r="F183" i="119"/>
  <c r="C183" i="119"/>
  <c r="G183" i="119"/>
  <c r="B183" i="119"/>
  <c r="F184" i="119"/>
  <c r="C184" i="119"/>
  <c r="G184" i="119"/>
  <c r="B184" i="119"/>
  <c r="F185" i="119"/>
  <c r="C185" i="119"/>
  <c r="G185" i="119"/>
  <c r="B185" i="119"/>
  <c r="F186" i="119"/>
  <c r="C186" i="119"/>
  <c r="G186" i="119"/>
  <c r="B186" i="119"/>
  <c r="F187" i="119"/>
  <c r="C187" i="119"/>
  <c r="G187" i="119"/>
  <c r="B187" i="119"/>
  <c r="F188" i="119"/>
  <c r="C188" i="119"/>
  <c r="G188" i="119"/>
  <c r="B188" i="119"/>
  <c r="F189" i="119"/>
  <c r="C189" i="119"/>
  <c r="G189" i="119"/>
  <c r="B189" i="119"/>
  <c r="F190" i="119"/>
  <c r="C190" i="119"/>
  <c r="G190" i="119"/>
  <c r="B190" i="119"/>
  <c r="F191" i="119"/>
  <c r="C191" i="119"/>
  <c r="G191" i="119"/>
  <c r="B191" i="119"/>
  <c r="F192" i="119"/>
  <c r="C192" i="119"/>
  <c r="G192" i="119"/>
  <c r="B192" i="119"/>
  <c r="F193" i="119"/>
  <c r="C193" i="119"/>
  <c r="G193" i="119"/>
  <c r="B193" i="119"/>
  <c r="F194" i="119"/>
  <c r="C194" i="119"/>
  <c r="G194" i="119"/>
  <c r="B194" i="119"/>
  <c r="F195" i="119"/>
  <c r="C195" i="119"/>
  <c r="G195" i="119"/>
  <c r="B195" i="119"/>
  <c r="F196" i="119"/>
  <c r="C196" i="119"/>
  <c r="G196" i="119"/>
  <c r="B196" i="119"/>
  <c r="F197" i="119"/>
  <c r="C197" i="119"/>
  <c r="G197" i="119"/>
  <c r="B197" i="119"/>
  <c r="F198" i="119"/>
  <c r="C198" i="119"/>
  <c r="G198" i="119"/>
  <c r="B198" i="119"/>
  <c r="F199" i="119"/>
  <c r="C199" i="119"/>
  <c r="G199" i="119"/>
  <c r="B199" i="119"/>
  <c r="F200" i="119"/>
  <c r="C200" i="119"/>
  <c r="G200" i="119"/>
  <c r="B200" i="119"/>
  <c r="F201" i="119"/>
  <c r="C201" i="119"/>
  <c r="G201" i="119"/>
  <c r="B201" i="119"/>
  <c r="F202" i="119"/>
  <c r="C202" i="119"/>
  <c r="G202" i="119"/>
  <c r="B202" i="119"/>
  <c r="F203" i="119"/>
  <c r="C203" i="119"/>
  <c r="G203" i="119"/>
  <c r="B203" i="119"/>
  <c r="F204" i="119"/>
  <c r="C204" i="119"/>
  <c r="G204" i="119"/>
  <c r="B204" i="119"/>
  <c r="F205" i="119"/>
  <c r="C205" i="119"/>
  <c r="G205" i="119"/>
  <c r="B205" i="119"/>
  <c r="F206" i="119"/>
  <c r="C206" i="119"/>
  <c r="G206" i="119"/>
  <c r="B206" i="119"/>
  <c r="F207" i="119"/>
  <c r="C207" i="119"/>
  <c r="G207" i="119"/>
  <c r="B207" i="119"/>
  <c r="F208" i="119"/>
  <c r="C208" i="119"/>
  <c r="G208" i="119"/>
  <c r="B208" i="119"/>
  <c r="F209" i="119"/>
  <c r="C209" i="119"/>
  <c r="G209" i="119"/>
  <c r="B209" i="119"/>
  <c r="F210" i="119"/>
  <c r="C210" i="119"/>
  <c r="G210" i="119"/>
  <c r="B210" i="119"/>
  <c r="F211" i="119"/>
  <c r="C211" i="119"/>
  <c r="G211" i="119"/>
  <c r="B211" i="119"/>
  <c r="F212" i="119"/>
  <c r="C212" i="119"/>
  <c r="G212" i="119"/>
  <c r="B212" i="119"/>
  <c r="F213" i="119"/>
  <c r="C213" i="119"/>
  <c r="G213" i="119"/>
  <c r="B213" i="119"/>
  <c r="F214" i="119"/>
  <c r="C214" i="119"/>
  <c r="G214" i="119"/>
  <c r="B214" i="119"/>
  <c r="F215" i="119"/>
  <c r="C215" i="119"/>
  <c r="G215" i="119"/>
  <c r="B215" i="119"/>
  <c r="F216" i="119"/>
  <c r="C216" i="119"/>
  <c r="G216" i="119"/>
  <c r="B216" i="119"/>
  <c r="F217" i="119"/>
  <c r="C217" i="119"/>
  <c r="G217" i="119"/>
  <c r="B217" i="119"/>
  <c r="F218" i="119"/>
  <c r="C218" i="119"/>
  <c r="G218" i="119"/>
  <c r="B218" i="119"/>
  <c r="F219" i="119"/>
  <c r="C219" i="119"/>
  <c r="G219" i="119"/>
  <c r="B219" i="119"/>
  <c r="F220" i="119"/>
  <c r="C220" i="119"/>
  <c r="G220" i="119"/>
  <c r="B220" i="119"/>
  <c r="F221" i="119"/>
  <c r="C221" i="119"/>
  <c r="G221" i="119"/>
  <c r="B221" i="119"/>
  <c r="F222" i="119"/>
  <c r="C222" i="119"/>
  <c r="G222" i="119"/>
  <c r="B222" i="119"/>
  <c r="F223" i="119"/>
  <c r="C223" i="119"/>
  <c r="G223" i="119"/>
  <c r="B223" i="119"/>
  <c r="F224" i="119"/>
  <c r="C224" i="119"/>
  <c r="G224" i="119"/>
  <c r="B224" i="119"/>
  <c r="F225" i="119"/>
  <c r="C225" i="119"/>
  <c r="G225" i="119"/>
  <c r="B225" i="119"/>
  <c r="F226" i="119"/>
  <c r="C226" i="119"/>
  <c r="G226" i="119"/>
  <c r="B226" i="119"/>
  <c r="F227" i="119"/>
  <c r="C227" i="119"/>
  <c r="G227" i="119"/>
  <c r="B227" i="119"/>
  <c r="F228" i="119"/>
  <c r="C228" i="119"/>
  <c r="G228" i="119"/>
  <c r="B228" i="119"/>
  <c r="F229" i="119"/>
  <c r="C229" i="119"/>
  <c r="G229" i="119"/>
  <c r="B229" i="119"/>
  <c r="F230" i="119"/>
  <c r="C230" i="119"/>
  <c r="G230" i="119"/>
  <c r="B230" i="119"/>
  <c r="F231" i="119"/>
  <c r="C231" i="119"/>
  <c r="G231" i="119"/>
  <c r="B231" i="119"/>
  <c r="F232" i="119"/>
  <c r="C232" i="119"/>
  <c r="G232" i="119"/>
  <c r="B232" i="119"/>
  <c r="F233" i="119"/>
  <c r="C233" i="119"/>
  <c r="G233" i="119"/>
  <c r="B233" i="119"/>
  <c r="F234" i="119"/>
  <c r="C234" i="119"/>
  <c r="G234" i="119"/>
  <c r="B234" i="119"/>
  <c r="F235" i="119"/>
  <c r="C235" i="119"/>
  <c r="G235" i="119"/>
  <c r="B235" i="119"/>
  <c r="F236" i="119"/>
  <c r="C236" i="119"/>
  <c r="G236" i="119"/>
  <c r="B236" i="119"/>
  <c r="F237" i="119"/>
  <c r="C237" i="119"/>
  <c r="G237" i="119"/>
  <c r="B237" i="119"/>
  <c r="F238" i="119"/>
  <c r="C238" i="119"/>
  <c r="G238" i="119"/>
  <c r="B238" i="119"/>
  <c r="F239" i="119"/>
  <c r="C239" i="119"/>
  <c r="G239" i="119"/>
  <c r="B239" i="119"/>
  <c r="F240" i="119"/>
  <c r="C240" i="119"/>
  <c r="G240" i="119"/>
  <c r="B240" i="119"/>
  <c r="F241" i="119"/>
  <c r="C241" i="119"/>
  <c r="G241" i="119"/>
  <c r="B241" i="119"/>
  <c r="F242" i="119"/>
  <c r="C242" i="119"/>
  <c r="G242" i="119"/>
  <c r="B242" i="119"/>
  <c r="F243" i="119"/>
  <c r="C243" i="119"/>
  <c r="G243" i="119"/>
  <c r="B243" i="119"/>
  <c r="F244" i="119"/>
  <c r="C244" i="119"/>
  <c r="G244" i="119"/>
  <c r="B244" i="119"/>
  <c r="F245" i="119"/>
  <c r="C245" i="119"/>
  <c r="G245" i="119"/>
  <c r="B245" i="119"/>
  <c r="F246" i="119"/>
  <c r="C246" i="119"/>
  <c r="G246" i="119"/>
  <c r="B246" i="119"/>
  <c r="F247" i="119"/>
  <c r="C247" i="119"/>
  <c r="G247" i="119"/>
  <c r="B247" i="119"/>
  <c r="F248" i="119"/>
  <c r="C248" i="119"/>
  <c r="G248" i="119"/>
  <c r="B248" i="119"/>
  <c r="F249" i="119"/>
  <c r="C249" i="119"/>
  <c r="G249" i="119"/>
  <c r="B249" i="119"/>
  <c r="F250" i="119"/>
  <c r="C250" i="119"/>
  <c r="G250" i="119"/>
  <c r="B250" i="119"/>
  <c r="F251" i="119"/>
  <c r="C251" i="119"/>
  <c r="G251" i="119"/>
  <c r="B251" i="119"/>
  <c r="F252" i="119"/>
  <c r="C252" i="119"/>
  <c r="G252" i="119"/>
  <c r="B252" i="119"/>
  <c r="F253" i="119"/>
  <c r="C253" i="119"/>
  <c r="G253" i="119"/>
  <c r="B253" i="119"/>
  <c r="F254" i="119"/>
  <c r="C254" i="119"/>
  <c r="G254" i="119"/>
  <c r="B254" i="119"/>
  <c r="E22" i="118"/>
  <c r="H22" i="118"/>
  <c r="L255" i="119"/>
  <c r="B5" i="118"/>
  <c r="B17" i="118"/>
  <c r="C17" i="118"/>
  <c r="D17" i="118"/>
  <c r="G17" i="118"/>
  <c r="E17" i="118"/>
  <c r="H17" i="118"/>
  <c r="L2" i="119"/>
  <c r="B19" i="118"/>
  <c r="B20" i="118"/>
  <c r="B18" i="118"/>
  <c r="C18" i="118"/>
  <c r="D18" i="118"/>
  <c r="G18" i="118"/>
  <c r="E18" i="118"/>
  <c r="H18" i="118"/>
  <c r="L3" i="119"/>
  <c r="L4" i="119"/>
  <c r="L5" i="119"/>
  <c r="L6" i="119"/>
  <c r="L7" i="119"/>
  <c r="L8" i="119"/>
  <c r="L9" i="119"/>
  <c r="L10" i="119"/>
  <c r="L11" i="119"/>
  <c r="L12" i="119"/>
  <c r="L13" i="119"/>
  <c r="L14" i="119"/>
  <c r="L15" i="119"/>
  <c r="L16" i="119"/>
  <c r="L17" i="119"/>
  <c r="L18" i="119"/>
  <c r="L19" i="119"/>
  <c r="L20" i="119"/>
  <c r="L21" i="119"/>
  <c r="L22" i="119"/>
  <c r="L23" i="119"/>
  <c r="L24" i="119"/>
  <c r="L25" i="119"/>
  <c r="L26" i="119"/>
  <c r="L27" i="119"/>
  <c r="L28" i="119"/>
  <c r="L29" i="119"/>
  <c r="L30" i="119"/>
  <c r="L31" i="119"/>
  <c r="L32" i="119"/>
  <c r="L33" i="119"/>
  <c r="L34" i="119"/>
  <c r="L35" i="119"/>
  <c r="L36" i="119"/>
  <c r="L37" i="119"/>
  <c r="L38" i="119"/>
  <c r="L39" i="119"/>
  <c r="L40" i="119"/>
  <c r="L41" i="119"/>
  <c r="L42" i="119"/>
  <c r="L43" i="119"/>
  <c r="B23" i="118"/>
  <c r="B21" i="118"/>
  <c r="C21" i="118"/>
  <c r="D21" i="118"/>
  <c r="G21" i="118"/>
  <c r="E21" i="118"/>
  <c r="H21" i="118"/>
  <c r="L44" i="119"/>
  <c r="L45" i="119"/>
  <c r="L46" i="119"/>
  <c r="L47" i="119"/>
  <c r="L48" i="119"/>
  <c r="L49" i="119"/>
  <c r="L50" i="119"/>
  <c r="L51" i="119"/>
  <c r="L52" i="119"/>
  <c r="L53" i="119"/>
  <c r="L54" i="119"/>
  <c r="L55" i="119"/>
  <c r="L56" i="119"/>
  <c r="L57" i="119"/>
  <c r="L58" i="119"/>
  <c r="L59" i="119"/>
  <c r="L60" i="119"/>
  <c r="L61" i="119"/>
  <c r="L62" i="119"/>
  <c r="L63" i="119"/>
  <c r="L64" i="119"/>
  <c r="L65" i="119"/>
  <c r="L66" i="119"/>
  <c r="L67" i="119"/>
  <c r="L68" i="119"/>
  <c r="L69" i="119"/>
  <c r="L70" i="119"/>
  <c r="L71" i="119"/>
  <c r="L72" i="119"/>
  <c r="L73" i="119"/>
  <c r="L74" i="119"/>
  <c r="L75" i="119"/>
  <c r="L76" i="119"/>
  <c r="L77" i="119"/>
  <c r="L78" i="119"/>
  <c r="L79" i="119"/>
  <c r="L80" i="119"/>
  <c r="L81" i="119"/>
  <c r="L82" i="119"/>
  <c r="L83" i="119"/>
  <c r="L84" i="119"/>
  <c r="L85" i="119"/>
  <c r="L86" i="119"/>
  <c r="L87" i="119"/>
  <c r="L88" i="119"/>
  <c r="L89" i="119"/>
  <c r="L90" i="119"/>
  <c r="L91" i="119"/>
  <c r="L92" i="119"/>
  <c r="L93" i="119"/>
  <c r="L94" i="119"/>
  <c r="L95" i="119"/>
  <c r="L96" i="119"/>
  <c r="L97" i="119"/>
  <c r="L98" i="119"/>
  <c r="L99" i="119"/>
  <c r="L100" i="119"/>
  <c r="L101" i="119"/>
  <c r="L102" i="119"/>
  <c r="L103" i="119"/>
  <c r="L104" i="119"/>
  <c r="L105" i="119"/>
  <c r="L106" i="119"/>
  <c r="L107" i="119"/>
  <c r="L108" i="119"/>
  <c r="L109" i="119"/>
  <c r="L110" i="119"/>
  <c r="L111" i="119"/>
  <c r="L112" i="119"/>
  <c r="L113" i="119"/>
  <c r="L114" i="119"/>
  <c r="L115" i="119"/>
  <c r="L116" i="119"/>
  <c r="L117" i="119"/>
  <c r="L118" i="119"/>
  <c r="L119" i="119"/>
  <c r="L120" i="119"/>
  <c r="L121" i="119"/>
  <c r="L122" i="119"/>
  <c r="L123" i="119"/>
  <c r="L124" i="119"/>
  <c r="L125" i="119"/>
  <c r="L126" i="119"/>
  <c r="L127" i="119"/>
  <c r="L128" i="119"/>
  <c r="L129" i="119"/>
  <c r="L130" i="119"/>
  <c r="L131" i="119"/>
  <c r="L132" i="119"/>
  <c r="L133" i="119"/>
  <c r="L134" i="119"/>
  <c r="L135" i="119"/>
  <c r="L136" i="119"/>
  <c r="L137" i="119"/>
  <c r="C19" i="118"/>
  <c r="D19" i="118"/>
  <c r="G19" i="118"/>
  <c r="E19" i="118"/>
  <c r="H19" i="118"/>
  <c r="L138" i="119"/>
  <c r="L139" i="119"/>
  <c r="L140" i="119"/>
  <c r="L141" i="119"/>
  <c r="L142" i="119"/>
  <c r="L143" i="119"/>
  <c r="L144" i="119"/>
  <c r="L145" i="119"/>
  <c r="L146" i="119"/>
  <c r="L147" i="119"/>
  <c r="L148" i="119"/>
  <c r="L149" i="119"/>
  <c r="L150" i="119"/>
  <c r="L151" i="119"/>
  <c r="L152" i="119"/>
  <c r="L153" i="119"/>
  <c r="L154" i="119"/>
  <c r="L155" i="119"/>
  <c r="L156" i="119"/>
  <c r="L157" i="119"/>
  <c r="L158" i="119"/>
  <c r="L159" i="119"/>
  <c r="L160" i="119"/>
  <c r="L161" i="119"/>
  <c r="L162" i="119"/>
  <c r="L163" i="119"/>
  <c r="L164" i="119"/>
  <c r="L165" i="119"/>
  <c r="L166" i="119"/>
  <c r="L167" i="119"/>
  <c r="L168" i="119"/>
  <c r="L169" i="119"/>
  <c r="L170" i="119"/>
  <c r="L171" i="119"/>
  <c r="L172" i="119"/>
  <c r="L173" i="119"/>
  <c r="L174" i="119"/>
  <c r="L175" i="119"/>
  <c r="L176" i="119"/>
  <c r="L177" i="119"/>
  <c r="L178" i="119"/>
  <c r="L179" i="119"/>
  <c r="L180" i="119"/>
  <c r="L181" i="119"/>
  <c r="L182" i="119"/>
  <c r="L183" i="119"/>
  <c r="L184" i="119"/>
  <c r="L185" i="119"/>
  <c r="L186" i="119"/>
  <c r="L187" i="119"/>
  <c r="L188" i="119"/>
  <c r="L189" i="119"/>
  <c r="L190" i="119"/>
  <c r="L191" i="119"/>
  <c r="L192" i="119"/>
  <c r="L193" i="119"/>
  <c r="L194" i="119"/>
  <c r="L195" i="119"/>
  <c r="L196" i="119"/>
  <c r="L197" i="119"/>
  <c r="L198" i="119"/>
  <c r="L199" i="119"/>
  <c r="L200" i="119"/>
  <c r="L201" i="119"/>
  <c r="L202" i="119"/>
  <c r="L203" i="119"/>
  <c r="L204" i="119"/>
  <c r="L205" i="119"/>
  <c r="L206" i="119"/>
  <c r="L207" i="119"/>
  <c r="L208" i="119"/>
  <c r="L209" i="119"/>
  <c r="L210" i="119"/>
  <c r="L211" i="119"/>
  <c r="L212" i="119"/>
  <c r="L213" i="119"/>
  <c r="L214" i="119"/>
  <c r="L215" i="119"/>
  <c r="L216" i="119"/>
  <c r="L217" i="119"/>
  <c r="L218" i="119"/>
  <c r="L219" i="119"/>
  <c r="L220" i="119"/>
  <c r="L221" i="119"/>
  <c r="L222" i="119"/>
  <c r="L223" i="119"/>
  <c r="L224" i="119"/>
  <c r="L225" i="119"/>
  <c r="L226" i="119"/>
  <c r="L227" i="119"/>
  <c r="L228" i="119"/>
  <c r="L229" i="119"/>
  <c r="L230" i="119"/>
  <c r="L231" i="119"/>
  <c r="L232" i="119"/>
  <c r="L233" i="119"/>
  <c r="L234" i="119"/>
  <c r="L235" i="119"/>
  <c r="L236" i="119"/>
  <c r="L237" i="119"/>
  <c r="L238" i="119"/>
  <c r="L239" i="119"/>
  <c r="L240" i="119"/>
  <c r="L241" i="119"/>
  <c r="L242" i="119"/>
  <c r="L243" i="119"/>
  <c r="L244" i="119"/>
  <c r="L245" i="119"/>
  <c r="L246" i="119"/>
  <c r="L247" i="119"/>
  <c r="L248" i="119"/>
  <c r="L249" i="119"/>
  <c r="L250" i="119"/>
  <c r="L251" i="119"/>
  <c r="L252" i="119"/>
  <c r="L253" i="119"/>
  <c r="L254" i="119"/>
  <c r="M255" i="119"/>
  <c r="K255" i="119"/>
  <c r="J255" i="119"/>
  <c r="I255" i="119"/>
  <c r="H255" i="119"/>
  <c r="E255" i="119"/>
  <c r="A255" i="119"/>
  <c r="S254" i="119"/>
  <c r="R254" i="119"/>
  <c r="Q254" i="119"/>
  <c r="P254" i="119"/>
  <c r="O254" i="119"/>
  <c r="N254" i="119"/>
  <c r="M254" i="119"/>
  <c r="K254" i="119"/>
  <c r="J254" i="119"/>
  <c r="I254" i="119"/>
  <c r="H254" i="119"/>
  <c r="E254" i="119"/>
  <c r="A254" i="119"/>
  <c r="S253" i="119"/>
  <c r="R253" i="119"/>
  <c r="Q253" i="119"/>
  <c r="P253" i="119"/>
  <c r="O253" i="119"/>
  <c r="N253" i="119"/>
  <c r="M253" i="119"/>
  <c r="K253" i="119"/>
  <c r="J253" i="119"/>
  <c r="I253" i="119"/>
  <c r="H253" i="119"/>
  <c r="E253" i="119"/>
  <c r="A253" i="119"/>
  <c r="S252" i="119"/>
  <c r="R252" i="119"/>
  <c r="Q252" i="119"/>
  <c r="P252" i="119"/>
  <c r="O252" i="119"/>
  <c r="N252" i="119"/>
  <c r="M252" i="119"/>
  <c r="K252" i="119"/>
  <c r="J252" i="119"/>
  <c r="I252" i="119"/>
  <c r="H252" i="119"/>
  <c r="E252" i="119"/>
  <c r="A252" i="119"/>
  <c r="S251" i="119"/>
  <c r="R251" i="119"/>
  <c r="Q251" i="119"/>
  <c r="P251" i="119"/>
  <c r="O251" i="119"/>
  <c r="N251" i="119"/>
  <c r="M251" i="119"/>
  <c r="K251" i="119"/>
  <c r="J251" i="119"/>
  <c r="I251" i="119"/>
  <c r="H251" i="119"/>
  <c r="E251" i="119"/>
  <c r="A251" i="119"/>
  <c r="S250" i="119"/>
  <c r="R250" i="119"/>
  <c r="Q250" i="119"/>
  <c r="P250" i="119"/>
  <c r="O250" i="119"/>
  <c r="N250" i="119"/>
  <c r="M250" i="119"/>
  <c r="K250" i="119"/>
  <c r="J250" i="119"/>
  <c r="I250" i="119"/>
  <c r="H250" i="119"/>
  <c r="E250" i="119"/>
  <c r="A250" i="119"/>
  <c r="S249" i="119"/>
  <c r="R249" i="119"/>
  <c r="Q249" i="119"/>
  <c r="P249" i="119"/>
  <c r="O249" i="119"/>
  <c r="N249" i="119"/>
  <c r="M249" i="119"/>
  <c r="K249" i="119"/>
  <c r="J249" i="119"/>
  <c r="I249" i="119"/>
  <c r="H249" i="119"/>
  <c r="E249" i="119"/>
  <c r="A249" i="119"/>
  <c r="S248" i="119"/>
  <c r="R248" i="119"/>
  <c r="Q248" i="119"/>
  <c r="P248" i="119"/>
  <c r="O248" i="119"/>
  <c r="N248" i="119"/>
  <c r="M248" i="119"/>
  <c r="K248" i="119"/>
  <c r="J248" i="119"/>
  <c r="I248" i="119"/>
  <c r="H248" i="119"/>
  <c r="E248" i="119"/>
  <c r="A248" i="119"/>
  <c r="S247" i="119"/>
  <c r="R247" i="119"/>
  <c r="Q247" i="119"/>
  <c r="P247" i="119"/>
  <c r="O247" i="119"/>
  <c r="N247" i="119"/>
  <c r="M247" i="119"/>
  <c r="K247" i="119"/>
  <c r="J247" i="119"/>
  <c r="I247" i="119"/>
  <c r="H247" i="119"/>
  <c r="E247" i="119"/>
  <c r="A247" i="119"/>
  <c r="S246" i="119"/>
  <c r="R246" i="119"/>
  <c r="Q246" i="119"/>
  <c r="P246" i="119"/>
  <c r="O246" i="119"/>
  <c r="N246" i="119"/>
  <c r="M246" i="119"/>
  <c r="K246" i="119"/>
  <c r="J246" i="119"/>
  <c r="I246" i="119"/>
  <c r="H246" i="119"/>
  <c r="E246" i="119"/>
  <c r="A246" i="119"/>
  <c r="S245" i="119"/>
  <c r="R245" i="119"/>
  <c r="Q245" i="119"/>
  <c r="P245" i="119"/>
  <c r="O245" i="119"/>
  <c r="N245" i="119"/>
  <c r="M245" i="119"/>
  <c r="K245" i="119"/>
  <c r="J245" i="119"/>
  <c r="I245" i="119"/>
  <c r="H245" i="119"/>
  <c r="E245" i="119"/>
  <c r="A245" i="119"/>
  <c r="S244" i="119"/>
  <c r="R244" i="119"/>
  <c r="Q244" i="119"/>
  <c r="P244" i="119"/>
  <c r="O244" i="119"/>
  <c r="N244" i="119"/>
  <c r="M244" i="119"/>
  <c r="K244" i="119"/>
  <c r="J244" i="119"/>
  <c r="I244" i="119"/>
  <c r="H244" i="119"/>
  <c r="E244" i="119"/>
  <c r="A244" i="119"/>
  <c r="S243" i="119"/>
  <c r="R243" i="119"/>
  <c r="Q243" i="119"/>
  <c r="P243" i="119"/>
  <c r="O243" i="119"/>
  <c r="N243" i="119"/>
  <c r="M243" i="119"/>
  <c r="K243" i="119"/>
  <c r="J243" i="119"/>
  <c r="I243" i="119"/>
  <c r="H243" i="119"/>
  <c r="E243" i="119"/>
  <c r="A243" i="119"/>
  <c r="S242" i="119"/>
  <c r="R242" i="119"/>
  <c r="Q242" i="119"/>
  <c r="P242" i="119"/>
  <c r="O242" i="119"/>
  <c r="N242" i="119"/>
  <c r="M242" i="119"/>
  <c r="K242" i="119"/>
  <c r="J242" i="119"/>
  <c r="I242" i="119"/>
  <c r="H242" i="119"/>
  <c r="E242" i="119"/>
  <c r="A242" i="119"/>
  <c r="S241" i="119"/>
  <c r="R241" i="119"/>
  <c r="Q241" i="119"/>
  <c r="P241" i="119"/>
  <c r="O241" i="119"/>
  <c r="N241" i="119"/>
  <c r="M241" i="119"/>
  <c r="K241" i="119"/>
  <c r="J241" i="119"/>
  <c r="I241" i="119"/>
  <c r="H241" i="119"/>
  <c r="E241" i="119"/>
  <c r="A241" i="119"/>
  <c r="S240" i="119"/>
  <c r="R240" i="119"/>
  <c r="Q240" i="119"/>
  <c r="P240" i="119"/>
  <c r="O240" i="119"/>
  <c r="N240" i="119"/>
  <c r="M240" i="119"/>
  <c r="K240" i="119"/>
  <c r="J240" i="119"/>
  <c r="I240" i="119"/>
  <c r="H240" i="119"/>
  <c r="E240" i="119"/>
  <c r="A240" i="119"/>
  <c r="S239" i="119"/>
  <c r="R239" i="119"/>
  <c r="Q239" i="119"/>
  <c r="P239" i="119"/>
  <c r="O239" i="119"/>
  <c r="N239" i="119"/>
  <c r="M239" i="119"/>
  <c r="K239" i="119"/>
  <c r="J239" i="119"/>
  <c r="I239" i="119"/>
  <c r="H239" i="119"/>
  <c r="E239" i="119"/>
  <c r="A239" i="119"/>
  <c r="S238" i="119"/>
  <c r="R238" i="119"/>
  <c r="Q238" i="119"/>
  <c r="P238" i="119"/>
  <c r="O238" i="119"/>
  <c r="N238" i="119"/>
  <c r="M238" i="119"/>
  <c r="K238" i="119"/>
  <c r="J238" i="119"/>
  <c r="I238" i="119"/>
  <c r="H238" i="119"/>
  <c r="E238" i="119"/>
  <c r="A238" i="119"/>
  <c r="S237" i="119"/>
  <c r="R237" i="119"/>
  <c r="Q237" i="119"/>
  <c r="P237" i="119"/>
  <c r="O237" i="119"/>
  <c r="N237" i="119"/>
  <c r="M237" i="119"/>
  <c r="K237" i="119"/>
  <c r="J237" i="119"/>
  <c r="I237" i="119"/>
  <c r="H237" i="119"/>
  <c r="E237" i="119"/>
  <c r="A237" i="119"/>
  <c r="S236" i="119"/>
  <c r="R236" i="119"/>
  <c r="Q236" i="119"/>
  <c r="P236" i="119"/>
  <c r="O236" i="119"/>
  <c r="N236" i="119"/>
  <c r="M236" i="119"/>
  <c r="K236" i="119"/>
  <c r="J236" i="119"/>
  <c r="I236" i="119"/>
  <c r="H236" i="119"/>
  <c r="E236" i="119"/>
  <c r="A236" i="119"/>
  <c r="S235" i="119"/>
  <c r="R235" i="119"/>
  <c r="Q235" i="119"/>
  <c r="P235" i="119"/>
  <c r="O235" i="119"/>
  <c r="N235" i="119"/>
  <c r="M235" i="119"/>
  <c r="K235" i="119"/>
  <c r="J235" i="119"/>
  <c r="I235" i="119"/>
  <c r="H235" i="119"/>
  <c r="E235" i="119"/>
  <c r="A235" i="119"/>
  <c r="S234" i="119"/>
  <c r="R234" i="119"/>
  <c r="Q234" i="119"/>
  <c r="P234" i="119"/>
  <c r="O234" i="119"/>
  <c r="N234" i="119"/>
  <c r="M234" i="119"/>
  <c r="K234" i="119"/>
  <c r="J234" i="119"/>
  <c r="I234" i="119"/>
  <c r="H234" i="119"/>
  <c r="E234" i="119"/>
  <c r="A234" i="119"/>
  <c r="S233" i="119"/>
  <c r="R233" i="119"/>
  <c r="Q233" i="119"/>
  <c r="P233" i="119"/>
  <c r="O233" i="119"/>
  <c r="N233" i="119"/>
  <c r="M233" i="119"/>
  <c r="K233" i="119"/>
  <c r="J233" i="119"/>
  <c r="I233" i="119"/>
  <c r="H233" i="119"/>
  <c r="E233" i="119"/>
  <c r="A233" i="119"/>
  <c r="S232" i="119"/>
  <c r="R232" i="119"/>
  <c r="Q232" i="119"/>
  <c r="P232" i="119"/>
  <c r="O232" i="119"/>
  <c r="N232" i="119"/>
  <c r="M232" i="119"/>
  <c r="K232" i="119"/>
  <c r="J232" i="119"/>
  <c r="I232" i="119"/>
  <c r="H232" i="119"/>
  <c r="E232" i="119"/>
  <c r="A232" i="119"/>
  <c r="S231" i="119"/>
  <c r="R231" i="119"/>
  <c r="Q231" i="119"/>
  <c r="P231" i="119"/>
  <c r="O231" i="119"/>
  <c r="N231" i="119"/>
  <c r="M231" i="119"/>
  <c r="K231" i="119"/>
  <c r="J231" i="119"/>
  <c r="I231" i="119"/>
  <c r="H231" i="119"/>
  <c r="E231" i="119"/>
  <c r="A231" i="119"/>
  <c r="S230" i="119"/>
  <c r="R230" i="119"/>
  <c r="Q230" i="119"/>
  <c r="P230" i="119"/>
  <c r="O230" i="119"/>
  <c r="N230" i="119"/>
  <c r="M230" i="119"/>
  <c r="K230" i="119"/>
  <c r="J230" i="119"/>
  <c r="I230" i="119"/>
  <c r="H230" i="119"/>
  <c r="E230" i="119"/>
  <c r="A230" i="119"/>
  <c r="S229" i="119"/>
  <c r="R229" i="119"/>
  <c r="Q229" i="119"/>
  <c r="P229" i="119"/>
  <c r="O229" i="119"/>
  <c r="N229" i="119"/>
  <c r="M229" i="119"/>
  <c r="K229" i="119"/>
  <c r="J229" i="119"/>
  <c r="I229" i="119"/>
  <c r="H229" i="119"/>
  <c r="E229" i="119"/>
  <c r="A229" i="119"/>
  <c r="S228" i="119"/>
  <c r="R228" i="119"/>
  <c r="Q228" i="119"/>
  <c r="P228" i="119"/>
  <c r="O228" i="119"/>
  <c r="N228" i="119"/>
  <c r="M228" i="119"/>
  <c r="K228" i="119"/>
  <c r="J228" i="119"/>
  <c r="I228" i="119"/>
  <c r="H228" i="119"/>
  <c r="E228" i="119"/>
  <c r="A228" i="119"/>
  <c r="S227" i="119"/>
  <c r="R227" i="119"/>
  <c r="Q227" i="119"/>
  <c r="P227" i="119"/>
  <c r="O227" i="119"/>
  <c r="N227" i="119"/>
  <c r="M227" i="119"/>
  <c r="K227" i="119"/>
  <c r="J227" i="119"/>
  <c r="I227" i="119"/>
  <c r="H227" i="119"/>
  <c r="E227" i="119"/>
  <c r="A227" i="119"/>
  <c r="S226" i="119"/>
  <c r="R226" i="119"/>
  <c r="Q226" i="119"/>
  <c r="P226" i="119"/>
  <c r="O226" i="119"/>
  <c r="N226" i="119"/>
  <c r="M226" i="119"/>
  <c r="K226" i="119"/>
  <c r="J226" i="119"/>
  <c r="I226" i="119"/>
  <c r="H226" i="119"/>
  <c r="E226" i="119"/>
  <c r="A226" i="119"/>
  <c r="S225" i="119"/>
  <c r="R225" i="119"/>
  <c r="Q225" i="119"/>
  <c r="P225" i="119"/>
  <c r="O225" i="119"/>
  <c r="N225" i="119"/>
  <c r="M225" i="119"/>
  <c r="K225" i="119"/>
  <c r="J225" i="119"/>
  <c r="I225" i="119"/>
  <c r="H225" i="119"/>
  <c r="E225" i="119"/>
  <c r="A225" i="119"/>
  <c r="S224" i="119"/>
  <c r="R224" i="119"/>
  <c r="Q224" i="119"/>
  <c r="P224" i="119"/>
  <c r="O224" i="119"/>
  <c r="N224" i="119"/>
  <c r="M224" i="119"/>
  <c r="K224" i="119"/>
  <c r="J224" i="119"/>
  <c r="I224" i="119"/>
  <c r="H224" i="119"/>
  <c r="E224" i="119"/>
  <c r="A224" i="119"/>
  <c r="S223" i="119"/>
  <c r="R223" i="119"/>
  <c r="Q223" i="119"/>
  <c r="P223" i="119"/>
  <c r="O223" i="119"/>
  <c r="N223" i="119"/>
  <c r="M223" i="119"/>
  <c r="K223" i="119"/>
  <c r="J223" i="119"/>
  <c r="I223" i="119"/>
  <c r="H223" i="119"/>
  <c r="E223" i="119"/>
  <c r="A223" i="119"/>
  <c r="S222" i="119"/>
  <c r="R222" i="119"/>
  <c r="Q222" i="119"/>
  <c r="P222" i="119"/>
  <c r="O222" i="119"/>
  <c r="N222" i="119"/>
  <c r="M222" i="119"/>
  <c r="K222" i="119"/>
  <c r="J222" i="119"/>
  <c r="I222" i="119"/>
  <c r="H222" i="119"/>
  <c r="E222" i="119"/>
  <c r="A222" i="119"/>
  <c r="S221" i="119"/>
  <c r="R221" i="119"/>
  <c r="Q221" i="119"/>
  <c r="P221" i="119"/>
  <c r="O221" i="119"/>
  <c r="N221" i="119"/>
  <c r="M221" i="119"/>
  <c r="K221" i="119"/>
  <c r="J221" i="119"/>
  <c r="I221" i="119"/>
  <c r="H221" i="119"/>
  <c r="E221" i="119"/>
  <c r="A221" i="119"/>
  <c r="S220" i="119"/>
  <c r="R220" i="119"/>
  <c r="Q220" i="119"/>
  <c r="P220" i="119"/>
  <c r="O220" i="119"/>
  <c r="N220" i="119"/>
  <c r="M220" i="119"/>
  <c r="K220" i="119"/>
  <c r="J220" i="119"/>
  <c r="I220" i="119"/>
  <c r="H220" i="119"/>
  <c r="E220" i="119"/>
  <c r="A220" i="119"/>
  <c r="S219" i="119"/>
  <c r="R219" i="119"/>
  <c r="Q219" i="119"/>
  <c r="P219" i="119"/>
  <c r="O219" i="119"/>
  <c r="N219" i="119"/>
  <c r="M219" i="119"/>
  <c r="K219" i="119"/>
  <c r="J219" i="119"/>
  <c r="I219" i="119"/>
  <c r="H219" i="119"/>
  <c r="E219" i="119"/>
  <c r="A219" i="119"/>
  <c r="S218" i="119"/>
  <c r="R218" i="119"/>
  <c r="Q218" i="119"/>
  <c r="P218" i="119"/>
  <c r="O218" i="119"/>
  <c r="N218" i="119"/>
  <c r="M218" i="119"/>
  <c r="K218" i="119"/>
  <c r="J218" i="119"/>
  <c r="I218" i="119"/>
  <c r="H218" i="119"/>
  <c r="E218" i="119"/>
  <c r="A218" i="119"/>
  <c r="S217" i="119"/>
  <c r="R217" i="119"/>
  <c r="Q217" i="119"/>
  <c r="P217" i="119"/>
  <c r="O217" i="119"/>
  <c r="N217" i="119"/>
  <c r="M217" i="119"/>
  <c r="K217" i="119"/>
  <c r="J217" i="119"/>
  <c r="I217" i="119"/>
  <c r="H217" i="119"/>
  <c r="E217" i="119"/>
  <c r="A217" i="119"/>
  <c r="S216" i="119"/>
  <c r="R216" i="119"/>
  <c r="Q216" i="119"/>
  <c r="P216" i="119"/>
  <c r="O216" i="119"/>
  <c r="N216" i="119"/>
  <c r="M216" i="119"/>
  <c r="K216" i="119"/>
  <c r="J216" i="119"/>
  <c r="I216" i="119"/>
  <c r="H216" i="119"/>
  <c r="E216" i="119"/>
  <c r="A216" i="119"/>
  <c r="S215" i="119"/>
  <c r="R215" i="119"/>
  <c r="Q215" i="119"/>
  <c r="P215" i="119"/>
  <c r="O215" i="119"/>
  <c r="N215" i="119"/>
  <c r="M215" i="119"/>
  <c r="K215" i="119"/>
  <c r="J215" i="119"/>
  <c r="I215" i="119"/>
  <c r="H215" i="119"/>
  <c r="E215" i="119"/>
  <c r="A215" i="119"/>
  <c r="S214" i="119"/>
  <c r="R214" i="119"/>
  <c r="Q214" i="119"/>
  <c r="P214" i="119"/>
  <c r="O214" i="119"/>
  <c r="N214" i="119"/>
  <c r="M214" i="119"/>
  <c r="K214" i="119"/>
  <c r="J214" i="119"/>
  <c r="I214" i="119"/>
  <c r="H214" i="119"/>
  <c r="E214" i="119"/>
  <c r="A214" i="119"/>
  <c r="S213" i="119"/>
  <c r="R213" i="119"/>
  <c r="Q213" i="119"/>
  <c r="P213" i="119"/>
  <c r="O213" i="119"/>
  <c r="N213" i="119"/>
  <c r="M213" i="119"/>
  <c r="K213" i="119"/>
  <c r="J213" i="119"/>
  <c r="I213" i="119"/>
  <c r="H213" i="119"/>
  <c r="E213" i="119"/>
  <c r="A213" i="119"/>
  <c r="S212" i="119"/>
  <c r="R212" i="119"/>
  <c r="Q212" i="119"/>
  <c r="P212" i="119"/>
  <c r="O212" i="119"/>
  <c r="N212" i="119"/>
  <c r="M212" i="119"/>
  <c r="K212" i="119"/>
  <c r="J212" i="119"/>
  <c r="I212" i="119"/>
  <c r="H212" i="119"/>
  <c r="E212" i="119"/>
  <c r="A212" i="119"/>
  <c r="S211" i="119"/>
  <c r="R211" i="119"/>
  <c r="Q211" i="119"/>
  <c r="P211" i="119"/>
  <c r="O211" i="119"/>
  <c r="N211" i="119"/>
  <c r="M211" i="119"/>
  <c r="K211" i="119"/>
  <c r="J211" i="119"/>
  <c r="I211" i="119"/>
  <c r="H211" i="119"/>
  <c r="E211" i="119"/>
  <c r="A211" i="119"/>
  <c r="S210" i="119"/>
  <c r="R210" i="119"/>
  <c r="Q210" i="119"/>
  <c r="P210" i="119"/>
  <c r="O210" i="119"/>
  <c r="N210" i="119"/>
  <c r="M210" i="119"/>
  <c r="K210" i="119"/>
  <c r="J210" i="119"/>
  <c r="I210" i="119"/>
  <c r="H210" i="119"/>
  <c r="E210" i="119"/>
  <c r="A210" i="119"/>
  <c r="S209" i="119"/>
  <c r="R209" i="119"/>
  <c r="Q209" i="119"/>
  <c r="P209" i="119"/>
  <c r="O209" i="119"/>
  <c r="N209" i="119"/>
  <c r="M209" i="119"/>
  <c r="K209" i="119"/>
  <c r="J209" i="119"/>
  <c r="I209" i="119"/>
  <c r="H209" i="119"/>
  <c r="E209" i="119"/>
  <c r="A209" i="119"/>
  <c r="S208" i="119"/>
  <c r="R208" i="119"/>
  <c r="Q208" i="119"/>
  <c r="P208" i="119"/>
  <c r="O208" i="119"/>
  <c r="N208" i="119"/>
  <c r="M208" i="119"/>
  <c r="K208" i="119"/>
  <c r="J208" i="119"/>
  <c r="I208" i="119"/>
  <c r="H208" i="119"/>
  <c r="E208" i="119"/>
  <c r="A208" i="119"/>
  <c r="S207" i="119"/>
  <c r="R207" i="119"/>
  <c r="Q207" i="119"/>
  <c r="P207" i="119"/>
  <c r="O207" i="119"/>
  <c r="N207" i="119"/>
  <c r="M207" i="119"/>
  <c r="K207" i="119"/>
  <c r="J207" i="119"/>
  <c r="I207" i="119"/>
  <c r="H207" i="119"/>
  <c r="E207" i="119"/>
  <c r="A207" i="119"/>
  <c r="S206" i="119"/>
  <c r="R206" i="119"/>
  <c r="Q206" i="119"/>
  <c r="P206" i="119"/>
  <c r="O206" i="119"/>
  <c r="N206" i="119"/>
  <c r="M206" i="119"/>
  <c r="K206" i="119"/>
  <c r="J206" i="119"/>
  <c r="I206" i="119"/>
  <c r="H206" i="119"/>
  <c r="E206" i="119"/>
  <c r="A206" i="119"/>
  <c r="S205" i="119"/>
  <c r="R205" i="119"/>
  <c r="Q205" i="119"/>
  <c r="P205" i="119"/>
  <c r="O205" i="119"/>
  <c r="N205" i="119"/>
  <c r="M205" i="119"/>
  <c r="K205" i="119"/>
  <c r="J205" i="119"/>
  <c r="I205" i="119"/>
  <c r="H205" i="119"/>
  <c r="E205" i="119"/>
  <c r="A205" i="119"/>
  <c r="S204" i="119"/>
  <c r="R204" i="119"/>
  <c r="Q204" i="119"/>
  <c r="P204" i="119"/>
  <c r="O204" i="119"/>
  <c r="N204" i="119"/>
  <c r="M204" i="119"/>
  <c r="K204" i="119"/>
  <c r="J204" i="119"/>
  <c r="I204" i="119"/>
  <c r="H204" i="119"/>
  <c r="E204" i="119"/>
  <c r="A204" i="119"/>
  <c r="S203" i="119"/>
  <c r="R203" i="119"/>
  <c r="Q203" i="119"/>
  <c r="P203" i="119"/>
  <c r="O203" i="119"/>
  <c r="N203" i="119"/>
  <c r="M203" i="119"/>
  <c r="K203" i="119"/>
  <c r="J203" i="119"/>
  <c r="I203" i="119"/>
  <c r="H203" i="119"/>
  <c r="E203" i="119"/>
  <c r="A203" i="119"/>
  <c r="S202" i="119"/>
  <c r="R202" i="119"/>
  <c r="Q202" i="119"/>
  <c r="P202" i="119"/>
  <c r="O202" i="119"/>
  <c r="N202" i="119"/>
  <c r="M202" i="119"/>
  <c r="K202" i="119"/>
  <c r="J202" i="119"/>
  <c r="I202" i="119"/>
  <c r="H202" i="119"/>
  <c r="E202" i="119"/>
  <c r="A202" i="119"/>
  <c r="S201" i="119"/>
  <c r="R201" i="119"/>
  <c r="Q201" i="119"/>
  <c r="P201" i="119"/>
  <c r="O201" i="119"/>
  <c r="N201" i="119"/>
  <c r="M201" i="119"/>
  <c r="K201" i="119"/>
  <c r="J201" i="119"/>
  <c r="I201" i="119"/>
  <c r="H201" i="119"/>
  <c r="E201" i="119"/>
  <c r="A201" i="119"/>
  <c r="S200" i="119"/>
  <c r="R200" i="119"/>
  <c r="Q200" i="119"/>
  <c r="P200" i="119"/>
  <c r="O200" i="119"/>
  <c r="N200" i="119"/>
  <c r="M200" i="119"/>
  <c r="K200" i="119"/>
  <c r="J200" i="119"/>
  <c r="I200" i="119"/>
  <c r="H200" i="119"/>
  <c r="E200" i="119"/>
  <c r="A200" i="119"/>
  <c r="S199" i="119"/>
  <c r="R199" i="119"/>
  <c r="Q199" i="119"/>
  <c r="P199" i="119"/>
  <c r="O199" i="119"/>
  <c r="N199" i="119"/>
  <c r="M199" i="119"/>
  <c r="K199" i="119"/>
  <c r="J199" i="119"/>
  <c r="I199" i="119"/>
  <c r="H199" i="119"/>
  <c r="E199" i="119"/>
  <c r="A199" i="119"/>
  <c r="S198" i="119"/>
  <c r="R198" i="119"/>
  <c r="Q198" i="119"/>
  <c r="P198" i="119"/>
  <c r="O198" i="119"/>
  <c r="N198" i="119"/>
  <c r="M198" i="119"/>
  <c r="K198" i="119"/>
  <c r="J198" i="119"/>
  <c r="I198" i="119"/>
  <c r="H198" i="119"/>
  <c r="E198" i="119"/>
  <c r="A198" i="119"/>
  <c r="S197" i="119"/>
  <c r="R197" i="119"/>
  <c r="Q197" i="119"/>
  <c r="P197" i="119"/>
  <c r="O197" i="119"/>
  <c r="N197" i="119"/>
  <c r="M197" i="119"/>
  <c r="K197" i="119"/>
  <c r="J197" i="119"/>
  <c r="I197" i="119"/>
  <c r="H197" i="119"/>
  <c r="E197" i="119"/>
  <c r="A197" i="119"/>
  <c r="S196" i="119"/>
  <c r="R196" i="119"/>
  <c r="Q196" i="119"/>
  <c r="P196" i="119"/>
  <c r="O196" i="119"/>
  <c r="N196" i="119"/>
  <c r="M196" i="119"/>
  <c r="K196" i="119"/>
  <c r="J196" i="119"/>
  <c r="I196" i="119"/>
  <c r="H196" i="119"/>
  <c r="E196" i="119"/>
  <c r="A196" i="119"/>
  <c r="S195" i="119"/>
  <c r="R195" i="119"/>
  <c r="Q195" i="119"/>
  <c r="P195" i="119"/>
  <c r="O195" i="119"/>
  <c r="N195" i="119"/>
  <c r="M195" i="119"/>
  <c r="K195" i="119"/>
  <c r="J195" i="119"/>
  <c r="I195" i="119"/>
  <c r="H195" i="119"/>
  <c r="E195" i="119"/>
  <c r="A195" i="119"/>
  <c r="S194" i="119"/>
  <c r="R194" i="119"/>
  <c r="Q194" i="119"/>
  <c r="P194" i="119"/>
  <c r="O194" i="119"/>
  <c r="N194" i="119"/>
  <c r="M194" i="119"/>
  <c r="K194" i="119"/>
  <c r="J194" i="119"/>
  <c r="I194" i="119"/>
  <c r="H194" i="119"/>
  <c r="E194" i="119"/>
  <c r="A194" i="119"/>
  <c r="S193" i="119"/>
  <c r="R193" i="119"/>
  <c r="Q193" i="119"/>
  <c r="P193" i="119"/>
  <c r="O193" i="119"/>
  <c r="N193" i="119"/>
  <c r="M193" i="119"/>
  <c r="K193" i="119"/>
  <c r="J193" i="119"/>
  <c r="I193" i="119"/>
  <c r="H193" i="119"/>
  <c r="E193" i="119"/>
  <c r="A193" i="119"/>
  <c r="S192" i="119"/>
  <c r="R192" i="119"/>
  <c r="Q192" i="119"/>
  <c r="P192" i="119"/>
  <c r="O192" i="119"/>
  <c r="N192" i="119"/>
  <c r="M192" i="119"/>
  <c r="K192" i="119"/>
  <c r="J192" i="119"/>
  <c r="I192" i="119"/>
  <c r="H192" i="119"/>
  <c r="E192" i="119"/>
  <c r="A192" i="119"/>
  <c r="S191" i="119"/>
  <c r="R191" i="119"/>
  <c r="Q191" i="119"/>
  <c r="P191" i="119"/>
  <c r="O191" i="119"/>
  <c r="N191" i="119"/>
  <c r="M191" i="119"/>
  <c r="K191" i="119"/>
  <c r="J191" i="119"/>
  <c r="I191" i="119"/>
  <c r="H191" i="119"/>
  <c r="E191" i="119"/>
  <c r="A191" i="119"/>
  <c r="S190" i="119"/>
  <c r="R190" i="119"/>
  <c r="Q190" i="119"/>
  <c r="P190" i="119"/>
  <c r="O190" i="119"/>
  <c r="N190" i="119"/>
  <c r="M190" i="119"/>
  <c r="K190" i="119"/>
  <c r="J190" i="119"/>
  <c r="I190" i="119"/>
  <c r="H190" i="119"/>
  <c r="E190" i="119"/>
  <c r="A190" i="119"/>
  <c r="S189" i="119"/>
  <c r="R189" i="119"/>
  <c r="Q189" i="119"/>
  <c r="P189" i="119"/>
  <c r="O189" i="119"/>
  <c r="N189" i="119"/>
  <c r="M189" i="119"/>
  <c r="K189" i="119"/>
  <c r="J189" i="119"/>
  <c r="I189" i="119"/>
  <c r="H189" i="119"/>
  <c r="E189" i="119"/>
  <c r="A189" i="119"/>
  <c r="S188" i="119"/>
  <c r="R188" i="119"/>
  <c r="Q188" i="119"/>
  <c r="P188" i="119"/>
  <c r="O188" i="119"/>
  <c r="N188" i="119"/>
  <c r="M188" i="119"/>
  <c r="K188" i="119"/>
  <c r="J188" i="119"/>
  <c r="I188" i="119"/>
  <c r="H188" i="119"/>
  <c r="E188" i="119"/>
  <c r="A188" i="119"/>
  <c r="S187" i="119"/>
  <c r="R187" i="119"/>
  <c r="Q187" i="119"/>
  <c r="P187" i="119"/>
  <c r="O187" i="119"/>
  <c r="N187" i="119"/>
  <c r="M187" i="119"/>
  <c r="K187" i="119"/>
  <c r="J187" i="119"/>
  <c r="I187" i="119"/>
  <c r="H187" i="119"/>
  <c r="E187" i="119"/>
  <c r="A187" i="119"/>
  <c r="S186" i="119"/>
  <c r="R186" i="119"/>
  <c r="Q186" i="119"/>
  <c r="P186" i="119"/>
  <c r="O186" i="119"/>
  <c r="N186" i="119"/>
  <c r="M186" i="119"/>
  <c r="K186" i="119"/>
  <c r="J186" i="119"/>
  <c r="I186" i="119"/>
  <c r="H186" i="119"/>
  <c r="E186" i="119"/>
  <c r="A186" i="119"/>
  <c r="S185" i="119"/>
  <c r="R185" i="119"/>
  <c r="Q185" i="119"/>
  <c r="P185" i="119"/>
  <c r="O185" i="119"/>
  <c r="N185" i="119"/>
  <c r="M185" i="119"/>
  <c r="K185" i="119"/>
  <c r="J185" i="119"/>
  <c r="I185" i="119"/>
  <c r="H185" i="119"/>
  <c r="E185" i="119"/>
  <c r="A185" i="119"/>
  <c r="S184" i="119"/>
  <c r="R184" i="119"/>
  <c r="Q184" i="119"/>
  <c r="P184" i="119"/>
  <c r="O184" i="119"/>
  <c r="N184" i="119"/>
  <c r="M184" i="119"/>
  <c r="K184" i="119"/>
  <c r="J184" i="119"/>
  <c r="I184" i="119"/>
  <c r="H184" i="119"/>
  <c r="E184" i="119"/>
  <c r="A184" i="119"/>
  <c r="S183" i="119"/>
  <c r="R183" i="119"/>
  <c r="Q183" i="119"/>
  <c r="P183" i="119"/>
  <c r="O183" i="119"/>
  <c r="N183" i="119"/>
  <c r="M183" i="119"/>
  <c r="K183" i="119"/>
  <c r="J183" i="119"/>
  <c r="I183" i="119"/>
  <c r="H183" i="119"/>
  <c r="E183" i="119"/>
  <c r="A183" i="119"/>
  <c r="S182" i="119"/>
  <c r="R182" i="119"/>
  <c r="Q182" i="119"/>
  <c r="P182" i="119"/>
  <c r="O182" i="119"/>
  <c r="N182" i="119"/>
  <c r="M182" i="119"/>
  <c r="K182" i="119"/>
  <c r="J182" i="119"/>
  <c r="I182" i="119"/>
  <c r="H182" i="119"/>
  <c r="E182" i="119"/>
  <c r="A182" i="119"/>
  <c r="S181" i="119"/>
  <c r="R181" i="119"/>
  <c r="Q181" i="119"/>
  <c r="P181" i="119"/>
  <c r="O181" i="119"/>
  <c r="N181" i="119"/>
  <c r="M181" i="119"/>
  <c r="K181" i="119"/>
  <c r="J181" i="119"/>
  <c r="I181" i="119"/>
  <c r="H181" i="119"/>
  <c r="E181" i="119"/>
  <c r="A181" i="119"/>
  <c r="S180" i="119"/>
  <c r="R180" i="119"/>
  <c r="Q180" i="119"/>
  <c r="P180" i="119"/>
  <c r="O180" i="119"/>
  <c r="N180" i="119"/>
  <c r="M180" i="119"/>
  <c r="K180" i="119"/>
  <c r="J180" i="119"/>
  <c r="I180" i="119"/>
  <c r="H180" i="119"/>
  <c r="E180" i="119"/>
  <c r="A180" i="119"/>
  <c r="S179" i="119"/>
  <c r="R179" i="119"/>
  <c r="Q179" i="119"/>
  <c r="P179" i="119"/>
  <c r="O179" i="119"/>
  <c r="N179" i="119"/>
  <c r="M179" i="119"/>
  <c r="K179" i="119"/>
  <c r="J179" i="119"/>
  <c r="I179" i="119"/>
  <c r="H179" i="119"/>
  <c r="E179" i="119"/>
  <c r="A179" i="119"/>
  <c r="S178" i="119"/>
  <c r="R178" i="119"/>
  <c r="Q178" i="119"/>
  <c r="P178" i="119"/>
  <c r="O178" i="119"/>
  <c r="N178" i="119"/>
  <c r="M178" i="119"/>
  <c r="K178" i="119"/>
  <c r="J178" i="119"/>
  <c r="I178" i="119"/>
  <c r="H178" i="119"/>
  <c r="E178" i="119"/>
  <c r="A178" i="119"/>
  <c r="S177" i="119"/>
  <c r="R177" i="119"/>
  <c r="Q177" i="119"/>
  <c r="P177" i="119"/>
  <c r="O177" i="119"/>
  <c r="N177" i="119"/>
  <c r="M177" i="119"/>
  <c r="K177" i="119"/>
  <c r="J177" i="119"/>
  <c r="I177" i="119"/>
  <c r="H177" i="119"/>
  <c r="E177" i="119"/>
  <c r="A177" i="119"/>
  <c r="S176" i="119"/>
  <c r="R176" i="119"/>
  <c r="Q176" i="119"/>
  <c r="P176" i="119"/>
  <c r="O176" i="119"/>
  <c r="N176" i="119"/>
  <c r="M176" i="119"/>
  <c r="K176" i="119"/>
  <c r="J176" i="119"/>
  <c r="I176" i="119"/>
  <c r="H176" i="119"/>
  <c r="E176" i="119"/>
  <c r="A176" i="119"/>
  <c r="S175" i="119"/>
  <c r="R175" i="119"/>
  <c r="Q175" i="119"/>
  <c r="P175" i="119"/>
  <c r="O175" i="119"/>
  <c r="N175" i="119"/>
  <c r="M175" i="119"/>
  <c r="K175" i="119"/>
  <c r="J175" i="119"/>
  <c r="I175" i="119"/>
  <c r="H175" i="119"/>
  <c r="E175" i="119"/>
  <c r="A175" i="119"/>
  <c r="S174" i="119"/>
  <c r="R174" i="119"/>
  <c r="Q174" i="119"/>
  <c r="P174" i="119"/>
  <c r="O174" i="119"/>
  <c r="N174" i="119"/>
  <c r="M174" i="119"/>
  <c r="K174" i="119"/>
  <c r="J174" i="119"/>
  <c r="I174" i="119"/>
  <c r="H174" i="119"/>
  <c r="E174" i="119"/>
  <c r="A174" i="119"/>
  <c r="S173" i="119"/>
  <c r="R173" i="119"/>
  <c r="Q173" i="119"/>
  <c r="P173" i="119"/>
  <c r="O173" i="119"/>
  <c r="N173" i="119"/>
  <c r="M173" i="119"/>
  <c r="K173" i="119"/>
  <c r="J173" i="119"/>
  <c r="I173" i="119"/>
  <c r="H173" i="119"/>
  <c r="E173" i="119"/>
  <c r="A173" i="119"/>
  <c r="S172" i="119"/>
  <c r="R172" i="119"/>
  <c r="Q172" i="119"/>
  <c r="P172" i="119"/>
  <c r="O172" i="119"/>
  <c r="N172" i="119"/>
  <c r="M172" i="119"/>
  <c r="K172" i="119"/>
  <c r="J172" i="119"/>
  <c r="I172" i="119"/>
  <c r="H172" i="119"/>
  <c r="E172" i="119"/>
  <c r="A172" i="119"/>
  <c r="S171" i="119"/>
  <c r="R171" i="119"/>
  <c r="Q171" i="119"/>
  <c r="P171" i="119"/>
  <c r="O171" i="119"/>
  <c r="N171" i="119"/>
  <c r="M171" i="119"/>
  <c r="K171" i="119"/>
  <c r="J171" i="119"/>
  <c r="I171" i="119"/>
  <c r="H171" i="119"/>
  <c r="E171" i="119"/>
  <c r="A171" i="119"/>
  <c r="S170" i="119"/>
  <c r="R170" i="119"/>
  <c r="Q170" i="119"/>
  <c r="P170" i="119"/>
  <c r="O170" i="119"/>
  <c r="N170" i="119"/>
  <c r="M170" i="119"/>
  <c r="K170" i="119"/>
  <c r="J170" i="119"/>
  <c r="I170" i="119"/>
  <c r="H170" i="119"/>
  <c r="E170" i="119"/>
  <c r="A170" i="119"/>
  <c r="S169" i="119"/>
  <c r="R169" i="119"/>
  <c r="Q169" i="119"/>
  <c r="P169" i="119"/>
  <c r="O169" i="119"/>
  <c r="N169" i="119"/>
  <c r="M169" i="119"/>
  <c r="K169" i="119"/>
  <c r="J169" i="119"/>
  <c r="I169" i="119"/>
  <c r="H169" i="119"/>
  <c r="E169" i="119"/>
  <c r="A169" i="119"/>
  <c r="S168" i="119"/>
  <c r="R168" i="119"/>
  <c r="Q168" i="119"/>
  <c r="P168" i="119"/>
  <c r="O168" i="119"/>
  <c r="N168" i="119"/>
  <c r="M168" i="119"/>
  <c r="K168" i="119"/>
  <c r="J168" i="119"/>
  <c r="I168" i="119"/>
  <c r="H168" i="119"/>
  <c r="E168" i="119"/>
  <c r="A168" i="119"/>
  <c r="S167" i="119"/>
  <c r="R167" i="119"/>
  <c r="Q167" i="119"/>
  <c r="P167" i="119"/>
  <c r="O167" i="119"/>
  <c r="N167" i="119"/>
  <c r="M167" i="119"/>
  <c r="K167" i="119"/>
  <c r="J167" i="119"/>
  <c r="I167" i="119"/>
  <c r="H167" i="119"/>
  <c r="E167" i="119"/>
  <c r="A167" i="119"/>
  <c r="S166" i="119"/>
  <c r="R166" i="119"/>
  <c r="Q166" i="119"/>
  <c r="P166" i="119"/>
  <c r="O166" i="119"/>
  <c r="N166" i="119"/>
  <c r="M166" i="119"/>
  <c r="K166" i="119"/>
  <c r="J166" i="119"/>
  <c r="I166" i="119"/>
  <c r="H166" i="119"/>
  <c r="E166" i="119"/>
  <c r="A166" i="119"/>
  <c r="S165" i="119"/>
  <c r="R165" i="119"/>
  <c r="Q165" i="119"/>
  <c r="P165" i="119"/>
  <c r="O165" i="119"/>
  <c r="N165" i="119"/>
  <c r="M165" i="119"/>
  <c r="K165" i="119"/>
  <c r="J165" i="119"/>
  <c r="I165" i="119"/>
  <c r="H165" i="119"/>
  <c r="E165" i="119"/>
  <c r="A165" i="119"/>
  <c r="S164" i="119"/>
  <c r="R164" i="119"/>
  <c r="Q164" i="119"/>
  <c r="P164" i="119"/>
  <c r="O164" i="119"/>
  <c r="N164" i="119"/>
  <c r="M164" i="119"/>
  <c r="K164" i="119"/>
  <c r="J164" i="119"/>
  <c r="I164" i="119"/>
  <c r="H164" i="119"/>
  <c r="E164" i="119"/>
  <c r="A164" i="119"/>
  <c r="S163" i="119"/>
  <c r="R163" i="119"/>
  <c r="Q163" i="119"/>
  <c r="P163" i="119"/>
  <c r="O163" i="119"/>
  <c r="N163" i="119"/>
  <c r="M163" i="119"/>
  <c r="K163" i="119"/>
  <c r="J163" i="119"/>
  <c r="I163" i="119"/>
  <c r="H163" i="119"/>
  <c r="E163" i="119"/>
  <c r="A163" i="119"/>
  <c r="S162" i="119"/>
  <c r="R162" i="119"/>
  <c r="Q162" i="119"/>
  <c r="P162" i="119"/>
  <c r="O162" i="119"/>
  <c r="N162" i="119"/>
  <c r="M162" i="119"/>
  <c r="K162" i="119"/>
  <c r="J162" i="119"/>
  <c r="I162" i="119"/>
  <c r="H162" i="119"/>
  <c r="E162" i="119"/>
  <c r="A162" i="119"/>
  <c r="S161" i="119"/>
  <c r="R161" i="119"/>
  <c r="Q161" i="119"/>
  <c r="P161" i="119"/>
  <c r="O161" i="119"/>
  <c r="N161" i="119"/>
  <c r="M161" i="119"/>
  <c r="K161" i="119"/>
  <c r="J161" i="119"/>
  <c r="I161" i="119"/>
  <c r="H161" i="119"/>
  <c r="E161" i="119"/>
  <c r="A161" i="119"/>
  <c r="S160" i="119"/>
  <c r="R160" i="119"/>
  <c r="Q160" i="119"/>
  <c r="P160" i="119"/>
  <c r="O160" i="119"/>
  <c r="N160" i="119"/>
  <c r="M160" i="119"/>
  <c r="K160" i="119"/>
  <c r="J160" i="119"/>
  <c r="I160" i="119"/>
  <c r="H160" i="119"/>
  <c r="E160" i="119"/>
  <c r="A160" i="119"/>
  <c r="S159" i="119"/>
  <c r="R159" i="119"/>
  <c r="Q159" i="119"/>
  <c r="P159" i="119"/>
  <c r="O159" i="119"/>
  <c r="N159" i="119"/>
  <c r="M159" i="119"/>
  <c r="K159" i="119"/>
  <c r="J159" i="119"/>
  <c r="I159" i="119"/>
  <c r="H159" i="119"/>
  <c r="E159" i="119"/>
  <c r="A159" i="119"/>
  <c r="S158" i="119"/>
  <c r="R158" i="119"/>
  <c r="Q158" i="119"/>
  <c r="P158" i="119"/>
  <c r="O158" i="119"/>
  <c r="N158" i="119"/>
  <c r="M158" i="119"/>
  <c r="K158" i="119"/>
  <c r="J158" i="119"/>
  <c r="I158" i="119"/>
  <c r="H158" i="119"/>
  <c r="E158" i="119"/>
  <c r="A158" i="119"/>
  <c r="S157" i="119"/>
  <c r="R157" i="119"/>
  <c r="Q157" i="119"/>
  <c r="P157" i="119"/>
  <c r="O157" i="119"/>
  <c r="N157" i="119"/>
  <c r="M157" i="119"/>
  <c r="K157" i="119"/>
  <c r="J157" i="119"/>
  <c r="I157" i="119"/>
  <c r="H157" i="119"/>
  <c r="E157" i="119"/>
  <c r="A157" i="119"/>
  <c r="S156" i="119"/>
  <c r="R156" i="119"/>
  <c r="Q156" i="119"/>
  <c r="P156" i="119"/>
  <c r="O156" i="119"/>
  <c r="N156" i="119"/>
  <c r="M156" i="119"/>
  <c r="K156" i="119"/>
  <c r="J156" i="119"/>
  <c r="I156" i="119"/>
  <c r="H156" i="119"/>
  <c r="E156" i="119"/>
  <c r="A156" i="119"/>
  <c r="S155" i="119"/>
  <c r="R155" i="119"/>
  <c r="Q155" i="119"/>
  <c r="P155" i="119"/>
  <c r="O155" i="119"/>
  <c r="N155" i="119"/>
  <c r="M155" i="119"/>
  <c r="K155" i="119"/>
  <c r="J155" i="119"/>
  <c r="I155" i="119"/>
  <c r="H155" i="119"/>
  <c r="E155" i="119"/>
  <c r="A155" i="119"/>
  <c r="S154" i="119"/>
  <c r="R154" i="119"/>
  <c r="Q154" i="119"/>
  <c r="P154" i="119"/>
  <c r="O154" i="119"/>
  <c r="N154" i="119"/>
  <c r="M154" i="119"/>
  <c r="K154" i="119"/>
  <c r="J154" i="119"/>
  <c r="I154" i="119"/>
  <c r="H154" i="119"/>
  <c r="E154" i="119"/>
  <c r="A154" i="119"/>
  <c r="S153" i="119"/>
  <c r="R153" i="119"/>
  <c r="Q153" i="119"/>
  <c r="P153" i="119"/>
  <c r="O153" i="119"/>
  <c r="N153" i="119"/>
  <c r="M153" i="119"/>
  <c r="K153" i="119"/>
  <c r="J153" i="119"/>
  <c r="I153" i="119"/>
  <c r="H153" i="119"/>
  <c r="E153" i="119"/>
  <c r="A153" i="119"/>
  <c r="S152" i="119"/>
  <c r="R152" i="119"/>
  <c r="Q152" i="119"/>
  <c r="P152" i="119"/>
  <c r="O152" i="119"/>
  <c r="N152" i="119"/>
  <c r="M152" i="119"/>
  <c r="K152" i="119"/>
  <c r="J152" i="119"/>
  <c r="I152" i="119"/>
  <c r="H152" i="119"/>
  <c r="E152" i="119"/>
  <c r="A152" i="119"/>
  <c r="S151" i="119"/>
  <c r="R151" i="119"/>
  <c r="Q151" i="119"/>
  <c r="P151" i="119"/>
  <c r="O151" i="119"/>
  <c r="N151" i="119"/>
  <c r="M151" i="119"/>
  <c r="K151" i="119"/>
  <c r="J151" i="119"/>
  <c r="I151" i="119"/>
  <c r="H151" i="119"/>
  <c r="E151" i="119"/>
  <c r="A151" i="119"/>
  <c r="S150" i="119"/>
  <c r="R150" i="119"/>
  <c r="Q150" i="119"/>
  <c r="P150" i="119"/>
  <c r="O150" i="119"/>
  <c r="N150" i="119"/>
  <c r="M150" i="119"/>
  <c r="K150" i="119"/>
  <c r="J150" i="119"/>
  <c r="I150" i="119"/>
  <c r="H150" i="119"/>
  <c r="E150" i="119"/>
  <c r="A150" i="119"/>
  <c r="S149" i="119"/>
  <c r="R149" i="119"/>
  <c r="Q149" i="119"/>
  <c r="P149" i="119"/>
  <c r="O149" i="119"/>
  <c r="N149" i="119"/>
  <c r="M149" i="119"/>
  <c r="K149" i="119"/>
  <c r="J149" i="119"/>
  <c r="I149" i="119"/>
  <c r="H149" i="119"/>
  <c r="E149" i="119"/>
  <c r="A149" i="119"/>
  <c r="S148" i="119"/>
  <c r="R148" i="119"/>
  <c r="Q148" i="119"/>
  <c r="P148" i="119"/>
  <c r="O148" i="119"/>
  <c r="N148" i="119"/>
  <c r="M148" i="119"/>
  <c r="K148" i="119"/>
  <c r="J148" i="119"/>
  <c r="I148" i="119"/>
  <c r="H148" i="119"/>
  <c r="E148" i="119"/>
  <c r="A148" i="119"/>
  <c r="S147" i="119"/>
  <c r="R147" i="119"/>
  <c r="Q147" i="119"/>
  <c r="P147" i="119"/>
  <c r="O147" i="119"/>
  <c r="N147" i="119"/>
  <c r="M147" i="119"/>
  <c r="K147" i="119"/>
  <c r="J147" i="119"/>
  <c r="I147" i="119"/>
  <c r="H147" i="119"/>
  <c r="E147" i="119"/>
  <c r="A147" i="119"/>
  <c r="S146" i="119"/>
  <c r="R146" i="119"/>
  <c r="Q146" i="119"/>
  <c r="P146" i="119"/>
  <c r="O146" i="119"/>
  <c r="N146" i="119"/>
  <c r="M146" i="119"/>
  <c r="K146" i="119"/>
  <c r="J146" i="119"/>
  <c r="I146" i="119"/>
  <c r="H146" i="119"/>
  <c r="E146" i="119"/>
  <c r="A146" i="119"/>
  <c r="S145" i="119"/>
  <c r="R145" i="119"/>
  <c r="Q145" i="119"/>
  <c r="P145" i="119"/>
  <c r="O145" i="119"/>
  <c r="N145" i="119"/>
  <c r="M145" i="119"/>
  <c r="K145" i="119"/>
  <c r="J145" i="119"/>
  <c r="I145" i="119"/>
  <c r="H145" i="119"/>
  <c r="E145" i="119"/>
  <c r="A145" i="119"/>
  <c r="S144" i="119"/>
  <c r="R144" i="119"/>
  <c r="Q144" i="119"/>
  <c r="P144" i="119"/>
  <c r="O144" i="119"/>
  <c r="N144" i="119"/>
  <c r="M144" i="119"/>
  <c r="K144" i="119"/>
  <c r="J144" i="119"/>
  <c r="I144" i="119"/>
  <c r="H144" i="119"/>
  <c r="E144" i="119"/>
  <c r="A144" i="119"/>
  <c r="S143" i="119"/>
  <c r="R143" i="119"/>
  <c r="Q143" i="119"/>
  <c r="P143" i="119"/>
  <c r="O143" i="119"/>
  <c r="N143" i="119"/>
  <c r="M143" i="119"/>
  <c r="K143" i="119"/>
  <c r="J143" i="119"/>
  <c r="I143" i="119"/>
  <c r="H143" i="119"/>
  <c r="E143" i="119"/>
  <c r="A143" i="119"/>
  <c r="S142" i="119"/>
  <c r="R142" i="119"/>
  <c r="Q142" i="119"/>
  <c r="P142" i="119"/>
  <c r="O142" i="119"/>
  <c r="N142" i="119"/>
  <c r="M142" i="119"/>
  <c r="K142" i="119"/>
  <c r="J142" i="119"/>
  <c r="I142" i="119"/>
  <c r="H142" i="119"/>
  <c r="E142" i="119"/>
  <c r="A142" i="119"/>
  <c r="S141" i="119"/>
  <c r="R141" i="119"/>
  <c r="Q141" i="119"/>
  <c r="P141" i="119"/>
  <c r="O141" i="119"/>
  <c r="N141" i="119"/>
  <c r="M141" i="119"/>
  <c r="K141" i="119"/>
  <c r="J141" i="119"/>
  <c r="I141" i="119"/>
  <c r="H141" i="119"/>
  <c r="E141" i="119"/>
  <c r="A141" i="119"/>
  <c r="S140" i="119"/>
  <c r="R140" i="119"/>
  <c r="Q140" i="119"/>
  <c r="P140" i="119"/>
  <c r="O140" i="119"/>
  <c r="N140" i="119"/>
  <c r="M140" i="119"/>
  <c r="K140" i="119"/>
  <c r="J140" i="119"/>
  <c r="I140" i="119"/>
  <c r="H140" i="119"/>
  <c r="E140" i="119"/>
  <c r="A140" i="119"/>
  <c r="S139" i="119"/>
  <c r="R139" i="119"/>
  <c r="Q139" i="119"/>
  <c r="P139" i="119"/>
  <c r="O139" i="119"/>
  <c r="N139" i="119"/>
  <c r="M139" i="119"/>
  <c r="K139" i="119"/>
  <c r="J139" i="119"/>
  <c r="I139" i="119"/>
  <c r="H139" i="119"/>
  <c r="E139" i="119"/>
  <c r="A139" i="119"/>
  <c r="S138" i="119"/>
  <c r="R138" i="119"/>
  <c r="Q138" i="119"/>
  <c r="P138" i="119"/>
  <c r="O138" i="119"/>
  <c r="N138" i="119"/>
  <c r="M138" i="119"/>
  <c r="K138" i="119"/>
  <c r="J138" i="119"/>
  <c r="I138" i="119"/>
  <c r="H138" i="119"/>
  <c r="E138" i="119"/>
  <c r="A138" i="119"/>
  <c r="S137" i="119"/>
  <c r="R137" i="119"/>
  <c r="Q137" i="119"/>
  <c r="P137" i="119"/>
  <c r="O137" i="119"/>
  <c r="N137" i="119"/>
  <c r="M137" i="119"/>
  <c r="K137" i="119"/>
  <c r="J137" i="119"/>
  <c r="I137" i="119"/>
  <c r="H137" i="119"/>
  <c r="E137" i="119"/>
  <c r="A137" i="119"/>
  <c r="S136" i="119"/>
  <c r="R136" i="119"/>
  <c r="Q136" i="119"/>
  <c r="P136" i="119"/>
  <c r="O136" i="119"/>
  <c r="N136" i="119"/>
  <c r="M136" i="119"/>
  <c r="K136" i="119"/>
  <c r="J136" i="119"/>
  <c r="I136" i="119"/>
  <c r="H136" i="119"/>
  <c r="E136" i="119"/>
  <c r="A136" i="119"/>
  <c r="S135" i="119"/>
  <c r="R135" i="119"/>
  <c r="Q135" i="119"/>
  <c r="P135" i="119"/>
  <c r="O135" i="119"/>
  <c r="N135" i="119"/>
  <c r="M135" i="119"/>
  <c r="K135" i="119"/>
  <c r="J135" i="119"/>
  <c r="I135" i="119"/>
  <c r="H135" i="119"/>
  <c r="E135" i="119"/>
  <c r="A135" i="119"/>
  <c r="S134" i="119"/>
  <c r="R134" i="119"/>
  <c r="Q134" i="119"/>
  <c r="P134" i="119"/>
  <c r="O134" i="119"/>
  <c r="N134" i="119"/>
  <c r="M134" i="119"/>
  <c r="K134" i="119"/>
  <c r="J134" i="119"/>
  <c r="I134" i="119"/>
  <c r="H134" i="119"/>
  <c r="E134" i="119"/>
  <c r="A134" i="119"/>
  <c r="S133" i="119"/>
  <c r="R133" i="119"/>
  <c r="Q133" i="119"/>
  <c r="P133" i="119"/>
  <c r="O133" i="119"/>
  <c r="N133" i="119"/>
  <c r="M133" i="119"/>
  <c r="K133" i="119"/>
  <c r="J133" i="119"/>
  <c r="I133" i="119"/>
  <c r="H133" i="119"/>
  <c r="E133" i="119"/>
  <c r="A133" i="119"/>
  <c r="S132" i="119"/>
  <c r="R132" i="119"/>
  <c r="Q132" i="119"/>
  <c r="P132" i="119"/>
  <c r="O132" i="119"/>
  <c r="N132" i="119"/>
  <c r="M132" i="119"/>
  <c r="K132" i="119"/>
  <c r="J132" i="119"/>
  <c r="I132" i="119"/>
  <c r="H132" i="119"/>
  <c r="E132" i="119"/>
  <c r="A132" i="119"/>
  <c r="S131" i="119"/>
  <c r="R131" i="119"/>
  <c r="Q131" i="119"/>
  <c r="P131" i="119"/>
  <c r="O131" i="119"/>
  <c r="N131" i="119"/>
  <c r="M131" i="119"/>
  <c r="K131" i="119"/>
  <c r="J131" i="119"/>
  <c r="I131" i="119"/>
  <c r="H131" i="119"/>
  <c r="E131" i="119"/>
  <c r="A131" i="119"/>
  <c r="S130" i="119"/>
  <c r="R130" i="119"/>
  <c r="Q130" i="119"/>
  <c r="P130" i="119"/>
  <c r="O130" i="119"/>
  <c r="N130" i="119"/>
  <c r="M130" i="119"/>
  <c r="K130" i="119"/>
  <c r="J130" i="119"/>
  <c r="I130" i="119"/>
  <c r="H130" i="119"/>
  <c r="E130" i="119"/>
  <c r="A130" i="119"/>
  <c r="S129" i="119"/>
  <c r="R129" i="119"/>
  <c r="Q129" i="119"/>
  <c r="P129" i="119"/>
  <c r="O129" i="119"/>
  <c r="N129" i="119"/>
  <c r="M129" i="119"/>
  <c r="K129" i="119"/>
  <c r="J129" i="119"/>
  <c r="I129" i="119"/>
  <c r="H129" i="119"/>
  <c r="E129" i="119"/>
  <c r="A129" i="119"/>
  <c r="S128" i="119"/>
  <c r="R128" i="119"/>
  <c r="Q128" i="119"/>
  <c r="P128" i="119"/>
  <c r="O128" i="119"/>
  <c r="N128" i="119"/>
  <c r="M128" i="119"/>
  <c r="K128" i="119"/>
  <c r="J128" i="119"/>
  <c r="I128" i="119"/>
  <c r="H128" i="119"/>
  <c r="E128" i="119"/>
  <c r="A128" i="119"/>
  <c r="S127" i="119"/>
  <c r="R127" i="119"/>
  <c r="Q127" i="119"/>
  <c r="P127" i="119"/>
  <c r="O127" i="119"/>
  <c r="N127" i="119"/>
  <c r="M127" i="119"/>
  <c r="K127" i="119"/>
  <c r="J127" i="119"/>
  <c r="I127" i="119"/>
  <c r="H127" i="119"/>
  <c r="E127" i="119"/>
  <c r="A127" i="119"/>
  <c r="S126" i="119"/>
  <c r="R126" i="119"/>
  <c r="Q126" i="119"/>
  <c r="P126" i="119"/>
  <c r="O126" i="119"/>
  <c r="N126" i="119"/>
  <c r="M126" i="119"/>
  <c r="K126" i="119"/>
  <c r="J126" i="119"/>
  <c r="I126" i="119"/>
  <c r="H126" i="119"/>
  <c r="E126" i="119"/>
  <c r="A126" i="119"/>
  <c r="S125" i="119"/>
  <c r="R125" i="119"/>
  <c r="Q125" i="119"/>
  <c r="P125" i="119"/>
  <c r="O125" i="119"/>
  <c r="N125" i="119"/>
  <c r="M125" i="119"/>
  <c r="K125" i="119"/>
  <c r="J125" i="119"/>
  <c r="I125" i="119"/>
  <c r="H125" i="119"/>
  <c r="E125" i="119"/>
  <c r="A125" i="119"/>
  <c r="S124" i="119"/>
  <c r="R124" i="119"/>
  <c r="Q124" i="119"/>
  <c r="P124" i="119"/>
  <c r="O124" i="119"/>
  <c r="N124" i="119"/>
  <c r="M124" i="119"/>
  <c r="K124" i="119"/>
  <c r="J124" i="119"/>
  <c r="I124" i="119"/>
  <c r="H124" i="119"/>
  <c r="E124" i="119"/>
  <c r="A124" i="119"/>
  <c r="S123" i="119"/>
  <c r="R123" i="119"/>
  <c r="Q123" i="119"/>
  <c r="P123" i="119"/>
  <c r="O123" i="119"/>
  <c r="N123" i="119"/>
  <c r="M123" i="119"/>
  <c r="K123" i="119"/>
  <c r="J123" i="119"/>
  <c r="I123" i="119"/>
  <c r="H123" i="119"/>
  <c r="E123" i="119"/>
  <c r="A123" i="119"/>
  <c r="S122" i="119"/>
  <c r="R122" i="119"/>
  <c r="Q122" i="119"/>
  <c r="P122" i="119"/>
  <c r="O122" i="119"/>
  <c r="N122" i="119"/>
  <c r="M122" i="119"/>
  <c r="K122" i="119"/>
  <c r="J122" i="119"/>
  <c r="I122" i="119"/>
  <c r="H122" i="119"/>
  <c r="E122" i="119"/>
  <c r="A122" i="119"/>
  <c r="S121" i="119"/>
  <c r="R121" i="119"/>
  <c r="Q121" i="119"/>
  <c r="P121" i="119"/>
  <c r="O121" i="119"/>
  <c r="N121" i="119"/>
  <c r="M121" i="119"/>
  <c r="K121" i="119"/>
  <c r="J121" i="119"/>
  <c r="I121" i="119"/>
  <c r="H121" i="119"/>
  <c r="E121" i="119"/>
  <c r="A121" i="119"/>
  <c r="S120" i="119"/>
  <c r="R120" i="119"/>
  <c r="Q120" i="119"/>
  <c r="P120" i="119"/>
  <c r="O120" i="119"/>
  <c r="N120" i="119"/>
  <c r="M120" i="119"/>
  <c r="K120" i="119"/>
  <c r="J120" i="119"/>
  <c r="I120" i="119"/>
  <c r="H120" i="119"/>
  <c r="E120" i="119"/>
  <c r="A120" i="119"/>
  <c r="S119" i="119"/>
  <c r="R119" i="119"/>
  <c r="Q119" i="119"/>
  <c r="P119" i="119"/>
  <c r="O119" i="119"/>
  <c r="N119" i="119"/>
  <c r="M119" i="119"/>
  <c r="K119" i="119"/>
  <c r="J119" i="119"/>
  <c r="I119" i="119"/>
  <c r="H119" i="119"/>
  <c r="E119" i="119"/>
  <c r="A119" i="119"/>
  <c r="S118" i="119"/>
  <c r="R118" i="119"/>
  <c r="Q118" i="119"/>
  <c r="P118" i="119"/>
  <c r="O118" i="119"/>
  <c r="N118" i="119"/>
  <c r="M118" i="119"/>
  <c r="K118" i="119"/>
  <c r="J118" i="119"/>
  <c r="I118" i="119"/>
  <c r="H118" i="119"/>
  <c r="E118" i="119"/>
  <c r="A118" i="119"/>
  <c r="S117" i="119"/>
  <c r="R117" i="119"/>
  <c r="Q117" i="119"/>
  <c r="P117" i="119"/>
  <c r="O117" i="119"/>
  <c r="N117" i="119"/>
  <c r="M117" i="119"/>
  <c r="K117" i="119"/>
  <c r="J117" i="119"/>
  <c r="I117" i="119"/>
  <c r="H117" i="119"/>
  <c r="E117" i="119"/>
  <c r="A117" i="119"/>
  <c r="S116" i="119"/>
  <c r="R116" i="119"/>
  <c r="Q116" i="119"/>
  <c r="P116" i="119"/>
  <c r="O116" i="119"/>
  <c r="N116" i="119"/>
  <c r="M116" i="119"/>
  <c r="K116" i="119"/>
  <c r="J116" i="119"/>
  <c r="I116" i="119"/>
  <c r="H116" i="119"/>
  <c r="E116" i="119"/>
  <c r="A116" i="119"/>
  <c r="S115" i="119"/>
  <c r="R115" i="119"/>
  <c r="Q115" i="119"/>
  <c r="P115" i="119"/>
  <c r="O115" i="119"/>
  <c r="N115" i="119"/>
  <c r="M115" i="119"/>
  <c r="K115" i="119"/>
  <c r="J115" i="119"/>
  <c r="I115" i="119"/>
  <c r="H115" i="119"/>
  <c r="E115" i="119"/>
  <c r="A115" i="119"/>
  <c r="S114" i="119"/>
  <c r="R114" i="119"/>
  <c r="Q114" i="119"/>
  <c r="P114" i="119"/>
  <c r="O114" i="119"/>
  <c r="N114" i="119"/>
  <c r="M114" i="119"/>
  <c r="K114" i="119"/>
  <c r="J114" i="119"/>
  <c r="I114" i="119"/>
  <c r="H114" i="119"/>
  <c r="E114" i="119"/>
  <c r="A114" i="119"/>
  <c r="S113" i="119"/>
  <c r="R113" i="119"/>
  <c r="Q113" i="119"/>
  <c r="P113" i="119"/>
  <c r="O113" i="119"/>
  <c r="N113" i="119"/>
  <c r="M113" i="119"/>
  <c r="K113" i="119"/>
  <c r="J113" i="119"/>
  <c r="I113" i="119"/>
  <c r="H113" i="119"/>
  <c r="E113" i="119"/>
  <c r="A113" i="119"/>
  <c r="S112" i="119"/>
  <c r="R112" i="119"/>
  <c r="Q112" i="119"/>
  <c r="P112" i="119"/>
  <c r="O112" i="119"/>
  <c r="N112" i="119"/>
  <c r="M112" i="119"/>
  <c r="K112" i="119"/>
  <c r="J112" i="119"/>
  <c r="I112" i="119"/>
  <c r="H112" i="119"/>
  <c r="E112" i="119"/>
  <c r="A112" i="119"/>
  <c r="S111" i="119"/>
  <c r="R111" i="119"/>
  <c r="Q111" i="119"/>
  <c r="P111" i="119"/>
  <c r="O111" i="119"/>
  <c r="N111" i="119"/>
  <c r="M111" i="119"/>
  <c r="K111" i="119"/>
  <c r="J111" i="119"/>
  <c r="I111" i="119"/>
  <c r="H111" i="119"/>
  <c r="E111" i="119"/>
  <c r="A111" i="119"/>
  <c r="S110" i="119"/>
  <c r="R110" i="119"/>
  <c r="Q110" i="119"/>
  <c r="P110" i="119"/>
  <c r="O110" i="119"/>
  <c r="N110" i="119"/>
  <c r="M110" i="119"/>
  <c r="K110" i="119"/>
  <c r="J110" i="119"/>
  <c r="I110" i="119"/>
  <c r="H110" i="119"/>
  <c r="E110" i="119"/>
  <c r="A110" i="119"/>
  <c r="S109" i="119"/>
  <c r="R109" i="119"/>
  <c r="Q109" i="119"/>
  <c r="P109" i="119"/>
  <c r="O109" i="119"/>
  <c r="N109" i="119"/>
  <c r="M109" i="119"/>
  <c r="K109" i="119"/>
  <c r="J109" i="119"/>
  <c r="I109" i="119"/>
  <c r="H109" i="119"/>
  <c r="E109" i="119"/>
  <c r="A109" i="119"/>
  <c r="S108" i="119"/>
  <c r="R108" i="119"/>
  <c r="Q108" i="119"/>
  <c r="P108" i="119"/>
  <c r="O108" i="119"/>
  <c r="N108" i="119"/>
  <c r="M108" i="119"/>
  <c r="K108" i="119"/>
  <c r="J108" i="119"/>
  <c r="I108" i="119"/>
  <c r="H108" i="119"/>
  <c r="E108" i="119"/>
  <c r="A108" i="119"/>
  <c r="S107" i="119"/>
  <c r="R107" i="119"/>
  <c r="Q107" i="119"/>
  <c r="P107" i="119"/>
  <c r="O107" i="119"/>
  <c r="N107" i="119"/>
  <c r="M107" i="119"/>
  <c r="K107" i="119"/>
  <c r="J107" i="119"/>
  <c r="I107" i="119"/>
  <c r="H107" i="119"/>
  <c r="E107" i="119"/>
  <c r="A107" i="119"/>
  <c r="S106" i="119"/>
  <c r="R106" i="119"/>
  <c r="Q106" i="119"/>
  <c r="P106" i="119"/>
  <c r="O106" i="119"/>
  <c r="N106" i="119"/>
  <c r="M106" i="119"/>
  <c r="K106" i="119"/>
  <c r="J106" i="119"/>
  <c r="I106" i="119"/>
  <c r="H106" i="119"/>
  <c r="E106" i="119"/>
  <c r="A106" i="119"/>
  <c r="S105" i="119"/>
  <c r="R105" i="119"/>
  <c r="Q105" i="119"/>
  <c r="P105" i="119"/>
  <c r="O105" i="119"/>
  <c r="N105" i="119"/>
  <c r="M105" i="119"/>
  <c r="K105" i="119"/>
  <c r="J105" i="119"/>
  <c r="I105" i="119"/>
  <c r="H105" i="119"/>
  <c r="E105" i="119"/>
  <c r="A105" i="119"/>
  <c r="S104" i="119"/>
  <c r="R104" i="119"/>
  <c r="Q104" i="119"/>
  <c r="P104" i="119"/>
  <c r="O104" i="119"/>
  <c r="N104" i="119"/>
  <c r="M104" i="119"/>
  <c r="K104" i="119"/>
  <c r="J104" i="119"/>
  <c r="I104" i="119"/>
  <c r="H104" i="119"/>
  <c r="E104" i="119"/>
  <c r="A104" i="119"/>
  <c r="S103" i="119"/>
  <c r="R103" i="119"/>
  <c r="Q103" i="119"/>
  <c r="P103" i="119"/>
  <c r="O103" i="119"/>
  <c r="N103" i="119"/>
  <c r="M103" i="119"/>
  <c r="K103" i="119"/>
  <c r="J103" i="119"/>
  <c r="I103" i="119"/>
  <c r="H103" i="119"/>
  <c r="E103" i="119"/>
  <c r="A103" i="119"/>
  <c r="S102" i="119"/>
  <c r="R102" i="119"/>
  <c r="Q102" i="119"/>
  <c r="P102" i="119"/>
  <c r="O102" i="119"/>
  <c r="N102" i="119"/>
  <c r="M102" i="119"/>
  <c r="K102" i="119"/>
  <c r="J102" i="119"/>
  <c r="I102" i="119"/>
  <c r="H102" i="119"/>
  <c r="E102" i="119"/>
  <c r="A102" i="119"/>
  <c r="S101" i="119"/>
  <c r="R101" i="119"/>
  <c r="Q101" i="119"/>
  <c r="P101" i="119"/>
  <c r="O101" i="119"/>
  <c r="N101" i="119"/>
  <c r="M101" i="119"/>
  <c r="K101" i="119"/>
  <c r="J101" i="119"/>
  <c r="I101" i="119"/>
  <c r="H101" i="119"/>
  <c r="E101" i="119"/>
  <c r="A101" i="119"/>
  <c r="S100" i="119"/>
  <c r="R100" i="119"/>
  <c r="Q100" i="119"/>
  <c r="P100" i="119"/>
  <c r="O100" i="119"/>
  <c r="N100" i="119"/>
  <c r="M100" i="119"/>
  <c r="K100" i="119"/>
  <c r="J100" i="119"/>
  <c r="I100" i="119"/>
  <c r="H100" i="119"/>
  <c r="E100" i="119"/>
  <c r="A100" i="119"/>
  <c r="S99" i="119"/>
  <c r="R99" i="119"/>
  <c r="Q99" i="119"/>
  <c r="P99" i="119"/>
  <c r="O99" i="119"/>
  <c r="N99" i="119"/>
  <c r="M99" i="119"/>
  <c r="K99" i="119"/>
  <c r="J99" i="119"/>
  <c r="I99" i="119"/>
  <c r="H99" i="119"/>
  <c r="E99" i="119"/>
  <c r="A99" i="119"/>
  <c r="S98" i="119"/>
  <c r="R98" i="119"/>
  <c r="Q98" i="119"/>
  <c r="P98" i="119"/>
  <c r="O98" i="119"/>
  <c r="N98" i="119"/>
  <c r="M98" i="119"/>
  <c r="K98" i="119"/>
  <c r="J98" i="119"/>
  <c r="I98" i="119"/>
  <c r="H98" i="119"/>
  <c r="E98" i="119"/>
  <c r="A98" i="119"/>
  <c r="S97" i="119"/>
  <c r="R97" i="119"/>
  <c r="Q97" i="119"/>
  <c r="P97" i="119"/>
  <c r="O97" i="119"/>
  <c r="N97" i="119"/>
  <c r="M97" i="119"/>
  <c r="K97" i="119"/>
  <c r="J97" i="119"/>
  <c r="I97" i="119"/>
  <c r="H97" i="119"/>
  <c r="E97" i="119"/>
  <c r="A97" i="119"/>
  <c r="S96" i="119"/>
  <c r="R96" i="119"/>
  <c r="Q96" i="119"/>
  <c r="P96" i="119"/>
  <c r="O96" i="119"/>
  <c r="N96" i="119"/>
  <c r="M96" i="119"/>
  <c r="K96" i="119"/>
  <c r="J96" i="119"/>
  <c r="I96" i="119"/>
  <c r="H96" i="119"/>
  <c r="E96" i="119"/>
  <c r="A96" i="119"/>
  <c r="S95" i="119"/>
  <c r="R95" i="119"/>
  <c r="Q95" i="119"/>
  <c r="P95" i="119"/>
  <c r="O95" i="119"/>
  <c r="N95" i="119"/>
  <c r="M95" i="119"/>
  <c r="K95" i="119"/>
  <c r="J95" i="119"/>
  <c r="I95" i="119"/>
  <c r="H95" i="119"/>
  <c r="E95" i="119"/>
  <c r="A95" i="119"/>
  <c r="S94" i="119"/>
  <c r="R94" i="119"/>
  <c r="Q94" i="119"/>
  <c r="P94" i="119"/>
  <c r="O94" i="119"/>
  <c r="N94" i="119"/>
  <c r="M94" i="119"/>
  <c r="K94" i="119"/>
  <c r="J94" i="119"/>
  <c r="I94" i="119"/>
  <c r="H94" i="119"/>
  <c r="E94" i="119"/>
  <c r="A94" i="119"/>
  <c r="S93" i="119"/>
  <c r="R93" i="119"/>
  <c r="Q93" i="119"/>
  <c r="P93" i="119"/>
  <c r="O93" i="119"/>
  <c r="N93" i="119"/>
  <c r="M93" i="119"/>
  <c r="K93" i="119"/>
  <c r="J93" i="119"/>
  <c r="I93" i="119"/>
  <c r="H93" i="119"/>
  <c r="E93" i="119"/>
  <c r="A93" i="119"/>
  <c r="S92" i="119"/>
  <c r="R92" i="119"/>
  <c r="Q92" i="119"/>
  <c r="P92" i="119"/>
  <c r="O92" i="119"/>
  <c r="N92" i="119"/>
  <c r="M92" i="119"/>
  <c r="K92" i="119"/>
  <c r="J92" i="119"/>
  <c r="I92" i="119"/>
  <c r="H92" i="119"/>
  <c r="E92" i="119"/>
  <c r="A92" i="119"/>
  <c r="S91" i="119"/>
  <c r="R91" i="119"/>
  <c r="Q91" i="119"/>
  <c r="P91" i="119"/>
  <c r="O91" i="119"/>
  <c r="N91" i="119"/>
  <c r="M91" i="119"/>
  <c r="K91" i="119"/>
  <c r="J91" i="119"/>
  <c r="I91" i="119"/>
  <c r="H91" i="119"/>
  <c r="E91" i="119"/>
  <c r="A91" i="119"/>
  <c r="S90" i="119"/>
  <c r="R90" i="119"/>
  <c r="Q90" i="119"/>
  <c r="P90" i="119"/>
  <c r="O90" i="119"/>
  <c r="N90" i="119"/>
  <c r="M90" i="119"/>
  <c r="K90" i="119"/>
  <c r="J90" i="119"/>
  <c r="I90" i="119"/>
  <c r="H90" i="119"/>
  <c r="E90" i="119"/>
  <c r="A90" i="119"/>
  <c r="S89" i="119"/>
  <c r="R89" i="119"/>
  <c r="Q89" i="119"/>
  <c r="P89" i="119"/>
  <c r="O89" i="119"/>
  <c r="N89" i="119"/>
  <c r="M89" i="119"/>
  <c r="K89" i="119"/>
  <c r="J89" i="119"/>
  <c r="I89" i="119"/>
  <c r="H89" i="119"/>
  <c r="E89" i="119"/>
  <c r="A89" i="119"/>
  <c r="S88" i="119"/>
  <c r="R88" i="119"/>
  <c r="Q88" i="119"/>
  <c r="P88" i="119"/>
  <c r="O88" i="119"/>
  <c r="N88" i="119"/>
  <c r="M88" i="119"/>
  <c r="K88" i="119"/>
  <c r="J88" i="119"/>
  <c r="I88" i="119"/>
  <c r="H88" i="119"/>
  <c r="E88" i="119"/>
  <c r="A88" i="119"/>
  <c r="S87" i="119"/>
  <c r="R87" i="119"/>
  <c r="Q87" i="119"/>
  <c r="P87" i="119"/>
  <c r="O87" i="119"/>
  <c r="N87" i="119"/>
  <c r="M87" i="119"/>
  <c r="K87" i="119"/>
  <c r="J87" i="119"/>
  <c r="I87" i="119"/>
  <c r="H87" i="119"/>
  <c r="E87" i="119"/>
  <c r="A87" i="119"/>
  <c r="S86" i="119"/>
  <c r="R86" i="119"/>
  <c r="Q86" i="119"/>
  <c r="P86" i="119"/>
  <c r="O86" i="119"/>
  <c r="N86" i="119"/>
  <c r="M86" i="119"/>
  <c r="K86" i="119"/>
  <c r="J86" i="119"/>
  <c r="I86" i="119"/>
  <c r="H86" i="119"/>
  <c r="E86" i="119"/>
  <c r="A86" i="119"/>
  <c r="S85" i="119"/>
  <c r="R85" i="119"/>
  <c r="Q85" i="119"/>
  <c r="P85" i="119"/>
  <c r="O85" i="119"/>
  <c r="N85" i="119"/>
  <c r="M85" i="119"/>
  <c r="K85" i="119"/>
  <c r="J85" i="119"/>
  <c r="I85" i="119"/>
  <c r="H85" i="119"/>
  <c r="E85" i="119"/>
  <c r="A85" i="119"/>
  <c r="S84" i="119"/>
  <c r="R84" i="119"/>
  <c r="Q84" i="119"/>
  <c r="P84" i="119"/>
  <c r="O84" i="119"/>
  <c r="N84" i="119"/>
  <c r="M84" i="119"/>
  <c r="K84" i="119"/>
  <c r="J84" i="119"/>
  <c r="I84" i="119"/>
  <c r="H84" i="119"/>
  <c r="E84" i="119"/>
  <c r="A84" i="119"/>
  <c r="S83" i="119"/>
  <c r="R83" i="119"/>
  <c r="Q83" i="119"/>
  <c r="P83" i="119"/>
  <c r="O83" i="119"/>
  <c r="N83" i="119"/>
  <c r="M83" i="119"/>
  <c r="K83" i="119"/>
  <c r="J83" i="119"/>
  <c r="I83" i="119"/>
  <c r="H83" i="119"/>
  <c r="E83" i="119"/>
  <c r="A83" i="119"/>
  <c r="S82" i="119"/>
  <c r="R82" i="119"/>
  <c r="Q82" i="119"/>
  <c r="P82" i="119"/>
  <c r="O82" i="119"/>
  <c r="N82" i="119"/>
  <c r="M82" i="119"/>
  <c r="K82" i="119"/>
  <c r="J82" i="119"/>
  <c r="I82" i="119"/>
  <c r="H82" i="119"/>
  <c r="E82" i="119"/>
  <c r="A82" i="119"/>
  <c r="S81" i="119"/>
  <c r="R81" i="119"/>
  <c r="Q81" i="119"/>
  <c r="P81" i="119"/>
  <c r="O81" i="119"/>
  <c r="N81" i="119"/>
  <c r="M81" i="119"/>
  <c r="K81" i="119"/>
  <c r="J81" i="119"/>
  <c r="I81" i="119"/>
  <c r="H81" i="119"/>
  <c r="E81" i="119"/>
  <c r="A81" i="119"/>
  <c r="S80" i="119"/>
  <c r="R80" i="119"/>
  <c r="Q80" i="119"/>
  <c r="P80" i="119"/>
  <c r="O80" i="119"/>
  <c r="N80" i="119"/>
  <c r="M80" i="119"/>
  <c r="K80" i="119"/>
  <c r="J80" i="119"/>
  <c r="I80" i="119"/>
  <c r="H80" i="119"/>
  <c r="E80" i="119"/>
  <c r="A80" i="119"/>
  <c r="S79" i="119"/>
  <c r="R79" i="119"/>
  <c r="Q79" i="119"/>
  <c r="P79" i="119"/>
  <c r="O79" i="119"/>
  <c r="N79" i="119"/>
  <c r="M79" i="119"/>
  <c r="K79" i="119"/>
  <c r="J79" i="119"/>
  <c r="I79" i="119"/>
  <c r="H79" i="119"/>
  <c r="E79" i="119"/>
  <c r="A79" i="119"/>
  <c r="S78" i="119"/>
  <c r="R78" i="119"/>
  <c r="Q78" i="119"/>
  <c r="P78" i="119"/>
  <c r="O78" i="119"/>
  <c r="N78" i="119"/>
  <c r="M78" i="119"/>
  <c r="K78" i="119"/>
  <c r="J78" i="119"/>
  <c r="I78" i="119"/>
  <c r="H78" i="119"/>
  <c r="E78" i="119"/>
  <c r="A78" i="119"/>
  <c r="S77" i="119"/>
  <c r="R77" i="119"/>
  <c r="Q77" i="119"/>
  <c r="P77" i="119"/>
  <c r="O77" i="119"/>
  <c r="N77" i="119"/>
  <c r="M77" i="119"/>
  <c r="K77" i="119"/>
  <c r="J77" i="119"/>
  <c r="I77" i="119"/>
  <c r="H77" i="119"/>
  <c r="E77" i="119"/>
  <c r="A77" i="119"/>
  <c r="S76" i="119"/>
  <c r="R76" i="119"/>
  <c r="Q76" i="119"/>
  <c r="P76" i="119"/>
  <c r="O76" i="119"/>
  <c r="N76" i="119"/>
  <c r="M76" i="119"/>
  <c r="K76" i="119"/>
  <c r="J76" i="119"/>
  <c r="I76" i="119"/>
  <c r="H76" i="119"/>
  <c r="E76" i="119"/>
  <c r="A76" i="119"/>
  <c r="S75" i="119"/>
  <c r="R75" i="119"/>
  <c r="Q75" i="119"/>
  <c r="P75" i="119"/>
  <c r="O75" i="119"/>
  <c r="N75" i="119"/>
  <c r="M75" i="119"/>
  <c r="K75" i="119"/>
  <c r="J75" i="119"/>
  <c r="I75" i="119"/>
  <c r="H75" i="119"/>
  <c r="E75" i="119"/>
  <c r="A75" i="119"/>
  <c r="S74" i="119"/>
  <c r="R74" i="119"/>
  <c r="Q74" i="119"/>
  <c r="P74" i="119"/>
  <c r="O74" i="119"/>
  <c r="N74" i="119"/>
  <c r="M74" i="119"/>
  <c r="K74" i="119"/>
  <c r="J74" i="119"/>
  <c r="I74" i="119"/>
  <c r="H74" i="119"/>
  <c r="E74" i="119"/>
  <c r="A74" i="119"/>
  <c r="S73" i="119"/>
  <c r="R73" i="119"/>
  <c r="Q73" i="119"/>
  <c r="P73" i="119"/>
  <c r="O73" i="119"/>
  <c r="N73" i="119"/>
  <c r="M73" i="119"/>
  <c r="K73" i="119"/>
  <c r="J73" i="119"/>
  <c r="I73" i="119"/>
  <c r="H73" i="119"/>
  <c r="E73" i="119"/>
  <c r="A73" i="119"/>
  <c r="S72" i="119"/>
  <c r="R72" i="119"/>
  <c r="Q72" i="119"/>
  <c r="P72" i="119"/>
  <c r="O72" i="119"/>
  <c r="N72" i="119"/>
  <c r="M72" i="119"/>
  <c r="K72" i="119"/>
  <c r="J72" i="119"/>
  <c r="I72" i="119"/>
  <c r="H72" i="119"/>
  <c r="E72" i="119"/>
  <c r="A72" i="119"/>
  <c r="S71" i="119"/>
  <c r="R71" i="119"/>
  <c r="Q71" i="119"/>
  <c r="P71" i="119"/>
  <c r="O71" i="119"/>
  <c r="N71" i="119"/>
  <c r="M71" i="119"/>
  <c r="K71" i="119"/>
  <c r="J71" i="119"/>
  <c r="I71" i="119"/>
  <c r="H71" i="119"/>
  <c r="E71" i="119"/>
  <c r="A71" i="119"/>
  <c r="S70" i="119"/>
  <c r="R70" i="119"/>
  <c r="Q70" i="119"/>
  <c r="P70" i="119"/>
  <c r="O70" i="119"/>
  <c r="N70" i="119"/>
  <c r="M70" i="119"/>
  <c r="K70" i="119"/>
  <c r="J70" i="119"/>
  <c r="I70" i="119"/>
  <c r="H70" i="119"/>
  <c r="E70" i="119"/>
  <c r="A70" i="119"/>
  <c r="S69" i="119"/>
  <c r="R69" i="119"/>
  <c r="Q69" i="119"/>
  <c r="P69" i="119"/>
  <c r="O69" i="119"/>
  <c r="N69" i="119"/>
  <c r="M69" i="119"/>
  <c r="K69" i="119"/>
  <c r="J69" i="119"/>
  <c r="I69" i="119"/>
  <c r="H69" i="119"/>
  <c r="E69" i="119"/>
  <c r="A69" i="119"/>
  <c r="S68" i="119"/>
  <c r="R68" i="119"/>
  <c r="Q68" i="119"/>
  <c r="P68" i="119"/>
  <c r="O68" i="119"/>
  <c r="N68" i="119"/>
  <c r="M68" i="119"/>
  <c r="K68" i="119"/>
  <c r="J68" i="119"/>
  <c r="I68" i="119"/>
  <c r="H68" i="119"/>
  <c r="E68" i="119"/>
  <c r="A68" i="119"/>
  <c r="S67" i="119"/>
  <c r="R67" i="119"/>
  <c r="Q67" i="119"/>
  <c r="P67" i="119"/>
  <c r="O67" i="119"/>
  <c r="N67" i="119"/>
  <c r="M67" i="119"/>
  <c r="K67" i="119"/>
  <c r="J67" i="119"/>
  <c r="I67" i="119"/>
  <c r="H67" i="119"/>
  <c r="E67" i="119"/>
  <c r="A67" i="119"/>
  <c r="S66" i="119"/>
  <c r="R66" i="119"/>
  <c r="Q66" i="119"/>
  <c r="P66" i="119"/>
  <c r="O66" i="119"/>
  <c r="N66" i="119"/>
  <c r="M66" i="119"/>
  <c r="K66" i="119"/>
  <c r="J66" i="119"/>
  <c r="I66" i="119"/>
  <c r="H66" i="119"/>
  <c r="E66" i="119"/>
  <c r="A66" i="119"/>
  <c r="S65" i="119"/>
  <c r="R65" i="119"/>
  <c r="Q65" i="119"/>
  <c r="P65" i="119"/>
  <c r="O65" i="119"/>
  <c r="N65" i="119"/>
  <c r="M65" i="119"/>
  <c r="K65" i="119"/>
  <c r="J65" i="119"/>
  <c r="I65" i="119"/>
  <c r="H65" i="119"/>
  <c r="E65" i="119"/>
  <c r="A65" i="119"/>
  <c r="S64" i="119"/>
  <c r="R64" i="119"/>
  <c r="Q64" i="119"/>
  <c r="P64" i="119"/>
  <c r="O64" i="119"/>
  <c r="N64" i="119"/>
  <c r="M64" i="119"/>
  <c r="K64" i="119"/>
  <c r="J64" i="119"/>
  <c r="I64" i="119"/>
  <c r="H64" i="119"/>
  <c r="E64" i="119"/>
  <c r="A64" i="119"/>
  <c r="S63" i="119"/>
  <c r="R63" i="119"/>
  <c r="Q63" i="119"/>
  <c r="P63" i="119"/>
  <c r="O63" i="119"/>
  <c r="N63" i="119"/>
  <c r="M63" i="119"/>
  <c r="K63" i="119"/>
  <c r="J63" i="119"/>
  <c r="I63" i="119"/>
  <c r="H63" i="119"/>
  <c r="E63" i="119"/>
  <c r="A63" i="119"/>
  <c r="S62" i="119"/>
  <c r="R62" i="119"/>
  <c r="Q62" i="119"/>
  <c r="P62" i="119"/>
  <c r="O62" i="119"/>
  <c r="N62" i="119"/>
  <c r="M62" i="119"/>
  <c r="K62" i="119"/>
  <c r="J62" i="119"/>
  <c r="I62" i="119"/>
  <c r="H62" i="119"/>
  <c r="E62" i="119"/>
  <c r="A62" i="119"/>
  <c r="S61" i="119"/>
  <c r="R61" i="119"/>
  <c r="Q61" i="119"/>
  <c r="P61" i="119"/>
  <c r="O61" i="119"/>
  <c r="N61" i="119"/>
  <c r="M61" i="119"/>
  <c r="K61" i="119"/>
  <c r="J61" i="119"/>
  <c r="I61" i="119"/>
  <c r="H61" i="119"/>
  <c r="E61" i="119"/>
  <c r="A61" i="119"/>
  <c r="S60" i="119"/>
  <c r="R60" i="119"/>
  <c r="Q60" i="119"/>
  <c r="P60" i="119"/>
  <c r="O60" i="119"/>
  <c r="N60" i="119"/>
  <c r="M60" i="119"/>
  <c r="K60" i="119"/>
  <c r="J60" i="119"/>
  <c r="I60" i="119"/>
  <c r="H60" i="119"/>
  <c r="E60" i="119"/>
  <c r="A60" i="119"/>
  <c r="S59" i="119"/>
  <c r="R59" i="119"/>
  <c r="Q59" i="119"/>
  <c r="P59" i="119"/>
  <c r="O59" i="119"/>
  <c r="N59" i="119"/>
  <c r="M59" i="119"/>
  <c r="K59" i="119"/>
  <c r="J59" i="119"/>
  <c r="I59" i="119"/>
  <c r="H59" i="119"/>
  <c r="E59" i="119"/>
  <c r="A59" i="119"/>
  <c r="S58" i="119"/>
  <c r="R58" i="119"/>
  <c r="Q58" i="119"/>
  <c r="P58" i="119"/>
  <c r="O58" i="119"/>
  <c r="N58" i="119"/>
  <c r="M58" i="119"/>
  <c r="K58" i="119"/>
  <c r="J58" i="119"/>
  <c r="I58" i="119"/>
  <c r="H58" i="119"/>
  <c r="E58" i="119"/>
  <c r="A58" i="119"/>
  <c r="S57" i="119"/>
  <c r="R57" i="119"/>
  <c r="Q57" i="119"/>
  <c r="P57" i="119"/>
  <c r="O57" i="119"/>
  <c r="N57" i="119"/>
  <c r="M57" i="119"/>
  <c r="K57" i="119"/>
  <c r="J57" i="119"/>
  <c r="I57" i="119"/>
  <c r="H57" i="119"/>
  <c r="E57" i="119"/>
  <c r="A57" i="119"/>
  <c r="S56" i="119"/>
  <c r="R56" i="119"/>
  <c r="Q56" i="119"/>
  <c r="P56" i="119"/>
  <c r="O56" i="119"/>
  <c r="N56" i="119"/>
  <c r="M56" i="119"/>
  <c r="K56" i="119"/>
  <c r="J56" i="119"/>
  <c r="I56" i="119"/>
  <c r="H56" i="119"/>
  <c r="E56" i="119"/>
  <c r="A56" i="119"/>
  <c r="S55" i="119"/>
  <c r="R55" i="119"/>
  <c r="Q55" i="119"/>
  <c r="P55" i="119"/>
  <c r="O55" i="119"/>
  <c r="N55" i="119"/>
  <c r="M55" i="119"/>
  <c r="K55" i="119"/>
  <c r="J55" i="119"/>
  <c r="I55" i="119"/>
  <c r="H55" i="119"/>
  <c r="E55" i="119"/>
  <c r="A55" i="119"/>
  <c r="S54" i="119"/>
  <c r="R54" i="119"/>
  <c r="Q54" i="119"/>
  <c r="P54" i="119"/>
  <c r="O54" i="119"/>
  <c r="N54" i="119"/>
  <c r="M54" i="119"/>
  <c r="K54" i="119"/>
  <c r="J54" i="119"/>
  <c r="I54" i="119"/>
  <c r="H54" i="119"/>
  <c r="E54" i="119"/>
  <c r="A54" i="119"/>
  <c r="S53" i="119"/>
  <c r="R53" i="119"/>
  <c r="Q53" i="119"/>
  <c r="P53" i="119"/>
  <c r="O53" i="119"/>
  <c r="N53" i="119"/>
  <c r="M53" i="119"/>
  <c r="K53" i="119"/>
  <c r="J53" i="119"/>
  <c r="I53" i="119"/>
  <c r="H53" i="119"/>
  <c r="E53" i="119"/>
  <c r="A53" i="119"/>
  <c r="S52" i="119"/>
  <c r="R52" i="119"/>
  <c r="Q52" i="119"/>
  <c r="P52" i="119"/>
  <c r="O52" i="119"/>
  <c r="N52" i="119"/>
  <c r="M52" i="119"/>
  <c r="K52" i="119"/>
  <c r="J52" i="119"/>
  <c r="I52" i="119"/>
  <c r="H52" i="119"/>
  <c r="E52" i="119"/>
  <c r="A52" i="119"/>
  <c r="S51" i="119"/>
  <c r="R51" i="119"/>
  <c r="Q51" i="119"/>
  <c r="P51" i="119"/>
  <c r="O51" i="119"/>
  <c r="N51" i="119"/>
  <c r="M51" i="119"/>
  <c r="K51" i="119"/>
  <c r="J51" i="119"/>
  <c r="I51" i="119"/>
  <c r="H51" i="119"/>
  <c r="E51" i="119"/>
  <c r="A51" i="119"/>
  <c r="S50" i="119"/>
  <c r="R50" i="119"/>
  <c r="Q50" i="119"/>
  <c r="P50" i="119"/>
  <c r="O50" i="119"/>
  <c r="N50" i="119"/>
  <c r="M50" i="119"/>
  <c r="K50" i="119"/>
  <c r="J50" i="119"/>
  <c r="I50" i="119"/>
  <c r="H50" i="119"/>
  <c r="E50" i="119"/>
  <c r="A50" i="119"/>
  <c r="S49" i="119"/>
  <c r="R49" i="119"/>
  <c r="Q49" i="119"/>
  <c r="P49" i="119"/>
  <c r="O49" i="119"/>
  <c r="N49" i="119"/>
  <c r="M49" i="119"/>
  <c r="K49" i="119"/>
  <c r="J49" i="119"/>
  <c r="I49" i="119"/>
  <c r="H49" i="119"/>
  <c r="E49" i="119"/>
  <c r="A49" i="119"/>
  <c r="S48" i="119"/>
  <c r="R48" i="119"/>
  <c r="Q48" i="119"/>
  <c r="P48" i="119"/>
  <c r="O48" i="119"/>
  <c r="N48" i="119"/>
  <c r="M48" i="119"/>
  <c r="K48" i="119"/>
  <c r="J48" i="119"/>
  <c r="I48" i="119"/>
  <c r="H48" i="119"/>
  <c r="E48" i="119"/>
  <c r="A48" i="119"/>
  <c r="S47" i="119"/>
  <c r="R47" i="119"/>
  <c r="Q47" i="119"/>
  <c r="P47" i="119"/>
  <c r="O47" i="119"/>
  <c r="N47" i="119"/>
  <c r="M47" i="119"/>
  <c r="K47" i="119"/>
  <c r="J47" i="119"/>
  <c r="I47" i="119"/>
  <c r="H47" i="119"/>
  <c r="E47" i="119"/>
  <c r="A47" i="119"/>
  <c r="S46" i="119"/>
  <c r="R46" i="119"/>
  <c r="Q46" i="119"/>
  <c r="P46" i="119"/>
  <c r="O46" i="119"/>
  <c r="N46" i="119"/>
  <c r="M46" i="119"/>
  <c r="K46" i="119"/>
  <c r="J46" i="119"/>
  <c r="I46" i="119"/>
  <c r="H46" i="119"/>
  <c r="E46" i="119"/>
  <c r="A46" i="119"/>
  <c r="S45" i="119"/>
  <c r="R45" i="119"/>
  <c r="Q45" i="119"/>
  <c r="P45" i="119"/>
  <c r="O45" i="119"/>
  <c r="N45" i="119"/>
  <c r="M45" i="119"/>
  <c r="K45" i="119"/>
  <c r="J45" i="119"/>
  <c r="I45" i="119"/>
  <c r="H45" i="119"/>
  <c r="E45" i="119"/>
  <c r="A45" i="119"/>
  <c r="S44" i="119"/>
  <c r="R44" i="119"/>
  <c r="Q44" i="119"/>
  <c r="P44" i="119"/>
  <c r="O44" i="119"/>
  <c r="N44" i="119"/>
  <c r="M44" i="119"/>
  <c r="K44" i="119"/>
  <c r="J44" i="119"/>
  <c r="I44" i="119"/>
  <c r="H44" i="119"/>
  <c r="E44" i="119"/>
  <c r="A44" i="119"/>
  <c r="S43" i="119"/>
  <c r="R43" i="119"/>
  <c r="Q43" i="119"/>
  <c r="P43" i="119"/>
  <c r="O43" i="119"/>
  <c r="N43" i="119"/>
  <c r="M43" i="119"/>
  <c r="K43" i="119"/>
  <c r="J43" i="119"/>
  <c r="I43" i="119"/>
  <c r="H43" i="119"/>
  <c r="E43" i="119"/>
  <c r="A43" i="119"/>
  <c r="S42" i="119"/>
  <c r="R42" i="119"/>
  <c r="Q42" i="119"/>
  <c r="P42" i="119"/>
  <c r="O42" i="119"/>
  <c r="N42" i="119"/>
  <c r="M42" i="119"/>
  <c r="K42" i="119"/>
  <c r="J42" i="119"/>
  <c r="I42" i="119"/>
  <c r="H42" i="119"/>
  <c r="E42" i="119"/>
  <c r="A42" i="119"/>
  <c r="S41" i="119"/>
  <c r="R41" i="119"/>
  <c r="Q41" i="119"/>
  <c r="P41" i="119"/>
  <c r="O41" i="119"/>
  <c r="N41" i="119"/>
  <c r="M41" i="119"/>
  <c r="K41" i="119"/>
  <c r="J41" i="119"/>
  <c r="I41" i="119"/>
  <c r="H41" i="119"/>
  <c r="E41" i="119"/>
  <c r="A41" i="119"/>
  <c r="S40" i="119"/>
  <c r="R40" i="119"/>
  <c r="Q40" i="119"/>
  <c r="P40" i="119"/>
  <c r="O40" i="119"/>
  <c r="N40" i="119"/>
  <c r="M40" i="119"/>
  <c r="K40" i="119"/>
  <c r="J40" i="119"/>
  <c r="I40" i="119"/>
  <c r="H40" i="119"/>
  <c r="E40" i="119"/>
  <c r="A40" i="119"/>
  <c r="S39" i="119"/>
  <c r="R39" i="119"/>
  <c r="Q39" i="119"/>
  <c r="P39" i="119"/>
  <c r="O39" i="119"/>
  <c r="N39" i="119"/>
  <c r="M39" i="119"/>
  <c r="K39" i="119"/>
  <c r="J39" i="119"/>
  <c r="I39" i="119"/>
  <c r="H39" i="119"/>
  <c r="E39" i="119"/>
  <c r="A39" i="119"/>
  <c r="S38" i="119"/>
  <c r="R38" i="119"/>
  <c r="Q38" i="119"/>
  <c r="P38" i="119"/>
  <c r="O38" i="119"/>
  <c r="N38" i="119"/>
  <c r="M38" i="119"/>
  <c r="K38" i="119"/>
  <c r="J38" i="119"/>
  <c r="I38" i="119"/>
  <c r="H38" i="119"/>
  <c r="E38" i="119"/>
  <c r="A38" i="119"/>
  <c r="S37" i="119"/>
  <c r="R37" i="119"/>
  <c r="Q37" i="119"/>
  <c r="P37" i="119"/>
  <c r="O37" i="119"/>
  <c r="N37" i="119"/>
  <c r="M37" i="119"/>
  <c r="K37" i="119"/>
  <c r="J37" i="119"/>
  <c r="I37" i="119"/>
  <c r="H37" i="119"/>
  <c r="E37" i="119"/>
  <c r="A37" i="119"/>
  <c r="S36" i="119"/>
  <c r="R36" i="119"/>
  <c r="Q36" i="119"/>
  <c r="P36" i="119"/>
  <c r="O36" i="119"/>
  <c r="N36" i="119"/>
  <c r="M36" i="119"/>
  <c r="K36" i="119"/>
  <c r="J36" i="119"/>
  <c r="I36" i="119"/>
  <c r="H36" i="119"/>
  <c r="E36" i="119"/>
  <c r="A36" i="119"/>
  <c r="S35" i="119"/>
  <c r="R35" i="119"/>
  <c r="Q35" i="119"/>
  <c r="P35" i="119"/>
  <c r="O35" i="119"/>
  <c r="N35" i="119"/>
  <c r="M35" i="119"/>
  <c r="K35" i="119"/>
  <c r="J35" i="119"/>
  <c r="I35" i="119"/>
  <c r="H35" i="119"/>
  <c r="E35" i="119"/>
  <c r="A35" i="119"/>
  <c r="S34" i="119"/>
  <c r="R34" i="119"/>
  <c r="Q34" i="119"/>
  <c r="P34" i="119"/>
  <c r="O34" i="119"/>
  <c r="N34" i="119"/>
  <c r="M34" i="119"/>
  <c r="K34" i="119"/>
  <c r="J34" i="119"/>
  <c r="I34" i="119"/>
  <c r="H34" i="119"/>
  <c r="E34" i="119"/>
  <c r="A34" i="119"/>
  <c r="S33" i="119"/>
  <c r="R33" i="119"/>
  <c r="Q33" i="119"/>
  <c r="P33" i="119"/>
  <c r="O33" i="119"/>
  <c r="N33" i="119"/>
  <c r="M33" i="119"/>
  <c r="K33" i="119"/>
  <c r="J33" i="119"/>
  <c r="I33" i="119"/>
  <c r="H33" i="119"/>
  <c r="E33" i="119"/>
  <c r="A33" i="119"/>
  <c r="S32" i="119"/>
  <c r="R32" i="119"/>
  <c r="Q32" i="119"/>
  <c r="P32" i="119"/>
  <c r="O32" i="119"/>
  <c r="N32" i="119"/>
  <c r="M32" i="119"/>
  <c r="K32" i="119"/>
  <c r="J32" i="119"/>
  <c r="I32" i="119"/>
  <c r="H32" i="119"/>
  <c r="E32" i="119"/>
  <c r="A32" i="119"/>
  <c r="S31" i="119"/>
  <c r="R31" i="119"/>
  <c r="Q31" i="119"/>
  <c r="P31" i="119"/>
  <c r="O31" i="119"/>
  <c r="N31" i="119"/>
  <c r="M31" i="119"/>
  <c r="K31" i="119"/>
  <c r="J31" i="119"/>
  <c r="I31" i="119"/>
  <c r="H31" i="119"/>
  <c r="E31" i="119"/>
  <c r="A31" i="119"/>
  <c r="S30" i="119"/>
  <c r="R30" i="119"/>
  <c r="Q30" i="119"/>
  <c r="P30" i="119"/>
  <c r="O30" i="119"/>
  <c r="N30" i="119"/>
  <c r="M30" i="119"/>
  <c r="K30" i="119"/>
  <c r="J30" i="119"/>
  <c r="I30" i="119"/>
  <c r="H30" i="119"/>
  <c r="E30" i="119"/>
  <c r="A30" i="119"/>
  <c r="S29" i="119"/>
  <c r="R29" i="119"/>
  <c r="Q29" i="119"/>
  <c r="P29" i="119"/>
  <c r="O29" i="119"/>
  <c r="N29" i="119"/>
  <c r="M29" i="119"/>
  <c r="K29" i="119"/>
  <c r="J29" i="119"/>
  <c r="I29" i="119"/>
  <c r="H29" i="119"/>
  <c r="E29" i="119"/>
  <c r="A29" i="119"/>
  <c r="S28" i="119"/>
  <c r="R28" i="119"/>
  <c r="Q28" i="119"/>
  <c r="P28" i="119"/>
  <c r="O28" i="119"/>
  <c r="N28" i="119"/>
  <c r="M28" i="119"/>
  <c r="K28" i="119"/>
  <c r="J28" i="119"/>
  <c r="I28" i="119"/>
  <c r="H28" i="119"/>
  <c r="E28" i="119"/>
  <c r="A28" i="119"/>
  <c r="S27" i="119"/>
  <c r="R27" i="119"/>
  <c r="Q27" i="119"/>
  <c r="P27" i="119"/>
  <c r="O27" i="119"/>
  <c r="N27" i="119"/>
  <c r="M27" i="119"/>
  <c r="K27" i="119"/>
  <c r="J27" i="119"/>
  <c r="I27" i="119"/>
  <c r="H27" i="119"/>
  <c r="E27" i="119"/>
  <c r="A27" i="119"/>
  <c r="S26" i="119"/>
  <c r="R26" i="119"/>
  <c r="Q26" i="119"/>
  <c r="P26" i="119"/>
  <c r="O26" i="119"/>
  <c r="N26" i="119"/>
  <c r="M26" i="119"/>
  <c r="K26" i="119"/>
  <c r="J26" i="119"/>
  <c r="I26" i="119"/>
  <c r="H26" i="119"/>
  <c r="E26" i="119"/>
  <c r="A26" i="119"/>
  <c r="S25" i="119"/>
  <c r="R25" i="119"/>
  <c r="Q25" i="119"/>
  <c r="P25" i="119"/>
  <c r="O25" i="119"/>
  <c r="N25" i="119"/>
  <c r="M25" i="119"/>
  <c r="K25" i="119"/>
  <c r="J25" i="119"/>
  <c r="I25" i="119"/>
  <c r="H25" i="119"/>
  <c r="E25" i="119"/>
  <c r="A25" i="119"/>
  <c r="S24" i="119"/>
  <c r="R24" i="119"/>
  <c r="Q24" i="119"/>
  <c r="P24" i="119"/>
  <c r="O24" i="119"/>
  <c r="N24" i="119"/>
  <c r="M24" i="119"/>
  <c r="K24" i="119"/>
  <c r="J24" i="119"/>
  <c r="I24" i="119"/>
  <c r="H24" i="119"/>
  <c r="E24" i="119"/>
  <c r="A24" i="119"/>
  <c r="S23" i="119"/>
  <c r="R23" i="119"/>
  <c r="Q23" i="119"/>
  <c r="P23" i="119"/>
  <c r="O23" i="119"/>
  <c r="N23" i="119"/>
  <c r="M23" i="119"/>
  <c r="K23" i="119"/>
  <c r="J23" i="119"/>
  <c r="I23" i="119"/>
  <c r="H23" i="119"/>
  <c r="E23" i="119"/>
  <c r="A23" i="119"/>
  <c r="S22" i="119"/>
  <c r="R22" i="119"/>
  <c r="Q22" i="119"/>
  <c r="P22" i="119"/>
  <c r="O22" i="119"/>
  <c r="N22" i="119"/>
  <c r="M22" i="119"/>
  <c r="K22" i="119"/>
  <c r="J22" i="119"/>
  <c r="I22" i="119"/>
  <c r="H22" i="119"/>
  <c r="E22" i="119"/>
  <c r="A22" i="119"/>
  <c r="S21" i="119"/>
  <c r="R21" i="119"/>
  <c r="Q21" i="119"/>
  <c r="P21" i="119"/>
  <c r="O21" i="119"/>
  <c r="N21" i="119"/>
  <c r="M21" i="119"/>
  <c r="K21" i="119"/>
  <c r="J21" i="119"/>
  <c r="I21" i="119"/>
  <c r="H21" i="119"/>
  <c r="E21" i="119"/>
  <c r="A21" i="119"/>
  <c r="S20" i="119"/>
  <c r="R20" i="119"/>
  <c r="Q20" i="119"/>
  <c r="P20" i="119"/>
  <c r="O20" i="119"/>
  <c r="N20" i="119"/>
  <c r="M20" i="119"/>
  <c r="K20" i="119"/>
  <c r="J20" i="119"/>
  <c r="I20" i="119"/>
  <c r="H20" i="119"/>
  <c r="E20" i="119"/>
  <c r="A20" i="119"/>
  <c r="S19" i="119"/>
  <c r="R19" i="119"/>
  <c r="Q19" i="119"/>
  <c r="P19" i="119"/>
  <c r="O19" i="119"/>
  <c r="N19" i="119"/>
  <c r="M19" i="119"/>
  <c r="K19" i="119"/>
  <c r="J19" i="119"/>
  <c r="I19" i="119"/>
  <c r="H19" i="119"/>
  <c r="E19" i="119"/>
  <c r="A19" i="119"/>
  <c r="S18" i="119"/>
  <c r="R18" i="119"/>
  <c r="Q18" i="119"/>
  <c r="P18" i="119"/>
  <c r="O18" i="119"/>
  <c r="N18" i="119"/>
  <c r="M18" i="119"/>
  <c r="K18" i="119"/>
  <c r="J18" i="119"/>
  <c r="I18" i="119"/>
  <c r="H18" i="119"/>
  <c r="E18" i="119"/>
  <c r="A18" i="119"/>
  <c r="S17" i="119"/>
  <c r="R17" i="119"/>
  <c r="Q17" i="119"/>
  <c r="P17" i="119"/>
  <c r="O17" i="119"/>
  <c r="N17" i="119"/>
  <c r="M17" i="119"/>
  <c r="K17" i="119"/>
  <c r="J17" i="119"/>
  <c r="I17" i="119"/>
  <c r="H17" i="119"/>
  <c r="E17" i="119"/>
  <c r="A17" i="119"/>
  <c r="S16" i="119"/>
  <c r="R16" i="119"/>
  <c r="Q16" i="119"/>
  <c r="P16" i="119"/>
  <c r="O16" i="119"/>
  <c r="N16" i="119"/>
  <c r="M16" i="119"/>
  <c r="K16" i="119"/>
  <c r="J16" i="119"/>
  <c r="I16" i="119"/>
  <c r="H16" i="119"/>
  <c r="E16" i="119"/>
  <c r="A16" i="119"/>
  <c r="S15" i="119"/>
  <c r="R15" i="119"/>
  <c r="Q15" i="119"/>
  <c r="P15" i="119"/>
  <c r="O15" i="119"/>
  <c r="N15" i="119"/>
  <c r="M15" i="119"/>
  <c r="K15" i="119"/>
  <c r="J15" i="119"/>
  <c r="I15" i="119"/>
  <c r="H15" i="119"/>
  <c r="E15" i="119"/>
  <c r="A15" i="119"/>
  <c r="S14" i="119"/>
  <c r="R14" i="119"/>
  <c r="Q14" i="119"/>
  <c r="P14" i="119"/>
  <c r="O14" i="119"/>
  <c r="N14" i="119"/>
  <c r="M14" i="119"/>
  <c r="K14" i="119"/>
  <c r="J14" i="119"/>
  <c r="I14" i="119"/>
  <c r="H14" i="119"/>
  <c r="E14" i="119"/>
  <c r="A14" i="119"/>
  <c r="S13" i="119"/>
  <c r="R13" i="119"/>
  <c r="Q13" i="119"/>
  <c r="P13" i="119"/>
  <c r="O13" i="119"/>
  <c r="N13" i="119"/>
  <c r="M13" i="119"/>
  <c r="K13" i="119"/>
  <c r="J13" i="119"/>
  <c r="I13" i="119"/>
  <c r="H13" i="119"/>
  <c r="E13" i="119"/>
  <c r="A13" i="119"/>
  <c r="S12" i="119"/>
  <c r="R12" i="119"/>
  <c r="Q12" i="119"/>
  <c r="P12" i="119"/>
  <c r="O12" i="119"/>
  <c r="N12" i="119"/>
  <c r="M12" i="119"/>
  <c r="K12" i="119"/>
  <c r="J12" i="119"/>
  <c r="I12" i="119"/>
  <c r="H12" i="119"/>
  <c r="E12" i="119"/>
  <c r="A12" i="119"/>
  <c r="S11" i="119"/>
  <c r="R11" i="119"/>
  <c r="Q11" i="119"/>
  <c r="P11" i="119"/>
  <c r="O11" i="119"/>
  <c r="N11" i="119"/>
  <c r="M11" i="119"/>
  <c r="K11" i="119"/>
  <c r="J11" i="119"/>
  <c r="I11" i="119"/>
  <c r="H11" i="119"/>
  <c r="E11" i="119"/>
  <c r="A11" i="119"/>
  <c r="S10" i="119"/>
  <c r="R10" i="119"/>
  <c r="Q10" i="119"/>
  <c r="P10" i="119"/>
  <c r="O10" i="119"/>
  <c r="N10" i="119"/>
  <c r="M10" i="119"/>
  <c r="K10" i="119"/>
  <c r="J10" i="119"/>
  <c r="I10" i="119"/>
  <c r="H10" i="119"/>
  <c r="E10" i="119"/>
  <c r="A10" i="119"/>
  <c r="S9" i="119"/>
  <c r="R9" i="119"/>
  <c r="Q9" i="119"/>
  <c r="P9" i="119"/>
  <c r="O9" i="119"/>
  <c r="N9" i="119"/>
  <c r="M9" i="119"/>
  <c r="K9" i="119"/>
  <c r="J9" i="119"/>
  <c r="I9" i="119"/>
  <c r="H9" i="119"/>
  <c r="E9" i="119"/>
  <c r="A9" i="119"/>
  <c r="S8" i="119"/>
  <c r="R8" i="119"/>
  <c r="Q8" i="119"/>
  <c r="P8" i="119"/>
  <c r="O8" i="119"/>
  <c r="N8" i="119"/>
  <c r="M8" i="119"/>
  <c r="K8" i="119"/>
  <c r="J8" i="119"/>
  <c r="I8" i="119"/>
  <c r="H8" i="119"/>
  <c r="E8" i="119"/>
  <c r="A8" i="119"/>
  <c r="S7" i="119"/>
  <c r="R7" i="119"/>
  <c r="Q7" i="119"/>
  <c r="P7" i="119"/>
  <c r="O7" i="119"/>
  <c r="N7" i="119"/>
  <c r="M7" i="119"/>
  <c r="K7" i="119"/>
  <c r="J7" i="119"/>
  <c r="I7" i="119"/>
  <c r="H7" i="119"/>
  <c r="E7" i="119"/>
  <c r="A7" i="119"/>
  <c r="S6" i="119"/>
  <c r="R6" i="119"/>
  <c r="Q6" i="119"/>
  <c r="P6" i="119"/>
  <c r="O6" i="119"/>
  <c r="N6" i="119"/>
  <c r="M6" i="119"/>
  <c r="K6" i="119"/>
  <c r="J6" i="119"/>
  <c r="I6" i="119"/>
  <c r="H6" i="119"/>
  <c r="E6" i="119"/>
  <c r="A6" i="119"/>
  <c r="S5" i="119"/>
  <c r="R5" i="119"/>
  <c r="Q5" i="119"/>
  <c r="P5" i="119"/>
  <c r="O5" i="119"/>
  <c r="N5" i="119"/>
  <c r="M5" i="119"/>
  <c r="K5" i="119"/>
  <c r="J5" i="119"/>
  <c r="I5" i="119"/>
  <c r="H5" i="119"/>
  <c r="E5" i="119"/>
  <c r="A5" i="119"/>
  <c r="S4" i="119"/>
  <c r="R4" i="119"/>
  <c r="Q4" i="119"/>
  <c r="P4" i="119"/>
  <c r="O4" i="119"/>
  <c r="N4" i="119"/>
  <c r="M4" i="119"/>
  <c r="K4" i="119"/>
  <c r="J4" i="119"/>
  <c r="I4" i="119"/>
  <c r="H4" i="119"/>
  <c r="E4" i="119"/>
  <c r="A4" i="119"/>
  <c r="S3" i="119"/>
  <c r="R3" i="119"/>
  <c r="Q3" i="119"/>
  <c r="P3" i="119"/>
  <c r="O3" i="119"/>
  <c r="N3" i="119"/>
  <c r="M3" i="119"/>
  <c r="K3" i="119"/>
  <c r="J3" i="119"/>
  <c r="I3" i="119"/>
  <c r="H3" i="119"/>
  <c r="E3" i="119"/>
  <c r="A3" i="119"/>
  <c r="S2" i="119"/>
  <c r="R2" i="119"/>
  <c r="Q2" i="119"/>
  <c r="P2" i="119"/>
  <c r="O2" i="119"/>
  <c r="N2" i="119"/>
  <c r="M2" i="119"/>
  <c r="K2" i="119"/>
  <c r="J2" i="119"/>
  <c r="I2" i="119"/>
  <c r="H2" i="119"/>
  <c r="E2" i="119"/>
  <c r="A2" i="119"/>
  <c r="B39" i="118"/>
  <c r="B36" i="118"/>
  <c r="B37" i="118"/>
  <c r="B38" i="118"/>
  <c r="B40" i="118"/>
  <c r="B41" i="118"/>
  <c r="B42" i="118"/>
  <c r="B43" i="118"/>
  <c r="C39" i="118"/>
  <c r="C42" i="118"/>
  <c r="F43" i="118"/>
  <c r="C38" i="118"/>
  <c r="C41" i="118"/>
  <c r="F42" i="118"/>
  <c r="C36" i="118"/>
  <c r="C37" i="118"/>
  <c r="C40" i="118"/>
  <c r="F41" i="118"/>
  <c r="F38" i="118"/>
  <c r="F37" i="118"/>
  <c r="F36" i="118"/>
  <c r="B24" i="118"/>
  <c r="C20" i="118"/>
  <c r="C23" i="118"/>
  <c r="C24" i="118"/>
  <c r="D24" i="118"/>
  <c r="D23" i="118"/>
  <c r="G23" i="118"/>
  <c r="E23" i="118"/>
  <c r="H23" i="118"/>
  <c r="I23" i="118"/>
  <c r="J23" i="118"/>
  <c r="F23" i="118"/>
  <c r="I22" i="118"/>
  <c r="J22" i="118"/>
  <c r="F22" i="118"/>
  <c r="I21" i="118"/>
  <c r="J21" i="118"/>
  <c r="F21" i="118"/>
  <c r="D20" i="118"/>
  <c r="G20" i="118"/>
  <c r="E20" i="118"/>
  <c r="H20" i="118"/>
  <c r="I20" i="118"/>
  <c r="J20" i="118"/>
  <c r="F20" i="118"/>
  <c r="I19" i="118"/>
  <c r="J19" i="118"/>
  <c r="F19" i="118"/>
  <c r="I18" i="118"/>
  <c r="J18" i="118"/>
  <c r="F18" i="118"/>
  <c r="I17" i="118"/>
  <c r="J17" i="118"/>
  <c r="F17" i="118"/>
  <c r="B10" i="118"/>
  <c r="A32" i="116"/>
  <c r="S255" i="117"/>
  <c r="R255" i="117"/>
  <c r="Q255" i="117"/>
  <c r="P255" i="117"/>
  <c r="O255" i="117"/>
  <c r="N255" i="117"/>
  <c r="F255" i="117"/>
  <c r="C255" i="117"/>
  <c r="G255" i="117"/>
  <c r="B255" i="117"/>
  <c r="B22" i="116"/>
  <c r="C22" i="116"/>
  <c r="D22" i="116"/>
  <c r="G22" i="116"/>
  <c r="F2" i="117"/>
  <c r="C2" i="117"/>
  <c r="G2" i="117"/>
  <c r="B2" i="117"/>
  <c r="F3" i="117"/>
  <c r="C3" i="117"/>
  <c r="G3" i="117"/>
  <c r="B3" i="117"/>
  <c r="F4" i="117"/>
  <c r="C4" i="117"/>
  <c r="G4" i="117"/>
  <c r="B4" i="117"/>
  <c r="F5" i="117"/>
  <c r="C5" i="117"/>
  <c r="G5" i="117"/>
  <c r="B5" i="117"/>
  <c r="F6" i="117"/>
  <c r="C6" i="117"/>
  <c r="G6" i="117"/>
  <c r="B6" i="117"/>
  <c r="F7" i="117"/>
  <c r="C7" i="117"/>
  <c r="G7" i="117"/>
  <c r="B7" i="117"/>
  <c r="F8" i="117"/>
  <c r="C8" i="117"/>
  <c r="G8" i="117"/>
  <c r="B8" i="117"/>
  <c r="F9" i="117"/>
  <c r="C9" i="117"/>
  <c r="G9" i="117"/>
  <c r="B9" i="117"/>
  <c r="F10" i="117"/>
  <c r="C10" i="117"/>
  <c r="G10" i="117"/>
  <c r="B10" i="117"/>
  <c r="F11" i="117"/>
  <c r="C11" i="117"/>
  <c r="G11" i="117"/>
  <c r="B11" i="117"/>
  <c r="F12" i="117"/>
  <c r="C12" i="117"/>
  <c r="G12" i="117"/>
  <c r="B12" i="117"/>
  <c r="F13" i="117"/>
  <c r="C13" i="117"/>
  <c r="G13" i="117"/>
  <c r="B13" i="117"/>
  <c r="F14" i="117"/>
  <c r="C14" i="117"/>
  <c r="G14" i="117"/>
  <c r="B14" i="117"/>
  <c r="F15" i="117"/>
  <c r="C15" i="117"/>
  <c r="G15" i="117"/>
  <c r="B15" i="117"/>
  <c r="F16" i="117"/>
  <c r="C16" i="117"/>
  <c r="G16" i="117"/>
  <c r="B16" i="117"/>
  <c r="F17" i="117"/>
  <c r="C17" i="117"/>
  <c r="G17" i="117"/>
  <c r="B17" i="117"/>
  <c r="F18" i="117"/>
  <c r="C18" i="117"/>
  <c r="G18" i="117"/>
  <c r="B18" i="117"/>
  <c r="F19" i="117"/>
  <c r="C19" i="117"/>
  <c r="G19" i="117"/>
  <c r="B19" i="117"/>
  <c r="F20" i="117"/>
  <c r="C20" i="117"/>
  <c r="G20" i="117"/>
  <c r="B20" i="117"/>
  <c r="F21" i="117"/>
  <c r="C21" i="117"/>
  <c r="G21" i="117"/>
  <c r="B21" i="117"/>
  <c r="F22" i="117"/>
  <c r="C22" i="117"/>
  <c r="G22" i="117"/>
  <c r="B22" i="117"/>
  <c r="F23" i="117"/>
  <c r="C23" i="117"/>
  <c r="G23" i="117"/>
  <c r="B23" i="117"/>
  <c r="F24" i="117"/>
  <c r="C24" i="117"/>
  <c r="G24" i="117"/>
  <c r="B24" i="117"/>
  <c r="F25" i="117"/>
  <c r="C25" i="117"/>
  <c r="G25" i="117"/>
  <c r="B25" i="117"/>
  <c r="F26" i="117"/>
  <c r="C26" i="117"/>
  <c r="G26" i="117"/>
  <c r="B26" i="117"/>
  <c r="F27" i="117"/>
  <c r="C27" i="117"/>
  <c r="G27" i="117"/>
  <c r="B27" i="117"/>
  <c r="F28" i="117"/>
  <c r="C28" i="117"/>
  <c r="G28" i="117"/>
  <c r="B28" i="117"/>
  <c r="F29" i="117"/>
  <c r="C29" i="117"/>
  <c r="G29" i="117"/>
  <c r="B29" i="117"/>
  <c r="F30" i="117"/>
  <c r="C30" i="117"/>
  <c r="G30" i="117"/>
  <c r="B30" i="117"/>
  <c r="F31" i="117"/>
  <c r="C31" i="117"/>
  <c r="G31" i="117"/>
  <c r="B31" i="117"/>
  <c r="F32" i="117"/>
  <c r="C32" i="117"/>
  <c r="G32" i="117"/>
  <c r="B32" i="117"/>
  <c r="F33" i="117"/>
  <c r="C33" i="117"/>
  <c r="G33" i="117"/>
  <c r="B33" i="117"/>
  <c r="F34" i="117"/>
  <c r="C34" i="117"/>
  <c r="G34" i="117"/>
  <c r="B34" i="117"/>
  <c r="F35" i="117"/>
  <c r="C35" i="117"/>
  <c r="G35" i="117"/>
  <c r="B35" i="117"/>
  <c r="F36" i="117"/>
  <c r="C36" i="117"/>
  <c r="G36" i="117"/>
  <c r="B36" i="117"/>
  <c r="F37" i="117"/>
  <c r="C37" i="117"/>
  <c r="G37" i="117"/>
  <c r="B37" i="117"/>
  <c r="F38" i="117"/>
  <c r="C38" i="117"/>
  <c r="G38" i="117"/>
  <c r="B38" i="117"/>
  <c r="F39" i="117"/>
  <c r="C39" i="117"/>
  <c r="G39" i="117"/>
  <c r="B39" i="117"/>
  <c r="F40" i="117"/>
  <c r="C40" i="117"/>
  <c r="G40" i="117"/>
  <c r="B40" i="117"/>
  <c r="F41" i="117"/>
  <c r="C41" i="117"/>
  <c r="G41" i="117"/>
  <c r="B41" i="117"/>
  <c r="F42" i="117"/>
  <c r="C42" i="117"/>
  <c r="G42" i="117"/>
  <c r="B42" i="117"/>
  <c r="F43" i="117"/>
  <c r="C43" i="117"/>
  <c r="G43" i="117"/>
  <c r="B43" i="117"/>
  <c r="F44" i="117"/>
  <c r="C44" i="117"/>
  <c r="G44" i="117"/>
  <c r="B44" i="117"/>
  <c r="F45" i="117"/>
  <c r="C45" i="117"/>
  <c r="G45" i="117"/>
  <c r="B45" i="117"/>
  <c r="F46" i="117"/>
  <c r="C46" i="117"/>
  <c r="G46" i="117"/>
  <c r="B46" i="117"/>
  <c r="F47" i="117"/>
  <c r="C47" i="117"/>
  <c r="G47" i="117"/>
  <c r="B47" i="117"/>
  <c r="F48" i="117"/>
  <c r="C48" i="117"/>
  <c r="G48" i="117"/>
  <c r="B48" i="117"/>
  <c r="F49" i="117"/>
  <c r="C49" i="117"/>
  <c r="G49" i="117"/>
  <c r="B49" i="117"/>
  <c r="F50" i="117"/>
  <c r="C50" i="117"/>
  <c r="G50" i="117"/>
  <c r="B50" i="117"/>
  <c r="F51" i="117"/>
  <c r="C51" i="117"/>
  <c r="G51" i="117"/>
  <c r="B51" i="117"/>
  <c r="F52" i="117"/>
  <c r="C52" i="117"/>
  <c r="G52" i="117"/>
  <c r="B52" i="117"/>
  <c r="F53" i="117"/>
  <c r="C53" i="117"/>
  <c r="G53" i="117"/>
  <c r="B53" i="117"/>
  <c r="F54" i="117"/>
  <c r="C54" i="117"/>
  <c r="G54" i="117"/>
  <c r="B54" i="117"/>
  <c r="F55" i="117"/>
  <c r="C55" i="117"/>
  <c r="G55" i="117"/>
  <c r="B55" i="117"/>
  <c r="F56" i="117"/>
  <c r="C56" i="117"/>
  <c r="G56" i="117"/>
  <c r="B56" i="117"/>
  <c r="F57" i="117"/>
  <c r="C57" i="117"/>
  <c r="G57" i="117"/>
  <c r="B57" i="117"/>
  <c r="F58" i="117"/>
  <c r="C58" i="117"/>
  <c r="G58" i="117"/>
  <c r="B58" i="117"/>
  <c r="F59" i="117"/>
  <c r="C59" i="117"/>
  <c r="G59" i="117"/>
  <c r="B59" i="117"/>
  <c r="F60" i="117"/>
  <c r="C60" i="117"/>
  <c r="G60" i="117"/>
  <c r="B60" i="117"/>
  <c r="F61" i="117"/>
  <c r="C61" i="117"/>
  <c r="G61" i="117"/>
  <c r="B61" i="117"/>
  <c r="F62" i="117"/>
  <c r="C62" i="117"/>
  <c r="G62" i="117"/>
  <c r="B62" i="117"/>
  <c r="F63" i="117"/>
  <c r="C63" i="117"/>
  <c r="G63" i="117"/>
  <c r="B63" i="117"/>
  <c r="F64" i="117"/>
  <c r="C64" i="117"/>
  <c r="G64" i="117"/>
  <c r="B64" i="117"/>
  <c r="F65" i="117"/>
  <c r="C65" i="117"/>
  <c r="G65" i="117"/>
  <c r="B65" i="117"/>
  <c r="F66" i="117"/>
  <c r="C66" i="117"/>
  <c r="G66" i="117"/>
  <c r="B66" i="117"/>
  <c r="F67" i="117"/>
  <c r="C67" i="117"/>
  <c r="G67" i="117"/>
  <c r="B67" i="117"/>
  <c r="F68" i="117"/>
  <c r="C68" i="117"/>
  <c r="G68" i="117"/>
  <c r="B68" i="117"/>
  <c r="F69" i="117"/>
  <c r="C69" i="117"/>
  <c r="G69" i="117"/>
  <c r="B69" i="117"/>
  <c r="F70" i="117"/>
  <c r="C70" i="117"/>
  <c r="G70" i="117"/>
  <c r="B70" i="117"/>
  <c r="F71" i="117"/>
  <c r="C71" i="117"/>
  <c r="G71" i="117"/>
  <c r="B71" i="117"/>
  <c r="F72" i="117"/>
  <c r="C72" i="117"/>
  <c r="G72" i="117"/>
  <c r="B72" i="117"/>
  <c r="F73" i="117"/>
  <c r="C73" i="117"/>
  <c r="G73" i="117"/>
  <c r="B73" i="117"/>
  <c r="F74" i="117"/>
  <c r="C74" i="117"/>
  <c r="G74" i="117"/>
  <c r="B74" i="117"/>
  <c r="F75" i="117"/>
  <c r="C75" i="117"/>
  <c r="G75" i="117"/>
  <c r="B75" i="117"/>
  <c r="F76" i="117"/>
  <c r="C76" i="117"/>
  <c r="G76" i="117"/>
  <c r="B76" i="117"/>
  <c r="F77" i="117"/>
  <c r="C77" i="117"/>
  <c r="G77" i="117"/>
  <c r="B77" i="117"/>
  <c r="F78" i="117"/>
  <c r="C78" i="117"/>
  <c r="G78" i="117"/>
  <c r="B78" i="117"/>
  <c r="F79" i="117"/>
  <c r="C79" i="117"/>
  <c r="G79" i="117"/>
  <c r="B79" i="117"/>
  <c r="F80" i="117"/>
  <c r="C80" i="117"/>
  <c r="G80" i="117"/>
  <c r="B80" i="117"/>
  <c r="F81" i="117"/>
  <c r="C81" i="117"/>
  <c r="G81" i="117"/>
  <c r="B81" i="117"/>
  <c r="F82" i="117"/>
  <c r="C82" i="117"/>
  <c r="G82" i="117"/>
  <c r="B82" i="117"/>
  <c r="F83" i="117"/>
  <c r="C83" i="117"/>
  <c r="G83" i="117"/>
  <c r="B83" i="117"/>
  <c r="F84" i="117"/>
  <c r="C84" i="117"/>
  <c r="G84" i="117"/>
  <c r="B84" i="117"/>
  <c r="F85" i="117"/>
  <c r="C85" i="117"/>
  <c r="G85" i="117"/>
  <c r="B85" i="117"/>
  <c r="F86" i="117"/>
  <c r="C86" i="117"/>
  <c r="G86" i="117"/>
  <c r="B86" i="117"/>
  <c r="F87" i="117"/>
  <c r="C87" i="117"/>
  <c r="G87" i="117"/>
  <c r="B87" i="117"/>
  <c r="F88" i="117"/>
  <c r="C88" i="117"/>
  <c r="G88" i="117"/>
  <c r="B88" i="117"/>
  <c r="F89" i="117"/>
  <c r="C89" i="117"/>
  <c r="G89" i="117"/>
  <c r="B89" i="117"/>
  <c r="F90" i="117"/>
  <c r="C90" i="117"/>
  <c r="G90" i="117"/>
  <c r="B90" i="117"/>
  <c r="F91" i="117"/>
  <c r="C91" i="117"/>
  <c r="G91" i="117"/>
  <c r="B91" i="117"/>
  <c r="F92" i="117"/>
  <c r="C92" i="117"/>
  <c r="G92" i="117"/>
  <c r="B92" i="117"/>
  <c r="F93" i="117"/>
  <c r="C93" i="117"/>
  <c r="G93" i="117"/>
  <c r="B93" i="117"/>
  <c r="F94" i="117"/>
  <c r="C94" i="117"/>
  <c r="G94" i="117"/>
  <c r="B94" i="117"/>
  <c r="F95" i="117"/>
  <c r="C95" i="117"/>
  <c r="G95" i="117"/>
  <c r="B95" i="117"/>
  <c r="F96" i="117"/>
  <c r="C96" i="117"/>
  <c r="G96" i="117"/>
  <c r="B96" i="117"/>
  <c r="F97" i="117"/>
  <c r="C97" i="117"/>
  <c r="G97" i="117"/>
  <c r="B97" i="117"/>
  <c r="F98" i="117"/>
  <c r="C98" i="117"/>
  <c r="G98" i="117"/>
  <c r="B98" i="117"/>
  <c r="F99" i="117"/>
  <c r="C99" i="117"/>
  <c r="G99" i="117"/>
  <c r="B99" i="117"/>
  <c r="F100" i="117"/>
  <c r="C100" i="117"/>
  <c r="G100" i="117"/>
  <c r="B100" i="117"/>
  <c r="F101" i="117"/>
  <c r="C101" i="117"/>
  <c r="G101" i="117"/>
  <c r="B101" i="117"/>
  <c r="F102" i="117"/>
  <c r="C102" i="117"/>
  <c r="G102" i="117"/>
  <c r="B102" i="117"/>
  <c r="F103" i="117"/>
  <c r="C103" i="117"/>
  <c r="G103" i="117"/>
  <c r="B103" i="117"/>
  <c r="F104" i="117"/>
  <c r="C104" i="117"/>
  <c r="G104" i="117"/>
  <c r="B104" i="117"/>
  <c r="F105" i="117"/>
  <c r="C105" i="117"/>
  <c r="G105" i="117"/>
  <c r="B105" i="117"/>
  <c r="F106" i="117"/>
  <c r="C106" i="117"/>
  <c r="G106" i="117"/>
  <c r="B106" i="117"/>
  <c r="F107" i="117"/>
  <c r="C107" i="117"/>
  <c r="G107" i="117"/>
  <c r="B107" i="117"/>
  <c r="F108" i="117"/>
  <c r="C108" i="117"/>
  <c r="G108" i="117"/>
  <c r="B108" i="117"/>
  <c r="F109" i="117"/>
  <c r="C109" i="117"/>
  <c r="G109" i="117"/>
  <c r="B109" i="117"/>
  <c r="F110" i="117"/>
  <c r="C110" i="117"/>
  <c r="G110" i="117"/>
  <c r="B110" i="117"/>
  <c r="F111" i="117"/>
  <c r="C111" i="117"/>
  <c r="G111" i="117"/>
  <c r="B111" i="117"/>
  <c r="F112" i="117"/>
  <c r="C112" i="117"/>
  <c r="G112" i="117"/>
  <c r="B112" i="117"/>
  <c r="F113" i="117"/>
  <c r="C113" i="117"/>
  <c r="G113" i="117"/>
  <c r="B113" i="117"/>
  <c r="F114" i="117"/>
  <c r="C114" i="117"/>
  <c r="G114" i="117"/>
  <c r="B114" i="117"/>
  <c r="F115" i="117"/>
  <c r="C115" i="117"/>
  <c r="G115" i="117"/>
  <c r="B115" i="117"/>
  <c r="F116" i="117"/>
  <c r="C116" i="117"/>
  <c r="G116" i="117"/>
  <c r="B116" i="117"/>
  <c r="F117" i="117"/>
  <c r="C117" i="117"/>
  <c r="G117" i="117"/>
  <c r="B117" i="117"/>
  <c r="F118" i="117"/>
  <c r="C118" i="117"/>
  <c r="G118" i="117"/>
  <c r="B118" i="117"/>
  <c r="F119" i="117"/>
  <c r="C119" i="117"/>
  <c r="G119" i="117"/>
  <c r="B119" i="117"/>
  <c r="F120" i="117"/>
  <c r="C120" i="117"/>
  <c r="G120" i="117"/>
  <c r="B120" i="117"/>
  <c r="F121" i="117"/>
  <c r="C121" i="117"/>
  <c r="G121" i="117"/>
  <c r="B121" i="117"/>
  <c r="F122" i="117"/>
  <c r="C122" i="117"/>
  <c r="G122" i="117"/>
  <c r="B122" i="117"/>
  <c r="F123" i="117"/>
  <c r="C123" i="117"/>
  <c r="G123" i="117"/>
  <c r="B123" i="117"/>
  <c r="F124" i="117"/>
  <c r="C124" i="117"/>
  <c r="G124" i="117"/>
  <c r="B124" i="117"/>
  <c r="F125" i="117"/>
  <c r="C125" i="117"/>
  <c r="G125" i="117"/>
  <c r="B125" i="117"/>
  <c r="F126" i="117"/>
  <c r="C126" i="117"/>
  <c r="G126" i="117"/>
  <c r="B126" i="117"/>
  <c r="F127" i="117"/>
  <c r="C127" i="117"/>
  <c r="G127" i="117"/>
  <c r="B127" i="117"/>
  <c r="F128" i="117"/>
  <c r="C128" i="117"/>
  <c r="G128" i="117"/>
  <c r="B128" i="117"/>
  <c r="F129" i="117"/>
  <c r="C129" i="117"/>
  <c r="G129" i="117"/>
  <c r="B129" i="117"/>
  <c r="F130" i="117"/>
  <c r="C130" i="117"/>
  <c r="G130" i="117"/>
  <c r="B130" i="117"/>
  <c r="F131" i="117"/>
  <c r="C131" i="117"/>
  <c r="G131" i="117"/>
  <c r="B131" i="117"/>
  <c r="F132" i="117"/>
  <c r="C132" i="117"/>
  <c r="G132" i="117"/>
  <c r="B132" i="117"/>
  <c r="F133" i="117"/>
  <c r="C133" i="117"/>
  <c r="G133" i="117"/>
  <c r="B133" i="117"/>
  <c r="F134" i="117"/>
  <c r="C134" i="117"/>
  <c r="G134" i="117"/>
  <c r="B134" i="117"/>
  <c r="F135" i="117"/>
  <c r="C135" i="117"/>
  <c r="G135" i="117"/>
  <c r="B135" i="117"/>
  <c r="F136" i="117"/>
  <c r="C136" i="117"/>
  <c r="G136" i="117"/>
  <c r="B136" i="117"/>
  <c r="F137" i="117"/>
  <c r="C137" i="117"/>
  <c r="G137" i="117"/>
  <c r="B137" i="117"/>
  <c r="F138" i="117"/>
  <c r="C138" i="117"/>
  <c r="G138" i="117"/>
  <c r="B138" i="117"/>
  <c r="F139" i="117"/>
  <c r="C139" i="117"/>
  <c r="G139" i="117"/>
  <c r="B139" i="117"/>
  <c r="F140" i="117"/>
  <c r="C140" i="117"/>
  <c r="G140" i="117"/>
  <c r="B140" i="117"/>
  <c r="F141" i="117"/>
  <c r="C141" i="117"/>
  <c r="G141" i="117"/>
  <c r="B141" i="117"/>
  <c r="F142" i="117"/>
  <c r="C142" i="117"/>
  <c r="G142" i="117"/>
  <c r="B142" i="117"/>
  <c r="F143" i="117"/>
  <c r="C143" i="117"/>
  <c r="G143" i="117"/>
  <c r="B143" i="117"/>
  <c r="F144" i="117"/>
  <c r="C144" i="117"/>
  <c r="G144" i="117"/>
  <c r="B144" i="117"/>
  <c r="F145" i="117"/>
  <c r="C145" i="117"/>
  <c r="G145" i="117"/>
  <c r="B145" i="117"/>
  <c r="F146" i="117"/>
  <c r="C146" i="117"/>
  <c r="G146" i="117"/>
  <c r="B146" i="117"/>
  <c r="F147" i="117"/>
  <c r="C147" i="117"/>
  <c r="G147" i="117"/>
  <c r="B147" i="117"/>
  <c r="F148" i="117"/>
  <c r="C148" i="117"/>
  <c r="G148" i="117"/>
  <c r="B148" i="117"/>
  <c r="F149" i="117"/>
  <c r="C149" i="117"/>
  <c r="G149" i="117"/>
  <c r="B149" i="117"/>
  <c r="F150" i="117"/>
  <c r="C150" i="117"/>
  <c r="G150" i="117"/>
  <c r="B150" i="117"/>
  <c r="F151" i="117"/>
  <c r="C151" i="117"/>
  <c r="G151" i="117"/>
  <c r="B151" i="117"/>
  <c r="F152" i="117"/>
  <c r="C152" i="117"/>
  <c r="G152" i="117"/>
  <c r="B152" i="117"/>
  <c r="F153" i="117"/>
  <c r="C153" i="117"/>
  <c r="G153" i="117"/>
  <c r="B153" i="117"/>
  <c r="F154" i="117"/>
  <c r="C154" i="117"/>
  <c r="G154" i="117"/>
  <c r="B154" i="117"/>
  <c r="F155" i="117"/>
  <c r="C155" i="117"/>
  <c r="G155" i="117"/>
  <c r="B155" i="117"/>
  <c r="F156" i="117"/>
  <c r="C156" i="117"/>
  <c r="G156" i="117"/>
  <c r="B156" i="117"/>
  <c r="F157" i="117"/>
  <c r="C157" i="117"/>
  <c r="G157" i="117"/>
  <c r="B157" i="117"/>
  <c r="F158" i="117"/>
  <c r="C158" i="117"/>
  <c r="G158" i="117"/>
  <c r="B158" i="117"/>
  <c r="F159" i="117"/>
  <c r="C159" i="117"/>
  <c r="G159" i="117"/>
  <c r="B159" i="117"/>
  <c r="F160" i="117"/>
  <c r="C160" i="117"/>
  <c r="G160" i="117"/>
  <c r="B160" i="117"/>
  <c r="F161" i="117"/>
  <c r="C161" i="117"/>
  <c r="G161" i="117"/>
  <c r="B161" i="117"/>
  <c r="F162" i="117"/>
  <c r="C162" i="117"/>
  <c r="G162" i="117"/>
  <c r="B162" i="117"/>
  <c r="F163" i="117"/>
  <c r="C163" i="117"/>
  <c r="G163" i="117"/>
  <c r="B163" i="117"/>
  <c r="F164" i="117"/>
  <c r="C164" i="117"/>
  <c r="G164" i="117"/>
  <c r="B164" i="117"/>
  <c r="F165" i="117"/>
  <c r="C165" i="117"/>
  <c r="G165" i="117"/>
  <c r="B165" i="117"/>
  <c r="F166" i="117"/>
  <c r="C166" i="117"/>
  <c r="G166" i="117"/>
  <c r="B166" i="117"/>
  <c r="F167" i="117"/>
  <c r="C167" i="117"/>
  <c r="G167" i="117"/>
  <c r="B167" i="117"/>
  <c r="F168" i="117"/>
  <c r="C168" i="117"/>
  <c r="G168" i="117"/>
  <c r="B168" i="117"/>
  <c r="F169" i="117"/>
  <c r="C169" i="117"/>
  <c r="G169" i="117"/>
  <c r="B169" i="117"/>
  <c r="F170" i="117"/>
  <c r="C170" i="117"/>
  <c r="G170" i="117"/>
  <c r="B170" i="117"/>
  <c r="F171" i="117"/>
  <c r="C171" i="117"/>
  <c r="G171" i="117"/>
  <c r="B171" i="117"/>
  <c r="F172" i="117"/>
  <c r="C172" i="117"/>
  <c r="G172" i="117"/>
  <c r="B172" i="117"/>
  <c r="F173" i="117"/>
  <c r="C173" i="117"/>
  <c r="G173" i="117"/>
  <c r="B173" i="117"/>
  <c r="F174" i="117"/>
  <c r="C174" i="117"/>
  <c r="G174" i="117"/>
  <c r="B174" i="117"/>
  <c r="F175" i="117"/>
  <c r="C175" i="117"/>
  <c r="G175" i="117"/>
  <c r="B175" i="117"/>
  <c r="F176" i="117"/>
  <c r="C176" i="117"/>
  <c r="G176" i="117"/>
  <c r="B176" i="117"/>
  <c r="F177" i="117"/>
  <c r="C177" i="117"/>
  <c r="G177" i="117"/>
  <c r="B177" i="117"/>
  <c r="F178" i="117"/>
  <c r="C178" i="117"/>
  <c r="G178" i="117"/>
  <c r="B178" i="117"/>
  <c r="F179" i="117"/>
  <c r="C179" i="117"/>
  <c r="G179" i="117"/>
  <c r="B179" i="117"/>
  <c r="F180" i="117"/>
  <c r="C180" i="117"/>
  <c r="G180" i="117"/>
  <c r="B180" i="117"/>
  <c r="F181" i="117"/>
  <c r="C181" i="117"/>
  <c r="G181" i="117"/>
  <c r="B181" i="117"/>
  <c r="F182" i="117"/>
  <c r="C182" i="117"/>
  <c r="G182" i="117"/>
  <c r="B182" i="117"/>
  <c r="F183" i="117"/>
  <c r="C183" i="117"/>
  <c r="G183" i="117"/>
  <c r="B183" i="117"/>
  <c r="F184" i="117"/>
  <c r="C184" i="117"/>
  <c r="G184" i="117"/>
  <c r="B184" i="117"/>
  <c r="F185" i="117"/>
  <c r="C185" i="117"/>
  <c r="G185" i="117"/>
  <c r="B185" i="117"/>
  <c r="F186" i="117"/>
  <c r="C186" i="117"/>
  <c r="G186" i="117"/>
  <c r="B186" i="117"/>
  <c r="F187" i="117"/>
  <c r="C187" i="117"/>
  <c r="G187" i="117"/>
  <c r="B187" i="117"/>
  <c r="F188" i="117"/>
  <c r="C188" i="117"/>
  <c r="G188" i="117"/>
  <c r="B188" i="117"/>
  <c r="F189" i="117"/>
  <c r="C189" i="117"/>
  <c r="G189" i="117"/>
  <c r="B189" i="117"/>
  <c r="F190" i="117"/>
  <c r="C190" i="117"/>
  <c r="G190" i="117"/>
  <c r="B190" i="117"/>
  <c r="F191" i="117"/>
  <c r="C191" i="117"/>
  <c r="G191" i="117"/>
  <c r="B191" i="117"/>
  <c r="F192" i="117"/>
  <c r="C192" i="117"/>
  <c r="G192" i="117"/>
  <c r="B192" i="117"/>
  <c r="F193" i="117"/>
  <c r="C193" i="117"/>
  <c r="G193" i="117"/>
  <c r="B193" i="117"/>
  <c r="F194" i="117"/>
  <c r="C194" i="117"/>
  <c r="G194" i="117"/>
  <c r="B194" i="117"/>
  <c r="F195" i="117"/>
  <c r="C195" i="117"/>
  <c r="G195" i="117"/>
  <c r="B195" i="117"/>
  <c r="F196" i="117"/>
  <c r="C196" i="117"/>
  <c r="G196" i="117"/>
  <c r="B196" i="117"/>
  <c r="F197" i="117"/>
  <c r="C197" i="117"/>
  <c r="G197" i="117"/>
  <c r="B197" i="117"/>
  <c r="F198" i="117"/>
  <c r="C198" i="117"/>
  <c r="G198" i="117"/>
  <c r="B198" i="117"/>
  <c r="F199" i="117"/>
  <c r="C199" i="117"/>
  <c r="G199" i="117"/>
  <c r="B199" i="117"/>
  <c r="F200" i="117"/>
  <c r="C200" i="117"/>
  <c r="G200" i="117"/>
  <c r="B200" i="117"/>
  <c r="F201" i="117"/>
  <c r="C201" i="117"/>
  <c r="G201" i="117"/>
  <c r="B201" i="117"/>
  <c r="F202" i="117"/>
  <c r="C202" i="117"/>
  <c r="G202" i="117"/>
  <c r="B202" i="117"/>
  <c r="F203" i="117"/>
  <c r="C203" i="117"/>
  <c r="G203" i="117"/>
  <c r="B203" i="117"/>
  <c r="F204" i="117"/>
  <c r="C204" i="117"/>
  <c r="G204" i="117"/>
  <c r="B204" i="117"/>
  <c r="F205" i="117"/>
  <c r="C205" i="117"/>
  <c r="G205" i="117"/>
  <c r="B205" i="117"/>
  <c r="F206" i="117"/>
  <c r="C206" i="117"/>
  <c r="G206" i="117"/>
  <c r="B206" i="117"/>
  <c r="F207" i="117"/>
  <c r="C207" i="117"/>
  <c r="G207" i="117"/>
  <c r="B207" i="117"/>
  <c r="F208" i="117"/>
  <c r="C208" i="117"/>
  <c r="G208" i="117"/>
  <c r="B208" i="117"/>
  <c r="F209" i="117"/>
  <c r="C209" i="117"/>
  <c r="G209" i="117"/>
  <c r="B209" i="117"/>
  <c r="F210" i="117"/>
  <c r="C210" i="117"/>
  <c r="G210" i="117"/>
  <c r="B210" i="117"/>
  <c r="F211" i="117"/>
  <c r="C211" i="117"/>
  <c r="G211" i="117"/>
  <c r="B211" i="117"/>
  <c r="F212" i="117"/>
  <c r="C212" i="117"/>
  <c r="G212" i="117"/>
  <c r="B212" i="117"/>
  <c r="F213" i="117"/>
  <c r="C213" i="117"/>
  <c r="G213" i="117"/>
  <c r="B213" i="117"/>
  <c r="F214" i="117"/>
  <c r="C214" i="117"/>
  <c r="G214" i="117"/>
  <c r="B214" i="117"/>
  <c r="F215" i="117"/>
  <c r="C215" i="117"/>
  <c r="G215" i="117"/>
  <c r="B215" i="117"/>
  <c r="F216" i="117"/>
  <c r="C216" i="117"/>
  <c r="G216" i="117"/>
  <c r="B216" i="117"/>
  <c r="F217" i="117"/>
  <c r="C217" i="117"/>
  <c r="G217" i="117"/>
  <c r="B217" i="117"/>
  <c r="F218" i="117"/>
  <c r="C218" i="117"/>
  <c r="G218" i="117"/>
  <c r="B218" i="117"/>
  <c r="F219" i="117"/>
  <c r="C219" i="117"/>
  <c r="G219" i="117"/>
  <c r="B219" i="117"/>
  <c r="F220" i="117"/>
  <c r="C220" i="117"/>
  <c r="G220" i="117"/>
  <c r="B220" i="117"/>
  <c r="F221" i="117"/>
  <c r="C221" i="117"/>
  <c r="G221" i="117"/>
  <c r="B221" i="117"/>
  <c r="F222" i="117"/>
  <c r="C222" i="117"/>
  <c r="G222" i="117"/>
  <c r="B222" i="117"/>
  <c r="F223" i="117"/>
  <c r="C223" i="117"/>
  <c r="G223" i="117"/>
  <c r="B223" i="117"/>
  <c r="F224" i="117"/>
  <c r="C224" i="117"/>
  <c r="G224" i="117"/>
  <c r="B224" i="117"/>
  <c r="F225" i="117"/>
  <c r="C225" i="117"/>
  <c r="G225" i="117"/>
  <c r="B225" i="117"/>
  <c r="F226" i="117"/>
  <c r="C226" i="117"/>
  <c r="G226" i="117"/>
  <c r="B226" i="117"/>
  <c r="F227" i="117"/>
  <c r="C227" i="117"/>
  <c r="G227" i="117"/>
  <c r="B227" i="117"/>
  <c r="F228" i="117"/>
  <c r="C228" i="117"/>
  <c r="G228" i="117"/>
  <c r="B228" i="117"/>
  <c r="F229" i="117"/>
  <c r="C229" i="117"/>
  <c r="G229" i="117"/>
  <c r="B229" i="117"/>
  <c r="F230" i="117"/>
  <c r="C230" i="117"/>
  <c r="G230" i="117"/>
  <c r="B230" i="117"/>
  <c r="F231" i="117"/>
  <c r="C231" i="117"/>
  <c r="G231" i="117"/>
  <c r="B231" i="117"/>
  <c r="F232" i="117"/>
  <c r="C232" i="117"/>
  <c r="G232" i="117"/>
  <c r="B232" i="117"/>
  <c r="F233" i="117"/>
  <c r="C233" i="117"/>
  <c r="G233" i="117"/>
  <c r="B233" i="117"/>
  <c r="F234" i="117"/>
  <c r="C234" i="117"/>
  <c r="G234" i="117"/>
  <c r="B234" i="117"/>
  <c r="F235" i="117"/>
  <c r="C235" i="117"/>
  <c r="G235" i="117"/>
  <c r="B235" i="117"/>
  <c r="F236" i="117"/>
  <c r="C236" i="117"/>
  <c r="G236" i="117"/>
  <c r="B236" i="117"/>
  <c r="F237" i="117"/>
  <c r="C237" i="117"/>
  <c r="G237" i="117"/>
  <c r="B237" i="117"/>
  <c r="F238" i="117"/>
  <c r="C238" i="117"/>
  <c r="G238" i="117"/>
  <c r="B238" i="117"/>
  <c r="F239" i="117"/>
  <c r="C239" i="117"/>
  <c r="G239" i="117"/>
  <c r="B239" i="117"/>
  <c r="F240" i="117"/>
  <c r="C240" i="117"/>
  <c r="G240" i="117"/>
  <c r="B240" i="117"/>
  <c r="F241" i="117"/>
  <c r="C241" i="117"/>
  <c r="G241" i="117"/>
  <c r="B241" i="117"/>
  <c r="F242" i="117"/>
  <c r="C242" i="117"/>
  <c r="G242" i="117"/>
  <c r="B242" i="117"/>
  <c r="F243" i="117"/>
  <c r="C243" i="117"/>
  <c r="G243" i="117"/>
  <c r="B243" i="117"/>
  <c r="F244" i="117"/>
  <c r="C244" i="117"/>
  <c r="G244" i="117"/>
  <c r="B244" i="117"/>
  <c r="F245" i="117"/>
  <c r="C245" i="117"/>
  <c r="G245" i="117"/>
  <c r="B245" i="117"/>
  <c r="F246" i="117"/>
  <c r="C246" i="117"/>
  <c r="G246" i="117"/>
  <c r="B246" i="117"/>
  <c r="F247" i="117"/>
  <c r="C247" i="117"/>
  <c r="G247" i="117"/>
  <c r="B247" i="117"/>
  <c r="F248" i="117"/>
  <c r="C248" i="117"/>
  <c r="G248" i="117"/>
  <c r="B248" i="117"/>
  <c r="F249" i="117"/>
  <c r="C249" i="117"/>
  <c r="G249" i="117"/>
  <c r="B249" i="117"/>
  <c r="F250" i="117"/>
  <c r="C250" i="117"/>
  <c r="G250" i="117"/>
  <c r="B250" i="117"/>
  <c r="F251" i="117"/>
  <c r="C251" i="117"/>
  <c r="G251" i="117"/>
  <c r="B251" i="117"/>
  <c r="F252" i="117"/>
  <c r="C252" i="117"/>
  <c r="G252" i="117"/>
  <c r="B252" i="117"/>
  <c r="F253" i="117"/>
  <c r="C253" i="117"/>
  <c r="G253" i="117"/>
  <c r="B253" i="117"/>
  <c r="F254" i="117"/>
  <c r="C254" i="117"/>
  <c r="G254" i="117"/>
  <c r="B254" i="117"/>
  <c r="E22" i="116"/>
  <c r="H22" i="116"/>
  <c r="L255" i="117"/>
  <c r="B5" i="116"/>
  <c r="B17" i="116"/>
  <c r="C17" i="116"/>
  <c r="D17" i="116"/>
  <c r="G17" i="116"/>
  <c r="E17" i="116"/>
  <c r="H17" i="116"/>
  <c r="L2" i="117"/>
  <c r="B19" i="116"/>
  <c r="B20" i="116"/>
  <c r="B18" i="116"/>
  <c r="C18" i="116"/>
  <c r="D18" i="116"/>
  <c r="G18" i="116"/>
  <c r="E18" i="116"/>
  <c r="H18" i="116"/>
  <c r="L3" i="117"/>
  <c r="L4" i="117"/>
  <c r="L5" i="117"/>
  <c r="L6" i="117"/>
  <c r="L7" i="117"/>
  <c r="L8" i="117"/>
  <c r="L9" i="117"/>
  <c r="L10" i="117"/>
  <c r="L11" i="117"/>
  <c r="L12" i="117"/>
  <c r="L13" i="117"/>
  <c r="L14" i="117"/>
  <c r="L15" i="117"/>
  <c r="L16" i="117"/>
  <c r="L17" i="117"/>
  <c r="L18" i="117"/>
  <c r="L19" i="117"/>
  <c r="L20" i="117"/>
  <c r="L21" i="117"/>
  <c r="L22" i="117"/>
  <c r="L23" i="117"/>
  <c r="L24" i="117"/>
  <c r="L25" i="117"/>
  <c r="L26" i="117"/>
  <c r="L27" i="117"/>
  <c r="L28" i="117"/>
  <c r="L29" i="117"/>
  <c r="L30" i="117"/>
  <c r="L31" i="117"/>
  <c r="L32" i="117"/>
  <c r="L33" i="117"/>
  <c r="L34" i="117"/>
  <c r="L35" i="117"/>
  <c r="L36" i="117"/>
  <c r="L37" i="117"/>
  <c r="L38" i="117"/>
  <c r="L39" i="117"/>
  <c r="L40" i="117"/>
  <c r="L41" i="117"/>
  <c r="L42" i="117"/>
  <c r="L43" i="117"/>
  <c r="B23" i="116"/>
  <c r="B21" i="116"/>
  <c r="C21" i="116"/>
  <c r="D21" i="116"/>
  <c r="G21" i="116"/>
  <c r="E21" i="116"/>
  <c r="H21" i="116"/>
  <c r="L44" i="117"/>
  <c r="L45" i="117"/>
  <c r="L46" i="117"/>
  <c r="L47" i="117"/>
  <c r="L48" i="117"/>
  <c r="L49" i="117"/>
  <c r="L50" i="117"/>
  <c r="L51" i="117"/>
  <c r="L52" i="117"/>
  <c r="L53" i="117"/>
  <c r="L54" i="117"/>
  <c r="L55" i="117"/>
  <c r="L56" i="117"/>
  <c r="L57" i="117"/>
  <c r="L58" i="117"/>
  <c r="L59" i="117"/>
  <c r="L60" i="117"/>
  <c r="L61" i="117"/>
  <c r="L62" i="117"/>
  <c r="L63" i="117"/>
  <c r="L64" i="117"/>
  <c r="L65" i="117"/>
  <c r="L66" i="117"/>
  <c r="L67" i="117"/>
  <c r="L68" i="117"/>
  <c r="L69" i="117"/>
  <c r="L70" i="117"/>
  <c r="L71" i="117"/>
  <c r="L72" i="117"/>
  <c r="L73" i="117"/>
  <c r="L74" i="117"/>
  <c r="L75" i="117"/>
  <c r="L76" i="117"/>
  <c r="L77" i="117"/>
  <c r="L78" i="117"/>
  <c r="L79" i="117"/>
  <c r="L80" i="117"/>
  <c r="L81" i="117"/>
  <c r="L82" i="117"/>
  <c r="L83" i="117"/>
  <c r="L84" i="117"/>
  <c r="L85" i="117"/>
  <c r="L86" i="117"/>
  <c r="L87" i="117"/>
  <c r="L88" i="117"/>
  <c r="L89" i="117"/>
  <c r="L90" i="117"/>
  <c r="L91" i="117"/>
  <c r="L92" i="117"/>
  <c r="L93" i="117"/>
  <c r="L94" i="117"/>
  <c r="L95" i="117"/>
  <c r="L96" i="117"/>
  <c r="L97" i="117"/>
  <c r="L98" i="117"/>
  <c r="L99" i="117"/>
  <c r="L100" i="117"/>
  <c r="L101" i="117"/>
  <c r="L102" i="117"/>
  <c r="L103" i="117"/>
  <c r="L104" i="117"/>
  <c r="L105" i="117"/>
  <c r="L106" i="117"/>
  <c r="L107" i="117"/>
  <c r="L108" i="117"/>
  <c r="L109" i="117"/>
  <c r="L110" i="117"/>
  <c r="L111" i="117"/>
  <c r="L112" i="117"/>
  <c r="L113" i="117"/>
  <c r="L114" i="117"/>
  <c r="L115" i="117"/>
  <c r="L116" i="117"/>
  <c r="L117" i="117"/>
  <c r="L118" i="117"/>
  <c r="L119" i="117"/>
  <c r="L120" i="117"/>
  <c r="L121" i="117"/>
  <c r="L122" i="117"/>
  <c r="L123" i="117"/>
  <c r="L124" i="117"/>
  <c r="L125" i="117"/>
  <c r="L126" i="117"/>
  <c r="L127" i="117"/>
  <c r="L128" i="117"/>
  <c r="L129" i="117"/>
  <c r="L130" i="117"/>
  <c r="L131" i="117"/>
  <c r="L132" i="117"/>
  <c r="L133" i="117"/>
  <c r="L134" i="117"/>
  <c r="L135" i="117"/>
  <c r="L136" i="117"/>
  <c r="L137" i="117"/>
  <c r="C19" i="116"/>
  <c r="D19" i="116"/>
  <c r="G19" i="116"/>
  <c r="E19" i="116"/>
  <c r="H19" i="116"/>
  <c r="L138" i="117"/>
  <c r="L139" i="117"/>
  <c r="L140" i="117"/>
  <c r="L141" i="117"/>
  <c r="L142" i="117"/>
  <c r="L143" i="117"/>
  <c r="L144" i="117"/>
  <c r="L145" i="117"/>
  <c r="L146" i="117"/>
  <c r="L147" i="117"/>
  <c r="L148" i="117"/>
  <c r="L149" i="117"/>
  <c r="L150" i="117"/>
  <c r="L151" i="117"/>
  <c r="L152" i="117"/>
  <c r="L153" i="117"/>
  <c r="L154" i="117"/>
  <c r="L155" i="117"/>
  <c r="L156" i="117"/>
  <c r="L157" i="117"/>
  <c r="L158" i="117"/>
  <c r="L159" i="117"/>
  <c r="L160" i="117"/>
  <c r="L161" i="117"/>
  <c r="L162" i="117"/>
  <c r="L163" i="117"/>
  <c r="L164" i="117"/>
  <c r="L165" i="117"/>
  <c r="L166" i="117"/>
  <c r="L167" i="117"/>
  <c r="L168" i="117"/>
  <c r="L169" i="117"/>
  <c r="L170" i="117"/>
  <c r="L171" i="117"/>
  <c r="L172" i="117"/>
  <c r="L173" i="117"/>
  <c r="L174" i="117"/>
  <c r="L175" i="117"/>
  <c r="L176" i="117"/>
  <c r="L177" i="117"/>
  <c r="L178" i="117"/>
  <c r="L179" i="117"/>
  <c r="L180" i="117"/>
  <c r="L181" i="117"/>
  <c r="L182" i="117"/>
  <c r="L183" i="117"/>
  <c r="L184" i="117"/>
  <c r="L185" i="117"/>
  <c r="L186" i="117"/>
  <c r="L187" i="117"/>
  <c r="L188" i="117"/>
  <c r="L189" i="117"/>
  <c r="L190" i="117"/>
  <c r="L191" i="117"/>
  <c r="L192" i="117"/>
  <c r="L193" i="117"/>
  <c r="L194" i="117"/>
  <c r="L195" i="117"/>
  <c r="L196" i="117"/>
  <c r="L197" i="117"/>
  <c r="L198" i="117"/>
  <c r="L199" i="117"/>
  <c r="L200" i="117"/>
  <c r="L201" i="117"/>
  <c r="L202" i="117"/>
  <c r="L203" i="117"/>
  <c r="L204" i="117"/>
  <c r="L205" i="117"/>
  <c r="L206" i="117"/>
  <c r="L207" i="117"/>
  <c r="L208" i="117"/>
  <c r="L209" i="117"/>
  <c r="L210" i="117"/>
  <c r="L211" i="117"/>
  <c r="L212" i="117"/>
  <c r="L213" i="117"/>
  <c r="L214" i="117"/>
  <c r="L215" i="117"/>
  <c r="L216" i="117"/>
  <c r="L217" i="117"/>
  <c r="L218" i="117"/>
  <c r="L219" i="117"/>
  <c r="L220" i="117"/>
  <c r="L221" i="117"/>
  <c r="L222" i="117"/>
  <c r="L223" i="117"/>
  <c r="L224" i="117"/>
  <c r="L225" i="117"/>
  <c r="L226" i="117"/>
  <c r="L227" i="117"/>
  <c r="L228" i="117"/>
  <c r="L229" i="117"/>
  <c r="L230" i="117"/>
  <c r="L231" i="117"/>
  <c r="L232" i="117"/>
  <c r="L233" i="117"/>
  <c r="L234" i="117"/>
  <c r="L235" i="117"/>
  <c r="L236" i="117"/>
  <c r="L237" i="117"/>
  <c r="L238" i="117"/>
  <c r="L239" i="117"/>
  <c r="L240" i="117"/>
  <c r="L241" i="117"/>
  <c r="L242" i="117"/>
  <c r="L243" i="117"/>
  <c r="L244" i="117"/>
  <c r="L245" i="117"/>
  <c r="L246" i="117"/>
  <c r="L247" i="117"/>
  <c r="L248" i="117"/>
  <c r="L249" i="117"/>
  <c r="L250" i="117"/>
  <c r="L251" i="117"/>
  <c r="L252" i="117"/>
  <c r="L253" i="117"/>
  <c r="L254" i="117"/>
  <c r="M255" i="117"/>
  <c r="K255" i="117"/>
  <c r="J255" i="117"/>
  <c r="I255" i="117"/>
  <c r="H255" i="117"/>
  <c r="E255" i="117"/>
  <c r="A255" i="117"/>
  <c r="S254" i="117"/>
  <c r="R254" i="117"/>
  <c r="Q254" i="117"/>
  <c r="P254" i="117"/>
  <c r="O254" i="117"/>
  <c r="N254" i="117"/>
  <c r="M254" i="117"/>
  <c r="K254" i="117"/>
  <c r="J254" i="117"/>
  <c r="I254" i="117"/>
  <c r="H254" i="117"/>
  <c r="E254" i="117"/>
  <c r="A254" i="117"/>
  <c r="S253" i="117"/>
  <c r="R253" i="117"/>
  <c r="Q253" i="117"/>
  <c r="P253" i="117"/>
  <c r="O253" i="117"/>
  <c r="N253" i="117"/>
  <c r="M253" i="117"/>
  <c r="K253" i="117"/>
  <c r="J253" i="117"/>
  <c r="I253" i="117"/>
  <c r="H253" i="117"/>
  <c r="E253" i="117"/>
  <c r="A253" i="117"/>
  <c r="S252" i="117"/>
  <c r="R252" i="117"/>
  <c r="Q252" i="117"/>
  <c r="P252" i="117"/>
  <c r="O252" i="117"/>
  <c r="N252" i="117"/>
  <c r="M252" i="117"/>
  <c r="K252" i="117"/>
  <c r="J252" i="117"/>
  <c r="I252" i="117"/>
  <c r="H252" i="117"/>
  <c r="E252" i="117"/>
  <c r="A252" i="117"/>
  <c r="S251" i="117"/>
  <c r="R251" i="117"/>
  <c r="Q251" i="117"/>
  <c r="P251" i="117"/>
  <c r="O251" i="117"/>
  <c r="N251" i="117"/>
  <c r="M251" i="117"/>
  <c r="K251" i="117"/>
  <c r="J251" i="117"/>
  <c r="I251" i="117"/>
  <c r="H251" i="117"/>
  <c r="E251" i="117"/>
  <c r="A251" i="117"/>
  <c r="S250" i="117"/>
  <c r="R250" i="117"/>
  <c r="Q250" i="117"/>
  <c r="P250" i="117"/>
  <c r="O250" i="117"/>
  <c r="N250" i="117"/>
  <c r="M250" i="117"/>
  <c r="K250" i="117"/>
  <c r="J250" i="117"/>
  <c r="I250" i="117"/>
  <c r="H250" i="117"/>
  <c r="E250" i="117"/>
  <c r="A250" i="117"/>
  <c r="S249" i="117"/>
  <c r="R249" i="117"/>
  <c r="Q249" i="117"/>
  <c r="P249" i="117"/>
  <c r="O249" i="117"/>
  <c r="N249" i="117"/>
  <c r="M249" i="117"/>
  <c r="K249" i="117"/>
  <c r="J249" i="117"/>
  <c r="I249" i="117"/>
  <c r="H249" i="117"/>
  <c r="E249" i="117"/>
  <c r="A249" i="117"/>
  <c r="S248" i="117"/>
  <c r="R248" i="117"/>
  <c r="Q248" i="117"/>
  <c r="P248" i="117"/>
  <c r="O248" i="117"/>
  <c r="N248" i="117"/>
  <c r="M248" i="117"/>
  <c r="K248" i="117"/>
  <c r="J248" i="117"/>
  <c r="I248" i="117"/>
  <c r="H248" i="117"/>
  <c r="E248" i="117"/>
  <c r="A248" i="117"/>
  <c r="S247" i="117"/>
  <c r="R247" i="117"/>
  <c r="Q247" i="117"/>
  <c r="P247" i="117"/>
  <c r="O247" i="117"/>
  <c r="N247" i="117"/>
  <c r="M247" i="117"/>
  <c r="K247" i="117"/>
  <c r="J247" i="117"/>
  <c r="I247" i="117"/>
  <c r="H247" i="117"/>
  <c r="E247" i="117"/>
  <c r="A247" i="117"/>
  <c r="S246" i="117"/>
  <c r="R246" i="117"/>
  <c r="Q246" i="117"/>
  <c r="P246" i="117"/>
  <c r="O246" i="117"/>
  <c r="N246" i="117"/>
  <c r="M246" i="117"/>
  <c r="K246" i="117"/>
  <c r="J246" i="117"/>
  <c r="I246" i="117"/>
  <c r="H246" i="117"/>
  <c r="E246" i="117"/>
  <c r="A246" i="117"/>
  <c r="S245" i="117"/>
  <c r="R245" i="117"/>
  <c r="Q245" i="117"/>
  <c r="P245" i="117"/>
  <c r="O245" i="117"/>
  <c r="N245" i="117"/>
  <c r="M245" i="117"/>
  <c r="K245" i="117"/>
  <c r="J245" i="117"/>
  <c r="I245" i="117"/>
  <c r="H245" i="117"/>
  <c r="E245" i="117"/>
  <c r="A245" i="117"/>
  <c r="S244" i="117"/>
  <c r="R244" i="117"/>
  <c r="Q244" i="117"/>
  <c r="P244" i="117"/>
  <c r="O244" i="117"/>
  <c r="N244" i="117"/>
  <c r="M244" i="117"/>
  <c r="K244" i="117"/>
  <c r="J244" i="117"/>
  <c r="I244" i="117"/>
  <c r="H244" i="117"/>
  <c r="E244" i="117"/>
  <c r="A244" i="117"/>
  <c r="S243" i="117"/>
  <c r="R243" i="117"/>
  <c r="Q243" i="117"/>
  <c r="P243" i="117"/>
  <c r="O243" i="117"/>
  <c r="N243" i="117"/>
  <c r="M243" i="117"/>
  <c r="K243" i="117"/>
  <c r="J243" i="117"/>
  <c r="I243" i="117"/>
  <c r="H243" i="117"/>
  <c r="E243" i="117"/>
  <c r="A243" i="117"/>
  <c r="S242" i="117"/>
  <c r="R242" i="117"/>
  <c r="Q242" i="117"/>
  <c r="P242" i="117"/>
  <c r="O242" i="117"/>
  <c r="N242" i="117"/>
  <c r="M242" i="117"/>
  <c r="K242" i="117"/>
  <c r="J242" i="117"/>
  <c r="I242" i="117"/>
  <c r="H242" i="117"/>
  <c r="E242" i="117"/>
  <c r="A242" i="117"/>
  <c r="S241" i="117"/>
  <c r="R241" i="117"/>
  <c r="Q241" i="117"/>
  <c r="P241" i="117"/>
  <c r="O241" i="117"/>
  <c r="N241" i="117"/>
  <c r="M241" i="117"/>
  <c r="K241" i="117"/>
  <c r="J241" i="117"/>
  <c r="I241" i="117"/>
  <c r="H241" i="117"/>
  <c r="E241" i="117"/>
  <c r="A241" i="117"/>
  <c r="S240" i="117"/>
  <c r="R240" i="117"/>
  <c r="Q240" i="117"/>
  <c r="P240" i="117"/>
  <c r="O240" i="117"/>
  <c r="N240" i="117"/>
  <c r="M240" i="117"/>
  <c r="K240" i="117"/>
  <c r="J240" i="117"/>
  <c r="I240" i="117"/>
  <c r="H240" i="117"/>
  <c r="E240" i="117"/>
  <c r="A240" i="117"/>
  <c r="S239" i="117"/>
  <c r="R239" i="117"/>
  <c r="Q239" i="117"/>
  <c r="P239" i="117"/>
  <c r="O239" i="117"/>
  <c r="N239" i="117"/>
  <c r="M239" i="117"/>
  <c r="K239" i="117"/>
  <c r="J239" i="117"/>
  <c r="I239" i="117"/>
  <c r="H239" i="117"/>
  <c r="E239" i="117"/>
  <c r="A239" i="117"/>
  <c r="S238" i="117"/>
  <c r="R238" i="117"/>
  <c r="Q238" i="117"/>
  <c r="P238" i="117"/>
  <c r="O238" i="117"/>
  <c r="N238" i="117"/>
  <c r="M238" i="117"/>
  <c r="K238" i="117"/>
  <c r="J238" i="117"/>
  <c r="I238" i="117"/>
  <c r="H238" i="117"/>
  <c r="E238" i="117"/>
  <c r="A238" i="117"/>
  <c r="S237" i="117"/>
  <c r="R237" i="117"/>
  <c r="Q237" i="117"/>
  <c r="P237" i="117"/>
  <c r="O237" i="117"/>
  <c r="N237" i="117"/>
  <c r="M237" i="117"/>
  <c r="K237" i="117"/>
  <c r="J237" i="117"/>
  <c r="I237" i="117"/>
  <c r="H237" i="117"/>
  <c r="E237" i="117"/>
  <c r="A237" i="117"/>
  <c r="S236" i="117"/>
  <c r="R236" i="117"/>
  <c r="Q236" i="117"/>
  <c r="P236" i="117"/>
  <c r="O236" i="117"/>
  <c r="N236" i="117"/>
  <c r="M236" i="117"/>
  <c r="K236" i="117"/>
  <c r="J236" i="117"/>
  <c r="I236" i="117"/>
  <c r="H236" i="117"/>
  <c r="E236" i="117"/>
  <c r="A236" i="117"/>
  <c r="S235" i="117"/>
  <c r="R235" i="117"/>
  <c r="Q235" i="117"/>
  <c r="P235" i="117"/>
  <c r="O235" i="117"/>
  <c r="N235" i="117"/>
  <c r="M235" i="117"/>
  <c r="K235" i="117"/>
  <c r="J235" i="117"/>
  <c r="I235" i="117"/>
  <c r="H235" i="117"/>
  <c r="E235" i="117"/>
  <c r="A235" i="117"/>
  <c r="S234" i="117"/>
  <c r="R234" i="117"/>
  <c r="Q234" i="117"/>
  <c r="P234" i="117"/>
  <c r="O234" i="117"/>
  <c r="N234" i="117"/>
  <c r="M234" i="117"/>
  <c r="K234" i="117"/>
  <c r="J234" i="117"/>
  <c r="I234" i="117"/>
  <c r="H234" i="117"/>
  <c r="E234" i="117"/>
  <c r="A234" i="117"/>
  <c r="S233" i="117"/>
  <c r="R233" i="117"/>
  <c r="Q233" i="117"/>
  <c r="P233" i="117"/>
  <c r="O233" i="117"/>
  <c r="N233" i="117"/>
  <c r="M233" i="117"/>
  <c r="K233" i="117"/>
  <c r="J233" i="117"/>
  <c r="I233" i="117"/>
  <c r="H233" i="117"/>
  <c r="E233" i="117"/>
  <c r="A233" i="117"/>
  <c r="S232" i="117"/>
  <c r="R232" i="117"/>
  <c r="Q232" i="117"/>
  <c r="P232" i="117"/>
  <c r="O232" i="117"/>
  <c r="N232" i="117"/>
  <c r="M232" i="117"/>
  <c r="K232" i="117"/>
  <c r="J232" i="117"/>
  <c r="I232" i="117"/>
  <c r="H232" i="117"/>
  <c r="E232" i="117"/>
  <c r="A232" i="117"/>
  <c r="S231" i="117"/>
  <c r="R231" i="117"/>
  <c r="Q231" i="117"/>
  <c r="P231" i="117"/>
  <c r="O231" i="117"/>
  <c r="N231" i="117"/>
  <c r="M231" i="117"/>
  <c r="K231" i="117"/>
  <c r="J231" i="117"/>
  <c r="I231" i="117"/>
  <c r="H231" i="117"/>
  <c r="E231" i="117"/>
  <c r="A231" i="117"/>
  <c r="S230" i="117"/>
  <c r="R230" i="117"/>
  <c r="Q230" i="117"/>
  <c r="P230" i="117"/>
  <c r="O230" i="117"/>
  <c r="N230" i="117"/>
  <c r="M230" i="117"/>
  <c r="K230" i="117"/>
  <c r="J230" i="117"/>
  <c r="I230" i="117"/>
  <c r="H230" i="117"/>
  <c r="E230" i="117"/>
  <c r="A230" i="117"/>
  <c r="S229" i="117"/>
  <c r="R229" i="117"/>
  <c r="Q229" i="117"/>
  <c r="P229" i="117"/>
  <c r="O229" i="117"/>
  <c r="N229" i="117"/>
  <c r="M229" i="117"/>
  <c r="K229" i="117"/>
  <c r="J229" i="117"/>
  <c r="I229" i="117"/>
  <c r="H229" i="117"/>
  <c r="E229" i="117"/>
  <c r="A229" i="117"/>
  <c r="S228" i="117"/>
  <c r="R228" i="117"/>
  <c r="Q228" i="117"/>
  <c r="P228" i="117"/>
  <c r="O228" i="117"/>
  <c r="N228" i="117"/>
  <c r="M228" i="117"/>
  <c r="K228" i="117"/>
  <c r="J228" i="117"/>
  <c r="I228" i="117"/>
  <c r="H228" i="117"/>
  <c r="E228" i="117"/>
  <c r="A228" i="117"/>
  <c r="S227" i="117"/>
  <c r="R227" i="117"/>
  <c r="Q227" i="117"/>
  <c r="P227" i="117"/>
  <c r="O227" i="117"/>
  <c r="N227" i="117"/>
  <c r="M227" i="117"/>
  <c r="K227" i="117"/>
  <c r="J227" i="117"/>
  <c r="I227" i="117"/>
  <c r="H227" i="117"/>
  <c r="E227" i="117"/>
  <c r="A227" i="117"/>
  <c r="S226" i="117"/>
  <c r="R226" i="117"/>
  <c r="Q226" i="117"/>
  <c r="P226" i="117"/>
  <c r="O226" i="117"/>
  <c r="N226" i="117"/>
  <c r="M226" i="117"/>
  <c r="K226" i="117"/>
  <c r="J226" i="117"/>
  <c r="I226" i="117"/>
  <c r="H226" i="117"/>
  <c r="E226" i="117"/>
  <c r="A226" i="117"/>
  <c r="S225" i="117"/>
  <c r="R225" i="117"/>
  <c r="Q225" i="117"/>
  <c r="P225" i="117"/>
  <c r="O225" i="117"/>
  <c r="N225" i="117"/>
  <c r="M225" i="117"/>
  <c r="K225" i="117"/>
  <c r="J225" i="117"/>
  <c r="I225" i="117"/>
  <c r="H225" i="117"/>
  <c r="E225" i="117"/>
  <c r="A225" i="117"/>
  <c r="S224" i="117"/>
  <c r="R224" i="117"/>
  <c r="Q224" i="117"/>
  <c r="P224" i="117"/>
  <c r="O224" i="117"/>
  <c r="N224" i="117"/>
  <c r="M224" i="117"/>
  <c r="K224" i="117"/>
  <c r="J224" i="117"/>
  <c r="I224" i="117"/>
  <c r="H224" i="117"/>
  <c r="E224" i="117"/>
  <c r="A224" i="117"/>
  <c r="S223" i="117"/>
  <c r="R223" i="117"/>
  <c r="Q223" i="117"/>
  <c r="P223" i="117"/>
  <c r="O223" i="117"/>
  <c r="N223" i="117"/>
  <c r="M223" i="117"/>
  <c r="K223" i="117"/>
  <c r="J223" i="117"/>
  <c r="I223" i="117"/>
  <c r="H223" i="117"/>
  <c r="E223" i="117"/>
  <c r="A223" i="117"/>
  <c r="S222" i="117"/>
  <c r="R222" i="117"/>
  <c r="Q222" i="117"/>
  <c r="P222" i="117"/>
  <c r="O222" i="117"/>
  <c r="N222" i="117"/>
  <c r="M222" i="117"/>
  <c r="K222" i="117"/>
  <c r="J222" i="117"/>
  <c r="I222" i="117"/>
  <c r="H222" i="117"/>
  <c r="E222" i="117"/>
  <c r="A222" i="117"/>
  <c r="S221" i="117"/>
  <c r="R221" i="117"/>
  <c r="Q221" i="117"/>
  <c r="P221" i="117"/>
  <c r="O221" i="117"/>
  <c r="N221" i="117"/>
  <c r="M221" i="117"/>
  <c r="K221" i="117"/>
  <c r="J221" i="117"/>
  <c r="I221" i="117"/>
  <c r="H221" i="117"/>
  <c r="E221" i="117"/>
  <c r="A221" i="117"/>
  <c r="S220" i="117"/>
  <c r="R220" i="117"/>
  <c r="Q220" i="117"/>
  <c r="P220" i="117"/>
  <c r="O220" i="117"/>
  <c r="N220" i="117"/>
  <c r="M220" i="117"/>
  <c r="K220" i="117"/>
  <c r="J220" i="117"/>
  <c r="I220" i="117"/>
  <c r="H220" i="117"/>
  <c r="E220" i="117"/>
  <c r="A220" i="117"/>
  <c r="S219" i="117"/>
  <c r="R219" i="117"/>
  <c r="Q219" i="117"/>
  <c r="P219" i="117"/>
  <c r="O219" i="117"/>
  <c r="N219" i="117"/>
  <c r="M219" i="117"/>
  <c r="K219" i="117"/>
  <c r="J219" i="117"/>
  <c r="I219" i="117"/>
  <c r="H219" i="117"/>
  <c r="E219" i="117"/>
  <c r="A219" i="117"/>
  <c r="S218" i="117"/>
  <c r="R218" i="117"/>
  <c r="Q218" i="117"/>
  <c r="P218" i="117"/>
  <c r="O218" i="117"/>
  <c r="N218" i="117"/>
  <c r="M218" i="117"/>
  <c r="K218" i="117"/>
  <c r="J218" i="117"/>
  <c r="I218" i="117"/>
  <c r="H218" i="117"/>
  <c r="E218" i="117"/>
  <c r="A218" i="117"/>
  <c r="S217" i="117"/>
  <c r="R217" i="117"/>
  <c r="Q217" i="117"/>
  <c r="P217" i="117"/>
  <c r="O217" i="117"/>
  <c r="N217" i="117"/>
  <c r="M217" i="117"/>
  <c r="K217" i="117"/>
  <c r="J217" i="117"/>
  <c r="I217" i="117"/>
  <c r="H217" i="117"/>
  <c r="E217" i="117"/>
  <c r="A217" i="117"/>
  <c r="S216" i="117"/>
  <c r="R216" i="117"/>
  <c r="Q216" i="117"/>
  <c r="P216" i="117"/>
  <c r="O216" i="117"/>
  <c r="N216" i="117"/>
  <c r="M216" i="117"/>
  <c r="K216" i="117"/>
  <c r="J216" i="117"/>
  <c r="I216" i="117"/>
  <c r="H216" i="117"/>
  <c r="E216" i="117"/>
  <c r="A216" i="117"/>
  <c r="S215" i="117"/>
  <c r="R215" i="117"/>
  <c r="Q215" i="117"/>
  <c r="P215" i="117"/>
  <c r="O215" i="117"/>
  <c r="N215" i="117"/>
  <c r="M215" i="117"/>
  <c r="K215" i="117"/>
  <c r="J215" i="117"/>
  <c r="I215" i="117"/>
  <c r="H215" i="117"/>
  <c r="E215" i="117"/>
  <c r="A215" i="117"/>
  <c r="S214" i="117"/>
  <c r="R214" i="117"/>
  <c r="Q214" i="117"/>
  <c r="P214" i="117"/>
  <c r="O214" i="117"/>
  <c r="N214" i="117"/>
  <c r="M214" i="117"/>
  <c r="K214" i="117"/>
  <c r="J214" i="117"/>
  <c r="I214" i="117"/>
  <c r="H214" i="117"/>
  <c r="E214" i="117"/>
  <c r="A214" i="117"/>
  <c r="S213" i="117"/>
  <c r="R213" i="117"/>
  <c r="Q213" i="117"/>
  <c r="P213" i="117"/>
  <c r="O213" i="117"/>
  <c r="N213" i="117"/>
  <c r="M213" i="117"/>
  <c r="K213" i="117"/>
  <c r="J213" i="117"/>
  <c r="I213" i="117"/>
  <c r="H213" i="117"/>
  <c r="E213" i="117"/>
  <c r="A213" i="117"/>
  <c r="S212" i="117"/>
  <c r="R212" i="117"/>
  <c r="Q212" i="117"/>
  <c r="P212" i="117"/>
  <c r="O212" i="117"/>
  <c r="N212" i="117"/>
  <c r="M212" i="117"/>
  <c r="K212" i="117"/>
  <c r="J212" i="117"/>
  <c r="I212" i="117"/>
  <c r="H212" i="117"/>
  <c r="E212" i="117"/>
  <c r="A212" i="117"/>
  <c r="S211" i="117"/>
  <c r="R211" i="117"/>
  <c r="Q211" i="117"/>
  <c r="P211" i="117"/>
  <c r="O211" i="117"/>
  <c r="N211" i="117"/>
  <c r="M211" i="117"/>
  <c r="K211" i="117"/>
  <c r="J211" i="117"/>
  <c r="I211" i="117"/>
  <c r="H211" i="117"/>
  <c r="E211" i="117"/>
  <c r="A211" i="117"/>
  <c r="S210" i="117"/>
  <c r="R210" i="117"/>
  <c r="Q210" i="117"/>
  <c r="P210" i="117"/>
  <c r="O210" i="117"/>
  <c r="N210" i="117"/>
  <c r="M210" i="117"/>
  <c r="K210" i="117"/>
  <c r="J210" i="117"/>
  <c r="I210" i="117"/>
  <c r="H210" i="117"/>
  <c r="E210" i="117"/>
  <c r="A210" i="117"/>
  <c r="S209" i="117"/>
  <c r="R209" i="117"/>
  <c r="Q209" i="117"/>
  <c r="P209" i="117"/>
  <c r="O209" i="117"/>
  <c r="N209" i="117"/>
  <c r="M209" i="117"/>
  <c r="K209" i="117"/>
  <c r="J209" i="117"/>
  <c r="I209" i="117"/>
  <c r="H209" i="117"/>
  <c r="E209" i="117"/>
  <c r="A209" i="117"/>
  <c r="S208" i="117"/>
  <c r="R208" i="117"/>
  <c r="Q208" i="117"/>
  <c r="P208" i="117"/>
  <c r="O208" i="117"/>
  <c r="N208" i="117"/>
  <c r="M208" i="117"/>
  <c r="K208" i="117"/>
  <c r="J208" i="117"/>
  <c r="I208" i="117"/>
  <c r="H208" i="117"/>
  <c r="E208" i="117"/>
  <c r="A208" i="117"/>
  <c r="S207" i="117"/>
  <c r="R207" i="117"/>
  <c r="Q207" i="117"/>
  <c r="P207" i="117"/>
  <c r="O207" i="117"/>
  <c r="N207" i="117"/>
  <c r="M207" i="117"/>
  <c r="K207" i="117"/>
  <c r="J207" i="117"/>
  <c r="I207" i="117"/>
  <c r="H207" i="117"/>
  <c r="E207" i="117"/>
  <c r="A207" i="117"/>
  <c r="S206" i="117"/>
  <c r="R206" i="117"/>
  <c r="Q206" i="117"/>
  <c r="P206" i="117"/>
  <c r="O206" i="117"/>
  <c r="N206" i="117"/>
  <c r="M206" i="117"/>
  <c r="K206" i="117"/>
  <c r="J206" i="117"/>
  <c r="I206" i="117"/>
  <c r="H206" i="117"/>
  <c r="E206" i="117"/>
  <c r="A206" i="117"/>
  <c r="S205" i="117"/>
  <c r="R205" i="117"/>
  <c r="Q205" i="117"/>
  <c r="P205" i="117"/>
  <c r="O205" i="117"/>
  <c r="N205" i="117"/>
  <c r="M205" i="117"/>
  <c r="K205" i="117"/>
  <c r="J205" i="117"/>
  <c r="I205" i="117"/>
  <c r="H205" i="117"/>
  <c r="E205" i="117"/>
  <c r="A205" i="117"/>
  <c r="S204" i="117"/>
  <c r="R204" i="117"/>
  <c r="Q204" i="117"/>
  <c r="P204" i="117"/>
  <c r="O204" i="117"/>
  <c r="N204" i="117"/>
  <c r="M204" i="117"/>
  <c r="K204" i="117"/>
  <c r="J204" i="117"/>
  <c r="I204" i="117"/>
  <c r="H204" i="117"/>
  <c r="E204" i="117"/>
  <c r="A204" i="117"/>
  <c r="S203" i="117"/>
  <c r="R203" i="117"/>
  <c r="Q203" i="117"/>
  <c r="P203" i="117"/>
  <c r="O203" i="117"/>
  <c r="N203" i="117"/>
  <c r="M203" i="117"/>
  <c r="K203" i="117"/>
  <c r="J203" i="117"/>
  <c r="I203" i="117"/>
  <c r="H203" i="117"/>
  <c r="E203" i="117"/>
  <c r="A203" i="117"/>
  <c r="S202" i="117"/>
  <c r="R202" i="117"/>
  <c r="Q202" i="117"/>
  <c r="P202" i="117"/>
  <c r="O202" i="117"/>
  <c r="N202" i="117"/>
  <c r="M202" i="117"/>
  <c r="K202" i="117"/>
  <c r="J202" i="117"/>
  <c r="I202" i="117"/>
  <c r="H202" i="117"/>
  <c r="E202" i="117"/>
  <c r="A202" i="117"/>
  <c r="S201" i="117"/>
  <c r="R201" i="117"/>
  <c r="Q201" i="117"/>
  <c r="P201" i="117"/>
  <c r="O201" i="117"/>
  <c r="N201" i="117"/>
  <c r="M201" i="117"/>
  <c r="K201" i="117"/>
  <c r="J201" i="117"/>
  <c r="I201" i="117"/>
  <c r="H201" i="117"/>
  <c r="E201" i="117"/>
  <c r="A201" i="117"/>
  <c r="S200" i="117"/>
  <c r="R200" i="117"/>
  <c r="Q200" i="117"/>
  <c r="P200" i="117"/>
  <c r="O200" i="117"/>
  <c r="N200" i="117"/>
  <c r="M200" i="117"/>
  <c r="K200" i="117"/>
  <c r="J200" i="117"/>
  <c r="I200" i="117"/>
  <c r="H200" i="117"/>
  <c r="E200" i="117"/>
  <c r="A200" i="117"/>
  <c r="S199" i="117"/>
  <c r="R199" i="117"/>
  <c r="Q199" i="117"/>
  <c r="P199" i="117"/>
  <c r="O199" i="117"/>
  <c r="N199" i="117"/>
  <c r="M199" i="117"/>
  <c r="K199" i="117"/>
  <c r="J199" i="117"/>
  <c r="I199" i="117"/>
  <c r="H199" i="117"/>
  <c r="E199" i="117"/>
  <c r="A199" i="117"/>
  <c r="S198" i="117"/>
  <c r="R198" i="117"/>
  <c r="Q198" i="117"/>
  <c r="P198" i="117"/>
  <c r="O198" i="117"/>
  <c r="N198" i="117"/>
  <c r="M198" i="117"/>
  <c r="K198" i="117"/>
  <c r="J198" i="117"/>
  <c r="I198" i="117"/>
  <c r="H198" i="117"/>
  <c r="E198" i="117"/>
  <c r="A198" i="117"/>
  <c r="S197" i="117"/>
  <c r="R197" i="117"/>
  <c r="Q197" i="117"/>
  <c r="P197" i="117"/>
  <c r="O197" i="117"/>
  <c r="N197" i="117"/>
  <c r="M197" i="117"/>
  <c r="K197" i="117"/>
  <c r="J197" i="117"/>
  <c r="I197" i="117"/>
  <c r="H197" i="117"/>
  <c r="E197" i="117"/>
  <c r="A197" i="117"/>
  <c r="S196" i="117"/>
  <c r="R196" i="117"/>
  <c r="Q196" i="117"/>
  <c r="P196" i="117"/>
  <c r="O196" i="117"/>
  <c r="N196" i="117"/>
  <c r="M196" i="117"/>
  <c r="K196" i="117"/>
  <c r="J196" i="117"/>
  <c r="I196" i="117"/>
  <c r="H196" i="117"/>
  <c r="E196" i="117"/>
  <c r="A196" i="117"/>
  <c r="S195" i="117"/>
  <c r="R195" i="117"/>
  <c r="Q195" i="117"/>
  <c r="P195" i="117"/>
  <c r="O195" i="117"/>
  <c r="N195" i="117"/>
  <c r="M195" i="117"/>
  <c r="K195" i="117"/>
  <c r="J195" i="117"/>
  <c r="I195" i="117"/>
  <c r="H195" i="117"/>
  <c r="E195" i="117"/>
  <c r="A195" i="117"/>
  <c r="S194" i="117"/>
  <c r="R194" i="117"/>
  <c r="Q194" i="117"/>
  <c r="P194" i="117"/>
  <c r="O194" i="117"/>
  <c r="N194" i="117"/>
  <c r="M194" i="117"/>
  <c r="K194" i="117"/>
  <c r="J194" i="117"/>
  <c r="I194" i="117"/>
  <c r="H194" i="117"/>
  <c r="E194" i="117"/>
  <c r="A194" i="117"/>
  <c r="S193" i="117"/>
  <c r="R193" i="117"/>
  <c r="Q193" i="117"/>
  <c r="P193" i="117"/>
  <c r="O193" i="117"/>
  <c r="N193" i="117"/>
  <c r="M193" i="117"/>
  <c r="K193" i="117"/>
  <c r="J193" i="117"/>
  <c r="I193" i="117"/>
  <c r="H193" i="117"/>
  <c r="E193" i="117"/>
  <c r="A193" i="117"/>
  <c r="S192" i="117"/>
  <c r="R192" i="117"/>
  <c r="Q192" i="117"/>
  <c r="P192" i="117"/>
  <c r="O192" i="117"/>
  <c r="N192" i="117"/>
  <c r="M192" i="117"/>
  <c r="K192" i="117"/>
  <c r="J192" i="117"/>
  <c r="I192" i="117"/>
  <c r="H192" i="117"/>
  <c r="E192" i="117"/>
  <c r="A192" i="117"/>
  <c r="S191" i="117"/>
  <c r="R191" i="117"/>
  <c r="Q191" i="117"/>
  <c r="P191" i="117"/>
  <c r="O191" i="117"/>
  <c r="N191" i="117"/>
  <c r="M191" i="117"/>
  <c r="K191" i="117"/>
  <c r="J191" i="117"/>
  <c r="I191" i="117"/>
  <c r="H191" i="117"/>
  <c r="E191" i="117"/>
  <c r="A191" i="117"/>
  <c r="S190" i="117"/>
  <c r="R190" i="117"/>
  <c r="Q190" i="117"/>
  <c r="P190" i="117"/>
  <c r="O190" i="117"/>
  <c r="N190" i="117"/>
  <c r="M190" i="117"/>
  <c r="K190" i="117"/>
  <c r="J190" i="117"/>
  <c r="I190" i="117"/>
  <c r="H190" i="117"/>
  <c r="E190" i="117"/>
  <c r="A190" i="117"/>
  <c r="S189" i="117"/>
  <c r="R189" i="117"/>
  <c r="Q189" i="117"/>
  <c r="P189" i="117"/>
  <c r="O189" i="117"/>
  <c r="N189" i="117"/>
  <c r="M189" i="117"/>
  <c r="K189" i="117"/>
  <c r="J189" i="117"/>
  <c r="I189" i="117"/>
  <c r="H189" i="117"/>
  <c r="E189" i="117"/>
  <c r="A189" i="117"/>
  <c r="S188" i="117"/>
  <c r="R188" i="117"/>
  <c r="Q188" i="117"/>
  <c r="P188" i="117"/>
  <c r="O188" i="117"/>
  <c r="N188" i="117"/>
  <c r="M188" i="117"/>
  <c r="K188" i="117"/>
  <c r="J188" i="117"/>
  <c r="I188" i="117"/>
  <c r="H188" i="117"/>
  <c r="E188" i="117"/>
  <c r="A188" i="117"/>
  <c r="S187" i="117"/>
  <c r="R187" i="117"/>
  <c r="Q187" i="117"/>
  <c r="P187" i="117"/>
  <c r="O187" i="117"/>
  <c r="N187" i="117"/>
  <c r="M187" i="117"/>
  <c r="K187" i="117"/>
  <c r="J187" i="117"/>
  <c r="I187" i="117"/>
  <c r="H187" i="117"/>
  <c r="E187" i="117"/>
  <c r="A187" i="117"/>
  <c r="S186" i="117"/>
  <c r="R186" i="117"/>
  <c r="Q186" i="117"/>
  <c r="P186" i="117"/>
  <c r="O186" i="117"/>
  <c r="N186" i="117"/>
  <c r="M186" i="117"/>
  <c r="K186" i="117"/>
  <c r="J186" i="117"/>
  <c r="I186" i="117"/>
  <c r="H186" i="117"/>
  <c r="E186" i="117"/>
  <c r="A186" i="117"/>
  <c r="S185" i="117"/>
  <c r="R185" i="117"/>
  <c r="Q185" i="117"/>
  <c r="P185" i="117"/>
  <c r="O185" i="117"/>
  <c r="N185" i="117"/>
  <c r="M185" i="117"/>
  <c r="K185" i="117"/>
  <c r="J185" i="117"/>
  <c r="I185" i="117"/>
  <c r="H185" i="117"/>
  <c r="E185" i="117"/>
  <c r="A185" i="117"/>
  <c r="S184" i="117"/>
  <c r="R184" i="117"/>
  <c r="Q184" i="117"/>
  <c r="P184" i="117"/>
  <c r="O184" i="117"/>
  <c r="N184" i="117"/>
  <c r="M184" i="117"/>
  <c r="K184" i="117"/>
  <c r="J184" i="117"/>
  <c r="I184" i="117"/>
  <c r="H184" i="117"/>
  <c r="E184" i="117"/>
  <c r="A184" i="117"/>
  <c r="S183" i="117"/>
  <c r="R183" i="117"/>
  <c r="Q183" i="117"/>
  <c r="P183" i="117"/>
  <c r="O183" i="117"/>
  <c r="N183" i="117"/>
  <c r="M183" i="117"/>
  <c r="K183" i="117"/>
  <c r="J183" i="117"/>
  <c r="I183" i="117"/>
  <c r="H183" i="117"/>
  <c r="E183" i="117"/>
  <c r="A183" i="117"/>
  <c r="S182" i="117"/>
  <c r="R182" i="117"/>
  <c r="Q182" i="117"/>
  <c r="P182" i="117"/>
  <c r="O182" i="117"/>
  <c r="N182" i="117"/>
  <c r="M182" i="117"/>
  <c r="K182" i="117"/>
  <c r="J182" i="117"/>
  <c r="I182" i="117"/>
  <c r="H182" i="117"/>
  <c r="E182" i="117"/>
  <c r="A182" i="117"/>
  <c r="S181" i="117"/>
  <c r="R181" i="117"/>
  <c r="Q181" i="117"/>
  <c r="P181" i="117"/>
  <c r="O181" i="117"/>
  <c r="N181" i="117"/>
  <c r="M181" i="117"/>
  <c r="K181" i="117"/>
  <c r="J181" i="117"/>
  <c r="I181" i="117"/>
  <c r="H181" i="117"/>
  <c r="E181" i="117"/>
  <c r="A181" i="117"/>
  <c r="S180" i="117"/>
  <c r="R180" i="117"/>
  <c r="Q180" i="117"/>
  <c r="P180" i="117"/>
  <c r="O180" i="117"/>
  <c r="N180" i="117"/>
  <c r="M180" i="117"/>
  <c r="K180" i="117"/>
  <c r="J180" i="117"/>
  <c r="I180" i="117"/>
  <c r="H180" i="117"/>
  <c r="E180" i="117"/>
  <c r="A180" i="117"/>
  <c r="S179" i="117"/>
  <c r="R179" i="117"/>
  <c r="Q179" i="117"/>
  <c r="P179" i="117"/>
  <c r="O179" i="117"/>
  <c r="N179" i="117"/>
  <c r="M179" i="117"/>
  <c r="K179" i="117"/>
  <c r="J179" i="117"/>
  <c r="I179" i="117"/>
  <c r="H179" i="117"/>
  <c r="E179" i="117"/>
  <c r="A179" i="117"/>
  <c r="S178" i="117"/>
  <c r="R178" i="117"/>
  <c r="Q178" i="117"/>
  <c r="P178" i="117"/>
  <c r="O178" i="117"/>
  <c r="N178" i="117"/>
  <c r="M178" i="117"/>
  <c r="K178" i="117"/>
  <c r="J178" i="117"/>
  <c r="I178" i="117"/>
  <c r="H178" i="117"/>
  <c r="E178" i="117"/>
  <c r="A178" i="117"/>
  <c r="S177" i="117"/>
  <c r="R177" i="117"/>
  <c r="Q177" i="117"/>
  <c r="P177" i="117"/>
  <c r="O177" i="117"/>
  <c r="N177" i="117"/>
  <c r="M177" i="117"/>
  <c r="K177" i="117"/>
  <c r="J177" i="117"/>
  <c r="I177" i="117"/>
  <c r="H177" i="117"/>
  <c r="E177" i="117"/>
  <c r="A177" i="117"/>
  <c r="S176" i="117"/>
  <c r="R176" i="117"/>
  <c r="Q176" i="117"/>
  <c r="P176" i="117"/>
  <c r="O176" i="117"/>
  <c r="N176" i="117"/>
  <c r="M176" i="117"/>
  <c r="K176" i="117"/>
  <c r="J176" i="117"/>
  <c r="I176" i="117"/>
  <c r="H176" i="117"/>
  <c r="E176" i="117"/>
  <c r="A176" i="117"/>
  <c r="S175" i="117"/>
  <c r="R175" i="117"/>
  <c r="Q175" i="117"/>
  <c r="P175" i="117"/>
  <c r="O175" i="117"/>
  <c r="N175" i="117"/>
  <c r="M175" i="117"/>
  <c r="K175" i="117"/>
  <c r="J175" i="117"/>
  <c r="I175" i="117"/>
  <c r="H175" i="117"/>
  <c r="E175" i="117"/>
  <c r="A175" i="117"/>
  <c r="S174" i="117"/>
  <c r="R174" i="117"/>
  <c r="Q174" i="117"/>
  <c r="P174" i="117"/>
  <c r="O174" i="117"/>
  <c r="N174" i="117"/>
  <c r="M174" i="117"/>
  <c r="K174" i="117"/>
  <c r="J174" i="117"/>
  <c r="I174" i="117"/>
  <c r="H174" i="117"/>
  <c r="E174" i="117"/>
  <c r="A174" i="117"/>
  <c r="S173" i="117"/>
  <c r="R173" i="117"/>
  <c r="Q173" i="117"/>
  <c r="P173" i="117"/>
  <c r="O173" i="117"/>
  <c r="N173" i="117"/>
  <c r="M173" i="117"/>
  <c r="K173" i="117"/>
  <c r="J173" i="117"/>
  <c r="I173" i="117"/>
  <c r="H173" i="117"/>
  <c r="E173" i="117"/>
  <c r="A173" i="117"/>
  <c r="S172" i="117"/>
  <c r="R172" i="117"/>
  <c r="Q172" i="117"/>
  <c r="P172" i="117"/>
  <c r="O172" i="117"/>
  <c r="N172" i="117"/>
  <c r="M172" i="117"/>
  <c r="K172" i="117"/>
  <c r="J172" i="117"/>
  <c r="I172" i="117"/>
  <c r="H172" i="117"/>
  <c r="E172" i="117"/>
  <c r="A172" i="117"/>
  <c r="S171" i="117"/>
  <c r="R171" i="117"/>
  <c r="Q171" i="117"/>
  <c r="P171" i="117"/>
  <c r="O171" i="117"/>
  <c r="N171" i="117"/>
  <c r="M171" i="117"/>
  <c r="K171" i="117"/>
  <c r="J171" i="117"/>
  <c r="I171" i="117"/>
  <c r="H171" i="117"/>
  <c r="E171" i="117"/>
  <c r="A171" i="117"/>
  <c r="S170" i="117"/>
  <c r="R170" i="117"/>
  <c r="Q170" i="117"/>
  <c r="P170" i="117"/>
  <c r="O170" i="117"/>
  <c r="N170" i="117"/>
  <c r="M170" i="117"/>
  <c r="K170" i="117"/>
  <c r="J170" i="117"/>
  <c r="I170" i="117"/>
  <c r="H170" i="117"/>
  <c r="E170" i="117"/>
  <c r="A170" i="117"/>
  <c r="S169" i="117"/>
  <c r="R169" i="117"/>
  <c r="Q169" i="117"/>
  <c r="P169" i="117"/>
  <c r="O169" i="117"/>
  <c r="N169" i="117"/>
  <c r="M169" i="117"/>
  <c r="K169" i="117"/>
  <c r="J169" i="117"/>
  <c r="I169" i="117"/>
  <c r="H169" i="117"/>
  <c r="E169" i="117"/>
  <c r="A169" i="117"/>
  <c r="S168" i="117"/>
  <c r="R168" i="117"/>
  <c r="Q168" i="117"/>
  <c r="P168" i="117"/>
  <c r="O168" i="117"/>
  <c r="N168" i="117"/>
  <c r="M168" i="117"/>
  <c r="K168" i="117"/>
  <c r="J168" i="117"/>
  <c r="I168" i="117"/>
  <c r="H168" i="117"/>
  <c r="E168" i="117"/>
  <c r="A168" i="117"/>
  <c r="S167" i="117"/>
  <c r="R167" i="117"/>
  <c r="Q167" i="117"/>
  <c r="P167" i="117"/>
  <c r="O167" i="117"/>
  <c r="N167" i="117"/>
  <c r="M167" i="117"/>
  <c r="K167" i="117"/>
  <c r="J167" i="117"/>
  <c r="I167" i="117"/>
  <c r="H167" i="117"/>
  <c r="E167" i="117"/>
  <c r="A167" i="117"/>
  <c r="S166" i="117"/>
  <c r="R166" i="117"/>
  <c r="Q166" i="117"/>
  <c r="P166" i="117"/>
  <c r="O166" i="117"/>
  <c r="N166" i="117"/>
  <c r="M166" i="117"/>
  <c r="K166" i="117"/>
  <c r="J166" i="117"/>
  <c r="I166" i="117"/>
  <c r="H166" i="117"/>
  <c r="E166" i="117"/>
  <c r="A166" i="117"/>
  <c r="S165" i="117"/>
  <c r="R165" i="117"/>
  <c r="Q165" i="117"/>
  <c r="P165" i="117"/>
  <c r="O165" i="117"/>
  <c r="N165" i="117"/>
  <c r="M165" i="117"/>
  <c r="K165" i="117"/>
  <c r="J165" i="117"/>
  <c r="I165" i="117"/>
  <c r="H165" i="117"/>
  <c r="E165" i="117"/>
  <c r="A165" i="117"/>
  <c r="S164" i="117"/>
  <c r="R164" i="117"/>
  <c r="Q164" i="117"/>
  <c r="P164" i="117"/>
  <c r="O164" i="117"/>
  <c r="N164" i="117"/>
  <c r="M164" i="117"/>
  <c r="K164" i="117"/>
  <c r="J164" i="117"/>
  <c r="I164" i="117"/>
  <c r="H164" i="117"/>
  <c r="E164" i="117"/>
  <c r="A164" i="117"/>
  <c r="S163" i="117"/>
  <c r="R163" i="117"/>
  <c r="Q163" i="117"/>
  <c r="P163" i="117"/>
  <c r="O163" i="117"/>
  <c r="N163" i="117"/>
  <c r="M163" i="117"/>
  <c r="K163" i="117"/>
  <c r="J163" i="117"/>
  <c r="I163" i="117"/>
  <c r="H163" i="117"/>
  <c r="E163" i="117"/>
  <c r="A163" i="117"/>
  <c r="S162" i="117"/>
  <c r="R162" i="117"/>
  <c r="Q162" i="117"/>
  <c r="P162" i="117"/>
  <c r="O162" i="117"/>
  <c r="N162" i="117"/>
  <c r="M162" i="117"/>
  <c r="K162" i="117"/>
  <c r="J162" i="117"/>
  <c r="I162" i="117"/>
  <c r="H162" i="117"/>
  <c r="E162" i="117"/>
  <c r="A162" i="117"/>
  <c r="S161" i="117"/>
  <c r="R161" i="117"/>
  <c r="Q161" i="117"/>
  <c r="P161" i="117"/>
  <c r="O161" i="117"/>
  <c r="N161" i="117"/>
  <c r="M161" i="117"/>
  <c r="K161" i="117"/>
  <c r="J161" i="117"/>
  <c r="I161" i="117"/>
  <c r="H161" i="117"/>
  <c r="E161" i="117"/>
  <c r="A161" i="117"/>
  <c r="S160" i="117"/>
  <c r="R160" i="117"/>
  <c r="Q160" i="117"/>
  <c r="P160" i="117"/>
  <c r="O160" i="117"/>
  <c r="N160" i="117"/>
  <c r="M160" i="117"/>
  <c r="K160" i="117"/>
  <c r="J160" i="117"/>
  <c r="I160" i="117"/>
  <c r="H160" i="117"/>
  <c r="E160" i="117"/>
  <c r="A160" i="117"/>
  <c r="S159" i="117"/>
  <c r="R159" i="117"/>
  <c r="Q159" i="117"/>
  <c r="P159" i="117"/>
  <c r="O159" i="117"/>
  <c r="N159" i="117"/>
  <c r="M159" i="117"/>
  <c r="K159" i="117"/>
  <c r="J159" i="117"/>
  <c r="I159" i="117"/>
  <c r="H159" i="117"/>
  <c r="E159" i="117"/>
  <c r="A159" i="117"/>
  <c r="S158" i="117"/>
  <c r="R158" i="117"/>
  <c r="Q158" i="117"/>
  <c r="P158" i="117"/>
  <c r="O158" i="117"/>
  <c r="N158" i="117"/>
  <c r="M158" i="117"/>
  <c r="K158" i="117"/>
  <c r="J158" i="117"/>
  <c r="I158" i="117"/>
  <c r="H158" i="117"/>
  <c r="E158" i="117"/>
  <c r="A158" i="117"/>
  <c r="S157" i="117"/>
  <c r="R157" i="117"/>
  <c r="Q157" i="117"/>
  <c r="P157" i="117"/>
  <c r="O157" i="117"/>
  <c r="N157" i="117"/>
  <c r="M157" i="117"/>
  <c r="K157" i="117"/>
  <c r="J157" i="117"/>
  <c r="I157" i="117"/>
  <c r="H157" i="117"/>
  <c r="E157" i="117"/>
  <c r="A157" i="117"/>
  <c r="S156" i="117"/>
  <c r="R156" i="117"/>
  <c r="Q156" i="117"/>
  <c r="P156" i="117"/>
  <c r="O156" i="117"/>
  <c r="N156" i="117"/>
  <c r="M156" i="117"/>
  <c r="K156" i="117"/>
  <c r="J156" i="117"/>
  <c r="I156" i="117"/>
  <c r="H156" i="117"/>
  <c r="E156" i="117"/>
  <c r="A156" i="117"/>
  <c r="S155" i="117"/>
  <c r="R155" i="117"/>
  <c r="Q155" i="117"/>
  <c r="P155" i="117"/>
  <c r="O155" i="117"/>
  <c r="N155" i="117"/>
  <c r="M155" i="117"/>
  <c r="K155" i="117"/>
  <c r="J155" i="117"/>
  <c r="I155" i="117"/>
  <c r="H155" i="117"/>
  <c r="E155" i="117"/>
  <c r="A155" i="117"/>
  <c r="S154" i="117"/>
  <c r="R154" i="117"/>
  <c r="Q154" i="117"/>
  <c r="P154" i="117"/>
  <c r="O154" i="117"/>
  <c r="N154" i="117"/>
  <c r="M154" i="117"/>
  <c r="K154" i="117"/>
  <c r="J154" i="117"/>
  <c r="I154" i="117"/>
  <c r="H154" i="117"/>
  <c r="E154" i="117"/>
  <c r="A154" i="117"/>
  <c r="S153" i="117"/>
  <c r="R153" i="117"/>
  <c r="Q153" i="117"/>
  <c r="P153" i="117"/>
  <c r="O153" i="117"/>
  <c r="N153" i="117"/>
  <c r="M153" i="117"/>
  <c r="K153" i="117"/>
  <c r="J153" i="117"/>
  <c r="I153" i="117"/>
  <c r="H153" i="117"/>
  <c r="E153" i="117"/>
  <c r="A153" i="117"/>
  <c r="S152" i="117"/>
  <c r="R152" i="117"/>
  <c r="Q152" i="117"/>
  <c r="P152" i="117"/>
  <c r="O152" i="117"/>
  <c r="N152" i="117"/>
  <c r="M152" i="117"/>
  <c r="K152" i="117"/>
  <c r="J152" i="117"/>
  <c r="I152" i="117"/>
  <c r="H152" i="117"/>
  <c r="E152" i="117"/>
  <c r="A152" i="117"/>
  <c r="S151" i="117"/>
  <c r="R151" i="117"/>
  <c r="Q151" i="117"/>
  <c r="P151" i="117"/>
  <c r="O151" i="117"/>
  <c r="N151" i="117"/>
  <c r="M151" i="117"/>
  <c r="K151" i="117"/>
  <c r="J151" i="117"/>
  <c r="I151" i="117"/>
  <c r="H151" i="117"/>
  <c r="E151" i="117"/>
  <c r="A151" i="117"/>
  <c r="S150" i="117"/>
  <c r="R150" i="117"/>
  <c r="Q150" i="117"/>
  <c r="P150" i="117"/>
  <c r="O150" i="117"/>
  <c r="N150" i="117"/>
  <c r="M150" i="117"/>
  <c r="K150" i="117"/>
  <c r="J150" i="117"/>
  <c r="I150" i="117"/>
  <c r="H150" i="117"/>
  <c r="E150" i="117"/>
  <c r="A150" i="117"/>
  <c r="S149" i="117"/>
  <c r="R149" i="117"/>
  <c r="Q149" i="117"/>
  <c r="P149" i="117"/>
  <c r="O149" i="117"/>
  <c r="N149" i="117"/>
  <c r="M149" i="117"/>
  <c r="K149" i="117"/>
  <c r="J149" i="117"/>
  <c r="I149" i="117"/>
  <c r="H149" i="117"/>
  <c r="E149" i="117"/>
  <c r="A149" i="117"/>
  <c r="S148" i="117"/>
  <c r="R148" i="117"/>
  <c r="Q148" i="117"/>
  <c r="P148" i="117"/>
  <c r="O148" i="117"/>
  <c r="N148" i="117"/>
  <c r="M148" i="117"/>
  <c r="K148" i="117"/>
  <c r="J148" i="117"/>
  <c r="I148" i="117"/>
  <c r="H148" i="117"/>
  <c r="E148" i="117"/>
  <c r="A148" i="117"/>
  <c r="S147" i="117"/>
  <c r="R147" i="117"/>
  <c r="Q147" i="117"/>
  <c r="P147" i="117"/>
  <c r="O147" i="117"/>
  <c r="N147" i="117"/>
  <c r="M147" i="117"/>
  <c r="K147" i="117"/>
  <c r="J147" i="117"/>
  <c r="I147" i="117"/>
  <c r="H147" i="117"/>
  <c r="E147" i="117"/>
  <c r="A147" i="117"/>
  <c r="S146" i="117"/>
  <c r="R146" i="117"/>
  <c r="Q146" i="117"/>
  <c r="P146" i="117"/>
  <c r="O146" i="117"/>
  <c r="N146" i="117"/>
  <c r="M146" i="117"/>
  <c r="K146" i="117"/>
  <c r="J146" i="117"/>
  <c r="I146" i="117"/>
  <c r="H146" i="117"/>
  <c r="E146" i="117"/>
  <c r="A146" i="117"/>
  <c r="S145" i="117"/>
  <c r="R145" i="117"/>
  <c r="Q145" i="117"/>
  <c r="P145" i="117"/>
  <c r="O145" i="117"/>
  <c r="N145" i="117"/>
  <c r="M145" i="117"/>
  <c r="K145" i="117"/>
  <c r="J145" i="117"/>
  <c r="I145" i="117"/>
  <c r="H145" i="117"/>
  <c r="E145" i="117"/>
  <c r="A145" i="117"/>
  <c r="S144" i="117"/>
  <c r="R144" i="117"/>
  <c r="Q144" i="117"/>
  <c r="P144" i="117"/>
  <c r="O144" i="117"/>
  <c r="N144" i="117"/>
  <c r="M144" i="117"/>
  <c r="K144" i="117"/>
  <c r="J144" i="117"/>
  <c r="I144" i="117"/>
  <c r="H144" i="117"/>
  <c r="E144" i="117"/>
  <c r="A144" i="117"/>
  <c r="S143" i="117"/>
  <c r="R143" i="117"/>
  <c r="Q143" i="117"/>
  <c r="P143" i="117"/>
  <c r="O143" i="117"/>
  <c r="N143" i="117"/>
  <c r="M143" i="117"/>
  <c r="K143" i="117"/>
  <c r="J143" i="117"/>
  <c r="I143" i="117"/>
  <c r="H143" i="117"/>
  <c r="E143" i="117"/>
  <c r="A143" i="117"/>
  <c r="S142" i="117"/>
  <c r="R142" i="117"/>
  <c r="Q142" i="117"/>
  <c r="P142" i="117"/>
  <c r="O142" i="117"/>
  <c r="N142" i="117"/>
  <c r="M142" i="117"/>
  <c r="K142" i="117"/>
  <c r="J142" i="117"/>
  <c r="I142" i="117"/>
  <c r="H142" i="117"/>
  <c r="E142" i="117"/>
  <c r="A142" i="117"/>
  <c r="S141" i="117"/>
  <c r="R141" i="117"/>
  <c r="Q141" i="117"/>
  <c r="P141" i="117"/>
  <c r="O141" i="117"/>
  <c r="N141" i="117"/>
  <c r="M141" i="117"/>
  <c r="K141" i="117"/>
  <c r="J141" i="117"/>
  <c r="I141" i="117"/>
  <c r="H141" i="117"/>
  <c r="E141" i="117"/>
  <c r="A141" i="117"/>
  <c r="S140" i="117"/>
  <c r="R140" i="117"/>
  <c r="Q140" i="117"/>
  <c r="P140" i="117"/>
  <c r="O140" i="117"/>
  <c r="N140" i="117"/>
  <c r="M140" i="117"/>
  <c r="K140" i="117"/>
  <c r="J140" i="117"/>
  <c r="I140" i="117"/>
  <c r="H140" i="117"/>
  <c r="E140" i="117"/>
  <c r="A140" i="117"/>
  <c r="S139" i="117"/>
  <c r="R139" i="117"/>
  <c r="Q139" i="117"/>
  <c r="P139" i="117"/>
  <c r="O139" i="117"/>
  <c r="N139" i="117"/>
  <c r="M139" i="117"/>
  <c r="K139" i="117"/>
  <c r="J139" i="117"/>
  <c r="I139" i="117"/>
  <c r="H139" i="117"/>
  <c r="E139" i="117"/>
  <c r="A139" i="117"/>
  <c r="S138" i="117"/>
  <c r="R138" i="117"/>
  <c r="Q138" i="117"/>
  <c r="P138" i="117"/>
  <c r="O138" i="117"/>
  <c r="N138" i="117"/>
  <c r="M138" i="117"/>
  <c r="K138" i="117"/>
  <c r="J138" i="117"/>
  <c r="I138" i="117"/>
  <c r="H138" i="117"/>
  <c r="E138" i="117"/>
  <c r="A138" i="117"/>
  <c r="S137" i="117"/>
  <c r="R137" i="117"/>
  <c r="Q137" i="117"/>
  <c r="P137" i="117"/>
  <c r="O137" i="117"/>
  <c r="N137" i="117"/>
  <c r="M137" i="117"/>
  <c r="K137" i="117"/>
  <c r="J137" i="117"/>
  <c r="I137" i="117"/>
  <c r="H137" i="117"/>
  <c r="E137" i="117"/>
  <c r="A137" i="117"/>
  <c r="S136" i="117"/>
  <c r="R136" i="117"/>
  <c r="Q136" i="117"/>
  <c r="P136" i="117"/>
  <c r="O136" i="117"/>
  <c r="N136" i="117"/>
  <c r="M136" i="117"/>
  <c r="K136" i="117"/>
  <c r="J136" i="117"/>
  <c r="I136" i="117"/>
  <c r="H136" i="117"/>
  <c r="E136" i="117"/>
  <c r="A136" i="117"/>
  <c r="S135" i="117"/>
  <c r="R135" i="117"/>
  <c r="Q135" i="117"/>
  <c r="P135" i="117"/>
  <c r="O135" i="117"/>
  <c r="N135" i="117"/>
  <c r="M135" i="117"/>
  <c r="K135" i="117"/>
  <c r="J135" i="117"/>
  <c r="I135" i="117"/>
  <c r="H135" i="117"/>
  <c r="E135" i="117"/>
  <c r="A135" i="117"/>
  <c r="S134" i="117"/>
  <c r="R134" i="117"/>
  <c r="Q134" i="117"/>
  <c r="P134" i="117"/>
  <c r="O134" i="117"/>
  <c r="N134" i="117"/>
  <c r="M134" i="117"/>
  <c r="K134" i="117"/>
  <c r="J134" i="117"/>
  <c r="I134" i="117"/>
  <c r="H134" i="117"/>
  <c r="E134" i="117"/>
  <c r="A134" i="117"/>
  <c r="S133" i="117"/>
  <c r="R133" i="117"/>
  <c r="Q133" i="117"/>
  <c r="P133" i="117"/>
  <c r="O133" i="117"/>
  <c r="N133" i="117"/>
  <c r="M133" i="117"/>
  <c r="K133" i="117"/>
  <c r="J133" i="117"/>
  <c r="I133" i="117"/>
  <c r="H133" i="117"/>
  <c r="E133" i="117"/>
  <c r="A133" i="117"/>
  <c r="S132" i="117"/>
  <c r="R132" i="117"/>
  <c r="Q132" i="117"/>
  <c r="P132" i="117"/>
  <c r="O132" i="117"/>
  <c r="N132" i="117"/>
  <c r="M132" i="117"/>
  <c r="K132" i="117"/>
  <c r="J132" i="117"/>
  <c r="I132" i="117"/>
  <c r="H132" i="117"/>
  <c r="E132" i="117"/>
  <c r="A132" i="117"/>
  <c r="S131" i="117"/>
  <c r="R131" i="117"/>
  <c r="Q131" i="117"/>
  <c r="P131" i="117"/>
  <c r="O131" i="117"/>
  <c r="N131" i="117"/>
  <c r="M131" i="117"/>
  <c r="K131" i="117"/>
  <c r="J131" i="117"/>
  <c r="I131" i="117"/>
  <c r="H131" i="117"/>
  <c r="E131" i="117"/>
  <c r="A131" i="117"/>
  <c r="S130" i="117"/>
  <c r="R130" i="117"/>
  <c r="Q130" i="117"/>
  <c r="P130" i="117"/>
  <c r="O130" i="117"/>
  <c r="N130" i="117"/>
  <c r="M130" i="117"/>
  <c r="K130" i="117"/>
  <c r="J130" i="117"/>
  <c r="I130" i="117"/>
  <c r="H130" i="117"/>
  <c r="E130" i="117"/>
  <c r="A130" i="117"/>
  <c r="S129" i="117"/>
  <c r="R129" i="117"/>
  <c r="Q129" i="117"/>
  <c r="P129" i="117"/>
  <c r="O129" i="117"/>
  <c r="N129" i="117"/>
  <c r="M129" i="117"/>
  <c r="K129" i="117"/>
  <c r="J129" i="117"/>
  <c r="I129" i="117"/>
  <c r="H129" i="117"/>
  <c r="E129" i="117"/>
  <c r="A129" i="117"/>
  <c r="S128" i="117"/>
  <c r="R128" i="117"/>
  <c r="Q128" i="117"/>
  <c r="P128" i="117"/>
  <c r="O128" i="117"/>
  <c r="N128" i="117"/>
  <c r="M128" i="117"/>
  <c r="K128" i="117"/>
  <c r="J128" i="117"/>
  <c r="I128" i="117"/>
  <c r="H128" i="117"/>
  <c r="E128" i="117"/>
  <c r="A128" i="117"/>
  <c r="S127" i="117"/>
  <c r="R127" i="117"/>
  <c r="Q127" i="117"/>
  <c r="P127" i="117"/>
  <c r="O127" i="117"/>
  <c r="N127" i="117"/>
  <c r="M127" i="117"/>
  <c r="K127" i="117"/>
  <c r="J127" i="117"/>
  <c r="I127" i="117"/>
  <c r="H127" i="117"/>
  <c r="E127" i="117"/>
  <c r="A127" i="117"/>
  <c r="S126" i="117"/>
  <c r="R126" i="117"/>
  <c r="Q126" i="117"/>
  <c r="P126" i="117"/>
  <c r="O126" i="117"/>
  <c r="N126" i="117"/>
  <c r="M126" i="117"/>
  <c r="K126" i="117"/>
  <c r="J126" i="117"/>
  <c r="I126" i="117"/>
  <c r="H126" i="117"/>
  <c r="E126" i="117"/>
  <c r="A126" i="117"/>
  <c r="S125" i="117"/>
  <c r="R125" i="117"/>
  <c r="Q125" i="117"/>
  <c r="P125" i="117"/>
  <c r="O125" i="117"/>
  <c r="N125" i="117"/>
  <c r="M125" i="117"/>
  <c r="K125" i="117"/>
  <c r="J125" i="117"/>
  <c r="I125" i="117"/>
  <c r="H125" i="117"/>
  <c r="E125" i="117"/>
  <c r="A125" i="117"/>
  <c r="S124" i="117"/>
  <c r="R124" i="117"/>
  <c r="Q124" i="117"/>
  <c r="P124" i="117"/>
  <c r="O124" i="117"/>
  <c r="N124" i="117"/>
  <c r="M124" i="117"/>
  <c r="K124" i="117"/>
  <c r="J124" i="117"/>
  <c r="I124" i="117"/>
  <c r="H124" i="117"/>
  <c r="E124" i="117"/>
  <c r="A124" i="117"/>
  <c r="S123" i="117"/>
  <c r="R123" i="117"/>
  <c r="Q123" i="117"/>
  <c r="P123" i="117"/>
  <c r="O123" i="117"/>
  <c r="N123" i="117"/>
  <c r="M123" i="117"/>
  <c r="K123" i="117"/>
  <c r="J123" i="117"/>
  <c r="I123" i="117"/>
  <c r="H123" i="117"/>
  <c r="E123" i="117"/>
  <c r="A123" i="117"/>
  <c r="S122" i="117"/>
  <c r="R122" i="117"/>
  <c r="Q122" i="117"/>
  <c r="P122" i="117"/>
  <c r="O122" i="117"/>
  <c r="N122" i="117"/>
  <c r="M122" i="117"/>
  <c r="K122" i="117"/>
  <c r="J122" i="117"/>
  <c r="I122" i="117"/>
  <c r="H122" i="117"/>
  <c r="E122" i="117"/>
  <c r="A122" i="117"/>
  <c r="S121" i="117"/>
  <c r="R121" i="117"/>
  <c r="Q121" i="117"/>
  <c r="P121" i="117"/>
  <c r="O121" i="117"/>
  <c r="N121" i="117"/>
  <c r="M121" i="117"/>
  <c r="K121" i="117"/>
  <c r="J121" i="117"/>
  <c r="I121" i="117"/>
  <c r="H121" i="117"/>
  <c r="E121" i="117"/>
  <c r="A121" i="117"/>
  <c r="S120" i="117"/>
  <c r="R120" i="117"/>
  <c r="Q120" i="117"/>
  <c r="P120" i="117"/>
  <c r="O120" i="117"/>
  <c r="N120" i="117"/>
  <c r="M120" i="117"/>
  <c r="K120" i="117"/>
  <c r="J120" i="117"/>
  <c r="I120" i="117"/>
  <c r="H120" i="117"/>
  <c r="E120" i="117"/>
  <c r="A120" i="117"/>
  <c r="S119" i="117"/>
  <c r="R119" i="117"/>
  <c r="Q119" i="117"/>
  <c r="P119" i="117"/>
  <c r="O119" i="117"/>
  <c r="N119" i="117"/>
  <c r="M119" i="117"/>
  <c r="K119" i="117"/>
  <c r="J119" i="117"/>
  <c r="I119" i="117"/>
  <c r="H119" i="117"/>
  <c r="E119" i="117"/>
  <c r="A119" i="117"/>
  <c r="S118" i="117"/>
  <c r="R118" i="117"/>
  <c r="Q118" i="117"/>
  <c r="P118" i="117"/>
  <c r="O118" i="117"/>
  <c r="N118" i="117"/>
  <c r="M118" i="117"/>
  <c r="K118" i="117"/>
  <c r="J118" i="117"/>
  <c r="I118" i="117"/>
  <c r="H118" i="117"/>
  <c r="E118" i="117"/>
  <c r="A118" i="117"/>
  <c r="S117" i="117"/>
  <c r="R117" i="117"/>
  <c r="Q117" i="117"/>
  <c r="P117" i="117"/>
  <c r="O117" i="117"/>
  <c r="N117" i="117"/>
  <c r="M117" i="117"/>
  <c r="K117" i="117"/>
  <c r="J117" i="117"/>
  <c r="I117" i="117"/>
  <c r="H117" i="117"/>
  <c r="E117" i="117"/>
  <c r="A117" i="117"/>
  <c r="S116" i="117"/>
  <c r="R116" i="117"/>
  <c r="Q116" i="117"/>
  <c r="P116" i="117"/>
  <c r="O116" i="117"/>
  <c r="N116" i="117"/>
  <c r="M116" i="117"/>
  <c r="K116" i="117"/>
  <c r="J116" i="117"/>
  <c r="I116" i="117"/>
  <c r="H116" i="117"/>
  <c r="E116" i="117"/>
  <c r="A116" i="117"/>
  <c r="S115" i="117"/>
  <c r="R115" i="117"/>
  <c r="Q115" i="117"/>
  <c r="P115" i="117"/>
  <c r="O115" i="117"/>
  <c r="N115" i="117"/>
  <c r="M115" i="117"/>
  <c r="K115" i="117"/>
  <c r="J115" i="117"/>
  <c r="I115" i="117"/>
  <c r="H115" i="117"/>
  <c r="E115" i="117"/>
  <c r="A115" i="117"/>
  <c r="S114" i="117"/>
  <c r="R114" i="117"/>
  <c r="Q114" i="117"/>
  <c r="P114" i="117"/>
  <c r="O114" i="117"/>
  <c r="N114" i="117"/>
  <c r="M114" i="117"/>
  <c r="K114" i="117"/>
  <c r="J114" i="117"/>
  <c r="I114" i="117"/>
  <c r="H114" i="117"/>
  <c r="E114" i="117"/>
  <c r="A114" i="117"/>
  <c r="S113" i="117"/>
  <c r="R113" i="117"/>
  <c r="Q113" i="117"/>
  <c r="P113" i="117"/>
  <c r="O113" i="117"/>
  <c r="N113" i="117"/>
  <c r="M113" i="117"/>
  <c r="K113" i="117"/>
  <c r="J113" i="117"/>
  <c r="I113" i="117"/>
  <c r="H113" i="117"/>
  <c r="E113" i="117"/>
  <c r="A113" i="117"/>
  <c r="S112" i="117"/>
  <c r="R112" i="117"/>
  <c r="Q112" i="117"/>
  <c r="P112" i="117"/>
  <c r="O112" i="117"/>
  <c r="N112" i="117"/>
  <c r="M112" i="117"/>
  <c r="K112" i="117"/>
  <c r="J112" i="117"/>
  <c r="I112" i="117"/>
  <c r="H112" i="117"/>
  <c r="E112" i="117"/>
  <c r="A112" i="117"/>
  <c r="S111" i="117"/>
  <c r="R111" i="117"/>
  <c r="Q111" i="117"/>
  <c r="P111" i="117"/>
  <c r="O111" i="117"/>
  <c r="N111" i="117"/>
  <c r="M111" i="117"/>
  <c r="K111" i="117"/>
  <c r="J111" i="117"/>
  <c r="I111" i="117"/>
  <c r="H111" i="117"/>
  <c r="E111" i="117"/>
  <c r="A111" i="117"/>
  <c r="S110" i="117"/>
  <c r="R110" i="117"/>
  <c r="Q110" i="117"/>
  <c r="P110" i="117"/>
  <c r="O110" i="117"/>
  <c r="N110" i="117"/>
  <c r="M110" i="117"/>
  <c r="K110" i="117"/>
  <c r="J110" i="117"/>
  <c r="I110" i="117"/>
  <c r="H110" i="117"/>
  <c r="E110" i="117"/>
  <c r="A110" i="117"/>
  <c r="S109" i="117"/>
  <c r="R109" i="117"/>
  <c r="Q109" i="117"/>
  <c r="P109" i="117"/>
  <c r="O109" i="117"/>
  <c r="N109" i="117"/>
  <c r="M109" i="117"/>
  <c r="K109" i="117"/>
  <c r="J109" i="117"/>
  <c r="I109" i="117"/>
  <c r="H109" i="117"/>
  <c r="E109" i="117"/>
  <c r="A109" i="117"/>
  <c r="S108" i="117"/>
  <c r="R108" i="117"/>
  <c r="Q108" i="117"/>
  <c r="P108" i="117"/>
  <c r="O108" i="117"/>
  <c r="N108" i="117"/>
  <c r="M108" i="117"/>
  <c r="K108" i="117"/>
  <c r="J108" i="117"/>
  <c r="I108" i="117"/>
  <c r="H108" i="117"/>
  <c r="E108" i="117"/>
  <c r="A108" i="117"/>
  <c r="S107" i="117"/>
  <c r="R107" i="117"/>
  <c r="Q107" i="117"/>
  <c r="P107" i="117"/>
  <c r="O107" i="117"/>
  <c r="N107" i="117"/>
  <c r="M107" i="117"/>
  <c r="K107" i="117"/>
  <c r="J107" i="117"/>
  <c r="I107" i="117"/>
  <c r="H107" i="117"/>
  <c r="E107" i="117"/>
  <c r="A107" i="117"/>
  <c r="S106" i="117"/>
  <c r="R106" i="117"/>
  <c r="Q106" i="117"/>
  <c r="P106" i="117"/>
  <c r="O106" i="117"/>
  <c r="N106" i="117"/>
  <c r="M106" i="117"/>
  <c r="K106" i="117"/>
  <c r="J106" i="117"/>
  <c r="I106" i="117"/>
  <c r="H106" i="117"/>
  <c r="E106" i="117"/>
  <c r="A106" i="117"/>
  <c r="S105" i="117"/>
  <c r="R105" i="117"/>
  <c r="Q105" i="117"/>
  <c r="P105" i="117"/>
  <c r="O105" i="117"/>
  <c r="N105" i="117"/>
  <c r="M105" i="117"/>
  <c r="K105" i="117"/>
  <c r="J105" i="117"/>
  <c r="I105" i="117"/>
  <c r="H105" i="117"/>
  <c r="E105" i="117"/>
  <c r="A105" i="117"/>
  <c r="S104" i="117"/>
  <c r="R104" i="117"/>
  <c r="Q104" i="117"/>
  <c r="P104" i="117"/>
  <c r="O104" i="117"/>
  <c r="N104" i="117"/>
  <c r="M104" i="117"/>
  <c r="K104" i="117"/>
  <c r="J104" i="117"/>
  <c r="I104" i="117"/>
  <c r="H104" i="117"/>
  <c r="E104" i="117"/>
  <c r="A104" i="117"/>
  <c r="S103" i="117"/>
  <c r="R103" i="117"/>
  <c r="Q103" i="117"/>
  <c r="P103" i="117"/>
  <c r="O103" i="117"/>
  <c r="N103" i="117"/>
  <c r="M103" i="117"/>
  <c r="K103" i="117"/>
  <c r="J103" i="117"/>
  <c r="I103" i="117"/>
  <c r="H103" i="117"/>
  <c r="E103" i="117"/>
  <c r="A103" i="117"/>
  <c r="S102" i="117"/>
  <c r="R102" i="117"/>
  <c r="Q102" i="117"/>
  <c r="P102" i="117"/>
  <c r="O102" i="117"/>
  <c r="N102" i="117"/>
  <c r="M102" i="117"/>
  <c r="K102" i="117"/>
  <c r="J102" i="117"/>
  <c r="I102" i="117"/>
  <c r="H102" i="117"/>
  <c r="E102" i="117"/>
  <c r="A102" i="117"/>
  <c r="S101" i="117"/>
  <c r="R101" i="117"/>
  <c r="Q101" i="117"/>
  <c r="P101" i="117"/>
  <c r="O101" i="117"/>
  <c r="N101" i="117"/>
  <c r="M101" i="117"/>
  <c r="K101" i="117"/>
  <c r="J101" i="117"/>
  <c r="I101" i="117"/>
  <c r="H101" i="117"/>
  <c r="E101" i="117"/>
  <c r="A101" i="117"/>
  <c r="S100" i="117"/>
  <c r="R100" i="117"/>
  <c r="Q100" i="117"/>
  <c r="P100" i="117"/>
  <c r="O100" i="117"/>
  <c r="N100" i="117"/>
  <c r="M100" i="117"/>
  <c r="K100" i="117"/>
  <c r="J100" i="117"/>
  <c r="I100" i="117"/>
  <c r="H100" i="117"/>
  <c r="E100" i="117"/>
  <c r="A100" i="117"/>
  <c r="S99" i="117"/>
  <c r="R99" i="117"/>
  <c r="Q99" i="117"/>
  <c r="P99" i="117"/>
  <c r="O99" i="117"/>
  <c r="N99" i="117"/>
  <c r="M99" i="117"/>
  <c r="K99" i="117"/>
  <c r="J99" i="117"/>
  <c r="I99" i="117"/>
  <c r="H99" i="117"/>
  <c r="E99" i="117"/>
  <c r="A99" i="117"/>
  <c r="S98" i="117"/>
  <c r="R98" i="117"/>
  <c r="Q98" i="117"/>
  <c r="P98" i="117"/>
  <c r="O98" i="117"/>
  <c r="N98" i="117"/>
  <c r="M98" i="117"/>
  <c r="K98" i="117"/>
  <c r="J98" i="117"/>
  <c r="I98" i="117"/>
  <c r="H98" i="117"/>
  <c r="E98" i="117"/>
  <c r="A98" i="117"/>
  <c r="S97" i="117"/>
  <c r="R97" i="117"/>
  <c r="Q97" i="117"/>
  <c r="P97" i="117"/>
  <c r="O97" i="117"/>
  <c r="N97" i="117"/>
  <c r="M97" i="117"/>
  <c r="K97" i="117"/>
  <c r="J97" i="117"/>
  <c r="I97" i="117"/>
  <c r="H97" i="117"/>
  <c r="E97" i="117"/>
  <c r="A97" i="117"/>
  <c r="S96" i="117"/>
  <c r="R96" i="117"/>
  <c r="Q96" i="117"/>
  <c r="P96" i="117"/>
  <c r="O96" i="117"/>
  <c r="N96" i="117"/>
  <c r="M96" i="117"/>
  <c r="K96" i="117"/>
  <c r="J96" i="117"/>
  <c r="I96" i="117"/>
  <c r="H96" i="117"/>
  <c r="E96" i="117"/>
  <c r="A96" i="117"/>
  <c r="S95" i="117"/>
  <c r="R95" i="117"/>
  <c r="Q95" i="117"/>
  <c r="P95" i="117"/>
  <c r="O95" i="117"/>
  <c r="N95" i="117"/>
  <c r="M95" i="117"/>
  <c r="K95" i="117"/>
  <c r="J95" i="117"/>
  <c r="I95" i="117"/>
  <c r="H95" i="117"/>
  <c r="E95" i="117"/>
  <c r="A95" i="117"/>
  <c r="S94" i="117"/>
  <c r="R94" i="117"/>
  <c r="Q94" i="117"/>
  <c r="P94" i="117"/>
  <c r="O94" i="117"/>
  <c r="N94" i="117"/>
  <c r="M94" i="117"/>
  <c r="K94" i="117"/>
  <c r="J94" i="117"/>
  <c r="I94" i="117"/>
  <c r="H94" i="117"/>
  <c r="E94" i="117"/>
  <c r="A94" i="117"/>
  <c r="S93" i="117"/>
  <c r="R93" i="117"/>
  <c r="Q93" i="117"/>
  <c r="P93" i="117"/>
  <c r="O93" i="117"/>
  <c r="N93" i="117"/>
  <c r="M93" i="117"/>
  <c r="K93" i="117"/>
  <c r="J93" i="117"/>
  <c r="I93" i="117"/>
  <c r="H93" i="117"/>
  <c r="E93" i="117"/>
  <c r="A93" i="117"/>
  <c r="S92" i="117"/>
  <c r="R92" i="117"/>
  <c r="Q92" i="117"/>
  <c r="P92" i="117"/>
  <c r="O92" i="117"/>
  <c r="N92" i="117"/>
  <c r="M92" i="117"/>
  <c r="K92" i="117"/>
  <c r="J92" i="117"/>
  <c r="I92" i="117"/>
  <c r="H92" i="117"/>
  <c r="E92" i="117"/>
  <c r="A92" i="117"/>
  <c r="S91" i="117"/>
  <c r="R91" i="117"/>
  <c r="Q91" i="117"/>
  <c r="P91" i="117"/>
  <c r="O91" i="117"/>
  <c r="N91" i="117"/>
  <c r="M91" i="117"/>
  <c r="K91" i="117"/>
  <c r="J91" i="117"/>
  <c r="I91" i="117"/>
  <c r="H91" i="117"/>
  <c r="E91" i="117"/>
  <c r="A91" i="117"/>
  <c r="S90" i="117"/>
  <c r="R90" i="117"/>
  <c r="Q90" i="117"/>
  <c r="P90" i="117"/>
  <c r="O90" i="117"/>
  <c r="N90" i="117"/>
  <c r="M90" i="117"/>
  <c r="K90" i="117"/>
  <c r="J90" i="117"/>
  <c r="I90" i="117"/>
  <c r="H90" i="117"/>
  <c r="E90" i="117"/>
  <c r="A90" i="117"/>
  <c r="S89" i="117"/>
  <c r="R89" i="117"/>
  <c r="Q89" i="117"/>
  <c r="P89" i="117"/>
  <c r="O89" i="117"/>
  <c r="N89" i="117"/>
  <c r="M89" i="117"/>
  <c r="K89" i="117"/>
  <c r="J89" i="117"/>
  <c r="I89" i="117"/>
  <c r="H89" i="117"/>
  <c r="E89" i="117"/>
  <c r="A89" i="117"/>
  <c r="S88" i="117"/>
  <c r="R88" i="117"/>
  <c r="Q88" i="117"/>
  <c r="P88" i="117"/>
  <c r="O88" i="117"/>
  <c r="N88" i="117"/>
  <c r="M88" i="117"/>
  <c r="K88" i="117"/>
  <c r="J88" i="117"/>
  <c r="I88" i="117"/>
  <c r="H88" i="117"/>
  <c r="E88" i="117"/>
  <c r="A88" i="117"/>
  <c r="S87" i="117"/>
  <c r="R87" i="117"/>
  <c r="Q87" i="117"/>
  <c r="P87" i="117"/>
  <c r="O87" i="117"/>
  <c r="N87" i="117"/>
  <c r="M87" i="117"/>
  <c r="K87" i="117"/>
  <c r="J87" i="117"/>
  <c r="I87" i="117"/>
  <c r="H87" i="117"/>
  <c r="E87" i="117"/>
  <c r="A87" i="117"/>
  <c r="S86" i="117"/>
  <c r="R86" i="117"/>
  <c r="Q86" i="117"/>
  <c r="P86" i="117"/>
  <c r="O86" i="117"/>
  <c r="N86" i="117"/>
  <c r="M86" i="117"/>
  <c r="K86" i="117"/>
  <c r="J86" i="117"/>
  <c r="I86" i="117"/>
  <c r="H86" i="117"/>
  <c r="E86" i="117"/>
  <c r="A86" i="117"/>
  <c r="S85" i="117"/>
  <c r="R85" i="117"/>
  <c r="Q85" i="117"/>
  <c r="P85" i="117"/>
  <c r="O85" i="117"/>
  <c r="N85" i="117"/>
  <c r="M85" i="117"/>
  <c r="K85" i="117"/>
  <c r="J85" i="117"/>
  <c r="I85" i="117"/>
  <c r="H85" i="117"/>
  <c r="E85" i="117"/>
  <c r="A85" i="117"/>
  <c r="S84" i="117"/>
  <c r="R84" i="117"/>
  <c r="Q84" i="117"/>
  <c r="P84" i="117"/>
  <c r="O84" i="117"/>
  <c r="N84" i="117"/>
  <c r="M84" i="117"/>
  <c r="K84" i="117"/>
  <c r="J84" i="117"/>
  <c r="I84" i="117"/>
  <c r="H84" i="117"/>
  <c r="E84" i="117"/>
  <c r="A84" i="117"/>
  <c r="S83" i="117"/>
  <c r="R83" i="117"/>
  <c r="Q83" i="117"/>
  <c r="P83" i="117"/>
  <c r="O83" i="117"/>
  <c r="N83" i="117"/>
  <c r="M83" i="117"/>
  <c r="K83" i="117"/>
  <c r="J83" i="117"/>
  <c r="I83" i="117"/>
  <c r="H83" i="117"/>
  <c r="E83" i="117"/>
  <c r="A83" i="117"/>
  <c r="S82" i="117"/>
  <c r="R82" i="117"/>
  <c r="Q82" i="117"/>
  <c r="P82" i="117"/>
  <c r="O82" i="117"/>
  <c r="N82" i="117"/>
  <c r="M82" i="117"/>
  <c r="K82" i="117"/>
  <c r="J82" i="117"/>
  <c r="I82" i="117"/>
  <c r="H82" i="117"/>
  <c r="E82" i="117"/>
  <c r="A82" i="117"/>
  <c r="S81" i="117"/>
  <c r="R81" i="117"/>
  <c r="Q81" i="117"/>
  <c r="P81" i="117"/>
  <c r="O81" i="117"/>
  <c r="N81" i="117"/>
  <c r="M81" i="117"/>
  <c r="K81" i="117"/>
  <c r="J81" i="117"/>
  <c r="I81" i="117"/>
  <c r="H81" i="117"/>
  <c r="E81" i="117"/>
  <c r="A81" i="117"/>
  <c r="S80" i="117"/>
  <c r="R80" i="117"/>
  <c r="Q80" i="117"/>
  <c r="P80" i="117"/>
  <c r="O80" i="117"/>
  <c r="N80" i="117"/>
  <c r="M80" i="117"/>
  <c r="K80" i="117"/>
  <c r="J80" i="117"/>
  <c r="I80" i="117"/>
  <c r="H80" i="117"/>
  <c r="E80" i="117"/>
  <c r="A80" i="117"/>
  <c r="S79" i="117"/>
  <c r="R79" i="117"/>
  <c r="Q79" i="117"/>
  <c r="P79" i="117"/>
  <c r="O79" i="117"/>
  <c r="N79" i="117"/>
  <c r="M79" i="117"/>
  <c r="K79" i="117"/>
  <c r="J79" i="117"/>
  <c r="I79" i="117"/>
  <c r="H79" i="117"/>
  <c r="E79" i="117"/>
  <c r="A79" i="117"/>
  <c r="S78" i="117"/>
  <c r="R78" i="117"/>
  <c r="Q78" i="117"/>
  <c r="P78" i="117"/>
  <c r="O78" i="117"/>
  <c r="N78" i="117"/>
  <c r="M78" i="117"/>
  <c r="K78" i="117"/>
  <c r="J78" i="117"/>
  <c r="I78" i="117"/>
  <c r="H78" i="117"/>
  <c r="E78" i="117"/>
  <c r="A78" i="117"/>
  <c r="S77" i="117"/>
  <c r="R77" i="117"/>
  <c r="Q77" i="117"/>
  <c r="P77" i="117"/>
  <c r="O77" i="117"/>
  <c r="N77" i="117"/>
  <c r="M77" i="117"/>
  <c r="K77" i="117"/>
  <c r="J77" i="117"/>
  <c r="I77" i="117"/>
  <c r="H77" i="117"/>
  <c r="E77" i="117"/>
  <c r="A77" i="117"/>
  <c r="S76" i="117"/>
  <c r="R76" i="117"/>
  <c r="Q76" i="117"/>
  <c r="P76" i="117"/>
  <c r="O76" i="117"/>
  <c r="N76" i="117"/>
  <c r="M76" i="117"/>
  <c r="K76" i="117"/>
  <c r="J76" i="117"/>
  <c r="I76" i="117"/>
  <c r="H76" i="117"/>
  <c r="E76" i="117"/>
  <c r="A76" i="117"/>
  <c r="S75" i="117"/>
  <c r="R75" i="117"/>
  <c r="Q75" i="117"/>
  <c r="P75" i="117"/>
  <c r="O75" i="117"/>
  <c r="N75" i="117"/>
  <c r="M75" i="117"/>
  <c r="K75" i="117"/>
  <c r="J75" i="117"/>
  <c r="I75" i="117"/>
  <c r="H75" i="117"/>
  <c r="E75" i="117"/>
  <c r="A75" i="117"/>
  <c r="S74" i="117"/>
  <c r="R74" i="117"/>
  <c r="Q74" i="117"/>
  <c r="P74" i="117"/>
  <c r="O74" i="117"/>
  <c r="N74" i="117"/>
  <c r="M74" i="117"/>
  <c r="K74" i="117"/>
  <c r="J74" i="117"/>
  <c r="I74" i="117"/>
  <c r="H74" i="117"/>
  <c r="E74" i="117"/>
  <c r="A74" i="117"/>
  <c r="S73" i="117"/>
  <c r="R73" i="117"/>
  <c r="Q73" i="117"/>
  <c r="P73" i="117"/>
  <c r="O73" i="117"/>
  <c r="N73" i="117"/>
  <c r="M73" i="117"/>
  <c r="K73" i="117"/>
  <c r="J73" i="117"/>
  <c r="I73" i="117"/>
  <c r="H73" i="117"/>
  <c r="E73" i="117"/>
  <c r="A73" i="117"/>
  <c r="S72" i="117"/>
  <c r="R72" i="117"/>
  <c r="Q72" i="117"/>
  <c r="P72" i="117"/>
  <c r="O72" i="117"/>
  <c r="N72" i="117"/>
  <c r="M72" i="117"/>
  <c r="K72" i="117"/>
  <c r="J72" i="117"/>
  <c r="I72" i="117"/>
  <c r="H72" i="117"/>
  <c r="E72" i="117"/>
  <c r="A72" i="117"/>
  <c r="S71" i="117"/>
  <c r="R71" i="117"/>
  <c r="Q71" i="117"/>
  <c r="P71" i="117"/>
  <c r="O71" i="117"/>
  <c r="N71" i="117"/>
  <c r="M71" i="117"/>
  <c r="K71" i="117"/>
  <c r="J71" i="117"/>
  <c r="I71" i="117"/>
  <c r="H71" i="117"/>
  <c r="E71" i="117"/>
  <c r="A71" i="117"/>
  <c r="S70" i="117"/>
  <c r="R70" i="117"/>
  <c r="Q70" i="117"/>
  <c r="P70" i="117"/>
  <c r="O70" i="117"/>
  <c r="N70" i="117"/>
  <c r="M70" i="117"/>
  <c r="K70" i="117"/>
  <c r="J70" i="117"/>
  <c r="I70" i="117"/>
  <c r="H70" i="117"/>
  <c r="E70" i="117"/>
  <c r="A70" i="117"/>
  <c r="S69" i="117"/>
  <c r="R69" i="117"/>
  <c r="Q69" i="117"/>
  <c r="P69" i="117"/>
  <c r="O69" i="117"/>
  <c r="N69" i="117"/>
  <c r="M69" i="117"/>
  <c r="K69" i="117"/>
  <c r="J69" i="117"/>
  <c r="I69" i="117"/>
  <c r="H69" i="117"/>
  <c r="E69" i="117"/>
  <c r="A69" i="117"/>
  <c r="S68" i="117"/>
  <c r="R68" i="117"/>
  <c r="Q68" i="117"/>
  <c r="P68" i="117"/>
  <c r="O68" i="117"/>
  <c r="N68" i="117"/>
  <c r="M68" i="117"/>
  <c r="K68" i="117"/>
  <c r="J68" i="117"/>
  <c r="I68" i="117"/>
  <c r="H68" i="117"/>
  <c r="E68" i="117"/>
  <c r="A68" i="117"/>
  <c r="S67" i="117"/>
  <c r="R67" i="117"/>
  <c r="Q67" i="117"/>
  <c r="P67" i="117"/>
  <c r="O67" i="117"/>
  <c r="N67" i="117"/>
  <c r="M67" i="117"/>
  <c r="K67" i="117"/>
  <c r="J67" i="117"/>
  <c r="I67" i="117"/>
  <c r="H67" i="117"/>
  <c r="E67" i="117"/>
  <c r="A67" i="117"/>
  <c r="S66" i="117"/>
  <c r="R66" i="117"/>
  <c r="Q66" i="117"/>
  <c r="P66" i="117"/>
  <c r="O66" i="117"/>
  <c r="N66" i="117"/>
  <c r="M66" i="117"/>
  <c r="K66" i="117"/>
  <c r="J66" i="117"/>
  <c r="I66" i="117"/>
  <c r="H66" i="117"/>
  <c r="E66" i="117"/>
  <c r="A66" i="117"/>
  <c r="S65" i="117"/>
  <c r="R65" i="117"/>
  <c r="Q65" i="117"/>
  <c r="P65" i="117"/>
  <c r="O65" i="117"/>
  <c r="N65" i="117"/>
  <c r="M65" i="117"/>
  <c r="K65" i="117"/>
  <c r="J65" i="117"/>
  <c r="I65" i="117"/>
  <c r="H65" i="117"/>
  <c r="E65" i="117"/>
  <c r="A65" i="117"/>
  <c r="S64" i="117"/>
  <c r="R64" i="117"/>
  <c r="Q64" i="117"/>
  <c r="P64" i="117"/>
  <c r="O64" i="117"/>
  <c r="N64" i="117"/>
  <c r="M64" i="117"/>
  <c r="K64" i="117"/>
  <c r="J64" i="117"/>
  <c r="I64" i="117"/>
  <c r="H64" i="117"/>
  <c r="E64" i="117"/>
  <c r="A64" i="117"/>
  <c r="S63" i="117"/>
  <c r="R63" i="117"/>
  <c r="Q63" i="117"/>
  <c r="P63" i="117"/>
  <c r="O63" i="117"/>
  <c r="N63" i="117"/>
  <c r="M63" i="117"/>
  <c r="K63" i="117"/>
  <c r="J63" i="117"/>
  <c r="I63" i="117"/>
  <c r="H63" i="117"/>
  <c r="E63" i="117"/>
  <c r="A63" i="117"/>
  <c r="S62" i="117"/>
  <c r="R62" i="117"/>
  <c r="Q62" i="117"/>
  <c r="P62" i="117"/>
  <c r="O62" i="117"/>
  <c r="N62" i="117"/>
  <c r="M62" i="117"/>
  <c r="K62" i="117"/>
  <c r="J62" i="117"/>
  <c r="I62" i="117"/>
  <c r="H62" i="117"/>
  <c r="E62" i="117"/>
  <c r="A62" i="117"/>
  <c r="S61" i="117"/>
  <c r="R61" i="117"/>
  <c r="Q61" i="117"/>
  <c r="P61" i="117"/>
  <c r="O61" i="117"/>
  <c r="N61" i="117"/>
  <c r="M61" i="117"/>
  <c r="K61" i="117"/>
  <c r="J61" i="117"/>
  <c r="I61" i="117"/>
  <c r="H61" i="117"/>
  <c r="E61" i="117"/>
  <c r="A61" i="117"/>
  <c r="S60" i="117"/>
  <c r="R60" i="117"/>
  <c r="Q60" i="117"/>
  <c r="P60" i="117"/>
  <c r="O60" i="117"/>
  <c r="N60" i="117"/>
  <c r="M60" i="117"/>
  <c r="K60" i="117"/>
  <c r="J60" i="117"/>
  <c r="I60" i="117"/>
  <c r="H60" i="117"/>
  <c r="E60" i="117"/>
  <c r="A60" i="117"/>
  <c r="S59" i="117"/>
  <c r="R59" i="117"/>
  <c r="Q59" i="117"/>
  <c r="P59" i="117"/>
  <c r="O59" i="117"/>
  <c r="N59" i="117"/>
  <c r="M59" i="117"/>
  <c r="K59" i="117"/>
  <c r="J59" i="117"/>
  <c r="I59" i="117"/>
  <c r="H59" i="117"/>
  <c r="E59" i="117"/>
  <c r="A59" i="117"/>
  <c r="S58" i="117"/>
  <c r="R58" i="117"/>
  <c r="Q58" i="117"/>
  <c r="P58" i="117"/>
  <c r="O58" i="117"/>
  <c r="N58" i="117"/>
  <c r="M58" i="117"/>
  <c r="K58" i="117"/>
  <c r="J58" i="117"/>
  <c r="I58" i="117"/>
  <c r="H58" i="117"/>
  <c r="E58" i="117"/>
  <c r="A58" i="117"/>
  <c r="S57" i="117"/>
  <c r="R57" i="117"/>
  <c r="Q57" i="117"/>
  <c r="P57" i="117"/>
  <c r="O57" i="117"/>
  <c r="N57" i="117"/>
  <c r="M57" i="117"/>
  <c r="K57" i="117"/>
  <c r="J57" i="117"/>
  <c r="I57" i="117"/>
  <c r="H57" i="117"/>
  <c r="E57" i="117"/>
  <c r="A57" i="117"/>
  <c r="S56" i="117"/>
  <c r="R56" i="117"/>
  <c r="Q56" i="117"/>
  <c r="P56" i="117"/>
  <c r="O56" i="117"/>
  <c r="N56" i="117"/>
  <c r="M56" i="117"/>
  <c r="K56" i="117"/>
  <c r="J56" i="117"/>
  <c r="I56" i="117"/>
  <c r="H56" i="117"/>
  <c r="E56" i="117"/>
  <c r="A56" i="117"/>
  <c r="S55" i="117"/>
  <c r="R55" i="117"/>
  <c r="Q55" i="117"/>
  <c r="P55" i="117"/>
  <c r="O55" i="117"/>
  <c r="N55" i="117"/>
  <c r="M55" i="117"/>
  <c r="K55" i="117"/>
  <c r="J55" i="117"/>
  <c r="I55" i="117"/>
  <c r="H55" i="117"/>
  <c r="E55" i="117"/>
  <c r="A55" i="117"/>
  <c r="S54" i="117"/>
  <c r="R54" i="117"/>
  <c r="Q54" i="117"/>
  <c r="P54" i="117"/>
  <c r="O54" i="117"/>
  <c r="N54" i="117"/>
  <c r="M54" i="117"/>
  <c r="K54" i="117"/>
  <c r="J54" i="117"/>
  <c r="I54" i="117"/>
  <c r="H54" i="117"/>
  <c r="E54" i="117"/>
  <c r="A54" i="117"/>
  <c r="S53" i="117"/>
  <c r="R53" i="117"/>
  <c r="Q53" i="117"/>
  <c r="P53" i="117"/>
  <c r="O53" i="117"/>
  <c r="N53" i="117"/>
  <c r="M53" i="117"/>
  <c r="K53" i="117"/>
  <c r="J53" i="117"/>
  <c r="I53" i="117"/>
  <c r="H53" i="117"/>
  <c r="E53" i="117"/>
  <c r="A53" i="117"/>
  <c r="S52" i="117"/>
  <c r="R52" i="117"/>
  <c r="Q52" i="117"/>
  <c r="P52" i="117"/>
  <c r="O52" i="117"/>
  <c r="N52" i="117"/>
  <c r="M52" i="117"/>
  <c r="K52" i="117"/>
  <c r="J52" i="117"/>
  <c r="I52" i="117"/>
  <c r="H52" i="117"/>
  <c r="E52" i="117"/>
  <c r="A52" i="117"/>
  <c r="S51" i="117"/>
  <c r="R51" i="117"/>
  <c r="Q51" i="117"/>
  <c r="P51" i="117"/>
  <c r="O51" i="117"/>
  <c r="N51" i="117"/>
  <c r="M51" i="117"/>
  <c r="K51" i="117"/>
  <c r="J51" i="117"/>
  <c r="I51" i="117"/>
  <c r="H51" i="117"/>
  <c r="E51" i="117"/>
  <c r="A51" i="117"/>
  <c r="S50" i="117"/>
  <c r="R50" i="117"/>
  <c r="Q50" i="117"/>
  <c r="P50" i="117"/>
  <c r="O50" i="117"/>
  <c r="N50" i="117"/>
  <c r="M50" i="117"/>
  <c r="K50" i="117"/>
  <c r="J50" i="117"/>
  <c r="I50" i="117"/>
  <c r="H50" i="117"/>
  <c r="E50" i="117"/>
  <c r="A50" i="117"/>
  <c r="S49" i="117"/>
  <c r="R49" i="117"/>
  <c r="Q49" i="117"/>
  <c r="P49" i="117"/>
  <c r="O49" i="117"/>
  <c r="N49" i="117"/>
  <c r="M49" i="117"/>
  <c r="K49" i="117"/>
  <c r="J49" i="117"/>
  <c r="I49" i="117"/>
  <c r="H49" i="117"/>
  <c r="E49" i="117"/>
  <c r="A49" i="117"/>
  <c r="S48" i="117"/>
  <c r="R48" i="117"/>
  <c r="Q48" i="117"/>
  <c r="P48" i="117"/>
  <c r="O48" i="117"/>
  <c r="N48" i="117"/>
  <c r="M48" i="117"/>
  <c r="K48" i="117"/>
  <c r="J48" i="117"/>
  <c r="I48" i="117"/>
  <c r="H48" i="117"/>
  <c r="E48" i="117"/>
  <c r="A48" i="117"/>
  <c r="S47" i="117"/>
  <c r="R47" i="117"/>
  <c r="Q47" i="117"/>
  <c r="P47" i="117"/>
  <c r="O47" i="117"/>
  <c r="N47" i="117"/>
  <c r="M47" i="117"/>
  <c r="K47" i="117"/>
  <c r="J47" i="117"/>
  <c r="I47" i="117"/>
  <c r="H47" i="117"/>
  <c r="E47" i="117"/>
  <c r="A47" i="117"/>
  <c r="S46" i="117"/>
  <c r="R46" i="117"/>
  <c r="Q46" i="117"/>
  <c r="P46" i="117"/>
  <c r="O46" i="117"/>
  <c r="N46" i="117"/>
  <c r="M46" i="117"/>
  <c r="K46" i="117"/>
  <c r="J46" i="117"/>
  <c r="I46" i="117"/>
  <c r="H46" i="117"/>
  <c r="E46" i="117"/>
  <c r="A46" i="117"/>
  <c r="S45" i="117"/>
  <c r="R45" i="117"/>
  <c r="Q45" i="117"/>
  <c r="P45" i="117"/>
  <c r="O45" i="117"/>
  <c r="N45" i="117"/>
  <c r="M45" i="117"/>
  <c r="K45" i="117"/>
  <c r="J45" i="117"/>
  <c r="I45" i="117"/>
  <c r="H45" i="117"/>
  <c r="E45" i="117"/>
  <c r="A45" i="117"/>
  <c r="S44" i="117"/>
  <c r="R44" i="117"/>
  <c r="Q44" i="117"/>
  <c r="P44" i="117"/>
  <c r="O44" i="117"/>
  <c r="N44" i="117"/>
  <c r="M44" i="117"/>
  <c r="K44" i="117"/>
  <c r="J44" i="117"/>
  <c r="I44" i="117"/>
  <c r="H44" i="117"/>
  <c r="E44" i="117"/>
  <c r="A44" i="117"/>
  <c r="S43" i="117"/>
  <c r="R43" i="117"/>
  <c r="Q43" i="117"/>
  <c r="P43" i="117"/>
  <c r="O43" i="117"/>
  <c r="N43" i="117"/>
  <c r="M43" i="117"/>
  <c r="K43" i="117"/>
  <c r="J43" i="117"/>
  <c r="I43" i="117"/>
  <c r="H43" i="117"/>
  <c r="E43" i="117"/>
  <c r="A43" i="117"/>
  <c r="S42" i="117"/>
  <c r="R42" i="117"/>
  <c r="Q42" i="117"/>
  <c r="P42" i="117"/>
  <c r="O42" i="117"/>
  <c r="N42" i="117"/>
  <c r="M42" i="117"/>
  <c r="K42" i="117"/>
  <c r="J42" i="117"/>
  <c r="I42" i="117"/>
  <c r="H42" i="117"/>
  <c r="E42" i="117"/>
  <c r="A42" i="117"/>
  <c r="S41" i="117"/>
  <c r="R41" i="117"/>
  <c r="Q41" i="117"/>
  <c r="P41" i="117"/>
  <c r="O41" i="117"/>
  <c r="N41" i="117"/>
  <c r="M41" i="117"/>
  <c r="K41" i="117"/>
  <c r="J41" i="117"/>
  <c r="I41" i="117"/>
  <c r="H41" i="117"/>
  <c r="E41" i="117"/>
  <c r="A41" i="117"/>
  <c r="S40" i="117"/>
  <c r="R40" i="117"/>
  <c r="Q40" i="117"/>
  <c r="P40" i="117"/>
  <c r="O40" i="117"/>
  <c r="N40" i="117"/>
  <c r="M40" i="117"/>
  <c r="K40" i="117"/>
  <c r="J40" i="117"/>
  <c r="I40" i="117"/>
  <c r="H40" i="117"/>
  <c r="E40" i="117"/>
  <c r="A40" i="117"/>
  <c r="S39" i="117"/>
  <c r="R39" i="117"/>
  <c r="Q39" i="117"/>
  <c r="P39" i="117"/>
  <c r="O39" i="117"/>
  <c r="N39" i="117"/>
  <c r="M39" i="117"/>
  <c r="K39" i="117"/>
  <c r="J39" i="117"/>
  <c r="I39" i="117"/>
  <c r="H39" i="117"/>
  <c r="E39" i="117"/>
  <c r="A39" i="117"/>
  <c r="S38" i="117"/>
  <c r="R38" i="117"/>
  <c r="Q38" i="117"/>
  <c r="P38" i="117"/>
  <c r="O38" i="117"/>
  <c r="N38" i="117"/>
  <c r="M38" i="117"/>
  <c r="K38" i="117"/>
  <c r="J38" i="117"/>
  <c r="I38" i="117"/>
  <c r="H38" i="117"/>
  <c r="E38" i="117"/>
  <c r="A38" i="117"/>
  <c r="S37" i="117"/>
  <c r="R37" i="117"/>
  <c r="Q37" i="117"/>
  <c r="P37" i="117"/>
  <c r="O37" i="117"/>
  <c r="N37" i="117"/>
  <c r="M37" i="117"/>
  <c r="K37" i="117"/>
  <c r="J37" i="117"/>
  <c r="I37" i="117"/>
  <c r="H37" i="117"/>
  <c r="E37" i="117"/>
  <c r="A37" i="117"/>
  <c r="S36" i="117"/>
  <c r="R36" i="117"/>
  <c r="Q36" i="117"/>
  <c r="P36" i="117"/>
  <c r="O36" i="117"/>
  <c r="N36" i="117"/>
  <c r="M36" i="117"/>
  <c r="K36" i="117"/>
  <c r="J36" i="117"/>
  <c r="I36" i="117"/>
  <c r="H36" i="117"/>
  <c r="E36" i="117"/>
  <c r="A36" i="117"/>
  <c r="S35" i="117"/>
  <c r="R35" i="117"/>
  <c r="Q35" i="117"/>
  <c r="P35" i="117"/>
  <c r="O35" i="117"/>
  <c r="N35" i="117"/>
  <c r="M35" i="117"/>
  <c r="K35" i="117"/>
  <c r="J35" i="117"/>
  <c r="I35" i="117"/>
  <c r="H35" i="117"/>
  <c r="E35" i="117"/>
  <c r="A35" i="117"/>
  <c r="S34" i="117"/>
  <c r="R34" i="117"/>
  <c r="Q34" i="117"/>
  <c r="P34" i="117"/>
  <c r="O34" i="117"/>
  <c r="N34" i="117"/>
  <c r="M34" i="117"/>
  <c r="K34" i="117"/>
  <c r="J34" i="117"/>
  <c r="I34" i="117"/>
  <c r="H34" i="117"/>
  <c r="E34" i="117"/>
  <c r="A34" i="117"/>
  <c r="S33" i="117"/>
  <c r="R33" i="117"/>
  <c r="Q33" i="117"/>
  <c r="P33" i="117"/>
  <c r="O33" i="117"/>
  <c r="N33" i="117"/>
  <c r="M33" i="117"/>
  <c r="K33" i="117"/>
  <c r="J33" i="117"/>
  <c r="I33" i="117"/>
  <c r="H33" i="117"/>
  <c r="E33" i="117"/>
  <c r="A33" i="117"/>
  <c r="S32" i="117"/>
  <c r="R32" i="117"/>
  <c r="Q32" i="117"/>
  <c r="P32" i="117"/>
  <c r="O32" i="117"/>
  <c r="N32" i="117"/>
  <c r="M32" i="117"/>
  <c r="K32" i="117"/>
  <c r="J32" i="117"/>
  <c r="I32" i="117"/>
  <c r="H32" i="117"/>
  <c r="E32" i="117"/>
  <c r="A32" i="117"/>
  <c r="S31" i="117"/>
  <c r="R31" i="117"/>
  <c r="Q31" i="117"/>
  <c r="P31" i="117"/>
  <c r="O31" i="117"/>
  <c r="N31" i="117"/>
  <c r="M31" i="117"/>
  <c r="K31" i="117"/>
  <c r="J31" i="117"/>
  <c r="I31" i="117"/>
  <c r="H31" i="117"/>
  <c r="E31" i="117"/>
  <c r="A31" i="117"/>
  <c r="S30" i="117"/>
  <c r="R30" i="117"/>
  <c r="Q30" i="117"/>
  <c r="P30" i="117"/>
  <c r="O30" i="117"/>
  <c r="N30" i="117"/>
  <c r="M30" i="117"/>
  <c r="K30" i="117"/>
  <c r="J30" i="117"/>
  <c r="I30" i="117"/>
  <c r="H30" i="117"/>
  <c r="E30" i="117"/>
  <c r="A30" i="117"/>
  <c r="S29" i="117"/>
  <c r="R29" i="117"/>
  <c r="Q29" i="117"/>
  <c r="P29" i="117"/>
  <c r="O29" i="117"/>
  <c r="N29" i="117"/>
  <c r="M29" i="117"/>
  <c r="K29" i="117"/>
  <c r="J29" i="117"/>
  <c r="I29" i="117"/>
  <c r="H29" i="117"/>
  <c r="E29" i="117"/>
  <c r="A29" i="117"/>
  <c r="S28" i="117"/>
  <c r="R28" i="117"/>
  <c r="Q28" i="117"/>
  <c r="P28" i="117"/>
  <c r="O28" i="117"/>
  <c r="N28" i="117"/>
  <c r="M28" i="117"/>
  <c r="K28" i="117"/>
  <c r="J28" i="117"/>
  <c r="I28" i="117"/>
  <c r="H28" i="117"/>
  <c r="E28" i="117"/>
  <c r="A28" i="117"/>
  <c r="S27" i="117"/>
  <c r="R27" i="117"/>
  <c r="Q27" i="117"/>
  <c r="P27" i="117"/>
  <c r="O27" i="117"/>
  <c r="N27" i="117"/>
  <c r="M27" i="117"/>
  <c r="K27" i="117"/>
  <c r="J27" i="117"/>
  <c r="I27" i="117"/>
  <c r="H27" i="117"/>
  <c r="E27" i="117"/>
  <c r="A27" i="117"/>
  <c r="S26" i="117"/>
  <c r="R26" i="117"/>
  <c r="Q26" i="117"/>
  <c r="P26" i="117"/>
  <c r="O26" i="117"/>
  <c r="N26" i="117"/>
  <c r="M26" i="117"/>
  <c r="K26" i="117"/>
  <c r="J26" i="117"/>
  <c r="I26" i="117"/>
  <c r="H26" i="117"/>
  <c r="E26" i="117"/>
  <c r="A26" i="117"/>
  <c r="S25" i="117"/>
  <c r="R25" i="117"/>
  <c r="Q25" i="117"/>
  <c r="P25" i="117"/>
  <c r="O25" i="117"/>
  <c r="N25" i="117"/>
  <c r="M25" i="117"/>
  <c r="K25" i="117"/>
  <c r="J25" i="117"/>
  <c r="I25" i="117"/>
  <c r="H25" i="117"/>
  <c r="E25" i="117"/>
  <c r="A25" i="117"/>
  <c r="S24" i="117"/>
  <c r="R24" i="117"/>
  <c r="Q24" i="117"/>
  <c r="P24" i="117"/>
  <c r="O24" i="117"/>
  <c r="N24" i="117"/>
  <c r="M24" i="117"/>
  <c r="K24" i="117"/>
  <c r="J24" i="117"/>
  <c r="I24" i="117"/>
  <c r="H24" i="117"/>
  <c r="E24" i="117"/>
  <c r="A24" i="117"/>
  <c r="S23" i="117"/>
  <c r="R23" i="117"/>
  <c r="Q23" i="117"/>
  <c r="P23" i="117"/>
  <c r="O23" i="117"/>
  <c r="N23" i="117"/>
  <c r="M23" i="117"/>
  <c r="K23" i="117"/>
  <c r="J23" i="117"/>
  <c r="I23" i="117"/>
  <c r="H23" i="117"/>
  <c r="E23" i="117"/>
  <c r="A23" i="117"/>
  <c r="S22" i="117"/>
  <c r="R22" i="117"/>
  <c r="Q22" i="117"/>
  <c r="P22" i="117"/>
  <c r="O22" i="117"/>
  <c r="N22" i="117"/>
  <c r="M22" i="117"/>
  <c r="K22" i="117"/>
  <c r="J22" i="117"/>
  <c r="I22" i="117"/>
  <c r="H22" i="117"/>
  <c r="E22" i="117"/>
  <c r="A22" i="117"/>
  <c r="S21" i="117"/>
  <c r="R21" i="117"/>
  <c r="Q21" i="117"/>
  <c r="P21" i="117"/>
  <c r="O21" i="117"/>
  <c r="N21" i="117"/>
  <c r="M21" i="117"/>
  <c r="K21" i="117"/>
  <c r="J21" i="117"/>
  <c r="I21" i="117"/>
  <c r="H21" i="117"/>
  <c r="E21" i="117"/>
  <c r="A21" i="117"/>
  <c r="S20" i="117"/>
  <c r="R20" i="117"/>
  <c r="Q20" i="117"/>
  <c r="P20" i="117"/>
  <c r="O20" i="117"/>
  <c r="N20" i="117"/>
  <c r="M20" i="117"/>
  <c r="K20" i="117"/>
  <c r="J20" i="117"/>
  <c r="I20" i="117"/>
  <c r="H20" i="117"/>
  <c r="E20" i="117"/>
  <c r="A20" i="117"/>
  <c r="S19" i="117"/>
  <c r="R19" i="117"/>
  <c r="Q19" i="117"/>
  <c r="P19" i="117"/>
  <c r="O19" i="117"/>
  <c r="N19" i="117"/>
  <c r="M19" i="117"/>
  <c r="K19" i="117"/>
  <c r="J19" i="117"/>
  <c r="I19" i="117"/>
  <c r="H19" i="117"/>
  <c r="E19" i="117"/>
  <c r="A19" i="117"/>
  <c r="S18" i="117"/>
  <c r="R18" i="117"/>
  <c r="Q18" i="117"/>
  <c r="P18" i="117"/>
  <c r="O18" i="117"/>
  <c r="N18" i="117"/>
  <c r="M18" i="117"/>
  <c r="K18" i="117"/>
  <c r="J18" i="117"/>
  <c r="I18" i="117"/>
  <c r="H18" i="117"/>
  <c r="E18" i="117"/>
  <c r="A18" i="117"/>
  <c r="S17" i="117"/>
  <c r="R17" i="117"/>
  <c r="Q17" i="117"/>
  <c r="P17" i="117"/>
  <c r="O17" i="117"/>
  <c r="N17" i="117"/>
  <c r="M17" i="117"/>
  <c r="K17" i="117"/>
  <c r="J17" i="117"/>
  <c r="I17" i="117"/>
  <c r="H17" i="117"/>
  <c r="E17" i="117"/>
  <c r="A17" i="117"/>
  <c r="S16" i="117"/>
  <c r="R16" i="117"/>
  <c r="Q16" i="117"/>
  <c r="P16" i="117"/>
  <c r="O16" i="117"/>
  <c r="N16" i="117"/>
  <c r="M16" i="117"/>
  <c r="K16" i="117"/>
  <c r="J16" i="117"/>
  <c r="I16" i="117"/>
  <c r="H16" i="117"/>
  <c r="E16" i="117"/>
  <c r="A16" i="117"/>
  <c r="S15" i="117"/>
  <c r="R15" i="117"/>
  <c r="Q15" i="117"/>
  <c r="P15" i="117"/>
  <c r="O15" i="117"/>
  <c r="N15" i="117"/>
  <c r="M15" i="117"/>
  <c r="K15" i="117"/>
  <c r="J15" i="117"/>
  <c r="I15" i="117"/>
  <c r="H15" i="117"/>
  <c r="E15" i="117"/>
  <c r="A15" i="117"/>
  <c r="S14" i="117"/>
  <c r="R14" i="117"/>
  <c r="Q14" i="117"/>
  <c r="P14" i="117"/>
  <c r="O14" i="117"/>
  <c r="N14" i="117"/>
  <c r="M14" i="117"/>
  <c r="K14" i="117"/>
  <c r="J14" i="117"/>
  <c r="I14" i="117"/>
  <c r="H14" i="117"/>
  <c r="E14" i="117"/>
  <c r="A14" i="117"/>
  <c r="S13" i="117"/>
  <c r="R13" i="117"/>
  <c r="Q13" i="117"/>
  <c r="P13" i="117"/>
  <c r="O13" i="117"/>
  <c r="N13" i="117"/>
  <c r="M13" i="117"/>
  <c r="K13" i="117"/>
  <c r="J13" i="117"/>
  <c r="I13" i="117"/>
  <c r="H13" i="117"/>
  <c r="E13" i="117"/>
  <c r="A13" i="117"/>
  <c r="S12" i="117"/>
  <c r="R12" i="117"/>
  <c r="Q12" i="117"/>
  <c r="P12" i="117"/>
  <c r="O12" i="117"/>
  <c r="N12" i="117"/>
  <c r="M12" i="117"/>
  <c r="K12" i="117"/>
  <c r="J12" i="117"/>
  <c r="I12" i="117"/>
  <c r="H12" i="117"/>
  <c r="E12" i="117"/>
  <c r="A12" i="117"/>
  <c r="S11" i="117"/>
  <c r="R11" i="117"/>
  <c r="Q11" i="117"/>
  <c r="P11" i="117"/>
  <c r="O11" i="117"/>
  <c r="N11" i="117"/>
  <c r="M11" i="117"/>
  <c r="K11" i="117"/>
  <c r="J11" i="117"/>
  <c r="I11" i="117"/>
  <c r="H11" i="117"/>
  <c r="E11" i="117"/>
  <c r="A11" i="117"/>
  <c r="S10" i="117"/>
  <c r="R10" i="117"/>
  <c r="Q10" i="117"/>
  <c r="P10" i="117"/>
  <c r="O10" i="117"/>
  <c r="N10" i="117"/>
  <c r="M10" i="117"/>
  <c r="K10" i="117"/>
  <c r="J10" i="117"/>
  <c r="I10" i="117"/>
  <c r="H10" i="117"/>
  <c r="E10" i="117"/>
  <c r="A10" i="117"/>
  <c r="S9" i="117"/>
  <c r="R9" i="117"/>
  <c r="Q9" i="117"/>
  <c r="P9" i="117"/>
  <c r="O9" i="117"/>
  <c r="N9" i="117"/>
  <c r="M9" i="117"/>
  <c r="K9" i="117"/>
  <c r="J9" i="117"/>
  <c r="I9" i="117"/>
  <c r="H9" i="117"/>
  <c r="E9" i="117"/>
  <c r="A9" i="117"/>
  <c r="S8" i="117"/>
  <c r="R8" i="117"/>
  <c r="Q8" i="117"/>
  <c r="P8" i="117"/>
  <c r="O8" i="117"/>
  <c r="N8" i="117"/>
  <c r="M8" i="117"/>
  <c r="K8" i="117"/>
  <c r="J8" i="117"/>
  <c r="I8" i="117"/>
  <c r="H8" i="117"/>
  <c r="E8" i="117"/>
  <c r="A8" i="117"/>
  <c r="S7" i="117"/>
  <c r="R7" i="117"/>
  <c r="Q7" i="117"/>
  <c r="P7" i="117"/>
  <c r="O7" i="117"/>
  <c r="N7" i="117"/>
  <c r="M7" i="117"/>
  <c r="K7" i="117"/>
  <c r="J7" i="117"/>
  <c r="I7" i="117"/>
  <c r="H7" i="117"/>
  <c r="E7" i="117"/>
  <c r="A7" i="117"/>
  <c r="S6" i="117"/>
  <c r="R6" i="117"/>
  <c r="Q6" i="117"/>
  <c r="P6" i="117"/>
  <c r="O6" i="117"/>
  <c r="N6" i="117"/>
  <c r="M6" i="117"/>
  <c r="K6" i="117"/>
  <c r="J6" i="117"/>
  <c r="I6" i="117"/>
  <c r="H6" i="117"/>
  <c r="E6" i="117"/>
  <c r="A6" i="117"/>
  <c r="S5" i="117"/>
  <c r="R5" i="117"/>
  <c r="Q5" i="117"/>
  <c r="P5" i="117"/>
  <c r="O5" i="117"/>
  <c r="N5" i="117"/>
  <c r="M5" i="117"/>
  <c r="K5" i="117"/>
  <c r="J5" i="117"/>
  <c r="I5" i="117"/>
  <c r="H5" i="117"/>
  <c r="E5" i="117"/>
  <c r="A5" i="117"/>
  <c r="S4" i="117"/>
  <c r="R4" i="117"/>
  <c r="Q4" i="117"/>
  <c r="P4" i="117"/>
  <c r="O4" i="117"/>
  <c r="N4" i="117"/>
  <c r="M4" i="117"/>
  <c r="K4" i="117"/>
  <c r="J4" i="117"/>
  <c r="I4" i="117"/>
  <c r="H4" i="117"/>
  <c r="E4" i="117"/>
  <c r="A4" i="117"/>
  <c r="S3" i="117"/>
  <c r="R3" i="117"/>
  <c r="Q3" i="117"/>
  <c r="P3" i="117"/>
  <c r="O3" i="117"/>
  <c r="N3" i="117"/>
  <c r="M3" i="117"/>
  <c r="K3" i="117"/>
  <c r="J3" i="117"/>
  <c r="I3" i="117"/>
  <c r="H3" i="117"/>
  <c r="E3" i="117"/>
  <c r="A3" i="117"/>
  <c r="S2" i="117"/>
  <c r="R2" i="117"/>
  <c r="Q2" i="117"/>
  <c r="P2" i="117"/>
  <c r="O2" i="117"/>
  <c r="N2" i="117"/>
  <c r="M2" i="117"/>
  <c r="K2" i="117"/>
  <c r="J2" i="117"/>
  <c r="I2" i="117"/>
  <c r="H2" i="117"/>
  <c r="E2" i="117"/>
  <c r="A2" i="117"/>
  <c r="B39" i="116"/>
  <c r="B36" i="116"/>
  <c r="B37" i="116"/>
  <c r="B38" i="116"/>
  <c r="B40" i="116"/>
  <c r="B41" i="116"/>
  <c r="B42" i="116"/>
  <c r="B43" i="116"/>
  <c r="C39" i="116"/>
  <c r="C42" i="116"/>
  <c r="F43" i="116"/>
  <c r="C38" i="116"/>
  <c r="C41" i="116"/>
  <c r="F42" i="116"/>
  <c r="C36" i="116"/>
  <c r="C37" i="116"/>
  <c r="C40" i="116"/>
  <c r="F41" i="116"/>
  <c r="F38" i="116"/>
  <c r="F37" i="116"/>
  <c r="F36" i="116"/>
  <c r="B24" i="116"/>
  <c r="C20" i="116"/>
  <c r="C23" i="116"/>
  <c r="C24" i="116"/>
  <c r="D24" i="116"/>
  <c r="D23" i="116"/>
  <c r="G23" i="116"/>
  <c r="E23" i="116"/>
  <c r="H23" i="116"/>
  <c r="I23" i="116"/>
  <c r="J23" i="116"/>
  <c r="F23" i="116"/>
  <c r="I22" i="116"/>
  <c r="J22" i="116"/>
  <c r="F22" i="116"/>
  <c r="I21" i="116"/>
  <c r="J21" i="116"/>
  <c r="F21" i="116"/>
  <c r="D20" i="116"/>
  <c r="G20" i="116"/>
  <c r="E20" i="116"/>
  <c r="H20" i="116"/>
  <c r="I20" i="116"/>
  <c r="J20" i="116"/>
  <c r="F20" i="116"/>
  <c r="I19" i="116"/>
  <c r="J19" i="116"/>
  <c r="F19" i="116"/>
  <c r="I18" i="116"/>
  <c r="J18" i="116"/>
  <c r="F18" i="116"/>
  <c r="I17" i="116"/>
  <c r="J17" i="116"/>
  <c r="F17" i="116"/>
  <c r="B10" i="116"/>
  <c r="S255" i="115"/>
  <c r="R255" i="115"/>
  <c r="Q255" i="115"/>
  <c r="P255" i="115"/>
  <c r="O255" i="115"/>
  <c r="N255" i="115"/>
  <c r="F255" i="115"/>
  <c r="C255" i="115"/>
  <c r="G255" i="115"/>
  <c r="B255" i="115"/>
  <c r="B22" i="114"/>
  <c r="C22" i="114"/>
  <c r="D22" i="114"/>
  <c r="G22" i="114"/>
  <c r="F2" i="115"/>
  <c r="C2" i="115"/>
  <c r="G2" i="115"/>
  <c r="B2" i="115"/>
  <c r="F3" i="115"/>
  <c r="C3" i="115"/>
  <c r="G3" i="115"/>
  <c r="B3" i="115"/>
  <c r="F4" i="115"/>
  <c r="C4" i="115"/>
  <c r="G4" i="115"/>
  <c r="B4" i="115"/>
  <c r="F5" i="115"/>
  <c r="C5" i="115"/>
  <c r="G5" i="115"/>
  <c r="B5" i="115"/>
  <c r="F6" i="115"/>
  <c r="C6" i="115"/>
  <c r="G6" i="115"/>
  <c r="B6" i="115"/>
  <c r="F7" i="115"/>
  <c r="C7" i="115"/>
  <c r="G7" i="115"/>
  <c r="B7" i="115"/>
  <c r="F8" i="115"/>
  <c r="C8" i="115"/>
  <c r="G8" i="115"/>
  <c r="B8" i="115"/>
  <c r="F9" i="115"/>
  <c r="C9" i="115"/>
  <c r="G9" i="115"/>
  <c r="B9" i="115"/>
  <c r="F10" i="115"/>
  <c r="C10" i="115"/>
  <c r="G10" i="115"/>
  <c r="B10" i="115"/>
  <c r="F11" i="115"/>
  <c r="C11" i="115"/>
  <c r="G11" i="115"/>
  <c r="B11" i="115"/>
  <c r="F12" i="115"/>
  <c r="C12" i="115"/>
  <c r="G12" i="115"/>
  <c r="B12" i="115"/>
  <c r="F13" i="115"/>
  <c r="C13" i="115"/>
  <c r="G13" i="115"/>
  <c r="B13" i="115"/>
  <c r="F14" i="115"/>
  <c r="C14" i="115"/>
  <c r="G14" i="115"/>
  <c r="B14" i="115"/>
  <c r="F15" i="115"/>
  <c r="C15" i="115"/>
  <c r="G15" i="115"/>
  <c r="B15" i="115"/>
  <c r="F16" i="115"/>
  <c r="C16" i="115"/>
  <c r="G16" i="115"/>
  <c r="B16" i="115"/>
  <c r="F17" i="115"/>
  <c r="C17" i="115"/>
  <c r="G17" i="115"/>
  <c r="B17" i="115"/>
  <c r="F18" i="115"/>
  <c r="C18" i="115"/>
  <c r="G18" i="115"/>
  <c r="B18" i="115"/>
  <c r="F19" i="115"/>
  <c r="C19" i="115"/>
  <c r="G19" i="115"/>
  <c r="B19" i="115"/>
  <c r="F20" i="115"/>
  <c r="C20" i="115"/>
  <c r="G20" i="115"/>
  <c r="B20" i="115"/>
  <c r="F21" i="115"/>
  <c r="C21" i="115"/>
  <c r="G21" i="115"/>
  <c r="B21" i="115"/>
  <c r="F22" i="115"/>
  <c r="C22" i="115"/>
  <c r="G22" i="115"/>
  <c r="B22" i="115"/>
  <c r="F23" i="115"/>
  <c r="C23" i="115"/>
  <c r="G23" i="115"/>
  <c r="B23" i="115"/>
  <c r="F24" i="115"/>
  <c r="C24" i="115"/>
  <c r="G24" i="115"/>
  <c r="B24" i="115"/>
  <c r="F25" i="115"/>
  <c r="C25" i="115"/>
  <c r="G25" i="115"/>
  <c r="B25" i="115"/>
  <c r="F26" i="115"/>
  <c r="C26" i="115"/>
  <c r="G26" i="115"/>
  <c r="B26" i="115"/>
  <c r="F27" i="115"/>
  <c r="C27" i="115"/>
  <c r="G27" i="115"/>
  <c r="B27" i="115"/>
  <c r="F28" i="115"/>
  <c r="C28" i="115"/>
  <c r="G28" i="115"/>
  <c r="B28" i="115"/>
  <c r="F29" i="115"/>
  <c r="C29" i="115"/>
  <c r="G29" i="115"/>
  <c r="B29" i="115"/>
  <c r="F30" i="115"/>
  <c r="C30" i="115"/>
  <c r="G30" i="115"/>
  <c r="B30" i="115"/>
  <c r="F31" i="115"/>
  <c r="C31" i="115"/>
  <c r="G31" i="115"/>
  <c r="B31" i="115"/>
  <c r="F32" i="115"/>
  <c r="C32" i="115"/>
  <c r="G32" i="115"/>
  <c r="B32" i="115"/>
  <c r="F33" i="115"/>
  <c r="C33" i="115"/>
  <c r="G33" i="115"/>
  <c r="B33" i="115"/>
  <c r="F34" i="115"/>
  <c r="C34" i="115"/>
  <c r="G34" i="115"/>
  <c r="B34" i="115"/>
  <c r="F35" i="115"/>
  <c r="C35" i="115"/>
  <c r="G35" i="115"/>
  <c r="B35" i="115"/>
  <c r="F36" i="115"/>
  <c r="C36" i="115"/>
  <c r="G36" i="115"/>
  <c r="B36" i="115"/>
  <c r="F37" i="115"/>
  <c r="C37" i="115"/>
  <c r="G37" i="115"/>
  <c r="B37" i="115"/>
  <c r="F38" i="115"/>
  <c r="C38" i="115"/>
  <c r="G38" i="115"/>
  <c r="B38" i="115"/>
  <c r="F39" i="115"/>
  <c r="C39" i="115"/>
  <c r="G39" i="115"/>
  <c r="B39" i="115"/>
  <c r="F40" i="115"/>
  <c r="C40" i="115"/>
  <c r="G40" i="115"/>
  <c r="B40" i="115"/>
  <c r="F41" i="115"/>
  <c r="C41" i="115"/>
  <c r="G41" i="115"/>
  <c r="B41" i="115"/>
  <c r="F42" i="115"/>
  <c r="C42" i="115"/>
  <c r="G42" i="115"/>
  <c r="B42" i="115"/>
  <c r="F43" i="115"/>
  <c r="C43" i="115"/>
  <c r="G43" i="115"/>
  <c r="B43" i="115"/>
  <c r="F44" i="115"/>
  <c r="C44" i="115"/>
  <c r="G44" i="115"/>
  <c r="B44" i="115"/>
  <c r="F45" i="115"/>
  <c r="C45" i="115"/>
  <c r="G45" i="115"/>
  <c r="B45" i="115"/>
  <c r="F46" i="115"/>
  <c r="C46" i="115"/>
  <c r="G46" i="115"/>
  <c r="B46" i="115"/>
  <c r="F47" i="115"/>
  <c r="C47" i="115"/>
  <c r="G47" i="115"/>
  <c r="B47" i="115"/>
  <c r="F48" i="115"/>
  <c r="C48" i="115"/>
  <c r="G48" i="115"/>
  <c r="B48" i="115"/>
  <c r="F49" i="115"/>
  <c r="C49" i="115"/>
  <c r="G49" i="115"/>
  <c r="B49" i="115"/>
  <c r="F50" i="115"/>
  <c r="C50" i="115"/>
  <c r="G50" i="115"/>
  <c r="B50" i="115"/>
  <c r="F51" i="115"/>
  <c r="C51" i="115"/>
  <c r="G51" i="115"/>
  <c r="B51" i="115"/>
  <c r="F52" i="115"/>
  <c r="C52" i="115"/>
  <c r="G52" i="115"/>
  <c r="B52" i="115"/>
  <c r="F53" i="115"/>
  <c r="C53" i="115"/>
  <c r="G53" i="115"/>
  <c r="B53" i="115"/>
  <c r="F54" i="115"/>
  <c r="C54" i="115"/>
  <c r="G54" i="115"/>
  <c r="B54" i="115"/>
  <c r="F55" i="115"/>
  <c r="C55" i="115"/>
  <c r="G55" i="115"/>
  <c r="B55" i="115"/>
  <c r="F56" i="115"/>
  <c r="C56" i="115"/>
  <c r="G56" i="115"/>
  <c r="B56" i="115"/>
  <c r="F57" i="115"/>
  <c r="C57" i="115"/>
  <c r="G57" i="115"/>
  <c r="B57" i="115"/>
  <c r="F58" i="115"/>
  <c r="C58" i="115"/>
  <c r="G58" i="115"/>
  <c r="B58" i="115"/>
  <c r="F59" i="115"/>
  <c r="C59" i="115"/>
  <c r="G59" i="115"/>
  <c r="B59" i="115"/>
  <c r="F60" i="115"/>
  <c r="C60" i="115"/>
  <c r="G60" i="115"/>
  <c r="B60" i="115"/>
  <c r="F61" i="115"/>
  <c r="C61" i="115"/>
  <c r="G61" i="115"/>
  <c r="B61" i="115"/>
  <c r="F62" i="115"/>
  <c r="C62" i="115"/>
  <c r="G62" i="115"/>
  <c r="B62" i="115"/>
  <c r="F63" i="115"/>
  <c r="C63" i="115"/>
  <c r="G63" i="115"/>
  <c r="B63" i="115"/>
  <c r="F64" i="115"/>
  <c r="C64" i="115"/>
  <c r="G64" i="115"/>
  <c r="B64" i="115"/>
  <c r="F65" i="115"/>
  <c r="C65" i="115"/>
  <c r="G65" i="115"/>
  <c r="B65" i="115"/>
  <c r="F66" i="115"/>
  <c r="C66" i="115"/>
  <c r="G66" i="115"/>
  <c r="B66" i="115"/>
  <c r="F67" i="115"/>
  <c r="C67" i="115"/>
  <c r="G67" i="115"/>
  <c r="B67" i="115"/>
  <c r="F68" i="115"/>
  <c r="C68" i="115"/>
  <c r="G68" i="115"/>
  <c r="B68" i="115"/>
  <c r="F69" i="115"/>
  <c r="C69" i="115"/>
  <c r="G69" i="115"/>
  <c r="B69" i="115"/>
  <c r="F70" i="115"/>
  <c r="C70" i="115"/>
  <c r="G70" i="115"/>
  <c r="B70" i="115"/>
  <c r="F71" i="115"/>
  <c r="C71" i="115"/>
  <c r="G71" i="115"/>
  <c r="B71" i="115"/>
  <c r="F72" i="115"/>
  <c r="C72" i="115"/>
  <c r="G72" i="115"/>
  <c r="B72" i="115"/>
  <c r="F73" i="115"/>
  <c r="C73" i="115"/>
  <c r="G73" i="115"/>
  <c r="B73" i="115"/>
  <c r="F74" i="115"/>
  <c r="C74" i="115"/>
  <c r="G74" i="115"/>
  <c r="B74" i="115"/>
  <c r="F75" i="115"/>
  <c r="C75" i="115"/>
  <c r="G75" i="115"/>
  <c r="B75" i="115"/>
  <c r="F76" i="115"/>
  <c r="C76" i="115"/>
  <c r="G76" i="115"/>
  <c r="B76" i="115"/>
  <c r="F77" i="115"/>
  <c r="C77" i="115"/>
  <c r="G77" i="115"/>
  <c r="B77" i="115"/>
  <c r="F78" i="115"/>
  <c r="C78" i="115"/>
  <c r="G78" i="115"/>
  <c r="B78" i="115"/>
  <c r="F79" i="115"/>
  <c r="C79" i="115"/>
  <c r="G79" i="115"/>
  <c r="B79" i="115"/>
  <c r="F80" i="115"/>
  <c r="C80" i="115"/>
  <c r="G80" i="115"/>
  <c r="B80" i="115"/>
  <c r="F81" i="115"/>
  <c r="C81" i="115"/>
  <c r="G81" i="115"/>
  <c r="B81" i="115"/>
  <c r="F82" i="115"/>
  <c r="C82" i="115"/>
  <c r="G82" i="115"/>
  <c r="B82" i="115"/>
  <c r="F83" i="115"/>
  <c r="C83" i="115"/>
  <c r="G83" i="115"/>
  <c r="B83" i="115"/>
  <c r="F84" i="115"/>
  <c r="C84" i="115"/>
  <c r="G84" i="115"/>
  <c r="B84" i="115"/>
  <c r="F85" i="115"/>
  <c r="C85" i="115"/>
  <c r="G85" i="115"/>
  <c r="B85" i="115"/>
  <c r="F86" i="115"/>
  <c r="C86" i="115"/>
  <c r="G86" i="115"/>
  <c r="B86" i="115"/>
  <c r="F87" i="115"/>
  <c r="C87" i="115"/>
  <c r="G87" i="115"/>
  <c r="B87" i="115"/>
  <c r="F88" i="115"/>
  <c r="C88" i="115"/>
  <c r="G88" i="115"/>
  <c r="B88" i="115"/>
  <c r="F89" i="115"/>
  <c r="C89" i="115"/>
  <c r="G89" i="115"/>
  <c r="B89" i="115"/>
  <c r="F90" i="115"/>
  <c r="C90" i="115"/>
  <c r="G90" i="115"/>
  <c r="B90" i="115"/>
  <c r="F91" i="115"/>
  <c r="C91" i="115"/>
  <c r="G91" i="115"/>
  <c r="B91" i="115"/>
  <c r="F92" i="115"/>
  <c r="C92" i="115"/>
  <c r="G92" i="115"/>
  <c r="B92" i="115"/>
  <c r="F93" i="115"/>
  <c r="C93" i="115"/>
  <c r="G93" i="115"/>
  <c r="B93" i="115"/>
  <c r="F94" i="115"/>
  <c r="C94" i="115"/>
  <c r="G94" i="115"/>
  <c r="B94" i="115"/>
  <c r="F95" i="115"/>
  <c r="C95" i="115"/>
  <c r="G95" i="115"/>
  <c r="B95" i="115"/>
  <c r="F96" i="115"/>
  <c r="C96" i="115"/>
  <c r="G96" i="115"/>
  <c r="B96" i="115"/>
  <c r="F97" i="115"/>
  <c r="C97" i="115"/>
  <c r="G97" i="115"/>
  <c r="B97" i="115"/>
  <c r="F98" i="115"/>
  <c r="C98" i="115"/>
  <c r="G98" i="115"/>
  <c r="B98" i="115"/>
  <c r="F99" i="115"/>
  <c r="C99" i="115"/>
  <c r="G99" i="115"/>
  <c r="B99" i="115"/>
  <c r="F100" i="115"/>
  <c r="C100" i="115"/>
  <c r="G100" i="115"/>
  <c r="B100" i="115"/>
  <c r="F101" i="115"/>
  <c r="C101" i="115"/>
  <c r="G101" i="115"/>
  <c r="B101" i="115"/>
  <c r="F102" i="115"/>
  <c r="C102" i="115"/>
  <c r="G102" i="115"/>
  <c r="B102" i="115"/>
  <c r="F103" i="115"/>
  <c r="C103" i="115"/>
  <c r="G103" i="115"/>
  <c r="B103" i="115"/>
  <c r="F104" i="115"/>
  <c r="C104" i="115"/>
  <c r="G104" i="115"/>
  <c r="B104" i="115"/>
  <c r="F105" i="115"/>
  <c r="C105" i="115"/>
  <c r="G105" i="115"/>
  <c r="B105" i="115"/>
  <c r="F106" i="115"/>
  <c r="C106" i="115"/>
  <c r="G106" i="115"/>
  <c r="B106" i="115"/>
  <c r="F107" i="115"/>
  <c r="C107" i="115"/>
  <c r="G107" i="115"/>
  <c r="B107" i="115"/>
  <c r="F108" i="115"/>
  <c r="C108" i="115"/>
  <c r="G108" i="115"/>
  <c r="B108" i="115"/>
  <c r="F109" i="115"/>
  <c r="C109" i="115"/>
  <c r="G109" i="115"/>
  <c r="B109" i="115"/>
  <c r="F110" i="115"/>
  <c r="C110" i="115"/>
  <c r="G110" i="115"/>
  <c r="B110" i="115"/>
  <c r="F111" i="115"/>
  <c r="C111" i="115"/>
  <c r="G111" i="115"/>
  <c r="B111" i="115"/>
  <c r="F112" i="115"/>
  <c r="C112" i="115"/>
  <c r="G112" i="115"/>
  <c r="B112" i="115"/>
  <c r="F113" i="115"/>
  <c r="C113" i="115"/>
  <c r="G113" i="115"/>
  <c r="B113" i="115"/>
  <c r="F114" i="115"/>
  <c r="C114" i="115"/>
  <c r="G114" i="115"/>
  <c r="B114" i="115"/>
  <c r="F115" i="115"/>
  <c r="C115" i="115"/>
  <c r="G115" i="115"/>
  <c r="B115" i="115"/>
  <c r="F116" i="115"/>
  <c r="C116" i="115"/>
  <c r="G116" i="115"/>
  <c r="B116" i="115"/>
  <c r="F117" i="115"/>
  <c r="C117" i="115"/>
  <c r="G117" i="115"/>
  <c r="B117" i="115"/>
  <c r="F118" i="115"/>
  <c r="C118" i="115"/>
  <c r="G118" i="115"/>
  <c r="B118" i="115"/>
  <c r="F119" i="115"/>
  <c r="C119" i="115"/>
  <c r="G119" i="115"/>
  <c r="B119" i="115"/>
  <c r="F120" i="115"/>
  <c r="C120" i="115"/>
  <c r="G120" i="115"/>
  <c r="B120" i="115"/>
  <c r="F121" i="115"/>
  <c r="C121" i="115"/>
  <c r="G121" i="115"/>
  <c r="B121" i="115"/>
  <c r="F122" i="115"/>
  <c r="C122" i="115"/>
  <c r="G122" i="115"/>
  <c r="B122" i="115"/>
  <c r="F123" i="115"/>
  <c r="C123" i="115"/>
  <c r="G123" i="115"/>
  <c r="B123" i="115"/>
  <c r="F124" i="115"/>
  <c r="C124" i="115"/>
  <c r="G124" i="115"/>
  <c r="B124" i="115"/>
  <c r="F125" i="115"/>
  <c r="C125" i="115"/>
  <c r="G125" i="115"/>
  <c r="B125" i="115"/>
  <c r="F126" i="115"/>
  <c r="C126" i="115"/>
  <c r="G126" i="115"/>
  <c r="B126" i="115"/>
  <c r="F127" i="115"/>
  <c r="C127" i="115"/>
  <c r="G127" i="115"/>
  <c r="B127" i="115"/>
  <c r="F128" i="115"/>
  <c r="C128" i="115"/>
  <c r="G128" i="115"/>
  <c r="B128" i="115"/>
  <c r="F129" i="115"/>
  <c r="C129" i="115"/>
  <c r="G129" i="115"/>
  <c r="B129" i="115"/>
  <c r="F130" i="115"/>
  <c r="C130" i="115"/>
  <c r="G130" i="115"/>
  <c r="B130" i="115"/>
  <c r="F131" i="115"/>
  <c r="C131" i="115"/>
  <c r="G131" i="115"/>
  <c r="B131" i="115"/>
  <c r="F132" i="115"/>
  <c r="C132" i="115"/>
  <c r="G132" i="115"/>
  <c r="B132" i="115"/>
  <c r="F133" i="115"/>
  <c r="C133" i="115"/>
  <c r="G133" i="115"/>
  <c r="B133" i="115"/>
  <c r="F134" i="115"/>
  <c r="C134" i="115"/>
  <c r="G134" i="115"/>
  <c r="B134" i="115"/>
  <c r="F135" i="115"/>
  <c r="C135" i="115"/>
  <c r="G135" i="115"/>
  <c r="B135" i="115"/>
  <c r="F136" i="115"/>
  <c r="C136" i="115"/>
  <c r="G136" i="115"/>
  <c r="B136" i="115"/>
  <c r="F137" i="115"/>
  <c r="C137" i="115"/>
  <c r="G137" i="115"/>
  <c r="B137" i="115"/>
  <c r="F138" i="115"/>
  <c r="C138" i="115"/>
  <c r="G138" i="115"/>
  <c r="B138" i="115"/>
  <c r="F139" i="115"/>
  <c r="C139" i="115"/>
  <c r="G139" i="115"/>
  <c r="B139" i="115"/>
  <c r="F140" i="115"/>
  <c r="C140" i="115"/>
  <c r="G140" i="115"/>
  <c r="B140" i="115"/>
  <c r="F141" i="115"/>
  <c r="C141" i="115"/>
  <c r="G141" i="115"/>
  <c r="B141" i="115"/>
  <c r="F142" i="115"/>
  <c r="C142" i="115"/>
  <c r="G142" i="115"/>
  <c r="B142" i="115"/>
  <c r="F143" i="115"/>
  <c r="C143" i="115"/>
  <c r="G143" i="115"/>
  <c r="B143" i="115"/>
  <c r="F144" i="115"/>
  <c r="C144" i="115"/>
  <c r="G144" i="115"/>
  <c r="B144" i="115"/>
  <c r="F145" i="115"/>
  <c r="C145" i="115"/>
  <c r="G145" i="115"/>
  <c r="B145" i="115"/>
  <c r="F146" i="115"/>
  <c r="C146" i="115"/>
  <c r="G146" i="115"/>
  <c r="B146" i="115"/>
  <c r="F147" i="115"/>
  <c r="C147" i="115"/>
  <c r="G147" i="115"/>
  <c r="B147" i="115"/>
  <c r="F148" i="115"/>
  <c r="C148" i="115"/>
  <c r="G148" i="115"/>
  <c r="B148" i="115"/>
  <c r="F149" i="115"/>
  <c r="C149" i="115"/>
  <c r="G149" i="115"/>
  <c r="B149" i="115"/>
  <c r="F150" i="115"/>
  <c r="C150" i="115"/>
  <c r="G150" i="115"/>
  <c r="B150" i="115"/>
  <c r="F151" i="115"/>
  <c r="C151" i="115"/>
  <c r="G151" i="115"/>
  <c r="B151" i="115"/>
  <c r="F152" i="115"/>
  <c r="C152" i="115"/>
  <c r="G152" i="115"/>
  <c r="B152" i="115"/>
  <c r="F153" i="115"/>
  <c r="C153" i="115"/>
  <c r="G153" i="115"/>
  <c r="B153" i="115"/>
  <c r="F154" i="115"/>
  <c r="C154" i="115"/>
  <c r="G154" i="115"/>
  <c r="B154" i="115"/>
  <c r="F155" i="115"/>
  <c r="C155" i="115"/>
  <c r="G155" i="115"/>
  <c r="B155" i="115"/>
  <c r="F157" i="115"/>
  <c r="C157" i="115"/>
  <c r="G157" i="115"/>
  <c r="B157" i="115"/>
  <c r="F158" i="115"/>
  <c r="C158" i="115"/>
  <c r="G158" i="115"/>
  <c r="B158" i="115"/>
  <c r="F160" i="115"/>
  <c r="C160" i="115"/>
  <c r="G160" i="115"/>
  <c r="B160" i="115"/>
  <c r="F161" i="115"/>
  <c r="C161" i="115"/>
  <c r="G161" i="115"/>
  <c r="B161" i="115"/>
  <c r="F162" i="115"/>
  <c r="C162" i="115"/>
  <c r="G162" i="115"/>
  <c r="B162" i="115"/>
  <c r="F163" i="115"/>
  <c r="C163" i="115"/>
  <c r="G163" i="115"/>
  <c r="B163" i="115"/>
  <c r="F164" i="115"/>
  <c r="C164" i="115"/>
  <c r="G164" i="115"/>
  <c r="B164" i="115"/>
  <c r="F165" i="115"/>
  <c r="C165" i="115"/>
  <c r="G165" i="115"/>
  <c r="B165" i="115"/>
  <c r="F166" i="115"/>
  <c r="C166" i="115"/>
  <c r="G166" i="115"/>
  <c r="B166" i="115"/>
  <c r="F167" i="115"/>
  <c r="C167" i="115"/>
  <c r="G167" i="115"/>
  <c r="B167" i="115"/>
  <c r="F168" i="115"/>
  <c r="C168" i="115"/>
  <c r="G168" i="115"/>
  <c r="B168" i="115"/>
  <c r="F169" i="115"/>
  <c r="C169" i="115"/>
  <c r="G169" i="115"/>
  <c r="B169" i="115"/>
  <c r="F170" i="115"/>
  <c r="C170" i="115"/>
  <c r="G170" i="115"/>
  <c r="B170" i="115"/>
  <c r="F171" i="115"/>
  <c r="C171" i="115"/>
  <c r="G171" i="115"/>
  <c r="B171" i="115"/>
  <c r="F172" i="115"/>
  <c r="C172" i="115"/>
  <c r="G172" i="115"/>
  <c r="B172" i="115"/>
  <c r="F173" i="115"/>
  <c r="C173" i="115"/>
  <c r="G173" i="115"/>
  <c r="B173" i="115"/>
  <c r="F174" i="115"/>
  <c r="C174" i="115"/>
  <c r="G174" i="115"/>
  <c r="B174" i="115"/>
  <c r="F175" i="115"/>
  <c r="C175" i="115"/>
  <c r="G175" i="115"/>
  <c r="B175" i="115"/>
  <c r="F176" i="115"/>
  <c r="C176" i="115"/>
  <c r="G176" i="115"/>
  <c r="B176" i="115"/>
  <c r="F177" i="115"/>
  <c r="C177" i="115"/>
  <c r="G177" i="115"/>
  <c r="B177" i="115"/>
  <c r="F178" i="115"/>
  <c r="C178" i="115"/>
  <c r="G178" i="115"/>
  <c r="B178" i="115"/>
  <c r="F179" i="115"/>
  <c r="C179" i="115"/>
  <c r="G179" i="115"/>
  <c r="B179" i="115"/>
  <c r="F180" i="115"/>
  <c r="C180" i="115"/>
  <c r="G180" i="115"/>
  <c r="B180" i="115"/>
  <c r="F181" i="115"/>
  <c r="C181" i="115"/>
  <c r="G181" i="115"/>
  <c r="B181" i="115"/>
  <c r="F182" i="115"/>
  <c r="C182" i="115"/>
  <c r="G182" i="115"/>
  <c r="B182" i="115"/>
  <c r="F183" i="115"/>
  <c r="C183" i="115"/>
  <c r="G183" i="115"/>
  <c r="B183" i="115"/>
  <c r="F184" i="115"/>
  <c r="C184" i="115"/>
  <c r="G184" i="115"/>
  <c r="B184" i="115"/>
  <c r="F185" i="115"/>
  <c r="C185" i="115"/>
  <c r="G185" i="115"/>
  <c r="B185" i="115"/>
  <c r="F186" i="115"/>
  <c r="C186" i="115"/>
  <c r="G186" i="115"/>
  <c r="B186" i="115"/>
  <c r="F188" i="115"/>
  <c r="C188" i="115"/>
  <c r="G188" i="115"/>
  <c r="B188" i="115"/>
  <c r="F190" i="115"/>
  <c r="C190" i="115"/>
  <c r="G190" i="115"/>
  <c r="B190" i="115"/>
  <c r="F191" i="115"/>
  <c r="C191" i="115"/>
  <c r="G191" i="115"/>
  <c r="B191" i="115"/>
  <c r="F192" i="115"/>
  <c r="C192" i="115"/>
  <c r="G192" i="115"/>
  <c r="B192" i="115"/>
  <c r="F193" i="115"/>
  <c r="C193" i="115"/>
  <c r="G193" i="115"/>
  <c r="B193" i="115"/>
  <c r="F195" i="115"/>
  <c r="C195" i="115"/>
  <c r="G195" i="115"/>
  <c r="B195" i="115"/>
  <c r="F196" i="115"/>
  <c r="C196" i="115"/>
  <c r="G196" i="115"/>
  <c r="B196" i="115"/>
  <c r="F197" i="115"/>
  <c r="C197" i="115"/>
  <c r="G197" i="115"/>
  <c r="B197" i="115"/>
  <c r="F198" i="115"/>
  <c r="C198" i="115"/>
  <c r="G198" i="115"/>
  <c r="B198" i="115"/>
  <c r="F199" i="115"/>
  <c r="C199" i="115"/>
  <c r="G199" i="115"/>
  <c r="B199" i="115"/>
  <c r="F200" i="115"/>
  <c r="C200" i="115"/>
  <c r="G200" i="115"/>
  <c r="B200" i="115"/>
  <c r="F201" i="115"/>
  <c r="C201" i="115"/>
  <c r="G201" i="115"/>
  <c r="B201" i="115"/>
  <c r="F202" i="115"/>
  <c r="C202" i="115"/>
  <c r="G202" i="115"/>
  <c r="B202" i="115"/>
  <c r="F203" i="115"/>
  <c r="C203" i="115"/>
  <c r="G203" i="115"/>
  <c r="B203" i="115"/>
  <c r="F204" i="115"/>
  <c r="C204" i="115"/>
  <c r="G204" i="115"/>
  <c r="B204" i="115"/>
  <c r="F205" i="115"/>
  <c r="C205" i="115"/>
  <c r="G205" i="115"/>
  <c r="B205" i="115"/>
  <c r="F206" i="115"/>
  <c r="C206" i="115"/>
  <c r="G206" i="115"/>
  <c r="B206" i="115"/>
  <c r="F207" i="115"/>
  <c r="C207" i="115"/>
  <c r="G207" i="115"/>
  <c r="B207" i="115"/>
  <c r="F208" i="115"/>
  <c r="C208" i="115"/>
  <c r="G208" i="115"/>
  <c r="B208" i="115"/>
  <c r="F209" i="115"/>
  <c r="C209" i="115"/>
  <c r="G209" i="115"/>
  <c r="B209" i="115"/>
  <c r="F210" i="115"/>
  <c r="C210" i="115"/>
  <c r="G210" i="115"/>
  <c r="B210" i="115"/>
  <c r="F211" i="115"/>
  <c r="C211" i="115"/>
  <c r="G211" i="115"/>
  <c r="B211" i="115"/>
  <c r="F212" i="115"/>
  <c r="C212" i="115"/>
  <c r="G212" i="115"/>
  <c r="B212" i="115"/>
  <c r="F213" i="115"/>
  <c r="C213" i="115"/>
  <c r="G213" i="115"/>
  <c r="B213" i="115"/>
  <c r="F214" i="115"/>
  <c r="C214" i="115"/>
  <c r="G214" i="115"/>
  <c r="B214" i="115"/>
  <c r="F215" i="115"/>
  <c r="C215" i="115"/>
  <c r="G215" i="115"/>
  <c r="B215" i="115"/>
  <c r="F216" i="115"/>
  <c r="C216" i="115"/>
  <c r="G216" i="115"/>
  <c r="B216" i="115"/>
  <c r="F217" i="115"/>
  <c r="C217" i="115"/>
  <c r="G217" i="115"/>
  <c r="B217" i="115"/>
  <c r="F218" i="115"/>
  <c r="C218" i="115"/>
  <c r="G218" i="115"/>
  <c r="B218" i="115"/>
  <c r="F219" i="115"/>
  <c r="C219" i="115"/>
  <c r="G219" i="115"/>
  <c r="B219" i="115"/>
  <c r="F220" i="115"/>
  <c r="C220" i="115"/>
  <c r="G220" i="115"/>
  <c r="B220" i="115"/>
  <c r="F221" i="115"/>
  <c r="C221" i="115"/>
  <c r="G221" i="115"/>
  <c r="B221" i="115"/>
  <c r="F222" i="115"/>
  <c r="C222" i="115"/>
  <c r="G222" i="115"/>
  <c r="B222" i="115"/>
  <c r="F223" i="115"/>
  <c r="C223" i="115"/>
  <c r="G223" i="115"/>
  <c r="B223" i="115"/>
  <c r="F224" i="115"/>
  <c r="C224" i="115"/>
  <c r="G224" i="115"/>
  <c r="B224" i="115"/>
  <c r="F225" i="115"/>
  <c r="C225" i="115"/>
  <c r="G225" i="115"/>
  <c r="B225" i="115"/>
  <c r="F226" i="115"/>
  <c r="C226" i="115"/>
  <c r="G226" i="115"/>
  <c r="B226" i="115"/>
  <c r="F227" i="115"/>
  <c r="C227" i="115"/>
  <c r="G227" i="115"/>
  <c r="B227" i="115"/>
  <c r="F228" i="115"/>
  <c r="C228" i="115"/>
  <c r="G228" i="115"/>
  <c r="B228" i="115"/>
  <c r="F229" i="115"/>
  <c r="C229" i="115"/>
  <c r="G229" i="115"/>
  <c r="B229" i="115"/>
  <c r="F230" i="115"/>
  <c r="C230" i="115"/>
  <c r="G230" i="115"/>
  <c r="B230" i="115"/>
  <c r="F231" i="115"/>
  <c r="C231" i="115"/>
  <c r="G231" i="115"/>
  <c r="B231" i="115"/>
  <c r="F232" i="115"/>
  <c r="C232" i="115"/>
  <c r="G232" i="115"/>
  <c r="B232" i="115"/>
  <c r="F233" i="115"/>
  <c r="C233" i="115"/>
  <c r="G233" i="115"/>
  <c r="B233" i="115"/>
  <c r="F234" i="115"/>
  <c r="C234" i="115"/>
  <c r="G234" i="115"/>
  <c r="B234" i="115"/>
  <c r="F235" i="115"/>
  <c r="C235" i="115"/>
  <c r="G235" i="115"/>
  <c r="B235" i="115"/>
  <c r="F236" i="115"/>
  <c r="C236" i="115"/>
  <c r="G236" i="115"/>
  <c r="B236" i="115"/>
  <c r="F237" i="115"/>
  <c r="C237" i="115"/>
  <c r="G237" i="115"/>
  <c r="B237" i="115"/>
  <c r="F238" i="115"/>
  <c r="C238" i="115"/>
  <c r="G238" i="115"/>
  <c r="B238" i="115"/>
  <c r="F239" i="115"/>
  <c r="C239" i="115"/>
  <c r="G239" i="115"/>
  <c r="B239" i="115"/>
  <c r="F240" i="115"/>
  <c r="C240" i="115"/>
  <c r="G240" i="115"/>
  <c r="B240" i="115"/>
  <c r="F241" i="115"/>
  <c r="C241" i="115"/>
  <c r="G241" i="115"/>
  <c r="B241" i="115"/>
  <c r="F242" i="115"/>
  <c r="C242" i="115"/>
  <c r="G242" i="115"/>
  <c r="B242" i="115"/>
  <c r="F243" i="115"/>
  <c r="C243" i="115"/>
  <c r="G243" i="115"/>
  <c r="B243" i="115"/>
  <c r="F244" i="115"/>
  <c r="C244" i="115"/>
  <c r="G244" i="115"/>
  <c r="B244" i="115"/>
  <c r="F245" i="115"/>
  <c r="C245" i="115"/>
  <c r="G245" i="115"/>
  <c r="B245" i="115"/>
  <c r="F246" i="115"/>
  <c r="C246" i="115"/>
  <c r="G246" i="115"/>
  <c r="B246" i="115"/>
  <c r="F247" i="115"/>
  <c r="C247" i="115"/>
  <c r="G247" i="115"/>
  <c r="B247" i="115"/>
  <c r="F248" i="115"/>
  <c r="C248" i="115"/>
  <c r="G248" i="115"/>
  <c r="B248" i="115"/>
  <c r="F249" i="115"/>
  <c r="C249" i="115"/>
  <c r="G249" i="115"/>
  <c r="B249" i="115"/>
  <c r="F250" i="115"/>
  <c r="C250" i="115"/>
  <c r="G250" i="115"/>
  <c r="B250" i="115"/>
  <c r="F251" i="115"/>
  <c r="C251" i="115"/>
  <c r="G251" i="115"/>
  <c r="B251" i="115"/>
  <c r="F252" i="115"/>
  <c r="C252" i="115"/>
  <c r="G252" i="115"/>
  <c r="B252" i="115"/>
  <c r="F253" i="115"/>
  <c r="C253" i="115"/>
  <c r="G253" i="115"/>
  <c r="B253" i="115"/>
  <c r="F254" i="115"/>
  <c r="C254" i="115"/>
  <c r="G254" i="115"/>
  <c r="B254" i="115"/>
  <c r="E22" i="114"/>
  <c r="H22" i="114"/>
  <c r="E21" i="114"/>
  <c r="H21" i="114"/>
  <c r="L255" i="115"/>
  <c r="B5" i="114"/>
  <c r="B17" i="114"/>
  <c r="C17" i="114"/>
  <c r="D17" i="114"/>
  <c r="G17" i="114"/>
  <c r="E17" i="114"/>
  <c r="H17" i="114"/>
  <c r="L2" i="115"/>
  <c r="B19" i="114"/>
  <c r="B20" i="114"/>
  <c r="B18" i="114"/>
  <c r="C18" i="114"/>
  <c r="D18" i="114"/>
  <c r="G18" i="114"/>
  <c r="E18" i="114"/>
  <c r="H18" i="114"/>
  <c r="L3" i="115"/>
  <c r="L4" i="115"/>
  <c r="L5" i="115"/>
  <c r="L6" i="115"/>
  <c r="L7" i="115"/>
  <c r="L8" i="115"/>
  <c r="L9" i="115"/>
  <c r="L10" i="115"/>
  <c r="L11" i="115"/>
  <c r="L12" i="115"/>
  <c r="L13" i="115"/>
  <c r="L14" i="115"/>
  <c r="L15" i="115"/>
  <c r="L16" i="115"/>
  <c r="L17" i="115"/>
  <c r="L18" i="115"/>
  <c r="L19" i="115"/>
  <c r="L20" i="115"/>
  <c r="L21" i="115"/>
  <c r="L22" i="115"/>
  <c r="L23" i="115"/>
  <c r="L24" i="115"/>
  <c r="L25" i="115"/>
  <c r="L26" i="115"/>
  <c r="L27" i="115"/>
  <c r="L28" i="115"/>
  <c r="L29" i="115"/>
  <c r="L30" i="115"/>
  <c r="L31" i="115"/>
  <c r="L32" i="115"/>
  <c r="L33" i="115"/>
  <c r="L34" i="115"/>
  <c r="L35" i="115"/>
  <c r="L36" i="115"/>
  <c r="L37" i="115"/>
  <c r="L38" i="115"/>
  <c r="L39" i="115"/>
  <c r="L40" i="115"/>
  <c r="L41" i="115"/>
  <c r="L42" i="115"/>
  <c r="L43" i="115"/>
  <c r="B23" i="114"/>
  <c r="B21" i="114"/>
  <c r="C21" i="114"/>
  <c r="D21" i="114"/>
  <c r="G21" i="114"/>
  <c r="L44" i="115"/>
  <c r="L45" i="115"/>
  <c r="L46" i="115"/>
  <c r="L47" i="115"/>
  <c r="L48" i="115"/>
  <c r="L49" i="115"/>
  <c r="L50" i="115"/>
  <c r="L51" i="115"/>
  <c r="L52" i="115"/>
  <c r="L53" i="115"/>
  <c r="L54" i="115"/>
  <c r="L55" i="115"/>
  <c r="L56" i="115"/>
  <c r="L57" i="115"/>
  <c r="L58" i="115"/>
  <c r="L59" i="115"/>
  <c r="L60" i="115"/>
  <c r="L61" i="115"/>
  <c r="L62" i="115"/>
  <c r="L63" i="115"/>
  <c r="L64" i="115"/>
  <c r="L65" i="115"/>
  <c r="L66" i="115"/>
  <c r="L67" i="115"/>
  <c r="L68" i="115"/>
  <c r="L69" i="115"/>
  <c r="L70" i="115"/>
  <c r="L71" i="115"/>
  <c r="L72" i="115"/>
  <c r="L73" i="115"/>
  <c r="L74" i="115"/>
  <c r="L75" i="115"/>
  <c r="L76" i="115"/>
  <c r="L77" i="115"/>
  <c r="L78" i="115"/>
  <c r="L79" i="115"/>
  <c r="L80" i="115"/>
  <c r="L81" i="115"/>
  <c r="L82" i="115"/>
  <c r="L83" i="115"/>
  <c r="L84" i="115"/>
  <c r="L85" i="115"/>
  <c r="L86" i="115"/>
  <c r="L87" i="115"/>
  <c r="L88" i="115"/>
  <c r="L89" i="115"/>
  <c r="L90" i="115"/>
  <c r="L91" i="115"/>
  <c r="L92" i="115"/>
  <c r="L93" i="115"/>
  <c r="L94" i="115"/>
  <c r="L95" i="115"/>
  <c r="L96" i="115"/>
  <c r="L97" i="115"/>
  <c r="L98" i="115"/>
  <c r="L99" i="115"/>
  <c r="L100" i="115"/>
  <c r="L101" i="115"/>
  <c r="L102" i="115"/>
  <c r="L103" i="115"/>
  <c r="L104" i="115"/>
  <c r="L105" i="115"/>
  <c r="L106" i="115"/>
  <c r="L107" i="115"/>
  <c r="L108" i="115"/>
  <c r="L109" i="115"/>
  <c r="L110" i="115"/>
  <c r="L111" i="115"/>
  <c r="L112" i="115"/>
  <c r="L113" i="115"/>
  <c r="L114" i="115"/>
  <c r="L115" i="115"/>
  <c r="L116" i="115"/>
  <c r="L117" i="115"/>
  <c r="L118" i="115"/>
  <c r="L119" i="115"/>
  <c r="L120" i="115"/>
  <c r="L121" i="115"/>
  <c r="L122" i="115"/>
  <c r="L123" i="115"/>
  <c r="L124" i="115"/>
  <c r="L125" i="115"/>
  <c r="L126" i="115"/>
  <c r="L127" i="115"/>
  <c r="L128" i="115"/>
  <c r="L129" i="115"/>
  <c r="L130" i="115"/>
  <c r="L131" i="115"/>
  <c r="L132" i="115"/>
  <c r="L133" i="115"/>
  <c r="L134" i="115"/>
  <c r="L135" i="115"/>
  <c r="L136" i="115"/>
  <c r="L137" i="115"/>
  <c r="C19" i="114"/>
  <c r="D19" i="114"/>
  <c r="G19" i="114"/>
  <c r="E19" i="114"/>
  <c r="H19" i="114"/>
  <c r="L138" i="115"/>
  <c r="L139" i="115"/>
  <c r="L140" i="115"/>
  <c r="L141" i="115"/>
  <c r="L142" i="115"/>
  <c r="L143" i="115"/>
  <c r="L144" i="115"/>
  <c r="L145" i="115"/>
  <c r="L146" i="115"/>
  <c r="L147" i="115"/>
  <c r="L148" i="115"/>
  <c r="L149" i="115"/>
  <c r="L150" i="115"/>
  <c r="L151" i="115"/>
  <c r="L152" i="115"/>
  <c r="L153" i="115"/>
  <c r="L154" i="115"/>
  <c r="L155" i="115"/>
  <c r="L156" i="115"/>
  <c r="L157" i="115"/>
  <c r="L158" i="115"/>
  <c r="L159" i="115"/>
  <c r="L160" i="115"/>
  <c r="L161" i="115"/>
  <c r="L162" i="115"/>
  <c r="L163" i="115"/>
  <c r="L164" i="115"/>
  <c r="L165" i="115"/>
  <c r="L166" i="115"/>
  <c r="L167" i="115"/>
  <c r="L168" i="115"/>
  <c r="L169" i="115"/>
  <c r="L170" i="115"/>
  <c r="L171" i="115"/>
  <c r="L172" i="115"/>
  <c r="L173" i="115"/>
  <c r="L174" i="115"/>
  <c r="L175" i="115"/>
  <c r="L176" i="115"/>
  <c r="L177" i="115"/>
  <c r="L178" i="115"/>
  <c r="L179" i="115"/>
  <c r="L180" i="115"/>
  <c r="L181" i="115"/>
  <c r="L182" i="115"/>
  <c r="L183" i="115"/>
  <c r="L184" i="115"/>
  <c r="L185" i="115"/>
  <c r="L186" i="115"/>
  <c r="L187" i="115"/>
  <c r="L188" i="115"/>
  <c r="L189" i="115"/>
  <c r="L190" i="115"/>
  <c r="L191" i="115"/>
  <c r="L192" i="115"/>
  <c r="L193" i="115"/>
  <c r="L194" i="115"/>
  <c r="L195" i="115"/>
  <c r="L196" i="115"/>
  <c r="L197" i="115"/>
  <c r="L198" i="115"/>
  <c r="L199" i="115"/>
  <c r="L200" i="115"/>
  <c r="L201" i="115"/>
  <c r="L202" i="115"/>
  <c r="L203" i="115"/>
  <c r="L204" i="115"/>
  <c r="L205" i="115"/>
  <c r="L206" i="115"/>
  <c r="L207" i="115"/>
  <c r="L208" i="115"/>
  <c r="L209" i="115"/>
  <c r="L210" i="115"/>
  <c r="L211" i="115"/>
  <c r="L212" i="115"/>
  <c r="L213" i="115"/>
  <c r="L214" i="115"/>
  <c r="L215" i="115"/>
  <c r="L216" i="115"/>
  <c r="L217" i="115"/>
  <c r="L218" i="115"/>
  <c r="L219" i="115"/>
  <c r="L220" i="115"/>
  <c r="L221" i="115"/>
  <c r="L222" i="115"/>
  <c r="L223" i="115"/>
  <c r="L224" i="115"/>
  <c r="L225" i="115"/>
  <c r="L226" i="115"/>
  <c r="L227" i="115"/>
  <c r="L228" i="115"/>
  <c r="L229" i="115"/>
  <c r="L230" i="115"/>
  <c r="L231" i="115"/>
  <c r="L232" i="115"/>
  <c r="L233" i="115"/>
  <c r="L234" i="115"/>
  <c r="L235" i="115"/>
  <c r="L236" i="115"/>
  <c r="L237" i="115"/>
  <c r="L238" i="115"/>
  <c r="L239" i="115"/>
  <c r="L240" i="115"/>
  <c r="L241" i="115"/>
  <c r="L242" i="115"/>
  <c r="L243" i="115"/>
  <c r="L244" i="115"/>
  <c r="L245" i="115"/>
  <c r="L246" i="115"/>
  <c r="L247" i="115"/>
  <c r="L248" i="115"/>
  <c r="L249" i="115"/>
  <c r="L250" i="115"/>
  <c r="L251" i="115"/>
  <c r="L252" i="115"/>
  <c r="L253" i="115"/>
  <c r="L254" i="115"/>
  <c r="M255" i="115"/>
  <c r="K255" i="115"/>
  <c r="J255" i="115"/>
  <c r="I255" i="115"/>
  <c r="H255" i="115"/>
  <c r="E255" i="115"/>
  <c r="A255" i="115"/>
  <c r="S254" i="115"/>
  <c r="R254" i="115"/>
  <c r="Q254" i="115"/>
  <c r="P254" i="115"/>
  <c r="O254" i="115"/>
  <c r="N254" i="115"/>
  <c r="M254" i="115"/>
  <c r="K254" i="115"/>
  <c r="J254" i="115"/>
  <c r="I254" i="115"/>
  <c r="H254" i="115"/>
  <c r="E254" i="115"/>
  <c r="A254" i="115"/>
  <c r="S253" i="115"/>
  <c r="R253" i="115"/>
  <c r="Q253" i="115"/>
  <c r="P253" i="115"/>
  <c r="O253" i="115"/>
  <c r="N253" i="115"/>
  <c r="M253" i="115"/>
  <c r="K253" i="115"/>
  <c r="J253" i="115"/>
  <c r="I253" i="115"/>
  <c r="H253" i="115"/>
  <c r="E253" i="115"/>
  <c r="A253" i="115"/>
  <c r="S252" i="115"/>
  <c r="R252" i="115"/>
  <c r="Q252" i="115"/>
  <c r="P252" i="115"/>
  <c r="O252" i="115"/>
  <c r="N252" i="115"/>
  <c r="M252" i="115"/>
  <c r="K252" i="115"/>
  <c r="J252" i="115"/>
  <c r="I252" i="115"/>
  <c r="H252" i="115"/>
  <c r="E252" i="115"/>
  <c r="A252" i="115"/>
  <c r="S251" i="115"/>
  <c r="R251" i="115"/>
  <c r="Q251" i="115"/>
  <c r="P251" i="115"/>
  <c r="O251" i="115"/>
  <c r="N251" i="115"/>
  <c r="M251" i="115"/>
  <c r="K251" i="115"/>
  <c r="J251" i="115"/>
  <c r="I251" i="115"/>
  <c r="H251" i="115"/>
  <c r="E251" i="115"/>
  <c r="A251" i="115"/>
  <c r="S250" i="115"/>
  <c r="R250" i="115"/>
  <c r="Q250" i="115"/>
  <c r="P250" i="115"/>
  <c r="O250" i="115"/>
  <c r="N250" i="115"/>
  <c r="M250" i="115"/>
  <c r="K250" i="115"/>
  <c r="J250" i="115"/>
  <c r="I250" i="115"/>
  <c r="H250" i="115"/>
  <c r="E250" i="115"/>
  <c r="A250" i="115"/>
  <c r="S249" i="115"/>
  <c r="R249" i="115"/>
  <c r="Q249" i="115"/>
  <c r="P249" i="115"/>
  <c r="O249" i="115"/>
  <c r="N249" i="115"/>
  <c r="M249" i="115"/>
  <c r="K249" i="115"/>
  <c r="J249" i="115"/>
  <c r="I249" i="115"/>
  <c r="H249" i="115"/>
  <c r="E249" i="115"/>
  <c r="A249" i="115"/>
  <c r="S248" i="115"/>
  <c r="R248" i="115"/>
  <c r="Q248" i="115"/>
  <c r="P248" i="115"/>
  <c r="O248" i="115"/>
  <c r="N248" i="115"/>
  <c r="M248" i="115"/>
  <c r="K248" i="115"/>
  <c r="J248" i="115"/>
  <c r="I248" i="115"/>
  <c r="H248" i="115"/>
  <c r="E248" i="115"/>
  <c r="A248" i="115"/>
  <c r="S247" i="115"/>
  <c r="R247" i="115"/>
  <c r="Q247" i="115"/>
  <c r="P247" i="115"/>
  <c r="O247" i="115"/>
  <c r="N247" i="115"/>
  <c r="M247" i="115"/>
  <c r="K247" i="115"/>
  <c r="J247" i="115"/>
  <c r="I247" i="115"/>
  <c r="H247" i="115"/>
  <c r="E247" i="115"/>
  <c r="A247" i="115"/>
  <c r="S246" i="115"/>
  <c r="R246" i="115"/>
  <c r="Q246" i="115"/>
  <c r="P246" i="115"/>
  <c r="O246" i="115"/>
  <c r="N246" i="115"/>
  <c r="M246" i="115"/>
  <c r="K246" i="115"/>
  <c r="J246" i="115"/>
  <c r="I246" i="115"/>
  <c r="H246" i="115"/>
  <c r="E246" i="115"/>
  <c r="A246" i="115"/>
  <c r="S245" i="115"/>
  <c r="R245" i="115"/>
  <c r="Q245" i="115"/>
  <c r="P245" i="115"/>
  <c r="O245" i="115"/>
  <c r="N245" i="115"/>
  <c r="M245" i="115"/>
  <c r="K245" i="115"/>
  <c r="J245" i="115"/>
  <c r="I245" i="115"/>
  <c r="H245" i="115"/>
  <c r="E245" i="115"/>
  <c r="A245" i="115"/>
  <c r="S244" i="115"/>
  <c r="R244" i="115"/>
  <c r="Q244" i="115"/>
  <c r="P244" i="115"/>
  <c r="O244" i="115"/>
  <c r="N244" i="115"/>
  <c r="M244" i="115"/>
  <c r="K244" i="115"/>
  <c r="J244" i="115"/>
  <c r="I244" i="115"/>
  <c r="H244" i="115"/>
  <c r="E244" i="115"/>
  <c r="A244" i="115"/>
  <c r="S243" i="115"/>
  <c r="R243" i="115"/>
  <c r="Q243" i="115"/>
  <c r="P243" i="115"/>
  <c r="O243" i="115"/>
  <c r="N243" i="115"/>
  <c r="M243" i="115"/>
  <c r="K243" i="115"/>
  <c r="J243" i="115"/>
  <c r="I243" i="115"/>
  <c r="H243" i="115"/>
  <c r="E243" i="115"/>
  <c r="A243" i="115"/>
  <c r="S242" i="115"/>
  <c r="R242" i="115"/>
  <c r="Q242" i="115"/>
  <c r="P242" i="115"/>
  <c r="O242" i="115"/>
  <c r="N242" i="115"/>
  <c r="M242" i="115"/>
  <c r="K242" i="115"/>
  <c r="J242" i="115"/>
  <c r="I242" i="115"/>
  <c r="H242" i="115"/>
  <c r="E242" i="115"/>
  <c r="A242" i="115"/>
  <c r="S241" i="115"/>
  <c r="R241" i="115"/>
  <c r="Q241" i="115"/>
  <c r="P241" i="115"/>
  <c r="O241" i="115"/>
  <c r="N241" i="115"/>
  <c r="M241" i="115"/>
  <c r="K241" i="115"/>
  <c r="J241" i="115"/>
  <c r="I241" i="115"/>
  <c r="H241" i="115"/>
  <c r="E241" i="115"/>
  <c r="A241" i="115"/>
  <c r="S240" i="115"/>
  <c r="R240" i="115"/>
  <c r="Q240" i="115"/>
  <c r="P240" i="115"/>
  <c r="O240" i="115"/>
  <c r="N240" i="115"/>
  <c r="M240" i="115"/>
  <c r="K240" i="115"/>
  <c r="J240" i="115"/>
  <c r="I240" i="115"/>
  <c r="H240" i="115"/>
  <c r="E240" i="115"/>
  <c r="A240" i="115"/>
  <c r="S239" i="115"/>
  <c r="R239" i="115"/>
  <c r="Q239" i="115"/>
  <c r="P239" i="115"/>
  <c r="O239" i="115"/>
  <c r="N239" i="115"/>
  <c r="M239" i="115"/>
  <c r="K239" i="115"/>
  <c r="J239" i="115"/>
  <c r="I239" i="115"/>
  <c r="H239" i="115"/>
  <c r="E239" i="115"/>
  <c r="A239" i="115"/>
  <c r="S238" i="115"/>
  <c r="R238" i="115"/>
  <c r="Q238" i="115"/>
  <c r="P238" i="115"/>
  <c r="O238" i="115"/>
  <c r="N238" i="115"/>
  <c r="M238" i="115"/>
  <c r="K238" i="115"/>
  <c r="J238" i="115"/>
  <c r="I238" i="115"/>
  <c r="H238" i="115"/>
  <c r="E238" i="115"/>
  <c r="A238" i="115"/>
  <c r="S237" i="115"/>
  <c r="R237" i="115"/>
  <c r="Q237" i="115"/>
  <c r="P237" i="115"/>
  <c r="O237" i="115"/>
  <c r="N237" i="115"/>
  <c r="M237" i="115"/>
  <c r="K237" i="115"/>
  <c r="J237" i="115"/>
  <c r="I237" i="115"/>
  <c r="H237" i="115"/>
  <c r="E237" i="115"/>
  <c r="A237" i="115"/>
  <c r="S236" i="115"/>
  <c r="R236" i="115"/>
  <c r="Q236" i="115"/>
  <c r="P236" i="115"/>
  <c r="O236" i="115"/>
  <c r="N236" i="115"/>
  <c r="M236" i="115"/>
  <c r="K236" i="115"/>
  <c r="J236" i="115"/>
  <c r="I236" i="115"/>
  <c r="H236" i="115"/>
  <c r="E236" i="115"/>
  <c r="A236" i="115"/>
  <c r="S235" i="115"/>
  <c r="R235" i="115"/>
  <c r="Q235" i="115"/>
  <c r="P235" i="115"/>
  <c r="O235" i="115"/>
  <c r="N235" i="115"/>
  <c r="M235" i="115"/>
  <c r="K235" i="115"/>
  <c r="J235" i="115"/>
  <c r="I235" i="115"/>
  <c r="H235" i="115"/>
  <c r="E235" i="115"/>
  <c r="A235" i="115"/>
  <c r="S234" i="115"/>
  <c r="R234" i="115"/>
  <c r="Q234" i="115"/>
  <c r="P234" i="115"/>
  <c r="O234" i="115"/>
  <c r="N234" i="115"/>
  <c r="M234" i="115"/>
  <c r="K234" i="115"/>
  <c r="J234" i="115"/>
  <c r="I234" i="115"/>
  <c r="H234" i="115"/>
  <c r="E234" i="115"/>
  <c r="A234" i="115"/>
  <c r="S233" i="115"/>
  <c r="R233" i="115"/>
  <c r="Q233" i="115"/>
  <c r="P233" i="115"/>
  <c r="O233" i="115"/>
  <c r="N233" i="115"/>
  <c r="M233" i="115"/>
  <c r="K233" i="115"/>
  <c r="J233" i="115"/>
  <c r="I233" i="115"/>
  <c r="H233" i="115"/>
  <c r="E233" i="115"/>
  <c r="A233" i="115"/>
  <c r="S232" i="115"/>
  <c r="R232" i="115"/>
  <c r="Q232" i="115"/>
  <c r="P232" i="115"/>
  <c r="O232" i="115"/>
  <c r="N232" i="115"/>
  <c r="M232" i="115"/>
  <c r="K232" i="115"/>
  <c r="J232" i="115"/>
  <c r="I232" i="115"/>
  <c r="H232" i="115"/>
  <c r="E232" i="115"/>
  <c r="A232" i="115"/>
  <c r="S231" i="115"/>
  <c r="R231" i="115"/>
  <c r="Q231" i="115"/>
  <c r="P231" i="115"/>
  <c r="O231" i="115"/>
  <c r="N231" i="115"/>
  <c r="M231" i="115"/>
  <c r="K231" i="115"/>
  <c r="J231" i="115"/>
  <c r="I231" i="115"/>
  <c r="H231" i="115"/>
  <c r="E231" i="115"/>
  <c r="A231" i="115"/>
  <c r="S230" i="115"/>
  <c r="R230" i="115"/>
  <c r="Q230" i="115"/>
  <c r="P230" i="115"/>
  <c r="O230" i="115"/>
  <c r="N230" i="115"/>
  <c r="M230" i="115"/>
  <c r="K230" i="115"/>
  <c r="J230" i="115"/>
  <c r="I230" i="115"/>
  <c r="H230" i="115"/>
  <c r="E230" i="115"/>
  <c r="A230" i="115"/>
  <c r="S229" i="115"/>
  <c r="R229" i="115"/>
  <c r="Q229" i="115"/>
  <c r="P229" i="115"/>
  <c r="O229" i="115"/>
  <c r="N229" i="115"/>
  <c r="M229" i="115"/>
  <c r="K229" i="115"/>
  <c r="J229" i="115"/>
  <c r="I229" i="115"/>
  <c r="H229" i="115"/>
  <c r="E229" i="115"/>
  <c r="A229" i="115"/>
  <c r="S228" i="115"/>
  <c r="R228" i="115"/>
  <c r="Q228" i="115"/>
  <c r="P228" i="115"/>
  <c r="O228" i="115"/>
  <c r="N228" i="115"/>
  <c r="M228" i="115"/>
  <c r="K228" i="115"/>
  <c r="J228" i="115"/>
  <c r="I228" i="115"/>
  <c r="H228" i="115"/>
  <c r="E228" i="115"/>
  <c r="A228" i="115"/>
  <c r="S227" i="115"/>
  <c r="R227" i="115"/>
  <c r="Q227" i="115"/>
  <c r="P227" i="115"/>
  <c r="O227" i="115"/>
  <c r="N227" i="115"/>
  <c r="M227" i="115"/>
  <c r="K227" i="115"/>
  <c r="J227" i="115"/>
  <c r="I227" i="115"/>
  <c r="H227" i="115"/>
  <c r="E227" i="115"/>
  <c r="A227" i="115"/>
  <c r="S226" i="115"/>
  <c r="R226" i="115"/>
  <c r="Q226" i="115"/>
  <c r="P226" i="115"/>
  <c r="O226" i="115"/>
  <c r="N226" i="115"/>
  <c r="M226" i="115"/>
  <c r="K226" i="115"/>
  <c r="J226" i="115"/>
  <c r="I226" i="115"/>
  <c r="H226" i="115"/>
  <c r="E226" i="115"/>
  <c r="A226" i="115"/>
  <c r="S225" i="115"/>
  <c r="R225" i="115"/>
  <c r="Q225" i="115"/>
  <c r="P225" i="115"/>
  <c r="O225" i="115"/>
  <c r="N225" i="115"/>
  <c r="M225" i="115"/>
  <c r="K225" i="115"/>
  <c r="J225" i="115"/>
  <c r="I225" i="115"/>
  <c r="H225" i="115"/>
  <c r="E225" i="115"/>
  <c r="A225" i="115"/>
  <c r="S224" i="115"/>
  <c r="R224" i="115"/>
  <c r="Q224" i="115"/>
  <c r="P224" i="115"/>
  <c r="O224" i="115"/>
  <c r="N224" i="115"/>
  <c r="M224" i="115"/>
  <c r="K224" i="115"/>
  <c r="J224" i="115"/>
  <c r="I224" i="115"/>
  <c r="H224" i="115"/>
  <c r="E224" i="115"/>
  <c r="A224" i="115"/>
  <c r="S223" i="115"/>
  <c r="R223" i="115"/>
  <c r="Q223" i="115"/>
  <c r="P223" i="115"/>
  <c r="O223" i="115"/>
  <c r="N223" i="115"/>
  <c r="M223" i="115"/>
  <c r="K223" i="115"/>
  <c r="J223" i="115"/>
  <c r="I223" i="115"/>
  <c r="H223" i="115"/>
  <c r="E223" i="115"/>
  <c r="A223" i="115"/>
  <c r="S222" i="115"/>
  <c r="R222" i="115"/>
  <c r="Q222" i="115"/>
  <c r="P222" i="115"/>
  <c r="O222" i="115"/>
  <c r="N222" i="115"/>
  <c r="M222" i="115"/>
  <c r="K222" i="115"/>
  <c r="J222" i="115"/>
  <c r="I222" i="115"/>
  <c r="H222" i="115"/>
  <c r="E222" i="115"/>
  <c r="A222" i="115"/>
  <c r="S221" i="115"/>
  <c r="R221" i="115"/>
  <c r="Q221" i="115"/>
  <c r="P221" i="115"/>
  <c r="O221" i="115"/>
  <c r="N221" i="115"/>
  <c r="M221" i="115"/>
  <c r="K221" i="115"/>
  <c r="J221" i="115"/>
  <c r="I221" i="115"/>
  <c r="H221" i="115"/>
  <c r="E221" i="115"/>
  <c r="A221" i="115"/>
  <c r="S220" i="115"/>
  <c r="R220" i="115"/>
  <c r="Q220" i="115"/>
  <c r="P220" i="115"/>
  <c r="O220" i="115"/>
  <c r="N220" i="115"/>
  <c r="M220" i="115"/>
  <c r="K220" i="115"/>
  <c r="J220" i="115"/>
  <c r="I220" i="115"/>
  <c r="H220" i="115"/>
  <c r="E220" i="115"/>
  <c r="A220" i="115"/>
  <c r="S219" i="115"/>
  <c r="R219" i="115"/>
  <c r="Q219" i="115"/>
  <c r="P219" i="115"/>
  <c r="O219" i="115"/>
  <c r="N219" i="115"/>
  <c r="M219" i="115"/>
  <c r="K219" i="115"/>
  <c r="J219" i="115"/>
  <c r="I219" i="115"/>
  <c r="H219" i="115"/>
  <c r="E219" i="115"/>
  <c r="A219" i="115"/>
  <c r="S218" i="115"/>
  <c r="R218" i="115"/>
  <c r="Q218" i="115"/>
  <c r="P218" i="115"/>
  <c r="O218" i="115"/>
  <c r="N218" i="115"/>
  <c r="M218" i="115"/>
  <c r="K218" i="115"/>
  <c r="J218" i="115"/>
  <c r="I218" i="115"/>
  <c r="H218" i="115"/>
  <c r="E218" i="115"/>
  <c r="A218" i="115"/>
  <c r="S217" i="115"/>
  <c r="R217" i="115"/>
  <c r="Q217" i="115"/>
  <c r="P217" i="115"/>
  <c r="O217" i="115"/>
  <c r="N217" i="115"/>
  <c r="M217" i="115"/>
  <c r="K217" i="115"/>
  <c r="J217" i="115"/>
  <c r="I217" i="115"/>
  <c r="H217" i="115"/>
  <c r="E217" i="115"/>
  <c r="A217" i="115"/>
  <c r="S216" i="115"/>
  <c r="R216" i="115"/>
  <c r="Q216" i="115"/>
  <c r="P216" i="115"/>
  <c r="O216" i="115"/>
  <c r="N216" i="115"/>
  <c r="M216" i="115"/>
  <c r="K216" i="115"/>
  <c r="J216" i="115"/>
  <c r="I216" i="115"/>
  <c r="H216" i="115"/>
  <c r="E216" i="115"/>
  <c r="A216" i="115"/>
  <c r="S215" i="115"/>
  <c r="R215" i="115"/>
  <c r="Q215" i="115"/>
  <c r="P215" i="115"/>
  <c r="O215" i="115"/>
  <c r="N215" i="115"/>
  <c r="M215" i="115"/>
  <c r="K215" i="115"/>
  <c r="J215" i="115"/>
  <c r="I215" i="115"/>
  <c r="H215" i="115"/>
  <c r="E215" i="115"/>
  <c r="A215" i="115"/>
  <c r="S214" i="115"/>
  <c r="R214" i="115"/>
  <c r="Q214" i="115"/>
  <c r="P214" i="115"/>
  <c r="O214" i="115"/>
  <c r="N214" i="115"/>
  <c r="M214" i="115"/>
  <c r="K214" i="115"/>
  <c r="J214" i="115"/>
  <c r="I214" i="115"/>
  <c r="H214" i="115"/>
  <c r="E214" i="115"/>
  <c r="A214" i="115"/>
  <c r="S213" i="115"/>
  <c r="R213" i="115"/>
  <c r="Q213" i="115"/>
  <c r="P213" i="115"/>
  <c r="O213" i="115"/>
  <c r="N213" i="115"/>
  <c r="M213" i="115"/>
  <c r="K213" i="115"/>
  <c r="J213" i="115"/>
  <c r="I213" i="115"/>
  <c r="H213" i="115"/>
  <c r="E213" i="115"/>
  <c r="A213" i="115"/>
  <c r="S212" i="115"/>
  <c r="R212" i="115"/>
  <c r="Q212" i="115"/>
  <c r="P212" i="115"/>
  <c r="O212" i="115"/>
  <c r="N212" i="115"/>
  <c r="M212" i="115"/>
  <c r="K212" i="115"/>
  <c r="J212" i="115"/>
  <c r="I212" i="115"/>
  <c r="H212" i="115"/>
  <c r="E212" i="115"/>
  <c r="A212" i="115"/>
  <c r="S211" i="115"/>
  <c r="R211" i="115"/>
  <c r="Q211" i="115"/>
  <c r="P211" i="115"/>
  <c r="O211" i="115"/>
  <c r="N211" i="115"/>
  <c r="M211" i="115"/>
  <c r="K211" i="115"/>
  <c r="J211" i="115"/>
  <c r="I211" i="115"/>
  <c r="H211" i="115"/>
  <c r="E211" i="115"/>
  <c r="A211" i="115"/>
  <c r="S210" i="115"/>
  <c r="R210" i="115"/>
  <c r="Q210" i="115"/>
  <c r="P210" i="115"/>
  <c r="O210" i="115"/>
  <c r="N210" i="115"/>
  <c r="M210" i="115"/>
  <c r="K210" i="115"/>
  <c r="J210" i="115"/>
  <c r="I210" i="115"/>
  <c r="H210" i="115"/>
  <c r="E210" i="115"/>
  <c r="A210" i="115"/>
  <c r="S209" i="115"/>
  <c r="R209" i="115"/>
  <c r="Q209" i="115"/>
  <c r="P209" i="115"/>
  <c r="O209" i="115"/>
  <c r="N209" i="115"/>
  <c r="M209" i="115"/>
  <c r="K209" i="115"/>
  <c r="J209" i="115"/>
  <c r="I209" i="115"/>
  <c r="H209" i="115"/>
  <c r="E209" i="115"/>
  <c r="A209" i="115"/>
  <c r="S208" i="115"/>
  <c r="R208" i="115"/>
  <c r="Q208" i="115"/>
  <c r="P208" i="115"/>
  <c r="O208" i="115"/>
  <c r="N208" i="115"/>
  <c r="M208" i="115"/>
  <c r="K208" i="115"/>
  <c r="J208" i="115"/>
  <c r="I208" i="115"/>
  <c r="H208" i="115"/>
  <c r="E208" i="115"/>
  <c r="A208" i="115"/>
  <c r="S207" i="115"/>
  <c r="R207" i="115"/>
  <c r="Q207" i="115"/>
  <c r="P207" i="115"/>
  <c r="O207" i="115"/>
  <c r="N207" i="115"/>
  <c r="M207" i="115"/>
  <c r="K207" i="115"/>
  <c r="J207" i="115"/>
  <c r="I207" i="115"/>
  <c r="H207" i="115"/>
  <c r="E207" i="115"/>
  <c r="A207" i="115"/>
  <c r="S206" i="115"/>
  <c r="R206" i="115"/>
  <c r="Q206" i="115"/>
  <c r="P206" i="115"/>
  <c r="O206" i="115"/>
  <c r="N206" i="115"/>
  <c r="M206" i="115"/>
  <c r="K206" i="115"/>
  <c r="J206" i="115"/>
  <c r="I206" i="115"/>
  <c r="H206" i="115"/>
  <c r="E206" i="115"/>
  <c r="A206" i="115"/>
  <c r="S205" i="115"/>
  <c r="R205" i="115"/>
  <c r="Q205" i="115"/>
  <c r="P205" i="115"/>
  <c r="O205" i="115"/>
  <c r="N205" i="115"/>
  <c r="M205" i="115"/>
  <c r="K205" i="115"/>
  <c r="J205" i="115"/>
  <c r="I205" i="115"/>
  <c r="H205" i="115"/>
  <c r="E205" i="115"/>
  <c r="A205" i="115"/>
  <c r="S204" i="115"/>
  <c r="R204" i="115"/>
  <c r="Q204" i="115"/>
  <c r="P204" i="115"/>
  <c r="O204" i="115"/>
  <c r="N204" i="115"/>
  <c r="M204" i="115"/>
  <c r="K204" i="115"/>
  <c r="J204" i="115"/>
  <c r="I204" i="115"/>
  <c r="H204" i="115"/>
  <c r="E204" i="115"/>
  <c r="A204" i="115"/>
  <c r="S203" i="115"/>
  <c r="R203" i="115"/>
  <c r="Q203" i="115"/>
  <c r="P203" i="115"/>
  <c r="O203" i="115"/>
  <c r="N203" i="115"/>
  <c r="M203" i="115"/>
  <c r="K203" i="115"/>
  <c r="J203" i="115"/>
  <c r="I203" i="115"/>
  <c r="H203" i="115"/>
  <c r="E203" i="115"/>
  <c r="A203" i="115"/>
  <c r="S202" i="115"/>
  <c r="R202" i="115"/>
  <c r="Q202" i="115"/>
  <c r="P202" i="115"/>
  <c r="O202" i="115"/>
  <c r="N202" i="115"/>
  <c r="M202" i="115"/>
  <c r="K202" i="115"/>
  <c r="J202" i="115"/>
  <c r="I202" i="115"/>
  <c r="H202" i="115"/>
  <c r="E202" i="115"/>
  <c r="A202" i="115"/>
  <c r="S201" i="115"/>
  <c r="R201" i="115"/>
  <c r="Q201" i="115"/>
  <c r="P201" i="115"/>
  <c r="O201" i="115"/>
  <c r="N201" i="115"/>
  <c r="M201" i="115"/>
  <c r="K201" i="115"/>
  <c r="J201" i="115"/>
  <c r="I201" i="115"/>
  <c r="H201" i="115"/>
  <c r="E201" i="115"/>
  <c r="A201" i="115"/>
  <c r="S200" i="115"/>
  <c r="R200" i="115"/>
  <c r="Q200" i="115"/>
  <c r="P200" i="115"/>
  <c r="O200" i="115"/>
  <c r="N200" i="115"/>
  <c r="M200" i="115"/>
  <c r="K200" i="115"/>
  <c r="J200" i="115"/>
  <c r="I200" i="115"/>
  <c r="H200" i="115"/>
  <c r="E200" i="115"/>
  <c r="A200" i="115"/>
  <c r="S199" i="115"/>
  <c r="R199" i="115"/>
  <c r="Q199" i="115"/>
  <c r="P199" i="115"/>
  <c r="O199" i="115"/>
  <c r="N199" i="115"/>
  <c r="M199" i="115"/>
  <c r="K199" i="115"/>
  <c r="J199" i="115"/>
  <c r="I199" i="115"/>
  <c r="H199" i="115"/>
  <c r="E199" i="115"/>
  <c r="A199" i="115"/>
  <c r="S198" i="115"/>
  <c r="R198" i="115"/>
  <c r="Q198" i="115"/>
  <c r="P198" i="115"/>
  <c r="O198" i="115"/>
  <c r="N198" i="115"/>
  <c r="M198" i="115"/>
  <c r="K198" i="115"/>
  <c r="J198" i="115"/>
  <c r="I198" i="115"/>
  <c r="H198" i="115"/>
  <c r="E198" i="115"/>
  <c r="A198" i="115"/>
  <c r="S197" i="115"/>
  <c r="R197" i="115"/>
  <c r="Q197" i="115"/>
  <c r="P197" i="115"/>
  <c r="O197" i="115"/>
  <c r="N197" i="115"/>
  <c r="M197" i="115"/>
  <c r="K197" i="115"/>
  <c r="J197" i="115"/>
  <c r="I197" i="115"/>
  <c r="H197" i="115"/>
  <c r="E197" i="115"/>
  <c r="A197" i="115"/>
  <c r="S196" i="115"/>
  <c r="R196" i="115"/>
  <c r="Q196" i="115"/>
  <c r="P196" i="115"/>
  <c r="O196" i="115"/>
  <c r="N196" i="115"/>
  <c r="M196" i="115"/>
  <c r="K196" i="115"/>
  <c r="J196" i="115"/>
  <c r="I196" i="115"/>
  <c r="H196" i="115"/>
  <c r="E196" i="115"/>
  <c r="A196" i="115"/>
  <c r="S195" i="115"/>
  <c r="R195" i="115"/>
  <c r="Q195" i="115"/>
  <c r="P195" i="115"/>
  <c r="O195" i="115"/>
  <c r="N195" i="115"/>
  <c r="M195" i="115"/>
  <c r="K195" i="115"/>
  <c r="J195" i="115"/>
  <c r="I195" i="115"/>
  <c r="H195" i="115"/>
  <c r="E195" i="115"/>
  <c r="A195" i="115"/>
  <c r="S194" i="115"/>
  <c r="R194" i="115"/>
  <c r="Q194" i="115"/>
  <c r="P194" i="115"/>
  <c r="O194" i="115"/>
  <c r="N194" i="115"/>
  <c r="M194" i="115"/>
  <c r="K194" i="115"/>
  <c r="J194" i="115"/>
  <c r="I194" i="115"/>
  <c r="H194" i="115"/>
  <c r="E194" i="115"/>
  <c r="A194" i="115"/>
  <c r="S193" i="115"/>
  <c r="R193" i="115"/>
  <c r="Q193" i="115"/>
  <c r="P193" i="115"/>
  <c r="O193" i="115"/>
  <c r="N193" i="115"/>
  <c r="M193" i="115"/>
  <c r="K193" i="115"/>
  <c r="J193" i="115"/>
  <c r="I193" i="115"/>
  <c r="H193" i="115"/>
  <c r="E193" i="115"/>
  <c r="A193" i="115"/>
  <c r="S192" i="115"/>
  <c r="R192" i="115"/>
  <c r="Q192" i="115"/>
  <c r="P192" i="115"/>
  <c r="O192" i="115"/>
  <c r="N192" i="115"/>
  <c r="M192" i="115"/>
  <c r="K192" i="115"/>
  <c r="J192" i="115"/>
  <c r="I192" i="115"/>
  <c r="H192" i="115"/>
  <c r="E192" i="115"/>
  <c r="A192" i="115"/>
  <c r="S191" i="115"/>
  <c r="R191" i="115"/>
  <c r="Q191" i="115"/>
  <c r="P191" i="115"/>
  <c r="O191" i="115"/>
  <c r="N191" i="115"/>
  <c r="M191" i="115"/>
  <c r="K191" i="115"/>
  <c r="J191" i="115"/>
  <c r="I191" i="115"/>
  <c r="H191" i="115"/>
  <c r="E191" i="115"/>
  <c r="A191" i="115"/>
  <c r="S190" i="115"/>
  <c r="R190" i="115"/>
  <c r="Q190" i="115"/>
  <c r="P190" i="115"/>
  <c r="O190" i="115"/>
  <c r="N190" i="115"/>
  <c r="M190" i="115"/>
  <c r="K190" i="115"/>
  <c r="J190" i="115"/>
  <c r="I190" i="115"/>
  <c r="H190" i="115"/>
  <c r="E190" i="115"/>
  <c r="A190" i="115"/>
  <c r="S189" i="115"/>
  <c r="R189" i="115"/>
  <c r="Q189" i="115"/>
  <c r="P189" i="115"/>
  <c r="O189" i="115"/>
  <c r="N189" i="115"/>
  <c r="M189" i="115"/>
  <c r="K189" i="115"/>
  <c r="J189" i="115"/>
  <c r="I189" i="115"/>
  <c r="H189" i="115"/>
  <c r="E189" i="115"/>
  <c r="A189" i="115"/>
  <c r="S188" i="115"/>
  <c r="R188" i="115"/>
  <c r="Q188" i="115"/>
  <c r="P188" i="115"/>
  <c r="O188" i="115"/>
  <c r="N188" i="115"/>
  <c r="M188" i="115"/>
  <c r="K188" i="115"/>
  <c r="J188" i="115"/>
  <c r="I188" i="115"/>
  <c r="H188" i="115"/>
  <c r="E188" i="115"/>
  <c r="A188" i="115"/>
  <c r="S187" i="115"/>
  <c r="R187" i="115"/>
  <c r="Q187" i="115"/>
  <c r="P187" i="115"/>
  <c r="O187" i="115"/>
  <c r="N187" i="115"/>
  <c r="M187" i="115"/>
  <c r="K187" i="115"/>
  <c r="J187" i="115"/>
  <c r="I187" i="115"/>
  <c r="H187" i="115"/>
  <c r="E187" i="115"/>
  <c r="A187" i="115"/>
  <c r="S186" i="115"/>
  <c r="R186" i="115"/>
  <c r="Q186" i="115"/>
  <c r="P186" i="115"/>
  <c r="O186" i="115"/>
  <c r="N186" i="115"/>
  <c r="M186" i="115"/>
  <c r="K186" i="115"/>
  <c r="J186" i="115"/>
  <c r="I186" i="115"/>
  <c r="H186" i="115"/>
  <c r="E186" i="115"/>
  <c r="A186" i="115"/>
  <c r="S185" i="115"/>
  <c r="R185" i="115"/>
  <c r="Q185" i="115"/>
  <c r="P185" i="115"/>
  <c r="O185" i="115"/>
  <c r="N185" i="115"/>
  <c r="M185" i="115"/>
  <c r="K185" i="115"/>
  <c r="J185" i="115"/>
  <c r="I185" i="115"/>
  <c r="H185" i="115"/>
  <c r="E185" i="115"/>
  <c r="A185" i="115"/>
  <c r="S184" i="115"/>
  <c r="R184" i="115"/>
  <c r="Q184" i="115"/>
  <c r="P184" i="115"/>
  <c r="O184" i="115"/>
  <c r="N184" i="115"/>
  <c r="M184" i="115"/>
  <c r="K184" i="115"/>
  <c r="J184" i="115"/>
  <c r="I184" i="115"/>
  <c r="H184" i="115"/>
  <c r="E184" i="115"/>
  <c r="A184" i="115"/>
  <c r="S183" i="115"/>
  <c r="R183" i="115"/>
  <c r="Q183" i="115"/>
  <c r="P183" i="115"/>
  <c r="O183" i="115"/>
  <c r="N183" i="115"/>
  <c r="M183" i="115"/>
  <c r="K183" i="115"/>
  <c r="J183" i="115"/>
  <c r="I183" i="115"/>
  <c r="H183" i="115"/>
  <c r="E183" i="115"/>
  <c r="A183" i="115"/>
  <c r="S182" i="115"/>
  <c r="R182" i="115"/>
  <c r="Q182" i="115"/>
  <c r="P182" i="115"/>
  <c r="O182" i="115"/>
  <c r="N182" i="115"/>
  <c r="M182" i="115"/>
  <c r="K182" i="115"/>
  <c r="J182" i="115"/>
  <c r="I182" i="115"/>
  <c r="H182" i="115"/>
  <c r="E182" i="115"/>
  <c r="A182" i="115"/>
  <c r="S181" i="115"/>
  <c r="R181" i="115"/>
  <c r="Q181" i="115"/>
  <c r="P181" i="115"/>
  <c r="O181" i="115"/>
  <c r="N181" i="115"/>
  <c r="M181" i="115"/>
  <c r="K181" i="115"/>
  <c r="J181" i="115"/>
  <c r="I181" i="115"/>
  <c r="H181" i="115"/>
  <c r="E181" i="115"/>
  <c r="A181" i="115"/>
  <c r="S180" i="115"/>
  <c r="R180" i="115"/>
  <c r="Q180" i="115"/>
  <c r="P180" i="115"/>
  <c r="O180" i="115"/>
  <c r="N180" i="115"/>
  <c r="M180" i="115"/>
  <c r="K180" i="115"/>
  <c r="J180" i="115"/>
  <c r="I180" i="115"/>
  <c r="H180" i="115"/>
  <c r="E180" i="115"/>
  <c r="A180" i="115"/>
  <c r="S179" i="115"/>
  <c r="R179" i="115"/>
  <c r="Q179" i="115"/>
  <c r="P179" i="115"/>
  <c r="O179" i="115"/>
  <c r="N179" i="115"/>
  <c r="M179" i="115"/>
  <c r="K179" i="115"/>
  <c r="J179" i="115"/>
  <c r="I179" i="115"/>
  <c r="H179" i="115"/>
  <c r="E179" i="115"/>
  <c r="A179" i="115"/>
  <c r="S178" i="115"/>
  <c r="R178" i="115"/>
  <c r="Q178" i="115"/>
  <c r="P178" i="115"/>
  <c r="O178" i="115"/>
  <c r="N178" i="115"/>
  <c r="M178" i="115"/>
  <c r="K178" i="115"/>
  <c r="J178" i="115"/>
  <c r="I178" i="115"/>
  <c r="H178" i="115"/>
  <c r="E178" i="115"/>
  <c r="A178" i="115"/>
  <c r="S177" i="115"/>
  <c r="R177" i="115"/>
  <c r="Q177" i="115"/>
  <c r="P177" i="115"/>
  <c r="O177" i="115"/>
  <c r="N177" i="115"/>
  <c r="M177" i="115"/>
  <c r="K177" i="115"/>
  <c r="J177" i="115"/>
  <c r="I177" i="115"/>
  <c r="H177" i="115"/>
  <c r="E177" i="115"/>
  <c r="A177" i="115"/>
  <c r="S176" i="115"/>
  <c r="R176" i="115"/>
  <c r="Q176" i="115"/>
  <c r="P176" i="115"/>
  <c r="O176" i="115"/>
  <c r="N176" i="115"/>
  <c r="M176" i="115"/>
  <c r="K176" i="115"/>
  <c r="J176" i="115"/>
  <c r="I176" i="115"/>
  <c r="H176" i="115"/>
  <c r="E176" i="115"/>
  <c r="A176" i="115"/>
  <c r="S175" i="115"/>
  <c r="R175" i="115"/>
  <c r="Q175" i="115"/>
  <c r="P175" i="115"/>
  <c r="O175" i="115"/>
  <c r="N175" i="115"/>
  <c r="M175" i="115"/>
  <c r="K175" i="115"/>
  <c r="J175" i="115"/>
  <c r="I175" i="115"/>
  <c r="H175" i="115"/>
  <c r="E175" i="115"/>
  <c r="A175" i="115"/>
  <c r="S174" i="115"/>
  <c r="R174" i="115"/>
  <c r="Q174" i="115"/>
  <c r="P174" i="115"/>
  <c r="O174" i="115"/>
  <c r="N174" i="115"/>
  <c r="M174" i="115"/>
  <c r="K174" i="115"/>
  <c r="J174" i="115"/>
  <c r="I174" i="115"/>
  <c r="H174" i="115"/>
  <c r="E174" i="115"/>
  <c r="A174" i="115"/>
  <c r="S173" i="115"/>
  <c r="R173" i="115"/>
  <c r="Q173" i="115"/>
  <c r="P173" i="115"/>
  <c r="O173" i="115"/>
  <c r="N173" i="115"/>
  <c r="M173" i="115"/>
  <c r="K173" i="115"/>
  <c r="J173" i="115"/>
  <c r="I173" i="115"/>
  <c r="H173" i="115"/>
  <c r="E173" i="115"/>
  <c r="A173" i="115"/>
  <c r="S172" i="115"/>
  <c r="R172" i="115"/>
  <c r="Q172" i="115"/>
  <c r="P172" i="115"/>
  <c r="O172" i="115"/>
  <c r="N172" i="115"/>
  <c r="M172" i="115"/>
  <c r="K172" i="115"/>
  <c r="J172" i="115"/>
  <c r="I172" i="115"/>
  <c r="H172" i="115"/>
  <c r="E172" i="115"/>
  <c r="A172" i="115"/>
  <c r="S171" i="115"/>
  <c r="R171" i="115"/>
  <c r="Q171" i="115"/>
  <c r="P171" i="115"/>
  <c r="O171" i="115"/>
  <c r="N171" i="115"/>
  <c r="M171" i="115"/>
  <c r="K171" i="115"/>
  <c r="J171" i="115"/>
  <c r="I171" i="115"/>
  <c r="H171" i="115"/>
  <c r="E171" i="115"/>
  <c r="A171" i="115"/>
  <c r="S170" i="115"/>
  <c r="R170" i="115"/>
  <c r="Q170" i="115"/>
  <c r="P170" i="115"/>
  <c r="O170" i="115"/>
  <c r="N170" i="115"/>
  <c r="M170" i="115"/>
  <c r="K170" i="115"/>
  <c r="J170" i="115"/>
  <c r="I170" i="115"/>
  <c r="H170" i="115"/>
  <c r="E170" i="115"/>
  <c r="A170" i="115"/>
  <c r="S169" i="115"/>
  <c r="R169" i="115"/>
  <c r="Q169" i="115"/>
  <c r="P169" i="115"/>
  <c r="O169" i="115"/>
  <c r="N169" i="115"/>
  <c r="M169" i="115"/>
  <c r="K169" i="115"/>
  <c r="J169" i="115"/>
  <c r="I169" i="115"/>
  <c r="H169" i="115"/>
  <c r="E169" i="115"/>
  <c r="A169" i="115"/>
  <c r="S168" i="115"/>
  <c r="R168" i="115"/>
  <c r="Q168" i="115"/>
  <c r="P168" i="115"/>
  <c r="O168" i="115"/>
  <c r="N168" i="115"/>
  <c r="M168" i="115"/>
  <c r="K168" i="115"/>
  <c r="J168" i="115"/>
  <c r="I168" i="115"/>
  <c r="H168" i="115"/>
  <c r="E168" i="115"/>
  <c r="A168" i="115"/>
  <c r="S167" i="115"/>
  <c r="R167" i="115"/>
  <c r="Q167" i="115"/>
  <c r="P167" i="115"/>
  <c r="O167" i="115"/>
  <c r="N167" i="115"/>
  <c r="M167" i="115"/>
  <c r="K167" i="115"/>
  <c r="J167" i="115"/>
  <c r="I167" i="115"/>
  <c r="H167" i="115"/>
  <c r="E167" i="115"/>
  <c r="A167" i="115"/>
  <c r="S166" i="115"/>
  <c r="R166" i="115"/>
  <c r="Q166" i="115"/>
  <c r="P166" i="115"/>
  <c r="O166" i="115"/>
  <c r="N166" i="115"/>
  <c r="M166" i="115"/>
  <c r="K166" i="115"/>
  <c r="J166" i="115"/>
  <c r="I166" i="115"/>
  <c r="H166" i="115"/>
  <c r="E166" i="115"/>
  <c r="A166" i="115"/>
  <c r="S165" i="115"/>
  <c r="R165" i="115"/>
  <c r="Q165" i="115"/>
  <c r="P165" i="115"/>
  <c r="O165" i="115"/>
  <c r="N165" i="115"/>
  <c r="M165" i="115"/>
  <c r="K165" i="115"/>
  <c r="J165" i="115"/>
  <c r="I165" i="115"/>
  <c r="H165" i="115"/>
  <c r="E165" i="115"/>
  <c r="A165" i="115"/>
  <c r="S164" i="115"/>
  <c r="R164" i="115"/>
  <c r="Q164" i="115"/>
  <c r="P164" i="115"/>
  <c r="O164" i="115"/>
  <c r="N164" i="115"/>
  <c r="M164" i="115"/>
  <c r="K164" i="115"/>
  <c r="J164" i="115"/>
  <c r="I164" i="115"/>
  <c r="H164" i="115"/>
  <c r="E164" i="115"/>
  <c r="A164" i="115"/>
  <c r="S163" i="115"/>
  <c r="R163" i="115"/>
  <c r="Q163" i="115"/>
  <c r="P163" i="115"/>
  <c r="O163" i="115"/>
  <c r="N163" i="115"/>
  <c r="M163" i="115"/>
  <c r="K163" i="115"/>
  <c r="J163" i="115"/>
  <c r="I163" i="115"/>
  <c r="H163" i="115"/>
  <c r="E163" i="115"/>
  <c r="A163" i="115"/>
  <c r="S162" i="115"/>
  <c r="R162" i="115"/>
  <c r="Q162" i="115"/>
  <c r="P162" i="115"/>
  <c r="O162" i="115"/>
  <c r="N162" i="115"/>
  <c r="M162" i="115"/>
  <c r="K162" i="115"/>
  <c r="J162" i="115"/>
  <c r="I162" i="115"/>
  <c r="H162" i="115"/>
  <c r="E162" i="115"/>
  <c r="A162" i="115"/>
  <c r="S161" i="115"/>
  <c r="R161" i="115"/>
  <c r="Q161" i="115"/>
  <c r="P161" i="115"/>
  <c r="O161" i="115"/>
  <c r="N161" i="115"/>
  <c r="M161" i="115"/>
  <c r="K161" i="115"/>
  <c r="J161" i="115"/>
  <c r="I161" i="115"/>
  <c r="H161" i="115"/>
  <c r="E161" i="115"/>
  <c r="A161" i="115"/>
  <c r="S160" i="115"/>
  <c r="R160" i="115"/>
  <c r="Q160" i="115"/>
  <c r="P160" i="115"/>
  <c r="O160" i="115"/>
  <c r="N160" i="115"/>
  <c r="M160" i="115"/>
  <c r="K160" i="115"/>
  <c r="J160" i="115"/>
  <c r="I160" i="115"/>
  <c r="H160" i="115"/>
  <c r="E160" i="115"/>
  <c r="A160" i="115"/>
  <c r="S159" i="115"/>
  <c r="R159" i="115"/>
  <c r="Q159" i="115"/>
  <c r="P159" i="115"/>
  <c r="O159" i="115"/>
  <c r="N159" i="115"/>
  <c r="M159" i="115"/>
  <c r="K159" i="115"/>
  <c r="J159" i="115"/>
  <c r="I159" i="115"/>
  <c r="H159" i="115"/>
  <c r="E159" i="115"/>
  <c r="A159" i="115"/>
  <c r="S158" i="115"/>
  <c r="R158" i="115"/>
  <c r="Q158" i="115"/>
  <c r="P158" i="115"/>
  <c r="O158" i="115"/>
  <c r="N158" i="115"/>
  <c r="M158" i="115"/>
  <c r="K158" i="115"/>
  <c r="J158" i="115"/>
  <c r="I158" i="115"/>
  <c r="H158" i="115"/>
  <c r="E158" i="115"/>
  <c r="A158" i="115"/>
  <c r="S157" i="115"/>
  <c r="R157" i="115"/>
  <c r="Q157" i="115"/>
  <c r="P157" i="115"/>
  <c r="O157" i="115"/>
  <c r="N157" i="115"/>
  <c r="M157" i="115"/>
  <c r="K157" i="115"/>
  <c r="J157" i="115"/>
  <c r="I157" i="115"/>
  <c r="H157" i="115"/>
  <c r="E157" i="115"/>
  <c r="A157" i="115"/>
  <c r="S156" i="115"/>
  <c r="R156" i="115"/>
  <c r="Q156" i="115"/>
  <c r="P156" i="115"/>
  <c r="O156" i="115"/>
  <c r="N156" i="115"/>
  <c r="M156" i="115"/>
  <c r="K156" i="115"/>
  <c r="J156" i="115"/>
  <c r="I156" i="115"/>
  <c r="H156" i="115"/>
  <c r="E156" i="115"/>
  <c r="A156" i="115"/>
  <c r="S155" i="115"/>
  <c r="R155" i="115"/>
  <c r="Q155" i="115"/>
  <c r="P155" i="115"/>
  <c r="O155" i="115"/>
  <c r="N155" i="115"/>
  <c r="M155" i="115"/>
  <c r="K155" i="115"/>
  <c r="J155" i="115"/>
  <c r="I155" i="115"/>
  <c r="H155" i="115"/>
  <c r="E155" i="115"/>
  <c r="A155" i="115"/>
  <c r="S154" i="115"/>
  <c r="R154" i="115"/>
  <c r="Q154" i="115"/>
  <c r="P154" i="115"/>
  <c r="O154" i="115"/>
  <c r="N154" i="115"/>
  <c r="M154" i="115"/>
  <c r="K154" i="115"/>
  <c r="J154" i="115"/>
  <c r="I154" i="115"/>
  <c r="H154" i="115"/>
  <c r="E154" i="115"/>
  <c r="A154" i="115"/>
  <c r="S153" i="115"/>
  <c r="R153" i="115"/>
  <c r="Q153" i="115"/>
  <c r="P153" i="115"/>
  <c r="O153" i="115"/>
  <c r="N153" i="115"/>
  <c r="M153" i="115"/>
  <c r="K153" i="115"/>
  <c r="J153" i="115"/>
  <c r="I153" i="115"/>
  <c r="H153" i="115"/>
  <c r="E153" i="115"/>
  <c r="A153" i="115"/>
  <c r="S152" i="115"/>
  <c r="R152" i="115"/>
  <c r="Q152" i="115"/>
  <c r="P152" i="115"/>
  <c r="O152" i="115"/>
  <c r="N152" i="115"/>
  <c r="M152" i="115"/>
  <c r="K152" i="115"/>
  <c r="J152" i="115"/>
  <c r="I152" i="115"/>
  <c r="H152" i="115"/>
  <c r="E152" i="115"/>
  <c r="A152" i="115"/>
  <c r="S151" i="115"/>
  <c r="R151" i="115"/>
  <c r="Q151" i="115"/>
  <c r="P151" i="115"/>
  <c r="O151" i="115"/>
  <c r="N151" i="115"/>
  <c r="M151" i="115"/>
  <c r="K151" i="115"/>
  <c r="J151" i="115"/>
  <c r="I151" i="115"/>
  <c r="H151" i="115"/>
  <c r="E151" i="115"/>
  <c r="A151" i="115"/>
  <c r="S150" i="115"/>
  <c r="R150" i="115"/>
  <c r="Q150" i="115"/>
  <c r="P150" i="115"/>
  <c r="O150" i="115"/>
  <c r="N150" i="115"/>
  <c r="M150" i="115"/>
  <c r="K150" i="115"/>
  <c r="J150" i="115"/>
  <c r="I150" i="115"/>
  <c r="H150" i="115"/>
  <c r="E150" i="115"/>
  <c r="A150" i="115"/>
  <c r="S149" i="115"/>
  <c r="R149" i="115"/>
  <c r="Q149" i="115"/>
  <c r="P149" i="115"/>
  <c r="O149" i="115"/>
  <c r="N149" i="115"/>
  <c r="M149" i="115"/>
  <c r="K149" i="115"/>
  <c r="J149" i="115"/>
  <c r="I149" i="115"/>
  <c r="H149" i="115"/>
  <c r="E149" i="115"/>
  <c r="A149" i="115"/>
  <c r="S148" i="115"/>
  <c r="R148" i="115"/>
  <c r="Q148" i="115"/>
  <c r="P148" i="115"/>
  <c r="O148" i="115"/>
  <c r="N148" i="115"/>
  <c r="M148" i="115"/>
  <c r="K148" i="115"/>
  <c r="J148" i="115"/>
  <c r="I148" i="115"/>
  <c r="H148" i="115"/>
  <c r="E148" i="115"/>
  <c r="A148" i="115"/>
  <c r="S147" i="115"/>
  <c r="R147" i="115"/>
  <c r="Q147" i="115"/>
  <c r="P147" i="115"/>
  <c r="O147" i="115"/>
  <c r="N147" i="115"/>
  <c r="M147" i="115"/>
  <c r="K147" i="115"/>
  <c r="J147" i="115"/>
  <c r="I147" i="115"/>
  <c r="H147" i="115"/>
  <c r="E147" i="115"/>
  <c r="A147" i="115"/>
  <c r="S146" i="115"/>
  <c r="R146" i="115"/>
  <c r="Q146" i="115"/>
  <c r="P146" i="115"/>
  <c r="O146" i="115"/>
  <c r="N146" i="115"/>
  <c r="M146" i="115"/>
  <c r="K146" i="115"/>
  <c r="J146" i="115"/>
  <c r="I146" i="115"/>
  <c r="H146" i="115"/>
  <c r="E146" i="115"/>
  <c r="A146" i="115"/>
  <c r="S145" i="115"/>
  <c r="R145" i="115"/>
  <c r="Q145" i="115"/>
  <c r="P145" i="115"/>
  <c r="O145" i="115"/>
  <c r="N145" i="115"/>
  <c r="M145" i="115"/>
  <c r="K145" i="115"/>
  <c r="J145" i="115"/>
  <c r="I145" i="115"/>
  <c r="H145" i="115"/>
  <c r="E145" i="115"/>
  <c r="A145" i="115"/>
  <c r="S144" i="115"/>
  <c r="R144" i="115"/>
  <c r="Q144" i="115"/>
  <c r="P144" i="115"/>
  <c r="O144" i="115"/>
  <c r="N144" i="115"/>
  <c r="M144" i="115"/>
  <c r="K144" i="115"/>
  <c r="J144" i="115"/>
  <c r="I144" i="115"/>
  <c r="H144" i="115"/>
  <c r="E144" i="115"/>
  <c r="A144" i="115"/>
  <c r="S143" i="115"/>
  <c r="R143" i="115"/>
  <c r="Q143" i="115"/>
  <c r="P143" i="115"/>
  <c r="O143" i="115"/>
  <c r="N143" i="115"/>
  <c r="M143" i="115"/>
  <c r="K143" i="115"/>
  <c r="J143" i="115"/>
  <c r="I143" i="115"/>
  <c r="H143" i="115"/>
  <c r="E143" i="115"/>
  <c r="A143" i="115"/>
  <c r="S142" i="115"/>
  <c r="R142" i="115"/>
  <c r="Q142" i="115"/>
  <c r="P142" i="115"/>
  <c r="O142" i="115"/>
  <c r="N142" i="115"/>
  <c r="M142" i="115"/>
  <c r="K142" i="115"/>
  <c r="J142" i="115"/>
  <c r="I142" i="115"/>
  <c r="H142" i="115"/>
  <c r="E142" i="115"/>
  <c r="A142" i="115"/>
  <c r="S141" i="115"/>
  <c r="R141" i="115"/>
  <c r="Q141" i="115"/>
  <c r="P141" i="115"/>
  <c r="O141" i="115"/>
  <c r="N141" i="115"/>
  <c r="M141" i="115"/>
  <c r="K141" i="115"/>
  <c r="J141" i="115"/>
  <c r="I141" i="115"/>
  <c r="H141" i="115"/>
  <c r="E141" i="115"/>
  <c r="A141" i="115"/>
  <c r="S140" i="115"/>
  <c r="R140" i="115"/>
  <c r="Q140" i="115"/>
  <c r="P140" i="115"/>
  <c r="O140" i="115"/>
  <c r="N140" i="115"/>
  <c r="M140" i="115"/>
  <c r="K140" i="115"/>
  <c r="J140" i="115"/>
  <c r="I140" i="115"/>
  <c r="H140" i="115"/>
  <c r="E140" i="115"/>
  <c r="A140" i="115"/>
  <c r="S139" i="115"/>
  <c r="R139" i="115"/>
  <c r="Q139" i="115"/>
  <c r="P139" i="115"/>
  <c r="O139" i="115"/>
  <c r="N139" i="115"/>
  <c r="M139" i="115"/>
  <c r="K139" i="115"/>
  <c r="J139" i="115"/>
  <c r="I139" i="115"/>
  <c r="H139" i="115"/>
  <c r="E139" i="115"/>
  <c r="A139" i="115"/>
  <c r="S138" i="115"/>
  <c r="R138" i="115"/>
  <c r="Q138" i="115"/>
  <c r="P138" i="115"/>
  <c r="O138" i="115"/>
  <c r="N138" i="115"/>
  <c r="M138" i="115"/>
  <c r="K138" i="115"/>
  <c r="J138" i="115"/>
  <c r="I138" i="115"/>
  <c r="H138" i="115"/>
  <c r="E138" i="115"/>
  <c r="A138" i="115"/>
  <c r="S137" i="115"/>
  <c r="R137" i="115"/>
  <c r="Q137" i="115"/>
  <c r="P137" i="115"/>
  <c r="O137" i="115"/>
  <c r="N137" i="115"/>
  <c r="M137" i="115"/>
  <c r="K137" i="115"/>
  <c r="J137" i="115"/>
  <c r="I137" i="115"/>
  <c r="H137" i="115"/>
  <c r="E137" i="115"/>
  <c r="A137" i="115"/>
  <c r="S136" i="115"/>
  <c r="R136" i="115"/>
  <c r="Q136" i="115"/>
  <c r="P136" i="115"/>
  <c r="O136" i="115"/>
  <c r="N136" i="115"/>
  <c r="M136" i="115"/>
  <c r="K136" i="115"/>
  <c r="J136" i="115"/>
  <c r="I136" i="115"/>
  <c r="H136" i="115"/>
  <c r="E136" i="115"/>
  <c r="A136" i="115"/>
  <c r="S135" i="115"/>
  <c r="R135" i="115"/>
  <c r="Q135" i="115"/>
  <c r="P135" i="115"/>
  <c r="O135" i="115"/>
  <c r="N135" i="115"/>
  <c r="M135" i="115"/>
  <c r="K135" i="115"/>
  <c r="J135" i="115"/>
  <c r="I135" i="115"/>
  <c r="H135" i="115"/>
  <c r="E135" i="115"/>
  <c r="A135" i="115"/>
  <c r="S134" i="115"/>
  <c r="R134" i="115"/>
  <c r="Q134" i="115"/>
  <c r="P134" i="115"/>
  <c r="O134" i="115"/>
  <c r="N134" i="115"/>
  <c r="M134" i="115"/>
  <c r="K134" i="115"/>
  <c r="J134" i="115"/>
  <c r="I134" i="115"/>
  <c r="H134" i="115"/>
  <c r="E134" i="115"/>
  <c r="A134" i="115"/>
  <c r="S133" i="115"/>
  <c r="R133" i="115"/>
  <c r="Q133" i="115"/>
  <c r="P133" i="115"/>
  <c r="O133" i="115"/>
  <c r="N133" i="115"/>
  <c r="M133" i="115"/>
  <c r="K133" i="115"/>
  <c r="J133" i="115"/>
  <c r="I133" i="115"/>
  <c r="H133" i="115"/>
  <c r="E133" i="115"/>
  <c r="A133" i="115"/>
  <c r="S132" i="115"/>
  <c r="R132" i="115"/>
  <c r="Q132" i="115"/>
  <c r="P132" i="115"/>
  <c r="O132" i="115"/>
  <c r="N132" i="115"/>
  <c r="M132" i="115"/>
  <c r="K132" i="115"/>
  <c r="J132" i="115"/>
  <c r="I132" i="115"/>
  <c r="H132" i="115"/>
  <c r="E132" i="115"/>
  <c r="A132" i="115"/>
  <c r="S131" i="115"/>
  <c r="R131" i="115"/>
  <c r="Q131" i="115"/>
  <c r="P131" i="115"/>
  <c r="O131" i="115"/>
  <c r="N131" i="115"/>
  <c r="M131" i="115"/>
  <c r="K131" i="115"/>
  <c r="J131" i="115"/>
  <c r="I131" i="115"/>
  <c r="H131" i="115"/>
  <c r="E131" i="115"/>
  <c r="A131" i="115"/>
  <c r="S130" i="115"/>
  <c r="R130" i="115"/>
  <c r="Q130" i="115"/>
  <c r="P130" i="115"/>
  <c r="O130" i="115"/>
  <c r="N130" i="115"/>
  <c r="M130" i="115"/>
  <c r="K130" i="115"/>
  <c r="J130" i="115"/>
  <c r="I130" i="115"/>
  <c r="H130" i="115"/>
  <c r="E130" i="115"/>
  <c r="A130" i="115"/>
  <c r="S129" i="115"/>
  <c r="R129" i="115"/>
  <c r="Q129" i="115"/>
  <c r="P129" i="115"/>
  <c r="O129" i="115"/>
  <c r="N129" i="115"/>
  <c r="M129" i="115"/>
  <c r="K129" i="115"/>
  <c r="J129" i="115"/>
  <c r="I129" i="115"/>
  <c r="H129" i="115"/>
  <c r="E129" i="115"/>
  <c r="A129" i="115"/>
  <c r="S128" i="115"/>
  <c r="R128" i="115"/>
  <c r="Q128" i="115"/>
  <c r="P128" i="115"/>
  <c r="O128" i="115"/>
  <c r="N128" i="115"/>
  <c r="M128" i="115"/>
  <c r="K128" i="115"/>
  <c r="J128" i="115"/>
  <c r="I128" i="115"/>
  <c r="H128" i="115"/>
  <c r="E128" i="115"/>
  <c r="A128" i="115"/>
  <c r="S127" i="115"/>
  <c r="R127" i="115"/>
  <c r="Q127" i="115"/>
  <c r="P127" i="115"/>
  <c r="O127" i="115"/>
  <c r="N127" i="115"/>
  <c r="M127" i="115"/>
  <c r="K127" i="115"/>
  <c r="J127" i="115"/>
  <c r="I127" i="115"/>
  <c r="H127" i="115"/>
  <c r="E127" i="115"/>
  <c r="A127" i="115"/>
  <c r="S126" i="115"/>
  <c r="R126" i="115"/>
  <c r="Q126" i="115"/>
  <c r="P126" i="115"/>
  <c r="O126" i="115"/>
  <c r="N126" i="115"/>
  <c r="M126" i="115"/>
  <c r="K126" i="115"/>
  <c r="J126" i="115"/>
  <c r="I126" i="115"/>
  <c r="H126" i="115"/>
  <c r="E126" i="115"/>
  <c r="A126" i="115"/>
  <c r="S125" i="115"/>
  <c r="R125" i="115"/>
  <c r="Q125" i="115"/>
  <c r="P125" i="115"/>
  <c r="O125" i="115"/>
  <c r="N125" i="115"/>
  <c r="M125" i="115"/>
  <c r="K125" i="115"/>
  <c r="J125" i="115"/>
  <c r="I125" i="115"/>
  <c r="H125" i="115"/>
  <c r="E125" i="115"/>
  <c r="A125" i="115"/>
  <c r="S124" i="115"/>
  <c r="R124" i="115"/>
  <c r="Q124" i="115"/>
  <c r="P124" i="115"/>
  <c r="O124" i="115"/>
  <c r="N124" i="115"/>
  <c r="M124" i="115"/>
  <c r="K124" i="115"/>
  <c r="J124" i="115"/>
  <c r="I124" i="115"/>
  <c r="H124" i="115"/>
  <c r="E124" i="115"/>
  <c r="A124" i="115"/>
  <c r="S123" i="115"/>
  <c r="R123" i="115"/>
  <c r="Q123" i="115"/>
  <c r="P123" i="115"/>
  <c r="O123" i="115"/>
  <c r="N123" i="115"/>
  <c r="M123" i="115"/>
  <c r="K123" i="115"/>
  <c r="J123" i="115"/>
  <c r="I123" i="115"/>
  <c r="H123" i="115"/>
  <c r="E123" i="115"/>
  <c r="A123" i="115"/>
  <c r="S122" i="115"/>
  <c r="R122" i="115"/>
  <c r="Q122" i="115"/>
  <c r="P122" i="115"/>
  <c r="O122" i="115"/>
  <c r="N122" i="115"/>
  <c r="M122" i="115"/>
  <c r="K122" i="115"/>
  <c r="J122" i="115"/>
  <c r="I122" i="115"/>
  <c r="H122" i="115"/>
  <c r="E122" i="115"/>
  <c r="A122" i="115"/>
  <c r="S121" i="115"/>
  <c r="R121" i="115"/>
  <c r="Q121" i="115"/>
  <c r="P121" i="115"/>
  <c r="O121" i="115"/>
  <c r="N121" i="115"/>
  <c r="M121" i="115"/>
  <c r="K121" i="115"/>
  <c r="J121" i="115"/>
  <c r="I121" i="115"/>
  <c r="H121" i="115"/>
  <c r="E121" i="115"/>
  <c r="A121" i="115"/>
  <c r="S120" i="115"/>
  <c r="R120" i="115"/>
  <c r="Q120" i="115"/>
  <c r="P120" i="115"/>
  <c r="O120" i="115"/>
  <c r="N120" i="115"/>
  <c r="M120" i="115"/>
  <c r="K120" i="115"/>
  <c r="J120" i="115"/>
  <c r="I120" i="115"/>
  <c r="H120" i="115"/>
  <c r="E120" i="115"/>
  <c r="A120" i="115"/>
  <c r="S119" i="115"/>
  <c r="R119" i="115"/>
  <c r="Q119" i="115"/>
  <c r="P119" i="115"/>
  <c r="O119" i="115"/>
  <c r="N119" i="115"/>
  <c r="M119" i="115"/>
  <c r="K119" i="115"/>
  <c r="J119" i="115"/>
  <c r="I119" i="115"/>
  <c r="H119" i="115"/>
  <c r="E119" i="115"/>
  <c r="A119" i="115"/>
  <c r="S118" i="115"/>
  <c r="R118" i="115"/>
  <c r="Q118" i="115"/>
  <c r="P118" i="115"/>
  <c r="O118" i="115"/>
  <c r="N118" i="115"/>
  <c r="M118" i="115"/>
  <c r="K118" i="115"/>
  <c r="J118" i="115"/>
  <c r="I118" i="115"/>
  <c r="H118" i="115"/>
  <c r="E118" i="115"/>
  <c r="A118" i="115"/>
  <c r="S117" i="115"/>
  <c r="R117" i="115"/>
  <c r="Q117" i="115"/>
  <c r="P117" i="115"/>
  <c r="O117" i="115"/>
  <c r="N117" i="115"/>
  <c r="M117" i="115"/>
  <c r="K117" i="115"/>
  <c r="J117" i="115"/>
  <c r="I117" i="115"/>
  <c r="H117" i="115"/>
  <c r="E117" i="115"/>
  <c r="A117" i="115"/>
  <c r="S116" i="115"/>
  <c r="R116" i="115"/>
  <c r="Q116" i="115"/>
  <c r="P116" i="115"/>
  <c r="O116" i="115"/>
  <c r="N116" i="115"/>
  <c r="M116" i="115"/>
  <c r="K116" i="115"/>
  <c r="J116" i="115"/>
  <c r="I116" i="115"/>
  <c r="H116" i="115"/>
  <c r="E116" i="115"/>
  <c r="A116" i="115"/>
  <c r="S115" i="115"/>
  <c r="R115" i="115"/>
  <c r="Q115" i="115"/>
  <c r="P115" i="115"/>
  <c r="O115" i="115"/>
  <c r="N115" i="115"/>
  <c r="M115" i="115"/>
  <c r="K115" i="115"/>
  <c r="J115" i="115"/>
  <c r="I115" i="115"/>
  <c r="H115" i="115"/>
  <c r="E115" i="115"/>
  <c r="A115" i="115"/>
  <c r="S114" i="115"/>
  <c r="R114" i="115"/>
  <c r="Q114" i="115"/>
  <c r="P114" i="115"/>
  <c r="O114" i="115"/>
  <c r="N114" i="115"/>
  <c r="M114" i="115"/>
  <c r="K114" i="115"/>
  <c r="J114" i="115"/>
  <c r="I114" i="115"/>
  <c r="H114" i="115"/>
  <c r="E114" i="115"/>
  <c r="A114" i="115"/>
  <c r="S113" i="115"/>
  <c r="R113" i="115"/>
  <c r="Q113" i="115"/>
  <c r="P113" i="115"/>
  <c r="O113" i="115"/>
  <c r="N113" i="115"/>
  <c r="M113" i="115"/>
  <c r="K113" i="115"/>
  <c r="J113" i="115"/>
  <c r="I113" i="115"/>
  <c r="H113" i="115"/>
  <c r="E113" i="115"/>
  <c r="A113" i="115"/>
  <c r="S112" i="115"/>
  <c r="R112" i="115"/>
  <c r="Q112" i="115"/>
  <c r="P112" i="115"/>
  <c r="O112" i="115"/>
  <c r="N112" i="115"/>
  <c r="M112" i="115"/>
  <c r="K112" i="115"/>
  <c r="J112" i="115"/>
  <c r="I112" i="115"/>
  <c r="H112" i="115"/>
  <c r="E112" i="115"/>
  <c r="A112" i="115"/>
  <c r="S111" i="115"/>
  <c r="R111" i="115"/>
  <c r="Q111" i="115"/>
  <c r="P111" i="115"/>
  <c r="O111" i="115"/>
  <c r="N111" i="115"/>
  <c r="M111" i="115"/>
  <c r="K111" i="115"/>
  <c r="J111" i="115"/>
  <c r="I111" i="115"/>
  <c r="H111" i="115"/>
  <c r="E111" i="115"/>
  <c r="A111" i="115"/>
  <c r="S110" i="115"/>
  <c r="R110" i="115"/>
  <c r="Q110" i="115"/>
  <c r="P110" i="115"/>
  <c r="O110" i="115"/>
  <c r="N110" i="115"/>
  <c r="M110" i="115"/>
  <c r="K110" i="115"/>
  <c r="J110" i="115"/>
  <c r="I110" i="115"/>
  <c r="H110" i="115"/>
  <c r="E110" i="115"/>
  <c r="A110" i="115"/>
  <c r="S109" i="115"/>
  <c r="R109" i="115"/>
  <c r="Q109" i="115"/>
  <c r="P109" i="115"/>
  <c r="O109" i="115"/>
  <c r="N109" i="115"/>
  <c r="M109" i="115"/>
  <c r="K109" i="115"/>
  <c r="J109" i="115"/>
  <c r="I109" i="115"/>
  <c r="H109" i="115"/>
  <c r="E109" i="115"/>
  <c r="A109" i="115"/>
  <c r="S108" i="115"/>
  <c r="R108" i="115"/>
  <c r="Q108" i="115"/>
  <c r="P108" i="115"/>
  <c r="O108" i="115"/>
  <c r="N108" i="115"/>
  <c r="M108" i="115"/>
  <c r="K108" i="115"/>
  <c r="J108" i="115"/>
  <c r="I108" i="115"/>
  <c r="H108" i="115"/>
  <c r="E108" i="115"/>
  <c r="A108" i="115"/>
  <c r="S107" i="115"/>
  <c r="R107" i="115"/>
  <c r="Q107" i="115"/>
  <c r="P107" i="115"/>
  <c r="O107" i="115"/>
  <c r="N107" i="115"/>
  <c r="M107" i="115"/>
  <c r="K107" i="115"/>
  <c r="J107" i="115"/>
  <c r="I107" i="115"/>
  <c r="H107" i="115"/>
  <c r="E107" i="115"/>
  <c r="A107" i="115"/>
  <c r="S106" i="115"/>
  <c r="R106" i="115"/>
  <c r="Q106" i="115"/>
  <c r="P106" i="115"/>
  <c r="O106" i="115"/>
  <c r="N106" i="115"/>
  <c r="M106" i="115"/>
  <c r="K106" i="115"/>
  <c r="J106" i="115"/>
  <c r="I106" i="115"/>
  <c r="H106" i="115"/>
  <c r="E106" i="115"/>
  <c r="A106" i="115"/>
  <c r="S105" i="115"/>
  <c r="R105" i="115"/>
  <c r="Q105" i="115"/>
  <c r="P105" i="115"/>
  <c r="O105" i="115"/>
  <c r="N105" i="115"/>
  <c r="M105" i="115"/>
  <c r="K105" i="115"/>
  <c r="J105" i="115"/>
  <c r="I105" i="115"/>
  <c r="H105" i="115"/>
  <c r="E105" i="115"/>
  <c r="A105" i="115"/>
  <c r="S104" i="115"/>
  <c r="R104" i="115"/>
  <c r="Q104" i="115"/>
  <c r="P104" i="115"/>
  <c r="O104" i="115"/>
  <c r="N104" i="115"/>
  <c r="M104" i="115"/>
  <c r="K104" i="115"/>
  <c r="J104" i="115"/>
  <c r="I104" i="115"/>
  <c r="H104" i="115"/>
  <c r="E104" i="115"/>
  <c r="A104" i="115"/>
  <c r="S103" i="115"/>
  <c r="R103" i="115"/>
  <c r="Q103" i="115"/>
  <c r="P103" i="115"/>
  <c r="O103" i="115"/>
  <c r="N103" i="115"/>
  <c r="M103" i="115"/>
  <c r="K103" i="115"/>
  <c r="J103" i="115"/>
  <c r="I103" i="115"/>
  <c r="H103" i="115"/>
  <c r="E103" i="115"/>
  <c r="A103" i="115"/>
  <c r="S102" i="115"/>
  <c r="R102" i="115"/>
  <c r="Q102" i="115"/>
  <c r="P102" i="115"/>
  <c r="O102" i="115"/>
  <c r="N102" i="115"/>
  <c r="M102" i="115"/>
  <c r="K102" i="115"/>
  <c r="J102" i="115"/>
  <c r="I102" i="115"/>
  <c r="H102" i="115"/>
  <c r="E102" i="115"/>
  <c r="A102" i="115"/>
  <c r="S101" i="115"/>
  <c r="R101" i="115"/>
  <c r="Q101" i="115"/>
  <c r="P101" i="115"/>
  <c r="O101" i="115"/>
  <c r="N101" i="115"/>
  <c r="M101" i="115"/>
  <c r="K101" i="115"/>
  <c r="J101" i="115"/>
  <c r="I101" i="115"/>
  <c r="H101" i="115"/>
  <c r="E101" i="115"/>
  <c r="A101" i="115"/>
  <c r="S100" i="115"/>
  <c r="R100" i="115"/>
  <c r="Q100" i="115"/>
  <c r="P100" i="115"/>
  <c r="O100" i="115"/>
  <c r="N100" i="115"/>
  <c r="M100" i="115"/>
  <c r="K100" i="115"/>
  <c r="J100" i="115"/>
  <c r="I100" i="115"/>
  <c r="H100" i="115"/>
  <c r="E100" i="115"/>
  <c r="A100" i="115"/>
  <c r="S99" i="115"/>
  <c r="R99" i="115"/>
  <c r="Q99" i="115"/>
  <c r="P99" i="115"/>
  <c r="O99" i="115"/>
  <c r="N99" i="115"/>
  <c r="M99" i="115"/>
  <c r="K99" i="115"/>
  <c r="J99" i="115"/>
  <c r="I99" i="115"/>
  <c r="H99" i="115"/>
  <c r="E99" i="115"/>
  <c r="A99" i="115"/>
  <c r="S98" i="115"/>
  <c r="R98" i="115"/>
  <c r="Q98" i="115"/>
  <c r="P98" i="115"/>
  <c r="O98" i="115"/>
  <c r="N98" i="115"/>
  <c r="M98" i="115"/>
  <c r="K98" i="115"/>
  <c r="J98" i="115"/>
  <c r="I98" i="115"/>
  <c r="H98" i="115"/>
  <c r="E98" i="115"/>
  <c r="A98" i="115"/>
  <c r="S97" i="115"/>
  <c r="R97" i="115"/>
  <c r="Q97" i="115"/>
  <c r="P97" i="115"/>
  <c r="O97" i="115"/>
  <c r="N97" i="115"/>
  <c r="M97" i="115"/>
  <c r="K97" i="115"/>
  <c r="J97" i="115"/>
  <c r="I97" i="115"/>
  <c r="H97" i="115"/>
  <c r="E97" i="115"/>
  <c r="A97" i="115"/>
  <c r="S96" i="115"/>
  <c r="R96" i="115"/>
  <c r="Q96" i="115"/>
  <c r="P96" i="115"/>
  <c r="O96" i="115"/>
  <c r="N96" i="115"/>
  <c r="M96" i="115"/>
  <c r="K96" i="115"/>
  <c r="J96" i="115"/>
  <c r="I96" i="115"/>
  <c r="H96" i="115"/>
  <c r="E96" i="115"/>
  <c r="A96" i="115"/>
  <c r="S95" i="115"/>
  <c r="R95" i="115"/>
  <c r="Q95" i="115"/>
  <c r="P95" i="115"/>
  <c r="O95" i="115"/>
  <c r="N95" i="115"/>
  <c r="M95" i="115"/>
  <c r="K95" i="115"/>
  <c r="J95" i="115"/>
  <c r="I95" i="115"/>
  <c r="H95" i="115"/>
  <c r="E95" i="115"/>
  <c r="A95" i="115"/>
  <c r="S94" i="115"/>
  <c r="R94" i="115"/>
  <c r="Q94" i="115"/>
  <c r="P94" i="115"/>
  <c r="O94" i="115"/>
  <c r="N94" i="115"/>
  <c r="M94" i="115"/>
  <c r="K94" i="115"/>
  <c r="J94" i="115"/>
  <c r="I94" i="115"/>
  <c r="H94" i="115"/>
  <c r="E94" i="115"/>
  <c r="A94" i="115"/>
  <c r="S93" i="115"/>
  <c r="R93" i="115"/>
  <c r="Q93" i="115"/>
  <c r="P93" i="115"/>
  <c r="O93" i="115"/>
  <c r="N93" i="115"/>
  <c r="M93" i="115"/>
  <c r="K93" i="115"/>
  <c r="J93" i="115"/>
  <c r="I93" i="115"/>
  <c r="H93" i="115"/>
  <c r="E93" i="115"/>
  <c r="A93" i="115"/>
  <c r="S92" i="115"/>
  <c r="R92" i="115"/>
  <c r="Q92" i="115"/>
  <c r="P92" i="115"/>
  <c r="O92" i="115"/>
  <c r="N92" i="115"/>
  <c r="M92" i="115"/>
  <c r="K92" i="115"/>
  <c r="J92" i="115"/>
  <c r="I92" i="115"/>
  <c r="H92" i="115"/>
  <c r="E92" i="115"/>
  <c r="A92" i="115"/>
  <c r="S91" i="115"/>
  <c r="R91" i="115"/>
  <c r="Q91" i="115"/>
  <c r="P91" i="115"/>
  <c r="O91" i="115"/>
  <c r="N91" i="115"/>
  <c r="M91" i="115"/>
  <c r="K91" i="115"/>
  <c r="J91" i="115"/>
  <c r="I91" i="115"/>
  <c r="H91" i="115"/>
  <c r="E91" i="115"/>
  <c r="A91" i="115"/>
  <c r="S90" i="115"/>
  <c r="R90" i="115"/>
  <c r="Q90" i="115"/>
  <c r="P90" i="115"/>
  <c r="O90" i="115"/>
  <c r="N90" i="115"/>
  <c r="M90" i="115"/>
  <c r="K90" i="115"/>
  <c r="J90" i="115"/>
  <c r="I90" i="115"/>
  <c r="H90" i="115"/>
  <c r="E90" i="115"/>
  <c r="A90" i="115"/>
  <c r="S89" i="115"/>
  <c r="R89" i="115"/>
  <c r="Q89" i="115"/>
  <c r="P89" i="115"/>
  <c r="O89" i="115"/>
  <c r="N89" i="115"/>
  <c r="M89" i="115"/>
  <c r="K89" i="115"/>
  <c r="J89" i="115"/>
  <c r="I89" i="115"/>
  <c r="H89" i="115"/>
  <c r="E89" i="115"/>
  <c r="A89" i="115"/>
  <c r="S88" i="115"/>
  <c r="R88" i="115"/>
  <c r="Q88" i="115"/>
  <c r="P88" i="115"/>
  <c r="O88" i="115"/>
  <c r="N88" i="115"/>
  <c r="M88" i="115"/>
  <c r="K88" i="115"/>
  <c r="J88" i="115"/>
  <c r="I88" i="115"/>
  <c r="H88" i="115"/>
  <c r="E88" i="115"/>
  <c r="A88" i="115"/>
  <c r="S87" i="115"/>
  <c r="R87" i="115"/>
  <c r="Q87" i="115"/>
  <c r="P87" i="115"/>
  <c r="O87" i="115"/>
  <c r="N87" i="115"/>
  <c r="M87" i="115"/>
  <c r="K87" i="115"/>
  <c r="J87" i="115"/>
  <c r="I87" i="115"/>
  <c r="H87" i="115"/>
  <c r="E87" i="115"/>
  <c r="A87" i="115"/>
  <c r="S86" i="115"/>
  <c r="R86" i="115"/>
  <c r="Q86" i="115"/>
  <c r="P86" i="115"/>
  <c r="O86" i="115"/>
  <c r="N86" i="115"/>
  <c r="M86" i="115"/>
  <c r="K86" i="115"/>
  <c r="J86" i="115"/>
  <c r="I86" i="115"/>
  <c r="H86" i="115"/>
  <c r="E86" i="115"/>
  <c r="A86" i="115"/>
  <c r="S85" i="115"/>
  <c r="R85" i="115"/>
  <c r="Q85" i="115"/>
  <c r="P85" i="115"/>
  <c r="O85" i="115"/>
  <c r="N85" i="115"/>
  <c r="M85" i="115"/>
  <c r="K85" i="115"/>
  <c r="J85" i="115"/>
  <c r="I85" i="115"/>
  <c r="H85" i="115"/>
  <c r="E85" i="115"/>
  <c r="A85" i="115"/>
  <c r="S84" i="115"/>
  <c r="R84" i="115"/>
  <c r="Q84" i="115"/>
  <c r="P84" i="115"/>
  <c r="O84" i="115"/>
  <c r="N84" i="115"/>
  <c r="M84" i="115"/>
  <c r="K84" i="115"/>
  <c r="J84" i="115"/>
  <c r="I84" i="115"/>
  <c r="H84" i="115"/>
  <c r="E84" i="115"/>
  <c r="A84" i="115"/>
  <c r="S83" i="115"/>
  <c r="R83" i="115"/>
  <c r="Q83" i="115"/>
  <c r="P83" i="115"/>
  <c r="O83" i="115"/>
  <c r="N83" i="115"/>
  <c r="M83" i="115"/>
  <c r="K83" i="115"/>
  <c r="J83" i="115"/>
  <c r="I83" i="115"/>
  <c r="H83" i="115"/>
  <c r="E83" i="115"/>
  <c r="A83" i="115"/>
  <c r="S82" i="115"/>
  <c r="R82" i="115"/>
  <c r="Q82" i="115"/>
  <c r="P82" i="115"/>
  <c r="O82" i="115"/>
  <c r="N82" i="115"/>
  <c r="M82" i="115"/>
  <c r="K82" i="115"/>
  <c r="J82" i="115"/>
  <c r="I82" i="115"/>
  <c r="H82" i="115"/>
  <c r="E82" i="115"/>
  <c r="A82" i="115"/>
  <c r="S81" i="115"/>
  <c r="R81" i="115"/>
  <c r="Q81" i="115"/>
  <c r="P81" i="115"/>
  <c r="O81" i="115"/>
  <c r="N81" i="115"/>
  <c r="M81" i="115"/>
  <c r="K81" i="115"/>
  <c r="J81" i="115"/>
  <c r="I81" i="115"/>
  <c r="H81" i="115"/>
  <c r="E81" i="115"/>
  <c r="A81" i="115"/>
  <c r="S80" i="115"/>
  <c r="R80" i="115"/>
  <c r="Q80" i="115"/>
  <c r="P80" i="115"/>
  <c r="O80" i="115"/>
  <c r="N80" i="115"/>
  <c r="M80" i="115"/>
  <c r="K80" i="115"/>
  <c r="J80" i="115"/>
  <c r="I80" i="115"/>
  <c r="H80" i="115"/>
  <c r="E80" i="115"/>
  <c r="A80" i="115"/>
  <c r="S79" i="115"/>
  <c r="R79" i="115"/>
  <c r="Q79" i="115"/>
  <c r="P79" i="115"/>
  <c r="O79" i="115"/>
  <c r="N79" i="115"/>
  <c r="M79" i="115"/>
  <c r="K79" i="115"/>
  <c r="J79" i="115"/>
  <c r="I79" i="115"/>
  <c r="H79" i="115"/>
  <c r="E79" i="115"/>
  <c r="A79" i="115"/>
  <c r="S78" i="115"/>
  <c r="R78" i="115"/>
  <c r="Q78" i="115"/>
  <c r="P78" i="115"/>
  <c r="O78" i="115"/>
  <c r="N78" i="115"/>
  <c r="M78" i="115"/>
  <c r="K78" i="115"/>
  <c r="J78" i="115"/>
  <c r="I78" i="115"/>
  <c r="H78" i="115"/>
  <c r="E78" i="115"/>
  <c r="A78" i="115"/>
  <c r="S77" i="115"/>
  <c r="R77" i="115"/>
  <c r="Q77" i="115"/>
  <c r="P77" i="115"/>
  <c r="O77" i="115"/>
  <c r="N77" i="115"/>
  <c r="M77" i="115"/>
  <c r="K77" i="115"/>
  <c r="J77" i="115"/>
  <c r="I77" i="115"/>
  <c r="H77" i="115"/>
  <c r="E77" i="115"/>
  <c r="A77" i="115"/>
  <c r="S76" i="115"/>
  <c r="R76" i="115"/>
  <c r="Q76" i="115"/>
  <c r="P76" i="115"/>
  <c r="O76" i="115"/>
  <c r="N76" i="115"/>
  <c r="M76" i="115"/>
  <c r="K76" i="115"/>
  <c r="J76" i="115"/>
  <c r="I76" i="115"/>
  <c r="H76" i="115"/>
  <c r="E76" i="115"/>
  <c r="A76" i="115"/>
  <c r="S75" i="115"/>
  <c r="R75" i="115"/>
  <c r="Q75" i="115"/>
  <c r="P75" i="115"/>
  <c r="O75" i="115"/>
  <c r="N75" i="115"/>
  <c r="M75" i="115"/>
  <c r="K75" i="115"/>
  <c r="J75" i="115"/>
  <c r="I75" i="115"/>
  <c r="H75" i="115"/>
  <c r="E75" i="115"/>
  <c r="A75" i="115"/>
  <c r="S74" i="115"/>
  <c r="R74" i="115"/>
  <c r="Q74" i="115"/>
  <c r="P74" i="115"/>
  <c r="O74" i="115"/>
  <c r="N74" i="115"/>
  <c r="M74" i="115"/>
  <c r="K74" i="115"/>
  <c r="J74" i="115"/>
  <c r="I74" i="115"/>
  <c r="H74" i="115"/>
  <c r="E74" i="115"/>
  <c r="A74" i="115"/>
  <c r="S73" i="115"/>
  <c r="R73" i="115"/>
  <c r="Q73" i="115"/>
  <c r="P73" i="115"/>
  <c r="O73" i="115"/>
  <c r="N73" i="115"/>
  <c r="M73" i="115"/>
  <c r="K73" i="115"/>
  <c r="J73" i="115"/>
  <c r="I73" i="115"/>
  <c r="H73" i="115"/>
  <c r="E73" i="115"/>
  <c r="A73" i="115"/>
  <c r="S72" i="115"/>
  <c r="R72" i="115"/>
  <c r="Q72" i="115"/>
  <c r="P72" i="115"/>
  <c r="O72" i="115"/>
  <c r="N72" i="115"/>
  <c r="M72" i="115"/>
  <c r="K72" i="115"/>
  <c r="J72" i="115"/>
  <c r="I72" i="115"/>
  <c r="H72" i="115"/>
  <c r="E72" i="115"/>
  <c r="A72" i="115"/>
  <c r="S71" i="115"/>
  <c r="R71" i="115"/>
  <c r="Q71" i="115"/>
  <c r="P71" i="115"/>
  <c r="O71" i="115"/>
  <c r="N71" i="115"/>
  <c r="M71" i="115"/>
  <c r="K71" i="115"/>
  <c r="J71" i="115"/>
  <c r="I71" i="115"/>
  <c r="H71" i="115"/>
  <c r="E71" i="115"/>
  <c r="A71" i="115"/>
  <c r="S70" i="115"/>
  <c r="R70" i="115"/>
  <c r="Q70" i="115"/>
  <c r="P70" i="115"/>
  <c r="O70" i="115"/>
  <c r="N70" i="115"/>
  <c r="M70" i="115"/>
  <c r="K70" i="115"/>
  <c r="J70" i="115"/>
  <c r="I70" i="115"/>
  <c r="H70" i="115"/>
  <c r="E70" i="115"/>
  <c r="A70" i="115"/>
  <c r="S69" i="115"/>
  <c r="R69" i="115"/>
  <c r="Q69" i="115"/>
  <c r="P69" i="115"/>
  <c r="O69" i="115"/>
  <c r="N69" i="115"/>
  <c r="M69" i="115"/>
  <c r="K69" i="115"/>
  <c r="J69" i="115"/>
  <c r="I69" i="115"/>
  <c r="H69" i="115"/>
  <c r="E69" i="115"/>
  <c r="A69" i="115"/>
  <c r="S68" i="115"/>
  <c r="R68" i="115"/>
  <c r="Q68" i="115"/>
  <c r="P68" i="115"/>
  <c r="O68" i="115"/>
  <c r="N68" i="115"/>
  <c r="M68" i="115"/>
  <c r="K68" i="115"/>
  <c r="J68" i="115"/>
  <c r="I68" i="115"/>
  <c r="H68" i="115"/>
  <c r="E68" i="115"/>
  <c r="A68" i="115"/>
  <c r="S67" i="115"/>
  <c r="R67" i="115"/>
  <c r="Q67" i="115"/>
  <c r="P67" i="115"/>
  <c r="O67" i="115"/>
  <c r="N67" i="115"/>
  <c r="M67" i="115"/>
  <c r="K67" i="115"/>
  <c r="J67" i="115"/>
  <c r="I67" i="115"/>
  <c r="H67" i="115"/>
  <c r="E67" i="115"/>
  <c r="A67" i="115"/>
  <c r="S66" i="115"/>
  <c r="R66" i="115"/>
  <c r="Q66" i="115"/>
  <c r="P66" i="115"/>
  <c r="O66" i="115"/>
  <c r="N66" i="115"/>
  <c r="M66" i="115"/>
  <c r="K66" i="115"/>
  <c r="J66" i="115"/>
  <c r="I66" i="115"/>
  <c r="H66" i="115"/>
  <c r="E66" i="115"/>
  <c r="A66" i="115"/>
  <c r="S65" i="115"/>
  <c r="R65" i="115"/>
  <c r="Q65" i="115"/>
  <c r="P65" i="115"/>
  <c r="O65" i="115"/>
  <c r="N65" i="115"/>
  <c r="M65" i="115"/>
  <c r="K65" i="115"/>
  <c r="J65" i="115"/>
  <c r="I65" i="115"/>
  <c r="H65" i="115"/>
  <c r="E65" i="115"/>
  <c r="A65" i="115"/>
  <c r="S64" i="115"/>
  <c r="R64" i="115"/>
  <c r="Q64" i="115"/>
  <c r="P64" i="115"/>
  <c r="O64" i="115"/>
  <c r="N64" i="115"/>
  <c r="M64" i="115"/>
  <c r="K64" i="115"/>
  <c r="J64" i="115"/>
  <c r="I64" i="115"/>
  <c r="H64" i="115"/>
  <c r="E64" i="115"/>
  <c r="A64" i="115"/>
  <c r="S63" i="115"/>
  <c r="R63" i="115"/>
  <c r="Q63" i="115"/>
  <c r="P63" i="115"/>
  <c r="O63" i="115"/>
  <c r="N63" i="115"/>
  <c r="M63" i="115"/>
  <c r="K63" i="115"/>
  <c r="J63" i="115"/>
  <c r="I63" i="115"/>
  <c r="H63" i="115"/>
  <c r="E63" i="115"/>
  <c r="A63" i="115"/>
  <c r="S62" i="115"/>
  <c r="R62" i="115"/>
  <c r="Q62" i="115"/>
  <c r="P62" i="115"/>
  <c r="O62" i="115"/>
  <c r="N62" i="115"/>
  <c r="M62" i="115"/>
  <c r="K62" i="115"/>
  <c r="J62" i="115"/>
  <c r="I62" i="115"/>
  <c r="H62" i="115"/>
  <c r="E62" i="115"/>
  <c r="A62" i="115"/>
  <c r="S61" i="115"/>
  <c r="R61" i="115"/>
  <c r="Q61" i="115"/>
  <c r="P61" i="115"/>
  <c r="O61" i="115"/>
  <c r="N61" i="115"/>
  <c r="M61" i="115"/>
  <c r="K61" i="115"/>
  <c r="J61" i="115"/>
  <c r="I61" i="115"/>
  <c r="H61" i="115"/>
  <c r="E61" i="115"/>
  <c r="A61" i="115"/>
  <c r="S60" i="115"/>
  <c r="R60" i="115"/>
  <c r="Q60" i="115"/>
  <c r="P60" i="115"/>
  <c r="O60" i="115"/>
  <c r="N60" i="115"/>
  <c r="M60" i="115"/>
  <c r="K60" i="115"/>
  <c r="J60" i="115"/>
  <c r="I60" i="115"/>
  <c r="H60" i="115"/>
  <c r="E60" i="115"/>
  <c r="A60" i="115"/>
  <c r="S59" i="115"/>
  <c r="R59" i="115"/>
  <c r="Q59" i="115"/>
  <c r="P59" i="115"/>
  <c r="O59" i="115"/>
  <c r="N59" i="115"/>
  <c r="M59" i="115"/>
  <c r="K59" i="115"/>
  <c r="J59" i="115"/>
  <c r="I59" i="115"/>
  <c r="H59" i="115"/>
  <c r="E59" i="115"/>
  <c r="A59" i="115"/>
  <c r="S58" i="115"/>
  <c r="R58" i="115"/>
  <c r="Q58" i="115"/>
  <c r="P58" i="115"/>
  <c r="O58" i="115"/>
  <c r="N58" i="115"/>
  <c r="M58" i="115"/>
  <c r="K58" i="115"/>
  <c r="J58" i="115"/>
  <c r="I58" i="115"/>
  <c r="H58" i="115"/>
  <c r="E58" i="115"/>
  <c r="A58" i="115"/>
  <c r="S57" i="115"/>
  <c r="R57" i="115"/>
  <c r="Q57" i="115"/>
  <c r="P57" i="115"/>
  <c r="O57" i="115"/>
  <c r="N57" i="115"/>
  <c r="M57" i="115"/>
  <c r="K57" i="115"/>
  <c r="J57" i="115"/>
  <c r="I57" i="115"/>
  <c r="H57" i="115"/>
  <c r="E57" i="115"/>
  <c r="A57" i="115"/>
  <c r="S56" i="115"/>
  <c r="R56" i="115"/>
  <c r="Q56" i="115"/>
  <c r="P56" i="115"/>
  <c r="O56" i="115"/>
  <c r="N56" i="115"/>
  <c r="M56" i="115"/>
  <c r="K56" i="115"/>
  <c r="J56" i="115"/>
  <c r="I56" i="115"/>
  <c r="H56" i="115"/>
  <c r="E56" i="115"/>
  <c r="A56" i="115"/>
  <c r="S55" i="115"/>
  <c r="R55" i="115"/>
  <c r="Q55" i="115"/>
  <c r="P55" i="115"/>
  <c r="O55" i="115"/>
  <c r="N55" i="115"/>
  <c r="M55" i="115"/>
  <c r="K55" i="115"/>
  <c r="J55" i="115"/>
  <c r="I55" i="115"/>
  <c r="H55" i="115"/>
  <c r="E55" i="115"/>
  <c r="A55" i="115"/>
  <c r="S54" i="115"/>
  <c r="R54" i="115"/>
  <c r="Q54" i="115"/>
  <c r="P54" i="115"/>
  <c r="O54" i="115"/>
  <c r="N54" i="115"/>
  <c r="M54" i="115"/>
  <c r="K54" i="115"/>
  <c r="J54" i="115"/>
  <c r="I54" i="115"/>
  <c r="H54" i="115"/>
  <c r="E54" i="115"/>
  <c r="A54" i="115"/>
  <c r="S53" i="115"/>
  <c r="R53" i="115"/>
  <c r="Q53" i="115"/>
  <c r="P53" i="115"/>
  <c r="O53" i="115"/>
  <c r="N53" i="115"/>
  <c r="M53" i="115"/>
  <c r="K53" i="115"/>
  <c r="J53" i="115"/>
  <c r="I53" i="115"/>
  <c r="H53" i="115"/>
  <c r="E53" i="115"/>
  <c r="A53" i="115"/>
  <c r="S52" i="115"/>
  <c r="R52" i="115"/>
  <c r="Q52" i="115"/>
  <c r="P52" i="115"/>
  <c r="O52" i="115"/>
  <c r="N52" i="115"/>
  <c r="M52" i="115"/>
  <c r="K52" i="115"/>
  <c r="J52" i="115"/>
  <c r="I52" i="115"/>
  <c r="H52" i="115"/>
  <c r="E52" i="115"/>
  <c r="A52" i="115"/>
  <c r="S51" i="115"/>
  <c r="R51" i="115"/>
  <c r="Q51" i="115"/>
  <c r="P51" i="115"/>
  <c r="O51" i="115"/>
  <c r="N51" i="115"/>
  <c r="M51" i="115"/>
  <c r="K51" i="115"/>
  <c r="J51" i="115"/>
  <c r="I51" i="115"/>
  <c r="H51" i="115"/>
  <c r="E51" i="115"/>
  <c r="A51" i="115"/>
  <c r="S50" i="115"/>
  <c r="R50" i="115"/>
  <c r="Q50" i="115"/>
  <c r="P50" i="115"/>
  <c r="O50" i="115"/>
  <c r="N50" i="115"/>
  <c r="M50" i="115"/>
  <c r="K50" i="115"/>
  <c r="J50" i="115"/>
  <c r="I50" i="115"/>
  <c r="H50" i="115"/>
  <c r="E50" i="115"/>
  <c r="A50" i="115"/>
  <c r="S49" i="115"/>
  <c r="R49" i="115"/>
  <c r="Q49" i="115"/>
  <c r="P49" i="115"/>
  <c r="O49" i="115"/>
  <c r="N49" i="115"/>
  <c r="M49" i="115"/>
  <c r="K49" i="115"/>
  <c r="J49" i="115"/>
  <c r="I49" i="115"/>
  <c r="H49" i="115"/>
  <c r="E49" i="115"/>
  <c r="A49" i="115"/>
  <c r="S48" i="115"/>
  <c r="R48" i="115"/>
  <c r="Q48" i="115"/>
  <c r="P48" i="115"/>
  <c r="O48" i="115"/>
  <c r="N48" i="115"/>
  <c r="M48" i="115"/>
  <c r="K48" i="115"/>
  <c r="J48" i="115"/>
  <c r="I48" i="115"/>
  <c r="H48" i="115"/>
  <c r="E48" i="115"/>
  <c r="A48" i="115"/>
  <c r="S47" i="115"/>
  <c r="R47" i="115"/>
  <c r="Q47" i="115"/>
  <c r="P47" i="115"/>
  <c r="O47" i="115"/>
  <c r="N47" i="115"/>
  <c r="M47" i="115"/>
  <c r="K47" i="115"/>
  <c r="J47" i="115"/>
  <c r="I47" i="115"/>
  <c r="H47" i="115"/>
  <c r="E47" i="115"/>
  <c r="A47" i="115"/>
  <c r="S46" i="115"/>
  <c r="R46" i="115"/>
  <c r="Q46" i="115"/>
  <c r="P46" i="115"/>
  <c r="O46" i="115"/>
  <c r="N46" i="115"/>
  <c r="M46" i="115"/>
  <c r="K46" i="115"/>
  <c r="J46" i="115"/>
  <c r="I46" i="115"/>
  <c r="H46" i="115"/>
  <c r="E46" i="115"/>
  <c r="A46" i="115"/>
  <c r="S45" i="115"/>
  <c r="R45" i="115"/>
  <c r="Q45" i="115"/>
  <c r="P45" i="115"/>
  <c r="O45" i="115"/>
  <c r="N45" i="115"/>
  <c r="M45" i="115"/>
  <c r="K45" i="115"/>
  <c r="J45" i="115"/>
  <c r="I45" i="115"/>
  <c r="H45" i="115"/>
  <c r="E45" i="115"/>
  <c r="A45" i="115"/>
  <c r="S44" i="115"/>
  <c r="R44" i="115"/>
  <c r="Q44" i="115"/>
  <c r="P44" i="115"/>
  <c r="O44" i="115"/>
  <c r="N44" i="115"/>
  <c r="M44" i="115"/>
  <c r="K44" i="115"/>
  <c r="J44" i="115"/>
  <c r="I44" i="115"/>
  <c r="H44" i="115"/>
  <c r="E44" i="115"/>
  <c r="A44" i="115"/>
  <c r="S43" i="115"/>
  <c r="R43" i="115"/>
  <c r="Q43" i="115"/>
  <c r="P43" i="115"/>
  <c r="O43" i="115"/>
  <c r="N43" i="115"/>
  <c r="M43" i="115"/>
  <c r="K43" i="115"/>
  <c r="J43" i="115"/>
  <c r="I43" i="115"/>
  <c r="H43" i="115"/>
  <c r="E43" i="115"/>
  <c r="A43" i="115"/>
  <c r="S42" i="115"/>
  <c r="R42" i="115"/>
  <c r="Q42" i="115"/>
  <c r="P42" i="115"/>
  <c r="O42" i="115"/>
  <c r="N42" i="115"/>
  <c r="M42" i="115"/>
  <c r="K42" i="115"/>
  <c r="J42" i="115"/>
  <c r="I42" i="115"/>
  <c r="H42" i="115"/>
  <c r="E42" i="115"/>
  <c r="A42" i="115"/>
  <c r="S41" i="115"/>
  <c r="R41" i="115"/>
  <c r="Q41" i="115"/>
  <c r="P41" i="115"/>
  <c r="O41" i="115"/>
  <c r="N41" i="115"/>
  <c r="M41" i="115"/>
  <c r="K41" i="115"/>
  <c r="J41" i="115"/>
  <c r="I41" i="115"/>
  <c r="H41" i="115"/>
  <c r="E41" i="115"/>
  <c r="A41" i="115"/>
  <c r="S40" i="115"/>
  <c r="R40" i="115"/>
  <c r="Q40" i="115"/>
  <c r="P40" i="115"/>
  <c r="O40" i="115"/>
  <c r="N40" i="115"/>
  <c r="M40" i="115"/>
  <c r="K40" i="115"/>
  <c r="J40" i="115"/>
  <c r="I40" i="115"/>
  <c r="H40" i="115"/>
  <c r="E40" i="115"/>
  <c r="A40" i="115"/>
  <c r="S39" i="115"/>
  <c r="R39" i="115"/>
  <c r="Q39" i="115"/>
  <c r="P39" i="115"/>
  <c r="O39" i="115"/>
  <c r="N39" i="115"/>
  <c r="M39" i="115"/>
  <c r="K39" i="115"/>
  <c r="J39" i="115"/>
  <c r="I39" i="115"/>
  <c r="H39" i="115"/>
  <c r="E39" i="115"/>
  <c r="A39" i="115"/>
  <c r="S38" i="115"/>
  <c r="R38" i="115"/>
  <c r="Q38" i="115"/>
  <c r="P38" i="115"/>
  <c r="O38" i="115"/>
  <c r="N38" i="115"/>
  <c r="M38" i="115"/>
  <c r="K38" i="115"/>
  <c r="J38" i="115"/>
  <c r="I38" i="115"/>
  <c r="H38" i="115"/>
  <c r="E38" i="115"/>
  <c r="A38" i="115"/>
  <c r="S37" i="115"/>
  <c r="R37" i="115"/>
  <c r="Q37" i="115"/>
  <c r="P37" i="115"/>
  <c r="O37" i="115"/>
  <c r="N37" i="115"/>
  <c r="M37" i="115"/>
  <c r="K37" i="115"/>
  <c r="J37" i="115"/>
  <c r="I37" i="115"/>
  <c r="H37" i="115"/>
  <c r="E37" i="115"/>
  <c r="A37" i="115"/>
  <c r="S36" i="115"/>
  <c r="R36" i="115"/>
  <c r="Q36" i="115"/>
  <c r="P36" i="115"/>
  <c r="O36" i="115"/>
  <c r="N36" i="115"/>
  <c r="M36" i="115"/>
  <c r="K36" i="115"/>
  <c r="J36" i="115"/>
  <c r="I36" i="115"/>
  <c r="H36" i="115"/>
  <c r="E36" i="115"/>
  <c r="A36" i="115"/>
  <c r="S35" i="115"/>
  <c r="R35" i="115"/>
  <c r="Q35" i="115"/>
  <c r="P35" i="115"/>
  <c r="O35" i="115"/>
  <c r="N35" i="115"/>
  <c r="M35" i="115"/>
  <c r="K35" i="115"/>
  <c r="J35" i="115"/>
  <c r="I35" i="115"/>
  <c r="H35" i="115"/>
  <c r="E35" i="115"/>
  <c r="A35" i="115"/>
  <c r="S34" i="115"/>
  <c r="R34" i="115"/>
  <c r="Q34" i="115"/>
  <c r="P34" i="115"/>
  <c r="O34" i="115"/>
  <c r="N34" i="115"/>
  <c r="M34" i="115"/>
  <c r="K34" i="115"/>
  <c r="J34" i="115"/>
  <c r="I34" i="115"/>
  <c r="H34" i="115"/>
  <c r="E34" i="115"/>
  <c r="A34" i="115"/>
  <c r="S33" i="115"/>
  <c r="R33" i="115"/>
  <c r="Q33" i="115"/>
  <c r="P33" i="115"/>
  <c r="O33" i="115"/>
  <c r="N33" i="115"/>
  <c r="M33" i="115"/>
  <c r="K33" i="115"/>
  <c r="J33" i="115"/>
  <c r="I33" i="115"/>
  <c r="H33" i="115"/>
  <c r="E33" i="115"/>
  <c r="A33" i="115"/>
  <c r="S32" i="115"/>
  <c r="R32" i="115"/>
  <c r="Q32" i="115"/>
  <c r="P32" i="115"/>
  <c r="O32" i="115"/>
  <c r="N32" i="115"/>
  <c r="M32" i="115"/>
  <c r="K32" i="115"/>
  <c r="J32" i="115"/>
  <c r="I32" i="115"/>
  <c r="H32" i="115"/>
  <c r="E32" i="115"/>
  <c r="A32" i="115"/>
  <c r="S31" i="115"/>
  <c r="R31" i="115"/>
  <c r="Q31" i="115"/>
  <c r="P31" i="115"/>
  <c r="O31" i="115"/>
  <c r="N31" i="115"/>
  <c r="M31" i="115"/>
  <c r="K31" i="115"/>
  <c r="J31" i="115"/>
  <c r="I31" i="115"/>
  <c r="H31" i="115"/>
  <c r="E31" i="115"/>
  <c r="A31" i="115"/>
  <c r="S30" i="115"/>
  <c r="R30" i="115"/>
  <c r="Q30" i="115"/>
  <c r="P30" i="115"/>
  <c r="O30" i="115"/>
  <c r="N30" i="115"/>
  <c r="M30" i="115"/>
  <c r="K30" i="115"/>
  <c r="J30" i="115"/>
  <c r="I30" i="115"/>
  <c r="H30" i="115"/>
  <c r="E30" i="115"/>
  <c r="A30" i="115"/>
  <c r="S29" i="115"/>
  <c r="R29" i="115"/>
  <c r="Q29" i="115"/>
  <c r="P29" i="115"/>
  <c r="O29" i="115"/>
  <c r="N29" i="115"/>
  <c r="M29" i="115"/>
  <c r="K29" i="115"/>
  <c r="J29" i="115"/>
  <c r="I29" i="115"/>
  <c r="H29" i="115"/>
  <c r="E29" i="115"/>
  <c r="A29" i="115"/>
  <c r="S28" i="115"/>
  <c r="R28" i="115"/>
  <c r="Q28" i="115"/>
  <c r="P28" i="115"/>
  <c r="O28" i="115"/>
  <c r="N28" i="115"/>
  <c r="M28" i="115"/>
  <c r="K28" i="115"/>
  <c r="J28" i="115"/>
  <c r="I28" i="115"/>
  <c r="H28" i="115"/>
  <c r="E28" i="115"/>
  <c r="A28" i="115"/>
  <c r="S27" i="115"/>
  <c r="R27" i="115"/>
  <c r="Q27" i="115"/>
  <c r="P27" i="115"/>
  <c r="O27" i="115"/>
  <c r="N27" i="115"/>
  <c r="M27" i="115"/>
  <c r="K27" i="115"/>
  <c r="J27" i="115"/>
  <c r="I27" i="115"/>
  <c r="H27" i="115"/>
  <c r="E27" i="115"/>
  <c r="A27" i="115"/>
  <c r="S26" i="115"/>
  <c r="R26" i="115"/>
  <c r="Q26" i="115"/>
  <c r="P26" i="115"/>
  <c r="O26" i="115"/>
  <c r="N26" i="115"/>
  <c r="M26" i="115"/>
  <c r="K26" i="115"/>
  <c r="J26" i="115"/>
  <c r="I26" i="115"/>
  <c r="H26" i="115"/>
  <c r="E26" i="115"/>
  <c r="A26" i="115"/>
  <c r="S25" i="115"/>
  <c r="R25" i="115"/>
  <c r="Q25" i="115"/>
  <c r="P25" i="115"/>
  <c r="O25" i="115"/>
  <c r="N25" i="115"/>
  <c r="M25" i="115"/>
  <c r="K25" i="115"/>
  <c r="J25" i="115"/>
  <c r="I25" i="115"/>
  <c r="H25" i="115"/>
  <c r="E25" i="115"/>
  <c r="A25" i="115"/>
  <c r="S24" i="115"/>
  <c r="R24" i="115"/>
  <c r="Q24" i="115"/>
  <c r="P24" i="115"/>
  <c r="O24" i="115"/>
  <c r="N24" i="115"/>
  <c r="M24" i="115"/>
  <c r="K24" i="115"/>
  <c r="J24" i="115"/>
  <c r="I24" i="115"/>
  <c r="H24" i="115"/>
  <c r="E24" i="115"/>
  <c r="A24" i="115"/>
  <c r="S23" i="115"/>
  <c r="R23" i="115"/>
  <c r="Q23" i="115"/>
  <c r="P23" i="115"/>
  <c r="O23" i="115"/>
  <c r="N23" i="115"/>
  <c r="M23" i="115"/>
  <c r="K23" i="115"/>
  <c r="J23" i="115"/>
  <c r="I23" i="115"/>
  <c r="H23" i="115"/>
  <c r="E23" i="115"/>
  <c r="A23" i="115"/>
  <c r="S22" i="115"/>
  <c r="R22" i="115"/>
  <c r="Q22" i="115"/>
  <c r="P22" i="115"/>
  <c r="O22" i="115"/>
  <c r="N22" i="115"/>
  <c r="M22" i="115"/>
  <c r="K22" i="115"/>
  <c r="J22" i="115"/>
  <c r="I22" i="115"/>
  <c r="H22" i="115"/>
  <c r="E22" i="115"/>
  <c r="A22" i="115"/>
  <c r="S21" i="115"/>
  <c r="R21" i="115"/>
  <c r="Q21" i="115"/>
  <c r="P21" i="115"/>
  <c r="O21" i="115"/>
  <c r="N21" i="115"/>
  <c r="M21" i="115"/>
  <c r="K21" i="115"/>
  <c r="J21" i="115"/>
  <c r="I21" i="115"/>
  <c r="H21" i="115"/>
  <c r="E21" i="115"/>
  <c r="A21" i="115"/>
  <c r="S20" i="115"/>
  <c r="R20" i="115"/>
  <c r="Q20" i="115"/>
  <c r="P20" i="115"/>
  <c r="O20" i="115"/>
  <c r="N20" i="115"/>
  <c r="M20" i="115"/>
  <c r="K20" i="115"/>
  <c r="J20" i="115"/>
  <c r="I20" i="115"/>
  <c r="H20" i="115"/>
  <c r="E20" i="115"/>
  <c r="A20" i="115"/>
  <c r="S19" i="115"/>
  <c r="R19" i="115"/>
  <c r="Q19" i="115"/>
  <c r="P19" i="115"/>
  <c r="O19" i="115"/>
  <c r="N19" i="115"/>
  <c r="M19" i="115"/>
  <c r="K19" i="115"/>
  <c r="J19" i="115"/>
  <c r="I19" i="115"/>
  <c r="H19" i="115"/>
  <c r="E19" i="115"/>
  <c r="A19" i="115"/>
  <c r="S18" i="115"/>
  <c r="R18" i="115"/>
  <c r="Q18" i="115"/>
  <c r="P18" i="115"/>
  <c r="O18" i="115"/>
  <c r="N18" i="115"/>
  <c r="M18" i="115"/>
  <c r="K18" i="115"/>
  <c r="J18" i="115"/>
  <c r="I18" i="115"/>
  <c r="H18" i="115"/>
  <c r="E18" i="115"/>
  <c r="A18" i="115"/>
  <c r="S17" i="115"/>
  <c r="R17" i="115"/>
  <c r="Q17" i="115"/>
  <c r="P17" i="115"/>
  <c r="O17" i="115"/>
  <c r="N17" i="115"/>
  <c r="M17" i="115"/>
  <c r="K17" i="115"/>
  <c r="J17" i="115"/>
  <c r="I17" i="115"/>
  <c r="H17" i="115"/>
  <c r="E17" i="115"/>
  <c r="A17" i="115"/>
  <c r="S16" i="115"/>
  <c r="R16" i="115"/>
  <c r="Q16" i="115"/>
  <c r="P16" i="115"/>
  <c r="O16" i="115"/>
  <c r="N16" i="115"/>
  <c r="M16" i="115"/>
  <c r="K16" i="115"/>
  <c r="J16" i="115"/>
  <c r="I16" i="115"/>
  <c r="H16" i="115"/>
  <c r="E16" i="115"/>
  <c r="A16" i="115"/>
  <c r="S15" i="115"/>
  <c r="R15" i="115"/>
  <c r="Q15" i="115"/>
  <c r="P15" i="115"/>
  <c r="O15" i="115"/>
  <c r="N15" i="115"/>
  <c r="M15" i="115"/>
  <c r="K15" i="115"/>
  <c r="J15" i="115"/>
  <c r="I15" i="115"/>
  <c r="H15" i="115"/>
  <c r="E15" i="115"/>
  <c r="A15" i="115"/>
  <c r="S14" i="115"/>
  <c r="R14" i="115"/>
  <c r="Q14" i="115"/>
  <c r="P14" i="115"/>
  <c r="O14" i="115"/>
  <c r="N14" i="115"/>
  <c r="M14" i="115"/>
  <c r="K14" i="115"/>
  <c r="J14" i="115"/>
  <c r="I14" i="115"/>
  <c r="H14" i="115"/>
  <c r="E14" i="115"/>
  <c r="A14" i="115"/>
  <c r="S13" i="115"/>
  <c r="R13" i="115"/>
  <c r="Q13" i="115"/>
  <c r="P13" i="115"/>
  <c r="O13" i="115"/>
  <c r="N13" i="115"/>
  <c r="M13" i="115"/>
  <c r="K13" i="115"/>
  <c r="J13" i="115"/>
  <c r="I13" i="115"/>
  <c r="H13" i="115"/>
  <c r="E13" i="115"/>
  <c r="A13" i="115"/>
  <c r="S12" i="115"/>
  <c r="R12" i="115"/>
  <c r="Q12" i="115"/>
  <c r="P12" i="115"/>
  <c r="O12" i="115"/>
  <c r="N12" i="115"/>
  <c r="M12" i="115"/>
  <c r="K12" i="115"/>
  <c r="J12" i="115"/>
  <c r="I12" i="115"/>
  <c r="H12" i="115"/>
  <c r="E12" i="115"/>
  <c r="A12" i="115"/>
  <c r="S11" i="115"/>
  <c r="R11" i="115"/>
  <c r="Q11" i="115"/>
  <c r="P11" i="115"/>
  <c r="O11" i="115"/>
  <c r="N11" i="115"/>
  <c r="M11" i="115"/>
  <c r="K11" i="115"/>
  <c r="J11" i="115"/>
  <c r="I11" i="115"/>
  <c r="H11" i="115"/>
  <c r="E11" i="115"/>
  <c r="A11" i="115"/>
  <c r="S10" i="115"/>
  <c r="R10" i="115"/>
  <c r="Q10" i="115"/>
  <c r="P10" i="115"/>
  <c r="O10" i="115"/>
  <c r="N10" i="115"/>
  <c r="M10" i="115"/>
  <c r="K10" i="115"/>
  <c r="J10" i="115"/>
  <c r="I10" i="115"/>
  <c r="H10" i="115"/>
  <c r="E10" i="115"/>
  <c r="A10" i="115"/>
  <c r="S9" i="115"/>
  <c r="R9" i="115"/>
  <c r="Q9" i="115"/>
  <c r="P9" i="115"/>
  <c r="O9" i="115"/>
  <c r="N9" i="115"/>
  <c r="M9" i="115"/>
  <c r="K9" i="115"/>
  <c r="J9" i="115"/>
  <c r="I9" i="115"/>
  <c r="H9" i="115"/>
  <c r="E9" i="115"/>
  <c r="A9" i="115"/>
  <c r="S8" i="115"/>
  <c r="R8" i="115"/>
  <c r="Q8" i="115"/>
  <c r="P8" i="115"/>
  <c r="O8" i="115"/>
  <c r="N8" i="115"/>
  <c r="M8" i="115"/>
  <c r="K8" i="115"/>
  <c r="J8" i="115"/>
  <c r="I8" i="115"/>
  <c r="H8" i="115"/>
  <c r="E8" i="115"/>
  <c r="A8" i="115"/>
  <c r="S7" i="115"/>
  <c r="R7" i="115"/>
  <c r="Q7" i="115"/>
  <c r="P7" i="115"/>
  <c r="O7" i="115"/>
  <c r="N7" i="115"/>
  <c r="M7" i="115"/>
  <c r="K7" i="115"/>
  <c r="J7" i="115"/>
  <c r="I7" i="115"/>
  <c r="H7" i="115"/>
  <c r="E7" i="115"/>
  <c r="A7" i="115"/>
  <c r="S6" i="115"/>
  <c r="R6" i="115"/>
  <c r="Q6" i="115"/>
  <c r="P6" i="115"/>
  <c r="O6" i="115"/>
  <c r="N6" i="115"/>
  <c r="M6" i="115"/>
  <c r="K6" i="115"/>
  <c r="J6" i="115"/>
  <c r="I6" i="115"/>
  <c r="H6" i="115"/>
  <c r="E6" i="115"/>
  <c r="A6" i="115"/>
  <c r="S5" i="115"/>
  <c r="R5" i="115"/>
  <c r="Q5" i="115"/>
  <c r="P5" i="115"/>
  <c r="O5" i="115"/>
  <c r="N5" i="115"/>
  <c r="M5" i="115"/>
  <c r="K5" i="115"/>
  <c r="J5" i="115"/>
  <c r="I5" i="115"/>
  <c r="H5" i="115"/>
  <c r="E5" i="115"/>
  <c r="A5" i="115"/>
  <c r="S4" i="115"/>
  <c r="R4" i="115"/>
  <c r="Q4" i="115"/>
  <c r="P4" i="115"/>
  <c r="O4" i="115"/>
  <c r="N4" i="115"/>
  <c r="M4" i="115"/>
  <c r="K4" i="115"/>
  <c r="J4" i="115"/>
  <c r="I4" i="115"/>
  <c r="H4" i="115"/>
  <c r="E4" i="115"/>
  <c r="A4" i="115"/>
  <c r="S3" i="115"/>
  <c r="R3" i="115"/>
  <c r="Q3" i="115"/>
  <c r="P3" i="115"/>
  <c r="O3" i="115"/>
  <c r="N3" i="115"/>
  <c r="M3" i="115"/>
  <c r="K3" i="115"/>
  <c r="J3" i="115"/>
  <c r="I3" i="115"/>
  <c r="H3" i="115"/>
  <c r="E3" i="115"/>
  <c r="A3" i="115"/>
  <c r="S2" i="115"/>
  <c r="R2" i="115"/>
  <c r="Q2" i="115"/>
  <c r="P2" i="115"/>
  <c r="O2" i="115"/>
  <c r="N2" i="115"/>
  <c r="M2" i="115"/>
  <c r="K2" i="115"/>
  <c r="J2" i="115"/>
  <c r="I2" i="115"/>
  <c r="H2" i="115"/>
  <c r="E2" i="115"/>
  <c r="A2" i="115"/>
  <c r="B39" i="114"/>
  <c r="B36" i="114"/>
  <c r="B37" i="114"/>
  <c r="B38" i="114"/>
  <c r="B40" i="114"/>
  <c r="B41" i="114"/>
  <c r="B42" i="114"/>
  <c r="B43" i="114"/>
  <c r="C39" i="114"/>
  <c r="C42" i="114"/>
  <c r="F43" i="114"/>
  <c r="C38" i="114"/>
  <c r="C41" i="114"/>
  <c r="F42" i="114"/>
  <c r="C36" i="114"/>
  <c r="C37" i="114"/>
  <c r="C40" i="114"/>
  <c r="F41" i="114"/>
  <c r="F38" i="114"/>
  <c r="F37" i="114"/>
  <c r="F36" i="114"/>
  <c r="B24" i="114"/>
  <c r="C20" i="114"/>
  <c r="C23" i="114"/>
  <c r="C24" i="114"/>
  <c r="D24" i="114"/>
  <c r="D23" i="114"/>
  <c r="G23" i="114"/>
  <c r="E23" i="114"/>
  <c r="H23" i="114"/>
  <c r="I23" i="114"/>
  <c r="J23" i="114"/>
  <c r="F23" i="114"/>
  <c r="I22" i="114"/>
  <c r="J22" i="114"/>
  <c r="F22" i="114"/>
  <c r="I21" i="114"/>
  <c r="J21" i="114"/>
  <c r="F21" i="114"/>
  <c r="D20" i="114"/>
  <c r="G20" i="114"/>
  <c r="E20" i="114"/>
  <c r="H20" i="114"/>
  <c r="I20" i="114"/>
  <c r="J20" i="114"/>
  <c r="F20" i="114"/>
  <c r="I19" i="114"/>
  <c r="J19" i="114"/>
  <c r="F19" i="114"/>
  <c r="I18" i="114"/>
  <c r="J18" i="114"/>
  <c r="F18" i="114"/>
  <c r="I17" i="114"/>
  <c r="J17" i="114"/>
  <c r="F17" i="114"/>
  <c r="B10" i="114"/>
  <c r="S255" i="113"/>
  <c r="R255" i="113"/>
  <c r="Q255" i="113"/>
  <c r="P255" i="113"/>
  <c r="O255" i="113"/>
  <c r="N255" i="113"/>
  <c r="F255" i="113"/>
  <c r="C255" i="113"/>
  <c r="G255" i="113"/>
  <c r="B255" i="113"/>
  <c r="B22" i="112"/>
  <c r="C22" i="112"/>
  <c r="D22" i="112"/>
  <c r="G22" i="112"/>
  <c r="F2" i="113"/>
  <c r="C2" i="113"/>
  <c r="G2" i="113"/>
  <c r="B2" i="113"/>
  <c r="F3" i="113"/>
  <c r="C3" i="113"/>
  <c r="G3" i="113"/>
  <c r="B3" i="113"/>
  <c r="F4" i="113"/>
  <c r="C4" i="113"/>
  <c r="G4" i="113"/>
  <c r="B4" i="113"/>
  <c r="F5" i="113"/>
  <c r="C5" i="113"/>
  <c r="G5" i="113"/>
  <c r="B5" i="113"/>
  <c r="F6" i="113"/>
  <c r="C6" i="113"/>
  <c r="G6" i="113"/>
  <c r="B6" i="113"/>
  <c r="F7" i="113"/>
  <c r="C7" i="113"/>
  <c r="G7" i="113"/>
  <c r="B7" i="113"/>
  <c r="F8" i="113"/>
  <c r="C8" i="113"/>
  <c r="G8" i="113"/>
  <c r="B8" i="113"/>
  <c r="F9" i="113"/>
  <c r="C9" i="113"/>
  <c r="G9" i="113"/>
  <c r="B9" i="113"/>
  <c r="F10" i="113"/>
  <c r="C10" i="113"/>
  <c r="G10" i="113"/>
  <c r="B10" i="113"/>
  <c r="F11" i="113"/>
  <c r="C11" i="113"/>
  <c r="G11" i="113"/>
  <c r="B11" i="113"/>
  <c r="F12" i="113"/>
  <c r="C12" i="113"/>
  <c r="G12" i="113"/>
  <c r="B12" i="113"/>
  <c r="F13" i="113"/>
  <c r="C13" i="113"/>
  <c r="G13" i="113"/>
  <c r="B13" i="113"/>
  <c r="F14" i="113"/>
  <c r="C14" i="113"/>
  <c r="G14" i="113"/>
  <c r="B14" i="113"/>
  <c r="F15" i="113"/>
  <c r="C15" i="113"/>
  <c r="G15" i="113"/>
  <c r="B15" i="113"/>
  <c r="F16" i="113"/>
  <c r="C16" i="113"/>
  <c r="G16" i="113"/>
  <c r="B16" i="113"/>
  <c r="F17" i="113"/>
  <c r="C17" i="113"/>
  <c r="G17" i="113"/>
  <c r="B17" i="113"/>
  <c r="F18" i="113"/>
  <c r="C18" i="113"/>
  <c r="G18" i="113"/>
  <c r="B18" i="113"/>
  <c r="F19" i="113"/>
  <c r="C19" i="113"/>
  <c r="G19" i="113"/>
  <c r="B19" i="113"/>
  <c r="F20" i="113"/>
  <c r="C20" i="113"/>
  <c r="G20" i="113"/>
  <c r="B20" i="113"/>
  <c r="F21" i="113"/>
  <c r="C21" i="113"/>
  <c r="G21" i="113"/>
  <c r="B21" i="113"/>
  <c r="F22" i="113"/>
  <c r="C22" i="113"/>
  <c r="G22" i="113"/>
  <c r="B22" i="113"/>
  <c r="F23" i="113"/>
  <c r="C23" i="113"/>
  <c r="G23" i="113"/>
  <c r="B23" i="113"/>
  <c r="F24" i="113"/>
  <c r="C24" i="113"/>
  <c r="G24" i="113"/>
  <c r="B24" i="113"/>
  <c r="F25" i="113"/>
  <c r="C25" i="113"/>
  <c r="G25" i="113"/>
  <c r="B25" i="113"/>
  <c r="F26" i="113"/>
  <c r="C26" i="113"/>
  <c r="G26" i="113"/>
  <c r="B26" i="113"/>
  <c r="F27" i="113"/>
  <c r="C27" i="113"/>
  <c r="G27" i="113"/>
  <c r="B27" i="113"/>
  <c r="F28" i="113"/>
  <c r="C28" i="113"/>
  <c r="G28" i="113"/>
  <c r="B28" i="113"/>
  <c r="F29" i="113"/>
  <c r="C29" i="113"/>
  <c r="G29" i="113"/>
  <c r="B29" i="113"/>
  <c r="F30" i="113"/>
  <c r="C30" i="113"/>
  <c r="G30" i="113"/>
  <c r="B30" i="113"/>
  <c r="F31" i="113"/>
  <c r="C31" i="113"/>
  <c r="G31" i="113"/>
  <c r="B31" i="113"/>
  <c r="F32" i="113"/>
  <c r="C32" i="113"/>
  <c r="G32" i="113"/>
  <c r="B32" i="113"/>
  <c r="F33" i="113"/>
  <c r="C33" i="113"/>
  <c r="G33" i="113"/>
  <c r="B33" i="113"/>
  <c r="F34" i="113"/>
  <c r="C34" i="113"/>
  <c r="G34" i="113"/>
  <c r="B34" i="113"/>
  <c r="F35" i="113"/>
  <c r="C35" i="113"/>
  <c r="G35" i="113"/>
  <c r="B35" i="113"/>
  <c r="F36" i="113"/>
  <c r="C36" i="113"/>
  <c r="G36" i="113"/>
  <c r="B36" i="113"/>
  <c r="F37" i="113"/>
  <c r="C37" i="113"/>
  <c r="G37" i="113"/>
  <c r="B37" i="113"/>
  <c r="F38" i="113"/>
  <c r="C38" i="113"/>
  <c r="G38" i="113"/>
  <c r="B38" i="113"/>
  <c r="F39" i="113"/>
  <c r="C39" i="113"/>
  <c r="G39" i="113"/>
  <c r="B39" i="113"/>
  <c r="F40" i="113"/>
  <c r="C40" i="113"/>
  <c r="G40" i="113"/>
  <c r="B40" i="113"/>
  <c r="F41" i="113"/>
  <c r="C41" i="113"/>
  <c r="G41" i="113"/>
  <c r="B41" i="113"/>
  <c r="F42" i="113"/>
  <c r="C42" i="113"/>
  <c r="G42" i="113"/>
  <c r="B42" i="113"/>
  <c r="F43" i="113"/>
  <c r="C43" i="113"/>
  <c r="G43" i="113"/>
  <c r="B43" i="113"/>
  <c r="F44" i="113"/>
  <c r="C44" i="113"/>
  <c r="G44" i="113"/>
  <c r="B44" i="113"/>
  <c r="F45" i="113"/>
  <c r="C45" i="113"/>
  <c r="G45" i="113"/>
  <c r="B45" i="113"/>
  <c r="F46" i="113"/>
  <c r="C46" i="113"/>
  <c r="G46" i="113"/>
  <c r="B46" i="113"/>
  <c r="F47" i="113"/>
  <c r="C47" i="113"/>
  <c r="G47" i="113"/>
  <c r="B47" i="113"/>
  <c r="F48" i="113"/>
  <c r="C48" i="113"/>
  <c r="G48" i="113"/>
  <c r="B48" i="113"/>
  <c r="F49" i="113"/>
  <c r="C49" i="113"/>
  <c r="G49" i="113"/>
  <c r="B49" i="113"/>
  <c r="F50" i="113"/>
  <c r="C50" i="113"/>
  <c r="G50" i="113"/>
  <c r="B50" i="113"/>
  <c r="F51" i="113"/>
  <c r="C51" i="113"/>
  <c r="G51" i="113"/>
  <c r="B51" i="113"/>
  <c r="F52" i="113"/>
  <c r="C52" i="113"/>
  <c r="G52" i="113"/>
  <c r="B52" i="113"/>
  <c r="F53" i="113"/>
  <c r="C53" i="113"/>
  <c r="G53" i="113"/>
  <c r="B53" i="113"/>
  <c r="F54" i="113"/>
  <c r="C54" i="113"/>
  <c r="G54" i="113"/>
  <c r="B54" i="113"/>
  <c r="F55" i="113"/>
  <c r="C55" i="113"/>
  <c r="G55" i="113"/>
  <c r="B55" i="113"/>
  <c r="F56" i="113"/>
  <c r="C56" i="113"/>
  <c r="G56" i="113"/>
  <c r="B56" i="113"/>
  <c r="F57" i="113"/>
  <c r="C57" i="113"/>
  <c r="G57" i="113"/>
  <c r="B57" i="113"/>
  <c r="F58" i="113"/>
  <c r="C58" i="113"/>
  <c r="G58" i="113"/>
  <c r="B58" i="113"/>
  <c r="F59" i="113"/>
  <c r="C59" i="113"/>
  <c r="G59" i="113"/>
  <c r="B59" i="113"/>
  <c r="F60" i="113"/>
  <c r="C60" i="113"/>
  <c r="G60" i="113"/>
  <c r="B60" i="113"/>
  <c r="F61" i="113"/>
  <c r="C61" i="113"/>
  <c r="G61" i="113"/>
  <c r="B61" i="113"/>
  <c r="F62" i="113"/>
  <c r="C62" i="113"/>
  <c r="G62" i="113"/>
  <c r="B62" i="113"/>
  <c r="F63" i="113"/>
  <c r="C63" i="113"/>
  <c r="G63" i="113"/>
  <c r="B63" i="113"/>
  <c r="F64" i="113"/>
  <c r="C64" i="113"/>
  <c r="G64" i="113"/>
  <c r="B64" i="113"/>
  <c r="F65" i="113"/>
  <c r="C65" i="113"/>
  <c r="G65" i="113"/>
  <c r="B65" i="113"/>
  <c r="F66" i="113"/>
  <c r="C66" i="113"/>
  <c r="G66" i="113"/>
  <c r="B66" i="113"/>
  <c r="F67" i="113"/>
  <c r="C67" i="113"/>
  <c r="G67" i="113"/>
  <c r="B67" i="113"/>
  <c r="F68" i="113"/>
  <c r="C68" i="113"/>
  <c r="G68" i="113"/>
  <c r="B68" i="113"/>
  <c r="F69" i="113"/>
  <c r="C69" i="113"/>
  <c r="G69" i="113"/>
  <c r="B69" i="113"/>
  <c r="F70" i="113"/>
  <c r="C70" i="113"/>
  <c r="G70" i="113"/>
  <c r="B70" i="113"/>
  <c r="F71" i="113"/>
  <c r="C71" i="113"/>
  <c r="G71" i="113"/>
  <c r="B71" i="113"/>
  <c r="F72" i="113"/>
  <c r="C72" i="113"/>
  <c r="G72" i="113"/>
  <c r="B72" i="113"/>
  <c r="F73" i="113"/>
  <c r="C73" i="113"/>
  <c r="G73" i="113"/>
  <c r="B73" i="113"/>
  <c r="F74" i="113"/>
  <c r="C74" i="113"/>
  <c r="G74" i="113"/>
  <c r="B74" i="113"/>
  <c r="F75" i="113"/>
  <c r="C75" i="113"/>
  <c r="G75" i="113"/>
  <c r="B75" i="113"/>
  <c r="F76" i="113"/>
  <c r="C76" i="113"/>
  <c r="G76" i="113"/>
  <c r="B76" i="113"/>
  <c r="F77" i="113"/>
  <c r="C77" i="113"/>
  <c r="G77" i="113"/>
  <c r="B77" i="113"/>
  <c r="F78" i="113"/>
  <c r="C78" i="113"/>
  <c r="G78" i="113"/>
  <c r="B78" i="113"/>
  <c r="F79" i="113"/>
  <c r="C79" i="113"/>
  <c r="G79" i="113"/>
  <c r="B79" i="113"/>
  <c r="F80" i="113"/>
  <c r="C80" i="113"/>
  <c r="G80" i="113"/>
  <c r="B80" i="113"/>
  <c r="F81" i="113"/>
  <c r="C81" i="113"/>
  <c r="G81" i="113"/>
  <c r="B81" i="113"/>
  <c r="F82" i="113"/>
  <c r="C82" i="113"/>
  <c r="G82" i="113"/>
  <c r="B82" i="113"/>
  <c r="F83" i="113"/>
  <c r="C83" i="113"/>
  <c r="G83" i="113"/>
  <c r="B83" i="113"/>
  <c r="F84" i="113"/>
  <c r="C84" i="113"/>
  <c r="G84" i="113"/>
  <c r="B84" i="113"/>
  <c r="F85" i="113"/>
  <c r="C85" i="113"/>
  <c r="G85" i="113"/>
  <c r="B85" i="113"/>
  <c r="F86" i="113"/>
  <c r="C86" i="113"/>
  <c r="G86" i="113"/>
  <c r="B86" i="113"/>
  <c r="F87" i="113"/>
  <c r="C87" i="113"/>
  <c r="G87" i="113"/>
  <c r="B87" i="113"/>
  <c r="F88" i="113"/>
  <c r="C88" i="113"/>
  <c r="G88" i="113"/>
  <c r="B88" i="113"/>
  <c r="F89" i="113"/>
  <c r="C89" i="113"/>
  <c r="G89" i="113"/>
  <c r="B89" i="113"/>
  <c r="F90" i="113"/>
  <c r="C90" i="113"/>
  <c r="G90" i="113"/>
  <c r="B90" i="113"/>
  <c r="F91" i="113"/>
  <c r="C91" i="113"/>
  <c r="G91" i="113"/>
  <c r="B91" i="113"/>
  <c r="F92" i="113"/>
  <c r="C92" i="113"/>
  <c r="G92" i="113"/>
  <c r="B92" i="113"/>
  <c r="F93" i="113"/>
  <c r="C93" i="113"/>
  <c r="G93" i="113"/>
  <c r="B93" i="113"/>
  <c r="F94" i="113"/>
  <c r="C94" i="113"/>
  <c r="G94" i="113"/>
  <c r="B94" i="113"/>
  <c r="F95" i="113"/>
  <c r="C95" i="113"/>
  <c r="G95" i="113"/>
  <c r="B95" i="113"/>
  <c r="F96" i="113"/>
  <c r="C96" i="113"/>
  <c r="G96" i="113"/>
  <c r="B96" i="113"/>
  <c r="F97" i="113"/>
  <c r="C97" i="113"/>
  <c r="G97" i="113"/>
  <c r="B97" i="113"/>
  <c r="F98" i="113"/>
  <c r="C98" i="113"/>
  <c r="G98" i="113"/>
  <c r="B98" i="113"/>
  <c r="F99" i="113"/>
  <c r="C99" i="113"/>
  <c r="G99" i="113"/>
  <c r="B99" i="113"/>
  <c r="F100" i="113"/>
  <c r="C100" i="113"/>
  <c r="G100" i="113"/>
  <c r="B100" i="113"/>
  <c r="F101" i="113"/>
  <c r="C101" i="113"/>
  <c r="G101" i="113"/>
  <c r="B101" i="113"/>
  <c r="F102" i="113"/>
  <c r="C102" i="113"/>
  <c r="G102" i="113"/>
  <c r="B102" i="113"/>
  <c r="F103" i="113"/>
  <c r="C103" i="113"/>
  <c r="G103" i="113"/>
  <c r="B103" i="113"/>
  <c r="F104" i="113"/>
  <c r="C104" i="113"/>
  <c r="G104" i="113"/>
  <c r="B104" i="113"/>
  <c r="F105" i="113"/>
  <c r="C105" i="113"/>
  <c r="G105" i="113"/>
  <c r="B105" i="113"/>
  <c r="F106" i="113"/>
  <c r="C106" i="113"/>
  <c r="G106" i="113"/>
  <c r="B106" i="113"/>
  <c r="F107" i="113"/>
  <c r="C107" i="113"/>
  <c r="G107" i="113"/>
  <c r="B107" i="113"/>
  <c r="F108" i="113"/>
  <c r="C108" i="113"/>
  <c r="G108" i="113"/>
  <c r="B108" i="113"/>
  <c r="F109" i="113"/>
  <c r="C109" i="113"/>
  <c r="G109" i="113"/>
  <c r="B109" i="113"/>
  <c r="F110" i="113"/>
  <c r="C110" i="113"/>
  <c r="G110" i="113"/>
  <c r="B110" i="113"/>
  <c r="F111" i="113"/>
  <c r="C111" i="113"/>
  <c r="G111" i="113"/>
  <c r="B111" i="113"/>
  <c r="F112" i="113"/>
  <c r="C112" i="113"/>
  <c r="G112" i="113"/>
  <c r="B112" i="113"/>
  <c r="F113" i="113"/>
  <c r="C113" i="113"/>
  <c r="G113" i="113"/>
  <c r="B113" i="113"/>
  <c r="F114" i="113"/>
  <c r="C114" i="113"/>
  <c r="G114" i="113"/>
  <c r="B114" i="113"/>
  <c r="F115" i="113"/>
  <c r="C115" i="113"/>
  <c r="G115" i="113"/>
  <c r="B115" i="113"/>
  <c r="F116" i="113"/>
  <c r="C116" i="113"/>
  <c r="G116" i="113"/>
  <c r="B116" i="113"/>
  <c r="F117" i="113"/>
  <c r="C117" i="113"/>
  <c r="G117" i="113"/>
  <c r="B117" i="113"/>
  <c r="F118" i="113"/>
  <c r="C118" i="113"/>
  <c r="G118" i="113"/>
  <c r="B118" i="113"/>
  <c r="F119" i="113"/>
  <c r="C119" i="113"/>
  <c r="G119" i="113"/>
  <c r="B119" i="113"/>
  <c r="F120" i="113"/>
  <c r="C120" i="113"/>
  <c r="G120" i="113"/>
  <c r="B120" i="113"/>
  <c r="F121" i="113"/>
  <c r="C121" i="113"/>
  <c r="G121" i="113"/>
  <c r="B121" i="113"/>
  <c r="F122" i="113"/>
  <c r="C122" i="113"/>
  <c r="G122" i="113"/>
  <c r="B122" i="113"/>
  <c r="F123" i="113"/>
  <c r="C123" i="113"/>
  <c r="G123" i="113"/>
  <c r="B123" i="113"/>
  <c r="F124" i="113"/>
  <c r="C124" i="113"/>
  <c r="G124" i="113"/>
  <c r="B124" i="113"/>
  <c r="F125" i="113"/>
  <c r="C125" i="113"/>
  <c r="G125" i="113"/>
  <c r="B125" i="113"/>
  <c r="F126" i="113"/>
  <c r="C126" i="113"/>
  <c r="G126" i="113"/>
  <c r="B126" i="113"/>
  <c r="F127" i="113"/>
  <c r="C127" i="113"/>
  <c r="G127" i="113"/>
  <c r="B127" i="113"/>
  <c r="F128" i="113"/>
  <c r="C128" i="113"/>
  <c r="G128" i="113"/>
  <c r="B128" i="113"/>
  <c r="F129" i="113"/>
  <c r="C129" i="113"/>
  <c r="G129" i="113"/>
  <c r="B129" i="113"/>
  <c r="F130" i="113"/>
  <c r="C130" i="113"/>
  <c r="G130" i="113"/>
  <c r="B130" i="113"/>
  <c r="F131" i="113"/>
  <c r="C131" i="113"/>
  <c r="G131" i="113"/>
  <c r="B131" i="113"/>
  <c r="F132" i="113"/>
  <c r="C132" i="113"/>
  <c r="G132" i="113"/>
  <c r="B132" i="113"/>
  <c r="F133" i="113"/>
  <c r="C133" i="113"/>
  <c r="G133" i="113"/>
  <c r="B133" i="113"/>
  <c r="F134" i="113"/>
  <c r="C134" i="113"/>
  <c r="G134" i="113"/>
  <c r="B134" i="113"/>
  <c r="F135" i="113"/>
  <c r="C135" i="113"/>
  <c r="G135" i="113"/>
  <c r="B135" i="113"/>
  <c r="F136" i="113"/>
  <c r="C136" i="113"/>
  <c r="G136" i="113"/>
  <c r="B136" i="113"/>
  <c r="F137" i="113"/>
  <c r="C137" i="113"/>
  <c r="G137" i="113"/>
  <c r="B137" i="113"/>
  <c r="F138" i="113"/>
  <c r="C138" i="113"/>
  <c r="G138" i="113"/>
  <c r="B138" i="113"/>
  <c r="F139" i="113"/>
  <c r="C139" i="113"/>
  <c r="G139" i="113"/>
  <c r="B139" i="113"/>
  <c r="F140" i="113"/>
  <c r="C140" i="113"/>
  <c r="G140" i="113"/>
  <c r="B140" i="113"/>
  <c r="F141" i="113"/>
  <c r="C141" i="113"/>
  <c r="G141" i="113"/>
  <c r="B141" i="113"/>
  <c r="F142" i="113"/>
  <c r="C142" i="113"/>
  <c r="G142" i="113"/>
  <c r="B142" i="113"/>
  <c r="F143" i="113"/>
  <c r="C143" i="113"/>
  <c r="G143" i="113"/>
  <c r="B143" i="113"/>
  <c r="F144" i="113"/>
  <c r="C144" i="113"/>
  <c r="G144" i="113"/>
  <c r="B144" i="113"/>
  <c r="F145" i="113"/>
  <c r="C145" i="113"/>
  <c r="G145" i="113"/>
  <c r="B145" i="113"/>
  <c r="F146" i="113"/>
  <c r="C146" i="113"/>
  <c r="G146" i="113"/>
  <c r="B146" i="113"/>
  <c r="F147" i="113"/>
  <c r="C147" i="113"/>
  <c r="G147" i="113"/>
  <c r="B147" i="113"/>
  <c r="F148" i="113"/>
  <c r="C148" i="113"/>
  <c r="G148" i="113"/>
  <c r="B148" i="113"/>
  <c r="F149" i="113"/>
  <c r="C149" i="113"/>
  <c r="G149" i="113"/>
  <c r="B149" i="113"/>
  <c r="F150" i="113"/>
  <c r="C150" i="113"/>
  <c r="G150" i="113"/>
  <c r="B150" i="113"/>
  <c r="F151" i="113"/>
  <c r="C151" i="113"/>
  <c r="G151" i="113"/>
  <c r="B151" i="113"/>
  <c r="F152" i="113"/>
  <c r="C152" i="113"/>
  <c r="G152" i="113"/>
  <c r="B152" i="113"/>
  <c r="F153" i="113"/>
  <c r="C153" i="113"/>
  <c r="G153" i="113"/>
  <c r="B153" i="113"/>
  <c r="F154" i="113"/>
  <c r="C154" i="113"/>
  <c r="G154" i="113"/>
  <c r="B154" i="113"/>
  <c r="F155" i="113"/>
  <c r="C155" i="113"/>
  <c r="G155" i="113"/>
  <c r="B155" i="113"/>
  <c r="F156" i="113"/>
  <c r="C156" i="113"/>
  <c r="G156" i="113"/>
  <c r="B156" i="113"/>
  <c r="F157" i="113"/>
  <c r="C157" i="113"/>
  <c r="G157" i="113"/>
  <c r="B157" i="113"/>
  <c r="F158" i="113"/>
  <c r="C158" i="113"/>
  <c r="G158" i="113"/>
  <c r="B158" i="113"/>
  <c r="F159" i="113"/>
  <c r="C159" i="113"/>
  <c r="G159" i="113"/>
  <c r="B159" i="113"/>
  <c r="F160" i="113"/>
  <c r="C160" i="113"/>
  <c r="G160" i="113"/>
  <c r="B160" i="113"/>
  <c r="F161" i="113"/>
  <c r="C161" i="113"/>
  <c r="G161" i="113"/>
  <c r="B161" i="113"/>
  <c r="F162" i="113"/>
  <c r="C162" i="113"/>
  <c r="G162" i="113"/>
  <c r="B162" i="113"/>
  <c r="F163" i="113"/>
  <c r="C163" i="113"/>
  <c r="G163" i="113"/>
  <c r="B163" i="113"/>
  <c r="F164" i="113"/>
  <c r="C164" i="113"/>
  <c r="G164" i="113"/>
  <c r="B164" i="113"/>
  <c r="F165" i="113"/>
  <c r="C165" i="113"/>
  <c r="G165" i="113"/>
  <c r="B165" i="113"/>
  <c r="F166" i="113"/>
  <c r="C166" i="113"/>
  <c r="G166" i="113"/>
  <c r="B166" i="113"/>
  <c r="F167" i="113"/>
  <c r="C167" i="113"/>
  <c r="G167" i="113"/>
  <c r="B167" i="113"/>
  <c r="F168" i="113"/>
  <c r="C168" i="113"/>
  <c r="G168" i="113"/>
  <c r="B168" i="113"/>
  <c r="F169" i="113"/>
  <c r="C169" i="113"/>
  <c r="G169" i="113"/>
  <c r="B169" i="113"/>
  <c r="F170" i="113"/>
  <c r="C170" i="113"/>
  <c r="G170" i="113"/>
  <c r="B170" i="113"/>
  <c r="F171" i="113"/>
  <c r="C171" i="113"/>
  <c r="G171" i="113"/>
  <c r="B171" i="113"/>
  <c r="F172" i="113"/>
  <c r="C172" i="113"/>
  <c r="G172" i="113"/>
  <c r="B172" i="113"/>
  <c r="F173" i="113"/>
  <c r="C173" i="113"/>
  <c r="G173" i="113"/>
  <c r="B173" i="113"/>
  <c r="F174" i="113"/>
  <c r="C174" i="113"/>
  <c r="G174" i="113"/>
  <c r="B174" i="113"/>
  <c r="F175" i="113"/>
  <c r="C175" i="113"/>
  <c r="G175" i="113"/>
  <c r="B175" i="113"/>
  <c r="F176" i="113"/>
  <c r="C176" i="113"/>
  <c r="G176" i="113"/>
  <c r="B176" i="113"/>
  <c r="F177" i="113"/>
  <c r="C177" i="113"/>
  <c r="G177" i="113"/>
  <c r="B177" i="113"/>
  <c r="F178" i="113"/>
  <c r="C178" i="113"/>
  <c r="G178" i="113"/>
  <c r="B178" i="113"/>
  <c r="F179" i="113"/>
  <c r="C179" i="113"/>
  <c r="G179" i="113"/>
  <c r="B179" i="113"/>
  <c r="F180" i="113"/>
  <c r="C180" i="113"/>
  <c r="G180" i="113"/>
  <c r="B180" i="113"/>
  <c r="F181" i="113"/>
  <c r="C181" i="113"/>
  <c r="G181" i="113"/>
  <c r="B181" i="113"/>
  <c r="F182" i="113"/>
  <c r="C182" i="113"/>
  <c r="G182" i="113"/>
  <c r="B182" i="113"/>
  <c r="F183" i="113"/>
  <c r="C183" i="113"/>
  <c r="G183" i="113"/>
  <c r="B183" i="113"/>
  <c r="F184" i="113"/>
  <c r="C184" i="113"/>
  <c r="G184" i="113"/>
  <c r="B184" i="113"/>
  <c r="F185" i="113"/>
  <c r="C185" i="113"/>
  <c r="G185" i="113"/>
  <c r="B185" i="113"/>
  <c r="F186" i="113"/>
  <c r="C186" i="113"/>
  <c r="G186" i="113"/>
  <c r="B186" i="113"/>
  <c r="F187" i="113"/>
  <c r="C187" i="113"/>
  <c r="G187" i="113"/>
  <c r="B187" i="113"/>
  <c r="F188" i="113"/>
  <c r="C188" i="113"/>
  <c r="G188" i="113"/>
  <c r="B188" i="113"/>
  <c r="F189" i="113"/>
  <c r="C189" i="113"/>
  <c r="G189" i="113"/>
  <c r="B189" i="113"/>
  <c r="F190" i="113"/>
  <c r="C190" i="113"/>
  <c r="G190" i="113"/>
  <c r="B190" i="113"/>
  <c r="F191" i="113"/>
  <c r="C191" i="113"/>
  <c r="G191" i="113"/>
  <c r="B191" i="113"/>
  <c r="F192" i="113"/>
  <c r="C192" i="113"/>
  <c r="G192" i="113"/>
  <c r="B192" i="113"/>
  <c r="F193" i="113"/>
  <c r="C193" i="113"/>
  <c r="G193" i="113"/>
  <c r="B193" i="113"/>
  <c r="F194" i="113"/>
  <c r="C194" i="113"/>
  <c r="G194" i="113"/>
  <c r="B194" i="113"/>
  <c r="F195" i="113"/>
  <c r="C195" i="113"/>
  <c r="G195" i="113"/>
  <c r="B195" i="113"/>
  <c r="F196" i="113"/>
  <c r="C196" i="113"/>
  <c r="G196" i="113"/>
  <c r="B196" i="113"/>
  <c r="F197" i="113"/>
  <c r="C197" i="113"/>
  <c r="G197" i="113"/>
  <c r="B197" i="113"/>
  <c r="F198" i="113"/>
  <c r="C198" i="113"/>
  <c r="G198" i="113"/>
  <c r="B198" i="113"/>
  <c r="F199" i="113"/>
  <c r="C199" i="113"/>
  <c r="G199" i="113"/>
  <c r="B199" i="113"/>
  <c r="F200" i="113"/>
  <c r="C200" i="113"/>
  <c r="G200" i="113"/>
  <c r="B200" i="113"/>
  <c r="F201" i="113"/>
  <c r="C201" i="113"/>
  <c r="G201" i="113"/>
  <c r="B201" i="113"/>
  <c r="F202" i="113"/>
  <c r="C202" i="113"/>
  <c r="G202" i="113"/>
  <c r="B202" i="113"/>
  <c r="F203" i="113"/>
  <c r="C203" i="113"/>
  <c r="G203" i="113"/>
  <c r="B203" i="113"/>
  <c r="F204" i="113"/>
  <c r="C204" i="113"/>
  <c r="G204" i="113"/>
  <c r="B204" i="113"/>
  <c r="F205" i="113"/>
  <c r="C205" i="113"/>
  <c r="G205" i="113"/>
  <c r="B205" i="113"/>
  <c r="F206" i="113"/>
  <c r="C206" i="113"/>
  <c r="G206" i="113"/>
  <c r="B206" i="113"/>
  <c r="F207" i="113"/>
  <c r="C207" i="113"/>
  <c r="G207" i="113"/>
  <c r="B207" i="113"/>
  <c r="F208" i="113"/>
  <c r="C208" i="113"/>
  <c r="G208" i="113"/>
  <c r="B208" i="113"/>
  <c r="F209" i="113"/>
  <c r="C209" i="113"/>
  <c r="G209" i="113"/>
  <c r="B209" i="113"/>
  <c r="F210" i="113"/>
  <c r="C210" i="113"/>
  <c r="G210" i="113"/>
  <c r="B210" i="113"/>
  <c r="F211" i="113"/>
  <c r="C211" i="113"/>
  <c r="G211" i="113"/>
  <c r="B211" i="113"/>
  <c r="F212" i="113"/>
  <c r="C212" i="113"/>
  <c r="G212" i="113"/>
  <c r="B212" i="113"/>
  <c r="F213" i="113"/>
  <c r="C213" i="113"/>
  <c r="G213" i="113"/>
  <c r="B213" i="113"/>
  <c r="F214" i="113"/>
  <c r="C214" i="113"/>
  <c r="G214" i="113"/>
  <c r="B214" i="113"/>
  <c r="F215" i="113"/>
  <c r="C215" i="113"/>
  <c r="G215" i="113"/>
  <c r="B215" i="113"/>
  <c r="F216" i="113"/>
  <c r="C216" i="113"/>
  <c r="G216" i="113"/>
  <c r="B216" i="113"/>
  <c r="F217" i="113"/>
  <c r="C217" i="113"/>
  <c r="G217" i="113"/>
  <c r="B217" i="113"/>
  <c r="F218" i="113"/>
  <c r="C218" i="113"/>
  <c r="G218" i="113"/>
  <c r="B218" i="113"/>
  <c r="F219" i="113"/>
  <c r="C219" i="113"/>
  <c r="G219" i="113"/>
  <c r="B219" i="113"/>
  <c r="F220" i="113"/>
  <c r="C220" i="113"/>
  <c r="G220" i="113"/>
  <c r="B220" i="113"/>
  <c r="F221" i="113"/>
  <c r="C221" i="113"/>
  <c r="G221" i="113"/>
  <c r="B221" i="113"/>
  <c r="F222" i="113"/>
  <c r="C222" i="113"/>
  <c r="G222" i="113"/>
  <c r="B222" i="113"/>
  <c r="F223" i="113"/>
  <c r="C223" i="113"/>
  <c r="G223" i="113"/>
  <c r="B223" i="113"/>
  <c r="F224" i="113"/>
  <c r="C224" i="113"/>
  <c r="G224" i="113"/>
  <c r="B224" i="113"/>
  <c r="F225" i="113"/>
  <c r="C225" i="113"/>
  <c r="G225" i="113"/>
  <c r="B225" i="113"/>
  <c r="F226" i="113"/>
  <c r="C226" i="113"/>
  <c r="G226" i="113"/>
  <c r="B226" i="113"/>
  <c r="F227" i="113"/>
  <c r="C227" i="113"/>
  <c r="G227" i="113"/>
  <c r="B227" i="113"/>
  <c r="F228" i="113"/>
  <c r="C228" i="113"/>
  <c r="G228" i="113"/>
  <c r="B228" i="113"/>
  <c r="F229" i="113"/>
  <c r="C229" i="113"/>
  <c r="G229" i="113"/>
  <c r="B229" i="113"/>
  <c r="F230" i="113"/>
  <c r="C230" i="113"/>
  <c r="G230" i="113"/>
  <c r="B230" i="113"/>
  <c r="F231" i="113"/>
  <c r="C231" i="113"/>
  <c r="G231" i="113"/>
  <c r="B231" i="113"/>
  <c r="F232" i="113"/>
  <c r="C232" i="113"/>
  <c r="G232" i="113"/>
  <c r="B232" i="113"/>
  <c r="F233" i="113"/>
  <c r="C233" i="113"/>
  <c r="G233" i="113"/>
  <c r="B233" i="113"/>
  <c r="F234" i="113"/>
  <c r="C234" i="113"/>
  <c r="G234" i="113"/>
  <c r="B234" i="113"/>
  <c r="F235" i="113"/>
  <c r="C235" i="113"/>
  <c r="G235" i="113"/>
  <c r="B235" i="113"/>
  <c r="F236" i="113"/>
  <c r="C236" i="113"/>
  <c r="G236" i="113"/>
  <c r="B236" i="113"/>
  <c r="F237" i="113"/>
  <c r="C237" i="113"/>
  <c r="G237" i="113"/>
  <c r="B237" i="113"/>
  <c r="F238" i="113"/>
  <c r="C238" i="113"/>
  <c r="G238" i="113"/>
  <c r="B238" i="113"/>
  <c r="F239" i="113"/>
  <c r="C239" i="113"/>
  <c r="G239" i="113"/>
  <c r="B239" i="113"/>
  <c r="F240" i="113"/>
  <c r="C240" i="113"/>
  <c r="G240" i="113"/>
  <c r="B240" i="113"/>
  <c r="F241" i="113"/>
  <c r="C241" i="113"/>
  <c r="G241" i="113"/>
  <c r="B241" i="113"/>
  <c r="F242" i="113"/>
  <c r="C242" i="113"/>
  <c r="G242" i="113"/>
  <c r="B242" i="113"/>
  <c r="F243" i="113"/>
  <c r="C243" i="113"/>
  <c r="G243" i="113"/>
  <c r="B243" i="113"/>
  <c r="F244" i="113"/>
  <c r="C244" i="113"/>
  <c r="G244" i="113"/>
  <c r="B244" i="113"/>
  <c r="F245" i="113"/>
  <c r="C245" i="113"/>
  <c r="G245" i="113"/>
  <c r="B245" i="113"/>
  <c r="F246" i="113"/>
  <c r="C246" i="113"/>
  <c r="G246" i="113"/>
  <c r="B246" i="113"/>
  <c r="F247" i="113"/>
  <c r="C247" i="113"/>
  <c r="G247" i="113"/>
  <c r="B247" i="113"/>
  <c r="F248" i="113"/>
  <c r="C248" i="113"/>
  <c r="G248" i="113"/>
  <c r="B248" i="113"/>
  <c r="F249" i="113"/>
  <c r="C249" i="113"/>
  <c r="G249" i="113"/>
  <c r="B249" i="113"/>
  <c r="F250" i="113"/>
  <c r="C250" i="113"/>
  <c r="G250" i="113"/>
  <c r="B250" i="113"/>
  <c r="F251" i="113"/>
  <c r="C251" i="113"/>
  <c r="G251" i="113"/>
  <c r="B251" i="113"/>
  <c r="F252" i="113"/>
  <c r="C252" i="113"/>
  <c r="G252" i="113"/>
  <c r="B252" i="113"/>
  <c r="F253" i="113"/>
  <c r="C253" i="113"/>
  <c r="G253" i="113"/>
  <c r="B253" i="113"/>
  <c r="F254" i="113"/>
  <c r="C254" i="113"/>
  <c r="G254" i="113"/>
  <c r="B254" i="113"/>
  <c r="E22" i="112"/>
  <c r="H22" i="112"/>
  <c r="L255" i="113"/>
  <c r="B5" i="112"/>
  <c r="B17" i="112"/>
  <c r="C17" i="112"/>
  <c r="D17" i="112"/>
  <c r="G17" i="112"/>
  <c r="E17" i="112"/>
  <c r="H17" i="112"/>
  <c r="L2" i="113"/>
  <c r="B19" i="112"/>
  <c r="B20" i="112"/>
  <c r="B18" i="112"/>
  <c r="C18" i="112"/>
  <c r="D18" i="112"/>
  <c r="G18" i="112"/>
  <c r="E18" i="112"/>
  <c r="H18" i="112"/>
  <c r="L3" i="113"/>
  <c r="L4" i="113"/>
  <c r="L5" i="113"/>
  <c r="L6" i="113"/>
  <c r="L7" i="113"/>
  <c r="L8" i="113"/>
  <c r="L9" i="113"/>
  <c r="L10" i="113"/>
  <c r="L11" i="113"/>
  <c r="L12" i="113"/>
  <c r="L13" i="113"/>
  <c r="L14" i="113"/>
  <c r="L15" i="113"/>
  <c r="L16" i="113"/>
  <c r="L17" i="113"/>
  <c r="L18" i="113"/>
  <c r="L19" i="113"/>
  <c r="L20" i="113"/>
  <c r="L21" i="113"/>
  <c r="L22" i="113"/>
  <c r="L23" i="113"/>
  <c r="L24" i="113"/>
  <c r="L25" i="113"/>
  <c r="L26" i="113"/>
  <c r="L27" i="113"/>
  <c r="L28" i="113"/>
  <c r="L29" i="113"/>
  <c r="L30" i="113"/>
  <c r="L31" i="113"/>
  <c r="L32" i="113"/>
  <c r="L33" i="113"/>
  <c r="L34" i="113"/>
  <c r="L35" i="113"/>
  <c r="L36" i="113"/>
  <c r="L37" i="113"/>
  <c r="L38" i="113"/>
  <c r="L39" i="113"/>
  <c r="L40" i="113"/>
  <c r="L41" i="113"/>
  <c r="L42" i="113"/>
  <c r="L43" i="113"/>
  <c r="B23" i="112"/>
  <c r="B21" i="112"/>
  <c r="C21" i="112"/>
  <c r="D21" i="112"/>
  <c r="G21" i="112"/>
  <c r="E21" i="112"/>
  <c r="H21" i="112"/>
  <c r="L44" i="113"/>
  <c r="L45" i="113"/>
  <c r="L46" i="113"/>
  <c r="L47" i="113"/>
  <c r="L48" i="113"/>
  <c r="L49" i="113"/>
  <c r="L50" i="113"/>
  <c r="L51" i="113"/>
  <c r="L52" i="113"/>
  <c r="L53" i="113"/>
  <c r="L54" i="113"/>
  <c r="L55" i="113"/>
  <c r="L56" i="113"/>
  <c r="L57" i="113"/>
  <c r="L58" i="113"/>
  <c r="L59" i="113"/>
  <c r="L60" i="113"/>
  <c r="L61" i="113"/>
  <c r="L62" i="113"/>
  <c r="L63" i="113"/>
  <c r="L64" i="113"/>
  <c r="L65" i="113"/>
  <c r="L66" i="113"/>
  <c r="L67" i="113"/>
  <c r="L68" i="113"/>
  <c r="L69" i="113"/>
  <c r="L70" i="113"/>
  <c r="L71" i="113"/>
  <c r="L72" i="113"/>
  <c r="L73" i="113"/>
  <c r="L74" i="113"/>
  <c r="L75" i="113"/>
  <c r="L76" i="113"/>
  <c r="L77" i="113"/>
  <c r="L78" i="113"/>
  <c r="L79" i="113"/>
  <c r="L80" i="113"/>
  <c r="L81" i="113"/>
  <c r="L82" i="113"/>
  <c r="L83" i="113"/>
  <c r="L84" i="113"/>
  <c r="L85" i="113"/>
  <c r="L86" i="113"/>
  <c r="L87" i="113"/>
  <c r="L88" i="113"/>
  <c r="L89" i="113"/>
  <c r="L90" i="113"/>
  <c r="L91" i="113"/>
  <c r="L92" i="113"/>
  <c r="L93" i="113"/>
  <c r="L94" i="113"/>
  <c r="L95" i="113"/>
  <c r="L96" i="113"/>
  <c r="L97" i="113"/>
  <c r="L98" i="113"/>
  <c r="L99" i="113"/>
  <c r="L100" i="113"/>
  <c r="L101" i="113"/>
  <c r="L102" i="113"/>
  <c r="L103" i="113"/>
  <c r="L104" i="113"/>
  <c r="L105" i="113"/>
  <c r="L106" i="113"/>
  <c r="L107" i="113"/>
  <c r="L108" i="113"/>
  <c r="L109" i="113"/>
  <c r="L110" i="113"/>
  <c r="L111" i="113"/>
  <c r="L112" i="113"/>
  <c r="L113" i="113"/>
  <c r="L114" i="113"/>
  <c r="L115" i="113"/>
  <c r="L116" i="113"/>
  <c r="L117" i="113"/>
  <c r="L118" i="113"/>
  <c r="L119" i="113"/>
  <c r="L120" i="113"/>
  <c r="L121" i="113"/>
  <c r="L122" i="113"/>
  <c r="L123" i="113"/>
  <c r="L124" i="113"/>
  <c r="L125" i="113"/>
  <c r="L126" i="113"/>
  <c r="L127" i="113"/>
  <c r="L128" i="113"/>
  <c r="L129" i="113"/>
  <c r="L130" i="113"/>
  <c r="L131" i="113"/>
  <c r="L132" i="113"/>
  <c r="L133" i="113"/>
  <c r="L134" i="113"/>
  <c r="L135" i="113"/>
  <c r="L136" i="113"/>
  <c r="L137" i="113"/>
  <c r="C19" i="112"/>
  <c r="D19" i="112"/>
  <c r="G19" i="112"/>
  <c r="E19" i="112"/>
  <c r="H19" i="112"/>
  <c r="L138" i="113"/>
  <c r="L139" i="113"/>
  <c r="L140" i="113"/>
  <c r="L141" i="113"/>
  <c r="L142" i="113"/>
  <c r="L143" i="113"/>
  <c r="L144" i="113"/>
  <c r="L145" i="113"/>
  <c r="L146" i="113"/>
  <c r="L147" i="113"/>
  <c r="L148" i="113"/>
  <c r="L149" i="113"/>
  <c r="L150" i="113"/>
  <c r="L151" i="113"/>
  <c r="L152" i="113"/>
  <c r="L153" i="113"/>
  <c r="L154" i="113"/>
  <c r="L155" i="113"/>
  <c r="L156" i="113"/>
  <c r="L157" i="113"/>
  <c r="L158" i="113"/>
  <c r="L159" i="113"/>
  <c r="L160" i="113"/>
  <c r="L161" i="113"/>
  <c r="L162" i="113"/>
  <c r="L163" i="113"/>
  <c r="L164" i="113"/>
  <c r="L165" i="113"/>
  <c r="L166" i="113"/>
  <c r="L167" i="113"/>
  <c r="L168" i="113"/>
  <c r="L169" i="113"/>
  <c r="L170" i="113"/>
  <c r="L171" i="113"/>
  <c r="L172" i="113"/>
  <c r="L173" i="113"/>
  <c r="L174" i="113"/>
  <c r="L175" i="113"/>
  <c r="L176" i="113"/>
  <c r="L177" i="113"/>
  <c r="L178" i="113"/>
  <c r="L179" i="113"/>
  <c r="L180" i="113"/>
  <c r="L181" i="113"/>
  <c r="L182" i="113"/>
  <c r="L183" i="113"/>
  <c r="L184" i="113"/>
  <c r="L185" i="113"/>
  <c r="L186" i="113"/>
  <c r="L187" i="113"/>
  <c r="L188" i="113"/>
  <c r="L189" i="113"/>
  <c r="L190" i="113"/>
  <c r="L191" i="113"/>
  <c r="L192" i="113"/>
  <c r="L193" i="113"/>
  <c r="L194" i="113"/>
  <c r="L195" i="113"/>
  <c r="L196" i="113"/>
  <c r="L197" i="113"/>
  <c r="L198" i="113"/>
  <c r="L199" i="113"/>
  <c r="L200" i="113"/>
  <c r="L201" i="113"/>
  <c r="L202" i="113"/>
  <c r="L203" i="113"/>
  <c r="L204" i="113"/>
  <c r="L205" i="113"/>
  <c r="L206" i="113"/>
  <c r="L207" i="113"/>
  <c r="L208" i="113"/>
  <c r="L209" i="113"/>
  <c r="L210" i="113"/>
  <c r="L211" i="113"/>
  <c r="L212" i="113"/>
  <c r="L213" i="113"/>
  <c r="L214" i="113"/>
  <c r="L215" i="113"/>
  <c r="L216" i="113"/>
  <c r="L217" i="113"/>
  <c r="L218" i="113"/>
  <c r="L219" i="113"/>
  <c r="L220" i="113"/>
  <c r="L221" i="113"/>
  <c r="L222" i="113"/>
  <c r="L223" i="113"/>
  <c r="L224" i="113"/>
  <c r="L225" i="113"/>
  <c r="L226" i="113"/>
  <c r="L227" i="113"/>
  <c r="L228" i="113"/>
  <c r="L229" i="113"/>
  <c r="L230" i="113"/>
  <c r="L231" i="113"/>
  <c r="L232" i="113"/>
  <c r="L233" i="113"/>
  <c r="L234" i="113"/>
  <c r="L235" i="113"/>
  <c r="L236" i="113"/>
  <c r="L237" i="113"/>
  <c r="L238" i="113"/>
  <c r="L239" i="113"/>
  <c r="L240" i="113"/>
  <c r="L241" i="113"/>
  <c r="L242" i="113"/>
  <c r="L243" i="113"/>
  <c r="L244" i="113"/>
  <c r="L245" i="113"/>
  <c r="L246" i="113"/>
  <c r="L247" i="113"/>
  <c r="L248" i="113"/>
  <c r="L249" i="113"/>
  <c r="L250" i="113"/>
  <c r="L251" i="113"/>
  <c r="L252" i="113"/>
  <c r="L253" i="113"/>
  <c r="L254" i="113"/>
  <c r="M255" i="113"/>
  <c r="K255" i="113"/>
  <c r="J255" i="113"/>
  <c r="I255" i="113"/>
  <c r="H255" i="113"/>
  <c r="E255" i="113"/>
  <c r="A255" i="113"/>
  <c r="S254" i="113"/>
  <c r="R254" i="113"/>
  <c r="Q254" i="113"/>
  <c r="P254" i="113"/>
  <c r="O254" i="113"/>
  <c r="N254" i="113"/>
  <c r="M254" i="113"/>
  <c r="K254" i="113"/>
  <c r="J254" i="113"/>
  <c r="I254" i="113"/>
  <c r="H254" i="113"/>
  <c r="E254" i="113"/>
  <c r="A254" i="113"/>
  <c r="S253" i="113"/>
  <c r="R253" i="113"/>
  <c r="Q253" i="113"/>
  <c r="P253" i="113"/>
  <c r="O253" i="113"/>
  <c r="N253" i="113"/>
  <c r="M253" i="113"/>
  <c r="K253" i="113"/>
  <c r="J253" i="113"/>
  <c r="I253" i="113"/>
  <c r="H253" i="113"/>
  <c r="E253" i="113"/>
  <c r="A253" i="113"/>
  <c r="S252" i="113"/>
  <c r="R252" i="113"/>
  <c r="Q252" i="113"/>
  <c r="P252" i="113"/>
  <c r="O252" i="113"/>
  <c r="N252" i="113"/>
  <c r="M252" i="113"/>
  <c r="K252" i="113"/>
  <c r="J252" i="113"/>
  <c r="I252" i="113"/>
  <c r="H252" i="113"/>
  <c r="E252" i="113"/>
  <c r="A252" i="113"/>
  <c r="S251" i="113"/>
  <c r="R251" i="113"/>
  <c r="Q251" i="113"/>
  <c r="P251" i="113"/>
  <c r="O251" i="113"/>
  <c r="N251" i="113"/>
  <c r="M251" i="113"/>
  <c r="K251" i="113"/>
  <c r="J251" i="113"/>
  <c r="I251" i="113"/>
  <c r="H251" i="113"/>
  <c r="E251" i="113"/>
  <c r="A251" i="113"/>
  <c r="S250" i="113"/>
  <c r="R250" i="113"/>
  <c r="Q250" i="113"/>
  <c r="P250" i="113"/>
  <c r="O250" i="113"/>
  <c r="N250" i="113"/>
  <c r="M250" i="113"/>
  <c r="K250" i="113"/>
  <c r="J250" i="113"/>
  <c r="I250" i="113"/>
  <c r="H250" i="113"/>
  <c r="E250" i="113"/>
  <c r="A250" i="113"/>
  <c r="S249" i="113"/>
  <c r="R249" i="113"/>
  <c r="Q249" i="113"/>
  <c r="P249" i="113"/>
  <c r="O249" i="113"/>
  <c r="N249" i="113"/>
  <c r="M249" i="113"/>
  <c r="K249" i="113"/>
  <c r="J249" i="113"/>
  <c r="I249" i="113"/>
  <c r="H249" i="113"/>
  <c r="E249" i="113"/>
  <c r="A249" i="113"/>
  <c r="S248" i="113"/>
  <c r="R248" i="113"/>
  <c r="Q248" i="113"/>
  <c r="P248" i="113"/>
  <c r="O248" i="113"/>
  <c r="N248" i="113"/>
  <c r="M248" i="113"/>
  <c r="K248" i="113"/>
  <c r="J248" i="113"/>
  <c r="I248" i="113"/>
  <c r="H248" i="113"/>
  <c r="E248" i="113"/>
  <c r="A248" i="113"/>
  <c r="S247" i="113"/>
  <c r="R247" i="113"/>
  <c r="Q247" i="113"/>
  <c r="P247" i="113"/>
  <c r="O247" i="113"/>
  <c r="N247" i="113"/>
  <c r="M247" i="113"/>
  <c r="K247" i="113"/>
  <c r="J247" i="113"/>
  <c r="I247" i="113"/>
  <c r="H247" i="113"/>
  <c r="E247" i="113"/>
  <c r="A247" i="113"/>
  <c r="S246" i="113"/>
  <c r="R246" i="113"/>
  <c r="Q246" i="113"/>
  <c r="P246" i="113"/>
  <c r="O246" i="113"/>
  <c r="N246" i="113"/>
  <c r="M246" i="113"/>
  <c r="K246" i="113"/>
  <c r="J246" i="113"/>
  <c r="I246" i="113"/>
  <c r="H246" i="113"/>
  <c r="E246" i="113"/>
  <c r="A246" i="113"/>
  <c r="S245" i="113"/>
  <c r="R245" i="113"/>
  <c r="Q245" i="113"/>
  <c r="P245" i="113"/>
  <c r="O245" i="113"/>
  <c r="N245" i="113"/>
  <c r="M245" i="113"/>
  <c r="K245" i="113"/>
  <c r="J245" i="113"/>
  <c r="I245" i="113"/>
  <c r="H245" i="113"/>
  <c r="E245" i="113"/>
  <c r="A245" i="113"/>
  <c r="S244" i="113"/>
  <c r="R244" i="113"/>
  <c r="Q244" i="113"/>
  <c r="P244" i="113"/>
  <c r="O244" i="113"/>
  <c r="N244" i="113"/>
  <c r="M244" i="113"/>
  <c r="K244" i="113"/>
  <c r="J244" i="113"/>
  <c r="I244" i="113"/>
  <c r="H244" i="113"/>
  <c r="E244" i="113"/>
  <c r="A244" i="113"/>
  <c r="S243" i="113"/>
  <c r="R243" i="113"/>
  <c r="Q243" i="113"/>
  <c r="P243" i="113"/>
  <c r="O243" i="113"/>
  <c r="N243" i="113"/>
  <c r="M243" i="113"/>
  <c r="K243" i="113"/>
  <c r="J243" i="113"/>
  <c r="I243" i="113"/>
  <c r="H243" i="113"/>
  <c r="E243" i="113"/>
  <c r="A243" i="113"/>
  <c r="S242" i="113"/>
  <c r="R242" i="113"/>
  <c r="Q242" i="113"/>
  <c r="P242" i="113"/>
  <c r="O242" i="113"/>
  <c r="N242" i="113"/>
  <c r="M242" i="113"/>
  <c r="K242" i="113"/>
  <c r="J242" i="113"/>
  <c r="I242" i="113"/>
  <c r="H242" i="113"/>
  <c r="E242" i="113"/>
  <c r="A242" i="113"/>
  <c r="S241" i="113"/>
  <c r="R241" i="113"/>
  <c r="Q241" i="113"/>
  <c r="P241" i="113"/>
  <c r="O241" i="113"/>
  <c r="N241" i="113"/>
  <c r="M241" i="113"/>
  <c r="K241" i="113"/>
  <c r="J241" i="113"/>
  <c r="I241" i="113"/>
  <c r="H241" i="113"/>
  <c r="E241" i="113"/>
  <c r="A241" i="113"/>
  <c r="S240" i="113"/>
  <c r="R240" i="113"/>
  <c r="Q240" i="113"/>
  <c r="P240" i="113"/>
  <c r="O240" i="113"/>
  <c r="N240" i="113"/>
  <c r="M240" i="113"/>
  <c r="K240" i="113"/>
  <c r="J240" i="113"/>
  <c r="I240" i="113"/>
  <c r="H240" i="113"/>
  <c r="E240" i="113"/>
  <c r="A240" i="113"/>
  <c r="S239" i="113"/>
  <c r="R239" i="113"/>
  <c r="Q239" i="113"/>
  <c r="P239" i="113"/>
  <c r="O239" i="113"/>
  <c r="N239" i="113"/>
  <c r="M239" i="113"/>
  <c r="K239" i="113"/>
  <c r="J239" i="113"/>
  <c r="I239" i="113"/>
  <c r="H239" i="113"/>
  <c r="E239" i="113"/>
  <c r="A239" i="113"/>
  <c r="S238" i="113"/>
  <c r="R238" i="113"/>
  <c r="Q238" i="113"/>
  <c r="P238" i="113"/>
  <c r="O238" i="113"/>
  <c r="N238" i="113"/>
  <c r="M238" i="113"/>
  <c r="K238" i="113"/>
  <c r="J238" i="113"/>
  <c r="I238" i="113"/>
  <c r="H238" i="113"/>
  <c r="E238" i="113"/>
  <c r="A238" i="113"/>
  <c r="S237" i="113"/>
  <c r="R237" i="113"/>
  <c r="Q237" i="113"/>
  <c r="P237" i="113"/>
  <c r="O237" i="113"/>
  <c r="N237" i="113"/>
  <c r="M237" i="113"/>
  <c r="K237" i="113"/>
  <c r="J237" i="113"/>
  <c r="I237" i="113"/>
  <c r="H237" i="113"/>
  <c r="E237" i="113"/>
  <c r="A237" i="113"/>
  <c r="S236" i="113"/>
  <c r="R236" i="113"/>
  <c r="Q236" i="113"/>
  <c r="P236" i="113"/>
  <c r="O236" i="113"/>
  <c r="N236" i="113"/>
  <c r="M236" i="113"/>
  <c r="K236" i="113"/>
  <c r="J236" i="113"/>
  <c r="I236" i="113"/>
  <c r="H236" i="113"/>
  <c r="E236" i="113"/>
  <c r="A236" i="113"/>
  <c r="S235" i="113"/>
  <c r="R235" i="113"/>
  <c r="Q235" i="113"/>
  <c r="P235" i="113"/>
  <c r="O235" i="113"/>
  <c r="N235" i="113"/>
  <c r="M235" i="113"/>
  <c r="K235" i="113"/>
  <c r="J235" i="113"/>
  <c r="I235" i="113"/>
  <c r="H235" i="113"/>
  <c r="E235" i="113"/>
  <c r="A235" i="113"/>
  <c r="S234" i="113"/>
  <c r="R234" i="113"/>
  <c r="Q234" i="113"/>
  <c r="P234" i="113"/>
  <c r="O234" i="113"/>
  <c r="N234" i="113"/>
  <c r="M234" i="113"/>
  <c r="K234" i="113"/>
  <c r="J234" i="113"/>
  <c r="I234" i="113"/>
  <c r="H234" i="113"/>
  <c r="E234" i="113"/>
  <c r="A234" i="113"/>
  <c r="S233" i="113"/>
  <c r="R233" i="113"/>
  <c r="Q233" i="113"/>
  <c r="P233" i="113"/>
  <c r="O233" i="113"/>
  <c r="N233" i="113"/>
  <c r="M233" i="113"/>
  <c r="K233" i="113"/>
  <c r="J233" i="113"/>
  <c r="I233" i="113"/>
  <c r="H233" i="113"/>
  <c r="E233" i="113"/>
  <c r="A233" i="113"/>
  <c r="S232" i="113"/>
  <c r="R232" i="113"/>
  <c r="Q232" i="113"/>
  <c r="P232" i="113"/>
  <c r="O232" i="113"/>
  <c r="N232" i="113"/>
  <c r="M232" i="113"/>
  <c r="K232" i="113"/>
  <c r="J232" i="113"/>
  <c r="I232" i="113"/>
  <c r="H232" i="113"/>
  <c r="E232" i="113"/>
  <c r="A232" i="113"/>
  <c r="S231" i="113"/>
  <c r="R231" i="113"/>
  <c r="Q231" i="113"/>
  <c r="P231" i="113"/>
  <c r="O231" i="113"/>
  <c r="N231" i="113"/>
  <c r="M231" i="113"/>
  <c r="K231" i="113"/>
  <c r="J231" i="113"/>
  <c r="I231" i="113"/>
  <c r="H231" i="113"/>
  <c r="E231" i="113"/>
  <c r="A231" i="113"/>
  <c r="S230" i="113"/>
  <c r="R230" i="113"/>
  <c r="Q230" i="113"/>
  <c r="P230" i="113"/>
  <c r="O230" i="113"/>
  <c r="N230" i="113"/>
  <c r="M230" i="113"/>
  <c r="K230" i="113"/>
  <c r="J230" i="113"/>
  <c r="I230" i="113"/>
  <c r="H230" i="113"/>
  <c r="E230" i="113"/>
  <c r="A230" i="113"/>
  <c r="S229" i="113"/>
  <c r="R229" i="113"/>
  <c r="Q229" i="113"/>
  <c r="P229" i="113"/>
  <c r="O229" i="113"/>
  <c r="N229" i="113"/>
  <c r="M229" i="113"/>
  <c r="K229" i="113"/>
  <c r="J229" i="113"/>
  <c r="I229" i="113"/>
  <c r="H229" i="113"/>
  <c r="E229" i="113"/>
  <c r="A229" i="113"/>
  <c r="S228" i="113"/>
  <c r="R228" i="113"/>
  <c r="Q228" i="113"/>
  <c r="P228" i="113"/>
  <c r="O228" i="113"/>
  <c r="N228" i="113"/>
  <c r="M228" i="113"/>
  <c r="K228" i="113"/>
  <c r="J228" i="113"/>
  <c r="I228" i="113"/>
  <c r="H228" i="113"/>
  <c r="E228" i="113"/>
  <c r="A228" i="113"/>
  <c r="S227" i="113"/>
  <c r="R227" i="113"/>
  <c r="Q227" i="113"/>
  <c r="P227" i="113"/>
  <c r="O227" i="113"/>
  <c r="N227" i="113"/>
  <c r="M227" i="113"/>
  <c r="K227" i="113"/>
  <c r="J227" i="113"/>
  <c r="I227" i="113"/>
  <c r="H227" i="113"/>
  <c r="E227" i="113"/>
  <c r="A227" i="113"/>
  <c r="S226" i="113"/>
  <c r="R226" i="113"/>
  <c r="Q226" i="113"/>
  <c r="P226" i="113"/>
  <c r="O226" i="113"/>
  <c r="N226" i="113"/>
  <c r="M226" i="113"/>
  <c r="K226" i="113"/>
  <c r="J226" i="113"/>
  <c r="I226" i="113"/>
  <c r="H226" i="113"/>
  <c r="E226" i="113"/>
  <c r="A226" i="113"/>
  <c r="S225" i="113"/>
  <c r="R225" i="113"/>
  <c r="Q225" i="113"/>
  <c r="P225" i="113"/>
  <c r="O225" i="113"/>
  <c r="N225" i="113"/>
  <c r="M225" i="113"/>
  <c r="K225" i="113"/>
  <c r="J225" i="113"/>
  <c r="I225" i="113"/>
  <c r="H225" i="113"/>
  <c r="E225" i="113"/>
  <c r="A225" i="113"/>
  <c r="S224" i="113"/>
  <c r="R224" i="113"/>
  <c r="Q224" i="113"/>
  <c r="P224" i="113"/>
  <c r="O224" i="113"/>
  <c r="N224" i="113"/>
  <c r="M224" i="113"/>
  <c r="K224" i="113"/>
  <c r="J224" i="113"/>
  <c r="I224" i="113"/>
  <c r="H224" i="113"/>
  <c r="E224" i="113"/>
  <c r="A224" i="113"/>
  <c r="S223" i="113"/>
  <c r="R223" i="113"/>
  <c r="Q223" i="113"/>
  <c r="P223" i="113"/>
  <c r="O223" i="113"/>
  <c r="N223" i="113"/>
  <c r="M223" i="113"/>
  <c r="K223" i="113"/>
  <c r="J223" i="113"/>
  <c r="I223" i="113"/>
  <c r="H223" i="113"/>
  <c r="E223" i="113"/>
  <c r="A223" i="113"/>
  <c r="S222" i="113"/>
  <c r="R222" i="113"/>
  <c r="Q222" i="113"/>
  <c r="P222" i="113"/>
  <c r="O222" i="113"/>
  <c r="N222" i="113"/>
  <c r="M222" i="113"/>
  <c r="K222" i="113"/>
  <c r="J222" i="113"/>
  <c r="I222" i="113"/>
  <c r="H222" i="113"/>
  <c r="E222" i="113"/>
  <c r="A222" i="113"/>
  <c r="S221" i="113"/>
  <c r="R221" i="113"/>
  <c r="Q221" i="113"/>
  <c r="P221" i="113"/>
  <c r="O221" i="113"/>
  <c r="N221" i="113"/>
  <c r="M221" i="113"/>
  <c r="K221" i="113"/>
  <c r="J221" i="113"/>
  <c r="I221" i="113"/>
  <c r="H221" i="113"/>
  <c r="E221" i="113"/>
  <c r="A221" i="113"/>
  <c r="S220" i="113"/>
  <c r="R220" i="113"/>
  <c r="Q220" i="113"/>
  <c r="P220" i="113"/>
  <c r="O220" i="113"/>
  <c r="N220" i="113"/>
  <c r="M220" i="113"/>
  <c r="K220" i="113"/>
  <c r="J220" i="113"/>
  <c r="I220" i="113"/>
  <c r="H220" i="113"/>
  <c r="E220" i="113"/>
  <c r="A220" i="113"/>
  <c r="S219" i="113"/>
  <c r="R219" i="113"/>
  <c r="Q219" i="113"/>
  <c r="P219" i="113"/>
  <c r="O219" i="113"/>
  <c r="N219" i="113"/>
  <c r="M219" i="113"/>
  <c r="K219" i="113"/>
  <c r="J219" i="113"/>
  <c r="I219" i="113"/>
  <c r="H219" i="113"/>
  <c r="E219" i="113"/>
  <c r="A219" i="113"/>
  <c r="S218" i="113"/>
  <c r="R218" i="113"/>
  <c r="Q218" i="113"/>
  <c r="P218" i="113"/>
  <c r="O218" i="113"/>
  <c r="N218" i="113"/>
  <c r="M218" i="113"/>
  <c r="K218" i="113"/>
  <c r="J218" i="113"/>
  <c r="I218" i="113"/>
  <c r="H218" i="113"/>
  <c r="E218" i="113"/>
  <c r="A218" i="113"/>
  <c r="S217" i="113"/>
  <c r="R217" i="113"/>
  <c r="Q217" i="113"/>
  <c r="P217" i="113"/>
  <c r="O217" i="113"/>
  <c r="N217" i="113"/>
  <c r="M217" i="113"/>
  <c r="K217" i="113"/>
  <c r="J217" i="113"/>
  <c r="I217" i="113"/>
  <c r="H217" i="113"/>
  <c r="E217" i="113"/>
  <c r="A217" i="113"/>
  <c r="S216" i="113"/>
  <c r="R216" i="113"/>
  <c r="Q216" i="113"/>
  <c r="P216" i="113"/>
  <c r="O216" i="113"/>
  <c r="N216" i="113"/>
  <c r="M216" i="113"/>
  <c r="K216" i="113"/>
  <c r="J216" i="113"/>
  <c r="I216" i="113"/>
  <c r="H216" i="113"/>
  <c r="E216" i="113"/>
  <c r="A216" i="113"/>
  <c r="S215" i="113"/>
  <c r="R215" i="113"/>
  <c r="Q215" i="113"/>
  <c r="P215" i="113"/>
  <c r="O215" i="113"/>
  <c r="N215" i="113"/>
  <c r="M215" i="113"/>
  <c r="K215" i="113"/>
  <c r="J215" i="113"/>
  <c r="I215" i="113"/>
  <c r="H215" i="113"/>
  <c r="E215" i="113"/>
  <c r="A215" i="113"/>
  <c r="S214" i="113"/>
  <c r="R214" i="113"/>
  <c r="Q214" i="113"/>
  <c r="P214" i="113"/>
  <c r="O214" i="113"/>
  <c r="N214" i="113"/>
  <c r="M214" i="113"/>
  <c r="K214" i="113"/>
  <c r="J214" i="113"/>
  <c r="I214" i="113"/>
  <c r="H214" i="113"/>
  <c r="E214" i="113"/>
  <c r="A214" i="113"/>
  <c r="S213" i="113"/>
  <c r="R213" i="113"/>
  <c r="Q213" i="113"/>
  <c r="P213" i="113"/>
  <c r="O213" i="113"/>
  <c r="N213" i="113"/>
  <c r="M213" i="113"/>
  <c r="K213" i="113"/>
  <c r="J213" i="113"/>
  <c r="I213" i="113"/>
  <c r="H213" i="113"/>
  <c r="E213" i="113"/>
  <c r="A213" i="113"/>
  <c r="S212" i="113"/>
  <c r="R212" i="113"/>
  <c r="Q212" i="113"/>
  <c r="P212" i="113"/>
  <c r="O212" i="113"/>
  <c r="N212" i="113"/>
  <c r="M212" i="113"/>
  <c r="K212" i="113"/>
  <c r="J212" i="113"/>
  <c r="I212" i="113"/>
  <c r="H212" i="113"/>
  <c r="E212" i="113"/>
  <c r="A212" i="113"/>
  <c r="S211" i="113"/>
  <c r="R211" i="113"/>
  <c r="Q211" i="113"/>
  <c r="P211" i="113"/>
  <c r="O211" i="113"/>
  <c r="N211" i="113"/>
  <c r="M211" i="113"/>
  <c r="K211" i="113"/>
  <c r="J211" i="113"/>
  <c r="I211" i="113"/>
  <c r="H211" i="113"/>
  <c r="E211" i="113"/>
  <c r="A211" i="113"/>
  <c r="S210" i="113"/>
  <c r="R210" i="113"/>
  <c r="Q210" i="113"/>
  <c r="P210" i="113"/>
  <c r="O210" i="113"/>
  <c r="N210" i="113"/>
  <c r="M210" i="113"/>
  <c r="K210" i="113"/>
  <c r="J210" i="113"/>
  <c r="I210" i="113"/>
  <c r="H210" i="113"/>
  <c r="E210" i="113"/>
  <c r="A210" i="113"/>
  <c r="S209" i="113"/>
  <c r="R209" i="113"/>
  <c r="Q209" i="113"/>
  <c r="P209" i="113"/>
  <c r="O209" i="113"/>
  <c r="N209" i="113"/>
  <c r="M209" i="113"/>
  <c r="K209" i="113"/>
  <c r="J209" i="113"/>
  <c r="I209" i="113"/>
  <c r="H209" i="113"/>
  <c r="E209" i="113"/>
  <c r="A209" i="113"/>
  <c r="S208" i="113"/>
  <c r="R208" i="113"/>
  <c r="Q208" i="113"/>
  <c r="P208" i="113"/>
  <c r="O208" i="113"/>
  <c r="N208" i="113"/>
  <c r="M208" i="113"/>
  <c r="K208" i="113"/>
  <c r="J208" i="113"/>
  <c r="I208" i="113"/>
  <c r="H208" i="113"/>
  <c r="E208" i="113"/>
  <c r="A208" i="113"/>
  <c r="S207" i="113"/>
  <c r="R207" i="113"/>
  <c r="Q207" i="113"/>
  <c r="P207" i="113"/>
  <c r="O207" i="113"/>
  <c r="N207" i="113"/>
  <c r="M207" i="113"/>
  <c r="K207" i="113"/>
  <c r="J207" i="113"/>
  <c r="I207" i="113"/>
  <c r="H207" i="113"/>
  <c r="E207" i="113"/>
  <c r="A207" i="113"/>
  <c r="S206" i="113"/>
  <c r="R206" i="113"/>
  <c r="Q206" i="113"/>
  <c r="P206" i="113"/>
  <c r="O206" i="113"/>
  <c r="N206" i="113"/>
  <c r="M206" i="113"/>
  <c r="K206" i="113"/>
  <c r="J206" i="113"/>
  <c r="I206" i="113"/>
  <c r="H206" i="113"/>
  <c r="E206" i="113"/>
  <c r="A206" i="113"/>
  <c r="S205" i="113"/>
  <c r="R205" i="113"/>
  <c r="Q205" i="113"/>
  <c r="P205" i="113"/>
  <c r="O205" i="113"/>
  <c r="N205" i="113"/>
  <c r="M205" i="113"/>
  <c r="K205" i="113"/>
  <c r="J205" i="113"/>
  <c r="I205" i="113"/>
  <c r="H205" i="113"/>
  <c r="E205" i="113"/>
  <c r="A205" i="113"/>
  <c r="S204" i="113"/>
  <c r="R204" i="113"/>
  <c r="Q204" i="113"/>
  <c r="P204" i="113"/>
  <c r="O204" i="113"/>
  <c r="N204" i="113"/>
  <c r="M204" i="113"/>
  <c r="K204" i="113"/>
  <c r="J204" i="113"/>
  <c r="I204" i="113"/>
  <c r="H204" i="113"/>
  <c r="E204" i="113"/>
  <c r="A204" i="113"/>
  <c r="S203" i="113"/>
  <c r="R203" i="113"/>
  <c r="Q203" i="113"/>
  <c r="P203" i="113"/>
  <c r="O203" i="113"/>
  <c r="N203" i="113"/>
  <c r="M203" i="113"/>
  <c r="K203" i="113"/>
  <c r="J203" i="113"/>
  <c r="I203" i="113"/>
  <c r="H203" i="113"/>
  <c r="E203" i="113"/>
  <c r="A203" i="113"/>
  <c r="S202" i="113"/>
  <c r="R202" i="113"/>
  <c r="Q202" i="113"/>
  <c r="P202" i="113"/>
  <c r="O202" i="113"/>
  <c r="N202" i="113"/>
  <c r="M202" i="113"/>
  <c r="K202" i="113"/>
  <c r="J202" i="113"/>
  <c r="I202" i="113"/>
  <c r="H202" i="113"/>
  <c r="E202" i="113"/>
  <c r="A202" i="113"/>
  <c r="S201" i="113"/>
  <c r="R201" i="113"/>
  <c r="Q201" i="113"/>
  <c r="P201" i="113"/>
  <c r="O201" i="113"/>
  <c r="N201" i="113"/>
  <c r="M201" i="113"/>
  <c r="K201" i="113"/>
  <c r="J201" i="113"/>
  <c r="I201" i="113"/>
  <c r="H201" i="113"/>
  <c r="E201" i="113"/>
  <c r="A201" i="113"/>
  <c r="S200" i="113"/>
  <c r="R200" i="113"/>
  <c r="Q200" i="113"/>
  <c r="P200" i="113"/>
  <c r="O200" i="113"/>
  <c r="N200" i="113"/>
  <c r="M200" i="113"/>
  <c r="K200" i="113"/>
  <c r="J200" i="113"/>
  <c r="I200" i="113"/>
  <c r="H200" i="113"/>
  <c r="E200" i="113"/>
  <c r="A200" i="113"/>
  <c r="S199" i="113"/>
  <c r="R199" i="113"/>
  <c r="Q199" i="113"/>
  <c r="P199" i="113"/>
  <c r="O199" i="113"/>
  <c r="N199" i="113"/>
  <c r="M199" i="113"/>
  <c r="K199" i="113"/>
  <c r="J199" i="113"/>
  <c r="I199" i="113"/>
  <c r="H199" i="113"/>
  <c r="E199" i="113"/>
  <c r="A199" i="113"/>
  <c r="S198" i="113"/>
  <c r="R198" i="113"/>
  <c r="Q198" i="113"/>
  <c r="P198" i="113"/>
  <c r="O198" i="113"/>
  <c r="N198" i="113"/>
  <c r="M198" i="113"/>
  <c r="K198" i="113"/>
  <c r="J198" i="113"/>
  <c r="I198" i="113"/>
  <c r="H198" i="113"/>
  <c r="E198" i="113"/>
  <c r="A198" i="113"/>
  <c r="S197" i="113"/>
  <c r="R197" i="113"/>
  <c r="Q197" i="113"/>
  <c r="P197" i="113"/>
  <c r="O197" i="113"/>
  <c r="N197" i="113"/>
  <c r="M197" i="113"/>
  <c r="K197" i="113"/>
  <c r="J197" i="113"/>
  <c r="I197" i="113"/>
  <c r="H197" i="113"/>
  <c r="E197" i="113"/>
  <c r="A197" i="113"/>
  <c r="S196" i="113"/>
  <c r="R196" i="113"/>
  <c r="Q196" i="113"/>
  <c r="P196" i="113"/>
  <c r="O196" i="113"/>
  <c r="N196" i="113"/>
  <c r="M196" i="113"/>
  <c r="K196" i="113"/>
  <c r="J196" i="113"/>
  <c r="I196" i="113"/>
  <c r="H196" i="113"/>
  <c r="E196" i="113"/>
  <c r="A196" i="113"/>
  <c r="S195" i="113"/>
  <c r="R195" i="113"/>
  <c r="Q195" i="113"/>
  <c r="P195" i="113"/>
  <c r="O195" i="113"/>
  <c r="N195" i="113"/>
  <c r="M195" i="113"/>
  <c r="K195" i="113"/>
  <c r="J195" i="113"/>
  <c r="I195" i="113"/>
  <c r="H195" i="113"/>
  <c r="E195" i="113"/>
  <c r="A195" i="113"/>
  <c r="S194" i="113"/>
  <c r="R194" i="113"/>
  <c r="Q194" i="113"/>
  <c r="P194" i="113"/>
  <c r="O194" i="113"/>
  <c r="N194" i="113"/>
  <c r="M194" i="113"/>
  <c r="K194" i="113"/>
  <c r="J194" i="113"/>
  <c r="I194" i="113"/>
  <c r="H194" i="113"/>
  <c r="E194" i="113"/>
  <c r="A194" i="113"/>
  <c r="S193" i="113"/>
  <c r="R193" i="113"/>
  <c r="Q193" i="113"/>
  <c r="P193" i="113"/>
  <c r="O193" i="113"/>
  <c r="N193" i="113"/>
  <c r="M193" i="113"/>
  <c r="K193" i="113"/>
  <c r="J193" i="113"/>
  <c r="I193" i="113"/>
  <c r="H193" i="113"/>
  <c r="E193" i="113"/>
  <c r="A193" i="113"/>
  <c r="S192" i="113"/>
  <c r="R192" i="113"/>
  <c r="Q192" i="113"/>
  <c r="P192" i="113"/>
  <c r="O192" i="113"/>
  <c r="N192" i="113"/>
  <c r="M192" i="113"/>
  <c r="K192" i="113"/>
  <c r="J192" i="113"/>
  <c r="I192" i="113"/>
  <c r="H192" i="113"/>
  <c r="E192" i="113"/>
  <c r="A192" i="113"/>
  <c r="S191" i="113"/>
  <c r="R191" i="113"/>
  <c r="Q191" i="113"/>
  <c r="P191" i="113"/>
  <c r="O191" i="113"/>
  <c r="N191" i="113"/>
  <c r="M191" i="113"/>
  <c r="K191" i="113"/>
  <c r="J191" i="113"/>
  <c r="I191" i="113"/>
  <c r="H191" i="113"/>
  <c r="E191" i="113"/>
  <c r="A191" i="113"/>
  <c r="S190" i="113"/>
  <c r="R190" i="113"/>
  <c r="Q190" i="113"/>
  <c r="P190" i="113"/>
  <c r="O190" i="113"/>
  <c r="N190" i="113"/>
  <c r="M190" i="113"/>
  <c r="K190" i="113"/>
  <c r="J190" i="113"/>
  <c r="I190" i="113"/>
  <c r="H190" i="113"/>
  <c r="E190" i="113"/>
  <c r="A190" i="113"/>
  <c r="S189" i="113"/>
  <c r="R189" i="113"/>
  <c r="Q189" i="113"/>
  <c r="P189" i="113"/>
  <c r="O189" i="113"/>
  <c r="N189" i="113"/>
  <c r="M189" i="113"/>
  <c r="K189" i="113"/>
  <c r="J189" i="113"/>
  <c r="I189" i="113"/>
  <c r="H189" i="113"/>
  <c r="E189" i="113"/>
  <c r="A189" i="113"/>
  <c r="S188" i="113"/>
  <c r="R188" i="113"/>
  <c r="Q188" i="113"/>
  <c r="P188" i="113"/>
  <c r="O188" i="113"/>
  <c r="N188" i="113"/>
  <c r="M188" i="113"/>
  <c r="K188" i="113"/>
  <c r="J188" i="113"/>
  <c r="I188" i="113"/>
  <c r="H188" i="113"/>
  <c r="E188" i="113"/>
  <c r="A188" i="113"/>
  <c r="S187" i="113"/>
  <c r="R187" i="113"/>
  <c r="Q187" i="113"/>
  <c r="P187" i="113"/>
  <c r="O187" i="113"/>
  <c r="N187" i="113"/>
  <c r="M187" i="113"/>
  <c r="K187" i="113"/>
  <c r="J187" i="113"/>
  <c r="I187" i="113"/>
  <c r="H187" i="113"/>
  <c r="E187" i="113"/>
  <c r="A187" i="113"/>
  <c r="S186" i="113"/>
  <c r="R186" i="113"/>
  <c r="Q186" i="113"/>
  <c r="P186" i="113"/>
  <c r="O186" i="113"/>
  <c r="N186" i="113"/>
  <c r="M186" i="113"/>
  <c r="K186" i="113"/>
  <c r="J186" i="113"/>
  <c r="I186" i="113"/>
  <c r="H186" i="113"/>
  <c r="E186" i="113"/>
  <c r="A186" i="113"/>
  <c r="S185" i="113"/>
  <c r="R185" i="113"/>
  <c r="Q185" i="113"/>
  <c r="P185" i="113"/>
  <c r="O185" i="113"/>
  <c r="N185" i="113"/>
  <c r="M185" i="113"/>
  <c r="K185" i="113"/>
  <c r="J185" i="113"/>
  <c r="I185" i="113"/>
  <c r="H185" i="113"/>
  <c r="E185" i="113"/>
  <c r="A185" i="113"/>
  <c r="S184" i="113"/>
  <c r="R184" i="113"/>
  <c r="Q184" i="113"/>
  <c r="P184" i="113"/>
  <c r="O184" i="113"/>
  <c r="N184" i="113"/>
  <c r="M184" i="113"/>
  <c r="K184" i="113"/>
  <c r="J184" i="113"/>
  <c r="I184" i="113"/>
  <c r="H184" i="113"/>
  <c r="E184" i="113"/>
  <c r="A184" i="113"/>
  <c r="S183" i="113"/>
  <c r="R183" i="113"/>
  <c r="Q183" i="113"/>
  <c r="P183" i="113"/>
  <c r="O183" i="113"/>
  <c r="N183" i="113"/>
  <c r="M183" i="113"/>
  <c r="K183" i="113"/>
  <c r="J183" i="113"/>
  <c r="I183" i="113"/>
  <c r="H183" i="113"/>
  <c r="E183" i="113"/>
  <c r="A183" i="113"/>
  <c r="S182" i="113"/>
  <c r="R182" i="113"/>
  <c r="Q182" i="113"/>
  <c r="P182" i="113"/>
  <c r="O182" i="113"/>
  <c r="N182" i="113"/>
  <c r="M182" i="113"/>
  <c r="K182" i="113"/>
  <c r="J182" i="113"/>
  <c r="I182" i="113"/>
  <c r="H182" i="113"/>
  <c r="E182" i="113"/>
  <c r="A182" i="113"/>
  <c r="S181" i="113"/>
  <c r="R181" i="113"/>
  <c r="Q181" i="113"/>
  <c r="P181" i="113"/>
  <c r="O181" i="113"/>
  <c r="N181" i="113"/>
  <c r="M181" i="113"/>
  <c r="K181" i="113"/>
  <c r="J181" i="113"/>
  <c r="I181" i="113"/>
  <c r="H181" i="113"/>
  <c r="E181" i="113"/>
  <c r="A181" i="113"/>
  <c r="S180" i="113"/>
  <c r="R180" i="113"/>
  <c r="Q180" i="113"/>
  <c r="P180" i="113"/>
  <c r="O180" i="113"/>
  <c r="N180" i="113"/>
  <c r="M180" i="113"/>
  <c r="K180" i="113"/>
  <c r="J180" i="113"/>
  <c r="I180" i="113"/>
  <c r="H180" i="113"/>
  <c r="E180" i="113"/>
  <c r="A180" i="113"/>
  <c r="S179" i="113"/>
  <c r="R179" i="113"/>
  <c r="Q179" i="113"/>
  <c r="P179" i="113"/>
  <c r="O179" i="113"/>
  <c r="N179" i="113"/>
  <c r="M179" i="113"/>
  <c r="K179" i="113"/>
  <c r="J179" i="113"/>
  <c r="I179" i="113"/>
  <c r="H179" i="113"/>
  <c r="E179" i="113"/>
  <c r="A179" i="113"/>
  <c r="S178" i="113"/>
  <c r="R178" i="113"/>
  <c r="Q178" i="113"/>
  <c r="P178" i="113"/>
  <c r="O178" i="113"/>
  <c r="N178" i="113"/>
  <c r="M178" i="113"/>
  <c r="K178" i="113"/>
  <c r="J178" i="113"/>
  <c r="I178" i="113"/>
  <c r="H178" i="113"/>
  <c r="E178" i="113"/>
  <c r="A178" i="113"/>
  <c r="S177" i="113"/>
  <c r="R177" i="113"/>
  <c r="Q177" i="113"/>
  <c r="P177" i="113"/>
  <c r="O177" i="113"/>
  <c r="N177" i="113"/>
  <c r="M177" i="113"/>
  <c r="K177" i="113"/>
  <c r="J177" i="113"/>
  <c r="I177" i="113"/>
  <c r="H177" i="113"/>
  <c r="E177" i="113"/>
  <c r="A177" i="113"/>
  <c r="S176" i="113"/>
  <c r="R176" i="113"/>
  <c r="Q176" i="113"/>
  <c r="P176" i="113"/>
  <c r="O176" i="113"/>
  <c r="N176" i="113"/>
  <c r="M176" i="113"/>
  <c r="K176" i="113"/>
  <c r="J176" i="113"/>
  <c r="I176" i="113"/>
  <c r="H176" i="113"/>
  <c r="E176" i="113"/>
  <c r="A176" i="113"/>
  <c r="S175" i="113"/>
  <c r="R175" i="113"/>
  <c r="Q175" i="113"/>
  <c r="P175" i="113"/>
  <c r="O175" i="113"/>
  <c r="N175" i="113"/>
  <c r="M175" i="113"/>
  <c r="K175" i="113"/>
  <c r="J175" i="113"/>
  <c r="I175" i="113"/>
  <c r="H175" i="113"/>
  <c r="E175" i="113"/>
  <c r="A175" i="113"/>
  <c r="S174" i="113"/>
  <c r="R174" i="113"/>
  <c r="Q174" i="113"/>
  <c r="P174" i="113"/>
  <c r="O174" i="113"/>
  <c r="N174" i="113"/>
  <c r="M174" i="113"/>
  <c r="K174" i="113"/>
  <c r="J174" i="113"/>
  <c r="I174" i="113"/>
  <c r="H174" i="113"/>
  <c r="E174" i="113"/>
  <c r="A174" i="113"/>
  <c r="S173" i="113"/>
  <c r="R173" i="113"/>
  <c r="Q173" i="113"/>
  <c r="P173" i="113"/>
  <c r="O173" i="113"/>
  <c r="N173" i="113"/>
  <c r="M173" i="113"/>
  <c r="K173" i="113"/>
  <c r="J173" i="113"/>
  <c r="I173" i="113"/>
  <c r="H173" i="113"/>
  <c r="E173" i="113"/>
  <c r="A173" i="113"/>
  <c r="S172" i="113"/>
  <c r="R172" i="113"/>
  <c r="Q172" i="113"/>
  <c r="P172" i="113"/>
  <c r="O172" i="113"/>
  <c r="N172" i="113"/>
  <c r="M172" i="113"/>
  <c r="K172" i="113"/>
  <c r="J172" i="113"/>
  <c r="I172" i="113"/>
  <c r="H172" i="113"/>
  <c r="E172" i="113"/>
  <c r="A172" i="113"/>
  <c r="S171" i="113"/>
  <c r="R171" i="113"/>
  <c r="Q171" i="113"/>
  <c r="P171" i="113"/>
  <c r="O171" i="113"/>
  <c r="N171" i="113"/>
  <c r="M171" i="113"/>
  <c r="K171" i="113"/>
  <c r="J171" i="113"/>
  <c r="I171" i="113"/>
  <c r="H171" i="113"/>
  <c r="E171" i="113"/>
  <c r="A171" i="113"/>
  <c r="S170" i="113"/>
  <c r="R170" i="113"/>
  <c r="Q170" i="113"/>
  <c r="P170" i="113"/>
  <c r="O170" i="113"/>
  <c r="N170" i="113"/>
  <c r="M170" i="113"/>
  <c r="K170" i="113"/>
  <c r="J170" i="113"/>
  <c r="I170" i="113"/>
  <c r="H170" i="113"/>
  <c r="E170" i="113"/>
  <c r="A170" i="113"/>
  <c r="S169" i="113"/>
  <c r="R169" i="113"/>
  <c r="Q169" i="113"/>
  <c r="P169" i="113"/>
  <c r="O169" i="113"/>
  <c r="N169" i="113"/>
  <c r="M169" i="113"/>
  <c r="K169" i="113"/>
  <c r="J169" i="113"/>
  <c r="I169" i="113"/>
  <c r="H169" i="113"/>
  <c r="E169" i="113"/>
  <c r="A169" i="113"/>
  <c r="S168" i="113"/>
  <c r="R168" i="113"/>
  <c r="Q168" i="113"/>
  <c r="P168" i="113"/>
  <c r="O168" i="113"/>
  <c r="N168" i="113"/>
  <c r="M168" i="113"/>
  <c r="K168" i="113"/>
  <c r="J168" i="113"/>
  <c r="I168" i="113"/>
  <c r="H168" i="113"/>
  <c r="E168" i="113"/>
  <c r="A168" i="113"/>
  <c r="S167" i="113"/>
  <c r="R167" i="113"/>
  <c r="Q167" i="113"/>
  <c r="P167" i="113"/>
  <c r="O167" i="113"/>
  <c r="N167" i="113"/>
  <c r="M167" i="113"/>
  <c r="K167" i="113"/>
  <c r="J167" i="113"/>
  <c r="I167" i="113"/>
  <c r="H167" i="113"/>
  <c r="E167" i="113"/>
  <c r="A167" i="113"/>
  <c r="S166" i="113"/>
  <c r="R166" i="113"/>
  <c r="Q166" i="113"/>
  <c r="P166" i="113"/>
  <c r="O166" i="113"/>
  <c r="N166" i="113"/>
  <c r="M166" i="113"/>
  <c r="K166" i="113"/>
  <c r="J166" i="113"/>
  <c r="I166" i="113"/>
  <c r="H166" i="113"/>
  <c r="E166" i="113"/>
  <c r="A166" i="113"/>
  <c r="S165" i="113"/>
  <c r="R165" i="113"/>
  <c r="Q165" i="113"/>
  <c r="P165" i="113"/>
  <c r="O165" i="113"/>
  <c r="N165" i="113"/>
  <c r="M165" i="113"/>
  <c r="K165" i="113"/>
  <c r="J165" i="113"/>
  <c r="I165" i="113"/>
  <c r="H165" i="113"/>
  <c r="E165" i="113"/>
  <c r="A165" i="113"/>
  <c r="S164" i="113"/>
  <c r="R164" i="113"/>
  <c r="Q164" i="113"/>
  <c r="P164" i="113"/>
  <c r="O164" i="113"/>
  <c r="N164" i="113"/>
  <c r="M164" i="113"/>
  <c r="K164" i="113"/>
  <c r="J164" i="113"/>
  <c r="I164" i="113"/>
  <c r="H164" i="113"/>
  <c r="E164" i="113"/>
  <c r="A164" i="113"/>
  <c r="S163" i="113"/>
  <c r="R163" i="113"/>
  <c r="Q163" i="113"/>
  <c r="P163" i="113"/>
  <c r="O163" i="113"/>
  <c r="N163" i="113"/>
  <c r="M163" i="113"/>
  <c r="K163" i="113"/>
  <c r="J163" i="113"/>
  <c r="I163" i="113"/>
  <c r="H163" i="113"/>
  <c r="E163" i="113"/>
  <c r="A163" i="113"/>
  <c r="S162" i="113"/>
  <c r="R162" i="113"/>
  <c r="Q162" i="113"/>
  <c r="P162" i="113"/>
  <c r="O162" i="113"/>
  <c r="N162" i="113"/>
  <c r="M162" i="113"/>
  <c r="K162" i="113"/>
  <c r="J162" i="113"/>
  <c r="I162" i="113"/>
  <c r="H162" i="113"/>
  <c r="E162" i="113"/>
  <c r="A162" i="113"/>
  <c r="S161" i="113"/>
  <c r="R161" i="113"/>
  <c r="Q161" i="113"/>
  <c r="P161" i="113"/>
  <c r="O161" i="113"/>
  <c r="N161" i="113"/>
  <c r="M161" i="113"/>
  <c r="K161" i="113"/>
  <c r="J161" i="113"/>
  <c r="I161" i="113"/>
  <c r="H161" i="113"/>
  <c r="E161" i="113"/>
  <c r="A161" i="113"/>
  <c r="S160" i="113"/>
  <c r="R160" i="113"/>
  <c r="Q160" i="113"/>
  <c r="P160" i="113"/>
  <c r="O160" i="113"/>
  <c r="N160" i="113"/>
  <c r="M160" i="113"/>
  <c r="K160" i="113"/>
  <c r="J160" i="113"/>
  <c r="I160" i="113"/>
  <c r="H160" i="113"/>
  <c r="E160" i="113"/>
  <c r="A160" i="113"/>
  <c r="S159" i="113"/>
  <c r="R159" i="113"/>
  <c r="Q159" i="113"/>
  <c r="P159" i="113"/>
  <c r="O159" i="113"/>
  <c r="N159" i="113"/>
  <c r="M159" i="113"/>
  <c r="K159" i="113"/>
  <c r="J159" i="113"/>
  <c r="I159" i="113"/>
  <c r="H159" i="113"/>
  <c r="E159" i="113"/>
  <c r="A159" i="113"/>
  <c r="S158" i="113"/>
  <c r="R158" i="113"/>
  <c r="Q158" i="113"/>
  <c r="P158" i="113"/>
  <c r="O158" i="113"/>
  <c r="N158" i="113"/>
  <c r="M158" i="113"/>
  <c r="K158" i="113"/>
  <c r="J158" i="113"/>
  <c r="I158" i="113"/>
  <c r="H158" i="113"/>
  <c r="E158" i="113"/>
  <c r="A158" i="113"/>
  <c r="S157" i="113"/>
  <c r="R157" i="113"/>
  <c r="Q157" i="113"/>
  <c r="P157" i="113"/>
  <c r="O157" i="113"/>
  <c r="N157" i="113"/>
  <c r="M157" i="113"/>
  <c r="K157" i="113"/>
  <c r="J157" i="113"/>
  <c r="I157" i="113"/>
  <c r="H157" i="113"/>
  <c r="E157" i="113"/>
  <c r="A157" i="113"/>
  <c r="S156" i="113"/>
  <c r="R156" i="113"/>
  <c r="Q156" i="113"/>
  <c r="P156" i="113"/>
  <c r="O156" i="113"/>
  <c r="N156" i="113"/>
  <c r="M156" i="113"/>
  <c r="K156" i="113"/>
  <c r="J156" i="113"/>
  <c r="I156" i="113"/>
  <c r="H156" i="113"/>
  <c r="E156" i="113"/>
  <c r="A156" i="113"/>
  <c r="S155" i="113"/>
  <c r="R155" i="113"/>
  <c r="Q155" i="113"/>
  <c r="P155" i="113"/>
  <c r="O155" i="113"/>
  <c r="N155" i="113"/>
  <c r="M155" i="113"/>
  <c r="K155" i="113"/>
  <c r="J155" i="113"/>
  <c r="I155" i="113"/>
  <c r="H155" i="113"/>
  <c r="E155" i="113"/>
  <c r="A155" i="113"/>
  <c r="S154" i="113"/>
  <c r="R154" i="113"/>
  <c r="Q154" i="113"/>
  <c r="P154" i="113"/>
  <c r="O154" i="113"/>
  <c r="N154" i="113"/>
  <c r="M154" i="113"/>
  <c r="K154" i="113"/>
  <c r="J154" i="113"/>
  <c r="I154" i="113"/>
  <c r="H154" i="113"/>
  <c r="E154" i="113"/>
  <c r="A154" i="113"/>
  <c r="S153" i="113"/>
  <c r="R153" i="113"/>
  <c r="Q153" i="113"/>
  <c r="P153" i="113"/>
  <c r="O153" i="113"/>
  <c r="N153" i="113"/>
  <c r="M153" i="113"/>
  <c r="K153" i="113"/>
  <c r="J153" i="113"/>
  <c r="I153" i="113"/>
  <c r="H153" i="113"/>
  <c r="E153" i="113"/>
  <c r="A153" i="113"/>
  <c r="S152" i="113"/>
  <c r="R152" i="113"/>
  <c r="Q152" i="113"/>
  <c r="P152" i="113"/>
  <c r="O152" i="113"/>
  <c r="N152" i="113"/>
  <c r="M152" i="113"/>
  <c r="K152" i="113"/>
  <c r="J152" i="113"/>
  <c r="I152" i="113"/>
  <c r="H152" i="113"/>
  <c r="E152" i="113"/>
  <c r="A152" i="113"/>
  <c r="S151" i="113"/>
  <c r="R151" i="113"/>
  <c r="Q151" i="113"/>
  <c r="P151" i="113"/>
  <c r="O151" i="113"/>
  <c r="N151" i="113"/>
  <c r="M151" i="113"/>
  <c r="K151" i="113"/>
  <c r="J151" i="113"/>
  <c r="I151" i="113"/>
  <c r="H151" i="113"/>
  <c r="E151" i="113"/>
  <c r="A151" i="113"/>
  <c r="S150" i="113"/>
  <c r="R150" i="113"/>
  <c r="Q150" i="113"/>
  <c r="P150" i="113"/>
  <c r="O150" i="113"/>
  <c r="N150" i="113"/>
  <c r="M150" i="113"/>
  <c r="K150" i="113"/>
  <c r="J150" i="113"/>
  <c r="I150" i="113"/>
  <c r="H150" i="113"/>
  <c r="E150" i="113"/>
  <c r="A150" i="113"/>
  <c r="S149" i="113"/>
  <c r="R149" i="113"/>
  <c r="Q149" i="113"/>
  <c r="P149" i="113"/>
  <c r="O149" i="113"/>
  <c r="N149" i="113"/>
  <c r="M149" i="113"/>
  <c r="K149" i="113"/>
  <c r="J149" i="113"/>
  <c r="I149" i="113"/>
  <c r="H149" i="113"/>
  <c r="E149" i="113"/>
  <c r="A149" i="113"/>
  <c r="S148" i="113"/>
  <c r="R148" i="113"/>
  <c r="Q148" i="113"/>
  <c r="P148" i="113"/>
  <c r="O148" i="113"/>
  <c r="N148" i="113"/>
  <c r="M148" i="113"/>
  <c r="K148" i="113"/>
  <c r="J148" i="113"/>
  <c r="I148" i="113"/>
  <c r="H148" i="113"/>
  <c r="E148" i="113"/>
  <c r="A148" i="113"/>
  <c r="S147" i="113"/>
  <c r="R147" i="113"/>
  <c r="Q147" i="113"/>
  <c r="P147" i="113"/>
  <c r="O147" i="113"/>
  <c r="N147" i="113"/>
  <c r="M147" i="113"/>
  <c r="K147" i="113"/>
  <c r="J147" i="113"/>
  <c r="I147" i="113"/>
  <c r="H147" i="113"/>
  <c r="E147" i="113"/>
  <c r="A147" i="113"/>
  <c r="S146" i="113"/>
  <c r="R146" i="113"/>
  <c r="Q146" i="113"/>
  <c r="P146" i="113"/>
  <c r="O146" i="113"/>
  <c r="N146" i="113"/>
  <c r="M146" i="113"/>
  <c r="K146" i="113"/>
  <c r="J146" i="113"/>
  <c r="I146" i="113"/>
  <c r="H146" i="113"/>
  <c r="E146" i="113"/>
  <c r="A146" i="113"/>
  <c r="S145" i="113"/>
  <c r="R145" i="113"/>
  <c r="Q145" i="113"/>
  <c r="P145" i="113"/>
  <c r="O145" i="113"/>
  <c r="N145" i="113"/>
  <c r="M145" i="113"/>
  <c r="K145" i="113"/>
  <c r="J145" i="113"/>
  <c r="I145" i="113"/>
  <c r="H145" i="113"/>
  <c r="E145" i="113"/>
  <c r="A145" i="113"/>
  <c r="S144" i="113"/>
  <c r="R144" i="113"/>
  <c r="Q144" i="113"/>
  <c r="P144" i="113"/>
  <c r="O144" i="113"/>
  <c r="N144" i="113"/>
  <c r="M144" i="113"/>
  <c r="K144" i="113"/>
  <c r="J144" i="113"/>
  <c r="I144" i="113"/>
  <c r="H144" i="113"/>
  <c r="E144" i="113"/>
  <c r="A144" i="113"/>
  <c r="S143" i="113"/>
  <c r="R143" i="113"/>
  <c r="Q143" i="113"/>
  <c r="P143" i="113"/>
  <c r="O143" i="113"/>
  <c r="N143" i="113"/>
  <c r="M143" i="113"/>
  <c r="K143" i="113"/>
  <c r="J143" i="113"/>
  <c r="I143" i="113"/>
  <c r="H143" i="113"/>
  <c r="E143" i="113"/>
  <c r="A143" i="113"/>
  <c r="S142" i="113"/>
  <c r="R142" i="113"/>
  <c r="Q142" i="113"/>
  <c r="P142" i="113"/>
  <c r="O142" i="113"/>
  <c r="N142" i="113"/>
  <c r="M142" i="113"/>
  <c r="K142" i="113"/>
  <c r="J142" i="113"/>
  <c r="I142" i="113"/>
  <c r="H142" i="113"/>
  <c r="E142" i="113"/>
  <c r="A142" i="113"/>
  <c r="S141" i="113"/>
  <c r="R141" i="113"/>
  <c r="Q141" i="113"/>
  <c r="P141" i="113"/>
  <c r="O141" i="113"/>
  <c r="N141" i="113"/>
  <c r="M141" i="113"/>
  <c r="K141" i="113"/>
  <c r="J141" i="113"/>
  <c r="I141" i="113"/>
  <c r="H141" i="113"/>
  <c r="E141" i="113"/>
  <c r="A141" i="113"/>
  <c r="S140" i="113"/>
  <c r="R140" i="113"/>
  <c r="Q140" i="113"/>
  <c r="P140" i="113"/>
  <c r="O140" i="113"/>
  <c r="N140" i="113"/>
  <c r="M140" i="113"/>
  <c r="K140" i="113"/>
  <c r="J140" i="113"/>
  <c r="I140" i="113"/>
  <c r="H140" i="113"/>
  <c r="E140" i="113"/>
  <c r="A140" i="113"/>
  <c r="S139" i="113"/>
  <c r="R139" i="113"/>
  <c r="Q139" i="113"/>
  <c r="P139" i="113"/>
  <c r="O139" i="113"/>
  <c r="N139" i="113"/>
  <c r="M139" i="113"/>
  <c r="K139" i="113"/>
  <c r="J139" i="113"/>
  <c r="I139" i="113"/>
  <c r="H139" i="113"/>
  <c r="E139" i="113"/>
  <c r="A139" i="113"/>
  <c r="S138" i="113"/>
  <c r="R138" i="113"/>
  <c r="Q138" i="113"/>
  <c r="P138" i="113"/>
  <c r="O138" i="113"/>
  <c r="N138" i="113"/>
  <c r="M138" i="113"/>
  <c r="K138" i="113"/>
  <c r="J138" i="113"/>
  <c r="I138" i="113"/>
  <c r="H138" i="113"/>
  <c r="E138" i="113"/>
  <c r="A138" i="113"/>
  <c r="S137" i="113"/>
  <c r="R137" i="113"/>
  <c r="Q137" i="113"/>
  <c r="P137" i="113"/>
  <c r="O137" i="113"/>
  <c r="N137" i="113"/>
  <c r="M137" i="113"/>
  <c r="K137" i="113"/>
  <c r="J137" i="113"/>
  <c r="I137" i="113"/>
  <c r="H137" i="113"/>
  <c r="E137" i="113"/>
  <c r="A137" i="113"/>
  <c r="S136" i="113"/>
  <c r="R136" i="113"/>
  <c r="Q136" i="113"/>
  <c r="P136" i="113"/>
  <c r="O136" i="113"/>
  <c r="N136" i="113"/>
  <c r="M136" i="113"/>
  <c r="K136" i="113"/>
  <c r="J136" i="113"/>
  <c r="I136" i="113"/>
  <c r="H136" i="113"/>
  <c r="E136" i="113"/>
  <c r="A136" i="113"/>
  <c r="S135" i="113"/>
  <c r="R135" i="113"/>
  <c r="Q135" i="113"/>
  <c r="P135" i="113"/>
  <c r="O135" i="113"/>
  <c r="N135" i="113"/>
  <c r="M135" i="113"/>
  <c r="K135" i="113"/>
  <c r="J135" i="113"/>
  <c r="I135" i="113"/>
  <c r="H135" i="113"/>
  <c r="E135" i="113"/>
  <c r="A135" i="113"/>
  <c r="S134" i="113"/>
  <c r="R134" i="113"/>
  <c r="Q134" i="113"/>
  <c r="P134" i="113"/>
  <c r="O134" i="113"/>
  <c r="N134" i="113"/>
  <c r="M134" i="113"/>
  <c r="K134" i="113"/>
  <c r="J134" i="113"/>
  <c r="I134" i="113"/>
  <c r="H134" i="113"/>
  <c r="E134" i="113"/>
  <c r="A134" i="113"/>
  <c r="S133" i="113"/>
  <c r="R133" i="113"/>
  <c r="Q133" i="113"/>
  <c r="P133" i="113"/>
  <c r="O133" i="113"/>
  <c r="N133" i="113"/>
  <c r="M133" i="113"/>
  <c r="K133" i="113"/>
  <c r="J133" i="113"/>
  <c r="I133" i="113"/>
  <c r="H133" i="113"/>
  <c r="E133" i="113"/>
  <c r="A133" i="113"/>
  <c r="S132" i="113"/>
  <c r="R132" i="113"/>
  <c r="Q132" i="113"/>
  <c r="P132" i="113"/>
  <c r="O132" i="113"/>
  <c r="N132" i="113"/>
  <c r="M132" i="113"/>
  <c r="K132" i="113"/>
  <c r="J132" i="113"/>
  <c r="I132" i="113"/>
  <c r="H132" i="113"/>
  <c r="E132" i="113"/>
  <c r="A132" i="113"/>
  <c r="S131" i="113"/>
  <c r="R131" i="113"/>
  <c r="Q131" i="113"/>
  <c r="P131" i="113"/>
  <c r="O131" i="113"/>
  <c r="N131" i="113"/>
  <c r="M131" i="113"/>
  <c r="K131" i="113"/>
  <c r="J131" i="113"/>
  <c r="I131" i="113"/>
  <c r="H131" i="113"/>
  <c r="E131" i="113"/>
  <c r="A131" i="113"/>
  <c r="S130" i="113"/>
  <c r="R130" i="113"/>
  <c r="Q130" i="113"/>
  <c r="P130" i="113"/>
  <c r="O130" i="113"/>
  <c r="N130" i="113"/>
  <c r="M130" i="113"/>
  <c r="K130" i="113"/>
  <c r="J130" i="113"/>
  <c r="I130" i="113"/>
  <c r="H130" i="113"/>
  <c r="E130" i="113"/>
  <c r="A130" i="113"/>
  <c r="S129" i="113"/>
  <c r="R129" i="113"/>
  <c r="Q129" i="113"/>
  <c r="P129" i="113"/>
  <c r="O129" i="113"/>
  <c r="N129" i="113"/>
  <c r="M129" i="113"/>
  <c r="K129" i="113"/>
  <c r="J129" i="113"/>
  <c r="I129" i="113"/>
  <c r="H129" i="113"/>
  <c r="E129" i="113"/>
  <c r="A129" i="113"/>
  <c r="S128" i="113"/>
  <c r="R128" i="113"/>
  <c r="Q128" i="113"/>
  <c r="P128" i="113"/>
  <c r="O128" i="113"/>
  <c r="N128" i="113"/>
  <c r="M128" i="113"/>
  <c r="K128" i="113"/>
  <c r="J128" i="113"/>
  <c r="I128" i="113"/>
  <c r="H128" i="113"/>
  <c r="E128" i="113"/>
  <c r="A128" i="113"/>
  <c r="S127" i="113"/>
  <c r="R127" i="113"/>
  <c r="Q127" i="113"/>
  <c r="P127" i="113"/>
  <c r="O127" i="113"/>
  <c r="N127" i="113"/>
  <c r="M127" i="113"/>
  <c r="K127" i="113"/>
  <c r="J127" i="113"/>
  <c r="I127" i="113"/>
  <c r="H127" i="113"/>
  <c r="E127" i="113"/>
  <c r="A127" i="113"/>
  <c r="S126" i="113"/>
  <c r="R126" i="113"/>
  <c r="Q126" i="113"/>
  <c r="P126" i="113"/>
  <c r="O126" i="113"/>
  <c r="N126" i="113"/>
  <c r="M126" i="113"/>
  <c r="K126" i="113"/>
  <c r="J126" i="113"/>
  <c r="I126" i="113"/>
  <c r="H126" i="113"/>
  <c r="E126" i="113"/>
  <c r="A126" i="113"/>
  <c r="S125" i="113"/>
  <c r="R125" i="113"/>
  <c r="Q125" i="113"/>
  <c r="P125" i="113"/>
  <c r="O125" i="113"/>
  <c r="N125" i="113"/>
  <c r="M125" i="113"/>
  <c r="K125" i="113"/>
  <c r="J125" i="113"/>
  <c r="I125" i="113"/>
  <c r="H125" i="113"/>
  <c r="E125" i="113"/>
  <c r="A125" i="113"/>
  <c r="S124" i="113"/>
  <c r="R124" i="113"/>
  <c r="Q124" i="113"/>
  <c r="P124" i="113"/>
  <c r="O124" i="113"/>
  <c r="N124" i="113"/>
  <c r="M124" i="113"/>
  <c r="K124" i="113"/>
  <c r="J124" i="113"/>
  <c r="I124" i="113"/>
  <c r="H124" i="113"/>
  <c r="E124" i="113"/>
  <c r="A124" i="113"/>
  <c r="S123" i="113"/>
  <c r="R123" i="113"/>
  <c r="Q123" i="113"/>
  <c r="P123" i="113"/>
  <c r="O123" i="113"/>
  <c r="N123" i="113"/>
  <c r="M123" i="113"/>
  <c r="K123" i="113"/>
  <c r="J123" i="113"/>
  <c r="I123" i="113"/>
  <c r="H123" i="113"/>
  <c r="E123" i="113"/>
  <c r="A123" i="113"/>
  <c r="S122" i="113"/>
  <c r="R122" i="113"/>
  <c r="Q122" i="113"/>
  <c r="P122" i="113"/>
  <c r="O122" i="113"/>
  <c r="N122" i="113"/>
  <c r="M122" i="113"/>
  <c r="K122" i="113"/>
  <c r="J122" i="113"/>
  <c r="I122" i="113"/>
  <c r="H122" i="113"/>
  <c r="E122" i="113"/>
  <c r="A122" i="113"/>
  <c r="S121" i="113"/>
  <c r="R121" i="113"/>
  <c r="Q121" i="113"/>
  <c r="P121" i="113"/>
  <c r="O121" i="113"/>
  <c r="N121" i="113"/>
  <c r="M121" i="113"/>
  <c r="K121" i="113"/>
  <c r="J121" i="113"/>
  <c r="I121" i="113"/>
  <c r="H121" i="113"/>
  <c r="E121" i="113"/>
  <c r="A121" i="113"/>
  <c r="S120" i="113"/>
  <c r="R120" i="113"/>
  <c r="Q120" i="113"/>
  <c r="P120" i="113"/>
  <c r="O120" i="113"/>
  <c r="N120" i="113"/>
  <c r="M120" i="113"/>
  <c r="K120" i="113"/>
  <c r="J120" i="113"/>
  <c r="I120" i="113"/>
  <c r="H120" i="113"/>
  <c r="E120" i="113"/>
  <c r="A120" i="113"/>
  <c r="S119" i="113"/>
  <c r="R119" i="113"/>
  <c r="Q119" i="113"/>
  <c r="P119" i="113"/>
  <c r="O119" i="113"/>
  <c r="N119" i="113"/>
  <c r="M119" i="113"/>
  <c r="K119" i="113"/>
  <c r="J119" i="113"/>
  <c r="I119" i="113"/>
  <c r="H119" i="113"/>
  <c r="E119" i="113"/>
  <c r="A119" i="113"/>
  <c r="S118" i="113"/>
  <c r="R118" i="113"/>
  <c r="Q118" i="113"/>
  <c r="P118" i="113"/>
  <c r="O118" i="113"/>
  <c r="N118" i="113"/>
  <c r="M118" i="113"/>
  <c r="K118" i="113"/>
  <c r="J118" i="113"/>
  <c r="I118" i="113"/>
  <c r="H118" i="113"/>
  <c r="E118" i="113"/>
  <c r="A118" i="113"/>
  <c r="S117" i="113"/>
  <c r="R117" i="113"/>
  <c r="Q117" i="113"/>
  <c r="P117" i="113"/>
  <c r="O117" i="113"/>
  <c r="N117" i="113"/>
  <c r="M117" i="113"/>
  <c r="K117" i="113"/>
  <c r="J117" i="113"/>
  <c r="I117" i="113"/>
  <c r="H117" i="113"/>
  <c r="E117" i="113"/>
  <c r="A117" i="113"/>
  <c r="S116" i="113"/>
  <c r="R116" i="113"/>
  <c r="Q116" i="113"/>
  <c r="P116" i="113"/>
  <c r="O116" i="113"/>
  <c r="N116" i="113"/>
  <c r="M116" i="113"/>
  <c r="K116" i="113"/>
  <c r="J116" i="113"/>
  <c r="I116" i="113"/>
  <c r="H116" i="113"/>
  <c r="E116" i="113"/>
  <c r="A116" i="113"/>
  <c r="S115" i="113"/>
  <c r="R115" i="113"/>
  <c r="Q115" i="113"/>
  <c r="P115" i="113"/>
  <c r="O115" i="113"/>
  <c r="N115" i="113"/>
  <c r="M115" i="113"/>
  <c r="K115" i="113"/>
  <c r="J115" i="113"/>
  <c r="I115" i="113"/>
  <c r="H115" i="113"/>
  <c r="E115" i="113"/>
  <c r="A115" i="113"/>
  <c r="S114" i="113"/>
  <c r="R114" i="113"/>
  <c r="Q114" i="113"/>
  <c r="P114" i="113"/>
  <c r="O114" i="113"/>
  <c r="N114" i="113"/>
  <c r="M114" i="113"/>
  <c r="K114" i="113"/>
  <c r="J114" i="113"/>
  <c r="I114" i="113"/>
  <c r="H114" i="113"/>
  <c r="E114" i="113"/>
  <c r="A114" i="113"/>
  <c r="S113" i="113"/>
  <c r="R113" i="113"/>
  <c r="Q113" i="113"/>
  <c r="P113" i="113"/>
  <c r="O113" i="113"/>
  <c r="N113" i="113"/>
  <c r="M113" i="113"/>
  <c r="K113" i="113"/>
  <c r="J113" i="113"/>
  <c r="I113" i="113"/>
  <c r="H113" i="113"/>
  <c r="E113" i="113"/>
  <c r="A113" i="113"/>
  <c r="S112" i="113"/>
  <c r="R112" i="113"/>
  <c r="Q112" i="113"/>
  <c r="P112" i="113"/>
  <c r="O112" i="113"/>
  <c r="N112" i="113"/>
  <c r="M112" i="113"/>
  <c r="K112" i="113"/>
  <c r="J112" i="113"/>
  <c r="I112" i="113"/>
  <c r="H112" i="113"/>
  <c r="E112" i="113"/>
  <c r="A112" i="113"/>
  <c r="S111" i="113"/>
  <c r="R111" i="113"/>
  <c r="Q111" i="113"/>
  <c r="P111" i="113"/>
  <c r="O111" i="113"/>
  <c r="N111" i="113"/>
  <c r="M111" i="113"/>
  <c r="K111" i="113"/>
  <c r="J111" i="113"/>
  <c r="I111" i="113"/>
  <c r="H111" i="113"/>
  <c r="E111" i="113"/>
  <c r="A111" i="113"/>
  <c r="S110" i="113"/>
  <c r="R110" i="113"/>
  <c r="Q110" i="113"/>
  <c r="P110" i="113"/>
  <c r="O110" i="113"/>
  <c r="N110" i="113"/>
  <c r="M110" i="113"/>
  <c r="K110" i="113"/>
  <c r="J110" i="113"/>
  <c r="I110" i="113"/>
  <c r="H110" i="113"/>
  <c r="E110" i="113"/>
  <c r="A110" i="113"/>
  <c r="S109" i="113"/>
  <c r="R109" i="113"/>
  <c r="Q109" i="113"/>
  <c r="P109" i="113"/>
  <c r="O109" i="113"/>
  <c r="N109" i="113"/>
  <c r="M109" i="113"/>
  <c r="K109" i="113"/>
  <c r="J109" i="113"/>
  <c r="I109" i="113"/>
  <c r="H109" i="113"/>
  <c r="E109" i="113"/>
  <c r="A109" i="113"/>
  <c r="S108" i="113"/>
  <c r="R108" i="113"/>
  <c r="Q108" i="113"/>
  <c r="P108" i="113"/>
  <c r="O108" i="113"/>
  <c r="N108" i="113"/>
  <c r="M108" i="113"/>
  <c r="K108" i="113"/>
  <c r="J108" i="113"/>
  <c r="I108" i="113"/>
  <c r="H108" i="113"/>
  <c r="E108" i="113"/>
  <c r="A108" i="113"/>
  <c r="S107" i="113"/>
  <c r="R107" i="113"/>
  <c r="Q107" i="113"/>
  <c r="P107" i="113"/>
  <c r="O107" i="113"/>
  <c r="N107" i="113"/>
  <c r="M107" i="113"/>
  <c r="K107" i="113"/>
  <c r="J107" i="113"/>
  <c r="I107" i="113"/>
  <c r="H107" i="113"/>
  <c r="E107" i="113"/>
  <c r="A107" i="113"/>
  <c r="S106" i="113"/>
  <c r="R106" i="113"/>
  <c r="Q106" i="113"/>
  <c r="P106" i="113"/>
  <c r="O106" i="113"/>
  <c r="N106" i="113"/>
  <c r="M106" i="113"/>
  <c r="K106" i="113"/>
  <c r="J106" i="113"/>
  <c r="I106" i="113"/>
  <c r="H106" i="113"/>
  <c r="E106" i="113"/>
  <c r="A106" i="113"/>
  <c r="S105" i="113"/>
  <c r="R105" i="113"/>
  <c r="Q105" i="113"/>
  <c r="P105" i="113"/>
  <c r="O105" i="113"/>
  <c r="N105" i="113"/>
  <c r="M105" i="113"/>
  <c r="K105" i="113"/>
  <c r="J105" i="113"/>
  <c r="I105" i="113"/>
  <c r="H105" i="113"/>
  <c r="E105" i="113"/>
  <c r="A105" i="113"/>
  <c r="S104" i="113"/>
  <c r="R104" i="113"/>
  <c r="Q104" i="113"/>
  <c r="P104" i="113"/>
  <c r="O104" i="113"/>
  <c r="N104" i="113"/>
  <c r="M104" i="113"/>
  <c r="K104" i="113"/>
  <c r="J104" i="113"/>
  <c r="I104" i="113"/>
  <c r="H104" i="113"/>
  <c r="E104" i="113"/>
  <c r="A104" i="113"/>
  <c r="S103" i="113"/>
  <c r="R103" i="113"/>
  <c r="Q103" i="113"/>
  <c r="P103" i="113"/>
  <c r="O103" i="113"/>
  <c r="N103" i="113"/>
  <c r="M103" i="113"/>
  <c r="K103" i="113"/>
  <c r="J103" i="113"/>
  <c r="I103" i="113"/>
  <c r="H103" i="113"/>
  <c r="E103" i="113"/>
  <c r="A103" i="113"/>
  <c r="S102" i="113"/>
  <c r="R102" i="113"/>
  <c r="Q102" i="113"/>
  <c r="P102" i="113"/>
  <c r="O102" i="113"/>
  <c r="N102" i="113"/>
  <c r="M102" i="113"/>
  <c r="K102" i="113"/>
  <c r="J102" i="113"/>
  <c r="I102" i="113"/>
  <c r="H102" i="113"/>
  <c r="E102" i="113"/>
  <c r="A102" i="113"/>
  <c r="S101" i="113"/>
  <c r="R101" i="113"/>
  <c r="Q101" i="113"/>
  <c r="P101" i="113"/>
  <c r="O101" i="113"/>
  <c r="N101" i="113"/>
  <c r="M101" i="113"/>
  <c r="K101" i="113"/>
  <c r="J101" i="113"/>
  <c r="I101" i="113"/>
  <c r="H101" i="113"/>
  <c r="E101" i="113"/>
  <c r="A101" i="113"/>
  <c r="S100" i="113"/>
  <c r="R100" i="113"/>
  <c r="Q100" i="113"/>
  <c r="P100" i="113"/>
  <c r="O100" i="113"/>
  <c r="N100" i="113"/>
  <c r="M100" i="113"/>
  <c r="K100" i="113"/>
  <c r="J100" i="113"/>
  <c r="I100" i="113"/>
  <c r="H100" i="113"/>
  <c r="E100" i="113"/>
  <c r="A100" i="113"/>
  <c r="S99" i="113"/>
  <c r="R99" i="113"/>
  <c r="Q99" i="113"/>
  <c r="P99" i="113"/>
  <c r="O99" i="113"/>
  <c r="N99" i="113"/>
  <c r="M99" i="113"/>
  <c r="K99" i="113"/>
  <c r="J99" i="113"/>
  <c r="I99" i="113"/>
  <c r="H99" i="113"/>
  <c r="E99" i="113"/>
  <c r="A99" i="113"/>
  <c r="S98" i="113"/>
  <c r="R98" i="113"/>
  <c r="Q98" i="113"/>
  <c r="P98" i="113"/>
  <c r="O98" i="113"/>
  <c r="N98" i="113"/>
  <c r="M98" i="113"/>
  <c r="K98" i="113"/>
  <c r="J98" i="113"/>
  <c r="I98" i="113"/>
  <c r="H98" i="113"/>
  <c r="E98" i="113"/>
  <c r="A98" i="113"/>
  <c r="S97" i="113"/>
  <c r="R97" i="113"/>
  <c r="Q97" i="113"/>
  <c r="P97" i="113"/>
  <c r="O97" i="113"/>
  <c r="N97" i="113"/>
  <c r="M97" i="113"/>
  <c r="K97" i="113"/>
  <c r="J97" i="113"/>
  <c r="I97" i="113"/>
  <c r="H97" i="113"/>
  <c r="E97" i="113"/>
  <c r="A97" i="113"/>
  <c r="S96" i="113"/>
  <c r="R96" i="113"/>
  <c r="Q96" i="113"/>
  <c r="P96" i="113"/>
  <c r="O96" i="113"/>
  <c r="N96" i="113"/>
  <c r="M96" i="113"/>
  <c r="K96" i="113"/>
  <c r="J96" i="113"/>
  <c r="I96" i="113"/>
  <c r="H96" i="113"/>
  <c r="E96" i="113"/>
  <c r="A96" i="113"/>
  <c r="S95" i="113"/>
  <c r="R95" i="113"/>
  <c r="Q95" i="113"/>
  <c r="P95" i="113"/>
  <c r="O95" i="113"/>
  <c r="N95" i="113"/>
  <c r="M95" i="113"/>
  <c r="K95" i="113"/>
  <c r="J95" i="113"/>
  <c r="I95" i="113"/>
  <c r="H95" i="113"/>
  <c r="E95" i="113"/>
  <c r="A95" i="113"/>
  <c r="S94" i="113"/>
  <c r="R94" i="113"/>
  <c r="Q94" i="113"/>
  <c r="P94" i="113"/>
  <c r="O94" i="113"/>
  <c r="N94" i="113"/>
  <c r="M94" i="113"/>
  <c r="K94" i="113"/>
  <c r="J94" i="113"/>
  <c r="I94" i="113"/>
  <c r="H94" i="113"/>
  <c r="E94" i="113"/>
  <c r="A94" i="113"/>
  <c r="S93" i="113"/>
  <c r="R93" i="113"/>
  <c r="Q93" i="113"/>
  <c r="P93" i="113"/>
  <c r="O93" i="113"/>
  <c r="N93" i="113"/>
  <c r="M93" i="113"/>
  <c r="K93" i="113"/>
  <c r="J93" i="113"/>
  <c r="I93" i="113"/>
  <c r="H93" i="113"/>
  <c r="E93" i="113"/>
  <c r="A93" i="113"/>
  <c r="S92" i="113"/>
  <c r="R92" i="113"/>
  <c r="Q92" i="113"/>
  <c r="P92" i="113"/>
  <c r="O92" i="113"/>
  <c r="N92" i="113"/>
  <c r="M92" i="113"/>
  <c r="K92" i="113"/>
  <c r="J92" i="113"/>
  <c r="I92" i="113"/>
  <c r="H92" i="113"/>
  <c r="E92" i="113"/>
  <c r="A92" i="113"/>
  <c r="S91" i="113"/>
  <c r="R91" i="113"/>
  <c r="Q91" i="113"/>
  <c r="P91" i="113"/>
  <c r="O91" i="113"/>
  <c r="N91" i="113"/>
  <c r="M91" i="113"/>
  <c r="K91" i="113"/>
  <c r="J91" i="113"/>
  <c r="I91" i="113"/>
  <c r="H91" i="113"/>
  <c r="E91" i="113"/>
  <c r="A91" i="113"/>
  <c r="S90" i="113"/>
  <c r="R90" i="113"/>
  <c r="Q90" i="113"/>
  <c r="P90" i="113"/>
  <c r="O90" i="113"/>
  <c r="N90" i="113"/>
  <c r="M90" i="113"/>
  <c r="K90" i="113"/>
  <c r="J90" i="113"/>
  <c r="I90" i="113"/>
  <c r="H90" i="113"/>
  <c r="E90" i="113"/>
  <c r="A90" i="113"/>
  <c r="S89" i="113"/>
  <c r="R89" i="113"/>
  <c r="Q89" i="113"/>
  <c r="P89" i="113"/>
  <c r="O89" i="113"/>
  <c r="N89" i="113"/>
  <c r="M89" i="113"/>
  <c r="K89" i="113"/>
  <c r="J89" i="113"/>
  <c r="I89" i="113"/>
  <c r="H89" i="113"/>
  <c r="E89" i="113"/>
  <c r="A89" i="113"/>
  <c r="S88" i="113"/>
  <c r="R88" i="113"/>
  <c r="Q88" i="113"/>
  <c r="P88" i="113"/>
  <c r="O88" i="113"/>
  <c r="N88" i="113"/>
  <c r="M88" i="113"/>
  <c r="K88" i="113"/>
  <c r="J88" i="113"/>
  <c r="I88" i="113"/>
  <c r="H88" i="113"/>
  <c r="E88" i="113"/>
  <c r="A88" i="113"/>
  <c r="S87" i="113"/>
  <c r="R87" i="113"/>
  <c r="Q87" i="113"/>
  <c r="P87" i="113"/>
  <c r="O87" i="113"/>
  <c r="N87" i="113"/>
  <c r="M87" i="113"/>
  <c r="K87" i="113"/>
  <c r="J87" i="113"/>
  <c r="I87" i="113"/>
  <c r="H87" i="113"/>
  <c r="E87" i="113"/>
  <c r="A87" i="113"/>
  <c r="S86" i="113"/>
  <c r="R86" i="113"/>
  <c r="Q86" i="113"/>
  <c r="P86" i="113"/>
  <c r="O86" i="113"/>
  <c r="N86" i="113"/>
  <c r="M86" i="113"/>
  <c r="K86" i="113"/>
  <c r="J86" i="113"/>
  <c r="I86" i="113"/>
  <c r="H86" i="113"/>
  <c r="E86" i="113"/>
  <c r="A86" i="113"/>
  <c r="S85" i="113"/>
  <c r="R85" i="113"/>
  <c r="Q85" i="113"/>
  <c r="P85" i="113"/>
  <c r="O85" i="113"/>
  <c r="N85" i="113"/>
  <c r="M85" i="113"/>
  <c r="K85" i="113"/>
  <c r="J85" i="113"/>
  <c r="I85" i="113"/>
  <c r="H85" i="113"/>
  <c r="E85" i="113"/>
  <c r="A85" i="113"/>
  <c r="S84" i="113"/>
  <c r="R84" i="113"/>
  <c r="Q84" i="113"/>
  <c r="P84" i="113"/>
  <c r="O84" i="113"/>
  <c r="N84" i="113"/>
  <c r="M84" i="113"/>
  <c r="K84" i="113"/>
  <c r="J84" i="113"/>
  <c r="I84" i="113"/>
  <c r="H84" i="113"/>
  <c r="E84" i="113"/>
  <c r="A84" i="113"/>
  <c r="S83" i="113"/>
  <c r="R83" i="113"/>
  <c r="Q83" i="113"/>
  <c r="P83" i="113"/>
  <c r="O83" i="113"/>
  <c r="N83" i="113"/>
  <c r="M83" i="113"/>
  <c r="K83" i="113"/>
  <c r="J83" i="113"/>
  <c r="I83" i="113"/>
  <c r="H83" i="113"/>
  <c r="E83" i="113"/>
  <c r="A83" i="113"/>
  <c r="S82" i="113"/>
  <c r="R82" i="113"/>
  <c r="Q82" i="113"/>
  <c r="P82" i="113"/>
  <c r="O82" i="113"/>
  <c r="N82" i="113"/>
  <c r="M82" i="113"/>
  <c r="K82" i="113"/>
  <c r="J82" i="113"/>
  <c r="I82" i="113"/>
  <c r="H82" i="113"/>
  <c r="E82" i="113"/>
  <c r="A82" i="113"/>
  <c r="S81" i="113"/>
  <c r="R81" i="113"/>
  <c r="Q81" i="113"/>
  <c r="P81" i="113"/>
  <c r="O81" i="113"/>
  <c r="N81" i="113"/>
  <c r="M81" i="113"/>
  <c r="K81" i="113"/>
  <c r="J81" i="113"/>
  <c r="I81" i="113"/>
  <c r="H81" i="113"/>
  <c r="E81" i="113"/>
  <c r="A81" i="113"/>
  <c r="S80" i="113"/>
  <c r="R80" i="113"/>
  <c r="Q80" i="113"/>
  <c r="P80" i="113"/>
  <c r="O80" i="113"/>
  <c r="N80" i="113"/>
  <c r="M80" i="113"/>
  <c r="K80" i="113"/>
  <c r="J80" i="113"/>
  <c r="I80" i="113"/>
  <c r="H80" i="113"/>
  <c r="E80" i="113"/>
  <c r="A80" i="113"/>
  <c r="S79" i="113"/>
  <c r="R79" i="113"/>
  <c r="Q79" i="113"/>
  <c r="P79" i="113"/>
  <c r="O79" i="113"/>
  <c r="N79" i="113"/>
  <c r="M79" i="113"/>
  <c r="K79" i="113"/>
  <c r="J79" i="113"/>
  <c r="I79" i="113"/>
  <c r="H79" i="113"/>
  <c r="E79" i="113"/>
  <c r="A79" i="113"/>
  <c r="S78" i="113"/>
  <c r="R78" i="113"/>
  <c r="Q78" i="113"/>
  <c r="P78" i="113"/>
  <c r="O78" i="113"/>
  <c r="N78" i="113"/>
  <c r="M78" i="113"/>
  <c r="K78" i="113"/>
  <c r="J78" i="113"/>
  <c r="I78" i="113"/>
  <c r="H78" i="113"/>
  <c r="E78" i="113"/>
  <c r="A78" i="113"/>
  <c r="S77" i="113"/>
  <c r="R77" i="113"/>
  <c r="Q77" i="113"/>
  <c r="P77" i="113"/>
  <c r="O77" i="113"/>
  <c r="N77" i="113"/>
  <c r="M77" i="113"/>
  <c r="K77" i="113"/>
  <c r="J77" i="113"/>
  <c r="I77" i="113"/>
  <c r="H77" i="113"/>
  <c r="E77" i="113"/>
  <c r="A77" i="113"/>
  <c r="S76" i="113"/>
  <c r="R76" i="113"/>
  <c r="Q76" i="113"/>
  <c r="P76" i="113"/>
  <c r="O76" i="113"/>
  <c r="N76" i="113"/>
  <c r="M76" i="113"/>
  <c r="K76" i="113"/>
  <c r="J76" i="113"/>
  <c r="I76" i="113"/>
  <c r="H76" i="113"/>
  <c r="E76" i="113"/>
  <c r="A76" i="113"/>
  <c r="S75" i="113"/>
  <c r="R75" i="113"/>
  <c r="Q75" i="113"/>
  <c r="P75" i="113"/>
  <c r="O75" i="113"/>
  <c r="N75" i="113"/>
  <c r="M75" i="113"/>
  <c r="K75" i="113"/>
  <c r="J75" i="113"/>
  <c r="I75" i="113"/>
  <c r="H75" i="113"/>
  <c r="E75" i="113"/>
  <c r="A75" i="113"/>
  <c r="S74" i="113"/>
  <c r="R74" i="113"/>
  <c r="Q74" i="113"/>
  <c r="P74" i="113"/>
  <c r="O74" i="113"/>
  <c r="N74" i="113"/>
  <c r="M74" i="113"/>
  <c r="K74" i="113"/>
  <c r="J74" i="113"/>
  <c r="I74" i="113"/>
  <c r="H74" i="113"/>
  <c r="E74" i="113"/>
  <c r="A74" i="113"/>
  <c r="S73" i="113"/>
  <c r="R73" i="113"/>
  <c r="Q73" i="113"/>
  <c r="P73" i="113"/>
  <c r="O73" i="113"/>
  <c r="N73" i="113"/>
  <c r="M73" i="113"/>
  <c r="K73" i="113"/>
  <c r="J73" i="113"/>
  <c r="I73" i="113"/>
  <c r="H73" i="113"/>
  <c r="E73" i="113"/>
  <c r="A73" i="113"/>
  <c r="S72" i="113"/>
  <c r="R72" i="113"/>
  <c r="Q72" i="113"/>
  <c r="P72" i="113"/>
  <c r="O72" i="113"/>
  <c r="N72" i="113"/>
  <c r="M72" i="113"/>
  <c r="K72" i="113"/>
  <c r="J72" i="113"/>
  <c r="I72" i="113"/>
  <c r="H72" i="113"/>
  <c r="E72" i="113"/>
  <c r="A72" i="113"/>
  <c r="S71" i="113"/>
  <c r="R71" i="113"/>
  <c r="Q71" i="113"/>
  <c r="P71" i="113"/>
  <c r="O71" i="113"/>
  <c r="N71" i="113"/>
  <c r="M71" i="113"/>
  <c r="K71" i="113"/>
  <c r="J71" i="113"/>
  <c r="I71" i="113"/>
  <c r="H71" i="113"/>
  <c r="E71" i="113"/>
  <c r="A71" i="113"/>
  <c r="S70" i="113"/>
  <c r="R70" i="113"/>
  <c r="Q70" i="113"/>
  <c r="P70" i="113"/>
  <c r="O70" i="113"/>
  <c r="N70" i="113"/>
  <c r="M70" i="113"/>
  <c r="K70" i="113"/>
  <c r="J70" i="113"/>
  <c r="I70" i="113"/>
  <c r="H70" i="113"/>
  <c r="E70" i="113"/>
  <c r="A70" i="113"/>
  <c r="S69" i="113"/>
  <c r="R69" i="113"/>
  <c r="Q69" i="113"/>
  <c r="P69" i="113"/>
  <c r="O69" i="113"/>
  <c r="N69" i="113"/>
  <c r="M69" i="113"/>
  <c r="K69" i="113"/>
  <c r="J69" i="113"/>
  <c r="I69" i="113"/>
  <c r="H69" i="113"/>
  <c r="E69" i="113"/>
  <c r="A69" i="113"/>
  <c r="S68" i="113"/>
  <c r="R68" i="113"/>
  <c r="Q68" i="113"/>
  <c r="P68" i="113"/>
  <c r="O68" i="113"/>
  <c r="N68" i="113"/>
  <c r="M68" i="113"/>
  <c r="K68" i="113"/>
  <c r="J68" i="113"/>
  <c r="I68" i="113"/>
  <c r="H68" i="113"/>
  <c r="E68" i="113"/>
  <c r="A68" i="113"/>
  <c r="S67" i="113"/>
  <c r="R67" i="113"/>
  <c r="Q67" i="113"/>
  <c r="P67" i="113"/>
  <c r="O67" i="113"/>
  <c r="N67" i="113"/>
  <c r="M67" i="113"/>
  <c r="K67" i="113"/>
  <c r="J67" i="113"/>
  <c r="I67" i="113"/>
  <c r="H67" i="113"/>
  <c r="E67" i="113"/>
  <c r="A67" i="113"/>
  <c r="S66" i="113"/>
  <c r="R66" i="113"/>
  <c r="Q66" i="113"/>
  <c r="P66" i="113"/>
  <c r="O66" i="113"/>
  <c r="N66" i="113"/>
  <c r="M66" i="113"/>
  <c r="K66" i="113"/>
  <c r="J66" i="113"/>
  <c r="I66" i="113"/>
  <c r="H66" i="113"/>
  <c r="E66" i="113"/>
  <c r="A66" i="113"/>
  <c r="S65" i="113"/>
  <c r="R65" i="113"/>
  <c r="Q65" i="113"/>
  <c r="P65" i="113"/>
  <c r="O65" i="113"/>
  <c r="N65" i="113"/>
  <c r="M65" i="113"/>
  <c r="K65" i="113"/>
  <c r="J65" i="113"/>
  <c r="I65" i="113"/>
  <c r="H65" i="113"/>
  <c r="E65" i="113"/>
  <c r="A65" i="113"/>
  <c r="S64" i="113"/>
  <c r="R64" i="113"/>
  <c r="Q64" i="113"/>
  <c r="P64" i="113"/>
  <c r="O64" i="113"/>
  <c r="N64" i="113"/>
  <c r="M64" i="113"/>
  <c r="K64" i="113"/>
  <c r="J64" i="113"/>
  <c r="I64" i="113"/>
  <c r="H64" i="113"/>
  <c r="E64" i="113"/>
  <c r="A64" i="113"/>
  <c r="S63" i="113"/>
  <c r="R63" i="113"/>
  <c r="Q63" i="113"/>
  <c r="P63" i="113"/>
  <c r="O63" i="113"/>
  <c r="N63" i="113"/>
  <c r="M63" i="113"/>
  <c r="K63" i="113"/>
  <c r="J63" i="113"/>
  <c r="I63" i="113"/>
  <c r="H63" i="113"/>
  <c r="E63" i="113"/>
  <c r="A63" i="113"/>
  <c r="S62" i="113"/>
  <c r="R62" i="113"/>
  <c r="Q62" i="113"/>
  <c r="P62" i="113"/>
  <c r="O62" i="113"/>
  <c r="N62" i="113"/>
  <c r="M62" i="113"/>
  <c r="K62" i="113"/>
  <c r="J62" i="113"/>
  <c r="I62" i="113"/>
  <c r="H62" i="113"/>
  <c r="E62" i="113"/>
  <c r="A62" i="113"/>
  <c r="S61" i="113"/>
  <c r="R61" i="113"/>
  <c r="Q61" i="113"/>
  <c r="P61" i="113"/>
  <c r="O61" i="113"/>
  <c r="N61" i="113"/>
  <c r="M61" i="113"/>
  <c r="K61" i="113"/>
  <c r="J61" i="113"/>
  <c r="I61" i="113"/>
  <c r="H61" i="113"/>
  <c r="E61" i="113"/>
  <c r="A61" i="113"/>
  <c r="S60" i="113"/>
  <c r="R60" i="113"/>
  <c r="Q60" i="113"/>
  <c r="P60" i="113"/>
  <c r="O60" i="113"/>
  <c r="N60" i="113"/>
  <c r="M60" i="113"/>
  <c r="K60" i="113"/>
  <c r="J60" i="113"/>
  <c r="I60" i="113"/>
  <c r="H60" i="113"/>
  <c r="E60" i="113"/>
  <c r="A60" i="113"/>
  <c r="S59" i="113"/>
  <c r="R59" i="113"/>
  <c r="Q59" i="113"/>
  <c r="P59" i="113"/>
  <c r="O59" i="113"/>
  <c r="N59" i="113"/>
  <c r="M59" i="113"/>
  <c r="K59" i="113"/>
  <c r="J59" i="113"/>
  <c r="I59" i="113"/>
  <c r="H59" i="113"/>
  <c r="E59" i="113"/>
  <c r="A59" i="113"/>
  <c r="S58" i="113"/>
  <c r="R58" i="113"/>
  <c r="Q58" i="113"/>
  <c r="P58" i="113"/>
  <c r="O58" i="113"/>
  <c r="N58" i="113"/>
  <c r="M58" i="113"/>
  <c r="K58" i="113"/>
  <c r="J58" i="113"/>
  <c r="I58" i="113"/>
  <c r="H58" i="113"/>
  <c r="E58" i="113"/>
  <c r="A58" i="113"/>
  <c r="S57" i="113"/>
  <c r="R57" i="113"/>
  <c r="Q57" i="113"/>
  <c r="P57" i="113"/>
  <c r="O57" i="113"/>
  <c r="N57" i="113"/>
  <c r="M57" i="113"/>
  <c r="K57" i="113"/>
  <c r="J57" i="113"/>
  <c r="I57" i="113"/>
  <c r="H57" i="113"/>
  <c r="E57" i="113"/>
  <c r="A57" i="113"/>
  <c r="S56" i="113"/>
  <c r="R56" i="113"/>
  <c r="Q56" i="113"/>
  <c r="P56" i="113"/>
  <c r="O56" i="113"/>
  <c r="N56" i="113"/>
  <c r="M56" i="113"/>
  <c r="K56" i="113"/>
  <c r="J56" i="113"/>
  <c r="I56" i="113"/>
  <c r="H56" i="113"/>
  <c r="E56" i="113"/>
  <c r="A56" i="113"/>
  <c r="S55" i="113"/>
  <c r="R55" i="113"/>
  <c r="Q55" i="113"/>
  <c r="P55" i="113"/>
  <c r="O55" i="113"/>
  <c r="N55" i="113"/>
  <c r="M55" i="113"/>
  <c r="K55" i="113"/>
  <c r="J55" i="113"/>
  <c r="I55" i="113"/>
  <c r="H55" i="113"/>
  <c r="E55" i="113"/>
  <c r="A55" i="113"/>
  <c r="S54" i="113"/>
  <c r="R54" i="113"/>
  <c r="Q54" i="113"/>
  <c r="P54" i="113"/>
  <c r="O54" i="113"/>
  <c r="N54" i="113"/>
  <c r="M54" i="113"/>
  <c r="K54" i="113"/>
  <c r="J54" i="113"/>
  <c r="I54" i="113"/>
  <c r="H54" i="113"/>
  <c r="E54" i="113"/>
  <c r="A54" i="113"/>
  <c r="S53" i="113"/>
  <c r="R53" i="113"/>
  <c r="Q53" i="113"/>
  <c r="P53" i="113"/>
  <c r="O53" i="113"/>
  <c r="N53" i="113"/>
  <c r="M53" i="113"/>
  <c r="K53" i="113"/>
  <c r="J53" i="113"/>
  <c r="I53" i="113"/>
  <c r="H53" i="113"/>
  <c r="E53" i="113"/>
  <c r="A53" i="113"/>
  <c r="S52" i="113"/>
  <c r="R52" i="113"/>
  <c r="Q52" i="113"/>
  <c r="P52" i="113"/>
  <c r="O52" i="113"/>
  <c r="N52" i="113"/>
  <c r="M52" i="113"/>
  <c r="K52" i="113"/>
  <c r="J52" i="113"/>
  <c r="I52" i="113"/>
  <c r="H52" i="113"/>
  <c r="E52" i="113"/>
  <c r="A52" i="113"/>
  <c r="S51" i="113"/>
  <c r="R51" i="113"/>
  <c r="Q51" i="113"/>
  <c r="P51" i="113"/>
  <c r="O51" i="113"/>
  <c r="N51" i="113"/>
  <c r="M51" i="113"/>
  <c r="K51" i="113"/>
  <c r="J51" i="113"/>
  <c r="I51" i="113"/>
  <c r="H51" i="113"/>
  <c r="E51" i="113"/>
  <c r="A51" i="113"/>
  <c r="S50" i="113"/>
  <c r="R50" i="113"/>
  <c r="Q50" i="113"/>
  <c r="P50" i="113"/>
  <c r="O50" i="113"/>
  <c r="N50" i="113"/>
  <c r="M50" i="113"/>
  <c r="K50" i="113"/>
  <c r="J50" i="113"/>
  <c r="I50" i="113"/>
  <c r="H50" i="113"/>
  <c r="E50" i="113"/>
  <c r="A50" i="113"/>
  <c r="S49" i="113"/>
  <c r="R49" i="113"/>
  <c r="Q49" i="113"/>
  <c r="P49" i="113"/>
  <c r="O49" i="113"/>
  <c r="N49" i="113"/>
  <c r="M49" i="113"/>
  <c r="K49" i="113"/>
  <c r="J49" i="113"/>
  <c r="I49" i="113"/>
  <c r="H49" i="113"/>
  <c r="E49" i="113"/>
  <c r="A49" i="113"/>
  <c r="S48" i="113"/>
  <c r="R48" i="113"/>
  <c r="Q48" i="113"/>
  <c r="P48" i="113"/>
  <c r="O48" i="113"/>
  <c r="N48" i="113"/>
  <c r="M48" i="113"/>
  <c r="K48" i="113"/>
  <c r="J48" i="113"/>
  <c r="I48" i="113"/>
  <c r="H48" i="113"/>
  <c r="E48" i="113"/>
  <c r="A48" i="113"/>
  <c r="S47" i="113"/>
  <c r="R47" i="113"/>
  <c r="Q47" i="113"/>
  <c r="P47" i="113"/>
  <c r="O47" i="113"/>
  <c r="N47" i="113"/>
  <c r="M47" i="113"/>
  <c r="K47" i="113"/>
  <c r="J47" i="113"/>
  <c r="I47" i="113"/>
  <c r="H47" i="113"/>
  <c r="E47" i="113"/>
  <c r="A47" i="113"/>
  <c r="S46" i="113"/>
  <c r="R46" i="113"/>
  <c r="Q46" i="113"/>
  <c r="P46" i="113"/>
  <c r="O46" i="113"/>
  <c r="N46" i="113"/>
  <c r="M46" i="113"/>
  <c r="K46" i="113"/>
  <c r="J46" i="113"/>
  <c r="I46" i="113"/>
  <c r="H46" i="113"/>
  <c r="E46" i="113"/>
  <c r="A46" i="113"/>
  <c r="S45" i="113"/>
  <c r="R45" i="113"/>
  <c r="Q45" i="113"/>
  <c r="P45" i="113"/>
  <c r="O45" i="113"/>
  <c r="N45" i="113"/>
  <c r="M45" i="113"/>
  <c r="K45" i="113"/>
  <c r="J45" i="113"/>
  <c r="I45" i="113"/>
  <c r="H45" i="113"/>
  <c r="E45" i="113"/>
  <c r="A45" i="113"/>
  <c r="S44" i="113"/>
  <c r="R44" i="113"/>
  <c r="Q44" i="113"/>
  <c r="P44" i="113"/>
  <c r="O44" i="113"/>
  <c r="N44" i="113"/>
  <c r="M44" i="113"/>
  <c r="K44" i="113"/>
  <c r="J44" i="113"/>
  <c r="I44" i="113"/>
  <c r="H44" i="113"/>
  <c r="E44" i="113"/>
  <c r="A44" i="113"/>
  <c r="S43" i="113"/>
  <c r="R43" i="113"/>
  <c r="Q43" i="113"/>
  <c r="P43" i="113"/>
  <c r="O43" i="113"/>
  <c r="N43" i="113"/>
  <c r="M43" i="113"/>
  <c r="K43" i="113"/>
  <c r="J43" i="113"/>
  <c r="I43" i="113"/>
  <c r="H43" i="113"/>
  <c r="E43" i="113"/>
  <c r="A43" i="113"/>
  <c r="S42" i="113"/>
  <c r="R42" i="113"/>
  <c r="Q42" i="113"/>
  <c r="P42" i="113"/>
  <c r="O42" i="113"/>
  <c r="N42" i="113"/>
  <c r="M42" i="113"/>
  <c r="K42" i="113"/>
  <c r="J42" i="113"/>
  <c r="I42" i="113"/>
  <c r="H42" i="113"/>
  <c r="E42" i="113"/>
  <c r="A42" i="113"/>
  <c r="S41" i="113"/>
  <c r="R41" i="113"/>
  <c r="Q41" i="113"/>
  <c r="P41" i="113"/>
  <c r="O41" i="113"/>
  <c r="N41" i="113"/>
  <c r="M41" i="113"/>
  <c r="K41" i="113"/>
  <c r="J41" i="113"/>
  <c r="I41" i="113"/>
  <c r="H41" i="113"/>
  <c r="E41" i="113"/>
  <c r="A41" i="113"/>
  <c r="S40" i="113"/>
  <c r="R40" i="113"/>
  <c r="Q40" i="113"/>
  <c r="P40" i="113"/>
  <c r="O40" i="113"/>
  <c r="N40" i="113"/>
  <c r="M40" i="113"/>
  <c r="K40" i="113"/>
  <c r="J40" i="113"/>
  <c r="I40" i="113"/>
  <c r="H40" i="113"/>
  <c r="E40" i="113"/>
  <c r="A40" i="113"/>
  <c r="S39" i="113"/>
  <c r="R39" i="113"/>
  <c r="Q39" i="113"/>
  <c r="P39" i="113"/>
  <c r="O39" i="113"/>
  <c r="N39" i="113"/>
  <c r="M39" i="113"/>
  <c r="K39" i="113"/>
  <c r="J39" i="113"/>
  <c r="I39" i="113"/>
  <c r="H39" i="113"/>
  <c r="E39" i="113"/>
  <c r="A39" i="113"/>
  <c r="S38" i="113"/>
  <c r="R38" i="113"/>
  <c r="Q38" i="113"/>
  <c r="P38" i="113"/>
  <c r="O38" i="113"/>
  <c r="N38" i="113"/>
  <c r="M38" i="113"/>
  <c r="K38" i="113"/>
  <c r="J38" i="113"/>
  <c r="I38" i="113"/>
  <c r="H38" i="113"/>
  <c r="E38" i="113"/>
  <c r="A38" i="113"/>
  <c r="S37" i="113"/>
  <c r="R37" i="113"/>
  <c r="Q37" i="113"/>
  <c r="P37" i="113"/>
  <c r="O37" i="113"/>
  <c r="N37" i="113"/>
  <c r="M37" i="113"/>
  <c r="K37" i="113"/>
  <c r="J37" i="113"/>
  <c r="I37" i="113"/>
  <c r="H37" i="113"/>
  <c r="E37" i="113"/>
  <c r="A37" i="113"/>
  <c r="S36" i="113"/>
  <c r="R36" i="113"/>
  <c r="Q36" i="113"/>
  <c r="P36" i="113"/>
  <c r="O36" i="113"/>
  <c r="N36" i="113"/>
  <c r="M36" i="113"/>
  <c r="K36" i="113"/>
  <c r="J36" i="113"/>
  <c r="I36" i="113"/>
  <c r="H36" i="113"/>
  <c r="E36" i="113"/>
  <c r="A36" i="113"/>
  <c r="S35" i="113"/>
  <c r="R35" i="113"/>
  <c r="Q35" i="113"/>
  <c r="P35" i="113"/>
  <c r="O35" i="113"/>
  <c r="N35" i="113"/>
  <c r="M35" i="113"/>
  <c r="K35" i="113"/>
  <c r="J35" i="113"/>
  <c r="I35" i="113"/>
  <c r="H35" i="113"/>
  <c r="E35" i="113"/>
  <c r="A35" i="113"/>
  <c r="S34" i="113"/>
  <c r="R34" i="113"/>
  <c r="Q34" i="113"/>
  <c r="P34" i="113"/>
  <c r="O34" i="113"/>
  <c r="N34" i="113"/>
  <c r="M34" i="113"/>
  <c r="K34" i="113"/>
  <c r="J34" i="113"/>
  <c r="I34" i="113"/>
  <c r="H34" i="113"/>
  <c r="E34" i="113"/>
  <c r="A34" i="113"/>
  <c r="S33" i="113"/>
  <c r="R33" i="113"/>
  <c r="Q33" i="113"/>
  <c r="P33" i="113"/>
  <c r="O33" i="113"/>
  <c r="N33" i="113"/>
  <c r="M33" i="113"/>
  <c r="K33" i="113"/>
  <c r="J33" i="113"/>
  <c r="I33" i="113"/>
  <c r="H33" i="113"/>
  <c r="E33" i="113"/>
  <c r="A33" i="113"/>
  <c r="S32" i="113"/>
  <c r="R32" i="113"/>
  <c r="Q32" i="113"/>
  <c r="P32" i="113"/>
  <c r="O32" i="113"/>
  <c r="N32" i="113"/>
  <c r="M32" i="113"/>
  <c r="K32" i="113"/>
  <c r="J32" i="113"/>
  <c r="I32" i="113"/>
  <c r="H32" i="113"/>
  <c r="E32" i="113"/>
  <c r="A32" i="113"/>
  <c r="S31" i="113"/>
  <c r="R31" i="113"/>
  <c r="Q31" i="113"/>
  <c r="P31" i="113"/>
  <c r="O31" i="113"/>
  <c r="N31" i="113"/>
  <c r="M31" i="113"/>
  <c r="K31" i="113"/>
  <c r="J31" i="113"/>
  <c r="I31" i="113"/>
  <c r="H31" i="113"/>
  <c r="E31" i="113"/>
  <c r="A31" i="113"/>
  <c r="S30" i="113"/>
  <c r="R30" i="113"/>
  <c r="Q30" i="113"/>
  <c r="P30" i="113"/>
  <c r="O30" i="113"/>
  <c r="N30" i="113"/>
  <c r="M30" i="113"/>
  <c r="K30" i="113"/>
  <c r="J30" i="113"/>
  <c r="I30" i="113"/>
  <c r="H30" i="113"/>
  <c r="E30" i="113"/>
  <c r="A30" i="113"/>
  <c r="S29" i="113"/>
  <c r="R29" i="113"/>
  <c r="Q29" i="113"/>
  <c r="P29" i="113"/>
  <c r="O29" i="113"/>
  <c r="N29" i="113"/>
  <c r="M29" i="113"/>
  <c r="K29" i="113"/>
  <c r="J29" i="113"/>
  <c r="I29" i="113"/>
  <c r="H29" i="113"/>
  <c r="E29" i="113"/>
  <c r="A29" i="113"/>
  <c r="S28" i="113"/>
  <c r="R28" i="113"/>
  <c r="Q28" i="113"/>
  <c r="P28" i="113"/>
  <c r="O28" i="113"/>
  <c r="N28" i="113"/>
  <c r="M28" i="113"/>
  <c r="K28" i="113"/>
  <c r="J28" i="113"/>
  <c r="I28" i="113"/>
  <c r="H28" i="113"/>
  <c r="E28" i="113"/>
  <c r="A28" i="113"/>
  <c r="S27" i="113"/>
  <c r="R27" i="113"/>
  <c r="Q27" i="113"/>
  <c r="P27" i="113"/>
  <c r="O27" i="113"/>
  <c r="N27" i="113"/>
  <c r="M27" i="113"/>
  <c r="K27" i="113"/>
  <c r="J27" i="113"/>
  <c r="I27" i="113"/>
  <c r="H27" i="113"/>
  <c r="E27" i="113"/>
  <c r="A27" i="113"/>
  <c r="S26" i="113"/>
  <c r="R26" i="113"/>
  <c r="Q26" i="113"/>
  <c r="P26" i="113"/>
  <c r="O26" i="113"/>
  <c r="N26" i="113"/>
  <c r="M26" i="113"/>
  <c r="K26" i="113"/>
  <c r="J26" i="113"/>
  <c r="I26" i="113"/>
  <c r="H26" i="113"/>
  <c r="E26" i="113"/>
  <c r="A26" i="113"/>
  <c r="S25" i="113"/>
  <c r="R25" i="113"/>
  <c r="Q25" i="113"/>
  <c r="P25" i="113"/>
  <c r="O25" i="113"/>
  <c r="N25" i="113"/>
  <c r="M25" i="113"/>
  <c r="K25" i="113"/>
  <c r="J25" i="113"/>
  <c r="I25" i="113"/>
  <c r="H25" i="113"/>
  <c r="E25" i="113"/>
  <c r="A25" i="113"/>
  <c r="S24" i="113"/>
  <c r="R24" i="113"/>
  <c r="Q24" i="113"/>
  <c r="P24" i="113"/>
  <c r="O24" i="113"/>
  <c r="N24" i="113"/>
  <c r="M24" i="113"/>
  <c r="K24" i="113"/>
  <c r="J24" i="113"/>
  <c r="I24" i="113"/>
  <c r="H24" i="113"/>
  <c r="E24" i="113"/>
  <c r="A24" i="113"/>
  <c r="S23" i="113"/>
  <c r="R23" i="113"/>
  <c r="Q23" i="113"/>
  <c r="P23" i="113"/>
  <c r="O23" i="113"/>
  <c r="N23" i="113"/>
  <c r="M23" i="113"/>
  <c r="K23" i="113"/>
  <c r="J23" i="113"/>
  <c r="I23" i="113"/>
  <c r="H23" i="113"/>
  <c r="E23" i="113"/>
  <c r="A23" i="113"/>
  <c r="S22" i="113"/>
  <c r="R22" i="113"/>
  <c r="Q22" i="113"/>
  <c r="P22" i="113"/>
  <c r="O22" i="113"/>
  <c r="N22" i="113"/>
  <c r="M22" i="113"/>
  <c r="K22" i="113"/>
  <c r="J22" i="113"/>
  <c r="I22" i="113"/>
  <c r="H22" i="113"/>
  <c r="E22" i="113"/>
  <c r="A22" i="113"/>
  <c r="S21" i="113"/>
  <c r="R21" i="113"/>
  <c r="Q21" i="113"/>
  <c r="P21" i="113"/>
  <c r="O21" i="113"/>
  <c r="N21" i="113"/>
  <c r="M21" i="113"/>
  <c r="K21" i="113"/>
  <c r="J21" i="113"/>
  <c r="I21" i="113"/>
  <c r="H21" i="113"/>
  <c r="E21" i="113"/>
  <c r="A21" i="113"/>
  <c r="S20" i="113"/>
  <c r="R20" i="113"/>
  <c r="Q20" i="113"/>
  <c r="P20" i="113"/>
  <c r="O20" i="113"/>
  <c r="N20" i="113"/>
  <c r="M20" i="113"/>
  <c r="K20" i="113"/>
  <c r="J20" i="113"/>
  <c r="I20" i="113"/>
  <c r="H20" i="113"/>
  <c r="E20" i="113"/>
  <c r="A20" i="113"/>
  <c r="S19" i="113"/>
  <c r="R19" i="113"/>
  <c r="Q19" i="113"/>
  <c r="P19" i="113"/>
  <c r="O19" i="113"/>
  <c r="N19" i="113"/>
  <c r="M19" i="113"/>
  <c r="K19" i="113"/>
  <c r="J19" i="113"/>
  <c r="I19" i="113"/>
  <c r="H19" i="113"/>
  <c r="E19" i="113"/>
  <c r="A19" i="113"/>
  <c r="S18" i="113"/>
  <c r="R18" i="113"/>
  <c r="Q18" i="113"/>
  <c r="P18" i="113"/>
  <c r="O18" i="113"/>
  <c r="N18" i="113"/>
  <c r="M18" i="113"/>
  <c r="K18" i="113"/>
  <c r="J18" i="113"/>
  <c r="I18" i="113"/>
  <c r="H18" i="113"/>
  <c r="E18" i="113"/>
  <c r="A18" i="113"/>
  <c r="S17" i="113"/>
  <c r="R17" i="113"/>
  <c r="Q17" i="113"/>
  <c r="P17" i="113"/>
  <c r="O17" i="113"/>
  <c r="N17" i="113"/>
  <c r="M17" i="113"/>
  <c r="K17" i="113"/>
  <c r="J17" i="113"/>
  <c r="I17" i="113"/>
  <c r="H17" i="113"/>
  <c r="E17" i="113"/>
  <c r="A17" i="113"/>
  <c r="S16" i="113"/>
  <c r="R16" i="113"/>
  <c r="Q16" i="113"/>
  <c r="P16" i="113"/>
  <c r="O16" i="113"/>
  <c r="N16" i="113"/>
  <c r="M16" i="113"/>
  <c r="K16" i="113"/>
  <c r="J16" i="113"/>
  <c r="I16" i="113"/>
  <c r="H16" i="113"/>
  <c r="E16" i="113"/>
  <c r="A16" i="113"/>
  <c r="S15" i="113"/>
  <c r="R15" i="113"/>
  <c r="Q15" i="113"/>
  <c r="P15" i="113"/>
  <c r="O15" i="113"/>
  <c r="N15" i="113"/>
  <c r="M15" i="113"/>
  <c r="K15" i="113"/>
  <c r="J15" i="113"/>
  <c r="I15" i="113"/>
  <c r="H15" i="113"/>
  <c r="E15" i="113"/>
  <c r="A15" i="113"/>
  <c r="S14" i="113"/>
  <c r="R14" i="113"/>
  <c r="Q14" i="113"/>
  <c r="P14" i="113"/>
  <c r="O14" i="113"/>
  <c r="N14" i="113"/>
  <c r="M14" i="113"/>
  <c r="K14" i="113"/>
  <c r="J14" i="113"/>
  <c r="I14" i="113"/>
  <c r="H14" i="113"/>
  <c r="E14" i="113"/>
  <c r="A14" i="113"/>
  <c r="S13" i="113"/>
  <c r="R13" i="113"/>
  <c r="Q13" i="113"/>
  <c r="P13" i="113"/>
  <c r="O13" i="113"/>
  <c r="N13" i="113"/>
  <c r="M13" i="113"/>
  <c r="K13" i="113"/>
  <c r="J13" i="113"/>
  <c r="I13" i="113"/>
  <c r="H13" i="113"/>
  <c r="E13" i="113"/>
  <c r="A13" i="113"/>
  <c r="S12" i="113"/>
  <c r="R12" i="113"/>
  <c r="Q12" i="113"/>
  <c r="P12" i="113"/>
  <c r="O12" i="113"/>
  <c r="N12" i="113"/>
  <c r="M12" i="113"/>
  <c r="K12" i="113"/>
  <c r="J12" i="113"/>
  <c r="I12" i="113"/>
  <c r="H12" i="113"/>
  <c r="E12" i="113"/>
  <c r="A12" i="113"/>
  <c r="S11" i="113"/>
  <c r="R11" i="113"/>
  <c r="Q11" i="113"/>
  <c r="P11" i="113"/>
  <c r="O11" i="113"/>
  <c r="N11" i="113"/>
  <c r="M11" i="113"/>
  <c r="K11" i="113"/>
  <c r="J11" i="113"/>
  <c r="I11" i="113"/>
  <c r="H11" i="113"/>
  <c r="E11" i="113"/>
  <c r="A11" i="113"/>
  <c r="S10" i="113"/>
  <c r="R10" i="113"/>
  <c r="Q10" i="113"/>
  <c r="P10" i="113"/>
  <c r="O10" i="113"/>
  <c r="N10" i="113"/>
  <c r="M10" i="113"/>
  <c r="K10" i="113"/>
  <c r="J10" i="113"/>
  <c r="I10" i="113"/>
  <c r="H10" i="113"/>
  <c r="E10" i="113"/>
  <c r="A10" i="113"/>
  <c r="S9" i="113"/>
  <c r="R9" i="113"/>
  <c r="Q9" i="113"/>
  <c r="P9" i="113"/>
  <c r="O9" i="113"/>
  <c r="N9" i="113"/>
  <c r="M9" i="113"/>
  <c r="K9" i="113"/>
  <c r="J9" i="113"/>
  <c r="I9" i="113"/>
  <c r="H9" i="113"/>
  <c r="E9" i="113"/>
  <c r="A9" i="113"/>
  <c r="S8" i="113"/>
  <c r="R8" i="113"/>
  <c r="Q8" i="113"/>
  <c r="P8" i="113"/>
  <c r="O8" i="113"/>
  <c r="N8" i="113"/>
  <c r="M8" i="113"/>
  <c r="K8" i="113"/>
  <c r="J8" i="113"/>
  <c r="I8" i="113"/>
  <c r="H8" i="113"/>
  <c r="E8" i="113"/>
  <c r="A8" i="113"/>
  <c r="S7" i="113"/>
  <c r="R7" i="113"/>
  <c r="Q7" i="113"/>
  <c r="P7" i="113"/>
  <c r="O7" i="113"/>
  <c r="N7" i="113"/>
  <c r="M7" i="113"/>
  <c r="K7" i="113"/>
  <c r="J7" i="113"/>
  <c r="I7" i="113"/>
  <c r="H7" i="113"/>
  <c r="E7" i="113"/>
  <c r="A7" i="113"/>
  <c r="S6" i="113"/>
  <c r="R6" i="113"/>
  <c r="Q6" i="113"/>
  <c r="P6" i="113"/>
  <c r="O6" i="113"/>
  <c r="N6" i="113"/>
  <c r="M6" i="113"/>
  <c r="K6" i="113"/>
  <c r="J6" i="113"/>
  <c r="I6" i="113"/>
  <c r="H6" i="113"/>
  <c r="E6" i="113"/>
  <c r="A6" i="113"/>
  <c r="S5" i="113"/>
  <c r="R5" i="113"/>
  <c r="Q5" i="113"/>
  <c r="P5" i="113"/>
  <c r="O5" i="113"/>
  <c r="N5" i="113"/>
  <c r="M5" i="113"/>
  <c r="K5" i="113"/>
  <c r="J5" i="113"/>
  <c r="I5" i="113"/>
  <c r="H5" i="113"/>
  <c r="E5" i="113"/>
  <c r="A5" i="113"/>
  <c r="S4" i="113"/>
  <c r="R4" i="113"/>
  <c r="Q4" i="113"/>
  <c r="P4" i="113"/>
  <c r="O4" i="113"/>
  <c r="N4" i="113"/>
  <c r="M4" i="113"/>
  <c r="K4" i="113"/>
  <c r="J4" i="113"/>
  <c r="I4" i="113"/>
  <c r="H4" i="113"/>
  <c r="E4" i="113"/>
  <c r="A4" i="113"/>
  <c r="S3" i="113"/>
  <c r="R3" i="113"/>
  <c r="Q3" i="113"/>
  <c r="P3" i="113"/>
  <c r="O3" i="113"/>
  <c r="N3" i="113"/>
  <c r="M3" i="113"/>
  <c r="K3" i="113"/>
  <c r="J3" i="113"/>
  <c r="I3" i="113"/>
  <c r="H3" i="113"/>
  <c r="E3" i="113"/>
  <c r="A3" i="113"/>
  <c r="S2" i="113"/>
  <c r="R2" i="113"/>
  <c r="Q2" i="113"/>
  <c r="P2" i="113"/>
  <c r="O2" i="113"/>
  <c r="N2" i="113"/>
  <c r="M2" i="113"/>
  <c r="K2" i="113"/>
  <c r="J2" i="113"/>
  <c r="I2" i="113"/>
  <c r="H2" i="113"/>
  <c r="E2" i="113"/>
  <c r="A2" i="113"/>
  <c r="B39" i="112"/>
  <c r="B36" i="112"/>
  <c r="B37" i="112"/>
  <c r="B38" i="112"/>
  <c r="B40" i="112"/>
  <c r="B41" i="112"/>
  <c r="B42" i="112"/>
  <c r="B43" i="112"/>
  <c r="C39" i="112"/>
  <c r="C42" i="112"/>
  <c r="F43" i="112"/>
  <c r="C38" i="112"/>
  <c r="C41" i="112"/>
  <c r="F42" i="112"/>
  <c r="C36" i="112"/>
  <c r="C37" i="112"/>
  <c r="C40" i="112"/>
  <c r="F41" i="112"/>
  <c r="F38" i="112"/>
  <c r="F37" i="112"/>
  <c r="F36" i="112"/>
  <c r="B24" i="112"/>
  <c r="C20" i="112"/>
  <c r="C23" i="112"/>
  <c r="C24" i="112"/>
  <c r="D24" i="112"/>
  <c r="D23" i="112"/>
  <c r="G23" i="112"/>
  <c r="E23" i="112"/>
  <c r="H23" i="112"/>
  <c r="I23" i="112"/>
  <c r="J23" i="112"/>
  <c r="F23" i="112"/>
  <c r="I22" i="112"/>
  <c r="J22" i="112"/>
  <c r="F22" i="112"/>
  <c r="I21" i="112"/>
  <c r="J21" i="112"/>
  <c r="F21" i="112"/>
  <c r="D20" i="112"/>
  <c r="G20" i="112"/>
  <c r="E20" i="112"/>
  <c r="H20" i="112"/>
  <c r="I20" i="112"/>
  <c r="J20" i="112"/>
  <c r="F20" i="112"/>
  <c r="I19" i="112"/>
  <c r="J19" i="112"/>
  <c r="F19" i="112"/>
  <c r="I18" i="112"/>
  <c r="J18" i="112"/>
  <c r="F18" i="112"/>
  <c r="I17" i="112"/>
  <c r="J17" i="112"/>
  <c r="F17" i="112"/>
  <c r="B10" i="112"/>
  <c r="S255" i="111"/>
  <c r="R255" i="111"/>
  <c r="Q255" i="111"/>
  <c r="P255" i="111"/>
  <c r="O255" i="111"/>
  <c r="N255" i="111"/>
  <c r="F255" i="111"/>
  <c r="C255" i="111"/>
  <c r="G255" i="111"/>
  <c r="B255" i="111"/>
  <c r="B22" i="110"/>
  <c r="C22" i="110"/>
  <c r="D22" i="110"/>
  <c r="G22" i="110"/>
  <c r="F2" i="111"/>
  <c r="C2" i="111"/>
  <c r="G2" i="111"/>
  <c r="B2" i="111"/>
  <c r="F3" i="111"/>
  <c r="C3" i="111"/>
  <c r="G3" i="111"/>
  <c r="B3" i="111"/>
  <c r="F4" i="111"/>
  <c r="C4" i="111"/>
  <c r="G4" i="111"/>
  <c r="B4" i="111"/>
  <c r="F5" i="111"/>
  <c r="C5" i="111"/>
  <c r="G5" i="111"/>
  <c r="B5" i="111"/>
  <c r="F6" i="111"/>
  <c r="C6" i="111"/>
  <c r="G6" i="111"/>
  <c r="B6" i="111"/>
  <c r="F7" i="111"/>
  <c r="C7" i="111"/>
  <c r="G7" i="111"/>
  <c r="B7" i="111"/>
  <c r="F8" i="111"/>
  <c r="C8" i="111"/>
  <c r="G8" i="111"/>
  <c r="B8" i="111"/>
  <c r="F9" i="111"/>
  <c r="C9" i="111"/>
  <c r="G9" i="111"/>
  <c r="B9" i="111"/>
  <c r="F10" i="111"/>
  <c r="C10" i="111"/>
  <c r="G10" i="111"/>
  <c r="B10" i="111"/>
  <c r="F11" i="111"/>
  <c r="C11" i="111"/>
  <c r="G11" i="111"/>
  <c r="B11" i="111"/>
  <c r="F12" i="111"/>
  <c r="C12" i="111"/>
  <c r="G12" i="111"/>
  <c r="B12" i="111"/>
  <c r="F13" i="111"/>
  <c r="C13" i="111"/>
  <c r="G13" i="111"/>
  <c r="B13" i="111"/>
  <c r="F14" i="111"/>
  <c r="C14" i="111"/>
  <c r="G14" i="111"/>
  <c r="B14" i="111"/>
  <c r="F15" i="111"/>
  <c r="C15" i="111"/>
  <c r="G15" i="111"/>
  <c r="B15" i="111"/>
  <c r="F16" i="111"/>
  <c r="C16" i="111"/>
  <c r="G16" i="111"/>
  <c r="B16" i="111"/>
  <c r="F17" i="111"/>
  <c r="C17" i="111"/>
  <c r="G17" i="111"/>
  <c r="B17" i="111"/>
  <c r="F18" i="111"/>
  <c r="C18" i="111"/>
  <c r="G18" i="111"/>
  <c r="B18" i="111"/>
  <c r="F19" i="111"/>
  <c r="C19" i="111"/>
  <c r="G19" i="111"/>
  <c r="B19" i="111"/>
  <c r="F20" i="111"/>
  <c r="C20" i="111"/>
  <c r="G20" i="111"/>
  <c r="B20" i="111"/>
  <c r="F21" i="111"/>
  <c r="C21" i="111"/>
  <c r="G21" i="111"/>
  <c r="B21" i="111"/>
  <c r="F22" i="111"/>
  <c r="C22" i="111"/>
  <c r="G22" i="111"/>
  <c r="B22" i="111"/>
  <c r="F23" i="111"/>
  <c r="C23" i="111"/>
  <c r="G23" i="111"/>
  <c r="B23" i="111"/>
  <c r="F24" i="111"/>
  <c r="C24" i="111"/>
  <c r="G24" i="111"/>
  <c r="B24" i="111"/>
  <c r="F25" i="111"/>
  <c r="C25" i="111"/>
  <c r="G25" i="111"/>
  <c r="B25" i="111"/>
  <c r="F26" i="111"/>
  <c r="C26" i="111"/>
  <c r="G26" i="111"/>
  <c r="B26" i="111"/>
  <c r="F27" i="111"/>
  <c r="C27" i="111"/>
  <c r="G27" i="111"/>
  <c r="B27" i="111"/>
  <c r="F28" i="111"/>
  <c r="C28" i="111"/>
  <c r="G28" i="111"/>
  <c r="B28" i="111"/>
  <c r="F29" i="111"/>
  <c r="C29" i="111"/>
  <c r="G29" i="111"/>
  <c r="B29" i="111"/>
  <c r="F30" i="111"/>
  <c r="C30" i="111"/>
  <c r="G30" i="111"/>
  <c r="B30" i="111"/>
  <c r="F31" i="111"/>
  <c r="C31" i="111"/>
  <c r="G31" i="111"/>
  <c r="B31" i="111"/>
  <c r="F32" i="111"/>
  <c r="C32" i="111"/>
  <c r="G32" i="111"/>
  <c r="B32" i="111"/>
  <c r="F33" i="111"/>
  <c r="C33" i="111"/>
  <c r="G33" i="111"/>
  <c r="B33" i="111"/>
  <c r="F34" i="111"/>
  <c r="C34" i="111"/>
  <c r="G34" i="111"/>
  <c r="B34" i="111"/>
  <c r="F35" i="111"/>
  <c r="C35" i="111"/>
  <c r="G35" i="111"/>
  <c r="B35" i="111"/>
  <c r="F36" i="111"/>
  <c r="C36" i="111"/>
  <c r="G36" i="111"/>
  <c r="B36" i="111"/>
  <c r="F37" i="111"/>
  <c r="C37" i="111"/>
  <c r="G37" i="111"/>
  <c r="B37" i="111"/>
  <c r="F38" i="111"/>
  <c r="C38" i="111"/>
  <c r="G38" i="111"/>
  <c r="B38" i="111"/>
  <c r="F39" i="111"/>
  <c r="C39" i="111"/>
  <c r="G39" i="111"/>
  <c r="B39" i="111"/>
  <c r="F40" i="111"/>
  <c r="C40" i="111"/>
  <c r="G40" i="111"/>
  <c r="B40" i="111"/>
  <c r="F41" i="111"/>
  <c r="C41" i="111"/>
  <c r="G41" i="111"/>
  <c r="B41" i="111"/>
  <c r="F42" i="111"/>
  <c r="C42" i="111"/>
  <c r="G42" i="111"/>
  <c r="B42" i="111"/>
  <c r="F43" i="111"/>
  <c r="C43" i="111"/>
  <c r="G43" i="111"/>
  <c r="B43" i="111"/>
  <c r="F44" i="111"/>
  <c r="C44" i="111"/>
  <c r="G44" i="111"/>
  <c r="B44" i="111"/>
  <c r="F45" i="111"/>
  <c r="C45" i="111"/>
  <c r="G45" i="111"/>
  <c r="B45" i="111"/>
  <c r="F46" i="111"/>
  <c r="C46" i="111"/>
  <c r="G46" i="111"/>
  <c r="B46" i="111"/>
  <c r="F47" i="111"/>
  <c r="C47" i="111"/>
  <c r="G47" i="111"/>
  <c r="B47" i="111"/>
  <c r="F48" i="111"/>
  <c r="C48" i="111"/>
  <c r="G48" i="111"/>
  <c r="B48" i="111"/>
  <c r="F49" i="111"/>
  <c r="C49" i="111"/>
  <c r="G49" i="111"/>
  <c r="B49" i="111"/>
  <c r="F50" i="111"/>
  <c r="C50" i="111"/>
  <c r="G50" i="111"/>
  <c r="B50" i="111"/>
  <c r="F51" i="111"/>
  <c r="C51" i="111"/>
  <c r="G51" i="111"/>
  <c r="B51" i="111"/>
  <c r="F52" i="111"/>
  <c r="C52" i="111"/>
  <c r="G52" i="111"/>
  <c r="B52" i="111"/>
  <c r="F53" i="111"/>
  <c r="C53" i="111"/>
  <c r="G53" i="111"/>
  <c r="B53" i="111"/>
  <c r="F54" i="111"/>
  <c r="C54" i="111"/>
  <c r="G54" i="111"/>
  <c r="B54" i="111"/>
  <c r="F55" i="111"/>
  <c r="C55" i="111"/>
  <c r="G55" i="111"/>
  <c r="B55" i="111"/>
  <c r="F56" i="111"/>
  <c r="C56" i="111"/>
  <c r="G56" i="111"/>
  <c r="B56" i="111"/>
  <c r="F57" i="111"/>
  <c r="C57" i="111"/>
  <c r="G57" i="111"/>
  <c r="B57" i="111"/>
  <c r="F58" i="111"/>
  <c r="C58" i="111"/>
  <c r="G58" i="111"/>
  <c r="B58" i="111"/>
  <c r="F59" i="111"/>
  <c r="C59" i="111"/>
  <c r="G59" i="111"/>
  <c r="B59" i="111"/>
  <c r="F60" i="111"/>
  <c r="C60" i="111"/>
  <c r="G60" i="111"/>
  <c r="B60" i="111"/>
  <c r="F61" i="111"/>
  <c r="C61" i="111"/>
  <c r="G61" i="111"/>
  <c r="B61" i="111"/>
  <c r="F62" i="111"/>
  <c r="C62" i="111"/>
  <c r="G62" i="111"/>
  <c r="B62" i="111"/>
  <c r="F63" i="111"/>
  <c r="C63" i="111"/>
  <c r="G63" i="111"/>
  <c r="B63" i="111"/>
  <c r="F64" i="111"/>
  <c r="C64" i="111"/>
  <c r="G64" i="111"/>
  <c r="B64" i="111"/>
  <c r="F65" i="111"/>
  <c r="C65" i="111"/>
  <c r="G65" i="111"/>
  <c r="B65" i="111"/>
  <c r="F66" i="111"/>
  <c r="C66" i="111"/>
  <c r="G66" i="111"/>
  <c r="B66" i="111"/>
  <c r="F67" i="111"/>
  <c r="C67" i="111"/>
  <c r="G67" i="111"/>
  <c r="B67" i="111"/>
  <c r="F68" i="111"/>
  <c r="C68" i="111"/>
  <c r="G68" i="111"/>
  <c r="B68" i="111"/>
  <c r="F69" i="111"/>
  <c r="C69" i="111"/>
  <c r="G69" i="111"/>
  <c r="B69" i="111"/>
  <c r="F70" i="111"/>
  <c r="C70" i="111"/>
  <c r="G70" i="111"/>
  <c r="B70" i="111"/>
  <c r="F71" i="111"/>
  <c r="C71" i="111"/>
  <c r="G71" i="111"/>
  <c r="B71" i="111"/>
  <c r="F72" i="111"/>
  <c r="C72" i="111"/>
  <c r="G72" i="111"/>
  <c r="B72" i="111"/>
  <c r="F73" i="111"/>
  <c r="C73" i="111"/>
  <c r="G73" i="111"/>
  <c r="B73" i="111"/>
  <c r="F74" i="111"/>
  <c r="C74" i="111"/>
  <c r="G74" i="111"/>
  <c r="B74" i="111"/>
  <c r="F75" i="111"/>
  <c r="C75" i="111"/>
  <c r="G75" i="111"/>
  <c r="B75" i="111"/>
  <c r="F76" i="111"/>
  <c r="C76" i="111"/>
  <c r="G76" i="111"/>
  <c r="B76" i="111"/>
  <c r="F77" i="111"/>
  <c r="C77" i="111"/>
  <c r="G77" i="111"/>
  <c r="B77" i="111"/>
  <c r="F78" i="111"/>
  <c r="C78" i="111"/>
  <c r="G78" i="111"/>
  <c r="B78" i="111"/>
  <c r="F79" i="111"/>
  <c r="C79" i="111"/>
  <c r="G79" i="111"/>
  <c r="B79" i="111"/>
  <c r="F80" i="111"/>
  <c r="C80" i="111"/>
  <c r="G80" i="111"/>
  <c r="B80" i="111"/>
  <c r="F81" i="111"/>
  <c r="C81" i="111"/>
  <c r="G81" i="111"/>
  <c r="B81" i="111"/>
  <c r="F82" i="111"/>
  <c r="C82" i="111"/>
  <c r="G82" i="111"/>
  <c r="B82" i="111"/>
  <c r="F83" i="111"/>
  <c r="C83" i="111"/>
  <c r="G83" i="111"/>
  <c r="B83" i="111"/>
  <c r="F84" i="111"/>
  <c r="C84" i="111"/>
  <c r="G84" i="111"/>
  <c r="B84" i="111"/>
  <c r="F85" i="111"/>
  <c r="C85" i="111"/>
  <c r="G85" i="111"/>
  <c r="B85" i="111"/>
  <c r="F86" i="111"/>
  <c r="C86" i="111"/>
  <c r="G86" i="111"/>
  <c r="B86" i="111"/>
  <c r="F87" i="111"/>
  <c r="C87" i="111"/>
  <c r="G87" i="111"/>
  <c r="B87" i="111"/>
  <c r="F88" i="111"/>
  <c r="C88" i="111"/>
  <c r="G88" i="111"/>
  <c r="B88" i="111"/>
  <c r="F89" i="111"/>
  <c r="C89" i="111"/>
  <c r="G89" i="111"/>
  <c r="B89" i="111"/>
  <c r="F90" i="111"/>
  <c r="C90" i="111"/>
  <c r="G90" i="111"/>
  <c r="B90" i="111"/>
  <c r="F91" i="111"/>
  <c r="C91" i="111"/>
  <c r="G91" i="111"/>
  <c r="B91" i="111"/>
  <c r="F92" i="111"/>
  <c r="C92" i="111"/>
  <c r="G92" i="111"/>
  <c r="B92" i="111"/>
  <c r="F93" i="111"/>
  <c r="C93" i="111"/>
  <c r="G93" i="111"/>
  <c r="B93" i="111"/>
  <c r="F94" i="111"/>
  <c r="C94" i="111"/>
  <c r="G94" i="111"/>
  <c r="B94" i="111"/>
  <c r="F95" i="111"/>
  <c r="C95" i="111"/>
  <c r="G95" i="111"/>
  <c r="B95" i="111"/>
  <c r="F96" i="111"/>
  <c r="C96" i="111"/>
  <c r="G96" i="111"/>
  <c r="B96" i="111"/>
  <c r="F97" i="111"/>
  <c r="C97" i="111"/>
  <c r="G97" i="111"/>
  <c r="B97" i="111"/>
  <c r="F98" i="111"/>
  <c r="C98" i="111"/>
  <c r="G98" i="111"/>
  <c r="B98" i="111"/>
  <c r="F99" i="111"/>
  <c r="C99" i="111"/>
  <c r="G99" i="111"/>
  <c r="B99" i="111"/>
  <c r="F100" i="111"/>
  <c r="C100" i="111"/>
  <c r="G100" i="111"/>
  <c r="B100" i="111"/>
  <c r="F101" i="111"/>
  <c r="C101" i="111"/>
  <c r="G101" i="111"/>
  <c r="B101" i="111"/>
  <c r="F102" i="111"/>
  <c r="C102" i="111"/>
  <c r="G102" i="111"/>
  <c r="B102" i="111"/>
  <c r="F103" i="111"/>
  <c r="C103" i="111"/>
  <c r="G103" i="111"/>
  <c r="B103" i="111"/>
  <c r="F104" i="111"/>
  <c r="C104" i="111"/>
  <c r="G104" i="111"/>
  <c r="B104" i="111"/>
  <c r="F105" i="111"/>
  <c r="C105" i="111"/>
  <c r="G105" i="111"/>
  <c r="B105" i="111"/>
  <c r="F106" i="111"/>
  <c r="C106" i="111"/>
  <c r="G106" i="111"/>
  <c r="B106" i="111"/>
  <c r="F107" i="111"/>
  <c r="C107" i="111"/>
  <c r="G107" i="111"/>
  <c r="B107" i="111"/>
  <c r="F108" i="111"/>
  <c r="C108" i="111"/>
  <c r="G108" i="111"/>
  <c r="B108" i="111"/>
  <c r="F109" i="111"/>
  <c r="C109" i="111"/>
  <c r="G109" i="111"/>
  <c r="B109" i="111"/>
  <c r="F110" i="111"/>
  <c r="C110" i="111"/>
  <c r="G110" i="111"/>
  <c r="B110" i="111"/>
  <c r="F111" i="111"/>
  <c r="C111" i="111"/>
  <c r="G111" i="111"/>
  <c r="B111" i="111"/>
  <c r="F112" i="111"/>
  <c r="C112" i="111"/>
  <c r="G112" i="111"/>
  <c r="B112" i="111"/>
  <c r="F113" i="111"/>
  <c r="C113" i="111"/>
  <c r="G113" i="111"/>
  <c r="B113" i="111"/>
  <c r="F114" i="111"/>
  <c r="C114" i="111"/>
  <c r="G114" i="111"/>
  <c r="B114" i="111"/>
  <c r="F115" i="111"/>
  <c r="C115" i="111"/>
  <c r="G115" i="111"/>
  <c r="B115" i="111"/>
  <c r="F116" i="111"/>
  <c r="C116" i="111"/>
  <c r="G116" i="111"/>
  <c r="B116" i="111"/>
  <c r="F117" i="111"/>
  <c r="C117" i="111"/>
  <c r="G117" i="111"/>
  <c r="B117" i="111"/>
  <c r="F118" i="111"/>
  <c r="C118" i="111"/>
  <c r="G118" i="111"/>
  <c r="B118" i="111"/>
  <c r="F119" i="111"/>
  <c r="C119" i="111"/>
  <c r="G119" i="111"/>
  <c r="B119" i="111"/>
  <c r="F120" i="111"/>
  <c r="C120" i="111"/>
  <c r="G120" i="111"/>
  <c r="B120" i="111"/>
  <c r="F121" i="111"/>
  <c r="C121" i="111"/>
  <c r="G121" i="111"/>
  <c r="B121" i="111"/>
  <c r="F122" i="111"/>
  <c r="C122" i="111"/>
  <c r="G122" i="111"/>
  <c r="B122" i="111"/>
  <c r="F123" i="111"/>
  <c r="C123" i="111"/>
  <c r="G123" i="111"/>
  <c r="B123" i="111"/>
  <c r="F124" i="111"/>
  <c r="C124" i="111"/>
  <c r="G124" i="111"/>
  <c r="B124" i="111"/>
  <c r="F125" i="111"/>
  <c r="C125" i="111"/>
  <c r="G125" i="111"/>
  <c r="B125" i="111"/>
  <c r="F126" i="111"/>
  <c r="C126" i="111"/>
  <c r="G126" i="111"/>
  <c r="B126" i="111"/>
  <c r="F127" i="111"/>
  <c r="C127" i="111"/>
  <c r="G127" i="111"/>
  <c r="B127" i="111"/>
  <c r="F128" i="111"/>
  <c r="C128" i="111"/>
  <c r="G128" i="111"/>
  <c r="B128" i="111"/>
  <c r="F129" i="111"/>
  <c r="C129" i="111"/>
  <c r="G129" i="111"/>
  <c r="B129" i="111"/>
  <c r="F130" i="111"/>
  <c r="C130" i="111"/>
  <c r="G130" i="111"/>
  <c r="B130" i="111"/>
  <c r="F131" i="111"/>
  <c r="C131" i="111"/>
  <c r="G131" i="111"/>
  <c r="B131" i="111"/>
  <c r="F132" i="111"/>
  <c r="C132" i="111"/>
  <c r="G132" i="111"/>
  <c r="B132" i="111"/>
  <c r="F133" i="111"/>
  <c r="C133" i="111"/>
  <c r="G133" i="111"/>
  <c r="B133" i="111"/>
  <c r="F134" i="111"/>
  <c r="C134" i="111"/>
  <c r="G134" i="111"/>
  <c r="B134" i="111"/>
  <c r="F135" i="111"/>
  <c r="C135" i="111"/>
  <c r="G135" i="111"/>
  <c r="B135" i="111"/>
  <c r="F136" i="111"/>
  <c r="C136" i="111"/>
  <c r="G136" i="111"/>
  <c r="B136" i="111"/>
  <c r="F137" i="111"/>
  <c r="C137" i="111"/>
  <c r="G137" i="111"/>
  <c r="B137" i="111"/>
  <c r="F138" i="111"/>
  <c r="C138" i="111"/>
  <c r="G138" i="111"/>
  <c r="B138" i="111"/>
  <c r="F139" i="111"/>
  <c r="C139" i="111"/>
  <c r="G139" i="111"/>
  <c r="B139" i="111"/>
  <c r="F140" i="111"/>
  <c r="C140" i="111"/>
  <c r="G140" i="111"/>
  <c r="B140" i="111"/>
  <c r="F141" i="111"/>
  <c r="C141" i="111"/>
  <c r="G141" i="111"/>
  <c r="B141" i="111"/>
  <c r="F142" i="111"/>
  <c r="C142" i="111"/>
  <c r="G142" i="111"/>
  <c r="B142" i="111"/>
  <c r="F143" i="111"/>
  <c r="C143" i="111"/>
  <c r="G143" i="111"/>
  <c r="B143" i="111"/>
  <c r="F144" i="111"/>
  <c r="C144" i="111"/>
  <c r="G144" i="111"/>
  <c r="B144" i="111"/>
  <c r="F145" i="111"/>
  <c r="C145" i="111"/>
  <c r="G145" i="111"/>
  <c r="B145" i="111"/>
  <c r="F146" i="111"/>
  <c r="C146" i="111"/>
  <c r="G146" i="111"/>
  <c r="B146" i="111"/>
  <c r="F147" i="111"/>
  <c r="C147" i="111"/>
  <c r="G147" i="111"/>
  <c r="B147" i="111"/>
  <c r="F148" i="111"/>
  <c r="C148" i="111"/>
  <c r="G148" i="111"/>
  <c r="B148" i="111"/>
  <c r="F149" i="111"/>
  <c r="C149" i="111"/>
  <c r="G149" i="111"/>
  <c r="B149" i="111"/>
  <c r="F150" i="111"/>
  <c r="C150" i="111"/>
  <c r="G150" i="111"/>
  <c r="B150" i="111"/>
  <c r="F151" i="111"/>
  <c r="C151" i="111"/>
  <c r="G151" i="111"/>
  <c r="B151" i="111"/>
  <c r="F152" i="111"/>
  <c r="C152" i="111"/>
  <c r="G152" i="111"/>
  <c r="B152" i="111"/>
  <c r="F153" i="111"/>
  <c r="C153" i="111"/>
  <c r="G153" i="111"/>
  <c r="B153" i="111"/>
  <c r="F154" i="111"/>
  <c r="C154" i="111"/>
  <c r="G154" i="111"/>
  <c r="B154" i="111"/>
  <c r="F155" i="111"/>
  <c r="C155" i="111"/>
  <c r="G155" i="111"/>
  <c r="B155" i="111"/>
  <c r="F156" i="111"/>
  <c r="C156" i="111"/>
  <c r="G156" i="111"/>
  <c r="B156" i="111"/>
  <c r="F157" i="111"/>
  <c r="C157" i="111"/>
  <c r="G157" i="111"/>
  <c r="B157" i="111"/>
  <c r="F158" i="111"/>
  <c r="C158" i="111"/>
  <c r="G158" i="111"/>
  <c r="B158" i="111"/>
  <c r="F159" i="111"/>
  <c r="C159" i="111"/>
  <c r="G159" i="111"/>
  <c r="B159" i="111"/>
  <c r="F160" i="111"/>
  <c r="C160" i="111"/>
  <c r="G160" i="111"/>
  <c r="B160" i="111"/>
  <c r="F161" i="111"/>
  <c r="C161" i="111"/>
  <c r="G161" i="111"/>
  <c r="B161" i="111"/>
  <c r="F162" i="111"/>
  <c r="C162" i="111"/>
  <c r="G162" i="111"/>
  <c r="B162" i="111"/>
  <c r="F163" i="111"/>
  <c r="C163" i="111"/>
  <c r="G163" i="111"/>
  <c r="B163" i="111"/>
  <c r="F164" i="111"/>
  <c r="C164" i="111"/>
  <c r="G164" i="111"/>
  <c r="B164" i="111"/>
  <c r="F165" i="111"/>
  <c r="C165" i="111"/>
  <c r="G165" i="111"/>
  <c r="B165" i="111"/>
  <c r="F166" i="111"/>
  <c r="C166" i="111"/>
  <c r="G166" i="111"/>
  <c r="B166" i="111"/>
  <c r="F167" i="111"/>
  <c r="C167" i="111"/>
  <c r="G167" i="111"/>
  <c r="B167" i="111"/>
  <c r="F168" i="111"/>
  <c r="C168" i="111"/>
  <c r="G168" i="111"/>
  <c r="B168" i="111"/>
  <c r="F169" i="111"/>
  <c r="C169" i="111"/>
  <c r="G169" i="111"/>
  <c r="B169" i="111"/>
  <c r="F170" i="111"/>
  <c r="C170" i="111"/>
  <c r="G170" i="111"/>
  <c r="B170" i="111"/>
  <c r="F171" i="111"/>
  <c r="C171" i="111"/>
  <c r="G171" i="111"/>
  <c r="B171" i="111"/>
  <c r="F172" i="111"/>
  <c r="C172" i="111"/>
  <c r="G172" i="111"/>
  <c r="B172" i="111"/>
  <c r="F173" i="111"/>
  <c r="C173" i="111"/>
  <c r="G173" i="111"/>
  <c r="B173" i="111"/>
  <c r="F174" i="111"/>
  <c r="C174" i="111"/>
  <c r="G174" i="111"/>
  <c r="B174" i="111"/>
  <c r="F175" i="111"/>
  <c r="C175" i="111"/>
  <c r="G175" i="111"/>
  <c r="B175" i="111"/>
  <c r="F176" i="111"/>
  <c r="C176" i="111"/>
  <c r="G176" i="111"/>
  <c r="B176" i="111"/>
  <c r="F177" i="111"/>
  <c r="C177" i="111"/>
  <c r="G177" i="111"/>
  <c r="B177" i="111"/>
  <c r="F178" i="111"/>
  <c r="C178" i="111"/>
  <c r="G178" i="111"/>
  <c r="B178" i="111"/>
  <c r="F179" i="111"/>
  <c r="C179" i="111"/>
  <c r="G179" i="111"/>
  <c r="B179" i="111"/>
  <c r="F180" i="111"/>
  <c r="C180" i="111"/>
  <c r="G180" i="111"/>
  <c r="B180" i="111"/>
  <c r="F181" i="111"/>
  <c r="C181" i="111"/>
  <c r="G181" i="111"/>
  <c r="B181" i="111"/>
  <c r="F182" i="111"/>
  <c r="C182" i="111"/>
  <c r="G182" i="111"/>
  <c r="B182" i="111"/>
  <c r="F183" i="111"/>
  <c r="C183" i="111"/>
  <c r="G183" i="111"/>
  <c r="B183" i="111"/>
  <c r="F184" i="111"/>
  <c r="C184" i="111"/>
  <c r="G184" i="111"/>
  <c r="B184" i="111"/>
  <c r="F185" i="111"/>
  <c r="C185" i="111"/>
  <c r="G185" i="111"/>
  <c r="B185" i="111"/>
  <c r="F186" i="111"/>
  <c r="C186" i="111"/>
  <c r="G186" i="111"/>
  <c r="B186" i="111"/>
  <c r="F187" i="111"/>
  <c r="C187" i="111"/>
  <c r="G187" i="111"/>
  <c r="B187" i="111"/>
  <c r="F188" i="111"/>
  <c r="C188" i="111"/>
  <c r="G188" i="111"/>
  <c r="B188" i="111"/>
  <c r="F189" i="111"/>
  <c r="C189" i="111"/>
  <c r="G189" i="111"/>
  <c r="B189" i="111"/>
  <c r="F190" i="111"/>
  <c r="C190" i="111"/>
  <c r="G190" i="111"/>
  <c r="B190" i="111"/>
  <c r="F191" i="111"/>
  <c r="C191" i="111"/>
  <c r="G191" i="111"/>
  <c r="B191" i="111"/>
  <c r="F192" i="111"/>
  <c r="C192" i="111"/>
  <c r="G192" i="111"/>
  <c r="B192" i="111"/>
  <c r="F193" i="111"/>
  <c r="C193" i="111"/>
  <c r="G193" i="111"/>
  <c r="B193" i="111"/>
  <c r="F194" i="111"/>
  <c r="C194" i="111"/>
  <c r="G194" i="111"/>
  <c r="B194" i="111"/>
  <c r="F195" i="111"/>
  <c r="C195" i="111"/>
  <c r="G195" i="111"/>
  <c r="B195" i="111"/>
  <c r="F196" i="111"/>
  <c r="C196" i="111"/>
  <c r="G196" i="111"/>
  <c r="B196" i="111"/>
  <c r="F197" i="111"/>
  <c r="C197" i="111"/>
  <c r="G197" i="111"/>
  <c r="B197" i="111"/>
  <c r="F198" i="111"/>
  <c r="C198" i="111"/>
  <c r="G198" i="111"/>
  <c r="B198" i="111"/>
  <c r="F199" i="111"/>
  <c r="C199" i="111"/>
  <c r="G199" i="111"/>
  <c r="B199" i="111"/>
  <c r="F200" i="111"/>
  <c r="C200" i="111"/>
  <c r="G200" i="111"/>
  <c r="B200" i="111"/>
  <c r="F201" i="111"/>
  <c r="C201" i="111"/>
  <c r="G201" i="111"/>
  <c r="B201" i="111"/>
  <c r="F202" i="111"/>
  <c r="C202" i="111"/>
  <c r="G202" i="111"/>
  <c r="B202" i="111"/>
  <c r="F203" i="111"/>
  <c r="C203" i="111"/>
  <c r="G203" i="111"/>
  <c r="B203" i="111"/>
  <c r="F204" i="111"/>
  <c r="C204" i="111"/>
  <c r="G204" i="111"/>
  <c r="B204" i="111"/>
  <c r="F205" i="111"/>
  <c r="C205" i="111"/>
  <c r="G205" i="111"/>
  <c r="B205" i="111"/>
  <c r="F206" i="111"/>
  <c r="C206" i="111"/>
  <c r="G206" i="111"/>
  <c r="B206" i="111"/>
  <c r="F207" i="111"/>
  <c r="C207" i="111"/>
  <c r="G207" i="111"/>
  <c r="B207" i="111"/>
  <c r="F208" i="111"/>
  <c r="C208" i="111"/>
  <c r="G208" i="111"/>
  <c r="B208" i="111"/>
  <c r="F209" i="111"/>
  <c r="C209" i="111"/>
  <c r="G209" i="111"/>
  <c r="B209" i="111"/>
  <c r="F210" i="111"/>
  <c r="C210" i="111"/>
  <c r="G210" i="111"/>
  <c r="B210" i="111"/>
  <c r="F211" i="111"/>
  <c r="C211" i="111"/>
  <c r="G211" i="111"/>
  <c r="B211" i="111"/>
  <c r="F212" i="111"/>
  <c r="C212" i="111"/>
  <c r="G212" i="111"/>
  <c r="B212" i="111"/>
  <c r="F213" i="111"/>
  <c r="C213" i="111"/>
  <c r="G213" i="111"/>
  <c r="B213" i="111"/>
  <c r="F214" i="111"/>
  <c r="C214" i="111"/>
  <c r="G214" i="111"/>
  <c r="B214" i="111"/>
  <c r="F215" i="111"/>
  <c r="C215" i="111"/>
  <c r="G215" i="111"/>
  <c r="B215" i="111"/>
  <c r="F216" i="111"/>
  <c r="C216" i="111"/>
  <c r="G216" i="111"/>
  <c r="B216" i="111"/>
  <c r="F217" i="111"/>
  <c r="C217" i="111"/>
  <c r="G217" i="111"/>
  <c r="B217" i="111"/>
  <c r="F218" i="111"/>
  <c r="C218" i="111"/>
  <c r="G218" i="111"/>
  <c r="B218" i="111"/>
  <c r="F219" i="111"/>
  <c r="C219" i="111"/>
  <c r="G219" i="111"/>
  <c r="B219" i="111"/>
  <c r="F220" i="111"/>
  <c r="C220" i="111"/>
  <c r="G220" i="111"/>
  <c r="B220" i="111"/>
  <c r="F221" i="111"/>
  <c r="C221" i="111"/>
  <c r="G221" i="111"/>
  <c r="B221" i="111"/>
  <c r="F222" i="111"/>
  <c r="C222" i="111"/>
  <c r="G222" i="111"/>
  <c r="B222" i="111"/>
  <c r="F223" i="111"/>
  <c r="C223" i="111"/>
  <c r="G223" i="111"/>
  <c r="B223" i="111"/>
  <c r="F224" i="111"/>
  <c r="C224" i="111"/>
  <c r="G224" i="111"/>
  <c r="B224" i="111"/>
  <c r="F225" i="111"/>
  <c r="C225" i="111"/>
  <c r="G225" i="111"/>
  <c r="B225" i="111"/>
  <c r="F226" i="111"/>
  <c r="C226" i="111"/>
  <c r="G226" i="111"/>
  <c r="B226" i="111"/>
  <c r="F227" i="111"/>
  <c r="C227" i="111"/>
  <c r="G227" i="111"/>
  <c r="B227" i="111"/>
  <c r="F228" i="111"/>
  <c r="C228" i="111"/>
  <c r="G228" i="111"/>
  <c r="B228" i="111"/>
  <c r="F229" i="111"/>
  <c r="C229" i="111"/>
  <c r="G229" i="111"/>
  <c r="B229" i="111"/>
  <c r="F230" i="111"/>
  <c r="C230" i="111"/>
  <c r="G230" i="111"/>
  <c r="B230" i="111"/>
  <c r="F231" i="111"/>
  <c r="C231" i="111"/>
  <c r="G231" i="111"/>
  <c r="B231" i="111"/>
  <c r="F232" i="111"/>
  <c r="C232" i="111"/>
  <c r="G232" i="111"/>
  <c r="B232" i="111"/>
  <c r="F233" i="111"/>
  <c r="C233" i="111"/>
  <c r="G233" i="111"/>
  <c r="B233" i="111"/>
  <c r="F234" i="111"/>
  <c r="C234" i="111"/>
  <c r="G234" i="111"/>
  <c r="B234" i="111"/>
  <c r="F235" i="111"/>
  <c r="C235" i="111"/>
  <c r="G235" i="111"/>
  <c r="B235" i="111"/>
  <c r="F236" i="111"/>
  <c r="C236" i="111"/>
  <c r="G236" i="111"/>
  <c r="B236" i="111"/>
  <c r="F237" i="111"/>
  <c r="C237" i="111"/>
  <c r="G237" i="111"/>
  <c r="B237" i="111"/>
  <c r="F238" i="111"/>
  <c r="C238" i="111"/>
  <c r="G238" i="111"/>
  <c r="B238" i="111"/>
  <c r="F239" i="111"/>
  <c r="C239" i="111"/>
  <c r="G239" i="111"/>
  <c r="B239" i="111"/>
  <c r="F240" i="111"/>
  <c r="C240" i="111"/>
  <c r="G240" i="111"/>
  <c r="B240" i="111"/>
  <c r="F241" i="111"/>
  <c r="C241" i="111"/>
  <c r="G241" i="111"/>
  <c r="B241" i="111"/>
  <c r="F242" i="111"/>
  <c r="C242" i="111"/>
  <c r="G242" i="111"/>
  <c r="B242" i="111"/>
  <c r="F243" i="111"/>
  <c r="C243" i="111"/>
  <c r="G243" i="111"/>
  <c r="B243" i="111"/>
  <c r="F244" i="111"/>
  <c r="C244" i="111"/>
  <c r="G244" i="111"/>
  <c r="B244" i="111"/>
  <c r="F245" i="111"/>
  <c r="C245" i="111"/>
  <c r="G245" i="111"/>
  <c r="B245" i="111"/>
  <c r="F246" i="111"/>
  <c r="C246" i="111"/>
  <c r="G246" i="111"/>
  <c r="B246" i="111"/>
  <c r="F247" i="111"/>
  <c r="C247" i="111"/>
  <c r="G247" i="111"/>
  <c r="B247" i="111"/>
  <c r="F248" i="111"/>
  <c r="C248" i="111"/>
  <c r="G248" i="111"/>
  <c r="B248" i="111"/>
  <c r="F249" i="111"/>
  <c r="C249" i="111"/>
  <c r="G249" i="111"/>
  <c r="B249" i="111"/>
  <c r="F250" i="111"/>
  <c r="C250" i="111"/>
  <c r="G250" i="111"/>
  <c r="B250" i="111"/>
  <c r="F251" i="111"/>
  <c r="C251" i="111"/>
  <c r="G251" i="111"/>
  <c r="B251" i="111"/>
  <c r="F252" i="111"/>
  <c r="C252" i="111"/>
  <c r="G252" i="111"/>
  <c r="B252" i="111"/>
  <c r="F253" i="111"/>
  <c r="C253" i="111"/>
  <c r="G253" i="111"/>
  <c r="B253" i="111"/>
  <c r="F254" i="111"/>
  <c r="C254" i="111"/>
  <c r="G254" i="111"/>
  <c r="B254" i="111"/>
  <c r="E22" i="110"/>
  <c r="H22" i="110"/>
  <c r="E21" i="110"/>
  <c r="G21" i="110"/>
  <c r="H21" i="110"/>
  <c r="L255" i="111"/>
  <c r="B5" i="110"/>
  <c r="B17" i="110"/>
  <c r="C17" i="110"/>
  <c r="D17" i="110"/>
  <c r="G17" i="110"/>
  <c r="E17" i="110"/>
  <c r="H17" i="110"/>
  <c r="L2" i="111"/>
  <c r="B19" i="110"/>
  <c r="B20" i="110"/>
  <c r="B18" i="110"/>
  <c r="C18" i="110"/>
  <c r="D18" i="110"/>
  <c r="G18" i="110"/>
  <c r="E18" i="110"/>
  <c r="H18" i="110"/>
  <c r="L3" i="111"/>
  <c r="L4" i="111"/>
  <c r="L5" i="111"/>
  <c r="L6" i="111"/>
  <c r="L7" i="111"/>
  <c r="L8" i="111"/>
  <c r="L9" i="111"/>
  <c r="L10" i="111"/>
  <c r="L11" i="111"/>
  <c r="L12" i="111"/>
  <c r="L13" i="111"/>
  <c r="L14" i="111"/>
  <c r="L15" i="111"/>
  <c r="L16" i="111"/>
  <c r="L17" i="111"/>
  <c r="L18" i="111"/>
  <c r="L19" i="111"/>
  <c r="L20" i="111"/>
  <c r="L21" i="111"/>
  <c r="L22" i="111"/>
  <c r="L23" i="111"/>
  <c r="L24" i="111"/>
  <c r="L25" i="111"/>
  <c r="L26" i="111"/>
  <c r="L27" i="111"/>
  <c r="L28" i="111"/>
  <c r="L29" i="111"/>
  <c r="L30" i="111"/>
  <c r="L31" i="111"/>
  <c r="L32" i="111"/>
  <c r="L33" i="111"/>
  <c r="L34" i="111"/>
  <c r="L35" i="111"/>
  <c r="L36" i="111"/>
  <c r="L37" i="111"/>
  <c r="L38" i="111"/>
  <c r="L39" i="111"/>
  <c r="L40" i="111"/>
  <c r="L41" i="111"/>
  <c r="L42" i="111"/>
  <c r="L43" i="111"/>
  <c r="B23" i="110"/>
  <c r="B21" i="110"/>
  <c r="C21" i="110"/>
  <c r="D21" i="110"/>
  <c r="L44" i="111"/>
  <c r="L45" i="111"/>
  <c r="L46" i="111"/>
  <c r="L47" i="111"/>
  <c r="L48" i="111"/>
  <c r="L49" i="111"/>
  <c r="L50" i="111"/>
  <c r="L51" i="111"/>
  <c r="L52" i="111"/>
  <c r="L53" i="111"/>
  <c r="L54" i="111"/>
  <c r="L55" i="111"/>
  <c r="L56" i="111"/>
  <c r="L57" i="111"/>
  <c r="L58" i="111"/>
  <c r="L59" i="111"/>
  <c r="L60" i="111"/>
  <c r="L61" i="111"/>
  <c r="L62" i="111"/>
  <c r="L63" i="111"/>
  <c r="L64" i="111"/>
  <c r="L65" i="111"/>
  <c r="L66" i="111"/>
  <c r="L67" i="111"/>
  <c r="L68" i="111"/>
  <c r="L69" i="111"/>
  <c r="L70" i="111"/>
  <c r="L71" i="111"/>
  <c r="L72" i="111"/>
  <c r="L73" i="111"/>
  <c r="L74" i="111"/>
  <c r="L75" i="111"/>
  <c r="L76" i="111"/>
  <c r="L77" i="111"/>
  <c r="L78" i="111"/>
  <c r="L79" i="111"/>
  <c r="L80" i="111"/>
  <c r="L81" i="111"/>
  <c r="L82" i="111"/>
  <c r="L83" i="111"/>
  <c r="L84" i="111"/>
  <c r="L85" i="111"/>
  <c r="L86" i="111"/>
  <c r="L87" i="111"/>
  <c r="L88" i="111"/>
  <c r="L89" i="111"/>
  <c r="L90" i="111"/>
  <c r="L91" i="111"/>
  <c r="L92" i="111"/>
  <c r="L93" i="111"/>
  <c r="L94" i="111"/>
  <c r="L95" i="111"/>
  <c r="L96" i="111"/>
  <c r="L97" i="111"/>
  <c r="L98" i="111"/>
  <c r="L99" i="111"/>
  <c r="L100" i="111"/>
  <c r="L101" i="111"/>
  <c r="L102" i="111"/>
  <c r="L103" i="111"/>
  <c r="L104" i="111"/>
  <c r="L105" i="111"/>
  <c r="L106" i="111"/>
  <c r="L107" i="111"/>
  <c r="L108" i="111"/>
  <c r="L109" i="111"/>
  <c r="L110" i="111"/>
  <c r="L111" i="111"/>
  <c r="L112" i="111"/>
  <c r="L113" i="111"/>
  <c r="L114" i="111"/>
  <c r="L115" i="111"/>
  <c r="L116" i="111"/>
  <c r="L117" i="111"/>
  <c r="L118" i="111"/>
  <c r="L119" i="111"/>
  <c r="L120" i="111"/>
  <c r="L121" i="111"/>
  <c r="L122" i="111"/>
  <c r="L123" i="111"/>
  <c r="L124" i="111"/>
  <c r="L125" i="111"/>
  <c r="L126" i="111"/>
  <c r="L127" i="111"/>
  <c r="L128" i="111"/>
  <c r="L129" i="111"/>
  <c r="L130" i="111"/>
  <c r="L131" i="111"/>
  <c r="L132" i="111"/>
  <c r="L133" i="111"/>
  <c r="L134" i="111"/>
  <c r="L135" i="111"/>
  <c r="L136" i="111"/>
  <c r="L137" i="111"/>
  <c r="C19" i="110"/>
  <c r="D19" i="110"/>
  <c r="G19" i="110"/>
  <c r="E19" i="110"/>
  <c r="H19" i="110"/>
  <c r="L138" i="111"/>
  <c r="L139" i="111"/>
  <c r="L140" i="111"/>
  <c r="L141" i="111"/>
  <c r="L142" i="111"/>
  <c r="L143" i="111"/>
  <c r="L144" i="111"/>
  <c r="L145" i="111"/>
  <c r="L146" i="111"/>
  <c r="L147" i="111"/>
  <c r="L148" i="111"/>
  <c r="L149" i="111"/>
  <c r="L150" i="111"/>
  <c r="L151" i="111"/>
  <c r="L152" i="111"/>
  <c r="L153" i="111"/>
  <c r="L154" i="111"/>
  <c r="L155" i="111"/>
  <c r="L156" i="111"/>
  <c r="L157" i="111"/>
  <c r="L158" i="111"/>
  <c r="L159" i="111"/>
  <c r="L160" i="111"/>
  <c r="L161" i="111"/>
  <c r="L162" i="111"/>
  <c r="L163" i="111"/>
  <c r="L164" i="111"/>
  <c r="L165" i="111"/>
  <c r="L166" i="111"/>
  <c r="L167" i="111"/>
  <c r="L168" i="111"/>
  <c r="L169" i="111"/>
  <c r="L170" i="111"/>
  <c r="L171" i="111"/>
  <c r="L172" i="111"/>
  <c r="L173" i="111"/>
  <c r="L174" i="111"/>
  <c r="L175" i="111"/>
  <c r="L176" i="111"/>
  <c r="L177" i="111"/>
  <c r="L178" i="111"/>
  <c r="L179" i="111"/>
  <c r="L180" i="111"/>
  <c r="L181" i="111"/>
  <c r="L182" i="111"/>
  <c r="L183" i="111"/>
  <c r="L184" i="111"/>
  <c r="L185" i="111"/>
  <c r="L186" i="111"/>
  <c r="L187" i="111"/>
  <c r="L188" i="111"/>
  <c r="L189" i="111"/>
  <c r="L190" i="111"/>
  <c r="L191" i="111"/>
  <c r="L192" i="111"/>
  <c r="L193" i="111"/>
  <c r="L194" i="111"/>
  <c r="L195" i="111"/>
  <c r="L196" i="111"/>
  <c r="L197" i="111"/>
  <c r="L198" i="111"/>
  <c r="L199" i="111"/>
  <c r="L200" i="111"/>
  <c r="L201" i="111"/>
  <c r="L202" i="111"/>
  <c r="L203" i="111"/>
  <c r="L204" i="111"/>
  <c r="L205" i="111"/>
  <c r="L206" i="111"/>
  <c r="L207" i="111"/>
  <c r="L208" i="111"/>
  <c r="L209" i="111"/>
  <c r="L210" i="111"/>
  <c r="L211" i="111"/>
  <c r="L212" i="111"/>
  <c r="L213" i="111"/>
  <c r="L214" i="111"/>
  <c r="L215" i="111"/>
  <c r="L216" i="111"/>
  <c r="L217" i="111"/>
  <c r="L218" i="111"/>
  <c r="L219" i="111"/>
  <c r="L220" i="111"/>
  <c r="L221" i="111"/>
  <c r="L222" i="111"/>
  <c r="L223" i="111"/>
  <c r="L224" i="111"/>
  <c r="L225" i="111"/>
  <c r="L226" i="111"/>
  <c r="L227" i="111"/>
  <c r="L228" i="111"/>
  <c r="L229" i="111"/>
  <c r="L230" i="111"/>
  <c r="L231" i="111"/>
  <c r="L232" i="111"/>
  <c r="L233" i="111"/>
  <c r="L234" i="111"/>
  <c r="L235" i="111"/>
  <c r="L236" i="111"/>
  <c r="L237" i="111"/>
  <c r="L238" i="111"/>
  <c r="L239" i="111"/>
  <c r="L240" i="111"/>
  <c r="L241" i="111"/>
  <c r="L242" i="111"/>
  <c r="L243" i="111"/>
  <c r="L244" i="111"/>
  <c r="L245" i="111"/>
  <c r="L246" i="111"/>
  <c r="L247" i="111"/>
  <c r="L248" i="111"/>
  <c r="L249" i="111"/>
  <c r="L250" i="111"/>
  <c r="L251" i="111"/>
  <c r="L252" i="111"/>
  <c r="L253" i="111"/>
  <c r="L254" i="111"/>
  <c r="M255" i="111"/>
  <c r="K255" i="111"/>
  <c r="J255" i="111"/>
  <c r="I255" i="111"/>
  <c r="H255" i="111"/>
  <c r="E255" i="111"/>
  <c r="A255" i="111"/>
  <c r="S254" i="111"/>
  <c r="R254" i="111"/>
  <c r="Q254" i="111"/>
  <c r="P254" i="111"/>
  <c r="O254" i="111"/>
  <c r="N254" i="111"/>
  <c r="M254" i="111"/>
  <c r="K254" i="111"/>
  <c r="J254" i="111"/>
  <c r="I254" i="111"/>
  <c r="H254" i="111"/>
  <c r="E254" i="111"/>
  <c r="A254" i="111"/>
  <c r="S253" i="111"/>
  <c r="R253" i="111"/>
  <c r="Q253" i="111"/>
  <c r="P253" i="111"/>
  <c r="O253" i="111"/>
  <c r="N253" i="111"/>
  <c r="M253" i="111"/>
  <c r="K253" i="111"/>
  <c r="J253" i="111"/>
  <c r="I253" i="111"/>
  <c r="H253" i="111"/>
  <c r="E253" i="111"/>
  <c r="A253" i="111"/>
  <c r="S252" i="111"/>
  <c r="R252" i="111"/>
  <c r="Q252" i="111"/>
  <c r="P252" i="111"/>
  <c r="O252" i="111"/>
  <c r="N252" i="111"/>
  <c r="M252" i="111"/>
  <c r="K252" i="111"/>
  <c r="J252" i="111"/>
  <c r="I252" i="111"/>
  <c r="H252" i="111"/>
  <c r="E252" i="111"/>
  <c r="A252" i="111"/>
  <c r="S251" i="111"/>
  <c r="R251" i="111"/>
  <c r="Q251" i="111"/>
  <c r="P251" i="111"/>
  <c r="O251" i="111"/>
  <c r="N251" i="111"/>
  <c r="M251" i="111"/>
  <c r="K251" i="111"/>
  <c r="J251" i="111"/>
  <c r="I251" i="111"/>
  <c r="H251" i="111"/>
  <c r="E251" i="111"/>
  <c r="A251" i="111"/>
  <c r="S250" i="111"/>
  <c r="R250" i="111"/>
  <c r="Q250" i="111"/>
  <c r="P250" i="111"/>
  <c r="O250" i="111"/>
  <c r="N250" i="111"/>
  <c r="M250" i="111"/>
  <c r="K250" i="111"/>
  <c r="J250" i="111"/>
  <c r="I250" i="111"/>
  <c r="H250" i="111"/>
  <c r="E250" i="111"/>
  <c r="A250" i="111"/>
  <c r="S249" i="111"/>
  <c r="R249" i="111"/>
  <c r="Q249" i="111"/>
  <c r="P249" i="111"/>
  <c r="O249" i="111"/>
  <c r="N249" i="111"/>
  <c r="M249" i="111"/>
  <c r="K249" i="111"/>
  <c r="J249" i="111"/>
  <c r="I249" i="111"/>
  <c r="H249" i="111"/>
  <c r="E249" i="111"/>
  <c r="A249" i="111"/>
  <c r="S248" i="111"/>
  <c r="R248" i="111"/>
  <c r="Q248" i="111"/>
  <c r="P248" i="111"/>
  <c r="O248" i="111"/>
  <c r="N248" i="111"/>
  <c r="M248" i="111"/>
  <c r="K248" i="111"/>
  <c r="J248" i="111"/>
  <c r="I248" i="111"/>
  <c r="H248" i="111"/>
  <c r="E248" i="111"/>
  <c r="A248" i="111"/>
  <c r="S247" i="111"/>
  <c r="R247" i="111"/>
  <c r="Q247" i="111"/>
  <c r="P247" i="111"/>
  <c r="O247" i="111"/>
  <c r="N247" i="111"/>
  <c r="M247" i="111"/>
  <c r="K247" i="111"/>
  <c r="J247" i="111"/>
  <c r="I247" i="111"/>
  <c r="H247" i="111"/>
  <c r="E247" i="111"/>
  <c r="A247" i="111"/>
  <c r="S246" i="111"/>
  <c r="R246" i="111"/>
  <c r="Q246" i="111"/>
  <c r="P246" i="111"/>
  <c r="O246" i="111"/>
  <c r="N246" i="111"/>
  <c r="M246" i="111"/>
  <c r="K246" i="111"/>
  <c r="J246" i="111"/>
  <c r="I246" i="111"/>
  <c r="H246" i="111"/>
  <c r="E246" i="111"/>
  <c r="A246" i="111"/>
  <c r="S245" i="111"/>
  <c r="R245" i="111"/>
  <c r="Q245" i="111"/>
  <c r="P245" i="111"/>
  <c r="O245" i="111"/>
  <c r="N245" i="111"/>
  <c r="M245" i="111"/>
  <c r="K245" i="111"/>
  <c r="J245" i="111"/>
  <c r="I245" i="111"/>
  <c r="H245" i="111"/>
  <c r="E245" i="111"/>
  <c r="A245" i="111"/>
  <c r="S244" i="111"/>
  <c r="R244" i="111"/>
  <c r="Q244" i="111"/>
  <c r="P244" i="111"/>
  <c r="O244" i="111"/>
  <c r="N244" i="111"/>
  <c r="M244" i="111"/>
  <c r="K244" i="111"/>
  <c r="J244" i="111"/>
  <c r="I244" i="111"/>
  <c r="H244" i="111"/>
  <c r="E244" i="111"/>
  <c r="A244" i="111"/>
  <c r="S243" i="111"/>
  <c r="R243" i="111"/>
  <c r="Q243" i="111"/>
  <c r="P243" i="111"/>
  <c r="O243" i="111"/>
  <c r="N243" i="111"/>
  <c r="M243" i="111"/>
  <c r="K243" i="111"/>
  <c r="J243" i="111"/>
  <c r="I243" i="111"/>
  <c r="H243" i="111"/>
  <c r="E243" i="111"/>
  <c r="A243" i="111"/>
  <c r="S242" i="111"/>
  <c r="R242" i="111"/>
  <c r="Q242" i="111"/>
  <c r="P242" i="111"/>
  <c r="O242" i="111"/>
  <c r="N242" i="111"/>
  <c r="M242" i="111"/>
  <c r="K242" i="111"/>
  <c r="J242" i="111"/>
  <c r="I242" i="111"/>
  <c r="H242" i="111"/>
  <c r="E242" i="111"/>
  <c r="A242" i="111"/>
  <c r="S241" i="111"/>
  <c r="R241" i="111"/>
  <c r="Q241" i="111"/>
  <c r="P241" i="111"/>
  <c r="O241" i="111"/>
  <c r="N241" i="111"/>
  <c r="M241" i="111"/>
  <c r="K241" i="111"/>
  <c r="J241" i="111"/>
  <c r="I241" i="111"/>
  <c r="H241" i="111"/>
  <c r="E241" i="111"/>
  <c r="A241" i="111"/>
  <c r="S240" i="111"/>
  <c r="R240" i="111"/>
  <c r="Q240" i="111"/>
  <c r="P240" i="111"/>
  <c r="O240" i="111"/>
  <c r="N240" i="111"/>
  <c r="M240" i="111"/>
  <c r="K240" i="111"/>
  <c r="J240" i="111"/>
  <c r="I240" i="111"/>
  <c r="H240" i="111"/>
  <c r="E240" i="111"/>
  <c r="A240" i="111"/>
  <c r="S239" i="111"/>
  <c r="R239" i="111"/>
  <c r="Q239" i="111"/>
  <c r="P239" i="111"/>
  <c r="O239" i="111"/>
  <c r="N239" i="111"/>
  <c r="M239" i="111"/>
  <c r="K239" i="111"/>
  <c r="J239" i="111"/>
  <c r="I239" i="111"/>
  <c r="H239" i="111"/>
  <c r="E239" i="111"/>
  <c r="A239" i="111"/>
  <c r="S238" i="111"/>
  <c r="R238" i="111"/>
  <c r="Q238" i="111"/>
  <c r="P238" i="111"/>
  <c r="O238" i="111"/>
  <c r="N238" i="111"/>
  <c r="M238" i="111"/>
  <c r="K238" i="111"/>
  <c r="J238" i="111"/>
  <c r="I238" i="111"/>
  <c r="H238" i="111"/>
  <c r="E238" i="111"/>
  <c r="A238" i="111"/>
  <c r="S237" i="111"/>
  <c r="R237" i="111"/>
  <c r="Q237" i="111"/>
  <c r="P237" i="111"/>
  <c r="O237" i="111"/>
  <c r="N237" i="111"/>
  <c r="M237" i="111"/>
  <c r="K237" i="111"/>
  <c r="J237" i="111"/>
  <c r="I237" i="111"/>
  <c r="H237" i="111"/>
  <c r="E237" i="111"/>
  <c r="A237" i="111"/>
  <c r="S236" i="111"/>
  <c r="R236" i="111"/>
  <c r="Q236" i="111"/>
  <c r="P236" i="111"/>
  <c r="O236" i="111"/>
  <c r="N236" i="111"/>
  <c r="M236" i="111"/>
  <c r="K236" i="111"/>
  <c r="J236" i="111"/>
  <c r="I236" i="111"/>
  <c r="H236" i="111"/>
  <c r="E236" i="111"/>
  <c r="A236" i="111"/>
  <c r="S235" i="111"/>
  <c r="R235" i="111"/>
  <c r="Q235" i="111"/>
  <c r="P235" i="111"/>
  <c r="O235" i="111"/>
  <c r="N235" i="111"/>
  <c r="M235" i="111"/>
  <c r="K235" i="111"/>
  <c r="J235" i="111"/>
  <c r="I235" i="111"/>
  <c r="H235" i="111"/>
  <c r="E235" i="111"/>
  <c r="A235" i="111"/>
  <c r="S234" i="111"/>
  <c r="R234" i="111"/>
  <c r="Q234" i="111"/>
  <c r="P234" i="111"/>
  <c r="O234" i="111"/>
  <c r="N234" i="111"/>
  <c r="M234" i="111"/>
  <c r="K234" i="111"/>
  <c r="J234" i="111"/>
  <c r="I234" i="111"/>
  <c r="H234" i="111"/>
  <c r="E234" i="111"/>
  <c r="A234" i="111"/>
  <c r="S233" i="111"/>
  <c r="R233" i="111"/>
  <c r="Q233" i="111"/>
  <c r="P233" i="111"/>
  <c r="O233" i="111"/>
  <c r="N233" i="111"/>
  <c r="M233" i="111"/>
  <c r="K233" i="111"/>
  <c r="J233" i="111"/>
  <c r="I233" i="111"/>
  <c r="H233" i="111"/>
  <c r="E233" i="111"/>
  <c r="A233" i="111"/>
  <c r="S232" i="111"/>
  <c r="R232" i="111"/>
  <c r="Q232" i="111"/>
  <c r="P232" i="111"/>
  <c r="O232" i="111"/>
  <c r="N232" i="111"/>
  <c r="M232" i="111"/>
  <c r="K232" i="111"/>
  <c r="J232" i="111"/>
  <c r="I232" i="111"/>
  <c r="H232" i="111"/>
  <c r="E232" i="111"/>
  <c r="A232" i="111"/>
  <c r="S231" i="111"/>
  <c r="R231" i="111"/>
  <c r="Q231" i="111"/>
  <c r="P231" i="111"/>
  <c r="O231" i="111"/>
  <c r="N231" i="111"/>
  <c r="M231" i="111"/>
  <c r="K231" i="111"/>
  <c r="J231" i="111"/>
  <c r="I231" i="111"/>
  <c r="H231" i="111"/>
  <c r="E231" i="111"/>
  <c r="A231" i="111"/>
  <c r="S230" i="111"/>
  <c r="R230" i="111"/>
  <c r="Q230" i="111"/>
  <c r="P230" i="111"/>
  <c r="O230" i="111"/>
  <c r="N230" i="111"/>
  <c r="M230" i="111"/>
  <c r="K230" i="111"/>
  <c r="J230" i="111"/>
  <c r="I230" i="111"/>
  <c r="H230" i="111"/>
  <c r="E230" i="111"/>
  <c r="A230" i="111"/>
  <c r="S229" i="111"/>
  <c r="R229" i="111"/>
  <c r="Q229" i="111"/>
  <c r="P229" i="111"/>
  <c r="O229" i="111"/>
  <c r="N229" i="111"/>
  <c r="M229" i="111"/>
  <c r="K229" i="111"/>
  <c r="J229" i="111"/>
  <c r="I229" i="111"/>
  <c r="H229" i="111"/>
  <c r="E229" i="111"/>
  <c r="A229" i="111"/>
  <c r="S228" i="111"/>
  <c r="R228" i="111"/>
  <c r="Q228" i="111"/>
  <c r="P228" i="111"/>
  <c r="O228" i="111"/>
  <c r="N228" i="111"/>
  <c r="M228" i="111"/>
  <c r="K228" i="111"/>
  <c r="J228" i="111"/>
  <c r="I228" i="111"/>
  <c r="H228" i="111"/>
  <c r="E228" i="111"/>
  <c r="A228" i="111"/>
  <c r="S227" i="111"/>
  <c r="R227" i="111"/>
  <c r="Q227" i="111"/>
  <c r="P227" i="111"/>
  <c r="O227" i="111"/>
  <c r="N227" i="111"/>
  <c r="M227" i="111"/>
  <c r="K227" i="111"/>
  <c r="J227" i="111"/>
  <c r="I227" i="111"/>
  <c r="H227" i="111"/>
  <c r="E227" i="111"/>
  <c r="A227" i="111"/>
  <c r="S226" i="111"/>
  <c r="R226" i="111"/>
  <c r="Q226" i="111"/>
  <c r="P226" i="111"/>
  <c r="O226" i="111"/>
  <c r="N226" i="111"/>
  <c r="M226" i="111"/>
  <c r="K226" i="111"/>
  <c r="J226" i="111"/>
  <c r="I226" i="111"/>
  <c r="H226" i="111"/>
  <c r="E226" i="111"/>
  <c r="A226" i="111"/>
  <c r="S225" i="111"/>
  <c r="R225" i="111"/>
  <c r="Q225" i="111"/>
  <c r="P225" i="111"/>
  <c r="O225" i="111"/>
  <c r="N225" i="111"/>
  <c r="M225" i="111"/>
  <c r="K225" i="111"/>
  <c r="J225" i="111"/>
  <c r="I225" i="111"/>
  <c r="H225" i="111"/>
  <c r="E225" i="111"/>
  <c r="A225" i="111"/>
  <c r="S224" i="111"/>
  <c r="R224" i="111"/>
  <c r="Q224" i="111"/>
  <c r="P224" i="111"/>
  <c r="O224" i="111"/>
  <c r="N224" i="111"/>
  <c r="M224" i="111"/>
  <c r="K224" i="111"/>
  <c r="J224" i="111"/>
  <c r="I224" i="111"/>
  <c r="H224" i="111"/>
  <c r="E224" i="111"/>
  <c r="A224" i="111"/>
  <c r="S223" i="111"/>
  <c r="R223" i="111"/>
  <c r="Q223" i="111"/>
  <c r="P223" i="111"/>
  <c r="O223" i="111"/>
  <c r="N223" i="111"/>
  <c r="M223" i="111"/>
  <c r="K223" i="111"/>
  <c r="J223" i="111"/>
  <c r="I223" i="111"/>
  <c r="H223" i="111"/>
  <c r="E223" i="111"/>
  <c r="A223" i="111"/>
  <c r="S222" i="111"/>
  <c r="R222" i="111"/>
  <c r="Q222" i="111"/>
  <c r="P222" i="111"/>
  <c r="O222" i="111"/>
  <c r="N222" i="111"/>
  <c r="M222" i="111"/>
  <c r="K222" i="111"/>
  <c r="J222" i="111"/>
  <c r="I222" i="111"/>
  <c r="H222" i="111"/>
  <c r="E222" i="111"/>
  <c r="A222" i="111"/>
  <c r="S221" i="111"/>
  <c r="R221" i="111"/>
  <c r="Q221" i="111"/>
  <c r="P221" i="111"/>
  <c r="O221" i="111"/>
  <c r="N221" i="111"/>
  <c r="M221" i="111"/>
  <c r="K221" i="111"/>
  <c r="J221" i="111"/>
  <c r="I221" i="111"/>
  <c r="H221" i="111"/>
  <c r="E221" i="111"/>
  <c r="A221" i="111"/>
  <c r="S220" i="111"/>
  <c r="R220" i="111"/>
  <c r="Q220" i="111"/>
  <c r="P220" i="111"/>
  <c r="O220" i="111"/>
  <c r="N220" i="111"/>
  <c r="M220" i="111"/>
  <c r="K220" i="111"/>
  <c r="J220" i="111"/>
  <c r="I220" i="111"/>
  <c r="H220" i="111"/>
  <c r="E220" i="111"/>
  <c r="A220" i="111"/>
  <c r="S219" i="111"/>
  <c r="R219" i="111"/>
  <c r="Q219" i="111"/>
  <c r="P219" i="111"/>
  <c r="O219" i="111"/>
  <c r="N219" i="111"/>
  <c r="M219" i="111"/>
  <c r="K219" i="111"/>
  <c r="J219" i="111"/>
  <c r="I219" i="111"/>
  <c r="H219" i="111"/>
  <c r="E219" i="111"/>
  <c r="A219" i="111"/>
  <c r="S218" i="111"/>
  <c r="R218" i="111"/>
  <c r="Q218" i="111"/>
  <c r="P218" i="111"/>
  <c r="O218" i="111"/>
  <c r="N218" i="111"/>
  <c r="M218" i="111"/>
  <c r="K218" i="111"/>
  <c r="J218" i="111"/>
  <c r="I218" i="111"/>
  <c r="H218" i="111"/>
  <c r="E218" i="111"/>
  <c r="A218" i="111"/>
  <c r="S217" i="111"/>
  <c r="R217" i="111"/>
  <c r="Q217" i="111"/>
  <c r="P217" i="111"/>
  <c r="O217" i="111"/>
  <c r="N217" i="111"/>
  <c r="M217" i="111"/>
  <c r="K217" i="111"/>
  <c r="J217" i="111"/>
  <c r="I217" i="111"/>
  <c r="H217" i="111"/>
  <c r="E217" i="111"/>
  <c r="A217" i="111"/>
  <c r="S216" i="111"/>
  <c r="R216" i="111"/>
  <c r="Q216" i="111"/>
  <c r="P216" i="111"/>
  <c r="O216" i="111"/>
  <c r="N216" i="111"/>
  <c r="M216" i="111"/>
  <c r="K216" i="111"/>
  <c r="J216" i="111"/>
  <c r="I216" i="111"/>
  <c r="H216" i="111"/>
  <c r="E216" i="111"/>
  <c r="A216" i="111"/>
  <c r="S215" i="111"/>
  <c r="R215" i="111"/>
  <c r="Q215" i="111"/>
  <c r="P215" i="111"/>
  <c r="O215" i="111"/>
  <c r="N215" i="111"/>
  <c r="M215" i="111"/>
  <c r="K215" i="111"/>
  <c r="J215" i="111"/>
  <c r="I215" i="111"/>
  <c r="H215" i="111"/>
  <c r="E215" i="111"/>
  <c r="A215" i="111"/>
  <c r="S214" i="111"/>
  <c r="R214" i="111"/>
  <c r="Q214" i="111"/>
  <c r="P214" i="111"/>
  <c r="O214" i="111"/>
  <c r="N214" i="111"/>
  <c r="M214" i="111"/>
  <c r="K214" i="111"/>
  <c r="J214" i="111"/>
  <c r="I214" i="111"/>
  <c r="H214" i="111"/>
  <c r="E214" i="111"/>
  <c r="A214" i="111"/>
  <c r="S213" i="111"/>
  <c r="R213" i="111"/>
  <c r="Q213" i="111"/>
  <c r="P213" i="111"/>
  <c r="O213" i="111"/>
  <c r="N213" i="111"/>
  <c r="M213" i="111"/>
  <c r="K213" i="111"/>
  <c r="J213" i="111"/>
  <c r="I213" i="111"/>
  <c r="H213" i="111"/>
  <c r="E213" i="111"/>
  <c r="A213" i="111"/>
  <c r="S212" i="111"/>
  <c r="R212" i="111"/>
  <c r="Q212" i="111"/>
  <c r="P212" i="111"/>
  <c r="O212" i="111"/>
  <c r="N212" i="111"/>
  <c r="M212" i="111"/>
  <c r="K212" i="111"/>
  <c r="J212" i="111"/>
  <c r="I212" i="111"/>
  <c r="H212" i="111"/>
  <c r="E212" i="111"/>
  <c r="A212" i="111"/>
  <c r="S211" i="111"/>
  <c r="R211" i="111"/>
  <c r="Q211" i="111"/>
  <c r="P211" i="111"/>
  <c r="O211" i="111"/>
  <c r="N211" i="111"/>
  <c r="M211" i="111"/>
  <c r="K211" i="111"/>
  <c r="J211" i="111"/>
  <c r="I211" i="111"/>
  <c r="H211" i="111"/>
  <c r="E211" i="111"/>
  <c r="A211" i="111"/>
  <c r="S210" i="111"/>
  <c r="R210" i="111"/>
  <c r="Q210" i="111"/>
  <c r="P210" i="111"/>
  <c r="O210" i="111"/>
  <c r="N210" i="111"/>
  <c r="M210" i="111"/>
  <c r="K210" i="111"/>
  <c r="J210" i="111"/>
  <c r="I210" i="111"/>
  <c r="H210" i="111"/>
  <c r="E210" i="111"/>
  <c r="A210" i="111"/>
  <c r="S209" i="111"/>
  <c r="R209" i="111"/>
  <c r="Q209" i="111"/>
  <c r="P209" i="111"/>
  <c r="O209" i="111"/>
  <c r="N209" i="111"/>
  <c r="M209" i="111"/>
  <c r="K209" i="111"/>
  <c r="J209" i="111"/>
  <c r="I209" i="111"/>
  <c r="H209" i="111"/>
  <c r="E209" i="111"/>
  <c r="A209" i="111"/>
  <c r="S208" i="111"/>
  <c r="R208" i="111"/>
  <c r="Q208" i="111"/>
  <c r="P208" i="111"/>
  <c r="O208" i="111"/>
  <c r="N208" i="111"/>
  <c r="M208" i="111"/>
  <c r="K208" i="111"/>
  <c r="J208" i="111"/>
  <c r="I208" i="111"/>
  <c r="H208" i="111"/>
  <c r="E208" i="111"/>
  <c r="A208" i="111"/>
  <c r="S207" i="111"/>
  <c r="R207" i="111"/>
  <c r="Q207" i="111"/>
  <c r="P207" i="111"/>
  <c r="O207" i="111"/>
  <c r="N207" i="111"/>
  <c r="M207" i="111"/>
  <c r="K207" i="111"/>
  <c r="J207" i="111"/>
  <c r="I207" i="111"/>
  <c r="H207" i="111"/>
  <c r="E207" i="111"/>
  <c r="A207" i="111"/>
  <c r="S206" i="111"/>
  <c r="R206" i="111"/>
  <c r="Q206" i="111"/>
  <c r="P206" i="111"/>
  <c r="O206" i="111"/>
  <c r="N206" i="111"/>
  <c r="M206" i="111"/>
  <c r="K206" i="111"/>
  <c r="J206" i="111"/>
  <c r="I206" i="111"/>
  <c r="H206" i="111"/>
  <c r="E206" i="111"/>
  <c r="A206" i="111"/>
  <c r="S205" i="111"/>
  <c r="R205" i="111"/>
  <c r="Q205" i="111"/>
  <c r="P205" i="111"/>
  <c r="O205" i="111"/>
  <c r="N205" i="111"/>
  <c r="M205" i="111"/>
  <c r="K205" i="111"/>
  <c r="J205" i="111"/>
  <c r="I205" i="111"/>
  <c r="H205" i="111"/>
  <c r="E205" i="111"/>
  <c r="A205" i="111"/>
  <c r="S204" i="111"/>
  <c r="R204" i="111"/>
  <c r="Q204" i="111"/>
  <c r="P204" i="111"/>
  <c r="O204" i="111"/>
  <c r="N204" i="111"/>
  <c r="M204" i="111"/>
  <c r="K204" i="111"/>
  <c r="J204" i="111"/>
  <c r="I204" i="111"/>
  <c r="H204" i="111"/>
  <c r="E204" i="111"/>
  <c r="A204" i="111"/>
  <c r="S203" i="111"/>
  <c r="R203" i="111"/>
  <c r="Q203" i="111"/>
  <c r="P203" i="111"/>
  <c r="O203" i="111"/>
  <c r="N203" i="111"/>
  <c r="M203" i="111"/>
  <c r="K203" i="111"/>
  <c r="J203" i="111"/>
  <c r="I203" i="111"/>
  <c r="H203" i="111"/>
  <c r="E203" i="111"/>
  <c r="A203" i="111"/>
  <c r="S202" i="111"/>
  <c r="R202" i="111"/>
  <c r="Q202" i="111"/>
  <c r="P202" i="111"/>
  <c r="O202" i="111"/>
  <c r="N202" i="111"/>
  <c r="M202" i="111"/>
  <c r="K202" i="111"/>
  <c r="J202" i="111"/>
  <c r="I202" i="111"/>
  <c r="H202" i="111"/>
  <c r="E202" i="111"/>
  <c r="A202" i="111"/>
  <c r="S201" i="111"/>
  <c r="R201" i="111"/>
  <c r="Q201" i="111"/>
  <c r="P201" i="111"/>
  <c r="O201" i="111"/>
  <c r="N201" i="111"/>
  <c r="M201" i="111"/>
  <c r="K201" i="111"/>
  <c r="J201" i="111"/>
  <c r="I201" i="111"/>
  <c r="H201" i="111"/>
  <c r="E201" i="111"/>
  <c r="A201" i="111"/>
  <c r="S200" i="111"/>
  <c r="R200" i="111"/>
  <c r="Q200" i="111"/>
  <c r="P200" i="111"/>
  <c r="O200" i="111"/>
  <c r="N200" i="111"/>
  <c r="M200" i="111"/>
  <c r="K200" i="111"/>
  <c r="J200" i="111"/>
  <c r="I200" i="111"/>
  <c r="H200" i="111"/>
  <c r="E200" i="111"/>
  <c r="A200" i="111"/>
  <c r="S199" i="111"/>
  <c r="R199" i="111"/>
  <c r="Q199" i="111"/>
  <c r="P199" i="111"/>
  <c r="O199" i="111"/>
  <c r="N199" i="111"/>
  <c r="M199" i="111"/>
  <c r="K199" i="111"/>
  <c r="J199" i="111"/>
  <c r="I199" i="111"/>
  <c r="H199" i="111"/>
  <c r="E199" i="111"/>
  <c r="A199" i="111"/>
  <c r="S198" i="111"/>
  <c r="R198" i="111"/>
  <c r="Q198" i="111"/>
  <c r="P198" i="111"/>
  <c r="O198" i="111"/>
  <c r="N198" i="111"/>
  <c r="M198" i="111"/>
  <c r="K198" i="111"/>
  <c r="J198" i="111"/>
  <c r="I198" i="111"/>
  <c r="H198" i="111"/>
  <c r="E198" i="111"/>
  <c r="A198" i="111"/>
  <c r="S197" i="111"/>
  <c r="R197" i="111"/>
  <c r="Q197" i="111"/>
  <c r="P197" i="111"/>
  <c r="O197" i="111"/>
  <c r="N197" i="111"/>
  <c r="M197" i="111"/>
  <c r="K197" i="111"/>
  <c r="J197" i="111"/>
  <c r="I197" i="111"/>
  <c r="H197" i="111"/>
  <c r="E197" i="111"/>
  <c r="A197" i="111"/>
  <c r="S196" i="111"/>
  <c r="R196" i="111"/>
  <c r="Q196" i="111"/>
  <c r="P196" i="111"/>
  <c r="O196" i="111"/>
  <c r="N196" i="111"/>
  <c r="M196" i="111"/>
  <c r="K196" i="111"/>
  <c r="J196" i="111"/>
  <c r="I196" i="111"/>
  <c r="H196" i="111"/>
  <c r="E196" i="111"/>
  <c r="A196" i="111"/>
  <c r="S195" i="111"/>
  <c r="R195" i="111"/>
  <c r="Q195" i="111"/>
  <c r="P195" i="111"/>
  <c r="O195" i="111"/>
  <c r="N195" i="111"/>
  <c r="M195" i="111"/>
  <c r="K195" i="111"/>
  <c r="J195" i="111"/>
  <c r="I195" i="111"/>
  <c r="H195" i="111"/>
  <c r="E195" i="111"/>
  <c r="A195" i="111"/>
  <c r="S194" i="111"/>
  <c r="R194" i="111"/>
  <c r="Q194" i="111"/>
  <c r="P194" i="111"/>
  <c r="O194" i="111"/>
  <c r="N194" i="111"/>
  <c r="M194" i="111"/>
  <c r="K194" i="111"/>
  <c r="J194" i="111"/>
  <c r="I194" i="111"/>
  <c r="H194" i="111"/>
  <c r="E194" i="111"/>
  <c r="A194" i="111"/>
  <c r="S193" i="111"/>
  <c r="R193" i="111"/>
  <c r="Q193" i="111"/>
  <c r="P193" i="111"/>
  <c r="O193" i="111"/>
  <c r="N193" i="111"/>
  <c r="M193" i="111"/>
  <c r="K193" i="111"/>
  <c r="J193" i="111"/>
  <c r="I193" i="111"/>
  <c r="H193" i="111"/>
  <c r="E193" i="111"/>
  <c r="A193" i="111"/>
  <c r="S192" i="111"/>
  <c r="R192" i="111"/>
  <c r="Q192" i="111"/>
  <c r="P192" i="111"/>
  <c r="O192" i="111"/>
  <c r="N192" i="111"/>
  <c r="M192" i="111"/>
  <c r="K192" i="111"/>
  <c r="J192" i="111"/>
  <c r="I192" i="111"/>
  <c r="H192" i="111"/>
  <c r="E192" i="111"/>
  <c r="A192" i="111"/>
  <c r="S191" i="111"/>
  <c r="R191" i="111"/>
  <c r="Q191" i="111"/>
  <c r="P191" i="111"/>
  <c r="O191" i="111"/>
  <c r="N191" i="111"/>
  <c r="M191" i="111"/>
  <c r="K191" i="111"/>
  <c r="J191" i="111"/>
  <c r="I191" i="111"/>
  <c r="H191" i="111"/>
  <c r="E191" i="111"/>
  <c r="A191" i="111"/>
  <c r="S190" i="111"/>
  <c r="R190" i="111"/>
  <c r="Q190" i="111"/>
  <c r="P190" i="111"/>
  <c r="O190" i="111"/>
  <c r="N190" i="111"/>
  <c r="M190" i="111"/>
  <c r="K190" i="111"/>
  <c r="J190" i="111"/>
  <c r="I190" i="111"/>
  <c r="H190" i="111"/>
  <c r="E190" i="111"/>
  <c r="A190" i="111"/>
  <c r="S189" i="111"/>
  <c r="R189" i="111"/>
  <c r="Q189" i="111"/>
  <c r="P189" i="111"/>
  <c r="O189" i="111"/>
  <c r="N189" i="111"/>
  <c r="M189" i="111"/>
  <c r="K189" i="111"/>
  <c r="J189" i="111"/>
  <c r="I189" i="111"/>
  <c r="H189" i="111"/>
  <c r="E189" i="111"/>
  <c r="A189" i="111"/>
  <c r="S188" i="111"/>
  <c r="R188" i="111"/>
  <c r="Q188" i="111"/>
  <c r="P188" i="111"/>
  <c r="O188" i="111"/>
  <c r="N188" i="111"/>
  <c r="M188" i="111"/>
  <c r="K188" i="111"/>
  <c r="J188" i="111"/>
  <c r="I188" i="111"/>
  <c r="H188" i="111"/>
  <c r="E188" i="111"/>
  <c r="A188" i="111"/>
  <c r="S187" i="111"/>
  <c r="R187" i="111"/>
  <c r="Q187" i="111"/>
  <c r="P187" i="111"/>
  <c r="O187" i="111"/>
  <c r="N187" i="111"/>
  <c r="M187" i="111"/>
  <c r="K187" i="111"/>
  <c r="J187" i="111"/>
  <c r="I187" i="111"/>
  <c r="H187" i="111"/>
  <c r="E187" i="111"/>
  <c r="A187" i="111"/>
  <c r="S186" i="111"/>
  <c r="R186" i="111"/>
  <c r="Q186" i="111"/>
  <c r="P186" i="111"/>
  <c r="O186" i="111"/>
  <c r="N186" i="111"/>
  <c r="M186" i="111"/>
  <c r="K186" i="111"/>
  <c r="J186" i="111"/>
  <c r="I186" i="111"/>
  <c r="H186" i="111"/>
  <c r="E186" i="111"/>
  <c r="A186" i="111"/>
  <c r="S185" i="111"/>
  <c r="R185" i="111"/>
  <c r="Q185" i="111"/>
  <c r="P185" i="111"/>
  <c r="O185" i="111"/>
  <c r="N185" i="111"/>
  <c r="M185" i="111"/>
  <c r="K185" i="111"/>
  <c r="J185" i="111"/>
  <c r="I185" i="111"/>
  <c r="H185" i="111"/>
  <c r="E185" i="111"/>
  <c r="A185" i="111"/>
  <c r="S184" i="111"/>
  <c r="R184" i="111"/>
  <c r="Q184" i="111"/>
  <c r="P184" i="111"/>
  <c r="O184" i="111"/>
  <c r="N184" i="111"/>
  <c r="M184" i="111"/>
  <c r="K184" i="111"/>
  <c r="J184" i="111"/>
  <c r="I184" i="111"/>
  <c r="H184" i="111"/>
  <c r="E184" i="111"/>
  <c r="A184" i="111"/>
  <c r="S183" i="111"/>
  <c r="R183" i="111"/>
  <c r="Q183" i="111"/>
  <c r="P183" i="111"/>
  <c r="O183" i="111"/>
  <c r="N183" i="111"/>
  <c r="M183" i="111"/>
  <c r="K183" i="111"/>
  <c r="J183" i="111"/>
  <c r="I183" i="111"/>
  <c r="H183" i="111"/>
  <c r="E183" i="111"/>
  <c r="A183" i="111"/>
  <c r="S182" i="111"/>
  <c r="R182" i="111"/>
  <c r="Q182" i="111"/>
  <c r="P182" i="111"/>
  <c r="O182" i="111"/>
  <c r="N182" i="111"/>
  <c r="M182" i="111"/>
  <c r="K182" i="111"/>
  <c r="J182" i="111"/>
  <c r="I182" i="111"/>
  <c r="H182" i="111"/>
  <c r="E182" i="111"/>
  <c r="A182" i="111"/>
  <c r="S181" i="111"/>
  <c r="R181" i="111"/>
  <c r="Q181" i="111"/>
  <c r="P181" i="111"/>
  <c r="O181" i="111"/>
  <c r="N181" i="111"/>
  <c r="M181" i="111"/>
  <c r="K181" i="111"/>
  <c r="J181" i="111"/>
  <c r="I181" i="111"/>
  <c r="H181" i="111"/>
  <c r="E181" i="111"/>
  <c r="A181" i="111"/>
  <c r="S180" i="111"/>
  <c r="R180" i="111"/>
  <c r="Q180" i="111"/>
  <c r="P180" i="111"/>
  <c r="O180" i="111"/>
  <c r="N180" i="111"/>
  <c r="M180" i="111"/>
  <c r="K180" i="111"/>
  <c r="J180" i="111"/>
  <c r="I180" i="111"/>
  <c r="H180" i="111"/>
  <c r="E180" i="111"/>
  <c r="A180" i="111"/>
  <c r="S179" i="111"/>
  <c r="R179" i="111"/>
  <c r="Q179" i="111"/>
  <c r="P179" i="111"/>
  <c r="O179" i="111"/>
  <c r="N179" i="111"/>
  <c r="M179" i="111"/>
  <c r="K179" i="111"/>
  <c r="J179" i="111"/>
  <c r="I179" i="111"/>
  <c r="H179" i="111"/>
  <c r="E179" i="111"/>
  <c r="A179" i="111"/>
  <c r="S178" i="111"/>
  <c r="R178" i="111"/>
  <c r="Q178" i="111"/>
  <c r="P178" i="111"/>
  <c r="O178" i="111"/>
  <c r="N178" i="111"/>
  <c r="M178" i="111"/>
  <c r="K178" i="111"/>
  <c r="J178" i="111"/>
  <c r="I178" i="111"/>
  <c r="H178" i="111"/>
  <c r="E178" i="111"/>
  <c r="A178" i="111"/>
  <c r="S177" i="111"/>
  <c r="R177" i="111"/>
  <c r="Q177" i="111"/>
  <c r="P177" i="111"/>
  <c r="O177" i="111"/>
  <c r="N177" i="111"/>
  <c r="M177" i="111"/>
  <c r="K177" i="111"/>
  <c r="J177" i="111"/>
  <c r="I177" i="111"/>
  <c r="H177" i="111"/>
  <c r="E177" i="111"/>
  <c r="A177" i="111"/>
  <c r="S176" i="111"/>
  <c r="R176" i="111"/>
  <c r="Q176" i="111"/>
  <c r="P176" i="111"/>
  <c r="O176" i="111"/>
  <c r="N176" i="111"/>
  <c r="M176" i="111"/>
  <c r="K176" i="111"/>
  <c r="J176" i="111"/>
  <c r="I176" i="111"/>
  <c r="H176" i="111"/>
  <c r="E176" i="111"/>
  <c r="A176" i="111"/>
  <c r="S175" i="111"/>
  <c r="R175" i="111"/>
  <c r="Q175" i="111"/>
  <c r="P175" i="111"/>
  <c r="O175" i="111"/>
  <c r="N175" i="111"/>
  <c r="M175" i="111"/>
  <c r="K175" i="111"/>
  <c r="J175" i="111"/>
  <c r="I175" i="111"/>
  <c r="H175" i="111"/>
  <c r="E175" i="111"/>
  <c r="A175" i="111"/>
  <c r="S174" i="111"/>
  <c r="R174" i="111"/>
  <c r="Q174" i="111"/>
  <c r="P174" i="111"/>
  <c r="O174" i="111"/>
  <c r="N174" i="111"/>
  <c r="M174" i="111"/>
  <c r="K174" i="111"/>
  <c r="J174" i="111"/>
  <c r="I174" i="111"/>
  <c r="H174" i="111"/>
  <c r="E174" i="111"/>
  <c r="A174" i="111"/>
  <c r="S173" i="111"/>
  <c r="R173" i="111"/>
  <c r="Q173" i="111"/>
  <c r="P173" i="111"/>
  <c r="O173" i="111"/>
  <c r="N173" i="111"/>
  <c r="M173" i="111"/>
  <c r="K173" i="111"/>
  <c r="J173" i="111"/>
  <c r="I173" i="111"/>
  <c r="H173" i="111"/>
  <c r="E173" i="111"/>
  <c r="A173" i="111"/>
  <c r="S172" i="111"/>
  <c r="R172" i="111"/>
  <c r="Q172" i="111"/>
  <c r="P172" i="111"/>
  <c r="O172" i="111"/>
  <c r="N172" i="111"/>
  <c r="M172" i="111"/>
  <c r="K172" i="111"/>
  <c r="J172" i="111"/>
  <c r="I172" i="111"/>
  <c r="H172" i="111"/>
  <c r="E172" i="111"/>
  <c r="A172" i="111"/>
  <c r="S171" i="111"/>
  <c r="R171" i="111"/>
  <c r="Q171" i="111"/>
  <c r="P171" i="111"/>
  <c r="O171" i="111"/>
  <c r="N171" i="111"/>
  <c r="M171" i="111"/>
  <c r="K171" i="111"/>
  <c r="J171" i="111"/>
  <c r="I171" i="111"/>
  <c r="H171" i="111"/>
  <c r="E171" i="111"/>
  <c r="A171" i="111"/>
  <c r="S170" i="111"/>
  <c r="R170" i="111"/>
  <c r="Q170" i="111"/>
  <c r="P170" i="111"/>
  <c r="O170" i="111"/>
  <c r="N170" i="111"/>
  <c r="M170" i="111"/>
  <c r="K170" i="111"/>
  <c r="J170" i="111"/>
  <c r="I170" i="111"/>
  <c r="H170" i="111"/>
  <c r="E170" i="111"/>
  <c r="A170" i="111"/>
  <c r="S169" i="111"/>
  <c r="R169" i="111"/>
  <c r="Q169" i="111"/>
  <c r="P169" i="111"/>
  <c r="O169" i="111"/>
  <c r="N169" i="111"/>
  <c r="M169" i="111"/>
  <c r="K169" i="111"/>
  <c r="J169" i="111"/>
  <c r="I169" i="111"/>
  <c r="H169" i="111"/>
  <c r="E169" i="111"/>
  <c r="A169" i="111"/>
  <c r="S168" i="111"/>
  <c r="R168" i="111"/>
  <c r="Q168" i="111"/>
  <c r="P168" i="111"/>
  <c r="O168" i="111"/>
  <c r="N168" i="111"/>
  <c r="M168" i="111"/>
  <c r="K168" i="111"/>
  <c r="J168" i="111"/>
  <c r="I168" i="111"/>
  <c r="H168" i="111"/>
  <c r="E168" i="111"/>
  <c r="A168" i="111"/>
  <c r="S167" i="111"/>
  <c r="R167" i="111"/>
  <c r="Q167" i="111"/>
  <c r="P167" i="111"/>
  <c r="O167" i="111"/>
  <c r="N167" i="111"/>
  <c r="M167" i="111"/>
  <c r="K167" i="111"/>
  <c r="J167" i="111"/>
  <c r="I167" i="111"/>
  <c r="H167" i="111"/>
  <c r="E167" i="111"/>
  <c r="A167" i="111"/>
  <c r="S166" i="111"/>
  <c r="R166" i="111"/>
  <c r="Q166" i="111"/>
  <c r="P166" i="111"/>
  <c r="O166" i="111"/>
  <c r="N166" i="111"/>
  <c r="M166" i="111"/>
  <c r="K166" i="111"/>
  <c r="J166" i="111"/>
  <c r="I166" i="111"/>
  <c r="H166" i="111"/>
  <c r="E166" i="111"/>
  <c r="A166" i="111"/>
  <c r="S165" i="111"/>
  <c r="R165" i="111"/>
  <c r="Q165" i="111"/>
  <c r="P165" i="111"/>
  <c r="O165" i="111"/>
  <c r="N165" i="111"/>
  <c r="M165" i="111"/>
  <c r="K165" i="111"/>
  <c r="J165" i="111"/>
  <c r="I165" i="111"/>
  <c r="H165" i="111"/>
  <c r="E165" i="111"/>
  <c r="A165" i="111"/>
  <c r="S164" i="111"/>
  <c r="R164" i="111"/>
  <c r="Q164" i="111"/>
  <c r="P164" i="111"/>
  <c r="O164" i="111"/>
  <c r="N164" i="111"/>
  <c r="M164" i="111"/>
  <c r="K164" i="111"/>
  <c r="J164" i="111"/>
  <c r="I164" i="111"/>
  <c r="H164" i="111"/>
  <c r="E164" i="111"/>
  <c r="A164" i="111"/>
  <c r="S163" i="111"/>
  <c r="R163" i="111"/>
  <c r="Q163" i="111"/>
  <c r="P163" i="111"/>
  <c r="O163" i="111"/>
  <c r="N163" i="111"/>
  <c r="M163" i="111"/>
  <c r="K163" i="111"/>
  <c r="J163" i="111"/>
  <c r="I163" i="111"/>
  <c r="H163" i="111"/>
  <c r="E163" i="111"/>
  <c r="A163" i="111"/>
  <c r="S162" i="111"/>
  <c r="R162" i="111"/>
  <c r="Q162" i="111"/>
  <c r="P162" i="111"/>
  <c r="O162" i="111"/>
  <c r="N162" i="111"/>
  <c r="M162" i="111"/>
  <c r="K162" i="111"/>
  <c r="J162" i="111"/>
  <c r="I162" i="111"/>
  <c r="H162" i="111"/>
  <c r="E162" i="111"/>
  <c r="A162" i="111"/>
  <c r="S161" i="111"/>
  <c r="R161" i="111"/>
  <c r="Q161" i="111"/>
  <c r="P161" i="111"/>
  <c r="O161" i="111"/>
  <c r="N161" i="111"/>
  <c r="M161" i="111"/>
  <c r="K161" i="111"/>
  <c r="J161" i="111"/>
  <c r="I161" i="111"/>
  <c r="H161" i="111"/>
  <c r="E161" i="111"/>
  <c r="A161" i="111"/>
  <c r="S160" i="111"/>
  <c r="R160" i="111"/>
  <c r="Q160" i="111"/>
  <c r="P160" i="111"/>
  <c r="O160" i="111"/>
  <c r="N160" i="111"/>
  <c r="M160" i="111"/>
  <c r="K160" i="111"/>
  <c r="J160" i="111"/>
  <c r="I160" i="111"/>
  <c r="H160" i="111"/>
  <c r="E160" i="111"/>
  <c r="A160" i="111"/>
  <c r="S159" i="111"/>
  <c r="R159" i="111"/>
  <c r="Q159" i="111"/>
  <c r="P159" i="111"/>
  <c r="O159" i="111"/>
  <c r="N159" i="111"/>
  <c r="M159" i="111"/>
  <c r="K159" i="111"/>
  <c r="J159" i="111"/>
  <c r="I159" i="111"/>
  <c r="H159" i="111"/>
  <c r="E159" i="111"/>
  <c r="A159" i="111"/>
  <c r="S158" i="111"/>
  <c r="R158" i="111"/>
  <c r="Q158" i="111"/>
  <c r="P158" i="111"/>
  <c r="O158" i="111"/>
  <c r="N158" i="111"/>
  <c r="M158" i="111"/>
  <c r="K158" i="111"/>
  <c r="J158" i="111"/>
  <c r="I158" i="111"/>
  <c r="H158" i="111"/>
  <c r="E158" i="111"/>
  <c r="A158" i="111"/>
  <c r="S157" i="111"/>
  <c r="R157" i="111"/>
  <c r="Q157" i="111"/>
  <c r="P157" i="111"/>
  <c r="O157" i="111"/>
  <c r="N157" i="111"/>
  <c r="M157" i="111"/>
  <c r="K157" i="111"/>
  <c r="J157" i="111"/>
  <c r="I157" i="111"/>
  <c r="H157" i="111"/>
  <c r="E157" i="111"/>
  <c r="A157" i="111"/>
  <c r="S156" i="111"/>
  <c r="R156" i="111"/>
  <c r="Q156" i="111"/>
  <c r="P156" i="111"/>
  <c r="O156" i="111"/>
  <c r="N156" i="111"/>
  <c r="M156" i="111"/>
  <c r="K156" i="111"/>
  <c r="J156" i="111"/>
  <c r="I156" i="111"/>
  <c r="H156" i="111"/>
  <c r="E156" i="111"/>
  <c r="A156" i="111"/>
  <c r="S155" i="111"/>
  <c r="R155" i="111"/>
  <c r="Q155" i="111"/>
  <c r="P155" i="111"/>
  <c r="O155" i="111"/>
  <c r="N155" i="111"/>
  <c r="M155" i="111"/>
  <c r="K155" i="111"/>
  <c r="J155" i="111"/>
  <c r="I155" i="111"/>
  <c r="H155" i="111"/>
  <c r="E155" i="111"/>
  <c r="A155" i="111"/>
  <c r="S154" i="111"/>
  <c r="R154" i="111"/>
  <c r="Q154" i="111"/>
  <c r="P154" i="111"/>
  <c r="O154" i="111"/>
  <c r="N154" i="111"/>
  <c r="M154" i="111"/>
  <c r="K154" i="111"/>
  <c r="J154" i="111"/>
  <c r="I154" i="111"/>
  <c r="H154" i="111"/>
  <c r="E154" i="111"/>
  <c r="A154" i="111"/>
  <c r="S153" i="111"/>
  <c r="R153" i="111"/>
  <c r="Q153" i="111"/>
  <c r="P153" i="111"/>
  <c r="O153" i="111"/>
  <c r="N153" i="111"/>
  <c r="M153" i="111"/>
  <c r="K153" i="111"/>
  <c r="J153" i="111"/>
  <c r="I153" i="111"/>
  <c r="H153" i="111"/>
  <c r="E153" i="111"/>
  <c r="A153" i="111"/>
  <c r="S152" i="111"/>
  <c r="R152" i="111"/>
  <c r="Q152" i="111"/>
  <c r="P152" i="111"/>
  <c r="O152" i="111"/>
  <c r="N152" i="111"/>
  <c r="M152" i="111"/>
  <c r="K152" i="111"/>
  <c r="J152" i="111"/>
  <c r="I152" i="111"/>
  <c r="H152" i="111"/>
  <c r="E152" i="111"/>
  <c r="A152" i="111"/>
  <c r="S151" i="111"/>
  <c r="R151" i="111"/>
  <c r="Q151" i="111"/>
  <c r="P151" i="111"/>
  <c r="O151" i="111"/>
  <c r="N151" i="111"/>
  <c r="M151" i="111"/>
  <c r="K151" i="111"/>
  <c r="J151" i="111"/>
  <c r="I151" i="111"/>
  <c r="H151" i="111"/>
  <c r="E151" i="111"/>
  <c r="A151" i="111"/>
  <c r="S150" i="111"/>
  <c r="R150" i="111"/>
  <c r="Q150" i="111"/>
  <c r="P150" i="111"/>
  <c r="O150" i="111"/>
  <c r="N150" i="111"/>
  <c r="M150" i="111"/>
  <c r="K150" i="111"/>
  <c r="J150" i="111"/>
  <c r="I150" i="111"/>
  <c r="H150" i="111"/>
  <c r="E150" i="111"/>
  <c r="A150" i="111"/>
  <c r="S149" i="111"/>
  <c r="R149" i="111"/>
  <c r="Q149" i="111"/>
  <c r="P149" i="111"/>
  <c r="O149" i="111"/>
  <c r="N149" i="111"/>
  <c r="M149" i="111"/>
  <c r="K149" i="111"/>
  <c r="J149" i="111"/>
  <c r="I149" i="111"/>
  <c r="H149" i="111"/>
  <c r="E149" i="111"/>
  <c r="A149" i="111"/>
  <c r="S148" i="111"/>
  <c r="R148" i="111"/>
  <c r="Q148" i="111"/>
  <c r="P148" i="111"/>
  <c r="O148" i="111"/>
  <c r="N148" i="111"/>
  <c r="M148" i="111"/>
  <c r="K148" i="111"/>
  <c r="J148" i="111"/>
  <c r="I148" i="111"/>
  <c r="H148" i="111"/>
  <c r="E148" i="111"/>
  <c r="A148" i="111"/>
  <c r="S147" i="111"/>
  <c r="R147" i="111"/>
  <c r="Q147" i="111"/>
  <c r="P147" i="111"/>
  <c r="O147" i="111"/>
  <c r="N147" i="111"/>
  <c r="M147" i="111"/>
  <c r="K147" i="111"/>
  <c r="J147" i="111"/>
  <c r="I147" i="111"/>
  <c r="H147" i="111"/>
  <c r="E147" i="111"/>
  <c r="A147" i="111"/>
  <c r="S146" i="111"/>
  <c r="R146" i="111"/>
  <c r="Q146" i="111"/>
  <c r="P146" i="111"/>
  <c r="O146" i="111"/>
  <c r="N146" i="111"/>
  <c r="M146" i="111"/>
  <c r="K146" i="111"/>
  <c r="J146" i="111"/>
  <c r="I146" i="111"/>
  <c r="H146" i="111"/>
  <c r="E146" i="111"/>
  <c r="A146" i="111"/>
  <c r="S145" i="111"/>
  <c r="R145" i="111"/>
  <c r="Q145" i="111"/>
  <c r="P145" i="111"/>
  <c r="O145" i="111"/>
  <c r="N145" i="111"/>
  <c r="M145" i="111"/>
  <c r="K145" i="111"/>
  <c r="J145" i="111"/>
  <c r="I145" i="111"/>
  <c r="H145" i="111"/>
  <c r="E145" i="111"/>
  <c r="A145" i="111"/>
  <c r="S144" i="111"/>
  <c r="R144" i="111"/>
  <c r="Q144" i="111"/>
  <c r="P144" i="111"/>
  <c r="O144" i="111"/>
  <c r="N144" i="111"/>
  <c r="M144" i="111"/>
  <c r="K144" i="111"/>
  <c r="J144" i="111"/>
  <c r="I144" i="111"/>
  <c r="H144" i="111"/>
  <c r="E144" i="111"/>
  <c r="A144" i="111"/>
  <c r="S143" i="111"/>
  <c r="R143" i="111"/>
  <c r="Q143" i="111"/>
  <c r="P143" i="111"/>
  <c r="O143" i="111"/>
  <c r="N143" i="111"/>
  <c r="M143" i="111"/>
  <c r="K143" i="111"/>
  <c r="J143" i="111"/>
  <c r="I143" i="111"/>
  <c r="H143" i="111"/>
  <c r="E143" i="111"/>
  <c r="A143" i="111"/>
  <c r="S142" i="111"/>
  <c r="R142" i="111"/>
  <c r="Q142" i="111"/>
  <c r="P142" i="111"/>
  <c r="O142" i="111"/>
  <c r="N142" i="111"/>
  <c r="M142" i="111"/>
  <c r="K142" i="111"/>
  <c r="J142" i="111"/>
  <c r="I142" i="111"/>
  <c r="H142" i="111"/>
  <c r="E142" i="111"/>
  <c r="A142" i="111"/>
  <c r="S141" i="111"/>
  <c r="R141" i="111"/>
  <c r="Q141" i="111"/>
  <c r="P141" i="111"/>
  <c r="O141" i="111"/>
  <c r="N141" i="111"/>
  <c r="M141" i="111"/>
  <c r="K141" i="111"/>
  <c r="J141" i="111"/>
  <c r="I141" i="111"/>
  <c r="H141" i="111"/>
  <c r="E141" i="111"/>
  <c r="A141" i="111"/>
  <c r="S140" i="111"/>
  <c r="R140" i="111"/>
  <c r="Q140" i="111"/>
  <c r="P140" i="111"/>
  <c r="O140" i="111"/>
  <c r="N140" i="111"/>
  <c r="M140" i="111"/>
  <c r="K140" i="111"/>
  <c r="J140" i="111"/>
  <c r="I140" i="111"/>
  <c r="H140" i="111"/>
  <c r="E140" i="111"/>
  <c r="A140" i="111"/>
  <c r="S139" i="111"/>
  <c r="R139" i="111"/>
  <c r="Q139" i="111"/>
  <c r="P139" i="111"/>
  <c r="O139" i="111"/>
  <c r="N139" i="111"/>
  <c r="M139" i="111"/>
  <c r="K139" i="111"/>
  <c r="J139" i="111"/>
  <c r="I139" i="111"/>
  <c r="H139" i="111"/>
  <c r="E139" i="111"/>
  <c r="A139" i="111"/>
  <c r="S138" i="111"/>
  <c r="R138" i="111"/>
  <c r="Q138" i="111"/>
  <c r="P138" i="111"/>
  <c r="O138" i="111"/>
  <c r="N138" i="111"/>
  <c r="M138" i="111"/>
  <c r="K138" i="111"/>
  <c r="J138" i="111"/>
  <c r="I138" i="111"/>
  <c r="H138" i="111"/>
  <c r="E138" i="111"/>
  <c r="A138" i="111"/>
  <c r="S137" i="111"/>
  <c r="R137" i="111"/>
  <c r="Q137" i="111"/>
  <c r="P137" i="111"/>
  <c r="O137" i="111"/>
  <c r="N137" i="111"/>
  <c r="M137" i="111"/>
  <c r="K137" i="111"/>
  <c r="J137" i="111"/>
  <c r="I137" i="111"/>
  <c r="H137" i="111"/>
  <c r="E137" i="111"/>
  <c r="A137" i="111"/>
  <c r="S136" i="111"/>
  <c r="R136" i="111"/>
  <c r="Q136" i="111"/>
  <c r="P136" i="111"/>
  <c r="O136" i="111"/>
  <c r="N136" i="111"/>
  <c r="M136" i="111"/>
  <c r="K136" i="111"/>
  <c r="J136" i="111"/>
  <c r="I136" i="111"/>
  <c r="H136" i="111"/>
  <c r="E136" i="111"/>
  <c r="A136" i="111"/>
  <c r="S135" i="111"/>
  <c r="R135" i="111"/>
  <c r="Q135" i="111"/>
  <c r="P135" i="111"/>
  <c r="O135" i="111"/>
  <c r="N135" i="111"/>
  <c r="M135" i="111"/>
  <c r="K135" i="111"/>
  <c r="J135" i="111"/>
  <c r="I135" i="111"/>
  <c r="H135" i="111"/>
  <c r="E135" i="111"/>
  <c r="A135" i="111"/>
  <c r="S134" i="111"/>
  <c r="R134" i="111"/>
  <c r="Q134" i="111"/>
  <c r="P134" i="111"/>
  <c r="O134" i="111"/>
  <c r="N134" i="111"/>
  <c r="M134" i="111"/>
  <c r="K134" i="111"/>
  <c r="J134" i="111"/>
  <c r="I134" i="111"/>
  <c r="H134" i="111"/>
  <c r="E134" i="111"/>
  <c r="A134" i="111"/>
  <c r="S133" i="111"/>
  <c r="R133" i="111"/>
  <c r="Q133" i="111"/>
  <c r="P133" i="111"/>
  <c r="O133" i="111"/>
  <c r="N133" i="111"/>
  <c r="M133" i="111"/>
  <c r="K133" i="111"/>
  <c r="J133" i="111"/>
  <c r="I133" i="111"/>
  <c r="H133" i="111"/>
  <c r="E133" i="111"/>
  <c r="A133" i="111"/>
  <c r="S132" i="111"/>
  <c r="R132" i="111"/>
  <c r="Q132" i="111"/>
  <c r="P132" i="111"/>
  <c r="O132" i="111"/>
  <c r="N132" i="111"/>
  <c r="M132" i="111"/>
  <c r="K132" i="111"/>
  <c r="J132" i="111"/>
  <c r="I132" i="111"/>
  <c r="H132" i="111"/>
  <c r="E132" i="111"/>
  <c r="A132" i="111"/>
  <c r="S131" i="111"/>
  <c r="R131" i="111"/>
  <c r="Q131" i="111"/>
  <c r="P131" i="111"/>
  <c r="O131" i="111"/>
  <c r="N131" i="111"/>
  <c r="M131" i="111"/>
  <c r="K131" i="111"/>
  <c r="J131" i="111"/>
  <c r="I131" i="111"/>
  <c r="H131" i="111"/>
  <c r="E131" i="111"/>
  <c r="A131" i="111"/>
  <c r="S130" i="111"/>
  <c r="R130" i="111"/>
  <c r="Q130" i="111"/>
  <c r="P130" i="111"/>
  <c r="O130" i="111"/>
  <c r="N130" i="111"/>
  <c r="M130" i="111"/>
  <c r="K130" i="111"/>
  <c r="J130" i="111"/>
  <c r="I130" i="111"/>
  <c r="H130" i="111"/>
  <c r="E130" i="111"/>
  <c r="A130" i="111"/>
  <c r="S129" i="111"/>
  <c r="R129" i="111"/>
  <c r="Q129" i="111"/>
  <c r="P129" i="111"/>
  <c r="O129" i="111"/>
  <c r="N129" i="111"/>
  <c r="M129" i="111"/>
  <c r="K129" i="111"/>
  <c r="J129" i="111"/>
  <c r="I129" i="111"/>
  <c r="H129" i="111"/>
  <c r="E129" i="111"/>
  <c r="A129" i="111"/>
  <c r="S128" i="111"/>
  <c r="R128" i="111"/>
  <c r="Q128" i="111"/>
  <c r="P128" i="111"/>
  <c r="O128" i="111"/>
  <c r="N128" i="111"/>
  <c r="M128" i="111"/>
  <c r="K128" i="111"/>
  <c r="J128" i="111"/>
  <c r="I128" i="111"/>
  <c r="H128" i="111"/>
  <c r="E128" i="111"/>
  <c r="A128" i="111"/>
  <c r="S127" i="111"/>
  <c r="R127" i="111"/>
  <c r="Q127" i="111"/>
  <c r="P127" i="111"/>
  <c r="O127" i="111"/>
  <c r="N127" i="111"/>
  <c r="M127" i="111"/>
  <c r="K127" i="111"/>
  <c r="J127" i="111"/>
  <c r="I127" i="111"/>
  <c r="H127" i="111"/>
  <c r="E127" i="111"/>
  <c r="A127" i="111"/>
  <c r="S126" i="111"/>
  <c r="R126" i="111"/>
  <c r="Q126" i="111"/>
  <c r="P126" i="111"/>
  <c r="O126" i="111"/>
  <c r="N126" i="111"/>
  <c r="M126" i="111"/>
  <c r="K126" i="111"/>
  <c r="J126" i="111"/>
  <c r="I126" i="111"/>
  <c r="H126" i="111"/>
  <c r="E126" i="111"/>
  <c r="A126" i="111"/>
  <c r="S125" i="111"/>
  <c r="R125" i="111"/>
  <c r="Q125" i="111"/>
  <c r="P125" i="111"/>
  <c r="O125" i="111"/>
  <c r="N125" i="111"/>
  <c r="M125" i="111"/>
  <c r="K125" i="111"/>
  <c r="J125" i="111"/>
  <c r="I125" i="111"/>
  <c r="H125" i="111"/>
  <c r="E125" i="111"/>
  <c r="A125" i="111"/>
  <c r="S124" i="111"/>
  <c r="R124" i="111"/>
  <c r="Q124" i="111"/>
  <c r="P124" i="111"/>
  <c r="O124" i="111"/>
  <c r="N124" i="111"/>
  <c r="M124" i="111"/>
  <c r="K124" i="111"/>
  <c r="J124" i="111"/>
  <c r="I124" i="111"/>
  <c r="H124" i="111"/>
  <c r="E124" i="111"/>
  <c r="A124" i="111"/>
  <c r="S123" i="111"/>
  <c r="R123" i="111"/>
  <c r="Q123" i="111"/>
  <c r="P123" i="111"/>
  <c r="O123" i="111"/>
  <c r="N123" i="111"/>
  <c r="M123" i="111"/>
  <c r="K123" i="111"/>
  <c r="J123" i="111"/>
  <c r="I123" i="111"/>
  <c r="H123" i="111"/>
  <c r="E123" i="111"/>
  <c r="A123" i="111"/>
  <c r="S122" i="111"/>
  <c r="R122" i="111"/>
  <c r="Q122" i="111"/>
  <c r="P122" i="111"/>
  <c r="O122" i="111"/>
  <c r="N122" i="111"/>
  <c r="M122" i="111"/>
  <c r="K122" i="111"/>
  <c r="J122" i="111"/>
  <c r="I122" i="111"/>
  <c r="H122" i="111"/>
  <c r="E122" i="111"/>
  <c r="A122" i="111"/>
  <c r="S121" i="111"/>
  <c r="R121" i="111"/>
  <c r="Q121" i="111"/>
  <c r="P121" i="111"/>
  <c r="O121" i="111"/>
  <c r="N121" i="111"/>
  <c r="M121" i="111"/>
  <c r="K121" i="111"/>
  <c r="J121" i="111"/>
  <c r="I121" i="111"/>
  <c r="H121" i="111"/>
  <c r="E121" i="111"/>
  <c r="A121" i="111"/>
  <c r="S120" i="111"/>
  <c r="R120" i="111"/>
  <c r="Q120" i="111"/>
  <c r="P120" i="111"/>
  <c r="O120" i="111"/>
  <c r="N120" i="111"/>
  <c r="M120" i="111"/>
  <c r="K120" i="111"/>
  <c r="J120" i="111"/>
  <c r="I120" i="111"/>
  <c r="H120" i="111"/>
  <c r="E120" i="111"/>
  <c r="A120" i="111"/>
  <c r="S119" i="111"/>
  <c r="R119" i="111"/>
  <c r="Q119" i="111"/>
  <c r="P119" i="111"/>
  <c r="O119" i="111"/>
  <c r="N119" i="111"/>
  <c r="M119" i="111"/>
  <c r="K119" i="111"/>
  <c r="J119" i="111"/>
  <c r="I119" i="111"/>
  <c r="H119" i="111"/>
  <c r="E119" i="111"/>
  <c r="A119" i="111"/>
  <c r="S118" i="111"/>
  <c r="R118" i="111"/>
  <c r="Q118" i="111"/>
  <c r="P118" i="111"/>
  <c r="O118" i="111"/>
  <c r="N118" i="111"/>
  <c r="M118" i="111"/>
  <c r="K118" i="111"/>
  <c r="J118" i="111"/>
  <c r="I118" i="111"/>
  <c r="H118" i="111"/>
  <c r="E118" i="111"/>
  <c r="A118" i="111"/>
  <c r="S117" i="111"/>
  <c r="R117" i="111"/>
  <c r="Q117" i="111"/>
  <c r="P117" i="111"/>
  <c r="O117" i="111"/>
  <c r="N117" i="111"/>
  <c r="M117" i="111"/>
  <c r="K117" i="111"/>
  <c r="J117" i="111"/>
  <c r="I117" i="111"/>
  <c r="H117" i="111"/>
  <c r="E117" i="111"/>
  <c r="A117" i="111"/>
  <c r="S116" i="111"/>
  <c r="R116" i="111"/>
  <c r="Q116" i="111"/>
  <c r="P116" i="111"/>
  <c r="O116" i="111"/>
  <c r="N116" i="111"/>
  <c r="M116" i="111"/>
  <c r="K116" i="111"/>
  <c r="J116" i="111"/>
  <c r="I116" i="111"/>
  <c r="H116" i="111"/>
  <c r="E116" i="111"/>
  <c r="A116" i="111"/>
  <c r="S115" i="111"/>
  <c r="R115" i="111"/>
  <c r="Q115" i="111"/>
  <c r="P115" i="111"/>
  <c r="O115" i="111"/>
  <c r="N115" i="111"/>
  <c r="M115" i="111"/>
  <c r="K115" i="111"/>
  <c r="J115" i="111"/>
  <c r="I115" i="111"/>
  <c r="H115" i="111"/>
  <c r="E115" i="111"/>
  <c r="A115" i="111"/>
  <c r="S114" i="111"/>
  <c r="R114" i="111"/>
  <c r="Q114" i="111"/>
  <c r="P114" i="111"/>
  <c r="O114" i="111"/>
  <c r="N114" i="111"/>
  <c r="M114" i="111"/>
  <c r="K114" i="111"/>
  <c r="J114" i="111"/>
  <c r="I114" i="111"/>
  <c r="H114" i="111"/>
  <c r="E114" i="111"/>
  <c r="A114" i="111"/>
  <c r="S113" i="111"/>
  <c r="R113" i="111"/>
  <c r="Q113" i="111"/>
  <c r="P113" i="111"/>
  <c r="O113" i="111"/>
  <c r="N113" i="111"/>
  <c r="M113" i="111"/>
  <c r="K113" i="111"/>
  <c r="J113" i="111"/>
  <c r="I113" i="111"/>
  <c r="H113" i="111"/>
  <c r="E113" i="111"/>
  <c r="A113" i="111"/>
  <c r="S112" i="111"/>
  <c r="R112" i="111"/>
  <c r="Q112" i="111"/>
  <c r="P112" i="111"/>
  <c r="O112" i="111"/>
  <c r="N112" i="111"/>
  <c r="M112" i="111"/>
  <c r="K112" i="111"/>
  <c r="J112" i="111"/>
  <c r="I112" i="111"/>
  <c r="H112" i="111"/>
  <c r="E112" i="111"/>
  <c r="A112" i="111"/>
  <c r="S111" i="111"/>
  <c r="R111" i="111"/>
  <c r="Q111" i="111"/>
  <c r="P111" i="111"/>
  <c r="O111" i="111"/>
  <c r="N111" i="111"/>
  <c r="M111" i="111"/>
  <c r="K111" i="111"/>
  <c r="J111" i="111"/>
  <c r="I111" i="111"/>
  <c r="H111" i="111"/>
  <c r="E111" i="111"/>
  <c r="A111" i="111"/>
  <c r="S110" i="111"/>
  <c r="R110" i="111"/>
  <c r="Q110" i="111"/>
  <c r="P110" i="111"/>
  <c r="O110" i="111"/>
  <c r="N110" i="111"/>
  <c r="M110" i="111"/>
  <c r="K110" i="111"/>
  <c r="J110" i="111"/>
  <c r="I110" i="111"/>
  <c r="H110" i="111"/>
  <c r="E110" i="111"/>
  <c r="A110" i="111"/>
  <c r="S109" i="111"/>
  <c r="R109" i="111"/>
  <c r="Q109" i="111"/>
  <c r="P109" i="111"/>
  <c r="O109" i="111"/>
  <c r="N109" i="111"/>
  <c r="M109" i="111"/>
  <c r="K109" i="111"/>
  <c r="J109" i="111"/>
  <c r="I109" i="111"/>
  <c r="H109" i="111"/>
  <c r="E109" i="111"/>
  <c r="A109" i="111"/>
  <c r="S108" i="111"/>
  <c r="R108" i="111"/>
  <c r="Q108" i="111"/>
  <c r="P108" i="111"/>
  <c r="O108" i="111"/>
  <c r="N108" i="111"/>
  <c r="M108" i="111"/>
  <c r="K108" i="111"/>
  <c r="J108" i="111"/>
  <c r="I108" i="111"/>
  <c r="H108" i="111"/>
  <c r="E108" i="111"/>
  <c r="A108" i="111"/>
  <c r="S107" i="111"/>
  <c r="R107" i="111"/>
  <c r="Q107" i="111"/>
  <c r="P107" i="111"/>
  <c r="O107" i="111"/>
  <c r="N107" i="111"/>
  <c r="M107" i="111"/>
  <c r="K107" i="111"/>
  <c r="J107" i="111"/>
  <c r="I107" i="111"/>
  <c r="H107" i="111"/>
  <c r="E107" i="111"/>
  <c r="A107" i="111"/>
  <c r="S106" i="111"/>
  <c r="R106" i="111"/>
  <c r="Q106" i="111"/>
  <c r="P106" i="111"/>
  <c r="O106" i="111"/>
  <c r="N106" i="111"/>
  <c r="M106" i="111"/>
  <c r="K106" i="111"/>
  <c r="J106" i="111"/>
  <c r="I106" i="111"/>
  <c r="H106" i="111"/>
  <c r="E106" i="111"/>
  <c r="A106" i="111"/>
  <c r="S105" i="111"/>
  <c r="R105" i="111"/>
  <c r="Q105" i="111"/>
  <c r="P105" i="111"/>
  <c r="O105" i="111"/>
  <c r="N105" i="111"/>
  <c r="M105" i="111"/>
  <c r="K105" i="111"/>
  <c r="J105" i="111"/>
  <c r="I105" i="111"/>
  <c r="H105" i="111"/>
  <c r="E105" i="111"/>
  <c r="A105" i="111"/>
  <c r="S104" i="111"/>
  <c r="R104" i="111"/>
  <c r="Q104" i="111"/>
  <c r="P104" i="111"/>
  <c r="O104" i="111"/>
  <c r="N104" i="111"/>
  <c r="M104" i="111"/>
  <c r="K104" i="111"/>
  <c r="J104" i="111"/>
  <c r="I104" i="111"/>
  <c r="H104" i="111"/>
  <c r="E104" i="111"/>
  <c r="A104" i="111"/>
  <c r="S103" i="111"/>
  <c r="R103" i="111"/>
  <c r="Q103" i="111"/>
  <c r="P103" i="111"/>
  <c r="O103" i="111"/>
  <c r="N103" i="111"/>
  <c r="M103" i="111"/>
  <c r="K103" i="111"/>
  <c r="J103" i="111"/>
  <c r="I103" i="111"/>
  <c r="H103" i="111"/>
  <c r="E103" i="111"/>
  <c r="A103" i="111"/>
  <c r="S102" i="111"/>
  <c r="R102" i="111"/>
  <c r="Q102" i="111"/>
  <c r="P102" i="111"/>
  <c r="O102" i="111"/>
  <c r="N102" i="111"/>
  <c r="M102" i="111"/>
  <c r="K102" i="111"/>
  <c r="J102" i="111"/>
  <c r="I102" i="111"/>
  <c r="H102" i="111"/>
  <c r="E102" i="111"/>
  <c r="A102" i="111"/>
  <c r="S101" i="111"/>
  <c r="R101" i="111"/>
  <c r="Q101" i="111"/>
  <c r="P101" i="111"/>
  <c r="O101" i="111"/>
  <c r="N101" i="111"/>
  <c r="M101" i="111"/>
  <c r="K101" i="111"/>
  <c r="J101" i="111"/>
  <c r="I101" i="111"/>
  <c r="H101" i="111"/>
  <c r="E101" i="111"/>
  <c r="A101" i="111"/>
  <c r="S100" i="111"/>
  <c r="R100" i="111"/>
  <c r="Q100" i="111"/>
  <c r="P100" i="111"/>
  <c r="O100" i="111"/>
  <c r="N100" i="111"/>
  <c r="M100" i="111"/>
  <c r="K100" i="111"/>
  <c r="J100" i="111"/>
  <c r="I100" i="111"/>
  <c r="H100" i="111"/>
  <c r="E100" i="111"/>
  <c r="A100" i="111"/>
  <c r="S99" i="111"/>
  <c r="R99" i="111"/>
  <c r="Q99" i="111"/>
  <c r="P99" i="111"/>
  <c r="O99" i="111"/>
  <c r="N99" i="111"/>
  <c r="M99" i="111"/>
  <c r="K99" i="111"/>
  <c r="J99" i="111"/>
  <c r="I99" i="111"/>
  <c r="H99" i="111"/>
  <c r="E99" i="111"/>
  <c r="A99" i="111"/>
  <c r="S98" i="111"/>
  <c r="R98" i="111"/>
  <c r="Q98" i="111"/>
  <c r="P98" i="111"/>
  <c r="O98" i="111"/>
  <c r="N98" i="111"/>
  <c r="M98" i="111"/>
  <c r="K98" i="111"/>
  <c r="J98" i="111"/>
  <c r="I98" i="111"/>
  <c r="H98" i="111"/>
  <c r="E98" i="111"/>
  <c r="A98" i="111"/>
  <c r="S97" i="111"/>
  <c r="R97" i="111"/>
  <c r="Q97" i="111"/>
  <c r="P97" i="111"/>
  <c r="O97" i="111"/>
  <c r="N97" i="111"/>
  <c r="M97" i="111"/>
  <c r="K97" i="111"/>
  <c r="J97" i="111"/>
  <c r="I97" i="111"/>
  <c r="H97" i="111"/>
  <c r="E97" i="111"/>
  <c r="A97" i="111"/>
  <c r="S96" i="111"/>
  <c r="R96" i="111"/>
  <c r="Q96" i="111"/>
  <c r="P96" i="111"/>
  <c r="O96" i="111"/>
  <c r="N96" i="111"/>
  <c r="M96" i="111"/>
  <c r="K96" i="111"/>
  <c r="J96" i="111"/>
  <c r="I96" i="111"/>
  <c r="H96" i="111"/>
  <c r="E96" i="111"/>
  <c r="A96" i="111"/>
  <c r="S95" i="111"/>
  <c r="R95" i="111"/>
  <c r="Q95" i="111"/>
  <c r="P95" i="111"/>
  <c r="O95" i="111"/>
  <c r="N95" i="111"/>
  <c r="M95" i="111"/>
  <c r="K95" i="111"/>
  <c r="J95" i="111"/>
  <c r="I95" i="111"/>
  <c r="H95" i="111"/>
  <c r="E95" i="111"/>
  <c r="A95" i="111"/>
  <c r="S94" i="111"/>
  <c r="R94" i="111"/>
  <c r="Q94" i="111"/>
  <c r="P94" i="111"/>
  <c r="O94" i="111"/>
  <c r="N94" i="111"/>
  <c r="M94" i="111"/>
  <c r="K94" i="111"/>
  <c r="J94" i="111"/>
  <c r="I94" i="111"/>
  <c r="H94" i="111"/>
  <c r="E94" i="111"/>
  <c r="A94" i="111"/>
  <c r="S93" i="111"/>
  <c r="R93" i="111"/>
  <c r="Q93" i="111"/>
  <c r="P93" i="111"/>
  <c r="O93" i="111"/>
  <c r="N93" i="111"/>
  <c r="M93" i="111"/>
  <c r="K93" i="111"/>
  <c r="J93" i="111"/>
  <c r="I93" i="111"/>
  <c r="H93" i="111"/>
  <c r="E93" i="111"/>
  <c r="A93" i="111"/>
  <c r="S92" i="111"/>
  <c r="R92" i="111"/>
  <c r="Q92" i="111"/>
  <c r="P92" i="111"/>
  <c r="O92" i="111"/>
  <c r="N92" i="111"/>
  <c r="M92" i="111"/>
  <c r="K92" i="111"/>
  <c r="J92" i="111"/>
  <c r="I92" i="111"/>
  <c r="H92" i="111"/>
  <c r="E92" i="111"/>
  <c r="A92" i="111"/>
  <c r="S91" i="111"/>
  <c r="R91" i="111"/>
  <c r="Q91" i="111"/>
  <c r="P91" i="111"/>
  <c r="O91" i="111"/>
  <c r="N91" i="111"/>
  <c r="M91" i="111"/>
  <c r="K91" i="111"/>
  <c r="J91" i="111"/>
  <c r="I91" i="111"/>
  <c r="H91" i="111"/>
  <c r="E91" i="111"/>
  <c r="A91" i="111"/>
  <c r="S90" i="111"/>
  <c r="R90" i="111"/>
  <c r="Q90" i="111"/>
  <c r="P90" i="111"/>
  <c r="O90" i="111"/>
  <c r="N90" i="111"/>
  <c r="M90" i="111"/>
  <c r="K90" i="111"/>
  <c r="J90" i="111"/>
  <c r="I90" i="111"/>
  <c r="H90" i="111"/>
  <c r="E90" i="111"/>
  <c r="A90" i="111"/>
  <c r="S89" i="111"/>
  <c r="R89" i="111"/>
  <c r="Q89" i="111"/>
  <c r="P89" i="111"/>
  <c r="O89" i="111"/>
  <c r="N89" i="111"/>
  <c r="M89" i="111"/>
  <c r="K89" i="111"/>
  <c r="J89" i="111"/>
  <c r="I89" i="111"/>
  <c r="H89" i="111"/>
  <c r="E89" i="111"/>
  <c r="A89" i="111"/>
  <c r="S88" i="111"/>
  <c r="R88" i="111"/>
  <c r="Q88" i="111"/>
  <c r="P88" i="111"/>
  <c r="O88" i="111"/>
  <c r="N88" i="111"/>
  <c r="M88" i="111"/>
  <c r="K88" i="111"/>
  <c r="J88" i="111"/>
  <c r="I88" i="111"/>
  <c r="H88" i="111"/>
  <c r="E88" i="111"/>
  <c r="A88" i="111"/>
  <c r="S87" i="111"/>
  <c r="R87" i="111"/>
  <c r="Q87" i="111"/>
  <c r="P87" i="111"/>
  <c r="O87" i="111"/>
  <c r="N87" i="111"/>
  <c r="M87" i="111"/>
  <c r="K87" i="111"/>
  <c r="J87" i="111"/>
  <c r="I87" i="111"/>
  <c r="H87" i="111"/>
  <c r="E87" i="111"/>
  <c r="A87" i="111"/>
  <c r="S86" i="111"/>
  <c r="R86" i="111"/>
  <c r="Q86" i="111"/>
  <c r="P86" i="111"/>
  <c r="O86" i="111"/>
  <c r="N86" i="111"/>
  <c r="M86" i="111"/>
  <c r="K86" i="111"/>
  <c r="J86" i="111"/>
  <c r="I86" i="111"/>
  <c r="H86" i="111"/>
  <c r="E86" i="111"/>
  <c r="A86" i="111"/>
  <c r="S85" i="111"/>
  <c r="R85" i="111"/>
  <c r="Q85" i="111"/>
  <c r="P85" i="111"/>
  <c r="O85" i="111"/>
  <c r="N85" i="111"/>
  <c r="M85" i="111"/>
  <c r="K85" i="111"/>
  <c r="J85" i="111"/>
  <c r="I85" i="111"/>
  <c r="H85" i="111"/>
  <c r="E85" i="111"/>
  <c r="A85" i="111"/>
  <c r="S84" i="111"/>
  <c r="R84" i="111"/>
  <c r="Q84" i="111"/>
  <c r="P84" i="111"/>
  <c r="O84" i="111"/>
  <c r="N84" i="111"/>
  <c r="M84" i="111"/>
  <c r="K84" i="111"/>
  <c r="J84" i="111"/>
  <c r="I84" i="111"/>
  <c r="H84" i="111"/>
  <c r="E84" i="111"/>
  <c r="A84" i="111"/>
  <c r="S83" i="111"/>
  <c r="R83" i="111"/>
  <c r="Q83" i="111"/>
  <c r="P83" i="111"/>
  <c r="O83" i="111"/>
  <c r="N83" i="111"/>
  <c r="M83" i="111"/>
  <c r="K83" i="111"/>
  <c r="J83" i="111"/>
  <c r="I83" i="111"/>
  <c r="H83" i="111"/>
  <c r="E83" i="111"/>
  <c r="A83" i="111"/>
  <c r="S82" i="111"/>
  <c r="R82" i="111"/>
  <c r="Q82" i="111"/>
  <c r="P82" i="111"/>
  <c r="O82" i="111"/>
  <c r="N82" i="111"/>
  <c r="M82" i="111"/>
  <c r="K82" i="111"/>
  <c r="J82" i="111"/>
  <c r="I82" i="111"/>
  <c r="H82" i="111"/>
  <c r="E82" i="111"/>
  <c r="A82" i="111"/>
  <c r="S81" i="111"/>
  <c r="R81" i="111"/>
  <c r="Q81" i="111"/>
  <c r="P81" i="111"/>
  <c r="O81" i="111"/>
  <c r="N81" i="111"/>
  <c r="M81" i="111"/>
  <c r="K81" i="111"/>
  <c r="J81" i="111"/>
  <c r="I81" i="111"/>
  <c r="H81" i="111"/>
  <c r="E81" i="111"/>
  <c r="A81" i="111"/>
  <c r="S80" i="111"/>
  <c r="R80" i="111"/>
  <c r="Q80" i="111"/>
  <c r="P80" i="111"/>
  <c r="O80" i="111"/>
  <c r="N80" i="111"/>
  <c r="M80" i="111"/>
  <c r="K80" i="111"/>
  <c r="J80" i="111"/>
  <c r="I80" i="111"/>
  <c r="H80" i="111"/>
  <c r="E80" i="111"/>
  <c r="A80" i="111"/>
  <c r="S79" i="111"/>
  <c r="R79" i="111"/>
  <c r="Q79" i="111"/>
  <c r="P79" i="111"/>
  <c r="O79" i="111"/>
  <c r="N79" i="111"/>
  <c r="M79" i="111"/>
  <c r="K79" i="111"/>
  <c r="J79" i="111"/>
  <c r="I79" i="111"/>
  <c r="H79" i="111"/>
  <c r="E79" i="111"/>
  <c r="A79" i="111"/>
  <c r="S78" i="111"/>
  <c r="R78" i="111"/>
  <c r="Q78" i="111"/>
  <c r="P78" i="111"/>
  <c r="O78" i="111"/>
  <c r="N78" i="111"/>
  <c r="M78" i="111"/>
  <c r="K78" i="111"/>
  <c r="J78" i="111"/>
  <c r="I78" i="111"/>
  <c r="H78" i="111"/>
  <c r="E78" i="111"/>
  <c r="A78" i="111"/>
  <c r="S77" i="111"/>
  <c r="R77" i="111"/>
  <c r="Q77" i="111"/>
  <c r="P77" i="111"/>
  <c r="O77" i="111"/>
  <c r="N77" i="111"/>
  <c r="M77" i="111"/>
  <c r="K77" i="111"/>
  <c r="J77" i="111"/>
  <c r="I77" i="111"/>
  <c r="H77" i="111"/>
  <c r="E77" i="111"/>
  <c r="A77" i="111"/>
  <c r="S76" i="111"/>
  <c r="R76" i="111"/>
  <c r="Q76" i="111"/>
  <c r="P76" i="111"/>
  <c r="O76" i="111"/>
  <c r="N76" i="111"/>
  <c r="M76" i="111"/>
  <c r="K76" i="111"/>
  <c r="J76" i="111"/>
  <c r="I76" i="111"/>
  <c r="H76" i="111"/>
  <c r="E76" i="111"/>
  <c r="A76" i="111"/>
  <c r="S75" i="111"/>
  <c r="R75" i="111"/>
  <c r="Q75" i="111"/>
  <c r="P75" i="111"/>
  <c r="O75" i="111"/>
  <c r="N75" i="111"/>
  <c r="M75" i="111"/>
  <c r="K75" i="111"/>
  <c r="J75" i="111"/>
  <c r="I75" i="111"/>
  <c r="H75" i="111"/>
  <c r="E75" i="111"/>
  <c r="A75" i="111"/>
  <c r="S74" i="111"/>
  <c r="R74" i="111"/>
  <c r="Q74" i="111"/>
  <c r="P74" i="111"/>
  <c r="O74" i="111"/>
  <c r="N74" i="111"/>
  <c r="M74" i="111"/>
  <c r="K74" i="111"/>
  <c r="J74" i="111"/>
  <c r="I74" i="111"/>
  <c r="H74" i="111"/>
  <c r="E74" i="111"/>
  <c r="A74" i="111"/>
  <c r="S73" i="111"/>
  <c r="R73" i="111"/>
  <c r="Q73" i="111"/>
  <c r="P73" i="111"/>
  <c r="O73" i="111"/>
  <c r="N73" i="111"/>
  <c r="M73" i="111"/>
  <c r="K73" i="111"/>
  <c r="J73" i="111"/>
  <c r="I73" i="111"/>
  <c r="H73" i="111"/>
  <c r="E73" i="111"/>
  <c r="A73" i="111"/>
  <c r="S72" i="111"/>
  <c r="R72" i="111"/>
  <c r="Q72" i="111"/>
  <c r="P72" i="111"/>
  <c r="O72" i="111"/>
  <c r="N72" i="111"/>
  <c r="M72" i="111"/>
  <c r="K72" i="111"/>
  <c r="J72" i="111"/>
  <c r="I72" i="111"/>
  <c r="H72" i="111"/>
  <c r="E72" i="111"/>
  <c r="A72" i="111"/>
  <c r="S71" i="111"/>
  <c r="R71" i="111"/>
  <c r="Q71" i="111"/>
  <c r="P71" i="111"/>
  <c r="O71" i="111"/>
  <c r="N71" i="111"/>
  <c r="M71" i="111"/>
  <c r="K71" i="111"/>
  <c r="J71" i="111"/>
  <c r="I71" i="111"/>
  <c r="H71" i="111"/>
  <c r="E71" i="111"/>
  <c r="A71" i="111"/>
  <c r="S70" i="111"/>
  <c r="R70" i="111"/>
  <c r="Q70" i="111"/>
  <c r="P70" i="111"/>
  <c r="O70" i="111"/>
  <c r="N70" i="111"/>
  <c r="M70" i="111"/>
  <c r="K70" i="111"/>
  <c r="J70" i="111"/>
  <c r="I70" i="111"/>
  <c r="H70" i="111"/>
  <c r="E70" i="111"/>
  <c r="A70" i="111"/>
  <c r="S69" i="111"/>
  <c r="R69" i="111"/>
  <c r="Q69" i="111"/>
  <c r="P69" i="111"/>
  <c r="O69" i="111"/>
  <c r="N69" i="111"/>
  <c r="M69" i="111"/>
  <c r="K69" i="111"/>
  <c r="J69" i="111"/>
  <c r="I69" i="111"/>
  <c r="H69" i="111"/>
  <c r="E69" i="111"/>
  <c r="A69" i="111"/>
  <c r="S68" i="111"/>
  <c r="R68" i="111"/>
  <c r="Q68" i="111"/>
  <c r="P68" i="111"/>
  <c r="O68" i="111"/>
  <c r="N68" i="111"/>
  <c r="M68" i="111"/>
  <c r="K68" i="111"/>
  <c r="J68" i="111"/>
  <c r="I68" i="111"/>
  <c r="H68" i="111"/>
  <c r="E68" i="111"/>
  <c r="A68" i="111"/>
  <c r="S67" i="111"/>
  <c r="R67" i="111"/>
  <c r="Q67" i="111"/>
  <c r="P67" i="111"/>
  <c r="O67" i="111"/>
  <c r="N67" i="111"/>
  <c r="M67" i="111"/>
  <c r="K67" i="111"/>
  <c r="J67" i="111"/>
  <c r="I67" i="111"/>
  <c r="H67" i="111"/>
  <c r="E67" i="111"/>
  <c r="A67" i="111"/>
  <c r="S66" i="111"/>
  <c r="R66" i="111"/>
  <c r="Q66" i="111"/>
  <c r="P66" i="111"/>
  <c r="O66" i="111"/>
  <c r="N66" i="111"/>
  <c r="M66" i="111"/>
  <c r="K66" i="111"/>
  <c r="J66" i="111"/>
  <c r="I66" i="111"/>
  <c r="H66" i="111"/>
  <c r="E66" i="111"/>
  <c r="A66" i="111"/>
  <c r="S65" i="111"/>
  <c r="R65" i="111"/>
  <c r="Q65" i="111"/>
  <c r="P65" i="111"/>
  <c r="O65" i="111"/>
  <c r="N65" i="111"/>
  <c r="M65" i="111"/>
  <c r="K65" i="111"/>
  <c r="J65" i="111"/>
  <c r="I65" i="111"/>
  <c r="H65" i="111"/>
  <c r="E65" i="111"/>
  <c r="A65" i="111"/>
  <c r="S64" i="111"/>
  <c r="R64" i="111"/>
  <c r="Q64" i="111"/>
  <c r="P64" i="111"/>
  <c r="O64" i="111"/>
  <c r="N64" i="111"/>
  <c r="M64" i="111"/>
  <c r="K64" i="111"/>
  <c r="J64" i="111"/>
  <c r="I64" i="111"/>
  <c r="H64" i="111"/>
  <c r="E64" i="111"/>
  <c r="A64" i="111"/>
  <c r="S63" i="111"/>
  <c r="R63" i="111"/>
  <c r="Q63" i="111"/>
  <c r="P63" i="111"/>
  <c r="O63" i="111"/>
  <c r="N63" i="111"/>
  <c r="M63" i="111"/>
  <c r="K63" i="111"/>
  <c r="J63" i="111"/>
  <c r="I63" i="111"/>
  <c r="H63" i="111"/>
  <c r="E63" i="111"/>
  <c r="A63" i="111"/>
  <c r="S62" i="111"/>
  <c r="R62" i="111"/>
  <c r="Q62" i="111"/>
  <c r="P62" i="111"/>
  <c r="O62" i="111"/>
  <c r="N62" i="111"/>
  <c r="M62" i="111"/>
  <c r="K62" i="111"/>
  <c r="J62" i="111"/>
  <c r="I62" i="111"/>
  <c r="H62" i="111"/>
  <c r="E62" i="111"/>
  <c r="A62" i="111"/>
  <c r="S61" i="111"/>
  <c r="R61" i="111"/>
  <c r="Q61" i="111"/>
  <c r="P61" i="111"/>
  <c r="O61" i="111"/>
  <c r="N61" i="111"/>
  <c r="M61" i="111"/>
  <c r="K61" i="111"/>
  <c r="J61" i="111"/>
  <c r="I61" i="111"/>
  <c r="H61" i="111"/>
  <c r="E61" i="111"/>
  <c r="A61" i="111"/>
  <c r="S60" i="111"/>
  <c r="R60" i="111"/>
  <c r="Q60" i="111"/>
  <c r="P60" i="111"/>
  <c r="O60" i="111"/>
  <c r="N60" i="111"/>
  <c r="M60" i="111"/>
  <c r="K60" i="111"/>
  <c r="J60" i="111"/>
  <c r="I60" i="111"/>
  <c r="H60" i="111"/>
  <c r="E60" i="111"/>
  <c r="A60" i="111"/>
  <c r="S59" i="111"/>
  <c r="R59" i="111"/>
  <c r="Q59" i="111"/>
  <c r="P59" i="111"/>
  <c r="O59" i="111"/>
  <c r="N59" i="111"/>
  <c r="M59" i="111"/>
  <c r="K59" i="111"/>
  <c r="J59" i="111"/>
  <c r="I59" i="111"/>
  <c r="H59" i="111"/>
  <c r="E59" i="111"/>
  <c r="A59" i="111"/>
  <c r="S58" i="111"/>
  <c r="R58" i="111"/>
  <c r="Q58" i="111"/>
  <c r="P58" i="111"/>
  <c r="O58" i="111"/>
  <c r="N58" i="111"/>
  <c r="M58" i="111"/>
  <c r="K58" i="111"/>
  <c r="J58" i="111"/>
  <c r="I58" i="111"/>
  <c r="H58" i="111"/>
  <c r="E58" i="111"/>
  <c r="A58" i="111"/>
  <c r="S57" i="111"/>
  <c r="R57" i="111"/>
  <c r="Q57" i="111"/>
  <c r="P57" i="111"/>
  <c r="O57" i="111"/>
  <c r="N57" i="111"/>
  <c r="M57" i="111"/>
  <c r="K57" i="111"/>
  <c r="J57" i="111"/>
  <c r="I57" i="111"/>
  <c r="H57" i="111"/>
  <c r="E57" i="111"/>
  <c r="A57" i="111"/>
  <c r="S56" i="111"/>
  <c r="R56" i="111"/>
  <c r="Q56" i="111"/>
  <c r="P56" i="111"/>
  <c r="O56" i="111"/>
  <c r="N56" i="111"/>
  <c r="M56" i="111"/>
  <c r="K56" i="111"/>
  <c r="J56" i="111"/>
  <c r="I56" i="111"/>
  <c r="H56" i="111"/>
  <c r="E56" i="111"/>
  <c r="A56" i="111"/>
  <c r="S55" i="111"/>
  <c r="R55" i="111"/>
  <c r="Q55" i="111"/>
  <c r="P55" i="111"/>
  <c r="O55" i="111"/>
  <c r="N55" i="111"/>
  <c r="M55" i="111"/>
  <c r="K55" i="111"/>
  <c r="J55" i="111"/>
  <c r="I55" i="111"/>
  <c r="H55" i="111"/>
  <c r="E55" i="111"/>
  <c r="A55" i="111"/>
  <c r="S54" i="111"/>
  <c r="R54" i="111"/>
  <c r="Q54" i="111"/>
  <c r="P54" i="111"/>
  <c r="O54" i="111"/>
  <c r="N54" i="111"/>
  <c r="M54" i="111"/>
  <c r="K54" i="111"/>
  <c r="J54" i="111"/>
  <c r="I54" i="111"/>
  <c r="H54" i="111"/>
  <c r="E54" i="111"/>
  <c r="A54" i="111"/>
  <c r="S53" i="111"/>
  <c r="R53" i="111"/>
  <c r="Q53" i="111"/>
  <c r="P53" i="111"/>
  <c r="O53" i="111"/>
  <c r="N53" i="111"/>
  <c r="M53" i="111"/>
  <c r="K53" i="111"/>
  <c r="J53" i="111"/>
  <c r="I53" i="111"/>
  <c r="H53" i="111"/>
  <c r="E53" i="111"/>
  <c r="A53" i="111"/>
  <c r="S52" i="111"/>
  <c r="R52" i="111"/>
  <c r="Q52" i="111"/>
  <c r="P52" i="111"/>
  <c r="O52" i="111"/>
  <c r="N52" i="111"/>
  <c r="M52" i="111"/>
  <c r="K52" i="111"/>
  <c r="J52" i="111"/>
  <c r="I52" i="111"/>
  <c r="H52" i="111"/>
  <c r="E52" i="111"/>
  <c r="A52" i="111"/>
  <c r="S51" i="111"/>
  <c r="R51" i="111"/>
  <c r="Q51" i="111"/>
  <c r="P51" i="111"/>
  <c r="O51" i="111"/>
  <c r="N51" i="111"/>
  <c r="M51" i="111"/>
  <c r="K51" i="111"/>
  <c r="J51" i="111"/>
  <c r="I51" i="111"/>
  <c r="H51" i="111"/>
  <c r="E51" i="111"/>
  <c r="A51" i="111"/>
  <c r="S50" i="111"/>
  <c r="R50" i="111"/>
  <c r="Q50" i="111"/>
  <c r="P50" i="111"/>
  <c r="O50" i="111"/>
  <c r="N50" i="111"/>
  <c r="M50" i="111"/>
  <c r="K50" i="111"/>
  <c r="J50" i="111"/>
  <c r="I50" i="111"/>
  <c r="H50" i="111"/>
  <c r="E50" i="111"/>
  <c r="A50" i="111"/>
  <c r="S49" i="111"/>
  <c r="R49" i="111"/>
  <c r="Q49" i="111"/>
  <c r="P49" i="111"/>
  <c r="O49" i="111"/>
  <c r="N49" i="111"/>
  <c r="M49" i="111"/>
  <c r="K49" i="111"/>
  <c r="J49" i="111"/>
  <c r="I49" i="111"/>
  <c r="H49" i="111"/>
  <c r="E49" i="111"/>
  <c r="A49" i="111"/>
  <c r="S48" i="111"/>
  <c r="R48" i="111"/>
  <c r="Q48" i="111"/>
  <c r="P48" i="111"/>
  <c r="O48" i="111"/>
  <c r="N48" i="111"/>
  <c r="M48" i="111"/>
  <c r="K48" i="111"/>
  <c r="J48" i="111"/>
  <c r="I48" i="111"/>
  <c r="H48" i="111"/>
  <c r="E48" i="111"/>
  <c r="A48" i="111"/>
  <c r="S47" i="111"/>
  <c r="R47" i="111"/>
  <c r="Q47" i="111"/>
  <c r="P47" i="111"/>
  <c r="O47" i="111"/>
  <c r="N47" i="111"/>
  <c r="M47" i="111"/>
  <c r="K47" i="111"/>
  <c r="J47" i="111"/>
  <c r="I47" i="111"/>
  <c r="H47" i="111"/>
  <c r="E47" i="111"/>
  <c r="A47" i="111"/>
  <c r="S46" i="111"/>
  <c r="R46" i="111"/>
  <c r="Q46" i="111"/>
  <c r="P46" i="111"/>
  <c r="O46" i="111"/>
  <c r="N46" i="111"/>
  <c r="M46" i="111"/>
  <c r="K46" i="111"/>
  <c r="J46" i="111"/>
  <c r="I46" i="111"/>
  <c r="H46" i="111"/>
  <c r="E46" i="111"/>
  <c r="A46" i="111"/>
  <c r="S45" i="111"/>
  <c r="R45" i="111"/>
  <c r="Q45" i="111"/>
  <c r="P45" i="111"/>
  <c r="O45" i="111"/>
  <c r="N45" i="111"/>
  <c r="M45" i="111"/>
  <c r="K45" i="111"/>
  <c r="J45" i="111"/>
  <c r="I45" i="111"/>
  <c r="H45" i="111"/>
  <c r="E45" i="111"/>
  <c r="A45" i="111"/>
  <c r="S44" i="111"/>
  <c r="R44" i="111"/>
  <c r="Q44" i="111"/>
  <c r="P44" i="111"/>
  <c r="O44" i="111"/>
  <c r="N44" i="111"/>
  <c r="M44" i="111"/>
  <c r="K44" i="111"/>
  <c r="J44" i="111"/>
  <c r="I44" i="111"/>
  <c r="H44" i="111"/>
  <c r="E44" i="111"/>
  <c r="A44" i="111"/>
  <c r="S43" i="111"/>
  <c r="R43" i="111"/>
  <c r="Q43" i="111"/>
  <c r="P43" i="111"/>
  <c r="O43" i="111"/>
  <c r="N43" i="111"/>
  <c r="M43" i="111"/>
  <c r="K43" i="111"/>
  <c r="J43" i="111"/>
  <c r="I43" i="111"/>
  <c r="H43" i="111"/>
  <c r="E43" i="111"/>
  <c r="A43" i="111"/>
  <c r="S42" i="111"/>
  <c r="R42" i="111"/>
  <c r="Q42" i="111"/>
  <c r="P42" i="111"/>
  <c r="O42" i="111"/>
  <c r="N42" i="111"/>
  <c r="M42" i="111"/>
  <c r="K42" i="111"/>
  <c r="J42" i="111"/>
  <c r="I42" i="111"/>
  <c r="H42" i="111"/>
  <c r="E42" i="111"/>
  <c r="A42" i="111"/>
  <c r="S41" i="111"/>
  <c r="R41" i="111"/>
  <c r="Q41" i="111"/>
  <c r="P41" i="111"/>
  <c r="O41" i="111"/>
  <c r="N41" i="111"/>
  <c r="M41" i="111"/>
  <c r="K41" i="111"/>
  <c r="J41" i="111"/>
  <c r="I41" i="111"/>
  <c r="H41" i="111"/>
  <c r="E41" i="111"/>
  <c r="A41" i="111"/>
  <c r="S40" i="111"/>
  <c r="R40" i="111"/>
  <c r="Q40" i="111"/>
  <c r="P40" i="111"/>
  <c r="O40" i="111"/>
  <c r="N40" i="111"/>
  <c r="M40" i="111"/>
  <c r="K40" i="111"/>
  <c r="J40" i="111"/>
  <c r="I40" i="111"/>
  <c r="H40" i="111"/>
  <c r="E40" i="111"/>
  <c r="A40" i="111"/>
  <c r="S39" i="111"/>
  <c r="R39" i="111"/>
  <c r="Q39" i="111"/>
  <c r="P39" i="111"/>
  <c r="O39" i="111"/>
  <c r="N39" i="111"/>
  <c r="M39" i="111"/>
  <c r="K39" i="111"/>
  <c r="J39" i="111"/>
  <c r="I39" i="111"/>
  <c r="H39" i="111"/>
  <c r="E39" i="111"/>
  <c r="A39" i="111"/>
  <c r="S38" i="111"/>
  <c r="R38" i="111"/>
  <c r="Q38" i="111"/>
  <c r="P38" i="111"/>
  <c r="O38" i="111"/>
  <c r="N38" i="111"/>
  <c r="M38" i="111"/>
  <c r="K38" i="111"/>
  <c r="J38" i="111"/>
  <c r="I38" i="111"/>
  <c r="H38" i="111"/>
  <c r="E38" i="111"/>
  <c r="A38" i="111"/>
  <c r="S37" i="111"/>
  <c r="R37" i="111"/>
  <c r="Q37" i="111"/>
  <c r="P37" i="111"/>
  <c r="O37" i="111"/>
  <c r="N37" i="111"/>
  <c r="M37" i="111"/>
  <c r="K37" i="111"/>
  <c r="J37" i="111"/>
  <c r="I37" i="111"/>
  <c r="H37" i="111"/>
  <c r="E37" i="111"/>
  <c r="A37" i="111"/>
  <c r="S36" i="111"/>
  <c r="R36" i="111"/>
  <c r="Q36" i="111"/>
  <c r="P36" i="111"/>
  <c r="O36" i="111"/>
  <c r="N36" i="111"/>
  <c r="M36" i="111"/>
  <c r="K36" i="111"/>
  <c r="J36" i="111"/>
  <c r="I36" i="111"/>
  <c r="H36" i="111"/>
  <c r="E36" i="111"/>
  <c r="A36" i="111"/>
  <c r="S35" i="111"/>
  <c r="R35" i="111"/>
  <c r="Q35" i="111"/>
  <c r="P35" i="111"/>
  <c r="O35" i="111"/>
  <c r="N35" i="111"/>
  <c r="M35" i="111"/>
  <c r="K35" i="111"/>
  <c r="J35" i="111"/>
  <c r="I35" i="111"/>
  <c r="H35" i="111"/>
  <c r="E35" i="111"/>
  <c r="A35" i="111"/>
  <c r="S34" i="111"/>
  <c r="R34" i="111"/>
  <c r="Q34" i="111"/>
  <c r="P34" i="111"/>
  <c r="O34" i="111"/>
  <c r="N34" i="111"/>
  <c r="M34" i="111"/>
  <c r="K34" i="111"/>
  <c r="J34" i="111"/>
  <c r="I34" i="111"/>
  <c r="H34" i="111"/>
  <c r="E34" i="111"/>
  <c r="A34" i="111"/>
  <c r="S33" i="111"/>
  <c r="R33" i="111"/>
  <c r="Q33" i="111"/>
  <c r="P33" i="111"/>
  <c r="O33" i="111"/>
  <c r="N33" i="111"/>
  <c r="M33" i="111"/>
  <c r="K33" i="111"/>
  <c r="J33" i="111"/>
  <c r="I33" i="111"/>
  <c r="H33" i="111"/>
  <c r="E33" i="111"/>
  <c r="A33" i="111"/>
  <c r="S32" i="111"/>
  <c r="R32" i="111"/>
  <c r="Q32" i="111"/>
  <c r="P32" i="111"/>
  <c r="O32" i="111"/>
  <c r="N32" i="111"/>
  <c r="M32" i="111"/>
  <c r="K32" i="111"/>
  <c r="J32" i="111"/>
  <c r="I32" i="111"/>
  <c r="H32" i="111"/>
  <c r="E32" i="111"/>
  <c r="A32" i="111"/>
  <c r="S31" i="111"/>
  <c r="R31" i="111"/>
  <c r="Q31" i="111"/>
  <c r="P31" i="111"/>
  <c r="O31" i="111"/>
  <c r="N31" i="111"/>
  <c r="M31" i="111"/>
  <c r="K31" i="111"/>
  <c r="J31" i="111"/>
  <c r="I31" i="111"/>
  <c r="H31" i="111"/>
  <c r="E31" i="111"/>
  <c r="A31" i="111"/>
  <c r="S30" i="111"/>
  <c r="R30" i="111"/>
  <c r="Q30" i="111"/>
  <c r="P30" i="111"/>
  <c r="O30" i="111"/>
  <c r="N30" i="111"/>
  <c r="M30" i="111"/>
  <c r="K30" i="111"/>
  <c r="J30" i="111"/>
  <c r="I30" i="111"/>
  <c r="H30" i="111"/>
  <c r="E30" i="111"/>
  <c r="A30" i="111"/>
  <c r="S29" i="111"/>
  <c r="R29" i="111"/>
  <c r="Q29" i="111"/>
  <c r="P29" i="111"/>
  <c r="O29" i="111"/>
  <c r="N29" i="111"/>
  <c r="M29" i="111"/>
  <c r="K29" i="111"/>
  <c r="J29" i="111"/>
  <c r="I29" i="111"/>
  <c r="H29" i="111"/>
  <c r="E29" i="111"/>
  <c r="A29" i="111"/>
  <c r="S28" i="111"/>
  <c r="R28" i="111"/>
  <c r="Q28" i="111"/>
  <c r="P28" i="111"/>
  <c r="O28" i="111"/>
  <c r="N28" i="111"/>
  <c r="M28" i="111"/>
  <c r="K28" i="111"/>
  <c r="J28" i="111"/>
  <c r="I28" i="111"/>
  <c r="H28" i="111"/>
  <c r="E28" i="111"/>
  <c r="A28" i="111"/>
  <c r="S27" i="111"/>
  <c r="R27" i="111"/>
  <c r="Q27" i="111"/>
  <c r="P27" i="111"/>
  <c r="O27" i="111"/>
  <c r="N27" i="111"/>
  <c r="M27" i="111"/>
  <c r="K27" i="111"/>
  <c r="J27" i="111"/>
  <c r="I27" i="111"/>
  <c r="H27" i="111"/>
  <c r="E27" i="111"/>
  <c r="A27" i="111"/>
  <c r="S26" i="111"/>
  <c r="R26" i="111"/>
  <c r="Q26" i="111"/>
  <c r="P26" i="111"/>
  <c r="O26" i="111"/>
  <c r="N26" i="111"/>
  <c r="M26" i="111"/>
  <c r="K26" i="111"/>
  <c r="J26" i="111"/>
  <c r="I26" i="111"/>
  <c r="H26" i="111"/>
  <c r="E26" i="111"/>
  <c r="A26" i="111"/>
  <c r="S25" i="111"/>
  <c r="R25" i="111"/>
  <c r="Q25" i="111"/>
  <c r="P25" i="111"/>
  <c r="O25" i="111"/>
  <c r="N25" i="111"/>
  <c r="M25" i="111"/>
  <c r="K25" i="111"/>
  <c r="J25" i="111"/>
  <c r="I25" i="111"/>
  <c r="H25" i="111"/>
  <c r="E25" i="111"/>
  <c r="A25" i="111"/>
  <c r="S24" i="111"/>
  <c r="R24" i="111"/>
  <c r="Q24" i="111"/>
  <c r="P24" i="111"/>
  <c r="O24" i="111"/>
  <c r="N24" i="111"/>
  <c r="M24" i="111"/>
  <c r="K24" i="111"/>
  <c r="J24" i="111"/>
  <c r="I24" i="111"/>
  <c r="H24" i="111"/>
  <c r="E24" i="111"/>
  <c r="A24" i="111"/>
  <c r="S23" i="111"/>
  <c r="R23" i="111"/>
  <c r="Q23" i="111"/>
  <c r="P23" i="111"/>
  <c r="O23" i="111"/>
  <c r="N23" i="111"/>
  <c r="M23" i="111"/>
  <c r="K23" i="111"/>
  <c r="J23" i="111"/>
  <c r="I23" i="111"/>
  <c r="H23" i="111"/>
  <c r="E23" i="111"/>
  <c r="A23" i="111"/>
  <c r="S22" i="111"/>
  <c r="R22" i="111"/>
  <c r="Q22" i="111"/>
  <c r="P22" i="111"/>
  <c r="O22" i="111"/>
  <c r="N22" i="111"/>
  <c r="M22" i="111"/>
  <c r="K22" i="111"/>
  <c r="J22" i="111"/>
  <c r="I22" i="111"/>
  <c r="H22" i="111"/>
  <c r="E22" i="111"/>
  <c r="A22" i="111"/>
  <c r="S21" i="111"/>
  <c r="R21" i="111"/>
  <c r="Q21" i="111"/>
  <c r="P21" i="111"/>
  <c r="O21" i="111"/>
  <c r="N21" i="111"/>
  <c r="M21" i="111"/>
  <c r="K21" i="111"/>
  <c r="J21" i="111"/>
  <c r="I21" i="111"/>
  <c r="H21" i="111"/>
  <c r="E21" i="111"/>
  <c r="A21" i="111"/>
  <c r="S20" i="111"/>
  <c r="R20" i="111"/>
  <c r="Q20" i="111"/>
  <c r="P20" i="111"/>
  <c r="O20" i="111"/>
  <c r="N20" i="111"/>
  <c r="M20" i="111"/>
  <c r="K20" i="111"/>
  <c r="J20" i="111"/>
  <c r="I20" i="111"/>
  <c r="H20" i="111"/>
  <c r="E20" i="111"/>
  <c r="A20" i="111"/>
  <c r="S19" i="111"/>
  <c r="R19" i="111"/>
  <c r="Q19" i="111"/>
  <c r="P19" i="111"/>
  <c r="O19" i="111"/>
  <c r="N19" i="111"/>
  <c r="M19" i="111"/>
  <c r="K19" i="111"/>
  <c r="J19" i="111"/>
  <c r="I19" i="111"/>
  <c r="H19" i="111"/>
  <c r="E19" i="111"/>
  <c r="A19" i="111"/>
  <c r="S18" i="111"/>
  <c r="R18" i="111"/>
  <c r="Q18" i="111"/>
  <c r="P18" i="111"/>
  <c r="O18" i="111"/>
  <c r="N18" i="111"/>
  <c r="M18" i="111"/>
  <c r="K18" i="111"/>
  <c r="J18" i="111"/>
  <c r="I18" i="111"/>
  <c r="H18" i="111"/>
  <c r="E18" i="111"/>
  <c r="A18" i="111"/>
  <c r="S17" i="111"/>
  <c r="R17" i="111"/>
  <c r="Q17" i="111"/>
  <c r="P17" i="111"/>
  <c r="O17" i="111"/>
  <c r="N17" i="111"/>
  <c r="M17" i="111"/>
  <c r="K17" i="111"/>
  <c r="J17" i="111"/>
  <c r="I17" i="111"/>
  <c r="H17" i="111"/>
  <c r="E17" i="111"/>
  <c r="A17" i="111"/>
  <c r="S16" i="111"/>
  <c r="R16" i="111"/>
  <c r="Q16" i="111"/>
  <c r="P16" i="111"/>
  <c r="O16" i="111"/>
  <c r="N16" i="111"/>
  <c r="M16" i="111"/>
  <c r="K16" i="111"/>
  <c r="J16" i="111"/>
  <c r="I16" i="111"/>
  <c r="H16" i="111"/>
  <c r="E16" i="111"/>
  <c r="A16" i="111"/>
  <c r="S15" i="111"/>
  <c r="R15" i="111"/>
  <c r="Q15" i="111"/>
  <c r="P15" i="111"/>
  <c r="O15" i="111"/>
  <c r="N15" i="111"/>
  <c r="M15" i="111"/>
  <c r="K15" i="111"/>
  <c r="J15" i="111"/>
  <c r="I15" i="111"/>
  <c r="H15" i="111"/>
  <c r="E15" i="111"/>
  <c r="A15" i="111"/>
  <c r="S14" i="111"/>
  <c r="R14" i="111"/>
  <c r="Q14" i="111"/>
  <c r="P14" i="111"/>
  <c r="O14" i="111"/>
  <c r="N14" i="111"/>
  <c r="M14" i="111"/>
  <c r="K14" i="111"/>
  <c r="J14" i="111"/>
  <c r="I14" i="111"/>
  <c r="H14" i="111"/>
  <c r="E14" i="111"/>
  <c r="A14" i="111"/>
  <c r="S13" i="111"/>
  <c r="R13" i="111"/>
  <c r="Q13" i="111"/>
  <c r="P13" i="111"/>
  <c r="O13" i="111"/>
  <c r="N13" i="111"/>
  <c r="M13" i="111"/>
  <c r="K13" i="111"/>
  <c r="J13" i="111"/>
  <c r="I13" i="111"/>
  <c r="H13" i="111"/>
  <c r="E13" i="111"/>
  <c r="A13" i="111"/>
  <c r="S12" i="111"/>
  <c r="R12" i="111"/>
  <c r="Q12" i="111"/>
  <c r="P12" i="111"/>
  <c r="O12" i="111"/>
  <c r="N12" i="111"/>
  <c r="M12" i="111"/>
  <c r="K12" i="111"/>
  <c r="J12" i="111"/>
  <c r="I12" i="111"/>
  <c r="H12" i="111"/>
  <c r="E12" i="111"/>
  <c r="A12" i="111"/>
  <c r="S11" i="111"/>
  <c r="R11" i="111"/>
  <c r="Q11" i="111"/>
  <c r="P11" i="111"/>
  <c r="O11" i="111"/>
  <c r="N11" i="111"/>
  <c r="M11" i="111"/>
  <c r="K11" i="111"/>
  <c r="J11" i="111"/>
  <c r="I11" i="111"/>
  <c r="H11" i="111"/>
  <c r="E11" i="111"/>
  <c r="A11" i="111"/>
  <c r="S10" i="111"/>
  <c r="R10" i="111"/>
  <c r="Q10" i="111"/>
  <c r="P10" i="111"/>
  <c r="O10" i="111"/>
  <c r="N10" i="111"/>
  <c r="M10" i="111"/>
  <c r="K10" i="111"/>
  <c r="J10" i="111"/>
  <c r="I10" i="111"/>
  <c r="H10" i="111"/>
  <c r="E10" i="111"/>
  <c r="A10" i="111"/>
  <c r="S9" i="111"/>
  <c r="R9" i="111"/>
  <c r="Q9" i="111"/>
  <c r="P9" i="111"/>
  <c r="O9" i="111"/>
  <c r="N9" i="111"/>
  <c r="M9" i="111"/>
  <c r="K9" i="111"/>
  <c r="J9" i="111"/>
  <c r="I9" i="111"/>
  <c r="H9" i="111"/>
  <c r="E9" i="111"/>
  <c r="A9" i="111"/>
  <c r="S8" i="111"/>
  <c r="R8" i="111"/>
  <c r="Q8" i="111"/>
  <c r="P8" i="111"/>
  <c r="O8" i="111"/>
  <c r="N8" i="111"/>
  <c r="M8" i="111"/>
  <c r="K8" i="111"/>
  <c r="J8" i="111"/>
  <c r="I8" i="111"/>
  <c r="H8" i="111"/>
  <c r="E8" i="111"/>
  <c r="A8" i="111"/>
  <c r="S7" i="111"/>
  <c r="R7" i="111"/>
  <c r="Q7" i="111"/>
  <c r="P7" i="111"/>
  <c r="O7" i="111"/>
  <c r="N7" i="111"/>
  <c r="M7" i="111"/>
  <c r="K7" i="111"/>
  <c r="J7" i="111"/>
  <c r="I7" i="111"/>
  <c r="H7" i="111"/>
  <c r="E7" i="111"/>
  <c r="A7" i="111"/>
  <c r="S6" i="111"/>
  <c r="R6" i="111"/>
  <c r="Q6" i="111"/>
  <c r="P6" i="111"/>
  <c r="O6" i="111"/>
  <c r="N6" i="111"/>
  <c r="M6" i="111"/>
  <c r="K6" i="111"/>
  <c r="J6" i="111"/>
  <c r="I6" i="111"/>
  <c r="H6" i="111"/>
  <c r="E6" i="111"/>
  <c r="A6" i="111"/>
  <c r="S5" i="111"/>
  <c r="R5" i="111"/>
  <c r="Q5" i="111"/>
  <c r="P5" i="111"/>
  <c r="O5" i="111"/>
  <c r="N5" i="111"/>
  <c r="M5" i="111"/>
  <c r="K5" i="111"/>
  <c r="J5" i="111"/>
  <c r="I5" i="111"/>
  <c r="H5" i="111"/>
  <c r="E5" i="111"/>
  <c r="A5" i="111"/>
  <c r="S4" i="111"/>
  <c r="R4" i="111"/>
  <c r="Q4" i="111"/>
  <c r="P4" i="111"/>
  <c r="O4" i="111"/>
  <c r="N4" i="111"/>
  <c r="M4" i="111"/>
  <c r="K4" i="111"/>
  <c r="J4" i="111"/>
  <c r="I4" i="111"/>
  <c r="H4" i="111"/>
  <c r="E4" i="111"/>
  <c r="A4" i="111"/>
  <c r="S3" i="111"/>
  <c r="R3" i="111"/>
  <c r="Q3" i="111"/>
  <c r="P3" i="111"/>
  <c r="O3" i="111"/>
  <c r="N3" i="111"/>
  <c r="M3" i="111"/>
  <c r="K3" i="111"/>
  <c r="J3" i="111"/>
  <c r="I3" i="111"/>
  <c r="H3" i="111"/>
  <c r="E3" i="111"/>
  <c r="A3" i="111"/>
  <c r="S2" i="111"/>
  <c r="R2" i="111"/>
  <c r="Q2" i="111"/>
  <c r="P2" i="111"/>
  <c r="O2" i="111"/>
  <c r="N2" i="111"/>
  <c r="M2" i="111"/>
  <c r="K2" i="111"/>
  <c r="J2" i="111"/>
  <c r="I2" i="111"/>
  <c r="H2" i="111"/>
  <c r="E2" i="111"/>
  <c r="A2" i="111"/>
  <c r="B39" i="110"/>
  <c r="B36" i="110"/>
  <c r="B37" i="110"/>
  <c r="B38" i="110"/>
  <c r="B40" i="110"/>
  <c r="B41" i="110"/>
  <c r="B42" i="110"/>
  <c r="B43" i="110"/>
  <c r="C39" i="110"/>
  <c r="C42" i="110"/>
  <c r="F43" i="110"/>
  <c r="C38" i="110"/>
  <c r="C41" i="110"/>
  <c r="F42" i="110"/>
  <c r="C36" i="110"/>
  <c r="C37" i="110"/>
  <c r="C40" i="110"/>
  <c r="F41" i="110"/>
  <c r="F38" i="110"/>
  <c r="F37" i="110"/>
  <c r="F36" i="110"/>
  <c r="B24" i="110"/>
  <c r="C20" i="110"/>
  <c r="C23" i="110"/>
  <c r="C24" i="110"/>
  <c r="D24" i="110"/>
  <c r="D23" i="110"/>
  <c r="G23" i="110"/>
  <c r="E23" i="110"/>
  <c r="H23" i="110"/>
  <c r="I23" i="110"/>
  <c r="J23" i="110"/>
  <c r="F23" i="110"/>
  <c r="I22" i="110"/>
  <c r="J22" i="110"/>
  <c r="F22" i="110"/>
  <c r="I21" i="110"/>
  <c r="J21" i="110"/>
  <c r="F21" i="110"/>
  <c r="D20" i="110"/>
  <c r="G20" i="110"/>
  <c r="E20" i="110"/>
  <c r="H20" i="110"/>
  <c r="I20" i="110"/>
  <c r="J20" i="110"/>
  <c r="F20" i="110"/>
  <c r="I19" i="110"/>
  <c r="J19" i="110"/>
  <c r="F19" i="110"/>
  <c r="I18" i="110"/>
  <c r="J18" i="110"/>
  <c r="F18" i="110"/>
  <c r="I17" i="110"/>
  <c r="J17" i="110"/>
  <c r="F17" i="110"/>
  <c r="B10" i="110"/>
  <c r="B22" i="106"/>
  <c r="B19" i="106"/>
  <c r="S255" i="82"/>
  <c r="R255" i="82"/>
  <c r="Q255" i="82"/>
  <c r="P255" i="82"/>
  <c r="O255" i="82"/>
  <c r="N255" i="82"/>
  <c r="E21" i="106"/>
  <c r="C21" i="106"/>
  <c r="B21" i="106"/>
  <c r="D21" i="106"/>
  <c r="G21" i="106"/>
  <c r="H21" i="106"/>
  <c r="E22" i="106"/>
  <c r="C22" i="106"/>
  <c r="D22" i="106"/>
  <c r="G22" i="106"/>
  <c r="H22" i="106"/>
  <c r="L255" i="82"/>
  <c r="C17" i="106"/>
  <c r="D17" i="106"/>
  <c r="G17" i="106"/>
  <c r="H17" i="106"/>
  <c r="L2" i="82"/>
  <c r="C18" i="106"/>
  <c r="B18" i="106"/>
  <c r="D18" i="106"/>
  <c r="G18" i="106"/>
  <c r="H18" i="106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E19" i="106"/>
  <c r="C19" i="106"/>
  <c r="D19" i="106"/>
  <c r="G19" i="106"/>
  <c r="H19" i="106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M255" i="82"/>
  <c r="K255" i="82"/>
  <c r="J255" i="82"/>
  <c r="I255" i="82"/>
  <c r="H255" i="82"/>
  <c r="E255" i="82"/>
  <c r="A255" i="82"/>
  <c r="S254" i="82"/>
  <c r="R254" i="82"/>
  <c r="Q254" i="82"/>
  <c r="P254" i="82"/>
  <c r="O254" i="82"/>
  <c r="N254" i="82"/>
  <c r="M254" i="82"/>
  <c r="K254" i="82"/>
  <c r="J254" i="82"/>
  <c r="I254" i="82"/>
  <c r="H254" i="82"/>
  <c r="E254" i="82"/>
  <c r="A254" i="82"/>
  <c r="S253" i="82"/>
  <c r="R253" i="82"/>
  <c r="Q253" i="82"/>
  <c r="P253" i="82"/>
  <c r="O253" i="82"/>
  <c r="N253" i="82"/>
  <c r="M253" i="82"/>
  <c r="K253" i="82"/>
  <c r="J253" i="82"/>
  <c r="I253" i="82"/>
  <c r="H253" i="82"/>
  <c r="E253" i="82"/>
  <c r="A253" i="82"/>
  <c r="S252" i="82"/>
  <c r="R252" i="82"/>
  <c r="Q252" i="82"/>
  <c r="P252" i="82"/>
  <c r="O252" i="82"/>
  <c r="N252" i="82"/>
  <c r="M252" i="82"/>
  <c r="K252" i="82"/>
  <c r="J252" i="82"/>
  <c r="I252" i="82"/>
  <c r="H252" i="82"/>
  <c r="E252" i="82"/>
  <c r="A252" i="82"/>
  <c r="S251" i="82"/>
  <c r="R251" i="82"/>
  <c r="Q251" i="82"/>
  <c r="P251" i="82"/>
  <c r="O251" i="82"/>
  <c r="N251" i="82"/>
  <c r="M251" i="82"/>
  <c r="K251" i="82"/>
  <c r="J251" i="82"/>
  <c r="I251" i="82"/>
  <c r="H251" i="82"/>
  <c r="E251" i="82"/>
  <c r="A251" i="82"/>
  <c r="S250" i="82"/>
  <c r="R250" i="82"/>
  <c r="Q250" i="82"/>
  <c r="P250" i="82"/>
  <c r="O250" i="82"/>
  <c r="N250" i="82"/>
  <c r="M250" i="82"/>
  <c r="K250" i="82"/>
  <c r="J250" i="82"/>
  <c r="I250" i="82"/>
  <c r="H250" i="82"/>
  <c r="E250" i="82"/>
  <c r="A250" i="82"/>
  <c r="S249" i="82"/>
  <c r="R249" i="82"/>
  <c r="Q249" i="82"/>
  <c r="P249" i="82"/>
  <c r="O249" i="82"/>
  <c r="N249" i="82"/>
  <c r="M249" i="82"/>
  <c r="K249" i="82"/>
  <c r="J249" i="82"/>
  <c r="I249" i="82"/>
  <c r="H249" i="82"/>
  <c r="E249" i="82"/>
  <c r="A249" i="82"/>
  <c r="S248" i="82"/>
  <c r="R248" i="82"/>
  <c r="Q248" i="82"/>
  <c r="P248" i="82"/>
  <c r="O248" i="82"/>
  <c r="N248" i="82"/>
  <c r="M248" i="82"/>
  <c r="K248" i="82"/>
  <c r="J248" i="82"/>
  <c r="I248" i="82"/>
  <c r="H248" i="82"/>
  <c r="E248" i="82"/>
  <c r="A248" i="82"/>
  <c r="S247" i="82"/>
  <c r="R247" i="82"/>
  <c r="Q247" i="82"/>
  <c r="P247" i="82"/>
  <c r="O247" i="82"/>
  <c r="N247" i="82"/>
  <c r="M247" i="82"/>
  <c r="K247" i="82"/>
  <c r="J247" i="82"/>
  <c r="I247" i="82"/>
  <c r="H247" i="82"/>
  <c r="E247" i="82"/>
  <c r="A247" i="82"/>
  <c r="S246" i="82"/>
  <c r="R246" i="82"/>
  <c r="Q246" i="82"/>
  <c r="P246" i="82"/>
  <c r="O246" i="82"/>
  <c r="N246" i="82"/>
  <c r="M246" i="82"/>
  <c r="K246" i="82"/>
  <c r="J246" i="82"/>
  <c r="I246" i="82"/>
  <c r="H246" i="82"/>
  <c r="E246" i="82"/>
  <c r="A246" i="82"/>
  <c r="B39" i="106"/>
  <c r="B36" i="106"/>
  <c r="B37" i="106"/>
  <c r="B38" i="106"/>
  <c r="B40" i="106"/>
  <c r="B41" i="106"/>
  <c r="B42" i="106"/>
  <c r="B43" i="106"/>
  <c r="C39" i="106"/>
  <c r="C42" i="106"/>
  <c r="F43" i="106"/>
  <c r="C38" i="106"/>
  <c r="C41" i="106"/>
  <c r="F42" i="106"/>
  <c r="C36" i="106"/>
  <c r="C37" i="106"/>
  <c r="C40" i="106"/>
  <c r="F41" i="106"/>
  <c r="F38" i="106"/>
  <c r="F37" i="106"/>
  <c r="F36" i="106"/>
  <c r="B20" i="106"/>
  <c r="B23" i="106"/>
  <c r="B5" i="106"/>
  <c r="B17" i="106"/>
  <c r="B24" i="106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I18" i="106"/>
  <c r="J18" i="106"/>
  <c r="I19" i="106"/>
  <c r="J19" i="106"/>
  <c r="C20" i="106"/>
  <c r="D20" i="106"/>
  <c r="G20" i="106"/>
  <c r="E20" i="106"/>
  <c r="H20" i="106"/>
  <c r="I20" i="106"/>
  <c r="J20" i="106"/>
  <c r="I21" i="106"/>
  <c r="J21" i="106"/>
  <c r="I22" i="106"/>
  <c r="J22" i="106"/>
  <c r="C23" i="106"/>
  <c r="D23" i="106"/>
  <c r="G23" i="106"/>
  <c r="E23" i="106"/>
  <c r="H23" i="106"/>
  <c r="I23" i="106"/>
  <c r="J23" i="106"/>
  <c r="I17" i="106"/>
  <c r="J17" i="106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" i="82"/>
  <c r="C24" i="106"/>
  <c r="D24" i="106"/>
  <c r="F18" i="106"/>
  <c r="F19" i="106"/>
  <c r="F20" i="106"/>
  <c r="F21" i="106"/>
  <c r="F22" i="106"/>
  <c r="F23" i="106"/>
  <c r="F17" i="106"/>
  <c r="B10" i="106"/>
  <c r="K2" i="82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38" i="82"/>
  <c r="K139" i="82"/>
  <c r="K140" i="82"/>
  <c r="K141" i="82"/>
  <c r="K142" i="82"/>
  <c r="K143" i="82"/>
  <c r="K144" i="82"/>
  <c r="K145" i="82"/>
  <c r="K146" i="82"/>
  <c r="K147" i="82"/>
  <c r="K148" i="82"/>
  <c r="K149" i="82"/>
  <c r="K150" i="82"/>
  <c r="K151" i="82"/>
  <c r="K152" i="82"/>
  <c r="K153" i="82"/>
  <c r="K154" i="82"/>
  <c r="K155" i="82"/>
  <c r="K156" i="82"/>
  <c r="K157" i="82"/>
  <c r="K158" i="82"/>
  <c r="K159" i="82"/>
  <c r="K160" i="82"/>
  <c r="K161" i="82"/>
  <c r="K162" i="82"/>
  <c r="K163" i="82"/>
  <c r="K164" i="82"/>
  <c r="K165" i="82"/>
  <c r="K166" i="82"/>
  <c r="K167" i="82"/>
  <c r="K168" i="82"/>
  <c r="K169" i="82"/>
  <c r="K170" i="82"/>
  <c r="K171" i="82"/>
  <c r="K172" i="82"/>
  <c r="K173" i="82"/>
  <c r="K174" i="82"/>
  <c r="K175" i="82"/>
  <c r="K176" i="82"/>
  <c r="K177" i="82"/>
  <c r="K178" i="82"/>
  <c r="K179" i="82"/>
  <c r="K180" i="82"/>
  <c r="K181" i="82"/>
  <c r="K182" i="82"/>
  <c r="K183" i="82"/>
  <c r="K184" i="82"/>
  <c r="K185" i="82"/>
  <c r="K186" i="82"/>
  <c r="K187" i="82"/>
  <c r="K188" i="82"/>
  <c r="K189" i="82"/>
  <c r="K190" i="82"/>
  <c r="K191" i="82"/>
  <c r="K192" i="82"/>
  <c r="K193" i="82"/>
  <c r="K194" i="82"/>
  <c r="K195" i="82"/>
  <c r="K196" i="82"/>
  <c r="K197" i="82"/>
  <c r="K198" i="82"/>
  <c r="K199" i="82"/>
  <c r="K200" i="82"/>
  <c r="K201" i="82"/>
  <c r="K202" i="82"/>
  <c r="K203" i="82"/>
  <c r="K204" i="82"/>
  <c r="K205" i="82"/>
  <c r="K206" i="82"/>
  <c r="K207" i="82"/>
  <c r="K208" i="82"/>
  <c r="K209" i="82"/>
  <c r="K210" i="82"/>
  <c r="K211" i="82"/>
  <c r="K212" i="82"/>
  <c r="K213" i="82"/>
  <c r="K214" i="82"/>
  <c r="K215" i="82"/>
  <c r="K216" i="82"/>
  <c r="K217" i="82"/>
  <c r="K218" i="82"/>
  <c r="K219" i="82"/>
  <c r="K220" i="82"/>
  <c r="K221" i="82"/>
  <c r="K222" i="82"/>
  <c r="K223" i="82"/>
  <c r="K224" i="82"/>
  <c r="K225" i="82"/>
  <c r="K226" i="82"/>
  <c r="K227" i="82"/>
  <c r="K228" i="82"/>
  <c r="K229" i="82"/>
  <c r="K230" i="82"/>
  <c r="K231" i="82"/>
  <c r="K232" i="82"/>
  <c r="K233" i="82"/>
  <c r="K234" i="82"/>
  <c r="K235" i="82"/>
  <c r="K236" i="82"/>
  <c r="K237" i="82"/>
  <c r="K238" i="82"/>
  <c r="K239" i="82"/>
  <c r="K240" i="82"/>
  <c r="K241" i="82"/>
  <c r="K242" i="82"/>
  <c r="K243" i="82"/>
  <c r="K244" i="82"/>
  <c r="K245" i="82"/>
  <c r="B3" i="104"/>
  <c r="B4" i="104"/>
  <c r="B5" i="104"/>
  <c r="B6" i="104"/>
  <c r="B7" i="104"/>
  <c r="B8" i="104"/>
  <c r="B9" i="104"/>
  <c r="B10" i="104"/>
  <c r="B11" i="104"/>
  <c r="B2" i="104"/>
  <c r="E236" i="82"/>
  <c r="H236" i="82"/>
  <c r="I236" i="82"/>
  <c r="J236" i="82"/>
  <c r="N236" i="82"/>
  <c r="O236" i="82"/>
  <c r="P236" i="82"/>
  <c r="Q236" i="82"/>
  <c r="R236" i="82"/>
  <c r="S236" i="82"/>
  <c r="E237" i="82"/>
  <c r="H237" i="82"/>
  <c r="I237" i="82"/>
  <c r="J237" i="82"/>
  <c r="N237" i="82"/>
  <c r="O237" i="82"/>
  <c r="P237" i="82"/>
  <c r="Q237" i="82"/>
  <c r="R237" i="82"/>
  <c r="S237" i="82"/>
  <c r="E238" i="82"/>
  <c r="H238" i="82"/>
  <c r="I238" i="82"/>
  <c r="J238" i="82"/>
  <c r="N238" i="82"/>
  <c r="O238" i="82"/>
  <c r="P238" i="82"/>
  <c r="Q238" i="82"/>
  <c r="R238" i="82"/>
  <c r="S238" i="82"/>
  <c r="E239" i="82"/>
  <c r="H239" i="82"/>
  <c r="I239" i="82"/>
  <c r="J239" i="82"/>
  <c r="N239" i="82"/>
  <c r="O239" i="82"/>
  <c r="P239" i="82"/>
  <c r="Q239" i="82"/>
  <c r="R239" i="82"/>
  <c r="S239" i="82"/>
  <c r="E240" i="82"/>
  <c r="H240" i="82"/>
  <c r="I240" i="82"/>
  <c r="J240" i="82"/>
  <c r="N240" i="82"/>
  <c r="O240" i="82"/>
  <c r="P240" i="82"/>
  <c r="Q240" i="82"/>
  <c r="R240" i="82"/>
  <c r="S240" i="82"/>
  <c r="E241" i="82"/>
  <c r="H241" i="82"/>
  <c r="I241" i="82"/>
  <c r="J241" i="82"/>
  <c r="N241" i="82"/>
  <c r="O241" i="82"/>
  <c r="P241" i="82"/>
  <c r="Q241" i="82"/>
  <c r="R241" i="82"/>
  <c r="S241" i="82"/>
  <c r="E242" i="82"/>
  <c r="H242" i="82"/>
  <c r="I242" i="82"/>
  <c r="J242" i="82"/>
  <c r="N242" i="82"/>
  <c r="O242" i="82"/>
  <c r="P242" i="82"/>
  <c r="Q242" i="82"/>
  <c r="R242" i="82"/>
  <c r="S242" i="82"/>
  <c r="E243" i="82"/>
  <c r="H243" i="82"/>
  <c r="I243" i="82"/>
  <c r="J243" i="82"/>
  <c r="N243" i="82"/>
  <c r="O243" i="82"/>
  <c r="P243" i="82"/>
  <c r="Q243" i="82"/>
  <c r="R243" i="82"/>
  <c r="S243" i="82"/>
  <c r="E244" i="82"/>
  <c r="H244" i="82"/>
  <c r="I244" i="82"/>
  <c r="J244" i="82"/>
  <c r="N244" i="82"/>
  <c r="O244" i="82"/>
  <c r="P244" i="82"/>
  <c r="Q244" i="82"/>
  <c r="R244" i="82"/>
  <c r="S244" i="82"/>
  <c r="E245" i="82"/>
  <c r="H245" i="82"/>
  <c r="I245" i="82"/>
  <c r="J245" i="82"/>
  <c r="N245" i="82"/>
  <c r="O245" i="82"/>
  <c r="P245" i="82"/>
  <c r="Q245" i="82"/>
  <c r="R245" i="82"/>
  <c r="S245" i="82"/>
  <c r="H5" i="105"/>
  <c r="G16" i="105"/>
  <c r="G13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E5" i="105"/>
  <c r="D10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D13" i="105"/>
  <c r="B5" i="105"/>
  <c r="A13" i="105"/>
  <c r="D16" i="105"/>
  <c r="A16" i="105"/>
  <c r="E225" i="82"/>
  <c r="H225" i="82"/>
  <c r="I225" i="82"/>
  <c r="J225" i="82"/>
  <c r="O225" i="82"/>
  <c r="P225" i="82"/>
  <c r="Q225" i="82"/>
  <c r="R225" i="82"/>
  <c r="E226" i="82"/>
  <c r="H226" i="82"/>
  <c r="I226" i="82"/>
  <c r="J226" i="82"/>
  <c r="O226" i="82"/>
  <c r="P226" i="82"/>
  <c r="Q226" i="82"/>
  <c r="R226" i="82"/>
  <c r="E227" i="82"/>
  <c r="H227" i="82"/>
  <c r="I227" i="82"/>
  <c r="J227" i="82"/>
  <c r="O227" i="82"/>
  <c r="P227" i="82"/>
  <c r="Q227" i="82"/>
  <c r="R227" i="82"/>
  <c r="E228" i="82"/>
  <c r="H228" i="82"/>
  <c r="I228" i="82"/>
  <c r="J228" i="82"/>
  <c r="O228" i="82"/>
  <c r="P228" i="82"/>
  <c r="Q228" i="82"/>
  <c r="R228" i="82"/>
  <c r="E229" i="82"/>
  <c r="H229" i="82"/>
  <c r="I229" i="82"/>
  <c r="J229" i="82"/>
  <c r="O229" i="82"/>
  <c r="P229" i="82"/>
  <c r="Q229" i="82"/>
  <c r="R229" i="82"/>
  <c r="E230" i="82"/>
  <c r="H230" i="82"/>
  <c r="I230" i="82"/>
  <c r="J230" i="82"/>
  <c r="O230" i="82"/>
  <c r="P230" i="82"/>
  <c r="Q230" i="82"/>
  <c r="R230" i="82"/>
  <c r="E231" i="82"/>
  <c r="H231" i="82"/>
  <c r="I231" i="82"/>
  <c r="J231" i="82"/>
  <c r="O231" i="82"/>
  <c r="P231" i="82"/>
  <c r="Q231" i="82"/>
  <c r="R231" i="82"/>
  <c r="E232" i="82"/>
  <c r="H232" i="82"/>
  <c r="I232" i="82"/>
  <c r="J232" i="82"/>
  <c r="O232" i="82"/>
  <c r="P232" i="82"/>
  <c r="Q232" i="82"/>
  <c r="R232" i="82"/>
  <c r="E233" i="82"/>
  <c r="H233" i="82"/>
  <c r="I233" i="82"/>
  <c r="J233" i="82"/>
  <c r="O233" i="82"/>
  <c r="P233" i="82"/>
  <c r="Q233" i="82"/>
  <c r="R233" i="82"/>
  <c r="E234" i="82"/>
  <c r="H234" i="82"/>
  <c r="I234" i="82"/>
  <c r="J234" i="82"/>
  <c r="O234" i="82"/>
  <c r="P234" i="82"/>
  <c r="Q234" i="82"/>
  <c r="R234" i="82"/>
  <c r="E235" i="82"/>
  <c r="H235" i="82"/>
  <c r="I235" i="82"/>
  <c r="J235" i="82"/>
  <c r="O235" i="82"/>
  <c r="P235" i="82"/>
  <c r="Q235" i="82"/>
  <c r="R235" i="82"/>
  <c r="R224" i="82"/>
  <c r="Q224" i="82"/>
  <c r="P224" i="82"/>
  <c r="O224" i="82"/>
  <c r="J224" i="82"/>
  <c r="I224" i="82"/>
  <c r="H224" i="82"/>
  <c r="E224" i="82"/>
  <c r="R223" i="82"/>
  <c r="Q223" i="82"/>
  <c r="P223" i="82"/>
  <c r="O223" i="82"/>
  <c r="J223" i="82"/>
  <c r="I223" i="82"/>
  <c r="H223" i="82"/>
  <c r="E223" i="82"/>
  <c r="R222" i="82"/>
  <c r="Q222" i="82"/>
  <c r="P222" i="82"/>
  <c r="O222" i="82"/>
  <c r="J222" i="82"/>
  <c r="I222" i="82"/>
  <c r="H222" i="82"/>
  <c r="E222" i="82"/>
  <c r="R221" i="82"/>
  <c r="Q221" i="82"/>
  <c r="P221" i="82"/>
  <c r="O221" i="82"/>
  <c r="J221" i="82"/>
  <c r="I221" i="82"/>
  <c r="H221" i="82"/>
  <c r="E221" i="82"/>
  <c r="R220" i="82"/>
  <c r="Q220" i="82"/>
  <c r="P220" i="82"/>
  <c r="O220" i="82"/>
  <c r="J220" i="82"/>
  <c r="I220" i="82"/>
  <c r="H220" i="82"/>
  <c r="E220" i="82"/>
  <c r="R219" i="82"/>
  <c r="Q219" i="82"/>
  <c r="P219" i="82"/>
  <c r="O219" i="82"/>
  <c r="J219" i="82"/>
  <c r="I219" i="82"/>
  <c r="H219" i="82"/>
  <c r="E219" i="82"/>
  <c r="R218" i="82"/>
  <c r="Q218" i="82"/>
  <c r="P218" i="82"/>
  <c r="O218" i="82"/>
  <c r="J218" i="82"/>
  <c r="I218" i="82"/>
  <c r="H218" i="82"/>
  <c r="E218" i="82"/>
  <c r="R217" i="82"/>
  <c r="Q217" i="82"/>
  <c r="P217" i="82"/>
  <c r="O217" i="82"/>
  <c r="J217" i="82"/>
  <c r="I217" i="82"/>
  <c r="H217" i="82"/>
  <c r="E217" i="82"/>
  <c r="R216" i="82"/>
  <c r="Q216" i="82"/>
  <c r="P216" i="82"/>
  <c r="O216" i="82"/>
  <c r="J216" i="82"/>
  <c r="I216" i="82"/>
  <c r="H216" i="82"/>
  <c r="E216" i="82"/>
  <c r="R215" i="82"/>
  <c r="Q215" i="82"/>
  <c r="P215" i="82"/>
  <c r="O215" i="82"/>
  <c r="J215" i="82"/>
  <c r="I215" i="82"/>
  <c r="H215" i="82"/>
  <c r="E215" i="82"/>
  <c r="R214" i="82"/>
  <c r="Q214" i="82"/>
  <c r="P214" i="82"/>
  <c r="O214" i="82"/>
  <c r="J214" i="82"/>
  <c r="I214" i="82"/>
  <c r="H214" i="82"/>
  <c r="E214" i="82"/>
  <c r="R213" i="82"/>
  <c r="Q213" i="82"/>
  <c r="P213" i="82"/>
  <c r="O213" i="82"/>
  <c r="J213" i="82"/>
  <c r="I213" i="82"/>
  <c r="H213" i="82"/>
  <c r="E213" i="82"/>
  <c r="R212" i="82"/>
  <c r="Q212" i="82"/>
  <c r="P212" i="82"/>
  <c r="O212" i="82"/>
  <c r="J212" i="82"/>
  <c r="I212" i="82"/>
  <c r="H212" i="82"/>
  <c r="E212" i="82"/>
  <c r="R211" i="82"/>
  <c r="Q211" i="82"/>
  <c r="P211" i="82"/>
  <c r="O211" i="82"/>
  <c r="J211" i="82"/>
  <c r="I211" i="82"/>
  <c r="H211" i="82"/>
  <c r="E211" i="82"/>
  <c r="R210" i="82"/>
  <c r="Q210" i="82"/>
  <c r="P210" i="82"/>
  <c r="O210" i="82"/>
  <c r="J210" i="82"/>
  <c r="I210" i="82"/>
  <c r="H210" i="82"/>
  <c r="E210" i="82"/>
  <c r="R209" i="82"/>
  <c r="Q209" i="82"/>
  <c r="P209" i="82"/>
  <c r="O209" i="82"/>
  <c r="J209" i="82"/>
  <c r="I209" i="82"/>
  <c r="H209" i="82"/>
  <c r="E209" i="82"/>
  <c r="R208" i="82"/>
  <c r="Q208" i="82"/>
  <c r="P208" i="82"/>
  <c r="O208" i="82"/>
  <c r="J208" i="82"/>
  <c r="I208" i="82"/>
  <c r="H208" i="82"/>
  <c r="E208" i="82"/>
  <c r="R207" i="82"/>
  <c r="Q207" i="82"/>
  <c r="P207" i="82"/>
  <c r="O207" i="82"/>
  <c r="J207" i="82"/>
  <c r="I207" i="82"/>
  <c r="H207" i="82"/>
  <c r="E207" i="82"/>
  <c r="R206" i="82"/>
  <c r="Q206" i="82"/>
  <c r="P206" i="82"/>
  <c r="O206" i="82"/>
  <c r="J206" i="82"/>
  <c r="I206" i="82"/>
  <c r="H206" i="82"/>
  <c r="E206" i="82"/>
  <c r="R205" i="82"/>
  <c r="Q205" i="82"/>
  <c r="P205" i="82"/>
  <c r="O205" i="82"/>
  <c r="J205" i="82"/>
  <c r="I205" i="82"/>
  <c r="H205" i="82"/>
  <c r="E205" i="82"/>
  <c r="R204" i="82"/>
  <c r="Q204" i="82"/>
  <c r="P204" i="82"/>
  <c r="O204" i="82"/>
  <c r="J204" i="82"/>
  <c r="I204" i="82"/>
  <c r="H204" i="82"/>
  <c r="E204" i="82"/>
  <c r="R203" i="82"/>
  <c r="Q203" i="82"/>
  <c r="P203" i="82"/>
  <c r="O203" i="82"/>
  <c r="J203" i="82"/>
  <c r="I203" i="82"/>
  <c r="H203" i="82"/>
  <c r="E203" i="82"/>
  <c r="R202" i="82"/>
  <c r="Q202" i="82"/>
  <c r="P202" i="82"/>
  <c r="O202" i="82"/>
  <c r="J202" i="82"/>
  <c r="I202" i="82"/>
  <c r="H202" i="82"/>
  <c r="E202" i="82"/>
  <c r="R201" i="82"/>
  <c r="Q201" i="82"/>
  <c r="P201" i="82"/>
  <c r="O201" i="82"/>
  <c r="J201" i="82"/>
  <c r="I201" i="82"/>
  <c r="H201" i="82"/>
  <c r="E201" i="82"/>
  <c r="R200" i="82"/>
  <c r="Q200" i="82"/>
  <c r="P200" i="82"/>
  <c r="O200" i="82"/>
  <c r="J200" i="82"/>
  <c r="I200" i="82"/>
  <c r="H200" i="82"/>
  <c r="E200" i="82"/>
  <c r="R199" i="82"/>
  <c r="Q199" i="82"/>
  <c r="P199" i="82"/>
  <c r="O199" i="82"/>
  <c r="J199" i="82"/>
  <c r="I199" i="82"/>
  <c r="H199" i="82"/>
  <c r="E199" i="82"/>
  <c r="R198" i="82"/>
  <c r="Q198" i="82"/>
  <c r="P198" i="82"/>
  <c r="O198" i="82"/>
  <c r="J198" i="82"/>
  <c r="I198" i="82"/>
  <c r="H198" i="82"/>
  <c r="E198" i="82"/>
  <c r="R197" i="82"/>
  <c r="Q197" i="82"/>
  <c r="P197" i="82"/>
  <c r="O197" i="82"/>
  <c r="J197" i="82"/>
  <c r="I197" i="82"/>
  <c r="H197" i="82"/>
  <c r="E197" i="82"/>
  <c r="R196" i="82"/>
  <c r="Q196" i="82"/>
  <c r="P196" i="82"/>
  <c r="O196" i="82"/>
  <c r="J196" i="82"/>
  <c r="I196" i="82"/>
  <c r="H196" i="82"/>
  <c r="E196" i="82"/>
  <c r="R195" i="82"/>
  <c r="Q195" i="82"/>
  <c r="P195" i="82"/>
  <c r="O195" i="82"/>
  <c r="J195" i="82"/>
  <c r="I195" i="82"/>
  <c r="H195" i="82"/>
  <c r="E195" i="82"/>
  <c r="R194" i="82"/>
  <c r="Q194" i="82"/>
  <c r="P194" i="82"/>
  <c r="O194" i="82"/>
  <c r="J194" i="82"/>
  <c r="I194" i="82"/>
  <c r="H194" i="82"/>
  <c r="E194" i="82"/>
  <c r="R193" i="82"/>
  <c r="Q193" i="82"/>
  <c r="P193" i="82"/>
  <c r="O193" i="82"/>
  <c r="J193" i="82"/>
  <c r="I193" i="82"/>
  <c r="H193" i="82"/>
  <c r="E193" i="82"/>
  <c r="R192" i="82"/>
  <c r="Q192" i="82"/>
  <c r="P192" i="82"/>
  <c r="O192" i="82"/>
  <c r="J192" i="82"/>
  <c r="I192" i="82"/>
  <c r="H192" i="82"/>
  <c r="E192" i="82"/>
  <c r="R191" i="82"/>
  <c r="Q191" i="82"/>
  <c r="P191" i="82"/>
  <c r="O191" i="82"/>
  <c r="J191" i="82"/>
  <c r="I191" i="82"/>
  <c r="H191" i="82"/>
  <c r="E191" i="82"/>
  <c r="R190" i="82"/>
  <c r="Q190" i="82"/>
  <c r="P190" i="82"/>
  <c r="O190" i="82"/>
  <c r="J190" i="82"/>
  <c r="I190" i="82"/>
  <c r="H190" i="82"/>
  <c r="E190" i="82"/>
  <c r="R189" i="82"/>
  <c r="Q189" i="82"/>
  <c r="P189" i="82"/>
  <c r="O189" i="82"/>
  <c r="J189" i="82"/>
  <c r="I189" i="82"/>
  <c r="H189" i="82"/>
  <c r="E189" i="82"/>
  <c r="R188" i="82"/>
  <c r="Q188" i="82"/>
  <c r="P188" i="82"/>
  <c r="O188" i="82"/>
  <c r="J188" i="82"/>
  <c r="I188" i="82"/>
  <c r="H188" i="82"/>
  <c r="E188" i="82"/>
  <c r="R187" i="82"/>
  <c r="Q187" i="82"/>
  <c r="P187" i="82"/>
  <c r="O187" i="82"/>
  <c r="J187" i="82"/>
  <c r="I187" i="82"/>
  <c r="H187" i="82"/>
  <c r="E187" i="82"/>
  <c r="R186" i="82"/>
  <c r="Q186" i="82"/>
  <c r="P186" i="82"/>
  <c r="O186" i="82"/>
  <c r="J186" i="82"/>
  <c r="I186" i="82"/>
  <c r="H186" i="82"/>
  <c r="E186" i="82"/>
  <c r="R185" i="82"/>
  <c r="Q185" i="82"/>
  <c r="P185" i="82"/>
  <c r="O185" i="82"/>
  <c r="J185" i="82"/>
  <c r="I185" i="82"/>
  <c r="H185" i="82"/>
  <c r="E185" i="82"/>
  <c r="R184" i="82"/>
  <c r="Q184" i="82"/>
  <c r="P184" i="82"/>
  <c r="O184" i="82"/>
  <c r="J184" i="82"/>
  <c r="I184" i="82"/>
  <c r="H184" i="82"/>
  <c r="E184" i="82"/>
  <c r="R183" i="82"/>
  <c r="Q183" i="82"/>
  <c r="P183" i="82"/>
  <c r="O183" i="82"/>
  <c r="J183" i="82"/>
  <c r="I183" i="82"/>
  <c r="H183" i="82"/>
  <c r="E183" i="82"/>
  <c r="R182" i="82"/>
  <c r="Q182" i="82"/>
  <c r="P182" i="82"/>
  <c r="O182" i="82"/>
  <c r="J182" i="82"/>
  <c r="I182" i="82"/>
  <c r="H182" i="82"/>
  <c r="E182" i="82"/>
  <c r="R181" i="82"/>
  <c r="Q181" i="82"/>
  <c r="P181" i="82"/>
  <c r="O181" i="82"/>
  <c r="J181" i="82"/>
  <c r="I181" i="82"/>
  <c r="H181" i="82"/>
  <c r="E181" i="82"/>
  <c r="R180" i="82"/>
  <c r="Q180" i="82"/>
  <c r="P180" i="82"/>
  <c r="O180" i="82"/>
  <c r="J180" i="82"/>
  <c r="I180" i="82"/>
  <c r="H180" i="82"/>
  <c r="E180" i="82"/>
  <c r="R179" i="82"/>
  <c r="Q179" i="82"/>
  <c r="P179" i="82"/>
  <c r="O179" i="82"/>
  <c r="J179" i="82"/>
  <c r="I179" i="82"/>
  <c r="H179" i="82"/>
  <c r="E179" i="82"/>
  <c r="R178" i="82"/>
  <c r="Q178" i="82"/>
  <c r="P178" i="82"/>
  <c r="O178" i="82"/>
  <c r="J178" i="82"/>
  <c r="I178" i="82"/>
  <c r="H178" i="82"/>
  <c r="E178" i="82"/>
  <c r="R177" i="82"/>
  <c r="Q177" i="82"/>
  <c r="P177" i="82"/>
  <c r="O177" i="82"/>
  <c r="J177" i="82"/>
  <c r="I177" i="82"/>
  <c r="H177" i="82"/>
  <c r="E177" i="82"/>
  <c r="R176" i="82"/>
  <c r="Q176" i="82"/>
  <c r="P176" i="82"/>
  <c r="O176" i="82"/>
  <c r="J176" i="82"/>
  <c r="I176" i="82"/>
  <c r="H176" i="82"/>
  <c r="E176" i="82"/>
  <c r="R175" i="82"/>
  <c r="Q175" i="82"/>
  <c r="P175" i="82"/>
  <c r="O175" i="82"/>
  <c r="J175" i="82"/>
  <c r="I175" i="82"/>
  <c r="H175" i="82"/>
  <c r="E175" i="82"/>
  <c r="R174" i="82"/>
  <c r="Q174" i="82"/>
  <c r="P174" i="82"/>
  <c r="O174" i="82"/>
  <c r="J174" i="82"/>
  <c r="I174" i="82"/>
  <c r="H174" i="82"/>
  <c r="E174" i="82"/>
  <c r="R173" i="82"/>
  <c r="Q173" i="82"/>
  <c r="P173" i="82"/>
  <c r="O173" i="82"/>
  <c r="J173" i="82"/>
  <c r="I173" i="82"/>
  <c r="H173" i="82"/>
  <c r="E173" i="82"/>
  <c r="R172" i="82"/>
  <c r="Q172" i="82"/>
  <c r="P172" i="82"/>
  <c r="O172" i="82"/>
  <c r="J172" i="82"/>
  <c r="I172" i="82"/>
  <c r="H172" i="82"/>
  <c r="E172" i="82"/>
  <c r="R171" i="82"/>
  <c r="Q171" i="82"/>
  <c r="P171" i="82"/>
  <c r="O171" i="82"/>
  <c r="J171" i="82"/>
  <c r="I171" i="82"/>
  <c r="H171" i="82"/>
  <c r="E171" i="82"/>
  <c r="R170" i="82"/>
  <c r="Q170" i="82"/>
  <c r="P170" i="82"/>
  <c r="O170" i="82"/>
  <c r="J170" i="82"/>
  <c r="I170" i="82"/>
  <c r="H170" i="82"/>
  <c r="E170" i="82"/>
  <c r="R169" i="82"/>
  <c r="Q169" i="82"/>
  <c r="P169" i="82"/>
  <c r="O169" i="82"/>
  <c r="J169" i="82"/>
  <c r="I169" i="82"/>
  <c r="H169" i="82"/>
  <c r="E169" i="82"/>
  <c r="R168" i="82"/>
  <c r="Q168" i="82"/>
  <c r="P168" i="82"/>
  <c r="O168" i="82"/>
  <c r="J168" i="82"/>
  <c r="I168" i="82"/>
  <c r="H168" i="82"/>
  <c r="E168" i="82"/>
  <c r="R167" i="82"/>
  <c r="Q167" i="82"/>
  <c r="P167" i="82"/>
  <c r="O167" i="82"/>
  <c r="J167" i="82"/>
  <c r="I167" i="82"/>
  <c r="H167" i="82"/>
  <c r="E167" i="82"/>
  <c r="R166" i="82"/>
  <c r="Q166" i="82"/>
  <c r="P166" i="82"/>
  <c r="O166" i="82"/>
  <c r="J166" i="82"/>
  <c r="I166" i="82"/>
  <c r="H166" i="82"/>
  <c r="E166" i="82"/>
  <c r="R165" i="82"/>
  <c r="Q165" i="82"/>
  <c r="P165" i="82"/>
  <c r="O165" i="82"/>
  <c r="J165" i="82"/>
  <c r="I165" i="82"/>
  <c r="H165" i="82"/>
  <c r="E165" i="82"/>
  <c r="R164" i="82"/>
  <c r="Q164" i="82"/>
  <c r="P164" i="82"/>
  <c r="O164" i="82"/>
  <c r="J164" i="82"/>
  <c r="I164" i="82"/>
  <c r="H164" i="82"/>
  <c r="E164" i="82"/>
  <c r="R163" i="82"/>
  <c r="Q163" i="82"/>
  <c r="P163" i="82"/>
  <c r="O163" i="82"/>
  <c r="J163" i="82"/>
  <c r="I163" i="82"/>
  <c r="H163" i="82"/>
  <c r="E163" i="82"/>
  <c r="R162" i="82"/>
  <c r="Q162" i="82"/>
  <c r="P162" i="82"/>
  <c r="O162" i="82"/>
  <c r="J162" i="82"/>
  <c r="I162" i="82"/>
  <c r="H162" i="82"/>
  <c r="E162" i="82"/>
  <c r="R161" i="82"/>
  <c r="Q161" i="82"/>
  <c r="P161" i="82"/>
  <c r="O161" i="82"/>
  <c r="J161" i="82"/>
  <c r="I161" i="82"/>
  <c r="H161" i="82"/>
  <c r="E161" i="82"/>
  <c r="R160" i="82"/>
  <c r="Q160" i="82"/>
  <c r="P160" i="82"/>
  <c r="O160" i="82"/>
  <c r="J160" i="82"/>
  <c r="I160" i="82"/>
  <c r="H160" i="82"/>
  <c r="E160" i="82"/>
  <c r="R159" i="82"/>
  <c r="Q159" i="82"/>
  <c r="P159" i="82"/>
  <c r="O159" i="82"/>
  <c r="J159" i="82"/>
  <c r="I159" i="82"/>
  <c r="H159" i="82"/>
  <c r="E159" i="82"/>
  <c r="R158" i="82"/>
  <c r="Q158" i="82"/>
  <c r="P158" i="82"/>
  <c r="O158" i="82"/>
  <c r="J158" i="82"/>
  <c r="I158" i="82"/>
  <c r="H158" i="82"/>
  <c r="E158" i="82"/>
  <c r="R157" i="82"/>
  <c r="Q157" i="82"/>
  <c r="P157" i="82"/>
  <c r="O157" i="82"/>
  <c r="J157" i="82"/>
  <c r="I157" i="82"/>
  <c r="H157" i="82"/>
  <c r="E157" i="82"/>
  <c r="R156" i="82"/>
  <c r="Q156" i="82"/>
  <c r="P156" i="82"/>
  <c r="O156" i="82"/>
  <c r="J156" i="82"/>
  <c r="I156" i="82"/>
  <c r="H156" i="82"/>
  <c r="E156" i="82"/>
  <c r="R155" i="82"/>
  <c r="Q155" i="82"/>
  <c r="P155" i="82"/>
  <c r="O155" i="82"/>
  <c r="J155" i="82"/>
  <c r="I155" i="82"/>
  <c r="H155" i="82"/>
  <c r="E155" i="82"/>
  <c r="R154" i="82"/>
  <c r="Q154" i="82"/>
  <c r="P154" i="82"/>
  <c r="O154" i="82"/>
  <c r="J154" i="82"/>
  <c r="I154" i="82"/>
  <c r="H154" i="82"/>
  <c r="E154" i="82"/>
  <c r="R153" i="82"/>
  <c r="Q153" i="82"/>
  <c r="P153" i="82"/>
  <c r="O153" i="82"/>
  <c r="J153" i="82"/>
  <c r="I153" i="82"/>
  <c r="H153" i="82"/>
  <c r="E153" i="82"/>
  <c r="R152" i="82"/>
  <c r="Q152" i="82"/>
  <c r="P152" i="82"/>
  <c r="O152" i="82"/>
  <c r="J152" i="82"/>
  <c r="I152" i="82"/>
  <c r="H152" i="82"/>
  <c r="E152" i="82"/>
  <c r="R151" i="82"/>
  <c r="Q151" i="82"/>
  <c r="P151" i="82"/>
  <c r="O151" i="82"/>
  <c r="J151" i="82"/>
  <c r="I151" i="82"/>
  <c r="H151" i="82"/>
  <c r="E151" i="82"/>
  <c r="R150" i="82"/>
  <c r="Q150" i="82"/>
  <c r="P150" i="82"/>
  <c r="O150" i="82"/>
  <c r="J150" i="82"/>
  <c r="I150" i="82"/>
  <c r="H150" i="82"/>
  <c r="E150" i="82"/>
  <c r="R149" i="82"/>
  <c r="Q149" i="82"/>
  <c r="P149" i="82"/>
  <c r="O149" i="82"/>
  <c r="J149" i="82"/>
  <c r="I149" i="82"/>
  <c r="H149" i="82"/>
  <c r="E149" i="82"/>
  <c r="R148" i="82"/>
  <c r="Q148" i="82"/>
  <c r="P148" i="82"/>
  <c r="O148" i="82"/>
  <c r="J148" i="82"/>
  <c r="I148" i="82"/>
  <c r="H148" i="82"/>
  <c r="E148" i="82"/>
  <c r="R147" i="82"/>
  <c r="Q147" i="82"/>
  <c r="P147" i="82"/>
  <c r="O147" i="82"/>
  <c r="J147" i="82"/>
  <c r="I147" i="82"/>
  <c r="H147" i="82"/>
  <c r="E147" i="82"/>
  <c r="R146" i="82"/>
  <c r="Q146" i="82"/>
  <c r="P146" i="82"/>
  <c r="O146" i="82"/>
  <c r="J146" i="82"/>
  <c r="I146" i="82"/>
  <c r="H146" i="82"/>
  <c r="E146" i="82"/>
  <c r="R145" i="82"/>
  <c r="Q145" i="82"/>
  <c r="P145" i="82"/>
  <c r="O145" i="82"/>
  <c r="J145" i="82"/>
  <c r="I145" i="82"/>
  <c r="H145" i="82"/>
  <c r="E145" i="82"/>
  <c r="R144" i="82"/>
  <c r="Q144" i="82"/>
  <c r="P144" i="82"/>
  <c r="O144" i="82"/>
  <c r="J144" i="82"/>
  <c r="I144" i="82"/>
  <c r="H144" i="82"/>
  <c r="E144" i="82"/>
  <c r="R143" i="82"/>
  <c r="Q143" i="82"/>
  <c r="P143" i="82"/>
  <c r="O143" i="82"/>
  <c r="J143" i="82"/>
  <c r="I143" i="82"/>
  <c r="H143" i="82"/>
  <c r="E143" i="82"/>
  <c r="R142" i="82"/>
  <c r="Q142" i="82"/>
  <c r="P142" i="82"/>
  <c r="O142" i="82"/>
  <c r="J142" i="82"/>
  <c r="I142" i="82"/>
  <c r="H142" i="82"/>
  <c r="E142" i="82"/>
  <c r="R141" i="82"/>
  <c r="Q141" i="82"/>
  <c r="P141" i="82"/>
  <c r="O141" i="82"/>
  <c r="J141" i="82"/>
  <c r="I141" i="82"/>
  <c r="H141" i="82"/>
  <c r="E141" i="82"/>
  <c r="R140" i="82"/>
  <c r="Q140" i="82"/>
  <c r="P140" i="82"/>
  <c r="O140" i="82"/>
  <c r="J140" i="82"/>
  <c r="I140" i="82"/>
  <c r="H140" i="82"/>
  <c r="E140" i="82"/>
  <c r="R139" i="82"/>
  <c r="Q139" i="82"/>
  <c r="P139" i="82"/>
  <c r="O139" i="82"/>
  <c r="J139" i="82"/>
  <c r="I139" i="82"/>
  <c r="H139" i="82"/>
  <c r="E139" i="82"/>
  <c r="R138" i="82"/>
  <c r="Q138" i="82"/>
  <c r="P138" i="82"/>
  <c r="O138" i="82"/>
  <c r="J138" i="82"/>
  <c r="I138" i="82"/>
  <c r="H138" i="82"/>
  <c r="E138" i="82"/>
  <c r="R137" i="82"/>
  <c r="Q137" i="82"/>
  <c r="P137" i="82"/>
  <c r="O137" i="82"/>
  <c r="J137" i="82"/>
  <c r="I137" i="82"/>
  <c r="H137" i="82"/>
  <c r="E137" i="82"/>
  <c r="R136" i="82"/>
  <c r="Q136" i="82"/>
  <c r="P136" i="82"/>
  <c r="O136" i="82"/>
  <c r="J136" i="82"/>
  <c r="I136" i="82"/>
  <c r="H136" i="82"/>
  <c r="E136" i="82"/>
  <c r="R135" i="82"/>
  <c r="Q135" i="82"/>
  <c r="P135" i="82"/>
  <c r="O135" i="82"/>
  <c r="J135" i="82"/>
  <c r="I135" i="82"/>
  <c r="H135" i="82"/>
  <c r="E135" i="82"/>
  <c r="R134" i="82"/>
  <c r="Q134" i="82"/>
  <c r="P134" i="82"/>
  <c r="O134" i="82"/>
  <c r="J134" i="82"/>
  <c r="I134" i="82"/>
  <c r="H134" i="82"/>
  <c r="E134" i="82"/>
  <c r="R133" i="82"/>
  <c r="Q133" i="82"/>
  <c r="P133" i="82"/>
  <c r="O133" i="82"/>
  <c r="J133" i="82"/>
  <c r="I133" i="82"/>
  <c r="H133" i="82"/>
  <c r="E133" i="82"/>
  <c r="R132" i="82"/>
  <c r="Q132" i="82"/>
  <c r="P132" i="82"/>
  <c r="O132" i="82"/>
  <c r="J132" i="82"/>
  <c r="I132" i="82"/>
  <c r="H132" i="82"/>
  <c r="E132" i="82"/>
  <c r="R131" i="82"/>
  <c r="Q131" i="82"/>
  <c r="P131" i="82"/>
  <c r="O131" i="82"/>
  <c r="J131" i="82"/>
  <c r="I131" i="82"/>
  <c r="H131" i="82"/>
  <c r="E131" i="82"/>
  <c r="R130" i="82"/>
  <c r="Q130" i="82"/>
  <c r="P130" i="82"/>
  <c r="O130" i="82"/>
  <c r="J130" i="82"/>
  <c r="I130" i="82"/>
  <c r="H130" i="82"/>
  <c r="E130" i="82"/>
  <c r="R129" i="82"/>
  <c r="Q129" i="82"/>
  <c r="P129" i="82"/>
  <c r="O129" i="82"/>
  <c r="J129" i="82"/>
  <c r="I129" i="82"/>
  <c r="H129" i="82"/>
  <c r="E129" i="82"/>
  <c r="R128" i="82"/>
  <c r="Q128" i="82"/>
  <c r="P128" i="82"/>
  <c r="O128" i="82"/>
  <c r="J128" i="82"/>
  <c r="I128" i="82"/>
  <c r="H128" i="82"/>
  <c r="E128" i="82"/>
  <c r="R127" i="82"/>
  <c r="Q127" i="82"/>
  <c r="P127" i="82"/>
  <c r="O127" i="82"/>
  <c r="J127" i="82"/>
  <c r="I127" i="82"/>
  <c r="H127" i="82"/>
  <c r="E127" i="82"/>
  <c r="R126" i="82"/>
  <c r="Q126" i="82"/>
  <c r="P126" i="82"/>
  <c r="O126" i="82"/>
  <c r="J126" i="82"/>
  <c r="I126" i="82"/>
  <c r="H126" i="82"/>
  <c r="E126" i="82"/>
  <c r="R125" i="82"/>
  <c r="Q125" i="82"/>
  <c r="P125" i="82"/>
  <c r="O125" i="82"/>
  <c r="J125" i="82"/>
  <c r="I125" i="82"/>
  <c r="H125" i="82"/>
  <c r="E125" i="82"/>
  <c r="R124" i="82"/>
  <c r="Q124" i="82"/>
  <c r="P124" i="82"/>
  <c r="O124" i="82"/>
  <c r="J124" i="82"/>
  <c r="I124" i="82"/>
  <c r="H124" i="82"/>
  <c r="E124" i="82"/>
  <c r="R123" i="82"/>
  <c r="Q123" i="82"/>
  <c r="P123" i="82"/>
  <c r="O123" i="82"/>
  <c r="J123" i="82"/>
  <c r="I123" i="82"/>
  <c r="H123" i="82"/>
  <c r="E123" i="82"/>
  <c r="R122" i="82"/>
  <c r="Q122" i="82"/>
  <c r="P122" i="82"/>
  <c r="O122" i="82"/>
  <c r="J122" i="82"/>
  <c r="I122" i="82"/>
  <c r="H122" i="82"/>
  <c r="E122" i="82"/>
  <c r="R121" i="82"/>
  <c r="Q121" i="82"/>
  <c r="P121" i="82"/>
  <c r="O121" i="82"/>
  <c r="J121" i="82"/>
  <c r="I121" i="82"/>
  <c r="H121" i="82"/>
  <c r="E121" i="82"/>
  <c r="R120" i="82"/>
  <c r="Q120" i="82"/>
  <c r="P120" i="82"/>
  <c r="O120" i="82"/>
  <c r="J120" i="82"/>
  <c r="I120" i="82"/>
  <c r="H120" i="82"/>
  <c r="E120" i="82"/>
  <c r="R119" i="82"/>
  <c r="Q119" i="82"/>
  <c r="P119" i="82"/>
  <c r="O119" i="82"/>
  <c r="J119" i="82"/>
  <c r="I119" i="82"/>
  <c r="H119" i="82"/>
  <c r="E119" i="82"/>
  <c r="R118" i="82"/>
  <c r="Q118" i="82"/>
  <c r="P118" i="82"/>
  <c r="O118" i="82"/>
  <c r="J118" i="82"/>
  <c r="I118" i="82"/>
  <c r="H118" i="82"/>
  <c r="E118" i="82"/>
  <c r="R117" i="82"/>
  <c r="Q117" i="82"/>
  <c r="P117" i="82"/>
  <c r="O117" i="82"/>
  <c r="J117" i="82"/>
  <c r="I117" i="82"/>
  <c r="H117" i="82"/>
  <c r="E117" i="82"/>
  <c r="R116" i="82"/>
  <c r="Q116" i="82"/>
  <c r="P116" i="82"/>
  <c r="O116" i="82"/>
  <c r="J116" i="82"/>
  <c r="I116" i="82"/>
  <c r="H116" i="82"/>
  <c r="E116" i="82"/>
  <c r="R115" i="82"/>
  <c r="Q115" i="82"/>
  <c r="P115" i="82"/>
  <c r="O115" i="82"/>
  <c r="J115" i="82"/>
  <c r="I115" i="82"/>
  <c r="H115" i="82"/>
  <c r="E115" i="82"/>
  <c r="R114" i="82"/>
  <c r="Q114" i="82"/>
  <c r="P114" i="82"/>
  <c r="O114" i="82"/>
  <c r="J114" i="82"/>
  <c r="I114" i="82"/>
  <c r="H114" i="82"/>
  <c r="E114" i="82"/>
  <c r="R113" i="82"/>
  <c r="Q113" i="82"/>
  <c r="P113" i="82"/>
  <c r="O113" i="82"/>
  <c r="J113" i="82"/>
  <c r="I113" i="82"/>
  <c r="H113" i="82"/>
  <c r="E113" i="82"/>
  <c r="R112" i="82"/>
  <c r="Q112" i="82"/>
  <c r="P112" i="82"/>
  <c r="O112" i="82"/>
  <c r="J112" i="82"/>
  <c r="I112" i="82"/>
  <c r="H112" i="82"/>
  <c r="E112" i="82"/>
  <c r="R111" i="82"/>
  <c r="Q111" i="82"/>
  <c r="P111" i="82"/>
  <c r="O111" i="82"/>
  <c r="J111" i="82"/>
  <c r="I111" i="82"/>
  <c r="H111" i="82"/>
  <c r="E111" i="82"/>
  <c r="R110" i="82"/>
  <c r="Q110" i="82"/>
  <c r="P110" i="82"/>
  <c r="O110" i="82"/>
  <c r="J110" i="82"/>
  <c r="I110" i="82"/>
  <c r="H110" i="82"/>
  <c r="E110" i="82"/>
  <c r="R109" i="82"/>
  <c r="Q109" i="82"/>
  <c r="P109" i="82"/>
  <c r="O109" i="82"/>
  <c r="J109" i="82"/>
  <c r="I109" i="82"/>
  <c r="H109" i="82"/>
  <c r="E109" i="82"/>
  <c r="R108" i="82"/>
  <c r="Q108" i="82"/>
  <c r="P108" i="82"/>
  <c r="O108" i="82"/>
  <c r="J108" i="82"/>
  <c r="I108" i="82"/>
  <c r="H108" i="82"/>
  <c r="E108" i="82"/>
  <c r="R107" i="82"/>
  <c r="Q107" i="82"/>
  <c r="P107" i="82"/>
  <c r="O107" i="82"/>
  <c r="J107" i="82"/>
  <c r="I107" i="82"/>
  <c r="H107" i="82"/>
  <c r="E107" i="82"/>
  <c r="R106" i="82"/>
  <c r="Q106" i="82"/>
  <c r="P106" i="82"/>
  <c r="O106" i="82"/>
  <c r="J106" i="82"/>
  <c r="I106" i="82"/>
  <c r="H106" i="82"/>
  <c r="E106" i="82"/>
  <c r="R105" i="82"/>
  <c r="Q105" i="82"/>
  <c r="P105" i="82"/>
  <c r="O105" i="82"/>
  <c r="J105" i="82"/>
  <c r="I105" i="82"/>
  <c r="H105" i="82"/>
  <c r="E105" i="82"/>
  <c r="R104" i="82"/>
  <c r="Q104" i="82"/>
  <c r="P104" i="82"/>
  <c r="O104" i="82"/>
  <c r="J104" i="82"/>
  <c r="I104" i="82"/>
  <c r="H104" i="82"/>
  <c r="E104" i="82"/>
  <c r="R103" i="82"/>
  <c r="Q103" i="82"/>
  <c r="P103" i="82"/>
  <c r="O103" i="82"/>
  <c r="J103" i="82"/>
  <c r="I103" i="82"/>
  <c r="H103" i="82"/>
  <c r="E103" i="82"/>
  <c r="R102" i="82"/>
  <c r="Q102" i="82"/>
  <c r="P102" i="82"/>
  <c r="O102" i="82"/>
  <c r="J102" i="82"/>
  <c r="I102" i="82"/>
  <c r="H102" i="82"/>
  <c r="E102" i="82"/>
  <c r="R101" i="82"/>
  <c r="Q101" i="82"/>
  <c r="P101" i="82"/>
  <c r="O101" i="82"/>
  <c r="J101" i="82"/>
  <c r="I101" i="82"/>
  <c r="H101" i="82"/>
  <c r="E101" i="82"/>
  <c r="R100" i="82"/>
  <c r="Q100" i="82"/>
  <c r="P100" i="82"/>
  <c r="O100" i="82"/>
  <c r="J100" i="82"/>
  <c r="I100" i="82"/>
  <c r="H100" i="82"/>
  <c r="E100" i="82"/>
  <c r="R99" i="82"/>
  <c r="Q99" i="82"/>
  <c r="P99" i="82"/>
  <c r="O99" i="82"/>
  <c r="J99" i="82"/>
  <c r="I99" i="82"/>
  <c r="H99" i="82"/>
  <c r="E99" i="82"/>
  <c r="R98" i="82"/>
  <c r="Q98" i="82"/>
  <c r="P98" i="82"/>
  <c r="O98" i="82"/>
  <c r="J98" i="82"/>
  <c r="I98" i="82"/>
  <c r="H98" i="82"/>
  <c r="E98" i="82"/>
  <c r="R97" i="82"/>
  <c r="Q97" i="82"/>
  <c r="P97" i="82"/>
  <c r="O97" i="82"/>
  <c r="J97" i="82"/>
  <c r="I97" i="82"/>
  <c r="H97" i="82"/>
  <c r="E97" i="82"/>
  <c r="R96" i="82"/>
  <c r="Q96" i="82"/>
  <c r="P96" i="82"/>
  <c r="O96" i="82"/>
  <c r="J96" i="82"/>
  <c r="I96" i="82"/>
  <c r="H96" i="82"/>
  <c r="E96" i="82"/>
  <c r="R95" i="82"/>
  <c r="Q95" i="82"/>
  <c r="P95" i="82"/>
  <c r="O95" i="82"/>
  <c r="J95" i="82"/>
  <c r="I95" i="82"/>
  <c r="H95" i="82"/>
  <c r="E95" i="82"/>
  <c r="R94" i="82"/>
  <c r="Q94" i="82"/>
  <c r="P94" i="82"/>
  <c r="O94" i="82"/>
  <c r="J94" i="82"/>
  <c r="I94" i="82"/>
  <c r="H94" i="82"/>
  <c r="E94" i="82"/>
  <c r="R93" i="82"/>
  <c r="Q93" i="82"/>
  <c r="P93" i="82"/>
  <c r="O93" i="82"/>
  <c r="J93" i="82"/>
  <c r="I93" i="82"/>
  <c r="H93" i="82"/>
  <c r="E93" i="82"/>
  <c r="R92" i="82"/>
  <c r="Q92" i="82"/>
  <c r="P92" i="82"/>
  <c r="O92" i="82"/>
  <c r="J92" i="82"/>
  <c r="I92" i="82"/>
  <c r="H92" i="82"/>
  <c r="E92" i="82"/>
  <c r="R91" i="82"/>
  <c r="Q91" i="82"/>
  <c r="P91" i="82"/>
  <c r="O91" i="82"/>
  <c r="J91" i="82"/>
  <c r="I91" i="82"/>
  <c r="H91" i="82"/>
  <c r="E91" i="82"/>
  <c r="R90" i="82"/>
  <c r="Q90" i="82"/>
  <c r="P90" i="82"/>
  <c r="O90" i="82"/>
  <c r="J90" i="82"/>
  <c r="I90" i="82"/>
  <c r="H90" i="82"/>
  <c r="E90" i="82"/>
  <c r="R89" i="82"/>
  <c r="Q89" i="82"/>
  <c r="P89" i="82"/>
  <c r="O89" i="82"/>
  <c r="J89" i="82"/>
  <c r="I89" i="82"/>
  <c r="H89" i="82"/>
  <c r="E89" i="82"/>
  <c r="R88" i="82"/>
  <c r="Q88" i="82"/>
  <c r="P88" i="82"/>
  <c r="O88" i="82"/>
  <c r="J88" i="82"/>
  <c r="I88" i="82"/>
  <c r="H88" i="82"/>
  <c r="E88" i="82"/>
  <c r="R87" i="82"/>
  <c r="Q87" i="82"/>
  <c r="P87" i="82"/>
  <c r="O87" i="82"/>
  <c r="J87" i="82"/>
  <c r="I87" i="82"/>
  <c r="H87" i="82"/>
  <c r="E87" i="82"/>
  <c r="R86" i="82"/>
  <c r="Q86" i="82"/>
  <c r="P86" i="82"/>
  <c r="O86" i="82"/>
  <c r="J86" i="82"/>
  <c r="I86" i="82"/>
  <c r="H86" i="82"/>
  <c r="E86" i="82"/>
  <c r="R85" i="82"/>
  <c r="Q85" i="82"/>
  <c r="P85" i="82"/>
  <c r="O85" i="82"/>
  <c r="J85" i="82"/>
  <c r="I85" i="82"/>
  <c r="H85" i="82"/>
  <c r="E85" i="82"/>
  <c r="R84" i="82"/>
  <c r="Q84" i="82"/>
  <c r="P84" i="82"/>
  <c r="O84" i="82"/>
  <c r="J84" i="82"/>
  <c r="I84" i="82"/>
  <c r="H84" i="82"/>
  <c r="E84" i="82"/>
  <c r="R83" i="82"/>
  <c r="Q83" i="82"/>
  <c r="P83" i="82"/>
  <c r="O83" i="82"/>
  <c r="J83" i="82"/>
  <c r="I83" i="82"/>
  <c r="H83" i="82"/>
  <c r="E83" i="82"/>
  <c r="R82" i="82"/>
  <c r="Q82" i="82"/>
  <c r="P82" i="82"/>
  <c r="O82" i="82"/>
  <c r="J82" i="82"/>
  <c r="I82" i="82"/>
  <c r="H82" i="82"/>
  <c r="E82" i="82"/>
  <c r="R81" i="82"/>
  <c r="Q81" i="82"/>
  <c r="P81" i="82"/>
  <c r="O81" i="82"/>
  <c r="J81" i="82"/>
  <c r="I81" i="82"/>
  <c r="H81" i="82"/>
  <c r="E81" i="82"/>
  <c r="R80" i="82"/>
  <c r="Q80" i="82"/>
  <c r="P80" i="82"/>
  <c r="O80" i="82"/>
  <c r="J80" i="82"/>
  <c r="I80" i="82"/>
  <c r="H80" i="82"/>
  <c r="E80" i="82"/>
  <c r="R79" i="82"/>
  <c r="Q79" i="82"/>
  <c r="P79" i="82"/>
  <c r="O79" i="82"/>
  <c r="J79" i="82"/>
  <c r="I79" i="82"/>
  <c r="H79" i="82"/>
  <c r="E79" i="82"/>
  <c r="R78" i="82"/>
  <c r="Q78" i="82"/>
  <c r="P78" i="82"/>
  <c r="O78" i="82"/>
  <c r="J78" i="82"/>
  <c r="I78" i="82"/>
  <c r="H78" i="82"/>
  <c r="E78" i="82"/>
  <c r="R77" i="82"/>
  <c r="Q77" i="82"/>
  <c r="P77" i="82"/>
  <c r="O77" i="82"/>
  <c r="J77" i="82"/>
  <c r="I77" i="82"/>
  <c r="H77" i="82"/>
  <c r="E77" i="82"/>
  <c r="R76" i="82"/>
  <c r="Q76" i="82"/>
  <c r="P76" i="82"/>
  <c r="O76" i="82"/>
  <c r="J76" i="82"/>
  <c r="I76" i="82"/>
  <c r="H76" i="82"/>
  <c r="E76" i="82"/>
  <c r="R75" i="82"/>
  <c r="Q75" i="82"/>
  <c r="P75" i="82"/>
  <c r="O75" i="82"/>
  <c r="J75" i="82"/>
  <c r="I75" i="82"/>
  <c r="H75" i="82"/>
  <c r="E75" i="82"/>
  <c r="R74" i="82"/>
  <c r="Q74" i="82"/>
  <c r="P74" i="82"/>
  <c r="O74" i="82"/>
  <c r="J74" i="82"/>
  <c r="I74" i="82"/>
  <c r="H74" i="82"/>
  <c r="E74" i="82"/>
  <c r="R73" i="82"/>
  <c r="Q73" i="82"/>
  <c r="P73" i="82"/>
  <c r="O73" i="82"/>
  <c r="J73" i="82"/>
  <c r="I73" i="82"/>
  <c r="H73" i="82"/>
  <c r="E73" i="82"/>
  <c r="R72" i="82"/>
  <c r="Q72" i="82"/>
  <c r="P72" i="82"/>
  <c r="O72" i="82"/>
  <c r="J72" i="82"/>
  <c r="I72" i="82"/>
  <c r="H72" i="82"/>
  <c r="E72" i="82"/>
  <c r="R71" i="82"/>
  <c r="Q71" i="82"/>
  <c r="P71" i="82"/>
  <c r="O71" i="82"/>
  <c r="J71" i="82"/>
  <c r="I71" i="82"/>
  <c r="H71" i="82"/>
  <c r="E71" i="82"/>
  <c r="R70" i="82"/>
  <c r="Q70" i="82"/>
  <c r="P70" i="82"/>
  <c r="O70" i="82"/>
  <c r="J70" i="82"/>
  <c r="I70" i="82"/>
  <c r="H70" i="82"/>
  <c r="E70" i="82"/>
  <c r="R69" i="82"/>
  <c r="Q69" i="82"/>
  <c r="P69" i="82"/>
  <c r="O69" i="82"/>
  <c r="J69" i="82"/>
  <c r="I69" i="82"/>
  <c r="H69" i="82"/>
  <c r="E69" i="82"/>
  <c r="R68" i="82"/>
  <c r="Q68" i="82"/>
  <c r="P68" i="82"/>
  <c r="O68" i="82"/>
  <c r="J68" i="82"/>
  <c r="I68" i="82"/>
  <c r="H68" i="82"/>
  <c r="E68" i="82"/>
  <c r="R67" i="82"/>
  <c r="Q67" i="82"/>
  <c r="P67" i="82"/>
  <c r="O67" i="82"/>
  <c r="J67" i="82"/>
  <c r="I67" i="82"/>
  <c r="H67" i="82"/>
  <c r="E67" i="82"/>
  <c r="R66" i="82"/>
  <c r="Q66" i="82"/>
  <c r="P66" i="82"/>
  <c r="O66" i="82"/>
  <c r="J66" i="82"/>
  <c r="I66" i="82"/>
  <c r="H66" i="82"/>
  <c r="E66" i="82"/>
  <c r="R65" i="82"/>
  <c r="Q65" i="82"/>
  <c r="P65" i="82"/>
  <c r="O65" i="82"/>
  <c r="J65" i="82"/>
  <c r="I65" i="82"/>
  <c r="H65" i="82"/>
  <c r="E65" i="82"/>
  <c r="R64" i="82"/>
  <c r="Q64" i="82"/>
  <c r="P64" i="82"/>
  <c r="O64" i="82"/>
  <c r="J64" i="82"/>
  <c r="I64" i="82"/>
  <c r="H64" i="82"/>
  <c r="E64" i="82"/>
  <c r="R63" i="82"/>
  <c r="Q63" i="82"/>
  <c r="P63" i="82"/>
  <c r="O63" i="82"/>
  <c r="J63" i="82"/>
  <c r="I63" i="82"/>
  <c r="H63" i="82"/>
  <c r="E63" i="82"/>
  <c r="R62" i="82"/>
  <c r="Q62" i="82"/>
  <c r="P62" i="82"/>
  <c r="O62" i="82"/>
  <c r="J62" i="82"/>
  <c r="I62" i="82"/>
  <c r="H62" i="82"/>
  <c r="E62" i="82"/>
  <c r="R61" i="82"/>
  <c r="Q61" i="82"/>
  <c r="P61" i="82"/>
  <c r="O61" i="82"/>
  <c r="J61" i="82"/>
  <c r="I61" i="82"/>
  <c r="H61" i="82"/>
  <c r="E61" i="82"/>
  <c r="R60" i="82"/>
  <c r="Q60" i="82"/>
  <c r="P60" i="82"/>
  <c r="O60" i="82"/>
  <c r="J60" i="82"/>
  <c r="I60" i="82"/>
  <c r="H60" i="82"/>
  <c r="E60" i="82"/>
  <c r="R59" i="82"/>
  <c r="Q59" i="82"/>
  <c r="P59" i="82"/>
  <c r="O59" i="82"/>
  <c r="J59" i="82"/>
  <c r="I59" i="82"/>
  <c r="H59" i="82"/>
  <c r="E59" i="82"/>
  <c r="R58" i="82"/>
  <c r="Q58" i="82"/>
  <c r="P58" i="82"/>
  <c r="O58" i="82"/>
  <c r="J58" i="82"/>
  <c r="I58" i="82"/>
  <c r="H58" i="82"/>
  <c r="E58" i="82"/>
  <c r="R57" i="82"/>
  <c r="Q57" i="82"/>
  <c r="P57" i="82"/>
  <c r="O57" i="82"/>
  <c r="J57" i="82"/>
  <c r="I57" i="82"/>
  <c r="H57" i="82"/>
  <c r="E57" i="82"/>
  <c r="R56" i="82"/>
  <c r="Q56" i="82"/>
  <c r="P56" i="82"/>
  <c r="O56" i="82"/>
  <c r="J56" i="82"/>
  <c r="I56" i="82"/>
  <c r="H56" i="82"/>
  <c r="E56" i="82"/>
  <c r="R55" i="82"/>
  <c r="Q55" i="82"/>
  <c r="P55" i="82"/>
  <c r="O55" i="82"/>
  <c r="J55" i="82"/>
  <c r="I55" i="82"/>
  <c r="H55" i="82"/>
  <c r="E55" i="82"/>
  <c r="R54" i="82"/>
  <c r="Q54" i="82"/>
  <c r="P54" i="82"/>
  <c r="O54" i="82"/>
  <c r="J54" i="82"/>
  <c r="I54" i="82"/>
  <c r="H54" i="82"/>
  <c r="E54" i="82"/>
  <c r="R53" i="82"/>
  <c r="Q53" i="82"/>
  <c r="P53" i="82"/>
  <c r="O53" i="82"/>
  <c r="J53" i="82"/>
  <c r="I53" i="82"/>
  <c r="H53" i="82"/>
  <c r="E53" i="82"/>
  <c r="R52" i="82"/>
  <c r="Q52" i="82"/>
  <c r="P52" i="82"/>
  <c r="O52" i="82"/>
  <c r="J52" i="82"/>
  <c r="I52" i="82"/>
  <c r="H52" i="82"/>
  <c r="E52" i="82"/>
  <c r="R51" i="82"/>
  <c r="Q51" i="82"/>
  <c r="P51" i="82"/>
  <c r="O51" i="82"/>
  <c r="J51" i="82"/>
  <c r="I51" i="82"/>
  <c r="H51" i="82"/>
  <c r="E51" i="82"/>
  <c r="R50" i="82"/>
  <c r="Q50" i="82"/>
  <c r="P50" i="82"/>
  <c r="O50" i="82"/>
  <c r="J50" i="82"/>
  <c r="I50" i="82"/>
  <c r="H50" i="82"/>
  <c r="E50" i="82"/>
  <c r="R49" i="82"/>
  <c r="Q49" i="82"/>
  <c r="P49" i="82"/>
  <c r="O49" i="82"/>
  <c r="J49" i="82"/>
  <c r="I49" i="82"/>
  <c r="H49" i="82"/>
  <c r="E49" i="82"/>
  <c r="R48" i="82"/>
  <c r="Q48" i="82"/>
  <c r="P48" i="82"/>
  <c r="O48" i="82"/>
  <c r="J48" i="82"/>
  <c r="I48" i="82"/>
  <c r="H48" i="82"/>
  <c r="E48" i="82"/>
  <c r="R47" i="82"/>
  <c r="Q47" i="82"/>
  <c r="P47" i="82"/>
  <c r="O47" i="82"/>
  <c r="J47" i="82"/>
  <c r="I47" i="82"/>
  <c r="H47" i="82"/>
  <c r="E47" i="82"/>
  <c r="R46" i="82"/>
  <c r="Q46" i="82"/>
  <c r="P46" i="82"/>
  <c r="O46" i="82"/>
  <c r="J46" i="82"/>
  <c r="I46" i="82"/>
  <c r="H46" i="82"/>
  <c r="E46" i="82"/>
  <c r="R45" i="82"/>
  <c r="Q45" i="82"/>
  <c r="P45" i="82"/>
  <c r="O45" i="82"/>
  <c r="J45" i="82"/>
  <c r="I45" i="82"/>
  <c r="H45" i="82"/>
  <c r="E45" i="82"/>
  <c r="R44" i="82"/>
  <c r="Q44" i="82"/>
  <c r="P44" i="82"/>
  <c r="O44" i="82"/>
  <c r="J44" i="82"/>
  <c r="I44" i="82"/>
  <c r="H44" i="82"/>
  <c r="E44" i="82"/>
  <c r="R43" i="82"/>
  <c r="Q43" i="82"/>
  <c r="P43" i="82"/>
  <c r="O43" i="82"/>
  <c r="J43" i="82"/>
  <c r="I43" i="82"/>
  <c r="H43" i="82"/>
  <c r="E43" i="82"/>
  <c r="R42" i="82"/>
  <c r="Q42" i="82"/>
  <c r="P42" i="82"/>
  <c r="O42" i="82"/>
  <c r="J42" i="82"/>
  <c r="I42" i="82"/>
  <c r="H42" i="82"/>
  <c r="E42" i="82"/>
  <c r="R41" i="82"/>
  <c r="Q41" i="82"/>
  <c r="P41" i="82"/>
  <c r="O41" i="82"/>
  <c r="J41" i="82"/>
  <c r="I41" i="82"/>
  <c r="H41" i="82"/>
  <c r="E41" i="82"/>
  <c r="R40" i="82"/>
  <c r="Q40" i="82"/>
  <c r="P40" i="82"/>
  <c r="O40" i="82"/>
  <c r="J40" i="82"/>
  <c r="I40" i="82"/>
  <c r="H40" i="82"/>
  <c r="E40" i="82"/>
  <c r="R39" i="82"/>
  <c r="Q39" i="82"/>
  <c r="P39" i="82"/>
  <c r="O39" i="82"/>
  <c r="J39" i="82"/>
  <c r="I39" i="82"/>
  <c r="H39" i="82"/>
  <c r="E39" i="82"/>
  <c r="R38" i="82"/>
  <c r="Q38" i="82"/>
  <c r="P38" i="82"/>
  <c r="O38" i="82"/>
  <c r="J38" i="82"/>
  <c r="I38" i="82"/>
  <c r="H38" i="82"/>
  <c r="E38" i="82"/>
  <c r="R37" i="82"/>
  <c r="Q37" i="82"/>
  <c r="P37" i="82"/>
  <c r="O37" i="82"/>
  <c r="J37" i="82"/>
  <c r="I37" i="82"/>
  <c r="H37" i="82"/>
  <c r="E37" i="82"/>
  <c r="R36" i="82"/>
  <c r="Q36" i="82"/>
  <c r="P36" i="82"/>
  <c r="O36" i="82"/>
  <c r="J36" i="82"/>
  <c r="I36" i="82"/>
  <c r="H36" i="82"/>
  <c r="E36" i="82"/>
  <c r="R35" i="82"/>
  <c r="Q35" i="82"/>
  <c r="P35" i="82"/>
  <c r="O35" i="82"/>
  <c r="J35" i="82"/>
  <c r="I35" i="82"/>
  <c r="H35" i="82"/>
  <c r="E35" i="82"/>
  <c r="R34" i="82"/>
  <c r="Q34" i="82"/>
  <c r="P34" i="82"/>
  <c r="O34" i="82"/>
  <c r="J34" i="82"/>
  <c r="I34" i="82"/>
  <c r="H34" i="82"/>
  <c r="E34" i="82"/>
  <c r="R33" i="82"/>
  <c r="Q33" i="82"/>
  <c r="P33" i="82"/>
  <c r="O33" i="82"/>
  <c r="J33" i="82"/>
  <c r="I33" i="82"/>
  <c r="H33" i="82"/>
  <c r="E33" i="82"/>
  <c r="R32" i="82"/>
  <c r="Q32" i="82"/>
  <c r="P32" i="82"/>
  <c r="O32" i="82"/>
  <c r="J32" i="82"/>
  <c r="I32" i="82"/>
  <c r="H32" i="82"/>
  <c r="E32" i="82"/>
  <c r="R31" i="82"/>
  <c r="Q31" i="82"/>
  <c r="P31" i="82"/>
  <c r="O31" i="82"/>
  <c r="J31" i="82"/>
  <c r="I31" i="82"/>
  <c r="H31" i="82"/>
  <c r="E31" i="82"/>
  <c r="R30" i="82"/>
  <c r="Q30" i="82"/>
  <c r="P30" i="82"/>
  <c r="O30" i="82"/>
  <c r="J30" i="82"/>
  <c r="I30" i="82"/>
  <c r="H30" i="82"/>
  <c r="E30" i="82"/>
  <c r="R29" i="82"/>
  <c r="Q29" i="82"/>
  <c r="P29" i="82"/>
  <c r="O29" i="82"/>
  <c r="J29" i="82"/>
  <c r="I29" i="82"/>
  <c r="H29" i="82"/>
  <c r="E29" i="82"/>
  <c r="R28" i="82"/>
  <c r="Q28" i="82"/>
  <c r="P28" i="82"/>
  <c r="O28" i="82"/>
  <c r="J28" i="82"/>
  <c r="I28" i="82"/>
  <c r="H28" i="82"/>
  <c r="E28" i="82"/>
  <c r="R27" i="82"/>
  <c r="Q27" i="82"/>
  <c r="P27" i="82"/>
  <c r="O27" i="82"/>
  <c r="J27" i="82"/>
  <c r="I27" i="82"/>
  <c r="H27" i="82"/>
  <c r="E27" i="82"/>
  <c r="R26" i="82"/>
  <c r="Q26" i="82"/>
  <c r="P26" i="82"/>
  <c r="O26" i="82"/>
  <c r="J26" i="82"/>
  <c r="I26" i="82"/>
  <c r="H26" i="82"/>
  <c r="E26" i="82"/>
  <c r="R25" i="82"/>
  <c r="Q25" i="82"/>
  <c r="P25" i="82"/>
  <c r="O25" i="82"/>
  <c r="J25" i="82"/>
  <c r="I25" i="82"/>
  <c r="H25" i="82"/>
  <c r="E25" i="82"/>
  <c r="R24" i="82"/>
  <c r="Q24" i="82"/>
  <c r="P24" i="82"/>
  <c r="O24" i="82"/>
  <c r="J24" i="82"/>
  <c r="I24" i="82"/>
  <c r="H24" i="82"/>
  <c r="E24" i="82"/>
  <c r="R23" i="82"/>
  <c r="Q23" i="82"/>
  <c r="P23" i="82"/>
  <c r="O23" i="82"/>
  <c r="J23" i="82"/>
  <c r="I23" i="82"/>
  <c r="H23" i="82"/>
  <c r="E23" i="82"/>
  <c r="R22" i="82"/>
  <c r="Q22" i="82"/>
  <c r="P22" i="82"/>
  <c r="O22" i="82"/>
  <c r="J22" i="82"/>
  <c r="I22" i="82"/>
  <c r="H22" i="82"/>
  <c r="E22" i="82"/>
  <c r="R21" i="82"/>
  <c r="Q21" i="82"/>
  <c r="P21" i="82"/>
  <c r="O21" i="82"/>
  <c r="J21" i="82"/>
  <c r="I21" i="82"/>
  <c r="H21" i="82"/>
  <c r="E21" i="82"/>
  <c r="R20" i="82"/>
  <c r="Q20" i="82"/>
  <c r="P20" i="82"/>
  <c r="O20" i="82"/>
  <c r="J20" i="82"/>
  <c r="I20" i="82"/>
  <c r="H20" i="82"/>
  <c r="E20" i="82"/>
  <c r="R19" i="82"/>
  <c r="Q19" i="82"/>
  <c r="P19" i="82"/>
  <c r="O19" i="82"/>
  <c r="J19" i="82"/>
  <c r="I19" i="82"/>
  <c r="H19" i="82"/>
  <c r="E19" i="82"/>
  <c r="R18" i="82"/>
  <c r="Q18" i="82"/>
  <c r="P18" i="82"/>
  <c r="O18" i="82"/>
  <c r="J18" i="82"/>
  <c r="I18" i="82"/>
  <c r="H18" i="82"/>
  <c r="E18" i="82"/>
  <c r="R17" i="82"/>
  <c r="Q17" i="82"/>
  <c r="P17" i="82"/>
  <c r="O17" i="82"/>
  <c r="J17" i="82"/>
  <c r="I17" i="82"/>
  <c r="H17" i="82"/>
  <c r="E17" i="82"/>
  <c r="R16" i="82"/>
  <c r="Q16" i="82"/>
  <c r="P16" i="82"/>
  <c r="O16" i="82"/>
  <c r="J16" i="82"/>
  <c r="I16" i="82"/>
  <c r="H16" i="82"/>
  <c r="E16" i="82"/>
  <c r="R15" i="82"/>
  <c r="Q15" i="82"/>
  <c r="P15" i="82"/>
  <c r="O15" i="82"/>
  <c r="J15" i="82"/>
  <c r="I15" i="82"/>
  <c r="H15" i="82"/>
  <c r="E15" i="82"/>
  <c r="R14" i="82"/>
  <c r="Q14" i="82"/>
  <c r="P14" i="82"/>
  <c r="O14" i="82"/>
  <c r="J14" i="82"/>
  <c r="I14" i="82"/>
  <c r="H14" i="82"/>
  <c r="E14" i="82"/>
  <c r="R13" i="82"/>
  <c r="Q13" i="82"/>
  <c r="P13" i="82"/>
  <c r="O13" i="82"/>
  <c r="J13" i="82"/>
  <c r="I13" i="82"/>
  <c r="H13" i="82"/>
  <c r="E13" i="82"/>
  <c r="R12" i="82"/>
  <c r="Q12" i="82"/>
  <c r="P12" i="82"/>
  <c r="O12" i="82"/>
  <c r="J12" i="82"/>
  <c r="I12" i="82"/>
  <c r="H12" i="82"/>
  <c r="E12" i="82"/>
  <c r="R11" i="82"/>
  <c r="Q11" i="82"/>
  <c r="P11" i="82"/>
  <c r="O11" i="82"/>
  <c r="J11" i="82"/>
  <c r="I11" i="82"/>
  <c r="H11" i="82"/>
  <c r="E11" i="82"/>
  <c r="R10" i="82"/>
  <c r="Q10" i="82"/>
  <c r="P10" i="82"/>
  <c r="O10" i="82"/>
  <c r="J10" i="82"/>
  <c r="I10" i="82"/>
  <c r="H10" i="82"/>
  <c r="E10" i="82"/>
  <c r="R9" i="82"/>
  <c r="Q9" i="82"/>
  <c r="P9" i="82"/>
  <c r="O9" i="82"/>
  <c r="J9" i="82"/>
  <c r="I9" i="82"/>
  <c r="H9" i="82"/>
  <c r="E9" i="82"/>
  <c r="R8" i="82"/>
  <c r="Q8" i="82"/>
  <c r="P8" i="82"/>
  <c r="O8" i="82"/>
  <c r="J8" i="82"/>
  <c r="I8" i="82"/>
  <c r="H8" i="82"/>
  <c r="E8" i="82"/>
  <c r="R7" i="82"/>
  <c r="Q7" i="82"/>
  <c r="P7" i="82"/>
  <c r="O7" i="82"/>
  <c r="J7" i="82"/>
  <c r="I7" i="82"/>
  <c r="H7" i="82"/>
  <c r="E7" i="82"/>
  <c r="R6" i="82"/>
  <c r="Q6" i="82"/>
  <c r="P6" i="82"/>
  <c r="O6" i="82"/>
  <c r="J6" i="82"/>
  <c r="I6" i="82"/>
  <c r="H6" i="82"/>
  <c r="E6" i="82"/>
  <c r="R5" i="82"/>
  <c r="Q5" i="82"/>
  <c r="P5" i="82"/>
  <c r="O5" i="82"/>
  <c r="J5" i="82"/>
  <c r="I5" i="82"/>
  <c r="H5" i="82"/>
  <c r="E5" i="82"/>
  <c r="R4" i="82"/>
  <c r="Q4" i="82"/>
  <c r="P4" i="82"/>
  <c r="O4" i="82"/>
  <c r="J4" i="82"/>
  <c r="I4" i="82"/>
  <c r="H4" i="82"/>
  <c r="E4" i="82"/>
  <c r="R3" i="82"/>
  <c r="Q3" i="82"/>
  <c r="P3" i="82"/>
  <c r="O3" i="82"/>
  <c r="J3" i="82"/>
  <c r="I3" i="82"/>
  <c r="H3" i="82"/>
  <c r="E3" i="82"/>
  <c r="R2" i="82"/>
  <c r="Q2" i="82"/>
  <c r="P2" i="82"/>
  <c r="O2" i="82"/>
  <c r="J2" i="82"/>
  <c r="I2" i="82"/>
  <c r="H2" i="82"/>
  <c r="E2" i="82"/>
  <c r="A7" i="105"/>
  <c r="D7" i="105"/>
  <c r="A10" i="105"/>
  <c r="B13" i="104"/>
  <c r="G10" i="105"/>
  <c r="G7" i="105"/>
  <c r="E13" i="103"/>
  <c r="E12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8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9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10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ガチャid+識別子でつければ被らないかなと思います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<sst xmlns="http://schemas.openxmlformats.org/spreadsheetml/2006/main" count="1088" uniqueCount="147">
  <si>
    <t>character_id</t>
  </si>
  <si>
    <t>character_id</t>
    <phoneticPr fontId="15"/>
  </si>
  <si>
    <t>weight</t>
    <phoneticPr fontId="15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</si>
  <si>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</si>
  <si>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</si>
  <si>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</si>
  <si>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</si>
  <si>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</si>
  <si>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</si>
  <si>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</si>
  <si>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5"/>
  </si>
  <si>
    <t>bonus_table_no</t>
    <phoneticPr fontId="15"/>
  </si>
  <si>
    <t>weight</t>
    <phoneticPr fontId="15"/>
  </si>
  <si>
    <t>gift_id</t>
    <phoneticPr fontId="15"/>
  </si>
  <si>
    <t>gift_id</t>
    <phoneticPr fontId="15"/>
  </si>
  <si>
    <t>gift_type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</si>
  <si>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</si>
  <si>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</si>
  <si>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</si>
  <si>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</si>
  <si>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</si>
  <si>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</si>
  <si>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gift_id</t>
    <phoneticPr fontId="15"/>
  </si>
  <si>
    <t>gift_value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</si>
  <si>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</si>
  <si>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</si>
  <si>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</si>
  <si>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</si>
  <si>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</si>
  <si>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</si>
  <si>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gift_type</t>
    <phoneticPr fontId="15"/>
  </si>
  <si>
    <t>備考</t>
    <rPh sb="0" eb="2">
      <t>ビコウ</t>
    </rPh>
    <phoneticPr fontId="15"/>
  </si>
  <si>
    <t>character_id</t>
    <phoneticPr fontId="15"/>
  </si>
  <si>
    <t>name</t>
    <phoneticPr fontId="15"/>
  </si>
  <si>
    <t>drop_label</t>
    <phoneticPr fontId="15"/>
  </si>
  <si>
    <t>rare</t>
    <phoneticPr fontId="15"/>
  </si>
  <si>
    <t>character_type_id</t>
    <phoneticPr fontId="15"/>
  </si>
  <si>
    <t>character_tribe_id</t>
    <phoneticPr fontId="15"/>
  </si>
  <si>
    <t>unit_level</t>
    <phoneticPr fontId="15"/>
  </si>
  <si>
    <t>weight</t>
    <phoneticPr fontId="15"/>
  </si>
  <si>
    <t>接頭語</t>
    <rPh sb="0" eb="3">
      <t>セットウゴ</t>
    </rPh>
    <phoneticPr fontId="48"/>
  </si>
  <si>
    <t>識別子</t>
    <rPh sb="0" eb="3">
      <t>シキベツシ</t>
    </rPh>
    <phoneticPr fontId="48"/>
  </si>
  <si>
    <t>形式</t>
    <rPh sb="0" eb="2">
      <t>ケイシキ</t>
    </rPh>
    <phoneticPr fontId="48"/>
  </si>
  <si>
    <t>出力ファイル名</t>
    <rPh sb="0" eb="2">
      <t>シュツリョク</t>
    </rPh>
    <rPh sb="6" eb="7">
      <t>メイ</t>
    </rPh>
    <phoneticPr fontId="48"/>
  </si>
  <si>
    <t>入力シート名</t>
    <rPh sb="0" eb="2">
      <t>ニュウリョク</t>
    </rPh>
    <rPh sb="5" eb="6">
      <t>メイ</t>
    </rPh>
    <phoneticPr fontId="48"/>
  </si>
  <si>
    <t>出力データ</t>
    <rPh sb="0" eb="2">
      <t>シュツリョク</t>
    </rPh>
    <phoneticPr fontId="48"/>
  </si>
  <si>
    <t>.tmp</t>
    <phoneticPr fontId="48"/>
  </si>
  <si>
    <t>.tmp</t>
    <phoneticPr fontId="48"/>
  </si>
  <si>
    <t>gacha_bonus_tables</t>
    <phoneticPr fontId="48"/>
  </si>
  <si>
    <t>gifts_tmp_</t>
    <phoneticPr fontId="15"/>
  </si>
  <si>
    <t>gifts_i18n_</t>
    <phoneticPr fontId="15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</si>
  <si>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</si>
  <si>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5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</si>
  <si>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5"/>
  </si>
  <si>
    <t>出力flg</t>
    <rPh sb="0" eb="2">
      <t>シュツリョク</t>
    </rPh>
    <phoneticPr fontId="48"/>
  </si>
  <si>
    <t>color</t>
    <phoneticPr fontId="15"/>
  </si>
  <si>
    <t>name</t>
    <phoneticPr fontId="15"/>
  </si>
  <si>
    <t>バグ設定ユニット数</t>
    <rPh sb="2" eb="9">
      <t>セッテイy</t>
    </rPh>
    <phoneticPr fontId="15"/>
  </si>
  <si>
    <t>単発ガチャ</t>
    <rPh sb="0" eb="5">
      <t>タンパt</t>
    </rPh>
    <phoneticPr fontId="15"/>
  </si>
  <si>
    <t>unit_level</t>
    <phoneticPr fontId="15"/>
  </si>
  <si>
    <t>フェス限定キャラ数</t>
    <rPh sb="3" eb="8">
      <t>ゲン</t>
    </rPh>
    <rPh sb="8" eb="9">
      <t>シュt</t>
    </rPh>
    <phoneticPr fontId="15"/>
  </si>
  <si>
    <t>１０連ガチャ</t>
    <rPh sb="2" eb="6">
      <t>レン</t>
    </rPh>
    <phoneticPr fontId="15"/>
  </si>
  <si>
    <t>確定枠</t>
    <rPh sb="0" eb="3">
      <t>カクテ</t>
    </rPh>
    <phoneticPr fontId="15"/>
  </si>
  <si>
    <t>今回のガチャID</t>
    <rPh sb="0" eb="3">
      <t>コンカ</t>
    </rPh>
    <phoneticPr fontId="15"/>
  </si>
  <si>
    <t>other</t>
    <phoneticPr fontId="15"/>
  </si>
  <si>
    <t>総ユニット数</t>
    <rPh sb="0" eb="1">
      <t>ソウ</t>
    </rPh>
    <rPh sb="5" eb="6">
      <t>ス</t>
    </rPh>
    <phoneticPr fontId="15"/>
  </si>
  <si>
    <t>総ユニット数</t>
    <rPh sb="0" eb="6">
      <t>ソウユニッt</t>
    </rPh>
    <phoneticPr fontId="15"/>
  </si>
  <si>
    <t>レベル設定ユニット数</t>
    <rPh sb="3" eb="10">
      <t>セッテイy</t>
    </rPh>
    <phoneticPr fontId="15"/>
  </si>
  <si>
    <t>レアリティ別確率</t>
    <rPh sb="5" eb="6">
      <t>ベツ</t>
    </rPh>
    <rPh sb="6" eb="8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</si>
  <si>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</si>
  <si>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SSS</t>
    <phoneticPr fontId="15"/>
  </si>
  <si>
    <t>SS</t>
    <phoneticPr fontId="15"/>
  </si>
  <si>
    <t>ラベル*レアリティ標準確率</t>
    <rPh sb="9" eb="11">
      <t>ヒョウジュン</t>
    </rPh>
    <rPh sb="11" eb="13">
      <t>カクリツ</t>
    </rPh>
    <phoneticPr fontId="15"/>
  </si>
  <si>
    <t>性別</t>
    <rPh sb="0" eb="2">
      <t>セイベツ</t>
    </rPh>
    <phoneticPr fontId="15"/>
  </si>
  <si>
    <t>合計</t>
    <rPh sb="0" eb="2">
      <t>ゴウケイ</t>
    </rPh>
    <phoneticPr fontId="15"/>
  </si>
  <si>
    <t>グループ</t>
    <phoneticPr fontId="15"/>
  </si>
  <si>
    <t>基準確率</t>
    <rPh sb="0" eb="2">
      <t>キジュン</t>
    </rPh>
    <rPh sb="2" eb="4">
      <t>ヒョウジュンカクリツ</t>
    </rPh>
    <phoneticPr fontId="15"/>
  </si>
  <si>
    <t>ピックアップ確率</t>
    <rPh sb="6" eb="8">
      <t>カクリツ</t>
    </rPh>
    <phoneticPr fontId="15"/>
  </si>
  <si>
    <t>残り確率</t>
    <rPh sb="0" eb="1">
      <t>ノコ</t>
    </rPh>
    <rPh sb="2" eb="4">
      <t>カクリツ</t>
    </rPh>
    <phoneticPr fontId="15"/>
  </si>
  <si>
    <t>確率</t>
    <rPh sb="0" eb="2">
      <t>カクリツ</t>
    </rPh>
    <phoneticPr fontId="15"/>
  </si>
  <si>
    <t>所属グループ</t>
    <rPh sb="0" eb="2">
      <t>ショゾク</t>
    </rPh>
    <phoneticPr fontId="15"/>
  </si>
  <si>
    <t>名前</t>
    <rPh sb="0" eb="2">
      <t>ナマエ</t>
    </rPh>
    <phoneticPr fontId="15"/>
  </si>
  <si>
    <t>レアリティ</t>
    <phoneticPr fontId="15"/>
  </si>
  <si>
    <t>ラベル</t>
    <phoneticPr fontId="15"/>
  </si>
  <si>
    <t>PremiumSS4</t>
    <phoneticPr fontId="15"/>
  </si>
  <si>
    <t>PremiumSSS4</t>
    <phoneticPr fontId="15"/>
  </si>
  <si>
    <t>PremiumSS5</t>
    <phoneticPr fontId="15"/>
  </si>
  <si>
    <t>PremiumSSS5</t>
    <phoneticPr fontId="15"/>
  </si>
  <si>
    <t>R3</t>
    <phoneticPr fontId="15"/>
  </si>
  <si>
    <t>R4</t>
    <phoneticPr fontId="15"/>
  </si>
  <si>
    <t>R5</t>
    <phoneticPr fontId="15"/>
  </si>
  <si>
    <t>個別確率</t>
    <rPh sb="0" eb="4">
      <t>コベツカクリツ</t>
    </rPh>
    <phoneticPr fontId="15"/>
  </si>
  <si>
    <t>該当数(ピックアップ除く)</t>
    <rPh sb="0" eb="2">
      <t>ガイトウ</t>
    </rPh>
    <rPh sb="2" eb="3">
      <t>スウ</t>
    </rPh>
    <rPh sb="10" eb="11">
      <t>ノゾ</t>
    </rPh>
    <phoneticPr fontId="15"/>
  </si>
  <si>
    <t>個別weight</t>
    <rPh sb="0" eb="2">
      <t>コベツ</t>
    </rPh>
    <phoneticPr fontId="15"/>
  </si>
  <si>
    <t>グループweight</t>
    <phoneticPr fontId="15"/>
  </si>
  <si>
    <t>端数</t>
    <rPh sb="0" eb="2">
      <t>ハスウ</t>
    </rPh>
    <phoneticPr fontId="15"/>
  </si>
  <si>
    <t>確率</t>
    <rPh sb="0" eb="2">
      <t>カクリツ</t>
    </rPh>
    <phoneticPr fontId="15"/>
  </si>
  <si>
    <t>--検算用--</t>
    <rPh sb="3" eb="6">
      <t>ケンザンヨウ</t>
    </rPh>
    <phoneticPr fontId="15"/>
  </si>
  <si>
    <t>端数逆数</t>
    <rPh sb="0" eb="2">
      <t>ハスウ</t>
    </rPh>
    <rPh sb="2" eb="4">
      <t>ギャクスウ</t>
    </rPh>
    <phoneticPr fontId="15"/>
  </si>
  <si>
    <t>テーブルを増やしたい場合</t>
    <rPh sb="5" eb="6">
      <t>フ</t>
    </rPh>
    <rPh sb="10" eb="12">
      <t>バアイ</t>
    </rPh>
    <phoneticPr fontId="15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</si>
  <si>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5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</si>
  <si>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5"/>
  </si>
  <si>
    <t>３．outputシートで２で作ったtablesを指定する</t>
    <rPh sb="14" eb="15">
      <t>ツク</t>
    </rPh>
    <rPh sb="24" eb="26">
      <t>シテイ</t>
    </rPh>
    <phoneticPr fontId="15"/>
  </si>
  <si>
    <t>テーブルid</t>
    <phoneticPr fontId="15"/>
  </si>
  <si>
    <t>→ピックアップの確率は右のほうにいます</t>
    <rPh sb="8" eb="10">
      <t>カクリツ</t>
    </rPh>
    <rPh sb="11" eb="12">
      <t>ミギ</t>
    </rPh>
    <phoneticPr fontId="15"/>
  </si>
  <si>
    <t>table_no</t>
    <phoneticPr fontId="15"/>
  </si>
  <si>
    <t>table_no</t>
    <phoneticPr fontId="15"/>
  </si>
  <si>
    <t>skill_level</t>
  </si>
  <si>
    <t>level</t>
  </si>
  <si>
    <t>hp_plus</t>
    <phoneticPr fontId="48"/>
  </si>
  <si>
    <t>attack_plus</t>
    <phoneticPr fontId="48"/>
  </si>
  <si>
    <t>heal_plus</t>
    <phoneticPr fontId="48"/>
  </si>
  <si>
    <t>defense_plus</t>
    <phoneticPr fontId="48"/>
  </si>
  <si>
    <t>level</t>
    <phoneticPr fontId="48"/>
  </si>
  <si>
    <t>skill_level</t>
    <phoneticPr fontId="48"/>
  </si>
  <si>
    <t>bug</t>
    <phoneticPr fontId="48"/>
  </si>
  <si>
    <t>ja</t>
    <phoneticPr fontId="15"/>
  </si>
  <si>
    <t>drop_label2</t>
    <phoneticPr fontId="15"/>
  </si>
  <si>
    <t>Premium</t>
    <phoneticPr fontId="15"/>
  </si>
  <si>
    <t>Premium3</t>
    <phoneticPr fontId="15"/>
  </si>
  <si>
    <t>Premium4</t>
    <phoneticPr fontId="15"/>
  </si>
  <si>
    <t>Premium5</t>
    <phoneticPr fontId="15"/>
  </si>
  <si>
    <t>Premium5</t>
    <phoneticPr fontId="15"/>
  </si>
  <si>
    <t>グループ確率</t>
    <rPh sb="4" eb="6">
      <t>カクリツ</t>
    </rPh>
    <phoneticPr fontId="15"/>
  </si>
  <si>
    <t>レア度別確率</t>
    <rPh sb="2" eb="4">
      <t>ドベツ</t>
    </rPh>
    <rPh sb="4" eb="6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</si>
  <si>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</si>
  <si>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W.N.S</t>
    <phoneticPr fontId="15"/>
  </si>
  <si>
    <t>SS</t>
    <phoneticPr fontId="15"/>
  </si>
  <si>
    <t>SSS</t>
    <phoneticPr fontId="15"/>
  </si>
  <si>
    <t>item</t>
    <phoneticPr fontId="15"/>
  </si>
  <si>
    <t>マスターキー×3</t>
    <phoneticPr fontId="15"/>
  </si>
  <si>
    <t>ステップアップフィーバーの特典</t>
    <rPh sb="13" eb="15">
      <t>トクテン</t>
    </rPh>
    <phoneticPr fontId="15"/>
  </si>
  <si>
    <t>ステップアップフィーバーの特典として
マスターキーをプレゼント！</t>
    <phoneticPr fontId="15"/>
  </si>
  <si>
    <t>PremiumSS5</t>
  </si>
  <si>
    <t>PremiumSS</t>
  </si>
  <si>
    <t>Premium5</t>
  </si>
  <si>
    <t>Premium</t>
  </si>
  <si>
    <t>old</t>
    <phoneticPr fontId="15"/>
  </si>
  <si>
    <t>tables_1</t>
    <phoneticPr fontId="48"/>
  </si>
  <si>
    <t>tables_2</t>
    <phoneticPr fontId="48"/>
  </si>
  <si>
    <t>tables_3</t>
    <phoneticPr fontId="48"/>
  </si>
  <si>
    <t>tables_4</t>
    <phoneticPr fontId="48"/>
  </si>
  <si>
    <t>tables_5</t>
    <phoneticPr fontId="48"/>
  </si>
  <si>
    <t>tables_6</t>
    <phoneticPr fontId="48"/>
  </si>
  <si>
    <t>tables_0</t>
    <phoneticPr fontId="48"/>
  </si>
  <si>
    <r>
      <rPr>
        <sz val="12"/>
        <color theme="1"/>
        <rFont val="ＭＳ Ｐゴシック"/>
        <family val="2"/>
        <charset val="128"/>
        <scheme val="minor"/>
      </rPr>
      <t>gacha_settle_tables_1</t>
    </r>
    <phoneticPr fontId="48"/>
  </si>
  <si>
    <r>
      <rPr>
        <sz val="12"/>
        <color theme="1"/>
        <rFont val="ＭＳ Ｐゴシック"/>
        <family val="2"/>
        <charset val="128"/>
        <scheme val="minor"/>
      </rPr>
      <t>gacha_settle_tables_2</t>
    </r>
    <phoneticPr fontId="4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</si>
</sst>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84">
    <xf numFmtId="0" fontId="0" fillId="0" borderId="0"/>
    <xf numFmtId="0" fontId="14" fillId="0" borderId="0"/>
    <xf numFmtId="0" fontId="18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3" fillId="0" borderId="0"/>
    <xf numFmtId="0" fontId="25" fillId="5" borderId="2" applyNumberFormat="0" applyAlignment="0" applyProtection="0"/>
    <xf numFmtId="0" fontId="26" fillId="6" borderId="0" applyNumberFormat="0" applyBorder="0" applyAlignment="0" applyProtection="0"/>
    <xf numFmtId="0" fontId="27" fillId="7" borderId="3" applyNumberFormat="0" applyAlignment="0" applyProtection="0"/>
    <xf numFmtId="0" fontId="28" fillId="0" borderId="0" applyNumberFormat="0" applyFill="0" applyBorder="0" applyAlignment="0" applyProtection="0"/>
    <xf numFmtId="0" fontId="29" fillId="8" borderId="0" applyNumberFormat="0" applyBorder="0" applyAlignment="0" applyProtection="0"/>
    <xf numFmtId="0" fontId="30" fillId="9" borderId="4" applyNumberFormat="0" applyAlignment="0" applyProtection="0"/>
    <xf numFmtId="0" fontId="31" fillId="0" borderId="0" applyNumberFormat="0" applyFill="0" applyBorder="0" applyAlignment="0" applyProtection="0"/>
    <xf numFmtId="0" fontId="32" fillId="0" borderId="5" applyNumberFormat="0" applyFill="0" applyAlignment="0" applyProtection="0"/>
    <xf numFmtId="0" fontId="33" fillId="0" borderId="6" applyNumberFormat="0" applyFill="0" applyAlignment="0" applyProtection="0"/>
    <xf numFmtId="0" fontId="34" fillId="0" borderId="7" applyNumberFormat="0" applyFill="0" applyAlignment="0" applyProtection="0"/>
    <xf numFmtId="0" fontId="34" fillId="0" borderId="0" applyNumberFormat="0" applyFill="0" applyBorder="0" applyAlignment="0" applyProtection="0"/>
    <xf numFmtId="0" fontId="35" fillId="7" borderId="0" applyNumberFormat="0" applyBorder="0" applyAlignment="0" applyProtection="0"/>
    <xf numFmtId="0" fontId="35" fillId="6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1" borderId="0" applyNumberFormat="0" applyBorder="0" applyAlignment="0" applyProtection="0"/>
    <xf numFmtId="0" fontId="35" fillId="5" borderId="0" applyNumberFormat="0" applyBorder="0" applyAlignment="0" applyProtection="0"/>
    <xf numFmtId="0" fontId="35" fillId="7" borderId="0" applyNumberFormat="0" applyBorder="0" applyAlignment="0" applyProtection="0"/>
    <xf numFmtId="0" fontId="35" fillId="12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3" borderId="0" applyNumberFormat="0" applyBorder="0" applyAlignment="0" applyProtection="0"/>
    <xf numFmtId="0" fontId="35" fillId="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4" borderId="0" applyNumberFormat="0" applyBorder="0" applyAlignment="0" applyProtection="0"/>
    <xf numFmtId="0" fontId="36" fillId="6" borderId="0" applyNumberFormat="0" applyBorder="0" applyAlignment="0" applyProtection="0"/>
    <xf numFmtId="0" fontId="28" fillId="0" borderId="0" applyNumberFormat="0" applyFill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0" borderId="0" applyNumberFormat="0" applyBorder="0" applyAlignment="0" applyProtection="0"/>
    <xf numFmtId="0" fontId="36" fillId="1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7" fillId="17" borderId="0" applyNumberFormat="0" applyBorder="0" applyAlignment="0" applyProtection="0"/>
    <xf numFmtId="0" fontId="26" fillId="6" borderId="0" applyNumberFormat="0" applyBorder="0" applyAlignment="0" applyProtection="0"/>
    <xf numFmtId="0" fontId="38" fillId="0" borderId="8" applyNumberFormat="0" applyFill="0" applyAlignment="0" applyProtection="0"/>
    <xf numFmtId="0" fontId="39" fillId="7" borderId="9" applyNumberFormat="0" applyAlignment="0" applyProtection="0"/>
    <xf numFmtId="0" fontId="39" fillId="18" borderId="9" applyNumberFormat="0" applyAlignment="0" applyProtection="0"/>
    <xf numFmtId="0" fontId="27" fillId="6" borderId="3" applyNumberFormat="0" applyAlignment="0" applyProtection="0"/>
    <xf numFmtId="0" fontId="40" fillId="0" borderId="10" applyNumberFormat="0" applyFill="0" applyAlignment="0" applyProtection="0"/>
    <xf numFmtId="0" fontId="41" fillId="18" borderId="3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11" applyNumberFormat="0" applyFill="0" applyAlignment="0" applyProtection="0"/>
    <xf numFmtId="38" fontId="13" fillId="0" borderId="0" applyFont="0" applyFill="0" applyBorder="0" applyAlignment="0" applyProtection="0">
      <alignment vertical="center"/>
    </xf>
    <xf numFmtId="0" fontId="44" fillId="19" borderId="0" applyNumberFormat="0" applyBorder="0" applyAlignment="0" applyProtection="0"/>
    <xf numFmtId="0" fontId="45" fillId="20" borderId="0" applyNumberFormat="0" applyBorder="0" applyAlignment="0" applyProtection="0"/>
    <xf numFmtId="0" fontId="13" fillId="0" borderId="0"/>
    <xf numFmtId="0" fontId="46" fillId="20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8" fillId="0" borderId="0"/>
    <xf numFmtId="0" fontId="49" fillId="0" borderId="0">
      <alignment vertical="center"/>
    </xf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50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</cellStyleXfs>
  <cellXfs count="84">
    <xf numFmtId="0" fontId="0" fillId="0" borderId="0" xfId="0"/>
    <xf numFmtId="0" fontId="20" fillId="0" borderId="0" xfId="2" applyFont="1" applyAlignment="1">
      <alignment vertical="center"/>
    </xf>
    <xf numFmtId="0" fontId="20" fillId="0" borderId="1" xfId="2" applyFont="1" applyBorder="1" applyAlignment="1">
      <alignment vertical="center"/>
    </xf>
    <xf numFmtId="0" fontId="20" fillId="3" borderId="1" xfId="2" applyFont="1" applyFill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0" fillId="4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horizontal="right" vertical="center"/>
    </xf>
    <xf numFmtId="0" fontId="20" fillId="3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20" fillId="0" borderId="13" xfId="2" applyFont="1" applyBorder="1" applyAlignment="1">
      <alignment vertical="center"/>
    </xf>
    <xf numFmtId="0" fontId="19" fillId="4" borderId="12" xfId="0" applyFont="1" applyFill="1" applyBorder="1" applyAlignment="1">
      <alignment horizontal="right" vertical="center"/>
    </xf>
    <xf numFmtId="0" fontId="19" fillId="4" borderId="14" xfId="0" applyFont="1" applyFill="1" applyBorder="1" applyAlignment="1">
      <alignment horizontal="right" vertical="center"/>
    </xf>
    <xf numFmtId="0" fontId="20" fillId="0" borderId="15" xfId="2" applyFont="1" applyBorder="1" applyAlignment="1">
      <alignment vertical="center"/>
    </xf>
    <xf numFmtId="0" fontId="0" fillId="4" borderId="1" xfId="0" applyFill="1" applyBorder="1"/>
    <xf numFmtId="0" fontId="20" fillId="2" borderId="1" xfId="2" applyFont="1" applyFill="1" applyBorder="1" applyAlignment="1">
      <alignment horizontal="left" vertical="center"/>
    </xf>
    <xf numFmtId="0" fontId="47" fillId="21" borderId="1" xfId="0" applyFont="1" applyFill="1" applyBorder="1" applyAlignment="1">
      <alignment horizontal="left" vertical="center"/>
    </xf>
    <xf numFmtId="0" fontId="20" fillId="2" borderId="1" xfId="2" applyFont="1" applyFill="1" applyBorder="1" applyAlignment="1">
      <alignment horizontal="center" vertical="center"/>
    </xf>
    <xf numFmtId="0" fontId="22" fillId="22" borderId="1" xfId="2978" applyFont="1" applyFill="1" applyBorder="1"/>
    <xf numFmtId="0" fontId="8" fillId="22" borderId="1" xfId="2978" applyFill="1" applyBorder="1"/>
    <xf numFmtId="0" fontId="8" fillId="0" borderId="0" xfId="2978"/>
    <xf numFmtId="0" fontId="8" fillId="0" borderId="1" xfId="2978" applyBorder="1"/>
    <xf numFmtId="0" fontId="8" fillId="2" borderId="1" xfId="2978" applyFill="1" applyBorder="1"/>
    <xf numFmtId="0" fontId="12" fillId="2" borderId="1" xfId="19" applyFont="1" applyFill="1" applyBorder="1"/>
    <xf numFmtId="0" fontId="13" fillId="2" borderId="1" xfId="19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10" fillId="2" borderId="1" xfId="19" applyFont="1" applyFill="1" applyBorder="1"/>
    <xf numFmtId="0" fontId="8" fillId="2" borderId="1" xfId="19" applyFont="1" applyFill="1" applyBorder="1"/>
    <xf numFmtId="0" fontId="7" fillId="0" borderId="1" xfId="2978" applyFont="1" applyBorder="1"/>
    <xf numFmtId="0" fontId="22" fillId="22" borderId="1" xfId="0" applyFont="1" applyFill="1" applyBorder="1"/>
    <xf numFmtId="0" fontId="47" fillId="23" borderId="1" xfId="0" applyFont="1" applyFill="1" applyBorder="1" applyAlignment="1">
      <alignment horizontal="center" vertical="center"/>
    </xf>
    <xf numFmtId="0" fontId="47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7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47" fillId="26" borderId="1" xfId="0" applyFont="1" applyFill="1" applyBorder="1" applyAlignment="1">
      <alignment vertical="center"/>
    </xf>
    <xf numFmtId="0" fontId="5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10" fontId="51" fillId="0" borderId="1" xfId="0" applyNumberFormat="1" applyFont="1" applyBorder="1"/>
    <xf numFmtId="177" fontId="0" fillId="0" borderId="1" xfId="0" applyNumberFormat="1" applyBorder="1"/>
    <xf numFmtId="10" fontId="0" fillId="0" borderId="1" xfId="0" applyNumberFormat="1" applyBorder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10" fontId="0" fillId="0" borderId="1" xfId="0" applyNumberFormat="1" applyFont="1" applyBorder="1"/>
    <xf numFmtId="177" fontId="0" fillId="0" borderId="1" xfId="0" applyNumberFormat="1" applyFont="1" applyBorder="1"/>
    <xf numFmtId="176" fontId="0" fillId="0" borderId="1" xfId="0" applyNumberFormat="1" applyFont="1" applyBorder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4" fillId="2" borderId="1" xfId="19" applyFont="1" applyFill="1" applyBorder="1"/>
    <xf numFmtId="0" fontId="4" fillId="4" borderId="1" xfId="2978" applyFont="1" applyFill="1" applyBorder="1"/>
    <xf numFmtId="0" fontId="5" fillId="4" borderId="1" xfId="2978" applyFont="1" applyFill="1" applyBorder="1"/>
    <xf numFmtId="0" fontId="0" fillId="2" borderId="0" xfId="0" applyFill="1"/>
    <xf numFmtId="0" fontId="47" fillId="32" borderId="1" xfId="0" applyFont="1" applyFill="1" applyBorder="1" applyAlignment="1">
      <alignment horizontal="left" vertical="center"/>
    </xf>
    <xf numFmtId="0" fontId="20" fillId="27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20" fillId="0" borderId="0" xfId="2" applyFont="1" applyAlignment="1">
      <alignment vertical="center" wrapText="1"/>
    </xf>
    <xf numFmtId="0" fontId="3" fillId="0" borderId="1" xfId="3036" applyFont="1" applyBorder="1"/>
    <xf numFmtId="0" fontId="3" fillId="4" borderId="1" xfId="2978" applyFont="1" applyFill="1" applyBorder="1"/>
    <xf numFmtId="0" fontId="2" fillId="4" borderId="1" xfId="2978" applyFont="1" applyFill="1" applyBorder="1"/>
  </cellXfs>
  <cellStyles count="3684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2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ハイパーリンク" xfId="3670" builtinId="8" hidden="1"/>
    <cellStyle name="ハイパーリンク" xfId="3672" builtinId="8" hidden="1"/>
    <cellStyle name="ハイパーリンク" xfId="3674" builtinId="8" hidden="1"/>
    <cellStyle name="ハイパーリンク" xfId="3676" builtinId="8" hidden="1"/>
    <cellStyle name="ハイパーリンク" xfId="3678" builtinId="8" hidden="1"/>
    <cellStyle name="ハイパーリンク" xfId="3680" builtinId="8" hidden="1"/>
    <cellStyle name="ハイパーリンク" xfId="3682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3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表示済みのハイパーリンク" xfId="3671" builtinId="9" hidden="1"/>
    <cellStyle name="表示済みのハイパーリンク" xfId="3673" builtinId="9" hidden="1"/>
    <cellStyle name="表示済みのハイパーリンク" xfId="3675" builtinId="9" hidden="1"/>
    <cellStyle name="表示済みのハイパーリンク" xfId="3677" builtinId="9" hidden="1"/>
    <cellStyle name="表示済みのハイパーリンク" xfId="3679" builtinId="9" hidden="1"/>
    <cellStyle name="表示済みのハイパーリンク" xfId="3681" builtinId="9" hidden="1"/>
    <cellStyle name="表示済みのハイパーリンク" xfId="3683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externalLink" Target="externalLinks/externalLink1.xml"/><Relationship Id="rId25" Type="http://schemas.openxmlformats.org/officeDocument/2006/relationships/theme" Target="theme/theme1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パーン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赤ドラゴン(サラマンダー)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赤ドラゴン(サラマンダー)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PremiumS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PremiumS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Relationship Id="rId2" Type="http://schemas.openxmlformats.org/officeDocument/2006/relationships/comments" Target="../comments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"/>
  <sheetData>
    <row r="1" spans="1:1">
      <c r="A1" t="s">
        <v>99</v>
      </c>
    </row>
    <row r="2" spans="1:1">
      <c r="A2" t="s">
        <v>100</v>
      </c>
    </row>
    <row r="3" spans="1:1">
      <c r="A3" t="s">
        <v>101</v>
      </c>
    </row>
    <row r="4" spans="1:1">
      <c r="A4" t="s">
        <v>102</v>
      </c>
    </row>
  </sheetData>
  <phoneticPr fontId="15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3"/>
  <sheetViews>
    <sheetView workbookViewId="0">
      <selection activeCell="H32" sqref="H32"/>
    </sheetView>
  </sheetViews>
  <sheetFormatPr baseColWidth="12" defaultRowHeight="18" x14ac:dyDescent="0"/>
  <cols>
    <col min="1" max="1" width="12.83203125" style="19"/>
    <col min="2" max="2" width="14.83203125" style="19" bestFit="1" customWidth="1"/>
    <col min="3" max="4" width="12.83203125" style="19"/>
    <col min="5" max="5" width="17.6640625" style="19" bestFit="1" customWidth="1"/>
    <col min="6" max="6" width="22.1640625" style="19" bestFit="1" customWidth="1"/>
    <col min="7" max="16384" width="12.83203125" style="19"/>
  </cols>
  <sheetData>
    <row r="1" spans="1:21">
      <c r="A1" s="29" t="s">
        <v>54</v>
      </c>
      <c r="B1" s="17" t="s">
        <v>40</v>
      </c>
      <c r="C1" s="17" t="s">
        <v>41</v>
      </c>
      <c r="D1" s="17" t="s">
        <v>42</v>
      </c>
      <c r="E1" s="17" t="s">
        <v>43</v>
      </c>
      <c r="F1" s="17" t="s">
        <v>44</v>
      </c>
      <c r="G1" s="17" t="s">
        <v>45</v>
      </c>
      <c r="H1" s="17"/>
      <c r="I1" s="17"/>
      <c r="J1" s="17"/>
      <c r="K1" s="17"/>
      <c r="L1" s="18"/>
      <c r="M1" s="18"/>
      <c r="N1" s="18"/>
      <c r="O1" s="18"/>
    </row>
    <row r="2" spans="1:21">
      <c r="A2" s="81" t="s">
        <v>137</v>
      </c>
      <c r="B2" s="20" t="s">
        <v>51</v>
      </c>
      <c r="C2" s="72">
        <v>3121</v>
      </c>
      <c r="D2" s="20" t="s">
        <v>46</v>
      </c>
      <c r="E2" s="18" t="str">
        <f t="shared" ref="E2:E13" si="0">B2&amp;C2&amp;D2</f>
        <v>gacha_select_tables_3121.tmp</v>
      </c>
      <c r="F2" s="82" t="s">
        <v>138</v>
      </c>
      <c r="G2" s="71" t="s">
        <v>106</v>
      </c>
      <c r="H2" s="23" t="s">
        <v>0</v>
      </c>
      <c r="I2" s="23" t="s">
        <v>3</v>
      </c>
      <c r="J2" s="23" t="s">
        <v>4</v>
      </c>
      <c r="K2" s="23" t="s">
        <v>5</v>
      </c>
      <c r="L2" s="23" t="s">
        <v>6</v>
      </c>
      <c r="M2" s="23" t="s">
        <v>7</v>
      </c>
      <c r="N2" s="23" t="s">
        <v>8</v>
      </c>
      <c r="O2" s="23" t="s">
        <v>9</v>
      </c>
    </row>
    <row r="3" spans="1:21">
      <c r="A3" s="81" t="s">
        <v>137</v>
      </c>
      <c r="B3" s="20" t="s">
        <v>51</v>
      </c>
      <c r="C3" s="72">
        <v>3122</v>
      </c>
      <c r="D3" s="20" t="s">
        <v>46</v>
      </c>
      <c r="E3" s="18" t="str">
        <f t="shared" si="0"/>
        <v>gacha_select_tables_3122.tmp</v>
      </c>
      <c r="F3" s="82" t="s">
        <v>139</v>
      </c>
      <c r="G3" s="71" t="s">
        <v>106</v>
      </c>
      <c r="H3" s="23" t="s">
        <v>0</v>
      </c>
      <c r="I3" s="23" t="s">
        <v>3</v>
      </c>
      <c r="J3" s="23" t="s">
        <v>4</v>
      </c>
      <c r="K3" s="23" t="s">
        <v>5</v>
      </c>
      <c r="L3" s="23" t="s">
        <v>6</v>
      </c>
      <c r="M3" s="23" t="s">
        <v>7</v>
      </c>
      <c r="N3" s="23" t="s">
        <v>8</v>
      </c>
      <c r="O3" s="23" t="s">
        <v>9</v>
      </c>
    </row>
    <row r="4" spans="1:21">
      <c r="A4" s="81" t="s">
        <v>137</v>
      </c>
      <c r="B4" s="20" t="s">
        <v>51</v>
      </c>
      <c r="C4" s="72">
        <v>3123</v>
      </c>
      <c r="D4" s="20" t="s">
        <v>46</v>
      </c>
      <c r="E4" s="18" t="str">
        <f t="shared" ref="E4:E5" si="1">B4&amp;C4&amp;D4</f>
        <v>gacha_select_tables_3123.tmp</v>
      </c>
      <c r="F4" s="82" t="s">
        <v>140</v>
      </c>
      <c r="G4" s="71" t="s">
        <v>106</v>
      </c>
      <c r="H4" s="23" t="s">
        <v>0</v>
      </c>
      <c r="I4" s="23" t="s">
        <v>3</v>
      </c>
      <c r="J4" s="23" t="s">
        <v>4</v>
      </c>
      <c r="K4" s="23" t="s">
        <v>5</v>
      </c>
      <c r="L4" s="23" t="s">
        <v>6</v>
      </c>
      <c r="M4" s="23" t="s">
        <v>7</v>
      </c>
      <c r="N4" s="23" t="s">
        <v>8</v>
      </c>
      <c r="O4" s="23" t="s">
        <v>9</v>
      </c>
    </row>
    <row r="5" spans="1:21">
      <c r="A5" s="81" t="s">
        <v>137</v>
      </c>
      <c r="B5" s="20" t="s">
        <v>51</v>
      </c>
      <c r="C5" s="72">
        <v>3124</v>
      </c>
      <c r="D5" s="20" t="s">
        <v>46</v>
      </c>
      <c r="E5" s="18" t="str">
        <f t="shared" si="1"/>
        <v>gacha_select_tables_3124.tmp</v>
      </c>
      <c r="F5" s="82" t="s">
        <v>141</v>
      </c>
      <c r="G5" s="71" t="s">
        <v>106</v>
      </c>
      <c r="H5" s="23" t="s">
        <v>0</v>
      </c>
      <c r="I5" s="23" t="s">
        <v>3</v>
      </c>
      <c r="J5" s="23" t="s">
        <v>4</v>
      </c>
      <c r="K5" s="23" t="s">
        <v>5</v>
      </c>
      <c r="L5" s="23" t="s">
        <v>6</v>
      </c>
      <c r="M5" s="23" t="s">
        <v>7</v>
      </c>
      <c r="N5" s="23" t="s">
        <v>8</v>
      </c>
      <c r="O5" s="23" t="s">
        <v>9</v>
      </c>
    </row>
    <row r="6" spans="1:21">
      <c r="A6" s="81" t="s">
        <v>137</v>
      </c>
      <c r="B6" s="20" t="s">
        <v>51</v>
      </c>
      <c r="C6" s="72">
        <v>3125</v>
      </c>
      <c r="D6" s="20" t="s">
        <v>46</v>
      </c>
      <c r="E6" s="18" t="str">
        <f t="shared" ref="E6:E7" si="2">B6&amp;C6&amp;D6</f>
        <v>gacha_select_tables_3125.tmp</v>
      </c>
      <c r="F6" s="82" t="s">
        <v>142</v>
      </c>
      <c r="G6" s="71" t="s">
        <v>106</v>
      </c>
      <c r="H6" s="23" t="s">
        <v>0</v>
      </c>
      <c r="I6" s="23" t="s">
        <v>3</v>
      </c>
      <c r="J6" s="23" t="s">
        <v>4</v>
      </c>
      <c r="K6" s="23" t="s">
        <v>5</v>
      </c>
      <c r="L6" s="23" t="s">
        <v>6</v>
      </c>
      <c r="M6" s="23" t="s">
        <v>7</v>
      </c>
      <c r="N6" s="23" t="s">
        <v>8</v>
      </c>
      <c r="O6" s="23" t="s">
        <v>9</v>
      </c>
    </row>
    <row r="7" spans="1:21">
      <c r="A7" s="81" t="s">
        <v>137</v>
      </c>
      <c r="B7" s="20" t="s">
        <v>51</v>
      </c>
      <c r="C7" s="72">
        <v>3126</v>
      </c>
      <c r="D7" s="20" t="s">
        <v>46</v>
      </c>
      <c r="E7" s="18" t="str">
        <f t="shared" si="2"/>
        <v>gacha_select_tables_3126.tmp</v>
      </c>
      <c r="F7" s="82" t="s">
        <v>143</v>
      </c>
      <c r="G7" s="71" t="s">
        <v>106</v>
      </c>
      <c r="H7" s="23" t="s">
        <v>0</v>
      </c>
      <c r="I7" s="23" t="s">
        <v>3</v>
      </c>
      <c r="J7" s="23" t="s">
        <v>4</v>
      </c>
      <c r="K7" s="23" t="s">
        <v>5</v>
      </c>
      <c r="L7" s="23" t="s">
        <v>6</v>
      </c>
      <c r="M7" s="23" t="s">
        <v>7</v>
      </c>
      <c r="N7" s="23" t="s">
        <v>8</v>
      </c>
      <c r="O7" s="23" t="s">
        <v>9</v>
      </c>
    </row>
    <row r="8" spans="1:21">
      <c r="A8" s="81" t="s">
        <v>137</v>
      </c>
      <c r="B8" s="20" t="s">
        <v>51</v>
      </c>
      <c r="C8" s="72">
        <v>3120</v>
      </c>
      <c r="D8" s="20" t="s">
        <v>46</v>
      </c>
      <c r="E8" s="18" t="str">
        <f t="shared" ref="E8" si="3">B8&amp;C8&amp;D8</f>
        <v>gacha_select_tables_3120.tmp</v>
      </c>
      <c r="F8" s="82" t="s">
        <v>144</v>
      </c>
      <c r="G8" s="71" t="s">
        <v>106</v>
      </c>
      <c r="H8" s="23" t="s">
        <v>0</v>
      </c>
      <c r="I8" s="23" t="s">
        <v>3</v>
      </c>
      <c r="J8" s="23" t="s">
        <v>4</v>
      </c>
      <c r="K8" s="23" t="s">
        <v>5</v>
      </c>
      <c r="L8" s="23" t="s">
        <v>6</v>
      </c>
      <c r="M8" s="23" t="s">
        <v>7</v>
      </c>
      <c r="N8" s="23" t="s">
        <v>8</v>
      </c>
      <c r="O8" s="23" t="s">
        <v>9</v>
      </c>
    </row>
    <row r="9" spans="1:21">
      <c r="A9" s="81" t="s">
        <v>137</v>
      </c>
      <c r="B9" s="28" t="s">
        <v>52</v>
      </c>
      <c r="C9" s="73">
        <v>3127</v>
      </c>
      <c r="D9" s="20" t="s">
        <v>47</v>
      </c>
      <c r="E9" s="18" t="str">
        <f t="shared" si="0"/>
        <v>gacha_settle_tables_3127.tmp</v>
      </c>
      <c r="F9" s="83" t="s">
        <v>145</v>
      </c>
      <c r="G9" s="71" t="s">
        <v>106</v>
      </c>
      <c r="H9" s="23" t="s">
        <v>0</v>
      </c>
      <c r="I9" s="23" t="s">
        <v>3</v>
      </c>
      <c r="J9" s="23" t="s">
        <v>4</v>
      </c>
      <c r="K9" s="23" t="s">
        <v>5</v>
      </c>
      <c r="L9" s="23" t="s">
        <v>6</v>
      </c>
      <c r="M9" s="23" t="s">
        <v>7</v>
      </c>
      <c r="N9" s="23" t="s">
        <v>8</v>
      </c>
      <c r="O9" s="23" t="s">
        <v>9</v>
      </c>
    </row>
    <row r="10" spans="1:21">
      <c r="A10" s="81" t="s">
        <v>137</v>
      </c>
      <c r="B10" s="28" t="s">
        <v>52</v>
      </c>
      <c r="C10" s="73">
        <v>3128</v>
      </c>
      <c r="D10" s="20" t="s">
        <v>47</v>
      </c>
      <c r="E10" s="18" t="str">
        <f t="shared" ref="E10" si="4">B10&amp;C10&amp;D10</f>
        <v>gacha_settle_tables_3128.tmp</v>
      </c>
      <c r="F10" s="83" t="s">
        <v>146</v>
      </c>
      <c r="G10" s="71" t="s">
        <v>106</v>
      </c>
      <c r="H10" s="23" t="s">
        <v>0</v>
      </c>
      <c r="I10" s="23" t="s">
        <v>3</v>
      </c>
      <c r="J10" s="23" t="s">
        <v>4</v>
      </c>
      <c r="K10" s="23" t="s">
        <v>5</v>
      </c>
      <c r="L10" s="23" t="s">
        <v>6</v>
      </c>
      <c r="M10" s="23" t="s">
        <v>7</v>
      </c>
      <c r="N10" s="23" t="s">
        <v>8</v>
      </c>
      <c r="O10" s="23" t="s">
        <v>9</v>
      </c>
    </row>
    <row r="11" spans="1:21">
      <c r="A11" s="81" t="s">
        <v>137</v>
      </c>
      <c r="B11" s="28" t="s">
        <v>53</v>
      </c>
      <c r="C11" s="45">
        <v>312</v>
      </c>
      <c r="D11" s="20" t="s">
        <v>47</v>
      </c>
      <c r="E11" s="18" t="str">
        <f t="shared" si="0"/>
        <v>gacha_bonus_tables_312.tmp</v>
      </c>
      <c r="F11" s="20" t="s">
        <v>48</v>
      </c>
      <c r="G11" s="22" t="s">
        <v>11</v>
      </c>
      <c r="H11" s="24" t="s">
        <v>14</v>
      </c>
      <c r="I11" s="22" t="s">
        <v>12</v>
      </c>
      <c r="J11" s="21"/>
      <c r="K11" s="21"/>
      <c r="L11" s="21"/>
      <c r="M11" s="21"/>
      <c r="N11" s="21"/>
      <c r="O11" s="21"/>
    </row>
    <row r="12" spans="1:21">
      <c r="A12" s="81" t="s">
        <v>137</v>
      </c>
      <c r="B12" s="20" t="s">
        <v>49</v>
      </c>
      <c r="C12" s="45">
        <v>312</v>
      </c>
      <c r="D12" s="20" t="s">
        <v>47</v>
      </c>
      <c r="E12" s="18" t="str">
        <f t="shared" si="0"/>
        <v>gifts_tmp_312.tmp</v>
      </c>
      <c r="F12" s="20" t="s">
        <v>48</v>
      </c>
      <c r="G12" s="24" t="s">
        <v>22</v>
      </c>
      <c r="H12" s="25" t="s">
        <v>30</v>
      </c>
      <c r="I12" s="24" t="s">
        <v>23</v>
      </c>
      <c r="J12" s="24" t="s">
        <v>24</v>
      </c>
      <c r="K12" s="24" t="s">
        <v>24</v>
      </c>
      <c r="L12" s="24" t="s">
        <v>25</v>
      </c>
      <c r="M12" s="24" t="s">
        <v>25</v>
      </c>
      <c r="N12" s="24" t="s">
        <v>25</v>
      </c>
      <c r="O12" s="74" t="s">
        <v>7</v>
      </c>
      <c r="P12" s="74" t="s">
        <v>9</v>
      </c>
      <c r="Q12" s="74" t="s">
        <v>6</v>
      </c>
      <c r="R12" s="74" t="s">
        <v>107</v>
      </c>
      <c r="S12" s="74" t="s">
        <v>8</v>
      </c>
      <c r="T12" s="74" t="s">
        <v>108</v>
      </c>
      <c r="U12" s="74" t="s">
        <v>5</v>
      </c>
    </row>
    <row r="13" spans="1:21">
      <c r="A13" s="81" t="s">
        <v>137</v>
      </c>
      <c r="B13" s="20" t="s">
        <v>50</v>
      </c>
      <c r="C13" s="45">
        <v>312</v>
      </c>
      <c r="D13" s="20" t="s">
        <v>47</v>
      </c>
      <c r="E13" s="18" t="str">
        <f t="shared" si="0"/>
        <v>gifts_i18n_312.tmp</v>
      </c>
      <c r="F13" s="20" t="s">
        <v>48</v>
      </c>
      <c r="G13" s="24" t="s">
        <v>13</v>
      </c>
      <c r="H13" s="26" t="s">
        <v>26</v>
      </c>
      <c r="I13" s="26" t="s">
        <v>27</v>
      </c>
      <c r="J13" s="26" t="s">
        <v>28</v>
      </c>
      <c r="K13" s="26" t="s">
        <v>29</v>
      </c>
      <c r="L13" s="27"/>
      <c r="M13" s="24"/>
      <c r="N13" s="24"/>
      <c r="O13" s="20"/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43"/>
  <sheetViews>
    <sheetView topLeftCell="A2" workbookViewId="0">
      <selection activeCell="L33" sqref="L33"/>
    </sheetView>
  </sheetViews>
  <sheetFormatPr baseColWidth="12" defaultRowHeight="14" x14ac:dyDescent="0"/>
  <sheetData>
    <row r="1" spans="1:18">
      <c r="A1" s="70" t="s">
        <v>103</v>
      </c>
      <c r="B1" s="70"/>
    </row>
    <row r="2" spans="1:18">
      <c r="A2">
        <v>3121</v>
      </c>
    </row>
    <row r="4" spans="1:18">
      <c r="A4" s="48" t="s">
        <v>68</v>
      </c>
      <c r="B4" s="48"/>
    </row>
    <row r="5" spans="1:18">
      <c r="A5" s="46" t="s">
        <v>88</v>
      </c>
      <c r="B5" s="47">
        <f>1-B6-B7</f>
        <v>0.5</v>
      </c>
    </row>
    <row r="6" spans="1:18">
      <c r="A6" s="46" t="s">
        <v>89</v>
      </c>
      <c r="B6" s="47">
        <v>0.45</v>
      </c>
    </row>
    <row r="7" spans="1:18">
      <c r="A7" s="46" t="s">
        <v>90</v>
      </c>
      <c r="B7" s="47">
        <v>0.05</v>
      </c>
    </row>
    <row r="9" spans="1:18">
      <c r="A9" s="49" t="s">
        <v>69</v>
      </c>
      <c r="B9" s="49"/>
    </row>
    <row r="10" spans="1:18">
      <c r="A10" s="46" t="s">
        <v>118</v>
      </c>
      <c r="B10" s="47">
        <f>1-B11-B12</f>
        <v>0.99</v>
      </c>
    </row>
    <row r="11" spans="1:18">
      <c r="A11" s="46" t="s">
        <v>71</v>
      </c>
      <c r="B11" s="47">
        <v>0.01</v>
      </c>
    </row>
    <row r="12" spans="1:18">
      <c r="A12" s="46" t="s">
        <v>70</v>
      </c>
      <c r="B12" s="47">
        <v>0</v>
      </c>
    </row>
    <row r="15" spans="1:18">
      <c r="A15" s="53" t="s">
        <v>72</v>
      </c>
      <c r="B15" s="53"/>
      <c r="C15" t="s">
        <v>104</v>
      </c>
      <c r="L15" s="55" t="s">
        <v>77</v>
      </c>
      <c r="M15" s="55"/>
    </row>
    <row r="16" spans="1:18">
      <c r="A16" s="46" t="s">
        <v>75</v>
      </c>
      <c r="B16" s="46" t="s">
        <v>76</v>
      </c>
      <c r="C16" s="54" t="s">
        <v>77</v>
      </c>
      <c r="D16" s="54" t="s">
        <v>78</v>
      </c>
      <c r="E16" t="s">
        <v>92</v>
      </c>
      <c r="F16" t="s">
        <v>91</v>
      </c>
      <c r="G16" t="s">
        <v>94</v>
      </c>
      <c r="H16" t="s">
        <v>93</v>
      </c>
      <c r="I16" t="s">
        <v>95</v>
      </c>
      <c r="J16" t="s">
        <v>98</v>
      </c>
      <c r="L16" s="46" t="s">
        <v>32</v>
      </c>
      <c r="M16" s="54" t="s">
        <v>81</v>
      </c>
      <c r="N16" s="46" t="s">
        <v>79</v>
      </c>
      <c r="O16" s="54" t="s">
        <v>82</v>
      </c>
      <c r="P16" s="54" t="s">
        <v>83</v>
      </c>
      <c r="Q16" s="54" t="s">
        <v>80</v>
      </c>
      <c r="R16" s="65" t="s">
        <v>93</v>
      </c>
    </row>
    <row r="17" spans="1:17">
      <c r="A17" s="46" t="s">
        <v>119</v>
      </c>
      <c r="B17" s="50">
        <f>B5</f>
        <v>0.5</v>
      </c>
      <c r="C17" s="69">
        <f t="shared" ref="C17:C23" si="0">SUMIF(Q:Q,A17,N:N)</f>
        <v>0</v>
      </c>
      <c r="D17" s="62">
        <f t="shared" ref="D17:D24" si="1">B17-C17</f>
        <v>0.5</v>
      </c>
      <c r="E17">
        <f>COUNTIF(tables_1!B:B,input_1!A17)-COUNTIF(Q:Q,A17)</f>
        <v>74</v>
      </c>
      <c r="F17" s="64">
        <f t="shared" ref="F17:F23" si="2">IFERROR(D17/E17,0)</f>
        <v>6.7567567567567571E-3</v>
      </c>
      <c r="G17">
        <f t="shared" ref="G17:G23" si="3">A$32*D17</f>
        <v>12987000</v>
      </c>
      <c r="H17">
        <f t="shared" ref="H17:H23" si="4">IFERROR(ROUND(G17/E17,5),0)</f>
        <v>175500</v>
      </c>
      <c r="I17">
        <f t="shared" ref="I17:I23" si="5">MOD(H17,1)</f>
        <v>0</v>
      </c>
      <c r="J17">
        <f t="shared" ref="J17:J23" si="6">IFERROR(1/I17,1)</f>
        <v>1</v>
      </c>
      <c r="L17" s="46"/>
      <c r="M17" s="54"/>
      <c r="N17" s="52"/>
      <c r="O17" s="54"/>
      <c r="P17" s="54"/>
      <c r="Q17" s="54"/>
    </row>
    <row r="18" spans="1:17">
      <c r="A18" s="46" t="s">
        <v>120</v>
      </c>
      <c r="B18" s="56">
        <f>B6-B19-B20</f>
        <v>0.441</v>
      </c>
      <c r="C18" s="69">
        <f t="shared" si="0"/>
        <v>0</v>
      </c>
      <c r="D18" s="62">
        <f t="shared" si="1"/>
        <v>0.441</v>
      </c>
      <c r="E18">
        <f>COUNTIF(tables_1!B:B,input_1!A18)-COUNTIF(Q:Q,A18)</f>
        <v>74</v>
      </c>
      <c r="F18" s="64">
        <f t="shared" si="2"/>
        <v>5.9594594594594595E-3</v>
      </c>
      <c r="G18">
        <f t="shared" si="3"/>
        <v>11454534</v>
      </c>
      <c r="H18">
        <f t="shared" si="4"/>
        <v>154791</v>
      </c>
      <c r="I18">
        <f t="shared" si="5"/>
        <v>0</v>
      </c>
      <c r="J18">
        <f t="shared" si="6"/>
        <v>1</v>
      </c>
      <c r="L18" s="46"/>
      <c r="M18" s="54"/>
      <c r="N18" s="52"/>
      <c r="O18" s="54"/>
      <c r="P18" s="54"/>
      <c r="Q18" s="54"/>
    </row>
    <row r="19" spans="1:17">
      <c r="A19" s="46" t="s">
        <v>84</v>
      </c>
      <c r="B19" s="79">
        <f>B6*B11/(B6+B7)</f>
        <v>9.0000000000000011E-3</v>
      </c>
      <c r="C19" s="69">
        <f t="shared" si="0"/>
        <v>0</v>
      </c>
      <c r="D19" s="62">
        <f t="shared" si="1"/>
        <v>9.0000000000000011E-3</v>
      </c>
      <c r="E19">
        <f>COUNTIF(tables_1!B:B,input_1!A19)-COUNTIF(Q:Q,A19)</f>
        <v>26</v>
      </c>
      <c r="F19" s="64">
        <f t="shared" si="2"/>
        <v>3.4615384615384619E-4</v>
      </c>
      <c r="G19">
        <f t="shared" si="3"/>
        <v>233766.00000000003</v>
      </c>
      <c r="H19">
        <f t="shared" si="4"/>
        <v>8991</v>
      </c>
      <c r="I19">
        <f t="shared" si="5"/>
        <v>0</v>
      </c>
      <c r="J19">
        <f t="shared" si="6"/>
        <v>1</v>
      </c>
      <c r="L19" s="46"/>
      <c r="M19" s="54"/>
      <c r="N19" s="52"/>
      <c r="O19" s="54"/>
      <c r="P19" s="54"/>
      <c r="Q19" s="54"/>
    </row>
    <row r="20" spans="1:17">
      <c r="A20" s="46" t="s">
        <v>85</v>
      </c>
      <c r="B20" s="57">
        <f>B12*B6/(B6+B7)</f>
        <v>0</v>
      </c>
      <c r="C20" s="69">
        <f t="shared" si="0"/>
        <v>0</v>
      </c>
      <c r="D20" s="62">
        <f t="shared" si="1"/>
        <v>0</v>
      </c>
      <c r="E20">
        <f>COUNTIF(tables_1!B:B,input_1!A20)-COUNTIF(Q:Q,A20)</f>
        <v>0</v>
      </c>
      <c r="F20" s="64">
        <f t="shared" si="2"/>
        <v>0</v>
      </c>
      <c r="G20">
        <f t="shared" si="3"/>
        <v>0</v>
      </c>
      <c r="H20">
        <f t="shared" si="4"/>
        <v>0</v>
      </c>
      <c r="I20">
        <f t="shared" si="5"/>
        <v>0</v>
      </c>
      <c r="J20">
        <f t="shared" si="6"/>
        <v>1</v>
      </c>
      <c r="L20" s="46"/>
      <c r="M20" s="54"/>
      <c r="N20" s="52"/>
      <c r="O20" s="54"/>
      <c r="P20" s="54"/>
      <c r="Q20" s="54"/>
    </row>
    <row r="21" spans="1:17">
      <c r="A21" s="46" t="s">
        <v>121</v>
      </c>
      <c r="B21" s="58">
        <f>B7-B22-B23</f>
        <v>4.9000000000000002E-2</v>
      </c>
      <c r="C21" s="69">
        <f t="shared" si="0"/>
        <v>0</v>
      </c>
      <c r="D21" s="62">
        <f t="shared" si="1"/>
        <v>4.9000000000000002E-2</v>
      </c>
      <c r="E21">
        <f>COUNTIF(tables_1!B:B,input_1!A21)-COUNTIF(Q:Q,A21)</f>
        <v>54</v>
      </c>
      <c r="F21" s="64">
        <f t="shared" si="2"/>
        <v>9.0740740740740745E-4</v>
      </c>
      <c r="G21">
        <f t="shared" si="3"/>
        <v>1272726</v>
      </c>
      <c r="H21">
        <f t="shared" si="4"/>
        <v>23569</v>
      </c>
      <c r="I21">
        <f t="shared" si="5"/>
        <v>0</v>
      </c>
      <c r="J21">
        <f t="shared" si="6"/>
        <v>1</v>
      </c>
      <c r="L21" s="46"/>
      <c r="M21" s="54"/>
      <c r="N21" s="46"/>
      <c r="O21" s="54"/>
      <c r="P21" s="54"/>
      <c r="Q21" s="54"/>
    </row>
    <row r="22" spans="1:17">
      <c r="A22" s="46" t="s">
        <v>86</v>
      </c>
      <c r="B22" s="79">
        <f>B7*B11/(B7+B6)</f>
        <v>1E-3</v>
      </c>
      <c r="C22" s="69">
        <f t="shared" si="0"/>
        <v>0</v>
      </c>
      <c r="D22" s="62">
        <f t="shared" si="1"/>
        <v>1E-3</v>
      </c>
      <c r="E22">
        <f>COUNTIF(tables_1!B:B,input_1!A22)-COUNTIF(Q:Q,A22)</f>
        <v>26</v>
      </c>
      <c r="F22" s="64">
        <f t="shared" si="2"/>
        <v>3.8461538461538463E-5</v>
      </c>
      <c r="G22">
        <f t="shared" si="3"/>
        <v>25974</v>
      </c>
      <c r="H22">
        <f t="shared" si="4"/>
        <v>999</v>
      </c>
      <c r="I22">
        <f t="shared" si="5"/>
        <v>0</v>
      </c>
      <c r="J22">
        <f t="shared" si="6"/>
        <v>1</v>
      </c>
      <c r="L22" s="46"/>
      <c r="M22" s="54"/>
      <c r="N22" s="46"/>
      <c r="O22" s="54"/>
      <c r="P22" s="54"/>
      <c r="Q22" s="54"/>
    </row>
    <row r="23" spans="1:17">
      <c r="A23" s="46" t="s">
        <v>87</v>
      </c>
      <c r="B23" s="51">
        <f>B12*B7/(B7+B6)</f>
        <v>0</v>
      </c>
      <c r="C23" s="69">
        <f t="shared" si="0"/>
        <v>0</v>
      </c>
      <c r="D23" s="62">
        <f t="shared" si="1"/>
        <v>0</v>
      </c>
      <c r="E23">
        <f>COUNTIF(tables_1!B:B,input_1!A23)-COUNTIF(Q:Q,A23)</f>
        <v>0</v>
      </c>
      <c r="F23" s="64">
        <f t="shared" si="2"/>
        <v>0</v>
      </c>
      <c r="G23">
        <f t="shared" si="3"/>
        <v>0</v>
      </c>
      <c r="H23">
        <f t="shared" si="4"/>
        <v>0</v>
      </c>
      <c r="I23">
        <f t="shared" si="5"/>
        <v>0</v>
      </c>
      <c r="J23">
        <f t="shared" si="6"/>
        <v>1</v>
      </c>
      <c r="L23" s="46"/>
      <c r="M23" s="54"/>
      <c r="N23" s="46"/>
      <c r="O23" s="54"/>
      <c r="P23" s="54"/>
      <c r="Q23" s="54"/>
    </row>
    <row r="24" spans="1:17">
      <c r="A24" s="59" t="s">
        <v>74</v>
      </c>
      <c r="B24" s="60">
        <f>SUM(B17:B23)</f>
        <v>1</v>
      </c>
      <c r="C24" s="61">
        <f>SUM(C17:C23)</f>
        <v>0</v>
      </c>
      <c r="D24" s="63">
        <f t="shared" si="1"/>
        <v>1</v>
      </c>
      <c r="L24" s="46"/>
      <c r="M24" s="54"/>
      <c r="N24" s="46"/>
      <c r="O24" s="54"/>
      <c r="P24" s="54"/>
      <c r="Q24" s="54"/>
    </row>
    <row r="31" spans="1:17">
      <c r="A31" t="s">
        <v>93</v>
      </c>
    </row>
    <row r="32" spans="1:17">
      <c r="A32" s="34">
        <f>10*74*26*54*5*5</f>
        <v>25974000</v>
      </c>
    </row>
    <row r="34" spans="1:6">
      <c r="A34" s="68" t="s">
        <v>97</v>
      </c>
    </row>
    <row r="35" spans="1:6">
      <c r="A35" s="46" t="s">
        <v>75</v>
      </c>
      <c r="B35" t="s">
        <v>94</v>
      </c>
      <c r="C35" t="s">
        <v>123</v>
      </c>
      <c r="E35" t="s">
        <v>124</v>
      </c>
    </row>
    <row r="36" spans="1:6">
      <c r="A36" s="46" t="s">
        <v>119</v>
      </c>
      <c r="B36">
        <f>SUMIF(tables_1!B:B,input_1!A36,tables_1!L:L)</f>
        <v>12987000</v>
      </c>
      <c r="C36" s="77">
        <f>B36/B$43</f>
        <v>0.5</v>
      </c>
      <c r="E36">
        <v>3</v>
      </c>
      <c r="F36" s="78">
        <f>C36</f>
        <v>0.5</v>
      </c>
    </row>
    <row r="37" spans="1:6">
      <c r="A37" s="46" t="s">
        <v>120</v>
      </c>
      <c r="B37">
        <f>SUMIF(tables_1!B:B,input_1!A37,tables_1!L:L)</f>
        <v>11454534</v>
      </c>
      <c r="C37" s="77">
        <f t="shared" ref="C37:C42" si="7">B37/B$43</f>
        <v>0.441</v>
      </c>
      <c r="E37">
        <v>4</v>
      </c>
      <c r="F37" s="78">
        <f>SUM(C37:C39)</f>
        <v>0.45</v>
      </c>
    </row>
    <row r="38" spans="1:6">
      <c r="A38" s="46" t="s">
        <v>84</v>
      </c>
      <c r="B38">
        <f>SUMIF(tables_1!B:B,input_1!A38,tables_1!L:L)</f>
        <v>233766</v>
      </c>
      <c r="C38" s="77">
        <f t="shared" si="7"/>
        <v>8.9999999999999993E-3</v>
      </c>
      <c r="E38">
        <v>5</v>
      </c>
      <c r="F38" s="78">
        <f>SUM(C40:C42)</f>
        <v>0.05</v>
      </c>
    </row>
    <row r="39" spans="1:6">
      <c r="A39" s="46" t="s">
        <v>85</v>
      </c>
      <c r="B39">
        <f>SUMIF(tables_1!B:B,input_1!A39,tables_1!L:L)</f>
        <v>0</v>
      </c>
      <c r="C39" s="77">
        <f t="shared" si="7"/>
        <v>0</v>
      </c>
    </row>
    <row r="40" spans="1:6">
      <c r="A40" s="46" t="s">
        <v>122</v>
      </c>
      <c r="B40">
        <f>SUMIF(tables_1!B:B,input_1!A40,tables_1!L:L)</f>
        <v>1272726</v>
      </c>
      <c r="C40" s="77">
        <f t="shared" si="7"/>
        <v>4.9000000000000002E-2</v>
      </c>
      <c r="E40" t="s">
        <v>125</v>
      </c>
    </row>
    <row r="41" spans="1:6">
      <c r="A41" s="46" t="s">
        <v>86</v>
      </c>
      <c r="B41">
        <f>SUMIF(tables_1!B:B,input_1!A41,tables_1!L:L)</f>
        <v>25974</v>
      </c>
      <c r="C41" s="77">
        <f t="shared" si="7"/>
        <v>1E-3</v>
      </c>
      <c r="E41" t="s">
        <v>126</v>
      </c>
      <c r="F41" s="78">
        <f>C36+C37+C40</f>
        <v>0.9900000000000001</v>
      </c>
    </row>
    <row r="42" spans="1:6">
      <c r="A42" s="46" t="s">
        <v>87</v>
      </c>
      <c r="B42">
        <f>SUMIF(tables_1!B:B,input_1!A42,tables_1!L:L)</f>
        <v>0</v>
      </c>
      <c r="C42" s="77">
        <f t="shared" si="7"/>
        <v>0</v>
      </c>
      <c r="E42" t="s">
        <v>127</v>
      </c>
      <c r="F42" s="78">
        <f>C38+C41</f>
        <v>9.9999999999999985E-3</v>
      </c>
    </row>
    <row r="43" spans="1:6">
      <c r="A43" s="59" t="s">
        <v>74</v>
      </c>
      <c r="B43">
        <f>SUM(B36:B42)</f>
        <v>25974000</v>
      </c>
      <c r="E43" t="s">
        <v>128</v>
      </c>
      <c r="F43" s="78">
        <f>C39+C42</f>
        <v>0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filterMode="1" enableFormatConditionsCalculation="0">
    <tabColor rgb="FF0000FF"/>
    <outlinePr summaryBelow="0" summaryRight="0"/>
  </sheetPr>
  <dimension ref="A1:S255"/>
  <sheetViews>
    <sheetView showGridLines="0" zoomScale="75" zoomScaleNormal="75" zoomScalePageLayoutView="75" workbookViewId="0">
      <pane ySplit="1" topLeftCell="A2" activePane="bottomLeft" state="frozen"/>
      <selection activeCell="B22" sqref="B22"/>
      <selection pane="bottomLeft" activeCell="E255" sqref="E255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105</v>
      </c>
      <c r="B1" s="3" t="s">
        <v>31</v>
      </c>
      <c r="C1" s="3" t="s">
        <v>117</v>
      </c>
      <c r="D1" s="16" t="s">
        <v>32</v>
      </c>
      <c r="E1" s="3" t="s">
        <v>33</v>
      </c>
      <c r="F1" s="3" t="s">
        <v>34</v>
      </c>
      <c r="G1" s="3" t="s">
        <v>35</v>
      </c>
      <c r="H1" s="3" t="s">
        <v>55</v>
      </c>
      <c r="I1" s="3" t="s">
        <v>36</v>
      </c>
      <c r="J1" s="3" t="s">
        <v>37</v>
      </c>
      <c r="K1" s="3" t="s">
        <v>73</v>
      </c>
      <c r="L1" s="16" t="s">
        <v>39</v>
      </c>
      <c r="M1" s="3" t="s">
        <v>96</v>
      </c>
      <c r="N1" s="16" t="s">
        <v>38</v>
      </c>
      <c r="O1" s="30" t="s">
        <v>5</v>
      </c>
      <c r="P1" s="30" t="s">
        <v>6</v>
      </c>
      <c r="Q1" s="30" t="s">
        <v>7</v>
      </c>
      <c r="R1" s="30" t="s">
        <v>8</v>
      </c>
      <c r="S1" s="30" t="s">
        <v>9</v>
      </c>
    </row>
    <row r="2" spans="1:19" ht="21" hidden="1" customHeight="1">
      <c r="A2" s="2">
        <f>input_1!A$2</f>
        <v>3121</v>
      </c>
      <c r="B2" s="7" t="str">
        <f>C2&amp;G2</f>
        <v>Premium3</v>
      </c>
      <c r="C2" s="7" t="str">
        <f>IF(F2="PremiumSS",F2,IF(F2="PremiumSSS",F2,"Premium"))</f>
        <v>Premium</v>
      </c>
      <c r="D2" s="6">
        <v>126</v>
      </c>
      <c r="E2" s="7" t="str">
        <f>VLOOKUP(D2,[1]characters!$A:$C,3,FALSE)</f>
        <v>骨器使い ユノ</v>
      </c>
      <c r="F2" s="7" t="str">
        <f>VLOOKUP(D2,[1]characters!$A:$J,10,FALSE)</f>
        <v>PremiumW</v>
      </c>
      <c r="G2" s="7">
        <f>VLOOKUP(D2,[1]characters!$A:$I,9,FALSE)</f>
        <v>3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human</v>
      </c>
      <c r="K2" s="7" t="str">
        <f>VLOOKUP(D2,[1]characters!$A:$G,7,FALSE)</f>
        <v>女性</v>
      </c>
      <c r="L2" s="66">
        <f>IFERROR(VLOOKUP(D2,input_1!L:R,7,FALSE),VLOOKUP(tables_1!B2,input_1!A:H,8,FALSE))</f>
        <v>175500</v>
      </c>
      <c r="M2" s="67">
        <f t="shared" ref="M2:M65" si="0">L2/SUM(L:L)</f>
        <v>6.7567567567567571E-3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hidden="1" customHeight="1">
      <c r="A3" s="2">
        <f>input_1!A$2</f>
        <v>3121</v>
      </c>
      <c r="B3" s="7" t="str">
        <f t="shared" ref="B3:B66" si="1">C3&amp;G3</f>
        <v>Premium4</v>
      </c>
      <c r="C3" s="7" t="str">
        <f t="shared" ref="C3:C66" si="2">IF(F3="PremiumSS",F3,IF(F3="PremiumSSS",F3,"Premium"))</f>
        <v>Premium</v>
      </c>
      <c r="D3" s="6">
        <v>127</v>
      </c>
      <c r="E3" s="7" t="str">
        <f>VLOOKUP(D3,[1]characters!$A:$C,3,FALSE)</f>
        <v>狂喜の賢者 ユノ</v>
      </c>
      <c r="F3" s="7" t="str">
        <f>VLOOKUP(D3,[1]characters!$A:$J,10,FALSE)</f>
        <v>PremiumW</v>
      </c>
      <c r="G3" s="7">
        <f>VLOOKUP(D3,[1]characters!$A:$I,9,FALSE)</f>
        <v>4</v>
      </c>
      <c r="H3" s="7" t="str">
        <f>VLOOKUP(D3,[1]characters!$A:$H,8,FALSE)</f>
        <v>red</v>
      </c>
      <c r="I3" s="7" t="str">
        <f>VLOOKUP(D3,[1]characters!$A:$K,11,FALSE)</f>
        <v>attack</v>
      </c>
      <c r="J3" s="7" t="str">
        <f>VLOOKUP(D3,[1]characters!$A:$M,13,FALSE)</f>
        <v>human</v>
      </c>
      <c r="K3" s="7" t="str">
        <f>VLOOKUP(D3,[1]characters!$A:$G,7,FALSE)</f>
        <v>女性</v>
      </c>
      <c r="L3" s="66">
        <f>IFERROR(VLOOKUP(D3,input_1!L:R,7,FALSE),VLOOKUP(tables_1!B3,input_1!A:H,8,FALSE))</f>
        <v>154791</v>
      </c>
      <c r="M3" s="67">
        <f t="shared" si="0"/>
        <v>5.9594594594594595E-3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hidden="1" customHeight="1">
      <c r="A4" s="2">
        <f>input_1!A$2</f>
        <v>3121</v>
      </c>
      <c r="B4" s="7" t="str">
        <f t="shared" si="1"/>
        <v>Premium3</v>
      </c>
      <c r="C4" s="7" t="str">
        <f t="shared" si="2"/>
        <v>Premium</v>
      </c>
      <c r="D4" s="6">
        <v>128</v>
      </c>
      <c r="E4" s="7" t="str">
        <f>VLOOKUP(D4,[1]characters!$A:$C,3,FALSE)</f>
        <v>野生児 アマラ</v>
      </c>
      <c r="F4" s="7" t="str">
        <f>VLOOKUP(D4,[1]characters!$A:$J,10,FALSE)</f>
        <v>PremiumW</v>
      </c>
      <c r="G4" s="7">
        <f>VLOOKUP(D4,[1]characters!$A:$I,9,FALSE)</f>
        <v>3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66">
        <f>IFERROR(VLOOKUP(D4,input_1!L:R,7,FALSE),VLOOKUP(tables_1!B4,input_1!A:H,8,FALSE))</f>
        <v>175500</v>
      </c>
      <c r="M4" s="67">
        <f t="shared" si="0"/>
        <v>6.7567567567567571E-3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hidden="1" customHeight="1">
      <c r="A5" s="2">
        <f>input_1!A$2</f>
        <v>3121</v>
      </c>
      <c r="B5" s="7" t="str">
        <f t="shared" si="1"/>
        <v>Premium4</v>
      </c>
      <c r="C5" s="7" t="str">
        <f t="shared" si="2"/>
        <v>Premium</v>
      </c>
      <c r="D5" s="6">
        <v>129</v>
      </c>
      <c r="E5" s="7" t="str">
        <f>VLOOKUP(D5,[1]characters!$A:$C,3,FALSE)</f>
        <v>孤高の狼憑き アマラ</v>
      </c>
      <c r="F5" s="7" t="str">
        <f>VLOOKUP(D5,[1]characters!$A:$J,10,FALSE)</f>
        <v>PremiumW</v>
      </c>
      <c r="G5" s="7">
        <f>VLOOKUP(D5,[1]characters!$A:$I,9,FALSE)</f>
        <v>4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66">
        <f>IFERROR(VLOOKUP(D5,input_1!L:R,7,FALSE),VLOOKUP(tables_1!B5,input_1!A:H,8,FALSE))</f>
        <v>154791</v>
      </c>
      <c r="M5" s="67">
        <f t="shared" si="0"/>
        <v>5.9594594594594595E-3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hidden="1" customHeight="1">
      <c r="A6" s="2">
        <f>input_1!A$2</f>
        <v>3121</v>
      </c>
      <c r="B6" s="7" t="str">
        <f t="shared" si="1"/>
        <v>Premium3</v>
      </c>
      <c r="C6" s="7" t="str">
        <f t="shared" si="2"/>
        <v>Premium</v>
      </c>
      <c r="D6" s="6">
        <v>130</v>
      </c>
      <c r="E6" s="7" t="str">
        <f>VLOOKUP(D6,[1]characters!$A:$C,3,FALSE)</f>
        <v>狼男 ローレンス</v>
      </c>
      <c r="F6" s="7" t="str">
        <f>VLOOKUP(D6,[1]characters!$A:$J,10,FALSE)</f>
        <v>PremiumW</v>
      </c>
      <c r="G6" s="7">
        <f>VLOOKUP(D6,[1]characters!$A:$I,9,FALSE)</f>
        <v>3</v>
      </c>
      <c r="H6" s="7" t="str">
        <f>VLOOKUP(D6,[1]characters!$A:$H,8,FALSE)</f>
        <v>blue</v>
      </c>
      <c r="I6" s="7" t="str">
        <f>VLOOKUP(D6,[1]characters!$A:$K,11,FALSE)</f>
        <v>attack</v>
      </c>
      <c r="J6" s="7" t="str">
        <f>VLOOKUP(D6,[1]characters!$A:$M,13,FALSE)</f>
        <v>animal</v>
      </c>
      <c r="K6" s="7" t="str">
        <f>VLOOKUP(D6,[1]characters!$A:$G,7,FALSE)</f>
        <v>不明</v>
      </c>
      <c r="L6" s="66">
        <f>IFERROR(VLOOKUP(D6,input_1!L:R,7,FALSE),VLOOKUP(tables_1!B6,input_1!A:H,8,FALSE))</f>
        <v>175500</v>
      </c>
      <c r="M6" s="67">
        <f t="shared" si="0"/>
        <v>6.7567567567567571E-3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hidden="1" customHeight="1">
      <c r="A7" s="2">
        <f>input_1!A$2</f>
        <v>3121</v>
      </c>
      <c r="B7" s="7" t="str">
        <f t="shared" si="1"/>
        <v>Premium4</v>
      </c>
      <c r="C7" s="7" t="str">
        <f t="shared" si="2"/>
        <v>Premium</v>
      </c>
      <c r="D7" s="6">
        <v>131</v>
      </c>
      <c r="E7" s="7" t="str">
        <f>VLOOKUP(D7,[1]characters!$A:$C,3,FALSE)</f>
        <v>月下の人狼 ローレンス</v>
      </c>
      <c r="F7" s="7" t="str">
        <f>VLOOKUP(D7,[1]characters!$A:$J,10,FALSE)</f>
        <v>PremiumW</v>
      </c>
      <c r="G7" s="7">
        <f>VLOOKUP(D7,[1]characters!$A:$I,9,FALSE)</f>
        <v>4</v>
      </c>
      <c r="H7" s="7" t="str">
        <f>VLOOKUP(D7,[1]characters!$A:$H,8,FALSE)</f>
        <v>blue</v>
      </c>
      <c r="I7" s="7" t="str">
        <f>VLOOKUP(D7,[1]characters!$A:$K,11,FALSE)</f>
        <v>attack</v>
      </c>
      <c r="J7" s="7" t="str">
        <f>VLOOKUP(D7,[1]characters!$A:$M,13,FALSE)</f>
        <v>animal</v>
      </c>
      <c r="K7" s="7" t="str">
        <f>VLOOKUP(D7,[1]characters!$A:$G,7,FALSE)</f>
        <v>不明</v>
      </c>
      <c r="L7" s="66">
        <f>IFERROR(VLOOKUP(D7,input_1!L:R,7,FALSE),VLOOKUP(tables_1!B7,input_1!A:H,8,FALSE))</f>
        <v>154791</v>
      </c>
      <c r="M7" s="67">
        <f t="shared" si="0"/>
        <v>5.9594594594594595E-3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hidden="1" customHeight="1">
      <c r="A8" s="2">
        <f>input_1!A$2</f>
        <v>3121</v>
      </c>
      <c r="B8" s="7" t="str">
        <f t="shared" si="1"/>
        <v>Premium3</v>
      </c>
      <c r="C8" s="7" t="str">
        <f t="shared" si="2"/>
        <v>Premium</v>
      </c>
      <c r="D8" s="6">
        <v>132</v>
      </c>
      <c r="E8" s="7" t="str">
        <f>VLOOKUP(D8,[1]characters!$A:$C,3,FALSE)</f>
        <v>鳥人ハヤト</v>
      </c>
      <c r="F8" s="7" t="str">
        <f>VLOOKUP(D8,[1]characters!$A:$J,10,FALSE)</f>
        <v>PremiumW</v>
      </c>
      <c r="G8" s="7">
        <f>VLOOKUP(D8,[1]characters!$A:$I,9,FALSE)</f>
        <v>3</v>
      </c>
      <c r="H8" s="7" t="str">
        <f>VLOOKUP(D8,[1]characters!$A:$H,8,FALSE)</f>
        <v>yellow</v>
      </c>
      <c r="I8" s="7" t="str">
        <f>VLOOKUP(D8,[1]characters!$A:$K,11,FALSE)</f>
        <v>attack</v>
      </c>
      <c r="J8" s="7" t="str">
        <f>VLOOKUP(D8,[1]characters!$A:$M,13,FALSE)</f>
        <v>human</v>
      </c>
      <c r="K8" s="7" t="str">
        <f>VLOOKUP(D8,[1]characters!$A:$G,7,FALSE)</f>
        <v>男性</v>
      </c>
      <c r="L8" s="66">
        <f>IFERROR(VLOOKUP(D8,input_1!L:R,7,FALSE),VLOOKUP(tables_1!B8,input_1!A:H,8,FALSE))</f>
        <v>175500</v>
      </c>
      <c r="M8" s="67">
        <f t="shared" si="0"/>
        <v>6.7567567567567571E-3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hidden="1" customHeight="1">
      <c r="A9" s="2">
        <f>input_1!A$2</f>
        <v>3121</v>
      </c>
      <c r="B9" s="7" t="str">
        <f t="shared" si="1"/>
        <v>Premium4</v>
      </c>
      <c r="C9" s="7" t="str">
        <f t="shared" si="2"/>
        <v>Premium</v>
      </c>
      <c r="D9" s="6">
        <v>133</v>
      </c>
      <c r="E9" s="7" t="str">
        <f>VLOOKUP(D9,[1]characters!$A:$C,3,FALSE)</f>
        <v>迅雷の刀剣 ハヤト</v>
      </c>
      <c r="F9" s="7" t="str">
        <f>VLOOKUP(D9,[1]characters!$A:$J,10,FALSE)</f>
        <v>PremiumW</v>
      </c>
      <c r="G9" s="7">
        <f>VLOOKUP(D9,[1]characters!$A:$I,9,FALSE)</f>
        <v>4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human</v>
      </c>
      <c r="K9" s="7" t="str">
        <f>VLOOKUP(D9,[1]characters!$A:$G,7,FALSE)</f>
        <v>男性</v>
      </c>
      <c r="L9" s="66">
        <f>IFERROR(VLOOKUP(D9,input_1!L:R,7,FALSE),VLOOKUP(tables_1!B9,input_1!A:H,8,FALSE))</f>
        <v>154791</v>
      </c>
      <c r="M9" s="67">
        <f t="shared" si="0"/>
        <v>5.9594594594594595E-3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hidden="1" customHeight="1">
      <c r="A10" s="2">
        <f>input_1!A$2</f>
        <v>3121</v>
      </c>
      <c r="B10" s="7" t="str">
        <f t="shared" si="1"/>
        <v>Premium3</v>
      </c>
      <c r="C10" s="7" t="str">
        <f t="shared" si="2"/>
        <v>Premium</v>
      </c>
      <c r="D10" s="6">
        <v>134</v>
      </c>
      <c r="E10" s="7" t="str">
        <f>VLOOKUP(D10,[1]characters!$A:$C,3,FALSE)</f>
        <v>妖炎の夕霧</v>
      </c>
      <c r="F10" s="7" t="str">
        <f>VLOOKUP(D10,[1]characters!$A:$J,10,FALSE)</f>
        <v>PremiumW</v>
      </c>
      <c r="G10" s="7">
        <f>VLOOKUP(D10,[1]characters!$A:$I,9,FALSE)</f>
        <v>3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66">
        <f>IFERROR(VLOOKUP(D10,input_1!L:R,7,FALSE),VLOOKUP(tables_1!B10,input_1!A:H,8,FALSE))</f>
        <v>175500</v>
      </c>
      <c r="M10" s="67">
        <f t="shared" si="0"/>
        <v>6.7567567567567571E-3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hidden="1" customHeight="1">
      <c r="A11" s="2">
        <f>input_1!A$2</f>
        <v>3121</v>
      </c>
      <c r="B11" s="7" t="str">
        <f t="shared" si="1"/>
        <v>Premium4</v>
      </c>
      <c r="C11" s="7" t="str">
        <f t="shared" si="2"/>
        <v>Premium</v>
      </c>
      <c r="D11" s="6">
        <v>135</v>
      </c>
      <c r="E11" s="7" t="str">
        <f>VLOOKUP(D11,[1]characters!$A:$C,3,FALSE)</f>
        <v>京の炎華夕霧</v>
      </c>
      <c r="F11" s="7" t="str">
        <f>VLOOKUP(D11,[1]characters!$A:$J,10,FALSE)</f>
        <v>PremiumW</v>
      </c>
      <c r="G11" s="7">
        <f>VLOOKUP(D11,[1]characters!$A:$I,9,FALSE)</f>
        <v>4</v>
      </c>
      <c r="H11" s="7" t="str">
        <f>VLOOKUP(D11,[1]characters!$A:$H,8,FALSE)</f>
        <v>red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66">
        <f>IFERROR(VLOOKUP(D11,input_1!L:R,7,FALSE),VLOOKUP(tables_1!B11,input_1!A:H,8,FALSE))</f>
        <v>154791</v>
      </c>
      <c r="M11" s="67">
        <f t="shared" si="0"/>
        <v>5.9594594594594595E-3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hidden="1" customHeight="1">
      <c r="A12" s="2">
        <f>input_1!A$2</f>
        <v>3121</v>
      </c>
      <c r="B12" s="7" t="str">
        <f t="shared" si="1"/>
        <v>Premium3</v>
      </c>
      <c r="C12" s="7" t="str">
        <f t="shared" si="2"/>
        <v>Premium</v>
      </c>
      <c r="D12" s="8">
        <v>136</v>
      </c>
      <c r="E12" s="7" t="str">
        <f>VLOOKUP(D12,[1]characters!$A:$C,3,FALSE)</f>
        <v>お針子チハヤ</v>
      </c>
      <c r="F12" s="7" t="str">
        <f>VLOOKUP(D12,[1]characters!$A:$J,10,FALSE)</f>
        <v>PremiumW</v>
      </c>
      <c r="G12" s="7">
        <f>VLOOKUP(D12,[1]characters!$A:$I,9,FALSE)</f>
        <v>3</v>
      </c>
      <c r="H12" s="7" t="str">
        <f>VLOOKUP(D12,[1]characters!$A:$H,8,FALSE)</f>
        <v>green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66">
        <f>IFERROR(VLOOKUP(D12,input_1!L:R,7,FALSE),VLOOKUP(tables_1!B12,input_1!A:H,8,FALSE))</f>
        <v>175500</v>
      </c>
      <c r="M12" s="67">
        <f t="shared" si="0"/>
        <v>6.7567567567567571E-3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hidden="1" customHeight="1">
      <c r="A13" s="2">
        <f>input_1!A$2</f>
        <v>3121</v>
      </c>
      <c r="B13" s="7" t="str">
        <f t="shared" si="1"/>
        <v>Premium4</v>
      </c>
      <c r="C13" s="7" t="str">
        <f t="shared" si="2"/>
        <v>Premium</v>
      </c>
      <c r="D13" s="8">
        <v>137</v>
      </c>
      <c r="E13" s="7" t="str">
        <f>VLOOKUP(D13,[1]characters!$A:$C,3,FALSE)</f>
        <v>清福の仕立屋 チハヤ</v>
      </c>
      <c r="F13" s="7" t="str">
        <f>VLOOKUP(D13,[1]characters!$A:$J,10,FALSE)</f>
        <v>PremiumW</v>
      </c>
      <c r="G13" s="7">
        <f>VLOOKUP(D13,[1]characters!$A:$I,9,FALSE)</f>
        <v>4</v>
      </c>
      <c r="H13" s="7" t="str">
        <f>VLOOKUP(D13,[1]characters!$A:$H,8,FALSE)</f>
        <v>green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女性</v>
      </c>
      <c r="L13" s="66">
        <f>IFERROR(VLOOKUP(D13,input_1!L:R,7,FALSE),VLOOKUP(tables_1!B13,input_1!A:H,8,FALSE))</f>
        <v>154791</v>
      </c>
      <c r="M13" s="67">
        <f t="shared" si="0"/>
        <v>5.9594594594594595E-3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hidden="1" customHeight="1">
      <c r="A14" s="2">
        <f>input_1!A$2</f>
        <v>3121</v>
      </c>
      <c r="B14" s="7" t="str">
        <f t="shared" si="1"/>
        <v>Premium3</v>
      </c>
      <c r="C14" s="7" t="str">
        <f t="shared" si="2"/>
        <v>Premium</v>
      </c>
      <c r="D14" s="6">
        <v>138</v>
      </c>
      <c r="E14" s="7" t="str">
        <f>VLOOKUP(D14,[1]characters!$A:$C,3,FALSE)</f>
        <v>蒼薙のトモエ</v>
      </c>
      <c r="F14" s="7" t="str">
        <f>VLOOKUP(D14,[1]characters!$A:$J,10,FALSE)</f>
        <v>PremiumW</v>
      </c>
      <c r="G14" s="7">
        <f>VLOOKUP(D14,[1]characters!$A:$I,9,FALSE)</f>
        <v>3</v>
      </c>
      <c r="H14" s="7" t="str">
        <f>VLOOKUP(D14,[1]characters!$A:$H,8,FALSE)</f>
        <v>blue</v>
      </c>
      <c r="I14" s="7" t="str">
        <f>VLOOKUP(D14,[1]characters!$A:$K,11,FALSE)</f>
        <v>balance</v>
      </c>
      <c r="J14" s="7" t="str">
        <f>VLOOKUP(D14,[1]characters!$A:$M,13,FALSE)</f>
        <v>human</v>
      </c>
      <c r="K14" s="7" t="str">
        <f>VLOOKUP(D14,[1]characters!$A:$G,7,FALSE)</f>
        <v>女性</v>
      </c>
      <c r="L14" s="66">
        <f>IFERROR(VLOOKUP(D14,input_1!L:R,7,FALSE),VLOOKUP(tables_1!B14,input_1!A:H,8,FALSE))</f>
        <v>175500</v>
      </c>
      <c r="M14" s="67">
        <f t="shared" si="0"/>
        <v>6.7567567567567571E-3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hidden="1" customHeight="1">
      <c r="A15" s="2">
        <f>input_1!A$2</f>
        <v>3121</v>
      </c>
      <c r="B15" s="7" t="str">
        <f t="shared" si="1"/>
        <v>Premium4</v>
      </c>
      <c r="C15" s="7" t="str">
        <f t="shared" si="2"/>
        <v>Premium</v>
      </c>
      <c r="D15" s="6">
        <v>139</v>
      </c>
      <c r="E15" s="7" t="str">
        <f>VLOOKUP(D15,[1]characters!$A:$C,3,FALSE)</f>
        <v>蒼昇刃姫 トモエ</v>
      </c>
      <c r="F15" s="7" t="str">
        <f>VLOOKUP(D15,[1]characters!$A:$J,10,FALSE)</f>
        <v>PremiumW</v>
      </c>
      <c r="G15" s="7">
        <f>VLOOKUP(D15,[1]characters!$A:$I,9,FALSE)</f>
        <v>4</v>
      </c>
      <c r="H15" s="7" t="str">
        <f>VLOOKUP(D15,[1]characters!$A:$H,8,FALSE)</f>
        <v>blue</v>
      </c>
      <c r="I15" s="7" t="str">
        <f>VLOOKUP(D15,[1]characters!$A:$K,11,FALSE)</f>
        <v>balance</v>
      </c>
      <c r="J15" s="7" t="str">
        <f>VLOOKUP(D15,[1]characters!$A:$M,13,FALSE)</f>
        <v>human</v>
      </c>
      <c r="K15" s="7" t="str">
        <f>VLOOKUP(D15,[1]characters!$A:$G,7,FALSE)</f>
        <v>女性</v>
      </c>
      <c r="L15" s="66">
        <f>IFERROR(VLOOKUP(D15,input_1!L:R,7,FALSE),VLOOKUP(tables_1!B15,input_1!A:H,8,FALSE))</f>
        <v>154791</v>
      </c>
      <c r="M15" s="67">
        <f t="shared" si="0"/>
        <v>5.9594594594594595E-3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hidden="1" customHeight="1">
      <c r="A16" s="2">
        <f>input_1!A$2</f>
        <v>3121</v>
      </c>
      <c r="B16" s="7" t="str">
        <f t="shared" si="1"/>
        <v>Premium3</v>
      </c>
      <c r="C16" s="7" t="str">
        <f t="shared" si="2"/>
        <v>Premium</v>
      </c>
      <c r="D16" s="10">
        <v>140</v>
      </c>
      <c r="E16" s="7" t="str">
        <f>VLOOKUP(D16,[1]characters!$A:$C,3,FALSE)</f>
        <v>秋祭のタマモ</v>
      </c>
      <c r="F16" s="7" t="str">
        <f>VLOOKUP(D16,[1]characters!$A:$J,10,FALSE)</f>
        <v>PremiumW</v>
      </c>
      <c r="G16" s="7">
        <f>VLOOKUP(D16,[1]characters!$A:$I,9,FALSE)</f>
        <v>3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animal</v>
      </c>
      <c r="K16" s="7" t="str">
        <f>VLOOKUP(D16,[1]characters!$A:$G,7,FALSE)</f>
        <v>女性</v>
      </c>
      <c r="L16" s="66">
        <f>IFERROR(VLOOKUP(D16,input_1!L:R,7,FALSE),VLOOKUP(tables_1!B16,input_1!A:H,8,FALSE))</f>
        <v>175500</v>
      </c>
      <c r="M16" s="67">
        <f t="shared" si="0"/>
        <v>6.7567567567567571E-3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hidden="1" customHeight="1">
      <c r="A17" s="2">
        <f>input_1!A$2</f>
        <v>3121</v>
      </c>
      <c r="B17" s="7" t="str">
        <f t="shared" si="1"/>
        <v>Premium4</v>
      </c>
      <c r="C17" s="7" t="str">
        <f t="shared" si="2"/>
        <v>Premium</v>
      </c>
      <c r="D17" s="11">
        <v>141</v>
      </c>
      <c r="E17" s="7" t="str">
        <f>VLOOKUP(D17,[1]characters!$A:$C,3,FALSE)</f>
        <v>妖狐演舞 タマモ</v>
      </c>
      <c r="F17" s="7" t="str">
        <f>VLOOKUP(D17,[1]characters!$A:$J,10,FALSE)</f>
        <v>PremiumW</v>
      </c>
      <c r="G17" s="7">
        <f>VLOOKUP(D17,[1]characters!$A:$I,9,FALSE)</f>
        <v>4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animal</v>
      </c>
      <c r="K17" s="7" t="str">
        <f>VLOOKUP(D17,[1]characters!$A:$G,7,FALSE)</f>
        <v>女性</v>
      </c>
      <c r="L17" s="66">
        <f>IFERROR(VLOOKUP(D17,input_1!L:R,7,FALSE),VLOOKUP(tables_1!B17,input_1!A:H,8,FALSE))</f>
        <v>154791</v>
      </c>
      <c r="M17" s="67">
        <f t="shared" si="0"/>
        <v>5.9594594594594595E-3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hidden="1" customHeight="1">
      <c r="A18" s="2">
        <f>input_1!A$2</f>
        <v>3121</v>
      </c>
      <c r="B18" s="7" t="str">
        <f t="shared" si="1"/>
        <v>Premium3</v>
      </c>
      <c r="C18" s="7" t="str">
        <f t="shared" si="2"/>
        <v>Premium</v>
      </c>
      <c r="D18" s="6">
        <v>142</v>
      </c>
      <c r="E18" s="7" t="str">
        <f>VLOOKUP(D18,[1]characters!$A:$C,3,FALSE)</f>
        <v>赤ずきん</v>
      </c>
      <c r="F18" s="7" t="str">
        <f>VLOOKUP(D18,[1]characters!$A:$J,10,FALSE)</f>
        <v>PremiumW</v>
      </c>
      <c r="G18" s="7">
        <f>VLOOKUP(D18,[1]characters!$A:$I,9,FALSE)</f>
        <v>3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human</v>
      </c>
      <c r="K18" s="7" t="str">
        <f>VLOOKUP(D18,[1]characters!$A:$G,7,FALSE)</f>
        <v>女性</v>
      </c>
      <c r="L18" s="66">
        <f>IFERROR(VLOOKUP(D18,input_1!L:R,7,FALSE),VLOOKUP(tables_1!B18,input_1!A:H,8,FALSE))</f>
        <v>175500</v>
      </c>
      <c r="M18" s="67">
        <f t="shared" si="0"/>
        <v>6.7567567567567571E-3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s="12" customFormat="1" ht="21" hidden="1" customHeight="1" thickBot="1">
      <c r="A19" s="2">
        <f>input_1!A$2</f>
        <v>3121</v>
      </c>
      <c r="B19" s="7" t="str">
        <f t="shared" si="1"/>
        <v>Premium4</v>
      </c>
      <c r="C19" s="7" t="str">
        <f t="shared" si="2"/>
        <v>Premium</v>
      </c>
      <c r="D19" s="6">
        <v>143</v>
      </c>
      <c r="E19" s="7" t="str">
        <f>VLOOKUP(D19,[1]characters!$A:$C,3,FALSE)</f>
        <v>深紅の死神 赤ずきん</v>
      </c>
      <c r="F19" s="7" t="str">
        <f>VLOOKUP(D19,[1]characters!$A:$J,10,FALSE)</f>
        <v>PremiumW</v>
      </c>
      <c r="G19" s="7">
        <f>VLOOKUP(D19,[1]characters!$A:$I,9,FALSE)</f>
        <v>4</v>
      </c>
      <c r="H19" s="7" t="str">
        <f>VLOOKUP(D19,[1]characters!$A:$H,8,FALSE)</f>
        <v>red</v>
      </c>
      <c r="I19" s="7" t="str">
        <f>VLOOKUP(D19,[1]characters!$A:$K,11,FALSE)</f>
        <v>balance</v>
      </c>
      <c r="J19" s="7" t="str">
        <f>VLOOKUP(D19,[1]characters!$A:$M,13,FALSE)</f>
        <v>human</v>
      </c>
      <c r="K19" s="7" t="str">
        <f>VLOOKUP(D19,[1]characters!$A:$G,7,FALSE)</f>
        <v>女性</v>
      </c>
      <c r="L19" s="66">
        <f>IFERROR(VLOOKUP(D19,input_1!L:R,7,FALSE),VLOOKUP(tables_1!B19,input_1!A:H,8,FALSE))</f>
        <v>154791</v>
      </c>
      <c r="M19" s="67">
        <f t="shared" si="0"/>
        <v>5.9594594594594595E-3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hidden="1" customHeight="1">
      <c r="A20" s="2">
        <f>input_1!A$2</f>
        <v>3121</v>
      </c>
      <c r="B20" s="7" t="str">
        <f t="shared" si="1"/>
        <v>Premium3</v>
      </c>
      <c r="C20" s="7" t="str">
        <f t="shared" si="2"/>
        <v>Premium</v>
      </c>
      <c r="D20" s="10">
        <v>144</v>
      </c>
      <c r="E20" s="7" t="str">
        <f>VLOOKUP(D20,[1]characters!$A:$C,3,FALSE)</f>
        <v>かぐや</v>
      </c>
      <c r="F20" s="7" t="str">
        <f>VLOOKUP(D20,[1]characters!$A:$J,10,FALSE)</f>
        <v>PremiumW</v>
      </c>
      <c r="G20" s="7">
        <f>VLOOKUP(D20,[1]characters!$A:$I,9,FALSE)</f>
        <v>3</v>
      </c>
      <c r="H20" s="7" t="str">
        <f>VLOOKUP(D20,[1]characters!$A:$H,8,FALSE)</f>
        <v>green</v>
      </c>
      <c r="I20" s="7" t="str">
        <f>VLOOKUP(D20,[1]characters!$A:$K,11,FALSE)</f>
        <v>hp</v>
      </c>
      <c r="J20" s="7" t="str">
        <f>VLOOKUP(D20,[1]characters!$A:$M,13,FALSE)</f>
        <v>human</v>
      </c>
      <c r="K20" s="7" t="str">
        <f>VLOOKUP(D20,[1]characters!$A:$G,7,FALSE)</f>
        <v>女性</v>
      </c>
      <c r="L20" s="66">
        <f>IFERROR(VLOOKUP(D20,input_1!L:R,7,FALSE),VLOOKUP(tables_1!B20,input_1!A:H,8,FALSE))</f>
        <v>175500</v>
      </c>
      <c r="M20" s="67">
        <f t="shared" si="0"/>
        <v>6.7567567567567571E-3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hidden="1" customHeight="1">
      <c r="A21" s="2">
        <f>input_1!A$2</f>
        <v>3121</v>
      </c>
      <c r="B21" s="7" t="str">
        <f t="shared" si="1"/>
        <v>Premium4</v>
      </c>
      <c r="C21" s="7" t="str">
        <f t="shared" si="2"/>
        <v>Premium</v>
      </c>
      <c r="D21" s="6">
        <v>145</v>
      </c>
      <c r="E21" s="7" t="str">
        <f>VLOOKUP(D21,[1]characters!$A:$C,3,FALSE)</f>
        <v>魔性妖艶 かぐや</v>
      </c>
      <c r="F21" s="7" t="str">
        <f>VLOOKUP(D21,[1]characters!$A:$J,10,FALSE)</f>
        <v>PremiumW</v>
      </c>
      <c r="G21" s="7">
        <f>VLOOKUP(D21,[1]characters!$A:$I,9,FALSE)</f>
        <v>4</v>
      </c>
      <c r="H21" s="7" t="str">
        <f>VLOOKUP(D21,[1]characters!$A:$H,8,FALSE)</f>
        <v>green</v>
      </c>
      <c r="I21" s="7" t="str">
        <f>VLOOKUP(D21,[1]characters!$A:$K,11,FALSE)</f>
        <v>hp</v>
      </c>
      <c r="J21" s="7" t="str">
        <f>VLOOKUP(D21,[1]characters!$A:$M,13,FALSE)</f>
        <v>human</v>
      </c>
      <c r="K21" s="7" t="str">
        <f>VLOOKUP(D21,[1]characters!$A:$G,7,FALSE)</f>
        <v>女性</v>
      </c>
      <c r="L21" s="66">
        <f>IFERROR(VLOOKUP(D21,input_1!L:R,7,FALSE),VLOOKUP(tables_1!B21,input_1!A:H,8,FALSE))</f>
        <v>154791</v>
      </c>
      <c r="M21" s="67">
        <f t="shared" si="0"/>
        <v>5.9594594594594595E-3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hidden="1" customHeight="1">
      <c r="A22" s="2">
        <f>input_1!A$2</f>
        <v>3121</v>
      </c>
      <c r="B22" s="7" t="str">
        <f t="shared" si="1"/>
        <v>Premium3</v>
      </c>
      <c r="C22" s="7" t="str">
        <f t="shared" si="2"/>
        <v>Premium</v>
      </c>
      <c r="D22" s="6">
        <v>146</v>
      </c>
      <c r="E22" s="7" t="str">
        <f>VLOOKUP(D22,[1]characters!$A:$C,3,FALSE)</f>
        <v>マーメイド</v>
      </c>
      <c r="F22" s="7" t="str">
        <f>VLOOKUP(D22,[1]characters!$A:$J,10,FALSE)</f>
        <v>PremiumW</v>
      </c>
      <c r="G22" s="7">
        <f>VLOOKUP(D22,[1]characters!$A:$I,9,FALSE)</f>
        <v>3</v>
      </c>
      <c r="H22" s="7" t="str">
        <f>VLOOKUP(D22,[1]characters!$A:$H,8,FALSE)</f>
        <v>blue</v>
      </c>
      <c r="I22" s="7" t="str">
        <f>VLOOKUP(D22,[1]characters!$A:$K,11,FALSE)</f>
        <v>hp</v>
      </c>
      <c r="J22" s="7" t="str">
        <f>VLOOKUP(D22,[1]characters!$A:$M,13,FALSE)</f>
        <v>human</v>
      </c>
      <c r="K22" s="7" t="str">
        <f>VLOOKUP(D22,[1]characters!$A:$G,7,FALSE)</f>
        <v>女性</v>
      </c>
      <c r="L22" s="66">
        <f>IFERROR(VLOOKUP(D22,input_1!L:R,7,FALSE),VLOOKUP(tables_1!B22,input_1!A:H,8,FALSE))</f>
        <v>175500</v>
      </c>
      <c r="M22" s="67">
        <f t="shared" si="0"/>
        <v>6.7567567567567571E-3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hidden="1" customHeight="1">
      <c r="A23" s="2">
        <f>input_1!A$2</f>
        <v>3121</v>
      </c>
      <c r="B23" s="7" t="str">
        <f t="shared" si="1"/>
        <v>Premium4</v>
      </c>
      <c r="C23" s="7" t="str">
        <f t="shared" si="2"/>
        <v>Premium</v>
      </c>
      <c r="D23" s="6">
        <v>147</v>
      </c>
      <c r="E23" s="7" t="str">
        <f>VLOOKUP(D23,[1]characters!$A:$C,3,FALSE)</f>
        <v>蒼き閃光 元マーメイド</v>
      </c>
      <c r="F23" s="7" t="str">
        <f>VLOOKUP(D23,[1]characters!$A:$J,10,FALSE)</f>
        <v>PremiumW</v>
      </c>
      <c r="G23" s="7">
        <f>VLOOKUP(D23,[1]characters!$A:$I,9,FALSE)</f>
        <v>4</v>
      </c>
      <c r="H23" s="7" t="str">
        <f>VLOOKUP(D23,[1]characters!$A:$H,8,FALSE)</f>
        <v>blue</v>
      </c>
      <c r="I23" s="7" t="str">
        <f>VLOOKUP(D23,[1]characters!$A:$K,11,FALSE)</f>
        <v>hp</v>
      </c>
      <c r="J23" s="7" t="str">
        <f>VLOOKUP(D23,[1]characters!$A:$M,13,FALSE)</f>
        <v>human</v>
      </c>
      <c r="K23" s="7" t="str">
        <f>VLOOKUP(D23,[1]characters!$A:$G,7,FALSE)</f>
        <v>女性</v>
      </c>
      <c r="L23" s="66">
        <f>IFERROR(VLOOKUP(D23,input_1!L:R,7,FALSE),VLOOKUP(tables_1!B23,input_1!A:H,8,FALSE))</f>
        <v>154791</v>
      </c>
      <c r="M23" s="67">
        <f t="shared" si="0"/>
        <v>5.9594594594594595E-3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hidden="1" customHeight="1">
      <c r="A24" s="2">
        <f>input_1!A$2</f>
        <v>3121</v>
      </c>
      <c r="B24" s="7" t="str">
        <f t="shared" si="1"/>
        <v>Premium3</v>
      </c>
      <c r="C24" s="7" t="str">
        <f t="shared" si="2"/>
        <v>Premium</v>
      </c>
      <c r="D24" s="6">
        <v>148</v>
      </c>
      <c r="E24" s="7" t="str">
        <f>VLOOKUP(D24,[1]characters!$A:$C,3,FALSE)</f>
        <v>シンデレラ</v>
      </c>
      <c r="F24" s="7" t="str">
        <f>VLOOKUP(D24,[1]characters!$A:$J,10,FALSE)</f>
        <v>PremiumW</v>
      </c>
      <c r="G24" s="7">
        <f>VLOOKUP(D24,[1]characters!$A:$I,9,FALSE)</f>
        <v>3</v>
      </c>
      <c r="H24" s="7" t="str">
        <f>VLOOKUP(D24,[1]characters!$A:$H,8,FALSE)</f>
        <v>yellow</v>
      </c>
      <c r="I24" s="7" t="str">
        <f>VLOOKUP(D24,[1]characters!$A:$K,11,FALSE)</f>
        <v>balance</v>
      </c>
      <c r="J24" s="7" t="str">
        <f>VLOOKUP(D24,[1]characters!$A:$M,13,FALSE)</f>
        <v>human</v>
      </c>
      <c r="K24" s="7" t="str">
        <f>VLOOKUP(D24,[1]characters!$A:$G,7,FALSE)</f>
        <v>女性</v>
      </c>
      <c r="L24" s="66">
        <f>IFERROR(VLOOKUP(D24,input_1!L:R,7,FALSE),VLOOKUP(tables_1!B24,input_1!A:H,8,FALSE))</f>
        <v>175500</v>
      </c>
      <c r="M24" s="67">
        <f t="shared" si="0"/>
        <v>6.7567567567567571E-3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hidden="1" customHeight="1">
      <c r="A25" s="2">
        <f>input_1!A$2</f>
        <v>3121</v>
      </c>
      <c r="B25" s="7" t="str">
        <f t="shared" si="1"/>
        <v>Premium4</v>
      </c>
      <c r="C25" s="7" t="str">
        <f t="shared" si="2"/>
        <v>Premium</v>
      </c>
      <c r="D25" s="6">
        <v>149</v>
      </c>
      <c r="E25" s="7" t="str">
        <f>VLOOKUP(D25,[1]characters!$A:$C,3,FALSE)</f>
        <v>雷撃蹴技を極めし者 シンデレラ</v>
      </c>
      <c r="F25" s="7" t="str">
        <f>VLOOKUP(D25,[1]characters!$A:$J,10,FALSE)</f>
        <v>PremiumW</v>
      </c>
      <c r="G25" s="7">
        <f>VLOOKUP(D25,[1]characters!$A:$I,9,FALSE)</f>
        <v>4</v>
      </c>
      <c r="H25" s="7" t="str">
        <f>VLOOKUP(D25,[1]characters!$A:$H,8,FALSE)</f>
        <v>yellow</v>
      </c>
      <c r="I25" s="7" t="str">
        <f>VLOOKUP(D25,[1]characters!$A:$K,11,FALSE)</f>
        <v>balance</v>
      </c>
      <c r="J25" s="7" t="str">
        <f>VLOOKUP(D25,[1]characters!$A:$M,13,FALSE)</f>
        <v>human</v>
      </c>
      <c r="K25" s="7" t="str">
        <f>VLOOKUP(D25,[1]characters!$A:$G,7,FALSE)</f>
        <v>女性</v>
      </c>
      <c r="L25" s="66">
        <f>IFERROR(VLOOKUP(D25,input_1!L:R,7,FALSE),VLOOKUP(tables_1!B25,input_1!A:H,8,FALSE))</f>
        <v>154791</v>
      </c>
      <c r="M25" s="67">
        <f t="shared" si="0"/>
        <v>5.9594594594594595E-3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hidden="1" customHeight="1">
      <c r="A26" s="2">
        <f>input_1!A$2</f>
        <v>3121</v>
      </c>
      <c r="B26" s="7" t="str">
        <f t="shared" si="1"/>
        <v>Premium3</v>
      </c>
      <c r="C26" s="7" t="str">
        <f t="shared" si="2"/>
        <v>Premium</v>
      </c>
      <c r="D26" s="6">
        <v>150</v>
      </c>
      <c r="E26" s="7" t="str">
        <f>VLOOKUP(D26,[1]characters!$A:$C,3,FALSE)</f>
        <v>ポイズンマスターサキ</v>
      </c>
      <c r="F26" s="7" t="str">
        <f>VLOOKUP(D26,[1]characters!$A:$J,10,FALSE)</f>
        <v>PremiumW</v>
      </c>
      <c r="G26" s="7">
        <f>VLOOKUP(D26,[1]characters!$A:$I,9,FALSE)</f>
        <v>3</v>
      </c>
      <c r="H26" s="7" t="str">
        <f>VLOOKUP(D26,[1]characters!$A:$H,8,FALSE)</f>
        <v>red</v>
      </c>
      <c r="I26" s="7" t="str">
        <f>VLOOKUP(D26,[1]characters!$A:$K,11,FALSE)</f>
        <v>technical</v>
      </c>
      <c r="J26" s="7" t="str">
        <f>VLOOKUP(D26,[1]characters!$A:$M,13,FALSE)</f>
        <v>human</v>
      </c>
      <c r="K26" s="7" t="str">
        <f>VLOOKUP(D26,[1]characters!$A:$G,7,FALSE)</f>
        <v>女性</v>
      </c>
      <c r="L26" s="66">
        <f>IFERROR(VLOOKUP(D26,input_1!L:R,7,FALSE),VLOOKUP(tables_1!B26,input_1!A:H,8,FALSE))</f>
        <v>175500</v>
      </c>
      <c r="M26" s="67">
        <f t="shared" si="0"/>
        <v>6.7567567567567571E-3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hidden="1" customHeight="1">
      <c r="A27" s="2">
        <f>input_1!A$2</f>
        <v>3121</v>
      </c>
      <c r="B27" s="7" t="str">
        <f t="shared" si="1"/>
        <v>Premium4</v>
      </c>
      <c r="C27" s="7" t="str">
        <f t="shared" si="2"/>
        <v>Premium</v>
      </c>
      <c r="D27" s="6">
        <v>151</v>
      </c>
      <c r="E27" s="7" t="str">
        <f>VLOOKUP(D27,[1]characters!$A:$C,3,FALSE)</f>
        <v>毒煙の処刑人サキ</v>
      </c>
      <c r="F27" s="7" t="str">
        <f>VLOOKUP(D27,[1]characters!$A:$J,10,FALSE)</f>
        <v>PremiumW</v>
      </c>
      <c r="G27" s="7">
        <f>VLOOKUP(D27,[1]characters!$A:$I,9,FALSE)</f>
        <v>4</v>
      </c>
      <c r="H27" s="7" t="str">
        <f>VLOOKUP(D27,[1]characters!$A:$H,8,FALSE)</f>
        <v>red</v>
      </c>
      <c r="I27" s="7" t="str">
        <f>VLOOKUP(D27,[1]characters!$A:$K,11,FALSE)</f>
        <v>technical</v>
      </c>
      <c r="J27" s="7" t="str">
        <f>VLOOKUP(D27,[1]characters!$A:$M,13,FALSE)</f>
        <v>human</v>
      </c>
      <c r="K27" s="7" t="str">
        <f>VLOOKUP(D27,[1]characters!$A:$G,7,FALSE)</f>
        <v>女性</v>
      </c>
      <c r="L27" s="66">
        <f>IFERROR(VLOOKUP(D27,input_1!L:R,7,FALSE),VLOOKUP(tables_1!B27,input_1!A:H,8,FALSE))</f>
        <v>154791</v>
      </c>
      <c r="M27" s="67">
        <f t="shared" si="0"/>
        <v>5.9594594594594595E-3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hidden="1" customHeight="1">
      <c r="A28" s="2">
        <f>input_1!A$2</f>
        <v>3121</v>
      </c>
      <c r="B28" s="7" t="str">
        <f t="shared" si="1"/>
        <v>Premium3</v>
      </c>
      <c r="C28" s="7" t="str">
        <f t="shared" si="2"/>
        <v>Premium</v>
      </c>
      <c r="D28" s="6">
        <v>152</v>
      </c>
      <c r="E28" s="7" t="str">
        <f>VLOOKUP(D28,[1]characters!$A:$C,3,FALSE)</f>
        <v>功夫少女ランラン</v>
      </c>
      <c r="F28" s="7" t="str">
        <f>VLOOKUP(D28,[1]characters!$A:$J,10,FALSE)</f>
        <v>PremiumW</v>
      </c>
      <c r="G28" s="7">
        <f>VLOOKUP(D28,[1]characters!$A:$I,9,FALSE)</f>
        <v>3</v>
      </c>
      <c r="H28" s="7" t="str">
        <f>VLOOKUP(D28,[1]characters!$A:$H,8,FALSE)</f>
        <v>green</v>
      </c>
      <c r="I28" s="7" t="str">
        <f>VLOOKUP(D28,[1]characters!$A:$K,11,FALSE)</f>
        <v>heal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66">
        <f>IFERROR(VLOOKUP(D28,input_1!L:R,7,FALSE),VLOOKUP(tables_1!B28,input_1!A:H,8,FALSE))</f>
        <v>175500</v>
      </c>
      <c r="M28" s="67">
        <f t="shared" si="0"/>
        <v>6.7567567567567571E-3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hidden="1" customHeight="1">
      <c r="A29" s="2">
        <f>input_1!A$2</f>
        <v>3121</v>
      </c>
      <c r="B29" s="7" t="str">
        <f t="shared" si="1"/>
        <v>Premium4</v>
      </c>
      <c r="C29" s="7" t="str">
        <f t="shared" si="2"/>
        <v>Premium</v>
      </c>
      <c r="D29" s="6">
        <v>153</v>
      </c>
      <c r="E29" s="7" t="str">
        <f>VLOOKUP(D29,[1]characters!$A:$C,3,FALSE)</f>
        <v>拳聖ランラン</v>
      </c>
      <c r="F29" s="7" t="str">
        <f>VLOOKUP(D29,[1]characters!$A:$J,10,FALSE)</f>
        <v>PremiumW</v>
      </c>
      <c r="G29" s="7">
        <f>VLOOKUP(D29,[1]characters!$A:$I,9,FALSE)</f>
        <v>4</v>
      </c>
      <c r="H29" s="7" t="str">
        <f>VLOOKUP(D29,[1]characters!$A:$H,8,FALSE)</f>
        <v>green</v>
      </c>
      <c r="I29" s="7" t="str">
        <f>VLOOKUP(D29,[1]characters!$A:$K,11,FALSE)</f>
        <v>heal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66">
        <f>IFERROR(VLOOKUP(D29,input_1!L:R,7,FALSE),VLOOKUP(tables_1!B29,input_1!A:H,8,FALSE))</f>
        <v>154791</v>
      </c>
      <c r="M29" s="67">
        <f t="shared" si="0"/>
        <v>5.9594594594594595E-3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hidden="1" customHeight="1">
      <c r="A30" s="2">
        <f>input_1!A$2</f>
        <v>3121</v>
      </c>
      <c r="B30" s="7" t="str">
        <f t="shared" si="1"/>
        <v>Premium3</v>
      </c>
      <c r="C30" s="7" t="str">
        <f t="shared" si="2"/>
        <v>Premium</v>
      </c>
      <c r="D30" s="6">
        <v>154</v>
      </c>
      <c r="E30" s="7" t="str">
        <f>VLOOKUP(D30,[1]characters!$A:$C,3,FALSE)</f>
        <v>始末屋 ハンナ</v>
      </c>
      <c r="F30" s="7" t="str">
        <f>VLOOKUP(D30,[1]characters!$A:$J,10,FALSE)</f>
        <v>PremiumW</v>
      </c>
      <c r="G30" s="7">
        <f>VLOOKUP(D30,[1]characters!$A:$I,9,FALSE)</f>
        <v>3</v>
      </c>
      <c r="H30" s="7" t="str">
        <f>VLOOKUP(D30,[1]characters!$A:$H,8,FALSE)</f>
        <v>blue</v>
      </c>
      <c r="I30" s="7" t="str">
        <f>VLOOKUP(D30,[1]characters!$A:$K,11,FALSE)</f>
        <v>heal</v>
      </c>
      <c r="J30" s="7" t="str">
        <f>VLOOKUP(D30,[1]characters!$A:$M,13,FALSE)</f>
        <v>human</v>
      </c>
      <c r="K30" s="7" t="str">
        <f>VLOOKUP(D30,[1]characters!$A:$G,7,FALSE)</f>
        <v>女性</v>
      </c>
      <c r="L30" s="66">
        <f>IFERROR(VLOOKUP(D30,input_1!L:R,7,FALSE),VLOOKUP(tables_1!B30,input_1!A:H,8,FALSE))</f>
        <v>175500</v>
      </c>
      <c r="M30" s="67">
        <f t="shared" si="0"/>
        <v>6.7567567567567571E-3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hidden="1" customHeight="1">
      <c r="A31" s="2">
        <f>input_1!A$2</f>
        <v>3121</v>
      </c>
      <c r="B31" s="7" t="str">
        <f t="shared" si="1"/>
        <v>Premium4</v>
      </c>
      <c r="C31" s="7" t="str">
        <f t="shared" si="2"/>
        <v>Premium</v>
      </c>
      <c r="D31" s="6">
        <v>155</v>
      </c>
      <c r="E31" s="7" t="str">
        <f>VLOOKUP(D31,[1]characters!$A:$C,3,FALSE)</f>
        <v>隻眼の掃除屋 ハンナ</v>
      </c>
      <c r="F31" s="7" t="str">
        <f>VLOOKUP(D31,[1]characters!$A:$J,10,FALSE)</f>
        <v>PremiumW</v>
      </c>
      <c r="G31" s="7">
        <f>VLOOKUP(D31,[1]characters!$A:$I,9,FALSE)</f>
        <v>4</v>
      </c>
      <c r="H31" s="7" t="str">
        <f>VLOOKUP(D31,[1]characters!$A:$H,8,FALSE)</f>
        <v>blue</v>
      </c>
      <c r="I31" s="7" t="str">
        <f>VLOOKUP(D31,[1]characters!$A:$K,11,FALSE)</f>
        <v>heal</v>
      </c>
      <c r="J31" s="7" t="str">
        <f>VLOOKUP(D31,[1]characters!$A:$M,13,FALSE)</f>
        <v>human</v>
      </c>
      <c r="K31" s="7" t="str">
        <f>VLOOKUP(D31,[1]characters!$A:$G,7,FALSE)</f>
        <v>女性</v>
      </c>
      <c r="L31" s="66">
        <f>IFERROR(VLOOKUP(D31,input_1!L:R,7,FALSE),VLOOKUP(tables_1!B31,input_1!A:H,8,FALSE))</f>
        <v>154791</v>
      </c>
      <c r="M31" s="67">
        <f t="shared" si="0"/>
        <v>5.9594594594594595E-3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hidden="1" customHeight="1">
      <c r="A32" s="2">
        <f>input_1!A$2</f>
        <v>3121</v>
      </c>
      <c r="B32" s="7" t="str">
        <f t="shared" si="1"/>
        <v>Premium3</v>
      </c>
      <c r="C32" s="7" t="str">
        <f t="shared" si="2"/>
        <v>Premium</v>
      </c>
      <c r="D32" s="6">
        <v>156</v>
      </c>
      <c r="E32" s="7" t="str">
        <f>VLOOKUP(D32,[1]characters!$A:$C,3,FALSE)</f>
        <v>踊り子 エレナ</v>
      </c>
      <c r="F32" s="7" t="str">
        <f>VLOOKUP(D32,[1]characters!$A:$J,10,FALSE)</f>
        <v>PremiumW</v>
      </c>
      <c r="G32" s="7">
        <f>VLOOKUP(D32,[1]characters!$A:$I,9,FALSE)</f>
        <v>3</v>
      </c>
      <c r="H32" s="7" t="str">
        <f>VLOOKUP(D32,[1]characters!$A:$H,8,FALSE)</f>
        <v>yellow</v>
      </c>
      <c r="I32" s="7" t="str">
        <f>VLOOKUP(D32,[1]characters!$A:$K,11,FALSE)</f>
        <v>heal</v>
      </c>
      <c r="J32" s="7" t="str">
        <f>VLOOKUP(D32,[1]characters!$A:$M,13,FALSE)</f>
        <v>human</v>
      </c>
      <c r="K32" s="7" t="str">
        <f>VLOOKUP(D32,[1]characters!$A:$G,7,FALSE)</f>
        <v>女性</v>
      </c>
      <c r="L32" s="66">
        <f>IFERROR(VLOOKUP(D32,input_1!L:R,7,FALSE),VLOOKUP(tables_1!B32,input_1!A:H,8,FALSE))</f>
        <v>175500</v>
      </c>
      <c r="M32" s="67">
        <f t="shared" si="0"/>
        <v>6.7567567567567571E-3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hidden="1" customHeight="1">
      <c r="A33" s="2">
        <f>input_1!A$2</f>
        <v>3121</v>
      </c>
      <c r="B33" s="7" t="str">
        <f t="shared" si="1"/>
        <v>Premium4</v>
      </c>
      <c r="C33" s="7" t="str">
        <f t="shared" si="2"/>
        <v>Premium</v>
      </c>
      <c r="D33" s="6">
        <v>157</v>
      </c>
      <c r="E33" s="7" t="str">
        <f>VLOOKUP(D33,[1]characters!$A:$C,3,FALSE)</f>
        <v>雷光舞姫 エレナ</v>
      </c>
      <c r="F33" s="7" t="str">
        <f>VLOOKUP(D33,[1]characters!$A:$J,10,FALSE)</f>
        <v>PremiumW</v>
      </c>
      <c r="G33" s="7">
        <f>VLOOKUP(D33,[1]characters!$A:$I,9,FALSE)</f>
        <v>4</v>
      </c>
      <c r="H33" s="7" t="str">
        <f>VLOOKUP(D33,[1]characters!$A:$H,8,FALSE)</f>
        <v>yellow</v>
      </c>
      <c r="I33" s="7" t="str">
        <f>VLOOKUP(D33,[1]characters!$A:$K,11,FALSE)</f>
        <v>heal</v>
      </c>
      <c r="J33" s="7" t="str">
        <f>VLOOKUP(D33,[1]characters!$A:$M,13,FALSE)</f>
        <v>human</v>
      </c>
      <c r="K33" s="7" t="str">
        <f>VLOOKUP(D33,[1]characters!$A:$G,7,FALSE)</f>
        <v>女性</v>
      </c>
      <c r="L33" s="66">
        <f>IFERROR(VLOOKUP(D33,input_1!L:R,7,FALSE),VLOOKUP(tables_1!B33,input_1!A:H,8,FALSE))</f>
        <v>154791</v>
      </c>
      <c r="M33" s="67">
        <f t="shared" si="0"/>
        <v>5.9594594594594595E-3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hidden="1" customHeight="1">
      <c r="A34" s="2">
        <f>input_1!A$2</f>
        <v>3121</v>
      </c>
      <c r="B34" s="7" t="str">
        <f t="shared" si="1"/>
        <v>Premium3</v>
      </c>
      <c r="C34" s="7" t="str">
        <f t="shared" si="2"/>
        <v>Premium</v>
      </c>
      <c r="D34" s="6">
        <v>158</v>
      </c>
      <c r="E34" s="7" t="str">
        <f>VLOOKUP(D34,[1]characters!$A:$C,3,FALSE)</f>
        <v>シスター シャルロッテ</v>
      </c>
      <c r="F34" s="7" t="str">
        <f>VLOOKUP(D34,[1]characters!$A:$J,10,FALSE)</f>
        <v>PremiumW</v>
      </c>
      <c r="G34" s="7">
        <f>VLOOKUP(D34,[1]characters!$A:$I,9,FALSE)</f>
        <v>3</v>
      </c>
      <c r="H34" s="7" t="str">
        <f>VLOOKUP(D34,[1]characters!$A:$H,8,FALSE)</f>
        <v>red</v>
      </c>
      <c r="I34" s="7" t="str">
        <f>VLOOKUP(D34,[1]characters!$A:$K,11,FALSE)</f>
        <v>heal</v>
      </c>
      <c r="J34" s="7" t="str">
        <f>VLOOKUP(D34,[1]characters!$A:$M,13,FALSE)</f>
        <v>human</v>
      </c>
      <c r="K34" s="7" t="str">
        <f>VLOOKUP(D34,[1]characters!$A:$G,7,FALSE)</f>
        <v>女性</v>
      </c>
      <c r="L34" s="66">
        <f>IFERROR(VLOOKUP(D34,input_1!L:R,7,FALSE),VLOOKUP(tables_1!B34,input_1!A:H,8,FALSE))</f>
        <v>175500</v>
      </c>
      <c r="M34" s="67">
        <f t="shared" si="0"/>
        <v>6.7567567567567571E-3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hidden="1" customHeight="1">
      <c r="A35" s="2">
        <f>input_1!A$2</f>
        <v>3121</v>
      </c>
      <c r="B35" s="7" t="str">
        <f t="shared" si="1"/>
        <v>Premium4</v>
      </c>
      <c r="C35" s="7" t="str">
        <f t="shared" si="2"/>
        <v>Premium</v>
      </c>
      <c r="D35" s="6">
        <v>159</v>
      </c>
      <c r="E35" s="7" t="str">
        <f>VLOOKUP(D35,[1]characters!$A:$C,3,FALSE)</f>
        <v>邪を狩りし者 シャルロッテ</v>
      </c>
      <c r="F35" s="7" t="str">
        <f>VLOOKUP(D35,[1]characters!$A:$J,10,FALSE)</f>
        <v>PremiumW</v>
      </c>
      <c r="G35" s="7">
        <f>VLOOKUP(D35,[1]characters!$A:$I,9,FALSE)</f>
        <v>4</v>
      </c>
      <c r="H35" s="7" t="str">
        <f>VLOOKUP(D35,[1]characters!$A:$H,8,FALSE)</f>
        <v>red</v>
      </c>
      <c r="I35" s="7" t="str">
        <f>VLOOKUP(D35,[1]characters!$A:$K,11,FALSE)</f>
        <v>heal</v>
      </c>
      <c r="J35" s="7" t="str">
        <f>VLOOKUP(D35,[1]characters!$A:$M,13,FALSE)</f>
        <v>human</v>
      </c>
      <c r="K35" s="7" t="str">
        <f>VLOOKUP(D35,[1]characters!$A:$G,7,FALSE)</f>
        <v>女性</v>
      </c>
      <c r="L35" s="66">
        <f>IFERROR(VLOOKUP(D35,input_1!L:R,7,FALSE),VLOOKUP(tables_1!B35,input_1!A:H,8,FALSE))</f>
        <v>154791</v>
      </c>
      <c r="M35" s="67">
        <f t="shared" si="0"/>
        <v>5.9594594594594595E-3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hidden="1" customHeight="1">
      <c r="A36" s="2">
        <f>input_1!A$2</f>
        <v>3121</v>
      </c>
      <c r="B36" s="7" t="str">
        <f t="shared" si="1"/>
        <v>Premium3</v>
      </c>
      <c r="C36" s="7" t="str">
        <f t="shared" si="2"/>
        <v>Premium</v>
      </c>
      <c r="D36" s="6">
        <v>160</v>
      </c>
      <c r="E36" s="7" t="str">
        <f>VLOOKUP(D36,[1]characters!$A:$C,3,FALSE)</f>
        <v>反逆者 クリエ</v>
      </c>
      <c r="F36" s="7" t="str">
        <f>VLOOKUP(D36,[1]characters!$A:$J,10,FALSE)</f>
        <v>PremiumW</v>
      </c>
      <c r="G36" s="7">
        <f>VLOOKUP(D36,[1]characters!$A:$I,9,FALSE)</f>
        <v>3</v>
      </c>
      <c r="H36" s="7" t="str">
        <f>VLOOKUP(D36,[1]characters!$A:$H,8,FALSE)</f>
        <v>green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66">
        <f>IFERROR(VLOOKUP(D36,input_1!L:R,7,FALSE),VLOOKUP(tables_1!B36,input_1!A:H,8,FALSE))</f>
        <v>175500</v>
      </c>
      <c r="M36" s="67">
        <f t="shared" si="0"/>
        <v>6.7567567567567571E-3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hidden="1" customHeight="1">
      <c r="A37" s="2">
        <f>input_1!A$2</f>
        <v>3121</v>
      </c>
      <c r="B37" s="7" t="str">
        <f t="shared" si="1"/>
        <v>Premium4</v>
      </c>
      <c r="C37" s="7" t="str">
        <f t="shared" si="2"/>
        <v>Premium</v>
      </c>
      <c r="D37" s="6">
        <v>161</v>
      </c>
      <c r="E37" s="7" t="str">
        <f>VLOOKUP(D37,[1]characters!$A:$C,3,FALSE)</f>
        <v>咆哮の先導者 クリエ</v>
      </c>
      <c r="F37" s="7" t="str">
        <f>VLOOKUP(D37,[1]characters!$A:$J,10,FALSE)</f>
        <v>PremiumW</v>
      </c>
      <c r="G37" s="7">
        <f>VLOOKUP(D37,[1]characters!$A:$I,9,FALSE)</f>
        <v>4</v>
      </c>
      <c r="H37" s="7" t="str">
        <f>VLOOKUP(D37,[1]characters!$A:$H,8,FALSE)</f>
        <v>green</v>
      </c>
      <c r="I37" s="7" t="str">
        <f>VLOOKUP(D37,[1]characters!$A:$K,11,FALSE)</f>
        <v>balance</v>
      </c>
      <c r="J37" s="7" t="str">
        <f>VLOOKUP(D37,[1]characters!$A:$M,13,FALSE)</f>
        <v>human</v>
      </c>
      <c r="K37" s="7" t="str">
        <f>VLOOKUP(D37,[1]characters!$A:$G,7,FALSE)</f>
        <v>女性</v>
      </c>
      <c r="L37" s="66">
        <f>IFERROR(VLOOKUP(D37,input_1!L:R,7,FALSE),VLOOKUP(tables_1!B37,input_1!A:H,8,FALSE))</f>
        <v>154791</v>
      </c>
      <c r="M37" s="67">
        <f t="shared" si="0"/>
        <v>5.9594594594594595E-3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hidden="1" customHeight="1">
      <c r="A38" s="2">
        <f>input_1!A$2</f>
        <v>3121</v>
      </c>
      <c r="B38" s="7" t="str">
        <f t="shared" si="1"/>
        <v>Premium3</v>
      </c>
      <c r="C38" s="7" t="str">
        <f t="shared" si="2"/>
        <v>Premium</v>
      </c>
      <c r="D38" s="6">
        <v>162</v>
      </c>
      <c r="E38" s="7" t="str">
        <f>VLOOKUP(D38,[1]characters!$A:$C,3,FALSE)</f>
        <v>狂女 クララ</v>
      </c>
      <c r="F38" s="7" t="str">
        <f>VLOOKUP(D38,[1]characters!$A:$J,10,FALSE)</f>
        <v>PremiumW</v>
      </c>
      <c r="G38" s="7">
        <f>VLOOKUP(D38,[1]characters!$A:$I,9,FALSE)</f>
        <v>3</v>
      </c>
      <c r="H38" s="7" t="str">
        <f>VLOOKUP(D38,[1]characters!$A:$H,8,FALSE)</f>
        <v>blue</v>
      </c>
      <c r="I38" s="7" t="str">
        <f>VLOOKUP(D38,[1]characters!$A:$K,11,FALSE)</f>
        <v>attack</v>
      </c>
      <c r="J38" s="7" t="str">
        <f>VLOOKUP(D38,[1]characters!$A:$M,13,FALSE)</f>
        <v>human</v>
      </c>
      <c r="K38" s="7" t="str">
        <f>VLOOKUP(D38,[1]characters!$A:$G,7,FALSE)</f>
        <v>女性</v>
      </c>
      <c r="L38" s="66">
        <f>IFERROR(VLOOKUP(D38,input_1!L:R,7,FALSE),VLOOKUP(tables_1!B38,input_1!A:H,8,FALSE))</f>
        <v>175500</v>
      </c>
      <c r="M38" s="67">
        <f t="shared" si="0"/>
        <v>6.7567567567567571E-3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hidden="1" customHeight="1">
      <c r="A39" s="2">
        <f>input_1!A$2</f>
        <v>3121</v>
      </c>
      <c r="B39" s="7" t="str">
        <f t="shared" si="1"/>
        <v>Premium4</v>
      </c>
      <c r="C39" s="7" t="str">
        <f t="shared" si="2"/>
        <v>Premium</v>
      </c>
      <c r="D39" s="6">
        <v>163</v>
      </c>
      <c r="E39" s="7" t="str">
        <f>VLOOKUP(D39,[1]characters!$A:$C,3,FALSE)</f>
        <v>冷酷な狂嬢 クララ</v>
      </c>
      <c r="F39" s="7" t="str">
        <f>VLOOKUP(D39,[1]characters!$A:$J,10,FALSE)</f>
        <v>PremiumW</v>
      </c>
      <c r="G39" s="7">
        <f>VLOOKUP(D39,[1]characters!$A:$I,9,FALSE)</f>
        <v>4</v>
      </c>
      <c r="H39" s="7" t="str">
        <f>VLOOKUP(D39,[1]characters!$A:$H,8,FALSE)</f>
        <v>blue</v>
      </c>
      <c r="I39" s="7" t="str">
        <f>VLOOKUP(D39,[1]characters!$A:$K,11,FALSE)</f>
        <v>attack</v>
      </c>
      <c r="J39" s="7" t="str">
        <f>VLOOKUP(D39,[1]characters!$A:$M,13,FALSE)</f>
        <v>human</v>
      </c>
      <c r="K39" s="7" t="str">
        <f>VLOOKUP(D39,[1]characters!$A:$G,7,FALSE)</f>
        <v>女性</v>
      </c>
      <c r="L39" s="66">
        <f>IFERROR(VLOOKUP(D39,input_1!L:R,7,FALSE),VLOOKUP(tables_1!B39,input_1!A:H,8,FALSE))</f>
        <v>154791</v>
      </c>
      <c r="M39" s="67">
        <f t="shared" si="0"/>
        <v>5.9594594594594595E-3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hidden="1" customHeight="1">
      <c r="A40" s="2">
        <f>input_1!A$2</f>
        <v>3121</v>
      </c>
      <c r="B40" s="7" t="str">
        <f t="shared" si="1"/>
        <v>Premium3</v>
      </c>
      <c r="C40" s="7" t="str">
        <f t="shared" si="2"/>
        <v>Premium</v>
      </c>
      <c r="D40" s="6">
        <v>164</v>
      </c>
      <c r="E40" s="7" t="str">
        <f>VLOOKUP(D40,[1]characters!$A:$C,3,FALSE)</f>
        <v>イブとトモダチ</v>
      </c>
      <c r="F40" s="7" t="str">
        <f>VLOOKUP(D40,[1]characters!$A:$J,10,FALSE)</f>
        <v>PremiumW</v>
      </c>
      <c r="G40" s="7">
        <f>VLOOKUP(D40,[1]characters!$A:$I,9,FALSE)</f>
        <v>3</v>
      </c>
      <c r="H40" s="7" t="str">
        <f>VLOOKUP(D40,[1]characters!$A:$H,8,FALSE)</f>
        <v>yellow</v>
      </c>
      <c r="I40" s="7" t="str">
        <f>VLOOKUP(D40,[1]characters!$A:$K,11,FALSE)</f>
        <v>technical</v>
      </c>
      <c r="J40" s="7" t="str">
        <f>VLOOKUP(D40,[1]characters!$A:$M,13,FALSE)</f>
        <v>human</v>
      </c>
      <c r="K40" s="7" t="str">
        <f>VLOOKUP(D40,[1]characters!$A:$G,7,FALSE)</f>
        <v>女性</v>
      </c>
      <c r="L40" s="66">
        <f>IFERROR(VLOOKUP(D40,input_1!L:R,7,FALSE),VLOOKUP(tables_1!B40,input_1!A:H,8,FALSE))</f>
        <v>175500</v>
      </c>
      <c r="M40" s="67">
        <f t="shared" si="0"/>
        <v>6.7567567567567571E-3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hidden="1" customHeight="1">
      <c r="A41" s="2">
        <f>input_1!A$2</f>
        <v>3121</v>
      </c>
      <c r="B41" s="7" t="str">
        <f t="shared" si="1"/>
        <v>Premium4</v>
      </c>
      <c r="C41" s="7" t="str">
        <f t="shared" si="2"/>
        <v>Premium</v>
      </c>
      <c r="D41" s="6">
        <v>165</v>
      </c>
      <c r="E41" s="7" t="str">
        <f>VLOOKUP(D41,[1]characters!$A:$C,3,FALSE)</f>
        <v>イブとたったひとりのトモダチ</v>
      </c>
      <c r="F41" s="7" t="str">
        <f>VLOOKUP(D41,[1]characters!$A:$J,10,FALSE)</f>
        <v>PremiumW</v>
      </c>
      <c r="G41" s="7">
        <f>VLOOKUP(D41,[1]characters!$A:$I,9,FALSE)</f>
        <v>4</v>
      </c>
      <c r="H41" s="7" t="str">
        <f>VLOOKUP(D41,[1]characters!$A:$H,8,FALSE)</f>
        <v>yellow</v>
      </c>
      <c r="I41" s="7" t="str">
        <f>VLOOKUP(D41,[1]characters!$A:$K,11,FALSE)</f>
        <v>technical</v>
      </c>
      <c r="J41" s="7" t="str">
        <f>VLOOKUP(D41,[1]characters!$A:$M,13,FALSE)</f>
        <v>human</v>
      </c>
      <c r="K41" s="7" t="str">
        <f>VLOOKUP(D41,[1]characters!$A:$G,7,FALSE)</f>
        <v>女性</v>
      </c>
      <c r="L41" s="66">
        <f>IFERROR(VLOOKUP(D41,input_1!L:R,7,FALSE),VLOOKUP(tables_1!B41,input_1!A:H,8,FALSE))</f>
        <v>154791</v>
      </c>
      <c r="M41" s="67">
        <f t="shared" si="0"/>
        <v>5.9594594594594595E-3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hidden="1" customHeight="1">
      <c r="A42" s="2">
        <f>input_1!A$2</f>
        <v>3121</v>
      </c>
      <c r="B42" s="7" t="str">
        <f t="shared" si="1"/>
        <v>Premium3</v>
      </c>
      <c r="C42" s="7" t="str">
        <f t="shared" si="2"/>
        <v>Premium</v>
      </c>
      <c r="D42" s="6">
        <v>166</v>
      </c>
      <c r="E42" s="7" t="str">
        <f>VLOOKUP(D42,[1]characters!$A:$C,3,FALSE)</f>
        <v>ベリアル</v>
      </c>
      <c r="F42" s="7" t="str">
        <f>VLOOKUP(D42,[1]characters!$A:$J,10,FALSE)</f>
        <v>PremiumN</v>
      </c>
      <c r="G42" s="7">
        <f>VLOOKUP(D42,[1]characters!$A:$I,9,FALSE)</f>
        <v>3</v>
      </c>
      <c r="H42" s="7" t="str">
        <f>VLOOKUP(D42,[1]characters!$A:$H,8,FALSE)</f>
        <v>red</v>
      </c>
      <c r="I42" s="7" t="str">
        <f>VLOOKUP(D42,[1]characters!$A:$K,11,FALSE)</f>
        <v>attack</v>
      </c>
      <c r="J42" s="7" t="str">
        <f>VLOOKUP(D42,[1]characters!$A:$M,13,FALSE)</f>
        <v>god</v>
      </c>
      <c r="K42" s="7" t="str">
        <f>VLOOKUP(D42,[1]characters!$A:$G,7,FALSE)</f>
        <v>男性</v>
      </c>
      <c r="L42" s="66">
        <f>IFERROR(VLOOKUP(D42,input_1!L:R,7,FALSE),VLOOKUP(tables_1!B42,input_1!A:H,8,FALSE))</f>
        <v>175500</v>
      </c>
      <c r="M42" s="67">
        <f t="shared" si="0"/>
        <v>6.7567567567567571E-3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hidden="1" customHeight="1">
      <c r="A43" s="2">
        <f>input_1!A$2</f>
        <v>3121</v>
      </c>
      <c r="B43" s="7" t="str">
        <f t="shared" si="1"/>
        <v>Premium4</v>
      </c>
      <c r="C43" s="7" t="str">
        <f t="shared" si="2"/>
        <v>Premium</v>
      </c>
      <c r="D43" s="6">
        <v>167</v>
      </c>
      <c r="E43" s="7" t="str">
        <f>VLOOKUP(D43,[1]characters!$A:$C,3,FALSE)</f>
        <v>逆徒 ベリアル</v>
      </c>
      <c r="F43" s="7" t="str">
        <f>VLOOKUP(D43,[1]characters!$A:$J,10,FALSE)</f>
        <v>PremiumN</v>
      </c>
      <c r="G43" s="7">
        <f>VLOOKUP(D43,[1]characters!$A:$I,9,FALSE)</f>
        <v>4</v>
      </c>
      <c r="H43" s="7" t="str">
        <f>VLOOKUP(D43,[1]characters!$A:$H,8,FALSE)</f>
        <v>red</v>
      </c>
      <c r="I43" s="7" t="str">
        <f>VLOOKUP(D43,[1]characters!$A:$K,11,FALSE)</f>
        <v>attack</v>
      </c>
      <c r="J43" s="7" t="str">
        <f>VLOOKUP(D43,[1]characters!$A:$M,13,FALSE)</f>
        <v>god</v>
      </c>
      <c r="K43" s="7" t="str">
        <f>VLOOKUP(D43,[1]characters!$A:$G,7,FALSE)</f>
        <v>男性</v>
      </c>
      <c r="L43" s="66">
        <f>IFERROR(VLOOKUP(D43,input_1!L:R,7,FALSE),VLOOKUP(tables_1!B43,input_1!A:H,8,FALSE))</f>
        <v>154791</v>
      </c>
      <c r="M43" s="67">
        <f t="shared" si="0"/>
        <v>5.9594594594594595E-3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hidden="1" customHeight="1">
      <c r="A44" s="2">
        <f>input_1!A$2</f>
        <v>3121</v>
      </c>
      <c r="B44" s="7" t="str">
        <f t="shared" si="1"/>
        <v>Premium5</v>
      </c>
      <c r="C44" s="7" t="str">
        <f t="shared" si="2"/>
        <v>Premium</v>
      </c>
      <c r="D44" s="6">
        <v>168</v>
      </c>
      <c r="E44" s="7" t="str">
        <f>VLOOKUP(D44,[1]characters!$A:$C,3,FALSE)</f>
        <v>猛進の大逆者 ベリアル</v>
      </c>
      <c r="F44" s="7" t="str">
        <f>VLOOKUP(D44,[1]characters!$A:$J,10,FALSE)</f>
        <v>PremiumN</v>
      </c>
      <c r="G44" s="7">
        <f>VLOOKUP(D44,[1]characters!$A:$I,9,FALSE)</f>
        <v>5</v>
      </c>
      <c r="H44" s="7" t="str">
        <f>VLOOKUP(D44,[1]characters!$A:$H,8,FALSE)</f>
        <v>red</v>
      </c>
      <c r="I44" s="7" t="str">
        <f>VLOOKUP(D44,[1]characters!$A:$K,11,FALSE)</f>
        <v>attack</v>
      </c>
      <c r="J44" s="7" t="str">
        <f>VLOOKUP(D44,[1]characters!$A:$M,13,FALSE)</f>
        <v>god</v>
      </c>
      <c r="K44" s="7" t="str">
        <f>VLOOKUP(D44,[1]characters!$A:$G,7,FALSE)</f>
        <v>男性</v>
      </c>
      <c r="L44" s="66">
        <f>IFERROR(VLOOKUP(D44,input_1!L:R,7,FALSE),VLOOKUP(tables_1!B44,input_1!A:H,8,FALSE))</f>
        <v>23569</v>
      </c>
      <c r="M44" s="67">
        <f t="shared" si="0"/>
        <v>9.0740740740740745E-4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hidden="1" customHeight="1">
      <c r="A45" s="2">
        <f>input_1!A$2</f>
        <v>3121</v>
      </c>
      <c r="B45" s="7" t="str">
        <f t="shared" si="1"/>
        <v>Premium3</v>
      </c>
      <c r="C45" s="7" t="str">
        <f t="shared" si="2"/>
        <v>Premium</v>
      </c>
      <c r="D45" s="6">
        <v>169</v>
      </c>
      <c r="E45" s="7" t="str">
        <f>VLOOKUP(D45,[1]characters!$A:$C,3,FALSE)</f>
        <v>オセ</v>
      </c>
      <c r="F45" s="7" t="str">
        <f>VLOOKUP(D45,[1]characters!$A:$J,10,FALSE)</f>
        <v>PremiumN</v>
      </c>
      <c r="G45" s="7">
        <f>VLOOKUP(D45,[1]characters!$A:$I,9,FALSE)</f>
        <v>3</v>
      </c>
      <c r="H45" s="7" t="str">
        <f>VLOOKUP(D45,[1]characters!$A:$H,8,FALSE)</f>
        <v>green</v>
      </c>
      <c r="I45" s="7" t="str">
        <f>VLOOKUP(D45,[1]characters!$A:$K,11,FALSE)</f>
        <v>attack</v>
      </c>
      <c r="J45" s="7" t="str">
        <f>VLOOKUP(D45,[1]characters!$A:$M,13,FALSE)</f>
        <v>god</v>
      </c>
      <c r="K45" s="7" t="str">
        <f>VLOOKUP(D45,[1]characters!$A:$G,7,FALSE)</f>
        <v>女性</v>
      </c>
      <c r="L45" s="66">
        <f>IFERROR(VLOOKUP(D45,input_1!L:R,7,FALSE),VLOOKUP(tables_1!B45,input_1!A:H,8,FALSE))</f>
        <v>175500</v>
      </c>
      <c r="M45" s="67">
        <f t="shared" si="0"/>
        <v>6.7567567567567571E-3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hidden="1" customHeight="1">
      <c r="A46" s="2">
        <f>input_1!A$2</f>
        <v>3121</v>
      </c>
      <c r="B46" s="7" t="str">
        <f t="shared" si="1"/>
        <v>Premium4</v>
      </c>
      <c r="C46" s="7" t="str">
        <f t="shared" si="2"/>
        <v>Premium</v>
      </c>
      <c r="D46" s="6">
        <v>170</v>
      </c>
      <c r="E46" s="7" t="str">
        <f>VLOOKUP(D46,[1]characters!$A:$C,3,FALSE)</f>
        <v>識徒 オセ</v>
      </c>
      <c r="F46" s="7" t="str">
        <f>VLOOKUP(D46,[1]characters!$A:$J,10,FALSE)</f>
        <v>PremiumN</v>
      </c>
      <c r="G46" s="7">
        <f>VLOOKUP(D46,[1]characters!$A:$I,9,FALSE)</f>
        <v>4</v>
      </c>
      <c r="H46" s="7" t="str">
        <f>VLOOKUP(D46,[1]characters!$A:$H,8,FALSE)</f>
        <v>green</v>
      </c>
      <c r="I46" s="7" t="str">
        <f>VLOOKUP(D46,[1]characters!$A:$K,11,FALSE)</f>
        <v>attack</v>
      </c>
      <c r="J46" s="7" t="str">
        <f>VLOOKUP(D46,[1]characters!$A:$M,13,FALSE)</f>
        <v>god</v>
      </c>
      <c r="K46" s="7" t="str">
        <f>VLOOKUP(D46,[1]characters!$A:$G,7,FALSE)</f>
        <v>女性</v>
      </c>
      <c r="L46" s="66">
        <f>IFERROR(VLOOKUP(D46,input_1!L:R,7,FALSE),VLOOKUP(tables_1!B46,input_1!A:H,8,FALSE))</f>
        <v>154791</v>
      </c>
      <c r="M46" s="67">
        <f t="shared" si="0"/>
        <v>5.9594594594594595E-3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hidden="1" customHeight="1">
      <c r="A47" s="2">
        <f>input_1!A$2</f>
        <v>3121</v>
      </c>
      <c r="B47" s="7" t="str">
        <f t="shared" si="1"/>
        <v>Premium5</v>
      </c>
      <c r="C47" s="7" t="str">
        <f t="shared" si="2"/>
        <v>Premium</v>
      </c>
      <c r="D47" s="6">
        <v>171</v>
      </c>
      <c r="E47" s="7" t="str">
        <f>VLOOKUP(D47,[1]characters!$A:$C,3,FALSE)</f>
        <v>精解の預知者 オセ</v>
      </c>
      <c r="F47" s="7" t="str">
        <f>VLOOKUP(D47,[1]characters!$A:$J,10,FALSE)</f>
        <v>PremiumN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attack</v>
      </c>
      <c r="J47" s="7" t="str">
        <f>VLOOKUP(D47,[1]characters!$A:$M,13,FALSE)</f>
        <v>god</v>
      </c>
      <c r="K47" s="7" t="str">
        <f>VLOOKUP(D47,[1]characters!$A:$G,7,FALSE)</f>
        <v>女性</v>
      </c>
      <c r="L47" s="66">
        <f>IFERROR(VLOOKUP(D47,input_1!L:R,7,FALSE),VLOOKUP(tables_1!B47,input_1!A:H,8,FALSE))</f>
        <v>23569</v>
      </c>
      <c r="M47" s="67">
        <f t="shared" si="0"/>
        <v>9.0740740740740745E-4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hidden="1" customHeight="1">
      <c r="A48" s="2">
        <f>input_1!A$2</f>
        <v>3121</v>
      </c>
      <c r="B48" s="7" t="str">
        <f t="shared" si="1"/>
        <v>Premium3</v>
      </c>
      <c r="C48" s="7" t="str">
        <f t="shared" si="2"/>
        <v>Premium</v>
      </c>
      <c r="D48" s="6">
        <v>172</v>
      </c>
      <c r="E48" s="7" t="str">
        <f>VLOOKUP(D48,[1]characters!$A:$C,3,FALSE)</f>
        <v>フォルネウス</v>
      </c>
      <c r="F48" s="7" t="str">
        <f>VLOOKUP(D48,[1]characters!$A:$J,10,FALSE)</f>
        <v>PremiumN</v>
      </c>
      <c r="G48" s="7">
        <f>VLOOKUP(D48,[1]characters!$A:$I,9,FALSE)</f>
        <v>3</v>
      </c>
      <c r="H48" s="7" t="str">
        <f>VLOOKUP(D48,[1]characters!$A:$H,8,FALSE)</f>
        <v>blue</v>
      </c>
      <c r="I48" s="7" t="str">
        <f>VLOOKUP(D48,[1]characters!$A:$K,11,FALSE)</f>
        <v>attack</v>
      </c>
      <c r="J48" s="7" t="str">
        <f>VLOOKUP(D48,[1]characters!$A:$M,13,FALSE)</f>
        <v>god</v>
      </c>
      <c r="K48" s="7" t="str">
        <f>VLOOKUP(D48,[1]characters!$A:$G,7,FALSE)</f>
        <v>女性</v>
      </c>
      <c r="L48" s="66">
        <f>IFERROR(VLOOKUP(D48,input_1!L:R,7,FALSE),VLOOKUP(tables_1!B48,input_1!A:H,8,FALSE))</f>
        <v>175500</v>
      </c>
      <c r="M48" s="67">
        <f t="shared" si="0"/>
        <v>6.7567567567567571E-3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hidden="1" customHeight="1">
      <c r="A49" s="2">
        <f>input_1!A$2</f>
        <v>3121</v>
      </c>
      <c r="B49" s="7" t="str">
        <f t="shared" si="1"/>
        <v>Premium4</v>
      </c>
      <c r="C49" s="7" t="str">
        <f t="shared" si="2"/>
        <v>Premium</v>
      </c>
      <c r="D49" s="6">
        <v>173</v>
      </c>
      <c r="E49" s="7" t="str">
        <f>VLOOKUP(D49,[1]characters!$A:$C,3,FALSE)</f>
        <v>公爵 フォルネウス</v>
      </c>
      <c r="F49" s="7" t="str">
        <f>VLOOKUP(D49,[1]characters!$A:$J,10,FALSE)</f>
        <v>PremiumN</v>
      </c>
      <c r="G49" s="7">
        <f>VLOOKUP(D49,[1]characters!$A:$I,9,FALSE)</f>
        <v>4</v>
      </c>
      <c r="H49" s="7" t="str">
        <f>VLOOKUP(D49,[1]characters!$A:$H,8,FALSE)</f>
        <v>blue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女性</v>
      </c>
      <c r="L49" s="66">
        <f>IFERROR(VLOOKUP(D49,input_1!L:R,7,FALSE),VLOOKUP(tables_1!B49,input_1!A:H,8,FALSE))</f>
        <v>154791</v>
      </c>
      <c r="M49" s="67">
        <f t="shared" si="0"/>
        <v>5.9594594594594595E-3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hidden="1" customHeight="1">
      <c r="A50" s="2">
        <f>input_1!A$2</f>
        <v>3121</v>
      </c>
      <c r="B50" s="7" t="str">
        <f t="shared" si="1"/>
        <v>Premium5</v>
      </c>
      <c r="C50" s="7" t="str">
        <f t="shared" si="2"/>
        <v>Premium</v>
      </c>
      <c r="D50" s="6">
        <v>174</v>
      </c>
      <c r="E50" s="7" t="str">
        <f>VLOOKUP(D50,[1]characters!$A:$C,3,FALSE)</f>
        <v>偽愛の大公爵 フォルネウス</v>
      </c>
      <c r="F50" s="7" t="str">
        <f>VLOOKUP(D50,[1]characters!$A:$J,10,FALSE)</f>
        <v>PremiumN</v>
      </c>
      <c r="G50" s="7">
        <f>VLOOKUP(D50,[1]characters!$A:$I,9,FALSE)</f>
        <v>5</v>
      </c>
      <c r="H50" s="7" t="str">
        <f>VLOOKUP(D50,[1]characters!$A:$H,8,FALSE)</f>
        <v>blue</v>
      </c>
      <c r="I50" s="7" t="str">
        <f>VLOOKUP(D50,[1]characters!$A:$K,11,FALSE)</f>
        <v>attack</v>
      </c>
      <c r="J50" s="7" t="str">
        <f>VLOOKUP(D50,[1]characters!$A:$M,13,FALSE)</f>
        <v>god</v>
      </c>
      <c r="K50" s="7" t="str">
        <f>VLOOKUP(D50,[1]characters!$A:$G,7,FALSE)</f>
        <v>女性</v>
      </c>
      <c r="L50" s="66">
        <f>IFERROR(VLOOKUP(D50,input_1!L:R,7,FALSE),VLOOKUP(tables_1!B50,input_1!A:H,8,FALSE))</f>
        <v>23569</v>
      </c>
      <c r="M50" s="67">
        <f t="shared" si="0"/>
        <v>9.0740740740740745E-4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hidden="1" customHeight="1">
      <c r="A51" s="2">
        <f>input_1!A$2</f>
        <v>3121</v>
      </c>
      <c r="B51" s="7" t="str">
        <f t="shared" si="1"/>
        <v>Premium3</v>
      </c>
      <c r="C51" s="7" t="str">
        <f t="shared" si="2"/>
        <v>Premium</v>
      </c>
      <c r="D51" s="6">
        <v>175</v>
      </c>
      <c r="E51" s="7" t="str">
        <f>VLOOKUP(D51,[1]characters!$A:$C,3,FALSE)</f>
        <v>バフォメット</v>
      </c>
      <c r="F51" s="7" t="str">
        <f>VLOOKUP(D51,[1]characters!$A:$J,10,FALSE)</f>
        <v>PremiumN</v>
      </c>
      <c r="G51" s="7">
        <f>VLOOKUP(D51,[1]characters!$A:$I,9,FALSE)</f>
        <v>3</v>
      </c>
      <c r="H51" s="7" t="str">
        <f>VLOOKUP(D51,[1]characters!$A:$H,8,FALSE)</f>
        <v>yellow</v>
      </c>
      <c r="I51" s="7" t="str">
        <f>VLOOKUP(D51,[1]characters!$A:$K,11,FALSE)</f>
        <v>attack</v>
      </c>
      <c r="J51" s="7" t="str">
        <f>VLOOKUP(D51,[1]characters!$A:$M,13,FALSE)</f>
        <v>god</v>
      </c>
      <c r="K51" s="7" t="str">
        <f>VLOOKUP(D51,[1]characters!$A:$G,7,FALSE)</f>
        <v>女性</v>
      </c>
      <c r="L51" s="66">
        <f>IFERROR(VLOOKUP(D51,input_1!L:R,7,FALSE),VLOOKUP(tables_1!B51,input_1!A:H,8,FALSE))</f>
        <v>175500</v>
      </c>
      <c r="M51" s="67">
        <f t="shared" si="0"/>
        <v>6.7567567567567571E-3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hidden="1" customHeight="1">
      <c r="A52" s="2">
        <f>input_1!A$2</f>
        <v>3121</v>
      </c>
      <c r="B52" s="7" t="str">
        <f t="shared" si="1"/>
        <v>Premium4</v>
      </c>
      <c r="C52" s="7" t="str">
        <f t="shared" si="2"/>
        <v>Premium</v>
      </c>
      <c r="D52" s="6">
        <v>176</v>
      </c>
      <c r="E52" s="7" t="str">
        <f>VLOOKUP(D52,[1]characters!$A:$C,3,FALSE)</f>
        <v>異教徒 バフォメット</v>
      </c>
      <c r="F52" s="7" t="str">
        <f>VLOOKUP(D52,[1]characters!$A:$J,10,FALSE)</f>
        <v>PremiumN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66">
        <f>IFERROR(VLOOKUP(D52,input_1!L:R,7,FALSE),VLOOKUP(tables_1!B52,input_1!A:H,8,FALSE))</f>
        <v>154791</v>
      </c>
      <c r="M52" s="67">
        <f t="shared" si="0"/>
        <v>5.9594594594594595E-3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hidden="1" customHeight="1">
      <c r="A53" s="2">
        <f>input_1!A$2</f>
        <v>3121</v>
      </c>
      <c r="B53" s="7" t="str">
        <f t="shared" si="1"/>
        <v>Premium5</v>
      </c>
      <c r="C53" s="7" t="str">
        <f t="shared" si="2"/>
        <v>Premium</v>
      </c>
      <c r="D53" s="6">
        <v>177</v>
      </c>
      <c r="E53" s="7" t="str">
        <f>VLOOKUP(D53,[1]characters!$A:$C,3,FALSE)</f>
        <v>黒魔の異端師 バフォメット</v>
      </c>
      <c r="F53" s="7" t="str">
        <f>VLOOKUP(D53,[1]characters!$A:$J,10,FALSE)</f>
        <v>PremiumN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66">
        <f>IFERROR(VLOOKUP(D53,input_1!L:R,7,FALSE),VLOOKUP(tables_1!B53,input_1!A:H,8,FALSE))</f>
        <v>23569</v>
      </c>
      <c r="M53" s="67">
        <f t="shared" si="0"/>
        <v>9.0740740740740745E-4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hidden="1" customHeight="1">
      <c r="A54" s="2">
        <f>input_1!A$2</f>
        <v>3121</v>
      </c>
      <c r="B54" s="7" t="str">
        <f t="shared" si="1"/>
        <v>Premium3</v>
      </c>
      <c r="C54" s="7" t="str">
        <f t="shared" si="2"/>
        <v>Premium</v>
      </c>
      <c r="D54" s="6">
        <v>178</v>
      </c>
      <c r="E54" s="7" t="str">
        <f>VLOOKUP(D54,[1]characters!$A:$C,3,FALSE)</f>
        <v>ケルベロス</v>
      </c>
      <c r="F54" s="7" t="str">
        <f>VLOOKUP(D54,[1]characters!$A:$J,10,FALSE)</f>
        <v>PremiumN</v>
      </c>
      <c r="G54" s="7">
        <f>VLOOKUP(D54,[1]characters!$A:$I,9,FALSE)</f>
        <v>3</v>
      </c>
      <c r="H54" s="7" t="str">
        <f>VLOOKUP(D54,[1]characters!$A:$H,8,FALSE)</f>
        <v>red</v>
      </c>
      <c r="I54" s="7" t="str">
        <f>VLOOKUP(D54,[1]characters!$A:$K,11,FALSE)</f>
        <v>balance</v>
      </c>
      <c r="J54" s="7" t="str">
        <f>VLOOKUP(D54,[1]characters!$A:$M,13,FALSE)</f>
        <v>animal</v>
      </c>
      <c r="K54" s="7" t="str">
        <f>VLOOKUP(D54,[1]characters!$A:$G,7,FALSE)</f>
        <v>女性</v>
      </c>
      <c r="L54" s="66">
        <f>IFERROR(VLOOKUP(D54,input_1!L:R,7,FALSE),VLOOKUP(tables_1!B54,input_1!A:H,8,FALSE))</f>
        <v>175500</v>
      </c>
      <c r="M54" s="67">
        <f t="shared" si="0"/>
        <v>6.7567567567567571E-3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ht="21" hidden="1" customHeight="1">
      <c r="A55" s="2">
        <f>input_1!A$2</f>
        <v>3121</v>
      </c>
      <c r="B55" s="7" t="str">
        <f t="shared" si="1"/>
        <v>Premium4</v>
      </c>
      <c r="C55" s="7" t="str">
        <f t="shared" si="2"/>
        <v>Premium</v>
      </c>
      <c r="D55" s="6">
        <v>179</v>
      </c>
      <c r="E55" s="7" t="str">
        <f>VLOOKUP(D55,[1]characters!$A:$C,3,FALSE)</f>
        <v>番犬 ケルベロス</v>
      </c>
      <c r="F55" s="7" t="str">
        <f>VLOOKUP(D55,[1]characters!$A:$J,10,FALSE)</f>
        <v>PremiumN</v>
      </c>
      <c r="G55" s="7">
        <f>VLOOKUP(D55,[1]characters!$A:$I,9,FALSE)</f>
        <v>4</v>
      </c>
      <c r="H55" s="7" t="str">
        <f>VLOOKUP(D55,[1]characters!$A:$H,8,FALSE)</f>
        <v>red</v>
      </c>
      <c r="I55" s="7" t="str">
        <f>VLOOKUP(D55,[1]characters!$A:$K,11,FALSE)</f>
        <v>balance</v>
      </c>
      <c r="J55" s="7" t="str">
        <f>VLOOKUP(D55,[1]characters!$A:$M,13,FALSE)</f>
        <v>animal</v>
      </c>
      <c r="K55" s="7" t="str">
        <f>VLOOKUP(D55,[1]characters!$A:$G,7,FALSE)</f>
        <v>女性</v>
      </c>
      <c r="L55" s="66">
        <f>IFERROR(VLOOKUP(D55,input_1!L:R,7,FALSE),VLOOKUP(tables_1!B55,input_1!A:H,8,FALSE))</f>
        <v>154791</v>
      </c>
      <c r="M55" s="67">
        <f t="shared" si="0"/>
        <v>5.9594594594594595E-3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hidden="1" customHeight="1">
      <c r="A56" s="2">
        <f>input_1!A$2</f>
        <v>3121</v>
      </c>
      <c r="B56" s="7" t="str">
        <f t="shared" si="1"/>
        <v>Premium5</v>
      </c>
      <c r="C56" s="7" t="str">
        <f t="shared" si="2"/>
        <v>Premium</v>
      </c>
      <c r="D56" s="6">
        <v>180</v>
      </c>
      <c r="E56" s="7" t="str">
        <f>VLOOKUP(D56,[1]characters!$A:$C,3,FALSE)</f>
        <v>地獄の大門番 ケルベロス</v>
      </c>
      <c r="F56" s="7" t="str">
        <f>VLOOKUP(D56,[1]characters!$A:$J,10,FALSE)</f>
        <v>PremiumN</v>
      </c>
      <c r="G56" s="7">
        <f>VLOOKUP(D56,[1]characters!$A:$I,9,FALSE)</f>
        <v>5</v>
      </c>
      <c r="H56" s="7" t="str">
        <f>VLOOKUP(D56,[1]characters!$A:$H,8,FALSE)</f>
        <v>red</v>
      </c>
      <c r="I56" s="7" t="str">
        <f>VLOOKUP(D56,[1]characters!$A:$K,11,FALSE)</f>
        <v>balance</v>
      </c>
      <c r="J56" s="7" t="str">
        <f>VLOOKUP(D56,[1]characters!$A:$M,13,FALSE)</f>
        <v>animal</v>
      </c>
      <c r="K56" s="7" t="str">
        <f>VLOOKUP(D56,[1]characters!$A:$G,7,FALSE)</f>
        <v>女性</v>
      </c>
      <c r="L56" s="66">
        <f>IFERROR(VLOOKUP(D56,input_1!L:R,7,FALSE),VLOOKUP(tables_1!B56,input_1!A:H,8,FALSE))</f>
        <v>23569</v>
      </c>
      <c r="M56" s="67">
        <f t="shared" si="0"/>
        <v>9.0740740740740745E-4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hidden="1" customHeight="1">
      <c r="A57" s="2">
        <f>input_1!A$2</f>
        <v>3121</v>
      </c>
      <c r="B57" s="7" t="str">
        <f t="shared" si="1"/>
        <v>Premium3</v>
      </c>
      <c r="C57" s="7" t="str">
        <f t="shared" si="2"/>
        <v>Premium</v>
      </c>
      <c r="D57" s="6">
        <v>181</v>
      </c>
      <c r="E57" s="7" t="str">
        <f>VLOOKUP(D57,[1]characters!$A:$C,3,FALSE)</f>
        <v>ベヒモス</v>
      </c>
      <c r="F57" s="7" t="str">
        <f>VLOOKUP(D57,[1]characters!$A:$J,10,FALSE)</f>
        <v>PremiumN</v>
      </c>
      <c r="G57" s="7">
        <f>VLOOKUP(D57,[1]characters!$A:$I,9,FALSE)</f>
        <v>3</v>
      </c>
      <c r="H57" s="7" t="str">
        <f>VLOOKUP(D57,[1]characters!$A:$H,8,FALSE)</f>
        <v>green</v>
      </c>
      <c r="I57" s="7" t="str">
        <f>VLOOKUP(D57,[1]characters!$A:$K,11,FALSE)</f>
        <v>hp</v>
      </c>
      <c r="J57" s="7" t="str">
        <f>VLOOKUP(D57,[1]characters!$A:$M,13,FALSE)</f>
        <v>animal</v>
      </c>
      <c r="K57" s="7" t="str">
        <f>VLOOKUP(D57,[1]characters!$A:$G,7,FALSE)</f>
        <v>女性</v>
      </c>
      <c r="L57" s="66">
        <f>IFERROR(VLOOKUP(D57,input_1!L:R,7,FALSE),VLOOKUP(tables_1!B57,input_1!A:H,8,FALSE))</f>
        <v>175500</v>
      </c>
      <c r="M57" s="67">
        <f t="shared" si="0"/>
        <v>6.7567567567567571E-3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hidden="1" customHeight="1">
      <c r="A58" s="2">
        <f>input_1!A$2</f>
        <v>3121</v>
      </c>
      <c r="B58" s="7" t="str">
        <f t="shared" si="1"/>
        <v>Premium4</v>
      </c>
      <c r="C58" s="7" t="str">
        <f t="shared" si="2"/>
        <v>Premium</v>
      </c>
      <c r="D58" s="6">
        <v>182</v>
      </c>
      <c r="E58" s="7" t="str">
        <f>VLOOKUP(D58,[1]characters!$A:$C,3,FALSE)</f>
        <v>放蕩者 ベヒモス</v>
      </c>
      <c r="F58" s="7" t="str">
        <f>VLOOKUP(D58,[1]characters!$A:$J,10,FALSE)</f>
        <v>PremiumN</v>
      </c>
      <c r="G58" s="7">
        <f>VLOOKUP(D58,[1]characters!$A:$I,9,FALSE)</f>
        <v>4</v>
      </c>
      <c r="H58" s="7" t="str">
        <f>VLOOKUP(D58,[1]characters!$A:$H,8,FALSE)</f>
        <v>green</v>
      </c>
      <c r="I58" s="7" t="str">
        <f>VLOOKUP(D58,[1]characters!$A:$K,11,FALSE)</f>
        <v>hp</v>
      </c>
      <c r="J58" s="7" t="str">
        <f>VLOOKUP(D58,[1]characters!$A:$M,13,FALSE)</f>
        <v>animal</v>
      </c>
      <c r="K58" s="7" t="str">
        <f>VLOOKUP(D58,[1]characters!$A:$G,7,FALSE)</f>
        <v>女性</v>
      </c>
      <c r="L58" s="66">
        <f>IFERROR(VLOOKUP(D58,input_1!L:R,7,FALSE),VLOOKUP(tables_1!B58,input_1!A:H,8,FALSE))</f>
        <v>154791</v>
      </c>
      <c r="M58" s="67">
        <f t="shared" si="0"/>
        <v>5.9594594594594595E-3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hidden="1" customHeight="1">
      <c r="A59" s="2">
        <f>input_1!A$2</f>
        <v>3121</v>
      </c>
      <c r="B59" s="7" t="str">
        <f t="shared" si="1"/>
        <v>Premium5</v>
      </c>
      <c r="C59" s="7" t="str">
        <f t="shared" si="2"/>
        <v>Premium</v>
      </c>
      <c r="D59" s="6">
        <v>183</v>
      </c>
      <c r="E59" s="7" t="str">
        <f>VLOOKUP(D59,[1]characters!$A:$C,3,FALSE)</f>
        <v>鈍重な彷徨者 ベヒモス</v>
      </c>
      <c r="F59" s="7" t="str">
        <f>VLOOKUP(D59,[1]characters!$A:$J,10,FALSE)</f>
        <v>PremiumN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hp</v>
      </c>
      <c r="J59" s="7" t="str">
        <f>VLOOKUP(D59,[1]characters!$A:$M,13,FALSE)</f>
        <v>animal</v>
      </c>
      <c r="K59" s="7" t="str">
        <f>VLOOKUP(D59,[1]characters!$A:$G,7,FALSE)</f>
        <v>女性</v>
      </c>
      <c r="L59" s="66">
        <f>IFERROR(VLOOKUP(D59,input_1!L:R,7,FALSE),VLOOKUP(tables_1!B59,input_1!A:H,8,FALSE))</f>
        <v>23569</v>
      </c>
      <c r="M59" s="67">
        <f t="shared" si="0"/>
        <v>9.0740740740740745E-4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hidden="1" customHeight="1">
      <c r="A60" s="2">
        <f>input_1!A$2</f>
        <v>3121</v>
      </c>
      <c r="B60" s="7" t="str">
        <f t="shared" si="1"/>
        <v>Premium3</v>
      </c>
      <c r="C60" s="7" t="str">
        <f t="shared" si="2"/>
        <v>Premium</v>
      </c>
      <c r="D60" s="6">
        <v>184</v>
      </c>
      <c r="E60" s="7" t="str">
        <f>VLOOKUP(D60,[1]characters!$A:$C,3,FALSE)</f>
        <v>クラーケン</v>
      </c>
      <c r="F60" s="7" t="str">
        <f>VLOOKUP(D60,[1]characters!$A:$J,10,FALSE)</f>
        <v>PremiumN</v>
      </c>
      <c r="G60" s="7">
        <f>VLOOKUP(D60,[1]characters!$A:$I,9,FALSE)</f>
        <v>3</v>
      </c>
      <c r="H60" s="7" t="str">
        <f>VLOOKUP(D60,[1]characters!$A:$H,8,FALSE)</f>
        <v>blue</v>
      </c>
      <c r="I60" s="7" t="str">
        <f>VLOOKUP(D60,[1]characters!$A:$K,11,FALSE)</f>
        <v>heal</v>
      </c>
      <c r="J60" s="7" t="str">
        <f>VLOOKUP(D60,[1]characters!$A:$M,13,FALSE)</f>
        <v>animal</v>
      </c>
      <c r="K60" s="7" t="str">
        <f>VLOOKUP(D60,[1]characters!$A:$G,7,FALSE)</f>
        <v>女性</v>
      </c>
      <c r="L60" s="66">
        <f>IFERROR(VLOOKUP(D60,input_1!L:R,7,FALSE),VLOOKUP(tables_1!B60,input_1!A:H,8,FALSE))</f>
        <v>175500</v>
      </c>
      <c r="M60" s="67">
        <f t="shared" si="0"/>
        <v>6.7567567567567571E-3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hidden="1" customHeight="1">
      <c r="A61" s="2">
        <f>input_1!A$2</f>
        <v>3121</v>
      </c>
      <c r="B61" s="7" t="str">
        <f t="shared" si="1"/>
        <v>Premium4</v>
      </c>
      <c r="C61" s="7" t="str">
        <f t="shared" si="2"/>
        <v>Premium</v>
      </c>
      <c r="D61" s="6">
        <v>185</v>
      </c>
      <c r="E61" s="7" t="str">
        <f>VLOOKUP(D61,[1]characters!$A:$C,3,FALSE)</f>
        <v>海姫 クラーケン</v>
      </c>
      <c r="F61" s="7" t="str">
        <f>VLOOKUP(D61,[1]characters!$A:$J,10,FALSE)</f>
        <v>PremiumN</v>
      </c>
      <c r="G61" s="7">
        <f>VLOOKUP(D61,[1]characters!$A:$I,9,FALSE)</f>
        <v>4</v>
      </c>
      <c r="H61" s="7" t="str">
        <f>VLOOKUP(D61,[1]characters!$A:$H,8,FALSE)</f>
        <v>blue</v>
      </c>
      <c r="I61" s="7" t="str">
        <f>VLOOKUP(D61,[1]characters!$A:$K,11,FALSE)</f>
        <v>heal</v>
      </c>
      <c r="J61" s="7" t="str">
        <f>VLOOKUP(D61,[1]characters!$A:$M,13,FALSE)</f>
        <v>animal</v>
      </c>
      <c r="K61" s="7" t="str">
        <f>VLOOKUP(D61,[1]characters!$A:$G,7,FALSE)</f>
        <v>女性</v>
      </c>
      <c r="L61" s="66">
        <f>IFERROR(VLOOKUP(D61,input_1!L:R,7,FALSE),VLOOKUP(tables_1!B61,input_1!A:H,8,FALSE))</f>
        <v>154791</v>
      </c>
      <c r="M61" s="67">
        <f t="shared" si="0"/>
        <v>5.9594594594594595E-3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hidden="1" customHeight="1">
      <c r="A62" s="2">
        <f>input_1!A$2</f>
        <v>3121</v>
      </c>
      <c r="B62" s="7" t="str">
        <f t="shared" si="1"/>
        <v>Premium5</v>
      </c>
      <c r="C62" s="7" t="str">
        <f t="shared" si="2"/>
        <v>Premium</v>
      </c>
      <c r="D62" s="8">
        <v>186</v>
      </c>
      <c r="E62" s="7" t="str">
        <f>VLOOKUP(D62,[1]characters!$A:$C,3,FALSE)</f>
        <v>誇り高き多触姫・クラーケン</v>
      </c>
      <c r="F62" s="7" t="str">
        <f>VLOOKUP(D62,[1]characters!$A:$J,10,FALSE)</f>
        <v>PremiumN</v>
      </c>
      <c r="G62" s="7">
        <f>VLOOKUP(D62,[1]characters!$A:$I,9,FALSE)</f>
        <v>5</v>
      </c>
      <c r="H62" s="7" t="str">
        <f>VLOOKUP(D62,[1]characters!$A:$H,8,FALSE)</f>
        <v>blue</v>
      </c>
      <c r="I62" s="7" t="str">
        <f>VLOOKUP(D62,[1]characters!$A:$K,11,FALSE)</f>
        <v>heal</v>
      </c>
      <c r="J62" s="7" t="str">
        <f>VLOOKUP(D62,[1]characters!$A:$M,13,FALSE)</f>
        <v>animal</v>
      </c>
      <c r="K62" s="7" t="str">
        <f>VLOOKUP(D62,[1]characters!$A:$G,7,FALSE)</f>
        <v>女性</v>
      </c>
      <c r="L62" s="66">
        <f>IFERROR(VLOOKUP(D62,input_1!L:R,7,FALSE),VLOOKUP(tables_1!B62,input_1!A:H,8,FALSE))</f>
        <v>23569</v>
      </c>
      <c r="M62" s="67">
        <f t="shared" si="0"/>
        <v>9.0740740740740745E-4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hidden="1" customHeight="1">
      <c r="A63" s="2">
        <f>input_1!A$2</f>
        <v>3121</v>
      </c>
      <c r="B63" s="7" t="str">
        <f t="shared" si="1"/>
        <v>Premium3</v>
      </c>
      <c r="C63" s="7" t="str">
        <f t="shared" si="2"/>
        <v>Premium</v>
      </c>
      <c r="D63" s="8">
        <v>187</v>
      </c>
      <c r="E63" s="7" t="str">
        <f>VLOOKUP(D63,[1]characters!$A:$C,3,FALSE)</f>
        <v>ホルス</v>
      </c>
      <c r="F63" s="7" t="str">
        <f>VLOOKUP(D63,[1]characters!$A:$J,10,FALSE)</f>
        <v>PremiumN</v>
      </c>
      <c r="G63" s="7">
        <f>VLOOKUP(D63,[1]characters!$A:$I,9,FALSE)</f>
        <v>3</v>
      </c>
      <c r="H63" s="7" t="str">
        <f>VLOOKUP(D63,[1]characters!$A:$H,8,FALSE)</f>
        <v>yellow</v>
      </c>
      <c r="I63" s="7" t="str">
        <f>VLOOKUP(D63,[1]characters!$A:$K,11,FALSE)</f>
        <v>attack</v>
      </c>
      <c r="J63" s="7" t="str">
        <f>VLOOKUP(D63,[1]characters!$A:$M,13,FALSE)</f>
        <v>animal</v>
      </c>
      <c r="K63" s="7" t="str">
        <f>VLOOKUP(D63,[1]characters!$A:$G,7,FALSE)</f>
        <v>女性</v>
      </c>
      <c r="L63" s="66">
        <f>IFERROR(VLOOKUP(D63,input_1!L:R,7,FALSE),VLOOKUP(tables_1!B63,input_1!A:H,8,FALSE))</f>
        <v>175500</v>
      </c>
      <c r="M63" s="67">
        <f t="shared" si="0"/>
        <v>6.7567567567567571E-3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hidden="1" customHeight="1">
      <c r="A64" s="2">
        <f>input_1!A$2</f>
        <v>3121</v>
      </c>
      <c r="B64" s="7" t="str">
        <f t="shared" si="1"/>
        <v>Premium4</v>
      </c>
      <c r="C64" s="7" t="str">
        <f t="shared" si="2"/>
        <v>Premium</v>
      </c>
      <c r="D64" s="8">
        <v>188</v>
      </c>
      <c r="E64" s="7" t="str">
        <f>VLOOKUP(D64,[1]characters!$A:$C,3,FALSE)</f>
        <v>猛禽 ホルス</v>
      </c>
      <c r="F64" s="7" t="str">
        <f>VLOOKUP(D64,[1]characters!$A:$J,10,FALSE)</f>
        <v>PremiumN</v>
      </c>
      <c r="G64" s="7">
        <f>VLOOKUP(D64,[1]characters!$A:$I,9,FALSE)</f>
        <v>4</v>
      </c>
      <c r="H64" s="7" t="str">
        <f>VLOOKUP(D64,[1]characters!$A:$H,8,FALSE)</f>
        <v>yellow</v>
      </c>
      <c r="I64" s="7" t="str">
        <f>VLOOKUP(D64,[1]characters!$A:$K,11,FALSE)</f>
        <v>attack</v>
      </c>
      <c r="J64" s="7" t="str">
        <f>VLOOKUP(D64,[1]characters!$A:$M,13,FALSE)</f>
        <v>animal</v>
      </c>
      <c r="K64" s="7" t="str">
        <f>VLOOKUP(D64,[1]characters!$A:$G,7,FALSE)</f>
        <v>女性</v>
      </c>
      <c r="L64" s="66">
        <f>IFERROR(VLOOKUP(D64,input_1!L:R,7,FALSE),VLOOKUP(tables_1!B64,input_1!A:H,8,FALSE))</f>
        <v>154791</v>
      </c>
      <c r="M64" s="67">
        <f t="shared" si="0"/>
        <v>5.9594594594594595E-3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hidden="1" customHeight="1">
      <c r="A65" s="2">
        <f>input_1!A$2</f>
        <v>3121</v>
      </c>
      <c r="B65" s="7" t="str">
        <f t="shared" si="1"/>
        <v>Premium5</v>
      </c>
      <c r="C65" s="7" t="str">
        <f t="shared" si="2"/>
        <v>Premium</v>
      </c>
      <c r="D65" s="8">
        <v>189</v>
      </c>
      <c r="E65" s="7" t="str">
        <f>VLOOKUP(D65,[1]characters!$A:$C,3,FALSE)</f>
        <v>迅雷の王禽 ホルス</v>
      </c>
      <c r="F65" s="7" t="str">
        <f>VLOOKUP(D65,[1]characters!$A:$J,10,FALSE)</f>
        <v>PremiumN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attack</v>
      </c>
      <c r="J65" s="7" t="str">
        <f>VLOOKUP(D65,[1]characters!$A:$M,13,FALSE)</f>
        <v>animal</v>
      </c>
      <c r="K65" s="7" t="str">
        <f>VLOOKUP(D65,[1]characters!$A:$G,7,FALSE)</f>
        <v>女性</v>
      </c>
      <c r="L65" s="66">
        <f>IFERROR(VLOOKUP(D65,input_1!L:R,7,FALSE),VLOOKUP(tables_1!B65,input_1!A:H,8,FALSE))</f>
        <v>23569</v>
      </c>
      <c r="M65" s="67">
        <f t="shared" si="0"/>
        <v>9.0740740740740745E-4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s="9" customFormat="1" ht="21" hidden="1" customHeight="1" thickBot="1">
      <c r="A66" s="2">
        <f>input_1!A$2</f>
        <v>3121</v>
      </c>
      <c r="B66" s="7" t="str">
        <f t="shared" si="1"/>
        <v>Premium3</v>
      </c>
      <c r="C66" s="7" t="str">
        <f t="shared" si="2"/>
        <v>Premium</v>
      </c>
      <c r="D66" s="6">
        <v>190</v>
      </c>
      <c r="E66" s="7" t="str">
        <f>VLOOKUP(D66,[1]characters!$A:$C,3,FALSE)</f>
        <v>卑弥呼</v>
      </c>
      <c r="F66" s="7" t="str">
        <f>VLOOKUP(D66,[1]characters!$A:$J,10,FALSE)</f>
        <v>PremiumN</v>
      </c>
      <c r="G66" s="7">
        <f>VLOOKUP(D66,[1]characters!$A:$I,9,FALSE)</f>
        <v>3</v>
      </c>
      <c r="H66" s="7" t="str">
        <f>VLOOKUP(D66,[1]characters!$A:$H,8,FALSE)</f>
        <v>red</v>
      </c>
      <c r="I66" s="7" t="str">
        <f>VLOOKUP(D66,[1]characters!$A:$K,11,FALSE)</f>
        <v>balance</v>
      </c>
      <c r="J66" s="7" t="str">
        <f>VLOOKUP(D66,[1]characters!$A:$M,13,FALSE)</f>
        <v>human</v>
      </c>
      <c r="K66" s="7" t="str">
        <f>VLOOKUP(D66,[1]characters!$A:$G,7,FALSE)</f>
        <v>女性</v>
      </c>
      <c r="L66" s="66">
        <f>IFERROR(VLOOKUP(D66,input_1!L:R,7,FALSE),VLOOKUP(tables_1!B66,input_1!A:H,8,FALSE))</f>
        <v>175500</v>
      </c>
      <c r="M66" s="67">
        <f t="shared" ref="M66:M129" si="3">L66/SUM(L:L)</f>
        <v>6.7567567567567571E-3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hidden="1" customHeight="1">
      <c r="A67" s="2">
        <f>input_1!A$2</f>
        <v>3121</v>
      </c>
      <c r="B67" s="7" t="str">
        <f t="shared" ref="B67:B130" si="4">C67&amp;G67</f>
        <v>Premium4</v>
      </c>
      <c r="C67" s="7" t="str">
        <f t="shared" ref="C67:C130" si="5">IF(F67="PremiumSS",F67,IF(F67="PremiumSSS",F67,"Premium"))</f>
        <v>Premium</v>
      </c>
      <c r="D67" s="6">
        <v>191</v>
      </c>
      <c r="E67" s="7" t="str">
        <f>VLOOKUP(D67,[1]characters!$A:$C,3,FALSE)</f>
        <v>始祖 卑弥呼</v>
      </c>
      <c r="F67" s="7" t="str">
        <f>VLOOKUP(D67,[1]characters!$A:$J,10,FALSE)</f>
        <v>PremiumN</v>
      </c>
      <c r="G67" s="7">
        <f>VLOOKUP(D67,[1]characters!$A:$I,9,FALSE)</f>
        <v>4</v>
      </c>
      <c r="H67" s="7" t="str">
        <f>VLOOKUP(D67,[1]characters!$A:$H,8,FALSE)</f>
        <v>red</v>
      </c>
      <c r="I67" s="7" t="str">
        <f>VLOOKUP(D67,[1]characters!$A:$K,11,FALSE)</f>
        <v>balance</v>
      </c>
      <c r="J67" s="7" t="str">
        <f>VLOOKUP(D67,[1]characters!$A:$M,13,FALSE)</f>
        <v>human</v>
      </c>
      <c r="K67" s="7" t="str">
        <f>VLOOKUP(D67,[1]characters!$A:$G,7,FALSE)</f>
        <v>女性</v>
      </c>
      <c r="L67" s="66">
        <f>IFERROR(VLOOKUP(D67,input_1!L:R,7,FALSE),VLOOKUP(tables_1!B67,input_1!A:H,8,FALSE))</f>
        <v>154791</v>
      </c>
      <c r="M67" s="67">
        <f t="shared" si="3"/>
        <v>5.9594594594594595E-3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hidden="1" customHeight="1">
      <c r="A68" s="2">
        <f>input_1!A$2</f>
        <v>3121</v>
      </c>
      <c r="B68" s="7" t="str">
        <f t="shared" si="4"/>
        <v>Premium5</v>
      </c>
      <c r="C68" s="7" t="str">
        <f t="shared" si="5"/>
        <v>Premium</v>
      </c>
      <c r="D68" s="6">
        <v>192</v>
      </c>
      <c r="E68" s="7" t="str">
        <f>VLOOKUP(D68,[1]characters!$A:$C,3,FALSE)</f>
        <v>荘厳なる始祖帝 卑弥呼</v>
      </c>
      <c r="F68" s="7" t="str">
        <f>VLOOKUP(D68,[1]characters!$A:$J,10,FALSE)</f>
        <v>PremiumN</v>
      </c>
      <c r="G68" s="7">
        <f>VLOOKUP(D68,[1]characters!$A:$I,9,FALSE)</f>
        <v>5</v>
      </c>
      <c r="H68" s="7" t="str">
        <f>VLOOKUP(D68,[1]characters!$A:$H,8,FALSE)</f>
        <v>red</v>
      </c>
      <c r="I68" s="7" t="str">
        <f>VLOOKUP(D68,[1]characters!$A:$K,11,FALSE)</f>
        <v>balance</v>
      </c>
      <c r="J68" s="7" t="str">
        <f>VLOOKUP(D68,[1]characters!$A:$M,13,FALSE)</f>
        <v>human</v>
      </c>
      <c r="K68" s="7" t="str">
        <f>VLOOKUP(D68,[1]characters!$A:$G,7,FALSE)</f>
        <v>女性</v>
      </c>
      <c r="L68" s="66">
        <f>IFERROR(VLOOKUP(D68,input_1!L:R,7,FALSE),VLOOKUP(tables_1!B68,input_1!A:H,8,FALSE))</f>
        <v>23569</v>
      </c>
      <c r="M68" s="67">
        <f t="shared" si="3"/>
        <v>9.0740740740740745E-4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hidden="1" customHeight="1">
      <c r="A69" s="2">
        <f>input_1!A$2</f>
        <v>3121</v>
      </c>
      <c r="B69" s="7" t="str">
        <f t="shared" si="4"/>
        <v>Premium3</v>
      </c>
      <c r="C69" s="7" t="str">
        <f t="shared" si="5"/>
        <v>Premium</v>
      </c>
      <c r="D69" s="6">
        <v>193</v>
      </c>
      <c r="E69" s="7" t="str">
        <f>VLOOKUP(D69,[1]characters!$A:$C,3,FALSE)</f>
        <v>ロビンフッド</v>
      </c>
      <c r="F69" s="7" t="str">
        <f>VLOOKUP(D69,[1]characters!$A:$J,10,FALSE)</f>
        <v>PremiumN</v>
      </c>
      <c r="G69" s="7">
        <f>VLOOKUP(D69,[1]characters!$A:$I,9,FALSE)</f>
        <v>3</v>
      </c>
      <c r="H69" s="7" t="str">
        <f>VLOOKUP(D69,[1]characters!$A:$H,8,FALSE)</f>
        <v>green</v>
      </c>
      <c r="I69" s="7" t="str">
        <f>VLOOKUP(D69,[1]characters!$A:$K,11,FALSE)</f>
        <v>balance</v>
      </c>
      <c r="J69" s="7" t="str">
        <f>VLOOKUP(D69,[1]characters!$A:$M,13,FALSE)</f>
        <v>human</v>
      </c>
      <c r="K69" s="7" t="str">
        <f>VLOOKUP(D69,[1]characters!$A:$G,7,FALSE)</f>
        <v>女性</v>
      </c>
      <c r="L69" s="66">
        <f>IFERROR(VLOOKUP(D69,input_1!L:R,7,FALSE),VLOOKUP(tables_1!B69,input_1!A:H,8,FALSE))</f>
        <v>175500</v>
      </c>
      <c r="M69" s="67">
        <f t="shared" si="3"/>
        <v>6.7567567567567571E-3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hidden="1" customHeight="1">
      <c r="A70" s="2">
        <f>input_1!A$2</f>
        <v>3121</v>
      </c>
      <c r="B70" s="7" t="str">
        <f t="shared" si="4"/>
        <v>Premium4</v>
      </c>
      <c r="C70" s="7" t="str">
        <f t="shared" si="5"/>
        <v>Premium</v>
      </c>
      <c r="D70" s="10">
        <v>194</v>
      </c>
      <c r="E70" s="7" t="str">
        <f>VLOOKUP(D70,[1]characters!$A:$C,3,FALSE)</f>
        <v>スナイパー ロビンフッド</v>
      </c>
      <c r="F70" s="7" t="str">
        <f>VLOOKUP(D70,[1]characters!$A:$J,10,FALSE)</f>
        <v>PremiumN</v>
      </c>
      <c r="G70" s="7">
        <f>VLOOKUP(D70,[1]characters!$A:$I,9,FALSE)</f>
        <v>4</v>
      </c>
      <c r="H70" s="7" t="str">
        <f>VLOOKUP(D70,[1]characters!$A:$H,8,FALSE)</f>
        <v>green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女性</v>
      </c>
      <c r="L70" s="66">
        <f>IFERROR(VLOOKUP(D70,input_1!L:R,7,FALSE),VLOOKUP(tables_1!B70,input_1!A:H,8,FALSE))</f>
        <v>154791</v>
      </c>
      <c r="M70" s="67">
        <f t="shared" si="3"/>
        <v>5.9594594594594595E-3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hidden="1" customHeight="1">
      <c r="A71" s="2">
        <f>input_1!A$2</f>
        <v>3121</v>
      </c>
      <c r="B71" s="7" t="str">
        <f t="shared" si="4"/>
        <v>Premium5</v>
      </c>
      <c r="C71" s="7" t="str">
        <f t="shared" si="5"/>
        <v>Premium</v>
      </c>
      <c r="D71" s="6">
        <v>195</v>
      </c>
      <c r="E71" s="7" t="str">
        <f>VLOOKUP(D71,[1]characters!$A:$C,3,FALSE)</f>
        <v>グランドハンター ロビンフッド</v>
      </c>
      <c r="F71" s="7" t="str">
        <f>VLOOKUP(D71,[1]characters!$A:$J,10,FALSE)</f>
        <v>PremiumN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balance</v>
      </c>
      <c r="J71" s="7" t="str">
        <f>VLOOKUP(D71,[1]characters!$A:$M,13,FALSE)</f>
        <v>human</v>
      </c>
      <c r="K71" s="7" t="str">
        <f>VLOOKUP(D71,[1]characters!$A:$G,7,FALSE)</f>
        <v>女性</v>
      </c>
      <c r="L71" s="66">
        <f>IFERROR(VLOOKUP(D71,input_1!L:R,7,FALSE),VLOOKUP(tables_1!B71,input_1!A:H,8,FALSE))</f>
        <v>23569</v>
      </c>
      <c r="M71" s="67">
        <f t="shared" si="3"/>
        <v>9.0740740740740745E-4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hidden="1" customHeight="1">
      <c r="A72" s="2">
        <f>input_1!A$2</f>
        <v>3121</v>
      </c>
      <c r="B72" s="7" t="str">
        <f t="shared" si="4"/>
        <v>Premium3</v>
      </c>
      <c r="C72" s="7" t="str">
        <f t="shared" si="5"/>
        <v>Premium</v>
      </c>
      <c r="D72" s="10">
        <v>196</v>
      </c>
      <c r="E72" s="7" t="str">
        <f>VLOOKUP(D72,[1]characters!$A:$C,3,FALSE)</f>
        <v>アキレス</v>
      </c>
      <c r="F72" s="7" t="str">
        <f>VLOOKUP(D72,[1]characters!$A:$J,10,FALSE)</f>
        <v>PremiumN</v>
      </c>
      <c r="G72" s="7">
        <f>VLOOKUP(D72,[1]characters!$A:$I,9,FALSE)</f>
        <v>3</v>
      </c>
      <c r="H72" s="7" t="str">
        <f>VLOOKUP(D72,[1]characters!$A:$H,8,FALSE)</f>
        <v>yellow</v>
      </c>
      <c r="I72" s="7" t="str">
        <f>VLOOKUP(D72,[1]characters!$A:$K,11,FALSE)</f>
        <v>balance</v>
      </c>
      <c r="J72" s="7" t="str">
        <f>VLOOKUP(D72,[1]characters!$A:$M,13,FALSE)</f>
        <v>human</v>
      </c>
      <c r="K72" s="7" t="str">
        <f>VLOOKUP(D72,[1]characters!$A:$G,7,FALSE)</f>
        <v>女性</v>
      </c>
      <c r="L72" s="66">
        <f>IFERROR(VLOOKUP(D72,input_1!L:R,7,FALSE),VLOOKUP(tables_1!B72,input_1!A:H,8,FALSE))</f>
        <v>175500</v>
      </c>
      <c r="M72" s="67">
        <f t="shared" si="3"/>
        <v>6.7567567567567571E-3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hidden="1" customHeight="1">
      <c r="A73" s="2">
        <f>input_1!A$2</f>
        <v>3121</v>
      </c>
      <c r="B73" s="7" t="str">
        <f t="shared" si="4"/>
        <v>Premium4</v>
      </c>
      <c r="C73" s="7" t="str">
        <f t="shared" si="5"/>
        <v>Premium</v>
      </c>
      <c r="D73" s="11">
        <v>197</v>
      </c>
      <c r="E73" s="7" t="str">
        <f>VLOOKUP(D73,[1]characters!$A:$C,3,FALSE)</f>
        <v>鉄腕 アキレス</v>
      </c>
      <c r="F73" s="7" t="str">
        <f>VLOOKUP(D73,[1]characters!$A:$J,10,FALSE)</f>
        <v>PremiumN</v>
      </c>
      <c r="G73" s="7">
        <f>VLOOKUP(D73,[1]characters!$A:$I,9,FALSE)</f>
        <v>4</v>
      </c>
      <c r="H73" s="7" t="str">
        <f>VLOOKUP(D73,[1]characters!$A:$H,8,FALSE)</f>
        <v>yellow</v>
      </c>
      <c r="I73" s="7" t="str">
        <f>VLOOKUP(D73,[1]characters!$A:$K,11,FALSE)</f>
        <v>balance</v>
      </c>
      <c r="J73" s="7" t="str">
        <f>VLOOKUP(D73,[1]characters!$A:$M,13,FALSE)</f>
        <v>human</v>
      </c>
      <c r="K73" s="7" t="str">
        <f>VLOOKUP(D73,[1]characters!$A:$G,7,FALSE)</f>
        <v>女性</v>
      </c>
      <c r="L73" s="66">
        <f>IFERROR(VLOOKUP(D73,input_1!L:R,7,FALSE),VLOOKUP(tables_1!B73,input_1!A:H,8,FALSE))</f>
        <v>154791</v>
      </c>
      <c r="M73" s="67">
        <f t="shared" si="3"/>
        <v>5.9594594594594595E-3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hidden="1" customHeight="1">
      <c r="A74" s="2">
        <f>input_1!A$2</f>
        <v>3121</v>
      </c>
      <c r="B74" s="7" t="str">
        <f t="shared" si="4"/>
        <v>Premium5</v>
      </c>
      <c r="C74" s="7" t="str">
        <f t="shared" si="5"/>
        <v>Premium</v>
      </c>
      <c r="D74" s="6">
        <v>198</v>
      </c>
      <c r="E74" s="7" t="str">
        <f>VLOOKUP(D74,[1]characters!$A:$C,3,FALSE)</f>
        <v>砕骨の剛腕 アキレス</v>
      </c>
      <c r="F74" s="7" t="str">
        <f>VLOOKUP(D74,[1]characters!$A:$J,10,FALSE)</f>
        <v>PremiumN</v>
      </c>
      <c r="G74" s="7">
        <f>VLOOKUP(D74,[1]characters!$A:$I,9,FALSE)</f>
        <v>5</v>
      </c>
      <c r="H74" s="7" t="str">
        <f>VLOOKUP(D74,[1]characters!$A:$H,8,FALSE)</f>
        <v>yellow</v>
      </c>
      <c r="I74" s="7" t="str">
        <f>VLOOKUP(D74,[1]characters!$A:$K,11,FALSE)</f>
        <v>balance</v>
      </c>
      <c r="J74" s="7" t="str">
        <f>VLOOKUP(D74,[1]characters!$A:$M,13,FALSE)</f>
        <v>human</v>
      </c>
      <c r="K74" s="7" t="str">
        <f>VLOOKUP(D74,[1]characters!$A:$G,7,FALSE)</f>
        <v>女性</v>
      </c>
      <c r="L74" s="66">
        <f>IFERROR(VLOOKUP(D74,input_1!L:R,7,FALSE),VLOOKUP(tables_1!B74,input_1!A:H,8,FALSE))</f>
        <v>23569</v>
      </c>
      <c r="M74" s="67">
        <f t="shared" si="3"/>
        <v>9.0740740740740745E-4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hidden="1" customHeight="1">
      <c r="A75" s="2">
        <f>input_1!A$2</f>
        <v>3121</v>
      </c>
      <c r="B75" s="7" t="str">
        <f t="shared" si="4"/>
        <v>Premium3</v>
      </c>
      <c r="C75" s="7" t="str">
        <f t="shared" si="5"/>
        <v>Premium</v>
      </c>
      <c r="D75" s="6">
        <v>199</v>
      </c>
      <c r="E75" s="7" t="str">
        <f>VLOOKUP(D75,[1]characters!$A:$C,3,FALSE)</f>
        <v>ジークフリート</v>
      </c>
      <c r="F75" s="7" t="str">
        <f>VLOOKUP(D75,[1]characters!$A:$J,10,FALSE)</f>
        <v>PremiumN</v>
      </c>
      <c r="G75" s="7">
        <f>VLOOKUP(D75,[1]characters!$A:$I,9,FALSE)</f>
        <v>3</v>
      </c>
      <c r="H75" s="7" t="str">
        <f>VLOOKUP(D75,[1]characters!$A:$H,8,FALSE)</f>
        <v>blue</v>
      </c>
      <c r="I75" s="7" t="str">
        <f>VLOOKUP(D75,[1]characters!$A:$K,11,FALSE)</f>
        <v>balance</v>
      </c>
      <c r="J75" s="7" t="str">
        <f>VLOOKUP(D75,[1]characters!$A:$M,13,FALSE)</f>
        <v>human</v>
      </c>
      <c r="K75" s="7" t="str">
        <f>VLOOKUP(D75,[1]characters!$A:$G,7,FALSE)</f>
        <v>男性</v>
      </c>
      <c r="L75" s="66">
        <f>IFERROR(VLOOKUP(D75,input_1!L:R,7,FALSE),VLOOKUP(tables_1!B75,input_1!A:H,8,FALSE))</f>
        <v>175500</v>
      </c>
      <c r="M75" s="67">
        <f t="shared" si="3"/>
        <v>6.7567567567567571E-3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hidden="1" customHeight="1">
      <c r="A76" s="2">
        <f>input_1!A$2</f>
        <v>3121</v>
      </c>
      <c r="B76" s="7" t="str">
        <f t="shared" si="4"/>
        <v>Premium4</v>
      </c>
      <c r="C76" s="7" t="str">
        <f t="shared" si="5"/>
        <v>Premium</v>
      </c>
      <c r="D76" s="6">
        <v>200</v>
      </c>
      <c r="E76" s="7" t="str">
        <f>VLOOKUP(D76,[1]characters!$A:$C,3,FALSE)</f>
        <v>大剣士 ジークフリート</v>
      </c>
      <c r="F76" s="7" t="str">
        <f>VLOOKUP(D76,[1]characters!$A:$J,10,FALSE)</f>
        <v>PremiumN</v>
      </c>
      <c r="G76" s="7">
        <f>VLOOKUP(D76,[1]characters!$A:$I,9,FALSE)</f>
        <v>4</v>
      </c>
      <c r="H76" s="7" t="str">
        <f>VLOOKUP(D76,[1]characters!$A:$H,8,FALSE)</f>
        <v>blue</v>
      </c>
      <c r="I76" s="7" t="str">
        <f>VLOOKUP(D76,[1]characters!$A:$K,11,FALSE)</f>
        <v>balance</v>
      </c>
      <c r="J76" s="7" t="str">
        <f>VLOOKUP(D76,[1]characters!$A:$M,13,FALSE)</f>
        <v>human</v>
      </c>
      <c r="K76" s="7" t="str">
        <f>VLOOKUP(D76,[1]characters!$A:$G,7,FALSE)</f>
        <v>男性</v>
      </c>
      <c r="L76" s="66">
        <f>IFERROR(VLOOKUP(D76,input_1!L:R,7,FALSE),VLOOKUP(tables_1!B76,input_1!A:H,8,FALSE))</f>
        <v>154791</v>
      </c>
      <c r="M76" s="67">
        <f t="shared" si="3"/>
        <v>5.9594594594594595E-3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hidden="1" customHeight="1">
      <c r="A77" s="2">
        <f>input_1!A$2</f>
        <v>3121</v>
      </c>
      <c r="B77" s="7" t="str">
        <f t="shared" si="4"/>
        <v>Premium5</v>
      </c>
      <c r="C77" s="7" t="str">
        <f t="shared" si="5"/>
        <v>Premium</v>
      </c>
      <c r="D77" s="5">
        <v>201</v>
      </c>
      <c r="E77" s="7" t="str">
        <f>VLOOKUP(D77,[1]characters!$A:$C,3,FALSE)</f>
        <v>斬空の大破剣 ジークフリート</v>
      </c>
      <c r="F77" s="7" t="str">
        <f>VLOOKUP(D77,[1]characters!$A:$J,10,FALSE)</f>
        <v>PremiumN</v>
      </c>
      <c r="G77" s="7">
        <f>VLOOKUP(D77,[1]characters!$A:$I,9,FALSE)</f>
        <v>5</v>
      </c>
      <c r="H77" s="7" t="str">
        <f>VLOOKUP(D77,[1]characters!$A:$H,8,FALSE)</f>
        <v>blue</v>
      </c>
      <c r="I77" s="7" t="str">
        <f>VLOOKUP(D77,[1]characters!$A:$K,11,FALSE)</f>
        <v>balance</v>
      </c>
      <c r="J77" s="7" t="str">
        <f>VLOOKUP(D77,[1]characters!$A:$M,13,FALSE)</f>
        <v>human</v>
      </c>
      <c r="K77" s="7" t="str">
        <f>VLOOKUP(D77,[1]characters!$A:$G,7,FALSE)</f>
        <v>男性</v>
      </c>
      <c r="L77" s="66">
        <f>IFERROR(VLOOKUP(D77,input_1!L:R,7,FALSE),VLOOKUP(tables_1!B77,input_1!A:H,8,FALSE))</f>
        <v>23569</v>
      </c>
      <c r="M77" s="67">
        <f t="shared" si="3"/>
        <v>9.0740740740740745E-4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hidden="1" customHeight="1">
      <c r="A78" s="2">
        <f>input_1!A$2</f>
        <v>3121</v>
      </c>
      <c r="B78" s="7" t="str">
        <f t="shared" si="4"/>
        <v>Premium3</v>
      </c>
      <c r="C78" s="7" t="str">
        <f t="shared" si="5"/>
        <v>Premium</v>
      </c>
      <c r="D78" s="5">
        <v>202</v>
      </c>
      <c r="E78" s="7" t="str">
        <f>VLOOKUP(D78,[1]characters!$A:$C,3,FALSE)</f>
        <v>プロメテウス</v>
      </c>
      <c r="F78" s="7" t="str">
        <f>VLOOKUP(D78,[1]characters!$A:$J,10,FALSE)</f>
        <v>PremiumN</v>
      </c>
      <c r="G78" s="7">
        <f>VLOOKUP(D78,[1]characters!$A:$I,9,FALSE)</f>
        <v>3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66">
        <f>IFERROR(VLOOKUP(D78,input_1!L:R,7,FALSE),VLOOKUP(tables_1!B78,input_1!A:H,8,FALSE))</f>
        <v>175500</v>
      </c>
      <c r="M78" s="67">
        <f t="shared" si="3"/>
        <v>6.7567567567567571E-3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hidden="1" customHeight="1">
      <c r="A79" s="2">
        <f>input_1!A$2</f>
        <v>3121</v>
      </c>
      <c r="B79" s="7" t="str">
        <f t="shared" si="4"/>
        <v>Premium4</v>
      </c>
      <c r="C79" s="7" t="str">
        <f t="shared" si="5"/>
        <v>Premium</v>
      </c>
      <c r="D79" s="5">
        <v>203</v>
      </c>
      <c r="E79" s="7" t="str">
        <f>VLOOKUP(D79,[1]characters!$A:$C,3,FALSE)</f>
        <v>焔神 プロメテウス</v>
      </c>
      <c r="F79" s="7" t="str">
        <f>VLOOKUP(D79,[1]characters!$A:$J,10,FALSE)</f>
        <v>PremiumN</v>
      </c>
      <c r="G79" s="7">
        <f>VLOOKUP(D79,[1]characters!$A:$I,9,FALSE)</f>
        <v>4</v>
      </c>
      <c r="H79" s="7" t="str">
        <f>VLOOKUP(D79,[1]characters!$A:$H,8,FALSE)</f>
        <v>red</v>
      </c>
      <c r="I79" s="7" t="str">
        <f>VLOOKUP(D79,[1]characters!$A:$K,11,FALSE)</f>
        <v>hp</v>
      </c>
      <c r="J79" s="7" t="str">
        <f>VLOOKUP(D79,[1]characters!$A:$M,13,FALSE)</f>
        <v>god</v>
      </c>
      <c r="K79" s="7" t="str">
        <f>VLOOKUP(D79,[1]characters!$A:$G,7,FALSE)</f>
        <v>男性</v>
      </c>
      <c r="L79" s="66">
        <f>IFERROR(VLOOKUP(D79,input_1!L:R,7,FALSE),VLOOKUP(tables_1!B79,input_1!A:H,8,FALSE))</f>
        <v>154791</v>
      </c>
      <c r="M79" s="67">
        <f t="shared" si="3"/>
        <v>5.9594594594594595E-3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hidden="1" customHeight="1">
      <c r="A80" s="2">
        <f>input_1!A$2</f>
        <v>3121</v>
      </c>
      <c r="B80" s="7" t="str">
        <f t="shared" si="4"/>
        <v>Premium5</v>
      </c>
      <c r="C80" s="7" t="str">
        <f t="shared" si="5"/>
        <v>Premium</v>
      </c>
      <c r="D80" s="5">
        <v>204</v>
      </c>
      <c r="E80" s="7" t="str">
        <f>VLOOKUP(D80,[1]characters!$A:$C,3,FALSE)</f>
        <v>慟哭の巨焔 プロメテウス</v>
      </c>
      <c r="F80" s="7" t="str">
        <f>VLOOKUP(D80,[1]characters!$A:$J,10,FALSE)</f>
        <v>PremiumN</v>
      </c>
      <c r="G80" s="7">
        <f>VLOOKUP(D80,[1]characters!$A:$I,9,FALSE)</f>
        <v>5</v>
      </c>
      <c r="H80" s="7" t="str">
        <f>VLOOKUP(D80,[1]characters!$A:$H,8,FALSE)</f>
        <v>red</v>
      </c>
      <c r="I80" s="7" t="str">
        <f>VLOOKUP(D80,[1]characters!$A:$K,11,FALSE)</f>
        <v>hp</v>
      </c>
      <c r="J80" s="7" t="str">
        <f>VLOOKUP(D80,[1]characters!$A:$M,13,FALSE)</f>
        <v>god</v>
      </c>
      <c r="K80" s="7" t="str">
        <f>VLOOKUP(D80,[1]characters!$A:$G,7,FALSE)</f>
        <v>男性</v>
      </c>
      <c r="L80" s="66">
        <f>IFERROR(VLOOKUP(D80,input_1!L:R,7,FALSE),VLOOKUP(tables_1!B80,input_1!A:H,8,FALSE))</f>
        <v>23569</v>
      </c>
      <c r="M80" s="67">
        <f t="shared" si="3"/>
        <v>9.0740740740740745E-4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hidden="1" customHeight="1">
      <c r="A81" s="2">
        <f>input_1!A$2</f>
        <v>3121</v>
      </c>
      <c r="B81" s="7" t="str">
        <f t="shared" si="4"/>
        <v>Premium3</v>
      </c>
      <c r="C81" s="7" t="str">
        <f t="shared" si="5"/>
        <v>Premium</v>
      </c>
      <c r="D81" s="5">
        <v>205</v>
      </c>
      <c r="E81" s="7" t="str">
        <f>VLOOKUP(D81,[1]characters!$A:$C,3,FALSE)</f>
        <v>アフロディーテ</v>
      </c>
      <c r="F81" s="7" t="str">
        <f>VLOOKUP(D81,[1]characters!$A:$J,10,FALSE)</f>
        <v>PremiumN</v>
      </c>
      <c r="G81" s="7">
        <f>VLOOKUP(D81,[1]characters!$A:$I,9,FALSE)</f>
        <v>3</v>
      </c>
      <c r="H81" s="7" t="str">
        <f>VLOOKUP(D81,[1]characters!$A:$H,8,FALSE)</f>
        <v>green</v>
      </c>
      <c r="I81" s="7" t="str">
        <f>VLOOKUP(D81,[1]characters!$A:$K,11,FALSE)</f>
        <v>hp</v>
      </c>
      <c r="J81" s="7" t="str">
        <f>VLOOKUP(D81,[1]characters!$A:$M,13,FALSE)</f>
        <v>god</v>
      </c>
      <c r="K81" s="7" t="str">
        <f>VLOOKUP(D81,[1]characters!$A:$G,7,FALSE)</f>
        <v>女性</v>
      </c>
      <c r="L81" s="66">
        <f>IFERROR(VLOOKUP(D81,input_1!L:R,7,FALSE),VLOOKUP(tables_1!B81,input_1!A:H,8,FALSE))</f>
        <v>175500</v>
      </c>
      <c r="M81" s="67">
        <f t="shared" si="3"/>
        <v>6.7567567567567571E-3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  <row r="82" spans="1:19" ht="21" hidden="1" customHeight="1">
      <c r="A82" s="2">
        <f>input_1!A$2</f>
        <v>3121</v>
      </c>
      <c r="B82" s="7" t="str">
        <f t="shared" si="4"/>
        <v>Premium4</v>
      </c>
      <c r="C82" s="7" t="str">
        <f t="shared" si="5"/>
        <v>Premium</v>
      </c>
      <c r="D82" s="5">
        <v>206</v>
      </c>
      <c r="E82" s="7" t="str">
        <f>VLOOKUP(D82,[1]characters!$A:$C,3,FALSE)</f>
        <v>美神 アフロディーテ</v>
      </c>
      <c r="F82" s="7" t="str">
        <f>VLOOKUP(D82,[1]characters!$A:$J,10,FALSE)</f>
        <v>PremiumN</v>
      </c>
      <c r="G82" s="7">
        <f>VLOOKUP(D82,[1]characters!$A:$I,9,FALSE)</f>
        <v>4</v>
      </c>
      <c r="H82" s="7" t="str">
        <f>VLOOKUP(D82,[1]characters!$A:$H,8,FALSE)</f>
        <v>green</v>
      </c>
      <c r="I82" s="7" t="str">
        <f>VLOOKUP(D82,[1]characters!$A:$K,11,FALSE)</f>
        <v>hp</v>
      </c>
      <c r="J82" s="7" t="str">
        <f>VLOOKUP(D82,[1]characters!$A:$M,13,FALSE)</f>
        <v>god</v>
      </c>
      <c r="K82" s="7" t="str">
        <f>VLOOKUP(D82,[1]characters!$A:$G,7,FALSE)</f>
        <v>女性</v>
      </c>
      <c r="L82" s="66">
        <f>IFERROR(VLOOKUP(D82,input_1!L:R,7,FALSE),VLOOKUP(tables_1!B82,input_1!A:H,8,FALSE))</f>
        <v>154791</v>
      </c>
      <c r="M82" s="67">
        <f t="shared" si="3"/>
        <v>5.9594594594594595E-3</v>
      </c>
      <c r="N82" s="31">
        <f>IFERROR(VLOOKUP($D82,bug_conf_sheet!$A:$H,3,FALSE),VLOOKUP("other",bug_conf_sheet!$A:$H,3,FALSE))</f>
        <v>1</v>
      </c>
      <c r="O82" s="31">
        <f>IFERROR(VLOOKUP($D82,bug_conf_sheet!$A:$H,4,FALSE),VLOOKUP("other",bug_conf_sheet!$A:$H,4,FALSE))</f>
        <v>0</v>
      </c>
      <c r="P82" s="31">
        <f>IFERROR(VLOOKUP($D82,bug_conf_sheet!$A:$H,5,FALSE),VLOOKUP("other",bug_conf_sheet!$A:$H,5,FALSE))</f>
        <v>0</v>
      </c>
      <c r="Q82" s="31">
        <f>IFERROR(VLOOKUP($D82,bug_conf_sheet!$A:$H,6,FALSE),VLOOKUP("other",bug_conf_sheet!$A:$H,6,FALSE))</f>
        <v>0</v>
      </c>
      <c r="R82" s="31">
        <f>IFERROR(VLOOKUP($D82,bug_conf_sheet!$A:$H,7,FALSE),VLOOKUP("other",bug_conf_sheet!$A:$H,7,FALSE))</f>
        <v>0</v>
      </c>
      <c r="S82" s="31">
        <f>IFERROR(VLOOKUP($D82,bug_conf_sheet!$A:$H,8,FALSE),VLOOKUP("other",bug_conf_sheet!$A:$H,8,FALSE))</f>
        <v>1</v>
      </c>
    </row>
    <row r="83" spans="1:19" ht="21" hidden="1" customHeight="1">
      <c r="A83" s="2">
        <f>input_1!A$2</f>
        <v>3121</v>
      </c>
      <c r="B83" s="7" t="str">
        <f t="shared" si="4"/>
        <v>Premium5</v>
      </c>
      <c r="C83" s="7" t="str">
        <f t="shared" si="5"/>
        <v>Premium</v>
      </c>
      <c r="D83" s="5">
        <v>207</v>
      </c>
      <c r="E83" s="7" t="str">
        <f>VLOOKUP(D83,[1]characters!$A:$C,3,FALSE)</f>
        <v>豊穣の麗神・アフロディーテ</v>
      </c>
      <c r="F83" s="7" t="str">
        <f>VLOOKUP(D83,[1]characters!$A:$J,10,FALSE)</f>
        <v>PremiumN</v>
      </c>
      <c r="G83" s="7">
        <f>VLOOKUP(D83,[1]characters!$A:$I,9,FALSE)</f>
        <v>5</v>
      </c>
      <c r="H83" s="7" t="str">
        <f>VLOOKUP(D83,[1]characters!$A:$H,8,FALSE)</f>
        <v>green</v>
      </c>
      <c r="I83" s="7" t="str">
        <f>VLOOKUP(D83,[1]characters!$A:$K,11,FALSE)</f>
        <v>hp</v>
      </c>
      <c r="J83" s="7" t="str">
        <f>VLOOKUP(D83,[1]characters!$A:$M,13,FALSE)</f>
        <v>god</v>
      </c>
      <c r="K83" s="7" t="str">
        <f>VLOOKUP(D83,[1]characters!$A:$G,7,FALSE)</f>
        <v>女性</v>
      </c>
      <c r="L83" s="66">
        <f>IFERROR(VLOOKUP(D83,input_1!L:R,7,FALSE),VLOOKUP(tables_1!B83,input_1!A:H,8,FALSE))</f>
        <v>23569</v>
      </c>
      <c r="M83" s="67">
        <f t="shared" si="3"/>
        <v>9.0740740740740745E-4</v>
      </c>
      <c r="N83" s="31">
        <f>IFERROR(VLOOKUP($D83,bug_conf_sheet!$A:$H,3,FALSE),VLOOKUP("other",bug_conf_sheet!$A:$H,3,FALSE))</f>
        <v>1</v>
      </c>
      <c r="O83" s="31">
        <f>IFERROR(VLOOKUP($D83,bug_conf_sheet!$A:$H,4,FALSE),VLOOKUP("other",bug_conf_sheet!$A:$H,4,FALSE))</f>
        <v>0</v>
      </c>
      <c r="P83" s="31">
        <f>IFERROR(VLOOKUP($D83,bug_conf_sheet!$A:$H,5,FALSE),VLOOKUP("other",bug_conf_sheet!$A:$H,5,FALSE))</f>
        <v>0</v>
      </c>
      <c r="Q83" s="31">
        <f>IFERROR(VLOOKUP($D83,bug_conf_sheet!$A:$H,6,FALSE),VLOOKUP("other",bug_conf_sheet!$A:$H,6,FALSE))</f>
        <v>0</v>
      </c>
      <c r="R83" s="31">
        <f>IFERROR(VLOOKUP($D83,bug_conf_sheet!$A:$H,7,FALSE),VLOOKUP("other",bug_conf_sheet!$A:$H,7,FALSE))</f>
        <v>0</v>
      </c>
      <c r="S83" s="31">
        <f>IFERROR(VLOOKUP($D83,bug_conf_sheet!$A:$H,8,FALSE),VLOOKUP("other",bug_conf_sheet!$A:$H,8,FALSE))</f>
        <v>1</v>
      </c>
    </row>
    <row r="84" spans="1:19" ht="21" hidden="1" customHeight="1">
      <c r="A84" s="2">
        <f>input_1!A$2</f>
        <v>3121</v>
      </c>
      <c r="B84" s="7" t="str">
        <f t="shared" si="4"/>
        <v>Premium3</v>
      </c>
      <c r="C84" s="7" t="str">
        <f t="shared" si="5"/>
        <v>Premium</v>
      </c>
      <c r="D84" s="5">
        <v>208</v>
      </c>
      <c r="E84" s="7" t="str">
        <f>VLOOKUP(D84,[1]characters!$A:$C,3,FALSE)</f>
        <v>テティス</v>
      </c>
      <c r="F84" s="7" t="str">
        <f>VLOOKUP(D84,[1]characters!$A:$J,10,FALSE)</f>
        <v>PremiumN</v>
      </c>
      <c r="G84" s="7">
        <f>VLOOKUP(D84,[1]characters!$A:$I,9,FALSE)</f>
        <v>3</v>
      </c>
      <c r="H84" s="7" t="str">
        <f>VLOOKUP(D84,[1]characters!$A:$H,8,FALSE)</f>
        <v>blue</v>
      </c>
      <c r="I84" s="7" t="str">
        <f>VLOOKUP(D84,[1]characters!$A:$K,11,FALSE)</f>
        <v>hp</v>
      </c>
      <c r="J84" s="7" t="str">
        <f>VLOOKUP(D84,[1]characters!$A:$M,13,FALSE)</f>
        <v>god</v>
      </c>
      <c r="K84" s="7" t="str">
        <f>VLOOKUP(D84,[1]characters!$A:$G,7,FALSE)</f>
        <v>女性</v>
      </c>
      <c r="L84" s="66">
        <f>IFERROR(VLOOKUP(D84,input_1!L:R,7,FALSE),VLOOKUP(tables_1!B84,input_1!A:H,8,FALSE))</f>
        <v>175500</v>
      </c>
      <c r="M84" s="67">
        <f t="shared" si="3"/>
        <v>6.7567567567567571E-3</v>
      </c>
      <c r="N84" s="31">
        <f>IFERROR(VLOOKUP($D84,bug_conf_sheet!$A:$H,3,FALSE),VLOOKUP("other",bug_conf_sheet!$A:$H,3,FALSE))</f>
        <v>1</v>
      </c>
      <c r="O84" s="31">
        <f>IFERROR(VLOOKUP($D84,bug_conf_sheet!$A:$H,4,FALSE),VLOOKUP("other",bug_conf_sheet!$A:$H,4,FALSE))</f>
        <v>0</v>
      </c>
      <c r="P84" s="31">
        <f>IFERROR(VLOOKUP($D84,bug_conf_sheet!$A:$H,5,FALSE),VLOOKUP("other",bug_conf_sheet!$A:$H,5,FALSE))</f>
        <v>0</v>
      </c>
      <c r="Q84" s="31">
        <f>IFERROR(VLOOKUP($D84,bug_conf_sheet!$A:$H,6,FALSE),VLOOKUP("other",bug_conf_sheet!$A:$H,6,FALSE))</f>
        <v>0</v>
      </c>
      <c r="R84" s="31">
        <f>IFERROR(VLOOKUP($D84,bug_conf_sheet!$A:$H,7,FALSE),VLOOKUP("other",bug_conf_sheet!$A:$H,7,FALSE))</f>
        <v>0</v>
      </c>
      <c r="S84" s="31">
        <f>IFERROR(VLOOKUP($D84,bug_conf_sheet!$A:$H,8,FALSE),VLOOKUP("other",bug_conf_sheet!$A:$H,8,FALSE))</f>
        <v>1</v>
      </c>
    </row>
    <row r="85" spans="1:19" ht="21" hidden="1" customHeight="1">
      <c r="A85" s="2">
        <f>input_1!A$2</f>
        <v>3121</v>
      </c>
      <c r="B85" s="7" t="str">
        <f t="shared" si="4"/>
        <v>Premium4</v>
      </c>
      <c r="C85" s="7" t="str">
        <f t="shared" si="5"/>
        <v>Premium</v>
      </c>
      <c r="D85" s="5">
        <v>209</v>
      </c>
      <c r="E85" s="7" t="str">
        <f>VLOOKUP(D85,[1]characters!$A:$C,3,FALSE)</f>
        <v>孤神 テティス</v>
      </c>
      <c r="F85" s="7" t="str">
        <f>VLOOKUP(D85,[1]characters!$A:$J,10,FALSE)</f>
        <v>PremiumN</v>
      </c>
      <c r="G85" s="7">
        <f>VLOOKUP(D85,[1]characters!$A:$I,9,FALSE)</f>
        <v>4</v>
      </c>
      <c r="H85" s="7" t="str">
        <f>VLOOKUP(D85,[1]characters!$A:$H,8,FALSE)</f>
        <v>blue</v>
      </c>
      <c r="I85" s="7" t="str">
        <f>VLOOKUP(D85,[1]characters!$A:$K,11,FALSE)</f>
        <v>hp</v>
      </c>
      <c r="J85" s="7" t="str">
        <f>VLOOKUP(D85,[1]characters!$A:$M,13,FALSE)</f>
        <v>god</v>
      </c>
      <c r="K85" s="7" t="str">
        <f>VLOOKUP(D85,[1]characters!$A:$G,7,FALSE)</f>
        <v>女性</v>
      </c>
      <c r="L85" s="66">
        <f>IFERROR(VLOOKUP(D85,input_1!L:R,7,FALSE),VLOOKUP(tables_1!B85,input_1!A:H,8,FALSE))</f>
        <v>154791</v>
      </c>
      <c r="M85" s="67">
        <f t="shared" si="3"/>
        <v>5.9594594594594595E-3</v>
      </c>
      <c r="N85" s="31">
        <f>IFERROR(VLOOKUP($D85,bug_conf_sheet!$A:$H,3,FALSE),VLOOKUP("other",bug_conf_sheet!$A:$H,3,FALSE))</f>
        <v>1</v>
      </c>
      <c r="O85" s="31">
        <f>IFERROR(VLOOKUP($D85,bug_conf_sheet!$A:$H,4,FALSE),VLOOKUP("other",bug_conf_sheet!$A:$H,4,FALSE))</f>
        <v>0</v>
      </c>
      <c r="P85" s="31">
        <f>IFERROR(VLOOKUP($D85,bug_conf_sheet!$A:$H,5,FALSE),VLOOKUP("other",bug_conf_sheet!$A:$H,5,FALSE))</f>
        <v>0</v>
      </c>
      <c r="Q85" s="31">
        <f>IFERROR(VLOOKUP($D85,bug_conf_sheet!$A:$H,6,FALSE),VLOOKUP("other",bug_conf_sheet!$A:$H,6,FALSE))</f>
        <v>0</v>
      </c>
      <c r="R85" s="31">
        <f>IFERROR(VLOOKUP($D85,bug_conf_sheet!$A:$H,7,FALSE),VLOOKUP("other",bug_conf_sheet!$A:$H,7,FALSE))</f>
        <v>0</v>
      </c>
      <c r="S85" s="31">
        <f>IFERROR(VLOOKUP($D85,bug_conf_sheet!$A:$H,8,FALSE),VLOOKUP("other",bug_conf_sheet!$A:$H,8,FALSE))</f>
        <v>1</v>
      </c>
    </row>
    <row r="86" spans="1:19" ht="21" hidden="1" customHeight="1">
      <c r="A86" s="2">
        <f>input_1!A$2</f>
        <v>3121</v>
      </c>
      <c r="B86" s="7" t="str">
        <f t="shared" si="4"/>
        <v>Premium5</v>
      </c>
      <c r="C86" s="7" t="str">
        <f t="shared" si="5"/>
        <v>Premium</v>
      </c>
      <c r="D86" s="5">
        <v>210</v>
      </c>
      <c r="E86" s="7" t="str">
        <f>VLOOKUP(D86,[1]characters!$A:$C,3,FALSE)</f>
        <v>海底の孤高神 テティス</v>
      </c>
      <c r="F86" s="7" t="str">
        <f>VLOOKUP(D86,[1]characters!$A:$J,10,FALSE)</f>
        <v>PremiumN</v>
      </c>
      <c r="G86" s="7">
        <f>VLOOKUP(D86,[1]characters!$A:$I,9,FALSE)</f>
        <v>5</v>
      </c>
      <c r="H86" s="7" t="str">
        <f>VLOOKUP(D86,[1]characters!$A:$H,8,FALSE)</f>
        <v>blue</v>
      </c>
      <c r="I86" s="7" t="str">
        <f>VLOOKUP(D86,[1]characters!$A:$K,11,FALSE)</f>
        <v>hp</v>
      </c>
      <c r="J86" s="7" t="str">
        <f>VLOOKUP(D86,[1]characters!$A:$M,13,FALSE)</f>
        <v>god</v>
      </c>
      <c r="K86" s="7" t="str">
        <f>VLOOKUP(D86,[1]characters!$A:$G,7,FALSE)</f>
        <v>女性</v>
      </c>
      <c r="L86" s="66">
        <f>IFERROR(VLOOKUP(D86,input_1!L:R,7,FALSE),VLOOKUP(tables_1!B86,input_1!A:H,8,FALSE))</f>
        <v>23569</v>
      </c>
      <c r="M86" s="67">
        <f t="shared" si="3"/>
        <v>9.0740740740740745E-4</v>
      </c>
      <c r="N86" s="31">
        <f>IFERROR(VLOOKUP($D86,bug_conf_sheet!$A:$H,3,FALSE),VLOOKUP("other",bug_conf_sheet!$A:$H,3,FALSE))</f>
        <v>1</v>
      </c>
      <c r="O86" s="31">
        <f>IFERROR(VLOOKUP($D86,bug_conf_sheet!$A:$H,4,FALSE),VLOOKUP("other",bug_conf_sheet!$A:$H,4,FALSE))</f>
        <v>0</v>
      </c>
      <c r="P86" s="31">
        <f>IFERROR(VLOOKUP($D86,bug_conf_sheet!$A:$H,5,FALSE),VLOOKUP("other",bug_conf_sheet!$A:$H,5,FALSE))</f>
        <v>0</v>
      </c>
      <c r="Q86" s="31">
        <f>IFERROR(VLOOKUP($D86,bug_conf_sheet!$A:$H,6,FALSE),VLOOKUP("other",bug_conf_sheet!$A:$H,6,FALSE))</f>
        <v>0</v>
      </c>
      <c r="R86" s="31">
        <f>IFERROR(VLOOKUP($D86,bug_conf_sheet!$A:$H,7,FALSE),VLOOKUP("other",bug_conf_sheet!$A:$H,7,FALSE))</f>
        <v>0</v>
      </c>
      <c r="S86" s="31">
        <f>IFERROR(VLOOKUP($D86,bug_conf_sheet!$A:$H,8,FALSE),VLOOKUP("other",bug_conf_sheet!$A:$H,8,FALSE))</f>
        <v>1</v>
      </c>
    </row>
    <row r="87" spans="1:19" ht="21" hidden="1" customHeight="1">
      <c r="A87" s="2">
        <f>input_1!A$2</f>
        <v>3121</v>
      </c>
      <c r="B87" s="7" t="str">
        <f t="shared" si="4"/>
        <v>Premium3</v>
      </c>
      <c r="C87" s="7" t="str">
        <f t="shared" si="5"/>
        <v>Premium</v>
      </c>
      <c r="D87" s="5">
        <v>211</v>
      </c>
      <c r="E87" s="7" t="str">
        <f>VLOOKUP(D87,[1]characters!$A:$C,3,FALSE)</f>
        <v>アストライアー</v>
      </c>
      <c r="F87" s="7" t="str">
        <f>VLOOKUP(D87,[1]characters!$A:$J,10,FALSE)</f>
        <v>PremiumN</v>
      </c>
      <c r="G87" s="7">
        <f>VLOOKUP(D87,[1]characters!$A:$I,9,FALSE)</f>
        <v>3</v>
      </c>
      <c r="H87" s="7" t="str">
        <f>VLOOKUP(D87,[1]characters!$A:$H,8,FALSE)</f>
        <v>yellow</v>
      </c>
      <c r="I87" s="7" t="str">
        <f>VLOOKUP(D87,[1]characters!$A:$K,11,FALSE)</f>
        <v>balance</v>
      </c>
      <c r="J87" s="7" t="str">
        <f>VLOOKUP(D87,[1]characters!$A:$M,13,FALSE)</f>
        <v>god</v>
      </c>
      <c r="K87" s="7" t="str">
        <f>VLOOKUP(D87,[1]characters!$A:$G,7,FALSE)</f>
        <v>女性</v>
      </c>
      <c r="L87" s="66">
        <f>IFERROR(VLOOKUP(D87,input_1!L:R,7,FALSE),VLOOKUP(tables_1!B87,input_1!A:H,8,FALSE))</f>
        <v>175500</v>
      </c>
      <c r="M87" s="67">
        <f t="shared" si="3"/>
        <v>6.7567567567567571E-3</v>
      </c>
      <c r="N87" s="31">
        <f>IFERROR(VLOOKUP($D87,bug_conf_sheet!$A:$H,3,FALSE),VLOOKUP("other",bug_conf_sheet!$A:$H,3,FALSE))</f>
        <v>1</v>
      </c>
      <c r="O87" s="31">
        <f>IFERROR(VLOOKUP($D87,bug_conf_sheet!$A:$H,4,FALSE),VLOOKUP("other",bug_conf_sheet!$A:$H,4,FALSE))</f>
        <v>0</v>
      </c>
      <c r="P87" s="31">
        <f>IFERROR(VLOOKUP($D87,bug_conf_sheet!$A:$H,5,FALSE),VLOOKUP("other",bug_conf_sheet!$A:$H,5,FALSE))</f>
        <v>0</v>
      </c>
      <c r="Q87" s="31">
        <f>IFERROR(VLOOKUP($D87,bug_conf_sheet!$A:$H,6,FALSE),VLOOKUP("other",bug_conf_sheet!$A:$H,6,FALSE))</f>
        <v>0</v>
      </c>
      <c r="R87" s="31">
        <f>IFERROR(VLOOKUP($D87,bug_conf_sheet!$A:$H,7,FALSE),VLOOKUP("other",bug_conf_sheet!$A:$H,7,FALSE))</f>
        <v>0</v>
      </c>
      <c r="S87" s="31">
        <f>IFERROR(VLOOKUP($D87,bug_conf_sheet!$A:$H,8,FALSE),VLOOKUP("other",bug_conf_sheet!$A:$H,8,FALSE))</f>
        <v>1</v>
      </c>
    </row>
    <row r="88" spans="1:19" ht="21" hidden="1" customHeight="1">
      <c r="A88" s="2">
        <f>input_1!A$2</f>
        <v>3121</v>
      </c>
      <c r="B88" s="7" t="str">
        <f t="shared" si="4"/>
        <v>Premium4</v>
      </c>
      <c r="C88" s="7" t="str">
        <f t="shared" si="5"/>
        <v>Premium</v>
      </c>
      <c r="D88" s="5">
        <v>212</v>
      </c>
      <c r="E88" s="7" t="str">
        <f>VLOOKUP(D88,[1]characters!$A:$C,3,FALSE)</f>
        <v>星神 アストライアー</v>
      </c>
      <c r="F88" s="7" t="str">
        <f>VLOOKUP(D88,[1]characters!$A:$J,10,FALSE)</f>
        <v>PremiumN</v>
      </c>
      <c r="G88" s="7">
        <f>VLOOKUP(D88,[1]characters!$A:$I,9,FALSE)</f>
        <v>4</v>
      </c>
      <c r="H88" s="7" t="str">
        <f>VLOOKUP(D88,[1]characters!$A:$H,8,FALSE)</f>
        <v>yellow</v>
      </c>
      <c r="I88" s="7" t="str">
        <f>VLOOKUP(D88,[1]characters!$A:$K,11,FALSE)</f>
        <v>balance</v>
      </c>
      <c r="J88" s="7" t="str">
        <f>VLOOKUP(D88,[1]characters!$A:$M,13,FALSE)</f>
        <v>god</v>
      </c>
      <c r="K88" s="7" t="str">
        <f>VLOOKUP(D88,[1]characters!$A:$G,7,FALSE)</f>
        <v>女性</v>
      </c>
      <c r="L88" s="66">
        <f>IFERROR(VLOOKUP(D88,input_1!L:R,7,FALSE),VLOOKUP(tables_1!B88,input_1!A:H,8,FALSE))</f>
        <v>154791</v>
      </c>
      <c r="M88" s="67">
        <f t="shared" si="3"/>
        <v>5.9594594594594595E-3</v>
      </c>
      <c r="N88" s="31">
        <f>IFERROR(VLOOKUP($D88,bug_conf_sheet!$A:$H,3,FALSE),VLOOKUP("other",bug_conf_sheet!$A:$H,3,FALSE))</f>
        <v>1</v>
      </c>
      <c r="O88" s="31">
        <f>IFERROR(VLOOKUP($D88,bug_conf_sheet!$A:$H,4,FALSE),VLOOKUP("other",bug_conf_sheet!$A:$H,4,FALSE))</f>
        <v>0</v>
      </c>
      <c r="P88" s="31">
        <f>IFERROR(VLOOKUP($D88,bug_conf_sheet!$A:$H,5,FALSE),VLOOKUP("other",bug_conf_sheet!$A:$H,5,FALSE))</f>
        <v>0</v>
      </c>
      <c r="Q88" s="31">
        <f>IFERROR(VLOOKUP($D88,bug_conf_sheet!$A:$H,6,FALSE),VLOOKUP("other",bug_conf_sheet!$A:$H,6,FALSE))</f>
        <v>0</v>
      </c>
      <c r="R88" s="31">
        <f>IFERROR(VLOOKUP($D88,bug_conf_sheet!$A:$H,7,FALSE),VLOOKUP("other",bug_conf_sheet!$A:$H,7,FALSE))</f>
        <v>0</v>
      </c>
      <c r="S88" s="31">
        <f>IFERROR(VLOOKUP($D88,bug_conf_sheet!$A:$H,8,FALSE),VLOOKUP("other",bug_conf_sheet!$A:$H,8,FALSE))</f>
        <v>1</v>
      </c>
    </row>
    <row r="89" spans="1:19" ht="21" hidden="1" customHeight="1">
      <c r="A89" s="2">
        <f>input_1!A$2</f>
        <v>3121</v>
      </c>
      <c r="B89" s="7" t="str">
        <f t="shared" si="4"/>
        <v>Premium5</v>
      </c>
      <c r="C89" s="7" t="str">
        <f t="shared" si="5"/>
        <v>Premium</v>
      </c>
      <c r="D89" s="5">
        <v>213</v>
      </c>
      <c r="E89" s="7" t="str">
        <f>VLOOKUP(D89,[1]characters!$A:$C,3,FALSE)</f>
        <v>満天の星降神 アストライアー</v>
      </c>
      <c r="F89" s="7" t="str">
        <f>VLOOKUP(D89,[1]characters!$A:$J,10,FALSE)</f>
        <v>PremiumN</v>
      </c>
      <c r="G89" s="7">
        <f>VLOOKUP(D89,[1]characters!$A:$I,9,FALSE)</f>
        <v>5</v>
      </c>
      <c r="H89" s="7" t="str">
        <f>VLOOKUP(D89,[1]characters!$A:$H,8,FALSE)</f>
        <v>yellow</v>
      </c>
      <c r="I89" s="7" t="str">
        <f>VLOOKUP(D89,[1]characters!$A:$K,11,FALSE)</f>
        <v>balance</v>
      </c>
      <c r="J89" s="7" t="str">
        <f>VLOOKUP(D89,[1]characters!$A:$M,13,FALSE)</f>
        <v>god</v>
      </c>
      <c r="K89" s="7" t="str">
        <f>VLOOKUP(D89,[1]characters!$A:$G,7,FALSE)</f>
        <v>女性</v>
      </c>
      <c r="L89" s="66">
        <f>IFERROR(VLOOKUP(D89,input_1!L:R,7,FALSE),VLOOKUP(tables_1!B89,input_1!A:H,8,FALSE))</f>
        <v>23569</v>
      </c>
      <c r="M89" s="67">
        <f t="shared" si="3"/>
        <v>9.0740740740740745E-4</v>
      </c>
      <c r="N89" s="31">
        <f>IFERROR(VLOOKUP($D89,bug_conf_sheet!$A:$H,3,FALSE),VLOOKUP("other",bug_conf_sheet!$A:$H,3,FALSE))</f>
        <v>1</v>
      </c>
      <c r="O89" s="31">
        <f>IFERROR(VLOOKUP($D89,bug_conf_sheet!$A:$H,4,FALSE),VLOOKUP("other",bug_conf_sheet!$A:$H,4,FALSE))</f>
        <v>0</v>
      </c>
      <c r="P89" s="31">
        <f>IFERROR(VLOOKUP($D89,bug_conf_sheet!$A:$H,5,FALSE),VLOOKUP("other",bug_conf_sheet!$A:$H,5,FALSE))</f>
        <v>0</v>
      </c>
      <c r="Q89" s="31">
        <f>IFERROR(VLOOKUP($D89,bug_conf_sheet!$A:$H,6,FALSE),VLOOKUP("other",bug_conf_sheet!$A:$H,6,FALSE))</f>
        <v>0</v>
      </c>
      <c r="R89" s="31">
        <f>IFERROR(VLOOKUP($D89,bug_conf_sheet!$A:$H,7,FALSE),VLOOKUP("other",bug_conf_sheet!$A:$H,7,FALSE))</f>
        <v>0</v>
      </c>
      <c r="S89" s="31">
        <f>IFERROR(VLOOKUP($D89,bug_conf_sheet!$A:$H,8,FALSE),VLOOKUP("other",bug_conf_sheet!$A:$H,8,FALSE))</f>
        <v>1</v>
      </c>
    </row>
    <row r="90" spans="1:19" ht="21" hidden="1" customHeight="1">
      <c r="A90" s="2">
        <f>input_1!A$2</f>
        <v>3121</v>
      </c>
      <c r="B90" s="7" t="str">
        <f t="shared" si="4"/>
        <v>Premium3</v>
      </c>
      <c r="C90" s="7" t="str">
        <f t="shared" si="5"/>
        <v>Premium</v>
      </c>
      <c r="D90" s="5">
        <v>214</v>
      </c>
      <c r="E90" s="7" t="str">
        <f>VLOOKUP(D90,[1]characters!$A:$C,3,FALSE)</f>
        <v>アズラエル</v>
      </c>
      <c r="F90" s="7" t="str">
        <f>VLOOKUP(D90,[1]characters!$A:$J,10,FALSE)</f>
        <v>PremiumN</v>
      </c>
      <c r="G90" s="7">
        <f>VLOOKUP(D90,[1]characters!$A:$I,9,FALSE)</f>
        <v>3</v>
      </c>
      <c r="H90" s="7" t="str">
        <f>VLOOKUP(D90,[1]characters!$A:$H,8,FALSE)</f>
        <v>red</v>
      </c>
      <c r="I90" s="7" t="str">
        <f>VLOOKUP(D90,[1]characters!$A:$K,11,FALSE)</f>
        <v>balance</v>
      </c>
      <c r="J90" s="7" t="str">
        <f>VLOOKUP(D90,[1]characters!$A:$M,13,FALSE)</f>
        <v>god</v>
      </c>
      <c r="K90" s="7" t="str">
        <f>VLOOKUP(D90,[1]characters!$A:$G,7,FALSE)</f>
        <v>女性</v>
      </c>
      <c r="L90" s="66">
        <f>IFERROR(VLOOKUP(D90,input_1!L:R,7,FALSE),VLOOKUP(tables_1!B90,input_1!A:H,8,FALSE))</f>
        <v>175500</v>
      </c>
      <c r="M90" s="67">
        <f t="shared" si="3"/>
        <v>6.7567567567567571E-3</v>
      </c>
      <c r="N90" s="31">
        <f>IFERROR(VLOOKUP($D90,bug_conf_sheet!$A:$H,3,FALSE),VLOOKUP("other",bug_conf_sheet!$A:$H,3,FALSE))</f>
        <v>1</v>
      </c>
      <c r="O90" s="31">
        <f>IFERROR(VLOOKUP($D90,bug_conf_sheet!$A:$H,4,FALSE),VLOOKUP("other",bug_conf_sheet!$A:$H,4,FALSE))</f>
        <v>0</v>
      </c>
      <c r="P90" s="31">
        <f>IFERROR(VLOOKUP($D90,bug_conf_sheet!$A:$H,5,FALSE),VLOOKUP("other",bug_conf_sheet!$A:$H,5,FALSE))</f>
        <v>0</v>
      </c>
      <c r="Q90" s="31">
        <f>IFERROR(VLOOKUP($D90,bug_conf_sheet!$A:$H,6,FALSE),VLOOKUP("other",bug_conf_sheet!$A:$H,6,FALSE))</f>
        <v>0</v>
      </c>
      <c r="R90" s="31">
        <f>IFERROR(VLOOKUP($D90,bug_conf_sheet!$A:$H,7,FALSE),VLOOKUP("other",bug_conf_sheet!$A:$H,7,FALSE))</f>
        <v>0</v>
      </c>
      <c r="S90" s="31">
        <f>IFERROR(VLOOKUP($D90,bug_conf_sheet!$A:$H,8,FALSE),VLOOKUP("other",bug_conf_sheet!$A:$H,8,FALSE))</f>
        <v>1</v>
      </c>
    </row>
    <row r="91" spans="1:19" ht="21" hidden="1" customHeight="1">
      <c r="A91" s="2">
        <f>input_1!A$2</f>
        <v>3121</v>
      </c>
      <c r="B91" s="7" t="str">
        <f t="shared" si="4"/>
        <v>Premium4</v>
      </c>
      <c r="C91" s="7" t="str">
        <f t="shared" si="5"/>
        <v>Premium</v>
      </c>
      <c r="D91" s="5">
        <v>215</v>
      </c>
      <c r="E91" s="7" t="str">
        <f>VLOOKUP(D91,[1]characters!$A:$C,3,FALSE)</f>
        <v>死導者 アズラエル</v>
      </c>
      <c r="F91" s="7" t="str">
        <f>VLOOKUP(D91,[1]characters!$A:$J,10,FALSE)</f>
        <v>PremiumN</v>
      </c>
      <c r="G91" s="7">
        <f>VLOOKUP(D91,[1]characters!$A:$I,9,FALSE)</f>
        <v>4</v>
      </c>
      <c r="H91" s="7" t="str">
        <f>VLOOKUP(D91,[1]characters!$A:$H,8,FALSE)</f>
        <v>red</v>
      </c>
      <c r="I91" s="7" t="str">
        <f>VLOOKUP(D91,[1]characters!$A:$K,11,FALSE)</f>
        <v>balance</v>
      </c>
      <c r="J91" s="7" t="str">
        <f>VLOOKUP(D91,[1]characters!$A:$M,13,FALSE)</f>
        <v>god</v>
      </c>
      <c r="K91" s="7" t="str">
        <f>VLOOKUP(D91,[1]characters!$A:$G,7,FALSE)</f>
        <v>女性</v>
      </c>
      <c r="L91" s="66">
        <f>IFERROR(VLOOKUP(D91,input_1!L:R,7,FALSE),VLOOKUP(tables_1!B91,input_1!A:H,8,FALSE))</f>
        <v>154791</v>
      </c>
      <c r="M91" s="67">
        <f t="shared" si="3"/>
        <v>5.9594594594594595E-3</v>
      </c>
      <c r="N91" s="31">
        <f>IFERROR(VLOOKUP($D91,bug_conf_sheet!$A:$H,3,FALSE),VLOOKUP("other",bug_conf_sheet!$A:$H,3,FALSE))</f>
        <v>1</v>
      </c>
      <c r="O91" s="31">
        <f>IFERROR(VLOOKUP($D91,bug_conf_sheet!$A:$H,4,FALSE),VLOOKUP("other",bug_conf_sheet!$A:$H,4,FALSE))</f>
        <v>0</v>
      </c>
      <c r="P91" s="31">
        <f>IFERROR(VLOOKUP($D91,bug_conf_sheet!$A:$H,5,FALSE),VLOOKUP("other",bug_conf_sheet!$A:$H,5,FALSE))</f>
        <v>0</v>
      </c>
      <c r="Q91" s="31">
        <f>IFERROR(VLOOKUP($D91,bug_conf_sheet!$A:$H,6,FALSE),VLOOKUP("other",bug_conf_sheet!$A:$H,6,FALSE))</f>
        <v>0</v>
      </c>
      <c r="R91" s="31">
        <f>IFERROR(VLOOKUP($D91,bug_conf_sheet!$A:$H,7,FALSE),VLOOKUP("other",bug_conf_sheet!$A:$H,7,FALSE))</f>
        <v>0</v>
      </c>
      <c r="S91" s="31">
        <f>IFERROR(VLOOKUP($D91,bug_conf_sheet!$A:$H,8,FALSE),VLOOKUP("other",bug_conf_sheet!$A:$H,8,FALSE))</f>
        <v>1</v>
      </c>
    </row>
    <row r="92" spans="1:19" ht="21" hidden="1" customHeight="1">
      <c r="A92" s="2">
        <f>input_1!A$2</f>
        <v>3121</v>
      </c>
      <c r="B92" s="7" t="str">
        <f t="shared" si="4"/>
        <v>Premium5</v>
      </c>
      <c r="C92" s="7" t="str">
        <f t="shared" si="5"/>
        <v>Premium</v>
      </c>
      <c r="D92" s="5">
        <v>216</v>
      </c>
      <c r="E92" s="7" t="str">
        <f>VLOOKUP(D92,[1]characters!$A:$C,3,FALSE)</f>
        <v>百読の死導司書 アズラエル</v>
      </c>
      <c r="F92" s="7" t="str">
        <f>VLOOKUP(D92,[1]characters!$A:$J,10,FALSE)</f>
        <v>PremiumN</v>
      </c>
      <c r="G92" s="7">
        <f>VLOOKUP(D92,[1]characters!$A:$I,9,FALSE)</f>
        <v>5</v>
      </c>
      <c r="H92" s="7" t="str">
        <f>VLOOKUP(D92,[1]characters!$A:$H,8,FALSE)</f>
        <v>red</v>
      </c>
      <c r="I92" s="7" t="str">
        <f>VLOOKUP(D92,[1]characters!$A:$K,11,FALSE)</f>
        <v>balance</v>
      </c>
      <c r="J92" s="7" t="str">
        <f>VLOOKUP(D92,[1]characters!$A:$M,13,FALSE)</f>
        <v>god</v>
      </c>
      <c r="K92" s="7" t="str">
        <f>VLOOKUP(D92,[1]characters!$A:$G,7,FALSE)</f>
        <v>女性</v>
      </c>
      <c r="L92" s="66">
        <f>IFERROR(VLOOKUP(D92,input_1!L:R,7,FALSE),VLOOKUP(tables_1!B92,input_1!A:H,8,FALSE))</f>
        <v>23569</v>
      </c>
      <c r="M92" s="67">
        <f t="shared" si="3"/>
        <v>9.0740740740740745E-4</v>
      </c>
      <c r="N92" s="31">
        <f>IFERROR(VLOOKUP($D92,bug_conf_sheet!$A:$H,3,FALSE),VLOOKUP("other",bug_conf_sheet!$A:$H,3,FALSE))</f>
        <v>1</v>
      </c>
      <c r="O92" s="31">
        <f>IFERROR(VLOOKUP($D92,bug_conf_sheet!$A:$H,4,FALSE),VLOOKUP("other",bug_conf_sheet!$A:$H,4,FALSE))</f>
        <v>0</v>
      </c>
      <c r="P92" s="31">
        <f>IFERROR(VLOOKUP($D92,bug_conf_sheet!$A:$H,5,FALSE),VLOOKUP("other",bug_conf_sheet!$A:$H,5,FALSE))</f>
        <v>0</v>
      </c>
      <c r="Q92" s="31">
        <f>IFERROR(VLOOKUP($D92,bug_conf_sheet!$A:$H,6,FALSE),VLOOKUP("other",bug_conf_sheet!$A:$H,6,FALSE))</f>
        <v>0</v>
      </c>
      <c r="R92" s="31">
        <f>IFERROR(VLOOKUP($D92,bug_conf_sheet!$A:$H,7,FALSE),VLOOKUP("other",bug_conf_sheet!$A:$H,7,FALSE))</f>
        <v>0</v>
      </c>
      <c r="S92" s="31">
        <f>IFERROR(VLOOKUP($D92,bug_conf_sheet!$A:$H,8,FALSE),VLOOKUP("other",bug_conf_sheet!$A:$H,8,FALSE))</f>
        <v>1</v>
      </c>
    </row>
    <row r="93" spans="1:19" ht="21" hidden="1" customHeight="1">
      <c r="A93" s="2">
        <f>input_1!A$2</f>
        <v>3121</v>
      </c>
      <c r="B93" s="7" t="str">
        <f t="shared" si="4"/>
        <v>Premium3</v>
      </c>
      <c r="C93" s="7" t="str">
        <f t="shared" si="5"/>
        <v>Premium</v>
      </c>
      <c r="D93" s="5">
        <v>217</v>
      </c>
      <c r="E93" s="7" t="str">
        <f>VLOOKUP(D93,[1]characters!$A:$C,3,FALSE)</f>
        <v>ケツァクアトル</v>
      </c>
      <c r="F93" s="7" t="str">
        <f>VLOOKUP(D93,[1]characters!$A:$J,10,FALSE)</f>
        <v>PremiumN</v>
      </c>
      <c r="G93" s="7">
        <f>VLOOKUP(D93,[1]characters!$A:$I,9,FALSE)</f>
        <v>3</v>
      </c>
      <c r="H93" s="7" t="str">
        <f>VLOOKUP(D93,[1]characters!$A:$H,8,FALSE)</f>
        <v>green</v>
      </c>
      <c r="I93" s="7" t="str">
        <f>VLOOKUP(D93,[1]characters!$A:$K,11,FALSE)</f>
        <v>hp</v>
      </c>
      <c r="J93" s="7" t="str">
        <f>VLOOKUP(D93,[1]characters!$A:$M,13,FALSE)</f>
        <v>dragon</v>
      </c>
      <c r="K93" s="7" t="str">
        <f>VLOOKUP(D93,[1]characters!$A:$G,7,FALSE)</f>
        <v>女性</v>
      </c>
      <c r="L93" s="66">
        <f>IFERROR(VLOOKUP(D93,input_1!L:R,7,FALSE),VLOOKUP(tables_1!B93,input_1!A:H,8,FALSE))</f>
        <v>175500</v>
      </c>
      <c r="M93" s="67">
        <f t="shared" si="3"/>
        <v>6.7567567567567571E-3</v>
      </c>
      <c r="N93" s="31">
        <f>IFERROR(VLOOKUP($D93,bug_conf_sheet!$A:$H,3,FALSE),VLOOKUP("other",bug_conf_sheet!$A:$H,3,FALSE))</f>
        <v>1</v>
      </c>
      <c r="O93" s="31">
        <f>IFERROR(VLOOKUP($D93,bug_conf_sheet!$A:$H,4,FALSE),VLOOKUP("other",bug_conf_sheet!$A:$H,4,FALSE))</f>
        <v>0</v>
      </c>
      <c r="P93" s="31">
        <f>IFERROR(VLOOKUP($D93,bug_conf_sheet!$A:$H,5,FALSE),VLOOKUP("other",bug_conf_sheet!$A:$H,5,FALSE))</f>
        <v>0</v>
      </c>
      <c r="Q93" s="31">
        <f>IFERROR(VLOOKUP($D93,bug_conf_sheet!$A:$H,6,FALSE),VLOOKUP("other",bug_conf_sheet!$A:$H,6,FALSE))</f>
        <v>0</v>
      </c>
      <c r="R93" s="31">
        <f>IFERROR(VLOOKUP($D93,bug_conf_sheet!$A:$H,7,FALSE),VLOOKUP("other",bug_conf_sheet!$A:$H,7,FALSE))</f>
        <v>0</v>
      </c>
      <c r="S93" s="31">
        <f>IFERROR(VLOOKUP($D93,bug_conf_sheet!$A:$H,8,FALSE),VLOOKUP("other",bug_conf_sheet!$A:$H,8,FALSE))</f>
        <v>1</v>
      </c>
    </row>
    <row r="94" spans="1:19" ht="21" hidden="1" customHeight="1">
      <c r="A94" s="2">
        <f>input_1!A$2</f>
        <v>3121</v>
      </c>
      <c r="B94" s="7" t="str">
        <f t="shared" si="4"/>
        <v>Premium4</v>
      </c>
      <c r="C94" s="7" t="str">
        <f t="shared" si="5"/>
        <v>Premium</v>
      </c>
      <c r="D94" s="5">
        <v>218</v>
      </c>
      <c r="E94" s="7" t="str">
        <f>VLOOKUP(D94,[1]characters!$A:$C,3,FALSE)</f>
        <v>聖蛇 ケツァクアトル</v>
      </c>
      <c r="F94" s="7" t="str">
        <f>VLOOKUP(D94,[1]characters!$A:$J,10,FALSE)</f>
        <v>PremiumN</v>
      </c>
      <c r="G94" s="7">
        <f>VLOOKUP(D94,[1]characters!$A:$I,9,FALSE)</f>
        <v>4</v>
      </c>
      <c r="H94" s="7" t="str">
        <f>VLOOKUP(D94,[1]characters!$A:$H,8,FALSE)</f>
        <v>green</v>
      </c>
      <c r="I94" s="7" t="str">
        <f>VLOOKUP(D94,[1]characters!$A:$K,11,FALSE)</f>
        <v>hp</v>
      </c>
      <c r="J94" s="7" t="str">
        <f>VLOOKUP(D94,[1]characters!$A:$M,13,FALSE)</f>
        <v>dragon</v>
      </c>
      <c r="K94" s="7" t="str">
        <f>VLOOKUP(D94,[1]characters!$A:$G,7,FALSE)</f>
        <v>女性</v>
      </c>
      <c r="L94" s="66">
        <f>IFERROR(VLOOKUP(D94,input_1!L:R,7,FALSE),VLOOKUP(tables_1!B94,input_1!A:H,8,FALSE))</f>
        <v>154791</v>
      </c>
      <c r="M94" s="67">
        <f t="shared" si="3"/>
        <v>5.9594594594594595E-3</v>
      </c>
      <c r="N94" s="31">
        <f>IFERROR(VLOOKUP($D94,bug_conf_sheet!$A:$H,3,FALSE),VLOOKUP("other",bug_conf_sheet!$A:$H,3,FALSE))</f>
        <v>1</v>
      </c>
      <c r="O94" s="31">
        <f>IFERROR(VLOOKUP($D94,bug_conf_sheet!$A:$H,4,FALSE),VLOOKUP("other",bug_conf_sheet!$A:$H,4,FALSE))</f>
        <v>0</v>
      </c>
      <c r="P94" s="31">
        <f>IFERROR(VLOOKUP($D94,bug_conf_sheet!$A:$H,5,FALSE),VLOOKUP("other",bug_conf_sheet!$A:$H,5,FALSE))</f>
        <v>0</v>
      </c>
      <c r="Q94" s="31">
        <f>IFERROR(VLOOKUP($D94,bug_conf_sheet!$A:$H,6,FALSE),VLOOKUP("other",bug_conf_sheet!$A:$H,6,FALSE))</f>
        <v>0</v>
      </c>
      <c r="R94" s="31">
        <f>IFERROR(VLOOKUP($D94,bug_conf_sheet!$A:$H,7,FALSE),VLOOKUP("other",bug_conf_sheet!$A:$H,7,FALSE))</f>
        <v>0</v>
      </c>
      <c r="S94" s="31">
        <f>IFERROR(VLOOKUP($D94,bug_conf_sheet!$A:$H,8,FALSE),VLOOKUP("other",bug_conf_sheet!$A:$H,8,FALSE))</f>
        <v>1</v>
      </c>
    </row>
    <row r="95" spans="1:19" ht="21" hidden="1" customHeight="1">
      <c r="A95" s="2">
        <f>input_1!A$2</f>
        <v>3121</v>
      </c>
      <c r="B95" s="7" t="str">
        <f t="shared" si="4"/>
        <v>Premium5</v>
      </c>
      <c r="C95" s="7" t="str">
        <f t="shared" si="5"/>
        <v>Premium</v>
      </c>
      <c r="D95" s="5">
        <v>219</v>
      </c>
      <c r="E95" s="7" t="str">
        <f>VLOOKUP(D95,[1]characters!$A:$C,3,FALSE)</f>
        <v>覇翼の聖蛇竜 ケツァクアトル</v>
      </c>
      <c r="F95" s="7" t="str">
        <f>VLOOKUP(D95,[1]characters!$A:$J,10,FALSE)</f>
        <v>PremiumN</v>
      </c>
      <c r="G95" s="7">
        <f>VLOOKUP(D95,[1]characters!$A:$I,9,FALSE)</f>
        <v>5</v>
      </c>
      <c r="H95" s="7" t="str">
        <f>VLOOKUP(D95,[1]characters!$A:$H,8,FALSE)</f>
        <v>green</v>
      </c>
      <c r="I95" s="7" t="str">
        <f>VLOOKUP(D95,[1]characters!$A:$K,11,FALSE)</f>
        <v>hp</v>
      </c>
      <c r="J95" s="7" t="str">
        <f>VLOOKUP(D95,[1]characters!$A:$M,13,FALSE)</f>
        <v>dragon</v>
      </c>
      <c r="K95" s="7" t="str">
        <f>VLOOKUP(D95,[1]characters!$A:$G,7,FALSE)</f>
        <v>女性</v>
      </c>
      <c r="L95" s="66">
        <f>IFERROR(VLOOKUP(D95,input_1!L:R,7,FALSE),VLOOKUP(tables_1!B95,input_1!A:H,8,FALSE))</f>
        <v>23569</v>
      </c>
      <c r="M95" s="67">
        <f t="shared" si="3"/>
        <v>9.0740740740740745E-4</v>
      </c>
      <c r="N95" s="31">
        <f>IFERROR(VLOOKUP($D95,bug_conf_sheet!$A:$H,3,FALSE),VLOOKUP("other",bug_conf_sheet!$A:$H,3,FALSE))</f>
        <v>1</v>
      </c>
      <c r="O95" s="31">
        <f>IFERROR(VLOOKUP($D95,bug_conf_sheet!$A:$H,4,FALSE),VLOOKUP("other",bug_conf_sheet!$A:$H,4,FALSE))</f>
        <v>0</v>
      </c>
      <c r="P95" s="31">
        <f>IFERROR(VLOOKUP($D95,bug_conf_sheet!$A:$H,5,FALSE),VLOOKUP("other",bug_conf_sheet!$A:$H,5,FALSE))</f>
        <v>0</v>
      </c>
      <c r="Q95" s="31">
        <f>IFERROR(VLOOKUP($D95,bug_conf_sheet!$A:$H,6,FALSE),VLOOKUP("other",bug_conf_sheet!$A:$H,6,FALSE))</f>
        <v>0</v>
      </c>
      <c r="R95" s="31">
        <f>IFERROR(VLOOKUP($D95,bug_conf_sheet!$A:$H,7,FALSE),VLOOKUP("other",bug_conf_sheet!$A:$H,7,FALSE))</f>
        <v>0</v>
      </c>
      <c r="S95" s="31">
        <f>IFERROR(VLOOKUP($D95,bug_conf_sheet!$A:$H,8,FALSE),VLOOKUP("other",bug_conf_sheet!$A:$H,8,FALSE))</f>
        <v>1</v>
      </c>
    </row>
    <row r="96" spans="1:19" ht="21" hidden="1" customHeight="1">
      <c r="A96" s="2">
        <f>input_1!A$2</f>
        <v>3121</v>
      </c>
      <c r="B96" s="7" t="str">
        <f t="shared" si="4"/>
        <v>Premium3</v>
      </c>
      <c r="C96" s="7" t="str">
        <f t="shared" si="5"/>
        <v>Premium</v>
      </c>
      <c r="D96" s="5">
        <v>220</v>
      </c>
      <c r="E96" s="7" t="str">
        <f>VLOOKUP(D96,[1]characters!$A:$C,3,FALSE)</f>
        <v>ルキフグス</v>
      </c>
      <c r="F96" s="7" t="str">
        <f>VLOOKUP(D96,[1]characters!$A:$J,10,FALSE)</f>
        <v>PremiumN</v>
      </c>
      <c r="G96" s="7">
        <f>VLOOKUP(D96,[1]characters!$A:$I,9,FALSE)</f>
        <v>3</v>
      </c>
      <c r="H96" s="7" t="str">
        <f>VLOOKUP(D96,[1]characters!$A:$H,8,FALSE)</f>
        <v>blue</v>
      </c>
      <c r="I96" s="7" t="str">
        <f>VLOOKUP(D96,[1]characters!$A:$K,11,FALSE)</f>
        <v>balance</v>
      </c>
      <c r="J96" s="7" t="str">
        <f>VLOOKUP(D96,[1]characters!$A:$M,13,FALSE)</f>
        <v>god</v>
      </c>
      <c r="K96" s="7" t="str">
        <f>VLOOKUP(D96,[1]characters!$A:$G,7,FALSE)</f>
        <v>女性</v>
      </c>
      <c r="L96" s="66">
        <f>IFERROR(VLOOKUP(D96,input_1!L:R,7,FALSE),VLOOKUP(tables_1!B96,input_1!A:H,8,FALSE))</f>
        <v>175500</v>
      </c>
      <c r="M96" s="67">
        <f t="shared" si="3"/>
        <v>6.7567567567567571E-3</v>
      </c>
      <c r="N96" s="31">
        <f>IFERROR(VLOOKUP($D96,bug_conf_sheet!$A:$H,3,FALSE),VLOOKUP("other",bug_conf_sheet!$A:$H,3,FALSE))</f>
        <v>1</v>
      </c>
      <c r="O96" s="31">
        <f>IFERROR(VLOOKUP($D96,bug_conf_sheet!$A:$H,4,FALSE),VLOOKUP("other",bug_conf_sheet!$A:$H,4,FALSE))</f>
        <v>0</v>
      </c>
      <c r="P96" s="31">
        <f>IFERROR(VLOOKUP($D96,bug_conf_sheet!$A:$H,5,FALSE),VLOOKUP("other",bug_conf_sheet!$A:$H,5,FALSE))</f>
        <v>0</v>
      </c>
      <c r="Q96" s="31">
        <f>IFERROR(VLOOKUP($D96,bug_conf_sheet!$A:$H,6,FALSE),VLOOKUP("other",bug_conf_sheet!$A:$H,6,FALSE))</f>
        <v>0</v>
      </c>
      <c r="R96" s="31">
        <f>IFERROR(VLOOKUP($D96,bug_conf_sheet!$A:$H,7,FALSE),VLOOKUP("other",bug_conf_sheet!$A:$H,7,FALSE))</f>
        <v>0</v>
      </c>
      <c r="S96" s="31">
        <f>IFERROR(VLOOKUP($D96,bug_conf_sheet!$A:$H,8,FALSE),VLOOKUP("other",bug_conf_sheet!$A:$H,8,FALSE))</f>
        <v>1</v>
      </c>
    </row>
    <row r="97" spans="1:19" ht="21" hidden="1" customHeight="1">
      <c r="A97" s="2">
        <f>input_1!A$2</f>
        <v>3121</v>
      </c>
      <c r="B97" s="7" t="str">
        <f t="shared" si="4"/>
        <v>Premium4</v>
      </c>
      <c r="C97" s="7" t="str">
        <f t="shared" si="5"/>
        <v>Premium</v>
      </c>
      <c r="D97" s="5">
        <v>221</v>
      </c>
      <c r="E97" s="7" t="str">
        <f>VLOOKUP(D97,[1]characters!$A:$C,3,FALSE)</f>
        <v>宰相 ルキフグス</v>
      </c>
      <c r="F97" s="7" t="str">
        <f>VLOOKUP(D97,[1]characters!$A:$J,10,FALSE)</f>
        <v>PremiumN</v>
      </c>
      <c r="G97" s="7">
        <f>VLOOKUP(D97,[1]characters!$A:$I,9,FALSE)</f>
        <v>4</v>
      </c>
      <c r="H97" s="7" t="str">
        <f>VLOOKUP(D97,[1]characters!$A:$H,8,FALSE)</f>
        <v>blue</v>
      </c>
      <c r="I97" s="7" t="str">
        <f>VLOOKUP(D97,[1]characters!$A:$K,11,FALSE)</f>
        <v>balance</v>
      </c>
      <c r="J97" s="7" t="str">
        <f>VLOOKUP(D97,[1]characters!$A:$M,13,FALSE)</f>
        <v>god</v>
      </c>
      <c r="K97" s="7" t="str">
        <f>VLOOKUP(D97,[1]characters!$A:$G,7,FALSE)</f>
        <v>女性</v>
      </c>
      <c r="L97" s="66">
        <f>IFERROR(VLOOKUP(D97,input_1!L:R,7,FALSE),VLOOKUP(tables_1!B97,input_1!A:H,8,FALSE))</f>
        <v>154791</v>
      </c>
      <c r="M97" s="67">
        <f t="shared" si="3"/>
        <v>5.9594594594594595E-3</v>
      </c>
      <c r="N97" s="31">
        <f>IFERROR(VLOOKUP($D97,bug_conf_sheet!$A:$H,3,FALSE),VLOOKUP("other",bug_conf_sheet!$A:$H,3,FALSE))</f>
        <v>1</v>
      </c>
      <c r="O97" s="31">
        <f>IFERROR(VLOOKUP($D97,bug_conf_sheet!$A:$H,4,FALSE),VLOOKUP("other",bug_conf_sheet!$A:$H,4,FALSE))</f>
        <v>0</v>
      </c>
      <c r="P97" s="31">
        <f>IFERROR(VLOOKUP($D97,bug_conf_sheet!$A:$H,5,FALSE),VLOOKUP("other",bug_conf_sheet!$A:$H,5,FALSE))</f>
        <v>0</v>
      </c>
      <c r="Q97" s="31">
        <f>IFERROR(VLOOKUP($D97,bug_conf_sheet!$A:$H,6,FALSE),VLOOKUP("other",bug_conf_sheet!$A:$H,6,FALSE))</f>
        <v>0</v>
      </c>
      <c r="R97" s="31">
        <f>IFERROR(VLOOKUP($D97,bug_conf_sheet!$A:$H,7,FALSE),VLOOKUP("other",bug_conf_sheet!$A:$H,7,FALSE))</f>
        <v>0</v>
      </c>
      <c r="S97" s="31">
        <f>IFERROR(VLOOKUP($D97,bug_conf_sheet!$A:$H,8,FALSE),VLOOKUP("other",bug_conf_sheet!$A:$H,8,FALSE))</f>
        <v>1</v>
      </c>
    </row>
    <row r="98" spans="1:19" ht="21" hidden="1" customHeight="1">
      <c r="A98" s="2">
        <f>input_1!A$2</f>
        <v>3121</v>
      </c>
      <c r="B98" s="7" t="str">
        <f t="shared" si="4"/>
        <v>Premium5</v>
      </c>
      <c r="C98" s="7" t="str">
        <f t="shared" si="5"/>
        <v>Premium</v>
      </c>
      <c r="D98" s="5">
        <v>222</v>
      </c>
      <c r="E98" s="7" t="str">
        <f>VLOOKUP(D98,[1]characters!$A:$C,3,FALSE)</f>
        <v>避光の鉄鎖宰相 ルキフグス</v>
      </c>
      <c r="F98" s="7" t="str">
        <f>VLOOKUP(D98,[1]characters!$A:$J,10,FALSE)</f>
        <v>PremiumN</v>
      </c>
      <c r="G98" s="7">
        <f>VLOOKUP(D98,[1]characters!$A:$I,9,FALSE)</f>
        <v>5</v>
      </c>
      <c r="H98" s="7" t="str">
        <f>VLOOKUP(D98,[1]characters!$A:$H,8,FALSE)</f>
        <v>blue</v>
      </c>
      <c r="I98" s="7" t="str">
        <f>VLOOKUP(D98,[1]characters!$A:$K,11,FALSE)</f>
        <v>balance</v>
      </c>
      <c r="J98" s="7" t="str">
        <f>VLOOKUP(D98,[1]characters!$A:$M,13,FALSE)</f>
        <v>god</v>
      </c>
      <c r="K98" s="7" t="str">
        <f>VLOOKUP(D98,[1]characters!$A:$G,7,FALSE)</f>
        <v>女性</v>
      </c>
      <c r="L98" s="66">
        <f>IFERROR(VLOOKUP(D98,input_1!L:R,7,FALSE),VLOOKUP(tables_1!B98,input_1!A:H,8,FALSE))</f>
        <v>23569</v>
      </c>
      <c r="M98" s="67">
        <f t="shared" si="3"/>
        <v>9.0740740740740745E-4</v>
      </c>
      <c r="N98" s="31">
        <f>IFERROR(VLOOKUP($D98,bug_conf_sheet!$A:$H,3,FALSE),VLOOKUP("other",bug_conf_sheet!$A:$H,3,FALSE))</f>
        <v>1</v>
      </c>
      <c r="O98" s="31">
        <f>IFERROR(VLOOKUP($D98,bug_conf_sheet!$A:$H,4,FALSE),VLOOKUP("other",bug_conf_sheet!$A:$H,4,FALSE))</f>
        <v>0</v>
      </c>
      <c r="P98" s="31">
        <f>IFERROR(VLOOKUP($D98,bug_conf_sheet!$A:$H,5,FALSE),VLOOKUP("other",bug_conf_sheet!$A:$H,5,FALSE))</f>
        <v>0</v>
      </c>
      <c r="Q98" s="31">
        <f>IFERROR(VLOOKUP($D98,bug_conf_sheet!$A:$H,6,FALSE),VLOOKUP("other",bug_conf_sheet!$A:$H,6,FALSE))</f>
        <v>0</v>
      </c>
      <c r="R98" s="31">
        <f>IFERROR(VLOOKUP($D98,bug_conf_sheet!$A:$H,7,FALSE),VLOOKUP("other",bug_conf_sheet!$A:$H,7,FALSE))</f>
        <v>0</v>
      </c>
      <c r="S98" s="31">
        <f>IFERROR(VLOOKUP($D98,bug_conf_sheet!$A:$H,8,FALSE),VLOOKUP("other",bug_conf_sheet!$A:$H,8,FALSE))</f>
        <v>1</v>
      </c>
    </row>
    <row r="99" spans="1:19" ht="21" hidden="1" customHeight="1">
      <c r="A99" s="2">
        <f>input_1!A$2</f>
        <v>3121</v>
      </c>
      <c r="B99" s="7" t="str">
        <f t="shared" si="4"/>
        <v>Premium3</v>
      </c>
      <c r="C99" s="7" t="str">
        <f t="shared" si="5"/>
        <v>Premium</v>
      </c>
      <c r="D99" s="5">
        <v>223</v>
      </c>
      <c r="E99" s="7" t="str">
        <f>VLOOKUP(D99,[1]characters!$A:$C,3,FALSE)</f>
        <v>ヘラクレス</v>
      </c>
      <c r="F99" s="7" t="str">
        <f>VLOOKUP(D99,[1]characters!$A:$J,10,FALSE)</f>
        <v>PremiumN</v>
      </c>
      <c r="G99" s="7">
        <f>VLOOKUP(D99,[1]characters!$A:$I,9,FALSE)</f>
        <v>3</v>
      </c>
      <c r="H99" s="7" t="str">
        <f>VLOOKUP(D99,[1]characters!$A:$H,8,FALSE)</f>
        <v>yellow</v>
      </c>
      <c r="I99" s="7" t="str">
        <f>VLOOKUP(D99,[1]characters!$A:$K,11,FALSE)</f>
        <v>balance</v>
      </c>
      <c r="J99" s="7" t="str">
        <f>VLOOKUP(D99,[1]characters!$A:$M,13,FALSE)</f>
        <v>human</v>
      </c>
      <c r="K99" s="7" t="str">
        <f>VLOOKUP(D99,[1]characters!$A:$G,7,FALSE)</f>
        <v>男性</v>
      </c>
      <c r="L99" s="66">
        <f>IFERROR(VLOOKUP(D99,input_1!L:R,7,FALSE),VLOOKUP(tables_1!B99,input_1!A:H,8,FALSE))</f>
        <v>175500</v>
      </c>
      <c r="M99" s="67">
        <f t="shared" si="3"/>
        <v>6.7567567567567571E-3</v>
      </c>
      <c r="N99" s="31">
        <f>IFERROR(VLOOKUP($D99,bug_conf_sheet!$A:$H,3,FALSE),VLOOKUP("other",bug_conf_sheet!$A:$H,3,FALSE))</f>
        <v>1</v>
      </c>
      <c r="O99" s="31">
        <f>IFERROR(VLOOKUP($D99,bug_conf_sheet!$A:$H,4,FALSE),VLOOKUP("other",bug_conf_sheet!$A:$H,4,FALSE))</f>
        <v>0</v>
      </c>
      <c r="P99" s="31">
        <f>IFERROR(VLOOKUP($D99,bug_conf_sheet!$A:$H,5,FALSE),VLOOKUP("other",bug_conf_sheet!$A:$H,5,FALSE))</f>
        <v>0</v>
      </c>
      <c r="Q99" s="31">
        <f>IFERROR(VLOOKUP($D99,bug_conf_sheet!$A:$H,6,FALSE),VLOOKUP("other",bug_conf_sheet!$A:$H,6,FALSE))</f>
        <v>0</v>
      </c>
      <c r="R99" s="31">
        <f>IFERROR(VLOOKUP($D99,bug_conf_sheet!$A:$H,7,FALSE),VLOOKUP("other",bug_conf_sheet!$A:$H,7,FALSE))</f>
        <v>0</v>
      </c>
      <c r="S99" s="31">
        <f>IFERROR(VLOOKUP($D99,bug_conf_sheet!$A:$H,8,FALSE),VLOOKUP("other",bug_conf_sheet!$A:$H,8,FALSE))</f>
        <v>1</v>
      </c>
    </row>
    <row r="100" spans="1:19" ht="21" hidden="1" customHeight="1">
      <c r="A100" s="2">
        <f>input_1!A$2</f>
        <v>3121</v>
      </c>
      <c r="B100" s="7" t="str">
        <f t="shared" si="4"/>
        <v>Premium4</v>
      </c>
      <c r="C100" s="7" t="str">
        <f t="shared" si="5"/>
        <v>Premium</v>
      </c>
      <c r="D100" s="5">
        <v>224</v>
      </c>
      <c r="E100" s="7" t="str">
        <f>VLOOKUP(D100,[1]characters!$A:$C,3,FALSE)</f>
        <v>巨腕 ヘラクレス</v>
      </c>
      <c r="F100" s="7" t="str">
        <f>VLOOKUP(D100,[1]characters!$A:$J,10,FALSE)</f>
        <v>PremiumN</v>
      </c>
      <c r="G100" s="7">
        <f>VLOOKUP(D100,[1]characters!$A:$I,9,FALSE)</f>
        <v>4</v>
      </c>
      <c r="H100" s="7" t="str">
        <f>VLOOKUP(D100,[1]characters!$A:$H,8,FALSE)</f>
        <v>yellow</v>
      </c>
      <c r="I100" s="7" t="str">
        <f>VLOOKUP(D100,[1]characters!$A:$K,11,FALSE)</f>
        <v>balance</v>
      </c>
      <c r="J100" s="7" t="str">
        <f>VLOOKUP(D100,[1]characters!$A:$M,13,FALSE)</f>
        <v>human</v>
      </c>
      <c r="K100" s="7" t="str">
        <f>VLOOKUP(D100,[1]characters!$A:$G,7,FALSE)</f>
        <v>男性</v>
      </c>
      <c r="L100" s="66">
        <f>IFERROR(VLOOKUP(D100,input_1!L:R,7,FALSE),VLOOKUP(tables_1!B100,input_1!A:H,8,FALSE))</f>
        <v>154791</v>
      </c>
      <c r="M100" s="67">
        <f t="shared" si="3"/>
        <v>5.9594594594594595E-3</v>
      </c>
      <c r="N100" s="31">
        <f>IFERROR(VLOOKUP($D100,bug_conf_sheet!$A:$H,3,FALSE),VLOOKUP("other",bug_conf_sheet!$A:$H,3,FALSE))</f>
        <v>1</v>
      </c>
      <c r="O100" s="31">
        <f>IFERROR(VLOOKUP($D100,bug_conf_sheet!$A:$H,4,FALSE),VLOOKUP("other",bug_conf_sheet!$A:$H,4,FALSE))</f>
        <v>0</v>
      </c>
      <c r="P100" s="31">
        <f>IFERROR(VLOOKUP($D100,bug_conf_sheet!$A:$H,5,FALSE),VLOOKUP("other",bug_conf_sheet!$A:$H,5,FALSE))</f>
        <v>0</v>
      </c>
      <c r="Q100" s="31">
        <f>IFERROR(VLOOKUP($D100,bug_conf_sheet!$A:$H,6,FALSE),VLOOKUP("other",bug_conf_sheet!$A:$H,6,FALSE))</f>
        <v>0</v>
      </c>
      <c r="R100" s="31">
        <f>IFERROR(VLOOKUP($D100,bug_conf_sheet!$A:$H,7,FALSE),VLOOKUP("other",bug_conf_sheet!$A:$H,7,FALSE))</f>
        <v>0</v>
      </c>
      <c r="S100" s="31">
        <f>IFERROR(VLOOKUP($D100,bug_conf_sheet!$A:$H,8,FALSE),VLOOKUP("other",bug_conf_sheet!$A:$H,8,FALSE))</f>
        <v>1</v>
      </c>
    </row>
    <row r="101" spans="1:19" ht="21" hidden="1" customHeight="1">
      <c r="A101" s="2">
        <f>input_1!A$2</f>
        <v>3121</v>
      </c>
      <c r="B101" s="7" t="str">
        <f t="shared" si="4"/>
        <v>Premium5</v>
      </c>
      <c r="C101" s="7" t="str">
        <f t="shared" si="5"/>
        <v>Premium</v>
      </c>
      <c r="D101" s="5">
        <v>225</v>
      </c>
      <c r="E101" s="7" t="str">
        <f>VLOOKUP(D101,[1]characters!$A:$C,3,FALSE)</f>
        <v>咆哮の巨獅腕 ヘラクレス</v>
      </c>
      <c r="F101" s="7" t="str">
        <f>VLOOKUP(D101,[1]characters!$A:$J,10,FALSE)</f>
        <v>PremiumN</v>
      </c>
      <c r="G101" s="7">
        <f>VLOOKUP(D101,[1]characters!$A:$I,9,FALSE)</f>
        <v>5</v>
      </c>
      <c r="H101" s="7" t="str">
        <f>VLOOKUP(D101,[1]characters!$A:$H,8,FALSE)</f>
        <v>yellow</v>
      </c>
      <c r="I101" s="7" t="str">
        <f>VLOOKUP(D101,[1]characters!$A:$K,11,FALSE)</f>
        <v>balance</v>
      </c>
      <c r="J101" s="7" t="str">
        <f>VLOOKUP(D101,[1]characters!$A:$M,13,FALSE)</f>
        <v>human</v>
      </c>
      <c r="K101" s="7" t="str">
        <f>VLOOKUP(D101,[1]characters!$A:$G,7,FALSE)</f>
        <v>男性</v>
      </c>
      <c r="L101" s="66">
        <f>IFERROR(VLOOKUP(D101,input_1!L:R,7,FALSE),VLOOKUP(tables_1!B101,input_1!A:H,8,FALSE))</f>
        <v>23569</v>
      </c>
      <c r="M101" s="67">
        <f t="shared" si="3"/>
        <v>9.0740740740740745E-4</v>
      </c>
      <c r="N101" s="31">
        <f>IFERROR(VLOOKUP($D101,bug_conf_sheet!$A:$H,3,FALSE),VLOOKUP("other",bug_conf_sheet!$A:$H,3,FALSE))</f>
        <v>1</v>
      </c>
      <c r="O101" s="31">
        <f>IFERROR(VLOOKUP($D101,bug_conf_sheet!$A:$H,4,FALSE),VLOOKUP("other",bug_conf_sheet!$A:$H,4,FALSE))</f>
        <v>0</v>
      </c>
      <c r="P101" s="31">
        <f>IFERROR(VLOOKUP($D101,bug_conf_sheet!$A:$H,5,FALSE),VLOOKUP("other",bug_conf_sheet!$A:$H,5,FALSE))</f>
        <v>0</v>
      </c>
      <c r="Q101" s="31">
        <f>IFERROR(VLOOKUP($D101,bug_conf_sheet!$A:$H,6,FALSE),VLOOKUP("other",bug_conf_sheet!$A:$H,6,FALSE))</f>
        <v>0</v>
      </c>
      <c r="R101" s="31">
        <f>IFERROR(VLOOKUP($D101,bug_conf_sheet!$A:$H,7,FALSE),VLOOKUP("other",bug_conf_sheet!$A:$H,7,FALSE))</f>
        <v>0</v>
      </c>
      <c r="S101" s="31">
        <f>IFERROR(VLOOKUP($D101,bug_conf_sheet!$A:$H,8,FALSE),VLOOKUP("other",bug_conf_sheet!$A:$H,8,FALSE))</f>
        <v>1</v>
      </c>
    </row>
    <row r="102" spans="1:19" ht="21" hidden="1" customHeight="1">
      <c r="A102" s="2">
        <f>input_1!A$2</f>
        <v>3121</v>
      </c>
      <c r="B102" s="7" t="str">
        <f t="shared" si="4"/>
        <v>Premium3</v>
      </c>
      <c r="C102" s="7" t="str">
        <f t="shared" si="5"/>
        <v>Premium</v>
      </c>
      <c r="D102" s="5">
        <v>226</v>
      </c>
      <c r="E102" s="7" t="str">
        <f>VLOOKUP(D102,[1]characters!$A:$C,3,FALSE)</f>
        <v>アレス</v>
      </c>
      <c r="F102" s="7" t="str">
        <f>VLOOKUP(D102,[1]characters!$A:$J,10,FALSE)</f>
        <v>PremiumS</v>
      </c>
      <c r="G102" s="7">
        <f>VLOOKUP(D102,[1]characters!$A:$I,9,FALSE)</f>
        <v>3</v>
      </c>
      <c r="H102" s="7" t="str">
        <f>VLOOKUP(D102,[1]characters!$A:$H,8,FALSE)</f>
        <v>red</v>
      </c>
      <c r="I102" s="7" t="str">
        <f>VLOOKUP(D102,[1]characters!$A:$K,11,FALSE)</f>
        <v>attack</v>
      </c>
      <c r="J102" s="7" t="str">
        <f>VLOOKUP(D102,[1]characters!$A:$M,13,FALSE)</f>
        <v>god</v>
      </c>
      <c r="K102" s="7" t="str">
        <f>VLOOKUP(D102,[1]characters!$A:$G,7,FALSE)</f>
        <v>男性</v>
      </c>
      <c r="L102" s="66">
        <f>IFERROR(VLOOKUP(D102,input_1!L:R,7,FALSE),VLOOKUP(tables_1!B102,input_1!A:H,8,FALSE))</f>
        <v>175500</v>
      </c>
      <c r="M102" s="67">
        <f t="shared" si="3"/>
        <v>6.7567567567567571E-3</v>
      </c>
      <c r="N102" s="31">
        <f>IFERROR(VLOOKUP($D102,bug_conf_sheet!$A:$H,3,FALSE),VLOOKUP("other",bug_conf_sheet!$A:$H,3,FALSE))</f>
        <v>1</v>
      </c>
      <c r="O102" s="31">
        <f>IFERROR(VLOOKUP($D102,bug_conf_sheet!$A:$H,4,FALSE),VLOOKUP("other",bug_conf_sheet!$A:$H,4,FALSE))</f>
        <v>0</v>
      </c>
      <c r="P102" s="31">
        <f>IFERROR(VLOOKUP($D102,bug_conf_sheet!$A:$H,5,FALSE),VLOOKUP("other",bug_conf_sheet!$A:$H,5,FALSE))</f>
        <v>0</v>
      </c>
      <c r="Q102" s="31">
        <f>IFERROR(VLOOKUP($D102,bug_conf_sheet!$A:$H,6,FALSE),VLOOKUP("other",bug_conf_sheet!$A:$H,6,FALSE))</f>
        <v>0</v>
      </c>
      <c r="R102" s="31">
        <f>IFERROR(VLOOKUP($D102,bug_conf_sheet!$A:$H,7,FALSE),VLOOKUP("other",bug_conf_sheet!$A:$H,7,FALSE))</f>
        <v>0</v>
      </c>
      <c r="S102" s="31">
        <f>IFERROR(VLOOKUP($D102,bug_conf_sheet!$A:$H,8,FALSE),VLOOKUP("other",bug_conf_sheet!$A:$H,8,FALSE))</f>
        <v>1</v>
      </c>
    </row>
    <row r="103" spans="1:19" ht="21" hidden="1" customHeight="1">
      <c r="A103" s="2">
        <f>input_1!A$2</f>
        <v>3121</v>
      </c>
      <c r="B103" s="7" t="str">
        <f t="shared" si="4"/>
        <v>Premium4</v>
      </c>
      <c r="C103" s="7" t="str">
        <f t="shared" si="5"/>
        <v>Premium</v>
      </c>
      <c r="D103" s="5">
        <v>227</v>
      </c>
      <c r="E103" s="7" t="str">
        <f>VLOOKUP(D103,[1]characters!$A:$C,3,FALSE)</f>
        <v>滅弾 アレス</v>
      </c>
      <c r="F103" s="7" t="str">
        <f>VLOOKUP(D103,[1]characters!$A:$J,10,FALSE)</f>
        <v>PremiumS</v>
      </c>
      <c r="G103" s="7">
        <f>VLOOKUP(D103,[1]characters!$A:$I,9,FALSE)</f>
        <v>4</v>
      </c>
      <c r="H103" s="7" t="str">
        <f>VLOOKUP(D103,[1]characters!$A:$H,8,FALSE)</f>
        <v>red</v>
      </c>
      <c r="I103" s="7" t="str">
        <f>VLOOKUP(D103,[1]characters!$A:$K,11,FALSE)</f>
        <v>attack</v>
      </c>
      <c r="J103" s="7" t="str">
        <f>VLOOKUP(D103,[1]characters!$A:$M,13,FALSE)</f>
        <v>god</v>
      </c>
      <c r="K103" s="7" t="str">
        <f>VLOOKUP(D103,[1]characters!$A:$G,7,FALSE)</f>
        <v>男性</v>
      </c>
      <c r="L103" s="66">
        <f>IFERROR(VLOOKUP(D103,input_1!L:R,7,FALSE),VLOOKUP(tables_1!B103,input_1!A:H,8,FALSE))</f>
        <v>154791</v>
      </c>
      <c r="M103" s="67">
        <f t="shared" si="3"/>
        <v>5.9594594594594595E-3</v>
      </c>
      <c r="N103" s="31">
        <f>IFERROR(VLOOKUP($D103,bug_conf_sheet!$A:$H,3,FALSE),VLOOKUP("other",bug_conf_sheet!$A:$H,3,FALSE))</f>
        <v>1</v>
      </c>
      <c r="O103" s="31">
        <f>IFERROR(VLOOKUP($D103,bug_conf_sheet!$A:$H,4,FALSE),VLOOKUP("other",bug_conf_sheet!$A:$H,4,FALSE))</f>
        <v>0</v>
      </c>
      <c r="P103" s="31">
        <f>IFERROR(VLOOKUP($D103,bug_conf_sheet!$A:$H,5,FALSE),VLOOKUP("other",bug_conf_sheet!$A:$H,5,FALSE))</f>
        <v>0</v>
      </c>
      <c r="Q103" s="31">
        <f>IFERROR(VLOOKUP($D103,bug_conf_sheet!$A:$H,6,FALSE),VLOOKUP("other",bug_conf_sheet!$A:$H,6,FALSE))</f>
        <v>0</v>
      </c>
      <c r="R103" s="31">
        <f>IFERROR(VLOOKUP($D103,bug_conf_sheet!$A:$H,7,FALSE),VLOOKUP("other",bug_conf_sheet!$A:$H,7,FALSE))</f>
        <v>0</v>
      </c>
      <c r="S103" s="31">
        <f>IFERROR(VLOOKUP($D103,bug_conf_sheet!$A:$H,8,FALSE),VLOOKUP("other",bug_conf_sheet!$A:$H,8,FALSE))</f>
        <v>1</v>
      </c>
    </row>
    <row r="104" spans="1:19" ht="21" hidden="1" customHeight="1">
      <c r="A104" s="2">
        <f>input_1!A$2</f>
        <v>3121</v>
      </c>
      <c r="B104" s="7" t="str">
        <f t="shared" si="4"/>
        <v>Premium5</v>
      </c>
      <c r="C104" s="7" t="str">
        <f t="shared" si="5"/>
        <v>Premium</v>
      </c>
      <c r="D104" s="5">
        <v>228</v>
      </c>
      <c r="E104" s="7" t="str">
        <f>VLOOKUP(D104,[1]characters!$A:$C,3,FALSE)</f>
        <v>殲滅の掃射砲 アレス</v>
      </c>
      <c r="F104" s="7" t="str">
        <f>VLOOKUP(D104,[1]characters!$A:$J,10,FALSE)</f>
        <v>PremiumS</v>
      </c>
      <c r="G104" s="7">
        <f>VLOOKUP(D104,[1]characters!$A:$I,9,FALSE)</f>
        <v>5</v>
      </c>
      <c r="H104" s="7" t="str">
        <f>VLOOKUP(D104,[1]characters!$A:$H,8,FALSE)</f>
        <v>red</v>
      </c>
      <c r="I104" s="7" t="str">
        <f>VLOOKUP(D104,[1]characters!$A:$K,11,FALSE)</f>
        <v>attack</v>
      </c>
      <c r="J104" s="7" t="str">
        <f>VLOOKUP(D104,[1]characters!$A:$M,13,FALSE)</f>
        <v>god</v>
      </c>
      <c r="K104" s="7" t="str">
        <f>VLOOKUP(D104,[1]characters!$A:$G,7,FALSE)</f>
        <v>男性</v>
      </c>
      <c r="L104" s="66">
        <f>IFERROR(VLOOKUP(D104,input_1!L:R,7,FALSE),VLOOKUP(tables_1!B104,input_1!A:H,8,FALSE))</f>
        <v>23569</v>
      </c>
      <c r="M104" s="67">
        <f t="shared" si="3"/>
        <v>9.0740740740740745E-4</v>
      </c>
      <c r="N104" s="31">
        <f>IFERROR(VLOOKUP($D104,bug_conf_sheet!$A:$H,3,FALSE),VLOOKUP("other",bug_conf_sheet!$A:$H,3,FALSE))</f>
        <v>1</v>
      </c>
      <c r="O104" s="31">
        <f>IFERROR(VLOOKUP($D104,bug_conf_sheet!$A:$H,4,FALSE),VLOOKUP("other",bug_conf_sheet!$A:$H,4,FALSE))</f>
        <v>0</v>
      </c>
      <c r="P104" s="31">
        <f>IFERROR(VLOOKUP($D104,bug_conf_sheet!$A:$H,5,FALSE),VLOOKUP("other",bug_conf_sheet!$A:$H,5,FALSE))</f>
        <v>0</v>
      </c>
      <c r="Q104" s="31">
        <f>IFERROR(VLOOKUP($D104,bug_conf_sheet!$A:$H,6,FALSE),VLOOKUP("other",bug_conf_sheet!$A:$H,6,FALSE))</f>
        <v>0</v>
      </c>
      <c r="R104" s="31">
        <f>IFERROR(VLOOKUP($D104,bug_conf_sheet!$A:$H,7,FALSE),VLOOKUP("other",bug_conf_sheet!$A:$H,7,FALSE))</f>
        <v>0</v>
      </c>
      <c r="S104" s="31">
        <f>IFERROR(VLOOKUP($D104,bug_conf_sheet!$A:$H,8,FALSE),VLOOKUP("other",bug_conf_sheet!$A:$H,8,FALSE))</f>
        <v>1</v>
      </c>
    </row>
    <row r="105" spans="1:19" ht="21" hidden="1" customHeight="1">
      <c r="A105" s="2">
        <f>input_1!A$2</f>
        <v>3121</v>
      </c>
      <c r="B105" s="7" t="str">
        <f t="shared" si="4"/>
        <v>Premium3</v>
      </c>
      <c r="C105" s="7" t="str">
        <f t="shared" si="5"/>
        <v>Premium</v>
      </c>
      <c r="D105" s="5">
        <v>229</v>
      </c>
      <c r="E105" s="7" t="str">
        <f>VLOOKUP(D105,[1]characters!$A:$C,3,FALSE)</f>
        <v>ヨルムンガンド</v>
      </c>
      <c r="F105" s="7" t="str">
        <f>VLOOKUP(D105,[1]characters!$A:$J,10,FALSE)</f>
        <v>PremiumS</v>
      </c>
      <c r="G105" s="7">
        <f>VLOOKUP(D105,[1]characters!$A:$I,9,FALSE)</f>
        <v>3</v>
      </c>
      <c r="H105" s="7" t="str">
        <f>VLOOKUP(D105,[1]characters!$A:$H,8,FALSE)</f>
        <v>green</v>
      </c>
      <c r="I105" s="7" t="str">
        <f>VLOOKUP(D105,[1]characters!$A:$K,11,FALSE)</f>
        <v>technical</v>
      </c>
      <c r="J105" s="7" t="str">
        <f>VLOOKUP(D105,[1]characters!$A:$M,13,FALSE)</f>
        <v>dragon</v>
      </c>
      <c r="K105" s="7" t="str">
        <f>VLOOKUP(D105,[1]characters!$A:$G,7,FALSE)</f>
        <v>女性</v>
      </c>
      <c r="L105" s="66">
        <f>IFERROR(VLOOKUP(D105,input_1!L:R,7,FALSE),VLOOKUP(tables_1!B105,input_1!A:H,8,FALSE))</f>
        <v>175500</v>
      </c>
      <c r="M105" s="67">
        <f t="shared" si="3"/>
        <v>6.7567567567567571E-3</v>
      </c>
      <c r="N105" s="31">
        <f>IFERROR(VLOOKUP($D105,bug_conf_sheet!$A:$H,3,FALSE),VLOOKUP("other",bug_conf_sheet!$A:$H,3,FALSE))</f>
        <v>1</v>
      </c>
      <c r="O105" s="31">
        <f>IFERROR(VLOOKUP($D105,bug_conf_sheet!$A:$H,4,FALSE),VLOOKUP("other",bug_conf_sheet!$A:$H,4,FALSE))</f>
        <v>0</v>
      </c>
      <c r="P105" s="31">
        <f>IFERROR(VLOOKUP($D105,bug_conf_sheet!$A:$H,5,FALSE),VLOOKUP("other",bug_conf_sheet!$A:$H,5,FALSE))</f>
        <v>0</v>
      </c>
      <c r="Q105" s="31">
        <f>IFERROR(VLOOKUP($D105,bug_conf_sheet!$A:$H,6,FALSE),VLOOKUP("other",bug_conf_sheet!$A:$H,6,FALSE))</f>
        <v>0</v>
      </c>
      <c r="R105" s="31">
        <f>IFERROR(VLOOKUP($D105,bug_conf_sheet!$A:$H,7,FALSE),VLOOKUP("other",bug_conf_sheet!$A:$H,7,FALSE))</f>
        <v>0</v>
      </c>
      <c r="S105" s="31">
        <f>IFERROR(VLOOKUP($D105,bug_conf_sheet!$A:$H,8,FALSE),VLOOKUP("other",bug_conf_sheet!$A:$H,8,FALSE))</f>
        <v>1</v>
      </c>
    </row>
    <row r="106" spans="1:19" ht="21" hidden="1" customHeight="1">
      <c r="A106" s="2">
        <f>input_1!A$2</f>
        <v>3121</v>
      </c>
      <c r="B106" s="7" t="str">
        <f t="shared" si="4"/>
        <v>Premium4</v>
      </c>
      <c r="C106" s="7" t="str">
        <f t="shared" si="5"/>
        <v>Premium</v>
      </c>
      <c r="D106" s="5">
        <v>230</v>
      </c>
      <c r="E106" s="7" t="str">
        <f>VLOOKUP(D106,[1]characters!$A:$C,3,FALSE)</f>
        <v>毒銃 ヨルムンガンド</v>
      </c>
      <c r="F106" s="7" t="str">
        <f>VLOOKUP(D106,[1]characters!$A:$J,10,FALSE)</f>
        <v>PremiumS</v>
      </c>
      <c r="G106" s="7">
        <f>VLOOKUP(D106,[1]characters!$A:$I,9,FALSE)</f>
        <v>4</v>
      </c>
      <c r="H106" s="7" t="str">
        <f>VLOOKUP(D106,[1]characters!$A:$H,8,FALSE)</f>
        <v>green</v>
      </c>
      <c r="I106" s="7" t="str">
        <f>VLOOKUP(D106,[1]characters!$A:$K,11,FALSE)</f>
        <v>technical</v>
      </c>
      <c r="J106" s="7" t="str">
        <f>VLOOKUP(D106,[1]characters!$A:$M,13,FALSE)</f>
        <v>dragon</v>
      </c>
      <c r="K106" s="7" t="str">
        <f>VLOOKUP(D106,[1]characters!$A:$G,7,FALSE)</f>
        <v>女性</v>
      </c>
      <c r="L106" s="66">
        <f>IFERROR(VLOOKUP(D106,input_1!L:R,7,FALSE),VLOOKUP(tables_1!B106,input_1!A:H,8,FALSE))</f>
        <v>154791</v>
      </c>
      <c r="M106" s="67">
        <f t="shared" si="3"/>
        <v>5.9594594594594595E-3</v>
      </c>
      <c r="N106" s="31">
        <f>IFERROR(VLOOKUP($D106,bug_conf_sheet!$A:$H,3,FALSE),VLOOKUP("other",bug_conf_sheet!$A:$H,3,FALSE))</f>
        <v>1</v>
      </c>
      <c r="O106" s="31">
        <f>IFERROR(VLOOKUP($D106,bug_conf_sheet!$A:$H,4,FALSE),VLOOKUP("other",bug_conf_sheet!$A:$H,4,FALSE))</f>
        <v>0</v>
      </c>
      <c r="P106" s="31">
        <f>IFERROR(VLOOKUP($D106,bug_conf_sheet!$A:$H,5,FALSE),VLOOKUP("other",bug_conf_sheet!$A:$H,5,FALSE))</f>
        <v>0</v>
      </c>
      <c r="Q106" s="31">
        <f>IFERROR(VLOOKUP($D106,bug_conf_sheet!$A:$H,6,FALSE),VLOOKUP("other",bug_conf_sheet!$A:$H,6,FALSE))</f>
        <v>0</v>
      </c>
      <c r="R106" s="31">
        <f>IFERROR(VLOOKUP($D106,bug_conf_sheet!$A:$H,7,FALSE),VLOOKUP("other",bug_conf_sheet!$A:$H,7,FALSE))</f>
        <v>0</v>
      </c>
      <c r="S106" s="31">
        <f>IFERROR(VLOOKUP($D106,bug_conf_sheet!$A:$H,8,FALSE),VLOOKUP("other",bug_conf_sheet!$A:$H,8,FALSE))</f>
        <v>1</v>
      </c>
    </row>
    <row r="107" spans="1:19" ht="21" hidden="1" customHeight="1">
      <c r="A107" s="2">
        <f>input_1!A$2</f>
        <v>3121</v>
      </c>
      <c r="B107" s="7" t="str">
        <f t="shared" si="4"/>
        <v>Premium5</v>
      </c>
      <c r="C107" s="7" t="str">
        <f t="shared" si="5"/>
        <v>Premium</v>
      </c>
      <c r="D107" s="5">
        <v>231</v>
      </c>
      <c r="E107" s="7" t="str">
        <f>VLOOKUP(D107,[1]characters!$A:$C,3,FALSE)</f>
        <v>必中の咬銃 ヨルムンガンド</v>
      </c>
      <c r="F107" s="7" t="str">
        <f>VLOOKUP(D107,[1]characters!$A:$J,10,FALSE)</f>
        <v>PremiumS</v>
      </c>
      <c r="G107" s="7">
        <f>VLOOKUP(D107,[1]characters!$A:$I,9,FALSE)</f>
        <v>5</v>
      </c>
      <c r="H107" s="7" t="str">
        <f>VLOOKUP(D107,[1]characters!$A:$H,8,FALSE)</f>
        <v>green</v>
      </c>
      <c r="I107" s="7" t="str">
        <f>VLOOKUP(D107,[1]characters!$A:$K,11,FALSE)</f>
        <v>technical</v>
      </c>
      <c r="J107" s="7" t="str">
        <f>VLOOKUP(D107,[1]characters!$A:$M,13,FALSE)</f>
        <v>dragon</v>
      </c>
      <c r="K107" s="7" t="str">
        <f>VLOOKUP(D107,[1]characters!$A:$G,7,FALSE)</f>
        <v>女性</v>
      </c>
      <c r="L107" s="66">
        <f>IFERROR(VLOOKUP(D107,input_1!L:R,7,FALSE),VLOOKUP(tables_1!B107,input_1!A:H,8,FALSE))</f>
        <v>23569</v>
      </c>
      <c r="M107" s="67">
        <f t="shared" si="3"/>
        <v>9.0740740740740745E-4</v>
      </c>
      <c r="N107" s="31">
        <f>IFERROR(VLOOKUP($D107,bug_conf_sheet!$A:$H,3,FALSE),VLOOKUP("other",bug_conf_sheet!$A:$H,3,FALSE))</f>
        <v>1</v>
      </c>
      <c r="O107" s="31">
        <f>IFERROR(VLOOKUP($D107,bug_conf_sheet!$A:$H,4,FALSE),VLOOKUP("other",bug_conf_sheet!$A:$H,4,FALSE))</f>
        <v>0</v>
      </c>
      <c r="P107" s="31">
        <f>IFERROR(VLOOKUP($D107,bug_conf_sheet!$A:$H,5,FALSE),VLOOKUP("other",bug_conf_sheet!$A:$H,5,FALSE))</f>
        <v>0</v>
      </c>
      <c r="Q107" s="31">
        <f>IFERROR(VLOOKUP($D107,bug_conf_sheet!$A:$H,6,FALSE),VLOOKUP("other",bug_conf_sheet!$A:$H,6,FALSE))</f>
        <v>0</v>
      </c>
      <c r="R107" s="31">
        <f>IFERROR(VLOOKUP($D107,bug_conf_sheet!$A:$H,7,FALSE),VLOOKUP("other",bug_conf_sheet!$A:$H,7,FALSE))</f>
        <v>0</v>
      </c>
      <c r="S107" s="31">
        <f>IFERROR(VLOOKUP($D107,bug_conf_sheet!$A:$H,8,FALSE),VLOOKUP("other",bug_conf_sheet!$A:$H,8,FALSE))</f>
        <v>1</v>
      </c>
    </row>
    <row r="108" spans="1:19" ht="21" hidden="1" customHeight="1">
      <c r="A108" s="2">
        <f>input_1!A$2</f>
        <v>3121</v>
      </c>
      <c r="B108" s="7" t="str">
        <f t="shared" si="4"/>
        <v>Premium3</v>
      </c>
      <c r="C108" s="7" t="str">
        <f t="shared" si="5"/>
        <v>Premium</v>
      </c>
      <c r="D108" s="5">
        <v>232</v>
      </c>
      <c r="E108" s="7" t="str">
        <f>VLOOKUP(D108,[1]characters!$A:$C,3,FALSE)</f>
        <v>パーシヴァル</v>
      </c>
      <c r="F108" s="7" t="str">
        <f>VLOOKUP(D108,[1]characters!$A:$J,10,FALSE)</f>
        <v>PremiumS</v>
      </c>
      <c r="G108" s="7">
        <f>VLOOKUP(D108,[1]characters!$A:$I,9,FALSE)</f>
        <v>3</v>
      </c>
      <c r="H108" s="7" t="str">
        <f>VLOOKUP(D108,[1]characters!$A:$H,8,FALSE)</f>
        <v>blue</v>
      </c>
      <c r="I108" s="7" t="str">
        <f>VLOOKUP(D108,[1]characters!$A:$K,11,FALSE)</f>
        <v>technical</v>
      </c>
      <c r="J108" s="7" t="str">
        <f>VLOOKUP(D108,[1]characters!$A:$M,13,FALSE)</f>
        <v>human</v>
      </c>
      <c r="K108" s="7" t="str">
        <f>VLOOKUP(D108,[1]characters!$A:$G,7,FALSE)</f>
        <v>女性</v>
      </c>
      <c r="L108" s="66">
        <f>IFERROR(VLOOKUP(D108,input_1!L:R,7,FALSE),VLOOKUP(tables_1!B108,input_1!A:H,8,FALSE))</f>
        <v>175500</v>
      </c>
      <c r="M108" s="67">
        <f t="shared" si="3"/>
        <v>6.7567567567567571E-3</v>
      </c>
      <c r="N108" s="31">
        <f>IFERROR(VLOOKUP($D108,bug_conf_sheet!$A:$H,3,FALSE),VLOOKUP("other",bug_conf_sheet!$A:$H,3,FALSE))</f>
        <v>1</v>
      </c>
      <c r="O108" s="31">
        <f>IFERROR(VLOOKUP($D108,bug_conf_sheet!$A:$H,4,FALSE),VLOOKUP("other",bug_conf_sheet!$A:$H,4,FALSE))</f>
        <v>0</v>
      </c>
      <c r="P108" s="31">
        <f>IFERROR(VLOOKUP($D108,bug_conf_sheet!$A:$H,5,FALSE),VLOOKUP("other",bug_conf_sheet!$A:$H,5,FALSE))</f>
        <v>0</v>
      </c>
      <c r="Q108" s="31">
        <f>IFERROR(VLOOKUP($D108,bug_conf_sheet!$A:$H,6,FALSE),VLOOKUP("other",bug_conf_sheet!$A:$H,6,FALSE))</f>
        <v>0</v>
      </c>
      <c r="R108" s="31">
        <f>IFERROR(VLOOKUP($D108,bug_conf_sheet!$A:$H,7,FALSE),VLOOKUP("other",bug_conf_sheet!$A:$H,7,FALSE))</f>
        <v>0</v>
      </c>
      <c r="S108" s="31">
        <f>IFERROR(VLOOKUP($D108,bug_conf_sheet!$A:$H,8,FALSE),VLOOKUP("other",bug_conf_sheet!$A:$H,8,FALSE))</f>
        <v>1</v>
      </c>
    </row>
    <row r="109" spans="1:19" ht="21" hidden="1" customHeight="1">
      <c r="A109" s="2">
        <f>input_1!A$2</f>
        <v>3121</v>
      </c>
      <c r="B109" s="7" t="str">
        <f t="shared" si="4"/>
        <v>Premium4</v>
      </c>
      <c r="C109" s="7" t="str">
        <f t="shared" si="5"/>
        <v>Premium</v>
      </c>
      <c r="D109" s="5">
        <v>233</v>
      </c>
      <c r="E109" s="7" t="str">
        <f>VLOOKUP(D109,[1]characters!$A:$C,3,FALSE)</f>
        <v>遂行 パーシヴァル</v>
      </c>
      <c r="F109" s="7" t="str">
        <f>VLOOKUP(D109,[1]characters!$A:$J,10,FALSE)</f>
        <v>PremiumS</v>
      </c>
      <c r="G109" s="7">
        <f>VLOOKUP(D109,[1]characters!$A:$I,9,FALSE)</f>
        <v>4</v>
      </c>
      <c r="H109" s="7" t="str">
        <f>VLOOKUP(D109,[1]characters!$A:$H,8,FALSE)</f>
        <v>blue</v>
      </c>
      <c r="I109" s="7" t="str">
        <f>VLOOKUP(D109,[1]characters!$A:$K,11,FALSE)</f>
        <v>technical</v>
      </c>
      <c r="J109" s="7" t="str">
        <f>VLOOKUP(D109,[1]characters!$A:$M,13,FALSE)</f>
        <v>human</v>
      </c>
      <c r="K109" s="7" t="str">
        <f>VLOOKUP(D109,[1]characters!$A:$G,7,FALSE)</f>
        <v>女性</v>
      </c>
      <c r="L109" s="66">
        <f>IFERROR(VLOOKUP(D109,input_1!L:R,7,FALSE),VLOOKUP(tables_1!B109,input_1!A:H,8,FALSE))</f>
        <v>154791</v>
      </c>
      <c r="M109" s="67">
        <f t="shared" si="3"/>
        <v>5.9594594594594595E-3</v>
      </c>
      <c r="N109" s="31">
        <f>IFERROR(VLOOKUP($D109,bug_conf_sheet!$A:$H,3,FALSE),VLOOKUP("other",bug_conf_sheet!$A:$H,3,FALSE))</f>
        <v>1</v>
      </c>
      <c r="O109" s="31">
        <f>IFERROR(VLOOKUP($D109,bug_conf_sheet!$A:$H,4,FALSE),VLOOKUP("other",bug_conf_sheet!$A:$H,4,FALSE))</f>
        <v>0</v>
      </c>
      <c r="P109" s="31">
        <f>IFERROR(VLOOKUP($D109,bug_conf_sheet!$A:$H,5,FALSE),VLOOKUP("other",bug_conf_sheet!$A:$H,5,FALSE))</f>
        <v>0</v>
      </c>
      <c r="Q109" s="31">
        <f>IFERROR(VLOOKUP($D109,bug_conf_sheet!$A:$H,6,FALSE),VLOOKUP("other",bug_conf_sheet!$A:$H,6,FALSE))</f>
        <v>0</v>
      </c>
      <c r="R109" s="31">
        <f>IFERROR(VLOOKUP($D109,bug_conf_sheet!$A:$H,7,FALSE),VLOOKUP("other",bug_conf_sheet!$A:$H,7,FALSE))</f>
        <v>0</v>
      </c>
      <c r="S109" s="31">
        <f>IFERROR(VLOOKUP($D109,bug_conf_sheet!$A:$H,8,FALSE),VLOOKUP("other",bug_conf_sheet!$A:$H,8,FALSE))</f>
        <v>1</v>
      </c>
    </row>
    <row r="110" spans="1:19" ht="21" hidden="1" customHeight="1">
      <c r="A110" s="2">
        <f>input_1!A$2</f>
        <v>3121</v>
      </c>
      <c r="B110" s="7" t="str">
        <f t="shared" si="4"/>
        <v>Premium5</v>
      </c>
      <c r="C110" s="7" t="str">
        <f t="shared" si="5"/>
        <v>Premium</v>
      </c>
      <c r="D110" s="5">
        <v>234</v>
      </c>
      <c r="E110" s="7" t="str">
        <f>VLOOKUP(D110,[1]characters!$A:$C,3,FALSE)</f>
        <v>精密なる照準 パーシヴァル</v>
      </c>
      <c r="F110" s="7" t="str">
        <f>VLOOKUP(D110,[1]characters!$A:$J,10,FALSE)</f>
        <v>PremiumS</v>
      </c>
      <c r="G110" s="7">
        <f>VLOOKUP(D110,[1]characters!$A:$I,9,FALSE)</f>
        <v>5</v>
      </c>
      <c r="H110" s="7" t="str">
        <f>VLOOKUP(D110,[1]characters!$A:$H,8,FALSE)</f>
        <v>blue</v>
      </c>
      <c r="I110" s="7" t="str">
        <f>VLOOKUP(D110,[1]characters!$A:$K,11,FALSE)</f>
        <v>technical</v>
      </c>
      <c r="J110" s="7" t="str">
        <f>VLOOKUP(D110,[1]characters!$A:$M,13,FALSE)</f>
        <v>human</v>
      </c>
      <c r="K110" s="7" t="str">
        <f>VLOOKUP(D110,[1]characters!$A:$G,7,FALSE)</f>
        <v>女性</v>
      </c>
      <c r="L110" s="66">
        <f>IFERROR(VLOOKUP(D110,input_1!L:R,7,FALSE),VLOOKUP(tables_1!B110,input_1!A:H,8,FALSE))</f>
        <v>23569</v>
      </c>
      <c r="M110" s="67">
        <f t="shared" si="3"/>
        <v>9.0740740740740745E-4</v>
      </c>
      <c r="N110" s="31">
        <f>IFERROR(VLOOKUP($D110,bug_conf_sheet!$A:$H,3,FALSE),VLOOKUP("other",bug_conf_sheet!$A:$H,3,FALSE))</f>
        <v>1</v>
      </c>
      <c r="O110" s="31">
        <f>IFERROR(VLOOKUP($D110,bug_conf_sheet!$A:$H,4,FALSE),VLOOKUP("other",bug_conf_sheet!$A:$H,4,FALSE))</f>
        <v>0</v>
      </c>
      <c r="P110" s="31">
        <f>IFERROR(VLOOKUP($D110,bug_conf_sheet!$A:$H,5,FALSE),VLOOKUP("other",bug_conf_sheet!$A:$H,5,FALSE))</f>
        <v>0</v>
      </c>
      <c r="Q110" s="31">
        <f>IFERROR(VLOOKUP($D110,bug_conf_sheet!$A:$H,6,FALSE),VLOOKUP("other",bug_conf_sheet!$A:$H,6,FALSE))</f>
        <v>0</v>
      </c>
      <c r="R110" s="31">
        <f>IFERROR(VLOOKUP($D110,bug_conf_sheet!$A:$H,7,FALSE),VLOOKUP("other",bug_conf_sheet!$A:$H,7,FALSE))</f>
        <v>0</v>
      </c>
      <c r="S110" s="31">
        <f>IFERROR(VLOOKUP($D110,bug_conf_sheet!$A:$H,8,FALSE),VLOOKUP("other",bug_conf_sheet!$A:$H,8,FALSE))</f>
        <v>1</v>
      </c>
    </row>
    <row r="111" spans="1:19" ht="21" hidden="1" customHeight="1">
      <c r="A111" s="2">
        <f>input_1!A$2</f>
        <v>3121</v>
      </c>
      <c r="B111" s="7" t="str">
        <f t="shared" si="4"/>
        <v>Premium3</v>
      </c>
      <c r="C111" s="7" t="str">
        <f t="shared" si="5"/>
        <v>Premium</v>
      </c>
      <c r="D111" s="5">
        <v>235</v>
      </c>
      <c r="E111" s="7" t="str">
        <f>VLOOKUP(D111,[1]characters!$A:$C,3,FALSE)</f>
        <v>イザナミ</v>
      </c>
      <c r="F111" s="7" t="str">
        <f>VLOOKUP(D111,[1]characters!$A:$J,10,FALSE)</f>
        <v>PremiumS</v>
      </c>
      <c r="G111" s="7">
        <f>VLOOKUP(D111,[1]characters!$A:$I,9,FALSE)</f>
        <v>3</v>
      </c>
      <c r="H111" s="7" t="str">
        <f>VLOOKUP(D111,[1]characters!$A:$H,8,FALSE)</f>
        <v>yellow</v>
      </c>
      <c r="I111" s="7" t="str">
        <f>VLOOKUP(D111,[1]characters!$A:$K,11,FALSE)</f>
        <v>attack</v>
      </c>
      <c r="J111" s="7" t="str">
        <f>VLOOKUP(D111,[1]characters!$A:$M,13,FALSE)</f>
        <v>god</v>
      </c>
      <c r="K111" s="7" t="str">
        <f>VLOOKUP(D111,[1]characters!$A:$G,7,FALSE)</f>
        <v>女性</v>
      </c>
      <c r="L111" s="66">
        <f>IFERROR(VLOOKUP(D111,input_1!L:R,7,FALSE),VLOOKUP(tables_1!B111,input_1!A:H,8,FALSE))</f>
        <v>175500</v>
      </c>
      <c r="M111" s="67">
        <f t="shared" si="3"/>
        <v>6.7567567567567571E-3</v>
      </c>
      <c r="N111" s="31">
        <f>IFERROR(VLOOKUP($D111,bug_conf_sheet!$A:$H,3,FALSE),VLOOKUP("other",bug_conf_sheet!$A:$H,3,FALSE))</f>
        <v>1</v>
      </c>
      <c r="O111" s="31">
        <f>IFERROR(VLOOKUP($D111,bug_conf_sheet!$A:$H,4,FALSE),VLOOKUP("other",bug_conf_sheet!$A:$H,4,FALSE))</f>
        <v>0</v>
      </c>
      <c r="P111" s="31">
        <f>IFERROR(VLOOKUP($D111,bug_conf_sheet!$A:$H,5,FALSE),VLOOKUP("other",bug_conf_sheet!$A:$H,5,FALSE))</f>
        <v>0</v>
      </c>
      <c r="Q111" s="31">
        <f>IFERROR(VLOOKUP($D111,bug_conf_sheet!$A:$H,6,FALSE),VLOOKUP("other",bug_conf_sheet!$A:$H,6,FALSE))</f>
        <v>0</v>
      </c>
      <c r="R111" s="31">
        <f>IFERROR(VLOOKUP($D111,bug_conf_sheet!$A:$H,7,FALSE),VLOOKUP("other",bug_conf_sheet!$A:$H,7,FALSE))</f>
        <v>0</v>
      </c>
      <c r="S111" s="31">
        <f>IFERROR(VLOOKUP($D111,bug_conf_sheet!$A:$H,8,FALSE),VLOOKUP("other",bug_conf_sheet!$A:$H,8,FALSE))</f>
        <v>1</v>
      </c>
    </row>
    <row r="112" spans="1:19" ht="21" hidden="1" customHeight="1">
      <c r="A112" s="2">
        <f>input_1!A$2</f>
        <v>3121</v>
      </c>
      <c r="B112" s="7" t="str">
        <f t="shared" si="4"/>
        <v>Premium4</v>
      </c>
      <c r="C112" s="7" t="str">
        <f t="shared" si="5"/>
        <v>Premium</v>
      </c>
      <c r="D112" s="5">
        <v>236</v>
      </c>
      <c r="E112" s="7" t="str">
        <f>VLOOKUP(D112,[1]characters!$A:$C,3,FALSE)</f>
        <v>神産 イザナミ</v>
      </c>
      <c r="F112" s="7" t="str">
        <f>VLOOKUP(D112,[1]characters!$A:$J,10,FALSE)</f>
        <v>PremiumS</v>
      </c>
      <c r="G112" s="7">
        <f>VLOOKUP(D112,[1]characters!$A:$I,9,FALSE)</f>
        <v>4</v>
      </c>
      <c r="H112" s="7" t="str">
        <f>VLOOKUP(D112,[1]characters!$A:$H,8,FALSE)</f>
        <v>yellow</v>
      </c>
      <c r="I112" s="7" t="str">
        <f>VLOOKUP(D112,[1]characters!$A:$K,11,FALSE)</f>
        <v>attack</v>
      </c>
      <c r="J112" s="7" t="str">
        <f>VLOOKUP(D112,[1]characters!$A:$M,13,FALSE)</f>
        <v>god</v>
      </c>
      <c r="K112" s="7" t="str">
        <f>VLOOKUP(D112,[1]characters!$A:$G,7,FALSE)</f>
        <v>女性</v>
      </c>
      <c r="L112" s="66">
        <f>IFERROR(VLOOKUP(D112,input_1!L:R,7,FALSE),VLOOKUP(tables_1!B112,input_1!A:H,8,FALSE))</f>
        <v>154791</v>
      </c>
      <c r="M112" s="67">
        <f t="shared" si="3"/>
        <v>5.9594594594594595E-3</v>
      </c>
      <c r="N112" s="31">
        <f>IFERROR(VLOOKUP($D112,bug_conf_sheet!$A:$H,3,FALSE),VLOOKUP("other",bug_conf_sheet!$A:$H,3,FALSE))</f>
        <v>1</v>
      </c>
      <c r="O112" s="31">
        <f>IFERROR(VLOOKUP($D112,bug_conf_sheet!$A:$H,4,FALSE),VLOOKUP("other",bug_conf_sheet!$A:$H,4,FALSE))</f>
        <v>0</v>
      </c>
      <c r="P112" s="31">
        <f>IFERROR(VLOOKUP($D112,bug_conf_sheet!$A:$H,5,FALSE),VLOOKUP("other",bug_conf_sheet!$A:$H,5,FALSE))</f>
        <v>0</v>
      </c>
      <c r="Q112" s="31">
        <f>IFERROR(VLOOKUP($D112,bug_conf_sheet!$A:$H,6,FALSE),VLOOKUP("other",bug_conf_sheet!$A:$H,6,FALSE))</f>
        <v>0</v>
      </c>
      <c r="R112" s="31">
        <f>IFERROR(VLOOKUP($D112,bug_conf_sheet!$A:$H,7,FALSE),VLOOKUP("other",bug_conf_sheet!$A:$H,7,FALSE))</f>
        <v>0</v>
      </c>
      <c r="S112" s="31">
        <f>IFERROR(VLOOKUP($D112,bug_conf_sheet!$A:$H,8,FALSE),VLOOKUP("other",bug_conf_sheet!$A:$H,8,FALSE))</f>
        <v>1</v>
      </c>
    </row>
    <row r="113" spans="1:19" ht="21" hidden="1" customHeight="1">
      <c r="A113" s="2">
        <f>input_1!A$2</f>
        <v>3121</v>
      </c>
      <c r="B113" s="7" t="str">
        <f t="shared" si="4"/>
        <v>Premium5</v>
      </c>
      <c r="C113" s="7" t="str">
        <f t="shared" si="5"/>
        <v>Premium</v>
      </c>
      <c r="D113" s="5">
        <v>237</v>
      </c>
      <c r="E113" s="7" t="str">
        <f>VLOOKUP(D113,[1]characters!$A:$C,3,FALSE)</f>
        <v>森羅万象の神母 イザナミ</v>
      </c>
      <c r="F113" s="7" t="str">
        <f>VLOOKUP(D113,[1]characters!$A:$J,10,FALSE)</f>
        <v>PremiumS</v>
      </c>
      <c r="G113" s="7">
        <f>VLOOKUP(D113,[1]characters!$A:$I,9,FALSE)</f>
        <v>5</v>
      </c>
      <c r="H113" s="7" t="str">
        <f>VLOOKUP(D113,[1]characters!$A:$H,8,FALSE)</f>
        <v>yellow</v>
      </c>
      <c r="I113" s="7" t="str">
        <f>VLOOKUP(D113,[1]characters!$A:$K,11,FALSE)</f>
        <v>attack</v>
      </c>
      <c r="J113" s="7" t="str">
        <f>VLOOKUP(D113,[1]characters!$A:$M,13,FALSE)</f>
        <v>god</v>
      </c>
      <c r="K113" s="7" t="str">
        <f>VLOOKUP(D113,[1]characters!$A:$G,7,FALSE)</f>
        <v>女性</v>
      </c>
      <c r="L113" s="66">
        <f>IFERROR(VLOOKUP(D113,input_1!L:R,7,FALSE),VLOOKUP(tables_1!B113,input_1!A:H,8,FALSE))</f>
        <v>23569</v>
      </c>
      <c r="M113" s="67">
        <f t="shared" si="3"/>
        <v>9.0740740740740745E-4</v>
      </c>
      <c r="N113" s="31">
        <f>IFERROR(VLOOKUP($D113,bug_conf_sheet!$A:$H,3,FALSE),VLOOKUP("other",bug_conf_sheet!$A:$H,3,FALSE))</f>
        <v>1</v>
      </c>
      <c r="O113" s="31">
        <f>IFERROR(VLOOKUP($D113,bug_conf_sheet!$A:$H,4,FALSE),VLOOKUP("other",bug_conf_sheet!$A:$H,4,FALSE))</f>
        <v>0</v>
      </c>
      <c r="P113" s="31">
        <f>IFERROR(VLOOKUP($D113,bug_conf_sheet!$A:$H,5,FALSE),VLOOKUP("other",bug_conf_sheet!$A:$H,5,FALSE))</f>
        <v>0</v>
      </c>
      <c r="Q113" s="31">
        <f>IFERROR(VLOOKUP($D113,bug_conf_sheet!$A:$H,6,FALSE),VLOOKUP("other",bug_conf_sheet!$A:$H,6,FALSE))</f>
        <v>0</v>
      </c>
      <c r="R113" s="31">
        <f>IFERROR(VLOOKUP($D113,bug_conf_sheet!$A:$H,7,FALSE),VLOOKUP("other",bug_conf_sheet!$A:$H,7,FALSE))</f>
        <v>0</v>
      </c>
      <c r="S113" s="31">
        <f>IFERROR(VLOOKUP($D113,bug_conf_sheet!$A:$H,8,FALSE),VLOOKUP("other",bug_conf_sheet!$A:$H,8,FALSE))</f>
        <v>1</v>
      </c>
    </row>
    <row r="114" spans="1:19" ht="21" hidden="1" customHeight="1">
      <c r="A114" s="2">
        <f>input_1!A$2</f>
        <v>3121</v>
      </c>
      <c r="B114" s="7" t="str">
        <f t="shared" si="4"/>
        <v>Premium3</v>
      </c>
      <c r="C114" s="7" t="str">
        <f t="shared" si="5"/>
        <v>Premium</v>
      </c>
      <c r="D114" s="5">
        <v>238</v>
      </c>
      <c r="E114" s="7" t="str">
        <f>VLOOKUP(D114,[1]characters!$A:$C,3,FALSE)</f>
        <v>ウリエル</v>
      </c>
      <c r="F114" s="7" t="str">
        <f>VLOOKUP(D114,[1]characters!$A:$J,10,FALSE)</f>
        <v>PremiumS</v>
      </c>
      <c r="G114" s="7">
        <f>VLOOKUP(D114,[1]characters!$A:$I,9,FALSE)</f>
        <v>3</v>
      </c>
      <c r="H114" s="7" t="str">
        <f>VLOOKUP(D114,[1]characters!$A:$H,8,FALSE)</f>
        <v>red</v>
      </c>
      <c r="I114" s="7" t="str">
        <f>VLOOKUP(D114,[1]characters!$A:$K,11,FALSE)</f>
        <v>hp</v>
      </c>
      <c r="J114" s="7" t="str">
        <f>VLOOKUP(D114,[1]characters!$A:$M,13,FALSE)</f>
        <v>machine</v>
      </c>
      <c r="K114" s="7" t="str">
        <f>VLOOKUP(D114,[1]characters!$A:$G,7,FALSE)</f>
        <v>女性</v>
      </c>
      <c r="L114" s="66">
        <f>IFERROR(VLOOKUP(D114,input_1!L:R,7,FALSE),VLOOKUP(tables_1!B114,input_1!A:H,8,FALSE))</f>
        <v>175500</v>
      </c>
      <c r="M114" s="67">
        <f t="shared" si="3"/>
        <v>6.7567567567567571E-3</v>
      </c>
      <c r="N114" s="31">
        <f>IFERROR(VLOOKUP($D114,bug_conf_sheet!$A:$H,3,FALSE),VLOOKUP("other",bug_conf_sheet!$A:$H,3,FALSE))</f>
        <v>1</v>
      </c>
      <c r="O114" s="31">
        <f>IFERROR(VLOOKUP($D114,bug_conf_sheet!$A:$H,4,FALSE),VLOOKUP("other",bug_conf_sheet!$A:$H,4,FALSE))</f>
        <v>0</v>
      </c>
      <c r="P114" s="31">
        <f>IFERROR(VLOOKUP($D114,bug_conf_sheet!$A:$H,5,FALSE),VLOOKUP("other",bug_conf_sheet!$A:$H,5,FALSE))</f>
        <v>0</v>
      </c>
      <c r="Q114" s="31">
        <f>IFERROR(VLOOKUP($D114,bug_conf_sheet!$A:$H,6,FALSE),VLOOKUP("other",bug_conf_sheet!$A:$H,6,FALSE))</f>
        <v>0</v>
      </c>
      <c r="R114" s="31">
        <f>IFERROR(VLOOKUP($D114,bug_conf_sheet!$A:$H,7,FALSE),VLOOKUP("other",bug_conf_sheet!$A:$H,7,FALSE))</f>
        <v>0</v>
      </c>
      <c r="S114" s="31">
        <f>IFERROR(VLOOKUP($D114,bug_conf_sheet!$A:$H,8,FALSE),VLOOKUP("other",bug_conf_sheet!$A:$H,8,FALSE))</f>
        <v>1</v>
      </c>
    </row>
    <row r="115" spans="1:19" ht="21" hidden="1" customHeight="1">
      <c r="A115" s="2">
        <f>input_1!A$2</f>
        <v>3121</v>
      </c>
      <c r="B115" s="7" t="str">
        <f t="shared" si="4"/>
        <v>Premium4</v>
      </c>
      <c r="C115" s="7" t="str">
        <f t="shared" si="5"/>
        <v>Premium</v>
      </c>
      <c r="D115" s="5">
        <v>239</v>
      </c>
      <c r="E115" s="7" t="str">
        <f>VLOOKUP(D115,[1]characters!$A:$C,3,FALSE)</f>
        <v>豪炎の天使 ウリエル</v>
      </c>
      <c r="F115" s="7" t="str">
        <f>VLOOKUP(D115,[1]characters!$A:$J,10,FALSE)</f>
        <v>PremiumS</v>
      </c>
      <c r="G115" s="7">
        <f>VLOOKUP(D115,[1]characters!$A:$I,9,FALSE)</f>
        <v>4</v>
      </c>
      <c r="H115" s="7" t="str">
        <f>VLOOKUP(D115,[1]characters!$A:$H,8,FALSE)</f>
        <v>red</v>
      </c>
      <c r="I115" s="7" t="str">
        <f>VLOOKUP(D115,[1]characters!$A:$K,11,FALSE)</f>
        <v>hp</v>
      </c>
      <c r="J115" s="7" t="str">
        <f>VLOOKUP(D115,[1]characters!$A:$M,13,FALSE)</f>
        <v>machine</v>
      </c>
      <c r="K115" s="7" t="str">
        <f>VLOOKUP(D115,[1]characters!$A:$G,7,FALSE)</f>
        <v>女性</v>
      </c>
      <c r="L115" s="66">
        <f>IFERROR(VLOOKUP(D115,input_1!L:R,7,FALSE),VLOOKUP(tables_1!B115,input_1!A:H,8,FALSE))</f>
        <v>154791</v>
      </c>
      <c r="M115" s="67">
        <f t="shared" si="3"/>
        <v>5.9594594594594595E-3</v>
      </c>
      <c r="N115" s="31">
        <f>IFERROR(VLOOKUP($D115,bug_conf_sheet!$A:$H,3,FALSE),VLOOKUP("other",bug_conf_sheet!$A:$H,3,FALSE))</f>
        <v>1</v>
      </c>
      <c r="O115" s="31">
        <f>IFERROR(VLOOKUP($D115,bug_conf_sheet!$A:$H,4,FALSE),VLOOKUP("other",bug_conf_sheet!$A:$H,4,FALSE))</f>
        <v>0</v>
      </c>
      <c r="P115" s="31">
        <f>IFERROR(VLOOKUP($D115,bug_conf_sheet!$A:$H,5,FALSE),VLOOKUP("other",bug_conf_sheet!$A:$H,5,FALSE))</f>
        <v>0</v>
      </c>
      <c r="Q115" s="31">
        <f>IFERROR(VLOOKUP($D115,bug_conf_sheet!$A:$H,6,FALSE),VLOOKUP("other",bug_conf_sheet!$A:$H,6,FALSE))</f>
        <v>0</v>
      </c>
      <c r="R115" s="31">
        <f>IFERROR(VLOOKUP($D115,bug_conf_sheet!$A:$H,7,FALSE),VLOOKUP("other",bug_conf_sheet!$A:$H,7,FALSE))</f>
        <v>0</v>
      </c>
      <c r="S115" s="31">
        <f>IFERROR(VLOOKUP($D115,bug_conf_sheet!$A:$H,8,FALSE),VLOOKUP("other",bug_conf_sheet!$A:$H,8,FALSE))</f>
        <v>1</v>
      </c>
    </row>
    <row r="116" spans="1:19" ht="21" hidden="1" customHeight="1">
      <c r="A116" s="2">
        <f>input_1!A$2</f>
        <v>3121</v>
      </c>
      <c r="B116" s="7" t="str">
        <f t="shared" si="4"/>
        <v>Premium5</v>
      </c>
      <c r="C116" s="7" t="str">
        <f t="shared" si="5"/>
        <v>Premium</v>
      </c>
      <c r="D116" s="5">
        <v>240</v>
      </c>
      <c r="E116" s="7" t="str">
        <f>VLOOKUP(D116,[1]characters!$A:$C,3,FALSE)</f>
        <v>轟炎の天使 ウリエル・スレイヤー</v>
      </c>
      <c r="F116" s="7" t="str">
        <f>VLOOKUP(D116,[1]characters!$A:$J,10,FALSE)</f>
        <v>PremiumS</v>
      </c>
      <c r="G116" s="7">
        <f>VLOOKUP(D116,[1]characters!$A:$I,9,FALSE)</f>
        <v>5</v>
      </c>
      <c r="H116" s="7" t="str">
        <f>VLOOKUP(D116,[1]characters!$A:$H,8,FALSE)</f>
        <v>red</v>
      </c>
      <c r="I116" s="7" t="str">
        <f>VLOOKUP(D116,[1]characters!$A:$K,11,FALSE)</f>
        <v>hp</v>
      </c>
      <c r="J116" s="7" t="str">
        <f>VLOOKUP(D116,[1]characters!$A:$M,13,FALSE)</f>
        <v>machine</v>
      </c>
      <c r="K116" s="7" t="str">
        <f>VLOOKUP(D116,[1]characters!$A:$G,7,FALSE)</f>
        <v>女性</v>
      </c>
      <c r="L116" s="66">
        <f>IFERROR(VLOOKUP(D116,input_1!L:R,7,FALSE),VLOOKUP(tables_1!B116,input_1!A:H,8,FALSE))</f>
        <v>23569</v>
      </c>
      <c r="M116" s="67">
        <f t="shared" si="3"/>
        <v>9.0740740740740745E-4</v>
      </c>
      <c r="N116" s="31">
        <f>IFERROR(VLOOKUP($D116,bug_conf_sheet!$A:$H,3,FALSE),VLOOKUP("other",bug_conf_sheet!$A:$H,3,FALSE))</f>
        <v>1</v>
      </c>
      <c r="O116" s="31">
        <f>IFERROR(VLOOKUP($D116,bug_conf_sheet!$A:$H,4,FALSE),VLOOKUP("other",bug_conf_sheet!$A:$H,4,FALSE))</f>
        <v>0</v>
      </c>
      <c r="P116" s="31">
        <f>IFERROR(VLOOKUP($D116,bug_conf_sheet!$A:$H,5,FALSE),VLOOKUP("other",bug_conf_sheet!$A:$H,5,FALSE))</f>
        <v>0</v>
      </c>
      <c r="Q116" s="31">
        <f>IFERROR(VLOOKUP($D116,bug_conf_sheet!$A:$H,6,FALSE),VLOOKUP("other",bug_conf_sheet!$A:$H,6,FALSE))</f>
        <v>0</v>
      </c>
      <c r="R116" s="31">
        <f>IFERROR(VLOOKUP($D116,bug_conf_sheet!$A:$H,7,FALSE),VLOOKUP("other",bug_conf_sheet!$A:$H,7,FALSE))</f>
        <v>0</v>
      </c>
      <c r="S116" s="31">
        <f>IFERROR(VLOOKUP($D116,bug_conf_sheet!$A:$H,8,FALSE),VLOOKUP("other",bug_conf_sheet!$A:$H,8,FALSE))</f>
        <v>1</v>
      </c>
    </row>
    <row r="117" spans="1:19" ht="21" hidden="1" customHeight="1">
      <c r="A117" s="2">
        <f>input_1!A$2</f>
        <v>3121</v>
      </c>
      <c r="B117" s="7" t="str">
        <f t="shared" si="4"/>
        <v>Premium3</v>
      </c>
      <c r="C117" s="7" t="str">
        <f t="shared" si="5"/>
        <v>Premium</v>
      </c>
      <c r="D117" s="5">
        <v>241</v>
      </c>
      <c r="E117" s="7" t="str">
        <f>VLOOKUP(D117,[1]characters!$A:$C,3,FALSE)</f>
        <v>ガブリエル</v>
      </c>
      <c r="F117" s="7" t="str">
        <f>VLOOKUP(D117,[1]characters!$A:$J,10,FALSE)</f>
        <v>PremiumS</v>
      </c>
      <c r="G117" s="7">
        <f>VLOOKUP(D117,[1]characters!$A:$I,9,FALSE)</f>
        <v>3</v>
      </c>
      <c r="H117" s="7" t="str">
        <f>VLOOKUP(D117,[1]characters!$A:$H,8,FALSE)</f>
        <v>green</v>
      </c>
      <c r="I117" s="7" t="str">
        <f>VLOOKUP(D117,[1]characters!$A:$K,11,FALSE)</f>
        <v>balance</v>
      </c>
      <c r="J117" s="7" t="str">
        <f>VLOOKUP(D117,[1]characters!$A:$M,13,FALSE)</f>
        <v>machine</v>
      </c>
      <c r="K117" s="7" t="str">
        <f>VLOOKUP(D117,[1]characters!$A:$G,7,FALSE)</f>
        <v>女性</v>
      </c>
      <c r="L117" s="66">
        <f>IFERROR(VLOOKUP(D117,input_1!L:R,7,FALSE),VLOOKUP(tables_1!B117,input_1!A:H,8,FALSE))</f>
        <v>175500</v>
      </c>
      <c r="M117" s="67">
        <f t="shared" si="3"/>
        <v>6.7567567567567571E-3</v>
      </c>
      <c r="N117" s="31">
        <f>IFERROR(VLOOKUP($D117,bug_conf_sheet!$A:$H,3,FALSE),VLOOKUP("other",bug_conf_sheet!$A:$H,3,FALSE))</f>
        <v>1</v>
      </c>
      <c r="O117" s="31">
        <f>IFERROR(VLOOKUP($D117,bug_conf_sheet!$A:$H,4,FALSE),VLOOKUP("other",bug_conf_sheet!$A:$H,4,FALSE))</f>
        <v>0</v>
      </c>
      <c r="P117" s="31">
        <f>IFERROR(VLOOKUP($D117,bug_conf_sheet!$A:$H,5,FALSE),VLOOKUP("other",bug_conf_sheet!$A:$H,5,FALSE))</f>
        <v>0</v>
      </c>
      <c r="Q117" s="31">
        <f>IFERROR(VLOOKUP($D117,bug_conf_sheet!$A:$H,6,FALSE),VLOOKUP("other",bug_conf_sheet!$A:$H,6,FALSE))</f>
        <v>0</v>
      </c>
      <c r="R117" s="31">
        <f>IFERROR(VLOOKUP($D117,bug_conf_sheet!$A:$H,7,FALSE),VLOOKUP("other",bug_conf_sheet!$A:$H,7,FALSE))</f>
        <v>0</v>
      </c>
      <c r="S117" s="31">
        <f>IFERROR(VLOOKUP($D117,bug_conf_sheet!$A:$H,8,FALSE),VLOOKUP("other",bug_conf_sheet!$A:$H,8,FALSE))</f>
        <v>1</v>
      </c>
    </row>
    <row r="118" spans="1:19" ht="21" hidden="1" customHeight="1">
      <c r="A118" s="2">
        <f>input_1!A$2</f>
        <v>3121</v>
      </c>
      <c r="B118" s="7" t="str">
        <f t="shared" si="4"/>
        <v>Premium4</v>
      </c>
      <c r="C118" s="7" t="str">
        <f t="shared" si="5"/>
        <v>Premium</v>
      </c>
      <c r="D118" s="5">
        <v>242</v>
      </c>
      <c r="E118" s="7" t="str">
        <f>VLOOKUP(D118,[1]characters!$A:$C,3,FALSE)</f>
        <v>百花の天使 ガブリエル</v>
      </c>
      <c r="F118" s="7" t="str">
        <f>VLOOKUP(D118,[1]characters!$A:$J,10,FALSE)</f>
        <v>PremiumS</v>
      </c>
      <c r="G118" s="7">
        <f>VLOOKUP(D118,[1]characters!$A:$I,9,FALSE)</f>
        <v>4</v>
      </c>
      <c r="H118" s="7" t="str">
        <f>VLOOKUP(D118,[1]characters!$A:$H,8,FALSE)</f>
        <v>green</v>
      </c>
      <c r="I118" s="7" t="str">
        <f>VLOOKUP(D118,[1]characters!$A:$K,11,FALSE)</f>
        <v>balance</v>
      </c>
      <c r="J118" s="7" t="str">
        <f>VLOOKUP(D118,[1]characters!$A:$M,13,FALSE)</f>
        <v>machine</v>
      </c>
      <c r="K118" s="7" t="str">
        <f>VLOOKUP(D118,[1]characters!$A:$G,7,FALSE)</f>
        <v>女性</v>
      </c>
      <c r="L118" s="66">
        <f>IFERROR(VLOOKUP(D118,input_1!L:R,7,FALSE),VLOOKUP(tables_1!B118,input_1!A:H,8,FALSE))</f>
        <v>154791</v>
      </c>
      <c r="M118" s="67">
        <f t="shared" si="3"/>
        <v>5.9594594594594595E-3</v>
      </c>
      <c r="N118" s="31">
        <f>IFERROR(VLOOKUP($D118,bug_conf_sheet!$A:$H,3,FALSE),VLOOKUP("other",bug_conf_sheet!$A:$H,3,FALSE))</f>
        <v>1</v>
      </c>
      <c r="O118" s="31">
        <f>IFERROR(VLOOKUP($D118,bug_conf_sheet!$A:$H,4,FALSE),VLOOKUP("other",bug_conf_sheet!$A:$H,4,FALSE))</f>
        <v>0</v>
      </c>
      <c r="P118" s="31">
        <f>IFERROR(VLOOKUP($D118,bug_conf_sheet!$A:$H,5,FALSE),VLOOKUP("other",bug_conf_sheet!$A:$H,5,FALSE))</f>
        <v>0</v>
      </c>
      <c r="Q118" s="31">
        <f>IFERROR(VLOOKUP($D118,bug_conf_sheet!$A:$H,6,FALSE),VLOOKUP("other",bug_conf_sheet!$A:$H,6,FALSE))</f>
        <v>0</v>
      </c>
      <c r="R118" s="31">
        <f>IFERROR(VLOOKUP($D118,bug_conf_sheet!$A:$H,7,FALSE),VLOOKUP("other",bug_conf_sheet!$A:$H,7,FALSE))</f>
        <v>0</v>
      </c>
      <c r="S118" s="31">
        <f>IFERROR(VLOOKUP($D118,bug_conf_sheet!$A:$H,8,FALSE),VLOOKUP("other",bug_conf_sheet!$A:$H,8,FALSE))</f>
        <v>1</v>
      </c>
    </row>
    <row r="119" spans="1:19" ht="21" hidden="1" customHeight="1">
      <c r="A119" s="2">
        <f>input_1!A$2</f>
        <v>3121</v>
      </c>
      <c r="B119" s="7" t="str">
        <f t="shared" si="4"/>
        <v>Premium5</v>
      </c>
      <c r="C119" s="7" t="str">
        <f t="shared" si="5"/>
        <v>Premium</v>
      </c>
      <c r="D119" s="5">
        <v>243</v>
      </c>
      <c r="E119" s="7" t="str">
        <f>VLOOKUP(D119,[1]characters!$A:$C,3,FALSE)</f>
        <v>万花の天使 ガブリエル・ブルーム</v>
      </c>
      <c r="F119" s="7" t="str">
        <f>VLOOKUP(D119,[1]characters!$A:$J,10,FALSE)</f>
        <v>PremiumS</v>
      </c>
      <c r="G119" s="7">
        <f>VLOOKUP(D119,[1]characters!$A:$I,9,FALSE)</f>
        <v>5</v>
      </c>
      <c r="H119" s="7" t="str">
        <f>VLOOKUP(D119,[1]characters!$A:$H,8,FALSE)</f>
        <v>green</v>
      </c>
      <c r="I119" s="7" t="str">
        <f>VLOOKUP(D119,[1]characters!$A:$K,11,FALSE)</f>
        <v>balance</v>
      </c>
      <c r="J119" s="7" t="str">
        <f>VLOOKUP(D119,[1]characters!$A:$M,13,FALSE)</f>
        <v>machine</v>
      </c>
      <c r="K119" s="7" t="str">
        <f>VLOOKUP(D119,[1]characters!$A:$G,7,FALSE)</f>
        <v>女性</v>
      </c>
      <c r="L119" s="66">
        <f>IFERROR(VLOOKUP(D119,input_1!L:R,7,FALSE),VLOOKUP(tables_1!B119,input_1!A:H,8,FALSE))</f>
        <v>23569</v>
      </c>
      <c r="M119" s="67">
        <f t="shared" si="3"/>
        <v>9.0740740740740745E-4</v>
      </c>
      <c r="N119" s="31">
        <f>IFERROR(VLOOKUP($D119,bug_conf_sheet!$A:$H,3,FALSE),VLOOKUP("other",bug_conf_sheet!$A:$H,3,FALSE))</f>
        <v>1</v>
      </c>
      <c r="O119" s="31">
        <f>IFERROR(VLOOKUP($D119,bug_conf_sheet!$A:$H,4,FALSE),VLOOKUP("other",bug_conf_sheet!$A:$H,4,FALSE))</f>
        <v>0</v>
      </c>
      <c r="P119" s="31">
        <f>IFERROR(VLOOKUP($D119,bug_conf_sheet!$A:$H,5,FALSE),VLOOKUP("other",bug_conf_sheet!$A:$H,5,FALSE))</f>
        <v>0</v>
      </c>
      <c r="Q119" s="31">
        <f>IFERROR(VLOOKUP($D119,bug_conf_sheet!$A:$H,6,FALSE),VLOOKUP("other",bug_conf_sheet!$A:$H,6,FALSE))</f>
        <v>0</v>
      </c>
      <c r="R119" s="31">
        <f>IFERROR(VLOOKUP($D119,bug_conf_sheet!$A:$H,7,FALSE),VLOOKUP("other",bug_conf_sheet!$A:$H,7,FALSE))</f>
        <v>0</v>
      </c>
      <c r="S119" s="31">
        <f>IFERROR(VLOOKUP($D119,bug_conf_sheet!$A:$H,8,FALSE),VLOOKUP("other",bug_conf_sheet!$A:$H,8,FALSE))</f>
        <v>1</v>
      </c>
    </row>
    <row r="120" spans="1:19" ht="21" hidden="1" customHeight="1">
      <c r="A120" s="2">
        <f>input_1!A$2</f>
        <v>3121</v>
      </c>
      <c r="B120" s="7" t="str">
        <f t="shared" si="4"/>
        <v>Premium3</v>
      </c>
      <c r="C120" s="7" t="str">
        <f t="shared" si="5"/>
        <v>Premium</v>
      </c>
      <c r="D120" s="5">
        <v>244</v>
      </c>
      <c r="E120" s="7" t="str">
        <f>VLOOKUP(D120,[1]characters!$A:$C,3,FALSE)</f>
        <v>ラファエル</v>
      </c>
      <c r="F120" s="7" t="str">
        <f>VLOOKUP(D120,[1]characters!$A:$J,10,FALSE)</f>
        <v>PremiumS</v>
      </c>
      <c r="G120" s="7">
        <f>VLOOKUP(D120,[1]characters!$A:$I,9,FALSE)</f>
        <v>3</v>
      </c>
      <c r="H120" s="7" t="str">
        <f>VLOOKUP(D120,[1]characters!$A:$H,8,FALSE)</f>
        <v>blue</v>
      </c>
      <c r="I120" s="7" t="str">
        <f>VLOOKUP(D120,[1]characters!$A:$K,11,FALSE)</f>
        <v>balance</v>
      </c>
      <c r="J120" s="7" t="str">
        <f>VLOOKUP(D120,[1]characters!$A:$M,13,FALSE)</f>
        <v>machine</v>
      </c>
      <c r="K120" s="7" t="str">
        <f>VLOOKUP(D120,[1]characters!$A:$G,7,FALSE)</f>
        <v>女性</v>
      </c>
      <c r="L120" s="66">
        <f>IFERROR(VLOOKUP(D120,input_1!L:R,7,FALSE),VLOOKUP(tables_1!B120,input_1!A:H,8,FALSE))</f>
        <v>175500</v>
      </c>
      <c r="M120" s="67">
        <f t="shared" si="3"/>
        <v>6.7567567567567571E-3</v>
      </c>
      <c r="N120" s="31">
        <f>IFERROR(VLOOKUP($D120,bug_conf_sheet!$A:$H,3,FALSE),VLOOKUP("other",bug_conf_sheet!$A:$H,3,FALSE))</f>
        <v>1</v>
      </c>
      <c r="O120" s="31">
        <f>IFERROR(VLOOKUP($D120,bug_conf_sheet!$A:$H,4,FALSE),VLOOKUP("other",bug_conf_sheet!$A:$H,4,FALSE))</f>
        <v>0</v>
      </c>
      <c r="P120" s="31">
        <f>IFERROR(VLOOKUP($D120,bug_conf_sheet!$A:$H,5,FALSE),VLOOKUP("other",bug_conf_sheet!$A:$H,5,FALSE))</f>
        <v>0</v>
      </c>
      <c r="Q120" s="31">
        <f>IFERROR(VLOOKUP($D120,bug_conf_sheet!$A:$H,6,FALSE),VLOOKUP("other",bug_conf_sheet!$A:$H,6,FALSE))</f>
        <v>0</v>
      </c>
      <c r="R120" s="31">
        <f>IFERROR(VLOOKUP($D120,bug_conf_sheet!$A:$H,7,FALSE),VLOOKUP("other",bug_conf_sheet!$A:$H,7,FALSE))</f>
        <v>0</v>
      </c>
      <c r="S120" s="31">
        <f>IFERROR(VLOOKUP($D120,bug_conf_sheet!$A:$H,8,FALSE),VLOOKUP("other",bug_conf_sheet!$A:$H,8,FALSE))</f>
        <v>1</v>
      </c>
    </row>
    <row r="121" spans="1:19" ht="21" hidden="1" customHeight="1">
      <c r="A121" s="2">
        <f>input_1!A$2</f>
        <v>3121</v>
      </c>
      <c r="B121" s="7" t="str">
        <f t="shared" si="4"/>
        <v>Premium4</v>
      </c>
      <c r="C121" s="7" t="str">
        <f t="shared" si="5"/>
        <v>Premium</v>
      </c>
      <c r="D121" s="5">
        <v>245</v>
      </c>
      <c r="E121" s="7" t="str">
        <f>VLOOKUP(D121,[1]characters!$A:$C,3,FALSE)</f>
        <v>鎮癒の天使 ラファエル</v>
      </c>
      <c r="F121" s="7" t="str">
        <f>VLOOKUP(D121,[1]characters!$A:$J,10,FALSE)</f>
        <v>PremiumS</v>
      </c>
      <c r="G121" s="7">
        <f>VLOOKUP(D121,[1]characters!$A:$I,9,FALSE)</f>
        <v>4</v>
      </c>
      <c r="H121" s="7" t="str">
        <f>VLOOKUP(D121,[1]characters!$A:$H,8,FALSE)</f>
        <v>blue</v>
      </c>
      <c r="I121" s="7" t="str">
        <f>VLOOKUP(D121,[1]characters!$A:$K,11,FALSE)</f>
        <v>balance</v>
      </c>
      <c r="J121" s="7" t="str">
        <f>VLOOKUP(D121,[1]characters!$A:$M,13,FALSE)</f>
        <v>machine</v>
      </c>
      <c r="K121" s="7" t="str">
        <f>VLOOKUP(D121,[1]characters!$A:$G,7,FALSE)</f>
        <v>女性</v>
      </c>
      <c r="L121" s="66">
        <f>IFERROR(VLOOKUP(D121,input_1!L:R,7,FALSE),VLOOKUP(tables_1!B121,input_1!A:H,8,FALSE))</f>
        <v>154791</v>
      </c>
      <c r="M121" s="67">
        <f t="shared" si="3"/>
        <v>5.9594594594594595E-3</v>
      </c>
      <c r="N121" s="31">
        <f>IFERROR(VLOOKUP($D121,bug_conf_sheet!$A:$H,3,FALSE),VLOOKUP("other",bug_conf_sheet!$A:$H,3,FALSE))</f>
        <v>1</v>
      </c>
      <c r="O121" s="31">
        <f>IFERROR(VLOOKUP($D121,bug_conf_sheet!$A:$H,4,FALSE),VLOOKUP("other",bug_conf_sheet!$A:$H,4,FALSE))</f>
        <v>0</v>
      </c>
      <c r="P121" s="31">
        <f>IFERROR(VLOOKUP($D121,bug_conf_sheet!$A:$H,5,FALSE),VLOOKUP("other",bug_conf_sheet!$A:$H,5,FALSE))</f>
        <v>0</v>
      </c>
      <c r="Q121" s="31">
        <f>IFERROR(VLOOKUP($D121,bug_conf_sheet!$A:$H,6,FALSE),VLOOKUP("other",bug_conf_sheet!$A:$H,6,FALSE))</f>
        <v>0</v>
      </c>
      <c r="R121" s="31">
        <f>IFERROR(VLOOKUP($D121,bug_conf_sheet!$A:$H,7,FALSE),VLOOKUP("other",bug_conf_sheet!$A:$H,7,FALSE))</f>
        <v>0</v>
      </c>
      <c r="S121" s="31">
        <f>IFERROR(VLOOKUP($D121,bug_conf_sheet!$A:$H,8,FALSE),VLOOKUP("other",bug_conf_sheet!$A:$H,8,FALSE))</f>
        <v>1</v>
      </c>
    </row>
    <row r="122" spans="1:19" ht="21" hidden="1" customHeight="1">
      <c r="A122" s="2">
        <f>input_1!A$2</f>
        <v>3121</v>
      </c>
      <c r="B122" s="7" t="str">
        <f t="shared" si="4"/>
        <v>Premium5</v>
      </c>
      <c r="C122" s="7" t="str">
        <f t="shared" si="5"/>
        <v>Premium</v>
      </c>
      <c r="D122" s="5">
        <v>246</v>
      </c>
      <c r="E122" s="7" t="str">
        <f>VLOOKUP(D122,[1]characters!$A:$C,3,FALSE)</f>
        <v>真癒の天使 ラファエル・メディカ</v>
      </c>
      <c r="F122" s="7" t="str">
        <f>VLOOKUP(D122,[1]characters!$A:$J,10,FALSE)</f>
        <v>PremiumS</v>
      </c>
      <c r="G122" s="7">
        <f>VLOOKUP(D122,[1]characters!$A:$I,9,FALSE)</f>
        <v>5</v>
      </c>
      <c r="H122" s="7" t="str">
        <f>VLOOKUP(D122,[1]characters!$A:$H,8,FALSE)</f>
        <v>blue</v>
      </c>
      <c r="I122" s="7" t="str">
        <f>VLOOKUP(D122,[1]characters!$A:$K,11,FALSE)</f>
        <v>balance</v>
      </c>
      <c r="J122" s="7" t="str">
        <f>VLOOKUP(D122,[1]characters!$A:$M,13,FALSE)</f>
        <v>machine</v>
      </c>
      <c r="K122" s="7" t="str">
        <f>VLOOKUP(D122,[1]characters!$A:$G,7,FALSE)</f>
        <v>女性</v>
      </c>
      <c r="L122" s="66">
        <f>IFERROR(VLOOKUP(D122,input_1!L:R,7,FALSE),VLOOKUP(tables_1!B122,input_1!A:H,8,FALSE))</f>
        <v>23569</v>
      </c>
      <c r="M122" s="67">
        <f t="shared" si="3"/>
        <v>9.0740740740740745E-4</v>
      </c>
      <c r="N122" s="31">
        <f>IFERROR(VLOOKUP($D122,bug_conf_sheet!$A:$H,3,FALSE),VLOOKUP("other",bug_conf_sheet!$A:$H,3,FALSE))</f>
        <v>1</v>
      </c>
      <c r="O122" s="31">
        <f>IFERROR(VLOOKUP($D122,bug_conf_sheet!$A:$H,4,FALSE),VLOOKUP("other",bug_conf_sheet!$A:$H,4,FALSE))</f>
        <v>0</v>
      </c>
      <c r="P122" s="31">
        <f>IFERROR(VLOOKUP($D122,bug_conf_sheet!$A:$H,5,FALSE),VLOOKUP("other",bug_conf_sheet!$A:$H,5,FALSE))</f>
        <v>0</v>
      </c>
      <c r="Q122" s="31">
        <f>IFERROR(VLOOKUP($D122,bug_conf_sheet!$A:$H,6,FALSE),VLOOKUP("other",bug_conf_sheet!$A:$H,6,FALSE))</f>
        <v>0</v>
      </c>
      <c r="R122" s="31">
        <f>IFERROR(VLOOKUP($D122,bug_conf_sheet!$A:$H,7,FALSE),VLOOKUP("other",bug_conf_sheet!$A:$H,7,FALSE))</f>
        <v>0</v>
      </c>
      <c r="S122" s="31">
        <f>IFERROR(VLOOKUP($D122,bug_conf_sheet!$A:$H,8,FALSE),VLOOKUP("other",bug_conf_sheet!$A:$H,8,FALSE))</f>
        <v>1</v>
      </c>
    </row>
    <row r="123" spans="1:19" ht="21" hidden="1" customHeight="1">
      <c r="A123" s="2">
        <f>input_1!A$2</f>
        <v>3121</v>
      </c>
      <c r="B123" s="7" t="str">
        <f t="shared" si="4"/>
        <v>Premium3</v>
      </c>
      <c r="C123" s="7" t="str">
        <f t="shared" si="5"/>
        <v>Premium</v>
      </c>
      <c r="D123" s="5">
        <v>247</v>
      </c>
      <c r="E123" s="7" t="str">
        <f>VLOOKUP(D123,[1]characters!$A:$C,3,FALSE)</f>
        <v>ミカエル</v>
      </c>
      <c r="F123" s="7" t="str">
        <f>VLOOKUP(D123,[1]characters!$A:$J,10,FALSE)</f>
        <v>PremiumS</v>
      </c>
      <c r="G123" s="7">
        <f>VLOOKUP(D123,[1]characters!$A:$I,9,FALSE)</f>
        <v>3</v>
      </c>
      <c r="H123" s="7" t="str">
        <f>VLOOKUP(D123,[1]characters!$A:$H,8,FALSE)</f>
        <v>yellow</v>
      </c>
      <c r="I123" s="7" t="str">
        <f>VLOOKUP(D123,[1]characters!$A:$K,11,FALSE)</f>
        <v>attack</v>
      </c>
      <c r="J123" s="7" t="str">
        <f>VLOOKUP(D123,[1]characters!$A:$M,13,FALSE)</f>
        <v>machine</v>
      </c>
      <c r="K123" s="7" t="str">
        <f>VLOOKUP(D123,[1]characters!$A:$G,7,FALSE)</f>
        <v>女性</v>
      </c>
      <c r="L123" s="66">
        <f>IFERROR(VLOOKUP(D123,input_1!L:R,7,FALSE),VLOOKUP(tables_1!B123,input_1!A:H,8,FALSE))</f>
        <v>175500</v>
      </c>
      <c r="M123" s="67">
        <f t="shared" si="3"/>
        <v>6.7567567567567571E-3</v>
      </c>
      <c r="N123" s="31">
        <f>IFERROR(VLOOKUP($D123,bug_conf_sheet!$A:$H,3,FALSE),VLOOKUP("other",bug_conf_sheet!$A:$H,3,FALSE))</f>
        <v>1</v>
      </c>
      <c r="O123" s="31">
        <f>IFERROR(VLOOKUP($D123,bug_conf_sheet!$A:$H,4,FALSE),VLOOKUP("other",bug_conf_sheet!$A:$H,4,FALSE))</f>
        <v>0</v>
      </c>
      <c r="P123" s="31">
        <f>IFERROR(VLOOKUP($D123,bug_conf_sheet!$A:$H,5,FALSE),VLOOKUP("other",bug_conf_sheet!$A:$H,5,FALSE))</f>
        <v>0</v>
      </c>
      <c r="Q123" s="31">
        <f>IFERROR(VLOOKUP($D123,bug_conf_sheet!$A:$H,6,FALSE),VLOOKUP("other",bug_conf_sheet!$A:$H,6,FALSE))</f>
        <v>0</v>
      </c>
      <c r="R123" s="31">
        <f>IFERROR(VLOOKUP($D123,bug_conf_sheet!$A:$H,7,FALSE),VLOOKUP("other",bug_conf_sheet!$A:$H,7,FALSE))</f>
        <v>0</v>
      </c>
      <c r="S123" s="31">
        <f>IFERROR(VLOOKUP($D123,bug_conf_sheet!$A:$H,8,FALSE),VLOOKUP("other",bug_conf_sheet!$A:$H,8,FALSE))</f>
        <v>1</v>
      </c>
    </row>
    <row r="124" spans="1:19" ht="21" hidden="1" customHeight="1">
      <c r="A124" s="2">
        <f>input_1!A$2</f>
        <v>3121</v>
      </c>
      <c r="B124" s="7" t="str">
        <f t="shared" si="4"/>
        <v>Premium4</v>
      </c>
      <c r="C124" s="7" t="str">
        <f t="shared" si="5"/>
        <v>Premium</v>
      </c>
      <c r="D124" s="5">
        <v>248</v>
      </c>
      <c r="E124" s="7" t="str">
        <f>VLOOKUP(D124,[1]characters!$A:$C,3,FALSE)</f>
        <v>彩電の天使 ミカエル</v>
      </c>
      <c r="F124" s="7" t="str">
        <f>VLOOKUP(D124,[1]characters!$A:$J,10,FALSE)</f>
        <v>PremiumS</v>
      </c>
      <c r="G124" s="7">
        <f>VLOOKUP(D124,[1]characters!$A:$I,9,FALSE)</f>
        <v>4</v>
      </c>
      <c r="H124" s="7" t="str">
        <f>VLOOKUP(D124,[1]characters!$A:$H,8,FALSE)</f>
        <v>yellow</v>
      </c>
      <c r="I124" s="7" t="str">
        <f>VLOOKUP(D124,[1]characters!$A:$K,11,FALSE)</f>
        <v>attack</v>
      </c>
      <c r="J124" s="7" t="str">
        <f>VLOOKUP(D124,[1]characters!$A:$M,13,FALSE)</f>
        <v>machine</v>
      </c>
      <c r="K124" s="7" t="str">
        <f>VLOOKUP(D124,[1]characters!$A:$G,7,FALSE)</f>
        <v>女性</v>
      </c>
      <c r="L124" s="66">
        <f>IFERROR(VLOOKUP(D124,input_1!L:R,7,FALSE),VLOOKUP(tables_1!B124,input_1!A:H,8,FALSE))</f>
        <v>154791</v>
      </c>
      <c r="M124" s="67">
        <f t="shared" si="3"/>
        <v>5.9594594594594595E-3</v>
      </c>
      <c r="N124" s="31">
        <f>IFERROR(VLOOKUP($D124,bug_conf_sheet!$A:$H,3,FALSE),VLOOKUP("other",bug_conf_sheet!$A:$H,3,FALSE))</f>
        <v>1</v>
      </c>
      <c r="O124" s="31">
        <f>IFERROR(VLOOKUP($D124,bug_conf_sheet!$A:$H,4,FALSE),VLOOKUP("other",bug_conf_sheet!$A:$H,4,FALSE))</f>
        <v>0</v>
      </c>
      <c r="P124" s="31">
        <f>IFERROR(VLOOKUP($D124,bug_conf_sheet!$A:$H,5,FALSE),VLOOKUP("other",bug_conf_sheet!$A:$H,5,FALSE))</f>
        <v>0</v>
      </c>
      <c r="Q124" s="31">
        <f>IFERROR(VLOOKUP($D124,bug_conf_sheet!$A:$H,6,FALSE),VLOOKUP("other",bug_conf_sheet!$A:$H,6,FALSE))</f>
        <v>0</v>
      </c>
      <c r="R124" s="31">
        <f>IFERROR(VLOOKUP($D124,bug_conf_sheet!$A:$H,7,FALSE),VLOOKUP("other",bug_conf_sheet!$A:$H,7,FALSE))</f>
        <v>0</v>
      </c>
      <c r="S124" s="31">
        <f>IFERROR(VLOOKUP($D124,bug_conf_sheet!$A:$H,8,FALSE),VLOOKUP("other",bug_conf_sheet!$A:$H,8,FALSE))</f>
        <v>1</v>
      </c>
    </row>
    <row r="125" spans="1:19" ht="21" hidden="1" customHeight="1">
      <c r="A125" s="2">
        <f>input_1!A$2</f>
        <v>3121</v>
      </c>
      <c r="B125" s="7" t="str">
        <f t="shared" si="4"/>
        <v>Premium5</v>
      </c>
      <c r="C125" s="7" t="str">
        <f t="shared" si="5"/>
        <v>Premium</v>
      </c>
      <c r="D125" s="6">
        <v>249</v>
      </c>
      <c r="E125" s="7" t="str">
        <f>VLOOKUP(D125,[1]characters!$A:$C,3,FALSE)</f>
        <v>雷電の天使 ミカエル・ゲイナー</v>
      </c>
      <c r="F125" s="7" t="str">
        <f>VLOOKUP(D125,[1]characters!$A:$J,10,FALSE)</f>
        <v>PremiumS</v>
      </c>
      <c r="G125" s="7">
        <f>VLOOKUP(D125,[1]characters!$A:$I,9,FALSE)</f>
        <v>5</v>
      </c>
      <c r="H125" s="7" t="str">
        <f>VLOOKUP(D125,[1]characters!$A:$H,8,FALSE)</f>
        <v>yellow</v>
      </c>
      <c r="I125" s="7" t="str">
        <f>VLOOKUP(D125,[1]characters!$A:$K,11,FALSE)</f>
        <v>attack</v>
      </c>
      <c r="J125" s="7" t="str">
        <f>VLOOKUP(D125,[1]characters!$A:$M,13,FALSE)</f>
        <v>machine</v>
      </c>
      <c r="K125" s="7" t="str">
        <f>VLOOKUP(D125,[1]characters!$A:$G,7,FALSE)</f>
        <v>女性</v>
      </c>
      <c r="L125" s="66">
        <f>IFERROR(VLOOKUP(D125,input_1!L:R,7,FALSE),VLOOKUP(tables_1!B125,input_1!A:H,8,FALSE))</f>
        <v>23569</v>
      </c>
      <c r="M125" s="67">
        <f t="shared" si="3"/>
        <v>9.0740740740740745E-4</v>
      </c>
      <c r="N125" s="31">
        <f>IFERROR(VLOOKUP($D125,bug_conf_sheet!$A:$H,3,FALSE),VLOOKUP("other",bug_conf_sheet!$A:$H,3,FALSE))</f>
        <v>1</v>
      </c>
      <c r="O125" s="31">
        <f>IFERROR(VLOOKUP($D125,bug_conf_sheet!$A:$H,4,FALSE),VLOOKUP("other",bug_conf_sheet!$A:$H,4,FALSE))</f>
        <v>0</v>
      </c>
      <c r="P125" s="31">
        <f>IFERROR(VLOOKUP($D125,bug_conf_sheet!$A:$H,5,FALSE),VLOOKUP("other",bug_conf_sheet!$A:$H,5,FALSE))</f>
        <v>0</v>
      </c>
      <c r="Q125" s="31">
        <f>IFERROR(VLOOKUP($D125,bug_conf_sheet!$A:$H,6,FALSE),VLOOKUP("other",bug_conf_sheet!$A:$H,6,FALSE))</f>
        <v>0</v>
      </c>
      <c r="R125" s="31">
        <f>IFERROR(VLOOKUP($D125,bug_conf_sheet!$A:$H,7,FALSE),VLOOKUP("other",bug_conf_sheet!$A:$H,7,FALSE))</f>
        <v>0</v>
      </c>
      <c r="S125" s="31">
        <f>IFERROR(VLOOKUP($D125,bug_conf_sheet!$A:$H,8,FALSE),VLOOKUP("other",bug_conf_sheet!$A:$H,8,FALSE))</f>
        <v>1</v>
      </c>
    </row>
    <row r="126" spans="1:19" ht="21" hidden="1" customHeight="1">
      <c r="A126" s="2">
        <f>input_1!A$2</f>
        <v>3121</v>
      </c>
      <c r="B126" s="7" t="str">
        <f t="shared" si="4"/>
        <v>Premium3</v>
      </c>
      <c r="C126" s="7" t="str">
        <f t="shared" si="5"/>
        <v>Premium</v>
      </c>
      <c r="D126" s="6">
        <v>250</v>
      </c>
      <c r="E126" s="7" t="str">
        <f>VLOOKUP(D126,[1]characters!$A:$C,3,FALSE)</f>
        <v>マンモン</v>
      </c>
      <c r="F126" s="7" t="str">
        <f>VLOOKUP(D126,[1]characters!$A:$J,10,FALSE)</f>
        <v>PremiumS</v>
      </c>
      <c r="G126" s="7">
        <f>VLOOKUP(D126,[1]characters!$A:$I,9,FALSE)</f>
        <v>3</v>
      </c>
      <c r="H126" s="7" t="str">
        <f>VLOOKUP(D126,[1]characters!$A:$H,8,FALSE)</f>
        <v>red</v>
      </c>
      <c r="I126" s="7" t="str">
        <f>VLOOKUP(D126,[1]characters!$A:$K,11,FALSE)</f>
        <v>balance</v>
      </c>
      <c r="J126" s="7" t="str">
        <f>VLOOKUP(D126,[1]characters!$A:$M,13,FALSE)</f>
        <v>god</v>
      </c>
      <c r="K126" s="7" t="str">
        <f>VLOOKUP(D126,[1]characters!$A:$G,7,FALSE)</f>
        <v>女性</v>
      </c>
      <c r="L126" s="66">
        <f>IFERROR(VLOOKUP(D126,input_1!L:R,7,FALSE),VLOOKUP(tables_1!B126,input_1!A:H,8,FALSE))</f>
        <v>175500</v>
      </c>
      <c r="M126" s="67">
        <f t="shared" si="3"/>
        <v>6.7567567567567571E-3</v>
      </c>
      <c r="N126" s="31">
        <f>IFERROR(VLOOKUP($D126,bug_conf_sheet!$A:$H,3,FALSE),VLOOKUP("other",bug_conf_sheet!$A:$H,3,FALSE))</f>
        <v>1</v>
      </c>
      <c r="O126" s="31">
        <f>IFERROR(VLOOKUP($D126,bug_conf_sheet!$A:$H,4,FALSE),VLOOKUP("other",bug_conf_sheet!$A:$H,4,FALSE))</f>
        <v>0</v>
      </c>
      <c r="P126" s="31">
        <f>IFERROR(VLOOKUP($D126,bug_conf_sheet!$A:$H,5,FALSE),VLOOKUP("other",bug_conf_sheet!$A:$H,5,FALSE))</f>
        <v>0</v>
      </c>
      <c r="Q126" s="31">
        <f>IFERROR(VLOOKUP($D126,bug_conf_sheet!$A:$H,6,FALSE),VLOOKUP("other",bug_conf_sheet!$A:$H,6,FALSE))</f>
        <v>0</v>
      </c>
      <c r="R126" s="31">
        <f>IFERROR(VLOOKUP($D126,bug_conf_sheet!$A:$H,7,FALSE),VLOOKUP("other",bug_conf_sheet!$A:$H,7,FALSE))</f>
        <v>0</v>
      </c>
      <c r="S126" s="31">
        <f>IFERROR(VLOOKUP($D126,bug_conf_sheet!$A:$H,8,FALSE),VLOOKUP("other",bug_conf_sheet!$A:$H,8,FALSE))</f>
        <v>1</v>
      </c>
    </row>
    <row r="127" spans="1:19" ht="21" hidden="1" customHeight="1">
      <c r="A127" s="2">
        <f>input_1!A$2</f>
        <v>3121</v>
      </c>
      <c r="B127" s="7" t="str">
        <f t="shared" si="4"/>
        <v>Premium4</v>
      </c>
      <c r="C127" s="7" t="str">
        <f t="shared" si="5"/>
        <v>Premium</v>
      </c>
      <c r="D127" s="6">
        <v>251</v>
      </c>
      <c r="E127" s="7" t="str">
        <f>VLOOKUP(D127,[1]characters!$A:$C,3,FALSE)</f>
        <v>強欲 マンモン</v>
      </c>
      <c r="F127" s="7" t="str">
        <f>VLOOKUP(D127,[1]characters!$A:$J,10,FALSE)</f>
        <v>PremiumS</v>
      </c>
      <c r="G127" s="7">
        <f>VLOOKUP(D127,[1]characters!$A:$I,9,FALSE)</f>
        <v>4</v>
      </c>
      <c r="H127" s="7" t="str">
        <f>VLOOKUP(D127,[1]characters!$A:$H,8,FALSE)</f>
        <v>red</v>
      </c>
      <c r="I127" s="7" t="str">
        <f>VLOOKUP(D127,[1]characters!$A:$K,11,FALSE)</f>
        <v>balance</v>
      </c>
      <c r="J127" s="7" t="str">
        <f>VLOOKUP(D127,[1]characters!$A:$M,13,FALSE)</f>
        <v>god</v>
      </c>
      <c r="K127" s="7" t="str">
        <f>VLOOKUP(D127,[1]characters!$A:$G,7,FALSE)</f>
        <v>女性</v>
      </c>
      <c r="L127" s="66">
        <f>IFERROR(VLOOKUP(D127,input_1!L:R,7,FALSE),VLOOKUP(tables_1!B127,input_1!A:H,8,FALSE))</f>
        <v>154791</v>
      </c>
      <c r="M127" s="67">
        <f t="shared" si="3"/>
        <v>5.9594594594594595E-3</v>
      </c>
      <c r="N127" s="31">
        <f>IFERROR(VLOOKUP($D127,bug_conf_sheet!$A:$H,3,FALSE),VLOOKUP("other",bug_conf_sheet!$A:$H,3,FALSE))</f>
        <v>1</v>
      </c>
      <c r="O127" s="31">
        <f>IFERROR(VLOOKUP($D127,bug_conf_sheet!$A:$H,4,FALSE),VLOOKUP("other",bug_conf_sheet!$A:$H,4,FALSE))</f>
        <v>0</v>
      </c>
      <c r="P127" s="31">
        <f>IFERROR(VLOOKUP($D127,bug_conf_sheet!$A:$H,5,FALSE),VLOOKUP("other",bug_conf_sheet!$A:$H,5,FALSE))</f>
        <v>0</v>
      </c>
      <c r="Q127" s="31">
        <f>IFERROR(VLOOKUP($D127,bug_conf_sheet!$A:$H,6,FALSE),VLOOKUP("other",bug_conf_sheet!$A:$H,6,FALSE))</f>
        <v>0</v>
      </c>
      <c r="R127" s="31">
        <f>IFERROR(VLOOKUP($D127,bug_conf_sheet!$A:$H,7,FALSE),VLOOKUP("other",bug_conf_sheet!$A:$H,7,FALSE))</f>
        <v>0</v>
      </c>
      <c r="S127" s="31">
        <f>IFERROR(VLOOKUP($D127,bug_conf_sheet!$A:$H,8,FALSE),VLOOKUP("other",bug_conf_sheet!$A:$H,8,FALSE))</f>
        <v>1</v>
      </c>
    </row>
    <row r="128" spans="1:19" ht="21" hidden="1" customHeight="1">
      <c r="A128" s="2">
        <f>input_1!A$2</f>
        <v>3121</v>
      </c>
      <c r="B128" s="7" t="str">
        <f t="shared" si="4"/>
        <v>Premium5</v>
      </c>
      <c r="C128" s="7" t="str">
        <f t="shared" si="5"/>
        <v>Premium</v>
      </c>
      <c r="D128" s="6">
        <v>252</v>
      </c>
      <c r="E128" s="7" t="str">
        <f>VLOOKUP(D128,[1]characters!$A:$C,3,FALSE)</f>
        <v>強欲の沸騰 マンモン</v>
      </c>
      <c r="F128" s="7" t="str">
        <f>VLOOKUP(D128,[1]characters!$A:$J,10,FALSE)</f>
        <v>PremiumS</v>
      </c>
      <c r="G128" s="7">
        <f>VLOOKUP(D128,[1]characters!$A:$I,9,FALSE)</f>
        <v>5</v>
      </c>
      <c r="H128" s="7" t="str">
        <f>VLOOKUP(D128,[1]characters!$A:$H,8,FALSE)</f>
        <v>red</v>
      </c>
      <c r="I128" s="7" t="str">
        <f>VLOOKUP(D128,[1]characters!$A:$K,11,FALSE)</f>
        <v>balance</v>
      </c>
      <c r="J128" s="7" t="str">
        <f>VLOOKUP(D128,[1]characters!$A:$M,13,FALSE)</f>
        <v>god</v>
      </c>
      <c r="K128" s="7" t="str">
        <f>VLOOKUP(D128,[1]characters!$A:$G,7,FALSE)</f>
        <v>女性</v>
      </c>
      <c r="L128" s="66">
        <f>IFERROR(VLOOKUP(D128,input_1!L:R,7,FALSE),VLOOKUP(tables_1!B128,input_1!A:H,8,FALSE))</f>
        <v>23569</v>
      </c>
      <c r="M128" s="67">
        <f t="shared" si="3"/>
        <v>9.0740740740740745E-4</v>
      </c>
      <c r="N128" s="31">
        <f>IFERROR(VLOOKUP($D128,bug_conf_sheet!$A:$H,3,FALSE),VLOOKUP("other",bug_conf_sheet!$A:$H,3,FALSE))</f>
        <v>1</v>
      </c>
      <c r="O128" s="31">
        <f>IFERROR(VLOOKUP($D128,bug_conf_sheet!$A:$H,4,FALSE),VLOOKUP("other",bug_conf_sheet!$A:$H,4,FALSE))</f>
        <v>0</v>
      </c>
      <c r="P128" s="31">
        <f>IFERROR(VLOOKUP($D128,bug_conf_sheet!$A:$H,5,FALSE),VLOOKUP("other",bug_conf_sheet!$A:$H,5,FALSE))</f>
        <v>0</v>
      </c>
      <c r="Q128" s="31">
        <f>IFERROR(VLOOKUP($D128,bug_conf_sheet!$A:$H,6,FALSE),VLOOKUP("other",bug_conf_sheet!$A:$H,6,FALSE))</f>
        <v>0</v>
      </c>
      <c r="R128" s="31">
        <f>IFERROR(VLOOKUP($D128,bug_conf_sheet!$A:$H,7,FALSE),VLOOKUP("other",bug_conf_sheet!$A:$H,7,FALSE))</f>
        <v>0</v>
      </c>
      <c r="S128" s="31">
        <f>IFERROR(VLOOKUP($D128,bug_conf_sheet!$A:$H,8,FALSE),VLOOKUP("other",bug_conf_sheet!$A:$H,8,FALSE))</f>
        <v>1</v>
      </c>
    </row>
    <row r="129" spans="1:19" ht="21" hidden="1" customHeight="1">
      <c r="A129" s="2">
        <f>input_1!A$2</f>
        <v>3121</v>
      </c>
      <c r="B129" s="7" t="str">
        <f t="shared" si="4"/>
        <v>Premium3</v>
      </c>
      <c r="C129" s="7" t="str">
        <f t="shared" si="5"/>
        <v>Premium</v>
      </c>
      <c r="D129" s="6">
        <v>253</v>
      </c>
      <c r="E129" s="7" t="str">
        <f>VLOOKUP(D129,[1]characters!$A:$C,3,FALSE)</f>
        <v>ベルフェゴール</v>
      </c>
      <c r="F129" s="7" t="str">
        <f>VLOOKUP(D129,[1]characters!$A:$J,10,FALSE)</f>
        <v>PremiumS</v>
      </c>
      <c r="G129" s="7">
        <f>VLOOKUP(D129,[1]characters!$A:$I,9,FALSE)</f>
        <v>3</v>
      </c>
      <c r="H129" s="7" t="str">
        <f>VLOOKUP(D129,[1]characters!$A:$H,8,FALSE)</f>
        <v>green</v>
      </c>
      <c r="I129" s="7" t="str">
        <f>VLOOKUP(D129,[1]characters!$A:$K,11,FALSE)</f>
        <v>technical</v>
      </c>
      <c r="J129" s="7" t="str">
        <f>VLOOKUP(D129,[1]characters!$A:$M,13,FALSE)</f>
        <v>god</v>
      </c>
      <c r="K129" s="7" t="str">
        <f>VLOOKUP(D129,[1]characters!$A:$G,7,FALSE)</f>
        <v>女性</v>
      </c>
      <c r="L129" s="66">
        <f>IFERROR(VLOOKUP(D129,input_1!L:R,7,FALSE),VLOOKUP(tables_1!B129,input_1!A:H,8,FALSE))</f>
        <v>175500</v>
      </c>
      <c r="M129" s="67">
        <f t="shared" si="3"/>
        <v>6.7567567567567571E-3</v>
      </c>
      <c r="N129" s="31">
        <f>IFERROR(VLOOKUP($D129,bug_conf_sheet!$A:$H,3,FALSE),VLOOKUP("other",bug_conf_sheet!$A:$H,3,FALSE))</f>
        <v>1</v>
      </c>
      <c r="O129" s="31">
        <f>IFERROR(VLOOKUP($D129,bug_conf_sheet!$A:$H,4,FALSE),VLOOKUP("other",bug_conf_sheet!$A:$H,4,FALSE))</f>
        <v>0</v>
      </c>
      <c r="P129" s="31">
        <f>IFERROR(VLOOKUP($D129,bug_conf_sheet!$A:$H,5,FALSE),VLOOKUP("other",bug_conf_sheet!$A:$H,5,FALSE))</f>
        <v>0</v>
      </c>
      <c r="Q129" s="31">
        <f>IFERROR(VLOOKUP($D129,bug_conf_sheet!$A:$H,6,FALSE),VLOOKUP("other",bug_conf_sheet!$A:$H,6,FALSE))</f>
        <v>0</v>
      </c>
      <c r="R129" s="31">
        <f>IFERROR(VLOOKUP($D129,bug_conf_sheet!$A:$H,7,FALSE),VLOOKUP("other",bug_conf_sheet!$A:$H,7,FALSE))</f>
        <v>0</v>
      </c>
      <c r="S129" s="31">
        <f>IFERROR(VLOOKUP($D129,bug_conf_sheet!$A:$H,8,FALSE),VLOOKUP("other",bug_conf_sheet!$A:$H,8,FALSE))</f>
        <v>1</v>
      </c>
    </row>
    <row r="130" spans="1:19" ht="21" hidden="1" customHeight="1">
      <c r="A130" s="2">
        <f>input_1!A$2</f>
        <v>3121</v>
      </c>
      <c r="B130" s="7" t="str">
        <f t="shared" si="4"/>
        <v>Premium4</v>
      </c>
      <c r="C130" s="7" t="str">
        <f t="shared" si="5"/>
        <v>Premium</v>
      </c>
      <c r="D130" s="6">
        <v>254</v>
      </c>
      <c r="E130" s="7" t="str">
        <f>VLOOKUP(D130,[1]characters!$A:$C,3,FALSE)</f>
        <v>怠惰 ベルフェゴール</v>
      </c>
      <c r="F130" s="7" t="str">
        <f>VLOOKUP(D130,[1]characters!$A:$J,10,FALSE)</f>
        <v>PremiumS</v>
      </c>
      <c r="G130" s="7">
        <f>VLOOKUP(D130,[1]characters!$A:$I,9,FALSE)</f>
        <v>4</v>
      </c>
      <c r="H130" s="7" t="str">
        <f>VLOOKUP(D130,[1]characters!$A:$H,8,FALSE)</f>
        <v>green</v>
      </c>
      <c r="I130" s="7" t="str">
        <f>VLOOKUP(D130,[1]characters!$A:$K,11,FALSE)</f>
        <v>technical</v>
      </c>
      <c r="J130" s="7" t="str">
        <f>VLOOKUP(D130,[1]characters!$A:$M,13,FALSE)</f>
        <v>god</v>
      </c>
      <c r="K130" s="7" t="str">
        <f>VLOOKUP(D130,[1]characters!$A:$G,7,FALSE)</f>
        <v>女性</v>
      </c>
      <c r="L130" s="66">
        <f>IFERROR(VLOOKUP(D130,input_1!L:R,7,FALSE),VLOOKUP(tables_1!B130,input_1!A:H,8,FALSE))</f>
        <v>154791</v>
      </c>
      <c r="M130" s="67">
        <f t="shared" ref="M130:M193" si="6">L130/SUM(L:L)</f>
        <v>5.9594594594594595E-3</v>
      </c>
      <c r="N130" s="31">
        <f>IFERROR(VLOOKUP($D130,bug_conf_sheet!$A:$H,3,FALSE),VLOOKUP("other",bug_conf_sheet!$A:$H,3,FALSE))</f>
        <v>1</v>
      </c>
      <c r="O130" s="31">
        <f>IFERROR(VLOOKUP($D130,bug_conf_sheet!$A:$H,4,FALSE),VLOOKUP("other",bug_conf_sheet!$A:$H,4,FALSE))</f>
        <v>0</v>
      </c>
      <c r="P130" s="31">
        <f>IFERROR(VLOOKUP($D130,bug_conf_sheet!$A:$H,5,FALSE),VLOOKUP("other",bug_conf_sheet!$A:$H,5,FALSE))</f>
        <v>0</v>
      </c>
      <c r="Q130" s="31">
        <f>IFERROR(VLOOKUP($D130,bug_conf_sheet!$A:$H,6,FALSE),VLOOKUP("other",bug_conf_sheet!$A:$H,6,FALSE))</f>
        <v>0</v>
      </c>
      <c r="R130" s="31">
        <f>IFERROR(VLOOKUP($D130,bug_conf_sheet!$A:$H,7,FALSE),VLOOKUP("other",bug_conf_sheet!$A:$H,7,FALSE))</f>
        <v>0</v>
      </c>
      <c r="S130" s="31">
        <f>IFERROR(VLOOKUP($D130,bug_conf_sheet!$A:$H,8,FALSE),VLOOKUP("other",bug_conf_sheet!$A:$H,8,FALSE))</f>
        <v>1</v>
      </c>
    </row>
    <row r="131" spans="1:19" ht="21" hidden="1" customHeight="1">
      <c r="A131" s="2">
        <f>input_1!A$2</f>
        <v>3121</v>
      </c>
      <c r="B131" s="7" t="str">
        <f t="shared" ref="B131:B194" si="7">C131&amp;G131</f>
        <v>Premium5</v>
      </c>
      <c r="C131" s="7" t="str">
        <f t="shared" ref="C131:C194" si="8">IF(F131="PremiumSS",F131,IF(F131="PremiumSSS",F131,"Premium"))</f>
        <v>Premium</v>
      </c>
      <c r="D131" s="6">
        <v>255</v>
      </c>
      <c r="E131" s="7" t="str">
        <f>VLOOKUP(D131,[1]characters!$A:$C,3,FALSE)</f>
        <v>怠惰の頂点 ベルフェゴール</v>
      </c>
      <c r="F131" s="7" t="str">
        <f>VLOOKUP(D131,[1]characters!$A:$J,10,FALSE)</f>
        <v>PremiumS</v>
      </c>
      <c r="G131" s="7">
        <f>VLOOKUP(D131,[1]characters!$A:$I,9,FALSE)</f>
        <v>5</v>
      </c>
      <c r="H131" s="7" t="str">
        <f>VLOOKUP(D131,[1]characters!$A:$H,8,FALSE)</f>
        <v>green</v>
      </c>
      <c r="I131" s="7" t="str">
        <f>VLOOKUP(D131,[1]characters!$A:$K,11,FALSE)</f>
        <v>technical</v>
      </c>
      <c r="J131" s="7" t="str">
        <f>VLOOKUP(D131,[1]characters!$A:$M,13,FALSE)</f>
        <v>god</v>
      </c>
      <c r="K131" s="7" t="str">
        <f>VLOOKUP(D131,[1]characters!$A:$G,7,FALSE)</f>
        <v>女性</v>
      </c>
      <c r="L131" s="66">
        <f>IFERROR(VLOOKUP(D131,input_1!L:R,7,FALSE),VLOOKUP(tables_1!B131,input_1!A:H,8,FALSE))</f>
        <v>23569</v>
      </c>
      <c r="M131" s="67">
        <f t="shared" si="6"/>
        <v>9.0740740740740745E-4</v>
      </c>
      <c r="N131" s="31">
        <f>IFERROR(VLOOKUP($D131,bug_conf_sheet!$A:$H,3,FALSE),VLOOKUP("other",bug_conf_sheet!$A:$H,3,FALSE))</f>
        <v>1</v>
      </c>
      <c r="O131" s="31">
        <f>IFERROR(VLOOKUP($D131,bug_conf_sheet!$A:$H,4,FALSE),VLOOKUP("other",bug_conf_sheet!$A:$H,4,FALSE))</f>
        <v>0</v>
      </c>
      <c r="P131" s="31">
        <f>IFERROR(VLOOKUP($D131,bug_conf_sheet!$A:$H,5,FALSE),VLOOKUP("other",bug_conf_sheet!$A:$H,5,FALSE))</f>
        <v>0</v>
      </c>
      <c r="Q131" s="31">
        <f>IFERROR(VLOOKUP($D131,bug_conf_sheet!$A:$H,6,FALSE),VLOOKUP("other",bug_conf_sheet!$A:$H,6,FALSE))</f>
        <v>0</v>
      </c>
      <c r="R131" s="31">
        <f>IFERROR(VLOOKUP($D131,bug_conf_sheet!$A:$H,7,FALSE),VLOOKUP("other",bug_conf_sheet!$A:$H,7,FALSE))</f>
        <v>0</v>
      </c>
      <c r="S131" s="31">
        <f>IFERROR(VLOOKUP($D131,bug_conf_sheet!$A:$H,8,FALSE),VLOOKUP("other",bug_conf_sheet!$A:$H,8,FALSE))</f>
        <v>1</v>
      </c>
    </row>
    <row r="132" spans="1:19" ht="21" hidden="1" customHeight="1">
      <c r="A132" s="2">
        <f>input_1!A$2</f>
        <v>3121</v>
      </c>
      <c r="B132" s="7" t="str">
        <f t="shared" si="7"/>
        <v>Premium3</v>
      </c>
      <c r="C132" s="7" t="str">
        <f t="shared" si="8"/>
        <v>Premium</v>
      </c>
      <c r="D132" s="6">
        <v>256</v>
      </c>
      <c r="E132" s="7" t="str">
        <f>VLOOKUP(D132,[1]characters!$A:$C,3,FALSE)</f>
        <v>アスモデウス</v>
      </c>
      <c r="F132" s="7" t="str">
        <f>VLOOKUP(D132,[1]characters!$A:$J,10,FALSE)</f>
        <v>PremiumS</v>
      </c>
      <c r="G132" s="7">
        <f>VLOOKUP(D132,[1]characters!$A:$I,9,FALSE)</f>
        <v>3</v>
      </c>
      <c r="H132" s="7" t="str">
        <f>VLOOKUP(D132,[1]characters!$A:$H,8,FALSE)</f>
        <v>blue</v>
      </c>
      <c r="I132" s="7" t="str">
        <f>VLOOKUP(D132,[1]characters!$A:$K,11,FALSE)</f>
        <v>attack</v>
      </c>
      <c r="J132" s="7" t="str">
        <f>VLOOKUP(D132,[1]characters!$A:$M,13,FALSE)</f>
        <v>god</v>
      </c>
      <c r="K132" s="7" t="str">
        <f>VLOOKUP(D132,[1]characters!$A:$G,7,FALSE)</f>
        <v>女性</v>
      </c>
      <c r="L132" s="66">
        <f>IFERROR(VLOOKUP(D132,input_1!L:R,7,FALSE),VLOOKUP(tables_1!B132,input_1!A:H,8,FALSE))</f>
        <v>175500</v>
      </c>
      <c r="M132" s="67">
        <f t="shared" si="6"/>
        <v>6.7567567567567571E-3</v>
      </c>
      <c r="N132" s="31">
        <f>IFERROR(VLOOKUP($D132,bug_conf_sheet!$A:$H,3,FALSE),VLOOKUP("other",bug_conf_sheet!$A:$H,3,FALSE))</f>
        <v>1</v>
      </c>
      <c r="O132" s="31">
        <f>IFERROR(VLOOKUP($D132,bug_conf_sheet!$A:$H,4,FALSE),VLOOKUP("other",bug_conf_sheet!$A:$H,4,FALSE))</f>
        <v>0</v>
      </c>
      <c r="P132" s="31">
        <f>IFERROR(VLOOKUP($D132,bug_conf_sheet!$A:$H,5,FALSE),VLOOKUP("other",bug_conf_sheet!$A:$H,5,FALSE))</f>
        <v>0</v>
      </c>
      <c r="Q132" s="31">
        <f>IFERROR(VLOOKUP($D132,bug_conf_sheet!$A:$H,6,FALSE),VLOOKUP("other",bug_conf_sheet!$A:$H,6,FALSE))</f>
        <v>0</v>
      </c>
      <c r="R132" s="31">
        <f>IFERROR(VLOOKUP($D132,bug_conf_sheet!$A:$H,7,FALSE),VLOOKUP("other",bug_conf_sheet!$A:$H,7,FALSE))</f>
        <v>0</v>
      </c>
      <c r="S132" s="31">
        <f>IFERROR(VLOOKUP($D132,bug_conf_sheet!$A:$H,8,FALSE),VLOOKUP("other",bug_conf_sheet!$A:$H,8,FALSE))</f>
        <v>1</v>
      </c>
    </row>
    <row r="133" spans="1:19" ht="21" hidden="1" customHeight="1">
      <c r="A133" s="2">
        <f>input_1!A$2</f>
        <v>3121</v>
      </c>
      <c r="B133" s="7" t="str">
        <f t="shared" si="7"/>
        <v>Premium4</v>
      </c>
      <c r="C133" s="7" t="str">
        <f t="shared" si="8"/>
        <v>Premium</v>
      </c>
      <c r="D133" s="6">
        <v>257</v>
      </c>
      <c r="E133" s="7" t="str">
        <f>VLOOKUP(D133,[1]characters!$A:$C,3,FALSE)</f>
        <v>色欲 アスモデウス</v>
      </c>
      <c r="F133" s="7" t="str">
        <f>VLOOKUP(D133,[1]characters!$A:$J,10,FALSE)</f>
        <v>PremiumS</v>
      </c>
      <c r="G133" s="7">
        <f>VLOOKUP(D133,[1]characters!$A:$I,9,FALSE)</f>
        <v>4</v>
      </c>
      <c r="H133" s="7" t="str">
        <f>VLOOKUP(D133,[1]characters!$A:$H,8,FALSE)</f>
        <v>blue</v>
      </c>
      <c r="I133" s="7" t="str">
        <f>VLOOKUP(D133,[1]characters!$A:$K,11,FALSE)</f>
        <v>attack</v>
      </c>
      <c r="J133" s="7" t="str">
        <f>VLOOKUP(D133,[1]characters!$A:$M,13,FALSE)</f>
        <v>god</v>
      </c>
      <c r="K133" s="7" t="str">
        <f>VLOOKUP(D133,[1]characters!$A:$G,7,FALSE)</f>
        <v>女性</v>
      </c>
      <c r="L133" s="66">
        <f>IFERROR(VLOOKUP(D133,input_1!L:R,7,FALSE),VLOOKUP(tables_1!B133,input_1!A:H,8,FALSE))</f>
        <v>154791</v>
      </c>
      <c r="M133" s="67">
        <f t="shared" si="6"/>
        <v>5.9594594594594595E-3</v>
      </c>
      <c r="N133" s="31">
        <f>IFERROR(VLOOKUP($D133,bug_conf_sheet!$A:$H,3,FALSE),VLOOKUP("other",bug_conf_sheet!$A:$H,3,FALSE))</f>
        <v>1</v>
      </c>
      <c r="O133" s="31">
        <f>IFERROR(VLOOKUP($D133,bug_conf_sheet!$A:$H,4,FALSE),VLOOKUP("other",bug_conf_sheet!$A:$H,4,FALSE))</f>
        <v>0</v>
      </c>
      <c r="P133" s="31">
        <f>IFERROR(VLOOKUP($D133,bug_conf_sheet!$A:$H,5,FALSE),VLOOKUP("other",bug_conf_sheet!$A:$H,5,FALSE))</f>
        <v>0</v>
      </c>
      <c r="Q133" s="31">
        <f>IFERROR(VLOOKUP($D133,bug_conf_sheet!$A:$H,6,FALSE),VLOOKUP("other",bug_conf_sheet!$A:$H,6,FALSE))</f>
        <v>0</v>
      </c>
      <c r="R133" s="31">
        <f>IFERROR(VLOOKUP($D133,bug_conf_sheet!$A:$H,7,FALSE),VLOOKUP("other",bug_conf_sheet!$A:$H,7,FALSE))</f>
        <v>0</v>
      </c>
      <c r="S133" s="31">
        <f>IFERROR(VLOOKUP($D133,bug_conf_sheet!$A:$H,8,FALSE),VLOOKUP("other",bug_conf_sheet!$A:$H,8,FALSE))</f>
        <v>1</v>
      </c>
    </row>
    <row r="134" spans="1:19" ht="21" hidden="1" customHeight="1">
      <c r="A134" s="2">
        <f>input_1!A$2</f>
        <v>3121</v>
      </c>
      <c r="B134" s="7" t="str">
        <f t="shared" si="7"/>
        <v>Premium5</v>
      </c>
      <c r="C134" s="7" t="str">
        <f t="shared" si="8"/>
        <v>Premium</v>
      </c>
      <c r="D134" s="6">
        <v>258</v>
      </c>
      <c r="E134" s="7" t="str">
        <f>VLOOKUP(D134,[1]characters!$A:$C,3,FALSE)</f>
        <v>色欲の源流 アスモデウス</v>
      </c>
      <c r="F134" s="7" t="str">
        <f>VLOOKUP(D134,[1]characters!$A:$J,10,FALSE)</f>
        <v>PremiumS</v>
      </c>
      <c r="G134" s="7">
        <f>VLOOKUP(D134,[1]characters!$A:$I,9,FALSE)</f>
        <v>5</v>
      </c>
      <c r="H134" s="7" t="str">
        <f>VLOOKUP(D134,[1]characters!$A:$H,8,FALSE)</f>
        <v>blue</v>
      </c>
      <c r="I134" s="7" t="str">
        <f>VLOOKUP(D134,[1]characters!$A:$K,11,FALSE)</f>
        <v>attack</v>
      </c>
      <c r="J134" s="7" t="str">
        <f>VLOOKUP(D134,[1]characters!$A:$M,13,FALSE)</f>
        <v>god</v>
      </c>
      <c r="K134" s="7" t="str">
        <f>VLOOKUP(D134,[1]characters!$A:$G,7,FALSE)</f>
        <v>女性</v>
      </c>
      <c r="L134" s="66">
        <f>IFERROR(VLOOKUP(D134,input_1!L:R,7,FALSE),VLOOKUP(tables_1!B134,input_1!A:H,8,FALSE))</f>
        <v>23569</v>
      </c>
      <c r="M134" s="67">
        <f t="shared" si="6"/>
        <v>9.0740740740740745E-4</v>
      </c>
      <c r="N134" s="31">
        <f>IFERROR(VLOOKUP($D134,bug_conf_sheet!$A:$H,3,FALSE),VLOOKUP("other",bug_conf_sheet!$A:$H,3,FALSE))</f>
        <v>1</v>
      </c>
      <c r="O134" s="31">
        <f>IFERROR(VLOOKUP($D134,bug_conf_sheet!$A:$H,4,FALSE),VLOOKUP("other",bug_conf_sheet!$A:$H,4,FALSE))</f>
        <v>0</v>
      </c>
      <c r="P134" s="31">
        <f>IFERROR(VLOOKUP($D134,bug_conf_sheet!$A:$H,5,FALSE),VLOOKUP("other",bug_conf_sheet!$A:$H,5,FALSE))</f>
        <v>0</v>
      </c>
      <c r="Q134" s="31">
        <f>IFERROR(VLOOKUP($D134,bug_conf_sheet!$A:$H,6,FALSE),VLOOKUP("other",bug_conf_sheet!$A:$H,6,FALSE))</f>
        <v>0</v>
      </c>
      <c r="R134" s="31">
        <f>IFERROR(VLOOKUP($D134,bug_conf_sheet!$A:$H,7,FALSE),VLOOKUP("other",bug_conf_sheet!$A:$H,7,FALSE))</f>
        <v>0</v>
      </c>
      <c r="S134" s="31">
        <f>IFERROR(VLOOKUP($D134,bug_conf_sheet!$A:$H,8,FALSE),VLOOKUP("other",bug_conf_sheet!$A:$H,8,FALSE))</f>
        <v>1</v>
      </c>
    </row>
    <row r="135" spans="1:19" ht="21" hidden="1" customHeight="1">
      <c r="A135" s="2">
        <f>input_1!A$2</f>
        <v>3121</v>
      </c>
      <c r="B135" s="7" t="str">
        <f t="shared" si="7"/>
        <v>Premium3</v>
      </c>
      <c r="C135" s="7" t="str">
        <f t="shared" si="8"/>
        <v>Premium</v>
      </c>
      <c r="D135" s="6">
        <v>259</v>
      </c>
      <c r="E135" s="7" t="str">
        <f>VLOOKUP(D135,[1]characters!$A:$C,3,FALSE)</f>
        <v>ウロボロス</v>
      </c>
      <c r="F135" s="7" t="str">
        <f>VLOOKUP(D135,[1]characters!$A:$J,10,FALSE)</f>
        <v>PremiumS</v>
      </c>
      <c r="G135" s="7">
        <f>VLOOKUP(D135,[1]characters!$A:$I,9,FALSE)</f>
        <v>3</v>
      </c>
      <c r="H135" s="7" t="str">
        <f>VLOOKUP(D135,[1]characters!$A:$H,8,FALSE)</f>
        <v>yellow</v>
      </c>
      <c r="I135" s="7" t="str">
        <f>VLOOKUP(D135,[1]characters!$A:$K,11,FALSE)</f>
        <v>balance</v>
      </c>
      <c r="J135" s="7" t="str">
        <f>VLOOKUP(D135,[1]characters!$A:$M,13,FALSE)</f>
        <v>dragon</v>
      </c>
      <c r="K135" s="7" t="str">
        <f>VLOOKUP(D135,[1]characters!$A:$G,7,FALSE)</f>
        <v>女性</v>
      </c>
      <c r="L135" s="66">
        <f>IFERROR(VLOOKUP(D135,input_1!L:R,7,FALSE),VLOOKUP(tables_1!B135,input_1!A:H,8,FALSE))</f>
        <v>175500</v>
      </c>
      <c r="M135" s="67">
        <f t="shared" si="6"/>
        <v>6.7567567567567571E-3</v>
      </c>
      <c r="N135" s="31">
        <f>IFERROR(VLOOKUP($D135,bug_conf_sheet!$A:$H,3,FALSE),VLOOKUP("other",bug_conf_sheet!$A:$H,3,FALSE))</f>
        <v>1</v>
      </c>
      <c r="O135" s="31">
        <f>IFERROR(VLOOKUP($D135,bug_conf_sheet!$A:$H,4,FALSE),VLOOKUP("other",bug_conf_sheet!$A:$H,4,FALSE))</f>
        <v>0</v>
      </c>
      <c r="P135" s="31">
        <f>IFERROR(VLOOKUP($D135,bug_conf_sheet!$A:$H,5,FALSE),VLOOKUP("other",bug_conf_sheet!$A:$H,5,FALSE))</f>
        <v>0</v>
      </c>
      <c r="Q135" s="31">
        <f>IFERROR(VLOOKUP($D135,bug_conf_sheet!$A:$H,6,FALSE),VLOOKUP("other",bug_conf_sheet!$A:$H,6,FALSE))</f>
        <v>0</v>
      </c>
      <c r="R135" s="31">
        <f>IFERROR(VLOOKUP($D135,bug_conf_sheet!$A:$H,7,FALSE),VLOOKUP("other",bug_conf_sheet!$A:$H,7,FALSE))</f>
        <v>0</v>
      </c>
      <c r="S135" s="31">
        <f>IFERROR(VLOOKUP($D135,bug_conf_sheet!$A:$H,8,FALSE),VLOOKUP("other",bug_conf_sheet!$A:$H,8,FALSE))</f>
        <v>1</v>
      </c>
    </row>
    <row r="136" spans="1:19" ht="21" hidden="1" customHeight="1">
      <c r="A136" s="2">
        <f>input_1!A$2</f>
        <v>3121</v>
      </c>
      <c r="B136" s="7" t="str">
        <f t="shared" si="7"/>
        <v>Premium4</v>
      </c>
      <c r="C136" s="7" t="str">
        <f t="shared" si="8"/>
        <v>Premium</v>
      </c>
      <c r="D136" s="8">
        <v>260</v>
      </c>
      <c r="E136" s="7" t="str">
        <f>VLOOKUP(D136,[1]characters!$A:$C,3,FALSE)</f>
        <v>輪廻 ウロボロス</v>
      </c>
      <c r="F136" s="7" t="str">
        <f>VLOOKUP(D136,[1]characters!$A:$J,10,FALSE)</f>
        <v>PremiumS</v>
      </c>
      <c r="G136" s="7">
        <f>VLOOKUP(D136,[1]characters!$A:$I,9,FALSE)</f>
        <v>4</v>
      </c>
      <c r="H136" s="7" t="str">
        <f>VLOOKUP(D136,[1]characters!$A:$H,8,FALSE)</f>
        <v>yellow</v>
      </c>
      <c r="I136" s="7" t="str">
        <f>VLOOKUP(D136,[1]characters!$A:$K,11,FALSE)</f>
        <v>balance</v>
      </c>
      <c r="J136" s="7" t="str">
        <f>VLOOKUP(D136,[1]characters!$A:$M,13,FALSE)</f>
        <v>dragon</v>
      </c>
      <c r="K136" s="7" t="str">
        <f>VLOOKUP(D136,[1]characters!$A:$G,7,FALSE)</f>
        <v>女性</v>
      </c>
      <c r="L136" s="66">
        <f>IFERROR(VLOOKUP(D136,input_1!L:R,7,FALSE),VLOOKUP(tables_1!B136,input_1!A:H,8,FALSE))</f>
        <v>154791</v>
      </c>
      <c r="M136" s="67">
        <f t="shared" si="6"/>
        <v>5.9594594594594595E-3</v>
      </c>
      <c r="N136" s="31">
        <f>IFERROR(VLOOKUP($D136,bug_conf_sheet!$A:$H,3,FALSE),VLOOKUP("other",bug_conf_sheet!$A:$H,3,FALSE))</f>
        <v>1</v>
      </c>
      <c r="O136" s="31">
        <f>IFERROR(VLOOKUP($D136,bug_conf_sheet!$A:$H,4,FALSE),VLOOKUP("other",bug_conf_sheet!$A:$H,4,FALSE))</f>
        <v>0</v>
      </c>
      <c r="P136" s="31">
        <f>IFERROR(VLOOKUP($D136,bug_conf_sheet!$A:$H,5,FALSE),VLOOKUP("other",bug_conf_sheet!$A:$H,5,FALSE))</f>
        <v>0</v>
      </c>
      <c r="Q136" s="31">
        <f>IFERROR(VLOOKUP($D136,bug_conf_sheet!$A:$H,6,FALSE),VLOOKUP("other",bug_conf_sheet!$A:$H,6,FALSE))</f>
        <v>0</v>
      </c>
      <c r="R136" s="31">
        <f>IFERROR(VLOOKUP($D136,bug_conf_sheet!$A:$H,7,FALSE),VLOOKUP("other",bug_conf_sheet!$A:$H,7,FALSE))</f>
        <v>0</v>
      </c>
      <c r="S136" s="31">
        <f>IFERROR(VLOOKUP($D136,bug_conf_sheet!$A:$H,8,FALSE),VLOOKUP("other",bug_conf_sheet!$A:$H,8,FALSE))</f>
        <v>1</v>
      </c>
    </row>
    <row r="137" spans="1:19" ht="21" hidden="1" customHeight="1">
      <c r="A137" s="2">
        <f>input_1!A$2</f>
        <v>3121</v>
      </c>
      <c r="B137" s="7" t="str">
        <f t="shared" si="7"/>
        <v>Premium5</v>
      </c>
      <c r="C137" s="7" t="str">
        <f t="shared" si="8"/>
        <v>Premium</v>
      </c>
      <c r="D137" s="8">
        <v>261</v>
      </c>
      <c r="E137" s="7" t="str">
        <f>VLOOKUP(D137,[1]characters!$A:$C,3,FALSE)</f>
        <v>輪廻の蛇龍 ウロボロス</v>
      </c>
      <c r="F137" s="7" t="str">
        <f>VLOOKUP(D137,[1]characters!$A:$J,10,FALSE)</f>
        <v>PremiumS</v>
      </c>
      <c r="G137" s="7">
        <f>VLOOKUP(D137,[1]characters!$A:$I,9,FALSE)</f>
        <v>5</v>
      </c>
      <c r="H137" s="7" t="str">
        <f>VLOOKUP(D137,[1]characters!$A:$H,8,FALSE)</f>
        <v>yellow</v>
      </c>
      <c r="I137" s="7" t="str">
        <f>VLOOKUP(D137,[1]characters!$A:$K,11,FALSE)</f>
        <v>balance</v>
      </c>
      <c r="J137" s="7" t="str">
        <f>VLOOKUP(D137,[1]characters!$A:$M,13,FALSE)</f>
        <v>dragon</v>
      </c>
      <c r="K137" s="7" t="str">
        <f>VLOOKUP(D137,[1]characters!$A:$G,7,FALSE)</f>
        <v>女性</v>
      </c>
      <c r="L137" s="66">
        <f>IFERROR(VLOOKUP(D137,input_1!L:R,7,FALSE),VLOOKUP(tables_1!B137,input_1!A:H,8,FALSE))</f>
        <v>23569</v>
      </c>
      <c r="M137" s="67">
        <f t="shared" si="6"/>
        <v>9.0740740740740745E-4</v>
      </c>
      <c r="N137" s="31">
        <f>IFERROR(VLOOKUP($D137,bug_conf_sheet!$A:$H,3,FALSE),VLOOKUP("other",bug_conf_sheet!$A:$H,3,FALSE))</f>
        <v>1</v>
      </c>
      <c r="O137" s="31">
        <f>IFERROR(VLOOKUP($D137,bug_conf_sheet!$A:$H,4,FALSE),VLOOKUP("other",bug_conf_sheet!$A:$H,4,FALSE))</f>
        <v>0</v>
      </c>
      <c r="P137" s="31">
        <f>IFERROR(VLOOKUP($D137,bug_conf_sheet!$A:$H,5,FALSE),VLOOKUP("other",bug_conf_sheet!$A:$H,5,FALSE))</f>
        <v>0</v>
      </c>
      <c r="Q137" s="31">
        <f>IFERROR(VLOOKUP($D137,bug_conf_sheet!$A:$H,6,FALSE),VLOOKUP("other",bug_conf_sheet!$A:$H,6,FALSE))</f>
        <v>0</v>
      </c>
      <c r="R137" s="31">
        <f>IFERROR(VLOOKUP($D137,bug_conf_sheet!$A:$H,7,FALSE),VLOOKUP("other",bug_conf_sheet!$A:$H,7,FALSE))</f>
        <v>0</v>
      </c>
      <c r="S137" s="31">
        <f>IFERROR(VLOOKUP($D137,bug_conf_sheet!$A:$H,8,FALSE),VLOOKUP("other",bug_conf_sheet!$A:$H,8,FALSE))</f>
        <v>1</v>
      </c>
    </row>
    <row r="138" spans="1:19" ht="21" hidden="1" customHeight="1">
      <c r="A138" s="2">
        <f>input_1!A$2</f>
        <v>3121</v>
      </c>
      <c r="B138" s="7" t="str">
        <f t="shared" si="7"/>
        <v>PremiumSS4</v>
      </c>
      <c r="C138" s="7" t="str">
        <f t="shared" si="8"/>
        <v>PremiumSS</v>
      </c>
      <c r="D138" s="6">
        <v>320</v>
      </c>
      <c r="E138" s="7" t="str">
        <f>VLOOKUP(D138,[1]characters!$A:$C,3,FALSE)</f>
        <v>烈志士 近藤勇</v>
      </c>
      <c r="F138" s="7" t="str">
        <f>VLOOKUP(D138,[1]characters!$A:$J,10,FALSE)</f>
        <v>PremiumSS</v>
      </c>
      <c r="G138" s="7">
        <f>VLOOKUP(D138,[1]characters!$A:$I,9,FALSE)</f>
        <v>4</v>
      </c>
      <c r="H138" s="7" t="str">
        <f>VLOOKUP(D138,[1]characters!$A:$H,8,FALSE)</f>
        <v>red</v>
      </c>
      <c r="I138" s="7" t="str">
        <f>VLOOKUP(D138,[1]characters!$A:$K,11,FALSE)</f>
        <v>hp</v>
      </c>
      <c r="J138" s="7" t="str">
        <f>VLOOKUP(D138,[1]characters!$A:$M,13,FALSE)</f>
        <v>human</v>
      </c>
      <c r="K138" s="7" t="str">
        <f>VLOOKUP(D138,[1]characters!$A:$G,7,FALSE)</f>
        <v>男性</v>
      </c>
      <c r="L138" s="66">
        <f>IFERROR(VLOOKUP(D138,input_1!L:R,7,FALSE),VLOOKUP(tables_1!B138,input_1!A:H,8,FALSE))</f>
        <v>8991</v>
      </c>
      <c r="M138" s="67">
        <f t="shared" si="6"/>
        <v>3.4615384615384613E-4</v>
      </c>
      <c r="N138" s="31">
        <f>IFERROR(VLOOKUP($D138,bug_conf_sheet!$A:$H,3,FALSE),VLOOKUP("other",bug_conf_sheet!$A:$H,3,FALSE))</f>
        <v>1</v>
      </c>
      <c r="O138" s="31">
        <f>IFERROR(VLOOKUP($D138,bug_conf_sheet!$A:$H,4,FALSE),VLOOKUP("other",bug_conf_sheet!$A:$H,4,FALSE))</f>
        <v>0</v>
      </c>
      <c r="P138" s="31">
        <f>IFERROR(VLOOKUP($D138,bug_conf_sheet!$A:$H,5,FALSE),VLOOKUP("other",bug_conf_sheet!$A:$H,5,FALSE))</f>
        <v>0</v>
      </c>
      <c r="Q138" s="31">
        <f>IFERROR(VLOOKUP($D138,bug_conf_sheet!$A:$H,6,FALSE),VLOOKUP("other",bug_conf_sheet!$A:$H,6,FALSE))</f>
        <v>0</v>
      </c>
      <c r="R138" s="31">
        <f>IFERROR(VLOOKUP($D138,bug_conf_sheet!$A:$H,7,FALSE),VLOOKUP("other",bug_conf_sheet!$A:$H,7,FALSE))</f>
        <v>0</v>
      </c>
      <c r="S138" s="31">
        <f>IFERROR(VLOOKUP($D138,bug_conf_sheet!$A:$H,8,FALSE),VLOOKUP("other",bug_conf_sheet!$A:$H,8,FALSE))</f>
        <v>1</v>
      </c>
    </row>
    <row r="139" spans="1:19" ht="21" customHeight="1">
      <c r="A139" s="2">
        <f>input_1!A$2</f>
        <v>3121</v>
      </c>
      <c r="B139" s="7" t="str">
        <f t="shared" si="7"/>
        <v>PremiumSS5</v>
      </c>
      <c r="C139" s="7" t="str">
        <f t="shared" si="8"/>
        <v>PremiumSS</v>
      </c>
      <c r="D139" s="6">
        <v>321</v>
      </c>
      <c r="E139" s="7" t="str">
        <f>VLOOKUP(D139,[1]characters!$A:$C,3,FALSE)</f>
        <v>巌鉄の烈志士 近藤勇</v>
      </c>
      <c r="F139" s="7" t="str">
        <f>VLOOKUP(D139,[1]characters!$A:$J,10,FALSE)</f>
        <v>PremiumSS</v>
      </c>
      <c r="G139" s="7">
        <f>VLOOKUP(D139,[1]characters!$A:$I,9,FALSE)</f>
        <v>5</v>
      </c>
      <c r="H139" s="7" t="str">
        <f>VLOOKUP(D139,[1]characters!$A:$H,8,FALSE)</f>
        <v>red</v>
      </c>
      <c r="I139" s="7" t="str">
        <f>VLOOKUP(D139,[1]characters!$A:$K,11,FALSE)</f>
        <v>hp</v>
      </c>
      <c r="J139" s="7" t="str">
        <f>VLOOKUP(D139,[1]characters!$A:$M,13,FALSE)</f>
        <v>human</v>
      </c>
      <c r="K139" s="7" t="str">
        <f>VLOOKUP(D139,[1]characters!$A:$G,7,FALSE)</f>
        <v>男性</v>
      </c>
      <c r="L139" s="66">
        <f>IFERROR(VLOOKUP(D139,input_1!L:R,7,FALSE),VLOOKUP(tables_1!B139,input_1!A:H,8,FALSE))</f>
        <v>999</v>
      </c>
      <c r="M139" s="67">
        <f t="shared" si="6"/>
        <v>3.8461538461538463E-5</v>
      </c>
      <c r="N139" s="31">
        <f>IFERROR(VLOOKUP($D139,bug_conf_sheet!$A:$H,3,FALSE),VLOOKUP("other",bug_conf_sheet!$A:$H,3,FALSE))</f>
        <v>1</v>
      </c>
      <c r="O139" s="31">
        <f>IFERROR(VLOOKUP($D139,bug_conf_sheet!$A:$H,4,FALSE),VLOOKUP("other",bug_conf_sheet!$A:$H,4,FALSE))</f>
        <v>0</v>
      </c>
      <c r="P139" s="31">
        <f>IFERROR(VLOOKUP($D139,bug_conf_sheet!$A:$H,5,FALSE),VLOOKUP("other",bug_conf_sheet!$A:$H,5,FALSE))</f>
        <v>0</v>
      </c>
      <c r="Q139" s="31">
        <f>IFERROR(VLOOKUP($D139,bug_conf_sheet!$A:$H,6,FALSE),VLOOKUP("other",bug_conf_sheet!$A:$H,6,FALSE))</f>
        <v>0</v>
      </c>
      <c r="R139" s="31">
        <f>IFERROR(VLOOKUP($D139,bug_conf_sheet!$A:$H,7,FALSE),VLOOKUP("other",bug_conf_sheet!$A:$H,7,FALSE))</f>
        <v>0</v>
      </c>
      <c r="S139" s="31">
        <f>IFERROR(VLOOKUP($D139,bug_conf_sheet!$A:$H,8,FALSE),VLOOKUP("other",bug_conf_sheet!$A:$H,8,FALSE))</f>
        <v>1</v>
      </c>
    </row>
    <row r="140" spans="1:19" ht="21" hidden="1" customHeight="1">
      <c r="A140" s="2">
        <f>input_1!A$2</f>
        <v>3121</v>
      </c>
      <c r="B140" s="7" t="str">
        <f t="shared" si="7"/>
        <v>PremiumSS4</v>
      </c>
      <c r="C140" s="7" t="str">
        <f t="shared" si="8"/>
        <v>PremiumSS</v>
      </c>
      <c r="D140" s="6">
        <v>322</v>
      </c>
      <c r="E140" s="7" t="str">
        <f>VLOOKUP(D140,[1]characters!$A:$C,3,FALSE)</f>
        <v>愛志士 土方歳三</v>
      </c>
      <c r="F140" s="7" t="str">
        <f>VLOOKUP(D140,[1]characters!$A:$J,10,FALSE)</f>
        <v>PremiumSS</v>
      </c>
      <c r="G140" s="7">
        <f>VLOOKUP(D140,[1]characters!$A:$I,9,FALSE)</f>
        <v>4</v>
      </c>
      <c r="H140" s="7" t="str">
        <f>VLOOKUP(D140,[1]characters!$A:$H,8,FALSE)</f>
        <v>green</v>
      </c>
      <c r="I140" s="7" t="str">
        <f>VLOOKUP(D140,[1]characters!$A:$K,11,FALSE)</f>
        <v>attack</v>
      </c>
      <c r="J140" s="7" t="str">
        <f>VLOOKUP(D140,[1]characters!$A:$M,13,FALSE)</f>
        <v>human</v>
      </c>
      <c r="K140" s="7" t="str">
        <f>VLOOKUP(D140,[1]characters!$A:$G,7,FALSE)</f>
        <v>女性</v>
      </c>
      <c r="L140" s="66">
        <f>IFERROR(VLOOKUP(D140,input_1!L:R,7,FALSE),VLOOKUP(tables_1!B140,input_1!A:H,8,FALSE))</f>
        <v>8991</v>
      </c>
      <c r="M140" s="67">
        <f t="shared" si="6"/>
        <v>3.4615384615384613E-4</v>
      </c>
      <c r="N140" s="31">
        <f>IFERROR(VLOOKUP($D140,bug_conf_sheet!$A:$H,3,FALSE),VLOOKUP("other",bug_conf_sheet!$A:$H,3,FALSE))</f>
        <v>1</v>
      </c>
      <c r="O140" s="31">
        <f>IFERROR(VLOOKUP($D140,bug_conf_sheet!$A:$H,4,FALSE),VLOOKUP("other",bug_conf_sheet!$A:$H,4,FALSE))</f>
        <v>0</v>
      </c>
      <c r="P140" s="31">
        <f>IFERROR(VLOOKUP($D140,bug_conf_sheet!$A:$H,5,FALSE),VLOOKUP("other",bug_conf_sheet!$A:$H,5,FALSE))</f>
        <v>0</v>
      </c>
      <c r="Q140" s="31">
        <f>IFERROR(VLOOKUP($D140,bug_conf_sheet!$A:$H,6,FALSE),VLOOKUP("other",bug_conf_sheet!$A:$H,6,FALSE))</f>
        <v>0</v>
      </c>
      <c r="R140" s="31">
        <f>IFERROR(VLOOKUP($D140,bug_conf_sheet!$A:$H,7,FALSE),VLOOKUP("other",bug_conf_sheet!$A:$H,7,FALSE))</f>
        <v>0</v>
      </c>
      <c r="S140" s="31">
        <f>IFERROR(VLOOKUP($D140,bug_conf_sheet!$A:$H,8,FALSE),VLOOKUP("other",bug_conf_sheet!$A:$H,8,FALSE))</f>
        <v>1</v>
      </c>
    </row>
    <row r="141" spans="1:19" ht="21" customHeight="1">
      <c r="A141" s="2">
        <f>input_1!A$2</f>
        <v>3121</v>
      </c>
      <c r="B141" s="7" t="str">
        <f t="shared" si="7"/>
        <v>PremiumSS5</v>
      </c>
      <c r="C141" s="7" t="str">
        <f t="shared" si="8"/>
        <v>PremiumSS</v>
      </c>
      <c r="D141" s="6">
        <v>323</v>
      </c>
      <c r="E141" s="7" t="str">
        <f>VLOOKUP(D141,[1]characters!$A:$C,3,FALSE)</f>
        <v>流麗の愛志士 土方歳三</v>
      </c>
      <c r="F141" s="7" t="str">
        <f>VLOOKUP(D141,[1]characters!$A:$J,10,FALSE)</f>
        <v>PremiumSS</v>
      </c>
      <c r="G141" s="7">
        <f>VLOOKUP(D141,[1]characters!$A:$I,9,FALSE)</f>
        <v>5</v>
      </c>
      <c r="H141" s="7" t="str">
        <f>VLOOKUP(D141,[1]characters!$A:$H,8,FALSE)</f>
        <v>green</v>
      </c>
      <c r="I141" s="7" t="str">
        <f>VLOOKUP(D141,[1]characters!$A:$K,11,FALSE)</f>
        <v>attack</v>
      </c>
      <c r="J141" s="7" t="str">
        <f>VLOOKUP(D141,[1]characters!$A:$M,13,FALSE)</f>
        <v>human</v>
      </c>
      <c r="K141" s="7" t="str">
        <f>VLOOKUP(D141,[1]characters!$A:$G,7,FALSE)</f>
        <v>女性</v>
      </c>
      <c r="L141" s="66">
        <f>IFERROR(VLOOKUP(D141,input_1!L:R,7,FALSE),VLOOKUP(tables_1!B141,input_1!A:H,8,FALSE))</f>
        <v>999</v>
      </c>
      <c r="M141" s="67">
        <f t="shared" si="6"/>
        <v>3.8461538461538463E-5</v>
      </c>
      <c r="N141" s="31">
        <f>IFERROR(VLOOKUP($D141,bug_conf_sheet!$A:$H,3,FALSE),VLOOKUP("other",bug_conf_sheet!$A:$H,3,FALSE))</f>
        <v>1</v>
      </c>
      <c r="O141" s="31">
        <f>IFERROR(VLOOKUP($D141,bug_conf_sheet!$A:$H,4,FALSE),VLOOKUP("other",bug_conf_sheet!$A:$H,4,FALSE))</f>
        <v>0</v>
      </c>
      <c r="P141" s="31">
        <f>IFERROR(VLOOKUP($D141,bug_conf_sheet!$A:$H,5,FALSE),VLOOKUP("other",bug_conf_sheet!$A:$H,5,FALSE))</f>
        <v>0</v>
      </c>
      <c r="Q141" s="31">
        <f>IFERROR(VLOOKUP($D141,bug_conf_sheet!$A:$H,6,FALSE),VLOOKUP("other",bug_conf_sheet!$A:$H,6,FALSE))</f>
        <v>0</v>
      </c>
      <c r="R141" s="31">
        <f>IFERROR(VLOOKUP($D141,bug_conf_sheet!$A:$H,7,FALSE),VLOOKUP("other",bug_conf_sheet!$A:$H,7,FALSE))</f>
        <v>0</v>
      </c>
      <c r="S141" s="31">
        <f>IFERROR(VLOOKUP($D141,bug_conf_sheet!$A:$H,8,FALSE),VLOOKUP("other",bug_conf_sheet!$A:$H,8,FALSE))</f>
        <v>1</v>
      </c>
    </row>
    <row r="142" spans="1:19" ht="21" hidden="1" customHeight="1">
      <c r="A142" s="2">
        <f>input_1!A$2</f>
        <v>3121</v>
      </c>
      <c r="B142" s="7" t="str">
        <f t="shared" si="7"/>
        <v>PremiumSS4</v>
      </c>
      <c r="C142" s="7" t="str">
        <f t="shared" si="8"/>
        <v>PremiumSS</v>
      </c>
      <c r="D142" s="6">
        <v>324</v>
      </c>
      <c r="E142" s="7" t="str">
        <f>VLOOKUP(D142,[1]characters!$A:$C,3,FALSE)</f>
        <v>凛志士 沖田総司</v>
      </c>
      <c r="F142" s="7" t="str">
        <f>VLOOKUP(D142,[1]characters!$A:$J,10,FALSE)</f>
        <v>PremiumSS</v>
      </c>
      <c r="G142" s="7">
        <f>VLOOKUP(D142,[1]characters!$A:$I,9,FALSE)</f>
        <v>4</v>
      </c>
      <c r="H142" s="7" t="str">
        <f>VLOOKUP(D142,[1]characters!$A:$H,8,FALSE)</f>
        <v>blue</v>
      </c>
      <c r="I142" s="7" t="str">
        <f>VLOOKUP(D142,[1]characters!$A:$K,11,FALSE)</f>
        <v>balance</v>
      </c>
      <c r="J142" s="7" t="str">
        <f>VLOOKUP(D142,[1]characters!$A:$M,13,FALSE)</f>
        <v>human</v>
      </c>
      <c r="K142" s="7" t="str">
        <f>VLOOKUP(D142,[1]characters!$A:$G,7,FALSE)</f>
        <v>女性</v>
      </c>
      <c r="L142" s="66">
        <f>IFERROR(VLOOKUP(D142,input_1!L:R,7,FALSE),VLOOKUP(tables_1!B142,input_1!A:H,8,FALSE))</f>
        <v>8991</v>
      </c>
      <c r="M142" s="67">
        <f t="shared" si="6"/>
        <v>3.4615384615384613E-4</v>
      </c>
      <c r="N142" s="31">
        <f>IFERROR(VLOOKUP($D142,bug_conf_sheet!$A:$H,3,FALSE),VLOOKUP("other",bug_conf_sheet!$A:$H,3,FALSE))</f>
        <v>1</v>
      </c>
      <c r="O142" s="31">
        <f>IFERROR(VLOOKUP($D142,bug_conf_sheet!$A:$H,4,FALSE),VLOOKUP("other",bug_conf_sheet!$A:$H,4,FALSE))</f>
        <v>0</v>
      </c>
      <c r="P142" s="31">
        <f>IFERROR(VLOOKUP($D142,bug_conf_sheet!$A:$H,5,FALSE),VLOOKUP("other",bug_conf_sheet!$A:$H,5,FALSE))</f>
        <v>0</v>
      </c>
      <c r="Q142" s="31">
        <f>IFERROR(VLOOKUP($D142,bug_conf_sheet!$A:$H,6,FALSE),VLOOKUP("other",bug_conf_sheet!$A:$H,6,FALSE))</f>
        <v>0</v>
      </c>
      <c r="R142" s="31">
        <f>IFERROR(VLOOKUP($D142,bug_conf_sheet!$A:$H,7,FALSE),VLOOKUP("other",bug_conf_sheet!$A:$H,7,FALSE))</f>
        <v>0</v>
      </c>
      <c r="S142" s="31">
        <f>IFERROR(VLOOKUP($D142,bug_conf_sheet!$A:$H,8,FALSE),VLOOKUP("other",bug_conf_sheet!$A:$H,8,FALSE))</f>
        <v>1</v>
      </c>
    </row>
    <row r="143" spans="1:19" s="12" customFormat="1" ht="21" customHeight="1" thickBot="1">
      <c r="A143" s="2">
        <f>input_1!A$2</f>
        <v>3121</v>
      </c>
      <c r="B143" s="7" t="str">
        <f t="shared" si="7"/>
        <v>PremiumSS5</v>
      </c>
      <c r="C143" s="7" t="str">
        <f t="shared" si="8"/>
        <v>PremiumSS</v>
      </c>
      <c r="D143" s="6">
        <v>325</v>
      </c>
      <c r="E143" s="7" t="str">
        <f>VLOOKUP(D143,[1]characters!$A:$C,3,FALSE)</f>
        <v>天賦の凛志士 沖田総司</v>
      </c>
      <c r="F143" s="7" t="str">
        <f>VLOOKUP(D143,[1]characters!$A:$J,10,FALSE)</f>
        <v>PremiumSS</v>
      </c>
      <c r="G143" s="7">
        <f>VLOOKUP(D143,[1]characters!$A:$I,9,FALSE)</f>
        <v>5</v>
      </c>
      <c r="H143" s="7" t="str">
        <f>VLOOKUP(D143,[1]characters!$A:$H,8,FALSE)</f>
        <v>blue</v>
      </c>
      <c r="I143" s="7" t="str">
        <f>VLOOKUP(D143,[1]characters!$A:$K,11,FALSE)</f>
        <v>balance</v>
      </c>
      <c r="J143" s="7" t="str">
        <f>VLOOKUP(D143,[1]characters!$A:$M,13,FALSE)</f>
        <v>human</v>
      </c>
      <c r="K143" s="7" t="str">
        <f>VLOOKUP(D143,[1]characters!$A:$G,7,FALSE)</f>
        <v>女性</v>
      </c>
      <c r="L143" s="66">
        <f>IFERROR(VLOOKUP(D143,input_1!L:R,7,FALSE),VLOOKUP(tables_1!B143,input_1!A:H,8,FALSE))</f>
        <v>999</v>
      </c>
      <c r="M143" s="67">
        <f t="shared" si="6"/>
        <v>3.8461538461538463E-5</v>
      </c>
      <c r="N143" s="31">
        <f>IFERROR(VLOOKUP($D143,bug_conf_sheet!$A:$H,3,FALSE),VLOOKUP("other",bug_conf_sheet!$A:$H,3,FALSE))</f>
        <v>1</v>
      </c>
      <c r="O143" s="31">
        <f>IFERROR(VLOOKUP($D143,bug_conf_sheet!$A:$H,4,FALSE),VLOOKUP("other",bug_conf_sheet!$A:$H,4,FALSE))</f>
        <v>0</v>
      </c>
      <c r="P143" s="31">
        <f>IFERROR(VLOOKUP($D143,bug_conf_sheet!$A:$H,5,FALSE),VLOOKUP("other",bug_conf_sheet!$A:$H,5,FALSE))</f>
        <v>0</v>
      </c>
      <c r="Q143" s="31">
        <f>IFERROR(VLOOKUP($D143,bug_conf_sheet!$A:$H,6,FALSE),VLOOKUP("other",bug_conf_sheet!$A:$H,6,FALSE))</f>
        <v>0</v>
      </c>
      <c r="R143" s="31">
        <f>IFERROR(VLOOKUP($D143,bug_conf_sheet!$A:$H,7,FALSE),VLOOKUP("other",bug_conf_sheet!$A:$H,7,FALSE))</f>
        <v>0</v>
      </c>
      <c r="S143" s="31">
        <f>IFERROR(VLOOKUP($D143,bug_conf_sheet!$A:$H,8,FALSE),VLOOKUP("other",bug_conf_sheet!$A:$H,8,FALSE))</f>
        <v>1</v>
      </c>
    </row>
    <row r="144" spans="1:19" ht="21" hidden="1" customHeight="1">
      <c r="A144" s="2">
        <f>input_1!A$2</f>
        <v>3121</v>
      </c>
      <c r="B144" s="7" t="str">
        <f t="shared" si="7"/>
        <v>PremiumSS4</v>
      </c>
      <c r="C144" s="7" t="str">
        <f t="shared" si="8"/>
        <v>PremiumSS</v>
      </c>
      <c r="D144" s="6">
        <v>326</v>
      </c>
      <c r="E144" s="7" t="str">
        <f>VLOOKUP(D144,[1]characters!$A:$C,3,FALSE)</f>
        <v>妖志士 斎藤一</v>
      </c>
      <c r="F144" s="7" t="str">
        <f>VLOOKUP(D144,[1]characters!$A:$J,10,FALSE)</f>
        <v>PremiumSS</v>
      </c>
      <c r="G144" s="7">
        <f>VLOOKUP(D144,[1]characters!$A:$I,9,FALSE)</f>
        <v>4</v>
      </c>
      <c r="H144" s="7" t="str">
        <f>VLOOKUP(D144,[1]characters!$A:$H,8,FALSE)</f>
        <v>yellow</v>
      </c>
      <c r="I144" s="7" t="str">
        <f>VLOOKUP(D144,[1]characters!$A:$K,11,FALSE)</f>
        <v>technical</v>
      </c>
      <c r="J144" s="7" t="str">
        <f>VLOOKUP(D144,[1]characters!$A:$M,13,FALSE)</f>
        <v>human</v>
      </c>
      <c r="K144" s="7" t="str">
        <f>VLOOKUP(D144,[1]characters!$A:$G,7,FALSE)</f>
        <v>女性</v>
      </c>
      <c r="L144" s="66">
        <f>IFERROR(VLOOKUP(D144,input_1!L:R,7,FALSE),VLOOKUP(tables_1!B144,input_1!A:H,8,FALSE))</f>
        <v>8991</v>
      </c>
      <c r="M144" s="67">
        <f t="shared" si="6"/>
        <v>3.4615384615384613E-4</v>
      </c>
      <c r="N144" s="31">
        <f>IFERROR(VLOOKUP($D144,bug_conf_sheet!$A:$H,3,FALSE),VLOOKUP("other",bug_conf_sheet!$A:$H,3,FALSE))</f>
        <v>1</v>
      </c>
      <c r="O144" s="31">
        <f>IFERROR(VLOOKUP($D144,bug_conf_sheet!$A:$H,4,FALSE),VLOOKUP("other",bug_conf_sheet!$A:$H,4,FALSE))</f>
        <v>0</v>
      </c>
      <c r="P144" s="31">
        <f>IFERROR(VLOOKUP($D144,bug_conf_sheet!$A:$H,5,FALSE),VLOOKUP("other",bug_conf_sheet!$A:$H,5,FALSE))</f>
        <v>0</v>
      </c>
      <c r="Q144" s="31">
        <f>IFERROR(VLOOKUP($D144,bug_conf_sheet!$A:$H,6,FALSE),VLOOKUP("other",bug_conf_sheet!$A:$H,6,FALSE))</f>
        <v>0</v>
      </c>
      <c r="R144" s="31">
        <f>IFERROR(VLOOKUP($D144,bug_conf_sheet!$A:$H,7,FALSE),VLOOKUP("other",bug_conf_sheet!$A:$H,7,FALSE))</f>
        <v>0</v>
      </c>
      <c r="S144" s="31">
        <f>IFERROR(VLOOKUP($D144,bug_conf_sheet!$A:$H,8,FALSE),VLOOKUP("other",bug_conf_sheet!$A:$H,8,FALSE))</f>
        <v>1</v>
      </c>
    </row>
    <row r="145" spans="1:19" ht="21" customHeight="1">
      <c r="A145" s="2">
        <f>input_1!A$2</f>
        <v>3121</v>
      </c>
      <c r="B145" s="7" t="str">
        <f t="shared" si="7"/>
        <v>PremiumSS5</v>
      </c>
      <c r="C145" s="7" t="str">
        <f t="shared" si="8"/>
        <v>PremiumSS</v>
      </c>
      <c r="D145" s="6">
        <v>327</v>
      </c>
      <c r="E145" s="7" t="str">
        <f>VLOOKUP(D145,[1]characters!$A:$C,3,FALSE)</f>
        <v>千殺の妖志士 斎藤一</v>
      </c>
      <c r="F145" s="7" t="str">
        <f>VLOOKUP(D145,[1]characters!$A:$J,10,FALSE)</f>
        <v>PremiumSS</v>
      </c>
      <c r="G145" s="7">
        <f>VLOOKUP(D145,[1]characters!$A:$I,9,FALSE)</f>
        <v>5</v>
      </c>
      <c r="H145" s="7" t="str">
        <f>VLOOKUP(D145,[1]characters!$A:$H,8,FALSE)</f>
        <v>yellow</v>
      </c>
      <c r="I145" s="7" t="str">
        <f>VLOOKUP(D145,[1]characters!$A:$K,11,FALSE)</f>
        <v>technical</v>
      </c>
      <c r="J145" s="7" t="str">
        <f>VLOOKUP(D145,[1]characters!$A:$M,13,FALSE)</f>
        <v>human</v>
      </c>
      <c r="K145" s="7" t="str">
        <f>VLOOKUP(D145,[1]characters!$A:$G,7,FALSE)</f>
        <v>女性</v>
      </c>
      <c r="L145" s="66">
        <f>IFERROR(VLOOKUP(D145,input_1!L:R,7,FALSE),VLOOKUP(tables_1!B145,input_1!A:H,8,FALSE))</f>
        <v>999</v>
      </c>
      <c r="M145" s="67">
        <f t="shared" si="6"/>
        <v>3.8461538461538463E-5</v>
      </c>
      <c r="N145" s="31">
        <f>IFERROR(VLOOKUP($D145,bug_conf_sheet!$A:$H,3,FALSE),VLOOKUP("other",bug_conf_sheet!$A:$H,3,FALSE))</f>
        <v>1</v>
      </c>
      <c r="O145" s="31">
        <f>IFERROR(VLOOKUP($D145,bug_conf_sheet!$A:$H,4,FALSE),VLOOKUP("other",bug_conf_sheet!$A:$H,4,FALSE))</f>
        <v>0</v>
      </c>
      <c r="P145" s="31">
        <f>IFERROR(VLOOKUP($D145,bug_conf_sheet!$A:$H,5,FALSE),VLOOKUP("other",bug_conf_sheet!$A:$H,5,FALSE))</f>
        <v>0</v>
      </c>
      <c r="Q145" s="31">
        <f>IFERROR(VLOOKUP($D145,bug_conf_sheet!$A:$H,6,FALSE),VLOOKUP("other",bug_conf_sheet!$A:$H,6,FALSE))</f>
        <v>0</v>
      </c>
      <c r="R145" s="31">
        <f>IFERROR(VLOOKUP($D145,bug_conf_sheet!$A:$H,7,FALSE),VLOOKUP("other",bug_conf_sheet!$A:$H,7,FALSE))</f>
        <v>0</v>
      </c>
      <c r="S145" s="31">
        <f>IFERROR(VLOOKUP($D145,bug_conf_sheet!$A:$H,8,FALSE),VLOOKUP("other",bug_conf_sheet!$A:$H,8,FALSE))</f>
        <v>1</v>
      </c>
    </row>
    <row r="146" spans="1:19" ht="21" hidden="1" customHeight="1">
      <c r="A146" s="2">
        <f>input_1!A$2</f>
        <v>3121</v>
      </c>
      <c r="B146" s="7" t="str">
        <f t="shared" si="7"/>
        <v>Premium3</v>
      </c>
      <c r="C146" s="7" t="str">
        <f t="shared" si="8"/>
        <v>Premium</v>
      </c>
      <c r="D146" s="6">
        <v>380</v>
      </c>
      <c r="E146" s="7" t="str">
        <f>VLOOKUP(D146,[1]characters!$A:$C,3,FALSE)</f>
        <v>バハムート</v>
      </c>
      <c r="F146" s="7" t="str">
        <f>VLOOKUP(D146,[1]characters!$A:$J,10,FALSE)</f>
        <v>PremiumS</v>
      </c>
      <c r="G146" s="7">
        <f>VLOOKUP(D146,[1]characters!$A:$I,9,FALSE)</f>
        <v>3</v>
      </c>
      <c r="H146" s="7" t="str">
        <f>VLOOKUP(D146,[1]characters!$A:$H,8,FALSE)</f>
        <v>red</v>
      </c>
      <c r="I146" s="7" t="str">
        <f>VLOOKUP(D146,[1]characters!$A:$K,11,FALSE)</f>
        <v>technical</v>
      </c>
      <c r="J146" s="7" t="str">
        <f>VLOOKUP(D146,[1]characters!$A:$M,13,FALSE)</f>
        <v>dragon</v>
      </c>
      <c r="K146" s="7" t="str">
        <f>VLOOKUP(D146,[1]characters!$A:$G,7,FALSE)</f>
        <v>女性</v>
      </c>
      <c r="L146" s="66">
        <f>IFERROR(VLOOKUP(D146,input_1!L:R,7,FALSE),VLOOKUP(tables_1!B146,input_1!A:H,8,FALSE))</f>
        <v>175500</v>
      </c>
      <c r="M146" s="67">
        <f t="shared" si="6"/>
        <v>6.7567567567567571E-3</v>
      </c>
      <c r="N146" s="31">
        <f>IFERROR(VLOOKUP($D146,bug_conf_sheet!$A:$H,3,FALSE),VLOOKUP("other",bug_conf_sheet!$A:$H,3,FALSE))</f>
        <v>1</v>
      </c>
      <c r="O146" s="31">
        <f>IFERROR(VLOOKUP($D146,bug_conf_sheet!$A:$H,4,FALSE),VLOOKUP("other",bug_conf_sheet!$A:$H,4,FALSE))</f>
        <v>0</v>
      </c>
      <c r="P146" s="31">
        <f>IFERROR(VLOOKUP($D146,bug_conf_sheet!$A:$H,5,FALSE),VLOOKUP("other",bug_conf_sheet!$A:$H,5,FALSE))</f>
        <v>0</v>
      </c>
      <c r="Q146" s="31">
        <f>IFERROR(VLOOKUP($D146,bug_conf_sheet!$A:$H,6,FALSE),VLOOKUP("other",bug_conf_sheet!$A:$H,6,FALSE))</f>
        <v>0</v>
      </c>
      <c r="R146" s="31">
        <f>IFERROR(VLOOKUP($D146,bug_conf_sheet!$A:$H,7,FALSE),VLOOKUP("other",bug_conf_sheet!$A:$H,7,FALSE))</f>
        <v>0</v>
      </c>
      <c r="S146" s="31">
        <f>IFERROR(VLOOKUP($D146,bug_conf_sheet!$A:$H,8,FALSE),VLOOKUP("other",bug_conf_sheet!$A:$H,8,FALSE))</f>
        <v>1</v>
      </c>
    </row>
    <row r="147" spans="1:19" ht="21" hidden="1" customHeight="1">
      <c r="A147" s="2">
        <f>input_1!A$2</f>
        <v>3121</v>
      </c>
      <c r="B147" s="7" t="str">
        <f t="shared" si="7"/>
        <v>Premium4</v>
      </c>
      <c r="C147" s="7" t="str">
        <f t="shared" si="8"/>
        <v>Premium</v>
      </c>
      <c r="D147" s="6">
        <v>381</v>
      </c>
      <c r="E147" s="7" t="str">
        <f>VLOOKUP(D147,[1]characters!$A:$C,3,FALSE)</f>
        <v>肉食の恋火 バハムート</v>
      </c>
      <c r="F147" s="7" t="str">
        <f>VLOOKUP(D147,[1]characters!$A:$J,10,FALSE)</f>
        <v>PremiumS</v>
      </c>
      <c r="G147" s="7">
        <f>VLOOKUP(D147,[1]characters!$A:$I,9,FALSE)</f>
        <v>4</v>
      </c>
      <c r="H147" s="7" t="str">
        <f>VLOOKUP(D147,[1]characters!$A:$H,8,FALSE)</f>
        <v>red</v>
      </c>
      <c r="I147" s="7" t="str">
        <f>VLOOKUP(D147,[1]characters!$A:$K,11,FALSE)</f>
        <v>technical</v>
      </c>
      <c r="J147" s="7" t="str">
        <f>VLOOKUP(D147,[1]characters!$A:$M,13,FALSE)</f>
        <v>dragon</v>
      </c>
      <c r="K147" s="7" t="str">
        <f>VLOOKUP(D147,[1]characters!$A:$G,7,FALSE)</f>
        <v>女性</v>
      </c>
      <c r="L147" s="66">
        <f>IFERROR(VLOOKUP(D147,input_1!L:R,7,FALSE),VLOOKUP(tables_1!B147,input_1!A:H,8,FALSE))</f>
        <v>154791</v>
      </c>
      <c r="M147" s="67">
        <f t="shared" si="6"/>
        <v>5.9594594594594595E-3</v>
      </c>
      <c r="N147" s="31">
        <f>IFERROR(VLOOKUP($D147,bug_conf_sheet!$A:$H,3,FALSE),VLOOKUP("other",bug_conf_sheet!$A:$H,3,FALSE))</f>
        <v>1</v>
      </c>
      <c r="O147" s="31">
        <f>IFERROR(VLOOKUP($D147,bug_conf_sheet!$A:$H,4,FALSE),VLOOKUP("other",bug_conf_sheet!$A:$H,4,FALSE))</f>
        <v>0</v>
      </c>
      <c r="P147" s="31">
        <f>IFERROR(VLOOKUP($D147,bug_conf_sheet!$A:$H,5,FALSE),VLOOKUP("other",bug_conf_sheet!$A:$H,5,FALSE))</f>
        <v>0</v>
      </c>
      <c r="Q147" s="31">
        <f>IFERROR(VLOOKUP($D147,bug_conf_sheet!$A:$H,6,FALSE),VLOOKUP("other",bug_conf_sheet!$A:$H,6,FALSE))</f>
        <v>0</v>
      </c>
      <c r="R147" s="31">
        <f>IFERROR(VLOOKUP($D147,bug_conf_sheet!$A:$H,7,FALSE),VLOOKUP("other",bug_conf_sheet!$A:$H,7,FALSE))</f>
        <v>0</v>
      </c>
      <c r="S147" s="31">
        <f>IFERROR(VLOOKUP($D147,bug_conf_sheet!$A:$H,8,FALSE),VLOOKUP("other",bug_conf_sheet!$A:$H,8,FALSE))</f>
        <v>1</v>
      </c>
    </row>
    <row r="148" spans="1:19" ht="21" hidden="1" customHeight="1">
      <c r="A148" s="2">
        <f>input_1!A$2</f>
        <v>3121</v>
      </c>
      <c r="B148" s="7" t="str">
        <f t="shared" si="7"/>
        <v>Premium5</v>
      </c>
      <c r="C148" s="7" t="str">
        <f t="shared" si="8"/>
        <v>Premium</v>
      </c>
      <c r="D148" s="6">
        <v>382</v>
      </c>
      <c r="E148" s="7" t="str">
        <f>VLOOKUP(D148,[1]characters!$A:$C,3,FALSE)</f>
        <v>激情の愛炎 バハムート</v>
      </c>
      <c r="F148" s="7" t="str">
        <f>VLOOKUP(D148,[1]characters!$A:$J,10,FALSE)</f>
        <v>PremiumS</v>
      </c>
      <c r="G148" s="7">
        <f>VLOOKUP(D148,[1]characters!$A:$I,9,FALSE)</f>
        <v>5</v>
      </c>
      <c r="H148" s="7" t="str">
        <f>VLOOKUP(D148,[1]characters!$A:$H,8,FALSE)</f>
        <v>red</v>
      </c>
      <c r="I148" s="7" t="str">
        <f>VLOOKUP(D148,[1]characters!$A:$K,11,FALSE)</f>
        <v>technical</v>
      </c>
      <c r="J148" s="7" t="str">
        <f>VLOOKUP(D148,[1]characters!$A:$M,13,FALSE)</f>
        <v>dragon</v>
      </c>
      <c r="K148" s="7" t="str">
        <f>VLOOKUP(D148,[1]characters!$A:$G,7,FALSE)</f>
        <v>女性</v>
      </c>
      <c r="L148" s="66">
        <f>IFERROR(VLOOKUP(D148,input_1!L:R,7,FALSE),VLOOKUP(tables_1!B148,input_1!A:H,8,FALSE))</f>
        <v>23569</v>
      </c>
      <c r="M148" s="67">
        <f t="shared" si="6"/>
        <v>9.0740740740740745E-4</v>
      </c>
      <c r="N148" s="31">
        <f>IFERROR(VLOOKUP($D148,bug_conf_sheet!$A:$H,3,FALSE),VLOOKUP("other",bug_conf_sheet!$A:$H,3,FALSE))</f>
        <v>1</v>
      </c>
      <c r="O148" s="31">
        <f>IFERROR(VLOOKUP($D148,bug_conf_sheet!$A:$H,4,FALSE),VLOOKUP("other",bug_conf_sheet!$A:$H,4,FALSE))</f>
        <v>0</v>
      </c>
      <c r="P148" s="31">
        <f>IFERROR(VLOOKUP($D148,bug_conf_sheet!$A:$H,5,FALSE),VLOOKUP("other",bug_conf_sheet!$A:$H,5,FALSE))</f>
        <v>0</v>
      </c>
      <c r="Q148" s="31">
        <f>IFERROR(VLOOKUP($D148,bug_conf_sheet!$A:$H,6,FALSE),VLOOKUP("other",bug_conf_sheet!$A:$H,6,FALSE))</f>
        <v>0</v>
      </c>
      <c r="R148" s="31">
        <f>IFERROR(VLOOKUP($D148,bug_conf_sheet!$A:$H,7,FALSE),VLOOKUP("other",bug_conf_sheet!$A:$H,7,FALSE))</f>
        <v>0</v>
      </c>
      <c r="S148" s="31">
        <f>IFERROR(VLOOKUP($D148,bug_conf_sheet!$A:$H,8,FALSE),VLOOKUP("other",bug_conf_sheet!$A:$H,8,FALSE))</f>
        <v>1</v>
      </c>
    </row>
    <row r="149" spans="1:19" ht="21" hidden="1" customHeight="1">
      <c r="A149" s="2">
        <f>input_1!A$2</f>
        <v>3121</v>
      </c>
      <c r="B149" s="7" t="str">
        <f t="shared" si="7"/>
        <v>PremiumSS4</v>
      </c>
      <c r="C149" s="7" t="str">
        <f t="shared" si="8"/>
        <v>PremiumSS</v>
      </c>
      <c r="D149" s="6">
        <v>383</v>
      </c>
      <c r="E149" s="7" t="str">
        <f>VLOOKUP(D149,[1]characters!$A:$C,3,FALSE)</f>
        <v>酒宴の蟒蛇 ヤマタノオロチ</v>
      </c>
      <c r="F149" s="7" t="str">
        <f>VLOOKUP(D149,[1]characters!$A:$J,10,FALSE)</f>
        <v>PremiumSS</v>
      </c>
      <c r="G149" s="7">
        <f>VLOOKUP(D149,[1]characters!$A:$I,9,FALSE)</f>
        <v>4</v>
      </c>
      <c r="H149" s="7" t="str">
        <f>VLOOKUP(D149,[1]characters!$A:$H,8,FALSE)</f>
        <v>green</v>
      </c>
      <c r="I149" s="7" t="str">
        <f>VLOOKUP(D149,[1]characters!$A:$K,11,FALSE)</f>
        <v>hp</v>
      </c>
      <c r="J149" s="7" t="str">
        <f>VLOOKUP(D149,[1]characters!$A:$M,13,FALSE)</f>
        <v>dragon</v>
      </c>
      <c r="K149" s="7" t="str">
        <f>VLOOKUP(D149,[1]characters!$A:$G,7,FALSE)</f>
        <v>女性</v>
      </c>
      <c r="L149" s="66">
        <f>IFERROR(VLOOKUP(D149,input_1!L:R,7,FALSE),VLOOKUP(tables_1!B149,input_1!A:H,8,FALSE))</f>
        <v>8991</v>
      </c>
      <c r="M149" s="67">
        <f t="shared" si="6"/>
        <v>3.4615384615384613E-4</v>
      </c>
      <c r="N149" s="31">
        <f>IFERROR(VLOOKUP($D149,bug_conf_sheet!$A:$H,3,FALSE),VLOOKUP("other",bug_conf_sheet!$A:$H,3,FALSE))</f>
        <v>1</v>
      </c>
      <c r="O149" s="31">
        <f>IFERROR(VLOOKUP($D149,bug_conf_sheet!$A:$H,4,FALSE),VLOOKUP("other",bug_conf_sheet!$A:$H,4,FALSE))</f>
        <v>0</v>
      </c>
      <c r="P149" s="31">
        <f>IFERROR(VLOOKUP($D149,bug_conf_sheet!$A:$H,5,FALSE),VLOOKUP("other",bug_conf_sheet!$A:$H,5,FALSE))</f>
        <v>0</v>
      </c>
      <c r="Q149" s="31">
        <f>IFERROR(VLOOKUP($D149,bug_conf_sheet!$A:$H,6,FALSE),VLOOKUP("other",bug_conf_sheet!$A:$H,6,FALSE))</f>
        <v>0</v>
      </c>
      <c r="R149" s="31">
        <f>IFERROR(VLOOKUP($D149,bug_conf_sheet!$A:$H,7,FALSE),VLOOKUP("other",bug_conf_sheet!$A:$H,7,FALSE))</f>
        <v>0</v>
      </c>
      <c r="S149" s="31">
        <f>IFERROR(VLOOKUP($D149,bug_conf_sheet!$A:$H,8,FALSE),VLOOKUP("other",bug_conf_sheet!$A:$H,8,FALSE))</f>
        <v>1</v>
      </c>
    </row>
    <row r="150" spans="1:19" ht="21" customHeight="1">
      <c r="A150" s="2">
        <f>input_1!A$2</f>
        <v>3121</v>
      </c>
      <c r="B150" s="7" t="str">
        <f t="shared" si="7"/>
        <v>PremiumSS5</v>
      </c>
      <c r="C150" s="7" t="str">
        <f t="shared" si="8"/>
        <v>PremiumSS</v>
      </c>
      <c r="D150" s="6">
        <v>384</v>
      </c>
      <c r="E150" s="7" t="str">
        <f>VLOOKUP(D150,[1]characters!$A:$C,3,FALSE)</f>
        <v>破国の呑龍 ヤマタノオロチ</v>
      </c>
      <c r="F150" s="7" t="str">
        <f>VLOOKUP(D150,[1]characters!$A:$J,10,FALSE)</f>
        <v>PremiumSS</v>
      </c>
      <c r="G150" s="7">
        <f>VLOOKUP(D150,[1]characters!$A:$I,9,FALSE)</f>
        <v>5</v>
      </c>
      <c r="H150" s="7" t="str">
        <f>VLOOKUP(D150,[1]characters!$A:$H,8,FALSE)</f>
        <v>green</v>
      </c>
      <c r="I150" s="7" t="str">
        <f>VLOOKUP(D150,[1]characters!$A:$K,11,FALSE)</f>
        <v>hp</v>
      </c>
      <c r="J150" s="7" t="str">
        <f>VLOOKUP(D150,[1]characters!$A:$M,13,FALSE)</f>
        <v>dragon</v>
      </c>
      <c r="K150" s="7" t="str">
        <f>VLOOKUP(D150,[1]characters!$A:$G,7,FALSE)</f>
        <v>女性</v>
      </c>
      <c r="L150" s="66">
        <f>IFERROR(VLOOKUP(D150,input_1!L:R,7,FALSE),VLOOKUP(tables_1!B150,input_1!A:H,8,FALSE))</f>
        <v>999</v>
      </c>
      <c r="M150" s="67">
        <f t="shared" si="6"/>
        <v>3.8461538461538463E-5</v>
      </c>
      <c r="N150" s="31">
        <f>IFERROR(VLOOKUP($D150,bug_conf_sheet!$A:$H,3,FALSE),VLOOKUP("other",bug_conf_sheet!$A:$H,3,FALSE))</f>
        <v>1</v>
      </c>
      <c r="O150" s="31">
        <f>IFERROR(VLOOKUP($D150,bug_conf_sheet!$A:$H,4,FALSE),VLOOKUP("other",bug_conf_sheet!$A:$H,4,FALSE))</f>
        <v>0</v>
      </c>
      <c r="P150" s="31">
        <f>IFERROR(VLOOKUP($D150,bug_conf_sheet!$A:$H,5,FALSE),VLOOKUP("other",bug_conf_sheet!$A:$H,5,FALSE))</f>
        <v>0</v>
      </c>
      <c r="Q150" s="31">
        <f>IFERROR(VLOOKUP($D150,bug_conf_sheet!$A:$H,6,FALSE),VLOOKUP("other",bug_conf_sheet!$A:$H,6,FALSE))</f>
        <v>0</v>
      </c>
      <c r="R150" s="31">
        <f>IFERROR(VLOOKUP($D150,bug_conf_sheet!$A:$H,7,FALSE),VLOOKUP("other",bug_conf_sheet!$A:$H,7,FALSE))</f>
        <v>0</v>
      </c>
      <c r="S150" s="31">
        <f>IFERROR(VLOOKUP($D150,bug_conf_sheet!$A:$H,8,FALSE),VLOOKUP("other",bug_conf_sheet!$A:$H,8,FALSE))</f>
        <v>1</v>
      </c>
    </row>
    <row r="151" spans="1:19" ht="21" hidden="1" customHeight="1">
      <c r="A151" s="2">
        <f>input_1!A$2</f>
        <v>3121</v>
      </c>
      <c r="B151" s="7" t="str">
        <f>C151&amp;G151</f>
        <v>PremiumSS4</v>
      </c>
      <c r="C151" s="7" t="str">
        <f t="shared" si="8"/>
        <v>PremiumSS</v>
      </c>
      <c r="D151" s="6">
        <v>385</v>
      </c>
      <c r="E151" s="7" t="str">
        <f>VLOOKUP(D151,[1]characters!$A:$C,3,FALSE)</f>
        <v>波烈の出奔 リヴァイアサン</v>
      </c>
      <c r="F151" s="7" t="str">
        <f>VLOOKUP(D151,[1]characters!$A:$J,10,FALSE)</f>
        <v>PremiumSS</v>
      </c>
      <c r="G151" s="7">
        <f>VLOOKUP(D151,[1]characters!$A:$I,9,FALSE)</f>
        <v>4</v>
      </c>
      <c r="H151" s="7" t="str">
        <f>VLOOKUP(D151,[1]characters!$A:$H,8,FALSE)</f>
        <v>blue</v>
      </c>
      <c r="I151" s="7" t="str">
        <f>VLOOKUP(D151,[1]characters!$A:$K,11,FALSE)</f>
        <v>balance</v>
      </c>
      <c r="J151" s="7" t="str">
        <f>VLOOKUP(D151,[1]characters!$A:$M,13,FALSE)</f>
        <v>dragon</v>
      </c>
      <c r="K151" s="7" t="str">
        <f>VLOOKUP(D151,[1]characters!$A:$G,7,FALSE)</f>
        <v>女性</v>
      </c>
      <c r="L151" s="66">
        <f>IFERROR(VLOOKUP(D151,input_1!L:R,7,FALSE),VLOOKUP(tables_1!B151,input_1!A:H,8,FALSE))</f>
        <v>8991</v>
      </c>
      <c r="M151" s="67">
        <f t="shared" si="6"/>
        <v>3.4615384615384613E-4</v>
      </c>
      <c r="N151" s="31">
        <f>IFERROR(VLOOKUP($D151,bug_conf_sheet!$A:$H,3,FALSE),VLOOKUP("other",bug_conf_sheet!$A:$H,3,FALSE))</f>
        <v>1</v>
      </c>
      <c r="O151" s="31">
        <f>IFERROR(VLOOKUP($D151,bug_conf_sheet!$A:$H,4,FALSE),VLOOKUP("other",bug_conf_sheet!$A:$H,4,FALSE))</f>
        <v>0</v>
      </c>
      <c r="P151" s="31">
        <f>IFERROR(VLOOKUP($D151,bug_conf_sheet!$A:$H,5,FALSE),VLOOKUP("other",bug_conf_sheet!$A:$H,5,FALSE))</f>
        <v>0</v>
      </c>
      <c r="Q151" s="31">
        <f>IFERROR(VLOOKUP($D151,bug_conf_sheet!$A:$H,6,FALSE),VLOOKUP("other",bug_conf_sheet!$A:$H,6,FALSE))</f>
        <v>0</v>
      </c>
      <c r="R151" s="31">
        <f>IFERROR(VLOOKUP($D151,bug_conf_sheet!$A:$H,7,FALSE),VLOOKUP("other",bug_conf_sheet!$A:$H,7,FALSE))</f>
        <v>0</v>
      </c>
      <c r="S151" s="31">
        <f>IFERROR(VLOOKUP($D151,bug_conf_sheet!$A:$H,8,FALSE),VLOOKUP("other",bug_conf_sheet!$A:$H,8,FALSE))</f>
        <v>1</v>
      </c>
    </row>
    <row r="152" spans="1:19" ht="21" customHeight="1">
      <c r="A152" s="2">
        <f>input_1!A$2</f>
        <v>3121</v>
      </c>
      <c r="B152" s="7" t="str">
        <f t="shared" si="7"/>
        <v>PremiumSS5</v>
      </c>
      <c r="C152" s="7" t="str">
        <f t="shared" si="8"/>
        <v>PremiumSS</v>
      </c>
      <c r="D152" s="6">
        <v>386</v>
      </c>
      <c r="E152" s="7" t="str">
        <f>VLOOKUP(D152,[1]characters!$A:$C,3,FALSE)</f>
        <v>氾乱の海龍 リヴァイアサン</v>
      </c>
      <c r="F152" s="7" t="str">
        <f>VLOOKUP(D152,[1]characters!$A:$J,10,FALSE)</f>
        <v>PremiumSS</v>
      </c>
      <c r="G152" s="7">
        <f>VLOOKUP(D152,[1]characters!$A:$I,9,FALSE)</f>
        <v>5</v>
      </c>
      <c r="H152" s="7" t="str">
        <f>VLOOKUP(D152,[1]characters!$A:$H,8,FALSE)</f>
        <v>blue</v>
      </c>
      <c r="I152" s="7" t="str">
        <f>VLOOKUP(D152,[1]characters!$A:$K,11,FALSE)</f>
        <v>balance</v>
      </c>
      <c r="J152" s="7" t="str">
        <f>VLOOKUP(D152,[1]characters!$A:$M,13,FALSE)</f>
        <v>dragon</v>
      </c>
      <c r="K152" s="7" t="str">
        <f>VLOOKUP(D152,[1]characters!$A:$G,7,FALSE)</f>
        <v>女性</v>
      </c>
      <c r="L152" s="66">
        <f>IFERROR(VLOOKUP(D152,input_1!L:R,7,FALSE),VLOOKUP(tables_1!B152,input_1!A:H,8,FALSE))</f>
        <v>999</v>
      </c>
      <c r="M152" s="67">
        <f t="shared" si="6"/>
        <v>3.8461538461538463E-5</v>
      </c>
      <c r="N152" s="31">
        <f>IFERROR(VLOOKUP($D152,bug_conf_sheet!$A:$H,3,FALSE),VLOOKUP("other",bug_conf_sheet!$A:$H,3,FALSE))</f>
        <v>1</v>
      </c>
      <c r="O152" s="31">
        <f>IFERROR(VLOOKUP($D152,bug_conf_sheet!$A:$H,4,FALSE),VLOOKUP("other",bug_conf_sheet!$A:$H,4,FALSE))</f>
        <v>0</v>
      </c>
      <c r="P152" s="31">
        <f>IFERROR(VLOOKUP($D152,bug_conf_sheet!$A:$H,5,FALSE),VLOOKUP("other",bug_conf_sheet!$A:$H,5,FALSE))</f>
        <v>0</v>
      </c>
      <c r="Q152" s="31">
        <f>IFERROR(VLOOKUP($D152,bug_conf_sheet!$A:$H,6,FALSE),VLOOKUP("other",bug_conf_sheet!$A:$H,6,FALSE))</f>
        <v>0</v>
      </c>
      <c r="R152" s="31">
        <f>IFERROR(VLOOKUP($D152,bug_conf_sheet!$A:$H,7,FALSE),VLOOKUP("other",bug_conf_sheet!$A:$H,7,FALSE))</f>
        <v>0</v>
      </c>
      <c r="S152" s="31">
        <f>IFERROR(VLOOKUP($D152,bug_conf_sheet!$A:$H,8,FALSE),VLOOKUP("other",bug_conf_sheet!$A:$H,8,FALSE))</f>
        <v>1</v>
      </c>
    </row>
    <row r="153" spans="1:19" ht="21" hidden="1" customHeight="1">
      <c r="A153" s="2">
        <f>input_1!A$2</f>
        <v>3121</v>
      </c>
      <c r="B153" s="7" t="str">
        <f t="shared" si="7"/>
        <v>Premium3</v>
      </c>
      <c r="C153" s="7" t="str">
        <f t="shared" si="8"/>
        <v>Premium</v>
      </c>
      <c r="D153" s="6">
        <v>387</v>
      </c>
      <c r="E153" s="7" t="str">
        <f>VLOOKUP(D153,[1]characters!$A:$C,3,FALSE)</f>
        <v>スフィンクス</v>
      </c>
      <c r="F153" s="7" t="str">
        <f>VLOOKUP(D153,[1]characters!$A:$J,10,FALSE)</f>
        <v>PremiumS</v>
      </c>
      <c r="G153" s="7">
        <f>VLOOKUP(D153,[1]characters!$A:$I,9,FALSE)</f>
        <v>3</v>
      </c>
      <c r="H153" s="7" t="str">
        <f>VLOOKUP(D153,[1]characters!$A:$H,8,FALSE)</f>
        <v>yellow</v>
      </c>
      <c r="I153" s="7" t="str">
        <f>VLOOKUP(D153,[1]characters!$A:$K,11,FALSE)</f>
        <v>heal</v>
      </c>
      <c r="J153" s="7" t="str">
        <f>VLOOKUP(D153,[1]characters!$A:$M,13,FALSE)</f>
        <v>animal</v>
      </c>
      <c r="K153" s="7" t="str">
        <f>VLOOKUP(D153,[1]characters!$A:$G,7,FALSE)</f>
        <v>女性</v>
      </c>
      <c r="L153" s="66">
        <f>IFERROR(VLOOKUP(D153,input_1!L:R,7,FALSE),VLOOKUP(tables_1!B153,input_1!A:H,8,FALSE))</f>
        <v>175500</v>
      </c>
      <c r="M153" s="67">
        <f t="shared" si="6"/>
        <v>6.7567567567567571E-3</v>
      </c>
      <c r="N153" s="31">
        <f>IFERROR(VLOOKUP($D153,bug_conf_sheet!$A:$H,3,FALSE),VLOOKUP("other",bug_conf_sheet!$A:$H,3,FALSE))</f>
        <v>1</v>
      </c>
      <c r="O153" s="31">
        <f>IFERROR(VLOOKUP($D153,bug_conf_sheet!$A:$H,4,FALSE),VLOOKUP("other",bug_conf_sheet!$A:$H,4,FALSE))</f>
        <v>0</v>
      </c>
      <c r="P153" s="31">
        <f>IFERROR(VLOOKUP($D153,bug_conf_sheet!$A:$H,5,FALSE),VLOOKUP("other",bug_conf_sheet!$A:$H,5,FALSE))</f>
        <v>0</v>
      </c>
      <c r="Q153" s="31">
        <f>IFERROR(VLOOKUP($D153,bug_conf_sheet!$A:$H,6,FALSE),VLOOKUP("other",bug_conf_sheet!$A:$H,6,FALSE))</f>
        <v>0</v>
      </c>
      <c r="R153" s="31">
        <f>IFERROR(VLOOKUP($D153,bug_conf_sheet!$A:$H,7,FALSE),VLOOKUP("other",bug_conf_sheet!$A:$H,7,FALSE))</f>
        <v>0</v>
      </c>
      <c r="S153" s="31">
        <f>IFERROR(VLOOKUP($D153,bug_conf_sheet!$A:$H,8,FALSE),VLOOKUP("other",bug_conf_sheet!$A:$H,8,FALSE))</f>
        <v>1</v>
      </c>
    </row>
    <row r="154" spans="1:19" ht="21" hidden="1" customHeight="1">
      <c r="A154" s="2">
        <f>input_1!A$2</f>
        <v>3121</v>
      </c>
      <c r="B154" s="7" t="str">
        <f t="shared" si="7"/>
        <v>Premium4</v>
      </c>
      <c r="C154" s="7" t="str">
        <f t="shared" si="8"/>
        <v>Premium</v>
      </c>
      <c r="D154" s="6">
        <v>388</v>
      </c>
      <c r="E154" s="7" t="str">
        <f>VLOOKUP(D154,[1]characters!$A:$C,3,FALSE)</f>
        <v>神円の恋姫 スフィンクス</v>
      </c>
      <c r="F154" s="7" t="str">
        <f>VLOOKUP(D154,[1]characters!$A:$J,10,FALSE)</f>
        <v>PremiumS</v>
      </c>
      <c r="G154" s="7">
        <f>VLOOKUP(D154,[1]characters!$A:$I,9,FALSE)</f>
        <v>4</v>
      </c>
      <c r="H154" s="7" t="str">
        <f>VLOOKUP(D154,[1]characters!$A:$H,8,FALSE)</f>
        <v>yellow</v>
      </c>
      <c r="I154" s="7" t="str">
        <f>VLOOKUP(D154,[1]characters!$A:$K,11,FALSE)</f>
        <v>heal</v>
      </c>
      <c r="J154" s="7" t="str">
        <f>VLOOKUP(D154,[1]characters!$A:$M,13,FALSE)</f>
        <v>animal</v>
      </c>
      <c r="K154" s="7" t="str">
        <f>VLOOKUP(D154,[1]characters!$A:$G,7,FALSE)</f>
        <v>女性</v>
      </c>
      <c r="L154" s="66">
        <f>IFERROR(VLOOKUP(D154,input_1!L:R,7,FALSE),VLOOKUP(tables_1!B154,input_1!A:H,8,FALSE))</f>
        <v>154791</v>
      </c>
      <c r="M154" s="67">
        <f t="shared" si="6"/>
        <v>5.9594594594594595E-3</v>
      </c>
      <c r="N154" s="31">
        <f>IFERROR(VLOOKUP($D154,bug_conf_sheet!$A:$H,3,FALSE),VLOOKUP("other",bug_conf_sheet!$A:$H,3,FALSE))</f>
        <v>1</v>
      </c>
      <c r="O154" s="31">
        <f>IFERROR(VLOOKUP($D154,bug_conf_sheet!$A:$H,4,FALSE),VLOOKUP("other",bug_conf_sheet!$A:$H,4,FALSE))</f>
        <v>0</v>
      </c>
      <c r="P154" s="31">
        <f>IFERROR(VLOOKUP($D154,bug_conf_sheet!$A:$H,5,FALSE),VLOOKUP("other",bug_conf_sheet!$A:$H,5,FALSE))</f>
        <v>0</v>
      </c>
      <c r="Q154" s="31">
        <f>IFERROR(VLOOKUP($D154,bug_conf_sheet!$A:$H,6,FALSE),VLOOKUP("other",bug_conf_sheet!$A:$H,6,FALSE))</f>
        <v>0</v>
      </c>
      <c r="R154" s="31">
        <f>IFERROR(VLOOKUP($D154,bug_conf_sheet!$A:$H,7,FALSE),VLOOKUP("other",bug_conf_sheet!$A:$H,7,FALSE))</f>
        <v>0</v>
      </c>
      <c r="S154" s="31">
        <f>IFERROR(VLOOKUP($D154,bug_conf_sheet!$A:$H,8,FALSE),VLOOKUP("other",bug_conf_sheet!$A:$H,8,FALSE))</f>
        <v>1</v>
      </c>
    </row>
    <row r="155" spans="1:19" ht="21" hidden="1" customHeight="1">
      <c r="A155" s="2">
        <f>input_1!A$2</f>
        <v>3121</v>
      </c>
      <c r="B155" s="7" t="str">
        <f t="shared" si="7"/>
        <v>Premium5</v>
      </c>
      <c r="C155" s="7" t="str">
        <f t="shared" si="8"/>
        <v>Premium</v>
      </c>
      <c r="D155" s="6">
        <v>389</v>
      </c>
      <c r="E155" s="7" t="str">
        <f>VLOOKUP(D155,[1]characters!$A:$C,3,FALSE)</f>
        <v>操神の愛姫 スフィンクス</v>
      </c>
      <c r="F155" s="7" t="str">
        <f>VLOOKUP(D155,[1]characters!$A:$J,10,FALSE)</f>
        <v>PremiumS</v>
      </c>
      <c r="G155" s="7">
        <f>VLOOKUP(D155,[1]characters!$A:$I,9,FALSE)</f>
        <v>5</v>
      </c>
      <c r="H155" s="7" t="str">
        <f>VLOOKUP(D155,[1]characters!$A:$H,8,FALSE)</f>
        <v>yellow</v>
      </c>
      <c r="I155" s="7" t="str">
        <f>VLOOKUP(D155,[1]characters!$A:$K,11,FALSE)</f>
        <v>heal</v>
      </c>
      <c r="J155" s="7" t="str">
        <f>VLOOKUP(D155,[1]characters!$A:$M,13,FALSE)</f>
        <v>animal</v>
      </c>
      <c r="K155" s="7" t="str">
        <f>VLOOKUP(D155,[1]characters!$A:$G,7,FALSE)</f>
        <v>女性</v>
      </c>
      <c r="L155" s="66">
        <f>IFERROR(VLOOKUP(D155,input_1!L:R,7,FALSE),VLOOKUP(tables_1!B155,input_1!A:H,8,FALSE))</f>
        <v>23569</v>
      </c>
      <c r="M155" s="67">
        <f t="shared" si="6"/>
        <v>9.0740740740740745E-4</v>
      </c>
      <c r="N155" s="31">
        <f>IFERROR(VLOOKUP($D155,bug_conf_sheet!$A:$H,3,FALSE),VLOOKUP("other",bug_conf_sheet!$A:$H,3,FALSE))</f>
        <v>1</v>
      </c>
      <c r="O155" s="31">
        <f>IFERROR(VLOOKUP($D155,bug_conf_sheet!$A:$H,4,FALSE),VLOOKUP("other",bug_conf_sheet!$A:$H,4,FALSE))</f>
        <v>0</v>
      </c>
      <c r="P155" s="31">
        <f>IFERROR(VLOOKUP($D155,bug_conf_sheet!$A:$H,5,FALSE),VLOOKUP("other",bug_conf_sheet!$A:$H,5,FALSE))</f>
        <v>0</v>
      </c>
      <c r="Q155" s="31">
        <f>IFERROR(VLOOKUP($D155,bug_conf_sheet!$A:$H,6,FALSE),VLOOKUP("other",bug_conf_sheet!$A:$H,6,FALSE))</f>
        <v>0</v>
      </c>
      <c r="R155" s="31">
        <f>IFERROR(VLOOKUP($D155,bug_conf_sheet!$A:$H,7,FALSE),VLOOKUP("other",bug_conf_sheet!$A:$H,7,FALSE))</f>
        <v>0</v>
      </c>
      <c r="S155" s="31">
        <f>IFERROR(VLOOKUP($D155,bug_conf_sheet!$A:$H,8,FALSE),VLOOKUP("other",bug_conf_sheet!$A:$H,8,FALSE))</f>
        <v>1</v>
      </c>
    </row>
    <row r="156" spans="1:19" ht="21" hidden="1" customHeight="1">
      <c r="A156" s="2">
        <f>input_1!A$2</f>
        <v>3121</v>
      </c>
      <c r="B156" s="7" t="str">
        <f t="shared" si="7"/>
        <v>PremiumSS4</v>
      </c>
      <c r="C156" s="7" t="str">
        <f t="shared" si="8"/>
        <v>PremiumSS</v>
      </c>
      <c r="D156" s="6">
        <v>390</v>
      </c>
      <c r="E156" s="7" t="str">
        <f>VLOOKUP(D156,[1]characters!$A:$C,3,FALSE)</f>
        <v>華環の旅客 親指姫</v>
      </c>
      <c r="F156" s="7" t="str">
        <f>VLOOKUP(D156,[1]characters!$A:$J,10,FALSE)</f>
        <v>PremiumSS</v>
      </c>
      <c r="G156" s="7">
        <f>VLOOKUP(D156,[1]characters!$A:$I,9,FALSE)</f>
        <v>4</v>
      </c>
      <c r="H156" s="7" t="str">
        <f>VLOOKUP(D156,[1]characters!$A:$H,8,FALSE)</f>
        <v>red</v>
      </c>
      <c r="I156" s="7" t="str">
        <f>VLOOKUP(D156,[1]characters!$A:$K,11,FALSE)</f>
        <v>heal</v>
      </c>
      <c r="J156" s="7" t="str">
        <f>VLOOKUP(D156,[1]characters!$A:$M,13,FALSE)</f>
        <v>human</v>
      </c>
      <c r="K156" s="7" t="str">
        <f>VLOOKUP(D156,[1]characters!$A:$G,7,FALSE)</f>
        <v>女性</v>
      </c>
      <c r="L156" s="66">
        <f>IFERROR(VLOOKUP(D156,input_1!L:R,7,FALSE),VLOOKUP(tables_1!B156,input_1!A:H,8,FALSE))</f>
        <v>8991</v>
      </c>
      <c r="M156" s="67">
        <f t="shared" si="6"/>
        <v>3.4615384615384613E-4</v>
      </c>
      <c r="N156" s="31">
        <f>IFERROR(VLOOKUP($D156,bug_conf_sheet!$A:$H,3,FALSE),VLOOKUP("other",bug_conf_sheet!$A:$H,3,FALSE))</f>
        <v>1</v>
      </c>
      <c r="O156" s="31">
        <f>IFERROR(VLOOKUP($D156,bug_conf_sheet!$A:$H,4,FALSE),VLOOKUP("other",bug_conf_sheet!$A:$H,4,FALSE))</f>
        <v>0</v>
      </c>
      <c r="P156" s="31">
        <f>IFERROR(VLOOKUP($D156,bug_conf_sheet!$A:$H,5,FALSE),VLOOKUP("other",bug_conf_sheet!$A:$H,5,FALSE))</f>
        <v>0</v>
      </c>
      <c r="Q156" s="31">
        <f>IFERROR(VLOOKUP($D156,bug_conf_sheet!$A:$H,6,FALSE),VLOOKUP("other",bug_conf_sheet!$A:$H,6,FALSE))</f>
        <v>0</v>
      </c>
      <c r="R156" s="31">
        <f>IFERROR(VLOOKUP($D156,bug_conf_sheet!$A:$H,7,FALSE),VLOOKUP("other",bug_conf_sheet!$A:$H,7,FALSE))</f>
        <v>0</v>
      </c>
      <c r="S156" s="31">
        <f>IFERROR(VLOOKUP($D156,bug_conf_sheet!$A:$H,8,FALSE),VLOOKUP("other",bug_conf_sheet!$A:$H,8,FALSE))</f>
        <v>1</v>
      </c>
    </row>
    <row r="157" spans="1:19" ht="21" customHeight="1">
      <c r="A157" s="2">
        <f>input_1!A$2</f>
        <v>3121</v>
      </c>
      <c r="B157" s="7" t="str">
        <f t="shared" si="7"/>
        <v>PremiumSS5</v>
      </c>
      <c r="C157" s="7" t="str">
        <f t="shared" si="8"/>
        <v>PremiumSS</v>
      </c>
      <c r="D157" s="6">
        <v>391</v>
      </c>
      <c r="E157" s="7" t="str">
        <f>VLOOKUP(D157,[1]characters!$A:$C,3,FALSE)</f>
        <v>燕翼の旅人 親指姫</v>
      </c>
      <c r="F157" s="7" t="str">
        <f>VLOOKUP(D157,[1]characters!$A:$J,10,FALSE)</f>
        <v>PremiumSS</v>
      </c>
      <c r="G157" s="7">
        <f>VLOOKUP(D157,[1]characters!$A:$I,9,FALSE)</f>
        <v>5</v>
      </c>
      <c r="H157" s="7" t="str">
        <f>VLOOKUP(D157,[1]characters!$A:$H,8,FALSE)</f>
        <v>red</v>
      </c>
      <c r="I157" s="7" t="str">
        <f>VLOOKUP(D157,[1]characters!$A:$K,11,FALSE)</f>
        <v>heal</v>
      </c>
      <c r="J157" s="7" t="str">
        <f>VLOOKUP(D157,[1]characters!$A:$M,13,FALSE)</f>
        <v>human</v>
      </c>
      <c r="K157" s="7" t="str">
        <f>VLOOKUP(D157,[1]characters!$A:$G,7,FALSE)</f>
        <v>女性</v>
      </c>
      <c r="L157" s="66">
        <f>IFERROR(VLOOKUP(D157,input_1!L:R,7,FALSE),VLOOKUP(tables_1!B157,input_1!A:H,8,FALSE))</f>
        <v>999</v>
      </c>
      <c r="M157" s="67">
        <f t="shared" si="6"/>
        <v>3.8461538461538463E-5</v>
      </c>
      <c r="N157" s="31">
        <f>IFERROR(VLOOKUP($D157,bug_conf_sheet!$A:$H,3,FALSE),VLOOKUP("other",bug_conf_sheet!$A:$H,3,FALSE))</f>
        <v>1</v>
      </c>
      <c r="O157" s="31">
        <f>IFERROR(VLOOKUP($D157,bug_conf_sheet!$A:$H,4,FALSE),VLOOKUP("other",bug_conf_sheet!$A:$H,4,FALSE))</f>
        <v>0</v>
      </c>
      <c r="P157" s="31">
        <f>IFERROR(VLOOKUP($D157,bug_conf_sheet!$A:$H,5,FALSE),VLOOKUP("other",bug_conf_sheet!$A:$H,5,FALSE))</f>
        <v>0</v>
      </c>
      <c r="Q157" s="31">
        <f>IFERROR(VLOOKUP($D157,bug_conf_sheet!$A:$H,6,FALSE),VLOOKUP("other",bug_conf_sheet!$A:$H,6,FALSE))</f>
        <v>0</v>
      </c>
      <c r="R157" s="31">
        <f>IFERROR(VLOOKUP($D157,bug_conf_sheet!$A:$H,7,FALSE),VLOOKUP("other",bug_conf_sheet!$A:$H,7,FALSE))</f>
        <v>0</v>
      </c>
      <c r="S157" s="31">
        <f>IFERROR(VLOOKUP($D157,bug_conf_sheet!$A:$H,8,FALSE),VLOOKUP("other",bug_conf_sheet!$A:$H,8,FALSE))</f>
        <v>1</v>
      </c>
    </row>
    <row r="158" spans="1:19" ht="21" hidden="1" customHeight="1">
      <c r="A158" s="2">
        <f>input_1!A$2</f>
        <v>3121</v>
      </c>
      <c r="B158" s="7" t="str">
        <f t="shared" si="7"/>
        <v>Premium3</v>
      </c>
      <c r="C158" s="7" t="str">
        <f t="shared" si="8"/>
        <v>Premium</v>
      </c>
      <c r="D158" s="6">
        <v>392</v>
      </c>
      <c r="E158" s="7" t="str">
        <f>VLOOKUP(D158,[1]characters!$A:$C,3,FALSE)</f>
        <v>ピーターパン</v>
      </c>
      <c r="F158" s="7" t="str">
        <f>VLOOKUP(D158,[1]characters!$A:$J,10,FALSE)</f>
        <v>PremiumS</v>
      </c>
      <c r="G158" s="7">
        <f>VLOOKUP(D158,[1]characters!$A:$I,9,FALSE)</f>
        <v>3</v>
      </c>
      <c r="H158" s="7" t="str">
        <f>VLOOKUP(D158,[1]characters!$A:$H,8,FALSE)</f>
        <v>green</v>
      </c>
      <c r="I158" s="7" t="str">
        <f>VLOOKUP(D158,[1]characters!$A:$K,11,FALSE)</f>
        <v>attack</v>
      </c>
      <c r="J158" s="7" t="str">
        <f>VLOOKUP(D158,[1]characters!$A:$M,13,FALSE)</f>
        <v>human</v>
      </c>
      <c r="K158" s="7" t="str">
        <f>VLOOKUP(D158,[1]characters!$A:$G,7,FALSE)</f>
        <v>男性</v>
      </c>
      <c r="L158" s="66">
        <f>IFERROR(VLOOKUP(D158,input_1!L:R,7,FALSE),VLOOKUP(tables_1!B158,input_1!A:H,8,FALSE))</f>
        <v>175500</v>
      </c>
      <c r="M158" s="67">
        <f t="shared" si="6"/>
        <v>6.7567567567567571E-3</v>
      </c>
      <c r="N158" s="31">
        <f>IFERROR(VLOOKUP($D158,bug_conf_sheet!$A:$H,3,FALSE),VLOOKUP("other",bug_conf_sheet!$A:$H,3,FALSE))</f>
        <v>1</v>
      </c>
      <c r="O158" s="31">
        <f>IFERROR(VLOOKUP($D158,bug_conf_sheet!$A:$H,4,FALSE),VLOOKUP("other",bug_conf_sheet!$A:$H,4,FALSE))</f>
        <v>0</v>
      </c>
      <c r="P158" s="31">
        <f>IFERROR(VLOOKUP($D158,bug_conf_sheet!$A:$H,5,FALSE),VLOOKUP("other",bug_conf_sheet!$A:$H,5,FALSE))</f>
        <v>0</v>
      </c>
      <c r="Q158" s="31">
        <f>IFERROR(VLOOKUP($D158,bug_conf_sheet!$A:$H,6,FALSE),VLOOKUP("other",bug_conf_sheet!$A:$H,6,FALSE))</f>
        <v>0</v>
      </c>
      <c r="R158" s="31">
        <f>IFERROR(VLOOKUP($D158,bug_conf_sheet!$A:$H,7,FALSE),VLOOKUP("other",bug_conf_sheet!$A:$H,7,FALSE))</f>
        <v>0</v>
      </c>
      <c r="S158" s="31">
        <f>IFERROR(VLOOKUP($D158,bug_conf_sheet!$A:$H,8,FALSE),VLOOKUP("other",bug_conf_sheet!$A:$H,8,FALSE))</f>
        <v>1</v>
      </c>
    </row>
    <row r="159" spans="1:19" ht="21" hidden="1" customHeight="1">
      <c r="A159" s="2">
        <f>input_1!A$2</f>
        <v>3121</v>
      </c>
      <c r="B159" s="7" t="str">
        <f t="shared" si="7"/>
        <v>Premium4</v>
      </c>
      <c r="C159" s="7" t="str">
        <f t="shared" si="8"/>
        <v>Premium</v>
      </c>
      <c r="D159" s="6">
        <v>393</v>
      </c>
      <c r="E159" s="7" t="str">
        <f>VLOOKUP(D159,[1]characters!$A:$C,3,FALSE)</f>
        <v>影縫い ピーターパン</v>
      </c>
      <c r="F159" s="7" t="str">
        <f>VLOOKUP(D159,[1]characters!$A:$J,10,FALSE)</f>
        <v>PremiumS</v>
      </c>
      <c r="G159" s="7">
        <f>VLOOKUP(D159,[1]characters!$A:$I,9,FALSE)</f>
        <v>4</v>
      </c>
      <c r="H159" s="7" t="str">
        <f>VLOOKUP(D159,[1]characters!$A:$H,8,FALSE)</f>
        <v>green</v>
      </c>
      <c r="I159" s="7" t="str">
        <f>VLOOKUP(D159,[1]characters!$A:$K,11,FALSE)</f>
        <v>attack</v>
      </c>
      <c r="J159" s="7" t="str">
        <f>VLOOKUP(D159,[1]characters!$A:$M,13,FALSE)</f>
        <v>human</v>
      </c>
      <c r="K159" s="7" t="str">
        <f>VLOOKUP(D159,[1]characters!$A:$G,7,FALSE)</f>
        <v>男性</v>
      </c>
      <c r="L159" s="66">
        <f>IFERROR(VLOOKUP(D159,input_1!L:R,7,FALSE),VLOOKUP(tables_1!B159,input_1!A:H,8,FALSE))</f>
        <v>154791</v>
      </c>
      <c r="M159" s="67">
        <f t="shared" si="6"/>
        <v>5.9594594594594595E-3</v>
      </c>
      <c r="N159" s="31">
        <f>IFERROR(VLOOKUP($D159,bug_conf_sheet!$A:$H,3,FALSE),VLOOKUP("other",bug_conf_sheet!$A:$H,3,FALSE))</f>
        <v>1</v>
      </c>
      <c r="O159" s="31">
        <f>IFERROR(VLOOKUP($D159,bug_conf_sheet!$A:$H,4,FALSE),VLOOKUP("other",bug_conf_sheet!$A:$H,4,FALSE))</f>
        <v>0</v>
      </c>
      <c r="P159" s="31">
        <f>IFERROR(VLOOKUP($D159,bug_conf_sheet!$A:$H,5,FALSE),VLOOKUP("other",bug_conf_sheet!$A:$H,5,FALSE))</f>
        <v>0</v>
      </c>
      <c r="Q159" s="31">
        <f>IFERROR(VLOOKUP($D159,bug_conf_sheet!$A:$H,6,FALSE),VLOOKUP("other",bug_conf_sheet!$A:$H,6,FALSE))</f>
        <v>0</v>
      </c>
      <c r="R159" s="31">
        <f>IFERROR(VLOOKUP($D159,bug_conf_sheet!$A:$H,7,FALSE),VLOOKUP("other",bug_conf_sheet!$A:$H,7,FALSE))</f>
        <v>0</v>
      </c>
      <c r="S159" s="31">
        <f>IFERROR(VLOOKUP($D159,bug_conf_sheet!$A:$H,8,FALSE),VLOOKUP("other",bug_conf_sheet!$A:$H,8,FALSE))</f>
        <v>1</v>
      </c>
    </row>
    <row r="160" spans="1:19" ht="21" hidden="1" customHeight="1">
      <c r="A160" s="2">
        <f>input_1!A$2</f>
        <v>3121</v>
      </c>
      <c r="B160" s="7" t="str">
        <f t="shared" si="7"/>
        <v>Premium5</v>
      </c>
      <c r="C160" s="7" t="str">
        <f t="shared" si="8"/>
        <v>Premium</v>
      </c>
      <c r="D160" s="6">
        <v>394</v>
      </c>
      <c r="E160" s="7" t="str">
        <f>VLOOKUP(D160,[1]characters!$A:$C,3,FALSE)</f>
        <v>影求の悪童 ピーターパン</v>
      </c>
      <c r="F160" s="7" t="str">
        <f>VLOOKUP(D160,[1]characters!$A:$J,10,FALSE)</f>
        <v>PremiumS</v>
      </c>
      <c r="G160" s="7">
        <f>VLOOKUP(D160,[1]characters!$A:$I,9,FALSE)</f>
        <v>5</v>
      </c>
      <c r="H160" s="7" t="str">
        <f>VLOOKUP(D160,[1]characters!$A:$H,8,FALSE)</f>
        <v>green</v>
      </c>
      <c r="I160" s="7" t="str">
        <f>VLOOKUP(D160,[1]characters!$A:$K,11,FALSE)</f>
        <v>attack</v>
      </c>
      <c r="J160" s="7" t="str">
        <f>VLOOKUP(D160,[1]characters!$A:$M,13,FALSE)</f>
        <v>human</v>
      </c>
      <c r="K160" s="7" t="str">
        <f>VLOOKUP(D160,[1]characters!$A:$G,7,FALSE)</f>
        <v>男性</v>
      </c>
      <c r="L160" s="66">
        <f>IFERROR(VLOOKUP(D160,input_1!L:R,7,FALSE),VLOOKUP(tables_1!B160,input_1!A:H,8,FALSE))</f>
        <v>23569</v>
      </c>
      <c r="M160" s="67">
        <f t="shared" si="6"/>
        <v>9.0740740740740745E-4</v>
      </c>
      <c r="N160" s="31">
        <f>IFERROR(VLOOKUP($D160,bug_conf_sheet!$A:$H,3,FALSE),VLOOKUP("other",bug_conf_sheet!$A:$H,3,FALSE))</f>
        <v>1</v>
      </c>
      <c r="O160" s="31">
        <f>IFERROR(VLOOKUP($D160,bug_conf_sheet!$A:$H,4,FALSE),VLOOKUP("other",bug_conf_sheet!$A:$H,4,FALSE))</f>
        <v>0</v>
      </c>
      <c r="P160" s="31">
        <f>IFERROR(VLOOKUP($D160,bug_conf_sheet!$A:$H,5,FALSE),VLOOKUP("other",bug_conf_sheet!$A:$H,5,FALSE))</f>
        <v>0</v>
      </c>
      <c r="Q160" s="31">
        <f>IFERROR(VLOOKUP($D160,bug_conf_sheet!$A:$H,6,FALSE),VLOOKUP("other",bug_conf_sheet!$A:$H,6,FALSE))</f>
        <v>0</v>
      </c>
      <c r="R160" s="31">
        <f>IFERROR(VLOOKUP($D160,bug_conf_sheet!$A:$H,7,FALSE),VLOOKUP("other",bug_conf_sheet!$A:$H,7,FALSE))</f>
        <v>0</v>
      </c>
      <c r="S160" s="31">
        <f>IFERROR(VLOOKUP($D160,bug_conf_sheet!$A:$H,8,FALSE),VLOOKUP("other",bug_conf_sheet!$A:$H,8,FALSE))</f>
        <v>1</v>
      </c>
    </row>
    <row r="161" spans="1:19" ht="21" hidden="1" customHeight="1">
      <c r="A161" s="2">
        <f>input_1!A$2</f>
        <v>3121</v>
      </c>
      <c r="B161" s="7" t="str">
        <f t="shared" si="7"/>
        <v>Premium3</v>
      </c>
      <c r="C161" s="7" t="str">
        <f t="shared" si="8"/>
        <v>Premium</v>
      </c>
      <c r="D161" s="6">
        <v>395</v>
      </c>
      <c r="E161" s="7" t="str">
        <f>VLOOKUP(D161,[1]characters!$A:$C,3,FALSE)</f>
        <v>乙姫</v>
      </c>
      <c r="F161" s="7" t="str">
        <f>VLOOKUP(D161,[1]characters!$A:$J,10,FALSE)</f>
        <v>PremiumS</v>
      </c>
      <c r="G161" s="7">
        <f>VLOOKUP(D161,[1]characters!$A:$I,9,FALSE)</f>
        <v>3</v>
      </c>
      <c r="H161" s="7" t="str">
        <f>VLOOKUP(D161,[1]characters!$A:$H,8,FALSE)</f>
        <v>blue</v>
      </c>
      <c r="I161" s="7" t="str">
        <f>VLOOKUP(D161,[1]characters!$A:$K,11,FALSE)</f>
        <v>hp</v>
      </c>
      <c r="J161" s="7" t="str">
        <f>VLOOKUP(D161,[1]characters!$A:$M,13,FALSE)</f>
        <v>human</v>
      </c>
      <c r="K161" s="7" t="str">
        <f>VLOOKUP(D161,[1]characters!$A:$G,7,FALSE)</f>
        <v>女性</v>
      </c>
      <c r="L161" s="66">
        <f>IFERROR(VLOOKUP(D161,input_1!L:R,7,FALSE),VLOOKUP(tables_1!B161,input_1!A:H,8,FALSE))</f>
        <v>175500</v>
      </c>
      <c r="M161" s="67">
        <f t="shared" si="6"/>
        <v>6.7567567567567571E-3</v>
      </c>
      <c r="N161" s="31">
        <f>IFERROR(VLOOKUP($D161,bug_conf_sheet!$A:$H,3,FALSE),VLOOKUP("other",bug_conf_sheet!$A:$H,3,FALSE))</f>
        <v>1</v>
      </c>
      <c r="O161" s="31">
        <f>IFERROR(VLOOKUP($D161,bug_conf_sheet!$A:$H,4,FALSE),VLOOKUP("other",bug_conf_sheet!$A:$H,4,FALSE))</f>
        <v>0</v>
      </c>
      <c r="P161" s="31">
        <f>IFERROR(VLOOKUP($D161,bug_conf_sheet!$A:$H,5,FALSE),VLOOKUP("other",bug_conf_sheet!$A:$H,5,FALSE))</f>
        <v>0</v>
      </c>
      <c r="Q161" s="31">
        <f>IFERROR(VLOOKUP($D161,bug_conf_sheet!$A:$H,6,FALSE),VLOOKUP("other",bug_conf_sheet!$A:$H,6,FALSE))</f>
        <v>0</v>
      </c>
      <c r="R161" s="31">
        <f>IFERROR(VLOOKUP($D161,bug_conf_sheet!$A:$H,7,FALSE),VLOOKUP("other",bug_conf_sheet!$A:$H,7,FALSE))</f>
        <v>0</v>
      </c>
      <c r="S161" s="31">
        <f>IFERROR(VLOOKUP($D161,bug_conf_sheet!$A:$H,8,FALSE),VLOOKUP("other",bug_conf_sheet!$A:$H,8,FALSE))</f>
        <v>1</v>
      </c>
    </row>
    <row r="162" spans="1:19" ht="21" hidden="1" customHeight="1">
      <c r="A162" s="2">
        <f>input_1!A$2</f>
        <v>3121</v>
      </c>
      <c r="B162" s="7" t="str">
        <f t="shared" si="7"/>
        <v>Premium4</v>
      </c>
      <c r="C162" s="7" t="str">
        <f t="shared" si="8"/>
        <v>Premium</v>
      </c>
      <c r="D162" s="6">
        <v>396</v>
      </c>
      <c r="E162" s="7" t="str">
        <f>VLOOKUP(D162,[1]characters!$A:$C,3,FALSE)</f>
        <v>竜宮の水雷 乙姫</v>
      </c>
      <c r="F162" s="7" t="str">
        <f>VLOOKUP(D162,[1]characters!$A:$J,10,FALSE)</f>
        <v>PremiumS</v>
      </c>
      <c r="G162" s="7">
        <f>VLOOKUP(D162,[1]characters!$A:$I,9,FALSE)</f>
        <v>4</v>
      </c>
      <c r="H162" s="7" t="str">
        <f>VLOOKUP(D162,[1]characters!$A:$H,8,FALSE)</f>
        <v>blue</v>
      </c>
      <c r="I162" s="7" t="str">
        <f>VLOOKUP(D162,[1]characters!$A:$K,11,FALSE)</f>
        <v>hp</v>
      </c>
      <c r="J162" s="7" t="str">
        <f>VLOOKUP(D162,[1]characters!$A:$M,13,FALSE)</f>
        <v>human</v>
      </c>
      <c r="K162" s="7" t="str">
        <f>VLOOKUP(D162,[1]characters!$A:$G,7,FALSE)</f>
        <v>女性</v>
      </c>
      <c r="L162" s="66">
        <f>IFERROR(VLOOKUP(D162,input_1!L:R,7,FALSE),VLOOKUP(tables_1!B162,input_1!A:H,8,FALSE))</f>
        <v>154791</v>
      </c>
      <c r="M162" s="67">
        <f t="shared" si="6"/>
        <v>5.9594594594594595E-3</v>
      </c>
      <c r="N162" s="31">
        <f>IFERROR(VLOOKUP($D162,bug_conf_sheet!$A:$H,3,FALSE),VLOOKUP("other",bug_conf_sheet!$A:$H,3,FALSE))</f>
        <v>1</v>
      </c>
      <c r="O162" s="31">
        <f>IFERROR(VLOOKUP($D162,bug_conf_sheet!$A:$H,4,FALSE),VLOOKUP("other",bug_conf_sheet!$A:$H,4,FALSE))</f>
        <v>0</v>
      </c>
      <c r="P162" s="31">
        <f>IFERROR(VLOOKUP($D162,bug_conf_sheet!$A:$H,5,FALSE),VLOOKUP("other",bug_conf_sheet!$A:$H,5,FALSE))</f>
        <v>0</v>
      </c>
      <c r="Q162" s="31">
        <f>IFERROR(VLOOKUP($D162,bug_conf_sheet!$A:$H,6,FALSE),VLOOKUP("other",bug_conf_sheet!$A:$H,6,FALSE))</f>
        <v>0</v>
      </c>
      <c r="R162" s="31">
        <f>IFERROR(VLOOKUP($D162,bug_conf_sheet!$A:$H,7,FALSE),VLOOKUP("other",bug_conf_sheet!$A:$H,7,FALSE))</f>
        <v>0</v>
      </c>
      <c r="S162" s="31">
        <f>IFERROR(VLOOKUP($D162,bug_conf_sheet!$A:$H,8,FALSE),VLOOKUP("other",bug_conf_sheet!$A:$H,8,FALSE))</f>
        <v>1</v>
      </c>
    </row>
    <row r="163" spans="1:19" ht="21" hidden="1" customHeight="1">
      <c r="A163" s="2">
        <f>input_1!A$2</f>
        <v>3121</v>
      </c>
      <c r="B163" s="7" t="str">
        <f t="shared" si="7"/>
        <v>Premium5</v>
      </c>
      <c r="C163" s="7" t="str">
        <f t="shared" si="8"/>
        <v>Premium</v>
      </c>
      <c r="D163" s="6">
        <v>397</v>
      </c>
      <c r="E163" s="7" t="str">
        <f>VLOOKUP(D163,[1]characters!$A:$C,3,FALSE)</f>
        <v>禁断の追箱 乙姫</v>
      </c>
      <c r="F163" s="7" t="str">
        <f>VLOOKUP(D163,[1]characters!$A:$J,10,FALSE)</f>
        <v>PremiumS</v>
      </c>
      <c r="G163" s="7">
        <f>VLOOKUP(D163,[1]characters!$A:$I,9,FALSE)</f>
        <v>5</v>
      </c>
      <c r="H163" s="7" t="str">
        <f>VLOOKUP(D163,[1]characters!$A:$H,8,FALSE)</f>
        <v>blue</v>
      </c>
      <c r="I163" s="7" t="str">
        <f>VLOOKUP(D163,[1]characters!$A:$K,11,FALSE)</f>
        <v>hp</v>
      </c>
      <c r="J163" s="7" t="str">
        <f>VLOOKUP(D163,[1]characters!$A:$M,13,FALSE)</f>
        <v>human</v>
      </c>
      <c r="K163" s="7" t="str">
        <f>VLOOKUP(D163,[1]characters!$A:$G,7,FALSE)</f>
        <v>女性</v>
      </c>
      <c r="L163" s="66">
        <f>IFERROR(VLOOKUP(D163,input_1!L:R,7,FALSE),VLOOKUP(tables_1!B163,input_1!A:H,8,FALSE))</f>
        <v>23569</v>
      </c>
      <c r="M163" s="67">
        <f t="shared" si="6"/>
        <v>9.0740740740740745E-4</v>
      </c>
      <c r="N163" s="31">
        <f>IFERROR(VLOOKUP($D163,bug_conf_sheet!$A:$H,3,FALSE),VLOOKUP("other",bug_conf_sheet!$A:$H,3,FALSE))</f>
        <v>1</v>
      </c>
      <c r="O163" s="31">
        <f>IFERROR(VLOOKUP($D163,bug_conf_sheet!$A:$H,4,FALSE),VLOOKUP("other",bug_conf_sheet!$A:$H,4,FALSE))</f>
        <v>0</v>
      </c>
      <c r="P163" s="31">
        <f>IFERROR(VLOOKUP($D163,bug_conf_sheet!$A:$H,5,FALSE),VLOOKUP("other",bug_conf_sheet!$A:$H,5,FALSE))</f>
        <v>0</v>
      </c>
      <c r="Q163" s="31">
        <f>IFERROR(VLOOKUP($D163,bug_conf_sheet!$A:$H,6,FALSE),VLOOKUP("other",bug_conf_sheet!$A:$H,6,FALSE))</f>
        <v>0</v>
      </c>
      <c r="R163" s="31">
        <f>IFERROR(VLOOKUP($D163,bug_conf_sheet!$A:$H,7,FALSE),VLOOKUP("other",bug_conf_sheet!$A:$H,7,FALSE))</f>
        <v>0</v>
      </c>
      <c r="S163" s="31">
        <f>IFERROR(VLOOKUP($D163,bug_conf_sheet!$A:$H,8,FALSE),VLOOKUP("other",bug_conf_sheet!$A:$H,8,FALSE))</f>
        <v>1</v>
      </c>
    </row>
    <row r="164" spans="1:19" ht="21" hidden="1" customHeight="1">
      <c r="A164" s="2">
        <f>input_1!A$2</f>
        <v>3121</v>
      </c>
      <c r="B164" s="7" t="str">
        <f t="shared" si="7"/>
        <v>PremiumSS4</v>
      </c>
      <c r="C164" s="7" t="str">
        <f t="shared" si="8"/>
        <v>PremiumSS</v>
      </c>
      <c r="D164" s="6">
        <v>398</v>
      </c>
      <c r="E164" s="7" t="str">
        <f>VLOOKUP(D164,[1]characters!$A:$C,3,FALSE)</f>
        <v>ヘンゼル＆グレーテル</v>
      </c>
      <c r="F164" s="7" t="str">
        <f>VLOOKUP(D164,[1]characters!$A:$J,10,FALSE)</f>
        <v>PremiumSS</v>
      </c>
      <c r="G164" s="7">
        <f>VLOOKUP(D164,[1]characters!$A:$I,9,FALSE)</f>
        <v>4</v>
      </c>
      <c r="H164" s="7" t="str">
        <f>VLOOKUP(D164,[1]characters!$A:$H,8,FALSE)</f>
        <v>yellow</v>
      </c>
      <c r="I164" s="7" t="str">
        <f>VLOOKUP(D164,[1]characters!$A:$K,11,FALSE)</f>
        <v>balance</v>
      </c>
      <c r="J164" s="7" t="str">
        <f>VLOOKUP(D164,[1]characters!$A:$M,13,FALSE)</f>
        <v>human</v>
      </c>
      <c r="K164" s="7" t="str">
        <f>VLOOKUP(D164,[1]characters!$A:$G,7,FALSE)</f>
        <v>女性</v>
      </c>
      <c r="L164" s="66">
        <f>IFERROR(VLOOKUP(D164,input_1!L:R,7,FALSE),VLOOKUP(tables_1!B164,input_1!A:H,8,FALSE))</f>
        <v>8991</v>
      </c>
      <c r="M164" s="67">
        <f t="shared" si="6"/>
        <v>3.4615384615384613E-4</v>
      </c>
      <c r="N164" s="31">
        <f>IFERROR(VLOOKUP($D164,bug_conf_sheet!$A:$H,3,FALSE),VLOOKUP("other",bug_conf_sheet!$A:$H,3,FALSE))</f>
        <v>1</v>
      </c>
      <c r="O164" s="31">
        <f>IFERROR(VLOOKUP($D164,bug_conf_sheet!$A:$H,4,FALSE),VLOOKUP("other",bug_conf_sheet!$A:$H,4,FALSE))</f>
        <v>0</v>
      </c>
      <c r="P164" s="31">
        <f>IFERROR(VLOOKUP($D164,bug_conf_sheet!$A:$H,5,FALSE),VLOOKUP("other",bug_conf_sheet!$A:$H,5,FALSE))</f>
        <v>0</v>
      </c>
      <c r="Q164" s="31">
        <f>IFERROR(VLOOKUP($D164,bug_conf_sheet!$A:$H,6,FALSE),VLOOKUP("other",bug_conf_sheet!$A:$H,6,FALSE))</f>
        <v>0</v>
      </c>
      <c r="R164" s="31">
        <f>IFERROR(VLOOKUP($D164,bug_conf_sheet!$A:$H,7,FALSE),VLOOKUP("other",bug_conf_sheet!$A:$H,7,FALSE))</f>
        <v>0</v>
      </c>
      <c r="S164" s="31">
        <f>IFERROR(VLOOKUP($D164,bug_conf_sheet!$A:$H,8,FALSE),VLOOKUP("other",bug_conf_sheet!$A:$H,8,FALSE))</f>
        <v>1</v>
      </c>
    </row>
    <row r="165" spans="1:19" ht="21" customHeight="1">
      <c r="A165" s="2">
        <f>input_1!A$2</f>
        <v>3121</v>
      </c>
      <c r="B165" s="7" t="str">
        <f t="shared" si="7"/>
        <v>PremiumSS5</v>
      </c>
      <c r="C165" s="7" t="str">
        <f t="shared" si="8"/>
        <v>PremiumSS</v>
      </c>
      <c r="D165" s="6">
        <v>399</v>
      </c>
      <c r="E165" s="7" t="str">
        <f>VLOOKUP(D165,[1]characters!$A:$C,3,FALSE)</f>
        <v>信愛の兄妹 ヘンゼル＆グレーテル</v>
      </c>
      <c r="F165" s="7" t="str">
        <f>VLOOKUP(D165,[1]characters!$A:$J,10,FALSE)</f>
        <v>PremiumSS</v>
      </c>
      <c r="G165" s="7">
        <f>VLOOKUP(D165,[1]characters!$A:$I,9,FALSE)</f>
        <v>5</v>
      </c>
      <c r="H165" s="7" t="str">
        <f>VLOOKUP(D165,[1]characters!$A:$H,8,FALSE)</f>
        <v>yellow</v>
      </c>
      <c r="I165" s="7" t="str">
        <f>VLOOKUP(D165,[1]characters!$A:$K,11,FALSE)</f>
        <v>balance</v>
      </c>
      <c r="J165" s="7" t="str">
        <f>VLOOKUP(D165,[1]characters!$A:$M,13,FALSE)</f>
        <v>human</v>
      </c>
      <c r="K165" s="7" t="str">
        <f>VLOOKUP(D165,[1]characters!$A:$G,7,FALSE)</f>
        <v>女性</v>
      </c>
      <c r="L165" s="66">
        <f>IFERROR(VLOOKUP(D165,input_1!L:R,7,FALSE),VLOOKUP(tables_1!B165,input_1!A:H,8,FALSE))</f>
        <v>999</v>
      </c>
      <c r="M165" s="67">
        <f t="shared" si="6"/>
        <v>3.8461538461538463E-5</v>
      </c>
      <c r="N165" s="31">
        <f>IFERROR(VLOOKUP($D165,bug_conf_sheet!$A:$H,3,FALSE),VLOOKUP("other",bug_conf_sheet!$A:$H,3,FALSE))</f>
        <v>1</v>
      </c>
      <c r="O165" s="31">
        <f>IFERROR(VLOOKUP($D165,bug_conf_sheet!$A:$H,4,FALSE),VLOOKUP("other",bug_conf_sheet!$A:$H,4,FALSE))</f>
        <v>0</v>
      </c>
      <c r="P165" s="31">
        <f>IFERROR(VLOOKUP($D165,bug_conf_sheet!$A:$H,5,FALSE),VLOOKUP("other",bug_conf_sheet!$A:$H,5,FALSE))</f>
        <v>0</v>
      </c>
      <c r="Q165" s="31">
        <f>IFERROR(VLOOKUP($D165,bug_conf_sheet!$A:$H,6,FALSE),VLOOKUP("other",bug_conf_sheet!$A:$H,6,FALSE))</f>
        <v>0</v>
      </c>
      <c r="R165" s="31">
        <f>IFERROR(VLOOKUP($D165,bug_conf_sheet!$A:$H,7,FALSE),VLOOKUP("other",bug_conf_sheet!$A:$H,7,FALSE))</f>
        <v>0</v>
      </c>
      <c r="S165" s="31">
        <f>IFERROR(VLOOKUP($D165,bug_conf_sheet!$A:$H,8,FALSE),VLOOKUP("other",bug_conf_sheet!$A:$H,8,FALSE))</f>
        <v>1</v>
      </c>
    </row>
    <row r="166" spans="1:19" ht="21" hidden="1" customHeight="1">
      <c r="A166" s="2">
        <f>input_1!A$2</f>
        <v>3121</v>
      </c>
      <c r="B166" s="7" t="str">
        <f t="shared" si="7"/>
        <v>Premium3</v>
      </c>
      <c r="C166" s="7" t="str">
        <f t="shared" si="8"/>
        <v>Premium</v>
      </c>
      <c r="D166" s="6">
        <v>400</v>
      </c>
      <c r="E166" s="7" t="str">
        <f>VLOOKUP(D166,[1]characters!$A:$C,3,FALSE)</f>
        <v>フェンリル</v>
      </c>
      <c r="F166" s="7" t="str">
        <f>VLOOKUP(D166,[1]characters!$A:$J,10,FALSE)</f>
        <v>PremiumS</v>
      </c>
      <c r="G166" s="7">
        <f>VLOOKUP(D166,[1]characters!$A:$I,9,FALSE)</f>
        <v>3</v>
      </c>
      <c r="H166" s="7" t="str">
        <f>VLOOKUP(D166,[1]characters!$A:$H,8,FALSE)</f>
        <v>red</v>
      </c>
      <c r="I166" s="7" t="str">
        <f>VLOOKUP(D166,[1]characters!$A:$K,11,FALSE)</f>
        <v>attack</v>
      </c>
      <c r="J166" s="7" t="str">
        <f>VLOOKUP(D166,[1]characters!$A:$M,13,FALSE)</f>
        <v>animal</v>
      </c>
      <c r="K166" s="7" t="str">
        <f>VLOOKUP(D166,[1]characters!$A:$G,7,FALSE)</f>
        <v>女性</v>
      </c>
      <c r="L166" s="66">
        <f>IFERROR(VLOOKUP(D166,input_1!L:R,7,FALSE),VLOOKUP(tables_1!B166,input_1!A:H,8,FALSE))</f>
        <v>175500</v>
      </c>
      <c r="M166" s="67">
        <f t="shared" si="6"/>
        <v>6.7567567567567571E-3</v>
      </c>
      <c r="N166" s="31">
        <f>IFERROR(VLOOKUP($D166,bug_conf_sheet!$A:$H,3,FALSE),VLOOKUP("other",bug_conf_sheet!$A:$H,3,FALSE))</f>
        <v>1</v>
      </c>
      <c r="O166" s="31">
        <f>IFERROR(VLOOKUP($D166,bug_conf_sheet!$A:$H,4,FALSE),VLOOKUP("other",bug_conf_sheet!$A:$H,4,FALSE))</f>
        <v>0</v>
      </c>
      <c r="P166" s="31">
        <f>IFERROR(VLOOKUP($D166,bug_conf_sheet!$A:$H,5,FALSE),VLOOKUP("other",bug_conf_sheet!$A:$H,5,FALSE))</f>
        <v>0</v>
      </c>
      <c r="Q166" s="31">
        <f>IFERROR(VLOOKUP($D166,bug_conf_sheet!$A:$H,6,FALSE),VLOOKUP("other",bug_conf_sheet!$A:$H,6,FALSE))</f>
        <v>0</v>
      </c>
      <c r="R166" s="31">
        <f>IFERROR(VLOOKUP($D166,bug_conf_sheet!$A:$H,7,FALSE),VLOOKUP("other",bug_conf_sheet!$A:$H,7,FALSE))</f>
        <v>0</v>
      </c>
      <c r="S166" s="31">
        <f>IFERROR(VLOOKUP($D166,bug_conf_sheet!$A:$H,8,FALSE),VLOOKUP("other",bug_conf_sheet!$A:$H,8,FALSE))</f>
        <v>1</v>
      </c>
    </row>
    <row r="167" spans="1:19" ht="21" hidden="1" customHeight="1">
      <c r="A167" s="2">
        <f>input_1!A$2</f>
        <v>3121</v>
      </c>
      <c r="B167" s="7" t="str">
        <f t="shared" si="7"/>
        <v>Premium4</v>
      </c>
      <c r="C167" s="7" t="str">
        <f t="shared" si="8"/>
        <v>Premium</v>
      </c>
      <c r="D167" s="6">
        <v>401</v>
      </c>
      <c r="E167" s="7" t="str">
        <f>VLOOKUP(D167,[1]characters!$A:$C,3,FALSE)</f>
        <v>紅銀の孤狼 フェンリル</v>
      </c>
      <c r="F167" s="7" t="str">
        <f>VLOOKUP(D167,[1]characters!$A:$J,10,FALSE)</f>
        <v>PremiumS</v>
      </c>
      <c r="G167" s="7">
        <f>VLOOKUP(D167,[1]characters!$A:$I,9,FALSE)</f>
        <v>4</v>
      </c>
      <c r="H167" s="7" t="str">
        <f>VLOOKUP(D167,[1]characters!$A:$H,8,FALSE)</f>
        <v>red</v>
      </c>
      <c r="I167" s="7" t="str">
        <f>VLOOKUP(D167,[1]characters!$A:$K,11,FALSE)</f>
        <v>attack</v>
      </c>
      <c r="J167" s="7" t="str">
        <f>VLOOKUP(D167,[1]characters!$A:$M,13,FALSE)</f>
        <v>animal</v>
      </c>
      <c r="K167" s="7" t="str">
        <f>VLOOKUP(D167,[1]characters!$A:$G,7,FALSE)</f>
        <v>女性</v>
      </c>
      <c r="L167" s="66">
        <f>IFERROR(VLOOKUP(D167,input_1!L:R,7,FALSE),VLOOKUP(tables_1!B167,input_1!A:H,8,FALSE))</f>
        <v>154791</v>
      </c>
      <c r="M167" s="67">
        <f t="shared" si="6"/>
        <v>5.9594594594594595E-3</v>
      </c>
      <c r="N167" s="31">
        <f>IFERROR(VLOOKUP($D167,bug_conf_sheet!$A:$H,3,FALSE),VLOOKUP("other",bug_conf_sheet!$A:$H,3,FALSE))</f>
        <v>1</v>
      </c>
      <c r="O167" s="31">
        <f>IFERROR(VLOOKUP($D167,bug_conf_sheet!$A:$H,4,FALSE),VLOOKUP("other",bug_conf_sheet!$A:$H,4,FALSE))</f>
        <v>0</v>
      </c>
      <c r="P167" s="31">
        <f>IFERROR(VLOOKUP($D167,bug_conf_sheet!$A:$H,5,FALSE),VLOOKUP("other",bug_conf_sheet!$A:$H,5,FALSE))</f>
        <v>0</v>
      </c>
      <c r="Q167" s="31">
        <f>IFERROR(VLOOKUP($D167,bug_conf_sheet!$A:$H,6,FALSE),VLOOKUP("other",bug_conf_sheet!$A:$H,6,FALSE))</f>
        <v>0</v>
      </c>
      <c r="R167" s="31">
        <f>IFERROR(VLOOKUP($D167,bug_conf_sheet!$A:$H,7,FALSE),VLOOKUP("other",bug_conf_sheet!$A:$H,7,FALSE))</f>
        <v>0</v>
      </c>
      <c r="S167" s="31">
        <f>IFERROR(VLOOKUP($D167,bug_conf_sheet!$A:$H,8,FALSE),VLOOKUP("other",bug_conf_sheet!$A:$H,8,FALSE))</f>
        <v>1</v>
      </c>
    </row>
    <row r="168" spans="1:19" ht="21" hidden="1" customHeight="1">
      <c r="A168" s="2">
        <f>input_1!A$2</f>
        <v>3121</v>
      </c>
      <c r="B168" s="7" t="str">
        <f t="shared" si="7"/>
        <v>Premium5</v>
      </c>
      <c r="C168" s="7" t="str">
        <f t="shared" si="8"/>
        <v>Premium</v>
      </c>
      <c r="D168" s="6">
        <v>402</v>
      </c>
      <c r="E168" s="7" t="str">
        <f>VLOOKUP(D168,[1]characters!$A:$C,3,FALSE)</f>
        <v>天災の神狼 フェンリル</v>
      </c>
      <c r="F168" s="7" t="str">
        <f>VLOOKUP(D168,[1]characters!$A:$J,10,FALSE)</f>
        <v>PremiumS</v>
      </c>
      <c r="G168" s="7">
        <f>VLOOKUP(D168,[1]characters!$A:$I,9,FALSE)</f>
        <v>5</v>
      </c>
      <c r="H168" s="7" t="str">
        <f>VLOOKUP(D168,[1]characters!$A:$H,8,FALSE)</f>
        <v>red</v>
      </c>
      <c r="I168" s="7" t="str">
        <f>VLOOKUP(D168,[1]characters!$A:$K,11,FALSE)</f>
        <v>attack</v>
      </c>
      <c r="J168" s="7" t="str">
        <f>VLOOKUP(D168,[1]characters!$A:$M,13,FALSE)</f>
        <v>animal</v>
      </c>
      <c r="K168" s="7" t="str">
        <f>VLOOKUP(D168,[1]characters!$A:$G,7,FALSE)</f>
        <v>女性</v>
      </c>
      <c r="L168" s="66">
        <f>IFERROR(VLOOKUP(D168,input_1!L:R,7,FALSE),VLOOKUP(tables_1!B168,input_1!A:H,8,FALSE))</f>
        <v>23569</v>
      </c>
      <c r="M168" s="67">
        <f t="shared" si="6"/>
        <v>9.0740740740740745E-4</v>
      </c>
      <c r="N168" s="31">
        <f>IFERROR(VLOOKUP($D168,bug_conf_sheet!$A:$H,3,FALSE),VLOOKUP("other",bug_conf_sheet!$A:$H,3,FALSE))</f>
        <v>1</v>
      </c>
      <c r="O168" s="31">
        <f>IFERROR(VLOOKUP($D168,bug_conf_sheet!$A:$H,4,FALSE),VLOOKUP("other",bug_conf_sheet!$A:$H,4,FALSE))</f>
        <v>0</v>
      </c>
      <c r="P168" s="31">
        <f>IFERROR(VLOOKUP($D168,bug_conf_sheet!$A:$H,5,FALSE),VLOOKUP("other",bug_conf_sheet!$A:$H,5,FALSE))</f>
        <v>0</v>
      </c>
      <c r="Q168" s="31">
        <f>IFERROR(VLOOKUP($D168,bug_conf_sheet!$A:$H,6,FALSE),VLOOKUP("other",bug_conf_sheet!$A:$H,6,FALSE))</f>
        <v>0</v>
      </c>
      <c r="R168" s="31">
        <f>IFERROR(VLOOKUP($D168,bug_conf_sheet!$A:$H,7,FALSE),VLOOKUP("other",bug_conf_sheet!$A:$H,7,FALSE))</f>
        <v>0</v>
      </c>
      <c r="S168" s="31">
        <f>IFERROR(VLOOKUP($D168,bug_conf_sheet!$A:$H,8,FALSE),VLOOKUP("other",bug_conf_sheet!$A:$H,8,FALSE))</f>
        <v>1</v>
      </c>
    </row>
    <row r="169" spans="1:19" ht="21" hidden="1" customHeight="1">
      <c r="A169" s="2">
        <f>input_1!A$2</f>
        <v>3121</v>
      </c>
      <c r="B169" s="7" t="str">
        <f t="shared" si="7"/>
        <v>PremiumSS4</v>
      </c>
      <c r="C169" s="7" t="str">
        <f t="shared" si="8"/>
        <v>PremiumSS</v>
      </c>
      <c r="D169" s="6">
        <v>403</v>
      </c>
      <c r="E169" s="7" t="str">
        <f>VLOOKUP(D169,[1]characters!$A:$C,3,FALSE)</f>
        <v>静撃の翠眼 八咫烏</v>
      </c>
      <c r="F169" s="7" t="str">
        <f>VLOOKUP(D169,[1]characters!$A:$J,10,FALSE)</f>
        <v>PremiumSS</v>
      </c>
      <c r="G169" s="7">
        <f>VLOOKUP(D169,[1]characters!$A:$I,9,FALSE)</f>
        <v>4</v>
      </c>
      <c r="H169" s="7" t="str">
        <f>VLOOKUP(D169,[1]characters!$A:$H,8,FALSE)</f>
        <v>green</v>
      </c>
      <c r="I169" s="7" t="str">
        <f>VLOOKUP(D169,[1]characters!$A:$K,11,FALSE)</f>
        <v>balance</v>
      </c>
      <c r="J169" s="7" t="str">
        <f>VLOOKUP(D169,[1]characters!$A:$M,13,FALSE)</f>
        <v>animal</v>
      </c>
      <c r="K169" s="7" t="str">
        <f>VLOOKUP(D169,[1]characters!$A:$G,7,FALSE)</f>
        <v>女性</v>
      </c>
      <c r="L169" s="66">
        <f>IFERROR(VLOOKUP(D169,input_1!L:R,7,FALSE),VLOOKUP(tables_1!B169,input_1!A:H,8,FALSE))</f>
        <v>8991</v>
      </c>
      <c r="M169" s="67">
        <f t="shared" si="6"/>
        <v>3.4615384615384613E-4</v>
      </c>
      <c r="N169" s="31">
        <f>IFERROR(VLOOKUP($D169,bug_conf_sheet!$A:$H,3,FALSE),VLOOKUP("other",bug_conf_sheet!$A:$H,3,FALSE))</f>
        <v>1</v>
      </c>
      <c r="O169" s="31">
        <f>IFERROR(VLOOKUP($D169,bug_conf_sheet!$A:$H,4,FALSE),VLOOKUP("other",bug_conf_sheet!$A:$H,4,FALSE))</f>
        <v>0</v>
      </c>
      <c r="P169" s="31">
        <f>IFERROR(VLOOKUP($D169,bug_conf_sheet!$A:$H,5,FALSE),VLOOKUP("other",bug_conf_sheet!$A:$H,5,FALSE))</f>
        <v>0</v>
      </c>
      <c r="Q169" s="31">
        <f>IFERROR(VLOOKUP($D169,bug_conf_sheet!$A:$H,6,FALSE),VLOOKUP("other",bug_conf_sheet!$A:$H,6,FALSE))</f>
        <v>0</v>
      </c>
      <c r="R169" s="31">
        <f>IFERROR(VLOOKUP($D169,bug_conf_sheet!$A:$H,7,FALSE),VLOOKUP("other",bug_conf_sheet!$A:$H,7,FALSE))</f>
        <v>0</v>
      </c>
      <c r="S169" s="31">
        <f>IFERROR(VLOOKUP($D169,bug_conf_sheet!$A:$H,8,FALSE),VLOOKUP("other",bug_conf_sheet!$A:$H,8,FALSE))</f>
        <v>1</v>
      </c>
    </row>
    <row r="170" spans="1:19" ht="21" customHeight="1">
      <c r="A170" s="2">
        <f>input_1!A$2</f>
        <v>3121</v>
      </c>
      <c r="B170" s="7" t="str">
        <f t="shared" si="7"/>
        <v>PremiumSS5</v>
      </c>
      <c r="C170" s="7" t="str">
        <f t="shared" si="8"/>
        <v>PremiumSS</v>
      </c>
      <c r="D170" s="6">
        <v>404</v>
      </c>
      <c r="E170" s="7" t="str">
        <f>VLOOKUP(D170,[1]characters!$A:$C,3,FALSE)</f>
        <v>空襲の神眼 八咫烏</v>
      </c>
      <c r="F170" s="7" t="str">
        <f>VLOOKUP(D170,[1]characters!$A:$J,10,FALSE)</f>
        <v>PremiumSS</v>
      </c>
      <c r="G170" s="7">
        <f>VLOOKUP(D170,[1]characters!$A:$I,9,FALSE)</f>
        <v>5</v>
      </c>
      <c r="H170" s="7" t="str">
        <f>VLOOKUP(D170,[1]characters!$A:$H,8,FALSE)</f>
        <v>green</v>
      </c>
      <c r="I170" s="7" t="str">
        <f>VLOOKUP(D170,[1]characters!$A:$K,11,FALSE)</f>
        <v>balance</v>
      </c>
      <c r="J170" s="7" t="str">
        <f>VLOOKUP(D170,[1]characters!$A:$M,13,FALSE)</f>
        <v>animal</v>
      </c>
      <c r="K170" s="7" t="str">
        <f>VLOOKUP(D170,[1]characters!$A:$G,7,FALSE)</f>
        <v>女性</v>
      </c>
      <c r="L170" s="66">
        <f>IFERROR(VLOOKUP(D170,input_1!L:R,7,FALSE),VLOOKUP(tables_1!B170,input_1!A:H,8,FALSE))</f>
        <v>999</v>
      </c>
      <c r="M170" s="67">
        <f t="shared" si="6"/>
        <v>3.8461538461538463E-5</v>
      </c>
      <c r="N170" s="31">
        <f>IFERROR(VLOOKUP($D170,bug_conf_sheet!$A:$H,3,FALSE),VLOOKUP("other",bug_conf_sheet!$A:$H,3,FALSE))</f>
        <v>1</v>
      </c>
      <c r="O170" s="31">
        <f>IFERROR(VLOOKUP($D170,bug_conf_sheet!$A:$H,4,FALSE),VLOOKUP("other",bug_conf_sheet!$A:$H,4,FALSE))</f>
        <v>0</v>
      </c>
      <c r="P170" s="31">
        <f>IFERROR(VLOOKUP($D170,bug_conf_sheet!$A:$H,5,FALSE),VLOOKUP("other",bug_conf_sheet!$A:$H,5,FALSE))</f>
        <v>0</v>
      </c>
      <c r="Q170" s="31">
        <f>IFERROR(VLOOKUP($D170,bug_conf_sheet!$A:$H,6,FALSE),VLOOKUP("other",bug_conf_sheet!$A:$H,6,FALSE))</f>
        <v>0</v>
      </c>
      <c r="R170" s="31">
        <f>IFERROR(VLOOKUP($D170,bug_conf_sheet!$A:$H,7,FALSE),VLOOKUP("other",bug_conf_sheet!$A:$H,7,FALSE))</f>
        <v>0</v>
      </c>
      <c r="S170" s="31">
        <f>IFERROR(VLOOKUP($D170,bug_conf_sheet!$A:$H,8,FALSE),VLOOKUP("other",bug_conf_sheet!$A:$H,8,FALSE))</f>
        <v>1</v>
      </c>
    </row>
    <row r="171" spans="1:19" ht="21" hidden="1" customHeight="1">
      <c r="A171" s="2">
        <f>input_1!A$2</f>
        <v>3121</v>
      </c>
      <c r="B171" s="7" t="str">
        <f t="shared" si="7"/>
        <v>Premium3</v>
      </c>
      <c r="C171" s="7" t="str">
        <f t="shared" si="8"/>
        <v>Premium</v>
      </c>
      <c r="D171" s="6">
        <v>405</v>
      </c>
      <c r="E171" s="7" t="str">
        <f>VLOOKUP(D171,[1]characters!$A:$C,3,FALSE)</f>
        <v>エキドナ</v>
      </c>
      <c r="F171" s="7" t="str">
        <f>VLOOKUP(D171,[1]characters!$A:$J,10,FALSE)</f>
        <v>PremiumS</v>
      </c>
      <c r="G171" s="7">
        <f>VLOOKUP(D171,[1]characters!$A:$I,9,FALSE)</f>
        <v>3</v>
      </c>
      <c r="H171" s="7" t="str">
        <f>VLOOKUP(D171,[1]characters!$A:$H,8,FALSE)</f>
        <v>blue</v>
      </c>
      <c r="I171" s="7" t="str">
        <f>VLOOKUP(D171,[1]characters!$A:$K,11,FALSE)</f>
        <v>technical</v>
      </c>
      <c r="J171" s="7" t="str">
        <f>VLOOKUP(D171,[1]characters!$A:$M,13,FALSE)</f>
        <v>animal</v>
      </c>
      <c r="K171" s="7" t="str">
        <f>VLOOKUP(D171,[1]characters!$A:$G,7,FALSE)</f>
        <v>女性</v>
      </c>
      <c r="L171" s="66">
        <f>IFERROR(VLOOKUP(D171,input_1!L:R,7,FALSE),VLOOKUP(tables_1!B171,input_1!A:H,8,FALSE))</f>
        <v>175500</v>
      </c>
      <c r="M171" s="67">
        <f t="shared" si="6"/>
        <v>6.7567567567567571E-3</v>
      </c>
      <c r="N171" s="31">
        <f>IFERROR(VLOOKUP($D171,bug_conf_sheet!$A:$H,3,FALSE),VLOOKUP("other",bug_conf_sheet!$A:$H,3,FALSE))</f>
        <v>1</v>
      </c>
      <c r="O171" s="31">
        <f>IFERROR(VLOOKUP($D171,bug_conf_sheet!$A:$H,4,FALSE),VLOOKUP("other",bug_conf_sheet!$A:$H,4,FALSE))</f>
        <v>0</v>
      </c>
      <c r="P171" s="31">
        <f>IFERROR(VLOOKUP($D171,bug_conf_sheet!$A:$H,5,FALSE),VLOOKUP("other",bug_conf_sheet!$A:$H,5,FALSE))</f>
        <v>0</v>
      </c>
      <c r="Q171" s="31">
        <f>IFERROR(VLOOKUP($D171,bug_conf_sheet!$A:$H,6,FALSE),VLOOKUP("other",bug_conf_sheet!$A:$H,6,FALSE))</f>
        <v>0</v>
      </c>
      <c r="R171" s="31">
        <f>IFERROR(VLOOKUP($D171,bug_conf_sheet!$A:$H,7,FALSE),VLOOKUP("other",bug_conf_sheet!$A:$H,7,FALSE))</f>
        <v>0</v>
      </c>
      <c r="S171" s="31">
        <f>IFERROR(VLOOKUP($D171,bug_conf_sheet!$A:$H,8,FALSE),VLOOKUP("other",bug_conf_sheet!$A:$H,8,FALSE))</f>
        <v>1</v>
      </c>
    </row>
    <row r="172" spans="1:19" ht="21" hidden="1" customHeight="1">
      <c r="A172" s="2">
        <f>input_1!A$2</f>
        <v>3121</v>
      </c>
      <c r="B172" s="7" t="str">
        <f t="shared" si="7"/>
        <v>Premium4</v>
      </c>
      <c r="C172" s="7" t="str">
        <f t="shared" si="8"/>
        <v>Premium</v>
      </c>
      <c r="D172" s="6">
        <v>406</v>
      </c>
      <c r="E172" s="7" t="str">
        <f>VLOOKUP(D172,[1]characters!$A:$C,3,FALSE)</f>
        <v>美笑の蒼蛇 エキドナ</v>
      </c>
      <c r="F172" s="7" t="str">
        <f>VLOOKUP(D172,[1]characters!$A:$J,10,FALSE)</f>
        <v>PremiumS</v>
      </c>
      <c r="G172" s="7">
        <f>VLOOKUP(D172,[1]characters!$A:$I,9,FALSE)</f>
        <v>4</v>
      </c>
      <c r="H172" s="7" t="str">
        <f>VLOOKUP(D172,[1]characters!$A:$H,8,FALSE)</f>
        <v>blue</v>
      </c>
      <c r="I172" s="7" t="str">
        <f>VLOOKUP(D172,[1]characters!$A:$K,11,FALSE)</f>
        <v>technical</v>
      </c>
      <c r="J172" s="7" t="str">
        <f>VLOOKUP(D172,[1]characters!$A:$M,13,FALSE)</f>
        <v>animal</v>
      </c>
      <c r="K172" s="7" t="str">
        <f>VLOOKUP(D172,[1]characters!$A:$G,7,FALSE)</f>
        <v>女性</v>
      </c>
      <c r="L172" s="66">
        <f>IFERROR(VLOOKUP(D172,input_1!L:R,7,FALSE),VLOOKUP(tables_1!B172,input_1!A:H,8,FALSE))</f>
        <v>154791</v>
      </c>
      <c r="M172" s="67">
        <f t="shared" si="6"/>
        <v>5.9594594594594595E-3</v>
      </c>
      <c r="N172" s="31">
        <f>IFERROR(VLOOKUP($D172,bug_conf_sheet!$A:$H,3,FALSE),VLOOKUP("other",bug_conf_sheet!$A:$H,3,FALSE))</f>
        <v>1</v>
      </c>
      <c r="O172" s="31">
        <f>IFERROR(VLOOKUP($D172,bug_conf_sheet!$A:$H,4,FALSE),VLOOKUP("other",bug_conf_sheet!$A:$H,4,FALSE))</f>
        <v>0</v>
      </c>
      <c r="P172" s="31">
        <f>IFERROR(VLOOKUP($D172,bug_conf_sheet!$A:$H,5,FALSE),VLOOKUP("other",bug_conf_sheet!$A:$H,5,FALSE))</f>
        <v>0</v>
      </c>
      <c r="Q172" s="31">
        <f>IFERROR(VLOOKUP($D172,bug_conf_sheet!$A:$H,6,FALSE),VLOOKUP("other",bug_conf_sheet!$A:$H,6,FALSE))</f>
        <v>0</v>
      </c>
      <c r="R172" s="31">
        <f>IFERROR(VLOOKUP($D172,bug_conf_sheet!$A:$H,7,FALSE),VLOOKUP("other",bug_conf_sheet!$A:$H,7,FALSE))</f>
        <v>0</v>
      </c>
      <c r="S172" s="31">
        <f>IFERROR(VLOOKUP($D172,bug_conf_sheet!$A:$H,8,FALSE),VLOOKUP("other",bug_conf_sheet!$A:$H,8,FALSE))</f>
        <v>1</v>
      </c>
    </row>
    <row r="173" spans="1:19" ht="21" hidden="1" customHeight="1">
      <c r="A173" s="2">
        <f>input_1!A$2</f>
        <v>3121</v>
      </c>
      <c r="B173" s="7" t="str">
        <f t="shared" si="7"/>
        <v>Premium5</v>
      </c>
      <c r="C173" s="7" t="str">
        <f t="shared" si="8"/>
        <v>Premium</v>
      </c>
      <c r="D173" s="6">
        <v>407</v>
      </c>
      <c r="E173" s="7" t="str">
        <f>VLOOKUP(D173,[1]characters!$A:$C,3,FALSE)</f>
        <v>蠱惑の飛刀 エキドナ</v>
      </c>
      <c r="F173" s="7" t="str">
        <f>VLOOKUP(D173,[1]characters!$A:$J,10,FALSE)</f>
        <v>PremiumS</v>
      </c>
      <c r="G173" s="7">
        <f>VLOOKUP(D173,[1]characters!$A:$I,9,FALSE)</f>
        <v>5</v>
      </c>
      <c r="H173" s="7" t="str">
        <f>VLOOKUP(D173,[1]characters!$A:$H,8,FALSE)</f>
        <v>blue</v>
      </c>
      <c r="I173" s="7" t="str">
        <f>VLOOKUP(D173,[1]characters!$A:$K,11,FALSE)</f>
        <v>technical</v>
      </c>
      <c r="J173" s="7" t="str">
        <f>VLOOKUP(D173,[1]characters!$A:$M,13,FALSE)</f>
        <v>animal</v>
      </c>
      <c r="K173" s="7" t="str">
        <f>VLOOKUP(D173,[1]characters!$A:$G,7,FALSE)</f>
        <v>女性</v>
      </c>
      <c r="L173" s="66">
        <f>IFERROR(VLOOKUP(D173,input_1!L:R,7,FALSE),VLOOKUP(tables_1!B173,input_1!A:H,8,FALSE))</f>
        <v>23569</v>
      </c>
      <c r="M173" s="67">
        <f t="shared" si="6"/>
        <v>9.0740740740740745E-4</v>
      </c>
      <c r="N173" s="31">
        <f>IFERROR(VLOOKUP($D173,bug_conf_sheet!$A:$H,3,FALSE),VLOOKUP("other",bug_conf_sheet!$A:$H,3,FALSE))</f>
        <v>1</v>
      </c>
      <c r="O173" s="31">
        <f>IFERROR(VLOOKUP($D173,bug_conf_sheet!$A:$H,4,FALSE),VLOOKUP("other",bug_conf_sheet!$A:$H,4,FALSE))</f>
        <v>0</v>
      </c>
      <c r="P173" s="31">
        <f>IFERROR(VLOOKUP($D173,bug_conf_sheet!$A:$H,5,FALSE),VLOOKUP("other",bug_conf_sheet!$A:$H,5,FALSE))</f>
        <v>0</v>
      </c>
      <c r="Q173" s="31">
        <f>IFERROR(VLOOKUP($D173,bug_conf_sheet!$A:$H,6,FALSE),VLOOKUP("other",bug_conf_sheet!$A:$H,6,FALSE))</f>
        <v>0</v>
      </c>
      <c r="R173" s="31">
        <f>IFERROR(VLOOKUP($D173,bug_conf_sheet!$A:$H,7,FALSE),VLOOKUP("other",bug_conf_sheet!$A:$H,7,FALSE))</f>
        <v>0</v>
      </c>
      <c r="S173" s="31">
        <f>IFERROR(VLOOKUP($D173,bug_conf_sheet!$A:$H,8,FALSE),VLOOKUP("other",bug_conf_sheet!$A:$H,8,FALSE))</f>
        <v>1</v>
      </c>
    </row>
    <row r="174" spans="1:19" ht="21" hidden="1" customHeight="1">
      <c r="A174" s="2">
        <f>input_1!A$2</f>
        <v>3121</v>
      </c>
      <c r="B174" s="7" t="str">
        <f t="shared" si="7"/>
        <v>PremiumSS4</v>
      </c>
      <c r="C174" s="7" t="str">
        <f t="shared" si="8"/>
        <v>PremiumSS</v>
      </c>
      <c r="D174" s="6">
        <v>408</v>
      </c>
      <c r="E174" s="7" t="str">
        <f>VLOOKUP(D174,[1]characters!$A:$C,3,FALSE)</f>
        <v>皇魔 アスタロト</v>
      </c>
      <c r="F174" s="7" t="str">
        <f>VLOOKUP(D174,[1]characters!$A:$J,10,FALSE)</f>
        <v>PremiumSS</v>
      </c>
      <c r="G174" s="7">
        <f>VLOOKUP(D174,[1]characters!$A:$I,9,FALSE)</f>
        <v>4</v>
      </c>
      <c r="H174" s="7" t="str">
        <f>VLOOKUP(D174,[1]characters!$A:$H,8,FALSE)</f>
        <v>yellow</v>
      </c>
      <c r="I174" s="7" t="str">
        <f>VLOOKUP(D174,[1]characters!$A:$K,11,FALSE)</f>
        <v>attack</v>
      </c>
      <c r="J174" s="7" t="str">
        <f>VLOOKUP(D174,[1]characters!$A:$M,13,FALSE)</f>
        <v>god</v>
      </c>
      <c r="K174" s="7" t="str">
        <f>VLOOKUP(D174,[1]characters!$A:$G,7,FALSE)</f>
        <v>男性</v>
      </c>
      <c r="L174" s="66">
        <f>IFERROR(VLOOKUP(D174,input_1!L:R,7,FALSE),VLOOKUP(tables_1!B174,input_1!A:H,8,FALSE))</f>
        <v>8991</v>
      </c>
      <c r="M174" s="67">
        <f t="shared" si="6"/>
        <v>3.4615384615384613E-4</v>
      </c>
      <c r="N174" s="31">
        <f>IFERROR(VLOOKUP($D174,bug_conf_sheet!$A:$H,3,FALSE),VLOOKUP("other",bug_conf_sheet!$A:$H,3,FALSE))</f>
        <v>1</v>
      </c>
      <c r="O174" s="31">
        <f>IFERROR(VLOOKUP($D174,bug_conf_sheet!$A:$H,4,FALSE),VLOOKUP("other",bug_conf_sheet!$A:$H,4,FALSE))</f>
        <v>0</v>
      </c>
      <c r="P174" s="31">
        <f>IFERROR(VLOOKUP($D174,bug_conf_sheet!$A:$H,5,FALSE),VLOOKUP("other",bug_conf_sheet!$A:$H,5,FALSE))</f>
        <v>0</v>
      </c>
      <c r="Q174" s="31">
        <f>IFERROR(VLOOKUP($D174,bug_conf_sheet!$A:$H,6,FALSE),VLOOKUP("other",bug_conf_sheet!$A:$H,6,FALSE))</f>
        <v>0</v>
      </c>
      <c r="R174" s="31">
        <f>IFERROR(VLOOKUP($D174,bug_conf_sheet!$A:$H,7,FALSE),VLOOKUP("other",bug_conf_sheet!$A:$H,7,FALSE))</f>
        <v>0</v>
      </c>
      <c r="S174" s="31">
        <f>IFERROR(VLOOKUP($D174,bug_conf_sheet!$A:$H,8,FALSE),VLOOKUP("other",bug_conf_sheet!$A:$H,8,FALSE))</f>
        <v>1</v>
      </c>
    </row>
    <row r="175" spans="1:19" ht="21" customHeight="1">
      <c r="A175" s="2">
        <f>input_1!A$2</f>
        <v>3121</v>
      </c>
      <c r="B175" s="7" t="str">
        <f t="shared" si="7"/>
        <v>PremiumSS5</v>
      </c>
      <c r="C175" s="7" t="str">
        <f t="shared" si="8"/>
        <v>PremiumSS</v>
      </c>
      <c r="D175" s="6">
        <v>409</v>
      </c>
      <c r="E175" s="7" t="str">
        <f>VLOOKUP(D175,[1]characters!$A:$C,3,FALSE)</f>
        <v>天眼の皇貴魔 アスタロト</v>
      </c>
      <c r="F175" s="7" t="str">
        <f>VLOOKUP(D175,[1]characters!$A:$J,10,FALSE)</f>
        <v>PremiumSS</v>
      </c>
      <c r="G175" s="7">
        <f>VLOOKUP(D175,[1]characters!$A:$I,9,FALSE)</f>
        <v>5</v>
      </c>
      <c r="H175" s="7" t="str">
        <f>VLOOKUP(D175,[1]characters!$A:$H,8,FALSE)</f>
        <v>yellow</v>
      </c>
      <c r="I175" s="7" t="str">
        <f>VLOOKUP(D175,[1]characters!$A:$K,11,FALSE)</f>
        <v>attack</v>
      </c>
      <c r="J175" s="7" t="str">
        <f>VLOOKUP(D175,[1]characters!$A:$M,13,FALSE)</f>
        <v>god</v>
      </c>
      <c r="K175" s="7" t="str">
        <f>VLOOKUP(D175,[1]characters!$A:$G,7,FALSE)</f>
        <v>男性</v>
      </c>
      <c r="L175" s="66">
        <f>IFERROR(VLOOKUP(D175,input_1!L:R,7,FALSE),VLOOKUP(tables_1!B175,input_1!A:H,8,FALSE))</f>
        <v>999</v>
      </c>
      <c r="M175" s="67">
        <f t="shared" si="6"/>
        <v>3.8461538461538463E-5</v>
      </c>
      <c r="N175" s="31">
        <f>IFERROR(VLOOKUP($D175,bug_conf_sheet!$A:$H,3,FALSE),VLOOKUP("other",bug_conf_sheet!$A:$H,3,FALSE))</f>
        <v>1</v>
      </c>
      <c r="O175" s="31">
        <f>IFERROR(VLOOKUP($D175,bug_conf_sheet!$A:$H,4,FALSE),VLOOKUP("other",bug_conf_sheet!$A:$H,4,FALSE))</f>
        <v>0</v>
      </c>
      <c r="P175" s="31">
        <f>IFERROR(VLOOKUP($D175,bug_conf_sheet!$A:$H,5,FALSE),VLOOKUP("other",bug_conf_sheet!$A:$H,5,FALSE))</f>
        <v>0</v>
      </c>
      <c r="Q175" s="31">
        <f>IFERROR(VLOOKUP($D175,bug_conf_sheet!$A:$H,6,FALSE),VLOOKUP("other",bug_conf_sheet!$A:$H,6,FALSE))</f>
        <v>0</v>
      </c>
      <c r="R175" s="31">
        <f>IFERROR(VLOOKUP($D175,bug_conf_sheet!$A:$H,7,FALSE),VLOOKUP("other",bug_conf_sheet!$A:$H,7,FALSE))</f>
        <v>0</v>
      </c>
      <c r="S175" s="31">
        <f>IFERROR(VLOOKUP($D175,bug_conf_sheet!$A:$H,8,FALSE),VLOOKUP("other",bug_conf_sheet!$A:$H,8,FALSE))</f>
        <v>1</v>
      </c>
    </row>
    <row r="176" spans="1:19" ht="21" hidden="1" customHeight="1">
      <c r="A176" s="2">
        <f>input_1!A$2</f>
        <v>3121</v>
      </c>
      <c r="B176" s="7" t="str">
        <f t="shared" si="7"/>
        <v>PremiumSS4</v>
      </c>
      <c r="C176" s="7" t="str">
        <f t="shared" si="8"/>
        <v>PremiumSS</v>
      </c>
      <c r="D176" s="6">
        <v>434</v>
      </c>
      <c r="E176" s="7" t="str">
        <f>VLOOKUP(D176,[1]characters!$A:$C,3,FALSE)</f>
        <v>D.R.T.H.</v>
      </c>
      <c r="F176" s="7" t="str">
        <f>VLOOKUP(D176,[1]characters!$A:$J,10,FALSE)</f>
        <v>PremiumSS</v>
      </c>
      <c r="G176" s="7">
        <f>VLOOKUP(D176,[1]characters!$A:$I,9,FALSE)</f>
        <v>4</v>
      </c>
      <c r="H176" s="7" t="str">
        <f>VLOOKUP(D176,[1]characters!$A:$H,8,FALSE)</f>
        <v>red</v>
      </c>
      <c r="I176" s="7" t="str">
        <f>VLOOKUP(D176,[1]characters!$A:$K,11,FALSE)</f>
        <v>balance</v>
      </c>
      <c r="J176" s="7" t="str">
        <f>VLOOKUP(D176,[1]characters!$A:$M,13,FALSE)</f>
        <v>human</v>
      </c>
      <c r="K176" s="7" t="str">
        <f>VLOOKUP(D176,[1]characters!$A:$G,7,FALSE)</f>
        <v>女性</v>
      </c>
      <c r="L176" s="66">
        <f>IFERROR(VLOOKUP(D176,input_1!L:R,7,FALSE),VLOOKUP(tables_1!B176,input_1!A:H,8,FALSE))</f>
        <v>8991</v>
      </c>
      <c r="M176" s="67">
        <f t="shared" si="6"/>
        <v>3.4615384615384613E-4</v>
      </c>
      <c r="N176" s="31">
        <f>IFERROR(VLOOKUP($D176,bug_conf_sheet!$A:$H,3,FALSE),VLOOKUP("other",bug_conf_sheet!$A:$H,3,FALSE))</f>
        <v>1</v>
      </c>
      <c r="O176" s="31">
        <f>IFERROR(VLOOKUP($D176,bug_conf_sheet!$A:$H,4,FALSE),VLOOKUP("other",bug_conf_sheet!$A:$H,4,FALSE))</f>
        <v>0</v>
      </c>
      <c r="P176" s="31">
        <f>IFERROR(VLOOKUP($D176,bug_conf_sheet!$A:$H,5,FALSE),VLOOKUP("other",bug_conf_sheet!$A:$H,5,FALSE))</f>
        <v>0</v>
      </c>
      <c r="Q176" s="31">
        <f>IFERROR(VLOOKUP($D176,bug_conf_sheet!$A:$H,6,FALSE),VLOOKUP("other",bug_conf_sheet!$A:$H,6,FALSE))</f>
        <v>0</v>
      </c>
      <c r="R176" s="31">
        <f>IFERROR(VLOOKUP($D176,bug_conf_sheet!$A:$H,7,FALSE),VLOOKUP("other",bug_conf_sheet!$A:$H,7,FALSE))</f>
        <v>0</v>
      </c>
      <c r="S176" s="31">
        <f>IFERROR(VLOOKUP($D176,bug_conf_sheet!$A:$H,8,FALSE),VLOOKUP("other",bug_conf_sheet!$A:$H,8,FALSE))</f>
        <v>1</v>
      </c>
    </row>
    <row r="177" spans="1:19" ht="21" customHeight="1">
      <c r="A177" s="2">
        <f>input_1!A$2</f>
        <v>3121</v>
      </c>
      <c r="B177" s="7" t="str">
        <f t="shared" si="7"/>
        <v>PremiumSS5</v>
      </c>
      <c r="C177" s="7" t="str">
        <f t="shared" si="8"/>
        <v>PremiumSS</v>
      </c>
      <c r="D177" s="6">
        <v>435</v>
      </c>
      <c r="E177" s="7" t="str">
        <f>VLOOKUP(D177,[1]characters!$A:$C,3,FALSE)</f>
        <v>曝弾の密偵 D.R.T.H.</v>
      </c>
      <c r="F177" s="7" t="str">
        <f>VLOOKUP(D177,[1]characters!$A:$J,10,FALSE)</f>
        <v>PremiumSS</v>
      </c>
      <c r="G177" s="7">
        <f>VLOOKUP(D177,[1]characters!$A:$I,9,FALSE)</f>
        <v>5</v>
      </c>
      <c r="H177" s="7" t="str">
        <f>VLOOKUP(D177,[1]characters!$A:$H,8,FALSE)</f>
        <v>red</v>
      </c>
      <c r="I177" s="7" t="str">
        <f>VLOOKUP(D177,[1]characters!$A:$K,11,FALSE)</f>
        <v>balance</v>
      </c>
      <c r="J177" s="7" t="str">
        <f>VLOOKUP(D177,[1]characters!$A:$M,13,FALSE)</f>
        <v>human</v>
      </c>
      <c r="K177" s="7" t="str">
        <f>VLOOKUP(D177,[1]characters!$A:$G,7,FALSE)</f>
        <v>女性</v>
      </c>
      <c r="L177" s="66">
        <f>IFERROR(VLOOKUP(D177,input_1!L:R,7,FALSE),VLOOKUP(tables_1!B177,input_1!A:H,8,FALSE))</f>
        <v>999</v>
      </c>
      <c r="M177" s="67">
        <f t="shared" si="6"/>
        <v>3.8461538461538463E-5</v>
      </c>
      <c r="N177" s="31">
        <f>IFERROR(VLOOKUP($D177,bug_conf_sheet!$A:$H,3,FALSE),VLOOKUP("other",bug_conf_sheet!$A:$H,3,FALSE))</f>
        <v>1</v>
      </c>
      <c r="O177" s="31">
        <f>IFERROR(VLOOKUP($D177,bug_conf_sheet!$A:$H,4,FALSE),VLOOKUP("other",bug_conf_sheet!$A:$H,4,FALSE))</f>
        <v>0</v>
      </c>
      <c r="P177" s="31">
        <f>IFERROR(VLOOKUP($D177,bug_conf_sheet!$A:$H,5,FALSE),VLOOKUP("other",bug_conf_sheet!$A:$H,5,FALSE))</f>
        <v>0</v>
      </c>
      <c r="Q177" s="31">
        <f>IFERROR(VLOOKUP($D177,bug_conf_sheet!$A:$H,6,FALSE),VLOOKUP("other",bug_conf_sheet!$A:$H,6,FALSE))</f>
        <v>0</v>
      </c>
      <c r="R177" s="31">
        <f>IFERROR(VLOOKUP($D177,bug_conf_sheet!$A:$H,7,FALSE),VLOOKUP("other",bug_conf_sheet!$A:$H,7,FALSE))</f>
        <v>0</v>
      </c>
      <c r="S177" s="31">
        <f>IFERROR(VLOOKUP($D177,bug_conf_sheet!$A:$H,8,FALSE),VLOOKUP("other",bug_conf_sheet!$A:$H,8,FALSE))</f>
        <v>1</v>
      </c>
    </row>
    <row r="178" spans="1:19" ht="21" hidden="1" customHeight="1">
      <c r="A178" s="2">
        <f>input_1!A$2</f>
        <v>3121</v>
      </c>
      <c r="B178" s="7" t="str">
        <f t="shared" si="7"/>
        <v>Premium3</v>
      </c>
      <c r="C178" s="7" t="str">
        <f t="shared" si="8"/>
        <v>Premium</v>
      </c>
      <c r="D178" s="6">
        <v>436</v>
      </c>
      <c r="E178" s="7" t="str">
        <f>VLOOKUP(D178,[1]characters!$A:$C,3,FALSE)</f>
        <v>カカシ</v>
      </c>
      <c r="F178" s="7" t="str">
        <f>VLOOKUP(D178,[1]characters!$A:$J,10,FALSE)</f>
        <v>PremiumS</v>
      </c>
      <c r="G178" s="7">
        <f>VLOOKUP(D178,[1]characters!$A:$I,9,FALSE)</f>
        <v>3</v>
      </c>
      <c r="H178" s="7" t="str">
        <f>VLOOKUP(D178,[1]characters!$A:$H,8,FALSE)</f>
        <v>green</v>
      </c>
      <c r="I178" s="7" t="str">
        <f>VLOOKUP(D178,[1]characters!$A:$K,11,FALSE)</f>
        <v>technical</v>
      </c>
      <c r="J178" s="7" t="str">
        <f>VLOOKUP(D178,[1]characters!$A:$M,13,FALSE)</f>
        <v>human</v>
      </c>
      <c r="K178" s="7" t="str">
        <f>VLOOKUP(D178,[1]characters!$A:$G,7,FALSE)</f>
        <v>男性</v>
      </c>
      <c r="L178" s="66">
        <f>IFERROR(VLOOKUP(D178,input_1!L:R,7,FALSE),VLOOKUP(tables_1!B178,input_1!A:H,8,FALSE))</f>
        <v>175500</v>
      </c>
      <c r="M178" s="67">
        <f t="shared" si="6"/>
        <v>6.7567567567567571E-3</v>
      </c>
      <c r="N178" s="31">
        <f>IFERROR(VLOOKUP($D178,bug_conf_sheet!$A:$H,3,FALSE),VLOOKUP("other",bug_conf_sheet!$A:$H,3,FALSE))</f>
        <v>1</v>
      </c>
      <c r="O178" s="31">
        <f>IFERROR(VLOOKUP($D178,bug_conf_sheet!$A:$H,4,FALSE),VLOOKUP("other",bug_conf_sheet!$A:$H,4,FALSE))</f>
        <v>0</v>
      </c>
      <c r="P178" s="31">
        <f>IFERROR(VLOOKUP($D178,bug_conf_sheet!$A:$H,5,FALSE),VLOOKUP("other",bug_conf_sheet!$A:$H,5,FALSE))</f>
        <v>0</v>
      </c>
      <c r="Q178" s="31">
        <f>IFERROR(VLOOKUP($D178,bug_conf_sheet!$A:$H,6,FALSE),VLOOKUP("other",bug_conf_sheet!$A:$H,6,FALSE))</f>
        <v>0</v>
      </c>
      <c r="R178" s="31">
        <f>IFERROR(VLOOKUP($D178,bug_conf_sheet!$A:$H,7,FALSE),VLOOKUP("other",bug_conf_sheet!$A:$H,7,FALSE))</f>
        <v>0</v>
      </c>
      <c r="S178" s="31">
        <f>IFERROR(VLOOKUP($D178,bug_conf_sheet!$A:$H,8,FALSE),VLOOKUP("other",bug_conf_sheet!$A:$H,8,FALSE))</f>
        <v>1</v>
      </c>
    </row>
    <row r="179" spans="1:19" ht="21" hidden="1" customHeight="1">
      <c r="A179" s="2">
        <f>input_1!A$2</f>
        <v>3121</v>
      </c>
      <c r="B179" s="7" t="str">
        <f t="shared" si="7"/>
        <v>Premium4</v>
      </c>
      <c r="C179" s="7" t="str">
        <f t="shared" si="8"/>
        <v>Premium</v>
      </c>
      <c r="D179" s="6">
        <v>437</v>
      </c>
      <c r="E179" s="7" t="str">
        <f>VLOOKUP(D179,[1]characters!$A:$C,3,FALSE)</f>
        <v>忘却者 カカシ</v>
      </c>
      <c r="F179" s="7" t="str">
        <f>VLOOKUP(D179,[1]characters!$A:$J,10,FALSE)</f>
        <v>PremiumS</v>
      </c>
      <c r="G179" s="7">
        <f>VLOOKUP(D179,[1]characters!$A:$I,9,FALSE)</f>
        <v>4</v>
      </c>
      <c r="H179" s="7" t="str">
        <f>VLOOKUP(D179,[1]characters!$A:$H,8,FALSE)</f>
        <v>green</v>
      </c>
      <c r="I179" s="7" t="str">
        <f>VLOOKUP(D179,[1]characters!$A:$K,11,FALSE)</f>
        <v>technical</v>
      </c>
      <c r="J179" s="7" t="str">
        <f>VLOOKUP(D179,[1]characters!$A:$M,13,FALSE)</f>
        <v>human</v>
      </c>
      <c r="K179" s="7" t="str">
        <f>VLOOKUP(D179,[1]characters!$A:$G,7,FALSE)</f>
        <v>男性</v>
      </c>
      <c r="L179" s="66">
        <f>IFERROR(VLOOKUP(D179,input_1!L:R,7,FALSE),VLOOKUP(tables_1!B179,input_1!A:H,8,FALSE))</f>
        <v>154791</v>
      </c>
      <c r="M179" s="67">
        <f t="shared" si="6"/>
        <v>5.9594594594594595E-3</v>
      </c>
      <c r="N179" s="31">
        <f>IFERROR(VLOOKUP($D179,bug_conf_sheet!$A:$H,3,FALSE),VLOOKUP("other",bug_conf_sheet!$A:$H,3,FALSE))</f>
        <v>1</v>
      </c>
      <c r="O179" s="31">
        <f>IFERROR(VLOOKUP($D179,bug_conf_sheet!$A:$H,4,FALSE),VLOOKUP("other",bug_conf_sheet!$A:$H,4,FALSE))</f>
        <v>0</v>
      </c>
      <c r="P179" s="31">
        <f>IFERROR(VLOOKUP($D179,bug_conf_sheet!$A:$H,5,FALSE),VLOOKUP("other",bug_conf_sheet!$A:$H,5,FALSE))</f>
        <v>0</v>
      </c>
      <c r="Q179" s="31">
        <f>IFERROR(VLOOKUP($D179,bug_conf_sheet!$A:$H,6,FALSE),VLOOKUP("other",bug_conf_sheet!$A:$H,6,FALSE))</f>
        <v>0</v>
      </c>
      <c r="R179" s="31">
        <f>IFERROR(VLOOKUP($D179,bug_conf_sheet!$A:$H,7,FALSE),VLOOKUP("other",bug_conf_sheet!$A:$H,7,FALSE))</f>
        <v>0</v>
      </c>
      <c r="S179" s="31">
        <f>IFERROR(VLOOKUP($D179,bug_conf_sheet!$A:$H,8,FALSE),VLOOKUP("other",bug_conf_sheet!$A:$H,8,FALSE))</f>
        <v>1</v>
      </c>
    </row>
    <row r="180" spans="1:19" ht="21" hidden="1" customHeight="1">
      <c r="A180" s="2">
        <f>input_1!A$2</f>
        <v>3121</v>
      </c>
      <c r="B180" s="7" t="str">
        <f t="shared" si="7"/>
        <v>Premium5</v>
      </c>
      <c r="C180" s="7" t="str">
        <f t="shared" si="8"/>
        <v>Premium</v>
      </c>
      <c r="D180" s="6">
        <v>438</v>
      </c>
      <c r="E180" s="7" t="str">
        <f>VLOOKUP(D180,[1]characters!$A:$C,3,FALSE)</f>
        <v>記憶の奪還 カカシ</v>
      </c>
      <c r="F180" s="7" t="str">
        <f>VLOOKUP(D180,[1]characters!$A:$J,10,FALSE)</f>
        <v>PremiumS</v>
      </c>
      <c r="G180" s="7">
        <f>VLOOKUP(D180,[1]characters!$A:$I,9,FALSE)</f>
        <v>5</v>
      </c>
      <c r="H180" s="7" t="str">
        <f>VLOOKUP(D180,[1]characters!$A:$H,8,FALSE)</f>
        <v>green</v>
      </c>
      <c r="I180" s="7" t="str">
        <f>VLOOKUP(D180,[1]characters!$A:$K,11,FALSE)</f>
        <v>technical</v>
      </c>
      <c r="J180" s="7" t="str">
        <f>VLOOKUP(D180,[1]characters!$A:$M,13,FALSE)</f>
        <v>human</v>
      </c>
      <c r="K180" s="7" t="str">
        <f>VLOOKUP(D180,[1]characters!$A:$G,7,FALSE)</f>
        <v>男性</v>
      </c>
      <c r="L180" s="66">
        <f>IFERROR(VLOOKUP(D180,input_1!L:R,7,FALSE),VLOOKUP(tables_1!B180,input_1!A:H,8,FALSE))</f>
        <v>23569</v>
      </c>
      <c r="M180" s="67">
        <f t="shared" si="6"/>
        <v>9.0740740740740745E-4</v>
      </c>
      <c r="N180" s="31">
        <f>IFERROR(VLOOKUP($D180,bug_conf_sheet!$A:$H,3,FALSE),VLOOKUP("other",bug_conf_sheet!$A:$H,3,FALSE))</f>
        <v>1</v>
      </c>
      <c r="O180" s="31">
        <f>IFERROR(VLOOKUP($D180,bug_conf_sheet!$A:$H,4,FALSE),VLOOKUP("other",bug_conf_sheet!$A:$H,4,FALSE))</f>
        <v>0</v>
      </c>
      <c r="P180" s="31">
        <f>IFERROR(VLOOKUP($D180,bug_conf_sheet!$A:$H,5,FALSE),VLOOKUP("other",bug_conf_sheet!$A:$H,5,FALSE))</f>
        <v>0</v>
      </c>
      <c r="Q180" s="31">
        <f>IFERROR(VLOOKUP($D180,bug_conf_sheet!$A:$H,6,FALSE),VLOOKUP("other",bug_conf_sheet!$A:$H,6,FALSE))</f>
        <v>0</v>
      </c>
      <c r="R180" s="31">
        <f>IFERROR(VLOOKUP($D180,bug_conf_sheet!$A:$H,7,FALSE),VLOOKUP("other",bug_conf_sheet!$A:$H,7,FALSE))</f>
        <v>0</v>
      </c>
      <c r="S180" s="31">
        <f>IFERROR(VLOOKUP($D180,bug_conf_sheet!$A:$H,8,FALSE),VLOOKUP("other",bug_conf_sheet!$A:$H,8,FALSE))</f>
        <v>1</v>
      </c>
    </row>
    <row r="181" spans="1:19" ht="21" hidden="1" customHeight="1">
      <c r="A181" s="2">
        <f>input_1!A$2</f>
        <v>3121</v>
      </c>
      <c r="B181" s="7" t="str">
        <f t="shared" si="7"/>
        <v>Premium3</v>
      </c>
      <c r="C181" s="7" t="str">
        <f t="shared" si="8"/>
        <v>Premium</v>
      </c>
      <c r="D181" s="6">
        <v>439</v>
      </c>
      <c r="E181" s="7" t="str">
        <f>VLOOKUP(D181,[1]characters!$A:$C,3,FALSE)</f>
        <v>ブリキロガー</v>
      </c>
      <c r="F181" s="7" t="str">
        <f>VLOOKUP(D181,[1]characters!$A:$J,10,FALSE)</f>
        <v>PremiumS</v>
      </c>
      <c r="G181" s="7">
        <f>VLOOKUP(D181,[1]characters!$A:$I,9,FALSE)</f>
        <v>3</v>
      </c>
      <c r="H181" s="7" t="str">
        <f>VLOOKUP(D181,[1]characters!$A:$H,8,FALSE)</f>
        <v>blue</v>
      </c>
      <c r="I181" s="7" t="str">
        <f>VLOOKUP(D181,[1]characters!$A:$K,11,FALSE)</f>
        <v>attack</v>
      </c>
      <c r="J181" s="7" t="str">
        <f>VLOOKUP(D181,[1]characters!$A:$M,13,FALSE)</f>
        <v>machine</v>
      </c>
      <c r="K181" s="7" t="str">
        <f>VLOOKUP(D181,[1]characters!$A:$G,7,FALSE)</f>
        <v>不明</v>
      </c>
      <c r="L181" s="66">
        <f>IFERROR(VLOOKUP(D181,input_1!L:R,7,FALSE),VLOOKUP(tables_1!B181,input_1!A:H,8,FALSE))</f>
        <v>175500</v>
      </c>
      <c r="M181" s="67">
        <f t="shared" si="6"/>
        <v>6.7567567567567571E-3</v>
      </c>
      <c r="N181" s="31">
        <f>IFERROR(VLOOKUP($D181,bug_conf_sheet!$A:$H,3,FALSE),VLOOKUP("other",bug_conf_sheet!$A:$H,3,FALSE))</f>
        <v>1</v>
      </c>
      <c r="O181" s="31">
        <f>IFERROR(VLOOKUP($D181,bug_conf_sheet!$A:$H,4,FALSE),VLOOKUP("other",bug_conf_sheet!$A:$H,4,FALSE))</f>
        <v>0</v>
      </c>
      <c r="P181" s="31">
        <f>IFERROR(VLOOKUP($D181,bug_conf_sheet!$A:$H,5,FALSE),VLOOKUP("other",bug_conf_sheet!$A:$H,5,FALSE))</f>
        <v>0</v>
      </c>
      <c r="Q181" s="31">
        <f>IFERROR(VLOOKUP($D181,bug_conf_sheet!$A:$H,6,FALSE),VLOOKUP("other",bug_conf_sheet!$A:$H,6,FALSE))</f>
        <v>0</v>
      </c>
      <c r="R181" s="31">
        <f>IFERROR(VLOOKUP($D181,bug_conf_sheet!$A:$H,7,FALSE),VLOOKUP("other",bug_conf_sheet!$A:$H,7,FALSE))</f>
        <v>0</v>
      </c>
      <c r="S181" s="31">
        <f>IFERROR(VLOOKUP($D181,bug_conf_sheet!$A:$H,8,FALSE),VLOOKUP("other",bug_conf_sheet!$A:$H,8,FALSE))</f>
        <v>1</v>
      </c>
    </row>
    <row r="182" spans="1:19" ht="21" hidden="1" customHeight="1">
      <c r="A182" s="2">
        <f>input_1!A$2</f>
        <v>3121</v>
      </c>
      <c r="B182" s="7" t="str">
        <f t="shared" si="7"/>
        <v>Premium4</v>
      </c>
      <c r="C182" s="7" t="str">
        <f t="shared" si="8"/>
        <v>Premium</v>
      </c>
      <c r="D182" s="6">
        <v>440</v>
      </c>
      <c r="E182" s="7" t="str">
        <f>VLOOKUP(D182,[1]characters!$A:$C,3,FALSE)</f>
        <v>改良型 ブリキロガー</v>
      </c>
      <c r="F182" s="7" t="str">
        <f>VLOOKUP(D182,[1]characters!$A:$J,10,FALSE)</f>
        <v>PremiumS</v>
      </c>
      <c r="G182" s="7">
        <f>VLOOKUP(D182,[1]characters!$A:$I,9,FALSE)</f>
        <v>4</v>
      </c>
      <c r="H182" s="7" t="str">
        <f>VLOOKUP(D182,[1]characters!$A:$H,8,FALSE)</f>
        <v>blue</v>
      </c>
      <c r="I182" s="7" t="str">
        <f>VLOOKUP(D182,[1]characters!$A:$K,11,FALSE)</f>
        <v>attack</v>
      </c>
      <c r="J182" s="7" t="str">
        <f>VLOOKUP(D182,[1]characters!$A:$M,13,FALSE)</f>
        <v>machine</v>
      </c>
      <c r="K182" s="7" t="str">
        <f>VLOOKUP(D182,[1]characters!$A:$G,7,FALSE)</f>
        <v>不明</v>
      </c>
      <c r="L182" s="66">
        <f>IFERROR(VLOOKUP(D182,input_1!L:R,7,FALSE),VLOOKUP(tables_1!B182,input_1!A:H,8,FALSE))</f>
        <v>154791</v>
      </c>
      <c r="M182" s="67">
        <f t="shared" si="6"/>
        <v>5.9594594594594595E-3</v>
      </c>
      <c r="N182" s="31">
        <f>IFERROR(VLOOKUP($D182,bug_conf_sheet!$A:$H,3,FALSE),VLOOKUP("other",bug_conf_sheet!$A:$H,3,FALSE))</f>
        <v>1</v>
      </c>
      <c r="O182" s="31">
        <f>IFERROR(VLOOKUP($D182,bug_conf_sheet!$A:$H,4,FALSE),VLOOKUP("other",bug_conf_sheet!$A:$H,4,FALSE))</f>
        <v>0</v>
      </c>
      <c r="P182" s="31">
        <f>IFERROR(VLOOKUP($D182,bug_conf_sheet!$A:$H,5,FALSE),VLOOKUP("other",bug_conf_sheet!$A:$H,5,FALSE))</f>
        <v>0</v>
      </c>
      <c r="Q182" s="31">
        <f>IFERROR(VLOOKUP($D182,bug_conf_sheet!$A:$H,6,FALSE),VLOOKUP("other",bug_conf_sheet!$A:$H,6,FALSE))</f>
        <v>0</v>
      </c>
      <c r="R182" s="31">
        <f>IFERROR(VLOOKUP($D182,bug_conf_sheet!$A:$H,7,FALSE),VLOOKUP("other",bug_conf_sheet!$A:$H,7,FALSE))</f>
        <v>0</v>
      </c>
      <c r="S182" s="31">
        <f>IFERROR(VLOOKUP($D182,bug_conf_sheet!$A:$H,8,FALSE),VLOOKUP("other",bug_conf_sheet!$A:$H,8,FALSE))</f>
        <v>1</v>
      </c>
    </row>
    <row r="183" spans="1:19" ht="21" hidden="1" customHeight="1">
      <c r="A183" s="2">
        <f>input_1!A$2</f>
        <v>3121</v>
      </c>
      <c r="B183" s="7" t="str">
        <f t="shared" si="7"/>
        <v>Premium5</v>
      </c>
      <c r="C183" s="7" t="str">
        <f t="shared" si="8"/>
        <v>Premium</v>
      </c>
      <c r="D183" s="6">
        <v>441</v>
      </c>
      <c r="E183" s="7" t="str">
        <f>VLOOKUP(D183,[1]characters!$A:$C,3,FALSE)</f>
        <v>求心の錻装 ブリキロガー</v>
      </c>
      <c r="F183" s="7" t="str">
        <f>VLOOKUP(D183,[1]characters!$A:$J,10,FALSE)</f>
        <v>PremiumS</v>
      </c>
      <c r="G183" s="7">
        <f>VLOOKUP(D183,[1]characters!$A:$I,9,FALSE)</f>
        <v>5</v>
      </c>
      <c r="H183" s="7" t="str">
        <f>VLOOKUP(D183,[1]characters!$A:$H,8,FALSE)</f>
        <v>blue</v>
      </c>
      <c r="I183" s="7" t="str">
        <f>VLOOKUP(D183,[1]characters!$A:$K,11,FALSE)</f>
        <v>attack</v>
      </c>
      <c r="J183" s="7" t="str">
        <f>VLOOKUP(D183,[1]characters!$A:$M,13,FALSE)</f>
        <v>machine</v>
      </c>
      <c r="K183" s="7" t="str">
        <f>VLOOKUP(D183,[1]characters!$A:$G,7,FALSE)</f>
        <v>不明</v>
      </c>
      <c r="L183" s="66">
        <f>IFERROR(VLOOKUP(D183,input_1!L:R,7,FALSE),VLOOKUP(tables_1!B183,input_1!A:H,8,FALSE))</f>
        <v>23569</v>
      </c>
      <c r="M183" s="67">
        <f t="shared" si="6"/>
        <v>9.0740740740740745E-4</v>
      </c>
      <c r="N183" s="31">
        <f>IFERROR(VLOOKUP($D183,bug_conf_sheet!$A:$H,3,FALSE),VLOOKUP("other",bug_conf_sheet!$A:$H,3,FALSE))</f>
        <v>1</v>
      </c>
      <c r="O183" s="31">
        <f>IFERROR(VLOOKUP($D183,bug_conf_sheet!$A:$H,4,FALSE),VLOOKUP("other",bug_conf_sheet!$A:$H,4,FALSE))</f>
        <v>0</v>
      </c>
      <c r="P183" s="31">
        <f>IFERROR(VLOOKUP($D183,bug_conf_sheet!$A:$H,5,FALSE),VLOOKUP("other",bug_conf_sheet!$A:$H,5,FALSE))</f>
        <v>0</v>
      </c>
      <c r="Q183" s="31">
        <f>IFERROR(VLOOKUP($D183,bug_conf_sheet!$A:$H,6,FALSE),VLOOKUP("other",bug_conf_sheet!$A:$H,6,FALSE))</f>
        <v>0</v>
      </c>
      <c r="R183" s="31">
        <f>IFERROR(VLOOKUP($D183,bug_conf_sheet!$A:$H,7,FALSE),VLOOKUP("other",bug_conf_sheet!$A:$H,7,FALSE))</f>
        <v>0</v>
      </c>
      <c r="S183" s="31">
        <f>IFERROR(VLOOKUP($D183,bug_conf_sheet!$A:$H,8,FALSE),VLOOKUP("other",bug_conf_sheet!$A:$H,8,FALSE))</f>
        <v>1</v>
      </c>
    </row>
    <row r="184" spans="1:19" ht="21" hidden="1" customHeight="1">
      <c r="A184" s="2">
        <f>input_1!A$2</f>
        <v>3121</v>
      </c>
      <c r="B184" s="7" t="str">
        <f t="shared" si="7"/>
        <v>PremiumSS4</v>
      </c>
      <c r="C184" s="7" t="str">
        <f t="shared" si="8"/>
        <v>PremiumSS</v>
      </c>
      <c r="D184" s="6">
        <v>442</v>
      </c>
      <c r="E184" s="7" t="str">
        <f>VLOOKUP(D184,[1]characters!$A:$C,3,FALSE)</f>
        <v>ブレイブリー・ライオン</v>
      </c>
      <c r="F184" s="7" t="str">
        <f>VLOOKUP(D184,[1]characters!$A:$J,10,FALSE)</f>
        <v>PremiumSS</v>
      </c>
      <c r="G184" s="7">
        <f>VLOOKUP(D184,[1]characters!$A:$I,9,FALSE)</f>
        <v>4</v>
      </c>
      <c r="H184" s="7" t="str">
        <f>VLOOKUP(D184,[1]characters!$A:$H,8,FALSE)</f>
        <v>yellow</v>
      </c>
      <c r="I184" s="7" t="str">
        <f>VLOOKUP(D184,[1]characters!$A:$K,11,FALSE)</f>
        <v>hp</v>
      </c>
      <c r="J184" s="7" t="str">
        <f>VLOOKUP(D184,[1]characters!$A:$M,13,FALSE)</f>
        <v>animal</v>
      </c>
      <c r="K184" s="7" t="str">
        <f>VLOOKUP(D184,[1]characters!$A:$G,7,FALSE)</f>
        <v>不明</v>
      </c>
      <c r="L184" s="66">
        <f>IFERROR(VLOOKUP(D184,input_1!L:R,7,FALSE),VLOOKUP(tables_1!B184,input_1!A:H,8,FALSE))</f>
        <v>8991</v>
      </c>
      <c r="M184" s="67">
        <f t="shared" si="6"/>
        <v>3.4615384615384613E-4</v>
      </c>
      <c r="N184" s="31">
        <f>IFERROR(VLOOKUP($D184,bug_conf_sheet!$A:$H,3,FALSE),VLOOKUP("other",bug_conf_sheet!$A:$H,3,FALSE))</f>
        <v>1</v>
      </c>
      <c r="O184" s="31">
        <f>IFERROR(VLOOKUP($D184,bug_conf_sheet!$A:$H,4,FALSE),VLOOKUP("other",bug_conf_sheet!$A:$H,4,FALSE))</f>
        <v>0</v>
      </c>
      <c r="P184" s="31">
        <f>IFERROR(VLOOKUP($D184,bug_conf_sheet!$A:$H,5,FALSE),VLOOKUP("other",bug_conf_sheet!$A:$H,5,FALSE))</f>
        <v>0</v>
      </c>
      <c r="Q184" s="31">
        <f>IFERROR(VLOOKUP($D184,bug_conf_sheet!$A:$H,6,FALSE),VLOOKUP("other",bug_conf_sheet!$A:$H,6,FALSE))</f>
        <v>0</v>
      </c>
      <c r="R184" s="31">
        <f>IFERROR(VLOOKUP($D184,bug_conf_sheet!$A:$H,7,FALSE),VLOOKUP("other",bug_conf_sheet!$A:$H,7,FALSE))</f>
        <v>0</v>
      </c>
      <c r="S184" s="31">
        <f>IFERROR(VLOOKUP($D184,bug_conf_sheet!$A:$H,8,FALSE),VLOOKUP("other",bug_conf_sheet!$A:$H,8,FALSE))</f>
        <v>1</v>
      </c>
    </row>
    <row r="185" spans="1:19" ht="21" customHeight="1">
      <c r="A185" s="2">
        <f>input_1!A$2</f>
        <v>3121</v>
      </c>
      <c r="B185" s="7" t="str">
        <f t="shared" si="7"/>
        <v>PremiumSS5</v>
      </c>
      <c r="C185" s="7" t="str">
        <f t="shared" si="8"/>
        <v>PremiumSS</v>
      </c>
      <c r="D185" s="6">
        <v>443</v>
      </c>
      <c r="E185" s="7" t="str">
        <f>VLOOKUP(D185,[1]characters!$A:$C,3,FALSE)</f>
        <v>勇機結集 ブレイブリー・ライオン</v>
      </c>
      <c r="F185" s="7" t="str">
        <f>VLOOKUP(D185,[1]characters!$A:$J,10,FALSE)</f>
        <v>PremiumSS</v>
      </c>
      <c r="G185" s="7">
        <f>VLOOKUP(D185,[1]characters!$A:$I,9,FALSE)</f>
        <v>5</v>
      </c>
      <c r="H185" s="7" t="str">
        <f>VLOOKUP(D185,[1]characters!$A:$H,8,FALSE)</f>
        <v>yellow</v>
      </c>
      <c r="I185" s="7" t="str">
        <f>VLOOKUP(D185,[1]characters!$A:$K,11,FALSE)</f>
        <v>hp</v>
      </c>
      <c r="J185" s="7" t="str">
        <f>VLOOKUP(D185,[1]characters!$A:$M,13,FALSE)</f>
        <v>animal</v>
      </c>
      <c r="K185" s="7" t="str">
        <f>VLOOKUP(D185,[1]characters!$A:$G,7,FALSE)</f>
        <v>不明</v>
      </c>
      <c r="L185" s="66">
        <f>IFERROR(VLOOKUP(D185,input_1!L:R,7,FALSE),VLOOKUP(tables_1!B185,input_1!A:H,8,FALSE))</f>
        <v>999</v>
      </c>
      <c r="M185" s="67">
        <f t="shared" si="6"/>
        <v>3.8461538461538463E-5</v>
      </c>
      <c r="N185" s="31">
        <f>IFERROR(VLOOKUP($D185,bug_conf_sheet!$A:$H,3,FALSE),VLOOKUP("other",bug_conf_sheet!$A:$H,3,FALSE))</f>
        <v>1</v>
      </c>
      <c r="O185" s="31">
        <f>IFERROR(VLOOKUP($D185,bug_conf_sheet!$A:$H,4,FALSE),VLOOKUP("other",bug_conf_sheet!$A:$H,4,FALSE))</f>
        <v>0</v>
      </c>
      <c r="P185" s="31">
        <f>IFERROR(VLOOKUP($D185,bug_conf_sheet!$A:$H,5,FALSE),VLOOKUP("other",bug_conf_sheet!$A:$H,5,FALSE))</f>
        <v>0</v>
      </c>
      <c r="Q185" s="31">
        <f>IFERROR(VLOOKUP($D185,bug_conf_sheet!$A:$H,6,FALSE),VLOOKUP("other",bug_conf_sheet!$A:$H,6,FALSE))</f>
        <v>0</v>
      </c>
      <c r="R185" s="31">
        <f>IFERROR(VLOOKUP($D185,bug_conf_sheet!$A:$H,7,FALSE),VLOOKUP("other",bug_conf_sheet!$A:$H,7,FALSE))</f>
        <v>0</v>
      </c>
      <c r="S185" s="31">
        <f>IFERROR(VLOOKUP($D185,bug_conf_sheet!$A:$H,8,FALSE),VLOOKUP("other",bug_conf_sheet!$A:$H,8,FALSE))</f>
        <v>1</v>
      </c>
    </row>
    <row r="186" spans="1:19" ht="21" hidden="1" customHeight="1">
      <c r="A186" s="2">
        <f>input_1!A$2</f>
        <v>3121</v>
      </c>
      <c r="B186" s="7" t="str">
        <f t="shared" si="7"/>
        <v>Premium3</v>
      </c>
      <c r="C186" s="7" t="str">
        <f t="shared" si="8"/>
        <v>Premium</v>
      </c>
      <c r="D186" s="8">
        <v>462</v>
      </c>
      <c r="E186" s="7" t="str">
        <f>VLOOKUP(D186,[1]characters!$A:$C,3,FALSE)</f>
        <v>ガウェイン</v>
      </c>
      <c r="F186" s="7" t="str">
        <f>VLOOKUP(D186,[1]characters!$A:$J,10,FALSE)</f>
        <v>PremiumS</v>
      </c>
      <c r="G186" s="7">
        <f>VLOOKUP(D186,[1]characters!$A:$I,9,FALSE)</f>
        <v>3</v>
      </c>
      <c r="H186" s="7" t="str">
        <f>VLOOKUP(D186,[1]characters!$A:$H,8,FALSE)</f>
        <v>red</v>
      </c>
      <c r="I186" s="7" t="str">
        <f>VLOOKUP(D186,[1]characters!$A:$K,11,FALSE)</f>
        <v>hp</v>
      </c>
      <c r="J186" s="7" t="str">
        <f>VLOOKUP(D186,[1]characters!$A:$M,13,FALSE)</f>
        <v>human</v>
      </c>
      <c r="K186" s="7" t="str">
        <f>VLOOKUP(D186,[1]characters!$A:$G,7,FALSE)</f>
        <v>男性</v>
      </c>
      <c r="L186" s="66">
        <f>IFERROR(VLOOKUP(D186,input_1!L:R,7,FALSE),VLOOKUP(tables_1!B186,input_1!A:H,8,FALSE))</f>
        <v>175500</v>
      </c>
      <c r="M186" s="67">
        <f t="shared" si="6"/>
        <v>6.7567567567567571E-3</v>
      </c>
      <c r="N186" s="31">
        <f>IFERROR(VLOOKUP($D186,bug_conf_sheet!$A:$H,3,FALSE),VLOOKUP("other",bug_conf_sheet!$A:$H,3,FALSE))</f>
        <v>1</v>
      </c>
      <c r="O186" s="31">
        <f>IFERROR(VLOOKUP($D186,bug_conf_sheet!$A:$H,4,FALSE),VLOOKUP("other",bug_conf_sheet!$A:$H,4,FALSE))</f>
        <v>0</v>
      </c>
      <c r="P186" s="31">
        <f>IFERROR(VLOOKUP($D186,bug_conf_sheet!$A:$H,5,FALSE),VLOOKUP("other",bug_conf_sheet!$A:$H,5,FALSE))</f>
        <v>0</v>
      </c>
      <c r="Q186" s="31">
        <f>IFERROR(VLOOKUP($D186,bug_conf_sheet!$A:$H,6,FALSE),VLOOKUP("other",bug_conf_sheet!$A:$H,6,FALSE))</f>
        <v>0</v>
      </c>
      <c r="R186" s="31">
        <f>IFERROR(VLOOKUP($D186,bug_conf_sheet!$A:$H,7,FALSE),VLOOKUP("other",bug_conf_sheet!$A:$H,7,FALSE))</f>
        <v>0</v>
      </c>
      <c r="S186" s="31">
        <f>IFERROR(VLOOKUP($D186,bug_conf_sheet!$A:$H,8,FALSE),VLOOKUP("other",bug_conf_sheet!$A:$H,8,FALSE))</f>
        <v>1</v>
      </c>
    </row>
    <row r="187" spans="1:19" ht="21" hidden="1" customHeight="1">
      <c r="A187" s="2">
        <f>input_1!A$2</f>
        <v>3121</v>
      </c>
      <c r="B187" s="7" t="str">
        <f t="shared" si="7"/>
        <v>Premium4</v>
      </c>
      <c r="C187" s="7" t="str">
        <f t="shared" si="8"/>
        <v>Premium</v>
      </c>
      <c r="D187" s="8">
        <v>463</v>
      </c>
      <c r="E187" s="7" t="str">
        <f>VLOOKUP(D187,[1]characters!$A:$C,3,FALSE)</f>
        <v>燻銀 ガウェイン</v>
      </c>
      <c r="F187" s="7" t="str">
        <f>VLOOKUP(D187,[1]characters!$A:$J,10,FALSE)</f>
        <v>PremiumS</v>
      </c>
      <c r="G187" s="7">
        <f>VLOOKUP(D187,[1]characters!$A:$I,9,FALSE)</f>
        <v>4</v>
      </c>
      <c r="H187" s="7" t="str">
        <f>VLOOKUP(D187,[1]characters!$A:$H,8,FALSE)</f>
        <v>red</v>
      </c>
      <c r="I187" s="7" t="str">
        <f>VLOOKUP(D187,[1]characters!$A:$K,11,FALSE)</f>
        <v>hp</v>
      </c>
      <c r="J187" s="7" t="str">
        <f>VLOOKUP(D187,[1]characters!$A:$M,13,FALSE)</f>
        <v>human</v>
      </c>
      <c r="K187" s="7" t="str">
        <f>VLOOKUP(D187,[1]characters!$A:$G,7,FALSE)</f>
        <v>男性</v>
      </c>
      <c r="L187" s="66">
        <f>IFERROR(VLOOKUP(D187,input_1!L:R,7,FALSE),VLOOKUP(tables_1!B187,input_1!A:H,8,FALSE))</f>
        <v>154791</v>
      </c>
      <c r="M187" s="67">
        <f t="shared" si="6"/>
        <v>5.9594594594594595E-3</v>
      </c>
      <c r="N187" s="31">
        <f>IFERROR(VLOOKUP($D187,bug_conf_sheet!$A:$H,3,FALSE),VLOOKUP("other",bug_conf_sheet!$A:$H,3,FALSE))</f>
        <v>1</v>
      </c>
      <c r="O187" s="31">
        <f>IFERROR(VLOOKUP($D187,bug_conf_sheet!$A:$H,4,FALSE),VLOOKUP("other",bug_conf_sheet!$A:$H,4,FALSE))</f>
        <v>0</v>
      </c>
      <c r="P187" s="31">
        <f>IFERROR(VLOOKUP($D187,bug_conf_sheet!$A:$H,5,FALSE),VLOOKUP("other",bug_conf_sheet!$A:$H,5,FALSE))</f>
        <v>0</v>
      </c>
      <c r="Q187" s="31">
        <f>IFERROR(VLOOKUP($D187,bug_conf_sheet!$A:$H,6,FALSE),VLOOKUP("other",bug_conf_sheet!$A:$H,6,FALSE))</f>
        <v>0</v>
      </c>
      <c r="R187" s="31">
        <f>IFERROR(VLOOKUP($D187,bug_conf_sheet!$A:$H,7,FALSE),VLOOKUP("other",bug_conf_sheet!$A:$H,7,FALSE))</f>
        <v>0</v>
      </c>
      <c r="S187" s="31">
        <f>IFERROR(VLOOKUP($D187,bug_conf_sheet!$A:$H,8,FALSE),VLOOKUP("other",bug_conf_sheet!$A:$H,8,FALSE))</f>
        <v>1</v>
      </c>
    </row>
    <row r="188" spans="1:19" ht="21" hidden="1" customHeight="1">
      <c r="A188" s="2">
        <f>input_1!A$2</f>
        <v>3121</v>
      </c>
      <c r="B188" s="7" t="str">
        <f t="shared" si="7"/>
        <v>Premium5</v>
      </c>
      <c r="C188" s="7" t="str">
        <f t="shared" si="8"/>
        <v>Premium</v>
      </c>
      <c r="D188" s="8">
        <v>464</v>
      </c>
      <c r="E188" s="7" t="str">
        <f>VLOOKUP(D188,[1]characters!$A:$C,3,FALSE)</f>
        <v>円熟の弾導 ガウェイン</v>
      </c>
      <c r="F188" s="7" t="str">
        <f>VLOOKUP(D188,[1]characters!$A:$J,10,FALSE)</f>
        <v>PremiumS</v>
      </c>
      <c r="G188" s="7">
        <f>VLOOKUP(D188,[1]characters!$A:$I,9,FALSE)</f>
        <v>5</v>
      </c>
      <c r="H188" s="7" t="str">
        <f>VLOOKUP(D188,[1]characters!$A:$H,8,FALSE)</f>
        <v>red</v>
      </c>
      <c r="I188" s="7" t="str">
        <f>VLOOKUP(D188,[1]characters!$A:$K,11,FALSE)</f>
        <v>hp</v>
      </c>
      <c r="J188" s="7" t="str">
        <f>VLOOKUP(D188,[1]characters!$A:$M,13,FALSE)</f>
        <v>human</v>
      </c>
      <c r="K188" s="7" t="str">
        <f>VLOOKUP(D188,[1]characters!$A:$G,7,FALSE)</f>
        <v>男性</v>
      </c>
      <c r="L188" s="66">
        <f>IFERROR(VLOOKUP(D188,input_1!L:R,7,FALSE),VLOOKUP(tables_1!B188,input_1!A:H,8,FALSE))</f>
        <v>23569</v>
      </c>
      <c r="M188" s="67">
        <f t="shared" si="6"/>
        <v>9.0740740740740745E-4</v>
      </c>
      <c r="N188" s="31">
        <f>IFERROR(VLOOKUP($D188,bug_conf_sheet!$A:$H,3,FALSE),VLOOKUP("other",bug_conf_sheet!$A:$H,3,FALSE))</f>
        <v>1</v>
      </c>
      <c r="O188" s="31">
        <f>IFERROR(VLOOKUP($D188,bug_conf_sheet!$A:$H,4,FALSE),VLOOKUP("other",bug_conf_sheet!$A:$H,4,FALSE))</f>
        <v>0</v>
      </c>
      <c r="P188" s="31">
        <f>IFERROR(VLOOKUP($D188,bug_conf_sheet!$A:$H,5,FALSE),VLOOKUP("other",bug_conf_sheet!$A:$H,5,FALSE))</f>
        <v>0</v>
      </c>
      <c r="Q188" s="31">
        <f>IFERROR(VLOOKUP($D188,bug_conf_sheet!$A:$H,6,FALSE),VLOOKUP("other",bug_conf_sheet!$A:$H,6,FALSE))</f>
        <v>0</v>
      </c>
      <c r="R188" s="31">
        <f>IFERROR(VLOOKUP($D188,bug_conf_sheet!$A:$H,7,FALSE),VLOOKUP("other",bug_conf_sheet!$A:$H,7,FALSE))</f>
        <v>0</v>
      </c>
      <c r="S188" s="31">
        <f>IFERROR(VLOOKUP($D188,bug_conf_sheet!$A:$H,8,FALSE),VLOOKUP("other",bug_conf_sheet!$A:$H,8,FALSE))</f>
        <v>1</v>
      </c>
    </row>
    <row r="189" spans="1:19" ht="21" hidden="1" customHeight="1">
      <c r="A189" s="2">
        <f>input_1!A$2</f>
        <v>3121</v>
      </c>
      <c r="B189" s="7" t="str">
        <f t="shared" si="7"/>
        <v>PremiumSS4</v>
      </c>
      <c r="C189" s="7" t="str">
        <f t="shared" si="8"/>
        <v>PremiumSS</v>
      </c>
      <c r="D189" s="8">
        <v>465</v>
      </c>
      <c r="E189" s="7" t="str">
        <f>VLOOKUP(D189,[1]characters!$A:$C,3,FALSE)</f>
        <v>真撃 ランスロット</v>
      </c>
      <c r="F189" s="7" t="str">
        <f>VLOOKUP(D189,[1]characters!$A:$J,10,FALSE)</f>
        <v>PremiumSS</v>
      </c>
      <c r="G189" s="7">
        <f>VLOOKUP(D189,[1]characters!$A:$I,9,FALSE)</f>
        <v>4</v>
      </c>
      <c r="H189" s="7" t="str">
        <f>VLOOKUP(D189,[1]characters!$A:$H,8,FALSE)</f>
        <v>green</v>
      </c>
      <c r="I189" s="7" t="str">
        <f>VLOOKUP(D189,[1]characters!$A:$K,11,FALSE)</f>
        <v>balance</v>
      </c>
      <c r="J189" s="7" t="str">
        <f>VLOOKUP(D189,[1]characters!$A:$M,13,FALSE)</f>
        <v>human</v>
      </c>
      <c r="K189" s="7" t="str">
        <f>VLOOKUP(D189,[1]characters!$A:$G,7,FALSE)</f>
        <v>男性</v>
      </c>
      <c r="L189" s="66">
        <f>IFERROR(VLOOKUP(D189,input_1!L:R,7,FALSE),VLOOKUP(tables_1!B189,input_1!A:H,8,FALSE))</f>
        <v>8991</v>
      </c>
      <c r="M189" s="67">
        <f t="shared" si="6"/>
        <v>3.4615384615384613E-4</v>
      </c>
      <c r="N189" s="31">
        <f>IFERROR(VLOOKUP($D189,bug_conf_sheet!$A:$H,3,FALSE),VLOOKUP("other",bug_conf_sheet!$A:$H,3,FALSE))</f>
        <v>1</v>
      </c>
      <c r="O189" s="31">
        <f>IFERROR(VLOOKUP($D189,bug_conf_sheet!$A:$H,4,FALSE),VLOOKUP("other",bug_conf_sheet!$A:$H,4,FALSE))</f>
        <v>0</v>
      </c>
      <c r="P189" s="31">
        <f>IFERROR(VLOOKUP($D189,bug_conf_sheet!$A:$H,5,FALSE),VLOOKUP("other",bug_conf_sheet!$A:$H,5,FALSE))</f>
        <v>0</v>
      </c>
      <c r="Q189" s="31">
        <f>IFERROR(VLOOKUP($D189,bug_conf_sheet!$A:$H,6,FALSE),VLOOKUP("other",bug_conf_sheet!$A:$H,6,FALSE))</f>
        <v>0</v>
      </c>
      <c r="R189" s="31">
        <f>IFERROR(VLOOKUP($D189,bug_conf_sheet!$A:$H,7,FALSE),VLOOKUP("other",bug_conf_sheet!$A:$H,7,FALSE))</f>
        <v>0</v>
      </c>
      <c r="S189" s="31">
        <f>IFERROR(VLOOKUP($D189,bug_conf_sheet!$A:$H,8,FALSE),VLOOKUP("other",bug_conf_sheet!$A:$H,8,FALSE))</f>
        <v>1</v>
      </c>
    </row>
    <row r="190" spans="1:19" s="9" customFormat="1" ht="21" customHeight="1" thickBot="1">
      <c r="A190" s="2">
        <f>input_1!A$2</f>
        <v>3121</v>
      </c>
      <c r="B190" s="7" t="str">
        <f t="shared" si="7"/>
        <v>PremiumSS5</v>
      </c>
      <c r="C190" s="7" t="str">
        <f t="shared" si="8"/>
        <v>PremiumSS</v>
      </c>
      <c r="D190" s="6">
        <v>466</v>
      </c>
      <c r="E190" s="7" t="str">
        <f>VLOOKUP(D190,[1]characters!$A:$C,3,FALSE)</f>
        <v>真断の勇覇 ランスロット</v>
      </c>
      <c r="F190" s="7" t="str">
        <f>VLOOKUP(D190,[1]characters!$A:$J,10,FALSE)</f>
        <v>PremiumSS</v>
      </c>
      <c r="G190" s="7">
        <f>VLOOKUP(D190,[1]characters!$A:$I,9,FALSE)</f>
        <v>5</v>
      </c>
      <c r="H190" s="7" t="str">
        <f>VLOOKUP(D190,[1]characters!$A:$H,8,FALSE)</f>
        <v>green</v>
      </c>
      <c r="I190" s="7" t="str">
        <f>VLOOKUP(D190,[1]characters!$A:$K,11,FALSE)</f>
        <v>balance</v>
      </c>
      <c r="J190" s="7" t="str">
        <f>VLOOKUP(D190,[1]characters!$A:$M,13,FALSE)</f>
        <v>human</v>
      </c>
      <c r="K190" s="7" t="str">
        <f>VLOOKUP(D190,[1]characters!$A:$G,7,FALSE)</f>
        <v>男性</v>
      </c>
      <c r="L190" s="66">
        <f>IFERROR(VLOOKUP(D190,input_1!L:R,7,FALSE),VLOOKUP(tables_1!B190,input_1!A:H,8,FALSE))</f>
        <v>999</v>
      </c>
      <c r="M190" s="67">
        <f t="shared" si="6"/>
        <v>3.8461538461538463E-5</v>
      </c>
      <c r="N190" s="31">
        <f>IFERROR(VLOOKUP($D190,bug_conf_sheet!$A:$H,3,FALSE),VLOOKUP("other",bug_conf_sheet!$A:$H,3,FALSE))</f>
        <v>1</v>
      </c>
      <c r="O190" s="31">
        <f>IFERROR(VLOOKUP($D190,bug_conf_sheet!$A:$H,4,FALSE),VLOOKUP("other",bug_conf_sheet!$A:$H,4,FALSE))</f>
        <v>0</v>
      </c>
      <c r="P190" s="31">
        <f>IFERROR(VLOOKUP($D190,bug_conf_sheet!$A:$H,5,FALSE),VLOOKUP("other",bug_conf_sheet!$A:$H,5,FALSE))</f>
        <v>0</v>
      </c>
      <c r="Q190" s="31">
        <f>IFERROR(VLOOKUP($D190,bug_conf_sheet!$A:$H,6,FALSE),VLOOKUP("other",bug_conf_sheet!$A:$H,6,FALSE))</f>
        <v>0</v>
      </c>
      <c r="R190" s="31">
        <f>IFERROR(VLOOKUP($D190,bug_conf_sheet!$A:$H,7,FALSE),VLOOKUP("other",bug_conf_sheet!$A:$H,7,FALSE))</f>
        <v>0</v>
      </c>
      <c r="S190" s="31">
        <f>IFERROR(VLOOKUP($D190,bug_conf_sheet!$A:$H,8,FALSE),VLOOKUP("other",bug_conf_sheet!$A:$H,8,FALSE))</f>
        <v>1</v>
      </c>
    </row>
    <row r="191" spans="1:19" ht="21" hidden="1" customHeight="1">
      <c r="A191" s="2">
        <f>input_1!A$2</f>
        <v>3121</v>
      </c>
      <c r="B191" s="7" t="str">
        <f t="shared" si="7"/>
        <v>PremiumSS4</v>
      </c>
      <c r="C191" s="7" t="str">
        <f t="shared" si="8"/>
        <v>PremiumSS</v>
      </c>
      <c r="D191" s="6">
        <v>467</v>
      </c>
      <c r="E191" s="7" t="str">
        <f>VLOOKUP(D191,[1]characters!$A:$C,3,FALSE)</f>
        <v>報復 モルドレッド</v>
      </c>
      <c r="F191" s="7" t="str">
        <f>VLOOKUP(D191,[1]characters!$A:$J,10,FALSE)</f>
        <v>PremiumSS</v>
      </c>
      <c r="G191" s="7">
        <f>VLOOKUP(D191,[1]characters!$A:$I,9,FALSE)</f>
        <v>4</v>
      </c>
      <c r="H191" s="7" t="str">
        <f>VLOOKUP(D191,[1]characters!$A:$H,8,FALSE)</f>
        <v>blue</v>
      </c>
      <c r="I191" s="7" t="str">
        <f>VLOOKUP(D191,[1]characters!$A:$K,11,FALSE)</f>
        <v>technical</v>
      </c>
      <c r="J191" s="7" t="str">
        <f>VLOOKUP(D191,[1]characters!$A:$M,13,FALSE)</f>
        <v>human</v>
      </c>
      <c r="K191" s="7" t="str">
        <f>VLOOKUP(D191,[1]characters!$A:$G,7,FALSE)</f>
        <v>女性</v>
      </c>
      <c r="L191" s="66">
        <f>IFERROR(VLOOKUP(D191,input_1!L:R,7,FALSE),VLOOKUP(tables_1!B191,input_1!A:H,8,FALSE))</f>
        <v>8991</v>
      </c>
      <c r="M191" s="67">
        <f t="shared" si="6"/>
        <v>3.4615384615384613E-4</v>
      </c>
      <c r="N191" s="31">
        <f>IFERROR(VLOOKUP($D191,bug_conf_sheet!$A:$H,3,FALSE),VLOOKUP("other",bug_conf_sheet!$A:$H,3,FALSE))</f>
        <v>1</v>
      </c>
      <c r="O191" s="31">
        <f>IFERROR(VLOOKUP($D191,bug_conf_sheet!$A:$H,4,FALSE),VLOOKUP("other",bug_conf_sheet!$A:$H,4,FALSE))</f>
        <v>0</v>
      </c>
      <c r="P191" s="31">
        <f>IFERROR(VLOOKUP($D191,bug_conf_sheet!$A:$H,5,FALSE),VLOOKUP("other",bug_conf_sheet!$A:$H,5,FALSE))</f>
        <v>0</v>
      </c>
      <c r="Q191" s="31">
        <f>IFERROR(VLOOKUP($D191,bug_conf_sheet!$A:$H,6,FALSE),VLOOKUP("other",bug_conf_sheet!$A:$H,6,FALSE))</f>
        <v>0</v>
      </c>
      <c r="R191" s="31">
        <f>IFERROR(VLOOKUP($D191,bug_conf_sheet!$A:$H,7,FALSE),VLOOKUP("other",bug_conf_sheet!$A:$H,7,FALSE))</f>
        <v>0</v>
      </c>
      <c r="S191" s="31">
        <f>IFERROR(VLOOKUP($D191,bug_conf_sheet!$A:$H,8,FALSE),VLOOKUP("other",bug_conf_sheet!$A:$H,8,FALSE))</f>
        <v>1</v>
      </c>
    </row>
    <row r="192" spans="1:19" ht="21" customHeight="1">
      <c r="A192" s="2">
        <f>input_1!A$2</f>
        <v>3121</v>
      </c>
      <c r="B192" s="7" t="str">
        <f t="shared" si="7"/>
        <v>PremiumSS5</v>
      </c>
      <c r="C192" s="7" t="str">
        <f t="shared" si="8"/>
        <v>PremiumSS</v>
      </c>
      <c r="D192" s="6">
        <v>468</v>
      </c>
      <c r="E192" s="7" t="str">
        <f>VLOOKUP(D192,[1]characters!$A:$C,3,FALSE)</f>
        <v>憎愛の尖鋒 モルドレッド</v>
      </c>
      <c r="F192" s="7" t="str">
        <f>VLOOKUP(D192,[1]characters!$A:$J,10,FALSE)</f>
        <v>PremiumSS</v>
      </c>
      <c r="G192" s="7">
        <f>VLOOKUP(D192,[1]characters!$A:$I,9,FALSE)</f>
        <v>5</v>
      </c>
      <c r="H192" s="7" t="str">
        <f>VLOOKUP(D192,[1]characters!$A:$H,8,FALSE)</f>
        <v>blue</v>
      </c>
      <c r="I192" s="7" t="str">
        <f>VLOOKUP(D192,[1]characters!$A:$K,11,FALSE)</f>
        <v>technical</v>
      </c>
      <c r="J192" s="7" t="str">
        <f>VLOOKUP(D192,[1]characters!$A:$M,13,FALSE)</f>
        <v>human</v>
      </c>
      <c r="K192" s="7" t="str">
        <f>VLOOKUP(D192,[1]characters!$A:$G,7,FALSE)</f>
        <v>女性</v>
      </c>
      <c r="L192" s="66">
        <f>IFERROR(VLOOKUP(D192,input_1!L:R,7,FALSE),VLOOKUP(tables_1!B192,input_1!A:H,8,FALSE))</f>
        <v>999</v>
      </c>
      <c r="M192" s="67">
        <f t="shared" si="6"/>
        <v>3.8461538461538463E-5</v>
      </c>
      <c r="N192" s="31">
        <f>IFERROR(VLOOKUP($D192,bug_conf_sheet!$A:$H,3,FALSE),VLOOKUP("other",bug_conf_sheet!$A:$H,3,FALSE))</f>
        <v>1</v>
      </c>
      <c r="O192" s="31">
        <f>IFERROR(VLOOKUP($D192,bug_conf_sheet!$A:$H,4,FALSE),VLOOKUP("other",bug_conf_sheet!$A:$H,4,FALSE))</f>
        <v>0</v>
      </c>
      <c r="P192" s="31">
        <f>IFERROR(VLOOKUP($D192,bug_conf_sheet!$A:$H,5,FALSE),VLOOKUP("other",bug_conf_sheet!$A:$H,5,FALSE))</f>
        <v>0</v>
      </c>
      <c r="Q192" s="31">
        <f>IFERROR(VLOOKUP($D192,bug_conf_sheet!$A:$H,6,FALSE),VLOOKUP("other",bug_conf_sheet!$A:$H,6,FALSE))</f>
        <v>0</v>
      </c>
      <c r="R192" s="31">
        <f>IFERROR(VLOOKUP($D192,bug_conf_sheet!$A:$H,7,FALSE),VLOOKUP("other",bug_conf_sheet!$A:$H,7,FALSE))</f>
        <v>0</v>
      </c>
      <c r="S192" s="31">
        <f>IFERROR(VLOOKUP($D192,bug_conf_sheet!$A:$H,8,FALSE),VLOOKUP("other",bug_conf_sheet!$A:$H,8,FALSE))</f>
        <v>1</v>
      </c>
    </row>
    <row r="193" spans="1:19" ht="21" hidden="1" customHeight="1">
      <c r="A193" s="2">
        <f>input_1!A$2</f>
        <v>3121</v>
      </c>
      <c r="B193" s="7" t="str">
        <f t="shared" si="7"/>
        <v>Premium3</v>
      </c>
      <c r="C193" s="7" t="str">
        <f t="shared" si="8"/>
        <v>Premium</v>
      </c>
      <c r="D193" s="6">
        <v>469</v>
      </c>
      <c r="E193" s="7" t="str">
        <f>VLOOKUP(D193,[1]characters!$A:$C,3,FALSE)</f>
        <v>トリスタン</v>
      </c>
      <c r="F193" s="7" t="str">
        <f>VLOOKUP(D193,[1]characters!$A:$J,10,FALSE)</f>
        <v>PremiumS</v>
      </c>
      <c r="G193" s="7">
        <f>VLOOKUP(D193,[1]characters!$A:$I,9,FALSE)</f>
        <v>3</v>
      </c>
      <c r="H193" s="7" t="str">
        <f>VLOOKUP(D193,[1]characters!$A:$H,8,FALSE)</f>
        <v>yellow</v>
      </c>
      <c r="I193" s="7" t="str">
        <f>VLOOKUP(D193,[1]characters!$A:$K,11,FALSE)</f>
        <v>attack</v>
      </c>
      <c r="J193" s="7" t="str">
        <f>VLOOKUP(D193,[1]characters!$A:$M,13,FALSE)</f>
        <v>human</v>
      </c>
      <c r="K193" s="7" t="str">
        <f>VLOOKUP(D193,[1]characters!$A:$G,7,FALSE)</f>
        <v>男性</v>
      </c>
      <c r="L193" s="66">
        <f>IFERROR(VLOOKUP(D193,input_1!L:R,7,FALSE),VLOOKUP(tables_1!B193,input_1!A:H,8,FALSE))</f>
        <v>175500</v>
      </c>
      <c r="M193" s="67">
        <f t="shared" si="6"/>
        <v>6.7567567567567571E-3</v>
      </c>
      <c r="N193" s="31">
        <f>IFERROR(VLOOKUP($D193,bug_conf_sheet!$A:$H,3,FALSE),VLOOKUP("other",bug_conf_sheet!$A:$H,3,FALSE))</f>
        <v>1</v>
      </c>
      <c r="O193" s="31">
        <f>IFERROR(VLOOKUP($D193,bug_conf_sheet!$A:$H,4,FALSE),VLOOKUP("other",bug_conf_sheet!$A:$H,4,FALSE))</f>
        <v>0</v>
      </c>
      <c r="P193" s="31">
        <f>IFERROR(VLOOKUP($D193,bug_conf_sheet!$A:$H,5,FALSE),VLOOKUP("other",bug_conf_sheet!$A:$H,5,FALSE))</f>
        <v>0</v>
      </c>
      <c r="Q193" s="31">
        <f>IFERROR(VLOOKUP($D193,bug_conf_sheet!$A:$H,6,FALSE),VLOOKUP("other",bug_conf_sheet!$A:$H,6,FALSE))</f>
        <v>0</v>
      </c>
      <c r="R193" s="31">
        <f>IFERROR(VLOOKUP($D193,bug_conf_sheet!$A:$H,7,FALSE),VLOOKUP("other",bug_conf_sheet!$A:$H,7,FALSE))</f>
        <v>0</v>
      </c>
      <c r="S193" s="31">
        <f>IFERROR(VLOOKUP($D193,bug_conf_sheet!$A:$H,8,FALSE),VLOOKUP("other",bug_conf_sheet!$A:$H,8,FALSE))</f>
        <v>1</v>
      </c>
    </row>
    <row r="194" spans="1:19" ht="21" hidden="1" customHeight="1">
      <c r="A194" s="2">
        <f>input_1!A$2</f>
        <v>3121</v>
      </c>
      <c r="B194" s="7" t="str">
        <f t="shared" si="7"/>
        <v>Premium4</v>
      </c>
      <c r="C194" s="7" t="str">
        <f t="shared" si="8"/>
        <v>Premium</v>
      </c>
      <c r="D194" s="6">
        <v>470</v>
      </c>
      <c r="E194" s="7" t="str">
        <f>VLOOKUP(D194,[1]characters!$A:$C,3,FALSE)</f>
        <v>純心 トリスタン</v>
      </c>
      <c r="F194" s="7" t="str">
        <f>VLOOKUP(D194,[1]characters!$A:$J,10,FALSE)</f>
        <v>PremiumS</v>
      </c>
      <c r="G194" s="7">
        <f>VLOOKUP(D194,[1]characters!$A:$I,9,FALSE)</f>
        <v>4</v>
      </c>
      <c r="H194" s="7" t="str">
        <f>VLOOKUP(D194,[1]characters!$A:$H,8,FALSE)</f>
        <v>yellow</v>
      </c>
      <c r="I194" s="7" t="str">
        <f>VLOOKUP(D194,[1]characters!$A:$K,11,FALSE)</f>
        <v>attack</v>
      </c>
      <c r="J194" s="7" t="str">
        <f>VLOOKUP(D194,[1]characters!$A:$M,13,FALSE)</f>
        <v>human</v>
      </c>
      <c r="K194" s="7" t="str">
        <f>VLOOKUP(D194,[1]characters!$A:$G,7,FALSE)</f>
        <v>男性</v>
      </c>
      <c r="L194" s="66">
        <f>IFERROR(VLOOKUP(D194,input_1!L:R,7,FALSE),VLOOKUP(tables_1!B194,input_1!A:H,8,FALSE))</f>
        <v>154791</v>
      </c>
      <c r="M194" s="67">
        <f t="shared" ref="M194:M255" si="9">L194/SUM(L:L)</f>
        <v>5.9594594594594595E-3</v>
      </c>
      <c r="N194" s="31">
        <f>IFERROR(VLOOKUP($D194,bug_conf_sheet!$A:$H,3,FALSE),VLOOKUP("other",bug_conf_sheet!$A:$H,3,FALSE))</f>
        <v>1</v>
      </c>
      <c r="O194" s="31">
        <f>IFERROR(VLOOKUP($D194,bug_conf_sheet!$A:$H,4,FALSE),VLOOKUP("other",bug_conf_sheet!$A:$H,4,FALSE))</f>
        <v>0</v>
      </c>
      <c r="P194" s="31">
        <f>IFERROR(VLOOKUP($D194,bug_conf_sheet!$A:$H,5,FALSE),VLOOKUP("other",bug_conf_sheet!$A:$H,5,FALSE))</f>
        <v>0</v>
      </c>
      <c r="Q194" s="31">
        <f>IFERROR(VLOOKUP($D194,bug_conf_sheet!$A:$H,6,FALSE),VLOOKUP("other",bug_conf_sheet!$A:$H,6,FALSE))</f>
        <v>0</v>
      </c>
      <c r="R194" s="31">
        <f>IFERROR(VLOOKUP($D194,bug_conf_sheet!$A:$H,7,FALSE),VLOOKUP("other",bug_conf_sheet!$A:$H,7,FALSE))</f>
        <v>0</v>
      </c>
      <c r="S194" s="31">
        <f>IFERROR(VLOOKUP($D194,bug_conf_sheet!$A:$H,8,FALSE),VLOOKUP("other",bug_conf_sheet!$A:$H,8,FALSE))</f>
        <v>1</v>
      </c>
    </row>
    <row r="195" spans="1:19" ht="21" hidden="1" customHeight="1">
      <c r="A195" s="2">
        <f>input_1!A$2</f>
        <v>3121</v>
      </c>
      <c r="B195" s="7" t="str">
        <f t="shared" ref="B195:B245" si="10">C195&amp;G195</f>
        <v>Premium5</v>
      </c>
      <c r="C195" s="7" t="str">
        <f t="shared" ref="C195:C245" si="11">IF(F195="PremiumSS",F195,IF(F195="PremiumSSS",F195,"Premium"))</f>
        <v>Premium</v>
      </c>
      <c r="D195" s="6">
        <v>471</v>
      </c>
      <c r="E195" s="7" t="str">
        <f>VLOOKUP(D195,[1]characters!$A:$C,3,FALSE)</f>
        <v>不可避の爆激 トリスタン</v>
      </c>
      <c r="F195" s="7" t="str">
        <f>VLOOKUP(D195,[1]characters!$A:$J,10,FALSE)</f>
        <v>PremiumS</v>
      </c>
      <c r="G195" s="7">
        <f>VLOOKUP(D195,[1]characters!$A:$I,9,FALSE)</f>
        <v>5</v>
      </c>
      <c r="H195" s="7" t="str">
        <f>VLOOKUP(D195,[1]characters!$A:$H,8,FALSE)</f>
        <v>yellow</v>
      </c>
      <c r="I195" s="7" t="str">
        <f>VLOOKUP(D195,[1]characters!$A:$K,11,FALSE)</f>
        <v>attack</v>
      </c>
      <c r="J195" s="7" t="str">
        <f>VLOOKUP(D195,[1]characters!$A:$M,13,FALSE)</f>
        <v>human</v>
      </c>
      <c r="K195" s="7" t="str">
        <f>VLOOKUP(D195,[1]characters!$A:$G,7,FALSE)</f>
        <v>男性</v>
      </c>
      <c r="L195" s="66">
        <f>IFERROR(VLOOKUP(D195,input_1!L:R,7,FALSE),VLOOKUP(tables_1!B195,input_1!A:H,8,FALSE))</f>
        <v>23569</v>
      </c>
      <c r="M195" s="67">
        <f t="shared" si="9"/>
        <v>9.0740740740740745E-4</v>
      </c>
      <c r="N195" s="31">
        <f>IFERROR(VLOOKUP($D195,bug_conf_sheet!$A:$H,3,FALSE),VLOOKUP("other",bug_conf_sheet!$A:$H,3,FALSE))</f>
        <v>1</v>
      </c>
      <c r="O195" s="31">
        <f>IFERROR(VLOOKUP($D195,bug_conf_sheet!$A:$H,4,FALSE),VLOOKUP("other",bug_conf_sheet!$A:$H,4,FALSE))</f>
        <v>0</v>
      </c>
      <c r="P195" s="31">
        <f>IFERROR(VLOOKUP($D195,bug_conf_sheet!$A:$H,5,FALSE),VLOOKUP("other",bug_conf_sheet!$A:$H,5,FALSE))</f>
        <v>0</v>
      </c>
      <c r="Q195" s="31">
        <f>IFERROR(VLOOKUP($D195,bug_conf_sheet!$A:$H,6,FALSE),VLOOKUP("other",bug_conf_sheet!$A:$H,6,FALSE))</f>
        <v>0</v>
      </c>
      <c r="R195" s="31">
        <f>IFERROR(VLOOKUP($D195,bug_conf_sheet!$A:$H,7,FALSE),VLOOKUP("other",bug_conf_sheet!$A:$H,7,FALSE))</f>
        <v>0</v>
      </c>
      <c r="S195" s="31">
        <f>IFERROR(VLOOKUP($D195,bug_conf_sheet!$A:$H,8,FALSE),VLOOKUP("other",bug_conf_sheet!$A:$H,8,FALSE))</f>
        <v>1</v>
      </c>
    </row>
    <row r="196" spans="1:19" ht="21" hidden="1" customHeight="1">
      <c r="A196" s="2">
        <f>input_1!A$2</f>
        <v>3121</v>
      </c>
      <c r="B196" s="7" t="str">
        <f t="shared" si="10"/>
        <v>PremiumSS4</v>
      </c>
      <c r="C196" s="7" t="str">
        <f t="shared" si="11"/>
        <v>PremiumSS</v>
      </c>
      <c r="D196" s="6">
        <v>474</v>
      </c>
      <c r="E196" s="7" t="str">
        <f>VLOOKUP(D196,[1]characters!$A:$C,3,FALSE)</f>
        <v>キング・ドライグ</v>
      </c>
      <c r="F196" s="7" t="str">
        <f>VLOOKUP(D196,[1]characters!$A:$J,10,FALSE)</f>
        <v>PremiumSS</v>
      </c>
      <c r="G196" s="7">
        <f>VLOOKUP(D196,[1]characters!$A:$I,9,FALSE)</f>
        <v>4</v>
      </c>
      <c r="H196" s="7" t="str">
        <f>VLOOKUP(D196,[1]characters!$A:$H,8,FALSE)</f>
        <v>red</v>
      </c>
      <c r="I196" s="7" t="str">
        <f>VLOOKUP(D196,[1]characters!$A:$K,11,FALSE)</f>
        <v>attack</v>
      </c>
      <c r="J196" s="7" t="str">
        <f>VLOOKUP(D196,[1]characters!$A:$M,13,FALSE)</f>
        <v>dragon</v>
      </c>
      <c r="K196" s="7" t="str">
        <f>VLOOKUP(D196,[1]characters!$A:$G,7,FALSE)</f>
        <v>不明</v>
      </c>
      <c r="L196" s="66">
        <f>IFERROR(VLOOKUP(D196,input_1!L:R,7,FALSE),VLOOKUP(tables_1!B196,input_1!A:H,8,FALSE))</f>
        <v>8991</v>
      </c>
      <c r="M196" s="67">
        <f t="shared" si="9"/>
        <v>3.4615384615384613E-4</v>
      </c>
      <c r="N196" s="31">
        <f>IFERROR(VLOOKUP($D196,bug_conf_sheet!$A:$H,3,FALSE),VLOOKUP("other",bug_conf_sheet!$A:$H,3,FALSE))</f>
        <v>1</v>
      </c>
      <c r="O196" s="31">
        <f>IFERROR(VLOOKUP($D196,bug_conf_sheet!$A:$H,4,FALSE),VLOOKUP("other",bug_conf_sheet!$A:$H,4,FALSE))</f>
        <v>0</v>
      </c>
      <c r="P196" s="31">
        <f>IFERROR(VLOOKUP($D196,bug_conf_sheet!$A:$H,5,FALSE),VLOOKUP("other",bug_conf_sheet!$A:$H,5,FALSE))</f>
        <v>0</v>
      </c>
      <c r="Q196" s="31">
        <f>IFERROR(VLOOKUP($D196,bug_conf_sheet!$A:$H,6,FALSE),VLOOKUP("other",bug_conf_sheet!$A:$H,6,FALSE))</f>
        <v>0</v>
      </c>
      <c r="R196" s="31">
        <f>IFERROR(VLOOKUP($D196,bug_conf_sheet!$A:$H,7,FALSE),VLOOKUP("other",bug_conf_sheet!$A:$H,7,FALSE))</f>
        <v>0</v>
      </c>
      <c r="S196" s="31">
        <f>IFERROR(VLOOKUP($D196,bug_conf_sheet!$A:$H,8,FALSE),VLOOKUP("other",bug_conf_sheet!$A:$H,8,FALSE))</f>
        <v>1</v>
      </c>
    </row>
    <row r="197" spans="1:19" ht="21" customHeight="1">
      <c r="A197" s="2">
        <f>input_1!A$2</f>
        <v>3121</v>
      </c>
      <c r="B197" s="7" t="str">
        <f t="shared" si="10"/>
        <v>PremiumSS5</v>
      </c>
      <c r="C197" s="7" t="str">
        <f t="shared" si="11"/>
        <v>PremiumSS</v>
      </c>
      <c r="D197" s="6">
        <v>475</v>
      </c>
      <c r="E197" s="7" t="str">
        <f>VLOOKUP(D197,[1]characters!$A:$C,3,FALSE)</f>
        <v>緋王 キング・ドライグ</v>
      </c>
      <c r="F197" s="7" t="str">
        <f>VLOOKUP(D197,[1]characters!$A:$J,10,FALSE)</f>
        <v>PremiumSS</v>
      </c>
      <c r="G197" s="7">
        <f>VLOOKUP(D197,[1]characters!$A:$I,9,FALSE)</f>
        <v>5</v>
      </c>
      <c r="H197" s="7" t="str">
        <f>VLOOKUP(D197,[1]characters!$A:$H,8,FALSE)</f>
        <v>red</v>
      </c>
      <c r="I197" s="7" t="str">
        <f>VLOOKUP(D197,[1]characters!$A:$K,11,FALSE)</f>
        <v>attack</v>
      </c>
      <c r="J197" s="7" t="str">
        <f>VLOOKUP(D197,[1]characters!$A:$M,13,FALSE)</f>
        <v>dragon</v>
      </c>
      <c r="K197" s="7" t="str">
        <f>VLOOKUP(D197,[1]characters!$A:$G,7,FALSE)</f>
        <v>不明</v>
      </c>
      <c r="L197" s="66">
        <f>IFERROR(VLOOKUP(D197,input_1!L:R,7,FALSE),VLOOKUP(tables_1!B197,input_1!A:H,8,FALSE))</f>
        <v>999</v>
      </c>
      <c r="M197" s="67">
        <f t="shared" si="9"/>
        <v>3.8461538461538463E-5</v>
      </c>
      <c r="N197" s="31">
        <f>IFERROR(VLOOKUP($D197,bug_conf_sheet!$A:$H,3,FALSE),VLOOKUP("other",bug_conf_sheet!$A:$H,3,FALSE))</f>
        <v>1</v>
      </c>
      <c r="O197" s="31">
        <f>IFERROR(VLOOKUP($D197,bug_conf_sheet!$A:$H,4,FALSE),VLOOKUP("other",bug_conf_sheet!$A:$H,4,FALSE))</f>
        <v>0</v>
      </c>
      <c r="P197" s="31">
        <f>IFERROR(VLOOKUP($D197,bug_conf_sheet!$A:$H,5,FALSE),VLOOKUP("other",bug_conf_sheet!$A:$H,5,FALSE))</f>
        <v>0</v>
      </c>
      <c r="Q197" s="31">
        <f>IFERROR(VLOOKUP($D197,bug_conf_sheet!$A:$H,6,FALSE),VLOOKUP("other",bug_conf_sheet!$A:$H,6,FALSE))</f>
        <v>0</v>
      </c>
      <c r="R197" s="31">
        <f>IFERROR(VLOOKUP($D197,bug_conf_sheet!$A:$H,7,FALSE),VLOOKUP("other",bug_conf_sheet!$A:$H,7,FALSE))</f>
        <v>0</v>
      </c>
      <c r="S197" s="31">
        <f>IFERROR(VLOOKUP($D197,bug_conf_sheet!$A:$H,8,FALSE),VLOOKUP("other",bug_conf_sheet!$A:$H,8,FALSE))</f>
        <v>1</v>
      </c>
    </row>
    <row r="198" spans="1:19" ht="21" hidden="1" customHeight="1">
      <c r="A198" s="2">
        <f>input_1!A$2</f>
        <v>3121</v>
      </c>
      <c r="B198" s="7" t="str">
        <f t="shared" si="10"/>
        <v>Premium3</v>
      </c>
      <c r="C198" s="7" t="str">
        <f t="shared" si="11"/>
        <v>Premium</v>
      </c>
      <c r="D198" s="6">
        <v>476</v>
      </c>
      <c r="E198" s="7" t="str">
        <f>VLOOKUP(D198,[1]characters!$A:$C,3,FALSE)</f>
        <v>ファータ</v>
      </c>
      <c r="F198" s="7" t="str">
        <f>VLOOKUP(D198,[1]characters!$A:$J,10,FALSE)</f>
        <v>PremiumS</v>
      </c>
      <c r="G198" s="7">
        <f>VLOOKUP(D198,[1]characters!$A:$I,9,FALSE)</f>
        <v>3</v>
      </c>
      <c r="H198" s="7" t="str">
        <f>VLOOKUP(D198,[1]characters!$A:$H,8,FALSE)</f>
        <v>green</v>
      </c>
      <c r="I198" s="7" t="str">
        <f>VLOOKUP(D198,[1]characters!$A:$K,11,FALSE)</f>
        <v>heal</v>
      </c>
      <c r="J198" s="7" t="str">
        <f>VLOOKUP(D198,[1]characters!$A:$M,13,FALSE)</f>
        <v>unknown</v>
      </c>
      <c r="K198" s="7" t="str">
        <f>VLOOKUP(D198,[1]characters!$A:$G,7,FALSE)</f>
        <v>女性</v>
      </c>
      <c r="L198" s="66">
        <f>IFERROR(VLOOKUP(D198,input_1!L:R,7,FALSE),VLOOKUP(tables_1!B198,input_1!A:H,8,FALSE))</f>
        <v>175500</v>
      </c>
      <c r="M198" s="67">
        <f t="shared" si="9"/>
        <v>6.7567567567567571E-3</v>
      </c>
      <c r="N198" s="31">
        <f>IFERROR(VLOOKUP($D198,bug_conf_sheet!$A:$H,3,FALSE),VLOOKUP("other",bug_conf_sheet!$A:$H,3,FALSE))</f>
        <v>1</v>
      </c>
      <c r="O198" s="31">
        <f>IFERROR(VLOOKUP($D198,bug_conf_sheet!$A:$H,4,FALSE),VLOOKUP("other",bug_conf_sheet!$A:$H,4,FALSE))</f>
        <v>0</v>
      </c>
      <c r="P198" s="31">
        <f>IFERROR(VLOOKUP($D198,bug_conf_sheet!$A:$H,5,FALSE),VLOOKUP("other",bug_conf_sheet!$A:$H,5,FALSE))</f>
        <v>0</v>
      </c>
      <c r="Q198" s="31">
        <f>IFERROR(VLOOKUP($D198,bug_conf_sheet!$A:$H,6,FALSE),VLOOKUP("other",bug_conf_sheet!$A:$H,6,FALSE))</f>
        <v>0</v>
      </c>
      <c r="R198" s="31">
        <f>IFERROR(VLOOKUP($D198,bug_conf_sheet!$A:$H,7,FALSE),VLOOKUP("other",bug_conf_sheet!$A:$H,7,FALSE))</f>
        <v>0</v>
      </c>
      <c r="S198" s="31">
        <f>IFERROR(VLOOKUP($D198,bug_conf_sheet!$A:$H,8,FALSE),VLOOKUP("other",bug_conf_sheet!$A:$H,8,FALSE))</f>
        <v>1</v>
      </c>
    </row>
    <row r="199" spans="1:19" ht="21" hidden="1" customHeight="1">
      <c r="A199" s="2">
        <f>input_1!A$2</f>
        <v>3121</v>
      </c>
      <c r="B199" s="7" t="str">
        <f t="shared" si="10"/>
        <v>Premium4</v>
      </c>
      <c r="C199" s="7" t="str">
        <f t="shared" si="11"/>
        <v>Premium</v>
      </c>
      <c r="D199" s="6">
        <v>477</v>
      </c>
      <c r="E199" s="7" t="str">
        <f>VLOOKUP(D199,[1]characters!$A:$C,3,FALSE)</f>
        <v>愛羽妖精 ファータ</v>
      </c>
      <c r="F199" s="7" t="str">
        <f>VLOOKUP(D199,[1]characters!$A:$J,10,FALSE)</f>
        <v>PremiumS</v>
      </c>
      <c r="G199" s="7">
        <f>VLOOKUP(D199,[1]characters!$A:$I,9,FALSE)</f>
        <v>4</v>
      </c>
      <c r="H199" s="7" t="str">
        <f>VLOOKUP(D199,[1]characters!$A:$H,8,FALSE)</f>
        <v>green</v>
      </c>
      <c r="I199" s="7" t="str">
        <f>VLOOKUP(D199,[1]characters!$A:$K,11,FALSE)</f>
        <v>heal</v>
      </c>
      <c r="J199" s="7" t="str">
        <f>VLOOKUP(D199,[1]characters!$A:$M,13,FALSE)</f>
        <v>unknown</v>
      </c>
      <c r="K199" s="7" t="str">
        <f>VLOOKUP(D199,[1]characters!$A:$G,7,FALSE)</f>
        <v>女性</v>
      </c>
      <c r="L199" s="66">
        <f>IFERROR(VLOOKUP(D199,input_1!L:R,7,FALSE),VLOOKUP(tables_1!B199,input_1!A:H,8,FALSE))</f>
        <v>154791</v>
      </c>
      <c r="M199" s="67">
        <f t="shared" si="9"/>
        <v>5.9594594594594595E-3</v>
      </c>
      <c r="N199" s="31">
        <f>IFERROR(VLOOKUP($D199,bug_conf_sheet!$A:$H,3,FALSE),VLOOKUP("other",bug_conf_sheet!$A:$H,3,FALSE))</f>
        <v>1</v>
      </c>
      <c r="O199" s="31">
        <f>IFERROR(VLOOKUP($D199,bug_conf_sheet!$A:$H,4,FALSE),VLOOKUP("other",bug_conf_sheet!$A:$H,4,FALSE))</f>
        <v>0</v>
      </c>
      <c r="P199" s="31">
        <f>IFERROR(VLOOKUP($D199,bug_conf_sheet!$A:$H,5,FALSE),VLOOKUP("other",bug_conf_sheet!$A:$H,5,FALSE))</f>
        <v>0</v>
      </c>
      <c r="Q199" s="31">
        <f>IFERROR(VLOOKUP($D199,bug_conf_sheet!$A:$H,6,FALSE),VLOOKUP("other",bug_conf_sheet!$A:$H,6,FALSE))</f>
        <v>0</v>
      </c>
      <c r="R199" s="31">
        <f>IFERROR(VLOOKUP($D199,bug_conf_sheet!$A:$H,7,FALSE),VLOOKUP("other",bug_conf_sheet!$A:$H,7,FALSE))</f>
        <v>0</v>
      </c>
      <c r="S199" s="31">
        <f>IFERROR(VLOOKUP($D199,bug_conf_sheet!$A:$H,8,FALSE),VLOOKUP("other",bug_conf_sheet!$A:$H,8,FALSE))</f>
        <v>1</v>
      </c>
    </row>
    <row r="200" spans="1:19" ht="21" hidden="1" customHeight="1">
      <c r="A200" s="2">
        <f>input_1!A$2</f>
        <v>3121</v>
      </c>
      <c r="B200" s="7" t="str">
        <f t="shared" si="10"/>
        <v>Premium5</v>
      </c>
      <c r="C200" s="7" t="str">
        <f t="shared" si="11"/>
        <v>Premium</v>
      </c>
      <c r="D200" s="6">
        <v>478</v>
      </c>
      <c r="E200" s="7" t="str">
        <f>VLOOKUP(D200,[1]characters!$A:$C,3,FALSE)</f>
        <v>時計仕掛けの愛羽妖精 ファータ</v>
      </c>
      <c r="F200" s="7" t="str">
        <f>VLOOKUP(D200,[1]characters!$A:$J,10,FALSE)</f>
        <v>PremiumS</v>
      </c>
      <c r="G200" s="7">
        <f>VLOOKUP(D200,[1]characters!$A:$I,9,FALSE)</f>
        <v>5</v>
      </c>
      <c r="H200" s="7" t="str">
        <f>VLOOKUP(D200,[1]characters!$A:$H,8,FALSE)</f>
        <v>green</v>
      </c>
      <c r="I200" s="7" t="str">
        <f>VLOOKUP(D200,[1]characters!$A:$K,11,FALSE)</f>
        <v>heal</v>
      </c>
      <c r="J200" s="7" t="str">
        <f>VLOOKUP(D200,[1]characters!$A:$M,13,FALSE)</f>
        <v>unknown</v>
      </c>
      <c r="K200" s="7" t="str">
        <f>VLOOKUP(D200,[1]characters!$A:$G,7,FALSE)</f>
        <v>女性</v>
      </c>
      <c r="L200" s="66">
        <f>IFERROR(VLOOKUP(D200,input_1!L:R,7,FALSE),VLOOKUP(tables_1!B200,input_1!A:H,8,FALSE))</f>
        <v>23569</v>
      </c>
      <c r="M200" s="67">
        <f t="shared" si="9"/>
        <v>9.0740740740740745E-4</v>
      </c>
      <c r="N200" s="31">
        <f>IFERROR(VLOOKUP($D200,bug_conf_sheet!$A:$H,3,FALSE),VLOOKUP("other",bug_conf_sheet!$A:$H,3,FALSE))</f>
        <v>1</v>
      </c>
      <c r="O200" s="31">
        <f>IFERROR(VLOOKUP($D200,bug_conf_sheet!$A:$H,4,FALSE),VLOOKUP("other",bug_conf_sheet!$A:$H,4,FALSE))</f>
        <v>0</v>
      </c>
      <c r="P200" s="31">
        <f>IFERROR(VLOOKUP($D200,bug_conf_sheet!$A:$H,5,FALSE),VLOOKUP("other",bug_conf_sheet!$A:$H,5,FALSE))</f>
        <v>0</v>
      </c>
      <c r="Q200" s="31">
        <f>IFERROR(VLOOKUP($D200,bug_conf_sheet!$A:$H,6,FALSE),VLOOKUP("other",bug_conf_sheet!$A:$H,6,FALSE))</f>
        <v>0</v>
      </c>
      <c r="R200" s="31">
        <f>IFERROR(VLOOKUP($D200,bug_conf_sheet!$A:$H,7,FALSE),VLOOKUP("other",bug_conf_sheet!$A:$H,7,FALSE))</f>
        <v>0</v>
      </c>
      <c r="S200" s="31">
        <f>IFERROR(VLOOKUP($D200,bug_conf_sheet!$A:$H,8,FALSE),VLOOKUP("other",bug_conf_sheet!$A:$H,8,FALSE))</f>
        <v>1</v>
      </c>
    </row>
    <row r="201" spans="1:19" ht="21" hidden="1" customHeight="1">
      <c r="A201" s="2">
        <f>input_1!A$2</f>
        <v>3121</v>
      </c>
      <c r="B201" s="7" t="str">
        <f t="shared" si="10"/>
        <v>PremiumSS4</v>
      </c>
      <c r="C201" s="7" t="str">
        <f t="shared" si="11"/>
        <v>PremiumSS</v>
      </c>
      <c r="D201" s="6">
        <v>479</v>
      </c>
      <c r="E201" s="7" t="str">
        <f>VLOOKUP(D201,[1]characters!$A:$C,3,FALSE)</f>
        <v>フール</v>
      </c>
      <c r="F201" s="7" t="str">
        <f>VLOOKUP(D201,[1]characters!$A:$J,10,FALSE)</f>
        <v>PremiumSS</v>
      </c>
      <c r="G201" s="7">
        <f>VLOOKUP(D201,[1]characters!$A:$I,9,FALSE)</f>
        <v>4</v>
      </c>
      <c r="H201" s="7" t="str">
        <f>VLOOKUP(D201,[1]characters!$A:$H,8,FALSE)</f>
        <v>blue</v>
      </c>
      <c r="I201" s="7" t="str">
        <f>VLOOKUP(D201,[1]characters!$A:$K,11,FALSE)</f>
        <v>technical</v>
      </c>
      <c r="J201" s="7" t="str">
        <f>VLOOKUP(D201,[1]characters!$A:$M,13,FALSE)</f>
        <v>god</v>
      </c>
      <c r="K201" s="7" t="str">
        <f>VLOOKUP(D201,[1]characters!$A:$G,7,FALSE)</f>
        <v>男性</v>
      </c>
      <c r="L201" s="66">
        <f>IFERROR(VLOOKUP(D201,input_1!L:R,7,FALSE),VLOOKUP(tables_1!B201,input_1!A:H,8,FALSE))</f>
        <v>8991</v>
      </c>
      <c r="M201" s="67">
        <f t="shared" si="9"/>
        <v>3.4615384615384613E-4</v>
      </c>
      <c r="N201" s="31">
        <f>IFERROR(VLOOKUP($D201,bug_conf_sheet!$A:$H,3,FALSE),VLOOKUP("other",bug_conf_sheet!$A:$H,3,FALSE))</f>
        <v>1</v>
      </c>
      <c r="O201" s="31">
        <f>IFERROR(VLOOKUP($D201,bug_conf_sheet!$A:$H,4,FALSE),VLOOKUP("other",bug_conf_sheet!$A:$H,4,FALSE))</f>
        <v>0</v>
      </c>
      <c r="P201" s="31">
        <f>IFERROR(VLOOKUP($D201,bug_conf_sheet!$A:$H,5,FALSE),VLOOKUP("other",bug_conf_sheet!$A:$H,5,FALSE))</f>
        <v>0</v>
      </c>
      <c r="Q201" s="31">
        <f>IFERROR(VLOOKUP($D201,bug_conf_sheet!$A:$H,6,FALSE),VLOOKUP("other",bug_conf_sheet!$A:$H,6,FALSE))</f>
        <v>0</v>
      </c>
      <c r="R201" s="31">
        <f>IFERROR(VLOOKUP($D201,bug_conf_sheet!$A:$H,7,FALSE),VLOOKUP("other",bug_conf_sheet!$A:$H,7,FALSE))</f>
        <v>0</v>
      </c>
      <c r="S201" s="31">
        <f>IFERROR(VLOOKUP($D201,bug_conf_sheet!$A:$H,8,FALSE),VLOOKUP("other",bug_conf_sheet!$A:$H,8,FALSE))</f>
        <v>1</v>
      </c>
    </row>
    <row r="202" spans="1:19" ht="21" customHeight="1">
      <c r="A202" s="2">
        <f>input_1!A$2</f>
        <v>3121</v>
      </c>
      <c r="B202" s="7" t="str">
        <f t="shared" si="10"/>
        <v>PremiumSS5</v>
      </c>
      <c r="C202" s="7" t="str">
        <f t="shared" si="11"/>
        <v>PremiumSS</v>
      </c>
      <c r="D202" s="6">
        <v>480</v>
      </c>
      <c r="E202" s="7" t="str">
        <f>VLOOKUP(D202,[1]characters!$A:$C,3,FALSE)</f>
        <v>夢幻の愚者フール</v>
      </c>
      <c r="F202" s="7" t="str">
        <f>VLOOKUP(D202,[1]characters!$A:$J,10,FALSE)</f>
        <v>PremiumSS</v>
      </c>
      <c r="G202" s="7">
        <f>VLOOKUP(D202,[1]characters!$A:$I,9,FALSE)</f>
        <v>5</v>
      </c>
      <c r="H202" s="7" t="str">
        <f>VLOOKUP(D202,[1]characters!$A:$H,8,FALSE)</f>
        <v>blue</v>
      </c>
      <c r="I202" s="7" t="str">
        <f>VLOOKUP(D202,[1]characters!$A:$K,11,FALSE)</f>
        <v>technical</v>
      </c>
      <c r="J202" s="7" t="str">
        <f>VLOOKUP(D202,[1]characters!$A:$M,13,FALSE)</f>
        <v>god</v>
      </c>
      <c r="K202" s="7" t="str">
        <f>VLOOKUP(D202,[1]characters!$A:$G,7,FALSE)</f>
        <v>男性</v>
      </c>
      <c r="L202" s="66">
        <f>IFERROR(VLOOKUP(D202,input_1!L:R,7,FALSE),VLOOKUP(tables_1!B202,input_1!A:H,8,FALSE))</f>
        <v>999</v>
      </c>
      <c r="M202" s="67">
        <f t="shared" si="9"/>
        <v>3.8461538461538463E-5</v>
      </c>
      <c r="N202" s="31">
        <f>IFERROR(VLOOKUP($D202,bug_conf_sheet!$A:$H,3,FALSE),VLOOKUP("other",bug_conf_sheet!$A:$H,3,FALSE))</f>
        <v>1</v>
      </c>
      <c r="O202" s="31">
        <f>IFERROR(VLOOKUP($D202,bug_conf_sheet!$A:$H,4,FALSE),VLOOKUP("other",bug_conf_sheet!$A:$H,4,FALSE))</f>
        <v>0</v>
      </c>
      <c r="P202" s="31">
        <f>IFERROR(VLOOKUP($D202,bug_conf_sheet!$A:$H,5,FALSE),VLOOKUP("other",bug_conf_sheet!$A:$H,5,FALSE))</f>
        <v>0</v>
      </c>
      <c r="Q202" s="31">
        <f>IFERROR(VLOOKUP($D202,bug_conf_sheet!$A:$H,6,FALSE),VLOOKUP("other",bug_conf_sheet!$A:$H,6,FALSE))</f>
        <v>0</v>
      </c>
      <c r="R202" s="31">
        <f>IFERROR(VLOOKUP($D202,bug_conf_sheet!$A:$H,7,FALSE),VLOOKUP("other",bug_conf_sheet!$A:$H,7,FALSE))</f>
        <v>0</v>
      </c>
      <c r="S202" s="31">
        <f>IFERROR(VLOOKUP($D202,bug_conf_sheet!$A:$H,8,FALSE),VLOOKUP("other",bug_conf_sheet!$A:$H,8,FALSE))</f>
        <v>1</v>
      </c>
    </row>
    <row r="203" spans="1:19" ht="21" hidden="1" customHeight="1">
      <c r="A203" s="2">
        <f>input_1!A$2</f>
        <v>3121</v>
      </c>
      <c r="B203" s="7" t="str">
        <f t="shared" si="10"/>
        <v>Premium3</v>
      </c>
      <c r="C203" s="7" t="str">
        <f t="shared" si="11"/>
        <v>Premium</v>
      </c>
      <c r="D203" s="6">
        <v>481</v>
      </c>
      <c r="E203" s="7" t="str">
        <f>VLOOKUP(D203,[1]characters!$A:$C,3,FALSE)</f>
        <v>沢庵宗彭</v>
      </c>
      <c r="F203" s="7" t="str">
        <f>VLOOKUP(D203,[1]characters!$A:$J,10,FALSE)</f>
        <v>PremiumS</v>
      </c>
      <c r="G203" s="7">
        <f>VLOOKUP(D203,[1]characters!$A:$I,9,FALSE)</f>
        <v>3</v>
      </c>
      <c r="H203" s="7" t="str">
        <f>VLOOKUP(D203,[1]characters!$A:$H,8,FALSE)</f>
        <v>yellow</v>
      </c>
      <c r="I203" s="7" t="str">
        <f>VLOOKUP(D203,[1]characters!$A:$K,11,FALSE)</f>
        <v>hp</v>
      </c>
      <c r="J203" s="7" t="str">
        <f>VLOOKUP(D203,[1]characters!$A:$M,13,FALSE)</f>
        <v>human</v>
      </c>
      <c r="K203" s="7" t="str">
        <f>VLOOKUP(D203,[1]characters!$A:$G,7,FALSE)</f>
        <v>男性</v>
      </c>
      <c r="L203" s="66">
        <f>IFERROR(VLOOKUP(D203,input_1!L:R,7,FALSE),VLOOKUP(tables_1!B203,input_1!A:H,8,FALSE))</f>
        <v>175500</v>
      </c>
      <c r="M203" s="67">
        <f t="shared" si="9"/>
        <v>6.7567567567567571E-3</v>
      </c>
      <c r="N203" s="31">
        <f>IFERROR(VLOOKUP($D203,bug_conf_sheet!$A:$H,3,FALSE),VLOOKUP("other",bug_conf_sheet!$A:$H,3,FALSE))</f>
        <v>1</v>
      </c>
      <c r="O203" s="31">
        <f>IFERROR(VLOOKUP($D203,bug_conf_sheet!$A:$H,4,FALSE),VLOOKUP("other",bug_conf_sheet!$A:$H,4,FALSE))</f>
        <v>0</v>
      </c>
      <c r="P203" s="31">
        <f>IFERROR(VLOOKUP($D203,bug_conf_sheet!$A:$H,5,FALSE),VLOOKUP("other",bug_conf_sheet!$A:$H,5,FALSE))</f>
        <v>0</v>
      </c>
      <c r="Q203" s="31">
        <f>IFERROR(VLOOKUP($D203,bug_conf_sheet!$A:$H,6,FALSE),VLOOKUP("other",bug_conf_sheet!$A:$H,6,FALSE))</f>
        <v>0</v>
      </c>
      <c r="R203" s="31">
        <f>IFERROR(VLOOKUP($D203,bug_conf_sheet!$A:$H,7,FALSE),VLOOKUP("other",bug_conf_sheet!$A:$H,7,FALSE))</f>
        <v>0</v>
      </c>
      <c r="S203" s="31">
        <f>IFERROR(VLOOKUP($D203,bug_conf_sheet!$A:$H,8,FALSE),VLOOKUP("other",bug_conf_sheet!$A:$H,8,FALSE))</f>
        <v>1</v>
      </c>
    </row>
    <row r="204" spans="1:19" ht="21" hidden="1" customHeight="1">
      <c r="A204" s="2">
        <f>input_1!A$2</f>
        <v>3121</v>
      </c>
      <c r="B204" s="7" t="str">
        <f t="shared" si="10"/>
        <v>Premium4</v>
      </c>
      <c r="C204" s="7" t="str">
        <f t="shared" si="11"/>
        <v>Premium</v>
      </c>
      <c r="D204" s="6">
        <v>482</v>
      </c>
      <c r="E204" s="7" t="str">
        <f>VLOOKUP(D204,[1]characters!$A:$C,3,FALSE)</f>
        <v>魁僧 沢庵宗彭</v>
      </c>
      <c r="F204" s="7" t="str">
        <f>VLOOKUP(D204,[1]characters!$A:$J,10,FALSE)</f>
        <v>PremiumS</v>
      </c>
      <c r="G204" s="7">
        <f>VLOOKUP(D204,[1]characters!$A:$I,9,FALSE)</f>
        <v>4</v>
      </c>
      <c r="H204" s="7" t="str">
        <f>VLOOKUP(D204,[1]characters!$A:$H,8,FALSE)</f>
        <v>yellow</v>
      </c>
      <c r="I204" s="7" t="str">
        <f>VLOOKUP(D204,[1]characters!$A:$K,11,FALSE)</f>
        <v>hp</v>
      </c>
      <c r="J204" s="7" t="str">
        <f>VLOOKUP(D204,[1]characters!$A:$M,13,FALSE)</f>
        <v>human</v>
      </c>
      <c r="K204" s="7" t="str">
        <f>VLOOKUP(D204,[1]characters!$A:$G,7,FALSE)</f>
        <v>男性</v>
      </c>
      <c r="L204" s="66">
        <f>IFERROR(VLOOKUP(D204,input_1!L:R,7,FALSE),VLOOKUP(tables_1!B204,input_1!A:H,8,FALSE))</f>
        <v>154791</v>
      </c>
      <c r="M204" s="67">
        <f t="shared" si="9"/>
        <v>5.9594594594594595E-3</v>
      </c>
      <c r="N204" s="31">
        <f>IFERROR(VLOOKUP($D204,bug_conf_sheet!$A:$H,3,FALSE),VLOOKUP("other",bug_conf_sheet!$A:$H,3,FALSE))</f>
        <v>1</v>
      </c>
      <c r="O204" s="31">
        <f>IFERROR(VLOOKUP($D204,bug_conf_sheet!$A:$H,4,FALSE),VLOOKUP("other",bug_conf_sheet!$A:$H,4,FALSE))</f>
        <v>0</v>
      </c>
      <c r="P204" s="31">
        <f>IFERROR(VLOOKUP($D204,bug_conf_sheet!$A:$H,5,FALSE),VLOOKUP("other",bug_conf_sheet!$A:$H,5,FALSE))</f>
        <v>0</v>
      </c>
      <c r="Q204" s="31">
        <f>IFERROR(VLOOKUP($D204,bug_conf_sheet!$A:$H,6,FALSE),VLOOKUP("other",bug_conf_sheet!$A:$H,6,FALSE))</f>
        <v>0</v>
      </c>
      <c r="R204" s="31">
        <f>IFERROR(VLOOKUP($D204,bug_conf_sheet!$A:$H,7,FALSE),VLOOKUP("other",bug_conf_sheet!$A:$H,7,FALSE))</f>
        <v>0</v>
      </c>
      <c r="S204" s="31">
        <f>IFERROR(VLOOKUP($D204,bug_conf_sheet!$A:$H,8,FALSE),VLOOKUP("other",bug_conf_sheet!$A:$H,8,FALSE))</f>
        <v>1</v>
      </c>
    </row>
    <row r="205" spans="1:19" ht="21" hidden="1" customHeight="1">
      <c r="A205" s="2">
        <f>input_1!A$2</f>
        <v>3121</v>
      </c>
      <c r="B205" s="7" t="str">
        <f t="shared" si="10"/>
        <v>Premium5</v>
      </c>
      <c r="C205" s="7" t="str">
        <f t="shared" si="11"/>
        <v>Premium</v>
      </c>
      <c r="D205" s="6">
        <v>483</v>
      </c>
      <c r="E205" s="7" t="str">
        <f>VLOOKUP(D205,[1]characters!$A:$C,3,FALSE)</f>
        <v xml:space="preserve">命経死遂 沢庵宗彭 </v>
      </c>
      <c r="F205" s="7" t="str">
        <f>VLOOKUP(D205,[1]characters!$A:$J,10,FALSE)</f>
        <v>PremiumS</v>
      </c>
      <c r="G205" s="7">
        <f>VLOOKUP(D205,[1]characters!$A:$I,9,FALSE)</f>
        <v>5</v>
      </c>
      <c r="H205" s="7" t="str">
        <f>VLOOKUP(D205,[1]characters!$A:$H,8,FALSE)</f>
        <v>yellow</v>
      </c>
      <c r="I205" s="7" t="str">
        <f>VLOOKUP(D205,[1]characters!$A:$K,11,FALSE)</f>
        <v>hp</v>
      </c>
      <c r="J205" s="7" t="str">
        <f>VLOOKUP(D205,[1]characters!$A:$M,13,FALSE)</f>
        <v>human</v>
      </c>
      <c r="K205" s="7" t="str">
        <f>VLOOKUP(D205,[1]characters!$A:$G,7,FALSE)</f>
        <v>男性</v>
      </c>
      <c r="L205" s="66">
        <f>IFERROR(VLOOKUP(D205,input_1!L:R,7,FALSE),VLOOKUP(tables_1!B205,input_1!A:H,8,FALSE))</f>
        <v>23569</v>
      </c>
      <c r="M205" s="67">
        <f t="shared" si="9"/>
        <v>9.0740740740740745E-4</v>
      </c>
      <c r="N205" s="31">
        <f>IFERROR(VLOOKUP($D205,bug_conf_sheet!$A:$H,3,FALSE),VLOOKUP("other",bug_conf_sheet!$A:$H,3,FALSE))</f>
        <v>1</v>
      </c>
      <c r="O205" s="31">
        <f>IFERROR(VLOOKUP($D205,bug_conf_sheet!$A:$H,4,FALSE),VLOOKUP("other",bug_conf_sheet!$A:$H,4,FALSE))</f>
        <v>0</v>
      </c>
      <c r="P205" s="31">
        <f>IFERROR(VLOOKUP($D205,bug_conf_sheet!$A:$H,5,FALSE),VLOOKUP("other",bug_conf_sheet!$A:$H,5,FALSE))</f>
        <v>0</v>
      </c>
      <c r="Q205" s="31">
        <f>IFERROR(VLOOKUP($D205,bug_conf_sheet!$A:$H,6,FALSE),VLOOKUP("other",bug_conf_sheet!$A:$H,6,FALSE))</f>
        <v>0</v>
      </c>
      <c r="R205" s="31">
        <f>IFERROR(VLOOKUP($D205,bug_conf_sheet!$A:$H,7,FALSE),VLOOKUP("other",bug_conf_sheet!$A:$H,7,FALSE))</f>
        <v>0</v>
      </c>
      <c r="S205" s="31">
        <f>IFERROR(VLOOKUP($D205,bug_conf_sheet!$A:$H,8,FALSE),VLOOKUP("other",bug_conf_sheet!$A:$H,8,FALSE))</f>
        <v>1</v>
      </c>
    </row>
    <row r="206" spans="1:19" ht="21" hidden="1" customHeight="1">
      <c r="A206" s="2">
        <f>input_1!A$2</f>
        <v>3121</v>
      </c>
      <c r="B206" s="7" t="str">
        <f t="shared" si="10"/>
        <v>PremiumSS4</v>
      </c>
      <c r="C206" s="7" t="str">
        <f t="shared" si="11"/>
        <v>PremiumSS</v>
      </c>
      <c r="D206" s="6">
        <v>492</v>
      </c>
      <c r="E206" s="7" t="str">
        <f>VLOOKUP(D206,[1]characters!$A:$C,3,FALSE)</f>
        <v>ブートレグ・ペロー</v>
      </c>
      <c r="F206" s="7" t="str">
        <f>VLOOKUP(D206,[1]characters!$A:$J,10,FALSE)</f>
        <v>PremiumSS</v>
      </c>
      <c r="G206" s="7">
        <f>VLOOKUP(D206,[1]characters!$A:$I,9,FALSE)</f>
        <v>4</v>
      </c>
      <c r="H206" s="7" t="str">
        <f>VLOOKUP(D206,[1]characters!$A:$H,8,FALSE)</f>
        <v>red</v>
      </c>
      <c r="I206" s="7" t="str">
        <f>VLOOKUP(D206,[1]characters!$A:$K,11,FALSE)</f>
        <v>hp</v>
      </c>
      <c r="J206" s="7" t="str">
        <f>VLOOKUP(D206,[1]characters!$A:$M,13,FALSE)</f>
        <v>animal</v>
      </c>
      <c r="K206" s="7" t="str">
        <f>VLOOKUP(D206,[1]characters!$A:$G,7,FALSE)</f>
        <v>不明</v>
      </c>
      <c r="L206" s="66">
        <f>IFERROR(VLOOKUP(D206,input_1!L:R,7,FALSE),VLOOKUP(tables_1!B206,input_1!A:H,8,FALSE))</f>
        <v>8991</v>
      </c>
      <c r="M206" s="67">
        <f t="shared" si="9"/>
        <v>3.4615384615384613E-4</v>
      </c>
      <c r="N206" s="31">
        <f>IFERROR(VLOOKUP($D206,bug_conf_sheet!$A:$H,3,FALSE),VLOOKUP("other",bug_conf_sheet!$A:$H,3,FALSE))</f>
        <v>1</v>
      </c>
      <c r="O206" s="31">
        <f>IFERROR(VLOOKUP($D206,bug_conf_sheet!$A:$H,4,FALSE),VLOOKUP("other",bug_conf_sheet!$A:$H,4,FALSE))</f>
        <v>0</v>
      </c>
      <c r="P206" s="31">
        <f>IFERROR(VLOOKUP($D206,bug_conf_sheet!$A:$H,5,FALSE),VLOOKUP("other",bug_conf_sheet!$A:$H,5,FALSE))</f>
        <v>0</v>
      </c>
      <c r="Q206" s="31">
        <f>IFERROR(VLOOKUP($D206,bug_conf_sheet!$A:$H,6,FALSE),VLOOKUP("other",bug_conf_sheet!$A:$H,6,FALSE))</f>
        <v>0</v>
      </c>
      <c r="R206" s="31">
        <f>IFERROR(VLOOKUP($D206,bug_conf_sheet!$A:$H,7,FALSE),VLOOKUP("other",bug_conf_sheet!$A:$H,7,FALSE))</f>
        <v>0</v>
      </c>
      <c r="S206" s="31">
        <f>IFERROR(VLOOKUP($D206,bug_conf_sheet!$A:$H,8,FALSE),VLOOKUP("other",bug_conf_sheet!$A:$H,8,FALSE))</f>
        <v>1</v>
      </c>
    </row>
    <row r="207" spans="1:19" ht="21" customHeight="1">
      <c r="A207" s="2">
        <f>input_1!A$2</f>
        <v>3121</v>
      </c>
      <c r="B207" s="7" t="str">
        <f t="shared" si="10"/>
        <v>PremiumSS5</v>
      </c>
      <c r="C207" s="7" t="str">
        <f t="shared" si="11"/>
        <v>PremiumSS</v>
      </c>
      <c r="D207" s="6">
        <v>493</v>
      </c>
      <c r="E207" s="7" t="str">
        <f>VLOOKUP(D207,[1]characters!$A:$C,3,FALSE)</f>
        <v>跋扈の機脚 ブートレグ・ペロー</v>
      </c>
      <c r="F207" s="7" t="str">
        <f>VLOOKUP(D207,[1]characters!$A:$J,10,FALSE)</f>
        <v>PremiumSS</v>
      </c>
      <c r="G207" s="7">
        <f>VLOOKUP(D207,[1]characters!$A:$I,9,FALSE)</f>
        <v>5</v>
      </c>
      <c r="H207" s="7" t="str">
        <f>VLOOKUP(D207,[1]characters!$A:$H,8,FALSE)</f>
        <v>red</v>
      </c>
      <c r="I207" s="7" t="str">
        <f>VLOOKUP(D207,[1]characters!$A:$K,11,FALSE)</f>
        <v>hp</v>
      </c>
      <c r="J207" s="7" t="str">
        <f>VLOOKUP(D207,[1]characters!$A:$M,13,FALSE)</f>
        <v>animal</v>
      </c>
      <c r="K207" s="7" t="str">
        <f>VLOOKUP(D207,[1]characters!$A:$G,7,FALSE)</f>
        <v>不明</v>
      </c>
      <c r="L207" s="66">
        <f>IFERROR(VLOOKUP(D207,input_1!L:R,7,FALSE),VLOOKUP(tables_1!B207,input_1!A:H,8,FALSE))</f>
        <v>999</v>
      </c>
      <c r="M207" s="67">
        <f t="shared" si="9"/>
        <v>3.8461538461538463E-5</v>
      </c>
      <c r="N207" s="31">
        <f>IFERROR(VLOOKUP($D207,bug_conf_sheet!$A:$H,3,FALSE),VLOOKUP("other",bug_conf_sheet!$A:$H,3,FALSE))</f>
        <v>1</v>
      </c>
      <c r="O207" s="31">
        <f>IFERROR(VLOOKUP($D207,bug_conf_sheet!$A:$H,4,FALSE),VLOOKUP("other",bug_conf_sheet!$A:$H,4,FALSE))</f>
        <v>0</v>
      </c>
      <c r="P207" s="31">
        <f>IFERROR(VLOOKUP($D207,bug_conf_sheet!$A:$H,5,FALSE),VLOOKUP("other",bug_conf_sheet!$A:$H,5,FALSE))</f>
        <v>0</v>
      </c>
      <c r="Q207" s="31">
        <f>IFERROR(VLOOKUP($D207,bug_conf_sheet!$A:$H,6,FALSE),VLOOKUP("other",bug_conf_sheet!$A:$H,6,FALSE))</f>
        <v>0</v>
      </c>
      <c r="R207" s="31">
        <f>IFERROR(VLOOKUP($D207,bug_conf_sheet!$A:$H,7,FALSE),VLOOKUP("other",bug_conf_sheet!$A:$H,7,FALSE))</f>
        <v>0</v>
      </c>
      <c r="S207" s="31">
        <f>IFERROR(VLOOKUP($D207,bug_conf_sheet!$A:$H,8,FALSE),VLOOKUP("other",bug_conf_sheet!$A:$H,8,FALSE))</f>
        <v>1</v>
      </c>
    </row>
    <row r="208" spans="1:19" ht="21" hidden="1" customHeight="1">
      <c r="A208" s="2">
        <f>input_1!A$2</f>
        <v>3121</v>
      </c>
      <c r="B208" s="7" t="str">
        <f t="shared" si="10"/>
        <v>PremiumSS4</v>
      </c>
      <c r="C208" s="7" t="str">
        <f t="shared" si="11"/>
        <v>PremiumSS</v>
      </c>
      <c r="D208" s="6">
        <v>494</v>
      </c>
      <c r="E208" s="7" t="str">
        <f>VLOOKUP(D208,[1]characters!$A:$C,3,FALSE)</f>
        <v>ハーメルン</v>
      </c>
      <c r="F208" s="7" t="str">
        <f>VLOOKUP(D208,[1]characters!$A:$J,10,FALSE)</f>
        <v>PremiumSS</v>
      </c>
      <c r="G208" s="7">
        <f>VLOOKUP(D208,[1]characters!$A:$I,9,FALSE)</f>
        <v>4</v>
      </c>
      <c r="H208" s="7" t="str">
        <f>VLOOKUP(D208,[1]characters!$A:$H,8,FALSE)</f>
        <v>green</v>
      </c>
      <c r="I208" s="7" t="str">
        <f>VLOOKUP(D208,[1]characters!$A:$K,11,FALSE)</f>
        <v>technical</v>
      </c>
      <c r="J208" s="7" t="str">
        <f>VLOOKUP(D208,[1]characters!$A:$M,13,FALSE)</f>
        <v>human</v>
      </c>
      <c r="K208" s="7" t="str">
        <f>VLOOKUP(D208,[1]characters!$A:$G,7,FALSE)</f>
        <v>男性</v>
      </c>
      <c r="L208" s="66">
        <f>IFERROR(VLOOKUP(D208,input_1!L:R,7,FALSE),VLOOKUP(tables_1!B208,input_1!A:H,8,FALSE))</f>
        <v>8991</v>
      </c>
      <c r="M208" s="67">
        <f t="shared" si="9"/>
        <v>3.4615384615384613E-4</v>
      </c>
      <c r="N208" s="31">
        <f>IFERROR(VLOOKUP($D208,bug_conf_sheet!$A:$H,3,FALSE),VLOOKUP("other",bug_conf_sheet!$A:$H,3,FALSE))</f>
        <v>1</v>
      </c>
      <c r="O208" s="31">
        <f>IFERROR(VLOOKUP($D208,bug_conf_sheet!$A:$H,4,FALSE),VLOOKUP("other",bug_conf_sheet!$A:$H,4,FALSE))</f>
        <v>0</v>
      </c>
      <c r="P208" s="31">
        <f>IFERROR(VLOOKUP($D208,bug_conf_sheet!$A:$H,5,FALSE),VLOOKUP("other",bug_conf_sheet!$A:$H,5,FALSE))</f>
        <v>0</v>
      </c>
      <c r="Q208" s="31">
        <f>IFERROR(VLOOKUP($D208,bug_conf_sheet!$A:$H,6,FALSE),VLOOKUP("other",bug_conf_sheet!$A:$H,6,FALSE))</f>
        <v>0</v>
      </c>
      <c r="R208" s="31">
        <f>IFERROR(VLOOKUP($D208,bug_conf_sheet!$A:$H,7,FALSE),VLOOKUP("other",bug_conf_sheet!$A:$H,7,FALSE))</f>
        <v>0</v>
      </c>
      <c r="S208" s="31">
        <f>IFERROR(VLOOKUP($D208,bug_conf_sheet!$A:$H,8,FALSE),VLOOKUP("other",bug_conf_sheet!$A:$H,8,FALSE))</f>
        <v>1</v>
      </c>
    </row>
    <row r="209" spans="1:19" ht="21" customHeight="1">
      <c r="A209" s="2">
        <f>input_1!A$2</f>
        <v>3121</v>
      </c>
      <c r="B209" s="7" t="str">
        <f t="shared" si="10"/>
        <v>PremiumSS5</v>
      </c>
      <c r="C209" s="7" t="str">
        <f t="shared" si="11"/>
        <v>PremiumSS</v>
      </c>
      <c r="D209" s="6">
        <v>495</v>
      </c>
      <c r="E209" s="7" t="str">
        <f>VLOOKUP(D209,[1]characters!$A:$C,3,FALSE)</f>
        <v>鼠災呼ぶ笛音 ハーメルン</v>
      </c>
      <c r="F209" s="7" t="str">
        <f>VLOOKUP(D209,[1]characters!$A:$J,10,FALSE)</f>
        <v>PremiumSS</v>
      </c>
      <c r="G209" s="7">
        <f>VLOOKUP(D209,[1]characters!$A:$I,9,FALSE)</f>
        <v>5</v>
      </c>
      <c r="H209" s="7" t="str">
        <f>VLOOKUP(D209,[1]characters!$A:$H,8,FALSE)</f>
        <v>green</v>
      </c>
      <c r="I209" s="7" t="str">
        <f>VLOOKUP(D209,[1]characters!$A:$K,11,FALSE)</f>
        <v>technical</v>
      </c>
      <c r="J209" s="7" t="str">
        <f>VLOOKUP(D209,[1]characters!$A:$M,13,FALSE)</f>
        <v>human</v>
      </c>
      <c r="K209" s="7" t="str">
        <f>VLOOKUP(D209,[1]characters!$A:$G,7,FALSE)</f>
        <v>男性</v>
      </c>
      <c r="L209" s="66">
        <f>IFERROR(VLOOKUP(D209,input_1!L:R,7,FALSE),VLOOKUP(tables_1!B209,input_1!A:H,8,FALSE))</f>
        <v>999</v>
      </c>
      <c r="M209" s="67">
        <f t="shared" si="9"/>
        <v>3.8461538461538463E-5</v>
      </c>
      <c r="N209" s="31">
        <f>IFERROR(VLOOKUP($D209,bug_conf_sheet!$A:$H,3,FALSE),VLOOKUP("other",bug_conf_sheet!$A:$H,3,FALSE))</f>
        <v>1</v>
      </c>
      <c r="O209" s="31">
        <f>IFERROR(VLOOKUP($D209,bug_conf_sheet!$A:$H,4,FALSE),VLOOKUP("other",bug_conf_sheet!$A:$H,4,FALSE))</f>
        <v>0</v>
      </c>
      <c r="P209" s="31">
        <f>IFERROR(VLOOKUP($D209,bug_conf_sheet!$A:$H,5,FALSE),VLOOKUP("other",bug_conf_sheet!$A:$H,5,FALSE))</f>
        <v>0</v>
      </c>
      <c r="Q209" s="31">
        <f>IFERROR(VLOOKUP($D209,bug_conf_sheet!$A:$H,6,FALSE),VLOOKUP("other",bug_conf_sheet!$A:$H,6,FALSE))</f>
        <v>0</v>
      </c>
      <c r="R209" s="31">
        <f>IFERROR(VLOOKUP($D209,bug_conf_sheet!$A:$H,7,FALSE),VLOOKUP("other",bug_conf_sheet!$A:$H,7,FALSE))</f>
        <v>0</v>
      </c>
      <c r="S209" s="31">
        <f>IFERROR(VLOOKUP($D209,bug_conf_sheet!$A:$H,8,FALSE),VLOOKUP("other",bug_conf_sheet!$A:$H,8,FALSE))</f>
        <v>1</v>
      </c>
    </row>
    <row r="210" spans="1:19" ht="21" hidden="1" customHeight="1">
      <c r="A210" s="2">
        <f>input_1!A$2</f>
        <v>3121</v>
      </c>
      <c r="B210" s="7" t="str">
        <f t="shared" si="10"/>
        <v>Premium3</v>
      </c>
      <c r="C210" s="7" t="str">
        <f t="shared" si="11"/>
        <v>Premium</v>
      </c>
      <c r="D210" s="6">
        <v>496</v>
      </c>
      <c r="E210" s="7" t="str">
        <f>VLOOKUP(D210,[1]characters!$A:$C,3,FALSE)</f>
        <v>エスタブ</v>
      </c>
      <c r="F210" s="7" t="str">
        <f>VLOOKUP(D210,[1]characters!$A:$J,10,FALSE)</f>
        <v>PremiumS</v>
      </c>
      <c r="G210" s="7">
        <f>VLOOKUP(D210,[1]characters!$A:$I,9,FALSE)</f>
        <v>3</v>
      </c>
      <c r="H210" s="7" t="str">
        <f>VLOOKUP(D210,[1]characters!$A:$H,8,FALSE)</f>
        <v>blue</v>
      </c>
      <c r="I210" s="7" t="str">
        <f>VLOOKUP(D210,[1]characters!$A:$K,11,FALSE)</f>
        <v>attack</v>
      </c>
      <c r="J210" s="7" t="str">
        <f>VLOOKUP(D210,[1]characters!$A:$M,13,FALSE)</f>
        <v>human</v>
      </c>
      <c r="K210" s="7" t="str">
        <f>VLOOKUP(D210,[1]characters!$A:$G,7,FALSE)</f>
        <v>男性</v>
      </c>
      <c r="L210" s="66">
        <f>IFERROR(VLOOKUP(D210,input_1!L:R,7,FALSE),VLOOKUP(tables_1!B210,input_1!A:H,8,FALSE))</f>
        <v>175500</v>
      </c>
      <c r="M210" s="67">
        <f t="shared" si="9"/>
        <v>6.7567567567567571E-3</v>
      </c>
      <c r="N210" s="31">
        <f>IFERROR(VLOOKUP($D210,bug_conf_sheet!$A:$H,3,FALSE),VLOOKUP("other",bug_conf_sheet!$A:$H,3,FALSE))</f>
        <v>1</v>
      </c>
      <c r="O210" s="31">
        <f>IFERROR(VLOOKUP($D210,bug_conf_sheet!$A:$H,4,FALSE),VLOOKUP("other",bug_conf_sheet!$A:$H,4,FALSE))</f>
        <v>0</v>
      </c>
      <c r="P210" s="31">
        <f>IFERROR(VLOOKUP($D210,bug_conf_sheet!$A:$H,5,FALSE),VLOOKUP("other",bug_conf_sheet!$A:$H,5,FALSE))</f>
        <v>0</v>
      </c>
      <c r="Q210" s="31">
        <f>IFERROR(VLOOKUP($D210,bug_conf_sheet!$A:$H,6,FALSE),VLOOKUP("other",bug_conf_sheet!$A:$H,6,FALSE))</f>
        <v>0</v>
      </c>
      <c r="R210" s="31">
        <f>IFERROR(VLOOKUP($D210,bug_conf_sheet!$A:$H,7,FALSE),VLOOKUP("other",bug_conf_sheet!$A:$H,7,FALSE))</f>
        <v>0</v>
      </c>
      <c r="S210" s="31">
        <f>IFERROR(VLOOKUP($D210,bug_conf_sheet!$A:$H,8,FALSE),VLOOKUP("other",bug_conf_sheet!$A:$H,8,FALSE))</f>
        <v>1</v>
      </c>
    </row>
    <row r="211" spans="1:19" ht="21" hidden="1" customHeight="1">
      <c r="A211" s="2">
        <f>input_1!A$2</f>
        <v>3121</v>
      </c>
      <c r="B211" s="7" t="str">
        <f t="shared" si="10"/>
        <v>Premium4</v>
      </c>
      <c r="C211" s="7" t="str">
        <f t="shared" si="11"/>
        <v>Premium</v>
      </c>
      <c r="D211" s="6">
        <v>497</v>
      </c>
      <c r="E211" s="7" t="str">
        <f>VLOOKUP(D211,[1]characters!$A:$C,3,FALSE)</f>
        <v>偏愛の野獣 エスタブ</v>
      </c>
      <c r="F211" s="7" t="str">
        <f>VLOOKUP(D211,[1]characters!$A:$J,10,FALSE)</f>
        <v>PremiumS</v>
      </c>
      <c r="G211" s="7">
        <f>VLOOKUP(D211,[1]characters!$A:$I,9,FALSE)</f>
        <v>4</v>
      </c>
      <c r="H211" s="7" t="str">
        <f>VLOOKUP(D211,[1]characters!$A:$H,8,FALSE)</f>
        <v>blue</v>
      </c>
      <c r="I211" s="7" t="str">
        <f>VLOOKUP(D211,[1]characters!$A:$K,11,FALSE)</f>
        <v>attack</v>
      </c>
      <c r="J211" s="7" t="str">
        <f>VLOOKUP(D211,[1]characters!$A:$M,13,FALSE)</f>
        <v>human</v>
      </c>
      <c r="K211" s="7" t="str">
        <f>VLOOKUP(D211,[1]characters!$A:$G,7,FALSE)</f>
        <v>男性</v>
      </c>
      <c r="L211" s="66">
        <f>IFERROR(VLOOKUP(D211,input_1!L:R,7,FALSE),VLOOKUP(tables_1!B211,input_1!A:H,8,FALSE))</f>
        <v>154791</v>
      </c>
      <c r="M211" s="67">
        <f t="shared" si="9"/>
        <v>5.9594594594594595E-3</v>
      </c>
      <c r="N211" s="31">
        <f>IFERROR(VLOOKUP($D211,bug_conf_sheet!$A:$H,3,FALSE),VLOOKUP("other",bug_conf_sheet!$A:$H,3,FALSE))</f>
        <v>1</v>
      </c>
      <c r="O211" s="31">
        <f>IFERROR(VLOOKUP($D211,bug_conf_sheet!$A:$H,4,FALSE),VLOOKUP("other",bug_conf_sheet!$A:$H,4,FALSE))</f>
        <v>0</v>
      </c>
      <c r="P211" s="31">
        <f>IFERROR(VLOOKUP($D211,bug_conf_sheet!$A:$H,5,FALSE),VLOOKUP("other",bug_conf_sheet!$A:$H,5,FALSE))</f>
        <v>0</v>
      </c>
      <c r="Q211" s="31">
        <f>IFERROR(VLOOKUP($D211,bug_conf_sheet!$A:$H,6,FALSE),VLOOKUP("other",bug_conf_sheet!$A:$H,6,FALSE))</f>
        <v>0</v>
      </c>
      <c r="R211" s="31">
        <f>IFERROR(VLOOKUP($D211,bug_conf_sheet!$A:$H,7,FALSE),VLOOKUP("other",bug_conf_sheet!$A:$H,7,FALSE))</f>
        <v>0</v>
      </c>
      <c r="S211" s="31">
        <f>IFERROR(VLOOKUP($D211,bug_conf_sheet!$A:$H,8,FALSE),VLOOKUP("other",bug_conf_sheet!$A:$H,8,FALSE))</f>
        <v>1</v>
      </c>
    </row>
    <row r="212" spans="1:19" ht="21" hidden="1" customHeight="1">
      <c r="A212" s="2">
        <f>input_1!A$2</f>
        <v>3121</v>
      </c>
      <c r="B212" s="7" t="str">
        <f t="shared" si="10"/>
        <v>Premium5</v>
      </c>
      <c r="C212" s="7" t="str">
        <f t="shared" si="11"/>
        <v>Premium</v>
      </c>
      <c r="D212" s="6">
        <v>498</v>
      </c>
      <c r="E212" s="7" t="str">
        <f>VLOOKUP(D212,[1]characters!$A:$C,3,FALSE)</f>
        <v>自愛の高魔 エスタブ</v>
      </c>
      <c r="F212" s="7" t="str">
        <f>VLOOKUP(D212,[1]characters!$A:$J,10,FALSE)</f>
        <v>PremiumS</v>
      </c>
      <c r="G212" s="7">
        <f>VLOOKUP(D212,[1]characters!$A:$I,9,FALSE)</f>
        <v>5</v>
      </c>
      <c r="H212" s="7" t="str">
        <f>VLOOKUP(D212,[1]characters!$A:$H,8,FALSE)</f>
        <v>blue</v>
      </c>
      <c r="I212" s="7" t="str">
        <f>VLOOKUP(D212,[1]characters!$A:$K,11,FALSE)</f>
        <v>attack</v>
      </c>
      <c r="J212" s="7" t="str">
        <f>VLOOKUP(D212,[1]characters!$A:$M,13,FALSE)</f>
        <v>human</v>
      </c>
      <c r="K212" s="7" t="str">
        <f>VLOOKUP(D212,[1]characters!$A:$G,7,FALSE)</f>
        <v>男性</v>
      </c>
      <c r="L212" s="66">
        <f>IFERROR(VLOOKUP(D212,input_1!L:R,7,FALSE),VLOOKUP(tables_1!B212,input_1!A:H,8,FALSE))</f>
        <v>23569</v>
      </c>
      <c r="M212" s="67">
        <f t="shared" si="9"/>
        <v>9.0740740740740745E-4</v>
      </c>
      <c r="N212" s="31">
        <f>IFERROR(VLOOKUP($D212,bug_conf_sheet!$A:$H,3,FALSE),VLOOKUP("other",bug_conf_sheet!$A:$H,3,FALSE))</f>
        <v>1</v>
      </c>
      <c r="O212" s="31">
        <f>IFERROR(VLOOKUP($D212,bug_conf_sheet!$A:$H,4,FALSE),VLOOKUP("other",bug_conf_sheet!$A:$H,4,FALSE))</f>
        <v>0</v>
      </c>
      <c r="P212" s="31">
        <f>IFERROR(VLOOKUP($D212,bug_conf_sheet!$A:$H,5,FALSE),VLOOKUP("other",bug_conf_sheet!$A:$H,5,FALSE))</f>
        <v>0</v>
      </c>
      <c r="Q212" s="31">
        <f>IFERROR(VLOOKUP($D212,bug_conf_sheet!$A:$H,6,FALSE),VLOOKUP("other",bug_conf_sheet!$A:$H,6,FALSE))</f>
        <v>0</v>
      </c>
      <c r="R212" s="31">
        <f>IFERROR(VLOOKUP($D212,bug_conf_sheet!$A:$H,7,FALSE),VLOOKUP("other",bug_conf_sheet!$A:$H,7,FALSE))</f>
        <v>0</v>
      </c>
      <c r="S212" s="31">
        <f>IFERROR(VLOOKUP($D212,bug_conf_sheet!$A:$H,8,FALSE),VLOOKUP("other",bug_conf_sheet!$A:$H,8,FALSE))</f>
        <v>1</v>
      </c>
    </row>
    <row r="213" spans="1:19" ht="21" hidden="1" customHeight="1">
      <c r="A213" s="2">
        <f>input_1!A$2</f>
        <v>3121</v>
      </c>
      <c r="B213" s="7" t="str">
        <f t="shared" si="10"/>
        <v>PremiumSS4</v>
      </c>
      <c r="C213" s="7" t="str">
        <f t="shared" si="11"/>
        <v>PremiumSS</v>
      </c>
      <c r="D213" s="6">
        <v>499</v>
      </c>
      <c r="E213" s="7" t="str">
        <f>VLOOKUP(D213,[1]characters!$A:$C,3,FALSE)</f>
        <v>ラプンツェル</v>
      </c>
      <c r="F213" s="7" t="str">
        <f>VLOOKUP(D213,[1]characters!$A:$J,10,FALSE)</f>
        <v>PremiumSS</v>
      </c>
      <c r="G213" s="7">
        <f>VLOOKUP(D213,[1]characters!$A:$I,9,FALSE)</f>
        <v>4</v>
      </c>
      <c r="H213" s="7" t="str">
        <f>VLOOKUP(D213,[1]characters!$A:$H,8,FALSE)</f>
        <v>yellow</v>
      </c>
      <c r="I213" s="7" t="str">
        <f>VLOOKUP(D213,[1]characters!$A:$K,11,FALSE)</f>
        <v>balance</v>
      </c>
      <c r="J213" s="7" t="str">
        <f>VLOOKUP(D213,[1]characters!$A:$M,13,FALSE)</f>
        <v>human</v>
      </c>
      <c r="K213" s="7" t="str">
        <f>VLOOKUP(D213,[1]characters!$A:$G,7,FALSE)</f>
        <v>女性</v>
      </c>
      <c r="L213" s="66">
        <f>IFERROR(VLOOKUP(D213,input_1!L:R,7,FALSE),VLOOKUP(tables_1!B213,input_1!A:H,8,FALSE))</f>
        <v>8991</v>
      </c>
      <c r="M213" s="67">
        <f t="shared" si="9"/>
        <v>3.4615384615384613E-4</v>
      </c>
      <c r="N213" s="31">
        <f>IFERROR(VLOOKUP($D213,bug_conf_sheet!$A:$H,3,FALSE),VLOOKUP("other",bug_conf_sheet!$A:$H,3,FALSE))</f>
        <v>1</v>
      </c>
      <c r="O213" s="31">
        <f>IFERROR(VLOOKUP($D213,bug_conf_sheet!$A:$H,4,FALSE),VLOOKUP("other",bug_conf_sheet!$A:$H,4,FALSE))</f>
        <v>0</v>
      </c>
      <c r="P213" s="31">
        <f>IFERROR(VLOOKUP($D213,bug_conf_sheet!$A:$H,5,FALSE),VLOOKUP("other",bug_conf_sheet!$A:$H,5,FALSE))</f>
        <v>0</v>
      </c>
      <c r="Q213" s="31">
        <f>IFERROR(VLOOKUP($D213,bug_conf_sheet!$A:$H,6,FALSE),VLOOKUP("other",bug_conf_sheet!$A:$H,6,FALSE))</f>
        <v>0</v>
      </c>
      <c r="R213" s="31">
        <f>IFERROR(VLOOKUP($D213,bug_conf_sheet!$A:$H,7,FALSE),VLOOKUP("other",bug_conf_sheet!$A:$H,7,FALSE))</f>
        <v>0</v>
      </c>
      <c r="S213" s="31">
        <f>IFERROR(VLOOKUP($D213,bug_conf_sheet!$A:$H,8,FALSE),VLOOKUP("other",bug_conf_sheet!$A:$H,8,FALSE))</f>
        <v>1</v>
      </c>
    </row>
    <row r="214" spans="1:19" ht="21" customHeight="1">
      <c r="A214" s="2">
        <f>input_1!A$2</f>
        <v>3121</v>
      </c>
      <c r="B214" s="7" t="str">
        <f t="shared" si="10"/>
        <v>PremiumSS5</v>
      </c>
      <c r="C214" s="7" t="str">
        <f t="shared" si="11"/>
        <v>PremiumSS</v>
      </c>
      <c r="D214" s="6">
        <v>500</v>
      </c>
      <c r="E214" s="7" t="str">
        <f>VLOOKUP(D214,[1]characters!$A:$C,3,FALSE)</f>
        <v>脈動の禁髪 ラプンツェル</v>
      </c>
      <c r="F214" s="7" t="str">
        <f>VLOOKUP(D214,[1]characters!$A:$J,10,FALSE)</f>
        <v>PremiumSS</v>
      </c>
      <c r="G214" s="7">
        <f>VLOOKUP(D214,[1]characters!$A:$I,9,FALSE)</f>
        <v>5</v>
      </c>
      <c r="H214" s="7" t="str">
        <f>VLOOKUP(D214,[1]characters!$A:$H,8,FALSE)</f>
        <v>yellow</v>
      </c>
      <c r="I214" s="7" t="str">
        <f>VLOOKUP(D214,[1]characters!$A:$K,11,FALSE)</f>
        <v>balance</v>
      </c>
      <c r="J214" s="7" t="str">
        <f>VLOOKUP(D214,[1]characters!$A:$M,13,FALSE)</f>
        <v>human</v>
      </c>
      <c r="K214" s="7" t="str">
        <f>VLOOKUP(D214,[1]characters!$A:$G,7,FALSE)</f>
        <v>女性</v>
      </c>
      <c r="L214" s="66">
        <f>IFERROR(VLOOKUP(D214,input_1!L:R,7,FALSE),VLOOKUP(tables_1!B214,input_1!A:H,8,FALSE))</f>
        <v>999</v>
      </c>
      <c r="M214" s="67">
        <f t="shared" si="9"/>
        <v>3.8461538461538463E-5</v>
      </c>
      <c r="N214" s="31">
        <f>IFERROR(VLOOKUP($D214,bug_conf_sheet!$A:$H,3,FALSE),VLOOKUP("other",bug_conf_sheet!$A:$H,3,FALSE))</f>
        <v>1</v>
      </c>
      <c r="O214" s="31">
        <f>IFERROR(VLOOKUP($D214,bug_conf_sheet!$A:$H,4,FALSE),VLOOKUP("other",bug_conf_sheet!$A:$H,4,FALSE))</f>
        <v>0</v>
      </c>
      <c r="P214" s="31">
        <f>IFERROR(VLOOKUP($D214,bug_conf_sheet!$A:$H,5,FALSE),VLOOKUP("other",bug_conf_sheet!$A:$H,5,FALSE))</f>
        <v>0</v>
      </c>
      <c r="Q214" s="31">
        <f>IFERROR(VLOOKUP($D214,bug_conf_sheet!$A:$H,6,FALSE),VLOOKUP("other",bug_conf_sheet!$A:$H,6,FALSE))</f>
        <v>0</v>
      </c>
      <c r="R214" s="31">
        <f>IFERROR(VLOOKUP($D214,bug_conf_sheet!$A:$H,7,FALSE),VLOOKUP("other",bug_conf_sheet!$A:$H,7,FALSE))</f>
        <v>0</v>
      </c>
      <c r="S214" s="31">
        <f>IFERROR(VLOOKUP($D214,bug_conf_sheet!$A:$H,8,FALSE),VLOOKUP("other",bug_conf_sheet!$A:$H,8,FALSE))</f>
        <v>1</v>
      </c>
    </row>
    <row r="215" spans="1:19" ht="21" hidden="1" customHeight="1">
      <c r="A215" s="2">
        <f>input_1!A$2</f>
        <v>3121</v>
      </c>
      <c r="B215" s="7" t="str">
        <f t="shared" si="10"/>
        <v>PremiumSS4</v>
      </c>
      <c r="C215" s="7" t="str">
        <f t="shared" si="11"/>
        <v>PremiumSS</v>
      </c>
      <c r="D215" s="6">
        <v>586</v>
      </c>
      <c r="E215" s="7" t="str">
        <f>VLOOKUP(D215,[1]characters!$A:$C,3,FALSE)</f>
        <v>ユミル</v>
      </c>
      <c r="F215" s="7" t="str">
        <f>VLOOKUP(D215,[1]characters!$A:$J,10,FALSE)</f>
        <v>PremiumSS</v>
      </c>
      <c r="G215" s="7">
        <f>VLOOKUP(D215,[1]characters!$A:$I,9,FALSE)</f>
        <v>4</v>
      </c>
      <c r="H215" s="7" t="str">
        <f>VLOOKUP(D215,[1]characters!$A:$H,8,FALSE)</f>
        <v>red</v>
      </c>
      <c r="I215" s="7" t="str">
        <f>VLOOKUP(D215,[1]characters!$A:$K,11,FALSE)</f>
        <v>hp</v>
      </c>
      <c r="J215" s="7" t="str">
        <f>VLOOKUP(D215,[1]characters!$A:$M,13,FALSE)</f>
        <v>machine</v>
      </c>
      <c r="K215" s="7" t="str">
        <f>VLOOKUP(D215,[1]characters!$A:$G,7,FALSE)</f>
        <v>不明</v>
      </c>
      <c r="L215" s="66">
        <f>IFERROR(VLOOKUP(D215,input_1!L:R,7,FALSE),VLOOKUP(tables_1!B215,input_1!A:H,8,FALSE))</f>
        <v>8991</v>
      </c>
      <c r="M215" s="67">
        <f t="shared" si="9"/>
        <v>3.4615384615384613E-4</v>
      </c>
      <c r="N215" s="31">
        <f>IFERROR(VLOOKUP($D215,bug_conf_sheet!$A:$H,3,FALSE),VLOOKUP("other",bug_conf_sheet!$A:$H,3,FALSE))</f>
        <v>1</v>
      </c>
      <c r="O215" s="31">
        <f>IFERROR(VLOOKUP($D215,bug_conf_sheet!$A:$H,4,FALSE),VLOOKUP("other",bug_conf_sheet!$A:$H,4,FALSE))</f>
        <v>0</v>
      </c>
      <c r="P215" s="31">
        <f>IFERROR(VLOOKUP($D215,bug_conf_sheet!$A:$H,5,FALSE),VLOOKUP("other",bug_conf_sheet!$A:$H,5,FALSE))</f>
        <v>0</v>
      </c>
      <c r="Q215" s="31">
        <f>IFERROR(VLOOKUP($D215,bug_conf_sheet!$A:$H,6,FALSE),VLOOKUP("other",bug_conf_sheet!$A:$H,6,FALSE))</f>
        <v>0</v>
      </c>
      <c r="R215" s="31">
        <f>IFERROR(VLOOKUP($D215,bug_conf_sheet!$A:$H,7,FALSE),VLOOKUP("other",bug_conf_sheet!$A:$H,7,FALSE))</f>
        <v>0</v>
      </c>
      <c r="S215" s="31">
        <f>IFERROR(VLOOKUP($D215,bug_conf_sheet!$A:$H,8,FALSE),VLOOKUP("other",bug_conf_sheet!$A:$H,8,FALSE))</f>
        <v>1</v>
      </c>
    </row>
    <row r="216" spans="1:19" ht="21" customHeight="1">
      <c r="A216" s="2">
        <f>input_1!A$2</f>
        <v>3121</v>
      </c>
      <c r="B216" s="7" t="str">
        <f t="shared" si="10"/>
        <v>PremiumSS5</v>
      </c>
      <c r="C216" s="7" t="str">
        <f t="shared" si="11"/>
        <v>PremiumSS</v>
      </c>
      <c r="D216" s="6">
        <v>587</v>
      </c>
      <c r="E216" s="7" t="str">
        <f>VLOOKUP(D216,[1]characters!$A:$C,3,FALSE)</f>
        <v>原初の煉鋼巨刃 ユミル</v>
      </c>
      <c r="F216" s="7" t="str">
        <f>VLOOKUP(D216,[1]characters!$A:$J,10,FALSE)</f>
        <v>PremiumSS</v>
      </c>
      <c r="G216" s="7">
        <f>VLOOKUP(D216,[1]characters!$A:$I,9,FALSE)</f>
        <v>5</v>
      </c>
      <c r="H216" s="7" t="str">
        <f>VLOOKUP(D216,[1]characters!$A:$H,8,FALSE)</f>
        <v>red</v>
      </c>
      <c r="I216" s="7" t="str">
        <f>VLOOKUP(D216,[1]characters!$A:$K,11,FALSE)</f>
        <v>hp</v>
      </c>
      <c r="J216" s="7" t="str">
        <f>VLOOKUP(D216,[1]characters!$A:$M,13,FALSE)</f>
        <v>machine</v>
      </c>
      <c r="K216" s="7" t="str">
        <f>VLOOKUP(D216,[1]characters!$A:$G,7,FALSE)</f>
        <v>不明</v>
      </c>
      <c r="L216" s="66">
        <f>IFERROR(VLOOKUP(D216,input_1!L:R,7,FALSE),VLOOKUP(tables_1!B216,input_1!A:H,8,FALSE))</f>
        <v>999</v>
      </c>
      <c r="M216" s="67">
        <f t="shared" si="9"/>
        <v>3.8461538461538463E-5</v>
      </c>
      <c r="N216" s="31">
        <f>IFERROR(VLOOKUP($D216,bug_conf_sheet!$A:$H,3,FALSE),VLOOKUP("other",bug_conf_sheet!$A:$H,3,FALSE))</f>
        <v>1</v>
      </c>
      <c r="O216" s="31">
        <f>IFERROR(VLOOKUP($D216,bug_conf_sheet!$A:$H,4,FALSE),VLOOKUP("other",bug_conf_sheet!$A:$H,4,FALSE))</f>
        <v>0</v>
      </c>
      <c r="P216" s="31">
        <f>IFERROR(VLOOKUP($D216,bug_conf_sheet!$A:$H,5,FALSE),VLOOKUP("other",bug_conf_sheet!$A:$H,5,FALSE))</f>
        <v>0</v>
      </c>
      <c r="Q216" s="31">
        <f>IFERROR(VLOOKUP($D216,bug_conf_sheet!$A:$H,6,FALSE),VLOOKUP("other",bug_conf_sheet!$A:$H,6,FALSE))</f>
        <v>0</v>
      </c>
      <c r="R216" s="31">
        <f>IFERROR(VLOOKUP($D216,bug_conf_sheet!$A:$H,7,FALSE),VLOOKUP("other",bug_conf_sheet!$A:$H,7,FALSE))</f>
        <v>0</v>
      </c>
      <c r="S216" s="31">
        <f>IFERROR(VLOOKUP($D216,bug_conf_sheet!$A:$H,8,FALSE),VLOOKUP("other",bug_conf_sheet!$A:$H,8,FALSE))</f>
        <v>1</v>
      </c>
    </row>
    <row r="217" spans="1:19" ht="21" hidden="1" customHeight="1">
      <c r="A217" s="2">
        <f>input_1!A$2</f>
        <v>3121</v>
      </c>
      <c r="B217" s="7" t="str">
        <f t="shared" si="10"/>
        <v>Premium3</v>
      </c>
      <c r="C217" s="7" t="str">
        <f t="shared" si="11"/>
        <v>Premium</v>
      </c>
      <c r="D217" s="6">
        <v>588</v>
      </c>
      <c r="E217" s="7" t="str">
        <f>VLOOKUP(D217,[1]characters!$A:$C,3,FALSE)</f>
        <v>ニーベルゲン</v>
      </c>
      <c r="F217" s="7" t="str">
        <f>VLOOKUP(D217,[1]characters!$A:$J,10,FALSE)</f>
        <v>PremiumS</v>
      </c>
      <c r="G217" s="7">
        <f>VLOOKUP(D217,[1]characters!$A:$I,9,FALSE)</f>
        <v>3</v>
      </c>
      <c r="H217" s="7" t="str">
        <f>VLOOKUP(D217,[1]characters!$A:$H,8,FALSE)</f>
        <v>green</v>
      </c>
      <c r="I217" s="7" t="str">
        <f>VLOOKUP(D217,[1]characters!$A:$K,11,FALSE)</f>
        <v>balance</v>
      </c>
      <c r="J217" s="7" t="str">
        <f>VLOOKUP(D217,[1]characters!$A:$M,13,FALSE)</f>
        <v>unknown</v>
      </c>
      <c r="K217" s="7" t="str">
        <f>VLOOKUP(D217,[1]characters!$A:$G,7,FALSE)</f>
        <v>女性</v>
      </c>
      <c r="L217" s="66">
        <f>IFERROR(VLOOKUP(D217,input_1!L:R,7,FALSE),VLOOKUP(tables_1!B217,input_1!A:H,8,FALSE))</f>
        <v>175500</v>
      </c>
      <c r="M217" s="67">
        <f t="shared" si="9"/>
        <v>6.7567567567567571E-3</v>
      </c>
      <c r="N217" s="31">
        <f>IFERROR(VLOOKUP($D217,bug_conf_sheet!$A:$H,3,FALSE),VLOOKUP("other",bug_conf_sheet!$A:$H,3,FALSE))</f>
        <v>1</v>
      </c>
      <c r="O217" s="31">
        <f>IFERROR(VLOOKUP($D217,bug_conf_sheet!$A:$H,4,FALSE),VLOOKUP("other",bug_conf_sheet!$A:$H,4,FALSE))</f>
        <v>0</v>
      </c>
      <c r="P217" s="31">
        <f>IFERROR(VLOOKUP($D217,bug_conf_sheet!$A:$H,5,FALSE),VLOOKUP("other",bug_conf_sheet!$A:$H,5,FALSE))</f>
        <v>0</v>
      </c>
      <c r="Q217" s="31">
        <f>IFERROR(VLOOKUP($D217,bug_conf_sheet!$A:$H,6,FALSE),VLOOKUP("other",bug_conf_sheet!$A:$H,6,FALSE))</f>
        <v>0</v>
      </c>
      <c r="R217" s="31">
        <f>IFERROR(VLOOKUP($D217,bug_conf_sheet!$A:$H,7,FALSE),VLOOKUP("other",bug_conf_sheet!$A:$H,7,FALSE))</f>
        <v>0</v>
      </c>
      <c r="S217" s="31">
        <f>IFERROR(VLOOKUP($D217,bug_conf_sheet!$A:$H,8,FALSE),VLOOKUP("other",bug_conf_sheet!$A:$H,8,FALSE))</f>
        <v>1</v>
      </c>
    </row>
    <row r="218" spans="1:19" ht="21" hidden="1" customHeight="1">
      <c r="A218" s="2">
        <f>input_1!A$2</f>
        <v>3121</v>
      </c>
      <c r="B218" s="7" t="str">
        <f t="shared" si="10"/>
        <v>Premium4</v>
      </c>
      <c r="C218" s="7" t="str">
        <f t="shared" si="11"/>
        <v>Premium</v>
      </c>
      <c r="D218" s="6">
        <v>589</v>
      </c>
      <c r="E218" s="7" t="str">
        <f>VLOOKUP(D218,[1]characters!$A:$C,3,FALSE)</f>
        <v>不幸の円環 ニーベルゲン</v>
      </c>
      <c r="F218" s="7" t="str">
        <f>VLOOKUP(D218,[1]characters!$A:$J,10,FALSE)</f>
        <v>PremiumS</v>
      </c>
      <c r="G218" s="7">
        <f>VLOOKUP(D218,[1]characters!$A:$I,9,FALSE)</f>
        <v>4</v>
      </c>
      <c r="H218" s="7" t="str">
        <f>VLOOKUP(D218,[1]characters!$A:$H,8,FALSE)</f>
        <v>green</v>
      </c>
      <c r="I218" s="7" t="str">
        <f>VLOOKUP(D218,[1]characters!$A:$K,11,FALSE)</f>
        <v>balance</v>
      </c>
      <c r="J218" s="7" t="str">
        <f>VLOOKUP(D218,[1]characters!$A:$M,13,FALSE)</f>
        <v>unknown</v>
      </c>
      <c r="K218" s="7" t="str">
        <f>VLOOKUP(D218,[1]characters!$A:$G,7,FALSE)</f>
        <v>女性</v>
      </c>
      <c r="L218" s="66">
        <f>IFERROR(VLOOKUP(D218,input_1!L:R,7,FALSE),VLOOKUP(tables_1!B218,input_1!A:H,8,FALSE))</f>
        <v>154791</v>
      </c>
      <c r="M218" s="67">
        <f t="shared" si="9"/>
        <v>5.9594594594594595E-3</v>
      </c>
      <c r="N218" s="31">
        <f>IFERROR(VLOOKUP($D218,bug_conf_sheet!$A:$H,3,FALSE),VLOOKUP("other",bug_conf_sheet!$A:$H,3,FALSE))</f>
        <v>1</v>
      </c>
      <c r="O218" s="31">
        <f>IFERROR(VLOOKUP($D218,bug_conf_sheet!$A:$H,4,FALSE),VLOOKUP("other",bug_conf_sheet!$A:$H,4,FALSE))</f>
        <v>0</v>
      </c>
      <c r="P218" s="31">
        <f>IFERROR(VLOOKUP($D218,bug_conf_sheet!$A:$H,5,FALSE),VLOOKUP("other",bug_conf_sheet!$A:$H,5,FALSE))</f>
        <v>0</v>
      </c>
      <c r="Q218" s="31">
        <f>IFERROR(VLOOKUP($D218,bug_conf_sheet!$A:$H,6,FALSE),VLOOKUP("other",bug_conf_sheet!$A:$H,6,FALSE))</f>
        <v>0</v>
      </c>
      <c r="R218" s="31">
        <f>IFERROR(VLOOKUP($D218,bug_conf_sheet!$A:$H,7,FALSE),VLOOKUP("other",bug_conf_sheet!$A:$H,7,FALSE))</f>
        <v>0</v>
      </c>
      <c r="S218" s="31">
        <f>IFERROR(VLOOKUP($D218,bug_conf_sheet!$A:$H,8,FALSE),VLOOKUP("other",bug_conf_sheet!$A:$H,8,FALSE))</f>
        <v>1</v>
      </c>
    </row>
    <row r="219" spans="1:19" ht="21" hidden="1" customHeight="1">
      <c r="A219" s="2">
        <f>input_1!A$2</f>
        <v>3121</v>
      </c>
      <c r="B219" s="7" t="str">
        <f t="shared" si="10"/>
        <v>Premium5</v>
      </c>
      <c r="C219" s="7" t="str">
        <f t="shared" si="11"/>
        <v>Premium</v>
      </c>
      <c r="D219" s="6">
        <v>590</v>
      </c>
      <c r="E219" s="7" t="str">
        <f>VLOOKUP(D219,[1]characters!$A:$C,3,FALSE)</f>
        <v>永遠を廻る呪い ニーベルゲン</v>
      </c>
      <c r="F219" s="7" t="str">
        <f>VLOOKUP(D219,[1]characters!$A:$J,10,FALSE)</f>
        <v>PremiumS</v>
      </c>
      <c r="G219" s="7">
        <f>VLOOKUP(D219,[1]characters!$A:$I,9,FALSE)</f>
        <v>5</v>
      </c>
      <c r="H219" s="7" t="str">
        <f>VLOOKUP(D219,[1]characters!$A:$H,8,FALSE)</f>
        <v>green</v>
      </c>
      <c r="I219" s="7" t="str">
        <f>VLOOKUP(D219,[1]characters!$A:$K,11,FALSE)</f>
        <v>balance</v>
      </c>
      <c r="J219" s="7" t="str">
        <f>VLOOKUP(D219,[1]characters!$A:$M,13,FALSE)</f>
        <v>unknown</v>
      </c>
      <c r="K219" s="7" t="str">
        <f>VLOOKUP(D219,[1]characters!$A:$G,7,FALSE)</f>
        <v>女性</v>
      </c>
      <c r="L219" s="66">
        <f>IFERROR(VLOOKUP(D219,input_1!L:R,7,FALSE),VLOOKUP(tables_1!B219,input_1!A:H,8,FALSE))</f>
        <v>23569</v>
      </c>
      <c r="M219" s="67">
        <f t="shared" si="9"/>
        <v>9.0740740740740745E-4</v>
      </c>
      <c r="N219" s="31">
        <f>IFERROR(VLOOKUP($D219,bug_conf_sheet!$A:$H,3,FALSE),VLOOKUP("other",bug_conf_sheet!$A:$H,3,FALSE))</f>
        <v>1</v>
      </c>
      <c r="O219" s="31">
        <f>IFERROR(VLOOKUP($D219,bug_conf_sheet!$A:$H,4,FALSE),VLOOKUP("other",bug_conf_sheet!$A:$H,4,FALSE))</f>
        <v>0</v>
      </c>
      <c r="P219" s="31">
        <f>IFERROR(VLOOKUP($D219,bug_conf_sheet!$A:$H,5,FALSE),VLOOKUP("other",bug_conf_sheet!$A:$H,5,FALSE))</f>
        <v>0</v>
      </c>
      <c r="Q219" s="31">
        <f>IFERROR(VLOOKUP($D219,bug_conf_sheet!$A:$H,6,FALSE),VLOOKUP("other",bug_conf_sheet!$A:$H,6,FALSE))</f>
        <v>0</v>
      </c>
      <c r="R219" s="31">
        <f>IFERROR(VLOOKUP($D219,bug_conf_sheet!$A:$H,7,FALSE),VLOOKUP("other",bug_conf_sheet!$A:$H,7,FALSE))</f>
        <v>0</v>
      </c>
      <c r="S219" s="31">
        <f>IFERROR(VLOOKUP($D219,bug_conf_sheet!$A:$H,8,FALSE),VLOOKUP("other",bug_conf_sheet!$A:$H,8,FALSE))</f>
        <v>1</v>
      </c>
    </row>
    <row r="220" spans="1:19" ht="21" hidden="1" customHeight="1">
      <c r="A220" s="2">
        <f>input_1!A$2</f>
        <v>3121</v>
      </c>
      <c r="B220" s="7" t="str">
        <f t="shared" si="10"/>
        <v>Premium3</v>
      </c>
      <c r="C220" s="7" t="str">
        <f t="shared" si="11"/>
        <v>Premium</v>
      </c>
      <c r="D220" s="6">
        <v>591</v>
      </c>
      <c r="E220" s="7" t="str">
        <f>VLOOKUP(D220,[1]characters!$A:$C,3,FALSE)</f>
        <v>ファフニール</v>
      </c>
      <c r="F220" s="7" t="str">
        <f>VLOOKUP(D220,[1]characters!$A:$J,10,FALSE)</f>
        <v>PremiumS</v>
      </c>
      <c r="G220" s="7">
        <f>VLOOKUP(D220,[1]characters!$A:$I,9,FALSE)</f>
        <v>3</v>
      </c>
      <c r="H220" s="7" t="str">
        <f>VLOOKUP(D220,[1]characters!$A:$H,8,FALSE)</f>
        <v>blue</v>
      </c>
      <c r="I220" s="7" t="str">
        <f>VLOOKUP(D220,[1]characters!$A:$K,11,FALSE)</f>
        <v>technical</v>
      </c>
      <c r="J220" s="7" t="str">
        <f>VLOOKUP(D220,[1]characters!$A:$M,13,FALSE)</f>
        <v>dragon</v>
      </c>
      <c r="K220" s="7" t="str">
        <f>VLOOKUP(D220,[1]characters!$A:$G,7,FALSE)</f>
        <v>不明</v>
      </c>
      <c r="L220" s="66">
        <f>IFERROR(VLOOKUP(D220,input_1!L:R,7,FALSE),VLOOKUP(tables_1!B220,input_1!A:H,8,FALSE))</f>
        <v>175500</v>
      </c>
      <c r="M220" s="67">
        <f t="shared" si="9"/>
        <v>6.7567567567567571E-3</v>
      </c>
      <c r="N220" s="31">
        <f>IFERROR(VLOOKUP($D220,bug_conf_sheet!$A:$H,3,FALSE),VLOOKUP("other",bug_conf_sheet!$A:$H,3,FALSE))</f>
        <v>1</v>
      </c>
      <c r="O220" s="31">
        <f>IFERROR(VLOOKUP($D220,bug_conf_sheet!$A:$H,4,FALSE),VLOOKUP("other",bug_conf_sheet!$A:$H,4,FALSE))</f>
        <v>0</v>
      </c>
      <c r="P220" s="31">
        <f>IFERROR(VLOOKUP($D220,bug_conf_sheet!$A:$H,5,FALSE),VLOOKUP("other",bug_conf_sheet!$A:$H,5,FALSE))</f>
        <v>0</v>
      </c>
      <c r="Q220" s="31">
        <f>IFERROR(VLOOKUP($D220,bug_conf_sheet!$A:$H,6,FALSE),VLOOKUP("other",bug_conf_sheet!$A:$H,6,FALSE))</f>
        <v>0</v>
      </c>
      <c r="R220" s="31">
        <f>IFERROR(VLOOKUP($D220,bug_conf_sheet!$A:$H,7,FALSE),VLOOKUP("other",bug_conf_sheet!$A:$H,7,FALSE))</f>
        <v>0</v>
      </c>
      <c r="S220" s="31">
        <f>IFERROR(VLOOKUP($D220,bug_conf_sheet!$A:$H,8,FALSE),VLOOKUP("other",bug_conf_sheet!$A:$H,8,FALSE))</f>
        <v>1</v>
      </c>
    </row>
    <row r="221" spans="1:19" ht="21" hidden="1" customHeight="1">
      <c r="A221" s="2">
        <f>input_1!A$2</f>
        <v>3121</v>
      </c>
      <c r="B221" s="7" t="str">
        <f t="shared" si="10"/>
        <v>Premium4</v>
      </c>
      <c r="C221" s="7" t="str">
        <f t="shared" si="11"/>
        <v>Premium</v>
      </c>
      <c r="D221" s="6">
        <v>592</v>
      </c>
      <c r="E221" s="7" t="str">
        <f>VLOOKUP(D221,[1]characters!$A:$C,3,FALSE)</f>
        <v>財宝への執着 ファフニール</v>
      </c>
      <c r="F221" s="7" t="str">
        <f>VLOOKUP(D221,[1]characters!$A:$J,10,FALSE)</f>
        <v>PremiumS</v>
      </c>
      <c r="G221" s="7">
        <f>VLOOKUP(D221,[1]characters!$A:$I,9,FALSE)</f>
        <v>4</v>
      </c>
      <c r="H221" s="7" t="str">
        <f>VLOOKUP(D221,[1]characters!$A:$H,8,FALSE)</f>
        <v>blue</v>
      </c>
      <c r="I221" s="7" t="str">
        <f>VLOOKUP(D221,[1]characters!$A:$K,11,FALSE)</f>
        <v>technical</v>
      </c>
      <c r="J221" s="7" t="str">
        <f>VLOOKUP(D221,[1]characters!$A:$M,13,FALSE)</f>
        <v>dragon</v>
      </c>
      <c r="K221" s="7" t="str">
        <f>VLOOKUP(D221,[1]characters!$A:$G,7,FALSE)</f>
        <v>不明</v>
      </c>
      <c r="L221" s="66">
        <f>IFERROR(VLOOKUP(D221,input_1!L:R,7,FALSE),VLOOKUP(tables_1!B221,input_1!A:H,8,FALSE))</f>
        <v>154791</v>
      </c>
      <c r="M221" s="67">
        <f t="shared" si="9"/>
        <v>5.9594594594594595E-3</v>
      </c>
      <c r="N221" s="31">
        <f>IFERROR(VLOOKUP($D221,bug_conf_sheet!$A:$H,3,FALSE),VLOOKUP("other",bug_conf_sheet!$A:$H,3,FALSE))</f>
        <v>1</v>
      </c>
      <c r="O221" s="31">
        <f>IFERROR(VLOOKUP($D221,bug_conf_sheet!$A:$H,4,FALSE),VLOOKUP("other",bug_conf_sheet!$A:$H,4,FALSE))</f>
        <v>0</v>
      </c>
      <c r="P221" s="31">
        <f>IFERROR(VLOOKUP($D221,bug_conf_sheet!$A:$H,5,FALSE),VLOOKUP("other",bug_conf_sheet!$A:$H,5,FALSE))</f>
        <v>0</v>
      </c>
      <c r="Q221" s="31">
        <f>IFERROR(VLOOKUP($D221,bug_conf_sheet!$A:$H,6,FALSE),VLOOKUP("other",bug_conf_sheet!$A:$H,6,FALSE))</f>
        <v>0</v>
      </c>
      <c r="R221" s="31">
        <f>IFERROR(VLOOKUP($D221,bug_conf_sheet!$A:$H,7,FALSE),VLOOKUP("other",bug_conf_sheet!$A:$H,7,FALSE))</f>
        <v>0</v>
      </c>
      <c r="S221" s="31">
        <f>IFERROR(VLOOKUP($D221,bug_conf_sheet!$A:$H,8,FALSE),VLOOKUP("other",bug_conf_sheet!$A:$H,8,FALSE))</f>
        <v>1</v>
      </c>
    </row>
    <row r="222" spans="1:19" ht="21" hidden="1" customHeight="1">
      <c r="A222" s="2">
        <f>input_1!A$2</f>
        <v>3121</v>
      </c>
      <c r="B222" s="7" t="str">
        <f t="shared" si="10"/>
        <v>Premium5</v>
      </c>
      <c r="C222" s="7" t="str">
        <f t="shared" si="11"/>
        <v>Premium</v>
      </c>
      <c r="D222" s="6">
        <v>593</v>
      </c>
      <c r="E222" s="7" t="str">
        <f>VLOOKUP(D222,[1]characters!$A:$C,3,FALSE)</f>
        <v>妄執する邪毒龍 ファフニール</v>
      </c>
      <c r="F222" s="7" t="str">
        <f>VLOOKUP(D222,[1]characters!$A:$J,10,FALSE)</f>
        <v>PremiumS</v>
      </c>
      <c r="G222" s="7">
        <f>VLOOKUP(D222,[1]characters!$A:$I,9,FALSE)</f>
        <v>5</v>
      </c>
      <c r="H222" s="7" t="str">
        <f>VLOOKUP(D222,[1]characters!$A:$H,8,FALSE)</f>
        <v>blue</v>
      </c>
      <c r="I222" s="7" t="str">
        <f>VLOOKUP(D222,[1]characters!$A:$K,11,FALSE)</f>
        <v>technical</v>
      </c>
      <c r="J222" s="7" t="str">
        <f>VLOOKUP(D222,[1]characters!$A:$M,13,FALSE)</f>
        <v>dragon</v>
      </c>
      <c r="K222" s="7" t="str">
        <f>VLOOKUP(D222,[1]characters!$A:$G,7,FALSE)</f>
        <v>不明</v>
      </c>
      <c r="L222" s="66">
        <f>IFERROR(VLOOKUP(D222,input_1!L:R,7,FALSE),VLOOKUP(tables_1!B222,input_1!A:H,8,FALSE))</f>
        <v>23569</v>
      </c>
      <c r="M222" s="67">
        <f t="shared" si="9"/>
        <v>9.0740740740740745E-4</v>
      </c>
      <c r="N222" s="31">
        <f>IFERROR(VLOOKUP($D222,bug_conf_sheet!$A:$H,3,FALSE),VLOOKUP("other",bug_conf_sheet!$A:$H,3,FALSE))</f>
        <v>1</v>
      </c>
      <c r="O222" s="31">
        <f>IFERROR(VLOOKUP($D222,bug_conf_sheet!$A:$H,4,FALSE),VLOOKUP("other",bug_conf_sheet!$A:$H,4,FALSE))</f>
        <v>0</v>
      </c>
      <c r="P222" s="31">
        <f>IFERROR(VLOOKUP($D222,bug_conf_sheet!$A:$H,5,FALSE),VLOOKUP("other",bug_conf_sheet!$A:$H,5,FALSE))</f>
        <v>0</v>
      </c>
      <c r="Q222" s="31">
        <f>IFERROR(VLOOKUP($D222,bug_conf_sheet!$A:$H,6,FALSE),VLOOKUP("other",bug_conf_sheet!$A:$H,6,FALSE))</f>
        <v>0</v>
      </c>
      <c r="R222" s="31">
        <f>IFERROR(VLOOKUP($D222,bug_conf_sheet!$A:$H,7,FALSE),VLOOKUP("other",bug_conf_sheet!$A:$H,7,FALSE))</f>
        <v>0</v>
      </c>
      <c r="S222" s="31">
        <f>IFERROR(VLOOKUP($D222,bug_conf_sheet!$A:$H,8,FALSE),VLOOKUP("other",bug_conf_sheet!$A:$H,8,FALSE))</f>
        <v>1</v>
      </c>
    </row>
    <row r="223" spans="1:19" ht="21" hidden="1" customHeight="1">
      <c r="A223" s="2">
        <f>input_1!A$2</f>
        <v>3121</v>
      </c>
      <c r="B223" s="7" t="str">
        <f t="shared" si="10"/>
        <v>PremiumSS4</v>
      </c>
      <c r="C223" s="7" t="str">
        <f t="shared" si="11"/>
        <v>PremiumSS</v>
      </c>
      <c r="D223" s="6">
        <v>594</v>
      </c>
      <c r="E223" s="7" t="str">
        <f>VLOOKUP(D223,[1]characters!$A:$C,3,FALSE)</f>
        <v>アルフヘイム</v>
      </c>
      <c r="F223" s="7" t="str">
        <f>VLOOKUP(D223,[1]characters!$A:$J,10,FALSE)</f>
        <v>PremiumSS</v>
      </c>
      <c r="G223" s="7">
        <f>VLOOKUP(D223,[1]characters!$A:$I,9,FALSE)</f>
        <v>4</v>
      </c>
      <c r="H223" s="7" t="str">
        <f>VLOOKUP(D223,[1]characters!$A:$H,8,FALSE)</f>
        <v>yellow</v>
      </c>
      <c r="I223" s="7" t="str">
        <f>VLOOKUP(D223,[1]characters!$A:$K,11,FALSE)</f>
        <v>attack</v>
      </c>
      <c r="J223" s="7" t="str">
        <f>VLOOKUP(D223,[1]characters!$A:$M,13,FALSE)</f>
        <v>dragon</v>
      </c>
      <c r="K223" s="7" t="str">
        <f>VLOOKUP(D223,[1]characters!$A:$G,7,FALSE)</f>
        <v>不明</v>
      </c>
      <c r="L223" s="66">
        <f>IFERROR(VLOOKUP(D223,input_1!L:R,7,FALSE),VLOOKUP(tables_1!B223,input_1!A:H,8,FALSE))</f>
        <v>8991</v>
      </c>
      <c r="M223" s="67">
        <f t="shared" si="9"/>
        <v>3.4615384615384613E-4</v>
      </c>
      <c r="N223" s="31">
        <f>IFERROR(VLOOKUP($D223,bug_conf_sheet!$A:$H,3,FALSE),VLOOKUP("other",bug_conf_sheet!$A:$H,3,FALSE))</f>
        <v>1</v>
      </c>
      <c r="O223" s="31">
        <f>IFERROR(VLOOKUP($D223,bug_conf_sheet!$A:$H,4,FALSE),VLOOKUP("other",bug_conf_sheet!$A:$H,4,FALSE))</f>
        <v>0</v>
      </c>
      <c r="P223" s="31">
        <f>IFERROR(VLOOKUP($D223,bug_conf_sheet!$A:$H,5,FALSE),VLOOKUP("other",bug_conf_sheet!$A:$H,5,FALSE))</f>
        <v>0</v>
      </c>
      <c r="Q223" s="31">
        <f>IFERROR(VLOOKUP($D223,bug_conf_sheet!$A:$H,6,FALSE),VLOOKUP("other",bug_conf_sheet!$A:$H,6,FALSE))</f>
        <v>0</v>
      </c>
      <c r="R223" s="31">
        <f>IFERROR(VLOOKUP($D223,bug_conf_sheet!$A:$H,7,FALSE),VLOOKUP("other",bug_conf_sheet!$A:$H,7,FALSE))</f>
        <v>0</v>
      </c>
      <c r="S223" s="31">
        <f>IFERROR(VLOOKUP($D223,bug_conf_sheet!$A:$H,8,FALSE),VLOOKUP("other",bug_conf_sheet!$A:$H,8,FALSE))</f>
        <v>1</v>
      </c>
    </row>
    <row r="224" spans="1:19" ht="21" customHeight="1">
      <c r="A224" s="2">
        <f>input_1!A$2</f>
        <v>3121</v>
      </c>
      <c r="B224" s="7" t="str">
        <f t="shared" si="10"/>
        <v>PremiumSS5</v>
      </c>
      <c r="C224" s="7" t="str">
        <f t="shared" si="11"/>
        <v>PremiumSS</v>
      </c>
      <c r="D224" s="6">
        <v>595</v>
      </c>
      <c r="E224" s="7" t="str">
        <f>VLOOKUP(D224,[1]characters!$A:$C,3,FALSE)</f>
        <v>光華なる神域 アルフヘイム</v>
      </c>
      <c r="F224" s="7" t="str">
        <f>VLOOKUP(D224,[1]characters!$A:$J,10,FALSE)</f>
        <v>PremiumSS</v>
      </c>
      <c r="G224" s="7">
        <f>VLOOKUP(D224,[1]characters!$A:$I,9,FALSE)</f>
        <v>5</v>
      </c>
      <c r="H224" s="7" t="str">
        <f>VLOOKUP(D224,[1]characters!$A:$H,8,FALSE)</f>
        <v>yellow</v>
      </c>
      <c r="I224" s="7" t="str">
        <f>VLOOKUP(D224,[1]characters!$A:$K,11,FALSE)</f>
        <v>attack</v>
      </c>
      <c r="J224" s="7" t="str">
        <f>VLOOKUP(D224,[1]characters!$A:$M,13,FALSE)</f>
        <v>dragon</v>
      </c>
      <c r="K224" s="7" t="str">
        <f>VLOOKUP(D224,[1]characters!$A:$G,7,FALSE)</f>
        <v>不明</v>
      </c>
      <c r="L224" s="66">
        <f>IFERROR(VLOOKUP(D224,input_1!L:R,7,FALSE),VLOOKUP(tables_1!B224,input_1!A:H,8,FALSE))</f>
        <v>999</v>
      </c>
      <c r="M224" s="67">
        <f t="shared" si="9"/>
        <v>3.8461538461538463E-5</v>
      </c>
      <c r="N224" s="31">
        <f>IFERROR(VLOOKUP($D224,bug_conf_sheet!$A:$H,3,FALSE),VLOOKUP("other",bug_conf_sheet!$A:$H,3,FALSE))</f>
        <v>1</v>
      </c>
      <c r="O224" s="31">
        <f>IFERROR(VLOOKUP($D224,bug_conf_sheet!$A:$H,4,FALSE),VLOOKUP("other",bug_conf_sheet!$A:$H,4,FALSE))</f>
        <v>0</v>
      </c>
      <c r="P224" s="31">
        <f>IFERROR(VLOOKUP($D224,bug_conf_sheet!$A:$H,5,FALSE),VLOOKUP("other",bug_conf_sheet!$A:$H,5,FALSE))</f>
        <v>0</v>
      </c>
      <c r="Q224" s="31">
        <f>IFERROR(VLOOKUP($D224,bug_conf_sheet!$A:$H,6,FALSE),VLOOKUP("other",bug_conf_sheet!$A:$H,6,FALSE))</f>
        <v>0</v>
      </c>
      <c r="R224" s="31">
        <f>IFERROR(VLOOKUP($D224,bug_conf_sheet!$A:$H,7,FALSE),VLOOKUP("other",bug_conf_sheet!$A:$H,7,FALSE))</f>
        <v>0</v>
      </c>
      <c r="S224" s="31">
        <f>IFERROR(VLOOKUP($D224,bug_conf_sheet!$A:$H,8,FALSE),VLOOKUP("other",bug_conf_sheet!$A:$H,8,FALSE))</f>
        <v>1</v>
      </c>
    </row>
    <row r="225" spans="1:19" ht="21" hidden="1" customHeight="1">
      <c r="A225" s="2">
        <f>input_1!A$2</f>
        <v>3121</v>
      </c>
      <c r="B225" s="7" t="str">
        <f t="shared" si="10"/>
        <v>Premium3</v>
      </c>
      <c r="C225" s="7" t="str">
        <f t="shared" si="11"/>
        <v>Premium</v>
      </c>
      <c r="D225" s="6">
        <v>596</v>
      </c>
      <c r="E225" s="7" t="str">
        <f>VLOOKUP(D225,[1]characters!$A:$C,3,FALSE)</f>
        <v>ムスペルヘイム</v>
      </c>
      <c r="F225" s="7" t="str">
        <f>VLOOKUP(D225,[1]characters!$A:$J,10,FALSE)</f>
        <v>PremiumS</v>
      </c>
      <c r="G225" s="7">
        <f>VLOOKUP(D225,[1]characters!$A:$I,9,FALSE)</f>
        <v>3</v>
      </c>
      <c r="H225" s="7" t="str">
        <f>VLOOKUP(D225,[1]characters!$A:$H,8,FALSE)</f>
        <v>red</v>
      </c>
      <c r="I225" s="7" t="str">
        <f>VLOOKUP(D225,[1]characters!$A:$K,11,FALSE)</f>
        <v>balance</v>
      </c>
      <c r="J225" s="7" t="str">
        <f>VLOOKUP(D225,[1]characters!$A:$M,13,FALSE)</f>
        <v>human</v>
      </c>
      <c r="K225" s="7" t="str">
        <f>VLOOKUP(D225,[1]characters!$A:$G,7,FALSE)</f>
        <v>男性</v>
      </c>
      <c r="L225" s="66">
        <f>IFERROR(VLOOKUP(D225,input_1!L:R,7,FALSE),VLOOKUP(tables_1!B225,input_1!A:H,8,FALSE))</f>
        <v>175500</v>
      </c>
      <c r="M225" s="67">
        <f t="shared" si="9"/>
        <v>6.7567567567567571E-3</v>
      </c>
      <c r="N225" s="31">
        <f>IFERROR(VLOOKUP($D225,bug_conf_sheet!$A:$H,3,FALSE),VLOOKUP("other",bug_conf_sheet!$A:$H,3,FALSE))</f>
        <v>1</v>
      </c>
      <c r="O225" s="31">
        <f>IFERROR(VLOOKUP($D225,bug_conf_sheet!$A:$H,4,FALSE),VLOOKUP("other",bug_conf_sheet!$A:$H,4,FALSE))</f>
        <v>0</v>
      </c>
      <c r="P225" s="31">
        <f>IFERROR(VLOOKUP($D225,bug_conf_sheet!$A:$H,5,FALSE),VLOOKUP("other",bug_conf_sheet!$A:$H,5,FALSE))</f>
        <v>0</v>
      </c>
      <c r="Q225" s="31">
        <f>IFERROR(VLOOKUP($D225,bug_conf_sheet!$A:$H,6,FALSE),VLOOKUP("other",bug_conf_sheet!$A:$H,6,FALSE))</f>
        <v>0</v>
      </c>
      <c r="R225" s="31">
        <f>IFERROR(VLOOKUP($D225,bug_conf_sheet!$A:$H,7,FALSE),VLOOKUP("other",bug_conf_sheet!$A:$H,7,FALSE))</f>
        <v>0</v>
      </c>
      <c r="S225" s="31">
        <f>IFERROR(VLOOKUP($D225,bug_conf_sheet!$A:$H,8,FALSE),VLOOKUP("other",bug_conf_sheet!$A:$H,8,FALSE))</f>
        <v>1</v>
      </c>
    </row>
    <row r="226" spans="1:19" ht="21" hidden="1" customHeight="1">
      <c r="A226" s="2">
        <f>input_1!A$2</f>
        <v>3121</v>
      </c>
      <c r="B226" s="7" t="str">
        <f t="shared" si="10"/>
        <v>Premium4</v>
      </c>
      <c r="C226" s="7" t="str">
        <f t="shared" si="11"/>
        <v>Premium</v>
      </c>
      <c r="D226" s="6">
        <v>597</v>
      </c>
      <c r="E226" s="7" t="str">
        <f>VLOOKUP(D226,[1]characters!$A:$C,3,FALSE)</f>
        <v>灼熱の魂 ムスペルヘイム</v>
      </c>
      <c r="F226" s="7" t="str">
        <f>VLOOKUP(D226,[1]characters!$A:$J,10,FALSE)</f>
        <v>PremiumS</v>
      </c>
      <c r="G226" s="7">
        <f>VLOOKUP(D226,[1]characters!$A:$I,9,FALSE)</f>
        <v>4</v>
      </c>
      <c r="H226" s="7" t="str">
        <f>VLOOKUP(D226,[1]characters!$A:$H,8,FALSE)</f>
        <v>red</v>
      </c>
      <c r="I226" s="7" t="str">
        <f>VLOOKUP(D226,[1]characters!$A:$K,11,FALSE)</f>
        <v>balance</v>
      </c>
      <c r="J226" s="7" t="str">
        <f>VLOOKUP(D226,[1]characters!$A:$M,13,FALSE)</f>
        <v>human</v>
      </c>
      <c r="K226" s="7" t="str">
        <f>VLOOKUP(D226,[1]characters!$A:$G,7,FALSE)</f>
        <v>男性</v>
      </c>
      <c r="L226" s="66">
        <f>IFERROR(VLOOKUP(D226,input_1!L:R,7,FALSE),VLOOKUP(tables_1!B226,input_1!A:H,8,FALSE))</f>
        <v>154791</v>
      </c>
      <c r="M226" s="67">
        <f t="shared" si="9"/>
        <v>5.9594594594594595E-3</v>
      </c>
      <c r="N226" s="31">
        <f>IFERROR(VLOOKUP($D226,bug_conf_sheet!$A:$H,3,FALSE),VLOOKUP("other",bug_conf_sheet!$A:$H,3,FALSE))</f>
        <v>1</v>
      </c>
      <c r="O226" s="31">
        <f>IFERROR(VLOOKUP($D226,bug_conf_sheet!$A:$H,4,FALSE),VLOOKUP("other",bug_conf_sheet!$A:$H,4,FALSE))</f>
        <v>0</v>
      </c>
      <c r="P226" s="31">
        <f>IFERROR(VLOOKUP($D226,bug_conf_sheet!$A:$H,5,FALSE),VLOOKUP("other",bug_conf_sheet!$A:$H,5,FALSE))</f>
        <v>0</v>
      </c>
      <c r="Q226" s="31">
        <f>IFERROR(VLOOKUP($D226,bug_conf_sheet!$A:$H,6,FALSE),VLOOKUP("other",bug_conf_sheet!$A:$H,6,FALSE))</f>
        <v>0</v>
      </c>
      <c r="R226" s="31">
        <f>IFERROR(VLOOKUP($D226,bug_conf_sheet!$A:$H,7,FALSE),VLOOKUP("other",bug_conf_sheet!$A:$H,7,FALSE))</f>
        <v>0</v>
      </c>
      <c r="S226" s="31">
        <f>IFERROR(VLOOKUP($D226,bug_conf_sheet!$A:$H,8,FALSE),VLOOKUP("other",bug_conf_sheet!$A:$H,8,FALSE))</f>
        <v>1</v>
      </c>
    </row>
    <row r="227" spans="1:19" ht="21" hidden="1" customHeight="1">
      <c r="A227" s="2">
        <f>input_1!A$2</f>
        <v>3121</v>
      </c>
      <c r="B227" s="7" t="str">
        <f t="shared" si="10"/>
        <v>Premium5</v>
      </c>
      <c r="C227" s="7" t="str">
        <f t="shared" si="11"/>
        <v>Premium</v>
      </c>
      <c r="D227" s="6">
        <v>598</v>
      </c>
      <c r="E227" s="7" t="str">
        <f>VLOOKUP(D227,[1]characters!$A:$C,3,FALSE)</f>
        <v>焼燃の情熱 ムスペルヘイム</v>
      </c>
      <c r="F227" s="7" t="str">
        <f>VLOOKUP(D227,[1]characters!$A:$J,10,FALSE)</f>
        <v>PremiumS</v>
      </c>
      <c r="G227" s="7">
        <f>VLOOKUP(D227,[1]characters!$A:$I,9,FALSE)</f>
        <v>5</v>
      </c>
      <c r="H227" s="7" t="str">
        <f>VLOOKUP(D227,[1]characters!$A:$H,8,FALSE)</f>
        <v>red</v>
      </c>
      <c r="I227" s="7" t="str">
        <f>VLOOKUP(D227,[1]characters!$A:$K,11,FALSE)</f>
        <v>balance</v>
      </c>
      <c r="J227" s="7" t="str">
        <f>VLOOKUP(D227,[1]characters!$A:$M,13,FALSE)</f>
        <v>human</v>
      </c>
      <c r="K227" s="7" t="str">
        <f>VLOOKUP(D227,[1]characters!$A:$G,7,FALSE)</f>
        <v>男性</v>
      </c>
      <c r="L227" s="66">
        <f>IFERROR(VLOOKUP(D227,input_1!L:R,7,FALSE),VLOOKUP(tables_1!B227,input_1!A:H,8,FALSE))</f>
        <v>23569</v>
      </c>
      <c r="M227" s="67">
        <f t="shared" si="9"/>
        <v>9.0740740740740745E-4</v>
      </c>
      <c r="N227" s="31">
        <f>IFERROR(VLOOKUP($D227,bug_conf_sheet!$A:$H,3,FALSE),VLOOKUP("other",bug_conf_sheet!$A:$H,3,FALSE))</f>
        <v>1</v>
      </c>
      <c r="O227" s="31">
        <f>IFERROR(VLOOKUP($D227,bug_conf_sheet!$A:$H,4,FALSE),VLOOKUP("other",bug_conf_sheet!$A:$H,4,FALSE))</f>
        <v>0</v>
      </c>
      <c r="P227" s="31">
        <f>IFERROR(VLOOKUP($D227,bug_conf_sheet!$A:$H,5,FALSE),VLOOKUP("other",bug_conf_sheet!$A:$H,5,FALSE))</f>
        <v>0</v>
      </c>
      <c r="Q227" s="31">
        <f>IFERROR(VLOOKUP($D227,bug_conf_sheet!$A:$H,6,FALSE),VLOOKUP("other",bug_conf_sheet!$A:$H,6,FALSE))</f>
        <v>0</v>
      </c>
      <c r="R227" s="31">
        <f>IFERROR(VLOOKUP($D227,bug_conf_sheet!$A:$H,7,FALSE),VLOOKUP("other",bug_conf_sheet!$A:$H,7,FALSE))</f>
        <v>0</v>
      </c>
      <c r="S227" s="31">
        <f>IFERROR(VLOOKUP($D227,bug_conf_sheet!$A:$H,8,FALSE),VLOOKUP("other",bug_conf_sheet!$A:$H,8,FALSE))</f>
        <v>1</v>
      </c>
    </row>
    <row r="228" spans="1:19" ht="21" hidden="1" customHeight="1">
      <c r="A228" s="2">
        <f>input_1!A$2</f>
        <v>3121</v>
      </c>
      <c r="B228" s="7" t="str">
        <f t="shared" si="10"/>
        <v>Premium3</v>
      </c>
      <c r="C228" s="7" t="str">
        <f t="shared" si="11"/>
        <v>Premium</v>
      </c>
      <c r="D228" s="6">
        <v>599</v>
      </c>
      <c r="E228" s="7" t="str">
        <f>VLOOKUP(D228,[1]characters!$A:$C,3,FALSE)</f>
        <v>ニーズヘッグ</v>
      </c>
      <c r="F228" s="7" t="str">
        <f>VLOOKUP(D228,[1]characters!$A:$J,10,FALSE)</f>
        <v>PremiumS</v>
      </c>
      <c r="G228" s="7">
        <f>VLOOKUP(D228,[1]characters!$A:$I,9,FALSE)</f>
        <v>3</v>
      </c>
      <c r="H228" s="7" t="str">
        <f>VLOOKUP(D228,[1]characters!$A:$H,8,FALSE)</f>
        <v>green</v>
      </c>
      <c r="I228" s="7" t="str">
        <f>VLOOKUP(D228,[1]characters!$A:$K,11,FALSE)</f>
        <v>attack</v>
      </c>
      <c r="J228" s="7" t="str">
        <f>VLOOKUP(D228,[1]characters!$A:$M,13,FALSE)</f>
        <v>dragon</v>
      </c>
      <c r="K228" s="7" t="str">
        <f>VLOOKUP(D228,[1]characters!$A:$G,7,FALSE)</f>
        <v>不明</v>
      </c>
      <c r="L228" s="66">
        <f>IFERROR(VLOOKUP(D228,input_1!L:R,7,FALSE),VLOOKUP(tables_1!B228,input_1!A:H,8,FALSE))</f>
        <v>175500</v>
      </c>
      <c r="M228" s="67">
        <f t="shared" si="9"/>
        <v>6.7567567567567571E-3</v>
      </c>
      <c r="N228" s="31">
        <f>IFERROR(VLOOKUP($D228,bug_conf_sheet!$A:$H,3,FALSE),VLOOKUP("other",bug_conf_sheet!$A:$H,3,FALSE))</f>
        <v>1</v>
      </c>
      <c r="O228" s="31">
        <f>IFERROR(VLOOKUP($D228,bug_conf_sheet!$A:$H,4,FALSE),VLOOKUP("other",bug_conf_sheet!$A:$H,4,FALSE))</f>
        <v>0</v>
      </c>
      <c r="P228" s="31">
        <f>IFERROR(VLOOKUP($D228,bug_conf_sheet!$A:$H,5,FALSE),VLOOKUP("other",bug_conf_sheet!$A:$H,5,FALSE))</f>
        <v>0</v>
      </c>
      <c r="Q228" s="31">
        <f>IFERROR(VLOOKUP($D228,bug_conf_sheet!$A:$H,6,FALSE),VLOOKUP("other",bug_conf_sheet!$A:$H,6,FALSE))</f>
        <v>0</v>
      </c>
      <c r="R228" s="31">
        <f>IFERROR(VLOOKUP($D228,bug_conf_sheet!$A:$H,7,FALSE),VLOOKUP("other",bug_conf_sheet!$A:$H,7,FALSE))</f>
        <v>0</v>
      </c>
      <c r="S228" s="31">
        <f>IFERROR(VLOOKUP($D228,bug_conf_sheet!$A:$H,8,FALSE),VLOOKUP("other",bug_conf_sheet!$A:$H,8,FALSE))</f>
        <v>1</v>
      </c>
    </row>
    <row r="229" spans="1:19" ht="21" hidden="1" customHeight="1">
      <c r="A229" s="2">
        <f>input_1!A$2</f>
        <v>3121</v>
      </c>
      <c r="B229" s="7" t="str">
        <f t="shared" si="10"/>
        <v>Premium4</v>
      </c>
      <c r="C229" s="7" t="str">
        <f t="shared" si="11"/>
        <v>Premium</v>
      </c>
      <c r="D229" s="6">
        <v>600</v>
      </c>
      <c r="E229" s="7" t="str">
        <f>VLOOKUP(D229,[1]characters!$A:$C,3,FALSE)</f>
        <v>界下に潜む蛇 ニーズヘッグ</v>
      </c>
      <c r="F229" s="7" t="str">
        <f>VLOOKUP(D229,[1]characters!$A:$J,10,FALSE)</f>
        <v>PremiumS</v>
      </c>
      <c r="G229" s="7">
        <f>VLOOKUP(D229,[1]characters!$A:$I,9,FALSE)</f>
        <v>4</v>
      </c>
      <c r="H229" s="7" t="str">
        <f>VLOOKUP(D229,[1]characters!$A:$H,8,FALSE)</f>
        <v>green</v>
      </c>
      <c r="I229" s="7" t="str">
        <f>VLOOKUP(D229,[1]characters!$A:$K,11,FALSE)</f>
        <v>attack</v>
      </c>
      <c r="J229" s="7" t="str">
        <f>VLOOKUP(D229,[1]characters!$A:$M,13,FALSE)</f>
        <v>dragon</v>
      </c>
      <c r="K229" s="7" t="str">
        <f>VLOOKUP(D229,[1]characters!$A:$G,7,FALSE)</f>
        <v>不明</v>
      </c>
      <c r="L229" s="66">
        <f>IFERROR(VLOOKUP(D229,input_1!L:R,7,FALSE),VLOOKUP(tables_1!B229,input_1!A:H,8,FALSE))</f>
        <v>154791</v>
      </c>
      <c r="M229" s="67">
        <f t="shared" si="9"/>
        <v>5.9594594594594595E-3</v>
      </c>
      <c r="N229" s="31">
        <f>IFERROR(VLOOKUP($D229,bug_conf_sheet!$A:$H,3,FALSE),VLOOKUP("other",bug_conf_sheet!$A:$H,3,FALSE))</f>
        <v>1</v>
      </c>
      <c r="O229" s="31">
        <f>IFERROR(VLOOKUP($D229,bug_conf_sheet!$A:$H,4,FALSE),VLOOKUP("other",bug_conf_sheet!$A:$H,4,FALSE))</f>
        <v>0</v>
      </c>
      <c r="P229" s="31">
        <f>IFERROR(VLOOKUP($D229,bug_conf_sheet!$A:$H,5,FALSE),VLOOKUP("other",bug_conf_sheet!$A:$H,5,FALSE))</f>
        <v>0</v>
      </c>
      <c r="Q229" s="31">
        <f>IFERROR(VLOOKUP($D229,bug_conf_sheet!$A:$H,6,FALSE),VLOOKUP("other",bug_conf_sheet!$A:$H,6,FALSE))</f>
        <v>0</v>
      </c>
      <c r="R229" s="31">
        <f>IFERROR(VLOOKUP($D229,bug_conf_sheet!$A:$H,7,FALSE),VLOOKUP("other",bug_conf_sheet!$A:$H,7,FALSE))</f>
        <v>0</v>
      </c>
      <c r="S229" s="31">
        <f>IFERROR(VLOOKUP($D229,bug_conf_sheet!$A:$H,8,FALSE),VLOOKUP("other",bug_conf_sheet!$A:$H,8,FALSE))</f>
        <v>1</v>
      </c>
    </row>
    <row r="230" spans="1:19" ht="21" hidden="1" customHeight="1">
      <c r="A230" s="2">
        <f>input_1!A$2</f>
        <v>3121</v>
      </c>
      <c r="B230" s="7" t="str">
        <f t="shared" si="10"/>
        <v>Premium5</v>
      </c>
      <c r="C230" s="7" t="str">
        <f t="shared" si="11"/>
        <v>Premium</v>
      </c>
      <c r="D230" s="6">
        <v>601</v>
      </c>
      <c r="E230" s="7" t="str">
        <f>VLOOKUP(D230,[1]characters!$A:$C,3,FALSE)</f>
        <v>界根蝕む悪食 ニーズヘッグ</v>
      </c>
      <c r="F230" s="7" t="str">
        <f>VLOOKUP(D230,[1]characters!$A:$J,10,FALSE)</f>
        <v>PremiumS</v>
      </c>
      <c r="G230" s="7">
        <f>VLOOKUP(D230,[1]characters!$A:$I,9,FALSE)</f>
        <v>5</v>
      </c>
      <c r="H230" s="7" t="str">
        <f>VLOOKUP(D230,[1]characters!$A:$H,8,FALSE)</f>
        <v>green</v>
      </c>
      <c r="I230" s="7" t="str">
        <f>VLOOKUP(D230,[1]characters!$A:$K,11,FALSE)</f>
        <v>attack</v>
      </c>
      <c r="J230" s="7" t="str">
        <f>VLOOKUP(D230,[1]characters!$A:$M,13,FALSE)</f>
        <v>dragon</v>
      </c>
      <c r="K230" s="7" t="str">
        <f>VLOOKUP(D230,[1]characters!$A:$G,7,FALSE)</f>
        <v>不明</v>
      </c>
      <c r="L230" s="66">
        <f>IFERROR(VLOOKUP(D230,input_1!L:R,7,FALSE),VLOOKUP(tables_1!B230,input_1!A:H,8,FALSE))</f>
        <v>23569</v>
      </c>
      <c r="M230" s="67">
        <f t="shared" si="9"/>
        <v>9.0740740740740745E-4</v>
      </c>
      <c r="N230" s="31">
        <f>IFERROR(VLOOKUP($D230,bug_conf_sheet!$A:$H,3,FALSE),VLOOKUP("other",bug_conf_sheet!$A:$H,3,FALSE))</f>
        <v>1</v>
      </c>
      <c r="O230" s="31">
        <f>IFERROR(VLOOKUP($D230,bug_conf_sheet!$A:$H,4,FALSE),VLOOKUP("other",bug_conf_sheet!$A:$H,4,FALSE))</f>
        <v>0</v>
      </c>
      <c r="P230" s="31">
        <f>IFERROR(VLOOKUP($D230,bug_conf_sheet!$A:$H,5,FALSE),VLOOKUP("other",bug_conf_sheet!$A:$H,5,FALSE))</f>
        <v>0</v>
      </c>
      <c r="Q230" s="31">
        <f>IFERROR(VLOOKUP($D230,bug_conf_sheet!$A:$H,6,FALSE),VLOOKUP("other",bug_conf_sheet!$A:$H,6,FALSE))</f>
        <v>0</v>
      </c>
      <c r="R230" s="31">
        <f>IFERROR(VLOOKUP($D230,bug_conf_sheet!$A:$H,7,FALSE),VLOOKUP("other",bug_conf_sheet!$A:$H,7,FALSE))</f>
        <v>0</v>
      </c>
      <c r="S230" s="31">
        <f>IFERROR(VLOOKUP($D230,bug_conf_sheet!$A:$H,8,FALSE),VLOOKUP("other",bug_conf_sheet!$A:$H,8,FALSE))</f>
        <v>1</v>
      </c>
    </row>
    <row r="231" spans="1:19" ht="21" hidden="1" customHeight="1">
      <c r="A231" s="2">
        <f>input_1!A$2</f>
        <v>3121</v>
      </c>
      <c r="B231" s="7" t="str">
        <f t="shared" si="10"/>
        <v>PremiumSS4</v>
      </c>
      <c r="C231" s="7" t="str">
        <f t="shared" si="11"/>
        <v>PremiumSS</v>
      </c>
      <c r="D231" s="6">
        <v>602</v>
      </c>
      <c r="E231" s="7" t="str">
        <f>VLOOKUP(D231,[1]characters!$A:$C,3,FALSE)</f>
        <v>フレイヤ</v>
      </c>
      <c r="F231" s="7" t="str">
        <f>VLOOKUP(D231,[1]characters!$A:$J,10,FALSE)</f>
        <v>PremiumSS</v>
      </c>
      <c r="G231" s="7">
        <f>VLOOKUP(D231,[1]characters!$A:$I,9,FALSE)</f>
        <v>4</v>
      </c>
      <c r="H231" s="7" t="str">
        <f>VLOOKUP(D231,[1]characters!$A:$H,8,FALSE)</f>
        <v>blue</v>
      </c>
      <c r="I231" s="7" t="str">
        <f>VLOOKUP(D231,[1]characters!$A:$K,11,FALSE)</f>
        <v>heal</v>
      </c>
      <c r="J231" s="7" t="str">
        <f>VLOOKUP(D231,[1]characters!$A:$M,13,FALSE)</f>
        <v>animal</v>
      </c>
      <c r="K231" s="7" t="str">
        <f>VLOOKUP(D231,[1]characters!$A:$G,7,FALSE)</f>
        <v>女性</v>
      </c>
      <c r="L231" s="66">
        <f>IFERROR(VLOOKUP(D231,input_1!L:R,7,FALSE),VLOOKUP(tables_1!B231,input_1!A:H,8,FALSE))</f>
        <v>8991</v>
      </c>
      <c r="M231" s="67">
        <f t="shared" si="9"/>
        <v>3.4615384615384613E-4</v>
      </c>
      <c r="N231" s="31">
        <f>IFERROR(VLOOKUP($D231,bug_conf_sheet!$A:$H,3,FALSE),VLOOKUP("other",bug_conf_sheet!$A:$H,3,FALSE))</f>
        <v>1</v>
      </c>
      <c r="O231" s="31">
        <f>IFERROR(VLOOKUP($D231,bug_conf_sheet!$A:$H,4,FALSE),VLOOKUP("other",bug_conf_sheet!$A:$H,4,FALSE))</f>
        <v>0</v>
      </c>
      <c r="P231" s="31">
        <f>IFERROR(VLOOKUP($D231,bug_conf_sheet!$A:$H,5,FALSE),VLOOKUP("other",bug_conf_sheet!$A:$H,5,FALSE))</f>
        <v>0</v>
      </c>
      <c r="Q231" s="31">
        <f>IFERROR(VLOOKUP($D231,bug_conf_sheet!$A:$H,6,FALSE),VLOOKUP("other",bug_conf_sheet!$A:$H,6,FALSE))</f>
        <v>0</v>
      </c>
      <c r="R231" s="31">
        <f>IFERROR(VLOOKUP($D231,bug_conf_sheet!$A:$H,7,FALSE),VLOOKUP("other",bug_conf_sheet!$A:$H,7,FALSE))</f>
        <v>0</v>
      </c>
      <c r="S231" s="31">
        <f>IFERROR(VLOOKUP($D231,bug_conf_sheet!$A:$H,8,FALSE),VLOOKUP("other",bug_conf_sheet!$A:$H,8,FALSE))</f>
        <v>1</v>
      </c>
    </row>
    <row r="232" spans="1:19" ht="21" customHeight="1">
      <c r="A232" s="2">
        <f>input_1!A$2</f>
        <v>3121</v>
      </c>
      <c r="B232" s="7" t="str">
        <f t="shared" si="10"/>
        <v>PremiumSS5</v>
      </c>
      <c r="C232" s="7" t="str">
        <f t="shared" si="11"/>
        <v>PremiumSS</v>
      </c>
      <c r="D232" s="6">
        <v>603</v>
      </c>
      <c r="E232" s="7" t="str">
        <f>VLOOKUP(D232,[1]characters!$A:$C,3,FALSE)</f>
        <v>掌愛の豊穣女神 フレイヤ</v>
      </c>
      <c r="F232" s="7" t="str">
        <f>VLOOKUP(D232,[1]characters!$A:$J,10,FALSE)</f>
        <v>PremiumSS</v>
      </c>
      <c r="G232" s="7">
        <f>VLOOKUP(D232,[1]characters!$A:$I,9,FALSE)</f>
        <v>5</v>
      </c>
      <c r="H232" s="7" t="str">
        <f>VLOOKUP(D232,[1]characters!$A:$H,8,FALSE)</f>
        <v>blue</v>
      </c>
      <c r="I232" s="7" t="str">
        <f>VLOOKUP(D232,[1]characters!$A:$K,11,FALSE)</f>
        <v>heal</v>
      </c>
      <c r="J232" s="7" t="str">
        <f>VLOOKUP(D232,[1]characters!$A:$M,13,FALSE)</f>
        <v>animal</v>
      </c>
      <c r="K232" s="7" t="str">
        <f>VLOOKUP(D232,[1]characters!$A:$G,7,FALSE)</f>
        <v>女性</v>
      </c>
      <c r="L232" s="66">
        <f>IFERROR(VLOOKUP(D232,input_1!L:R,7,FALSE),VLOOKUP(tables_1!B232,input_1!A:H,8,FALSE))</f>
        <v>999</v>
      </c>
      <c r="M232" s="67">
        <f t="shared" si="9"/>
        <v>3.8461538461538463E-5</v>
      </c>
      <c r="N232" s="31">
        <f>IFERROR(VLOOKUP($D232,bug_conf_sheet!$A:$H,3,FALSE),VLOOKUP("other",bug_conf_sheet!$A:$H,3,FALSE))</f>
        <v>1</v>
      </c>
      <c r="O232" s="31">
        <f>IFERROR(VLOOKUP($D232,bug_conf_sheet!$A:$H,4,FALSE),VLOOKUP("other",bug_conf_sheet!$A:$H,4,FALSE))</f>
        <v>0</v>
      </c>
      <c r="P232" s="31">
        <f>IFERROR(VLOOKUP($D232,bug_conf_sheet!$A:$H,5,FALSE),VLOOKUP("other",bug_conf_sheet!$A:$H,5,FALSE))</f>
        <v>0</v>
      </c>
      <c r="Q232" s="31">
        <f>IFERROR(VLOOKUP($D232,bug_conf_sheet!$A:$H,6,FALSE),VLOOKUP("other",bug_conf_sheet!$A:$H,6,FALSE))</f>
        <v>0</v>
      </c>
      <c r="R232" s="31">
        <f>IFERROR(VLOOKUP($D232,bug_conf_sheet!$A:$H,7,FALSE),VLOOKUP("other",bug_conf_sheet!$A:$H,7,FALSE))</f>
        <v>0</v>
      </c>
      <c r="S232" s="31">
        <f>IFERROR(VLOOKUP($D232,bug_conf_sheet!$A:$H,8,FALSE),VLOOKUP("other",bug_conf_sheet!$A:$H,8,FALSE))</f>
        <v>1</v>
      </c>
    </row>
    <row r="233" spans="1:19" ht="21" hidden="1" customHeight="1">
      <c r="A233" s="2">
        <f>input_1!A$2</f>
        <v>3121</v>
      </c>
      <c r="B233" s="7" t="str">
        <f t="shared" si="10"/>
        <v>Premium3</v>
      </c>
      <c r="C233" s="7" t="str">
        <f t="shared" si="11"/>
        <v>Premium</v>
      </c>
      <c r="D233" s="6">
        <v>604</v>
      </c>
      <c r="E233" s="7" t="str">
        <f>VLOOKUP(D233,[1]characters!$A:$C,3,FALSE)</f>
        <v>バルドル</v>
      </c>
      <c r="F233" s="7" t="str">
        <f>VLOOKUP(D233,[1]characters!$A:$J,10,FALSE)</f>
        <v>PremiumS</v>
      </c>
      <c r="G233" s="7">
        <f>VLOOKUP(D233,[1]characters!$A:$I,9,FALSE)</f>
        <v>3</v>
      </c>
      <c r="H233" s="7" t="str">
        <f>VLOOKUP(D233,[1]characters!$A:$H,8,FALSE)</f>
        <v>yellow</v>
      </c>
      <c r="I233" s="7" t="str">
        <f>VLOOKUP(D233,[1]characters!$A:$K,11,FALSE)</f>
        <v>heal</v>
      </c>
      <c r="J233" s="7" t="str">
        <f>VLOOKUP(D233,[1]characters!$A:$M,13,FALSE)</f>
        <v>god</v>
      </c>
      <c r="K233" s="7" t="str">
        <f>VLOOKUP(D233,[1]characters!$A:$G,7,FALSE)</f>
        <v>男性</v>
      </c>
      <c r="L233" s="66">
        <f>IFERROR(VLOOKUP(D233,input_1!L:R,7,FALSE),VLOOKUP(tables_1!B233,input_1!A:H,8,FALSE))</f>
        <v>175500</v>
      </c>
      <c r="M233" s="67">
        <f t="shared" si="9"/>
        <v>6.7567567567567571E-3</v>
      </c>
      <c r="N233" s="31">
        <f>IFERROR(VLOOKUP($D233,bug_conf_sheet!$A:$H,3,FALSE),VLOOKUP("other",bug_conf_sheet!$A:$H,3,FALSE))</f>
        <v>1</v>
      </c>
      <c r="O233" s="31">
        <f>IFERROR(VLOOKUP($D233,bug_conf_sheet!$A:$H,4,FALSE),VLOOKUP("other",bug_conf_sheet!$A:$H,4,FALSE))</f>
        <v>0</v>
      </c>
      <c r="P233" s="31">
        <f>IFERROR(VLOOKUP($D233,bug_conf_sheet!$A:$H,5,FALSE),VLOOKUP("other",bug_conf_sheet!$A:$H,5,FALSE))</f>
        <v>0</v>
      </c>
      <c r="Q233" s="31">
        <f>IFERROR(VLOOKUP($D233,bug_conf_sheet!$A:$H,6,FALSE),VLOOKUP("other",bug_conf_sheet!$A:$H,6,FALSE))</f>
        <v>0</v>
      </c>
      <c r="R233" s="31">
        <f>IFERROR(VLOOKUP($D233,bug_conf_sheet!$A:$H,7,FALSE),VLOOKUP("other",bug_conf_sheet!$A:$H,7,FALSE))</f>
        <v>0</v>
      </c>
      <c r="S233" s="31">
        <f>IFERROR(VLOOKUP($D233,bug_conf_sheet!$A:$H,8,FALSE),VLOOKUP("other",bug_conf_sheet!$A:$H,8,FALSE))</f>
        <v>1</v>
      </c>
    </row>
    <row r="234" spans="1:19" ht="21" hidden="1" customHeight="1">
      <c r="A234" s="2">
        <f>input_1!A$2</f>
        <v>3121</v>
      </c>
      <c r="B234" s="7" t="str">
        <f t="shared" si="10"/>
        <v>Premium4</v>
      </c>
      <c r="C234" s="7" t="str">
        <f t="shared" si="11"/>
        <v>Premium</v>
      </c>
      <c r="D234" s="6">
        <v>605</v>
      </c>
      <c r="E234" s="7" t="str">
        <f>VLOOKUP(D234,[1]characters!$A:$C,3,FALSE)</f>
        <v>祝福される光耀 バルドル</v>
      </c>
      <c r="F234" s="7" t="str">
        <f>VLOOKUP(D234,[1]characters!$A:$J,10,FALSE)</f>
        <v>PremiumS</v>
      </c>
      <c r="G234" s="7">
        <f>VLOOKUP(D234,[1]characters!$A:$I,9,FALSE)</f>
        <v>4</v>
      </c>
      <c r="H234" s="7" t="str">
        <f>VLOOKUP(D234,[1]characters!$A:$H,8,FALSE)</f>
        <v>yellow</v>
      </c>
      <c r="I234" s="7" t="str">
        <f>VLOOKUP(D234,[1]characters!$A:$K,11,FALSE)</f>
        <v>heal</v>
      </c>
      <c r="J234" s="7" t="str">
        <f>VLOOKUP(D234,[1]characters!$A:$M,13,FALSE)</f>
        <v>god</v>
      </c>
      <c r="K234" s="7" t="str">
        <f>VLOOKUP(D234,[1]characters!$A:$G,7,FALSE)</f>
        <v>男性</v>
      </c>
      <c r="L234" s="66">
        <f>IFERROR(VLOOKUP(D234,input_1!L:R,7,FALSE),VLOOKUP(tables_1!B234,input_1!A:H,8,FALSE))</f>
        <v>154791</v>
      </c>
      <c r="M234" s="67">
        <f t="shared" si="9"/>
        <v>5.9594594594594595E-3</v>
      </c>
      <c r="N234" s="31">
        <f>IFERROR(VLOOKUP($D234,bug_conf_sheet!$A:$H,3,FALSE),VLOOKUP("other",bug_conf_sheet!$A:$H,3,FALSE))</f>
        <v>1</v>
      </c>
      <c r="O234" s="31">
        <f>IFERROR(VLOOKUP($D234,bug_conf_sheet!$A:$H,4,FALSE),VLOOKUP("other",bug_conf_sheet!$A:$H,4,FALSE))</f>
        <v>0</v>
      </c>
      <c r="P234" s="31">
        <f>IFERROR(VLOOKUP($D234,bug_conf_sheet!$A:$H,5,FALSE),VLOOKUP("other",bug_conf_sheet!$A:$H,5,FALSE))</f>
        <v>0</v>
      </c>
      <c r="Q234" s="31">
        <f>IFERROR(VLOOKUP($D234,bug_conf_sheet!$A:$H,6,FALSE),VLOOKUP("other",bug_conf_sheet!$A:$H,6,FALSE))</f>
        <v>0</v>
      </c>
      <c r="R234" s="31">
        <f>IFERROR(VLOOKUP($D234,bug_conf_sheet!$A:$H,7,FALSE),VLOOKUP("other",bug_conf_sheet!$A:$H,7,FALSE))</f>
        <v>0</v>
      </c>
      <c r="S234" s="31">
        <f>IFERROR(VLOOKUP($D234,bug_conf_sheet!$A:$H,8,FALSE),VLOOKUP("other",bug_conf_sheet!$A:$H,8,FALSE))</f>
        <v>1</v>
      </c>
    </row>
    <row r="235" spans="1:19" ht="21" hidden="1" customHeight="1">
      <c r="A235" s="2">
        <f>input_1!A$2</f>
        <v>3121</v>
      </c>
      <c r="B235" s="7" t="str">
        <f t="shared" si="10"/>
        <v>Premium5</v>
      </c>
      <c r="C235" s="7" t="str">
        <f t="shared" si="11"/>
        <v>Premium</v>
      </c>
      <c r="D235" s="6">
        <v>606</v>
      </c>
      <c r="E235" s="7" t="str">
        <f>VLOOKUP(D235,[1]characters!$A:$C,3,FALSE)</f>
        <v>冀望の光芒 バルドル</v>
      </c>
      <c r="F235" s="7" t="str">
        <f>VLOOKUP(D235,[1]characters!$A:$J,10,FALSE)</f>
        <v>PremiumS</v>
      </c>
      <c r="G235" s="7">
        <f>VLOOKUP(D235,[1]characters!$A:$I,9,FALSE)</f>
        <v>5</v>
      </c>
      <c r="H235" s="7" t="str">
        <f>VLOOKUP(D235,[1]characters!$A:$H,8,FALSE)</f>
        <v>yellow</v>
      </c>
      <c r="I235" s="7" t="str">
        <f>VLOOKUP(D235,[1]characters!$A:$K,11,FALSE)</f>
        <v>heal</v>
      </c>
      <c r="J235" s="7" t="str">
        <f>VLOOKUP(D235,[1]characters!$A:$M,13,FALSE)</f>
        <v>god</v>
      </c>
      <c r="K235" s="7" t="str">
        <f>VLOOKUP(D235,[1]characters!$A:$G,7,FALSE)</f>
        <v>男性</v>
      </c>
      <c r="L235" s="66">
        <f>IFERROR(VLOOKUP(D235,input_1!L:R,7,FALSE),VLOOKUP(tables_1!B235,input_1!A:H,8,FALSE))</f>
        <v>23569</v>
      </c>
      <c r="M235" s="67">
        <f t="shared" si="9"/>
        <v>9.0740740740740745E-4</v>
      </c>
      <c r="N235" s="31">
        <f>IFERROR(VLOOKUP($D235,bug_conf_sheet!$A:$H,3,FALSE),VLOOKUP("other",bug_conf_sheet!$A:$H,3,FALSE))</f>
        <v>1</v>
      </c>
      <c r="O235" s="31">
        <f>IFERROR(VLOOKUP($D235,bug_conf_sheet!$A:$H,4,FALSE),VLOOKUP("other",bug_conf_sheet!$A:$H,4,FALSE))</f>
        <v>0</v>
      </c>
      <c r="P235" s="31">
        <f>IFERROR(VLOOKUP($D235,bug_conf_sheet!$A:$H,5,FALSE),VLOOKUP("other",bug_conf_sheet!$A:$H,5,FALSE))</f>
        <v>0</v>
      </c>
      <c r="Q235" s="31">
        <f>IFERROR(VLOOKUP($D235,bug_conf_sheet!$A:$H,6,FALSE),VLOOKUP("other",bug_conf_sheet!$A:$H,6,FALSE))</f>
        <v>0</v>
      </c>
      <c r="R235" s="31">
        <f>IFERROR(VLOOKUP($D235,bug_conf_sheet!$A:$H,7,FALSE),VLOOKUP("other",bug_conf_sheet!$A:$H,7,FALSE))</f>
        <v>0</v>
      </c>
      <c r="S235" s="31">
        <f>IFERROR(VLOOKUP($D235,bug_conf_sheet!$A:$H,8,FALSE),VLOOKUP("other",bug_conf_sheet!$A:$H,8,FALSE))</f>
        <v>1</v>
      </c>
    </row>
    <row r="236" spans="1:19" ht="21" hidden="1" customHeight="1">
      <c r="A236" s="2">
        <f>input_1!A$2</f>
        <v>3121</v>
      </c>
      <c r="B236" s="7" t="str">
        <f t="shared" si="10"/>
        <v>PremiumSS4</v>
      </c>
      <c r="C236" s="7" t="str">
        <f t="shared" si="11"/>
        <v>PremiumSS</v>
      </c>
      <c r="D236" s="6">
        <v>658</v>
      </c>
      <c r="E236" s="7" t="str">
        <f>VLOOKUP(D236,[1]characters!$A:$C,3,FALSE)</f>
        <v>猫又 クルミ</v>
      </c>
      <c r="F236" s="7" t="str">
        <f>VLOOKUP(D236,[1]characters!$A:$J,10,FALSE)</f>
        <v>PremiumSS</v>
      </c>
      <c r="G236" s="7">
        <f>VLOOKUP(D236,[1]characters!$A:$I,9,FALSE)</f>
        <v>4</v>
      </c>
      <c r="H236" s="7" t="str">
        <f>VLOOKUP(D236,[1]characters!$A:$H,8,FALSE)</f>
        <v>red</v>
      </c>
      <c r="I236" s="7" t="str">
        <f>VLOOKUP(D236,[1]characters!$A:$K,11,FALSE)</f>
        <v>attack</v>
      </c>
      <c r="J236" s="7" t="str">
        <f>VLOOKUP(D236,[1]characters!$A:$M,13,FALSE)</f>
        <v>animal</v>
      </c>
      <c r="K236" s="7" t="str">
        <f>VLOOKUP(D236,[1]characters!$A:$G,7,FALSE)</f>
        <v>女性</v>
      </c>
      <c r="L236" s="66">
        <f>IFERROR(VLOOKUP(D236,input_1!L:R,7,FALSE),VLOOKUP(tables_1!B236,input_1!A:H,8,FALSE))</f>
        <v>8991</v>
      </c>
      <c r="M236" s="67">
        <f t="shared" si="9"/>
        <v>3.4615384615384613E-4</v>
      </c>
      <c r="N236" s="31">
        <f>IFERROR(VLOOKUP($D236,bug_conf_sheet!$A:$H,3,FALSE),VLOOKUP("other",bug_conf_sheet!$A:$H,3,FALSE))</f>
        <v>1</v>
      </c>
      <c r="O236" s="31">
        <f>IFERROR(VLOOKUP($D236,bug_conf_sheet!$A:$H,4,FALSE),VLOOKUP("other",bug_conf_sheet!$A:$H,4,FALSE))</f>
        <v>0</v>
      </c>
      <c r="P236" s="31">
        <f>IFERROR(VLOOKUP($D236,bug_conf_sheet!$A:$H,5,FALSE),VLOOKUP("other",bug_conf_sheet!$A:$H,5,FALSE))</f>
        <v>0</v>
      </c>
      <c r="Q236" s="31">
        <f>IFERROR(VLOOKUP($D236,bug_conf_sheet!$A:$H,6,FALSE),VLOOKUP("other",bug_conf_sheet!$A:$H,6,FALSE))</f>
        <v>0</v>
      </c>
      <c r="R236" s="31">
        <f>IFERROR(VLOOKUP($D236,bug_conf_sheet!$A:$H,7,FALSE),VLOOKUP("other",bug_conf_sheet!$A:$H,7,FALSE))</f>
        <v>0</v>
      </c>
      <c r="S236" s="31">
        <f>IFERROR(VLOOKUP($D236,bug_conf_sheet!$A:$H,8,FALSE),VLOOKUP("other",bug_conf_sheet!$A:$H,8,FALSE))</f>
        <v>1</v>
      </c>
    </row>
    <row r="237" spans="1:19" ht="21" customHeight="1">
      <c r="A237" s="2">
        <f>input_1!A$2</f>
        <v>3121</v>
      </c>
      <c r="B237" s="7" t="str">
        <f t="shared" si="10"/>
        <v>PremiumSS5</v>
      </c>
      <c r="C237" s="7" t="str">
        <f t="shared" si="11"/>
        <v>PremiumSS</v>
      </c>
      <c r="D237" s="6">
        <v>659</v>
      </c>
      <c r="E237" s="7" t="str">
        <f>VLOOKUP(D237,[1]characters!$A:$C,3,FALSE)</f>
        <v>跳梁する化猫 クルミ</v>
      </c>
      <c r="F237" s="7" t="str">
        <f>VLOOKUP(D237,[1]characters!$A:$J,10,FALSE)</f>
        <v>PremiumSS</v>
      </c>
      <c r="G237" s="7">
        <f>VLOOKUP(D237,[1]characters!$A:$I,9,FALSE)</f>
        <v>5</v>
      </c>
      <c r="H237" s="7" t="str">
        <f>VLOOKUP(D237,[1]characters!$A:$H,8,FALSE)</f>
        <v>red</v>
      </c>
      <c r="I237" s="7" t="str">
        <f>VLOOKUP(D237,[1]characters!$A:$K,11,FALSE)</f>
        <v>attack</v>
      </c>
      <c r="J237" s="7" t="str">
        <f>VLOOKUP(D237,[1]characters!$A:$M,13,FALSE)</f>
        <v>animal</v>
      </c>
      <c r="K237" s="7" t="str">
        <f>VLOOKUP(D237,[1]characters!$A:$G,7,FALSE)</f>
        <v>女性</v>
      </c>
      <c r="L237" s="66">
        <f>IFERROR(VLOOKUP(D237,input_1!L:R,7,FALSE),VLOOKUP(tables_1!B237,input_1!A:H,8,FALSE))</f>
        <v>999</v>
      </c>
      <c r="M237" s="67">
        <f t="shared" si="9"/>
        <v>3.8461538461538463E-5</v>
      </c>
      <c r="N237" s="31">
        <f>IFERROR(VLOOKUP($D237,bug_conf_sheet!$A:$H,3,FALSE),VLOOKUP("other",bug_conf_sheet!$A:$H,3,FALSE))</f>
        <v>1</v>
      </c>
      <c r="O237" s="31">
        <f>IFERROR(VLOOKUP($D237,bug_conf_sheet!$A:$H,4,FALSE),VLOOKUP("other",bug_conf_sheet!$A:$H,4,FALSE))</f>
        <v>0</v>
      </c>
      <c r="P237" s="31">
        <f>IFERROR(VLOOKUP($D237,bug_conf_sheet!$A:$H,5,FALSE),VLOOKUP("other",bug_conf_sheet!$A:$H,5,FALSE))</f>
        <v>0</v>
      </c>
      <c r="Q237" s="31">
        <f>IFERROR(VLOOKUP($D237,bug_conf_sheet!$A:$H,6,FALSE),VLOOKUP("other",bug_conf_sheet!$A:$H,6,FALSE))</f>
        <v>0</v>
      </c>
      <c r="R237" s="31">
        <f>IFERROR(VLOOKUP($D237,bug_conf_sheet!$A:$H,7,FALSE),VLOOKUP("other",bug_conf_sheet!$A:$H,7,FALSE))</f>
        <v>0</v>
      </c>
      <c r="S237" s="31">
        <f>IFERROR(VLOOKUP($D237,bug_conf_sheet!$A:$H,8,FALSE),VLOOKUP("other",bug_conf_sheet!$A:$H,8,FALSE))</f>
        <v>1</v>
      </c>
    </row>
    <row r="238" spans="1:19" ht="21" hidden="1" customHeight="1">
      <c r="A238" s="2">
        <f>input_1!A$2</f>
        <v>3121</v>
      </c>
      <c r="B238" s="7" t="str">
        <f t="shared" si="10"/>
        <v>PremiumSS4</v>
      </c>
      <c r="C238" s="7" t="str">
        <f t="shared" si="11"/>
        <v>PremiumSS</v>
      </c>
      <c r="D238" s="6">
        <v>660</v>
      </c>
      <c r="E238" s="7" t="str">
        <f>VLOOKUP(D238,[1]characters!$A:$C,3,FALSE)</f>
        <v>烏天狗 フウガ</v>
      </c>
      <c r="F238" s="7" t="str">
        <f>VLOOKUP(D238,[1]characters!$A:$J,10,FALSE)</f>
        <v>PremiumSS</v>
      </c>
      <c r="G238" s="7">
        <f>VLOOKUP(D238,[1]characters!$A:$I,9,FALSE)</f>
        <v>4</v>
      </c>
      <c r="H238" s="7" t="str">
        <f>VLOOKUP(D238,[1]characters!$A:$H,8,FALSE)</f>
        <v>green</v>
      </c>
      <c r="I238" s="7" t="str">
        <f>VLOOKUP(D238,[1]characters!$A:$K,11,FALSE)</f>
        <v>balance</v>
      </c>
      <c r="J238" s="7" t="str">
        <f>VLOOKUP(D238,[1]characters!$A:$M,13,FALSE)</f>
        <v>animal</v>
      </c>
      <c r="K238" s="7" t="str">
        <f>VLOOKUP(D238,[1]characters!$A:$G,7,FALSE)</f>
        <v>男性</v>
      </c>
      <c r="L238" s="66">
        <f>IFERROR(VLOOKUP(D238,input_1!L:R,7,FALSE),VLOOKUP(tables_1!B238,input_1!A:H,8,FALSE))</f>
        <v>8991</v>
      </c>
      <c r="M238" s="67">
        <f t="shared" si="9"/>
        <v>3.4615384615384613E-4</v>
      </c>
      <c r="N238" s="31">
        <f>IFERROR(VLOOKUP($D238,bug_conf_sheet!$A:$H,3,FALSE),VLOOKUP("other",bug_conf_sheet!$A:$H,3,FALSE))</f>
        <v>1</v>
      </c>
      <c r="O238" s="31">
        <f>IFERROR(VLOOKUP($D238,bug_conf_sheet!$A:$H,4,FALSE),VLOOKUP("other",bug_conf_sheet!$A:$H,4,FALSE))</f>
        <v>0</v>
      </c>
      <c r="P238" s="31">
        <f>IFERROR(VLOOKUP($D238,bug_conf_sheet!$A:$H,5,FALSE),VLOOKUP("other",bug_conf_sheet!$A:$H,5,FALSE))</f>
        <v>0</v>
      </c>
      <c r="Q238" s="31">
        <f>IFERROR(VLOOKUP($D238,bug_conf_sheet!$A:$H,6,FALSE),VLOOKUP("other",bug_conf_sheet!$A:$H,6,FALSE))</f>
        <v>0</v>
      </c>
      <c r="R238" s="31">
        <f>IFERROR(VLOOKUP($D238,bug_conf_sheet!$A:$H,7,FALSE),VLOOKUP("other",bug_conf_sheet!$A:$H,7,FALSE))</f>
        <v>0</v>
      </c>
      <c r="S238" s="31">
        <f>IFERROR(VLOOKUP($D238,bug_conf_sheet!$A:$H,8,FALSE),VLOOKUP("other",bug_conf_sheet!$A:$H,8,FALSE))</f>
        <v>1</v>
      </c>
    </row>
    <row r="239" spans="1:19" ht="21" customHeight="1">
      <c r="A239" s="2">
        <f>input_1!A$2</f>
        <v>3121</v>
      </c>
      <c r="B239" s="7" t="str">
        <f t="shared" si="10"/>
        <v>PremiumSS5</v>
      </c>
      <c r="C239" s="7" t="str">
        <f t="shared" si="11"/>
        <v>PremiumSS</v>
      </c>
      <c r="D239" s="6">
        <v>661</v>
      </c>
      <c r="E239" s="7" t="str">
        <f>VLOOKUP(D239,[1]characters!$A:$C,3,FALSE)</f>
        <v>疾風の天狗礫 フウガ</v>
      </c>
      <c r="F239" s="7" t="str">
        <f>VLOOKUP(D239,[1]characters!$A:$J,10,FALSE)</f>
        <v>PremiumSS</v>
      </c>
      <c r="G239" s="7">
        <f>VLOOKUP(D239,[1]characters!$A:$I,9,FALSE)</f>
        <v>5</v>
      </c>
      <c r="H239" s="7" t="str">
        <f>VLOOKUP(D239,[1]characters!$A:$H,8,FALSE)</f>
        <v>green</v>
      </c>
      <c r="I239" s="7" t="str">
        <f>VLOOKUP(D239,[1]characters!$A:$K,11,FALSE)</f>
        <v>balance</v>
      </c>
      <c r="J239" s="7" t="str">
        <f>VLOOKUP(D239,[1]characters!$A:$M,13,FALSE)</f>
        <v>animal</v>
      </c>
      <c r="K239" s="7" t="str">
        <f>VLOOKUP(D239,[1]characters!$A:$G,7,FALSE)</f>
        <v>男性</v>
      </c>
      <c r="L239" s="66">
        <f>IFERROR(VLOOKUP(D239,input_1!L:R,7,FALSE),VLOOKUP(tables_1!B239,input_1!A:H,8,FALSE))</f>
        <v>999</v>
      </c>
      <c r="M239" s="67">
        <f t="shared" si="9"/>
        <v>3.8461538461538463E-5</v>
      </c>
      <c r="N239" s="31">
        <f>IFERROR(VLOOKUP($D239,bug_conf_sheet!$A:$H,3,FALSE),VLOOKUP("other",bug_conf_sheet!$A:$H,3,FALSE))</f>
        <v>1</v>
      </c>
      <c r="O239" s="31">
        <f>IFERROR(VLOOKUP($D239,bug_conf_sheet!$A:$H,4,FALSE),VLOOKUP("other",bug_conf_sheet!$A:$H,4,FALSE))</f>
        <v>0</v>
      </c>
      <c r="P239" s="31">
        <f>IFERROR(VLOOKUP($D239,bug_conf_sheet!$A:$H,5,FALSE),VLOOKUP("other",bug_conf_sheet!$A:$H,5,FALSE))</f>
        <v>0</v>
      </c>
      <c r="Q239" s="31">
        <f>IFERROR(VLOOKUP($D239,bug_conf_sheet!$A:$H,6,FALSE),VLOOKUP("other",bug_conf_sheet!$A:$H,6,FALSE))</f>
        <v>0</v>
      </c>
      <c r="R239" s="31">
        <f>IFERROR(VLOOKUP($D239,bug_conf_sheet!$A:$H,7,FALSE),VLOOKUP("other",bug_conf_sheet!$A:$H,7,FALSE))</f>
        <v>0</v>
      </c>
      <c r="S239" s="31">
        <f>IFERROR(VLOOKUP($D239,bug_conf_sheet!$A:$H,8,FALSE),VLOOKUP("other",bug_conf_sheet!$A:$H,8,FALSE))</f>
        <v>1</v>
      </c>
    </row>
    <row r="240" spans="1:19" ht="21" hidden="1" customHeight="1">
      <c r="A240" s="2">
        <f>input_1!A$2</f>
        <v>3121</v>
      </c>
      <c r="B240" s="7" t="str">
        <f t="shared" si="10"/>
        <v>Premium3</v>
      </c>
      <c r="C240" s="7" t="str">
        <f t="shared" si="11"/>
        <v>Premium</v>
      </c>
      <c r="D240" s="6">
        <v>662</v>
      </c>
      <c r="E240" s="7" t="str">
        <f>VLOOKUP(D240,[1]characters!$A:$C,3,FALSE)</f>
        <v>ダイダラ</v>
      </c>
      <c r="F240" s="7" t="str">
        <f>VLOOKUP(D240,[1]characters!$A:$J,10,FALSE)</f>
        <v>PremiumS</v>
      </c>
      <c r="G240" s="7">
        <f>VLOOKUP(D240,[1]characters!$A:$I,9,FALSE)</f>
        <v>3</v>
      </c>
      <c r="H240" s="7" t="str">
        <f>VLOOKUP(D240,[1]characters!$A:$H,8,FALSE)</f>
        <v>blue</v>
      </c>
      <c r="I240" s="7" t="str">
        <f>VLOOKUP(D240,[1]characters!$A:$K,11,FALSE)</f>
        <v>hp</v>
      </c>
      <c r="J240" s="7" t="str">
        <f>VLOOKUP(D240,[1]characters!$A:$M,13,FALSE)</f>
        <v>unknown</v>
      </c>
      <c r="K240" s="7" t="str">
        <f>VLOOKUP(D240,[1]characters!$A:$G,7,FALSE)</f>
        <v>不明</v>
      </c>
      <c r="L240" s="66">
        <f>IFERROR(VLOOKUP(D240,input_1!L:R,7,FALSE),VLOOKUP(tables_1!B240,input_1!A:H,8,FALSE))</f>
        <v>175500</v>
      </c>
      <c r="M240" s="67">
        <f t="shared" si="9"/>
        <v>6.7567567567567571E-3</v>
      </c>
      <c r="N240" s="31">
        <f>IFERROR(VLOOKUP($D240,bug_conf_sheet!$A:$H,3,FALSE),VLOOKUP("other",bug_conf_sheet!$A:$H,3,FALSE))</f>
        <v>1</v>
      </c>
      <c r="O240" s="31">
        <f>IFERROR(VLOOKUP($D240,bug_conf_sheet!$A:$H,4,FALSE),VLOOKUP("other",bug_conf_sheet!$A:$H,4,FALSE))</f>
        <v>0</v>
      </c>
      <c r="P240" s="31">
        <f>IFERROR(VLOOKUP($D240,bug_conf_sheet!$A:$H,5,FALSE),VLOOKUP("other",bug_conf_sheet!$A:$H,5,FALSE))</f>
        <v>0</v>
      </c>
      <c r="Q240" s="31">
        <f>IFERROR(VLOOKUP($D240,bug_conf_sheet!$A:$H,6,FALSE),VLOOKUP("other",bug_conf_sheet!$A:$H,6,FALSE))</f>
        <v>0</v>
      </c>
      <c r="R240" s="31">
        <f>IFERROR(VLOOKUP($D240,bug_conf_sheet!$A:$H,7,FALSE),VLOOKUP("other",bug_conf_sheet!$A:$H,7,FALSE))</f>
        <v>0</v>
      </c>
      <c r="S240" s="31">
        <f>IFERROR(VLOOKUP($D240,bug_conf_sheet!$A:$H,8,FALSE),VLOOKUP("other",bug_conf_sheet!$A:$H,8,FALSE))</f>
        <v>1</v>
      </c>
    </row>
    <row r="241" spans="1:19" ht="21" hidden="1" customHeight="1">
      <c r="A241" s="2">
        <f>input_1!A$2</f>
        <v>3121</v>
      </c>
      <c r="B241" s="7" t="str">
        <f t="shared" si="10"/>
        <v>Premium4</v>
      </c>
      <c r="C241" s="7" t="str">
        <f t="shared" si="11"/>
        <v>Premium</v>
      </c>
      <c r="D241" s="6">
        <v>663</v>
      </c>
      <c r="E241" s="7" t="str">
        <f>VLOOKUP(D241,[1]characters!$A:$C,3,FALSE)</f>
        <v>都揺らす地響き ダイダラ</v>
      </c>
      <c r="F241" s="7" t="str">
        <f>VLOOKUP(D241,[1]characters!$A:$J,10,FALSE)</f>
        <v>PremiumS</v>
      </c>
      <c r="G241" s="7">
        <f>VLOOKUP(D241,[1]characters!$A:$I,9,FALSE)</f>
        <v>4</v>
      </c>
      <c r="H241" s="7" t="str">
        <f>VLOOKUP(D241,[1]characters!$A:$H,8,FALSE)</f>
        <v>blue</v>
      </c>
      <c r="I241" s="7" t="str">
        <f>VLOOKUP(D241,[1]characters!$A:$K,11,FALSE)</f>
        <v>hp</v>
      </c>
      <c r="J241" s="7" t="str">
        <f>VLOOKUP(D241,[1]characters!$A:$M,13,FALSE)</f>
        <v>unknown</v>
      </c>
      <c r="K241" s="7" t="str">
        <f>VLOOKUP(D241,[1]characters!$A:$G,7,FALSE)</f>
        <v>不明</v>
      </c>
      <c r="L241" s="66">
        <f>IFERROR(VLOOKUP(D241,input_1!L:R,7,FALSE),VLOOKUP(tables_1!B241,input_1!A:H,8,FALSE))</f>
        <v>154791</v>
      </c>
      <c r="M241" s="67">
        <f t="shared" si="9"/>
        <v>5.9594594594594595E-3</v>
      </c>
      <c r="N241" s="31">
        <f>IFERROR(VLOOKUP($D241,bug_conf_sheet!$A:$H,3,FALSE),VLOOKUP("other",bug_conf_sheet!$A:$H,3,FALSE))</f>
        <v>1</v>
      </c>
      <c r="O241" s="31">
        <f>IFERROR(VLOOKUP($D241,bug_conf_sheet!$A:$H,4,FALSE),VLOOKUP("other",bug_conf_sheet!$A:$H,4,FALSE))</f>
        <v>0</v>
      </c>
      <c r="P241" s="31">
        <f>IFERROR(VLOOKUP($D241,bug_conf_sheet!$A:$H,5,FALSE),VLOOKUP("other",bug_conf_sheet!$A:$H,5,FALSE))</f>
        <v>0</v>
      </c>
      <c r="Q241" s="31">
        <f>IFERROR(VLOOKUP($D241,bug_conf_sheet!$A:$H,6,FALSE),VLOOKUP("other",bug_conf_sheet!$A:$H,6,FALSE))</f>
        <v>0</v>
      </c>
      <c r="R241" s="31">
        <f>IFERROR(VLOOKUP($D241,bug_conf_sheet!$A:$H,7,FALSE),VLOOKUP("other",bug_conf_sheet!$A:$H,7,FALSE))</f>
        <v>0</v>
      </c>
      <c r="S241" s="31">
        <f>IFERROR(VLOOKUP($D241,bug_conf_sheet!$A:$H,8,FALSE),VLOOKUP("other",bug_conf_sheet!$A:$H,8,FALSE))</f>
        <v>1</v>
      </c>
    </row>
    <row r="242" spans="1:19" ht="21" hidden="1" customHeight="1">
      <c r="A242" s="2">
        <f>input_1!A$2</f>
        <v>3121</v>
      </c>
      <c r="B242" s="7" t="str">
        <f t="shared" si="10"/>
        <v>Premium5</v>
      </c>
      <c r="C242" s="7" t="str">
        <f t="shared" si="11"/>
        <v>Premium</v>
      </c>
      <c r="D242" s="6">
        <v>664</v>
      </c>
      <c r="E242" s="7" t="str">
        <f>VLOOKUP(D242,[1]characters!$A:$C,3,FALSE)</f>
        <v>山掴み国造り ダイダラ</v>
      </c>
      <c r="F242" s="7" t="str">
        <f>VLOOKUP(D242,[1]characters!$A:$J,10,FALSE)</f>
        <v>PremiumS</v>
      </c>
      <c r="G242" s="7">
        <f>VLOOKUP(D242,[1]characters!$A:$I,9,FALSE)</f>
        <v>5</v>
      </c>
      <c r="H242" s="7" t="str">
        <f>VLOOKUP(D242,[1]characters!$A:$H,8,FALSE)</f>
        <v>blue</v>
      </c>
      <c r="I242" s="7" t="str">
        <f>VLOOKUP(D242,[1]characters!$A:$K,11,FALSE)</f>
        <v>hp</v>
      </c>
      <c r="J242" s="7" t="str">
        <f>VLOOKUP(D242,[1]characters!$A:$M,13,FALSE)</f>
        <v>unknown</v>
      </c>
      <c r="K242" s="7" t="str">
        <f>VLOOKUP(D242,[1]characters!$A:$G,7,FALSE)</f>
        <v>不明</v>
      </c>
      <c r="L242" s="66">
        <f>IFERROR(VLOOKUP(D242,input_1!L:R,7,FALSE),VLOOKUP(tables_1!B242,input_1!A:H,8,FALSE))</f>
        <v>23569</v>
      </c>
      <c r="M242" s="67">
        <f t="shared" si="9"/>
        <v>9.0740740740740745E-4</v>
      </c>
      <c r="N242" s="31">
        <f>IFERROR(VLOOKUP($D242,bug_conf_sheet!$A:$H,3,FALSE),VLOOKUP("other",bug_conf_sheet!$A:$H,3,FALSE))</f>
        <v>1</v>
      </c>
      <c r="O242" s="31">
        <f>IFERROR(VLOOKUP($D242,bug_conf_sheet!$A:$H,4,FALSE),VLOOKUP("other",bug_conf_sheet!$A:$H,4,FALSE))</f>
        <v>0</v>
      </c>
      <c r="P242" s="31">
        <f>IFERROR(VLOOKUP($D242,bug_conf_sheet!$A:$H,5,FALSE),VLOOKUP("other",bug_conf_sheet!$A:$H,5,FALSE))</f>
        <v>0</v>
      </c>
      <c r="Q242" s="31">
        <f>IFERROR(VLOOKUP($D242,bug_conf_sheet!$A:$H,6,FALSE),VLOOKUP("other",bug_conf_sheet!$A:$H,6,FALSE))</f>
        <v>0</v>
      </c>
      <c r="R242" s="31">
        <f>IFERROR(VLOOKUP($D242,bug_conf_sheet!$A:$H,7,FALSE),VLOOKUP("other",bug_conf_sheet!$A:$H,7,FALSE))</f>
        <v>0</v>
      </c>
      <c r="S242" s="31">
        <f>IFERROR(VLOOKUP($D242,bug_conf_sheet!$A:$H,8,FALSE),VLOOKUP("other",bug_conf_sheet!$A:$H,8,FALSE))</f>
        <v>1</v>
      </c>
    </row>
    <row r="243" spans="1:19" ht="21" hidden="1" customHeight="1">
      <c r="A243" s="2">
        <f>input_1!A$2</f>
        <v>3121</v>
      </c>
      <c r="B243" s="7" t="str">
        <f t="shared" si="10"/>
        <v>Premium3</v>
      </c>
      <c r="C243" s="7" t="str">
        <f t="shared" si="11"/>
        <v>Premium</v>
      </c>
      <c r="D243" s="6">
        <v>665</v>
      </c>
      <c r="E243" s="7" t="str">
        <f>VLOOKUP(D243,[1]characters!$A:$C,3,FALSE)</f>
        <v>座敷童子 テマリ</v>
      </c>
      <c r="F243" s="7" t="str">
        <f>VLOOKUP(D243,[1]characters!$A:$J,10,FALSE)</f>
        <v>PremiumS</v>
      </c>
      <c r="G243" s="7">
        <f>VLOOKUP(D243,[1]characters!$A:$I,9,FALSE)</f>
        <v>3</v>
      </c>
      <c r="H243" s="7" t="str">
        <f>VLOOKUP(D243,[1]characters!$A:$H,8,FALSE)</f>
        <v>yellow</v>
      </c>
      <c r="I243" s="7" t="str">
        <f>VLOOKUP(D243,[1]characters!$A:$K,11,FALSE)</f>
        <v>balance</v>
      </c>
      <c r="J243" s="7" t="str">
        <f>VLOOKUP(D243,[1]characters!$A:$M,13,FALSE)</f>
        <v>unknown</v>
      </c>
      <c r="K243" s="7" t="str">
        <f>VLOOKUP(D243,[1]characters!$A:$G,7,FALSE)</f>
        <v>女性</v>
      </c>
      <c r="L243" s="66">
        <f>IFERROR(VLOOKUP(D243,input_1!L:R,7,FALSE),VLOOKUP(tables_1!B243,input_1!A:H,8,FALSE))</f>
        <v>175500</v>
      </c>
      <c r="M243" s="67">
        <f t="shared" si="9"/>
        <v>6.7567567567567571E-3</v>
      </c>
      <c r="N243" s="31">
        <f>IFERROR(VLOOKUP($D243,bug_conf_sheet!$A:$H,3,FALSE),VLOOKUP("other",bug_conf_sheet!$A:$H,3,FALSE))</f>
        <v>1</v>
      </c>
      <c r="O243" s="31">
        <f>IFERROR(VLOOKUP($D243,bug_conf_sheet!$A:$H,4,FALSE),VLOOKUP("other",bug_conf_sheet!$A:$H,4,FALSE))</f>
        <v>0</v>
      </c>
      <c r="P243" s="31">
        <f>IFERROR(VLOOKUP($D243,bug_conf_sheet!$A:$H,5,FALSE),VLOOKUP("other",bug_conf_sheet!$A:$H,5,FALSE))</f>
        <v>0</v>
      </c>
      <c r="Q243" s="31">
        <f>IFERROR(VLOOKUP($D243,bug_conf_sheet!$A:$H,6,FALSE),VLOOKUP("other",bug_conf_sheet!$A:$H,6,FALSE))</f>
        <v>0</v>
      </c>
      <c r="R243" s="31">
        <f>IFERROR(VLOOKUP($D243,bug_conf_sheet!$A:$H,7,FALSE),VLOOKUP("other",bug_conf_sheet!$A:$H,7,FALSE))</f>
        <v>0</v>
      </c>
      <c r="S243" s="31">
        <f>IFERROR(VLOOKUP($D243,bug_conf_sheet!$A:$H,8,FALSE),VLOOKUP("other",bug_conf_sheet!$A:$H,8,FALSE))</f>
        <v>1</v>
      </c>
    </row>
    <row r="244" spans="1:19" ht="21" hidden="1" customHeight="1">
      <c r="A244" s="2">
        <f>input_1!A$2</f>
        <v>3121</v>
      </c>
      <c r="B244" s="7" t="str">
        <f t="shared" si="10"/>
        <v>Premium4</v>
      </c>
      <c r="C244" s="7" t="str">
        <f t="shared" si="11"/>
        <v>Premium</v>
      </c>
      <c r="D244" s="6">
        <v>666</v>
      </c>
      <c r="E244" s="7" t="str">
        <f>VLOOKUP(D244,[1]characters!$A:$C,3,FALSE)</f>
        <v>拡散する幸福 テマリ</v>
      </c>
      <c r="F244" s="7" t="str">
        <f>VLOOKUP(D244,[1]characters!$A:$J,10,FALSE)</f>
        <v>PremiumS</v>
      </c>
      <c r="G244" s="7">
        <f>VLOOKUP(D244,[1]characters!$A:$I,9,FALSE)</f>
        <v>4</v>
      </c>
      <c r="H244" s="7" t="str">
        <f>VLOOKUP(D244,[1]characters!$A:$H,8,FALSE)</f>
        <v>yellow</v>
      </c>
      <c r="I244" s="7" t="str">
        <f>VLOOKUP(D244,[1]characters!$A:$K,11,FALSE)</f>
        <v>balance</v>
      </c>
      <c r="J244" s="7" t="str">
        <f>VLOOKUP(D244,[1]characters!$A:$M,13,FALSE)</f>
        <v>unknown</v>
      </c>
      <c r="K244" s="7" t="str">
        <f>VLOOKUP(D244,[1]characters!$A:$G,7,FALSE)</f>
        <v>女性</v>
      </c>
      <c r="L244" s="66">
        <f>IFERROR(VLOOKUP(D244,input_1!L:R,7,FALSE),VLOOKUP(tables_1!B244,input_1!A:H,8,FALSE))</f>
        <v>154791</v>
      </c>
      <c r="M244" s="67">
        <f t="shared" si="9"/>
        <v>5.9594594594594595E-3</v>
      </c>
      <c r="N244" s="31">
        <f>IFERROR(VLOOKUP($D244,bug_conf_sheet!$A:$H,3,FALSE),VLOOKUP("other",bug_conf_sheet!$A:$H,3,FALSE))</f>
        <v>1</v>
      </c>
      <c r="O244" s="31">
        <f>IFERROR(VLOOKUP($D244,bug_conf_sheet!$A:$H,4,FALSE),VLOOKUP("other",bug_conf_sheet!$A:$H,4,FALSE))</f>
        <v>0</v>
      </c>
      <c r="P244" s="31">
        <f>IFERROR(VLOOKUP($D244,bug_conf_sheet!$A:$H,5,FALSE),VLOOKUP("other",bug_conf_sheet!$A:$H,5,FALSE))</f>
        <v>0</v>
      </c>
      <c r="Q244" s="31">
        <f>IFERROR(VLOOKUP($D244,bug_conf_sheet!$A:$H,6,FALSE),VLOOKUP("other",bug_conf_sheet!$A:$H,6,FALSE))</f>
        <v>0</v>
      </c>
      <c r="R244" s="31">
        <f>IFERROR(VLOOKUP($D244,bug_conf_sheet!$A:$H,7,FALSE),VLOOKUP("other",bug_conf_sheet!$A:$H,7,FALSE))</f>
        <v>0</v>
      </c>
      <c r="S244" s="31">
        <f>IFERROR(VLOOKUP($D244,bug_conf_sheet!$A:$H,8,FALSE),VLOOKUP("other",bug_conf_sheet!$A:$H,8,FALSE))</f>
        <v>1</v>
      </c>
    </row>
    <row r="245" spans="1:19" ht="21" hidden="1" customHeight="1">
      <c r="A245" s="2">
        <f>input_1!A$2</f>
        <v>3121</v>
      </c>
      <c r="B245" s="7" t="str">
        <f t="shared" si="10"/>
        <v>Premium5</v>
      </c>
      <c r="C245" s="7" t="str">
        <f t="shared" si="11"/>
        <v>Premium</v>
      </c>
      <c r="D245" s="6">
        <v>667</v>
      </c>
      <c r="E245" s="7" t="str">
        <f>VLOOKUP(D245,[1]characters!$A:$C,3,FALSE)</f>
        <v>最幸運の妖童 テマリ</v>
      </c>
      <c r="F245" s="7" t="str">
        <f>VLOOKUP(D245,[1]characters!$A:$J,10,FALSE)</f>
        <v>PremiumS</v>
      </c>
      <c r="G245" s="7">
        <f>VLOOKUP(D245,[1]characters!$A:$I,9,FALSE)</f>
        <v>5</v>
      </c>
      <c r="H245" s="7" t="str">
        <f>VLOOKUP(D245,[1]characters!$A:$H,8,FALSE)</f>
        <v>yellow</v>
      </c>
      <c r="I245" s="7" t="str">
        <f>VLOOKUP(D245,[1]characters!$A:$K,11,FALSE)</f>
        <v>balance</v>
      </c>
      <c r="J245" s="7" t="str">
        <f>VLOOKUP(D245,[1]characters!$A:$M,13,FALSE)</f>
        <v>unknown</v>
      </c>
      <c r="K245" s="7" t="str">
        <f>VLOOKUP(D245,[1]characters!$A:$G,7,FALSE)</f>
        <v>女性</v>
      </c>
      <c r="L245" s="66">
        <f>IFERROR(VLOOKUP(D245,input_1!L:R,7,FALSE),VLOOKUP(tables_1!B245,input_1!A:H,8,FALSE))</f>
        <v>23569</v>
      </c>
      <c r="M245" s="67">
        <f t="shared" si="9"/>
        <v>9.0740740740740745E-4</v>
      </c>
      <c r="N245" s="31">
        <f>IFERROR(VLOOKUP($D245,bug_conf_sheet!$A:$H,3,FALSE),VLOOKUP("other",bug_conf_sheet!$A:$H,3,FALSE))</f>
        <v>1</v>
      </c>
      <c r="O245" s="31">
        <f>IFERROR(VLOOKUP($D245,bug_conf_sheet!$A:$H,4,FALSE),VLOOKUP("other",bug_conf_sheet!$A:$H,4,FALSE))</f>
        <v>0</v>
      </c>
      <c r="P245" s="31">
        <f>IFERROR(VLOOKUP($D245,bug_conf_sheet!$A:$H,5,FALSE),VLOOKUP("other",bug_conf_sheet!$A:$H,5,FALSE))</f>
        <v>0</v>
      </c>
      <c r="Q245" s="31">
        <f>IFERROR(VLOOKUP($D245,bug_conf_sheet!$A:$H,6,FALSE),VLOOKUP("other",bug_conf_sheet!$A:$H,6,FALSE))</f>
        <v>0</v>
      </c>
      <c r="R245" s="31">
        <f>IFERROR(VLOOKUP($D245,bug_conf_sheet!$A:$H,7,FALSE),VLOOKUP("other",bug_conf_sheet!$A:$H,7,FALSE))</f>
        <v>0</v>
      </c>
      <c r="S245" s="31">
        <f>IFERROR(VLOOKUP($D245,bug_conf_sheet!$A:$H,8,FALSE),VLOOKUP("other",bug_conf_sheet!$A:$H,8,FALSE))</f>
        <v>1</v>
      </c>
    </row>
    <row r="246" spans="1:19" ht="21" hidden="1" customHeight="1">
      <c r="A246" s="2">
        <f>input_1!A$2</f>
        <v>3121</v>
      </c>
      <c r="B246" s="7" t="str">
        <f t="shared" ref="B246:B255" si="12">C246&amp;G246</f>
        <v>Premium3</v>
      </c>
      <c r="C246" s="7" t="str">
        <f t="shared" ref="C246:C255" si="13">IF(F246="PremiumSS",F246,IF(F246="PremiumSSS",F246,"Premium"))</f>
        <v>Premium</v>
      </c>
      <c r="D246" s="6">
        <v>668</v>
      </c>
      <c r="E246" s="7" t="str">
        <f>VLOOKUP(D246,[1]characters!$A:$C,3,FALSE)</f>
        <v>アグニ</v>
      </c>
      <c r="F246" s="7" t="str">
        <f>VLOOKUP(D246,[1]characters!$A:$J,10,FALSE)</f>
        <v>PremiumS</v>
      </c>
      <c r="G246" s="7">
        <f>VLOOKUP(D246,[1]characters!$A:$I,9,FALSE)</f>
        <v>3</v>
      </c>
      <c r="H246" s="7" t="str">
        <f>VLOOKUP(D246,[1]characters!$A:$H,8,FALSE)</f>
        <v>red</v>
      </c>
      <c r="I246" s="7" t="str">
        <f>VLOOKUP(D246,[1]characters!$A:$K,11,FALSE)</f>
        <v>hp</v>
      </c>
      <c r="J246" s="7" t="str">
        <f>VLOOKUP(D246,[1]characters!$A:$M,13,FALSE)</f>
        <v>god</v>
      </c>
      <c r="K246" s="7" t="str">
        <f>VLOOKUP(D246,[1]characters!$A:$G,7,FALSE)</f>
        <v>男性</v>
      </c>
      <c r="L246" s="66">
        <f>IFERROR(VLOOKUP(D246,input_1!L:R,7,FALSE),VLOOKUP(tables_1!B246,input_1!A:H,8,FALSE))</f>
        <v>175500</v>
      </c>
      <c r="M246" s="67">
        <f t="shared" si="9"/>
        <v>6.7567567567567571E-3</v>
      </c>
      <c r="N246" s="31">
        <f>IFERROR(VLOOKUP($D246,bug_conf_sheet!$A:$H,3,FALSE),VLOOKUP("other",bug_conf_sheet!$A:$H,3,FALSE))</f>
        <v>1</v>
      </c>
      <c r="O246" s="31">
        <f>IFERROR(VLOOKUP($D246,bug_conf_sheet!$A:$H,4,FALSE),VLOOKUP("other",bug_conf_sheet!$A:$H,4,FALSE))</f>
        <v>0</v>
      </c>
      <c r="P246" s="31">
        <f>IFERROR(VLOOKUP($D246,bug_conf_sheet!$A:$H,5,FALSE),VLOOKUP("other",bug_conf_sheet!$A:$H,5,FALSE))</f>
        <v>0</v>
      </c>
      <c r="Q246" s="31">
        <f>IFERROR(VLOOKUP($D246,bug_conf_sheet!$A:$H,6,FALSE),VLOOKUP("other",bug_conf_sheet!$A:$H,6,FALSE))</f>
        <v>0</v>
      </c>
      <c r="R246" s="31">
        <f>IFERROR(VLOOKUP($D246,bug_conf_sheet!$A:$H,7,FALSE),VLOOKUP("other",bug_conf_sheet!$A:$H,7,FALSE))</f>
        <v>0</v>
      </c>
      <c r="S246" s="31">
        <f>IFERROR(VLOOKUP($D246,bug_conf_sheet!$A:$H,8,FALSE),VLOOKUP("other",bug_conf_sheet!$A:$H,8,FALSE))</f>
        <v>1</v>
      </c>
    </row>
    <row r="247" spans="1:19" ht="21" hidden="1" customHeight="1">
      <c r="A247" s="2">
        <f>input_1!A$2</f>
        <v>3121</v>
      </c>
      <c r="B247" s="7" t="str">
        <f t="shared" si="12"/>
        <v>Premium4</v>
      </c>
      <c r="C247" s="7" t="str">
        <f t="shared" si="13"/>
        <v>Premium</v>
      </c>
      <c r="D247" s="6">
        <v>669</v>
      </c>
      <c r="E247" s="7" t="str">
        <f>VLOOKUP(D247,[1]characters!$A:$C,3,FALSE)</f>
        <v>天地の仲界 アグニ</v>
      </c>
      <c r="F247" s="7" t="str">
        <f>VLOOKUP(D247,[1]characters!$A:$J,10,FALSE)</f>
        <v>PremiumS</v>
      </c>
      <c r="G247" s="7">
        <f>VLOOKUP(D247,[1]characters!$A:$I,9,FALSE)</f>
        <v>4</v>
      </c>
      <c r="H247" s="7" t="str">
        <f>VLOOKUP(D247,[1]characters!$A:$H,8,FALSE)</f>
        <v>red</v>
      </c>
      <c r="I247" s="7" t="str">
        <f>VLOOKUP(D247,[1]characters!$A:$K,11,FALSE)</f>
        <v>hp</v>
      </c>
      <c r="J247" s="7" t="str">
        <f>VLOOKUP(D247,[1]characters!$A:$M,13,FALSE)</f>
        <v>god</v>
      </c>
      <c r="K247" s="7" t="str">
        <f>VLOOKUP(D247,[1]characters!$A:$G,7,FALSE)</f>
        <v>男性</v>
      </c>
      <c r="L247" s="66">
        <f>IFERROR(VLOOKUP(D247,input_1!L:R,7,FALSE),VLOOKUP(tables_1!B247,input_1!A:H,8,FALSE))</f>
        <v>154791</v>
      </c>
      <c r="M247" s="67">
        <f t="shared" si="9"/>
        <v>5.9594594594594595E-3</v>
      </c>
      <c r="N247" s="31">
        <f>IFERROR(VLOOKUP($D247,bug_conf_sheet!$A:$H,3,FALSE),VLOOKUP("other",bug_conf_sheet!$A:$H,3,FALSE))</f>
        <v>1</v>
      </c>
      <c r="O247" s="31">
        <f>IFERROR(VLOOKUP($D247,bug_conf_sheet!$A:$H,4,FALSE),VLOOKUP("other",bug_conf_sheet!$A:$H,4,FALSE))</f>
        <v>0</v>
      </c>
      <c r="P247" s="31">
        <f>IFERROR(VLOOKUP($D247,bug_conf_sheet!$A:$H,5,FALSE),VLOOKUP("other",bug_conf_sheet!$A:$H,5,FALSE))</f>
        <v>0</v>
      </c>
      <c r="Q247" s="31">
        <f>IFERROR(VLOOKUP($D247,bug_conf_sheet!$A:$H,6,FALSE),VLOOKUP("other",bug_conf_sheet!$A:$H,6,FALSE))</f>
        <v>0</v>
      </c>
      <c r="R247" s="31">
        <f>IFERROR(VLOOKUP($D247,bug_conf_sheet!$A:$H,7,FALSE),VLOOKUP("other",bug_conf_sheet!$A:$H,7,FALSE))</f>
        <v>0</v>
      </c>
      <c r="S247" s="31">
        <f>IFERROR(VLOOKUP($D247,bug_conf_sheet!$A:$H,8,FALSE),VLOOKUP("other",bug_conf_sheet!$A:$H,8,FALSE))</f>
        <v>1</v>
      </c>
    </row>
    <row r="248" spans="1:19" ht="21" hidden="1" customHeight="1">
      <c r="A248" s="2">
        <f>input_1!A$2</f>
        <v>3121</v>
      </c>
      <c r="B248" s="7" t="str">
        <f t="shared" si="12"/>
        <v>Premium5</v>
      </c>
      <c r="C248" s="7" t="str">
        <f t="shared" si="13"/>
        <v>Premium</v>
      </c>
      <c r="D248" s="6">
        <v>670</v>
      </c>
      <c r="E248" s="7" t="str">
        <f>VLOOKUP(D248,[1]characters!$A:$C,3,FALSE)</f>
        <v>陽天の噴煙 アグニ</v>
      </c>
      <c r="F248" s="7" t="str">
        <f>VLOOKUP(D248,[1]characters!$A:$J,10,FALSE)</f>
        <v>PremiumS</v>
      </c>
      <c r="G248" s="7">
        <f>VLOOKUP(D248,[1]characters!$A:$I,9,FALSE)</f>
        <v>5</v>
      </c>
      <c r="H248" s="7" t="str">
        <f>VLOOKUP(D248,[1]characters!$A:$H,8,FALSE)</f>
        <v>red</v>
      </c>
      <c r="I248" s="7" t="str">
        <f>VLOOKUP(D248,[1]characters!$A:$K,11,FALSE)</f>
        <v>hp</v>
      </c>
      <c r="J248" s="7" t="str">
        <f>VLOOKUP(D248,[1]characters!$A:$M,13,FALSE)</f>
        <v>god</v>
      </c>
      <c r="K248" s="7" t="str">
        <f>VLOOKUP(D248,[1]characters!$A:$G,7,FALSE)</f>
        <v>男性</v>
      </c>
      <c r="L248" s="66">
        <f>IFERROR(VLOOKUP(D248,input_1!L:R,7,FALSE),VLOOKUP(tables_1!B248,input_1!A:H,8,FALSE))</f>
        <v>23569</v>
      </c>
      <c r="M248" s="67">
        <f t="shared" si="9"/>
        <v>9.0740740740740745E-4</v>
      </c>
      <c r="N248" s="31">
        <f>IFERROR(VLOOKUP($D248,bug_conf_sheet!$A:$H,3,FALSE),VLOOKUP("other",bug_conf_sheet!$A:$H,3,FALSE))</f>
        <v>1</v>
      </c>
      <c r="O248" s="31">
        <f>IFERROR(VLOOKUP($D248,bug_conf_sheet!$A:$H,4,FALSE),VLOOKUP("other",bug_conf_sheet!$A:$H,4,FALSE))</f>
        <v>0</v>
      </c>
      <c r="P248" s="31">
        <f>IFERROR(VLOOKUP($D248,bug_conf_sheet!$A:$H,5,FALSE),VLOOKUP("other",bug_conf_sheet!$A:$H,5,FALSE))</f>
        <v>0</v>
      </c>
      <c r="Q248" s="31">
        <f>IFERROR(VLOOKUP($D248,bug_conf_sheet!$A:$H,6,FALSE),VLOOKUP("other",bug_conf_sheet!$A:$H,6,FALSE))</f>
        <v>0</v>
      </c>
      <c r="R248" s="31">
        <f>IFERROR(VLOOKUP($D248,bug_conf_sheet!$A:$H,7,FALSE),VLOOKUP("other",bug_conf_sheet!$A:$H,7,FALSE))</f>
        <v>0</v>
      </c>
      <c r="S248" s="31">
        <f>IFERROR(VLOOKUP($D248,bug_conf_sheet!$A:$H,8,FALSE),VLOOKUP("other",bug_conf_sheet!$A:$H,8,FALSE))</f>
        <v>1</v>
      </c>
    </row>
    <row r="249" spans="1:19" ht="21" hidden="1" customHeight="1">
      <c r="A249" s="2">
        <f>input_1!A$2</f>
        <v>3121</v>
      </c>
      <c r="B249" s="7" t="str">
        <f t="shared" si="12"/>
        <v>Premium3</v>
      </c>
      <c r="C249" s="7" t="str">
        <f t="shared" si="13"/>
        <v>Premium</v>
      </c>
      <c r="D249" s="6">
        <v>671</v>
      </c>
      <c r="E249" s="7" t="str">
        <f>VLOOKUP(D249,[1]characters!$A:$C,3,FALSE)</f>
        <v>ハヌマーン</v>
      </c>
      <c r="F249" s="7" t="str">
        <f>VLOOKUP(D249,[1]characters!$A:$J,10,FALSE)</f>
        <v>PremiumS</v>
      </c>
      <c r="G249" s="7">
        <f>VLOOKUP(D249,[1]characters!$A:$I,9,FALSE)</f>
        <v>3</v>
      </c>
      <c r="H249" s="7" t="str">
        <f>VLOOKUP(D249,[1]characters!$A:$H,8,FALSE)</f>
        <v>green</v>
      </c>
      <c r="I249" s="7" t="str">
        <f>VLOOKUP(D249,[1]characters!$A:$K,11,FALSE)</f>
        <v>attack</v>
      </c>
      <c r="J249" s="7" t="str">
        <f>VLOOKUP(D249,[1]characters!$A:$M,13,FALSE)</f>
        <v>animal</v>
      </c>
      <c r="K249" s="7" t="str">
        <f>VLOOKUP(D249,[1]characters!$A:$G,7,FALSE)</f>
        <v>男性</v>
      </c>
      <c r="L249" s="66">
        <f>IFERROR(VLOOKUP(D249,input_1!L:R,7,FALSE),VLOOKUP(tables_1!B249,input_1!A:H,8,FALSE))</f>
        <v>175500</v>
      </c>
      <c r="M249" s="67">
        <f t="shared" si="9"/>
        <v>6.7567567567567571E-3</v>
      </c>
      <c r="N249" s="31">
        <f>IFERROR(VLOOKUP($D249,bug_conf_sheet!$A:$H,3,FALSE),VLOOKUP("other",bug_conf_sheet!$A:$H,3,FALSE))</f>
        <v>1</v>
      </c>
      <c r="O249" s="31">
        <f>IFERROR(VLOOKUP($D249,bug_conf_sheet!$A:$H,4,FALSE),VLOOKUP("other",bug_conf_sheet!$A:$H,4,FALSE))</f>
        <v>0</v>
      </c>
      <c r="P249" s="31">
        <f>IFERROR(VLOOKUP($D249,bug_conf_sheet!$A:$H,5,FALSE),VLOOKUP("other",bug_conf_sheet!$A:$H,5,FALSE))</f>
        <v>0</v>
      </c>
      <c r="Q249" s="31">
        <f>IFERROR(VLOOKUP($D249,bug_conf_sheet!$A:$H,6,FALSE),VLOOKUP("other",bug_conf_sheet!$A:$H,6,FALSE))</f>
        <v>0</v>
      </c>
      <c r="R249" s="31">
        <f>IFERROR(VLOOKUP($D249,bug_conf_sheet!$A:$H,7,FALSE),VLOOKUP("other",bug_conf_sheet!$A:$H,7,FALSE))</f>
        <v>0</v>
      </c>
      <c r="S249" s="31">
        <f>IFERROR(VLOOKUP($D249,bug_conf_sheet!$A:$H,8,FALSE),VLOOKUP("other",bug_conf_sheet!$A:$H,8,FALSE))</f>
        <v>1</v>
      </c>
    </row>
    <row r="250" spans="1:19" ht="21" hidden="1" customHeight="1">
      <c r="A250" s="2">
        <f>input_1!A$2</f>
        <v>3121</v>
      </c>
      <c r="B250" s="7" t="str">
        <f t="shared" si="12"/>
        <v>Premium4</v>
      </c>
      <c r="C250" s="7" t="str">
        <f t="shared" si="13"/>
        <v>Premium</v>
      </c>
      <c r="D250" s="6">
        <v>672</v>
      </c>
      <c r="E250" s="7" t="str">
        <f>VLOOKUP(D250,[1]characters!$A:$C,3,FALSE)</f>
        <v>西遊韋駄天 ハヌマーン</v>
      </c>
      <c r="F250" s="7" t="str">
        <f>VLOOKUP(D250,[1]characters!$A:$J,10,FALSE)</f>
        <v>PremiumS</v>
      </c>
      <c r="G250" s="7">
        <f>VLOOKUP(D250,[1]characters!$A:$I,9,FALSE)</f>
        <v>4</v>
      </c>
      <c r="H250" s="7" t="str">
        <f>VLOOKUP(D250,[1]characters!$A:$H,8,FALSE)</f>
        <v>green</v>
      </c>
      <c r="I250" s="7" t="str">
        <f>VLOOKUP(D250,[1]characters!$A:$K,11,FALSE)</f>
        <v>attack</v>
      </c>
      <c r="J250" s="7" t="str">
        <f>VLOOKUP(D250,[1]characters!$A:$M,13,FALSE)</f>
        <v>animal</v>
      </c>
      <c r="K250" s="7" t="str">
        <f>VLOOKUP(D250,[1]characters!$A:$G,7,FALSE)</f>
        <v>男性</v>
      </c>
      <c r="L250" s="66">
        <f>IFERROR(VLOOKUP(D250,input_1!L:R,7,FALSE),VLOOKUP(tables_1!B250,input_1!A:H,8,FALSE))</f>
        <v>154791</v>
      </c>
      <c r="M250" s="67">
        <f t="shared" si="9"/>
        <v>5.9594594594594595E-3</v>
      </c>
      <c r="N250" s="31">
        <f>IFERROR(VLOOKUP($D250,bug_conf_sheet!$A:$H,3,FALSE),VLOOKUP("other",bug_conf_sheet!$A:$H,3,FALSE))</f>
        <v>1</v>
      </c>
      <c r="O250" s="31">
        <f>IFERROR(VLOOKUP($D250,bug_conf_sheet!$A:$H,4,FALSE),VLOOKUP("other",bug_conf_sheet!$A:$H,4,FALSE))</f>
        <v>0</v>
      </c>
      <c r="P250" s="31">
        <f>IFERROR(VLOOKUP($D250,bug_conf_sheet!$A:$H,5,FALSE),VLOOKUP("other",bug_conf_sheet!$A:$H,5,FALSE))</f>
        <v>0</v>
      </c>
      <c r="Q250" s="31">
        <f>IFERROR(VLOOKUP($D250,bug_conf_sheet!$A:$H,6,FALSE),VLOOKUP("other",bug_conf_sheet!$A:$H,6,FALSE))</f>
        <v>0</v>
      </c>
      <c r="R250" s="31">
        <f>IFERROR(VLOOKUP($D250,bug_conf_sheet!$A:$H,7,FALSE),VLOOKUP("other",bug_conf_sheet!$A:$H,7,FALSE))</f>
        <v>0</v>
      </c>
      <c r="S250" s="31">
        <f>IFERROR(VLOOKUP($D250,bug_conf_sheet!$A:$H,8,FALSE),VLOOKUP("other",bug_conf_sheet!$A:$H,8,FALSE))</f>
        <v>1</v>
      </c>
    </row>
    <row r="251" spans="1:19" ht="21" hidden="1" customHeight="1">
      <c r="A251" s="2">
        <f>input_1!A$2</f>
        <v>3121</v>
      </c>
      <c r="B251" s="7" t="str">
        <f t="shared" si="12"/>
        <v>Premium5</v>
      </c>
      <c r="C251" s="7" t="str">
        <f t="shared" si="13"/>
        <v>Premium</v>
      </c>
      <c r="D251" s="6">
        <v>673</v>
      </c>
      <c r="E251" s="7" t="str">
        <f>VLOOKUP(D251,[1]characters!$A:$C,3,FALSE)</f>
        <v>変幻自在の猿王 ハヌマーン</v>
      </c>
      <c r="F251" s="7" t="str">
        <f>VLOOKUP(D251,[1]characters!$A:$J,10,FALSE)</f>
        <v>PremiumS</v>
      </c>
      <c r="G251" s="7">
        <f>VLOOKUP(D251,[1]characters!$A:$I,9,FALSE)</f>
        <v>5</v>
      </c>
      <c r="H251" s="7" t="str">
        <f>VLOOKUP(D251,[1]characters!$A:$H,8,FALSE)</f>
        <v>green</v>
      </c>
      <c r="I251" s="7" t="str">
        <f>VLOOKUP(D251,[1]characters!$A:$K,11,FALSE)</f>
        <v>attack</v>
      </c>
      <c r="J251" s="7" t="str">
        <f>VLOOKUP(D251,[1]characters!$A:$M,13,FALSE)</f>
        <v>animal</v>
      </c>
      <c r="K251" s="7" t="str">
        <f>VLOOKUP(D251,[1]characters!$A:$G,7,FALSE)</f>
        <v>男性</v>
      </c>
      <c r="L251" s="66">
        <f>IFERROR(VLOOKUP(D251,input_1!L:R,7,FALSE),VLOOKUP(tables_1!B251,input_1!A:H,8,FALSE))</f>
        <v>23569</v>
      </c>
      <c r="M251" s="67">
        <f t="shared" si="9"/>
        <v>9.0740740740740745E-4</v>
      </c>
      <c r="N251" s="31">
        <f>IFERROR(VLOOKUP($D251,bug_conf_sheet!$A:$H,3,FALSE),VLOOKUP("other",bug_conf_sheet!$A:$H,3,FALSE))</f>
        <v>1</v>
      </c>
      <c r="O251" s="31">
        <f>IFERROR(VLOOKUP($D251,bug_conf_sheet!$A:$H,4,FALSE),VLOOKUP("other",bug_conf_sheet!$A:$H,4,FALSE))</f>
        <v>0</v>
      </c>
      <c r="P251" s="31">
        <f>IFERROR(VLOOKUP($D251,bug_conf_sheet!$A:$H,5,FALSE),VLOOKUP("other",bug_conf_sheet!$A:$H,5,FALSE))</f>
        <v>0</v>
      </c>
      <c r="Q251" s="31">
        <f>IFERROR(VLOOKUP($D251,bug_conf_sheet!$A:$H,6,FALSE),VLOOKUP("other",bug_conf_sheet!$A:$H,6,FALSE))</f>
        <v>0</v>
      </c>
      <c r="R251" s="31">
        <f>IFERROR(VLOOKUP($D251,bug_conf_sheet!$A:$H,7,FALSE),VLOOKUP("other",bug_conf_sheet!$A:$H,7,FALSE))</f>
        <v>0</v>
      </c>
      <c r="S251" s="31">
        <f>IFERROR(VLOOKUP($D251,bug_conf_sheet!$A:$H,8,FALSE),VLOOKUP("other",bug_conf_sheet!$A:$H,8,FALSE))</f>
        <v>1</v>
      </c>
    </row>
    <row r="252" spans="1:19" ht="21" hidden="1" customHeight="1">
      <c r="A252" s="2">
        <f>input_1!A$2</f>
        <v>3121</v>
      </c>
      <c r="B252" s="7" t="str">
        <f t="shared" si="12"/>
        <v>PremiumSS4</v>
      </c>
      <c r="C252" s="7" t="str">
        <f t="shared" si="13"/>
        <v>PremiumSS</v>
      </c>
      <c r="D252" s="6">
        <v>674</v>
      </c>
      <c r="E252" s="7" t="str">
        <f>VLOOKUP(D252,[1]characters!$A:$C,3,FALSE)</f>
        <v>サラスヴァティ</v>
      </c>
      <c r="F252" s="7" t="str">
        <f>VLOOKUP(D252,[1]characters!$A:$J,10,FALSE)</f>
        <v>PremiumSS</v>
      </c>
      <c r="G252" s="7">
        <f>VLOOKUP(D252,[1]characters!$A:$I,9,FALSE)</f>
        <v>4</v>
      </c>
      <c r="H252" s="7" t="str">
        <f>VLOOKUP(D252,[1]characters!$A:$H,8,FALSE)</f>
        <v>blue</v>
      </c>
      <c r="I252" s="7" t="str">
        <f>VLOOKUP(D252,[1]characters!$A:$K,11,FALSE)</f>
        <v>balance</v>
      </c>
      <c r="J252" s="7" t="str">
        <f>VLOOKUP(D252,[1]characters!$A:$M,13,FALSE)</f>
        <v>god</v>
      </c>
      <c r="K252" s="7" t="str">
        <f>VLOOKUP(D252,[1]characters!$A:$G,7,FALSE)</f>
        <v>女性</v>
      </c>
      <c r="L252" s="66">
        <f>IFERROR(VLOOKUP(D252,input_1!L:R,7,FALSE),VLOOKUP(tables_1!B252,input_1!A:H,8,FALSE))</f>
        <v>8991</v>
      </c>
      <c r="M252" s="67">
        <f t="shared" si="9"/>
        <v>3.4615384615384613E-4</v>
      </c>
      <c r="N252" s="31">
        <f>IFERROR(VLOOKUP($D252,bug_conf_sheet!$A:$H,3,FALSE),VLOOKUP("other",bug_conf_sheet!$A:$H,3,FALSE))</f>
        <v>1</v>
      </c>
      <c r="O252" s="31">
        <f>IFERROR(VLOOKUP($D252,bug_conf_sheet!$A:$H,4,FALSE),VLOOKUP("other",bug_conf_sheet!$A:$H,4,FALSE))</f>
        <v>0</v>
      </c>
      <c r="P252" s="31">
        <f>IFERROR(VLOOKUP($D252,bug_conf_sheet!$A:$H,5,FALSE),VLOOKUP("other",bug_conf_sheet!$A:$H,5,FALSE))</f>
        <v>0</v>
      </c>
      <c r="Q252" s="31">
        <f>IFERROR(VLOOKUP($D252,bug_conf_sheet!$A:$H,6,FALSE),VLOOKUP("other",bug_conf_sheet!$A:$H,6,FALSE))</f>
        <v>0</v>
      </c>
      <c r="R252" s="31">
        <f>IFERROR(VLOOKUP($D252,bug_conf_sheet!$A:$H,7,FALSE),VLOOKUP("other",bug_conf_sheet!$A:$H,7,FALSE))</f>
        <v>0</v>
      </c>
      <c r="S252" s="31">
        <f>IFERROR(VLOOKUP($D252,bug_conf_sheet!$A:$H,8,FALSE),VLOOKUP("other",bug_conf_sheet!$A:$H,8,FALSE))</f>
        <v>1</v>
      </c>
    </row>
    <row r="253" spans="1:19" ht="21" customHeight="1">
      <c r="A253" s="2">
        <f>input_1!A$2</f>
        <v>3121</v>
      </c>
      <c r="B253" s="7" t="str">
        <f t="shared" si="12"/>
        <v>PremiumSS5</v>
      </c>
      <c r="C253" s="7" t="str">
        <f t="shared" si="13"/>
        <v>PremiumSS</v>
      </c>
      <c r="D253" s="6">
        <v>675</v>
      </c>
      <c r="E253" s="7" t="str">
        <f>VLOOKUP(D253,[1]characters!$A:$C,3,FALSE)</f>
        <v>芸楽の奔流 サラスヴァティ</v>
      </c>
      <c r="F253" s="7" t="str">
        <f>VLOOKUP(D253,[1]characters!$A:$J,10,FALSE)</f>
        <v>PremiumSS</v>
      </c>
      <c r="G253" s="7">
        <f>VLOOKUP(D253,[1]characters!$A:$I,9,FALSE)</f>
        <v>5</v>
      </c>
      <c r="H253" s="7" t="str">
        <f>VLOOKUP(D253,[1]characters!$A:$H,8,FALSE)</f>
        <v>blue</v>
      </c>
      <c r="I253" s="7" t="str">
        <f>VLOOKUP(D253,[1]characters!$A:$K,11,FALSE)</f>
        <v>balance</v>
      </c>
      <c r="J253" s="7" t="str">
        <f>VLOOKUP(D253,[1]characters!$A:$M,13,FALSE)</f>
        <v>god</v>
      </c>
      <c r="K253" s="7" t="str">
        <f>VLOOKUP(D253,[1]characters!$A:$G,7,FALSE)</f>
        <v>女性</v>
      </c>
      <c r="L253" s="66">
        <f>IFERROR(VLOOKUP(D253,input_1!L:R,7,FALSE),VLOOKUP(tables_1!B253,input_1!A:H,8,FALSE))</f>
        <v>999</v>
      </c>
      <c r="M253" s="67">
        <f t="shared" si="9"/>
        <v>3.8461538461538463E-5</v>
      </c>
      <c r="N253" s="31">
        <f>IFERROR(VLOOKUP($D253,bug_conf_sheet!$A:$H,3,FALSE),VLOOKUP("other",bug_conf_sheet!$A:$H,3,FALSE))</f>
        <v>1</v>
      </c>
      <c r="O253" s="31">
        <f>IFERROR(VLOOKUP($D253,bug_conf_sheet!$A:$H,4,FALSE),VLOOKUP("other",bug_conf_sheet!$A:$H,4,FALSE))</f>
        <v>0</v>
      </c>
      <c r="P253" s="31">
        <f>IFERROR(VLOOKUP($D253,bug_conf_sheet!$A:$H,5,FALSE),VLOOKUP("other",bug_conf_sheet!$A:$H,5,FALSE))</f>
        <v>0</v>
      </c>
      <c r="Q253" s="31">
        <f>IFERROR(VLOOKUP($D253,bug_conf_sheet!$A:$H,6,FALSE),VLOOKUP("other",bug_conf_sheet!$A:$H,6,FALSE))</f>
        <v>0</v>
      </c>
      <c r="R253" s="31">
        <f>IFERROR(VLOOKUP($D253,bug_conf_sheet!$A:$H,7,FALSE),VLOOKUP("other",bug_conf_sheet!$A:$H,7,FALSE))</f>
        <v>0</v>
      </c>
      <c r="S253" s="31">
        <f>IFERROR(VLOOKUP($D253,bug_conf_sheet!$A:$H,8,FALSE),VLOOKUP("other",bug_conf_sheet!$A:$H,8,FALSE))</f>
        <v>1</v>
      </c>
    </row>
    <row r="254" spans="1:19" ht="21" hidden="1" customHeight="1">
      <c r="A254" s="2">
        <f>input_1!A$2</f>
        <v>3121</v>
      </c>
      <c r="B254" s="7" t="str">
        <f t="shared" si="12"/>
        <v>PremiumSS4</v>
      </c>
      <c r="C254" s="7" t="str">
        <f t="shared" si="13"/>
        <v>PremiumSS</v>
      </c>
      <c r="D254" s="6">
        <v>676</v>
      </c>
      <c r="E254" s="7" t="str">
        <f>VLOOKUP(D254,[1]characters!$A:$C,3,FALSE)</f>
        <v>ヴィシュヌ</v>
      </c>
      <c r="F254" s="7" t="str">
        <f>VLOOKUP(D254,[1]characters!$A:$J,10,FALSE)</f>
        <v>PremiumSS</v>
      </c>
      <c r="G254" s="7">
        <f>VLOOKUP(D254,[1]characters!$A:$I,9,FALSE)</f>
        <v>4</v>
      </c>
      <c r="H254" s="7" t="str">
        <f>VLOOKUP(D254,[1]characters!$A:$H,8,FALSE)</f>
        <v>yellow</v>
      </c>
      <c r="I254" s="7" t="str">
        <f>VLOOKUP(D254,[1]characters!$A:$K,11,FALSE)</f>
        <v>attack</v>
      </c>
      <c r="J254" s="7" t="str">
        <f>VLOOKUP(D254,[1]characters!$A:$M,13,FALSE)</f>
        <v>god</v>
      </c>
      <c r="K254" s="7" t="str">
        <f>VLOOKUP(D254,[1]characters!$A:$G,7,FALSE)</f>
        <v>女性</v>
      </c>
      <c r="L254" s="66">
        <f>IFERROR(VLOOKUP(D254,input_1!L:R,7,FALSE),VLOOKUP(tables_1!B254,input_1!A:H,8,FALSE))</f>
        <v>8991</v>
      </c>
      <c r="M254" s="67">
        <f t="shared" si="9"/>
        <v>3.4615384615384613E-4</v>
      </c>
      <c r="N254" s="31">
        <f>IFERROR(VLOOKUP($D254,bug_conf_sheet!$A:$H,3,FALSE),VLOOKUP("other",bug_conf_sheet!$A:$H,3,FALSE))</f>
        <v>1</v>
      </c>
      <c r="O254" s="31">
        <f>IFERROR(VLOOKUP($D254,bug_conf_sheet!$A:$H,4,FALSE),VLOOKUP("other",bug_conf_sheet!$A:$H,4,FALSE))</f>
        <v>0</v>
      </c>
      <c r="P254" s="31">
        <f>IFERROR(VLOOKUP($D254,bug_conf_sheet!$A:$H,5,FALSE),VLOOKUP("other",bug_conf_sheet!$A:$H,5,FALSE))</f>
        <v>0</v>
      </c>
      <c r="Q254" s="31">
        <f>IFERROR(VLOOKUP($D254,bug_conf_sheet!$A:$H,6,FALSE),VLOOKUP("other",bug_conf_sheet!$A:$H,6,FALSE))</f>
        <v>0</v>
      </c>
      <c r="R254" s="31">
        <f>IFERROR(VLOOKUP($D254,bug_conf_sheet!$A:$H,7,FALSE),VLOOKUP("other",bug_conf_sheet!$A:$H,7,FALSE))</f>
        <v>0</v>
      </c>
      <c r="S254" s="31">
        <f>IFERROR(VLOOKUP($D254,bug_conf_sheet!$A:$H,8,FALSE),VLOOKUP("other",bug_conf_sheet!$A:$H,8,FALSE))</f>
        <v>1</v>
      </c>
    </row>
    <row r="255" spans="1:19" ht="21" customHeight="1">
      <c r="A255" s="2">
        <f>input_1!A$2</f>
        <v>3121</v>
      </c>
      <c r="B255" s="7" t="str">
        <f t="shared" si="12"/>
        <v>PremiumSS5</v>
      </c>
      <c r="C255" s="7" t="str">
        <f t="shared" si="13"/>
        <v>PremiumSS</v>
      </c>
      <c r="D255" s="6">
        <v>677</v>
      </c>
      <c r="E255" s="7" t="str">
        <f>VLOOKUP(D255,[1]characters!$A:$C,3,FALSE)</f>
        <v>武遊闊歩 ヴィシュヌ</v>
      </c>
      <c r="F255" s="7" t="str">
        <f>VLOOKUP(D255,[1]characters!$A:$J,10,FALSE)</f>
        <v>PremiumSS</v>
      </c>
      <c r="G255" s="7">
        <f>VLOOKUP(D255,[1]characters!$A:$I,9,FALSE)</f>
        <v>5</v>
      </c>
      <c r="H255" s="7" t="str">
        <f>VLOOKUP(D255,[1]characters!$A:$H,8,FALSE)</f>
        <v>yellow</v>
      </c>
      <c r="I255" s="7" t="str">
        <f>VLOOKUP(D255,[1]characters!$A:$K,11,FALSE)</f>
        <v>attack</v>
      </c>
      <c r="J255" s="7" t="str">
        <f>VLOOKUP(D255,[1]characters!$A:$M,13,FALSE)</f>
        <v>god</v>
      </c>
      <c r="K255" s="7" t="str">
        <f>VLOOKUP(D255,[1]characters!$A:$G,7,FALSE)</f>
        <v>女性</v>
      </c>
      <c r="L255" s="66">
        <f>IFERROR(VLOOKUP(D255,input_1!L:R,7,FALSE),VLOOKUP(tables_1!B255,input_1!A:H,8,FALSE))</f>
        <v>999</v>
      </c>
      <c r="M255" s="67">
        <f t="shared" si="9"/>
        <v>3.8461538461538463E-5</v>
      </c>
      <c r="N255" s="31">
        <f>IFERROR(VLOOKUP($D255,bug_conf_sheet!$A:$H,3,FALSE),VLOOKUP("other",bug_conf_sheet!$A:$H,3,FALSE))</f>
        <v>1</v>
      </c>
      <c r="O255" s="31">
        <f>IFERROR(VLOOKUP($D255,bug_conf_sheet!$A:$H,4,FALSE),VLOOKUP("other",bug_conf_sheet!$A:$H,4,FALSE))</f>
        <v>0</v>
      </c>
      <c r="P255" s="31">
        <f>IFERROR(VLOOKUP($D255,bug_conf_sheet!$A:$H,5,FALSE),VLOOKUP("other",bug_conf_sheet!$A:$H,5,FALSE))</f>
        <v>0</v>
      </c>
      <c r="Q255" s="31">
        <f>IFERROR(VLOOKUP($D255,bug_conf_sheet!$A:$H,6,FALSE),VLOOKUP("other",bug_conf_sheet!$A:$H,6,FALSE))</f>
        <v>0</v>
      </c>
      <c r="R255" s="31">
        <f>IFERROR(VLOOKUP($D255,bug_conf_sheet!$A:$H,7,FALSE),VLOOKUP("other",bug_conf_sheet!$A:$H,7,FALSE))</f>
        <v>0</v>
      </c>
      <c r="S255" s="31">
        <f>IFERROR(VLOOKUP($D255,bug_conf_sheet!$A:$H,8,FALSE),VLOOKUP("other",bug_conf_sheet!$A:$H,8,FALSE))</f>
        <v>1</v>
      </c>
    </row>
  </sheetData>
  <autoFilter ref="A1:S255">
    <filterColumn colId="1">
      <filters>
        <filter val="PremiumSS5"/>
      </filters>
    </filterColumn>
  </autoFilter>
  <sortState ref="A2:T189">
    <sortCondition ref="A2:A189"/>
    <sortCondition ref="D2:D189"/>
  </sortState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R43"/>
  <sheetViews>
    <sheetView workbookViewId="0">
      <selection activeCell="A33" sqref="A33"/>
    </sheetView>
  </sheetViews>
  <sheetFormatPr baseColWidth="12" defaultRowHeight="14" x14ac:dyDescent="0"/>
  <sheetData>
    <row r="1" spans="1:18">
      <c r="A1" s="70" t="s">
        <v>103</v>
      </c>
      <c r="B1" s="70"/>
    </row>
    <row r="2" spans="1:18">
      <c r="A2">
        <v>3122</v>
      </c>
    </row>
    <row r="4" spans="1:18">
      <c r="A4" s="48" t="s">
        <v>68</v>
      </c>
      <c r="B4" s="48"/>
    </row>
    <row r="5" spans="1:18">
      <c r="A5" s="46" t="s">
        <v>88</v>
      </c>
      <c r="B5" s="47">
        <f>1-B6-B7</f>
        <v>0.5</v>
      </c>
    </row>
    <row r="6" spans="1:18">
      <c r="A6" s="46" t="s">
        <v>89</v>
      </c>
      <c r="B6" s="47">
        <v>0.45</v>
      </c>
    </row>
    <row r="7" spans="1:18">
      <c r="A7" s="46" t="s">
        <v>90</v>
      </c>
      <c r="B7" s="47">
        <v>0.05</v>
      </c>
    </row>
    <row r="9" spans="1:18">
      <c r="A9" s="49" t="s">
        <v>69</v>
      </c>
      <c r="B9" s="49"/>
    </row>
    <row r="10" spans="1:18">
      <c r="A10" s="46" t="s">
        <v>118</v>
      </c>
      <c r="B10" s="47">
        <f>1-B11-B12</f>
        <v>0.98499999999999999</v>
      </c>
    </row>
    <row r="11" spans="1:18">
      <c r="A11" s="46" t="s">
        <v>71</v>
      </c>
      <c r="B11" s="47">
        <v>1.4999999999999999E-2</v>
      </c>
    </row>
    <row r="12" spans="1:18">
      <c r="A12" s="46" t="s">
        <v>70</v>
      </c>
      <c r="B12" s="47">
        <v>0</v>
      </c>
    </row>
    <row r="15" spans="1:18">
      <c r="A15" s="53" t="s">
        <v>72</v>
      </c>
      <c r="B15" s="53"/>
      <c r="C15" t="s">
        <v>104</v>
      </c>
      <c r="L15" s="55" t="s">
        <v>77</v>
      </c>
      <c r="M15" s="55"/>
    </row>
    <row r="16" spans="1:18">
      <c r="A16" s="46" t="s">
        <v>75</v>
      </c>
      <c r="B16" s="46" t="s">
        <v>76</v>
      </c>
      <c r="C16" s="54" t="s">
        <v>77</v>
      </c>
      <c r="D16" s="54" t="s">
        <v>78</v>
      </c>
      <c r="E16" t="s">
        <v>92</v>
      </c>
      <c r="F16" t="s">
        <v>91</v>
      </c>
      <c r="G16" t="s">
        <v>94</v>
      </c>
      <c r="H16" t="s">
        <v>93</v>
      </c>
      <c r="I16" t="s">
        <v>95</v>
      </c>
      <c r="J16" t="s">
        <v>98</v>
      </c>
      <c r="L16" s="46" t="s">
        <v>32</v>
      </c>
      <c r="M16" s="54" t="s">
        <v>81</v>
      </c>
      <c r="N16" s="46" t="s">
        <v>79</v>
      </c>
      <c r="O16" s="54" t="s">
        <v>82</v>
      </c>
      <c r="P16" s="54" t="s">
        <v>83</v>
      </c>
      <c r="Q16" s="54" t="s">
        <v>80</v>
      </c>
      <c r="R16" s="65" t="s">
        <v>93</v>
      </c>
    </row>
    <row r="17" spans="1:17">
      <c r="A17" s="46" t="s">
        <v>119</v>
      </c>
      <c r="B17" s="50">
        <f>B5</f>
        <v>0.5</v>
      </c>
      <c r="C17" s="69">
        <f t="shared" ref="C17:C23" si="0">SUMIF(Q:Q,A17,N:N)</f>
        <v>0</v>
      </c>
      <c r="D17" s="62">
        <f t="shared" ref="D17:D24" si="1">B17-C17</f>
        <v>0.5</v>
      </c>
      <c r="E17">
        <f>COUNTIF(tables_2!B:B,input_2!A17)-COUNTIF(Q:Q,A17)</f>
        <v>74</v>
      </c>
      <c r="F17" s="64">
        <f t="shared" ref="F17:F23" si="2">IFERROR(D17/E17,0)</f>
        <v>6.7567567567567571E-3</v>
      </c>
      <c r="G17">
        <f t="shared" ref="G17:G23" si="3">A$32*D17</f>
        <v>25974000</v>
      </c>
      <c r="H17">
        <f t="shared" ref="H17:H23" si="4">IFERROR(ROUND(G17/E17,5),0)</f>
        <v>351000</v>
      </c>
      <c r="I17">
        <f t="shared" ref="I17:I23" si="5">MOD(H17,1)</f>
        <v>0</v>
      </c>
      <c r="J17">
        <f t="shared" ref="J17:J23" si="6">IFERROR(1/I17,1)</f>
        <v>1</v>
      </c>
      <c r="L17" s="46"/>
      <c r="M17" s="54"/>
      <c r="N17" s="52"/>
      <c r="O17" s="54"/>
      <c r="P17" s="54"/>
      <c r="Q17" s="54"/>
    </row>
    <row r="18" spans="1:17">
      <c r="A18" s="46" t="s">
        <v>120</v>
      </c>
      <c r="B18" s="56">
        <f>B6-B19-B20</f>
        <v>0.4365</v>
      </c>
      <c r="C18" s="69">
        <f t="shared" si="0"/>
        <v>0</v>
      </c>
      <c r="D18" s="62">
        <f t="shared" si="1"/>
        <v>0.4365</v>
      </c>
      <c r="E18">
        <f>COUNTIF(tables_2!B:B,input_2!A18)-COUNTIF(Q:Q,A18)</f>
        <v>74</v>
      </c>
      <c r="F18" s="64">
        <f t="shared" si="2"/>
        <v>5.8986486486486489E-3</v>
      </c>
      <c r="G18">
        <f t="shared" si="3"/>
        <v>22675302</v>
      </c>
      <c r="H18">
        <f t="shared" si="4"/>
        <v>306423</v>
      </c>
      <c r="I18">
        <f t="shared" si="5"/>
        <v>0</v>
      </c>
      <c r="J18">
        <f t="shared" si="6"/>
        <v>1</v>
      </c>
      <c r="L18" s="46"/>
      <c r="M18" s="54"/>
      <c r="N18" s="52"/>
      <c r="O18" s="54"/>
      <c r="P18" s="54"/>
      <c r="Q18" s="54"/>
    </row>
    <row r="19" spans="1:17">
      <c r="A19" s="46" t="s">
        <v>84</v>
      </c>
      <c r="B19" s="79">
        <f>B6*B11/(B6+B7)</f>
        <v>1.35E-2</v>
      </c>
      <c r="C19" s="69">
        <f t="shared" si="0"/>
        <v>0</v>
      </c>
      <c r="D19" s="62">
        <f t="shared" si="1"/>
        <v>1.35E-2</v>
      </c>
      <c r="E19">
        <f>COUNTIF(tables_2!B:B,input_2!A19)-COUNTIF(Q:Q,A19)</f>
        <v>26</v>
      </c>
      <c r="F19" s="64">
        <f t="shared" si="2"/>
        <v>5.1923076923076922E-4</v>
      </c>
      <c r="G19">
        <f t="shared" si="3"/>
        <v>701298</v>
      </c>
      <c r="H19">
        <f t="shared" si="4"/>
        <v>26973</v>
      </c>
      <c r="I19">
        <f t="shared" si="5"/>
        <v>0</v>
      </c>
      <c r="J19">
        <f t="shared" si="6"/>
        <v>1</v>
      </c>
      <c r="L19" s="46"/>
      <c r="M19" s="54"/>
      <c r="N19" s="52"/>
      <c r="O19" s="54"/>
      <c r="P19" s="54"/>
      <c r="Q19" s="54"/>
    </row>
    <row r="20" spans="1:17">
      <c r="A20" s="46" t="s">
        <v>85</v>
      </c>
      <c r="B20" s="57">
        <f>B12*B6/(B6+B7)</f>
        <v>0</v>
      </c>
      <c r="C20" s="69">
        <f t="shared" si="0"/>
        <v>0</v>
      </c>
      <c r="D20" s="62">
        <f t="shared" si="1"/>
        <v>0</v>
      </c>
      <c r="E20">
        <f>COUNTIF(tables_2!B:B,input_2!A20)-COUNTIF(Q:Q,A20)</f>
        <v>0</v>
      </c>
      <c r="F20" s="64">
        <f t="shared" si="2"/>
        <v>0</v>
      </c>
      <c r="G20">
        <f t="shared" si="3"/>
        <v>0</v>
      </c>
      <c r="H20">
        <f t="shared" si="4"/>
        <v>0</v>
      </c>
      <c r="I20">
        <f t="shared" si="5"/>
        <v>0</v>
      </c>
      <c r="J20">
        <f t="shared" si="6"/>
        <v>1</v>
      </c>
      <c r="L20" s="46"/>
      <c r="M20" s="54"/>
      <c r="N20" s="52"/>
      <c r="O20" s="54"/>
      <c r="P20" s="54"/>
      <c r="Q20" s="54"/>
    </row>
    <row r="21" spans="1:17">
      <c r="A21" s="46" t="s">
        <v>121</v>
      </c>
      <c r="B21" s="58">
        <f>B7-B22-B23</f>
        <v>4.8500000000000001E-2</v>
      </c>
      <c r="C21" s="69">
        <f t="shared" si="0"/>
        <v>0</v>
      </c>
      <c r="D21" s="62">
        <f t="shared" si="1"/>
        <v>4.8500000000000001E-2</v>
      </c>
      <c r="E21">
        <f>COUNTIF(tables_2!B:B,input_2!A21)-COUNTIF(Q:Q,A21)</f>
        <v>54</v>
      </c>
      <c r="F21" s="64">
        <f t="shared" si="2"/>
        <v>8.9814814814814813E-4</v>
      </c>
      <c r="G21">
        <f t="shared" si="3"/>
        <v>2519478</v>
      </c>
      <c r="H21">
        <f t="shared" si="4"/>
        <v>46657</v>
      </c>
      <c r="I21">
        <f t="shared" si="5"/>
        <v>0</v>
      </c>
      <c r="J21">
        <f t="shared" si="6"/>
        <v>1</v>
      </c>
      <c r="L21" s="46"/>
      <c r="M21" s="54"/>
      <c r="N21" s="46"/>
      <c r="O21" s="54"/>
      <c r="P21" s="54"/>
      <c r="Q21" s="54"/>
    </row>
    <row r="22" spans="1:17">
      <c r="A22" s="46" t="s">
        <v>86</v>
      </c>
      <c r="B22" s="79">
        <f>B7*B11/(B7+B6)</f>
        <v>1.5E-3</v>
      </c>
      <c r="C22" s="69">
        <f t="shared" si="0"/>
        <v>0</v>
      </c>
      <c r="D22" s="62">
        <f t="shared" si="1"/>
        <v>1.5E-3</v>
      </c>
      <c r="E22">
        <f>COUNTIF(tables_2!B:B,input_2!A22)-COUNTIF(Q:Q,A22)</f>
        <v>26</v>
      </c>
      <c r="F22" s="64">
        <f t="shared" si="2"/>
        <v>5.7692307692307691E-5</v>
      </c>
      <c r="G22">
        <f t="shared" si="3"/>
        <v>77922</v>
      </c>
      <c r="H22">
        <f t="shared" si="4"/>
        <v>2997</v>
      </c>
      <c r="I22">
        <f t="shared" si="5"/>
        <v>0</v>
      </c>
      <c r="J22">
        <f t="shared" si="6"/>
        <v>1</v>
      </c>
      <c r="L22" s="46"/>
      <c r="M22" s="54"/>
      <c r="N22" s="46"/>
      <c r="O22" s="54"/>
      <c r="P22" s="54"/>
      <c r="Q22" s="54"/>
    </row>
    <row r="23" spans="1:17">
      <c r="A23" s="46" t="s">
        <v>87</v>
      </c>
      <c r="B23" s="51">
        <f>B12*B7/(B7+B6)</f>
        <v>0</v>
      </c>
      <c r="C23" s="69">
        <f t="shared" si="0"/>
        <v>0</v>
      </c>
      <c r="D23" s="62">
        <f t="shared" si="1"/>
        <v>0</v>
      </c>
      <c r="E23">
        <f>COUNTIF(tables_2!B:B,input_2!A23)-COUNTIF(Q:Q,A23)</f>
        <v>0</v>
      </c>
      <c r="F23" s="64">
        <f t="shared" si="2"/>
        <v>0</v>
      </c>
      <c r="G23">
        <f t="shared" si="3"/>
        <v>0</v>
      </c>
      <c r="H23">
        <f t="shared" si="4"/>
        <v>0</v>
      </c>
      <c r="I23">
        <f t="shared" si="5"/>
        <v>0</v>
      </c>
      <c r="J23">
        <f t="shared" si="6"/>
        <v>1</v>
      </c>
      <c r="L23" s="46"/>
      <c r="M23" s="54"/>
      <c r="N23" s="46"/>
      <c r="O23" s="54"/>
      <c r="P23" s="54"/>
      <c r="Q23" s="54"/>
    </row>
    <row r="24" spans="1:17">
      <c r="A24" s="59" t="s">
        <v>74</v>
      </c>
      <c r="B24" s="60">
        <f>SUM(B17:B23)</f>
        <v>0.99999999999999989</v>
      </c>
      <c r="C24" s="61">
        <f>SUM(C17:C23)</f>
        <v>0</v>
      </c>
      <c r="D24" s="63">
        <f t="shared" si="1"/>
        <v>0.99999999999999989</v>
      </c>
      <c r="L24" s="46"/>
      <c r="M24" s="54"/>
      <c r="N24" s="46"/>
      <c r="O24" s="54"/>
      <c r="P24" s="54"/>
      <c r="Q24" s="54"/>
    </row>
    <row r="31" spans="1:17">
      <c r="A31" t="s">
        <v>93</v>
      </c>
    </row>
    <row r="32" spans="1:17">
      <c r="A32" s="34">
        <f>100*74*26*54*5</f>
        <v>51948000</v>
      </c>
    </row>
    <row r="34" spans="1:6">
      <c r="A34" s="68" t="s">
        <v>97</v>
      </c>
    </row>
    <row r="35" spans="1:6">
      <c r="A35" s="46" t="s">
        <v>75</v>
      </c>
      <c r="B35" t="s">
        <v>94</v>
      </c>
      <c r="C35" t="s">
        <v>123</v>
      </c>
      <c r="E35" t="s">
        <v>124</v>
      </c>
    </row>
    <row r="36" spans="1:6">
      <c r="A36" s="46" t="s">
        <v>119</v>
      </c>
      <c r="B36">
        <f>SUMIF(tables_2!B:B,input_2!A36,tables_2!L:L)</f>
        <v>25974000</v>
      </c>
      <c r="C36" s="77">
        <f>B36/B$43</f>
        <v>0.5</v>
      </c>
      <c r="E36">
        <v>3</v>
      </c>
      <c r="F36" s="78">
        <f>C36</f>
        <v>0.5</v>
      </c>
    </row>
    <row r="37" spans="1:6">
      <c r="A37" s="46" t="s">
        <v>120</v>
      </c>
      <c r="B37">
        <f>SUMIF(tables_2!B:B,input_2!A37,tables_2!L:L)</f>
        <v>22675302</v>
      </c>
      <c r="C37" s="77">
        <f t="shared" ref="C37:C42" si="7">B37/B$43</f>
        <v>0.4365</v>
      </c>
      <c r="E37">
        <v>4</v>
      </c>
      <c r="F37" s="78">
        <f>SUM(C37:C39)</f>
        <v>0.45</v>
      </c>
    </row>
    <row r="38" spans="1:6">
      <c r="A38" s="46" t="s">
        <v>84</v>
      </c>
      <c r="B38">
        <f>SUMIF(tables_2!B:B,input_2!A38,tables_2!L:L)</f>
        <v>701298</v>
      </c>
      <c r="C38" s="77">
        <f t="shared" si="7"/>
        <v>1.35E-2</v>
      </c>
      <c r="E38">
        <v>5</v>
      </c>
      <c r="F38" s="78">
        <f>SUM(C40:C42)</f>
        <v>0.05</v>
      </c>
    </row>
    <row r="39" spans="1:6">
      <c r="A39" s="46" t="s">
        <v>85</v>
      </c>
      <c r="B39">
        <f>SUMIF(tables_2!B:B,input_2!A39,tables_2!L:L)</f>
        <v>0</v>
      </c>
      <c r="C39" s="77">
        <f t="shared" si="7"/>
        <v>0</v>
      </c>
    </row>
    <row r="40" spans="1:6">
      <c r="A40" s="46" t="s">
        <v>122</v>
      </c>
      <c r="B40">
        <f>SUMIF(tables_2!B:B,input_2!A40,tables_2!L:L)</f>
        <v>2519478</v>
      </c>
      <c r="C40" s="77">
        <f t="shared" si="7"/>
        <v>4.8500000000000001E-2</v>
      </c>
      <c r="E40" t="s">
        <v>69</v>
      </c>
    </row>
    <row r="41" spans="1:6">
      <c r="A41" s="46" t="s">
        <v>86</v>
      </c>
      <c r="B41">
        <f>SUMIF(tables_2!B:B,input_2!A41,tables_2!L:L)</f>
        <v>77922</v>
      </c>
      <c r="C41" s="77">
        <f t="shared" si="7"/>
        <v>1.5E-3</v>
      </c>
      <c r="E41" t="s">
        <v>126</v>
      </c>
      <c r="F41" s="78">
        <f>C36+C37+C40</f>
        <v>0.98499999999999999</v>
      </c>
    </row>
    <row r="42" spans="1:6">
      <c r="A42" s="46" t="s">
        <v>87</v>
      </c>
      <c r="B42">
        <f>SUMIF(tables_2!B:B,input_2!A42,tables_2!L:L)</f>
        <v>0</v>
      </c>
      <c r="C42" s="77">
        <f t="shared" si="7"/>
        <v>0</v>
      </c>
      <c r="E42" t="s">
        <v>127</v>
      </c>
      <c r="F42" s="78">
        <f>C38+C41</f>
        <v>1.4999999999999999E-2</v>
      </c>
    </row>
    <row r="43" spans="1:6">
      <c r="A43" s="59" t="s">
        <v>74</v>
      </c>
      <c r="B43">
        <f>SUM(B36:B42)</f>
        <v>51948000</v>
      </c>
      <c r="E43" t="s">
        <v>128</v>
      </c>
      <c r="F43" s="78">
        <f>C39+C42</f>
        <v>0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S255"/>
  <sheetViews>
    <sheetView showGridLines="0" zoomScale="75" zoomScaleNormal="75" zoomScalePageLayoutView="75" workbookViewId="0">
      <pane ySplit="1" topLeftCell="A43" activePane="bottomLeft" state="frozen"/>
      <selection activeCell="B22" sqref="B22"/>
      <selection pane="bottomLeft" activeCell="B22" sqref="B22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105</v>
      </c>
      <c r="B1" s="3" t="s">
        <v>31</v>
      </c>
      <c r="C1" s="3" t="s">
        <v>117</v>
      </c>
      <c r="D1" s="16" t="s">
        <v>32</v>
      </c>
      <c r="E1" s="3" t="s">
        <v>33</v>
      </c>
      <c r="F1" s="3" t="s">
        <v>34</v>
      </c>
      <c r="G1" s="3" t="s">
        <v>35</v>
      </c>
      <c r="H1" s="3" t="s">
        <v>55</v>
      </c>
      <c r="I1" s="3" t="s">
        <v>36</v>
      </c>
      <c r="J1" s="3" t="s">
        <v>37</v>
      </c>
      <c r="K1" s="3" t="s">
        <v>73</v>
      </c>
      <c r="L1" s="16" t="s">
        <v>39</v>
      </c>
      <c r="M1" s="3" t="s">
        <v>79</v>
      </c>
      <c r="N1" s="16" t="s">
        <v>38</v>
      </c>
      <c r="O1" s="30" t="s">
        <v>5</v>
      </c>
      <c r="P1" s="30" t="s">
        <v>6</v>
      </c>
      <c r="Q1" s="30" t="s">
        <v>7</v>
      </c>
      <c r="R1" s="30" t="s">
        <v>8</v>
      </c>
      <c r="S1" s="30" t="s">
        <v>9</v>
      </c>
    </row>
    <row r="2" spans="1:19" ht="21" customHeight="1">
      <c r="A2" s="2">
        <f>input_2!A$2</f>
        <v>3122</v>
      </c>
      <c r="B2" s="7" t="str">
        <f>C2&amp;G2</f>
        <v>Premium3</v>
      </c>
      <c r="C2" s="7" t="str">
        <f>IF(F2="PremiumSS",F2,IF(F2="PremiumSSS",F2,"Premium"))</f>
        <v>Premium</v>
      </c>
      <c r="D2" s="6">
        <v>126</v>
      </c>
      <c r="E2" s="7" t="str">
        <f>VLOOKUP(D2,[1]characters!$A:$C,3,FALSE)</f>
        <v>骨器使い ユノ</v>
      </c>
      <c r="F2" s="7" t="str">
        <f>VLOOKUP(D2,[1]characters!$A:$J,10,FALSE)</f>
        <v>PremiumW</v>
      </c>
      <c r="G2" s="7">
        <f>VLOOKUP(D2,[1]characters!$A:$I,9,FALSE)</f>
        <v>3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human</v>
      </c>
      <c r="K2" s="7" t="str">
        <f>VLOOKUP(D2,[1]characters!$A:$G,7,FALSE)</f>
        <v>女性</v>
      </c>
      <c r="L2" s="66">
        <f>IFERROR(VLOOKUP(D2,input_2!L:R,7,FALSE),VLOOKUP(tables_2!B2,input_2!A:H,8,FALSE))</f>
        <v>351000</v>
      </c>
      <c r="M2" s="67">
        <f t="shared" ref="M2:M65" si="0">L2/SUM(L:L)</f>
        <v>6.7567567567567571E-3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customHeight="1">
      <c r="A3" s="2">
        <f>input_2!A$2</f>
        <v>3122</v>
      </c>
      <c r="B3" s="7" t="str">
        <f t="shared" ref="B3:B66" si="1">C3&amp;G3</f>
        <v>Premium4</v>
      </c>
      <c r="C3" s="7" t="str">
        <f t="shared" ref="C3:C66" si="2">IF(F3="PremiumSS",F3,IF(F3="PremiumSSS",F3,"Premium"))</f>
        <v>Premium</v>
      </c>
      <c r="D3" s="6">
        <v>127</v>
      </c>
      <c r="E3" s="7" t="str">
        <f>VLOOKUP(D3,[1]characters!$A:$C,3,FALSE)</f>
        <v>狂喜の賢者 ユノ</v>
      </c>
      <c r="F3" s="7" t="str">
        <f>VLOOKUP(D3,[1]characters!$A:$J,10,FALSE)</f>
        <v>PremiumW</v>
      </c>
      <c r="G3" s="7">
        <f>VLOOKUP(D3,[1]characters!$A:$I,9,FALSE)</f>
        <v>4</v>
      </c>
      <c r="H3" s="7" t="str">
        <f>VLOOKUP(D3,[1]characters!$A:$H,8,FALSE)</f>
        <v>red</v>
      </c>
      <c r="I3" s="7" t="str">
        <f>VLOOKUP(D3,[1]characters!$A:$K,11,FALSE)</f>
        <v>attack</v>
      </c>
      <c r="J3" s="7" t="str">
        <f>VLOOKUP(D3,[1]characters!$A:$M,13,FALSE)</f>
        <v>human</v>
      </c>
      <c r="K3" s="7" t="str">
        <f>VLOOKUP(D3,[1]characters!$A:$G,7,FALSE)</f>
        <v>女性</v>
      </c>
      <c r="L3" s="66">
        <f>IFERROR(VLOOKUP(D3,input_2!L:R,7,FALSE),VLOOKUP(tables_2!B3,input_2!A:H,8,FALSE))</f>
        <v>306423</v>
      </c>
      <c r="M3" s="67">
        <f t="shared" si="0"/>
        <v>5.8986486486486489E-3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customHeight="1">
      <c r="A4" s="2">
        <f>input_2!A$2</f>
        <v>3122</v>
      </c>
      <c r="B4" s="7" t="str">
        <f t="shared" si="1"/>
        <v>Premium3</v>
      </c>
      <c r="C4" s="7" t="str">
        <f t="shared" si="2"/>
        <v>Premium</v>
      </c>
      <c r="D4" s="6">
        <v>128</v>
      </c>
      <c r="E4" s="7" t="str">
        <f>VLOOKUP(D4,[1]characters!$A:$C,3,FALSE)</f>
        <v>野生児 アマラ</v>
      </c>
      <c r="F4" s="7" t="str">
        <f>VLOOKUP(D4,[1]characters!$A:$J,10,FALSE)</f>
        <v>PremiumW</v>
      </c>
      <c r="G4" s="7">
        <f>VLOOKUP(D4,[1]characters!$A:$I,9,FALSE)</f>
        <v>3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66">
        <f>IFERROR(VLOOKUP(D4,input_2!L:R,7,FALSE),VLOOKUP(tables_2!B4,input_2!A:H,8,FALSE))</f>
        <v>351000</v>
      </c>
      <c r="M4" s="67">
        <f t="shared" si="0"/>
        <v>6.7567567567567571E-3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customHeight="1">
      <c r="A5" s="2">
        <f>input_2!A$2</f>
        <v>3122</v>
      </c>
      <c r="B5" s="7" t="str">
        <f t="shared" si="1"/>
        <v>Premium4</v>
      </c>
      <c r="C5" s="7" t="str">
        <f t="shared" si="2"/>
        <v>Premium</v>
      </c>
      <c r="D5" s="6">
        <v>129</v>
      </c>
      <c r="E5" s="7" t="str">
        <f>VLOOKUP(D5,[1]characters!$A:$C,3,FALSE)</f>
        <v>孤高の狼憑き アマラ</v>
      </c>
      <c r="F5" s="7" t="str">
        <f>VLOOKUP(D5,[1]characters!$A:$J,10,FALSE)</f>
        <v>PremiumW</v>
      </c>
      <c r="G5" s="7">
        <f>VLOOKUP(D5,[1]characters!$A:$I,9,FALSE)</f>
        <v>4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66">
        <f>IFERROR(VLOOKUP(D5,input_2!L:R,7,FALSE),VLOOKUP(tables_2!B5,input_2!A:H,8,FALSE))</f>
        <v>306423</v>
      </c>
      <c r="M5" s="67">
        <f t="shared" si="0"/>
        <v>5.8986486486486489E-3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customHeight="1">
      <c r="A6" s="2">
        <f>input_2!A$2</f>
        <v>3122</v>
      </c>
      <c r="B6" s="7" t="str">
        <f t="shared" si="1"/>
        <v>Premium3</v>
      </c>
      <c r="C6" s="7" t="str">
        <f t="shared" si="2"/>
        <v>Premium</v>
      </c>
      <c r="D6" s="6">
        <v>130</v>
      </c>
      <c r="E6" s="7" t="str">
        <f>VLOOKUP(D6,[1]characters!$A:$C,3,FALSE)</f>
        <v>狼男 ローレンス</v>
      </c>
      <c r="F6" s="7" t="str">
        <f>VLOOKUP(D6,[1]characters!$A:$J,10,FALSE)</f>
        <v>PremiumW</v>
      </c>
      <c r="G6" s="7">
        <f>VLOOKUP(D6,[1]characters!$A:$I,9,FALSE)</f>
        <v>3</v>
      </c>
      <c r="H6" s="7" t="str">
        <f>VLOOKUP(D6,[1]characters!$A:$H,8,FALSE)</f>
        <v>blue</v>
      </c>
      <c r="I6" s="7" t="str">
        <f>VLOOKUP(D6,[1]characters!$A:$K,11,FALSE)</f>
        <v>attack</v>
      </c>
      <c r="J6" s="7" t="str">
        <f>VLOOKUP(D6,[1]characters!$A:$M,13,FALSE)</f>
        <v>animal</v>
      </c>
      <c r="K6" s="7" t="str">
        <f>VLOOKUP(D6,[1]characters!$A:$G,7,FALSE)</f>
        <v>不明</v>
      </c>
      <c r="L6" s="66">
        <f>IFERROR(VLOOKUP(D6,input_2!L:R,7,FALSE),VLOOKUP(tables_2!B6,input_2!A:H,8,FALSE))</f>
        <v>351000</v>
      </c>
      <c r="M6" s="67">
        <f t="shared" si="0"/>
        <v>6.7567567567567571E-3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customHeight="1">
      <c r="A7" s="2">
        <f>input_2!A$2</f>
        <v>3122</v>
      </c>
      <c r="B7" s="7" t="str">
        <f t="shared" si="1"/>
        <v>Premium4</v>
      </c>
      <c r="C7" s="7" t="str">
        <f t="shared" si="2"/>
        <v>Premium</v>
      </c>
      <c r="D7" s="6">
        <v>131</v>
      </c>
      <c r="E7" s="7" t="str">
        <f>VLOOKUP(D7,[1]characters!$A:$C,3,FALSE)</f>
        <v>月下の人狼 ローレンス</v>
      </c>
      <c r="F7" s="7" t="str">
        <f>VLOOKUP(D7,[1]characters!$A:$J,10,FALSE)</f>
        <v>PremiumW</v>
      </c>
      <c r="G7" s="7">
        <f>VLOOKUP(D7,[1]characters!$A:$I,9,FALSE)</f>
        <v>4</v>
      </c>
      <c r="H7" s="7" t="str">
        <f>VLOOKUP(D7,[1]characters!$A:$H,8,FALSE)</f>
        <v>blue</v>
      </c>
      <c r="I7" s="7" t="str">
        <f>VLOOKUP(D7,[1]characters!$A:$K,11,FALSE)</f>
        <v>attack</v>
      </c>
      <c r="J7" s="7" t="str">
        <f>VLOOKUP(D7,[1]characters!$A:$M,13,FALSE)</f>
        <v>animal</v>
      </c>
      <c r="K7" s="7" t="str">
        <f>VLOOKUP(D7,[1]characters!$A:$G,7,FALSE)</f>
        <v>不明</v>
      </c>
      <c r="L7" s="66">
        <f>IFERROR(VLOOKUP(D7,input_2!L:R,7,FALSE),VLOOKUP(tables_2!B7,input_2!A:H,8,FALSE))</f>
        <v>306423</v>
      </c>
      <c r="M7" s="67">
        <f t="shared" si="0"/>
        <v>5.8986486486486489E-3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customHeight="1">
      <c r="A8" s="2">
        <f>input_2!A$2</f>
        <v>3122</v>
      </c>
      <c r="B8" s="7" t="str">
        <f t="shared" si="1"/>
        <v>Premium3</v>
      </c>
      <c r="C8" s="7" t="str">
        <f t="shared" si="2"/>
        <v>Premium</v>
      </c>
      <c r="D8" s="6">
        <v>132</v>
      </c>
      <c r="E8" s="7" t="str">
        <f>VLOOKUP(D8,[1]characters!$A:$C,3,FALSE)</f>
        <v>鳥人ハヤト</v>
      </c>
      <c r="F8" s="7" t="str">
        <f>VLOOKUP(D8,[1]characters!$A:$J,10,FALSE)</f>
        <v>PremiumW</v>
      </c>
      <c r="G8" s="7">
        <f>VLOOKUP(D8,[1]characters!$A:$I,9,FALSE)</f>
        <v>3</v>
      </c>
      <c r="H8" s="7" t="str">
        <f>VLOOKUP(D8,[1]characters!$A:$H,8,FALSE)</f>
        <v>yellow</v>
      </c>
      <c r="I8" s="7" t="str">
        <f>VLOOKUP(D8,[1]characters!$A:$K,11,FALSE)</f>
        <v>attack</v>
      </c>
      <c r="J8" s="7" t="str">
        <f>VLOOKUP(D8,[1]characters!$A:$M,13,FALSE)</f>
        <v>human</v>
      </c>
      <c r="K8" s="7" t="str">
        <f>VLOOKUP(D8,[1]characters!$A:$G,7,FALSE)</f>
        <v>男性</v>
      </c>
      <c r="L8" s="66">
        <f>IFERROR(VLOOKUP(D8,input_2!L:R,7,FALSE),VLOOKUP(tables_2!B8,input_2!A:H,8,FALSE))</f>
        <v>351000</v>
      </c>
      <c r="M8" s="67">
        <f t="shared" si="0"/>
        <v>6.7567567567567571E-3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customHeight="1">
      <c r="A9" s="2">
        <f>input_2!A$2</f>
        <v>3122</v>
      </c>
      <c r="B9" s="7" t="str">
        <f t="shared" si="1"/>
        <v>Premium4</v>
      </c>
      <c r="C9" s="7" t="str">
        <f t="shared" si="2"/>
        <v>Premium</v>
      </c>
      <c r="D9" s="6">
        <v>133</v>
      </c>
      <c r="E9" s="7" t="str">
        <f>VLOOKUP(D9,[1]characters!$A:$C,3,FALSE)</f>
        <v>迅雷の刀剣 ハヤト</v>
      </c>
      <c r="F9" s="7" t="str">
        <f>VLOOKUP(D9,[1]characters!$A:$J,10,FALSE)</f>
        <v>PremiumW</v>
      </c>
      <c r="G9" s="7">
        <f>VLOOKUP(D9,[1]characters!$A:$I,9,FALSE)</f>
        <v>4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human</v>
      </c>
      <c r="K9" s="7" t="str">
        <f>VLOOKUP(D9,[1]characters!$A:$G,7,FALSE)</f>
        <v>男性</v>
      </c>
      <c r="L9" s="66">
        <f>IFERROR(VLOOKUP(D9,input_2!L:R,7,FALSE),VLOOKUP(tables_2!B9,input_2!A:H,8,FALSE))</f>
        <v>306423</v>
      </c>
      <c r="M9" s="67">
        <f t="shared" si="0"/>
        <v>5.8986486486486489E-3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customHeight="1">
      <c r="A10" s="2">
        <f>input_2!A$2</f>
        <v>3122</v>
      </c>
      <c r="B10" s="7" t="str">
        <f t="shared" si="1"/>
        <v>Premium3</v>
      </c>
      <c r="C10" s="7" t="str">
        <f t="shared" si="2"/>
        <v>Premium</v>
      </c>
      <c r="D10" s="6">
        <v>134</v>
      </c>
      <c r="E10" s="7" t="str">
        <f>VLOOKUP(D10,[1]characters!$A:$C,3,FALSE)</f>
        <v>妖炎の夕霧</v>
      </c>
      <c r="F10" s="7" t="str">
        <f>VLOOKUP(D10,[1]characters!$A:$J,10,FALSE)</f>
        <v>PremiumW</v>
      </c>
      <c r="G10" s="7">
        <f>VLOOKUP(D10,[1]characters!$A:$I,9,FALSE)</f>
        <v>3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66">
        <f>IFERROR(VLOOKUP(D10,input_2!L:R,7,FALSE),VLOOKUP(tables_2!B10,input_2!A:H,8,FALSE))</f>
        <v>351000</v>
      </c>
      <c r="M10" s="67">
        <f t="shared" si="0"/>
        <v>6.7567567567567571E-3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customHeight="1">
      <c r="A11" s="2">
        <f>input_2!A$2</f>
        <v>3122</v>
      </c>
      <c r="B11" s="7" t="str">
        <f t="shared" si="1"/>
        <v>Premium4</v>
      </c>
      <c r="C11" s="7" t="str">
        <f t="shared" si="2"/>
        <v>Premium</v>
      </c>
      <c r="D11" s="6">
        <v>135</v>
      </c>
      <c r="E11" s="7" t="str">
        <f>VLOOKUP(D11,[1]characters!$A:$C,3,FALSE)</f>
        <v>京の炎華夕霧</v>
      </c>
      <c r="F11" s="7" t="str">
        <f>VLOOKUP(D11,[1]characters!$A:$J,10,FALSE)</f>
        <v>PremiumW</v>
      </c>
      <c r="G11" s="7">
        <f>VLOOKUP(D11,[1]characters!$A:$I,9,FALSE)</f>
        <v>4</v>
      </c>
      <c r="H11" s="7" t="str">
        <f>VLOOKUP(D11,[1]characters!$A:$H,8,FALSE)</f>
        <v>red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66">
        <f>IFERROR(VLOOKUP(D11,input_2!L:R,7,FALSE),VLOOKUP(tables_2!B11,input_2!A:H,8,FALSE))</f>
        <v>306423</v>
      </c>
      <c r="M11" s="67">
        <f t="shared" si="0"/>
        <v>5.8986486486486489E-3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customHeight="1">
      <c r="A12" s="2">
        <f>input_2!A$2</f>
        <v>3122</v>
      </c>
      <c r="B12" s="7" t="str">
        <f t="shared" si="1"/>
        <v>Premium3</v>
      </c>
      <c r="C12" s="7" t="str">
        <f t="shared" si="2"/>
        <v>Premium</v>
      </c>
      <c r="D12" s="8">
        <v>136</v>
      </c>
      <c r="E12" s="7" t="str">
        <f>VLOOKUP(D12,[1]characters!$A:$C,3,FALSE)</f>
        <v>お針子チハヤ</v>
      </c>
      <c r="F12" s="7" t="str">
        <f>VLOOKUP(D12,[1]characters!$A:$J,10,FALSE)</f>
        <v>PremiumW</v>
      </c>
      <c r="G12" s="7">
        <f>VLOOKUP(D12,[1]characters!$A:$I,9,FALSE)</f>
        <v>3</v>
      </c>
      <c r="H12" s="7" t="str">
        <f>VLOOKUP(D12,[1]characters!$A:$H,8,FALSE)</f>
        <v>green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66">
        <f>IFERROR(VLOOKUP(D12,input_2!L:R,7,FALSE),VLOOKUP(tables_2!B12,input_2!A:H,8,FALSE))</f>
        <v>351000</v>
      </c>
      <c r="M12" s="67">
        <f t="shared" si="0"/>
        <v>6.7567567567567571E-3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customHeight="1">
      <c r="A13" s="2">
        <f>input_2!A$2</f>
        <v>3122</v>
      </c>
      <c r="B13" s="7" t="str">
        <f t="shared" si="1"/>
        <v>Premium4</v>
      </c>
      <c r="C13" s="7" t="str">
        <f t="shared" si="2"/>
        <v>Premium</v>
      </c>
      <c r="D13" s="8">
        <v>137</v>
      </c>
      <c r="E13" s="7" t="str">
        <f>VLOOKUP(D13,[1]characters!$A:$C,3,FALSE)</f>
        <v>清福の仕立屋 チハヤ</v>
      </c>
      <c r="F13" s="7" t="str">
        <f>VLOOKUP(D13,[1]characters!$A:$J,10,FALSE)</f>
        <v>PremiumW</v>
      </c>
      <c r="G13" s="7">
        <f>VLOOKUP(D13,[1]characters!$A:$I,9,FALSE)</f>
        <v>4</v>
      </c>
      <c r="H13" s="7" t="str">
        <f>VLOOKUP(D13,[1]characters!$A:$H,8,FALSE)</f>
        <v>green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女性</v>
      </c>
      <c r="L13" s="66">
        <f>IFERROR(VLOOKUP(D13,input_2!L:R,7,FALSE),VLOOKUP(tables_2!B13,input_2!A:H,8,FALSE))</f>
        <v>306423</v>
      </c>
      <c r="M13" s="67">
        <f t="shared" si="0"/>
        <v>5.8986486486486489E-3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customHeight="1">
      <c r="A14" s="2">
        <f>input_2!A$2</f>
        <v>3122</v>
      </c>
      <c r="B14" s="7" t="str">
        <f t="shared" si="1"/>
        <v>Premium3</v>
      </c>
      <c r="C14" s="7" t="str">
        <f t="shared" si="2"/>
        <v>Premium</v>
      </c>
      <c r="D14" s="6">
        <v>138</v>
      </c>
      <c r="E14" s="7" t="str">
        <f>VLOOKUP(D14,[1]characters!$A:$C,3,FALSE)</f>
        <v>蒼薙のトモエ</v>
      </c>
      <c r="F14" s="7" t="str">
        <f>VLOOKUP(D14,[1]characters!$A:$J,10,FALSE)</f>
        <v>PremiumW</v>
      </c>
      <c r="G14" s="7">
        <f>VLOOKUP(D14,[1]characters!$A:$I,9,FALSE)</f>
        <v>3</v>
      </c>
      <c r="H14" s="7" t="str">
        <f>VLOOKUP(D14,[1]characters!$A:$H,8,FALSE)</f>
        <v>blue</v>
      </c>
      <c r="I14" s="7" t="str">
        <f>VLOOKUP(D14,[1]characters!$A:$K,11,FALSE)</f>
        <v>balance</v>
      </c>
      <c r="J14" s="7" t="str">
        <f>VLOOKUP(D14,[1]characters!$A:$M,13,FALSE)</f>
        <v>human</v>
      </c>
      <c r="K14" s="7" t="str">
        <f>VLOOKUP(D14,[1]characters!$A:$G,7,FALSE)</f>
        <v>女性</v>
      </c>
      <c r="L14" s="66">
        <f>IFERROR(VLOOKUP(D14,input_2!L:R,7,FALSE),VLOOKUP(tables_2!B14,input_2!A:H,8,FALSE))</f>
        <v>351000</v>
      </c>
      <c r="M14" s="67">
        <f t="shared" si="0"/>
        <v>6.7567567567567571E-3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customHeight="1">
      <c r="A15" s="2">
        <f>input_2!A$2</f>
        <v>3122</v>
      </c>
      <c r="B15" s="7" t="str">
        <f t="shared" si="1"/>
        <v>Premium4</v>
      </c>
      <c r="C15" s="7" t="str">
        <f t="shared" si="2"/>
        <v>Premium</v>
      </c>
      <c r="D15" s="6">
        <v>139</v>
      </c>
      <c r="E15" s="7" t="str">
        <f>VLOOKUP(D15,[1]characters!$A:$C,3,FALSE)</f>
        <v>蒼昇刃姫 トモエ</v>
      </c>
      <c r="F15" s="7" t="str">
        <f>VLOOKUP(D15,[1]characters!$A:$J,10,FALSE)</f>
        <v>PremiumW</v>
      </c>
      <c r="G15" s="7">
        <f>VLOOKUP(D15,[1]characters!$A:$I,9,FALSE)</f>
        <v>4</v>
      </c>
      <c r="H15" s="7" t="str">
        <f>VLOOKUP(D15,[1]characters!$A:$H,8,FALSE)</f>
        <v>blue</v>
      </c>
      <c r="I15" s="7" t="str">
        <f>VLOOKUP(D15,[1]characters!$A:$K,11,FALSE)</f>
        <v>balance</v>
      </c>
      <c r="J15" s="7" t="str">
        <f>VLOOKUP(D15,[1]characters!$A:$M,13,FALSE)</f>
        <v>human</v>
      </c>
      <c r="K15" s="7" t="str">
        <f>VLOOKUP(D15,[1]characters!$A:$G,7,FALSE)</f>
        <v>女性</v>
      </c>
      <c r="L15" s="66">
        <f>IFERROR(VLOOKUP(D15,input_2!L:R,7,FALSE),VLOOKUP(tables_2!B15,input_2!A:H,8,FALSE))</f>
        <v>306423</v>
      </c>
      <c r="M15" s="67">
        <f t="shared" si="0"/>
        <v>5.8986486486486489E-3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customHeight="1">
      <c r="A16" s="2">
        <f>input_2!A$2</f>
        <v>3122</v>
      </c>
      <c r="B16" s="7" t="str">
        <f t="shared" si="1"/>
        <v>Premium3</v>
      </c>
      <c r="C16" s="7" t="str">
        <f t="shared" si="2"/>
        <v>Premium</v>
      </c>
      <c r="D16" s="10">
        <v>140</v>
      </c>
      <c r="E16" s="7" t="str">
        <f>VLOOKUP(D16,[1]characters!$A:$C,3,FALSE)</f>
        <v>秋祭のタマモ</v>
      </c>
      <c r="F16" s="7" t="str">
        <f>VLOOKUP(D16,[1]characters!$A:$J,10,FALSE)</f>
        <v>PremiumW</v>
      </c>
      <c r="G16" s="7">
        <f>VLOOKUP(D16,[1]characters!$A:$I,9,FALSE)</f>
        <v>3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animal</v>
      </c>
      <c r="K16" s="7" t="str">
        <f>VLOOKUP(D16,[1]characters!$A:$G,7,FALSE)</f>
        <v>女性</v>
      </c>
      <c r="L16" s="66">
        <f>IFERROR(VLOOKUP(D16,input_2!L:R,7,FALSE),VLOOKUP(tables_2!B16,input_2!A:H,8,FALSE))</f>
        <v>351000</v>
      </c>
      <c r="M16" s="67">
        <f t="shared" si="0"/>
        <v>6.7567567567567571E-3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customHeight="1">
      <c r="A17" s="2">
        <f>input_2!A$2</f>
        <v>3122</v>
      </c>
      <c r="B17" s="7" t="str">
        <f t="shared" si="1"/>
        <v>Premium4</v>
      </c>
      <c r="C17" s="7" t="str">
        <f t="shared" si="2"/>
        <v>Premium</v>
      </c>
      <c r="D17" s="11">
        <v>141</v>
      </c>
      <c r="E17" s="7" t="str">
        <f>VLOOKUP(D17,[1]characters!$A:$C,3,FALSE)</f>
        <v>妖狐演舞 タマモ</v>
      </c>
      <c r="F17" s="7" t="str">
        <f>VLOOKUP(D17,[1]characters!$A:$J,10,FALSE)</f>
        <v>PremiumW</v>
      </c>
      <c r="G17" s="7">
        <f>VLOOKUP(D17,[1]characters!$A:$I,9,FALSE)</f>
        <v>4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animal</v>
      </c>
      <c r="K17" s="7" t="str">
        <f>VLOOKUP(D17,[1]characters!$A:$G,7,FALSE)</f>
        <v>女性</v>
      </c>
      <c r="L17" s="66">
        <f>IFERROR(VLOOKUP(D17,input_2!L:R,7,FALSE),VLOOKUP(tables_2!B17,input_2!A:H,8,FALSE))</f>
        <v>306423</v>
      </c>
      <c r="M17" s="67">
        <f t="shared" si="0"/>
        <v>5.8986486486486489E-3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customHeight="1">
      <c r="A18" s="2">
        <f>input_2!A$2</f>
        <v>3122</v>
      </c>
      <c r="B18" s="7" t="str">
        <f t="shared" si="1"/>
        <v>Premium3</v>
      </c>
      <c r="C18" s="7" t="str">
        <f t="shared" si="2"/>
        <v>Premium</v>
      </c>
      <c r="D18" s="6">
        <v>142</v>
      </c>
      <c r="E18" s="7" t="str">
        <f>VLOOKUP(D18,[1]characters!$A:$C,3,FALSE)</f>
        <v>赤ずきん</v>
      </c>
      <c r="F18" s="7" t="str">
        <f>VLOOKUP(D18,[1]characters!$A:$J,10,FALSE)</f>
        <v>PremiumW</v>
      </c>
      <c r="G18" s="7">
        <f>VLOOKUP(D18,[1]characters!$A:$I,9,FALSE)</f>
        <v>3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human</v>
      </c>
      <c r="K18" s="7" t="str">
        <f>VLOOKUP(D18,[1]characters!$A:$G,7,FALSE)</f>
        <v>女性</v>
      </c>
      <c r="L18" s="66">
        <f>IFERROR(VLOOKUP(D18,input_2!L:R,7,FALSE),VLOOKUP(tables_2!B18,input_2!A:H,8,FALSE))</f>
        <v>351000</v>
      </c>
      <c r="M18" s="67">
        <f t="shared" si="0"/>
        <v>6.7567567567567571E-3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s="12" customFormat="1" ht="21" customHeight="1" thickBot="1">
      <c r="A19" s="2">
        <f>input_2!A$2</f>
        <v>3122</v>
      </c>
      <c r="B19" s="7" t="str">
        <f t="shared" si="1"/>
        <v>Premium4</v>
      </c>
      <c r="C19" s="7" t="str">
        <f t="shared" si="2"/>
        <v>Premium</v>
      </c>
      <c r="D19" s="6">
        <v>143</v>
      </c>
      <c r="E19" s="7" t="str">
        <f>VLOOKUP(D19,[1]characters!$A:$C,3,FALSE)</f>
        <v>深紅の死神 赤ずきん</v>
      </c>
      <c r="F19" s="7" t="str">
        <f>VLOOKUP(D19,[1]characters!$A:$J,10,FALSE)</f>
        <v>PremiumW</v>
      </c>
      <c r="G19" s="7">
        <f>VLOOKUP(D19,[1]characters!$A:$I,9,FALSE)</f>
        <v>4</v>
      </c>
      <c r="H19" s="7" t="str">
        <f>VLOOKUP(D19,[1]characters!$A:$H,8,FALSE)</f>
        <v>red</v>
      </c>
      <c r="I19" s="7" t="str">
        <f>VLOOKUP(D19,[1]characters!$A:$K,11,FALSE)</f>
        <v>balance</v>
      </c>
      <c r="J19" s="7" t="str">
        <f>VLOOKUP(D19,[1]characters!$A:$M,13,FALSE)</f>
        <v>human</v>
      </c>
      <c r="K19" s="7" t="str">
        <f>VLOOKUP(D19,[1]characters!$A:$G,7,FALSE)</f>
        <v>女性</v>
      </c>
      <c r="L19" s="66">
        <f>IFERROR(VLOOKUP(D19,input_2!L:R,7,FALSE),VLOOKUP(tables_2!B19,input_2!A:H,8,FALSE))</f>
        <v>306423</v>
      </c>
      <c r="M19" s="67">
        <f t="shared" si="0"/>
        <v>5.8986486486486489E-3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customHeight="1">
      <c r="A20" s="2">
        <f>input_2!A$2</f>
        <v>3122</v>
      </c>
      <c r="B20" s="7" t="str">
        <f t="shared" si="1"/>
        <v>Premium3</v>
      </c>
      <c r="C20" s="7" t="str">
        <f t="shared" si="2"/>
        <v>Premium</v>
      </c>
      <c r="D20" s="10">
        <v>144</v>
      </c>
      <c r="E20" s="7" t="str">
        <f>VLOOKUP(D20,[1]characters!$A:$C,3,FALSE)</f>
        <v>かぐや</v>
      </c>
      <c r="F20" s="7" t="str">
        <f>VLOOKUP(D20,[1]characters!$A:$J,10,FALSE)</f>
        <v>PremiumW</v>
      </c>
      <c r="G20" s="7">
        <f>VLOOKUP(D20,[1]characters!$A:$I,9,FALSE)</f>
        <v>3</v>
      </c>
      <c r="H20" s="7" t="str">
        <f>VLOOKUP(D20,[1]characters!$A:$H,8,FALSE)</f>
        <v>green</v>
      </c>
      <c r="I20" s="7" t="str">
        <f>VLOOKUP(D20,[1]characters!$A:$K,11,FALSE)</f>
        <v>hp</v>
      </c>
      <c r="J20" s="7" t="str">
        <f>VLOOKUP(D20,[1]characters!$A:$M,13,FALSE)</f>
        <v>human</v>
      </c>
      <c r="K20" s="7" t="str">
        <f>VLOOKUP(D20,[1]characters!$A:$G,7,FALSE)</f>
        <v>女性</v>
      </c>
      <c r="L20" s="66">
        <f>IFERROR(VLOOKUP(D20,input_2!L:R,7,FALSE),VLOOKUP(tables_2!B20,input_2!A:H,8,FALSE))</f>
        <v>351000</v>
      </c>
      <c r="M20" s="67">
        <f t="shared" si="0"/>
        <v>6.7567567567567571E-3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customHeight="1">
      <c r="A21" s="2">
        <f>input_2!A$2</f>
        <v>3122</v>
      </c>
      <c r="B21" s="7" t="str">
        <f t="shared" si="1"/>
        <v>Premium4</v>
      </c>
      <c r="C21" s="7" t="str">
        <f t="shared" si="2"/>
        <v>Premium</v>
      </c>
      <c r="D21" s="6">
        <v>145</v>
      </c>
      <c r="E21" s="7" t="str">
        <f>VLOOKUP(D21,[1]characters!$A:$C,3,FALSE)</f>
        <v>魔性妖艶 かぐや</v>
      </c>
      <c r="F21" s="7" t="str">
        <f>VLOOKUP(D21,[1]characters!$A:$J,10,FALSE)</f>
        <v>PremiumW</v>
      </c>
      <c r="G21" s="7">
        <f>VLOOKUP(D21,[1]characters!$A:$I,9,FALSE)</f>
        <v>4</v>
      </c>
      <c r="H21" s="7" t="str">
        <f>VLOOKUP(D21,[1]characters!$A:$H,8,FALSE)</f>
        <v>green</v>
      </c>
      <c r="I21" s="7" t="str">
        <f>VLOOKUP(D21,[1]characters!$A:$K,11,FALSE)</f>
        <v>hp</v>
      </c>
      <c r="J21" s="7" t="str">
        <f>VLOOKUP(D21,[1]characters!$A:$M,13,FALSE)</f>
        <v>human</v>
      </c>
      <c r="K21" s="7" t="str">
        <f>VLOOKUP(D21,[1]characters!$A:$G,7,FALSE)</f>
        <v>女性</v>
      </c>
      <c r="L21" s="66">
        <f>IFERROR(VLOOKUP(D21,input_2!L:R,7,FALSE),VLOOKUP(tables_2!B21,input_2!A:H,8,FALSE))</f>
        <v>306423</v>
      </c>
      <c r="M21" s="67">
        <f t="shared" si="0"/>
        <v>5.8986486486486489E-3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customHeight="1">
      <c r="A22" s="2">
        <f>input_2!A$2</f>
        <v>3122</v>
      </c>
      <c r="B22" s="7" t="str">
        <f t="shared" si="1"/>
        <v>Premium3</v>
      </c>
      <c r="C22" s="7" t="str">
        <f t="shared" si="2"/>
        <v>Premium</v>
      </c>
      <c r="D22" s="6">
        <v>146</v>
      </c>
      <c r="E22" s="7" t="str">
        <f>VLOOKUP(D22,[1]characters!$A:$C,3,FALSE)</f>
        <v>マーメイド</v>
      </c>
      <c r="F22" s="7" t="str">
        <f>VLOOKUP(D22,[1]characters!$A:$J,10,FALSE)</f>
        <v>PremiumW</v>
      </c>
      <c r="G22" s="7">
        <f>VLOOKUP(D22,[1]characters!$A:$I,9,FALSE)</f>
        <v>3</v>
      </c>
      <c r="H22" s="7" t="str">
        <f>VLOOKUP(D22,[1]characters!$A:$H,8,FALSE)</f>
        <v>blue</v>
      </c>
      <c r="I22" s="7" t="str">
        <f>VLOOKUP(D22,[1]characters!$A:$K,11,FALSE)</f>
        <v>hp</v>
      </c>
      <c r="J22" s="7" t="str">
        <f>VLOOKUP(D22,[1]characters!$A:$M,13,FALSE)</f>
        <v>human</v>
      </c>
      <c r="K22" s="7" t="str">
        <f>VLOOKUP(D22,[1]characters!$A:$G,7,FALSE)</f>
        <v>女性</v>
      </c>
      <c r="L22" s="66">
        <f>IFERROR(VLOOKUP(D22,input_2!L:R,7,FALSE),VLOOKUP(tables_2!B22,input_2!A:H,8,FALSE))</f>
        <v>351000</v>
      </c>
      <c r="M22" s="67">
        <f t="shared" si="0"/>
        <v>6.7567567567567571E-3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customHeight="1">
      <c r="A23" s="2">
        <f>input_2!A$2</f>
        <v>3122</v>
      </c>
      <c r="B23" s="7" t="str">
        <f t="shared" si="1"/>
        <v>Premium4</v>
      </c>
      <c r="C23" s="7" t="str">
        <f t="shared" si="2"/>
        <v>Premium</v>
      </c>
      <c r="D23" s="6">
        <v>147</v>
      </c>
      <c r="E23" s="7" t="str">
        <f>VLOOKUP(D23,[1]characters!$A:$C,3,FALSE)</f>
        <v>蒼き閃光 元マーメイド</v>
      </c>
      <c r="F23" s="7" t="str">
        <f>VLOOKUP(D23,[1]characters!$A:$J,10,FALSE)</f>
        <v>PremiumW</v>
      </c>
      <c r="G23" s="7">
        <f>VLOOKUP(D23,[1]characters!$A:$I,9,FALSE)</f>
        <v>4</v>
      </c>
      <c r="H23" s="7" t="str">
        <f>VLOOKUP(D23,[1]characters!$A:$H,8,FALSE)</f>
        <v>blue</v>
      </c>
      <c r="I23" s="7" t="str">
        <f>VLOOKUP(D23,[1]characters!$A:$K,11,FALSE)</f>
        <v>hp</v>
      </c>
      <c r="J23" s="7" t="str">
        <f>VLOOKUP(D23,[1]characters!$A:$M,13,FALSE)</f>
        <v>human</v>
      </c>
      <c r="K23" s="7" t="str">
        <f>VLOOKUP(D23,[1]characters!$A:$G,7,FALSE)</f>
        <v>女性</v>
      </c>
      <c r="L23" s="66">
        <f>IFERROR(VLOOKUP(D23,input_2!L:R,7,FALSE),VLOOKUP(tables_2!B23,input_2!A:H,8,FALSE))</f>
        <v>306423</v>
      </c>
      <c r="M23" s="67">
        <f t="shared" si="0"/>
        <v>5.8986486486486489E-3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customHeight="1">
      <c r="A24" s="2">
        <f>input_2!A$2</f>
        <v>3122</v>
      </c>
      <c r="B24" s="7" t="str">
        <f t="shared" si="1"/>
        <v>Premium3</v>
      </c>
      <c r="C24" s="7" t="str">
        <f t="shared" si="2"/>
        <v>Premium</v>
      </c>
      <c r="D24" s="6">
        <v>148</v>
      </c>
      <c r="E24" s="7" t="str">
        <f>VLOOKUP(D24,[1]characters!$A:$C,3,FALSE)</f>
        <v>シンデレラ</v>
      </c>
      <c r="F24" s="7" t="str">
        <f>VLOOKUP(D24,[1]characters!$A:$J,10,FALSE)</f>
        <v>PremiumW</v>
      </c>
      <c r="G24" s="7">
        <f>VLOOKUP(D24,[1]characters!$A:$I,9,FALSE)</f>
        <v>3</v>
      </c>
      <c r="H24" s="7" t="str">
        <f>VLOOKUP(D24,[1]characters!$A:$H,8,FALSE)</f>
        <v>yellow</v>
      </c>
      <c r="I24" s="7" t="str">
        <f>VLOOKUP(D24,[1]characters!$A:$K,11,FALSE)</f>
        <v>balance</v>
      </c>
      <c r="J24" s="7" t="str">
        <f>VLOOKUP(D24,[1]characters!$A:$M,13,FALSE)</f>
        <v>human</v>
      </c>
      <c r="K24" s="7" t="str">
        <f>VLOOKUP(D24,[1]characters!$A:$G,7,FALSE)</f>
        <v>女性</v>
      </c>
      <c r="L24" s="66">
        <f>IFERROR(VLOOKUP(D24,input_2!L:R,7,FALSE),VLOOKUP(tables_2!B24,input_2!A:H,8,FALSE))</f>
        <v>351000</v>
      </c>
      <c r="M24" s="67">
        <f t="shared" si="0"/>
        <v>6.7567567567567571E-3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customHeight="1">
      <c r="A25" s="2">
        <f>input_2!A$2</f>
        <v>3122</v>
      </c>
      <c r="B25" s="7" t="str">
        <f t="shared" si="1"/>
        <v>Premium4</v>
      </c>
      <c r="C25" s="7" t="str">
        <f t="shared" si="2"/>
        <v>Premium</v>
      </c>
      <c r="D25" s="6">
        <v>149</v>
      </c>
      <c r="E25" s="7" t="str">
        <f>VLOOKUP(D25,[1]characters!$A:$C,3,FALSE)</f>
        <v>雷撃蹴技を極めし者 シンデレラ</v>
      </c>
      <c r="F25" s="7" t="str">
        <f>VLOOKUP(D25,[1]characters!$A:$J,10,FALSE)</f>
        <v>PremiumW</v>
      </c>
      <c r="G25" s="7">
        <f>VLOOKUP(D25,[1]characters!$A:$I,9,FALSE)</f>
        <v>4</v>
      </c>
      <c r="H25" s="7" t="str">
        <f>VLOOKUP(D25,[1]characters!$A:$H,8,FALSE)</f>
        <v>yellow</v>
      </c>
      <c r="I25" s="7" t="str">
        <f>VLOOKUP(D25,[1]characters!$A:$K,11,FALSE)</f>
        <v>balance</v>
      </c>
      <c r="J25" s="7" t="str">
        <f>VLOOKUP(D25,[1]characters!$A:$M,13,FALSE)</f>
        <v>human</v>
      </c>
      <c r="K25" s="7" t="str">
        <f>VLOOKUP(D25,[1]characters!$A:$G,7,FALSE)</f>
        <v>女性</v>
      </c>
      <c r="L25" s="66">
        <f>IFERROR(VLOOKUP(D25,input_2!L:R,7,FALSE),VLOOKUP(tables_2!B25,input_2!A:H,8,FALSE))</f>
        <v>306423</v>
      </c>
      <c r="M25" s="67">
        <f t="shared" si="0"/>
        <v>5.8986486486486489E-3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customHeight="1">
      <c r="A26" s="2">
        <f>input_2!A$2</f>
        <v>3122</v>
      </c>
      <c r="B26" s="7" t="str">
        <f t="shared" si="1"/>
        <v>Premium3</v>
      </c>
      <c r="C26" s="7" t="str">
        <f t="shared" si="2"/>
        <v>Premium</v>
      </c>
      <c r="D26" s="6">
        <v>150</v>
      </c>
      <c r="E26" s="7" t="str">
        <f>VLOOKUP(D26,[1]characters!$A:$C,3,FALSE)</f>
        <v>ポイズンマスターサキ</v>
      </c>
      <c r="F26" s="7" t="str">
        <f>VLOOKUP(D26,[1]characters!$A:$J,10,FALSE)</f>
        <v>PremiumW</v>
      </c>
      <c r="G26" s="7">
        <f>VLOOKUP(D26,[1]characters!$A:$I,9,FALSE)</f>
        <v>3</v>
      </c>
      <c r="H26" s="7" t="str">
        <f>VLOOKUP(D26,[1]characters!$A:$H,8,FALSE)</f>
        <v>red</v>
      </c>
      <c r="I26" s="7" t="str">
        <f>VLOOKUP(D26,[1]characters!$A:$K,11,FALSE)</f>
        <v>technical</v>
      </c>
      <c r="J26" s="7" t="str">
        <f>VLOOKUP(D26,[1]characters!$A:$M,13,FALSE)</f>
        <v>human</v>
      </c>
      <c r="K26" s="7" t="str">
        <f>VLOOKUP(D26,[1]characters!$A:$G,7,FALSE)</f>
        <v>女性</v>
      </c>
      <c r="L26" s="66">
        <f>IFERROR(VLOOKUP(D26,input_2!L:R,7,FALSE),VLOOKUP(tables_2!B26,input_2!A:H,8,FALSE))</f>
        <v>351000</v>
      </c>
      <c r="M26" s="67">
        <f t="shared" si="0"/>
        <v>6.7567567567567571E-3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customHeight="1">
      <c r="A27" s="2">
        <f>input_2!A$2</f>
        <v>3122</v>
      </c>
      <c r="B27" s="7" t="str">
        <f t="shared" si="1"/>
        <v>Premium4</v>
      </c>
      <c r="C27" s="7" t="str">
        <f t="shared" si="2"/>
        <v>Premium</v>
      </c>
      <c r="D27" s="6">
        <v>151</v>
      </c>
      <c r="E27" s="7" t="str">
        <f>VLOOKUP(D27,[1]characters!$A:$C,3,FALSE)</f>
        <v>毒煙の処刑人サキ</v>
      </c>
      <c r="F27" s="7" t="str">
        <f>VLOOKUP(D27,[1]characters!$A:$J,10,FALSE)</f>
        <v>PremiumW</v>
      </c>
      <c r="G27" s="7">
        <f>VLOOKUP(D27,[1]characters!$A:$I,9,FALSE)</f>
        <v>4</v>
      </c>
      <c r="H27" s="7" t="str">
        <f>VLOOKUP(D27,[1]characters!$A:$H,8,FALSE)</f>
        <v>red</v>
      </c>
      <c r="I27" s="7" t="str">
        <f>VLOOKUP(D27,[1]characters!$A:$K,11,FALSE)</f>
        <v>technical</v>
      </c>
      <c r="J27" s="7" t="str">
        <f>VLOOKUP(D27,[1]characters!$A:$M,13,FALSE)</f>
        <v>human</v>
      </c>
      <c r="K27" s="7" t="str">
        <f>VLOOKUP(D27,[1]characters!$A:$G,7,FALSE)</f>
        <v>女性</v>
      </c>
      <c r="L27" s="66">
        <f>IFERROR(VLOOKUP(D27,input_2!L:R,7,FALSE),VLOOKUP(tables_2!B27,input_2!A:H,8,FALSE))</f>
        <v>306423</v>
      </c>
      <c r="M27" s="67">
        <f t="shared" si="0"/>
        <v>5.8986486486486489E-3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customHeight="1">
      <c r="A28" s="2">
        <f>input_2!A$2</f>
        <v>3122</v>
      </c>
      <c r="B28" s="7" t="str">
        <f t="shared" si="1"/>
        <v>Premium3</v>
      </c>
      <c r="C28" s="7" t="str">
        <f t="shared" si="2"/>
        <v>Premium</v>
      </c>
      <c r="D28" s="6">
        <v>152</v>
      </c>
      <c r="E28" s="7" t="str">
        <f>VLOOKUP(D28,[1]characters!$A:$C,3,FALSE)</f>
        <v>功夫少女ランラン</v>
      </c>
      <c r="F28" s="7" t="str">
        <f>VLOOKUP(D28,[1]characters!$A:$J,10,FALSE)</f>
        <v>PremiumW</v>
      </c>
      <c r="G28" s="7">
        <f>VLOOKUP(D28,[1]characters!$A:$I,9,FALSE)</f>
        <v>3</v>
      </c>
      <c r="H28" s="7" t="str">
        <f>VLOOKUP(D28,[1]characters!$A:$H,8,FALSE)</f>
        <v>green</v>
      </c>
      <c r="I28" s="7" t="str">
        <f>VLOOKUP(D28,[1]characters!$A:$K,11,FALSE)</f>
        <v>heal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66">
        <f>IFERROR(VLOOKUP(D28,input_2!L:R,7,FALSE),VLOOKUP(tables_2!B28,input_2!A:H,8,FALSE))</f>
        <v>351000</v>
      </c>
      <c r="M28" s="67">
        <f t="shared" si="0"/>
        <v>6.7567567567567571E-3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customHeight="1">
      <c r="A29" s="2">
        <f>input_2!A$2</f>
        <v>3122</v>
      </c>
      <c r="B29" s="7" t="str">
        <f t="shared" si="1"/>
        <v>Premium4</v>
      </c>
      <c r="C29" s="7" t="str">
        <f t="shared" si="2"/>
        <v>Premium</v>
      </c>
      <c r="D29" s="6">
        <v>153</v>
      </c>
      <c r="E29" s="7" t="str">
        <f>VLOOKUP(D29,[1]characters!$A:$C,3,FALSE)</f>
        <v>拳聖ランラン</v>
      </c>
      <c r="F29" s="7" t="str">
        <f>VLOOKUP(D29,[1]characters!$A:$J,10,FALSE)</f>
        <v>PremiumW</v>
      </c>
      <c r="G29" s="7">
        <f>VLOOKUP(D29,[1]characters!$A:$I,9,FALSE)</f>
        <v>4</v>
      </c>
      <c r="H29" s="7" t="str">
        <f>VLOOKUP(D29,[1]characters!$A:$H,8,FALSE)</f>
        <v>green</v>
      </c>
      <c r="I29" s="7" t="str">
        <f>VLOOKUP(D29,[1]characters!$A:$K,11,FALSE)</f>
        <v>heal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66">
        <f>IFERROR(VLOOKUP(D29,input_2!L:R,7,FALSE),VLOOKUP(tables_2!B29,input_2!A:H,8,FALSE))</f>
        <v>306423</v>
      </c>
      <c r="M29" s="67">
        <f t="shared" si="0"/>
        <v>5.8986486486486489E-3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customHeight="1">
      <c r="A30" s="2">
        <f>input_2!A$2</f>
        <v>3122</v>
      </c>
      <c r="B30" s="7" t="str">
        <f t="shared" si="1"/>
        <v>Premium3</v>
      </c>
      <c r="C30" s="7" t="str">
        <f t="shared" si="2"/>
        <v>Premium</v>
      </c>
      <c r="D30" s="6">
        <v>154</v>
      </c>
      <c r="E30" s="7" t="str">
        <f>VLOOKUP(D30,[1]characters!$A:$C,3,FALSE)</f>
        <v>始末屋 ハンナ</v>
      </c>
      <c r="F30" s="7" t="str">
        <f>VLOOKUP(D30,[1]characters!$A:$J,10,FALSE)</f>
        <v>PremiumW</v>
      </c>
      <c r="G30" s="7">
        <f>VLOOKUP(D30,[1]characters!$A:$I,9,FALSE)</f>
        <v>3</v>
      </c>
      <c r="H30" s="7" t="str">
        <f>VLOOKUP(D30,[1]characters!$A:$H,8,FALSE)</f>
        <v>blue</v>
      </c>
      <c r="I30" s="7" t="str">
        <f>VLOOKUP(D30,[1]characters!$A:$K,11,FALSE)</f>
        <v>heal</v>
      </c>
      <c r="J30" s="7" t="str">
        <f>VLOOKUP(D30,[1]characters!$A:$M,13,FALSE)</f>
        <v>human</v>
      </c>
      <c r="K30" s="7" t="str">
        <f>VLOOKUP(D30,[1]characters!$A:$G,7,FALSE)</f>
        <v>女性</v>
      </c>
      <c r="L30" s="66">
        <f>IFERROR(VLOOKUP(D30,input_2!L:R,7,FALSE),VLOOKUP(tables_2!B30,input_2!A:H,8,FALSE))</f>
        <v>351000</v>
      </c>
      <c r="M30" s="67">
        <f t="shared" si="0"/>
        <v>6.7567567567567571E-3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customHeight="1">
      <c r="A31" s="2">
        <f>input_2!A$2</f>
        <v>3122</v>
      </c>
      <c r="B31" s="7" t="str">
        <f t="shared" si="1"/>
        <v>Premium4</v>
      </c>
      <c r="C31" s="7" t="str">
        <f t="shared" si="2"/>
        <v>Premium</v>
      </c>
      <c r="D31" s="6">
        <v>155</v>
      </c>
      <c r="E31" s="7" t="str">
        <f>VLOOKUP(D31,[1]characters!$A:$C,3,FALSE)</f>
        <v>隻眼の掃除屋 ハンナ</v>
      </c>
      <c r="F31" s="7" t="str">
        <f>VLOOKUP(D31,[1]characters!$A:$J,10,FALSE)</f>
        <v>PremiumW</v>
      </c>
      <c r="G31" s="7">
        <f>VLOOKUP(D31,[1]characters!$A:$I,9,FALSE)</f>
        <v>4</v>
      </c>
      <c r="H31" s="7" t="str">
        <f>VLOOKUP(D31,[1]characters!$A:$H,8,FALSE)</f>
        <v>blue</v>
      </c>
      <c r="I31" s="7" t="str">
        <f>VLOOKUP(D31,[1]characters!$A:$K,11,FALSE)</f>
        <v>heal</v>
      </c>
      <c r="J31" s="7" t="str">
        <f>VLOOKUP(D31,[1]characters!$A:$M,13,FALSE)</f>
        <v>human</v>
      </c>
      <c r="K31" s="7" t="str">
        <f>VLOOKUP(D31,[1]characters!$A:$G,7,FALSE)</f>
        <v>女性</v>
      </c>
      <c r="L31" s="66">
        <f>IFERROR(VLOOKUP(D31,input_2!L:R,7,FALSE),VLOOKUP(tables_2!B31,input_2!A:H,8,FALSE))</f>
        <v>306423</v>
      </c>
      <c r="M31" s="67">
        <f t="shared" si="0"/>
        <v>5.8986486486486489E-3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customHeight="1">
      <c r="A32" s="2">
        <f>input_2!A$2</f>
        <v>3122</v>
      </c>
      <c r="B32" s="7" t="str">
        <f t="shared" si="1"/>
        <v>Premium3</v>
      </c>
      <c r="C32" s="7" t="str">
        <f t="shared" si="2"/>
        <v>Premium</v>
      </c>
      <c r="D32" s="6">
        <v>156</v>
      </c>
      <c r="E32" s="7" t="str">
        <f>VLOOKUP(D32,[1]characters!$A:$C,3,FALSE)</f>
        <v>踊り子 エレナ</v>
      </c>
      <c r="F32" s="7" t="str">
        <f>VLOOKUP(D32,[1]characters!$A:$J,10,FALSE)</f>
        <v>PremiumW</v>
      </c>
      <c r="G32" s="7">
        <f>VLOOKUP(D32,[1]characters!$A:$I,9,FALSE)</f>
        <v>3</v>
      </c>
      <c r="H32" s="7" t="str">
        <f>VLOOKUP(D32,[1]characters!$A:$H,8,FALSE)</f>
        <v>yellow</v>
      </c>
      <c r="I32" s="7" t="str">
        <f>VLOOKUP(D32,[1]characters!$A:$K,11,FALSE)</f>
        <v>heal</v>
      </c>
      <c r="J32" s="7" t="str">
        <f>VLOOKUP(D32,[1]characters!$A:$M,13,FALSE)</f>
        <v>human</v>
      </c>
      <c r="K32" s="7" t="str">
        <f>VLOOKUP(D32,[1]characters!$A:$G,7,FALSE)</f>
        <v>女性</v>
      </c>
      <c r="L32" s="66">
        <f>IFERROR(VLOOKUP(D32,input_2!L:R,7,FALSE),VLOOKUP(tables_2!B32,input_2!A:H,8,FALSE))</f>
        <v>351000</v>
      </c>
      <c r="M32" s="67">
        <f t="shared" si="0"/>
        <v>6.7567567567567571E-3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customHeight="1">
      <c r="A33" s="2">
        <f>input_2!A$2</f>
        <v>3122</v>
      </c>
      <c r="B33" s="7" t="str">
        <f t="shared" si="1"/>
        <v>Premium4</v>
      </c>
      <c r="C33" s="7" t="str">
        <f t="shared" si="2"/>
        <v>Premium</v>
      </c>
      <c r="D33" s="6">
        <v>157</v>
      </c>
      <c r="E33" s="7" t="str">
        <f>VLOOKUP(D33,[1]characters!$A:$C,3,FALSE)</f>
        <v>雷光舞姫 エレナ</v>
      </c>
      <c r="F33" s="7" t="str">
        <f>VLOOKUP(D33,[1]characters!$A:$J,10,FALSE)</f>
        <v>PremiumW</v>
      </c>
      <c r="G33" s="7">
        <f>VLOOKUP(D33,[1]characters!$A:$I,9,FALSE)</f>
        <v>4</v>
      </c>
      <c r="H33" s="7" t="str">
        <f>VLOOKUP(D33,[1]characters!$A:$H,8,FALSE)</f>
        <v>yellow</v>
      </c>
      <c r="I33" s="7" t="str">
        <f>VLOOKUP(D33,[1]characters!$A:$K,11,FALSE)</f>
        <v>heal</v>
      </c>
      <c r="J33" s="7" t="str">
        <f>VLOOKUP(D33,[1]characters!$A:$M,13,FALSE)</f>
        <v>human</v>
      </c>
      <c r="K33" s="7" t="str">
        <f>VLOOKUP(D33,[1]characters!$A:$G,7,FALSE)</f>
        <v>女性</v>
      </c>
      <c r="L33" s="66">
        <f>IFERROR(VLOOKUP(D33,input_2!L:R,7,FALSE),VLOOKUP(tables_2!B33,input_2!A:H,8,FALSE))</f>
        <v>306423</v>
      </c>
      <c r="M33" s="67">
        <f t="shared" si="0"/>
        <v>5.8986486486486489E-3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customHeight="1">
      <c r="A34" s="2">
        <f>input_2!A$2</f>
        <v>3122</v>
      </c>
      <c r="B34" s="7" t="str">
        <f t="shared" si="1"/>
        <v>Premium3</v>
      </c>
      <c r="C34" s="7" t="str">
        <f t="shared" si="2"/>
        <v>Premium</v>
      </c>
      <c r="D34" s="6">
        <v>158</v>
      </c>
      <c r="E34" s="7" t="str">
        <f>VLOOKUP(D34,[1]characters!$A:$C,3,FALSE)</f>
        <v>シスター シャルロッテ</v>
      </c>
      <c r="F34" s="7" t="str">
        <f>VLOOKUP(D34,[1]characters!$A:$J,10,FALSE)</f>
        <v>PremiumW</v>
      </c>
      <c r="G34" s="7">
        <f>VLOOKUP(D34,[1]characters!$A:$I,9,FALSE)</f>
        <v>3</v>
      </c>
      <c r="H34" s="7" t="str">
        <f>VLOOKUP(D34,[1]characters!$A:$H,8,FALSE)</f>
        <v>red</v>
      </c>
      <c r="I34" s="7" t="str">
        <f>VLOOKUP(D34,[1]characters!$A:$K,11,FALSE)</f>
        <v>heal</v>
      </c>
      <c r="J34" s="7" t="str">
        <f>VLOOKUP(D34,[1]characters!$A:$M,13,FALSE)</f>
        <v>human</v>
      </c>
      <c r="K34" s="7" t="str">
        <f>VLOOKUP(D34,[1]characters!$A:$G,7,FALSE)</f>
        <v>女性</v>
      </c>
      <c r="L34" s="66">
        <f>IFERROR(VLOOKUP(D34,input_2!L:R,7,FALSE),VLOOKUP(tables_2!B34,input_2!A:H,8,FALSE))</f>
        <v>351000</v>
      </c>
      <c r="M34" s="67">
        <f t="shared" si="0"/>
        <v>6.7567567567567571E-3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customHeight="1">
      <c r="A35" s="2">
        <f>input_2!A$2</f>
        <v>3122</v>
      </c>
      <c r="B35" s="7" t="str">
        <f t="shared" si="1"/>
        <v>Premium4</v>
      </c>
      <c r="C35" s="7" t="str">
        <f t="shared" si="2"/>
        <v>Premium</v>
      </c>
      <c r="D35" s="6">
        <v>159</v>
      </c>
      <c r="E35" s="7" t="str">
        <f>VLOOKUP(D35,[1]characters!$A:$C,3,FALSE)</f>
        <v>邪を狩りし者 シャルロッテ</v>
      </c>
      <c r="F35" s="7" t="str">
        <f>VLOOKUP(D35,[1]characters!$A:$J,10,FALSE)</f>
        <v>PremiumW</v>
      </c>
      <c r="G35" s="7">
        <f>VLOOKUP(D35,[1]characters!$A:$I,9,FALSE)</f>
        <v>4</v>
      </c>
      <c r="H35" s="7" t="str">
        <f>VLOOKUP(D35,[1]characters!$A:$H,8,FALSE)</f>
        <v>red</v>
      </c>
      <c r="I35" s="7" t="str">
        <f>VLOOKUP(D35,[1]characters!$A:$K,11,FALSE)</f>
        <v>heal</v>
      </c>
      <c r="J35" s="7" t="str">
        <f>VLOOKUP(D35,[1]characters!$A:$M,13,FALSE)</f>
        <v>human</v>
      </c>
      <c r="K35" s="7" t="str">
        <f>VLOOKUP(D35,[1]characters!$A:$G,7,FALSE)</f>
        <v>女性</v>
      </c>
      <c r="L35" s="66">
        <f>IFERROR(VLOOKUP(D35,input_2!L:R,7,FALSE),VLOOKUP(tables_2!B35,input_2!A:H,8,FALSE))</f>
        <v>306423</v>
      </c>
      <c r="M35" s="67">
        <f t="shared" si="0"/>
        <v>5.8986486486486489E-3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customHeight="1">
      <c r="A36" s="2">
        <f>input_2!A$2</f>
        <v>3122</v>
      </c>
      <c r="B36" s="7" t="str">
        <f t="shared" si="1"/>
        <v>Premium3</v>
      </c>
      <c r="C36" s="7" t="str">
        <f t="shared" si="2"/>
        <v>Premium</v>
      </c>
      <c r="D36" s="6">
        <v>160</v>
      </c>
      <c r="E36" s="7" t="str">
        <f>VLOOKUP(D36,[1]characters!$A:$C,3,FALSE)</f>
        <v>反逆者 クリエ</v>
      </c>
      <c r="F36" s="7" t="str">
        <f>VLOOKUP(D36,[1]characters!$A:$J,10,FALSE)</f>
        <v>PremiumW</v>
      </c>
      <c r="G36" s="7">
        <f>VLOOKUP(D36,[1]characters!$A:$I,9,FALSE)</f>
        <v>3</v>
      </c>
      <c r="H36" s="7" t="str">
        <f>VLOOKUP(D36,[1]characters!$A:$H,8,FALSE)</f>
        <v>green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66">
        <f>IFERROR(VLOOKUP(D36,input_2!L:R,7,FALSE),VLOOKUP(tables_2!B36,input_2!A:H,8,FALSE))</f>
        <v>351000</v>
      </c>
      <c r="M36" s="67">
        <f t="shared" si="0"/>
        <v>6.7567567567567571E-3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customHeight="1">
      <c r="A37" s="2">
        <f>input_2!A$2</f>
        <v>3122</v>
      </c>
      <c r="B37" s="7" t="str">
        <f t="shared" si="1"/>
        <v>Premium4</v>
      </c>
      <c r="C37" s="7" t="str">
        <f t="shared" si="2"/>
        <v>Premium</v>
      </c>
      <c r="D37" s="6">
        <v>161</v>
      </c>
      <c r="E37" s="7" t="str">
        <f>VLOOKUP(D37,[1]characters!$A:$C,3,FALSE)</f>
        <v>咆哮の先導者 クリエ</v>
      </c>
      <c r="F37" s="7" t="str">
        <f>VLOOKUP(D37,[1]characters!$A:$J,10,FALSE)</f>
        <v>PremiumW</v>
      </c>
      <c r="G37" s="7">
        <f>VLOOKUP(D37,[1]characters!$A:$I,9,FALSE)</f>
        <v>4</v>
      </c>
      <c r="H37" s="7" t="str">
        <f>VLOOKUP(D37,[1]characters!$A:$H,8,FALSE)</f>
        <v>green</v>
      </c>
      <c r="I37" s="7" t="str">
        <f>VLOOKUP(D37,[1]characters!$A:$K,11,FALSE)</f>
        <v>balance</v>
      </c>
      <c r="J37" s="7" t="str">
        <f>VLOOKUP(D37,[1]characters!$A:$M,13,FALSE)</f>
        <v>human</v>
      </c>
      <c r="K37" s="7" t="str">
        <f>VLOOKUP(D37,[1]characters!$A:$G,7,FALSE)</f>
        <v>女性</v>
      </c>
      <c r="L37" s="66">
        <f>IFERROR(VLOOKUP(D37,input_2!L:R,7,FALSE),VLOOKUP(tables_2!B37,input_2!A:H,8,FALSE))</f>
        <v>306423</v>
      </c>
      <c r="M37" s="67">
        <f t="shared" si="0"/>
        <v>5.8986486486486489E-3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customHeight="1">
      <c r="A38" s="2">
        <f>input_2!A$2</f>
        <v>3122</v>
      </c>
      <c r="B38" s="7" t="str">
        <f t="shared" si="1"/>
        <v>Premium3</v>
      </c>
      <c r="C38" s="7" t="str">
        <f t="shared" si="2"/>
        <v>Premium</v>
      </c>
      <c r="D38" s="6">
        <v>162</v>
      </c>
      <c r="E38" s="7" t="str">
        <f>VLOOKUP(D38,[1]characters!$A:$C,3,FALSE)</f>
        <v>狂女 クララ</v>
      </c>
      <c r="F38" s="7" t="str">
        <f>VLOOKUP(D38,[1]characters!$A:$J,10,FALSE)</f>
        <v>PremiumW</v>
      </c>
      <c r="G38" s="7">
        <f>VLOOKUP(D38,[1]characters!$A:$I,9,FALSE)</f>
        <v>3</v>
      </c>
      <c r="H38" s="7" t="str">
        <f>VLOOKUP(D38,[1]characters!$A:$H,8,FALSE)</f>
        <v>blue</v>
      </c>
      <c r="I38" s="7" t="str">
        <f>VLOOKUP(D38,[1]characters!$A:$K,11,FALSE)</f>
        <v>attack</v>
      </c>
      <c r="J38" s="7" t="str">
        <f>VLOOKUP(D38,[1]characters!$A:$M,13,FALSE)</f>
        <v>human</v>
      </c>
      <c r="K38" s="7" t="str">
        <f>VLOOKUP(D38,[1]characters!$A:$G,7,FALSE)</f>
        <v>女性</v>
      </c>
      <c r="L38" s="66">
        <f>IFERROR(VLOOKUP(D38,input_2!L:R,7,FALSE),VLOOKUP(tables_2!B38,input_2!A:H,8,FALSE))</f>
        <v>351000</v>
      </c>
      <c r="M38" s="67">
        <f t="shared" si="0"/>
        <v>6.7567567567567571E-3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customHeight="1">
      <c r="A39" s="2">
        <f>input_2!A$2</f>
        <v>3122</v>
      </c>
      <c r="B39" s="7" t="str">
        <f t="shared" si="1"/>
        <v>Premium4</v>
      </c>
      <c r="C39" s="7" t="str">
        <f t="shared" si="2"/>
        <v>Premium</v>
      </c>
      <c r="D39" s="6">
        <v>163</v>
      </c>
      <c r="E39" s="7" t="str">
        <f>VLOOKUP(D39,[1]characters!$A:$C,3,FALSE)</f>
        <v>冷酷な狂嬢 クララ</v>
      </c>
      <c r="F39" s="7" t="str">
        <f>VLOOKUP(D39,[1]characters!$A:$J,10,FALSE)</f>
        <v>PremiumW</v>
      </c>
      <c r="G39" s="7">
        <f>VLOOKUP(D39,[1]characters!$A:$I,9,FALSE)</f>
        <v>4</v>
      </c>
      <c r="H39" s="7" t="str">
        <f>VLOOKUP(D39,[1]characters!$A:$H,8,FALSE)</f>
        <v>blue</v>
      </c>
      <c r="I39" s="7" t="str">
        <f>VLOOKUP(D39,[1]characters!$A:$K,11,FALSE)</f>
        <v>attack</v>
      </c>
      <c r="J39" s="7" t="str">
        <f>VLOOKUP(D39,[1]characters!$A:$M,13,FALSE)</f>
        <v>human</v>
      </c>
      <c r="K39" s="7" t="str">
        <f>VLOOKUP(D39,[1]characters!$A:$G,7,FALSE)</f>
        <v>女性</v>
      </c>
      <c r="L39" s="66">
        <f>IFERROR(VLOOKUP(D39,input_2!L:R,7,FALSE),VLOOKUP(tables_2!B39,input_2!A:H,8,FALSE))</f>
        <v>306423</v>
      </c>
      <c r="M39" s="67">
        <f t="shared" si="0"/>
        <v>5.8986486486486489E-3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customHeight="1">
      <c r="A40" s="2">
        <f>input_2!A$2</f>
        <v>3122</v>
      </c>
      <c r="B40" s="7" t="str">
        <f t="shared" si="1"/>
        <v>Premium3</v>
      </c>
      <c r="C40" s="7" t="str">
        <f t="shared" si="2"/>
        <v>Premium</v>
      </c>
      <c r="D40" s="6">
        <v>164</v>
      </c>
      <c r="E40" s="7" t="str">
        <f>VLOOKUP(D40,[1]characters!$A:$C,3,FALSE)</f>
        <v>イブとトモダチ</v>
      </c>
      <c r="F40" s="7" t="str">
        <f>VLOOKUP(D40,[1]characters!$A:$J,10,FALSE)</f>
        <v>PremiumW</v>
      </c>
      <c r="G40" s="7">
        <f>VLOOKUP(D40,[1]characters!$A:$I,9,FALSE)</f>
        <v>3</v>
      </c>
      <c r="H40" s="7" t="str">
        <f>VLOOKUP(D40,[1]characters!$A:$H,8,FALSE)</f>
        <v>yellow</v>
      </c>
      <c r="I40" s="7" t="str">
        <f>VLOOKUP(D40,[1]characters!$A:$K,11,FALSE)</f>
        <v>technical</v>
      </c>
      <c r="J40" s="7" t="str">
        <f>VLOOKUP(D40,[1]characters!$A:$M,13,FALSE)</f>
        <v>human</v>
      </c>
      <c r="K40" s="7" t="str">
        <f>VLOOKUP(D40,[1]characters!$A:$G,7,FALSE)</f>
        <v>女性</v>
      </c>
      <c r="L40" s="66">
        <f>IFERROR(VLOOKUP(D40,input_2!L:R,7,FALSE),VLOOKUP(tables_2!B40,input_2!A:H,8,FALSE))</f>
        <v>351000</v>
      </c>
      <c r="M40" s="67">
        <f t="shared" si="0"/>
        <v>6.7567567567567571E-3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customHeight="1">
      <c r="A41" s="2">
        <f>input_2!A$2</f>
        <v>3122</v>
      </c>
      <c r="B41" s="7" t="str">
        <f t="shared" si="1"/>
        <v>Premium4</v>
      </c>
      <c r="C41" s="7" t="str">
        <f t="shared" si="2"/>
        <v>Premium</v>
      </c>
      <c r="D41" s="6">
        <v>165</v>
      </c>
      <c r="E41" s="7" t="str">
        <f>VLOOKUP(D41,[1]characters!$A:$C,3,FALSE)</f>
        <v>イブとたったひとりのトモダチ</v>
      </c>
      <c r="F41" s="7" t="str">
        <f>VLOOKUP(D41,[1]characters!$A:$J,10,FALSE)</f>
        <v>PremiumW</v>
      </c>
      <c r="G41" s="7">
        <f>VLOOKUP(D41,[1]characters!$A:$I,9,FALSE)</f>
        <v>4</v>
      </c>
      <c r="H41" s="7" t="str">
        <f>VLOOKUP(D41,[1]characters!$A:$H,8,FALSE)</f>
        <v>yellow</v>
      </c>
      <c r="I41" s="7" t="str">
        <f>VLOOKUP(D41,[1]characters!$A:$K,11,FALSE)</f>
        <v>technical</v>
      </c>
      <c r="J41" s="7" t="str">
        <f>VLOOKUP(D41,[1]characters!$A:$M,13,FALSE)</f>
        <v>human</v>
      </c>
      <c r="K41" s="7" t="str">
        <f>VLOOKUP(D41,[1]characters!$A:$G,7,FALSE)</f>
        <v>女性</v>
      </c>
      <c r="L41" s="66">
        <f>IFERROR(VLOOKUP(D41,input_2!L:R,7,FALSE),VLOOKUP(tables_2!B41,input_2!A:H,8,FALSE))</f>
        <v>306423</v>
      </c>
      <c r="M41" s="67">
        <f t="shared" si="0"/>
        <v>5.8986486486486489E-3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customHeight="1">
      <c r="A42" s="2">
        <f>input_2!A$2</f>
        <v>3122</v>
      </c>
      <c r="B42" s="7" t="str">
        <f t="shared" si="1"/>
        <v>Premium3</v>
      </c>
      <c r="C42" s="7" t="str">
        <f t="shared" si="2"/>
        <v>Premium</v>
      </c>
      <c r="D42" s="6">
        <v>166</v>
      </c>
      <c r="E42" s="7" t="str">
        <f>VLOOKUP(D42,[1]characters!$A:$C,3,FALSE)</f>
        <v>ベリアル</v>
      </c>
      <c r="F42" s="7" t="str">
        <f>VLOOKUP(D42,[1]characters!$A:$J,10,FALSE)</f>
        <v>PremiumN</v>
      </c>
      <c r="G42" s="7">
        <f>VLOOKUP(D42,[1]characters!$A:$I,9,FALSE)</f>
        <v>3</v>
      </c>
      <c r="H42" s="7" t="str">
        <f>VLOOKUP(D42,[1]characters!$A:$H,8,FALSE)</f>
        <v>red</v>
      </c>
      <c r="I42" s="7" t="str">
        <f>VLOOKUP(D42,[1]characters!$A:$K,11,FALSE)</f>
        <v>attack</v>
      </c>
      <c r="J42" s="7" t="str">
        <f>VLOOKUP(D42,[1]characters!$A:$M,13,FALSE)</f>
        <v>god</v>
      </c>
      <c r="K42" s="7" t="str">
        <f>VLOOKUP(D42,[1]characters!$A:$G,7,FALSE)</f>
        <v>男性</v>
      </c>
      <c r="L42" s="66">
        <f>IFERROR(VLOOKUP(D42,input_2!L:R,7,FALSE),VLOOKUP(tables_2!B42,input_2!A:H,8,FALSE))</f>
        <v>351000</v>
      </c>
      <c r="M42" s="67">
        <f t="shared" si="0"/>
        <v>6.7567567567567571E-3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customHeight="1">
      <c r="A43" s="2">
        <f>input_2!A$2</f>
        <v>3122</v>
      </c>
      <c r="B43" s="7" t="str">
        <f t="shared" si="1"/>
        <v>Premium4</v>
      </c>
      <c r="C43" s="7" t="str">
        <f t="shared" si="2"/>
        <v>Premium</v>
      </c>
      <c r="D43" s="6">
        <v>167</v>
      </c>
      <c r="E43" s="7" t="str">
        <f>VLOOKUP(D43,[1]characters!$A:$C,3,FALSE)</f>
        <v>逆徒 ベリアル</v>
      </c>
      <c r="F43" s="7" t="str">
        <f>VLOOKUP(D43,[1]characters!$A:$J,10,FALSE)</f>
        <v>PremiumN</v>
      </c>
      <c r="G43" s="7">
        <f>VLOOKUP(D43,[1]characters!$A:$I,9,FALSE)</f>
        <v>4</v>
      </c>
      <c r="H43" s="7" t="str">
        <f>VLOOKUP(D43,[1]characters!$A:$H,8,FALSE)</f>
        <v>red</v>
      </c>
      <c r="I43" s="7" t="str">
        <f>VLOOKUP(D43,[1]characters!$A:$K,11,FALSE)</f>
        <v>attack</v>
      </c>
      <c r="J43" s="7" t="str">
        <f>VLOOKUP(D43,[1]characters!$A:$M,13,FALSE)</f>
        <v>god</v>
      </c>
      <c r="K43" s="7" t="str">
        <f>VLOOKUP(D43,[1]characters!$A:$G,7,FALSE)</f>
        <v>男性</v>
      </c>
      <c r="L43" s="66">
        <f>IFERROR(VLOOKUP(D43,input_2!L:R,7,FALSE),VLOOKUP(tables_2!B43,input_2!A:H,8,FALSE))</f>
        <v>306423</v>
      </c>
      <c r="M43" s="67">
        <f t="shared" si="0"/>
        <v>5.8986486486486489E-3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customHeight="1">
      <c r="A44" s="2">
        <f>input_2!A$2</f>
        <v>3122</v>
      </c>
      <c r="B44" s="7" t="str">
        <f t="shared" si="1"/>
        <v>Premium5</v>
      </c>
      <c r="C44" s="7" t="str">
        <f t="shared" si="2"/>
        <v>Premium</v>
      </c>
      <c r="D44" s="6">
        <v>168</v>
      </c>
      <c r="E44" s="7" t="str">
        <f>VLOOKUP(D44,[1]characters!$A:$C,3,FALSE)</f>
        <v>猛進の大逆者 ベリアル</v>
      </c>
      <c r="F44" s="7" t="str">
        <f>VLOOKUP(D44,[1]characters!$A:$J,10,FALSE)</f>
        <v>PremiumN</v>
      </c>
      <c r="G44" s="7">
        <f>VLOOKUP(D44,[1]characters!$A:$I,9,FALSE)</f>
        <v>5</v>
      </c>
      <c r="H44" s="7" t="str">
        <f>VLOOKUP(D44,[1]characters!$A:$H,8,FALSE)</f>
        <v>red</v>
      </c>
      <c r="I44" s="7" t="str">
        <f>VLOOKUP(D44,[1]characters!$A:$K,11,FALSE)</f>
        <v>attack</v>
      </c>
      <c r="J44" s="7" t="str">
        <f>VLOOKUP(D44,[1]characters!$A:$M,13,FALSE)</f>
        <v>god</v>
      </c>
      <c r="K44" s="7" t="str">
        <f>VLOOKUP(D44,[1]characters!$A:$G,7,FALSE)</f>
        <v>男性</v>
      </c>
      <c r="L44" s="66">
        <f>IFERROR(VLOOKUP(D44,input_2!L:R,7,FALSE),VLOOKUP(tables_2!B44,input_2!A:H,8,FALSE))</f>
        <v>46657</v>
      </c>
      <c r="M44" s="67">
        <f t="shared" si="0"/>
        <v>8.9814814814814813E-4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customHeight="1">
      <c r="A45" s="2">
        <f>input_2!A$2</f>
        <v>3122</v>
      </c>
      <c r="B45" s="7" t="str">
        <f t="shared" si="1"/>
        <v>Premium3</v>
      </c>
      <c r="C45" s="7" t="str">
        <f t="shared" si="2"/>
        <v>Premium</v>
      </c>
      <c r="D45" s="6">
        <v>169</v>
      </c>
      <c r="E45" s="7" t="str">
        <f>VLOOKUP(D45,[1]characters!$A:$C,3,FALSE)</f>
        <v>オセ</v>
      </c>
      <c r="F45" s="7" t="str">
        <f>VLOOKUP(D45,[1]characters!$A:$J,10,FALSE)</f>
        <v>PremiumN</v>
      </c>
      <c r="G45" s="7">
        <f>VLOOKUP(D45,[1]characters!$A:$I,9,FALSE)</f>
        <v>3</v>
      </c>
      <c r="H45" s="7" t="str">
        <f>VLOOKUP(D45,[1]characters!$A:$H,8,FALSE)</f>
        <v>green</v>
      </c>
      <c r="I45" s="7" t="str">
        <f>VLOOKUP(D45,[1]characters!$A:$K,11,FALSE)</f>
        <v>attack</v>
      </c>
      <c r="J45" s="7" t="str">
        <f>VLOOKUP(D45,[1]characters!$A:$M,13,FALSE)</f>
        <v>god</v>
      </c>
      <c r="K45" s="7" t="str">
        <f>VLOOKUP(D45,[1]characters!$A:$G,7,FALSE)</f>
        <v>女性</v>
      </c>
      <c r="L45" s="66">
        <f>IFERROR(VLOOKUP(D45,input_2!L:R,7,FALSE),VLOOKUP(tables_2!B45,input_2!A:H,8,FALSE))</f>
        <v>351000</v>
      </c>
      <c r="M45" s="67">
        <f t="shared" si="0"/>
        <v>6.7567567567567571E-3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customHeight="1">
      <c r="A46" s="2">
        <f>input_2!A$2</f>
        <v>3122</v>
      </c>
      <c r="B46" s="7" t="str">
        <f t="shared" si="1"/>
        <v>Premium4</v>
      </c>
      <c r="C46" s="7" t="str">
        <f t="shared" si="2"/>
        <v>Premium</v>
      </c>
      <c r="D46" s="6">
        <v>170</v>
      </c>
      <c r="E46" s="7" t="str">
        <f>VLOOKUP(D46,[1]characters!$A:$C,3,FALSE)</f>
        <v>識徒 オセ</v>
      </c>
      <c r="F46" s="7" t="str">
        <f>VLOOKUP(D46,[1]characters!$A:$J,10,FALSE)</f>
        <v>PremiumN</v>
      </c>
      <c r="G46" s="7">
        <f>VLOOKUP(D46,[1]characters!$A:$I,9,FALSE)</f>
        <v>4</v>
      </c>
      <c r="H46" s="7" t="str">
        <f>VLOOKUP(D46,[1]characters!$A:$H,8,FALSE)</f>
        <v>green</v>
      </c>
      <c r="I46" s="7" t="str">
        <f>VLOOKUP(D46,[1]characters!$A:$K,11,FALSE)</f>
        <v>attack</v>
      </c>
      <c r="J46" s="7" t="str">
        <f>VLOOKUP(D46,[1]characters!$A:$M,13,FALSE)</f>
        <v>god</v>
      </c>
      <c r="K46" s="7" t="str">
        <f>VLOOKUP(D46,[1]characters!$A:$G,7,FALSE)</f>
        <v>女性</v>
      </c>
      <c r="L46" s="66">
        <f>IFERROR(VLOOKUP(D46,input_2!L:R,7,FALSE),VLOOKUP(tables_2!B46,input_2!A:H,8,FALSE))</f>
        <v>306423</v>
      </c>
      <c r="M46" s="67">
        <f t="shared" si="0"/>
        <v>5.8986486486486489E-3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customHeight="1">
      <c r="A47" s="2">
        <f>input_2!A$2</f>
        <v>3122</v>
      </c>
      <c r="B47" s="7" t="str">
        <f t="shared" si="1"/>
        <v>Premium5</v>
      </c>
      <c r="C47" s="7" t="str">
        <f t="shared" si="2"/>
        <v>Premium</v>
      </c>
      <c r="D47" s="6">
        <v>171</v>
      </c>
      <c r="E47" s="7" t="str">
        <f>VLOOKUP(D47,[1]characters!$A:$C,3,FALSE)</f>
        <v>精解の預知者 オセ</v>
      </c>
      <c r="F47" s="7" t="str">
        <f>VLOOKUP(D47,[1]characters!$A:$J,10,FALSE)</f>
        <v>PremiumN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attack</v>
      </c>
      <c r="J47" s="7" t="str">
        <f>VLOOKUP(D47,[1]characters!$A:$M,13,FALSE)</f>
        <v>god</v>
      </c>
      <c r="K47" s="7" t="str">
        <f>VLOOKUP(D47,[1]characters!$A:$G,7,FALSE)</f>
        <v>女性</v>
      </c>
      <c r="L47" s="66">
        <f>IFERROR(VLOOKUP(D47,input_2!L:R,7,FALSE),VLOOKUP(tables_2!B47,input_2!A:H,8,FALSE))</f>
        <v>46657</v>
      </c>
      <c r="M47" s="67">
        <f t="shared" si="0"/>
        <v>8.9814814814814813E-4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customHeight="1">
      <c r="A48" s="2">
        <f>input_2!A$2</f>
        <v>3122</v>
      </c>
      <c r="B48" s="7" t="str">
        <f t="shared" si="1"/>
        <v>Premium3</v>
      </c>
      <c r="C48" s="7" t="str">
        <f t="shared" si="2"/>
        <v>Premium</v>
      </c>
      <c r="D48" s="6">
        <v>172</v>
      </c>
      <c r="E48" s="7" t="str">
        <f>VLOOKUP(D48,[1]characters!$A:$C,3,FALSE)</f>
        <v>フォルネウス</v>
      </c>
      <c r="F48" s="7" t="str">
        <f>VLOOKUP(D48,[1]characters!$A:$J,10,FALSE)</f>
        <v>PremiumN</v>
      </c>
      <c r="G48" s="7">
        <f>VLOOKUP(D48,[1]characters!$A:$I,9,FALSE)</f>
        <v>3</v>
      </c>
      <c r="H48" s="7" t="str">
        <f>VLOOKUP(D48,[1]characters!$A:$H,8,FALSE)</f>
        <v>blue</v>
      </c>
      <c r="I48" s="7" t="str">
        <f>VLOOKUP(D48,[1]characters!$A:$K,11,FALSE)</f>
        <v>attack</v>
      </c>
      <c r="J48" s="7" t="str">
        <f>VLOOKUP(D48,[1]characters!$A:$M,13,FALSE)</f>
        <v>god</v>
      </c>
      <c r="K48" s="7" t="str">
        <f>VLOOKUP(D48,[1]characters!$A:$G,7,FALSE)</f>
        <v>女性</v>
      </c>
      <c r="L48" s="66">
        <f>IFERROR(VLOOKUP(D48,input_2!L:R,7,FALSE),VLOOKUP(tables_2!B48,input_2!A:H,8,FALSE))</f>
        <v>351000</v>
      </c>
      <c r="M48" s="67">
        <f t="shared" si="0"/>
        <v>6.7567567567567571E-3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customHeight="1">
      <c r="A49" s="2">
        <f>input_2!A$2</f>
        <v>3122</v>
      </c>
      <c r="B49" s="7" t="str">
        <f t="shared" si="1"/>
        <v>Premium4</v>
      </c>
      <c r="C49" s="7" t="str">
        <f t="shared" si="2"/>
        <v>Premium</v>
      </c>
      <c r="D49" s="6">
        <v>173</v>
      </c>
      <c r="E49" s="7" t="str">
        <f>VLOOKUP(D49,[1]characters!$A:$C,3,FALSE)</f>
        <v>公爵 フォルネウス</v>
      </c>
      <c r="F49" s="7" t="str">
        <f>VLOOKUP(D49,[1]characters!$A:$J,10,FALSE)</f>
        <v>PremiumN</v>
      </c>
      <c r="G49" s="7">
        <f>VLOOKUP(D49,[1]characters!$A:$I,9,FALSE)</f>
        <v>4</v>
      </c>
      <c r="H49" s="7" t="str">
        <f>VLOOKUP(D49,[1]characters!$A:$H,8,FALSE)</f>
        <v>blue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女性</v>
      </c>
      <c r="L49" s="66">
        <f>IFERROR(VLOOKUP(D49,input_2!L:R,7,FALSE),VLOOKUP(tables_2!B49,input_2!A:H,8,FALSE))</f>
        <v>306423</v>
      </c>
      <c r="M49" s="67">
        <f t="shared" si="0"/>
        <v>5.8986486486486489E-3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customHeight="1">
      <c r="A50" s="2">
        <f>input_2!A$2</f>
        <v>3122</v>
      </c>
      <c r="B50" s="7" t="str">
        <f t="shared" si="1"/>
        <v>Premium5</v>
      </c>
      <c r="C50" s="7" t="str">
        <f t="shared" si="2"/>
        <v>Premium</v>
      </c>
      <c r="D50" s="6">
        <v>174</v>
      </c>
      <c r="E50" s="7" t="str">
        <f>VLOOKUP(D50,[1]characters!$A:$C,3,FALSE)</f>
        <v>偽愛の大公爵 フォルネウス</v>
      </c>
      <c r="F50" s="7" t="str">
        <f>VLOOKUP(D50,[1]characters!$A:$J,10,FALSE)</f>
        <v>PremiumN</v>
      </c>
      <c r="G50" s="7">
        <f>VLOOKUP(D50,[1]characters!$A:$I,9,FALSE)</f>
        <v>5</v>
      </c>
      <c r="H50" s="7" t="str">
        <f>VLOOKUP(D50,[1]characters!$A:$H,8,FALSE)</f>
        <v>blue</v>
      </c>
      <c r="I50" s="7" t="str">
        <f>VLOOKUP(D50,[1]characters!$A:$K,11,FALSE)</f>
        <v>attack</v>
      </c>
      <c r="J50" s="7" t="str">
        <f>VLOOKUP(D50,[1]characters!$A:$M,13,FALSE)</f>
        <v>god</v>
      </c>
      <c r="K50" s="7" t="str">
        <f>VLOOKUP(D50,[1]characters!$A:$G,7,FALSE)</f>
        <v>女性</v>
      </c>
      <c r="L50" s="66">
        <f>IFERROR(VLOOKUP(D50,input_2!L:R,7,FALSE),VLOOKUP(tables_2!B50,input_2!A:H,8,FALSE))</f>
        <v>46657</v>
      </c>
      <c r="M50" s="67">
        <f t="shared" si="0"/>
        <v>8.9814814814814813E-4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customHeight="1">
      <c r="A51" s="2">
        <f>input_2!A$2</f>
        <v>3122</v>
      </c>
      <c r="B51" s="7" t="str">
        <f t="shared" si="1"/>
        <v>Premium3</v>
      </c>
      <c r="C51" s="7" t="str">
        <f t="shared" si="2"/>
        <v>Premium</v>
      </c>
      <c r="D51" s="6">
        <v>175</v>
      </c>
      <c r="E51" s="7" t="str">
        <f>VLOOKUP(D51,[1]characters!$A:$C,3,FALSE)</f>
        <v>バフォメット</v>
      </c>
      <c r="F51" s="7" t="str">
        <f>VLOOKUP(D51,[1]characters!$A:$J,10,FALSE)</f>
        <v>PremiumN</v>
      </c>
      <c r="G51" s="7">
        <f>VLOOKUP(D51,[1]characters!$A:$I,9,FALSE)</f>
        <v>3</v>
      </c>
      <c r="H51" s="7" t="str">
        <f>VLOOKUP(D51,[1]characters!$A:$H,8,FALSE)</f>
        <v>yellow</v>
      </c>
      <c r="I51" s="7" t="str">
        <f>VLOOKUP(D51,[1]characters!$A:$K,11,FALSE)</f>
        <v>attack</v>
      </c>
      <c r="J51" s="7" t="str">
        <f>VLOOKUP(D51,[1]characters!$A:$M,13,FALSE)</f>
        <v>god</v>
      </c>
      <c r="K51" s="7" t="str">
        <f>VLOOKUP(D51,[1]characters!$A:$G,7,FALSE)</f>
        <v>女性</v>
      </c>
      <c r="L51" s="66">
        <f>IFERROR(VLOOKUP(D51,input_2!L:R,7,FALSE),VLOOKUP(tables_2!B51,input_2!A:H,8,FALSE))</f>
        <v>351000</v>
      </c>
      <c r="M51" s="67">
        <f t="shared" si="0"/>
        <v>6.7567567567567571E-3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customHeight="1">
      <c r="A52" s="2">
        <f>input_2!A$2</f>
        <v>3122</v>
      </c>
      <c r="B52" s="7" t="str">
        <f t="shared" si="1"/>
        <v>Premium4</v>
      </c>
      <c r="C52" s="7" t="str">
        <f t="shared" si="2"/>
        <v>Premium</v>
      </c>
      <c r="D52" s="6">
        <v>176</v>
      </c>
      <c r="E52" s="7" t="str">
        <f>VLOOKUP(D52,[1]characters!$A:$C,3,FALSE)</f>
        <v>異教徒 バフォメット</v>
      </c>
      <c r="F52" s="7" t="str">
        <f>VLOOKUP(D52,[1]characters!$A:$J,10,FALSE)</f>
        <v>PremiumN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66">
        <f>IFERROR(VLOOKUP(D52,input_2!L:R,7,FALSE),VLOOKUP(tables_2!B52,input_2!A:H,8,FALSE))</f>
        <v>306423</v>
      </c>
      <c r="M52" s="67">
        <f t="shared" si="0"/>
        <v>5.8986486486486489E-3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customHeight="1">
      <c r="A53" s="2">
        <f>input_2!A$2</f>
        <v>3122</v>
      </c>
      <c r="B53" s="7" t="str">
        <f t="shared" si="1"/>
        <v>Premium5</v>
      </c>
      <c r="C53" s="7" t="str">
        <f t="shared" si="2"/>
        <v>Premium</v>
      </c>
      <c r="D53" s="6">
        <v>177</v>
      </c>
      <c r="E53" s="7" t="str">
        <f>VLOOKUP(D53,[1]characters!$A:$C,3,FALSE)</f>
        <v>黒魔の異端師 バフォメット</v>
      </c>
      <c r="F53" s="7" t="str">
        <f>VLOOKUP(D53,[1]characters!$A:$J,10,FALSE)</f>
        <v>PremiumN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66">
        <f>IFERROR(VLOOKUP(D53,input_2!L:R,7,FALSE),VLOOKUP(tables_2!B53,input_2!A:H,8,FALSE))</f>
        <v>46657</v>
      </c>
      <c r="M53" s="67">
        <f t="shared" si="0"/>
        <v>8.9814814814814813E-4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customHeight="1">
      <c r="A54" s="2">
        <f>input_2!A$2</f>
        <v>3122</v>
      </c>
      <c r="B54" s="7" t="str">
        <f t="shared" si="1"/>
        <v>Premium3</v>
      </c>
      <c r="C54" s="7" t="str">
        <f t="shared" si="2"/>
        <v>Premium</v>
      </c>
      <c r="D54" s="6">
        <v>178</v>
      </c>
      <c r="E54" s="7" t="str">
        <f>VLOOKUP(D54,[1]characters!$A:$C,3,FALSE)</f>
        <v>ケルベロス</v>
      </c>
      <c r="F54" s="7" t="str">
        <f>VLOOKUP(D54,[1]characters!$A:$J,10,FALSE)</f>
        <v>PremiumN</v>
      </c>
      <c r="G54" s="7">
        <f>VLOOKUP(D54,[1]characters!$A:$I,9,FALSE)</f>
        <v>3</v>
      </c>
      <c r="H54" s="7" t="str">
        <f>VLOOKUP(D54,[1]characters!$A:$H,8,FALSE)</f>
        <v>red</v>
      </c>
      <c r="I54" s="7" t="str">
        <f>VLOOKUP(D54,[1]characters!$A:$K,11,FALSE)</f>
        <v>balance</v>
      </c>
      <c r="J54" s="7" t="str">
        <f>VLOOKUP(D54,[1]characters!$A:$M,13,FALSE)</f>
        <v>animal</v>
      </c>
      <c r="K54" s="7" t="str">
        <f>VLOOKUP(D54,[1]characters!$A:$G,7,FALSE)</f>
        <v>女性</v>
      </c>
      <c r="L54" s="66">
        <f>IFERROR(VLOOKUP(D54,input_2!L:R,7,FALSE),VLOOKUP(tables_2!B54,input_2!A:H,8,FALSE))</f>
        <v>351000</v>
      </c>
      <c r="M54" s="67">
        <f t="shared" si="0"/>
        <v>6.7567567567567571E-3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ht="21" customHeight="1">
      <c r="A55" s="2">
        <f>input_2!A$2</f>
        <v>3122</v>
      </c>
      <c r="B55" s="7" t="str">
        <f t="shared" si="1"/>
        <v>Premium4</v>
      </c>
      <c r="C55" s="7" t="str">
        <f t="shared" si="2"/>
        <v>Premium</v>
      </c>
      <c r="D55" s="6">
        <v>179</v>
      </c>
      <c r="E55" s="7" t="str">
        <f>VLOOKUP(D55,[1]characters!$A:$C,3,FALSE)</f>
        <v>番犬 ケルベロス</v>
      </c>
      <c r="F55" s="7" t="str">
        <f>VLOOKUP(D55,[1]characters!$A:$J,10,FALSE)</f>
        <v>PremiumN</v>
      </c>
      <c r="G55" s="7">
        <f>VLOOKUP(D55,[1]characters!$A:$I,9,FALSE)</f>
        <v>4</v>
      </c>
      <c r="H55" s="7" t="str">
        <f>VLOOKUP(D55,[1]characters!$A:$H,8,FALSE)</f>
        <v>red</v>
      </c>
      <c r="I55" s="7" t="str">
        <f>VLOOKUP(D55,[1]characters!$A:$K,11,FALSE)</f>
        <v>balance</v>
      </c>
      <c r="J55" s="7" t="str">
        <f>VLOOKUP(D55,[1]characters!$A:$M,13,FALSE)</f>
        <v>animal</v>
      </c>
      <c r="K55" s="7" t="str">
        <f>VLOOKUP(D55,[1]characters!$A:$G,7,FALSE)</f>
        <v>女性</v>
      </c>
      <c r="L55" s="66">
        <f>IFERROR(VLOOKUP(D55,input_2!L:R,7,FALSE),VLOOKUP(tables_2!B55,input_2!A:H,8,FALSE))</f>
        <v>306423</v>
      </c>
      <c r="M55" s="67">
        <f t="shared" si="0"/>
        <v>5.8986486486486489E-3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customHeight="1">
      <c r="A56" s="2">
        <f>input_2!A$2</f>
        <v>3122</v>
      </c>
      <c r="B56" s="7" t="str">
        <f t="shared" si="1"/>
        <v>Premium5</v>
      </c>
      <c r="C56" s="7" t="str">
        <f t="shared" si="2"/>
        <v>Premium</v>
      </c>
      <c r="D56" s="6">
        <v>180</v>
      </c>
      <c r="E56" s="7" t="str">
        <f>VLOOKUP(D56,[1]characters!$A:$C,3,FALSE)</f>
        <v>地獄の大門番 ケルベロス</v>
      </c>
      <c r="F56" s="7" t="str">
        <f>VLOOKUP(D56,[1]characters!$A:$J,10,FALSE)</f>
        <v>PremiumN</v>
      </c>
      <c r="G56" s="7">
        <f>VLOOKUP(D56,[1]characters!$A:$I,9,FALSE)</f>
        <v>5</v>
      </c>
      <c r="H56" s="7" t="str">
        <f>VLOOKUP(D56,[1]characters!$A:$H,8,FALSE)</f>
        <v>red</v>
      </c>
      <c r="I56" s="7" t="str">
        <f>VLOOKUP(D56,[1]characters!$A:$K,11,FALSE)</f>
        <v>balance</v>
      </c>
      <c r="J56" s="7" t="str">
        <f>VLOOKUP(D56,[1]characters!$A:$M,13,FALSE)</f>
        <v>animal</v>
      </c>
      <c r="K56" s="7" t="str">
        <f>VLOOKUP(D56,[1]characters!$A:$G,7,FALSE)</f>
        <v>女性</v>
      </c>
      <c r="L56" s="66">
        <f>IFERROR(VLOOKUP(D56,input_2!L:R,7,FALSE),VLOOKUP(tables_2!B56,input_2!A:H,8,FALSE))</f>
        <v>46657</v>
      </c>
      <c r="M56" s="67">
        <f t="shared" si="0"/>
        <v>8.9814814814814813E-4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customHeight="1">
      <c r="A57" s="2">
        <f>input_2!A$2</f>
        <v>3122</v>
      </c>
      <c r="B57" s="7" t="str">
        <f t="shared" si="1"/>
        <v>Premium3</v>
      </c>
      <c r="C57" s="7" t="str">
        <f t="shared" si="2"/>
        <v>Premium</v>
      </c>
      <c r="D57" s="6">
        <v>181</v>
      </c>
      <c r="E57" s="7" t="str">
        <f>VLOOKUP(D57,[1]characters!$A:$C,3,FALSE)</f>
        <v>ベヒモス</v>
      </c>
      <c r="F57" s="7" t="str">
        <f>VLOOKUP(D57,[1]characters!$A:$J,10,FALSE)</f>
        <v>PremiumN</v>
      </c>
      <c r="G57" s="7">
        <f>VLOOKUP(D57,[1]characters!$A:$I,9,FALSE)</f>
        <v>3</v>
      </c>
      <c r="H57" s="7" t="str">
        <f>VLOOKUP(D57,[1]characters!$A:$H,8,FALSE)</f>
        <v>green</v>
      </c>
      <c r="I57" s="7" t="str">
        <f>VLOOKUP(D57,[1]characters!$A:$K,11,FALSE)</f>
        <v>hp</v>
      </c>
      <c r="J57" s="7" t="str">
        <f>VLOOKUP(D57,[1]characters!$A:$M,13,FALSE)</f>
        <v>animal</v>
      </c>
      <c r="K57" s="7" t="str">
        <f>VLOOKUP(D57,[1]characters!$A:$G,7,FALSE)</f>
        <v>女性</v>
      </c>
      <c r="L57" s="66">
        <f>IFERROR(VLOOKUP(D57,input_2!L:R,7,FALSE),VLOOKUP(tables_2!B57,input_2!A:H,8,FALSE))</f>
        <v>351000</v>
      </c>
      <c r="M57" s="67">
        <f t="shared" si="0"/>
        <v>6.7567567567567571E-3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customHeight="1">
      <c r="A58" s="2">
        <f>input_2!A$2</f>
        <v>3122</v>
      </c>
      <c r="B58" s="7" t="str">
        <f t="shared" si="1"/>
        <v>Premium4</v>
      </c>
      <c r="C58" s="7" t="str">
        <f t="shared" si="2"/>
        <v>Premium</v>
      </c>
      <c r="D58" s="6">
        <v>182</v>
      </c>
      <c r="E58" s="7" t="str">
        <f>VLOOKUP(D58,[1]characters!$A:$C,3,FALSE)</f>
        <v>放蕩者 ベヒモス</v>
      </c>
      <c r="F58" s="7" t="str">
        <f>VLOOKUP(D58,[1]characters!$A:$J,10,FALSE)</f>
        <v>PremiumN</v>
      </c>
      <c r="G58" s="7">
        <f>VLOOKUP(D58,[1]characters!$A:$I,9,FALSE)</f>
        <v>4</v>
      </c>
      <c r="H58" s="7" t="str">
        <f>VLOOKUP(D58,[1]characters!$A:$H,8,FALSE)</f>
        <v>green</v>
      </c>
      <c r="I58" s="7" t="str">
        <f>VLOOKUP(D58,[1]characters!$A:$K,11,FALSE)</f>
        <v>hp</v>
      </c>
      <c r="J58" s="7" t="str">
        <f>VLOOKUP(D58,[1]characters!$A:$M,13,FALSE)</f>
        <v>animal</v>
      </c>
      <c r="K58" s="7" t="str">
        <f>VLOOKUP(D58,[1]characters!$A:$G,7,FALSE)</f>
        <v>女性</v>
      </c>
      <c r="L58" s="66">
        <f>IFERROR(VLOOKUP(D58,input_2!L:R,7,FALSE),VLOOKUP(tables_2!B58,input_2!A:H,8,FALSE))</f>
        <v>306423</v>
      </c>
      <c r="M58" s="67">
        <f t="shared" si="0"/>
        <v>5.8986486486486489E-3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customHeight="1">
      <c r="A59" s="2">
        <f>input_2!A$2</f>
        <v>3122</v>
      </c>
      <c r="B59" s="7" t="str">
        <f t="shared" si="1"/>
        <v>Premium5</v>
      </c>
      <c r="C59" s="7" t="str">
        <f t="shared" si="2"/>
        <v>Premium</v>
      </c>
      <c r="D59" s="6">
        <v>183</v>
      </c>
      <c r="E59" s="7" t="str">
        <f>VLOOKUP(D59,[1]characters!$A:$C,3,FALSE)</f>
        <v>鈍重な彷徨者 ベヒモス</v>
      </c>
      <c r="F59" s="7" t="str">
        <f>VLOOKUP(D59,[1]characters!$A:$J,10,FALSE)</f>
        <v>PremiumN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hp</v>
      </c>
      <c r="J59" s="7" t="str">
        <f>VLOOKUP(D59,[1]characters!$A:$M,13,FALSE)</f>
        <v>animal</v>
      </c>
      <c r="K59" s="7" t="str">
        <f>VLOOKUP(D59,[1]characters!$A:$G,7,FALSE)</f>
        <v>女性</v>
      </c>
      <c r="L59" s="66">
        <f>IFERROR(VLOOKUP(D59,input_2!L:R,7,FALSE),VLOOKUP(tables_2!B59,input_2!A:H,8,FALSE))</f>
        <v>46657</v>
      </c>
      <c r="M59" s="67">
        <f t="shared" si="0"/>
        <v>8.9814814814814813E-4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customHeight="1">
      <c r="A60" s="2">
        <f>input_2!A$2</f>
        <v>3122</v>
      </c>
      <c r="B60" s="7" t="str">
        <f t="shared" si="1"/>
        <v>Premium3</v>
      </c>
      <c r="C60" s="7" t="str">
        <f t="shared" si="2"/>
        <v>Premium</v>
      </c>
      <c r="D60" s="6">
        <v>184</v>
      </c>
      <c r="E60" s="7" t="str">
        <f>VLOOKUP(D60,[1]characters!$A:$C,3,FALSE)</f>
        <v>クラーケン</v>
      </c>
      <c r="F60" s="7" t="str">
        <f>VLOOKUP(D60,[1]characters!$A:$J,10,FALSE)</f>
        <v>PremiumN</v>
      </c>
      <c r="G60" s="7">
        <f>VLOOKUP(D60,[1]characters!$A:$I,9,FALSE)</f>
        <v>3</v>
      </c>
      <c r="H60" s="7" t="str">
        <f>VLOOKUP(D60,[1]characters!$A:$H,8,FALSE)</f>
        <v>blue</v>
      </c>
      <c r="I60" s="7" t="str">
        <f>VLOOKUP(D60,[1]characters!$A:$K,11,FALSE)</f>
        <v>heal</v>
      </c>
      <c r="J60" s="7" t="str">
        <f>VLOOKUP(D60,[1]characters!$A:$M,13,FALSE)</f>
        <v>animal</v>
      </c>
      <c r="K60" s="7" t="str">
        <f>VLOOKUP(D60,[1]characters!$A:$G,7,FALSE)</f>
        <v>女性</v>
      </c>
      <c r="L60" s="66">
        <f>IFERROR(VLOOKUP(D60,input_2!L:R,7,FALSE),VLOOKUP(tables_2!B60,input_2!A:H,8,FALSE))</f>
        <v>351000</v>
      </c>
      <c r="M60" s="67">
        <f t="shared" si="0"/>
        <v>6.7567567567567571E-3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customHeight="1">
      <c r="A61" s="2">
        <f>input_2!A$2</f>
        <v>3122</v>
      </c>
      <c r="B61" s="7" t="str">
        <f t="shared" si="1"/>
        <v>Premium4</v>
      </c>
      <c r="C61" s="7" t="str">
        <f t="shared" si="2"/>
        <v>Premium</v>
      </c>
      <c r="D61" s="6">
        <v>185</v>
      </c>
      <c r="E61" s="7" t="str">
        <f>VLOOKUP(D61,[1]characters!$A:$C,3,FALSE)</f>
        <v>海姫 クラーケン</v>
      </c>
      <c r="F61" s="7" t="str">
        <f>VLOOKUP(D61,[1]characters!$A:$J,10,FALSE)</f>
        <v>PremiumN</v>
      </c>
      <c r="G61" s="7">
        <f>VLOOKUP(D61,[1]characters!$A:$I,9,FALSE)</f>
        <v>4</v>
      </c>
      <c r="H61" s="7" t="str">
        <f>VLOOKUP(D61,[1]characters!$A:$H,8,FALSE)</f>
        <v>blue</v>
      </c>
      <c r="I61" s="7" t="str">
        <f>VLOOKUP(D61,[1]characters!$A:$K,11,FALSE)</f>
        <v>heal</v>
      </c>
      <c r="J61" s="7" t="str">
        <f>VLOOKUP(D61,[1]characters!$A:$M,13,FALSE)</f>
        <v>animal</v>
      </c>
      <c r="K61" s="7" t="str">
        <f>VLOOKUP(D61,[1]characters!$A:$G,7,FALSE)</f>
        <v>女性</v>
      </c>
      <c r="L61" s="66">
        <f>IFERROR(VLOOKUP(D61,input_2!L:R,7,FALSE),VLOOKUP(tables_2!B61,input_2!A:H,8,FALSE))</f>
        <v>306423</v>
      </c>
      <c r="M61" s="67">
        <f t="shared" si="0"/>
        <v>5.8986486486486489E-3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customHeight="1">
      <c r="A62" s="2">
        <f>input_2!A$2</f>
        <v>3122</v>
      </c>
      <c r="B62" s="7" t="str">
        <f t="shared" si="1"/>
        <v>Premium5</v>
      </c>
      <c r="C62" s="7" t="str">
        <f t="shared" si="2"/>
        <v>Premium</v>
      </c>
      <c r="D62" s="8">
        <v>186</v>
      </c>
      <c r="E62" s="7" t="str">
        <f>VLOOKUP(D62,[1]characters!$A:$C,3,FALSE)</f>
        <v>誇り高き多触姫・クラーケン</v>
      </c>
      <c r="F62" s="7" t="str">
        <f>VLOOKUP(D62,[1]characters!$A:$J,10,FALSE)</f>
        <v>PremiumN</v>
      </c>
      <c r="G62" s="7">
        <f>VLOOKUP(D62,[1]characters!$A:$I,9,FALSE)</f>
        <v>5</v>
      </c>
      <c r="H62" s="7" t="str">
        <f>VLOOKUP(D62,[1]characters!$A:$H,8,FALSE)</f>
        <v>blue</v>
      </c>
      <c r="I62" s="7" t="str">
        <f>VLOOKUP(D62,[1]characters!$A:$K,11,FALSE)</f>
        <v>heal</v>
      </c>
      <c r="J62" s="7" t="str">
        <f>VLOOKUP(D62,[1]characters!$A:$M,13,FALSE)</f>
        <v>animal</v>
      </c>
      <c r="K62" s="7" t="str">
        <f>VLOOKUP(D62,[1]characters!$A:$G,7,FALSE)</f>
        <v>女性</v>
      </c>
      <c r="L62" s="66">
        <f>IFERROR(VLOOKUP(D62,input_2!L:R,7,FALSE),VLOOKUP(tables_2!B62,input_2!A:H,8,FALSE))</f>
        <v>46657</v>
      </c>
      <c r="M62" s="67">
        <f t="shared" si="0"/>
        <v>8.9814814814814813E-4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customHeight="1">
      <c r="A63" s="2">
        <f>input_2!A$2</f>
        <v>3122</v>
      </c>
      <c r="B63" s="7" t="str">
        <f t="shared" si="1"/>
        <v>Premium3</v>
      </c>
      <c r="C63" s="7" t="str">
        <f t="shared" si="2"/>
        <v>Premium</v>
      </c>
      <c r="D63" s="8">
        <v>187</v>
      </c>
      <c r="E63" s="7" t="str">
        <f>VLOOKUP(D63,[1]characters!$A:$C,3,FALSE)</f>
        <v>ホルス</v>
      </c>
      <c r="F63" s="7" t="str">
        <f>VLOOKUP(D63,[1]characters!$A:$J,10,FALSE)</f>
        <v>PremiumN</v>
      </c>
      <c r="G63" s="7">
        <f>VLOOKUP(D63,[1]characters!$A:$I,9,FALSE)</f>
        <v>3</v>
      </c>
      <c r="H63" s="7" t="str">
        <f>VLOOKUP(D63,[1]characters!$A:$H,8,FALSE)</f>
        <v>yellow</v>
      </c>
      <c r="I63" s="7" t="str">
        <f>VLOOKUP(D63,[1]characters!$A:$K,11,FALSE)</f>
        <v>attack</v>
      </c>
      <c r="J63" s="7" t="str">
        <f>VLOOKUP(D63,[1]characters!$A:$M,13,FALSE)</f>
        <v>animal</v>
      </c>
      <c r="K63" s="7" t="str">
        <f>VLOOKUP(D63,[1]characters!$A:$G,7,FALSE)</f>
        <v>女性</v>
      </c>
      <c r="L63" s="66">
        <f>IFERROR(VLOOKUP(D63,input_2!L:R,7,FALSE),VLOOKUP(tables_2!B63,input_2!A:H,8,FALSE))</f>
        <v>351000</v>
      </c>
      <c r="M63" s="67">
        <f t="shared" si="0"/>
        <v>6.7567567567567571E-3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customHeight="1">
      <c r="A64" s="2">
        <f>input_2!A$2</f>
        <v>3122</v>
      </c>
      <c r="B64" s="7" t="str">
        <f t="shared" si="1"/>
        <v>Premium4</v>
      </c>
      <c r="C64" s="7" t="str">
        <f t="shared" si="2"/>
        <v>Premium</v>
      </c>
      <c r="D64" s="8">
        <v>188</v>
      </c>
      <c r="E64" s="7" t="str">
        <f>VLOOKUP(D64,[1]characters!$A:$C,3,FALSE)</f>
        <v>猛禽 ホルス</v>
      </c>
      <c r="F64" s="7" t="str">
        <f>VLOOKUP(D64,[1]characters!$A:$J,10,FALSE)</f>
        <v>PremiumN</v>
      </c>
      <c r="G64" s="7">
        <f>VLOOKUP(D64,[1]characters!$A:$I,9,FALSE)</f>
        <v>4</v>
      </c>
      <c r="H64" s="7" t="str">
        <f>VLOOKUP(D64,[1]characters!$A:$H,8,FALSE)</f>
        <v>yellow</v>
      </c>
      <c r="I64" s="7" t="str">
        <f>VLOOKUP(D64,[1]characters!$A:$K,11,FALSE)</f>
        <v>attack</v>
      </c>
      <c r="J64" s="7" t="str">
        <f>VLOOKUP(D64,[1]characters!$A:$M,13,FALSE)</f>
        <v>animal</v>
      </c>
      <c r="K64" s="7" t="str">
        <f>VLOOKUP(D64,[1]characters!$A:$G,7,FALSE)</f>
        <v>女性</v>
      </c>
      <c r="L64" s="66">
        <f>IFERROR(VLOOKUP(D64,input_2!L:R,7,FALSE),VLOOKUP(tables_2!B64,input_2!A:H,8,FALSE))</f>
        <v>306423</v>
      </c>
      <c r="M64" s="67">
        <f t="shared" si="0"/>
        <v>5.8986486486486489E-3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customHeight="1">
      <c r="A65" s="2">
        <f>input_2!A$2</f>
        <v>3122</v>
      </c>
      <c r="B65" s="7" t="str">
        <f t="shared" si="1"/>
        <v>Premium5</v>
      </c>
      <c r="C65" s="7" t="str">
        <f t="shared" si="2"/>
        <v>Premium</v>
      </c>
      <c r="D65" s="8">
        <v>189</v>
      </c>
      <c r="E65" s="7" t="str">
        <f>VLOOKUP(D65,[1]characters!$A:$C,3,FALSE)</f>
        <v>迅雷の王禽 ホルス</v>
      </c>
      <c r="F65" s="7" t="str">
        <f>VLOOKUP(D65,[1]characters!$A:$J,10,FALSE)</f>
        <v>PremiumN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attack</v>
      </c>
      <c r="J65" s="7" t="str">
        <f>VLOOKUP(D65,[1]characters!$A:$M,13,FALSE)</f>
        <v>animal</v>
      </c>
      <c r="K65" s="7" t="str">
        <f>VLOOKUP(D65,[1]characters!$A:$G,7,FALSE)</f>
        <v>女性</v>
      </c>
      <c r="L65" s="66">
        <f>IFERROR(VLOOKUP(D65,input_2!L:R,7,FALSE),VLOOKUP(tables_2!B65,input_2!A:H,8,FALSE))</f>
        <v>46657</v>
      </c>
      <c r="M65" s="67">
        <f t="shared" si="0"/>
        <v>8.9814814814814813E-4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s="9" customFormat="1" ht="21" customHeight="1" thickBot="1">
      <c r="A66" s="2">
        <f>input_2!A$2</f>
        <v>3122</v>
      </c>
      <c r="B66" s="7" t="str">
        <f t="shared" si="1"/>
        <v>Premium3</v>
      </c>
      <c r="C66" s="7" t="str">
        <f t="shared" si="2"/>
        <v>Premium</v>
      </c>
      <c r="D66" s="6">
        <v>190</v>
      </c>
      <c r="E66" s="7" t="str">
        <f>VLOOKUP(D66,[1]characters!$A:$C,3,FALSE)</f>
        <v>卑弥呼</v>
      </c>
      <c r="F66" s="7" t="str">
        <f>VLOOKUP(D66,[1]characters!$A:$J,10,FALSE)</f>
        <v>PremiumN</v>
      </c>
      <c r="G66" s="7">
        <f>VLOOKUP(D66,[1]characters!$A:$I,9,FALSE)</f>
        <v>3</v>
      </c>
      <c r="H66" s="7" t="str">
        <f>VLOOKUP(D66,[1]characters!$A:$H,8,FALSE)</f>
        <v>red</v>
      </c>
      <c r="I66" s="7" t="str">
        <f>VLOOKUP(D66,[1]characters!$A:$K,11,FALSE)</f>
        <v>balance</v>
      </c>
      <c r="J66" s="7" t="str">
        <f>VLOOKUP(D66,[1]characters!$A:$M,13,FALSE)</f>
        <v>human</v>
      </c>
      <c r="K66" s="7" t="str">
        <f>VLOOKUP(D66,[1]characters!$A:$G,7,FALSE)</f>
        <v>女性</v>
      </c>
      <c r="L66" s="66">
        <f>IFERROR(VLOOKUP(D66,input_2!L:R,7,FALSE),VLOOKUP(tables_2!B66,input_2!A:H,8,FALSE))</f>
        <v>351000</v>
      </c>
      <c r="M66" s="67">
        <f t="shared" ref="M66:M129" si="3">L66/SUM(L:L)</f>
        <v>6.7567567567567571E-3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customHeight="1">
      <c r="A67" s="2">
        <f>input_2!A$2</f>
        <v>3122</v>
      </c>
      <c r="B67" s="7" t="str">
        <f t="shared" ref="B67:B130" si="4">C67&amp;G67</f>
        <v>Premium4</v>
      </c>
      <c r="C67" s="7" t="str">
        <f t="shared" ref="C67:C130" si="5">IF(F67="PremiumSS",F67,IF(F67="PremiumSSS",F67,"Premium"))</f>
        <v>Premium</v>
      </c>
      <c r="D67" s="6">
        <v>191</v>
      </c>
      <c r="E67" s="7" t="str">
        <f>VLOOKUP(D67,[1]characters!$A:$C,3,FALSE)</f>
        <v>始祖 卑弥呼</v>
      </c>
      <c r="F67" s="7" t="str">
        <f>VLOOKUP(D67,[1]characters!$A:$J,10,FALSE)</f>
        <v>PremiumN</v>
      </c>
      <c r="G67" s="7">
        <f>VLOOKUP(D67,[1]characters!$A:$I,9,FALSE)</f>
        <v>4</v>
      </c>
      <c r="H67" s="7" t="str">
        <f>VLOOKUP(D67,[1]characters!$A:$H,8,FALSE)</f>
        <v>red</v>
      </c>
      <c r="I67" s="7" t="str">
        <f>VLOOKUP(D67,[1]characters!$A:$K,11,FALSE)</f>
        <v>balance</v>
      </c>
      <c r="J67" s="7" t="str">
        <f>VLOOKUP(D67,[1]characters!$A:$M,13,FALSE)</f>
        <v>human</v>
      </c>
      <c r="K67" s="7" t="str">
        <f>VLOOKUP(D67,[1]characters!$A:$G,7,FALSE)</f>
        <v>女性</v>
      </c>
      <c r="L67" s="66">
        <f>IFERROR(VLOOKUP(D67,input_2!L:R,7,FALSE),VLOOKUP(tables_2!B67,input_2!A:H,8,FALSE))</f>
        <v>306423</v>
      </c>
      <c r="M67" s="67">
        <f t="shared" si="3"/>
        <v>5.8986486486486489E-3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customHeight="1">
      <c r="A68" s="2">
        <f>input_2!A$2</f>
        <v>3122</v>
      </c>
      <c r="B68" s="7" t="str">
        <f t="shared" si="4"/>
        <v>Premium5</v>
      </c>
      <c r="C68" s="7" t="str">
        <f t="shared" si="5"/>
        <v>Premium</v>
      </c>
      <c r="D68" s="6">
        <v>192</v>
      </c>
      <c r="E68" s="7" t="str">
        <f>VLOOKUP(D68,[1]characters!$A:$C,3,FALSE)</f>
        <v>荘厳なる始祖帝 卑弥呼</v>
      </c>
      <c r="F68" s="7" t="str">
        <f>VLOOKUP(D68,[1]characters!$A:$J,10,FALSE)</f>
        <v>PremiumN</v>
      </c>
      <c r="G68" s="7">
        <f>VLOOKUP(D68,[1]characters!$A:$I,9,FALSE)</f>
        <v>5</v>
      </c>
      <c r="H68" s="7" t="str">
        <f>VLOOKUP(D68,[1]characters!$A:$H,8,FALSE)</f>
        <v>red</v>
      </c>
      <c r="I68" s="7" t="str">
        <f>VLOOKUP(D68,[1]characters!$A:$K,11,FALSE)</f>
        <v>balance</v>
      </c>
      <c r="J68" s="7" t="str">
        <f>VLOOKUP(D68,[1]characters!$A:$M,13,FALSE)</f>
        <v>human</v>
      </c>
      <c r="K68" s="7" t="str">
        <f>VLOOKUP(D68,[1]characters!$A:$G,7,FALSE)</f>
        <v>女性</v>
      </c>
      <c r="L68" s="66">
        <f>IFERROR(VLOOKUP(D68,input_2!L:R,7,FALSE),VLOOKUP(tables_2!B68,input_2!A:H,8,FALSE))</f>
        <v>46657</v>
      </c>
      <c r="M68" s="67">
        <f t="shared" si="3"/>
        <v>8.9814814814814813E-4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customHeight="1">
      <c r="A69" s="2">
        <f>input_2!A$2</f>
        <v>3122</v>
      </c>
      <c r="B69" s="7" t="str">
        <f t="shared" si="4"/>
        <v>Premium3</v>
      </c>
      <c r="C69" s="7" t="str">
        <f t="shared" si="5"/>
        <v>Premium</v>
      </c>
      <c r="D69" s="6">
        <v>193</v>
      </c>
      <c r="E69" s="7" t="str">
        <f>VLOOKUP(D69,[1]characters!$A:$C,3,FALSE)</f>
        <v>ロビンフッド</v>
      </c>
      <c r="F69" s="7" t="str">
        <f>VLOOKUP(D69,[1]characters!$A:$J,10,FALSE)</f>
        <v>PremiumN</v>
      </c>
      <c r="G69" s="7">
        <f>VLOOKUP(D69,[1]characters!$A:$I,9,FALSE)</f>
        <v>3</v>
      </c>
      <c r="H69" s="7" t="str">
        <f>VLOOKUP(D69,[1]characters!$A:$H,8,FALSE)</f>
        <v>green</v>
      </c>
      <c r="I69" s="7" t="str">
        <f>VLOOKUP(D69,[1]characters!$A:$K,11,FALSE)</f>
        <v>balance</v>
      </c>
      <c r="J69" s="7" t="str">
        <f>VLOOKUP(D69,[1]characters!$A:$M,13,FALSE)</f>
        <v>human</v>
      </c>
      <c r="K69" s="7" t="str">
        <f>VLOOKUP(D69,[1]characters!$A:$G,7,FALSE)</f>
        <v>女性</v>
      </c>
      <c r="L69" s="66">
        <f>IFERROR(VLOOKUP(D69,input_2!L:R,7,FALSE),VLOOKUP(tables_2!B69,input_2!A:H,8,FALSE))</f>
        <v>351000</v>
      </c>
      <c r="M69" s="67">
        <f t="shared" si="3"/>
        <v>6.7567567567567571E-3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customHeight="1">
      <c r="A70" s="2">
        <f>input_2!A$2</f>
        <v>3122</v>
      </c>
      <c r="B70" s="7" t="str">
        <f t="shared" si="4"/>
        <v>Premium4</v>
      </c>
      <c r="C70" s="7" t="str">
        <f t="shared" si="5"/>
        <v>Premium</v>
      </c>
      <c r="D70" s="10">
        <v>194</v>
      </c>
      <c r="E70" s="7" t="str">
        <f>VLOOKUP(D70,[1]characters!$A:$C,3,FALSE)</f>
        <v>スナイパー ロビンフッド</v>
      </c>
      <c r="F70" s="7" t="str">
        <f>VLOOKUP(D70,[1]characters!$A:$J,10,FALSE)</f>
        <v>PremiumN</v>
      </c>
      <c r="G70" s="7">
        <f>VLOOKUP(D70,[1]characters!$A:$I,9,FALSE)</f>
        <v>4</v>
      </c>
      <c r="H70" s="7" t="str">
        <f>VLOOKUP(D70,[1]characters!$A:$H,8,FALSE)</f>
        <v>green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女性</v>
      </c>
      <c r="L70" s="66">
        <f>IFERROR(VLOOKUP(D70,input_2!L:R,7,FALSE),VLOOKUP(tables_2!B70,input_2!A:H,8,FALSE))</f>
        <v>306423</v>
      </c>
      <c r="M70" s="67">
        <f t="shared" si="3"/>
        <v>5.8986486486486489E-3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customHeight="1">
      <c r="A71" s="2">
        <f>input_2!A$2</f>
        <v>3122</v>
      </c>
      <c r="B71" s="7" t="str">
        <f t="shared" si="4"/>
        <v>Premium5</v>
      </c>
      <c r="C71" s="7" t="str">
        <f t="shared" si="5"/>
        <v>Premium</v>
      </c>
      <c r="D71" s="6">
        <v>195</v>
      </c>
      <c r="E71" s="7" t="str">
        <f>VLOOKUP(D71,[1]characters!$A:$C,3,FALSE)</f>
        <v>グランドハンター ロビンフッド</v>
      </c>
      <c r="F71" s="7" t="str">
        <f>VLOOKUP(D71,[1]characters!$A:$J,10,FALSE)</f>
        <v>PremiumN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balance</v>
      </c>
      <c r="J71" s="7" t="str">
        <f>VLOOKUP(D71,[1]characters!$A:$M,13,FALSE)</f>
        <v>human</v>
      </c>
      <c r="K71" s="7" t="str">
        <f>VLOOKUP(D71,[1]characters!$A:$G,7,FALSE)</f>
        <v>女性</v>
      </c>
      <c r="L71" s="66">
        <f>IFERROR(VLOOKUP(D71,input_2!L:R,7,FALSE),VLOOKUP(tables_2!B71,input_2!A:H,8,FALSE))</f>
        <v>46657</v>
      </c>
      <c r="M71" s="67">
        <f t="shared" si="3"/>
        <v>8.9814814814814813E-4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customHeight="1">
      <c r="A72" s="2">
        <f>input_2!A$2</f>
        <v>3122</v>
      </c>
      <c r="B72" s="7" t="str">
        <f t="shared" si="4"/>
        <v>Premium3</v>
      </c>
      <c r="C72" s="7" t="str">
        <f t="shared" si="5"/>
        <v>Premium</v>
      </c>
      <c r="D72" s="10">
        <v>196</v>
      </c>
      <c r="E72" s="7" t="str">
        <f>VLOOKUP(D72,[1]characters!$A:$C,3,FALSE)</f>
        <v>アキレス</v>
      </c>
      <c r="F72" s="7" t="str">
        <f>VLOOKUP(D72,[1]characters!$A:$J,10,FALSE)</f>
        <v>PremiumN</v>
      </c>
      <c r="G72" s="7">
        <f>VLOOKUP(D72,[1]characters!$A:$I,9,FALSE)</f>
        <v>3</v>
      </c>
      <c r="H72" s="7" t="str">
        <f>VLOOKUP(D72,[1]characters!$A:$H,8,FALSE)</f>
        <v>yellow</v>
      </c>
      <c r="I72" s="7" t="str">
        <f>VLOOKUP(D72,[1]characters!$A:$K,11,FALSE)</f>
        <v>balance</v>
      </c>
      <c r="J72" s="7" t="str">
        <f>VLOOKUP(D72,[1]characters!$A:$M,13,FALSE)</f>
        <v>human</v>
      </c>
      <c r="K72" s="7" t="str">
        <f>VLOOKUP(D72,[1]characters!$A:$G,7,FALSE)</f>
        <v>女性</v>
      </c>
      <c r="L72" s="66">
        <f>IFERROR(VLOOKUP(D72,input_2!L:R,7,FALSE),VLOOKUP(tables_2!B72,input_2!A:H,8,FALSE))</f>
        <v>351000</v>
      </c>
      <c r="M72" s="67">
        <f t="shared" si="3"/>
        <v>6.7567567567567571E-3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customHeight="1">
      <c r="A73" s="2">
        <f>input_2!A$2</f>
        <v>3122</v>
      </c>
      <c r="B73" s="7" t="str">
        <f t="shared" si="4"/>
        <v>Premium4</v>
      </c>
      <c r="C73" s="7" t="str">
        <f t="shared" si="5"/>
        <v>Premium</v>
      </c>
      <c r="D73" s="11">
        <v>197</v>
      </c>
      <c r="E73" s="7" t="str">
        <f>VLOOKUP(D73,[1]characters!$A:$C,3,FALSE)</f>
        <v>鉄腕 アキレス</v>
      </c>
      <c r="F73" s="7" t="str">
        <f>VLOOKUP(D73,[1]characters!$A:$J,10,FALSE)</f>
        <v>PremiumN</v>
      </c>
      <c r="G73" s="7">
        <f>VLOOKUP(D73,[1]characters!$A:$I,9,FALSE)</f>
        <v>4</v>
      </c>
      <c r="H73" s="7" t="str">
        <f>VLOOKUP(D73,[1]characters!$A:$H,8,FALSE)</f>
        <v>yellow</v>
      </c>
      <c r="I73" s="7" t="str">
        <f>VLOOKUP(D73,[1]characters!$A:$K,11,FALSE)</f>
        <v>balance</v>
      </c>
      <c r="J73" s="7" t="str">
        <f>VLOOKUP(D73,[1]characters!$A:$M,13,FALSE)</f>
        <v>human</v>
      </c>
      <c r="K73" s="7" t="str">
        <f>VLOOKUP(D73,[1]characters!$A:$G,7,FALSE)</f>
        <v>女性</v>
      </c>
      <c r="L73" s="66">
        <f>IFERROR(VLOOKUP(D73,input_2!L:R,7,FALSE),VLOOKUP(tables_2!B73,input_2!A:H,8,FALSE))</f>
        <v>306423</v>
      </c>
      <c r="M73" s="67">
        <f t="shared" si="3"/>
        <v>5.8986486486486489E-3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customHeight="1">
      <c r="A74" s="2">
        <f>input_2!A$2</f>
        <v>3122</v>
      </c>
      <c r="B74" s="7" t="str">
        <f t="shared" si="4"/>
        <v>Premium5</v>
      </c>
      <c r="C74" s="7" t="str">
        <f t="shared" si="5"/>
        <v>Premium</v>
      </c>
      <c r="D74" s="6">
        <v>198</v>
      </c>
      <c r="E74" s="7" t="str">
        <f>VLOOKUP(D74,[1]characters!$A:$C,3,FALSE)</f>
        <v>砕骨の剛腕 アキレス</v>
      </c>
      <c r="F74" s="7" t="str">
        <f>VLOOKUP(D74,[1]characters!$A:$J,10,FALSE)</f>
        <v>PremiumN</v>
      </c>
      <c r="G74" s="7">
        <f>VLOOKUP(D74,[1]characters!$A:$I,9,FALSE)</f>
        <v>5</v>
      </c>
      <c r="H74" s="7" t="str">
        <f>VLOOKUP(D74,[1]characters!$A:$H,8,FALSE)</f>
        <v>yellow</v>
      </c>
      <c r="I74" s="7" t="str">
        <f>VLOOKUP(D74,[1]characters!$A:$K,11,FALSE)</f>
        <v>balance</v>
      </c>
      <c r="J74" s="7" t="str">
        <f>VLOOKUP(D74,[1]characters!$A:$M,13,FALSE)</f>
        <v>human</v>
      </c>
      <c r="K74" s="7" t="str">
        <f>VLOOKUP(D74,[1]characters!$A:$G,7,FALSE)</f>
        <v>女性</v>
      </c>
      <c r="L74" s="66">
        <f>IFERROR(VLOOKUP(D74,input_2!L:R,7,FALSE),VLOOKUP(tables_2!B74,input_2!A:H,8,FALSE))</f>
        <v>46657</v>
      </c>
      <c r="M74" s="67">
        <f t="shared" si="3"/>
        <v>8.9814814814814813E-4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customHeight="1">
      <c r="A75" s="2">
        <f>input_2!A$2</f>
        <v>3122</v>
      </c>
      <c r="B75" s="7" t="str">
        <f t="shared" si="4"/>
        <v>Premium3</v>
      </c>
      <c r="C75" s="7" t="str">
        <f t="shared" si="5"/>
        <v>Premium</v>
      </c>
      <c r="D75" s="6">
        <v>199</v>
      </c>
      <c r="E75" s="7" t="str">
        <f>VLOOKUP(D75,[1]characters!$A:$C,3,FALSE)</f>
        <v>ジークフリート</v>
      </c>
      <c r="F75" s="7" t="str">
        <f>VLOOKUP(D75,[1]characters!$A:$J,10,FALSE)</f>
        <v>PremiumN</v>
      </c>
      <c r="G75" s="7">
        <f>VLOOKUP(D75,[1]characters!$A:$I,9,FALSE)</f>
        <v>3</v>
      </c>
      <c r="H75" s="7" t="str">
        <f>VLOOKUP(D75,[1]characters!$A:$H,8,FALSE)</f>
        <v>blue</v>
      </c>
      <c r="I75" s="7" t="str">
        <f>VLOOKUP(D75,[1]characters!$A:$K,11,FALSE)</f>
        <v>balance</v>
      </c>
      <c r="J75" s="7" t="str">
        <f>VLOOKUP(D75,[1]characters!$A:$M,13,FALSE)</f>
        <v>human</v>
      </c>
      <c r="K75" s="7" t="str">
        <f>VLOOKUP(D75,[1]characters!$A:$G,7,FALSE)</f>
        <v>男性</v>
      </c>
      <c r="L75" s="66">
        <f>IFERROR(VLOOKUP(D75,input_2!L:R,7,FALSE),VLOOKUP(tables_2!B75,input_2!A:H,8,FALSE))</f>
        <v>351000</v>
      </c>
      <c r="M75" s="67">
        <f t="shared" si="3"/>
        <v>6.7567567567567571E-3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customHeight="1">
      <c r="A76" s="2">
        <f>input_2!A$2</f>
        <v>3122</v>
      </c>
      <c r="B76" s="7" t="str">
        <f t="shared" si="4"/>
        <v>Premium4</v>
      </c>
      <c r="C76" s="7" t="str">
        <f t="shared" si="5"/>
        <v>Premium</v>
      </c>
      <c r="D76" s="6">
        <v>200</v>
      </c>
      <c r="E76" s="7" t="str">
        <f>VLOOKUP(D76,[1]characters!$A:$C,3,FALSE)</f>
        <v>大剣士 ジークフリート</v>
      </c>
      <c r="F76" s="7" t="str">
        <f>VLOOKUP(D76,[1]characters!$A:$J,10,FALSE)</f>
        <v>PremiumN</v>
      </c>
      <c r="G76" s="7">
        <f>VLOOKUP(D76,[1]characters!$A:$I,9,FALSE)</f>
        <v>4</v>
      </c>
      <c r="H76" s="7" t="str">
        <f>VLOOKUP(D76,[1]characters!$A:$H,8,FALSE)</f>
        <v>blue</v>
      </c>
      <c r="I76" s="7" t="str">
        <f>VLOOKUP(D76,[1]characters!$A:$K,11,FALSE)</f>
        <v>balance</v>
      </c>
      <c r="J76" s="7" t="str">
        <f>VLOOKUP(D76,[1]characters!$A:$M,13,FALSE)</f>
        <v>human</v>
      </c>
      <c r="K76" s="7" t="str">
        <f>VLOOKUP(D76,[1]characters!$A:$G,7,FALSE)</f>
        <v>男性</v>
      </c>
      <c r="L76" s="66">
        <f>IFERROR(VLOOKUP(D76,input_2!L:R,7,FALSE),VLOOKUP(tables_2!B76,input_2!A:H,8,FALSE))</f>
        <v>306423</v>
      </c>
      <c r="M76" s="67">
        <f t="shared" si="3"/>
        <v>5.8986486486486489E-3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customHeight="1">
      <c r="A77" s="2">
        <f>input_2!A$2</f>
        <v>3122</v>
      </c>
      <c r="B77" s="7" t="str">
        <f t="shared" si="4"/>
        <v>Premium5</v>
      </c>
      <c r="C77" s="7" t="str">
        <f t="shared" si="5"/>
        <v>Premium</v>
      </c>
      <c r="D77" s="5">
        <v>201</v>
      </c>
      <c r="E77" s="7" t="str">
        <f>VLOOKUP(D77,[1]characters!$A:$C,3,FALSE)</f>
        <v>斬空の大破剣 ジークフリート</v>
      </c>
      <c r="F77" s="7" t="str">
        <f>VLOOKUP(D77,[1]characters!$A:$J,10,FALSE)</f>
        <v>PremiumN</v>
      </c>
      <c r="G77" s="7">
        <f>VLOOKUP(D77,[1]characters!$A:$I,9,FALSE)</f>
        <v>5</v>
      </c>
      <c r="H77" s="7" t="str">
        <f>VLOOKUP(D77,[1]characters!$A:$H,8,FALSE)</f>
        <v>blue</v>
      </c>
      <c r="I77" s="7" t="str">
        <f>VLOOKUP(D77,[1]characters!$A:$K,11,FALSE)</f>
        <v>balance</v>
      </c>
      <c r="J77" s="7" t="str">
        <f>VLOOKUP(D77,[1]characters!$A:$M,13,FALSE)</f>
        <v>human</v>
      </c>
      <c r="K77" s="7" t="str">
        <f>VLOOKUP(D77,[1]characters!$A:$G,7,FALSE)</f>
        <v>男性</v>
      </c>
      <c r="L77" s="66">
        <f>IFERROR(VLOOKUP(D77,input_2!L:R,7,FALSE),VLOOKUP(tables_2!B77,input_2!A:H,8,FALSE))</f>
        <v>46657</v>
      </c>
      <c r="M77" s="67">
        <f t="shared" si="3"/>
        <v>8.9814814814814813E-4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customHeight="1">
      <c r="A78" s="2">
        <f>input_2!A$2</f>
        <v>3122</v>
      </c>
      <c r="B78" s="7" t="str">
        <f t="shared" si="4"/>
        <v>Premium3</v>
      </c>
      <c r="C78" s="7" t="str">
        <f t="shared" si="5"/>
        <v>Premium</v>
      </c>
      <c r="D78" s="5">
        <v>202</v>
      </c>
      <c r="E78" s="7" t="str">
        <f>VLOOKUP(D78,[1]characters!$A:$C,3,FALSE)</f>
        <v>プロメテウス</v>
      </c>
      <c r="F78" s="7" t="str">
        <f>VLOOKUP(D78,[1]characters!$A:$J,10,FALSE)</f>
        <v>PremiumN</v>
      </c>
      <c r="G78" s="7">
        <f>VLOOKUP(D78,[1]characters!$A:$I,9,FALSE)</f>
        <v>3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66">
        <f>IFERROR(VLOOKUP(D78,input_2!L:R,7,FALSE),VLOOKUP(tables_2!B78,input_2!A:H,8,FALSE))</f>
        <v>351000</v>
      </c>
      <c r="M78" s="67">
        <f t="shared" si="3"/>
        <v>6.7567567567567571E-3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customHeight="1">
      <c r="A79" s="2">
        <f>input_2!A$2</f>
        <v>3122</v>
      </c>
      <c r="B79" s="7" t="str">
        <f t="shared" si="4"/>
        <v>Premium4</v>
      </c>
      <c r="C79" s="7" t="str">
        <f t="shared" si="5"/>
        <v>Premium</v>
      </c>
      <c r="D79" s="5">
        <v>203</v>
      </c>
      <c r="E79" s="7" t="str">
        <f>VLOOKUP(D79,[1]characters!$A:$C,3,FALSE)</f>
        <v>焔神 プロメテウス</v>
      </c>
      <c r="F79" s="7" t="str">
        <f>VLOOKUP(D79,[1]characters!$A:$J,10,FALSE)</f>
        <v>PremiumN</v>
      </c>
      <c r="G79" s="7">
        <f>VLOOKUP(D79,[1]characters!$A:$I,9,FALSE)</f>
        <v>4</v>
      </c>
      <c r="H79" s="7" t="str">
        <f>VLOOKUP(D79,[1]characters!$A:$H,8,FALSE)</f>
        <v>red</v>
      </c>
      <c r="I79" s="7" t="str">
        <f>VLOOKUP(D79,[1]characters!$A:$K,11,FALSE)</f>
        <v>hp</v>
      </c>
      <c r="J79" s="7" t="str">
        <f>VLOOKUP(D79,[1]characters!$A:$M,13,FALSE)</f>
        <v>god</v>
      </c>
      <c r="K79" s="7" t="str">
        <f>VLOOKUP(D79,[1]characters!$A:$G,7,FALSE)</f>
        <v>男性</v>
      </c>
      <c r="L79" s="66">
        <f>IFERROR(VLOOKUP(D79,input_2!L:R,7,FALSE),VLOOKUP(tables_2!B79,input_2!A:H,8,FALSE))</f>
        <v>306423</v>
      </c>
      <c r="M79" s="67">
        <f t="shared" si="3"/>
        <v>5.8986486486486489E-3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customHeight="1">
      <c r="A80" s="2">
        <f>input_2!A$2</f>
        <v>3122</v>
      </c>
      <c r="B80" s="7" t="str">
        <f t="shared" si="4"/>
        <v>Premium5</v>
      </c>
      <c r="C80" s="7" t="str">
        <f t="shared" si="5"/>
        <v>Premium</v>
      </c>
      <c r="D80" s="5">
        <v>204</v>
      </c>
      <c r="E80" s="7" t="str">
        <f>VLOOKUP(D80,[1]characters!$A:$C,3,FALSE)</f>
        <v>慟哭の巨焔 プロメテウス</v>
      </c>
      <c r="F80" s="7" t="str">
        <f>VLOOKUP(D80,[1]characters!$A:$J,10,FALSE)</f>
        <v>PremiumN</v>
      </c>
      <c r="G80" s="7">
        <f>VLOOKUP(D80,[1]characters!$A:$I,9,FALSE)</f>
        <v>5</v>
      </c>
      <c r="H80" s="7" t="str">
        <f>VLOOKUP(D80,[1]characters!$A:$H,8,FALSE)</f>
        <v>red</v>
      </c>
      <c r="I80" s="7" t="str">
        <f>VLOOKUP(D80,[1]characters!$A:$K,11,FALSE)</f>
        <v>hp</v>
      </c>
      <c r="J80" s="7" t="str">
        <f>VLOOKUP(D80,[1]characters!$A:$M,13,FALSE)</f>
        <v>god</v>
      </c>
      <c r="K80" s="7" t="str">
        <f>VLOOKUP(D80,[1]characters!$A:$G,7,FALSE)</f>
        <v>男性</v>
      </c>
      <c r="L80" s="66">
        <f>IFERROR(VLOOKUP(D80,input_2!L:R,7,FALSE),VLOOKUP(tables_2!B80,input_2!A:H,8,FALSE))</f>
        <v>46657</v>
      </c>
      <c r="M80" s="67">
        <f t="shared" si="3"/>
        <v>8.9814814814814813E-4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customHeight="1">
      <c r="A81" s="2">
        <f>input_2!A$2</f>
        <v>3122</v>
      </c>
      <c r="B81" s="7" t="str">
        <f t="shared" si="4"/>
        <v>Premium3</v>
      </c>
      <c r="C81" s="7" t="str">
        <f t="shared" si="5"/>
        <v>Premium</v>
      </c>
      <c r="D81" s="5">
        <v>205</v>
      </c>
      <c r="E81" s="7" t="str">
        <f>VLOOKUP(D81,[1]characters!$A:$C,3,FALSE)</f>
        <v>アフロディーテ</v>
      </c>
      <c r="F81" s="7" t="str">
        <f>VLOOKUP(D81,[1]characters!$A:$J,10,FALSE)</f>
        <v>PremiumN</v>
      </c>
      <c r="G81" s="7">
        <f>VLOOKUP(D81,[1]characters!$A:$I,9,FALSE)</f>
        <v>3</v>
      </c>
      <c r="H81" s="7" t="str">
        <f>VLOOKUP(D81,[1]characters!$A:$H,8,FALSE)</f>
        <v>green</v>
      </c>
      <c r="I81" s="7" t="str">
        <f>VLOOKUP(D81,[1]characters!$A:$K,11,FALSE)</f>
        <v>hp</v>
      </c>
      <c r="J81" s="7" t="str">
        <f>VLOOKUP(D81,[1]characters!$A:$M,13,FALSE)</f>
        <v>god</v>
      </c>
      <c r="K81" s="7" t="str">
        <f>VLOOKUP(D81,[1]characters!$A:$G,7,FALSE)</f>
        <v>女性</v>
      </c>
      <c r="L81" s="66">
        <f>IFERROR(VLOOKUP(D81,input_2!L:R,7,FALSE),VLOOKUP(tables_2!B81,input_2!A:H,8,FALSE))</f>
        <v>351000</v>
      </c>
      <c r="M81" s="67">
        <f t="shared" si="3"/>
        <v>6.7567567567567571E-3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  <row r="82" spans="1:19" ht="21" customHeight="1">
      <c r="A82" s="2">
        <f>input_2!A$2</f>
        <v>3122</v>
      </c>
      <c r="B82" s="7" t="str">
        <f t="shared" si="4"/>
        <v>Premium4</v>
      </c>
      <c r="C82" s="7" t="str">
        <f t="shared" si="5"/>
        <v>Premium</v>
      </c>
      <c r="D82" s="5">
        <v>206</v>
      </c>
      <c r="E82" s="7" t="str">
        <f>VLOOKUP(D82,[1]characters!$A:$C,3,FALSE)</f>
        <v>美神 アフロディーテ</v>
      </c>
      <c r="F82" s="7" t="str">
        <f>VLOOKUP(D82,[1]characters!$A:$J,10,FALSE)</f>
        <v>PremiumN</v>
      </c>
      <c r="G82" s="7">
        <f>VLOOKUP(D82,[1]characters!$A:$I,9,FALSE)</f>
        <v>4</v>
      </c>
      <c r="H82" s="7" t="str">
        <f>VLOOKUP(D82,[1]characters!$A:$H,8,FALSE)</f>
        <v>green</v>
      </c>
      <c r="I82" s="7" t="str">
        <f>VLOOKUP(D82,[1]characters!$A:$K,11,FALSE)</f>
        <v>hp</v>
      </c>
      <c r="J82" s="7" t="str">
        <f>VLOOKUP(D82,[1]characters!$A:$M,13,FALSE)</f>
        <v>god</v>
      </c>
      <c r="K82" s="7" t="str">
        <f>VLOOKUP(D82,[1]characters!$A:$G,7,FALSE)</f>
        <v>女性</v>
      </c>
      <c r="L82" s="66">
        <f>IFERROR(VLOOKUP(D82,input_2!L:R,7,FALSE),VLOOKUP(tables_2!B82,input_2!A:H,8,FALSE))</f>
        <v>306423</v>
      </c>
      <c r="M82" s="67">
        <f t="shared" si="3"/>
        <v>5.8986486486486489E-3</v>
      </c>
      <c r="N82" s="31">
        <f>IFERROR(VLOOKUP($D82,bug_conf_sheet!$A:$H,3,FALSE),VLOOKUP("other",bug_conf_sheet!$A:$H,3,FALSE))</f>
        <v>1</v>
      </c>
      <c r="O82" s="31">
        <f>IFERROR(VLOOKUP($D82,bug_conf_sheet!$A:$H,4,FALSE),VLOOKUP("other",bug_conf_sheet!$A:$H,4,FALSE))</f>
        <v>0</v>
      </c>
      <c r="P82" s="31">
        <f>IFERROR(VLOOKUP($D82,bug_conf_sheet!$A:$H,5,FALSE),VLOOKUP("other",bug_conf_sheet!$A:$H,5,FALSE))</f>
        <v>0</v>
      </c>
      <c r="Q82" s="31">
        <f>IFERROR(VLOOKUP($D82,bug_conf_sheet!$A:$H,6,FALSE),VLOOKUP("other",bug_conf_sheet!$A:$H,6,FALSE))</f>
        <v>0</v>
      </c>
      <c r="R82" s="31">
        <f>IFERROR(VLOOKUP($D82,bug_conf_sheet!$A:$H,7,FALSE),VLOOKUP("other",bug_conf_sheet!$A:$H,7,FALSE))</f>
        <v>0</v>
      </c>
      <c r="S82" s="31">
        <f>IFERROR(VLOOKUP($D82,bug_conf_sheet!$A:$H,8,FALSE),VLOOKUP("other",bug_conf_sheet!$A:$H,8,FALSE))</f>
        <v>1</v>
      </c>
    </row>
    <row r="83" spans="1:19" ht="21" customHeight="1">
      <c r="A83" s="2">
        <f>input_2!A$2</f>
        <v>3122</v>
      </c>
      <c r="B83" s="7" t="str">
        <f t="shared" si="4"/>
        <v>Premium5</v>
      </c>
      <c r="C83" s="7" t="str">
        <f t="shared" si="5"/>
        <v>Premium</v>
      </c>
      <c r="D83" s="5">
        <v>207</v>
      </c>
      <c r="E83" s="7" t="str">
        <f>VLOOKUP(D83,[1]characters!$A:$C,3,FALSE)</f>
        <v>豊穣の麗神・アフロディーテ</v>
      </c>
      <c r="F83" s="7" t="str">
        <f>VLOOKUP(D83,[1]characters!$A:$J,10,FALSE)</f>
        <v>PremiumN</v>
      </c>
      <c r="G83" s="7">
        <f>VLOOKUP(D83,[1]characters!$A:$I,9,FALSE)</f>
        <v>5</v>
      </c>
      <c r="H83" s="7" t="str">
        <f>VLOOKUP(D83,[1]characters!$A:$H,8,FALSE)</f>
        <v>green</v>
      </c>
      <c r="I83" s="7" t="str">
        <f>VLOOKUP(D83,[1]characters!$A:$K,11,FALSE)</f>
        <v>hp</v>
      </c>
      <c r="J83" s="7" t="str">
        <f>VLOOKUP(D83,[1]characters!$A:$M,13,FALSE)</f>
        <v>god</v>
      </c>
      <c r="K83" s="7" t="str">
        <f>VLOOKUP(D83,[1]characters!$A:$G,7,FALSE)</f>
        <v>女性</v>
      </c>
      <c r="L83" s="66">
        <f>IFERROR(VLOOKUP(D83,input_2!L:R,7,FALSE),VLOOKUP(tables_2!B83,input_2!A:H,8,FALSE))</f>
        <v>46657</v>
      </c>
      <c r="M83" s="67">
        <f t="shared" si="3"/>
        <v>8.9814814814814813E-4</v>
      </c>
      <c r="N83" s="31">
        <f>IFERROR(VLOOKUP($D83,bug_conf_sheet!$A:$H,3,FALSE),VLOOKUP("other",bug_conf_sheet!$A:$H,3,FALSE))</f>
        <v>1</v>
      </c>
      <c r="O83" s="31">
        <f>IFERROR(VLOOKUP($D83,bug_conf_sheet!$A:$H,4,FALSE),VLOOKUP("other",bug_conf_sheet!$A:$H,4,FALSE))</f>
        <v>0</v>
      </c>
      <c r="P83" s="31">
        <f>IFERROR(VLOOKUP($D83,bug_conf_sheet!$A:$H,5,FALSE),VLOOKUP("other",bug_conf_sheet!$A:$H,5,FALSE))</f>
        <v>0</v>
      </c>
      <c r="Q83" s="31">
        <f>IFERROR(VLOOKUP($D83,bug_conf_sheet!$A:$H,6,FALSE),VLOOKUP("other",bug_conf_sheet!$A:$H,6,FALSE))</f>
        <v>0</v>
      </c>
      <c r="R83" s="31">
        <f>IFERROR(VLOOKUP($D83,bug_conf_sheet!$A:$H,7,FALSE),VLOOKUP("other",bug_conf_sheet!$A:$H,7,FALSE))</f>
        <v>0</v>
      </c>
      <c r="S83" s="31">
        <f>IFERROR(VLOOKUP($D83,bug_conf_sheet!$A:$H,8,FALSE),VLOOKUP("other",bug_conf_sheet!$A:$H,8,FALSE))</f>
        <v>1</v>
      </c>
    </row>
    <row r="84" spans="1:19" ht="21" customHeight="1">
      <c r="A84" s="2">
        <f>input_2!A$2</f>
        <v>3122</v>
      </c>
      <c r="B84" s="7" t="str">
        <f t="shared" si="4"/>
        <v>Premium3</v>
      </c>
      <c r="C84" s="7" t="str">
        <f t="shared" si="5"/>
        <v>Premium</v>
      </c>
      <c r="D84" s="5">
        <v>208</v>
      </c>
      <c r="E84" s="7" t="str">
        <f>VLOOKUP(D84,[1]characters!$A:$C,3,FALSE)</f>
        <v>テティス</v>
      </c>
      <c r="F84" s="7" t="str">
        <f>VLOOKUP(D84,[1]characters!$A:$J,10,FALSE)</f>
        <v>PremiumN</v>
      </c>
      <c r="G84" s="7">
        <f>VLOOKUP(D84,[1]characters!$A:$I,9,FALSE)</f>
        <v>3</v>
      </c>
      <c r="H84" s="7" t="str">
        <f>VLOOKUP(D84,[1]characters!$A:$H,8,FALSE)</f>
        <v>blue</v>
      </c>
      <c r="I84" s="7" t="str">
        <f>VLOOKUP(D84,[1]characters!$A:$K,11,FALSE)</f>
        <v>hp</v>
      </c>
      <c r="J84" s="7" t="str">
        <f>VLOOKUP(D84,[1]characters!$A:$M,13,FALSE)</f>
        <v>god</v>
      </c>
      <c r="K84" s="7" t="str">
        <f>VLOOKUP(D84,[1]characters!$A:$G,7,FALSE)</f>
        <v>女性</v>
      </c>
      <c r="L84" s="66">
        <f>IFERROR(VLOOKUP(D84,input_2!L:R,7,FALSE),VLOOKUP(tables_2!B84,input_2!A:H,8,FALSE))</f>
        <v>351000</v>
      </c>
      <c r="M84" s="67">
        <f t="shared" si="3"/>
        <v>6.7567567567567571E-3</v>
      </c>
      <c r="N84" s="31">
        <f>IFERROR(VLOOKUP($D84,bug_conf_sheet!$A:$H,3,FALSE),VLOOKUP("other",bug_conf_sheet!$A:$H,3,FALSE))</f>
        <v>1</v>
      </c>
      <c r="O84" s="31">
        <f>IFERROR(VLOOKUP($D84,bug_conf_sheet!$A:$H,4,FALSE),VLOOKUP("other",bug_conf_sheet!$A:$H,4,FALSE))</f>
        <v>0</v>
      </c>
      <c r="P84" s="31">
        <f>IFERROR(VLOOKUP($D84,bug_conf_sheet!$A:$H,5,FALSE),VLOOKUP("other",bug_conf_sheet!$A:$H,5,FALSE))</f>
        <v>0</v>
      </c>
      <c r="Q84" s="31">
        <f>IFERROR(VLOOKUP($D84,bug_conf_sheet!$A:$H,6,FALSE),VLOOKUP("other",bug_conf_sheet!$A:$H,6,FALSE))</f>
        <v>0</v>
      </c>
      <c r="R84" s="31">
        <f>IFERROR(VLOOKUP($D84,bug_conf_sheet!$A:$H,7,FALSE),VLOOKUP("other",bug_conf_sheet!$A:$H,7,FALSE))</f>
        <v>0</v>
      </c>
      <c r="S84" s="31">
        <f>IFERROR(VLOOKUP($D84,bug_conf_sheet!$A:$H,8,FALSE),VLOOKUP("other",bug_conf_sheet!$A:$H,8,FALSE))</f>
        <v>1</v>
      </c>
    </row>
    <row r="85" spans="1:19" ht="21" customHeight="1">
      <c r="A85" s="2">
        <f>input_2!A$2</f>
        <v>3122</v>
      </c>
      <c r="B85" s="7" t="str">
        <f t="shared" si="4"/>
        <v>Premium4</v>
      </c>
      <c r="C85" s="7" t="str">
        <f t="shared" si="5"/>
        <v>Premium</v>
      </c>
      <c r="D85" s="5">
        <v>209</v>
      </c>
      <c r="E85" s="7" t="str">
        <f>VLOOKUP(D85,[1]characters!$A:$C,3,FALSE)</f>
        <v>孤神 テティス</v>
      </c>
      <c r="F85" s="7" t="str">
        <f>VLOOKUP(D85,[1]characters!$A:$J,10,FALSE)</f>
        <v>PremiumN</v>
      </c>
      <c r="G85" s="7">
        <f>VLOOKUP(D85,[1]characters!$A:$I,9,FALSE)</f>
        <v>4</v>
      </c>
      <c r="H85" s="7" t="str">
        <f>VLOOKUP(D85,[1]characters!$A:$H,8,FALSE)</f>
        <v>blue</v>
      </c>
      <c r="I85" s="7" t="str">
        <f>VLOOKUP(D85,[1]characters!$A:$K,11,FALSE)</f>
        <v>hp</v>
      </c>
      <c r="J85" s="7" t="str">
        <f>VLOOKUP(D85,[1]characters!$A:$M,13,FALSE)</f>
        <v>god</v>
      </c>
      <c r="K85" s="7" t="str">
        <f>VLOOKUP(D85,[1]characters!$A:$G,7,FALSE)</f>
        <v>女性</v>
      </c>
      <c r="L85" s="66">
        <f>IFERROR(VLOOKUP(D85,input_2!L:R,7,FALSE),VLOOKUP(tables_2!B85,input_2!A:H,8,FALSE))</f>
        <v>306423</v>
      </c>
      <c r="M85" s="67">
        <f t="shared" si="3"/>
        <v>5.8986486486486489E-3</v>
      </c>
      <c r="N85" s="31">
        <f>IFERROR(VLOOKUP($D85,bug_conf_sheet!$A:$H,3,FALSE),VLOOKUP("other",bug_conf_sheet!$A:$H,3,FALSE))</f>
        <v>1</v>
      </c>
      <c r="O85" s="31">
        <f>IFERROR(VLOOKUP($D85,bug_conf_sheet!$A:$H,4,FALSE),VLOOKUP("other",bug_conf_sheet!$A:$H,4,FALSE))</f>
        <v>0</v>
      </c>
      <c r="P85" s="31">
        <f>IFERROR(VLOOKUP($D85,bug_conf_sheet!$A:$H,5,FALSE),VLOOKUP("other",bug_conf_sheet!$A:$H,5,FALSE))</f>
        <v>0</v>
      </c>
      <c r="Q85" s="31">
        <f>IFERROR(VLOOKUP($D85,bug_conf_sheet!$A:$H,6,FALSE),VLOOKUP("other",bug_conf_sheet!$A:$H,6,FALSE))</f>
        <v>0</v>
      </c>
      <c r="R85" s="31">
        <f>IFERROR(VLOOKUP($D85,bug_conf_sheet!$A:$H,7,FALSE),VLOOKUP("other",bug_conf_sheet!$A:$H,7,FALSE))</f>
        <v>0</v>
      </c>
      <c r="S85" s="31">
        <f>IFERROR(VLOOKUP($D85,bug_conf_sheet!$A:$H,8,FALSE),VLOOKUP("other",bug_conf_sheet!$A:$H,8,FALSE))</f>
        <v>1</v>
      </c>
    </row>
    <row r="86" spans="1:19" ht="21" customHeight="1">
      <c r="A86" s="2">
        <f>input_2!A$2</f>
        <v>3122</v>
      </c>
      <c r="B86" s="7" t="str">
        <f t="shared" si="4"/>
        <v>Premium5</v>
      </c>
      <c r="C86" s="7" t="str">
        <f t="shared" si="5"/>
        <v>Premium</v>
      </c>
      <c r="D86" s="5">
        <v>210</v>
      </c>
      <c r="E86" s="7" t="str">
        <f>VLOOKUP(D86,[1]characters!$A:$C,3,FALSE)</f>
        <v>海底の孤高神 テティス</v>
      </c>
      <c r="F86" s="7" t="str">
        <f>VLOOKUP(D86,[1]characters!$A:$J,10,FALSE)</f>
        <v>PremiumN</v>
      </c>
      <c r="G86" s="7">
        <f>VLOOKUP(D86,[1]characters!$A:$I,9,FALSE)</f>
        <v>5</v>
      </c>
      <c r="H86" s="7" t="str">
        <f>VLOOKUP(D86,[1]characters!$A:$H,8,FALSE)</f>
        <v>blue</v>
      </c>
      <c r="I86" s="7" t="str">
        <f>VLOOKUP(D86,[1]characters!$A:$K,11,FALSE)</f>
        <v>hp</v>
      </c>
      <c r="J86" s="7" t="str">
        <f>VLOOKUP(D86,[1]characters!$A:$M,13,FALSE)</f>
        <v>god</v>
      </c>
      <c r="K86" s="7" t="str">
        <f>VLOOKUP(D86,[1]characters!$A:$G,7,FALSE)</f>
        <v>女性</v>
      </c>
      <c r="L86" s="66">
        <f>IFERROR(VLOOKUP(D86,input_2!L:R,7,FALSE),VLOOKUP(tables_2!B86,input_2!A:H,8,FALSE))</f>
        <v>46657</v>
      </c>
      <c r="M86" s="67">
        <f t="shared" si="3"/>
        <v>8.9814814814814813E-4</v>
      </c>
      <c r="N86" s="31">
        <f>IFERROR(VLOOKUP($D86,bug_conf_sheet!$A:$H,3,FALSE),VLOOKUP("other",bug_conf_sheet!$A:$H,3,FALSE))</f>
        <v>1</v>
      </c>
      <c r="O86" s="31">
        <f>IFERROR(VLOOKUP($D86,bug_conf_sheet!$A:$H,4,FALSE),VLOOKUP("other",bug_conf_sheet!$A:$H,4,FALSE))</f>
        <v>0</v>
      </c>
      <c r="P86" s="31">
        <f>IFERROR(VLOOKUP($D86,bug_conf_sheet!$A:$H,5,FALSE),VLOOKUP("other",bug_conf_sheet!$A:$H,5,FALSE))</f>
        <v>0</v>
      </c>
      <c r="Q86" s="31">
        <f>IFERROR(VLOOKUP($D86,bug_conf_sheet!$A:$H,6,FALSE),VLOOKUP("other",bug_conf_sheet!$A:$H,6,FALSE))</f>
        <v>0</v>
      </c>
      <c r="R86" s="31">
        <f>IFERROR(VLOOKUP($D86,bug_conf_sheet!$A:$H,7,FALSE),VLOOKUP("other",bug_conf_sheet!$A:$H,7,FALSE))</f>
        <v>0</v>
      </c>
      <c r="S86" s="31">
        <f>IFERROR(VLOOKUP($D86,bug_conf_sheet!$A:$H,8,FALSE),VLOOKUP("other",bug_conf_sheet!$A:$H,8,FALSE))</f>
        <v>1</v>
      </c>
    </row>
    <row r="87" spans="1:19" ht="21" customHeight="1">
      <c r="A87" s="2">
        <f>input_2!A$2</f>
        <v>3122</v>
      </c>
      <c r="B87" s="7" t="str">
        <f t="shared" si="4"/>
        <v>Premium3</v>
      </c>
      <c r="C87" s="7" t="str">
        <f t="shared" si="5"/>
        <v>Premium</v>
      </c>
      <c r="D87" s="5">
        <v>211</v>
      </c>
      <c r="E87" s="7" t="str">
        <f>VLOOKUP(D87,[1]characters!$A:$C,3,FALSE)</f>
        <v>アストライアー</v>
      </c>
      <c r="F87" s="7" t="str">
        <f>VLOOKUP(D87,[1]characters!$A:$J,10,FALSE)</f>
        <v>PremiumN</v>
      </c>
      <c r="G87" s="7">
        <f>VLOOKUP(D87,[1]characters!$A:$I,9,FALSE)</f>
        <v>3</v>
      </c>
      <c r="H87" s="7" t="str">
        <f>VLOOKUP(D87,[1]characters!$A:$H,8,FALSE)</f>
        <v>yellow</v>
      </c>
      <c r="I87" s="7" t="str">
        <f>VLOOKUP(D87,[1]characters!$A:$K,11,FALSE)</f>
        <v>balance</v>
      </c>
      <c r="J87" s="7" t="str">
        <f>VLOOKUP(D87,[1]characters!$A:$M,13,FALSE)</f>
        <v>god</v>
      </c>
      <c r="K87" s="7" t="str">
        <f>VLOOKUP(D87,[1]characters!$A:$G,7,FALSE)</f>
        <v>女性</v>
      </c>
      <c r="L87" s="66">
        <f>IFERROR(VLOOKUP(D87,input_2!L:R,7,FALSE),VLOOKUP(tables_2!B87,input_2!A:H,8,FALSE))</f>
        <v>351000</v>
      </c>
      <c r="M87" s="67">
        <f t="shared" si="3"/>
        <v>6.7567567567567571E-3</v>
      </c>
      <c r="N87" s="31">
        <f>IFERROR(VLOOKUP($D87,bug_conf_sheet!$A:$H,3,FALSE),VLOOKUP("other",bug_conf_sheet!$A:$H,3,FALSE))</f>
        <v>1</v>
      </c>
      <c r="O87" s="31">
        <f>IFERROR(VLOOKUP($D87,bug_conf_sheet!$A:$H,4,FALSE),VLOOKUP("other",bug_conf_sheet!$A:$H,4,FALSE))</f>
        <v>0</v>
      </c>
      <c r="P87" s="31">
        <f>IFERROR(VLOOKUP($D87,bug_conf_sheet!$A:$H,5,FALSE),VLOOKUP("other",bug_conf_sheet!$A:$H,5,FALSE))</f>
        <v>0</v>
      </c>
      <c r="Q87" s="31">
        <f>IFERROR(VLOOKUP($D87,bug_conf_sheet!$A:$H,6,FALSE),VLOOKUP("other",bug_conf_sheet!$A:$H,6,FALSE))</f>
        <v>0</v>
      </c>
      <c r="R87" s="31">
        <f>IFERROR(VLOOKUP($D87,bug_conf_sheet!$A:$H,7,FALSE),VLOOKUP("other",bug_conf_sheet!$A:$H,7,FALSE))</f>
        <v>0</v>
      </c>
      <c r="S87" s="31">
        <f>IFERROR(VLOOKUP($D87,bug_conf_sheet!$A:$H,8,FALSE),VLOOKUP("other",bug_conf_sheet!$A:$H,8,FALSE))</f>
        <v>1</v>
      </c>
    </row>
    <row r="88" spans="1:19" ht="21" customHeight="1">
      <c r="A88" s="2">
        <f>input_2!A$2</f>
        <v>3122</v>
      </c>
      <c r="B88" s="7" t="str">
        <f t="shared" si="4"/>
        <v>Premium4</v>
      </c>
      <c r="C88" s="7" t="str">
        <f t="shared" si="5"/>
        <v>Premium</v>
      </c>
      <c r="D88" s="5">
        <v>212</v>
      </c>
      <c r="E88" s="7" t="str">
        <f>VLOOKUP(D88,[1]characters!$A:$C,3,FALSE)</f>
        <v>星神 アストライアー</v>
      </c>
      <c r="F88" s="7" t="str">
        <f>VLOOKUP(D88,[1]characters!$A:$J,10,FALSE)</f>
        <v>PremiumN</v>
      </c>
      <c r="G88" s="7">
        <f>VLOOKUP(D88,[1]characters!$A:$I,9,FALSE)</f>
        <v>4</v>
      </c>
      <c r="H88" s="7" t="str">
        <f>VLOOKUP(D88,[1]characters!$A:$H,8,FALSE)</f>
        <v>yellow</v>
      </c>
      <c r="I88" s="7" t="str">
        <f>VLOOKUP(D88,[1]characters!$A:$K,11,FALSE)</f>
        <v>balance</v>
      </c>
      <c r="J88" s="7" t="str">
        <f>VLOOKUP(D88,[1]characters!$A:$M,13,FALSE)</f>
        <v>god</v>
      </c>
      <c r="K88" s="7" t="str">
        <f>VLOOKUP(D88,[1]characters!$A:$G,7,FALSE)</f>
        <v>女性</v>
      </c>
      <c r="L88" s="66">
        <f>IFERROR(VLOOKUP(D88,input_2!L:R,7,FALSE),VLOOKUP(tables_2!B88,input_2!A:H,8,FALSE))</f>
        <v>306423</v>
      </c>
      <c r="M88" s="67">
        <f t="shared" si="3"/>
        <v>5.8986486486486489E-3</v>
      </c>
      <c r="N88" s="31">
        <f>IFERROR(VLOOKUP($D88,bug_conf_sheet!$A:$H,3,FALSE),VLOOKUP("other",bug_conf_sheet!$A:$H,3,FALSE))</f>
        <v>1</v>
      </c>
      <c r="O88" s="31">
        <f>IFERROR(VLOOKUP($D88,bug_conf_sheet!$A:$H,4,FALSE),VLOOKUP("other",bug_conf_sheet!$A:$H,4,FALSE))</f>
        <v>0</v>
      </c>
      <c r="P88" s="31">
        <f>IFERROR(VLOOKUP($D88,bug_conf_sheet!$A:$H,5,FALSE),VLOOKUP("other",bug_conf_sheet!$A:$H,5,FALSE))</f>
        <v>0</v>
      </c>
      <c r="Q88" s="31">
        <f>IFERROR(VLOOKUP($D88,bug_conf_sheet!$A:$H,6,FALSE),VLOOKUP("other",bug_conf_sheet!$A:$H,6,FALSE))</f>
        <v>0</v>
      </c>
      <c r="R88" s="31">
        <f>IFERROR(VLOOKUP($D88,bug_conf_sheet!$A:$H,7,FALSE),VLOOKUP("other",bug_conf_sheet!$A:$H,7,FALSE))</f>
        <v>0</v>
      </c>
      <c r="S88" s="31">
        <f>IFERROR(VLOOKUP($D88,bug_conf_sheet!$A:$H,8,FALSE),VLOOKUP("other",bug_conf_sheet!$A:$H,8,FALSE))</f>
        <v>1</v>
      </c>
    </row>
    <row r="89" spans="1:19" ht="21" customHeight="1">
      <c r="A89" s="2">
        <f>input_2!A$2</f>
        <v>3122</v>
      </c>
      <c r="B89" s="7" t="str">
        <f t="shared" si="4"/>
        <v>Premium5</v>
      </c>
      <c r="C89" s="7" t="str">
        <f t="shared" si="5"/>
        <v>Premium</v>
      </c>
      <c r="D89" s="5">
        <v>213</v>
      </c>
      <c r="E89" s="7" t="str">
        <f>VLOOKUP(D89,[1]characters!$A:$C,3,FALSE)</f>
        <v>満天の星降神 アストライアー</v>
      </c>
      <c r="F89" s="7" t="str">
        <f>VLOOKUP(D89,[1]characters!$A:$J,10,FALSE)</f>
        <v>PremiumN</v>
      </c>
      <c r="G89" s="7">
        <f>VLOOKUP(D89,[1]characters!$A:$I,9,FALSE)</f>
        <v>5</v>
      </c>
      <c r="H89" s="7" t="str">
        <f>VLOOKUP(D89,[1]characters!$A:$H,8,FALSE)</f>
        <v>yellow</v>
      </c>
      <c r="I89" s="7" t="str">
        <f>VLOOKUP(D89,[1]characters!$A:$K,11,FALSE)</f>
        <v>balance</v>
      </c>
      <c r="J89" s="7" t="str">
        <f>VLOOKUP(D89,[1]characters!$A:$M,13,FALSE)</f>
        <v>god</v>
      </c>
      <c r="K89" s="7" t="str">
        <f>VLOOKUP(D89,[1]characters!$A:$G,7,FALSE)</f>
        <v>女性</v>
      </c>
      <c r="L89" s="66">
        <f>IFERROR(VLOOKUP(D89,input_2!L:R,7,FALSE),VLOOKUP(tables_2!B89,input_2!A:H,8,FALSE))</f>
        <v>46657</v>
      </c>
      <c r="M89" s="67">
        <f t="shared" si="3"/>
        <v>8.9814814814814813E-4</v>
      </c>
      <c r="N89" s="31">
        <f>IFERROR(VLOOKUP($D89,bug_conf_sheet!$A:$H,3,FALSE),VLOOKUP("other",bug_conf_sheet!$A:$H,3,FALSE))</f>
        <v>1</v>
      </c>
      <c r="O89" s="31">
        <f>IFERROR(VLOOKUP($D89,bug_conf_sheet!$A:$H,4,FALSE),VLOOKUP("other",bug_conf_sheet!$A:$H,4,FALSE))</f>
        <v>0</v>
      </c>
      <c r="P89" s="31">
        <f>IFERROR(VLOOKUP($D89,bug_conf_sheet!$A:$H,5,FALSE),VLOOKUP("other",bug_conf_sheet!$A:$H,5,FALSE))</f>
        <v>0</v>
      </c>
      <c r="Q89" s="31">
        <f>IFERROR(VLOOKUP($D89,bug_conf_sheet!$A:$H,6,FALSE),VLOOKUP("other",bug_conf_sheet!$A:$H,6,FALSE))</f>
        <v>0</v>
      </c>
      <c r="R89" s="31">
        <f>IFERROR(VLOOKUP($D89,bug_conf_sheet!$A:$H,7,FALSE),VLOOKUP("other",bug_conf_sheet!$A:$H,7,FALSE))</f>
        <v>0</v>
      </c>
      <c r="S89" s="31">
        <f>IFERROR(VLOOKUP($D89,bug_conf_sheet!$A:$H,8,FALSE),VLOOKUP("other",bug_conf_sheet!$A:$H,8,FALSE))</f>
        <v>1</v>
      </c>
    </row>
    <row r="90" spans="1:19" ht="21" customHeight="1">
      <c r="A90" s="2">
        <f>input_2!A$2</f>
        <v>3122</v>
      </c>
      <c r="B90" s="7" t="str">
        <f t="shared" si="4"/>
        <v>Premium3</v>
      </c>
      <c r="C90" s="7" t="str">
        <f t="shared" si="5"/>
        <v>Premium</v>
      </c>
      <c r="D90" s="5">
        <v>214</v>
      </c>
      <c r="E90" s="7" t="str">
        <f>VLOOKUP(D90,[1]characters!$A:$C,3,FALSE)</f>
        <v>アズラエル</v>
      </c>
      <c r="F90" s="7" t="str">
        <f>VLOOKUP(D90,[1]characters!$A:$J,10,FALSE)</f>
        <v>PremiumN</v>
      </c>
      <c r="G90" s="7">
        <f>VLOOKUP(D90,[1]characters!$A:$I,9,FALSE)</f>
        <v>3</v>
      </c>
      <c r="H90" s="7" t="str">
        <f>VLOOKUP(D90,[1]characters!$A:$H,8,FALSE)</f>
        <v>red</v>
      </c>
      <c r="I90" s="7" t="str">
        <f>VLOOKUP(D90,[1]characters!$A:$K,11,FALSE)</f>
        <v>balance</v>
      </c>
      <c r="J90" s="7" t="str">
        <f>VLOOKUP(D90,[1]characters!$A:$M,13,FALSE)</f>
        <v>god</v>
      </c>
      <c r="K90" s="7" t="str">
        <f>VLOOKUP(D90,[1]characters!$A:$G,7,FALSE)</f>
        <v>女性</v>
      </c>
      <c r="L90" s="66">
        <f>IFERROR(VLOOKUP(D90,input_2!L:R,7,FALSE),VLOOKUP(tables_2!B90,input_2!A:H,8,FALSE))</f>
        <v>351000</v>
      </c>
      <c r="M90" s="67">
        <f t="shared" si="3"/>
        <v>6.7567567567567571E-3</v>
      </c>
      <c r="N90" s="31">
        <f>IFERROR(VLOOKUP($D90,bug_conf_sheet!$A:$H,3,FALSE),VLOOKUP("other",bug_conf_sheet!$A:$H,3,FALSE))</f>
        <v>1</v>
      </c>
      <c r="O90" s="31">
        <f>IFERROR(VLOOKUP($D90,bug_conf_sheet!$A:$H,4,FALSE),VLOOKUP("other",bug_conf_sheet!$A:$H,4,FALSE))</f>
        <v>0</v>
      </c>
      <c r="P90" s="31">
        <f>IFERROR(VLOOKUP($D90,bug_conf_sheet!$A:$H,5,FALSE),VLOOKUP("other",bug_conf_sheet!$A:$H,5,FALSE))</f>
        <v>0</v>
      </c>
      <c r="Q90" s="31">
        <f>IFERROR(VLOOKUP($D90,bug_conf_sheet!$A:$H,6,FALSE),VLOOKUP("other",bug_conf_sheet!$A:$H,6,FALSE))</f>
        <v>0</v>
      </c>
      <c r="R90" s="31">
        <f>IFERROR(VLOOKUP($D90,bug_conf_sheet!$A:$H,7,FALSE),VLOOKUP("other",bug_conf_sheet!$A:$H,7,FALSE))</f>
        <v>0</v>
      </c>
      <c r="S90" s="31">
        <f>IFERROR(VLOOKUP($D90,bug_conf_sheet!$A:$H,8,FALSE),VLOOKUP("other",bug_conf_sheet!$A:$H,8,FALSE))</f>
        <v>1</v>
      </c>
    </row>
    <row r="91" spans="1:19" ht="21" customHeight="1">
      <c r="A91" s="2">
        <f>input_2!A$2</f>
        <v>3122</v>
      </c>
      <c r="B91" s="7" t="str">
        <f t="shared" si="4"/>
        <v>Premium4</v>
      </c>
      <c r="C91" s="7" t="str">
        <f t="shared" si="5"/>
        <v>Premium</v>
      </c>
      <c r="D91" s="5">
        <v>215</v>
      </c>
      <c r="E91" s="7" t="str">
        <f>VLOOKUP(D91,[1]characters!$A:$C,3,FALSE)</f>
        <v>死導者 アズラエル</v>
      </c>
      <c r="F91" s="7" t="str">
        <f>VLOOKUP(D91,[1]characters!$A:$J,10,FALSE)</f>
        <v>PremiumN</v>
      </c>
      <c r="G91" s="7">
        <f>VLOOKUP(D91,[1]characters!$A:$I,9,FALSE)</f>
        <v>4</v>
      </c>
      <c r="H91" s="7" t="str">
        <f>VLOOKUP(D91,[1]characters!$A:$H,8,FALSE)</f>
        <v>red</v>
      </c>
      <c r="I91" s="7" t="str">
        <f>VLOOKUP(D91,[1]characters!$A:$K,11,FALSE)</f>
        <v>balance</v>
      </c>
      <c r="J91" s="7" t="str">
        <f>VLOOKUP(D91,[1]characters!$A:$M,13,FALSE)</f>
        <v>god</v>
      </c>
      <c r="K91" s="7" t="str">
        <f>VLOOKUP(D91,[1]characters!$A:$G,7,FALSE)</f>
        <v>女性</v>
      </c>
      <c r="L91" s="66">
        <f>IFERROR(VLOOKUP(D91,input_2!L:R,7,FALSE),VLOOKUP(tables_2!B91,input_2!A:H,8,FALSE))</f>
        <v>306423</v>
      </c>
      <c r="M91" s="67">
        <f t="shared" si="3"/>
        <v>5.8986486486486489E-3</v>
      </c>
      <c r="N91" s="31">
        <f>IFERROR(VLOOKUP($D91,bug_conf_sheet!$A:$H,3,FALSE),VLOOKUP("other",bug_conf_sheet!$A:$H,3,FALSE))</f>
        <v>1</v>
      </c>
      <c r="O91" s="31">
        <f>IFERROR(VLOOKUP($D91,bug_conf_sheet!$A:$H,4,FALSE),VLOOKUP("other",bug_conf_sheet!$A:$H,4,FALSE))</f>
        <v>0</v>
      </c>
      <c r="P91" s="31">
        <f>IFERROR(VLOOKUP($D91,bug_conf_sheet!$A:$H,5,FALSE),VLOOKUP("other",bug_conf_sheet!$A:$H,5,FALSE))</f>
        <v>0</v>
      </c>
      <c r="Q91" s="31">
        <f>IFERROR(VLOOKUP($D91,bug_conf_sheet!$A:$H,6,FALSE),VLOOKUP("other",bug_conf_sheet!$A:$H,6,FALSE))</f>
        <v>0</v>
      </c>
      <c r="R91" s="31">
        <f>IFERROR(VLOOKUP($D91,bug_conf_sheet!$A:$H,7,FALSE),VLOOKUP("other",bug_conf_sheet!$A:$H,7,FALSE))</f>
        <v>0</v>
      </c>
      <c r="S91" s="31">
        <f>IFERROR(VLOOKUP($D91,bug_conf_sheet!$A:$H,8,FALSE),VLOOKUP("other",bug_conf_sheet!$A:$H,8,FALSE))</f>
        <v>1</v>
      </c>
    </row>
    <row r="92" spans="1:19" ht="21" customHeight="1">
      <c r="A92" s="2">
        <f>input_2!A$2</f>
        <v>3122</v>
      </c>
      <c r="B92" s="7" t="str">
        <f t="shared" si="4"/>
        <v>Premium5</v>
      </c>
      <c r="C92" s="7" t="str">
        <f t="shared" si="5"/>
        <v>Premium</v>
      </c>
      <c r="D92" s="5">
        <v>216</v>
      </c>
      <c r="E92" s="7" t="str">
        <f>VLOOKUP(D92,[1]characters!$A:$C,3,FALSE)</f>
        <v>百読の死導司書 アズラエル</v>
      </c>
      <c r="F92" s="7" t="str">
        <f>VLOOKUP(D92,[1]characters!$A:$J,10,FALSE)</f>
        <v>PremiumN</v>
      </c>
      <c r="G92" s="7">
        <f>VLOOKUP(D92,[1]characters!$A:$I,9,FALSE)</f>
        <v>5</v>
      </c>
      <c r="H92" s="7" t="str">
        <f>VLOOKUP(D92,[1]characters!$A:$H,8,FALSE)</f>
        <v>red</v>
      </c>
      <c r="I92" s="7" t="str">
        <f>VLOOKUP(D92,[1]characters!$A:$K,11,FALSE)</f>
        <v>balance</v>
      </c>
      <c r="J92" s="7" t="str">
        <f>VLOOKUP(D92,[1]characters!$A:$M,13,FALSE)</f>
        <v>god</v>
      </c>
      <c r="K92" s="7" t="str">
        <f>VLOOKUP(D92,[1]characters!$A:$G,7,FALSE)</f>
        <v>女性</v>
      </c>
      <c r="L92" s="66">
        <f>IFERROR(VLOOKUP(D92,input_2!L:R,7,FALSE),VLOOKUP(tables_2!B92,input_2!A:H,8,FALSE))</f>
        <v>46657</v>
      </c>
      <c r="M92" s="67">
        <f t="shared" si="3"/>
        <v>8.9814814814814813E-4</v>
      </c>
      <c r="N92" s="31">
        <f>IFERROR(VLOOKUP($D92,bug_conf_sheet!$A:$H,3,FALSE),VLOOKUP("other",bug_conf_sheet!$A:$H,3,FALSE))</f>
        <v>1</v>
      </c>
      <c r="O92" s="31">
        <f>IFERROR(VLOOKUP($D92,bug_conf_sheet!$A:$H,4,FALSE),VLOOKUP("other",bug_conf_sheet!$A:$H,4,FALSE))</f>
        <v>0</v>
      </c>
      <c r="P92" s="31">
        <f>IFERROR(VLOOKUP($D92,bug_conf_sheet!$A:$H,5,FALSE),VLOOKUP("other",bug_conf_sheet!$A:$H,5,FALSE))</f>
        <v>0</v>
      </c>
      <c r="Q92" s="31">
        <f>IFERROR(VLOOKUP($D92,bug_conf_sheet!$A:$H,6,FALSE),VLOOKUP("other",bug_conf_sheet!$A:$H,6,FALSE))</f>
        <v>0</v>
      </c>
      <c r="R92" s="31">
        <f>IFERROR(VLOOKUP($D92,bug_conf_sheet!$A:$H,7,FALSE),VLOOKUP("other",bug_conf_sheet!$A:$H,7,FALSE))</f>
        <v>0</v>
      </c>
      <c r="S92" s="31">
        <f>IFERROR(VLOOKUP($D92,bug_conf_sheet!$A:$H,8,FALSE),VLOOKUP("other",bug_conf_sheet!$A:$H,8,FALSE))</f>
        <v>1</v>
      </c>
    </row>
    <row r="93" spans="1:19" ht="21" customHeight="1">
      <c r="A93" s="2">
        <f>input_2!A$2</f>
        <v>3122</v>
      </c>
      <c r="B93" s="7" t="str">
        <f t="shared" si="4"/>
        <v>Premium3</v>
      </c>
      <c r="C93" s="7" t="str">
        <f t="shared" si="5"/>
        <v>Premium</v>
      </c>
      <c r="D93" s="5">
        <v>217</v>
      </c>
      <c r="E93" s="7" t="str">
        <f>VLOOKUP(D93,[1]characters!$A:$C,3,FALSE)</f>
        <v>ケツァクアトル</v>
      </c>
      <c r="F93" s="7" t="str">
        <f>VLOOKUP(D93,[1]characters!$A:$J,10,FALSE)</f>
        <v>PremiumN</v>
      </c>
      <c r="G93" s="7">
        <f>VLOOKUP(D93,[1]characters!$A:$I,9,FALSE)</f>
        <v>3</v>
      </c>
      <c r="H93" s="7" t="str">
        <f>VLOOKUP(D93,[1]characters!$A:$H,8,FALSE)</f>
        <v>green</v>
      </c>
      <c r="I93" s="7" t="str">
        <f>VLOOKUP(D93,[1]characters!$A:$K,11,FALSE)</f>
        <v>hp</v>
      </c>
      <c r="J93" s="7" t="str">
        <f>VLOOKUP(D93,[1]characters!$A:$M,13,FALSE)</f>
        <v>dragon</v>
      </c>
      <c r="K93" s="7" t="str">
        <f>VLOOKUP(D93,[1]characters!$A:$G,7,FALSE)</f>
        <v>女性</v>
      </c>
      <c r="L93" s="66">
        <f>IFERROR(VLOOKUP(D93,input_2!L:R,7,FALSE),VLOOKUP(tables_2!B93,input_2!A:H,8,FALSE))</f>
        <v>351000</v>
      </c>
      <c r="M93" s="67">
        <f t="shared" si="3"/>
        <v>6.7567567567567571E-3</v>
      </c>
      <c r="N93" s="31">
        <f>IFERROR(VLOOKUP($D93,bug_conf_sheet!$A:$H,3,FALSE),VLOOKUP("other",bug_conf_sheet!$A:$H,3,FALSE))</f>
        <v>1</v>
      </c>
      <c r="O93" s="31">
        <f>IFERROR(VLOOKUP($D93,bug_conf_sheet!$A:$H,4,FALSE),VLOOKUP("other",bug_conf_sheet!$A:$H,4,FALSE))</f>
        <v>0</v>
      </c>
      <c r="P93" s="31">
        <f>IFERROR(VLOOKUP($D93,bug_conf_sheet!$A:$H,5,FALSE),VLOOKUP("other",bug_conf_sheet!$A:$H,5,FALSE))</f>
        <v>0</v>
      </c>
      <c r="Q93" s="31">
        <f>IFERROR(VLOOKUP($D93,bug_conf_sheet!$A:$H,6,FALSE),VLOOKUP("other",bug_conf_sheet!$A:$H,6,FALSE))</f>
        <v>0</v>
      </c>
      <c r="R93" s="31">
        <f>IFERROR(VLOOKUP($D93,bug_conf_sheet!$A:$H,7,FALSE),VLOOKUP("other",bug_conf_sheet!$A:$H,7,FALSE))</f>
        <v>0</v>
      </c>
      <c r="S93" s="31">
        <f>IFERROR(VLOOKUP($D93,bug_conf_sheet!$A:$H,8,FALSE),VLOOKUP("other",bug_conf_sheet!$A:$H,8,FALSE))</f>
        <v>1</v>
      </c>
    </row>
    <row r="94" spans="1:19" ht="21" customHeight="1">
      <c r="A94" s="2">
        <f>input_2!A$2</f>
        <v>3122</v>
      </c>
      <c r="B94" s="7" t="str">
        <f t="shared" si="4"/>
        <v>Premium4</v>
      </c>
      <c r="C94" s="7" t="str">
        <f t="shared" si="5"/>
        <v>Premium</v>
      </c>
      <c r="D94" s="5">
        <v>218</v>
      </c>
      <c r="E94" s="7" t="str">
        <f>VLOOKUP(D94,[1]characters!$A:$C,3,FALSE)</f>
        <v>聖蛇 ケツァクアトル</v>
      </c>
      <c r="F94" s="7" t="str">
        <f>VLOOKUP(D94,[1]characters!$A:$J,10,FALSE)</f>
        <v>PremiumN</v>
      </c>
      <c r="G94" s="7">
        <f>VLOOKUP(D94,[1]characters!$A:$I,9,FALSE)</f>
        <v>4</v>
      </c>
      <c r="H94" s="7" t="str">
        <f>VLOOKUP(D94,[1]characters!$A:$H,8,FALSE)</f>
        <v>green</v>
      </c>
      <c r="I94" s="7" t="str">
        <f>VLOOKUP(D94,[1]characters!$A:$K,11,FALSE)</f>
        <v>hp</v>
      </c>
      <c r="J94" s="7" t="str">
        <f>VLOOKUP(D94,[1]characters!$A:$M,13,FALSE)</f>
        <v>dragon</v>
      </c>
      <c r="K94" s="7" t="str">
        <f>VLOOKUP(D94,[1]characters!$A:$G,7,FALSE)</f>
        <v>女性</v>
      </c>
      <c r="L94" s="66">
        <f>IFERROR(VLOOKUP(D94,input_2!L:R,7,FALSE),VLOOKUP(tables_2!B94,input_2!A:H,8,FALSE))</f>
        <v>306423</v>
      </c>
      <c r="M94" s="67">
        <f t="shared" si="3"/>
        <v>5.8986486486486489E-3</v>
      </c>
      <c r="N94" s="31">
        <f>IFERROR(VLOOKUP($D94,bug_conf_sheet!$A:$H,3,FALSE),VLOOKUP("other",bug_conf_sheet!$A:$H,3,FALSE))</f>
        <v>1</v>
      </c>
      <c r="O94" s="31">
        <f>IFERROR(VLOOKUP($D94,bug_conf_sheet!$A:$H,4,FALSE),VLOOKUP("other",bug_conf_sheet!$A:$H,4,FALSE))</f>
        <v>0</v>
      </c>
      <c r="P94" s="31">
        <f>IFERROR(VLOOKUP($D94,bug_conf_sheet!$A:$H,5,FALSE),VLOOKUP("other",bug_conf_sheet!$A:$H,5,FALSE))</f>
        <v>0</v>
      </c>
      <c r="Q94" s="31">
        <f>IFERROR(VLOOKUP($D94,bug_conf_sheet!$A:$H,6,FALSE),VLOOKUP("other",bug_conf_sheet!$A:$H,6,FALSE))</f>
        <v>0</v>
      </c>
      <c r="R94" s="31">
        <f>IFERROR(VLOOKUP($D94,bug_conf_sheet!$A:$H,7,FALSE),VLOOKUP("other",bug_conf_sheet!$A:$H,7,FALSE))</f>
        <v>0</v>
      </c>
      <c r="S94" s="31">
        <f>IFERROR(VLOOKUP($D94,bug_conf_sheet!$A:$H,8,FALSE),VLOOKUP("other",bug_conf_sheet!$A:$H,8,FALSE))</f>
        <v>1</v>
      </c>
    </row>
    <row r="95" spans="1:19" ht="21" customHeight="1">
      <c r="A95" s="2">
        <f>input_2!A$2</f>
        <v>3122</v>
      </c>
      <c r="B95" s="7" t="str">
        <f t="shared" si="4"/>
        <v>Premium5</v>
      </c>
      <c r="C95" s="7" t="str">
        <f t="shared" si="5"/>
        <v>Premium</v>
      </c>
      <c r="D95" s="5">
        <v>219</v>
      </c>
      <c r="E95" s="7" t="str">
        <f>VLOOKUP(D95,[1]characters!$A:$C,3,FALSE)</f>
        <v>覇翼の聖蛇竜 ケツァクアトル</v>
      </c>
      <c r="F95" s="7" t="str">
        <f>VLOOKUP(D95,[1]characters!$A:$J,10,FALSE)</f>
        <v>PremiumN</v>
      </c>
      <c r="G95" s="7">
        <f>VLOOKUP(D95,[1]characters!$A:$I,9,FALSE)</f>
        <v>5</v>
      </c>
      <c r="H95" s="7" t="str">
        <f>VLOOKUP(D95,[1]characters!$A:$H,8,FALSE)</f>
        <v>green</v>
      </c>
      <c r="I95" s="7" t="str">
        <f>VLOOKUP(D95,[1]characters!$A:$K,11,FALSE)</f>
        <v>hp</v>
      </c>
      <c r="J95" s="7" t="str">
        <f>VLOOKUP(D95,[1]characters!$A:$M,13,FALSE)</f>
        <v>dragon</v>
      </c>
      <c r="K95" s="7" t="str">
        <f>VLOOKUP(D95,[1]characters!$A:$G,7,FALSE)</f>
        <v>女性</v>
      </c>
      <c r="L95" s="66">
        <f>IFERROR(VLOOKUP(D95,input_2!L:R,7,FALSE),VLOOKUP(tables_2!B95,input_2!A:H,8,FALSE))</f>
        <v>46657</v>
      </c>
      <c r="M95" s="67">
        <f t="shared" si="3"/>
        <v>8.9814814814814813E-4</v>
      </c>
      <c r="N95" s="31">
        <f>IFERROR(VLOOKUP($D95,bug_conf_sheet!$A:$H,3,FALSE),VLOOKUP("other",bug_conf_sheet!$A:$H,3,FALSE))</f>
        <v>1</v>
      </c>
      <c r="O95" s="31">
        <f>IFERROR(VLOOKUP($D95,bug_conf_sheet!$A:$H,4,FALSE),VLOOKUP("other",bug_conf_sheet!$A:$H,4,FALSE))</f>
        <v>0</v>
      </c>
      <c r="P95" s="31">
        <f>IFERROR(VLOOKUP($D95,bug_conf_sheet!$A:$H,5,FALSE),VLOOKUP("other",bug_conf_sheet!$A:$H,5,FALSE))</f>
        <v>0</v>
      </c>
      <c r="Q95" s="31">
        <f>IFERROR(VLOOKUP($D95,bug_conf_sheet!$A:$H,6,FALSE),VLOOKUP("other",bug_conf_sheet!$A:$H,6,FALSE))</f>
        <v>0</v>
      </c>
      <c r="R95" s="31">
        <f>IFERROR(VLOOKUP($D95,bug_conf_sheet!$A:$H,7,FALSE),VLOOKUP("other",bug_conf_sheet!$A:$H,7,FALSE))</f>
        <v>0</v>
      </c>
      <c r="S95" s="31">
        <f>IFERROR(VLOOKUP($D95,bug_conf_sheet!$A:$H,8,FALSE),VLOOKUP("other",bug_conf_sheet!$A:$H,8,FALSE))</f>
        <v>1</v>
      </c>
    </row>
    <row r="96" spans="1:19" ht="21" customHeight="1">
      <c r="A96" s="2">
        <f>input_2!A$2</f>
        <v>3122</v>
      </c>
      <c r="B96" s="7" t="str">
        <f t="shared" si="4"/>
        <v>Premium3</v>
      </c>
      <c r="C96" s="7" t="str">
        <f t="shared" si="5"/>
        <v>Premium</v>
      </c>
      <c r="D96" s="5">
        <v>220</v>
      </c>
      <c r="E96" s="7" t="str">
        <f>VLOOKUP(D96,[1]characters!$A:$C,3,FALSE)</f>
        <v>ルキフグス</v>
      </c>
      <c r="F96" s="7" t="str">
        <f>VLOOKUP(D96,[1]characters!$A:$J,10,FALSE)</f>
        <v>PremiumN</v>
      </c>
      <c r="G96" s="7">
        <f>VLOOKUP(D96,[1]characters!$A:$I,9,FALSE)</f>
        <v>3</v>
      </c>
      <c r="H96" s="7" t="str">
        <f>VLOOKUP(D96,[1]characters!$A:$H,8,FALSE)</f>
        <v>blue</v>
      </c>
      <c r="I96" s="7" t="str">
        <f>VLOOKUP(D96,[1]characters!$A:$K,11,FALSE)</f>
        <v>balance</v>
      </c>
      <c r="J96" s="7" t="str">
        <f>VLOOKUP(D96,[1]characters!$A:$M,13,FALSE)</f>
        <v>god</v>
      </c>
      <c r="K96" s="7" t="str">
        <f>VLOOKUP(D96,[1]characters!$A:$G,7,FALSE)</f>
        <v>女性</v>
      </c>
      <c r="L96" s="66">
        <f>IFERROR(VLOOKUP(D96,input_2!L:R,7,FALSE),VLOOKUP(tables_2!B96,input_2!A:H,8,FALSE))</f>
        <v>351000</v>
      </c>
      <c r="M96" s="67">
        <f t="shared" si="3"/>
        <v>6.7567567567567571E-3</v>
      </c>
      <c r="N96" s="31">
        <f>IFERROR(VLOOKUP($D96,bug_conf_sheet!$A:$H,3,FALSE),VLOOKUP("other",bug_conf_sheet!$A:$H,3,FALSE))</f>
        <v>1</v>
      </c>
      <c r="O96" s="31">
        <f>IFERROR(VLOOKUP($D96,bug_conf_sheet!$A:$H,4,FALSE),VLOOKUP("other",bug_conf_sheet!$A:$H,4,FALSE))</f>
        <v>0</v>
      </c>
      <c r="P96" s="31">
        <f>IFERROR(VLOOKUP($D96,bug_conf_sheet!$A:$H,5,FALSE),VLOOKUP("other",bug_conf_sheet!$A:$H,5,FALSE))</f>
        <v>0</v>
      </c>
      <c r="Q96" s="31">
        <f>IFERROR(VLOOKUP($D96,bug_conf_sheet!$A:$H,6,FALSE),VLOOKUP("other",bug_conf_sheet!$A:$H,6,FALSE))</f>
        <v>0</v>
      </c>
      <c r="R96" s="31">
        <f>IFERROR(VLOOKUP($D96,bug_conf_sheet!$A:$H,7,FALSE),VLOOKUP("other",bug_conf_sheet!$A:$H,7,FALSE))</f>
        <v>0</v>
      </c>
      <c r="S96" s="31">
        <f>IFERROR(VLOOKUP($D96,bug_conf_sheet!$A:$H,8,FALSE),VLOOKUP("other",bug_conf_sheet!$A:$H,8,FALSE))</f>
        <v>1</v>
      </c>
    </row>
    <row r="97" spans="1:19" ht="21" customHeight="1">
      <c r="A97" s="2">
        <f>input_2!A$2</f>
        <v>3122</v>
      </c>
      <c r="B97" s="7" t="str">
        <f t="shared" si="4"/>
        <v>Premium4</v>
      </c>
      <c r="C97" s="7" t="str">
        <f t="shared" si="5"/>
        <v>Premium</v>
      </c>
      <c r="D97" s="5">
        <v>221</v>
      </c>
      <c r="E97" s="7" t="str">
        <f>VLOOKUP(D97,[1]characters!$A:$C,3,FALSE)</f>
        <v>宰相 ルキフグス</v>
      </c>
      <c r="F97" s="7" t="str">
        <f>VLOOKUP(D97,[1]characters!$A:$J,10,FALSE)</f>
        <v>PremiumN</v>
      </c>
      <c r="G97" s="7">
        <f>VLOOKUP(D97,[1]characters!$A:$I,9,FALSE)</f>
        <v>4</v>
      </c>
      <c r="H97" s="7" t="str">
        <f>VLOOKUP(D97,[1]characters!$A:$H,8,FALSE)</f>
        <v>blue</v>
      </c>
      <c r="I97" s="7" t="str">
        <f>VLOOKUP(D97,[1]characters!$A:$K,11,FALSE)</f>
        <v>balance</v>
      </c>
      <c r="J97" s="7" t="str">
        <f>VLOOKUP(D97,[1]characters!$A:$M,13,FALSE)</f>
        <v>god</v>
      </c>
      <c r="K97" s="7" t="str">
        <f>VLOOKUP(D97,[1]characters!$A:$G,7,FALSE)</f>
        <v>女性</v>
      </c>
      <c r="L97" s="66">
        <f>IFERROR(VLOOKUP(D97,input_2!L:R,7,FALSE),VLOOKUP(tables_2!B97,input_2!A:H,8,FALSE))</f>
        <v>306423</v>
      </c>
      <c r="M97" s="67">
        <f t="shared" si="3"/>
        <v>5.8986486486486489E-3</v>
      </c>
      <c r="N97" s="31">
        <f>IFERROR(VLOOKUP($D97,bug_conf_sheet!$A:$H,3,FALSE),VLOOKUP("other",bug_conf_sheet!$A:$H,3,FALSE))</f>
        <v>1</v>
      </c>
      <c r="O97" s="31">
        <f>IFERROR(VLOOKUP($D97,bug_conf_sheet!$A:$H,4,FALSE),VLOOKUP("other",bug_conf_sheet!$A:$H,4,FALSE))</f>
        <v>0</v>
      </c>
      <c r="P97" s="31">
        <f>IFERROR(VLOOKUP($D97,bug_conf_sheet!$A:$H,5,FALSE),VLOOKUP("other",bug_conf_sheet!$A:$H,5,FALSE))</f>
        <v>0</v>
      </c>
      <c r="Q97" s="31">
        <f>IFERROR(VLOOKUP($D97,bug_conf_sheet!$A:$H,6,FALSE),VLOOKUP("other",bug_conf_sheet!$A:$H,6,FALSE))</f>
        <v>0</v>
      </c>
      <c r="R97" s="31">
        <f>IFERROR(VLOOKUP($D97,bug_conf_sheet!$A:$H,7,FALSE),VLOOKUP("other",bug_conf_sheet!$A:$H,7,FALSE))</f>
        <v>0</v>
      </c>
      <c r="S97" s="31">
        <f>IFERROR(VLOOKUP($D97,bug_conf_sheet!$A:$H,8,FALSE),VLOOKUP("other",bug_conf_sheet!$A:$H,8,FALSE))</f>
        <v>1</v>
      </c>
    </row>
    <row r="98" spans="1:19" ht="21" customHeight="1">
      <c r="A98" s="2">
        <f>input_2!A$2</f>
        <v>3122</v>
      </c>
      <c r="B98" s="7" t="str">
        <f t="shared" si="4"/>
        <v>Premium5</v>
      </c>
      <c r="C98" s="7" t="str">
        <f t="shared" si="5"/>
        <v>Premium</v>
      </c>
      <c r="D98" s="5">
        <v>222</v>
      </c>
      <c r="E98" s="7" t="str">
        <f>VLOOKUP(D98,[1]characters!$A:$C,3,FALSE)</f>
        <v>避光の鉄鎖宰相 ルキフグス</v>
      </c>
      <c r="F98" s="7" t="str">
        <f>VLOOKUP(D98,[1]characters!$A:$J,10,FALSE)</f>
        <v>PremiumN</v>
      </c>
      <c r="G98" s="7">
        <f>VLOOKUP(D98,[1]characters!$A:$I,9,FALSE)</f>
        <v>5</v>
      </c>
      <c r="H98" s="7" t="str">
        <f>VLOOKUP(D98,[1]characters!$A:$H,8,FALSE)</f>
        <v>blue</v>
      </c>
      <c r="I98" s="7" t="str">
        <f>VLOOKUP(D98,[1]characters!$A:$K,11,FALSE)</f>
        <v>balance</v>
      </c>
      <c r="J98" s="7" t="str">
        <f>VLOOKUP(D98,[1]characters!$A:$M,13,FALSE)</f>
        <v>god</v>
      </c>
      <c r="K98" s="7" t="str">
        <f>VLOOKUP(D98,[1]characters!$A:$G,7,FALSE)</f>
        <v>女性</v>
      </c>
      <c r="L98" s="66">
        <f>IFERROR(VLOOKUP(D98,input_2!L:R,7,FALSE),VLOOKUP(tables_2!B98,input_2!A:H,8,FALSE))</f>
        <v>46657</v>
      </c>
      <c r="M98" s="67">
        <f t="shared" si="3"/>
        <v>8.9814814814814813E-4</v>
      </c>
      <c r="N98" s="31">
        <f>IFERROR(VLOOKUP($D98,bug_conf_sheet!$A:$H,3,FALSE),VLOOKUP("other",bug_conf_sheet!$A:$H,3,FALSE))</f>
        <v>1</v>
      </c>
      <c r="O98" s="31">
        <f>IFERROR(VLOOKUP($D98,bug_conf_sheet!$A:$H,4,FALSE),VLOOKUP("other",bug_conf_sheet!$A:$H,4,FALSE))</f>
        <v>0</v>
      </c>
      <c r="P98" s="31">
        <f>IFERROR(VLOOKUP($D98,bug_conf_sheet!$A:$H,5,FALSE),VLOOKUP("other",bug_conf_sheet!$A:$H,5,FALSE))</f>
        <v>0</v>
      </c>
      <c r="Q98" s="31">
        <f>IFERROR(VLOOKUP($D98,bug_conf_sheet!$A:$H,6,FALSE),VLOOKUP("other",bug_conf_sheet!$A:$H,6,FALSE))</f>
        <v>0</v>
      </c>
      <c r="R98" s="31">
        <f>IFERROR(VLOOKUP($D98,bug_conf_sheet!$A:$H,7,FALSE),VLOOKUP("other",bug_conf_sheet!$A:$H,7,FALSE))</f>
        <v>0</v>
      </c>
      <c r="S98" s="31">
        <f>IFERROR(VLOOKUP($D98,bug_conf_sheet!$A:$H,8,FALSE),VLOOKUP("other",bug_conf_sheet!$A:$H,8,FALSE))</f>
        <v>1</v>
      </c>
    </row>
    <row r="99" spans="1:19" ht="21" customHeight="1">
      <c r="A99" s="2">
        <f>input_2!A$2</f>
        <v>3122</v>
      </c>
      <c r="B99" s="7" t="str">
        <f t="shared" si="4"/>
        <v>Premium3</v>
      </c>
      <c r="C99" s="7" t="str">
        <f t="shared" si="5"/>
        <v>Premium</v>
      </c>
      <c r="D99" s="5">
        <v>223</v>
      </c>
      <c r="E99" s="7" t="str">
        <f>VLOOKUP(D99,[1]characters!$A:$C,3,FALSE)</f>
        <v>ヘラクレス</v>
      </c>
      <c r="F99" s="7" t="str">
        <f>VLOOKUP(D99,[1]characters!$A:$J,10,FALSE)</f>
        <v>PremiumN</v>
      </c>
      <c r="G99" s="7">
        <f>VLOOKUP(D99,[1]characters!$A:$I,9,FALSE)</f>
        <v>3</v>
      </c>
      <c r="H99" s="7" t="str">
        <f>VLOOKUP(D99,[1]characters!$A:$H,8,FALSE)</f>
        <v>yellow</v>
      </c>
      <c r="I99" s="7" t="str">
        <f>VLOOKUP(D99,[1]characters!$A:$K,11,FALSE)</f>
        <v>balance</v>
      </c>
      <c r="J99" s="7" t="str">
        <f>VLOOKUP(D99,[1]characters!$A:$M,13,FALSE)</f>
        <v>human</v>
      </c>
      <c r="K99" s="7" t="str">
        <f>VLOOKUP(D99,[1]characters!$A:$G,7,FALSE)</f>
        <v>男性</v>
      </c>
      <c r="L99" s="66">
        <f>IFERROR(VLOOKUP(D99,input_2!L:R,7,FALSE),VLOOKUP(tables_2!B99,input_2!A:H,8,FALSE))</f>
        <v>351000</v>
      </c>
      <c r="M99" s="67">
        <f t="shared" si="3"/>
        <v>6.7567567567567571E-3</v>
      </c>
      <c r="N99" s="31">
        <f>IFERROR(VLOOKUP($D99,bug_conf_sheet!$A:$H,3,FALSE),VLOOKUP("other",bug_conf_sheet!$A:$H,3,FALSE))</f>
        <v>1</v>
      </c>
      <c r="O99" s="31">
        <f>IFERROR(VLOOKUP($D99,bug_conf_sheet!$A:$H,4,FALSE),VLOOKUP("other",bug_conf_sheet!$A:$H,4,FALSE))</f>
        <v>0</v>
      </c>
      <c r="P99" s="31">
        <f>IFERROR(VLOOKUP($D99,bug_conf_sheet!$A:$H,5,FALSE),VLOOKUP("other",bug_conf_sheet!$A:$H,5,FALSE))</f>
        <v>0</v>
      </c>
      <c r="Q99" s="31">
        <f>IFERROR(VLOOKUP($D99,bug_conf_sheet!$A:$H,6,FALSE),VLOOKUP("other",bug_conf_sheet!$A:$H,6,FALSE))</f>
        <v>0</v>
      </c>
      <c r="R99" s="31">
        <f>IFERROR(VLOOKUP($D99,bug_conf_sheet!$A:$H,7,FALSE),VLOOKUP("other",bug_conf_sheet!$A:$H,7,FALSE))</f>
        <v>0</v>
      </c>
      <c r="S99" s="31">
        <f>IFERROR(VLOOKUP($D99,bug_conf_sheet!$A:$H,8,FALSE),VLOOKUP("other",bug_conf_sheet!$A:$H,8,FALSE))</f>
        <v>1</v>
      </c>
    </row>
    <row r="100" spans="1:19" ht="21" customHeight="1">
      <c r="A100" s="2">
        <f>input_2!A$2</f>
        <v>3122</v>
      </c>
      <c r="B100" s="7" t="str">
        <f t="shared" si="4"/>
        <v>Premium4</v>
      </c>
      <c r="C100" s="7" t="str">
        <f t="shared" si="5"/>
        <v>Premium</v>
      </c>
      <c r="D100" s="5">
        <v>224</v>
      </c>
      <c r="E100" s="7" t="str">
        <f>VLOOKUP(D100,[1]characters!$A:$C,3,FALSE)</f>
        <v>巨腕 ヘラクレス</v>
      </c>
      <c r="F100" s="7" t="str">
        <f>VLOOKUP(D100,[1]characters!$A:$J,10,FALSE)</f>
        <v>PremiumN</v>
      </c>
      <c r="G100" s="7">
        <f>VLOOKUP(D100,[1]characters!$A:$I,9,FALSE)</f>
        <v>4</v>
      </c>
      <c r="H100" s="7" t="str">
        <f>VLOOKUP(D100,[1]characters!$A:$H,8,FALSE)</f>
        <v>yellow</v>
      </c>
      <c r="I100" s="7" t="str">
        <f>VLOOKUP(D100,[1]characters!$A:$K,11,FALSE)</f>
        <v>balance</v>
      </c>
      <c r="J100" s="7" t="str">
        <f>VLOOKUP(D100,[1]characters!$A:$M,13,FALSE)</f>
        <v>human</v>
      </c>
      <c r="K100" s="7" t="str">
        <f>VLOOKUP(D100,[1]characters!$A:$G,7,FALSE)</f>
        <v>男性</v>
      </c>
      <c r="L100" s="66">
        <f>IFERROR(VLOOKUP(D100,input_2!L:R,7,FALSE),VLOOKUP(tables_2!B100,input_2!A:H,8,FALSE))</f>
        <v>306423</v>
      </c>
      <c r="M100" s="67">
        <f t="shared" si="3"/>
        <v>5.8986486486486489E-3</v>
      </c>
      <c r="N100" s="31">
        <f>IFERROR(VLOOKUP($D100,bug_conf_sheet!$A:$H,3,FALSE),VLOOKUP("other",bug_conf_sheet!$A:$H,3,FALSE))</f>
        <v>1</v>
      </c>
      <c r="O100" s="31">
        <f>IFERROR(VLOOKUP($D100,bug_conf_sheet!$A:$H,4,FALSE),VLOOKUP("other",bug_conf_sheet!$A:$H,4,FALSE))</f>
        <v>0</v>
      </c>
      <c r="P100" s="31">
        <f>IFERROR(VLOOKUP($D100,bug_conf_sheet!$A:$H,5,FALSE),VLOOKUP("other",bug_conf_sheet!$A:$H,5,FALSE))</f>
        <v>0</v>
      </c>
      <c r="Q100" s="31">
        <f>IFERROR(VLOOKUP($D100,bug_conf_sheet!$A:$H,6,FALSE),VLOOKUP("other",bug_conf_sheet!$A:$H,6,FALSE))</f>
        <v>0</v>
      </c>
      <c r="R100" s="31">
        <f>IFERROR(VLOOKUP($D100,bug_conf_sheet!$A:$H,7,FALSE),VLOOKUP("other",bug_conf_sheet!$A:$H,7,FALSE))</f>
        <v>0</v>
      </c>
      <c r="S100" s="31">
        <f>IFERROR(VLOOKUP($D100,bug_conf_sheet!$A:$H,8,FALSE),VLOOKUP("other",bug_conf_sheet!$A:$H,8,FALSE))</f>
        <v>1</v>
      </c>
    </row>
    <row r="101" spans="1:19" ht="21" customHeight="1">
      <c r="A101" s="2">
        <f>input_2!A$2</f>
        <v>3122</v>
      </c>
      <c r="B101" s="7" t="str">
        <f t="shared" si="4"/>
        <v>Premium5</v>
      </c>
      <c r="C101" s="7" t="str">
        <f t="shared" si="5"/>
        <v>Premium</v>
      </c>
      <c r="D101" s="5">
        <v>225</v>
      </c>
      <c r="E101" s="7" t="str">
        <f>VLOOKUP(D101,[1]characters!$A:$C,3,FALSE)</f>
        <v>咆哮の巨獅腕 ヘラクレス</v>
      </c>
      <c r="F101" s="7" t="str">
        <f>VLOOKUP(D101,[1]characters!$A:$J,10,FALSE)</f>
        <v>PremiumN</v>
      </c>
      <c r="G101" s="7">
        <f>VLOOKUP(D101,[1]characters!$A:$I,9,FALSE)</f>
        <v>5</v>
      </c>
      <c r="H101" s="7" t="str">
        <f>VLOOKUP(D101,[1]characters!$A:$H,8,FALSE)</f>
        <v>yellow</v>
      </c>
      <c r="I101" s="7" t="str">
        <f>VLOOKUP(D101,[1]characters!$A:$K,11,FALSE)</f>
        <v>balance</v>
      </c>
      <c r="J101" s="7" t="str">
        <f>VLOOKUP(D101,[1]characters!$A:$M,13,FALSE)</f>
        <v>human</v>
      </c>
      <c r="K101" s="7" t="str">
        <f>VLOOKUP(D101,[1]characters!$A:$G,7,FALSE)</f>
        <v>男性</v>
      </c>
      <c r="L101" s="66">
        <f>IFERROR(VLOOKUP(D101,input_2!L:R,7,FALSE),VLOOKUP(tables_2!B101,input_2!A:H,8,FALSE))</f>
        <v>46657</v>
      </c>
      <c r="M101" s="67">
        <f t="shared" si="3"/>
        <v>8.9814814814814813E-4</v>
      </c>
      <c r="N101" s="31">
        <f>IFERROR(VLOOKUP($D101,bug_conf_sheet!$A:$H,3,FALSE),VLOOKUP("other",bug_conf_sheet!$A:$H,3,FALSE))</f>
        <v>1</v>
      </c>
      <c r="O101" s="31">
        <f>IFERROR(VLOOKUP($D101,bug_conf_sheet!$A:$H,4,FALSE),VLOOKUP("other",bug_conf_sheet!$A:$H,4,FALSE))</f>
        <v>0</v>
      </c>
      <c r="P101" s="31">
        <f>IFERROR(VLOOKUP($D101,bug_conf_sheet!$A:$H,5,FALSE),VLOOKUP("other",bug_conf_sheet!$A:$H,5,FALSE))</f>
        <v>0</v>
      </c>
      <c r="Q101" s="31">
        <f>IFERROR(VLOOKUP($D101,bug_conf_sheet!$A:$H,6,FALSE),VLOOKUP("other",bug_conf_sheet!$A:$H,6,FALSE))</f>
        <v>0</v>
      </c>
      <c r="R101" s="31">
        <f>IFERROR(VLOOKUP($D101,bug_conf_sheet!$A:$H,7,FALSE),VLOOKUP("other",bug_conf_sheet!$A:$H,7,FALSE))</f>
        <v>0</v>
      </c>
      <c r="S101" s="31">
        <f>IFERROR(VLOOKUP($D101,bug_conf_sheet!$A:$H,8,FALSE),VLOOKUP("other",bug_conf_sheet!$A:$H,8,FALSE))</f>
        <v>1</v>
      </c>
    </row>
    <row r="102" spans="1:19" ht="21" customHeight="1">
      <c r="A102" s="2">
        <f>input_2!A$2</f>
        <v>3122</v>
      </c>
      <c r="B102" s="7" t="str">
        <f t="shared" si="4"/>
        <v>Premium3</v>
      </c>
      <c r="C102" s="7" t="str">
        <f t="shared" si="5"/>
        <v>Premium</v>
      </c>
      <c r="D102" s="5">
        <v>226</v>
      </c>
      <c r="E102" s="7" t="str">
        <f>VLOOKUP(D102,[1]characters!$A:$C,3,FALSE)</f>
        <v>アレス</v>
      </c>
      <c r="F102" s="7" t="str">
        <f>VLOOKUP(D102,[1]characters!$A:$J,10,FALSE)</f>
        <v>PremiumS</v>
      </c>
      <c r="G102" s="7">
        <f>VLOOKUP(D102,[1]characters!$A:$I,9,FALSE)</f>
        <v>3</v>
      </c>
      <c r="H102" s="7" t="str">
        <f>VLOOKUP(D102,[1]characters!$A:$H,8,FALSE)</f>
        <v>red</v>
      </c>
      <c r="I102" s="7" t="str">
        <f>VLOOKUP(D102,[1]characters!$A:$K,11,FALSE)</f>
        <v>attack</v>
      </c>
      <c r="J102" s="7" t="str">
        <f>VLOOKUP(D102,[1]characters!$A:$M,13,FALSE)</f>
        <v>god</v>
      </c>
      <c r="K102" s="7" t="str">
        <f>VLOOKUP(D102,[1]characters!$A:$G,7,FALSE)</f>
        <v>男性</v>
      </c>
      <c r="L102" s="66">
        <f>IFERROR(VLOOKUP(D102,input_2!L:R,7,FALSE),VLOOKUP(tables_2!B102,input_2!A:H,8,FALSE))</f>
        <v>351000</v>
      </c>
      <c r="M102" s="67">
        <f t="shared" si="3"/>
        <v>6.7567567567567571E-3</v>
      </c>
      <c r="N102" s="31">
        <f>IFERROR(VLOOKUP($D102,bug_conf_sheet!$A:$H,3,FALSE),VLOOKUP("other",bug_conf_sheet!$A:$H,3,FALSE))</f>
        <v>1</v>
      </c>
      <c r="O102" s="31">
        <f>IFERROR(VLOOKUP($D102,bug_conf_sheet!$A:$H,4,FALSE),VLOOKUP("other",bug_conf_sheet!$A:$H,4,FALSE))</f>
        <v>0</v>
      </c>
      <c r="P102" s="31">
        <f>IFERROR(VLOOKUP($D102,bug_conf_sheet!$A:$H,5,FALSE),VLOOKUP("other",bug_conf_sheet!$A:$H,5,FALSE))</f>
        <v>0</v>
      </c>
      <c r="Q102" s="31">
        <f>IFERROR(VLOOKUP($D102,bug_conf_sheet!$A:$H,6,FALSE),VLOOKUP("other",bug_conf_sheet!$A:$H,6,FALSE))</f>
        <v>0</v>
      </c>
      <c r="R102" s="31">
        <f>IFERROR(VLOOKUP($D102,bug_conf_sheet!$A:$H,7,FALSE),VLOOKUP("other",bug_conf_sheet!$A:$H,7,FALSE))</f>
        <v>0</v>
      </c>
      <c r="S102" s="31">
        <f>IFERROR(VLOOKUP($D102,bug_conf_sheet!$A:$H,8,FALSE),VLOOKUP("other",bug_conf_sheet!$A:$H,8,FALSE))</f>
        <v>1</v>
      </c>
    </row>
    <row r="103" spans="1:19" ht="21" customHeight="1">
      <c r="A103" s="2">
        <f>input_2!A$2</f>
        <v>3122</v>
      </c>
      <c r="B103" s="7" t="str">
        <f t="shared" si="4"/>
        <v>Premium4</v>
      </c>
      <c r="C103" s="7" t="str">
        <f t="shared" si="5"/>
        <v>Premium</v>
      </c>
      <c r="D103" s="5">
        <v>227</v>
      </c>
      <c r="E103" s="7" t="str">
        <f>VLOOKUP(D103,[1]characters!$A:$C,3,FALSE)</f>
        <v>滅弾 アレス</v>
      </c>
      <c r="F103" s="7" t="str">
        <f>VLOOKUP(D103,[1]characters!$A:$J,10,FALSE)</f>
        <v>PremiumS</v>
      </c>
      <c r="G103" s="7">
        <f>VLOOKUP(D103,[1]characters!$A:$I,9,FALSE)</f>
        <v>4</v>
      </c>
      <c r="H103" s="7" t="str">
        <f>VLOOKUP(D103,[1]characters!$A:$H,8,FALSE)</f>
        <v>red</v>
      </c>
      <c r="I103" s="7" t="str">
        <f>VLOOKUP(D103,[1]characters!$A:$K,11,FALSE)</f>
        <v>attack</v>
      </c>
      <c r="J103" s="7" t="str">
        <f>VLOOKUP(D103,[1]characters!$A:$M,13,FALSE)</f>
        <v>god</v>
      </c>
      <c r="K103" s="7" t="str">
        <f>VLOOKUP(D103,[1]characters!$A:$G,7,FALSE)</f>
        <v>男性</v>
      </c>
      <c r="L103" s="66">
        <f>IFERROR(VLOOKUP(D103,input_2!L:R,7,FALSE),VLOOKUP(tables_2!B103,input_2!A:H,8,FALSE))</f>
        <v>306423</v>
      </c>
      <c r="M103" s="67">
        <f t="shared" si="3"/>
        <v>5.8986486486486489E-3</v>
      </c>
      <c r="N103" s="31">
        <f>IFERROR(VLOOKUP($D103,bug_conf_sheet!$A:$H,3,FALSE),VLOOKUP("other",bug_conf_sheet!$A:$H,3,FALSE))</f>
        <v>1</v>
      </c>
      <c r="O103" s="31">
        <f>IFERROR(VLOOKUP($D103,bug_conf_sheet!$A:$H,4,FALSE),VLOOKUP("other",bug_conf_sheet!$A:$H,4,FALSE))</f>
        <v>0</v>
      </c>
      <c r="P103" s="31">
        <f>IFERROR(VLOOKUP($D103,bug_conf_sheet!$A:$H,5,FALSE),VLOOKUP("other",bug_conf_sheet!$A:$H,5,FALSE))</f>
        <v>0</v>
      </c>
      <c r="Q103" s="31">
        <f>IFERROR(VLOOKUP($D103,bug_conf_sheet!$A:$H,6,FALSE),VLOOKUP("other",bug_conf_sheet!$A:$H,6,FALSE))</f>
        <v>0</v>
      </c>
      <c r="R103" s="31">
        <f>IFERROR(VLOOKUP($D103,bug_conf_sheet!$A:$H,7,FALSE),VLOOKUP("other",bug_conf_sheet!$A:$H,7,FALSE))</f>
        <v>0</v>
      </c>
      <c r="S103" s="31">
        <f>IFERROR(VLOOKUP($D103,bug_conf_sheet!$A:$H,8,FALSE),VLOOKUP("other",bug_conf_sheet!$A:$H,8,FALSE))</f>
        <v>1</v>
      </c>
    </row>
    <row r="104" spans="1:19" ht="21" customHeight="1">
      <c r="A104" s="2">
        <f>input_2!A$2</f>
        <v>3122</v>
      </c>
      <c r="B104" s="7" t="str">
        <f t="shared" si="4"/>
        <v>Premium5</v>
      </c>
      <c r="C104" s="7" t="str">
        <f t="shared" si="5"/>
        <v>Premium</v>
      </c>
      <c r="D104" s="5">
        <v>228</v>
      </c>
      <c r="E104" s="7" t="str">
        <f>VLOOKUP(D104,[1]characters!$A:$C,3,FALSE)</f>
        <v>殲滅の掃射砲 アレス</v>
      </c>
      <c r="F104" s="7" t="str">
        <f>VLOOKUP(D104,[1]characters!$A:$J,10,FALSE)</f>
        <v>PremiumS</v>
      </c>
      <c r="G104" s="7">
        <f>VLOOKUP(D104,[1]characters!$A:$I,9,FALSE)</f>
        <v>5</v>
      </c>
      <c r="H104" s="7" t="str">
        <f>VLOOKUP(D104,[1]characters!$A:$H,8,FALSE)</f>
        <v>red</v>
      </c>
      <c r="I104" s="7" t="str">
        <f>VLOOKUP(D104,[1]characters!$A:$K,11,FALSE)</f>
        <v>attack</v>
      </c>
      <c r="J104" s="7" t="str">
        <f>VLOOKUP(D104,[1]characters!$A:$M,13,FALSE)</f>
        <v>god</v>
      </c>
      <c r="K104" s="7" t="str">
        <f>VLOOKUP(D104,[1]characters!$A:$G,7,FALSE)</f>
        <v>男性</v>
      </c>
      <c r="L104" s="66">
        <f>IFERROR(VLOOKUP(D104,input_2!L:R,7,FALSE),VLOOKUP(tables_2!B104,input_2!A:H,8,FALSE))</f>
        <v>46657</v>
      </c>
      <c r="M104" s="67">
        <f t="shared" si="3"/>
        <v>8.9814814814814813E-4</v>
      </c>
      <c r="N104" s="31">
        <f>IFERROR(VLOOKUP($D104,bug_conf_sheet!$A:$H,3,FALSE),VLOOKUP("other",bug_conf_sheet!$A:$H,3,FALSE))</f>
        <v>1</v>
      </c>
      <c r="O104" s="31">
        <f>IFERROR(VLOOKUP($D104,bug_conf_sheet!$A:$H,4,FALSE),VLOOKUP("other",bug_conf_sheet!$A:$H,4,FALSE))</f>
        <v>0</v>
      </c>
      <c r="P104" s="31">
        <f>IFERROR(VLOOKUP($D104,bug_conf_sheet!$A:$H,5,FALSE),VLOOKUP("other",bug_conf_sheet!$A:$H,5,FALSE))</f>
        <v>0</v>
      </c>
      <c r="Q104" s="31">
        <f>IFERROR(VLOOKUP($D104,bug_conf_sheet!$A:$H,6,FALSE),VLOOKUP("other",bug_conf_sheet!$A:$H,6,FALSE))</f>
        <v>0</v>
      </c>
      <c r="R104" s="31">
        <f>IFERROR(VLOOKUP($D104,bug_conf_sheet!$A:$H,7,FALSE),VLOOKUP("other",bug_conf_sheet!$A:$H,7,FALSE))</f>
        <v>0</v>
      </c>
      <c r="S104" s="31">
        <f>IFERROR(VLOOKUP($D104,bug_conf_sheet!$A:$H,8,FALSE),VLOOKUP("other",bug_conf_sheet!$A:$H,8,FALSE))</f>
        <v>1</v>
      </c>
    </row>
    <row r="105" spans="1:19" ht="21" customHeight="1">
      <c r="A105" s="2">
        <f>input_2!A$2</f>
        <v>3122</v>
      </c>
      <c r="B105" s="7" t="str">
        <f t="shared" si="4"/>
        <v>Premium3</v>
      </c>
      <c r="C105" s="7" t="str">
        <f t="shared" si="5"/>
        <v>Premium</v>
      </c>
      <c r="D105" s="5">
        <v>229</v>
      </c>
      <c r="E105" s="7" t="str">
        <f>VLOOKUP(D105,[1]characters!$A:$C,3,FALSE)</f>
        <v>ヨルムンガンド</v>
      </c>
      <c r="F105" s="7" t="str">
        <f>VLOOKUP(D105,[1]characters!$A:$J,10,FALSE)</f>
        <v>PremiumS</v>
      </c>
      <c r="G105" s="7">
        <f>VLOOKUP(D105,[1]characters!$A:$I,9,FALSE)</f>
        <v>3</v>
      </c>
      <c r="H105" s="7" t="str">
        <f>VLOOKUP(D105,[1]characters!$A:$H,8,FALSE)</f>
        <v>green</v>
      </c>
      <c r="I105" s="7" t="str">
        <f>VLOOKUP(D105,[1]characters!$A:$K,11,FALSE)</f>
        <v>technical</v>
      </c>
      <c r="J105" s="7" t="str">
        <f>VLOOKUP(D105,[1]characters!$A:$M,13,FALSE)</f>
        <v>dragon</v>
      </c>
      <c r="K105" s="7" t="str">
        <f>VLOOKUP(D105,[1]characters!$A:$G,7,FALSE)</f>
        <v>女性</v>
      </c>
      <c r="L105" s="66">
        <f>IFERROR(VLOOKUP(D105,input_2!L:R,7,FALSE),VLOOKUP(tables_2!B105,input_2!A:H,8,FALSE))</f>
        <v>351000</v>
      </c>
      <c r="M105" s="67">
        <f t="shared" si="3"/>
        <v>6.7567567567567571E-3</v>
      </c>
      <c r="N105" s="31">
        <f>IFERROR(VLOOKUP($D105,bug_conf_sheet!$A:$H,3,FALSE),VLOOKUP("other",bug_conf_sheet!$A:$H,3,FALSE))</f>
        <v>1</v>
      </c>
      <c r="O105" s="31">
        <f>IFERROR(VLOOKUP($D105,bug_conf_sheet!$A:$H,4,FALSE),VLOOKUP("other",bug_conf_sheet!$A:$H,4,FALSE))</f>
        <v>0</v>
      </c>
      <c r="P105" s="31">
        <f>IFERROR(VLOOKUP($D105,bug_conf_sheet!$A:$H,5,FALSE),VLOOKUP("other",bug_conf_sheet!$A:$H,5,FALSE))</f>
        <v>0</v>
      </c>
      <c r="Q105" s="31">
        <f>IFERROR(VLOOKUP($D105,bug_conf_sheet!$A:$H,6,FALSE),VLOOKUP("other",bug_conf_sheet!$A:$H,6,FALSE))</f>
        <v>0</v>
      </c>
      <c r="R105" s="31">
        <f>IFERROR(VLOOKUP($D105,bug_conf_sheet!$A:$H,7,FALSE),VLOOKUP("other",bug_conf_sheet!$A:$H,7,FALSE))</f>
        <v>0</v>
      </c>
      <c r="S105" s="31">
        <f>IFERROR(VLOOKUP($D105,bug_conf_sheet!$A:$H,8,FALSE),VLOOKUP("other",bug_conf_sheet!$A:$H,8,FALSE))</f>
        <v>1</v>
      </c>
    </row>
    <row r="106" spans="1:19" ht="21" customHeight="1">
      <c r="A106" s="2">
        <f>input_2!A$2</f>
        <v>3122</v>
      </c>
      <c r="B106" s="7" t="str">
        <f t="shared" si="4"/>
        <v>Premium4</v>
      </c>
      <c r="C106" s="7" t="str">
        <f t="shared" si="5"/>
        <v>Premium</v>
      </c>
      <c r="D106" s="5">
        <v>230</v>
      </c>
      <c r="E106" s="7" t="str">
        <f>VLOOKUP(D106,[1]characters!$A:$C,3,FALSE)</f>
        <v>毒銃 ヨルムンガンド</v>
      </c>
      <c r="F106" s="7" t="str">
        <f>VLOOKUP(D106,[1]characters!$A:$J,10,FALSE)</f>
        <v>PremiumS</v>
      </c>
      <c r="G106" s="7">
        <f>VLOOKUP(D106,[1]characters!$A:$I,9,FALSE)</f>
        <v>4</v>
      </c>
      <c r="H106" s="7" t="str">
        <f>VLOOKUP(D106,[1]characters!$A:$H,8,FALSE)</f>
        <v>green</v>
      </c>
      <c r="I106" s="7" t="str">
        <f>VLOOKUP(D106,[1]characters!$A:$K,11,FALSE)</f>
        <v>technical</v>
      </c>
      <c r="J106" s="7" t="str">
        <f>VLOOKUP(D106,[1]characters!$A:$M,13,FALSE)</f>
        <v>dragon</v>
      </c>
      <c r="K106" s="7" t="str">
        <f>VLOOKUP(D106,[1]characters!$A:$G,7,FALSE)</f>
        <v>女性</v>
      </c>
      <c r="L106" s="66">
        <f>IFERROR(VLOOKUP(D106,input_2!L:R,7,FALSE),VLOOKUP(tables_2!B106,input_2!A:H,8,FALSE))</f>
        <v>306423</v>
      </c>
      <c r="M106" s="67">
        <f t="shared" si="3"/>
        <v>5.8986486486486489E-3</v>
      </c>
      <c r="N106" s="31">
        <f>IFERROR(VLOOKUP($D106,bug_conf_sheet!$A:$H,3,FALSE),VLOOKUP("other",bug_conf_sheet!$A:$H,3,FALSE))</f>
        <v>1</v>
      </c>
      <c r="O106" s="31">
        <f>IFERROR(VLOOKUP($D106,bug_conf_sheet!$A:$H,4,FALSE),VLOOKUP("other",bug_conf_sheet!$A:$H,4,FALSE))</f>
        <v>0</v>
      </c>
      <c r="P106" s="31">
        <f>IFERROR(VLOOKUP($D106,bug_conf_sheet!$A:$H,5,FALSE),VLOOKUP("other",bug_conf_sheet!$A:$H,5,FALSE))</f>
        <v>0</v>
      </c>
      <c r="Q106" s="31">
        <f>IFERROR(VLOOKUP($D106,bug_conf_sheet!$A:$H,6,FALSE),VLOOKUP("other",bug_conf_sheet!$A:$H,6,FALSE))</f>
        <v>0</v>
      </c>
      <c r="R106" s="31">
        <f>IFERROR(VLOOKUP($D106,bug_conf_sheet!$A:$H,7,FALSE),VLOOKUP("other",bug_conf_sheet!$A:$H,7,FALSE))</f>
        <v>0</v>
      </c>
      <c r="S106" s="31">
        <f>IFERROR(VLOOKUP($D106,bug_conf_sheet!$A:$H,8,FALSE),VLOOKUP("other",bug_conf_sheet!$A:$H,8,FALSE))</f>
        <v>1</v>
      </c>
    </row>
    <row r="107" spans="1:19" ht="21" customHeight="1">
      <c r="A107" s="2">
        <f>input_2!A$2</f>
        <v>3122</v>
      </c>
      <c r="B107" s="7" t="str">
        <f t="shared" si="4"/>
        <v>Premium5</v>
      </c>
      <c r="C107" s="7" t="str">
        <f t="shared" si="5"/>
        <v>Premium</v>
      </c>
      <c r="D107" s="5">
        <v>231</v>
      </c>
      <c r="E107" s="7" t="str">
        <f>VLOOKUP(D107,[1]characters!$A:$C,3,FALSE)</f>
        <v>必中の咬銃 ヨルムンガンド</v>
      </c>
      <c r="F107" s="7" t="str">
        <f>VLOOKUP(D107,[1]characters!$A:$J,10,FALSE)</f>
        <v>PremiumS</v>
      </c>
      <c r="G107" s="7">
        <f>VLOOKUP(D107,[1]characters!$A:$I,9,FALSE)</f>
        <v>5</v>
      </c>
      <c r="H107" s="7" t="str">
        <f>VLOOKUP(D107,[1]characters!$A:$H,8,FALSE)</f>
        <v>green</v>
      </c>
      <c r="I107" s="7" t="str">
        <f>VLOOKUP(D107,[1]characters!$A:$K,11,FALSE)</f>
        <v>technical</v>
      </c>
      <c r="J107" s="7" t="str">
        <f>VLOOKUP(D107,[1]characters!$A:$M,13,FALSE)</f>
        <v>dragon</v>
      </c>
      <c r="K107" s="7" t="str">
        <f>VLOOKUP(D107,[1]characters!$A:$G,7,FALSE)</f>
        <v>女性</v>
      </c>
      <c r="L107" s="66">
        <f>IFERROR(VLOOKUP(D107,input_2!L:R,7,FALSE),VLOOKUP(tables_2!B107,input_2!A:H,8,FALSE))</f>
        <v>46657</v>
      </c>
      <c r="M107" s="67">
        <f t="shared" si="3"/>
        <v>8.9814814814814813E-4</v>
      </c>
      <c r="N107" s="31">
        <f>IFERROR(VLOOKUP($D107,bug_conf_sheet!$A:$H,3,FALSE),VLOOKUP("other",bug_conf_sheet!$A:$H,3,FALSE))</f>
        <v>1</v>
      </c>
      <c r="O107" s="31">
        <f>IFERROR(VLOOKUP($D107,bug_conf_sheet!$A:$H,4,FALSE),VLOOKUP("other",bug_conf_sheet!$A:$H,4,FALSE))</f>
        <v>0</v>
      </c>
      <c r="P107" s="31">
        <f>IFERROR(VLOOKUP($D107,bug_conf_sheet!$A:$H,5,FALSE),VLOOKUP("other",bug_conf_sheet!$A:$H,5,FALSE))</f>
        <v>0</v>
      </c>
      <c r="Q107" s="31">
        <f>IFERROR(VLOOKUP($D107,bug_conf_sheet!$A:$H,6,FALSE),VLOOKUP("other",bug_conf_sheet!$A:$H,6,FALSE))</f>
        <v>0</v>
      </c>
      <c r="R107" s="31">
        <f>IFERROR(VLOOKUP($D107,bug_conf_sheet!$A:$H,7,FALSE),VLOOKUP("other",bug_conf_sheet!$A:$H,7,FALSE))</f>
        <v>0</v>
      </c>
      <c r="S107" s="31">
        <f>IFERROR(VLOOKUP($D107,bug_conf_sheet!$A:$H,8,FALSE),VLOOKUP("other",bug_conf_sheet!$A:$H,8,FALSE))</f>
        <v>1</v>
      </c>
    </row>
    <row r="108" spans="1:19" ht="21" customHeight="1">
      <c r="A108" s="2">
        <f>input_2!A$2</f>
        <v>3122</v>
      </c>
      <c r="B108" s="7" t="str">
        <f t="shared" si="4"/>
        <v>Premium3</v>
      </c>
      <c r="C108" s="7" t="str">
        <f t="shared" si="5"/>
        <v>Premium</v>
      </c>
      <c r="D108" s="5">
        <v>232</v>
      </c>
      <c r="E108" s="7" t="str">
        <f>VLOOKUP(D108,[1]characters!$A:$C,3,FALSE)</f>
        <v>パーシヴァル</v>
      </c>
      <c r="F108" s="7" t="str">
        <f>VLOOKUP(D108,[1]characters!$A:$J,10,FALSE)</f>
        <v>PremiumS</v>
      </c>
      <c r="G108" s="7">
        <f>VLOOKUP(D108,[1]characters!$A:$I,9,FALSE)</f>
        <v>3</v>
      </c>
      <c r="H108" s="7" t="str">
        <f>VLOOKUP(D108,[1]characters!$A:$H,8,FALSE)</f>
        <v>blue</v>
      </c>
      <c r="I108" s="7" t="str">
        <f>VLOOKUP(D108,[1]characters!$A:$K,11,FALSE)</f>
        <v>technical</v>
      </c>
      <c r="J108" s="7" t="str">
        <f>VLOOKUP(D108,[1]characters!$A:$M,13,FALSE)</f>
        <v>human</v>
      </c>
      <c r="K108" s="7" t="str">
        <f>VLOOKUP(D108,[1]characters!$A:$G,7,FALSE)</f>
        <v>女性</v>
      </c>
      <c r="L108" s="66">
        <f>IFERROR(VLOOKUP(D108,input_2!L:R,7,FALSE),VLOOKUP(tables_2!B108,input_2!A:H,8,FALSE))</f>
        <v>351000</v>
      </c>
      <c r="M108" s="67">
        <f t="shared" si="3"/>
        <v>6.7567567567567571E-3</v>
      </c>
      <c r="N108" s="31">
        <f>IFERROR(VLOOKUP($D108,bug_conf_sheet!$A:$H,3,FALSE),VLOOKUP("other",bug_conf_sheet!$A:$H,3,FALSE))</f>
        <v>1</v>
      </c>
      <c r="O108" s="31">
        <f>IFERROR(VLOOKUP($D108,bug_conf_sheet!$A:$H,4,FALSE),VLOOKUP("other",bug_conf_sheet!$A:$H,4,FALSE))</f>
        <v>0</v>
      </c>
      <c r="P108" s="31">
        <f>IFERROR(VLOOKUP($D108,bug_conf_sheet!$A:$H,5,FALSE),VLOOKUP("other",bug_conf_sheet!$A:$H,5,FALSE))</f>
        <v>0</v>
      </c>
      <c r="Q108" s="31">
        <f>IFERROR(VLOOKUP($D108,bug_conf_sheet!$A:$H,6,FALSE),VLOOKUP("other",bug_conf_sheet!$A:$H,6,FALSE))</f>
        <v>0</v>
      </c>
      <c r="R108" s="31">
        <f>IFERROR(VLOOKUP($D108,bug_conf_sheet!$A:$H,7,FALSE),VLOOKUP("other",bug_conf_sheet!$A:$H,7,FALSE))</f>
        <v>0</v>
      </c>
      <c r="S108" s="31">
        <f>IFERROR(VLOOKUP($D108,bug_conf_sheet!$A:$H,8,FALSE),VLOOKUP("other",bug_conf_sheet!$A:$H,8,FALSE))</f>
        <v>1</v>
      </c>
    </row>
    <row r="109" spans="1:19" ht="21" customHeight="1">
      <c r="A109" s="2">
        <f>input_2!A$2</f>
        <v>3122</v>
      </c>
      <c r="B109" s="7" t="str">
        <f t="shared" si="4"/>
        <v>Premium4</v>
      </c>
      <c r="C109" s="7" t="str">
        <f t="shared" si="5"/>
        <v>Premium</v>
      </c>
      <c r="D109" s="5">
        <v>233</v>
      </c>
      <c r="E109" s="7" t="str">
        <f>VLOOKUP(D109,[1]characters!$A:$C,3,FALSE)</f>
        <v>遂行 パーシヴァル</v>
      </c>
      <c r="F109" s="7" t="str">
        <f>VLOOKUP(D109,[1]characters!$A:$J,10,FALSE)</f>
        <v>PremiumS</v>
      </c>
      <c r="G109" s="7">
        <f>VLOOKUP(D109,[1]characters!$A:$I,9,FALSE)</f>
        <v>4</v>
      </c>
      <c r="H109" s="7" t="str">
        <f>VLOOKUP(D109,[1]characters!$A:$H,8,FALSE)</f>
        <v>blue</v>
      </c>
      <c r="I109" s="7" t="str">
        <f>VLOOKUP(D109,[1]characters!$A:$K,11,FALSE)</f>
        <v>technical</v>
      </c>
      <c r="J109" s="7" t="str">
        <f>VLOOKUP(D109,[1]characters!$A:$M,13,FALSE)</f>
        <v>human</v>
      </c>
      <c r="K109" s="7" t="str">
        <f>VLOOKUP(D109,[1]characters!$A:$G,7,FALSE)</f>
        <v>女性</v>
      </c>
      <c r="L109" s="66">
        <f>IFERROR(VLOOKUP(D109,input_2!L:R,7,FALSE),VLOOKUP(tables_2!B109,input_2!A:H,8,FALSE))</f>
        <v>306423</v>
      </c>
      <c r="M109" s="67">
        <f t="shared" si="3"/>
        <v>5.8986486486486489E-3</v>
      </c>
      <c r="N109" s="31">
        <f>IFERROR(VLOOKUP($D109,bug_conf_sheet!$A:$H,3,FALSE),VLOOKUP("other",bug_conf_sheet!$A:$H,3,FALSE))</f>
        <v>1</v>
      </c>
      <c r="O109" s="31">
        <f>IFERROR(VLOOKUP($D109,bug_conf_sheet!$A:$H,4,FALSE),VLOOKUP("other",bug_conf_sheet!$A:$H,4,FALSE))</f>
        <v>0</v>
      </c>
      <c r="P109" s="31">
        <f>IFERROR(VLOOKUP($D109,bug_conf_sheet!$A:$H,5,FALSE),VLOOKUP("other",bug_conf_sheet!$A:$H,5,FALSE))</f>
        <v>0</v>
      </c>
      <c r="Q109" s="31">
        <f>IFERROR(VLOOKUP($D109,bug_conf_sheet!$A:$H,6,FALSE),VLOOKUP("other",bug_conf_sheet!$A:$H,6,FALSE))</f>
        <v>0</v>
      </c>
      <c r="R109" s="31">
        <f>IFERROR(VLOOKUP($D109,bug_conf_sheet!$A:$H,7,FALSE),VLOOKUP("other",bug_conf_sheet!$A:$H,7,FALSE))</f>
        <v>0</v>
      </c>
      <c r="S109" s="31">
        <f>IFERROR(VLOOKUP($D109,bug_conf_sheet!$A:$H,8,FALSE),VLOOKUP("other",bug_conf_sheet!$A:$H,8,FALSE))</f>
        <v>1</v>
      </c>
    </row>
    <row r="110" spans="1:19" ht="21" customHeight="1">
      <c r="A110" s="2">
        <f>input_2!A$2</f>
        <v>3122</v>
      </c>
      <c r="B110" s="7" t="str">
        <f t="shared" si="4"/>
        <v>Premium5</v>
      </c>
      <c r="C110" s="7" t="str">
        <f t="shared" si="5"/>
        <v>Premium</v>
      </c>
      <c r="D110" s="5">
        <v>234</v>
      </c>
      <c r="E110" s="7" t="str">
        <f>VLOOKUP(D110,[1]characters!$A:$C,3,FALSE)</f>
        <v>精密なる照準 パーシヴァル</v>
      </c>
      <c r="F110" s="7" t="str">
        <f>VLOOKUP(D110,[1]characters!$A:$J,10,FALSE)</f>
        <v>PremiumS</v>
      </c>
      <c r="G110" s="7">
        <f>VLOOKUP(D110,[1]characters!$A:$I,9,FALSE)</f>
        <v>5</v>
      </c>
      <c r="H110" s="7" t="str">
        <f>VLOOKUP(D110,[1]characters!$A:$H,8,FALSE)</f>
        <v>blue</v>
      </c>
      <c r="I110" s="7" t="str">
        <f>VLOOKUP(D110,[1]characters!$A:$K,11,FALSE)</f>
        <v>technical</v>
      </c>
      <c r="J110" s="7" t="str">
        <f>VLOOKUP(D110,[1]characters!$A:$M,13,FALSE)</f>
        <v>human</v>
      </c>
      <c r="K110" s="7" t="str">
        <f>VLOOKUP(D110,[1]characters!$A:$G,7,FALSE)</f>
        <v>女性</v>
      </c>
      <c r="L110" s="66">
        <f>IFERROR(VLOOKUP(D110,input_2!L:R,7,FALSE),VLOOKUP(tables_2!B110,input_2!A:H,8,FALSE))</f>
        <v>46657</v>
      </c>
      <c r="M110" s="67">
        <f t="shared" si="3"/>
        <v>8.9814814814814813E-4</v>
      </c>
      <c r="N110" s="31">
        <f>IFERROR(VLOOKUP($D110,bug_conf_sheet!$A:$H,3,FALSE),VLOOKUP("other",bug_conf_sheet!$A:$H,3,FALSE))</f>
        <v>1</v>
      </c>
      <c r="O110" s="31">
        <f>IFERROR(VLOOKUP($D110,bug_conf_sheet!$A:$H,4,FALSE),VLOOKUP("other",bug_conf_sheet!$A:$H,4,FALSE))</f>
        <v>0</v>
      </c>
      <c r="P110" s="31">
        <f>IFERROR(VLOOKUP($D110,bug_conf_sheet!$A:$H,5,FALSE),VLOOKUP("other",bug_conf_sheet!$A:$H,5,FALSE))</f>
        <v>0</v>
      </c>
      <c r="Q110" s="31">
        <f>IFERROR(VLOOKUP($D110,bug_conf_sheet!$A:$H,6,FALSE),VLOOKUP("other",bug_conf_sheet!$A:$H,6,FALSE))</f>
        <v>0</v>
      </c>
      <c r="R110" s="31">
        <f>IFERROR(VLOOKUP($D110,bug_conf_sheet!$A:$H,7,FALSE),VLOOKUP("other",bug_conf_sheet!$A:$H,7,FALSE))</f>
        <v>0</v>
      </c>
      <c r="S110" s="31">
        <f>IFERROR(VLOOKUP($D110,bug_conf_sheet!$A:$H,8,FALSE),VLOOKUP("other",bug_conf_sheet!$A:$H,8,FALSE))</f>
        <v>1</v>
      </c>
    </row>
    <row r="111" spans="1:19" ht="21" customHeight="1">
      <c r="A111" s="2">
        <f>input_2!A$2</f>
        <v>3122</v>
      </c>
      <c r="B111" s="7" t="str">
        <f t="shared" si="4"/>
        <v>Premium3</v>
      </c>
      <c r="C111" s="7" t="str">
        <f t="shared" si="5"/>
        <v>Premium</v>
      </c>
      <c r="D111" s="5">
        <v>235</v>
      </c>
      <c r="E111" s="7" t="str">
        <f>VLOOKUP(D111,[1]characters!$A:$C,3,FALSE)</f>
        <v>イザナミ</v>
      </c>
      <c r="F111" s="7" t="str">
        <f>VLOOKUP(D111,[1]characters!$A:$J,10,FALSE)</f>
        <v>PremiumS</v>
      </c>
      <c r="G111" s="7">
        <f>VLOOKUP(D111,[1]characters!$A:$I,9,FALSE)</f>
        <v>3</v>
      </c>
      <c r="H111" s="7" t="str">
        <f>VLOOKUP(D111,[1]characters!$A:$H,8,FALSE)</f>
        <v>yellow</v>
      </c>
      <c r="I111" s="7" t="str">
        <f>VLOOKUP(D111,[1]characters!$A:$K,11,FALSE)</f>
        <v>attack</v>
      </c>
      <c r="J111" s="7" t="str">
        <f>VLOOKUP(D111,[1]characters!$A:$M,13,FALSE)</f>
        <v>god</v>
      </c>
      <c r="K111" s="7" t="str">
        <f>VLOOKUP(D111,[1]characters!$A:$G,7,FALSE)</f>
        <v>女性</v>
      </c>
      <c r="L111" s="66">
        <f>IFERROR(VLOOKUP(D111,input_2!L:R,7,FALSE),VLOOKUP(tables_2!B111,input_2!A:H,8,FALSE))</f>
        <v>351000</v>
      </c>
      <c r="M111" s="67">
        <f t="shared" si="3"/>
        <v>6.7567567567567571E-3</v>
      </c>
      <c r="N111" s="31">
        <f>IFERROR(VLOOKUP($D111,bug_conf_sheet!$A:$H,3,FALSE),VLOOKUP("other",bug_conf_sheet!$A:$H,3,FALSE))</f>
        <v>1</v>
      </c>
      <c r="O111" s="31">
        <f>IFERROR(VLOOKUP($D111,bug_conf_sheet!$A:$H,4,FALSE),VLOOKUP("other",bug_conf_sheet!$A:$H,4,FALSE))</f>
        <v>0</v>
      </c>
      <c r="P111" s="31">
        <f>IFERROR(VLOOKUP($D111,bug_conf_sheet!$A:$H,5,FALSE),VLOOKUP("other",bug_conf_sheet!$A:$H,5,FALSE))</f>
        <v>0</v>
      </c>
      <c r="Q111" s="31">
        <f>IFERROR(VLOOKUP($D111,bug_conf_sheet!$A:$H,6,FALSE),VLOOKUP("other",bug_conf_sheet!$A:$H,6,FALSE))</f>
        <v>0</v>
      </c>
      <c r="R111" s="31">
        <f>IFERROR(VLOOKUP($D111,bug_conf_sheet!$A:$H,7,FALSE),VLOOKUP("other",bug_conf_sheet!$A:$H,7,FALSE))</f>
        <v>0</v>
      </c>
      <c r="S111" s="31">
        <f>IFERROR(VLOOKUP($D111,bug_conf_sheet!$A:$H,8,FALSE),VLOOKUP("other",bug_conf_sheet!$A:$H,8,FALSE))</f>
        <v>1</v>
      </c>
    </row>
    <row r="112" spans="1:19" ht="21" customHeight="1">
      <c r="A112" s="2">
        <f>input_2!A$2</f>
        <v>3122</v>
      </c>
      <c r="B112" s="7" t="str">
        <f t="shared" si="4"/>
        <v>Premium4</v>
      </c>
      <c r="C112" s="7" t="str">
        <f t="shared" si="5"/>
        <v>Premium</v>
      </c>
      <c r="D112" s="5">
        <v>236</v>
      </c>
      <c r="E112" s="7" t="str">
        <f>VLOOKUP(D112,[1]characters!$A:$C,3,FALSE)</f>
        <v>神産 イザナミ</v>
      </c>
      <c r="F112" s="7" t="str">
        <f>VLOOKUP(D112,[1]characters!$A:$J,10,FALSE)</f>
        <v>PremiumS</v>
      </c>
      <c r="G112" s="7">
        <f>VLOOKUP(D112,[1]characters!$A:$I,9,FALSE)</f>
        <v>4</v>
      </c>
      <c r="H112" s="7" t="str">
        <f>VLOOKUP(D112,[1]characters!$A:$H,8,FALSE)</f>
        <v>yellow</v>
      </c>
      <c r="I112" s="7" t="str">
        <f>VLOOKUP(D112,[1]characters!$A:$K,11,FALSE)</f>
        <v>attack</v>
      </c>
      <c r="J112" s="7" t="str">
        <f>VLOOKUP(D112,[1]characters!$A:$M,13,FALSE)</f>
        <v>god</v>
      </c>
      <c r="K112" s="7" t="str">
        <f>VLOOKUP(D112,[1]characters!$A:$G,7,FALSE)</f>
        <v>女性</v>
      </c>
      <c r="L112" s="66">
        <f>IFERROR(VLOOKUP(D112,input_2!L:R,7,FALSE),VLOOKUP(tables_2!B112,input_2!A:H,8,FALSE))</f>
        <v>306423</v>
      </c>
      <c r="M112" s="67">
        <f t="shared" si="3"/>
        <v>5.8986486486486489E-3</v>
      </c>
      <c r="N112" s="31">
        <f>IFERROR(VLOOKUP($D112,bug_conf_sheet!$A:$H,3,FALSE),VLOOKUP("other",bug_conf_sheet!$A:$H,3,FALSE))</f>
        <v>1</v>
      </c>
      <c r="O112" s="31">
        <f>IFERROR(VLOOKUP($D112,bug_conf_sheet!$A:$H,4,FALSE),VLOOKUP("other",bug_conf_sheet!$A:$H,4,FALSE))</f>
        <v>0</v>
      </c>
      <c r="P112" s="31">
        <f>IFERROR(VLOOKUP($D112,bug_conf_sheet!$A:$H,5,FALSE),VLOOKUP("other",bug_conf_sheet!$A:$H,5,FALSE))</f>
        <v>0</v>
      </c>
      <c r="Q112" s="31">
        <f>IFERROR(VLOOKUP($D112,bug_conf_sheet!$A:$H,6,FALSE),VLOOKUP("other",bug_conf_sheet!$A:$H,6,FALSE))</f>
        <v>0</v>
      </c>
      <c r="R112" s="31">
        <f>IFERROR(VLOOKUP($D112,bug_conf_sheet!$A:$H,7,FALSE),VLOOKUP("other",bug_conf_sheet!$A:$H,7,FALSE))</f>
        <v>0</v>
      </c>
      <c r="S112" s="31">
        <f>IFERROR(VLOOKUP($D112,bug_conf_sheet!$A:$H,8,FALSE),VLOOKUP("other",bug_conf_sheet!$A:$H,8,FALSE))</f>
        <v>1</v>
      </c>
    </row>
    <row r="113" spans="1:19" ht="21" customHeight="1">
      <c r="A113" s="2">
        <f>input_2!A$2</f>
        <v>3122</v>
      </c>
      <c r="B113" s="7" t="str">
        <f t="shared" si="4"/>
        <v>Premium5</v>
      </c>
      <c r="C113" s="7" t="str">
        <f t="shared" si="5"/>
        <v>Premium</v>
      </c>
      <c r="D113" s="5">
        <v>237</v>
      </c>
      <c r="E113" s="7" t="str">
        <f>VLOOKUP(D113,[1]characters!$A:$C,3,FALSE)</f>
        <v>森羅万象の神母 イザナミ</v>
      </c>
      <c r="F113" s="7" t="str">
        <f>VLOOKUP(D113,[1]characters!$A:$J,10,FALSE)</f>
        <v>PremiumS</v>
      </c>
      <c r="G113" s="7">
        <f>VLOOKUP(D113,[1]characters!$A:$I,9,FALSE)</f>
        <v>5</v>
      </c>
      <c r="H113" s="7" t="str">
        <f>VLOOKUP(D113,[1]characters!$A:$H,8,FALSE)</f>
        <v>yellow</v>
      </c>
      <c r="I113" s="7" t="str">
        <f>VLOOKUP(D113,[1]characters!$A:$K,11,FALSE)</f>
        <v>attack</v>
      </c>
      <c r="J113" s="7" t="str">
        <f>VLOOKUP(D113,[1]characters!$A:$M,13,FALSE)</f>
        <v>god</v>
      </c>
      <c r="K113" s="7" t="str">
        <f>VLOOKUP(D113,[1]characters!$A:$G,7,FALSE)</f>
        <v>女性</v>
      </c>
      <c r="L113" s="66">
        <f>IFERROR(VLOOKUP(D113,input_2!L:R,7,FALSE),VLOOKUP(tables_2!B113,input_2!A:H,8,FALSE))</f>
        <v>46657</v>
      </c>
      <c r="M113" s="67">
        <f t="shared" si="3"/>
        <v>8.9814814814814813E-4</v>
      </c>
      <c r="N113" s="31">
        <f>IFERROR(VLOOKUP($D113,bug_conf_sheet!$A:$H,3,FALSE),VLOOKUP("other",bug_conf_sheet!$A:$H,3,FALSE))</f>
        <v>1</v>
      </c>
      <c r="O113" s="31">
        <f>IFERROR(VLOOKUP($D113,bug_conf_sheet!$A:$H,4,FALSE),VLOOKUP("other",bug_conf_sheet!$A:$H,4,FALSE))</f>
        <v>0</v>
      </c>
      <c r="P113" s="31">
        <f>IFERROR(VLOOKUP($D113,bug_conf_sheet!$A:$H,5,FALSE),VLOOKUP("other",bug_conf_sheet!$A:$H,5,FALSE))</f>
        <v>0</v>
      </c>
      <c r="Q113" s="31">
        <f>IFERROR(VLOOKUP($D113,bug_conf_sheet!$A:$H,6,FALSE),VLOOKUP("other",bug_conf_sheet!$A:$H,6,FALSE))</f>
        <v>0</v>
      </c>
      <c r="R113" s="31">
        <f>IFERROR(VLOOKUP($D113,bug_conf_sheet!$A:$H,7,FALSE),VLOOKUP("other",bug_conf_sheet!$A:$H,7,FALSE))</f>
        <v>0</v>
      </c>
      <c r="S113" s="31">
        <f>IFERROR(VLOOKUP($D113,bug_conf_sheet!$A:$H,8,FALSE),VLOOKUP("other",bug_conf_sheet!$A:$H,8,FALSE))</f>
        <v>1</v>
      </c>
    </row>
    <row r="114" spans="1:19" ht="21" customHeight="1">
      <c r="A114" s="2">
        <f>input_2!A$2</f>
        <v>3122</v>
      </c>
      <c r="B114" s="7" t="str">
        <f t="shared" si="4"/>
        <v>Premium3</v>
      </c>
      <c r="C114" s="7" t="str">
        <f t="shared" si="5"/>
        <v>Premium</v>
      </c>
      <c r="D114" s="5">
        <v>238</v>
      </c>
      <c r="E114" s="7" t="str">
        <f>VLOOKUP(D114,[1]characters!$A:$C,3,FALSE)</f>
        <v>ウリエル</v>
      </c>
      <c r="F114" s="7" t="str">
        <f>VLOOKUP(D114,[1]characters!$A:$J,10,FALSE)</f>
        <v>PremiumS</v>
      </c>
      <c r="G114" s="7">
        <f>VLOOKUP(D114,[1]characters!$A:$I,9,FALSE)</f>
        <v>3</v>
      </c>
      <c r="H114" s="7" t="str">
        <f>VLOOKUP(D114,[1]characters!$A:$H,8,FALSE)</f>
        <v>red</v>
      </c>
      <c r="I114" s="7" t="str">
        <f>VLOOKUP(D114,[1]characters!$A:$K,11,FALSE)</f>
        <v>hp</v>
      </c>
      <c r="J114" s="7" t="str">
        <f>VLOOKUP(D114,[1]characters!$A:$M,13,FALSE)</f>
        <v>machine</v>
      </c>
      <c r="K114" s="7" t="str">
        <f>VLOOKUP(D114,[1]characters!$A:$G,7,FALSE)</f>
        <v>女性</v>
      </c>
      <c r="L114" s="66">
        <f>IFERROR(VLOOKUP(D114,input_2!L:R,7,FALSE),VLOOKUP(tables_2!B114,input_2!A:H,8,FALSE))</f>
        <v>351000</v>
      </c>
      <c r="M114" s="67">
        <f t="shared" si="3"/>
        <v>6.7567567567567571E-3</v>
      </c>
      <c r="N114" s="31">
        <f>IFERROR(VLOOKUP($D114,bug_conf_sheet!$A:$H,3,FALSE),VLOOKUP("other",bug_conf_sheet!$A:$H,3,FALSE))</f>
        <v>1</v>
      </c>
      <c r="O114" s="31">
        <f>IFERROR(VLOOKUP($D114,bug_conf_sheet!$A:$H,4,FALSE),VLOOKUP("other",bug_conf_sheet!$A:$H,4,FALSE))</f>
        <v>0</v>
      </c>
      <c r="P114" s="31">
        <f>IFERROR(VLOOKUP($D114,bug_conf_sheet!$A:$H,5,FALSE),VLOOKUP("other",bug_conf_sheet!$A:$H,5,FALSE))</f>
        <v>0</v>
      </c>
      <c r="Q114" s="31">
        <f>IFERROR(VLOOKUP($D114,bug_conf_sheet!$A:$H,6,FALSE),VLOOKUP("other",bug_conf_sheet!$A:$H,6,FALSE))</f>
        <v>0</v>
      </c>
      <c r="R114" s="31">
        <f>IFERROR(VLOOKUP($D114,bug_conf_sheet!$A:$H,7,FALSE),VLOOKUP("other",bug_conf_sheet!$A:$H,7,FALSE))</f>
        <v>0</v>
      </c>
      <c r="S114" s="31">
        <f>IFERROR(VLOOKUP($D114,bug_conf_sheet!$A:$H,8,FALSE),VLOOKUP("other",bug_conf_sheet!$A:$H,8,FALSE))</f>
        <v>1</v>
      </c>
    </row>
    <row r="115" spans="1:19" ht="21" customHeight="1">
      <c r="A115" s="2">
        <f>input_2!A$2</f>
        <v>3122</v>
      </c>
      <c r="B115" s="7" t="str">
        <f t="shared" si="4"/>
        <v>Premium4</v>
      </c>
      <c r="C115" s="7" t="str">
        <f t="shared" si="5"/>
        <v>Premium</v>
      </c>
      <c r="D115" s="5">
        <v>239</v>
      </c>
      <c r="E115" s="7" t="str">
        <f>VLOOKUP(D115,[1]characters!$A:$C,3,FALSE)</f>
        <v>豪炎の天使 ウリエル</v>
      </c>
      <c r="F115" s="7" t="str">
        <f>VLOOKUP(D115,[1]characters!$A:$J,10,FALSE)</f>
        <v>PremiumS</v>
      </c>
      <c r="G115" s="7">
        <f>VLOOKUP(D115,[1]characters!$A:$I,9,FALSE)</f>
        <v>4</v>
      </c>
      <c r="H115" s="7" t="str">
        <f>VLOOKUP(D115,[1]characters!$A:$H,8,FALSE)</f>
        <v>red</v>
      </c>
      <c r="I115" s="7" t="str">
        <f>VLOOKUP(D115,[1]characters!$A:$K,11,FALSE)</f>
        <v>hp</v>
      </c>
      <c r="J115" s="7" t="str">
        <f>VLOOKUP(D115,[1]characters!$A:$M,13,FALSE)</f>
        <v>machine</v>
      </c>
      <c r="K115" s="7" t="str">
        <f>VLOOKUP(D115,[1]characters!$A:$G,7,FALSE)</f>
        <v>女性</v>
      </c>
      <c r="L115" s="66">
        <f>IFERROR(VLOOKUP(D115,input_2!L:R,7,FALSE),VLOOKUP(tables_2!B115,input_2!A:H,8,FALSE))</f>
        <v>306423</v>
      </c>
      <c r="M115" s="67">
        <f t="shared" si="3"/>
        <v>5.8986486486486489E-3</v>
      </c>
      <c r="N115" s="31">
        <f>IFERROR(VLOOKUP($D115,bug_conf_sheet!$A:$H,3,FALSE),VLOOKUP("other",bug_conf_sheet!$A:$H,3,FALSE))</f>
        <v>1</v>
      </c>
      <c r="O115" s="31">
        <f>IFERROR(VLOOKUP($D115,bug_conf_sheet!$A:$H,4,FALSE),VLOOKUP("other",bug_conf_sheet!$A:$H,4,FALSE))</f>
        <v>0</v>
      </c>
      <c r="P115" s="31">
        <f>IFERROR(VLOOKUP($D115,bug_conf_sheet!$A:$H,5,FALSE),VLOOKUP("other",bug_conf_sheet!$A:$H,5,FALSE))</f>
        <v>0</v>
      </c>
      <c r="Q115" s="31">
        <f>IFERROR(VLOOKUP($D115,bug_conf_sheet!$A:$H,6,FALSE),VLOOKUP("other",bug_conf_sheet!$A:$H,6,FALSE))</f>
        <v>0</v>
      </c>
      <c r="R115" s="31">
        <f>IFERROR(VLOOKUP($D115,bug_conf_sheet!$A:$H,7,FALSE),VLOOKUP("other",bug_conf_sheet!$A:$H,7,FALSE))</f>
        <v>0</v>
      </c>
      <c r="S115" s="31">
        <f>IFERROR(VLOOKUP($D115,bug_conf_sheet!$A:$H,8,FALSE),VLOOKUP("other",bug_conf_sheet!$A:$H,8,FALSE))</f>
        <v>1</v>
      </c>
    </row>
    <row r="116" spans="1:19" ht="21" customHeight="1">
      <c r="A116" s="2">
        <f>input_2!A$2</f>
        <v>3122</v>
      </c>
      <c r="B116" s="7" t="str">
        <f t="shared" si="4"/>
        <v>Premium5</v>
      </c>
      <c r="C116" s="7" t="str">
        <f t="shared" si="5"/>
        <v>Premium</v>
      </c>
      <c r="D116" s="5">
        <v>240</v>
      </c>
      <c r="E116" s="7" t="str">
        <f>VLOOKUP(D116,[1]characters!$A:$C,3,FALSE)</f>
        <v>轟炎の天使 ウリエル・スレイヤー</v>
      </c>
      <c r="F116" s="7" t="str">
        <f>VLOOKUP(D116,[1]characters!$A:$J,10,FALSE)</f>
        <v>PremiumS</v>
      </c>
      <c r="G116" s="7">
        <f>VLOOKUP(D116,[1]characters!$A:$I,9,FALSE)</f>
        <v>5</v>
      </c>
      <c r="H116" s="7" t="str">
        <f>VLOOKUP(D116,[1]characters!$A:$H,8,FALSE)</f>
        <v>red</v>
      </c>
      <c r="I116" s="7" t="str">
        <f>VLOOKUP(D116,[1]characters!$A:$K,11,FALSE)</f>
        <v>hp</v>
      </c>
      <c r="J116" s="7" t="str">
        <f>VLOOKUP(D116,[1]characters!$A:$M,13,FALSE)</f>
        <v>machine</v>
      </c>
      <c r="K116" s="7" t="str">
        <f>VLOOKUP(D116,[1]characters!$A:$G,7,FALSE)</f>
        <v>女性</v>
      </c>
      <c r="L116" s="66">
        <f>IFERROR(VLOOKUP(D116,input_2!L:R,7,FALSE),VLOOKUP(tables_2!B116,input_2!A:H,8,FALSE))</f>
        <v>46657</v>
      </c>
      <c r="M116" s="67">
        <f t="shared" si="3"/>
        <v>8.9814814814814813E-4</v>
      </c>
      <c r="N116" s="31">
        <f>IFERROR(VLOOKUP($D116,bug_conf_sheet!$A:$H,3,FALSE),VLOOKUP("other",bug_conf_sheet!$A:$H,3,FALSE))</f>
        <v>1</v>
      </c>
      <c r="O116" s="31">
        <f>IFERROR(VLOOKUP($D116,bug_conf_sheet!$A:$H,4,FALSE),VLOOKUP("other",bug_conf_sheet!$A:$H,4,FALSE))</f>
        <v>0</v>
      </c>
      <c r="P116" s="31">
        <f>IFERROR(VLOOKUP($D116,bug_conf_sheet!$A:$H,5,FALSE),VLOOKUP("other",bug_conf_sheet!$A:$H,5,FALSE))</f>
        <v>0</v>
      </c>
      <c r="Q116" s="31">
        <f>IFERROR(VLOOKUP($D116,bug_conf_sheet!$A:$H,6,FALSE),VLOOKUP("other",bug_conf_sheet!$A:$H,6,FALSE))</f>
        <v>0</v>
      </c>
      <c r="R116" s="31">
        <f>IFERROR(VLOOKUP($D116,bug_conf_sheet!$A:$H,7,FALSE),VLOOKUP("other",bug_conf_sheet!$A:$H,7,FALSE))</f>
        <v>0</v>
      </c>
      <c r="S116" s="31">
        <f>IFERROR(VLOOKUP($D116,bug_conf_sheet!$A:$H,8,FALSE),VLOOKUP("other",bug_conf_sheet!$A:$H,8,FALSE))</f>
        <v>1</v>
      </c>
    </row>
    <row r="117" spans="1:19" ht="21" customHeight="1">
      <c r="A117" s="2">
        <f>input_2!A$2</f>
        <v>3122</v>
      </c>
      <c r="B117" s="7" t="str">
        <f t="shared" si="4"/>
        <v>Premium3</v>
      </c>
      <c r="C117" s="7" t="str">
        <f t="shared" si="5"/>
        <v>Premium</v>
      </c>
      <c r="D117" s="5">
        <v>241</v>
      </c>
      <c r="E117" s="7" t="str">
        <f>VLOOKUP(D117,[1]characters!$A:$C,3,FALSE)</f>
        <v>ガブリエル</v>
      </c>
      <c r="F117" s="7" t="str">
        <f>VLOOKUP(D117,[1]characters!$A:$J,10,FALSE)</f>
        <v>PremiumS</v>
      </c>
      <c r="G117" s="7">
        <f>VLOOKUP(D117,[1]characters!$A:$I,9,FALSE)</f>
        <v>3</v>
      </c>
      <c r="H117" s="7" t="str">
        <f>VLOOKUP(D117,[1]characters!$A:$H,8,FALSE)</f>
        <v>green</v>
      </c>
      <c r="I117" s="7" t="str">
        <f>VLOOKUP(D117,[1]characters!$A:$K,11,FALSE)</f>
        <v>balance</v>
      </c>
      <c r="J117" s="7" t="str">
        <f>VLOOKUP(D117,[1]characters!$A:$M,13,FALSE)</f>
        <v>machine</v>
      </c>
      <c r="K117" s="7" t="str">
        <f>VLOOKUP(D117,[1]characters!$A:$G,7,FALSE)</f>
        <v>女性</v>
      </c>
      <c r="L117" s="66">
        <f>IFERROR(VLOOKUP(D117,input_2!L:R,7,FALSE),VLOOKUP(tables_2!B117,input_2!A:H,8,FALSE))</f>
        <v>351000</v>
      </c>
      <c r="M117" s="67">
        <f t="shared" si="3"/>
        <v>6.7567567567567571E-3</v>
      </c>
      <c r="N117" s="31">
        <f>IFERROR(VLOOKUP($D117,bug_conf_sheet!$A:$H,3,FALSE),VLOOKUP("other",bug_conf_sheet!$A:$H,3,FALSE))</f>
        <v>1</v>
      </c>
      <c r="O117" s="31">
        <f>IFERROR(VLOOKUP($D117,bug_conf_sheet!$A:$H,4,FALSE),VLOOKUP("other",bug_conf_sheet!$A:$H,4,FALSE))</f>
        <v>0</v>
      </c>
      <c r="P117" s="31">
        <f>IFERROR(VLOOKUP($D117,bug_conf_sheet!$A:$H,5,FALSE),VLOOKUP("other",bug_conf_sheet!$A:$H,5,FALSE))</f>
        <v>0</v>
      </c>
      <c r="Q117" s="31">
        <f>IFERROR(VLOOKUP($D117,bug_conf_sheet!$A:$H,6,FALSE),VLOOKUP("other",bug_conf_sheet!$A:$H,6,FALSE))</f>
        <v>0</v>
      </c>
      <c r="R117" s="31">
        <f>IFERROR(VLOOKUP($D117,bug_conf_sheet!$A:$H,7,FALSE),VLOOKUP("other",bug_conf_sheet!$A:$H,7,FALSE))</f>
        <v>0</v>
      </c>
      <c r="S117" s="31">
        <f>IFERROR(VLOOKUP($D117,bug_conf_sheet!$A:$H,8,FALSE),VLOOKUP("other",bug_conf_sheet!$A:$H,8,FALSE))</f>
        <v>1</v>
      </c>
    </row>
    <row r="118" spans="1:19" ht="21" customHeight="1">
      <c r="A118" s="2">
        <f>input_2!A$2</f>
        <v>3122</v>
      </c>
      <c r="B118" s="7" t="str">
        <f t="shared" si="4"/>
        <v>Premium4</v>
      </c>
      <c r="C118" s="7" t="str">
        <f t="shared" si="5"/>
        <v>Premium</v>
      </c>
      <c r="D118" s="5">
        <v>242</v>
      </c>
      <c r="E118" s="7" t="str">
        <f>VLOOKUP(D118,[1]characters!$A:$C,3,FALSE)</f>
        <v>百花の天使 ガブリエル</v>
      </c>
      <c r="F118" s="7" t="str">
        <f>VLOOKUP(D118,[1]characters!$A:$J,10,FALSE)</f>
        <v>PremiumS</v>
      </c>
      <c r="G118" s="7">
        <f>VLOOKUP(D118,[1]characters!$A:$I,9,FALSE)</f>
        <v>4</v>
      </c>
      <c r="H118" s="7" t="str">
        <f>VLOOKUP(D118,[1]characters!$A:$H,8,FALSE)</f>
        <v>green</v>
      </c>
      <c r="I118" s="7" t="str">
        <f>VLOOKUP(D118,[1]characters!$A:$K,11,FALSE)</f>
        <v>balance</v>
      </c>
      <c r="J118" s="7" t="str">
        <f>VLOOKUP(D118,[1]characters!$A:$M,13,FALSE)</f>
        <v>machine</v>
      </c>
      <c r="K118" s="7" t="str">
        <f>VLOOKUP(D118,[1]characters!$A:$G,7,FALSE)</f>
        <v>女性</v>
      </c>
      <c r="L118" s="66">
        <f>IFERROR(VLOOKUP(D118,input_2!L:R,7,FALSE),VLOOKUP(tables_2!B118,input_2!A:H,8,FALSE))</f>
        <v>306423</v>
      </c>
      <c r="M118" s="67">
        <f t="shared" si="3"/>
        <v>5.8986486486486489E-3</v>
      </c>
      <c r="N118" s="31">
        <f>IFERROR(VLOOKUP($D118,bug_conf_sheet!$A:$H,3,FALSE),VLOOKUP("other",bug_conf_sheet!$A:$H,3,FALSE))</f>
        <v>1</v>
      </c>
      <c r="O118" s="31">
        <f>IFERROR(VLOOKUP($D118,bug_conf_sheet!$A:$H,4,FALSE),VLOOKUP("other",bug_conf_sheet!$A:$H,4,FALSE))</f>
        <v>0</v>
      </c>
      <c r="P118" s="31">
        <f>IFERROR(VLOOKUP($D118,bug_conf_sheet!$A:$H,5,FALSE),VLOOKUP("other",bug_conf_sheet!$A:$H,5,FALSE))</f>
        <v>0</v>
      </c>
      <c r="Q118" s="31">
        <f>IFERROR(VLOOKUP($D118,bug_conf_sheet!$A:$H,6,FALSE),VLOOKUP("other",bug_conf_sheet!$A:$H,6,FALSE))</f>
        <v>0</v>
      </c>
      <c r="R118" s="31">
        <f>IFERROR(VLOOKUP($D118,bug_conf_sheet!$A:$H,7,FALSE),VLOOKUP("other",bug_conf_sheet!$A:$H,7,FALSE))</f>
        <v>0</v>
      </c>
      <c r="S118" s="31">
        <f>IFERROR(VLOOKUP($D118,bug_conf_sheet!$A:$H,8,FALSE),VLOOKUP("other",bug_conf_sheet!$A:$H,8,FALSE))</f>
        <v>1</v>
      </c>
    </row>
    <row r="119" spans="1:19" ht="21" customHeight="1">
      <c r="A119" s="2">
        <f>input_2!A$2</f>
        <v>3122</v>
      </c>
      <c r="B119" s="7" t="str">
        <f t="shared" si="4"/>
        <v>Premium5</v>
      </c>
      <c r="C119" s="7" t="str">
        <f t="shared" si="5"/>
        <v>Premium</v>
      </c>
      <c r="D119" s="5">
        <v>243</v>
      </c>
      <c r="E119" s="7" t="str">
        <f>VLOOKUP(D119,[1]characters!$A:$C,3,FALSE)</f>
        <v>万花の天使 ガブリエル・ブルーム</v>
      </c>
      <c r="F119" s="7" t="str">
        <f>VLOOKUP(D119,[1]characters!$A:$J,10,FALSE)</f>
        <v>PremiumS</v>
      </c>
      <c r="G119" s="7">
        <f>VLOOKUP(D119,[1]characters!$A:$I,9,FALSE)</f>
        <v>5</v>
      </c>
      <c r="H119" s="7" t="str">
        <f>VLOOKUP(D119,[1]characters!$A:$H,8,FALSE)</f>
        <v>green</v>
      </c>
      <c r="I119" s="7" t="str">
        <f>VLOOKUP(D119,[1]characters!$A:$K,11,FALSE)</f>
        <v>balance</v>
      </c>
      <c r="J119" s="7" t="str">
        <f>VLOOKUP(D119,[1]characters!$A:$M,13,FALSE)</f>
        <v>machine</v>
      </c>
      <c r="K119" s="7" t="str">
        <f>VLOOKUP(D119,[1]characters!$A:$G,7,FALSE)</f>
        <v>女性</v>
      </c>
      <c r="L119" s="66">
        <f>IFERROR(VLOOKUP(D119,input_2!L:R,7,FALSE),VLOOKUP(tables_2!B119,input_2!A:H,8,FALSE))</f>
        <v>46657</v>
      </c>
      <c r="M119" s="67">
        <f t="shared" si="3"/>
        <v>8.9814814814814813E-4</v>
      </c>
      <c r="N119" s="31">
        <f>IFERROR(VLOOKUP($D119,bug_conf_sheet!$A:$H,3,FALSE),VLOOKUP("other",bug_conf_sheet!$A:$H,3,FALSE))</f>
        <v>1</v>
      </c>
      <c r="O119" s="31">
        <f>IFERROR(VLOOKUP($D119,bug_conf_sheet!$A:$H,4,FALSE),VLOOKUP("other",bug_conf_sheet!$A:$H,4,FALSE))</f>
        <v>0</v>
      </c>
      <c r="P119" s="31">
        <f>IFERROR(VLOOKUP($D119,bug_conf_sheet!$A:$H,5,FALSE),VLOOKUP("other",bug_conf_sheet!$A:$H,5,FALSE))</f>
        <v>0</v>
      </c>
      <c r="Q119" s="31">
        <f>IFERROR(VLOOKUP($D119,bug_conf_sheet!$A:$H,6,FALSE),VLOOKUP("other",bug_conf_sheet!$A:$H,6,FALSE))</f>
        <v>0</v>
      </c>
      <c r="R119" s="31">
        <f>IFERROR(VLOOKUP($D119,bug_conf_sheet!$A:$H,7,FALSE),VLOOKUP("other",bug_conf_sheet!$A:$H,7,FALSE))</f>
        <v>0</v>
      </c>
      <c r="S119" s="31">
        <f>IFERROR(VLOOKUP($D119,bug_conf_sheet!$A:$H,8,FALSE),VLOOKUP("other",bug_conf_sheet!$A:$H,8,FALSE))</f>
        <v>1</v>
      </c>
    </row>
    <row r="120" spans="1:19" ht="21" customHeight="1">
      <c r="A120" s="2">
        <f>input_2!A$2</f>
        <v>3122</v>
      </c>
      <c r="B120" s="7" t="str">
        <f t="shared" si="4"/>
        <v>Premium3</v>
      </c>
      <c r="C120" s="7" t="str">
        <f t="shared" si="5"/>
        <v>Premium</v>
      </c>
      <c r="D120" s="5">
        <v>244</v>
      </c>
      <c r="E120" s="7" t="str">
        <f>VLOOKUP(D120,[1]characters!$A:$C,3,FALSE)</f>
        <v>ラファエル</v>
      </c>
      <c r="F120" s="7" t="str">
        <f>VLOOKUP(D120,[1]characters!$A:$J,10,FALSE)</f>
        <v>PremiumS</v>
      </c>
      <c r="G120" s="7">
        <f>VLOOKUP(D120,[1]characters!$A:$I,9,FALSE)</f>
        <v>3</v>
      </c>
      <c r="H120" s="7" t="str">
        <f>VLOOKUP(D120,[1]characters!$A:$H,8,FALSE)</f>
        <v>blue</v>
      </c>
      <c r="I120" s="7" t="str">
        <f>VLOOKUP(D120,[1]characters!$A:$K,11,FALSE)</f>
        <v>balance</v>
      </c>
      <c r="J120" s="7" t="str">
        <f>VLOOKUP(D120,[1]characters!$A:$M,13,FALSE)</f>
        <v>machine</v>
      </c>
      <c r="K120" s="7" t="str">
        <f>VLOOKUP(D120,[1]characters!$A:$G,7,FALSE)</f>
        <v>女性</v>
      </c>
      <c r="L120" s="66">
        <f>IFERROR(VLOOKUP(D120,input_2!L:R,7,FALSE),VLOOKUP(tables_2!B120,input_2!A:H,8,FALSE))</f>
        <v>351000</v>
      </c>
      <c r="M120" s="67">
        <f t="shared" si="3"/>
        <v>6.7567567567567571E-3</v>
      </c>
      <c r="N120" s="31">
        <f>IFERROR(VLOOKUP($D120,bug_conf_sheet!$A:$H,3,FALSE),VLOOKUP("other",bug_conf_sheet!$A:$H,3,FALSE))</f>
        <v>1</v>
      </c>
      <c r="O120" s="31">
        <f>IFERROR(VLOOKUP($D120,bug_conf_sheet!$A:$H,4,FALSE),VLOOKUP("other",bug_conf_sheet!$A:$H,4,FALSE))</f>
        <v>0</v>
      </c>
      <c r="P120" s="31">
        <f>IFERROR(VLOOKUP($D120,bug_conf_sheet!$A:$H,5,FALSE),VLOOKUP("other",bug_conf_sheet!$A:$H,5,FALSE))</f>
        <v>0</v>
      </c>
      <c r="Q120" s="31">
        <f>IFERROR(VLOOKUP($D120,bug_conf_sheet!$A:$H,6,FALSE),VLOOKUP("other",bug_conf_sheet!$A:$H,6,FALSE))</f>
        <v>0</v>
      </c>
      <c r="R120" s="31">
        <f>IFERROR(VLOOKUP($D120,bug_conf_sheet!$A:$H,7,FALSE),VLOOKUP("other",bug_conf_sheet!$A:$H,7,FALSE))</f>
        <v>0</v>
      </c>
      <c r="S120" s="31">
        <f>IFERROR(VLOOKUP($D120,bug_conf_sheet!$A:$H,8,FALSE),VLOOKUP("other",bug_conf_sheet!$A:$H,8,FALSE))</f>
        <v>1</v>
      </c>
    </row>
    <row r="121" spans="1:19" ht="21" customHeight="1">
      <c r="A121" s="2">
        <f>input_2!A$2</f>
        <v>3122</v>
      </c>
      <c r="B121" s="7" t="str">
        <f t="shared" si="4"/>
        <v>Premium4</v>
      </c>
      <c r="C121" s="7" t="str">
        <f t="shared" si="5"/>
        <v>Premium</v>
      </c>
      <c r="D121" s="5">
        <v>245</v>
      </c>
      <c r="E121" s="7" t="str">
        <f>VLOOKUP(D121,[1]characters!$A:$C,3,FALSE)</f>
        <v>鎮癒の天使 ラファエル</v>
      </c>
      <c r="F121" s="7" t="str">
        <f>VLOOKUP(D121,[1]characters!$A:$J,10,FALSE)</f>
        <v>PremiumS</v>
      </c>
      <c r="G121" s="7">
        <f>VLOOKUP(D121,[1]characters!$A:$I,9,FALSE)</f>
        <v>4</v>
      </c>
      <c r="H121" s="7" t="str">
        <f>VLOOKUP(D121,[1]characters!$A:$H,8,FALSE)</f>
        <v>blue</v>
      </c>
      <c r="I121" s="7" t="str">
        <f>VLOOKUP(D121,[1]characters!$A:$K,11,FALSE)</f>
        <v>balance</v>
      </c>
      <c r="J121" s="7" t="str">
        <f>VLOOKUP(D121,[1]characters!$A:$M,13,FALSE)</f>
        <v>machine</v>
      </c>
      <c r="K121" s="7" t="str">
        <f>VLOOKUP(D121,[1]characters!$A:$G,7,FALSE)</f>
        <v>女性</v>
      </c>
      <c r="L121" s="66">
        <f>IFERROR(VLOOKUP(D121,input_2!L:R,7,FALSE),VLOOKUP(tables_2!B121,input_2!A:H,8,FALSE))</f>
        <v>306423</v>
      </c>
      <c r="M121" s="67">
        <f t="shared" si="3"/>
        <v>5.8986486486486489E-3</v>
      </c>
      <c r="N121" s="31">
        <f>IFERROR(VLOOKUP($D121,bug_conf_sheet!$A:$H,3,FALSE),VLOOKUP("other",bug_conf_sheet!$A:$H,3,FALSE))</f>
        <v>1</v>
      </c>
      <c r="O121" s="31">
        <f>IFERROR(VLOOKUP($D121,bug_conf_sheet!$A:$H,4,FALSE),VLOOKUP("other",bug_conf_sheet!$A:$H,4,FALSE))</f>
        <v>0</v>
      </c>
      <c r="P121" s="31">
        <f>IFERROR(VLOOKUP($D121,bug_conf_sheet!$A:$H,5,FALSE),VLOOKUP("other",bug_conf_sheet!$A:$H,5,FALSE))</f>
        <v>0</v>
      </c>
      <c r="Q121" s="31">
        <f>IFERROR(VLOOKUP($D121,bug_conf_sheet!$A:$H,6,FALSE),VLOOKUP("other",bug_conf_sheet!$A:$H,6,FALSE))</f>
        <v>0</v>
      </c>
      <c r="R121" s="31">
        <f>IFERROR(VLOOKUP($D121,bug_conf_sheet!$A:$H,7,FALSE),VLOOKUP("other",bug_conf_sheet!$A:$H,7,FALSE))</f>
        <v>0</v>
      </c>
      <c r="S121" s="31">
        <f>IFERROR(VLOOKUP($D121,bug_conf_sheet!$A:$H,8,FALSE),VLOOKUP("other",bug_conf_sheet!$A:$H,8,FALSE))</f>
        <v>1</v>
      </c>
    </row>
    <row r="122" spans="1:19" ht="21" customHeight="1">
      <c r="A122" s="2">
        <f>input_2!A$2</f>
        <v>3122</v>
      </c>
      <c r="B122" s="7" t="str">
        <f t="shared" si="4"/>
        <v>Premium5</v>
      </c>
      <c r="C122" s="7" t="str">
        <f t="shared" si="5"/>
        <v>Premium</v>
      </c>
      <c r="D122" s="5">
        <v>246</v>
      </c>
      <c r="E122" s="7" t="str">
        <f>VLOOKUP(D122,[1]characters!$A:$C,3,FALSE)</f>
        <v>真癒の天使 ラファエル・メディカ</v>
      </c>
      <c r="F122" s="7" t="str">
        <f>VLOOKUP(D122,[1]characters!$A:$J,10,FALSE)</f>
        <v>PremiumS</v>
      </c>
      <c r="G122" s="7">
        <f>VLOOKUP(D122,[1]characters!$A:$I,9,FALSE)</f>
        <v>5</v>
      </c>
      <c r="H122" s="7" t="str">
        <f>VLOOKUP(D122,[1]characters!$A:$H,8,FALSE)</f>
        <v>blue</v>
      </c>
      <c r="I122" s="7" t="str">
        <f>VLOOKUP(D122,[1]characters!$A:$K,11,FALSE)</f>
        <v>balance</v>
      </c>
      <c r="J122" s="7" t="str">
        <f>VLOOKUP(D122,[1]characters!$A:$M,13,FALSE)</f>
        <v>machine</v>
      </c>
      <c r="K122" s="7" t="str">
        <f>VLOOKUP(D122,[1]characters!$A:$G,7,FALSE)</f>
        <v>女性</v>
      </c>
      <c r="L122" s="66">
        <f>IFERROR(VLOOKUP(D122,input_2!L:R,7,FALSE),VLOOKUP(tables_2!B122,input_2!A:H,8,FALSE))</f>
        <v>46657</v>
      </c>
      <c r="M122" s="67">
        <f t="shared" si="3"/>
        <v>8.9814814814814813E-4</v>
      </c>
      <c r="N122" s="31">
        <f>IFERROR(VLOOKUP($D122,bug_conf_sheet!$A:$H,3,FALSE),VLOOKUP("other",bug_conf_sheet!$A:$H,3,FALSE))</f>
        <v>1</v>
      </c>
      <c r="O122" s="31">
        <f>IFERROR(VLOOKUP($D122,bug_conf_sheet!$A:$H,4,FALSE),VLOOKUP("other",bug_conf_sheet!$A:$H,4,FALSE))</f>
        <v>0</v>
      </c>
      <c r="P122" s="31">
        <f>IFERROR(VLOOKUP($D122,bug_conf_sheet!$A:$H,5,FALSE),VLOOKUP("other",bug_conf_sheet!$A:$H,5,FALSE))</f>
        <v>0</v>
      </c>
      <c r="Q122" s="31">
        <f>IFERROR(VLOOKUP($D122,bug_conf_sheet!$A:$H,6,FALSE),VLOOKUP("other",bug_conf_sheet!$A:$H,6,FALSE))</f>
        <v>0</v>
      </c>
      <c r="R122" s="31">
        <f>IFERROR(VLOOKUP($D122,bug_conf_sheet!$A:$H,7,FALSE),VLOOKUP("other",bug_conf_sheet!$A:$H,7,FALSE))</f>
        <v>0</v>
      </c>
      <c r="S122" s="31">
        <f>IFERROR(VLOOKUP($D122,bug_conf_sheet!$A:$H,8,FALSE),VLOOKUP("other",bug_conf_sheet!$A:$H,8,FALSE))</f>
        <v>1</v>
      </c>
    </row>
    <row r="123" spans="1:19" ht="21" customHeight="1">
      <c r="A123" s="2">
        <f>input_2!A$2</f>
        <v>3122</v>
      </c>
      <c r="B123" s="7" t="str">
        <f t="shared" si="4"/>
        <v>Premium3</v>
      </c>
      <c r="C123" s="7" t="str">
        <f t="shared" si="5"/>
        <v>Premium</v>
      </c>
      <c r="D123" s="5">
        <v>247</v>
      </c>
      <c r="E123" s="7" t="str">
        <f>VLOOKUP(D123,[1]characters!$A:$C,3,FALSE)</f>
        <v>ミカエル</v>
      </c>
      <c r="F123" s="7" t="str">
        <f>VLOOKUP(D123,[1]characters!$A:$J,10,FALSE)</f>
        <v>PremiumS</v>
      </c>
      <c r="G123" s="7">
        <f>VLOOKUP(D123,[1]characters!$A:$I,9,FALSE)</f>
        <v>3</v>
      </c>
      <c r="H123" s="7" t="str">
        <f>VLOOKUP(D123,[1]characters!$A:$H,8,FALSE)</f>
        <v>yellow</v>
      </c>
      <c r="I123" s="7" t="str">
        <f>VLOOKUP(D123,[1]characters!$A:$K,11,FALSE)</f>
        <v>attack</v>
      </c>
      <c r="J123" s="7" t="str">
        <f>VLOOKUP(D123,[1]characters!$A:$M,13,FALSE)</f>
        <v>machine</v>
      </c>
      <c r="K123" s="7" t="str">
        <f>VLOOKUP(D123,[1]characters!$A:$G,7,FALSE)</f>
        <v>女性</v>
      </c>
      <c r="L123" s="66">
        <f>IFERROR(VLOOKUP(D123,input_2!L:R,7,FALSE),VLOOKUP(tables_2!B123,input_2!A:H,8,FALSE))</f>
        <v>351000</v>
      </c>
      <c r="M123" s="67">
        <f t="shared" si="3"/>
        <v>6.7567567567567571E-3</v>
      </c>
      <c r="N123" s="31">
        <f>IFERROR(VLOOKUP($D123,bug_conf_sheet!$A:$H,3,FALSE),VLOOKUP("other",bug_conf_sheet!$A:$H,3,FALSE))</f>
        <v>1</v>
      </c>
      <c r="O123" s="31">
        <f>IFERROR(VLOOKUP($D123,bug_conf_sheet!$A:$H,4,FALSE),VLOOKUP("other",bug_conf_sheet!$A:$H,4,FALSE))</f>
        <v>0</v>
      </c>
      <c r="P123" s="31">
        <f>IFERROR(VLOOKUP($D123,bug_conf_sheet!$A:$H,5,FALSE),VLOOKUP("other",bug_conf_sheet!$A:$H,5,FALSE))</f>
        <v>0</v>
      </c>
      <c r="Q123" s="31">
        <f>IFERROR(VLOOKUP($D123,bug_conf_sheet!$A:$H,6,FALSE),VLOOKUP("other",bug_conf_sheet!$A:$H,6,FALSE))</f>
        <v>0</v>
      </c>
      <c r="R123" s="31">
        <f>IFERROR(VLOOKUP($D123,bug_conf_sheet!$A:$H,7,FALSE),VLOOKUP("other",bug_conf_sheet!$A:$H,7,FALSE))</f>
        <v>0</v>
      </c>
      <c r="S123" s="31">
        <f>IFERROR(VLOOKUP($D123,bug_conf_sheet!$A:$H,8,FALSE),VLOOKUP("other",bug_conf_sheet!$A:$H,8,FALSE))</f>
        <v>1</v>
      </c>
    </row>
    <row r="124" spans="1:19" ht="21" customHeight="1">
      <c r="A124" s="2">
        <f>input_2!A$2</f>
        <v>3122</v>
      </c>
      <c r="B124" s="7" t="str">
        <f t="shared" si="4"/>
        <v>Premium4</v>
      </c>
      <c r="C124" s="7" t="str">
        <f t="shared" si="5"/>
        <v>Premium</v>
      </c>
      <c r="D124" s="5">
        <v>248</v>
      </c>
      <c r="E124" s="7" t="str">
        <f>VLOOKUP(D124,[1]characters!$A:$C,3,FALSE)</f>
        <v>彩電の天使 ミカエル</v>
      </c>
      <c r="F124" s="7" t="str">
        <f>VLOOKUP(D124,[1]characters!$A:$J,10,FALSE)</f>
        <v>PremiumS</v>
      </c>
      <c r="G124" s="7">
        <f>VLOOKUP(D124,[1]characters!$A:$I,9,FALSE)</f>
        <v>4</v>
      </c>
      <c r="H124" s="7" t="str">
        <f>VLOOKUP(D124,[1]characters!$A:$H,8,FALSE)</f>
        <v>yellow</v>
      </c>
      <c r="I124" s="7" t="str">
        <f>VLOOKUP(D124,[1]characters!$A:$K,11,FALSE)</f>
        <v>attack</v>
      </c>
      <c r="J124" s="7" t="str">
        <f>VLOOKUP(D124,[1]characters!$A:$M,13,FALSE)</f>
        <v>machine</v>
      </c>
      <c r="K124" s="7" t="str">
        <f>VLOOKUP(D124,[1]characters!$A:$G,7,FALSE)</f>
        <v>女性</v>
      </c>
      <c r="L124" s="66">
        <f>IFERROR(VLOOKUP(D124,input_2!L:R,7,FALSE),VLOOKUP(tables_2!B124,input_2!A:H,8,FALSE))</f>
        <v>306423</v>
      </c>
      <c r="M124" s="67">
        <f t="shared" si="3"/>
        <v>5.8986486486486489E-3</v>
      </c>
      <c r="N124" s="31">
        <f>IFERROR(VLOOKUP($D124,bug_conf_sheet!$A:$H,3,FALSE),VLOOKUP("other",bug_conf_sheet!$A:$H,3,FALSE))</f>
        <v>1</v>
      </c>
      <c r="O124" s="31">
        <f>IFERROR(VLOOKUP($D124,bug_conf_sheet!$A:$H,4,FALSE),VLOOKUP("other",bug_conf_sheet!$A:$H,4,FALSE))</f>
        <v>0</v>
      </c>
      <c r="P124" s="31">
        <f>IFERROR(VLOOKUP($D124,bug_conf_sheet!$A:$H,5,FALSE),VLOOKUP("other",bug_conf_sheet!$A:$H,5,FALSE))</f>
        <v>0</v>
      </c>
      <c r="Q124" s="31">
        <f>IFERROR(VLOOKUP($D124,bug_conf_sheet!$A:$H,6,FALSE),VLOOKUP("other",bug_conf_sheet!$A:$H,6,FALSE))</f>
        <v>0</v>
      </c>
      <c r="R124" s="31">
        <f>IFERROR(VLOOKUP($D124,bug_conf_sheet!$A:$H,7,FALSE),VLOOKUP("other",bug_conf_sheet!$A:$H,7,FALSE))</f>
        <v>0</v>
      </c>
      <c r="S124" s="31">
        <f>IFERROR(VLOOKUP($D124,bug_conf_sheet!$A:$H,8,FALSE),VLOOKUP("other",bug_conf_sheet!$A:$H,8,FALSE))</f>
        <v>1</v>
      </c>
    </row>
    <row r="125" spans="1:19" ht="21" customHeight="1">
      <c r="A125" s="2">
        <f>input_2!A$2</f>
        <v>3122</v>
      </c>
      <c r="B125" s="7" t="str">
        <f t="shared" si="4"/>
        <v>Premium5</v>
      </c>
      <c r="C125" s="7" t="str">
        <f t="shared" si="5"/>
        <v>Premium</v>
      </c>
      <c r="D125" s="6">
        <v>249</v>
      </c>
      <c r="E125" s="7" t="str">
        <f>VLOOKUP(D125,[1]characters!$A:$C,3,FALSE)</f>
        <v>雷電の天使 ミカエル・ゲイナー</v>
      </c>
      <c r="F125" s="7" t="str">
        <f>VLOOKUP(D125,[1]characters!$A:$J,10,FALSE)</f>
        <v>PremiumS</v>
      </c>
      <c r="G125" s="7">
        <f>VLOOKUP(D125,[1]characters!$A:$I,9,FALSE)</f>
        <v>5</v>
      </c>
      <c r="H125" s="7" t="str">
        <f>VLOOKUP(D125,[1]characters!$A:$H,8,FALSE)</f>
        <v>yellow</v>
      </c>
      <c r="I125" s="7" t="str">
        <f>VLOOKUP(D125,[1]characters!$A:$K,11,FALSE)</f>
        <v>attack</v>
      </c>
      <c r="J125" s="7" t="str">
        <f>VLOOKUP(D125,[1]characters!$A:$M,13,FALSE)</f>
        <v>machine</v>
      </c>
      <c r="K125" s="7" t="str">
        <f>VLOOKUP(D125,[1]characters!$A:$G,7,FALSE)</f>
        <v>女性</v>
      </c>
      <c r="L125" s="66">
        <f>IFERROR(VLOOKUP(D125,input_2!L:R,7,FALSE),VLOOKUP(tables_2!B125,input_2!A:H,8,FALSE))</f>
        <v>46657</v>
      </c>
      <c r="M125" s="67">
        <f t="shared" si="3"/>
        <v>8.9814814814814813E-4</v>
      </c>
      <c r="N125" s="31">
        <f>IFERROR(VLOOKUP($D125,bug_conf_sheet!$A:$H,3,FALSE),VLOOKUP("other",bug_conf_sheet!$A:$H,3,FALSE))</f>
        <v>1</v>
      </c>
      <c r="O125" s="31">
        <f>IFERROR(VLOOKUP($D125,bug_conf_sheet!$A:$H,4,FALSE),VLOOKUP("other",bug_conf_sheet!$A:$H,4,FALSE))</f>
        <v>0</v>
      </c>
      <c r="P125" s="31">
        <f>IFERROR(VLOOKUP($D125,bug_conf_sheet!$A:$H,5,FALSE),VLOOKUP("other",bug_conf_sheet!$A:$H,5,FALSE))</f>
        <v>0</v>
      </c>
      <c r="Q125" s="31">
        <f>IFERROR(VLOOKUP($D125,bug_conf_sheet!$A:$H,6,FALSE),VLOOKUP("other",bug_conf_sheet!$A:$H,6,FALSE))</f>
        <v>0</v>
      </c>
      <c r="R125" s="31">
        <f>IFERROR(VLOOKUP($D125,bug_conf_sheet!$A:$H,7,FALSE),VLOOKUP("other",bug_conf_sheet!$A:$H,7,FALSE))</f>
        <v>0</v>
      </c>
      <c r="S125" s="31">
        <f>IFERROR(VLOOKUP($D125,bug_conf_sheet!$A:$H,8,FALSE),VLOOKUP("other",bug_conf_sheet!$A:$H,8,FALSE))</f>
        <v>1</v>
      </c>
    </row>
    <row r="126" spans="1:19" ht="21" customHeight="1">
      <c r="A126" s="2">
        <f>input_2!A$2</f>
        <v>3122</v>
      </c>
      <c r="B126" s="7" t="str">
        <f t="shared" si="4"/>
        <v>Premium3</v>
      </c>
      <c r="C126" s="7" t="str">
        <f t="shared" si="5"/>
        <v>Premium</v>
      </c>
      <c r="D126" s="6">
        <v>250</v>
      </c>
      <c r="E126" s="7" t="str">
        <f>VLOOKUP(D126,[1]characters!$A:$C,3,FALSE)</f>
        <v>マンモン</v>
      </c>
      <c r="F126" s="7" t="str">
        <f>VLOOKUP(D126,[1]characters!$A:$J,10,FALSE)</f>
        <v>PremiumS</v>
      </c>
      <c r="G126" s="7">
        <f>VLOOKUP(D126,[1]characters!$A:$I,9,FALSE)</f>
        <v>3</v>
      </c>
      <c r="H126" s="7" t="str">
        <f>VLOOKUP(D126,[1]characters!$A:$H,8,FALSE)</f>
        <v>red</v>
      </c>
      <c r="I126" s="7" t="str">
        <f>VLOOKUP(D126,[1]characters!$A:$K,11,FALSE)</f>
        <v>balance</v>
      </c>
      <c r="J126" s="7" t="str">
        <f>VLOOKUP(D126,[1]characters!$A:$M,13,FALSE)</f>
        <v>god</v>
      </c>
      <c r="K126" s="7" t="str">
        <f>VLOOKUP(D126,[1]characters!$A:$G,7,FALSE)</f>
        <v>女性</v>
      </c>
      <c r="L126" s="66">
        <f>IFERROR(VLOOKUP(D126,input_2!L:R,7,FALSE),VLOOKUP(tables_2!B126,input_2!A:H,8,FALSE))</f>
        <v>351000</v>
      </c>
      <c r="M126" s="67">
        <f t="shared" si="3"/>
        <v>6.7567567567567571E-3</v>
      </c>
      <c r="N126" s="31">
        <f>IFERROR(VLOOKUP($D126,bug_conf_sheet!$A:$H,3,FALSE),VLOOKUP("other",bug_conf_sheet!$A:$H,3,FALSE))</f>
        <v>1</v>
      </c>
      <c r="O126" s="31">
        <f>IFERROR(VLOOKUP($D126,bug_conf_sheet!$A:$H,4,FALSE),VLOOKUP("other",bug_conf_sheet!$A:$H,4,FALSE))</f>
        <v>0</v>
      </c>
      <c r="P126" s="31">
        <f>IFERROR(VLOOKUP($D126,bug_conf_sheet!$A:$H,5,FALSE),VLOOKUP("other",bug_conf_sheet!$A:$H,5,FALSE))</f>
        <v>0</v>
      </c>
      <c r="Q126" s="31">
        <f>IFERROR(VLOOKUP($D126,bug_conf_sheet!$A:$H,6,FALSE),VLOOKUP("other",bug_conf_sheet!$A:$H,6,FALSE))</f>
        <v>0</v>
      </c>
      <c r="R126" s="31">
        <f>IFERROR(VLOOKUP($D126,bug_conf_sheet!$A:$H,7,FALSE),VLOOKUP("other",bug_conf_sheet!$A:$H,7,FALSE))</f>
        <v>0</v>
      </c>
      <c r="S126" s="31">
        <f>IFERROR(VLOOKUP($D126,bug_conf_sheet!$A:$H,8,FALSE),VLOOKUP("other",bug_conf_sheet!$A:$H,8,FALSE))</f>
        <v>1</v>
      </c>
    </row>
    <row r="127" spans="1:19" ht="21" customHeight="1">
      <c r="A127" s="2">
        <f>input_2!A$2</f>
        <v>3122</v>
      </c>
      <c r="B127" s="7" t="str">
        <f t="shared" si="4"/>
        <v>Premium4</v>
      </c>
      <c r="C127" s="7" t="str">
        <f t="shared" si="5"/>
        <v>Premium</v>
      </c>
      <c r="D127" s="6">
        <v>251</v>
      </c>
      <c r="E127" s="7" t="str">
        <f>VLOOKUP(D127,[1]characters!$A:$C,3,FALSE)</f>
        <v>強欲 マンモン</v>
      </c>
      <c r="F127" s="7" t="str">
        <f>VLOOKUP(D127,[1]characters!$A:$J,10,FALSE)</f>
        <v>PremiumS</v>
      </c>
      <c r="G127" s="7">
        <f>VLOOKUP(D127,[1]characters!$A:$I,9,FALSE)</f>
        <v>4</v>
      </c>
      <c r="H127" s="7" t="str">
        <f>VLOOKUP(D127,[1]characters!$A:$H,8,FALSE)</f>
        <v>red</v>
      </c>
      <c r="I127" s="7" t="str">
        <f>VLOOKUP(D127,[1]characters!$A:$K,11,FALSE)</f>
        <v>balance</v>
      </c>
      <c r="J127" s="7" t="str">
        <f>VLOOKUP(D127,[1]characters!$A:$M,13,FALSE)</f>
        <v>god</v>
      </c>
      <c r="K127" s="7" t="str">
        <f>VLOOKUP(D127,[1]characters!$A:$G,7,FALSE)</f>
        <v>女性</v>
      </c>
      <c r="L127" s="66">
        <f>IFERROR(VLOOKUP(D127,input_2!L:R,7,FALSE),VLOOKUP(tables_2!B127,input_2!A:H,8,FALSE))</f>
        <v>306423</v>
      </c>
      <c r="M127" s="67">
        <f t="shared" si="3"/>
        <v>5.8986486486486489E-3</v>
      </c>
      <c r="N127" s="31">
        <f>IFERROR(VLOOKUP($D127,bug_conf_sheet!$A:$H,3,FALSE),VLOOKUP("other",bug_conf_sheet!$A:$H,3,FALSE))</f>
        <v>1</v>
      </c>
      <c r="O127" s="31">
        <f>IFERROR(VLOOKUP($D127,bug_conf_sheet!$A:$H,4,FALSE),VLOOKUP("other",bug_conf_sheet!$A:$H,4,FALSE))</f>
        <v>0</v>
      </c>
      <c r="P127" s="31">
        <f>IFERROR(VLOOKUP($D127,bug_conf_sheet!$A:$H,5,FALSE),VLOOKUP("other",bug_conf_sheet!$A:$H,5,FALSE))</f>
        <v>0</v>
      </c>
      <c r="Q127" s="31">
        <f>IFERROR(VLOOKUP($D127,bug_conf_sheet!$A:$H,6,FALSE),VLOOKUP("other",bug_conf_sheet!$A:$H,6,FALSE))</f>
        <v>0</v>
      </c>
      <c r="R127" s="31">
        <f>IFERROR(VLOOKUP($D127,bug_conf_sheet!$A:$H,7,FALSE),VLOOKUP("other",bug_conf_sheet!$A:$H,7,FALSE))</f>
        <v>0</v>
      </c>
      <c r="S127" s="31">
        <f>IFERROR(VLOOKUP($D127,bug_conf_sheet!$A:$H,8,FALSE),VLOOKUP("other",bug_conf_sheet!$A:$H,8,FALSE))</f>
        <v>1</v>
      </c>
    </row>
    <row r="128" spans="1:19" ht="21" customHeight="1">
      <c r="A128" s="2">
        <f>input_2!A$2</f>
        <v>3122</v>
      </c>
      <c r="B128" s="7" t="str">
        <f t="shared" si="4"/>
        <v>Premium5</v>
      </c>
      <c r="C128" s="7" t="str">
        <f t="shared" si="5"/>
        <v>Premium</v>
      </c>
      <c r="D128" s="6">
        <v>252</v>
      </c>
      <c r="E128" s="7" t="str">
        <f>VLOOKUP(D128,[1]characters!$A:$C,3,FALSE)</f>
        <v>強欲の沸騰 マンモン</v>
      </c>
      <c r="F128" s="7" t="str">
        <f>VLOOKUP(D128,[1]characters!$A:$J,10,FALSE)</f>
        <v>PremiumS</v>
      </c>
      <c r="G128" s="7">
        <f>VLOOKUP(D128,[1]characters!$A:$I,9,FALSE)</f>
        <v>5</v>
      </c>
      <c r="H128" s="7" t="str">
        <f>VLOOKUP(D128,[1]characters!$A:$H,8,FALSE)</f>
        <v>red</v>
      </c>
      <c r="I128" s="7" t="str">
        <f>VLOOKUP(D128,[1]characters!$A:$K,11,FALSE)</f>
        <v>balance</v>
      </c>
      <c r="J128" s="7" t="str">
        <f>VLOOKUP(D128,[1]characters!$A:$M,13,FALSE)</f>
        <v>god</v>
      </c>
      <c r="K128" s="7" t="str">
        <f>VLOOKUP(D128,[1]characters!$A:$G,7,FALSE)</f>
        <v>女性</v>
      </c>
      <c r="L128" s="66">
        <f>IFERROR(VLOOKUP(D128,input_2!L:R,7,FALSE),VLOOKUP(tables_2!B128,input_2!A:H,8,FALSE))</f>
        <v>46657</v>
      </c>
      <c r="M128" s="67">
        <f t="shared" si="3"/>
        <v>8.9814814814814813E-4</v>
      </c>
      <c r="N128" s="31">
        <f>IFERROR(VLOOKUP($D128,bug_conf_sheet!$A:$H,3,FALSE),VLOOKUP("other",bug_conf_sheet!$A:$H,3,FALSE))</f>
        <v>1</v>
      </c>
      <c r="O128" s="31">
        <f>IFERROR(VLOOKUP($D128,bug_conf_sheet!$A:$H,4,FALSE),VLOOKUP("other",bug_conf_sheet!$A:$H,4,FALSE))</f>
        <v>0</v>
      </c>
      <c r="P128" s="31">
        <f>IFERROR(VLOOKUP($D128,bug_conf_sheet!$A:$H,5,FALSE),VLOOKUP("other",bug_conf_sheet!$A:$H,5,FALSE))</f>
        <v>0</v>
      </c>
      <c r="Q128" s="31">
        <f>IFERROR(VLOOKUP($D128,bug_conf_sheet!$A:$H,6,FALSE),VLOOKUP("other",bug_conf_sheet!$A:$H,6,FALSE))</f>
        <v>0</v>
      </c>
      <c r="R128" s="31">
        <f>IFERROR(VLOOKUP($D128,bug_conf_sheet!$A:$H,7,FALSE),VLOOKUP("other",bug_conf_sheet!$A:$H,7,FALSE))</f>
        <v>0</v>
      </c>
      <c r="S128" s="31">
        <f>IFERROR(VLOOKUP($D128,bug_conf_sheet!$A:$H,8,FALSE),VLOOKUP("other",bug_conf_sheet!$A:$H,8,FALSE))</f>
        <v>1</v>
      </c>
    </row>
    <row r="129" spans="1:19" ht="21" customHeight="1">
      <c r="A129" s="2">
        <f>input_2!A$2</f>
        <v>3122</v>
      </c>
      <c r="B129" s="7" t="str">
        <f t="shared" si="4"/>
        <v>Premium3</v>
      </c>
      <c r="C129" s="7" t="str">
        <f t="shared" si="5"/>
        <v>Premium</v>
      </c>
      <c r="D129" s="6">
        <v>253</v>
      </c>
      <c r="E129" s="7" t="str">
        <f>VLOOKUP(D129,[1]characters!$A:$C,3,FALSE)</f>
        <v>ベルフェゴール</v>
      </c>
      <c r="F129" s="7" t="str">
        <f>VLOOKUP(D129,[1]characters!$A:$J,10,FALSE)</f>
        <v>PremiumS</v>
      </c>
      <c r="G129" s="7">
        <f>VLOOKUP(D129,[1]characters!$A:$I,9,FALSE)</f>
        <v>3</v>
      </c>
      <c r="H129" s="7" t="str">
        <f>VLOOKUP(D129,[1]characters!$A:$H,8,FALSE)</f>
        <v>green</v>
      </c>
      <c r="I129" s="7" t="str">
        <f>VLOOKUP(D129,[1]characters!$A:$K,11,FALSE)</f>
        <v>technical</v>
      </c>
      <c r="J129" s="7" t="str">
        <f>VLOOKUP(D129,[1]characters!$A:$M,13,FALSE)</f>
        <v>god</v>
      </c>
      <c r="K129" s="7" t="str">
        <f>VLOOKUP(D129,[1]characters!$A:$G,7,FALSE)</f>
        <v>女性</v>
      </c>
      <c r="L129" s="66">
        <f>IFERROR(VLOOKUP(D129,input_2!L:R,7,FALSE),VLOOKUP(tables_2!B129,input_2!A:H,8,FALSE))</f>
        <v>351000</v>
      </c>
      <c r="M129" s="67">
        <f t="shared" si="3"/>
        <v>6.7567567567567571E-3</v>
      </c>
      <c r="N129" s="31">
        <f>IFERROR(VLOOKUP($D129,bug_conf_sheet!$A:$H,3,FALSE),VLOOKUP("other",bug_conf_sheet!$A:$H,3,FALSE))</f>
        <v>1</v>
      </c>
      <c r="O129" s="31">
        <f>IFERROR(VLOOKUP($D129,bug_conf_sheet!$A:$H,4,FALSE),VLOOKUP("other",bug_conf_sheet!$A:$H,4,FALSE))</f>
        <v>0</v>
      </c>
      <c r="P129" s="31">
        <f>IFERROR(VLOOKUP($D129,bug_conf_sheet!$A:$H,5,FALSE),VLOOKUP("other",bug_conf_sheet!$A:$H,5,FALSE))</f>
        <v>0</v>
      </c>
      <c r="Q129" s="31">
        <f>IFERROR(VLOOKUP($D129,bug_conf_sheet!$A:$H,6,FALSE),VLOOKUP("other",bug_conf_sheet!$A:$H,6,FALSE))</f>
        <v>0</v>
      </c>
      <c r="R129" s="31">
        <f>IFERROR(VLOOKUP($D129,bug_conf_sheet!$A:$H,7,FALSE),VLOOKUP("other",bug_conf_sheet!$A:$H,7,FALSE))</f>
        <v>0</v>
      </c>
      <c r="S129" s="31">
        <f>IFERROR(VLOOKUP($D129,bug_conf_sheet!$A:$H,8,FALSE),VLOOKUP("other",bug_conf_sheet!$A:$H,8,FALSE))</f>
        <v>1</v>
      </c>
    </row>
    <row r="130" spans="1:19" ht="21" customHeight="1">
      <c r="A130" s="2">
        <f>input_2!A$2</f>
        <v>3122</v>
      </c>
      <c r="B130" s="7" t="str">
        <f t="shared" si="4"/>
        <v>Premium4</v>
      </c>
      <c r="C130" s="7" t="str">
        <f t="shared" si="5"/>
        <v>Premium</v>
      </c>
      <c r="D130" s="6">
        <v>254</v>
      </c>
      <c r="E130" s="7" t="str">
        <f>VLOOKUP(D130,[1]characters!$A:$C,3,FALSE)</f>
        <v>怠惰 ベルフェゴール</v>
      </c>
      <c r="F130" s="7" t="str">
        <f>VLOOKUP(D130,[1]characters!$A:$J,10,FALSE)</f>
        <v>PremiumS</v>
      </c>
      <c r="G130" s="7">
        <f>VLOOKUP(D130,[1]characters!$A:$I,9,FALSE)</f>
        <v>4</v>
      </c>
      <c r="H130" s="7" t="str">
        <f>VLOOKUP(D130,[1]characters!$A:$H,8,FALSE)</f>
        <v>green</v>
      </c>
      <c r="I130" s="7" t="str">
        <f>VLOOKUP(D130,[1]characters!$A:$K,11,FALSE)</f>
        <v>technical</v>
      </c>
      <c r="J130" s="7" t="str">
        <f>VLOOKUP(D130,[1]characters!$A:$M,13,FALSE)</f>
        <v>god</v>
      </c>
      <c r="K130" s="7" t="str">
        <f>VLOOKUP(D130,[1]characters!$A:$G,7,FALSE)</f>
        <v>女性</v>
      </c>
      <c r="L130" s="66">
        <f>IFERROR(VLOOKUP(D130,input_2!L:R,7,FALSE),VLOOKUP(tables_2!B130,input_2!A:H,8,FALSE))</f>
        <v>306423</v>
      </c>
      <c r="M130" s="67">
        <f t="shared" ref="M130:M193" si="6">L130/SUM(L:L)</f>
        <v>5.8986486486486489E-3</v>
      </c>
      <c r="N130" s="31">
        <f>IFERROR(VLOOKUP($D130,bug_conf_sheet!$A:$H,3,FALSE),VLOOKUP("other",bug_conf_sheet!$A:$H,3,FALSE))</f>
        <v>1</v>
      </c>
      <c r="O130" s="31">
        <f>IFERROR(VLOOKUP($D130,bug_conf_sheet!$A:$H,4,FALSE),VLOOKUP("other",bug_conf_sheet!$A:$H,4,FALSE))</f>
        <v>0</v>
      </c>
      <c r="P130" s="31">
        <f>IFERROR(VLOOKUP($D130,bug_conf_sheet!$A:$H,5,FALSE),VLOOKUP("other",bug_conf_sheet!$A:$H,5,FALSE))</f>
        <v>0</v>
      </c>
      <c r="Q130" s="31">
        <f>IFERROR(VLOOKUP($D130,bug_conf_sheet!$A:$H,6,FALSE),VLOOKUP("other",bug_conf_sheet!$A:$H,6,FALSE))</f>
        <v>0</v>
      </c>
      <c r="R130" s="31">
        <f>IFERROR(VLOOKUP($D130,bug_conf_sheet!$A:$H,7,FALSE),VLOOKUP("other",bug_conf_sheet!$A:$H,7,FALSE))</f>
        <v>0</v>
      </c>
      <c r="S130" s="31">
        <f>IFERROR(VLOOKUP($D130,bug_conf_sheet!$A:$H,8,FALSE),VLOOKUP("other",bug_conf_sheet!$A:$H,8,FALSE))</f>
        <v>1</v>
      </c>
    </row>
    <row r="131" spans="1:19" ht="21" customHeight="1">
      <c r="A131" s="2">
        <f>input_2!A$2</f>
        <v>3122</v>
      </c>
      <c r="B131" s="7" t="str">
        <f t="shared" ref="B131:B194" si="7">C131&amp;G131</f>
        <v>Premium5</v>
      </c>
      <c r="C131" s="7" t="str">
        <f t="shared" ref="C131:C194" si="8">IF(F131="PremiumSS",F131,IF(F131="PremiumSSS",F131,"Premium"))</f>
        <v>Premium</v>
      </c>
      <c r="D131" s="6">
        <v>255</v>
      </c>
      <c r="E131" s="7" t="str">
        <f>VLOOKUP(D131,[1]characters!$A:$C,3,FALSE)</f>
        <v>怠惰の頂点 ベルフェゴール</v>
      </c>
      <c r="F131" s="7" t="str">
        <f>VLOOKUP(D131,[1]characters!$A:$J,10,FALSE)</f>
        <v>PremiumS</v>
      </c>
      <c r="G131" s="7">
        <f>VLOOKUP(D131,[1]characters!$A:$I,9,FALSE)</f>
        <v>5</v>
      </c>
      <c r="H131" s="7" t="str">
        <f>VLOOKUP(D131,[1]characters!$A:$H,8,FALSE)</f>
        <v>green</v>
      </c>
      <c r="I131" s="7" t="str">
        <f>VLOOKUP(D131,[1]characters!$A:$K,11,FALSE)</f>
        <v>technical</v>
      </c>
      <c r="J131" s="7" t="str">
        <f>VLOOKUP(D131,[1]characters!$A:$M,13,FALSE)</f>
        <v>god</v>
      </c>
      <c r="K131" s="7" t="str">
        <f>VLOOKUP(D131,[1]characters!$A:$G,7,FALSE)</f>
        <v>女性</v>
      </c>
      <c r="L131" s="66">
        <f>IFERROR(VLOOKUP(D131,input_2!L:R,7,FALSE),VLOOKUP(tables_2!B131,input_2!A:H,8,FALSE))</f>
        <v>46657</v>
      </c>
      <c r="M131" s="67">
        <f t="shared" si="6"/>
        <v>8.9814814814814813E-4</v>
      </c>
      <c r="N131" s="31">
        <f>IFERROR(VLOOKUP($D131,bug_conf_sheet!$A:$H,3,FALSE),VLOOKUP("other",bug_conf_sheet!$A:$H,3,FALSE))</f>
        <v>1</v>
      </c>
      <c r="O131" s="31">
        <f>IFERROR(VLOOKUP($D131,bug_conf_sheet!$A:$H,4,FALSE),VLOOKUP("other",bug_conf_sheet!$A:$H,4,FALSE))</f>
        <v>0</v>
      </c>
      <c r="P131" s="31">
        <f>IFERROR(VLOOKUP($D131,bug_conf_sheet!$A:$H,5,FALSE),VLOOKUP("other",bug_conf_sheet!$A:$H,5,FALSE))</f>
        <v>0</v>
      </c>
      <c r="Q131" s="31">
        <f>IFERROR(VLOOKUP($D131,bug_conf_sheet!$A:$H,6,FALSE),VLOOKUP("other",bug_conf_sheet!$A:$H,6,FALSE))</f>
        <v>0</v>
      </c>
      <c r="R131" s="31">
        <f>IFERROR(VLOOKUP($D131,bug_conf_sheet!$A:$H,7,FALSE),VLOOKUP("other",bug_conf_sheet!$A:$H,7,FALSE))</f>
        <v>0</v>
      </c>
      <c r="S131" s="31">
        <f>IFERROR(VLOOKUP($D131,bug_conf_sheet!$A:$H,8,FALSE),VLOOKUP("other",bug_conf_sheet!$A:$H,8,FALSE))</f>
        <v>1</v>
      </c>
    </row>
    <row r="132" spans="1:19" ht="21" customHeight="1">
      <c r="A132" s="2">
        <f>input_2!A$2</f>
        <v>3122</v>
      </c>
      <c r="B132" s="7" t="str">
        <f t="shared" si="7"/>
        <v>Premium3</v>
      </c>
      <c r="C132" s="7" t="str">
        <f t="shared" si="8"/>
        <v>Premium</v>
      </c>
      <c r="D132" s="6">
        <v>256</v>
      </c>
      <c r="E132" s="7" t="str">
        <f>VLOOKUP(D132,[1]characters!$A:$C,3,FALSE)</f>
        <v>アスモデウス</v>
      </c>
      <c r="F132" s="7" t="str">
        <f>VLOOKUP(D132,[1]characters!$A:$J,10,FALSE)</f>
        <v>PremiumS</v>
      </c>
      <c r="G132" s="7">
        <f>VLOOKUP(D132,[1]characters!$A:$I,9,FALSE)</f>
        <v>3</v>
      </c>
      <c r="H132" s="7" t="str">
        <f>VLOOKUP(D132,[1]characters!$A:$H,8,FALSE)</f>
        <v>blue</v>
      </c>
      <c r="I132" s="7" t="str">
        <f>VLOOKUP(D132,[1]characters!$A:$K,11,FALSE)</f>
        <v>attack</v>
      </c>
      <c r="J132" s="7" t="str">
        <f>VLOOKUP(D132,[1]characters!$A:$M,13,FALSE)</f>
        <v>god</v>
      </c>
      <c r="K132" s="7" t="str">
        <f>VLOOKUP(D132,[1]characters!$A:$G,7,FALSE)</f>
        <v>女性</v>
      </c>
      <c r="L132" s="66">
        <f>IFERROR(VLOOKUP(D132,input_2!L:R,7,FALSE),VLOOKUP(tables_2!B132,input_2!A:H,8,FALSE))</f>
        <v>351000</v>
      </c>
      <c r="M132" s="67">
        <f t="shared" si="6"/>
        <v>6.7567567567567571E-3</v>
      </c>
      <c r="N132" s="31">
        <f>IFERROR(VLOOKUP($D132,bug_conf_sheet!$A:$H,3,FALSE),VLOOKUP("other",bug_conf_sheet!$A:$H,3,FALSE))</f>
        <v>1</v>
      </c>
      <c r="O132" s="31">
        <f>IFERROR(VLOOKUP($D132,bug_conf_sheet!$A:$H,4,FALSE),VLOOKUP("other",bug_conf_sheet!$A:$H,4,FALSE))</f>
        <v>0</v>
      </c>
      <c r="P132" s="31">
        <f>IFERROR(VLOOKUP($D132,bug_conf_sheet!$A:$H,5,FALSE),VLOOKUP("other",bug_conf_sheet!$A:$H,5,FALSE))</f>
        <v>0</v>
      </c>
      <c r="Q132" s="31">
        <f>IFERROR(VLOOKUP($D132,bug_conf_sheet!$A:$H,6,FALSE),VLOOKUP("other",bug_conf_sheet!$A:$H,6,FALSE))</f>
        <v>0</v>
      </c>
      <c r="R132" s="31">
        <f>IFERROR(VLOOKUP($D132,bug_conf_sheet!$A:$H,7,FALSE),VLOOKUP("other",bug_conf_sheet!$A:$H,7,FALSE))</f>
        <v>0</v>
      </c>
      <c r="S132" s="31">
        <f>IFERROR(VLOOKUP($D132,bug_conf_sheet!$A:$H,8,FALSE),VLOOKUP("other",bug_conf_sheet!$A:$H,8,FALSE))</f>
        <v>1</v>
      </c>
    </row>
    <row r="133" spans="1:19" ht="21" customHeight="1">
      <c r="A133" s="2">
        <f>input_2!A$2</f>
        <v>3122</v>
      </c>
      <c r="B133" s="7" t="str">
        <f t="shared" si="7"/>
        <v>Premium4</v>
      </c>
      <c r="C133" s="7" t="str">
        <f t="shared" si="8"/>
        <v>Premium</v>
      </c>
      <c r="D133" s="6">
        <v>257</v>
      </c>
      <c r="E133" s="7" t="str">
        <f>VLOOKUP(D133,[1]characters!$A:$C,3,FALSE)</f>
        <v>色欲 アスモデウス</v>
      </c>
      <c r="F133" s="7" t="str">
        <f>VLOOKUP(D133,[1]characters!$A:$J,10,FALSE)</f>
        <v>PremiumS</v>
      </c>
      <c r="G133" s="7">
        <f>VLOOKUP(D133,[1]characters!$A:$I,9,FALSE)</f>
        <v>4</v>
      </c>
      <c r="H133" s="7" t="str">
        <f>VLOOKUP(D133,[1]characters!$A:$H,8,FALSE)</f>
        <v>blue</v>
      </c>
      <c r="I133" s="7" t="str">
        <f>VLOOKUP(D133,[1]characters!$A:$K,11,FALSE)</f>
        <v>attack</v>
      </c>
      <c r="J133" s="7" t="str">
        <f>VLOOKUP(D133,[1]characters!$A:$M,13,FALSE)</f>
        <v>god</v>
      </c>
      <c r="K133" s="7" t="str">
        <f>VLOOKUP(D133,[1]characters!$A:$G,7,FALSE)</f>
        <v>女性</v>
      </c>
      <c r="L133" s="66">
        <f>IFERROR(VLOOKUP(D133,input_2!L:R,7,FALSE),VLOOKUP(tables_2!B133,input_2!A:H,8,FALSE))</f>
        <v>306423</v>
      </c>
      <c r="M133" s="67">
        <f t="shared" si="6"/>
        <v>5.8986486486486489E-3</v>
      </c>
      <c r="N133" s="31">
        <f>IFERROR(VLOOKUP($D133,bug_conf_sheet!$A:$H,3,FALSE),VLOOKUP("other",bug_conf_sheet!$A:$H,3,FALSE))</f>
        <v>1</v>
      </c>
      <c r="O133" s="31">
        <f>IFERROR(VLOOKUP($D133,bug_conf_sheet!$A:$H,4,FALSE),VLOOKUP("other",bug_conf_sheet!$A:$H,4,FALSE))</f>
        <v>0</v>
      </c>
      <c r="P133" s="31">
        <f>IFERROR(VLOOKUP($D133,bug_conf_sheet!$A:$H,5,FALSE),VLOOKUP("other",bug_conf_sheet!$A:$H,5,FALSE))</f>
        <v>0</v>
      </c>
      <c r="Q133" s="31">
        <f>IFERROR(VLOOKUP($D133,bug_conf_sheet!$A:$H,6,FALSE),VLOOKUP("other",bug_conf_sheet!$A:$H,6,FALSE))</f>
        <v>0</v>
      </c>
      <c r="R133" s="31">
        <f>IFERROR(VLOOKUP($D133,bug_conf_sheet!$A:$H,7,FALSE),VLOOKUP("other",bug_conf_sheet!$A:$H,7,FALSE))</f>
        <v>0</v>
      </c>
      <c r="S133" s="31">
        <f>IFERROR(VLOOKUP($D133,bug_conf_sheet!$A:$H,8,FALSE),VLOOKUP("other",bug_conf_sheet!$A:$H,8,FALSE))</f>
        <v>1</v>
      </c>
    </row>
    <row r="134" spans="1:19" ht="21" customHeight="1">
      <c r="A134" s="2">
        <f>input_2!A$2</f>
        <v>3122</v>
      </c>
      <c r="B134" s="7" t="str">
        <f t="shared" si="7"/>
        <v>Premium5</v>
      </c>
      <c r="C134" s="7" t="str">
        <f t="shared" si="8"/>
        <v>Premium</v>
      </c>
      <c r="D134" s="6">
        <v>258</v>
      </c>
      <c r="E134" s="7" t="str">
        <f>VLOOKUP(D134,[1]characters!$A:$C,3,FALSE)</f>
        <v>色欲の源流 アスモデウス</v>
      </c>
      <c r="F134" s="7" t="str">
        <f>VLOOKUP(D134,[1]characters!$A:$J,10,FALSE)</f>
        <v>PremiumS</v>
      </c>
      <c r="G134" s="7">
        <f>VLOOKUP(D134,[1]characters!$A:$I,9,FALSE)</f>
        <v>5</v>
      </c>
      <c r="H134" s="7" t="str">
        <f>VLOOKUP(D134,[1]characters!$A:$H,8,FALSE)</f>
        <v>blue</v>
      </c>
      <c r="I134" s="7" t="str">
        <f>VLOOKUP(D134,[1]characters!$A:$K,11,FALSE)</f>
        <v>attack</v>
      </c>
      <c r="J134" s="7" t="str">
        <f>VLOOKUP(D134,[1]characters!$A:$M,13,FALSE)</f>
        <v>god</v>
      </c>
      <c r="K134" s="7" t="str">
        <f>VLOOKUP(D134,[1]characters!$A:$G,7,FALSE)</f>
        <v>女性</v>
      </c>
      <c r="L134" s="66">
        <f>IFERROR(VLOOKUP(D134,input_2!L:R,7,FALSE),VLOOKUP(tables_2!B134,input_2!A:H,8,FALSE))</f>
        <v>46657</v>
      </c>
      <c r="M134" s="67">
        <f t="shared" si="6"/>
        <v>8.9814814814814813E-4</v>
      </c>
      <c r="N134" s="31">
        <f>IFERROR(VLOOKUP($D134,bug_conf_sheet!$A:$H,3,FALSE),VLOOKUP("other",bug_conf_sheet!$A:$H,3,FALSE))</f>
        <v>1</v>
      </c>
      <c r="O134" s="31">
        <f>IFERROR(VLOOKUP($D134,bug_conf_sheet!$A:$H,4,FALSE),VLOOKUP("other",bug_conf_sheet!$A:$H,4,FALSE))</f>
        <v>0</v>
      </c>
      <c r="P134" s="31">
        <f>IFERROR(VLOOKUP($D134,bug_conf_sheet!$A:$H,5,FALSE),VLOOKUP("other",bug_conf_sheet!$A:$H,5,FALSE))</f>
        <v>0</v>
      </c>
      <c r="Q134" s="31">
        <f>IFERROR(VLOOKUP($D134,bug_conf_sheet!$A:$H,6,FALSE),VLOOKUP("other",bug_conf_sheet!$A:$H,6,FALSE))</f>
        <v>0</v>
      </c>
      <c r="R134" s="31">
        <f>IFERROR(VLOOKUP($D134,bug_conf_sheet!$A:$H,7,FALSE),VLOOKUP("other",bug_conf_sheet!$A:$H,7,FALSE))</f>
        <v>0</v>
      </c>
      <c r="S134" s="31">
        <f>IFERROR(VLOOKUP($D134,bug_conf_sheet!$A:$H,8,FALSE),VLOOKUP("other",bug_conf_sheet!$A:$H,8,FALSE))</f>
        <v>1</v>
      </c>
    </row>
    <row r="135" spans="1:19" ht="21" customHeight="1">
      <c r="A135" s="2">
        <f>input_2!A$2</f>
        <v>3122</v>
      </c>
      <c r="B135" s="7" t="str">
        <f t="shared" si="7"/>
        <v>Premium3</v>
      </c>
      <c r="C135" s="7" t="str">
        <f t="shared" si="8"/>
        <v>Premium</v>
      </c>
      <c r="D135" s="6">
        <v>259</v>
      </c>
      <c r="E135" s="7" t="str">
        <f>VLOOKUP(D135,[1]characters!$A:$C,3,FALSE)</f>
        <v>ウロボロス</v>
      </c>
      <c r="F135" s="7" t="str">
        <f>VLOOKUP(D135,[1]characters!$A:$J,10,FALSE)</f>
        <v>PremiumS</v>
      </c>
      <c r="G135" s="7">
        <f>VLOOKUP(D135,[1]characters!$A:$I,9,FALSE)</f>
        <v>3</v>
      </c>
      <c r="H135" s="7" t="str">
        <f>VLOOKUP(D135,[1]characters!$A:$H,8,FALSE)</f>
        <v>yellow</v>
      </c>
      <c r="I135" s="7" t="str">
        <f>VLOOKUP(D135,[1]characters!$A:$K,11,FALSE)</f>
        <v>balance</v>
      </c>
      <c r="J135" s="7" t="str">
        <f>VLOOKUP(D135,[1]characters!$A:$M,13,FALSE)</f>
        <v>dragon</v>
      </c>
      <c r="K135" s="7" t="str">
        <f>VLOOKUP(D135,[1]characters!$A:$G,7,FALSE)</f>
        <v>女性</v>
      </c>
      <c r="L135" s="66">
        <f>IFERROR(VLOOKUP(D135,input_2!L:R,7,FALSE),VLOOKUP(tables_2!B135,input_2!A:H,8,FALSE))</f>
        <v>351000</v>
      </c>
      <c r="M135" s="67">
        <f t="shared" si="6"/>
        <v>6.7567567567567571E-3</v>
      </c>
      <c r="N135" s="31">
        <f>IFERROR(VLOOKUP($D135,bug_conf_sheet!$A:$H,3,FALSE),VLOOKUP("other",bug_conf_sheet!$A:$H,3,FALSE))</f>
        <v>1</v>
      </c>
      <c r="O135" s="31">
        <f>IFERROR(VLOOKUP($D135,bug_conf_sheet!$A:$H,4,FALSE),VLOOKUP("other",bug_conf_sheet!$A:$H,4,FALSE))</f>
        <v>0</v>
      </c>
      <c r="P135" s="31">
        <f>IFERROR(VLOOKUP($D135,bug_conf_sheet!$A:$H,5,FALSE),VLOOKUP("other",bug_conf_sheet!$A:$H,5,FALSE))</f>
        <v>0</v>
      </c>
      <c r="Q135" s="31">
        <f>IFERROR(VLOOKUP($D135,bug_conf_sheet!$A:$H,6,FALSE),VLOOKUP("other",bug_conf_sheet!$A:$H,6,FALSE))</f>
        <v>0</v>
      </c>
      <c r="R135" s="31">
        <f>IFERROR(VLOOKUP($D135,bug_conf_sheet!$A:$H,7,FALSE),VLOOKUP("other",bug_conf_sheet!$A:$H,7,FALSE))</f>
        <v>0</v>
      </c>
      <c r="S135" s="31">
        <f>IFERROR(VLOOKUP($D135,bug_conf_sheet!$A:$H,8,FALSE),VLOOKUP("other",bug_conf_sheet!$A:$H,8,FALSE))</f>
        <v>1</v>
      </c>
    </row>
    <row r="136" spans="1:19" ht="21" customHeight="1">
      <c r="A136" s="2">
        <f>input_2!A$2</f>
        <v>3122</v>
      </c>
      <c r="B136" s="7" t="str">
        <f t="shared" si="7"/>
        <v>Premium4</v>
      </c>
      <c r="C136" s="7" t="str">
        <f t="shared" si="8"/>
        <v>Premium</v>
      </c>
      <c r="D136" s="8">
        <v>260</v>
      </c>
      <c r="E136" s="7" t="str">
        <f>VLOOKUP(D136,[1]characters!$A:$C,3,FALSE)</f>
        <v>輪廻 ウロボロス</v>
      </c>
      <c r="F136" s="7" t="str">
        <f>VLOOKUP(D136,[1]characters!$A:$J,10,FALSE)</f>
        <v>PremiumS</v>
      </c>
      <c r="G136" s="7">
        <f>VLOOKUP(D136,[1]characters!$A:$I,9,FALSE)</f>
        <v>4</v>
      </c>
      <c r="H136" s="7" t="str">
        <f>VLOOKUP(D136,[1]characters!$A:$H,8,FALSE)</f>
        <v>yellow</v>
      </c>
      <c r="I136" s="7" t="str">
        <f>VLOOKUP(D136,[1]characters!$A:$K,11,FALSE)</f>
        <v>balance</v>
      </c>
      <c r="J136" s="7" t="str">
        <f>VLOOKUP(D136,[1]characters!$A:$M,13,FALSE)</f>
        <v>dragon</v>
      </c>
      <c r="K136" s="7" t="str">
        <f>VLOOKUP(D136,[1]characters!$A:$G,7,FALSE)</f>
        <v>女性</v>
      </c>
      <c r="L136" s="66">
        <f>IFERROR(VLOOKUP(D136,input_2!L:R,7,FALSE),VLOOKUP(tables_2!B136,input_2!A:H,8,FALSE))</f>
        <v>306423</v>
      </c>
      <c r="M136" s="67">
        <f t="shared" si="6"/>
        <v>5.8986486486486489E-3</v>
      </c>
      <c r="N136" s="31">
        <f>IFERROR(VLOOKUP($D136,bug_conf_sheet!$A:$H,3,FALSE),VLOOKUP("other",bug_conf_sheet!$A:$H,3,FALSE))</f>
        <v>1</v>
      </c>
      <c r="O136" s="31">
        <f>IFERROR(VLOOKUP($D136,bug_conf_sheet!$A:$H,4,FALSE),VLOOKUP("other",bug_conf_sheet!$A:$H,4,FALSE))</f>
        <v>0</v>
      </c>
      <c r="P136" s="31">
        <f>IFERROR(VLOOKUP($D136,bug_conf_sheet!$A:$H,5,FALSE),VLOOKUP("other",bug_conf_sheet!$A:$H,5,FALSE))</f>
        <v>0</v>
      </c>
      <c r="Q136" s="31">
        <f>IFERROR(VLOOKUP($D136,bug_conf_sheet!$A:$H,6,FALSE),VLOOKUP("other",bug_conf_sheet!$A:$H,6,FALSE))</f>
        <v>0</v>
      </c>
      <c r="R136" s="31">
        <f>IFERROR(VLOOKUP($D136,bug_conf_sheet!$A:$H,7,FALSE),VLOOKUP("other",bug_conf_sheet!$A:$H,7,FALSE))</f>
        <v>0</v>
      </c>
      <c r="S136" s="31">
        <f>IFERROR(VLOOKUP($D136,bug_conf_sheet!$A:$H,8,FALSE),VLOOKUP("other",bug_conf_sheet!$A:$H,8,FALSE))</f>
        <v>1</v>
      </c>
    </row>
    <row r="137" spans="1:19" ht="21" customHeight="1">
      <c r="A137" s="2">
        <f>input_2!A$2</f>
        <v>3122</v>
      </c>
      <c r="B137" s="7" t="str">
        <f t="shared" si="7"/>
        <v>Premium5</v>
      </c>
      <c r="C137" s="7" t="str">
        <f t="shared" si="8"/>
        <v>Premium</v>
      </c>
      <c r="D137" s="8">
        <v>261</v>
      </c>
      <c r="E137" s="7" t="str">
        <f>VLOOKUP(D137,[1]characters!$A:$C,3,FALSE)</f>
        <v>輪廻の蛇龍 ウロボロス</v>
      </c>
      <c r="F137" s="7" t="str">
        <f>VLOOKUP(D137,[1]characters!$A:$J,10,FALSE)</f>
        <v>PremiumS</v>
      </c>
      <c r="G137" s="7">
        <f>VLOOKUP(D137,[1]characters!$A:$I,9,FALSE)</f>
        <v>5</v>
      </c>
      <c r="H137" s="7" t="str">
        <f>VLOOKUP(D137,[1]characters!$A:$H,8,FALSE)</f>
        <v>yellow</v>
      </c>
      <c r="I137" s="7" t="str">
        <f>VLOOKUP(D137,[1]characters!$A:$K,11,FALSE)</f>
        <v>balance</v>
      </c>
      <c r="J137" s="7" t="str">
        <f>VLOOKUP(D137,[1]characters!$A:$M,13,FALSE)</f>
        <v>dragon</v>
      </c>
      <c r="K137" s="7" t="str">
        <f>VLOOKUP(D137,[1]characters!$A:$G,7,FALSE)</f>
        <v>女性</v>
      </c>
      <c r="L137" s="66">
        <f>IFERROR(VLOOKUP(D137,input_2!L:R,7,FALSE),VLOOKUP(tables_2!B137,input_2!A:H,8,FALSE))</f>
        <v>46657</v>
      </c>
      <c r="M137" s="67">
        <f t="shared" si="6"/>
        <v>8.9814814814814813E-4</v>
      </c>
      <c r="N137" s="31">
        <f>IFERROR(VLOOKUP($D137,bug_conf_sheet!$A:$H,3,FALSE),VLOOKUP("other",bug_conf_sheet!$A:$H,3,FALSE))</f>
        <v>1</v>
      </c>
      <c r="O137" s="31">
        <f>IFERROR(VLOOKUP($D137,bug_conf_sheet!$A:$H,4,FALSE),VLOOKUP("other",bug_conf_sheet!$A:$H,4,FALSE))</f>
        <v>0</v>
      </c>
      <c r="P137" s="31">
        <f>IFERROR(VLOOKUP($D137,bug_conf_sheet!$A:$H,5,FALSE),VLOOKUP("other",bug_conf_sheet!$A:$H,5,FALSE))</f>
        <v>0</v>
      </c>
      <c r="Q137" s="31">
        <f>IFERROR(VLOOKUP($D137,bug_conf_sheet!$A:$H,6,FALSE),VLOOKUP("other",bug_conf_sheet!$A:$H,6,FALSE))</f>
        <v>0</v>
      </c>
      <c r="R137" s="31">
        <f>IFERROR(VLOOKUP($D137,bug_conf_sheet!$A:$H,7,FALSE),VLOOKUP("other",bug_conf_sheet!$A:$H,7,FALSE))</f>
        <v>0</v>
      </c>
      <c r="S137" s="31">
        <f>IFERROR(VLOOKUP($D137,bug_conf_sheet!$A:$H,8,FALSE),VLOOKUP("other",bug_conf_sheet!$A:$H,8,FALSE))</f>
        <v>1</v>
      </c>
    </row>
    <row r="138" spans="1:19" ht="21" customHeight="1">
      <c r="A138" s="2">
        <f>input_2!A$2</f>
        <v>3122</v>
      </c>
      <c r="B138" s="7" t="str">
        <f t="shared" si="7"/>
        <v>PremiumSS4</v>
      </c>
      <c r="C138" s="7" t="str">
        <f t="shared" si="8"/>
        <v>PremiumSS</v>
      </c>
      <c r="D138" s="6">
        <v>320</v>
      </c>
      <c r="E138" s="7" t="str">
        <f>VLOOKUP(D138,[1]characters!$A:$C,3,FALSE)</f>
        <v>烈志士 近藤勇</v>
      </c>
      <c r="F138" s="7" t="str">
        <f>VLOOKUP(D138,[1]characters!$A:$J,10,FALSE)</f>
        <v>PremiumSS</v>
      </c>
      <c r="G138" s="7">
        <f>VLOOKUP(D138,[1]characters!$A:$I,9,FALSE)</f>
        <v>4</v>
      </c>
      <c r="H138" s="7" t="str">
        <f>VLOOKUP(D138,[1]characters!$A:$H,8,FALSE)</f>
        <v>red</v>
      </c>
      <c r="I138" s="7" t="str">
        <f>VLOOKUP(D138,[1]characters!$A:$K,11,FALSE)</f>
        <v>hp</v>
      </c>
      <c r="J138" s="7" t="str">
        <f>VLOOKUP(D138,[1]characters!$A:$M,13,FALSE)</f>
        <v>human</v>
      </c>
      <c r="K138" s="7" t="str">
        <f>VLOOKUP(D138,[1]characters!$A:$G,7,FALSE)</f>
        <v>男性</v>
      </c>
      <c r="L138" s="66">
        <f>IFERROR(VLOOKUP(D138,input_2!L:R,7,FALSE),VLOOKUP(tables_2!B138,input_2!A:H,8,FALSE))</f>
        <v>26973</v>
      </c>
      <c r="M138" s="67">
        <f t="shared" si="6"/>
        <v>5.1923076923076922E-4</v>
      </c>
      <c r="N138" s="31">
        <f>IFERROR(VLOOKUP($D138,bug_conf_sheet!$A:$H,3,FALSE),VLOOKUP("other",bug_conf_sheet!$A:$H,3,FALSE))</f>
        <v>1</v>
      </c>
      <c r="O138" s="31">
        <f>IFERROR(VLOOKUP($D138,bug_conf_sheet!$A:$H,4,FALSE),VLOOKUP("other",bug_conf_sheet!$A:$H,4,FALSE))</f>
        <v>0</v>
      </c>
      <c r="P138" s="31">
        <f>IFERROR(VLOOKUP($D138,bug_conf_sheet!$A:$H,5,FALSE),VLOOKUP("other",bug_conf_sheet!$A:$H,5,FALSE))</f>
        <v>0</v>
      </c>
      <c r="Q138" s="31">
        <f>IFERROR(VLOOKUP($D138,bug_conf_sheet!$A:$H,6,FALSE),VLOOKUP("other",bug_conf_sheet!$A:$H,6,FALSE))</f>
        <v>0</v>
      </c>
      <c r="R138" s="31">
        <f>IFERROR(VLOOKUP($D138,bug_conf_sheet!$A:$H,7,FALSE),VLOOKUP("other",bug_conf_sheet!$A:$H,7,FALSE))</f>
        <v>0</v>
      </c>
      <c r="S138" s="31">
        <f>IFERROR(VLOOKUP($D138,bug_conf_sheet!$A:$H,8,FALSE),VLOOKUP("other",bug_conf_sheet!$A:$H,8,FALSE))</f>
        <v>1</v>
      </c>
    </row>
    <row r="139" spans="1:19" ht="21" customHeight="1">
      <c r="A139" s="2">
        <f>input_2!A$2</f>
        <v>3122</v>
      </c>
      <c r="B139" s="7" t="str">
        <f t="shared" si="7"/>
        <v>PremiumSS5</v>
      </c>
      <c r="C139" s="7" t="str">
        <f t="shared" si="8"/>
        <v>PremiumSS</v>
      </c>
      <c r="D139" s="6">
        <v>321</v>
      </c>
      <c r="E139" s="7" t="str">
        <f>VLOOKUP(D139,[1]characters!$A:$C,3,FALSE)</f>
        <v>巌鉄の烈志士 近藤勇</v>
      </c>
      <c r="F139" s="7" t="str">
        <f>VLOOKUP(D139,[1]characters!$A:$J,10,FALSE)</f>
        <v>PremiumSS</v>
      </c>
      <c r="G139" s="7">
        <f>VLOOKUP(D139,[1]characters!$A:$I,9,FALSE)</f>
        <v>5</v>
      </c>
      <c r="H139" s="7" t="str">
        <f>VLOOKUP(D139,[1]characters!$A:$H,8,FALSE)</f>
        <v>red</v>
      </c>
      <c r="I139" s="7" t="str">
        <f>VLOOKUP(D139,[1]characters!$A:$K,11,FALSE)</f>
        <v>hp</v>
      </c>
      <c r="J139" s="7" t="str">
        <f>VLOOKUP(D139,[1]characters!$A:$M,13,FALSE)</f>
        <v>human</v>
      </c>
      <c r="K139" s="7" t="str">
        <f>VLOOKUP(D139,[1]characters!$A:$G,7,FALSE)</f>
        <v>男性</v>
      </c>
      <c r="L139" s="66">
        <f>IFERROR(VLOOKUP(D139,input_2!L:R,7,FALSE),VLOOKUP(tables_2!B139,input_2!A:H,8,FALSE))</f>
        <v>2997</v>
      </c>
      <c r="M139" s="67">
        <f t="shared" si="6"/>
        <v>5.7692307692307691E-5</v>
      </c>
      <c r="N139" s="31">
        <f>IFERROR(VLOOKUP($D139,bug_conf_sheet!$A:$H,3,FALSE),VLOOKUP("other",bug_conf_sheet!$A:$H,3,FALSE))</f>
        <v>1</v>
      </c>
      <c r="O139" s="31">
        <f>IFERROR(VLOOKUP($D139,bug_conf_sheet!$A:$H,4,FALSE),VLOOKUP("other",bug_conf_sheet!$A:$H,4,FALSE))</f>
        <v>0</v>
      </c>
      <c r="P139" s="31">
        <f>IFERROR(VLOOKUP($D139,bug_conf_sheet!$A:$H,5,FALSE),VLOOKUP("other",bug_conf_sheet!$A:$H,5,FALSE))</f>
        <v>0</v>
      </c>
      <c r="Q139" s="31">
        <f>IFERROR(VLOOKUP($D139,bug_conf_sheet!$A:$H,6,FALSE),VLOOKUP("other",bug_conf_sheet!$A:$H,6,FALSE))</f>
        <v>0</v>
      </c>
      <c r="R139" s="31">
        <f>IFERROR(VLOOKUP($D139,bug_conf_sheet!$A:$H,7,FALSE),VLOOKUP("other",bug_conf_sheet!$A:$H,7,FALSE))</f>
        <v>0</v>
      </c>
      <c r="S139" s="31">
        <f>IFERROR(VLOOKUP($D139,bug_conf_sheet!$A:$H,8,FALSE),VLOOKUP("other",bug_conf_sheet!$A:$H,8,FALSE))</f>
        <v>1</v>
      </c>
    </row>
    <row r="140" spans="1:19" ht="21" customHeight="1">
      <c r="A140" s="2">
        <f>input_2!A$2</f>
        <v>3122</v>
      </c>
      <c r="B140" s="7" t="str">
        <f t="shared" si="7"/>
        <v>PremiumSS4</v>
      </c>
      <c r="C140" s="7" t="str">
        <f t="shared" si="8"/>
        <v>PremiumSS</v>
      </c>
      <c r="D140" s="6">
        <v>322</v>
      </c>
      <c r="E140" s="7" t="str">
        <f>VLOOKUP(D140,[1]characters!$A:$C,3,FALSE)</f>
        <v>愛志士 土方歳三</v>
      </c>
      <c r="F140" s="7" t="str">
        <f>VLOOKUP(D140,[1]characters!$A:$J,10,FALSE)</f>
        <v>PremiumSS</v>
      </c>
      <c r="G140" s="7">
        <f>VLOOKUP(D140,[1]characters!$A:$I,9,FALSE)</f>
        <v>4</v>
      </c>
      <c r="H140" s="7" t="str">
        <f>VLOOKUP(D140,[1]characters!$A:$H,8,FALSE)</f>
        <v>green</v>
      </c>
      <c r="I140" s="7" t="str">
        <f>VLOOKUP(D140,[1]characters!$A:$K,11,FALSE)</f>
        <v>attack</v>
      </c>
      <c r="J140" s="7" t="str">
        <f>VLOOKUP(D140,[1]characters!$A:$M,13,FALSE)</f>
        <v>human</v>
      </c>
      <c r="K140" s="7" t="str">
        <f>VLOOKUP(D140,[1]characters!$A:$G,7,FALSE)</f>
        <v>女性</v>
      </c>
      <c r="L140" s="66">
        <f>IFERROR(VLOOKUP(D140,input_2!L:R,7,FALSE),VLOOKUP(tables_2!B140,input_2!A:H,8,FALSE))</f>
        <v>26973</v>
      </c>
      <c r="M140" s="67">
        <f t="shared" si="6"/>
        <v>5.1923076923076922E-4</v>
      </c>
      <c r="N140" s="31">
        <f>IFERROR(VLOOKUP($D140,bug_conf_sheet!$A:$H,3,FALSE),VLOOKUP("other",bug_conf_sheet!$A:$H,3,FALSE))</f>
        <v>1</v>
      </c>
      <c r="O140" s="31">
        <f>IFERROR(VLOOKUP($D140,bug_conf_sheet!$A:$H,4,FALSE),VLOOKUP("other",bug_conf_sheet!$A:$H,4,FALSE))</f>
        <v>0</v>
      </c>
      <c r="P140" s="31">
        <f>IFERROR(VLOOKUP($D140,bug_conf_sheet!$A:$H,5,FALSE),VLOOKUP("other",bug_conf_sheet!$A:$H,5,FALSE))</f>
        <v>0</v>
      </c>
      <c r="Q140" s="31">
        <f>IFERROR(VLOOKUP($D140,bug_conf_sheet!$A:$H,6,FALSE),VLOOKUP("other",bug_conf_sheet!$A:$H,6,FALSE))</f>
        <v>0</v>
      </c>
      <c r="R140" s="31">
        <f>IFERROR(VLOOKUP($D140,bug_conf_sheet!$A:$H,7,FALSE),VLOOKUP("other",bug_conf_sheet!$A:$H,7,FALSE))</f>
        <v>0</v>
      </c>
      <c r="S140" s="31">
        <f>IFERROR(VLOOKUP($D140,bug_conf_sheet!$A:$H,8,FALSE),VLOOKUP("other",bug_conf_sheet!$A:$H,8,FALSE))</f>
        <v>1</v>
      </c>
    </row>
    <row r="141" spans="1:19" ht="21" customHeight="1">
      <c r="A141" s="2">
        <f>input_2!A$2</f>
        <v>3122</v>
      </c>
      <c r="B141" s="7" t="str">
        <f t="shared" si="7"/>
        <v>PremiumSS5</v>
      </c>
      <c r="C141" s="7" t="str">
        <f t="shared" si="8"/>
        <v>PremiumSS</v>
      </c>
      <c r="D141" s="6">
        <v>323</v>
      </c>
      <c r="E141" s="7" t="str">
        <f>VLOOKUP(D141,[1]characters!$A:$C,3,FALSE)</f>
        <v>流麗の愛志士 土方歳三</v>
      </c>
      <c r="F141" s="7" t="str">
        <f>VLOOKUP(D141,[1]characters!$A:$J,10,FALSE)</f>
        <v>PremiumSS</v>
      </c>
      <c r="G141" s="7">
        <f>VLOOKUP(D141,[1]characters!$A:$I,9,FALSE)</f>
        <v>5</v>
      </c>
      <c r="H141" s="7" t="str">
        <f>VLOOKUP(D141,[1]characters!$A:$H,8,FALSE)</f>
        <v>green</v>
      </c>
      <c r="I141" s="7" t="str">
        <f>VLOOKUP(D141,[1]characters!$A:$K,11,FALSE)</f>
        <v>attack</v>
      </c>
      <c r="J141" s="7" t="str">
        <f>VLOOKUP(D141,[1]characters!$A:$M,13,FALSE)</f>
        <v>human</v>
      </c>
      <c r="K141" s="7" t="str">
        <f>VLOOKUP(D141,[1]characters!$A:$G,7,FALSE)</f>
        <v>女性</v>
      </c>
      <c r="L141" s="66">
        <f>IFERROR(VLOOKUP(D141,input_2!L:R,7,FALSE),VLOOKUP(tables_2!B141,input_2!A:H,8,FALSE))</f>
        <v>2997</v>
      </c>
      <c r="M141" s="67">
        <f t="shared" si="6"/>
        <v>5.7692307692307691E-5</v>
      </c>
      <c r="N141" s="31">
        <f>IFERROR(VLOOKUP($D141,bug_conf_sheet!$A:$H,3,FALSE),VLOOKUP("other",bug_conf_sheet!$A:$H,3,FALSE))</f>
        <v>1</v>
      </c>
      <c r="O141" s="31">
        <f>IFERROR(VLOOKUP($D141,bug_conf_sheet!$A:$H,4,FALSE),VLOOKUP("other",bug_conf_sheet!$A:$H,4,FALSE))</f>
        <v>0</v>
      </c>
      <c r="P141" s="31">
        <f>IFERROR(VLOOKUP($D141,bug_conf_sheet!$A:$H,5,FALSE),VLOOKUP("other",bug_conf_sheet!$A:$H,5,FALSE))</f>
        <v>0</v>
      </c>
      <c r="Q141" s="31">
        <f>IFERROR(VLOOKUP($D141,bug_conf_sheet!$A:$H,6,FALSE),VLOOKUP("other",bug_conf_sheet!$A:$H,6,FALSE))</f>
        <v>0</v>
      </c>
      <c r="R141" s="31">
        <f>IFERROR(VLOOKUP($D141,bug_conf_sheet!$A:$H,7,FALSE),VLOOKUP("other",bug_conf_sheet!$A:$H,7,FALSE))</f>
        <v>0</v>
      </c>
      <c r="S141" s="31">
        <f>IFERROR(VLOOKUP($D141,bug_conf_sheet!$A:$H,8,FALSE),VLOOKUP("other",bug_conf_sheet!$A:$H,8,FALSE))</f>
        <v>1</v>
      </c>
    </row>
    <row r="142" spans="1:19" ht="21" customHeight="1">
      <c r="A142" s="2">
        <f>input_2!A$2</f>
        <v>3122</v>
      </c>
      <c r="B142" s="7" t="str">
        <f t="shared" si="7"/>
        <v>PremiumSS4</v>
      </c>
      <c r="C142" s="7" t="str">
        <f t="shared" si="8"/>
        <v>PremiumSS</v>
      </c>
      <c r="D142" s="6">
        <v>324</v>
      </c>
      <c r="E142" s="7" t="str">
        <f>VLOOKUP(D142,[1]characters!$A:$C,3,FALSE)</f>
        <v>凛志士 沖田総司</v>
      </c>
      <c r="F142" s="7" t="str">
        <f>VLOOKUP(D142,[1]characters!$A:$J,10,FALSE)</f>
        <v>PremiumSS</v>
      </c>
      <c r="G142" s="7">
        <f>VLOOKUP(D142,[1]characters!$A:$I,9,FALSE)</f>
        <v>4</v>
      </c>
      <c r="H142" s="7" t="str">
        <f>VLOOKUP(D142,[1]characters!$A:$H,8,FALSE)</f>
        <v>blue</v>
      </c>
      <c r="I142" s="7" t="str">
        <f>VLOOKUP(D142,[1]characters!$A:$K,11,FALSE)</f>
        <v>balance</v>
      </c>
      <c r="J142" s="7" t="str">
        <f>VLOOKUP(D142,[1]characters!$A:$M,13,FALSE)</f>
        <v>human</v>
      </c>
      <c r="K142" s="7" t="str">
        <f>VLOOKUP(D142,[1]characters!$A:$G,7,FALSE)</f>
        <v>女性</v>
      </c>
      <c r="L142" s="66">
        <f>IFERROR(VLOOKUP(D142,input_2!L:R,7,FALSE),VLOOKUP(tables_2!B142,input_2!A:H,8,FALSE))</f>
        <v>26973</v>
      </c>
      <c r="M142" s="67">
        <f t="shared" si="6"/>
        <v>5.1923076923076922E-4</v>
      </c>
      <c r="N142" s="31">
        <f>IFERROR(VLOOKUP($D142,bug_conf_sheet!$A:$H,3,FALSE),VLOOKUP("other",bug_conf_sheet!$A:$H,3,FALSE))</f>
        <v>1</v>
      </c>
      <c r="O142" s="31">
        <f>IFERROR(VLOOKUP($D142,bug_conf_sheet!$A:$H,4,FALSE),VLOOKUP("other",bug_conf_sheet!$A:$H,4,FALSE))</f>
        <v>0</v>
      </c>
      <c r="P142" s="31">
        <f>IFERROR(VLOOKUP($D142,bug_conf_sheet!$A:$H,5,FALSE),VLOOKUP("other",bug_conf_sheet!$A:$H,5,FALSE))</f>
        <v>0</v>
      </c>
      <c r="Q142" s="31">
        <f>IFERROR(VLOOKUP($D142,bug_conf_sheet!$A:$H,6,FALSE),VLOOKUP("other",bug_conf_sheet!$A:$H,6,FALSE))</f>
        <v>0</v>
      </c>
      <c r="R142" s="31">
        <f>IFERROR(VLOOKUP($D142,bug_conf_sheet!$A:$H,7,FALSE),VLOOKUP("other",bug_conf_sheet!$A:$H,7,FALSE))</f>
        <v>0</v>
      </c>
      <c r="S142" s="31">
        <f>IFERROR(VLOOKUP($D142,bug_conf_sheet!$A:$H,8,FALSE),VLOOKUP("other",bug_conf_sheet!$A:$H,8,FALSE))</f>
        <v>1</v>
      </c>
    </row>
    <row r="143" spans="1:19" s="12" customFormat="1" ht="21" customHeight="1" thickBot="1">
      <c r="A143" s="2">
        <f>input_2!A$2</f>
        <v>3122</v>
      </c>
      <c r="B143" s="7" t="str">
        <f t="shared" si="7"/>
        <v>PremiumSS5</v>
      </c>
      <c r="C143" s="7" t="str">
        <f t="shared" si="8"/>
        <v>PremiumSS</v>
      </c>
      <c r="D143" s="6">
        <v>325</v>
      </c>
      <c r="E143" s="7" t="str">
        <f>VLOOKUP(D143,[1]characters!$A:$C,3,FALSE)</f>
        <v>天賦の凛志士 沖田総司</v>
      </c>
      <c r="F143" s="7" t="str">
        <f>VLOOKUP(D143,[1]characters!$A:$J,10,FALSE)</f>
        <v>PremiumSS</v>
      </c>
      <c r="G143" s="7">
        <f>VLOOKUP(D143,[1]characters!$A:$I,9,FALSE)</f>
        <v>5</v>
      </c>
      <c r="H143" s="7" t="str">
        <f>VLOOKUP(D143,[1]characters!$A:$H,8,FALSE)</f>
        <v>blue</v>
      </c>
      <c r="I143" s="7" t="str">
        <f>VLOOKUP(D143,[1]characters!$A:$K,11,FALSE)</f>
        <v>balance</v>
      </c>
      <c r="J143" s="7" t="str">
        <f>VLOOKUP(D143,[1]characters!$A:$M,13,FALSE)</f>
        <v>human</v>
      </c>
      <c r="K143" s="7" t="str">
        <f>VLOOKUP(D143,[1]characters!$A:$G,7,FALSE)</f>
        <v>女性</v>
      </c>
      <c r="L143" s="66">
        <f>IFERROR(VLOOKUP(D143,input_2!L:R,7,FALSE),VLOOKUP(tables_2!B143,input_2!A:H,8,FALSE))</f>
        <v>2997</v>
      </c>
      <c r="M143" s="67">
        <f t="shared" si="6"/>
        <v>5.7692307692307691E-5</v>
      </c>
      <c r="N143" s="31">
        <f>IFERROR(VLOOKUP($D143,bug_conf_sheet!$A:$H,3,FALSE),VLOOKUP("other",bug_conf_sheet!$A:$H,3,FALSE))</f>
        <v>1</v>
      </c>
      <c r="O143" s="31">
        <f>IFERROR(VLOOKUP($D143,bug_conf_sheet!$A:$H,4,FALSE),VLOOKUP("other",bug_conf_sheet!$A:$H,4,FALSE))</f>
        <v>0</v>
      </c>
      <c r="P143" s="31">
        <f>IFERROR(VLOOKUP($D143,bug_conf_sheet!$A:$H,5,FALSE),VLOOKUP("other",bug_conf_sheet!$A:$H,5,FALSE))</f>
        <v>0</v>
      </c>
      <c r="Q143" s="31">
        <f>IFERROR(VLOOKUP($D143,bug_conf_sheet!$A:$H,6,FALSE),VLOOKUP("other",bug_conf_sheet!$A:$H,6,FALSE))</f>
        <v>0</v>
      </c>
      <c r="R143" s="31">
        <f>IFERROR(VLOOKUP($D143,bug_conf_sheet!$A:$H,7,FALSE),VLOOKUP("other",bug_conf_sheet!$A:$H,7,FALSE))</f>
        <v>0</v>
      </c>
      <c r="S143" s="31">
        <f>IFERROR(VLOOKUP($D143,bug_conf_sheet!$A:$H,8,FALSE),VLOOKUP("other",bug_conf_sheet!$A:$H,8,FALSE))</f>
        <v>1</v>
      </c>
    </row>
    <row r="144" spans="1:19" ht="21" customHeight="1">
      <c r="A144" s="2">
        <f>input_2!A$2</f>
        <v>3122</v>
      </c>
      <c r="B144" s="7" t="str">
        <f t="shared" si="7"/>
        <v>PremiumSS4</v>
      </c>
      <c r="C144" s="7" t="str">
        <f t="shared" si="8"/>
        <v>PremiumSS</v>
      </c>
      <c r="D144" s="6">
        <v>326</v>
      </c>
      <c r="E144" s="7" t="str">
        <f>VLOOKUP(D144,[1]characters!$A:$C,3,FALSE)</f>
        <v>妖志士 斎藤一</v>
      </c>
      <c r="F144" s="7" t="str">
        <f>VLOOKUP(D144,[1]characters!$A:$J,10,FALSE)</f>
        <v>PremiumSS</v>
      </c>
      <c r="G144" s="7">
        <f>VLOOKUP(D144,[1]characters!$A:$I,9,FALSE)</f>
        <v>4</v>
      </c>
      <c r="H144" s="7" t="str">
        <f>VLOOKUP(D144,[1]characters!$A:$H,8,FALSE)</f>
        <v>yellow</v>
      </c>
      <c r="I144" s="7" t="str">
        <f>VLOOKUP(D144,[1]characters!$A:$K,11,FALSE)</f>
        <v>technical</v>
      </c>
      <c r="J144" s="7" t="str">
        <f>VLOOKUP(D144,[1]characters!$A:$M,13,FALSE)</f>
        <v>human</v>
      </c>
      <c r="K144" s="7" t="str">
        <f>VLOOKUP(D144,[1]characters!$A:$G,7,FALSE)</f>
        <v>女性</v>
      </c>
      <c r="L144" s="66">
        <f>IFERROR(VLOOKUP(D144,input_2!L:R,7,FALSE),VLOOKUP(tables_2!B144,input_2!A:H,8,FALSE))</f>
        <v>26973</v>
      </c>
      <c r="M144" s="67">
        <f t="shared" si="6"/>
        <v>5.1923076923076922E-4</v>
      </c>
      <c r="N144" s="31">
        <f>IFERROR(VLOOKUP($D144,bug_conf_sheet!$A:$H,3,FALSE),VLOOKUP("other",bug_conf_sheet!$A:$H,3,FALSE))</f>
        <v>1</v>
      </c>
      <c r="O144" s="31">
        <f>IFERROR(VLOOKUP($D144,bug_conf_sheet!$A:$H,4,FALSE),VLOOKUP("other",bug_conf_sheet!$A:$H,4,FALSE))</f>
        <v>0</v>
      </c>
      <c r="P144" s="31">
        <f>IFERROR(VLOOKUP($D144,bug_conf_sheet!$A:$H,5,FALSE),VLOOKUP("other",bug_conf_sheet!$A:$H,5,FALSE))</f>
        <v>0</v>
      </c>
      <c r="Q144" s="31">
        <f>IFERROR(VLOOKUP($D144,bug_conf_sheet!$A:$H,6,FALSE),VLOOKUP("other",bug_conf_sheet!$A:$H,6,FALSE))</f>
        <v>0</v>
      </c>
      <c r="R144" s="31">
        <f>IFERROR(VLOOKUP($D144,bug_conf_sheet!$A:$H,7,FALSE),VLOOKUP("other",bug_conf_sheet!$A:$H,7,FALSE))</f>
        <v>0</v>
      </c>
      <c r="S144" s="31">
        <f>IFERROR(VLOOKUP($D144,bug_conf_sheet!$A:$H,8,FALSE),VLOOKUP("other",bug_conf_sheet!$A:$H,8,FALSE))</f>
        <v>1</v>
      </c>
    </row>
    <row r="145" spans="1:19" ht="21" customHeight="1">
      <c r="A145" s="2">
        <f>input_2!A$2</f>
        <v>3122</v>
      </c>
      <c r="B145" s="7" t="str">
        <f t="shared" si="7"/>
        <v>PremiumSS5</v>
      </c>
      <c r="C145" s="7" t="str">
        <f t="shared" si="8"/>
        <v>PremiumSS</v>
      </c>
      <c r="D145" s="6">
        <v>327</v>
      </c>
      <c r="E145" s="7" t="str">
        <f>VLOOKUP(D145,[1]characters!$A:$C,3,FALSE)</f>
        <v>千殺の妖志士 斎藤一</v>
      </c>
      <c r="F145" s="7" t="str">
        <f>VLOOKUP(D145,[1]characters!$A:$J,10,FALSE)</f>
        <v>PremiumSS</v>
      </c>
      <c r="G145" s="7">
        <f>VLOOKUP(D145,[1]characters!$A:$I,9,FALSE)</f>
        <v>5</v>
      </c>
      <c r="H145" s="7" t="str">
        <f>VLOOKUP(D145,[1]characters!$A:$H,8,FALSE)</f>
        <v>yellow</v>
      </c>
      <c r="I145" s="7" t="str">
        <f>VLOOKUP(D145,[1]characters!$A:$K,11,FALSE)</f>
        <v>technical</v>
      </c>
      <c r="J145" s="7" t="str">
        <f>VLOOKUP(D145,[1]characters!$A:$M,13,FALSE)</f>
        <v>human</v>
      </c>
      <c r="K145" s="7" t="str">
        <f>VLOOKUP(D145,[1]characters!$A:$G,7,FALSE)</f>
        <v>女性</v>
      </c>
      <c r="L145" s="66">
        <f>IFERROR(VLOOKUP(D145,input_2!L:R,7,FALSE),VLOOKUP(tables_2!B145,input_2!A:H,8,FALSE))</f>
        <v>2997</v>
      </c>
      <c r="M145" s="67">
        <f t="shared" si="6"/>
        <v>5.7692307692307691E-5</v>
      </c>
      <c r="N145" s="31">
        <f>IFERROR(VLOOKUP($D145,bug_conf_sheet!$A:$H,3,FALSE),VLOOKUP("other",bug_conf_sheet!$A:$H,3,FALSE))</f>
        <v>1</v>
      </c>
      <c r="O145" s="31">
        <f>IFERROR(VLOOKUP($D145,bug_conf_sheet!$A:$H,4,FALSE),VLOOKUP("other",bug_conf_sheet!$A:$H,4,FALSE))</f>
        <v>0</v>
      </c>
      <c r="P145" s="31">
        <f>IFERROR(VLOOKUP($D145,bug_conf_sheet!$A:$H,5,FALSE),VLOOKUP("other",bug_conf_sheet!$A:$H,5,FALSE))</f>
        <v>0</v>
      </c>
      <c r="Q145" s="31">
        <f>IFERROR(VLOOKUP($D145,bug_conf_sheet!$A:$H,6,FALSE),VLOOKUP("other",bug_conf_sheet!$A:$H,6,FALSE))</f>
        <v>0</v>
      </c>
      <c r="R145" s="31">
        <f>IFERROR(VLOOKUP($D145,bug_conf_sheet!$A:$H,7,FALSE),VLOOKUP("other",bug_conf_sheet!$A:$H,7,FALSE))</f>
        <v>0</v>
      </c>
      <c r="S145" s="31">
        <f>IFERROR(VLOOKUP($D145,bug_conf_sheet!$A:$H,8,FALSE),VLOOKUP("other",bug_conf_sheet!$A:$H,8,FALSE))</f>
        <v>1</v>
      </c>
    </row>
    <row r="146" spans="1:19" ht="21" customHeight="1">
      <c r="A146" s="2">
        <f>input_2!A$2</f>
        <v>3122</v>
      </c>
      <c r="B146" s="7" t="str">
        <f t="shared" si="7"/>
        <v>Premium3</v>
      </c>
      <c r="C146" s="7" t="str">
        <f t="shared" si="8"/>
        <v>Premium</v>
      </c>
      <c r="D146" s="6">
        <v>380</v>
      </c>
      <c r="E146" s="7" t="str">
        <f>VLOOKUP(D146,[1]characters!$A:$C,3,FALSE)</f>
        <v>バハムート</v>
      </c>
      <c r="F146" s="7" t="str">
        <f>VLOOKUP(D146,[1]characters!$A:$J,10,FALSE)</f>
        <v>PremiumS</v>
      </c>
      <c r="G146" s="7">
        <f>VLOOKUP(D146,[1]characters!$A:$I,9,FALSE)</f>
        <v>3</v>
      </c>
      <c r="H146" s="7" t="str">
        <f>VLOOKUP(D146,[1]characters!$A:$H,8,FALSE)</f>
        <v>red</v>
      </c>
      <c r="I146" s="7" t="str">
        <f>VLOOKUP(D146,[1]characters!$A:$K,11,FALSE)</f>
        <v>technical</v>
      </c>
      <c r="J146" s="7" t="str">
        <f>VLOOKUP(D146,[1]characters!$A:$M,13,FALSE)</f>
        <v>dragon</v>
      </c>
      <c r="K146" s="7" t="str">
        <f>VLOOKUP(D146,[1]characters!$A:$G,7,FALSE)</f>
        <v>女性</v>
      </c>
      <c r="L146" s="66">
        <f>IFERROR(VLOOKUP(D146,input_2!L:R,7,FALSE),VLOOKUP(tables_2!B146,input_2!A:H,8,FALSE))</f>
        <v>351000</v>
      </c>
      <c r="M146" s="67">
        <f t="shared" si="6"/>
        <v>6.7567567567567571E-3</v>
      </c>
      <c r="N146" s="31">
        <f>IFERROR(VLOOKUP($D146,bug_conf_sheet!$A:$H,3,FALSE),VLOOKUP("other",bug_conf_sheet!$A:$H,3,FALSE))</f>
        <v>1</v>
      </c>
      <c r="O146" s="31">
        <f>IFERROR(VLOOKUP($D146,bug_conf_sheet!$A:$H,4,FALSE),VLOOKUP("other",bug_conf_sheet!$A:$H,4,FALSE))</f>
        <v>0</v>
      </c>
      <c r="P146" s="31">
        <f>IFERROR(VLOOKUP($D146,bug_conf_sheet!$A:$H,5,FALSE),VLOOKUP("other",bug_conf_sheet!$A:$H,5,FALSE))</f>
        <v>0</v>
      </c>
      <c r="Q146" s="31">
        <f>IFERROR(VLOOKUP($D146,bug_conf_sheet!$A:$H,6,FALSE),VLOOKUP("other",bug_conf_sheet!$A:$H,6,FALSE))</f>
        <v>0</v>
      </c>
      <c r="R146" s="31">
        <f>IFERROR(VLOOKUP($D146,bug_conf_sheet!$A:$H,7,FALSE),VLOOKUP("other",bug_conf_sheet!$A:$H,7,FALSE))</f>
        <v>0</v>
      </c>
      <c r="S146" s="31">
        <f>IFERROR(VLOOKUP($D146,bug_conf_sheet!$A:$H,8,FALSE),VLOOKUP("other",bug_conf_sheet!$A:$H,8,FALSE))</f>
        <v>1</v>
      </c>
    </row>
    <row r="147" spans="1:19" ht="21" customHeight="1">
      <c r="A147" s="2">
        <f>input_2!A$2</f>
        <v>3122</v>
      </c>
      <c r="B147" s="7" t="str">
        <f t="shared" si="7"/>
        <v>Premium4</v>
      </c>
      <c r="C147" s="7" t="str">
        <f t="shared" si="8"/>
        <v>Premium</v>
      </c>
      <c r="D147" s="6">
        <v>381</v>
      </c>
      <c r="E147" s="7" t="str">
        <f>VLOOKUP(D147,[1]characters!$A:$C,3,FALSE)</f>
        <v>肉食の恋火 バハムート</v>
      </c>
      <c r="F147" s="7" t="str">
        <f>VLOOKUP(D147,[1]characters!$A:$J,10,FALSE)</f>
        <v>PremiumS</v>
      </c>
      <c r="G147" s="7">
        <f>VLOOKUP(D147,[1]characters!$A:$I,9,FALSE)</f>
        <v>4</v>
      </c>
      <c r="H147" s="7" t="str">
        <f>VLOOKUP(D147,[1]characters!$A:$H,8,FALSE)</f>
        <v>red</v>
      </c>
      <c r="I147" s="7" t="str">
        <f>VLOOKUP(D147,[1]characters!$A:$K,11,FALSE)</f>
        <v>technical</v>
      </c>
      <c r="J147" s="7" t="str">
        <f>VLOOKUP(D147,[1]characters!$A:$M,13,FALSE)</f>
        <v>dragon</v>
      </c>
      <c r="K147" s="7" t="str">
        <f>VLOOKUP(D147,[1]characters!$A:$G,7,FALSE)</f>
        <v>女性</v>
      </c>
      <c r="L147" s="66">
        <f>IFERROR(VLOOKUP(D147,input_2!L:R,7,FALSE),VLOOKUP(tables_2!B147,input_2!A:H,8,FALSE))</f>
        <v>306423</v>
      </c>
      <c r="M147" s="67">
        <f t="shared" si="6"/>
        <v>5.8986486486486489E-3</v>
      </c>
      <c r="N147" s="31">
        <f>IFERROR(VLOOKUP($D147,bug_conf_sheet!$A:$H,3,FALSE),VLOOKUP("other",bug_conf_sheet!$A:$H,3,FALSE))</f>
        <v>1</v>
      </c>
      <c r="O147" s="31">
        <f>IFERROR(VLOOKUP($D147,bug_conf_sheet!$A:$H,4,FALSE),VLOOKUP("other",bug_conf_sheet!$A:$H,4,FALSE))</f>
        <v>0</v>
      </c>
      <c r="P147" s="31">
        <f>IFERROR(VLOOKUP($D147,bug_conf_sheet!$A:$H,5,FALSE),VLOOKUP("other",bug_conf_sheet!$A:$H,5,FALSE))</f>
        <v>0</v>
      </c>
      <c r="Q147" s="31">
        <f>IFERROR(VLOOKUP($D147,bug_conf_sheet!$A:$H,6,FALSE),VLOOKUP("other",bug_conf_sheet!$A:$H,6,FALSE))</f>
        <v>0</v>
      </c>
      <c r="R147" s="31">
        <f>IFERROR(VLOOKUP($D147,bug_conf_sheet!$A:$H,7,FALSE),VLOOKUP("other",bug_conf_sheet!$A:$H,7,FALSE))</f>
        <v>0</v>
      </c>
      <c r="S147" s="31">
        <f>IFERROR(VLOOKUP($D147,bug_conf_sheet!$A:$H,8,FALSE),VLOOKUP("other",bug_conf_sheet!$A:$H,8,FALSE))</f>
        <v>1</v>
      </c>
    </row>
    <row r="148" spans="1:19" ht="21" customHeight="1">
      <c r="A148" s="2">
        <f>input_2!A$2</f>
        <v>3122</v>
      </c>
      <c r="B148" s="7" t="str">
        <f t="shared" si="7"/>
        <v>Premium5</v>
      </c>
      <c r="C148" s="7" t="str">
        <f t="shared" si="8"/>
        <v>Premium</v>
      </c>
      <c r="D148" s="6">
        <v>382</v>
      </c>
      <c r="E148" s="7" t="str">
        <f>VLOOKUP(D148,[1]characters!$A:$C,3,FALSE)</f>
        <v>激情の愛炎 バハムート</v>
      </c>
      <c r="F148" s="7" t="str">
        <f>VLOOKUP(D148,[1]characters!$A:$J,10,FALSE)</f>
        <v>PremiumS</v>
      </c>
      <c r="G148" s="7">
        <f>VLOOKUP(D148,[1]characters!$A:$I,9,FALSE)</f>
        <v>5</v>
      </c>
      <c r="H148" s="7" t="str">
        <f>VLOOKUP(D148,[1]characters!$A:$H,8,FALSE)</f>
        <v>red</v>
      </c>
      <c r="I148" s="7" t="str">
        <f>VLOOKUP(D148,[1]characters!$A:$K,11,FALSE)</f>
        <v>technical</v>
      </c>
      <c r="J148" s="7" t="str">
        <f>VLOOKUP(D148,[1]characters!$A:$M,13,FALSE)</f>
        <v>dragon</v>
      </c>
      <c r="K148" s="7" t="str">
        <f>VLOOKUP(D148,[1]characters!$A:$G,7,FALSE)</f>
        <v>女性</v>
      </c>
      <c r="L148" s="66">
        <f>IFERROR(VLOOKUP(D148,input_2!L:R,7,FALSE),VLOOKUP(tables_2!B148,input_2!A:H,8,FALSE))</f>
        <v>46657</v>
      </c>
      <c r="M148" s="67">
        <f t="shared" si="6"/>
        <v>8.9814814814814813E-4</v>
      </c>
      <c r="N148" s="31">
        <f>IFERROR(VLOOKUP($D148,bug_conf_sheet!$A:$H,3,FALSE),VLOOKUP("other",bug_conf_sheet!$A:$H,3,FALSE))</f>
        <v>1</v>
      </c>
      <c r="O148" s="31">
        <f>IFERROR(VLOOKUP($D148,bug_conf_sheet!$A:$H,4,FALSE),VLOOKUP("other",bug_conf_sheet!$A:$H,4,FALSE))</f>
        <v>0</v>
      </c>
      <c r="P148" s="31">
        <f>IFERROR(VLOOKUP($D148,bug_conf_sheet!$A:$H,5,FALSE),VLOOKUP("other",bug_conf_sheet!$A:$H,5,FALSE))</f>
        <v>0</v>
      </c>
      <c r="Q148" s="31">
        <f>IFERROR(VLOOKUP($D148,bug_conf_sheet!$A:$H,6,FALSE),VLOOKUP("other",bug_conf_sheet!$A:$H,6,FALSE))</f>
        <v>0</v>
      </c>
      <c r="R148" s="31">
        <f>IFERROR(VLOOKUP($D148,bug_conf_sheet!$A:$H,7,FALSE),VLOOKUP("other",bug_conf_sheet!$A:$H,7,FALSE))</f>
        <v>0</v>
      </c>
      <c r="S148" s="31">
        <f>IFERROR(VLOOKUP($D148,bug_conf_sheet!$A:$H,8,FALSE),VLOOKUP("other",bug_conf_sheet!$A:$H,8,FALSE))</f>
        <v>1</v>
      </c>
    </row>
    <row r="149" spans="1:19" ht="21" customHeight="1">
      <c r="A149" s="2">
        <f>input_2!A$2</f>
        <v>3122</v>
      </c>
      <c r="B149" s="7" t="str">
        <f t="shared" si="7"/>
        <v>PremiumSS4</v>
      </c>
      <c r="C149" s="7" t="str">
        <f t="shared" si="8"/>
        <v>PremiumSS</v>
      </c>
      <c r="D149" s="6">
        <v>383</v>
      </c>
      <c r="E149" s="7" t="str">
        <f>VLOOKUP(D149,[1]characters!$A:$C,3,FALSE)</f>
        <v>酒宴の蟒蛇 ヤマタノオロチ</v>
      </c>
      <c r="F149" s="7" t="str">
        <f>VLOOKUP(D149,[1]characters!$A:$J,10,FALSE)</f>
        <v>PremiumSS</v>
      </c>
      <c r="G149" s="7">
        <f>VLOOKUP(D149,[1]characters!$A:$I,9,FALSE)</f>
        <v>4</v>
      </c>
      <c r="H149" s="7" t="str">
        <f>VLOOKUP(D149,[1]characters!$A:$H,8,FALSE)</f>
        <v>green</v>
      </c>
      <c r="I149" s="7" t="str">
        <f>VLOOKUP(D149,[1]characters!$A:$K,11,FALSE)</f>
        <v>hp</v>
      </c>
      <c r="J149" s="7" t="str">
        <f>VLOOKUP(D149,[1]characters!$A:$M,13,FALSE)</f>
        <v>dragon</v>
      </c>
      <c r="K149" s="7" t="str">
        <f>VLOOKUP(D149,[1]characters!$A:$G,7,FALSE)</f>
        <v>女性</v>
      </c>
      <c r="L149" s="66">
        <f>IFERROR(VLOOKUP(D149,input_2!L:R,7,FALSE),VLOOKUP(tables_2!B149,input_2!A:H,8,FALSE))</f>
        <v>26973</v>
      </c>
      <c r="M149" s="67">
        <f t="shared" si="6"/>
        <v>5.1923076923076922E-4</v>
      </c>
      <c r="N149" s="31">
        <f>IFERROR(VLOOKUP($D149,bug_conf_sheet!$A:$H,3,FALSE),VLOOKUP("other",bug_conf_sheet!$A:$H,3,FALSE))</f>
        <v>1</v>
      </c>
      <c r="O149" s="31">
        <f>IFERROR(VLOOKUP($D149,bug_conf_sheet!$A:$H,4,FALSE),VLOOKUP("other",bug_conf_sheet!$A:$H,4,FALSE))</f>
        <v>0</v>
      </c>
      <c r="P149" s="31">
        <f>IFERROR(VLOOKUP($D149,bug_conf_sheet!$A:$H,5,FALSE),VLOOKUP("other",bug_conf_sheet!$A:$H,5,FALSE))</f>
        <v>0</v>
      </c>
      <c r="Q149" s="31">
        <f>IFERROR(VLOOKUP($D149,bug_conf_sheet!$A:$H,6,FALSE),VLOOKUP("other",bug_conf_sheet!$A:$H,6,FALSE))</f>
        <v>0</v>
      </c>
      <c r="R149" s="31">
        <f>IFERROR(VLOOKUP($D149,bug_conf_sheet!$A:$H,7,FALSE),VLOOKUP("other",bug_conf_sheet!$A:$H,7,FALSE))</f>
        <v>0</v>
      </c>
      <c r="S149" s="31">
        <f>IFERROR(VLOOKUP($D149,bug_conf_sheet!$A:$H,8,FALSE),VLOOKUP("other",bug_conf_sheet!$A:$H,8,FALSE))</f>
        <v>1</v>
      </c>
    </row>
    <row r="150" spans="1:19" ht="21" customHeight="1">
      <c r="A150" s="2">
        <f>input_2!A$2</f>
        <v>3122</v>
      </c>
      <c r="B150" s="7" t="str">
        <f t="shared" si="7"/>
        <v>PremiumSS5</v>
      </c>
      <c r="C150" s="7" t="str">
        <f t="shared" si="8"/>
        <v>PremiumSS</v>
      </c>
      <c r="D150" s="6">
        <v>384</v>
      </c>
      <c r="E150" s="7" t="str">
        <f>VLOOKUP(D150,[1]characters!$A:$C,3,FALSE)</f>
        <v>破国の呑龍 ヤマタノオロチ</v>
      </c>
      <c r="F150" s="7" t="str">
        <f>VLOOKUP(D150,[1]characters!$A:$J,10,FALSE)</f>
        <v>PremiumSS</v>
      </c>
      <c r="G150" s="7">
        <f>VLOOKUP(D150,[1]characters!$A:$I,9,FALSE)</f>
        <v>5</v>
      </c>
      <c r="H150" s="7" t="str">
        <f>VLOOKUP(D150,[1]characters!$A:$H,8,FALSE)</f>
        <v>green</v>
      </c>
      <c r="I150" s="7" t="str">
        <f>VLOOKUP(D150,[1]characters!$A:$K,11,FALSE)</f>
        <v>hp</v>
      </c>
      <c r="J150" s="7" t="str">
        <f>VLOOKUP(D150,[1]characters!$A:$M,13,FALSE)</f>
        <v>dragon</v>
      </c>
      <c r="K150" s="7" t="str">
        <f>VLOOKUP(D150,[1]characters!$A:$G,7,FALSE)</f>
        <v>女性</v>
      </c>
      <c r="L150" s="66">
        <f>IFERROR(VLOOKUP(D150,input_2!L:R,7,FALSE),VLOOKUP(tables_2!B150,input_2!A:H,8,FALSE))</f>
        <v>2997</v>
      </c>
      <c r="M150" s="67">
        <f t="shared" si="6"/>
        <v>5.7692307692307691E-5</v>
      </c>
      <c r="N150" s="31">
        <f>IFERROR(VLOOKUP($D150,bug_conf_sheet!$A:$H,3,FALSE),VLOOKUP("other",bug_conf_sheet!$A:$H,3,FALSE))</f>
        <v>1</v>
      </c>
      <c r="O150" s="31">
        <f>IFERROR(VLOOKUP($D150,bug_conf_sheet!$A:$H,4,FALSE),VLOOKUP("other",bug_conf_sheet!$A:$H,4,FALSE))</f>
        <v>0</v>
      </c>
      <c r="P150" s="31">
        <f>IFERROR(VLOOKUP($D150,bug_conf_sheet!$A:$H,5,FALSE),VLOOKUP("other",bug_conf_sheet!$A:$H,5,FALSE))</f>
        <v>0</v>
      </c>
      <c r="Q150" s="31">
        <f>IFERROR(VLOOKUP($D150,bug_conf_sheet!$A:$H,6,FALSE),VLOOKUP("other",bug_conf_sheet!$A:$H,6,FALSE))</f>
        <v>0</v>
      </c>
      <c r="R150" s="31">
        <f>IFERROR(VLOOKUP($D150,bug_conf_sheet!$A:$H,7,FALSE),VLOOKUP("other",bug_conf_sheet!$A:$H,7,FALSE))</f>
        <v>0</v>
      </c>
      <c r="S150" s="31">
        <f>IFERROR(VLOOKUP($D150,bug_conf_sheet!$A:$H,8,FALSE),VLOOKUP("other",bug_conf_sheet!$A:$H,8,FALSE))</f>
        <v>1</v>
      </c>
    </row>
    <row r="151" spans="1:19" ht="21" customHeight="1">
      <c r="A151" s="2">
        <f>input_2!A$2</f>
        <v>3122</v>
      </c>
      <c r="B151" s="7" t="str">
        <f t="shared" si="7"/>
        <v>PremiumSS4</v>
      </c>
      <c r="C151" s="7" t="str">
        <f t="shared" si="8"/>
        <v>PremiumSS</v>
      </c>
      <c r="D151" s="6">
        <v>385</v>
      </c>
      <c r="E151" s="7" t="str">
        <f>VLOOKUP(D151,[1]characters!$A:$C,3,FALSE)</f>
        <v>波烈の出奔 リヴァイアサン</v>
      </c>
      <c r="F151" s="7" t="str">
        <f>VLOOKUP(D151,[1]characters!$A:$J,10,FALSE)</f>
        <v>PremiumSS</v>
      </c>
      <c r="G151" s="7">
        <f>VLOOKUP(D151,[1]characters!$A:$I,9,FALSE)</f>
        <v>4</v>
      </c>
      <c r="H151" s="7" t="str">
        <f>VLOOKUP(D151,[1]characters!$A:$H,8,FALSE)</f>
        <v>blue</v>
      </c>
      <c r="I151" s="7" t="str">
        <f>VLOOKUP(D151,[1]characters!$A:$K,11,FALSE)</f>
        <v>balance</v>
      </c>
      <c r="J151" s="7" t="str">
        <f>VLOOKUP(D151,[1]characters!$A:$M,13,FALSE)</f>
        <v>dragon</v>
      </c>
      <c r="K151" s="7" t="str">
        <f>VLOOKUP(D151,[1]characters!$A:$G,7,FALSE)</f>
        <v>女性</v>
      </c>
      <c r="L151" s="66">
        <f>IFERROR(VLOOKUP(D151,input_2!L:R,7,FALSE),VLOOKUP(tables_2!B151,input_2!A:H,8,FALSE))</f>
        <v>26973</v>
      </c>
      <c r="M151" s="67">
        <f t="shared" si="6"/>
        <v>5.1923076923076922E-4</v>
      </c>
      <c r="N151" s="31">
        <f>IFERROR(VLOOKUP($D151,bug_conf_sheet!$A:$H,3,FALSE),VLOOKUP("other",bug_conf_sheet!$A:$H,3,FALSE))</f>
        <v>1</v>
      </c>
      <c r="O151" s="31">
        <f>IFERROR(VLOOKUP($D151,bug_conf_sheet!$A:$H,4,FALSE),VLOOKUP("other",bug_conf_sheet!$A:$H,4,FALSE))</f>
        <v>0</v>
      </c>
      <c r="P151" s="31">
        <f>IFERROR(VLOOKUP($D151,bug_conf_sheet!$A:$H,5,FALSE),VLOOKUP("other",bug_conf_sheet!$A:$H,5,FALSE))</f>
        <v>0</v>
      </c>
      <c r="Q151" s="31">
        <f>IFERROR(VLOOKUP($D151,bug_conf_sheet!$A:$H,6,FALSE),VLOOKUP("other",bug_conf_sheet!$A:$H,6,FALSE))</f>
        <v>0</v>
      </c>
      <c r="R151" s="31">
        <f>IFERROR(VLOOKUP($D151,bug_conf_sheet!$A:$H,7,FALSE),VLOOKUP("other",bug_conf_sheet!$A:$H,7,FALSE))</f>
        <v>0</v>
      </c>
      <c r="S151" s="31">
        <f>IFERROR(VLOOKUP($D151,bug_conf_sheet!$A:$H,8,FALSE),VLOOKUP("other",bug_conf_sheet!$A:$H,8,FALSE))</f>
        <v>1</v>
      </c>
    </row>
    <row r="152" spans="1:19" ht="21" customHeight="1">
      <c r="A152" s="2">
        <f>input_2!A$2</f>
        <v>3122</v>
      </c>
      <c r="B152" s="7" t="str">
        <f t="shared" si="7"/>
        <v>PremiumSS5</v>
      </c>
      <c r="C152" s="7" t="str">
        <f t="shared" si="8"/>
        <v>PremiumSS</v>
      </c>
      <c r="D152" s="6">
        <v>386</v>
      </c>
      <c r="E152" s="7" t="str">
        <f>VLOOKUP(D152,[1]characters!$A:$C,3,FALSE)</f>
        <v>氾乱の海龍 リヴァイアサン</v>
      </c>
      <c r="F152" s="7" t="str">
        <f>VLOOKUP(D152,[1]characters!$A:$J,10,FALSE)</f>
        <v>PremiumSS</v>
      </c>
      <c r="G152" s="7">
        <f>VLOOKUP(D152,[1]characters!$A:$I,9,FALSE)</f>
        <v>5</v>
      </c>
      <c r="H152" s="7" t="str">
        <f>VLOOKUP(D152,[1]characters!$A:$H,8,FALSE)</f>
        <v>blue</v>
      </c>
      <c r="I152" s="7" t="str">
        <f>VLOOKUP(D152,[1]characters!$A:$K,11,FALSE)</f>
        <v>balance</v>
      </c>
      <c r="J152" s="7" t="str">
        <f>VLOOKUP(D152,[1]characters!$A:$M,13,FALSE)</f>
        <v>dragon</v>
      </c>
      <c r="K152" s="7" t="str">
        <f>VLOOKUP(D152,[1]characters!$A:$G,7,FALSE)</f>
        <v>女性</v>
      </c>
      <c r="L152" s="66">
        <f>IFERROR(VLOOKUP(D152,input_2!L:R,7,FALSE),VLOOKUP(tables_2!B152,input_2!A:H,8,FALSE))</f>
        <v>2997</v>
      </c>
      <c r="M152" s="67">
        <f t="shared" si="6"/>
        <v>5.7692307692307691E-5</v>
      </c>
      <c r="N152" s="31">
        <f>IFERROR(VLOOKUP($D152,bug_conf_sheet!$A:$H,3,FALSE),VLOOKUP("other",bug_conf_sheet!$A:$H,3,FALSE))</f>
        <v>1</v>
      </c>
      <c r="O152" s="31">
        <f>IFERROR(VLOOKUP($D152,bug_conf_sheet!$A:$H,4,FALSE),VLOOKUP("other",bug_conf_sheet!$A:$H,4,FALSE))</f>
        <v>0</v>
      </c>
      <c r="P152" s="31">
        <f>IFERROR(VLOOKUP($D152,bug_conf_sheet!$A:$H,5,FALSE),VLOOKUP("other",bug_conf_sheet!$A:$H,5,FALSE))</f>
        <v>0</v>
      </c>
      <c r="Q152" s="31">
        <f>IFERROR(VLOOKUP($D152,bug_conf_sheet!$A:$H,6,FALSE),VLOOKUP("other",bug_conf_sheet!$A:$H,6,FALSE))</f>
        <v>0</v>
      </c>
      <c r="R152" s="31">
        <f>IFERROR(VLOOKUP($D152,bug_conf_sheet!$A:$H,7,FALSE),VLOOKUP("other",bug_conf_sheet!$A:$H,7,FALSE))</f>
        <v>0</v>
      </c>
      <c r="S152" s="31">
        <f>IFERROR(VLOOKUP($D152,bug_conf_sheet!$A:$H,8,FALSE),VLOOKUP("other",bug_conf_sheet!$A:$H,8,FALSE))</f>
        <v>1</v>
      </c>
    </row>
    <row r="153" spans="1:19" ht="21" customHeight="1">
      <c r="A153" s="2">
        <f>input_2!A$2</f>
        <v>3122</v>
      </c>
      <c r="B153" s="7" t="str">
        <f t="shared" si="7"/>
        <v>Premium3</v>
      </c>
      <c r="C153" s="7" t="str">
        <f t="shared" si="8"/>
        <v>Premium</v>
      </c>
      <c r="D153" s="6">
        <v>387</v>
      </c>
      <c r="E153" s="7" t="str">
        <f>VLOOKUP(D153,[1]characters!$A:$C,3,FALSE)</f>
        <v>スフィンクス</v>
      </c>
      <c r="F153" s="7" t="str">
        <f>VLOOKUP(D153,[1]characters!$A:$J,10,FALSE)</f>
        <v>PremiumS</v>
      </c>
      <c r="G153" s="7">
        <f>VLOOKUP(D153,[1]characters!$A:$I,9,FALSE)</f>
        <v>3</v>
      </c>
      <c r="H153" s="7" t="str">
        <f>VLOOKUP(D153,[1]characters!$A:$H,8,FALSE)</f>
        <v>yellow</v>
      </c>
      <c r="I153" s="7" t="str">
        <f>VLOOKUP(D153,[1]characters!$A:$K,11,FALSE)</f>
        <v>heal</v>
      </c>
      <c r="J153" s="7" t="str">
        <f>VLOOKUP(D153,[1]characters!$A:$M,13,FALSE)</f>
        <v>animal</v>
      </c>
      <c r="K153" s="7" t="str">
        <f>VLOOKUP(D153,[1]characters!$A:$G,7,FALSE)</f>
        <v>女性</v>
      </c>
      <c r="L153" s="66">
        <f>IFERROR(VLOOKUP(D153,input_2!L:R,7,FALSE),VLOOKUP(tables_2!B153,input_2!A:H,8,FALSE))</f>
        <v>351000</v>
      </c>
      <c r="M153" s="67">
        <f t="shared" si="6"/>
        <v>6.7567567567567571E-3</v>
      </c>
      <c r="N153" s="31">
        <f>IFERROR(VLOOKUP($D153,bug_conf_sheet!$A:$H,3,FALSE),VLOOKUP("other",bug_conf_sheet!$A:$H,3,FALSE))</f>
        <v>1</v>
      </c>
      <c r="O153" s="31">
        <f>IFERROR(VLOOKUP($D153,bug_conf_sheet!$A:$H,4,FALSE),VLOOKUP("other",bug_conf_sheet!$A:$H,4,FALSE))</f>
        <v>0</v>
      </c>
      <c r="P153" s="31">
        <f>IFERROR(VLOOKUP($D153,bug_conf_sheet!$A:$H,5,FALSE),VLOOKUP("other",bug_conf_sheet!$A:$H,5,FALSE))</f>
        <v>0</v>
      </c>
      <c r="Q153" s="31">
        <f>IFERROR(VLOOKUP($D153,bug_conf_sheet!$A:$H,6,FALSE),VLOOKUP("other",bug_conf_sheet!$A:$H,6,FALSE))</f>
        <v>0</v>
      </c>
      <c r="R153" s="31">
        <f>IFERROR(VLOOKUP($D153,bug_conf_sheet!$A:$H,7,FALSE),VLOOKUP("other",bug_conf_sheet!$A:$H,7,FALSE))</f>
        <v>0</v>
      </c>
      <c r="S153" s="31">
        <f>IFERROR(VLOOKUP($D153,bug_conf_sheet!$A:$H,8,FALSE),VLOOKUP("other",bug_conf_sheet!$A:$H,8,FALSE))</f>
        <v>1</v>
      </c>
    </row>
    <row r="154" spans="1:19" ht="21" customHeight="1">
      <c r="A154" s="2">
        <f>input_2!A$2</f>
        <v>3122</v>
      </c>
      <c r="B154" s="7" t="str">
        <f t="shared" si="7"/>
        <v>Premium4</v>
      </c>
      <c r="C154" s="7" t="str">
        <f t="shared" si="8"/>
        <v>Premium</v>
      </c>
      <c r="D154" s="6">
        <v>388</v>
      </c>
      <c r="E154" s="7" t="str">
        <f>VLOOKUP(D154,[1]characters!$A:$C,3,FALSE)</f>
        <v>神円の恋姫 スフィンクス</v>
      </c>
      <c r="F154" s="7" t="str">
        <f>VLOOKUP(D154,[1]characters!$A:$J,10,FALSE)</f>
        <v>PremiumS</v>
      </c>
      <c r="G154" s="7">
        <f>VLOOKUP(D154,[1]characters!$A:$I,9,FALSE)</f>
        <v>4</v>
      </c>
      <c r="H154" s="7" t="str">
        <f>VLOOKUP(D154,[1]characters!$A:$H,8,FALSE)</f>
        <v>yellow</v>
      </c>
      <c r="I154" s="7" t="str">
        <f>VLOOKUP(D154,[1]characters!$A:$K,11,FALSE)</f>
        <v>heal</v>
      </c>
      <c r="J154" s="7" t="str">
        <f>VLOOKUP(D154,[1]characters!$A:$M,13,FALSE)</f>
        <v>animal</v>
      </c>
      <c r="K154" s="7" t="str">
        <f>VLOOKUP(D154,[1]characters!$A:$G,7,FALSE)</f>
        <v>女性</v>
      </c>
      <c r="L154" s="66">
        <f>IFERROR(VLOOKUP(D154,input_2!L:R,7,FALSE),VLOOKUP(tables_2!B154,input_2!A:H,8,FALSE))</f>
        <v>306423</v>
      </c>
      <c r="M154" s="67">
        <f t="shared" si="6"/>
        <v>5.8986486486486489E-3</v>
      </c>
      <c r="N154" s="31">
        <f>IFERROR(VLOOKUP($D154,bug_conf_sheet!$A:$H,3,FALSE),VLOOKUP("other",bug_conf_sheet!$A:$H,3,FALSE))</f>
        <v>1</v>
      </c>
      <c r="O154" s="31">
        <f>IFERROR(VLOOKUP($D154,bug_conf_sheet!$A:$H,4,FALSE),VLOOKUP("other",bug_conf_sheet!$A:$H,4,FALSE))</f>
        <v>0</v>
      </c>
      <c r="P154" s="31">
        <f>IFERROR(VLOOKUP($D154,bug_conf_sheet!$A:$H,5,FALSE),VLOOKUP("other",bug_conf_sheet!$A:$H,5,FALSE))</f>
        <v>0</v>
      </c>
      <c r="Q154" s="31">
        <f>IFERROR(VLOOKUP($D154,bug_conf_sheet!$A:$H,6,FALSE),VLOOKUP("other",bug_conf_sheet!$A:$H,6,FALSE))</f>
        <v>0</v>
      </c>
      <c r="R154" s="31">
        <f>IFERROR(VLOOKUP($D154,bug_conf_sheet!$A:$H,7,FALSE),VLOOKUP("other",bug_conf_sheet!$A:$H,7,FALSE))</f>
        <v>0</v>
      </c>
      <c r="S154" s="31">
        <f>IFERROR(VLOOKUP($D154,bug_conf_sheet!$A:$H,8,FALSE),VLOOKUP("other",bug_conf_sheet!$A:$H,8,FALSE))</f>
        <v>1</v>
      </c>
    </row>
    <row r="155" spans="1:19" ht="21" customHeight="1">
      <c r="A155" s="2">
        <f>input_2!A$2</f>
        <v>3122</v>
      </c>
      <c r="B155" s="7" t="str">
        <f t="shared" si="7"/>
        <v>Premium5</v>
      </c>
      <c r="C155" s="7" t="str">
        <f t="shared" si="8"/>
        <v>Premium</v>
      </c>
      <c r="D155" s="6">
        <v>389</v>
      </c>
      <c r="E155" s="7" t="str">
        <f>VLOOKUP(D155,[1]characters!$A:$C,3,FALSE)</f>
        <v>操神の愛姫 スフィンクス</v>
      </c>
      <c r="F155" s="7" t="str">
        <f>VLOOKUP(D155,[1]characters!$A:$J,10,FALSE)</f>
        <v>PremiumS</v>
      </c>
      <c r="G155" s="7">
        <f>VLOOKUP(D155,[1]characters!$A:$I,9,FALSE)</f>
        <v>5</v>
      </c>
      <c r="H155" s="7" t="str">
        <f>VLOOKUP(D155,[1]characters!$A:$H,8,FALSE)</f>
        <v>yellow</v>
      </c>
      <c r="I155" s="7" t="str">
        <f>VLOOKUP(D155,[1]characters!$A:$K,11,FALSE)</f>
        <v>heal</v>
      </c>
      <c r="J155" s="7" t="str">
        <f>VLOOKUP(D155,[1]characters!$A:$M,13,FALSE)</f>
        <v>animal</v>
      </c>
      <c r="K155" s="7" t="str">
        <f>VLOOKUP(D155,[1]characters!$A:$G,7,FALSE)</f>
        <v>女性</v>
      </c>
      <c r="L155" s="66">
        <f>IFERROR(VLOOKUP(D155,input_2!L:R,7,FALSE),VLOOKUP(tables_2!B155,input_2!A:H,8,FALSE))</f>
        <v>46657</v>
      </c>
      <c r="M155" s="67">
        <f t="shared" si="6"/>
        <v>8.9814814814814813E-4</v>
      </c>
      <c r="N155" s="31">
        <f>IFERROR(VLOOKUP($D155,bug_conf_sheet!$A:$H,3,FALSE),VLOOKUP("other",bug_conf_sheet!$A:$H,3,FALSE))</f>
        <v>1</v>
      </c>
      <c r="O155" s="31">
        <f>IFERROR(VLOOKUP($D155,bug_conf_sheet!$A:$H,4,FALSE),VLOOKUP("other",bug_conf_sheet!$A:$H,4,FALSE))</f>
        <v>0</v>
      </c>
      <c r="P155" s="31">
        <f>IFERROR(VLOOKUP($D155,bug_conf_sheet!$A:$H,5,FALSE),VLOOKUP("other",bug_conf_sheet!$A:$H,5,FALSE))</f>
        <v>0</v>
      </c>
      <c r="Q155" s="31">
        <f>IFERROR(VLOOKUP($D155,bug_conf_sheet!$A:$H,6,FALSE),VLOOKUP("other",bug_conf_sheet!$A:$H,6,FALSE))</f>
        <v>0</v>
      </c>
      <c r="R155" s="31">
        <f>IFERROR(VLOOKUP($D155,bug_conf_sheet!$A:$H,7,FALSE),VLOOKUP("other",bug_conf_sheet!$A:$H,7,FALSE))</f>
        <v>0</v>
      </c>
      <c r="S155" s="31">
        <f>IFERROR(VLOOKUP($D155,bug_conf_sheet!$A:$H,8,FALSE),VLOOKUP("other",bug_conf_sheet!$A:$H,8,FALSE))</f>
        <v>1</v>
      </c>
    </row>
    <row r="156" spans="1:19" ht="21" customHeight="1">
      <c r="A156" s="2">
        <f>input_2!A$2</f>
        <v>3122</v>
      </c>
      <c r="B156" s="7" t="str">
        <f t="shared" si="7"/>
        <v>PremiumSS4</v>
      </c>
      <c r="C156" s="7" t="str">
        <f t="shared" si="8"/>
        <v>PremiumSS</v>
      </c>
      <c r="D156" s="6">
        <v>390</v>
      </c>
      <c r="E156" s="7" t="str">
        <f>VLOOKUP(D156,[1]characters!$A:$C,3,FALSE)</f>
        <v>華環の旅客 親指姫</v>
      </c>
      <c r="F156" s="7" t="str">
        <f>VLOOKUP(D156,[1]characters!$A:$J,10,FALSE)</f>
        <v>PremiumSS</v>
      </c>
      <c r="G156" s="7">
        <f>VLOOKUP(D156,[1]characters!$A:$I,9,FALSE)</f>
        <v>4</v>
      </c>
      <c r="H156" s="7" t="str">
        <f>VLOOKUP(D156,[1]characters!$A:$H,8,FALSE)</f>
        <v>red</v>
      </c>
      <c r="I156" s="7" t="str">
        <f>VLOOKUP(D156,[1]characters!$A:$K,11,FALSE)</f>
        <v>heal</v>
      </c>
      <c r="J156" s="7" t="str">
        <f>VLOOKUP(D156,[1]characters!$A:$M,13,FALSE)</f>
        <v>human</v>
      </c>
      <c r="K156" s="7" t="str">
        <f>VLOOKUP(D156,[1]characters!$A:$G,7,FALSE)</f>
        <v>女性</v>
      </c>
      <c r="L156" s="66">
        <f>IFERROR(VLOOKUP(D156,input_2!L:R,7,FALSE),VLOOKUP(tables_2!B156,input_2!A:H,8,FALSE))</f>
        <v>26973</v>
      </c>
      <c r="M156" s="67">
        <f t="shared" si="6"/>
        <v>5.1923076923076922E-4</v>
      </c>
      <c r="N156" s="31">
        <f>IFERROR(VLOOKUP($D156,bug_conf_sheet!$A:$H,3,FALSE),VLOOKUP("other",bug_conf_sheet!$A:$H,3,FALSE))</f>
        <v>1</v>
      </c>
      <c r="O156" s="31">
        <f>IFERROR(VLOOKUP($D156,bug_conf_sheet!$A:$H,4,FALSE),VLOOKUP("other",bug_conf_sheet!$A:$H,4,FALSE))</f>
        <v>0</v>
      </c>
      <c r="P156" s="31">
        <f>IFERROR(VLOOKUP($D156,bug_conf_sheet!$A:$H,5,FALSE),VLOOKUP("other",bug_conf_sheet!$A:$H,5,FALSE))</f>
        <v>0</v>
      </c>
      <c r="Q156" s="31">
        <f>IFERROR(VLOOKUP($D156,bug_conf_sheet!$A:$H,6,FALSE),VLOOKUP("other",bug_conf_sheet!$A:$H,6,FALSE))</f>
        <v>0</v>
      </c>
      <c r="R156" s="31">
        <f>IFERROR(VLOOKUP($D156,bug_conf_sheet!$A:$H,7,FALSE),VLOOKUP("other",bug_conf_sheet!$A:$H,7,FALSE))</f>
        <v>0</v>
      </c>
      <c r="S156" s="31">
        <f>IFERROR(VLOOKUP($D156,bug_conf_sheet!$A:$H,8,FALSE),VLOOKUP("other",bug_conf_sheet!$A:$H,8,FALSE))</f>
        <v>1</v>
      </c>
    </row>
    <row r="157" spans="1:19" ht="21" customHeight="1">
      <c r="A157" s="2">
        <f>input_2!A$2</f>
        <v>3122</v>
      </c>
      <c r="B157" s="7" t="str">
        <f t="shared" si="7"/>
        <v>PremiumSS5</v>
      </c>
      <c r="C157" s="7" t="str">
        <f t="shared" si="8"/>
        <v>PremiumSS</v>
      </c>
      <c r="D157" s="6">
        <v>391</v>
      </c>
      <c r="E157" s="7" t="str">
        <f>VLOOKUP(D157,[1]characters!$A:$C,3,FALSE)</f>
        <v>燕翼の旅人 親指姫</v>
      </c>
      <c r="F157" s="7" t="str">
        <f>VLOOKUP(D157,[1]characters!$A:$J,10,FALSE)</f>
        <v>PremiumSS</v>
      </c>
      <c r="G157" s="7">
        <f>VLOOKUP(D157,[1]characters!$A:$I,9,FALSE)</f>
        <v>5</v>
      </c>
      <c r="H157" s="7" t="str">
        <f>VLOOKUP(D157,[1]characters!$A:$H,8,FALSE)</f>
        <v>red</v>
      </c>
      <c r="I157" s="7" t="str">
        <f>VLOOKUP(D157,[1]characters!$A:$K,11,FALSE)</f>
        <v>heal</v>
      </c>
      <c r="J157" s="7" t="str">
        <f>VLOOKUP(D157,[1]characters!$A:$M,13,FALSE)</f>
        <v>human</v>
      </c>
      <c r="K157" s="7" t="str">
        <f>VLOOKUP(D157,[1]characters!$A:$G,7,FALSE)</f>
        <v>女性</v>
      </c>
      <c r="L157" s="66">
        <f>IFERROR(VLOOKUP(D157,input_2!L:R,7,FALSE),VLOOKUP(tables_2!B157,input_2!A:H,8,FALSE))</f>
        <v>2997</v>
      </c>
      <c r="M157" s="67">
        <f t="shared" si="6"/>
        <v>5.7692307692307691E-5</v>
      </c>
      <c r="N157" s="31">
        <f>IFERROR(VLOOKUP($D157,bug_conf_sheet!$A:$H,3,FALSE),VLOOKUP("other",bug_conf_sheet!$A:$H,3,FALSE))</f>
        <v>1</v>
      </c>
      <c r="O157" s="31">
        <f>IFERROR(VLOOKUP($D157,bug_conf_sheet!$A:$H,4,FALSE),VLOOKUP("other",bug_conf_sheet!$A:$H,4,FALSE))</f>
        <v>0</v>
      </c>
      <c r="P157" s="31">
        <f>IFERROR(VLOOKUP($D157,bug_conf_sheet!$A:$H,5,FALSE),VLOOKUP("other",bug_conf_sheet!$A:$H,5,FALSE))</f>
        <v>0</v>
      </c>
      <c r="Q157" s="31">
        <f>IFERROR(VLOOKUP($D157,bug_conf_sheet!$A:$H,6,FALSE),VLOOKUP("other",bug_conf_sheet!$A:$H,6,FALSE))</f>
        <v>0</v>
      </c>
      <c r="R157" s="31">
        <f>IFERROR(VLOOKUP($D157,bug_conf_sheet!$A:$H,7,FALSE),VLOOKUP("other",bug_conf_sheet!$A:$H,7,FALSE))</f>
        <v>0</v>
      </c>
      <c r="S157" s="31">
        <f>IFERROR(VLOOKUP($D157,bug_conf_sheet!$A:$H,8,FALSE),VLOOKUP("other",bug_conf_sheet!$A:$H,8,FALSE))</f>
        <v>1</v>
      </c>
    </row>
    <row r="158" spans="1:19" ht="21" customHeight="1">
      <c r="A158" s="2">
        <f>input_2!A$2</f>
        <v>3122</v>
      </c>
      <c r="B158" s="7" t="str">
        <f t="shared" si="7"/>
        <v>Premium3</v>
      </c>
      <c r="C158" s="7" t="str">
        <f t="shared" si="8"/>
        <v>Premium</v>
      </c>
      <c r="D158" s="6">
        <v>392</v>
      </c>
      <c r="E158" s="7" t="str">
        <f>VLOOKUP(D158,[1]characters!$A:$C,3,FALSE)</f>
        <v>ピーターパン</v>
      </c>
      <c r="F158" s="7" t="str">
        <f>VLOOKUP(D158,[1]characters!$A:$J,10,FALSE)</f>
        <v>PremiumS</v>
      </c>
      <c r="G158" s="7">
        <f>VLOOKUP(D158,[1]characters!$A:$I,9,FALSE)</f>
        <v>3</v>
      </c>
      <c r="H158" s="7" t="str">
        <f>VLOOKUP(D158,[1]characters!$A:$H,8,FALSE)</f>
        <v>green</v>
      </c>
      <c r="I158" s="7" t="str">
        <f>VLOOKUP(D158,[1]characters!$A:$K,11,FALSE)</f>
        <v>attack</v>
      </c>
      <c r="J158" s="7" t="str">
        <f>VLOOKUP(D158,[1]characters!$A:$M,13,FALSE)</f>
        <v>human</v>
      </c>
      <c r="K158" s="7" t="str">
        <f>VLOOKUP(D158,[1]characters!$A:$G,7,FALSE)</f>
        <v>男性</v>
      </c>
      <c r="L158" s="66">
        <f>IFERROR(VLOOKUP(D158,input_2!L:R,7,FALSE),VLOOKUP(tables_2!B158,input_2!A:H,8,FALSE))</f>
        <v>351000</v>
      </c>
      <c r="M158" s="67">
        <f t="shared" si="6"/>
        <v>6.7567567567567571E-3</v>
      </c>
      <c r="N158" s="31">
        <f>IFERROR(VLOOKUP($D158,bug_conf_sheet!$A:$H,3,FALSE),VLOOKUP("other",bug_conf_sheet!$A:$H,3,FALSE))</f>
        <v>1</v>
      </c>
      <c r="O158" s="31">
        <f>IFERROR(VLOOKUP($D158,bug_conf_sheet!$A:$H,4,FALSE),VLOOKUP("other",bug_conf_sheet!$A:$H,4,FALSE))</f>
        <v>0</v>
      </c>
      <c r="P158" s="31">
        <f>IFERROR(VLOOKUP($D158,bug_conf_sheet!$A:$H,5,FALSE),VLOOKUP("other",bug_conf_sheet!$A:$H,5,FALSE))</f>
        <v>0</v>
      </c>
      <c r="Q158" s="31">
        <f>IFERROR(VLOOKUP($D158,bug_conf_sheet!$A:$H,6,FALSE),VLOOKUP("other",bug_conf_sheet!$A:$H,6,FALSE))</f>
        <v>0</v>
      </c>
      <c r="R158" s="31">
        <f>IFERROR(VLOOKUP($D158,bug_conf_sheet!$A:$H,7,FALSE),VLOOKUP("other",bug_conf_sheet!$A:$H,7,FALSE))</f>
        <v>0</v>
      </c>
      <c r="S158" s="31">
        <f>IFERROR(VLOOKUP($D158,bug_conf_sheet!$A:$H,8,FALSE),VLOOKUP("other",bug_conf_sheet!$A:$H,8,FALSE))</f>
        <v>1</v>
      </c>
    </row>
    <row r="159" spans="1:19" ht="21" customHeight="1">
      <c r="A159" s="2">
        <f>input_2!A$2</f>
        <v>3122</v>
      </c>
      <c r="B159" s="7" t="str">
        <f t="shared" si="7"/>
        <v>Premium4</v>
      </c>
      <c r="C159" s="7" t="str">
        <f t="shared" si="8"/>
        <v>Premium</v>
      </c>
      <c r="D159" s="6">
        <v>393</v>
      </c>
      <c r="E159" s="7" t="str">
        <f>VLOOKUP(D159,[1]characters!$A:$C,3,FALSE)</f>
        <v>影縫い ピーターパン</v>
      </c>
      <c r="F159" s="7" t="str">
        <f>VLOOKUP(D159,[1]characters!$A:$J,10,FALSE)</f>
        <v>PremiumS</v>
      </c>
      <c r="G159" s="7">
        <f>VLOOKUP(D159,[1]characters!$A:$I,9,FALSE)</f>
        <v>4</v>
      </c>
      <c r="H159" s="7" t="str">
        <f>VLOOKUP(D159,[1]characters!$A:$H,8,FALSE)</f>
        <v>green</v>
      </c>
      <c r="I159" s="7" t="str">
        <f>VLOOKUP(D159,[1]characters!$A:$K,11,FALSE)</f>
        <v>attack</v>
      </c>
      <c r="J159" s="7" t="str">
        <f>VLOOKUP(D159,[1]characters!$A:$M,13,FALSE)</f>
        <v>human</v>
      </c>
      <c r="K159" s="7" t="str">
        <f>VLOOKUP(D159,[1]characters!$A:$G,7,FALSE)</f>
        <v>男性</v>
      </c>
      <c r="L159" s="66">
        <f>IFERROR(VLOOKUP(D159,input_2!L:R,7,FALSE),VLOOKUP(tables_2!B159,input_2!A:H,8,FALSE))</f>
        <v>306423</v>
      </c>
      <c r="M159" s="67">
        <f t="shared" si="6"/>
        <v>5.8986486486486489E-3</v>
      </c>
      <c r="N159" s="31">
        <f>IFERROR(VLOOKUP($D159,bug_conf_sheet!$A:$H,3,FALSE),VLOOKUP("other",bug_conf_sheet!$A:$H,3,FALSE))</f>
        <v>1</v>
      </c>
      <c r="O159" s="31">
        <f>IFERROR(VLOOKUP($D159,bug_conf_sheet!$A:$H,4,FALSE),VLOOKUP("other",bug_conf_sheet!$A:$H,4,FALSE))</f>
        <v>0</v>
      </c>
      <c r="P159" s="31">
        <f>IFERROR(VLOOKUP($D159,bug_conf_sheet!$A:$H,5,FALSE),VLOOKUP("other",bug_conf_sheet!$A:$H,5,FALSE))</f>
        <v>0</v>
      </c>
      <c r="Q159" s="31">
        <f>IFERROR(VLOOKUP($D159,bug_conf_sheet!$A:$H,6,FALSE),VLOOKUP("other",bug_conf_sheet!$A:$H,6,FALSE))</f>
        <v>0</v>
      </c>
      <c r="R159" s="31">
        <f>IFERROR(VLOOKUP($D159,bug_conf_sheet!$A:$H,7,FALSE),VLOOKUP("other",bug_conf_sheet!$A:$H,7,FALSE))</f>
        <v>0</v>
      </c>
      <c r="S159" s="31">
        <f>IFERROR(VLOOKUP($D159,bug_conf_sheet!$A:$H,8,FALSE),VLOOKUP("other",bug_conf_sheet!$A:$H,8,FALSE))</f>
        <v>1</v>
      </c>
    </row>
    <row r="160" spans="1:19" ht="21" customHeight="1">
      <c r="A160" s="2">
        <f>input_2!A$2</f>
        <v>3122</v>
      </c>
      <c r="B160" s="7" t="str">
        <f t="shared" si="7"/>
        <v>Premium5</v>
      </c>
      <c r="C160" s="7" t="str">
        <f t="shared" si="8"/>
        <v>Premium</v>
      </c>
      <c r="D160" s="6">
        <v>394</v>
      </c>
      <c r="E160" s="7" t="str">
        <f>VLOOKUP(D160,[1]characters!$A:$C,3,FALSE)</f>
        <v>影求の悪童 ピーターパン</v>
      </c>
      <c r="F160" s="7" t="str">
        <f>VLOOKUP(D160,[1]characters!$A:$J,10,FALSE)</f>
        <v>PremiumS</v>
      </c>
      <c r="G160" s="7">
        <f>VLOOKUP(D160,[1]characters!$A:$I,9,FALSE)</f>
        <v>5</v>
      </c>
      <c r="H160" s="7" t="str">
        <f>VLOOKUP(D160,[1]characters!$A:$H,8,FALSE)</f>
        <v>green</v>
      </c>
      <c r="I160" s="7" t="str">
        <f>VLOOKUP(D160,[1]characters!$A:$K,11,FALSE)</f>
        <v>attack</v>
      </c>
      <c r="J160" s="7" t="str">
        <f>VLOOKUP(D160,[1]characters!$A:$M,13,FALSE)</f>
        <v>human</v>
      </c>
      <c r="K160" s="7" t="str">
        <f>VLOOKUP(D160,[1]characters!$A:$G,7,FALSE)</f>
        <v>男性</v>
      </c>
      <c r="L160" s="66">
        <f>IFERROR(VLOOKUP(D160,input_2!L:R,7,FALSE),VLOOKUP(tables_2!B160,input_2!A:H,8,FALSE))</f>
        <v>46657</v>
      </c>
      <c r="M160" s="67">
        <f t="shared" si="6"/>
        <v>8.9814814814814813E-4</v>
      </c>
      <c r="N160" s="31">
        <f>IFERROR(VLOOKUP($D160,bug_conf_sheet!$A:$H,3,FALSE),VLOOKUP("other",bug_conf_sheet!$A:$H,3,FALSE))</f>
        <v>1</v>
      </c>
      <c r="O160" s="31">
        <f>IFERROR(VLOOKUP($D160,bug_conf_sheet!$A:$H,4,FALSE),VLOOKUP("other",bug_conf_sheet!$A:$H,4,FALSE))</f>
        <v>0</v>
      </c>
      <c r="P160" s="31">
        <f>IFERROR(VLOOKUP($D160,bug_conf_sheet!$A:$H,5,FALSE),VLOOKUP("other",bug_conf_sheet!$A:$H,5,FALSE))</f>
        <v>0</v>
      </c>
      <c r="Q160" s="31">
        <f>IFERROR(VLOOKUP($D160,bug_conf_sheet!$A:$H,6,FALSE),VLOOKUP("other",bug_conf_sheet!$A:$H,6,FALSE))</f>
        <v>0</v>
      </c>
      <c r="R160" s="31">
        <f>IFERROR(VLOOKUP($D160,bug_conf_sheet!$A:$H,7,FALSE),VLOOKUP("other",bug_conf_sheet!$A:$H,7,FALSE))</f>
        <v>0</v>
      </c>
      <c r="S160" s="31">
        <f>IFERROR(VLOOKUP($D160,bug_conf_sheet!$A:$H,8,FALSE),VLOOKUP("other",bug_conf_sheet!$A:$H,8,FALSE))</f>
        <v>1</v>
      </c>
    </row>
    <row r="161" spans="1:19" ht="21" customHeight="1">
      <c r="A161" s="2">
        <f>input_2!A$2</f>
        <v>3122</v>
      </c>
      <c r="B161" s="7" t="str">
        <f t="shared" si="7"/>
        <v>Premium3</v>
      </c>
      <c r="C161" s="7" t="str">
        <f t="shared" si="8"/>
        <v>Premium</v>
      </c>
      <c r="D161" s="6">
        <v>395</v>
      </c>
      <c r="E161" s="7" t="str">
        <f>VLOOKUP(D161,[1]characters!$A:$C,3,FALSE)</f>
        <v>乙姫</v>
      </c>
      <c r="F161" s="7" t="str">
        <f>VLOOKUP(D161,[1]characters!$A:$J,10,FALSE)</f>
        <v>PremiumS</v>
      </c>
      <c r="G161" s="7">
        <f>VLOOKUP(D161,[1]characters!$A:$I,9,FALSE)</f>
        <v>3</v>
      </c>
      <c r="H161" s="7" t="str">
        <f>VLOOKUP(D161,[1]characters!$A:$H,8,FALSE)</f>
        <v>blue</v>
      </c>
      <c r="I161" s="7" t="str">
        <f>VLOOKUP(D161,[1]characters!$A:$K,11,FALSE)</f>
        <v>hp</v>
      </c>
      <c r="J161" s="7" t="str">
        <f>VLOOKUP(D161,[1]characters!$A:$M,13,FALSE)</f>
        <v>human</v>
      </c>
      <c r="K161" s="7" t="str">
        <f>VLOOKUP(D161,[1]characters!$A:$G,7,FALSE)</f>
        <v>女性</v>
      </c>
      <c r="L161" s="66">
        <f>IFERROR(VLOOKUP(D161,input_2!L:R,7,FALSE),VLOOKUP(tables_2!B161,input_2!A:H,8,FALSE))</f>
        <v>351000</v>
      </c>
      <c r="M161" s="67">
        <f t="shared" si="6"/>
        <v>6.7567567567567571E-3</v>
      </c>
      <c r="N161" s="31">
        <f>IFERROR(VLOOKUP($D161,bug_conf_sheet!$A:$H,3,FALSE),VLOOKUP("other",bug_conf_sheet!$A:$H,3,FALSE))</f>
        <v>1</v>
      </c>
      <c r="O161" s="31">
        <f>IFERROR(VLOOKUP($D161,bug_conf_sheet!$A:$H,4,FALSE),VLOOKUP("other",bug_conf_sheet!$A:$H,4,FALSE))</f>
        <v>0</v>
      </c>
      <c r="P161" s="31">
        <f>IFERROR(VLOOKUP($D161,bug_conf_sheet!$A:$H,5,FALSE),VLOOKUP("other",bug_conf_sheet!$A:$H,5,FALSE))</f>
        <v>0</v>
      </c>
      <c r="Q161" s="31">
        <f>IFERROR(VLOOKUP($D161,bug_conf_sheet!$A:$H,6,FALSE),VLOOKUP("other",bug_conf_sheet!$A:$H,6,FALSE))</f>
        <v>0</v>
      </c>
      <c r="R161" s="31">
        <f>IFERROR(VLOOKUP($D161,bug_conf_sheet!$A:$H,7,FALSE),VLOOKUP("other",bug_conf_sheet!$A:$H,7,FALSE))</f>
        <v>0</v>
      </c>
      <c r="S161" s="31">
        <f>IFERROR(VLOOKUP($D161,bug_conf_sheet!$A:$H,8,FALSE),VLOOKUP("other",bug_conf_sheet!$A:$H,8,FALSE))</f>
        <v>1</v>
      </c>
    </row>
    <row r="162" spans="1:19" ht="21" customHeight="1">
      <c r="A162" s="2">
        <f>input_2!A$2</f>
        <v>3122</v>
      </c>
      <c r="B162" s="7" t="str">
        <f t="shared" si="7"/>
        <v>Premium4</v>
      </c>
      <c r="C162" s="7" t="str">
        <f t="shared" si="8"/>
        <v>Premium</v>
      </c>
      <c r="D162" s="6">
        <v>396</v>
      </c>
      <c r="E162" s="7" t="str">
        <f>VLOOKUP(D162,[1]characters!$A:$C,3,FALSE)</f>
        <v>竜宮の水雷 乙姫</v>
      </c>
      <c r="F162" s="7" t="str">
        <f>VLOOKUP(D162,[1]characters!$A:$J,10,FALSE)</f>
        <v>PremiumS</v>
      </c>
      <c r="G162" s="7">
        <f>VLOOKUP(D162,[1]characters!$A:$I,9,FALSE)</f>
        <v>4</v>
      </c>
      <c r="H162" s="7" t="str">
        <f>VLOOKUP(D162,[1]characters!$A:$H,8,FALSE)</f>
        <v>blue</v>
      </c>
      <c r="I162" s="7" t="str">
        <f>VLOOKUP(D162,[1]characters!$A:$K,11,FALSE)</f>
        <v>hp</v>
      </c>
      <c r="J162" s="7" t="str">
        <f>VLOOKUP(D162,[1]characters!$A:$M,13,FALSE)</f>
        <v>human</v>
      </c>
      <c r="K162" s="7" t="str">
        <f>VLOOKUP(D162,[1]characters!$A:$G,7,FALSE)</f>
        <v>女性</v>
      </c>
      <c r="L162" s="66">
        <f>IFERROR(VLOOKUP(D162,input_2!L:R,7,FALSE),VLOOKUP(tables_2!B162,input_2!A:H,8,FALSE))</f>
        <v>306423</v>
      </c>
      <c r="M162" s="67">
        <f t="shared" si="6"/>
        <v>5.8986486486486489E-3</v>
      </c>
      <c r="N162" s="31">
        <f>IFERROR(VLOOKUP($D162,bug_conf_sheet!$A:$H,3,FALSE),VLOOKUP("other",bug_conf_sheet!$A:$H,3,FALSE))</f>
        <v>1</v>
      </c>
      <c r="O162" s="31">
        <f>IFERROR(VLOOKUP($D162,bug_conf_sheet!$A:$H,4,FALSE),VLOOKUP("other",bug_conf_sheet!$A:$H,4,FALSE))</f>
        <v>0</v>
      </c>
      <c r="P162" s="31">
        <f>IFERROR(VLOOKUP($D162,bug_conf_sheet!$A:$H,5,FALSE),VLOOKUP("other",bug_conf_sheet!$A:$H,5,FALSE))</f>
        <v>0</v>
      </c>
      <c r="Q162" s="31">
        <f>IFERROR(VLOOKUP($D162,bug_conf_sheet!$A:$H,6,FALSE),VLOOKUP("other",bug_conf_sheet!$A:$H,6,FALSE))</f>
        <v>0</v>
      </c>
      <c r="R162" s="31">
        <f>IFERROR(VLOOKUP($D162,bug_conf_sheet!$A:$H,7,FALSE),VLOOKUP("other",bug_conf_sheet!$A:$H,7,FALSE))</f>
        <v>0</v>
      </c>
      <c r="S162" s="31">
        <f>IFERROR(VLOOKUP($D162,bug_conf_sheet!$A:$H,8,FALSE),VLOOKUP("other",bug_conf_sheet!$A:$H,8,FALSE))</f>
        <v>1</v>
      </c>
    </row>
    <row r="163" spans="1:19" ht="21" customHeight="1">
      <c r="A163" s="2">
        <f>input_2!A$2</f>
        <v>3122</v>
      </c>
      <c r="B163" s="7" t="str">
        <f t="shared" si="7"/>
        <v>Premium5</v>
      </c>
      <c r="C163" s="7" t="str">
        <f t="shared" si="8"/>
        <v>Premium</v>
      </c>
      <c r="D163" s="6">
        <v>397</v>
      </c>
      <c r="E163" s="7" t="str">
        <f>VLOOKUP(D163,[1]characters!$A:$C,3,FALSE)</f>
        <v>禁断の追箱 乙姫</v>
      </c>
      <c r="F163" s="7" t="str">
        <f>VLOOKUP(D163,[1]characters!$A:$J,10,FALSE)</f>
        <v>PremiumS</v>
      </c>
      <c r="G163" s="7">
        <f>VLOOKUP(D163,[1]characters!$A:$I,9,FALSE)</f>
        <v>5</v>
      </c>
      <c r="H163" s="7" t="str">
        <f>VLOOKUP(D163,[1]characters!$A:$H,8,FALSE)</f>
        <v>blue</v>
      </c>
      <c r="I163" s="7" t="str">
        <f>VLOOKUP(D163,[1]characters!$A:$K,11,FALSE)</f>
        <v>hp</v>
      </c>
      <c r="J163" s="7" t="str">
        <f>VLOOKUP(D163,[1]characters!$A:$M,13,FALSE)</f>
        <v>human</v>
      </c>
      <c r="K163" s="7" t="str">
        <f>VLOOKUP(D163,[1]characters!$A:$G,7,FALSE)</f>
        <v>女性</v>
      </c>
      <c r="L163" s="66">
        <f>IFERROR(VLOOKUP(D163,input_2!L:R,7,FALSE),VLOOKUP(tables_2!B163,input_2!A:H,8,FALSE))</f>
        <v>46657</v>
      </c>
      <c r="M163" s="67">
        <f t="shared" si="6"/>
        <v>8.9814814814814813E-4</v>
      </c>
      <c r="N163" s="31">
        <f>IFERROR(VLOOKUP($D163,bug_conf_sheet!$A:$H,3,FALSE),VLOOKUP("other",bug_conf_sheet!$A:$H,3,FALSE))</f>
        <v>1</v>
      </c>
      <c r="O163" s="31">
        <f>IFERROR(VLOOKUP($D163,bug_conf_sheet!$A:$H,4,FALSE),VLOOKUP("other",bug_conf_sheet!$A:$H,4,FALSE))</f>
        <v>0</v>
      </c>
      <c r="P163" s="31">
        <f>IFERROR(VLOOKUP($D163,bug_conf_sheet!$A:$H,5,FALSE),VLOOKUP("other",bug_conf_sheet!$A:$H,5,FALSE))</f>
        <v>0</v>
      </c>
      <c r="Q163" s="31">
        <f>IFERROR(VLOOKUP($D163,bug_conf_sheet!$A:$H,6,FALSE),VLOOKUP("other",bug_conf_sheet!$A:$H,6,FALSE))</f>
        <v>0</v>
      </c>
      <c r="R163" s="31">
        <f>IFERROR(VLOOKUP($D163,bug_conf_sheet!$A:$H,7,FALSE),VLOOKUP("other",bug_conf_sheet!$A:$H,7,FALSE))</f>
        <v>0</v>
      </c>
      <c r="S163" s="31">
        <f>IFERROR(VLOOKUP($D163,bug_conf_sheet!$A:$H,8,FALSE),VLOOKUP("other",bug_conf_sheet!$A:$H,8,FALSE))</f>
        <v>1</v>
      </c>
    </row>
    <row r="164" spans="1:19" ht="21" customHeight="1">
      <c r="A164" s="2">
        <f>input_2!A$2</f>
        <v>3122</v>
      </c>
      <c r="B164" s="7" t="str">
        <f t="shared" si="7"/>
        <v>PremiumSS4</v>
      </c>
      <c r="C164" s="7" t="str">
        <f t="shared" si="8"/>
        <v>PremiumSS</v>
      </c>
      <c r="D164" s="6">
        <v>398</v>
      </c>
      <c r="E164" s="7" t="str">
        <f>VLOOKUP(D164,[1]characters!$A:$C,3,FALSE)</f>
        <v>ヘンゼル＆グレーテル</v>
      </c>
      <c r="F164" s="7" t="str">
        <f>VLOOKUP(D164,[1]characters!$A:$J,10,FALSE)</f>
        <v>PremiumSS</v>
      </c>
      <c r="G164" s="7">
        <f>VLOOKUP(D164,[1]characters!$A:$I,9,FALSE)</f>
        <v>4</v>
      </c>
      <c r="H164" s="7" t="str">
        <f>VLOOKUP(D164,[1]characters!$A:$H,8,FALSE)</f>
        <v>yellow</v>
      </c>
      <c r="I164" s="7" t="str">
        <f>VLOOKUP(D164,[1]characters!$A:$K,11,FALSE)</f>
        <v>balance</v>
      </c>
      <c r="J164" s="7" t="str">
        <f>VLOOKUP(D164,[1]characters!$A:$M,13,FALSE)</f>
        <v>human</v>
      </c>
      <c r="K164" s="7" t="str">
        <f>VLOOKUP(D164,[1]characters!$A:$G,7,FALSE)</f>
        <v>女性</v>
      </c>
      <c r="L164" s="66">
        <f>IFERROR(VLOOKUP(D164,input_2!L:R,7,FALSE),VLOOKUP(tables_2!B164,input_2!A:H,8,FALSE))</f>
        <v>26973</v>
      </c>
      <c r="M164" s="67">
        <f t="shared" si="6"/>
        <v>5.1923076923076922E-4</v>
      </c>
      <c r="N164" s="31">
        <f>IFERROR(VLOOKUP($D164,bug_conf_sheet!$A:$H,3,FALSE),VLOOKUP("other",bug_conf_sheet!$A:$H,3,FALSE))</f>
        <v>1</v>
      </c>
      <c r="O164" s="31">
        <f>IFERROR(VLOOKUP($D164,bug_conf_sheet!$A:$H,4,FALSE),VLOOKUP("other",bug_conf_sheet!$A:$H,4,FALSE))</f>
        <v>0</v>
      </c>
      <c r="P164" s="31">
        <f>IFERROR(VLOOKUP($D164,bug_conf_sheet!$A:$H,5,FALSE),VLOOKUP("other",bug_conf_sheet!$A:$H,5,FALSE))</f>
        <v>0</v>
      </c>
      <c r="Q164" s="31">
        <f>IFERROR(VLOOKUP($D164,bug_conf_sheet!$A:$H,6,FALSE),VLOOKUP("other",bug_conf_sheet!$A:$H,6,FALSE))</f>
        <v>0</v>
      </c>
      <c r="R164" s="31">
        <f>IFERROR(VLOOKUP($D164,bug_conf_sheet!$A:$H,7,FALSE),VLOOKUP("other",bug_conf_sheet!$A:$H,7,FALSE))</f>
        <v>0</v>
      </c>
      <c r="S164" s="31">
        <f>IFERROR(VLOOKUP($D164,bug_conf_sheet!$A:$H,8,FALSE),VLOOKUP("other",bug_conf_sheet!$A:$H,8,FALSE))</f>
        <v>1</v>
      </c>
    </row>
    <row r="165" spans="1:19" ht="21" customHeight="1">
      <c r="A165" s="2">
        <f>input_2!A$2</f>
        <v>3122</v>
      </c>
      <c r="B165" s="7" t="str">
        <f t="shared" si="7"/>
        <v>PremiumSS5</v>
      </c>
      <c r="C165" s="7" t="str">
        <f t="shared" si="8"/>
        <v>PremiumSS</v>
      </c>
      <c r="D165" s="6">
        <v>399</v>
      </c>
      <c r="E165" s="7" t="str">
        <f>VLOOKUP(D165,[1]characters!$A:$C,3,FALSE)</f>
        <v>信愛の兄妹 ヘンゼル＆グレーテル</v>
      </c>
      <c r="F165" s="7" t="str">
        <f>VLOOKUP(D165,[1]characters!$A:$J,10,FALSE)</f>
        <v>PremiumSS</v>
      </c>
      <c r="G165" s="7">
        <f>VLOOKUP(D165,[1]characters!$A:$I,9,FALSE)</f>
        <v>5</v>
      </c>
      <c r="H165" s="7" t="str">
        <f>VLOOKUP(D165,[1]characters!$A:$H,8,FALSE)</f>
        <v>yellow</v>
      </c>
      <c r="I165" s="7" t="str">
        <f>VLOOKUP(D165,[1]characters!$A:$K,11,FALSE)</f>
        <v>balance</v>
      </c>
      <c r="J165" s="7" t="str">
        <f>VLOOKUP(D165,[1]characters!$A:$M,13,FALSE)</f>
        <v>human</v>
      </c>
      <c r="K165" s="7" t="str">
        <f>VLOOKUP(D165,[1]characters!$A:$G,7,FALSE)</f>
        <v>女性</v>
      </c>
      <c r="L165" s="66">
        <f>IFERROR(VLOOKUP(D165,input_2!L:R,7,FALSE),VLOOKUP(tables_2!B165,input_2!A:H,8,FALSE))</f>
        <v>2997</v>
      </c>
      <c r="M165" s="67">
        <f t="shared" si="6"/>
        <v>5.7692307692307691E-5</v>
      </c>
      <c r="N165" s="31">
        <f>IFERROR(VLOOKUP($D165,bug_conf_sheet!$A:$H,3,FALSE),VLOOKUP("other",bug_conf_sheet!$A:$H,3,FALSE))</f>
        <v>1</v>
      </c>
      <c r="O165" s="31">
        <f>IFERROR(VLOOKUP($D165,bug_conf_sheet!$A:$H,4,FALSE),VLOOKUP("other",bug_conf_sheet!$A:$H,4,FALSE))</f>
        <v>0</v>
      </c>
      <c r="P165" s="31">
        <f>IFERROR(VLOOKUP($D165,bug_conf_sheet!$A:$H,5,FALSE),VLOOKUP("other",bug_conf_sheet!$A:$H,5,FALSE))</f>
        <v>0</v>
      </c>
      <c r="Q165" s="31">
        <f>IFERROR(VLOOKUP($D165,bug_conf_sheet!$A:$H,6,FALSE),VLOOKUP("other",bug_conf_sheet!$A:$H,6,FALSE))</f>
        <v>0</v>
      </c>
      <c r="R165" s="31">
        <f>IFERROR(VLOOKUP($D165,bug_conf_sheet!$A:$H,7,FALSE),VLOOKUP("other",bug_conf_sheet!$A:$H,7,FALSE))</f>
        <v>0</v>
      </c>
      <c r="S165" s="31">
        <f>IFERROR(VLOOKUP($D165,bug_conf_sheet!$A:$H,8,FALSE),VLOOKUP("other",bug_conf_sheet!$A:$H,8,FALSE))</f>
        <v>1</v>
      </c>
    </row>
    <row r="166" spans="1:19" ht="21" customHeight="1">
      <c r="A166" s="2">
        <f>input_2!A$2</f>
        <v>3122</v>
      </c>
      <c r="B166" s="7" t="str">
        <f t="shared" si="7"/>
        <v>Premium3</v>
      </c>
      <c r="C166" s="7" t="str">
        <f t="shared" si="8"/>
        <v>Premium</v>
      </c>
      <c r="D166" s="6">
        <v>400</v>
      </c>
      <c r="E166" s="7" t="str">
        <f>VLOOKUP(D166,[1]characters!$A:$C,3,FALSE)</f>
        <v>フェンリル</v>
      </c>
      <c r="F166" s="7" t="str">
        <f>VLOOKUP(D166,[1]characters!$A:$J,10,FALSE)</f>
        <v>PremiumS</v>
      </c>
      <c r="G166" s="7">
        <f>VLOOKUP(D166,[1]characters!$A:$I,9,FALSE)</f>
        <v>3</v>
      </c>
      <c r="H166" s="7" t="str">
        <f>VLOOKUP(D166,[1]characters!$A:$H,8,FALSE)</f>
        <v>red</v>
      </c>
      <c r="I166" s="7" t="str">
        <f>VLOOKUP(D166,[1]characters!$A:$K,11,FALSE)</f>
        <v>attack</v>
      </c>
      <c r="J166" s="7" t="str">
        <f>VLOOKUP(D166,[1]characters!$A:$M,13,FALSE)</f>
        <v>animal</v>
      </c>
      <c r="K166" s="7" t="str">
        <f>VLOOKUP(D166,[1]characters!$A:$G,7,FALSE)</f>
        <v>女性</v>
      </c>
      <c r="L166" s="66">
        <f>IFERROR(VLOOKUP(D166,input_2!L:R,7,FALSE),VLOOKUP(tables_2!B166,input_2!A:H,8,FALSE))</f>
        <v>351000</v>
      </c>
      <c r="M166" s="67">
        <f t="shared" si="6"/>
        <v>6.7567567567567571E-3</v>
      </c>
      <c r="N166" s="31">
        <f>IFERROR(VLOOKUP($D166,bug_conf_sheet!$A:$H,3,FALSE),VLOOKUP("other",bug_conf_sheet!$A:$H,3,FALSE))</f>
        <v>1</v>
      </c>
      <c r="O166" s="31">
        <f>IFERROR(VLOOKUP($D166,bug_conf_sheet!$A:$H,4,FALSE),VLOOKUP("other",bug_conf_sheet!$A:$H,4,FALSE))</f>
        <v>0</v>
      </c>
      <c r="P166" s="31">
        <f>IFERROR(VLOOKUP($D166,bug_conf_sheet!$A:$H,5,FALSE),VLOOKUP("other",bug_conf_sheet!$A:$H,5,FALSE))</f>
        <v>0</v>
      </c>
      <c r="Q166" s="31">
        <f>IFERROR(VLOOKUP($D166,bug_conf_sheet!$A:$H,6,FALSE),VLOOKUP("other",bug_conf_sheet!$A:$H,6,FALSE))</f>
        <v>0</v>
      </c>
      <c r="R166" s="31">
        <f>IFERROR(VLOOKUP($D166,bug_conf_sheet!$A:$H,7,FALSE),VLOOKUP("other",bug_conf_sheet!$A:$H,7,FALSE))</f>
        <v>0</v>
      </c>
      <c r="S166" s="31">
        <f>IFERROR(VLOOKUP($D166,bug_conf_sheet!$A:$H,8,FALSE),VLOOKUP("other",bug_conf_sheet!$A:$H,8,FALSE))</f>
        <v>1</v>
      </c>
    </row>
    <row r="167" spans="1:19" ht="21" customHeight="1">
      <c r="A167" s="2">
        <f>input_2!A$2</f>
        <v>3122</v>
      </c>
      <c r="B167" s="7" t="str">
        <f t="shared" si="7"/>
        <v>Premium4</v>
      </c>
      <c r="C167" s="7" t="str">
        <f t="shared" si="8"/>
        <v>Premium</v>
      </c>
      <c r="D167" s="6">
        <v>401</v>
      </c>
      <c r="E167" s="7" t="str">
        <f>VLOOKUP(D167,[1]characters!$A:$C,3,FALSE)</f>
        <v>紅銀の孤狼 フェンリル</v>
      </c>
      <c r="F167" s="7" t="str">
        <f>VLOOKUP(D167,[1]characters!$A:$J,10,FALSE)</f>
        <v>PremiumS</v>
      </c>
      <c r="G167" s="7">
        <f>VLOOKUP(D167,[1]characters!$A:$I,9,FALSE)</f>
        <v>4</v>
      </c>
      <c r="H167" s="7" t="str">
        <f>VLOOKUP(D167,[1]characters!$A:$H,8,FALSE)</f>
        <v>red</v>
      </c>
      <c r="I167" s="7" t="str">
        <f>VLOOKUP(D167,[1]characters!$A:$K,11,FALSE)</f>
        <v>attack</v>
      </c>
      <c r="J167" s="7" t="str">
        <f>VLOOKUP(D167,[1]characters!$A:$M,13,FALSE)</f>
        <v>animal</v>
      </c>
      <c r="K167" s="7" t="str">
        <f>VLOOKUP(D167,[1]characters!$A:$G,7,FALSE)</f>
        <v>女性</v>
      </c>
      <c r="L167" s="66">
        <f>IFERROR(VLOOKUP(D167,input_2!L:R,7,FALSE),VLOOKUP(tables_2!B167,input_2!A:H,8,FALSE))</f>
        <v>306423</v>
      </c>
      <c r="M167" s="67">
        <f t="shared" si="6"/>
        <v>5.8986486486486489E-3</v>
      </c>
      <c r="N167" s="31">
        <f>IFERROR(VLOOKUP($D167,bug_conf_sheet!$A:$H,3,FALSE),VLOOKUP("other",bug_conf_sheet!$A:$H,3,FALSE))</f>
        <v>1</v>
      </c>
      <c r="O167" s="31">
        <f>IFERROR(VLOOKUP($D167,bug_conf_sheet!$A:$H,4,FALSE),VLOOKUP("other",bug_conf_sheet!$A:$H,4,FALSE))</f>
        <v>0</v>
      </c>
      <c r="P167" s="31">
        <f>IFERROR(VLOOKUP($D167,bug_conf_sheet!$A:$H,5,FALSE),VLOOKUP("other",bug_conf_sheet!$A:$H,5,FALSE))</f>
        <v>0</v>
      </c>
      <c r="Q167" s="31">
        <f>IFERROR(VLOOKUP($D167,bug_conf_sheet!$A:$H,6,FALSE),VLOOKUP("other",bug_conf_sheet!$A:$H,6,FALSE))</f>
        <v>0</v>
      </c>
      <c r="R167" s="31">
        <f>IFERROR(VLOOKUP($D167,bug_conf_sheet!$A:$H,7,FALSE),VLOOKUP("other",bug_conf_sheet!$A:$H,7,FALSE))</f>
        <v>0</v>
      </c>
      <c r="S167" s="31">
        <f>IFERROR(VLOOKUP($D167,bug_conf_sheet!$A:$H,8,FALSE),VLOOKUP("other",bug_conf_sheet!$A:$H,8,FALSE))</f>
        <v>1</v>
      </c>
    </row>
    <row r="168" spans="1:19" ht="21" customHeight="1">
      <c r="A168" s="2">
        <f>input_2!A$2</f>
        <v>3122</v>
      </c>
      <c r="B168" s="7" t="str">
        <f t="shared" si="7"/>
        <v>Premium5</v>
      </c>
      <c r="C168" s="7" t="str">
        <f t="shared" si="8"/>
        <v>Premium</v>
      </c>
      <c r="D168" s="6">
        <v>402</v>
      </c>
      <c r="E168" s="7" t="str">
        <f>VLOOKUP(D168,[1]characters!$A:$C,3,FALSE)</f>
        <v>天災の神狼 フェンリル</v>
      </c>
      <c r="F168" s="7" t="str">
        <f>VLOOKUP(D168,[1]characters!$A:$J,10,FALSE)</f>
        <v>PremiumS</v>
      </c>
      <c r="G168" s="7">
        <f>VLOOKUP(D168,[1]characters!$A:$I,9,FALSE)</f>
        <v>5</v>
      </c>
      <c r="H168" s="7" t="str">
        <f>VLOOKUP(D168,[1]characters!$A:$H,8,FALSE)</f>
        <v>red</v>
      </c>
      <c r="I168" s="7" t="str">
        <f>VLOOKUP(D168,[1]characters!$A:$K,11,FALSE)</f>
        <v>attack</v>
      </c>
      <c r="J168" s="7" t="str">
        <f>VLOOKUP(D168,[1]characters!$A:$M,13,FALSE)</f>
        <v>animal</v>
      </c>
      <c r="K168" s="7" t="str">
        <f>VLOOKUP(D168,[1]characters!$A:$G,7,FALSE)</f>
        <v>女性</v>
      </c>
      <c r="L168" s="66">
        <f>IFERROR(VLOOKUP(D168,input_2!L:R,7,FALSE),VLOOKUP(tables_2!B168,input_2!A:H,8,FALSE))</f>
        <v>46657</v>
      </c>
      <c r="M168" s="67">
        <f t="shared" si="6"/>
        <v>8.9814814814814813E-4</v>
      </c>
      <c r="N168" s="31">
        <f>IFERROR(VLOOKUP($D168,bug_conf_sheet!$A:$H,3,FALSE),VLOOKUP("other",bug_conf_sheet!$A:$H,3,FALSE))</f>
        <v>1</v>
      </c>
      <c r="O168" s="31">
        <f>IFERROR(VLOOKUP($D168,bug_conf_sheet!$A:$H,4,FALSE),VLOOKUP("other",bug_conf_sheet!$A:$H,4,FALSE))</f>
        <v>0</v>
      </c>
      <c r="P168" s="31">
        <f>IFERROR(VLOOKUP($D168,bug_conf_sheet!$A:$H,5,FALSE),VLOOKUP("other",bug_conf_sheet!$A:$H,5,FALSE))</f>
        <v>0</v>
      </c>
      <c r="Q168" s="31">
        <f>IFERROR(VLOOKUP($D168,bug_conf_sheet!$A:$H,6,FALSE),VLOOKUP("other",bug_conf_sheet!$A:$H,6,FALSE))</f>
        <v>0</v>
      </c>
      <c r="R168" s="31">
        <f>IFERROR(VLOOKUP($D168,bug_conf_sheet!$A:$H,7,FALSE),VLOOKUP("other",bug_conf_sheet!$A:$H,7,FALSE))</f>
        <v>0</v>
      </c>
      <c r="S168" s="31">
        <f>IFERROR(VLOOKUP($D168,bug_conf_sheet!$A:$H,8,FALSE),VLOOKUP("other",bug_conf_sheet!$A:$H,8,FALSE))</f>
        <v>1</v>
      </c>
    </row>
    <row r="169" spans="1:19" ht="21" customHeight="1">
      <c r="A169" s="2">
        <f>input_2!A$2</f>
        <v>3122</v>
      </c>
      <c r="B169" s="7" t="str">
        <f t="shared" si="7"/>
        <v>PremiumSS4</v>
      </c>
      <c r="C169" s="7" t="str">
        <f t="shared" si="8"/>
        <v>PremiumSS</v>
      </c>
      <c r="D169" s="6">
        <v>403</v>
      </c>
      <c r="E169" s="7" t="str">
        <f>VLOOKUP(D169,[1]characters!$A:$C,3,FALSE)</f>
        <v>静撃の翠眼 八咫烏</v>
      </c>
      <c r="F169" s="7" t="str">
        <f>VLOOKUP(D169,[1]characters!$A:$J,10,FALSE)</f>
        <v>PremiumSS</v>
      </c>
      <c r="G169" s="7">
        <f>VLOOKUP(D169,[1]characters!$A:$I,9,FALSE)</f>
        <v>4</v>
      </c>
      <c r="H169" s="7" t="str">
        <f>VLOOKUP(D169,[1]characters!$A:$H,8,FALSE)</f>
        <v>green</v>
      </c>
      <c r="I169" s="7" t="str">
        <f>VLOOKUP(D169,[1]characters!$A:$K,11,FALSE)</f>
        <v>balance</v>
      </c>
      <c r="J169" s="7" t="str">
        <f>VLOOKUP(D169,[1]characters!$A:$M,13,FALSE)</f>
        <v>animal</v>
      </c>
      <c r="K169" s="7" t="str">
        <f>VLOOKUP(D169,[1]characters!$A:$G,7,FALSE)</f>
        <v>女性</v>
      </c>
      <c r="L169" s="66">
        <f>IFERROR(VLOOKUP(D169,input_2!L:R,7,FALSE),VLOOKUP(tables_2!B169,input_2!A:H,8,FALSE))</f>
        <v>26973</v>
      </c>
      <c r="M169" s="67">
        <f t="shared" si="6"/>
        <v>5.1923076923076922E-4</v>
      </c>
      <c r="N169" s="31">
        <f>IFERROR(VLOOKUP($D169,bug_conf_sheet!$A:$H,3,FALSE),VLOOKUP("other",bug_conf_sheet!$A:$H,3,FALSE))</f>
        <v>1</v>
      </c>
      <c r="O169" s="31">
        <f>IFERROR(VLOOKUP($D169,bug_conf_sheet!$A:$H,4,FALSE),VLOOKUP("other",bug_conf_sheet!$A:$H,4,FALSE))</f>
        <v>0</v>
      </c>
      <c r="P169" s="31">
        <f>IFERROR(VLOOKUP($D169,bug_conf_sheet!$A:$H,5,FALSE),VLOOKUP("other",bug_conf_sheet!$A:$H,5,FALSE))</f>
        <v>0</v>
      </c>
      <c r="Q169" s="31">
        <f>IFERROR(VLOOKUP($D169,bug_conf_sheet!$A:$H,6,FALSE),VLOOKUP("other",bug_conf_sheet!$A:$H,6,FALSE))</f>
        <v>0</v>
      </c>
      <c r="R169" s="31">
        <f>IFERROR(VLOOKUP($D169,bug_conf_sheet!$A:$H,7,FALSE),VLOOKUP("other",bug_conf_sheet!$A:$H,7,FALSE))</f>
        <v>0</v>
      </c>
      <c r="S169" s="31">
        <f>IFERROR(VLOOKUP($D169,bug_conf_sheet!$A:$H,8,FALSE),VLOOKUP("other",bug_conf_sheet!$A:$H,8,FALSE))</f>
        <v>1</v>
      </c>
    </row>
    <row r="170" spans="1:19" ht="21" customHeight="1">
      <c r="A170" s="2">
        <f>input_2!A$2</f>
        <v>3122</v>
      </c>
      <c r="B170" s="7" t="str">
        <f t="shared" si="7"/>
        <v>PremiumSS5</v>
      </c>
      <c r="C170" s="7" t="str">
        <f t="shared" si="8"/>
        <v>PremiumSS</v>
      </c>
      <c r="D170" s="6">
        <v>404</v>
      </c>
      <c r="E170" s="7" t="str">
        <f>VLOOKUP(D170,[1]characters!$A:$C,3,FALSE)</f>
        <v>空襲の神眼 八咫烏</v>
      </c>
      <c r="F170" s="7" t="str">
        <f>VLOOKUP(D170,[1]characters!$A:$J,10,FALSE)</f>
        <v>PremiumSS</v>
      </c>
      <c r="G170" s="7">
        <f>VLOOKUP(D170,[1]characters!$A:$I,9,FALSE)</f>
        <v>5</v>
      </c>
      <c r="H170" s="7" t="str">
        <f>VLOOKUP(D170,[1]characters!$A:$H,8,FALSE)</f>
        <v>green</v>
      </c>
      <c r="I170" s="7" t="str">
        <f>VLOOKUP(D170,[1]characters!$A:$K,11,FALSE)</f>
        <v>balance</v>
      </c>
      <c r="J170" s="7" t="str">
        <f>VLOOKUP(D170,[1]characters!$A:$M,13,FALSE)</f>
        <v>animal</v>
      </c>
      <c r="K170" s="7" t="str">
        <f>VLOOKUP(D170,[1]characters!$A:$G,7,FALSE)</f>
        <v>女性</v>
      </c>
      <c r="L170" s="66">
        <f>IFERROR(VLOOKUP(D170,input_2!L:R,7,FALSE),VLOOKUP(tables_2!B170,input_2!A:H,8,FALSE))</f>
        <v>2997</v>
      </c>
      <c r="M170" s="67">
        <f t="shared" si="6"/>
        <v>5.7692307692307691E-5</v>
      </c>
      <c r="N170" s="31">
        <f>IFERROR(VLOOKUP($D170,bug_conf_sheet!$A:$H,3,FALSE),VLOOKUP("other",bug_conf_sheet!$A:$H,3,FALSE))</f>
        <v>1</v>
      </c>
      <c r="O170" s="31">
        <f>IFERROR(VLOOKUP($D170,bug_conf_sheet!$A:$H,4,FALSE),VLOOKUP("other",bug_conf_sheet!$A:$H,4,FALSE))</f>
        <v>0</v>
      </c>
      <c r="P170" s="31">
        <f>IFERROR(VLOOKUP($D170,bug_conf_sheet!$A:$H,5,FALSE),VLOOKUP("other",bug_conf_sheet!$A:$H,5,FALSE))</f>
        <v>0</v>
      </c>
      <c r="Q170" s="31">
        <f>IFERROR(VLOOKUP($D170,bug_conf_sheet!$A:$H,6,FALSE),VLOOKUP("other",bug_conf_sheet!$A:$H,6,FALSE))</f>
        <v>0</v>
      </c>
      <c r="R170" s="31">
        <f>IFERROR(VLOOKUP($D170,bug_conf_sheet!$A:$H,7,FALSE),VLOOKUP("other",bug_conf_sheet!$A:$H,7,FALSE))</f>
        <v>0</v>
      </c>
      <c r="S170" s="31">
        <f>IFERROR(VLOOKUP($D170,bug_conf_sheet!$A:$H,8,FALSE),VLOOKUP("other",bug_conf_sheet!$A:$H,8,FALSE))</f>
        <v>1</v>
      </c>
    </row>
    <row r="171" spans="1:19" ht="21" customHeight="1">
      <c r="A171" s="2">
        <f>input_2!A$2</f>
        <v>3122</v>
      </c>
      <c r="B171" s="7" t="str">
        <f t="shared" si="7"/>
        <v>Premium3</v>
      </c>
      <c r="C171" s="7" t="str">
        <f t="shared" si="8"/>
        <v>Premium</v>
      </c>
      <c r="D171" s="6">
        <v>405</v>
      </c>
      <c r="E171" s="7" t="str">
        <f>VLOOKUP(D171,[1]characters!$A:$C,3,FALSE)</f>
        <v>エキドナ</v>
      </c>
      <c r="F171" s="7" t="str">
        <f>VLOOKUP(D171,[1]characters!$A:$J,10,FALSE)</f>
        <v>PremiumS</v>
      </c>
      <c r="G171" s="7">
        <f>VLOOKUP(D171,[1]characters!$A:$I,9,FALSE)</f>
        <v>3</v>
      </c>
      <c r="H171" s="7" t="str">
        <f>VLOOKUP(D171,[1]characters!$A:$H,8,FALSE)</f>
        <v>blue</v>
      </c>
      <c r="I171" s="7" t="str">
        <f>VLOOKUP(D171,[1]characters!$A:$K,11,FALSE)</f>
        <v>technical</v>
      </c>
      <c r="J171" s="7" t="str">
        <f>VLOOKUP(D171,[1]characters!$A:$M,13,FALSE)</f>
        <v>animal</v>
      </c>
      <c r="K171" s="7" t="str">
        <f>VLOOKUP(D171,[1]characters!$A:$G,7,FALSE)</f>
        <v>女性</v>
      </c>
      <c r="L171" s="66">
        <f>IFERROR(VLOOKUP(D171,input_2!L:R,7,FALSE),VLOOKUP(tables_2!B171,input_2!A:H,8,FALSE))</f>
        <v>351000</v>
      </c>
      <c r="M171" s="67">
        <f t="shared" si="6"/>
        <v>6.7567567567567571E-3</v>
      </c>
      <c r="N171" s="31">
        <f>IFERROR(VLOOKUP($D171,bug_conf_sheet!$A:$H,3,FALSE),VLOOKUP("other",bug_conf_sheet!$A:$H,3,FALSE))</f>
        <v>1</v>
      </c>
      <c r="O171" s="31">
        <f>IFERROR(VLOOKUP($D171,bug_conf_sheet!$A:$H,4,FALSE),VLOOKUP("other",bug_conf_sheet!$A:$H,4,FALSE))</f>
        <v>0</v>
      </c>
      <c r="P171" s="31">
        <f>IFERROR(VLOOKUP($D171,bug_conf_sheet!$A:$H,5,FALSE),VLOOKUP("other",bug_conf_sheet!$A:$H,5,FALSE))</f>
        <v>0</v>
      </c>
      <c r="Q171" s="31">
        <f>IFERROR(VLOOKUP($D171,bug_conf_sheet!$A:$H,6,FALSE),VLOOKUP("other",bug_conf_sheet!$A:$H,6,FALSE))</f>
        <v>0</v>
      </c>
      <c r="R171" s="31">
        <f>IFERROR(VLOOKUP($D171,bug_conf_sheet!$A:$H,7,FALSE),VLOOKUP("other",bug_conf_sheet!$A:$H,7,FALSE))</f>
        <v>0</v>
      </c>
      <c r="S171" s="31">
        <f>IFERROR(VLOOKUP($D171,bug_conf_sheet!$A:$H,8,FALSE),VLOOKUP("other",bug_conf_sheet!$A:$H,8,FALSE))</f>
        <v>1</v>
      </c>
    </row>
    <row r="172" spans="1:19" ht="21" customHeight="1">
      <c r="A172" s="2">
        <f>input_2!A$2</f>
        <v>3122</v>
      </c>
      <c r="B172" s="7" t="str">
        <f t="shared" si="7"/>
        <v>Premium4</v>
      </c>
      <c r="C172" s="7" t="str">
        <f t="shared" si="8"/>
        <v>Premium</v>
      </c>
      <c r="D172" s="6">
        <v>406</v>
      </c>
      <c r="E172" s="7" t="str">
        <f>VLOOKUP(D172,[1]characters!$A:$C,3,FALSE)</f>
        <v>美笑の蒼蛇 エキドナ</v>
      </c>
      <c r="F172" s="7" t="str">
        <f>VLOOKUP(D172,[1]characters!$A:$J,10,FALSE)</f>
        <v>PremiumS</v>
      </c>
      <c r="G172" s="7">
        <f>VLOOKUP(D172,[1]characters!$A:$I,9,FALSE)</f>
        <v>4</v>
      </c>
      <c r="H172" s="7" t="str">
        <f>VLOOKUP(D172,[1]characters!$A:$H,8,FALSE)</f>
        <v>blue</v>
      </c>
      <c r="I172" s="7" t="str">
        <f>VLOOKUP(D172,[1]characters!$A:$K,11,FALSE)</f>
        <v>technical</v>
      </c>
      <c r="J172" s="7" t="str">
        <f>VLOOKUP(D172,[1]characters!$A:$M,13,FALSE)</f>
        <v>animal</v>
      </c>
      <c r="K172" s="7" t="str">
        <f>VLOOKUP(D172,[1]characters!$A:$G,7,FALSE)</f>
        <v>女性</v>
      </c>
      <c r="L172" s="66">
        <f>IFERROR(VLOOKUP(D172,input_2!L:R,7,FALSE),VLOOKUP(tables_2!B172,input_2!A:H,8,FALSE))</f>
        <v>306423</v>
      </c>
      <c r="M172" s="67">
        <f t="shared" si="6"/>
        <v>5.8986486486486489E-3</v>
      </c>
      <c r="N172" s="31">
        <f>IFERROR(VLOOKUP($D172,bug_conf_sheet!$A:$H,3,FALSE),VLOOKUP("other",bug_conf_sheet!$A:$H,3,FALSE))</f>
        <v>1</v>
      </c>
      <c r="O172" s="31">
        <f>IFERROR(VLOOKUP($D172,bug_conf_sheet!$A:$H,4,FALSE),VLOOKUP("other",bug_conf_sheet!$A:$H,4,FALSE))</f>
        <v>0</v>
      </c>
      <c r="P172" s="31">
        <f>IFERROR(VLOOKUP($D172,bug_conf_sheet!$A:$H,5,FALSE),VLOOKUP("other",bug_conf_sheet!$A:$H,5,FALSE))</f>
        <v>0</v>
      </c>
      <c r="Q172" s="31">
        <f>IFERROR(VLOOKUP($D172,bug_conf_sheet!$A:$H,6,FALSE),VLOOKUP("other",bug_conf_sheet!$A:$H,6,FALSE))</f>
        <v>0</v>
      </c>
      <c r="R172" s="31">
        <f>IFERROR(VLOOKUP($D172,bug_conf_sheet!$A:$H,7,FALSE),VLOOKUP("other",bug_conf_sheet!$A:$H,7,FALSE))</f>
        <v>0</v>
      </c>
      <c r="S172" s="31">
        <f>IFERROR(VLOOKUP($D172,bug_conf_sheet!$A:$H,8,FALSE),VLOOKUP("other",bug_conf_sheet!$A:$H,8,FALSE))</f>
        <v>1</v>
      </c>
    </row>
    <row r="173" spans="1:19" ht="21" customHeight="1">
      <c r="A173" s="2">
        <f>input_2!A$2</f>
        <v>3122</v>
      </c>
      <c r="B173" s="7" t="str">
        <f t="shared" si="7"/>
        <v>Premium5</v>
      </c>
      <c r="C173" s="7" t="str">
        <f t="shared" si="8"/>
        <v>Premium</v>
      </c>
      <c r="D173" s="6">
        <v>407</v>
      </c>
      <c r="E173" s="7" t="str">
        <f>VLOOKUP(D173,[1]characters!$A:$C,3,FALSE)</f>
        <v>蠱惑の飛刀 エキドナ</v>
      </c>
      <c r="F173" s="7" t="str">
        <f>VLOOKUP(D173,[1]characters!$A:$J,10,FALSE)</f>
        <v>PremiumS</v>
      </c>
      <c r="G173" s="7">
        <f>VLOOKUP(D173,[1]characters!$A:$I,9,FALSE)</f>
        <v>5</v>
      </c>
      <c r="H173" s="7" t="str">
        <f>VLOOKUP(D173,[1]characters!$A:$H,8,FALSE)</f>
        <v>blue</v>
      </c>
      <c r="I173" s="7" t="str">
        <f>VLOOKUP(D173,[1]characters!$A:$K,11,FALSE)</f>
        <v>technical</v>
      </c>
      <c r="J173" s="7" t="str">
        <f>VLOOKUP(D173,[1]characters!$A:$M,13,FALSE)</f>
        <v>animal</v>
      </c>
      <c r="K173" s="7" t="str">
        <f>VLOOKUP(D173,[1]characters!$A:$G,7,FALSE)</f>
        <v>女性</v>
      </c>
      <c r="L173" s="66">
        <f>IFERROR(VLOOKUP(D173,input_2!L:R,7,FALSE),VLOOKUP(tables_2!B173,input_2!A:H,8,FALSE))</f>
        <v>46657</v>
      </c>
      <c r="M173" s="67">
        <f t="shared" si="6"/>
        <v>8.9814814814814813E-4</v>
      </c>
      <c r="N173" s="31">
        <f>IFERROR(VLOOKUP($D173,bug_conf_sheet!$A:$H,3,FALSE),VLOOKUP("other",bug_conf_sheet!$A:$H,3,FALSE))</f>
        <v>1</v>
      </c>
      <c r="O173" s="31">
        <f>IFERROR(VLOOKUP($D173,bug_conf_sheet!$A:$H,4,FALSE),VLOOKUP("other",bug_conf_sheet!$A:$H,4,FALSE))</f>
        <v>0</v>
      </c>
      <c r="P173" s="31">
        <f>IFERROR(VLOOKUP($D173,bug_conf_sheet!$A:$H,5,FALSE),VLOOKUP("other",bug_conf_sheet!$A:$H,5,FALSE))</f>
        <v>0</v>
      </c>
      <c r="Q173" s="31">
        <f>IFERROR(VLOOKUP($D173,bug_conf_sheet!$A:$H,6,FALSE),VLOOKUP("other",bug_conf_sheet!$A:$H,6,FALSE))</f>
        <v>0</v>
      </c>
      <c r="R173" s="31">
        <f>IFERROR(VLOOKUP($D173,bug_conf_sheet!$A:$H,7,FALSE),VLOOKUP("other",bug_conf_sheet!$A:$H,7,FALSE))</f>
        <v>0</v>
      </c>
      <c r="S173" s="31">
        <f>IFERROR(VLOOKUP($D173,bug_conf_sheet!$A:$H,8,FALSE),VLOOKUP("other",bug_conf_sheet!$A:$H,8,FALSE))</f>
        <v>1</v>
      </c>
    </row>
    <row r="174" spans="1:19" ht="21" customHeight="1">
      <c r="A174" s="2">
        <f>input_2!A$2</f>
        <v>3122</v>
      </c>
      <c r="B174" s="7" t="str">
        <f t="shared" si="7"/>
        <v>PremiumSS4</v>
      </c>
      <c r="C174" s="7" t="str">
        <f t="shared" si="8"/>
        <v>PremiumSS</v>
      </c>
      <c r="D174" s="6">
        <v>408</v>
      </c>
      <c r="E174" s="7" t="str">
        <f>VLOOKUP(D174,[1]characters!$A:$C,3,FALSE)</f>
        <v>皇魔 アスタロト</v>
      </c>
      <c r="F174" s="7" t="str">
        <f>VLOOKUP(D174,[1]characters!$A:$J,10,FALSE)</f>
        <v>PremiumSS</v>
      </c>
      <c r="G174" s="7">
        <f>VLOOKUP(D174,[1]characters!$A:$I,9,FALSE)</f>
        <v>4</v>
      </c>
      <c r="H174" s="7" t="str">
        <f>VLOOKUP(D174,[1]characters!$A:$H,8,FALSE)</f>
        <v>yellow</v>
      </c>
      <c r="I174" s="7" t="str">
        <f>VLOOKUP(D174,[1]characters!$A:$K,11,FALSE)</f>
        <v>attack</v>
      </c>
      <c r="J174" s="7" t="str">
        <f>VLOOKUP(D174,[1]characters!$A:$M,13,FALSE)</f>
        <v>god</v>
      </c>
      <c r="K174" s="7" t="str">
        <f>VLOOKUP(D174,[1]characters!$A:$G,7,FALSE)</f>
        <v>男性</v>
      </c>
      <c r="L174" s="66">
        <f>IFERROR(VLOOKUP(D174,input_2!L:R,7,FALSE),VLOOKUP(tables_2!B174,input_2!A:H,8,FALSE))</f>
        <v>26973</v>
      </c>
      <c r="M174" s="67">
        <f t="shared" si="6"/>
        <v>5.1923076923076922E-4</v>
      </c>
      <c r="N174" s="31">
        <f>IFERROR(VLOOKUP($D174,bug_conf_sheet!$A:$H,3,FALSE),VLOOKUP("other",bug_conf_sheet!$A:$H,3,FALSE))</f>
        <v>1</v>
      </c>
      <c r="O174" s="31">
        <f>IFERROR(VLOOKUP($D174,bug_conf_sheet!$A:$H,4,FALSE),VLOOKUP("other",bug_conf_sheet!$A:$H,4,FALSE))</f>
        <v>0</v>
      </c>
      <c r="P174" s="31">
        <f>IFERROR(VLOOKUP($D174,bug_conf_sheet!$A:$H,5,FALSE),VLOOKUP("other",bug_conf_sheet!$A:$H,5,FALSE))</f>
        <v>0</v>
      </c>
      <c r="Q174" s="31">
        <f>IFERROR(VLOOKUP($D174,bug_conf_sheet!$A:$H,6,FALSE),VLOOKUP("other",bug_conf_sheet!$A:$H,6,FALSE))</f>
        <v>0</v>
      </c>
      <c r="R174" s="31">
        <f>IFERROR(VLOOKUP($D174,bug_conf_sheet!$A:$H,7,FALSE),VLOOKUP("other",bug_conf_sheet!$A:$H,7,FALSE))</f>
        <v>0</v>
      </c>
      <c r="S174" s="31">
        <f>IFERROR(VLOOKUP($D174,bug_conf_sheet!$A:$H,8,FALSE),VLOOKUP("other",bug_conf_sheet!$A:$H,8,FALSE))</f>
        <v>1</v>
      </c>
    </row>
    <row r="175" spans="1:19" ht="21" customHeight="1">
      <c r="A175" s="2">
        <f>input_2!A$2</f>
        <v>3122</v>
      </c>
      <c r="B175" s="7" t="str">
        <f t="shared" si="7"/>
        <v>PremiumSS5</v>
      </c>
      <c r="C175" s="7" t="str">
        <f t="shared" si="8"/>
        <v>PremiumSS</v>
      </c>
      <c r="D175" s="6">
        <v>409</v>
      </c>
      <c r="E175" s="7" t="str">
        <f>VLOOKUP(D175,[1]characters!$A:$C,3,FALSE)</f>
        <v>天眼の皇貴魔 アスタロト</v>
      </c>
      <c r="F175" s="7" t="str">
        <f>VLOOKUP(D175,[1]characters!$A:$J,10,FALSE)</f>
        <v>PremiumSS</v>
      </c>
      <c r="G175" s="7">
        <f>VLOOKUP(D175,[1]characters!$A:$I,9,FALSE)</f>
        <v>5</v>
      </c>
      <c r="H175" s="7" t="str">
        <f>VLOOKUP(D175,[1]characters!$A:$H,8,FALSE)</f>
        <v>yellow</v>
      </c>
      <c r="I175" s="7" t="str">
        <f>VLOOKUP(D175,[1]characters!$A:$K,11,FALSE)</f>
        <v>attack</v>
      </c>
      <c r="J175" s="7" t="str">
        <f>VLOOKUP(D175,[1]characters!$A:$M,13,FALSE)</f>
        <v>god</v>
      </c>
      <c r="K175" s="7" t="str">
        <f>VLOOKUP(D175,[1]characters!$A:$G,7,FALSE)</f>
        <v>男性</v>
      </c>
      <c r="L175" s="66">
        <f>IFERROR(VLOOKUP(D175,input_2!L:R,7,FALSE),VLOOKUP(tables_2!B175,input_2!A:H,8,FALSE))</f>
        <v>2997</v>
      </c>
      <c r="M175" s="67">
        <f t="shared" si="6"/>
        <v>5.7692307692307691E-5</v>
      </c>
      <c r="N175" s="31">
        <f>IFERROR(VLOOKUP($D175,bug_conf_sheet!$A:$H,3,FALSE),VLOOKUP("other",bug_conf_sheet!$A:$H,3,FALSE))</f>
        <v>1</v>
      </c>
      <c r="O175" s="31">
        <f>IFERROR(VLOOKUP($D175,bug_conf_sheet!$A:$H,4,FALSE),VLOOKUP("other",bug_conf_sheet!$A:$H,4,FALSE))</f>
        <v>0</v>
      </c>
      <c r="P175" s="31">
        <f>IFERROR(VLOOKUP($D175,bug_conf_sheet!$A:$H,5,FALSE),VLOOKUP("other",bug_conf_sheet!$A:$H,5,FALSE))</f>
        <v>0</v>
      </c>
      <c r="Q175" s="31">
        <f>IFERROR(VLOOKUP($D175,bug_conf_sheet!$A:$H,6,FALSE),VLOOKUP("other",bug_conf_sheet!$A:$H,6,FALSE))</f>
        <v>0</v>
      </c>
      <c r="R175" s="31">
        <f>IFERROR(VLOOKUP($D175,bug_conf_sheet!$A:$H,7,FALSE),VLOOKUP("other",bug_conf_sheet!$A:$H,7,FALSE))</f>
        <v>0</v>
      </c>
      <c r="S175" s="31">
        <f>IFERROR(VLOOKUP($D175,bug_conf_sheet!$A:$H,8,FALSE),VLOOKUP("other",bug_conf_sheet!$A:$H,8,FALSE))</f>
        <v>1</v>
      </c>
    </row>
    <row r="176" spans="1:19" ht="21" customHeight="1">
      <c r="A176" s="2">
        <f>input_2!A$2</f>
        <v>3122</v>
      </c>
      <c r="B176" s="7" t="str">
        <f t="shared" si="7"/>
        <v>PremiumSS4</v>
      </c>
      <c r="C176" s="7" t="str">
        <f t="shared" si="8"/>
        <v>PremiumSS</v>
      </c>
      <c r="D176" s="6">
        <v>434</v>
      </c>
      <c r="E176" s="7" t="str">
        <f>VLOOKUP(D176,[1]characters!$A:$C,3,FALSE)</f>
        <v>D.R.T.H.</v>
      </c>
      <c r="F176" s="7" t="str">
        <f>VLOOKUP(D176,[1]characters!$A:$J,10,FALSE)</f>
        <v>PremiumSS</v>
      </c>
      <c r="G176" s="7">
        <f>VLOOKUP(D176,[1]characters!$A:$I,9,FALSE)</f>
        <v>4</v>
      </c>
      <c r="H176" s="7" t="str">
        <f>VLOOKUP(D176,[1]characters!$A:$H,8,FALSE)</f>
        <v>red</v>
      </c>
      <c r="I176" s="7" t="str">
        <f>VLOOKUP(D176,[1]characters!$A:$K,11,FALSE)</f>
        <v>balance</v>
      </c>
      <c r="J176" s="7" t="str">
        <f>VLOOKUP(D176,[1]characters!$A:$M,13,FALSE)</f>
        <v>human</v>
      </c>
      <c r="K176" s="7" t="str">
        <f>VLOOKUP(D176,[1]characters!$A:$G,7,FALSE)</f>
        <v>女性</v>
      </c>
      <c r="L176" s="66">
        <f>IFERROR(VLOOKUP(D176,input_2!L:R,7,FALSE),VLOOKUP(tables_2!B176,input_2!A:H,8,FALSE))</f>
        <v>26973</v>
      </c>
      <c r="M176" s="67">
        <f t="shared" si="6"/>
        <v>5.1923076923076922E-4</v>
      </c>
      <c r="N176" s="31">
        <f>IFERROR(VLOOKUP($D176,bug_conf_sheet!$A:$H,3,FALSE),VLOOKUP("other",bug_conf_sheet!$A:$H,3,FALSE))</f>
        <v>1</v>
      </c>
      <c r="O176" s="31">
        <f>IFERROR(VLOOKUP($D176,bug_conf_sheet!$A:$H,4,FALSE),VLOOKUP("other",bug_conf_sheet!$A:$H,4,FALSE))</f>
        <v>0</v>
      </c>
      <c r="P176" s="31">
        <f>IFERROR(VLOOKUP($D176,bug_conf_sheet!$A:$H,5,FALSE),VLOOKUP("other",bug_conf_sheet!$A:$H,5,FALSE))</f>
        <v>0</v>
      </c>
      <c r="Q176" s="31">
        <f>IFERROR(VLOOKUP($D176,bug_conf_sheet!$A:$H,6,FALSE),VLOOKUP("other",bug_conf_sheet!$A:$H,6,FALSE))</f>
        <v>0</v>
      </c>
      <c r="R176" s="31">
        <f>IFERROR(VLOOKUP($D176,bug_conf_sheet!$A:$H,7,FALSE),VLOOKUP("other",bug_conf_sheet!$A:$H,7,FALSE))</f>
        <v>0</v>
      </c>
      <c r="S176" s="31">
        <f>IFERROR(VLOOKUP($D176,bug_conf_sheet!$A:$H,8,FALSE),VLOOKUP("other",bug_conf_sheet!$A:$H,8,FALSE))</f>
        <v>1</v>
      </c>
    </row>
    <row r="177" spans="1:19" ht="21" customHeight="1">
      <c r="A177" s="2">
        <f>input_2!A$2</f>
        <v>3122</v>
      </c>
      <c r="B177" s="7" t="str">
        <f t="shared" si="7"/>
        <v>PremiumSS5</v>
      </c>
      <c r="C177" s="7" t="str">
        <f t="shared" si="8"/>
        <v>PremiumSS</v>
      </c>
      <c r="D177" s="6">
        <v>435</v>
      </c>
      <c r="E177" s="7" t="str">
        <f>VLOOKUP(D177,[1]characters!$A:$C,3,FALSE)</f>
        <v>曝弾の密偵 D.R.T.H.</v>
      </c>
      <c r="F177" s="7" t="str">
        <f>VLOOKUP(D177,[1]characters!$A:$J,10,FALSE)</f>
        <v>PremiumSS</v>
      </c>
      <c r="G177" s="7">
        <f>VLOOKUP(D177,[1]characters!$A:$I,9,FALSE)</f>
        <v>5</v>
      </c>
      <c r="H177" s="7" t="str">
        <f>VLOOKUP(D177,[1]characters!$A:$H,8,FALSE)</f>
        <v>red</v>
      </c>
      <c r="I177" s="7" t="str">
        <f>VLOOKUP(D177,[1]characters!$A:$K,11,FALSE)</f>
        <v>balance</v>
      </c>
      <c r="J177" s="7" t="str">
        <f>VLOOKUP(D177,[1]characters!$A:$M,13,FALSE)</f>
        <v>human</v>
      </c>
      <c r="K177" s="7" t="str">
        <f>VLOOKUP(D177,[1]characters!$A:$G,7,FALSE)</f>
        <v>女性</v>
      </c>
      <c r="L177" s="66">
        <f>IFERROR(VLOOKUP(D177,input_2!L:R,7,FALSE),VLOOKUP(tables_2!B177,input_2!A:H,8,FALSE))</f>
        <v>2997</v>
      </c>
      <c r="M177" s="67">
        <f t="shared" si="6"/>
        <v>5.7692307692307691E-5</v>
      </c>
      <c r="N177" s="31">
        <f>IFERROR(VLOOKUP($D177,bug_conf_sheet!$A:$H,3,FALSE),VLOOKUP("other",bug_conf_sheet!$A:$H,3,FALSE))</f>
        <v>1</v>
      </c>
      <c r="O177" s="31">
        <f>IFERROR(VLOOKUP($D177,bug_conf_sheet!$A:$H,4,FALSE),VLOOKUP("other",bug_conf_sheet!$A:$H,4,FALSE))</f>
        <v>0</v>
      </c>
      <c r="P177" s="31">
        <f>IFERROR(VLOOKUP($D177,bug_conf_sheet!$A:$H,5,FALSE),VLOOKUP("other",bug_conf_sheet!$A:$H,5,FALSE))</f>
        <v>0</v>
      </c>
      <c r="Q177" s="31">
        <f>IFERROR(VLOOKUP($D177,bug_conf_sheet!$A:$H,6,FALSE),VLOOKUP("other",bug_conf_sheet!$A:$H,6,FALSE))</f>
        <v>0</v>
      </c>
      <c r="R177" s="31">
        <f>IFERROR(VLOOKUP($D177,bug_conf_sheet!$A:$H,7,FALSE),VLOOKUP("other",bug_conf_sheet!$A:$H,7,FALSE))</f>
        <v>0</v>
      </c>
      <c r="S177" s="31">
        <f>IFERROR(VLOOKUP($D177,bug_conf_sheet!$A:$H,8,FALSE),VLOOKUP("other",bug_conf_sheet!$A:$H,8,FALSE))</f>
        <v>1</v>
      </c>
    </row>
    <row r="178" spans="1:19" ht="21" customHeight="1">
      <c r="A178" s="2">
        <f>input_2!A$2</f>
        <v>3122</v>
      </c>
      <c r="B178" s="7" t="str">
        <f t="shared" si="7"/>
        <v>Premium3</v>
      </c>
      <c r="C178" s="7" t="str">
        <f t="shared" si="8"/>
        <v>Premium</v>
      </c>
      <c r="D178" s="6">
        <v>436</v>
      </c>
      <c r="E178" s="7" t="str">
        <f>VLOOKUP(D178,[1]characters!$A:$C,3,FALSE)</f>
        <v>カカシ</v>
      </c>
      <c r="F178" s="7" t="str">
        <f>VLOOKUP(D178,[1]characters!$A:$J,10,FALSE)</f>
        <v>PremiumS</v>
      </c>
      <c r="G178" s="7">
        <f>VLOOKUP(D178,[1]characters!$A:$I,9,FALSE)</f>
        <v>3</v>
      </c>
      <c r="H178" s="7" t="str">
        <f>VLOOKUP(D178,[1]characters!$A:$H,8,FALSE)</f>
        <v>green</v>
      </c>
      <c r="I178" s="7" t="str">
        <f>VLOOKUP(D178,[1]characters!$A:$K,11,FALSE)</f>
        <v>technical</v>
      </c>
      <c r="J178" s="7" t="str">
        <f>VLOOKUP(D178,[1]characters!$A:$M,13,FALSE)</f>
        <v>human</v>
      </c>
      <c r="K178" s="7" t="str">
        <f>VLOOKUP(D178,[1]characters!$A:$G,7,FALSE)</f>
        <v>男性</v>
      </c>
      <c r="L178" s="66">
        <f>IFERROR(VLOOKUP(D178,input_2!L:R,7,FALSE),VLOOKUP(tables_2!B178,input_2!A:H,8,FALSE))</f>
        <v>351000</v>
      </c>
      <c r="M178" s="67">
        <f t="shared" si="6"/>
        <v>6.7567567567567571E-3</v>
      </c>
      <c r="N178" s="31">
        <f>IFERROR(VLOOKUP($D178,bug_conf_sheet!$A:$H,3,FALSE),VLOOKUP("other",bug_conf_sheet!$A:$H,3,FALSE))</f>
        <v>1</v>
      </c>
      <c r="O178" s="31">
        <f>IFERROR(VLOOKUP($D178,bug_conf_sheet!$A:$H,4,FALSE),VLOOKUP("other",bug_conf_sheet!$A:$H,4,FALSE))</f>
        <v>0</v>
      </c>
      <c r="P178" s="31">
        <f>IFERROR(VLOOKUP($D178,bug_conf_sheet!$A:$H,5,FALSE),VLOOKUP("other",bug_conf_sheet!$A:$H,5,FALSE))</f>
        <v>0</v>
      </c>
      <c r="Q178" s="31">
        <f>IFERROR(VLOOKUP($D178,bug_conf_sheet!$A:$H,6,FALSE),VLOOKUP("other",bug_conf_sheet!$A:$H,6,FALSE))</f>
        <v>0</v>
      </c>
      <c r="R178" s="31">
        <f>IFERROR(VLOOKUP($D178,bug_conf_sheet!$A:$H,7,FALSE),VLOOKUP("other",bug_conf_sheet!$A:$H,7,FALSE))</f>
        <v>0</v>
      </c>
      <c r="S178" s="31">
        <f>IFERROR(VLOOKUP($D178,bug_conf_sheet!$A:$H,8,FALSE),VLOOKUP("other",bug_conf_sheet!$A:$H,8,FALSE))</f>
        <v>1</v>
      </c>
    </row>
    <row r="179" spans="1:19" ht="21" customHeight="1">
      <c r="A179" s="2">
        <f>input_2!A$2</f>
        <v>3122</v>
      </c>
      <c r="B179" s="7" t="str">
        <f t="shared" si="7"/>
        <v>Premium4</v>
      </c>
      <c r="C179" s="7" t="str">
        <f t="shared" si="8"/>
        <v>Premium</v>
      </c>
      <c r="D179" s="6">
        <v>437</v>
      </c>
      <c r="E179" s="7" t="str">
        <f>VLOOKUP(D179,[1]characters!$A:$C,3,FALSE)</f>
        <v>忘却者 カカシ</v>
      </c>
      <c r="F179" s="7" t="str">
        <f>VLOOKUP(D179,[1]characters!$A:$J,10,FALSE)</f>
        <v>PremiumS</v>
      </c>
      <c r="G179" s="7">
        <f>VLOOKUP(D179,[1]characters!$A:$I,9,FALSE)</f>
        <v>4</v>
      </c>
      <c r="H179" s="7" t="str">
        <f>VLOOKUP(D179,[1]characters!$A:$H,8,FALSE)</f>
        <v>green</v>
      </c>
      <c r="I179" s="7" t="str">
        <f>VLOOKUP(D179,[1]characters!$A:$K,11,FALSE)</f>
        <v>technical</v>
      </c>
      <c r="J179" s="7" t="str">
        <f>VLOOKUP(D179,[1]characters!$A:$M,13,FALSE)</f>
        <v>human</v>
      </c>
      <c r="K179" s="7" t="str">
        <f>VLOOKUP(D179,[1]characters!$A:$G,7,FALSE)</f>
        <v>男性</v>
      </c>
      <c r="L179" s="66">
        <f>IFERROR(VLOOKUP(D179,input_2!L:R,7,FALSE),VLOOKUP(tables_2!B179,input_2!A:H,8,FALSE))</f>
        <v>306423</v>
      </c>
      <c r="M179" s="67">
        <f t="shared" si="6"/>
        <v>5.8986486486486489E-3</v>
      </c>
      <c r="N179" s="31">
        <f>IFERROR(VLOOKUP($D179,bug_conf_sheet!$A:$H,3,FALSE),VLOOKUP("other",bug_conf_sheet!$A:$H,3,FALSE))</f>
        <v>1</v>
      </c>
      <c r="O179" s="31">
        <f>IFERROR(VLOOKUP($D179,bug_conf_sheet!$A:$H,4,FALSE),VLOOKUP("other",bug_conf_sheet!$A:$H,4,FALSE))</f>
        <v>0</v>
      </c>
      <c r="P179" s="31">
        <f>IFERROR(VLOOKUP($D179,bug_conf_sheet!$A:$H,5,FALSE),VLOOKUP("other",bug_conf_sheet!$A:$H,5,FALSE))</f>
        <v>0</v>
      </c>
      <c r="Q179" s="31">
        <f>IFERROR(VLOOKUP($D179,bug_conf_sheet!$A:$H,6,FALSE),VLOOKUP("other",bug_conf_sheet!$A:$H,6,FALSE))</f>
        <v>0</v>
      </c>
      <c r="R179" s="31">
        <f>IFERROR(VLOOKUP($D179,bug_conf_sheet!$A:$H,7,FALSE),VLOOKUP("other",bug_conf_sheet!$A:$H,7,FALSE))</f>
        <v>0</v>
      </c>
      <c r="S179" s="31">
        <f>IFERROR(VLOOKUP($D179,bug_conf_sheet!$A:$H,8,FALSE),VLOOKUP("other",bug_conf_sheet!$A:$H,8,FALSE))</f>
        <v>1</v>
      </c>
    </row>
    <row r="180" spans="1:19" ht="21" customHeight="1">
      <c r="A180" s="2">
        <f>input_2!A$2</f>
        <v>3122</v>
      </c>
      <c r="B180" s="7" t="str">
        <f t="shared" si="7"/>
        <v>Premium5</v>
      </c>
      <c r="C180" s="7" t="str">
        <f t="shared" si="8"/>
        <v>Premium</v>
      </c>
      <c r="D180" s="6">
        <v>438</v>
      </c>
      <c r="E180" s="7" t="str">
        <f>VLOOKUP(D180,[1]characters!$A:$C,3,FALSE)</f>
        <v>記憶の奪還 カカシ</v>
      </c>
      <c r="F180" s="7" t="str">
        <f>VLOOKUP(D180,[1]characters!$A:$J,10,FALSE)</f>
        <v>PremiumS</v>
      </c>
      <c r="G180" s="7">
        <f>VLOOKUP(D180,[1]characters!$A:$I,9,FALSE)</f>
        <v>5</v>
      </c>
      <c r="H180" s="7" t="str">
        <f>VLOOKUP(D180,[1]characters!$A:$H,8,FALSE)</f>
        <v>green</v>
      </c>
      <c r="I180" s="7" t="str">
        <f>VLOOKUP(D180,[1]characters!$A:$K,11,FALSE)</f>
        <v>technical</v>
      </c>
      <c r="J180" s="7" t="str">
        <f>VLOOKUP(D180,[1]characters!$A:$M,13,FALSE)</f>
        <v>human</v>
      </c>
      <c r="K180" s="7" t="str">
        <f>VLOOKUP(D180,[1]characters!$A:$G,7,FALSE)</f>
        <v>男性</v>
      </c>
      <c r="L180" s="66">
        <f>IFERROR(VLOOKUP(D180,input_2!L:R,7,FALSE),VLOOKUP(tables_2!B180,input_2!A:H,8,FALSE))</f>
        <v>46657</v>
      </c>
      <c r="M180" s="67">
        <f t="shared" si="6"/>
        <v>8.9814814814814813E-4</v>
      </c>
      <c r="N180" s="31">
        <f>IFERROR(VLOOKUP($D180,bug_conf_sheet!$A:$H,3,FALSE),VLOOKUP("other",bug_conf_sheet!$A:$H,3,FALSE))</f>
        <v>1</v>
      </c>
      <c r="O180" s="31">
        <f>IFERROR(VLOOKUP($D180,bug_conf_sheet!$A:$H,4,FALSE),VLOOKUP("other",bug_conf_sheet!$A:$H,4,FALSE))</f>
        <v>0</v>
      </c>
      <c r="P180" s="31">
        <f>IFERROR(VLOOKUP($D180,bug_conf_sheet!$A:$H,5,FALSE),VLOOKUP("other",bug_conf_sheet!$A:$H,5,FALSE))</f>
        <v>0</v>
      </c>
      <c r="Q180" s="31">
        <f>IFERROR(VLOOKUP($D180,bug_conf_sheet!$A:$H,6,FALSE),VLOOKUP("other",bug_conf_sheet!$A:$H,6,FALSE))</f>
        <v>0</v>
      </c>
      <c r="R180" s="31">
        <f>IFERROR(VLOOKUP($D180,bug_conf_sheet!$A:$H,7,FALSE),VLOOKUP("other",bug_conf_sheet!$A:$H,7,FALSE))</f>
        <v>0</v>
      </c>
      <c r="S180" s="31">
        <f>IFERROR(VLOOKUP($D180,bug_conf_sheet!$A:$H,8,FALSE),VLOOKUP("other",bug_conf_sheet!$A:$H,8,FALSE))</f>
        <v>1</v>
      </c>
    </row>
    <row r="181" spans="1:19" ht="21" customHeight="1">
      <c r="A181" s="2">
        <f>input_2!A$2</f>
        <v>3122</v>
      </c>
      <c r="B181" s="7" t="str">
        <f t="shared" si="7"/>
        <v>Premium3</v>
      </c>
      <c r="C181" s="7" t="str">
        <f t="shared" si="8"/>
        <v>Premium</v>
      </c>
      <c r="D181" s="6">
        <v>439</v>
      </c>
      <c r="E181" s="7" t="str">
        <f>VLOOKUP(D181,[1]characters!$A:$C,3,FALSE)</f>
        <v>ブリキロガー</v>
      </c>
      <c r="F181" s="7" t="str">
        <f>VLOOKUP(D181,[1]characters!$A:$J,10,FALSE)</f>
        <v>PremiumS</v>
      </c>
      <c r="G181" s="7">
        <f>VLOOKUP(D181,[1]characters!$A:$I,9,FALSE)</f>
        <v>3</v>
      </c>
      <c r="H181" s="7" t="str">
        <f>VLOOKUP(D181,[1]characters!$A:$H,8,FALSE)</f>
        <v>blue</v>
      </c>
      <c r="I181" s="7" t="str">
        <f>VLOOKUP(D181,[1]characters!$A:$K,11,FALSE)</f>
        <v>attack</v>
      </c>
      <c r="J181" s="7" t="str">
        <f>VLOOKUP(D181,[1]characters!$A:$M,13,FALSE)</f>
        <v>machine</v>
      </c>
      <c r="K181" s="7" t="str">
        <f>VLOOKUP(D181,[1]characters!$A:$G,7,FALSE)</f>
        <v>不明</v>
      </c>
      <c r="L181" s="66">
        <f>IFERROR(VLOOKUP(D181,input_2!L:R,7,FALSE),VLOOKUP(tables_2!B181,input_2!A:H,8,FALSE))</f>
        <v>351000</v>
      </c>
      <c r="M181" s="67">
        <f t="shared" si="6"/>
        <v>6.7567567567567571E-3</v>
      </c>
      <c r="N181" s="31">
        <f>IFERROR(VLOOKUP($D181,bug_conf_sheet!$A:$H,3,FALSE),VLOOKUP("other",bug_conf_sheet!$A:$H,3,FALSE))</f>
        <v>1</v>
      </c>
      <c r="O181" s="31">
        <f>IFERROR(VLOOKUP($D181,bug_conf_sheet!$A:$H,4,FALSE),VLOOKUP("other",bug_conf_sheet!$A:$H,4,FALSE))</f>
        <v>0</v>
      </c>
      <c r="P181" s="31">
        <f>IFERROR(VLOOKUP($D181,bug_conf_sheet!$A:$H,5,FALSE),VLOOKUP("other",bug_conf_sheet!$A:$H,5,FALSE))</f>
        <v>0</v>
      </c>
      <c r="Q181" s="31">
        <f>IFERROR(VLOOKUP($D181,bug_conf_sheet!$A:$H,6,FALSE),VLOOKUP("other",bug_conf_sheet!$A:$H,6,FALSE))</f>
        <v>0</v>
      </c>
      <c r="R181" s="31">
        <f>IFERROR(VLOOKUP($D181,bug_conf_sheet!$A:$H,7,FALSE),VLOOKUP("other",bug_conf_sheet!$A:$H,7,FALSE))</f>
        <v>0</v>
      </c>
      <c r="S181" s="31">
        <f>IFERROR(VLOOKUP($D181,bug_conf_sheet!$A:$H,8,FALSE),VLOOKUP("other",bug_conf_sheet!$A:$H,8,FALSE))</f>
        <v>1</v>
      </c>
    </row>
    <row r="182" spans="1:19" ht="21" customHeight="1">
      <c r="A182" s="2">
        <f>input_2!A$2</f>
        <v>3122</v>
      </c>
      <c r="B182" s="7" t="str">
        <f t="shared" si="7"/>
        <v>Premium4</v>
      </c>
      <c r="C182" s="7" t="str">
        <f t="shared" si="8"/>
        <v>Premium</v>
      </c>
      <c r="D182" s="6">
        <v>440</v>
      </c>
      <c r="E182" s="7" t="str">
        <f>VLOOKUP(D182,[1]characters!$A:$C,3,FALSE)</f>
        <v>改良型 ブリキロガー</v>
      </c>
      <c r="F182" s="7" t="str">
        <f>VLOOKUP(D182,[1]characters!$A:$J,10,FALSE)</f>
        <v>PremiumS</v>
      </c>
      <c r="G182" s="7">
        <f>VLOOKUP(D182,[1]characters!$A:$I,9,FALSE)</f>
        <v>4</v>
      </c>
      <c r="H182" s="7" t="str">
        <f>VLOOKUP(D182,[1]characters!$A:$H,8,FALSE)</f>
        <v>blue</v>
      </c>
      <c r="I182" s="7" t="str">
        <f>VLOOKUP(D182,[1]characters!$A:$K,11,FALSE)</f>
        <v>attack</v>
      </c>
      <c r="J182" s="7" t="str">
        <f>VLOOKUP(D182,[1]characters!$A:$M,13,FALSE)</f>
        <v>machine</v>
      </c>
      <c r="K182" s="7" t="str">
        <f>VLOOKUP(D182,[1]characters!$A:$G,7,FALSE)</f>
        <v>不明</v>
      </c>
      <c r="L182" s="66">
        <f>IFERROR(VLOOKUP(D182,input_2!L:R,7,FALSE),VLOOKUP(tables_2!B182,input_2!A:H,8,FALSE))</f>
        <v>306423</v>
      </c>
      <c r="M182" s="67">
        <f t="shared" si="6"/>
        <v>5.8986486486486489E-3</v>
      </c>
      <c r="N182" s="31">
        <f>IFERROR(VLOOKUP($D182,bug_conf_sheet!$A:$H,3,FALSE),VLOOKUP("other",bug_conf_sheet!$A:$H,3,FALSE))</f>
        <v>1</v>
      </c>
      <c r="O182" s="31">
        <f>IFERROR(VLOOKUP($D182,bug_conf_sheet!$A:$H,4,FALSE),VLOOKUP("other",bug_conf_sheet!$A:$H,4,FALSE))</f>
        <v>0</v>
      </c>
      <c r="P182" s="31">
        <f>IFERROR(VLOOKUP($D182,bug_conf_sheet!$A:$H,5,FALSE),VLOOKUP("other",bug_conf_sheet!$A:$H,5,FALSE))</f>
        <v>0</v>
      </c>
      <c r="Q182" s="31">
        <f>IFERROR(VLOOKUP($D182,bug_conf_sheet!$A:$H,6,FALSE),VLOOKUP("other",bug_conf_sheet!$A:$H,6,FALSE))</f>
        <v>0</v>
      </c>
      <c r="R182" s="31">
        <f>IFERROR(VLOOKUP($D182,bug_conf_sheet!$A:$H,7,FALSE),VLOOKUP("other",bug_conf_sheet!$A:$H,7,FALSE))</f>
        <v>0</v>
      </c>
      <c r="S182" s="31">
        <f>IFERROR(VLOOKUP($D182,bug_conf_sheet!$A:$H,8,FALSE),VLOOKUP("other",bug_conf_sheet!$A:$H,8,FALSE))</f>
        <v>1</v>
      </c>
    </row>
    <row r="183" spans="1:19" ht="21" customHeight="1">
      <c r="A183" s="2">
        <f>input_2!A$2</f>
        <v>3122</v>
      </c>
      <c r="B183" s="7" t="str">
        <f t="shared" si="7"/>
        <v>Premium5</v>
      </c>
      <c r="C183" s="7" t="str">
        <f t="shared" si="8"/>
        <v>Premium</v>
      </c>
      <c r="D183" s="6">
        <v>441</v>
      </c>
      <c r="E183" s="7" t="str">
        <f>VLOOKUP(D183,[1]characters!$A:$C,3,FALSE)</f>
        <v>求心の錻装 ブリキロガー</v>
      </c>
      <c r="F183" s="7" t="str">
        <f>VLOOKUP(D183,[1]characters!$A:$J,10,FALSE)</f>
        <v>PremiumS</v>
      </c>
      <c r="G183" s="7">
        <f>VLOOKUP(D183,[1]characters!$A:$I,9,FALSE)</f>
        <v>5</v>
      </c>
      <c r="H183" s="7" t="str">
        <f>VLOOKUP(D183,[1]characters!$A:$H,8,FALSE)</f>
        <v>blue</v>
      </c>
      <c r="I183" s="7" t="str">
        <f>VLOOKUP(D183,[1]characters!$A:$K,11,FALSE)</f>
        <v>attack</v>
      </c>
      <c r="J183" s="7" t="str">
        <f>VLOOKUP(D183,[1]characters!$A:$M,13,FALSE)</f>
        <v>machine</v>
      </c>
      <c r="K183" s="7" t="str">
        <f>VLOOKUP(D183,[1]characters!$A:$G,7,FALSE)</f>
        <v>不明</v>
      </c>
      <c r="L183" s="66">
        <f>IFERROR(VLOOKUP(D183,input_2!L:R,7,FALSE),VLOOKUP(tables_2!B183,input_2!A:H,8,FALSE))</f>
        <v>46657</v>
      </c>
      <c r="M183" s="67">
        <f t="shared" si="6"/>
        <v>8.9814814814814813E-4</v>
      </c>
      <c r="N183" s="31">
        <f>IFERROR(VLOOKUP($D183,bug_conf_sheet!$A:$H,3,FALSE),VLOOKUP("other",bug_conf_sheet!$A:$H,3,FALSE))</f>
        <v>1</v>
      </c>
      <c r="O183" s="31">
        <f>IFERROR(VLOOKUP($D183,bug_conf_sheet!$A:$H,4,FALSE),VLOOKUP("other",bug_conf_sheet!$A:$H,4,FALSE))</f>
        <v>0</v>
      </c>
      <c r="P183" s="31">
        <f>IFERROR(VLOOKUP($D183,bug_conf_sheet!$A:$H,5,FALSE),VLOOKUP("other",bug_conf_sheet!$A:$H,5,FALSE))</f>
        <v>0</v>
      </c>
      <c r="Q183" s="31">
        <f>IFERROR(VLOOKUP($D183,bug_conf_sheet!$A:$H,6,FALSE),VLOOKUP("other",bug_conf_sheet!$A:$H,6,FALSE))</f>
        <v>0</v>
      </c>
      <c r="R183" s="31">
        <f>IFERROR(VLOOKUP($D183,bug_conf_sheet!$A:$H,7,FALSE),VLOOKUP("other",bug_conf_sheet!$A:$H,7,FALSE))</f>
        <v>0</v>
      </c>
      <c r="S183" s="31">
        <f>IFERROR(VLOOKUP($D183,bug_conf_sheet!$A:$H,8,FALSE),VLOOKUP("other",bug_conf_sheet!$A:$H,8,FALSE))</f>
        <v>1</v>
      </c>
    </row>
    <row r="184" spans="1:19" ht="21" customHeight="1">
      <c r="A184" s="2">
        <f>input_2!A$2</f>
        <v>3122</v>
      </c>
      <c r="B184" s="7" t="str">
        <f t="shared" si="7"/>
        <v>PremiumSS4</v>
      </c>
      <c r="C184" s="7" t="str">
        <f t="shared" si="8"/>
        <v>PremiumSS</v>
      </c>
      <c r="D184" s="6">
        <v>442</v>
      </c>
      <c r="E184" s="7" t="str">
        <f>VLOOKUP(D184,[1]characters!$A:$C,3,FALSE)</f>
        <v>ブレイブリー・ライオン</v>
      </c>
      <c r="F184" s="7" t="str">
        <f>VLOOKUP(D184,[1]characters!$A:$J,10,FALSE)</f>
        <v>PremiumSS</v>
      </c>
      <c r="G184" s="7">
        <f>VLOOKUP(D184,[1]characters!$A:$I,9,FALSE)</f>
        <v>4</v>
      </c>
      <c r="H184" s="7" t="str">
        <f>VLOOKUP(D184,[1]characters!$A:$H,8,FALSE)</f>
        <v>yellow</v>
      </c>
      <c r="I184" s="7" t="str">
        <f>VLOOKUP(D184,[1]characters!$A:$K,11,FALSE)</f>
        <v>hp</v>
      </c>
      <c r="J184" s="7" t="str">
        <f>VLOOKUP(D184,[1]characters!$A:$M,13,FALSE)</f>
        <v>animal</v>
      </c>
      <c r="K184" s="7" t="str">
        <f>VLOOKUP(D184,[1]characters!$A:$G,7,FALSE)</f>
        <v>不明</v>
      </c>
      <c r="L184" s="66">
        <f>IFERROR(VLOOKUP(D184,input_2!L:R,7,FALSE),VLOOKUP(tables_2!B184,input_2!A:H,8,FALSE))</f>
        <v>26973</v>
      </c>
      <c r="M184" s="67">
        <f t="shared" si="6"/>
        <v>5.1923076923076922E-4</v>
      </c>
      <c r="N184" s="31">
        <f>IFERROR(VLOOKUP($D184,bug_conf_sheet!$A:$H,3,FALSE),VLOOKUP("other",bug_conf_sheet!$A:$H,3,FALSE))</f>
        <v>1</v>
      </c>
      <c r="O184" s="31">
        <f>IFERROR(VLOOKUP($D184,bug_conf_sheet!$A:$H,4,FALSE),VLOOKUP("other",bug_conf_sheet!$A:$H,4,FALSE))</f>
        <v>0</v>
      </c>
      <c r="P184" s="31">
        <f>IFERROR(VLOOKUP($D184,bug_conf_sheet!$A:$H,5,FALSE),VLOOKUP("other",bug_conf_sheet!$A:$H,5,FALSE))</f>
        <v>0</v>
      </c>
      <c r="Q184" s="31">
        <f>IFERROR(VLOOKUP($D184,bug_conf_sheet!$A:$H,6,FALSE),VLOOKUP("other",bug_conf_sheet!$A:$H,6,FALSE))</f>
        <v>0</v>
      </c>
      <c r="R184" s="31">
        <f>IFERROR(VLOOKUP($D184,bug_conf_sheet!$A:$H,7,FALSE),VLOOKUP("other",bug_conf_sheet!$A:$H,7,FALSE))</f>
        <v>0</v>
      </c>
      <c r="S184" s="31">
        <f>IFERROR(VLOOKUP($D184,bug_conf_sheet!$A:$H,8,FALSE),VLOOKUP("other",bug_conf_sheet!$A:$H,8,FALSE))</f>
        <v>1</v>
      </c>
    </row>
    <row r="185" spans="1:19" ht="21" customHeight="1">
      <c r="A185" s="2">
        <f>input_2!A$2</f>
        <v>3122</v>
      </c>
      <c r="B185" s="7" t="str">
        <f t="shared" si="7"/>
        <v>PremiumSS5</v>
      </c>
      <c r="C185" s="7" t="str">
        <f t="shared" si="8"/>
        <v>PremiumSS</v>
      </c>
      <c r="D185" s="6">
        <v>443</v>
      </c>
      <c r="E185" s="7" t="str">
        <f>VLOOKUP(D185,[1]characters!$A:$C,3,FALSE)</f>
        <v>勇機結集 ブレイブリー・ライオン</v>
      </c>
      <c r="F185" s="7" t="str">
        <f>VLOOKUP(D185,[1]characters!$A:$J,10,FALSE)</f>
        <v>PremiumSS</v>
      </c>
      <c r="G185" s="7">
        <f>VLOOKUP(D185,[1]characters!$A:$I,9,FALSE)</f>
        <v>5</v>
      </c>
      <c r="H185" s="7" t="str">
        <f>VLOOKUP(D185,[1]characters!$A:$H,8,FALSE)</f>
        <v>yellow</v>
      </c>
      <c r="I185" s="7" t="str">
        <f>VLOOKUP(D185,[1]characters!$A:$K,11,FALSE)</f>
        <v>hp</v>
      </c>
      <c r="J185" s="7" t="str">
        <f>VLOOKUP(D185,[1]characters!$A:$M,13,FALSE)</f>
        <v>animal</v>
      </c>
      <c r="K185" s="7" t="str">
        <f>VLOOKUP(D185,[1]characters!$A:$G,7,FALSE)</f>
        <v>不明</v>
      </c>
      <c r="L185" s="66">
        <f>IFERROR(VLOOKUP(D185,input_2!L:R,7,FALSE),VLOOKUP(tables_2!B185,input_2!A:H,8,FALSE))</f>
        <v>2997</v>
      </c>
      <c r="M185" s="67">
        <f t="shared" si="6"/>
        <v>5.7692307692307691E-5</v>
      </c>
      <c r="N185" s="31">
        <f>IFERROR(VLOOKUP($D185,bug_conf_sheet!$A:$H,3,FALSE),VLOOKUP("other",bug_conf_sheet!$A:$H,3,FALSE))</f>
        <v>1</v>
      </c>
      <c r="O185" s="31">
        <f>IFERROR(VLOOKUP($D185,bug_conf_sheet!$A:$H,4,FALSE),VLOOKUP("other",bug_conf_sheet!$A:$H,4,FALSE))</f>
        <v>0</v>
      </c>
      <c r="P185" s="31">
        <f>IFERROR(VLOOKUP($D185,bug_conf_sheet!$A:$H,5,FALSE),VLOOKUP("other",bug_conf_sheet!$A:$H,5,FALSE))</f>
        <v>0</v>
      </c>
      <c r="Q185" s="31">
        <f>IFERROR(VLOOKUP($D185,bug_conf_sheet!$A:$H,6,FALSE),VLOOKUP("other",bug_conf_sheet!$A:$H,6,FALSE))</f>
        <v>0</v>
      </c>
      <c r="R185" s="31">
        <f>IFERROR(VLOOKUP($D185,bug_conf_sheet!$A:$H,7,FALSE),VLOOKUP("other",bug_conf_sheet!$A:$H,7,FALSE))</f>
        <v>0</v>
      </c>
      <c r="S185" s="31">
        <f>IFERROR(VLOOKUP($D185,bug_conf_sheet!$A:$H,8,FALSE),VLOOKUP("other",bug_conf_sheet!$A:$H,8,FALSE))</f>
        <v>1</v>
      </c>
    </row>
    <row r="186" spans="1:19" ht="21" customHeight="1">
      <c r="A186" s="2">
        <f>input_2!A$2</f>
        <v>3122</v>
      </c>
      <c r="B186" s="7" t="str">
        <f t="shared" si="7"/>
        <v>Premium3</v>
      </c>
      <c r="C186" s="7" t="str">
        <f t="shared" si="8"/>
        <v>Premium</v>
      </c>
      <c r="D186" s="8">
        <v>462</v>
      </c>
      <c r="E186" s="7" t="str">
        <f>VLOOKUP(D186,[1]characters!$A:$C,3,FALSE)</f>
        <v>ガウェイン</v>
      </c>
      <c r="F186" s="7" t="str">
        <f>VLOOKUP(D186,[1]characters!$A:$J,10,FALSE)</f>
        <v>PremiumS</v>
      </c>
      <c r="G186" s="7">
        <f>VLOOKUP(D186,[1]characters!$A:$I,9,FALSE)</f>
        <v>3</v>
      </c>
      <c r="H186" s="7" t="str">
        <f>VLOOKUP(D186,[1]characters!$A:$H,8,FALSE)</f>
        <v>red</v>
      </c>
      <c r="I186" s="7" t="str">
        <f>VLOOKUP(D186,[1]characters!$A:$K,11,FALSE)</f>
        <v>hp</v>
      </c>
      <c r="J186" s="7" t="str">
        <f>VLOOKUP(D186,[1]characters!$A:$M,13,FALSE)</f>
        <v>human</v>
      </c>
      <c r="K186" s="7" t="str">
        <f>VLOOKUP(D186,[1]characters!$A:$G,7,FALSE)</f>
        <v>男性</v>
      </c>
      <c r="L186" s="66">
        <f>IFERROR(VLOOKUP(D186,input_2!L:R,7,FALSE),VLOOKUP(tables_2!B186,input_2!A:H,8,FALSE))</f>
        <v>351000</v>
      </c>
      <c r="M186" s="67">
        <f t="shared" si="6"/>
        <v>6.7567567567567571E-3</v>
      </c>
      <c r="N186" s="31">
        <f>IFERROR(VLOOKUP($D186,bug_conf_sheet!$A:$H,3,FALSE),VLOOKUP("other",bug_conf_sheet!$A:$H,3,FALSE))</f>
        <v>1</v>
      </c>
      <c r="O186" s="31">
        <f>IFERROR(VLOOKUP($D186,bug_conf_sheet!$A:$H,4,FALSE),VLOOKUP("other",bug_conf_sheet!$A:$H,4,FALSE))</f>
        <v>0</v>
      </c>
      <c r="P186" s="31">
        <f>IFERROR(VLOOKUP($D186,bug_conf_sheet!$A:$H,5,FALSE),VLOOKUP("other",bug_conf_sheet!$A:$H,5,FALSE))</f>
        <v>0</v>
      </c>
      <c r="Q186" s="31">
        <f>IFERROR(VLOOKUP($D186,bug_conf_sheet!$A:$H,6,FALSE),VLOOKUP("other",bug_conf_sheet!$A:$H,6,FALSE))</f>
        <v>0</v>
      </c>
      <c r="R186" s="31">
        <f>IFERROR(VLOOKUP($D186,bug_conf_sheet!$A:$H,7,FALSE),VLOOKUP("other",bug_conf_sheet!$A:$H,7,FALSE))</f>
        <v>0</v>
      </c>
      <c r="S186" s="31">
        <f>IFERROR(VLOOKUP($D186,bug_conf_sheet!$A:$H,8,FALSE),VLOOKUP("other",bug_conf_sheet!$A:$H,8,FALSE))</f>
        <v>1</v>
      </c>
    </row>
    <row r="187" spans="1:19" ht="21" customHeight="1">
      <c r="A187" s="2">
        <f>input_2!A$2</f>
        <v>3122</v>
      </c>
      <c r="B187" s="7" t="str">
        <f t="shared" si="7"/>
        <v>Premium4</v>
      </c>
      <c r="C187" s="7" t="str">
        <f t="shared" si="8"/>
        <v>Premium</v>
      </c>
      <c r="D187" s="8">
        <v>463</v>
      </c>
      <c r="E187" s="7" t="str">
        <f>VLOOKUP(D187,[1]characters!$A:$C,3,FALSE)</f>
        <v>燻銀 ガウェイン</v>
      </c>
      <c r="F187" s="7" t="str">
        <f>VLOOKUP(D187,[1]characters!$A:$J,10,FALSE)</f>
        <v>PremiumS</v>
      </c>
      <c r="G187" s="7">
        <f>VLOOKUP(D187,[1]characters!$A:$I,9,FALSE)</f>
        <v>4</v>
      </c>
      <c r="H187" s="7" t="str">
        <f>VLOOKUP(D187,[1]characters!$A:$H,8,FALSE)</f>
        <v>red</v>
      </c>
      <c r="I187" s="7" t="str">
        <f>VLOOKUP(D187,[1]characters!$A:$K,11,FALSE)</f>
        <v>hp</v>
      </c>
      <c r="J187" s="7" t="str">
        <f>VLOOKUP(D187,[1]characters!$A:$M,13,FALSE)</f>
        <v>human</v>
      </c>
      <c r="K187" s="7" t="str">
        <f>VLOOKUP(D187,[1]characters!$A:$G,7,FALSE)</f>
        <v>男性</v>
      </c>
      <c r="L187" s="66">
        <f>IFERROR(VLOOKUP(D187,input_2!L:R,7,FALSE),VLOOKUP(tables_2!B187,input_2!A:H,8,FALSE))</f>
        <v>306423</v>
      </c>
      <c r="M187" s="67">
        <f t="shared" si="6"/>
        <v>5.8986486486486489E-3</v>
      </c>
      <c r="N187" s="31">
        <f>IFERROR(VLOOKUP($D187,bug_conf_sheet!$A:$H,3,FALSE),VLOOKUP("other",bug_conf_sheet!$A:$H,3,FALSE))</f>
        <v>1</v>
      </c>
      <c r="O187" s="31">
        <f>IFERROR(VLOOKUP($D187,bug_conf_sheet!$A:$H,4,FALSE),VLOOKUP("other",bug_conf_sheet!$A:$H,4,FALSE))</f>
        <v>0</v>
      </c>
      <c r="P187" s="31">
        <f>IFERROR(VLOOKUP($D187,bug_conf_sheet!$A:$H,5,FALSE),VLOOKUP("other",bug_conf_sheet!$A:$H,5,FALSE))</f>
        <v>0</v>
      </c>
      <c r="Q187" s="31">
        <f>IFERROR(VLOOKUP($D187,bug_conf_sheet!$A:$H,6,FALSE),VLOOKUP("other",bug_conf_sheet!$A:$H,6,FALSE))</f>
        <v>0</v>
      </c>
      <c r="R187" s="31">
        <f>IFERROR(VLOOKUP($D187,bug_conf_sheet!$A:$H,7,FALSE),VLOOKUP("other",bug_conf_sheet!$A:$H,7,FALSE))</f>
        <v>0</v>
      </c>
      <c r="S187" s="31">
        <f>IFERROR(VLOOKUP($D187,bug_conf_sheet!$A:$H,8,FALSE),VLOOKUP("other",bug_conf_sheet!$A:$H,8,FALSE))</f>
        <v>1</v>
      </c>
    </row>
    <row r="188" spans="1:19" ht="21" customHeight="1">
      <c r="A188" s="2">
        <f>input_2!A$2</f>
        <v>3122</v>
      </c>
      <c r="B188" s="7" t="str">
        <f t="shared" si="7"/>
        <v>Premium5</v>
      </c>
      <c r="C188" s="7" t="str">
        <f t="shared" si="8"/>
        <v>Premium</v>
      </c>
      <c r="D188" s="8">
        <v>464</v>
      </c>
      <c r="E188" s="7" t="str">
        <f>VLOOKUP(D188,[1]characters!$A:$C,3,FALSE)</f>
        <v>円熟の弾導 ガウェイン</v>
      </c>
      <c r="F188" s="7" t="str">
        <f>VLOOKUP(D188,[1]characters!$A:$J,10,FALSE)</f>
        <v>PremiumS</v>
      </c>
      <c r="G188" s="7">
        <f>VLOOKUP(D188,[1]characters!$A:$I,9,FALSE)</f>
        <v>5</v>
      </c>
      <c r="H188" s="7" t="str">
        <f>VLOOKUP(D188,[1]characters!$A:$H,8,FALSE)</f>
        <v>red</v>
      </c>
      <c r="I188" s="7" t="str">
        <f>VLOOKUP(D188,[1]characters!$A:$K,11,FALSE)</f>
        <v>hp</v>
      </c>
      <c r="J188" s="7" t="str">
        <f>VLOOKUP(D188,[1]characters!$A:$M,13,FALSE)</f>
        <v>human</v>
      </c>
      <c r="K188" s="7" t="str">
        <f>VLOOKUP(D188,[1]characters!$A:$G,7,FALSE)</f>
        <v>男性</v>
      </c>
      <c r="L188" s="66">
        <f>IFERROR(VLOOKUP(D188,input_2!L:R,7,FALSE),VLOOKUP(tables_2!B188,input_2!A:H,8,FALSE))</f>
        <v>46657</v>
      </c>
      <c r="M188" s="67">
        <f t="shared" si="6"/>
        <v>8.9814814814814813E-4</v>
      </c>
      <c r="N188" s="31">
        <f>IFERROR(VLOOKUP($D188,bug_conf_sheet!$A:$H,3,FALSE),VLOOKUP("other",bug_conf_sheet!$A:$H,3,FALSE))</f>
        <v>1</v>
      </c>
      <c r="O188" s="31">
        <f>IFERROR(VLOOKUP($D188,bug_conf_sheet!$A:$H,4,FALSE),VLOOKUP("other",bug_conf_sheet!$A:$H,4,FALSE))</f>
        <v>0</v>
      </c>
      <c r="P188" s="31">
        <f>IFERROR(VLOOKUP($D188,bug_conf_sheet!$A:$H,5,FALSE),VLOOKUP("other",bug_conf_sheet!$A:$H,5,FALSE))</f>
        <v>0</v>
      </c>
      <c r="Q188" s="31">
        <f>IFERROR(VLOOKUP($D188,bug_conf_sheet!$A:$H,6,FALSE),VLOOKUP("other",bug_conf_sheet!$A:$H,6,FALSE))</f>
        <v>0</v>
      </c>
      <c r="R188" s="31">
        <f>IFERROR(VLOOKUP($D188,bug_conf_sheet!$A:$H,7,FALSE),VLOOKUP("other",bug_conf_sheet!$A:$H,7,FALSE))</f>
        <v>0</v>
      </c>
      <c r="S188" s="31">
        <f>IFERROR(VLOOKUP($D188,bug_conf_sheet!$A:$H,8,FALSE),VLOOKUP("other",bug_conf_sheet!$A:$H,8,FALSE))</f>
        <v>1</v>
      </c>
    </row>
    <row r="189" spans="1:19" ht="21" customHeight="1">
      <c r="A189" s="2">
        <f>input_2!A$2</f>
        <v>3122</v>
      </c>
      <c r="B189" s="7" t="str">
        <f t="shared" si="7"/>
        <v>PremiumSS4</v>
      </c>
      <c r="C189" s="7" t="str">
        <f t="shared" si="8"/>
        <v>PremiumSS</v>
      </c>
      <c r="D189" s="8">
        <v>465</v>
      </c>
      <c r="E189" s="7" t="str">
        <f>VLOOKUP(D189,[1]characters!$A:$C,3,FALSE)</f>
        <v>真撃 ランスロット</v>
      </c>
      <c r="F189" s="7" t="str">
        <f>VLOOKUP(D189,[1]characters!$A:$J,10,FALSE)</f>
        <v>PremiumSS</v>
      </c>
      <c r="G189" s="7">
        <f>VLOOKUP(D189,[1]characters!$A:$I,9,FALSE)</f>
        <v>4</v>
      </c>
      <c r="H189" s="7" t="str">
        <f>VLOOKUP(D189,[1]characters!$A:$H,8,FALSE)</f>
        <v>green</v>
      </c>
      <c r="I189" s="7" t="str">
        <f>VLOOKUP(D189,[1]characters!$A:$K,11,FALSE)</f>
        <v>balance</v>
      </c>
      <c r="J189" s="7" t="str">
        <f>VLOOKUP(D189,[1]characters!$A:$M,13,FALSE)</f>
        <v>human</v>
      </c>
      <c r="K189" s="7" t="str">
        <f>VLOOKUP(D189,[1]characters!$A:$G,7,FALSE)</f>
        <v>男性</v>
      </c>
      <c r="L189" s="66">
        <f>IFERROR(VLOOKUP(D189,input_2!L:R,7,FALSE),VLOOKUP(tables_2!B189,input_2!A:H,8,FALSE))</f>
        <v>26973</v>
      </c>
      <c r="M189" s="67">
        <f t="shared" si="6"/>
        <v>5.1923076923076922E-4</v>
      </c>
      <c r="N189" s="31">
        <f>IFERROR(VLOOKUP($D189,bug_conf_sheet!$A:$H,3,FALSE),VLOOKUP("other",bug_conf_sheet!$A:$H,3,FALSE))</f>
        <v>1</v>
      </c>
      <c r="O189" s="31">
        <f>IFERROR(VLOOKUP($D189,bug_conf_sheet!$A:$H,4,FALSE),VLOOKUP("other",bug_conf_sheet!$A:$H,4,FALSE))</f>
        <v>0</v>
      </c>
      <c r="P189" s="31">
        <f>IFERROR(VLOOKUP($D189,bug_conf_sheet!$A:$H,5,FALSE),VLOOKUP("other",bug_conf_sheet!$A:$H,5,FALSE))</f>
        <v>0</v>
      </c>
      <c r="Q189" s="31">
        <f>IFERROR(VLOOKUP($D189,bug_conf_sheet!$A:$H,6,FALSE),VLOOKUP("other",bug_conf_sheet!$A:$H,6,FALSE))</f>
        <v>0</v>
      </c>
      <c r="R189" s="31">
        <f>IFERROR(VLOOKUP($D189,bug_conf_sheet!$A:$H,7,FALSE),VLOOKUP("other",bug_conf_sheet!$A:$H,7,FALSE))</f>
        <v>0</v>
      </c>
      <c r="S189" s="31">
        <f>IFERROR(VLOOKUP($D189,bug_conf_sheet!$A:$H,8,FALSE),VLOOKUP("other",bug_conf_sheet!$A:$H,8,FALSE))</f>
        <v>1</v>
      </c>
    </row>
    <row r="190" spans="1:19" s="9" customFormat="1" ht="21" customHeight="1" thickBot="1">
      <c r="A190" s="2">
        <f>input_2!A$2</f>
        <v>3122</v>
      </c>
      <c r="B190" s="7" t="str">
        <f t="shared" si="7"/>
        <v>PremiumSS5</v>
      </c>
      <c r="C190" s="7" t="str">
        <f t="shared" si="8"/>
        <v>PremiumSS</v>
      </c>
      <c r="D190" s="6">
        <v>466</v>
      </c>
      <c r="E190" s="7" t="str">
        <f>VLOOKUP(D190,[1]characters!$A:$C,3,FALSE)</f>
        <v>真断の勇覇 ランスロット</v>
      </c>
      <c r="F190" s="7" t="str">
        <f>VLOOKUP(D190,[1]characters!$A:$J,10,FALSE)</f>
        <v>PremiumSS</v>
      </c>
      <c r="G190" s="7">
        <f>VLOOKUP(D190,[1]characters!$A:$I,9,FALSE)</f>
        <v>5</v>
      </c>
      <c r="H190" s="7" t="str">
        <f>VLOOKUP(D190,[1]characters!$A:$H,8,FALSE)</f>
        <v>green</v>
      </c>
      <c r="I190" s="7" t="str">
        <f>VLOOKUP(D190,[1]characters!$A:$K,11,FALSE)</f>
        <v>balance</v>
      </c>
      <c r="J190" s="7" t="str">
        <f>VLOOKUP(D190,[1]characters!$A:$M,13,FALSE)</f>
        <v>human</v>
      </c>
      <c r="K190" s="7" t="str">
        <f>VLOOKUP(D190,[1]characters!$A:$G,7,FALSE)</f>
        <v>男性</v>
      </c>
      <c r="L190" s="66">
        <f>IFERROR(VLOOKUP(D190,input_2!L:R,7,FALSE),VLOOKUP(tables_2!B190,input_2!A:H,8,FALSE))</f>
        <v>2997</v>
      </c>
      <c r="M190" s="67">
        <f t="shared" si="6"/>
        <v>5.7692307692307691E-5</v>
      </c>
      <c r="N190" s="31">
        <f>IFERROR(VLOOKUP($D190,bug_conf_sheet!$A:$H,3,FALSE),VLOOKUP("other",bug_conf_sheet!$A:$H,3,FALSE))</f>
        <v>1</v>
      </c>
      <c r="O190" s="31">
        <f>IFERROR(VLOOKUP($D190,bug_conf_sheet!$A:$H,4,FALSE),VLOOKUP("other",bug_conf_sheet!$A:$H,4,FALSE))</f>
        <v>0</v>
      </c>
      <c r="P190" s="31">
        <f>IFERROR(VLOOKUP($D190,bug_conf_sheet!$A:$H,5,FALSE),VLOOKUP("other",bug_conf_sheet!$A:$H,5,FALSE))</f>
        <v>0</v>
      </c>
      <c r="Q190" s="31">
        <f>IFERROR(VLOOKUP($D190,bug_conf_sheet!$A:$H,6,FALSE),VLOOKUP("other",bug_conf_sheet!$A:$H,6,FALSE))</f>
        <v>0</v>
      </c>
      <c r="R190" s="31">
        <f>IFERROR(VLOOKUP($D190,bug_conf_sheet!$A:$H,7,FALSE),VLOOKUP("other",bug_conf_sheet!$A:$H,7,FALSE))</f>
        <v>0</v>
      </c>
      <c r="S190" s="31">
        <f>IFERROR(VLOOKUP($D190,bug_conf_sheet!$A:$H,8,FALSE),VLOOKUP("other",bug_conf_sheet!$A:$H,8,FALSE))</f>
        <v>1</v>
      </c>
    </row>
    <row r="191" spans="1:19" ht="21" customHeight="1">
      <c r="A191" s="2">
        <f>input_2!A$2</f>
        <v>3122</v>
      </c>
      <c r="B191" s="7" t="str">
        <f t="shared" si="7"/>
        <v>PremiumSS4</v>
      </c>
      <c r="C191" s="7" t="str">
        <f t="shared" si="8"/>
        <v>PremiumSS</v>
      </c>
      <c r="D191" s="6">
        <v>467</v>
      </c>
      <c r="E191" s="7" t="str">
        <f>VLOOKUP(D191,[1]characters!$A:$C,3,FALSE)</f>
        <v>報復 モルドレッド</v>
      </c>
      <c r="F191" s="7" t="str">
        <f>VLOOKUP(D191,[1]characters!$A:$J,10,FALSE)</f>
        <v>PremiumSS</v>
      </c>
      <c r="G191" s="7">
        <f>VLOOKUP(D191,[1]characters!$A:$I,9,FALSE)</f>
        <v>4</v>
      </c>
      <c r="H191" s="7" t="str">
        <f>VLOOKUP(D191,[1]characters!$A:$H,8,FALSE)</f>
        <v>blue</v>
      </c>
      <c r="I191" s="7" t="str">
        <f>VLOOKUP(D191,[1]characters!$A:$K,11,FALSE)</f>
        <v>technical</v>
      </c>
      <c r="J191" s="7" t="str">
        <f>VLOOKUP(D191,[1]characters!$A:$M,13,FALSE)</f>
        <v>human</v>
      </c>
      <c r="K191" s="7" t="str">
        <f>VLOOKUP(D191,[1]characters!$A:$G,7,FALSE)</f>
        <v>女性</v>
      </c>
      <c r="L191" s="66">
        <f>IFERROR(VLOOKUP(D191,input_2!L:R,7,FALSE),VLOOKUP(tables_2!B191,input_2!A:H,8,FALSE))</f>
        <v>26973</v>
      </c>
      <c r="M191" s="67">
        <f t="shared" si="6"/>
        <v>5.1923076923076922E-4</v>
      </c>
      <c r="N191" s="31">
        <f>IFERROR(VLOOKUP($D191,bug_conf_sheet!$A:$H,3,FALSE),VLOOKUP("other",bug_conf_sheet!$A:$H,3,FALSE))</f>
        <v>1</v>
      </c>
      <c r="O191" s="31">
        <f>IFERROR(VLOOKUP($D191,bug_conf_sheet!$A:$H,4,FALSE),VLOOKUP("other",bug_conf_sheet!$A:$H,4,FALSE))</f>
        <v>0</v>
      </c>
      <c r="P191" s="31">
        <f>IFERROR(VLOOKUP($D191,bug_conf_sheet!$A:$H,5,FALSE),VLOOKUP("other",bug_conf_sheet!$A:$H,5,FALSE))</f>
        <v>0</v>
      </c>
      <c r="Q191" s="31">
        <f>IFERROR(VLOOKUP($D191,bug_conf_sheet!$A:$H,6,FALSE),VLOOKUP("other",bug_conf_sheet!$A:$H,6,FALSE))</f>
        <v>0</v>
      </c>
      <c r="R191" s="31">
        <f>IFERROR(VLOOKUP($D191,bug_conf_sheet!$A:$H,7,FALSE),VLOOKUP("other",bug_conf_sheet!$A:$H,7,FALSE))</f>
        <v>0</v>
      </c>
      <c r="S191" s="31">
        <f>IFERROR(VLOOKUP($D191,bug_conf_sheet!$A:$H,8,FALSE),VLOOKUP("other",bug_conf_sheet!$A:$H,8,FALSE))</f>
        <v>1</v>
      </c>
    </row>
    <row r="192" spans="1:19" ht="21" customHeight="1">
      <c r="A192" s="2">
        <f>input_2!A$2</f>
        <v>3122</v>
      </c>
      <c r="B192" s="7" t="str">
        <f t="shared" si="7"/>
        <v>PremiumSS5</v>
      </c>
      <c r="C192" s="7" t="str">
        <f t="shared" si="8"/>
        <v>PremiumSS</v>
      </c>
      <c r="D192" s="6">
        <v>468</v>
      </c>
      <c r="E192" s="7" t="str">
        <f>VLOOKUP(D192,[1]characters!$A:$C,3,FALSE)</f>
        <v>憎愛の尖鋒 モルドレッド</v>
      </c>
      <c r="F192" s="7" t="str">
        <f>VLOOKUP(D192,[1]characters!$A:$J,10,FALSE)</f>
        <v>PremiumSS</v>
      </c>
      <c r="G192" s="7">
        <f>VLOOKUP(D192,[1]characters!$A:$I,9,FALSE)</f>
        <v>5</v>
      </c>
      <c r="H192" s="7" t="str">
        <f>VLOOKUP(D192,[1]characters!$A:$H,8,FALSE)</f>
        <v>blue</v>
      </c>
      <c r="I192" s="7" t="str">
        <f>VLOOKUP(D192,[1]characters!$A:$K,11,FALSE)</f>
        <v>technical</v>
      </c>
      <c r="J192" s="7" t="str">
        <f>VLOOKUP(D192,[1]characters!$A:$M,13,FALSE)</f>
        <v>human</v>
      </c>
      <c r="K192" s="7" t="str">
        <f>VLOOKUP(D192,[1]characters!$A:$G,7,FALSE)</f>
        <v>女性</v>
      </c>
      <c r="L192" s="66">
        <f>IFERROR(VLOOKUP(D192,input_2!L:R,7,FALSE),VLOOKUP(tables_2!B192,input_2!A:H,8,FALSE))</f>
        <v>2997</v>
      </c>
      <c r="M192" s="67">
        <f t="shared" si="6"/>
        <v>5.7692307692307691E-5</v>
      </c>
      <c r="N192" s="31">
        <f>IFERROR(VLOOKUP($D192,bug_conf_sheet!$A:$H,3,FALSE),VLOOKUP("other",bug_conf_sheet!$A:$H,3,FALSE))</f>
        <v>1</v>
      </c>
      <c r="O192" s="31">
        <f>IFERROR(VLOOKUP($D192,bug_conf_sheet!$A:$H,4,FALSE),VLOOKUP("other",bug_conf_sheet!$A:$H,4,FALSE))</f>
        <v>0</v>
      </c>
      <c r="P192" s="31">
        <f>IFERROR(VLOOKUP($D192,bug_conf_sheet!$A:$H,5,FALSE),VLOOKUP("other",bug_conf_sheet!$A:$H,5,FALSE))</f>
        <v>0</v>
      </c>
      <c r="Q192" s="31">
        <f>IFERROR(VLOOKUP($D192,bug_conf_sheet!$A:$H,6,FALSE),VLOOKUP("other",bug_conf_sheet!$A:$H,6,FALSE))</f>
        <v>0</v>
      </c>
      <c r="R192" s="31">
        <f>IFERROR(VLOOKUP($D192,bug_conf_sheet!$A:$H,7,FALSE),VLOOKUP("other",bug_conf_sheet!$A:$H,7,FALSE))</f>
        <v>0</v>
      </c>
      <c r="S192" s="31">
        <f>IFERROR(VLOOKUP($D192,bug_conf_sheet!$A:$H,8,FALSE),VLOOKUP("other",bug_conf_sheet!$A:$H,8,FALSE))</f>
        <v>1</v>
      </c>
    </row>
    <row r="193" spans="1:19" ht="21" customHeight="1">
      <c r="A193" s="2">
        <f>input_2!A$2</f>
        <v>3122</v>
      </c>
      <c r="B193" s="7" t="str">
        <f t="shared" si="7"/>
        <v>Premium3</v>
      </c>
      <c r="C193" s="7" t="str">
        <f t="shared" si="8"/>
        <v>Premium</v>
      </c>
      <c r="D193" s="6">
        <v>469</v>
      </c>
      <c r="E193" s="7" t="str">
        <f>VLOOKUP(D193,[1]characters!$A:$C,3,FALSE)</f>
        <v>トリスタン</v>
      </c>
      <c r="F193" s="7" t="str">
        <f>VLOOKUP(D193,[1]characters!$A:$J,10,FALSE)</f>
        <v>PremiumS</v>
      </c>
      <c r="G193" s="7">
        <f>VLOOKUP(D193,[1]characters!$A:$I,9,FALSE)</f>
        <v>3</v>
      </c>
      <c r="H193" s="7" t="str">
        <f>VLOOKUP(D193,[1]characters!$A:$H,8,FALSE)</f>
        <v>yellow</v>
      </c>
      <c r="I193" s="7" t="str">
        <f>VLOOKUP(D193,[1]characters!$A:$K,11,FALSE)</f>
        <v>attack</v>
      </c>
      <c r="J193" s="7" t="str">
        <f>VLOOKUP(D193,[1]characters!$A:$M,13,FALSE)</f>
        <v>human</v>
      </c>
      <c r="K193" s="7" t="str">
        <f>VLOOKUP(D193,[1]characters!$A:$G,7,FALSE)</f>
        <v>男性</v>
      </c>
      <c r="L193" s="66">
        <f>IFERROR(VLOOKUP(D193,input_2!L:R,7,FALSE),VLOOKUP(tables_2!B193,input_2!A:H,8,FALSE))</f>
        <v>351000</v>
      </c>
      <c r="M193" s="67">
        <f t="shared" si="6"/>
        <v>6.7567567567567571E-3</v>
      </c>
      <c r="N193" s="31">
        <f>IFERROR(VLOOKUP($D193,bug_conf_sheet!$A:$H,3,FALSE),VLOOKUP("other",bug_conf_sheet!$A:$H,3,FALSE))</f>
        <v>1</v>
      </c>
      <c r="O193" s="31">
        <f>IFERROR(VLOOKUP($D193,bug_conf_sheet!$A:$H,4,FALSE),VLOOKUP("other",bug_conf_sheet!$A:$H,4,FALSE))</f>
        <v>0</v>
      </c>
      <c r="P193" s="31">
        <f>IFERROR(VLOOKUP($D193,bug_conf_sheet!$A:$H,5,FALSE),VLOOKUP("other",bug_conf_sheet!$A:$H,5,FALSE))</f>
        <v>0</v>
      </c>
      <c r="Q193" s="31">
        <f>IFERROR(VLOOKUP($D193,bug_conf_sheet!$A:$H,6,FALSE),VLOOKUP("other",bug_conf_sheet!$A:$H,6,FALSE))</f>
        <v>0</v>
      </c>
      <c r="R193" s="31">
        <f>IFERROR(VLOOKUP($D193,bug_conf_sheet!$A:$H,7,FALSE),VLOOKUP("other",bug_conf_sheet!$A:$H,7,FALSE))</f>
        <v>0</v>
      </c>
      <c r="S193" s="31">
        <f>IFERROR(VLOOKUP($D193,bug_conf_sheet!$A:$H,8,FALSE),VLOOKUP("other",bug_conf_sheet!$A:$H,8,FALSE))</f>
        <v>1</v>
      </c>
    </row>
    <row r="194" spans="1:19" ht="21" customHeight="1">
      <c r="A194" s="2">
        <f>input_2!A$2</f>
        <v>3122</v>
      </c>
      <c r="B194" s="7" t="str">
        <f t="shared" si="7"/>
        <v>Premium4</v>
      </c>
      <c r="C194" s="7" t="str">
        <f t="shared" si="8"/>
        <v>Premium</v>
      </c>
      <c r="D194" s="6">
        <v>470</v>
      </c>
      <c r="E194" s="7" t="str">
        <f>VLOOKUP(D194,[1]characters!$A:$C,3,FALSE)</f>
        <v>純心 トリスタン</v>
      </c>
      <c r="F194" s="7" t="str">
        <f>VLOOKUP(D194,[1]characters!$A:$J,10,FALSE)</f>
        <v>PremiumS</v>
      </c>
      <c r="G194" s="7">
        <f>VLOOKUP(D194,[1]characters!$A:$I,9,FALSE)</f>
        <v>4</v>
      </c>
      <c r="H194" s="7" t="str">
        <f>VLOOKUP(D194,[1]characters!$A:$H,8,FALSE)</f>
        <v>yellow</v>
      </c>
      <c r="I194" s="7" t="str">
        <f>VLOOKUP(D194,[1]characters!$A:$K,11,FALSE)</f>
        <v>attack</v>
      </c>
      <c r="J194" s="7" t="str">
        <f>VLOOKUP(D194,[1]characters!$A:$M,13,FALSE)</f>
        <v>human</v>
      </c>
      <c r="K194" s="7" t="str">
        <f>VLOOKUP(D194,[1]characters!$A:$G,7,FALSE)</f>
        <v>男性</v>
      </c>
      <c r="L194" s="66">
        <f>IFERROR(VLOOKUP(D194,input_2!L:R,7,FALSE),VLOOKUP(tables_2!B194,input_2!A:H,8,FALSE))</f>
        <v>306423</v>
      </c>
      <c r="M194" s="67">
        <f t="shared" ref="M194:M255" si="9">L194/SUM(L:L)</f>
        <v>5.8986486486486489E-3</v>
      </c>
      <c r="N194" s="31">
        <f>IFERROR(VLOOKUP($D194,bug_conf_sheet!$A:$H,3,FALSE),VLOOKUP("other",bug_conf_sheet!$A:$H,3,FALSE))</f>
        <v>1</v>
      </c>
      <c r="O194" s="31">
        <f>IFERROR(VLOOKUP($D194,bug_conf_sheet!$A:$H,4,FALSE),VLOOKUP("other",bug_conf_sheet!$A:$H,4,FALSE))</f>
        <v>0</v>
      </c>
      <c r="P194" s="31">
        <f>IFERROR(VLOOKUP($D194,bug_conf_sheet!$A:$H,5,FALSE),VLOOKUP("other",bug_conf_sheet!$A:$H,5,FALSE))</f>
        <v>0</v>
      </c>
      <c r="Q194" s="31">
        <f>IFERROR(VLOOKUP($D194,bug_conf_sheet!$A:$H,6,FALSE),VLOOKUP("other",bug_conf_sheet!$A:$H,6,FALSE))</f>
        <v>0</v>
      </c>
      <c r="R194" s="31">
        <f>IFERROR(VLOOKUP($D194,bug_conf_sheet!$A:$H,7,FALSE),VLOOKUP("other",bug_conf_sheet!$A:$H,7,FALSE))</f>
        <v>0</v>
      </c>
      <c r="S194" s="31">
        <f>IFERROR(VLOOKUP($D194,bug_conf_sheet!$A:$H,8,FALSE),VLOOKUP("other",bug_conf_sheet!$A:$H,8,FALSE))</f>
        <v>1</v>
      </c>
    </row>
    <row r="195" spans="1:19" ht="21" customHeight="1">
      <c r="A195" s="2">
        <f>input_2!A$2</f>
        <v>3122</v>
      </c>
      <c r="B195" s="7" t="str">
        <f t="shared" ref="B195:B255" si="10">C195&amp;G195</f>
        <v>Premium5</v>
      </c>
      <c r="C195" s="7" t="str">
        <f t="shared" ref="C195:C255" si="11">IF(F195="PremiumSS",F195,IF(F195="PremiumSSS",F195,"Premium"))</f>
        <v>Premium</v>
      </c>
      <c r="D195" s="6">
        <v>471</v>
      </c>
      <c r="E195" s="7" t="str">
        <f>VLOOKUP(D195,[1]characters!$A:$C,3,FALSE)</f>
        <v>不可避の爆激 トリスタン</v>
      </c>
      <c r="F195" s="7" t="str">
        <f>VLOOKUP(D195,[1]characters!$A:$J,10,FALSE)</f>
        <v>PremiumS</v>
      </c>
      <c r="G195" s="7">
        <f>VLOOKUP(D195,[1]characters!$A:$I,9,FALSE)</f>
        <v>5</v>
      </c>
      <c r="H195" s="7" t="str">
        <f>VLOOKUP(D195,[1]characters!$A:$H,8,FALSE)</f>
        <v>yellow</v>
      </c>
      <c r="I195" s="7" t="str">
        <f>VLOOKUP(D195,[1]characters!$A:$K,11,FALSE)</f>
        <v>attack</v>
      </c>
      <c r="J195" s="7" t="str">
        <f>VLOOKUP(D195,[1]characters!$A:$M,13,FALSE)</f>
        <v>human</v>
      </c>
      <c r="K195" s="7" t="str">
        <f>VLOOKUP(D195,[1]characters!$A:$G,7,FALSE)</f>
        <v>男性</v>
      </c>
      <c r="L195" s="66">
        <f>IFERROR(VLOOKUP(D195,input_2!L:R,7,FALSE),VLOOKUP(tables_2!B195,input_2!A:H,8,FALSE))</f>
        <v>46657</v>
      </c>
      <c r="M195" s="67">
        <f t="shared" si="9"/>
        <v>8.9814814814814813E-4</v>
      </c>
      <c r="N195" s="31">
        <f>IFERROR(VLOOKUP($D195,bug_conf_sheet!$A:$H,3,FALSE),VLOOKUP("other",bug_conf_sheet!$A:$H,3,FALSE))</f>
        <v>1</v>
      </c>
      <c r="O195" s="31">
        <f>IFERROR(VLOOKUP($D195,bug_conf_sheet!$A:$H,4,FALSE),VLOOKUP("other",bug_conf_sheet!$A:$H,4,FALSE))</f>
        <v>0</v>
      </c>
      <c r="P195" s="31">
        <f>IFERROR(VLOOKUP($D195,bug_conf_sheet!$A:$H,5,FALSE),VLOOKUP("other",bug_conf_sheet!$A:$H,5,FALSE))</f>
        <v>0</v>
      </c>
      <c r="Q195" s="31">
        <f>IFERROR(VLOOKUP($D195,bug_conf_sheet!$A:$H,6,FALSE),VLOOKUP("other",bug_conf_sheet!$A:$H,6,FALSE))</f>
        <v>0</v>
      </c>
      <c r="R195" s="31">
        <f>IFERROR(VLOOKUP($D195,bug_conf_sheet!$A:$H,7,FALSE),VLOOKUP("other",bug_conf_sheet!$A:$H,7,FALSE))</f>
        <v>0</v>
      </c>
      <c r="S195" s="31">
        <f>IFERROR(VLOOKUP($D195,bug_conf_sheet!$A:$H,8,FALSE),VLOOKUP("other",bug_conf_sheet!$A:$H,8,FALSE))</f>
        <v>1</v>
      </c>
    </row>
    <row r="196" spans="1:19" ht="21" customHeight="1">
      <c r="A196" s="2">
        <f>input_2!A$2</f>
        <v>3122</v>
      </c>
      <c r="B196" s="7" t="str">
        <f t="shared" si="10"/>
        <v>PremiumSS4</v>
      </c>
      <c r="C196" s="7" t="str">
        <f t="shared" si="11"/>
        <v>PremiumSS</v>
      </c>
      <c r="D196" s="6">
        <v>474</v>
      </c>
      <c r="E196" s="7" t="str">
        <f>VLOOKUP(D196,[1]characters!$A:$C,3,FALSE)</f>
        <v>キング・ドライグ</v>
      </c>
      <c r="F196" s="7" t="str">
        <f>VLOOKUP(D196,[1]characters!$A:$J,10,FALSE)</f>
        <v>PremiumSS</v>
      </c>
      <c r="G196" s="7">
        <f>VLOOKUP(D196,[1]characters!$A:$I,9,FALSE)</f>
        <v>4</v>
      </c>
      <c r="H196" s="7" t="str">
        <f>VLOOKUP(D196,[1]characters!$A:$H,8,FALSE)</f>
        <v>red</v>
      </c>
      <c r="I196" s="7" t="str">
        <f>VLOOKUP(D196,[1]characters!$A:$K,11,FALSE)</f>
        <v>attack</v>
      </c>
      <c r="J196" s="7" t="str">
        <f>VLOOKUP(D196,[1]characters!$A:$M,13,FALSE)</f>
        <v>dragon</v>
      </c>
      <c r="K196" s="7" t="str">
        <f>VLOOKUP(D196,[1]characters!$A:$G,7,FALSE)</f>
        <v>不明</v>
      </c>
      <c r="L196" s="66">
        <f>IFERROR(VLOOKUP(D196,input_2!L:R,7,FALSE),VLOOKUP(tables_2!B196,input_2!A:H,8,FALSE))</f>
        <v>26973</v>
      </c>
      <c r="M196" s="67">
        <f t="shared" si="9"/>
        <v>5.1923076923076922E-4</v>
      </c>
      <c r="N196" s="31">
        <f>IFERROR(VLOOKUP($D196,bug_conf_sheet!$A:$H,3,FALSE),VLOOKUP("other",bug_conf_sheet!$A:$H,3,FALSE))</f>
        <v>1</v>
      </c>
      <c r="O196" s="31">
        <f>IFERROR(VLOOKUP($D196,bug_conf_sheet!$A:$H,4,FALSE),VLOOKUP("other",bug_conf_sheet!$A:$H,4,FALSE))</f>
        <v>0</v>
      </c>
      <c r="P196" s="31">
        <f>IFERROR(VLOOKUP($D196,bug_conf_sheet!$A:$H,5,FALSE),VLOOKUP("other",bug_conf_sheet!$A:$H,5,FALSE))</f>
        <v>0</v>
      </c>
      <c r="Q196" s="31">
        <f>IFERROR(VLOOKUP($D196,bug_conf_sheet!$A:$H,6,FALSE),VLOOKUP("other",bug_conf_sheet!$A:$H,6,FALSE))</f>
        <v>0</v>
      </c>
      <c r="R196" s="31">
        <f>IFERROR(VLOOKUP($D196,bug_conf_sheet!$A:$H,7,FALSE),VLOOKUP("other",bug_conf_sheet!$A:$H,7,FALSE))</f>
        <v>0</v>
      </c>
      <c r="S196" s="31">
        <f>IFERROR(VLOOKUP($D196,bug_conf_sheet!$A:$H,8,FALSE),VLOOKUP("other",bug_conf_sheet!$A:$H,8,FALSE))</f>
        <v>1</v>
      </c>
    </row>
    <row r="197" spans="1:19" ht="21" customHeight="1">
      <c r="A197" s="2">
        <f>input_2!A$2</f>
        <v>3122</v>
      </c>
      <c r="B197" s="7" t="str">
        <f t="shared" si="10"/>
        <v>PremiumSS5</v>
      </c>
      <c r="C197" s="7" t="str">
        <f t="shared" si="11"/>
        <v>PremiumSS</v>
      </c>
      <c r="D197" s="6">
        <v>475</v>
      </c>
      <c r="E197" s="7" t="str">
        <f>VLOOKUP(D197,[1]characters!$A:$C,3,FALSE)</f>
        <v>緋王 キング・ドライグ</v>
      </c>
      <c r="F197" s="7" t="str">
        <f>VLOOKUP(D197,[1]characters!$A:$J,10,FALSE)</f>
        <v>PremiumSS</v>
      </c>
      <c r="G197" s="7">
        <f>VLOOKUP(D197,[1]characters!$A:$I,9,FALSE)</f>
        <v>5</v>
      </c>
      <c r="H197" s="7" t="str">
        <f>VLOOKUP(D197,[1]characters!$A:$H,8,FALSE)</f>
        <v>red</v>
      </c>
      <c r="I197" s="7" t="str">
        <f>VLOOKUP(D197,[1]characters!$A:$K,11,FALSE)</f>
        <v>attack</v>
      </c>
      <c r="J197" s="7" t="str">
        <f>VLOOKUP(D197,[1]characters!$A:$M,13,FALSE)</f>
        <v>dragon</v>
      </c>
      <c r="K197" s="7" t="str">
        <f>VLOOKUP(D197,[1]characters!$A:$G,7,FALSE)</f>
        <v>不明</v>
      </c>
      <c r="L197" s="66">
        <f>IFERROR(VLOOKUP(D197,input_2!L:R,7,FALSE),VLOOKUP(tables_2!B197,input_2!A:H,8,FALSE))</f>
        <v>2997</v>
      </c>
      <c r="M197" s="67">
        <f t="shared" si="9"/>
        <v>5.7692307692307691E-5</v>
      </c>
      <c r="N197" s="31">
        <f>IFERROR(VLOOKUP($D197,bug_conf_sheet!$A:$H,3,FALSE),VLOOKUP("other",bug_conf_sheet!$A:$H,3,FALSE))</f>
        <v>1</v>
      </c>
      <c r="O197" s="31">
        <f>IFERROR(VLOOKUP($D197,bug_conf_sheet!$A:$H,4,FALSE),VLOOKUP("other",bug_conf_sheet!$A:$H,4,FALSE))</f>
        <v>0</v>
      </c>
      <c r="P197" s="31">
        <f>IFERROR(VLOOKUP($D197,bug_conf_sheet!$A:$H,5,FALSE),VLOOKUP("other",bug_conf_sheet!$A:$H,5,FALSE))</f>
        <v>0</v>
      </c>
      <c r="Q197" s="31">
        <f>IFERROR(VLOOKUP($D197,bug_conf_sheet!$A:$H,6,FALSE),VLOOKUP("other",bug_conf_sheet!$A:$H,6,FALSE))</f>
        <v>0</v>
      </c>
      <c r="R197" s="31">
        <f>IFERROR(VLOOKUP($D197,bug_conf_sheet!$A:$H,7,FALSE),VLOOKUP("other",bug_conf_sheet!$A:$H,7,FALSE))</f>
        <v>0</v>
      </c>
      <c r="S197" s="31">
        <f>IFERROR(VLOOKUP($D197,bug_conf_sheet!$A:$H,8,FALSE),VLOOKUP("other",bug_conf_sheet!$A:$H,8,FALSE))</f>
        <v>1</v>
      </c>
    </row>
    <row r="198" spans="1:19" ht="21" customHeight="1">
      <c r="A198" s="2">
        <f>input_2!A$2</f>
        <v>3122</v>
      </c>
      <c r="B198" s="7" t="str">
        <f t="shared" si="10"/>
        <v>Premium3</v>
      </c>
      <c r="C198" s="7" t="str">
        <f t="shared" si="11"/>
        <v>Premium</v>
      </c>
      <c r="D198" s="6">
        <v>476</v>
      </c>
      <c r="E198" s="7" t="str">
        <f>VLOOKUP(D198,[1]characters!$A:$C,3,FALSE)</f>
        <v>ファータ</v>
      </c>
      <c r="F198" s="7" t="str">
        <f>VLOOKUP(D198,[1]characters!$A:$J,10,FALSE)</f>
        <v>PremiumS</v>
      </c>
      <c r="G198" s="7">
        <f>VLOOKUP(D198,[1]characters!$A:$I,9,FALSE)</f>
        <v>3</v>
      </c>
      <c r="H198" s="7" t="str">
        <f>VLOOKUP(D198,[1]characters!$A:$H,8,FALSE)</f>
        <v>green</v>
      </c>
      <c r="I198" s="7" t="str">
        <f>VLOOKUP(D198,[1]characters!$A:$K,11,FALSE)</f>
        <v>heal</v>
      </c>
      <c r="J198" s="7" t="str">
        <f>VLOOKUP(D198,[1]characters!$A:$M,13,FALSE)</f>
        <v>unknown</v>
      </c>
      <c r="K198" s="7" t="str">
        <f>VLOOKUP(D198,[1]characters!$A:$G,7,FALSE)</f>
        <v>女性</v>
      </c>
      <c r="L198" s="66">
        <f>IFERROR(VLOOKUP(D198,input_2!L:R,7,FALSE),VLOOKUP(tables_2!B198,input_2!A:H,8,FALSE))</f>
        <v>351000</v>
      </c>
      <c r="M198" s="67">
        <f t="shared" si="9"/>
        <v>6.7567567567567571E-3</v>
      </c>
      <c r="N198" s="31">
        <f>IFERROR(VLOOKUP($D198,bug_conf_sheet!$A:$H,3,FALSE),VLOOKUP("other",bug_conf_sheet!$A:$H,3,FALSE))</f>
        <v>1</v>
      </c>
      <c r="O198" s="31">
        <f>IFERROR(VLOOKUP($D198,bug_conf_sheet!$A:$H,4,FALSE),VLOOKUP("other",bug_conf_sheet!$A:$H,4,FALSE))</f>
        <v>0</v>
      </c>
      <c r="P198" s="31">
        <f>IFERROR(VLOOKUP($D198,bug_conf_sheet!$A:$H,5,FALSE),VLOOKUP("other",bug_conf_sheet!$A:$H,5,FALSE))</f>
        <v>0</v>
      </c>
      <c r="Q198" s="31">
        <f>IFERROR(VLOOKUP($D198,bug_conf_sheet!$A:$H,6,FALSE),VLOOKUP("other",bug_conf_sheet!$A:$H,6,FALSE))</f>
        <v>0</v>
      </c>
      <c r="R198" s="31">
        <f>IFERROR(VLOOKUP($D198,bug_conf_sheet!$A:$H,7,FALSE),VLOOKUP("other",bug_conf_sheet!$A:$H,7,FALSE))</f>
        <v>0</v>
      </c>
      <c r="S198" s="31">
        <f>IFERROR(VLOOKUP($D198,bug_conf_sheet!$A:$H,8,FALSE),VLOOKUP("other",bug_conf_sheet!$A:$H,8,FALSE))</f>
        <v>1</v>
      </c>
    </row>
    <row r="199" spans="1:19" ht="21" customHeight="1">
      <c r="A199" s="2">
        <f>input_2!A$2</f>
        <v>3122</v>
      </c>
      <c r="B199" s="7" t="str">
        <f t="shared" si="10"/>
        <v>Premium4</v>
      </c>
      <c r="C199" s="7" t="str">
        <f t="shared" si="11"/>
        <v>Premium</v>
      </c>
      <c r="D199" s="6">
        <v>477</v>
      </c>
      <c r="E199" s="7" t="str">
        <f>VLOOKUP(D199,[1]characters!$A:$C,3,FALSE)</f>
        <v>愛羽妖精 ファータ</v>
      </c>
      <c r="F199" s="7" t="str">
        <f>VLOOKUP(D199,[1]characters!$A:$J,10,FALSE)</f>
        <v>PremiumS</v>
      </c>
      <c r="G199" s="7">
        <f>VLOOKUP(D199,[1]characters!$A:$I,9,FALSE)</f>
        <v>4</v>
      </c>
      <c r="H199" s="7" t="str">
        <f>VLOOKUP(D199,[1]characters!$A:$H,8,FALSE)</f>
        <v>green</v>
      </c>
      <c r="I199" s="7" t="str">
        <f>VLOOKUP(D199,[1]characters!$A:$K,11,FALSE)</f>
        <v>heal</v>
      </c>
      <c r="J199" s="7" t="str">
        <f>VLOOKUP(D199,[1]characters!$A:$M,13,FALSE)</f>
        <v>unknown</v>
      </c>
      <c r="K199" s="7" t="str">
        <f>VLOOKUP(D199,[1]characters!$A:$G,7,FALSE)</f>
        <v>女性</v>
      </c>
      <c r="L199" s="66">
        <f>IFERROR(VLOOKUP(D199,input_2!L:R,7,FALSE),VLOOKUP(tables_2!B199,input_2!A:H,8,FALSE))</f>
        <v>306423</v>
      </c>
      <c r="M199" s="67">
        <f t="shared" si="9"/>
        <v>5.8986486486486489E-3</v>
      </c>
      <c r="N199" s="31">
        <f>IFERROR(VLOOKUP($D199,bug_conf_sheet!$A:$H,3,FALSE),VLOOKUP("other",bug_conf_sheet!$A:$H,3,FALSE))</f>
        <v>1</v>
      </c>
      <c r="O199" s="31">
        <f>IFERROR(VLOOKUP($D199,bug_conf_sheet!$A:$H,4,FALSE),VLOOKUP("other",bug_conf_sheet!$A:$H,4,FALSE))</f>
        <v>0</v>
      </c>
      <c r="P199" s="31">
        <f>IFERROR(VLOOKUP($D199,bug_conf_sheet!$A:$H,5,FALSE),VLOOKUP("other",bug_conf_sheet!$A:$H,5,FALSE))</f>
        <v>0</v>
      </c>
      <c r="Q199" s="31">
        <f>IFERROR(VLOOKUP($D199,bug_conf_sheet!$A:$H,6,FALSE),VLOOKUP("other",bug_conf_sheet!$A:$H,6,FALSE))</f>
        <v>0</v>
      </c>
      <c r="R199" s="31">
        <f>IFERROR(VLOOKUP($D199,bug_conf_sheet!$A:$H,7,FALSE),VLOOKUP("other",bug_conf_sheet!$A:$H,7,FALSE))</f>
        <v>0</v>
      </c>
      <c r="S199" s="31">
        <f>IFERROR(VLOOKUP($D199,bug_conf_sheet!$A:$H,8,FALSE),VLOOKUP("other",bug_conf_sheet!$A:$H,8,FALSE))</f>
        <v>1</v>
      </c>
    </row>
    <row r="200" spans="1:19" ht="21" customHeight="1">
      <c r="A200" s="2">
        <f>input_2!A$2</f>
        <v>3122</v>
      </c>
      <c r="B200" s="7" t="str">
        <f t="shared" si="10"/>
        <v>Premium5</v>
      </c>
      <c r="C200" s="7" t="str">
        <f t="shared" si="11"/>
        <v>Premium</v>
      </c>
      <c r="D200" s="6">
        <v>478</v>
      </c>
      <c r="E200" s="7" t="str">
        <f>VLOOKUP(D200,[1]characters!$A:$C,3,FALSE)</f>
        <v>時計仕掛けの愛羽妖精 ファータ</v>
      </c>
      <c r="F200" s="7" t="str">
        <f>VLOOKUP(D200,[1]characters!$A:$J,10,FALSE)</f>
        <v>PremiumS</v>
      </c>
      <c r="G200" s="7">
        <f>VLOOKUP(D200,[1]characters!$A:$I,9,FALSE)</f>
        <v>5</v>
      </c>
      <c r="H200" s="7" t="str">
        <f>VLOOKUP(D200,[1]characters!$A:$H,8,FALSE)</f>
        <v>green</v>
      </c>
      <c r="I200" s="7" t="str">
        <f>VLOOKUP(D200,[1]characters!$A:$K,11,FALSE)</f>
        <v>heal</v>
      </c>
      <c r="J200" s="7" t="str">
        <f>VLOOKUP(D200,[1]characters!$A:$M,13,FALSE)</f>
        <v>unknown</v>
      </c>
      <c r="K200" s="7" t="str">
        <f>VLOOKUP(D200,[1]characters!$A:$G,7,FALSE)</f>
        <v>女性</v>
      </c>
      <c r="L200" s="66">
        <f>IFERROR(VLOOKUP(D200,input_2!L:R,7,FALSE),VLOOKUP(tables_2!B200,input_2!A:H,8,FALSE))</f>
        <v>46657</v>
      </c>
      <c r="M200" s="67">
        <f t="shared" si="9"/>
        <v>8.9814814814814813E-4</v>
      </c>
      <c r="N200" s="31">
        <f>IFERROR(VLOOKUP($D200,bug_conf_sheet!$A:$H,3,FALSE),VLOOKUP("other",bug_conf_sheet!$A:$H,3,FALSE))</f>
        <v>1</v>
      </c>
      <c r="O200" s="31">
        <f>IFERROR(VLOOKUP($D200,bug_conf_sheet!$A:$H,4,FALSE),VLOOKUP("other",bug_conf_sheet!$A:$H,4,FALSE))</f>
        <v>0</v>
      </c>
      <c r="P200" s="31">
        <f>IFERROR(VLOOKUP($D200,bug_conf_sheet!$A:$H,5,FALSE),VLOOKUP("other",bug_conf_sheet!$A:$H,5,FALSE))</f>
        <v>0</v>
      </c>
      <c r="Q200" s="31">
        <f>IFERROR(VLOOKUP($D200,bug_conf_sheet!$A:$H,6,FALSE),VLOOKUP("other",bug_conf_sheet!$A:$H,6,FALSE))</f>
        <v>0</v>
      </c>
      <c r="R200" s="31">
        <f>IFERROR(VLOOKUP($D200,bug_conf_sheet!$A:$H,7,FALSE),VLOOKUP("other",bug_conf_sheet!$A:$H,7,FALSE))</f>
        <v>0</v>
      </c>
      <c r="S200" s="31">
        <f>IFERROR(VLOOKUP($D200,bug_conf_sheet!$A:$H,8,FALSE),VLOOKUP("other",bug_conf_sheet!$A:$H,8,FALSE))</f>
        <v>1</v>
      </c>
    </row>
    <row r="201" spans="1:19" ht="21" customHeight="1">
      <c r="A201" s="2">
        <f>input_2!A$2</f>
        <v>3122</v>
      </c>
      <c r="B201" s="7" t="str">
        <f t="shared" si="10"/>
        <v>PremiumSS4</v>
      </c>
      <c r="C201" s="7" t="str">
        <f t="shared" si="11"/>
        <v>PremiumSS</v>
      </c>
      <c r="D201" s="6">
        <v>479</v>
      </c>
      <c r="E201" s="7" t="str">
        <f>VLOOKUP(D201,[1]characters!$A:$C,3,FALSE)</f>
        <v>フール</v>
      </c>
      <c r="F201" s="7" t="str">
        <f>VLOOKUP(D201,[1]characters!$A:$J,10,FALSE)</f>
        <v>PremiumSS</v>
      </c>
      <c r="G201" s="7">
        <f>VLOOKUP(D201,[1]characters!$A:$I,9,FALSE)</f>
        <v>4</v>
      </c>
      <c r="H201" s="7" t="str">
        <f>VLOOKUP(D201,[1]characters!$A:$H,8,FALSE)</f>
        <v>blue</v>
      </c>
      <c r="I201" s="7" t="str">
        <f>VLOOKUP(D201,[1]characters!$A:$K,11,FALSE)</f>
        <v>technical</v>
      </c>
      <c r="J201" s="7" t="str">
        <f>VLOOKUP(D201,[1]characters!$A:$M,13,FALSE)</f>
        <v>god</v>
      </c>
      <c r="K201" s="7" t="str">
        <f>VLOOKUP(D201,[1]characters!$A:$G,7,FALSE)</f>
        <v>男性</v>
      </c>
      <c r="L201" s="66">
        <f>IFERROR(VLOOKUP(D201,input_2!L:R,7,FALSE),VLOOKUP(tables_2!B201,input_2!A:H,8,FALSE))</f>
        <v>26973</v>
      </c>
      <c r="M201" s="67">
        <f t="shared" si="9"/>
        <v>5.1923076923076922E-4</v>
      </c>
      <c r="N201" s="31">
        <f>IFERROR(VLOOKUP($D201,bug_conf_sheet!$A:$H,3,FALSE),VLOOKUP("other",bug_conf_sheet!$A:$H,3,FALSE))</f>
        <v>1</v>
      </c>
      <c r="O201" s="31">
        <f>IFERROR(VLOOKUP($D201,bug_conf_sheet!$A:$H,4,FALSE),VLOOKUP("other",bug_conf_sheet!$A:$H,4,FALSE))</f>
        <v>0</v>
      </c>
      <c r="P201" s="31">
        <f>IFERROR(VLOOKUP($D201,bug_conf_sheet!$A:$H,5,FALSE),VLOOKUP("other",bug_conf_sheet!$A:$H,5,FALSE))</f>
        <v>0</v>
      </c>
      <c r="Q201" s="31">
        <f>IFERROR(VLOOKUP($D201,bug_conf_sheet!$A:$H,6,FALSE),VLOOKUP("other",bug_conf_sheet!$A:$H,6,FALSE))</f>
        <v>0</v>
      </c>
      <c r="R201" s="31">
        <f>IFERROR(VLOOKUP($D201,bug_conf_sheet!$A:$H,7,FALSE),VLOOKUP("other",bug_conf_sheet!$A:$H,7,FALSE))</f>
        <v>0</v>
      </c>
      <c r="S201" s="31">
        <f>IFERROR(VLOOKUP($D201,bug_conf_sheet!$A:$H,8,FALSE),VLOOKUP("other",bug_conf_sheet!$A:$H,8,FALSE))</f>
        <v>1</v>
      </c>
    </row>
    <row r="202" spans="1:19" ht="21" customHeight="1">
      <c r="A202" s="2">
        <f>input_2!A$2</f>
        <v>3122</v>
      </c>
      <c r="B202" s="7" t="str">
        <f t="shared" si="10"/>
        <v>PremiumSS5</v>
      </c>
      <c r="C202" s="7" t="str">
        <f t="shared" si="11"/>
        <v>PremiumSS</v>
      </c>
      <c r="D202" s="6">
        <v>480</v>
      </c>
      <c r="E202" s="7" t="str">
        <f>VLOOKUP(D202,[1]characters!$A:$C,3,FALSE)</f>
        <v>夢幻の愚者フール</v>
      </c>
      <c r="F202" s="7" t="str">
        <f>VLOOKUP(D202,[1]characters!$A:$J,10,FALSE)</f>
        <v>PremiumSS</v>
      </c>
      <c r="G202" s="7">
        <f>VLOOKUP(D202,[1]characters!$A:$I,9,FALSE)</f>
        <v>5</v>
      </c>
      <c r="H202" s="7" t="str">
        <f>VLOOKUP(D202,[1]characters!$A:$H,8,FALSE)</f>
        <v>blue</v>
      </c>
      <c r="I202" s="7" t="str">
        <f>VLOOKUP(D202,[1]characters!$A:$K,11,FALSE)</f>
        <v>technical</v>
      </c>
      <c r="J202" s="7" t="str">
        <f>VLOOKUP(D202,[1]characters!$A:$M,13,FALSE)</f>
        <v>god</v>
      </c>
      <c r="K202" s="7" t="str">
        <f>VLOOKUP(D202,[1]characters!$A:$G,7,FALSE)</f>
        <v>男性</v>
      </c>
      <c r="L202" s="66">
        <f>IFERROR(VLOOKUP(D202,input_2!L:R,7,FALSE),VLOOKUP(tables_2!B202,input_2!A:H,8,FALSE))</f>
        <v>2997</v>
      </c>
      <c r="M202" s="67">
        <f t="shared" si="9"/>
        <v>5.7692307692307691E-5</v>
      </c>
      <c r="N202" s="31">
        <f>IFERROR(VLOOKUP($D202,bug_conf_sheet!$A:$H,3,FALSE),VLOOKUP("other",bug_conf_sheet!$A:$H,3,FALSE))</f>
        <v>1</v>
      </c>
      <c r="O202" s="31">
        <f>IFERROR(VLOOKUP($D202,bug_conf_sheet!$A:$H,4,FALSE),VLOOKUP("other",bug_conf_sheet!$A:$H,4,FALSE))</f>
        <v>0</v>
      </c>
      <c r="P202" s="31">
        <f>IFERROR(VLOOKUP($D202,bug_conf_sheet!$A:$H,5,FALSE),VLOOKUP("other",bug_conf_sheet!$A:$H,5,FALSE))</f>
        <v>0</v>
      </c>
      <c r="Q202" s="31">
        <f>IFERROR(VLOOKUP($D202,bug_conf_sheet!$A:$H,6,FALSE),VLOOKUP("other",bug_conf_sheet!$A:$H,6,FALSE))</f>
        <v>0</v>
      </c>
      <c r="R202" s="31">
        <f>IFERROR(VLOOKUP($D202,bug_conf_sheet!$A:$H,7,FALSE),VLOOKUP("other",bug_conf_sheet!$A:$H,7,FALSE))</f>
        <v>0</v>
      </c>
      <c r="S202" s="31">
        <f>IFERROR(VLOOKUP($D202,bug_conf_sheet!$A:$H,8,FALSE),VLOOKUP("other",bug_conf_sheet!$A:$H,8,FALSE))</f>
        <v>1</v>
      </c>
    </row>
    <row r="203" spans="1:19" ht="21" customHeight="1">
      <c r="A203" s="2">
        <f>input_2!A$2</f>
        <v>3122</v>
      </c>
      <c r="B203" s="7" t="str">
        <f t="shared" si="10"/>
        <v>Premium3</v>
      </c>
      <c r="C203" s="7" t="str">
        <f t="shared" si="11"/>
        <v>Premium</v>
      </c>
      <c r="D203" s="6">
        <v>481</v>
      </c>
      <c r="E203" s="7" t="str">
        <f>VLOOKUP(D203,[1]characters!$A:$C,3,FALSE)</f>
        <v>沢庵宗彭</v>
      </c>
      <c r="F203" s="7" t="str">
        <f>VLOOKUP(D203,[1]characters!$A:$J,10,FALSE)</f>
        <v>PremiumS</v>
      </c>
      <c r="G203" s="7">
        <f>VLOOKUP(D203,[1]characters!$A:$I,9,FALSE)</f>
        <v>3</v>
      </c>
      <c r="H203" s="7" t="str">
        <f>VLOOKUP(D203,[1]characters!$A:$H,8,FALSE)</f>
        <v>yellow</v>
      </c>
      <c r="I203" s="7" t="str">
        <f>VLOOKUP(D203,[1]characters!$A:$K,11,FALSE)</f>
        <v>hp</v>
      </c>
      <c r="J203" s="7" t="str">
        <f>VLOOKUP(D203,[1]characters!$A:$M,13,FALSE)</f>
        <v>human</v>
      </c>
      <c r="K203" s="7" t="str">
        <f>VLOOKUP(D203,[1]characters!$A:$G,7,FALSE)</f>
        <v>男性</v>
      </c>
      <c r="L203" s="66">
        <f>IFERROR(VLOOKUP(D203,input_2!L:R,7,FALSE),VLOOKUP(tables_2!B203,input_2!A:H,8,FALSE))</f>
        <v>351000</v>
      </c>
      <c r="M203" s="67">
        <f t="shared" si="9"/>
        <v>6.7567567567567571E-3</v>
      </c>
      <c r="N203" s="31">
        <f>IFERROR(VLOOKUP($D203,bug_conf_sheet!$A:$H,3,FALSE),VLOOKUP("other",bug_conf_sheet!$A:$H,3,FALSE))</f>
        <v>1</v>
      </c>
      <c r="O203" s="31">
        <f>IFERROR(VLOOKUP($D203,bug_conf_sheet!$A:$H,4,FALSE),VLOOKUP("other",bug_conf_sheet!$A:$H,4,FALSE))</f>
        <v>0</v>
      </c>
      <c r="P203" s="31">
        <f>IFERROR(VLOOKUP($D203,bug_conf_sheet!$A:$H,5,FALSE),VLOOKUP("other",bug_conf_sheet!$A:$H,5,FALSE))</f>
        <v>0</v>
      </c>
      <c r="Q203" s="31">
        <f>IFERROR(VLOOKUP($D203,bug_conf_sheet!$A:$H,6,FALSE),VLOOKUP("other",bug_conf_sheet!$A:$H,6,FALSE))</f>
        <v>0</v>
      </c>
      <c r="R203" s="31">
        <f>IFERROR(VLOOKUP($D203,bug_conf_sheet!$A:$H,7,FALSE),VLOOKUP("other",bug_conf_sheet!$A:$H,7,FALSE))</f>
        <v>0</v>
      </c>
      <c r="S203" s="31">
        <f>IFERROR(VLOOKUP($D203,bug_conf_sheet!$A:$H,8,FALSE),VLOOKUP("other",bug_conf_sheet!$A:$H,8,FALSE))</f>
        <v>1</v>
      </c>
    </row>
    <row r="204" spans="1:19" ht="21" customHeight="1">
      <c r="A204" s="2">
        <f>input_2!A$2</f>
        <v>3122</v>
      </c>
      <c r="B204" s="7" t="str">
        <f t="shared" si="10"/>
        <v>Premium4</v>
      </c>
      <c r="C204" s="7" t="str">
        <f t="shared" si="11"/>
        <v>Premium</v>
      </c>
      <c r="D204" s="6">
        <v>482</v>
      </c>
      <c r="E204" s="7" t="str">
        <f>VLOOKUP(D204,[1]characters!$A:$C,3,FALSE)</f>
        <v>魁僧 沢庵宗彭</v>
      </c>
      <c r="F204" s="7" t="str">
        <f>VLOOKUP(D204,[1]characters!$A:$J,10,FALSE)</f>
        <v>PremiumS</v>
      </c>
      <c r="G204" s="7">
        <f>VLOOKUP(D204,[1]characters!$A:$I,9,FALSE)</f>
        <v>4</v>
      </c>
      <c r="H204" s="7" t="str">
        <f>VLOOKUP(D204,[1]characters!$A:$H,8,FALSE)</f>
        <v>yellow</v>
      </c>
      <c r="I204" s="7" t="str">
        <f>VLOOKUP(D204,[1]characters!$A:$K,11,FALSE)</f>
        <v>hp</v>
      </c>
      <c r="J204" s="7" t="str">
        <f>VLOOKUP(D204,[1]characters!$A:$M,13,FALSE)</f>
        <v>human</v>
      </c>
      <c r="K204" s="7" t="str">
        <f>VLOOKUP(D204,[1]characters!$A:$G,7,FALSE)</f>
        <v>男性</v>
      </c>
      <c r="L204" s="66">
        <f>IFERROR(VLOOKUP(D204,input_2!L:R,7,FALSE),VLOOKUP(tables_2!B204,input_2!A:H,8,FALSE))</f>
        <v>306423</v>
      </c>
      <c r="M204" s="67">
        <f t="shared" si="9"/>
        <v>5.8986486486486489E-3</v>
      </c>
      <c r="N204" s="31">
        <f>IFERROR(VLOOKUP($D204,bug_conf_sheet!$A:$H,3,FALSE),VLOOKUP("other",bug_conf_sheet!$A:$H,3,FALSE))</f>
        <v>1</v>
      </c>
      <c r="O204" s="31">
        <f>IFERROR(VLOOKUP($D204,bug_conf_sheet!$A:$H,4,FALSE),VLOOKUP("other",bug_conf_sheet!$A:$H,4,FALSE))</f>
        <v>0</v>
      </c>
      <c r="P204" s="31">
        <f>IFERROR(VLOOKUP($D204,bug_conf_sheet!$A:$H,5,FALSE),VLOOKUP("other",bug_conf_sheet!$A:$H,5,FALSE))</f>
        <v>0</v>
      </c>
      <c r="Q204" s="31">
        <f>IFERROR(VLOOKUP($D204,bug_conf_sheet!$A:$H,6,FALSE),VLOOKUP("other",bug_conf_sheet!$A:$H,6,FALSE))</f>
        <v>0</v>
      </c>
      <c r="R204" s="31">
        <f>IFERROR(VLOOKUP($D204,bug_conf_sheet!$A:$H,7,FALSE),VLOOKUP("other",bug_conf_sheet!$A:$H,7,FALSE))</f>
        <v>0</v>
      </c>
      <c r="S204" s="31">
        <f>IFERROR(VLOOKUP($D204,bug_conf_sheet!$A:$H,8,FALSE),VLOOKUP("other",bug_conf_sheet!$A:$H,8,FALSE))</f>
        <v>1</v>
      </c>
    </row>
    <row r="205" spans="1:19" ht="21" customHeight="1">
      <c r="A205" s="2">
        <f>input_2!A$2</f>
        <v>3122</v>
      </c>
      <c r="B205" s="7" t="str">
        <f t="shared" si="10"/>
        <v>Premium5</v>
      </c>
      <c r="C205" s="7" t="str">
        <f t="shared" si="11"/>
        <v>Premium</v>
      </c>
      <c r="D205" s="6">
        <v>483</v>
      </c>
      <c r="E205" s="7" t="str">
        <f>VLOOKUP(D205,[1]characters!$A:$C,3,FALSE)</f>
        <v xml:space="preserve">命経死遂 沢庵宗彭 </v>
      </c>
      <c r="F205" s="7" t="str">
        <f>VLOOKUP(D205,[1]characters!$A:$J,10,FALSE)</f>
        <v>PremiumS</v>
      </c>
      <c r="G205" s="7">
        <f>VLOOKUP(D205,[1]characters!$A:$I,9,FALSE)</f>
        <v>5</v>
      </c>
      <c r="H205" s="7" t="str">
        <f>VLOOKUP(D205,[1]characters!$A:$H,8,FALSE)</f>
        <v>yellow</v>
      </c>
      <c r="I205" s="7" t="str">
        <f>VLOOKUP(D205,[1]characters!$A:$K,11,FALSE)</f>
        <v>hp</v>
      </c>
      <c r="J205" s="7" t="str">
        <f>VLOOKUP(D205,[1]characters!$A:$M,13,FALSE)</f>
        <v>human</v>
      </c>
      <c r="K205" s="7" t="str">
        <f>VLOOKUP(D205,[1]characters!$A:$G,7,FALSE)</f>
        <v>男性</v>
      </c>
      <c r="L205" s="66">
        <f>IFERROR(VLOOKUP(D205,input_2!L:R,7,FALSE),VLOOKUP(tables_2!B205,input_2!A:H,8,FALSE))</f>
        <v>46657</v>
      </c>
      <c r="M205" s="67">
        <f t="shared" si="9"/>
        <v>8.9814814814814813E-4</v>
      </c>
      <c r="N205" s="31">
        <f>IFERROR(VLOOKUP($D205,bug_conf_sheet!$A:$H,3,FALSE),VLOOKUP("other",bug_conf_sheet!$A:$H,3,FALSE))</f>
        <v>1</v>
      </c>
      <c r="O205" s="31">
        <f>IFERROR(VLOOKUP($D205,bug_conf_sheet!$A:$H,4,FALSE),VLOOKUP("other",bug_conf_sheet!$A:$H,4,FALSE))</f>
        <v>0</v>
      </c>
      <c r="P205" s="31">
        <f>IFERROR(VLOOKUP($D205,bug_conf_sheet!$A:$H,5,FALSE),VLOOKUP("other",bug_conf_sheet!$A:$H,5,FALSE))</f>
        <v>0</v>
      </c>
      <c r="Q205" s="31">
        <f>IFERROR(VLOOKUP($D205,bug_conf_sheet!$A:$H,6,FALSE),VLOOKUP("other",bug_conf_sheet!$A:$H,6,FALSE))</f>
        <v>0</v>
      </c>
      <c r="R205" s="31">
        <f>IFERROR(VLOOKUP($D205,bug_conf_sheet!$A:$H,7,FALSE),VLOOKUP("other",bug_conf_sheet!$A:$H,7,FALSE))</f>
        <v>0</v>
      </c>
      <c r="S205" s="31">
        <f>IFERROR(VLOOKUP($D205,bug_conf_sheet!$A:$H,8,FALSE),VLOOKUP("other",bug_conf_sheet!$A:$H,8,FALSE))</f>
        <v>1</v>
      </c>
    </row>
    <row r="206" spans="1:19" ht="21" customHeight="1">
      <c r="A206" s="2">
        <f>input_2!A$2</f>
        <v>3122</v>
      </c>
      <c r="B206" s="7" t="str">
        <f t="shared" si="10"/>
        <v>PremiumSS4</v>
      </c>
      <c r="C206" s="7" t="str">
        <f t="shared" si="11"/>
        <v>PremiumSS</v>
      </c>
      <c r="D206" s="6">
        <v>492</v>
      </c>
      <c r="E206" s="7" t="str">
        <f>VLOOKUP(D206,[1]characters!$A:$C,3,FALSE)</f>
        <v>ブートレグ・ペロー</v>
      </c>
      <c r="F206" s="7" t="str">
        <f>VLOOKUP(D206,[1]characters!$A:$J,10,FALSE)</f>
        <v>PremiumSS</v>
      </c>
      <c r="G206" s="7">
        <f>VLOOKUP(D206,[1]characters!$A:$I,9,FALSE)</f>
        <v>4</v>
      </c>
      <c r="H206" s="7" t="str">
        <f>VLOOKUP(D206,[1]characters!$A:$H,8,FALSE)</f>
        <v>red</v>
      </c>
      <c r="I206" s="7" t="str">
        <f>VLOOKUP(D206,[1]characters!$A:$K,11,FALSE)</f>
        <v>hp</v>
      </c>
      <c r="J206" s="7" t="str">
        <f>VLOOKUP(D206,[1]characters!$A:$M,13,FALSE)</f>
        <v>animal</v>
      </c>
      <c r="K206" s="7" t="str">
        <f>VLOOKUP(D206,[1]characters!$A:$G,7,FALSE)</f>
        <v>不明</v>
      </c>
      <c r="L206" s="66">
        <f>IFERROR(VLOOKUP(D206,input_2!L:R,7,FALSE),VLOOKUP(tables_2!B206,input_2!A:H,8,FALSE))</f>
        <v>26973</v>
      </c>
      <c r="M206" s="67">
        <f t="shared" si="9"/>
        <v>5.1923076923076922E-4</v>
      </c>
      <c r="N206" s="31">
        <f>IFERROR(VLOOKUP($D206,bug_conf_sheet!$A:$H,3,FALSE),VLOOKUP("other",bug_conf_sheet!$A:$H,3,FALSE))</f>
        <v>1</v>
      </c>
      <c r="O206" s="31">
        <f>IFERROR(VLOOKUP($D206,bug_conf_sheet!$A:$H,4,FALSE),VLOOKUP("other",bug_conf_sheet!$A:$H,4,FALSE))</f>
        <v>0</v>
      </c>
      <c r="P206" s="31">
        <f>IFERROR(VLOOKUP($D206,bug_conf_sheet!$A:$H,5,FALSE),VLOOKUP("other",bug_conf_sheet!$A:$H,5,FALSE))</f>
        <v>0</v>
      </c>
      <c r="Q206" s="31">
        <f>IFERROR(VLOOKUP($D206,bug_conf_sheet!$A:$H,6,FALSE),VLOOKUP("other",bug_conf_sheet!$A:$H,6,FALSE))</f>
        <v>0</v>
      </c>
      <c r="R206" s="31">
        <f>IFERROR(VLOOKUP($D206,bug_conf_sheet!$A:$H,7,FALSE),VLOOKUP("other",bug_conf_sheet!$A:$H,7,FALSE))</f>
        <v>0</v>
      </c>
      <c r="S206" s="31">
        <f>IFERROR(VLOOKUP($D206,bug_conf_sheet!$A:$H,8,FALSE),VLOOKUP("other",bug_conf_sheet!$A:$H,8,FALSE))</f>
        <v>1</v>
      </c>
    </row>
    <row r="207" spans="1:19" ht="21" customHeight="1">
      <c r="A207" s="2">
        <f>input_2!A$2</f>
        <v>3122</v>
      </c>
      <c r="B207" s="7" t="str">
        <f t="shared" si="10"/>
        <v>PremiumSS5</v>
      </c>
      <c r="C207" s="7" t="str">
        <f t="shared" si="11"/>
        <v>PremiumSS</v>
      </c>
      <c r="D207" s="6">
        <v>493</v>
      </c>
      <c r="E207" s="7" t="str">
        <f>VLOOKUP(D207,[1]characters!$A:$C,3,FALSE)</f>
        <v>跋扈の機脚 ブートレグ・ペロー</v>
      </c>
      <c r="F207" s="7" t="str">
        <f>VLOOKUP(D207,[1]characters!$A:$J,10,FALSE)</f>
        <v>PremiumSS</v>
      </c>
      <c r="G207" s="7">
        <f>VLOOKUP(D207,[1]characters!$A:$I,9,FALSE)</f>
        <v>5</v>
      </c>
      <c r="H207" s="7" t="str">
        <f>VLOOKUP(D207,[1]characters!$A:$H,8,FALSE)</f>
        <v>red</v>
      </c>
      <c r="I207" s="7" t="str">
        <f>VLOOKUP(D207,[1]characters!$A:$K,11,FALSE)</f>
        <v>hp</v>
      </c>
      <c r="J207" s="7" t="str">
        <f>VLOOKUP(D207,[1]characters!$A:$M,13,FALSE)</f>
        <v>animal</v>
      </c>
      <c r="K207" s="7" t="str">
        <f>VLOOKUP(D207,[1]characters!$A:$G,7,FALSE)</f>
        <v>不明</v>
      </c>
      <c r="L207" s="66">
        <f>IFERROR(VLOOKUP(D207,input_2!L:R,7,FALSE),VLOOKUP(tables_2!B207,input_2!A:H,8,FALSE))</f>
        <v>2997</v>
      </c>
      <c r="M207" s="67">
        <f t="shared" si="9"/>
        <v>5.7692307692307691E-5</v>
      </c>
      <c r="N207" s="31">
        <f>IFERROR(VLOOKUP($D207,bug_conf_sheet!$A:$H,3,FALSE),VLOOKUP("other",bug_conf_sheet!$A:$H,3,FALSE))</f>
        <v>1</v>
      </c>
      <c r="O207" s="31">
        <f>IFERROR(VLOOKUP($D207,bug_conf_sheet!$A:$H,4,FALSE),VLOOKUP("other",bug_conf_sheet!$A:$H,4,FALSE))</f>
        <v>0</v>
      </c>
      <c r="P207" s="31">
        <f>IFERROR(VLOOKUP($D207,bug_conf_sheet!$A:$H,5,FALSE),VLOOKUP("other",bug_conf_sheet!$A:$H,5,FALSE))</f>
        <v>0</v>
      </c>
      <c r="Q207" s="31">
        <f>IFERROR(VLOOKUP($D207,bug_conf_sheet!$A:$H,6,FALSE),VLOOKUP("other",bug_conf_sheet!$A:$H,6,FALSE))</f>
        <v>0</v>
      </c>
      <c r="R207" s="31">
        <f>IFERROR(VLOOKUP($D207,bug_conf_sheet!$A:$H,7,FALSE),VLOOKUP("other",bug_conf_sheet!$A:$H,7,FALSE))</f>
        <v>0</v>
      </c>
      <c r="S207" s="31">
        <f>IFERROR(VLOOKUP($D207,bug_conf_sheet!$A:$H,8,FALSE),VLOOKUP("other",bug_conf_sheet!$A:$H,8,FALSE))</f>
        <v>1</v>
      </c>
    </row>
    <row r="208" spans="1:19" ht="21" customHeight="1">
      <c r="A208" s="2">
        <f>input_2!A$2</f>
        <v>3122</v>
      </c>
      <c r="B208" s="7" t="str">
        <f t="shared" si="10"/>
        <v>PremiumSS4</v>
      </c>
      <c r="C208" s="7" t="str">
        <f t="shared" si="11"/>
        <v>PremiumSS</v>
      </c>
      <c r="D208" s="6">
        <v>494</v>
      </c>
      <c r="E208" s="7" t="str">
        <f>VLOOKUP(D208,[1]characters!$A:$C,3,FALSE)</f>
        <v>ハーメルン</v>
      </c>
      <c r="F208" s="7" t="str">
        <f>VLOOKUP(D208,[1]characters!$A:$J,10,FALSE)</f>
        <v>PremiumSS</v>
      </c>
      <c r="G208" s="7">
        <f>VLOOKUP(D208,[1]characters!$A:$I,9,FALSE)</f>
        <v>4</v>
      </c>
      <c r="H208" s="7" t="str">
        <f>VLOOKUP(D208,[1]characters!$A:$H,8,FALSE)</f>
        <v>green</v>
      </c>
      <c r="I208" s="7" t="str">
        <f>VLOOKUP(D208,[1]characters!$A:$K,11,FALSE)</f>
        <v>technical</v>
      </c>
      <c r="J208" s="7" t="str">
        <f>VLOOKUP(D208,[1]characters!$A:$M,13,FALSE)</f>
        <v>human</v>
      </c>
      <c r="K208" s="7" t="str">
        <f>VLOOKUP(D208,[1]characters!$A:$G,7,FALSE)</f>
        <v>男性</v>
      </c>
      <c r="L208" s="66">
        <f>IFERROR(VLOOKUP(D208,input_2!L:R,7,FALSE),VLOOKUP(tables_2!B208,input_2!A:H,8,FALSE))</f>
        <v>26973</v>
      </c>
      <c r="M208" s="67">
        <f t="shared" si="9"/>
        <v>5.1923076923076922E-4</v>
      </c>
      <c r="N208" s="31">
        <f>IFERROR(VLOOKUP($D208,bug_conf_sheet!$A:$H,3,FALSE),VLOOKUP("other",bug_conf_sheet!$A:$H,3,FALSE))</f>
        <v>1</v>
      </c>
      <c r="O208" s="31">
        <f>IFERROR(VLOOKUP($D208,bug_conf_sheet!$A:$H,4,FALSE),VLOOKUP("other",bug_conf_sheet!$A:$H,4,FALSE))</f>
        <v>0</v>
      </c>
      <c r="P208" s="31">
        <f>IFERROR(VLOOKUP($D208,bug_conf_sheet!$A:$H,5,FALSE),VLOOKUP("other",bug_conf_sheet!$A:$H,5,FALSE))</f>
        <v>0</v>
      </c>
      <c r="Q208" s="31">
        <f>IFERROR(VLOOKUP($D208,bug_conf_sheet!$A:$H,6,FALSE),VLOOKUP("other",bug_conf_sheet!$A:$H,6,FALSE))</f>
        <v>0</v>
      </c>
      <c r="R208" s="31">
        <f>IFERROR(VLOOKUP($D208,bug_conf_sheet!$A:$H,7,FALSE),VLOOKUP("other",bug_conf_sheet!$A:$H,7,FALSE))</f>
        <v>0</v>
      </c>
      <c r="S208" s="31">
        <f>IFERROR(VLOOKUP($D208,bug_conf_sheet!$A:$H,8,FALSE),VLOOKUP("other",bug_conf_sheet!$A:$H,8,FALSE))</f>
        <v>1</v>
      </c>
    </row>
    <row r="209" spans="1:19" ht="21" customHeight="1">
      <c r="A209" s="2">
        <f>input_2!A$2</f>
        <v>3122</v>
      </c>
      <c r="B209" s="7" t="str">
        <f t="shared" si="10"/>
        <v>PremiumSS5</v>
      </c>
      <c r="C209" s="7" t="str">
        <f t="shared" si="11"/>
        <v>PremiumSS</v>
      </c>
      <c r="D209" s="6">
        <v>495</v>
      </c>
      <c r="E209" s="7" t="str">
        <f>VLOOKUP(D209,[1]characters!$A:$C,3,FALSE)</f>
        <v>鼠災呼ぶ笛音 ハーメルン</v>
      </c>
      <c r="F209" s="7" t="str">
        <f>VLOOKUP(D209,[1]characters!$A:$J,10,FALSE)</f>
        <v>PremiumSS</v>
      </c>
      <c r="G209" s="7">
        <f>VLOOKUP(D209,[1]characters!$A:$I,9,FALSE)</f>
        <v>5</v>
      </c>
      <c r="H209" s="7" t="str">
        <f>VLOOKUP(D209,[1]characters!$A:$H,8,FALSE)</f>
        <v>green</v>
      </c>
      <c r="I209" s="7" t="str">
        <f>VLOOKUP(D209,[1]characters!$A:$K,11,FALSE)</f>
        <v>technical</v>
      </c>
      <c r="J209" s="7" t="str">
        <f>VLOOKUP(D209,[1]characters!$A:$M,13,FALSE)</f>
        <v>human</v>
      </c>
      <c r="K209" s="7" t="str">
        <f>VLOOKUP(D209,[1]characters!$A:$G,7,FALSE)</f>
        <v>男性</v>
      </c>
      <c r="L209" s="66">
        <f>IFERROR(VLOOKUP(D209,input_2!L:R,7,FALSE),VLOOKUP(tables_2!B209,input_2!A:H,8,FALSE))</f>
        <v>2997</v>
      </c>
      <c r="M209" s="67">
        <f t="shared" si="9"/>
        <v>5.7692307692307691E-5</v>
      </c>
      <c r="N209" s="31">
        <f>IFERROR(VLOOKUP($D209,bug_conf_sheet!$A:$H,3,FALSE),VLOOKUP("other",bug_conf_sheet!$A:$H,3,FALSE))</f>
        <v>1</v>
      </c>
      <c r="O209" s="31">
        <f>IFERROR(VLOOKUP($D209,bug_conf_sheet!$A:$H,4,FALSE),VLOOKUP("other",bug_conf_sheet!$A:$H,4,FALSE))</f>
        <v>0</v>
      </c>
      <c r="P209" s="31">
        <f>IFERROR(VLOOKUP($D209,bug_conf_sheet!$A:$H,5,FALSE),VLOOKUP("other",bug_conf_sheet!$A:$H,5,FALSE))</f>
        <v>0</v>
      </c>
      <c r="Q209" s="31">
        <f>IFERROR(VLOOKUP($D209,bug_conf_sheet!$A:$H,6,FALSE),VLOOKUP("other",bug_conf_sheet!$A:$H,6,FALSE))</f>
        <v>0</v>
      </c>
      <c r="R209" s="31">
        <f>IFERROR(VLOOKUP($D209,bug_conf_sheet!$A:$H,7,FALSE),VLOOKUP("other",bug_conf_sheet!$A:$H,7,FALSE))</f>
        <v>0</v>
      </c>
      <c r="S209" s="31">
        <f>IFERROR(VLOOKUP($D209,bug_conf_sheet!$A:$H,8,FALSE),VLOOKUP("other",bug_conf_sheet!$A:$H,8,FALSE))</f>
        <v>1</v>
      </c>
    </row>
    <row r="210" spans="1:19" ht="21" customHeight="1">
      <c r="A210" s="2">
        <f>input_2!A$2</f>
        <v>3122</v>
      </c>
      <c r="B210" s="7" t="str">
        <f t="shared" si="10"/>
        <v>Premium3</v>
      </c>
      <c r="C210" s="7" t="str">
        <f t="shared" si="11"/>
        <v>Premium</v>
      </c>
      <c r="D210" s="6">
        <v>496</v>
      </c>
      <c r="E210" s="7" t="str">
        <f>VLOOKUP(D210,[1]characters!$A:$C,3,FALSE)</f>
        <v>エスタブ</v>
      </c>
      <c r="F210" s="7" t="str">
        <f>VLOOKUP(D210,[1]characters!$A:$J,10,FALSE)</f>
        <v>PremiumS</v>
      </c>
      <c r="G210" s="7">
        <f>VLOOKUP(D210,[1]characters!$A:$I,9,FALSE)</f>
        <v>3</v>
      </c>
      <c r="H210" s="7" t="str">
        <f>VLOOKUP(D210,[1]characters!$A:$H,8,FALSE)</f>
        <v>blue</v>
      </c>
      <c r="I210" s="7" t="str">
        <f>VLOOKUP(D210,[1]characters!$A:$K,11,FALSE)</f>
        <v>attack</v>
      </c>
      <c r="J210" s="7" t="str">
        <f>VLOOKUP(D210,[1]characters!$A:$M,13,FALSE)</f>
        <v>human</v>
      </c>
      <c r="K210" s="7" t="str">
        <f>VLOOKUP(D210,[1]characters!$A:$G,7,FALSE)</f>
        <v>男性</v>
      </c>
      <c r="L210" s="66">
        <f>IFERROR(VLOOKUP(D210,input_2!L:R,7,FALSE),VLOOKUP(tables_2!B210,input_2!A:H,8,FALSE))</f>
        <v>351000</v>
      </c>
      <c r="M210" s="67">
        <f t="shared" si="9"/>
        <v>6.7567567567567571E-3</v>
      </c>
      <c r="N210" s="31">
        <f>IFERROR(VLOOKUP($D210,bug_conf_sheet!$A:$H,3,FALSE),VLOOKUP("other",bug_conf_sheet!$A:$H,3,FALSE))</f>
        <v>1</v>
      </c>
      <c r="O210" s="31">
        <f>IFERROR(VLOOKUP($D210,bug_conf_sheet!$A:$H,4,FALSE),VLOOKUP("other",bug_conf_sheet!$A:$H,4,FALSE))</f>
        <v>0</v>
      </c>
      <c r="P210" s="31">
        <f>IFERROR(VLOOKUP($D210,bug_conf_sheet!$A:$H,5,FALSE),VLOOKUP("other",bug_conf_sheet!$A:$H,5,FALSE))</f>
        <v>0</v>
      </c>
      <c r="Q210" s="31">
        <f>IFERROR(VLOOKUP($D210,bug_conf_sheet!$A:$H,6,FALSE),VLOOKUP("other",bug_conf_sheet!$A:$H,6,FALSE))</f>
        <v>0</v>
      </c>
      <c r="R210" s="31">
        <f>IFERROR(VLOOKUP($D210,bug_conf_sheet!$A:$H,7,FALSE),VLOOKUP("other",bug_conf_sheet!$A:$H,7,FALSE))</f>
        <v>0</v>
      </c>
      <c r="S210" s="31">
        <f>IFERROR(VLOOKUP($D210,bug_conf_sheet!$A:$H,8,FALSE),VLOOKUP("other",bug_conf_sheet!$A:$H,8,FALSE))</f>
        <v>1</v>
      </c>
    </row>
    <row r="211" spans="1:19" ht="21" customHeight="1">
      <c r="A211" s="2">
        <f>input_2!A$2</f>
        <v>3122</v>
      </c>
      <c r="B211" s="7" t="str">
        <f t="shared" si="10"/>
        <v>Premium4</v>
      </c>
      <c r="C211" s="7" t="str">
        <f t="shared" si="11"/>
        <v>Premium</v>
      </c>
      <c r="D211" s="6">
        <v>497</v>
      </c>
      <c r="E211" s="7" t="str">
        <f>VLOOKUP(D211,[1]characters!$A:$C,3,FALSE)</f>
        <v>偏愛の野獣 エスタブ</v>
      </c>
      <c r="F211" s="7" t="str">
        <f>VLOOKUP(D211,[1]characters!$A:$J,10,FALSE)</f>
        <v>PremiumS</v>
      </c>
      <c r="G211" s="7">
        <f>VLOOKUP(D211,[1]characters!$A:$I,9,FALSE)</f>
        <v>4</v>
      </c>
      <c r="H211" s="7" t="str">
        <f>VLOOKUP(D211,[1]characters!$A:$H,8,FALSE)</f>
        <v>blue</v>
      </c>
      <c r="I211" s="7" t="str">
        <f>VLOOKUP(D211,[1]characters!$A:$K,11,FALSE)</f>
        <v>attack</v>
      </c>
      <c r="J211" s="7" t="str">
        <f>VLOOKUP(D211,[1]characters!$A:$M,13,FALSE)</f>
        <v>human</v>
      </c>
      <c r="K211" s="7" t="str">
        <f>VLOOKUP(D211,[1]characters!$A:$G,7,FALSE)</f>
        <v>男性</v>
      </c>
      <c r="L211" s="66">
        <f>IFERROR(VLOOKUP(D211,input_2!L:R,7,FALSE),VLOOKUP(tables_2!B211,input_2!A:H,8,FALSE))</f>
        <v>306423</v>
      </c>
      <c r="M211" s="67">
        <f t="shared" si="9"/>
        <v>5.8986486486486489E-3</v>
      </c>
      <c r="N211" s="31">
        <f>IFERROR(VLOOKUP($D211,bug_conf_sheet!$A:$H,3,FALSE),VLOOKUP("other",bug_conf_sheet!$A:$H,3,FALSE))</f>
        <v>1</v>
      </c>
      <c r="O211" s="31">
        <f>IFERROR(VLOOKUP($D211,bug_conf_sheet!$A:$H,4,FALSE),VLOOKUP("other",bug_conf_sheet!$A:$H,4,FALSE))</f>
        <v>0</v>
      </c>
      <c r="P211" s="31">
        <f>IFERROR(VLOOKUP($D211,bug_conf_sheet!$A:$H,5,FALSE),VLOOKUP("other",bug_conf_sheet!$A:$H,5,FALSE))</f>
        <v>0</v>
      </c>
      <c r="Q211" s="31">
        <f>IFERROR(VLOOKUP($D211,bug_conf_sheet!$A:$H,6,FALSE),VLOOKUP("other",bug_conf_sheet!$A:$H,6,FALSE))</f>
        <v>0</v>
      </c>
      <c r="R211" s="31">
        <f>IFERROR(VLOOKUP($D211,bug_conf_sheet!$A:$H,7,FALSE),VLOOKUP("other",bug_conf_sheet!$A:$H,7,FALSE))</f>
        <v>0</v>
      </c>
      <c r="S211" s="31">
        <f>IFERROR(VLOOKUP($D211,bug_conf_sheet!$A:$H,8,FALSE),VLOOKUP("other",bug_conf_sheet!$A:$H,8,FALSE))</f>
        <v>1</v>
      </c>
    </row>
    <row r="212" spans="1:19" ht="21" customHeight="1">
      <c r="A212" s="2">
        <f>input_2!A$2</f>
        <v>3122</v>
      </c>
      <c r="B212" s="7" t="str">
        <f t="shared" si="10"/>
        <v>Premium5</v>
      </c>
      <c r="C212" s="7" t="str">
        <f t="shared" si="11"/>
        <v>Premium</v>
      </c>
      <c r="D212" s="6">
        <v>498</v>
      </c>
      <c r="E212" s="7" t="str">
        <f>VLOOKUP(D212,[1]characters!$A:$C,3,FALSE)</f>
        <v>自愛の高魔 エスタブ</v>
      </c>
      <c r="F212" s="7" t="str">
        <f>VLOOKUP(D212,[1]characters!$A:$J,10,FALSE)</f>
        <v>PremiumS</v>
      </c>
      <c r="G212" s="7">
        <f>VLOOKUP(D212,[1]characters!$A:$I,9,FALSE)</f>
        <v>5</v>
      </c>
      <c r="H212" s="7" t="str">
        <f>VLOOKUP(D212,[1]characters!$A:$H,8,FALSE)</f>
        <v>blue</v>
      </c>
      <c r="I212" s="7" t="str">
        <f>VLOOKUP(D212,[1]characters!$A:$K,11,FALSE)</f>
        <v>attack</v>
      </c>
      <c r="J212" s="7" t="str">
        <f>VLOOKUP(D212,[1]characters!$A:$M,13,FALSE)</f>
        <v>human</v>
      </c>
      <c r="K212" s="7" t="str">
        <f>VLOOKUP(D212,[1]characters!$A:$G,7,FALSE)</f>
        <v>男性</v>
      </c>
      <c r="L212" s="66">
        <f>IFERROR(VLOOKUP(D212,input_2!L:R,7,FALSE),VLOOKUP(tables_2!B212,input_2!A:H,8,FALSE))</f>
        <v>46657</v>
      </c>
      <c r="M212" s="67">
        <f t="shared" si="9"/>
        <v>8.9814814814814813E-4</v>
      </c>
      <c r="N212" s="31">
        <f>IFERROR(VLOOKUP($D212,bug_conf_sheet!$A:$H,3,FALSE),VLOOKUP("other",bug_conf_sheet!$A:$H,3,FALSE))</f>
        <v>1</v>
      </c>
      <c r="O212" s="31">
        <f>IFERROR(VLOOKUP($D212,bug_conf_sheet!$A:$H,4,FALSE),VLOOKUP("other",bug_conf_sheet!$A:$H,4,FALSE))</f>
        <v>0</v>
      </c>
      <c r="P212" s="31">
        <f>IFERROR(VLOOKUP($D212,bug_conf_sheet!$A:$H,5,FALSE),VLOOKUP("other",bug_conf_sheet!$A:$H,5,FALSE))</f>
        <v>0</v>
      </c>
      <c r="Q212" s="31">
        <f>IFERROR(VLOOKUP($D212,bug_conf_sheet!$A:$H,6,FALSE),VLOOKUP("other",bug_conf_sheet!$A:$H,6,FALSE))</f>
        <v>0</v>
      </c>
      <c r="R212" s="31">
        <f>IFERROR(VLOOKUP($D212,bug_conf_sheet!$A:$H,7,FALSE),VLOOKUP("other",bug_conf_sheet!$A:$H,7,FALSE))</f>
        <v>0</v>
      </c>
      <c r="S212" s="31">
        <f>IFERROR(VLOOKUP($D212,bug_conf_sheet!$A:$H,8,FALSE),VLOOKUP("other",bug_conf_sheet!$A:$H,8,FALSE))</f>
        <v>1</v>
      </c>
    </row>
    <row r="213" spans="1:19" ht="21" customHeight="1">
      <c r="A213" s="2">
        <f>input_2!A$2</f>
        <v>3122</v>
      </c>
      <c r="B213" s="7" t="str">
        <f t="shared" si="10"/>
        <v>PremiumSS4</v>
      </c>
      <c r="C213" s="7" t="str">
        <f t="shared" si="11"/>
        <v>PremiumSS</v>
      </c>
      <c r="D213" s="6">
        <v>499</v>
      </c>
      <c r="E213" s="7" t="str">
        <f>VLOOKUP(D213,[1]characters!$A:$C,3,FALSE)</f>
        <v>ラプンツェル</v>
      </c>
      <c r="F213" s="7" t="str">
        <f>VLOOKUP(D213,[1]characters!$A:$J,10,FALSE)</f>
        <v>PremiumSS</v>
      </c>
      <c r="G213" s="7">
        <f>VLOOKUP(D213,[1]characters!$A:$I,9,FALSE)</f>
        <v>4</v>
      </c>
      <c r="H213" s="7" t="str">
        <f>VLOOKUP(D213,[1]characters!$A:$H,8,FALSE)</f>
        <v>yellow</v>
      </c>
      <c r="I213" s="7" t="str">
        <f>VLOOKUP(D213,[1]characters!$A:$K,11,FALSE)</f>
        <v>balance</v>
      </c>
      <c r="J213" s="7" t="str">
        <f>VLOOKUP(D213,[1]characters!$A:$M,13,FALSE)</f>
        <v>human</v>
      </c>
      <c r="K213" s="7" t="str">
        <f>VLOOKUP(D213,[1]characters!$A:$G,7,FALSE)</f>
        <v>女性</v>
      </c>
      <c r="L213" s="66">
        <f>IFERROR(VLOOKUP(D213,input_2!L:R,7,FALSE),VLOOKUP(tables_2!B213,input_2!A:H,8,FALSE))</f>
        <v>26973</v>
      </c>
      <c r="M213" s="67">
        <f t="shared" si="9"/>
        <v>5.1923076923076922E-4</v>
      </c>
      <c r="N213" s="31">
        <f>IFERROR(VLOOKUP($D213,bug_conf_sheet!$A:$H,3,FALSE),VLOOKUP("other",bug_conf_sheet!$A:$H,3,FALSE))</f>
        <v>1</v>
      </c>
      <c r="O213" s="31">
        <f>IFERROR(VLOOKUP($D213,bug_conf_sheet!$A:$H,4,FALSE),VLOOKUP("other",bug_conf_sheet!$A:$H,4,FALSE))</f>
        <v>0</v>
      </c>
      <c r="P213" s="31">
        <f>IFERROR(VLOOKUP($D213,bug_conf_sheet!$A:$H,5,FALSE),VLOOKUP("other",bug_conf_sheet!$A:$H,5,FALSE))</f>
        <v>0</v>
      </c>
      <c r="Q213" s="31">
        <f>IFERROR(VLOOKUP($D213,bug_conf_sheet!$A:$H,6,FALSE),VLOOKUP("other",bug_conf_sheet!$A:$H,6,FALSE))</f>
        <v>0</v>
      </c>
      <c r="R213" s="31">
        <f>IFERROR(VLOOKUP($D213,bug_conf_sheet!$A:$H,7,FALSE),VLOOKUP("other",bug_conf_sheet!$A:$H,7,FALSE))</f>
        <v>0</v>
      </c>
      <c r="S213" s="31">
        <f>IFERROR(VLOOKUP($D213,bug_conf_sheet!$A:$H,8,FALSE),VLOOKUP("other",bug_conf_sheet!$A:$H,8,FALSE))</f>
        <v>1</v>
      </c>
    </row>
    <row r="214" spans="1:19" ht="21" customHeight="1">
      <c r="A214" s="2">
        <f>input_2!A$2</f>
        <v>3122</v>
      </c>
      <c r="B214" s="7" t="str">
        <f t="shared" si="10"/>
        <v>PremiumSS5</v>
      </c>
      <c r="C214" s="7" t="str">
        <f t="shared" si="11"/>
        <v>PremiumSS</v>
      </c>
      <c r="D214" s="6">
        <v>500</v>
      </c>
      <c r="E214" s="7" t="str">
        <f>VLOOKUP(D214,[1]characters!$A:$C,3,FALSE)</f>
        <v>脈動の禁髪 ラプンツェル</v>
      </c>
      <c r="F214" s="7" t="str">
        <f>VLOOKUP(D214,[1]characters!$A:$J,10,FALSE)</f>
        <v>PremiumSS</v>
      </c>
      <c r="G214" s="7">
        <f>VLOOKUP(D214,[1]characters!$A:$I,9,FALSE)</f>
        <v>5</v>
      </c>
      <c r="H214" s="7" t="str">
        <f>VLOOKUP(D214,[1]characters!$A:$H,8,FALSE)</f>
        <v>yellow</v>
      </c>
      <c r="I214" s="7" t="str">
        <f>VLOOKUP(D214,[1]characters!$A:$K,11,FALSE)</f>
        <v>balance</v>
      </c>
      <c r="J214" s="7" t="str">
        <f>VLOOKUP(D214,[1]characters!$A:$M,13,FALSE)</f>
        <v>human</v>
      </c>
      <c r="K214" s="7" t="str">
        <f>VLOOKUP(D214,[1]characters!$A:$G,7,FALSE)</f>
        <v>女性</v>
      </c>
      <c r="L214" s="66">
        <f>IFERROR(VLOOKUP(D214,input_2!L:R,7,FALSE),VLOOKUP(tables_2!B214,input_2!A:H,8,FALSE))</f>
        <v>2997</v>
      </c>
      <c r="M214" s="67">
        <f t="shared" si="9"/>
        <v>5.7692307692307691E-5</v>
      </c>
      <c r="N214" s="31">
        <f>IFERROR(VLOOKUP($D214,bug_conf_sheet!$A:$H,3,FALSE),VLOOKUP("other",bug_conf_sheet!$A:$H,3,FALSE))</f>
        <v>1</v>
      </c>
      <c r="O214" s="31">
        <f>IFERROR(VLOOKUP($D214,bug_conf_sheet!$A:$H,4,FALSE),VLOOKUP("other",bug_conf_sheet!$A:$H,4,FALSE))</f>
        <v>0</v>
      </c>
      <c r="P214" s="31">
        <f>IFERROR(VLOOKUP($D214,bug_conf_sheet!$A:$H,5,FALSE),VLOOKUP("other",bug_conf_sheet!$A:$H,5,FALSE))</f>
        <v>0</v>
      </c>
      <c r="Q214" s="31">
        <f>IFERROR(VLOOKUP($D214,bug_conf_sheet!$A:$H,6,FALSE),VLOOKUP("other",bug_conf_sheet!$A:$H,6,FALSE))</f>
        <v>0</v>
      </c>
      <c r="R214" s="31">
        <f>IFERROR(VLOOKUP($D214,bug_conf_sheet!$A:$H,7,FALSE),VLOOKUP("other",bug_conf_sheet!$A:$H,7,FALSE))</f>
        <v>0</v>
      </c>
      <c r="S214" s="31">
        <f>IFERROR(VLOOKUP($D214,bug_conf_sheet!$A:$H,8,FALSE),VLOOKUP("other",bug_conf_sheet!$A:$H,8,FALSE))</f>
        <v>1</v>
      </c>
    </row>
    <row r="215" spans="1:19" ht="21" customHeight="1">
      <c r="A215" s="2">
        <f>input_2!A$2</f>
        <v>3122</v>
      </c>
      <c r="B215" s="7" t="str">
        <f t="shared" si="10"/>
        <v>PremiumSS4</v>
      </c>
      <c r="C215" s="7" t="str">
        <f t="shared" si="11"/>
        <v>PremiumSS</v>
      </c>
      <c r="D215" s="6">
        <v>586</v>
      </c>
      <c r="E215" s="7" t="str">
        <f>VLOOKUP(D215,[1]characters!$A:$C,3,FALSE)</f>
        <v>ユミル</v>
      </c>
      <c r="F215" s="7" t="str">
        <f>VLOOKUP(D215,[1]characters!$A:$J,10,FALSE)</f>
        <v>PremiumSS</v>
      </c>
      <c r="G215" s="7">
        <f>VLOOKUP(D215,[1]characters!$A:$I,9,FALSE)</f>
        <v>4</v>
      </c>
      <c r="H215" s="7" t="str">
        <f>VLOOKUP(D215,[1]characters!$A:$H,8,FALSE)</f>
        <v>red</v>
      </c>
      <c r="I215" s="7" t="str">
        <f>VLOOKUP(D215,[1]characters!$A:$K,11,FALSE)</f>
        <v>hp</v>
      </c>
      <c r="J215" s="7" t="str">
        <f>VLOOKUP(D215,[1]characters!$A:$M,13,FALSE)</f>
        <v>machine</v>
      </c>
      <c r="K215" s="7" t="str">
        <f>VLOOKUP(D215,[1]characters!$A:$G,7,FALSE)</f>
        <v>不明</v>
      </c>
      <c r="L215" s="66">
        <f>IFERROR(VLOOKUP(D215,input_2!L:R,7,FALSE),VLOOKUP(tables_2!B215,input_2!A:H,8,FALSE))</f>
        <v>26973</v>
      </c>
      <c r="M215" s="67">
        <f t="shared" si="9"/>
        <v>5.1923076923076922E-4</v>
      </c>
      <c r="N215" s="31">
        <f>IFERROR(VLOOKUP($D215,bug_conf_sheet!$A:$H,3,FALSE),VLOOKUP("other",bug_conf_sheet!$A:$H,3,FALSE))</f>
        <v>1</v>
      </c>
      <c r="O215" s="31">
        <f>IFERROR(VLOOKUP($D215,bug_conf_sheet!$A:$H,4,FALSE),VLOOKUP("other",bug_conf_sheet!$A:$H,4,FALSE))</f>
        <v>0</v>
      </c>
      <c r="P215" s="31">
        <f>IFERROR(VLOOKUP($D215,bug_conf_sheet!$A:$H,5,FALSE),VLOOKUP("other",bug_conf_sheet!$A:$H,5,FALSE))</f>
        <v>0</v>
      </c>
      <c r="Q215" s="31">
        <f>IFERROR(VLOOKUP($D215,bug_conf_sheet!$A:$H,6,FALSE),VLOOKUP("other",bug_conf_sheet!$A:$H,6,FALSE))</f>
        <v>0</v>
      </c>
      <c r="R215" s="31">
        <f>IFERROR(VLOOKUP($D215,bug_conf_sheet!$A:$H,7,FALSE),VLOOKUP("other",bug_conf_sheet!$A:$H,7,FALSE))</f>
        <v>0</v>
      </c>
      <c r="S215" s="31">
        <f>IFERROR(VLOOKUP($D215,bug_conf_sheet!$A:$H,8,FALSE),VLOOKUP("other",bug_conf_sheet!$A:$H,8,FALSE))</f>
        <v>1</v>
      </c>
    </row>
    <row r="216" spans="1:19" ht="21" customHeight="1">
      <c r="A216" s="2">
        <f>input_2!A$2</f>
        <v>3122</v>
      </c>
      <c r="B216" s="7" t="str">
        <f t="shared" si="10"/>
        <v>PremiumSS5</v>
      </c>
      <c r="C216" s="7" t="str">
        <f t="shared" si="11"/>
        <v>PremiumSS</v>
      </c>
      <c r="D216" s="6">
        <v>587</v>
      </c>
      <c r="E216" s="7" t="str">
        <f>VLOOKUP(D216,[1]characters!$A:$C,3,FALSE)</f>
        <v>原初の煉鋼巨刃 ユミル</v>
      </c>
      <c r="F216" s="7" t="str">
        <f>VLOOKUP(D216,[1]characters!$A:$J,10,FALSE)</f>
        <v>PremiumSS</v>
      </c>
      <c r="G216" s="7">
        <f>VLOOKUP(D216,[1]characters!$A:$I,9,FALSE)</f>
        <v>5</v>
      </c>
      <c r="H216" s="7" t="str">
        <f>VLOOKUP(D216,[1]characters!$A:$H,8,FALSE)</f>
        <v>red</v>
      </c>
      <c r="I216" s="7" t="str">
        <f>VLOOKUP(D216,[1]characters!$A:$K,11,FALSE)</f>
        <v>hp</v>
      </c>
      <c r="J216" s="7" t="str">
        <f>VLOOKUP(D216,[1]characters!$A:$M,13,FALSE)</f>
        <v>machine</v>
      </c>
      <c r="K216" s="7" t="str">
        <f>VLOOKUP(D216,[1]characters!$A:$G,7,FALSE)</f>
        <v>不明</v>
      </c>
      <c r="L216" s="66">
        <f>IFERROR(VLOOKUP(D216,input_2!L:R,7,FALSE),VLOOKUP(tables_2!B216,input_2!A:H,8,FALSE))</f>
        <v>2997</v>
      </c>
      <c r="M216" s="67">
        <f t="shared" si="9"/>
        <v>5.7692307692307691E-5</v>
      </c>
      <c r="N216" s="31">
        <f>IFERROR(VLOOKUP($D216,bug_conf_sheet!$A:$H,3,FALSE),VLOOKUP("other",bug_conf_sheet!$A:$H,3,FALSE))</f>
        <v>1</v>
      </c>
      <c r="O216" s="31">
        <f>IFERROR(VLOOKUP($D216,bug_conf_sheet!$A:$H,4,FALSE),VLOOKUP("other",bug_conf_sheet!$A:$H,4,FALSE))</f>
        <v>0</v>
      </c>
      <c r="P216" s="31">
        <f>IFERROR(VLOOKUP($D216,bug_conf_sheet!$A:$H,5,FALSE),VLOOKUP("other",bug_conf_sheet!$A:$H,5,FALSE))</f>
        <v>0</v>
      </c>
      <c r="Q216" s="31">
        <f>IFERROR(VLOOKUP($D216,bug_conf_sheet!$A:$H,6,FALSE),VLOOKUP("other",bug_conf_sheet!$A:$H,6,FALSE))</f>
        <v>0</v>
      </c>
      <c r="R216" s="31">
        <f>IFERROR(VLOOKUP($D216,bug_conf_sheet!$A:$H,7,FALSE),VLOOKUP("other",bug_conf_sheet!$A:$H,7,FALSE))</f>
        <v>0</v>
      </c>
      <c r="S216" s="31">
        <f>IFERROR(VLOOKUP($D216,bug_conf_sheet!$A:$H,8,FALSE),VLOOKUP("other",bug_conf_sheet!$A:$H,8,FALSE))</f>
        <v>1</v>
      </c>
    </row>
    <row r="217" spans="1:19" ht="21" customHeight="1">
      <c r="A217" s="2">
        <f>input_2!A$2</f>
        <v>3122</v>
      </c>
      <c r="B217" s="7" t="str">
        <f t="shared" si="10"/>
        <v>Premium3</v>
      </c>
      <c r="C217" s="7" t="str">
        <f t="shared" si="11"/>
        <v>Premium</v>
      </c>
      <c r="D217" s="6">
        <v>588</v>
      </c>
      <c r="E217" s="7" t="str">
        <f>VLOOKUP(D217,[1]characters!$A:$C,3,FALSE)</f>
        <v>ニーベルゲン</v>
      </c>
      <c r="F217" s="7" t="str">
        <f>VLOOKUP(D217,[1]characters!$A:$J,10,FALSE)</f>
        <v>PremiumS</v>
      </c>
      <c r="G217" s="7">
        <f>VLOOKUP(D217,[1]characters!$A:$I,9,FALSE)</f>
        <v>3</v>
      </c>
      <c r="H217" s="7" t="str">
        <f>VLOOKUP(D217,[1]characters!$A:$H,8,FALSE)</f>
        <v>green</v>
      </c>
      <c r="I217" s="7" t="str">
        <f>VLOOKUP(D217,[1]characters!$A:$K,11,FALSE)</f>
        <v>balance</v>
      </c>
      <c r="J217" s="7" t="str">
        <f>VLOOKUP(D217,[1]characters!$A:$M,13,FALSE)</f>
        <v>unknown</v>
      </c>
      <c r="K217" s="7" t="str">
        <f>VLOOKUP(D217,[1]characters!$A:$G,7,FALSE)</f>
        <v>女性</v>
      </c>
      <c r="L217" s="66">
        <f>IFERROR(VLOOKUP(D217,input_2!L:R,7,FALSE),VLOOKUP(tables_2!B217,input_2!A:H,8,FALSE))</f>
        <v>351000</v>
      </c>
      <c r="M217" s="67">
        <f t="shared" si="9"/>
        <v>6.7567567567567571E-3</v>
      </c>
      <c r="N217" s="31">
        <f>IFERROR(VLOOKUP($D217,bug_conf_sheet!$A:$H,3,FALSE),VLOOKUP("other",bug_conf_sheet!$A:$H,3,FALSE))</f>
        <v>1</v>
      </c>
      <c r="O217" s="31">
        <f>IFERROR(VLOOKUP($D217,bug_conf_sheet!$A:$H,4,FALSE),VLOOKUP("other",bug_conf_sheet!$A:$H,4,FALSE))</f>
        <v>0</v>
      </c>
      <c r="P217" s="31">
        <f>IFERROR(VLOOKUP($D217,bug_conf_sheet!$A:$H,5,FALSE),VLOOKUP("other",bug_conf_sheet!$A:$H,5,FALSE))</f>
        <v>0</v>
      </c>
      <c r="Q217" s="31">
        <f>IFERROR(VLOOKUP($D217,bug_conf_sheet!$A:$H,6,FALSE),VLOOKUP("other",bug_conf_sheet!$A:$H,6,FALSE))</f>
        <v>0</v>
      </c>
      <c r="R217" s="31">
        <f>IFERROR(VLOOKUP($D217,bug_conf_sheet!$A:$H,7,FALSE),VLOOKUP("other",bug_conf_sheet!$A:$H,7,FALSE))</f>
        <v>0</v>
      </c>
      <c r="S217" s="31">
        <f>IFERROR(VLOOKUP($D217,bug_conf_sheet!$A:$H,8,FALSE),VLOOKUP("other",bug_conf_sheet!$A:$H,8,FALSE))</f>
        <v>1</v>
      </c>
    </row>
    <row r="218" spans="1:19" ht="21" customHeight="1">
      <c r="A218" s="2">
        <f>input_2!A$2</f>
        <v>3122</v>
      </c>
      <c r="B218" s="7" t="str">
        <f t="shared" si="10"/>
        <v>Premium4</v>
      </c>
      <c r="C218" s="7" t="str">
        <f t="shared" si="11"/>
        <v>Premium</v>
      </c>
      <c r="D218" s="6">
        <v>589</v>
      </c>
      <c r="E218" s="7" t="str">
        <f>VLOOKUP(D218,[1]characters!$A:$C,3,FALSE)</f>
        <v>不幸の円環 ニーベルゲン</v>
      </c>
      <c r="F218" s="7" t="str">
        <f>VLOOKUP(D218,[1]characters!$A:$J,10,FALSE)</f>
        <v>PremiumS</v>
      </c>
      <c r="G218" s="7">
        <f>VLOOKUP(D218,[1]characters!$A:$I,9,FALSE)</f>
        <v>4</v>
      </c>
      <c r="H218" s="7" t="str">
        <f>VLOOKUP(D218,[1]characters!$A:$H,8,FALSE)</f>
        <v>green</v>
      </c>
      <c r="I218" s="7" t="str">
        <f>VLOOKUP(D218,[1]characters!$A:$K,11,FALSE)</f>
        <v>balance</v>
      </c>
      <c r="J218" s="7" t="str">
        <f>VLOOKUP(D218,[1]characters!$A:$M,13,FALSE)</f>
        <v>unknown</v>
      </c>
      <c r="K218" s="7" t="str">
        <f>VLOOKUP(D218,[1]characters!$A:$G,7,FALSE)</f>
        <v>女性</v>
      </c>
      <c r="L218" s="66">
        <f>IFERROR(VLOOKUP(D218,input_2!L:R,7,FALSE),VLOOKUP(tables_2!B218,input_2!A:H,8,FALSE))</f>
        <v>306423</v>
      </c>
      <c r="M218" s="67">
        <f t="shared" si="9"/>
        <v>5.8986486486486489E-3</v>
      </c>
      <c r="N218" s="31">
        <f>IFERROR(VLOOKUP($D218,bug_conf_sheet!$A:$H,3,FALSE),VLOOKUP("other",bug_conf_sheet!$A:$H,3,FALSE))</f>
        <v>1</v>
      </c>
      <c r="O218" s="31">
        <f>IFERROR(VLOOKUP($D218,bug_conf_sheet!$A:$H,4,FALSE),VLOOKUP("other",bug_conf_sheet!$A:$H,4,FALSE))</f>
        <v>0</v>
      </c>
      <c r="P218" s="31">
        <f>IFERROR(VLOOKUP($D218,bug_conf_sheet!$A:$H,5,FALSE),VLOOKUP("other",bug_conf_sheet!$A:$H,5,FALSE))</f>
        <v>0</v>
      </c>
      <c r="Q218" s="31">
        <f>IFERROR(VLOOKUP($D218,bug_conf_sheet!$A:$H,6,FALSE),VLOOKUP("other",bug_conf_sheet!$A:$H,6,FALSE))</f>
        <v>0</v>
      </c>
      <c r="R218" s="31">
        <f>IFERROR(VLOOKUP($D218,bug_conf_sheet!$A:$H,7,FALSE),VLOOKUP("other",bug_conf_sheet!$A:$H,7,FALSE))</f>
        <v>0</v>
      </c>
      <c r="S218" s="31">
        <f>IFERROR(VLOOKUP($D218,bug_conf_sheet!$A:$H,8,FALSE),VLOOKUP("other",bug_conf_sheet!$A:$H,8,FALSE))</f>
        <v>1</v>
      </c>
    </row>
    <row r="219" spans="1:19" ht="21" customHeight="1">
      <c r="A219" s="2">
        <f>input_2!A$2</f>
        <v>3122</v>
      </c>
      <c r="B219" s="7" t="str">
        <f t="shared" si="10"/>
        <v>Premium5</v>
      </c>
      <c r="C219" s="7" t="str">
        <f t="shared" si="11"/>
        <v>Premium</v>
      </c>
      <c r="D219" s="6">
        <v>590</v>
      </c>
      <c r="E219" s="7" t="str">
        <f>VLOOKUP(D219,[1]characters!$A:$C,3,FALSE)</f>
        <v>永遠を廻る呪い ニーベルゲン</v>
      </c>
      <c r="F219" s="7" t="str">
        <f>VLOOKUP(D219,[1]characters!$A:$J,10,FALSE)</f>
        <v>PremiumS</v>
      </c>
      <c r="G219" s="7">
        <f>VLOOKUP(D219,[1]characters!$A:$I,9,FALSE)</f>
        <v>5</v>
      </c>
      <c r="H219" s="7" t="str">
        <f>VLOOKUP(D219,[1]characters!$A:$H,8,FALSE)</f>
        <v>green</v>
      </c>
      <c r="I219" s="7" t="str">
        <f>VLOOKUP(D219,[1]characters!$A:$K,11,FALSE)</f>
        <v>balance</v>
      </c>
      <c r="J219" s="7" t="str">
        <f>VLOOKUP(D219,[1]characters!$A:$M,13,FALSE)</f>
        <v>unknown</v>
      </c>
      <c r="K219" s="7" t="str">
        <f>VLOOKUP(D219,[1]characters!$A:$G,7,FALSE)</f>
        <v>女性</v>
      </c>
      <c r="L219" s="66">
        <f>IFERROR(VLOOKUP(D219,input_2!L:R,7,FALSE),VLOOKUP(tables_2!B219,input_2!A:H,8,FALSE))</f>
        <v>46657</v>
      </c>
      <c r="M219" s="67">
        <f t="shared" si="9"/>
        <v>8.9814814814814813E-4</v>
      </c>
      <c r="N219" s="31">
        <f>IFERROR(VLOOKUP($D219,bug_conf_sheet!$A:$H,3,FALSE),VLOOKUP("other",bug_conf_sheet!$A:$H,3,FALSE))</f>
        <v>1</v>
      </c>
      <c r="O219" s="31">
        <f>IFERROR(VLOOKUP($D219,bug_conf_sheet!$A:$H,4,FALSE),VLOOKUP("other",bug_conf_sheet!$A:$H,4,FALSE))</f>
        <v>0</v>
      </c>
      <c r="P219" s="31">
        <f>IFERROR(VLOOKUP($D219,bug_conf_sheet!$A:$H,5,FALSE),VLOOKUP("other",bug_conf_sheet!$A:$H,5,FALSE))</f>
        <v>0</v>
      </c>
      <c r="Q219" s="31">
        <f>IFERROR(VLOOKUP($D219,bug_conf_sheet!$A:$H,6,FALSE),VLOOKUP("other",bug_conf_sheet!$A:$H,6,FALSE))</f>
        <v>0</v>
      </c>
      <c r="R219" s="31">
        <f>IFERROR(VLOOKUP($D219,bug_conf_sheet!$A:$H,7,FALSE),VLOOKUP("other",bug_conf_sheet!$A:$H,7,FALSE))</f>
        <v>0</v>
      </c>
      <c r="S219" s="31">
        <f>IFERROR(VLOOKUP($D219,bug_conf_sheet!$A:$H,8,FALSE),VLOOKUP("other",bug_conf_sheet!$A:$H,8,FALSE))</f>
        <v>1</v>
      </c>
    </row>
    <row r="220" spans="1:19" ht="21" customHeight="1">
      <c r="A220" s="2">
        <f>input_2!A$2</f>
        <v>3122</v>
      </c>
      <c r="B220" s="7" t="str">
        <f t="shared" si="10"/>
        <v>Premium3</v>
      </c>
      <c r="C220" s="7" t="str">
        <f t="shared" si="11"/>
        <v>Premium</v>
      </c>
      <c r="D220" s="6">
        <v>591</v>
      </c>
      <c r="E220" s="7" t="str">
        <f>VLOOKUP(D220,[1]characters!$A:$C,3,FALSE)</f>
        <v>ファフニール</v>
      </c>
      <c r="F220" s="7" t="str">
        <f>VLOOKUP(D220,[1]characters!$A:$J,10,FALSE)</f>
        <v>PremiumS</v>
      </c>
      <c r="G220" s="7">
        <f>VLOOKUP(D220,[1]characters!$A:$I,9,FALSE)</f>
        <v>3</v>
      </c>
      <c r="H220" s="7" t="str">
        <f>VLOOKUP(D220,[1]characters!$A:$H,8,FALSE)</f>
        <v>blue</v>
      </c>
      <c r="I220" s="7" t="str">
        <f>VLOOKUP(D220,[1]characters!$A:$K,11,FALSE)</f>
        <v>technical</v>
      </c>
      <c r="J220" s="7" t="str">
        <f>VLOOKUP(D220,[1]characters!$A:$M,13,FALSE)</f>
        <v>dragon</v>
      </c>
      <c r="K220" s="7" t="str">
        <f>VLOOKUP(D220,[1]characters!$A:$G,7,FALSE)</f>
        <v>不明</v>
      </c>
      <c r="L220" s="66">
        <f>IFERROR(VLOOKUP(D220,input_2!L:R,7,FALSE),VLOOKUP(tables_2!B220,input_2!A:H,8,FALSE))</f>
        <v>351000</v>
      </c>
      <c r="M220" s="67">
        <f t="shared" si="9"/>
        <v>6.7567567567567571E-3</v>
      </c>
      <c r="N220" s="31">
        <f>IFERROR(VLOOKUP($D220,bug_conf_sheet!$A:$H,3,FALSE),VLOOKUP("other",bug_conf_sheet!$A:$H,3,FALSE))</f>
        <v>1</v>
      </c>
      <c r="O220" s="31">
        <f>IFERROR(VLOOKUP($D220,bug_conf_sheet!$A:$H,4,FALSE),VLOOKUP("other",bug_conf_sheet!$A:$H,4,FALSE))</f>
        <v>0</v>
      </c>
      <c r="P220" s="31">
        <f>IFERROR(VLOOKUP($D220,bug_conf_sheet!$A:$H,5,FALSE),VLOOKUP("other",bug_conf_sheet!$A:$H,5,FALSE))</f>
        <v>0</v>
      </c>
      <c r="Q220" s="31">
        <f>IFERROR(VLOOKUP($D220,bug_conf_sheet!$A:$H,6,FALSE),VLOOKUP("other",bug_conf_sheet!$A:$H,6,FALSE))</f>
        <v>0</v>
      </c>
      <c r="R220" s="31">
        <f>IFERROR(VLOOKUP($D220,bug_conf_sheet!$A:$H,7,FALSE),VLOOKUP("other",bug_conf_sheet!$A:$H,7,FALSE))</f>
        <v>0</v>
      </c>
      <c r="S220" s="31">
        <f>IFERROR(VLOOKUP($D220,bug_conf_sheet!$A:$H,8,FALSE),VLOOKUP("other",bug_conf_sheet!$A:$H,8,FALSE))</f>
        <v>1</v>
      </c>
    </row>
    <row r="221" spans="1:19" ht="21" customHeight="1">
      <c r="A221" s="2">
        <f>input_2!A$2</f>
        <v>3122</v>
      </c>
      <c r="B221" s="7" t="str">
        <f t="shared" si="10"/>
        <v>Premium4</v>
      </c>
      <c r="C221" s="7" t="str">
        <f t="shared" si="11"/>
        <v>Premium</v>
      </c>
      <c r="D221" s="6">
        <v>592</v>
      </c>
      <c r="E221" s="7" t="str">
        <f>VLOOKUP(D221,[1]characters!$A:$C,3,FALSE)</f>
        <v>財宝への執着 ファフニール</v>
      </c>
      <c r="F221" s="7" t="str">
        <f>VLOOKUP(D221,[1]characters!$A:$J,10,FALSE)</f>
        <v>PremiumS</v>
      </c>
      <c r="G221" s="7">
        <f>VLOOKUP(D221,[1]characters!$A:$I,9,FALSE)</f>
        <v>4</v>
      </c>
      <c r="H221" s="7" t="str">
        <f>VLOOKUP(D221,[1]characters!$A:$H,8,FALSE)</f>
        <v>blue</v>
      </c>
      <c r="I221" s="7" t="str">
        <f>VLOOKUP(D221,[1]characters!$A:$K,11,FALSE)</f>
        <v>technical</v>
      </c>
      <c r="J221" s="7" t="str">
        <f>VLOOKUP(D221,[1]characters!$A:$M,13,FALSE)</f>
        <v>dragon</v>
      </c>
      <c r="K221" s="7" t="str">
        <f>VLOOKUP(D221,[1]characters!$A:$G,7,FALSE)</f>
        <v>不明</v>
      </c>
      <c r="L221" s="66">
        <f>IFERROR(VLOOKUP(D221,input_2!L:R,7,FALSE),VLOOKUP(tables_2!B221,input_2!A:H,8,FALSE))</f>
        <v>306423</v>
      </c>
      <c r="M221" s="67">
        <f t="shared" si="9"/>
        <v>5.8986486486486489E-3</v>
      </c>
      <c r="N221" s="31">
        <f>IFERROR(VLOOKUP($D221,bug_conf_sheet!$A:$H,3,FALSE),VLOOKUP("other",bug_conf_sheet!$A:$H,3,FALSE))</f>
        <v>1</v>
      </c>
      <c r="O221" s="31">
        <f>IFERROR(VLOOKUP($D221,bug_conf_sheet!$A:$H,4,FALSE),VLOOKUP("other",bug_conf_sheet!$A:$H,4,FALSE))</f>
        <v>0</v>
      </c>
      <c r="P221" s="31">
        <f>IFERROR(VLOOKUP($D221,bug_conf_sheet!$A:$H,5,FALSE),VLOOKUP("other",bug_conf_sheet!$A:$H,5,FALSE))</f>
        <v>0</v>
      </c>
      <c r="Q221" s="31">
        <f>IFERROR(VLOOKUP($D221,bug_conf_sheet!$A:$H,6,FALSE),VLOOKUP("other",bug_conf_sheet!$A:$H,6,FALSE))</f>
        <v>0</v>
      </c>
      <c r="R221" s="31">
        <f>IFERROR(VLOOKUP($D221,bug_conf_sheet!$A:$H,7,FALSE),VLOOKUP("other",bug_conf_sheet!$A:$H,7,FALSE))</f>
        <v>0</v>
      </c>
      <c r="S221" s="31">
        <f>IFERROR(VLOOKUP($D221,bug_conf_sheet!$A:$H,8,FALSE),VLOOKUP("other",bug_conf_sheet!$A:$H,8,FALSE))</f>
        <v>1</v>
      </c>
    </row>
    <row r="222" spans="1:19" ht="21" customHeight="1">
      <c r="A222" s="2">
        <f>input_2!A$2</f>
        <v>3122</v>
      </c>
      <c r="B222" s="7" t="str">
        <f t="shared" si="10"/>
        <v>Premium5</v>
      </c>
      <c r="C222" s="7" t="str">
        <f t="shared" si="11"/>
        <v>Premium</v>
      </c>
      <c r="D222" s="6">
        <v>593</v>
      </c>
      <c r="E222" s="7" t="str">
        <f>VLOOKUP(D222,[1]characters!$A:$C,3,FALSE)</f>
        <v>妄執する邪毒龍 ファフニール</v>
      </c>
      <c r="F222" s="7" t="str">
        <f>VLOOKUP(D222,[1]characters!$A:$J,10,FALSE)</f>
        <v>PremiumS</v>
      </c>
      <c r="G222" s="7">
        <f>VLOOKUP(D222,[1]characters!$A:$I,9,FALSE)</f>
        <v>5</v>
      </c>
      <c r="H222" s="7" t="str">
        <f>VLOOKUP(D222,[1]characters!$A:$H,8,FALSE)</f>
        <v>blue</v>
      </c>
      <c r="I222" s="7" t="str">
        <f>VLOOKUP(D222,[1]characters!$A:$K,11,FALSE)</f>
        <v>technical</v>
      </c>
      <c r="J222" s="7" t="str">
        <f>VLOOKUP(D222,[1]characters!$A:$M,13,FALSE)</f>
        <v>dragon</v>
      </c>
      <c r="K222" s="7" t="str">
        <f>VLOOKUP(D222,[1]characters!$A:$G,7,FALSE)</f>
        <v>不明</v>
      </c>
      <c r="L222" s="66">
        <f>IFERROR(VLOOKUP(D222,input_2!L:R,7,FALSE),VLOOKUP(tables_2!B222,input_2!A:H,8,FALSE))</f>
        <v>46657</v>
      </c>
      <c r="M222" s="67">
        <f t="shared" si="9"/>
        <v>8.9814814814814813E-4</v>
      </c>
      <c r="N222" s="31">
        <f>IFERROR(VLOOKUP($D222,bug_conf_sheet!$A:$H,3,FALSE),VLOOKUP("other",bug_conf_sheet!$A:$H,3,FALSE))</f>
        <v>1</v>
      </c>
      <c r="O222" s="31">
        <f>IFERROR(VLOOKUP($D222,bug_conf_sheet!$A:$H,4,FALSE),VLOOKUP("other",bug_conf_sheet!$A:$H,4,FALSE))</f>
        <v>0</v>
      </c>
      <c r="P222" s="31">
        <f>IFERROR(VLOOKUP($D222,bug_conf_sheet!$A:$H,5,FALSE),VLOOKUP("other",bug_conf_sheet!$A:$H,5,FALSE))</f>
        <v>0</v>
      </c>
      <c r="Q222" s="31">
        <f>IFERROR(VLOOKUP($D222,bug_conf_sheet!$A:$H,6,FALSE),VLOOKUP("other",bug_conf_sheet!$A:$H,6,FALSE))</f>
        <v>0</v>
      </c>
      <c r="R222" s="31">
        <f>IFERROR(VLOOKUP($D222,bug_conf_sheet!$A:$H,7,FALSE),VLOOKUP("other",bug_conf_sheet!$A:$H,7,FALSE))</f>
        <v>0</v>
      </c>
      <c r="S222" s="31">
        <f>IFERROR(VLOOKUP($D222,bug_conf_sheet!$A:$H,8,FALSE),VLOOKUP("other",bug_conf_sheet!$A:$H,8,FALSE))</f>
        <v>1</v>
      </c>
    </row>
    <row r="223" spans="1:19" ht="21" customHeight="1">
      <c r="A223" s="2">
        <f>input_2!A$2</f>
        <v>3122</v>
      </c>
      <c r="B223" s="7" t="str">
        <f t="shared" si="10"/>
        <v>PremiumSS4</v>
      </c>
      <c r="C223" s="7" t="str">
        <f t="shared" si="11"/>
        <v>PremiumSS</v>
      </c>
      <c r="D223" s="6">
        <v>594</v>
      </c>
      <c r="E223" s="7" t="str">
        <f>VLOOKUP(D223,[1]characters!$A:$C,3,FALSE)</f>
        <v>アルフヘイム</v>
      </c>
      <c r="F223" s="7" t="str">
        <f>VLOOKUP(D223,[1]characters!$A:$J,10,FALSE)</f>
        <v>PremiumSS</v>
      </c>
      <c r="G223" s="7">
        <f>VLOOKUP(D223,[1]characters!$A:$I,9,FALSE)</f>
        <v>4</v>
      </c>
      <c r="H223" s="7" t="str">
        <f>VLOOKUP(D223,[1]characters!$A:$H,8,FALSE)</f>
        <v>yellow</v>
      </c>
      <c r="I223" s="7" t="str">
        <f>VLOOKUP(D223,[1]characters!$A:$K,11,FALSE)</f>
        <v>attack</v>
      </c>
      <c r="J223" s="7" t="str">
        <f>VLOOKUP(D223,[1]characters!$A:$M,13,FALSE)</f>
        <v>dragon</v>
      </c>
      <c r="K223" s="7" t="str">
        <f>VLOOKUP(D223,[1]characters!$A:$G,7,FALSE)</f>
        <v>不明</v>
      </c>
      <c r="L223" s="66">
        <f>IFERROR(VLOOKUP(D223,input_2!L:R,7,FALSE),VLOOKUP(tables_2!B223,input_2!A:H,8,FALSE))</f>
        <v>26973</v>
      </c>
      <c r="M223" s="67">
        <f t="shared" si="9"/>
        <v>5.1923076923076922E-4</v>
      </c>
      <c r="N223" s="31">
        <f>IFERROR(VLOOKUP($D223,bug_conf_sheet!$A:$H,3,FALSE),VLOOKUP("other",bug_conf_sheet!$A:$H,3,FALSE))</f>
        <v>1</v>
      </c>
      <c r="O223" s="31">
        <f>IFERROR(VLOOKUP($D223,bug_conf_sheet!$A:$H,4,FALSE),VLOOKUP("other",bug_conf_sheet!$A:$H,4,FALSE))</f>
        <v>0</v>
      </c>
      <c r="P223" s="31">
        <f>IFERROR(VLOOKUP($D223,bug_conf_sheet!$A:$H,5,FALSE),VLOOKUP("other",bug_conf_sheet!$A:$H,5,FALSE))</f>
        <v>0</v>
      </c>
      <c r="Q223" s="31">
        <f>IFERROR(VLOOKUP($D223,bug_conf_sheet!$A:$H,6,FALSE),VLOOKUP("other",bug_conf_sheet!$A:$H,6,FALSE))</f>
        <v>0</v>
      </c>
      <c r="R223" s="31">
        <f>IFERROR(VLOOKUP($D223,bug_conf_sheet!$A:$H,7,FALSE),VLOOKUP("other",bug_conf_sheet!$A:$H,7,FALSE))</f>
        <v>0</v>
      </c>
      <c r="S223" s="31">
        <f>IFERROR(VLOOKUP($D223,bug_conf_sheet!$A:$H,8,FALSE),VLOOKUP("other",bug_conf_sheet!$A:$H,8,FALSE))</f>
        <v>1</v>
      </c>
    </row>
    <row r="224" spans="1:19" ht="21" customHeight="1">
      <c r="A224" s="2">
        <f>input_2!A$2</f>
        <v>3122</v>
      </c>
      <c r="B224" s="7" t="str">
        <f t="shared" si="10"/>
        <v>PremiumSS5</v>
      </c>
      <c r="C224" s="7" t="str">
        <f t="shared" si="11"/>
        <v>PremiumSS</v>
      </c>
      <c r="D224" s="6">
        <v>595</v>
      </c>
      <c r="E224" s="7" t="str">
        <f>VLOOKUP(D224,[1]characters!$A:$C,3,FALSE)</f>
        <v>光華なる神域 アルフヘイム</v>
      </c>
      <c r="F224" s="7" t="str">
        <f>VLOOKUP(D224,[1]characters!$A:$J,10,FALSE)</f>
        <v>PremiumSS</v>
      </c>
      <c r="G224" s="7">
        <f>VLOOKUP(D224,[1]characters!$A:$I,9,FALSE)</f>
        <v>5</v>
      </c>
      <c r="H224" s="7" t="str">
        <f>VLOOKUP(D224,[1]characters!$A:$H,8,FALSE)</f>
        <v>yellow</v>
      </c>
      <c r="I224" s="7" t="str">
        <f>VLOOKUP(D224,[1]characters!$A:$K,11,FALSE)</f>
        <v>attack</v>
      </c>
      <c r="J224" s="7" t="str">
        <f>VLOOKUP(D224,[1]characters!$A:$M,13,FALSE)</f>
        <v>dragon</v>
      </c>
      <c r="K224" s="7" t="str">
        <f>VLOOKUP(D224,[1]characters!$A:$G,7,FALSE)</f>
        <v>不明</v>
      </c>
      <c r="L224" s="66">
        <f>IFERROR(VLOOKUP(D224,input_2!L:R,7,FALSE),VLOOKUP(tables_2!B224,input_2!A:H,8,FALSE))</f>
        <v>2997</v>
      </c>
      <c r="M224" s="67">
        <f t="shared" si="9"/>
        <v>5.7692307692307691E-5</v>
      </c>
      <c r="N224" s="31">
        <f>IFERROR(VLOOKUP($D224,bug_conf_sheet!$A:$H,3,FALSE),VLOOKUP("other",bug_conf_sheet!$A:$H,3,FALSE))</f>
        <v>1</v>
      </c>
      <c r="O224" s="31">
        <f>IFERROR(VLOOKUP($D224,bug_conf_sheet!$A:$H,4,FALSE),VLOOKUP("other",bug_conf_sheet!$A:$H,4,FALSE))</f>
        <v>0</v>
      </c>
      <c r="P224" s="31">
        <f>IFERROR(VLOOKUP($D224,bug_conf_sheet!$A:$H,5,FALSE),VLOOKUP("other",bug_conf_sheet!$A:$H,5,FALSE))</f>
        <v>0</v>
      </c>
      <c r="Q224" s="31">
        <f>IFERROR(VLOOKUP($D224,bug_conf_sheet!$A:$H,6,FALSE),VLOOKUP("other",bug_conf_sheet!$A:$H,6,FALSE))</f>
        <v>0</v>
      </c>
      <c r="R224" s="31">
        <f>IFERROR(VLOOKUP($D224,bug_conf_sheet!$A:$H,7,FALSE),VLOOKUP("other",bug_conf_sheet!$A:$H,7,FALSE))</f>
        <v>0</v>
      </c>
      <c r="S224" s="31">
        <f>IFERROR(VLOOKUP($D224,bug_conf_sheet!$A:$H,8,FALSE),VLOOKUP("other",bug_conf_sheet!$A:$H,8,FALSE))</f>
        <v>1</v>
      </c>
    </row>
    <row r="225" spans="1:19" ht="21" customHeight="1">
      <c r="A225" s="2">
        <f>input_2!A$2</f>
        <v>3122</v>
      </c>
      <c r="B225" s="7" t="str">
        <f t="shared" si="10"/>
        <v>Premium3</v>
      </c>
      <c r="C225" s="7" t="str">
        <f t="shared" si="11"/>
        <v>Premium</v>
      </c>
      <c r="D225" s="6">
        <v>596</v>
      </c>
      <c r="E225" s="7" t="str">
        <f>VLOOKUP(D225,[1]characters!$A:$C,3,FALSE)</f>
        <v>ムスペルヘイム</v>
      </c>
      <c r="F225" s="7" t="str">
        <f>VLOOKUP(D225,[1]characters!$A:$J,10,FALSE)</f>
        <v>PremiumS</v>
      </c>
      <c r="G225" s="7">
        <f>VLOOKUP(D225,[1]characters!$A:$I,9,FALSE)</f>
        <v>3</v>
      </c>
      <c r="H225" s="7" t="str">
        <f>VLOOKUP(D225,[1]characters!$A:$H,8,FALSE)</f>
        <v>red</v>
      </c>
      <c r="I225" s="7" t="str">
        <f>VLOOKUP(D225,[1]characters!$A:$K,11,FALSE)</f>
        <v>balance</v>
      </c>
      <c r="J225" s="7" t="str">
        <f>VLOOKUP(D225,[1]characters!$A:$M,13,FALSE)</f>
        <v>human</v>
      </c>
      <c r="K225" s="7" t="str">
        <f>VLOOKUP(D225,[1]characters!$A:$G,7,FALSE)</f>
        <v>男性</v>
      </c>
      <c r="L225" s="66">
        <f>IFERROR(VLOOKUP(D225,input_2!L:R,7,FALSE),VLOOKUP(tables_2!B225,input_2!A:H,8,FALSE))</f>
        <v>351000</v>
      </c>
      <c r="M225" s="67">
        <f t="shared" si="9"/>
        <v>6.7567567567567571E-3</v>
      </c>
      <c r="N225" s="31">
        <f>IFERROR(VLOOKUP($D225,bug_conf_sheet!$A:$H,3,FALSE),VLOOKUP("other",bug_conf_sheet!$A:$H,3,FALSE))</f>
        <v>1</v>
      </c>
      <c r="O225" s="31">
        <f>IFERROR(VLOOKUP($D225,bug_conf_sheet!$A:$H,4,FALSE),VLOOKUP("other",bug_conf_sheet!$A:$H,4,FALSE))</f>
        <v>0</v>
      </c>
      <c r="P225" s="31">
        <f>IFERROR(VLOOKUP($D225,bug_conf_sheet!$A:$H,5,FALSE),VLOOKUP("other",bug_conf_sheet!$A:$H,5,FALSE))</f>
        <v>0</v>
      </c>
      <c r="Q225" s="31">
        <f>IFERROR(VLOOKUP($D225,bug_conf_sheet!$A:$H,6,FALSE),VLOOKUP("other",bug_conf_sheet!$A:$H,6,FALSE))</f>
        <v>0</v>
      </c>
      <c r="R225" s="31">
        <f>IFERROR(VLOOKUP($D225,bug_conf_sheet!$A:$H,7,FALSE),VLOOKUP("other",bug_conf_sheet!$A:$H,7,FALSE))</f>
        <v>0</v>
      </c>
      <c r="S225" s="31">
        <f>IFERROR(VLOOKUP($D225,bug_conf_sheet!$A:$H,8,FALSE),VLOOKUP("other",bug_conf_sheet!$A:$H,8,FALSE))</f>
        <v>1</v>
      </c>
    </row>
    <row r="226" spans="1:19" ht="21" customHeight="1">
      <c r="A226" s="2">
        <f>input_2!A$2</f>
        <v>3122</v>
      </c>
      <c r="B226" s="7" t="str">
        <f t="shared" si="10"/>
        <v>Premium4</v>
      </c>
      <c r="C226" s="7" t="str">
        <f t="shared" si="11"/>
        <v>Premium</v>
      </c>
      <c r="D226" s="6">
        <v>597</v>
      </c>
      <c r="E226" s="7" t="str">
        <f>VLOOKUP(D226,[1]characters!$A:$C,3,FALSE)</f>
        <v>灼熱の魂 ムスペルヘイム</v>
      </c>
      <c r="F226" s="7" t="str">
        <f>VLOOKUP(D226,[1]characters!$A:$J,10,FALSE)</f>
        <v>PremiumS</v>
      </c>
      <c r="G226" s="7">
        <f>VLOOKUP(D226,[1]characters!$A:$I,9,FALSE)</f>
        <v>4</v>
      </c>
      <c r="H226" s="7" t="str">
        <f>VLOOKUP(D226,[1]characters!$A:$H,8,FALSE)</f>
        <v>red</v>
      </c>
      <c r="I226" s="7" t="str">
        <f>VLOOKUP(D226,[1]characters!$A:$K,11,FALSE)</f>
        <v>balance</v>
      </c>
      <c r="J226" s="7" t="str">
        <f>VLOOKUP(D226,[1]characters!$A:$M,13,FALSE)</f>
        <v>human</v>
      </c>
      <c r="K226" s="7" t="str">
        <f>VLOOKUP(D226,[1]characters!$A:$G,7,FALSE)</f>
        <v>男性</v>
      </c>
      <c r="L226" s="66">
        <f>IFERROR(VLOOKUP(D226,input_2!L:R,7,FALSE),VLOOKUP(tables_2!B226,input_2!A:H,8,FALSE))</f>
        <v>306423</v>
      </c>
      <c r="M226" s="67">
        <f t="shared" si="9"/>
        <v>5.8986486486486489E-3</v>
      </c>
      <c r="N226" s="31">
        <f>IFERROR(VLOOKUP($D226,bug_conf_sheet!$A:$H,3,FALSE),VLOOKUP("other",bug_conf_sheet!$A:$H,3,FALSE))</f>
        <v>1</v>
      </c>
      <c r="O226" s="31">
        <f>IFERROR(VLOOKUP($D226,bug_conf_sheet!$A:$H,4,FALSE),VLOOKUP("other",bug_conf_sheet!$A:$H,4,FALSE))</f>
        <v>0</v>
      </c>
      <c r="P226" s="31">
        <f>IFERROR(VLOOKUP($D226,bug_conf_sheet!$A:$H,5,FALSE),VLOOKUP("other",bug_conf_sheet!$A:$H,5,FALSE))</f>
        <v>0</v>
      </c>
      <c r="Q226" s="31">
        <f>IFERROR(VLOOKUP($D226,bug_conf_sheet!$A:$H,6,FALSE),VLOOKUP("other",bug_conf_sheet!$A:$H,6,FALSE))</f>
        <v>0</v>
      </c>
      <c r="R226" s="31">
        <f>IFERROR(VLOOKUP($D226,bug_conf_sheet!$A:$H,7,FALSE),VLOOKUP("other",bug_conf_sheet!$A:$H,7,FALSE))</f>
        <v>0</v>
      </c>
      <c r="S226" s="31">
        <f>IFERROR(VLOOKUP($D226,bug_conf_sheet!$A:$H,8,FALSE),VLOOKUP("other",bug_conf_sheet!$A:$H,8,FALSE))</f>
        <v>1</v>
      </c>
    </row>
    <row r="227" spans="1:19" ht="21" customHeight="1">
      <c r="A227" s="2">
        <f>input_2!A$2</f>
        <v>3122</v>
      </c>
      <c r="B227" s="7" t="str">
        <f t="shared" si="10"/>
        <v>Premium5</v>
      </c>
      <c r="C227" s="7" t="str">
        <f t="shared" si="11"/>
        <v>Premium</v>
      </c>
      <c r="D227" s="6">
        <v>598</v>
      </c>
      <c r="E227" s="7" t="str">
        <f>VLOOKUP(D227,[1]characters!$A:$C,3,FALSE)</f>
        <v>焼燃の情熱 ムスペルヘイム</v>
      </c>
      <c r="F227" s="7" t="str">
        <f>VLOOKUP(D227,[1]characters!$A:$J,10,FALSE)</f>
        <v>PremiumS</v>
      </c>
      <c r="G227" s="7">
        <f>VLOOKUP(D227,[1]characters!$A:$I,9,FALSE)</f>
        <v>5</v>
      </c>
      <c r="H227" s="7" t="str">
        <f>VLOOKUP(D227,[1]characters!$A:$H,8,FALSE)</f>
        <v>red</v>
      </c>
      <c r="I227" s="7" t="str">
        <f>VLOOKUP(D227,[1]characters!$A:$K,11,FALSE)</f>
        <v>balance</v>
      </c>
      <c r="J227" s="7" t="str">
        <f>VLOOKUP(D227,[1]characters!$A:$M,13,FALSE)</f>
        <v>human</v>
      </c>
      <c r="K227" s="7" t="str">
        <f>VLOOKUP(D227,[1]characters!$A:$G,7,FALSE)</f>
        <v>男性</v>
      </c>
      <c r="L227" s="66">
        <f>IFERROR(VLOOKUP(D227,input_2!L:R,7,FALSE),VLOOKUP(tables_2!B227,input_2!A:H,8,FALSE))</f>
        <v>46657</v>
      </c>
      <c r="M227" s="67">
        <f t="shared" si="9"/>
        <v>8.9814814814814813E-4</v>
      </c>
      <c r="N227" s="31">
        <f>IFERROR(VLOOKUP($D227,bug_conf_sheet!$A:$H,3,FALSE),VLOOKUP("other",bug_conf_sheet!$A:$H,3,FALSE))</f>
        <v>1</v>
      </c>
      <c r="O227" s="31">
        <f>IFERROR(VLOOKUP($D227,bug_conf_sheet!$A:$H,4,FALSE),VLOOKUP("other",bug_conf_sheet!$A:$H,4,FALSE))</f>
        <v>0</v>
      </c>
      <c r="P227" s="31">
        <f>IFERROR(VLOOKUP($D227,bug_conf_sheet!$A:$H,5,FALSE),VLOOKUP("other",bug_conf_sheet!$A:$H,5,FALSE))</f>
        <v>0</v>
      </c>
      <c r="Q227" s="31">
        <f>IFERROR(VLOOKUP($D227,bug_conf_sheet!$A:$H,6,FALSE),VLOOKUP("other",bug_conf_sheet!$A:$H,6,FALSE))</f>
        <v>0</v>
      </c>
      <c r="R227" s="31">
        <f>IFERROR(VLOOKUP($D227,bug_conf_sheet!$A:$H,7,FALSE),VLOOKUP("other",bug_conf_sheet!$A:$H,7,FALSE))</f>
        <v>0</v>
      </c>
      <c r="S227" s="31">
        <f>IFERROR(VLOOKUP($D227,bug_conf_sheet!$A:$H,8,FALSE),VLOOKUP("other",bug_conf_sheet!$A:$H,8,FALSE))</f>
        <v>1</v>
      </c>
    </row>
    <row r="228" spans="1:19" ht="21" customHeight="1">
      <c r="A228" s="2">
        <f>input_2!A$2</f>
        <v>3122</v>
      </c>
      <c r="B228" s="7" t="str">
        <f t="shared" si="10"/>
        <v>Premium3</v>
      </c>
      <c r="C228" s="7" t="str">
        <f t="shared" si="11"/>
        <v>Premium</v>
      </c>
      <c r="D228" s="6">
        <v>599</v>
      </c>
      <c r="E228" s="7" t="str">
        <f>VLOOKUP(D228,[1]characters!$A:$C,3,FALSE)</f>
        <v>ニーズヘッグ</v>
      </c>
      <c r="F228" s="7" t="str">
        <f>VLOOKUP(D228,[1]characters!$A:$J,10,FALSE)</f>
        <v>PremiumS</v>
      </c>
      <c r="G228" s="7">
        <f>VLOOKUP(D228,[1]characters!$A:$I,9,FALSE)</f>
        <v>3</v>
      </c>
      <c r="H228" s="7" t="str">
        <f>VLOOKUP(D228,[1]characters!$A:$H,8,FALSE)</f>
        <v>green</v>
      </c>
      <c r="I228" s="7" t="str">
        <f>VLOOKUP(D228,[1]characters!$A:$K,11,FALSE)</f>
        <v>attack</v>
      </c>
      <c r="J228" s="7" t="str">
        <f>VLOOKUP(D228,[1]characters!$A:$M,13,FALSE)</f>
        <v>dragon</v>
      </c>
      <c r="K228" s="7" t="str">
        <f>VLOOKUP(D228,[1]characters!$A:$G,7,FALSE)</f>
        <v>不明</v>
      </c>
      <c r="L228" s="66">
        <f>IFERROR(VLOOKUP(D228,input_2!L:R,7,FALSE),VLOOKUP(tables_2!B228,input_2!A:H,8,FALSE))</f>
        <v>351000</v>
      </c>
      <c r="M228" s="67">
        <f t="shared" si="9"/>
        <v>6.7567567567567571E-3</v>
      </c>
      <c r="N228" s="31">
        <f>IFERROR(VLOOKUP($D228,bug_conf_sheet!$A:$H,3,FALSE),VLOOKUP("other",bug_conf_sheet!$A:$H,3,FALSE))</f>
        <v>1</v>
      </c>
      <c r="O228" s="31">
        <f>IFERROR(VLOOKUP($D228,bug_conf_sheet!$A:$H,4,FALSE),VLOOKUP("other",bug_conf_sheet!$A:$H,4,FALSE))</f>
        <v>0</v>
      </c>
      <c r="P228" s="31">
        <f>IFERROR(VLOOKUP($D228,bug_conf_sheet!$A:$H,5,FALSE),VLOOKUP("other",bug_conf_sheet!$A:$H,5,FALSE))</f>
        <v>0</v>
      </c>
      <c r="Q228" s="31">
        <f>IFERROR(VLOOKUP($D228,bug_conf_sheet!$A:$H,6,FALSE),VLOOKUP("other",bug_conf_sheet!$A:$H,6,FALSE))</f>
        <v>0</v>
      </c>
      <c r="R228" s="31">
        <f>IFERROR(VLOOKUP($D228,bug_conf_sheet!$A:$H,7,FALSE),VLOOKUP("other",bug_conf_sheet!$A:$H,7,FALSE))</f>
        <v>0</v>
      </c>
      <c r="S228" s="31">
        <f>IFERROR(VLOOKUP($D228,bug_conf_sheet!$A:$H,8,FALSE),VLOOKUP("other",bug_conf_sheet!$A:$H,8,FALSE))</f>
        <v>1</v>
      </c>
    </row>
    <row r="229" spans="1:19" ht="21" customHeight="1">
      <c r="A229" s="2">
        <f>input_2!A$2</f>
        <v>3122</v>
      </c>
      <c r="B229" s="7" t="str">
        <f t="shared" si="10"/>
        <v>Premium4</v>
      </c>
      <c r="C229" s="7" t="str">
        <f t="shared" si="11"/>
        <v>Premium</v>
      </c>
      <c r="D229" s="6">
        <v>600</v>
      </c>
      <c r="E229" s="7" t="str">
        <f>VLOOKUP(D229,[1]characters!$A:$C,3,FALSE)</f>
        <v>界下に潜む蛇 ニーズヘッグ</v>
      </c>
      <c r="F229" s="7" t="str">
        <f>VLOOKUP(D229,[1]characters!$A:$J,10,FALSE)</f>
        <v>PremiumS</v>
      </c>
      <c r="G229" s="7">
        <f>VLOOKUP(D229,[1]characters!$A:$I,9,FALSE)</f>
        <v>4</v>
      </c>
      <c r="H229" s="7" t="str">
        <f>VLOOKUP(D229,[1]characters!$A:$H,8,FALSE)</f>
        <v>green</v>
      </c>
      <c r="I229" s="7" t="str">
        <f>VLOOKUP(D229,[1]characters!$A:$K,11,FALSE)</f>
        <v>attack</v>
      </c>
      <c r="J229" s="7" t="str">
        <f>VLOOKUP(D229,[1]characters!$A:$M,13,FALSE)</f>
        <v>dragon</v>
      </c>
      <c r="K229" s="7" t="str">
        <f>VLOOKUP(D229,[1]characters!$A:$G,7,FALSE)</f>
        <v>不明</v>
      </c>
      <c r="L229" s="66">
        <f>IFERROR(VLOOKUP(D229,input_2!L:R,7,FALSE),VLOOKUP(tables_2!B229,input_2!A:H,8,FALSE))</f>
        <v>306423</v>
      </c>
      <c r="M229" s="67">
        <f t="shared" si="9"/>
        <v>5.8986486486486489E-3</v>
      </c>
      <c r="N229" s="31">
        <f>IFERROR(VLOOKUP($D229,bug_conf_sheet!$A:$H,3,FALSE),VLOOKUP("other",bug_conf_sheet!$A:$H,3,FALSE))</f>
        <v>1</v>
      </c>
      <c r="O229" s="31">
        <f>IFERROR(VLOOKUP($D229,bug_conf_sheet!$A:$H,4,FALSE),VLOOKUP("other",bug_conf_sheet!$A:$H,4,FALSE))</f>
        <v>0</v>
      </c>
      <c r="P229" s="31">
        <f>IFERROR(VLOOKUP($D229,bug_conf_sheet!$A:$H,5,FALSE),VLOOKUP("other",bug_conf_sheet!$A:$H,5,FALSE))</f>
        <v>0</v>
      </c>
      <c r="Q229" s="31">
        <f>IFERROR(VLOOKUP($D229,bug_conf_sheet!$A:$H,6,FALSE),VLOOKUP("other",bug_conf_sheet!$A:$H,6,FALSE))</f>
        <v>0</v>
      </c>
      <c r="R229" s="31">
        <f>IFERROR(VLOOKUP($D229,bug_conf_sheet!$A:$H,7,FALSE),VLOOKUP("other",bug_conf_sheet!$A:$H,7,FALSE))</f>
        <v>0</v>
      </c>
      <c r="S229" s="31">
        <f>IFERROR(VLOOKUP($D229,bug_conf_sheet!$A:$H,8,FALSE),VLOOKUP("other",bug_conf_sheet!$A:$H,8,FALSE))</f>
        <v>1</v>
      </c>
    </row>
    <row r="230" spans="1:19" ht="21" customHeight="1">
      <c r="A230" s="2">
        <f>input_2!A$2</f>
        <v>3122</v>
      </c>
      <c r="B230" s="7" t="str">
        <f t="shared" si="10"/>
        <v>Premium5</v>
      </c>
      <c r="C230" s="7" t="str">
        <f t="shared" si="11"/>
        <v>Premium</v>
      </c>
      <c r="D230" s="6">
        <v>601</v>
      </c>
      <c r="E230" s="7" t="str">
        <f>VLOOKUP(D230,[1]characters!$A:$C,3,FALSE)</f>
        <v>界根蝕む悪食 ニーズヘッグ</v>
      </c>
      <c r="F230" s="7" t="str">
        <f>VLOOKUP(D230,[1]characters!$A:$J,10,FALSE)</f>
        <v>PremiumS</v>
      </c>
      <c r="G230" s="7">
        <f>VLOOKUP(D230,[1]characters!$A:$I,9,FALSE)</f>
        <v>5</v>
      </c>
      <c r="H230" s="7" t="str">
        <f>VLOOKUP(D230,[1]characters!$A:$H,8,FALSE)</f>
        <v>green</v>
      </c>
      <c r="I230" s="7" t="str">
        <f>VLOOKUP(D230,[1]characters!$A:$K,11,FALSE)</f>
        <v>attack</v>
      </c>
      <c r="J230" s="7" t="str">
        <f>VLOOKUP(D230,[1]characters!$A:$M,13,FALSE)</f>
        <v>dragon</v>
      </c>
      <c r="K230" s="7" t="str">
        <f>VLOOKUP(D230,[1]characters!$A:$G,7,FALSE)</f>
        <v>不明</v>
      </c>
      <c r="L230" s="66">
        <f>IFERROR(VLOOKUP(D230,input_2!L:R,7,FALSE),VLOOKUP(tables_2!B230,input_2!A:H,8,FALSE))</f>
        <v>46657</v>
      </c>
      <c r="M230" s="67">
        <f t="shared" si="9"/>
        <v>8.9814814814814813E-4</v>
      </c>
      <c r="N230" s="31">
        <f>IFERROR(VLOOKUP($D230,bug_conf_sheet!$A:$H,3,FALSE),VLOOKUP("other",bug_conf_sheet!$A:$H,3,FALSE))</f>
        <v>1</v>
      </c>
      <c r="O230" s="31">
        <f>IFERROR(VLOOKUP($D230,bug_conf_sheet!$A:$H,4,FALSE),VLOOKUP("other",bug_conf_sheet!$A:$H,4,FALSE))</f>
        <v>0</v>
      </c>
      <c r="P230" s="31">
        <f>IFERROR(VLOOKUP($D230,bug_conf_sheet!$A:$H,5,FALSE),VLOOKUP("other",bug_conf_sheet!$A:$H,5,FALSE))</f>
        <v>0</v>
      </c>
      <c r="Q230" s="31">
        <f>IFERROR(VLOOKUP($D230,bug_conf_sheet!$A:$H,6,FALSE),VLOOKUP("other",bug_conf_sheet!$A:$H,6,FALSE))</f>
        <v>0</v>
      </c>
      <c r="R230" s="31">
        <f>IFERROR(VLOOKUP($D230,bug_conf_sheet!$A:$H,7,FALSE),VLOOKUP("other",bug_conf_sheet!$A:$H,7,FALSE))</f>
        <v>0</v>
      </c>
      <c r="S230" s="31">
        <f>IFERROR(VLOOKUP($D230,bug_conf_sheet!$A:$H,8,FALSE),VLOOKUP("other",bug_conf_sheet!$A:$H,8,FALSE))</f>
        <v>1</v>
      </c>
    </row>
    <row r="231" spans="1:19" ht="21" customHeight="1">
      <c r="A231" s="2">
        <f>input_2!A$2</f>
        <v>3122</v>
      </c>
      <c r="B231" s="7" t="str">
        <f t="shared" si="10"/>
        <v>PremiumSS4</v>
      </c>
      <c r="C231" s="7" t="str">
        <f t="shared" si="11"/>
        <v>PremiumSS</v>
      </c>
      <c r="D231" s="6">
        <v>602</v>
      </c>
      <c r="E231" s="7" t="str">
        <f>VLOOKUP(D231,[1]characters!$A:$C,3,FALSE)</f>
        <v>フレイヤ</v>
      </c>
      <c r="F231" s="7" t="str">
        <f>VLOOKUP(D231,[1]characters!$A:$J,10,FALSE)</f>
        <v>PremiumSS</v>
      </c>
      <c r="G231" s="7">
        <f>VLOOKUP(D231,[1]characters!$A:$I,9,FALSE)</f>
        <v>4</v>
      </c>
      <c r="H231" s="7" t="str">
        <f>VLOOKUP(D231,[1]characters!$A:$H,8,FALSE)</f>
        <v>blue</v>
      </c>
      <c r="I231" s="7" t="str">
        <f>VLOOKUP(D231,[1]characters!$A:$K,11,FALSE)</f>
        <v>heal</v>
      </c>
      <c r="J231" s="7" t="str">
        <f>VLOOKUP(D231,[1]characters!$A:$M,13,FALSE)</f>
        <v>animal</v>
      </c>
      <c r="K231" s="7" t="str">
        <f>VLOOKUP(D231,[1]characters!$A:$G,7,FALSE)</f>
        <v>女性</v>
      </c>
      <c r="L231" s="66">
        <f>IFERROR(VLOOKUP(D231,input_2!L:R,7,FALSE),VLOOKUP(tables_2!B231,input_2!A:H,8,FALSE))</f>
        <v>26973</v>
      </c>
      <c r="M231" s="67">
        <f t="shared" si="9"/>
        <v>5.1923076923076922E-4</v>
      </c>
      <c r="N231" s="31">
        <f>IFERROR(VLOOKUP($D231,bug_conf_sheet!$A:$H,3,FALSE),VLOOKUP("other",bug_conf_sheet!$A:$H,3,FALSE))</f>
        <v>1</v>
      </c>
      <c r="O231" s="31">
        <f>IFERROR(VLOOKUP($D231,bug_conf_sheet!$A:$H,4,FALSE),VLOOKUP("other",bug_conf_sheet!$A:$H,4,FALSE))</f>
        <v>0</v>
      </c>
      <c r="P231" s="31">
        <f>IFERROR(VLOOKUP($D231,bug_conf_sheet!$A:$H,5,FALSE),VLOOKUP("other",bug_conf_sheet!$A:$H,5,FALSE))</f>
        <v>0</v>
      </c>
      <c r="Q231" s="31">
        <f>IFERROR(VLOOKUP($D231,bug_conf_sheet!$A:$H,6,FALSE),VLOOKUP("other",bug_conf_sheet!$A:$H,6,FALSE))</f>
        <v>0</v>
      </c>
      <c r="R231" s="31">
        <f>IFERROR(VLOOKUP($D231,bug_conf_sheet!$A:$H,7,FALSE),VLOOKUP("other",bug_conf_sheet!$A:$H,7,FALSE))</f>
        <v>0</v>
      </c>
      <c r="S231" s="31">
        <f>IFERROR(VLOOKUP($D231,bug_conf_sheet!$A:$H,8,FALSE),VLOOKUP("other",bug_conf_sheet!$A:$H,8,FALSE))</f>
        <v>1</v>
      </c>
    </row>
    <row r="232" spans="1:19" ht="21" customHeight="1">
      <c r="A232" s="2">
        <f>input_2!A$2</f>
        <v>3122</v>
      </c>
      <c r="B232" s="7" t="str">
        <f t="shared" si="10"/>
        <v>PremiumSS5</v>
      </c>
      <c r="C232" s="7" t="str">
        <f t="shared" si="11"/>
        <v>PremiumSS</v>
      </c>
      <c r="D232" s="6">
        <v>603</v>
      </c>
      <c r="E232" s="7" t="str">
        <f>VLOOKUP(D232,[1]characters!$A:$C,3,FALSE)</f>
        <v>掌愛の豊穣女神 フレイヤ</v>
      </c>
      <c r="F232" s="7" t="str">
        <f>VLOOKUP(D232,[1]characters!$A:$J,10,FALSE)</f>
        <v>PremiumSS</v>
      </c>
      <c r="G232" s="7">
        <f>VLOOKUP(D232,[1]characters!$A:$I,9,FALSE)</f>
        <v>5</v>
      </c>
      <c r="H232" s="7" t="str">
        <f>VLOOKUP(D232,[1]characters!$A:$H,8,FALSE)</f>
        <v>blue</v>
      </c>
      <c r="I232" s="7" t="str">
        <f>VLOOKUP(D232,[1]characters!$A:$K,11,FALSE)</f>
        <v>heal</v>
      </c>
      <c r="J232" s="7" t="str">
        <f>VLOOKUP(D232,[1]characters!$A:$M,13,FALSE)</f>
        <v>animal</v>
      </c>
      <c r="K232" s="7" t="str">
        <f>VLOOKUP(D232,[1]characters!$A:$G,7,FALSE)</f>
        <v>女性</v>
      </c>
      <c r="L232" s="66">
        <f>IFERROR(VLOOKUP(D232,input_2!L:R,7,FALSE),VLOOKUP(tables_2!B232,input_2!A:H,8,FALSE))</f>
        <v>2997</v>
      </c>
      <c r="M232" s="67">
        <f t="shared" si="9"/>
        <v>5.7692307692307691E-5</v>
      </c>
      <c r="N232" s="31">
        <f>IFERROR(VLOOKUP($D232,bug_conf_sheet!$A:$H,3,FALSE),VLOOKUP("other",bug_conf_sheet!$A:$H,3,FALSE))</f>
        <v>1</v>
      </c>
      <c r="O232" s="31">
        <f>IFERROR(VLOOKUP($D232,bug_conf_sheet!$A:$H,4,FALSE),VLOOKUP("other",bug_conf_sheet!$A:$H,4,FALSE))</f>
        <v>0</v>
      </c>
      <c r="P232" s="31">
        <f>IFERROR(VLOOKUP($D232,bug_conf_sheet!$A:$H,5,FALSE),VLOOKUP("other",bug_conf_sheet!$A:$H,5,FALSE))</f>
        <v>0</v>
      </c>
      <c r="Q232" s="31">
        <f>IFERROR(VLOOKUP($D232,bug_conf_sheet!$A:$H,6,FALSE),VLOOKUP("other",bug_conf_sheet!$A:$H,6,FALSE))</f>
        <v>0</v>
      </c>
      <c r="R232" s="31">
        <f>IFERROR(VLOOKUP($D232,bug_conf_sheet!$A:$H,7,FALSE),VLOOKUP("other",bug_conf_sheet!$A:$H,7,FALSE))</f>
        <v>0</v>
      </c>
      <c r="S232" s="31">
        <f>IFERROR(VLOOKUP($D232,bug_conf_sheet!$A:$H,8,FALSE),VLOOKUP("other",bug_conf_sheet!$A:$H,8,FALSE))</f>
        <v>1</v>
      </c>
    </row>
    <row r="233" spans="1:19" ht="21" customHeight="1">
      <c r="A233" s="2">
        <f>input_2!A$2</f>
        <v>3122</v>
      </c>
      <c r="B233" s="7" t="str">
        <f t="shared" si="10"/>
        <v>Premium3</v>
      </c>
      <c r="C233" s="7" t="str">
        <f t="shared" si="11"/>
        <v>Premium</v>
      </c>
      <c r="D233" s="6">
        <v>604</v>
      </c>
      <c r="E233" s="7" t="str">
        <f>VLOOKUP(D233,[1]characters!$A:$C,3,FALSE)</f>
        <v>バルドル</v>
      </c>
      <c r="F233" s="7" t="str">
        <f>VLOOKUP(D233,[1]characters!$A:$J,10,FALSE)</f>
        <v>PremiumS</v>
      </c>
      <c r="G233" s="7">
        <f>VLOOKUP(D233,[1]characters!$A:$I,9,FALSE)</f>
        <v>3</v>
      </c>
      <c r="H233" s="7" t="str">
        <f>VLOOKUP(D233,[1]characters!$A:$H,8,FALSE)</f>
        <v>yellow</v>
      </c>
      <c r="I233" s="7" t="str">
        <f>VLOOKUP(D233,[1]characters!$A:$K,11,FALSE)</f>
        <v>heal</v>
      </c>
      <c r="J233" s="7" t="str">
        <f>VLOOKUP(D233,[1]characters!$A:$M,13,FALSE)</f>
        <v>god</v>
      </c>
      <c r="K233" s="7" t="str">
        <f>VLOOKUP(D233,[1]characters!$A:$G,7,FALSE)</f>
        <v>男性</v>
      </c>
      <c r="L233" s="66">
        <f>IFERROR(VLOOKUP(D233,input_2!L:R,7,FALSE),VLOOKUP(tables_2!B233,input_2!A:H,8,FALSE))</f>
        <v>351000</v>
      </c>
      <c r="M233" s="67">
        <f t="shared" si="9"/>
        <v>6.7567567567567571E-3</v>
      </c>
      <c r="N233" s="31">
        <f>IFERROR(VLOOKUP($D233,bug_conf_sheet!$A:$H,3,FALSE),VLOOKUP("other",bug_conf_sheet!$A:$H,3,FALSE))</f>
        <v>1</v>
      </c>
      <c r="O233" s="31">
        <f>IFERROR(VLOOKUP($D233,bug_conf_sheet!$A:$H,4,FALSE),VLOOKUP("other",bug_conf_sheet!$A:$H,4,FALSE))</f>
        <v>0</v>
      </c>
      <c r="P233" s="31">
        <f>IFERROR(VLOOKUP($D233,bug_conf_sheet!$A:$H,5,FALSE),VLOOKUP("other",bug_conf_sheet!$A:$H,5,FALSE))</f>
        <v>0</v>
      </c>
      <c r="Q233" s="31">
        <f>IFERROR(VLOOKUP($D233,bug_conf_sheet!$A:$H,6,FALSE),VLOOKUP("other",bug_conf_sheet!$A:$H,6,FALSE))</f>
        <v>0</v>
      </c>
      <c r="R233" s="31">
        <f>IFERROR(VLOOKUP($D233,bug_conf_sheet!$A:$H,7,FALSE),VLOOKUP("other",bug_conf_sheet!$A:$H,7,FALSE))</f>
        <v>0</v>
      </c>
      <c r="S233" s="31">
        <f>IFERROR(VLOOKUP($D233,bug_conf_sheet!$A:$H,8,FALSE),VLOOKUP("other",bug_conf_sheet!$A:$H,8,FALSE))</f>
        <v>1</v>
      </c>
    </row>
    <row r="234" spans="1:19" ht="21" customHeight="1">
      <c r="A234" s="2">
        <f>input_2!A$2</f>
        <v>3122</v>
      </c>
      <c r="B234" s="7" t="str">
        <f t="shared" si="10"/>
        <v>Premium4</v>
      </c>
      <c r="C234" s="7" t="str">
        <f t="shared" si="11"/>
        <v>Premium</v>
      </c>
      <c r="D234" s="6">
        <v>605</v>
      </c>
      <c r="E234" s="7" t="str">
        <f>VLOOKUP(D234,[1]characters!$A:$C,3,FALSE)</f>
        <v>祝福される光耀 バルドル</v>
      </c>
      <c r="F234" s="7" t="str">
        <f>VLOOKUP(D234,[1]characters!$A:$J,10,FALSE)</f>
        <v>PremiumS</v>
      </c>
      <c r="G234" s="7">
        <f>VLOOKUP(D234,[1]characters!$A:$I,9,FALSE)</f>
        <v>4</v>
      </c>
      <c r="H234" s="7" t="str">
        <f>VLOOKUP(D234,[1]characters!$A:$H,8,FALSE)</f>
        <v>yellow</v>
      </c>
      <c r="I234" s="7" t="str">
        <f>VLOOKUP(D234,[1]characters!$A:$K,11,FALSE)</f>
        <v>heal</v>
      </c>
      <c r="J234" s="7" t="str">
        <f>VLOOKUP(D234,[1]characters!$A:$M,13,FALSE)</f>
        <v>god</v>
      </c>
      <c r="K234" s="7" t="str">
        <f>VLOOKUP(D234,[1]characters!$A:$G,7,FALSE)</f>
        <v>男性</v>
      </c>
      <c r="L234" s="66">
        <f>IFERROR(VLOOKUP(D234,input_2!L:R,7,FALSE),VLOOKUP(tables_2!B234,input_2!A:H,8,FALSE))</f>
        <v>306423</v>
      </c>
      <c r="M234" s="67">
        <f t="shared" si="9"/>
        <v>5.8986486486486489E-3</v>
      </c>
      <c r="N234" s="31">
        <f>IFERROR(VLOOKUP($D234,bug_conf_sheet!$A:$H,3,FALSE),VLOOKUP("other",bug_conf_sheet!$A:$H,3,FALSE))</f>
        <v>1</v>
      </c>
      <c r="O234" s="31">
        <f>IFERROR(VLOOKUP($D234,bug_conf_sheet!$A:$H,4,FALSE),VLOOKUP("other",bug_conf_sheet!$A:$H,4,FALSE))</f>
        <v>0</v>
      </c>
      <c r="P234" s="31">
        <f>IFERROR(VLOOKUP($D234,bug_conf_sheet!$A:$H,5,FALSE),VLOOKUP("other",bug_conf_sheet!$A:$H,5,FALSE))</f>
        <v>0</v>
      </c>
      <c r="Q234" s="31">
        <f>IFERROR(VLOOKUP($D234,bug_conf_sheet!$A:$H,6,FALSE),VLOOKUP("other",bug_conf_sheet!$A:$H,6,FALSE))</f>
        <v>0</v>
      </c>
      <c r="R234" s="31">
        <f>IFERROR(VLOOKUP($D234,bug_conf_sheet!$A:$H,7,FALSE),VLOOKUP("other",bug_conf_sheet!$A:$H,7,FALSE))</f>
        <v>0</v>
      </c>
      <c r="S234" s="31">
        <f>IFERROR(VLOOKUP($D234,bug_conf_sheet!$A:$H,8,FALSE),VLOOKUP("other",bug_conf_sheet!$A:$H,8,FALSE))</f>
        <v>1</v>
      </c>
    </row>
    <row r="235" spans="1:19" ht="21" customHeight="1">
      <c r="A235" s="2">
        <f>input_2!A$2</f>
        <v>3122</v>
      </c>
      <c r="B235" s="7" t="str">
        <f t="shared" si="10"/>
        <v>Premium5</v>
      </c>
      <c r="C235" s="7" t="str">
        <f t="shared" si="11"/>
        <v>Premium</v>
      </c>
      <c r="D235" s="6">
        <v>606</v>
      </c>
      <c r="E235" s="7" t="str">
        <f>VLOOKUP(D235,[1]characters!$A:$C,3,FALSE)</f>
        <v>冀望の光芒 バルドル</v>
      </c>
      <c r="F235" s="7" t="str">
        <f>VLOOKUP(D235,[1]characters!$A:$J,10,FALSE)</f>
        <v>PremiumS</v>
      </c>
      <c r="G235" s="7">
        <f>VLOOKUP(D235,[1]characters!$A:$I,9,FALSE)</f>
        <v>5</v>
      </c>
      <c r="H235" s="7" t="str">
        <f>VLOOKUP(D235,[1]characters!$A:$H,8,FALSE)</f>
        <v>yellow</v>
      </c>
      <c r="I235" s="7" t="str">
        <f>VLOOKUP(D235,[1]characters!$A:$K,11,FALSE)</f>
        <v>heal</v>
      </c>
      <c r="J235" s="7" t="str">
        <f>VLOOKUP(D235,[1]characters!$A:$M,13,FALSE)</f>
        <v>god</v>
      </c>
      <c r="K235" s="7" t="str">
        <f>VLOOKUP(D235,[1]characters!$A:$G,7,FALSE)</f>
        <v>男性</v>
      </c>
      <c r="L235" s="66">
        <f>IFERROR(VLOOKUP(D235,input_2!L:R,7,FALSE),VLOOKUP(tables_2!B235,input_2!A:H,8,FALSE))</f>
        <v>46657</v>
      </c>
      <c r="M235" s="67">
        <f t="shared" si="9"/>
        <v>8.9814814814814813E-4</v>
      </c>
      <c r="N235" s="31">
        <f>IFERROR(VLOOKUP($D235,bug_conf_sheet!$A:$H,3,FALSE),VLOOKUP("other",bug_conf_sheet!$A:$H,3,FALSE))</f>
        <v>1</v>
      </c>
      <c r="O235" s="31">
        <f>IFERROR(VLOOKUP($D235,bug_conf_sheet!$A:$H,4,FALSE),VLOOKUP("other",bug_conf_sheet!$A:$H,4,FALSE))</f>
        <v>0</v>
      </c>
      <c r="P235" s="31">
        <f>IFERROR(VLOOKUP($D235,bug_conf_sheet!$A:$H,5,FALSE),VLOOKUP("other",bug_conf_sheet!$A:$H,5,FALSE))</f>
        <v>0</v>
      </c>
      <c r="Q235" s="31">
        <f>IFERROR(VLOOKUP($D235,bug_conf_sheet!$A:$H,6,FALSE),VLOOKUP("other",bug_conf_sheet!$A:$H,6,FALSE))</f>
        <v>0</v>
      </c>
      <c r="R235" s="31">
        <f>IFERROR(VLOOKUP($D235,bug_conf_sheet!$A:$H,7,FALSE),VLOOKUP("other",bug_conf_sheet!$A:$H,7,FALSE))</f>
        <v>0</v>
      </c>
      <c r="S235" s="31">
        <f>IFERROR(VLOOKUP($D235,bug_conf_sheet!$A:$H,8,FALSE),VLOOKUP("other",bug_conf_sheet!$A:$H,8,FALSE))</f>
        <v>1</v>
      </c>
    </row>
    <row r="236" spans="1:19" ht="21" customHeight="1">
      <c r="A236" s="2">
        <f>input_2!A$2</f>
        <v>3122</v>
      </c>
      <c r="B236" s="7" t="str">
        <f t="shared" si="10"/>
        <v>PremiumSS4</v>
      </c>
      <c r="C236" s="7" t="str">
        <f t="shared" si="11"/>
        <v>PremiumSS</v>
      </c>
      <c r="D236" s="6">
        <v>658</v>
      </c>
      <c r="E236" s="7" t="str">
        <f>VLOOKUP(D236,[1]characters!$A:$C,3,FALSE)</f>
        <v>猫又 クルミ</v>
      </c>
      <c r="F236" s="7" t="str">
        <f>VLOOKUP(D236,[1]characters!$A:$J,10,FALSE)</f>
        <v>PremiumSS</v>
      </c>
      <c r="G236" s="7">
        <f>VLOOKUP(D236,[1]characters!$A:$I,9,FALSE)</f>
        <v>4</v>
      </c>
      <c r="H236" s="7" t="str">
        <f>VLOOKUP(D236,[1]characters!$A:$H,8,FALSE)</f>
        <v>red</v>
      </c>
      <c r="I236" s="7" t="str">
        <f>VLOOKUP(D236,[1]characters!$A:$K,11,FALSE)</f>
        <v>attack</v>
      </c>
      <c r="J236" s="7" t="str">
        <f>VLOOKUP(D236,[1]characters!$A:$M,13,FALSE)</f>
        <v>animal</v>
      </c>
      <c r="K236" s="7" t="str">
        <f>VLOOKUP(D236,[1]characters!$A:$G,7,FALSE)</f>
        <v>女性</v>
      </c>
      <c r="L236" s="66">
        <f>IFERROR(VLOOKUP(D236,input_2!L:R,7,FALSE),VLOOKUP(tables_2!B236,input_2!A:H,8,FALSE))</f>
        <v>26973</v>
      </c>
      <c r="M236" s="67">
        <f t="shared" si="9"/>
        <v>5.1923076923076922E-4</v>
      </c>
      <c r="N236" s="31">
        <f>IFERROR(VLOOKUP($D236,bug_conf_sheet!$A:$H,3,FALSE),VLOOKUP("other",bug_conf_sheet!$A:$H,3,FALSE))</f>
        <v>1</v>
      </c>
      <c r="O236" s="31">
        <f>IFERROR(VLOOKUP($D236,bug_conf_sheet!$A:$H,4,FALSE),VLOOKUP("other",bug_conf_sheet!$A:$H,4,FALSE))</f>
        <v>0</v>
      </c>
      <c r="P236" s="31">
        <f>IFERROR(VLOOKUP($D236,bug_conf_sheet!$A:$H,5,FALSE),VLOOKUP("other",bug_conf_sheet!$A:$H,5,FALSE))</f>
        <v>0</v>
      </c>
      <c r="Q236" s="31">
        <f>IFERROR(VLOOKUP($D236,bug_conf_sheet!$A:$H,6,FALSE),VLOOKUP("other",bug_conf_sheet!$A:$H,6,FALSE))</f>
        <v>0</v>
      </c>
      <c r="R236" s="31">
        <f>IFERROR(VLOOKUP($D236,bug_conf_sheet!$A:$H,7,FALSE),VLOOKUP("other",bug_conf_sheet!$A:$H,7,FALSE))</f>
        <v>0</v>
      </c>
      <c r="S236" s="31">
        <f>IFERROR(VLOOKUP($D236,bug_conf_sheet!$A:$H,8,FALSE),VLOOKUP("other",bug_conf_sheet!$A:$H,8,FALSE))</f>
        <v>1</v>
      </c>
    </row>
    <row r="237" spans="1:19" ht="21" customHeight="1">
      <c r="A237" s="2">
        <f>input_2!A$2</f>
        <v>3122</v>
      </c>
      <c r="B237" s="7" t="str">
        <f t="shared" si="10"/>
        <v>PremiumSS5</v>
      </c>
      <c r="C237" s="7" t="str">
        <f t="shared" si="11"/>
        <v>PremiumSS</v>
      </c>
      <c r="D237" s="6">
        <v>659</v>
      </c>
      <c r="E237" s="7" t="str">
        <f>VLOOKUP(D237,[1]characters!$A:$C,3,FALSE)</f>
        <v>跳梁する化猫 クルミ</v>
      </c>
      <c r="F237" s="7" t="str">
        <f>VLOOKUP(D237,[1]characters!$A:$J,10,FALSE)</f>
        <v>PremiumSS</v>
      </c>
      <c r="G237" s="7">
        <f>VLOOKUP(D237,[1]characters!$A:$I,9,FALSE)</f>
        <v>5</v>
      </c>
      <c r="H237" s="7" t="str">
        <f>VLOOKUP(D237,[1]characters!$A:$H,8,FALSE)</f>
        <v>red</v>
      </c>
      <c r="I237" s="7" t="str">
        <f>VLOOKUP(D237,[1]characters!$A:$K,11,FALSE)</f>
        <v>attack</v>
      </c>
      <c r="J237" s="7" t="str">
        <f>VLOOKUP(D237,[1]characters!$A:$M,13,FALSE)</f>
        <v>animal</v>
      </c>
      <c r="K237" s="7" t="str">
        <f>VLOOKUP(D237,[1]characters!$A:$G,7,FALSE)</f>
        <v>女性</v>
      </c>
      <c r="L237" s="66">
        <f>IFERROR(VLOOKUP(D237,input_2!L:R,7,FALSE),VLOOKUP(tables_2!B237,input_2!A:H,8,FALSE))</f>
        <v>2997</v>
      </c>
      <c r="M237" s="67">
        <f t="shared" si="9"/>
        <v>5.7692307692307691E-5</v>
      </c>
      <c r="N237" s="31">
        <f>IFERROR(VLOOKUP($D237,bug_conf_sheet!$A:$H,3,FALSE),VLOOKUP("other",bug_conf_sheet!$A:$H,3,FALSE))</f>
        <v>1</v>
      </c>
      <c r="O237" s="31">
        <f>IFERROR(VLOOKUP($D237,bug_conf_sheet!$A:$H,4,FALSE),VLOOKUP("other",bug_conf_sheet!$A:$H,4,FALSE))</f>
        <v>0</v>
      </c>
      <c r="P237" s="31">
        <f>IFERROR(VLOOKUP($D237,bug_conf_sheet!$A:$H,5,FALSE),VLOOKUP("other",bug_conf_sheet!$A:$H,5,FALSE))</f>
        <v>0</v>
      </c>
      <c r="Q237" s="31">
        <f>IFERROR(VLOOKUP($D237,bug_conf_sheet!$A:$H,6,FALSE),VLOOKUP("other",bug_conf_sheet!$A:$H,6,FALSE))</f>
        <v>0</v>
      </c>
      <c r="R237" s="31">
        <f>IFERROR(VLOOKUP($D237,bug_conf_sheet!$A:$H,7,FALSE),VLOOKUP("other",bug_conf_sheet!$A:$H,7,FALSE))</f>
        <v>0</v>
      </c>
      <c r="S237" s="31">
        <f>IFERROR(VLOOKUP($D237,bug_conf_sheet!$A:$H,8,FALSE),VLOOKUP("other",bug_conf_sheet!$A:$H,8,FALSE))</f>
        <v>1</v>
      </c>
    </row>
    <row r="238" spans="1:19" ht="21" customHeight="1">
      <c r="A238" s="2">
        <f>input_2!A$2</f>
        <v>3122</v>
      </c>
      <c r="B238" s="7" t="str">
        <f t="shared" si="10"/>
        <v>PremiumSS4</v>
      </c>
      <c r="C238" s="7" t="str">
        <f t="shared" si="11"/>
        <v>PremiumSS</v>
      </c>
      <c r="D238" s="6">
        <v>660</v>
      </c>
      <c r="E238" s="7" t="str">
        <f>VLOOKUP(D238,[1]characters!$A:$C,3,FALSE)</f>
        <v>烏天狗 フウガ</v>
      </c>
      <c r="F238" s="7" t="str">
        <f>VLOOKUP(D238,[1]characters!$A:$J,10,FALSE)</f>
        <v>PremiumSS</v>
      </c>
      <c r="G238" s="7">
        <f>VLOOKUP(D238,[1]characters!$A:$I,9,FALSE)</f>
        <v>4</v>
      </c>
      <c r="H238" s="7" t="str">
        <f>VLOOKUP(D238,[1]characters!$A:$H,8,FALSE)</f>
        <v>green</v>
      </c>
      <c r="I238" s="7" t="str">
        <f>VLOOKUP(D238,[1]characters!$A:$K,11,FALSE)</f>
        <v>balance</v>
      </c>
      <c r="J238" s="7" t="str">
        <f>VLOOKUP(D238,[1]characters!$A:$M,13,FALSE)</f>
        <v>animal</v>
      </c>
      <c r="K238" s="7" t="str">
        <f>VLOOKUP(D238,[1]characters!$A:$G,7,FALSE)</f>
        <v>男性</v>
      </c>
      <c r="L238" s="66">
        <f>IFERROR(VLOOKUP(D238,input_2!L:R,7,FALSE),VLOOKUP(tables_2!B238,input_2!A:H,8,FALSE))</f>
        <v>26973</v>
      </c>
      <c r="M238" s="67">
        <f t="shared" si="9"/>
        <v>5.1923076923076922E-4</v>
      </c>
      <c r="N238" s="31">
        <f>IFERROR(VLOOKUP($D238,bug_conf_sheet!$A:$H,3,FALSE),VLOOKUP("other",bug_conf_sheet!$A:$H,3,FALSE))</f>
        <v>1</v>
      </c>
      <c r="O238" s="31">
        <f>IFERROR(VLOOKUP($D238,bug_conf_sheet!$A:$H,4,FALSE),VLOOKUP("other",bug_conf_sheet!$A:$H,4,FALSE))</f>
        <v>0</v>
      </c>
      <c r="P238" s="31">
        <f>IFERROR(VLOOKUP($D238,bug_conf_sheet!$A:$H,5,FALSE),VLOOKUP("other",bug_conf_sheet!$A:$H,5,FALSE))</f>
        <v>0</v>
      </c>
      <c r="Q238" s="31">
        <f>IFERROR(VLOOKUP($D238,bug_conf_sheet!$A:$H,6,FALSE),VLOOKUP("other",bug_conf_sheet!$A:$H,6,FALSE))</f>
        <v>0</v>
      </c>
      <c r="R238" s="31">
        <f>IFERROR(VLOOKUP($D238,bug_conf_sheet!$A:$H,7,FALSE),VLOOKUP("other",bug_conf_sheet!$A:$H,7,FALSE))</f>
        <v>0</v>
      </c>
      <c r="S238" s="31">
        <f>IFERROR(VLOOKUP($D238,bug_conf_sheet!$A:$H,8,FALSE),VLOOKUP("other",bug_conf_sheet!$A:$H,8,FALSE))</f>
        <v>1</v>
      </c>
    </row>
    <row r="239" spans="1:19" ht="21" customHeight="1">
      <c r="A239" s="2">
        <f>input_2!A$2</f>
        <v>3122</v>
      </c>
      <c r="B239" s="7" t="str">
        <f t="shared" si="10"/>
        <v>PremiumSS5</v>
      </c>
      <c r="C239" s="7" t="str">
        <f t="shared" si="11"/>
        <v>PremiumSS</v>
      </c>
      <c r="D239" s="6">
        <v>661</v>
      </c>
      <c r="E239" s="7" t="str">
        <f>VLOOKUP(D239,[1]characters!$A:$C,3,FALSE)</f>
        <v>疾風の天狗礫 フウガ</v>
      </c>
      <c r="F239" s="7" t="str">
        <f>VLOOKUP(D239,[1]characters!$A:$J,10,FALSE)</f>
        <v>PremiumSS</v>
      </c>
      <c r="G239" s="7">
        <f>VLOOKUP(D239,[1]characters!$A:$I,9,FALSE)</f>
        <v>5</v>
      </c>
      <c r="H239" s="7" t="str">
        <f>VLOOKUP(D239,[1]characters!$A:$H,8,FALSE)</f>
        <v>green</v>
      </c>
      <c r="I239" s="7" t="str">
        <f>VLOOKUP(D239,[1]characters!$A:$K,11,FALSE)</f>
        <v>balance</v>
      </c>
      <c r="J239" s="7" t="str">
        <f>VLOOKUP(D239,[1]characters!$A:$M,13,FALSE)</f>
        <v>animal</v>
      </c>
      <c r="K239" s="7" t="str">
        <f>VLOOKUP(D239,[1]characters!$A:$G,7,FALSE)</f>
        <v>男性</v>
      </c>
      <c r="L239" s="66">
        <f>IFERROR(VLOOKUP(D239,input_2!L:R,7,FALSE),VLOOKUP(tables_2!B239,input_2!A:H,8,FALSE))</f>
        <v>2997</v>
      </c>
      <c r="M239" s="67">
        <f t="shared" si="9"/>
        <v>5.7692307692307691E-5</v>
      </c>
      <c r="N239" s="31">
        <f>IFERROR(VLOOKUP($D239,bug_conf_sheet!$A:$H,3,FALSE),VLOOKUP("other",bug_conf_sheet!$A:$H,3,FALSE))</f>
        <v>1</v>
      </c>
      <c r="O239" s="31">
        <f>IFERROR(VLOOKUP($D239,bug_conf_sheet!$A:$H,4,FALSE),VLOOKUP("other",bug_conf_sheet!$A:$H,4,FALSE))</f>
        <v>0</v>
      </c>
      <c r="P239" s="31">
        <f>IFERROR(VLOOKUP($D239,bug_conf_sheet!$A:$H,5,FALSE),VLOOKUP("other",bug_conf_sheet!$A:$H,5,FALSE))</f>
        <v>0</v>
      </c>
      <c r="Q239" s="31">
        <f>IFERROR(VLOOKUP($D239,bug_conf_sheet!$A:$H,6,FALSE),VLOOKUP("other",bug_conf_sheet!$A:$H,6,FALSE))</f>
        <v>0</v>
      </c>
      <c r="R239" s="31">
        <f>IFERROR(VLOOKUP($D239,bug_conf_sheet!$A:$H,7,FALSE),VLOOKUP("other",bug_conf_sheet!$A:$H,7,FALSE))</f>
        <v>0</v>
      </c>
      <c r="S239" s="31">
        <f>IFERROR(VLOOKUP($D239,bug_conf_sheet!$A:$H,8,FALSE),VLOOKUP("other",bug_conf_sheet!$A:$H,8,FALSE))</f>
        <v>1</v>
      </c>
    </row>
    <row r="240" spans="1:19" ht="21" customHeight="1">
      <c r="A240" s="2">
        <f>input_2!A$2</f>
        <v>3122</v>
      </c>
      <c r="B240" s="7" t="str">
        <f t="shared" si="10"/>
        <v>Premium3</v>
      </c>
      <c r="C240" s="7" t="str">
        <f t="shared" si="11"/>
        <v>Premium</v>
      </c>
      <c r="D240" s="6">
        <v>662</v>
      </c>
      <c r="E240" s="7" t="str">
        <f>VLOOKUP(D240,[1]characters!$A:$C,3,FALSE)</f>
        <v>ダイダラ</v>
      </c>
      <c r="F240" s="7" t="str">
        <f>VLOOKUP(D240,[1]characters!$A:$J,10,FALSE)</f>
        <v>PremiumS</v>
      </c>
      <c r="G240" s="7">
        <f>VLOOKUP(D240,[1]characters!$A:$I,9,FALSE)</f>
        <v>3</v>
      </c>
      <c r="H240" s="7" t="str">
        <f>VLOOKUP(D240,[1]characters!$A:$H,8,FALSE)</f>
        <v>blue</v>
      </c>
      <c r="I240" s="7" t="str">
        <f>VLOOKUP(D240,[1]characters!$A:$K,11,FALSE)</f>
        <v>hp</v>
      </c>
      <c r="J240" s="7" t="str">
        <f>VLOOKUP(D240,[1]characters!$A:$M,13,FALSE)</f>
        <v>unknown</v>
      </c>
      <c r="K240" s="7" t="str">
        <f>VLOOKUP(D240,[1]characters!$A:$G,7,FALSE)</f>
        <v>不明</v>
      </c>
      <c r="L240" s="66">
        <f>IFERROR(VLOOKUP(D240,input_2!L:R,7,FALSE),VLOOKUP(tables_2!B240,input_2!A:H,8,FALSE))</f>
        <v>351000</v>
      </c>
      <c r="M240" s="67">
        <f t="shared" si="9"/>
        <v>6.7567567567567571E-3</v>
      </c>
      <c r="N240" s="31">
        <f>IFERROR(VLOOKUP($D240,bug_conf_sheet!$A:$H,3,FALSE),VLOOKUP("other",bug_conf_sheet!$A:$H,3,FALSE))</f>
        <v>1</v>
      </c>
      <c r="O240" s="31">
        <f>IFERROR(VLOOKUP($D240,bug_conf_sheet!$A:$H,4,FALSE),VLOOKUP("other",bug_conf_sheet!$A:$H,4,FALSE))</f>
        <v>0</v>
      </c>
      <c r="P240" s="31">
        <f>IFERROR(VLOOKUP($D240,bug_conf_sheet!$A:$H,5,FALSE),VLOOKUP("other",bug_conf_sheet!$A:$H,5,FALSE))</f>
        <v>0</v>
      </c>
      <c r="Q240" s="31">
        <f>IFERROR(VLOOKUP($D240,bug_conf_sheet!$A:$H,6,FALSE),VLOOKUP("other",bug_conf_sheet!$A:$H,6,FALSE))</f>
        <v>0</v>
      </c>
      <c r="R240" s="31">
        <f>IFERROR(VLOOKUP($D240,bug_conf_sheet!$A:$H,7,FALSE),VLOOKUP("other",bug_conf_sheet!$A:$H,7,FALSE))</f>
        <v>0</v>
      </c>
      <c r="S240" s="31">
        <f>IFERROR(VLOOKUP($D240,bug_conf_sheet!$A:$H,8,FALSE),VLOOKUP("other",bug_conf_sheet!$A:$H,8,FALSE))</f>
        <v>1</v>
      </c>
    </row>
    <row r="241" spans="1:19" ht="21" customHeight="1">
      <c r="A241" s="2">
        <f>input_2!A$2</f>
        <v>3122</v>
      </c>
      <c r="B241" s="7" t="str">
        <f t="shared" si="10"/>
        <v>Premium4</v>
      </c>
      <c r="C241" s="7" t="str">
        <f t="shared" si="11"/>
        <v>Premium</v>
      </c>
      <c r="D241" s="6">
        <v>663</v>
      </c>
      <c r="E241" s="7" t="str">
        <f>VLOOKUP(D241,[1]characters!$A:$C,3,FALSE)</f>
        <v>都揺らす地響き ダイダラ</v>
      </c>
      <c r="F241" s="7" t="str">
        <f>VLOOKUP(D241,[1]characters!$A:$J,10,FALSE)</f>
        <v>PremiumS</v>
      </c>
      <c r="G241" s="7">
        <f>VLOOKUP(D241,[1]characters!$A:$I,9,FALSE)</f>
        <v>4</v>
      </c>
      <c r="H241" s="7" t="str">
        <f>VLOOKUP(D241,[1]characters!$A:$H,8,FALSE)</f>
        <v>blue</v>
      </c>
      <c r="I241" s="7" t="str">
        <f>VLOOKUP(D241,[1]characters!$A:$K,11,FALSE)</f>
        <v>hp</v>
      </c>
      <c r="J241" s="7" t="str">
        <f>VLOOKUP(D241,[1]characters!$A:$M,13,FALSE)</f>
        <v>unknown</v>
      </c>
      <c r="K241" s="7" t="str">
        <f>VLOOKUP(D241,[1]characters!$A:$G,7,FALSE)</f>
        <v>不明</v>
      </c>
      <c r="L241" s="66">
        <f>IFERROR(VLOOKUP(D241,input_2!L:R,7,FALSE),VLOOKUP(tables_2!B241,input_2!A:H,8,FALSE))</f>
        <v>306423</v>
      </c>
      <c r="M241" s="67">
        <f t="shared" si="9"/>
        <v>5.8986486486486489E-3</v>
      </c>
      <c r="N241" s="31">
        <f>IFERROR(VLOOKUP($D241,bug_conf_sheet!$A:$H,3,FALSE),VLOOKUP("other",bug_conf_sheet!$A:$H,3,FALSE))</f>
        <v>1</v>
      </c>
      <c r="O241" s="31">
        <f>IFERROR(VLOOKUP($D241,bug_conf_sheet!$A:$H,4,FALSE),VLOOKUP("other",bug_conf_sheet!$A:$H,4,FALSE))</f>
        <v>0</v>
      </c>
      <c r="P241" s="31">
        <f>IFERROR(VLOOKUP($D241,bug_conf_sheet!$A:$H,5,FALSE),VLOOKUP("other",bug_conf_sheet!$A:$H,5,FALSE))</f>
        <v>0</v>
      </c>
      <c r="Q241" s="31">
        <f>IFERROR(VLOOKUP($D241,bug_conf_sheet!$A:$H,6,FALSE),VLOOKUP("other",bug_conf_sheet!$A:$H,6,FALSE))</f>
        <v>0</v>
      </c>
      <c r="R241" s="31">
        <f>IFERROR(VLOOKUP($D241,bug_conf_sheet!$A:$H,7,FALSE),VLOOKUP("other",bug_conf_sheet!$A:$H,7,FALSE))</f>
        <v>0</v>
      </c>
      <c r="S241" s="31">
        <f>IFERROR(VLOOKUP($D241,bug_conf_sheet!$A:$H,8,FALSE),VLOOKUP("other",bug_conf_sheet!$A:$H,8,FALSE))</f>
        <v>1</v>
      </c>
    </row>
    <row r="242" spans="1:19" ht="21" customHeight="1">
      <c r="A242" s="2">
        <f>input_2!A$2</f>
        <v>3122</v>
      </c>
      <c r="B242" s="7" t="str">
        <f t="shared" si="10"/>
        <v>Premium5</v>
      </c>
      <c r="C242" s="7" t="str">
        <f t="shared" si="11"/>
        <v>Premium</v>
      </c>
      <c r="D242" s="6">
        <v>664</v>
      </c>
      <c r="E242" s="7" t="str">
        <f>VLOOKUP(D242,[1]characters!$A:$C,3,FALSE)</f>
        <v>山掴み国造り ダイダラ</v>
      </c>
      <c r="F242" s="7" t="str">
        <f>VLOOKUP(D242,[1]characters!$A:$J,10,FALSE)</f>
        <v>PremiumS</v>
      </c>
      <c r="G242" s="7">
        <f>VLOOKUP(D242,[1]characters!$A:$I,9,FALSE)</f>
        <v>5</v>
      </c>
      <c r="H242" s="7" t="str">
        <f>VLOOKUP(D242,[1]characters!$A:$H,8,FALSE)</f>
        <v>blue</v>
      </c>
      <c r="I242" s="7" t="str">
        <f>VLOOKUP(D242,[1]characters!$A:$K,11,FALSE)</f>
        <v>hp</v>
      </c>
      <c r="J242" s="7" t="str">
        <f>VLOOKUP(D242,[1]characters!$A:$M,13,FALSE)</f>
        <v>unknown</v>
      </c>
      <c r="K242" s="7" t="str">
        <f>VLOOKUP(D242,[1]characters!$A:$G,7,FALSE)</f>
        <v>不明</v>
      </c>
      <c r="L242" s="66">
        <f>IFERROR(VLOOKUP(D242,input_2!L:R,7,FALSE),VLOOKUP(tables_2!B242,input_2!A:H,8,FALSE))</f>
        <v>46657</v>
      </c>
      <c r="M242" s="67">
        <f t="shared" si="9"/>
        <v>8.9814814814814813E-4</v>
      </c>
      <c r="N242" s="31">
        <f>IFERROR(VLOOKUP($D242,bug_conf_sheet!$A:$H,3,FALSE),VLOOKUP("other",bug_conf_sheet!$A:$H,3,FALSE))</f>
        <v>1</v>
      </c>
      <c r="O242" s="31">
        <f>IFERROR(VLOOKUP($D242,bug_conf_sheet!$A:$H,4,FALSE),VLOOKUP("other",bug_conf_sheet!$A:$H,4,FALSE))</f>
        <v>0</v>
      </c>
      <c r="P242" s="31">
        <f>IFERROR(VLOOKUP($D242,bug_conf_sheet!$A:$H,5,FALSE),VLOOKUP("other",bug_conf_sheet!$A:$H,5,FALSE))</f>
        <v>0</v>
      </c>
      <c r="Q242" s="31">
        <f>IFERROR(VLOOKUP($D242,bug_conf_sheet!$A:$H,6,FALSE),VLOOKUP("other",bug_conf_sheet!$A:$H,6,FALSE))</f>
        <v>0</v>
      </c>
      <c r="R242" s="31">
        <f>IFERROR(VLOOKUP($D242,bug_conf_sheet!$A:$H,7,FALSE),VLOOKUP("other",bug_conf_sheet!$A:$H,7,FALSE))</f>
        <v>0</v>
      </c>
      <c r="S242" s="31">
        <f>IFERROR(VLOOKUP($D242,bug_conf_sheet!$A:$H,8,FALSE),VLOOKUP("other",bug_conf_sheet!$A:$H,8,FALSE))</f>
        <v>1</v>
      </c>
    </row>
    <row r="243" spans="1:19" ht="21" customHeight="1">
      <c r="A243" s="2">
        <f>input_2!A$2</f>
        <v>3122</v>
      </c>
      <c r="B243" s="7" t="str">
        <f t="shared" si="10"/>
        <v>Premium3</v>
      </c>
      <c r="C243" s="7" t="str">
        <f t="shared" si="11"/>
        <v>Premium</v>
      </c>
      <c r="D243" s="6">
        <v>665</v>
      </c>
      <c r="E243" s="7" t="str">
        <f>VLOOKUP(D243,[1]characters!$A:$C,3,FALSE)</f>
        <v>座敷童子 テマリ</v>
      </c>
      <c r="F243" s="7" t="str">
        <f>VLOOKUP(D243,[1]characters!$A:$J,10,FALSE)</f>
        <v>PremiumS</v>
      </c>
      <c r="G243" s="7">
        <f>VLOOKUP(D243,[1]characters!$A:$I,9,FALSE)</f>
        <v>3</v>
      </c>
      <c r="H243" s="7" t="str">
        <f>VLOOKUP(D243,[1]characters!$A:$H,8,FALSE)</f>
        <v>yellow</v>
      </c>
      <c r="I243" s="7" t="str">
        <f>VLOOKUP(D243,[1]characters!$A:$K,11,FALSE)</f>
        <v>balance</v>
      </c>
      <c r="J243" s="7" t="str">
        <f>VLOOKUP(D243,[1]characters!$A:$M,13,FALSE)</f>
        <v>unknown</v>
      </c>
      <c r="K243" s="7" t="str">
        <f>VLOOKUP(D243,[1]characters!$A:$G,7,FALSE)</f>
        <v>女性</v>
      </c>
      <c r="L243" s="66">
        <f>IFERROR(VLOOKUP(D243,input_2!L:R,7,FALSE),VLOOKUP(tables_2!B243,input_2!A:H,8,FALSE))</f>
        <v>351000</v>
      </c>
      <c r="M243" s="67">
        <f t="shared" si="9"/>
        <v>6.7567567567567571E-3</v>
      </c>
      <c r="N243" s="31">
        <f>IFERROR(VLOOKUP($D243,bug_conf_sheet!$A:$H,3,FALSE),VLOOKUP("other",bug_conf_sheet!$A:$H,3,FALSE))</f>
        <v>1</v>
      </c>
      <c r="O243" s="31">
        <f>IFERROR(VLOOKUP($D243,bug_conf_sheet!$A:$H,4,FALSE),VLOOKUP("other",bug_conf_sheet!$A:$H,4,FALSE))</f>
        <v>0</v>
      </c>
      <c r="P243" s="31">
        <f>IFERROR(VLOOKUP($D243,bug_conf_sheet!$A:$H,5,FALSE),VLOOKUP("other",bug_conf_sheet!$A:$H,5,FALSE))</f>
        <v>0</v>
      </c>
      <c r="Q243" s="31">
        <f>IFERROR(VLOOKUP($D243,bug_conf_sheet!$A:$H,6,FALSE),VLOOKUP("other",bug_conf_sheet!$A:$H,6,FALSE))</f>
        <v>0</v>
      </c>
      <c r="R243" s="31">
        <f>IFERROR(VLOOKUP($D243,bug_conf_sheet!$A:$H,7,FALSE),VLOOKUP("other",bug_conf_sheet!$A:$H,7,FALSE))</f>
        <v>0</v>
      </c>
      <c r="S243" s="31">
        <f>IFERROR(VLOOKUP($D243,bug_conf_sheet!$A:$H,8,FALSE),VLOOKUP("other",bug_conf_sheet!$A:$H,8,FALSE))</f>
        <v>1</v>
      </c>
    </row>
    <row r="244" spans="1:19" ht="21" customHeight="1">
      <c r="A244" s="2">
        <f>input_2!A$2</f>
        <v>3122</v>
      </c>
      <c r="B244" s="7" t="str">
        <f t="shared" si="10"/>
        <v>Premium4</v>
      </c>
      <c r="C244" s="7" t="str">
        <f t="shared" si="11"/>
        <v>Premium</v>
      </c>
      <c r="D244" s="6">
        <v>666</v>
      </c>
      <c r="E244" s="7" t="str">
        <f>VLOOKUP(D244,[1]characters!$A:$C,3,FALSE)</f>
        <v>拡散する幸福 テマリ</v>
      </c>
      <c r="F244" s="7" t="str">
        <f>VLOOKUP(D244,[1]characters!$A:$J,10,FALSE)</f>
        <v>PremiumS</v>
      </c>
      <c r="G244" s="7">
        <f>VLOOKUP(D244,[1]characters!$A:$I,9,FALSE)</f>
        <v>4</v>
      </c>
      <c r="H244" s="7" t="str">
        <f>VLOOKUP(D244,[1]characters!$A:$H,8,FALSE)</f>
        <v>yellow</v>
      </c>
      <c r="I244" s="7" t="str">
        <f>VLOOKUP(D244,[1]characters!$A:$K,11,FALSE)</f>
        <v>balance</v>
      </c>
      <c r="J244" s="7" t="str">
        <f>VLOOKUP(D244,[1]characters!$A:$M,13,FALSE)</f>
        <v>unknown</v>
      </c>
      <c r="K244" s="7" t="str">
        <f>VLOOKUP(D244,[1]characters!$A:$G,7,FALSE)</f>
        <v>女性</v>
      </c>
      <c r="L244" s="66">
        <f>IFERROR(VLOOKUP(D244,input_2!L:R,7,FALSE),VLOOKUP(tables_2!B244,input_2!A:H,8,FALSE))</f>
        <v>306423</v>
      </c>
      <c r="M244" s="67">
        <f t="shared" si="9"/>
        <v>5.8986486486486489E-3</v>
      </c>
      <c r="N244" s="31">
        <f>IFERROR(VLOOKUP($D244,bug_conf_sheet!$A:$H,3,FALSE),VLOOKUP("other",bug_conf_sheet!$A:$H,3,FALSE))</f>
        <v>1</v>
      </c>
      <c r="O244" s="31">
        <f>IFERROR(VLOOKUP($D244,bug_conf_sheet!$A:$H,4,FALSE),VLOOKUP("other",bug_conf_sheet!$A:$H,4,FALSE))</f>
        <v>0</v>
      </c>
      <c r="P244" s="31">
        <f>IFERROR(VLOOKUP($D244,bug_conf_sheet!$A:$H,5,FALSE),VLOOKUP("other",bug_conf_sheet!$A:$H,5,FALSE))</f>
        <v>0</v>
      </c>
      <c r="Q244" s="31">
        <f>IFERROR(VLOOKUP($D244,bug_conf_sheet!$A:$H,6,FALSE),VLOOKUP("other",bug_conf_sheet!$A:$H,6,FALSE))</f>
        <v>0</v>
      </c>
      <c r="R244" s="31">
        <f>IFERROR(VLOOKUP($D244,bug_conf_sheet!$A:$H,7,FALSE),VLOOKUP("other",bug_conf_sheet!$A:$H,7,FALSE))</f>
        <v>0</v>
      </c>
      <c r="S244" s="31">
        <f>IFERROR(VLOOKUP($D244,bug_conf_sheet!$A:$H,8,FALSE),VLOOKUP("other",bug_conf_sheet!$A:$H,8,FALSE))</f>
        <v>1</v>
      </c>
    </row>
    <row r="245" spans="1:19" ht="21" customHeight="1">
      <c r="A245" s="2">
        <f>input_2!A$2</f>
        <v>3122</v>
      </c>
      <c r="B245" s="7" t="str">
        <f t="shared" si="10"/>
        <v>Premium5</v>
      </c>
      <c r="C245" s="7" t="str">
        <f t="shared" si="11"/>
        <v>Premium</v>
      </c>
      <c r="D245" s="6">
        <v>667</v>
      </c>
      <c r="E245" s="7" t="str">
        <f>VLOOKUP(D245,[1]characters!$A:$C,3,FALSE)</f>
        <v>最幸運の妖童 テマリ</v>
      </c>
      <c r="F245" s="7" t="str">
        <f>VLOOKUP(D245,[1]characters!$A:$J,10,FALSE)</f>
        <v>PremiumS</v>
      </c>
      <c r="G245" s="7">
        <f>VLOOKUP(D245,[1]characters!$A:$I,9,FALSE)</f>
        <v>5</v>
      </c>
      <c r="H245" s="7" t="str">
        <f>VLOOKUP(D245,[1]characters!$A:$H,8,FALSE)</f>
        <v>yellow</v>
      </c>
      <c r="I245" s="7" t="str">
        <f>VLOOKUP(D245,[1]characters!$A:$K,11,FALSE)</f>
        <v>balance</v>
      </c>
      <c r="J245" s="7" t="str">
        <f>VLOOKUP(D245,[1]characters!$A:$M,13,FALSE)</f>
        <v>unknown</v>
      </c>
      <c r="K245" s="7" t="str">
        <f>VLOOKUP(D245,[1]characters!$A:$G,7,FALSE)</f>
        <v>女性</v>
      </c>
      <c r="L245" s="66">
        <f>IFERROR(VLOOKUP(D245,input_2!L:R,7,FALSE),VLOOKUP(tables_2!B245,input_2!A:H,8,FALSE))</f>
        <v>46657</v>
      </c>
      <c r="M245" s="67">
        <f t="shared" si="9"/>
        <v>8.9814814814814813E-4</v>
      </c>
      <c r="N245" s="31">
        <f>IFERROR(VLOOKUP($D245,bug_conf_sheet!$A:$H,3,FALSE),VLOOKUP("other",bug_conf_sheet!$A:$H,3,FALSE))</f>
        <v>1</v>
      </c>
      <c r="O245" s="31">
        <f>IFERROR(VLOOKUP($D245,bug_conf_sheet!$A:$H,4,FALSE),VLOOKUP("other",bug_conf_sheet!$A:$H,4,FALSE))</f>
        <v>0</v>
      </c>
      <c r="P245" s="31">
        <f>IFERROR(VLOOKUP($D245,bug_conf_sheet!$A:$H,5,FALSE),VLOOKUP("other",bug_conf_sheet!$A:$H,5,FALSE))</f>
        <v>0</v>
      </c>
      <c r="Q245" s="31">
        <f>IFERROR(VLOOKUP($D245,bug_conf_sheet!$A:$H,6,FALSE),VLOOKUP("other",bug_conf_sheet!$A:$H,6,FALSE))</f>
        <v>0</v>
      </c>
      <c r="R245" s="31">
        <f>IFERROR(VLOOKUP($D245,bug_conf_sheet!$A:$H,7,FALSE),VLOOKUP("other",bug_conf_sheet!$A:$H,7,FALSE))</f>
        <v>0</v>
      </c>
      <c r="S245" s="31">
        <f>IFERROR(VLOOKUP($D245,bug_conf_sheet!$A:$H,8,FALSE),VLOOKUP("other",bug_conf_sheet!$A:$H,8,FALSE))</f>
        <v>1</v>
      </c>
    </row>
    <row r="246" spans="1:19" ht="21" customHeight="1">
      <c r="A246" s="2">
        <f>input_2!A$2</f>
        <v>3122</v>
      </c>
      <c r="B246" s="7" t="str">
        <f t="shared" si="10"/>
        <v>Premium3</v>
      </c>
      <c r="C246" s="7" t="str">
        <f t="shared" si="11"/>
        <v>Premium</v>
      </c>
      <c r="D246" s="6">
        <v>668</v>
      </c>
      <c r="E246" s="7" t="str">
        <f>VLOOKUP(D246,[1]characters!$A:$C,3,FALSE)</f>
        <v>アグニ</v>
      </c>
      <c r="F246" s="7" t="str">
        <f>VLOOKUP(D246,[1]characters!$A:$J,10,FALSE)</f>
        <v>PremiumS</v>
      </c>
      <c r="G246" s="7">
        <f>VLOOKUP(D246,[1]characters!$A:$I,9,FALSE)</f>
        <v>3</v>
      </c>
      <c r="H246" s="7" t="str">
        <f>VLOOKUP(D246,[1]characters!$A:$H,8,FALSE)</f>
        <v>red</v>
      </c>
      <c r="I246" s="7" t="str">
        <f>VLOOKUP(D246,[1]characters!$A:$K,11,FALSE)</f>
        <v>hp</v>
      </c>
      <c r="J246" s="7" t="str">
        <f>VLOOKUP(D246,[1]characters!$A:$M,13,FALSE)</f>
        <v>god</v>
      </c>
      <c r="K246" s="7" t="str">
        <f>VLOOKUP(D246,[1]characters!$A:$G,7,FALSE)</f>
        <v>男性</v>
      </c>
      <c r="L246" s="66">
        <f>IFERROR(VLOOKUP(D246,input_2!L:R,7,FALSE),VLOOKUP(tables_2!B246,input_2!A:H,8,FALSE))</f>
        <v>351000</v>
      </c>
      <c r="M246" s="67">
        <f t="shared" si="9"/>
        <v>6.7567567567567571E-3</v>
      </c>
      <c r="N246" s="31">
        <f>IFERROR(VLOOKUP($D246,bug_conf_sheet!$A:$H,3,FALSE),VLOOKUP("other",bug_conf_sheet!$A:$H,3,FALSE))</f>
        <v>1</v>
      </c>
      <c r="O246" s="31">
        <f>IFERROR(VLOOKUP($D246,bug_conf_sheet!$A:$H,4,FALSE),VLOOKUP("other",bug_conf_sheet!$A:$H,4,FALSE))</f>
        <v>0</v>
      </c>
      <c r="P246" s="31">
        <f>IFERROR(VLOOKUP($D246,bug_conf_sheet!$A:$H,5,FALSE),VLOOKUP("other",bug_conf_sheet!$A:$H,5,FALSE))</f>
        <v>0</v>
      </c>
      <c r="Q246" s="31">
        <f>IFERROR(VLOOKUP($D246,bug_conf_sheet!$A:$H,6,FALSE),VLOOKUP("other",bug_conf_sheet!$A:$H,6,FALSE))</f>
        <v>0</v>
      </c>
      <c r="R246" s="31">
        <f>IFERROR(VLOOKUP($D246,bug_conf_sheet!$A:$H,7,FALSE),VLOOKUP("other",bug_conf_sheet!$A:$H,7,FALSE))</f>
        <v>0</v>
      </c>
      <c r="S246" s="31">
        <f>IFERROR(VLOOKUP($D246,bug_conf_sheet!$A:$H,8,FALSE),VLOOKUP("other",bug_conf_sheet!$A:$H,8,FALSE))</f>
        <v>1</v>
      </c>
    </row>
    <row r="247" spans="1:19" ht="21" customHeight="1">
      <c r="A247" s="2">
        <f>input_2!A$2</f>
        <v>3122</v>
      </c>
      <c r="B247" s="7" t="str">
        <f t="shared" si="10"/>
        <v>Premium4</v>
      </c>
      <c r="C247" s="7" t="str">
        <f t="shared" si="11"/>
        <v>Premium</v>
      </c>
      <c r="D247" s="6">
        <v>669</v>
      </c>
      <c r="E247" s="7" t="str">
        <f>VLOOKUP(D247,[1]characters!$A:$C,3,FALSE)</f>
        <v>天地の仲界 アグニ</v>
      </c>
      <c r="F247" s="7" t="str">
        <f>VLOOKUP(D247,[1]characters!$A:$J,10,FALSE)</f>
        <v>PremiumS</v>
      </c>
      <c r="G247" s="7">
        <f>VLOOKUP(D247,[1]characters!$A:$I,9,FALSE)</f>
        <v>4</v>
      </c>
      <c r="H247" s="7" t="str">
        <f>VLOOKUP(D247,[1]characters!$A:$H,8,FALSE)</f>
        <v>red</v>
      </c>
      <c r="I247" s="7" t="str">
        <f>VLOOKUP(D247,[1]characters!$A:$K,11,FALSE)</f>
        <v>hp</v>
      </c>
      <c r="J247" s="7" t="str">
        <f>VLOOKUP(D247,[1]characters!$A:$M,13,FALSE)</f>
        <v>god</v>
      </c>
      <c r="K247" s="7" t="str">
        <f>VLOOKUP(D247,[1]characters!$A:$G,7,FALSE)</f>
        <v>男性</v>
      </c>
      <c r="L247" s="66">
        <f>IFERROR(VLOOKUP(D247,input_2!L:R,7,FALSE),VLOOKUP(tables_2!B247,input_2!A:H,8,FALSE))</f>
        <v>306423</v>
      </c>
      <c r="M247" s="67">
        <f t="shared" si="9"/>
        <v>5.8986486486486489E-3</v>
      </c>
      <c r="N247" s="31">
        <f>IFERROR(VLOOKUP($D247,bug_conf_sheet!$A:$H,3,FALSE),VLOOKUP("other",bug_conf_sheet!$A:$H,3,FALSE))</f>
        <v>1</v>
      </c>
      <c r="O247" s="31">
        <f>IFERROR(VLOOKUP($D247,bug_conf_sheet!$A:$H,4,FALSE),VLOOKUP("other",bug_conf_sheet!$A:$H,4,FALSE))</f>
        <v>0</v>
      </c>
      <c r="P247" s="31">
        <f>IFERROR(VLOOKUP($D247,bug_conf_sheet!$A:$H,5,FALSE),VLOOKUP("other",bug_conf_sheet!$A:$H,5,FALSE))</f>
        <v>0</v>
      </c>
      <c r="Q247" s="31">
        <f>IFERROR(VLOOKUP($D247,bug_conf_sheet!$A:$H,6,FALSE),VLOOKUP("other",bug_conf_sheet!$A:$H,6,FALSE))</f>
        <v>0</v>
      </c>
      <c r="R247" s="31">
        <f>IFERROR(VLOOKUP($D247,bug_conf_sheet!$A:$H,7,FALSE),VLOOKUP("other",bug_conf_sheet!$A:$H,7,FALSE))</f>
        <v>0</v>
      </c>
      <c r="S247" s="31">
        <f>IFERROR(VLOOKUP($D247,bug_conf_sheet!$A:$H,8,FALSE),VLOOKUP("other",bug_conf_sheet!$A:$H,8,FALSE))</f>
        <v>1</v>
      </c>
    </row>
    <row r="248" spans="1:19" ht="21" customHeight="1">
      <c r="A248" s="2">
        <f>input_2!A$2</f>
        <v>3122</v>
      </c>
      <c r="B248" s="7" t="str">
        <f t="shared" si="10"/>
        <v>Premium5</v>
      </c>
      <c r="C248" s="7" t="str">
        <f t="shared" si="11"/>
        <v>Premium</v>
      </c>
      <c r="D248" s="6">
        <v>670</v>
      </c>
      <c r="E248" s="7" t="str">
        <f>VLOOKUP(D248,[1]characters!$A:$C,3,FALSE)</f>
        <v>陽天の噴煙 アグニ</v>
      </c>
      <c r="F248" s="7" t="str">
        <f>VLOOKUP(D248,[1]characters!$A:$J,10,FALSE)</f>
        <v>PremiumS</v>
      </c>
      <c r="G248" s="7">
        <f>VLOOKUP(D248,[1]characters!$A:$I,9,FALSE)</f>
        <v>5</v>
      </c>
      <c r="H248" s="7" t="str">
        <f>VLOOKUP(D248,[1]characters!$A:$H,8,FALSE)</f>
        <v>red</v>
      </c>
      <c r="I248" s="7" t="str">
        <f>VLOOKUP(D248,[1]characters!$A:$K,11,FALSE)</f>
        <v>hp</v>
      </c>
      <c r="J248" s="7" t="str">
        <f>VLOOKUP(D248,[1]characters!$A:$M,13,FALSE)</f>
        <v>god</v>
      </c>
      <c r="K248" s="7" t="str">
        <f>VLOOKUP(D248,[1]characters!$A:$G,7,FALSE)</f>
        <v>男性</v>
      </c>
      <c r="L248" s="66">
        <f>IFERROR(VLOOKUP(D248,input_2!L:R,7,FALSE),VLOOKUP(tables_2!B248,input_2!A:H,8,FALSE))</f>
        <v>46657</v>
      </c>
      <c r="M248" s="67">
        <f t="shared" si="9"/>
        <v>8.9814814814814813E-4</v>
      </c>
      <c r="N248" s="31">
        <f>IFERROR(VLOOKUP($D248,bug_conf_sheet!$A:$H,3,FALSE),VLOOKUP("other",bug_conf_sheet!$A:$H,3,FALSE))</f>
        <v>1</v>
      </c>
      <c r="O248" s="31">
        <f>IFERROR(VLOOKUP($D248,bug_conf_sheet!$A:$H,4,FALSE),VLOOKUP("other",bug_conf_sheet!$A:$H,4,FALSE))</f>
        <v>0</v>
      </c>
      <c r="P248" s="31">
        <f>IFERROR(VLOOKUP($D248,bug_conf_sheet!$A:$H,5,FALSE),VLOOKUP("other",bug_conf_sheet!$A:$H,5,FALSE))</f>
        <v>0</v>
      </c>
      <c r="Q248" s="31">
        <f>IFERROR(VLOOKUP($D248,bug_conf_sheet!$A:$H,6,FALSE),VLOOKUP("other",bug_conf_sheet!$A:$H,6,FALSE))</f>
        <v>0</v>
      </c>
      <c r="R248" s="31">
        <f>IFERROR(VLOOKUP($D248,bug_conf_sheet!$A:$H,7,FALSE),VLOOKUP("other",bug_conf_sheet!$A:$H,7,FALSE))</f>
        <v>0</v>
      </c>
      <c r="S248" s="31">
        <f>IFERROR(VLOOKUP($D248,bug_conf_sheet!$A:$H,8,FALSE),VLOOKUP("other",bug_conf_sheet!$A:$H,8,FALSE))</f>
        <v>1</v>
      </c>
    </row>
    <row r="249" spans="1:19" ht="21" customHeight="1">
      <c r="A249" s="2">
        <f>input_2!A$2</f>
        <v>3122</v>
      </c>
      <c r="B249" s="7" t="str">
        <f t="shared" si="10"/>
        <v>Premium3</v>
      </c>
      <c r="C249" s="7" t="str">
        <f t="shared" si="11"/>
        <v>Premium</v>
      </c>
      <c r="D249" s="6">
        <v>671</v>
      </c>
      <c r="E249" s="7" t="str">
        <f>VLOOKUP(D249,[1]characters!$A:$C,3,FALSE)</f>
        <v>ハヌマーン</v>
      </c>
      <c r="F249" s="7" t="str">
        <f>VLOOKUP(D249,[1]characters!$A:$J,10,FALSE)</f>
        <v>PremiumS</v>
      </c>
      <c r="G249" s="7">
        <f>VLOOKUP(D249,[1]characters!$A:$I,9,FALSE)</f>
        <v>3</v>
      </c>
      <c r="H249" s="7" t="str">
        <f>VLOOKUP(D249,[1]characters!$A:$H,8,FALSE)</f>
        <v>green</v>
      </c>
      <c r="I249" s="7" t="str">
        <f>VLOOKUP(D249,[1]characters!$A:$K,11,FALSE)</f>
        <v>attack</v>
      </c>
      <c r="J249" s="7" t="str">
        <f>VLOOKUP(D249,[1]characters!$A:$M,13,FALSE)</f>
        <v>animal</v>
      </c>
      <c r="K249" s="7" t="str">
        <f>VLOOKUP(D249,[1]characters!$A:$G,7,FALSE)</f>
        <v>男性</v>
      </c>
      <c r="L249" s="66">
        <f>IFERROR(VLOOKUP(D249,input_2!L:R,7,FALSE),VLOOKUP(tables_2!B249,input_2!A:H,8,FALSE))</f>
        <v>351000</v>
      </c>
      <c r="M249" s="67">
        <f t="shared" si="9"/>
        <v>6.7567567567567571E-3</v>
      </c>
      <c r="N249" s="31">
        <f>IFERROR(VLOOKUP($D249,bug_conf_sheet!$A:$H,3,FALSE),VLOOKUP("other",bug_conf_sheet!$A:$H,3,FALSE))</f>
        <v>1</v>
      </c>
      <c r="O249" s="31">
        <f>IFERROR(VLOOKUP($D249,bug_conf_sheet!$A:$H,4,FALSE),VLOOKUP("other",bug_conf_sheet!$A:$H,4,FALSE))</f>
        <v>0</v>
      </c>
      <c r="P249" s="31">
        <f>IFERROR(VLOOKUP($D249,bug_conf_sheet!$A:$H,5,FALSE),VLOOKUP("other",bug_conf_sheet!$A:$H,5,FALSE))</f>
        <v>0</v>
      </c>
      <c r="Q249" s="31">
        <f>IFERROR(VLOOKUP($D249,bug_conf_sheet!$A:$H,6,FALSE),VLOOKUP("other",bug_conf_sheet!$A:$H,6,FALSE))</f>
        <v>0</v>
      </c>
      <c r="R249" s="31">
        <f>IFERROR(VLOOKUP($D249,bug_conf_sheet!$A:$H,7,FALSE),VLOOKUP("other",bug_conf_sheet!$A:$H,7,FALSE))</f>
        <v>0</v>
      </c>
      <c r="S249" s="31">
        <f>IFERROR(VLOOKUP($D249,bug_conf_sheet!$A:$H,8,FALSE),VLOOKUP("other",bug_conf_sheet!$A:$H,8,FALSE))</f>
        <v>1</v>
      </c>
    </row>
    <row r="250" spans="1:19" ht="21" customHeight="1">
      <c r="A250" s="2">
        <f>input_2!A$2</f>
        <v>3122</v>
      </c>
      <c r="B250" s="7" t="str">
        <f t="shared" si="10"/>
        <v>Premium4</v>
      </c>
      <c r="C250" s="7" t="str">
        <f t="shared" si="11"/>
        <v>Premium</v>
      </c>
      <c r="D250" s="6">
        <v>672</v>
      </c>
      <c r="E250" s="7" t="str">
        <f>VLOOKUP(D250,[1]characters!$A:$C,3,FALSE)</f>
        <v>西遊韋駄天 ハヌマーン</v>
      </c>
      <c r="F250" s="7" t="str">
        <f>VLOOKUP(D250,[1]characters!$A:$J,10,FALSE)</f>
        <v>PremiumS</v>
      </c>
      <c r="G250" s="7">
        <f>VLOOKUP(D250,[1]characters!$A:$I,9,FALSE)</f>
        <v>4</v>
      </c>
      <c r="H250" s="7" t="str">
        <f>VLOOKUP(D250,[1]characters!$A:$H,8,FALSE)</f>
        <v>green</v>
      </c>
      <c r="I250" s="7" t="str">
        <f>VLOOKUP(D250,[1]characters!$A:$K,11,FALSE)</f>
        <v>attack</v>
      </c>
      <c r="J250" s="7" t="str">
        <f>VLOOKUP(D250,[1]characters!$A:$M,13,FALSE)</f>
        <v>animal</v>
      </c>
      <c r="K250" s="7" t="str">
        <f>VLOOKUP(D250,[1]characters!$A:$G,7,FALSE)</f>
        <v>男性</v>
      </c>
      <c r="L250" s="66">
        <f>IFERROR(VLOOKUP(D250,input_2!L:R,7,FALSE),VLOOKUP(tables_2!B250,input_2!A:H,8,FALSE))</f>
        <v>306423</v>
      </c>
      <c r="M250" s="67">
        <f t="shared" si="9"/>
        <v>5.8986486486486489E-3</v>
      </c>
      <c r="N250" s="31">
        <f>IFERROR(VLOOKUP($D250,bug_conf_sheet!$A:$H,3,FALSE),VLOOKUP("other",bug_conf_sheet!$A:$H,3,FALSE))</f>
        <v>1</v>
      </c>
      <c r="O250" s="31">
        <f>IFERROR(VLOOKUP($D250,bug_conf_sheet!$A:$H,4,FALSE),VLOOKUP("other",bug_conf_sheet!$A:$H,4,FALSE))</f>
        <v>0</v>
      </c>
      <c r="P250" s="31">
        <f>IFERROR(VLOOKUP($D250,bug_conf_sheet!$A:$H,5,FALSE),VLOOKUP("other",bug_conf_sheet!$A:$H,5,FALSE))</f>
        <v>0</v>
      </c>
      <c r="Q250" s="31">
        <f>IFERROR(VLOOKUP($D250,bug_conf_sheet!$A:$H,6,FALSE),VLOOKUP("other",bug_conf_sheet!$A:$H,6,FALSE))</f>
        <v>0</v>
      </c>
      <c r="R250" s="31">
        <f>IFERROR(VLOOKUP($D250,bug_conf_sheet!$A:$H,7,FALSE),VLOOKUP("other",bug_conf_sheet!$A:$H,7,FALSE))</f>
        <v>0</v>
      </c>
      <c r="S250" s="31">
        <f>IFERROR(VLOOKUP($D250,bug_conf_sheet!$A:$H,8,FALSE),VLOOKUP("other",bug_conf_sheet!$A:$H,8,FALSE))</f>
        <v>1</v>
      </c>
    </row>
    <row r="251" spans="1:19" ht="21" customHeight="1">
      <c r="A251" s="2">
        <f>input_2!A$2</f>
        <v>3122</v>
      </c>
      <c r="B251" s="7" t="str">
        <f t="shared" si="10"/>
        <v>Premium5</v>
      </c>
      <c r="C251" s="7" t="str">
        <f t="shared" si="11"/>
        <v>Premium</v>
      </c>
      <c r="D251" s="6">
        <v>673</v>
      </c>
      <c r="E251" s="7" t="str">
        <f>VLOOKUP(D251,[1]characters!$A:$C,3,FALSE)</f>
        <v>変幻自在の猿王 ハヌマーン</v>
      </c>
      <c r="F251" s="7" t="str">
        <f>VLOOKUP(D251,[1]characters!$A:$J,10,FALSE)</f>
        <v>PremiumS</v>
      </c>
      <c r="G251" s="7">
        <f>VLOOKUP(D251,[1]characters!$A:$I,9,FALSE)</f>
        <v>5</v>
      </c>
      <c r="H251" s="7" t="str">
        <f>VLOOKUP(D251,[1]characters!$A:$H,8,FALSE)</f>
        <v>green</v>
      </c>
      <c r="I251" s="7" t="str">
        <f>VLOOKUP(D251,[1]characters!$A:$K,11,FALSE)</f>
        <v>attack</v>
      </c>
      <c r="J251" s="7" t="str">
        <f>VLOOKUP(D251,[1]characters!$A:$M,13,FALSE)</f>
        <v>animal</v>
      </c>
      <c r="K251" s="7" t="str">
        <f>VLOOKUP(D251,[1]characters!$A:$G,7,FALSE)</f>
        <v>男性</v>
      </c>
      <c r="L251" s="66">
        <f>IFERROR(VLOOKUP(D251,input_2!L:R,7,FALSE),VLOOKUP(tables_2!B251,input_2!A:H,8,FALSE))</f>
        <v>46657</v>
      </c>
      <c r="M251" s="67">
        <f t="shared" si="9"/>
        <v>8.9814814814814813E-4</v>
      </c>
      <c r="N251" s="31">
        <f>IFERROR(VLOOKUP($D251,bug_conf_sheet!$A:$H,3,FALSE),VLOOKUP("other",bug_conf_sheet!$A:$H,3,FALSE))</f>
        <v>1</v>
      </c>
      <c r="O251" s="31">
        <f>IFERROR(VLOOKUP($D251,bug_conf_sheet!$A:$H,4,FALSE),VLOOKUP("other",bug_conf_sheet!$A:$H,4,FALSE))</f>
        <v>0</v>
      </c>
      <c r="P251" s="31">
        <f>IFERROR(VLOOKUP($D251,bug_conf_sheet!$A:$H,5,FALSE),VLOOKUP("other",bug_conf_sheet!$A:$H,5,FALSE))</f>
        <v>0</v>
      </c>
      <c r="Q251" s="31">
        <f>IFERROR(VLOOKUP($D251,bug_conf_sheet!$A:$H,6,FALSE),VLOOKUP("other",bug_conf_sheet!$A:$H,6,FALSE))</f>
        <v>0</v>
      </c>
      <c r="R251" s="31">
        <f>IFERROR(VLOOKUP($D251,bug_conf_sheet!$A:$H,7,FALSE),VLOOKUP("other",bug_conf_sheet!$A:$H,7,FALSE))</f>
        <v>0</v>
      </c>
      <c r="S251" s="31">
        <f>IFERROR(VLOOKUP($D251,bug_conf_sheet!$A:$H,8,FALSE),VLOOKUP("other",bug_conf_sheet!$A:$H,8,FALSE))</f>
        <v>1</v>
      </c>
    </row>
    <row r="252" spans="1:19" ht="21" customHeight="1">
      <c r="A252" s="2">
        <f>input_2!A$2</f>
        <v>3122</v>
      </c>
      <c r="B252" s="7" t="str">
        <f t="shared" si="10"/>
        <v>PremiumSS4</v>
      </c>
      <c r="C252" s="7" t="str">
        <f t="shared" si="11"/>
        <v>PremiumSS</v>
      </c>
      <c r="D252" s="6">
        <v>674</v>
      </c>
      <c r="E252" s="7" t="str">
        <f>VLOOKUP(D252,[1]characters!$A:$C,3,FALSE)</f>
        <v>サラスヴァティ</v>
      </c>
      <c r="F252" s="7" t="str">
        <f>VLOOKUP(D252,[1]characters!$A:$J,10,FALSE)</f>
        <v>PremiumSS</v>
      </c>
      <c r="G252" s="7">
        <f>VLOOKUP(D252,[1]characters!$A:$I,9,FALSE)</f>
        <v>4</v>
      </c>
      <c r="H252" s="7" t="str">
        <f>VLOOKUP(D252,[1]characters!$A:$H,8,FALSE)</f>
        <v>blue</v>
      </c>
      <c r="I252" s="7" t="str">
        <f>VLOOKUP(D252,[1]characters!$A:$K,11,FALSE)</f>
        <v>balance</v>
      </c>
      <c r="J252" s="7" t="str">
        <f>VLOOKUP(D252,[1]characters!$A:$M,13,FALSE)</f>
        <v>god</v>
      </c>
      <c r="K252" s="7" t="str">
        <f>VLOOKUP(D252,[1]characters!$A:$G,7,FALSE)</f>
        <v>女性</v>
      </c>
      <c r="L252" s="66">
        <f>IFERROR(VLOOKUP(D252,input_2!L:R,7,FALSE),VLOOKUP(tables_2!B252,input_2!A:H,8,FALSE))</f>
        <v>26973</v>
      </c>
      <c r="M252" s="67">
        <f t="shared" si="9"/>
        <v>5.1923076923076922E-4</v>
      </c>
      <c r="N252" s="31">
        <f>IFERROR(VLOOKUP($D252,bug_conf_sheet!$A:$H,3,FALSE),VLOOKUP("other",bug_conf_sheet!$A:$H,3,FALSE))</f>
        <v>1</v>
      </c>
      <c r="O252" s="31">
        <f>IFERROR(VLOOKUP($D252,bug_conf_sheet!$A:$H,4,FALSE),VLOOKUP("other",bug_conf_sheet!$A:$H,4,FALSE))</f>
        <v>0</v>
      </c>
      <c r="P252" s="31">
        <f>IFERROR(VLOOKUP($D252,bug_conf_sheet!$A:$H,5,FALSE),VLOOKUP("other",bug_conf_sheet!$A:$H,5,FALSE))</f>
        <v>0</v>
      </c>
      <c r="Q252" s="31">
        <f>IFERROR(VLOOKUP($D252,bug_conf_sheet!$A:$H,6,FALSE),VLOOKUP("other",bug_conf_sheet!$A:$H,6,FALSE))</f>
        <v>0</v>
      </c>
      <c r="R252" s="31">
        <f>IFERROR(VLOOKUP($D252,bug_conf_sheet!$A:$H,7,FALSE),VLOOKUP("other",bug_conf_sheet!$A:$H,7,FALSE))</f>
        <v>0</v>
      </c>
      <c r="S252" s="31">
        <f>IFERROR(VLOOKUP($D252,bug_conf_sheet!$A:$H,8,FALSE),VLOOKUP("other",bug_conf_sheet!$A:$H,8,FALSE))</f>
        <v>1</v>
      </c>
    </row>
    <row r="253" spans="1:19" ht="21" customHeight="1">
      <c r="A253" s="2">
        <f>input_2!A$2</f>
        <v>3122</v>
      </c>
      <c r="B253" s="7" t="str">
        <f t="shared" si="10"/>
        <v>PremiumSS5</v>
      </c>
      <c r="C253" s="7" t="str">
        <f t="shared" si="11"/>
        <v>PremiumSS</v>
      </c>
      <c r="D253" s="6">
        <v>675</v>
      </c>
      <c r="E253" s="7" t="str">
        <f>VLOOKUP(D253,[1]characters!$A:$C,3,FALSE)</f>
        <v>芸楽の奔流 サラスヴァティ</v>
      </c>
      <c r="F253" s="7" t="str">
        <f>VLOOKUP(D253,[1]characters!$A:$J,10,FALSE)</f>
        <v>PremiumSS</v>
      </c>
      <c r="G253" s="7">
        <f>VLOOKUP(D253,[1]characters!$A:$I,9,FALSE)</f>
        <v>5</v>
      </c>
      <c r="H253" s="7" t="str">
        <f>VLOOKUP(D253,[1]characters!$A:$H,8,FALSE)</f>
        <v>blue</v>
      </c>
      <c r="I253" s="7" t="str">
        <f>VLOOKUP(D253,[1]characters!$A:$K,11,FALSE)</f>
        <v>balance</v>
      </c>
      <c r="J253" s="7" t="str">
        <f>VLOOKUP(D253,[1]characters!$A:$M,13,FALSE)</f>
        <v>god</v>
      </c>
      <c r="K253" s="7" t="str">
        <f>VLOOKUP(D253,[1]characters!$A:$G,7,FALSE)</f>
        <v>女性</v>
      </c>
      <c r="L253" s="66">
        <f>IFERROR(VLOOKUP(D253,input_2!L:R,7,FALSE),VLOOKUP(tables_2!B253,input_2!A:H,8,FALSE))</f>
        <v>2997</v>
      </c>
      <c r="M253" s="67">
        <f t="shared" si="9"/>
        <v>5.7692307692307691E-5</v>
      </c>
      <c r="N253" s="31">
        <f>IFERROR(VLOOKUP($D253,bug_conf_sheet!$A:$H,3,FALSE),VLOOKUP("other",bug_conf_sheet!$A:$H,3,FALSE))</f>
        <v>1</v>
      </c>
      <c r="O253" s="31">
        <f>IFERROR(VLOOKUP($D253,bug_conf_sheet!$A:$H,4,FALSE),VLOOKUP("other",bug_conf_sheet!$A:$H,4,FALSE))</f>
        <v>0</v>
      </c>
      <c r="P253" s="31">
        <f>IFERROR(VLOOKUP($D253,bug_conf_sheet!$A:$H,5,FALSE),VLOOKUP("other",bug_conf_sheet!$A:$H,5,FALSE))</f>
        <v>0</v>
      </c>
      <c r="Q253" s="31">
        <f>IFERROR(VLOOKUP($D253,bug_conf_sheet!$A:$H,6,FALSE),VLOOKUP("other",bug_conf_sheet!$A:$H,6,FALSE))</f>
        <v>0</v>
      </c>
      <c r="R253" s="31">
        <f>IFERROR(VLOOKUP($D253,bug_conf_sheet!$A:$H,7,FALSE),VLOOKUP("other",bug_conf_sheet!$A:$H,7,FALSE))</f>
        <v>0</v>
      </c>
      <c r="S253" s="31">
        <f>IFERROR(VLOOKUP($D253,bug_conf_sheet!$A:$H,8,FALSE),VLOOKUP("other",bug_conf_sheet!$A:$H,8,FALSE))</f>
        <v>1</v>
      </c>
    </row>
    <row r="254" spans="1:19" ht="21" customHeight="1">
      <c r="A254" s="2">
        <f>input_2!A$2</f>
        <v>3122</v>
      </c>
      <c r="B254" s="7" t="str">
        <f t="shared" si="10"/>
        <v>PremiumSS4</v>
      </c>
      <c r="C254" s="7" t="str">
        <f t="shared" si="11"/>
        <v>PremiumSS</v>
      </c>
      <c r="D254" s="6">
        <v>676</v>
      </c>
      <c r="E254" s="7" t="str">
        <f>VLOOKUP(D254,[1]characters!$A:$C,3,FALSE)</f>
        <v>ヴィシュヌ</v>
      </c>
      <c r="F254" s="7" t="str">
        <f>VLOOKUP(D254,[1]characters!$A:$J,10,FALSE)</f>
        <v>PremiumSS</v>
      </c>
      <c r="G254" s="7">
        <f>VLOOKUP(D254,[1]characters!$A:$I,9,FALSE)</f>
        <v>4</v>
      </c>
      <c r="H254" s="7" t="str">
        <f>VLOOKUP(D254,[1]characters!$A:$H,8,FALSE)</f>
        <v>yellow</v>
      </c>
      <c r="I254" s="7" t="str">
        <f>VLOOKUP(D254,[1]characters!$A:$K,11,FALSE)</f>
        <v>attack</v>
      </c>
      <c r="J254" s="7" t="str">
        <f>VLOOKUP(D254,[1]characters!$A:$M,13,FALSE)</f>
        <v>god</v>
      </c>
      <c r="K254" s="7" t="str">
        <f>VLOOKUP(D254,[1]characters!$A:$G,7,FALSE)</f>
        <v>女性</v>
      </c>
      <c r="L254" s="66">
        <f>IFERROR(VLOOKUP(D254,input_2!L:R,7,FALSE),VLOOKUP(tables_2!B254,input_2!A:H,8,FALSE))</f>
        <v>26973</v>
      </c>
      <c r="M254" s="67">
        <f t="shared" si="9"/>
        <v>5.1923076923076922E-4</v>
      </c>
      <c r="N254" s="31">
        <f>IFERROR(VLOOKUP($D254,bug_conf_sheet!$A:$H,3,FALSE),VLOOKUP("other",bug_conf_sheet!$A:$H,3,FALSE))</f>
        <v>1</v>
      </c>
      <c r="O254" s="31">
        <f>IFERROR(VLOOKUP($D254,bug_conf_sheet!$A:$H,4,FALSE),VLOOKUP("other",bug_conf_sheet!$A:$H,4,FALSE))</f>
        <v>0</v>
      </c>
      <c r="P254" s="31">
        <f>IFERROR(VLOOKUP($D254,bug_conf_sheet!$A:$H,5,FALSE),VLOOKUP("other",bug_conf_sheet!$A:$H,5,FALSE))</f>
        <v>0</v>
      </c>
      <c r="Q254" s="31">
        <f>IFERROR(VLOOKUP($D254,bug_conf_sheet!$A:$H,6,FALSE),VLOOKUP("other",bug_conf_sheet!$A:$H,6,FALSE))</f>
        <v>0</v>
      </c>
      <c r="R254" s="31">
        <f>IFERROR(VLOOKUP($D254,bug_conf_sheet!$A:$H,7,FALSE),VLOOKUP("other",bug_conf_sheet!$A:$H,7,FALSE))</f>
        <v>0</v>
      </c>
      <c r="S254" s="31">
        <f>IFERROR(VLOOKUP($D254,bug_conf_sheet!$A:$H,8,FALSE),VLOOKUP("other",bug_conf_sheet!$A:$H,8,FALSE))</f>
        <v>1</v>
      </c>
    </row>
    <row r="255" spans="1:19" ht="21" customHeight="1">
      <c r="A255" s="2">
        <f>input_2!A$2</f>
        <v>3122</v>
      </c>
      <c r="B255" s="7" t="str">
        <f t="shared" si="10"/>
        <v>PremiumSS5</v>
      </c>
      <c r="C255" s="7" t="str">
        <f t="shared" si="11"/>
        <v>PremiumSS</v>
      </c>
      <c r="D255" s="6">
        <v>677</v>
      </c>
      <c r="E255" s="7" t="str">
        <f>VLOOKUP(D255,[1]characters!$A:$C,3,FALSE)</f>
        <v>武遊闊歩 ヴィシュヌ</v>
      </c>
      <c r="F255" s="7" t="str">
        <f>VLOOKUP(D255,[1]characters!$A:$J,10,FALSE)</f>
        <v>PremiumSS</v>
      </c>
      <c r="G255" s="7">
        <f>VLOOKUP(D255,[1]characters!$A:$I,9,FALSE)</f>
        <v>5</v>
      </c>
      <c r="H255" s="7" t="str">
        <f>VLOOKUP(D255,[1]characters!$A:$H,8,FALSE)</f>
        <v>yellow</v>
      </c>
      <c r="I255" s="7" t="str">
        <f>VLOOKUP(D255,[1]characters!$A:$K,11,FALSE)</f>
        <v>attack</v>
      </c>
      <c r="J255" s="7" t="str">
        <f>VLOOKUP(D255,[1]characters!$A:$M,13,FALSE)</f>
        <v>god</v>
      </c>
      <c r="K255" s="7" t="str">
        <f>VLOOKUP(D255,[1]characters!$A:$G,7,FALSE)</f>
        <v>女性</v>
      </c>
      <c r="L255" s="66">
        <f>IFERROR(VLOOKUP(D255,input_2!L:R,7,FALSE),VLOOKUP(tables_2!B255,input_2!A:H,8,FALSE))</f>
        <v>2997</v>
      </c>
      <c r="M255" s="67">
        <f t="shared" si="9"/>
        <v>5.7692307692307691E-5</v>
      </c>
      <c r="N255" s="31">
        <f>IFERROR(VLOOKUP($D255,bug_conf_sheet!$A:$H,3,FALSE),VLOOKUP("other",bug_conf_sheet!$A:$H,3,FALSE))</f>
        <v>1</v>
      </c>
      <c r="O255" s="31">
        <f>IFERROR(VLOOKUP($D255,bug_conf_sheet!$A:$H,4,FALSE),VLOOKUP("other",bug_conf_sheet!$A:$H,4,FALSE))</f>
        <v>0</v>
      </c>
      <c r="P255" s="31">
        <f>IFERROR(VLOOKUP($D255,bug_conf_sheet!$A:$H,5,FALSE),VLOOKUP("other",bug_conf_sheet!$A:$H,5,FALSE))</f>
        <v>0</v>
      </c>
      <c r="Q255" s="31">
        <f>IFERROR(VLOOKUP($D255,bug_conf_sheet!$A:$H,6,FALSE),VLOOKUP("other",bug_conf_sheet!$A:$H,6,FALSE))</f>
        <v>0</v>
      </c>
      <c r="R255" s="31">
        <f>IFERROR(VLOOKUP($D255,bug_conf_sheet!$A:$H,7,FALSE),VLOOKUP("other",bug_conf_sheet!$A:$H,7,FALSE))</f>
        <v>0</v>
      </c>
      <c r="S255" s="31">
        <f>IFERROR(VLOOKUP($D255,bug_conf_sheet!$A:$H,8,FALSE),VLOOKUP("other",bug_conf_sheet!$A:$H,8,FALSE))</f>
        <v>1</v>
      </c>
    </row>
  </sheetData>
  <autoFilter ref="A1:S255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theme="5"/>
  </sheetPr>
  <dimension ref="A1:R43"/>
  <sheetViews>
    <sheetView workbookViewId="0">
      <selection activeCell="A32" sqref="A32"/>
    </sheetView>
  </sheetViews>
  <sheetFormatPr baseColWidth="12" defaultRowHeight="14" x14ac:dyDescent="0"/>
  <sheetData>
    <row r="1" spans="1:18">
      <c r="A1" s="70" t="s">
        <v>103</v>
      </c>
      <c r="B1" s="70"/>
    </row>
    <row r="2" spans="1:18">
      <c r="A2">
        <v>3123</v>
      </c>
    </row>
    <row r="4" spans="1:18">
      <c r="A4" s="48" t="s">
        <v>68</v>
      </c>
      <c r="B4" s="48"/>
    </row>
    <row r="5" spans="1:18">
      <c r="A5" s="46" t="s">
        <v>88</v>
      </c>
      <c r="B5" s="47">
        <f>1-B6-B7</f>
        <v>0</v>
      </c>
    </row>
    <row r="6" spans="1:18">
      <c r="A6" s="46" t="s">
        <v>89</v>
      </c>
      <c r="B6" s="47">
        <v>0</v>
      </c>
    </row>
    <row r="7" spans="1:18">
      <c r="A7" s="46" t="s">
        <v>90</v>
      </c>
      <c r="B7" s="47">
        <v>1</v>
      </c>
    </row>
    <row r="9" spans="1:18">
      <c r="A9" s="49" t="s">
        <v>69</v>
      </c>
      <c r="B9" s="49"/>
    </row>
    <row r="10" spans="1:18">
      <c r="A10" s="46" t="s">
        <v>118</v>
      </c>
      <c r="B10" s="47">
        <f>1-B11-B12</f>
        <v>0.98</v>
      </c>
    </row>
    <row r="11" spans="1:18">
      <c r="A11" s="46" t="s">
        <v>71</v>
      </c>
      <c r="B11" s="47">
        <v>0.02</v>
      </c>
    </row>
    <row r="12" spans="1:18">
      <c r="A12" s="46" t="s">
        <v>70</v>
      </c>
      <c r="B12" s="47">
        <v>0</v>
      </c>
    </row>
    <row r="15" spans="1:18">
      <c r="A15" s="53" t="s">
        <v>72</v>
      </c>
      <c r="B15" s="53"/>
      <c r="C15" t="s">
        <v>104</v>
      </c>
      <c r="L15" s="55" t="s">
        <v>77</v>
      </c>
      <c r="M15" s="55"/>
    </row>
    <row r="16" spans="1:18">
      <c r="A16" s="46" t="s">
        <v>75</v>
      </c>
      <c r="B16" s="46" t="s">
        <v>76</v>
      </c>
      <c r="C16" s="54" t="s">
        <v>77</v>
      </c>
      <c r="D16" s="54" t="s">
        <v>78</v>
      </c>
      <c r="E16" t="s">
        <v>92</v>
      </c>
      <c r="F16" t="s">
        <v>91</v>
      </c>
      <c r="G16" t="s">
        <v>94</v>
      </c>
      <c r="H16" t="s">
        <v>93</v>
      </c>
      <c r="I16" t="s">
        <v>95</v>
      </c>
      <c r="J16" t="s">
        <v>98</v>
      </c>
      <c r="L16" s="46" t="s">
        <v>32</v>
      </c>
      <c r="M16" s="54" t="s">
        <v>81</v>
      </c>
      <c r="N16" s="46" t="s">
        <v>79</v>
      </c>
      <c r="O16" s="54" t="s">
        <v>82</v>
      </c>
      <c r="P16" s="54" t="s">
        <v>83</v>
      </c>
      <c r="Q16" s="54" t="s">
        <v>80</v>
      </c>
      <c r="R16" s="65" t="s">
        <v>93</v>
      </c>
    </row>
    <row r="17" spans="1:17">
      <c r="A17" s="46" t="s">
        <v>119</v>
      </c>
      <c r="B17" s="50">
        <f>B5</f>
        <v>0</v>
      </c>
      <c r="C17" s="69">
        <f t="shared" ref="C17:C23" si="0">SUMIF(Q:Q,A17,N:N)</f>
        <v>0</v>
      </c>
      <c r="D17" s="62">
        <f t="shared" ref="D17:D24" si="1">B17-C17</f>
        <v>0</v>
      </c>
      <c r="E17">
        <f>COUNTIF(tables_3!B:B,input_3!A17)-COUNTIF(Q:Q,A17)</f>
        <v>74</v>
      </c>
      <c r="F17" s="64">
        <f t="shared" ref="F17:F23" si="2">IFERROR(D17/E17,0)</f>
        <v>0</v>
      </c>
      <c r="G17">
        <f t="shared" ref="G17:G23" si="3">A$32*D17</f>
        <v>0</v>
      </c>
      <c r="H17">
        <f t="shared" ref="H17:H23" si="4">IFERROR(ROUND(G17/E17,5),0)</f>
        <v>0</v>
      </c>
      <c r="I17">
        <f t="shared" ref="I17:I23" si="5">MOD(H17,1)</f>
        <v>0</v>
      </c>
      <c r="J17">
        <f t="shared" ref="J17:J23" si="6">IFERROR(1/I17,1)</f>
        <v>1</v>
      </c>
      <c r="L17" s="46"/>
      <c r="M17" s="54"/>
      <c r="N17" s="52"/>
      <c r="O17" s="54"/>
      <c r="P17" s="54"/>
      <c r="Q17" s="54"/>
    </row>
    <row r="18" spans="1:17">
      <c r="A18" s="46" t="s">
        <v>120</v>
      </c>
      <c r="B18" s="56">
        <f>B6-B19-B20</f>
        <v>0</v>
      </c>
      <c r="C18" s="69">
        <f t="shared" si="0"/>
        <v>0</v>
      </c>
      <c r="D18" s="62">
        <f t="shared" si="1"/>
        <v>0</v>
      </c>
      <c r="E18">
        <f>COUNTIF(tables_3!B:B,input_3!A18)-COUNTIF(Q:Q,A18)</f>
        <v>74</v>
      </c>
      <c r="F18" s="64">
        <f t="shared" si="2"/>
        <v>0</v>
      </c>
      <c r="G18">
        <f t="shared" si="3"/>
        <v>0</v>
      </c>
      <c r="H18">
        <f t="shared" si="4"/>
        <v>0</v>
      </c>
      <c r="I18">
        <f t="shared" si="5"/>
        <v>0</v>
      </c>
      <c r="J18">
        <f t="shared" si="6"/>
        <v>1</v>
      </c>
      <c r="L18" s="46"/>
      <c r="M18" s="54"/>
      <c r="N18" s="52"/>
      <c r="O18" s="54"/>
      <c r="P18" s="54"/>
      <c r="Q18" s="54"/>
    </row>
    <row r="19" spans="1:17">
      <c r="A19" s="46" t="s">
        <v>84</v>
      </c>
      <c r="B19" s="79">
        <f>B6*B11/(B6+B7)</f>
        <v>0</v>
      </c>
      <c r="C19" s="69">
        <f t="shared" si="0"/>
        <v>0</v>
      </c>
      <c r="D19" s="62">
        <f t="shared" si="1"/>
        <v>0</v>
      </c>
      <c r="E19">
        <f>COUNTIF(tables_3!B:B,input_3!A19)-COUNTIF(Q:Q,A19)</f>
        <v>26</v>
      </c>
      <c r="F19" s="64">
        <f t="shared" si="2"/>
        <v>0</v>
      </c>
      <c r="G19">
        <f t="shared" si="3"/>
        <v>0</v>
      </c>
      <c r="H19">
        <f t="shared" si="4"/>
        <v>0</v>
      </c>
      <c r="I19">
        <f t="shared" si="5"/>
        <v>0</v>
      </c>
      <c r="J19">
        <f t="shared" si="6"/>
        <v>1</v>
      </c>
      <c r="L19" s="46"/>
      <c r="M19" s="54"/>
      <c r="N19" s="52"/>
      <c r="O19" s="54"/>
      <c r="P19" s="54"/>
      <c r="Q19" s="54"/>
    </row>
    <row r="20" spans="1:17">
      <c r="A20" s="46" t="s">
        <v>85</v>
      </c>
      <c r="B20" s="57">
        <f>B12*B6/(B6+B7)</f>
        <v>0</v>
      </c>
      <c r="C20" s="69">
        <f t="shared" si="0"/>
        <v>0</v>
      </c>
      <c r="D20" s="62">
        <f t="shared" si="1"/>
        <v>0</v>
      </c>
      <c r="E20">
        <f>COUNTIF(tables_3!B:B,input_3!A20)-COUNTIF(Q:Q,A20)</f>
        <v>0</v>
      </c>
      <c r="F20" s="64">
        <f t="shared" si="2"/>
        <v>0</v>
      </c>
      <c r="G20">
        <f t="shared" si="3"/>
        <v>0</v>
      </c>
      <c r="H20">
        <f t="shared" si="4"/>
        <v>0</v>
      </c>
      <c r="I20">
        <f t="shared" si="5"/>
        <v>0</v>
      </c>
      <c r="J20">
        <f t="shared" si="6"/>
        <v>1</v>
      </c>
      <c r="L20" s="46"/>
      <c r="M20" s="54"/>
      <c r="N20" s="52"/>
      <c r="O20" s="54"/>
      <c r="P20" s="54"/>
      <c r="Q20" s="54"/>
    </row>
    <row r="21" spans="1:17">
      <c r="A21" s="46" t="s">
        <v>121</v>
      </c>
      <c r="B21" s="58">
        <f>B7-B22-B23</f>
        <v>0.98</v>
      </c>
      <c r="C21" s="69">
        <f t="shared" si="0"/>
        <v>0</v>
      </c>
      <c r="D21" s="62">
        <f t="shared" si="1"/>
        <v>0.98</v>
      </c>
      <c r="E21">
        <f>COUNTIF(tables_3!B:B,input_3!A21)-COUNTIF(Q:Q,A21)</f>
        <v>54</v>
      </c>
      <c r="F21" s="64">
        <f t="shared" si="2"/>
        <v>1.8148148148148149E-2</v>
      </c>
      <c r="G21">
        <f t="shared" si="3"/>
        <v>34398</v>
      </c>
      <c r="H21">
        <f t="shared" si="4"/>
        <v>637</v>
      </c>
      <c r="I21">
        <f t="shared" si="5"/>
        <v>0</v>
      </c>
      <c r="J21">
        <f t="shared" si="6"/>
        <v>1</v>
      </c>
      <c r="L21" s="46"/>
      <c r="M21" s="54"/>
      <c r="N21" s="46"/>
      <c r="O21" s="54"/>
      <c r="P21" s="54"/>
      <c r="Q21" s="54"/>
    </row>
    <row r="22" spans="1:17">
      <c r="A22" s="46" t="s">
        <v>86</v>
      </c>
      <c r="B22" s="79">
        <f>B7*B11/(B7+B6)</f>
        <v>0.02</v>
      </c>
      <c r="C22" s="69">
        <f t="shared" si="0"/>
        <v>0</v>
      </c>
      <c r="D22" s="62">
        <f t="shared" si="1"/>
        <v>0.02</v>
      </c>
      <c r="E22">
        <f>COUNTIF(tables_3!B:B,input_3!A22)-COUNTIF(Q:Q,A22)</f>
        <v>26</v>
      </c>
      <c r="F22" s="64">
        <f t="shared" si="2"/>
        <v>7.6923076923076923E-4</v>
      </c>
      <c r="G22">
        <f t="shared" si="3"/>
        <v>702</v>
      </c>
      <c r="H22">
        <f t="shared" si="4"/>
        <v>27</v>
      </c>
      <c r="I22">
        <f t="shared" si="5"/>
        <v>0</v>
      </c>
      <c r="J22">
        <f t="shared" si="6"/>
        <v>1</v>
      </c>
      <c r="L22" s="46"/>
      <c r="M22" s="54"/>
      <c r="N22" s="46"/>
      <c r="O22" s="54"/>
      <c r="P22" s="54"/>
      <c r="Q22" s="54"/>
    </row>
    <row r="23" spans="1:17">
      <c r="A23" s="46" t="s">
        <v>87</v>
      </c>
      <c r="B23" s="51">
        <f>B12*B7/(B7+B6)</f>
        <v>0</v>
      </c>
      <c r="C23" s="69">
        <f t="shared" si="0"/>
        <v>0</v>
      </c>
      <c r="D23" s="62">
        <f t="shared" si="1"/>
        <v>0</v>
      </c>
      <c r="E23">
        <f>COUNTIF(tables_3!B:B,input_3!A23)-COUNTIF(Q:Q,A23)</f>
        <v>0</v>
      </c>
      <c r="F23" s="64">
        <f t="shared" si="2"/>
        <v>0</v>
      </c>
      <c r="G23">
        <f t="shared" si="3"/>
        <v>0</v>
      </c>
      <c r="H23">
        <f t="shared" si="4"/>
        <v>0</v>
      </c>
      <c r="I23">
        <f t="shared" si="5"/>
        <v>0</v>
      </c>
      <c r="J23">
        <f t="shared" si="6"/>
        <v>1</v>
      </c>
      <c r="L23" s="46"/>
      <c r="M23" s="54"/>
      <c r="N23" s="46"/>
      <c r="O23" s="54"/>
      <c r="P23" s="54"/>
      <c r="Q23" s="54"/>
    </row>
    <row r="24" spans="1:17">
      <c r="A24" s="59" t="s">
        <v>74</v>
      </c>
      <c r="B24" s="60">
        <f>SUM(B17:B23)</f>
        <v>1</v>
      </c>
      <c r="C24" s="61">
        <f>SUM(C17:C23)</f>
        <v>0</v>
      </c>
      <c r="D24" s="63">
        <f t="shared" si="1"/>
        <v>1</v>
      </c>
      <c r="L24" s="46"/>
      <c r="M24" s="54"/>
      <c r="N24" s="46"/>
      <c r="O24" s="54"/>
      <c r="P24" s="54"/>
      <c r="Q24" s="54"/>
    </row>
    <row r="31" spans="1:17">
      <c r="A31" t="s">
        <v>93</v>
      </c>
    </row>
    <row r="32" spans="1:17">
      <c r="A32" s="34">
        <f>54*26*25</f>
        <v>35100</v>
      </c>
    </row>
    <row r="34" spans="1:6">
      <c r="A34" s="68" t="s">
        <v>97</v>
      </c>
    </row>
    <row r="35" spans="1:6">
      <c r="A35" s="46" t="s">
        <v>75</v>
      </c>
      <c r="B35" t="s">
        <v>94</v>
      </c>
      <c r="C35" t="s">
        <v>123</v>
      </c>
      <c r="E35" t="s">
        <v>124</v>
      </c>
    </row>
    <row r="36" spans="1:6">
      <c r="A36" s="46" t="s">
        <v>119</v>
      </c>
      <c r="B36">
        <f>SUMIF(tables_3!B:B,input_3!A36,tables_3!L:L)</f>
        <v>0</v>
      </c>
      <c r="C36" s="77">
        <f>B36/B$43</f>
        <v>0</v>
      </c>
      <c r="E36">
        <v>3</v>
      </c>
      <c r="F36" s="78">
        <f>C36</f>
        <v>0</v>
      </c>
    </row>
    <row r="37" spans="1:6">
      <c r="A37" s="46" t="s">
        <v>120</v>
      </c>
      <c r="B37">
        <f>SUMIF(tables_3!B:B,input_3!A37,tables_3!L:L)</f>
        <v>0</v>
      </c>
      <c r="C37" s="77">
        <f t="shared" ref="C37:C42" si="7">B37/B$43</f>
        <v>0</v>
      </c>
      <c r="E37">
        <v>4</v>
      </c>
      <c r="F37" s="78">
        <f>SUM(C37:C39)</f>
        <v>0</v>
      </c>
    </row>
    <row r="38" spans="1:6">
      <c r="A38" s="46" t="s">
        <v>84</v>
      </c>
      <c r="B38">
        <f>SUMIF(tables_3!B:B,input_3!A38,tables_3!L:L)</f>
        <v>0</v>
      </c>
      <c r="C38" s="77">
        <f t="shared" si="7"/>
        <v>0</v>
      </c>
      <c r="E38">
        <v>5</v>
      </c>
      <c r="F38" s="78">
        <f>SUM(C40:C42)</f>
        <v>1</v>
      </c>
    </row>
    <row r="39" spans="1:6">
      <c r="A39" s="46" t="s">
        <v>85</v>
      </c>
      <c r="B39">
        <f>SUMIF(tables_3!B:B,input_3!A39,tables_3!L:L)</f>
        <v>0</v>
      </c>
      <c r="C39" s="77">
        <f t="shared" si="7"/>
        <v>0</v>
      </c>
    </row>
    <row r="40" spans="1:6">
      <c r="A40" s="46" t="s">
        <v>122</v>
      </c>
      <c r="B40">
        <f>SUMIF(tables_3!B:B,input_3!A40,tables_3!L:L)</f>
        <v>34398</v>
      </c>
      <c r="C40" s="77">
        <f t="shared" si="7"/>
        <v>0.98</v>
      </c>
      <c r="E40" t="s">
        <v>69</v>
      </c>
    </row>
    <row r="41" spans="1:6">
      <c r="A41" s="46" t="s">
        <v>86</v>
      </c>
      <c r="B41">
        <f>SUMIF(tables_3!B:B,input_3!A41,tables_3!L:L)</f>
        <v>702</v>
      </c>
      <c r="C41" s="77">
        <f t="shared" si="7"/>
        <v>0.02</v>
      </c>
      <c r="E41" t="s">
        <v>126</v>
      </c>
      <c r="F41" s="78">
        <f>C36+C37+C40</f>
        <v>0.98</v>
      </c>
    </row>
    <row r="42" spans="1:6">
      <c r="A42" s="46" t="s">
        <v>87</v>
      </c>
      <c r="B42">
        <f>SUMIF(tables_3!B:B,input_3!A42,tables_3!L:L)</f>
        <v>0</v>
      </c>
      <c r="C42" s="77">
        <f t="shared" si="7"/>
        <v>0</v>
      </c>
      <c r="E42" t="s">
        <v>127</v>
      </c>
      <c r="F42" s="78">
        <f>C38+C41</f>
        <v>0.02</v>
      </c>
    </row>
    <row r="43" spans="1:6">
      <c r="A43" s="59" t="s">
        <v>74</v>
      </c>
      <c r="B43">
        <f>SUM(B36:B42)</f>
        <v>35100</v>
      </c>
      <c r="E43" t="s">
        <v>128</v>
      </c>
      <c r="F43" s="78">
        <f>C39+C42</f>
        <v>0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S255"/>
  <sheetViews>
    <sheetView showGridLines="0" zoomScale="75" zoomScaleNormal="75" zoomScalePageLayoutView="75" workbookViewId="0">
      <pane ySplit="1" topLeftCell="A51" activePane="bottomLeft" state="frozen"/>
      <selection activeCell="B22" sqref="B22"/>
      <selection pane="bottomLeft" activeCell="B22" sqref="B22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105</v>
      </c>
      <c r="B1" s="3" t="s">
        <v>31</v>
      </c>
      <c r="C1" s="3" t="s">
        <v>117</v>
      </c>
      <c r="D1" s="16" t="s">
        <v>32</v>
      </c>
      <c r="E1" s="3" t="s">
        <v>33</v>
      </c>
      <c r="F1" s="3" t="s">
        <v>34</v>
      </c>
      <c r="G1" s="3" t="s">
        <v>35</v>
      </c>
      <c r="H1" s="3" t="s">
        <v>55</v>
      </c>
      <c r="I1" s="3" t="s">
        <v>36</v>
      </c>
      <c r="J1" s="3" t="s">
        <v>37</v>
      </c>
      <c r="K1" s="3" t="s">
        <v>73</v>
      </c>
      <c r="L1" s="16" t="s">
        <v>39</v>
      </c>
      <c r="M1" s="3" t="s">
        <v>79</v>
      </c>
      <c r="N1" s="16" t="s">
        <v>38</v>
      </c>
      <c r="O1" s="30" t="s">
        <v>5</v>
      </c>
      <c r="P1" s="30" t="s">
        <v>6</v>
      </c>
      <c r="Q1" s="30" t="s">
        <v>7</v>
      </c>
      <c r="R1" s="30" t="s">
        <v>8</v>
      </c>
      <c r="S1" s="30" t="s">
        <v>9</v>
      </c>
    </row>
    <row r="2" spans="1:19" ht="21" customHeight="1">
      <c r="A2" s="2">
        <f>input_3!A$2</f>
        <v>3123</v>
      </c>
      <c r="B2" s="7" t="str">
        <f>C2&amp;G2</f>
        <v>Premium3</v>
      </c>
      <c r="C2" s="7" t="str">
        <f>IF(F2="PremiumSS",F2,IF(F2="PremiumSSS",F2,"Premium"))</f>
        <v>Premium</v>
      </c>
      <c r="D2" s="6">
        <v>126</v>
      </c>
      <c r="E2" s="7" t="str">
        <f>VLOOKUP(D2,[1]characters!$A:$C,3,FALSE)</f>
        <v>骨器使い ユノ</v>
      </c>
      <c r="F2" s="7" t="str">
        <f>VLOOKUP(D2,[1]characters!$A:$J,10,FALSE)</f>
        <v>PremiumW</v>
      </c>
      <c r="G2" s="7">
        <f>VLOOKUP(D2,[1]characters!$A:$I,9,FALSE)</f>
        <v>3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human</v>
      </c>
      <c r="K2" s="7" t="str">
        <f>VLOOKUP(D2,[1]characters!$A:$G,7,FALSE)</f>
        <v>女性</v>
      </c>
      <c r="L2" s="66">
        <f>IFERROR(VLOOKUP(D2,input_3!L:R,7,FALSE),VLOOKUP(tables_3!B2,input_3!A:H,8,FALSE))</f>
        <v>0</v>
      </c>
      <c r="M2" s="67">
        <f t="shared" ref="M2:M65" si="0">L2/SUM(L:L)</f>
        <v>0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customHeight="1">
      <c r="A3" s="2">
        <f>input_3!A$2</f>
        <v>3123</v>
      </c>
      <c r="B3" s="7" t="str">
        <f t="shared" ref="B3:B66" si="1">C3&amp;G3</f>
        <v>Premium4</v>
      </c>
      <c r="C3" s="7" t="str">
        <f t="shared" ref="C3:C66" si="2">IF(F3="PremiumSS",F3,IF(F3="PremiumSSS",F3,"Premium"))</f>
        <v>Premium</v>
      </c>
      <c r="D3" s="6">
        <v>127</v>
      </c>
      <c r="E3" s="7" t="str">
        <f>VLOOKUP(D3,[1]characters!$A:$C,3,FALSE)</f>
        <v>狂喜の賢者 ユノ</v>
      </c>
      <c r="F3" s="7" t="str">
        <f>VLOOKUP(D3,[1]characters!$A:$J,10,FALSE)</f>
        <v>PremiumW</v>
      </c>
      <c r="G3" s="7">
        <f>VLOOKUP(D3,[1]characters!$A:$I,9,FALSE)</f>
        <v>4</v>
      </c>
      <c r="H3" s="7" t="str">
        <f>VLOOKUP(D3,[1]characters!$A:$H,8,FALSE)</f>
        <v>red</v>
      </c>
      <c r="I3" s="7" t="str">
        <f>VLOOKUP(D3,[1]characters!$A:$K,11,FALSE)</f>
        <v>attack</v>
      </c>
      <c r="J3" s="7" t="str">
        <f>VLOOKUP(D3,[1]characters!$A:$M,13,FALSE)</f>
        <v>human</v>
      </c>
      <c r="K3" s="7" t="str">
        <f>VLOOKUP(D3,[1]characters!$A:$G,7,FALSE)</f>
        <v>女性</v>
      </c>
      <c r="L3" s="66">
        <f>IFERROR(VLOOKUP(D3,input_3!L:R,7,FALSE),VLOOKUP(tables_3!B3,input_3!A:H,8,FALSE))</f>
        <v>0</v>
      </c>
      <c r="M3" s="67">
        <f t="shared" si="0"/>
        <v>0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customHeight="1">
      <c r="A4" s="2">
        <f>input_3!A$2</f>
        <v>3123</v>
      </c>
      <c r="B4" s="7" t="str">
        <f t="shared" si="1"/>
        <v>Premium3</v>
      </c>
      <c r="C4" s="7" t="str">
        <f t="shared" si="2"/>
        <v>Premium</v>
      </c>
      <c r="D4" s="6">
        <v>128</v>
      </c>
      <c r="E4" s="7" t="str">
        <f>VLOOKUP(D4,[1]characters!$A:$C,3,FALSE)</f>
        <v>野生児 アマラ</v>
      </c>
      <c r="F4" s="7" t="str">
        <f>VLOOKUP(D4,[1]characters!$A:$J,10,FALSE)</f>
        <v>PremiumW</v>
      </c>
      <c r="G4" s="7">
        <f>VLOOKUP(D4,[1]characters!$A:$I,9,FALSE)</f>
        <v>3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66">
        <f>IFERROR(VLOOKUP(D4,input_3!L:R,7,FALSE),VLOOKUP(tables_3!B4,input_3!A:H,8,FALSE))</f>
        <v>0</v>
      </c>
      <c r="M4" s="67">
        <f t="shared" si="0"/>
        <v>0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customHeight="1">
      <c r="A5" s="2">
        <f>input_3!A$2</f>
        <v>3123</v>
      </c>
      <c r="B5" s="7" t="str">
        <f t="shared" si="1"/>
        <v>Premium4</v>
      </c>
      <c r="C5" s="7" t="str">
        <f t="shared" si="2"/>
        <v>Premium</v>
      </c>
      <c r="D5" s="6">
        <v>129</v>
      </c>
      <c r="E5" s="7" t="str">
        <f>VLOOKUP(D5,[1]characters!$A:$C,3,FALSE)</f>
        <v>孤高の狼憑き アマラ</v>
      </c>
      <c r="F5" s="7" t="str">
        <f>VLOOKUP(D5,[1]characters!$A:$J,10,FALSE)</f>
        <v>PremiumW</v>
      </c>
      <c r="G5" s="7">
        <f>VLOOKUP(D5,[1]characters!$A:$I,9,FALSE)</f>
        <v>4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66">
        <f>IFERROR(VLOOKUP(D5,input_3!L:R,7,FALSE),VLOOKUP(tables_3!B5,input_3!A:H,8,FALSE))</f>
        <v>0</v>
      </c>
      <c r="M5" s="67">
        <f t="shared" si="0"/>
        <v>0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customHeight="1">
      <c r="A6" s="2">
        <f>input_3!A$2</f>
        <v>3123</v>
      </c>
      <c r="B6" s="7" t="str">
        <f t="shared" si="1"/>
        <v>Premium3</v>
      </c>
      <c r="C6" s="7" t="str">
        <f t="shared" si="2"/>
        <v>Premium</v>
      </c>
      <c r="D6" s="6">
        <v>130</v>
      </c>
      <c r="E6" s="7" t="str">
        <f>VLOOKUP(D6,[1]characters!$A:$C,3,FALSE)</f>
        <v>狼男 ローレンス</v>
      </c>
      <c r="F6" s="7" t="str">
        <f>VLOOKUP(D6,[1]characters!$A:$J,10,FALSE)</f>
        <v>PremiumW</v>
      </c>
      <c r="G6" s="7">
        <f>VLOOKUP(D6,[1]characters!$A:$I,9,FALSE)</f>
        <v>3</v>
      </c>
      <c r="H6" s="7" t="str">
        <f>VLOOKUP(D6,[1]characters!$A:$H,8,FALSE)</f>
        <v>blue</v>
      </c>
      <c r="I6" s="7" t="str">
        <f>VLOOKUP(D6,[1]characters!$A:$K,11,FALSE)</f>
        <v>attack</v>
      </c>
      <c r="J6" s="7" t="str">
        <f>VLOOKUP(D6,[1]characters!$A:$M,13,FALSE)</f>
        <v>animal</v>
      </c>
      <c r="K6" s="7" t="str">
        <f>VLOOKUP(D6,[1]characters!$A:$G,7,FALSE)</f>
        <v>不明</v>
      </c>
      <c r="L6" s="66">
        <f>IFERROR(VLOOKUP(D6,input_3!L:R,7,FALSE),VLOOKUP(tables_3!B6,input_3!A:H,8,FALSE))</f>
        <v>0</v>
      </c>
      <c r="M6" s="67">
        <f t="shared" si="0"/>
        <v>0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customHeight="1">
      <c r="A7" s="2">
        <f>input_3!A$2</f>
        <v>3123</v>
      </c>
      <c r="B7" s="7" t="str">
        <f t="shared" si="1"/>
        <v>Premium4</v>
      </c>
      <c r="C7" s="7" t="str">
        <f t="shared" si="2"/>
        <v>Premium</v>
      </c>
      <c r="D7" s="6">
        <v>131</v>
      </c>
      <c r="E7" s="7" t="str">
        <f>VLOOKUP(D7,[1]characters!$A:$C,3,FALSE)</f>
        <v>月下の人狼 ローレンス</v>
      </c>
      <c r="F7" s="7" t="str">
        <f>VLOOKUP(D7,[1]characters!$A:$J,10,FALSE)</f>
        <v>PremiumW</v>
      </c>
      <c r="G7" s="7">
        <f>VLOOKUP(D7,[1]characters!$A:$I,9,FALSE)</f>
        <v>4</v>
      </c>
      <c r="H7" s="7" t="str">
        <f>VLOOKUP(D7,[1]characters!$A:$H,8,FALSE)</f>
        <v>blue</v>
      </c>
      <c r="I7" s="7" t="str">
        <f>VLOOKUP(D7,[1]characters!$A:$K,11,FALSE)</f>
        <v>attack</v>
      </c>
      <c r="J7" s="7" t="str">
        <f>VLOOKUP(D7,[1]characters!$A:$M,13,FALSE)</f>
        <v>animal</v>
      </c>
      <c r="K7" s="7" t="str">
        <f>VLOOKUP(D7,[1]characters!$A:$G,7,FALSE)</f>
        <v>不明</v>
      </c>
      <c r="L7" s="66">
        <f>IFERROR(VLOOKUP(D7,input_3!L:R,7,FALSE),VLOOKUP(tables_3!B7,input_3!A:H,8,FALSE))</f>
        <v>0</v>
      </c>
      <c r="M7" s="67">
        <f t="shared" si="0"/>
        <v>0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customHeight="1">
      <c r="A8" s="2">
        <f>input_3!A$2</f>
        <v>3123</v>
      </c>
      <c r="B8" s="7" t="str">
        <f t="shared" si="1"/>
        <v>Premium3</v>
      </c>
      <c r="C8" s="7" t="str">
        <f t="shared" si="2"/>
        <v>Premium</v>
      </c>
      <c r="D8" s="6">
        <v>132</v>
      </c>
      <c r="E8" s="7" t="str">
        <f>VLOOKUP(D8,[1]characters!$A:$C,3,FALSE)</f>
        <v>鳥人ハヤト</v>
      </c>
      <c r="F8" s="7" t="str">
        <f>VLOOKUP(D8,[1]characters!$A:$J,10,FALSE)</f>
        <v>PremiumW</v>
      </c>
      <c r="G8" s="7">
        <f>VLOOKUP(D8,[1]characters!$A:$I,9,FALSE)</f>
        <v>3</v>
      </c>
      <c r="H8" s="7" t="str">
        <f>VLOOKUP(D8,[1]characters!$A:$H,8,FALSE)</f>
        <v>yellow</v>
      </c>
      <c r="I8" s="7" t="str">
        <f>VLOOKUP(D8,[1]characters!$A:$K,11,FALSE)</f>
        <v>attack</v>
      </c>
      <c r="J8" s="7" t="str">
        <f>VLOOKUP(D8,[1]characters!$A:$M,13,FALSE)</f>
        <v>human</v>
      </c>
      <c r="K8" s="7" t="str">
        <f>VLOOKUP(D8,[1]characters!$A:$G,7,FALSE)</f>
        <v>男性</v>
      </c>
      <c r="L8" s="66">
        <f>IFERROR(VLOOKUP(D8,input_3!L:R,7,FALSE),VLOOKUP(tables_3!B8,input_3!A:H,8,FALSE))</f>
        <v>0</v>
      </c>
      <c r="M8" s="67">
        <f t="shared" si="0"/>
        <v>0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customHeight="1">
      <c r="A9" s="2">
        <f>input_3!A$2</f>
        <v>3123</v>
      </c>
      <c r="B9" s="7" t="str">
        <f t="shared" si="1"/>
        <v>Premium4</v>
      </c>
      <c r="C9" s="7" t="str">
        <f t="shared" si="2"/>
        <v>Premium</v>
      </c>
      <c r="D9" s="6">
        <v>133</v>
      </c>
      <c r="E9" s="7" t="str">
        <f>VLOOKUP(D9,[1]characters!$A:$C,3,FALSE)</f>
        <v>迅雷の刀剣 ハヤト</v>
      </c>
      <c r="F9" s="7" t="str">
        <f>VLOOKUP(D9,[1]characters!$A:$J,10,FALSE)</f>
        <v>PremiumW</v>
      </c>
      <c r="G9" s="7">
        <f>VLOOKUP(D9,[1]characters!$A:$I,9,FALSE)</f>
        <v>4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human</v>
      </c>
      <c r="K9" s="7" t="str">
        <f>VLOOKUP(D9,[1]characters!$A:$G,7,FALSE)</f>
        <v>男性</v>
      </c>
      <c r="L9" s="66">
        <f>IFERROR(VLOOKUP(D9,input_3!L:R,7,FALSE),VLOOKUP(tables_3!B9,input_3!A:H,8,FALSE))</f>
        <v>0</v>
      </c>
      <c r="M9" s="67">
        <f t="shared" si="0"/>
        <v>0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customHeight="1">
      <c r="A10" s="2">
        <f>input_3!A$2</f>
        <v>3123</v>
      </c>
      <c r="B10" s="7" t="str">
        <f t="shared" si="1"/>
        <v>Premium3</v>
      </c>
      <c r="C10" s="7" t="str">
        <f t="shared" si="2"/>
        <v>Premium</v>
      </c>
      <c r="D10" s="6">
        <v>134</v>
      </c>
      <c r="E10" s="7" t="str">
        <f>VLOOKUP(D10,[1]characters!$A:$C,3,FALSE)</f>
        <v>妖炎の夕霧</v>
      </c>
      <c r="F10" s="7" t="str">
        <f>VLOOKUP(D10,[1]characters!$A:$J,10,FALSE)</f>
        <v>PremiumW</v>
      </c>
      <c r="G10" s="7">
        <f>VLOOKUP(D10,[1]characters!$A:$I,9,FALSE)</f>
        <v>3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66">
        <f>IFERROR(VLOOKUP(D10,input_3!L:R,7,FALSE),VLOOKUP(tables_3!B10,input_3!A:H,8,FALSE))</f>
        <v>0</v>
      </c>
      <c r="M10" s="67">
        <f t="shared" si="0"/>
        <v>0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customHeight="1">
      <c r="A11" s="2">
        <f>input_3!A$2</f>
        <v>3123</v>
      </c>
      <c r="B11" s="7" t="str">
        <f t="shared" si="1"/>
        <v>Premium4</v>
      </c>
      <c r="C11" s="7" t="str">
        <f t="shared" si="2"/>
        <v>Premium</v>
      </c>
      <c r="D11" s="6">
        <v>135</v>
      </c>
      <c r="E11" s="7" t="str">
        <f>VLOOKUP(D11,[1]characters!$A:$C,3,FALSE)</f>
        <v>京の炎華夕霧</v>
      </c>
      <c r="F11" s="7" t="str">
        <f>VLOOKUP(D11,[1]characters!$A:$J,10,FALSE)</f>
        <v>PremiumW</v>
      </c>
      <c r="G11" s="7">
        <f>VLOOKUP(D11,[1]characters!$A:$I,9,FALSE)</f>
        <v>4</v>
      </c>
      <c r="H11" s="7" t="str">
        <f>VLOOKUP(D11,[1]characters!$A:$H,8,FALSE)</f>
        <v>red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66">
        <f>IFERROR(VLOOKUP(D11,input_3!L:R,7,FALSE),VLOOKUP(tables_3!B11,input_3!A:H,8,FALSE))</f>
        <v>0</v>
      </c>
      <c r="M11" s="67">
        <f t="shared" si="0"/>
        <v>0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customHeight="1">
      <c r="A12" s="2">
        <f>input_3!A$2</f>
        <v>3123</v>
      </c>
      <c r="B12" s="7" t="str">
        <f t="shared" si="1"/>
        <v>Premium3</v>
      </c>
      <c r="C12" s="7" t="str">
        <f t="shared" si="2"/>
        <v>Premium</v>
      </c>
      <c r="D12" s="8">
        <v>136</v>
      </c>
      <c r="E12" s="7" t="str">
        <f>VLOOKUP(D12,[1]characters!$A:$C,3,FALSE)</f>
        <v>お針子チハヤ</v>
      </c>
      <c r="F12" s="7" t="str">
        <f>VLOOKUP(D12,[1]characters!$A:$J,10,FALSE)</f>
        <v>PremiumW</v>
      </c>
      <c r="G12" s="7">
        <f>VLOOKUP(D12,[1]characters!$A:$I,9,FALSE)</f>
        <v>3</v>
      </c>
      <c r="H12" s="7" t="str">
        <f>VLOOKUP(D12,[1]characters!$A:$H,8,FALSE)</f>
        <v>green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66">
        <f>IFERROR(VLOOKUP(D12,input_3!L:R,7,FALSE),VLOOKUP(tables_3!B12,input_3!A:H,8,FALSE))</f>
        <v>0</v>
      </c>
      <c r="M12" s="67">
        <f t="shared" si="0"/>
        <v>0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customHeight="1">
      <c r="A13" s="2">
        <f>input_3!A$2</f>
        <v>3123</v>
      </c>
      <c r="B13" s="7" t="str">
        <f t="shared" si="1"/>
        <v>Premium4</v>
      </c>
      <c r="C13" s="7" t="str">
        <f t="shared" si="2"/>
        <v>Premium</v>
      </c>
      <c r="D13" s="8">
        <v>137</v>
      </c>
      <c r="E13" s="7" t="str">
        <f>VLOOKUP(D13,[1]characters!$A:$C,3,FALSE)</f>
        <v>清福の仕立屋 チハヤ</v>
      </c>
      <c r="F13" s="7" t="str">
        <f>VLOOKUP(D13,[1]characters!$A:$J,10,FALSE)</f>
        <v>PremiumW</v>
      </c>
      <c r="G13" s="7">
        <f>VLOOKUP(D13,[1]characters!$A:$I,9,FALSE)</f>
        <v>4</v>
      </c>
      <c r="H13" s="7" t="str">
        <f>VLOOKUP(D13,[1]characters!$A:$H,8,FALSE)</f>
        <v>green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女性</v>
      </c>
      <c r="L13" s="66">
        <f>IFERROR(VLOOKUP(D13,input_3!L:R,7,FALSE),VLOOKUP(tables_3!B13,input_3!A:H,8,FALSE))</f>
        <v>0</v>
      </c>
      <c r="M13" s="67">
        <f t="shared" si="0"/>
        <v>0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customHeight="1">
      <c r="A14" s="2">
        <f>input_3!A$2</f>
        <v>3123</v>
      </c>
      <c r="B14" s="7" t="str">
        <f t="shared" si="1"/>
        <v>Premium3</v>
      </c>
      <c r="C14" s="7" t="str">
        <f t="shared" si="2"/>
        <v>Premium</v>
      </c>
      <c r="D14" s="6">
        <v>138</v>
      </c>
      <c r="E14" s="7" t="str">
        <f>VLOOKUP(D14,[1]characters!$A:$C,3,FALSE)</f>
        <v>蒼薙のトモエ</v>
      </c>
      <c r="F14" s="7" t="str">
        <f>VLOOKUP(D14,[1]characters!$A:$J,10,FALSE)</f>
        <v>PremiumW</v>
      </c>
      <c r="G14" s="7">
        <f>VLOOKUP(D14,[1]characters!$A:$I,9,FALSE)</f>
        <v>3</v>
      </c>
      <c r="H14" s="7" t="str">
        <f>VLOOKUP(D14,[1]characters!$A:$H,8,FALSE)</f>
        <v>blue</v>
      </c>
      <c r="I14" s="7" t="str">
        <f>VLOOKUP(D14,[1]characters!$A:$K,11,FALSE)</f>
        <v>balance</v>
      </c>
      <c r="J14" s="7" t="str">
        <f>VLOOKUP(D14,[1]characters!$A:$M,13,FALSE)</f>
        <v>human</v>
      </c>
      <c r="K14" s="7" t="str">
        <f>VLOOKUP(D14,[1]characters!$A:$G,7,FALSE)</f>
        <v>女性</v>
      </c>
      <c r="L14" s="66">
        <f>IFERROR(VLOOKUP(D14,input_3!L:R,7,FALSE),VLOOKUP(tables_3!B14,input_3!A:H,8,FALSE))</f>
        <v>0</v>
      </c>
      <c r="M14" s="67">
        <f t="shared" si="0"/>
        <v>0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customHeight="1">
      <c r="A15" s="2">
        <f>input_3!A$2</f>
        <v>3123</v>
      </c>
      <c r="B15" s="7" t="str">
        <f t="shared" si="1"/>
        <v>Premium4</v>
      </c>
      <c r="C15" s="7" t="str">
        <f t="shared" si="2"/>
        <v>Premium</v>
      </c>
      <c r="D15" s="6">
        <v>139</v>
      </c>
      <c r="E15" s="7" t="str">
        <f>VLOOKUP(D15,[1]characters!$A:$C,3,FALSE)</f>
        <v>蒼昇刃姫 トモエ</v>
      </c>
      <c r="F15" s="7" t="str">
        <f>VLOOKUP(D15,[1]characters!$A:$J,10,FALSE)</f>
        <v>PremiumW</v>
      </c>
      <c r="G15" s="7">
        <f>VLOOKUP(D15,[1]characters!$A:$I,9,FALSE)</f>
        <v>4</v>
      </c>
      <c r="H15" s="7" t="str">
        <f>VLOOKUP(D15,[1]characters!$A:$H,8,FALSE)</f>
        <v>blue</v>
      </c>
      <c r="I15" s="7" t="str">
        <f>VLOOKUP(D15,[1]characters!$A:$K,11,FALSE)</f>
        <v>balance</v>
      </c>
      <c r="J15" s="7" t="str">
        <f>VLOOKUP(D15,[1]characters!$A:$M,13,FALSE)</f>
        <v>human</v>
      </c>
      <c r="K15" s="7" t="str">
        <f>VLOOKUP(D15,[1]characters!$A:$G,7,FALSE)</f>
        <v>女性</v>
      </c>
      <c r="L15" s="66">
        <f>IFERROR(VLOOKUP(D15,input_3!L:R,7,FALSE),VLOOKUP(tables_3!B15,input_3!A:H,8,FALSE))</f>
        <v>0</v>
      </c>
      <c r="M15" s="67">
        <f t="shared" si="0"/>
        <v>0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customHeight="1">
      <c r="A16" s="2">
        <f>input_3!A$2</f>
        <v>3123</v>
      </c>
      <c r="B16" s="7" t="str">
        <f t="shared" si="1"/>
        <v>Premium3</v>
      </c>
      <c r="C16" s="7" t="str">
        <f t="shared" si="2"/>
        <v>Premium</v>
      </c>
      <c r="D16" s="10">
        <v>140</v>
      </c>
      <c r="E16" s="7" t="str">
        <f>VLOOKUP(D16,[1]characters!$A:$C,3,FALSE)</f>
        <v>秋祭のタマモ</v>
      </c>
      <c r="F16" s="7" t="str">
        <f>VLOOKUP(D16,[1]characters!$A:$J,10,FALSE)</f>
        <v>PremiumW</v>
      </c>
      <c r="G16" s="7">
        <f>VLOOKUP(D16,[1]characters!$A:$I,9,FALSE)</f>
        <v>3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animal</v>
      </c>
      <c r="K16" s="7" t="str">
        <f>VLOOKUP(D16,[1]characters!$A:$G,7,FALSE)</f>
        <v>女性</v>
      </c>
      <c r="L16" s="66">
        <f>IFERROR(VLOOKUP(D16,input_3!L:R,7,FALSE),VLOOKUP(tables_3!B16,input_3!A:H,8,FALSE))</f>
        <v>0</v>
      </c>
      <c r="M16" s="67">
        <f t="shared" si="0"/>
        <v>0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customHeight="1">
      <c r="A17" s="2">
        <f>input_3!A$2</f>
        <v>3123</v>
      </c>
      <c r="B17" s="7" t="str">
        <f t="shared" si="1"/>
        <v>Premium4</v>
      </c>
      <c r="C17" s="7" t="str">
        <f t="shared" si="2"/>
        <v>Premium</v>
      </c>
      <c r="D17" s="11">
        <v>141</v>
      </c>
      <c r="E17" s="7" t="str">
        <f>VLOOKUP(D17,[1]characters!$A:$C,3,FALSE)</f>
        <v>妖狐演舞 タマモ</v>
      </c>
      <c r="F17" s="7" t="str">
        <f>VLOOKUP(D17,[1]characters!$A:$J,10,FALSE)</f>
        <v>PremiumW</v>
      </c>
      <c r="G17" s="7">
        <f>VLOOKUP(D17,[1]characters!$A:$I,9,FALSE)</f>
        <v>4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animal</v>
      </c>
      <c r="K17" s="7" t="str">
        <f>VLOOKUP(D17,[1]characters!$A:$G,7,FALSE)</f>
        <v>女性</v>
      </c>
      <c r="L17" s="66">
        <f>IFERROR(VLOOKUP(D17,input_3!L:R,7,FALSE),VLOOKUP(tables_3!B17,input_3!A:H,8,FALSE))</f>
        <v>0</v>
      </c>
      <c r="M17" s="67">
        <f t="shared" si="0"/>
        <v>0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customHeight="1">
      <c r="A18" s="2">
        <f>input_3!A$2</f>
        <v>3123</v>
      </c>
      <c r="B18" s="7" t="str">
        <f t="shared" si="1"/>
        <v>Premium3</v>
      </c>
      <c r="C18" s="7" t="str">
        <f t="shared" si="2"/>
        <v>Premium</v>
      </c>
      <c r="D18" s="6">
        <v>142</v>
      </c>
      <c r="E18" s="7" t="str">
        <f>VLOOKUP(D18,[1]characters!$A:$C,3,FALSE)</f>
        <v>赤ずきん</v>
      </c>
      <c r="F18" s="7" t="str">
        <f>VLOOKUP(D18,[1]characters!$A:$J,10,FALSE)</f>
        <v>PremiumW</v>
      </c>
      <c r="G18" s="7">
        <f>VLOOKUP(D18,[1]characters!$A:$I,9,FALSE)</f>
        <v>3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human</v>
      </c>
      <c r="K18" s="7" t="str">
        <f>VLOOKUP(D18,[1]characters!$A:$G,7,FALSE)</f>
        <v>女性</v>
      </c>
      <c r="L18" s="66">
        <f>IFERROR(VLOOKUP(D18,input_3!L:R,7,FALSE),VLOOKUP(tables_3!B18,input_3!A:H,8,FALSE))</f>
        <v>0</v>
      </c>
      <c r="M18" s="67">
        <f t="shared" si="0"/>
        <v>0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s="12" customFormat="1" ht="21" customHeight="1" thickBot="1">
      <c r="A19" s="2">
        <f>input_3!A$2</f>
        <v>3123</v>
      </c>
      <c r="B19" s="7" t="str">
        <f t="shared" si="1"/>
        <v>Premium4</v>
      </c>
      <c r="C19" s="7" t="str">
        <f t="shared" si="2"/>
        <v>Premium</v>
      </c>
      <c r="D19" s="6">
        <v>143</v>
      </c>
      <c r="E19" s="7" t="str">
        <f>VLOOKUP(D19,[1]characters!$A:$C,3,FALSE)</f>
        <v>深紅の死神 赤ずきん</v>
      </c>
      <c r="F19" s="7" t="str">
        <f>VLOOKUP(D19,[1]characters!$A:$J,10,FALSE)</f>
        <v>PremiumW</v>
      </c>
      <c r="G19" s="7">
        <f>VLOOKUP(D19,[1]characters!$A:$I,9,FALSE)</f>
        <v>4</v>
      </c>
      <c r="H19" s="7" t="str">
        <f>VLOOKUP(D19,[1]characters!$A:$H,8,FALSE)</f>
        <v>red</v>
      </c>
      <c r="I19" s="7" t="str">
        <f>VLOOKUP(D19,[1]characters!$A:$K,11,FALSE)</f>
        <v>balance</v>
      </c>
      <c r="J19" s="7" t="str">
        <f>VLOOKUP(D19,[1]characters!$A:$M,13,FALSE)</f>
        <v>human</v>
      </c>
      <c r="K19" s="7" t="str">
        <f>VLOOKUP(D19,[1]characters!$A:$G,7,FALSE)</f>
        <v>女性</v>
      </c>
      <c r="L19" s="66">
        <f>IFERROR(VLOOKUP(D19,input_3!L:R,7,FALSE),VLOOKUP(tables_3!B19,input_3!A:H,8,FALSE))</f>
        <v>0</v>
      </c>
      <c r="M19" s="67">
        <f t="shared" si="0"/>
        <v>0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customHeight="1">
      <c r="A20" s="2">
        <f>input_3!A$2</f>
        <v>3123</v>
      </c>
      <c r="B20" s="7" t="str">
        <f t="shared" si="1"/>
        <v>Premium3</v>
      </c>
      <c r="C20" s="7" t="str">
        <f t="shared" si="2"/>
        <v>Premium</v>
      </c>
      <c r="D20" s="10">
        <v>144</v>
      </c>
      <c r="E20" s="7" t="str">
        <f>VLOOKUP(D20,[1]characters!$A:$C,3,FALSE)</f>
        <v>かぐや</v>
      </c>
      <c r="F20" s="7" t="str">
        <f>VLOOKUP(D20,[1]characters!$A:$J,10,FALSE)</f>
        <v>PremiumW</v>
      </c>
      <c r="G20" s="7">
        <f>VLOOKUP(D20,[1]characters!$A:$I,9,FALSE)</f>
        <v>3</v>
      </c>
      <c r="H20" s="7" t="str">
        <f>VLOOKUP(D20,[1]characters!$A:$H,8,FALSE)</f>
        <v>green</v>
      </c>
      <c r="I20" s="7" t="str">
        <f>VLOOKUP(D20,[1]characters!$A:$K,11,FALSE)</f>
        <v>hp</v>
      </c>
      <c r="J20" s="7" t="str">
        <f>VLOOKUP(D20,[1]characters!$A:$M,13,FALSE)</f>
        <v>human</v>
      </c>
      <c r="K20" s="7" t="str">
        <f>VLOOKUP(D20,[1]characters!$A:$G,7,FALSE)</f>
        <v>女性</v>
      </c>
      <c r="L20" s="66">
        <f>IFERROR(VLOOKUP(D20,input_3!L:R,7,FALSE),VLOOKUP(tables_3!B20,input_3!A:H,8,FALSE))</f>
        <v>0</v>
      </c>
      <c r="M20" s="67">
        <f t="shared" si="0"/>
        <v>0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customHeight="1">
      <c r="A21" s="2">
        <f>input_3!A$2</f>
        <v>3123</v>
      </c>
      <c r="B21" s="7" t="str">
        <f t="shared" si="1"/>
        <v>Premium4</v>
      </c>
      <c r="C21" s="7" t="str">
        <f t="shared" si="2"/>
        <v>Premium</v>
      </c>
      <c r="D21" s="6">
        <v>145</v>
      </c>
      <c r="E21" s="7" t="str">
        <f>VLOOKUP(D21,[1]characters!$A:$C,3,FALSE)</f>
        <v>魔性妖艶 かぐや</v>
      </c>
      <c r="F21" s="7" t="str">
        <f>VLOOKUP(D21,[1]characters!$A:$J,10,FALSE)</f>
        <v>PremiumW</v>
      </c>
      <c r="G21" s="7">
        <f>VLOOKUP(D21,[1]characters!$A:$I,9,FALSE)</f>
        <v>4</v>
      </c>
      <c r="H21" s="7" t="str">
        <f>VLOOKUP(D21,[1]characters!$A:$H,8,FALSE)</f>
        <v>green</v>
      </c>
      <c r="I21" s="7" t="str">
        <f>VLOOKUP(D21,[1]characters!$A:$K,11,FALSE)</f>
        <v>hp</v>
      </c>
      <c r="J21" s="7" t="str">
        <f>VLOOKUP(D21,[1]characters!$A:$M,13,FALSE)</f>
        <v>human</v>
      </c>
      <c r="K21" s="7" t="str">
        <f>VLOOKUP(D21,[1]characters!$A:$G,7,FALSE)</f>
        <v>女性</v>
      </c>
      <c r="L21" s="66">
        <f>IFERROR(VLOOKUP(D21,input_3!L:R,7,FALSE),VLOOKUP(tables_3!B21,input_3!A:H,8,FALSE))</f>
        <v>0</v>
      </c>
      <c r="M21" s="67">
        <f t="shared" si="0"/>
        <v>0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customHeight="1">
      <c r="A22" s="2">
        <f>input_3!A$2</f>
        <v>3123</v>
      </c>
      <c r="B22" s="7" t="str">
        <f t="shared" si="1"/>
        <v>Premium3</v>
      </c>
      <c r="C22" s="7" t="str">
        <f t="shared" si="2"/>
        <v>Premium</v>
      </c>
      <c r="D22" s="6">
        <v>146</v>
      </c>
      <c r="E22" s="7" t="str">
        <f>VLOOKUP(D22,[1]characters!$A:$C,3,FALSE)</f>
        <v>マーメイド</v>
      </c>
      <c r="F22" s="7" t="str">
        <f>VLOOKUP(D22,[1]characters!$A:$J,10,FALSE)</f>
        <v>PremiumW</v>
      </c>
      <c r="G22" s="7">
        <f>VLOOKUP(D22,[1]characters!$A:$I,9,FALSE)</f>
        <v>3</v>
      </c>
      <c r="H22" s="7" t="str">
        <f>VLOOKUP(D22,[1]characters!$A:$H,8,FALSE)</f>
        <v>blue</v>
      </c>
      <c r="I22" s="7" t="str">
        <f>VLOOKUP(D22,[1]characters!$A:$K,11,FALSE)</f>
        <v>hp</v>
      </c>
      <c r="J22" s="7" t="str">
        <f>VLOOKUP(D22,[1]characters!$A:$M,13,FALSE)</f>
        <v>human</v>
      </c>
      <c r="K22" s="7" t="str">
        <f>VLOOKUP(D22,[1]characters!$A:$G,7,FALSE)</f>
        <v>女性</v>
      </c>
      <c r="L22" s="66">
        <f>IFERROR(VLOOKUP(D22,input_3!L:R,7,FALSE),VLOOKUP(tables_3!B22,input_3!A:H,8,FALSE))</f>
        <v>0</v>
      </c>
      <c r="M22" s="67">
        <f t="shared" si="0"/>
        <v>0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customHeight="1">
      <c r="A23" s="2">
        <f>input_3!A$2</f>
        <v>3123</v>
      </c>
      <c r="B23" s="7" t="str">
        <f t="shared" si="1"/>
        <v>Premium4</v>
      </c>
      <c r="C23" s="7" t="str">
        <f t="shared" si="2"/>
        <v>Premium</v>
      </c>
      <c r="D23" s="6">
        <v>147</v>
      </c>
      <c r="E23" s="7" t="str">
        <f>VLOOKUP(D23,[1]characters!$A:$C,3,FALSE)</f>
        <v>蒼き閃光 元マーメイド</v>
      </c>
      <c r="F23" s="7" t="str">
        <f>VLOOKUP(D23,[1]characters!$A:$J,10,FALSE)</f>
        <v>PremiumW</v>
      </c>
      <c r="G23" s="7">
        <f>VLOOKUP(D23,[1]characters!$A:$I,9,FALSE)</f>
        <v>4</v>
      </c>
      <c r="H23" s="7" t="str">
        <f>VLOOKUP(D23,[1]characters!$A:$H,8,FALSE)</f>
        <v>blue</v>
      </c>
      <c r="I23" s="7" t="str">
        <f>VLOOKUP(D23,[1]characters!$A:$K,11,FALSE)</f>
        <v>hp</v>
      </c>
      <c r="J23" s="7" t="str">
        <f>VLOOKUP(D23,[1]characters!$A:$M,13,FALSE)</f>
        <v>human</v>
      </c>
      <c r="K23" s="7" t="str">
        <f>VLOOKUP(D23,[1]characters!$A:$G,7,FALSE)</f>
        <v>女性</v>
      </c>
      <c r="L23" s="66">
        <f>IFERROR(VLOOKUP(D23,input_3!L:R,7,FALSE),VLOOKUP(tables_3!B23,input_3!A:H,8,FALSE))</f>
        <v>0</v>
      </c>
      <c r="M23" s="67">
        <f t="shared" si="0"/>
        <v>0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customHeight="1">
      <c r="A24" s="2">
        <f>input_3!A$2</f>
        <v>3123</v>
      </c>
      <c r="B24" s="7" t="str">
        <f t="shared" si="1"/>
        <v>Premium3</v>
      </c>
      <c r="C24" s="7" t="str">
        <f t="shared" si="2"/>
        <v>Premium</v>
      </c>
      <c r="D24" s="6">
        <v>148</v>
      </c>
      <c r="E24" s="7" t="str">
        <f>VLOOKUP(D24,[1]characters!$A:$C,3,FALSE)</f>
        <v>シンデレラ</v>
      </c>
      <c r="F24" s="7" t="str">
        <f>VLOOKUP(D24,[1]characters!$A:$J,10,FALSE)</f>
        <v>PremiumW</v>
      </c>
      <c r="G24" s="7">
        <f>VLOOKUP(D24,[1]characters!$A:$I,9,FALSE)</f>
        <v>3</v>
      </c>
      <c r="H24" s="7" t="str">
        <f>VLOOKUP(D24,[1]characters!$A:$H,8,FALSE)</f>
        <v>yellow</v>
      </c>
      <c r="I24" s="7" t="str">
        <f>VLOOKUP(D24,[1]characters!$A:$K,11,FALSE)</f>
        <v>balance</v>
      </c>
      <c r="J24" s="7" t="str">
        <f>VLOOKUP(D24,[1]characters!$A:$M,13,FALSE)</f>
        <v>human</v>
      </c>
      <c r="K24" s="7" t="str">
        <f>VLOOKUP(D24,[1]characters!$A:$G,7,FALSE)</f>
        <v>女性</v>
      </c>
      <c r="L24" s="66">
        <f>IFERROR(VLOOKUP(D24,input_3!L:R,7,FALSE),VLOOKUP(tables_3!B24,input_3!A:H,8,FALSE))</f>
        <v>0</v>
      </c>
      <c r="M24" s="67">
        <f t="shared" si="0"/>
        <v>0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customHeight="1">
      <c r="A25" s="2">
        <f>input_3!A$2</f>
        <v>3123</v>
      </c>
      <c r="B25" s="7" t="str">
        <f t="shared" si="1"/>
        <v>Premium4</v>
      </c>
      <c r="C25" s="7" t="str">
        <f t="shared" si="2"/>
        <v>Premium</v>
      </c>
      <c r="D25" s="6">
        <v>149</v>
      </c>
      <c r="E25" s="7" t="str">
        <f>VLOOKUP(D25,[1]characters!$A:$C,3,FALSE)</f>
        <v>雷撃蹴技を極めし者 シンデレラ</v>
      </c>
      <c r="F25" s="7" t="str">
        <f>VLOOKUP(D25,[1]characters!$A:$J,10,FALSE)</f>
        <v>PremiumW</v>
      </c>
      <c r="G25" s="7">
        <f>VLOOKUP(D25,[1]characters!$A:$I,9,FALSE)</f>
        <v>4</v>
      </c>
      <c r="H25" s="7" t="str">
        <f>VLOOKUP(D25,[1]characters!$A:$H,8,FALSE)</f>
        <v>yellow</v>
      </c>
      <c r="I25" s="7" t="str">
        <f>VLOOKUP(D25,[1]characters!$A:$K,11,FALSE)</f>
        <v>balance</v>
      </c>
      <c r="J25" s="7" t="str">
        <f>VLOOKUP(D25,[1]characters!$A:$M,13,FALSE)</f>
        <v>human</v>
      </c>
      <c r="K25" s="7" t="str">
        <f>VLOOKUP(D25,[1]characters!$A:$G,7,FALSE)</f>
        <v>女性</v>
      </c>
      <c r="L25" s="66">
        <f>IFERROR(VLOOKUP(D25,input_3!L:R,7,FALSE),VLOOKUP(tables_3!B25,input_3!A:H,8,FALSE))</f>
        <v>0</v>
      </c>
      <c r="M25" s="67">
        <f t="shared" si="0"/>
        <v>0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customHeight="1">
      <c r="A26" s="2">
        <f>input_3!A$2</f>
        <v>3123</v>
      </c>
      <c r="B26" s="7" t="str">
        <f t="shared" si="1"/>
        <v>Premium3</v>
      </c>
      <c r="C26" s="7" t="str">
        <f t="shared" si="2"/>
        <v>Premium</v>
      </c>
      <c r="D26" s="6">
        <v>150</v>
      </c>
      <c r="E26" s="7" t="str">
        <f>VLOOKUP(D26,[1]characters!$A:$C,3,FALSE)</f>
        <v>ポイズンマスターサキ</v>
      </c>
      <c r="F26" s="7" t="str">
        <f>VLOOKUP(D26,[1]characters!$A:$J,10,FALSE)</f>
        <v>PremiumW</v>
      </c>
      <c r="G26" s="7">
        <f>VLOOKUP(D26,[1]characters!$A:$I,9,FALSE)</f>
        <v>3</v>
      </c>
      <c r="H26" s="7" t="str">
        <f>VLOOKUP(D26,[1]characters!$A:$H,8,FALSE)</f>
        <v>red</v>
      </c>
      <c r="I26" s="7" t="str">
        <f>VLOOKUP(D26,[1]characters!$A:$K,11,FALSE)</f>
        <v>technical</v>
      </c>
      <c r="J26" s="7" t="str">
        <f>VLOOKUP(D26,[1]characters!$A:$M,13,FALSE)</f>
        <v>human</v>
      </c>
      <c r="K26" s="7" t="str">
        <f>VLOOKUP(D26,[1]characters!$A:$G,7,FALSE)</f>
        <v>女性</v>
      </c>
      <c r="L26" s="66">
        <f>IFERROR(VLOOKUP(D26,input_3!L:R,7,FALSE),VLOOKUP(tables_3!B26,input_3!A:H,8,FALSE))</f>
        <v>0</v>
      </c>
      <c r="M26" s="67">
        <f t="shared" si="0"/>
        <v>0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customHeight="1">
      <c r="A27" s="2">
        <f>input_3!A$2</f>
        <v>3123</v>
      </c>
      <c r="B27" s="7" t="str">
        <f t="shared" si="1"/>
        <v>Premium4</v>
      </c>
      <c r="C27" s="7" t="str">
        <f t="shared" si="2"/>
        <v>Premium</v>
      </c>
      <c r="D27" s="6">
        <v>151</v>
      </c>
      <c r="E27" s="7" t="str">
        <f>VLOOKUP(D27,[1]characters!$A:$C,3,FALSE)</f>
        <v>毒煙の処刑人サキ</v>
      </c>
      <c r="F27" s="7" t="str">
        <f>VLOOKUP(D27,[1]characters!$A:$J,10,FALSE)</f>
        <v>PremiumW</v>
      </c>
      <c r="G27" s="7">
        <f>VLOOKUP(D27,[1]characters!$A:$I,9,FALSE)</f>
        <v>4</v>
      </c>
      <c r="H27" s="7" t="str">
        <f>VLOOKUP(D27,[1]characters!$A:$H,8,FALSE)</f>
        <v>red</v>
      </c>
      <c r="I27" s="7" t="str">
        <f>VLOOKUP(D27,[1]characters!$A:$K,11,FALSE)</f>
        <v>technical</v>
      </c>
      <c r="J27" s="7" t="str">
        <f>VLOOKUP(D27,[1]characters!$A:$M,13,FALSE)</f>
        <v>human</v>
      </c>
      <c r="K27" s="7" t="str">
        <f>VLOOKUP(D27,[1]characters!$A:$G,7,FALSE)</f>
        <v>女性</v>
      </c>
      <c r="L27" s="66">
        <f>IFERROR(VLOOKUP(D27,input_3!L:R,7,FALSE),VLOOKUP(tables_3!B27,input_3!A:H,8,FALSE))</f>
        <v>0</v>
      </c>
      <c r="M27" s="67">
        <f t="shared" si="0"/>
        <v>0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customHeight="1">
      <c r="A28" s="2">
        <f>input_3!A$2</f>
        <v>3123</v>
      </c>
      <c r="B28" s="7" t="str">
        <f t="shared" si="1"/>
        <v>Premium3</v>
      </c>
      <c r="C28" s="7" t="str">
        <f t="shared" si="2"/>
        <v>Premium</v>
      </c>
      <c r="D28" s="6">
        <v>152</v>
      </c>
      <c r="E28" s="7" t="str">
        <f>VLOOKUP(D28,[1]characters!$A:$C,3,FALSE)</f>
        <v>功夫少女ランラン</v>
      </c>
      <c r="F28" s="7" t="str">
        <f>VLOOKUP(D28,[1]characters!$A:$J,10,FALSE)</f>
        <v>PremiumW</v>
      </c>
      <c r="G28" s="7">
        <f>VLOOKUP(D28,[1]characters!$A:$I,9,FALSE)</f>
        <v>3</v>
      </c>
      <c r="H28" s="7" t="str">
        <f>VLOOKUP(D28,[1]characters!$A:$H,8,FALSE)</f>
        <v>green</v>
      </c>
      <c r="I28" s="7" t="str">
        <f>VLOOKUP(D28,[1]characters!$A:$K,11,FALSE)</f>
        <v>heal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66">
        <f>IFERROR(VLOOKUP(D28,input_3!L:R,7,FALSE),VLOOKUP(tables_3!B28,input_3!A:H,8,FALSE))</f>
        <v>0</v>
      </c>
      <c r="M28" s="67">
        <f t="shared" si="0"/>
        <v>0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customHeight="1">
      <c r="A29" s="2">
        <f>input_3!A$2</f>
        <v>3123</v>
      </c>
      <c r="B29" s="7" t="str">
        <f t="shared" si="1"/>
        <v>Premium4</v>
      </c>
      <c r="C29" s="7" t="str">
        <f t="shared" si="2"/>
        <v>Premium</v>
      </c>
      <c r="D29" s="6">
        <v>153</v>
      </c>
      <c r="E29" s="7" t="str">
        <f>VLOOKUP(D29,[1]characters!$A:$C,3,FALSE)</f>
        <v>拳聖ランラン</v>
      </c>
      <c r="F29" s="7" t="str">
        <f>VLOOKUP(D29,[1]characters!$A:$J,10,FALSE)</f>
        <v>PremiumW</v>
      </c>
      <c r="G29" s="7">
        <f>VLOOKUP(D29,[1]characters!$A:$I,9,FALSE)</f>
        <v>4</v>
      </c>
      <c r="H29" s="7" t="str">
        <f>VLOOKUP(D29,[1]characters!$A:$H,8,FALSE)</f>
        <v>green</v>
      </c>
      <c r="I29" s="7" t="str">
        <f>VLOOKUP(D29,[1]characters!$A:$K,11,FALSE)</f>
        <v>heal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66">
        <f>IFERROR(VLOOKUP(D29,input_3!L:R,7,FALSE),VLOOKUP(tables_3!B29,input_3!A:H,8,FALSE))</f>
        <v>0</v>
      </c>
      <c r="M29" s="67">
        <f t="shared" si="0"/>
        <v>0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customHeight="1">
      <c r="A30" s="2">
        <f>input_3!A$2</f>
        <v>3123</v>
      </c>
      <c r="B30" s="7" t="str">
        <f t="shared" si="1"/>
        <v>Premium3</v>
      </c>
      <c r="C30" s="7" t="str">
        <f t="shared" si="2"/>
        <v>Premium</v>
      </c>
      <c r="D30" s="6">
        <v>154</v>
      </c>
      <c r="E30" s="7" t="str">
        <f>VLOOKUP(D30,[1]characters!$A:$C,3,FALSE)</f>
        <v>始末屋 ハンナ</v>
      </c>
      <c r="F30" s="7" t="str">
        <f>VLOOKUP(D30,[1]characters!$A:$J,10,FALSE)</f>
        <v>PremiumW</v>
      </c>
      <c r="G30" s="7">
        <f>VLOOKUP(D30,[1]characters!$A:$I,9,FALSE)</f>
        <v>3</v>
      </c>
      <c r="H30" s="7" t="str">
        <f>VLOOKUP(D30,[1]characters!$A:$H,8,FALSE)</f>
        <v>blue</v>
      </c>
      <c r="I30" s="7" t="str">
        <f>VLOOKUP(D30,[1]characters!$A:$K,11,FALSE)</f>
        <v>heal</v>
      </c>
      <c r="J30" s="7" t="str">
        <f>VLOOKUP(D30,[1]characters!$A:$M,13,FALSE)</f>
        <v>human</v>
      </c>
      <c r="K30" s="7" t="str">
        <f>VLOOKUP(D30,[1]characters!$A:$G,7,FALSE)</f>
        <v>女性</v>
      </c>
      <c r="L30" s="66">
        <f>IFERROR(VLOOKUP(D30,input_3!L:R,7,FALSE),VLOOKUP(tables_3!B30,input_3!A:H,8,FALSE))</f>
        <v>0</v>
      </c>
      <c r="M30" s="67">
        <f t="shared" si="0"/>
        <v>0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customHeight="1">
      <c r="A31" s="2">
        <f>input_3!A$2</f>
        <v>3123</v>
      </c>
      <c r="B31" s="7" t="str">
        <f t="shared" si="1"/>
        <v>Premium4</v>
      </c>
      <c r="C31" s="7" t="str">
        <f t="shared" si="2"/>
        <v>Premium</v>
      </c>
      <c r="D31" s="6">
        <v>155</v>
      </c>
      <c r="E31" s="7" t="str">
        <f>VLOOKUP(D31,[1]characters!$A:$C,3,FALSE)</f>
        <v>隻眼の掃除屋 ハンナ</v>
      </c>
      <c r="F31" s="7" t="str">
        <f>VLOOKUP(D31,[1]characters!$A:$J,10,FALSE)</f>
        <v>PremiumW</v>
      </c>
      <c r="G31" s="7">
        <f>VLOOKUP(D31,[1]characters!$A:$I,9,FALSE)</f>
        <v>4</v>
      </c>
      <c r="H31" s="7" t="str">
        <f>VLOOKUP(D31,[1]characters!$A:$H,8,FALSE)</f>
        <v>blue</v>
      </c>
      <c r="I31" s="7" t="str">
        <f>VLOOKUP(D31,[1]characters!$A:$K,11,FALSE)</f>
        <v>heal</v>
      </c>
      <c r="J31" s="7" t="str">
        <f>VLOOKUP(D31,[1]characters!$A:$M,13,FALSE)</f>
        <v>human</v>
      </c>
      <c r="K31" s="7" t="str">
        <f>VLOOKUP(D31,[1]characters!$A:$G,7,FALSE)</f>
        <v>女性</v>
      </c>
      <c r="L31" s="66">
        <f>IFERROR(VLOOKUP(D31,input_3!L:R,7,FALSE),VLOOKUP(tables_3!B31,input_3!A:H,8,FALSE))</f>
        <v>0</v>
      </c>
      <c r="M31" s="67">
        <f t="shared" si="0"/>
        <v>0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customHeight="1">
      <c r="A32" s="2">
        <f>input_3!A$2</f>
        <v>3123</v>
      </c>
      <c r="B32" s="7" t="str">
        <f t="shared" si="1"/>
        <v>Premium3</v>
      </c>
      <c r="C32" s="7" t="str">
        <f t="shared" si="2"/>
        <v>Premium</v>
      </c>
      <c r="D32" s="6">
        <v>156</v>
      </c>
      <c r="E32" s="7" t="str">
        <f>VLOOKUP(D32,[1]characters!$A:$C,3,FALSE)</f>
        <v>踊り子 エレナ</v>
      </c>
      <c r="F32" s="7" t="str">
        <f>VLOOKUP(D32,[1]characters!$A:$J,10,FALSE)</f>
        <v>PremiumW</v>
      </c>
      <c r="G32" s="7">
        <f>VLOOKUP(D32,[1]characters!$A:$I,9,FALSE)</f>
        <v>3</v>
      </c>
      <c r="H32" s="7" t="str">
        <f>VLOOKUP(D32,[1]characters!$A:$H,8,FALSE)</f>
        <v>yellow</v>
      </c>
      <c r="I32" s="7" t="str">
        <f>VLOOKUP(D32,[1]characters!$A:$K,11,FALSE)</f>
        <v>heal</v>
      </c>
      <c r="J32" s="7" t="str">
        <f>VLOOKUP(D32,[1]characters!$A:$M,13,FALSE)</f>
        <v>human</v>
      </c>
      <c r="K32" s="7" t="str">
        <f>VLOOKUP(D32,[1]characters!$A:$G,7,FALSE)</f>
        <v>女性</v>
      </c>
      <c r="L32" s="66">
        <f>IFERROR(VLOOKUP(D32,input_3!L:R,7,FALSE),VLOOKUP(tables_3!B32,input_3!A:H,8,FALSE))</f>
        <v>0</v>
      </c>
      <c r="M32" s="67">
        <f t="shared" si="0"/>
        <v>0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customHeight="1">
      <c r="A33" s="2">
        <f>input_3!A$2</f>
        <v>3123</v>
      </c>
      <c r="B33" s="7" t="str">
        <f t="shared" si="1"/>
        <v>Premium4</v>
      </c>
      <c r="C33" s="7" t="str">
        <f t="shared" si="2"/>
        <v>Premium</v>
      </c>
      <c r="D33" s="6">
        <v>157</v>
      </c>
      <c r="E33" s="7" t="str">
        <f>VLOOKUP(D33,[1]characters!$A:$C,3,FALSE)</f>
        <v>雷光舞姫 エレナ</v>
      </c>
      <c r="F33" s="7" t="str">
        <f>VLOOKUP(D33,[1]characters!$A:$J,10,FALSE)</f>
        <v>PremiumW</v>
      </c>
      <c r="G33" s="7">
        <f>VLOOKUP(D33,[1]characters!$A:$I,9,FALSE)</f>
        <v>4</v>
      </c>
      <c r="H33" s="7" t="str">
        <f>VLOOKUP(D33,[1]characters!$A:$H,8,FALSE)</f>
        <v>yellow</v>
      </c>
      <c r="I33" s="7" t="str">
        <f>VLOOKUP(D33,[1]characters!$A:$K,11,FALSE)</f>
        <v>heal</v>
      </c>
      <c r="J33" s="7" t="str">
        <f>VLOOKUP(D33,[1]characters!$A:$M,13,FALSE)</f>
        <v>human</v>
      </c>
      <c r="K33" s="7" t="str">
        <f>VLOOKUP(D33,[1]characters!$A:$G,7,FALSE)</f>
        <v>女性</v>
      </c>
      <c r="L33" s="66">
        <f>IFERROR(VLOOKUP(D33,input_3!L:R,7,FALSE),VLOOKUP(tables_3!B33,input_3!A:H,8,FALSE))</f>
        <v>0</v>
      </c>
      <c r="M33" s="67">
        <f t="shared" si="0"/>
        <v>0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customHeight="1">
      <c r="A34" s="2">
        <f>input_3!A$2</f>
        <v>3123</v>
      </c>
      <c r="B34" s="7" t="str">
        <f t="shared" si="1"/>
        <v>Premium3</v>
      </c>
      <c r="C34" s="7" t="str">
        <f t="shared" si="2"/>
        <v>Premium</v>
      </c>
      <c r="D34" s="6">
        <v>158</v>
      </c>
      <c r="E34" s="7" t="str">
        <f>VLOOKUP(D34,[1]characters!$A:$C,3,FALSE)</f>
        <v>シスター シャルロッテ</v>
      </c>
      <c r="F34" s="7" t="str">
        <f>VLOOKUP(D34,[1]characters!$A:$J,10,FALSE)</f>
        <v>PremiumW</v>
      </c>
      <c r="G34" s="7">
        <f>VLOOKUP(D34,[1]characters!$A:$I,9,FALSE)</f>
        <v>3</v>
      </c>
      <c r="H34" s="7" t="str">
        <f>VLOOKUP(D34,[1]characters!$A:$H,8,FALSE)</f>
        <v>red</v>
      </c>
      <c r="I34" s="7" t="str">
        <f>VLOOKUP(D34,[1]characters!$A:$K,11,FALSE)</f>
        <v>heal</v>
      </c>
      <c r="J34" s="7" t="str">
        <f>VLOOKUP(D34,[1]characters!$A:$M,13,FALSE)</f>
        <v>human</v>
      </c>
      <c r="K34" s="7" t="str">
        <f>VLOOKUP(D34,[1]characters!$A:$G,7,FALSE)</f>
        <v>女性</v>
      </c>
      <c r="L34" s="66">
        <f>IFERROR(VLOOKUP(D34,input_3!L:R,7,FALSE),VLOOKUP(tables_3!B34,input_3!A:H,8,FALSE))</f>
        <v>0</v>
      </c>
      <c r="M34" s="67">
        <f t="shared" si="0"/>
        <v>0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customHeight="1">
      <c r="A35" s="2">
        <f>input_3!A$2</f>
        <v>3123</v>
      </c>
      <c r="B35" s="7" t="str">
        <f t="shared" si="1"/>
        <v>Premium4</v>
      </c>
      <c r="C35" s="7" t="str">
        <f t="shared" si="2"/>
        <v>Premium</v>
      </c>
      <c r="D35" s="6">
        <v>159</v>
      </c>
      <c r="E35" s="7" t="str">
        <f>VLOOKUP(D35,[1]characters!$A:$C,3,FALSE)</f>
        <v>邪を狩りし者 シャルロッテ</v>
      </c>
      <c r="F35" s="7" t="str">
        <f>VLOOKUP(D35,[1]characters!$A:$J,10,FALSE)</f>
        <v>PremiumW</v>
      </c>
      <c r="G35" s="7">
        <f>VLOOKUP(D35,[1]characters!$A:$I,9,FALSE)</f>
        <v>4</v>
      </c>
      <c r="H35" s="7" t="str">
        <f>VLOOKUP(D35,[1]characters!$A:$H,8,FALSE)</f>
        <v>red</v>
      </c>
      <c r="I35" s="7" t="str">
        <f>VLOOKUP(D35,[1]characters!$A:$K,11,FALSE)</f>
        <v>heal</v>
      </c>
      <c r="J35" s="7" t="str">
        <f>VLOOKUP(D35,[1]characters!$A:$M,13,FALSE)</f>
        <v>human</v>
      </c>
      <c r="K35" s="7" t="str">
        <f>VLOOKUP(D35,[1]characters!$A:$G,7,FALSE)</f>
        <v>女性</v>
      </c>
      <c r="L35" s="66">
        <f>IFERROR(VLOOKUP(D35,input_3!L:R,7,FALSE),VLOOKUP(tables_3!B35,input_3!A:H,8,FALSE))</f>
        <v>0</v>
      </c>
      <c r="M35" s="67">
        <f t="shared" si="0"/>
        <v>0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customHeight="1">
      <c r="A36" s="2">
        <f>input_3!A$2</f>
        <v>3123</v>
      </c>
      <c r="B36" s="7" t="str">
        <f t="shared" si="1"/>
        <v>Premium3</v>
      </c>
      <c r="C36" s="7" t="str">
        <f t="shared" si="2"/>
        <v>Premium</v>
      </c>
      <c r="D36" s="6">
        <v>160</v>
      </c>
      <c r="E36" s="7" t="str">
        <f>VLOOKUP(D36,[1]characters!$A:$C,3,FALSE)</f>
        <v>反逆者 クリエ</v>
      </c>
      <c r="F36" s="7" t="str">
        <f>VLOOKUP(D36,[1]characters!$A:$J,10,FALSE)</f>
        <v>PremiumW</v>
      </c>
      <c r="G36" s="7">
        <f>VLOOKUP(D36,[1]characters!$A:$I,9,FALSE)</f>
        <v>3</v>
      </c>
      <c r="H36" s="7" t="str">
        <f>VLOOKUP(D36,[1]characters!$A:$H,8,FALSE)</f>
        <v>green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66">
        <f>IFERROR(VLOOKUP(D36,input_3!L:R,7,FALSE),VLOOKUP(tables_3!B36,input_3!A:H,8,FALSE))</f>
        <v>0</v>
      </c>
      <c r="M36" s="67">
        <f t="shared" si="0"/>
        <v>0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customHeight="1">
      <c r="A37" s="2">
        <f>input_3!A$2</f>
        <v>3123</v>
      </c>
      <c r="B37" s="7" t="str">
        <f t="shared" si="1"/>
        <v>Premium4</v>
      </c>
      <c r="C37" s="7" t="str">
        <f t="shared" si="2"/>
        <v>Premium</v>
      </c>
      <c r="D37" s="6">
        <v>161</v>
      </c>
      <c r="E37" s="7" t="str">
        <f>VLOOKUP(D37,[1]characters!$A:$C,3,FALSE)</f>
        <v>咆哮の先導者 クリエ</v>
      </c>
      <c r="F37" s="7" t="str">
        <f>VLOOKUP(D37,[1]characters!$A:$J,10,FALSE)</f>
        <v>PremiumW</v>
      </c>
      <c r="G37" s="7">
        <f>VLOOKUP(D37,[1]characters!$A:$I,9,FALSE)</f>
        <v>4</v>
      </c>
      <c r="H37" s="7" t="str">
        <f>VLOOKUP(D37,[1]characters!$A:$H,8,FALSE)</f>
        <v>green</v>
      </c>
      <c r="I37" s="7" t="str">
        <f>VLOOKUP(D37,[1]characters!$A:$K,11,FALSE)</f>
        <v>balance</v>
      </c>
      <c r="J37" s="7" t="str">
        <f>VLOOKUP(D37,[1]characters!$A:$M,13,FALSE)</f>
        <v>human</v>
      </c>
      <c r="K37" s="7" t="str">
        <f>VLOOKUP(D37,[1]characters!$A:$G,7,FALSE)</f>
        <v>女性</v>
      </c>
      <c r="L37" s="66">
        <f>IFERROR(VLOOKUP(D37,input_3!L:R,7,FALSE),VLOOKUP(tables_3!B37,input_3!A:H,8,FALSE))</f>
        <v>0</v>
      </c>
      <c r="M37" s="67">
        <f t="shared" si="0"/>
        <v>0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customHeight="1">
      <c r="A38" s="2">
        <f>input_3!A$2</f>
        <v>3123</v>
      </c>
      <c r="B38" s="7" t="str">
        <f t="shared" si="1"/>
        <v>Premium3</v>
      </c>
      <c r="C38" s="7" t="str">
        <f t="shared" si="2"/>
        <v>Premium</v>
      </c>
      <c r="D38" s="6">
        <v>162</v>
      </c>
      <c r="E38" s="7" t="str">
        <f>VLOOKUP(D38,[1]characters!$A:$C,3,FALSE)</f>
        <v>狂女 クララ</v>
      </c>
      <c r="F38" s="7" t="str">
        <f>VLOOKUP(D38,[1]characters!$A:$J,10,FALSE)</f>
        <v>PremiumW</v>
      </c>
      <c r="G38" s="7">
        <f>VLOOKUP(D38,[1]characters!$A:$I,9,FALSE)</f>
        <v>3</v>
      </c>
      <c r="H38" s="7" t="str">
        <f>VLOOKUP(D38,[1]characters!$A:$H,8,FALSE)</f>
        <v>blue</v>
      </c>
      <c r="I38" s="7" t="str">
        <f>VLOOKUP(D38,[1]characters!$A:$K,11,FALSE)</f>
        <v>attack</v>
      </c>
      <c r="J38" s="7" t="str">
        <f>VLOOKUP(D38,[1]characters!$A:$M,13,FALSE)</f>
        <v>human</v>
      </c>
      <c r="K38" s="7" t="str">
        <f>VLOOKUP(D38,[1]characters!$A:$G,7,FALSE)</f>
        <v>女性</v>
      </c>
      <c r="L38" s="66">
        <f>IFERROR(VLOOKUP(D38,input_3!L:R,7,FALSE),VLOOKUP(tables_3!B38,input_3!A:H,8,FALSE))</f>
        <v>0</v>
      </c>
      <c r="M38" s="67">
        <f t="shared" si="0"/>
        <v>0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customHeight="1">
      <c r="A39" s="2">
        <f>input_3!A$2</f>
        <v>3123</v>
      </c>
      <c r="B39" s="7" t="str">
        <f t="shared" si="1"/>
        <v>Premium4</v>
      </c>
      <c r="C39" s="7" t="str">
        <f t="shared" si="2"/>
        <v>Premium</v>
      </c>
      <c r="D39" s="6">
        <v>163</v>
      </c>
      <c r="E39" s="7" t="str">
        <f>VLOOKUP(D39,[1]characters!$A:$C,3,FALSE)</f>
        <v>冷酷な狂嬢 クララ</v>
      </c>
      <c r="F39" s="7" t="str">
        <f>VLOOKUP(D39,[1]characters!$A:$J,10,FALSE)</f>
        <v>PremiumW</v>
      </c>
      <c r="G39" s="7">
        <f>VLOOKUP(D39,[1]characters!$A:$I,9,FALSE)</f>
        <v>4</v>
      </c>
      <c r="H39" s="7" t="str">
        <f>VLOOKUP(D39,[1]characters!$A:$H,8,FALSE)</f>
        <v>blue</v>
      </c>
      <c r="I39" s="7" t="str">
        <f>VLOOKUP(D39,[1]characters!$A:$K,11,FALSE)</f>
        <v>attack</v>
      </c>
      <c r="J39" s="7" t="str">
        <f>VLOOKUP(D39,[1]characters!$A:$M,13,FALSE)</f>
        <v>human</v>
      </c>
      <c r="K39" s="7" t="str">
        <f>VLOOKUP(D39,[1]characters!$A:$G,7,FALSE)</f>
        <v>女性</v>
      </c>
      <c r="L39" s="66">
        <f>IFERROR(VLOOKUP(D39,input_3!L:R,7,FALSE),VLOOKUP(tables_3!B39,input_3!A:H,8,FALSE))</f>
        <v>0</v>
      </c>
      <c r="M39" s="67">
        <f t="shared" si="0"/>
        <v>0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customHeight="1">
      <c r="A40" s="2">
        <f>input_3!A$2</f>
        <v>3123</v>
      </c>
      <c r="B40" s="7" t="str">
        <f t="shared" si="1"/>
        <v>Premium3</v>
      </c>
      <c r="C40" s="7" t="str">
        <f t="shared" si="2"/>
        <v>Premium</v>
      </c>
      <c r="D40" s="6">
        <v>164</v>
      </c>
      <c r="E40" s="7" t="str">
        <f>VLOOKUP(D40,[1]characters!$A:$C,3,FALSE)</f>
        <v>イブとトモダチ</v>
      </c>
      <c r="F40" s="7" t="str">
        <f>VLOOKUP(D40,[1]characters!$A:$J,10,FALSE)</f>
        <v>PremiumW</v>
      </c>
      <c r="G40" s="7">
        <f>VLOOKUP(D40,[1]characters!$A:$I,9,FALSE)</f>
        <v>3</v>
      </c>
      <c r="H40" s="7" t="str">
        <f>VLOOKUP(D40,[1]characters!$A:$H,8,FALSE)</f>
        <v>yellow</v>
      </c>
      <c r="I40" s="7" t="str">
        <f>VLOOKUP(D40,[1]characters!$A:$K,11,FALSE)</f>
        <v>technical</v>
      </c>
      <c r="J40" s="7" t="str">
        <f>VLOOKUP(D40,[1]characters!$A:$M,13,FALSE)</f>
        <v>human</v>
      </c>
      <c r="K40" s="7" t="str">
        <f>VLOOKUP(D40,[1]characters!$A:$G,7,FALSE)</f>
        <v>女性</v>
      </c>
      <c r="L40" s="66">
        <f>IFERROR(VLOOKUP(D40,input_3!L:R,7,FALSE),VLOOKUP(tables_3!B40,input_3!A:H,8,FALSE))</f>
        <v>0</v>
      </c>
      <c r="M40" s="67">
        <f t="shared" si="0"/>
        <v>0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customHeight="1">
      <c r="A41" s="2">
        <f>input_3!A$2</f>
        <v>3123</v>
      </c>
      <c r="B41" s="7" t="str">
        <f t="shared" si="1"/>
        <v>Premium4</v>
      </c>
      <c r="C41" s="7" t="str">
        <f t="shared" si="2"/>
        <v>Premium</v>
      </c>
      <c r="D41" s="6">
        <v>165</v>
      </c>
      <c r="E41" s="7" t="str">
        <f>VLOOKUP(D41,[1]characters!$A:$C,3,FALSE)</f>
        <v>イブとたったひとりのトモダチ</v>
      </c>
      <c r="F41" s="7" t="str">
        <f>VLOOKUP(D41,[1]characters!$A:$J,10,FALSE)</f>
        <v>PremiumW</v>
      </c>
      <c r="G41" s="7">
        <f>VLOOKUP(D41,[1]characters!$A:$I,9,FALSE)</f>
        <v>4</v>
      </c>
      <c r="H41" s="7" t="str">
        <f>VLOOKUP(D41,[1]characters!$A:$H,8,FALSE)</f>
        <v>yellow</v>
      </c>
      <c r="I41" s="7" t="str">
        <f>VLOOKUP(D41,[1]characters!$A:$K,11,FALSE)</f>
        <v>technical</v>
      </c>
      <c r="J41" s="7" t="str">
        <f>VLOOKUP(D41,[1]characters!$A:$M,13,FALSE)</f>
        <v>human</v>
      </c>
      <c r="K41" s="7" t="str">
        <f>VLOOKUP(D41,[1]characters!$A:$G,7,FALSE)</f>
        <v>女性</v>
      </c>
      <c r="L41" s="66">
        <f>IFERROR(VLOOKUP(D41,input_3!L:R,7,FALSE),VLOOKUP(tables_3!B41,input_3!A:H,8,FALSE))</f>
        <v>0</v>
      </c>
      <c r="M41" s="67">
        <f t="shared" si="0"/>
        <v>0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customHeight="1">
      <c r="A42" s="2">
        <f>input_3!A$2</f>
        <v>3123</v>
      </c>
      <c r="B42" s="7" t="str">
        <f t="shared" si="1"/>
        <v>Premium3</v>
      </c>
      <c r="C42" s="7" t="str">
        <f t="shared" si="2"/>
        <v>Premium</v>
      </c>
      <c r="D42" s="6">
        <v>166</v>
      </c>
      <c r="E42" s="7" t="str">
        <f>VLOOKUP(D42,[1]characters!$A:$C,3,FALSE)</f>
        <v>ベリアル</v>
      </c>
      <c r="F42" s="7" t="str">
        <f>VLOOKUP(D42,[1]characters!$A:$J,10,FALSE)</f>
        <v>PremiumN</v>
      </c>
      <c r="G42" s="7">
        <f>VLOOKUP(D42,[1]characters!$A:$I,9,FALSE)</f>
        <v>3</v>
      </c>
      <c r="H42" s="7" t="str">
        <f>VLOOKUP(D42,[1]characters!$A:$H,8,FALSE)</f>
        <v>red</v>
      </c>
      <c r="I42" s="7" t="str">
        <f>VLOOKUP(D42,[1]characters!$A:$K,11,FALSE)</f>
        <v>attack</v>
      </c>
      <c r="J42" s="7" t="str">
        <f>VLOOKUP(D42,[1]characters!$A:$M,13,FALSE)</f>
        <v>god</v>
      </c>
      <c r="K42" s="7" t="str">
        <f>VLOOKUP(D42,[1]characters!$A:$G,7,FALSE)</f>
        <v>男性</v>
      </c>
      <c r="L42" s="66">
        <f>IFERROR(VLOOKUP(D42,input_3!L:R,7,FALSE),VLOOKUP(tables_3!B42,input_3!A:H,8,FALSE))</f>
        <v>0</v>
      </c>
      <c r="M42" s="67">
        <f t="shared" si="0"/>
        <v>0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customHeight="1">
      <c r="A43" s="2">
        <f>input_3!A$2</f>
        <v>3123</v>
      </c>
      <c r="B43" s="7" t="str">
        <f t="shared" si="1"/>
        <v>Premium4</v>
      </c>
      <c r="C43" s="7" t="str">
        <f t="shared" si="2"/>
        <v>Premium</v>
      </c>
      <c r="D43" s="6">
        <v>167</v>
      </c>
      <c r="E43" s="7" t="str">
        <f>VLOOKUP(D43,[1]characters!$A:$C,3,FALSE)</f>
        <v>逆徒 ベリアル</v>
      </c>
      <c r="F43" s="7" t="str">
        <f>VLOOKUP(D43,[1]characters!$A:$J,10,FALSE)</f>
        <v>PremiumN</v>
      </c>
      <c r="G43" s="7">
        <f>VLOOKUP(D43,[1]characters!$A:$I,9,FALSE)</f>
        <v>4</v>
      </c>
      <c r="H43" s="7" t="str">
        <f>VLOOKUP(D43,[1]characters!$A:$H,8,FALSE)</f>
        <v>red</v>
      </c>
      <c r="I43" s="7" t="str">
        <f>VLOOKUP(D43,[1]characters!$A:$K,11,FALSE)</f>
        <v>attack</v>
      </c>
      <c r="J43" s="7" t="str">
        <f>VLOOKUP(D43,[1]characters!$A:$M,13,FALSE)</f>
        <v>god</v>
      </c>
      <c r="K43" s="7" t="str">
        <f>VLOOKUP(D43,[1]characters!$A:$G,7,FALSE)</f>
        <v>男性</v>
      </c>
      <c r="L43" s="66">
        <f>IFERROR(VLOOKUP(D43,input_3!L:R,7,FALSE),VLOOKUP(tables_3!B43,input_3!A:H,8,FALSE))</f>
        <v>0</v>
      </c>
      <c r="M43" s="67">
        <f t="shared" si="0"/>
        <v>0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customHeight="1">
      <c r="A44" s="2">
        <f>input_3!A$2</f>
        <v>3123</v>
      </c>
      <c r="B44" s="7" t="str">
        <f t="shared" si="1"/>
        <v>Premium5</v>
      </c>
      <c r="C44" s="7" t="str">
        <f t="shared" si="2"/>
        <v>Premium</v>
      </c>
      <c r="D44" s="6">
        <v>168</v>
      </c>
      <c r="E44" s="7" t="str">
        <f>VLOOKUP(D44,[1]characters!$A:$C,3,FALSE)</f>
        <v>猛進の大逆者 ベリアル</v>
      </c>
      <c r="F44" s="7" t="str">
        <f>VLOOKUP(D44,[1]characters!$A:$J,10,FALSE)</f>
        <v>PremiumN</v>
      </c>
      <c r="G44" s="7">
        <f>VLOOKUP(D44,[1]characters!$A:$I,9,FALSE)</f>
        <v>5</v>
      </c>
      <c r="H44" s="7" t="str">
        <f>VLOOKUP(D44,[1]characters!$A:$H,8,FALSE)</f>
        <v>red</v>
      </c>
      <c r="I44" s="7" t="str">
        <f>VLOOKUP(D44,[1]characters!$A:$K,11,FALSE)</f>
        <v>attack</v>
      </c>
      <c r="J44" s="7" t="str">
        <f>VLOOKUP(D44,[1]characters!$A:$M,13,FALSE)</f>
        <v>god</v>
      </c>
      <c r="K44" s="7" t="str">
        <f>VLOOKUP(D44,[1]characters!$A:$G,7,FALSE)</f>
        <v>男性</v>
      </c>
      <c r="L44" s="66">
        <f>IFERROR(VLOOKUP(D44,input_3!L:R,7,FALSE),VLOOKUP(tables_3!B44,input_3!A:H,8,FALSE))</f>
        <v>637</v>
      </c>
      <c r="M44" s="67">
        <f t="shared" si="0"/>
        <v>1.8148148148148149E-2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customHeight="1">
      <c r="A45" s="2">
        <f>input_3!A$2</f>
        <v>3123</v>
      </c>
      <c r="B45" s="7" t="str">
        <f t="shared" si="1"/>
        <v>Premium3</v>
      </c>
      <c r="C45" s="7" t="str">
        <f t="shared" si="2"/>
        <v>Premium</v>
      </c>
      <c r="D45" s="6">
        <v>169</v>
      </c>
      <c r="E45" s="7" t="str">
        <f>VLOOKUP(D45,[1]characters!$A:$C,3,FALSE)</f>
        <v>オセ</v>
      </c>
      <c r="F45" s="7" t="str">
        <f>VLOOKUP(D45,[1]characters!$A:$J,10,FALSE)</f>
        <v>PremiumN</v>
      </c>
      <c r="G45" s="7">
        <f>VLOOKUP(D45,[1]characters!$A:$I,9,FALSE)</f>
        <v>3</v>
      </c>
      <c r="H45" s="7" t="str">
        <f>VLOOKUP(D45,[1]characters!$A:$H,8,FALSE)</f>
        <v>green</v>
      </c>
      <c r="I45" s="7" t="str">
        <f>VLOOKUP(D45,[1]characters!$A:$K,11,FALSE)</f>
        <v>attack</v>
      </c>
      <c r="J45" s="7" t="str">
        <f>VLOOKUP(D45,[1]characters!$A:$M,13,FALSE)</f>
        <v>god</v>
      </c>
      <c r="K45" s="7" t="str">
        <f>VLOOKUP(D45,[1]characters!$A:$G,7,FALSE)</f>
        <v>女性</v>
      </c>
      <c r="L45" s="66">
        <f>IFERROR(VLOOKUP(D45,input_3!L:R,7,FALSE),VLOOKUP(tables_3!B45,input_3!A:H,8,FALSE))</f>
        <v>0</v>
      </c>
      <c r="M45" s="67">
        <f t="shared" si="0"/>
        <v>0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customHeight="1">
      <c r="A46" s="2">
        <f>input_3!A$2</f>
        <v>3123</v>
      </c>
      <c r="B46" s="7" t="str">
        <f t="shared" si="1"/>
        <v>Premium4</v>
      </c>
      <c r="C46" s="7" t="str">
        <f t="shared" si="2"/>
        <v>Premium</v>
      </c>
      <c r="D46" s="6">
        <v>170</v>
      </c>
      <c r="E46" s="7" t="str">
        <f>VLOOKUP(D46,[1]characters!$A:$C,3,FALSE)</f>
        <v>識徒 オセ</v>
      </c>
      <c r="F46" s="7" t="str">
        <f>VLOOKUP(D46,[1]characters!$A:$J,10,FALSE)</f>
        <v>PremiumN</v>
      </c>
      <c r="G46" s="7">
        <f>VLOOKUP(D46,[1]characters!$A:$I,9,FALSE)</f>
        <v>4</v>
      </c>
      <c r="H46" s="7" t="str">
        <f>VLOOKUP(D46,[1]characters!$A:$H,8,FALSE)</f>
        <v>green</v>
      </c>
      <c r="I46" s="7" t="str">
        <f>VLOOKUP(D46,[1]characters!$A:$K,11,FALSE)</f>
        <v>attack</v>
      </c>
      <c r="J46" s="7" t="str">
        <f>VLOOKUP(D46,[1]characters!$A:$M,13,FALSE)</f>
        <v>god</v>
      </c>
      <c r="K46" s="7" t="str">
        <f>VLOOKUP(D46,[1]characters!$A:$G,7,FALSE)</f>
        <v>女性</v>
      </c>
      <c r="L46" s="66">
        <f>IFERROR(VLOOKUP(D46,input_3!L:R,7,FALSE),VLOOKUP(tables_3!B46,input_3!A:H,8,FALSE))</f>
        <v>0</v>
      </c>
      <c r="M46" s="67">
        <f t="shared" si="0"/>
        <v>0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customHeight="1">
      <c r="A47" s="2">
        <f>input_3!A$2</f>
        <v>3123</v>
      </c>
      <c r="B47" s="7" t="str">
        <f t="shared" si="1"/>
        <v>Premium5</v>
      </c>
      <c r="C47" s="7" t="str">
        <f t="shared" si="2"/>
        <v>Premium</v>
      </c>
      <c r="D47" s="6">
        <v>171</v>
      </c>
      <c r="E47" s="7" t="str">
        <f>VLOOKUP(D47,[1]characters!$A:$C,3,FALSE)</f>
        <v>精解の預知者 オセ</v>
      </c>
      <c r="F47" s="7" t="str">
        <f>VLOOKUP(D47,[1]characters!$A:$J,10,FALSE)</f>
        <v>PremiumN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attack</v>
      </c>
      <c r="J47" s="7" t="str">
        <f>VLOOKUP(D47,[1]characters!$A:$M,13,FALSE)</f>
        <v>god</v>
      </c>
      <c r="K47" s="7" t="str">
        <f>VLOOKUP(D47,[1]characters!$A:$G,7,FALSE)</f>
        <v>女性</v>
      </c>
      <c r="L47" s="66">
        <f>IFERROR(VLOOKUP(D47,input_3!L:R,7,FALSE),VLOOKUP(tables_3!B47,input_3!A:H,8,FALSE))</f>
        <v>637</v>
      </c>
      <c r="M47" s="67">
        <f t="shared" si="0"/>
        <v>1.8148148148148149E-2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customHeight="1">
      <c r="A48" s="2">
        <f>input_3!A$2</f>
        <v>3123</v>
      </c>
      <c r="B48" s="7" t="str">
        <f t="shared" si="1"/>
        <v>Premium3</v>
      </c>
      <c r="C48" s="7" t="str">
        <f t="shared" si="2"/>
        <v>Premium</v>
      </c>
      <c r="D48" s="6">
        <v>172</v>
      </c>
      <c r="E48" s="7" t="str">
        <f>VLOOKUP(D48,[1]characters!$A:$C,3,FALSE)</f>
        <v>フォルネウス</v>
      </c>
      <c r="F48" s="7" t="str">
        <f>VLOOKUP(D48,[1]characters!$A:$J,10,FALSE)</f>
        <v>PremiumN</v>
      </c>
      <c r="G48" s="7">
        <f>VLOOKUP(D48,[1]characters!$A:$I,9,FALSE)</f>
        <v>3</v>
      </c>
      <c r="H48" s="7" t="str">
        <f>VLOOKUP(D48,[1]characters!$A:$H,8,FALSE)</f>
        <v>blue</v>
      </c>
      <c r="I48" s="7" t="str">
        <f>VLOOKUP(D48,[1]characters!$A:$K,11,FALSE)</f>
        <v>attack</v>
      </c>
      <c r="J48" s="7" t="str">
        <f>VLOOKUP(D48,[1]characters!$A:$M,13,FALSE)</f>
        <v>god</v>
      </c>
      <c r="K48" s="7" t="str">
        <f>VLOOKUP(D48,[1]characters!$A:$G,7,FALSE)</f>
        <v>女性</v>
      </c>
      <c r="L48" s="66">
        <f>IFERROR(VLOOKUP(D48,input_3!L:R,7,FALSE),VLOOKUP(tables_3!B48,input_3!A:H,8,FALSE))</f>
        <v>0</v>
      </c>
      <c r="M48" s="67">
        <f t="shared" si="0"/>
        <v>0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customHeight="1">
      <c r="A49" s="2">
        <f>input_3!A$2</f>
        <v>3123</v>
      </c>
      <c r="B49" s="7" t="str">
        <f t="shared" si="1"/>
        <v>Premium4</v>
      </c>
      <c r="C49" s="7" t="str">
        <f t="shared" si="2"/>
        <v>Premium</v>
      </c>
      <c r="D49" s="6">
        <v>173</v>
      </c>
      <c r="E49" s="7" t="str">
        <f>VLOOKUP(D49,[1]characters!$A:$C,3,FALSE)</f>
        <v>公爵 フォルネウス</v>
      </c>
      <c r="F49" s="7" t="str">
        <f>VLOOKUP(D49,[1]characters!$A:$J,10,FALSE)</f>
        <v>PremiumN</v>
      </c>
      <c r="G49" s="7">
        <f>VLOOKUP(D49,[1]characters!$A:$I,9,FALSE)</f>
        <v>4</v>
      </c>
      <c r="H49" s="7" t="str">
        <f>VLOOKUP(D49,[1]characters!$A:$H,8,FALSE)</f>
        <v>blue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女性</v>
      </c>
      <c r="L49" s="66">
        <f>IFERROR(VLOOKUP(D49,input_3!L:R,7,FALSE),VLOOKUP(tables_3!B49,input_3!A:H,8,FALSE))</f>
        <v>0</v>
      </c>
      <c r="M49" s="67">
        <f t="shared" si="0"/>
        <v>0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customHeight="1">
      <c r="A50" s="2">
        <f>input_3!A$2</f>
        <v>3123</v>
      </c>
      <c r="B50" s="7" t="str">
        <f t="shared" si="1"/>
        <v>Premium5</v>
      </c>
      <c r="C50" s="7" t="str">
        <f t="shared" si="2"/>
        <v>Premium</v>
      </c>
      <c r="D50" s="6">
        <v>174</v>
      </c>
      <c r="E50" s="7" t="str">
        <f>VLOOKUP(D50,[1]characters!$A:$C,3,FALSE)</f>
        <v>偽愛の大公爵 フォルネウス</v>
      </c>
      <c r="F50" s="7" t="str">
        <f>VLOOKUP(D50,[1]characters!$A:$J,10,FALSE)</f>
        <v>PremiumN</v>
      </c>
      <c r="G50" s="7">
        <f>VLOOKUP(D50,[1]characters!$A:$I,9,FALSE)</f>
        <v>5</v>
      </c>
      <c r="H50" s="7" t="str">
        <f>VLOOKUP(D50,[1]characters!$A:$H,8,FALSE)</f>
        <v>blue</v>
      </c>
      <c r="I50" s="7" t="str">
        <f>VLOOKUP(D50,[1]characters!$A:$K,11,FALSE)</f>
        <v>attack</v>
      </c>
      <c r="J50" s="7" t="str">
        <f>VLOOKUP(D50,[1]characters!$A:$M,13,FALSE)</f>
        <v>god</v>
      </c>
      <c r="K50" s="7" t="str">
        <f>VLOOKUP(D50,[1]characters!$A:$G,7,FALSE)</f>
        <v>女性</v>
      </c>
      <c r="L50" s="66">
        <f>IFERROR(VLOOKUP(D50,input_3!L:R,7,FALSE),VLOOKUP(tables_3!B50,input_3!A:H,8,FALSE))</f>
        <v>637</v>
      </c>
      <c r="M50" s="67">
        <f t="shared" si="0"/>
        <v>1.8148148148148149E-2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customHeight="1">
      <c r="A51" s="2">
        <f>input_3!A$2</f>
        <v>3123</v>
      </c>
      <c r="B51" s="7" t="str">
        <f t="shared" si="1"/>
        <v>Premium3</v>
      </c>
      <c r="C51" s="7" t="str">
        <f t="shared" si="2"/>
        <v>Premium</v>
      </c>
      <c r="D51" s="6">
        <v>175</v>
      </c>
      <c r="E51" s="7" t="str">
        <f>VLOOKUP(D51,[1]characters!$A:$C,3,FALSE)</f>
        <v>バフォメット</v>
      </c>
      <c r="F51" s="7" t="str">
        <f>VLOOKUP(D51,[1]characters!$A:$J,10,FALSE)</f>
        <v>PremiumN</v>
      </c>
      <c r="G51" s="7">
        <f>VLOOKUP(D51,[1]characters!$A:$I,9,FALSE)</f>
        <v>3</v>
      </c>
      <c r="H51" s="7" t="str">
        <f>VLOOKUP(D51,[1]characters!$A:$H,8,FALSE)</f>
        <v>yellow</v>
      </c>
      <c r="I51" s="7" t="str">
        <f>VLOOKUP(D51,[1]characters!$A:$K,11,FALSE)</f>
        <v>attack</v>
      </c>
      <c r="J51" s="7" t="str">
        <f>VLOOKUP(D51,[1]characters!$A:$M,13,FALSE)</f>
        <v>god</v>
      </c>
      <c r="K51" s="7" t="str">
        <f>VLOOKUP(D51,[1]characters!$A:$G,7,FALSE)</f>
        <v>女性</v>
      </c>
      <c r="L51" s="66">
        <f>IFERROR(VLOOKUP(D51,input_3!L:R,7,FALSE),VLOOKUP(tables_3!B51,input_3!A:H,8,FALSE))</f>
        <v>0</v>
      </c>
      <c r="M51" s="67">
        <f t="shared" si="0"/>
        <v>0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customHeight="1">
      <c r="A52" s="2">
        <f>input_3!A$2</f>
        <v>3123</v>
      </c>
      <c r="B52" s="7" t="str">
        <f t="shared" si="1"/>
        <v>Premium4</v>
      </c>
      <c r="C52" s="7" t="str">
        <f t="shared" si="2"/>
        <v>Premium</v>
      </c>
      <c r="D52" s="6">
        <v>176</v>
      </c>
      <c r="E52" s="7" t="str">
        <f>VLOOKUP(D52,[1]characters!$A:$C,3,FALSE)</f>
        <v>異教徒 バフォメット</v>
      </c>
      <c r="F52" s="7" t="str">
        <f>VLOOKUP(D52,[1]characters!$A:$J,10,FALSE)</f>
        <v>PremiumN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66">
        <f>IFERROR(VLOOKUP(D52,input_3!L:R,7,FALSE),VLOOKUP(tables_3!B52,input_3!A:H,8,FALSE))</f>
        <v>0</v>
      </c>
      <c r="M52" s="67">
        <f t="shared" si="0"/>
        <v>0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customHeight="1">
      <c r="A53" s="2">
        <f>input_3!A$2</f>
        <v>3123</v>
      </c>
      <c r="B53" s="7" t="str">
        <f t="shared" si="1"/>
        <v>Premium5</v>
      </c>
      <c r="C53" s="7" t="str">
        <f t="shared" si="2"/>
        <v>Premium</v>
      </c>
      <c r="D53" s="6">
        <v>177</v>
      </c>
      <c r="E53" s="7" t="str">
        <f>VLOOKUP(D53,[1]characters!$A:$C,3,FALSE)</f>
        <v>黒魔の異端師 バフォメット</v>
      </c>
      <c r="F53" s="7" t="str">
        <f>VLOOKUP(D53,[1]characters!$A:$J,10,FALSE)</f>
        <v>PremiumN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66">
        <f>IFERROR(VLOOKUP(D53,input_3!L:R,7,FALSE),VLOOKUP(tables_3!B53,input_3!A:H,8,FALSE))</f>
        <v>637</v>
      </c>
      <c r="M53" s="67">
        <f t="shared" si="0"/>
        <v>1.8148148148148149E-2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customHeight="1">
      <c r="A54" s="2">
        <f>input_3!A$2</f>
        <v>3123</v>
      </c>
      <c r="B54" s="7" t="str">
        <f t="shared" si="1"/>
        <v>Premium3</v>
      </c>
      <c r="C54" s="7" t="str">
        <f t="shared" si="2"/>
        <v>Premium</v>
      </c>
      <c r="D54" s="6">
        <v>178</v>
      </c>
      <c r="E54" s="7" t="str">
        <f>VLOOKUP(D54,[1]characters!$A:$C,3,FALSE)</f>
        <v>ケルベロス</v>
      </c>
      <c r="F54" s="7" t="str">
        <f>VLOOKUP(D54,[1]characters!$A:$J,10,FALSE)</f>
        <v>PremiumN</v>
      </c>
      <c r="G54" s="7">
        <f>VLOOKUP(D54,[1]characters!$A:$I,9,FALSE)</f>
        <v>3</v>
      </c>
      <c r="H54" s="7" t="str">
        <f>VLOOKUP(D54,[1]characters!$A:$H,8,FALSE)</f>
        <v>red</v>
      </c>
      <c r="I54" s="7" t="str">
        <f>VLOOKUP(D54,[1]characters!$A:$K,11,FALSE)</f>
        <v>balance</v>
      </c>
      <c r="J54" s="7" t="str">
        <f>VLOOKUP(D54,[1]characters!$A:$M,13,FALSE)</f>
        <v>animal</v>
      </c>
      <c r="K54" s="7" t="str">
        <f>VLOOKUP(D54,[1]characters!$A:$G,7,FALSE)</f>
        <v>女性</v>
      </c>
      <c r="L54" s="66">
        <f>IFERROR(VLOOKUP(D54,input_3!L:R,7,FALSE),VLOOKUP(tables_3!B54,input_3!A:H,8,FALSE))</f>
        <v>0</v>
      </c>
      <c r="M54" s="67">
        <f t="shared" si="0"/>
        <v>0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ht="21" customHeight="1">
      <c r="A55" s="2">
        <f>input_3!A$2</f>
        <v>3123</v>
      </c>
      <c r="B55" s="7" t="str">
        <f t="shared" si="1"/>
        <v>Premium4</v>
      </c>
      <c r="C55" s="7" t="str">
        <f t="shared" si="2"/>
        <v>Premium</v>
      </c>
      <c r="D55" s="6">
        <v>179</v>
      </c>
      <c r="E55" s="7" t="str">
        <f>VLOOKUP(D55,[1]characters!$A:$C,3,FALSE)</f>
        <v>番犬 ケルベロス</v>
      </c>
      <c r="F55" s="7" t="str">
        <f>VLOOKUP(D55,[1]characters!$A:$J,10,FALSE)</f>
        <v>PremiumN</v>
      </c>
      <c r="G55" s="7">
        <f>VLOOKUP(D55,[1]characters!$A:$I,9,FALSE)</f>
        <v>4</v>
      </c>
      <c r="H55" s="7" t="str">
        <f>VLOOKUP(D55,[1]characters!$A:$H,8,FALSE)</f>
        <v>red</v>
      </c>
      <c r="I55" s="7" t="str">
        <f>VLOOKUP(D55,[1]characters!$A:$K,11,FALSE)</f>
        <v>balance</v>
      </c>
      <c r="J55" s="7" t="str">
        <f>VLOOKUP(D55,[1]characters!$A:$M,13,FALSE)</f>
        <v>animal</v>
      </c>
      <c r="K55" s="7" t="str">
        <f>VLOOKUP(D55,[1]characters!$A:$G,7,FALSE)</f>
        <v>女性</v>
      </c>
      <c r="L55" s="66">
        <f>IFERROR(VLOOKUP(D55,input_3!L:R,7,FALSE),VLOOKUP(tables_3!B55,input_3!A:H,8,FALSE))</f>
        <v>0</v>
      </c>
      <c r="M55" s="67">
        <f t="shared" si="0"/>
        <v>0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customHeight="1">
      <c r="A56" s="2">
        <f>input_3!A$2</f>
        <v>3123</v>
      </c>
      <c r="B56" s="7" t="str">
        <f t="shared" si="1"/>
        <v>Premium5</v>
      </c>
      <c r="C56" s="7" t="str">
        <f t="shared" si="2"/>
        <v>Premium</v>
      </c>
      <c r="D56" s="6">
        <v>180</v>
      </c>
      <c r="E56" s="7" t="str">
        <f>VLOOKUP(D56,[1]characters!$A:$C,3,FALSE)</f>
        <v>地獄の大門番 ケルベロス</v>
      </c>
      <c r="F56" s="7" t="str">
        <f>VLOOKUP(D56,[1]characters!$A:$J,10,FALSE)</f>
        <v>PremiumN</v>
      </c>
      <c r="G56" s="7">
        <f>VLOOKUP(D56,[1]characters!$A:$I,9,FALSE)</f>
        <v>5</v>
      </c>
      <c r="H56" s="7" t="str">
        <f>VLOOKUP(D56,[1]characters!$A:$H,8,FALSE)</f>
        <v>red</v>
      </c>
      <c r="I56" s="7" t="str">
        <f>VLOOKUP(D56,[1]characters!$A:$K,11,FALSE)</f>
        <v>balance</v>
      </c>
      <c r="J56" s="7" t="str">
        <f>VLOOKUP(D56,[1]characters!$A:$M,13,FALSE)</f>
        <v>animal</v>
      </c>
      <c r="K56" s="7" t="str">
        <f>VLOOKUP(D56,[1]characters!$A:$G,7,FALSE)</f>
        <v>女性</v>
      </c>
      <c r="L56" s="66">
        <f>IFERROR(VLOOKUP(D56,input_3!L:R,7,FALSE),VLOOKUP(tables_3!B56,input_3!A:H,8,FALSE))</f>
        <v>637</v>
      </c>
      <c r="M56" s="67">
        <f t="shared" si="0"/>
        <v>1.8148148148148149E-2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customHeight="1">
      <c r="A57" s="2">
        <f>input_3!A$2</f>
        <v>3123</v>
      </c>
      <c r="B57" s="7" t="str">
        <f t="shared" si="1"/>
        <v>Premium3</v>
      </c>
      <c r="C57" s="7" t="str">
        <f t="shared" si="2"/>
        <v>Premium</v>
      </c>
      <c r="D57" s="6">
        <v>181</v>
      </c>
      <c r="E57" s="7" t="str">
        <f>VLOOKUP(D57,[1]characters!$A:$C,3,FALSE)</f>
        <v>ベヒモス</v>
      </c>
      <c r="F57" s="7" t="str">
        <f>VLOOKUP(D57,[1]characters!$A:$J,10,FALSE)</f>
        <v>PremiumN</v>
      </c>
      <c r="G57" s="7">
        <f>VLOOKUP(D57,[1]characters!$A:$I,9,FALSE)</f>
        <v>3</v>
      </c>
      <c r="H57" s="7" t="str">
        <f>VLOOKUP(D57,[1]characters!$A:$H,8,FALSE)</f>
        <v>green</v>
      </c>
      <c r="I57" s="7" t="str">
        <f>VLOOKUP(D57,[1]characters!$A:$K,11,FALSE)</f>
        <v>hp</v>
      </c>
      <c r="J57" s="7" t="str">
        <f>VLOOKUP(D57,[1]characters!$A:$M,13,FALSE)</f>
        <v>animal</v>
      </c>
      <c r="K57" s="7" t="str">
        <f>VLOOKUP(D57,[1]characters!$A:$G,7,FALSE)</f>
        <v>女性</v>
      </c>
      <c r="L57" s="66">
        <f>IFERROR(VLOOKUP(D57,input_3!L:R,7,FALSE),VLOOKUP(tables_3!B57,input_3!A:H,8,FALSE))</f>
        <v>0</v>
      </c>
      <c r="M57" s="67">
        <f t="shared" si="0"/>
        <v>0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customHeight="1">
      <c r="A58" s="2">
        <f>input_3!A$2</f>
        <v>3123</v>
      </c>
      <c r="B58" s="7" t="str">
        <f t="shared" si="1"/>
        <v>Premium4</v>
      </c>
      <c r="C58" s="7" t="str">
        <f t="shared" si="2"/>
        <v>Premium</v>
      </c>
      <c r="D58" s="6">
        <v>182</v>
      </c>
      <c r="E58" s="7" t="str">
        <f>VLOOKUP(D58,[1]characters!$A:$C,3,FALSE)</f>
        <v>放蕩者 ベヒモス</v>
      </c>
      <c r="F58" s="7" t="str">
        <f>VLOOKUP(D58,[1]characters!$A:$J,10,FALSE)</f>
        <v>PremiumN</v>
      </c>
      <c r="G58" s="7">
        <f>VLOOKUP(D58,[1]characters!$A:$I,9,FALSE)</f>
        <v>4</v>
      </c>
      <c r="H58" s="7" t="str">
        <f>VLOOKUP(D58,[1]characters!$A:$H,8,FALSE)</f>
        <v>green</v>
      </c>
      <c r="I58" s="7" t="str">
        <f>VLOOKUP(D58,[1]characters!$A:$K,11,FALSE)</f>
        <v>hp</v>
      </c>
      <c r="J58" s="7" t="str">
        <f>VLOOKUP(D58,[1]characters!$A:$M,13,FALSE)</f>
        <v>animal</v>
      </c>
      <c r="K58" s="7" t="str">
        <f>VLOOKUP(D58,[1]characters!$A:$G,7,FALSE)</f>
        <v>女性</v>
      </c>
      <c r="L58" s="66">
        <f>IFERROR(VLOOKUP(D58,input_3!L:R,7,FALSE),VLOOKUP(tables_3!B58,input_3!A:H,8,FALSE))</f>
        <v>0</v>
      </c>
      <c r="M58" s="67">
        <f t="shared" si="0"/>
        <v>0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customHeight="1">
      <c r="A59" s="2">
        <f>input_3!A$2</f>
        <v>3123</v>
      </c>
      <c r="B59" s="7" t="str">
        <f t="shared" si="1"/>
        <v>Premium5</v>
      </c>
      <c r="C59" s="7" t="str">
        <f t="shared" si="2"/>
        <v>Premium</v>
      </c>
      <c r="D59" s="6">
        <v>183</v>
      </c>
      <c r="E59" s="7" t="str">
        <f>VLOOKUP(D59,[1]characters!$A:$C,3,FALSE)</f>
        <v>鈍重な彷徨者 ベヒモス</v>
      </c>
      <c r="F59" s="7" t="str">
        <f>VLOOKUP(D59,[1]characters!$A:$J,10,FALSE)</f>
        <v>PremiumN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hp</v>
      </c>
      <c r="J59" s="7" t="str">
        <f>VLOOKUP(D59,[1]characters!$A:$M,13,FALSE)</f>
        <v>animal</v>
      </c>
      <c r="K59" s="7" t="str">
        <f>VLOOKUP(D59,[1]characters!$A:$G,7,FALSE)</f>
        <v>女性</v>
      </c>
      <c r="L59" s="66">
        <f>IFERROR(VLOOKUP(D59,input_3!L:R,7,FALSE),VLOOKUP(tables_3!B59,input_3!A:H,8,FALSE))</f>
        <v>637</v>
      </c>
      <c r="M59" s="67">
        <f t="shared" si="0"/>
        <v>1.8148148148148149E-2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customHeight="1">
      <c r="A60" s="2">
        <f>input_3!A$2</f>
        <v>3123</v>
      </c>
      <c r="B60" s="7" t="str">
        <f t="shared" si="1"/>
        <v>Premium3</v>
      </c>
      <c r="C60" s="7" t="str">
        <f t="shared" si="2"/>
        <v>Premium</v>
      </c>
      <c r="D60" s="6">
        <v>184</v>
      </c>
      <c r="E60" s="7" t="str">
        <f>VLOOKUP(D60,[1]characters!$A:$C,3,FALSE)</f>
        <v>クラーケン</v>
      </c>
      <c r="F60" s="7" t="str">
        <f>VLOOKUP(D60,[1]characters!$A:$J,10,FALSE)</f>
        <v>PremiumN</v>
      </c>
      <c r="G60" s="7">
        <f>VLOOKUP(D60,[1]characters!$A:$I,9,FALSE)</f>
        <v>3</v>
      </c>
      <c r="H60" s="7" t="str">
        <f>VLOOKUP(D60,[1]characters!$A:$H,8,FALSE)</f>
        <v>blue</v>
      </c>
      <c r="I60" s="7" t="str">
        <f>VLOOKUP(D60,[1]characters!$A:$K,11,FALSE)</f>
        <v>heal</v>
      </c>
      <c r="J60" s="7" t="str">
        <f>VLOOKUP(D60,[1]characters!$A:$M,13,FALSE)</f>
        <v>animal</v>
      </c>
      <c r="K60" s="7" t="str">
        <f>VLOOKUP(D60,[1]characters!$A:$G,7,FALSE)</f>
        <v>女性</v>
      </c>
      <c r="L60" s="66">
        <f>IFERROR(VLOOKUP(D60,input_3!L:R,7,FALSE),VLOOKUP(tables_3!B60,input_3!A:H,8,FALSE))</f>
        <v>0</v>
      </c>
      <c r="M60" s="67">
        <f t="shared" si="0"/>
        <v>0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customHeight="1">
      <c r="A61" s="2">
        <f>input_3!A$2</f>
        <v>3123</v>
      </c>
      <c r="B61" s="7" t="str">
        <f t="shared" si="1"/>
        <v>Premium4</v>
      </c>
      <c r="C61" s="7" t="str">
        <f t="shared" si="2"/>
        <v>Premium</v>
      </c>
      <c r="D61" s="6">
        <v>185</v>
      </c>
      <c r="E61" s="7" t="str">
        <f>VLOOKUP(D61,[1]characters!$A:$C,3,FALSE)</f>
        <v>海姫 クラーケン</v>
      </c>
      <c r="F61" s="7" t="str">
        <f>VLOOKUP(D61,[1]characters!$A:$J,10,FALSE)</f>
        <v>PremiumN</v>
      </c>
      <c r="G61" s="7">
        <f>VLOOKUP(D61,[1]characters!$A:$I,9,FALSE)</f>
        <v>4</v>
      </c>
      <c r="H61" s="7" t="str">
        <f>VLOOKUP(D61,[1]characters!$A:$H,8,FALSE)</f>
        <v>blue</v>
      </c>
      <c r="I61" s="7" t="str">
        <f>VLOOKUP(D61,[1]characters!$A:$K,11,FALSE)</f>
        <v>heal</v>
      </c>
      <c r="J61" s="7" t="str">
        <f>VLOOKUP(D61,[1]characters!$A:$M,13,FALSE)</f>
        <v>animal</v>
      </c>
      <c r="K61" s="7" t="str">
        <f>VLOOKUP(D61,[1]characters!$A:$G,7,FALSE)</f>
        <v>女性</v>
      </c>
      <c r="L61" s="66">
        <f>IFERROR(VLOOKUP(D61,input_3!L:R,7,FALSE),VLOOKUP(tables_3!B61,input_3!A:H,8,FALSE))</f>
        <v>0</v>
      </c>
      <c r="M61" s="67">
        <f t="shared" si="0"/>
        <v>0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customHeight="1">
      <c r="A62" s="2">
        <f>input_3!A$2</f>
        <v>3123</v>
      </c>
      <c r="B62" s="7" t="str">
        <f t="shared" si="1"/>
        <v>Premium5</v>
      </c>
      <c r="C62" s="7" t="str">
        <f t="shared" si="2"/>
        <v>Premium</v>
      </c>
      <c r="D62" s="8">
        <v>186</v>
      </c>
      <c r="E62" s="7" t="str">
        <f>VLOOKUP(D62,[1]characters!$A:$C,3,FALSE)</f>
        <v>誇り高き多触姫・クラーケン</v>
      </c>
      <c r="F62" s="7" t="str">
        <f>VLOOKUP(D62,[1]characters!$A:$J,10,FALSE)</f>
        <v>PremiumN</v>
      </c>
      <c r="G62" s="7">
        <f>VLOOKUP(D62,[1]characters!$A:$I,9,FALSE)</f>
        <v>5</v>
      </c>
      <c r="H62" s="7" t="str">
        <f>VLOOKUP(D62,[1]characters!$A:$H,8,FALSE)</f>
        <v>blue</v>
      </c>
      <c r="I62" s="7" t="str">
        <f>VLOOKUP(D62,[1]characters!$A:$K,11,FALSE)</f>
        <v>heal</v>
      </c>
      <c r="J62" s="7" t="str">
        <f>VLOOKUP(D62,[1]characters!$A:$M,13,FALSE)</f>
        <v>animal</v>
      </c>
      <c r="K62" s="7" t="str">
        <f>VLOOKUP(D62,[1]characters!$A:$G,7,FALSE)</f>
        <v>女性</v>
      </c>
      <c r="L62" s="66">
        <f>IFERROR(VLOOKUP(D62,input_3!L:R,7,FALSE),VLOOKUP(tables_3!B62,input_3!A:H,8,FALSE))</f>
        <v>637</v>
      </c>
      <c r="M62" s="67">
        <f t="shared" si="0"/>
        <v>1.8148148148148149E-2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customHeight="1">
      <c r="A63" s="2">
        <f>input_3!A$2</f>
        <v>3123</v>
      </c>
      <c r="B63" s="7" t="str">
        <f t="shared" si="1"/>
        <v>Premium3</v>
      </c>
      <c r="C63" s="7" t="str">
        <f t="shared" si="2"/>
        <v>Premium</v>
      </c>
      <c r="D63" s="8">
        <v>187</v>
      </c>
      <c r="E63" s="7" t="str">
        <f>VLOOKUP(D63,[1]characters!$A:$C,3,FALSE)</f>
        <v>ホルス</v>
      </c>
      <c r="F63" s="7" t="str">
        <f>VLOOKUP(D63,[1]characters!$A:$J,10,FALSE)</f>
        <v>PremiumN</v>
      </c>
      <c r="G63" s="7">
        <f>VLOOKUP(D63,[1]characters!$A:$I,9,FALSE)</f>
        <v>3</v>
      </c>
      <c r="H63" s="7" t="str">
        <f>VLOOKUP(D63,[1]characters!$A:$H,8,FALSE)</f>
        <v>yellow</v>
      </c>
      <c r="I63" s="7" t="str">
        <f>VLOOKUP(D63,[1]characters!$A:$K,11,FALSE)</f>
        <v>attack</v>
      </c>
      <c r="J63" s="7" t="str">
        <f>VLOOKUP(D63,[1]characters!$A:$M,13,FALSE)</f>
        <v>animal</v>
      </c>
      <c r="K63" s="7" t="str">
        <f>VLOOKUP(D63,[1]characters!$A:$G,7,FALSE)</f>
        <v>女性</v>
      </c>
      <c r="L63" s="66">
        <f>IFERROR(VLOOKUP(D63,input_3!L:R,7,FALSE),VLOOKUP(tables_3!B63,input_3!A:H,8,FALSE))</f>
        <v>0</v>
      </c>
      <c r="M63" s="67">
        <f t="shared" si="0"/>
        <v>0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customHeight="1">
      <c r="A64" s="2">
        <f>input_3!A$2</f>
        <v>3123</v>
      </c>
      <c r="B64" s="7" t="str">
        <f t="shared" si="1"/>
        <v>Premium4</v>
      </c>
      <c r="C64" s="7" t="str">
        <f t="shared" si="2"/>
        <v>Premium</v>
      </c>
      <c r="D64" s="8">
        <v>188</v>
      </c>
      <c r="E64" s="7" t="str">
        <f>VLOOKUP(D64,[1]characters!$A:$C,3,FALSE)</f>
        <v>猛禽 ホルス</v>
      </c>
      <c r="F64" s="7" t="str">
        <f>VLOOKUP(D64,[1]characters!$A:$J,10,FALSE)</f>
        <v>PremiumN</v>
      </c>
      <c r="G64" s="7">
        <f>VLOOKUP(D64,[1]characters!$A:$I,9,FALSE)</f>
        <v>4</v>
      </c>
      <c r="H64" s="7" t="str">
        <f>VLOOKUP(D64,[1]characters!$A:$H,8,FALSE)</f>
        <v>yellow</v>
      </c>
      <c r="I64" s="7" t="str">
        <f>VLOOKUP(D64,[1]characters!$A:$K,11,FALSE)</f>
        <v>attack</v>
      </c>
      <c r="J64" s="7" t="str">
        <f>VLOOKUP(D64,[1]characters!$A:$M,13,FALSE)</f>
        <v>animal</v>
      </c>
      <c r="K64" s="7" t="str">
        <f>VLOOKUP(D64,[1]characters!$A:$G,7,FALSE)</f>
        <v>女性</v>
      </c>
      <c r="L64" s="66">
        <f>IFERROR(VLOOKUP(D64,input_3!L:R,7,FALSE),VLOOKUP(tables_3!B64,input_3!A:H,8,FALSE))</f>
        <v>0</v>
      </c>
      <c r="M64" s="67">
        <f t="shared" si="0"/>
        <v>0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customHeight="1">
      <c r="A65" s="2">
        <f>input_3!A$2</f>
        <v>3123</v>
      </c>
      <c r="B65" s="7" t="str">
        <f t="shared" si="1"/>
        <v>Premium5</v>
      </c>
      <c r="C65" s="7" t="str">
        <f t="shared" si="2"/>
        <v>Premium</v>
      </c>
      <c r="D65" s="8">
        <v>189</v>
      </c>
      <c r="E65" s="7" t="str">
        <f>VLOOKUP(D65,[1]characters!$A:$C,3,FALSE)</f>
        <v>迅雷の王禽 ホルス</v>
      </c>
      <c r="F65" s="7" t="str">
        <f>VLOOKUP(D65,[1]characters!$A:$J,10,FALSE)</f>
        <v>PremiumN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attack</v>
      </c>
      <c r="J65" s="7" t="str">
        <f>VLOOKUP(D65,[1]characters!$A:$M,13,FALSE)</f>
        <v>animal</v>
      </c>
      <c r="K65" s="7" t="str">
        <f>VLOOKUP(D65,[1]characters!$A:$G,7,FALSE)</f>
        <v>女性</v>
      </c>
      <c r="L65" s="66">
        <f>IFERROR(VLOOKUP(D65,input_3!L:R,7,FALSE),VLOOKUP(tables_3!B65,input_3!A:H,8,FALSE))</f>
        <v>637</v>
      </c>
      <c r="M65" s="67">
        <f t="shared" si="0"/>
        <v>1.8148148148148149E-2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s="9" customFormat="1" ht="21" customHeight="1" thickBot="1">
      <c r="A66" s="2">
        <f>input_3!A$2</f>
        <v>3123</v>
      </c>
      <c r="B66" s="7" t="str">
        <f t="shared" si="1"/>
        <v>Premium3</v>
      </c>
      <c r="C66" s="7" t="str">
        <f t="shared" si="2"/>
        <v>Premium</v>
      </c>
      <c r="D66" s="6">
        <v>190</v>
      </c>
      <c r="E66" s="7" t="str">
        <f>VLOOKUP(D66,[1]characters!$A:$C,3,FALSE)</f>
        <v>卑弥呼</v>
      </c>
      <c r="F66" s="7" t="str">
        <f>VLOOKUP(D66,[1]characters!$A:$J,10,FALSE)</f>
        <v>PremiumN</v>
      </c>
      <c r="G66" s="7">
        <f>VLOOKUP(D66,[1]characters!$A:$I,9,FALSE)</f>
        <v>3</v>
      </c>
      <c r="H66" s="7" t="str">
        <f>VLOOKUP(D66,[1]characters!$A:$H,8,FALSE)</f>
        <v>red</v>
      </c>
      <c r="I66" s="7" t="str">
        <f>VLOOKUP(D66,[1]characters!$A:$K,11,FALSE)</f>
        <v>balance</v>
      </c>
      <c r="J66" s="7" t="str">
        <f>VLOOKUP(D66,[1]characters!$A:$M,13,FALSE)</f>
        <v>human</v>
      </c>
      <c r="K66" s="7" t="str">
        <f>VLOOKUP(D66,[1]characters!$A:$G,7,FALSE)</f>
        <v>女性</v>
      </c>
      <c r="L66" s="66">
        <f>IFERROR(VLOOKUP(D66,input_3!L:R,7,FALSE),VLOOKUP(tables_3!B66,input_3!A:H,8,FALSE))</f>
        <v>0</v>
      </c>
      <c r="M66" s="67">
        <f t="shared" ref="M66:M129" si="3">L66/SUM(L:L)</f>
        <v>0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customHeight="1">
      <c r="A67" s="2">
        <f>input_3!A$2</f>
        <v>3123</v>
      </c>
      <c r="B67" s="7" t="str">
        <f t="shared" ref="B67:B130" si="4">C67&amp;G67</f>
        <v>Premium4</v>
      </c>
      <c r="C67" s="7" t="str">
        <f t="shared" ref="C67:C130" si="5">IF(F67="PremiumSS",F67,IF(F67="PremiumSSS",F67,"Premium"))</f>
        <v>Premium</v>
      </c>
      <c r="D67" s="6">
        <v>191</v>
      </c>
      <c r="E67" s="7" t="str">
        <f>VLOOKUP(D67,[1]characters!$A:$C,3,FALSE)</f>
        <v>始祖 卑弥呼</v>
      </c>
      <c r="F67" s="7" t="str">
        <f>VLOOKUP(D67,[1]characters!$A:$J,10,FALSE)</f>
        <v>PremiumN</v>
      </c>
      <c r="G67" s="7">
        <f>VLOOKUP(D67,[1]characters!$A:$I,9,FALSE)</f>
        <v>4</v>
      </c>
      <c r="H67" s="7" t="str">
        <f>VLOOKUP(D67,[1]characters!$A:$H,8,FALSE)</f>
        <v>red</v>
      </c>
      <c r="I67" s="7" t="str">
        <f>VLOOKUP(D67,[1]characters!$A:$K,11,FALSE)</f>
        <v>balance</v>
      </c>
      <c r="J67" s="7" t="str">
        <f>VLOOKUP(D67,[1]characters!$A:$M,13,FALSE)</f>
        <v>human</v>
      </c>
      <c r="K67" s="7" t="str">
        <f>VLOOKUP(D67,[1]characters!$A:$G,7,FALSE)</f>
        <v>女性</v>
      </c>
      <c r="L67" s="66">
        <f>IFERROR(VLOOKUP(D67,input_3!L:R,7,FALSE),VLOOKUP(tables_3!B67,input_3!A:H,8,FALSE))</f>
        <v>0</v>
      </c>
      <c r="M67" s="67">
        <f t="shared" si="3"/>
        <v>0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customHeight="1">
      <c r="A68" s="2">
        <f>input_3!A$2</f>
        <v>3123</v>
      </c>
      <c r="B68" s="7" t="str">
        <f t="shared" si="4"/>
        <v>Premium5</v>
      </c>
      <c r="C68" s="7" t="str">
        <f t="shared" si="5"/>
        <v>Premium</v>
      </c>
      <c r="D68" s="6">
        <v>192</v>
      </c>
      <c r="E68" s="7" t="str">
        <f>VLOOKUP(D68,[1]characters!$A:$C,3,FALSE)</f>
        <v>荘厳なる始祖帝 卑弥呼</v>
      </c>
      <c r="F68" s="7" t="str">
        <f>VLOOKUP(D68,[1]characters!$A:$J,10,FALSE)</f>
        <v>PremiumN</v>
      </c>
      <c r="G68" s="7">
        <f>VLOOKUP(D68,[1]characters!$A:$I,9,FALSE)</f>
        <v>5</v>
      </c>
      <c r="H68" s="7" t="str">
        <f>VLOOKUP(D68,[1]characters!$A:$H,8,FALSE)</f>
        <v>red</v>
      </c>
      <c r="I68" s="7" t="str">
        <f>VLOOKUP(D68,[1]characters!$A:$K,11,FALSE)</f>
        <v>balance</v>
      </c>
      <c r="J68" s="7" t="str">
        <f>VLOOKUP(D68,[1]characters!$A:$M,13,FALSE)</f>
        <v>human</v>
      </c>
      <c r="K68" s="7" t="str">
        <f>VLOOKUP(D68,[1]characters!$A:$G,7,FALSE)</f>
        <v>女性</v>
      </c>
      <c r="L68" s="66">
        <f>IFERROR(VLOOKUP(D68,input_3!L:R,7,FALSE),VLOOKUP(tables_3!B68,input_3!A:H,8,FALSE))</f>
        <v>637</v>
      </c>
      <c r="M68" s="67">
        <f t="shared" si="3"/>
        <v>1.8148148148148149E-2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customHeight="1">
      <c r="A69" s="2">
        <f>input_3!A$2</f>
        <v>3123</v>
      </c>
      <c r="B69" s="7" t="str">
        <f t="shared" si="4"/>
        <v>Premium3</v>
      </c>
      <c r="C69" s="7" t="str">
        <f t="shared" si="5"/>
        <v>Premium</v>
      </c>
      <c r="D69" s="6">
        <v>193</v>
      </c>
      <c r="E69" s="7" t="str">
        <f>VLOOKUP(D69,[1]characters!$A:$C,3,FALSE)</f>
        <v>ロビンフッド</v>
      </c>
      <c r="F69" s="7" t="str">
        <f>VLOOKUP(D69,[1]characters!$A:$J,10,FALSE)</f>
        <v>PremiumN</v>
      </c>
      <c r="G69" s="7">
        <f>VLOOKUP(D69,[1]characters!$A:$I,9,FALSE)</f>
        <v>3</v>
      </c>
      <c r="H69" s="7" t="str">
        <f>VLOOKUP(D69,[1]characters!$A:$H,8,FALSE)</f>
        <v>green</v>
      </c>
      <c r="I69" s="7" t="str">
        <f>VLOOKUP(D69,[1]characters!$A:$K,11,FALSE)</f>
        <v>balance</v>
      </c>
      <c r="J69" s="7" t="str">
        <f>VLOOKUP(D69,[1]characters!$A:$M,13,FALSE)</f>
        <v>human</v>
      </c>
      <c r="K69" s="7" t="str">
        <f>VLOOKUP(D69,[1]characters!$A:$G,7,FALSE)</f>
        <v>女性</v>
      </c>
      <c r="L69" s="66">
        <f>IFERROR(VLOOKUP(D69,input_3!L:R,7,FALSE),VLOOKUP(tables_3!B69,input_3!A:H,8,FALSE))</f>
        <v>0</v>
      </c>
      <c r="M69" s="67">
        <f t="shared" si="3"/>
        <v>0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customHeight="1">
      <c r="A70" s="2">
        <f>input_3!A$2</f>
        <v>3123</v>
      </c>
      <c r="B70" s="7" t="str">
        <f t="shared" si="4"/>
        <v>Premium4</v>
      </c>
      <c r="C70" s="7" t="str">
        <f t="shared" si="5"/>
        <v>Premium</v>
      </c>
      <c r="D70" s="10">
        <v>194</v>
      </c>
      <c r="E70" s="7" t="str">
        <f>VLOOKUP(D70,[1]characters!$A:$C,3,FALSE)</f>
        <v>スナイパー ロビンフッド</v>
      </c>
      <c r="F70" s="7" t="str">
        <f>VLOOKUP(D70,[1]characters!$A:$J,10,FALSE)</f>
        <v>PremiumN</v>
      </c>
      <c r="G70" s="7">
        <f>VLOOKUP(D70,[1]characters!$A:$I,9,FALSE)</f>
        <v>4</v>
      </c>
      <c r="H70" s="7" t="str">
        <f>VLOOKUP(D70,[1]characters!$A:$H,8,FALSE)</f>
        <v>green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女性</v>
      </c>
      <c r="L70" s="66">
        <f>IFERROR(VLOOKUP(D70,input_3!L:R,7,FALSE),VLOOKUP(tables_3!B70,input_3!A:H,8,FALSE))</f>
        <v>0</v>
      </c>
      <c r="M70" s="67">
        <f t="shared" si="3"/>
        <v>0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customHeight="1">
      <c r="A71" s="2">
        <f>input_3!A$2</f>
        <v>3123</v>
      </c>
      <c r="B71" s="7" t="str">
        <f t="shared" si="4"/>
        <v>Premium5</v>
      </c>
      <c r="C71" s="7" t="str">
        <f t="shared" si="5"/>
        <v>Premium</v>
      </c>
      <c r="D71" s="6">
        <v>195</v>
      </c>
      <c r="E71" s="7" t="str">
        <f>VLOOKUP(D71,[1]characters!$A:$C,3,FALSE)</f>
        <v>グランドハンター ロビンフッド</v>
      </c>
      <c r="F71" s="7" t="str">
        <f>VLOOKUP(D71,[1]characters!$A:$J,10,FALSE)</f>
        <v>PremiumN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balance</v>
      </c>
      <c r="J71" s="7" t="str">
        <f>VLOOKUP(D71,[1]characters!$A:$M,13,FALSE)</f>
        <v>human</v>
      </c>
      <c r="K71" s="7" t="str">
        <f>VLOOKUP(D71,[1]characters!$A:$G,7,FALSE)</f>
        <v>女性</v>
      </c>
      <c r="L71" s="66">
        <f>IFERROR(VLOOKUP(D71,input_3!L:R,7,FALSE),VLOOKUP(tables_3!B71,input_3!A:H,8,FALSE))</f>
        <v>637</v>
      </c>
      <c r="M71" s="67">
        <f t="shared" si="3"/>
        <v>1.8148148148148149E-2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customHeight="1">
      <c r="A72" s="2">
        <f>input_3!A$2</f>
        <v>3123</v>
      </c>
      <c r="B72" s="7" t="str">
        <f t="shared" si="4"/>
        <v>Premium3</v>
      </c>
      <c r="C72" s="7" t="str">
        <f t="shared" si="5"/>
        <v>Premium</v>
      </c>
      <c r="D72" s="10">
        <v>196</v>
      </c>
      <c r="E72" s="7" t="str">
        <f>VLOOKUP(D72,[1]characters!$A:$C,3,FALSE)</f>
        <v>アキレス</v>
      </c>
      <c r="F72" s="7" t="str">
        <f>VLOOKUP(D72,[1]characters!$A:$J,10,FALSE)</f>
        <v>PremiumN</v>
      </c>
      <c r="G72" s="7">
        <f>VLOOKUP(D72,[1]characters!$A:$I,9,FALSE)</f>
        <v>3</v>
      </c>
      <c r="H72" s="7" t="str">
        <f>VLOOKUP(D72,[1]characters!$A:$H,8,FALSE)</f>
        <v>yellow</v>
      </c>
      <c r="I72" s="7" t="str">
        <f>VLOOKUP(D72,[1]characters!$A:$K,11,FALSE)</f>
        <v>balance</v>
      </c>
      <c r="J72" s="7" t="str">
        <f>VLOOKUP(D72,[1]characters!$A:$M,13,FALSE)</f>
        <v>human</v>
      </c>
      <c r="K72" s="7" t="str">
        <f>VLOOKUP(D72,[1]characters!$A:$G,7,FALSE)</f>
        <v>女性</v>
      </c>
      <c r="L72" s="66">
        <f>IFERROR(VLOOKUP(D72,input_3!L:R,7,FALSE),VLOOKUP(tables_3!B72,input_3!A:H,8,FALSE))</f>
        <v>0</v>
      </c>
      <c r="M72" s="67">
        <f t="shared" si="3"/>
        <v>0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customHeight="1">
      <c r="A73" s="2">
        <f>input_3!A$2</f>
        <v>3123</v>
      </c>
      <c r="B73" s="7" t="str">
        <f t="shared" si="4"/>
        <v>Premium4</v>
      </c>
      <c r="C73" s="7" t="str">
        <f t="shared" si="5"/>
        <v>Premium</v>
      </c>
      <c r="D73" s="11">
        <v>197</v>
      </c>
      <c r="E73" s="7" t="str">
        <f>VLOOKUP(D73,[1]characters!$A:$C,3,FALSE)</f>
        <v>鉄腕 アキレス</v>
      </c>
      <c r="F73" s="7" t="str">
        <f>VLOOKUP(D73,[1]characters!$A:$J,10,FALSE)</f>
        <v>PremiumN</v>
      </c>
      <c r="G73" s="7">
        <f>VLOOKUP(D73,[1]characters!$A:$I,9,FALSE)</f>
        <v>4</v>
      </c>
      <c r="H73" s="7" t="str">
        <f>VLOOKUP(D73,[1]characters!$A:$H,8,FALSE)</f>
        <v>yellow</v>
      </c>
      <c r="I73" s="7" t="str">
        <f>VLOOKUP(D73,[1]characters!$A:$K,11,FALSE)</f>
        <v>balance</v>
      </c>
      <c r="J73" s="7" t="str">
        <f>VLOOKUP(D73,[1]characters!$A:$M,13,FALSE)</f>
        <v>human</v>
      </c>
      <c r="K73" s="7" t="str">
        <f>VLOOKUP(D73,[1]characters!$A:$G,7,FALSE)</f>
        <v>女性</v>
      </c>
      <c r="L73" s="66">
        <f>IFERROR(VLOOKUP(D73,input_3!L:R,7,FALSE),VLOOKUP(tables_3!B73,input_3!A:H,8,FALSE))</f>
        <v>0</v>
      </c>
      <c r="M73" s="67">
        <f t="shared" si="3"/>
        <v>0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customHeight="1">
      <c r="A74" s="2">
        <f>input_3!A$2</f>
        <v>3123</v>
      </c>
      <c r="B74" s="7" t="str">
        <f t="shared" si="4"/>
        <v>Premium5</v>
      </c>
      <c r="C74" s="7" t="str">
        <f t="shared" si="5"/>
        <v>Premium</v>
      </c>
      <c r="D74" s="6">
        <v>198</v>
      </c>
      <c r="E74" s="7" t="str">
        <f>VLOOKUP(D74,[1]characters!$A:$C,3,FALSE)</f>
        <v>砕骨の剛腕 アキレス</v>
      </c>
      <c r="F74" s="7" t="str">
        <f>VLOOKUP(D74,[1]characters!$A:$J,10,FALSE)</f>
        <v>PremiumN</v>
      </c>
      <c r="G74" s="7">
        <f>VLOOKUP(D74,[1]characters!$A:$I,9,FALSE)</f>
        <v>5</v>
      </c>
      <c r="H74" s="7" t="str">
        <f>VLOOKUP(D74,[1]characters!$A:$H,8,FALSE)</f>
        <v>yellow</v>
      </c>
      <c r="I74" s="7" t="str">
        <f>VLOOKUP(D74,[1]characters!$A:$K,11,FALSE)</f>
        <v>balance</v>
      </c>
      <c r="J74" s="7" t="str">
        <f>VLOOKUP(D74,[1]characters!$A:$M,13,FALSE)</f>
        <v>human</v>
      </c>
      <c r="K74" s="7" t="str">
        <f>VLOOKUP(D74,[1]characters!$A:$G,7,FALSE)</f>
        <v>女性</v>
      </c>
      <c r="L74" s="66">
        <f>IFERROR(VLOOKUP(D74,input_3!L:R,7,FALSE),VLOOKUP(tables_3!B74,input_3!A:H,8,FALSE))</f>
        <v>637</v>
      </c>
      <c r="M74" s="67">
        <f t="shared" si="3"/>
        <v>1.8148148148148149E-2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customHeight="1">
      <c r="A75" s="2">
        <f>input_3!A$2</f>
        <v>3123</v>
      </c>
      <c r="B75" s="7" t="str">
        <f t="shared" si="4"/>
        <v>Premium3</v>
      </c>
      <c r="C75" s="7" t="str">
        <f t="shared" si="5"/>
        <v>Premium</v>
      </c>
      <c r="D75" s="6">
        <v>199</v>
      </c>
      <c r="E75" s="7" t="str">
        <f>VLOOKUP(D75,[1]characters!$A:$C,3,FALSE)</f>
        <v>ジークフリート</v>
      </c>
      <c r="F75" s="7" t="str">
        <f>VLOOKUP(D75,[1]characters!$A:$J,10,FALSE)</f>
        <v>PremiumN</v>
      </c>
      <c r="G75" s="7">
        <f>VLOOKUP(D75,[1]characters!$A:$I,9,FALSE)</f>
        <v>3</v>
      </c>
      <c r="H75" s="7" t="str">
        <f>VLOOKUP(D75,[1]characters!$A:$H,8,FALSE)</f>
        <v>blue</v>
      </c>
      <c r="I75" s="7" t="str">
        <f>VLOOKUP(D75,[1]characters!$A:$K,11,FALSE)</f>
        <v>balance</v>
      </c>
      <c r="J75" s="7" t="str">
        <f>VLOOKUP(D75,[1]characters!$A:$M,13,FALSE)</f>
        <v>human</v>
      </c>
      <c r="K75" s="7" t="str">
        <f>VLOOKUP(D75,[1]characters!$A:$G,7,FALSE)</f>
        <v>男性</v>
      </c>
      <c r="L75" s="66">
        <f>IFERROR(VLOOKUP(D75,input_3!L:R,7,FALSE),VLOOKUP(tables_3!B75,input_3!A:H,8,FALSE))</f>
        <v>0</v>
      </c>
      <c r="M75" s="67">
        <f t="shared" si="3"/>
        <v>0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customHeight="1">
      <c r="A76" s="2">
        <f>input_3!A$2</f>
        <v>3123</v>
      </c>
      <c r="B76" s="7" t="str">
        <f t="shared" si="4"/>
        <v>Premium4</v>
      </c>
      <c r="C76" s="7" t="str">
        <f t="shared" si="5"/>
        <v>Premium</v>
      </c>
      <c r="D76" s="6">
        <v>200</v>
      </c>
      <c r="E76" s="7" t="str">
        <f>VLOOKUP(D76,[1]characters!$A:$C,3,FALSE)</f>
        <v>大剣士 ジークフリート</v>
      </c>
      <c r="F76" s="7" t="str">
        <f>VLOOKUP(D76,[1]characters!$A:$J,10,FALSE)</f>
        <v>PremiumN</v>
      </c>
      <c r="G76" s="7">
        <f>VLOOKUP(D76,[1]characters!$A:$I,9,FALSE)</f>
        <v>4</v>
      </c>
      <c r="H76" s="7" t="str">
        <f>VLOOKUP(D76,[1]characters!$A:$H,8,FALSE)</f>
        <v>blue</v>
      </c>
      <c r="I76" s="7" t="str">
        <f>VLOOKUP(D76,[1]characters!$A:$K,11,FALSE)</f>
        <v>balance</v>
      </c>
      <c r="J76" s="7" t="str">
        <f>VLOOKUP(D76,[1]characters!$A:$M,13,FALSE)</f>
        <v>human</v>
      </c>
      <c r="K76" s="7" t="str">
        <f>VLOOKUP(D76,[1]characters!$A:$G,7,FALSE)</f>
        <v>男性</v>
      </c>
      <c r="L76" s="66">
        <f>IFERROR(VLOOKUP(D76,input_3!L:R,7,FALSE),VLOOKUP(tables_3!B76,input_3!A:H,8,FALSE))</f>
        <v>0</v>
      </c>
      <c r="M76" s="67">
        <f t="shared" si="3"/>
        <v>0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customHeight="1">
      <c r="A77" s="2">
        <f>input_3!A$2</f>
        <v>3123</v>
      </c>
      <c r="B77" s="7" t="str">
        <f t="shared" si="4"/>
        <v>Premium5</v>
      </c>
      <c r="C77" s="7" t="str">
        <f t="shared" si="5"/>
        <v>Premium</v>
      </c>
      <c r="D77" s="5">
        <v>201</v>
      </c>
      <c r="E77" s="7" t="str">
        <f>VLOOKUP(D77,[1]characters!$A:$C,3,FALSE)</f>
        <v>斬空の大破剣 ジークフリート</v>
      </c>
      <c r="F77" s="7" t="str">
        <f>VLOOKUP(D77,[1]characters!$A:$J,10,FALSE)</f>
        <v>PremiumN</v>
      </c>
      <c r="G77" s="7">
        <f>VLOOKUP(D77,[1]characters!$A:$I,9,FALSE)</f>
        <v>5</v>
      </c>
      <c r="H77" s="7" t="str">
        <f>VLOOKUP(D77,[1]characters!$A:$H,8,FALSE)</f>
        <v>blue</v>
      </c>
      <c r="I77" s="7" t="str">
        <f>VLOOKUP(D77,[1]characters!$A:$K,11,FALSE)</f>
        <v>balance</v>
      </c>
      <c r="J77" s="7" t="str">
        <f>VLOOKUP(D77,[1]characters!$A:$M,13,FALSE)</f>
        <v>human</v>
      </c>
      <c r="K77" s="7" t="str">
        <f>VLOOKUP(D77,[1]characters!$A:$G,7,FALSE)</f>
        <v>男性</v>
      </c>
      <c r="L77" s="66">
        <f>IFERROR(VLOOKUP(D77,input_3!L:R,7,FALSE),VLOOKUP(tables_3!B77,input_3!A:H,8,FALSE))</f>
        <v>637</v>
      </c>
      <c r="M77" s="67">
        <f t="shared" si="3"/>
        <v>1.8148148148148149E-2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customHeight="1">
      <c r="A78" s="2">
        <f>input_3!A$2</f>
        <v>3123</v>
      </c>
      <c r="B78" s="7" t="str">
        <f t="shared" si="4"/>
        <v>Premium3</v>
      </c>
      <c r="C78" s="7" t="str">
        <f t="shared" si="5"/>
        <v>Premium</v>
      </c>
      <c r="D78" s="5">
        <v>202</v>
      </c>
      <c r="E78" s="7" t="str">
        <f>VLOOKUP(D78,[1]characters!$A:$C,3,FALSE)</f>
        <v>プロメテウス</v>
      </c>
      <c r="F78" s="7" t="str">
        <f>VLOOKUP(D78,[1]characters!$A:$J,10,FALSE)</f>
        <v>PremiumN</v>
      </c>
      <c r="G78" s="7">
        <f>VLOOKUP(D78,[1]characters!$A:$I,9,FALSE)</f>
        <v>3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66">
        <f>IFERROR(VLOOKUP(D78,input_3!L:R,7,FALSE),VLOOKUP(tables_3!B78,input_3!A:H,8,FALSE))</f>
        <v>0</v>
      </c>
      <c r="M78" s="67">
        <f t="shared" si="3"/>
        <v>0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customHeight="1">
      <c r="A79" s="2">
        <f>input_3!A$2</f>
        <v>3123</v>
      </c>
      <c r="B79" s="7" t="str">
        <f t="shared" si="4"/>
        <v>Premium4</v>
      </c>
      <c r="C79" s="7" t="str">
        <f t="shared" si="5"/>
        <v>Premium</v>
      </c>
      <c r="D79" s="5">
        <v>203</v>
      </c>
      <c r="E79" s="7" t="str">
        <f>VLOOKUP(D79,[1]characters!$A:$C,3,FALSE)</f>
        <v>焔神 プロメテウス</v>
      </c>
      <c r="F79" s="7" t="str">
        <f>VLOOKUP(D79,[1]characters!$A:$J,10,FALSE)</f>
        <v>PremiumN</v>
      </c>
      <c r="G79" s="7">
        <f>VLOOKUP(D79,[1]characters!$A:$I,9,FALSE)</f>
        <v>4</v>
      </c>
      <c r="H79" s="7" t="str">
        <f>VLOOKUP(D79,[1]characters!$A:$H,8,FALSE)</f>
        <v>red</v>
      </c>
      <c r="I79" s="7" t="str">
        <f>VLOOKUP(D79,[1]characters!$A:$K,11,FALSE)</f>
        <v>hp</v>
      </c>
      <c r="J79" s="7" t="str">
        <f>VLOOKUP(D79,[1]characters!$A:$M,13,FALSE)</f>
        <v>god</v>
      </c>
      <c r="K79" s="7" t="str">
        <f>VLOOKUP(D79,[1]characters!$A:$G,7,FALSE)</f>
        <v>男性</v>
      </c>
      <c r="L79" s="66">
        <f>IFERROR(VLOOKUP(D79,input_3!L:R,7,FALSE),VLOOKUP(tables_3!B79,input_3!A:H,8,FALSE))</f>
        <v>0</v>
      </c>
      <c r="M79" s="67">
        <f t="shared" si="3"/>
        <v>0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customHeight="1">
      <c r="A80" s="2">
        <f>input_3!A$2</f>
        <v>3123</v>
      </c>
      <c r="B80" s="7" t="str">
        <f t="shared" si="4"/>
        <v>Premium5</v>
      </c>
      <c r="C80" s="7" t="str">
        <f t="shared" si="5"/>
        <v>Premium</v>
      </c>
      <c r="D80" s="5">
        <v>204</v>
      </c>
      <c r="E80" s="7" t="str">
        <f>VLOOKUP(D80,[1]characters!$A:$C,3,FALSE)</f>
        <v>慟哭の巨焔 プロメテウス</v>
      </c>
      <c r="F80" s="7" t="str">
        <f>VLOOKUP(D80,[1]characters!$A:$J,10,FALSE)</f>
        <v>PremiumN</v>
      </c>
      <c r="G80" s="7">
        <f>VLOOKUP(D80,[1]characters!$A:$I,9,FALSE)</f>
        <v>5</v>
      </c>
      <c r="H80" s="7" t="str">
        <f>VLOOKUP(D80,[1]characters!$A:$H,8,FALSE)</f>
        <v>red</v>
      </c>
      <c r="I80" s="7" t="str">
        <f>VLOOKUP(D80,[1]characters!$A:$K,11,FALSE)</f>
        <v>hp</v>
      </c>
      <c r="J80" s="7" t="str">
        <f>VLOOKUP(D80,[1]characters!$A:$M,13,FALSE)</f>
        <v>god</v>
      </c>
      <c r="K80" s="7" t="str">
        <f>VLOOKUP(D80,[1]characters!$A:$G,7,FALSE)</f>
        <v>男性</v>
      </c>
      <c r="L80" s="66">
        <f>IFERROR(VLOOKUP(D80,input_3!L:R,7,FALSE),VLOOKUP(tables_3!B80,input_3!A:H,8,FALSE))</f>
        <v>637</v>
      </c>
      <c r="M80" s="67">
        <f t="shared" si="3"/>
        <v>1.8148148148148149E-2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customHeight="1">
      <c r="A81" s="2">
        <f>input_3!A$2</f>
        <v>3123</v>
      </c>
      <c r="B81" s="7" t="str">
        <f t="shared" si="4"/>
        <v>Premium3</v>
      </c>
      <c r="C81" s="7" t="str">
        <f t="shared" si="5"/>
        <v>Premium</v>
      </c>
      <c r="D81" s="5">
        <v>205</v>
      </c>
      <c r="E81" s="7" t="str">
        <f>VLOOKUP(D81,[1]characters!$A:$C,3,FALSE)</f>
        <v>アフロディーテ</v>
      </c>
      <c r="F81" s="7" t="str">
        <f>VLOOKUP(D81,[1]characters!$A:$J,10,FALSE)</f>
        <v>PremiumN</v>
      </c>
      <c r="G81" s="7">
        <f>VLOOKUP(D81,[1]characters!$A:$I,9,FALSE)</f>
        <v>3</v>
      </c>
      <c r="H81" s="7" t="str">
        <f>VLOOKUP(D81,[1]characters!$A:$H,8,FALSE)</f>
        <v>green</v>
      </c>
      <c r="I81" s="7" t="str">
        <f>VLOOKUP(D81,[1]characters!$A:$K,11,FALSE)</f>
        <v>hp</v>
      </c>
      <c r="J81" s="7" t="str">
        <f>VLOOKUP(D81,[1]characters!$A:$M,13,FALSE)</f>
        <v>god</v>
      </c>
      <c r="K81" s="7" t="str">
        <f>VLOOKUP(D81,[1]characters!$A:$G,7,FALSE)</f>
        <v>女性</v>
      </c>
      <c r="L81" s="66">
        <f>IFERROR(VLOOKUP(D81,input_3!L:R,7,FALSE),VLOOKUP(tables_3!B81,input_3!A:H,8,FALSE))</f>
        <v>0</v>
      </c>
      <c r="M81" s="67">
        <f t="shared" si="3"/>
        <v>0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  <row r="82" spans="1:19" ht="21" customHeight="1">
      <c r="A82" s="2">
        <f>input_3!A$2</f>
        <v>3123</v>
      </c>
      <c r="B82" s="7" t="str">
        <f t="shared" si="4"/>
        <v>Premium4</v>
      </c>
      <c r="C82" s="7" t="str">
        <f t="shared" si="5"/>
        <v>Premium</v>
      </c>
      <c r="D82" s="5">
        <v>206</v>
      </c>
      <c r="E82" s="7" t="str">
        <f>VLOOKUP(D82,[1]characters!$A:$C,3,FALSE)</f>
        <v>美神 アフロディーテ</v>
      </c>
      <c r="F82" s="7" t="str">
        <f>VLOOKUP(D82,[1]characters!$A:$J,10,FALSE)</f>
        <v>PremiumN</v>
      </c>
      <c r="G82" s="7">
        <f>VLOOKUP(D82,[1]characters!$A:$I,9,FALSE)</f>
        <v>4</v>
      </c>
      <c r="H82" s="7" t="str">
        <f>VLOOKUP(D82,[1]characters!$A:$H,8,FALSE)</f>
        <v>green</v>
      </c>
      <c r="I82" s="7" t="str">
        <f>VLOOKUP(D82,[1]characters!$A:$K,11,FALSE)</f>
        <v>hp</v>
      </c>
      <c r="J82" s="7" t="str">
        <f>VLOOKUP(D82,[1]characters!$A:$M,13,FALSE)</f>
        <v>god</v>
      </c>
      <c r="K82" s="7" t="str">
        <f>VLOOKUP(D82,[1]characters!$A:$G,7,FALSE)</f>
        <v>女性</v>
      </c>
      <c r="L82" s="66">
        <f>IFERROR(VLOOKUP(D82,input_3!L:R,7,FALSE),VLOOKUP(tables_3!B82,input_3!A:H,8,FALSE))</f>
        <v>0</v>
      </c>
      <c r="M82" s="67">
        <f t="shared" si="3"/>
        <v>0</v>
      </c>
      <c r="N82" s="31">
        <f>IFERROR(VLOOKUP($D82,bug_conf_sheet!$A:$H,3,FALSE),VLOOKUP("other",bug_conf_sheet!$A:$H,3,FALSE))</f>
        <v>1</v>
      </c>
      <c r="O82" s="31">
        <f>IFERROR(VLOOKUP($D82,bug_conf_sheet!$A:$H,4,FALSE),VLOOKUP("other",bug_conf_sheet!$A:$H,4,FALSE))</f>
        <v>0</v>
      </c>
      <c r="P82" s="31">
        <f>IFERROR(VLOOKUP($D82,bug_conf_sheet!$A:$H,5,FALSE),VLOOKUP("other",bug_conf_sheet!$A:$H,5,FALSE))</f>
        <v>0</v>
      </c>
      <c r="Q82" s="31">
        <f>IFERROR(VLOOKUP($D82,bug_conf_sheet!$A:$H,6,FALSE),VLOOKUP("other",bug_conf_sheet!$A:$H,6,FALSE))</f>
        <v>0</v>
      </c>
      <c r="R82" s="31">
        <f>IFERROR(VLOOKUP($D82,bug_conf_sheet!$A:$H,7,FALSE),VLOOKUP("other",bug_conf_sheet!$A:$H,7,FALSE))</f>
        <v>0</v>
      </c>
      <c r="S82" s="31">
        <f>IFERROR(VLOOKUP($D82,bug_conf_sheet!$A:$H,8,FALSE),VLOOKUP("other",bug_conf_sheet!$A:$H,8,FALSE))</f>
        <v>1</v>
      </c>
    </row>
    <row r="83" spans="1:19" ht="21" customHeight="1">
      <c r="A83" s="2">
        <f>input_3!A$2</f>
        <v>3123</v>
      </c>
      <c r="B83" s="7" t="str">
        <f t="shared" si="4"/>
        <v>Premium5</v>
      </c>
      <c r="C83" s="7" t="str">
        <f t="shared" si="5"/>
        <v>Premium</v>
      </c>
      <c r="D83" s="5">
        <v>207</v>
      </c>
      <c r="E83" s="7" t="str">
        <f>VLOOKUP(D83,[1]characters!$A:$C,3,FALSE)</f>
        <v>豊穣の麗神・アフロディーテ</v>
      </c>
      <c r="F83" s="7" t="str">
        <f>VLOOKUP(D83,[1]characters!$A:$J,10,FALSE)</f>
        <v>PremiumN</v>
      </c>
      <c r="G83" s="7">
        <f>VLOOKUP(D83,[1]characters!$A:$I,9,FALSE)</f>
        <v>5</v>
      </c>
      <c r="H83" s="7" t="str">
        <f>VLOOKUP(D83,[1]characters!$A:$H,8,FALSE)</f>
        <v>green</v>
      </c>
      <c r="I83" s="7" t="str">
        <f>VLOOKUP(D83,[1]characters!$A:$K,11,FALSE)</f>
        <v>hp</v>
      </c>
      <c r="J83" s="7" t="str">
        <f>VLOOKUP(D83,[1]characters!$A:$M,13,FALSE)</f>
        <v>god</v>
      </c>
      <c r="K83" s="7" t="str">
        <f>VLOOKUP(D83,[1]characters!$A:$G,7,FALSE)</f>
        <v>女性</v>
      </c>
      <c r="L83" s="66">
        <f>IFERROR(VLOOKUP(D83,input_3!L:R,7,FALSE),VLOOKUP(tables_3!B83,input_3!A:H,8,FALSE))</f>
        <v>637</v>
      </c>
      <c r="M83" s="67">
        <f t="shared" si="3"/>
        <v>1.8148148148148149E-2</v>
      </c>
      <c r="N83" s="31">
        <f>IFERROR(VLOOKUP($D83,bug_conf_sheet!$A:$H,3,FALSE),VLOOKUP("other",bug_conf_sheet!$A:$H,3,FALSE))</f>
        <v>1</v>
      </c>
      <c r="O83" s="31">
        <f>IFERROR(VLOOKUP($D83,bug_conf_sheet!$A:$H,4,FALSE),VLOOKUP("other",bug_conf_sheet!$A:$H,4,FALSE))</f>
        <v>0</v>
      </c>
      <c r="P83" s="31">
        <f>IFERROR(VLOOKUP($D83,bug_conf_sheet!$A:$H,5,FALSE),VLOOKUP("other",bug_conf_sheet!$A:$H,5,FALSE))</f>
        <v>0</v>
      </c>
      <c r="Q83" s="31">
        <f>IFERROR(VLOOKUP($D83,bug_conf_sheet!$A:$H,6,FALSE),VLOOKUP("other",bug_conf_sheet!$A:$H,6,FALSE))</f>
        <v>0</v>
      </c>
      <c r="R83" s="31">
        <f>IFERROR(VLOOKUP($D83,bug_conf_sheet!$A:$H,7,FALSE),VLOOKUP("other",bug_conf_sheet!$A:$H,7,FALSE))</f>
        <v>0</v>
      </c>
      <c r="S83" s="31">
        <f>IFERROR(VLOOKUP($D83,bug_conf_sheet!$A:$H,8,FALSE),VLOOKUP("other",bug_conf_sheet!$A:$H,8,FALSE))</f>
        <v>1</v>
      </c>
    </row>
    <row r="84" spans="1:19" ht="21" customHeight="1">
      <c r="A84" s="2">
        <f>input_3!A$2</f>
        <v>3123</v>
      </c>
      <c r="B84" s="7" t="str">
        <f t="shared" si="4"/>
        <v>Premium3</v>
      </c>
      <c r="C84" s="7" t="str">
        <f t="shared" si="5"/>
        <v>Premium</v>
      </c>
      <c r="D84" s="5">
        <v>208</v>
      </c>
      <c r="E84" s="7" t="str">
        <f>VLOOKUP(D84,[1]characters!$A:$C,3,FALSE)</f>
        <v>テティス</v>
      </c>
      <c r="F84" s="7" t="str">
        <f>VLOOKUP(D84,[1]characters!$A:$J,10,FALSE)</f>
        <v>PremiumN</v>
      </c>
      <c r="G84" s="7">
        <f>VLOOKUP(D84,[1]characters!$A:$I,9,FALSE)</f>
        <v>3</v>
      </c>
      <c r="H84" s="7" t="str">
        <f>VLOOKUP(D84,[1]characters!$A:$H,8,FALSE)</f>
        <v>blue</v>
      </c>
      <c r="I84" s="7" t="str">
        <f>VLOOKUP(D84,[1]characters!$A:$K,11,FALSE)</f>
        <v>hp</v>
      </c>
      <c r="J84" s="7" t="str">
        <f>VLOOKUP(D84,[1]characters!$A:$M,13,FALSE)</f>
        <v>god</v>
      </c>
      <c r="K84" s="7" t="str">
        <f>VLOOKUP(D84,[1]characters!$A:$G,7,FALSE)</f>
        <v>女性</v>
      </c>
      <c r="L84" s="66">
        <f>IFERROR(VLOOKUP(D84,input_3!L:R,7,FALSE),VLOOKUP(tables_3!B84,input_3!A:H,8,FALSE))</f>
        <v>0</v>
      </c>
      <c r="M84" s="67">
        <f t="shared" si="3"/>
        <v>0</v>
      </c>
      <c r="N84" s="31">
        <f>IFERROR(VLOOKUP($D84,bug_conf_sheet!$A:$H,3,FALSE),VLOOKUP("other",bug_conf_sheet!$A:$H,3,FALSE))</f>
        <v>1</v>
      </c>
      <c r="O84" s="31">
        <f>IFERROR(VLOOKUP($D84,bug_conf_sheet!$A:$H,4,FALSE),VLOOKUP("other",bug_conf_sheet!$A:$H,4,FALSE))</f>
        <v>0</v>
      </c>
      <c r="P84" s="31">
        <f>IFERROR(VLOOKUP($D84,bug_conf_sheet!$A:$H,5,FALSE),VLOOKUP("other",bug_conf_sheet!$A:$H,5,FALSE))</f>
        <v>0</v>
      </c>
      <c r="Q84" s="31">
        <f>IFERROR(VLOOKUP($D84,bug_conf_sheet!$A:$H,6,FALSE),VLOOKUP("other",bug_conf_sheet!$A:$H,6,FALSE))</f>
        <v>0</v>
      </c>
      <c r="R84" s="31">
        <f>IFERROR(VLOOKUP($D84,bug_conf_sheet!$A:$H,7,FALSE),VLOOKUP("other",bug_conf_sheet!$A:$H,7,FALSE))</f>
        <v>0</v>
      </c>
      <c r="S84" s="31">
        <f>IFERROR(VLOOKUP($D84,bug_conf_sheet!$A:$H,8,FALSE),VLOOKUP("other",bug_conf_sheet!$A:$H,8,FALSE))</f>
        <v>1</v>
      </c>
    </row>
    <row r="85" spans="1:19" ht="21" customHeight="1">
      <c r="A85" s="2">
        <f>input_3!A$2</f>
        <v>3123</v>
      </c>
      <c r="B85" s="7" t="str">
        <f t="shared" si="4"/>
        <v>Premium4</v>
      </c>
      <c r="C85" s="7" t="str">
        <f t="shared" si="5"/>
        <v>Premium</v>
      </c>
      <c r="D85" s="5">
        <v>209</v>
      </c>
      <c r="E85" s="7" t="str">
        <f>VLOOKUP(D85,[1]characters!$A:$C,3,FALSE)</f>
        <v>孤神 テティス</v>
      </c>
      <c r="F85" s="7" t="str">
        <f>VLOOKUP(D85,[1]characters!$A:$J,10,FALSE)</f>
        <v>PremiumN</v>
      </c>
      <c r="G85" s="7">
        <f>VLOOKUP(D85,[1]characters!$A:$I,9,FALSE)</f>
        <v>4</v>
      </c>
      <c r="H85" s="7" t="str">
        <f>VLOOKUP(D85,[1]characters!$A:$H,8,FALSE)</f>
        <v>blue</v>
      </c>
      <c r="I85" s="7" t="str">
        <f>VLOOKUP(D85,[1]characters!$A:$K,11,FALSE)</f>
        <v>hp</v>
      </c>
      <c r="J85" s="7" t="str">
        <f>VLOOKUP(D85,[1]characters!$A:$M,13,FALSE)</f>
        <v>god</v>
      </c>
      <c r="K85" s="7" t="str">
        <f>VLOOKUP(D85,[1]characters!$A:$G,7,FALSE)</f>
        <v>女性</v>
      </c>
      <c r="L85" s="66">
        <f>IFERROR(VLOOKUP(D85,input_3!L:R,7,FALSE),VLOOKUP(tables_3!B85,input_3!A:H,8,FALSE))</f>
        <v>0</v>
      </c>
      <c r="M85" s="67">
        <f t="shared" si="3"/>
        <v>0</v>
      </c>
      <c r="N85" s="31">
        <f>IFERROR(VLOOKUP($D85,bug_conf_sheet!$A:$H,3,FALSE),VLOOKUP("other",bug_conf_sheet!$A:$H,3,FALSE))</f>
        <v>1</v>
      </c>
      <c r="O85" s="31">
        <f>IFERROR(VLOOKUP($D85,bug_conf_sheet!$A:$H,4,FALSE),VLOOKUP("other",bug_conf_sheet!$A:$H,4,FALSE))</f>
        <v>0</v>
      </c>
      <c r="P85" s="31">
        <f>IFERROR(VLOOKUP($D85,bug_conf_sheet!$A:$H,5,FALSE),VLOOKUP("other",bug_conf_sheet!$A:$H,5,FALSE))</f>
        <v>0</v>
      </c>
      <c r="Q85" s="31">
        <f>IFERROR(VLOOKUP($D85,bug_conf_sheet!$A:$H,6,FALSE),VLOOKUP("other",bug_conf_sheet!$A:$H,6,FALSE))</f>
        <v>0</v>
      </c>
      <c r="R85" s="31">
        <f>IFERROR(VLOOKUP($D85,bug_conf_sheet!$A:$H,7,FALSE),VLOOKUP("other",bug_conf_sheet!$A:$H,7,FALSE))</f>
        <v>0</v>
      </c>
      <c r="S85" s="31">
        <f>IFERROR(VLOOKUP($D85,bug_conf_sheet!$A:$H,8,FALSE),VLOOKUP("other",bug_conf_sheet!$A:$H,8,FALSE))</f>
        <v>1</v>
      </c>
    </row>
    <row r="86" spans="1:19" ht="21" customHeight="1">
      <c r="A86" s="2">
        <f>input_3!A$2</f>
        <v>3123</v>
      </c>
      <c r="B86" s="7" t="str">
        <f t="shared" si="4"/>
        <v>Premium5</v>
      </c>
      <c r="C86" s="7" t="str">
        <f t="shared" si="5"/>
        <v>Premium</v>
      </c>
      <c r="D86" s="5">
        <v>210</v>
      </c>
      <c r="E86" s="7" t="str">
        <f>VLOOKUP(D86,[1]characters!$A:$C,3,FALSE)</f>
        <v>海底の孤高神 テティス</v>
      </c>
      <c r="F86" s="7" t="str">
        <f>VLOOKUP(D86,[1]characters!$A:$J,10,FALSE)</f>
        <v>PremiumN</v>
      </c>
      <c r="G86" s="7">
        <f>VLOOKUP(D86,[1]characters!$A:$I,9,FALSE)</f>
        <v>5</v>
      </c>
      <c r="H86" s="7" t="str">
        <f>VLOOKUP(D86,[1]characters!$A:$H,8,FALSE)</f>
        <v>blue</v>
      </c>
      <c r="I86" s="7" t="str">
        <f>VLOOKUP(D86,[1]characters!$A:$K,11,FALSE)</f>
        <v>hp</v>
      </c>
      <c r="J86" s="7" t="str">
        <f>VLOOKUP(D86,[1]characters!$A:$M,13,FALSE)</f>
        <v>god</v>
      </c>
      <c r="K86" s="7" t="str">
        <f>VLOOKUP(D86,[1]characters!$A:$G,7,FALSE)</f>
        <v>女性</v>
      </c>
      <c r="L86" s="66">
        <f>IFERROR(VLOOKUP(D86,input_3!L:R,7,FALSE),VLOOKUP(tables_3!B86,input_3!A:H,8,FALSE))</f>
        <v>637</v>
      </c>
      <c r="M86" s="67">
        <f t="shared" si="3"/>
        <v>1.8148148148148149E-2</v>
      </c>
      <c r="N86" s="31">
        <f>IFERROR(VLOOKUP($D86,bug_conf_sheet!$A:$H,3,FALSE),VLOOKUP("other",bug_conf_sheet!$A:$H,3,FALSE))</f>
        <v>1</v>
      </c>
      <c r="O86" s="31">
        <f>IFERROR(VLOOKUP($D86,bug_conf_sheet!$A:$H,4,FALSE),VLOOKUP("other",bug_conf_sheet!$A:$H,4,FALSE))</f>
        <v>0</v>
      </c>
      <c r="P86" s="31">
        <f>IFERROR(VLOOKUP($D86,bug_conf_sheet!$A:$H,5,FALSE),VLOOKUP("other",bug_conf_sheet!$A:$H,5,FALSE))</f>
        <v>0</v>
      </c>
      <c r="Q86" s="31">
        <f>IFERROR(VLOOKUP($D86,bug_conf_sheet!$A:$H,6,FALSE),VLOOKUP("other",bug_conf_sheet!$A:$H,6,FALSE))</f>
        <v>0</v>
      </c>
      <c r="R86" s="31">
        <f>IFERROR(VLOOKUP($D86,bug_conf_sheet!$A:$H,7,FALSE),VLOOKUP("other",bug_conf_sheet!$A:$H,7,FALSE))</f>
        <v>0</v>
      </c>
      <c r="S86" s="31">
        <f>IFERROR(VLOOKUP($D86,bug_conf_sheet!$A:$H,8,FALSE),VLOOKUP("other",bug_conf_sheet!$A:$H,8,FALSE))</f>
        <v>1</v>
      </c>
    </row>
    <row r="87" spans="1:19" ht="21" customHeight="1">
      <c r="A87" s="2">
        <f>input_3!A$2</f>
        <v>3123</v>
      </c>
      <c r="B87" s="7" t="str">
        <f t="shared" si="4"/>
        <v>Premium3</v>
      </c>
      <c r="C87" s="7" t="str">
        <f t="shared" si="5"/>
        <v>Premium</v>
      </c>
      <c r="D87" s="5">
        <v>211</v>
      </c>
      <c r="E87" s="7" t="str">
        <f>VLOOKUP(D87,[1]characters!$A:$C,3,FALSE)</f>
        <v>アストライアー</v>
      </c>
      <c r="F87" s="7" t="str">
        <f>VLOOKUP(D87,[1]characters!$A:$J,10,FALSE)</f>
        <v>PremiumN</v>
      </c>
      <c r="G87" s="7">
        <f>VLOOKUP(D87,[1]characters!$A:$I,9,FALSE)</f>
        <v>3</v>
      </c>
      <c r="H87" s="7" t="str">
        <f>VLOOKUP(D87,[1]characters!$A:$H,8,FALSE)</f>
        <v>yellow</v>
      </c>
      <c r="I87" s="7" t="str">
        <f>VLOOKUP(D87,[1]characters!$A:$K,11,FALSE)</f>
        <v>balance</v>
      </c>
      <c r="J87" s="7" t="str">
        <f>VLOOKUP(D87,[1]characters!$A:$M,13,FALSE)</f>
        <v>god</v>
      </c>
      <c r="K87" s="7" t="str">
        <f>VLOOKUP(D87,[1]characters!$A:$G,7,FALSE)</f>
        <v>女性</v>
      </c>
      <c r="L87" s="66">
        <f>IFERROR(VLOOKUP(D87,input_3!L:R,7,FALSE),VLOOKUP(tables_3!B87,input_3!A:H,8,FALSE))</f>
        <v>0</v>
      </c>
      <c r="M87" s="67">
        <f t="shared" si="3"/>
        <v>0</v>
      </c>
      <c r="N87" s="31">
        <f>IFERROR(VLOOKUP($D87,bug_conf_sheet!$A:$H,3,FALSE),VLOOKUP("other",bug_conf_sheet!$A:$H,3,FALSE))</f>
        <v>1</v>
      </c>
      <c r="O87" s="31">
        <f>IFERROR(VLOOKUP($D87,bug_conf_sheet!$A:$H,4,FALSE),VLOOKUP("other",bug_conf_sheet!$A:$H,4,FALSE))</f>
        <v>0</v>
      </c>
      <c r="P87" s="31">
        <f>IFERROR(VLOOKUP($D87,bug_conf_sheet!$A:$H,5,FALSE),VLOOKUP("other",bug_conf_sheet!$A:$H,5,FALSE))</f>
        <v>0</v>
      </c>
      <c r="Q87" s="31">
        <f>IFERROR(VLOOKUP($D87,bug_conf_sheet!$A:$H,6,FALSE),VLOOKUP("other",bug_conf_sheet!$A:$H,6,FALSE))</f>
        <v>0</v>
      </c>
      <c r="R87" s="31">
        <f>IFERROR(VLOOKUP($D87,bug_conf_sheet!$A:$H,7,FALSE),VLOOKUP("other",bug_conf_sheet!$A:$H,7,FALSE))</f>
        <v>0</v>
      </c>
      <c r="S87" s="31">
        <f>IFERROR(VLOOKUP($D87,bug_conf_sheet!$A:$H,8,FALSE),VLOOKUP("other",bug_conf_sheet!$A:$H,8,FALSE))</f>
        <v>1</v>
      </c>
    </row>
    <row r="88" spans="1:19" ht="21" customHeight="1">
      <c r="A88" s="2">
        <f>input_3!A$2</f>
        <v>3123</v>
      </c>
      <c r="B88" s="7" t="str">
        <f t="shared" si="4"/>
        <v>Premium4</v>
      </c>
      <c r="C88" s="7" t="str">
        <f t="shared" si="5"/>
        <v>Premium</v>
      </c>
      <c r="D88" s="5">
        <v>212</v>
      </c>
      <c r="E88" s="7" t="str">
        <f>VLOOKUP(D88,[1]characters!$A:$C,3,FALSE)</f>
        <v>星神 アストライアー</v>
      </c>
      <c r="F88" s="7" t="str">
        <f>VLOOKUP(D88,[1]characters!$A:$J,10,FALSE)</f>
        <v>PremiumN</v>
      </c>
      <c r="G88" s="7">
        <f>VLOOKUP(D88,[1]characters!$A:$I,9,FALSE)</f>
        <v>4</v>
      </c>
      <c r="H88" s="7" t="str">
        <f>VLOOKUP(D88,[1]characters!$A:$H,8,FALSE)</f>
        <v>yellow</v>
      </c>
      <c r="I88" s="7" t="str">
        <f>VLOOKUP(D88,[1]characters!$A:$K,11,FALSE)</f>
        <v>balance</v>
      </c>
      <c r="J88" s="7" t="str">
        <f>VLOOKUP(D88,[1]characters!$A:$M,13,FALSE)</f>
        <v>god</v>
      </c>
      <c r="K88" s="7" t="str">
        <f>VLOOKUP(D88,[1]characters!$A:$G,7,FALSE)</f>
        <v>女性</v>
      </c>
      <c r="L88" s="66">
        <f>IFERROR(VLOOKUP(D88,input_3!L:R,7,FALSE),VLOOKUP(tables_3!B88,input_3!A:H,8,FALSE))</f>
        <v>0</v>
      </c>
      <c r="M88" s="67">
        <f t="shared" si="3"/>
        <v>0</v>
      </c>
      <c r="N88" s="31">
        <f>IFERROR(VLOOKUP($D88,bug_conf_sheet!$A:$H,3,FALSE),VLOOKUP("other",bug_conf_sheet!$A:$H,3,FALSE))</f>
        <v>1</v>
      </c>
      <c r="O88" s="31">
        <f>IFERROR(VLOOKUP($D88,bug_conf_sheet!$A:$H,4,FALSE),VLOOKUP("other",bug_conf_sheet!$A:$H,4,FALSE))</f>
        <v>0</v>
      </c>
      <c r="P88" s="31">
        <f>IFERROR(VLOOKUP($D88,bug_conf_sheet!$A:$H,5,FALSE),VLOOKUP("other",bug_conf_sheet!$A:$H,5,FALSE))</f>
        <v>0</v>
      </c>
      <c r="Q88" s="31">
        <f>IFERROR(VLOOKUP($D88,bug_conf_sheet!$A:$H,6,FALSE),VLOOKUP("other",bug_conf_sheet!$A:$H,6,FALSE))</f>
        <v>0</v>
      </c>
      <c r="R88" s="31">
        <f>IFERROR(VLOOKUP($D88,bug_conf_sheet!$A:$H,7,FALSE),VLOOKUP("other",bug_conf_sheet!$A:$H,7,FALSE))</f>
        <v>0</v>
      </c>
      <c r="S88" s="31">
        <f>IFERROR(VLOOKUP($D88,bug_conf_sheet!$A:$H,8,FALSE),VLOOKUP("other",bug_conf_sheet!$A:$H,8,FALSE))</f>
        <v>1</v>
      </c>
    </row>
    <row r="89" spans="1:19" ht="21" customHeight="1">
      <c r="A89" s="2">
        <f>input_3!A$2</f>
        <v>3123</v>
      </c>
      <c r="B89" s="7" t="str">
        <f t="shared" si="4"/>
        <v>Premium5</v>
      </c>
      <c r="C89" s="7" t="str">
        <f t="shared" si="5"/>
        <v>Premium</v>
      </c>
      <c r="D89" s="5">
        <v>213</v>
      </c>
      <c r="E89" s="7" t="str">
        <f>VLOOKUP(D89,[1]characters!$A:$C,3,FALSE)</f>
        <v>満天の星降神 アストライアー</v>
      </c>
      <c r="F89" s="7" t="str">
        <f>VLOOKUP(D89,[1]characters!$A:$J,10,FALSE)</f>
        <v>PremiumN</v>
      </c>
      <c r="G89" s="7">
        <f>VLOOKUP(D89,[1]characters!$A:$I,9,FALSE)</f>
        <v>5</v>
      </c>
      <c r="H89" s="7" t="str">
        <f>VLOOKUP(D89,[1]characters!$A:$H,8,FALSE)</f>
        <v>yellow</v>
      </c>
      <c r="I89" s="7" t="str">
        <f>VLOOKUP(D89,[1]characters!$A:$K,11,FALSE)</f>
        <v>balance</v>
      </c>
      <c r="J89" s="7" t="str">
        <f>VLOOKUP(D89,[1]characters!$A:$M,13,FALSE)</f>
        <v>god</v>
      </c>
      <c r="K89" s="7" t="str">
        <f>VLOOKUP(D89,[1]characters!$A:$G,7,FALSE)</f>
        <v>女性</v>
      </c>
      <c r="L89" s="66">
        <f>IFERROR(VLOOKUP(D89,input_3!L:R,7,FALSE),VLOOKUP(tables_3!B89,input_3!A:H,8,FALSE))</f>
        <v>637</v>
      </c>
      <c r="M89" s="67">
        <f t="shared" si="3"/>
        <v>1.8148148148148149E-2</v>
      </c>
      <c r="N89" s="31">
        <f>IFERROR(VLOOKUP($D89,bug_conf_sheet!$A:$H,3,FALSE),VLOOKUP("other",bug_conf_sheet!$A:$H,3,FALSE))</f>
        <v>1</v>
      </c>
      <c r="O89" s="31">
        <f>IFERROR(VLOOKUP($D89,bug_conf_sheet!$A:$H,4,FALSE),VLOOKUP("other",bug_conf_sheet!$A:$H,4,FALSE))</f>
        <v>0</v>
      </c>
      <c r="P89" s="31">
        <f>IFERROR(VLOOKUP($D89,bug_conf_sheet!$A:$H,5,FALSE),VLOOKUP("other",bug_conf_sheet!$A:$H,5,FALSE))</f>
        <v>0</v>
      </c>
      <c r="Q89" s="31">
        <f>IFERROR(VLOOKUP($D89,bug_conf_sheet!$A:$H,6,FALSE),VLOOKUP("other",bug_conf_sheet!$A:$H,6,FALSE))</f>
        <v>0</v>
      </c>
      <c r="R89" s="31">
        <f>IFERROR(VLOOKUP($D89,bug_conf_sheet!$A:$H,7,FALSE),VLOOKUP("other",bug_conf_sheet!$A:$H,7,FALSE))</f>
        <v>0</v>
      </c>
      <c r="S89" s="31">
        <f>IFERROR(VLOOKUP($D89,bug_conf_sheet!$A:$H,8,FALSE),VLOOKUP("other",bug_conf_sheet!$A:$H,8,FALSE))</f>
        <v>1</v>
      </c>
    </row>
    <row r="90" spans="1:19" ht="21" customHeight="1">
      <c r="A90" s="2">
        <f>input_3!A$2</f>
        <v>3123</v>
      </c>
      <c r="B90" s="7" t="str">
        <f t="shared" si="4"/>
        <v>Premium3</v>
      </c>
      <c r="C90" s="7" t="str">
        <f t="shared" si="5"/>
        <v>Premium</v>
      </c>
      <c r="D90" s="5">
        <v>214</v>
      </c>
      <c r="E90" s="7" t="str">
        <f>VLOOKUP(D90,[1]characters!$A:$C,3,FALSE)</f>
        <v>アズラエル</v>
      </c>
      <c r="F90" s="7" t="str">
        <f>VLOOKUP(D90,[1]characters!$A:$J,10,FALSE)</f>
        <v>PremiumN</v>
      </c>
      <c r="G90" s="7">
        <f>VLOOKUP(D90,[1]characters!$A:$I,9,FALSE)</f>
        <v>3</v>
      </c>
      <c r="H90" s="7" t="str">
        <f>VLOOKUP(D90,[1]characters!$A:$H,8,FALSE)</f>
        <v>red</v>
      </c>
      <c r="I90" s="7" t="str">
        <f>VLOOKUP(D90,[1]characters!$A:$K,11,FALSE)</f>
        <v>balance</v>
      </c>
      <c r="J90" s="7" t="str">
        <f>VLOOKUP(D90,[1]characters!$A:$M,13,FALSE)</f>
        <v>god</v>
      </c>
      <c r="K90" s="7" t="str">
        <f>VLOOKUP(D90,[1]characters!$A:$G,7,FALSE)</f>
        <v>女性</v>
      </c>
      <c r="L90" s="66">
        <f>IFERROR(VLOOKUP(D90,input_3!L:R,7,FALSE),VLOOKUP(tables_3!B90,input_3!A:H,8,FALSE))</f>
        <v>0</v>
      </c>
      <c r="M90" s="67">
        <f t="shared" si="3"/>
        <v>0</v>
      </c>
      <c r="N90" s="31">
        <f>IFERROR(VLOOKUP($D90,bug_conf_sheet!$A:$H,3,FALSE),VLOOKUP("other",bug_conf_sheet!$A:$H,3,FALSE))</f>
        <v>1</v>
      </c>
      <c r="O90" s="31">
        <f>IFERROR(VLOOKUP($D90,bug_conf_sheet!$A:$H,4,FALSE),VLOOKUP("other",bug_conf_sheet!$A:$H,4,FALSE))</f>
        <v>0</v>
      </c>
      <c r="P90" s="31">
        <f>IFERROR(VLOOKUP($D90,bug_conf_sheet!$A:$H,5,FALSE),VLOOKUP("other",bug_conf_sheet!$A:$H,5,FALSE))</f>
        <v>0</v>
      </c>
      <c r="Q90" s="31">
        <f>IFERROR(VLOOKUP($D90,bug_conf_sheet!$A:$H,6,FALSE),VLOOKUP("other",bug_conf_sheet!$A:$H,6,FALSE))</f>
        <v>0</v>
      </c>
      <c r="R90" s="31">
        <f>IFERROR(VLOOKUP($D90,bug_conf_sheet!$A:$H,7,FALSE),VLOOKUP("other",bug_conf_sheet!$A:$H,7,FALSE))</f>
        <v>0</v>
      </c>
      <c r="S90" s="31">
        <f>IFERROR(VLOOKUP($D90,bug_conf_sheet!$A:$H,8,FALSE),VLOOKUP("other",bug_conf_sheet!$A:$H,8,FALSE))</f>
        <v>1</v>
      </c>
    </row>
    <row r="91" spans="1:19" ht="21" customHeight="1">
      <c r="A91" s="2">
        <f>input_3!A$2</f>
        <v>3123</v>
      </c>
      <c r="B91" s="7" t="str">
        <f t="shared" si="4"/>
        <v>Premium4</v>
      </c>
      <c r="C91" s="7" t="str">
        <f t="shared" si="5"/>
        <v>Premium</v>
      </c>
      <c r="D91" s="5">
        <v>215</v>
      </c>
      <c r="E91" s="7" t="str">
        <f>VLOOKUP(D91,[1]characters!$A:$C,3,FALSE)</f>
        <v>死導者 アズラエル</v>
      </c>
      <c r="F91" s="7" t="str">
        <f>VLOOKUP(D91,[1]characters!$A:$J,10,FALSE)</f>
        <v>PremiumN</v>
      </c>
      <c r="G91" s="7">
        <f>VLOOKUP(D91,[1]characters!$A:$I,9,FALSE)</f>
        <v>4</v>
      </c>
      <c r="H91" s="7" t="str">
        <f>VLOOKUP(D91,[1]characters!$A:$H,8,FALSE)</f>
        <v>red</v>
      </c>
      <c r="I91" s="7" t="str">
        <f>VLOOKUP(D91,[1]characters!$A:$K,11,FALSE)</f>
        <v>balance</v>
      </c>
      <c r="J91" s="7" t="str">
        <f>VLOOKUP(D91,[1]characters!$A:$M,13,FALSE)</f>
        <v>god</v>
      </c>
      <c r="K91" s="7" t="str">
        <f>VLOOKUP(D91,[1]characters!$A:$G,7,FALSE)</f>
        <v>女性</v>
      </c>
      <c r="L91" s="66">
        <f>IFERROR(VLOOKUP(D91,input_3!L:R,7,FALSE),VLOOKUP(tables_3!B91,input_3!A:H,8,FALSE))</f>
        <v>0</v>
      </c>
      <c r="M91" s="67">
        <f t="shared" si="3"/>
        <v>0</v>
      </c>
      <c r="N91" s="31">
        <f>IFERROR(VLOOKUP($D91,bug_conf_sheet!$A:$H,3,FALSE),VLOOKUP("other",bug_conf_sheet!$A:$H,3,FALSE))</f>
        <v>1</v>
      </c>
      <c r="O91" s="31">
        <f>IFERROR(VLOOKUP($D91,bug_conf_sheet!$A:$H,4,FALSE),VLOOKUP("other",bug_conf_sheet!$A:$H,4,FALSE))</f>
        <v>0</v>
      </c>
      <c r="P91" s="31">
        <f>IFERROR(VLOOKUP($D91,bug_conf_sheet!$A:$H,5,FALSE),VLOOKUP("other",bug_conf_sheet!$A:$H,5,FALSE))</f>
        <v>0</v>
      </c>
      <c r="Q91" s="31">
        <f>IFERROR(VLOOKUP($D91,bug_conf_sheet!$A:$H,6,FALSE),VLOOKUP("other",bug_conf_sheet!$A:$H,6,FALSE))</f>
        <v>0</v>
      </c>
      <c r="R91" s="31">
        <f>IFERROR(VLOOKUP($D91,bug_conf_sheet!$A:$H,7,FALSE),VLOOKUP("other",bug_conf_sheet!$A:$H,7,FALSE))</f>
        <v>0</v>
      </c>
      <c r="S91" s="31">
        <f>IFERROR(VLOOKUP($D91,bug_conf_sheet!$A:$H,8,FALSE),VLOOKUP("other",bug_conf_sheet!$A:$H,8,FALSE))</f>
        <v>1</v>
      </c>
    </row>
    <row r="92" spans="1:19" ht="21" customHeight="1">
      <c r="A92" s="2">
        <f>input_3!A$2</f>
        <v>3123</v>
      </c>
      <c r="B92" s="7" t="str">
        <f t="shared" si="4"/>
        <v>Premium5</v>
      </c>
      <c r="C92" s="7" t="str">
        <f t="shared" si="5"/>
        <v>Premium</v>
      </c>
      <c r="D92" s="5">
        <v>216</v>
      </c>
      <c r="E92" s="7" t="str">
        <f>VLOOKUP(D92,[1]characters!$A:$C,3,FALSE)</f>
        <v>百読の死導司書 アズラエル</v>
      </c>
      <c r="F92" s="7" t="str">
        <f>VLOOKUP(D92,[1]characters!$A:$J,10,FALSE)</f>
        <v>PremiumN</v>
      </c>
      <c r="G92" s="7">
        <f>VLOOKUP(D92,[1]characters!$A:$I,9,FALSE)</f>
        <v>5</v>
      </c>
      <c r="H92" s="7" t="str">
        <f>VLOOKUP(D92,[1]characters!$A:$H,8,FALSE)</f>
        <v>red</v>
      </c>
      <c r="I92" s="7" t="str">
        <f>VLOOKUP(D92,[1]characters!$A:$K,11,FALSE)</f>
        <v>balance</v>
      </c>
      <c r="J92" s="7" t="str">
        <f>VLOOKUP(D92,[1]characters!$A:$M,13,FALSE)</f>
        <v>god</v>
      </c>
      <c r="K92" s="7" t="str">
        <f>VLOOKUP(D92,[1]characters!$A:$G,7,FALSE)</f>
        <v>女性</v>
      </c>
      <c r="L92" s="66">
        <f>IFERROR(VLOOKUP(D92,input_3!L:R,7,FALSE),VLOOKUP(tables_3!B92,input_3!A:H,8,FALSE))</f>
        <v>637</v>
      </c>
      <c r="M92" s="67">
        <f t="shared" si="3"/>
        <v>1.8148148148148149E-2</v>
      </c>
      <c r="N92" s="31">
        <f>IFERROR(VLOOKUP($D92,bug_conf_sheet!$A:$H,3,FALSE),VLOOKUP("other",bug_conf_sheet!$A:$H,3,FALSE))</f>
        <v>1</v>
      </c>
      <c r="O92" s="31">
        <f>IFERROR(VLOOKUP($D92,bug_conf_sheet!$A:$H,4,FALSE),VLOOKUP("other",bug_conf_sheet!$A:$H,4,FALSE))</f>
        <v>0</v>
      </c>
      <c r="P92" s="31">
        <f>IFERROR(VLOOKUP($D92,bug_conf_sheet!$A:$H,5,FALSE),VLOOKUP("other",bug_conf_sheet!$A:$H,5,FALSE))</f>
        <v>0</v>
      </c>
      <c r="Q92" s="31">
        <f>IFERROR(VLOOKUP($D92,bug_conf_sheet!$A:$H,6,FALSE),VLOOKUP("other",bug_conf_sheet!$A:$H,6,FALSE))</f>
        <v>0</v>
      </c>
      <c r="R92" s="31">
        <f>IFERROR(VLOOKUP($D92,bug_conf_sheet!$A:$H,7,FALSE),VLOOKUP("other",bug_conf_sheet!$A:$H,7,FALSE))</f>
        <v>0</v>
      </c>
      <c r="S92" s="31">
        <f>IFERROR(VLOOKUP($D92,bug_conf_sheet!$A:$H,8,FALSE),VLOOKUP("other",bug_conf_sheet!$A:$H,8,FALSE))</f>
        <v>1</v>
      </c>
    </row>
    <row r="93" spans="1:19" ht="21" customHeight="1">
      <c r="A93" s="2">
        <f>input_3!A$2</f>
        <v>3123</v>
      </c>
      <c r="B93" s="7" t="str">
        <f t="shared" si="4"/>
        <v>Premium3</v>
      </c>
      <c r="C93" s="7" t="str">
        <f t="shared" si="5"/>
        <v>Premium</v>
      </c>
      <c r="D93" s="5">
        <v>217</v>
      </c>
      <c r="E93" s="7" t="str">
        <f>VLOOKUP(D93,[1]characters!$A:$C,3,FALSE)</f>
        <v>ケツァクアトル</v>
      </c>
      <c r="F93" s="7" t="str">
        <f>VLOOKUP(D93,[1]characters!$A:$J,10,FALSE)</f>
        <v>PremiumN</v>
      </c>
      <c r="G93" s="7">
        <f>VLOOKUP(D93,[1]characters!$A:$I,9,FALSE)</f>
        <v>3</v>
      </c>
      <c r="H93" s="7" t="str">
        <f>VLOOKUP(D93,[1]characters!$A:$H,8,FALSE)</f>
        <v>green</v>
      </c>
      <c r="I93" s="7" t="str">
        <f>VLOOKUP(D93,[1]characters!$A:$K,11,FALSE)</f>
        <v>hp</v>
      </c>
      <c r="J93" s="7" t="str">
        <f>VLOOKUP(D93,[1]characters!$A:$M,13,FALSE)</f>
        <v>dragon</v>
      </c>
      <c r="K93" s="7" t="str">
        <f>VLOOKUP(D93,[1]characters!$A:$G,7,FALSE)</f>
        <v>女性</v>
      </c>
      <c r="L93" s="66">
        <f>IFERROR(VLOOKUP(D93,input_3!L:R,7,FALSE),VLOOKUP(tables_3!B93,input_3!A:H,8,FALSE))</f>
        <v>0</v>
      </c>
      <c r="M93" s="67">
        <f t="shared" si="3"/>
        <v>0</v>
      </c>
      <c r="N93" s="31">
        <f>IFERROR(VLOOKUP($D93,bug_conf_sheet!$A:$H,3,FALSE),VLOOKUP("other",bug_conf_sheet!$A:$H,3,FALSE))</f>
        <v>1</v>
      </c>
      <c r="O93" s="31">
        <f>IFERROR(VLOOKUP($D93,bug_conf_sheet!$A:$H,4,FALSE),VLOOKUP("other",bug_conf_sheet!$A:$H,4,FALSE))</f>
        <v>0</v>
      </c>
      <c r="P93" s="31">
        <f>IFERROR(VLOOKUP($D93,bug_conf_sheet!$A:$H,5,FALSE),VLOOKUP("other",bug_conf_sheet!$A:$H,5,FALSE))</f>
        <v>0</v>
      </c>
      <c r="Q93" s="31">
        <f>IFERROR(VLOOKUP($D93,bug_conf_sheet!$A:$H,6,FALSE),VLOOKUP("other",bug_conf_sheet!$A:$H,6,FALSE))</f>
        <v>0</v>
      </c>
      <c r="R93" s="31">
        <f>IFERROR(VLOOKUP($D93,bug_conf_sheet!$A:$H,7,FALSE),VLOOKUP("other",bug_conf_sheet!$A:$H,7,FALSE))</f>
        <v>0</v>
      </c>
      <c r="S93" s="31">
        <f>IFERROR(VLOOKUP($D93,bug_conf_sheet!$A:$H,8,FALSE),VLOOKUP("other",bug_conf_sheet!$A:$H,8,FALSE))</f>
        <v>1</v>
      </c>
    </row>
    <row r="94" spans="1:19" ht="21" customHeight="1">
      <c r="A94" s="2">
        <f>input_3!A$2</f>
        <v>3123</v>
      </c>
      <c r="B94" s="7" t="str">
        <f t="shared" si="4"/>
        <v>Premium4</v>
      </c>
      <c r="C94" s="7" t="str">
        <f t="shared" si="5"/>
        <v>Premium</v>
      </c>
      <c r="D94" s="5">
        <v>218</v>
      </c>
      <c r="E94" s="7" t="str">
        <f>VLOOKUP(D94,[1]characters!$A:$C,3,FALSE)</f>
        <v>聖蛇 ケツァクアトル</v>
      </c>
      <c r="F94" s="7" t="str">
        <f>VLOOKUP(D94,[1]characters!$A:$J,10,FALSE)</f>
        <v>PremiumN</v>
      </c>
      <c r="G94" s="7">
        <f>VLOOKUP(D94,[1]characters!$A:$I,9,FALSE)</f>
        <v>4</v>
      </c>
      <c r="H94" s="7" t="str">
        <f>VLOOKUP(D94,[1]characters!$A:$H,8,FALSE)</f>
        <v>green</v>
      </c>
      <c r="I94" s="7" t="str">
        <f>VLOOKUP(D94,[1]characters!$A:$K,11,FALSE)</f>
        <v>hp</v>
      </c>
      <c r="J94" s="7" t="str">
        <f>VLOOKUP(D94,[1]characters!$A:$M,13,FALSE)</f>
        <v>dragon</v>
      </c>
      <c r="K94" s="7" t="str">
        <f>VLOOKUP(D94,[1]characters!$A:$G,7,FALSE)</f>
        <v>女性</v>
      </c>
      <c r="L94" s="66">
        <f>IFERROR(VLOOKUP(D94,input_3!L:R,7,FALSE),VLOOKUP(tables_3!B94,input_3!A:H,8,FALSE))</f>
        <v>0</v>
      </c>
      <c r="M94" s="67">
        <f t="shared" si="3"/>
        <v>0</v>
      </c>
      <c r="N94" s="31">
        <f>IFERROR(VLOOKUP($D94,bug_conf_sheet!$A:$H,3,FALSE),VLOOKUP("other",bug_conf_sheet!$A:$H,3,FALSE))</f>
        <v>1</v>
      </c>
      <c r="O94" s="31">
        <f>IFERROR(VLOOKUP($D94,bug_conf_sheet!$A:$H,4,FALSE),VLOOKUP("other",bug_conf_sheet!$A:$H,4,FALSE))</f>
        <v>0</v>
      </c>
      <c r="P94" s="31">
        <f>IFERROR(VLOOKUP($D94,bug_conf_sheet!$A:$H,5,FALSE),VLOOKUP("other",bug_conf_sheet!$A:$H,5,FALSE))</f>
        <v>0</v>
      </c>
      <c r="Q94" s="31">
        <f>IFERROR(VLOOKUP($D94,bug_conf_sheet!$A:$H,6,FALSE),VLOOKUP("other",bug_conf_sheet!$A:$H,6,FALSE))</f>
        <v>0</v>
      </c>
      <c r="R94" s="31">
        <f>IFERROR(VLOOKUP($D94,bug_conf_sheet!$A:$H,7,FALSE),VLOOKUP("other",bug_conf_sheet!$A:$H,7,FALSE))</f>
        <v>0</v>
      </c>
      <c r="S94" s="31">
        <f>IFERROR(VLOOKUP($D94,bug_conf_sheet!$A:$H,8,FALSE),VLOOKUP("other",bug_conf_sheet!$A:$H,8,FALSE))</f>
        <v>1</v>
      </c>
    </row>
    <row r="95" spans="1:19" ht="21" customHeight="1">
      <c r="A95" s="2">
        <f>input_3!A$2</f>
        <v>3123</v>
      </c>
      <c r="B95" s="7" t="str">
        <f t="shared" si="4"/>
        <v>Premium5</v>
      </c>
      <c r="C95" s="7" t="str">
        <f t="shared" si="5"/>
        <v>Premium</v>
      </c>
      <c r="D95" s="5">
        <v>219</v>
      </c>
      <c r="E95" s="7" t="str">
        <f>VLOOKUP(D95,[1]characters!$A:$C,3,FALSE)</f>
        <v>覇翼の聖蛇竜 ケツァクアトル</v>
      </c>
      <c r="F95" s="7" t="str">
        <f>VLOOKUP(D95,[1]characters!$A:$J,10,FALSE)</f>
        <v>PremiumN</v>
      </c>
      <c r="G95" s="7">
        <f>VLOOKUP(D95,[1]characters!$A:$I,9,FALSE)</f>
        <v>5</v>
      </c>
      <c r="H95" s="7" t="str">
        <f>VLOOKUP(D95,[1]characters!$A:$H,8,FALSE)</f>
        <v>green</v>
      </c>
      <c r="I95" s="7" t="str">
        <f>VLOOKUP(D95,[1]characters!$A:$K,11,FALSE)</f>
        <v>hp</v>
      </c>
      <c r="J95" s="7" t="str">
        <f>VLOOKUP(D95,[1]characters!$A:$M,13,FALSE)</f>
        <v>dragon</v>
      </c>
      <c r="K95" s="7" t="str">
        <f>VLOOKUP(D95,[1]characters!$A:$G,7,FALSE)</f>
        <v>女性</v>
      </c>
      <c r="L95" s="66">
        <f>IFERROR(VLOOKUP(D95,input_3!L:R,7,FALSE),VLOOKUP(tables_3!B95,input_3!A:H,8,FALSE))</f>
        <v>637</v>
      </c>
      <c r="M95" s="67">
        <f t="shared" si="3"/>
        <v>1.8148148148148149E-2</v>
      </c>
      <c r="N95" s="31">
        <f>IFERROR(VLOOKUP($D95,bug_conf_sheet!$A:$H,3,FALSE),VLOOKUP("other",bug_conf_sheet!$A:$H,3,FALSE))</f>
        <v>1</v>
      </c>
      <c r="O95" s="31">
        <f>IFERROR(VLOOKUP($D95,bug_conf_sheet!$A:$H,4,FALSE),VLOOKUP("other",bug_conf_sheet!$A:$H,4,FALSE))</f>
        <v>0</v>
      </c>
      <c r="P95" s="31">
        <f>IFERROR(VLOOKUP($D95,bug_conf_sheet!$A:$H,5,FALSE),VLOOKUP("other",bug_conf_sheet!$A:$H,5,FALSE))</f>
        <v>0</v>
      </c>
      <c r="Q95" s="31">
        <f>IFERROR(VLOOKUP($D95,bug_conf_sheet!$A:$H,6,FALSE),VLOOKUP("other",bug_conf_sheet!$A:$H,6,FALSE))</f>
        <v>0</v>
      </c>
      <c r="R95" s="31">
        <f>IFERROR(VLOOKUP($D95,bug_conf_sheet!$A:$H,7,FALSE),VLOOKUP("other",bug_conf_sheet!$A:$H,7,FALSE))</f>
        <v>0</v>
      </c>
      <c r="S95" s="31">
        <f>IFERROR(VLOOKUP($D95,bug_conf_sheet!$A:$H,8,FALSE),VLOOKUP("other",bug_conf_sheet!$A:$H,8,FALSE))</f>
        <v>1</v>
      </c>
    </row>
    <row r="96" spans="1:19" ht="21" customHeight="1">
      <c r="A96" s="2">
        <f>input_3!A$2</f>
        <v>3123</v>
      </c>
      <c r="B96" s="7" t="str">
        <f t="shared" si="4"/>
        <v>Premium3</v>
      </c>
      <c r="C96" s="7" t="str">
        <f t="shared" si="5"/>
        <v>Premium</v>
      </c>
      <c r="D96" s="5">
        <v>220</v>
      </c>
      <c r="E96" s="7" t="str">
        <f>VLOOKUP(D96,[1]characters!$A:$C,3,FALSE)</f>
        <v>ルキフグス</v>
      </c>
      <c r="F96" s="7" t="str">
        <f>VLOOKUP(D96,[1]characters!$A:$J,10,FALSE)</f>
        <v>PremiumN</v>
      </c>
      <c r="G96" s="7">
        <f>VLOOKUP(D96,[1]characters!$A:$I,9,FALSE)</f>
        <v>3</v>
      </c>
      <c r="H96" s="7" t="str">
        <f>VLOOKUP(D96,[1]characters!$A:$H,8,FALSE)</f>
        <v>blue</v>
      </c>
      <c r="I96" s="7" t="str">
        <f>VLOOKUP(D96,[1]characters!$A:$K,11,FALSE)</f>
        <v>balance</v>
      </c>
      <c r="J96" s="7" t="str">
        <f>VLOOKUP(D96,[1]characters!$A:$M,13,FALSE)</f>
        <v>god</v>
      </c>
      <c r="K96" s="7" t="str">
        <f>VLOOKUP(D96,[1]characters!$A:$G,7,FALSE)</f>
        <v>女性</v>
      </c>
      <c r="L96" s="66">
        <f>IFERROR(VLOOKUP(D96,input_3!L:R,7,FALSE),VLOOKUP(tables_3!B96,input_3!A:H,8,FALSE))</f>
        <v>0</v>
      </c>
      <c r="M96" s="67">
        <f t="shared" si="3"/>
        <v>0</v>
      </c>
      <c r="N96" s="31">
        <f>IFERROR(VLOOKUP($D96,bug_conf_sheet!$A:$H,3,FALSE),VLOOKUP("other",bug_conf_sheet!$A:$H,3,FALSE))</f>
        <v>1</v>
      </c>
      <c r="O96" s="31">
        <f>IFERROR(VLOOKUP($D96,bug_conf_sheet!$A:$H,4,FALSE),VLOOKUP("other",bug_conf_sheet!$A:$H,4,FALSE))</f>
        <v>0</v>
      </c>
      <c r="P96" s="31">
        <f>IFERROR(VLOOKUP($D96,bug_conf_sheet!$A:$H,5,FALSE),VLOOKUP("other",bug_conf_sheet!$A:$H,5,FALSE))</f>
        <v>0</v>
      </c>
      <c r="Q96" s="31">
        <f>IFERROR(VLOOKUP($D96,bug_conf_sheet!$A:$H,6,FALSE),VLOOKUP("other",bug_conf_sheet!$A:$H,6,FALSE))</f>
        <v>0</v>
      </c>
      <c r="R96" s="31">
        <f>IFERROR(VLOOKUP($D96,bug_conf_sheet!$A:$H,7,FALSE),VLOOKUP("other",bug_conf_sheet!$A:$H,7,FALSE))</f>
        <v>0</v>
      </c>
      <c r="S96" s="31">
        <f>IFERROR(VLOOKUP($D96,bug_conf_sheet!$A:$H,8,FALSE),VLOOKUP("other",bug_conf_sheet!$A:$H,8,FALSE))</f>
        <v>1</v>
      </c>
    </row>
    <row r="97" spans="1:19" ht="21" customHeight="1">
      <c r="A97" s="2">
        <f>input_3!A$2</f>
        <v>3123</v>
      </c>
      <c r="B97" s="7" t="str">
        <f t="shared" si="4"/>
        <v>Premium4</v>
      </c>
      <c r="C97" s="7" t="str">
        <f t="shared" si="5"/>
        <v>Premium</v>
      </c>
      <c r="D97" s="5">
        <v>221</v>
      </c>
      <c r="E97" s="7" t="str">
        <f>VLOOKUP(D97,[1]characters!$A:$C,3,FALSE)</f>
        <v>宰相 ルキフグス</v>
      </c>
      <c r="F97" s="7" t="str">
        <f>VLOOKUP(D97,[1]characters!$A:$J,10,FALSE)</f>
        <v>PremiumN</v>
      </c>
      <c r="G97" s="7">
        <f>VLOOKUP(D97,[1]characters!$A:$I,9,FALSE)</f>
        <v>4</v>
      </c>
      <c r="H97" s="7" t="str">
        <f>VLOOKUP(D97,[1]characters!$A:$H,8,FALSE)</f>
        <v>blue</v>
      </c>
      <c r="I97" s="7" t="str">
        <f>VLOOKUP(D97,[1]characters!$A:$K,11,FALSE)</f>
        <v>balance</v>
      </c>
      <c r="J97" s="7" t="str">
        <f>VLOOKUP(D97,[1]characters!$A:$M,13,FALSE)</f>
        <v>god</v>
      </c>
      <c r="K97" s="7" t="str">
        <f>VLOOKUP(D97,[1]characters!$A:$G,7,FALSE)</f>
        <v>女性</v>
      </c>
      <c r="L97" s="66">
        <f>IFERROR(VLOOKUP(D97,input_3!L:R,7,FALSE),VLOOKUP(tables_3!B97,input_3!A:H,8,FALSE))</f>
        <v>0</v>
      </c>
      <c r="M97" s="67">
        <f t="shared" si="3"/>
        <v>0</v>
      </c>
      <c r="N97" s="31">
        <f>IFERROR(VLOOKUP($D97,bug_conf_sheet!$A:$H,3,FALSE),VLOOKUP("other",bug_conf_sheet!$A:$H,3,FALSE))</f>
        <v>1</v>
      </c>
      <c r="O97" s="31">
        <f>IFERROR(VLOOKUP($D97,bug_conf_sheet!$A:$H,4,FALSE),VLOOKUP("other",bug_conf_sheet!$A:$H,4,FALSE))</f>
        <v>0</v>
      </c>
      <c r="P97" s="31">
        <f>IFERROR(VLOOKUP($D97,bug_conf_sheet!$A:$H,5,FALSE),VLOOKUP("other",bug_conf_sheet!$A:$H,5,FALSE))</f>
        <v>0</v>
      </c>
      <c r="Q97" s="31">
        <f>IFERROR(VLOOKUP($D97,bug_conf_sheet!$A:$H,6,FALSE),VLOOKUP("other",bug_conf_sheet!$A:$H,6,FALSE))</f>
        <v>0</v>
      </c>
      <c r="R97" s="31">
        <f>IFERROR(VLOOKUP($D97,bug_conf_sheet!$A:$H,7,FALSE),VLOOKUP("other",bug_conf_sheet!$A:$H,7,FALSE))</f>
        <v>0</v>
      </c>
      <c r="S97" s="31">
        <f>IFERROR(VLOOKUP($D97,bug_conf_sheet!$A:$H,8,FALSE),VLOOKUP("other",bug_conf_sheet!$A:$H,8,FALSE))</f>
        <v>1</v>
      </c>
    </row>
    <row r="98" spans="1:19" ht="21" customHeight="1">
      <c r="A98" s="2">
        <f>input_3!A$2</f>
        <v>3123</v>
      </c>
      <c r="B98" s="7" t="str">
        <f t="shared" si="4"/>
        <v>Premium5</v>
      </c>
      <c r="C98" s="7" t="str">
        <f t="shared" si="5"/>
        <v>Premium</v>
      </c>
      <c r="D98" s="5">
        <v>222</v>
      </c>
      <c r="E98" s="7" t="str">
        <f>VLOOKUP(D98,[1]characters!$A:$C,3,FALSE)</f>
        <v>避光の鉄鎖宰相 ルキフグス</v>
      </c>
      <c r="F98" s="7" t="str">
        <f>VLOOKUP(D98,[1]characters!$A:$J,10,FALSE)</f>
        <v>PremiumN</v>
      </c>
      <c r="G98" s="7">
        <f>VLOOKUP(D98,[1]characters!$A:$I,9,FALSE)</f>
        <v>5</v>
      </c>
      <c r="H98" s="7" t="str">
        <f>VLOOKUP(D98,[1]characters!$A:$H,8,FALSE)</f>
        <v>blue</v>
      </c>
      <c r="I98" s="7" t="str">
        <f>VLOOKUP(D98,[1]characters!$A:$K,11,FALSE)</f>
        <v>balance</v>
      </c>
      <c r="J98" s="7" t="str">
        <f>VLOOKUP(D98,[1]characters!$A:$M,13,FALSE)</f>
        <v>god</v>
      </c>
      <c r="K98" s="7" t="str">
        <f>VLOOKUP(D98,[1]characters!$A:$G,7,FALSE)</f>
        <v>女性</v>
      </c>
      <c r="L98" s="66">
        <f>IFERROR(VLOOKUP(D98,input_3!L:R,7,FALSE),VLOOKUP(tables_3!B98,input_3!A:H,8,FALSE))</f>
        <v>637</v>
      </c>
      <c r="M98" s="67">
        <f t="shared" si="3"/>
        <v>1.8148148148148149E-2</v>
      </c>
      <c r="N98" s="31">
        <f>IFERROR(VLOOKUP($D98,bug_conf_sheet!$A:$H,3,FALSE),VLOOKUP("other",bug_conf_sheet!$A:$H,3,FALSE))</f>
        <v>1</v>
      </c>
      <c r="O98" s="31">
        <f>IFERROR(VLOOKUP($D98,bug_conf_sheet!$A:$H,4,FALSE),VLOOKUP("other",bug_conf_sheet!$A:$H,4,FALSE))</f>
        <v>0</v>
      </c>
      <c r="P98" s="31">
        <f>IFERROR(VLOOKUP($D98,bug_conf_sheet!$A:$H,5,FALSE),VLOOKUP("other",bug_conf_sheet!$A:$H,5,FALSE))</f>
        <v>0</v>
      </c>
      <c r="Q98" s="31">
        <f>IFERROR(VLOOKUP($D98,bug_conf_sheet!$A:$H,6,FALSE),VLOOKUP("other",bug_conf_sheet!$A:$H,6,FALSE))</f>
        <v>0</v>
      </c>
      <c r="R98" s="31">
        <f>IFERROR(VLOOKUP($D98,bug_conf_sheet!$A:$H,7,FALSE),VLOOKUP("other",bug_conf_sheet!$A:$H,7,FALSE))</f>
        <v>0</v>
      </c>
      <c r="S98" s="31">
        <f>IFERROR(VLOOKUP($D98,bug_conf_sheet!$A:$H,8,FALSE),VLOOKUP("other",bug_conf_sheet!$A:$H,8,FALSE))</f>
        <v>1</v>
      </c>
    </row>
    <row r="99" spans="1:19" ht="21" customHeight="1">
      <c r="A99" s="2">
        <f>input_3!A$2</f>
        <v>3123</v>
      </c>
      <c r="B99" s="7" t="str">
        <f t="shared" si="4"/>
        <v>Premium3</v>
      </c>
      <c r="C99" s="7" t="str">
        <f t="shared" si="5"/>
        <v>Premium</v>
      </c>
      <c r="D99" s="5">
        <v>223</v>
      </c>
      <c r="E99" s="7" t="str">
        <f>VLOOKUP(D99,[1]characters!$A:$C,3,FALSE)</f>
        <v>ヘラクレス</v>
      </c>
      <c r="F99" s="7" t="str">
        <f>VLOOKUP(D99,[1]characters!$A:$J,10,FALSE)</f>
        <v>PremiumN</v>
      </c>
      <c r="G99" s="7">
        <f>VLOOKUP(D99,[1]characters!$A:$I,9,FALSE)</f>
        <v>3</v>
      </c>
      <c r="H99" s="7" t="str">
        <f>VLOOKUP(D99,[1]characters!$A:$H,8,FALSE)</f>
        <v>yellow</v>
      </c>
      <c r="I99" s="7" t="str">
        <f>VLOOKUP(D99,[1]characters!$A:$K,11,FALSE)</f>
        <v>balance</v>
      </c>
      <c r="J99" s="7" t="str">
        <f>VLOOKUP(D99,[1]characters!$A:$M,13,FALSE)</f>
        <v>human</v>
      </c>
      <c r="K99" s="7" t="str">
        <f>VLOOKUP(D99,[1]characters!$A:$G,7,FALSE)</f>
        <v>男性</v>
      </c>
      <c r="L99" s="66">
        <f>IFERROR(VLOOKUP(D99,input_3!L:R,7,FALSE),VLOOKUP(tables_3!B99,input_3!A:H,8,FALSE))</f>
        <v>0</v>
      </c>
      <c r="M99" s="67">
        <f t="shared" si="3"/>
        <v>0</v>
      </c>
      <c r="N99" s="31">
        <f>IFERROR(VLOOKUP($D99,bug_conf_sheet!$A:$H,3,FALSE),VLOOKUP("other",bug_conf_sheet!$A:$H,3,FALSE))</f>
        <v>1</v>
      </c>
      <c r="O99" s="31">
        <f>IFERROR(VLOOKUP($D99,bug_conf_sheet!$A:$H,4,FALSE),VLOOKUP("other",bug_conf_sheet!$A:$H,4,FALSE))</f>
        <v>0</v>
      </c>
      <c r="P99" s="31">
        <f>IFERROR(VLOOKUP($D99,bug_conf_sheet!$A:$H,5,FALSE),VLOOKUP("other",bug_conf_sheet!$A:$H,5,FALSE))</f>
        <v>0</v>
      </c>
      <c r="Q99" s="31">
        <f>IFERROR(VLOOKUP($D99,bug_conf_sheet!$A:$H,6,FALSE),VLOOKUP("other",bug_conf_sheet!$A:$H,6,FALSE))</f>
        <v>0</v>
      </c>
      <c r="R99" s="31">
        <f>IFERROR(VLOOKUP($D99,bug_conf_sheet!$A:$H,7,FALSE),VLOOKUP("other",bug_conf_sheet!$A:$H,7,FALSE))</f>
        <v>0</v>
      </c>
      <c r="S99" s="31">
        <f>IFERROR(VLOOKUP($D99,bug_conf_sheet!$A:$H,8,FALSE),VLOOKUP("other",bug_conf_sheet!$A:$H,8,FALSE))</f>
        <v>1</v>
      </c>
    </row>
    <row r="100" spans="1:19" ht="21" customHeight="1">
      <c r="A100" s="2">
        <f>input_3!A$2</f>
        <v>3123</v>
      </c>
      <c r="B100" s="7" t="str">
        <f t="shared" si="4"/>
        <v>Premium4</v>
      </c>
      <c r="C100" s="7" t="str">
        <f t="shared" si="5"/>
        <v>Premium</v>
      </c>
      <c r="D100" s="5">
        <v>224</v>
      </c>
      <c r="E100" s="7" t="str">
        <f>VLOOKUP(D100,[1]characters!$A:$C,3,FALSE)</f>
        <v>巨腕 ヘラクレス</v>
      </c>
      <c r="F100" s="7" t="str">
        <f>VLOOKUP(D100,[1]characters!$A:$J,10,FALSE)</f>
        <v>PremiumN</v>
      </c>
      <c r="G100" s="7">
        <f>VLOOKUP(D100,[1]characters!$A:$I,9,FALSE)</f>
        <v>4</v>
      </c>
      <c r="H100" s="7" t="str">
        <f>VLOOKUP(D100,[1]characters!$A:$H,8,FALSE)</f>
        <v>yellow</v>
      </c>
      <c r="I100" s="7" t="str">
        <f>VLOOKUP(D100,[1]characters!$A:$K,11,FALSE)</f>
        <v>balance</v>
      </c>
      <c r="J100" s="7" t="str">
        <f>VLOOKUP(D100,[1]characters!$A:$M,13,FALSE)</f>
        <v>human</v>
      </c>
      <c r="K100" s="7" t="str">
        <f>VLOOKUP(D100,[1]characters!$A:$G,7,FALSE)</f>
        <v>男性</v>
      </c>
      <c r="L100" s="66">
        <f>IFERROR(VLOOKUP(D100,input_3!L:R,7,FALSE),VLOOKUP(tables_3!B100,input_3!A:H,8,FALSE))</f>
        <v>0</v>
      </c>
      <c r="M100" s="67">
        <f t="shared" si="3"/>
        <v>0</v>
      </c>
      <c r="N100" s="31">
        <f>IFERROR(VLOOKUP($D100,bug_conf_sheet!$A:$H,3,FALSE),VLOOKUP("other",bug_conf_sheet!$A:$H,3,FALSE))</f>
        <v>1</v>
      </c>
      <c r="O100" s="31">
        <f>IFERROR(VLOOKUP($D100,bug_conf_sheet!$A:$H,4,FALSE),VLOOKUP("other",bug_conf_sheet!$A:$H,4,FALSE))</f>
        <v>0</v>
      </c>
      <c r="P100" s="31">
        <f>IFERROR(VLOOKUP($D100,bug_conf_sheet!$A:$H,5,FALSE),VLOOKUP("other",bug_conf_sheet!$A:$H,5,FALSE))</f>
        <v>0</v>
      </c>
      <c r="Q100" s="31">
        <f>IFERROR(VLOOKUP($D100,bug_conf_sheet!$A:$H,6,FALSE),VLOOKUP("other",bug_conf_sheet!$A:$H,6,FALSE))</f>
        <v>0</v>
      </c>
      <c r="R100" s="31">
        <f>IFERROR(VLOOKUP($D100,bug_conf_sheet!$A:$H,7,FALSE),VLOOKUP("other",bug_conf_sheet!$A:$H,7,FALSE))</f>
        <v>0</v>
      </c>
      <c r="S100" s="31">
        <f>IFERROR(VLOOKUP($D100,bug_conf_sheet!$A:$H,8,FALSE),VLOOKUP("other",bug_conf_sheet!$A:$H,8,FALSE))</f>
        <v>1</v>
      </c>
    </row>
    <row r="101" spans="1:19" ht="21" customHeight="1">
      <c r="A101" s="2">
        <f>input_3!A$2</f>
        <v>3123</v>
      </c>
      <c r="B101" s="7" t="str">
        <f t="shared" si="4"/>
        <v>Premium5</v>
      </c>
      <c r="C101" s="7" t="str">
        <f t="shared" si="5"/>
        <v>Premium</v>
      </c>
      <c r="D101" s="5">
        <v>225</v>
      </c>
      <c r="E101" s="7" t="str">
        <f>VLOOKUP(D101,[1]characters!$A:$C,3,FALSE)</f>
        <v>咆哮の巨獅腕 ヘラクレス</v>
      </c>
      <c r="F101" s="7" t="str">
        <f>VLOOKUP(D101,[1]characters!$A:$J,10,FALSE)</f>
        <v>PremiumN</v>
      </c>
      <c r="G101" s="7">
        <f>VLOOKUP(D101,[1]characters!$A:$I,9,FALSE)</f>
        <v>5</v>
      </c>
      <c r="H101" s="7" t="str">
        <f>VLOOKUP(D101,[1]characters!$A:$H,8,FALSE)</f>
        <v>yellow</v>
      </c>
      <c r="I101" s="7" t="str">
        <f>VLOOKUP(D101,[1]characters!$A:$K,11,FALSE)</f>
        <v>balance</v>
      </c>
      <c r="J101" s="7" t="str">
        <f>VLOOKUP(D101,[1]characters!$A:$M,13,FALSE)</f>
        <v>human</v>
      </c>
      <c r="K101" s="7" t="str">
        <f>VLOOKUP(D101,[1]characters!$A:$G,7,FALSE)</f>
        <v>男性</v>
      </c>
      <c r="L101" s="66">
        <f>IFERROR(VLOOKUP(D101,input_3!L:R,7,FALSE),VLOOKUP(tables_3!B101,input_3!A:H,8,FALSE))</f>
        <v>637</v>
      </c>
      <c r="M101" s="67">
        <f t="shared" si="3"/>
        <v>1.8148148148148149E-2</v>
      </c>
      <c r="N101" s="31">
        <f>IFERROR(VLOOKUP($D101,bug_conf_sheet!$A:$H,3,FALSE),VLOOKUP("other",bug_conf_sheet!$A:$H,3,FALSE))</f>
        <v>1</v>
      </c>
      <c r="O101" s="31">
        <f>IFERROR(VLOOKUP($D101,bug_conf_sheet!$A:$H,4,FALSE),VLOOKUP("other",bug_conf_sheet!$A:$H,4,FALSE))</f>
        <v>0</v>
      </c>
      <c r="P101" s="31">
        <f>IFERROR(VLOOKUP($D101,bug_conf_sheet!$A:$H,5,FALSE),VLOOKUP("other",bug_conf_sheet!$A:$H,5,FALSE))</f>
        <v>0</v>
      </c>
      <c r="Q101" s="31">
        <f>IFERROR(VLOOKUP($D101,bug_conf_sheet!$A:$H,6,FALSE),VLOOKUP("other",bug_conf_sheet!$A:$H,6,FALSE))</f>
        <v>0</v>
      </c>
      <c r="R101" s="31">
        <f>IFERROR(VLOOKUP($D101,bug_conf_sheet!$A:$H,7,FALSE),VLOOKUP("other",bug_conf_sheet!$A:$H,7,FALSE))</f>
        <v>0</v>
      </c>
      <c r="S101" s="31">
        <f>IFERROR(VLOOKUP($D101,bug_conf_sheet!$A:$H,8,FALSE),VLOOKUP("other",bug_conf_sheet!$A:$H,8,FALSE))</f>
        <v>1</v>
      </c>
    </row>
    <row r="102" spans="1:19" ht="21" customHeight="1">
      <c r="A102" s="2">
        <f>input_3!A$2</f>
        <v>3123</v>
      </c>
      <c r="B102" s="7" t="str">
        <f t="shared" si="4"/>
        <v>Premium3</v>
      </c>
      <c r="C102" s="7" t="str">
        <f t="shared" si="5"/>
        <v>Premium</v>
      </c>
      <c r="D102" s="5">
        <v>226</v>
      </c>
      <c r="E102" s="7" t="str">
        <f>VLOOKUP(D102,[1]characters!$A:$C,3,FALSE)</f>
        <v>アレス</v>
      </c>
      <c r="F102" s="7" t="str">
        <f>VLOOKUP(D102,[1]characters!$A:$J,10,FALSE)</f>
        <v>PremiumS</v>
      </c>
      <c r="G102" s="7">
        <f>VLOOKUP(D102,[1]characters!$A:$I,9,FALSE)</f>
        <v>3</v>
      </c>
      <c r="H102" s="7" t="str">
        <f>VLOOKUP(D102,[1]characters!$A:$H,8,FALSE)</f>
        <v>red</v>
      </c>
      <c r="I102" s="7" t="str">
        <f>VLOOKUP(D102,[1]characters!$A:$K,11,FALSE)</f>
        <v>attack</v>
      </c>
      <c r="J102" s="7" t="str">
        <f>VLOOKUP(D102,[1]characters!$A:$M,13,FALSE)</f>
        <v>god</v>
      </c>
      <c r="K102" s="7" t="str">
        <f>VLOOKUP(D102,[1]characters!$A:$G,7,FALSE)</f>
        <v>男性</v>
      </c>
      <c r="L102" s="66">
        <f>IFERROR(VLOOKUP(D102,input_3!L:R,7,FALSE),VLOOKUP(tables_3!B102,input_3!A:H,8,FALSE))</f>
        <v>0</v>
      </c>
      <c r="M102" s="67">
        <f t="shared" si="3"/>
        <v>0</v>
      </c>
      <c r="N102" s="31">
        <f>IFERROR(VLOOKUP($D102,bug_conf_sheet!$A:$H,3,FALSE),VLOOKUP("other",bug_conf_sheet!$A:$H,3,FALSE))</f>
        <v>1</v>
      </c>
      <c r="O102" s="31">
        <f>IFERROR(VLOOKUP($D102,bug_conf_sheet!$A:$H,4,FALSE),VLOOKUP("other",bug_conf_sheet!$A:$H,4,FALSE))</f>
        <v>0</v>
      </c>
      <c r="P102" s="31">
        <f>IFERROR(VLOOKUP($D102,bug_conf_sheet!$A:$H,5,FALSE),VLOOKUP("other",bug_conf_sheet!$A:$H,5,FALSE))</f>
        <v>0</v>
      </c>
      <c r="Q102" s="31">
        <f>IFERROR(VLOOKUP($D102,bug_conf_sheet!$A:$H,6,FALSE),VLOOKUP("other",bug_conf_sheet!$A:$H,6,FALSE))</f>
        <v>0</v>
      </c>
      <c r="R102" s="31">
        <f>IFERROR(VLOOKUP($D102,bug_conf_sheet!$A:$H,7,FALSE),VLOOKUP("other",bug_conf_sheet!$A:$H,7,FALSE))</f>
        <v>0</v>
      </c>
      <c r="S102" s="31">
        <f>IFERROR(VLOOKUP($D102,bug_conf_sheet!$A:$H,8,FALSE),VLOOKUP("other",bug_conf_sheet!$A:$H,8,FALSE))</f>
        <v>1</v>
      </c>
    </row>
    <row r="103" spans="1:19" ht="21" customHeight="1">
      <c r="A103" s="2">
        <f>input_3!A$2</f>
        <v>3123</v>
      </c>
      <c r="B103" s="7" t="str">
        <f t="shared" si="4"/>
        <v>Premium4</v>
      </c>
      <c r="C103" s="7" t="str">
        <f t="shared" si="5"/>
        <v>Premium</v>
      </c>
      <c r="D103" s="5">
        <v>227</v>
      </c>
      <c r="E103" s="7" t="str">
        <f>VLOOKUP(D103,[1]characters!$A:$C,3,FALSE)</f>
        <v>滅弾 アレス</v>
      </c>
      <c r="F103" s="7" t="str">
        <f>VLOOKUP(D103,[1]characters!$A:$J,10,FALSE)</f>
        <v>PremiumS</v>
      </c>
      <c r="G103" s="7">
        <f>VLOOKUP(D103,[1]characters!$A:$I,9,FALSE)</f>
        <v>4</v>
      </c>
      <c r="H103" s="7" t="str">
        <f>VLOOKUP(D103,[1]characters!$A:$H,8,FALSE)</f>
        <v>red</v>
      </c>
      <c r="I103" s="7" t="str">
        <f>VLOOKUP(D103,[1]characters!$A:$K,11,FALSE)</f>
        <v>attack</v>
      </c>
      <c r="J103" s="7" t="str">
        <f>VLOOKUP(D103,[1]characters!$A:$M,13,FALSE)</f>
        <v>god</v>
      </c>
      <c r="K103" s="7" t="str">
        <f>VLOOKUP(D103,[1]characters!$A:$G,7,FALSE)</f>
        <v>男性</v>
      </c>
      <c r="L103" s="66">
        <f>IFERROR(VLOOKUP(D103,input_3!L:R,7,FALSE),VLOOKUP(tables_3!B103,input_3!A:H,8,FALSE))</f>
        <v>0</v>
      </c>
      <c r="M103" s="67">
        <f t="shared" si="3"/>
        <v>0</v>
      </c>
      <c r="N103" s="31">
        <f>IFERROR(VLOOKUP($D103,bug_conf_sheet!$A:$H,3,FALSE),VLOOKUP("other",bug_conf_sheet!$A:$H,3,FALSE))</f>
        <v>1</v>
      </c>
      <c r="O103" s="31">
        <f>IFERROR(VLOOKUP($D103,bug_conf_sheet!$A:$H,4,FALSE),VLOOKUP("other",bug_conf_sheet!$A:$H,4,FALSE))</f>
        <v>0</v>
      </c>
      <c r="P103" s="31">
        <f>IFERROR(VLOOKUP($D103,bug_conf_sheet!$A:$H,5,FALSE),VLOOKUP("other",bug_conf_sheet!$A:$H,5,FALSE))</f>
        <v>0</v>
      </c>
      <c r="Q103" s="31">
        <f>IFERROR(VLOOKUP($D103,bug_conf_sheet!$A:$H,6,FALSE),VLOOKUP("other",bug_conf_sheet!$A:$H,6,FALSE))</f>
        <v>0</v>
      </c>
      <c r="R103" s="31">
        <f>IFERROR(VLOOKUP($D103,bug_conf_sheet!$A:$H,7,FALSE),VLOOKUP("other",bug_conf_sheet!$A:$H,7,FALSE))</f>
        <v>0</v>
      </c>
      <c r="S103" s="31">
        <f>IFERROR(VLOOKUP($D103,bug_conf_sheet!$A:$H,8,FALSE),VLOOKUP("other",bug_conf_sheet!$A:$H,8,FALSE))</f>
        <v>1</v>
      </c>
    </row>
    <row r="104" spans="1:19" ht="21" customHeight="1">
      <c r="A104" s="2">
        <f>input_3!A$2</f>
        <v>3123</v>
      </c>
      <c r="B104" s="7" t="str">
        <f t="shared" si="4"/>
        <v>Premium5</v>
      </c>
      <c r="C104" s="7" t="str">
        <f t="shared" si="5"/>
        <v>Premium</v>
      </c>
      <c r="D104" s="5">
        <v>228</v>
      </c>
      <c r="E104" s="7" t="str">
        <f>VLOOKUP(D104,[1]characters!$A:$C,3,FALSE)</f>
        <v>殲滅の掃射砲 アレス</v>
      </c>
      <c r="F104" s="7" t="str">
        <f>VLOOKUP(D104,[1]characters!$A:$J,10,FALSE)</f>
        <v>PremiumS</v>
      </c>
      <c r="G104" s="7">
        <f>VLOOKUP(D104,[1]characters!$A:$I,9,FALSE)</f>
        <v>5</v>
      </c>
      <c r="H104" s="7" t="str">
        <f>VLOOKUP(D104,[1]characters!$A:$H,8,FALSE)</f>
        <v>red</v>
      </c>
      <c r="I104" s="7" t="str">
        <f>VLOOKUP(D104,[1]characters!$A:$K,11,FALSE)</f>
        <v>attack</v>
      </c>
      <c r="J104" s="7" t="str">
        <f>VLOOKUP(D104,[1]characters!$A:$M,13,FALSE)</f>
        <v>god</v>
      </c>
      <c r="K104" s="7" t="str">
        <f>VLOOKUP(D104,[1]characters!$A:$G,7,FALSE)</f>
        <v>男性</v>
      </c>
      <c r="L104" s="66">
        <f>IFERROR(VLOOKUP(D104,input_3!L:R,7,FALSE),VLOOKUP(tables_3!B104,input_3!A:H,8,FALSE))</f>
        <v>637</v>
      </c>
      <c r="M104" s="67">
        <f t="shared" si="3"/>
        <v>1.8148148148148149E-2</v>
      </c>
      <c r="N104" s="31">
        <f>IFERROR(VLOOKUP($D104,bug_conf_sheet!$A:$H,3,FALSE),VLOOKUP("other",bug_conf_sheet!$A:$H,3,FALSE))</f>
        <v>1</v>
      </c>
      <c r="O104" s="31">
        <f>IFERROR(VLOOKUP($D104,bug_conf_sheet!$A:$H,4,FALSE),VLOOKUP("other",bug_conf_sheet!$A:$H,4,FALSE))</f>
        <v>0</v>
      </c>
      <c r="P104" s="31">
        <f>IFERROR(VLOOKUP($D104,bug_conf_sheet!$A:$H,5,FALSE),VLOOKUP("other",bug_conf_sheet!$A:$H,5,FALSE))</f>
        <v>0</v>
      </c>
      <c r="Q104" s="31">
        <f>IFERROR(VLOOKUP($D104,bug_conf_sheet!$A:$H,6,FALSE),VLOOKUP("other",bug_conf_sheet!$A:$H,6,FALSE))</f>
        <v>0</v>
      </c>
      <c r="R104" s="31">
        <f>IFERROR(VLOOKUP($D104,bug_conf_sheet!$A:$H,7,FALSE),VLOOKUP("other",bug_conf_sheet!$A:$H,7,FALSE))</f>
        <v>0</v>
      </c>
      <c r="S104" s="31">
        <f>IFERROR(VLOOKUP($D104,bug_conf_sheet!$A:$H,8,FALSE),VLOOKUP("other",bug_conf_sheet!$A:$H,8,FALSE))</f>
        <v>1</v>
      </c>
    </row>
    <row r="105" spans="1:19" ht="21" customHeight="1">
      <c r="A105" s="2">
        <f>input_3!A$2</f>
        <v>3123</v>
      </c>
      <c r="B105" s="7" t="str">
        <f t="shared" si="4"/>
        <v>Premium3</v>
      </c>
      <c r="C105" s="7" t="str">
        <f t="shared" si="5"/>
        <v>Premium</v>
      </c>
      <c r="D105" s="5">
        <v>229</v>
      </c>
      <c r="E105" s="7" t="str">
        <f>VLOOKUP(D105,[1]characters!$A:$C,3,FALSE)</f>
        <v>ヨルムンガンド</v>
      </c>
      <c r="F105" s="7" t="str">
        <f>VLOOKUP(D105,[1]characters!$A:$J,10,FALSE)</f>
        <v>PremiumS</v>
      </c>
      <c r="G105" s="7">
        <f>VLOOKUP(D105,[1]characters!$A:$I,9,FALSE)</f>
        <v>3</v>
      </c>
      <c r="H105" s="7" t="str">
        <f>VLOOKUP(D105,[1]characters!$A:$H,8,FALSE)</f>
        <v>green</v>
      </c>
      <c r="I105" s="7" t="str">
        <f>VLOOKUP(D105,[1]characters!$A:$K,11,FALSE)</f>
        <v>technical</v>
      </c>
      <c r="J105" s="7" t="str">
        <f>VLOOKUP(D105,[1]characters!$A:$M,13,FALSE)</f>
        <v>dragon</v>
      </c>
      <c r="K105" s="7" t="str">
        <f>VLOOKUP(D105,[1]characters!$A:$G,7,FALSE)</f>
        <v>女性</v>
      </c>
      <c r="L105" s="66">
        <f>IFERROR(VLOOKUP(D105,input_3!L:R,7,FALSE),VLOOKUP(tables_3!B105,input_3!A:H,8,FALSE))</f>
        <v>0</v>
      </c>
      <c r="M105" s="67">
        <f t="shared" si="3"/>
        <v>0</v>
      </c>
      <c r="N105" s="31">
        <f>IFERROR(VLOOKUP($D105,bug_conf_sheet!$A:$H,3,FALSE),VLOOKUP("other",bug_conf_sheet!$A:$H,3,FALSE))</f>
        <v>1</v>
      </c>
      <c r="O105" s="31">
        <f>IFERROR(VLOOKUP($D105,bug_conf_sheet!$A:$H,4,FALSE),VLOOKUP("other",bug_conf_sheet!$A:$H,4,FALSE))</f>
        <v>0</v>
      </c>
      <c r="P105" s="31">
        <f>IFERROR(VLOOKUP($D105,bug_conf_sheet!$A:$H,5,FALSE),VLOOKUP("other",bug_conf_sheet!$A:$H,5,FALSE))</f>
        <v>0</v>
      </c>
      <c r="Q105" s="31">
        <f>IFERROR(VLOOKUP($D105,bug_conf_sheet!$A:$H,6,FALSE),VLOOKUP("other",bug_conf_sheet!$A:$H,6,FALSE))</f>
        <v>0</v>
      </c>
      <c r="R105" s="31">
        <f>IFERROR(VLOOKUP($D105,bug_conf_sheet!$A:$H,7,FALSE),VLOOKUP("other",bug_conf_sheet!$A:$H,7,FALSE))</f>
        <v>0</v>
      </c>
      <c r="S105" s="31">
        <f>IFERROR(VLOOKUP($D105,bug_conf_sheet!$A:$H,8,FALSE),VLOOKUP("other",bug_conf_sheet!$A:$H,8,FALSE))</f>
        <v>1</v>
      </c>
    </row>
    <row r="106" spans="1:19" ht="21" customHeight="1">
      <c r="A106" s="2">
        <f>input_3!A$2</f>
        <v>3123</v>
      </c>
      <c r="B106" s="7" t="str">
        <f t="shared" si="4"/>
        <v>Premium4</v>
      </c>
      <c r="C106" s="7" t="str">
        <f t="shared" si="5"/>
        <v>Premium</v>
      </c>
      <c r="D106" s="5">
        <v>230</v>
      </c>
      <c r="E106" s="7" t="str">
        <f>VLOOKUP(D106,[1]characters!$A:$C,3,FALSE)</f>
        <v>毒銃 ヨルムンガンド</v>
      </c>
      <c r="F106" s="7" t="str">
        <f>VLOOKUP(D106,[1]characters!$A:$J,10,FALSE)</f>
        <v>PremiumS</v>
      </c>
      <c r="G106" s="7">
        <f>VLOOKUP(D106,[1]characters!$A:$I,9,FALSE)</f>
        <v>4</v>
      </c>
      <c r="H106" s="7" t="str">
        <f>VLOOKUP(D106,[1]characters!$A:$H,8,FALSE)</f>
        <v>green</v>
      </c>
      <c r="I106" s="7" t="str">
        <f>VLOOKUP(D106,[1]characters!$A:$K,11,FALSE)</f>
        <v>technical</v>
      </c>
      <c r="J106" s="7" t="str">
        <f>VLOOKUP(D106,[1]characters!$A:$M,13,FALSE)</f>
        <v>dragon</v>
      </c>
      <c r="K106" s="7" t="str">
        <f>VLOOKUP(D106,[1]characters!$A:$G,7,FALSE)</f>
        <v>女性</v>
      </c>
      <c r="L106" s="66">
        <f>IFERROR(VLOOKUP(D106,input_3!L:R,7,FALSE),VLOOKUP(tables_3!B106,input_3!A:H,8,FALSE))</f>
        <v>0</v>
      </c>
      <c r="M106" s="67">
        <f t="shared" si="3"/>
        <v>0</v>
      </c>
      <c r="N106" s="31">
        <f>IFERROR(VLOOKUP($D106,bug_conf_sheet!$A:$H,3,FALSE),VLOOKUP("other",bug_conf_sheet!$A:$H,3,FALSE))</f>
        <v>1</v>
      </c>
      <c r="O106" s="31">
        <f>IFERROR(VLOOKUP($D106,bug_conf_sheet!$A:$H,4,FALSE),VLOOKUP("other",bug_conf_sheet!$A:$H,4,FALSE))</f>
        <v>0</v>
      </c>
      <c r="P106" s="31">
        <f>IFERROR(VLOOKUP($D106,bug_conf_sheet!$A:$H,5,FALSE),VLOOKUP("other",bug_conf_sheet!$A:$H,5,FALSE))</f>
        <v>0</v>
      </c>
      <c r="Q106" s="31">
        <f>IFERROR(VLOOKUP($D106,bug_conf_sheet!$A:$H,6,FALSE),VLOOKUP("other",bug_conf_sheet!$A:$H,6,FALSE))</f>
        <v>0</v>
      </c>
      <c r="R106" s="31">
        <f>IFERROR(VLOOKUP($D106,bug_conf_sheet!$A:$H,7,FALSE),VLOOKUP("other",bug_conf_sheet!$A:$H,7,FALSE))</f>
        <v>0</v>
      </c>
      <c r="S106" s="31">
        <f>IFERROR(VLOOKUP($D106,bug_conf_sheet!$A:$H,8,FALSE),VLOOKUP("other",bug_conf_sheet!$A:$H,8,FALSE))</f>
        <v>1</v>
      </c>
    </row>
    <row r="107" spans="1:19" ht="21" customHeight="1">
      <c r="A107" s="2">
        <f>input_3!A$2</f>
        <v>3123</v>
      </c>
      <c r="B107" s="7" t="str">
        <f t="shared" si="4"/>
        <v>Premium5</v>
      </c>
      <c r="C107" s="7" t="str">
        <f t="shared" si="5"/>
        <v>Premium</v>
      </c>
      <c r="D107" s="5">
        <v>231</v>
      </c>
      <c r="E107" s="7" t="str">
        <f>VLOOKUP(D107,[1]characters!$A:$C,3,FALSE)</f>
        <v>必中の咬銃 ヨルムンガンド</v>
      </c>
      <c r="F107" s="7" t="str">
        <f>VLOOKUP(D107,[1]characters!$A:$J,10,FALSE)</f>
        <v>PremiumS</v>
      </c>
      <c r="G107" s="7">
        <f>VLOOKUP(D107,[1]characters!$A:$I,9,FALSE)</f>
        <v>5</v>
      </c>
      <c r="H107" s="7" t="str">
        <f>VLOOKUP(D107,[1]characters!$A:$H,8,FALSE)</f>
        <v>green</v>
      </c>
      <c r="I107" s="7" t="str">
        <f>VLOOKUP(D107,[1]characters!$A:$K,11,FALSE)</f>
        <v>technical</v>
      </c>
      <c r="J107" s="7" t="str">
        <f>VLOOKUP(D107,[1]characters!$A:$M,13,FALSE)</f>
        <v>dragon</v>
      </c>
      <c r="K107" s="7" t="str">
        <f>VLOOKUP(D107,[1]characters!$A:$G,7,FALSE)</f>
        <v>女性</v>
      </c>
      <c r="L107" s="66">
        <f>IFERROR(VLOOKUP(D107,input_3!L:R,7,FALSE),VLOOKUP(tables_3!B107,input_3!A:H,8,FALSE))</f>
        <v>637</v>
      </c>
      <c r="M107" s="67">
        <f t="shared" si="3"/>
        <v>1.8148148148148149E-2</v>
      </c>
      <c r="N107" s="31">
        <f>IFERROR(VLOOKUP($D107,bug_conf_sheet!$A:$H,3,FALSE),VLOOKUP("other",bug_conf_sheet!$A:$H,3,FALSE))</f>
        <v>1</v>
      </c>
      <c r="O107" s="31">
        <f>IFERROR(VLOOKUP($D107,bug_conf_sheet!$A:$H,4,FALSE),VLOOKUP("other",bug_conf_sheet!$A:$H,4,FALSE))</f>
        <v>0</v>
      </c>
      <c r="P107" s="31">
        <f>IFERROR(VLOOKUP($D107,bug_conf_sheet!$A:$H,5,FALSE),VLOOKUP("other",bug_conf_sheet!$A:$H,5,FALSE))</f>
        <v>0</v>
      </c>
      <c r="Q107" s="31">
        <f>IFERROR(VLOOKUP($D107,bug_conf_sheet!$A:$H,6,FALSE),VLOOKUP("other",bug_conf_sheet!$A:$H,6,FALSE))</f>
        <v>0</v>
      </c>
      <c r="R107" s="31">
        <f>IFERROR(VLOOKUP($D107,bug_conf_sheet!$A:$H,7,FALSE),VLOOKUP("other",bug_conf_sheet!$A:$H,7,FALSE))</f>
        <v>0</v>
      </c>
      <c r="S107" s="31">
        <f>IFERROR(VLOOKUP($D107,bug_conf_sheet!$A:$H,8,FALSE),VLOOKUP("other",bug_conf_sheet!$A:$H,8,FALSE))</f>
        <v>1</v>
      </c>
    </row>
    <row r="108" spans="1:19" ht="21" customHeight="1">
      <c r="A108" s="2">
        <f>input_3!A$2</f>
        <v>3123</v>
      </c>
      <c r="B108" s="7" t="str">
        <f t="shared" si="4"/>
        <v>Premium3</v>
      </c>
      <c r="C108" s="7" t="str">
        <f t="shared" si="5"/>
        <v>Premium</v>
      </c>
      <c r="D108" s="5">
        <v>232</v>
      </c>
      <c r="E108" s="7" t="str">
        <f>VLOOKUP(D108,[1]characters!$A:$C,3,FALSE)</f>
        <v>パーシヴァル</v>
      </c>
      <c r="F108" s="7" t="str">
        <f>VLOOKUP(D108,[1]characters!$A:$J,10,FALSE)</f>
        <v>PremiumS</v>
      </c>
      <c r="G108" s="7">
        <f>VLOOKUP(D108,[1]characters!$A:$I,9,FALSE)</f>
        <v>3</v>
      </c>
      <c r="H108" s="7" t="str">
        <f>VLOOKUP(D108,[1]characters!$A:$H,8,FALSE)</f>
        <v>blue</v>
      </c>
      <c r="I108" s="7" t="str">
        <f>VLOOKUP(D108,[1]characters!$A:$K,11,FALSE)</f>
        <v>technical</v>
      </c>
      <c r="J108" s="7" t="str">
        <f>VLOOKUP(D108,[1]characters!$A:$M,13,FALSE)</f>
        <v>human</v>
      </c>
      <c r="K108" s="7" t="str">
        <f>VLOOKUP(D108,[1]characters!$A:$G,7,FALSE)</f>
        <v>女性</v>
      </c>
      <c r="L108" s="66">
        <f>IFERROR(VLOOKUP(D108,input_3!L:R,7,FALSE),VLOOKUP(tables_3!B108,input_3!A:H,8,FALSE))</f>
        <v>0</v>
      </c>
      <c r="M108" s="67">
        <f t="shared" si="3"/>
        <v>0</v>
      </c>
      <c r="N108" s="31">
        <f>IFERROR(VLOOKUP($D108,bug_conf_sheet!$A:$H,3,FALSE),VLOOKUP("other",bug_conf_sheet!$A:$H,3,FALSE))</f>
        <v>1</v>
      </c>
      <c r="O108" s="31">
        <f>IFERROR(VLOOKUP($D108,bug_conf_sheet!$A:$H,4,FALSE),VLOOKUP("other",bug_conf_sheet!$A:$H,4,FALSE))</f>
        <v>0</v>
      </c>
      <c r="P108" s="31">
        <f>IFERROR(VLOOKUP($D108,bug_conf_sheet!$A:$H,5,FALSE),VLOOKUP("other",bug_conf_sheet!$A:$H,5,FALSE))</f>
        <v>0</v>
      </c>
      <c r="Q108" s="31">
        <f>IFERROR(VLOOKUP($D108,bug_conf_sheet!$A:$H,6,FALSE),VLOOKUP("other",bug_conf_sheet!$A:$H,6,FALSE))</f>
        <v>0</v>
      </c>
      <c r="R108" s="31">
        <f>IFERROR(VLOOKUP($D108,bug_conf_sheet!$A:$H,7,FALSE),VLOOKUP("other",bug_conf_sheet!$A:$H,7,FALSE))</f>
        <v>0</v>
      </c>
      <c r="S108" s="31">
        <f>IFERROR(VLOOKUP($D108,bug_conf_sheet!$A:$H,8,FALSE),VLOOKUP("other",bug_conf_sheet!$A:$H,8,FALSE))</f>
        <v>1</v>
      </c>
    </row>
    <row r="109" spans="1:19" ht="21" customHeight="1">
      <c r="A109" s="2">
        <f>input_3!A$2</f>
        <v>3123</v>
      </c>
      <c r="B109" s="7" t="str">
        <f t="shared" si="4"/>
        <v>Premium4</v>
      </c>
      <c r="C109" s="7" t="str">
        <f t="shared" si="5"/>
        <v>Premium</v>
      </c>
      <c r="D109" s="5">
        <v>233</v>
      </c>
      <c r="E109" s="7" t="str">
        <f>VLOOKUP(D109,[1]characters!$A:$C,3,FALSE)</f>
        <v>遂行 パーシヴァル</v>
      </c>
      <c r="F109" s="7" t="str">
        <f>VLOOKUP(D109,[1]characters!$A:$J,10,FALSE)</f>
        <v>PremiumS</v>
      </c>
      <c r="G109" s="7">
        <f>VLOOKUP(D109,[1]characters!$A:$I,9,FALSE)</f>
        <v>4</v>
      </c>
      <c r="H109" s="7" t="str">
        <f>VLOOKUP(D109,[1]characters!$A:$H,8,FALSE)</f>
        <v>blue</v>
      </c>
      <c r="I109" s="7" t="str">
        <f>VLOOKUP(D109,[1]characters!$A:$K,11,FALSE)</f>
        <v>technical</v>
      </c>
      <c r="J109" s="7" t="str">
        <f>VLOOKUP(D109,[1]characters!$A:$M,13,FALSE)</f>
        <v>human</v>
      </c>
      <c r="K109" s="7" t="str">
        <f>VLOOKUP(D109,[1]characters!$A:$G,7,FALSE)</f>
        <v>女性</v>
      </c>
      <c r="L109" s="66">
        <f>IFERROR(VLOOKUP(D109,input_3!L:R,7,FALSE),VLOOKUP(tables_3!B109,input_3!A:H,8,FALSE))</f>
        <v>0</v>
      </c>
      <c r="M109" s="67">
        <f t="shared" si="3"/>
        <v>0</v>
      </c>
      <c r="N109" s="31">
        <f>IFERROR(VLOOKUP($D109,bug_conf_sheet!$A:$H,3,FALSE),VLOOKUP("other",bug_conf_sheet!$A:$H,3,FALSE))</f>
        <v>1</v>
      </c>
      <c r="O109" s="31">
        <f>IFERROR(VLOOKUP($D109,bug_conf_sheet!$A:$H,4,FALSE),VLOOKUP("other",bug_conf_sheet!$A:$H,4,FALSE))</f>
        <v>0</v>
      </c>
      <c r="P109" s="31">
        <f>IFERROR(VLOOKUP($D109,bug_conf_sheet!$A:$H,5,FALSE),VLOOKUP("other",bug_conf_sheet!$A:$H,5,FALSE))</f>
        <v>0</v>
      </c>
      <c r="Q109" s="31">
        <f>IFERROR(VLOOKUP($D109,bug_conf_sheet!$A:$H,6,FALSE),VLOOKUP("other",bug_conf_sheet!$A:$H,6,FALSE))</f>
        <v>0</v>
      </c>
      <c r="R109" s="31">
        <f>IFERROR(VLOOKUP($D109,bug_conf_sheet!$A:$H,7,FALSE),VLOOKUP("other",bug_conf_sheet!$A:$H,7,FALSE))</f>
        <v>0</v>
      </c>
      <c r="S109" s="31">
        <f>IFERROR(VLOOKUP($D109,bug_conf_sheet!$A:$H,8,FALSE),VLOOKUP("other",bug_conf_sheet!$A:$H,8,FALSE))</f>
        <v>1</v>
      </c>
    </row>
    <row r="110" spans="1:19" ht="21" customHeight="1">
      <c r="A110" s="2">
        <f>input_3!A$2</f>
        <v>3123</v>
      </c>
      <c r="B110" s="7" t="str">
        <f t="shared" si="4"/>
        <v>Premium5</v>
      </c>
      <c r="C110" s="7" t="str">
        <f t="shared" si="5"/>
        <v>Premium</v>
      </c>
      <c r="D110" s="5">
        <v>234</v>
      </c>
      <c r="E110" s="7" t="str">
        <f>VLOOKUP(D110,[1]characters!$A:$C,3,FALSE)</f>
        <v>精密なる照準 パーシヴァル</v>
      </c>
      <c r="F110" s="7" t="str">
        <f>VLOOKUP(D110,[1]characters!$A:$J,10,FALSE)</f>
        <v>PremiumS</v>
      </c>
      <c r="G110" s="7">
        <f>VLOOKUP(D110,[1]characters!$A:$I,9,FALSE)</f>
        <v>5</v>
      </c>
      <c r="H110" s="7" t="str">
        <f>VLOOKUP(D110,[1]characters!$A:$H,8,FALSE)</f>
        <v>blue</v>
      </c>
      <c r="I110" s="7" t="str">
        <f>VLOOKUP(D110,[1]characters!$A:$K,11,FALSE)</f>
        <v>technical</v>
      </c>
      <c r="J110" s="7" t="str">
        <f>VLOOKUP(D110,[1]characters!$A:$M,13,FALSE)</f>
        <v>human</v>
      </c>
      <c r="K110" s="7" t="str">
        <f>VLOOKUP(D110,[1]characters!$A:$G,7,FALSE)</f>
        <v>女性</v>
      </c>
      <c r="L110" s="66">
        <f>IFERROR(VLOOKUP(D110,input_3!L:R,7,FALSE),VLOOKUP(tables_3!B110,input_3!A:H,8,FALSE))</f>
        <v>637</v>
      </c>
      <c r="M110" s="67">
        <f t="shared" si="3"/>
        <v>1.8148148148148149E-2</v>
      </c>
      <c r="N110" s="31">
        <f>IFERROR(VLOOKUP($D110,bug_conf_sheet!$A:$H,3,FALSE),VLOOKUP("other",bug_conf_sheet!$A:$H,3,FALSE))</f>
        <v>1</v>
      </c>
      <c r="O110" s="31">
        <f>IFERROR(VLOOKUP($D110,bug_conf_sheet!$A:$H,4,FALSE),VLOOKUP("other",bug_conf_sheet!$A:$H,4,FALSE))</f>
        <v>0</v>
      </c>
      <c r="P110" s="31">
        <f>IFERROR(VLOOKUP($D110,bug_conf_sheet!$A:$H,5,FALSE),VLOOKUP("other",bug_conf_sheet!$A:$H,5,FALSE))</f>
        <v>0</v>
      </c>
      <c r="Q110" s="31">
        <f>IFERROR(VLOOKUP($D110,bug_conf_sheet!$A:$H,6,FALSE),VLOOKUP("other",bug_conf_sheet!$A:$H,6,FALSE))</f>
        <v>0</v>
      </c>
      <c r="R110" s="31">
        <f>IFERROR(VLOOKUP($D110,bug_conf_sheet!$A:$H,7,FALSE),VLOOKUP("other",bug_conf_sheet!$A:$H,7,FALSE))</f>
        <v>0</v>
      </c>
      <c r="S110" s="31">
        <f>IFERROR(VLOOKUP($D110,bug_conf_sheet!$A:$H,8,FALSE),VLOOKUP("other",bug_conf_sheet!$A:$H,8,FALSE))</f>
        <v>1</v>
      </c>
    </row>
    <row r="111" spans="1:19" ht="21" customHeight="1">
      <c r="A111" s="2">
        <f>input_3!A$2</f>
        <v>3123</v>
      </c>
      <c r="B111" s="7" t="str">
        <f t="shared" si="4"/>
        <v>Premium3</v>
      </c>
      <c r="C111" s="7" t="str">
        <f t="shared" si="5"/>
        <v>Premium</v>
      </c>
      <c r="D111" s="5">
        <v>235</v>
      </c>
      <c r="E111" s="7" t="str">
        <f>VLOOKUP(D111,[1]characters!$A:$C,3,FALSE)</f>
        <v>イザナミ</v>
      </c>
      <c r="F111" s="7" t="str">
        <f>VLOOKUP(D111,[1]characters!$A:$J,10,FALSE)</f>
        <v>PremiumS</v>
      </c>
      <c r="G111" s="7">
        <f>VLOOKUP(D111,[1]characters!$A:$I,9,FALSE)</f>
        <v>3</v>
      </c>
      <c r="H111" s="7" t="str">
        <f>VLOOKUP(D111,[1]characters!$A:$H,8,FALSE)</f>
        <v>yellow</v>
      </c>
      <c r="I111" s="7" t="str">
        <f>VLOOKUP(D111,[1]characters!$A:$K,11,FALSE)</f>
        <v>attack</v>
      </c>
      <c r="J111" s="7" t="str">
        <f>VLOOKUP(D111,[1]characters!$A:$M,13,FALSE)</f>
        <v>god</v>
      </c>
      <c r="K111" s="7" t="str">
        <f>VLOOKUP(D111,[1]characters!$A:$G,7,FALSE)</f>
        <v>女性</v>
      </c>
      <c r="L111" s="66">
        <f>IFERROR(VLOOKUP(D111,input_3!L:R,7,FALSE),VLOOKUP(tables_3!B111,input_3!A:H,8,FALSE))</f>
        <v>0</v>
      </c>
      <c r="M111" s="67">
        <f t="shared" si="3"/>
        <v>0</v>
      </c>
      <c r="N111" s="31">
        <f>IFERROR(VLOOKUP($D111,bug_conf_sheet!$A:$H,3,FALSE),VLOOKUP("other",bug_conf_sheet!$A:$H,3,FALSE))</f>
        <v>1</v>
      </c>
      <c r="O111" s="31">
        <f>IFERROR(VLOOKUP($D111,bug_conf_sheet!$A:$H,4,FALSE),VLOOKUP("other",bug_conf_sheet!$A:$H,4,FALSE))</f>
        <v>0</v>
      </c>
      <c r="P111" s="31">
        <f>IFERROR(VLOOKUP($D111,bug_conf_sheet!$A:$H,5,FALSE),VLOOKUP("other",bug_conf_sheet!$A:$H,5,FALSE))</f>
        <v>0</v>
      </c>
      <c r="Q111" s="31">
        <f>IFERROR(VLOOKUP($D111,bug_conf_sheet!$A:$H,6,FALSE),VLOOKUP("other",bug_conf_sheet!$A:$H,6,FALSE))</f>
        <v>0</v>
      </c>
      <c r="R111" s="31">
        <f>IFERROR(VLOOKUP($D111,bug_conf_sheet!$A:$H,7,FALSE),VLOOKUP("other",bug_conf_sheet!$A:$H,7,FALSE))</f>
        <v>0</v>
      </c>
      <c r="S111" s="31">
        <f>IFERROR(VLOOKUP($D111,bug_conf_sheet!$A:$H,8,FALSE),VLOOKUP("other",bug_conf_sheet!$A:$H,8,FALSE))</f>
        <v>1</v>
      </c>
    </row>
    <row r="112" spans="1:19" ht="21" customHeight="1">
      <c r="A112" s="2">
        <f>input_3!A$2</f>
        <v>3123</v>
      </c>
      <c r="B112" s="7" t="str">
        <f t="shared" si="4"/>
        <v>Premium4</v>
      </c>
      <c r="C112" s="7" t="str">
        <f t="shared" si="5"/>
        <v>Premium</v>
      </c>
      <c r="D112" s="5">
        <v>236</v>
      </c>
      <c r="E112" s="7" t="str">
        <f>VLOOKUP(D112,[1]characters!$A:$C,3,FALSE)</f>
        <v>神産 イザナミ</v>
      </c>
      <c r="F112" s="7" t="str">
        <f>VLOOKUP(D112,[1]characters!$A:$J,10,FALSE)</f>
        <v>PremiumS</v>
      </c>
      <c r="G112" s="7">
        <f>VLOOKUP(D112,[1]characters!$A:$I,9,FALSE)</f>
        <v>4</v>
      </c>
      <c r="H112" s="7" t="str">
        <f>VLOOKUP(D112,[1]characters!$A:$H,8,FALSE)</f>
        <v>yellow</v>
      </c>
      <c r="I112" s="7" t="str">
        <f>VLOOKUP(D112,[1]characters!$A:$K,11,FALSE)</f>
        <v>attack</v>
      </c>
      <c r="J112" s="7" t="str">
        <f>VLOOKUP(D112,[1]characters!$A:$M,13,FALSE)</f>
        <v>god</v>
      </c>
      <c r="K112" s="7" t="str">
        <f>VLOOKUP(D112,[1]characters!$A:$G,7,FALSE)</f>
        <v>女性</v>
      </c>
      <c r="L112" s="66">
        <f>IFERROR(VLOOKUP(D112,input_3!L:R,7,FALSE),VLOOKUP(tables_3!B112,input_3!A:H,8,FALSE))</f>
        <v>0</v>
      </c>
      <c r="M112" s="67">
        <f t="shared" si="3"/>
        <v>0</v>
      </c>
      <c r="N112" s="31">
        <f>IFERROR(VLOOKUP($D112,bug_conf_sheet!$A:$H,3,FALSE),VLOOKUP("other",bug_conf_sheet!$A:$H,3,FALSE))</f>
        <v>1</v>
      </c>
      <c r="O112" s="31">
        <f>IFERROR(VLOOKUP($D112,bug_conf_sheet!$A:$H,4,FALSE),VLOOKUP("other",bug_conf_sheet!$A:$H,4,FALSE))</f>
        <v>0</v>
      </c>
      <c r="P112" s="31">
        <f>IFERROR(VLOOKUP($D112,bug_conf_sheet!$A:$H,5,FALSE),VLOOKUP("other",bug_conf_sheet!$A:$H,5,FALSE))</f>
        <v>0</v>
      </c>
      <c r="Q112" s="31">
        <f>IFERROR(VLOOKUP($D112,bug_conf_sheet!$A:$H,6,FALSE),VLOOKUP("other",bug_conf_sheet!$A:$H,6,FALSE))</f>
        <v>0</v>
      </c>
      <c r="R112" s="31">
        <f>IFERROR(VLOOKUP($D112,bug_conf_sheet!$A:$H,7,FALSE),VLOOKUP("other",bug_conf_sheet!$A:$H,7,FALSE))</f>
        <v>0</v>
      </c>
      <c r="S112" s="31">
        <f>IFERROR(VLOOKUP($D112,bug_conf_sheet!$A:$H,8,FALSE),VLOOKUP("other",bug_conf_sheet!$A:$H,8,FALSE))</f>
        <v>1</v>
      </c>
    </row>
    <row r="113" spans="1:19" ht="21" customHeight="1">
      <c r="A113" s="2">
        <f>input_3!A$2</f>
        <v>3123</v>
      </c>
      <c r="B113" s="7" t="str">
        <f t="shared" si="4"/>
        <v>Premium5</v>
      </c>
      <c r="C113" s="7" t="str">
        <f t="shared" si="5"/>
        <v>Premium</v>
      </c>
      <c r="D113" s="5">
        <v>237</v>
      </c>
      <c r="E113" s="7" t="str">
        <f>VLOOKUP(D113,[1]characters!$A:$C,3,FALSE)</f>
        <v>森羅万象の神母 イザナミ</v>
      </c>
      <c r="F113" s="7" t="str">
        <f>VLOOKUP(D113,[1]characters!$A:$J,10,FALSE)</f>
        <v>PremiumS</v>
      </c>
      <c r="G113" s="7">
        <f>VLOOKUP(D113,[1]characters!$A:$I,9,FALSE)</f>
        <v>5</v>
      </c>
      <c r="H113" s="7" t="str">
        <f>VLOOKUP(D113,[1]characters!$A:$H,8,FALSE)</f>
        <v>yellow</v>
      </c>
      <c r="I113" s="7" t="str">
        <f>VLOOKUP(D113,[1]characters!$A:$K,11,FALSE)</f>
        <v>attack</v>
      </c>
      <c r="J113" s="7" t="str">
        <f>VLOOKUP(D113,[1]characters!$A:$M,13,FALSE)</f>
        <v>god</v>
      </c>
      <c r="K113" s="7" t="str">
        <f>VLOOKUP(D113,[1]characters!$A:$G,7,FALSE)</f>
        <v>女性</v>
      </c>
      <c r="L113" s="66">
        <f>IFERROR(VLOOKUP(D113,input_3!L:R,7,FALSE),VLOOKUP(tables_3!B113,input_3!A:H,8,FALSE))</f>
        <v>637</v>
      </c>
      <c r="M113" s="67">
        <f t="shared" si="3"/>
        <v>1.8148148148148149E-2</v>
      </c>
      <c r="N113" s="31">
        <f>IFERROR(VLOOKUP($D113,bug_conf_sheet!$A:$H,3,FALSE),VLOOKUP("other",bug_conf_sheet!$A:$H,3,FALSE))</f>
        <v>1</v>
      </c>
      <c r="O113" s="31">
        <f>IFERROR(VLOOKUP($D113,bug_conf_sheet!$A:$H,4,FALSE),VLOOKUP("other",bug_conf_sheet!$A:$H,4,FALSE))</f>
        <v>0</v>
      </c>
      <c r="P113" s="31">
        <f>IFERROR(VLOOKUP($D113,bug_conf_sheet!$A:$H,5,FALSE),VLOOKUP("other",bug_conf_sheet!$A:$H,5,FALSE))</f>
        <v>0</v>
      </c>
      <c r="Q113" s="31">
        <f>IFERROR(VLOOKUP($D113,bug_conf_sheet!$A:$H,6,FALSE),VLOOKUP("other",bug_conf_sheet!$A:$H,6,FALSE))</f>
        <v>0</v>
      </c>
      <c r="R113" s="31">
        <f>IFERROR(VLOOKUP($D113,bug_conf_sheet!$A:$H,7,FALSE),VLOOKUP("other",bug_conf_sheet!$A:$H,7,FALSE))</f>
        <v>0</v>
      </c>
      <c r="S113" s="31">
        <f>IFERROR(VLOOKUP($D113,bug_conf_sheet!$A:$H,8,FALSE),VLOOKUP("other",bug_conf_sheet!$A:$H,8,FALSE))</f>
        <v>1</v>
      </c>
    </row>
    <row r="114" spans="1:19" ht="21" customHeight="1">
      <c r="A114" s="2">
        <f>input_3!A$2</f>
        <v>3123</v>
      </c>
      <c r="B114" s="7" t="str">
        <f t="shared" si="4"/>
        <v>Premium3</v>
      </c>
      <c r="C114" s="7" t="str">
        <f t="shared" si="5"/>
        <v>Premium</v>
      </c>
      <c r="D114" s="5">
        <v>238</v>
      </c>
      <c r="E114" s="7" t="str">
        <f>VLOOKUP(D114,[1]characters!$A:$C,3,FALSE)</f>
        <v>ウリエル</v>
      </c>
      <c r="F114" s="7" t="str">
        <f>VLOOKUP(D114,[1]characters!$A:$J,10,FALSE)</f>
        <v>PremiumS</v>
      </c>
      <c r="G114" s="7">
        <f>VLOOKUP(D114,[1]characters!$A:$I,9,FALSE)</f>
        <v>3</v>
      </c>
      <c r="H114" s="7" t="str">
        <f>VLOOKUP(D114,[1]characters!$A:$H,8,FALSE)</f>
        <v>red</v>
      </c>
      <c r="I114" s="7" t="str">
        <f>VLOOKUP(D114,[1]characters!$A:$K,11,FALSE)</f>
        <v>hp</v>
      </c>
      <c r="J114" s="7" t="str">
        <f>VLOOKUP(D114,[1]characters!$A:$M,13,FALSE)</f>
        <v>machine</v>
      </c>
      <c r="K114" s="7" t="str">
        <f>VLOOKUP(D114,[1]characters!$A:$G,7,FALSE)</f>
        <v>女性</v>
      </c>
      <c r="L114" s="66">
        <f>IFERROR(VLOOKUP(D114,input_3!L:R,7,FALSE),VLOOKUP(tables_3!B114,input_3!A:H,8,FALSE))</f>
        <v>0</v>
      </c>
      <c r="M114" s="67">
        <f t="shared" si="3"/>
        <v>0</v>
      </c>
      <c r="N114" s="31">
        <f>IFERROR(VLOOKUP($D114,bug_conf_sheet!$A:$H,3,FALSE),VLOOKUP("other",bug_conf_sheet!$A:$H,3,FALSE))</f>
        <v>1</v>
      </c>
      <c r="O114" s="31">
        <f>IFERROR(VLOOKUP($D114,bug_conf_sheet!$A:$H,4,FALSE),VLOOKUP("other",bug_conf_sheet!$A:$H,4,FALSE))</f>
        <v>0</v>
      </c>
      <c r="P114" s="31">
        <f>IFERROR(VLOOKUP($D114,bug_conf_sheet!$A:$H,5,FALSE),VLOOKUP("other",bug_conf_sheet!$A:$H,5,FALSE))</f>
        <v>0</v>
      </c>
      <c r="Q114" s="31">
        <f>IFERROR(VLOOKUP($D114,bug_conf_sheet!$A:$H,6,FALSE),VLOOKUP("other",bug_conf_sheet!$A:$H,6,FALSE))</f>
        <v>0</v>
      </c>
      <c r="R114" s="31">
        <f>IFERROR(VLOOKUP($D114,bug_conf_sheet!$A:$H,7,FALSE),VLOOKUP("other",bug_conf_sheet!$A:$H,7,FALSE))</f>
        <v>0</v>
      </c>
      <c r="S114" s="31">
        <f>IFERROR(VLOOKUP($D114,bug_conf_sheet!$A:$H,8,FALSE),VLOOKUP("other",bug_conf_sheet!$A:$H,8,FALSE))</f>
        <v>1</v>
      </c>
    </row>
    <row r="115" spans="1:19" ht="21" customHeight="1">
      <c r="A115" s="2">
        <f>input_3!A$2</f>
        <v>3123</v>
      </c>
      <c r="B115" s="7" t="str">
        <f t="shared" si="4"/>
        <v>Premium4</v>
      </c>
      <c r="C115" s="7" t="str">
        <f t="shared" si="5"/>
        <v>Premium</v>
      </c>
      <c r="D115" s="5">
        <v>239</v>
      </c>
      <c r="E115" s="7" t="str">
        <f>VLOOKUP(D115,[1]characters!$A:$C,3,FALSE)</f>
        <v>豪炎の天使 ウリエル</v>
      </c>
      <c r="F115" s="7" t="str">
        <f>VLOOKUP(D115,[1]characters!$A:$J,10,FALSE)</f>
        <v>PremiumS</v>
      </c>
      <c r="G115" s="7">
        <f>VLOOKUP(D115,[1]characters!$A:$I,9,FALSE)</f>
        <v>4</v>
      </c>
      <c r="H115" s="7" t="str">
        <f>VLOOKUP(D115,[1]characters!$A:$H,8,FALSE)</f>
        <v>red</v>
      </c>
      <c r="I115" s="7" t="str">
        <f>VLOOKUP(D115,[1]characters!$A:$K,11,FALSE)</f>
        <v>hp</v>
      </c>
      <c r="J115" s="7" t="str">
        <f>VLOOKUP(D115,[1]characters!$A:$M,13,FALSE)</f>
        <v>machine</v>
      </c>
      <c r="K115" s="7" t="str">
        <f>VLOOKUP(D115,[1]characters!$A:$G,7,FALSE)</f>
        <v>女性</v>
      </c>
      <c r="L115" s="66">
        <f>IFERROR(VLOOKUP(D115,input_3!L:R,7,FALSE),VLOOKUP(tables_3!B115,input_3!A:H,8,FALSE))</f>
        <v>0</v>
      </c>
      <c r="M115" s="67">
        <f t="shared" si="3"/>
        <v>0</v>
      </c>
      <c r="N115" s="31">
        <f>IFERROR(VLOOKUP($D115,bug_conf_sheet!$A:$H,3,FALSE),VLOOKUP("other",bug_conf_sheet!$A:$H,3,FALSE))</f>
        <v>1</v>
      </c>
      <c r="O115" s="31">
        <f>IFERROR(VLOOKUP($D115,bug_conf_sheet!$A:$H,4,FALSE),VLOOKUP("other",bug_conf_sheet!$A:$H,4,FALSE))</f>
        <v>0</v>
      </c>
      <c r="P115" s="31">
        <f>IFERROR(VLOOKUP($D115,bug_conf_sheet!$A:$H,5,FALSE),VLOOKUP("other",bug_conf_sheet!$A:$H,5,FALSE))</f>
        <v>0</v>
      </c>
      <c r="Q115" s="31">
        <f>IFERROR(VLOOKUP($D115,bug_conf_sheet!$A:$H,6,FALSE),VLOOKUP("other",bug_conf_sheet!$A:$H,6,FALSE))</f>
        <v>0</v>
      </c>
      <c r="R115" s="31">
        <f>IFERROR(VLOOKUP($D115,bug_conf_sheet!$A:$H,7,FALSE),VLOOKUP("other",bug_conf_sheet!$A:$H,7,FALSE))</f>
        <v>0</v>
      </c>
      <c r="S115" s="31">
        <f>IFERROR(VLOOKUP($D115,bug_conf_sheet!$A:$H,8,FALSE),VLOOKUP("other",bug_conf_sheet!$A:$H,8,FALSE))</f>
        <v>1</v>
      </c>
    </row>
    <row r="116" spans="1:19" ht="21" customHeight="1">
      <c r="A116" s="2">
        <f>input_3!A$2</f>
        <v>3123</v>
      </c>
      <c r="B116" s="7" t="str">
        <f t="shared" si="4"/>
        <v>Premium5</v>
      </c>
      <c r="C116" s="7" t="str">
        <f t="shared" si="5"/>
        <v>Premium</v>
      </c>
      <c r="D116" s="5">
        <v>240</v>
      </c>
      <c r="E116" s="7" t="str">
        <f>VLOOKUP(D116,[1]characters!$A:$C,3,FALSE)</f>
        <v>轟炎の天使 ウリエル・スレイヤー</v>
      </c>
      <c r="F116" s="7" t="str">
        <f>VLOOKUP(D116,[1]characters!$A:$J,10,FALSE)</f>
        <v>PremiumS</v>
      </c>
      <c r="G116" s="7">
        <f>VLOOKUP(D116,[1]characters!$A:$I,9,FALSE)</f>
        <v>5</v>
      </c>
      <c r="H116" s="7" t="str">
        <f>VLOOKUP(D116,[1]characters!$A:$H,8,FALSE)</f>
        <v>red</v>
      </c>
      <c r="I116" s="7" t="str">
        <f>VLOOKUP(D116,[1]characters!$A:$K,11,FALSE)</f>
        <v>hp</v>
      </c>
      <c r="J116" s="7" t="str">
        <f>VLOOKUP(D116,[1]characters!$A:$M,13,FALSE)</f>
        <v>machine</v>
      </c>
      <c r="K116" s="7" t="str">
        <f>VLOOKUP(D116,[1]characters!$A:$G,7,FALSE)</f>
        <v>女性</v>
      </c>
      <c r="L116" s="66">
        <f>IFERROR(VLOOKUP(D116,input_3!L:R,7,FALSE),VLOOKUP(tables_3!B116,input_3!A:H,8,FALSE))</f>
        <v>637</v>
      </c>
      <c r="M116" s="67">
        <f t="shared" si="3"/>
        <v>1.8148148148148149E-2</v>
      </c>
      <c r="N116" s="31">
        <f>IFERROR(VLOOKUP($D116,bug_conf_sheet!$A:$H,3,FALSE),VLOOKUP("other",bug_conf_sheet!$A:$H,3,FALSE))</f>
        <v>1</v>
      </c>
      <c r="O116" s="31">
        <f>IFERROR(VLOOKUP($D116,bug_conf_sheet!$A:$H,4,FALSE),VLOOKUP("other",bug_conf_sheet!$A:$H,4,FALSE))</f>
        <v>0</v>
      </c>
      <c r="P116" s="31">
        <f>IFERROR(VLOOKUP($D116,bug_conf_sheet!$A:$H,5,FALSE),VLOOKUP("other",bug_conf_sheet!$A:$H,5,FALSE))</f>
        <v>0</v>
      </c>
      <c r="Q116" s="31">
        <f>IFERROR(VLOOKUP($D116,bug_conf_sheet!$A:$H,6,FALSE),VLOOKUP("other",bug_conf_sheet!$A:$H,6,FALSE))</f>
        <v>0</v>
      </c>
      <c r="R116" s="31">
        <f>IFERROR(VLOOKUP($D116,bug_conf_sheet!$A:$H,7,FALSE),VLOOKUP("other",bug_conf_sheet!$A:$H,7,FALSE))</f>
        <v>0</v>
      </c>
      <c r="S116" s="31">
        <f>IFERROR(VLOOKUP($D116,bug_conf_sheet!$A:$H,8,FALSE),VLOOKUP("other",bug_conf_sheet!$A:$H,8,FALSE))</f>
        <v>1</v>
      </c>
    </row>
    <row r="117" spans="1:19" ht="21" customHeight="1">
      <c r="A117" s="2">
        <f>input_3!A$2</f>
        <v>3123</v>
      </c>
      <c r="B117" s="7" t="str">
        <f t="shared" si="4"/>
        <v>Premium3</v>
      </c>
      <c r="C117" s="7" t="str">
        <f t="shared" si="5"/>
        <v>Premium</v>
      </c>
      <c r="D117" s="5">
        <v>241</v>
      </c>
      <c r="E117" s="7" t="str">
        <f>VLOOKUP(D117,[1]characters!$A:$C,3,FALSE)</f>
        <v>ガブリエル</v>
      </c>
      <c r="F117" s="7" t="str">
        <f>VLOOKUP(D117,[1]characters!$A:$J,10,FALSE)</f>
        <v>PremiumS</v>
      </c>
      <c r="G117" s="7">
        <f>VLOOKUP(D117,[1]characters!$A:$I,9,FALSE)</f>
        <v>3</v>
      </c>
      <c r="H117" s="7" t="str">
        <f>VLOOKUP(D117,[1]characters!$A:$H,8,FALSE)</f>
        <v>green</v>
      </c>
      <c r="I117" s="7" t="str">
        <f>VLOOKUP(D117,[1]characters!$A:$K,11,FALSE)</f>
        <v>balance</v>
      </c>
      <c r="J117" s="7" t="str">
        <f>VLOOKUP(D117,[1]characters!$A:$M,13,FALSE)</f>
        <v>machine</v>
      </c>
      <c r="K117" s="7" t="str">
        <f>VLOOKUP(D117,[1]characters!$A:$G,7,FALSE)</f>
        <v>女性</v>
      </c>
      <c r="L117" s="66">
        <f>IFERROR(VLOOKUP(D117,input_3!L:R,7,FALSE),VLOOKUP(tables_3!B117,input_3!A:H,8,FALSE))</f>
        <v>0</v>
      </c>
      <c r="M117" s="67">
        <f t="shared" si="3"/>
        <v>0</v>
      </c>
      <c r="N117" s="31">
        <f>IFERROR(VLOOKUP($D117,bug_conf_sheet!$A:$H,3,FALSE),VLOOKUP("other",bug_conf_sheet!$A:$H,3,FALSE))</f>
        <v>1</v>
      </c>
      <c r="O117" s="31">
        <f>IFERROR(VLOOKUP($D117,bug_conf_sheet!$A:$H,4,FALSE),VLOOKUP("other",bug_conf_sheet!$A:$H,4,FALSE))</f>
        <v>0</v>
      </c>
      <c r="P117" s="31">
        <f>IFERROR(VLOOKUP($D117,bug_conf_sheet!$A:$H,5,FALSE),VLOOKUP("other",bug_conf_sheet!$A:$H,5,FALSE))</f>
        <v>0</v>
      </c>
      <c r="Q117" s="31">
        <f>IFERROR(VLOOKUP($D117,bug_conf_sheet!$A:$H,6,FALSE),VLOOKUP("other",bug_conf_sheet!$A:$H,6,FALSE))</f>
        <v>0</v>
      </c>
      <c r="R117" s="31">
        <f>IFERROR(VLOOKUP($D117,bug_conf_sheet!$A:$H,7,FALSE),VLOOKUP("other",bug_conf_sheet!$A:$H,7,FALSE))</f>
        <v>0</v>
      </c>
      <c r="S117" s="31">
        <f>IFERROR(VLOOKUP($D117,bug_conf_sheet!$A:$H,8,FALSE),VLOOKUP("other",bug_conf_sheet!$A:$H,8,FALSE))</f>
        <v>1</v>
      </c>
    </row>
    <row r="118" spans="1:19" ht="21" customHeight="1">
      <c r="A118" s="2">
        <f>input_3!A$2</f>
        <v>3123</v>
      </c>
      <c r="B118" s="7" t="str">
        <f t="shared" si="4"/>
        <v>Premium4</v>
      </c>
      <c r="C118" s="7" t="str">
        <f t="shared" si="5"/>
        <v>Premium</v>
      </c>
      <c r="D118" s="5">
        <v>242</v>
      </c>
      <c r="E118" s="7" t="str">
        <f>VLOOKUP(D118,[1]characters!$A:$C,3,FALSE)</f>
        <v>百花の天使 ガブリエル</v>
      </c>
      <c r="F118" s="7" t="str">
        <f>VLOOKUP(D118,[1]characters!$A:$J,10,FALSE)</f>
        <v>PremiumS</v>
      </c>
      <c r="G118" s="7">
        <f>VLOOKUP(D118,[1]characters!$A:$I,9,FALSE)</f>
        <v>4</v>
      </c>
      <c r="H118" s="7" t="str">
        <f>VLOOKUP(D118,[1]characters!$A:$H,8,FALSE)</f>
        <v>green</v>
      </c>
      <c r="I118" s="7" t="str">
        <f>VLOOKUP(D118,[1]characters!$A:$K,11,FALSE)</f>
        <v>balance</v>
      </c>
      <c r="J118" s="7" t="str">
        <f>VLOOKUP(D118,[1]characters!$A:$M,13,FALSE)</f>
        <v>machine</v>
      </c>
      <c r="K118" s="7" t="str">
        <f>VLOOKUP(D118,[1]characters!$A:$G,7,FALSE)</f>
        <v>女性</v>
      </c>
      <c r="L118" s="66">
        <f>IFERROR(VLOOKUP(D118,input_3!L:R,7,FALSE),VLOOKUP(tables_3!B118,input_3!A:H,8,FALSE))</f>
        <v>0</v>
      </c>
      <c r="M118" s="67">
        <f t="shared" si="3"/>
        <v>0</v>
      </c>
      <c r="N118" s="31">
        <f>IFERROR(VLOOKUP($D118,bug_conf_sheet!$A:$H,3,FALSE),VLOOKUP("other",bug_conf_sheet!$A:$H,3,FALSE))</f>
        <v>1</v>
      </c>
      <c r="O118" s="31">
        <f>IFERROR(VLOOKUP($D118,bug_conf_sheet!$A:$H,4,FALSE),VLOOKUP("other",bug_conf_sheet!$A:$H,4,FALSE))</f>
        <v>0</v>
      </c>
      <c r="P118" s="31">
        <f>IFERROR(VLOOKUP($D118,bug_conf_sheet!$A:$H,5,FALSE),VLOOKUP("other",bug_conf_sheet!$A:$H,5,FALSE))</f>
        <v>0</v>
      </c>
      <c r="Q118" s="31">
        <f>IFERROR(VLOOKUP($D118,bug_conf_sheet!$A:$H,6,FALSE),VLOOKUP("other",bug_conf_sheet!$A:$H,6,FALSE))</f>
        <v>0</v>
      </c>
      <c r="R118" s="31">
        <f>IFERROR(VLOOKUP($D118,bug_conf_sheet!$A:$H,7,FALSE),VLOOKUP("other",bug_conf_sheet!$A:$H,7,FALSE))</f>
        <v>0</v>
      </c>
      <c r="S118" s="31">
        <f>IFERROR(VLOOKUP($D118,bug_conf_sheet!$A:$H,8,FALSE),VLOOKUP("other",bug_conf_sheet!$A:$H,8,FALSE))</f>
        <v>1</v>
      </c>
    </row>
    <row r="119" spans="1:19" ht="21" customHeight="1">
      <c r="A119" s="2">
        <f>input_3!A$2</f>
        <v>3123</v>
      </c>
      <c r="B119" s="7" t="str">
        <f t="shared" si="4"/>
        <v>Premium5</v>
      </c>
      <c r="C119" s="7" t="str">
        <f t="shared" si="5"/>
        <v>Premium</v>
      </c>
      <c r="D119" s="5">
        <v>243</v>
      </c>
      <c r="E119" s="7" t="str">
        <f>VLOOKUP(D119,[1]characters!$A:$C,3,FALSE)</f>
        <v>万花の天使 ガブリエル・ブルーム</v>
      </c>
      <c r="F119" s="7" t="str">
        <f>VLOOKUP(D119,[1]characters!$A:$J,10,FALSE)</f>
        <v>PremiumS</v>
      </c>
      <c r="G119" s="7">
        <f>VLOOKUP(D119,[1]characters!$A:$I,9,FALSE)</f>
        <v>5</v>
      </c>
      <c r="H119" s="7" t="str">
        <f>VLOOKUP(D119,[1]characters!$A:$H,8,FALSE)</f>
        <v>green</v>
      </c>
      <c r="I119" s="7" t="str">
        <f>VLOOKUP(D119,[1]characters!$A:$K,11,FALSE)</f>
        <v>balance</v>
      </c>
      <c r="J119" s="7" t="str">
        <f>VLOOKUP(D119,[1]characters!$A:$M,13,FALSE)</f>
        <v>machine</v>
      </c>
      <c r="K119" s="7" t="str">
        <f>VLOOKUP(D119,[1]characters!$A:$G,7,FALSE)</f>
        <v>女性</v>
      </c>
      <c r="L119" s="66">
        <f>IFERROR(VLOOKUP(D119,input_3!L:R,7,FALSE),VLOOKUP(tables_3!B119,input_3!A:H,8,FALSE))</f>
        <v>637</v>
      </c>
      <c r="M119" s="67">
        <f t="shared" si="3"/>
        <v>1.8148148148148149E-2</v>
      </c>
      <c r="N119" s="31">
        <f>IFERROR(VLOOKUP($D119,bug_conf_sheet!$A:$H,3,FALSE),VLOOKUP("other",bug_conf_sheet!$A:$H,3,FALSE))</f>
        <v>1</v>
      </c>
      <c r="O119" s="31">
        <f>IFERROR(VLOOKUP($D119,bug_conf_sheet!$A:$H,4,FALSE),VLOOKUP("other",bug_conf_sheet!$A:$H,4,FALSE))</f>
        <v>0</v>
      </c>
      <c r="P119" s="31">
        <f>IFERROR(VLOOKUP($D119,bug_conf_sheet!$A:$H,5,FALSE),VLOOKUP("other",bug_conf_sheet!$A:$H,5,FALSE))</f>
        <v>0</v>
      </c>
      <c r="Q119" s="31">
        <f>IFERROR(VLOOKUP($D119,bug_conf_sheet!$A:$H,6,FALSE),VLOOKUP("other",bug_conf_sheet!$A:$H,6,FALSE))</f>
        <v>0</v>
      </c>
      <c r="R119" s="31">
        <f>IFERROR(VLOOKUP($D119,bug_conf_sheet!$A:$H,7,FALSE),VLOOKUP("other",bug_conf_sheet!$A:$H,7,FALSE))</f>
        <v>0</v>
      </c>
      <c r="S119" s="31">
        <f>IFERROR(VLOOKUP($D119,bug_conf_sheet!$A:$H,8,FALSE),VLOOKUP("other",bug_conf_sheet!$A:$H,8,FALSE))</f>
        <v>1</v>
      </c>
    </row>
    <row r="120" spans="1:19" ht="21" customHeight="1">
      <c r="A120" s="2">
        <f>input_3!A$2</f>
        <v>3123</v>
      </c>
      <c r="B120" s="7" t="str">
        <f t="shared" si="4"/>
        <v>Premium3</v>
      </c>
      <c r="C120" s="7" t="str">
        <f t="shared" si="5"/>
        <v>Premium</v>
      </c>
      <c r="D120" s="5">
        <v>244</v>
      </c>
      <c r="E120" s="7" t="str">
        <f>VLOOKUP(D120,[1]characters!$A:$C,3,FALSE)</f>
        <v>ラファエル</v>
      </c>
      <c r="F120" s="7" t="str">
        <f>VLOOKUP(D120,[1]characters!$A:$J,10,FALSE)</f>
        <v>PremiumS</v>
      </c>
      <c r="G120" s="7">
        <f>VLOOKUP(D120,[1]characters!$A:$I,9,FALSE)</f>
        <v>3</v>
      </c>
      <c r="H120" s="7" t="str">
        <f>VLOOKUP(D120,[1]characters!$A:$H,8,FALSE)</f>
        <v>blue</v>
      </c>
      <c r="I120" s="7" t="str">
        <f>VLOOKUP(D120,[1]characters!$A:$K,11,FALSE)</f>
        <v>balance</v>
      </c>
      <c r="J120" s="7" t="str">
        <f>VLOOKUP(D120,[1]characters!$A:$M,13,FALSE)</f>
        <v>machine</v>
      </c>
      <c r="K120" s="7" t="str">
        <f>VLOOKUP(D120,[1]characters!$A:$G,7,FALSE)</f>
        <v>女性</v>
      </c>
      <c r="L120" s="66">
        <f>IFERROR(VLOOKUP(D120,input_3!L:R,7,FALSE),VLOOKUP(tables_3!B120,input_3!A:H,8,FALSE))</f>
        <v>0</v>
      </c>
      <c r="M120" s="67">
        <f t="shared" si="3"/>
        <v>0</v>
      </c>
      <c r="N120" s="31">
        <f>IFERROR(VLOOKUP($D120,bug_conf_sheet!$A:$H,3,FALSE),VLOOKUP("other",bug_conf_sheet!$A:$H,3,FALSE))</f>
        <v>1</v>
      </c>
      <c r="O120" s="31">
        <f>IFERROR(VLOOKUP($D120,bug_conf_sheet!$A:$H,4,FALSE),VLOOKUP("other",bug_conf_sheet!$A:$H,4,FALSE))</f>
        <v>0</v>
      </c>
      <c r="P120" s="31">
        <f>IFERROR(VLOOKUP($D120,bug_conf_sheet!$A:$H,5,FALSE),VLOOKUP("other",bug_conf_sheet!$A:$H,5,FALSE))</f>
        <v>0</v>
      </c>
      <c r="Q120" s="31">
        <f>IFERROR(VLOOKUP($D120,bug_conf_sheet!$A:$H,6,FALSE),VLOOKUP("other",bug_conf_sheet!$A:$H,6,FALSE))</f>
        <v>0</v>
      </c>
      <c r="R120" s="31">
        <f>IFERROR(VLOOKUP($D120,bug_conf_sheet!$A:$H,7,FALSE),VLOOKUP("other",bug_conf_sheet!$A:$H,7,FALSE))</f>
        <v>0</v>
      </c>
      <c r="S120" s="31">
        <f>IFERROR(VLOOKUP($D120,bug_conf_sheet!$A:$H,8,FALSE),VLOOKUP("other",bug_conf_sheet!$A:$H,8,FALSE))</f>
        <v>1</v>
      </c>
    </row>
    <row r="121" spans="1:19" ht="21" customHeight="1">
      <c r="A121" s="2">
        <f>input_3!A$2</f>
        <v>3123</v>
      </c>
      <c r="B121" s="7" t="str">
        <f t="shared" si="4"/>
        <v>Premium4</v>
      </c>
      <c r="C121" s="7" t="str">
        <f t="shared" si="5"/>
        <v>Premium</v>
      </c>
      <c r="D121" s="5">
        <v>245</v>
      </c>
      <c r="E121" s="7" t="str">
        <f>VLOOKUP(D121,[1]characters!$A:$C,3,FALSE)</f>
        <v>鎮癒の天使 ラファエル</v>
      </c>
      <c r="F121" s="7" t="str">
        <f>VLOOKUP(D121,[1]characters!$A:$J,10,FALSE)</f>
        <v>PremiumS</v>
      </c>
      <c r="G121" s="7">
        <f>VLOOKUP(D121,[1]characters!$A:$I,9,FALSE)</f>
        <v>4</v>
      </c>
      <c r="H121" s="7" t="str">
        <f>VLOOKUP(D121,[1]characters!$A:$H,8,FALSE)</f>
        <v>blue</v>
      </c>
      <c r="I121" s="7" t="str">
        <f>VLOOKUP(D121,[1]characters!$A:$K,11,FALSE)</f>
        <v>balance</v>
      </c>
      <c r="J121" s="7" t="str">
        <f>VLOOKUP(D121,[1]characters!$A:$M,13,FALSE)</f>
        <v>machine</v>
      </c>
      <c r="K121" s="7" t="str">
        <f>VLOOKUP(D121,[1]characters!$A:$G,7,FALSE)</f>
        <v>女性</v>
      </c>
      <c r="L121" s="66">
        <f>IFERROR(VLOOKUP(D121,input_3!L:R,7,FALSE),VLOOKUP(tables_3!B121,input_3!A:H,8,FALSE))</f>
        <v>0</v>
      </c>
      <c r="M121" s="67">
        <f t="shared" si="3"/>
        <v>0</v>
      </c>
      <c r="N121" s="31">
        <f>IFERROR(VLOOKUP($D121,bug_conf_sheet!$A:$H,3,FALSE),VLOOKUP("other",bug_conf_sheet!$A:$H,3,FALSE))</f>
        <v>1</v>
      </c>
      <c r="O121" s="31">
        <f>IFERROR(VLOOKUP($D121,bug_conf_sheet!$A:$H,4,FALSE),VLOOKUP("other",bug_conf_sheet!$A:$H,4,FALSE))</f>
        <v>0</v>
      </c>
      <c r="P121" s="31">
        <f>IFERROR(VLOOKUP($D121,bug_conf_sheet!$A:$H,5,FALSE),VLOOKUP("other",bug_conf_sheet!$A:$H,5,FALSE))</f>
        <v>0</v>
      </c>
      <c r="Q121" s="31">
        <f>IFERROR(VLOOKUP($D121,bug_conf_sheet!$A:$H,6,FALSE),VLOOKUP("other",bug_conf_sheet!$A:$H,6,FALSE))</f>
        <v>0</v>
      </c>
      <c r="R121" s="31">
        <f>IFERROR(VLOOKUP($D121,bug_conf_sheet!$A:$H,7,FALSE),VLOOKUP("other",bug_conf_sheet!$A:$H,7,FALSE))</f>
        <v>0</v>
      </c>
      <c r="S121" s="31">
        <f>IFERROR(VLOOKUP($D121,bug_conf_sheet!$A:$H,8,FALSE),VLOOKUP("other",bug_conf_sheet!$A:$H,8,FALSE))</f>
        <v>1</v>
      </c>
    </row>
    <row r="122" spans="1:19" ht="21" customHeight="1">
      <c r="A122" s="2">
        <f>input_3!A$2</f>
        <v>3123</v>
      </c>
      <c r="B122" s="7" t="str">
        <f t="shared" si="4"/>
        <v>Premium5</v>
      </c>
      <c r="C122" s="7" t="str">
        <f t="shared" si="5"/>
        <v>Premium</v>
      </c>
      <c r="D122" s="5">
        <v>246</v>
      </c>
      <c r="E122" s="7" t="str">
        <f>VLOOKUP(D122,[1]characters!$A:$C,3,FALSE)</f>
        <v>真癒の天使 ラファエル・メディカ</v>
      </c>
      <c r="F122" s="7" t="str">
        <f>VLOOKUP(D122,[1]characters!$A:$J,10,FALSE)</f>
        <v>PremiumS</v>
      </c>
      <c r="G122" s="7">
        <f>VLOOKUP(D122,[1]characters!$A:$I,9,FALSE)</f>
        <v>5</v>
      </c>
      <c r="H122" s="7" t="str">
        <f>VLOOKUP(D122,[1]characters!$A:$H,8,FALSE)</f>
        <v>blue</v>
      </c>
      <c r="I122" s="7" t="str">
        <f>VLOOKUP(D122,[1]characters!$A:$K,11,FALSE)</f>
        <v>balance</v>
      </c>
      <c r="J122" s="7" t="str">
        <f>VLOOKUP(D122,[1]characters!$A:$M,13,FALSE)</f>
        <v>machine</v>
      </c>
      <c r="K122" s="7" t="str">
        <f>VLOOKUP(D122,[1]characters!$A:$G,7,FALSE)</f>
        <v>女性</v>
      </c>
      <c r="L122" s="66">
        <f>IFERROR(VLOOKUP(D122,input_3!L:R,7,FALSE),VLOOKUP(tables_3!B122,input_3!A:H,8,FALSE))</f>
        <v>637</v>
      </c>
      <c r="M122" s="67">
        <f t="shared" si="3"/>
        <v>1.8148148148148149E-2</v>
      </c>
      <c r="N122" s="31">
        <f>IFERROR(VLOOKUP($D122,bug_conf_sheet!$A:$H,3,FALSE),VLOOKUP("other",bug_conf_sheet!$A:$H,3,FALSE))</f>
        <v>1</v>
      </c>
      <c r="O122" s="31">
        <f>IFERROR(VLOOKUP($D122,bug_conf_sheet!$A:$H,4,FALSE),VLOOKUP("other",bug_conf_sheet!$A:$H,4,FALSE))</f>
        <v>0</v>
      </c>
      <c r="P122" s="31">
        <f>IFERROR(VLOOKUP($D122,bug_conf_sheet!$A:$H,5,FALSE),VLOOKUP("other",bug_conf_sheet!$A:$H,5,FALSE))</f>
        <v>0</v>
      </c>
      <c r="Q122" s="31">
        <f>IFERROR(VLOOKUP($D122,bug_conf_sheet!$A:$H,6,FALSE),VLOOKUP("other",bug_conf_sheet!$A:$H,6,FALSE))</f>
        <v>0</v>
      </c>
      <c r="R122" s="31">
        <f>IFERROR(VLOOKUP($D122,bug_conf_sheet!$A:$H,7,FALSE),VLOOKUP("other",bug_conf_sheet!$A:$H,7,FALSE))</f>
        <v>0</v>
      </c>
      <c r="S122" s="31">
        <f>IFERROR(VLOOKUP($D122,bug_conf_sheet!$A:$H,8,FALSE),VLOOKUP("other",bug_conf_sheet!$A:$H,8,FALSE))</f>
        <v>1</v>
      </c>
    </row>
    <row r="123" spans="1:19" ht="21" customHeight="1">
      <c r="A123" s="2">
        <f>input_3!A$2</f>
        <v>3123</v>
      </c>
      <c r="B123" s="7" t="str">
        <f t="shared" si="4"/>
        <v>Premium3</v>
      </c>
      <c r="C123" s="7" t="str">
        <f t="shared" si="5"/>
        <v>Premium</v>
      </c>
      <c r="D123" s="5">
        <v>247</v>
      </c>
      <c r="E123" s="7" t="str">
        <f>VLOOKUP(D123,[1]characters!$A:$C,3,FALSE)</f>
        <v>ミカエル</v>
      </c>
      <c r="F123" s="7" t="str">
        <f>VLOOKUP(D123,[1]characters!$A:$J,10,FALSE)</f>
        <v>PremiumS</v>
      </c>
      <c r="G123" s="7">
        <f>VLOOKUP(D123,[1]characters!$A:$I,9,FALSE)</f>
        <v>3</v>
      </c>
      <c r="H123" s="7" t="str">
        <f>VLOOKUP(D123,[1]characters!$A:$H,8,FALSE)</f>
        <v>yellow</v>
      </c>
      <c r="I123" s="7" t="str">
        <f>VLOOKUP(D123,[1]characters!$A:$K,11,FALSE)</f>
        <v>attack</v>
      </c>
      <c r="J123" s="7" t="str">
        <f>VLOOKUP(D123,[1]characters!$A:$M,13,FALSE)</f>
        <v>machine</v>
      </c>
      <c r="K123" s="7" t="str">
        <f>VLOOKUP(D123,[1]characters!$A:$G,7,FALSE)</f>
        <v>女性</v>
      </c>
      <c r="L123" s="66">
        <f>IFERROR(VLOOKUP(D123,input_3!L:R,7,FALSE),VLOOKUP(tables_3!B123,input_3!A:H,8,FALSE))</f>
        <v>0</v>
      </c>
      <c r="M123" s="67">
        <f t="shared" si="3"/>
        <v>0</v>
      </c>
      <c r="N123" s="31">
        <f>IFERROR(VLOOKUP($D123,bug_conf_sheet!$A:$H,3,FALSE),VLOOKUP("other",bug_conf_sheet!$A:$H,3,FALSE))</f>
        <v>1</v>
      </c>
      <c r="O123" s="31">
        <f>IFERROR(VLOOKUP($D123,bug_conf_sheet!$A:$H,4,FALSE),VLOOKUP("other",bug_conf_sheet!$A:$H,4,FALSE))</f>
        <v>0</v>
      </c>
      <c r="P123" s="31">
        <f>IFERROR(VLOOKUP($D123,bug_conf_sheet!$A:$H,5,FALSE),VLOOKUP("other",bug_conf_sheet!$A:$H,5,FALSE))</f>
        <v>0</v>
      </c>
      <c r="Q123" s="31">
        <f>IFERROR(VLOOKUP($D123,bug_conf_sheet!$A:$H,6,FALSE),VLOOKUP("other",bug_conf_sheet!$A:$H,6,FALSE))</f>
        <v>0</v>
      </c>
      <c r="R123" s="31">
        <f>IFERROR(VLOOKUP($D123,bug_conf_sheet!$A:$H,7,FALSE),VLOOKUP("other",bug_conf_sheet!$A:$H,7,FALSE))</f>
        <v>0</v>
      </c>
      <c r="S123" s="31">
        <f>IFERROR(VLOOKUP($D123,bug_conf_sheet!$A:$H,8,FALSE),VLOOKUP("other",bug_conf_sheet!$A:$H,8,FALSE))</f>
        <v>1</v>
      </c>
    </row>
    <row r="124" spans="1:19" ht="21" customHeight="1">
      <c r="A124" s="2">
        <f>input_3!A$2</f>
        <v>3123</v>
      </c>
      <c r="B124" s="7" t="str">
        <f t="shared" si="4"/>
        <v>Premium4</v>
      </c>
      <c r="C124" s="7" t="str">
        <f t="shared" si="5"/>
        <v>Premium</v>
      </c>
      <c r="D124" s="5">
        <v>248</v>
      </c>
      <c r="E124" s="7" t="str">
        <f>VLOOKUP(D124,[1]characters!$A:$C,3,FALSE)</f>
        <v>彩電の天使 ミカエル</v>
      </c>
      <c r="F124" s="7" t="str">
        <f>VLOOKUP(D124,[1]characters!$A:$J,10,FALSE)</f>
        <v>PremiumS</v>
      </c>
      <c r="G124" s="7">
        <f>VLOOKUP(D124,[1]characters!$A:$I,9,FALSE)</f>
        <v>4</v>
      </c>
      <c r="H124" s="7" t="str">
        <f>VLOOKUP(D124,[1]characters!$A:$H,8,FALSE)</f>
        <v>yellow</v>
      </c>
      <c r="I124" s="7" t="str">
        <f>VLOOKUP(D124,[1]characters!$A:$K,11,FALSE)</f>
        <v>attack</v>
      </c>
      <c r="J124" s="7" t="str">
        <f>VLOOKUP(D124,[1]characters!$A:$M,13,FALSE)</f>
        <v>machine</v>
      </c>
      <c r="K124" s="7" t="str">
        <f>VLOOKUP(D124,[1]characters!$A:$G,7,FALSE)</f>
        <v>女性</v>
      </c>
      <c r="L124" s="66">
        <f>IFERROR(VLOOKUP(D124,input_3!L:R,7,FALSE),VLOOKUP(tables_3!B124,input_3!A:H,8,FALSE))</f>
        <v>0</v>
      </c>
      <c r="M124" s="67">
        <f t="shared" si="3"/>
        <v>0</v>
      </c>
      <c r="N124" s="31">
        <f>IFERROR(VLOOKUP($D124,bug_conf_sheet!$A:$H,3,FALSE),VLOOKUP("other",bug_conf_sheet!$A:$H,3,FALSE))</f>
        <v>1</v>
      </c>
      <c r="O124" s="31">
        <f>IFERROR(VLOOKUP($D124,bug_conf_sheet!$A:$H,4,FALSE),VLOOKUP("other",bug_conf_sheet!$A:$H,4,FALSE))</f>
        <v>0</v>
      </c>
      <c r="P124" s="31">
        <f>IFERROR(VLOOKUP($D124,bug_conf_sheet!$A:$H,5,FALSE),VLOOKUP("other",bug_conf_sheet!$A:$H,5,FALSE))</f>
        <v>0</v>
      </c>
      <c r="Q124" s="31">
        <f>IFERROR(VLOOKUP($D124,bug_conf_sheet!$A:$H,6,FALSE),VLOOKUP("other",bug_conf_sheet!$A:$H,6,FALSE))</f>
        <v>0</v>
      </c>
      <c r="R124" s="31">
        <f>IFERROR(VLOOKUP($D124,bug_conf_sheet!$A:$H,7,FALSE),VLOOKUP("other",bug_conf_sheet!$A:$H,7,FALSE))</f>
        <v>0</v>
      </c>
      <c r="S124" s="31">
        <f>IFERROR(VLOOKUP($D124,bug_conf_sheet!$A:$H,8,FALSE),VLOOKUP("other",bug_conf_sheet!$A:$H,8,FALSE))</f>
        <v>1</v>
      </c>
    </row>
    <row r="125" spans="1:19" ht="21" customHeight="1">
      <c r="A125" s="2">
        <f>input_3!A$2</f>
        <v>3123</v>
      </c>
      <c r="B125" s="7" t="str">
        <f t="shared" si="4"/>
        <v>Premium5</v>
      </c>
      <c r="C125" s="7" t="str">
        <f t="shared" si="5"/>
        <v>Premium</v>
      </c>
      <c r="D125" s="6">
        <v>249</v>
      </c>
      <c r="E125" s="7" t="str">
        <f>VLOOKUP(D125,[1]characters!$A:$C,3,FALSE)</f>
        <v>雷電の天使 ミカエル・ゲイナー</v>
      </c>
      <c r="F125" s="7" t="str">
        <f>VLOOKUP(D125,[1]characters!$A:$J,10,FALSE)</f>
        <v>PremiumS</v>
      </c>
      <c r="G125" s="7">
        <f>VLOOKUP(D125,[1]characters!$A:$I,9,FALSE)</f>
        <v>5</v>
      </c>
      <c r="H125" s="7" t="str">
        <f>VLOOKUP(D125,[1]characters!$A:$H,8,FALSE)</f>
        <v>yellow</v>
      </c>
      <c r="I125" s="7" t="str">
        <f>VLOOKUP(D125,[1]characters!$A:$K,11,FALSE)</f>
        <v>attack</v>
      </c>
      <c r="J125" s="7" t="str">
        <f>VLOOKUP(D125,[1]characters!$A:$M,13,FALSE)</f>
        <v>machine</v>
      </c>
      <c r="K125" s="7" t="str">
        <f>VLOOKUP(D125,[1]characters!$A:$G,7,FALSE)</f>
        <v>女性</v>
      </c>
      <c r="L125" s="66">
        <f>IFERROR(VLOOKUP(D125,input_3!L:R,7,FALSE),VLOOKUP(tables_3!B125,input_3!A:H,8,FALSE))</f>
        <v>637</v>
      </c>
      <c r="M125" s="67">
        <f t="shared" si="3"/>
        <v>1.8148148148148149E-2</v>
      </c>
      <c r="N125" s="31">
        <f>IFERROR(VLOOKUP($D125,bug_conf_sheet!$A:$H,3,FALSE),VLOOKUP("other",bug_conf_sheet!$A:$H,3,FALSE))</f>
        <v>1</v>
      </c>
      <c r="O125" s="31">
        <f>IFERROR(VLOOKUP($D125,bug_conf_sheet!$A:$H,4,FALSE),VLOOKUP("other",bug_conf_sheet!$A:$H,4,FALSE))</f>
        <v>0</v>
      </c>
      <c r="P125" s="31">
        <f>IFERROR(VLOOKUP($D125,bug_conf_sheet!$A:$H,5,FALSE),VLOOKUP("other",bug_conf_sheet!$A:$H,5,FALSE))</f>
        <v>0</v>
      </c>
      <c r="Q125" s="31">
        <f>IFERROR(VLOOKUP($D125,bug_conf_sheet!$A:$H,6,FALSE),VLOOKUP("other",bug_conf_sheet!$A:$H,6,FALSE))</f>
        <v>0</v>
      </c>
      <c r="R125" s="31">
        <f>IFERROR(VLOOKUP($D125,bug_conf_sheet!$A:$H,7,FALSE),VLOOKUP("other",bug_conf_sheet!$A:$H,7,FALSE))</f>
        <v>0</v>
      </c>
      <c r="S125" s="31">
        <f>IFERROR(VLOOKUP($D125,bug_conf_sheet!$A:$H,8,FALSE),VLOOKUP("other",bug_conf_sheet!$A:$H,8,FALSE))</f>
        <v>1</v>
      </c>
    </row>
    <row r="126" spans="1:19" ht="21" customHeight="1">
      <c r="A126" s="2">
        <f>input_3!A$2</f>
        <v>3123</v>
      </c>
      <c r="B126" s="7" t="str">
        <f t="shared" si="4"/>
        <v>Premium3</v>
      </c>
      <c r="C126" s="7" t="str">
        <f t="shared" si="5"/>
        <v>Premium</v>
      </c>
      <c r="D126" s="6">
        <v>250</v>
      </c>
      <c r="E126" s="7" t="str">
        <f>VLOOKUP(D126,[1]characters!$A:$C,3,FALSE)</f>
        <v>マンモン</v>
      </c>
      <c r="F126" s="7" t="str">
        <f>VLOOKUP(D126,[1]characters!$A:$J,10,FALSE)</f>
        <v>PremiumS</v>
      </c>
      <c r="G126" s="7">
        <f>VLOOKUP(D126,[1]characters!$A:$I,9,FALSE)</f>
        <v>3</v>
      </c>
      <c r="H126" s="7" t="str">
        <f>VLOOKUP(D126,[1]characters!$A:$H,8,FALSE)</f>
        <v>red</v>
      </c>
      <c r="I126" s="7" t="str">
        <f>VLOOKUP(D126,[1]characters!$A:$K,11,FALSE)</f>
        <v>balance</v>
      </c>
      <c r="J126" s="7" t="str">
        <f>VLOOKUP(D126,[1]characters!$A:$M,13,FALSE)</f>
        <v>god</v>
      </c>
      <c r="K126" s="7" t="str">
        <f>VLOOKUP(D126,[1]characters!$A:$G,7,FALSE)</f>
        <v>女性</v>
      </c>
      <c r="L126" s="66">
        <f>IFERROR(VLOOKUP(D126,input_3!L:R,7,FALSE),VLOOKUP(tables_3!B126,input_3!A:H,8,FALSE))</f>
        <v>0</v>
      </c>
      <c r="M126" s="67">
        <f t="shared" si="3"/>
        <v>0</v>
      </c>
      <c r="N126" s="31">
        <f>IFERROR(VLOOKUP($D126,bug_conf_sheet!$A:$H,3,FALSE),VLOOKUP("other",bug_conf_sheet!$A:$H,3,FALSE))</f>
        <v>1</v>
      </c>
      <c r="O126" s="31">
        <f>IFERROR(VLOOKUP($D126,bug_conf_sheet!$A:$H,4,FALSE),VLOOKUP("other",bug_conf_sheet!$A:$H,4,FALSE))</f>
        <v>0</v>
      </c>
      <c r="P126" s="31">
        <f>IFERROR(VLOOKUP($D126,bug_conf_sheet!$A:$H,5,FALSE),VLOOKUP("other",bug_conf_sheet!$A:$H,5,FALSE))</f>
        <v>0</v>
      </c>
      <c r="Q126" s="31">
        <f>IFERROR(VLOOKUP($D126,bug_conf_sheet!$A:$H,6,FALSE),VLOOKUP("other",bug_conf_sheet!$A:$H,6,FALSE))</f>
        <v>0</v>
      </c>
      <c r="R126" s="31">
        <f>IFERROR(VLOOKUP($D126,bug_conf_sheet!$A:$H,7,FALSE),VLOOKUP("other",bug_conf_sheet!$A:$H,7,FALSE))</f>
        <v>0</v>
      </c>
      <c r="S126" s="31">
        <f>IFERROR(VLOOKUP($D126,bug_conf_sheet!$A:$H,8,FALSE),VLOOKUP("other",bug_conf_sheet!$A:$H,8,FALSE))</f>
        <v>1</v>
      </c>
    </row>
    <row r="127" spans="1:19" ht="21" customHeight="1">
      <c r="A127" s="2">
        <f>input_3!A$2</f>
        <v>3123</v>
      </c>
      <c r="B127" s="7" t="str">
        <f t="shared" si="4"/>
        <v>Premium4</v>
      </c>
      <c r="C127" s="7" t="str">
        <f t="shared" si="5"/>
        <v>Premium</v>
      </c>
      <c r="D127" s="6">
        <v>251</v>
      </c>
      <c r="E127" s="7" t="str">
        <f>VLOOKUP(D127,[1]characters!$A:$C,3,FALSE)</f>
        <v>強欲 マンモン</v>
      </c>
      <c r="F127" s="7" t="str">
        <f>VLOOKUP(D127,[1]characters!$A:$J,10,FALSE)</f>
        <v>PremiumS</v>
      </c>
      <c r="G127" s="7">
        <f>VLOOKUP(D127,[1]characters!$A:$I,9,FALSE)</f>
        <v>4</v>
      </c>
      <c r="H127" s="7" t="str">
        <f>VLOOKUP(D127,[1]characters!$A:$H,8,FALSE)</f>
        <v>red</v>
      </c>
      <c r="I127" s="7" t="str">
        <f>VLOOKUP(D127,[1]characters!$A:$K,11,FALSE)</f>
        <v>balance</v>
      </c>
      <c r="J127" s="7" t="str">
        <f>VLOOKUP(D127,[1]characters!$A:$M,13,FALSE)</f>
        <v>god</v>
      </c>
      <c r="K127" s="7" t="str">
        <f>VLOOKUP(D127,[1]characters!$A:$G,7,FALSE)</f>
        <v>女性</v>
      </c>
      <c r="L127" s="66">
        <f>IFERROR(VLOOKUP(D127,input_3!L:R,7,FALSE),VLOOKUP(tables_3!B127,input_3!A:H,8,FALSE))</f>
        <v>0</v>
      </c>
      <c r="M127" s="67">
        <f t="shared" si="3"/>
        <v>0</v>
      </c>
      <c r="N127" s="31">
        <f>IFERROR(VLOOKUP($D127,bug_conf_sheet!$A:$H,3,FALSE),VLOOKUP("other",bug_conf_sheet!$A:$H,3,FALSE))</f>
        <v>1</v>
      </c>
      <c r="O127" s="31">
        <f>IFERROR(VLOOKUP($D127,bug_conf_sheet!$A:$H,4,FALSE),VLOOKUP("other",bug_conf_sheet!$A:$H,4,FALSE))</f>
        <v>0</v>
      </c>
      <c r="P127" s="31">
        <f>IFERROR(VLOOKUP($D127,bug_conf_sheet!$A:$H,5,FALSE),VLOOKUP("other",bug_conf_sheet!$A:$H,5,FALSE))</f>
        <v>0</v>
      </c>
      <c r="Q127" s="31">
        <f>IFERROR(VLOOKUP($D127,bug_conf_sheet!$A:$H,6,FALSE),VLOOKUP("other",bug_conf_sheet!$A:$H,6,FALSE))</f>
        <v>0</v>
      </c>
      <c r="R127" s="31">
        <f>IFERROR(VLOOKUP($D127,bug_conf_sheet!$A:$H,7,FALSE),VLOOKUP("other",bug_conf_sheet!$A:$H,7,FALSE))</f>
        <v>0</v>
      </c>
      <c r="S127" s="31">
        <f>IFERROR(VLOOKUP($D127,bug_conf_sheet!$A:$H,8,FALSE),VLOOKUP("other",bug_conf_sheet!$A:$H,8,FALSE))</f>
        <v>1</v>
      </c>
    </row>
    <row r="128" spans="1:19" ht="21" customHeight="1">
      <c r="A128" s="2">
        <f>input_3!A$2</f>
        <v>3123</v>
      </c>
      <c r="B128" s="7" t="str">
        <f t="shared" si="4"/>
        <v>Premium5</v>
      </c>
      <c r="C128" s="7" t="str">
        <f t="shared" si="5"/>
        <v>Premium</v>
      </c>
      <c r="D128" s="6">
        <v>252</v>
      </c>
      <c r="E128" s="7" t="str">
        <f>VLOOKUP(D128,[1]characters!$A:$C,3,FALSE)</f>
        <v>強欲の沸騰 マンモン</v>
      </c>
      <c r="F128" s="7" t="str">
        <f>VLOOKUP(D128,[1]characters!$A:$J,10,FALSE)</f>
        <v>PremiumS</v>
      </c>
      <c r="G128" s="7">
        <f>VLOOKUP(D128,[1]characters!$A:$I,9,FALSE)</f>
        <v>5</v>
      </c>
      <c r="H128" s="7" t="str">
        <f>VLOOKUP(D128,[1]characters!$A:$H,8,FALSE)</f>
        <v>red</v>
      </c>
      <c r="I128" s="7" t="str">
        <f>VLOOKUP(D128,[1]characters!$A:$K,11,FALSE)</f>
        <v>balance</v>
      </c>
      <c r="J128" s="7" t="str">
        <f>VLOOKUP(D128,[1]characters!$A:$M,13,FALSE)</f>
        <v>god</v>
      </c>
      <c r="K128" s="7" t="str">
        <f>VLOOKUP(D128,[1]characters!$A:$G,7,FALSE)</f>
        <v>女性</v>
      </c>
      <c r="L128" s="66">
        <f>IFERROR(VLOOKUP(D128,input_3!L:R,7,FALSE),VLOOKUP(tables_3!B128,input_3!A:H,8,FALSE))</f>
        <v>637</v>
      </c>
      <c r="M128" s="67">
        <f t="shared" si="3"/>
        <v>1.8148148148148149E-2</v>
      </c>
      <c r="N128" s="31">
        <f>IFERROR(VLOOKUP($D128,bug_conf_sheet!$A:$H,3,FALSE),VLOOKUP("other",bug_conf_sheet!$A:$H,3,FALSE))</f>
        <v>1</v>
      </c>
      <c r="O128" s="31">
        <f>IFERROR(VLOOKUP($D128,bug_conf_sheet!$A:$H,4,FALSE),VLOOKUP("other",bug_conf_sheet!$A:$H,4,FALSE))</f>
        <v>0</v>
      </c>
      <c r="P128" s="31">
        <f>IFERROR(VLOOKUP($D128,bug_conf_sheet!$A:$H,5,FALSE),VLOOKUP("other",bug_conf_sheet!$A:$H,5,FALSE))</f>
        <v>0</v>
      </c>
      <c r="Q128" s="31">
        <f>IFERROR(VLOOKUP($D128,bug_conf_sheet!$A:$H,6,FALSE),VLOOKUP("other",bug_conf_sheet!$A:$H,6,FALSE))</f>
        <v>0</v>
      </c>
      <c r="R128" s="31">
        <f>IFERROR(VLOOKUP($D128,bug_conf_sheet!$A:$H,7,FALSE),VLOOKUP("other",bug_conf_sheet!$A:$H,7,FALSE))</f>
        <v>0</v>
      </c>
      <c r="S128" s="31">
        <f>IFERROR(VLOOKUP($D128,bug_conf_sheet!$A:$H,8,FALSE),VLOOKUP("other",bug_conf_sheet!$A:$H,8,FALSE))</f>
        <v>1</v>
      </c>
    </row>
    <row r="129" spans="1:19" ht="21" customHeight="1">
      <c r="A129" s="2">
        <f>input_3!A$2</f>
        <v>3123</v>
      </c>
      <c r="B129" s="7" t="str">
        <f t="shared" si="4"/>
        <v>Premium3</v>
      </c>
      <c r="C129" s="7" t="str">
        <f t="shared" si="5"/>
        <v>Premium</v>
      </c>
      <c r="D129" s="6">
        <v>253</v>
      </c>
      <c r="E129" s="7" t="str">
        <f>VLOOKUP(D129,[1]characters!$A:$C,3,FALSE)</f>
        <v>ベルフェゴール</v>
      </c>
      <c r="F129" s="7" t="str">
        <f>VLOOKUP(D129,[1]characters!$A:$J,10,FALSE)</f>
        <v>PremiumS</v>
      </c>
      <c r="G129" s="7">
        <f>VLOOKUP(D129,[1]characters!$A:$I,9,FALSE)</f>
        <v>3</v>
      </c>
      <c r="H129" s="7" t="str">
        <f>VLOOKUP(D129,[1]characters!$A:$H,8,FALSE)</f>
        <v>green</v>
      </c>
      <c r="I129" s="7" t="str">
        <f>VLOOKUP(D129,[1]characters!$A:$K,11,FALSE)</f>
        <v>technical</v>
      </c>
      <c r="J129" s="7" t="str">
        <f>VLOOKUP(D129,[1]characters!$A:$M,13,FALSE)</f>
        <v>god</v>
      </c>
      <c r="K129" s="7" t="str">
        <f>VLOOKUP(D129,[1]characters!$A:$G,7,FALSE)</f>
        <v>女性</v>
      </c>
      <c r="L129" s="66">
        <f>IFERROR(VLOOKUP(D129,input_3!L:R,7,FALSE),VLOOKUP(tables_3!B129,input_3!A:H,8,FALSE))</f>
        <v>0</v>
      </c>
      <c r="M129" s="67">
        <f t="shared" si="3"/>
        <v>0</v>
      </c>
      <c r="N129" s="31">
        <f>IFERROR(VLOOKUP($D129,bug_conf_sheet!$A:$H,3,FALSE),VLOOKUP("other",bug_conf_sheet!$A:$H,3,FALSE))</f>
        <v>1</v>
      </c>
      <c r="O129" s="31">
        <f>IFERROR(VLOOKUP($D129,bug_conf_sheet!$A:$H,4,FALSE),VLOOKUP("other",bug_conf_sheet!$A:$H,4,FALSE))</f>
        <v>0</v>
      </c>
      <c r="P129" s="31">
        <f>IFERROR(VLOOKUP($D129,bug_conf_sheet!$A:$H,5,FALSE),VLOOKUP("other",bug_conf_sheet!$A:$H,5,FALSE))</f>
        <v>0</v>
      </c>
      <c r="Q129" s="31">
        <f>IFERROR(VLOOKUP($D129,bug_conf_sheet!$A:$H,6,FALSE),VLOOKUP("other",bug_conf_sheet!$A:$H,6,FALSE))</f>
        <v>0</v>
      </c>
      <c r="R129" s="31">
        <f>IFERROR(VLOOKUP($D129,bug_conf_sheet!$A:$H,7,FALSE),VLOOKUP("other",bug_conf_sheet!$A:$H,7,FALSE))</f>
        <v>0</v>
      </c>
      <c r="S129" s="31">
        <f>IFERROR(VLOOKUP($D129,bug_conf_sheet!$A:$H,8,FALSE),VLOOKUP("other",bug_conf_sheet!$A:$H,8,FALSE))</f>
        <v>1</v>
      </c>
    </row>
    <row r="130" spans="1:19" ht="21" customHeight="1">
      <c r="A130" s="2">
        <f>input_3!A$2</f>
        <v>3123</v>
      </c>
      <c r="B130" s="7" t="str">
        <f t="shared" si="4"/>
        <v>Premium4</v>
      </c>
      <c r="C130" s="7" t="str">
        <f t="shared" si="5"/>
        <v>Premium</v>
      </c>
      <c r="D130" s="6">
        <v>254</v>
      </c>
      <c r="E130" s="7" t="str">
        <f>VLOOKUP(D130,[1]characters!$A:$C,3,FALSE)</f>
        <v>怠惰 ベルフェゴール</v>
      </c>
      <c r="F130" s="7" t="str">
        <f>VLOOKUP(D130,[1]characters!$A:$J,10,FALSE)</f>
        <v>PremiumS</v>
      </c>
      <c r="G130" s="7">
        <f>VLOOKUP(D130,[1]characters!$A:$I,9,FALSE)</f>
        <v>4</v>
      </c>
      <c r="H130" s="7" t="str">
        <f>VLOOKUP(D130,[1]characters!$A:$H,8,FALSE)</f>
        <v>green</v>
      </c>
      <c r="I130" s="7" t="str">
        <f>VLOOKUP(D130,[1]characters!$A:$K,11,FALSE)</f>
        <v>technical</v>
      </c>
      <c r="J130" s="7" t="str">
        <f>VLOOKUP(D130,[1]characters!$A:$M,13,FALSE)</f>
        <v>god</v>
      </c>
      <c r="K130" s="7" t="str">
        <f>VLOOKUP(D130,[1]characters!$A:$G,7,FALSE)</f>
        <v>女性</v>
      </c>
      <c r="L130" s="66">
        <f>IFERROR(VLOOKUP(D130,input_3!L:R,7,FALSE),VLOOKUP(tables_3!B130,input_3!A:H,8,FALSE))</f>
        <v>0</v>
      </c>
      <c r="M130" s="67">
        <f t="shared" ref="M130:M193" si="6">L130/SUM(L:L)</f>
        <v>0</v>
      </c>
      <c r="N130" s="31">
        <f>IFERROR(VLOOKUP($D130,bug_conf_sheet!$A:$H,3,FALSE),VLOOKUP("other",bug_conf_sheet!$A:$H,3,FALSE))</f>
        <v>1</v>
      </c>
      <c r="O130" s="31">
        <f>IFERROR(VLOOKUP($D130,bug_conf_sheet!$A:$H,4,FALSE),VLOOKUP("other",bug_conf_sheet!$A:$H,4,FALSE))</f>
        <v>0</v>
      </c>
      <c r="P130" s="31">
        <f>IFERROR(VLOOKUP($D130,bug_conf_sheet!$A:$H,5,FALSE),VLOOKUP("other",bug_conf_sheet!$A:$H,5,FALSE))</f>
        <v>0</v>
      </c>
      <c r="Q130" s="31">
        <f>IFERROR(VLOOKUP($D130,bug_conf_sheet!$A:$H,6,FALSE),VLOOKUP("other",bug_conf_sheet!$A:$H,6,FALSE))</f>
        <v>0</v>
      </c>
      <c r="R130" s="31">
        <f>IFERROR(VLOOKUP($D130,bug_conf_sheet!$A:$H,7,FALSE),VLOOKUP("other",bug_conf_sheet!$A:$H,7,FALSE))</f>
        <v>0</v>
      </c>
      <c r="S130" s="31">
        <f>IFERROR(VLOOKUP($D130,bug_conf_sheet!$A:$H,8,FALSE),VLOOKUP("other",bug_conf_sheet!$A:$H,8,FALSE))</f>
        <v>1</v>
      </c>
    </row>
    <row r="131" spans="1:19" ht="21" customHeight="1">
      <c r="A131" s="2">
        <f>input_3!A$2</f>
        <v>3123</v>
      </c>
      <c r="B131" s="7" t="str">
        <f t="shared" ref="B131:B194" si="7">C131&amp;G131</f>
        <v>Premium5</v>
      </c>
      <c r="C131" s="7" t="str">
        <f t="shared" ref="C131:C194" si="8">IF(F131="PremiumSS",F131,IF(F131="PremiumSSS",F131,"Premium"))</f>
        <v>Premium</v>
      </c>
      <c r="D131" s="6">
        <v>255</v>
      </c>
      <c r="E131" s="7" t="str">
        <f>VLOOKUP(D131,[1]characters!$A:$C,3,FALSE)</f>
        <v>怠惰の頂点 ベルフェゴール</v>
      </c>
      <c r="F131" s="7" t="str">
        <f>VLOOKUP(D131,[1]characters!$A:$J,10,FALSE)</f>
        <v>PremiumS</v>
      </c>
      <c r="G131" s="7">
        <f>VLOOKUP(D131,[1]characters!$A:$I,9,FALSE)</f>
        <v>5</v>
      </c>
      <c r="H131" s="7" t="str">
        <f>VLOOKUP(D131,[1]characters!$A:$H,8,FALSE)</f>
        <v>green</v>
      </c>
      <c r="I131" s="7" t="str">
        <f>VLOOKUP(D131,[1]characters!$A:$K,11,FALSE)</f>
        <v>technical</v>
      </c>
      <c r="J131" s="7" t="str">
        <f>VLOOKUP(D131,[1]characters!$A:$M,13,FALSE)</f>
        <v>god</v>
      </c>
      <c r="K131" s="7" t="str">
        <f>VLOOKUP(D131,[1]characters!$A:$G,7,FALSE)</f>
        <v>女性</v>
      </c>
      <c r="L131" s="66">
        <f>IFERROR(VLOOKUP(D131,input_3!L:R,7,FALSE),VLOOKUP(tables_3!B131,input_3!A:H,8,FALSE))</f>
        <v>637</v>
      </c>
      <c r="M131" s="67">
        <f t="shared" si="6"/>
        <v>1.8148148148148149E-2</v>
      </c>
      <c r="N131" s="31">
        <f>IFERROR(VLOOKUP($D131,bug_conf_sheet!$A:$H,3,FALSE),VLOOKUP("other",bug_conf_sheet!$A:$H,3,FALSE))</f>
        <v>1</v>
      </c>
      <c r="O131" s="31">
        <f>IFERROR(VLOOKUP($D131,bug_conf_sheet!$A:$H,4,FALSE),VLOOKUP("other",bug_conf_sheet!$A:$H,4,FALSE))</f>
        <v>0</v>
      </c>
      <c r="P131" s="31">
        <f>IFERROR(VLOOKUP($D131,bug_conf_sheet!$A:$H,5,FALSE),VLOOKUP("other",bug_conf_sheet!$A:$H,5,FALSE))</f>
        <v>0</v>
      </c>
      <c r="Q131" s="31">
        <f>IFERROR(VLOOKUP($D131,bug_conf_sheet!$A:$H,6,FALSE),VLOOKUP("other",bug_conf_sheet!$A:$H,6,FALSE))</f>
        <v>0</v>
      </c>
      <c r="R131" s="31">
        <f>IFERROR(VLOOKUP($D131,bug_conf_sheet!$A:$H,7,FALSE),VLOOKUP("other",bug_conf_sheet!$A:$H,7,FALSE))</f>
        <v>0</v>
      </c>
      <c r="S131" s="31">
        <f>IFERROR(VLOOKUP($D131,bug_conf_sheet!$A:$H,8,FALSE),VLOOKUP("other",bug_conf_sheet!$A:$H,8,FALSE))</f>
        <v>1</v>
      </c>
    </row>
    <row r="132" spans="1:19" ht="21" customHeight="1">
      <c r="A132" s="2">
        <f>input_3!A$2</f>
        <v>3123</v>
      </c>
      <c r="B132" s="7" t="str">
        <f t="shared" si="7"/>
        <v>Premium3</v>
      </c>
      <c r="C132" s="7" t="str">
        <f t="shared" si="8"/>
        <v>Premium</v>
      </c>
      <c r="D132" s="6">
        <v>256</v>
      </c>
      <c r="E132" s="7" t="str">
        <f>VLOOKUP(D132,[1]characters!$A:$C,3,FALSE)</f>
        <v>アスモデウス</v>
      </c>
      <c r="F132" s="7" t="str">
        <f>VLOOKUP(D132,[1]characters!$A:$J,10,FALSE)</f>
        <v>PremiumS</v>
      </c>
      <c r="G132" s="7">
        <f>VLOOKUP(D132,[1]characters!$A:$I,9,FALSE)</f>
        <v>3</v>
      </c>
      <c r="H132" s="7" t="str">
        <f>VLOOKUP(D132,[1]characters!$A:$H,8,FALSE)</f>
        <v>blue</v>
      </c>
      <c r="I132" s="7" t="str">
        <f>VLOOKUP(D132,[1]characters!$A:$K,11,FALSE)</f>
        <v>attack</v>
      </c>
      <c r="J132" s="7" t="str">
        <f>VLOOKUP(D132,[1]characters!$A:$M,13,FALSE)</f>
        <v>god</v>
      </c>
      <c r="K132" s="7" t="str">
        <f>VLOOKUP(D132,[1]characters!$A:$G,7,FALSE)</f>
        <v>女性</v>
      </c>
      <c r="L132" s="66">
        <f>IFERROR(VLOOKUP(D132,input_3!L:R,7,FALSE),VLOOKUP(tables_3!B132,input_3!A:H,8,FALSE))</f>
        <v>0</v>
      </c>
      <c r="M132" s="67">
        <f t="shared" si="6"/>
        <v>0</v>
      </c>
      <c r="N132" s="31">
        <f>IFERROR(VLOOKUP($D132,bug_conf_sheet!$A:$H,3,FALSE),VLOOKUP("other",bug_conf_sheet!$A:$H,3,FALSE))</f>
        <v>1</v>
      </c>
      <c r="O132" s="31">
        <f>IFERROR(VLOOKUP($D132,bug_conf_sheet!$A:$H,4,FALSE),VLOOKUP("other",bug_conf_sheet!$A:$H,4,FALSE))</f>
        <v>0</v>
      </c>
      <c r="P132" s="31">
        <f>IFERROR(VLOOKUP($D132,bug_conf_sheet!$A:$H,5,FALSE),VLOOKUP("other",bug_conf_sheet!$A:$H,5,FALSE))</f>
        <v>0</v>
      </c>
      <c r="Q132" s="31">
        <f>IFERROR(VLOOKUP($D132,bug_conf_sheet!$A:$H,6,FALSE),VLOOKUP("other",bug_conf_sheet!$A:$H,6,FALSE))</f>
        <v>0</v>
      </c>
      <c r="R132" s="31">
        <f>IFERROR(VLOOKUP($D132,bug_conf_sheet!$A:$H,7,FALSE),VLOOKUP("other",bug_conf_sheet!$A:$H,7,FALSE))</f>
        <v>0</v>
      </c>
      <c r="S132" s="31">
        <f>IFERROR(VLOOKUP($D132,bug_conf_sheet!$A:$H,8,FALSE),VLOOKUP("other",bug_conf_sheet!$A:$H,8,FALSE))</f>
        <v>1</v>
      </c>
    </row>
    <row r="133" spans="1:19" ht="21" customHeight="1">
      <c r="A133" s="2">
        <f>input_3!A$2</f>
        <v>3123</v>
      </c>
      <c r="B133" s="7" t="str">
        <f t="shared" si="7"/>
        <v>Premium4</v>
      </c>
      <c r="C133" s="7" t="str">
        <f t="shared" si="8"/>
        <v>Premium</v>
      </c>
      <c r="D133" s="6">
        <v>257</v>
      </c>
      <c r="E133" s="7" t="str">
        <f>VLOOKUP(D133,[1]characters!$A:$C,3,FALSE)</f>
        <v>色欲 アスモデウス</v>
      </c>
      <c r="F133" s="7" t="str">
        <f>VLOOKUP(D133,[1]characters!$A:$J,10,FALSE)</f>
        <v>PremiumS</v>
      </c>
      <c r="G133" s="7">
        <f>VLOOKUP(D133,[1]characters!$A:$I,9,FALSE)</f>
        <v>4</v>
      </c>
      <c r="H133" s="7" t="str">
        <f>VLOOKUP(D133,[1]characters!$A:$H,8,FALSE)</f>
        <v>blue</v>
      </c>
      <c r="I133" s="7" t="str">
        <f>VLOOKUP(D133,[1]characters!$A:$K,11,FALSE)</f>
        <v>attack</v>
      </c>
      <c r="J133" s="7" t="str">
        <f>VLOOKUP(D133,[1]characters!$A:$M,13,FALSE)</f>
        <v>god</v>
      </c>
      <c r="K133" s="7" t="str">
        <f>VLOOKUP(D133,[1]characters!$A:$G,7,FALSE)</f>
        <v>女性</v>
      </c>
      <c r="L133" s="66">
        <f>IFERROR(VLOOKUP(D133,input_3!L:R,7,FALSE),VLOOKUP(tables_3!B133,input_3!A:H,8,FALSE))</f>
        <v>0</v>
      </c>
      <c r="M133" s="67">
        <f t="shared" si="6"/>
        <v>0</v>
      </c>
      <c r="N133" s="31">
        <f>IFERROR(VLOOKUP($D133,bug_conf_sheet!$A:$H,3,FALSE),VLOOKUP("other",bug_conf_sheet!$A:$H,3,FALSE))</f>
        <v>1</v>
      </c>
      <c r="O133" s="31">
        <f>IFERROR(VLOOKUP($D133,bug_conf_sheet!$A:$H,4,FALSE),VLOOKUP("other",bug_conf_sheet!$A:$H,4,FALSE))</f>
        <v>0</v>
      </c>
      <c r="P133" s="31">
        <f>IFERROR(VLOOKUP($D133,bug_conf_sheet!$A:$H,5,FALSE),VLOOKUP("other",bug_conf_sheet!$A:$H,5,FALSE))</f>
        <v>0</v>
      </c>
      <c r="Q133" s="31">
        <f>IFERROR(VLOOKUP($D133,bug_conf_sheet!$A:$H,6,FALSE),VLOOKUP("other",bug_conf_sheet!$A:$H,6,FALSE))</f>
        <v>0</v>
      </c>
      <c r="R133" s="31">
        <f>IFERROR(VLOOKUP($D133,bug_conf_sheet!$A:$H,7,FALSE),VLOOKUP("other",bug_conf_sheet!$A:$H,7,FALSE))</f>
        <v>0</v>
      </c>
      <c r="S133" s="31">
        <f>IFERROR(VLOOKUP($D133,bug_conf_sheet!$A:$H,8,FALSE),VLOOKUP("other",bug_conf_sheet!$A:$H,8,FALSE))</f>
        <v>1</v>
      </c>
    </row>
    <row r="134" spans="1:19" ht="21" customHeight="1">
      <c r="A134" s="2">
        <f>input_3!A$2</f>
        <v>3123</v>
      </c>
      <c r="B134" s="7" t="str">
        <f t="shared" si="7"/>
        <v>Premium5</v>
      </c>
      <c r="C134" s="7" t="str">
        <f t="shared" si="8"/>
        <v>Premium</v>
      </c>
      <c r="D134" s="6">
        <v>258</v>
      </c>
      <c r="E134" s="7" t="str">
        <f>VLOOKUP(D134,[1]characters!$A:$C,3,FALSE)</f>
        <v>色欲の源流 アスモデウス</v>
      </c>
      <c r="F134" s="7" t="str">
        <f>VLOOKUP(D134,[1]characters!$A:$J,10,FALSE)</f>
        <v>PremiumS</v>
      </c>
      <c r="G134" s="7">
        <f>VLOOKUP(D134,[1]characters!$A:$I,9,FALSE)</f>
        <v>5</v>
      </c>
      <c r="H134" s="7" t="str">
        <f>VLOOKUP(D134,[1]characters!$A:$H,8,FALSE)</f>
        <v>blue</v>
      </c>
      <c r="I134" s="7" t="str">
        <f>VLOOKUP(D134,[1]characters!$A:$K,11,FALSE)</f>
        <v>attack</v>
      </c>
      <c r="J134" s="7" t="str">
        <f>VLOOKUP(D134,[1]characters!$A:$M,13,FALSE)</f>
        <v>god</v>
      </c>
      <c r="K134" s="7" t="str">
        <f>VLOOKUP(D134,[1]characters!$A:$G,7,FALSE)</f>
        <v>女性</v>
      </c>
      <c r="L134" s="66">
        <f>IFERROR(VLOOKUP(D134,input_3!L:R,7,FALSE),VLOOKUP(tables_3!B134,input_3!A:H,8,FALSE))</f>
        <v>637</v>
      </c>
      <c r="M134" s="67">
        <f t="shared" si="6"/>
        <v>1.8148148148148149E-2</v>
      </c>
      <c r="N134" s="31">
        <f>IFERROR(VLOOKUP($D134,bug_conf_sheet!$A:$H,3,FALSE),VLOOKUP("other",bug_conf_sheet!$A:$H,3,FALSE))</f>
        <v>1</v>
      </c>
      <c r="O134" s="31">
        <f>IFERROR(VLOOKUP($D134,bug_conf_sheet!$A:$H,4,FALSE),VLOOKUP("other",bug_conf_sheet!$A:$H,4,FALSE))</f>
        <v>0</v>
      </c>
      <c r="P134" s="31">
        <f>IFERROR(VLOOKUP($D134,bug_conf_sheet!$A:$H,5,FALSE),VLOOKUP("other",bug_conf_sheet!$A:$H,5,FALSE))</f>
        <v>0</v>
      </c>
      <c r="Q134" s="31">
        <f>IFERROR(VLOOKUP($D134,bug_conf_sheet!$A:$H,6,FALSE),VLOOKUP("other",bug_conf_sheet!$A:$H,6,FALSE))</f>
        <v>0</v>
      </c>
      <c r="R134" s="31">
        <f>IFERROR(VLOOKUP($D134,bug_conf_sheet!$A:$H,7,FALSE),VLOOKUP("other",bug_conf_sheet!$A:$H,7,FALSE))</f>
        <v>0</v>
      </c>
      <c r="S134" s="31">
        <f>IFERROR(VLOOKUP($D134,bug_conf_sheet!$A:$H,8,FALSE),VLOOKUP("other",bug_conf_sheet!$A:$H,8,FALSE))</f>
        <v>1</v>
      </c>
    </row>
    <row r="135" spans="1:19" ht="21" customHeight="1">
      <c r="A135" s="2">
        <f>input_3!A$2</f>
        <v>3123</v>
      </c>
      <c r="B135" s="7" t="str">
        <f t="shared" si="7"/>
        <v>Premium3</v>
      </c>
      <c r="C135" s="7" t="str">
        <f t="shared" si="8"/>
        <v>Premium</v>
      </c>
      <c r="D135" s="6">
        <v>259</v>
      </c>
      <c r="E135" s="7" t="str">
        <f>VLOOKUP(D135,[1]characters!$A:$C,3,FALSE)</f>
        <v>ウロボロス</v>
      </c>
      <c r="F135" s="7" t="str">
        <f>VLOOKUP(D135,[1]characters!$A:$J,10,FALSE)</f>
        <v>PremiumS</v>
      </c>
      <c r="G135" s="7">
        <f>VLOOKUP(D135,[1]characters!$A:$I,9,FALSE)</f>
        <v>3</v>
      </c>
      <c r="H135" s="7" t="str">
        <f>VLOOKUP(D135,[1]characters!$A:$H,8,FALSE)</f>
        <v>yellow</v>
      </c>
      <c r="I135" s="7" t="str">
        <f>VLOOKUP(D135,[1]characters!$A:$K,11,FALSE)</f>
        <v>balance</v>
      </c>
      <c r="J135" s="7" t="str">
        <f>VLOOKUP(D135,[1]characters!$A:$M,13,FALSE)</f>
        <v>dragon</v>
      </c>
      <c r="K135" s="7" t="str">
        <f>VLOOKUP(D135,[1]characters!$A:$G,7,FALSE)</f>
        <v>女性</v>
      </c>
      <c r="L135" s="66">
        <f>IFERROR(VLOOKUP(D135,input_3!L:R,7,FALSE),VLOOKUP(tables_3!B135,input_3!A:H,8,FALSE))</f>
        <v>0</v>
      </c>
      <c r="M135" s="67">
        <f t="shared" si="6"/>
        <v>0</v>
      </c>
      <c r="N135" s="31">
        <f>IFERROR(VLOOKUP($D135,bug_conf_sheet!$A:$H,3,FALSE),VLOOKUP("other",bug_conf_sheet!$A:$H,3,FALSE))</f>
        <v>1</v>
      </c>
      <c r="O135" s="31">
        <f>IFERROR(VLOOKUP($D135,bug_conf_sheet!$A:$H,4,FALSE),VLOOKUP("other",bug_conf_sheet!$A:$H,4,FALSE))</f>
        <v>0</v>
      </c>
      <c r="P135" s="31">
        <f>IFERROR(VLOOKUP($D135,bug_conf_sheet!$A:$H,5,FALSE),VLOOKUP("other",bug_conf_sheet!$A:$H,5,FALSE))</f>
        <v>0</v>
      </c>
      <c r="Q135" s="31">
        <f>IFERROR(VLOOKUP($D135,bug_conf_sheet!$A:$H,6,FALSE),VLOOKUP("other",bug_conf_sheet!$A:$H,6,FALSE))</f>
        <v>0</v>
      </c>
      <c r="R135" s="31">
        <f>IFERROR(VLOOKUP($D135,bug_conf_sheet!$A:$H,7,FALSE),VLOOKUP("other",bug_conf_sheet!$A:$H,7,FALSE))</f>
        <v>0</v>
      </c>
      <c r="S135" s="31">
        <f>IFERROR(VLOOKUP($D135,bug_conf_sheet!$A:$H,8,FALSE),VLOOKUP("other",bug_conf_sheet!$A:$H,8,FALSE))</f>
        <v>1</v>
      </c>
    </row>
    <row r="136" spans="1:19" ht="21" customHeight="1">
      <c r="A136" s="2">
        <f>input_3!A$2</f>
        <v>3123</v>
      </c>
      <c r="B136" s="7" t="str">
        <f t="shared" si="7"/>
        <v>Premium4</v>
      </c>
      <c r="C136" s="7" t="str">
        <f t="shared" si="8"/>
        <v>Premium</v>
      </c>
      <c r="D136" s="8">
        <v>260</v>
      </c>
      <c r="E136" s="7" t="str">
        <f>VLOOKUP(D136,[1]characters!$A:$C,3,FALSE)</f>
        <v>輪廻 ウロボロス</v>
      </c>
      <c r="F136" s="7" t="str">
        <f>VLOOKUP(D136,[1]characters!$A:$J,10,FALSE)</f>
        <v>PremiumS</v>
      </c>
      <c r="G136" s="7">
        <f>VLOOKUP(D136,[1]characters!$A:$I,9,FALSE)</f>
        <v>4</v>
      </c>
      <c r="H136" s="7" t="str">
        <f>VLOOKUP(D136,[1]characters!$A:$H,8,FALSE)</f>
        <v>yellow</v>
      </c>
      <c r="I136" s="7" t="str">
        <f>VLOOKUP(D136,[1]characters!$A:$K,11,FALSE)</f>
        <v>balance</v>
      </c>
      <c r="J136" s="7" t="str">
        <f>VLOOKUP(D136,[1]characters!$A:$M,13,FALSE)</f>
        <v>dragon</v>
      </c>
      <c r="K136" s="7" t="str">
        <f>VLOOKUP(D136,[1]characters!$A:$G,7,FALSE)</f>
        <v>女性</v>
      </c>
      <c r="L136" s="66">
        <f>IFERROR(VLOOKUP(D136,input_3!L:R,7,FALSE),VLOOKUP(tables_3!B136,input_3!A:H,8,FALSE))</f>
        <v>0</v>
      </c>
      <c r="M136" s="67">
        <f t="shared" si="6"/>
        <v>0</v>
      </c>
      <c r="N136" s="31">
        <f>IFERROR(VLOOKUP($D136,bug_conf_sheet!$A:$H,3,FALSE),VLOOKUP("other",bug_conf_sheet!$A:$H,3,FALSE))</f>
        <v>1</v>
      </c>
      <c r="O136" s="31">
        <f>IFERROR(VLOOKUP($D136,bug_conf_sheet!$A:$H,4,FALSE),VLOOKUP("other",bug_conf_sheet!$A:$H,4,FALSE))</f>
        <v>0</v>
      </c>
      <c r="P136" s="31">
        <f>IFERROR(VLOOKUP($D136,bug_conf_sheet!$A:$H,5,FALSE),VLOOKUP("other",bug_conf_sheet!$A:$H,5,FALSE))</f>
        <v>0</v>
      </c>
      <c r="Q136" s="31">
        <f>IFERROR(VLOOKUP($D136,bug_conf_sheet!$A:$H,6,FALSE),VLOOKUP("other",bug_conf_sheet!$A:$H,6,FALSE))</f>
        <v>0</v>
      </c>
      <c r="R136" s="31">
        <f>IFERROR(VLOOKUP($D136,bug_conf_sheet!$A:$H,7,FALSE),VLOOKUP("other",bug_conf_sheet!$A:$H,7,FALSE))</f>
        <v>0</v>
      </c>
      <c r="S136" s="31">
        <f>IFERROR(VLOOKUP($D136,bug_conf_sheet!$A:$H,8,FALSE),VLOOKUP("other",bug_conf_sheet!$A:$H,8,FALSE))</f>
        <v>1</v>
      </c>
    </row>
    <row r="137" spans="1:19" ht="21" customHeight="1">
      <c r="A137" s="2">
        <f>input_3!A$2</f>
        <v>3123</v>
      </c>
      <c r="B137" s="7" t="str">
        <f t="shared" si="7"/>
        <v>Premium5</v>
      </c>
      <c r="C137" s="7" t="str">
        <f t="shared" si="8"/>
        <v>Premium</v>
      </c>
      <c r="D137" s="8">
        <v>261</v>
      </c>
      <c r="E137" s="7" t="str">
        <f>VLOOKUP(D137,[1]characters!$A:$C,3,FALSE)</f>
        <v>輪廻の蛇龍 ウロボロス</v>
      </c>
      <c r="F137" s="7" t="str">
        <f>VLOOKUP(D137,[1]characters!$A:$J,10,FALSE)</f>
        <v>PremiumS</v>
      </c>
      <c r="G137" s="7">
        <f>VLOOKUP(D137,[1]characters!$A:$I,9,FALSE)</f>
        <v>5</v>
      </c>
      <c r="H137" s="7" t="str">
        <f>VLOOKUP(D137,[1]characters!$A:$H,8,FALSE)</f>
        <v>yellow</v>
      </c>
      <c r="I137" s="7" t="str">
        <f>VLOOKUP(D137,[1]characters!$A:$K,11,FALSE)</f>
        <v>balance</v>
      </c>
      <c r="J137" s="7" t="str">
        <f>VLOOKUP(D137,[1]characters!$A:$M,13,FALSE)</f>
        <v>dragon</v>
      </c>
      <c r="K137" s="7" t="str">
        <f>VLOOKUP(D137,[1]characters!$A:$G,7,FALSE)</f>
        <v>女性</v>
      </c>
      <c r="L137" s="66">
        <f>IFERROR(VLOOKUP(D137,input_3!L:R,7,FALSE),VLOOKUP(tables_3!B137,input_3!A:H,8,FALSE))</f>
        <v>637</v>
      </c>
      <c r="M137" s="67">
        <f t="shared" si="6"/>
        <v>1.8148148148148149E-2</v>
      </c>
      <c r="N137" s="31">
        <f>IFERROR(VLOOKUP($D137,bug_conf_sheet!$A:$H,3,FALSE),VLOOKUP("other",bug_conf_sheet!$A:$H,3,FALSE))</f>
        <v>1</v>
      </c>
      <c r="O137" s="31">
        <f>IFERROR(VLOOKUP($D137,bug_conf_sheet!$A:$H,4,FALSE),VLOOKUP("other",bug_conf_sheet!$A:$H,4,FALSE))</f>
        <v>0</v>
      </c>
      <c r="P137" s="31">
        <f>IFERROR(VLOOKUP($D137,bug_conf_sheet!$A:$H,5,FALSE),VLOOKUP("other",bug_conf_sheet!$A:$H,5,FALSE))</f>
        <v>0</v>
      </c>
      <c r="Q137" s="31">
        <f>IFERROR(VLOOKUP($D137,bug_conf_sheet!$A:$H,6,FALSE),VLOOKUP("other",bug_conf_sheet!$A:$H,6,FALSE))</f>
        <v>0</v>
      </c>
      <c r="R137" s="31">
        <f>IFERROR(VLOOKUP($D137,bug_conf_sheet!$A:$H,7,FALSE),VLOOKUP("other",bug_conf_sheet!$A:$H,7,FALSE))</f>
        <v>0</v>
      </c>
      <c r="S137" s="31">
        <f>IFERROR(VLOOKUP($D137,bug_conf_sheet!$A:$H,8,FALSE),VLOOKUP("other",bug_conf_sheet!$A:$H,8,FALSE))</f>
        <v>1</v>
      </c>
    </row>
    <row r="138" spans="1:19" ht="21" customHeight="1">
      <c r="A138" s="2">
        <f>input_3!A$2</f>
        <v>3123</v>
      </c>
      <c r="B138" s="7" t="str">
        <f t="shared" si="7"/>
        <v>PremiumSS4</v>
      </c>
      <c r="C138" s="7" t="str">
        <f t="shared" si="8"/>
        <v>PremiumSS</v>
      </c>
      <c r="D138" s="6">
        <v>320</v>
      </c>
      <c r="E138" s="7" t="str">
        <f>VLOOKUP(D138,[1]characters!$A:$C,3,FALSE)</f>
        <v>烈志士 近藤勇</v>
      </c>
      <c r="F138" s="7" t="str">
        <f>VLOOKUP(D138,[1]characters!$A:$J,10,FALSE)</f>
        <v>PremiumSS</v>
      </c>
      <c r="G138" s="7">
        <f>VLOOKUP(D138,[1]characters!$A:$I,9,FALSE)</f>
        <v>4</v>
      </c>
      <c r="H138" s="7" t="str">
        <f>VLOOKUP(D138,[1]characters!$A:$H,8,FALSE)</f>
        <v>red</v>
      </c>
      <c r="I138" s="7" t="str">
        <f>VLOOKUP(D138,[1]characters!$A:$K,11,FALSE)</f>
        <v>hp</v>
      </c>
      <c r="J138" s="7" t="str">
        <f>VLOOKUP(D138,[1]characters!$A:$M,13,FALSE)</f>
        <v>human</v>
      </c>
      <c r="K138" s="7" t="str">
        <f>VLOOKUP(D138,[1]characters!$A:$G,7,FALSE)</f>
        <v>男性</v>
      </c>
      <c r="L138" s="66">
        <f>IFERROR(VLOOKUP(D138,input_3!L:R,7,FALSE),VLOOKUP(tables_3!B138,input_3!A:H,8,FALSE))</f>
        <v>0</v>
      </c>
      <c r="M138" s="67">
        <f t="shared" si="6"/>
        <v>0</v>
      </c>
      <c r="N138" s="31">
        <f>IFERROR(VLOOKUP($D138,bug_conf_sheet!$A:$H,3,FALSE),VLOOKUP("other",bug_conf_sheet!$A:$H,3,FALSE))</f>
        <v>1</v>
      </c>
      <c r="O138" s="31">
        <f>IFERROR(VLOOKUP($D138,bug_conf_sheet!$A:$H,4,FALSE),VLOOKUP("other",bug_conf_sheet!$A:$H,4,FALSE))</f>
        <v>0</v>
      </c>
      <c r="P138" s="31">
        <f>IFERROR(VLOOKUP($D138,bug_conf_sheet!$A:$H,5,FALSE),VLOOKUP("other",bug_conf_sheet!$A:$H,5,FALSE))</f>
        <v>0</v>
      </c>
      <c r="Q138" s="31">
        <f>IFERROR(VLOOKUP($D138,bug_conf_sheet!$A:$H,6,FALSE),VLOOKUP("other",bug_conf_sheet!$A:$H,6,FALSE))</f>
        <v>0</v>
      </c>
      <c r="R138" s="31">
        <f>IFERROR(VLOOKUP($D138,bug_conf_sheet!$A:$H,7,FALSE),VLOOKUP("other",bug_conf_sheet!$A:$H,7,FALSE))</f>
        <v>0</v>
      </c>
      <c r="S138" s="31">
        <f>IFERROR(VLOOKUP($D138,bug_conf_sheet!$A:$H,8,FALSE),VLOOKUP("other",bug_conf_sheet!$A:$H,8,FALSE))</f>
        <v>1</v>
      </c>
    </row>
    <row r="139" spans="1:19" ht="21" customHeight="1">
      <c r="A139" s="2">
        <f>input_3!A$2</f>
        <v>3123</v>
      </c>
      <c r="B139" s="7" t="str">
        <f t="shared" si="7"/>
        <v>PremiumSS5</v>
      </c>
      <c r="C139" s="7" t="str">
        <f t="shared" si="8"/>
        <v>PremiumSS</v>
      </c>
      <c r="D139" s="6">
        <v>321</v>
      </c>
      <c r="E139" s="7" t="str">
        <f>VLOOKUP(D139,[1]characters!$A:$C,3,FALSE)</f>
        <v>巌鉄の烈志士 近藤勇</v>
      </c>
      <c r="F139" s="7" t="str">
        <f>VLOOKUP(D139,[1]characters!$A:$J,10,FALSE)</f>
        <v>PremiumSS</v>
      </c>
      <c r="G139" s="7">
        <f>VLOOKUP(D139,[1]characters!$A:$I,9,FALSE)</f>
        <v>5</v>
      </c>
      <c r="H139" s="7" t="str">
        <f>VLOOKUP(D139,[1]characters!$A:$H,8,FALSE)</f>
        <v>red</v>
      </c>
      <c r="I139" s="7" t="str">
        <f>VLOOKUP(D139,[1]characters!$A:$K,11,FALSE)</f>
        <v>hp</v>
      </c>
      <c r="J139" s="7" t="str">
        <f>VLOOKUP(D139,[1]characters!$A:$M,13,FALSE)</f>
        <v>human</v>
      </c>
      <c r="K139" s="7" t="str">
        <f>VLOOKUP(D139,[1]characters!$A:$G,7,FALSE)</f>
        <v>男性</v>
      </c>
      <c r="L139" s="66">
        <f>IFERROR(VLOOKUP(D139,input_3!L:R,7,FALSE),VLOOKUP(tables_3!B139,input_3!A:H,8,FALSE))</f>
        <v>27</v>
      </c>
      <c r="M139" s="67">
        <f t="shared" si="6"/>
        <v>7.6923076923076923E-4</v>
      </c>
      <c r="N139" s="31">
        <f>IFERROR(VLOOKUP($D139,bug_conf_sheet!$A:$H,3,FALSE),VLOOKUP("other",bug_conf_sheet!$A:$H,3,FALSE))</f>
        <v>1</v>
      </c>
      <c r="O139" s="31">
        <f>IFERROR(VLOOKUP($D139,bug_conf_sheet!$A:$H,4,FALSE),VLOOKUP("other",bug_conf_sheet!$A:$H,4,FALSE))</f>
        <v>0</v>
      </c>
      <c r="P139" s="31">
        <f>IFERROR(VLOOKUP($D139,bug_conf_sheet!$A:$H,5,FALSE),VLOOKUP("other",bug_conf_sheet!$A:$H,5,FALSE))</f>
        <v>0</v>
      </c>
      <c r="Q139" s="31">
        <f>IFERROR(VLOOKUP($D139,bug_conf_sheet!$A:$H,6,FALSE),VLOOKUP("other",bug_conf_sheet!$A:$H,6,FALSE))</f>
        <v>0</v>
      </c>
      <c r="R139" s="31">
        <f>IFERROR(VLOOKUP($D139,bug_conf_sheet!$A:$H,7,FALSE),VLOOKUP("other",bug_conf_sheet!$A:$H,7,FALSE))</f>
        <v>0</v>
      </c>
      <c r="S139" s="31">
        <f>IFERROR(VLOOKUP($D139,bug_conf_sheet!$A:$H,8,FALSE),VLOOKUP("other",bug_conf_sheet!$A:$H,8,FALSE))</f>
        <v>1</v>
      </c>
    </row>
    <row r="140" spans="1:19" ht="21" customHeight="1">
      <c r="A140" s="2">
        <f>input_3!A$2</f>
        <v>3123</v>
      </c>
      <c r="B140" s="7" t="str">
        <f t="shared" si="7"/>
        <v>PremiumSS4</v>
      </c>
      <c r="C140" s="7" t="str">
        <f t="shared" si="8"/>
        <v>PremiumSS</v>
      </c>
      <c r="D140" s="6">
        <v>322</v>
      </c>
      <c r="E140" s="7" t="str">
        <f>VLOOKUP(D140,[1]characters!$A:$C,3,FALSE)</f>
        <v>愛志士 土方歳三</v>
      </c>
      <c r="F140" s="7" t="str">
        <f>VLOOKUP(D140,[1]characters!$A:$J,10,FALSE)</f>
        <v>PremiumSS</v>
      </c>
      <c r="G140" s="7">
        <f>VLOOKUP(D140,[1]characters!$A:$I,9,FALSE)</f>
        <v>4</v>
      </c>
      <c r="H140" s="7" t="str">
        <f>VLOOKUP(D140,[1]characters!$A:$H,8,FALSE)</f>
        <v>green</v>
      </c>
      <c r="I140" s="7" t="str">
        <f>VLOOKUP(D140,[1]characters!$A:$K,11,FALSE)</f>
        <v>attack</v>
      </c>
      <c r="J140" s="7" t="str">
        <f>VLOOKUP(D140,[1]characters!$A:$M,13,FALSE)</f>
        <v>human</v>
      </c>
      <c r="K140" s="7" t="str">
        <f>VLOOKUP(D140,[1]characters!$A:$G,7,FALSE)</f>
        <v>女性</v>
      </c>
      <c r="L140" s="66">
        <f>IFERROR(VLOOKUP(D140,input_3!L:R,7,FALSE),VLOOKUP(tables_3!B140,input_3!A:H,8,FALSE))</f>
        <v>0</v>
      </c>
      <c r="M140" s="67">
        <f t="shared" si="6"/>
        <v>0</v>
      </c>
      <c r="N140" s="31">
        <f>IFERROR(VLOOKUP($D140,bug_conf_sheet!$A:$H,3,FALSE),VLOOKUP("other",bug_conf_sheet!$A:$H,3,FALSE))</f>
        <v>1</v>
      </c>
      <c r="O140" s="31">
        <f>IFERROR(VLOOKUP($D140,bug_conf_sheet!$A:$H,4,FALSE),VLOOKUP("other",bug_conf_sheet!$A:$H,4,FALSE))</f>
        <v>0</v>
      </c>
      <c r="P140" s="31">
        <f>IFERROR(VLOOKUP($D140,bug_conf_sheet!$A:$H,5,FALSE),VLOOKUP("other",bug_conf_sheet!$A:$H,5,FALSE))</f>
        <v>0</v>
      </c>
      <c r="Q140" s="31">
        <f>IFERROR(VLOOKUP($D140,bug_conf_sheet!$A:$H,6,FALSE),VLOOKUP("other",bug_conf_sheet!$A:$H,6,FALSE))</f>
        <v>0</v>
      </c>
      <c r="R140" s="31">
        <f>IFERROR(VLOOKUP($D140,bug_conf_sheet!$A:$H,7,FALSE),VLOOKUP("other",bug_conf_sheet!$A:$H,7,FALSE))</f>
        <v>0</v>
      </c>
      <c r="S140" s="31">
        <f>IFERROR(VLOOKUP($D140,bug_conf_sheet!$A:$H,8,FALSE),VLOOKUP("other",bug_conf_sheet!$A:$H,8,FALSE))</f>
        <v>1</v>
      </c>
    </row>
    <row r="141" spans="1:19" ht="21" customHeight="1">
      <c r="A141" s="2">
        <f>input_3!A$2</f>
        <v>3123</v>
      </c>
      <c r="B141" s="7" t="str">
        <f t="shared" si="7"/>
        <v>PremiumSS5</v>
      </c>
      <c r="C141" s="7" t="str">
        <f t="shared" si="8"/>
        <v>PremiumSS</v>
      </c>
      <c r="D141" s="6">
        <v>323</v>
      </c>
      <c r="E141" s="7" t="str">
        <f>VLOOKUP(D141,[1]characters!$A:$C,3,FALSE)</f>
        <v>流麗の愛志士 土方歳三</v>
      </c>
      <c r="F141" s="7" t="str">
        <f>VLOOKUP(D141,[1]characters!$A:$J,10,FALSE)</f>
        <v>PremiumSS</v>
      </c>
      <c r="G141" s="7">
        <f>VLOOKUP(D141,[1]characters!$A:$I,9,FALSE)</f>
        <v>5</v>
      </c>
      <c r="H141" s="7" t="str">
        <f>VLOOKUP(D141,[1]characters!$A:$H,8,FALSE)</f>
        <v>green</v>
      </c>
      <c r="I141" s="7" t="str">
        <f>VLOOKUP(D141,[1]characters!$A:$K,11,FALSE)</f>
        <v>attack</v>
      </c>
      <c r="J141" s="7" t="str">
        <f>VLOOKUP(D141,[1]characters!$A:$M,13,FALSE)</f>
        <v>human</v>
      </c>
      <c r="K141" s="7" t="str">
        <f>VLOOKUP(D141,[1]characters!$A:$G,7,FALSE)</f>
        <v>女性</v>
      </c>
      <c r="L141" s="66">
        <f>IFERROR(VLOOKUP(D141,input_3!L:R,7,FALSE),VLOOKUP(tables_3!B141,input_3!A:H,8,FALSE))</f>
        <v>27</v>
      </c>
      <c r="M141" s="67">
        <f t="shared" si="6"/>
        <v>7.6923076923076923E-4</v>
      </c>
      <c r="N141" s="31">
        <f>IFERROR(VLOOKUP($D141,bug_conf_sheet!$A:$H,3,FALSE),VLOOKUP("other",bug_conf_sheet!$A:$H,3,FALSE))</f>
        <v>1</v>
      </c>
      <c r="O141" s="31">
        <f>IFERROR(VLOOKUP($D141,bug_conf_sheet!$A:$H,4,FALSE),VLOOKUP("other",bug_conf_sheet!$A:$H,4,FALSE))</f>
        <v>0</v>
      </c>
      <c r="P141" s="31">
        <f>IFERROR(VLOOKUP($D141,bug_conf_sheet!$A:$H,5,FALSE),VLOOKUP("other",bug_conf_sheet!$A:$H,5,FALSE))</f>
        <v>0</v>
      </c>
      <c r="Q141" s="31">
        <f>IFERROR(VLOOKUP($D141,bug_conf_sheet!$A:$H,6,FALSE),VLOOKUP("other",bug_conf_sheet!$A:$H,6,FALSE))</f>
        <v>0</v>
      </c>
      <c r="R141" s="31">
        <f>IFERROR(VLOOKUP($D141,bug_conf_sheet!$A:$H,7,FALSE),VLOOKUP("other",bug_conf_sheet!$A:$H,7,FALSE))</f>
        <v>0</v>
      </c>
      <c r="S141" s="31">
        <f>IFERROR(VLOOKUP($D141,bug_conf_sheet!$A:$H,8,FALSE),VLOOKUP("other",bug_conf_sheet!$A:$H,8,FALSE))</f>
        <v>1</v>
      </c>
    </row>
    <row r="142" spans="1:19" ht="21" customHeight="1">
      <c r="A142" s="2">
        <f>input_3!A$2</f>
        <v>3123</v>
      </c>
      <c r="B142" s="7" t="str">
        <f t="shared" si="7"/>
        <v>PremiumSS4</v>
      </c>
      <c r="C142" s="7" t="str">
        <f t="shared" si="8"/>
        <v>PremiumSS</v>
      </c>
      <c r="D142" s="6">
        <v>324</v>
      </c>
      <c r="E142" s="7" t="str">
        <f>VLOOKUP(D142,[1]characters!$A:$C,3,FALSE)</f>
        <v>凛志士 沖田総司</v>
      </c>
      <c r="F142" s="7" t="str">
        <f>VLOOKUP(D142,[1]characters!$A:$J,10,FALSE)</f>
        <v>PremiumSS</v>
      </c>
      <c r="G142" s="7">
        <f>VLOOKUP(D142,[1]characters!$A:$I,9,FALSE)</f>
        <v>4</v>
      </c>
      <c r="H142" s="7" t="str">
        <f>VLOOKUP(D142,[1]characters!$A:$H,8,FALSE)</f>
        <v>blue</v>
      </c>
      <c r="I142" s="7" t="str">
        <f>VLOOKUP(D142,[1]characters!$A:$K,11,FALSE)</f>
        <v>balance</v>
      </c>
      <c r="J142" s="7" t="str">
        <f>VLOOKUP(D142,[1]characters!$A:$M,13,FALSE)</f>
        <v>human</v>
      </c>
      <c r="K142" s="7" t="str">
        <f>VLOOKUP(D142,[1]characters!$A:$G,7,FALSE)</f>
        <v>女性</v>
      </c>
      <c r="L142" s="66">
        <f>IFERROR(VLOOKUP(D142,input_3!L:R,7,FALSE),VLOOKUP(tables_3!B142,input_3!A:H,8,FALSE))</f>
        <v>0</v>
      </c>
      <c r="M142" s="67">
        <f t="shared" si="6"/>
        <v>0</v>
      </c>
      <c r="N142" s="31">
        <f>IFERROR(VLOOKUP($D142,bug_conf_sheet!$A:$H,3,FALSE),VLOOKUP("other",bug_conf_sheet!$A:$H,3,FALSE))</f>
        <v>1</v>
      </c>
      <c r="O142" s="31">
        <f>IFERROR(VLOOKUP($D142,bug_conf_sheet!$A:$H,4,FALSE),VLOOKUP("other",bug_conf_sheet!$A:$H,4,FALSE))</f>
        <v>0</v>
      </c>
      <c r="P142" s="31">
        <f>IFERROR(VLOOKUP($D142,bug_conf_sheet!$A:$H,5,FALSE),VLOOKUP("other",bug_conf_sheet!$A:$H,5,FALSE))</f>
        <v>0</v>
      </c>
      <c r="Q142" s="31">
        <f>IFERROR(VLOOKUP($D142,bug_conf_sheet!$A:$H,6,FALSE),VLOOKUP("other",bug_conf_sheet!$A:$H,6,FALSE))</f>
        <v>0</v>
      </c>
      <c r="R142" s="31">
        <f>IFERROR(VLOOKUP($D142,bug_conf_sheet!$A:$H,7,FALSE),VLOOKUP("other",bug_conf_sheet!$A:$H,7,FALSE))</f>
        <v>0</v>
      </c>
      <c r="S142" s="31">
        <f>IFERROR(VLOOKUP($D142,bug_conf_sheet!$A:$H,8,FALSE),VLOOKUP("other",bug_conf_sheet!$A:$H,8,FALSE))</f>
        <v>1</v>
      </c>
    </row>
    <row r="143" spans="1:19" s="12" customFormat="1" ht="21" customHeight="1" thickBot="1">
      <c r="A143" s="2">
        <f>input_3!A$2</f>
        <v>3123</v>
      </c>
      <c r="B143" s="7" t="str">
        <f t="shared" si="7"/>
        <v>PremiumSS5</v>
      </c>
      <c r="C143" s="7" t="str">
        <f t="shared" si="8"/>
        <v>PremiumSS</v>
      </c>
      <c r="D143" s="6">
        <v>325</v>
      </c>
      <c r="E143" s="7" t="str">
        <f>VLOOKUP(D143,[1]characters!$A:$C,3,FALSE)</f>
        <v>天賦の凛志士 沖田総司</v>
      </c>
      <c r="F143" s="7" t="str">
        <f>VLOOKUP(D143,[1]characters!$A:$J,10,FALSE)</f>
        <v>PremiumSS</v>
      </c>
      <c r="G143" s="7">
        <f>VLOOKUP(D143,[1]characters!$A:$I,9,FALSE)</f>
        <v>5</v>
      </c>
      <c r="H143" s="7" t="str">
        <f>VLOOKUP(D143,[1]characters!$A:$H,8,FALSE)</f>
        <v>blue</v>
      </c>
      <c r="I143" s="7" t="str">
        <f>VLOOKUP(D143,[1]characters!$A:$K,11,FALSE)</f>
        <v>balance</v>
      </c>
      <c r="J143" s="7" t="str">
        <f>VLOOKUP(D143,[1]characters!$A:$M,13,FALSE)</f>
        <v>human</v>
      </c>
      <c r="K143" s="7" t="str">
        <f>VLOOKUP(D143,[1]characters!$A:$G,7,FALSE)</f>
        <v>女性</v>
      </c>
      <c r="L143" s="66">
        <f>IFERROR(VLOOKUP(D143,input_3!L:R,7,FALSE),VLOOKUP(tables_3!B143,input_3!A:H,8,FALSE))</f>
        <v>27</v>
      </c>
      <c r="M143" s="67">
        <f t="shared" si="6"/>
        <v>7.6923076923076923E-4</v>
      </c>
      <c r="N143" s="31">
        <f>IFERROR(VLOOKUP($D143,bug_conf_sheet!$A:$H,3,FALSE),VLOOKUP("other",bug_conf_sheet!$A:$H,3,FALSE))</f>
        <v>1</v>
      </c>
      <c r="O143" s="31">
        <f>IFERROR(VLOOKUP($D143,bug_conf_sheet!$A:$H,4,FALSE),VLOOKUP("other",bug_conf_sheet!$A:$H,4,FALSE))</f>
        <v>0</v>
      </c>
      <c r="P143" s="31">
        <f>IFERROR(VLOOKUP($D143,bug_conf_sheet!$A:$H,5,FALSE),VLOOKUP("other",bug_conf_sheet!$A:$H,5,FALSE))</f>
        <v>0</v>
      </c>
      <c r="Q143" s="31">
        <f>IFERROR(VLOOKUP($D143,bug_conf_sheet!$A:$H,6,FALSE),VLOOKUP("other",bug_conf_sheet!$A:$H,6,FALSE))</f>
        <v>0</v>
      </c>
      <c r="R143" s="31">
        <f>IFERROR(VLOOKUP($D143,bug_conf_sheet!$A:$H,7,FALSE),VLOOKUP("other",bug_conf_sheet!$A:$H,7,FALSE))</f>
        <v>0</v>
      </c>
      <c r="S143" s="31">
        <f>IFERROR(VLOOKUP($D143,bug_conf_sheet!$A:$H,8,FALSE),VLOOKUP("other",bug_conf_sheet!$A:$H,8,FALSE))</f>
        <v>1</v>
      </c>
    </row>
    <row r="144" spans="1:19" ht="21" customHeight="1">
      <c r="A144" s="2">
        <f>input_3!A$2</f>
        <v>3123</v>
      </c>
      <c r="B144" s="7" t="str">
        <f t="shared" si="7"/>
        <v>PremiumSS4</v>
      </c>
      <c r="C144" s="7" t="str">
        <f t="shared" si="8"/>
        <v>PremiumSS</v>
      </c>
      <c r="D144" s="6">
        <v>326</v>
      </c>
      <c r="E144" s="7" t="str">
        <f>VLOOKUP(D144,[1]characters!$A:$C,3,FALSE)</f>
        <v>妖志士 斎藤一</v>
      </c>
      <c r="F144" s="7" t="str">
        <f>VLOOKUP(D144,[1]characters!$A:$J,10,FALSE)</f>
        <v>PremiumSS</v>
      </c>
      <c r="G144" s="7">
        <f>VLOOKUP(D144,[1]characters!$A:$I,9,FALSE)</f>
        <v>4</v>
      </c>
      <c r="H144" s="7" t="str">
        <f>VLOOKUP(D144,[1]characters!$A:$H,8,FALSE)</f>
        <v>yellow</v>
      </c>
      <c r="I144" s="7" t="str">
        <f>VLOOKUP(D144,[1]characters!$A:$K,11,FALSE)</f>
        <v>technical</v>
      </c>
      <c r="J144" s="7" t="str">
        <f>VLOOKUP(D144,[1]characters!$A:$M,13,FALSE)</f>
        <v>human</v>
      </c>
      <c r="K144" s="7" t="str">
        <f>VLOOKUP(D144,[1]characters!$A:$G,7,FALSE)</f>
        <v>女性</v>
      </c>
      <c r="L144" s="66">
        <f>IFERROR(VLOOKUP(D144,input_3!L:R,7,FALSE),VLOOKUP(tables_3!B144,input_3!A:H,8,FALSE))</f>
        <v>0</v>
      </c>
      <c r="M144" s="67">
        <f t="shared" si="6"/>
        <v>0</v>
      </c>
      <c r="N144" s="31">
        <f>IFERROR(VLOOKUP($D144,bug_conf_sheet!$A:$H,3,FALSE),VLOOKUP("other",bug_conf_sheet!$A:$H,3,FALSE))</f>
        <v>1</v>
      </c>
      <c r="O144" s="31">
        <f>IFERROR(VLOOKUP($D144,bug_conf_sheet!$A:$H,4,FALSE),VLOOKUP("other",bug_conf_sheet!$A:$H,4,FALSE))</f>
        <v>0</v>
      </c>
      <c r="P144" s="31">
        <f>IFERROR(VLOOKUP($D144,bug_conf_sheet!$A:$H,5,FALSE),VLOOKUP("other",bug_conf_sheet!$A:$H,5,FALSE))</f>
        <v>0</v>
      </c>
      <c r="Q144" s="31">
        <f>IFERROR(VLOOKUP($D144,bug_conf_sheet!$A:$H,6,FALSE),VLOOKUP("other",bug_conf_sheet!$A:$H,6,FALSE))</f>
        <v>0</v>
      </c>
      <c r="R144" s="31">
        <f>IFERROR(VLOOKUP($D144,bug_conf_sheet!$A:$H,7,FALSE),VLOOKUP("other",bug_conf_sheet!$A:$H,7,FALSE))</f>
        <v>0</v>
      </c>
      <c r="S144" s="31">
        <f>IFERROR(VLOOKUP($D144,bug_conf_sheet!$A:$H,8,FALSE),VLOOKUP("other",bug_conf_sheet!$A:$H,8,FALSE))</f>
        <v>1</v>
      </c>
    </row>
    <row r="145" spans="1:19" ht="21" customHeight="1">
      <c r="A145" s="2">
        <f>input_3!A$2</f>
        <v>3123</v>
      </c>
      <c r="B145" s="7" t="str">
        <f t="shared" si="7"/>
        <v>PremiumSS5</v>
      </c>
      <c r="C145" s="7" t="str">
        <f t="shared" si="8"/>
        <v>PremiumSS</v>
      </c>
      <c r="D145" s="6">
        <v>327</v>
      </c>
      <c r="E145" s="7" t="str">
        <f>VLOOKUP(D145,[1]characters!$A:$C,3,FALSE)</f>
        <v>千殺の妖志士 斎藤一</v>
      </c>
      <c r="F145" s="7" t="str">
        <f>VLOOKUP(D145,[1]characters!$A:$J,10,FALSE)</f>
        <v>PremiumSS</v>
      </c>
      <c r="G145" s="7">
        <f>VLOOKUP(D145,[1]characters!$A:$I,9,FALSE)</f>
        <v>5</v>
      </c>
      <c r="H145" s="7" t="str">
        <f>VLOOKUP(D145,[1]characters!$A:$H,8,FALSE)</f>
        <v>yellow</v>
      </c>
      <c r="I145" s="7" t="str">
        <f>VLOOKUP(D145,[1]characters!$A:$K,11,FALSE)</f>
        <v>technical</v>
      </c>
      <c r="J145" s="7" t="str">
        <f>VLOOKUP(D145,[1]characters!$A:$M,13,FALSE)</f>
        <v>human</v>
      </c>
      <c r="K145" s="7" t="str">
        <f>VLOOKUP(D145,[1]characters!$A:$G,7,FALSE)</f>
        <v>女性</v>
      </c>
      <c r="L145" s="66">
        <f>IFERROR(VLOOKUP(D145,input_3!L:R,7,FALSE),VLOOKUP(tables_3!B145,input_3!A:H,8,FALSE))</f>
        <v>27</v>
      </c>
      <c r="M145" s="67">
        <f t="shared" si="6"/>
        <v>7.6923076923076923E-4</v>
      </c>
      <c r="N145" s="31">
        <f>IFERROR(VLOOKUP($D145,bug_conf_sheet!$A:$H,3,FALSE),VLOOKUP("other",bug_conf_sheet!$A:$H,3,FALSE))</f>
        <v>1</v>
      </c>
      <c r="O145" s="31">
        <f>IFERROR(VLOOKUP($D145,bug_conf_sheet!$A:$H,4,FALSE),VLOOKUP("other",bug_conf_sheet!$A:$H,4,FALSE))</f>
        <v>0</v>
      </c>
      <c r="P145" s="31">
        <f>IFERROR(VLOOKUP($D145,bug_conf_sheet!$A:$H,5,FALSE),VLOOKUP("other",bug_conf_sheet!$A:$H,5,FALSE))</f>
        <v>0</v>
      </c>
      <c r="Q145" s="31">
        <f>IFERROR(VLOOKUP($D145,bug_conf_sheet!$A:$H,6,FALSE),VLOOKUP("other",bug_conf_sheet!$A:$H,6,FALSE))</f>
        <v>0</v>
      </c>
      <c r="R145" s="31">
        <f>IFERROR(VLOOKUP($D145,bug_conf_sheet!$A:$H,7,FALSE),VLOOKUP("other",bug_conf_sheet!$A:$H,7,FALSE))</f>
        <v>0</v>
      </c>
      <c r="S145" s="31">
        <f>IFERROR(VLOOKUP($D145,bug_conf_sheet!$A:$H,8,FALSE),VLOOKUP("other",bug_conf_sheet!$A:$H,8,FALSE))</f>
        <v>1</v>
      </c>
    </row>
    <row r="146" spans="1:19" ht="21" customHeight="1">
      <c r="A146" s="2">
        <f>input_3!A$2</f>
        <v>3123</v>
      </c>
      <c r="B146" s="7" t="str">
        <f t="shared" si="7"/>
        <v>Premium3</v>
      </c>
      <c r="C146" s="7" t="str">
        <f t="shared" si="8"/>
        <v>Premium</v>
      </c>
      <c r="D146" s="6">
        <v>380</v>
      </c>
      <c r="E146" s="7" t="str">
        <f>VLOOKUP(D146,[1]characters!$A:$C,3,FALSE)</f>
        <v>バハムート</v>
      </c>
      <c r="F146" s="7" t="str">
        <f>VLOOKUP(D146,[1]characters!$A:$J,10,FALSE)</f>
        <v>PremiumS</v>
      </c>
      <c r="G146" s="7">
        <f>VLOOKUP(D146,[1]characters!$A:$I,9,FALSE)</f>
        <v>3</v>
      </c>
      <c r="H146" s="7" t="str">
        <f>VLOOKUP(D146,[1]characters!$A:$H,8,FALSE)</f>
        <v>red</v>
      </c>
      <c r="I146" s="7" t="str">
        <f>VLOOKUP(D146,[1]characters!$A:$K,11,FALSE)</f>
        <v>technical</v>
      </c>
      <c r="J146" s="7" t="str">
        <f>VLOOKUP(D146,[1]characters!$A:$M,13,FALSE)</f>
        <v>dragon</v>
      </c>
      <c r="K146" s="7" t="str">
        <f>VLOOKUP(D146,[1]characters!$A:$G,7,FALSE)</f>
        <v>女性</v>
      </c>
      <c r="L146" s="66">
        <f>IFERROR(VLOOKUP(D146,input_3!L:R,7,FALSE),VLOOKUP(tables_3!B146,input_3!A:H,8,FALSE))</f>
        <v>0</v>
      </c>
      <c r="M146" s="67">
        <f t="shared" si="6"/>
        <v>0</v>
      </c>
      <c r="N146" s="31">
        <f>IFERROR(VLOOKUP($D146,bug_conf_sheet!$A:$H,3,FALSE),VLOOKUP("other",bug_conf_sheet!$A:$H,3,FALSE))</f>
        <v>1</v>
      </c>
      <c r="O146" s="31">
        <f>IFERROR(VLOOKUP($D146,bug_conf_sheet!$A:$H,4,FALSE),VLOOKUP("other",bug_conf_sheet!$A:$H,4,FALSE))</f>
        <v>0</v>
      </c>
      <c r="P146" s="31">
        <f>IFERROR(VLOOKUP($D146,bug_conf_sheet!$A:$H,5,FALSE),VLOOKUP("other",bug_conf_sheet!$A:$H,5,FALSE))</f>
        <v>0</v>
      </c>
      <c r="Q146" s="31">
        <f>IFERROR(VLOOKUP($D146,bug_conf_sheet!$A:$H,6,FALSE),VLOOKUP("other",bug_conf_sheet!$A:$H,6,FALSE))</f>
        <v>0</v>
      </c>
      <c r="R146" s="31">
        <f>IFERROR(VLOOKUP($D146,bug_conf_sheet!$A:$H,7,FALSE),VLOOKUP("other",bug_conf_sheet!$A:$H,7,FALSE))</f>
        <v>0</v>
      </c>
      <c r="S146" s="31">
        <f>IFERROR(VLOOKUP($D146,bug_conf_sheet!$A:$H,8,FALSE),VLOOKUP("other",bug_conf_sheet!$A:$H,8,FALSE))</f>
        <v>1</v>
      </c>
    </row>
    <row r="147" spans="1:19" ht="21" customHeight="1">
      <c r="A147" s="2">
        <f>input_3!A$2</f>
        <v>3123</v>
      </c>
      <c r="B147" s="7" t="str">
        <f t="shared" si="7"/>
        <v>Premium4</v>
      </c>
      <c r="C147" s="7" t="str">
        <f t="shared" si="8"/>
        <v>Premium</v>
      </c>
      <c r="D147" s="6">
        <v>381</v>
      </c>
      <c r="E147" s="7" t="str">
        <f>VLOOKUP(D147,[1]characters!$A:$C,3,FALSE)</f>
        <v>肉食の恋火 バハムート</v>
      </c>
      <c r="F147" s="7" t="str">
        <f>VLOOKUP(D147,[1]characters!$A:$J,10,FALSE)</f>
        <v>PremiumS</v>
      </c>
      <c r="G147" s="7">
        <f>VLOOKUP(D147,[1]characters!$A:$I,9,FALSE)</f>
        <v>4</v>
      </c>
      <c r="H147" s="7" t="str">
        <f>VLOOKUP(D147,[1]characters!$A:$H,8,FALSE)</f>
        <v>red</v>
      </c>
      <c r="I147" s="7" t="str">
        <f>VLOOKUP(D147,[1]characters!$A:$K,11,FALSE)</f>
        <v>technical</v>
      </c>
      <c r="J147" s="7" t="str">
        <f>VLOOKUP(D147,[1]characters!$A:$M,13,FALSE)</f>
        <v>dragon</v>
      </c>
      <c r="K147" s="7" t="str">
        <f>VLOOKUP(D147,[1]characters!$A:$G,7,FALSE)</f>
        <v>女性</v>
      </c>
      <c r="L147" s="66">
        <f>IFERROR(VLOOKUP(D147,input_3!L:R,7,FALSE),VLOOKUP(tables_3!B147,input_3!A:H,8,FALSE))</f>
        <v>0</v>
      </c>
      <c r="M147" s="67">
        <f t="shared" si="6"/>
        <v>0</v>
      </c>
      <c r="N147" s="31">
        <f>IFERROR(VLOOKUP($D147,bug_conf_sheet!$A:$H,3,FALSE),VLOOKUP("other",bug_conf_sheet!$A:$H,3,FALSE))</f>
        <v>1</v>
      </c>
      <c r="O147" s="31">
        <f>IFERROR(VLOOKUP($D147,bug_conf_sheet!$A:$H,4,FALSE),VLOOKUP("other",bug_conf_sheet!$A:$H,4,FALSE))</f>
        <v>0</v>
      </c>
      <c r="P147" s="31">
        <f>IFERROR(VLOOKUP($D147,bug_conf_sheet!$A:$H,5,FALSE),VLOOKUP("other",bug_conf_sheet!$A:$H,5,FALSE))</f>
        <v>0</v>
      </c>
      <c r="Q147" s="31">
        <f>IFERROR(VLOOKUP($D147,bug_conf_sheet!$A:$H,6,FALSE),VLOOKUP("other",bug_conf_sheet!$A:$H,6,FALSE))</f>
        <v>0</v>
      </c>
      <c r="R147" s="31">
        <f>IFERROR(VLOOKUP($D147,bug_conf_sheet!$A:$H,7,FALSE),VLOOKUP("other",bug_conf_sheet!$A:$H,7,FALSE))</f>
        <v>0</v>
      </c>
      <c r="S147" s="31">
        <f>IFERROR(VLOOKUP($D147,bug_conf_sheet!$A:$H,8,FALSE),VLOOKUP("other",bug_conf_sheet!$A:$H,8,FALSE))</f>
        <v>1</v>
      </c>
    </row>
    <row r="148" spans="1:19" ht="21" customHeight="1">
      <c r="A148" s="2">
        <f>input_3!A$2</f>
        <v>3123</v>
      </c>
      <c r="B148" s="7" t="str">
        <f t="shared" si="7"/>
        <v>Premium5</v>
      </c>
      <c r="C148" s="7" t="str">
        <f t="shared" si="8"/>
        <v>Premium</v>
      </c>
      <c r="D148" s="6">
        <v>382</v>
      </c>
      <c r="E148" s="7" t="str">
        <f>VLOOKUP(D148,[1]characters!$A:$C,3,FALSE)</f>
        <v>激情の愛炎 バハムート</v>
      </c>
      <c r="F148" s="7" t="str">
        <f>VLOOKUP(D148,[1]characters!$A:$J,10,FALSE)</f>
        <v>PremiumS</v>
      </c>
      <c r="G148" s="7">
        <f>VLOOKUP(D148,[1]characters!$A:$I,9,FALSE)</f>
        <v>5</v>
      </c>
      <c r="H148" s="7" t="str">
        <f>VLOOKUP(D148,[1]characters!$A:$H,8,FALSE)</f>
        <v>red</v>
      </c>
      <c r="I148" s="7" t="str">
        <f>VLOOKUP(D148,[1]characters!$A:$K,11,FALSE)</f>
        <v>technical</v>
      </c>
      <c r="J148" s="7" t="str">
        <f>VLOOKUP(D148,[1]characters!$A:$M,13,FALSE)</f>
        <v>dragon</v>
      </c>
      <c r="K148" s="7" t="str">
        <f>VLOOKUP(D148,[1]characters!$A:$G,7,FALSE)</f>
        <v>女性</v>
      </c>
      <c r="L148" s="66">
        <f>IFERROR(VLOOKUP(D148,input_3!L:R,7,FALSE),VLOOKUP(tables_3!B148,input_3!A:H,8,FALSE))</f>
        <v>637</v>
      </c>
      <c r="M148" s="67">
        <f t="shared" si="6"/>
        <v>1.8148148148148149E-2</v>
      </c>
      <c r="N148" s="31">
        <f>IFERROR(VLOOKUP($D148,bug_conf_sheet!$A:$H,3,FALSE),VLOOKUP("other",bug_conf_sheet!$A:$H,3,FALSE))</f>
        <v>1</v>
      </c>
      <c r="O148" s="31">
        <f>IFERROR(VLOOKUP($D148,bug_conf_sheet!$A:$H,4,FALSE),VLOOKUP("other",bug_conf_sheet!$A:$H,4,FALSE))</f>
        <v>0</v>
      </c>
      <c r="P148" s="31">
        <f>IFERROR(VLOOKUP($D148,bug_conf_sheet!$A:$H,5,FALSE),VLOOKUP("other",bug_conf_sheet!$A:$H,5,FALSE))</f>
        <v>0</v>
      </c>
      <c r="Q148" s="31">
        <f>IFERROR(VLOOKUP($D148,bug_conf_sheet!$A:$H,6,FALSE),VLOOKUP("other",bug_conf_sheet!$A:$H,6,FALSE))</f>
        <v>0</v>
      </c>
      <c r="R148" s="31">
        <f>IFERROR(VLOOKUP($D148,bug_conf_sheet!$A:$H,7,FALSE),VLOOKUP("other",bug_conf_sheet!$A:$H,7,FALSE))</f>
        <v>0</v>
      </c>
      <c r="S148" s="31">
        <f>IFERROR(VLOOKUP($D148,bug_conf_sheet!$A:$H,8,FALSE),VLOOKUP("other",bug_conf_sheet!$A:$H,8,FALSE))</f>
        <v>1</v>
      </c>
    </row>
    <row r="149" spans="1:19" ht="21" customHeight="1">
      <c r="A149" s="2">
        <f>input_3!A$2</f>
        <v>3123</v>
      </c>
      <c r="B149" s="7" t="str">
        <f t="shared" si="7"/>
        <v>PremiumSS4</v>
      </c>
      <c r="C149" s="7" t="str">
        <f t="shared" si="8"/>
        <v>PremiumSS</v>
      </c>
      <c r="D149" s="6">
        <v>383</v>
      </c>
      <c r="E149" s="7" t="str">
        <f>VLOOKUP(D149,[1]characters!$A:$C,3,FALSE)</f>
        <v>酒宴の蟒蛇 ヤマタノオロチ</v>
      </c>
      <c r="F149" s="7" t="str">
        <f>VLOOKUP(D149,[1]characters!$A:$J,10,FALSE)</f>
        <v>PremiumSS</v>
      </c>
      <c r="G149" s="7">
        <f>VLOOKUP(D149,[1]characters!$A:$I,9,FALSE)</f>
        <v>4</v>
      </c>
      <c r="H149" s="7" t="str">
        <f>VLOOKUP(D149,[1]characters!$A:$H,8,FALSE)</f>
        <v>green</v>
      </c>
      <c r="I149" s="7" t="str">
        <f>VLOOKUP(D149,[1]characters!$A:$K,11,FALSE)</f>
        <v>hp</v>
      </c>
      <c r="J149" s="7" t="str">
        <f>VLOOKUP(D149,[1]characters!$A:$M,13,FALSE)</f>
        <v>dragon</v>
      </c>
      <c r="K149" s="7" t="str">
        <f>VLOOKUP(D149,[1]characters!$A:$G,7,FALSE)</f>
        <v>女性</v>
      </c>
      <c r="L149" s="66">
        <f>IFERROR(VLOOKUP(D149,input_3!L:R,7,FALSE),VLOOKUP(tables_3!B149,input_3!A:H,8,FALSE))</f>
        <v>0</v>
      </c>
      <c r="M149" s="67">
        <f t="shared" si="6"/>
        <v>0</v>
      </c>
      <c r="N149" s="31">
        <f>IFERROR(VLOOKUP($D149,bug_conf_sheet!$A:$H,3,FALSE),VLOOKUP("other",bug_conf_sheet!$A:$H,3,FALSE))</f>
        <v>1</v>
      </c>
      <c r="O149" s="31">
        <f>IFERROR(VLOOKUP($D149,bug_conf_sheet!$A:$H,4,FALSE),VLOOKUP("other",bug_conf_sheet!$A:$H,4,FALSE))</f>
        <v>0</v>
      </c>
      <c r="P149" s="31">
        <f>IFERROR(VLOOKUP($D149,bug_conf_sheet!$A:$H,5,FALSE),VLOOKUP("other",bug_conf_sheet!$A:$H,5,FALSE))</f>
        <v>0</v>
      </c>
      <c r="Q149" s="31">
        <f>IFERROR(VLOOKUP($D149,bug_conf_sheet!$A:$H,6,FALSE),VLOOKUP("other",bug_conf_sheet!$A:$H,6,FALSE))</f>
        <v>0</v>
      </c>
      <c r="R149" s="31">
        <f>IFERROR(VLOOKUP($D149,bug_conf_sheet!$A:$H,7,FALSE),VLOOKUP("other",bug_conf_sheet!$A:$H,7,FALSE))</f>
        <v>0</v>
      </c>
      <c r="S149" s="31">
        <f>IFERROR(VLOOKUP($D149,bug_conf_sheet!$A:$H,8,FALSE),VLOOKUP("other",bug_conf_sheet!$A:$H,8,FALSE))</f>
        <v>1</v>
      </c>
    </row>
    <row r="150" spans="1:19" ht="21" customHeight="1">
      <c r="A150" s="2">
        <f>input_3!A$2</f>
        <v>3123</v>
      </c>
      <c r="B150" s="7" t="str">
        <f t="shared" si="7"/>
        <v>PremiumSS5</v>
      </c>
      <c r="C150" s="7" t="str">
        <f t="shared" si="8"/>
        <v>PremiumSS</v>
      </c>
      <c r="D150" s="6">
        <v>384</v>
      </c>
      <c r="E150" s="7" t="str">
        <f>VLOOKUP(D150,[1]characters!$A:$C,3,FALSE)</f>
        <v>破国の呑龍 ヤマタノオロチ</v>
      </c>
      <c r="F150" s="7" t="str">
        <f>VLOOKUP(D150,[1]characters!$A:$J,10,FALSE)</f>
        <v>PremiumSS</v>
      </c>
      <c r="G150" s="7">
        <f>VLOOKUP(D150,[1]characters!$A:$I,9,FALSE)</f>
        <v>5</v>
      </c>
      <c r="H150" s="7" t="str">
        <f>VLOOKUP(D150,[1]characters!$A:$H,8,FALSE)</f>
        <v>green</v>
      </c>
      <c r="I150" s="7" t="str">
        <f>VLOOKUP(D150,[1]characters!$A:$K,11,FALSE)</f>
        <v>hp</v>
      </c>
      <c r="J150" s="7" t="str">
        <f>VLOOKUP(D150,[1]characters!$A:$M,13,FALSE)</f>
        <v>dragon</v>
      </c>
      <c r="K150" s="7" t="str">
        <f>VLOOKUP(D150,[1]characters!$A:$G,7,FALSE)</f>
        <v>女性</v>
      </c>
      <c r="L150" s="66">
        <f>IFERROR(VLOOKUP(D150,input_3!L:R,7,FALSE),VLOOKUP(tables_3!B150,input_3!A:H,8,FALSE))</f>
        <v>27</v>
      </c>
      <c r="M150" s="67">
        <f t="shared" si="6"/>
        <v>7.6923076923076923E-4</v>
      </c>
      <c r="N150" s="31">
        <f>IFERROR(VLOOKUP($D150,bug_conf_sheet!$A:$H,3,FALSE),VLOOKUP("other",bug_conf_sheet!$A:$H,3,FALSE))</f>
        <v>1</v>
      </c>
      <c r="O150" s="31">
        <f>IFERROR(VLOOKUP($D150,bug_conf_sheet!$A:$H,4,FALSE),VLOOKUP("other",bug_conf_sheet!$A:$H,4,FALSE))</f>
        <v>0</v>
      </c>
      <c r="P150" s="31">
        <f>IFERROR(VLOOKUP($D150,bug_conf_sheet!$A:$H,5,FALSE),VLOOKUP("other",bug_conf_sheet!$A:$H,5,FALSE))</f>
        <v>0</v>
      </c>
      <c r="Q150" s="31">
        <f>IFERROR(VLOOKUP($D150,bug_conf_sheet!$A:$H,6,FALSE),VLOOKUP("other",bug_conf_sheet!$A:$H,6,FALSE))</f>
        <v>0</v>
      </c>
      <c r="R150" s="31">
        <f>IFERROR(VLOOKUP($D150,bug_conf_sheet!$A:$H,7,FALSE),VLOOKUP("other",bug_conf_sheet!$A:$H,7,FALSE))</f>
        <v>0</v>
      </c>
      <c r="S150" s="31">
        <f>IFERROR(VLOOKUP($D150,bug_conf_sheet!$A:$H,8,FALSE),VLOOKUP("other",bug_conf_sheet!$A:$H,8,FALSE))</f>
        <v>1</v>
      </c>
    </row>
    <row r="151" spans="1:19" ht="21" customHeight="1">
      <c r="A151" s="2">
        <f>input_3!A$2</f>
        <v>3123</v>
      </c>
      <c r="B151" s="7" t="str">
        <f t="shared" si="7"/>
        <v>PremiumSS4</v>
      </c>
      <c r="C151" s="7" t="str">
        <f t="shared" si="8"/>
        <v>PremiumSS</v>
      </c>
      <c r="D151" s="6">
        <v>385</v>
      </c>
      <c r="E151" s="7" t="str">
        <f>VLOOKUP(D151,[1]characters!$A:$C,3,FALSE)</f>
        <v>波烈の出奔 リヴァイアサン</v>
      </c>
      <c r="F151" s="7" t="str">
        <f>VLOOKUP(D151,[1]characters!$A:$J,10,FALSE)</f>
        <v>PremiumSS</v>
      </c>
      <c r="G151" s="7">
        <f>VLOOKUP(D151,[1]characters!$A:$I,9,FALSE)</f>
        <v>4</v>
      </c>
      <c r="H151" s="7" t="str">
        <f>VLOOKUP(D151,[1]characters!$A:$H,8,FALSE)</f>
        <v>blue</v>
      </c>
      <c r="I151" s="7" t="str">
        <f>VLOOKUP(D151,[1]characters!$A:$K,11,FALSE)</f>
        <v>balance</v>
      </c>
      <c r="J151" s="7" t="str">
        <f>VLOOKUP(D151,[1]characters!$A:$M,13,FALSE)</f>
        <v>dragon</v>
      </c>
      <c r="K151" s="7" t="str">
        <f>VLOOKUP(D151,[1]characters!$A:$G,7,FALSE)</f>
        <v>女性</v>
      </c>
      <c r="L151" s="66">
        <f>IFERROR(VLOOKUP(D151,input_3!L:R,7,FALSE),VLOOKUP(tables_3!B151,input_3!A:H,8,FALSE))</f>
        <v>0</v>
      </c>
      <c r="M151" s="67">
        <f t="shared" si="6"/>
        <v>0</v>
      </c>
      <c r="N151" s="31">
        <f>IFERROR(VLOOKUP($D151,bug_conf_sheet!$A:$H,3,FALSE),VLOOKUP("other",bug_conf_sheet!$A:$H,3,FALSE))</f>
        <v>1</v>
      </c>
      <c r="O151" s="31">
        <f>IFERROR(VLOOKUP($D151,bug_conf_sheet!$A:$H,4,FALSE),VLOOKUP("other",bug_conf_sheet!$A:$H,4,FALSE))</f>
        <v>0</v>
      </c>
      <c r="P151" s="31">
        <f>IFERROR(VLOOKUP($D151,bug_conf_sheet!$A:$H,5,FALSE),VLOOKUP("other",bug_conf_sheet!$A:$H,5,FALSE))</f>
        <v>0</v>
      </c>
      <c r="Q151" s="31">
        <f>IFERROR(VLOOKUP($D151,bug_conf_sheet!$A:$H,6,FALSE),VLOOKUP("other",bug_conf_sheet!$A:$H,6,FALSE))</f>
        <v>0</v>
      </c>
      <c r="R151" s="31">
        <f>IFERROR(VLOOKUP($D151,bug_conf_sheet!$A:$H,7,FALSE),VLOOKUP("other",bug_conf_sheet!$A:$H,7,FALSE))</f>
        <v>0</v>
      </c>
      <c r="S151" s="31">
        <f>IFERROR(VLOOKUP($D151,bug_conf_sheet!$A:$H,8,FALSE),VLOOKUP("other",bug_conf_sheet!$A:$H,8,FALSE))</f>
        <v>1</v>
      </c>
    </row>
    <row r="152" spans="1:19" ht="21" customHeight="1">
      <c r="A152" s="2">
        <f>input_3!A$2</f>
        <v>3123</v>
      </c>
      <c r="B152" s="7" t="str">
        <f t="shared" si="7"/>
        <v>PremiumSS5</v>
      </c>
      <c r="C152" s="7" t="str">
        <f t="shared" si="8"/>
        <v>PremiumSS</v>
      </c>
      <c r="D152" s="6">
        <v>386</v>
      </c>
      <c r="E152" s="7" t="str">
        <f>VLOOKUP(D152,[1]characters!$A:$C,3,FALSE)</f>
        <v>氾乱の海龍 リヴァイアサン</v>
      </c>
      <c r="F152" s="7" t="str">
        <f>VLOOKUP(D152,[1]characters!$A:$J,10,FALSE)</f>
        <v>PremiumSS</v>
      </c>
      <c r="G152" s="7">
        <f>VLOOKUP(D152,[1]characters!$A:$I,9,FALSE)</f>
        <v>5</v>
      </c>
      <c r="H152" s="7" t="str">
        <f>VLOOKUP(D152,[1]characters!$A:$H,8,FALSE)</f>
        <v>blue</v>
      </c>
      <c r="I152" s="7" t="str">
        <f>VLOOKUP(D152,[1]characters!$A:$K,11,FALSE)</f>
        <v>balance</v>
      </c>
      <c r="J152" s="7" t="str">
        <f>VLOOKUP(D152,[1]characters!$A:$M,13,FALSE)</f>
        <v>dragon</v>
      </c>
      <c r="K152" s="7" t="str">
        <f>VLOOKUP(D152,[1]characters!$A:$G,7,FALSE)</f>
        <v>女性</v>
      </c>
      <c r="L152" s="66">
        <f>IFERROR(VLOOKUP(D152,input_3!L:R,7,FALSE),VLOOKUP(tables_3!B152,input_3!A:H,8,FALSE))</f>
        <v>27</v>
      </c>
      <c r="M152" s="67">
        <f t="shared" si="6"/>
        <v>7.6923076923076923E-4</v>
      </c>
      <c r="N152" s="31">
        <f>IFERROR(VLOOKUP($D152,bug_conf_sheet!$A:$H,3,FALSE),VLOOKUP("other",bug_conf_sheet!$A:$H,3,FALSE))</f>
        <v>1</v>
      </c>
      <c r="O152" s="31">
        <f>IFERROR(VLOOKUP($D152,bug_conf_sheet!$A:$H,4,FALSE),VLOOKUP("other",bug_conf_sheet!$A:$H,4,FALSE))</f>
        <v>0</v>
      </c>
      <c r="P152" s="31">
        <f>IFERROR(VLOOKUP($D152,bug_conf_sheet!$A:$H,5,FALSE),VLOOKUP("other",bug_conf_sheet!$A:$H,5,FALSE))</f>
        <v>0</v>
      </c>
      <c r="Q152" s="31">
        <f>IFERROR(VLOOKUP($D152,bug_conf_sheet!$A:$H,6,FALSE),VLOOKUP("other",bug_conf_sheet!$A:$H,6,FALSE))</f>
        <v>0</v>
      </c>
      <c r="R152" s="31">
        <f>IFERROR(VLOOKUP($D152,bug_conf_sheet!$A:$H,7,FALSE),VLOOKUP("other",bug_conf_sheet!$A:$H,7,FALSE))</f>
        <v>0</v>
      </c>
      <c r="S152" s="31">
        <f>IFERROR(VLOOKUP($D152,bug_conf_sheet!$A:$H,8,FALSE),VLOOKUP("other",bug_conf_sheet!$A:$H,8,FALSE))</f>
        <v>1</v>
      </c>
    </row>
    <row r="153" spans="1:19" ht="21" customHeight="1">
      <c r="A153" s="2">
        <f>input_3!A$2</f>
        <v>3123</v>
      </c>
      <c r="B153" s="7" t="str">
        <f t="shared" si="7"/>
        <v>Premium3</v>
      </c>
      <c r="C153" s="7" t="str">
        <f t="shared" si="8"/>
        <v>Premium</v>
      </c>
      <c r="D153" s="6">
        <v>387</v>
      </c>
      <c r="E153" s="7" t="str">
        <f>VLOOKUP(D153,[1]characters!$A:$C,3,FALSE)</f>
        <v>スフィンクス</v>
      </c>
      <c r="F153" s="7" t="str">
        <f>VLOOKUP(D153,[1]characters!$A:$J,10,FALSE)</f>
        <v>PremiumS</v>
      </c>
      <c r="G153" s="7">
        <f>VLOOKUP(D153,[1]characters!$A:$I,9,FALSE)</f>
        <v>3</v>
      </c>
      <c r="H153" s="7" t="str">
        <f>VLOOKUP(D153,[1]characters!$A:$H,8,FALSE)</f>
        <v>yellow</v>
      </c>
      <c r="I153" s="7" t="str">
        <f>VLOOKUP(D153,[1]characters!$A:$K,11,FALSE)</f>
        <v>heal</v>
      </c>
      <c r="J153" s="7" t="str">
        <f>VLOOKUP(D153,[1]characters!$A:$M,13,FALSE)</f>
        <v>animal</v>
      </c>
      <c r="K153" s="7" t="str">
        <f>VLOOKUP(D153,[1]characters!$A:$G,7,FALSE)</f>
        <v>女性</v>
      </c>
      <c r="L153" s="66">
        <f>IFERROR(VLOOKUP(D153,input_3!L:R,7,FALSE),VLOOKUP(tables_3!B153,input_3!A:H,8,FALSE))</f>
        <v>0</v>
      </c>
      <c r="M153" s="67">
        <f t="shared" si="6"/>
        <v>0</v>
      </c>
      <c r="N153" s="31">
        <f>IFERROR(VLOOKUP($D153,bug_conf_sheet!$A:$H,3,FALSE),VLOOKUP("other",bug_conf_sheet!$A:$H,3,FALSE))</f>
        <v>1</v>
      </c>
      <c r="O153" s="31">
        <f>IFERROR(VLOOKUP($D153,bug_conf_sheet!$A:$H,4,FALSE),VLOOKUP("other",bug_conf_sheet!$A:$H,4,FALSE))</f>
        <v>0</v>
      </c>
      <c r="P153" s="31">
        <f>IFERROR(VLOOKUP($D153,bug_conf_sheet!$A:$H,5,FALSE),VLOOKUP("other",bug_conf_sheet!$A:$H,5,FALSE))</f>
        <v>0</v>
      </c>
      <c r="Q153" s="31">
        <f>IFERROR(VLOOKUP($D153,bug_conf_sheet!$A:$H,6,FALSE),VLOOKUP("other",bug_conf_sheet!$A:$H,6,FALSE))</f>
        <v>0</v>
      </c>
      <c r="R153" s="31">
        <f>IFERROR(VLOOKUP($D153,bug_conf_sheet!$A:$H,7,FALSE),VLOOKUP("other",bug_conf_sheet!$A:$H,7,FALSE))</f>
        <v>0</v>
      </c>
      <c r="S153" s="31">
        <f>IFERROR(VLOOKUP($D153,bug_conf_sheet!$A:$H,8,FALSE),VLOOKUP("other",bug_conf_sheet!$A:$H,8,FALSE))</f>
        <v>1</v>
      </c>
    </row>
    <row r="154" spans="1:19" ht="21" customHeight="1">
      <c r="A154" s="2">
        <f>input_3!A$2</f>
        <v>3123</v>
      </c>
      <c r="B154" s="7" t="str">
        <f t="shared" si="7"/>
        <v>Premium4</v>
      </c>
      <c r="C154" s="7" t="str">
        <f t="shared" si="8"/>
        <v>Premium</v>
      </c>
      <c r="D154" s="6">
        <v>388</v>
      </c>
      <c r="E154" s="7" t="str">
        <f>VLOOKUP(D154,[1]characters!$A:$C,3,FALSE)</f>
        <v>神円の恋姫 スフィンクス</v>
      </c>
      <c r="F154" s="7" t="str">
        <f>VLOOKUP(D154,[1]characters!$A:$J,10,FALSE)</f>
        <v>PremiumS</v>
      </c>
      <c r="G154" s="7">
        <f>VLOOKUP(D154,[1]characters!$A:$I,9,FALSE)</f>
        <v>4</v>
      </c>
      <c r="H154" s="7" t="str">
        <f>VLOOKUP(D154,[1]characters!$A:$H,8,FALSE)</f>
        <v>yellow</v>
      </c>
      <c r="I154" s="7" t="str">
        <f>VLOOKUP(D154,[1]characters!$A:$K,11,FALSE)</f>
        <v>heal</v>
      </c>
      <c r="J154" s="7" t="str">
        <f>VLOOKUP(D154,[1]characters!$A:$M,13,FALSE)</f>
        <v>animal</v>
      </c>
      <c r="K154" s="7" t="str">
        <f>VLOOKUP(D154,[1]characters!$A:$G,7,FALSE)</f>
        <v>女性</v>
      </c>
      <c r="L154" s="66">
        <f>IFERROR(VLOOKUP(D154,input_3!L:R,7,FALSE),VLOOKUP(tables_3!B154,input_3!A:H,8,FALSE))</f>
        <v>0</v>
      </c>
      <c r="M154" s="67">
        <f t="shared" si="6"/>
        <v>0</v>
      </c>
      <c r="N154" s="31">
        <f>IFERROR(VLOOKUP($D154,bug_conf_sheet!$A:$H,3,FALSE),VLOOKUP("other",bug_conf_sheet!$A:$H,3,FALSE))</f>
        <v>1</v>
      </c>
      <c r="O154" s="31">
        <f>IFERROR(VLOOKUP($D154,bug_conf_sheet!$A:$H,4,FALSE),VLOOKUP("other",bug_conf_sheet!$A:$H,4,FALSE))</f>
        <v>0</v>
      </c>
      <c r="P154" s="31">
        <f>IFERROR(VLOOKUP($D154,bug_conf_sheet!$A:$H,5,FALSE),VLOOKUP("other",bug_conf_sheet!$A:$H,5,FALSE))</f>
        <v>0</v>
      </c>
      <c r="Q154" s="31">
        <f>IFERROR(VLOOKUP($D154,bug_conf_sheet!$A:$H,6,FALSE),VLOOKUP("other",bug_conf_sheet!$A:$H,6,FALSE))</f>
        <v>0</v>
      </c>
      <c r="R154" s="31">
        <f>IFERROR(VLOOKUP($D154,bug_conf_sheet!$A:$H,7,FALSE),VLOOKUP("other",bug_conf_sheet!$A:$H,7,FALSE))</f>
        <v>0</v>
      </c>
      <c r="S154" s="31">
        <f>IFERROR(VLOOKUP($D154,bug_conf_sheet!$A:$H,8,FALSE),VLOOKUP("other",bug_conf_sheet!$A:$H,8,FALSE))</f>
        <v>1</v>
      </c>
    </row>
    <row r="155" spans="1:19" ht="21" customHeight="1">
      <c r="A155" s="2">
        <f>input_3!A$2</f>
        <v>3123</v>
      </c>
      <c r="B155" s="7" t="str">
        <f t="shared" si="7"/>
        <v>Premium5</v>
      </c>
      <c r="C155" s="7" t="str">
        <f t="shared" si="8"/>
        <v>Premium</v>
      </c>
      <c r="D155" s="6">
        <v>389</v>
      </c>
      <c r="E155" s="7" t="str">
        <f>VLOOKUP(D155,[1]characters!$A:$C,3,FALSE)</f>
        <v>操神の愛姫 スフィンクス</v>
      </c>
      <c r="F155" s="7" t="str">
        <f>VLOOKUP(D155,[1]characters!$A:$J,10,FALSE)</f>
        <v>PremiumS</v>
      </c>
      <c r="G155" s="7">
        <f>VLOOKUP(D155,[1]characters!$A:$I,9,FALSE)</f>
        <v>5</v>
      </c>
      <c r="H155" s="7" t="str">
        <f>VLOOKUP(D155,[1]characters!$A:$H,8,FALSE)</f>
        <v>yellow</v>
      </c>
      <c r="I155" s="7" t="str">
        <f>VLOOKUP(D155,[1]characters!$A:$K,11,FALSE)</f>
        <v>heal</v>
      </c>
      <c r="J155" s="7" t="str">
        <f>VLOOKUP(D155,[1]characters!$A:$M,13,FALSE)</f>
        <v>animal</v>
      </c>
      <c r="K155" s="7" t="str">
        <f>VLOOKUP(D155,[1]characters!$A:$G,7,FALSE)</f>
        <v>女性</v>
      </c>
      <c r="L155" s="66">
        <f>IFERROR(VLOOKUP(D155,input_3!L:R,7,FALSE),VLOOKUP(tables_3!B155,input_3!A:H,8,FALSE))</f>
        <v>637</v>
      </c>
      <c r="M155" s="67">
        <f t="shared" si="6"/>
        <v>1.8148148148148149E-2</v>
      </c>
      <c r="N155" s="31">
        <f>IFERROR(VLOOKUP($D155,bug_conf_sheet!$A:$H,3,FALSE),VLOOKUP("other",bug_conf_sheet!$A:$H,3,FALSE))</f>
        <v>1</v>
      </c>
      <c r="O155" s="31">
        <f>IFERROR(VLOOKUP($D155,bug_conf_sheet!$A:$H,4,FALSE),VLOOKUP("other",bug_conf_sheet!$A:$H,4,FALSE))</f>
        <v>0</v>
      </c>
      <c r="P155" s="31">
        <f>IFERROR(VLOOKUP($D155,bug_conf_sheet!$A:$H,5,FALSE),VLOOKUP("other",bug_conf_sheet!$A:$H,5,FALSE))</f>
        <v>0</v>
      </c>
      <c r="Q155" s="31">
        <f>IFERROR(VLOOKUP($D155,bug_conf_sheet!$A:$H,6,FALSE),VLOOKUP("other",bug_conf_sheet!$A:$H,6,FALSE))</f>
        <v>0</v>
      </c>
      <c r="R155" s="31">
        <f>IFERROR(VLOOKUP($D155,bug_conf_sheet!$A:$H,7,FALSE),VLOOKUP("other",bug_conf_sheet!$A:$H,7,FALSE))</f>
        <v>0</v>
      </c>
      <c r="S155" s="31">
        <f>IFERROR(VLOOKUP($D155,bug_conf_sheet!$A:$H,8,FALSE),VLOOKUP("other",bug_conf_sheet!$A:$H,8,FALSE))</f>
        <v>1</v>
      </c>
    </row>
    <row r="156" spans="1:19" ht="21" customHeight="1">
      <c r="A156" s="2">
        <f>input_3!A$2</f>
        <v>3123</v>
      </c>
      <c r="B156" s="7" t="str">
        <f t="shared" si="7"/>
        <v>PremiumSS4</v>
      </c>
      <c r="C156" s="7" t="str">
        <f t="shared" si="8"/>
        <v>PremiumSS</v>
      </c>
      <c r="D156" s="6">
        <v>390</v>
      </c>
      <c r="E156" s="7" t="str">
        <f>VLOOKUP(D156,[1]characters!$A:$C,3,FALSE)</f>
        <v>華環の旅客 親指姫</v>
      </c>
      <c r="F156" s="7" t="str">
        <f>VLOOKUP(D156,[1]characters!$A:$J,10,FALSE)</f>
        <v>PremiumSS</v>
      </c>
      <c r="G156" s="7">
        <f>VLOOKUP(D156,[1]characters!$A:$I,9,FALSE)</f>
        <v>4</v>
      </c>
      <c r="H156" s="7" t="str">
        <f>VLOOKUP(D156,[1]characters!$A:$H,8,FALSE)</f>
        <v>red</v>
      </c>
      <c r="I156" s="7" t="str">
        <f>VLOOKUP(D156,[1]characters!$A:$K,11,FALSE)</f>
        <v>heal</v>
      </c>
      <c r="J156" s="7" t="str">
        <f>VLOOKUP(D156,[1]characters!$A:$M,13,FALSE)</f>
        <v>human</v>
      </c>
      <c r="K156" s="7" t="str">
        <f>VLOOKUP(D156,[1]characters!$A:$G,7,FALSE)</f>
        <v>女性</v>
      </c>
      <c r="L156" s="66">
        <f>IFERROR(VLOOKUP(D156,input_3!L:R,7,FALSE),VLOOKUP(tables_3!B156,input_3!A:H,8,FALSE))</f>
        <v>0</v>
      </c>
      <c r="M156" s="67">
        <f t="shared" si="6"/>
        <v>0</v>
      </c>
      <c r="N156" s="31">
        <f>IFERROR(VLOOKUP($D156,bug_conf_sheet!$A:$H,3,FALSE),VLOOKUP("other",bug_conf_sheet!$A:$H,3,FALSE))</f>
        <v>1</v>
      </c>
      <c r="O156" s="31">
        <f>IFERROR(VLOOKUP($D156,bug_conf_sheet!$A:$H,4,FALSE),VLOOKUP("other",bug_conf_sheet!$A:$H,4,FALSE))</f>
        <v>0</v>
      </c>
      <c r="P156" s="31">
        <f>IFERROR(VLOOKUP($D156,bug_conf_sheet!$A:$H,5,FALSE),VLOOKUP("other",bug_conf_sheet!$A:$H,5,FALSE))</f>
        <v>0</v>
      </c>
      <c r="Q156" s="31">
        <f>IFERROR(VLOOKUP($D156,bug_conf_sheet!$A:$H,6,FALSE),VLOOKUP("other",bug_conf_sheet!$A:$H,6,FALSE))</f>
        <v>0</v>
      </c>
      <c r="R156" s="31">
        <f>IFERROR(VLOOKUP($D156,bug_conf_sheet!$A:$H,7,FALSE),VLOOKUP("other",bug_conf_sheet!$A:$H,7,FALSE))</f>
        <v>0</v>
      </c>
      <c r="S156" s="31">
        <f>IFERROR(VLOOKUP($D156,bug_conf_sheet!$A:$H,8,FALSE),VLOOKUP("other",bug_conf_sheet!$A:$H,8,FALSE))</f>
        <v>1</v>
      </c>
    </row>
    <row r="157" spans="1:19" ht="21" customHeight="1">
      <c r="A157" s="2">
        <f>input_3!A$2</f>
        <v>3123</v>
      </c>
      <c r="B157" s="7" t="str">
        <f t="shared" si="7"/>
        <v>PremiumSS5</v>
      </c>
      <c r="C157" s="7" t="str">
        <f t="shared" si="8"/>
        <v>PremiumSS</v>
      </c>
      <c r="D157" s="6">
        <v>391</v>
      </c>
      <c r="E157" s="7" t="str">
        <f>VLOOKUP(D157,[1]characters!$A:$C,3,FALSE)</f>
        <v>燕翼の旅人 親指姫</v>
      </c>
      <c r="F157" s="7" t="str">
        <f>VLOOKUP(D157,[1]characters!$A:$J,10,FALSE)</f>
        <v>PremiumSS</v>
      </c>
      <c r="G157" s="7">
        <f>VLOOKUP(D157,[1]characters!$A:$I,9,FALSE)</f>
        <v>5</v>
      </c>
      <c r="H157" s="7" t="str">
        <f>VLOOKUP(D157,[1]characters!$A:$H,8,FALSE)</f>
        <v>red</v>
      </c>
      <c r="I157" s="7" t="str">
        <f>VLOOKUP(D157,[1]characters!$A:$K,11,FALSE)</f>
        <v>heal</v>
      </c>
      <c r="J157" s="7" t="str">
        <f>VLOOKUP(D157,[1]characters!$A:$M,13,FALSE)</f>
        <v>human</v>
      </c>
      <c r="K157" s="7" t="str">
        <f>VLOOKUP(D157,[1]characters!$A:$G,7,FALSE)</f>
        <v>女性</v>
      </c>
      <c r="L157" s="66">
        <f>IFERROR(VLOOKUP(D157,input_3!L:R,7,FALSE),VLOOKUP(tables_3!B157,input_3!A:H,8,FALSE))</f>
        <v>27</v>
      </c>
      <c r="M157" s="67">
        <f t="shared" si="6"/>
        <v>7.6923076923076923E-4</v>
      </c>
      <c r="N157" s="31">
        <f>IFERROR(VLOOKUP($D157,bug_conf_sheet!$A:$H,3,FALSE),VLOOKUP("other",bug_conf_sheet!$A:$H,3,FALSE))</f>
        <v>1</v>
      </c>
      <c r="O157" s="31">
        <f>IFERROR(VLOOKUP($D157,bug_conf_sheet!$A:$H,4,FALSE),VLOOKUP("other",bug_conf_sheet!$A:$H,4,FALSE))</f>
        <v>0</v>
      </c>
      <c r="P157" s="31">
        <f>IFERROR(VLOOKUP($D157,bug_conf_sheet!$A:$H,5,FALSE),VLOOKUP("other",bug_conf_sheet!$A:$H,5,FALSE))</f>
        <v>0</v>
      </c>
      <c r="Q157" s="31">
        <f>IFERROR(VLOOKUP($D157,bug_conf_sheet!$A:$H,6,FALSE),VLOOKUP("other",bug_conf_sheet!$A:$H,6,FALSE))</f>
        <v>0</v>
      </c>
      <c r="R157" s="31">
        <f>IFERROR(VLOOKUP($D157,bug_conf_sheet!$A:$H,7,FALSE),VLOOKUP("other",bug_conf_sheet!$A:$H,7,FALSE))</f>
        <v>0</v>
      </c>
      <c r="S157" s="31">
        <f>IFERROR(VLOOKUP($D157,bug_conf_sheet!$A:$H,8,FALSE),VLOOKUP("other",bug_conf_sheet!$A:$H,8,FALSE))</f>
        <v>1</v>
      </c>
    </row>
    <row r="158" spans="1:19" ht="21" customHeight="1">
      <c r="A158" s="2">
        <f>input_3!A$2</f>
        <v>3123</v>
      </c>
      <c r="B158" s="7" t="str">
        <f t="shared" si="7"/>
        <v>Premium3</v>
      </c>
      <c r="C158" s="7" t="str">
        <f t="shared" si="8"/>
        <v>Premium</v>
      </c>
      <c r="D158" s="6">
        <v>392</v>
      </c>
      <c r="E158" s="7" t="str">
        <f>VLOOKUP(D158,[1]characters!$A:$C,3,FALSE)</f>
        <v>ピーターパン</v>
      </c>
      <c r="F158" s="7" t="str">
        <f>VLOOKUP(D158,[1]characters!$A:$J,10,FALSE)</f>
        <v>PremiumS</v>
      </c>
      <c r="G158" s="7">
        <f>VLOOKUP(D158,[1]characters!$A:$I,9,FALSE)</f>
        <v>3</v>
      </c>
      <c r="H158" s="7" t="str">
        <f>VLOOKUP(D158,[1]characters!$A:$H,8,FALSE)</f>
        <v>green</v>
      </c>
      <c r="I158" s="7" t="str">
        <f>VLOOKUP(D158,[1]characters!$A:$K,11,FALSE)</f>
        <v>attack</v>
      </c>
      <c r="J158" s="7" t="str">
        <f>VLOOKUP(D158,[1]characters!$A:$M,13,FALSE)</f>
        <v>human</v>
      </c>
      <c r="K158" s="7" t="str">
        <f>VLOOKUP(D158,[1]characters!$A:$G,7,FALSE)</f>
        <v>男性</v>
      </c>
      <c r="L158" s="66">
        <f>IFERROR(VLOOKUP(D158,input_3!L:R,7,FALSE),VLOOKUP(tables_3!B158,input_3!A:H,8,FALSE))</f>
        <v>0</v>
      </c>
      <c r="M158" s="67">
        <f t="shared" si="6"/>
        <v>0</v>
      </c>
      <c r="N158" s="31">
        <f>IFERROR(VLOOKUP($D158,bug_conf_sheet!$A:$H,3,FALSE),VLOOKUP("other",bug_conf_sheet!$A:$H,3,FALSE))</f>
        <v>1</v>
      </c>
      <c r="O158" s="31">
        <f>IFERROR(VLOOKUP($D158,bug_conf_sheet!$A:$H,4,FALSE),VLOOKUP("other",bug_conf_sheet!$A:$H,4,FALSE))</f>
        <v>0</v>
      </c>
      <c r="P158" s="31">
        <f>IFERROR(VLOOKUP($D158,bug_conf_sheet!$A:$H,5,FALSE),VLOOKUP("other",bug_conf_sheet!$A:$H,5,FALSE))</f>
        <v>0</v>
      </c>
      <c r="Q158" s="31">
        <f>IFERROR(VLOOKUP($D158,bug_conf_sheet!$A:$H,6,FALSE),VLOOKUP("other",bug_conf_sheet!$A:$H,6,FALSE))</f>
        <v>0</v>
      </c>
      <c r="R158" s="31">
        <f>IFERROR(VLOOKUP($D158,bug_conf_sheet!$A:$H,7,FALSE),VLOOKUP("other",bug_conf_sheet!$A:$H,7,FALSE))</f>
        <v>0</v>
      </c>
      <c r="S158" s="31">
        <f>IFERROR(VLOOKUP($D158,bug_conf_sheet!$A:$H,8,FALSE),VLOOKUP("other",bug_conf_sheet!$A:$H,8,FALSE))</f>
        <v>1</v>
      </c>
    </row>
    <row r="159" spans="1:19" ht="21" customHeight="1">
      <c r="A159" s="2">
        <f>input_3!A$2</f>
        <v>3123</v>
      </c>
      <c r="B159" s="7" t="str">
        <f t="shared" si="7"/>
        <v>Premium4</v>
      </c>
      <c r="C159" s="7" t="str">
        <f t="shared" si="8"/>
        <v>Premium</v>
      </c>
      <c r="D159" s="6">
        <v>393</v>
      </c>
      <c r="E159" s="7" t="str">
        <f>VLOOKUP(D159,[1]characters!$A:$C,3,FALSE)</f>
        <v>影縫い ピーターパン</v>
      </c>
      <c r="F159" s="7" t="str">
        <f>VLOOKUP(D159,[1]characters!$A:$J,10,FALSE)</f>
        <v>PremiumS</v>
      </c>
      <c r="G159" s="7">
        <f>VLOOKUP(D159,[1]characters!$A:$I,9,FALSE)</f>
        <v>4</v>
      </c>
      <c r="H159" s="7" t="str">
        <f>VLOOKUP(D159,[1]characters!$A:$H,8,FALSE)</f>
        <v>green</v>
      </c>
      <c r="I159" s="7" t="str">
        <f>VLOOKUP(D159,[1]characters!$A:$K,11,FALSE)</f>
        <v>attack</v>
      </c>
      <c r="J159" s="7" t="str">
        <f>VLOOKUP(D159,[1]characters!$A:$M,13,FALSE)</f>
        <v>human</v>
      </c>
      <c r="K159" s="7" t="str">
        <f>VLOOKUP(D159,[1]characters!$A:$G,7,FALSE)</f>
        <v>男性</v>
      </c>
      <c r="L159" s="66">
        <f>IFERROR(VLOOKUP(D159,input_3!L:R,7,FALSE),VLOOKUP(tables_3!B159,input_3!A:H,8,FALSE))</f>
        <v>0</v>
      </c>
      <c r="M159" s="67">
        <f t="shared" si="6"/>
        <v>0</v>
      </c>
      <c r="N159" s="31">
        <f>IFERROR(VLOOKUP($D159,bug_conf_sheet!$A:$H,3,FALSE),VLOOKUP("other",bug_conf_sheet!$A:$H,3,FALSE))</f>
        <v>1</v>
      </c>
      <c r="O159" s="31">
        <f>IFERROR(VLOOKUP($D159,bug_conf_sheet!$A:$H,4,FALSE),VLOOKUP("other",bug_conf_sheet!$A:$H,4,FALSE))</f>
        <v>0</v>
      </c>
      <c r="P159" s="31">
        <f>IFERROR(VLOOKUP($D159,bug_conf_sheet!$A:$H,5,FALSE),VLOOKUP("other",bug_conf_sheet!$A:$H,5,FALSE))</f>
        <v>0</v>
      </c>
      <c r="Q159" s="31">
        <f>IFERROR(VLOOKUP($D159,bug_conf_sheet!$A:$H,6,FALSE),VLOOKUP("other",bug_conf_sheet!$A:$H,6,FALSE))</f>
        <v>0</v>
      </c>
      <c r="R159" s="31">
        <f>IFERROR(VLOOKUP($D159,bug_conf_sheet!$A:$H,7,FALSE),VLOOKUP("other",bug_conf_sheet!$A:$H,7,FALSE))</f>
        <v>0</v>
      </c>
      <c r="S159" s="31">
        <f>IFERROR(VLOOKUP($D159,bug_conf_sheet!$A:$H,8,FALSE),VLOOKUP("other",bug_conf_sheet!$A:$H,8,FALSE))</f>
        <v>1</v>
      </c>
    </row>
    <row r="160" spans="1:19" ht="21" customHeight="1">
      <c r="A160" s="2">
        <f>input_3!A$2</f>
        <v>3123</v>
      </c>
      <c r="B160" s="7" t="str">
        <f t="shared" si="7"/>
        <v>Premium5</v>
      </c>
      <c r="C160" s="7" t="str">
        <f t="shared" si="8"/>
        <v>Premium</v>
      </c>
      <c r="D160" s="6">
        <v>394</v>
      </c>
      <c r="E160" s="7" t="str">
        <f>VLOOKUP(D160,[1]characters!$A:$C,3,FALSE)</f>
        <v>影求の悪童 ピーターパン</v>
      </c>
      <c r="F160" s="7" t="str">
        <f>VLOOKUP(D160,[1]characters!$A:$J,10,FALSE)</f>
        <v>PremiumS</v>
      </c>
      <c r="G160" s="7">
        <f>VLOOKUP(D160,[1]characters!$A:$I,9,FALSE)</f>
        <v>5</v>
      </c>
      <c r="H160" s="7" t="str">
        <f>VLOOKUP(D160,[1]characters!$A:$H,8,FALSE)</f>
        <v>green</v>
      </c>
      <c r="I160" s="7" t="str">
        <f>VLOOKUP(D160,[1]characters!$A:$K,11,FALSE)</f>
        <v>attack</v>
      </c>
      <c r="J160" s="7" t="str">
        <f>VLOOKUP(D160,[1]characters!$A:$M,13,FALSE)</f>
        <v>human</v>
      </c>
      <c r="K160" s="7" t="str">
        <f>VLOOKUP(D160,[1]characters!$A:$G,7,FALSE)</f>
        <v>男性</v>
      </c>
      <c r="L160" s="66">
        <f>IFERROR(VLOOKUP(D160,input_3!L:R,7,FALSE),VLOOKUP(tables_3!B160,input_3!A:H,8,FALSE))</f>
        <v>637</v>
      </c>
      <c r="M160" s="67">
        <f t="shared" si="6"/>
        <v>1.8148148148148149E-2</v>
      </c>
      <c r="N160" s="31">
        <f>IFERROR(VLOOKUP($D160,bug_conf_sheet!$A:$H,3,FALSE),VLOOKUP("other",bug_conf_sheet!$A:$H,3,FALSE))</f>
        <v>1</v>
      </c>
      <c r="O160" s="31">
        <f>IFERROR(VLOOKUP($D160,bug_conf_sheet!$A:$H,4,FALSE),VLOOKUP("other",bug_conf_sheet!$A:$H,4,FALSE))</f>
        <v>0</v>
      </c>
      <c r="P160" s="31">
        <f>IFERROR(VLOOKUP($D160,bug_conf_sheet!$A:$H,5,FALSE),VLOOKUP("other",bug_conf_sheet!$A:$H,5,FALSE))</f>
        <v>0</v>
      </c>
      <c r="Q160" s="31">
        <f>IFERROR(VLOOKUP($D160,bug_conf_sheet!$A:$H,6,FALSE),VLOOKUP("other",bug_conf_sheet!$A:$H,6,FALSE))</f>
        <v>0</v>
      </c>
      <c r="R160" s="31">
        <f>IFERROR(VLOOKUP($D160,bug_conf_sheet!$A:$H,7,FALSE),VLOOKUP("other",bug_conf_sheet!$A:$H,7,FALSE))</f>
        <v>0</v>
      </c>
      <c r="S160" s="31">
        <f>IFERROR(VLOOKUP($D160,bug_conf_sheet!$A:$H,8,FALSE),VLOOKUP("other",bug_conf_sheet!$A:$H,8,FALSE))</f>
        <v>1</v>
      </c>
    </row>
    <row r="161" spans="1:19" ht="21" customHeight="1">
      <c r="A161" s="2">
        <f>input_3!A$2</f>
        <v>3123</v>
      </c>
      <c r="B161" s="7" t="str">
        <f t="shared" si="7"/>
        <v>Premium3</v>
      </c>
      <c r="C161" s="7" t="str">
        <f t="shared" si="8"/>
        <v>Premium</v>
      </c>
      <c r="D161" s="6">
        <v>395</v>
      </c>
      <c r="E161" s="7" t="str">
        <f>VLOOKUP(D161,[1]characters!$A:$C,3,FALSE)</f>
        <v>乙姫</v>
      </c>
      <c r="F161" s="7" t="str">
        <f>VLOOKUP(D161,[1]characters!$A:$J,10,FALSE)</f>
        <v>PremiumS</v>
      </c>
      <c r="G161" s="7">
        <f>VLOOKUP(D161,[1]characters!$A:$I,9,FALSE)</f>
        <v>3</v>
      </c>
      <c r="H161" s="7" t="str">
        <f>VLOOKUP(D161,[1]characters!$A:$H,8,FALSE)</f>
        <v>blue</v>
      </c>
      <c r="I161" s="7" t="str">
        <f>VLOOKUP(D161,[1]characters!$A:$K,11,FALSE)</f>
        <v>hp</v>
      </c>
      <c r="J161" s="7" t="str">
        <f>VLOOKUP(D161,[1]characters!$A:$M,13,FALSE)</f>
        <v>human</v>
      </c>
      <c r="K161" s="7" t="str">
        <f>VLOOKUP(D161,[1]characters!$A:$G,7,FALSE)</f>
        <v>女性</v>
      </c>
      <c r="L161" s="66">
        <f>IFERROR(VLOOKUP(D161,input_3!L:R,7,FALSE),VLOOKUP(tables_3!B161,input_3!A:H,8,FALSE))</f>
        <v>0</v>
      </c>
      <c r="M161" s="67">
        <f t="shared" si="6"/>
        <v>0</v>
      </c>
      <c r="N161" s="31">
        <f>IFERROR(VLOOKUP($D161,bug_conf_sheet!$A:$H,3,FALSE),VLOOKUP("other",bug_conf_sheet!$A:$H,3,FALSE))</f>
        <v>1</v>
      </c>
      <c r="O161" s="31">
        <f>IFERROR(VLOOKUP($D161,bug_conf_sheet!$A:$H,4,FALSE),VLOOKUP("other",bug_conf_sheet!$A:$H,4,FALSE))</f>
        <v>0</v>
      </c>
      <c r="P161" s="31">
        <f>IFERROR(VLOOKUP($D161,bug_conf_sheet!$A:$H,5,FALSE),VLOOKUP("other",bug_conf_sheet!$A:$H,5,FALSE))</f>
        <v>0</v>
      </c>
      <c r="Q161" s="31">
        <f>IFERROR(VLOOKUP($D161,bug_conf_sheet!$A:$H,6,FALSE),VLOOKUP("other",bug_conf_sheet!$A:$H,6,FALSE))</f>
        <v>0</v>
      </c>
      <c r="R161" s="31">
        <f>IFERROR(VLOOKUP($D161,bug_conf_sheet!$A:$H,7,FALSE),VLOOKUP("other",bug_conf_sheet!$A:$H,7,FALSE))</f>
        <v>0</v>
      </c>
      <c r="S161" s="31">
        <f>IFERROR(VLOOKUP($D161,bug_conf_sheet!$A:$H,8,FALSE),VLOOKUP("other",bug_conf_sheet!$A:$H,8,FALSE))</f>
        <v>1</v>
      </c>
    </row>
    <row r="162" spans="1:19" ht="21" customHeight="1">
      <c r="A162" s="2">
        <f>input_3!A$2</f>
        <v>3123</v>
      </c>
      <c r="B162" s="7" t="str">
        <f t="shared" si="7"/>
        <v>Premium4</v>
      </c>
      <c r="C162" s="7" t="str">
        <f t="shared" si="8"/>
        <v>Premium</v>
      </c>
      <c r="D162" s="6">
        <v>396</v>
      </c>
      <c r="E162" s="7" t="str">
        <f>VLOOKUP(D162,[1]characters!$A:$C,3,FALSE)</f>
        <v>竜宮の水雷 乙姫</v>
      </c>
      <c r="F162" s="7" t="str">
        <f>VLOOKUP(D162,[1]characters!$A:$J,10,FALSE)</f>
        <v>PremiumS</v>
      </c>
      <c r="G162" s="7">
        <f>VLOOKUP(D162,[1]characters!$A:$I,9,FALSE)</f>
        <v>4</v>
      </c>
      <c r="H162" s="7" t="str">
        <f>VLOOKUP(D162,[1]characters!$A:$H,8,FALSE)</f>
        <v>blue</v>
      </c>
      <c r="I162" s="7" t="str">
        <f>VLOOKUP(D162,[1]characters!$A:$K,11,FALSE)</f>
        <v>hp</v>
      </c>
      <c r="J162" s="7" t="str">
        <f>VLOOKUP(D162,[1]characters!$A:$M,13,FALSE)</f>
        <v>human</v>
      </c>
      <c r="K162" s="7" t="str">
        <f>VLOOKUP(D162,[1]characters!$A:$G,7,FALSE)</f>
        <v>女性</v>
      </c>
      <c r="L162" s="66">
        <f>IFERROR(VLOOKUP(D162,input_3!L:R,7,FALSE),VLOOKUP(tables_3!B162,input_3!A:H,8,FALSE))</f>
        <v>0</v>
      </c>
      <c r="M162" s="67">
        <f t="shared" si="6"/>
        <v>0</v>
      </c>
      <c r="N162" s="31">
        <f>IFERROR(VLOOKUP($D162,bug_conf_sheet!$A:$H,3,FALSE),VLOOKUP("other",bug_conf_sheet!$A:$H,3,FALSE))</f>
        <v>1</v>
      </c>
      <c r="O162" s="31">
        <f>IFERROR(VLOOKUP($D162,bug_conf_sheet!$A:$H,4,FALSE),VLOOKUP("other",bug_conf_sheet!$A:$H,4,FALSE))</f>
        <v>0</v>
      </c>
      <c r="P162" s="31">
        <f>IFERROR(VLOOKUP($D162,bug_conf_sheet!$A:$H,5,FALSE),VLOOKUP("other",bug_conf_sheet!$A:$H,5,FALSE))</f>
        <v>0</v>
      </c>
      <c r="Q162" s="31">
        <f>IFERROR(VLOOKUP($D162,bug_conf_sheet!$A:$H,6,FALSE),VLOOKUP("other",bug_conf_sheet!$A:$H,6,FALSE))</f>
        <v>0</v>
      </c>
      <c r="R162" s="31">
        <f>IFERROR(VLOOKUP($D162,bug_conf_sheet!$A:$H,7,FALSE),VLOOKUP("other",bug_conf_sheet!$A:$H,7,FALSE))</f>
        <v>0</v>
      </c>
      <c r="S162" s="31">
        <f>IFERROR(VLOOKUP($D162,bug_conf_sheet!$A:$H,8,FALSE),VLOOKUP("other",bug_conf_sheet!$A:$H,8,FALSE))</f>
        <v>1</v>
      </c>
    </row>
    <row r="163" spans="1:19" ht="21" customHeight="1">
      <c r="A163" s="2">
        <f>input_3!A$2</f>
        <v>3123</v>
      </c>
      <c r="B163" s="7" t="str">
        <f t="shared" si="7"/>
        <v>Premium5</v>
      </c>
      <c r="C163" s="7" t="str">
        <f t="shared" si="8"/>
        <v>Premium</v>
      </c>
      <c r="D163" s="6">
        <v>397</v>
      </c>
      <c r="E163" s="7" t="str">
        <f>VLOOKUP(D163,[1]characters!$A:$C,3,FALSE)</f>
        <v>禁断の追箱 乙姫</v>
      </c>
      <c r="F163" s="7" t="str">
        <f>VLOOKUP(D163,[1]characters!$A:$J,10,FALSE)</f>
        <v>PremiumS</v>
      </c>
      <c r="G163" s="7">
        <f>VLOOKUP(D163,[1]characters!$A:$I,9,FALSE)</f>
        <v>5</v>
      </c>
      <c r="H163" s="7" t="str">
        <f>VLOOKUP(D163,[1]characters!$A:$H,8,FALSE)</f>
        <v>blue</v>
      </c>
      <c r="I163" s="7" t="str">
        <f>VLOOKUP(D163,[1]characters!$A:$K,11,FALSE)</f>
        <v>hp</v>
      </c>
      <c r="J163" s="7" t="str">
        <f>VLOOKUP(D163,[1]characters!$A:$M,13,FALSE)</f>
        <v>human</v>
      </c>
      <c r="K163" s="7" t="str">
        <f>VLOOKUP(D163,[1]characters!$A:$G,7,FALSE)</f>
        <v>女性</v>
      </c>
      <c r="L163" s="66">
        <f>IFERROR(VLOOKUP(D163,input_3!L:R,7,FALSE),VLOOKUP(tables_3!B163,input_3!A:H,8,FALSE))</f>
        <v>637</v>
      </c>
      <c r="M163" s="67">
        <f t="shared" si="6"/>
        <v>1.8148148148148149E-2</v>
      </c>
      <c r="N163" s="31">
        <f>IFERROR(VLOOKUP($D163,bug_conf_sheet!$A:$H,3,FALSE),VLOOKUP("other",bug_conf_sheet!$A:$H,3,FALSE))</f>
        <v>1</v>
      </c>
      <c r="O163" s="31">
        <f>IFERROR(VLOOKUP($D163,bug_conf_sheet!$A:$H,4,FALSE),VLOOKUP("other",bug_conf_sheet!$A:$H,4,FALSE))</f>
        <v>0</v>
      </c>
      <c r="P163" s="31">
        <f>IFERROR(VLOOKUP($D163,bug_conf_sheet!$A:$H,5,FALSE),VLOOKUP("other",bug_conf_sheet!$A:$H,5,FALSE))</f>
        <v>0</v>
      </c>
      <c r="Q163" s="31">
        <f>IFERROR(VLOOKUP($D163,bug_conf_sheet!$A:$H,6,FALSE),VLOOKUP("other",bug_conf_sheet!$A:$H,6,FALSE))</f>
        <v>0</v>
      </c>
      <c r="R163" s="31">
        <f>IFERROR(VLOOKUP($D163,bug_conf_sheet!$A:$H,7,FALSE),VLOOKUP("other",bug_conf_sheet!$A:$H,7,FALSE))</f>
        <v>0</v>
      </c>
      <c r="S163" s="31">
        <f>IFERROR(VLOOKUP($D163,bug_conf_sheet!$A:$H,8,FALSE),VLOOKUP("other",bug_conf_sheet!$A:$H,8,FALSE))</f>
        <v>1</v>
      </c>
    </row>
    <row r="164" spans="1:19" ht="21" customHeight="1">
      <c r="A164" s="2">
        <f>input_3!A$2</f>
        <v>3123</v>
      </c>
      <c r="B164" s="7" t="str">
        <f t="shared" si="7"/>
        <v>PremiumSS4</v>
      </c>
      <c r="C164" s="7" t="str">
        <f t="shared" si="8"/>
        <v>PremiumSS</v>
      </c>
      <c r="D164" s="6">
        <v>398</v>
      </c>
      <c r="E164" s="7" t="str">
        <f>VLOOKUP(D164,[1]characters!$A:$C,3,FALSE)</f>
        <v>ヘンゼル＆グレーテル</v>
      </c>
      <c r="F164" s="7" t="str">
        <f>VLOOKUP(D164,[1]characters!$A:$J,10,FALSE)</f>
        <v>PremiumSS</v>
      </c>
      <c r="G164" s="7">
        <f>VLOOKUP(D164,[1]characters!$A:$I,9,FALSE)</f>
        <v>4</v>
      </c>
      <c r="H164" s="7" t="str">
        <f>VLOOKUP(D164,[1]characters!$A:$H,8,FALSE)</f>
        <v>yellow</v>
      </c>
      <c r="I164" s="7" t="str">
        <f>VLOOKUP(D164,[1]characters!$A:$K,11,FALSE)</f>
        <v>balance</v>
      </c>
      <c r="J164" s="7" t="str">
        <f>VLOOKUP(D164,[1]characters!$A:$M,13,FALSE)</f>
        <v>human</v>
      </c>
      <c r="K164" s="7" t="str">
        <f>VLOOKUP(D164,[1]characters!$A:$G,7,FALSE)</f>
        <v>女性</v>
      </c>
      <c r="L164" s="66">
        <f>IFERROR(VLOOKUP(D164,input_3!L:R,7,FALSE),VLOOKUP(tables_3!B164,input_3!A:H,8,FALSE))</f>
        <v>0</v>
      </c>
      <c r="M164" s="67">
        <f t="shared" si="6"/>
        <v>0</v>
      </c>
      <c r="N164" s="31">
        <f>IFERROR(VLOOKUP($D164,bug_conf_sheet!$A:$H,3,FALSE),VLOOKUP("other",bug_conf_sheet!$A:$H,3,FALSE))</f>
        <v>1</v>
      </c>
      <c r="O164" s="31">
        <f>IFERROR(VLOOKUP($D164,bug_conf_sheet!$A:$H,4,FALSE),VLOOKUP("other",bug_conf_sheet!$A:$H,4,FALSE))</f>
        <v>0</v>
      </c>
      <c r="P164" s="31">
        <f>IFERROR(VLOOKUP($D164,bug_conf_sheet!$A:$H,5,FALSE),VLOOKUP("other",bug_conf_sheet!$A:$H,5,FALSE))</f>
        <v>0</v>
      </c>
      <c r="Q164" s="31">
        <f>IFERROR(VLOOKUP($D164,bug_conf_sheet!$A:$H,6,FALSE),VLOOKUP("other",bug_conf_sheet!$A:$H,6,FALSE))</f>
        <v>0</v>
      </c>
      <c r="R164" s="31">
        <f>IFERROR(VLOOKUP($D164,bug_conf_sheet!$A:$H,7,FALSE),VLOOKUP("other",bug_conf_sheet!$A:$H,7,FALSE))</f>
        <v>0</v>
      </c>
      <c r="S164" s="31">
        <f>IFERROR(VLOOKUP($D164,bug_conf_sheet!$A:$H,8,FALSE),VLOOKUP("other",bug_conf_sheet!$A:$H,8,FALSE))</f>
        <v>1</v>
      </c>
    </row>
    <row r="165" spans="1:19" ht="21" customHeight="1">
      <c r="A165" s="2">
        <f>input_3!A$2</f>
        <v>3123</v>
      </c>
      <c r="B165" s="7" t="str">
        <f t="shared" si="7"/>
        <v>PremiumSS5</v>
      </c>
      <c r="C165" s="7" t="str">
        <f t="shared" si="8"/>
        <v>PremiumSS</v>
      </c>
      <c r="D165" s="6">
        <v>399</v>
      </c>
      <c r="E165" s="7" t="str">
        <f>VLOOKUP(D165,[1]characters!$A:$C,3,FALSE)</f>
        <v>信愛の兄妹 ヘンゼル＆グレーテル</v>
      </c>
      <c r="F165" s="7" t="str">
        <f>VLOOKUP(D165,[1]characters!$A:$J,10,FALSE)</f>
        <v>PremiumSS</v>
      </c>
      <c r="G165" s="7">
        <f>VLOOKUP(D165,[1]characters!$A:$I,9,FALSE)</f>
        <v>5</v>
      </c>
      <c r="H165" s="7" t="str">
        <f>VLOOKUP(D165,[1]characters!$A:$H,8,FALSE)</f>
        <v>yellow</v>
      </c>
      <c r="I165" s="7" t="str">
        <f>VLOOKUP(D165,[1]characters!$A:$K,11,FALSE)</f>
        <v>balance</v>
      </c>
      <c r="J165" s="7" t="str">
        <f>VLOOKUP(D165,[1]characters!$A:$M,13,FALSE)</f>
        <v>human</v>
      </c>
      <c r="K165" s="7" t="str">
        <f>VLOOKUP(D165,[1]characters!$A:$G,7,FALSE)</f>
        <v>女性</v>
      </c>
      <c r="L165" s="66">
        <f>IFERROR(VLOOKUP(D165,input_3!L:R,7,FALSE),VLOOKUP(tables_3!B165,input_3!A:H,8,FALSE))</f>
        <v>27</v>
      </c>
      <c r="M165" s="67">
        <f t="shared" si="6"/>
        <v>7.6923076923076923E-4</v>
      </c>
      <c r="N165" s="31">
        <f>IFERROR(VLOOKUP($D165,bug_conf_sheet!$A:$H,3,FALSE),VLOOKUP("other",bug_conf_sheet!$A:$H,3,FALSE))</f>
        <v>1</v>
      </c>
      <c r="O165" s="31">
        <f>IFERROR(VLOOKUP($D165,bug_conf_sheet!$A:$H,4,FALSE),VLOOKUP("other",bug_conf_sheet!$A:$H,4,FALSE))</f>
        <v>0</v>
      </c>
      <c r="P165" s="31">
        <f>IFERROR(VLOOKUP($D165,bug_conf_sheet!$A:$H,5,FALSE),VLOOKUP("other",bug_conf_sheet!$A:$H,5,FALSE))</f>
        <v>0</v>
      </c>
      <c r="Q165" s="31">
        <f>IFERROR(VLOOKUP($D165,bug_conf_sheet!$A:$H,6,FALSE),VLOOKUP("other",bug_conf_sheet!$A:$H,6,FALSE))</f>
        <v>0</v>
      </c>
      <c r="R165" s="31">
        <f>IFERROR(VLOOKUP($D165,bug_conf_sheet!$A:$H,7,FALSE),VLOOKUP("other",bug_conf_sheet!$A:$H,7,FALSE))</f>
        <v>0</v>
      </c>
      <c r="S165" s="31">
        <f>IFERROR(VLOOKUP($D165,bug_conf_sheet!$A:$H,8,FALSE),VLOOKUP("other",bug_conf_sheet!$A:$H,8,FALSE))</f>
        <v>1</v>
      </c>
    </row>
    <row r="166" spans="1:19" ht="21" customHeight="1">
      <c r="A166" s="2">
        <f>input_3!A$2</f>
        <v>3123</v>
      </c>
      <c r="B166" s="7" t="str">
        <f t="shared" si="7"/>
        <v>Premium3</v>
      </c>
      <c r="C166" s="7" t="str">
        <f t="shared" si="8"/>
        <v>Premium</v>
      </c>
      <c r="D166" s="6">
        <v>400</v>
      </c>
      <c r="E166" s="7" t="str">
        <f>VLOOKUP(D166,[1]characters!$A:$C,3,FALSE)</f>
        <v>フェンリル</v>
      </c>
      <c r="F166" s="7" t="str">
        <f>VLOOKUP(D166,[1]characters!$A:$J,10,FALSE)</f>
        <v>PremiumS</v>
      </c>
      <c r="G166" s="7">
        <f>VLOOKUP(D166,[1]characters!$A:$I,9,FALSE)</f>
        <v>3</v>
      </c>
      <c r="H166" s="7" t="str">
        <f>VLOOKUP(D166,[1]characters!$A:$H,8,FALSE)</f>
        <v>red</v>
      </c>
      <c r="I166" s="7" t="str">
        <f>VLOOKUP(D166,[1]characters!$A:$K,11,FALSE)</f>
        <v>attack</v>
      </c>
      <c r="J166" s="7" t="str">
        <f>VLOOKUP(D166,[1]characters!$A:$M,13,FALSE)</f>
        <v>animal</v>
      </c>
      <c r="K166" s="7" t="str">
        <f>VLOOKUP(D166,[1]characters!$A:$G,7,FALSE)</f>
        <v>女性</v>
      </c>
      <c r="L166" s="66">
        <f>IFERROR(VLOOKUP(D166,input_3!L:R,7,FALSE),VLOOKUP(tables_3!B166,input_3!A:H,8,FALSE))</f>
        <v>0</v>
      </c>
      <c r="M166" s="67">
        <f t="shared" si="6"/>
        <v>0</v>
      </c>
      <c r="N166" s="31">
        <f>IFERROR(VLOOKUP($D166,bug_conf_sheet!$A:$H,3,FALSE),VLOOKUP("other",bug_conf_sheet!$A:$H,3,FALSE))</f>
        <v>1</v>
      </c>
      <c r="O166" s="31">
        <f>IFERROR(VLOOKUP($D166,bug_conf_sheet!$A:$H,4,FALSE),VLOOKUP("other",bug_conf_sheet!$A:$H,4,FALSE))</f>
        <v>0</v>
      </c>
      <c r="P166" s="31">
        <f>IFERROR(VLOOKUP($D166,bug_conf_sheet!$A:$H,5,FALSE),VLOOKUP("other",bug_conf_sheet!$A:$H,5,FALSE))</f>
        <v>0</v>
      </c>
      <c r="Q166" s="31">
        <f>IFERROR(VLOOKUP($D166,bug_conf_sheet!$A:$H,6,FALSE),VLOOKUP("other",bug_conf_sheet!$A:$H,6,FALSE))</f>
        <v>0</v>
      </c>
      <c r="R166" s="31">
        <f>IFERROR(VLOOKUP($D166,bug_conf_sheet!$A:$H,7,FALSE),VLOOKUP("other",bug_conf_sheet!$A:$H,7,FALSE))</f>
        <v>0</v>
      </c>
      <c r="S166" s="31">
        <f>IFERROR(VLOOKUP($D166,bug_conf_sheet!$A:$H,8,FALSE),VLOOKUP("other",bug_conf_sheet!$A:$H,8,FALSE))</f>
        <v>1</v>
      </c>
    </row>
    <row r="167" spans="1:19" ht="21" customHeight="1">
      <c r="A167" s="2">
        <f>input_3!A$2</f>
        <v>3123</v>
      </c>
      <c r="B167" s="7" t="str">
        <f t="shared" si="7"/>
        <v>Premium4</v>
      </c>
      <c r="C167" s="7" t="str">
        <f t="shared" si="8"/>
        <v>Premium</v>
      </c>
      <c r="D167" s="6">
        <v>401</v>
      </c>
      <c r="E167" s="7" t="str">
        <f>VLOOKUP(D167,[1]characters!$A:$C,3,FALSE)</f>
        <v>紅銀の孤狼 フェンリル</v>
      </c>
      <c r="F167" s="7" t="str">
        <f>VLOOKUP(D167,[1]characters!$A:$J,10,FALSE)</f>
        <v>PremiumS</v>
      </c>
      <c r="G167" s="7">
        <f>VLOOKUP(D167,[1]characters!$A:$I,9,FALSE)</f>
        <v>4</v>
      </c>
      <c r="H167" s="7" t="str">
        <f>VLOOKUP(D167,[1]characters!$A:$H,8,FALSE)</f>
        <v>red</v>
      </c>
      <c r="I167" s="7" t="str">
        <f>VLOOKUP(D167,[1]characters!$A:$K,11,FALSE)</f>
        <v>attack</v>
      </c>
      <c r="J167" s="7" t="str">
        <f>VLOOKUP(D167,[1]characters!$A:$M,13,FALSE)</f>
        <v>animal</v>
      </c>
      <c r="K167" s="7" t="str">
        <f>VLOOKUP(D167,[1]characters!$A:$G,7,FALSE)</f>
        <v>女性</v>
      </c>
      <c r="L167" s="66">
        <f>IFERROR(VLOOKUP(D167,input_3!L:R,7,FALSE),VLOOKUP(tables_3!B167,input_3!A:H,8,FALSE))</f>
        <v>0</v>
      </c>
      <c r="M167" s="67">
        <f t="shared" si="6"/>
        <v>0</v>
      </c>
      <c r="N167" s="31">
        <f>IFERROR(VLOOKUP($D167,bug_conf_sheet!$A:$H,3,FALSE),VLOOKUP("other",bug_conf_sheet!$A:$H,3,FALSE))</f>
        <v>1</v>
      </c>
      <c r="O167" s="31">
        <f>IFERROR(VLOOKUP($D167,bug_conf_sheet!$A:$H,4,FALSE),VLOOKUP("other",bug_conf_sheet!$A:$H,4,FALSE))</f>
        <v>0</v>
      </c>
      <c r="P167" s="31">
        <f>IFERROR(VLOOKUP($D167,bug_conf_sheet!$A:$H,5,FALSE),VLOOKUP("other",bug_conf_sheet!$A:$H,5,FALSE))</f>
        <v>0</v>
      </c>
      <c r="Q167" s="31">
        <f>IFERROR(VLOOKUP($D167,bug_conf_sheet!$A:$H,6,FALSE),VLOOKUP("other",bug_conf_sheet!$A:$H,6,FALSE))</f>
        <v>0</v>
      </c>
      <c r="R167" s="31">
        <f>IFERROR(VLOOKUP($D167,bug_conf_sheet!$A:$H,7,FALSE),VLOOKUP("other",bug_conf_sheet!$A:$H,7,FALSE))</f>
        <v>0</v>
      </c>
      <c r="S167" s="31">
        <f>IFERROR(VLOOKUP($D167,bug_conf_sheet!$A:$H,8,FALSE),VLOOKUP("other",bug_conf_sheet!$A:$H,8,FALSE))</f>
        <v>1</v>
      </c>
    </row>
    <row r="168" spans="1:19" ht="21" customHeight="1">
      <c r="A168" s="2">
        <f>input_3!A$2</f>
        <v>3123</v>
      </c>
      <c r="B168" s="7" t="str">
        <f t="shared" si="7"/>
        <v>Premium5</v>
      </c>
      <c r="C168" s="7" t="str">
        <f t="shared" si="8"/>
        <v>Premium</v>
      </c>
      <c r="D168" s="6">
        <v>402</v>
      </c>
      <c r="E168" s="7" t="str">
        <f>VLOOKUP(D168,[1]characters!$A:$C,3,FALSE)</f>
        <v>天災の神狼 フェンリル</v>
      </c>
      <c r="F168" s="7" t="str">
        <f>VLOOKUP(D168,[1]characters!$A:$J,10,FALSE)</f>
        <v>PremiumS</v>
      </c>
      <c r="G168" s="7">
        <f>VLOOKUP(D168,[1]characters!$A:$I,9,FALSE)</f>
        <v>5</v>
      </c>
      <c r="H168" s="7" t="str">
        <f>VLOOKUP(D168,[1]characters!$A:$H,8,FALSE)</f>
        <v>red</v>
      </c>
      <c r="I168" s="7" t="str">
        <f>VLOOKUP(D168,[1]characters!$A:$K,11,FALSE)</f>
        <v>attack</v>
      </c>
      <c r="J168" s="7" t="str">
        <f>VLOOKUP(D168,[1]characters!$A:$M,13,FALSE)</f>
        <v>animal</v>
      </c>
      <c r="K168" s="7" t="str">
        <f>VLOOKUP(D168,[1]characters!$A:$G,7,FALSE)</f>
        <v>女性</v>
      </c>
      <c r="L168" s="66">
        <f>IFERROR(VLOOKUP(D168,input_3!L:R,7,FALSE),VLOOKUP(tables_3!B168,input_3!A:H,8,FALSE))</f>
        <v>637</v>
      </c>
      <c r="M168" s="67">
        <f t="shared" si="6"/>
        <v>1.8148148148148149E-2</v>
      </c>
      <c r="N168" s="31">
        <f>IFERROR(VLOOKUP($D168,bug_conf_sheet!$A:$H,3,FALSE),VLOOKUP("other",bug_conf_sheet!$A:$H,3,FALSE))</f>
        <v>1</v>
      </c>
      <c r="O168" s="31">
        <f>IFERROR(VLOOKUP($D168,bug_conf_sheet!$A:$H,4,FALSE),VLOOKUP("other",bug_conf_sheet!$A:$H,4,FALSE))</f>
        <v>0</v>
      </c>
      <c r="P168" s="31">
        <f>IFERROR(VLOOKUP($D168,bug_conf_sheet!$A:$H,5,FALSE),VLOOKUP("other",bug_conf_sheet!$A:$H,5,FALSE))</f>
        <v>0</v>
      </c>
      <c r="Q168" s="31">
        <f>IFERROR(VLOOKUP($D168,bug_conf_sheet!$A:$H,6,FALSE),VLOOKUP("other",bug_conf_sheet!$A:$H,6,FALSE))</f>
        <v>0</v>
      </c>
      <c r="R168" s="31">
        <f>IFERROR(VLOOKUP($D168,bug_conf_sheet!$A:$H,7,FALSE),VLOOKUP("other",bug_conf_sheet!$A:$H,7,FALSE))</f>
        <v>0</v>
      </c>
      <c r="S168" s="31">
        <f>IFERROR(VLOOKUP($D168,bug_conf_sheet!$A:$H,8,FALSE),VLOOKUP("other",bug_conf_sheet!$A:$H,8,FALSE))</f>
        <v>1</v>
      </c>
    </row>
    <row r="169" spans="1:19" ht="21" customHeight="1">
      <c r="A169" s="2">
        <f>input_3!A$2</f>
        <v>3123</v>
      </c>
      <c r="B169" s="7" t="str">
        <f t="shared" si="7"/>
        <v>PremiumSS4</v>
      </c>
      <c r="C169" s="7" t="str">
        <f t="shared" si="8"/>
        <v>PremiumSS</v>
      </c>
      <c r="D169" s="6">
        <v>403</v>
      </c>
      <c r="E169" s="7" t="str">
        <f>VLOOKUP(D169,[1]characters!$A:$C,3,FALSE)</f>
        <v>静撃の翠眼 八咫烏</v>
      </c>
      <c r="F169" s="7" t="str">
        <f>VLOOKUP(D169,[1]characters!$A:$J,10,FALSE)</f>
        <v>PremiumSS</v>
      </c>
      <c r="G169" s="7">
        <f>VLOOKUP(D169,[1]characters!$A:$I,9,FALSE)</f>
        <v>4</v>
      </c>
      <c r="H169" s="7" t="str">
        <f>VLOOKUP(D169,[1]characters!$A:$H,8,FALSE)</f>
        <v>green</v>
      </c>
      <c r="I169" s="7" t="str">
        <f>VLOOKUP(D169,[1]characters!$A:$K,11,FALSE)</f>
        <v>balance</v>
      </c>
      <c r="J169" s="7" t="str">
        <f>VLOOKUP(D169,[1]characters!$A:$M,13,FALSE)</f>
        <v>animal</v>
      </c>
      <c r="K169" s="7" t="str">
        <f>VLOOKUP(D169,[1]characters!$A:$G,7,FALSE)</f>
        <v>女性</v>
      </c>
      <c r="L169" s="66">
        <f>IFERROR(VLOOKUP(D169,input_3!L:R,7,FALSE),VLOOKUP(tables_3!B169,input_3!A:H,8,FALSE))</f>
        <v>0</v>
      </c>
      <c r="M169" s="67">
        <f t="shared" si="6"/>
        <v>0</v>
      </c>
      <c r="N169" s="31">
        <f>IFERROR(VLOOKUP($D169,bug_conf_sheet!$A:$H,3,FALSE),VLOOKUP("other",bug_conf_sheet!$A:$H,3,FALSE))</f>
        <v>1</v>
      </c>
      <c r="O169" s="31">
        <f>IFERROR(VLOOKUP($D169,bug_conf_sheet!$A:$H,4,FALSE),VLOOKUP("other",bug_conf_sheet!$A:$H,4,FALSE))</f>
        <v>0</v>
      </c>
      <c r="P169" s="31">
        <f>IFERROR(VLOOKUP($D169,bug_conf_sheet!$A:$H,5,FALSE),VLOOKUP("other",bug_conf_sheet!$A:$H,5,FALSE))</f>
        <v>0</v>
      </c>
      <c r="Q169" s="31">
        <f>IFERROR(VLOOKUP($D169,bug_conf_sheet!$A:$H,6,FALSE),VLOOKUP("other",bug_conf_sheet!$A:$H,6,FALSE))</f>
        <v>0</v>
      </c>
      <c r="R169" s="31">
        <f>IFERROR(VLOOKUP($D169,bug_conf_sheet!$A:$H,7,FALSE),VLOOKUP("other",bug_conf_sheet!$A:$H,7,FALSE))</f>
        <v>0</v>
      </c>
      <c r="S169" s="31">
        <f>IFERROR(VLOOKUP($D169,bug_conf_sheet!$A:$H,8,FALSE),VLOOKUP("other",bug_conf_sheet!$A:$H,8,FALSE))</f>
        <v>1</v>
      </c>
    </row>
    <row r="170" spans="1:19" ht="21" customHeight="1">
      <c r="A170" s="2">
        <f>input_3!A$2</f>
        <v>3123</v>
      </c>
      <c r="B170" s="7" t="str">
        <f t="shared" si="7"/>
        <v>PremiumSS5</v>
      </c>
      <c r="C170" s="7" t="str">
        <f t="shared" si="8"/>
        <v>PremiumSS</v>
      </c>
      <c r="D170" s="6">
        <v>404</v>
      </c>
      <c r="E170" s="7" t="str">
        <f>VLOOKUP(D170,[1]characters!$A:$C,3,FALSE)</f>
        <v>空襲の神眼 八咫烏</v>
      </c>
      <c r="F170" s="7" t="str">
        <f>VLOOKUP(D170,[1]characters!$A:$J,10,FALSE)</f>
        <v>PremiumSS</v>
      </c>
      <c r="G170" s="7">
        <f>VLOOKUP(D170,[1]characters!$A:$I,9,FALSE)</f>
        <v>5</v>
      </c>
      <c r="H170" s="7" t="str">
        <f>VLOOKUP(D170,[1]characters!$A:$H,8,FALSE)</f>
        <v>green</v>
      </c>
      <c r="I170" s="7" t="str">
        <f>VLOOKUP(D170,[1]characters!$A:$K,11,FALSE)</f>
        <v>balance</v>
      </c>
      <c r="J170" s="7" t="str">
        <f>VLOOKUP(D170,[1]characters!$A:$M,13,FALSE)</f>
        <v>animal</v>
      </c>
      <c r="K170" s="7" t="str">
        <f>VLOOKUP(D170,[1]characters!$A:$G,7,FALSE)</f>
        <v>女性</v>
      </c>
      <c r="L170" s="66">
        <f>IFERROR(VLOOKUP(D170,input_3!L:R,7,FALSE),VLOOKUP(tables_3!B170,input_3!A:H,8,FALSE))</f>
        <v>27</v>
      </c>
      <c r="M170" s="67">
        <f t="shared" si="6"/>
        <v>7.6923076923076923E-4</v>
      </c>
      <c r="N170" s="31">
        <f>IFERROR(VLOOKUP($D170,bug_conf_sheet!$A:$H,3,FALSE),VLOOKUP("other",bug_conf_sheet!$A:$H,3,FALSE))</f>
        <v>1</v>
      </c>
      <c r="O170" s="31">
        <f>IFERROR(VLOOKUP($D170,bug_conf_sheet!$A:$H,4,FALSE),VLOOKUP("other",bug_conf_sheet!$A:$H,4,FALSE))</f>
        <v>0</v>
      </c>
      <c r="P170" s="31">
        <f>IFERROR(VLOOKUP($D170,bug_conf_sheet!$A:$H,5,FALSE),VLOOKUP("other",bug_conf_sheet!$A:$H,5,FALSE))</f>
        <v>0</v>
      </c>
      <c r="Q170" s="31">
        <f>IFERROR(VLOOKUP($D170,bug_conf_sheet!$A:$H,6,FALSE),VLOOKUP("other",bug_conf_sheet!$A:$H,6,FALSE))</f>
        <v>0</v>
      </c>
      <c r="R170" s="31">
        <f>IFERROR(VLOOKUP($D170,bug_conf_sheet!$A:$H,7,FALSE),VLOOKUP("other",bug_conf_sheet!$A:$H,7,FALSE))</f>
        <v>0</v>
      </c>
      <c r="S170" s="31">
        <f>IFERROR(VLOOKUP($D170,bug_conf_sheet!$A:$H,8,FALSE),VLOOKUP("other",bug_conf_sheet!$A:$H,8,FALSE))</f>
        <v>1</v>
      </c>
    </row>
    <row r="171" spans="1:19" ht="21" customHeight="1">
      <c r="A171" s="2">
        <f>input_3!A$2</f>
        <v>3123</v>
      </c>
      <c r="B171" s="7" t="str">
        <f t="shared" si="7"/>
        <v>Premium3</v>
      </c>
      <c r="C171" s="7" t="str">
        <f t="shared" si="8"/>
        <v>Premium</v>
      </c>
      <c r="D171" s="6">
        <v>405</v>
      </c>
      <c r="E171" s="7" t="str">
        <f>VLOOKUP(D171,[1]characters!$A:$C,3,FALSE)</f>
        <v>エキドナ</v>
      </c>
      <c r="F171" s="7" t="str">
        <f>VLOOKUP(D171,[1]characters!$A:$J,10,FALSE)</f>
        <v>PremiumS</v>
      </c>
      <c r="G171" s="7">
        <f>VLOOKUP(D171,[1]characters!$A:$I,9,FALSE)</f>
        <v>3</v>
      </c>
      <c r="H171" s="7" t="str">
        <f>VLOOKUP(D171,[1]characters!$A:$H,8,FALSE)</f>
        <v>blue</v>
      </c>
      <c r="I171" s="7" t="str">
        <f>VLOOKUP(D171,[1]characters!$A:$K,11,FALSE)</f>
        <v>technical</v>
      </c>
      <c r="J171" s="7" t="str">
        <f>VLOOKUP(D171,[1]characters!$A:$M,13,FALSE)</f>
        <v>animal</v>
      </c>
      <c r="K171" s="7" t="str">
        <f>VLOOKUP(D171,[1]characters!$A:$G,7,FALSE)</f>
        <v>女性</v>
      </c>
      <c r="L171" s="66">
        <f>IFERROR(VLOOKUP(D171,input_3!L:R,7,FALSE),VLOOKUP(tables_3!B171,input_3!A:H,8,FALSE))</f>
        <v>0</v>
      </c>
      <c r="M171" s="67">
        <f t="shared" si="6"/>
        <v>0</v>
      </c>
      <c r="N171" s="31">
        <f>IFERROR(VLOOKUP($D171,bug_conf_sheet!$A:$H,3,FALSE),VLOOKUP("other",bug_conf_sheet!$A:$H,3,FALSE))</f>
        <v>1</v>
      </c>
      <c r="O171" s="31">
        <f>IFERROR(VLOOKUP($D171,bug_conf_sheet!$A:$H,4,FALSE),VLOOKUP("other",bug_conf_sheet!$A:$H,4,FALSE))</f>
        <v>0</v>
      </c>
      <c r="P171" s="31">
        <f>IFERROR(VLOOKUP($D171,bug_conf_sheet!$A:$H,5,FALSE),VLOOKUP("other",bug_conf_sheet!$A:$H,5,FALSE))</f>
        <v>0</v>
      </c>
      <c r="Q171" s="31">
        <f>IFERROR(VLOOKUP($D171,bug_conf_sheet!$A:$H,6,FALSE),VLOOKUP("other",bug_conf_sheet!$A:$H,6,FALSE))</f>
        <v>0</v>
      </c>
      <c r="R171" s="31">
        <f>IFERROR(VLOOKUP($D171,bug_conf_sheet!$A:$H,7,FALSE),VLOOKUP("other",bug_conf_sheet!$A:$H,7,FALSE))</f>
        <v>0</v>
      </c>
      <c r="S171" s="31">
        <f>IFERROR(VLOOKUP($D171,bug_conf_sheet!$A:$H,8,FALSE),VLOOKUP("other",bug_conf_sheet!$A:$H,8,FALSE))</f>
        <v>1</v>
      </c>
    </row>
    <row r="172" spans="1:19" ht="21" customHeight="1">
      <c r="A172" s="2">
        <f>input_3!A$2</f>
        <v>3123</v>
      </c>
      <c r="B172" s="7" t="str">
        <f t="shared" si="7"/>
        <v>Premium4</v>
      </c>
      <c r="C172" s="7" t="str">
        <f t="shared" si="8"/>
        <v>Premium</v>
      </c>
      <c r="D172" s="6">
        <v>406</v>
      </c>
      <c r="E172" s="7" t="str">
        <f>VLOOKUP(D172,[1]characters!$A:$C,3,FALSE)</f>
        <v>美笑の蒼蛇 エキドナ</v>
      </c>
      <c r="F172" s="7" t="str">
        <f>VLOOKUP(D172,[1]characters!$A:$J,10,FALSE)</f>
        <v>PremiumS</v>
      </c>
      <c r="G172" s="7">
        <f>VLOOKUP(D172,[1]characters!$A:$I,9,FALSE)</f>
        <v>4</v>
      </c>
      <c r="H172" s="7" t="str">
        <f>VLOOKUP(D172,[1]characters!$A:$H,8,FALSE)</f>
        <v>blue</v>
      </c>
      <c r="I172" s="7" t="str">
        <f>VLOOKUP(D172,[1]characters!$A:$K,11,FALSE)</f>
        <v>technical</v>
      </c>
      <c r="J172" s="7" t="str">
        <f>VLOOKUP(D172,[1]characters!$A:$M,13,FALSE)</f>
        <v>animal</v>
      </c>
      <c r="K172" s="7" t="str">
        <f>VLOOKUP(D172,[1]characters!$A:$G,7,FALSE)</f>
        <v>女性</v>
      </c>
      <c r="L172" s="66">
        <f>IFERROR(VLOOKUP(D172,input_3!L:R,7,FALSE),VLOOKUP(tables_3!B172,input_3!A:H,8,FALSE))</f>
        <v>0</v>
      </c>
      <c r="M172" s="67">
        <f t="shared" si="6"/>
        <v>0</v>
      </c>
      <c r="N172" s="31">
        <f>IFERROR(VLOOKUP($D172,bug_conf_sheet!$A:$H,3,FALSE),VLOOKUP("other",bug_conf_sheet!$A:$H,3,FALSE))</f>
        <v>1</v>
      </c>
      <c r="O172" s="31">
        <f>IFERROR(VLOOKUP($D172,bug_conf_sheet!$A:$H,4,FALSE),VLOOKUP("other",bug_conf_sheet!$A:$H,4,FALSE))</f>
        <v>0</v>
      </c>
      <c r="P172" s="31">
        <f>IFERROR(VLOOKUP($D172,bug_conf_sheet!$A:$H,5,FALSE),VLOOKUP("other",bug_conf_sheet!$A:$H,5,FALSE))</f>
        <v>0</v>
      </c>
      <c r="Q172" s="31">
        <f>IFERROR(VLOOKUP($D172,bug_conf_sheet!$A:$H,6,FALSE),VLOOKUP("other",bug_conf_sheet!$A:$H,6,FALSE))</f>
        <v>0</v>
      </c>
      <c r="R172" s="31">
        <f>IFERROR(VLOOKUP($D172,bug_conf_sheet!$A:$H,7,FALSE),VLOOKUP("other",bug_conf_sheet!$A:$H,7,FALSE))</f>
        <v>0</v>
      </c>
      <c r="S172" s="31">
        <f>IFERROR(VLOOKUP($D172,bug_conf_sheet!$A:$H,8,FALSE),VLOOKUP("other",bug_conf_sheet!$A:$H,8,FALSE))</f>
        <v>1</v>
      </c>
    </row>
    <row r="173" spans="1:19" ht="21" customHeight="1">
      <c r="A173" s="2">
        <f>input_3!A$2</f>
        <v>3123</v>
      </c>
      <c r="B173" s="7" t="str">
        <f t="shared" si="7"/>
        <v>Premium5</v>
      </c>
      <c r="C173" s="7" t="str">
        <f t="shared" si="8"/>
        <v>Premium</v>
      </c>
      <c r="D173" s="6">
        <v>407</v>
      </c>
      <c r="E173" s="7" t="str">
        <f>VLOOKUP(D173,[1]characters!$A:$C,3,FALSE)</f>
        <v>蠱惑の飛刀 エキドナ</v>
      </c>
      <c r="F173" s="7" t="str">
        <f>VLOOKUP(D173,[1]characters!$A:$J,10,FALSE)</f>
        <v>PremiumS</v>
      </c>
      <c r="G173" s="7">
        <f>VLOOKUP(D173,[1]characters!$A:$I,9,FALSE)</f>
        <v>5</v>
      </c>
      <c r="H173" s="7" t="str">
        <f>VLOOKUP(D173,[1]characters!$A:$H,8,FALSE)</f>
        <v>blue</v>
      </c>
      <c r="I173" s="7" t="str">
        <f>VLOOKUP(D173,[1]characters!$A:$K,11,FALSE)</f>
        <v>technical</v>
      </c>
      <c r="J173" s="7" t="str">
        <f>VLOOKUP(D173,[1]characters!$A:$M,13,FALSE)</f>
        <v>animal</v>
      </c>
      <c r="K173" s="7" t="str">
        <f>VLOOKUP(D173,[1]characters!$A:$G,7,FALSE)</f>
        <v>女性</v>
      </c>
      <c r="L173" s="66">
        <f>IFERROR(VLOOKUP(D173,input_3!L:R,7,FALSE),VLOOKUP(tables_3!B173,input_3!A:H,8,FALSE))</f>
        <v>637</v>
      </c>
      <c r="M173" s="67">
        <f t="shared" si="6"/>
        <v>1.8148148148148149E-2</v>
      </c>
      <c r="N173" s="31">
        <f>IFERROR(VLOOKUP($D173,bug_conf_sheet!$A:$H,3,FALSE),VLOOKUP("other",bug_conf_sheet!$A:$H,3,FALSE))</f>
        <v>1</v>
      </c>
      <c r="O173" s="31">
        <f>IFERROR(VLOOKUP($D173,bug_conf_sheet!$A:$H,4,FALSE),VLOOKUP("other",bug_conf_sheet!$A:$H,4,FALSE))</f>
        <v>0</v>
      </c>
      <c r="P173" s="31">
        <f>IFERROR(VLOOKUP($D173,bug_conf_sheet!$A:$H,5,FALSE),VLOOKUP("other",bug_conf_sheet!$A:$H,5,FALSE))</f>
        <v>0</v>
      </c>
      <c r="Q173" s="31">
        <f>IFERROR(VLOOKUP($D173,bug_conf_sheet!$A:$H,6,FALSE),VLOOKUP("other",bug_conf_sheet!$A:$H,6,FALSE))</f>
        <v>0</v>
      </c>
      <c r="R173" s="31">
        <f>IFERROR(VLOOKUP($D173,bug_conf_sheet!$A:$H,7,FALSE),VLOOKUP("other",bug_conf_sheet!$A:$H,7,FALSE))</f>
        <v>0</v>
      </c>
      <c r="S173" s="31">
        <f>IFERROR(VLOOKUP($D173,bug_conf_sheet!$A:$H,8,FALSE),VLOOKUP("other",bug_conf_sheet!$A:$H,8,FALSE))</f>
        <v>1</v>
      </c>
    </row>
    <row r="174" spans="1:19" ht="21" customHeight="1">
      <c r="A174" s="2">
        <f>input_3!A$2</f>
        <v>3123</v>
      </c>
      <c r="B174" s="7" t="str">
        <f t="shared" si="7"/>
        <v>PremiumSS4</v>
      </c>
      <c r="C174" s="7" t="str">
        <f t="shared" si="8"/>
        <v>PremiumSS</v>
      </c>
      <c r="D174" s="6">
        <v>408</v>
      </c>
      <c r="E174" s="7" t="str">
        <f>VLOOKUP(D174,[1]characters!$A:$C,3,FALSE)</f>
        <v>皇魔 アスタロト</v>
      </c>
      <c r="F174" s="7" t="str">
        <f>VLOOKUP(D174,[1]characters!$A:$J,10,FALSE)</f>
        <v>PremiumSS</v>
      </c>
      <c r="G174" s="7">
        <f>VLOOKUP(D174,[1]characters!$A:$I,9,FALSE)</f>
        <v>4</v>
      </c>
      <c r="H174" s="7" t="str">
        <f>VLOOKUP(D174,[1]characters!$A:$H,8,FALSE)</f>
        <v>yellow</v>
      </c>
      <c r="I174" s="7" t="str">
        <f>VLOOKUP(D174,[1]characters!$A:$K,11,FALSE)</f>
        <v>attack</v>
      </c>
      <c r="J174" s="7" t="str">
        <f>VLOOKUP(D174,[1]characters!$A:$M,13,FALSE)</f>
        <v>god</v>
      </c>
      <c r="K174" s="7" t="str">
        <f>VLOOKUP(D174,[1]characters!$A:$G,7,FALSE)</f>
        <v>男性</v>
      </c>
      <c r="L174" s="66">
        <f>IFERROR(VLOOKUP(D174,input_3!L:R,7,FALSE),VLOOKUP(tables_3!B174,input_3!A:H,8,FALSE))</f>
        <v>0</v>
      </c>
      <c r="M174" s="67">
        <f t="shared" si="6"/>
        <v>0</v>
      </c>
      <c r="N174" s="31">
        <f>IFERROR(VLOOKUP($D174,bug_conf_sheet!$A:$H,3,FALSE),VLOOKUP("other",bug_conf_sheet!$A:$H,3,FALSE))</f>
        <v>1</v>
      </c>
      <c r="O174" s="31">
        <f>IFERROR(VLOOKUP($D174,bug_conf_sheet!$A:$H,4,FALSE),VLOOKUP("other",bug_conf_sheet!$A:$H,4,FALSE))</f>
        <v>0</v>
      </c>
      <c r="P174" s="31">
        <f>IFERROR(VLOOKUP($D174,bug_conf_sheet!$A:$H,5,FALSE),VLOOKUP("other",bug_conf_sheet!$A:$H,5,FALSE))</f>
        <v>0</v>
      </c>
      <c r="Q174" s="31">
        <f>IFERROR(VLOOKUP($D174,bug_conf_sheet!$A:$H,6,FALSE),VLOOKUP("other",bug_conf_sheet!$A:$H,6,FALSE))</f>
        <v>0</v>
      </c>
      <c r="R174" s="31">
        <f>IFERROR(VLOOKUP($D174,bug_conf_sheet!$A:$H,7,FALSE),VLOOKUP("other",bug_conf_sheet!$A:$H,7,FALSE))</f>
        <v>0</v>
      </c>
      <c r="S174" s="31">
        <f>IFERROR(VLOOKUP($D174,bug_conf_sheet!$A:$H,8,FALSE),VLOOKUP("other",bug_conf_sheet!$A:$H,8,FALSE))</f>
        <v>1</v>
      </c>
    </row>
    <row r="175" spans="1:19" ht="21" customHeight="1">
      <c r="A175" s="2">
        <f>input_3!A$2</f>
        <v>3123</v>
      </c>
      <c r="B175" s="7" t="str">
        <f t="shared" si="7"/>
        <v>PremiumSS5</v>
      </c>
      <c r="C175" s="7" t="str">
        <f t="shared" si="8"/>
        <v>PremiumSS</v>
      </c>
      <c r="D175" s="6">
        <v>409</v>
      </c>
      <c r="E175" s="7" t="str">
        <f>VLOOKUP(D175,[1]characters!$A:$C,3,FALSE)</f>
        <v>天眼の皇貴魔 アスタロト</v>
      </c>
      <c r="F175" s="7" t="str">
        <f>VLOOKUP(D175,[1]characters!$A:$J,10,FALSE)</f>
        <v>PremiumSS</v>
      </c>
      <c r="G175" s="7">
        <f>VLOOKUP(D175,[1]characters!$A:$I,9,FALSE)</f>
        <v>5</v>
      </c>
      <c r="H175" s="7" t="str">
        <f>VLOOKUP(D175,[1]characters!$A:$H,8,FALSE)</f>
        <v>yellow</v>
      </c>
      <c r="I175" s="7" t="str">
        <f>VLOOKUP(D175,[1]characters!$A:$K,11,FALSE)</f>
        <v>attack</v>
      </c>
      <c r="J175" s="7" t="str">
        <f>VLOOKUP(D175,[1]characters!$A:$M,13,FALSE)</f>
        <v>god</v>
      </c>
      <c r="K175" s="7" t="str">
        <f>VLOOKUP(D175,[1]characters!$A:$G,7,FALSE)</f>
        <v>男性</v>
      </c>
      <c r="L175" s="66">
        <f>IFERROR(VLOOKUP(D175,input_3!L:R,7,FALSE),VLOOKUP(tables_3!B175,input_3!A:H,8,FALSE))</f>
        <v>27</v>
      </c>
      <c r="M175" s="67">
        <f t="shared" si="6"/>
        <v>7.6923076923076923E-4</v>
      </c>
      <c r="N175" s="31">
        <f>IFERROR(VLOOKUP($D175,bug_conf_sheet!$A:$H,3,FALSE),VLOOKUP("other",bug_conf_sheet!$A:$H,3,FALSE))</f>
        <v>1</v>
      </c>
      <c r="O175" s="31">
        <f>IFERROR(VLOOKUP($D175,bug_conf_sheet!$A:$H,4,FALSE),VLOOKUP("other",bug_conf_sheet!$A:$H,4,FALSE))</f>
        <v>0</v>
      </c>
      <c r="P175" s="31">
        <f>IFERROR(VLOOKUP($D175,bug_conf_sheet!$A:$H,5,FALSE),VLOOKUP("other",bug_conf_sheet!$A:$H,5,FALSE))</f>
        <v>0</v>
      </c>
      <c r="Q175" s="31">
        <f>IFERROR(VLOOKUP($D175,bug_conf_sheet!$A:$H,6,FALSE),VLOOKUP("other",bug_conf_sheet!$A:$H,6,FALSE))</f>
        <v>0</v>
      </c>
      <c r="R175" s="31">
        <f>IFERROR(VLOOKUP($D175,bug_conf_sheet!$A:$H,7,FALSE),VLOOKUP("other",bug_conf_sheet!$A:$H,7,FALSE))</f>
        <v>0</v>
      </c>
      <c r="S175" s="31">
        <f>IFERROR(VLOOKUP($D175,bug_conf_sheet!$A:$H,8,FALSE),VLOOKUP("other",bug_conf_sheet!$A:$H,8,FALSE))</f>
        <v>1</v>
      </c>
    </row>
    <row r="176" spans="1:19" ht="21" customHeight="1">
      <c r="A176" s="2">
        <f>input_3!A$2</f>
        <v>3123</v>
      </c>
      <c r="B176" s="7" t="str">
        <f t="shared" si="7"/>
        <v>PremiumSS4</v>
      </c>
      <c r="C176" s="7" t="str">
        <f t="shared" si="8"/>
        <v>PremiumSS</v>
      </c>
      <c r="D176" s="6">
        <v>434</v>
      </c>
      <c r="E176" s="7" t="str">
        <f>VLOOKUP(D176,[1]characters!$A:$C,3,FALSE)</f>
        <v>D.R.T.H.</v>
      </c>
      <c r="F176" s="7" t="str">
        <f>VLOOKUP(D176,[1]characters!$A:$J,10,FALSE)</f>
        <v>PremiumSS</v>
      </c>
      <c r="G176" s="7">
        <f>VLOOKUP(D176,[1]characters!$A:$I,9,FALSE)</f>
        <v>4</v>
      </c>
      <c r="H176" s="7" t="str">
        <f>VLOOKUP(D176,[1]characters!$A:$H,8,FALSE)</f>
        <v>red</v>
      </c>
      <c r="I176" s="7" t="str">
        <f>VLOOKUP(D176,[1]characters!$A:$K,11,FALSE)</f>
        <v>balance</v>
      </c>
      <c r="J176" s="7" t="str">
        <f>VLOOKUP(D176,[1]characters!$A:$M,13,FALSE)</f>
        <v>human</v>
      </c>
      <c r="K176" s="7" t="str">
        <f>VLOOKUP(D176,[1]characters!$A:$G,7,FALSE)</f>
        <v>女性</v>
      </c>
      <c r="L176" s="66">
        <f>IFERROR(VLOOKUP(D176,input_3!L:R,7,FALSE),VLOOKUP(tables_3!B176,input_3!A:H,8,FALSE))</f>
        <v>0</v>
      </c>
      <c r="M176" s="67">
        <f t="shared" si="6"/>
        <v>0</v>
      </c>
      <c r="N176" s="31">
        <f>IFERROR(VLOOKUP($D176,bug_conf_sheet!$A:$H,3,FALSE),VLOOKUP("other",bug_conf_sheet!$A:$H,3,FALSE))</f>
        <v>1</v>
      </c>
      <c r="O176" s="31">
        <f>IFERROR(VLOOKUP($D176,bug_conf_sheet!$A:$H,4,FALSE),VLOOKUP("other",bug_conf_sheet!$A:$H,4,FALSE))</f>
        <v>0</v>
      </c>
      <c r="P176" s="31">
        <f>IFERROR(VLOOKUP($D176,bug_conf_sheet!$A:$H,5,FALSE),VLOOKUP("other",bug_conf_sheet!$A:$H,5,FALSE))</f>
        <v>0</v>
      </c>
      <c r="Q176" s="31">
        <f>IFERROR(VLOOKUP($D176,bug_conf_sheet!$A:$H,6,FALSE),VLOOKUP("other",bug_conf_sheet!$A:$H,6,FALSE))</f>
        <v>0</v>
      </c>
      <c r="R176" s="31">
        <f>IFERROR(VLOOKUP($D176,bug_conf_sheet!$A:$H,7,FALSE),VLOOKUP("other",bug_conf_sheet!$A:$H,7,FALSE))</f>
        <v>0</v>
      </c>
      <c r="S176" s="31">
        <f>IFERROR(VLOOKUP($D176,bug_conf_sheet!$A:$H,8,FALSE),VLOOKUP("other",bug_conf_sheet!$A:$H,8,FALSE))</f>
        <v>1</v>
      </c>
    </row>
    <row r="177" spans="1:19" ht="21" customHeight="1">
      <c r="A177" s="2">
        <f>input_3!A$2</f>
        <v>3123</v>
      </c>
      <c r="B177" s="7" t="str">
        <f t="shared" si="7"/>
        <v>PremiumSS5</v>
      </c>
      <c r="C177" s="7" t="str">
        <f t="shared" si="8"/>
        <v>PremiumSS</v>
      </c>
      <c r="D177" s="6">
        <v>435</v>
      </c>
      <c r="E177" s="7" t="str">
        <f>VLOOKUP(D177,[1]characters!$A:$C,3,FALSE)</f>
        <v>曝弾の密偵 D.R.T.H.</v>
      </c>
      <c r="F177" s="7" t="str">
        <f>VLOOKUP(D177,[1]characters!$A:$J,10,FALSE)</f>
        <v>PremiumSS</v>
      </c>
      <c r="G177" s="7">
        <f>VLOOKUP(D177,[1]characters!$A:$I,9,FALSE)</f>
        <v>5</v>
      </c>
      <c r="H177" s="7" t="str">
        <f>VLOOKUP(D177,[1]characters!$A:$H,8,FALSE)</f>
        <v>red</v>
      </c>
      <c r="I177" s="7" t="str">
        <f>VLOOKUP(D177,[1]characters!$A:$K,11,FALSE)</f>
        <v>balance</v>
      </c>
      <c r="J177" s="7" t="str">
        <f>VLOOKUP(D177,[1]characters!$A:$M,13,FALSE)</f>
        <v>human</v>
      </c>
      <c r="K177" s="7" t="str">
        <f>VLOOKUP(D177,[1]characters!$A:$G,7,FALSE)</f>
        <v>女性</v>
      </c>
      <c r="L177" s="66">
        <f>IFERROR(VLOOKUP(D177,input_3!L:R,7,FALSE),VLOOKUP(tables_3!B177,input_3!A:H,8,FALSE))</f>
        <v>27</v>
      </c>
      <c r="M177" s="67">
        <f t="shared" si="6"/>
        <v>7.6923076923076923E-4</v>
      </c>
      <c r="N177" s="31">
        <f>IFERROR(VLOOKUP($D177,bug_conf_sheet!$A:$H,3,FALSE),VLOOKUP("other",bug_conf_sheet!$A:$H,3,FALSE))</f>
        <v>1</v>
      </c>
      <c r="O177" s="31">
        <f>IFERROR(VLOOKUP($D177,bug_conf_sheet!$A:$H,4,FALSE),VLOOKUP("other",bug_conf_sheet!$A:$H,4,FALSE))</f>
        <v>0</v>
      </c>
      <c r="P177" s="31">
        <f>IFERROR(VLOOKUP($D177,bug_conf_sheet!$A:$H,5,FALSE),VLOOKUP("other",bug_conf_sheet!$A:$H,5,FALSE))</f>
        <v>0</v>
      </c>
      <c r="Q177" s="31">
        <f>IFERROR(VLOOKUP($D177,bug_conf_sheet!$A:$H,6,FALSE),VLOOKUP("other",bug_conf_sheet!$A:$H,6,FALSE))</f>
        <v>0</v>
      </c>
      <c r="R177" s="31">
        <f>IFERROR(VLOOKUP($D177,bug_conf_sheet!$A:$H,7,FALSE),VLOOKUP("other",bug_conf_sheet!$A:$H,7,FALSE))</f>
        <v>0</v>
      </c>
      <c r="S177" s="31">
        <f>IFERROR(VLOOKUP($D177,bug_conf_sheet!$A:$H,8,FALSE),VLOOKUP("other",bug_conf_sheet!$A:$H,8,FALSE))</f>
        <v>1</v>
      </c>
    </row>
    <row r="178" spans="1:19" ht="21" customHeight="1">
      <c r="A178" s="2">
        <f>input_3!A$2</f>
        <v>3123</v>
      </c>
      <c r="B178" s="7" t="str">
        <f t="shared" si="7"/>
        <v>Premium3</v>
      </c>
      <c r="C178" s="7" t="str">
        <f t="shared" si="8"/>
        <v>Premium</v>
      </c>
      <c r="D178" s="6">
        <v>436</v>
      </c>
      <c r="E178" s="7" t="str">
        <f>VLOOKUP(D178,[1]characters!$A:$C,3,FALSE)</f>
        <v>カカシ</v>
      </c>
      <c r="F178" s="7" t="str">
        <f>VLOOKUP(D178,[1]characters!$A:$J,10,FALSE)</f>
        <v>PremiumS</v>
      </c>
      <c r="G178" s="7">
        <f>VLOOKUP(D178,[1]characters!$A:$I,9,FALSE)</f>
        <v>3</v>
      </c>
      <c r="H178" s="7" t="str">
        <f>VLOOKUP(D178,[1]characters!$A:$H,8,FALSE)</f>
        <v>green</v>
      </c>
      <c r="I178" s="7" t="str">
        <f>VLOOKUP(D178,[1]characters!$A:$K,11,FALSE)</f>
        <v>technical</v>
      </c>
      <c r="J178" s="7" t="str">
        <f>VLOOKUP(D178,[1]characters!$A:$M,13,FALSE)</f>
        <v>human</v>
      </c>
      <c r="K178" s="7" t="str">
        <f>VLOOKUP(D178,[1]characters!$A:$G,7,FALSE)</f>
        <v>男性</v>
      </c>
      <c r="L178" s="66">
        <f>IFERROR(VLOOKUP(D178,input_3!L:R,7,FALSE),VLOOKUP(tables_3!B178,input_3!A:H,8,FALSE))</f>
        <v>0</v>
      </c>
      <c r="M178" s="67">
        <f t="shared" si="6"/>
        <v>0</v>
      </c>
      <c r="N178" s="31">
        <f>IFERROR(VLOOKUP($D178,bug_conf_sheet!$A:$H,3,FALSE),VLOOKUP("other",bug_conf_sheet!$A:$H,3,FALSE))</f>
        <v>1</v>
      </c>
      <c r="O178" s="31">
        <f>IFERROR(VLOOKUP($D178,bug_conf_sheet!$A:$H,4,FALSE),VLOOKUP("other",bug_conf_sheet!$A:$H,4,FALSE))</f>
        <v>0</v>
      </c>
      <c r="P178" s="31">
        <f>IFERROR(VLOOKUP($D178,bug_conf_sheet!$A:$H,5,FALSE),VLOOKUP("other",bug_conf_sheet!$A:$H,5,FALSE))</f>
        <v>0</v>
      </c>
      <c r="Q178" s="31">
        <f>IFERROR(VLOOKUP($D178,bug_conf_sheet!$A:$H,6,FALSE),VLOOKUP("other",bug_conf_sheet!$A:$H,6,FALSE))</f>
        <v>0</v>
      </c>
      <c r="R178" s="31">
        <f>IFERROR(VLOOKUP($D178,bug_conf_sheet!$A:$H,7,FALSE),VLOOKUP("other",bug_conf_sheet!$A:$H,7,FALSE))</f>
        <v>0</v>
      </c>
      <c r="S178" s="31">
        <f>IFERROR(VLOOKUP($D178,bug_conf_sheet!$A:$H,8,FALSE),VLOOKUP("other",bug_conf_sheet!$A:$H,8,FALSE))</f>
        <v>1</v>
      </c>
    </row>
    <row r="179" spans="1:19" ht="21" customHeight="1">
      <c r="A179" s="2">
        <f>input_3!A$2</f>
        <v>3123</v>
      </c>
      <c r="B179" s="7" t="str">
        <f t="shared" si="7"/>
        <v>Premium4</v>
      </c>
      <c r="C179" s="7" t="str">
        <f t="shared" si="8"/>
        <v>Premium</v>
      </c>
      <c r="D179" s="6">
        <v>437</v>
      </c>
      <c r="E179" s="7" t="str">
        <f>VLOOKUP(D179,[1]characters!$A:$C,3,FALSE)</f>
        <v>忘却者 カカシ</v>
      </c>
      <c r="F179" s="7" t="str">
        <f>VLOOKUP(D179,[1]characters!$A:$J,10,FALSE)</f>
        <v>PremiumS</v>
      </c>
      <c r="G179" s="7">
        <f>VLOOKUP(D179,[1]characters!$A:$I,9,FALSE)</f>
        <v>4</v>
      </c>
      <c r="H179" s="7" t="str">
        <f>VLOOKUP(D179,[1]characters!$A:$H,8,FALSE)</f>
        <v>green</v>
      </c>
      <c r="I179" s="7" t="str">
        <f>VLOOKUP(D179,[1]characters!$A:$K,11,FALSE)</f>
        <v>technical</v>
      </c>
      <c r="J179" s="7" t="str">
        <f>VLOOKUP(D179,[1]characters!$A:$M,13,FALSE)</f>
        <v>human</v>
      </c>
      <c r="K179" s="7" t="str">
        <f>VLOOKUP(D179,[1]characters!$A:$G,7,FALSE)</f>
        <v>男性</v>
      </c>
      <c r="L179" s="66">
        <f>IFERROR(VLOOKUP(D179,input_3!L:R,7,FALSE),VLOOKUP(tables_3!B179,input_3!A:H,8,FALSE))</f>
        <v>0</v>
      </c>
      <c r="M179" s="67">
        <f t="shared" si="6"/>
        <v>0</v>
      </c>
      <c r="N179" s="31">
        <f>IFERROR(VLOOKUP($D179,bug_conf_sheet!$A:$H,3,FALSE),VLOOKUP("other",bug_conf_sheet!$A:$H,3,FALSE))</f>
        <v>1</v>
      </c>
      <c r="O179" s="31">
        <f>IFERROR(VLOOKUP($D179,bug_conf_sheet!$A:$H,4,FALSE),VLOOKUP("other",bug_conf_sheet!$A:$H,4,FALSE))</f>
        <v>0</v>
      </c>
      <c r="P179" s="31">
        <f>IFERROR(VLOOKUP($D179,bug_conf_sheet!$A:$H,5,FALSE),VLOOKUP("other",bug_conf_sheet!$A:$H,5,FALSE))</f>
        <v>0</v>
      </c>
      <c r="Q179" s="31">
        <f>IFERROR(VLOOKUP($D179,bug_conf_sheet!$A:$H,6,FALSE),VLOOKUP("other",bug_conf_sheet!$A:$H,6,FALSE))</f>
        <v>0</v>
      </c>
      <c r="R179" s="31">
        <f>IFERROR(VLOOKUP($D179,bug_conf_sheet!$A:$H,7,FALSE),VLOOKUP("other",bug_conf_sheet!$A:$H,7,FALSE))</f>
        <v>0</v>
      </c>
      <c r="S179" s="31">
        <f>IFERROR(VLOOKUP($D179,bug_conf_sheet!$A:$H,8,FALSE),VLOOKUP("other",bug_conf_sheet!$A:$H,8,FALSE))</f>
        <v>1</v>
      </c>
    </row>
    <row r="180" spans="1:19" ht="21" customHeight="1">
      <c r="A180" s="2">
        <f>input_3!A$2</f>
        <v>3123</v>
      </c>
      <c r="B180" s="7" t="str">
        <f t="shared" si="7"/>
        <v>Premium5</v>
      </c>
      <c r="C180" s="7" t="str">
        <f t="shared" si="8"/>
        <v>Premium</v>
      </c>
      <c r="D180" s="6">
        <v>438</v>
      </c>
      <c r="E180" s="7" t="str">
        <f>VLOOKUP(D180,[1]characters!$A:$C,3,FALSE)</f>
        <v>記憶の奪還 カカシ</v>
      </c>
      <c r="F180" s="7" t="str">
        <f>VLOOKUP(D180,[1]characters!$A:$J,10,FALSE)</f>
        <v>PremiumS</v>
      </c>
      <c r="G180" s="7">
        <f>VLOOKUP(D180,[1]characters!$A:$I,9,FALSE)</f>
        <v>5</v>
      </c>
      <c r="H180" s="7" t="str">
        <f>VLOOKUP(D180,[1]characters!$A:$H,8,FALSE)</f>
        <v>green</v>
      </c>
      <c r="I180" s="7" t="str">
        <f>VLOOKUP(D180,[1]characters!$A:$K,11,FALSE)</f>
        <v>technical</v>
      </c>
      <c r="J180" s="7" t="str">
        <f>VLOOKUP(D180,[1]characters!$A:$M,13,FALSE)</f>
        <v>human</v>
      </c>
      <c r="K180" s="7" t="str">
        <f>VLOOKUP(D180,[1]characters!$A:$G,7,FALSE)</f>
        <v>男性</v>
      </c>
      <c r="L180" s="66">
        <f>IFERROR(VLOOKUP(D180,input_3!L:R,7,FALSE),VLOOKUP(tables_3!B180,input_3!A:H,8,FALSE))</f>
        <v>637</v>
      </c>
      <c r="M180" s="67">
        <f t="shared" si="6"/>
        <v>1.8148148148148149E-2</v>
      </c>
      <c r="N180" s="31">
        <f>IFERROR(VLOOKUP($D180,bug_conf_sheet!$A:$H,3,FALSE),VLOOKUP("other",bug_conf_sheet!$A:$H,3,FALSE))</f>
        <v>1</v>
      </c>
      <c r="O180" s="31">
        <f>IFERROR(VLOOKUP($D180,bug_conf_sheet!$A:$H,4,FALSE),VLOOKUP("other",bug_conf_sheet!$A:$H,4,FALSE))</f>
        <v>0</v>
      </c>
      <c r="P180" s="31">
        <f>IFERROR(VLOOKUP($D180,bug_conf_sheet!$A:$H,5,FALSE),VLOOKUP("other",bug_conf_sheet!$A:$H,5,FALSE))</f>
        <v>0</v>
      </c>
      <c r="Q180" s="31">
        <f>IFERROR(VLOOKUP($D180,bug_conf_sheet!$A:$H,6,FALSE),VLOOKUP("other",bug_conf_sheet!$A:$H,6,FALSE))</f>
        <v>0</v>
      </c>
      <c r="R180" s="31">
        <f>IFERROR(VLOOKUP($D180,bug_conf_sheet!$A:$H,7,FALSE),VLOOKUP("other",bug_conf_sheet!$A:$H,7,FALSE))</f>
        <v>0</v>
      </c>
      <c r="S180" s="31">
        <f>IFERROR(VLOOKUP($D180,bug_conf_sheet!$A:$H,8,FALSE),VLOOKUP("other",bug_conf_sheet!$A:$H,8,FALSE))</f>
        <v>1</v>
      </c>
    </row>
    <row r="181" spans="1:19" ht="21" customHeight="1">
      <c r="A181" s="2">
        <f>input_3!A$2</f>
        <v>3123</v>
      </c>
      <c r="B181" s="7" t="str">
        <f t="shared" si="7"/>
        <v>Premium3</v>
      </c>
      <c r="C181" s="7" t="str">
        <f t="shared" si="8"/>
        <v>Premium</v>
      </c>
      <c r="D181" s="6">
        <v>439</v>
      </c>
      <c r="E181" s="7" t="str">
        <f>VLOOKUP(D181,[1]characters!$A:$C,3,FALSE)</f>
        <v>ブリキロガー</v>
      </c>
      <c r="F181" s="7" t="str">
        <f>VLOOKUP(D181,[1]characters!$A:$J,10,FALSE)</f>
        <v>PremiumS</v>
      </c>
      <c r="G181" s="7">
        <f>VLOOKUP(D181,[1]characters!$A:$I,9,FALSE)</f>
        <v>3</v>
      </c>
      <c r="H181" s="7" t="str">
        <f>VLOOKUP(D181,[1]characters!$A:$H,8,FALSE)</f>
        <v>blue</v>
      </c>
      <c r="I181" s="7" t="str">
        <f>VLOOKUP(D181,[1]characters!$A:$K,11,FALSE)</f>
        <v>attack</v>
      </c>
      <c r="J181" s="7" t="str">
        <f>VLOOKUP(D181,[1]characters!$A:$M,13,FALSE)</f>
        <v>machine</v>
      </c>
      <c r="K181" s="7" t="str">
        <f>VLOOKUP(D181,[1]characters!$A:$G,7,FALSE)</f>
        <v>不明</v>
      </c>
      <c r="L181" s="66">
        <f>IFERROR(VLOOKUP(D181,input_3!L:R,7,FALSE),VLOOKUP(tables_3!B181,input_3!A:H,8,FALSE))</f>
        <v>0</v>
      </c>
      <c r="M181" s="67">
        <f t="shared" si="6"/>
        <v>0</v>
      </c>
      <c r="N181" s="31">
        <f>IFERROR(VLOOKUP($D181,bug_conf_sheet!$A:$H,3,FALSE),VLOOKUP("other",bug_conf_sheet!$A:$H,3,FALSE))</f>
        <v>1</v>
      </c>
      <c r="O181" s="31">
        <f>IFERROR(VLOOKUP($D181,bug_conf_sheet!$A:$H,4,FALSE),VLOOKUP("other",bug_conf_sheet!$A:$H,4,FALSE))</f>
        <v>0</v>
      </c>
      <c r="P181" s="31">
        <f>IFERROR(VLOOKUP($D181,bug_conf_sheet!$A:$H,5,FALSE),VLOOKUP("other",bug_conf_sheet!$A:$H,5,FALSE))</f>
        <v>0</v>
      </c>
      <c r="Q181" s="31">
        <f>IFERROR(VLOOKUP($D181,bug_conf_sheet!$A:$H,6,FALSE),VLOOKUP("other",bug_conf_sheet!$A:$H,6,FALSE))</f>
        <v>0</v>
      </c>
      <c r="R181" s="31">
        <f>IFERROR(VLOOKUP($D181,bug_conf_sheet!$A:$H,7,FALSE),VLOOKUP("other",bug_conf_sheet!$A:$H,7,FALSE))</f>
        <v>0</v>
      </c>
      <c r="S181" s="31">
        <f>IFERROR(VLOOKUP($D181,bug_conf_sheet!$A:$H,8,FALSE),VLOOKUP("other",bug_conf_sheet!$A:$H,8,FALSE))</f>
        <v>1</v>
      </c>
    </row>
    <row r="182" spans="1:19" ht="21" customHeight="1">
      <c r="A182" s="2">
        <f>input_3!A$2</f>
        <v>3123</v>
      </c>
      <c r="B182" s="7" t="str">
        <f t="shared" si="7"/>
        <v>Premium4</v>
      </c>
      <c r="C182" s="7" t="str">
        <f t="shared" si="8"/>
        <v>Premium</v>
      </c>
      <c r="D182" s="6">
        <v>440</v>
      </c>
      <c r="E182" s="7" t="str">
        <f>VLOOKUP(D182,[1]characters!$A:$C,3,FALSE)</f>
        <v>改良型 ブリキロガー</v>
      </c>
      <c r="F182" s="7" t="str">
        <f>VLOOKUP(D182,[1]characters!$A:$J,10,FALSE)</f>
        <v>PremiumS</v>
      </c>
      <c r="G182" s="7">
        <f>VLOOKUP(D182,[1]characters!$A:$I,9,FALSE)</f>
        <v>4</v>
      </c>
      <c r="H182" s="7" t="str">
        <f>VLOOKUP(D182,[1]characters!$A:$H,8,FALSE)</f>
        <v>blue</v>
      </c>
      <c r="I182" s="7" t="str">
        <f>VLOOKUP(D182,[1]characters!$A:$K,11,FALSE)</f>
        <v>attack</v>
      </c>
      <c r="J182" s="7" t="str">
        <f>VLOOKUP(D182,[1]characters!$A:$M,13,FALSE)</f>
        <v>machine</v>
      </c>
      <c r="K182" s="7" t="str">
        <f>VLOOKUP(D182,[1]characters!$A:$G,7,FALSE)</f>
        <v>不明</v>
      </c>
      <c r="L182" s="66">
        <f>IFERROR(VLOOKUP(D182,input_3!L:R,7,FALSE),VLOOKUP(tables_3!B182,input_3!A:H,8,FALSE))</f>
        <v>0</v>
      </c>
      <c r="M182" s="67">
        <f t="shared" si="6"/>
        <v>0</v>
      </c>
      <c r="N182" s="31">
        <f>IFERROR(VLOOKUP($D182,bug_conf_sheet!$A:$H,3,FALSE),VLOOKUP("other",bug_conf_sheet!$A:$H,3,FALSE))</f>
        <v>1</v>
      </c>
      <c r="O182" s="31">
        <f>IFERROR(VLOOKUP($D182,bug_conf_sheet!$A:$H,4,FALSE),VLOOKUP("other",bug_conf_sheet!$A:$H,4,FALSE))</f>
        <v>0</v>
      </c>
      <c r="P182" s="31">
        <f>IFERROR(VLOOKUP($D182,bug_conf_sheet!$A:$H,5,FALSE),VLOOKUP("other",bug_conf_sheet!$A:$H,5,FALSE))</f>
        <v>0</v>
      </c>
      <c r="Q182" s="31">
        <f>IFERROR(VLOOKUP($D182,bug_conf_sheet!$A:$H,6,FALSE),VLOOKUP("other",bug_conf_sheet!$A:$H,6,FALSE))</f>
        <v>0</v>
      </c>
      <c r="R182" s="31">
        <f>IFERROR(VLOOKUP($D182,bug_conf_sheet!$A:$H,7,FALSE),VLOOKUP("other",bug_conf_sheet!$A:$H,7,FALSE))</f>
        <v>0</v>
      </c>
      <c r="S182" s="31">
        <f>IFERROR(VLOOKUP($D182,bug_conf_sheet!$A:$H,8,FALSE),VLOOKUP("other",bug_conf_sheet!$A:$H,8,FALSE))</f>
        <v>1</v>
      </c>
    </row>
    <row r="183" spans="1:19" ht="21" customHeight="1">
      <c r="A183" s="2">
        <f>input_3!A$2</f>
        <v>3123</v>
      </c>
      <c r="B183" s="7" t="str">
        <f t="shared" si="7"/>
        <v>Premium5</v>
      </c>
      <c r="C183" s="7" t="str">
        <f t="shared" si="8"/>
        <v>Premium</v>
      </c>
      <c r="D183" s="6">
        <v>441</v>
      </c>
      <c r="E183" s="7" t="str">
        <f>VLOOKUP(D183,[1]characters!$A:$C,3,FALSE)</f>
        <v>求心の錻装 ブリキロガー</v>
      </c>
      <c r="F183" s="7" t="str">
        <f>VLOOKUP(D183,[1]characters!$A:$J,10,FALSE)</f>
        <v>PremiumS</v>
      </c>
      <c r="G183" s="7">
        <f>VLOOKUP(D183,[1]characters!$A:$I,9,FALSE)</f>
        <v>5</v>
      </c>
      <c r="H183" s="7" t="str">
        <f>VLOOKUP(D183,[1]characters!$A:$H,8,FALSE)</f>
        <v>blue</v>
      </c>
      <c r="I183" s="7" t="str">
        <f>VLOOKUP(D183,[1]characters!$A:$K,11,FALSE)</f>
        <v>attack</v>
      </c>
      <c r="J183" s="7" t="str">
        <f>VLOOKUP(D183,[1]characters!$A:$M,13,FALSE)</f>
        <v>machine</v>
      </c>
      <c r="K183" s="7" t="str">
        <f>VLOOKUP(D183,[1]characters!$A:$G,7,FALSE)</f>
        <v>不明</v>
      </c>
      <c r="L183" s="66">
        <f>IFERROR(VLOOKUP(D183,input_3!L:R,7,FALSE),VLOOKUP(tables_3!B183,input_3!A:H,8,FALSE))</f>
        <v>637</v>
      </c>
      <c r="M183" s="67">
        <f t="shared" si="6"/>
        <v>1.8148148148148149E-2</v>
      </c>
      <c r="N183" s="31">
        <f>IFERROR(VLOOKUP($D183,bug_conf_sheet!$A:$H,3,FALSE),VLOOKUP("other",bug_conf_sheet!$A:$H,3,FALSE))</f>
        <v>1</v>
      </c>
      <c r="O183" s="31">
        <f>IFERROR(VLOOKUP($D183,bug_conf_sheet!$A:$H,4,FALSE),VLOOKUP("other",bug_conf_sheet!$A:$H,4,FALSE))</f>
        <v>0</v>
      </c>
      <c r="P183" s="31">
        <f>IFERROR(VLOOKUP($D183,bug_conf_sheet!$A:$H,5,FALSE),VLOOKUP("other",bug_conf_sheet!$A:$H,5,FALSE))</f>
        <v>0</v>
      </c>
      <c r="Q183" s="31">
        <f>IFERROR(VLOOKUP($D183,bug_conf_sheet!$A:$H,6,FALSE),VLOOKUP("other",bug_conf_sheet!$A:$H,6,FALSE))</f>
        <v>0</v>
      </c>
      <c r="R183" s="31">
        <f>IFERROR(VLOOKUP($D183,bug_conf_sheet!$A:$H,7,FALSE),VLOOKUP("other",bug_conf_sheet!$A:$H,7,FALSE))</f>
        <v>0</v>
      </c>
      <c r="S183" s="31">
        <f>IFERROR(VLOOKUP($D183,bug_conf_sheet!$A:$H,8,FALSE),VLOOKUP("other",bug_conf_sheet!$A:$H,8,FALSE))</f>
        <v>1</v>
      </c>
    </row>
    <row r="184" spans="1:19" ht="21" customHeight="1">
      <c r="A184" s="2">
        <f>input_3!A$2</f>
        <v>3123</v>
      </c>
      <c r="B184" s="7" t="str">
        <f t="shared" si="7"/>
        <v>PremiumSS4</v>
      </c>
      <c r="C184" s="7" t="str">
        <f t="shared" si="8"/>
        <v>PremiumSS</v>
      </c>
      <c r="D184" s="6">
        <v>442</v>
      </c>
      <c r="E184" s="7" t="str">
        <f>VLOOKUP(D184,[1]characters!$A:$C,3,FALSE)</f>
        <v>ブレイブリー・ライオン</v>
      </c>
      <c r="F184" s="7" t="str">
        <f>VLOOKUP(D184,[1]characters!$A:$J,10,FALSE)</f>
        <v>PremiumSS</v>
      </c>
      <c r="G184" s="7">
        <f>VLOOKUP(D184,[1]characters!$A:$I,9,FALSE)</f>
        <v>4</v>
      </c>
      <c r="H184" s="7" t="str">
        <f>VLOOKUP(D184,[1]characters!$A:$H,8,FALSE)</f>
        <v>yellow</v>
      </c>
      <c r="I184" s="7" t="str">
        <f>VLOOKUP(D184,[1]characters!$A:$K,11,FALSE)</f>
        <v>hp</v>
      </c>
      <c r="J184" s="7" t="str">
        <f>VLOOKUP(D184,[1]characters!$A:$M,13,FALSE)</f>
        <v>animal</v>
      </c>
      <c r="K184" s="7" t="str">
        <f>VLOOKUP(D184,[1]characters!$A:$G,7,FALSE)</f>
        <v>不明</v>
      </c>
      <c r="L184" s="66">
        <f>IFERROR(VLOOKUP(D184,input_3!L:R,7,FALSE),VLOOKUP(tables_3!B184,input_3!A:H,8,FALSE))</f>
        <v>0</v>
      </c>
      <c r="M184" s="67">
        <f t="shared" si="6"/>
        <v>0</v>
      </c>
      <c r="N184" s="31">
        <f>IFERROR(VLOOKUP($D184,bug_conf_sheet!$A:$H,3,FALSE),VLOOKUP("other",bug_conf_sheet!$A:$H,3,FALSE))</f>
        <v>1</v>
      </c>
      <c r="O184" s="31">
        <f>IFERROR(VLOOKUP($D184,bug_conf_sheet!$A:$H,4,FALSE),VLOOKUP("other",bug_conf_sheet!$A:$H,4,FALSE))</f>
        <v>0</v>
      </c>
      <c r="P184" s="31">
        <f>IFERROR(VLOOKUP($D184,bug_conf_sheet!$A:$H,5,FALSE),VLOOKUP("other",bug_conf_sheet!$A:$H,5,FALSE))</f>
        <v>0</v>
      </c>
      <c r="Q184" s="31">
        <f>IFERROR(VLOOKUP($D184,bug_conf_sheet!$A:$H,6,FALSE),VLOOKUP("other",bug_conf_sheet!$A:$H,6,FALSE))</f>
        <v>0</v>
      </c>
      <c r="R184" s="31">
        <f>IFERROR(VLOOKUP($D184,bug_conf_sheet!$A:$H,7,FALSE),VLOOKUP("other",bug_conf_sheet!$A:$H,7,FALSE))</f>
        <v>0</v>
      </c>
      <c r="S184" s="31">
        <f>IFERROR(VLOOKUP($D184,bug_conf_sheet!$A:$H,8,FALSE),VLOOKUP("other",bug_conf_sheet!$A:$H,8,FALSE))</f>
        <v>1</v>
      </c>
    </row>
    <row r="185" spans="1:19" ht="21" customHeight="1">
      <c r="A185" s="2">
        <f>input_3!A$2</f>
        <v>3123</v>
      </c>
      <c r="B185" s="7" t="str">
        <f t="shared" si="7"/>
        <v>PremiumSS5</v>
      </c>
      <c r="C185" s="7" t="str">
        <f t="shared" si="8"/>
        <v>PremiumSS</v>
      </c>
      <c r="D185" s="6">
        <v>443</v>
      </c>
      <c r="E185" s="7" t="str">
        <f>VLOOKUP(D185,[1]characters!$A:$C,3,FALSE)</f>
        <v>勇機結集 ブレイブリー・ライオン</v>
      </c>
      <c r="F185" s="7" t="str">
        <f>VLOOKUP(D185,[1]characters!$A:$J,10,FALSE)</f>
        <v>PremiumSS</v>
      </c>
      <c r="G185" s="7">
        <f>VLOOKUP(D185,[1]characters!$A:$I,9,FALSE)</f>
        <v>5</v>
      </c>
      <c r="H185" s="7" t="str">
        <f>VLOOKUP(D185,[1]characters!$A:$H,8,FALSE)</f>
        <v>yellow</v>
      </c>
      <c r="I185" s="7" t="str">
        <f>VLOOKUP(D185,[1]characters!$A:$K,11,FALSE)</f>
        <v>hp</v>
      </c>
      <c r="J185" s="7" t="str">
        <f>VLOOKUP(D185,[1]characters!$A:$M,13,FALSE)</f>
        <v>animal</v>
      </c>
      <c r="K185" s="7" t="str">
        <f>VLOOKUP(D185,[1]characters!$A:$G,7,FALSE)</f>
        <v>不明</v>
      </c>
      <c r="L185" s="66">
        <f>IFERROR(VLOOKUP(D185,input_3!L:R,7,FALSE),VLOOKUP(tables_3!B185,input_3!A:H,8,FALSE))</f>
        <v>27</v>
      </c>
      <c r="M185" s="67">
        <f t="shared" si="6"/>
        <v>7.6923076923076923E-4</v>
      </c>
      <c r="N185" s="31">
        <f>IFERROR(VLOOKUP($D185,bug_conf_sheet!$A:$H,3,FALSE),VLOOKUP("other",bug_conf_sheet!$A:$H,3,FALSE))</f>
        <v>1</v>
      </c>
      <c r="O185" s="31">
        <f>IFERROR(VLOOKUP($D185,bug_conf_sheet!$A:$H,4,FALSE),VLOOKUP("other",bug_conf_sheet!$A:$H,4,FALSE))</f>
        <v>0</v>
      </c>
      <c r="P185" s="31">
        <f>IFERROR(VLOOKUP($D185,bug_conf_sheet!$A:$H,5,FALSE),VLOOKUP("other",bug_conf_sheet!$A:$H,5,FALSE))</f>
        <v>0</v>
      </c>
      <c r="Q185" s="31">
        <f>IFERROR(VLOOKUP($D185,bug_conf_sheet!$A:$H,6,FALSE),VLOOKUP("other",bug_conf_sheet!$A:$H,6,FALSE))</f>
        <v>0</v>
      </c>
      <c r="R185" s="31">
        <f>IFERROR(VLOOKUP($D185,bug_conf_sheet!$A:$H,7,FALSE),VLOOKUP("other",bug_conf_sheet!$A:$H,7,FALSE))</f>
        <v>0</v>
      </c>
      <c r="S185" s="31">
        <f>IFERROR(VLOOKUP($D185,bug_conf_sheet!$A:$H,8,FALSE),VLOOKUP("other",bug_conf_sheet!$A:$H,8,FALSE))</f>
        <v>1</v>
      </c>
    </row>
    <row r="186" spans="1:19" ht="21" customHeight="1">
      <c r="A186" s="2">
        <f>input_3!A$2</f>
        <v>3123</v>
      </c>
      <c r="B186" s="7" t="str">
        <f t="shared" si="7"/>
        <v>Premium3</v>
      </c>
      <c r="C186" s="7" t="str">
        <f t="shared" si="8"/>
        <v>Premium</v>
      </c>
      <c r="D186" s="8">
        <v>462</v>
      </c>
      <c r="E186" s="7" t="str">
        <f>VLOOKUP(D186,[1]characters!$A:$C,3,FALSE)</f>
        <v>ガウェイン</v>
      </c>
      <c r="F186" s="7" t="str">
        <f>VLOOKUP(D186,[1]characters!$A:$J,10,FALSE)</f>
        <v>PremiumS</v>
      </c>
      <c r="G186" s="7">
        <f>VLOOKUP(D186,[1]characters!$A:$I,9,FALSE)</f>
        <v>3</v>
      </c>
      <c r="H186" s="7" t="str">
        <f>VLOOKUP(D186,[1]characters!$A:$H,8,FALSE)</f>
        <v>red</v>
      </c>
      <c r="I186" s="7" t="str">
        <f>VLOOKUP(D186,[1]characters!$A:$K,11,FALSE)</f>
        <v>hp</v>
      </c>
      <c r="J186" s="7" t="str">
        <f>VLOOKUP(D186,[1]characters!$A:$M,13,FALSE)</f>
        <v>human</v>
      </c>
      <c r="K186" s="7" t="str">
        <f>VLOOKUP(D186,[1]characters!$A:$G,7,FALSE)</f>
        <v>男性</v>
      </c>
      <c r="L186" s="66">
        <f>IFERROR(VLOOKUP(D186,input_3!L:R,7,FALSE),VLOOKUP(tables_3!B186,input_3!A:H,8,FALSE))</f>
        <v>0</v>
      </c>
      <c r="M186" s="67">
        <f t="shared" si="6"/>
        <v>0</v>
      </c>
      <c r="N186" s="31">
        <f>IFERROR(VLOOKUP($D186,bug_conf_sheet!$A:$H,3,FALSE),VLOOKUP("other",bug_conf_sheet!$A:$H,3,FALSE))</f>
        <v>1</v>
      </c>
      <c r="O186" s="31">
        <f>IFERROR(VLOOKUP($D186,bug_conf_sheet!$A:$H,4,FALSE),VLOOKUP("other",bug_conf_sheet!$A:$H,4,FALSE))</f>
        <v>0</v>
      </c>
      <c r="P186" s="31">
        <f>IFERROR(VLOOKUP($D186,bug_conf_sheet!$A:$H,5,FALSE),VLOOKUP("other",bug_conf_sheet!$A:$H,5,FALSE))</f>
        <v>0</v>
      </c>
      <c r="Q186" s="31">
        <f>IFERROR(VLOOKUP($D186,bug_conf_sheet!$A:$H,6,FALSE),VLOOKUP("other",bug_conf_sheet!$A:$H,6,FALSE))</f>
        <v>0</v>
      </c>
      <c r="R186" s="31">
        <f>IFERROR(VLOOKUP($D186,bug_conf_sheet!$A:$H,7,FALSE),VLOOKUP("other",bug_conf_sheet!$A:$H,7,FALSE))</f>
        <v>0</v>
      </c>
      <c r="S186" s="31">
        <f>IFERROR(VLOOKUP($D186,bug_conf_sheet!$A:$H,8,FALSE),VLOOKUP("other",bug_conf_sheet!$A:$H,8,FALSE))</f>
        <v>1</v>
      </c>
    </row>
    <row r="187" spans="1:19" ht="21" customHeight="1">
      <c r="A187" s="2">
        <f>input_3!A$2</f>
        <v>3123</v>
      </c>
      <c r="B187" s="7" t="str">
        <f t="shared" si="7"/>
        <v>Premium4</v>
      </c>
      <c r="C187" s="7" t="str">
        <f t="shared" si="8"/>
        <v>Premium</v>
      </c>
      <c r="D187" s="8">
        <v>463</v>
      </c>
      <c r="E187" s="7" t="str">
        <f>VLOOKUP(D187,[1]characters!$A:$C,3,FALSE)</f>
        <v>燻銀 ガウェイン</v>
      </c>
      <c r="F187" s="7" t="str">
        <f>VLOOKUP(D187,[1]characters!$A:$J,10,FALSE)</f>
        <v>PremiumS</v>
      </c>
      <c r="G187" s="7">
        <f>VLOOKUP(D187,[1]characters!$A:$I,9,FALSE)</f>
        <v>4</v>
      </c>
      <c r="H187" s="7" t="str">
        <f>VLOOKUP(D187,[1]characters!$A:$H,8,FALSE)</f>
        <v>red</v>
      </c>
      <c r="I187" s="7" t="str">
        <f>VLOOKUP(D187,[1]characters!$A:$K,11,FALSE)</f>
        <v>hp</v>
      </c>
      <c r="J187" s="7" t="str">
        <f>VLOOKUP(D187,[1]characters!$A:$M,13,FALSE)</f>
        <v>human</v>
      </c>
      <c r="K187" s="7" t="str">
        <f>VLOOKUP(D187,[1]characters!$A:$G,7,FALSE)</f>
        <v>男性</v>
      </c>
      <c r="L187" s="66">
        <f>IFERROR(VLOOKUP(D187,input_3!L:R,7,FALSE),VLOOKUP(tables_3!B187,input_3!A:H,8,FALSE))</f>
        <v>0</v>
      </c>
      <c r="M187" s="67">
        <f t="shared" si="6"/>
        <v>0</v>
      </c>
      <c r="N187" s="31">
        <f>IFERROR(VLOOKUP($D187,bug_conf_sheet!$A:$H,3,FALSE),VLOOKUP("other",bug_conf_sheet!$A:$H,3,FALSE))</f>
        <v>1</v>
      </c>
      <c r="O187" s="31">
        <f>IFERROR(VLOOKUP($D187,bug_conf_sheet!$A:$H,4,FALSE),VLOOKUP("other",bug_conf_sheet!$A:$H,4,FALSE))</f>
        <v>0</v>
      </c>
      <c r="P187" s="31">
        <f>IFERROR(VLOOKUP($D187,bug_conf_sheet!$A:$H,5,FALSE),VLOOKUP("other",bug_conf_sheet!$A:$H,5,FALSE))</f>
        <v>0</v>
      </c>
      <c r="Q187" s="31">
        <f>IFERROR(VLOOKUP($D187,bug_conf_sheet!$A:$H,6,FALSE),VLOOKUP("other",bug_conf_sheet!$A:$H,6,FALSE))</f>
        <v>0</v>
      </c>
      <c r="R187" s="31">
        <f>IFERROR(VLOOKUP($D187,bug_conf_sheet!$A:$H,7,FALSE),VLOOKUP("other",bug_conf_sheet!$A:$H,7,FALSE))</f>
        <v>0</v>
      </c>
      <c r="S187" s="31">
        <f>IFERROR(VLOOKUP($D187,bug_conf_sheet!$A:$H,8,FALSE),VLOOKUP("other",bug_conf_sheet!$A:$H,8,FALSE))</f>
        <v>1</v>
      </c>
    </row>
    <row r="188" spans="1:19" ht="21" customHeight="1">
      <c r="A188" s="2">
        <f>input_3!A$2</f>
        <v>3123</v>
      </c>
      <c r="B188" s="7" t="str">
        <f t="shared" si="7"/>
        <v>Premium5</v>
      </c>
      <c r="C188" s="7" t="str">
        <f t="shared" si="8"/>
        <v>Premium</v>
      </c>
      <c r="D188" s="8">
        <v>464</v>
      </c>
      <c r="E188" s="7" t="str">
        <f>VLOOKUP(D188,[1]characters!$A:$C,3,FALSE)</f>
        <v>円熟の弾導 ガウェイン</v>
      </c>
      <c r="F188" s="7" t="str">
        <f>VLOOKUP(D188,[1]characters!$A:$J,10,FALSE)</f>
        <v>PremiumS</v>
      </c>
      <c r="G188" s="7">
        <f>VLOOKUP(D188,[1]characters!$A:$I,9,FALSE)</f>
        <v>5</v>
      </c>
      <c r="H188" s="7" t="str">
        <f>VLOOKUP(D188,[1]characters!$A:$H,8,FALSE)</f>
        <v>red</v>
      </c>
      <c r="I188" s="7" t="str">
        <f>VLOOKUP(D188,[1]characters!$A:$K,11,FALSE)</f>
        <v>hp</v>
      </c>
      <c r="J188" s="7" t="str">
        <f>VLOOKUP(D188,[1]characters!$A:$M,13,FALSE)</f>
        <v>human</v>
      </c>
      <c r="K188" s="7" t="str">
        <f>VLOOKUP(D188,[1]characters!$A:$G,7,FALSE)</f>
        <v>男性</v>
      </c>
      <c r="L188" s="66">
        <f>IFERROR(VLOOKUP(D188,input_3!L:R,7,FALSE),VLOOKUP(tables_3!B188,input_3!A:H,8,FALSE))</f>
        <v>637</v>
      </c>
      <c r="M188" s="67">
        <f t="shared" si="6"/>
        <v>1.8148148148148149E-2</v>
      </c>
      <c r="N188" s="31">
        <f>IFERROR(VLOOKUP($D188,bug_conf_sheet!$A:$H,3,FALSE),VLOOKUP("other",bug_conf_sheet!$A:$H,3,FALSE))</f>
        <v>1</v>
      </c>
      <c r="O188" s="31">
        <f>IFERROR(VLOOKUP($D188,bug_conf_sheet!$A:$H,4,FALSE),VLOOKUP("other",bug_conf_sheet!$A:$H,4,FALSE))</f>
        <v>0</v>
      </c>
      <c r="P188" s="31">
        <f>IFERROR(VLOOKUP($D188,bug_conf_sheet!$A:$H,5,FALSE),VLOOKUP("other",bug_conf_sheet!$A:$H,5,FALSE))</f>
        <v>0</v>
      </c>
      <c r="Q188" s="31">
        <f>IFERROR(VLOOKUP($D188,bug_conf_sheet!$A:$H,6,FALSE),VLOOKUP("other",bug_conf_sheet!$A:$H,6,FALSE))</f>
        <v>0</v>
      </c>
      <c r="R188" s="31">
        <f>IFERROR(VLOOKUP($D188,bug_conf_sheet!$A:$H,7,FALSE),VLOOKUP("other",bug_conf_sheet!$A:$H,7,FALSE))</f>
        <v>0</v>
      </c>
      <c r="S188" s="31">
        <f>IFERROR(VLOOKUP($D188,bug_conf_sheet!$A:$H,8,FALSE),VLOOKUP("other",bug_conf_sheet!$A:$H,8,FALSE))</f>
        <v>1</v>
      </c>
    </row>
    <row r="189" spans="1:19" ht="21" customHeight="1">
      <c r="A189" s="2">
        <f>input_3!A$2</f>
        <v>3123</v>
      </c>
      <c r="B189" s="7" t="str">
        <f t="shared" si="7"/>
        <v>PremiumSS4</v>
      </c>
      <c r="C189" s="7" t="str">
        <f t="shared" si="8"/>
        <v>PremiumSS</v>
      </c>
      <c r="D189" s="8">
        <v>465</v>
      </c>
      <c r="E189" s="7" t="str">
        <f>VLOOKUP(D189,[1]characters!$A:$C,3,FALSE)</f>
        <v>真撃 ランスロット</v>
      </c>
      <c r="F189" s="7" t="str">
        <f>VLOOKUP(D189,[1]characters!$A:$J,10,FALSE)</f>
        <v>PremiumSS</v>
      </c>
      <c r="G189" s="7">
        <f>VLOOKUP(D189,[1]characters!$A:$I,9,FALSE)</f>
        <v>4</v>
      </c>
      <c r="H189" s="7" t="str">
        <f>VLOOKUP(D189,[1]characters!$A:$H,8,FALSE)</f>
        <v>green</v>
      </c>
      <c r="I189" s="7" t="str">
        <f>VLOOKUP(D189,[1]characters!$A:$K,11,FALSE)</f>
        <v>balance</v>
      </c>
      <c r="J189" s="7" t="str">
        <f>VLOOKUP(D189,[1]characters!$A:$M,13,FALSE)</f>
        <v>human</v>
      </c>
      <c r="K189" s="7" t="str">
        <f>VLOOKUP(D189,[1]characters!$A:$G,7,FALSE)</f>
        <v>男性</v>
      </c>
      <c r="L189" s="66">
        <f>IFERROR(VLOOKUP(D189,input_3!L:R,7,FALSE),VLOOKUP(tables_3!B189,input_3!A:H,8,FALSE))</f>
        <v>0</v>
      </c>
      <c r="M189" s="67">
        <f t="shared" si="6"/>
        <v>0</v>
      </c>
      <c r="N189" s="31">
        <f>IFERROR(VLOOKUP($D189,bug_conf_sheet!$A:$H,3,FALSE),VLOOKUP("other",bug_conf_sheet!$A:$H,3,FALSE))</f>
        <v>1</v>
      </c>
      <c r="O189" s="31">
        <f>IFERROR(VLOOKUP($D189,bug_conf_sheet!$A:$H,4,FALSE),VLOOKUP("other",bug_conf_sheet!$A:$H,4,FALSE))</f>
        <v>0</v>
      </c>
      <c r="P189" s="31">
        <f>IFERROR(VLOOKUP($D189,bug_conf_sheet!$A:$H,5,FALSE),VLOOKUP("other",bug_conf_sheet!$A:$H,5,FALSE))</f>
        <v>0</v>
      </c>
      <c r="Q189" s="31">
        <f>IFERROR(VLOOKUP($D189,bug_conf_sheet!$A:$H,6,FALSE),VLOOKUP("other",bug_conf_sheet!$A:$H,6,FALSE))</f>
        <v>0</v>
      </c>
      <c r="R189" s="31">
        <f>IFERROR(VLOOKUP($D189,bug_conf_sheet!$A:$H,7,FALSE),VLOOKUP("other",bug_conf_sheet!$A:$H,7,FALSE))</f>
        <v>0</v>
      </c>
      <c r="S189" s="31">
        <f>IFERROR(VLOOKUP($D189,bug_conf_sheet!$A:$H,8,FALSE),VLOOKUP("other",bug_conf_sheet!$A:$H,8,FALSE))</f>
        <v>1</v>
      </c>
    </row>
    <row r="190" spans="1:19" s="9" customFormat="1" ht="21" customHeight="1" thickBot="1">
      <c r="A190" s="2">
        <f>input_3!A$2</f>
        <v>3123</v>
      </c>
      <c r="B190" s="7" t="str">
        <f t="shared" si="7"/>
        <v>PremiumSS5</v>
      </c>
      <c r="C190" s="7" t="str">
        <f t="shared" si="8"/>
        <v>PremiumSS</v>
      </c>
      <c r="D190" s="6">
        <v>466</v>
      </c>
      <c r="E190" s="7" t="str">
        <f>VLOOKUP(D190,[1]characters!$A:$C,3,FALSE)</f>
        <v>真断の勇覇 ランスロット</v>
      </c>
      <c r="F190" s="7" t="str">
        <f>VLOOKUP(D190,[1]characters!$A:$J,10,FALSE)</f>
        <v>PremiumSS</v>
      </c>
      <c r="G190" s="7">
        <f>VLOOKUP(D190,[1]characters!$A:$I,9,FALSE)</f>
        <v>5</v>
      </c>
      <c r="H190" s="7" t="str">
        <f>VLOOKUP(D190,[1]characters!$A:$H,8,FALSE)</f>
        <v>green</v>
      </c>
      <c r="I190" s="7" t="str">
        <f>VLOOKUP(D190,[1]characters!$A:$K,11,FALSE)</f>
        <v>balance</v>
      </c>
      <c r="J190" s="7" t="str">
        <f>VLOOKUP(D190,[1]characters!$A:$M,13,FALSE)</f>
        <v>human</v>
      </c>
      <c r="K190" s="7" t="str">
        <f>VLOOKUP(D190,[1]characters!$A:$G,7,FALSE)</f>
        <v>男性</v>
      </c>
      <c r="L190" s="66">
        <f>IFERROR(VLOOKUP(D190,input_3!L:R,7,FALSE),VLOOKUP(tables_3!B190,input_3!A:H,8,FALSE))</f>
        <v>27</v>
      </c>
      <c r="M190" s="67">
        <f t="shared" si="6"/>
        <v>7.6923076923076923E-4</v>
      </c>
      <c r="N190" s="31">
        <f>IFERROR(VLOOKUP($D190,bug_conf_sheet!$A:$H,3,FALSE),VLOOKUP("other",bug_conf_sheet!$A:$H,3,FALSE))</f>
        <v>1</v>
      </c>
      <c r="O190" s="31">
        <f>IFERROR(VLOOKUP($D190,bug_conf_sheet!$A:$H,4,FALSE),VLOOKUP("other",bug_conf_sheet!$A:$H,4,FALSE))</f>
        <v>0</v>
      </c>
      <c r="P190" s="31">
        <f>IFERROR(VLOOKUP($D190,bug_conf_sheet!$A:$H,5,FALSE),VLOOKUP("other",bug_conf_sheet!$A:$H,5,FALSE))</f>
        <v>0</v>
      </c>
      <c r="Q190" s="31">
        <f>IFERROR(VLOOKUP($D190,bug_conf_sheet!$A:$H,6,FALSE),VLOOKUP("other",bug_conf_sheet!$A:$H,6,FALSE))</f>
        <v>0</v>
      </c>
      <c r="R190" s="31">
        <f>IFERROR(VLOOKUP($D190,bug_conf_sheet!$A:$H,7,FALSE),VLOOKUP("other",bug_conf_sheet!$A:$H,7,FALSE))</f>
        <v>0</v>
      </c>
      <c r="S190" s="31">
        <f>IFERROR(VLOOKUP($D190,bug_conf_sheet!$A:$H,8,FALSE),VLOOKUP("other",bug_conf_sheet!$A:$H,8,FALSE))</f>
        <v>1</v>
      </c>
    </row>
    <row r="191" spans="1:19" ht="21" customHeight="1">
      <c r="A191" s="2">
        <f>input_3!A$2</f>
        <v>3123</v>
      </c>
      <c r="B191" s="7" t="str">
        <f t="shared" si="7"/>
        <v>PremiumSS4</v>
      </c>
      <c r="C191" s="7" t="str">
        <f t="shared" si="8"/>
        <v>PremiumSS</v>
      </c>
      <c r="D191" s="6">
        <v>467</v>
      </c>
      <c r="E191" s="7" t="str">
        <f>VLOOKUP(D191,[1]characters!$A:$C,3,FALSE)</f>
        <v>報復 モルドレッド</v>
      </c>
      <c r="F191" s="7" t="str">
        <f>VLOOKUP(D191,[1]characters!$A:$J,10,FALSE)</f>
        <v>PremiumSS</v>
      </c>
      <c r="G191" s="7">
        <f>VLOOKUP(D191,[1]characters!$A:$I,9,FALSE)</f>
        <v>4</v>
      </c>
      <c r="H191" s="7" t="str">
        <f>VLOOKUP(D191,[1]characters!$A:$H,8,FALSE)</f>
        <v>blue</v>
      </c>
      <c r="I191" s="7" t="str">
        <f>VLOOKUP(D191,[1]characters!$A:$K,11,FALSE)</f>
        <v>technical</v>
      </c>
      <c r="J191" s="7" t="str">
        <f>VLOOKUP(D191,[1]characters!$A:$M,13,FALSE)</f>
        <v>human</v>
      </c>
      <c r="K191" s="7" t="str">
        <f>VLOOKUP(D191,[1]characters!$A:$G,7,FALSE)</f>
        <v>女性</v>
      </c>
      <c r="L191" s="66">
        <f>IFERROR(VLOOKUP(D191,input_3!L:R,7,FALSE),VLOOKUP(tables_3!B191,input_3!A:H,8,FALSE))</f>
        <v>0</v>
      </c>
      <c r="M191" s="67">
        <f t="shared" si="6"/>
        <v>0</v>
      </c>
      <c r="N191" s="31">
        <f>IFERROR(VLOOKUP($D191,bug_conf_sheet!$A:$H,3,FALSE),VLOOKUP("other",bug_conf_sheet!$A:$H,3,FALSE))</f>
        <v>1</v>
      </c>
      <c r="O191" s="31">
        <f>IFERROR(VLOOKUP($D191,bug_conf_sheet!$A:$H,4,FALSE),VLOOKUP("other",bug_conf_sheet!$A:$H,4,FALSE))</f>
        <v>0</v>
      </c>
      <c r="P191" s="31">
        <f>IFERROR(VLOOKUP($D191,bug_conf_sheet!$A:$H,5,FALSE),VLOOKUP("other",bug_conf_sheet!$A:$H,5,FALSE))</f>
        <v>0</v>
      </c>
      <c r="Q191" s="31">
        <f>IFERROR(VLOOKUP($D191,bug_conf_sheet!$A:$H,6,FALSE),VLOOKUP("other",bug_conf_sheet!$A:$H,6,FALSE))</f>
        <v>0</v>
      </c>
      <c r="R191" s="31">
        <f>IFERROR(VLOOKUP($D191,bug_conf_sheet!$A:$H,7,FALSE),VLOOKUP("other",bug_conf_sheet!$A:$H,7,FALSE))</f>
        <v>0</v>
      </c>
      <c r="S191" s="31">
        <f>IFERROR(VLOOKUP($D191,bug_conf_sheet!$A:$H,8,FALSE),VLOOKUP("other",bug_conf_sheet!$A:$H,8,FALSE))</f>
        <v>1</v>
      </c>
    </row>
    <row r="192" spans="1:19" ht="21" customHeight="1">
      <c r="A192" s="2">
        <f>input_3!A$2</f>
        <v>3123</v>
      </c>
      <c r="B192" s="7" t="str">
        <f t="shared" si="7"/>
        <v>PremiumSS5</v>
      </c>
      <c r="C192" s="7" t="str">
        <f t="shared" si="8"/>
        <v>PremiumSS</v>
      </c>
      <c r="D192" s="6">
        <v>468</v>
      </c>
      <c r="E192" s="7" t="str">
        <f>VLOOKUP(D192,[1]characters!$A:$C,3,FALSE)</f>
        <v>憎愛の尖鋒 モルドレッド</v>
      </c>
      <c r="F192" s="7" t="str">
        <f>VLOOKUP(D192,[1]characters!$A:$J,10,FALSE)</f>
        <v>PremiumSS</v>
      </c>
      <c r="G192" s="7">
        <f>VLOOKUP(D192,[1]characters!$A:$I,9,FALSE)</f>
        <v>5</v>
      </c>
      <c r="H192" s="7" t="str">
        <f>VLOOKUP(D192,[1]characters!$A:$H,8,FALSE)</f>
        <v>blue</v>
      </c>
      <c r="I192" s="7" t="str">
        <f>VLOOKUP(D192,[1]characters!$A:$K,11,FALSE)</f>
        <v>technical</v>
      </c>
      <c r="J192" s="7" t="str">
        <f>VLOOKUP(D192,[1]characters!$A:$M,13,FALSE)</f>
        <v>human</v>
      </c>
      <c r="K192" s="7" t="str">
        <f>VLOOKUP(D192,[1]characters!$A:$G,7,FALSE)</f>
        <v>女性</v>
      </c>
      <c r="L192" s="66">
        <f>IFERROR(VLOOKUP(D192,input_3!L:R,7,FALSE),VLOOKUP(tables_3!B192,input_3!A:H,8,FALSE))</f>
        <v>27</v>
      </c>
      <c r="M192" s="67">
        <f t="shared" si="6"/>
        <v>7.6923076923076923E-4</v>
      </c>
      <c r="N192" s="31">
        <f>IFERROR(VLOOKUP($D192,bug_conf_sheet!$A:$H,3,FALSE),VLOOKUP("other",bug_conf_sheet!$A:$H,3,FALSE))</f>
        <v>1</v>
      </c>
      <c r="O192" s="31">
        <f>IFERROR(VLOOKUP($D192,bug_conf_sheet!$A:$H,4,FALSE),VLOOKUP("other",bug_conf_sheet!$A:$H,4,FALSE))</f>
        <v>0</v>
      </c>
      <c r="P192" s="31">
        <f>IFERROR(VLOOKUP($D192,bug_conf_sheet!$A:$H,5,FALSE),VLOOKUP("other",bug_conf_sheet!$A:$H,5,FALSE))</f>
        <v>0</v>
      </c>
      <c r="Q192" s="31">
        <f>IFERROR(VLOOKUP($D192,bug_conf_sheet!$A:$H,6,FALSE),VLOOKUP("other",bug_conf_sheet!$A:$H,6,FALSE))</f>
        <v>0</v>
      </c>
      <c r="R192" s="31">
        <f>IFERROR(VLOOKUP($D192,bug_conf_sheet!$A:$H,7,FALSE),VLOOKUP("other",bug_conf_sheet!$A:$H,7,FALSE))</f>
        <v>0</v>
      </c>
      <c r="S192" s="31">
        <f>IFERROR(VLOOKUP($D192,bug_conf_sheet!$A:$H,8,FALSE),VLOOKUP("other",bug_conf_sheet!$A:$H,8,FALSE))</f>
        <v>1</v>
      </c>
    </row>
    <row r="193" spans="1:19" ht="21" customHeight="1">
      <c r="A193" s="2">
        <f>input_3!A$2</f>
        <v>3123</v>
      </c>
      <c r="B193" s="7" t="str">
        <f t="shared" si="7"/>
        <v>Premium3</v>
      </c>
      <c r="C193" s="7" t="str">
        <f t="shared" si="8"/>
        <v>Premium</v>
      </c>
      <c r="D193" s="6">
        <v>469</v>
      </c>
      <c r="E193" s="7" t="str">
        <f>VLOOKUP(D193,[1]characters!$A:$C,3,FALSE)</f>
        <v>トリスタン</v>
      </c>
      <c r="F193" s="7" t="str">
        <f>VLOOKUP(D193,[1]characters!$A:$J,10,FALSE)</f>
        <v>PremiumS</v>
      </c>
      <c r="G193" s="7">
        <f>VLOOKUP(D193,[1]characters!$A:$I,9,FALSE)</f>
        <v>3</v>
      </c>
      <c r="H193" s="7" t="str">
        <f>VLOOKUP(D193,[1]characters!$A:$H,8,FALSE)</f>
        <v>yellow</v>
      </c>
      <c r="I193" s="7" t="str">
        <f>VLOOKUP(D193,[1]characters!$A:$K,11,FALSE)</f>
        <v>attack</v>
      </c>
      <c r="J193" s="7" t="str">
        <f>VLOOKUP(D193,[1]characters!$A:$M,13,FALSE)</f>
        <v>human</v>
      </c>
      <c r="K193" s="7" t="str">
        <f>VLOOKUP(D193,[1]characters!$A:$G,7,FALSE)</f>
        <v>男性</v>
      </c>
      <c r="L193" s="66">
        <f>IFERROR(VLOOKUP(D193,input_3!L:R,7,FALSE),VLOOKUP(tables_3!B193,input_3!A:H,8,FALSE))</f>
        <v>0</v>
      </c>
      <c r="M193" s="67">
        <f t="shared" si="6"/>
        <v>0</v>
      </c>
      <c r="N193" s="31">
        <f>IFERROR(VLOOKUP($D193,bug_conf_sheet!$A:$H,3,FALSE),VLOOKUP("other",bug_conf_sheet!$A:$H,3,FALSE))</f>
        <v>1</v>
      </c>
      <c r="O193" s="31">
        <f>IFERROR(VLOOKUP($D193,bug_conf_sheet!$A:$H,4,FALSE),VLOOKUP("other",bug_conf_sheet!$A:$H,4,FALSE))</f>
        <v>0</v>
      </c>
      <c r="P193" s="31">
        <f>IFERROR(VLOOKUP($D193,bug_conf_sheet!$A:$H,5,FALSE),VLOOKUP("other",bug_conf_sheet!$A:$H,5,FALSE))</f>
        <v>0</v>
      </c>
      <c r="Q193" s="31">
        <f>IFERROR(VLOOKUP($D193,bug_conf_sheet!$A:$H,6,FALSE),VLOOKUP("other",bug_conf_sheet!$A:$H,6,FALSE))</f>
        <v>0</v>
      </c>
      <c r="R193" s="31">
        <f>IFERROR(VLOOKUP($D193,bug_conf_sheet!$A:$H,7,FALSE),VLOOKUP("other",bug_conf_sheet!$A:$H,7,FALSE))</f>
        <v>0</v>
      </c>
      <c r="S193" s="31">
        <f>IFERROR(VLOOKUP($D193,bug_conf_sheet!$A:$H,8,FALSE),VLOOKUP("other",bug_conf_sheet!$A:$H,8,FALSE))</f>
        <v>1</v>
      </c>
    </row>
    <row r="194" spans="1:19" ht="21" customHeight="1">
      <c r="A194" s="2">
        <f>input_3!A$2</f>
        <v>3123</v>
      </c>
      <c r="B194" s="7" t="str">
        <f t="shared" si="7"/>
        <v>Premium4</v>
      </c>
      <c r="C194" s="7" t="str">
        <f t="shared" si="8"/>
        <v>Premium</v>
      </c>
      <c r="D194" s="6">
        <v>470</v>
      </c>
      <c r="E194" s="7" t="str">
        <f>VLOOKUP(D194,[1]characters!$A:$C,3,FALSE)</f>
        <v>純心 トリスタン</v>
      </c>
      <c r="F194" s="7" t="str">
        <f>VLOOKUP(D194,[1]characters!$A:$J,10,FALSE)</f>
        <v>PremiumS</v>
      </c>
      <c r="G194" s="7">
        <f>VLOOKUP(D194,[1]characters!$A:$I,9,FALSE)</f>
        <v>4</v>
      </c>
      <c r="H194" s="7" t="str">
        <f>VLOOKUP(D194,[1]characters!$A:$H,8,FALSE)</f>
        <v>yellow</v>
      </c>
      <c r="I194" s="7" t="str">
        <f>VLOOKUP(D194,[1]characters!$A:$K,11,FALSE)</f>
        <v>attack</v>
      </c>
      <c r="J194" s="7" t="str">
        <f>VLOOKUP(D194,[1]characters!$A:$M,13,FALSE)</f>
        <v>human</v>
      </c>
      <c r="K194" s="7" t="str">
        <f>VLOOKUP(D194,[1]characters!$A:$G,7,FALSE)</f>
        <v>男性</v>
      </c>
      <c r="L194" s="66">
        <f>IFERROR(VLOOKUP(D194,input_3!L:R,7,FALSE),VLOOKUP(tables_3!B194,input_3!A:H,8,FALSE))</f>
        <v>0</v>
      </c>
      <c r="M194" s="67">
        <f t="shared" ref="M194:M255" si="9">L194/SUM(L:L)</f>
        <v>0</v>
      </c>
      <c r="N194" s="31">
        <f>IFERROR(VLOOKUP($D194,bug_conf_sheet!$A:$H,3,FALSE),VLOOKUP("other",bug_conf_sheet!$A:$H,3,FALSE))</f>
        <v>1</v>
      </c>
      <c r="O194" s="31">
        <f>IFERROR(VLOOKUP($D194,bug_conf_sheet!$A:$H,4,FALSE),VLOOKUP("other",bug_conf_sheet!$A:$H,4,FALSE))</f>
        <v>0</v>
      </c>
      <c r="P194" s="31">
        <f>IFERROR(VLOOKUP($D194,bug_conf_sheet!$A:$H,5,FALSE),VLOOKUP("other",bug_conf_sheet!$A:$H,5,FALSE))</f>
        <v>0</v>
      </c>
      <c r="Q194" s="31">
        <f>IFERROR(VLOOKUP($D194,bug_conf_sheet!$A:$H,6,FALSE),VLOOKUP("other",bug_conf_sheet!$A:$H,6,FALSE))</f>
        <v>0</v>
      </c>
      <c r="R194" s="31">
        <f>IFERROR(VLOOKUP($D194,bug_conf_sheet!$A:$H,7,FALSE),VLOOKUP("other",bug_conf_sheet!$A:$H,7,FALSE))</f>
        <v>0</v>
      </c>
      <c r="S194" s="31">
        <f>IFERROR(VLOOKUP($D194,bug_conf_sheet!$A:$H,8,FALSE),VLOOKUP("other",bug_conf_sheet!$A:$H,8,FALSE))</f>
        <v>1</v>
      </c>
    </row>
    <row r="195" spans="1:19" ht="21" customHeight="1">
      <c r="A195" s="2">
        <f>input_3!A$2</f>
        <v>3123</v>
      </c>
      <c r="B195" s="7" t="str">
        <f t="shared" ref="B195:B255" si="10">C195&amp;G195</f>
        <v>Premium5</v>
      </c>
      <c r="C195" s="7" t="str">
        <f t="shared" ref="C195:C255" si="11">IF(F195="PremiumSS",F195,IF(F195="PremiumSSS",F195,"Premium"))</f>
        <v>Premium</v>
      </c>
      <c r="D195" s="6">
        <v>471</v>
      </c>
      <c r="E195" s="7" t="str">
        <f>VLOOKUP(D195,[1]characters!$A:$C,3,FALSE)</f>
        <v>不可避の爆激 トリスタン</v>
      </c>
      <c r="F195" s="7" t="str">
        <f>VLOOKUP(D195,[1]characters!$A:$J,10,FALSE)</f>
        <v>PremiumS</v>
      </c>
      <c r="G195" s="7">
        <f>VLOOKUP(D195,[1]characters!$A:$I,9,FALSE)</f>
        <v>5</v>
      </c>
      <c r="H195" s="7" t="str">
        <f>VLOOKUP(D195,[1]characters!$A:$H,8,FALSE)</f>
        <v>yellow</v>
      </c>
      <c r="I195" s="7" t="str">
        <f>VLOOKUP(D195,[1]characters!$A:$K,11,FALSE)</f>
        <v>attack</v>
      </c>
      <c r="J195" s="7" t="str">
        <f>VLOOKUP(D195,[1]characters!$A:$M,13,FALSE)</f>
        <v>human</v>
      </c>
      <c r="K195" s="7" t="str">
        <f>VLOOKUP(D195,[1]characters!$A:$G,7,FALSE)</f>
        <v>男性</v>
      </c>
      <c r="L195" s="66">
        <f>IFERROR(VLOOKUP(D195,input_3!L:R,7,FALSE),VLOOKUP(tables_3!B195,input_3!A:H,8,FALSE))</f>
        <v>637</v>
      </c>
      <c r="M195" s="67">
        <f t="shared" si="9"/>
        <v>1.8148148148148149E-2</v>
      </c>
      <c r="N195" s="31">
        <f>IFERROR(VLOOKUP($D195,bug_conf_sheet!$A:$H,3,FALSE),VLOOKUP("other",bug_conf_sheet!$A:$H,3,FALSE))</f>
        <v>1</v>
      </c>
      <c r="O195" s="31">
        <f>IFERROR(VLOOKUP($D195,bug_conf_sheet!$A:$H,4,FALSE),VLOOKUP("other",bug_conf_sheet!$A:$H,4,FALSE))</f>
        <v>0</v>
      </c>
      <c r="P195" s="31">
        <f>IFERROR(VLOOKUP($D195,bug_conf_sheet!$A:$H,5,FALSE),VLOOKUP("other",bug_conf_sheet!$A:$H,5,FALSE))</f>
        <v>0</v>
      </c>
      <c r="Q195" s="31">
        <f>IFERROR(VLOOKUP($D195,bug_conf_sheet!$A:$H,6,FALSE),VLOOKUP("other",bug_conf_sheet!$A:$H,6,FALSE))</f>
        <v>0</v>
      </c>
      <c r="R195" s="31">
        <f>IFERROR(VLOOKUP($D195,bug_conf_sheet!$A:$H,7,FALSE),VLOOKUP("other",bug_conf_sheet!$A:$H,7,FALSE))</f>
        <v>0</v>
      </c>
      <c r="S195" s="31">
        <f>IFERROR(VLOOKUP($D195,bug_conf_sheet!$A:$H,8,FALSE),VLOOKUP("other",bug_conf_sheet!$A:$H,8,FALSE))</f>
        <v>1</v>
      </c>
    </row>
    <row r="196" spans="1:19" ht="21" customHeight="1">
      <c r="A196" s="2">
        <f>input_3!A$2</f>
        <v>3123</v>
      </c>
      <c r="B196" s="7" t="str">
        <f t="shared" si="10"/>
        <v>PremiumSS4</v>
      </c>
      <c r="C196" s="7" t="str">
        <f t="shared" si="11"/>
        <v>PremiumSS</v>
      </c>
      <c r="D196" s="6">
        <v>474</v>
      </c>
      <c r="E196" s="7" t="str">
        <f>VLOOKUP(D196,[1]characters!$A:$C,3,FALSE)</f>
        <v>キング・ドライグ</v>
      </c>
      <c r="F196" s="7" t="str">
        <f>VLOOKUP(D196,[1]characters!$A:$J,10,FALSE)</f>
        <v>PremiumSS</v>
      </c>
      <c r="G196" s="7">
        <f>VLOOKUP(D196,[1]characters!$A:$I,9,FALSE)</f>
        <v>4</v>
      </c>
      <c r="H196" s="7" t="str">
        <f>VLOOKUP(D196,[1]characters!$A:$H,8,FALSE)</f>
        <v>red</v>
      </c>
      <c r="I196" s="7" t="str">
        <f>VLOOKUP(D196,[1]characters!$A:$K,11,FALSE)</f>
        <v>attack</v>
      </c>
      <c r="J196" s="7" t="str">
        <f>VLOOKUP(D196,[1]characters!$A:$M,13,FALSE)</f>
        <v>dragon</v>
      </c>
      <c r="K196" s="7" t="str">
        <f>VLOOKUP(D196,[1]characters!$A:$G,7,FALSE)</f>
        <v>不明</v>
      </c>
      <c r="L196" s="66">
        <f>IFERROR(VLOOKUP(D196,input_3!L:R,7,FALSE),VLOOKUP(tables_3!B196,input_3!A:H,8,FALSE))</f>
        <v>0</v>
      </c>
      <c r="M196" s="67">
        <f t="shared" si="9"/>
        <v>0</v>
      </c>
      <c r="N196" s="31">
        <f>IFERROR(VLOOKUP($D196,bug_conf_sheet!$A:$H,3,FALSE),VLOOKUP("other",bug_conf_sheet!$A:$H,3,FALSE))</f>
        <v>1</v>
      </c>
      <c r="O196" s="31">
        <f>IFERROR(VLOOKUP($D196,bug_conf_sheet!$A:$H,4,FALSE),VLOOKUP("other",bug_conf_sheet!$A:$H,4,FALSE))</f>
        <v>0</v>
      </c>
      <c r="P196" s="31">
        <f>IFERROR(VLOOKUP($D196,bug_conf_sheet!$A:$H,5,FALSE),VLOOKUP("other",bug_conf_sheet!$A:$H,5,FALSE))</f>
        <v>0</v>
      </c>
      <c r="Q196" s="31">
        <f>IFERROR(VLOOKUP($D196,bug_conf_sheet!$A:$H,6,FALSE),VLOOKUP("other",bug_conf_sheet!$A:$H,6,FALSE))</f>
        <v>0</v>
      </c>
      <c r="R196" s="31">
        <f>IFERROR(VLOOKUP($D196,bug_conf_sheet!$A:$H,7,FALSE),VLOOKUP("other",bug_conf_sheet!$A:$H,7,FALSE))</f>
        <v>0</v>
      </c>
      <c r="S196" s="31">
        <f>IFERROR(VLOOKUP($D196,bug_conf_sheet!$A:$H,8,FALSE),VLOOKUP("other",bug_conf_sheet!$A:$H,8,FALSE))</f>
        <v>1</v>
      </c>
    </row>
    <row r="197" spans="1:19" ht="21" customHeight="1">
      <c r="A197" s="2">
        <f>input_3!A$2</f>
        <v>3123</v>
      </c>
      <c r="B197" s="7" t="str">
        <f t="shared" si="10"/>
        <v>PremiumSS5</v>
      </c>
      <c r="C197" s="7" t="str">
        <f t="shared" si="11"/>
        <v>PremiumSS</v>
      </c>
      <c r="D197" s="6">
        <v>475</v>
      </c>
      <c r="E197" s="7" t="str">
        <f>VLOOKUP(D197,[1]characters!$A:$C,3,FALSE)</f>
        <v>緋王 キング・ドライグ</v>
      </c>
      <c r="F197" s="7" t="str">
        <f>VLOOKUP(D197,[1]characters!$A:$J,10,FALSE)</f>
        <v>PremiumSS</v>
      </c>
      <c r="G197" s="7">
        <f>VLOOKUP(D197,[1]characters!$A:$I,9,FALSE)</f>
        <v>5</v>
      </c>
      <c r="H197" s="7" t="str">
        <f>VLOOKUP(D197,[1]characters!$A:$H,8,FALSE)</f>
        <v>red</v>
      </c>
      <c r="I197" s="7" t="str">
        <f>VLOOKUP(D197,[1]characters!$A:$K,11,FALSE)</f>
        <v>attack</v>
      </c>
      <c r="J197" s="7" t="str">
        <f>VLOOKUP(D197,[1]characters!$A:$M,13,FALSE)</f>
        <v>dragon</v>
      </c>
      <c r="K197" s="7" t="str">
        <f>VLOOKUP(D197,[1]characters!$A:$G,7,FALSE)</f>
        <v>不明</v>
      </c>
      <c r="L197" s="66">
        <f>IFERROR(VLOOKUP(D197,input_3!L:R,7,FALSE),VLOOKUP(tables_3!B197,input_3!A:H,8,FALSE))</f>
        <v>27</v>
      </c>
      <c r="M197" s="67">
        <f t="shared" si="9"/>
        <v>7.6923076923076923E-4</v>
      </c>
      <c r="N197" s="31">
        <f>IFERROR(VLOOKUP($D197,bug_conf_sheet!$A:$H,3,FALSE),VLOOKUP("other",bug_conf_sheet!$A:$H,3,FALSE))</f>
        <v>1</v>
      </c>
      <c r="O197" s="31">
        <f>IFERROR(VLOOKUP($D197,bug_conf_sheet!$A:$H,4,FALSE),VLOOKUP("other",bug_conf_sheet!$A:$H,4,FALSE))</f>
        <v>0</v>
      </c>
      <c r="P197" s="31">
        <f>IFERROR(VLOOKUP($D197,bug_conf_sheet!$A:$H,5,FALSE),VLOOKUP("other",bug_conf_sheet!$A:$H,5,FALSE))</f>
        <v>0</v>
      </c>
      <c r="Q197" s="31">
        <f>IFERROR(VLOOKUP($D197,bug_conf_sheet!$A:$H,6,FALSE),VLOOKUP("other",bug_conf_sheet!$A:$H,6,FALSE))</f>
        <v>0</v>
      </c>
      <c r="R197" s="31">
        <f>IFERROR(VLOOKUP($D197,bug_conf_sheet!$A:$H,7,FALSE),VLOOKUP("other",bug_conf_sheet!$A:$H,7,FALSE))</f>
        <v>0</v>
      </c>
      <c r="S197" s="31">
        <f>IFERROR(VLOOKUP($D197,bug_conf_sheet!$A:$H,8,FALSE),VLOOKUP("other",bug_conf_sheet!$A:$H,8,FALSE))</f>
        <v>1</v>
      </c>
    </row>
    <row r="198" spans="1:19" ht="21" customHeight="1">
      <c r="A198" s="2">
        <f>input_3!A$2</f>
        <v>3123</v>
      </c>
      <c r="B198" s="7" t="str">
        <f t="shared" si="10"/>
        <v>Premium3</v>
      </c>
      <c r="C198" s="7" t="str">
        <f t="shared" si="11"/>
        <v>Premium</v>
      </c>
      <c r="D198" s="6">
        <v>476</v>
      </c>
      <c r="E198" s="7" t="str">
        <f>VLOOKUP(D198,[1]characters!$A:$C,3,FALSE)</f>
        <v>ファータ</v>
      </c>
      <c r="F198" s="7" t="str">
        <f>VLOOKUP(D198,[1]characters!$A:$J,10,FALSE)</f>
        <v>PremiumS</v>
      </c>
      <c r="G198" s="7">
        <f>VLOOKUP(D198,[1]characters!$A:$I,9,FALSE)</f>
        <v>3</v>
      </c>
      <c r="H198" s="7" t="str">
        <f>VLOOKUP(D198,[1]characters!$A:$H,8,FALSE)</f>
        <v>green</v>
      </c>
      <c r="I198" s="7" t="str">
        <f>VLOOKUP(D198,[1]characters!$A:$K,11,FALSE)</f>
        <v>heal</v>
      </c>
      <c r="J198" s="7" t="str">
        <f>VLOOKUP(D198,[1]characters!$A:$M,13,FALSE)</f>
        <v>unknown</v>
      </c>
      <c r="K198" s="7" t="str">
        <f>VLOOKUP(D198,[1]characters!$A:$G,7,FALSE)</f>
        <v>女性</v>
      </c>
      <c r="L198" s="66">
        <f>IFERROR(VLOOKUP(D198,input_3!L:R,7,FALSE),VLOOKUP(tables_3!B198,input_3!A:H,8,FALSE))</f>
        <v>0</v>
      </c>
      <c r="M198" s="67">
        <f t="shared" si="9"/>
        <v>0</v>
      </c>
      <c r="N198" s="31">
        <f>IFERROR(VLOOKUP($D198,bug_conf_sheet!$A:$H,3,FALSE),VLOOKUP("other",bug_conf_sheet!$A:$H,3,FALSE))</f>
        <v>1</v>
      </c>
      <c r="O198" s="31">
        <f>IFERROR(VLOOKUP($D198,bug_conf_sheet!$A:$H,4,FALSE),VLOOKUP("other",bug_conf_sheet!$A:$H,4,FALSE))</f>
        <v>0</v>
      </c>
      <c r="P198" s="31">
        <f>IFERROR(VLOOKUP($D198,bug_conf_sheet!$A:$H,5,FALSE),VLOOKUP("other",bug_conf_sheet!$A:$H,5,FALSE))</f>
        <v>0</v>
      </c>
      <c r="Q198" s="31">
        <f>IFERROR(VLOOKUP($D198,bug_conf_sheet!$A:$H,6,FALSE),VLOOKUP("other",bug_conf_sheet!$A:$H,6,FALSE))</f>
        <v>0</v>
      </c>
      <c r="R198" s="31">
        <f>IFERROR(VLOOKUP($D198,bug_conf_sheet!$A:$H,7,FALSE),VLOOKUP("other",bug_conf_sheet!$A:$H,7,FALSE))</f>
        <v>0</v>
      </c>
      <c r="S198" s="31">
        <f>IFERROR(VLOOKUP($D198,bug_conf_sheet!$A:$H,8,FALSE),VLOOKUP("other",bug_conf_sheet!$A:$H,8,FALSE))</f>
        <v>1</v>
      </c>
    </row>
    <row r="199" spans="1:19" ht="21" customHeight="1">
      <c r="A199" s="2">
        <f>input_3!A$2</f>
        <v>3123</v>
      </c>
      <c r="B199" s="7" t="str">
        <f t="shared" si="10"/>
        <v>Premium4</v>
      </c>
      <c r="C199" s="7" t="str">
        <f t="shared" si="11"/>
        <v>Premium</v>
      </c>
      <c r="D199" s="6">
        <v>477</v>
      </c>
      <c r="E199" s="7" t="str">
        <f>VLOOKUP(D199,[1]characters!$A:$C,3,FALSE)</f>
        <v>愛羽妖精 ファータ</v>
      </c>
      <c r="F199" s="7" t="str">
        <f>VLOOKUP(D199,[1]characters!$A:$J,10,FALSE)</f>
        <v>PremiumS</v>
      </c>
      <c r="G199" s="7">
        <f>VLOOKUP(D199,[1]characters!$A:$I,9,FALSE)</f>
        <v>4</v>
      </c>
      <c r="H199" s="7" t="str">
        <f>VLOOKUP(D199,[1]characters!$A:$H,8,FALSE)</f>
        <v>green</v>
      </c>
      <c r="I199" s="7" t="str">
        <f>VLOOKUP(D199,[1]characters!$A:$K,11,FALSE)</f>
        <v>heal</v>
      </c>
      <c r="J199" s="7" t="str">
        <f>VLOOKUP(D199,[1]characters!$A:$M,13,FALSE)</f>
        <v>unknown</v>
      </c>
      <c r="K199" s="7" t="str">
        <f>VLOOKUP(D199,[1]characters!$A:$G,7,FALSE)</f>
        <v>女性</v>
      </c>
      <c r="L199" s="66">
        <f>IFERROR(VLOOKUP(D199,input_3!L:R,7,FALSE),VLOOKUP(tables_3!B199,input_3!A:H,8,FALSE))</f>
        <v>0</v>
      </c>
      <c r="M199" s="67">
        <f t="shared" si="9"/>
        <v>0</v>
      </c>
      <c r="N199" s="31">
        <f>IFERROR(VLOOKUP($D199,bug_conf_sheet!$A:$H,3,FALSE),VLOOKUP("other",bug_conf_sheet!$A:$H,3,FALSE))</f>
        <v>1</v>
      </c>
      <c r="O199" s="31">
        <f>IFERROR(VLOOKUP($D199,bug_conf_sheet!$A:$H,4,FALSE),VLOOKUP("other",bug_conf_sheet!$A:$H,4,FALSE))</f>
        <v>0</v>
      </c>
      <c r="P199" s="31">
        <f>IFERROR(VLOOKUP($D199,bug_conf_sheet!$A:$H,5,FALSE),VLOOKUP("other",bug_conf_sheet!$A:$H,5,FALSE))</f>
        <v>0</v>
      </c>
      <c r="Q199" s="31">
        <f>IFERROR(VLOOKUP($D199,bug_conf_sheet!$A:$H,6,FALSE),VLOOKUP("other",bug_conf_sheet!$A:$H,6,FALSE))</f>
        <v>0</v>
      </c>
      <c r="R199" s="31">
        <f>IFERROR(VLOOKUP($D199,bug_conf_sheet!$A:$H,7,FALSE),VLOOKUP("other",bug_conf_sheet!$A:$H,7,FALSE))</f>
        <v>0</v>
      </c>
      <c r="S199" s="31">
        <f>IFERROR(VLOOKUP($D199,bug_conf_sheet!$A:$H,8,FALSE),VLOOKUP("other",bug_conf_sheet!$A:$H,8,FALSE))</f>
        <v>1</v>
      </c>
    </row>
    <row r="200" spans="1:19" ht="21" customHeight="1">
      <c r="A200" s="2">
        <f>input_3!A$2</f>
        <v>3123</v>
      </c>
      <c r="B200" s="7" t="str">
        <f t="shared" si="10"/>
        <v>Premium5</v>
      </c>
      <c r="C200" s="7" t="str">
        <f t="shared" si="11"/>
        <v>Premium</v>
      </c>
      <c r="D200" s="6">
        <v>478</v>
      </c>
      <c r="E200" s="7" t="str">
        <f>VLOOKUP(D200,[1]characters!$A:$C,3,FALSE)</f>
        <v>時計仕掛けの愛羽妖精 ファータ</v>
      </c>
      <c r="F200" s="7" t="str">
        <f>VLOOKUP(D200,[1]characters!$A:$J,10,FALSE)</f>
        <v>PremiumS</v>
      </c>
      <c r="G200" s="7">
        <f>VLOOKUP(D200,[1]characters!$A:$I,9,FALSE)</f>
        <v>5</v>
      </c>
      <c r="H200" s="7" t="str">
        <f>VLOOKUP(D200,[1]characters!$A:$H,8,FALSE)</f>
        <v>green</v>
      </c>
      <c r="I200" s="7" t="str">
        <f>VLOOKUP(D200,[1]characters!$A:$K,11,FALSE)</f>
        <v>heal</v>
      </c>
      <c r="J200" s="7" t="str">
        <f>VLOOKUP(D200,[1]characters!$A:$M,13,FALSE)</f>
        <v>unknown</v>
      </c>
      <c r="K200" s="7" t="str">
        <f>VLOOKUP(D200,[1]characters!$A:$G,7,FALSE)</f>
        <v>女性</v>
      </c>
      <c r="L200" s="66">
        <f>IFERROR(VLOOKUP(D200,input_3!L:R,7,FALSE),VLOOKUP(tables_3!B200,input_3!A:H,8,FALSE))</f>
        <v>637</v>
      </c>
      <c r="M200" s="67">
        <f t="shared" si="9"/>
        <v>1.8148148148148149E-2</v>
      </c>
      <c r="N200" s="31">
        <f>IFERROR(VLOOKUP($D200,bug_conf_sheet!$A:$H,3,FALSE),VLOOKUP("other",bug_conf_sheet!$A:$H,3,FALSE))</f>
        <v>1</v>
      </c>
      <c r="O200" s="31">
        <f>IFERROR(VLOOKUP($D200,bug_conf_sheet!$A:$H,4,FALSE),VLOOKUP("other",bug_conf_sheet!$A:$H,4,FALSE))</f>
        <v>0</v>
      </c>
      <c r="P200" s="31">
        <f>IFERROR(VLOOKUP($D200,bug_conf_sheet!$A:$H,5,FALSE),VLOOKUP("other",bug_conf_sheet!$A:$H,5,FALSE))</f>
        <v>0</v>
      </c>
      <c r="Q200" s="31">
        <f>IFERROR(VLOOKUP($D200,bug_conf_sheet!$A:$H,6,FALSE),VLOOKUP("other",bug_conf_sheet!$A:$H,6,FALSE))</f>
        <v>0</v>
      </c>
      <c r="R200" s="31">
        <f>IFERROR(VLOOKUP($D200,bug_conf_sheet!$A:$H,7,FALSE),VLOOKUP("other",bug_conf_sheet!$A:$H,7,FALSE))</f>
        <v>0</v>
      </c>
      <c r="S200" s="31">
        <f>IFERROR(VLOOKUP($D200,bug_conf_sheet!$A:$H,8,FALSE),VLOOKUP("other",bug_conf_sheet!$A:$H,8,FALSE))</f>
        <v>1</v>
      </c>
    </row>
    <row r="201" spans="1:19" ht="21" customHeight="1">
      <c r="A201" s="2">
        <f>input_3!A$2</f>
        <v>3123</v>
      </c>
      <c r="B201" s="7" t="str">
        <f t="shared" si="10"/>
        <v>PremiumSS4</v>
      </c>
      <c r="C201" s="7" t="str">
        <f t="shared" si="11"/>
        <v>PremiumSS</v>
      </c>
      <c r="D201" s="6">
        <v>479</v>
      </c>
      <c r="E201" s="7" t="str">
        <f>VLOOKUP(D201,[1]characters!$A:$C,3,FALSE)</f>
        <v>フール</v>
      </c>
      <c r="F201" s="7" t="str">
        <f>VLOOKUP(D201,[1]characters!$A:$J,10,FALSE)</f>
        <v>PremiumSS</v>
      </c>
      <c r="G201" s="7">
        <f>VLOOKUP(D201,[1]characters!$A:$I,9,FALSE)</f>
        <v>4</v>
      </c>
      <c r="H201" s="7" t="str">
        <f>VLOOKUP(D201,[1]characters!$A:$H,8,FALSE)</f>
        <v>blue</v>
      </c>
      <c r="I201" s="7" t="str">
        <f>VLOOKUP(D201,[1]characters!$A:$K,11,FALSE)</f>
        <v>technical</v>
      </c>
      <c r="J201" s="7" t="str">
        <f>VLOOKUP(D201,[1]characters!$A:$M,13,FALSE)</f>
        <v>god</v>
      </c>
      <c r="K201" s="7" t="str">
        <f>VLOOKUP(D201,[1]characters!$A:$G,7,FALSE)</f>
        <v>男性</v>
      </c>
      <c r="L201" s="66">
        <f>IFERROR(VLOOKUP(D201,input_3!L:R,7,FALSE),VLOOKUP(tables_3!B201,input_3!A:H,8,FALSE))</f>
        <v>0</v>
      </c>
      <c r="M201" s="67">
        <f t="shared" si="9"/>
        <v>0</v>
      </c>
      <c r="N201" s="31">
        <f>IFERROR(VLOOKUP($D201,bug_conf_sheet!$A:$H,3,FALSE),VLOOKUP("other",bug_conf_sheet!$A:$H,3,FALSE))</f>
        <v>1</v>
      </c>
      <c r="O201" s="31">
        <f>IFERROR(VLOOKUP($D201,bug_conf_sheet!$A:$H,4,FALSE),VLOOKUP("other",bug_conf_sheet!$A:$H,4,FALSE))</f>
        <v>0</v>
      </c>
      <c r="P201" s="31">
        <f>IFERROR(VLOOKUP($D201,bug_conf_sheet!$A:$H,5,FALSE),VLOOKUP("other",bug_conf_sheet!$A:$H,5,FALSE))</f>
        <v>0</v>
      </c>
      <c r="Q201" s="31">
        <f>IFERROR(VLOOKUP($D201,bug_conf_sheet!$A:$H,6,FALSE),VLOOKUP("other",bug_conf_sheet!$A:$H,6,FALSE))</f>
        <v>0</v>
      </c>
      <c r="R201" s="31">
        <f>IFERROR(VLOOKUP($D201,bug_conf_sheet!$A:$H,7,FALSE),VLOOKUP("other",bug_conf_sheet!$A:$H,7,FALSE))</f>
        <v>0</v>
      </c>
      <c r="S201" s="31">
        <f>IFERROR(VLOOKUP($D201,bug_conf_sheet!$A:$H,8,FALSE),VLOOKUP("other",bug_conf_sheet!$A:$H,8,FALSE))</f>
        <v>1</v>
      </c>
    </row>
    <row r="202" spans="1:19" ht="21" customHeight="1">
      <c r="A202" s="2">
        <f>input_3!A$2</f>
        <v>3123</v>
      </c>
      <c r="B202" s="7" t="str">
        <f t="shared" si="10"/>
        <v>PremiumSS5</v>
      </c>
      <c r="C202" s="7" t="str">
        <f t="shared" si="11"/>
        <v>PremiumSS</v>
      </c>
      <c r="D202" s="6">
        <v>480</v>
      </c>
      <c r="E202" s="7" t="str">
        <f>VLOOKUP(D202,[1]characters!$A:$C,3,FALSE)</f>
        <v>夢幻の愚者フール</v>
      </c>
      <c r="F202" s="7" t="str">
        <f>VLOOKUP(D202,[1]characters!$A:$J,10,FALSE)</f>
        <v>PremiumSS</v>
      </c>
      <c r="G202" s="7">
        <f>VLOOKUP(D202,[1]characters!$A:$I,9,FALSE)</f>
        <v>5</v>
      </c>
      <c r="H202" s="7" t="str">
        <f>VLOOKUP(D202,[1]characters!$A:$H,8,FALSE)</f>
        <v>blue</v>
      </c>
      <c r="I202" s="7" t="str">
        <f>VLOOKUP(D202,[1]characters!$A:$K,11,FALSE)</f>
        <v>technical</v>
      </c>
      <c r="J202" s="7" t="str">
        <f>VLOOKUP(D202,[1]characters!$A:$M,13,FALSE)</f>
        <v>god</v>
      </c>
      <c r="K202" s="7" t="str">
        <f>VLOOKUP(D202,[1]characters!$A:$G,7,FALSE)</f>
        <v>男性</v>
      </c>
      <c r="L202" s="66">
        <f>IFERROR(VLOOKUP(D202,input_3!L:R,7,FALSE),VLOOKUP(tables_3!B202,input_3!A:H,8,FALSE))</f>
        <v>27</v>
      </c>
      <c r="M202" s="67">
        <f t="shared" si="9"/>
        <v>7.6923076923076923E-4</v>
      </c>
      <c r="N202" s="31">
        <f>IFERROR(VLOOKUP($D202,bug_conf_sheet!$A:$H,3,FALSE),VLOOKUP("other",bug_conf_sheet!$A:$H,3,FALSE))</f>
        <v>1</v>
      </c>
      <c r="O202" s="31">
        <f>IFERROR(VLOOKUP($D202,bug_conf_sheet!$A:$H,4,FALSE),VLOOKUP("other",bug_conf_sheet!$A:$H,4,FALSE))</f>
        <v>0</v>
      </c>
      <c r="P202" s="31">
        <f>IFERROR(VLOOKUP($D202,bug_conf_sheet!$A:$H,5,FALSE),VLOOKUP("other",bug_conf_sheet!$A:$H,5,FALSE))</f>
        <v>0</v>
      </c>
      <c r="Q202" s="31">
        <f>IFERROR(VLOOKUP($D202,bug_conf_sheet!$A:$H,6,FALSE),VLOOKUP("other",bug_conf_sheet!$A:$H,6,FALSE))</f>
        <v>0</v>
      </c>
      <c r="R202" s="31">
        <f>IFERROR(VLOOKUP($D202,bug_conf_sheet!$A:$H,7,FALSE),VLOOKUP("other",bug_conf_sheet!$A:$H,7,FALSE))</f>
        <v>0</v>
      </c>
      <c r="S202" s="31">
        <f>IFERROR(VLOOKUP($D202,bug_conf_sheet!$A:$H,8,FALSE),VLOOKUP("other",bug_conf_sheet!$A:$H,8,FALSE))</f>
        <v>1</v>
      </c>
    </row>
    <row r="203" spans="1:19" ht="21" customHeight="1">
      <c r="A203" s="2">
        <f>input_3!A$2</f>
        <v>3123</v>
      </c>
      <c r="B203" s="7" t="str">
        <f t="shared" si="10"/>
        <v>Premium3</v>
      </c>
      <c r="C203" s="7" t="str">
        <f t="shared" si="11"/>
        <v>Premium</v>
      </c>
      <c r="D203" s="6">
        <v>481</v>
      </c>
      <c r="E203" s="7" t="str">
        <f>VLOOKUP(D203,[1]characters!$A:$C,3,FALSE)</f>
        <v>沢庵宗彭</v>
      </c>
      <c r="F203" s="7" t="str">
        <f>VLOOKUP(D203,[1]characters!$A:$J,10,FALSE)</f>
        <v>PremiumS</v>
      </c>
      <c r="G203" s="7">
        <f>VLOOKUP(D203,[1]characters!$A:$I,9,FALSE)</f>
        <v>3</v>
      </c>
      <c r="H203" s="7" t="str">
        <f>VLOOKUP(D203,[1]characters!$A:$H,8,FALSE)</f>
        <v>yellow</v>
      </c>
      <c r="I203" s="7" t="str">
        <f>VLOOKUP(D203,[1]characters!$A:$K,11,FALSE)</f>
        <v>hp</v>
      </c>
      <c r="J203" s="7" t="str">
        <f>VLOOKUP(D203,[1]characters!$A:$M,13,FALSE)</f>
        <v>human</v>
      </c>
      <c r="K203" s="7" t="str">
        <f>VLOOKUP(D203,[1]characters!$A:$G,7,FALSE)</f>
        <v>男性</v>
      </c>
      <c r="L203" s="66">
        <f>IFERROR(VLOOKUP(D203,input_3!L:R,7,FALSE),VLOOKUP(tables_3!B203,input_3!A:H,8,FALSE))</f>
        <v>0</v>
      </c>
      <c r="M203" s="67">
        <f t="shared" si="9"/>
        <v>0</v>
      </c>
      <c r="N203" s="31">
        <f>IFERROR(VLOOKUP($D203,bug_conf_sheet!$A:$H,3,FALSE),VLOOKUP("other",bug_conf_sheet!$A:$H,3,FALSE))</f>
        <v>1</v>
      </c>
      <c r="O203" s="31">
        <f>IFERROR(VLOOKUP($D203,bug_conf_sheet!$A:$H,4,FALSE),VLOOKUP("other",bug_conf_sheet!$A:$H,4,FALSE))</f>
        <v>0</v>
      </c>
      <c r="P203" s="31">
        <f>IFERROR(VLOOKUP($D203,bug_conf_sheet!$A:$H,5,FALSE),VLOOKUP("other",bug_conf_sheet!$A:$H,5,FALSE))</f>
        <v>0</v>
      </c>
      <c r="Q203" s="31">
        <f>IFERROR(VLOOKUP($D203,bug_conf_sheet!$A:$H,6,FALSE),VLOOKUP("other",bug_conf_sheet!$A:$H,6,FALSE))</f>
        <v>0</v>
      </c>
      <c r="R203" s="31">
        <f>IFERROR(VLOOKUP($D203,bug_conf_sheet!$A:$H,7,FALSE),VLOOKUP("other",bug_conf_sheet!$A:$H,7,FALSE))</f>
        <v>0</v>
      </c>
      <c r="S203" s="31">
        <f>IFERROR(VLOOKUP($D203,bug_conf_sheet!$A:$H,8,FALSE),VLOOKUP("other",bug_conf_sheet!$A:$H,8,FALSE))</f>
        <v>1</v>
      </c>
    </row>
    <row r="204" spans="1:19" ht="21" customHeight="1">
      <c r="A204" s="2">
        <f>input_3!A$2</f>
        <v>3123</v>
      </c>
      <c r="B204" s="7" t="str">
        <f t="shared" si="10"/>
        <v>Premium4</v>
      </c>
      <c r="C204" s="7" t="str">
        <f t="shared" si="11"/>
        <v>Premium</v>
      </c>
      <c r="D204" s="6">
        <v>482</v>
      </c>
      <c r="E204" s="7" t="str">
        <f>VLOOKUP(D204,[1]characters!$A:$C,3,FALSE)</f>
        <v>魁僧 沢庵宗彭</v>
      </c>
      <c r="F204" s="7" t="str">
        <f>VLOOKUP(D204,[1]characters!$A:$J,10,FALSE)</f>
        <v>PremiumS</v>
      </c>
      <c r="G204" s="7">
        <f>VLOOKUP(D204,[1]characters!$A:$I,9,FALSE)</f>
        <v>4</v>
      </c>
      <c r="H204" s="7" t="str">
        <f>VLOOKUP(D204,[1]characters!$A:$H,8,FALSE)</f>
        <v>yellow</v>
      </c>
      <c r="I204" s="7" t="str">
        <f>VLOOKUP(D204,[1]characters!$A:$K,11,FALSE)</f>
        <v>hp</v>
      </c>
      <c r="J204" s="7" t="str">
        <f>VLOOKUP(D204,[1]characters!$A:$M,13,FALSE)</f>
        <v>human</v>
      </c>
      <c r="K204" s="7" t="str">
        <f>VLOOKUP(D204,[1]characters!$A:$G,7,FALSE)</f>
        <v>男性</v>
      </c>
      <c r="L204" s="66">
        <f>IFERROR(VLOOKUP(D204,input_3!L:R,7,FALSE),VLOOKUP(tables_3!B204,input_3!A:H,8,FALSE))</f>
        <v>0</v>
      </c>
      <c r="M204" s="67">
        <f t="shared" si="9"/>
        <v>0</v>
      </c>
      <c r="N204" s="31">
        <f>IFERROR(VLOOKUP($D204,bug_conf_sheet!$A:$H,3,FALSE),VLOOKUP("other",bug_conf_sheet!$A:$H,3,FALSE))</f>
        <v>1</v>
      </c>
      <c r="O204" s="31">
        <f>IFERROR(VLOOKUP($D204,bug_conf_sheet!$A:$H,4,FALSE),VLOOKUP("other",bug_conf_sheet!$A:$H,4,FALSE))</f>
        <v>0</v>
      </c>
      <c r="P204" s="31">
        <f>IFERROR(VLOOKUP($D204,bug_conf_sheet!$A:$H,5,FALSE),VLOOKUP("other",bug_conf_sheet!$A:$H,5,FALSE))</f>
        <v>0</v>
      </c>
      <c r="Q204" s="31">
        <f>IFERROR(VLOOKUP($D204,bug_conf_sheet!$A:$H,6,FALSE),VLOOKUP("other",bug_conf_sheet!$A:$H,6,FALSE))</f>
        <v>0</v>
      </c>
      <c r="R204" s="31">
        <f>IFERROR(VLOOKUP($D204,bug_conf_sheet!$A:$H,7,FALSE),VLOOKUP("other",bug_conf_sheet!$A:$H,7,FALSE))</f>
        <v>0</v>
      </c>
      <c r="S204" s="31">
        <f>IFERROR(VLOOKUP($D204,bug_conf_sheet!$A:$H,8,FALSE),VLOOKUP("other",bug_conf_sheet!$A:$H,8,FALSE))</f>
        <v>1</v>
      </c>
    </row>
    <row r="205" spans="1:19" ht="21" customHeight="1">
      <c r="A205" s="2">
        <f>input_3!A$2</f>
        <v>3123</v>
      </c>
      <c r="B205" s="7" t="str">
        <f t="shared" si="10"/>
        <v>Premium5</v>
      </c>
      <c r="C205" s="7" t="str">
        <f t="shared" si="11"/>
        <v>Premium</v>
      </c>
      <c r="D205" s="6">
        <v>483</v>
      </c>
      <c r="E205" s="7" t="str">
        <f>VLOOKUP(D205,[1]characters!$A:$C,3,FALSE)</f>
        <v xml:space="preserve">命経死遂 沢庵宗彭 </v>
      </c>
      <c r="F205" s="7" t="str">
        <f>VLOOKUP(D205,[1]characters!$A:$J,10,FALSE)</f>
        <v>PremiumS</v>
      </c>
      <c r="G205" s="7">
        <f>VLOOKUP(D205,[1]characters!$A:$I,9,FALSE)</f>
        <v>5</v>
      </c>
      <c r="H205" s="7" t="str">
        <f>VLOOKUP(D205,[1]characters!$A:$H,8,FALSE)</f>
        <v>yellow</v>
      </c>
      <c r="I205" s="7" t="str">
        <f>VLOOKUP(D205,[1]characters!$A:$K,11,FALSE)</f>
        <v>hp</v>
      </c>
      <c r="J205" s="7" t="str">
        <f>VLOOKUP(D205,[1]characters!$A:$M,13,FALSE)</f>
        <v>human</v>
      </c>
      <c r="K205" s="7" t="str">
        <f>VLOOKUP(D205,[1]characters!$A:$G,7,FALSE)</f>
        <v>男性</v>
      </c>
      <c r="L205" s="66">
        <f>IFERROR(VLOOKUP(D205,input_3!L:R,7,FALSE),VLOOKUP(tables_3!B205,input_3!A:H,8,FALSE))</f>
        <v>637</v>
      </c>
      <c r="M205" s="67">
        <f t="shared" si="9"/>
        <v>1.8148148148148149E-2</v>
      </c>
      <c r="N205" s="31">
        <f>IFERROR(VLOOKUP($D205,bug_conf_sheet!$A:$H,3,FALSE),VLOOKUP("other",bug_conf_sheet!$A:$H,3,FALSE))</f>
        <v>1</v>
      </c>
      <c r="O205" s="31">
        <f>IFERROR(VLOOKUP($D205,bug_conf_sheet!$A:$H,4,FALSE),VLOOKUP("other",bug_conf_sheet!$A:$H,4,FALSE))</f>
        <v>0</v>
      </c>
      <c r="P205" s="31">
        <f>IFERROR(VLOOKUP($D205,bug_conf_sheet!$A:$H,5,FALSE),VLOOKUP("other",bug_conf_sheet!$A:$H,5,FALSE))</f>
        <v>0</v>
      </c>
      <c r="Q205" s="31">
        <f>IFERROR(VLOOKUP($D205,bug_conf_sheet!$A:$H,6,FALSE),VLOOKUP("other",bug_conf_sheet!$A:$H,6,FALSE))</f>
        <v>0</v>
      </c>
      <c r="R205" s="31">
        <f>IFERROR(VLOOKUP($D205,bug_conf_sheet!$A:$H,7,FALSE),VLOOKUP("other",bug_conf_sheet!$A:$H,7,FALSE))</f>
        <v>0</v>
      </c>
      <c r="S205" s="31">
        <f>IFERROR(VLOOKUP($D205,bug_conf_sheet!$A:$H,8,FALSE),VLOOKUP("other",bug_conf_sheet!$A:$H,8,FALSE))</f>
        <v>1</v>
      </c>
    </row>
    <row r="206" spans="1:19" ht="21" customHeight="1">
      <c r="A206" s="2">
        <f>input_3!A$2</f>
        <v>3123</v>
      </c>
      <c r="B206" s="7" t="str">
        <f t="shared" si="10"/>
        <v>PremiumSS4</v>
      </c>
      <c r="C206" s="7" t="str">
        <f t="shared" si="11"/>
        <v>PremiumSS</v>
      </c>
      <c r="D206" s="6">
        <v>492</v>
      </c>
      <c r="E206" s="7" t="str">
        <f>VLOOKUP(D206,[1]characters!$A:$C,3,FALSE)</f>
        <v>ブートレグ・ペロー</v>
      </c>
      <c r="F206" s="7" t="str">
        <f>VLOOKUP(D206,[1]characters!$A:$J,10,FALSE)</f>
        <v>PremiumSS</v>
      </c>
      <c r="G206" s="7">
        <f>VLOOKUP(D206,[1]characters!$A:$I,9,FALSE)</f>
        <v>4</v>
      </c>
      <c r="H206" s="7" t="str">
        <f>VLOOKUP(D206,[1]characters!$A:$H,8,FALSE)</f>
        <v>red</v>
      </c>
      <c r="I206" s="7" t="str">
        <f>VLOOKUP(D206,[1]characters!$A:$K,11,FALSE)</f>
        <v>hp</v>
      </c>
      <c r="J206" s="7" t="str">
        <f>VLOOKUP(D206,[1]characters!$A:$M,13,FALSE)</f>
        <v>animal</v>
      </c>
      <c r="K206" s="7" t="str">
        <f>VLOOKUP(D206,[1]characters!$A:$G,7,FALSE)</f>
        <v>不明</v>
      </c>
      <c r="L206" s="66">
        <f>IFERROR(VLOOKUP(D206,input_3!L:R,7,FALSE),VLOOKUP(tables_3!B206,input_3!A:H,8,FALSE))</f>
        <v>0</v>
      </c>
      <c r="M206" s="67">
        <f t="shared" si="9"/>
        <v>0</v>
      </c>
      <c r="N206" s="31">
        <f>IFERROR(VLOOKUP($D206,bug_conf_sheet!$A:$H,3,FALSE),VLOOKUP("other",bug_conf_sheet!$A:$H,3,FALSE))</f>
        <v>1</v>
      </c>
      <c r="O206" s="31">
        <f>IFERROR(VLOOKUP($D206,bug_conf_sheet!$A:$H,4,FALSE),VLOOKUP("other",bug_conf_sheet!$A:$H,4,FALSE))</f>
        <v>0</v>
      </c>
      <c r="P206" s="31">
        <f>IFERROR(VLOOKUP($D206,bug_conf_sheet!$A:$H,5,FALSE),VLOOKUP("other",bug_conf_sheet!$A:$H,5,FALSE))</f>
        <v>0</v>
      </c>
      <c r="Q206" s="31">
        <f>IFERROR(VLOOKUP($D206,bug_conf_sheet!$A:$H,6,FALSE),VLOOKUP("other",bug_conf_sheet!$A:$H,6,FALSE))</f>
        <v>0</v>
      </c>
      <c r="R206" s="31">
        <f>IFERROR(VLOOKUP($D206,bug_conf_sheet!$A:$H,7,FALSE),VLOOKUP("other",bug_conf_sheet!$A:$H,7,FALSE))</f>
        <v>0</v>
      </c>
      <c r="S206" s="31">
        <f>IFERROR(VLOOKUP($D206,bug_conf_sheet!$A:$H,8,FALSE),VLOOKUP("other",bug_conf_sheet!$A:$H,8,FALSE))</f>
        <v>1</v>
      </c>
    </row>
    <row r="207" spans="1:19" ht="21" customHeight="1">
      <c r="A207" s="2">
        <f>input_3!A$2</f>
        <v>3123</v>
      </c>
      <c r="B207" s="7" t="str">
        <f t="shared" si="10"/>
        <v>PremiumSS5</v>
      </c>
      <c r="C207" s="7" t="str">
        <f t="shared" si="11"/>
        <v>PremiumSS</v>
      </c>
      <c r="D207" s="6">
        <v>493</v>
      </c>
      <c r="E207" s="7" t="str">
        <f>VLOOKUP(D207,[1]characters!$A:$C,3,FALSE)</f>
        <v>跋扈の機脚 ブートレグ・ペロー</v>
      </c>
      <c r="F207" s="7" t="str">
        <f>VLOOKUP(D207,[1]characters!$A:$J,10,FALSE)</f>
        <v>PremiumSS</v>
      </c>
      <c r="G207" s="7">
        <f>VLOOKUP(D207,[1]characters!$A:$I,9,FALSE)</f>
        <v>5</v>
      </c>
      <c r="H207" s="7" t="str">
        <f>VLOOKUP(D207,[1]characters!$A:$H,8,FALSE)</f>
        <v>red</v>
      </c>
      <c r="I207" s="7" t="str">
        <f>VLOOKUP(D207,[1]characters!$A:$K,11,FALSE)</f>
        <v>hp</v>
      </c>
      <c r="J207" s="7" t="str">
        <f>VLOOKUP(D207,[1]characters!$A:$M,13,FALSE)</f>
        <v>animal</v>
      </c>
      <c r="K207" s="7" t="str">
        <f>VLOOKUP(D207,[1]characters!$A:$G,7,FALSE)</f>
        <v>不明</v>
      </c>
      <c r="L207" s="66">
        <f>IFERROR(VLOOKUP(D207,input_3!L:R,7,FALSE),VLOOKUP(tables_3!B207,input_3!A:H,8,FALSE))</f>
        <v>27</v>
      </c>
      <c r="M207" s="67">
        <f t="shared" si="9"/>
        <v>7.6923076923076923E-4</v>
      </c>
      <c r="N207" s="31">
        <f>IFERROR(VLOOKUP($D207,bug_conf_sheet!$A:$H,3,FALSE),VLOOKUP("other",bug_conf_sheet!$A:$H,3,FALSE))</f>
        <v>1</v>
      </c>
      <c r="O207" s="31">
        <f>IFERROR(VLOOKUP($D207,bug_conf_sheet!$A:$H,4,FALSE),VLOOKUP("other",bug_conf_sheet!$A:$H,4,FALSE))</f>
        <v>0</v>
      </c>
      <c r="P207" s="31">
        <f>IFERROR(VLOOKUP($D207,bug_conf_sheet!$A:$H,5,FALSE),VLOOKUP("other",bug_conf_sheet!$A:$H,5,FALSE))</f>
        <v>0</v>
      </c>
      <c r="Q207" s="31">
        <f>IFERROR(VLOOKUP($D207,bug_conf_sheet!$A:$H,6,FALSE),VLOOKUP("other",bug_conf_sheet!$A:$H,6,FALSE))</f>
        <v>0</v>
      </c>
      <c r="R207" s="31">
        <f>IFERROR(VLOOKUP($D207,bug_conf_sheet!$A:$H,7,FALSE),VLOOKUP("other",bug_conf_sheet!$A:$H,7,FALSE))</f>
        <v>0</v>
      </c>
      <c r="S207" s="31">
        <f>IFERROR(VLOOKUP($D207,bug_conf_sheet!$A:$H,8,FALSE),VLOOKUP("other",bug_conf_sheet!$A:$H,8,FALSE))</f>
        <v>1</v>
      </c>
    </row>
    <row r="208" spans="1:19" ht="21" customHeight="1">
      <c r="A208" s="2">
        <f>input_3!A$2</f>
        <v>3123</v>
      </c>
      <c r="B208" s="7" t="str">
        <f t="shared" si="10"/>
        <v>PremiumSS4</v>
      </c>
      <c r="C208" s="7" t="str">
        <f t="shared" si="11"/>
        <v>PremiumSS</v>
      </c>
      <c r="D208" s="6">
        <v>494</v>
      </c>
      <c r="E208" s="7" t="str">
        <f>VLOOKUP(D208,[1]characters!$A:$C,3,FALSE)</f>
        <v>ハーメルン</v>
      </c>
      <c r="F208" s="7" t="str">
        <f>VLOOKUP(D208,[1]characters!$A:$J,10,FALSE)</f>
        <v>PremiumSS</v>
      </c>
      <c r="G208" s="7">
        <f>VLOOKUP(D208,[1]characters!$A:$I,9,FALSE)</f>
        <v>4</v>
      </c>
      <c r="H208" s="7" t="str">
        <f>VLOOKUP(D208,[1]characters!$A:$H,8,FALSE)</f>
        <v>green</v>
      </c>
      <c r="I208" s="7" t="str">
        <f>VLOOKUP(D208,[1]characters!$A:$K,11,FALSE)</f>
        <v>technical</v>
      </c>
      <c r="J208" s="7" t="str">
        <f>VLOOKUP(D208,[1]characters!$A:$M,13,FALSE)</f>
        <v>human</v>
      </c>
      <c r="K208" s="7" t="str">
        <f>VLOOKUP(D208,[1]characters!$A:$G,7,FALSE)</f>
        <v>男性</v>
      </c>
      <c r="L208" s="66">
        <f>IFERROR(VLOOKUP(D208,input_3!L:R,7,FALSE),VLOOKUP(tables_3!B208,input_3!A:H,8,FALSE))</f>
        <v>0</v>
      </c>
      <c r="M208" s="67">
        <f t="shared" si="9"/>
        <v>0</v>
      </c>
      <c r="N208" s="31">
        <f>IFERROR(VLOOKUP($D208,bug_conf_sheet!$A:$H,3,FALSE),VLOOKUP("other",bug_conf_sheet!$A:$H,3,FALSE))</f>
        <v>1</v>
      </c>
      <c r="O208" s="31">
        <f>IFERROR(VLOOKUP($D208,bug_conf_sheet!$A:$H,4,FALSE),VLOOKUP("other",bug_conf_sheet!$A:$H,4,FALSE))</f>
        <v>0</v>
      </c>
      <c r="P208" s="31">
        <f>IFERROR(VLOOKUP($D208,bug_conf_sheet!$A:$H,5,FALSE),VLOOKUP("other",bug_conf_sheet!$A:$H,5,FALSE))</f>
        <v>0</v>
      </c>
      <c r="Q208" s="31">
        <f>IFERROR(VLOOKUP($D208,bug_conf_sheet!$A:$H,6,FALSE),VLOOKUP("other",bug_conf_sheet!$A:$H,6,FALSE))</f>
        <v>0</v>
      </c>
      <c r="R208" s="31">
        <f>IFERROR(VLOOKUP($D208,bug_conf_sheet!$A:$H,7,FALSE),VLOOKUP("other",bug_conf_sheet!$A:$H,7,FALSE))</f>
        <v>0</v>
      </c>
      <c r="S208" s="31">
        <f>IFERROR(VLOOKUP($D208,bug_conf_sheet!$A:$H,8,FALSE),VLOOKUP("other",bug_conf_sheet!$A:$H,8,FALSE))</f>
        <v>1</v>
      </c>
    </row>
    <row r="209" spans="1:19" ht="21" customHeight="1">
      <c r="A209" s="2">
        <f>input_3!A$2</f>
        <v>3123</v>
      </c>
      <c r="B209" s="7" t="str">
        <f t="shared" si="10"/>
        <v>PremiumSS5</v>
      </c>
      <c r="C209" s="7" t="str">
        <f t="shared" si="11"/>
        <v>PremiumSS</v>
      </c>
      <c r="D209" s="6">
        <v>495</v>
      </c>
      <c r="E209" s="7" t="str">
        <f>VLOOKUP(D209,[1]characters!$A:$C,3,FALSE)</f>
        <v>鼠災呼ぶ笛音 ハーメルン</v>
      </c>
      <c r="F209" s="7" t="str">
        <f>VLOOKUP(D209,[1]characters!$A:$J,10,FALSE)</f>
        <v>PremiumSS</v>
      </c>
      <c r="G209" s="7">
        <f>VLOOKUP(D209,[1]characters!$A:$I,9,FALSE)</f>
        <v>5</v>
      </c>
      <c r="H209" s="7" t="str">
        <f>VLOOKUP(D209,[1]characters!$A:$H,8,FALSE)</f>
        <v>green</v>
      </c>
      <c r="I209" s="7" t="str">
        <f>VLOOKUP(D209,[1]characters!$A:$K,11,FALSE)</f>
        <v>technical</v>
      </c>
      <c r="J209" s="7" t="str">
        <f>VLOOKUP(D209,[1]characters!$A:$M,13,FALSE)</f>
        <v>human</v>
      </c>
      <c r="K209" s="7" t="str">
        <f>VLOOKUP(D209,[1]characters!$A:$G,7,FALSE)</f>
        <v>男性</v>
      </c>
      <c r="L209" s="66">
        <f>IFERROR(VLOOKUP(D209,input_3!L:R,7,FALSE),VLOOKUP(tables_3!B209,input_3!A:H,8,FALSE))</f>
        <v>27</v>
      </c>
      <c r="M209" s="67">
        <f t="shared" si="9"/>
        <v>7.6923076923076923E-4</v>
      </c>
      <c r="N209" s="31">
        <f>IFERROR(VLOOKUP($D209,bug_conf_sheet!$A:$H,3,FALSE),VLOOKUP("other",bug_conf_sheet!$A:$H,3,FALSE))</f>
        <v>1</v>
      </c>
      <c r="O209" s="31">
        <f>IFERROR(VLOOKUP($D209,bug_conf_sheet!$A:$H,4,FALSE),VLOOKUP("other",bug_conf_sheet!$A:$H,4,FALSE))</f>
        <v>0</v>
      </c>
      <c r="P209" s="31">
        <f>IFERROR(VLOOKUP($D209,bug_conf_sheet!$A:$H,5,FALSE),VLOOKUP("other",bug_conf_sheet!$A:$H,5,FALSE))</f>
        <v>0</v>
      </c>
      <c r="Q209" s="31">
        <f>IFERROR(VLOOKUP($D209,bug_conf_sheet!$A:$H,6,FALSE),VLOOKUP("other",bug_conf_sheet!$A:$H,6,FALSE))</f>
        <v>0</v>
      </c>
      <c r="R209" s="31">
        <f>IFERROR(VLOOKUP($D209,bug_conf_sheet!$A:$H,7,FALSE),VLOOKUP("other",bug_conf_sheet!$A:$H,7,FALSE))</f>
        <v>0</v>
      </c>
      <c r="S209" s="31">
        <f>IFERROR(VLOOKUP($D209,bug_conf_sheet!$A:$H,8,FALSE),VLOOKUP("other",bug_conf_sheet!$A:$H,8,FALSE))</f>
        <v>1</v>
      </c>
    </row>
    <row r="210" spans="1:19" ht="21" customHeight="1">
      <c r="A210" s="2">
        <f>input_3!A$2</f>
        <v>3123</v>
      </c>
      <c r="B210" s="7" t="str">
        <f t="shared" si="10"/>
        <v>Premium3</v>
      </c>
      <c r="C210" s="7" t="str">
        <f t="shared" si="11"/>
        <v>Premium</v>
      </c>
      <c r="D210" s="6">
        <v>496</v>
      </c>
      <c r="E210" s="7" t="str">
        <f>VLOOKUP(D210,[1]characters!$A:$C,3,FALSE)</f>
        <v>エスタブ</v>
      </c>
      <c r="F210" s="7" t="str">
        <f>VLOOKUP(D210,[1]characters!$A:$J,10,FALSE)</f>
        <v>PremiumS</v>
      </c>
      <c r="G210" s="7">
        <f>VLOOKUP(D210,[1]characters!$A:$I,9,FALSE)</f>
        <v>3</v>
      </c>
      <c r="H210" s="7" t="str">
        <f>VLOOKUP(D210,[1]characters!$A:$H,8,FALSE)</f>
        <v>blue</v>
      </c>
      <c r="I210" s="7" t="str">
        <f>VLOOKUP(D210,[1]characters!$A:$K,11,FALSE)</f>
        <v>attack</v>
      </c>
      <c r="J210" s="7" t="str">
        <f>VLOOKUP(D210,[1]characters!$A:$M,13,FALSE)</f>
        <v>human</v>
      </c>
      <c r="K210" s="7" t="str">
        <f>VLOOKUP(D210,[1]characters!$A:$G,7,FALSE)</f>
        <v>男性</v>
      </c>
      <c r="L210" s="66">
        <f>IFERROR(VLOOKUP(D210,input_3!L:R,7,FALSE),VLOOKUP(tables_3!B210,input_3!A:H,8,FALSE))</f>
        <v>0</v>
      </c>
      <c r="M210" s="67">
        <f t="shared" si="9"/>
        <v>0</v>
      </c>
      <c r="N210" s="31">
        <f>IFERROR(VLOOKUP($D210,bug_conf_sheet!$A:$H,3,FALSE),VLOOKUP("other",bug_conf_sheet!$A:$H,3,FALSE))</f>
        <v>1</v>
      </c>
      <c r="O210" s="31">
        <f>IFERROR(VLOOKUP($D210,bug_conf_sheet!$A:$H,4,FALSE),VLOOKUP("other",bug_conf_sheet!$A:$H,4,FALSE))</f>
        <v>0</v>
      </c>
      <c r="P210" s="31">
        <f>IFERROR(VLOOKUP($D210,bug_conf_sheet!$A:$H,5,FALSE),VLOOKUP("other",bug_conf_sheet!$A:$H,5,FALSE))</f>
        <v>0</v>
      </c>
      <c r="Q210" s="31">
        <f>IFERROR(VLOOKUP($D210,bug_conf_sheet!$A:$H,6,FALSE),VLOOKUP("other",bug_conf_sheet!$A:$H,6,FALSE))</f>
        <v>0</v>
      </c>
      <c r="R210" s="31">
        <f>IFERROR(VLOOKUP($D210,bug_conf_sheet!$A:$H,7,FALSE),VLOOKUP("other",bug_conf_sheet!$A:$H,7,FALSE))</f>
        <v>0</v>
      </c>
      <c r="S210" s="31">
        <f>IFERROR(VLOOKUP($D210,bug_conf_sheet!$A:$H,8,FALSE),VLOOKUP("other",bug_conf_sheet!$A:$H,8,FALSE))</f>
        <v>1</v>
      </c>
    </row>
    <row r="211" spans="1:19" ht="21" customHeight="1">
      <c r="A211" s="2">
        <f>input_3!A$2</f>
        <v>3123</v>
      </c>
      <c r="B211" s="7" t="str">
        <f t="shared" si="10"/>
        <v>Premium4</v>
      </c>
      <c r="C211" s="7" t="str">
        <f t="shared" si="11"/>
        <v>Premium</v>
      </c>
      <c r="D211" s="6">
        <v>497</v>
      </c>
      <c r="E211" s="7" t="str">
        <f>VLOOKUP(D211,[1]characters!$A:$C,3,FALSE)</f>
        <v>偏愛の野獣 エスタブ</v>
      </c>
      <c r="F211" s="7" t="str">
        <f>VLOOKUP(D211,[1]characters!$A:$J,10,FALSE)</f>
        <v>PremiumS</v>
      </c>
      <c r="G211" s="7">
        <f>VLOOKUP(D211,[1]characters!$A:$I,9,FALSE)</f>
        <v>4</v>
      </c>
      <c r="H211" s="7" t="str">
        <f>VLOOKUP(D211,[1]characters!$A:$H,8,FALSE)</f>
        <v>blue</v>
      </c>
      <c r="I211" s="7" t="str">
        <f>VLOOKUP(D211,[1]characters!$A:$K,11,FALSE)</f>
        <v>attack</v>
      </c>
      <c r="J211" s="7" t="str">
        <f>VLOOKUP(D211,[1]characters!$A:$M,13,FALSE)</f>
        <v>human</v>
      </c>
      <c r="K211" s="7" t="str">
        <f>VLOOKUP(D211,[1]characters!$A:$G,7,FALSE)</f>
        <v>男性</v>
      </c>
      <c r="L211" s="66">
        <f>IFERROR(VLOOKUP(D211,input_3!L:R,7,FALSE),VLOOKUP(tables_3!B211,input_3!A:H,8,FALSE))</f>
        <v>0</v>
      </c>
      <c r="M211" s="67">
        <f t="shared" si="9"/>
        <v>0</v>
      </c>
      <c r="N211" s="31">
        <f>IFERROR(VLOOKUP($D211,bug_conf_sheet!$A:$H,3,FALSE),VLOOKUP("other",bug_conf_sheet!$A:$H,3,FALSE))</f>
        <v>1</v>
      </c>
      <c r="O211" s="31">
        <f>IFERROR(VLOOKUP($D211,bug_conf_sheet!$A:$H,4,FALSE),VLOOKUP("other",bug_conf_sheet!$A:$H,4,FALSE))</f>
        <v>0</v>
      </c>
      <c r="P211" s="31">
        <f>IFERROR(VLOOKUP($D211,bug_conf_sheet!$A:$H,5,FALSE),VLOOKUP("other",bug_conf_sheet!$A:$H,5,FALSE))</f>
        <v>0</v>
      </c>
      <c r="Q211" s="31">
        <f>IFERROR(VLOOKUP($D211,bug_conf_sheet!$A:$H,6,FALSE),VLOOKUP("other",bug_conf_sheet!$A:$H,6,FALSE))</f>
        <v>0</v>
      </c>
      <c r="R211" s="31">
        <f>IFERROR(VLOOKUP($D211,bug_conf_sheet!$A:$H,7,FALSE),VLOOKUP("other",bug_conf_sheet!$A:$H,7,FALSE))</f>
        <v>0</v>
      </c>
      <c r="S211" s="31">
        <f>IFERROR(VLOOKUP($D211,bug_conf_sheet!$A:$H,8,FALSE),VLOOKUP("other",bug_conf_sheet!$A:$H,8,FALSE))</f>
        <v>1</v>
      </c>
    </row>
    <row r="212" spans="1:19" ht="21" customHeight="1">
      <c r="A212" s="2">
        <f>input_3!A$2</f>
        <v>3123</v>
      </c>
      <c r="B212" s="7" t="str">
        <f t="shared" si="10"/>
        <v>Premium5</v>
      </c>
      <c r="C212" s="7" t="str">
        <f t="shared" si="11"/>
        <v>Premium</v>
      </c>
      <c r="D212" s="6">
        <v>498</v>
      </c>
      <c r="E212" s="7" t="str">
        <f>VLOOKUP(D212,[1]characters!$A:$C,3,FALSE)</f>
        <v>自愛の高魔 エスタブ</v>
      </c>
      <c r="F212" s="7" t="str">
        <f>VLOOKUP(D212,[1]characters!$A:$J,10,FALSE)</f>
        <v>PremiumS</v>
      </c>
      <c r="G212" s="7">
        <f>VLOOKUP(D212,[1]characters!$A:$I,9,FALSE)</f>
        <v>5</v>
      </c>
      <c r="H212" s="7" t="str">
        <f>VLOOKUP(D212,[1]characters!$A:$H,8,FALSE)</f>
        <v>blue</v>
      </c>
      <c r="I212" s="7" t="str">
        <f>VLOOKUP(D212,[1]characters!$A:$K,11,FALSE)</f>
        <v>attack</v>
      </c>
      <c r="J212" s="7" t="str">
        <f>VLOOKUP(D212,[1]characters!$A:$M,13,FALSE)</f>
        <v>human</v>
      </c>
      <c r="K212" s="7" t="str">
        <f>VLOOKUP(D212,[1]characters!$A:$G,7,FALSE)</f>
        <v>男性</v>
      </c>
      <c r="L212" s="66">
        <f>IFERROR(VLOOKUP(D212,input_3!L:R,7,FALSE),VLOOKUP(tables_3!B212,input_3!A:H,8,FALSE))</f>
        <v>637</v>
      </c>
      <c r="M212" s="67">
        <f t="shared" si="9"/>
        <v>1.8148148148148149E-2</v>
      </c>
      <c r="N212" s="31">
        <f>IFERROR(VLOOKUP($D212,bug_conf_sheet!$A:$H,3,FALSE),VLOOKUP("other",bug_conf_sheet!$A:$H,3,FALSE))</f>
        <v>1</v>
      </c>
      <c r="O212" s="31">
        <f>IFERROR(VLOOKUP($D212,bug_conf_sheet!$A:$H,4,FALSE),VLOOKUP("other",bug_conf_sheet!$A:$H,4,FALSE))</f>
        <v>0</v>
      </c>
      <c r="P212" s="31">
        <f>IFERROR(VLOOKUP($D212,bug_conf_sheet!$A:$H,5,FALSE),VLOOKUP("other",bug_conf_sheet!$A:$H,5,FALSE))</f>
        <v>0</v>
      </c>
      <c r="Q212" s="31">
        <f>IFERROR(VLOOKUP($D212,bug_conf_sheet!$A:$H,6,FALSE),VLOOKUP("other",bug_conf_sheet!$A:$H,6,FALSE))</f>
        <v>0</v>
      </c>
      <c r="R212" s="31">
        <f>IFERROR(VLOOKUP($D212,bug_conf_sheet!$A:$H,7,FALSE),VLOOKUP("other",bug_conf_sheet!$A:$H,7,FALSE))</f>
        <v>0</v>
      </c>
      <c r="S212" s="31">
        <f>IFERROR(VLOOKUP($D212,bug_conf_sheet!$A:$H,8,FALSE),VLOOKUP("other",bug_conf_sheet!$A:$H,8,FALSE))</f>
        <v>1</v>
      </c>
    </row>
    <row r="213" spans="1:19" ht="21" customHeight="1">
      <c r="A213" s="2">
        <f>input_3!A$2</f>
        <v>3123</v>
      </c>
      <c r="B213" s="7" t="str">
        <f t="shared" si="10"/>
        <v>PremiumSS4</v>
      </c>
      <c r="C213" s="7" t="str">
        <f t="shared" si="11"/>
        <v>PremiumSS</v>
      </c>
      <c r="D213" s="6">
        <v>499</v>
      </c>
      <c r="E213" s="7" t="str">
        <f>VLOOKUP(D213,[1]characters!$A:$C,3,FALSE)</f>
        <v>ラプンツェル</v>
      </c>
      <c r="F213" s="7" t="str">
        <f>VLOOKUP(D213,[1]characters!$A:$J,10,FALSE)</f>
        <v>PremiumSS</v>
      </c>
      <c r="G213" s="7">
        <f>VLOOKUP(D213,[1]characters!$A:$I,9,FALSE)</f>
        <v>4</v>
      </c>
      <c r="H213" s="7" t="str">
        <f>VLOOKUP(D213,[1]characters!$A:$H,8,FALSE)</f>
        <v>yellow</v>
      </c>
      <c r="I213" s="7" t="str">
        <f>VLOOKUP(D213,[1]characters!$A:$K,11,FALSE)</f>
        <v>balance</v>
      </c>
      <c r="J213" s="7" t="str">
        <f>VLOOKUP(D213,[1]characters!$A:$M,13,FALSE)</f>
        <v>human</v>
      </c>
      <c r="K213" s="7" t="str">
        <f>VLOOKUP(D213,[1]characters!$A:$G,7,FALSE)</f>
        <v>女性</v>
      </c>
      <c r="L213" s="66">
        <f>IFERROR(VLOOKUP(D213,input_3!L:R,7,FALSE),VLOOKUP(tables_3!B213,input_3!A:H,8,FALSE))</f>
        <v>0</v>
      </c>
      <c r="M213" s="67">
        <f t="shared" si="9"/>
        <v>0</v>
      </c>
      <c r="N213" s="31">
        <f>IFERROR(VLOOKUP($D213,bug_conf_sheet!$A:$H,3,FALSE),VLOOKUP("other",bug_conf_sheet!$A:$H,3,FALSE))</f>
        <v>1</v>
      </c>
      <c r="O213" s="31">
        <f>IFERROR(VLOOKUP($D213,bug_conf_sheet!$A:$H,4,FALSE),VLOOKUP("other",bug_conf_sheet!$A:$H,4,FALSE))</f>
        <v>0</v>
      </c>
      <c r="P213" s="31">
        <f>IFERROR(VLOOKUP($D213,bug_conf_sheet!$A:$H,5,FALSE),VLOOKUP("other",bug_conf_sheet!$A:$H,5,FALSE))</f>
        <v>0</v>
      </c>
      <c r="Q213" s="31">
        <f>IFERROR(VLOOKUP($D213,bug_conf_sheet!$A:$H,6,FALSE),VLOOKUP("other",bug_conf_sheet!$A:$H,6,FALSE))</f>
        <v>0</v>
      </c>
      <c r="R213" s="31">
        <f>IFERROR(VLOOKUP($D213,bug_conf_sheet!$A:$H,7,FALSE),VLOOKUP("other",bug_conf_sheet!$A:$H,7,FALSE))</f>
        <v>0</v>
      </c>
      <c r="S213" s="31">
        <f>IFERROR(VLOOKUP($D213,bug_conf_sheet!$A:$H,8,FALSE),VLOOKUP("other",bug_conf_sheet!$A:$H,8,FALSE))</f>
        <v>1</v>
      </c>
    </row>
    <row r="214" spans="1:19" ht="21" customHeight="1">
      <c r="A214" s="2">
        <f>input_3!A$2</f>
        <v>3123</v>
      </c>
      <c r="B214" s="7" t="str">
        <f t="shared" si="10"/>
        <v>PremiumSS5</v>
      </c>
      <c r="C214" s="7" t="str">
        <f t="shared" si="11"/>
        <v>PremiumSS</v>
      </c>
      <c r="D214" s="6">
        <v>500</v>
      </c>
      <c r="E214" s="7" t="str">
        <f>VLOOKUP(D214,[1]characters!$A:$C,3,FALSE)</f>
        <v>脈動の禁髪 ラプンツェル</v>
      </c>
      <c r="F214" s="7" t="str">
        <f>VLOOKUP(D214,[1]characters!$A:$J,10,FALSE)</f>
        <v>PremiumSS</v>
      </c>
      <c r="G214" s="7">
        <f>VLOOKUP(D214,[1]characters!$A:$I,9,FALSE)</f>
        <v>5</v>
      </c>
      <c r="H214" s="7" t="str">
        <f>VLOOKUP(D214,[1]characters!$A:$H,8,FALSE)</f>
        <v>yellow</v>
      </c>
      <c r="I214" s="7" t="str">
        <f>VLOOKUP(D214,[1]characters!$A:$K,11,FALSE)</f>
        <v>balance</v>
      </c>
      <c r="J214" s="7" t="str">
        <f>VLOOKUP(D214,[1]characters!$A:$M,13,FALSE)</f>
        <v>human</v>
      </c>
      <c r="K214" s="7" t="str">
        <f>VLOOKUP(D214,[1]characters!$A:$G,7,FALSE)</f>
        <v>女性</v>
      </c>
      <c r="L214" s="66">
        <f>IFERROR(VLOOKUP(D214,input_3!L:R,7,FALSE),VLOOKUP(tables_3!B214,input_3!A:H,8,FALSE))</f>
        <v>27</v>
      </c>
      <c r="M214" s="67">
        <f t="shared" si="9"/>
        <v>7.6923076923076923E-4</v>
      </c>
      <c r="N214" s="31">
        <f>IFERROR(VLOOKUP($D214,bug_conf_sheet!$A:$H,3,FALSE),VLOOKUP("other",bug_conf_sheet!$A:$H,3,FALSE))</f>
        <v>1</v>
      </c>
      <c r="O214" s="31">
        <f>IFERROR(VLOOKUP($D214,bug_conf_sheet!$A:$H,4,FALSE),VLOOKUP("other",bug_conf_sheet!$A:$H,4,FALSE))</f>
        <v>0</v>
      </c>
      <c r="P214" s="31">
        <f>IFERROR(VLOOKUP($D214,bug_conf_sheet!$A:$H,5,FALSE),VLOOKUP("other",bug_conf_sheet!$A:$H,5,FALSE))</f>
        <v>0</v>
      </c>
      <c r="Q214" s="31">
        <f>IFERROR(VLOOKUP($D214,bug_conf_sheet!$A:$H,6,FALSE),VLOOKUP("other",bug_conf_sheet!$A:$H,6,FALSE))</f>
        <v>0</v>
      </c>
      <c r="R214" s="31">
        <f>IFERROR(VLOOKUP($D214,bug_conf_sheet!$A:$H,7,FALSE),VLOOKUP("other",bug_conf_sheet!$A:$H,7,FALSE))</f>
        <v>0</v>
      </c>
      <c r="S214" s="31">
        <f>IFERROR(VLOOKUP($D214,bug_conf_sheet!$A:$H,8,FALSE),VLOOKUP("other",bug_conf_sheet!$A:$H,8,FALSE))</f>
        <v>1</v>
      </c>
    </row>
    <row r="215" spans="1:19" ht="21" customHeight="1">
      <c r="A215" s="2">
        <f>input_3!A$2</f>
        <v>3123</v>
      </c>
      <c r="B215" s="7" t="str">
        <f t="shared" si="10"/>
        <v>PremiumSS4</v>
      </c>
      <c r="C215" s="7" t="str">
        <f t="shared" si="11"/>
        <v>PremiumSS</v>
      </c>
      <c r="D215" s="6">
        <v>586</v>
      </c>
      <c r="E215" s="7" t="str">
        <f>VLOOKUP(D215,[1]characters!$A:$C,3,FALSE)</f>
        <v>ユミル</v>
      </c>
      <c r="F215" s="7" t="str">
        <f>VLOOKUP(D215,[1]characters!$A:$J,10,FALSE)</f>
        <v>PremiumSS</v>
      </c>
      <c r="G215" s="7">
        <f>VLOOKUP(D215,[1]characters!$A:$I,9,FALSE)</f>
        <v>4</v>
      </c>
      <c r="H215" s="7" t="str">
        <f>VLOOKUP(D215,[1]characters!$A:$H,8,FALSE)</f>
        <v>red</v>
      </c>
      <c r="I215" s="7" t="str">
        <f>VLOOKUP(D215,[1]characters!$A:$K,11,FALSE)</f>
        <v>hp</v>
      </c>
      <c r="J215" s="7" t="str">
        <f>VLOOKUP(D215,[1]characters!$A:$M,13,FALSE)</f>
        <v>machine</v>
      </c>
      <c r="K215" s="7" t="str">
        <f>VLOOKUP(D215,[1]characters!$A:$G,7,FALSE)</f>
        <v>不明</v>
      </c>
      <c r="L215" s="66">
        <f>IFERROR(VLOOKUP(D215,input_3!L:R,7,FALSE),VLOOKUP(tables_3!B215,input_3!A:H,8,FALSE))</f>
        <v>0</v>
      </c>
      <c r="M215" s="67">
        <f t="shared" si="9"/>
        <v>0</v>
      </c>
      <c r="N215" s="31">
        <f>IFERROR(VLOOKUP($D215,bug_conf_sheet!$A:$H,3,FALSE),VLOOKUP("other",bug_conf_sheet!$A:$H,3,FALSE))</f>
        <v>1</v>
      </c>
      <c r="O215" s="31">
        <f>IFERROR(VLOOKUP($D215,bug_conf_sheet!$A:$H,4,FALSE),VLOOKUP("other",bug_conf_sheet!$A:$H,4,FALSE))</f>
        <v>0</v>
      </c>
      <c r="P215" s="31">
        <f>IFERROR(VLOOKUP($D215,bug_conf_sheet!$A:$H,5,FALSE),VLOOKUP("other",bug_conf_sheet!$A:$H,5,FALSE))</f>
        <v>0</v>
      </c>
      <c r="Q215" s="31">
        <f>IFERROR(VLOOKUP($D215,bug_conf_sheet!$A:$H,6,FALSE),VLOOKUP("other",bug_conf_sheet!$A:$H,6,FALSE))</f>
        <v>0</v>
      </c>
      <c r="R215" s="31">
        <f>IFERROR(VLOOKUP($D215,bug_conf_sheet!$A:$H,7,FALSE),VLOOKUP("other",bug_conf_sheet!$A:$H,7,FALSE))</f>
        <v>0</v>
      </c>
      <c r="S215" s="31">
        <f>IFERROR(VLOOKUP($D215,bug_conf_sheet!$A:$H,8,FALSE),VLOOKUP("other",bug_conf_sheet!$A:$H,8,FALSE))</f>
        <v>1</v>
      </c>
    </row>
    <row r="216" spans="1:19" ht="21" customHeight="1">
      <c r="A216" s="2">
        <f>input_3!A$2</f>
        <v>3123</v>
      </c>
      <c r="B216" s="7" t="str">
        <f t="shared" si="10"/>
        <v>PremiumSS5</v>
      </c>
      <c r="C216" s="7" t="str">
        <f t="shared" si="11"/>
        <v>PremiumSS</v>
      </c>
      <c r="D216" s="6">
        <v>587</v>
      </c>
      <c r="E216" s="7" t="str">
        <f>VLOOKUP(D216,[1]characters!$A:$C,3,FALSE)</f>
        <v>原初の煉鋼巨刃 ユミル</v>
      </c>
      <c r="F216" s="7" t="str">
        <f>VLOOKUP(D216,[1]characters!$A:$J,10,FALSE)</f>
        <v>PremiumSS</v>
      </c>
      <c r="G216" s="7">
        <f>VLOOKUP(D216,[1]characters!$A:$I,9,FALSE)</f>
        <v>5</v>
      </c>
      <c r="H216" s="7" t="str">
        <f>VLOOKUP(D216,[1]characters!$A:$H,8,FALSE)</f>
        <v>red</v>
      </c>
      <c r="I216" s="7" t="str">
        <f>VLOOKUP(D216,[1]characters!$A:$K,11,FALSE)</f>
        <v>hp</v>
      </c>
      <c r="J216" s="7" t="str">
        <f>VLOOKUP(D216,[1]characters!$A:$M,13,FALSE)</f>
        <v>machine</v>
      </c>
      <c r="K216" s="7" t="str">
        <f>VLOOKUP(D216,[1]characters!$A:$G,7,FALSE)</f>
        <v>不明</v>
      </c>
      <c r="L216" s="66">
        <f>IFERROR(VLOOKUP(D216,input_3!L:R,7,FALSE),VLOOKUP(tables_3!B216,input_3!A:H,8,FALSE))</f>
        <v>27</v>
      </c>
      <c r="M216" s="67">
        <f t="shared" si="9"/>
        <v>7.6923076923076923E-4</v>
      </c>
      <c r="N216" s="31">
        <f>IFERROR(VLOOKUP($D216,bug_conf_sheet!$A:$H,3,FALSE),VLOOKUP("other",bug_conf_sheet!$A:$H,3,FALSE))</f>
        <v>1</v>
      </c>
      <c r="O216" s="31">
        <f>IFERROR(VLOOKUP($D216,bug_conf_sheet!$A:$H,4,FALSE),VLOOKUP("other",bug_conf_sheet!$A:$H,4,FALSE))</f>
        <v>0</v>
      </c>
      <c r="P216" s="31">
        <f>IFERROR(VLOOKUP($D216,bug_conf_sheet!$A:$H,5,FALSE),VLOOKUP("other",bug_conf_sheet!$A:$H,5,FALSE))</f>
        <v>0</v>
      </c>
      <c r="Q216" s="31">
        <f>IFERROR(VLOOKUP($D216,bug_conf_sheet!$A:$H,6,FALSE),VLOOKUP("other",bug_conf_sheet!$A:$H,6,FALSE))</f>
        <v>0</v>
      </c>
      <c r="R216" s="31">
        <f>IFERROR(VLOOKUP($D216,bug_conf_sheet!$A:$H,7,FALSE),VLOOKUP("other",bug_conf_sheet!$A:$H,7,FALSE))</f>
        <v>0</v>
      </c>
      <c r="S216" s="31">
        <f>IFERROR(VLOOKUP($D216,bug_conf_sheet!$A:$H,8,FALSE),VLOOKUP("other",bug_conf_sheet!$A:$H,8,FALSE))</f>
        <v>1</v>
      </c>
    </row>
    <row r="217" spans="1:19" ht="21" customHeight="1">
      <c r="A217" s="2">
        <f>input_3!A$2</f>
        <v>3123</v>
      </c>
      <c r="B217" s="7" t="str">
        <f t="shared" si="10"/>
        <v>Premium3</v>
      </c>
      <c r="C217" s="7" t="str">
        <f t="shared" si="11"/>
        <v>Premium</v>
      </c>
      <c r="D217" s="6">
        <v>588</v>
      </c>
      <c r="E217" s="7" t="str">
        <f>VLOOKUP(D217,[1]characters!$A:$C,3,FALSE)</f>
        <v>ニーベルゲン</v>
      </c>
      <c r="F217" s="7" t="str">
        <f>VLOOKUP(D217,[1]characters!$A:$J,10,FALSE)</f>
        <v>PremiumS</v>
      </c>
      <c r="G217" s="7">
        <f>VLOOKUP(D217,[1]characters!$A:$I,9,FALSE)</f>
        <v>3</v>
      </c>
      <c r="H217" s="7" t="str">
        <f>VLOOKUP(D217,[1]characters!$A:$H,8,FALSE)</f>
        <v>green</v>
      </c>
      <c r="I217" s="7" t="str">
        <f>VLOOKUP(D217,[1]characters!$A:$K,11,FALSE)</f>
        <v>balance</v>
      </c>
      <c r="J217" s="7" t="str">
        <f>VLOOKUP(D217,[1]characters!$A:$M,13,FALSE)</f>
        <v>unknown</v>
      </c>
      <c r="K217" s="7" t="str">
        <f>VLOOKUP(D217,[1]characters!$A:$G,7,FALSE)</f>
        <v>女性</v>
      </c>
      <c r="L217" s="66">
        <f>IFERROR(VLOOKUP(D217,input_3!L:R,7,FALSE),VLOOKUP(tables_3!B217,input_3!A:H,8,FALSE))</f>
        <v>0</v>
      </c>
      <c r="M217" s="67">
        <f t="shared" si="9"/>
        <v>0</v>
      </c>
      <c r="N217" s="31">
        <f>IFERROR(VLOOKUP($D217,bug_conf_sheet!$A:$H,3,FALSE),VLOOKUP("other",bug_conf_sheet!$A:$H,3,FALSE))</f>
        <v>1</v>
      </c>
      <c r="O217" s="31">
        <f>IFERROR(VLOOKUP($D217,bug_conf_sheet!$A:$H,4,FALSE),VLOOKUP("other",bug_conf_sheet!$A:$H,4,FALSE))</f>
        <v>0</v>
      </c>
      <c r="P217" s="31">
        <f>IFERROR(VLOOKUP($D217,bug_conf_sheet!$A:$H,5,FALSE),VLOOKUP("other",bug_conf_sheet!$A:$H,5,FALSE))</f>
        <v>0</v>
      </c>
      <c r="Q217" s="31">
        <f>IFERROR(VLOOKUP($D217,bug_conf_sheet!$A:$H,6,FALSE),VLOOKUP("other",bug_conf_sheet!$A:$H,6,FALSE))</f>
        <v>0</v>
      </c>
      <c r="R217" s="31">
        <f>IFERROR(VLOOKUP($D217,bug_conf_sheet!$A:$H,7,FALSE),VLOOKUP("other",bug_conf_sheet!$A:$H,7,FALSE))</f>
        <v>0</v>
      </c>
      <c r="S217" s="31">
        <f>IFERROR(VLOOKUP($D217,bug_conf_sheet!$A:$H,8,FALSE),VLOOKUP("other",bug_conf_sheet!$A:$H,8,FALSE))</f>
        <v>1</v>
      </c>
    </row>
    <row r="218" spans="1:19" ht="21" customHeight="1">
      <c r="A218" s="2">
        <f>input_3!A$2</f>
        <v>3123</v>
      </c>
      <c r="B218" s="7" t="str">
        <f t="shared" si="10"/>
        <v>Premium4</v>
      </c>
      <c r="C218" s="7" t="str">
        <f t="shared" si="11"/>
        <v>Premium</v>
      </c>
      <c r="D218" s="6">
        <v>589</v>
      </c>
      <c r="E218" s="7" t="str">
        <f>VLOOKUP(D218,[1]characters!$A:$C,3,FALSE)</f>
        <v>不幸の円環 ニーベルゲン</v>
      </c>
      <c r="F218" s="7" t="str">
        <f>VLOOKUP(D218,[1]characters!$A:$J,10,FALSE)</f>
        <v>PremiumS</v>
      </c>
      <c r="G218" s="7">
        <f>VLOOKUP(D218,[1]characters!$A:$I,9,FALSE)</f>
        <v>4</v>
      </c>
      <c r="H218" s="7" t="str">
        <f>VLOOKUP(D218,[1]characters!$A:$H,8,FALSE)</f>
        <v>green</v>
      </c>
      <c r="I218" s="7" t="str">
        <f>VLOOKUP(D218,[1]characters!$A:$K,11,FALSE)</f>
        <v>balance</v>
      </c>
      <c r="J218" s="7" t="str">
        <f>VLOOKUP(D218,[1]characters!$A:$M,13,FALSE)</f>
        <v>unknown</v>
      </c>
      <c r="K218" s="7" t="str">
        <f>VLOOKUP(D218,[1]characters!$A:$G,7,FALSE)</f>
        <v>女性</v>
      </c>
      <c r="L218" s="66">
        <f>IFERROR(VLOOKUP(D218,input_3!L:R,7,FALSE),VLOOKUP(tables_3!B218,input_3!A:H,8,FALSE))</f>
        <v>0</v>
      </c>
      <c r="M218" s="67">
        <f t="shared" si="9"/>
        <v>0</v>
      </c>
      <c r="N218" s="31">
        <f>IFERROR(VLOOKUP($D218,bug_conf_sheet!$A:$H,3,FALSE),VLOOKUP("other",bug_conf_sheet!$A:$H,3,FALSE))</f>
        <v>1</v>
      </c>
      <c r="O218" s="31">
        <f>IFERROR(VLOOKUP($D218,bug_conf_sheet!$A:$H,4,FALSE),VLOOKUP("other",bug_conf_sheet!$A:$H,4,FALSE))</f>
        <v>0</v>
      </c>
      <c r="P218" s="31">
        <f>IFERROR(VLOOKUP($D218,bug_conf_sheet!$A:$H,5,FALSE),VLOOKUP("other",bug_conf_sheet!$A:$H,5,FALSE))</f>
        <v>0</v>
      </c>
      <c r="Q218" s="31">
        <f>IFERROR(VLOOKUP($D218,bug_conf_sheet!$A:$H,6,FALSE),VLOOKUP("other",bug_conf_sheet!$A:$H,6,FALSE))</f>
        <v>0</v>
      </c>
      <c r="R218" s="31">
        <f>IFERROR(VLOOKUP($D218,bug_conf_sheet!$A:$H,7,FALSE),VLOOKUP("other",bug_conf_sheet!$A:$H,7,FALSE))</f>
        <v>0</v>
      </c>
      <c r="S218" s="31">
        <f>IFERROR(VLOOKUP($D218,bug_conf_sheet!$A:$H,8,FALSE),VLOOKUP("other",bug_conf_sheet!$A:$H,8,FALSE))</f>
        <v>1</v>
      </c>
    </row>
    <row r="219" spans="1:19" ht="21" customHeight="1">
      <c r="A219" s="2">
        <f>input_3!A$2</f>
        <v>3123</v>
      </c>
      <c r="B219" s="7" t="str">
        <f t="shared" si="10"/>
        <v>Premium5</v>
      </c>
      <c r="C219" s="7" t="str">
        <f t="shared" si="11"/>
        <v>Premium</v>
      </c>
      <c r="D219" s="6">
        <v>590</v>
      </c>
      <c r="E219" s="7" t="str">
        <f>VLOOKUP(D219,[1]characters!$A:$C,3,FALSE)</f>
        <v>永遠を廻る呪い ニーベルゲン</v>
      </c>
      <c r="F219" s="7" t="str">
        <f>VLOOKUP(D219,[1]characters!$A:$J,10,FALSE)</f>
        <v>PremiumS</v>
      </c>
      <c r="G219" s="7">
        <f>VLOOKUP(D219,[1]characters!$A:$I,9,FALSE)</f>
        <v>5</v>
      </c>
      <c r="H219" s="7" t="str">
        <f>VLOOKUP(D219,[1]characters!$A:$H,8,FALSE)</f>
        <v>green</v>
      </c>
      <c r="I219" s="7" t="str">
        <f>VLOOKUP(D219,[1]characters!$A:$K,11,FALSE)</f>
        <v>balance</v>
      </c>
      <c r="J219" s="7" t="str">
        <f>VLOOKUP(D219,[1]characters!$A:$M,13,FALSE)</f>
        <v>unknown</v>
      </c>
      <c r="K219" s="7" t="str">
        <f>VLOOKUP(D219,[1]characters!$A:$G,7,FALSE)</f>
        <v>女性</v>
      </c>
      <c r="L219" s="66">
        <f>IFERROR(VLOOKUP(D219,input_3!L:R,7,FALSE),VLOOKUP(tables_3!B219,input_3!A:H,8,FALSE))</f>
        <v>637</v>
      </c>
      <c r="M219" s="67">
        <f t="shared" si="9"/>
        <v>1.8148148148148149E-2</v>
      </c>
      <c r="N219" s="31">
        <f>IFERROR(VLOOKUP($D219,bug_conf_sheet!$A:$H,3,FALSE),VLOOKUP("other",bug_conf_sheet!$A:$H,3,FALSE))</f>
        <v>1</v>
      </c>
      <c r="O219" s="31">
        <f>IFERROR(VLOOKUP($D219,bug_conf_sheet!$A:$H,4,FALSE),VLOOKUP("other",bug_conf_sheet!$A:$H,4,FALSE))</f>
        <v>0</v>
      </c>
      <c r="P219" s="31">
        <f>IFERROR(VLOOKUP($D219,bug_conf_sheet!$A:$H,5,FALSE),VLOOKUP("other",bug_conf_sheet!$A:$H,5,FALSE))</f>
        <v>0</v>
      </c>
      <c r="Q219" s="31">
        <f>IFERROR(VLOOKUP($D219,bug_conf_sheet!$A:$H,6,FALSE),VLOOKUP("other",bug_conf_sheet!$A:$H,6,FALSE))</f>
        <v>0</v>
      </c>
      <c r="R219" s="31">
        <f>IFERROR(VLOOKUP($D219,bug_conf_sheet!$A:$H,7,FALSE),VLOOKUP("other",bug_conf_sheet!$A:$H,7,FALSE))</f>
        <v>0</v>
      </c>
      <c r="S219" s="31">
        <f>IFERROR(VLOOKUP($D219,bug_conf_sheet!$A:$H,8,FALSE),VLOOKUP("other",bug_conf_sheet!$A:$H,8,FALSE))</f>
        <v>1</v>
      </c>
    </row>
    <row r="220" spans="1:19" ht="21" customHeight="1">
      <c r="A220" s="2">
        <f>input_3!A$2</f>
        <v>3123</v>
      </c>
      <c r="B220" s="7" t="str">
        <f t="shared" si="10"/>
        <v>Premium3</v>
      </c>
      <c r="C220" s="7" t="str">
        <f t="shared" si="11"/>
        <v>Premium</v>
      </c>
      <c r="D220" s="6">
        <v>591</v>
      </c>
      <c r="E220" s="7" t="str">
        <f>VLOOKUP(D220,[1]characters!$A:$C,3,FALSE)</f>
        <v>ファフニール</v>
      </c>
      <c r="F220" s="7" t="str">
        <f>VLOOKUP(D220,[1]characters!$A:$J,10,FALSE)</f>
        <v>PremiumS</v>
      </c>
      <c r="G220" s="7">
        <f>VLOOKUP(D220,[1]characters!$A:$I,9,FALSE)</f>
        <v>3</v>
      </c>
      <c r="H220" s="7" t="str">
        <f>VLOOKUP(D220,[1]characters!$A:$H,8,FALSE)</f>
        <v>blue</v>
      </c>
      <c r="I220" s="7" t="str">
        <f>VLOOKUP(D220,[1]characters!$A:$K,11,FALSE)</f>
        <v>technical</v>
      </c>
      <c r="J220" s="7" t="str">
        <f>VLOOKUP(D220,[1]characters!$A:$M,13,FALSE)</f>
        <v>dragon</v>
      </c>
      <c r="K220" s="7" t="str">
        <f>VLOOKUP(D220,[1]characters!$A:$G,7,FALSE)</f>
        <v>不明</v>
      </c>
      <c r="L220" s="66">
        <f>IFERROR(VLOOKUP(D220,input_3!L:R,7,FALSE),VLOOKUP(tables_3!B220,input_3!A:H,8,FALSE))</f>
        <v>0</v>
      </c>
      <c r="M220" s="67">
        <f t="shared" si="9"/>
        <v>0</v>
      </c>
      <c r="N220" s="31">
        <f>IFERROR(VLOOKUP($D220,bug_conf_sheet!$A:$H,3,FALSE),VLOOKUP("other",bug_conf_sheet!$A:$H,3,FALSE))</f>
        <v>1</v>
      </c>
      <c r="O220" s="31">
        <f>IFERROR(VLOOKUP($D220,bug_conf_sheet!$A:$H,4,FALSE),VLOOKUP("other",bug_conf_sheet!$A:$H,4,FALSE))</f>
        <v>0</v>
      </c>
      <c r="P220" s="31">
        <f>IFERROR(VLOOKUP($D220,bug_conf_sheet!$A:$H,5,FALSE),VLOOKUP("other",bug_conf_sheet!$A:$H,5,FALSE))</f>
        <v>0</v>
      </c>
      <c r="Q220" s="31">
        <f>IFERROR(VLOOKUP($D220,bug_conf_sheet!$A:$H,6,FALSE),VLOOKUP("other",bug_conf_sheet!$A:$H,6,FALSE))</f>
        <v>0</v>
      </c>
      <c r="R220" s="31">
        <f>IFERROR(VLOOKUP($D220,bug_conf_sheet!$A:$H,7,FALSE),VLOOKUP("other",bug_conf_sheet!$A:$H,7,FALSE))</f>
        <v>0</v>
      </c>
      <c r="S220" s="31">
        <f>IFERROR(VLOOKUP($D220,bug_conf_sheet!$A:$H,8,FALSE),VLOOKUP("other",bug_conf_sheet!$A:$H,8,FALSE))</f>
        <v>1</v>
      </c>
    </row>
    <row r="221" spans="1:19" ht="21" customHeight="1">
      <c r="A221" s="2">
        <f>input_3!A$2</f>
        <v>3123</v>
      </c>
      <c r="B221" s="7" t="str">
        <f t="shared" si="10"/>
        <v>Premium4</v>
      </c>
      <c r="C221" s="7" t="str">
        <f t="shared" si="11"/>
        <v>Premium</v>
      </c>
      <c r="D221" s="6">
        <v>592</v>
      </c>
      <c r="E221" s="7" t="str">
        <f>VLOOKUP(D221,[1]characters!$A:$C,3,FALSE)</f>
        <v>財宝への執着 ファフニール</v>
      </c>
      <c r="F221" s="7" t="str">
        <f>VLOOKUP(D221,[1]characters!$A:$J,10,FALSE)</f>
        <v>PremiumS</v>
      </c>
      <c r="G221" s="7">
        <f>VLOOKUP(D221,[1]characters!$A:$I,9,FALSE)</f>
        <v>4</v>
      </c>
      <c r="H221" s="7" t="str">
        <f>VLOOKUP(D221,[1]characters!$A:$H,8,FALSE)</f>
        <v>blue</v>
      </c>
      <c r="I221" s="7" t="str">
        <f>VLOOKUP(D221,[1]characters!$A:$K,11,FALSE)</f>
        <v>technical</v>
      </c>
      <c r="J221" s="7" t="str">
        <f>VLOOKUP(D221,[1]characters!$A:$M,13,FALSE)</f>
        <v>dragon</v>
      </c>
      <c r="K221" s="7" t="str">
        <f>VLOOKUP(D221,[1]characters!$A:$G,7,FALSE)</f>
        <v>不明</v>
      </c>
      <c r="L221" s="66">
        <f>IFERROR(VLOOKUP(D221,input_3!L:R,7,FALSE),VLOOKUP(tables_3!B221,input_3!A:H,8,FALSE))</f>
        <v>0</v>
      </c>
      <c r="M221" s="67">
        <f t="shared" si="9"/>
        <v>0</v>
      </c>
      <c r="N221" s="31">
        <f>IFERROR(VLOOKUP($D221,bug_conf_sheet!$A:$H,3,FALSE),VLOOKUP("other",bug_conf_sheet!$A:$H,3,FALSE))</f>
        <v>1</v>
      </c>
      <c r="O221" s="31">
        <f>IFERROR(VLOOKUP($D221,bug_conf_sheet!$A:$H,4,FALSE),VLOOKUP("other",bug_conf_sheet!$A:$H,4,FALSE))</f>
        <v>0</v>
      </c>
      <c r="P221" s="31">
        <f>IFERROR(VLOOKUP($D221,bug_conf_sheet!$A:$H,5,FALSE),VLOOKUP("other",bug_conf_sheet!$A:$H,5,FALSE))</f>
        <v>0</v>
      </c>
      <c r="Q221" s="31">
        <f>IFERROR(VLOOKUP($D221,bug_conf_sheet!$A:$H,6,FALSE),VLOOKUP("other",bug_conf_sheet!$A:$H,6,FALSE))</f>
        <v>0</v>
      </c>
      <c r="R221" s="31">
        <f>IFERROR(VLOOKUP($D221,bug_conf_sheet!$A:$H,7,FALSE),VLOOKUP("other",bug_conf_sheet!$A:$H,7,FALSE))</f>
        <v>0</v>
      </c>
      <c r="S221" s="31">
        <f>IFERROR(VLOOKUP($D221,bug_conf_sheet!$A:$H,8,FALSE),VLOOKUP("other",bug_conf_sheet!$A:$H,8,FALSE))</f>
        <v>1</v>
      </c>
    </row>
    <row r="222" spans="1:19" ht="21" customHeight="1">
      <c r="A222" s="2">
        <f>input_3!A$2</f>
        <v>3123</v>
      </c>
      <c r="B222" s="7" t="str">
        <f t="shared" si="10"/>
        <v>Premium5</v>
      </c>
      <c r="C222" s="7" t="str">
        <f t="shared" si="11"/>
        <v>Premium</v>
      </c>
      <c r="D222" s="6">
        <v>593</v>
      </c>
      <c r="E222" s="7" t="str">
        <f>VLOOKUP(D222,[1]characters!$A:$C,3,FALSE)</f>
        <v>妄執する邪毒龍 ファフニール</v>
      </c>
      <c r="F222" s="7" t="str">
        <f>VLOOKUP(D222,[1]characters!$A:$J,10,FALSE)</f>
        <v>PremiumS</v>
      </c>
      <c r="G222" s="7">
        <f>VLOOKUP(D222,[1]characters!$A:$I,9,FALSE)</f>
        <v>5</v>
      </c>
      <c r="H222" s="7" t="str">
        <f>VLOOKUP(D222,[1]characters!$A:$H,8,FALSE)</f>
        <v>blue</v>
      </c>
      <c r="I222" s="7" t="str">
        <f>VLOOKUP(D222,[1]characters!$A:$K,11,FALSE)</f>
        <v>technical</v>
      </c>
      <c r="J222" s="7" t="str">
        <f>VLOOKUP(D222,[1]characters!$A:$M,13,FALSE)</f>
        <v>dragon</v>
      </c>
      <c r="K222" s="7" t="str">
        <f>VLOOKUP(D222,[1]characters!$A:$G,7,FALSE)</f>
        <v>不明</v>
      </c>
      <c r="L222" s="66">
        <f>IFERROR(VLOOKUP(D222,input_3!L:R,7,FALSE),VLOOKUP(tables_3!B222,input_3!A:H,8,FALSE))</f>
        <v>637</v>
      </c>
      <c r="M222" s="67">
        <f t="shared" si="9"/>
        <v>1.8148148148148149E-2</v>
      </c>
      <c r="N222" s="31">
        <f>IFERROR(VLOOKUP($D222,bug_conf_sheet!$A:$H,3,FALSE),VLOOKUP("other",bug_conf_sheet!$A:$H,3,FALSE))</f>
        <v>1</v>
      </c>
      <c r="O222" s="31">
        <f>IFERROR(VLOOKUP($D222,bug_conf_sheet!$A:$H,4,FALSE),VLOOKUP("other",bug_conf_sheet!$A:$H,4,FALSE))</f>
        <v>0</v>
      </c>
      <c r="P222" s="31">
        <f>IFERROR(VLOOKUP($D222,bug_conf_sheet!$A:$H,5,FALSE),VLOOKUP("other",bug_conf_sheet!$A:$H,5,FALSE))</f>
        <v>0</v>
      </c>
      <c r="Q222" s="31">
        <f>IFERROR(VLOOKUP($D222,bug_conf_sheet!$A:$H,6,FALSE),VLOOKUP("other",bug_conf_sheet!$A:$H,6,FALSE))</f>
        <v>0</v>
      </c>
      <c r="R222" s="31">
        <f>IFERROR(VLOOKUP($D222,bug_conf_sheet!$A:$H,7,FALSE),VLOOKUP("other",bug_conf_sheet!$A:$H,7,FALSE))</f>
        <v>0</v>
      </c>
      <c r="S222" s="31">
        <f>IFERROR(VLOOKUP($D222,bug_conf_sheet!$A:$H,8,FALSE),VLOOKUP("other",bug_conf_sheet!$A:$H,8,FALSE))</f>
        <v>1</v>
      </c>
    </row>
    <row r="223" spans="1:19" ht="21" customHeight="1">
      <c r="A223" s="2">
        <f>input_3!A$2</f>
        <v>3123</v>
      </c>
      <c r="B223" s="7" t="str">
        <f t="shared" si="10"/>
        <v>PremiumSS4</v>
      </c>
      <c r="C223" s="7" t="str">
        <f t="shared" si="11"/>
        <v>PremiumSS</v>
      </c>
      <c r="D223" s="6">
        <v>594</v>
      </c>
      <c r="E223" s="7" t="str">
        <f>VLOOKUP(D223,[1]characters!$A:$C,3,FALSE)</f>
        <v>アルフヘイム</v>
      </c>
      <c r="F223" s="7" t="str">
        <f>VLOOKUP(D223,[1]characters!$A:$J,10,FALSE)</f>
        <v>PremiumSS</v>
      </c>
      <c r="G223" s="7">
        <f>VLOOKUP(D223,[1]characters!$A:$I,9,FALSE)</f>
        <v>4</v>
      </c>
      <c r="H223" s="7" t="str">
        <f>VLOOKUP(D223,[1]characters!$A:$H,8,FALSE)</f>
        <v>yellow</v>
      </c>
      <c r="I223" s="7" t="str">
        <f>VLOOKUP(D223,[1]characters!$A:$K,11,FALSE)</f>
        <v>attack</v>
      </c>
      <c r="J223" s="7" t="str">
        <f>VLOOKUP(D223,[1]characters!$A:$M,13,FALSE)</f>
        <v>dragon</v>
      </c>
      <c r="K223" s="7" t="str">
        <f>VLOOKUP(D223,[1]characters!$A:$G,7,FALSE)</f>
        <v>不明</v>
      </c>
      <c r="L223" s="66">
        <f>IFERROR(VLOOKUP(D223,input_3!L:R,7,FALSE),VLOOKUP(tables_3!B223,input_3!A:H,8,FALSE))</f>
        <v>0</v>
      </c>
      <c r="M223" s="67">
        <f t="shared" si="9"/>
        <v>0</v>
      </c>
      <c r="N223" s="31">
        <f>IFERROR(VLOOKUP($D223,bug_conf_sheet!$A:$H,3,FALSE),VLOOKUP("other",bug_conf_sheet!$A:$H,3,FALSE))</f>
        <v>1</v>
      </c>
      <c r="O223" s="31">
        <f>IFERROR(VLOOKUP($D223,bug_conf_sheet!$A:$H,4,FALSE),VLOOKUP("other",bug_conf_sheet!$A:$H,4,FALSE))</f>
        <v>0</v>
      </c>
      <c r="P223" s="31">
        <f>IFERROR(VLOOKUP($D223,bug_conf_sheet!$A:$H,5,FALSE),VLOOKUP("other",bug_conf_sheet!$A:$H,5,FALSE))</f>
        <v>0</v>
      </c>
      <c r="Q223" s="31">
        <f>IFERROR(VLOOKUP($D223,bug_conf_sheet!$A:$H,6,FALSE),VLOOKUP("other",bug_conf_sheet!$A:$H,6,FALSE))</f>
        <v>0</v>
      </c>
      <c r="R223" s="31">
        <f>IFERROR(VLOOKUP($D223,bug_conf_sheet!$A:$H,7,FALSE),VLOOKUP("other",bug_conf_sheet!$A:$H,7,FALSE))</f>
        <v>0</v>
      </c>
      <c r="S223" s="31">
        <f>IFERROR(VLOOKUP($D223,bug_conf_sheet!$A:$H,8,FALSE),VLOOKUP("other",bug_conf_sheet!$A:$H,8,FALSE))</f>
        <v>1</v>
      </c>
    </row>
    <row r="224" spans="1:19" ht="21" customHeight="1">
      <c r="A224" s="2">
        <f>input_3!A$2</f>
        <v>3123</v>
      </c>
      <c r="B224" s="7" t="str">
        <f t="shared" si="10"/>
        <v>PremiumSS5</v>
      </c>
      <c r="C224" s="7" t="str">
        <f t="shared" si="11"/>
        <v>PremiumSS</v>
      </c>
      <c r="D224" s="6">
        <v>595</v>
      </c>
      <c r="E224" s="7" t="str">
        <f>VLOOKUP(D224,[1]characters!$A:$C,3,FALSE)</f>
        <v>光華なる神域 アルフヘイム</v>
      </c>
      <c r="F224" s="7" t="str">
        <f>VLOOKUP(D224,[1]characters!$A:$J,10,FALSE)</f>
        <v>PremiumSS</v>
      </c>
      <c r="G224" s="7">
        <f>VLOOKUP(D224,[1]characters!$A:$I,9,FALSE)</f>
        <v>5</v>
      </c>
      <c r="H224" s="7" t="str">
        <f>VLOOKUP(D224,[1]characters!$A:$H,8,FALSE)</f>
        <v>yellow</v>
      </c>
      <c r="I224" s="7" t="str">
        <f>VLOOKUP(D224,[1]characters!$A:$K,11,FALSE)</f>
        <v>attack</v>
      </c>
      <c r="J224" s="7" t="str">
        <f>VLOOKUP(D224,[1]characters!$A:$M,13,FALSE)</f>
        <v>dragon</v>
      </c>
      <c r="K224" s="7" t="str">
        <f>VLOOKUP(D224,[1]characters!$A:$G,7,FALSE)</f>
        <v>不明</v>
      </c>
      <c r="L224" s="66">
        <f>IFERROR(VLOOKUP(D224,input_3!L:R,7,FALSE),VLOOKUP(tables_3!B224,input_3!A:H,8,FALSE))</f>
        <v>27</v>
      </c>
      <c r="M224" s="67">
        <f t="shared" si="9"/>
        <v>7.6923076923076923E-4</v>
      </c>
      <c r="N224" s="31">
        <f>IFERROR(VLOOKUP($D224,bug_conf_sheet!$A:$H,3,FALSE),VLOOKUP("other",bug_conf_sheet!$A:$H,3,FALSE))</f>
        <v>1</v>
      </c>
      <c r="O224" s="31">
        <f>IFERROR(VLOOKUP($D224,bug_conf_sheet!$A:$H,4,FALSE),VLOOKUP("other",bug_conf_sheet!$A:$H,4,FALSE))</f>
        <v>0</v>
      </c>
      <c r="P224" s="31">
        <f>IFERROR(VLOOKUP($D224,bug_conf_sheet!$A:$H,5,FALSE),VLOOKUP("other",bug_conf_sheet!$A:$H,5,FALSE))</f>
        <v>0</v>
      </c>
      <c r="Q224" s="31">
        <f>IFERROR(VLOOKUP($D224,bug_conf_sheet!$A:$H,6,FALSE),VLOOKUP("other",bug_conf_sheet!$A:$H,6,FALSE))</f>
        <v>0</v>
      </c>
      <c r="R224" s="31">
        <f>IFERROR(VLOOKUP($D224,bug_conf_sheet!$A:$H,7,FALSE),VLOOKUP("other",bug_conf_sheet!$A:$H,7,FALSE))</f>
        <v>0</v>
      </c>
      <c r="S224" s="31">
        <f>IFERROR(VLOOKUP($D224,bug_conf_sheet!$A:$H,8,FALSE),VLOOKUP("other",bug_conf_sheet!$A:$H,8,FALSE))</f>
        <v>1</v>
      </c>
    </row>
    <row r="225" spans="1:19" ht="21" customHeight="1">
      <c r="A225" s="2">
        <f>input_3!A$2</f>
        <v>3123</v>
      </c>
      <c r="B225" s="7" t="str">
        <f t="shared" si="10"/>
        <v>Premium3</v>
      </c>
      <c r="C225" s="7" t="str">
        <f t="shared" si="11"/>
        <v>Premium</v>
      </c>
      <c r="D225" s="6">
        <v>596</v>
      </c>
      <c r="E225" s="7" t="str">
        <f>VLOOKUP(D225,[1]characters!$A:$C,3,FALSE)</f>
        <v>ムスペルヘイム</v>
      </c>
      <c r="F225" s="7" t="str">
        <f>VLOOKUP(D225,[1]characters!$A:$J,10,FALSE)</f>
        <v>PremiumS</v>
      </c>
      <c r="G225" s="7">
        <f>VLOOKUP(D225,[1]characters!$A:$I,9,FALSE)</f>
        <v>3</v>
      </c>
      <c r="H225" s="7" t="str">
        <f>VLOOKUP(D225,[1]characters!$A:$H,8,FALSE)</f>
        <v>red</v>
      </c>
      <c r="I225" s="7" t="str">
        <f>VLOOKUP(D225,[1]characters!$A:$K,11,FALSE)</f>
        <v>balance</v>
      </c>
      <c r="J225" s="7" t="str">
        <f>VLOOKUP(D225,[1]characters!$A:$M,13,FALSE)</f>
        <v>human</v>
      </c>
      <c r="K225" s="7" t="str">
        <f>VLOOKUP(D225,[1]characters!$A:$G,7,FALSE)</f>
        <v>男性</v>
      </c>
      <c r="L225" s="66">
        <f>IFERROR(VLOOKUP(D225,input_3!L:R,7,FALSE),VLOOKUP(tables_3!B225,input_3!A:H,8,FALSE))</f>
        <v>0</v>
      </c>
      <c r="M225" s="67">
        <f t="shared" si="9"/>
        <v>0</v>
      </c>
      <c r="N225" s="31">
        <f>IFERROR(VLOOKUP($D225,bug_conf_sheet!$A:$H,3,FALSE),VLOOKUP("other",bug_conf_sheet!$A:$H,3,FALSE))</f>
        <v>1</v>
      </c>
      <c r="O225" s="31">
        <f>IFERROR(VLOOKUP($D225,bug_conf_sheet!$A:$H,4,FALSE),VLOOKUP("other",bug_conf_sheet!$A:$H,4,FALSE))</f>
        <v>0</v>
      </c>
      <c r="P225" s="31">
        <f>IFERROR(VLOOKUP($D225,bug_conf_sheet!$A:$H,5,FALSE),VLOOKUP("other",bug_conf_sheet!$A:$H,5,FALSE))</f>
        <v>0</v>
      </c>
      <c r="Q225" s="31">
        <f>IFERROR(VLOOKUP($D225,bug_conf_sheet!$A:$H,6,FALSE),VLOOKUP("other",bug_conf_sheet!$A:$H,6,FALSE))</f>
        <v>0</v>
      </c>
      <c r="R225" s="31">
        <f>IFERROR(VLOOKUP($D225,bug_conf_sheet!$A:$H,7,FALSE),VLOOKUP("other",bug_conf_sheet!$A:$H,7,FALSE))</f>
        <v>0</v>
      </c>
      <c r="S225" s="31">
        <f>IFERROR(VLOOKUP($D225,bug_conf_sheet!$A:$H,8,FALSE),VLOOKUP("other",bug_conf_sheet!$A:$H,8,FALSE))</f>
        <v>1</v>
      </c>
    </row>
    <row r="226" spans="1:19" ht="21" customHeight="1">
      <c r="A226" s="2">
        <f>input_3!A$2</f>
        <v>3123</v>
      </c>
      <c r="B226" s="7" t="str">
        <f t="shared" si="10"/>
        <v>Premium4</v>
      </c>
      <c r="C226" s="7" t="str">
        <f t="shared" si="11"/>
        <v>Premium</v>
      </c>
      <c r="D226" s="6">
        <v>597</v>
      </c>
      <c r="E226" s="7" t="str">
        <f>VLOOKUP(D226,[1]characters!$A:$C,3,FALSE)</f>
        <v>灼熱の魂 ムスペルヘイム</v>
      </c>
      <c r="F226" s="7" t="str">
        <f>VLOOKUP(D226,[1]characters!$A:$J,10,FALSE)</f>
        <v>PremiumS</v>
      </c>
      <c r="G226" s="7">
        <f>VLOOKUP(D226,[1]characters!$A:$I,9,FALSE)</f>
        <v>4</v>
      </c>
      <c r="H226" s="7" t="str">
        <f>VLOOKUP(D226,[1]characters!$A:$H,8,FALSE)</f>
        <v>red</v>
      </c>
      <c r="I226" s="7" t="str">
        <f>VLOOKUP(D226,[1]characters!$A:$K,11,FALSE)</f>
        <v>balance</v>
      </c>
      <c r="J226" s="7" t="str">
        <f>VLOOKUP(D226,[1]characters!$A:$M,13,FALSE)</f>
        <v>human</v>
      </c>
      <c r="K226" s="7" t="str">
        <f>VLOOKUP(D226,[1]characters!$A:$G,7,FALSE)</f>
        <v>男性</v>
      </c>
      <c r="L226" s="66">
        <f>IFERROR(VLOOKUP(D226,input_3!L:R,7,FALSE),VLOOKUP(tables_3!B226,input_3!A:H,8,FALSE))</f>
        <v>0</v>
      </c>
      <c r="M226" s="67">
        <f t="shared" si="9"/>
        <v>0</v>
      </c>
      <c r="N226" s="31">
        <f>IFERROR(VLOOKUP($D226,bug_conf_sheet!$A:$H,3,FALSE),VLOOKUP("other",bug_conf_sheet!$A:$H,3,FALSE))</f>
        <v>1</v>
      </c>
      <c r="O226" s="31">
        <f>IFERROR(VLOOKUP($D226,bug_conf_sheet!$A:$H,4,FALSE),VLOOKUP("other",bug_conf_sheet!$A:$H,4,FALSE))</f>
        <v>0</v>
      </c>
      <c r="P226" s="31">
        <f>IFERROR(VLOOKUP($D226,bug_conf_sheet!$A:$H,5,FALSE),VLOOKUP("other",bug_conf_sheet!$A:$H,5,FALSE))</f>
        <v>0</v>
      </c>
      <c r="Q226" s="31">
        <f>IFERROR(VLOOKUP($D226,bug_conf_sheet!$A:$H,6,FALSE),VLOOKUP("other",bug_conf_sheet!$A:$H,6,FALSE))</f>
        <v>0</v>
      </c>
      <c r="R226" s="31">
        <f>IFERROR(VLOOKUP($D226,bug_conf_sheet!$A:$H,7,FALSE),VLOOKUP("other",bug_conf_sheet!$A:$H,7,FALSE))</f>
        <v>0</v>
      </c>
      <c r="S226" s="31">
        <f>IFERROR(VLOOKUP($D226,bug_conf_sheet!$A:$H,8,FALSE),VLOOKUP("other",bug_conf_sheet!$A:$H,8,FALSE))</f>
        <v>1</v>
      </c>
    </row>
    <row r="227" spans="1:19" ht="21" customHeight="1">
      <c r="A227" s="2">
        <f>input_3!A$2</f>
        <v>3123</v>
      </c>
      <c r="B227" s="7" t="str">
        <f t="shared" si="10"/>
        <v>Premium5</v>
      </c>
      <c r="C227" s="7" t="str">
        <f t="shared" si="11"/>
        <v>Premium</v>
      </c>
      <c r="D227" s="6">
        <v>598</v>
      </c>
      <c r="E227" s="7" t="str">
        <f>VLOOKUP(D227,[1]characters!$A:$C,3,FALSE)</f>
        <v>焼燃の情熱 ムスペルヘイム</v>
      </c>
      <c r="F227" s="7" t="str">
        <f>VLOOKUP(D227,[1]characters!$A:$J,10,FALSE)</f>
        <v>PremiumS</v>
      </c>
      <c r="G227" s="7">
        <f>VLOOKUP(D227,[1]characters!$A:$I,9,FALSE)</f>
        <v>5</v>
      </c>
      <c r="H227" s="7" t="str">
        <f>VLOOKUP(D227,[1]characters!$A:$H,8,FALSE)</f>
        <v>red</v>
      </c>
      <c r="I227" s="7" t="str">
        <f>VLOOKUP(D227,[1]characters!$A:$K,11,FALSE)</f>
        <v>balance</v>
      </c>
      <c r="J227" s="7" t="str">
        <f>VLOOKUP(D227,[1]characters!$A:$M,13,FALSE)</f>
        <v>human</v>
      </c>
      <c r="K227" s="7" t="str">
        <f>VLOOKUP(D227,[1]characters!$A:$G,7,FALSE)</f>
        <v>男性</v>
      </c>
      <c r="L227" s="66">
        <f>IFERROR(VLOOKUP(D227,input_3!L:R,7,FALSE),VLOOKUP(tables_3!B227,input_3!A:H,8,FALSE))</f>
        <v>637</v>
      </c>
      <c r="M227" s="67">
        <f t="shared" si="9"/>
        <v>1.8148148148148149E-2</v>
      </c>
      <c r="N227" s="31">
        <f>IFERROR(VLOOKUP($D227,bug_conf_sheet!$A:$H,3,FALSE),VLOOKUP("other",bug_conf_sheet!$A:$H,3,FALSE))</f>
        <v>1</v>
      </c>
      <c r="O227" s="31">
        <f>IFERROR(VLOOKUP($D227,bug_conf_sheet!$A:$H,4,FALSE),VLOOKUP("other",bug_conf_sheet!$A:$H,4,FALSE))</f>
        <v>0</v>
      </c>
      <c r="P227" s="31">
        <f>IFERROR(VLOOKUP($D227,bug_conf_sheet!$A:$H,5,FALSE),VLOOKUP("other",bug_conf_sheet!$A:$H,5,FALSE))</f>
        <v>0</v>
      </c>
      <c r="Q227" s="31">
        <f>IFERROR(VLOOKUP($D227,bug_conf_sheet!$A:$H,6,FALSE),VLOOKUP("other",bug_conf_sheet!$A:$H,6,FALSE))</f>
        <v>0</v>
      </c>
      <c r="R227" s="31">
        <f>IFERROR(VLOOKUP($D227,bug_conf_sheet!$A:$H,7,FALSE),VLOOKUP("other",bug_conf_sheet!$A:$H,7,FALSE))</f>
        <v>0</v>
      </c>
      <c r="S227" s="31">
        <f>IFERROR(VLOOKUP($D227,bug_conf_sheet!$A:$H,8,FALSE),VLOOKUP("other",bug_conf_sheet!$A:$H,8,FALSE))</f>
        <v>1</v>
      </c>
    </row>
    <row r="228" spans="1:19" ht="21" customHeight="1">
      <c r="A228" s="2">
        <f>input_3!A$2</f>
        <v>3123</v>
      </c>
      <c r="B228" s="7" t="str">
        <f t="shared" si="10"/>
        <v>Premium3</v>
      </c>
      <c r="C228" s="7" t="str">
        <f t="shared" si="11"/>
        <v>Premium</v>
      </c>
      <c r="D228" s="6">
        <v>599</v>
      </c>
      <c r="E228" s="7" t="str">
        <f>VLOOKUP(D228,[1]characters!$A:$C,3,FALSE)</f>
        <v>ニーズヘッグ</v>
      </c>
      <c r="F228" s="7" t="str">
        <f>VLOOKUP(D228,[1]characters!$A:$J,10,FALSE)</f>
        <v>PremiumS</v>
      </c>
      <c r="G228" s="7">
        <f>VLOOKUP(D228,[1]characters!$A:$I,9,FALSE)</f>
        <v>3</v>
      </c>
      <c r="H228" s="7" t="str">
        <f>VLOOKUP(D228,[1]characters!$A:$H,8,FALSE)</f>
        <v>green</v>
      </c>
      <c r="I228" s="7" t="str">
        <f>VLOOKUP(D228,[1]characters!$A:$K,11,FALSE)</f>
        <v>attack</v>
      </c>
      <c r="J228" s="7" t="str">
        <f>VLOOKUP(D228,[1]characters!$A:$M,13,FALSE)</f>
        <v>dragon</v>
      </c>
      <c r="K228" s="7" t="str">
        <f>VLOOKUP(D228,[1]characters!$A:$G,7,FALSE)</f>
        <v>不明</v>
      </c>
      <c r="L228" s="66">
        <f>IFERROR(VLOOKUP(D228,input_3!L:R,7,FALSE),VLOOKUP(tables_3!B228,input_3!A:H,8,FALSE))</f>
        <v>0</v>
      </c>
      <c r="M228" s="67">
        <f t="shared" si="9"/>
        <v>0</v>
      </c>
      <c r="N228" s="31">
        <f>IFERROR(VLOOKUP($D228,bug_conf_sheet!$A:$H,3,FALSE),VLOOKUP("other",bug_conf_sheet!$A:$H,3,FALSE))</f>
        <v>1</v>
      </c>
      <c r="O228" s="31">
        <f>IFERROR(VLOOKUP($D228,bug_conf_sheet!$A:$H,4,FALSE),VLOOKUP("other",bug_conf_sheet!$A:$H,4,FALSE))</f>
        <v>0</v>
      </c>
      <c r="P228" s="31">
        <f>IFERROR(VLOOKUP($D228,bug_conf_sheet!$A:$H,5,FALSE),VLOOKUP("other",bug_conf_sheet!$A:$H,5,FALSE))</f>
        <v>0</v>
      </c>
      <c r="Q228" s="31">
        <f>IFERROR(VLOOKUP($D228,bug_conf_sheet!$A:$H,6,FALSE),VLOOKUP("other",bug_conf_sheet!$A:$H,6,FALSE))</f>
        <v>0</v>
      </c>
      <c r="R228" s="31">
        <f>IFERROR(VLOOKUP($D228,bug_conf_sheet!$A:$H,7,FALSE),VLOOKUP("other",bug_conf_sheet!$A:$H,7,FALSE))</f>
        <v>0</v>
      </c>
      <c r="S228" s="31">
        <f>IFERROR(VLOOKUP($D228,bug_conf_sheet!$A:$H,8,FALSE),VLOOKUP("other",bug_conf_sheet!$A:$H,8,FALSE))</f>
        <v>1</v>
      </c>
    </row>
    <row r="229" spans="1:19" ht="21" customHeight="1">
      <c r="A229" s="2">
        <f>input_3!A$2</f>
        <v>3123</v>
      </c>
      <c r="B229" s="7" t="str">
        <f t="shared" si="10"/>
        <v>Premium4</v>
      </c>
      <c r="C229" s="7" t="str">
        <f t="shared" si="11"/>
        <v>Premium</v>
      </c>
      <c r="D229" s="6">
        <v>600</v>
      </c>
      <c r="E229" s="7" t="str">
        <f>VLOOKUP(D229,[1]characters!$A:$C,3,FALSE)</f>
        <v>界下に潜む蛇 ニーズヘッグ</v>
      </c>
      <c r="F229" s="7" t="str">
        <f>VLOOKUP(D229,[1]characters!$A:$J,10,FALSE)</f>
        <v>PremiumS</v>
      </c>
      <c r="G229" s="7">
        <f>VLOOKUP(D229,[1]characters!$A:$I,9,FALSE)</f>
        <v>4</v>
      </c>
      <c r="H229" s="7" t="str">
        <f>VLOOKUP(D229,[1]characters!$A:$H,8,FALSE)</f>
        <v>green</v>
      </c>
      <c r="I229" s="7" t="str">
        <f>VLOOKUP(D229,[1]characters!$A:$K,11,FALSE)</f>
        <v>attack</v>
      </c>
      <c r="J229" s="7" t="str">
        <f>VLOOKUP(D229,[1]characters!$A:$M,13,FALSE)</f>
        <v>dragon</v>
      </c>
      <c r="K229" s="7" t="str">
        <f>VLOOKUP(D229,[1]characters!$A:$G,7,FALSE)</f>
        <v>不明</v>
      </c>
      <c r="L229" s="66">
        <f>IFERROR(VLOOKUP(D229,input_3!L:R,7,FALSE),VLOOKUP(tables_3!B229,input_3!A:H,8,FALSE))</f>
        <v>0</v>
      </c>
      <c r="M229" s="67">
        <f t="shared" si="9"/>
        <v>0</v>
      </c>
      <c r="N229" s="31">
        <f>IFERROR(VLOOKUP($D229,bug_conf_sheet!$A:$H,3,FALSE),VLOOKUP("other",bug_conf_sheet!$A:$H,3,FALSE))</f>
        <v>1</v>
      </c>
      <c r="O229" s="31">
        <f>IFERROR(VLOOKUP($D229,bug_conf_sheet!$A:$H,4,FALSE),VLOOKUP("other",bug_conf_sheet!$A:$H,4,FALSE))</f>
        <v>0</v>
      </c>
      <c r="P229" s="31">
        <f>IFERROR(VLOOKUP($D229,bug_conf_sheet!$A:$H,5,FALSE),VLOOKUP("other",bug_conf_sheet!$A:$H,5,FALSE))</f>
        <v>0</v>
      </c>
      <c r="Q229" s="31">
        <f>IFERROR(VLOOKUP($D229,bug_conf_sheet!$A:$H,6,FALSE),VLOOKUP("other",bug_conf_sheet!$A:$H,6,FALSE))</f>
        <v>0</v>
      </c>
      <c r="R229" s="31">
        <f>IFERROR(VLOOKUP($D229,bug_conf_sheet!$A:$H,7,FALSE),VLOOKUP("other",bug_conf_sheet!$A:$H,7,FALSE))</f>
        <v>0</v>
      </c>
      <c r="S229" s="31">
        <f>IFERROR(VLOOKUP($D229,bug_conf_sheet!$A:$H,8,FALSE),VLOOKUP("other",bug_conf_sheet!$A:$H,8,FALSE))</f>
        <v>1</v>
      </c>
    </row>
    <row r="230" spans="1:19" ht="21" customHeight="1">
      <c r="A230" s="2">
        <f>input_3!A$2</f>
        <v>3123</v>
      </c>
      <c r="B230" s="7" t="str">
        <f t="shared" si="10"/>
        <v>Premium5</v>
      </c>
      <c r="C230" s="7" t="str">
        <f t="shared" si="11"/>
        <v>Premium</v>
      </c>
      <c r="D230" s="6">
        <v>601</v>
      </c>
      <c r="E230" s="7" t="str">
        <f>VLOOKUP(D230,[1]characters!$A:$C,3,FALSE)</f>
        <v>界根蝕む悪食 ニーズヘッグ</v>
      </c>
      <c r="F230" s="7" t="str">
        <f>VLOOKUP(D230,[1]characters!$A:$J,10,FALSE)</f>
        <v>PremiumS</v>
      </c>
      <c r="G230" s="7">
        <f>VLOOKUP(D230,[1]characters!$A:$I,9,FALSE)</f>
        <v>5</v>
      </c>
      <c r="H230" s="7" t="str">
        <f>VLOOKUP(D230,[1]characters!$A:$H,8,FALSE)</f>
        <v>green</v>
      </c>
      <c r="I230" s="7" t="str">
        <f>VLOOKUP(D230,[1]characters!$A:$K,11,FALSE)</f>
        <v>attack</v>
      </c>
      <c r="J230" s="7" t="str">
        <f>VLOOKUP(D230,[1]characters!$A:$M,13,FALSE)</f>
        <v>dragon</v>
      </c>
      <c r="K230" s="7" t="str">
        <f>VLOOKUP(D230,[1]characters!$A:$G,7,FALSE)</f>
        <v>不明</v>
      </c>
      <c r="L230" s="66">
        <f>IFERROR(VLOOKUP(D230,input_3!L:R,7,FALSE),VLOOKUP(tables_3!B230,input_3!A:H,8,FALSE))</f>
        <v>637</v>
      </c>
      <c r="M230" s="67">
        <f t="shared" si="9"/>
        <v>1.8148148148148149E-2</v>
      </c>
      <c r="N230" s="31">
        <f>IFERROR(VLOOKUP($D230,bug_conf_sheet!$A:$H,3,FALSE),VLOOKUP("other",bug_conf_sheet!$A:$H,3,FALSE))</f>
        <v>1</v>
      </c>
      <c r="O230" s="31">
        <f>IFERROR(VLOOKUP($D230,bug_conf_sheet!$A:$H,4,FALSE),VLOOKUP("other",bug_conf_sheet!$A:$H,4,FALSE))</f>
        <v>0</v>
      </c>
      <c r="P230" s="31">
        <f>IFERROR(VLOOKUP($D230,bug_conf_sheet!$A:$H,5,FALSE),VLOOKUP("other",bug_conf_sheet!$A:$H,5,FALSE))</f>
        <v>0</v>
      </c>
      <c r="Q230" s="31">
        <f>IFERROR(VLOOKUP($D230,bug_conf_sheet!$A:$H,6,FALSE),VLOOKUP("other",bug_conf_sheet!$A:$H,6,FALSE))</f>
        <v>0</v>
      </c>
      <c r="R230" s="31">
        <f>IFERROR(VLOOKUP($D230,bug_conf_sheet!$A:$H,7,FALSE),VLOOKUP("other",bug_conf_sheet!$A:$H,7,FALSE))</f>
        <v>0</v>
      </c>
      <c r="S230" s="31">
        <f>IFERROR(VLOOKUP($D230,bug_conf_sheet!$A:$H,8,FALSE),VLOOKUP("other",bug_conf_sheet!$A:$H,8,FALSE))</f>
        <v>1</v>
      </c>
    </row>
    <row r="231" spans="1:19" ht="21" customHeight="1">
      <c r="A231" s="2">
        <f>input_3!A$2</f>
        <v>3123</v>
      </c>
      <c r="B231" s="7" t="str">
        <f t="shared" si="10"/>
        <v>PremiumSS4</v>
      </c>
      <c r="C231" s="7" t="str">
        <f t="shared" si="11"/>
        <v>PremiumSS</v>
      </c>
      <c r="D231" s="6">
        <v>602</v>
      </c>
      <c r="E231" s="7" t="str">
        <f>VLOOKUP(D231,[1]characters!$A:$C,3,FALSE)</f>
        <v>フレイヤ</v>
      </c>
      <c r="F231" s="7" t="str">
        <f>VLOOKUP(D231,[1]characters!$A:$J,10,FALSE)</f>
        <v>PremiumSS</v>
      </c>
      <c r="G231" s="7">
        <f>VLOOKUP(D231,[1]characters!$A:$I,9,FALSE)</f>
        <v>4</v>
      </c>
      <c r="H231" s="7" t="str">
        <f>VLOOKUP(D231,[1]characters!$A:$H,8,FALSE)</f>
        <v>blue</v>
      </c>
      <c r="I231" s="7" t="str">
        <f>VLOOKUP(D231,[1]characters!$A:$K,11,FALSE)</f>
        <v>heal</v>
      </c>
      <c r="J231" s="7" t="str">
        <f>VLOOKUP(D231,[1]characters!$A:$M,13,FALSE)</f>
        <v>animal</v>
      </c>
      <c r="K231" s="7" t="str">
        <f>VLOOKUP(D231,[1]characters!$A:$G,7,FALSE)</f>
        <v>女性</v>
      </c>
      <c r="L231" s="66">
        <f>IFERROR(VLOOKUP(D231,input_3!L:R,7,FALSE),VLOOKUP(tables_3!B231,input_3!A:H,8,FALSE))</f>
        <v>0</v>
      </c>
      <c r="M231" s="67">
        <f t="shared" si="9"/>
        <v>0</v>
      </c>
      <c r="N231" s="31">
        <f>IFERROR(VLOOKUP($D231,bug_conf_sheet!$A:$H,3,FALSE),VLOOKUP("other",bug_conf_sheet!$A:$H,3,FALSE))</f>
        <v>1</v>
      </c>
      <c r="O231" s="31">
        <f>IFERROR(VLOOKUP($D231,bug_conf_sheet!$A:$H,4,FALSE),VLOOKUP("other",bug_conf_sheet!$A:$H,4,FALSE))</f>
        <v>0</v>
      </c>
      <c r="P231" s="31">
        <f>IFERROR(VLOOKUP($D231,bug_conf_sheet!$A:$H,5,FALSE),VLOOKUP("other",bug_conf_sheet!$A:$H,5,FALSE))</f>
        <v>0</v>
      </c>
      <c r="Q231" s="31">
        <f>IFERROR(VLOOKUP($D231,bug_conf_sheet!$A:$H,6,FALSE),VLOOKUP("other",bug_conf_sheet!$A:$H,6,FALSE))</f>
        <v>0</v>
      </c>
      <c r="R231" s="31">
        <f>IFERROR(VLOOKUP($D231,bug_conf_sheet!$A:$H,7,FALSE),VLOOKUP("other",bug_conf_sheet!$A:$H,7,FALSE))</f>
        <v>0</v>
      </c>
      <c r="S231" s="31">
        <f>IFERROR(VLOOKUP($D231,bug_conf_sheet!$A:$H,8,FALSE),VLOOKUP("other",bug_conf_sheet!$A:$H,8,FALSE))</f>
        <v>1</v>
      </c>
    </row>
    <row r="232" spans="1:19" ht="21" customHeight="1">
      <c r="A232" s="2">
        <f>input_3!A$2</f>
        <v>3123</v>
      </c>
      <c r="B232" s="7" t="str">
        <f t="shared" si="10"/>
        <v>PremiumSS5</v>
      </c>
      <c r="C232" s="7" t="str">
        <f t="shared" si="11"/>
        <v>PremiumSS</v>
      </c>
      <c r="D232" s="6">
        <v>603</v>
      </c>
      <c r="E232" s="7" t="str">
        <f>VLOOKUP(D232,[1]characters!$A:$C,3,FALSE)</f>
        <v>掌愛の豊穣女神 フレイヤ</v>
      </c>
      <c r="F232" s="7" t="str">
        <f>VLOOKUP(D232,[1]characters!$A:$J,10,FALSE)</f>
        <v>PremiumSS</v>
      </c>
      <c r="G232" s="7">
        <f>VLOOKUP(D232,[1]characters!$A:$I,9,FALSE)</f>
        <v>5</v>
      </c>
      <c r="H232" s="7" t="str">
        <f>VLOOKUP(D232,[1]characters!$A:$H,8,FALSE)</f>
        <v>blue</v>
      </c>
      <c r="I232" s="7" t="str">
        <f>VLOOKUP(D232,[1]characters!$A:$K,11,FALSE)</f>
        <v>heal</v>
      </c>
      <c r="J232" s="7" t="str">
        <f>VLOOKUP(D232,[1]characters!$A:$M,13,FALSE)</f>
        <v>animal</v>
      </c>
      <c r="K232" s="7" t="str">
        <f>VLOOKUP(D232,[1]characters!$A:$G,7,FALSE)</f>
        <v>女性</v>
      </c>
      <c r="L232" s="66">
        <f>IFERROR(VLOOKUP(D232,input_3!L:R,7,FALSE),VLOOKUP(tables_3!B232,input_3!A:H,8,FALSE))</f>
        <v>27</v>
      </c>
      <c r="M232" s="67">
        <f t="shared" si="9"/>
        <v>7.6923076923076923E-4</v>
      </c>
      <c r="N232" s="31">
        <f>IFERROR(VLOOKUP($D232,bug_conf_sheet!$A:$H,3,FALSE),VLOOKUP("other",bug_conf_sheet!$A:$H,3,FALSE))</f>
        <v>1</v>
      </c>
      <c r="O232" s="31">
        <f>IFERROR(VLOOKUP($D232,bug_conf_sheet!$A:$H,4,FALSE),VLOOKUP("other",bug_conf_sheet!$A:$H,4,FALSE))</f>
        <v>0</v>
      </c>
      <c r="P232" s="31">
        <f>IFERROR(VLOOKUP($D232,bug_conf_sheet!$A:$H,5,FALSE),VLOOKUP("other",bug_conf_sheet!$A:$H,5,FALSE))</f>
        <v>0</v>
      </c>
      <c r="Q232" s="31">
        <f>IFERROR(VLOOKUP($D232,bug_conf_sheet!$A:$H,6,FALSE),VLOOKUP("other",bug_conf_sheet!$A:$H,6,FALSE))</f>
        <v>0</v>
      </c>
      <c r="R232" s="31">
        <f>IFERROR(VLOOKUP($D232,bug_conf_sheet!$A:$H,7,FALSE),VLOOKUP("other",bug_conf_sheet!$A:$H,7,FALSE))</f>
        <v>0</v>
      </c>
      <c r="S232" s="31">
        <f>IFERROR(VLOOKUP($D232,bug_conf_sheet!$A:$H,8,FALSE),VLOOKUP("other",bug_conf_sheet!$A:$H,8,FALSE))</f>
        <v>1</v>
      </c>
    </row>
    <row r="233" spans="1:19" ht="21" customHeight="1">
      <c r="A233" s="2">
        <f>input_3!A$2</f>
        <v>3123</v>
      </c>
      <c r="B233" s="7" t="str">
        <f t="shared" si="10"/>
        <v>Premium3</v>
      </c>
      <c r="C233" s="7" t="str">
        <f t="shared" si="11"/>
        <v>Premium</v>
      </c>
      <c r="D233" s="6">
        <v>604</v>
      </c>
      <c r="E233" s="7" t="str">
        <f>VLOOKUP(D233,[1]characters!$A:$C,3,FALSE)</f>
        <v>バルドル</v>
      </c>
      <c r="F233" s="7" t="str">
        <f>VLOOKUP(D233,[1]characters!$A:$J,10,FALSE)</f>
        <v>PremiumS</v>
      </c>
      <c r="G233" s="7">
        <f>VLOOKUP(D233,[1]characters!$A:$I,9,FALSE)</f>
        <v>3</v>
      </c>
      <c r="H233" s="7" t="str">
        <f>VLOOKUP(D233,[1]characters!$A:$H,8,FALSE)</f>
        <v>yellow</v>
      </c>
      <c r="I233" s="7" t="str">
        <f>VLOOKUP(D233,[1]characters!$A:$K,11,FALSE)</f>
        <v>heal</v>
      </c>
      <c r="J233" s="7" t="str">
        <f>VLOOKUP(D233,[1]characters!$A:$M,13,FALSE)</f>
        <v>god</v>
      </c>
      <c r="K233" s="7" t="str">
        <f>VLOOKUP(D233,[1]characters!$A:$G,7,FALSE)</f>
        <v>男性</v>
      </c>
      <c r="L233" s="66">
        <f>IFERROR(VLOOKUP(D233,input_3!L:R,7,FALSE),VLOOKUP(tables_3!B233,input_3!A:H,8,FALSE))</f>
        <v>0</v>
      </c>
      <c r="M233" s="67">
        <f t="shared" si="9"/>
        <v>0</v>
      </c>
      <c r="N233" s="31">
        <f>IFERROR(VLOOKUP($D233,bug_conf_sheet!$A:$H,3,FALSE),VLOOKUP("other",bug_conf_sheet!$A:$H,3,FALSE))</f>
        <v>1</v>
      </c>
      <c r="O233" s="31">
        <f>IFERROR(VLOOKUP($D233,bug_conf_sheet!$A:$H,4,FALSE),VLOOKUP("other",bug_conf_sheet!$A:$H,4,FALSE))</f>
        <v>0</v>
      </c>
      <c r="P233" s="31">
        <f>IFERROR(VLOOKUP($D233,bug_conf_sheet!$A:$H,5,FALSE),VLOOKUP("other",bug_conf_sheet!$A:$H,5,FALSE))</f>
        <v>0</v>
      </c>
      <c r="Q233" s="31">
        <f>IFERROR(VLOOKUP($D233,bug_conf_sheet!$A:$H,6,FALSE),VLOOKUP("other",bug_conf_sheet!$A:$H,6,FALSE))</f>
        <v>0</v>
      </c>
      <c r="R233" s="31">
        <f>IFERROR(VLOOKUP($D233,bug_conf_sheet!$A:$H,7,FALSE),VLOOKUP("other",bug_conf_sheet!$A:$H,7,FALSE))</f>
        <v>0</v>
      </c>
      <c r="S233" s="31">
        <f>IFERROR(VLOOKUP($D233,bug_conf_sheet!$A:$H,8,FALSE),VLOOKUP("other",bug_conf_sheet!$A:$H,8,FALSE))</f>
        <v>1</v>
      </c>
    </row>
    <row r="234" spans="1:19" ht="21" customHeight="1">
      <c r="A234" s="2">
        <f>input_3!A$2</f>
        <v>3123</v>
      </c>
      <c r="B234" s="7" t="str">
        <f t="shared" si="10"/>
        <v>Premium4</v>
      </c>
      <c r="C234" s="7" t="str">
        <f t="shared" si="11"/>
        <v>Premium</v>
      </c>
      <c r="D234" s="6">
        <v>605</v>
      </c>
      <c r="E234" s="7" t="str">
        <f>VLOOKUP(D234,[1]characters!$A:$C,3,FALSE)</f>
        <v>祝福される光耀 バルドル</v>
      </c>
      <c r="F234" s="7" t="str">
        <f>VLOOKUP(D234,[1]characters!$A:$J,10,FALSE)</f>
        <v>PremiumS</v>
      </c>
      <c r="G234" s="7">
        <f>VLOOKUP(D234,[1]characters!$A:$I,9,FALSE)</f>
        <v>4</v>
      </c>
      <c r="H234" s="7" t="str">
        <f>VLOOKUP(D234,[1]characters!$A:$H,8,FALSE)</f>
        <v>yellow</v>
      </c>
      <c r="I234" s="7" t="str">
        <f>VLOOKUP(D234,[1]characters!$A:$K,11,FALSE)</f>
        <v>heal</v>
      </c>
      <c r="J234" s="7" t="str">
        <f>VLOOKUP(D234,[1]characters!$A:$M,13,FALSE)</f>
        <v>god</v>
      </c>
      <c r="K234" s="7" t="str">
        <f>VLOOKUP(D234,[1]characters!$A:$G,7,FALSE)</f>
        <v>男性</v>
      </c>
      <c r="L234" s="66">
        <f>IFERROR(VLOOKUP(D234,input_3!L:R,7,FALSE),VLOOKUP(tables_3!B234,input_3!A:H,8,FALSE))</f>
        <v>0</v>
      </c>
      <c r="M234" s="67">
        <f t="shared" si="9"/>
        <v>0</v>
      </c>
      <c r="N234" s="31">
        <f>IFERROR(VLOOKUP($D234,bug_conf_sheet!$A:$H,3,FALSE),VLOOKUP("other",bug_conf_sheet!$A:$H,3,FALSE))</f>
        <v>1</v>
      </c>
      <c r="O234" s="31">
        <f>IFERROR(VLOOKUP($D234,bug_conf_sheet!$A:$H,4,FALSE),VLOOKUP("other",bug_conf_sheet!$A:$H,4,FALSE))</f>
        <v>0</v>
      </c>
      <c r="P234" s="31">
        <f>IFERROR(VLOOKUP($D234,bug_conf_sheet!$A:$H,5,FALSE),VLOOKUP("other",bug_conf_sheet!$A:$H,5,FALSE))</f>
        <v>0</v>
      </c>
      <c r="Q234" s="31">
        <f>IFERROR(VLOOKUP($D234,bug_conf_sheet!$A:$H,6,FALSE),VLOOKUP("other",bug_conf_sheet!$A:$H,6,FALSE))</f>
        <v>0</v>
      </c>
      <c r="R234" s="31">
        <f>IFERROR(VLOOKUP($D234,bug_conf_sheet!$A:$H,7,FALSE),VLOOKUP("other",bug_conf_sheet!$A:$H,7,FALSE))</f>
        <v>0</v>
      </c>
      <c r="S234" s="31">
        <f>IFERROR(VLOOKUP($D234,bug_conf_sheet!$A:$H,8,FALSE),VLOOKUP("other",bug_conf_sheet!$A:$H,8,FALSE))</f>
        <v>1</v>
      </c>
    </row>
    <row r="235" spans="1:19" ht="21" customHeight="1">
      <c r="A235" s="2">
        <f>input_3!A$2</f>
        <v>3123</v>
      </c>
      <c r="B235" s="7" t="str">
        <f t="shared" si="10"/>
        <v>Premium5</v>
      </c>
      <c r="C235" s="7" t="str">
        <f t="shared" si="11"/>
        <v>Premium</v>
      </c>
      <c r="D235" s="6">
        <v>606</v>
      </c>
      <c r="E235" s="7" t="str">
        <f>VLOOKUP(D235,[1]characters!$A:$C,3,FALSE)</f>
        <v>冀望の光芒 バルドル</v>
      </c>
      <c r="F235" s="7" t="str">
        <f>VLOOKUP(D235,[1]characters!$A:$J,10,FALSE)</f>
        <v>PremiumS</v>
      </c>
      <c r="G235" s="7">
        <f>VLOOKUP(D235,[1]characters!$A:$I,9,FALSE)</f>
        <v>5</v>
      </c>
      <c r="H235" s="7" t="str">
        <f>VLOOKUP(D235,[1]characters!$A:$H,8,FALSE)</f>
        <v>yellow</v>
      </c>
      <c r="I235" s="7" t="str">
        <f>VLOOKUP(D235,[1]characters!$A:$K,11,FALSE)</f>
        <v>heal</v>
      </c>
      <c r="J235" s="7" t="str">
        <f>VLOOKUP(D235,[1]characters!$A:$M,13,FALSE)</f>
        <v>god</v>
      </c>
      <c r="K235" s="7" t="str">
        <f>VLOOKUP(D235,[1]characters!$A:$G,7,FALSE)</f>
        <v>男性</v>
      </c>
      <c r="L235" s="66">
        <f>IFERROR(VLOOKUP(D235,input_3!L:R,7,FALSE),VLOOKUP(tables_3!B235,input_3!A:H,8,FALSE))</f>
        <v>637</v>
      </c>
      <c r="M235" s="67">
        <f t="shared" si="9"/>
        <v>1.8148148148148149E-2</v>
      </c>
      <c r="N235" s="31">
        <f>IFERROR(VLOOKUP($D235,bug_conf_sheet!$A:$H,3,FALSE),VLOOKUP("other",bug_conf_sheet!$A:$H,3,FALSE))</f>
        <v>1</v>
      </c>
      <c r="O235" s="31">
        <f>IFERROR(VLOOKUP($D235,bug_conf_sheet!$A:$H,4,FALSE),VLOOKUP("other",bug_conf_sheet!$A:$H,4,FALSE))</f>
        <v>0</v>
      </c>
      <c r="P235" s="31">
        <f>IFERROR(VLOOKUP($D235,bug_conf_sheet!$A:$H,5,FALSE),VLOOKUP("other",bug_conf_sheet!$A:$H,5,FALSE))</f>
        <v>0</v>
      </c>
      <c r="Q235" s="31">
        <f>IFERROR(VLOOKUP($D235,bug_conf_sheet!$A:$H,6,FALSE),VLOOKUP("other",bug_conf_sheet!$A:$H,6,FALSE))</f>
        <v>0</v>
      </c>
      <c r="R235" s="31">
        <f>IFERROR(VLOOKUP($D235,bug_conf_sheet!$A:$H,7,FALSE),VLOOKUP("other",bug_conf_sheet!$A:$H,7,FALSE))</f>
        <v>0</v>
      </c>
      <c r="S235" s="31">
        <f>IFERROR(VLOOKUP($D235,bug_conf_sheet!$A:$H,8,FALSE),VLOOKUP("other",bug_conf_sheet!$A:$H,8,FALSE))</f>
        <v>1</v>
      </c>
    </row>
    <row r="236" spans="1:19" ht="21" customHeight="1">
      <c r="A236" s="2">
        <f>input_3!A$2</f>
        <v>3123</v>
      </c>
      <c r="B236" s="7" t="str">
        <f t="shared" si="10"/>
        <v>PremiumSS4</v>
      </c>
      <c r="C236" s="7" t="str">
        <f t="shared" si="11"/>
        <v>PremiumSS</v>
      </c>
      <c r="D236" s="6">
        <v>658</v>
      </c>
      <c r="E236" s="7" t="str">
        <f>VLOOKUP(D236,[1]characters!$A:$C,3,FALSE)</f>
        <v>猫又 クルミ</v>
      </c>
      <c r="F236" s="7" t="str">
        <f>VLOOKUP(D236,[1]characters!$A:$J,10,FALSE)</f>
        <v>PremiumSS</v>
      </c>
      <c r="G236" s="7">
        <f>VLOOKUP(D236,[1]characters!$A:$I,9,FALSE)</f>
        <v>4</v>
      </c>
      <c r="H236" s="7" t="str">
        <f>VLOOKUP(D236,[1]characters!$A:$H,8,FALSE)</f>
        <v>red</v>
      </c>
      <c r="I236" s="7" t="str">
        <f>VLOOKUP(D236,[1]characters!$A:$K,11,FALSE)</f>
        <v>attack</v>
      </c>
      <c r="J236" s="7" t="str">
        <f>VLOOKUP(D236,[1]characters!$A:$M,13,FALSE)</f>
        <v>animal</v>
      </c>
      <c r="K236" s="7" t="str">
        <f>VLOOKUP(D236,[1]characters!$A:$G,7,FALSE)</f>
        <v>女性</v>
      </c>
      <c r="L236" s="66">
        <f>IFERROR(VLOOKUP(D236,input_3!L:R,7,FALSE),VLOOKUP(tables_3!B236,input_3!A:H,8,FALSE))</f>
        <v>0</v>
      </c>
      <c r="M236" s="67">
        <f t="shared" si="9"/>
        <v>0</v>
      </c>
      <c r="N236" s="31">
        <f>IFERROR(VLOOKUP($D236,bug_conf_sheet!$A:$H,3,FALSE),VLOOKUP("other",bug_conf_sheet!$A:$H,3,FALSE))</f>
        <v>1</v>
      </c>
      <c r="O236" s="31">
        <f>IFERROR(VLOOKUP($D236,bug_conf_sheet!$A:$H,4,FALSE),VLOOKUP("other",bug_conf_sheet!$A:$H,4,FALSE))</f>
        <v>0</v>
      </c>
      <c r="P236" s="31">
        <f>IFERROR(VLOOKUP($D236,bug_conf_sheet!$A:$H,5,FALSE),VLOOKUP("other",bug_conf_sheet!$A:$H,5,FALSE))</f>
        <v>0</v>
      </c>
      <c r="Q236" s="31">
        <f>IFERROR(VLOOKUP($D236,bug_conf_sheet!$A:$H,6,FALSE),VLOOKUP("other",bug_conf_sheet!$A:$H,6,FALSE))</f>
        <v>0</v>
      </c>
      <c r="R236" s="31">
        <f>IFERROR(VLOOKUP($D236,bug_conf_sheet!$A:$H,7,FALSE),VLOOKUP("other",bug_conf_sheet!$A:$H,7,FALSE))</f>
        <v>0</v>
      </c>
      <c r="S236" s="31">
        <f>IFERROR(VLOOKUP($D236,bug_conf_sheet!$A:$H,8,FALSE),VLOOKUP("other",bug_conf_sheet!$A:$H,8,FALSE))</f>
        <v>1</v>
      </c>
    </row>
    <row r="237" spans="1:19" ht="21" customHeight="1">
      <c r="A237" s="2">
        <f>input_3!A$2</f>
        <v>3123</v>
      </c>
      <c r="B237" s="7" t="str">
        <f t="shared" si="10"/>
        <v>PremiumSS5</v>
      </c>
      <c r="C237" s="7" t="str">
        <f t="shared" si="11"/>
        <v>PremiumSS</v>
      </c>
      <c r="D237" s="6">
        <v>659</v>
      </c>
      <c r="E237" s="7" t="str">
        <f>VLOOKUP(D237,[1]characters!$A:$C,3,FALSE)</f>
        <v>跳梁する化猫 クルミ</v>
      </c>
      <c r="F237" s="7" t="str">
        <f>VLOOKUP(D237,[1]characters!$A:$J,10,FALSE)</f>
        <v>PremiumSS</v>
      </c>
      <c r="G237" s="7">
        <f>VLOOKUP(D237,[1]characters!$A:$I,9,FALSE)</f>
        <v>5</v>
      </c>
      <c r="H237" s="7" t="str">
        <f>VLOOKUP(D237,[1]characters!$A:$H,8,FALSE)</f>
        <v>red</v>
      </c>
      <c r="I237" s="7" t="str">
        <f>VLOOKUP(D237,[1]characters!$A:$K,11,FALSE)</f>
        <v>attack</v>
      </c>
      <c r="J237" s="7" t="str">
        <f>VLOOKUP(D237,[1]characters!$A:$M,13,FALSE)</f>
        <v>animal</v>
      </c>
      <c r="K237" s="7" t="str">
        <f>VLOOKUP(D237,[1]characters!$A:$G,7,FALSE)</f>
        <v>女性</v>
      </c>
      <c r="L237" s="66">
        <f>IFERROR(VLOOKUP(D237,input_3!L:R,7,FALSE),VLOOKUP(tables_3!B237,input_3!A:H,8,FALSE))</f>
        <v>27</v>
      </c>
      <c r="M237" s="67">
        <f t="shared" si="9"/>
        <v>7.6923076923076923E-4</v>
      </c>
      <c r="N237" s="31">
        <f>IFERROR(VLOOKUP($D237,bug_conf_sheet!$A:$H,3,FALSE),VLOOKUP("other",bug_conf_sheet!$A:$H,3,FALSE))</f>
        <v>1</v>
      </c>
      <c r="O237" s="31">
        <f>IFERROR(VLOOKUP($D237,bug_conf_sheet!$A:$H,4,FALSE),VLOOKUP("other",bug_conf_sheet!$A:$H,4,FALSE))</f>
        <v>0</v>
      </c>
      <c r="P237" s="31">
        <f>IFERROR(VLOOKUP($D237,bug_conf_sheet!$A:$H,5,FALSE),VLOOKUP("other",bug_conf_sheet!$A:$H,5,FALSE))</f>
        <v>0</v>
      </c>
      <c r="Q237" s="31">
        <f>IFERROR(VLOOKUP($D237,bug_conf_sheet!$A:$H,6,FALSE),VLOOKUP("other",bug_conf_sheet!$A:$H,6,FALSE))</f>
        <v>0</v>
      </c>
      <c r="R237" s="31">
        <f>IFERROR(VLOOKUP($D237,bug_conf_sheet!$A:$H,7,FALSE),VLOOKUP("other",bug_conf_sheet!$A:$H,7,FALSE))</f>
        <v>0</v>
      </c>
      <c r="S237" s="31">
        <f>IFERROR(VLOOKUP($D237,bug_conf_sheet!$A:$H,8,FALSE),VLOOKUP("other",bug_conf_sheet!$A:$H,8,FALSE))</f>
        <v>1</v>
      </c>
    </row>
    <row r="238" spans="1:19" ht="21" customHeight="1">
      <c r="A238" s="2">
        <f>input_3!A$2</f>
        <v>3123</v>
      </c>
      <c r="B238" s="7" t="str">
        <f t="shared" si="10"/>
        <v>PremiumSS4</v>
      </c>
      <c r="C238" s="7" t="str">
        <f t="shared" si="11"/>
        <v>PremiumSS</v>
      </c>
      <c r="D238" s="6">
        <v>660</v>
      </c>
      <c r="E238" s="7" t="str">
        <f>VLOOKUP(D238,[1]characters!$A:$C,3,FALSE)</f>
        <v>烏天狗 フウガ</v>
      </c>
      <c r="F238" s="7" t="str">
        <f>VLOOKUP(D238,[1]characters!$A:$J,10,FALSE)</f>
        <v>PremiumSS</v>
      </c>
      <c r="G238" s="7">
        <f>VLOOKUP(D238,[1]characters!$A:$I,9,FALSE)</f>
        <v>4</v>
      </c>
      <c r="H238" s="7" t="str">
        <f>VLOOKUP(D238,[1]characters!$A:$H,8,FALSE)</f>
        <v>green</v>
      </c>
      <c r="I238" s="7" t="str">
        <f>VLOOKUP(D238,[1]characters!$A:$K,11,FALSE)</f>
        <v>balance</v>
      </c>
      <c r="J238" s="7" t="str">
        <f>VLOOKUP(D238,[1]characters!$A:$M,13,FALSE)</f>
        <v>animal</v>
      </c>
      <c r="K238" s="7" t="str">
        <f>VLOOKUP(D238,[1]characters!$A:$G,7,FALSE)</f>
        <v>男性</v>
      </c>
      <c r="L238" s="66">
        <f>IFERROR(VLOOKUP(D238,input_3!L:R,7,FALSE),VLOOKUP(tables_3!B238,input_3!A:H,8,FALSE))</f>
        <v>0</v>
      </c>
      <c r="M238" s="67">
        <f t="shared" si="9"/>
        <v>0</v>
      </c>
      <c r="N238" s="31">
        <f>IFERROR(VLOOKUP($D238,bug_conf_sheet!$A:$H,3,FALSE),VLOOKUP("other",bug_conf_sheet!$A:$H,3,FALSE))</f>
        <v>1</v>
      </c>
      <c r="O238" s="31">
        <f>IFERROR(VLOOKUP($D238,bug_conf_sheet!$A:$H,4,FALSE),VLOOKUP("other",bug_conf_sheet!$A:$H,4,FALSE))</f>
        <v>0</v>
      </c>
      <c r="P238" s="31">
        <f>IFERROR(VLOOKUP($D238,bug_conf_sheet!$A:$H,5,FALSE),VLOOKUP("other",bug_conf_sheet!$A:$H,5,FALSE))</f>
        <v>0</v>
      </c>
      <c r="Q238" s="31">
        <f>IFERROR(VLOOKUP($D238,bug_conf_sheet!$A:$H,6,FALSE),VLOOKUP("other",bug_conf_sheet!$A:$H,6,FALSE))</f>
        <v>0</v>
      </c>
      <c r="R238" s="31">
        <f>IFERROR(VLOOKUP($D238,bug_conf_sheet!$A:$H,7,FALSE),VLOOKUP("other",bug_conf_sheet!$A:$H,7,FALSE))</f>
        <v>0</v>
      </c>
      <c r="S238" s="31">
        <f>IFERROR(VLOOKUP($D238,bug_conf_sheet!$A:$H,8,FALSE),VLOOKUP("other",bug_conf_sheet!$A:$H,8,FALSE))</f>
        <v>1</v>
      </c>
    </row>
    <row r="239" spans="1:19" ht="21" customHeight="1">
      <c r="A239" s="2">
        <f>input_3!A$2</f>
        <v>3123</v>
      </c>
      <c r="B239" s="7" t="str">
        <f t="shared" si="10"/>
        <v>PremiumSS5</v>
      </c>
      <c r="C239" s="7" t="str">
        <f t="shared" si="11"/>
        <v>PremiumSS</v>
      </c>
      <c r="D239" s="6">
        <v>661</v>
      </c>
      <c r="E239" s="7" t="str">
        <f>VLOOKUP(D239,[1]characters!$A:$C,3,FALSE)</f>
        <v>疾風の天狗礫 フウガ</v>
      </c>
      <c r="F239" s="7" t="str">
        <f>VLOOKUP(D239,[1]characters!$A:$J,10,FALSE)</f>
        <v>PremiumSS</v>
      </c>
      <c r="G239" s="7">
        <f>VLOOKUP(D239,[1]characters!$A:$I,9,FALSE)</f>
        <v>5</v>
      </c>
      <c r="H239" s="7" t="str">
        <f>VLOOKUP(D239,[1]characters!$A:$H,8,FALSE)</f>
        <v>green</v>
      </c>
      <c r="I239" s="7" t="str">
        <f>VLOOKUP(D239,[1]characters!$A:$K,11,FALSE)</f>
        <v>balance</v>
      </c>
      <c r="J239" s="7" t="str">
        <f>VLOOKUP(D239,[1]characters!$A:$M,13,FALSE)</f>
        <v>animal</v>
      </c>
      <c r="K239" s="7" t="str">
        <f>VLOOKUP(D239,[1]characters!$A:$G,7,FALSE)</f>
        <v>男性</v>
      </c>
      <c r="L239" s="66">
        <f>IFERROR(VLOOKUP(D239,input_3!L:R,7,FALSE),VLOOKUP(tables_3!B239,input_3!A:H,8,FALSE))</f>
        <v>27</v>
      </c>
      <c r="M239" s="67">
        <f t="shared" si="9"/>
        <v>7.6923076923076923E-4</v>
      </c>
      <c r="N239" s="31">
        <f>IFERROR(VLOOKUP($D239,bug_conf_sheet!$A:$H,3,FALSE),VLOOKUP("other",bug_conf_sheet!$A:$H,3,FALSE))</f>
        <v>1</v>
      </c>
      <c r="O239" s="31">
        <f>IFERROR(VLOOKUP($D239,bug_conf_sheet!$A:$H,4,FALSE),VLOOKUP("other",bug_conf_sheet!$A:$H,4,FALSE))</f>
        <v>0</v>
      </c>
      <c r="P239" s="31">
        <f>IFERROR(VLOOKUP($D239,bug_conf_sheet!$A:$H,5,FALSE),VLOOKUP("other",bug_conf_sheet!$A:$H,5,FALSE))</f>
        <v>0</v>
      </c>
      <c r="Q239" s="31">
        <f>IFERROR(VLOOKUP($D239,bug_conf_sheet!$A:$H,6,FALSE),VLOOKUP("other",bug_conf_sheet!$A:$H,6,FALSE))</f>
        <v>0</v>
      </c>
      <c r="R239" s="31">
        <f>IFERROR(VLOOKUP($D239,bug_conf_sheet!$A:$H,7,FALSE),VLOOKUP("other",bug_conf_sheet!$A:$H,7,FALSE))</f>
        <v>0</v>
      </c>
      <c r="S239" s="31">
        <f>IFERROR(VLOOKUP($D239,bug_conf_sheet!$A:$H,8,FALSE),VLOOKUP("other",bug_conf_sheet!$A:$H,8,FALSE))</f>
        <v>1</v>
      </c>
    </row>
    <row r="240" spans="1:19" ht="21" customHeight="1">
      <c r="A240" s="2">
        <f>input_3!A$2</f>
        <v>3123</v>
      </c>
      <c r="B240" s="7" t="str">
        <f t="shared" si="10"/>
        <v>Premium3</v>
      </c>
      <c r="C240" s="7" t="str">
        <f t="shared" si="11"/>
        <v>Premium</v>
      </c>
      <c r="D240" s="6">
        <v>662</v>
      </c>
      <c r="E240" s="7" t="str">
        <f>VLOOKUP(D240,[1]characters!$A:$C,3,FALSE)</f>
        <v>ダイダラ</v>
      </c>
      <c r="F240" s="7" t="str">
        <f>VLOOKUP(D240,[1]characters!$A:$J,10,FALSE)</f>
        <v>PremiumS</v>
      </c>
      <c r="G240" s="7">
        <f>VLOOKUP(D240,[1]characters!$A:$I,9,FALSE)</f>
        <v>3</v>
      </c>
      <c r="H240" s="7" t="str">
        <f>VLOOKUP(D240,[1]characters!$A:$H,8,FALSE)</f>
        <v>blue</v>
      </c>
      <c r="I240" s="7" t="str">
        <f>VLOOKUP(D240,[1]characters!$A:$K,11,FALSE)</f>
        <v>hp</v>
      </c>
      <c r="J240" s="7" t="str">
        <f>VLOOKUP(D240,[1]characters!$A:$M,13,FALSE)</f>
        <v>unknown</v>
      </c>
      <c r="K240" s="7" t="str">
        <f>VLOOKUP(D240,[1]characters!$A:$G,7,FALSE)</f>
        <v>不明</v>
      </c>
      <c r="L240" s="66">
        <f>IFERROR(VLOOKUP(D240,input_3!L:R,7,FALSE),VLOOKUP(tables_3!B240,input_3!A:H,8,FALSE))</f>
        <v>0</v>
      </c>
      <c r="M240" s="67">
        <f t="shared" si="9"/>
        <v>0</v>
      </c>
      <c r="N240" s="31">
        <f>IFERROR(VLOOKUP($D240,bug_conf_sheet!$A:$H,3,FALSE),VLOOKUP("other",bug_conf_sheet!$A:$H,3,FALSE))</f>
        <v>1</v>
      </c>
      <c r="O240" s="31">
        <f>IFERROR(VLOOKUP($D240,bug_conf_sheet!$A:$H,4,FALSE),VLOOKUP("other",bug_conf_sheet!$A:$H,4,FALSE))</f>
        <v>0</v>
      </c>
      <c r="P240" s="31">
        <f>IFERROR(VLOOKUP($D240,bug_conf_sheet!$A:$H,5,FALSE),VLOOKUP("other",bug_conf_sheet!$A:$H,5,FALSE))</f>
        <v>0</v>
      </c>
      <c r="Q240" s="31">
        <f>IFERROR(VLOOKUP($D240,bug_conf_sheet!$A:$H,6,FALSE),VLOOKUP("other",bug_conf_sheet!$A:$H,6,FALSE))</f>
        <v>0</v>
      </c>
      <c r="R240" s="31">
        <f>IFERROR(VLOOKUP($D240,bug_conf_sheet!$A:$H,7,FALSE),VLOOKUP("other",bug_conf_sheet!$A:$H,7,FALSE))</f>
        <v>0</v>
      </c>
      <c r="S240" s="31">
        <f>IFERROR(VLOOKUP($D240,bug_conf_sheet!$A:$H,8,FALSE),VLOOKUP("other",bug_conf_sheet!$A:$H,8,FALSE))</f>
        <v>1</v>
      </c>
    </row>
    <row r="241" spans="1:19" ht="21" customHeight="1">
      <c r="A241" s="2">
        <f>input_3!A$2</f>
        <v>3123</v>
      </c>
      <c r="B241" s="7" t="str">
        <f t="shared" si="10"/>
        <v>Premium4</v>
      </c>
      <c r="C241" s="7" t="str">
        <f t="shared" si="11"/>
        <v>Premium</v>
      </c>
      <c r="D241" s="6">
        <v>663</v>
      </c>
      <c r="E241" s="7" t="str">
        <f>VLOOKUP(D241,[1]characters!$A:$C,3,FALSE)</f>
        <v>都揺らす地響き ダイダラ</v>
      </c>
      <c r="F241" s="7" t="str">
        <f>VLOOKUP(D241,[1]characters!$A:$J,10,FALSE)</f>
        <v>PremiumS</v>
      </c>
      <c r="G241" s="7">
        <f>VLOOKUP(D241,[1]characters!$A:$I,9,FALSE)</f>
        <v>4</v>
      </c>
      <c r="H241" s="7" t="str">
        <f>VLOOKUP(D241,[1]characters!$A:$H,8,FALSE)</f>
        <v>blue</v>
      </c>
      <c r="I241" s="7" t="str">
        <f>VLOOKUP(D241,[1]characters!$A:$K,11,FALSE)</f>
        <v>hp</v>
      </c>
      <c r="J241" s="7" t="str">
        <f>VLOOKUP(D241,[1]characters!$A:$M,13,FALSE)</f>
        <v>unknown</v>
      </c>
      <c r="K241" s="7" t="str">
        <f>VLOOKUP(D241,[1]characters!$A:$G,7,FALSE)</f>
        <v>不明</v>
      </c>
      <c r="L241" s="66">
        <f>IFERROR(VLOOKUP(D241,input_3!L:R,7,FALSE),VLOOKUP(tables_3!B241,input_3!A:H,8,FALSE))</f>
        <v>0</v>
      </c>
      <c r="M241" s="67">
        <f t="shared" si="9"/>
        <v>0</v>
      </c>
      <c r="N241" s="31">
        <f>IFERROR(VLOOKUP($D241,bug_conf_sheet!$A:$H,3,FALSE),VLOOKUP("other",bug_conf_sheet!$A:$H,3,FALSE))</f>
        <v>1</v>
      </c>
      <c r="O241" s="31">
        <f>IFERROR(VLOOKUP($D241,bug_conf_sheet!$A:$H,4,FALSE),VLOOKUP("other",bug_conf_sheet!$A:$H,4,FALSE))</f>
        <v>0</v>
      </c>
      <c r="P241" s="31">
        <f>IFERROR(VLOOKUP($D241,bug_conf_sheet!$A:$H,5,FALSE),VLOOKUP("other",bug_conf_sheet!$A:$H,5,FALSE))</f>
        <v>0</v>
      </c>
      <c r="Q241" s="31">
        <f>IFERROR(VLOOKUP($D241,bug_conf_sheet!$A:$H,6,FALSE),VLOOKUP("other",bug_conf_sheet!$A:$H,6,FALSE))</f>
        <v>0</v>
      </c>
      <c r="R241" s="31">
        <f>IFERROR(VLOOKUP($D241,bug_conf_sheet!$A:$H,7,FALSE),VLOOKUP("other",bug_conf_sheet!$A:$H,7,FALSE))</f>
        <v>0</v>
      </c>
      <c r="S241" s="31">
        <f>IFERROR(VLOOKUP($D241,bug_conf_sheet!$A:$H,8,FALSE),VLOOKUP("other",bug_conf_sheet!$A:$H,8,FALSE))</f>
        <v>1</v>
      </c>
    </row>
    <row r="242" spans="1:19" ht="21" customHeight="1">
      <c r="A242" s="2">
        <f>input_3!A$2</f>
        <v>3123</v>
      </c>
      <c r="B242" s="7" t="str">
        <f t="shared" si="10"/>
        <v>Premium5</v>
      </c>
      <c r="C242" s="7" t="str">
        <f t="shared" si="11"/>
        <v>Premium</v>
      </c>
      <c r="D242" s="6">
        <v>664</v>
      </c>
      <c r="E242" s="7" t="str">
        <f>VLOOKUP(D242,[1]characters!$A:$C,3,FALSE)</f>
        <v>山掴み国造り ダイダラ</v>
      </c>
      <c r="F242" s="7" t="str">
        <f>VLOOKUP(D242,[1]characters!$A:$J,10,FALSE)</f>
        <v>PremiumS</v>
      </c>
      <c r="G242" s="7">
        <f>VLOOKUP(D242,[1]characters!$A:$I,9,FALSE)</f>
        <v>5</v>
      </c>
      <c r="H242" s="7" t="str">
        <f>VLOOKUP(D242,[1]characters!$A:$H,8,FALSE)</f>
        <v>blue</v>
      </c>
      <c r="I242" s="7" t="str">
        <f>VLOOKUP(D242,[1]characters!$A:$K,11,FALSE)</f>
        <v>hp</v>
      </c>
      <c r="J242" s="7" t="str">
        <f>VLOOKUP(D242,[1]characters!$A:$M,13,FALSE)</f>
        <v>unknown</v>
      </c>
      <c r="K242" s="7" t="str">
        <f>VLOOKUP(D242,[1]characters!$A:$G,7,FALSE)</f>
        <v>不明</v>
      </c>
      <c r="L242" s="66">
        <f>IFERROR(VLOOKUP(D242,input_3!L:R,7,FALSE),VLOOKUP(tables_3!B242,input_3!A:H,8,FALSE))</f>
        <v>637</v>
      </c>
      <c r="M242" s="67">
        <f t="shared" si="9"/>
        <v>1.8148148148148149E-2</v>
      </c>
      <c r="N242" s="31">
        <f>IFERROR(VLOOKUP($D242,bug_conf_sheet!$A:$H,3,FALSE),VLOOKUP("other",bug_conf_sheet!$A:$H,3,FALSE))</f>
        <v>1</v>
      </c>
      <c r="O242" s="31">
        <f>IFERROR(VLOOKUP($D242,bug_conf_sheet!$A:$H,4,FALSE),VLOOKUP("other",bug_conf_sheet!$A:$H,4,FALSE))</f>
        <v>0</v>
      </c>
      <c r="P242" s="31">
        <f>IFERROR(VLOOKUP($D242,bug_conf_sheet!$A:$H,5,FALSE),VLOOKUP("other",bug_conf_sheet!$A:$H,5,FALSE))</f>
        <v>0</v>
      </c>
      <c r="Q242" s="31">
        <f>IFERROR(VLOOKUP($D242,bug_conf_sheet!$A:$H,6,FALSE),VLOOKUP("other",bug_conf_sheet!$A:$H,6,FALSE))</f>
        <v>0</v>
      </c>
      <c r="R242" s="31">
        <f>IFERROR(VLOOKUP($D242,bug_conf_sheet!$A:$H,7,FALSE),VLOOKUP("other",bug_conf_sheet!$A:$H,7,FALSE))</f>
        <v>0</v>
      </c>
      <c r="S242" s="31">
        <f>IFERROR(VLOOKUP($D242,bug_conf_sheet!$A:$H,8,FALSE),VLOOKUP("other",bug_conf_sheet!$A:$H,8,FALSE))</f>
        <v>1</v>
      </c>
    </row>
    <row r="243" spans="1:19" ht="21" customHeight="1">
      <c r="A243" s="2">
        <f>input_3!A$2</f>
        <v>3123</v>
      </c>
      <c r="B243" s="7" t="str">
        <f t="shared" si="10"/>
        <v>Premium3</v>
      </c>
      <c r="C243" s="7" t="str">
        <f t="shared" si="11"/>
        <v>Premium</v>
      </c>
      <c r="D243" s="6">
        <v>665</v>
      </c>
      <c r="E243" s="7" t="str">
        <f>VLOOKUP(D243,[1]characters!$A:$C,3,FALSE)</f>
        <v>座敷童子 テマリ</v>
      </c>
      <c r="F243" s="7" t="str">
        <f>VLOOKUP(D243,[1]characters!$A:$J,10,FALSE)</f>
        <v>PremiumS</v>
      </c>
      <c r="G243" s="7">
        <f>VLOOKUP(D243,[1]characters!$A:$I,9,FALSE)</f>
        <v>3</v>
      </c>
      <c r="H243" s="7" t="str">
        <f>VLOOKUP(D243,[1]characters!$A:$H,8,FALSE)</f>
        <v>yellow</v>
      </c>
      <c r="I243" s="7" t="str">
        <f>VLOOKUP(D243,[1]characters!$A:$K,11,FALSE)</f>
        <v>balance</v>
      </c>
      <c r="J243" s="7" t="str">
        <f>VLOOKUP(D243,[1]characters!$A:$M,13,FALSE)</f>
        <v>unknown</v>
      </c>
      <c r="K243" s="7" t="str">
        <f>VLOOKUP(D243,[1]characters!$A:$G,7,FALSE)</f>
        <v>女性</v>
      </c>
      <c r="L243" s="66">
        <f>IFERROR(VLOOKUP(D243,input_3!L:R,7,FALSE),VLOOKUP(tables_3!B243,input_3!A:H,8,FALSE))</f>
        <v>0</v>
      </c>
      <c r="M243" s="67">
        <f t="shared" si="9"/>
        <v>0</v>
      </c>
      <c r="N243" s="31">
        <f>IFERROR(VLOOKUP($D243,bug_conf_sheet!$A:$H,3,FALSE),VLOOKUP("other",bug_conf_sheet!$A:$H,3,FALSE))</f>
        <v>1</v>
      </c>
      <c r="O243" s="31">
        <f>IFERROR(VLOOKUP($D243,bug_conf_sheet!$A:$H,4,FALSE),VLOOKUP("other",bug_conf_sheet!$A:$H,4,FALSE))</f>
        <v>0</v>
      </c>
      <c r="P243" s="31">
        <f>IFERROR(VLOOKUP($D243,bug_conf_sheet!$A:$H,5,FALSE),VLOOKUP("other",bug_conf_sheet!$A:$H,5,FALSE))</f>
        <v>0</v>
      </c>
      <c r="Q243" s="31">
        <f>IFERROR(VLOOKUP($D243,bug_conf_sheet!$A:$H,6,FALSE),VLOOKUP("other",bug_conf_sheet!$A:$H,6,FALSE))</f>
        <v>0</v>
      </c>
      <c r="R243" s="31">
        <f>IFERROR(VLOOKUP($D243,bug_conf_sheet!$A:$H,7,FALSE),VLOOKUP("other",bug_conf_sheet!$A:$H,7,FALSE))</f>
        <v>0</v>
      </c>
      <c r="S243" s="31">
        <f>IFERROR(VLOOKUP($D243,bug_conf_sheet!$A:$H,8,FALSE),VLOOKUP("other",bug_conf_sheet!$A:$H,8,FALSE))</f>
        <v>1</v>
      </c>
    </row>
    <row r="244" spans="1:19" ht="21" customHeight="1">
      <c r="A244" s="2">
        <f>input_3!A$2</f>
        <v>3123</v>
      </c>
      <c r="B244" s="7" t="str">
        <f t="shared" si="10"/>
        <v>Premium4</v>
      </c>
      <c r="C244" s="7" t="str">
        <f t="shared" si="11"/>
        <v>Premium</v>
      </c>
      <c r="D244" s="6">
        <v>666</v>
      </c>
      <c r="E244" s="7" t="str">
        <f>VLOOKUP(D244,[1]characters!$A:$C,3,FALSE)</f>
        <v>拡散する幸福 テマリ</v>
      </c>
      <c r="F244" s="7" t="str">
        <f>VLOOKUP(D244,[1]characters!$A:$J,10,FALSE)</f>
        <v>PremiumS</v>
      </c>
      <c r="G244" s="7">
        <f>VLOOKUP(D244,[1]characters!$A:$I,9,FALSE)</f>
        <v>4</v>
      </c>
      <c r="H244" s="7" t="str">
        <f>VLOOKUP(D244,[1]characters!$A:$H,8,FALSE)</f>
        <v>yellow</v>
      </c>
      <c r="I244" s="7" t="str">
        <f>VLOOKUP(D244,[1]characters!$A:$K,11,FALSE)</f>
        <v>balance</v>
      </c>
      <c r="J244" s="7" t="str">
        <f>VLOOKUP(D244,[1]characters!$A:$M,13,FALSE)</f>
        <v>unknown</v>
      </c>
      <c r="K244" s="7" t="str">
        <f>VLOOKUP(D244,[1]characters!$A:$G,7,FALSE)</f>
        <v>女性</v>
      </c>
      <c r="L244" s="66">
        <f>IFERROR(VLOOKUP(D244,input_3!L:R,7,FALSE),VLOOKUP(tables_3!B244,input_3!A:H,8,FALSE))</f>
        <v>0</v>
      </c>
      <c r="M244" s="67">
        <f t="shared" si="9"/>
        <v>0</v>
      </c>
      <c r="N244" s="31">
        <f>IFERROR(VLOOKUP($D244,bug_conf_sheet!$A:$H,3,FALSE),VLOOKUP("other",bug_conf_sheet!$A:$H,3,FALSE))</f>
        <v>1</v>
      </c>
      <c r="O244" s="31">
        <f>IFERROR(VLOOKUP($D244,bug_conf_sheet!$A:$H,4,FALSE),VLOOKUP("other",bug_conf_sheet!$A:$H,4,FALSE))</f>
        <v>0</v>
      </c>
      <c r="P244" s="31">
        <f>IFERROR(VLOOKUP($D244,bug_conf_sheet!$A:$H,5,FALSE),VLOOKUP("other",bug_conf_sheet!$A:$H,5,FALSE))</f>
        <v>0</v>
      </c>
      <c r="Q244" s="31">
        <f>IFERROR(VLOOKUP($D244,bug_conf_sheet!$A:$H,6,FALSE),VLOOKUP("other",bug_conf_sheet!$A:$H,6,FALSE))</f>
        <v>0</v>
      </c>
      <c r="R244" s="31">
        <f>IFERROR(VLOOKUP($D244,bug_conf_sheet!$A:$H,7,FALSE),VLOOKUP("other",bug_conf_sheet!$A:$H,7,FALSE))</f>
        <v>0</v>
      </c>
      <c r="S244" s="31">
        <f>IFERROR(VLOOKUP($D244,bug_conf_sheet!$A:$H,8,FALSE),VLOOKUP("other",bug_conf_sheet!$A:$H,8,FALSE))</f>
        <v>1</v>
      </c>
    </row>
    <row r="245" spans="1:19" ht="21" customHeight="1">
      <c r="A245" s="2">
        <f>input_3!A$2</f>
        <v>3123</v>
      </c>
      <c r="B245" s="7" t="str">
        <f t="shared" si="10"/>
        <v>Premium5</v>
      </c>
      <c r="C245" s="7" t="str">
        <f t="shared" si="11"/>
        <v>Premium</v>
      </c>
      <c r="D245" s="6">
        <v>667</v>
      </c>
      <c r="E245" s="7" t="str">
        <f>VLOOKUP(D245,[1]characters!$A:$C,3,FALSE)</f>
        <v>最幸運の妖童 テマリ</v>
      </c>
      <c r="F245" s="7" t="str">
        <f>VLOOKUP(D245,[1]characters!$A:$J,10,FALSE)</f>
        <v>PremiumS</v>
      </c>
      <c r="G245" s="7">
        <f>VLOOKUP(D245,[1]characters!$A:$I,9,FALSE)</f>
        <v>5</v>
      </c>
      <c r="H245" s="7" t="str">
        <f>VLOOKUP(D245,[1]characters!$A:$H,8,FALSE)</f>
        <v>yellow</v>
      </c>
      <c r="I245" s="7" t="str">
        <f>VLOOKUP(D245,[1]characters!$A:$K,11,FALSE)</f>
        <v>balance</v>
      </c>
      <c r="J245" s="7" t="str">
        <f>VLOOKUP(D245,[1]characters!$A:$M,13,FALSE)</f>
        <v>unknown</v>
      </c>
      <c r="K245" s="7" t="str">
        <f>VLOOKUP(D245,[1]characters!$A:$G,7,FALSE)</f>
        <v>女性</v>
      </c>
      <c r="L245" s="66">
        <f>IFERROR(VLOOKUP(D245,input_3!L:R,7,FALSE),VLOOKUP(tables_3!B245,input_3!A:H,8,FALSE))</f>
        <v>637</v>
      </c>
      <c r="M245" s="67">
        <f t="shared" si="9"/>
        <v>1.8148148148148149E-2</v>
      </c>
      <c r="N245" s="31">
        <f>IFERROR(VLOOKUP($D245,bug_conf_sheet!$A:$H,3,FALSE),VLOOKUP("other",bug_conf_sheet!$A:$H,3,FALSE))</f>
        <v>1</v>
      </c>
      <c r="O245" s="31">
        <f>IFERROR(VLOOKUP($D245,bug_conf_sheet!$A:$H,4,FALSE),VLOOKUP("other",bug_conf_sheet!$A:$H,4,FALSE))</f>
        <v>0</v>
      </c>
      <c r="P245" s="31">
        <f>IFERROR(VLOOKUP($D245,bug_conf_sheet!$A:$H,5,FALSE),VLOOKUP("other",bug_conf_sheet!$A:$H,5,FALSE))</f>
        <v>0</v>
      </c>
      <c r="Q245" s="31">
        <f>IFERROR(VLOOKUP($D245,bug_conf_sheet!$A:$H,6,FALSE),VLOOKUP("other",bug_conf_sheet!$A:$H,6,FALSE))</f>
        <v>0</v>
      </c>
      <c r="R245" s="31">
        <f>IFERROR(VLOOKUP($D245,bug_conf_sheet!$A:$H,7,FALSE),VLOOKUP("other",bug_conf_sheet!$A:$H,7,FALSE))</f>
        <v>0</v>
      </c>
      <c r="S245" s="31">
        <f>IFERROR(VLOOKUP($D245,bug_conf_sheet!$A:$H,8,FALSE),VLOOKUP("other",bug_conf_sheet!$A:$H,8,FALSE))</f>
        <v>1</v>
      </c>
    </row>
    <row r="246" spans="1:19" ht="21" customHeight="1">
      <c r="A246" s="2">
        <f>input_3!A$2</f>
        <v>3123</v>
      </c>
      <c r="B246" s="7" t="str">
        <f t="shared" si="10"/>
        <v>Premium3</v>
      </c>
      <c r="C246" s="7" t="str">
        <f t="shared" si="11"/>
        <v>Premium</v>
      </c>
      <c r="D246" s="6">
        <v>668</v>
      </c>
      <c r="E246" s="7" t="str">
        <f>VLOOKUP(D246,[1]characters!$A:$C,3,FALSE)</f>
        <v>アグニ</v>
      </c>
      <c r="F246" s="7" t="str">
        <f>VLOOKUP(D246,[1]characters!$A:$J,10,FALSE)</f>
        <v>PremiumS</v>
      </c>
      <c r="G246" s="7">
        <f>VLOOKUP(D246,[1]characters!$A:$I,9,FALSE)</f>
        <v>3</v>
      </c>
      <c r="H246" s="7" t="str">
        <f>VLOOKUP(D246,[1]characters!$A:$H,8,FALSE)</f>
        <v>red</v>
      </c>
      <c r="I246" s="7" t="str">
        <f>VLOOKUP(D246,[1]characters!$A:$K,11,FALSE)</f>
        <v>hp</v>
      </c>
      <c r="J246" s="7" t="str">
        <f>VLOOKUP(D246,[1]characters!$A:$M,13,FALSE)</f>
        <v>god</v>
      </c>
      <c r="K246" s="7" t="str">
        <f>VLOOKUP(D246,[1]characters!$A:$G,7,FALSE)</f>
        <v>男性</v>
      </c>
      <c r="L246" s="66">
        <f>IFERROR(VLOOKUP(D246,input_3!L:R,7,FALSE),VLOOKUP(tables_3!B246,input_3!A:H,8,FALSE))</f>
        <v>0</v>
      </c>
      <c r="M246" s="67">
        <f t="shared" si="9"/>
        <v>0</v>
      </c>
      <c r="N246" s="31">
        <f>IFERROR(VLOOKUP($D246,bug_conf_sheet!$A:$H,3,FALSE),VLOOKUP("other",bug_conf_sheet!$A:$H,3,FALSE))</f>
        <v>1</v>
      </c>
      <c r="O246" s="31">
        <f>IFERROR(VLOOKUP($D246,bug_conf_sheet!$A:$H,4,FALSE),VLOOKUP("other",bug_conf_sheet!$A:$H,4,FALSE))</f>
        <v>0</v>
      </c>
      <c r="P246" s="31">
        <f>IFERROR(VLOOKUP($D246,bug_conf_sheet!$A:$H,5,FALSE),VLOOKUP("other",bug_conf_sheet!$A:$H,5,FALSE))</f>
        <v>0</v>
      </c>
      <c r="Q246" s="31">
        <f>IFERROR(VLOOKUP($D246,bug_conf_sheet!$A:$H,6,FALSE),VLOOKUP("other",bug_conf_sheet!$A:$H,6,FALSE))</f>
        <v>0</v>
      </c>
      <c r="R246" s="31">
        <f>IFERROR(VLOOKUP($D246,bug_conf_sheet!$A:$H,7,FALSE),VLOOKUP("other",bug_conf_sheet!$A:$H,7,FALSE))</f>
        <v>0</v>
      </c>
      <c r="S246" s="31">
        <f>IFERROR(VLOOKUP($D246,bug_conf_sheet!$A:$H,8,FALSE),VLOOKUP("other",bug_conf_sheet!$A:$H,8,FALSE))</f>
        <v>1</v>
      </c>
    </row>
    <row r="247" spans="1:19" ht="21" customHeight="1">
      <c r="A247" s="2">
        <f>input_3!A$2</f>
        <v>3123</v>
      </c>
      <c r="B247" s="7" t="str">
        <f t="shared" si="10"/>
        <v>Premium4</v>
      </c>
      <c r="C247" s="7" t="str">
        <f t="shared" si="11"/>
        <v>Premium</v>
      </c>
      <c r="D247" s="6">
        <v>669</v>
      </c>
      <c r="E247" s="7" t="str">
        <f>VLOOKUP(D247,[1]characters!$A:$C,3,FALSE)</f>
        <v>天地の仲界 アグニ</v>
      </c>
      <c r="F247" s="7" t="str">
        <f>VLOOKUP(D247,[1]characters!$A:$J,10,FALSE)</f>
        <v>PremiumS</v>
      </c>
      <c r="G247" s="7">
        <f>VLOOKUP(D247,[1]characters!$A:$I,9,FALSE)</f>
        <v>4</v>
      </c>
      <c r="H247" s="7" t="str">
        <f>VLOOKUP(D247,[1]characters!$A:$H,8,FALSE)</f>
        <v>red</v>
      </c>
      <c r="I247" s="7" t="str">
        <f>VLOOKUP(D247,[1]characters!$A:$K,11,FALSE)</f>
        <v>hp</v>
      </c>
      <c r="J247" s="7" t="str">
        <f>VLOOKUP(D247,[1]characters!$A:$M,13,FALSE)</f>
        <v>god</v>
      </c>
      <c r="K247" s="7" t="str">
        <f>VLOOKUP(D247,[1]characters!$A:$G,7,FALSE)</f>
        <v>男性</v>
      </c>
      <c r="L247" s="66">
        <f>IFERROR(VLOOKUP(D247,input_3!L:R,7,FALSE),VLOOKUP(tables_3!B247,input_3!A:H,8,FALSE))</f>
        <v>0</v>
      </c>
      <c r="M247" s="67">
        <f t="shared" si="9"/>
        <v>0</v>
      </c>
      <c r="N247" s="31">
        <f>IFERROR(VLOOKUP($D247,bug_conf_sheet!$A:$H,3,FALSE),VLOOKUP("other",bug_conf_sheet!$A:$H,3,FALSE))</f>
        <v>1</v>
      </c>
      <c r="O247" s="31">
        <f>IFERROR(VLOOKUP($D247,bug_conf_sheet!$A:$H,4,FALSE),VLOOKUP("other",bug_conf_sheet!$A:$H,4,FALSE))</f>
        <v>0</v>
      </c>
      <c r="P247" s="31">
        <f>IFERROR(VLOOKUP($D247,bug_conf_sheet!$A:$H,5,FALSE),VLOOKUP("other",bug_conf_sheet!$A:$H,5,FALSE))</f>
        <v>0</v>
      </c>
      <c r="Q247" s="31">
        <f>IFERROR(VLOOKUP($D247,bug_conf_sheet!$A:$H,6,FALSE),VLOOKUP("other",bug_conf_sheet!$A:$H,6,FALSE))</f>
        <v>0</v>
      </c>
      <c r="R247" s="31">
        <f>IFERROR(VLOOKUP($D247,bug_conf_sheet!$A:$H,7,FALSE),VLOOKUP("other",bug_conf_sheet!$A:$H,7,FALSE))</f>
        <v>0</v>
      </c>
      <c r="S247" s="31">
        <f>IFERROR(VLOOKUP($D247,bug_conf_sheet!$A:$H,8,FALSE),VLOOKUP("other",bug_conf_sheet!$A:$H,8,FALSE))</f>
        <v>1</v>
      </c>
    </row>
    <row r="248" spans="1:19" ht="21" customHeight="1">
      <c r="A248" s="2">
        <f>input_3!A$2</f>
        <v>3123</v>
      </c>
      <c r="B248" s="7" t="str">
        <f t="shared" si="10"/>
        <v>Premium5</v>
      </c>
      <c r="C248" s="7" t="str">
        <f t="shared" si="11"/>
        <v>Premium</v>
      </c>
      <c r="D248" s="6">
        <v>670</v>
      </c>
      <c r="E248" s="7" t="str">
        <f>VLOOKUP(D248,[1]characters!$A:$C,3,FALSE)</f>
        <v>陽天の噴煙 アグニ</v>
      </c>
      <c r="F248" s="7" t="str">
        <f>VLOOKUP(D248,[1]characters!$A:$J,10,FALSE)</f>
        <v>PremiumS</v>
      </c>
      <c r="G248" s="7">
        <f>VLOOKUP(D248,[1]characters!$A:$I,9,FALSE)</f>
        <v>5</v>
      </c>
      <c r="H248" s="7" t="str">
        <f>VLOOKUP(D248,[1]characters!$A:$H,8,FALSE)</f>
        <v>red</v>
      </c>
      <c r="I248" s="7" t="str">
        <f>VLOOKUP(D248,[1]characters!$A:$K,11,FALSE)</f>
        <v>hp</v>
      </c>
      <c r="J248" s="7" t="str">
        <f>VLOOKUP(D248,[1]characters!$A:$M,13,FALSE)</f>
        <v>god</v>
      </c>
      <c r="K248" s="7" t="str">
        <f>VLOOKUP(D248,[1]characters!$A:$G,7,FALSE)</f>
        <v>男性</v>
      </c>
      <c r="L248" s="66">
        <f>IFERROR(VLOOKUP(D248,input_3!L:R,7,FALSE),VLOOKUP(tables_3!B248,input_3!A:H,8,FALSE))</f>
        <v>637</v>
      </c>
      <c r="M248" s="67">
        <f t="shared" si="9"/>
        <v>1.8148148148148149E-2</v>
      </c>
      <c r="N248" s="31">
        <f>IFERROR(VLOOKUP($D248,bug_conf_sheet!$A:$H,3,FALSE),VLOOKUP("other",bug_conf_sheet!$A:$H,3,FALSE))</f>
        <v>1</v>
      </c>
      <c r="O248" s="31">
        <f>IFERROR(VLOOKUP($D248,bug_conf_sheet!$A:$H,4,FALSE),VLOOKUP("other",bug_conf_sheet!$A:$H,4,FALSE))</f>
        <v>0</v>
      </c>
      <c r="P248" s="31">
        <f>IFERROR(VLOOKUP($D248,bug_conf_sheet!$A:$H,5,FALSE),VLOOKUP("other",bug_conf_sheet!$A:$H,5,FALSE))</f>
        <v>0</v>
      </c>
      <c r="Q248" s="31">
        <f>IFERROR(VLOOKUP($D248,bug_conf_sheet!$A:$H,6,FALSE),VLOOKUP("other",bug_conf_sheet!$A:$H,6,FALSE))</f>
        <v>0</v>
      </c>
      <c r="R248" s="31">
        <f>IFERROR(VLOOKUP($D248,bug_conf_sheet!$A:$H,7,FALSE),VLOOKUP("other",bug_conf_sheet!$A:$H,7,FALSE))</f>
        <v>0</v>
      </c>
      <c r="S248" s="31">
        <f>IFERROR(VLOOKUP($D248,bug_conf_sheet!$A:$H,8,FALSE),VLOOKUP("other",bug_conf_sheet!$A:$H,8,FALSE))</f>
        <v>1</v>
      </c>
    </row>
    <row r="249" spans="1:19" ht="21" customHeight="1">
      <c r="A249" s="2">
        <f>input_3!A$2</f>
        <v>3123</v>
      </c>
      <c r="B249" s="7" t="str">
        <f t="shared" si="10"/>
        <v>Premium3</v>
      </c>
      <c r="C249" s="7" t="str">
        <f t="shared" si="11"/>
        <v>Premium</v>
      </c>
      <c r="D249" s="6">
        <v>671</v>
      </c>
      <c r="E249" s="7" t="str">
        <f>VLOOKUP(D249,[1]characters!$A:$C,3,FALSE)</f>
        <v>ハヌマーン</v>
      </c>
      <c r="F249" s="7" t="str">
        <f>VLOOKUP(D249,[1]characters!$A:$J,10,FALSE)</f>
        <v>PremiumS</v>
      </c>
      <c r="G249" s="7">
        <f>VLOOKUP(D249,[1]characters!$A:$I,9,FALSE)</f>
        <v>3</v>
      </c>
      <c r="H249" s="7" t="str">
        <f>VLOOKUP(D249,[1]characters!$A:$H,8,FALSE)</f>
        <v>green</v>
      </c>
      <c r="I249" s="7" t="str">
        <f>VLOOKUP(D249,[1]characters!$A:$K,11,FALSE)</f>
        <v>attack</v>
      </c>
      <c r="J249" s="7" t="str">
        <f>VLOOKUP(D249,[1]characters!$A:$M,13,FALSE)</f>
        <v>animal</v>
      </c>
      <c r="K249" s="7" t="str">
        <f>VLOOKUP(D249,[1]characters!$A:$G,7,FALSE)</f>
        <v>男性</v>
      </c>
      <c r="L249" s="66">
        <f>IFERROR(VLOOKUP(D249,input_3!L:R,7,FALSE),VLOOKUP(tables_3!B249,input_3!A:H,8,FALSE))</f>
        <v>0</v>
      </c>
      <c r="M249" s="67">
        <f t="shared" si="9"/>
        <v>0</v>
      </c>
      <c r="N249" s="31">
        <f>IFERROR(VLOOKUP($D249,bug_conf_sheet!$A:$H,3,FALSE),VLOOKUP("other",bug_conf_sheet!$A:$H,3,FALSE))</f>
        <v>1</v>
      </c>
      <c r="O249" s="31">
        <f>IFERROR(VLOOKUP($D249,bug_conf_sheet!$A:$H,4,FALSE),VLOOKUP("other",bug_conf_sheet!$A:$H,4,FALSE))</f>
        <v>0</v>
      </c>
      <c r="P249" s="31">
        <f>IFERROR(VLOOKUP($D249,bug_conf_sheet!$A:$H,5,FALSE),VLOOKUP("other",bug_conf_sheet!$A:$H,5,FALSE))</f>
        <v>0</v>
      </c>
      <c r="Q249" s="31">
        <f>IFERROR(VLOOKUP($D249,bug_conf_sheet!$A:$H,6,FALSE),VLOOKUP("other",bug_conf_sheet!$A:$H,6,FALSE))</f>
        <v>0</v>
      </c>
      <c r="R249" s="31">
        <f>IFERROR(VLOOKUP($D249,bug_conf_sheet!$A:$H,7,FALSE),VLOOKUP("other",bug_conf_sheet!$A:$H,7,FALSE))</f>
        <v>0</v>
      </c>
      <c r="S249" s="31">
        <f>IFERROR(VLOOKUP($D249,bug_conf_sheet!$A:$H,8,FALSE),VLOOKUP("other",bug_conf_sheet!$A:$H,8,FALSE))</f>
        <v>1</v>
      </c>
    </row>
    <row r="250" spans="1:19" ht="21" customHeight="1">
      <c r="A250" s="2">
        <f>input_3!A$2</f>
        <v>3123</v>
      </c>
      <c r="B250" s="7" t="str">
        <f t="shared" si="10"/>
        <v>Premium4</v>
      </c>
      <c r="C250" s="7" t="str">
        <f t="shared" si="11"/>
        <v>Premium</v>
      </c>
      <c r="D250" s="6">
        <v>672</v>
      </c>
      <c r="E250" s="7" t="str">
        <f>VLOOKUP(D250,[1]characters!$A:$C,3,FALSE)</f>
        <v>西遊韋駄天 ハヌマーン</v>
      </c>
      <c r="F250" s="7" t="str">
        <f>VLOOKUP(D250,[1]characters!$A:$J,10,FALSE)</f>
        <v>PremiumS</v>
      </c>
      <c r="G250" s="7">
        <f>VLOOKUP(D250,[1]characters!$A:$I,9,FALSE)</f>
        <v>4</v>
      </c>
      <c r="H250" s="7" t="str">
        <f>VLOOKUP(D250,[1]characters!$A:$H,8,FALSE)</f>
        <v>green</v>
      </c>
      <c r="I250" s="7" t="str">
        <f>VLOOKUP(D250,[1]characters!$A:$K,11,FALSE)</f>
        <v>attack</v>
      </c>
      <c r="J250" s="7" t="str">
        <f>VLOOKUP(D250,[1]characters!$A:$M,13,FALSE)</f>
        <v>animal</v>
      </c>
      <c r="K250" s="7" t="str">
        <f>VLOOKUP(D250,[1]characters!$A:$G,7,FALSE)</f>
        <v>男性</v>
      </c>
      <c r="L250" s="66">
        <f>IFERROR(VLOOKUP(D250,input_3!L:R,7,FALSE),VLOOKUP(tables_3!B250,input_3!A:H,8,FALSE))</f>
        <v>0</v>
      </c>
      <c r="M250" s="67">
        <f t="shared" si="9"/>
        <v>0</v>
      </c>
      <c r="N250" s="31">
        <f>IFERROR(VLOOKUP($D250,bug_conf_sheet!$A:$H,3,FALSE),VLOOKUP("other",bug_conf_sheet!$A:$H,3,FALSE))</f>
        <v>1</v>
      </c>
      <c r="O250" s="31">
        <f>IFERROR(VLOOKUP($D250,bug_conf_sheet!$A:$H,4,FALSE),VLOOKUP("other",bug_conf_sheet!$A:$H,4,FALSE))</f>
        <v>0</v>
      </c>
      <c r="P250" s="31">
        <f>IFERROR(VLOOKUP($D250,bug_conf_sheet!$A:$H,5,FALSE),VLOOKUP("other",bug_conf_sheet!$A:$H,5,FALSE))</f>
        <v>0</v>
      </c>
      <c r="Q250" s="31">
        <f>IFERROR(VLOOKUP($D250,bug_conf_sheet!$A:$H,6,FALSE),VLOOKUP("other",bug_conf_sheet!$A:$H,6,FALSE))</f>
        <v>0</v>
      </c>
      <c r="R250" s="31">
        <f>IFERROR(VLOOKUP($D250,bug_conf_sheet!$A:$H,7,FALSE),VLOOKUP("other",bug_conf_sheet!$A:$H,7,FALSE))</f>
        <v>0</v>
      </c>
      <c r="S250" s="31">
        <f>IFERROR(VLOOKUP($D250,bug_conf_sheet!$A:$H,8,FALSE),VLOOKUP("other",bug_conf_sheet!$A:$H,8,FALSE))</f>
        <v>1</v>
      </c>
    </row>
    <row r="251" spans="1:19" ht="21" customHeight="1">
      <c r="A251" s="2">
        <f>input_3!A$2</f>
        <v>3123</v>
      </c>
      <c r="B251" s="7" t="str">
        <f t="shared" si="10"/>
        <v>Premium5</v>
      </c>
      <c r="C251" s="7" t="str">
        <f t="shared" si="11"/>
        <v>Premium</v>
      </c>
      <c r="D251" s="6">
        <v>673</v>
      </c>
      <c r="E251" s="7" t="str">
        <f>VLOOKUP(D251,[1]characters!$A:$C,3,FALSE)</f>
        <v>変幻自在の猿王 ハヌマーン</v>
      </c>
      <c r="F251" s="7" t="str">
        <f>VLOOKUP(D251,[1]characters!$A:$J,10,FALSE)</f>
        <v>PremiumS</v>
      </c>
      <c r="G251" s="7">
        <f>VLOOKUP(D251,[1]characters!$A:$I,9,FALSE)</f>
        <v>5</v>
      </c>
      <c r="H251" s="7" t="str">
        <f>VLOOKUP(D251,[1]characters!$A:$H,8,FALSE)</f>
        <v>green</v>
      </c>
      <c r="I251" s="7" t="str">
        <f>VLOOKUP(D251,[1]characters!$A:$K,11,FALSE)</f>
        <v>attack</v>
      </c>
      <c r="J251" s="7" t="str">
        <f>VLOOKUP(D251,[1]characters!$A:$M,13,FALSE)</f>
        <v>animal</v>
      </c>
      <c r="K251" s="7" t="str">
        <f>VLOOKUP(D251,[1]characters!$A:$G,7,FALSE)</f>
        <v>男性</v>
      </c>
      <c r="L251" s="66">
        <f>IFERROR(VLOOKUP(D251,input_3!L:R,7,FALSE),VLOOKUP(tables_3!B251,input_3!A:H,8,FALSE))</f>
        <v>637</v>
      </c>
      <c r="M251" s="67">
        <f t="shared" si="9"/>
        <v>1.8148148148148149E-2</v>
      </c>
      <c r="N251" s="31">
        <f>IFERROR(VLOOKUP($D251,bug_conf_sheet!$A:$H,3,FALSE),VLOOKUP("other",bug_conf_sheet!$A:$H,3,FALSE))</f>
        <v>1</v>
      </c>
      <c r="O251" s="31">
        <f>IFERROR(VLOOKUP($D251,bug_conf_sheet!$A:$H,4,FALSE),VLOOKUP("other",bug_conf_sheet!$A:$H,4,FALSE))</f>
        <v>0</v>
      </c>
      <c r="P251" s="31">
        <f>IFERROR(VLOOKUP($D251,bug_conf_sheet!$A:$H,5,FALSE),VLOOKUP("other",bug_conf_sheet!$A:$H,5,FALSE))</f>
        <v>0</v>
      </c>
      <c r="Q251" s="31">
        <f>IFERROR(VLOOKUP($D251,bug_conf_sheet!$A:$H,6,FALSE),VLOOKUP("other",bug_conf_sheet!$A:$H,6,FALSE))</f>
        <v>0</v>
      </c>
      <c r="R251" s="31">
        <f>IFERROR(VLOOKUP($D251,bug_conf_sheet!$A:$H,7,FALSE),VLOOKUP("other",bug_conf_sheet!$A:$H,7,FALSE))</f>
        <v>0</v>
      </c>
      <c r="S251" s="31">
        <f>IFERROR(VLOOKUP($D251,bug_conf_sheet!$A:$H,8,FALSE),VLOOKUP("other",bug_conf_sheet!$A:$H,8,FALSE))</f>
        <v>1</v>
      </c>
    </row>
    <row r="252" spans="1:19" ht="21" customHeight="1">
      <c r="A252" s="2">
        <f>input_3!A$2</f>
        <v>3123</v>
      </c>
      <c r="B252" s="7" t="str">
        <f t="shared" si="10"/>
        <v>PremiumSS4</v>
      </c>
      <c r="C252" s="7" t="str">
        <f t="shared" si="11"/>
        <v>PremiumSS</v>
      </c>
      <c r="D252" s="6">
        <v>674</v>
      </c>
      <c r="E252" s="7" t="str">
        <f>VLOOKUP(D252,[1]characters!$A:$C,3,FALSE)</f>
        <v>サラスヴァティ</v>
      </c>
      <c r="F252" s="7" t="str">
        <f>VLOOKUP(D252,[1]characters!$A:$J,10,FALSE)</f>
        <v>PremiumSS</v>
      </c>
      <c r="G252" s="7">
        <f>VLOOKUP(D252,[1]characters!$A:$I,9,FALSE)</f>
        <v>4</v>
      </c>
      <c r="H252" s="7" t="str">
        <f>VLOOKUP(D252,[1]characters!$A:$H,8,FALSE)</f>
        <v>blue</v>
      </c>
      <c r="I252" s="7" t="str">
        <f>VLOOKUP(D252,[1]characters!$A:$K,11,FALSE)</f>
        <v>balance</v>
      </c>
      <c r="J252" s="7" t="str">
        <f>VLOOKUP(D252,[1]characters!$A:$M,13,FALSE)</f>
        <v>god</v>
      </c>
      <c r="K252" s="7" t="str">
        <f>VLOOKUP(D252,[1]characters!$A:$G,7,FALSE)</f>
        <v>女性</v>
      </c>
      <c r="L252" s="66">
        <f>IFERROR(VLOOKUP(D252,input_3!L:R,7,FALSE),VLOOKUP(tables_3!B252,input_3!A:H,8,FALSE))</f>
        <v>0</v>
      </c>
      <c r="M252" s="67">
        <f t="shared" si="9"/>
        <v>0</v>
      </c>
      <c r="N252" s="31">
        <f>IFERROR(VLOOKUP($D252,bug_conf_sheet!$A:$H,3,FALSE),VLOOKUP("other",bug_conf_sheet!$A:$H,3,FALSE))</f>
        <v>1</v>
      </c>
      <c r="O252" s="31">
        <f>IFERROR(VLOOKUP($D252,bug_conf_sheet!$A:$H,4,FALSE),VLOOKUP("other",bug_conf_sheet!$A:$H,4,FALSE))</f>
        <v>0</v>
      </c>
      <c r="P252" s="31">
        <f>IFERROR(VLOOKUP($D252,bug_conf_sheet!$A:$H,5,FALSE),VLOOKUP("other",bug_conf_sheet!$A:$H,5,FALSE))</f>
        <v>0</v>
      </c>
      <c r="Q252" s="31">
        <f>IFERROR(VLOOKUP($D252,bug_conf_sheet!$A:$H,6,FALSE),VLOOKUP("other",bug_conf_sheet!$A:$H,6,FALSE))</f>
        <v>0</v>
      </c>
      <c r="R252" s="31">
        <f>IFERROR(VLOOKUP($D252,bug_conf_sheet!$A:$H,7,FALSE),VLOOKUP("other",bug_conf_sheet!$A:$H,7,FALSE))</f>
        <v>0</v>
      </c>
      <c r="S252" s="31">
        <f>IFERROR(VLOOKUP($D252,bug_conf_sheet!$A:$H,8,FALSE),VLOOKUP("other",bug_conf_sheet!$A:$H,8,FALSE))</f>
        <v>1</v>
      </c>
    </row>
    <row r="253" spans="1:19" ht="21" customHeight="1">
      <c r="A253" s="2">
        <f>input_3!A$2</f>
        <v>3123</v>
      </c>
      <c r="B253" s="7" t="str">
        <f t="shared" si="10"/>
        <v>PremiumSS5</v>
      </c>
      <c r="C253" s="7" t="str">
        <f t="shared" si="11"/>
        <v>PremiumSS</v>
      </c>
      <c r="D253" s="6">
        <v>675</v>
      </c>
      <c r="E253" s="7" t="str">
        <f>VLOOKUP(D253,[1]characters!$A:$C,3,FALSE)</f>
        <v>芸楽の奔流 サラスヴァティ</v>
      </c>
      <c r="F253" s="7" t="str">
        <f>VLOOKUP(D253,[1]characters!$A:$J,10,FALSE)</f>
        <v>PremiumSS</v>
      </c>
      <c r="G253" s="7">
        <f>VLOOKUP(D253,[1]characters!$A:$I,9,FALSE)</f>
        <v>5</v>
      </c>
      <c r="H253" s="7" t="str">
        <f>VLOOKUP(D253,[1]characters!$A:$H,8,FALSE)</f>
        <v>blue</v>
      </c>
      <c r="I253" s="7" t="str">
        <f>VLOOKUP(D253,[1]characters!$A:$K,11,FALSE)</f>
        <v>balance</v>
      </c>
      <c r="J253" s="7" t="str">
        <f>VLOOKUP(D253,[1]characters!$A:$M,13,FALSE)</f>
        <v>god</v>
      </c>
      <c r="K253" s="7" t="str">
        <f>VLOOKUP(D253,[1]characters!$A:$G,7,FALSE)</f>
        <v>女性</v>
      </c>
      <c r="L253" s="66">
        <f>IFERROR(VLOOKUP(D253,input_3!L:R,7,FALSE),VLOOKUP(tables_3!B253,input_3!A:H,8,FALSE))</f>
        <v>27</v>
      </c>
      <c r="M253" s="67">
        <f t="shared" si="9"/>
        <v>7.6923076923076923E-4</v>
      </c>
      <c r="N253" s="31">
        <f>IFERROR(VLOOKUP($D253,bug_conf_sheet!$A:$H,3,FALSE),VLOOKUP("other",bug_conf_sheet!$A:$H,3,FALSE))</f>
        <v>1</v>
      </c>
      <c r="O253" s="31">
        <f>IFERROR(VLOOKUP($D253,bug_conf_sheet!$A:$H,4,FALSE),VLOOKUP("other",bug_conf_sheet!$A:$H,4,FALSE))</f>
        <v>0</v>
      </c>
      <c r="P253" s="31">
        <f>IFERROR(VLOOKUP($D253,bug_conf_sheet!$A:$H,5,FALSE),VLOOKUP("other",bug_conf_sheet!$A:$H,5,FALSE))</f>
        <v>0</v>
      </c>
      <c r="Q253" s="31">
        <f>IFERROR(VLOOKUP($D253,bug_conf_sheet!$A:$H,6,FALSE),VLOOKUP("other",bug_conf_sheet!$A:$H,6,FALSE))</f>
        <v>0</v>
      </c>
      <c r="R253" s="31">
        <f>IFERROR(VLOOKUP($D253,bug_conf_sheet!$A:$H,7,FALSE),VLOOKUP("other",bug_conf_sheet!$A:$H,7,FALSE))</f>
        <v>0</v>
      </c>
      <c r="S253" s="31">
        <f>IFERROR(VLOOKUP($D253,bug_conf_sheet!$A:$H,8,FALSE),VLOOKUP("other",bug_conf_sheet!$A:$H,8,FALSE))</f>
        <v>1</v>
      </c>
    </row>
    <row r="254" spans="1:19" ht="21" customHeight="1">
      <c r="A254" s="2">
        <f>input_3!A$2</f>
        <v>3123</v>
      </c>
      <c r="B254" s="7" t="str">
        <f t="shared" si="10"/>
        <v>PremiumSS4</v>
      </c>
      <c r="C254" s="7" t="str">
        <f t="shared" si="11"/>
        <v>PremiumSS</v>
      </c>
      <c r="D254" s="6">
        <v>676</v>
      </c>
      <c r="E254" s="7" t="str">
        <f>VLOOKUP(D254,[1]characters!$A:$C,3,FALSE)</f>
        <v>ヴィシュヌ</v>
      </c>
      <c r="F254" s="7" t="str">
        <f>VLOOKUP(D254,[1]characters!$A:$J,10,FALSE)</f>
        <v>PremiumSS</v>
      </c>
      <c r="G254" s="7">
        <f>VLOOKUP(D254,[1]characters!$A:$I,9,FALSE)</f>
        <v>4</v>
      </c>
      <c r="H254" s="7" t="str">
        <f>VLOOKUP(D254,[1]characters!$A:$H,8,FALSE)</f>
        <v>yellow</v>
      </c>
      <c r="I254" s="7" t="str">
        <f>VLOOKUP(D254,[1]characters!$A:$K,11,FALSE)</f>
        <v>attack</v>
      </c>
      <c r="J254" s="7" t="str">
        <f>VLOOKUP(D254,[1]characters!$A:$M,13,FALSE)</f>
        <v>god</v>
      </c>
      <c r="K254" s="7" t="str">
        <f>VLOOKUP(D254,[1]characters!$A:$G,7,FALSE)</f>
        <v>女性</v>
      </c>
      <c r="L254" s="66">
        <f>IFERROR(VLOOKUP(D254,input_3!L:R,7,FALSE),VLOOKUP(tables_3!B254,input_3!A:H,8,FALSE))</f>
        <v>0</v>
      </c>
      <c r="M254" s="67">
        <f t="shared" si="9"/>
        <v>0</v>
      </c>
      <c r="N254" s="31">
        <f>IFERROR(VLOOKUP($D254,bug_conf_sheet!$A:$H,3,FALSE),VLOOKUP("other",bug_conf_sheet!$A:$H,3,FALSE))</f>
        <v>1</v>
      </c>
      <c r="O254" s="31">
        <f>IFERROR(VLOOKUP($D254,bug_conf_sheet!$A:$H,4,FALSE),VLOOKUP("other",bug_conf_sheet!$A:$H,4,FALSE))</f>
        <v>0</v>
      </c>
      <c r="P254" s="31">
        <f>IFERROR(VLOOKUP($D254,bug_conf_sheet!$A:$H,5,FALSE),VLOOKUP("other",bug_conf_sheet!$A:$H,5,FALSE))</f>
        <v>0</v>
      </c>
      <c r="Q254" s="31">
        <f>IFERROR(VLOOKUP($D254,bug_conf_sheet!$A:$H,6,FALSE),VLOOKUP("other",bug_conf_sheet!$A:$H,6,FALSE))</f>
        <v>0</v>
      </c>
      <c r="R254" s="31">
        <f>IFERROR(VLOOKUP($D254,bug_conf_sheet!$A:$H,7,FALSE),VLOOKUP("other",bug_conf_sheet!$A:$H,7,FALSE))</f>
        <v>0</v>
      </c>
      <c r="S254" s="31">
        <f>IFERROR(VLOOKUP($D254,bug_conf_sheet!$A:$H,8,FALSE),VLOOKUP("other",bug_conf_sheet!$A:$H,8,FALSE))</f>
        <v>1</v>
      </c>
    </row>
    <row r="255" spans="1:19" ht="21" customHeight="1">
      <c r="A255" s="2">
        <f>input_3!A$2</f>
        <v>3123</v>
      </c>
      <c r="B255" s="7" t="str">
        <f t="shared" si="10"/>
        <v>PremiumSS5</v>
      </c>
      <c r="C255" s="7" t="str">
        <f t="shared" si="11"/>
        <v>PremiumSS</v>
      </c>
      <c r="D255" s="6">
        <v>677</v>
      </c>
      <c r="E255" s="7" t="str">
        <f>VLOOKUP(D255,[1]characters!$A:$C,3,FALSE)</f>
        <v>武遊闊歩 ヴィシュヌ</v>
      </c>
      <c r="F255" s="7" t="str">
        <f>VLOOKUP(D255,[1]characters!$A:$J,10,FALSE)</f>
        <v>PremiumSS</v>
      </c>
      <c r="G255" s="7">
        <f>VLOOKUP(D255,[1]characters!$A:$I,9,FALSE)</f>
        <v>5</v>
      </c>
      <c r="H255" s="7" t="str">
        <f>VLOOKUP(D255,[1]characters!$A:$H,8,FALSE)</f>
        <v>yellow</v>
      </c>
      <c r="I255" s="7" t="str">
        <f>VLOOKUP(D255,[1]characters!$A:$K,11,FALSE)</f>
        <v>attack</v>
      </c>
      <c r="J255" s="7" t="str">
        <f>VLOOKUP(D255,[1]characters!$A:$M,13,FALSE)</f>
        <v>god</v>
      </c>
      <c r="K255" s="7" t="str">
        <f>VLOOKUP(D255,[1]characters!$A:$G,7,FALSE)</f>
        <v>女性</v>
      </c>
      <c r="L255" s="66">
        <f>IFERROR(VLOOKUP(D255,input_3!L:R,7,FALSE),VLOOKUP(tables_3!B255,input_3!A:H,8,FALSE))</f>
        <v>27</v>
      </c>
      <c r="M255" s="67">
        <f t="shared" si="9"/>
        <v>7.6923076923076923E-4</v>
      </c>
      <c r="N255" s="31">
        <f>IFERROR(VLOOKUP($D255,bug_conf_sheet!$A:$H,3,FALSE),VLOOKUP("other",bug_conf_sheet!$A:$H,3,FALSE))</f>
        <v>1</v>
      </c>
      <c r="O255" s="31">
        <f>IFERROR(VLOOKUP($D255,bug_conf_sheet!$A:$H,4,FALSE),VLOOKUP("other",bug_conf_sheet!$A:$H,4,FALSE))</f>
        <v>0</v>
      </c>
      <c r="P255" s="31">
        <f>IFERROR(VLOOKUP($D255,bug_conf_sheet!$A:$H,5,FALSE),VLOOKUP("other",bug_conf_sheet!$A:$H,5,FALSE))</f>
        <v>0</v>
      </c>
      <c r="Q255" s="31">
        <f>IFERROR(VLOOKUP($D255,bug_conf_sheet!$A:$H,6,FALSE),VLOOKUP("other",bug_conf_sheet!$A:$H,6,FALSE))</f>
        <v>0</v>
      </c>
      <c r="R255" s="31">
        <f>IFERROR(VLOOKUP($D255,bug_conf_sheet!$A:$H,7,FALSE),VLOOKUP("other",bug_conf_sheet!$A:$H,7,FALSE))</f>
        <v>0</v>
      </c>
      <c r="S255" s="31">
        <f>IFERROR(VLOOKUP($D255,bug_conf_sheet!$A:$H,8,FALSE),VLOOKUP("other",bug_conf_sheet!$A:$H,8,FALSE))</f>
        <v>1</v>
      </c>
    </row>
  </sheetData>
  <autoFilter ref="A1:S255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theme="5"/>
  </sheetPr>
  <dimension ref="A1:R43"/>
  <sheetViews>
    <sheetView workbookViewId="0">
      <selection activeCell="A33" sqref="A33"/>
    </sheetView>
  </sheetViews>
  <sheetFormatPr baseColWidth="12" defaultRowHeight="14" x14ac:dyDescent="0"/>
  <sheetData>
    <row r="1" spans="1:18">
      <c r="A1" s="70" t="s">
        <v>103</v>
      </c>
      <c r="B1" s="70"/>
    </row>
    <row r="2" spans="1:18">
      <c r="A2">
        <v>3124</v>
      </c>
    </row>
    <row r="4" spans="1:18">
      <c r="A4" s="48" t="s">
        <v>68</v>
      </c>
      <c r="B4" s="48"/>
    </row>
    <row r="5" spans="1:18">
      <c r="A5" s="46" t="s">
        <v>88</v>
      </c>
      <c r="B5" s="47">
        <f>1-B6-B7</f>
        <v>0.5</v>
      </c>
    </row>
    <row r="6" spans="1:18">
      <c r="A6" s="46" t="s">
        <v>89</v>
      </c>
      <c r="B6" s="47">
        <v>0.45</v>
      </c>
    </row>
    <row r="7" spans="1:18">
      <c r="A7" s="46" t="s">
        <v>90</v>
      </c>
      <c r="B7" s="47">
        <v>0.05</v>
      </c>
    </row>
    <row r="9" spans="1:18">
      <c r="A9" s="49" t="s">
        <v>69</v>
      </c>
      <c r="B9" s="49"/>
    </row>
    <row r="10" spans="1:18">
      <c r="A10" s="46" t="s">
        <v>118</v>
      </c>
      <c r="B10" s="47">
        <f>1-B11-B12</f>
        <v>0.97499999999999998</v>
      </c>
    </row>
    <row r="11" spans="1:18">
      <c r="A11" s="46" t="s">
        <v>71</v>
      </c>
      <c r="B11" s="47">
        <v>2.5000000000000001E-2</v>
      </c>
    </row>
    <row r="12" spans="1:18">
      <c r="A12" s="46" t="s">
        <v>70</v>
      </c>
      <c r="B12" s="47">
        <v>0</v>
      </c>
    </row>
    <row r="15" spans="1:18">
      <c r="A15" s="53" t="s">
        <v>72</v>
      </c>
      <c r="B15" s="53"/>
      <c r="C15" t="s">
        <v>104</v>
      </c>
      <c r="L15" s="55" t="s">
        <v>77</v>
      </c>
      <c r="M15" s="55"/>
    </row>
    <row r="16" spans="1:18">
      <c r="A16" s="46" t="s">
        <v>75</v>
      </c>
      <c r="B16" s="46" t="s">
        <v>76</v>
      </c>
      <c r="C16" s="54" t="s">
        <v>77</v>
      </c>
      <c r="D16" s="54" t="s">
        <v>78</v>
      </c>
      <c r="E16" t="s">
        <v>92</v>
      </c>
      <c r="F16" t="s">
        <v>91</v>
      </c>
      <c r="G16" t="s">
        <v>94</v>
      </c>
      <c r="H16" t="s">
        <v>93</v>
      </c>
      <c r="I16" t="s">
        <v>95</v>
      </c>
      <c r="J16" t="s">
        <v>98</v>
      </c>
      <c r="L16" s="46" t="s">
        <v>32</v>
      </c>
      <c r="M16" s="54" t="s">
        <v>81</v>
      </c>
      <c r="N16" s="46" t="s">
        <v>79</v>
      </c>
      <c r="O16" s="54" t="s">
        <v>82</v>
      </c>
      <c r="P16" s="54" t="s">
        <v>83</v>
      </c>
      <c r="Q16" s="54" t="s">
        <v>80</v>
      </c>
      <c r="R16" s="65" t="s">
        <v>93</v>
      </c>
    </row>
    <row r="17" spans="1:17">
      <c r="A17" s="46" t="s">
        <v>119</v>
      </c>
      <c r="B17" s="50">
        <f>B5</f>
        <v>0.5</v>
      </c>
      <c r="C17" s="69">
        <f t="shared" ref="C17:C23" si="0">SUMIF(Q:Q,A17,N:N)</f>
        <v>0</v>
      </c>
      <c r="D17" s="62">
        <f t="shared" ref="D17:D24" si="1">B17-C17</f>
        <v>0.5</v>
      </c>
      <c r="E17">
        <f>COUNTIF(tables_4!B:B,input_4!A17)-COUNTIF(Q:Q,A17)</f>
        <v>74</v>
      </c>
      <c r="F17" s="64">
        <f t="shared" ref="F17:F23" si="2">IFERROR(D17/E17,0)</f>
        <v>6.7567567567567571E-3</v>
      </c>
      <c r="G17">
        <f t="shared" ref="G17:G23" si="3">A$32*D17</f>
        <v>5194800</v>
      </c>
      <c r="H17">
        <f t="shared" ref="H17:H23" si="4">IFERROR(ROUND(G17/E17,5),0)</f>
        <v>70200</v>
      </c>
      <c r="I17">
        <f t="shared" ref="I17:I23" si="5">MOD(H17,1)</f>
        <v>0</v>
      </c>
      <c r="J17">
        <f t="shared" ref="J17:J23" si="6">IFERROR(1/I17,1)</f>
        <v>1</v>
      </c>
      <c r="L17" s="46"/>
      <c r="M17" s="54"/>
      <c r="N17" s="52"/>
      <c r="O17" s="54"/>
      <c r="P17" s="54"/>
      <c r="Q17" s="54"/>
    </row>
    <row r="18" spans="1:17">
      <c r="A18" s="46" t="s">
        <v>120</v>
      </c>
      <c r="B18" s="56">
        <f>B6-B19-B20</f>
        <v>0.42749999999999999</v>
      </c>
      <c r="C18" s="69">
        <f t="shared" si="0"/>
        <v>0</v>
      </c>
      <c r="D18" s="62">
        <f t="shared" si="1"/>
        <v>0.42749999999999999</v>
      </c>
      <c r="E18">
        <f>COUNTIF(tables_4!B:B,input_4!A18)-COUNTIF(Q:Q,A18)</f>
        <v>74</v>
      </c>
      <c r="F18" s="64">
        <f t="shared" si="2"/>
        <v>5.777027027027027E-3</v>
      </c>
      <c r="G18">
        <f t="shared" si="3"/>
        <v>4441554</v>
      </c>
      <c r="H18">
        <f t="shared" si="4"/>
        <v>60021</v>
      </c>
      <c r="I18">
        <f t="shared" si="5"/>
        <v>0</v>
      </c>
      <c r="J18">
        <f t="shared" si="6"/>
        <v>1</v>
      </c>
      <c r="L18" s="46"/>
      <c r="M18" s="54"/>
      <c r="N18" s="52"/>
      <c r="O18" s="54"/>
      <c r="P18" s="54"/>
      <c r="Q18" s="54"/>
    </row>
    <row r="19" spans="1:17">
      <c r="A19" s="46" t="s">
        <v>84</v>
      </c>
      <c r="B19" s="79">
        <f>B6*B11/(B6+B7)</f>
        <v>2.2500000000000003E-2</v>
      </c>
      <c r="C19" s="69">
        <f t="shared" si="0"/>
        <v>0</v>
      </c>
      <c r="D19" s="62">
        <f t="shared" si="1"/>
        <v>2.2500000000000003E-2</v>
      </c>
      <c r="E19">
        <f>COUNTIF(tables_4!B:B,input_4!A19)-COUNTIF(Q:Q,A19)</f>
        <v>26</v>
      </c>
      <c r="F19" s="64">
        <f t="shared" si="2"/>
        <v>8.6538461538461552E-4</v>
      </c>
      <c r="G19">
        <f t="shared" si="3"/>
        <v>233766.00000000003</v>
      </c>
      <c r="H19">
        <f t="shared" si="4"/>
        <v>8991</v>
      </c>
      <c r="I19">
        <f t="shared" si="5"/>
        <v>0</v>
      </c>
      <c r="J19">
        <f t="shared" si="6"/>
        <v>1</v>
      </c>
      <c r="L19" s="46"/>
      <c r="M19" s="54"/>
      <c r="N19" s="52"/>
      <c r="O19" s="54"/>
      <c r="P19" s="54"/>
      <c r="Q19" s="54"/>
    </row>
    <row r="20" spans="1:17">
      <c r="A20" s="46" t="s">
        <v>85</v>
      </c>
      <c r="B20" s="57">
        <f>B12*B6/(B6+B7)</f>
        <v>0</v>
      </c>
      <c r="C20" s="69">
        <f t="shared" si="0"/>
        <v>0</v>
      </c>
      <c r="D20" s="62">
        <f t="shared" si="1"/>
        <v>0</v>
      </c>
      <c r="E20">
        <f>COUNTIF(tables_4!B:B,input_4!A20)-COUNTIF(Q:Q,A20)</f>
        <v>0</v>
      </c>
      <c r="F20" s="64">
        <f t="shared" si="2"/>
        <v>0</v>
      </c>
      <c r="G20">
        <f t="shared" si="3"/>
        <v>0</v>
      </c>
      <c r="H20">
        <f t="shared" si="4"/>
        <v>0</v>
      </c>
      <c r="I20">
        <f t="shared" si="5"/>
        <v>0</v>
      </c>
      <c r="J20">
        <f t="shared" si="6"/>
        <v>1</v>
      </c>
      <c r="L20" s="46"/>
      <c r="M20" s="54"/>
      <c r="N20" s="52"/>
      <c r="O20" s="54"/>
      <c r="P20" s="54"/>
      <c r="Q20" s="54"/>
    </row>
    <row r="21" spans="1:17">
      <c r="A21" s="46" t="s">
        <v>121</v>
      </c>
      <c r="B21" s="58">
        <f>B7-B22-B23</f>
        <v>4.7500000000000001E-2</v>
      </c>
      <c r="C21" s="69">
        <f t="shared" si="0"/>
        <v>0</v>
      </c>
      <c r="D21" s="62">
        <f t="shared" si="1"/>
        <v>4.7500000000000001E-2</v>
      </c>
      <c r="E21">
        <f>COUNTIF(tables_4!B:B,input_4!A21)-COUNTIF(Q:Q,A21)</f>
        <v>54</v>
      </c>
      <c r="F21" s="64">
        <f t="shared" si="2"/>
        <v>8.7962962962962962E-4</v>
      </c>
      <c r="G21">
        <f t="shared" si="3"/>
        <v>493506</v>
      </c>
      <c r="H21">
        <f t="shared" si="4"/>
        <v>9139</v>
      </c>
      <c r="I21">
        <f t="shared" si="5"/>
        <v>0</v>
      </c>
      <c r="J21">
        <f t="shared" si="6"/>
        <v>1</v>
      </c>
      <c r="L21" s="46"/>
      <c r="M21" s="54"/>
      <c r="N21" s="46"/>
      <c r="O21" s="54"/>
      <c r="P21" s="54"/>
      <c r="Q21" s="54"/>
    </row>
    <row r="22" spans="1:17">
      <c r="A22" s="46" t="s">
        <v>86</v>
      </c>
      <c r="B22" s="79">
        <f>B7*B11/(B7+B6)</f>
        <v>2.5000000000000005E-3</v>
      </c>
      <c r="C22" s="69">
        <f t="shared" si="0"/>
        <v>0</v>
      </c>
      <c r="D22" s="62">
        <f t="shared" si="1"/>
        <v>2.5000000000000005E-3</v>
      </c>
      <c r="E22">
        <f>COUNTIF(tables_4!B:B,input_4!A22)-COUNTIF(Q:Q,A22)</f>
        <v>26</v>
      </c>
      <c r="F22" s="64">
        <f t="shared" si="2"/>
        <v>9.6153846153846167E-5</v>
      </c>
      <c r="G22">
        <f t="shared" si="3"/>
        <v>25974.000000000004</v>
      </c>
      <c r="H22">
        <f t="shared" si="4"/>
        <v>999</v>
      </c>
      <c r="I22">
        <f t="shared" si="5"/>
        <v>0</v>
      </c>
      <c r="J22">
        <f t="shared" si="6"/>
        <v>1</v>
      </c>
      <c r="L22" s="46"/>
      <c r="M22" s="54"/>
      <c r="N22" s="46"/>
      <c r="O22" s="54"/>
      <c r="P22" s="54"/>
      <c r="Q22" s="54"/>
    </row>
    <row r="23" spans="1:17">
      <c r="A23" s="46" t="s">
        <v>87</v>
      </c>
      <c r="B23" s="51">
        <f>B12*B7/(B7+B6)</f>
        <v>0</v>
      </c>
      <c r="C23" s="69">
        <f t="shared" si="0"/>
        <v>0</v>
      </c>
      <c r="D23" s="62">
        <f t="shared" si="1"/>
        <v>0</v>
      </c>
      <c r="E23">
        <f>COUNTIF(tables_4!B:B,input_4!A23)-COUNTIF(Q:Q,A23)</f>
        <v>0</v>
      </c>
      <c r="F23" s="64">
        <f t="shared" si="2"/>
        <v>0</v>
      </c>
      <c r="G23">
        <f t="shared" si="3"/>
        <v>0</v>
      </c>
      <c r="H23">
        <f t="shared" si="4"/>
        <v>0</v>
      </c>
      <c r="I23">
        <f t="shared" si="5"/>
        <v>0</v>
      </c>
      <c r="J23">
        <f t="shared" si="6"/>
        <v>1</v>
      </c>
      <c r="L23" s="46"/>
      <c r="M23" s="54"/>
      <c r="N23" s="46"/>
      <c r="O23" s="54"/>
      <c r="P23" s="54"/>
      <c r="Q23" s="54"/>
    </row>
    <row r="24" spans="1:17">
      <c r="A24" s="59" t="s">
        <v>74</v>
      </c>
      <c r="B24" s="60">
        <f>SUM(B17:B23)</f>
        <v>0.99999999999999989</v>
      </c>
      <c r="C24" s="61">
        <f>SUM(C17:C23)</f>
        <v>0</v>
      </c>
      <c r="D24" s="63">
        <f t="shared" si="1"/>
        <v>0.99999999999999989</v>
      </c>
      <c r="L24" s="46"/>
      <c r="M24" s="54"/>
      <c r="N24" s="46"/>
      <c r="O24" s="54"/>
      <c r="P24" s="54"/>
      <c r="Q24" s="54"/>
    </row>
    <row r="31" spans="1:17">
      <c r="A31" t="s">
        <v>93</v>
      </c>
    </row>
    <row r="32" spans="1:17">
      <c r="A32" s="34">
        <f>300*5.2*9*37*2*2*5</f>
        <v>10389600</v>
      </c>
    </row>
    <row r="34" spans="1:6">
      <c r="A34" s="68" t="s">
        <v>97</v>
      </c>
    </row>
    <row r="35" spans="1:6">
      <c r="A35" s="46" t="s">
        <v>75</v>
      </c>
      <c r="B35" t="s">
        <v>94</v>
      </c>
      <c r="C35" t="s">
        <v>123</v>
      </c>
      <c r="E35" t="s">
        <v>124</v>
      </c>
    </row>
    <row r="36" spans="1:6">
      <c r="A36" s="46" t="s">
        <v>119</v>
      </c>
      <c r="B36">
        <f>SUMIF(tables_4!B:B,input_4!A36,tables_4!L:L)</f>
        <v>5194800</v>
      </c>
      <c r="C36" s="77">
        <f>B36/B$43</f>
        <v>0.5</v>
      </c>
      <c r="E36">
        <v>3</v>
      </c>
      <c r="F36" s="78">
        <f>C36</f>
        <v>0.5</v>
      </c>
    </row>
    <row r="37" spans="1:6">
      <c r="A37" s="46" t="s">
        <v>120</v>
      </c>
      <c r="B37">
        <f>SUMIF(tables_4!B:B,input_4!A37,tables_4!L:L)</f>
        <v>4441554</v>
      </c>
      <c r="C37" s="77">
        <f t="shared" ref="C37:C42" si="7">B37/B$43</f>
        <v>0.42749999999999999</v>
      </c>
      <c r="E37">
        <v>4</v>
      </c>
      <c r="F37" s="78">
        <f>SUM(C37:C39)</f>
        <v>0.45</v>
      </c>
    </row>
    <row r="38" spans="1:6">
      <c r="A38" s="46" t="s">
        <v>84</v>
      </c>
      <c r="B38">
        <f>SUMIF(tables_4!B:B,input_4!A38,tables_4!L:L)</f>
        <v>233766</v>
      </c>
      <c r="C38" s="77">
        <f t="shared" si="7"/>
        <v>2.2499999999999999E-2</v>
      </c>
      <c r="E38">
        <v>5</v>
      </c>
      <c r="F38" s="78">
        <f>SUM(C40:C42)</f>
        <v>0.05</v>
      </c>
    </row>
    <row r="39" spans="1:6">
      <c r="A39" s="46" t="s">
        <v>85</v>
      </c>
      <c r="B39">
        <f>SUMIF(tables_4!B:B,input_4!A39,tables_4!L:L)</f>
        <v>0</v>
      </c>
      <c r="C39" s="77">
        <f t="shared" si="7"/>
        <v>0</v>
      </c>
    </row>
    <row r="40" spans="1:6">
      <c r="A40" s="46" t="s">
        <v>122</v>
      </c>
      <c r="B40">
        <f>SUMIF(tables_4!B:B,input_4!A40,tables_4!L:L)</f>
        <v>493506</v>
      </c>
      <c r="C40" s="77">
        <f t="shared" si="7"/>
        <v>4.7500000000000001E-2</v>
      </c>
      <c r="E40" t="s">
        <v>69</v>
      </c>
    </row>
    <row r="41" spans="1:6">
      <c r="A41" s="46" t="s">
        <v>86</v>
      </c>
      <c r="B41">
        <f>SUMIF(tables_4!B:B,input_4!A41,tables_4!L:L)</f>
        <v>25974</v>
      </c>
      <c r="C41" s="77">
        <f t="shared" si="7"/>
        <v>2.5000000000000001E-3</v>
      </c>
      <c r="E41" t="s">
        <v>126</v>
      </c>
      <c r="F41" s="78">
        <f>C36+C37+C40</f>
        <v>0.97499999999999998</v>
      </c>
    </row>
    <row r="42" spans="1:6">
      <c r="A42" s="46" t="s">
        <v>87</v>
      </c>
      <c r="B42">
        <f>SUMIF(tables_4!B:B,input_4!A42,tables_4!L:L)</f>
        <v>0</v>
      </c>
      <c r="C42" s="77">
        <f t="shared" si="7"/>
        <v>0</v>
      </c>
      <c r="E42" t="s">
        <v>127</v>
      </c>
      <c r="F42" s="78">
        <f>C38+C41</f>
        <v>2.4999999999999998E-2</v>
      </c>
    </row>
    <row r="43" spans="1:6">
      <c r="A43" s="59" t="s">
        <v>74</v>
      </c>
      <c r="B43">
        <f>SUM(B36:B42)</f>
        <v>10389600</v>
      </c>
      <c r="E43" t="s">
        <v>128</v>
      </c>
      <c r="F43" s="78">
        <f>C39+C42</f>
        <v>0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S255"/>
  <sheetViews>
    <sheetView showGridLines="0" zoomScale="75" zoomScaleNormal="75" zoomScalePageLayoutView="75" workbookViewId="0">
      <pane ySplit="1" topLeftCell="A2" activePane="bottomLeft" state="frozen"/>
      <selection activeCell="A32" sqref="A32"/>
      <selection pane="bottomLeft" activeCell="B182" sqref="B182:B194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105</v>
      </c>
      <c r="B1" s="3" t="s">
        <v>31</v>
      </c>
      <c r="C1" s="3" t="s">
        <v>117</v>
      </c>
      <c r="D1" s="16" t="s">
        <v>32</v>
      </c>
      <c r="E1" s="3" t="s">
        <v>33</v>
      </c>
      <c r="F1" s="3" t="s">
        <v>34</v>
      </c>
      <c r="G1" s="3" t="s">
        <v>35</v>
      </c>
      <c r="H1" s="3" t="s">
        <v>55</v>
      </c>
      <c r="I1" s="3" t="s">
        <v>36</v>
      </c>
      <c r="J1" s="3" t="s">
        <v>37</v>
      </c>
      <c r="K1" s="3" t="s">
        <v>73</v>
      </c>
      <c r="L1" s="16" t="s">
        <v>39</v>
      </c>
      <c r="M1" s="3" t="s">
        <v>79</v>
      </c>
      <c r="N1" s="16" t="s">
        <v>38</v>
      </c>
      <c r="O1" s="30" t="s">
        <v>5</v>
      </c>
      <c r="P1" s="30" t="s">
        <v>6</v>
      </c>
      <c r="Q1" s="30" t="s">
        <v>7</v>
      </c>
      <c r="R1" s="30" t="s">
        <v>8</v>
      </c>
      <c r="S1" s="30" t="s">
        <v>9</v>
      </c>
    </row>
    <row r="2" spans="1:19" ht="21" customHeight="1">
      <c r="A2" s="2">
        <f>input_4!A$2</f>
        <v>3124</v>
      </c>
      <c r="B2" s="7" t="str">
        <f>C2&amp;G2</f>
        <v>Premium3</v>
      </c>
      <c r="C2" s="7" t="str">
        <f>IF(F2="PremiumSS",F2,IF(F2="PremiumSSS",F2,"Premium"))</f>
        <v>Premium</v>
      </c>
      <c r="D2" s="6">
        <v>126</v>
      </c>
      <c r="E2" s="7" t="str">
        <f>VLOOKUP(D2,[1]characters!$A:$C,3,FALSE)</f>
        <v>骨器使い ユノ</v>
      </c>
      <c r="F2" s="7" t="str">
        <f>VLOOKUP(D2,[1]characters!$A:$J,10,FALSE)</f>
        <v>PremiumW</v>
      </c>
      <c r="G2" s="7">
        <f>VLOOKUP(D2,[1]characters!$A:$I,9,FALSE)</f>
        <v>3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human</v>
      </c>
      <c r="K2" s="7" t="str">
        <f>VLOOKUP(D2,[1]characters!$A:$G,7,FALSE)</f>
        <v>女性</v>
      </c>
      <c r="L2" s="66">
        <f>IFERROR(VLOOKUP(D2,input_4!L:R,7,FALSE),VLOOKUP(tables_4!B2,input_4!A:H,8,FALSE))</f>
        <v>70200</v>
      </c>
      <c r="M2" s="67">
        <f t="shared" ref="M2:M65" si="0">L2/SUM(L:L)</f>
        <v>6.7567567567567571E-3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customHeight="1">
      <c r="A3" s="2">
        <f>input_4!A$2</f>
        <v>3124</v>
      </c>
      <c r="B3" s="7" t="str">
        <f t="shared" ref="B3:B66" si="1">C3&amp;G3</f>
        <v>Premium4</v>
      </c>
      <c r="C3" s="7" t="str">
        <f t="shared" ref="C3:C66" si="2">IF(F3="PremiumSS",F3,IF(F3="PremiumSSS",F3,"Premium"))</f>
        <v>Premium</v>
      </c>
      <c r="D3" s="6">
        <v>127</v>
      </c>
      <c r="E3" s="7" t="str">
        <f>VLOOKUP(D3,[1]characters!$A:$C,3,FALSE)</f>
        <v>狂喜の賢者 ユノ</v>
      </c>
      <c r="F3" s="7" t="str">
        <f>VLOOKUP(D3,[1]characters!$A:$J,10,FALSE)</f>
        <v>PremiumW</v>
      </c>
      <c r="G3" s="7">
        <f>VLOOKUP(D3,[1]characters!$A:$I,9,FALSE)</f>
        <v>4</v>
      </c>
      <c r="H3" s="7" t="str">
        <f>VLOOKUP(D3,[1]characters!$A:$H,8,FALSE)</f>
        <v>red</v>
      </c>
      <c r="I3" s="7" t="str">
        <f>VLOOKUP(D3,[1]characters!$A:$K,11,FALSE)</f>
        <v>attack</v>
      </c>
      <c r="J3" s="7" t="str">
        <f>VLOOKUP(D3,[1]characters!$A:$M,13,FALSE)</f>
        <v>human</v>
      </c>
      <c r="K3" s="7" t="str">
        <f>VLOOKUP(D3,[1]characters!$A:$G,7,FALSE)</f>
        <v>女性</v>
      </c>
      <c r="L3" s="66">
        <f>IFERROR(VLOOKUP(D3,input_4!L:R,7,FALSE),VLOOKUP(tables_4!B3,input_4!A:H,8,FALSE))</f>
        <v>60021</v>
      </c>
      <c r="M3" s="67">
        <f t="shared" si="0"/>
        <v>5.777027027027027E-3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customHeight="1">
      <c r="A4" s="2">
        <f>input_4!A$2</f>
        <v>3124</v>
      </c>
      <c r="B4" s="7" t="str">
        <f t="shared" si="1"/>
        <v>Premium3</v>
      </c>
      <c r="C4" s="7" t="str">
        <f t="shared" si="2"/>
        <v>Premium</v>
      </c>
      <c r="D4" s="6">
        <v>128</v>
      </c>
      <c r="E4" s="7" t="str">
        <f>VLOOKUP(D4,[1]characters!$A:$C,3,FALSE)</f>
        <v>野生児 アマラ</v>
      </c>
      <c r="F4" s="7" t="str">
        <f>VLOOKUP(D4,[1]characters!$A:$J,10,FALSE)</f>
        <v>PremiumW</v>
      </c>
      <c r="G4" s="7">
        <f>VLOOKUP(D4,[1]characters!$A:$I,9,FALSE)</f>
        <v>3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66">
        <f>IFERROR(VLOOKUP(D4,input_4!L:R,7,FALSE),VLOOKUP(tables_4!B4,input_4!A:H,8,FALSE))</f>
        <v>70200</v>
      </c>
      <c r="M4" s="67">
        <f t="shared" si="0"/>
        <v>6.7567567567567571E-3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customHeight="1">
      <c r="A5" s="2">
        <f>input_4!A$2</f>
        <v>3124</v>
      </c>
      <c r="B5" s="7" t="str">
        <f t="shared" si="1"/>
        <v>Premium4</v>
      </c>
      <c r="C5" s="7" t="str">
        <f t="shared" si="2"/>
        <v>Premium</v>
      </c>
      <c r="D5" s="6">
        <v>129</v>
      </c>
      <c r="E5" s="7" t="str">
        <f>VLOOKUP(D5,[1]characters!$A:$C,3,FALSE)</f>
        <v>孤高の狼憑き アマラ</v>
      </c>
      <c r="F5" s="7" t="str">
        <f>VLOOKUP(D5,[1]characters!$A:$J,10,FALSE)</f>
        <v>PremiumW</v>
      </c>
      <c r="G5" s="7">
        <f>VLOOKUP(D5,[1]characters!$A:$I,9,FALSE)</f>
        <v>4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66">
        <f>IFERROR(VLOOKUP(D5,input_4!L:R,7,FALSE),VLOOKUP(tables_4!B5,input_4!A:H,8,FALSE))</f>
        <v>60021</v>
      </c>
      <c r="M5" s="67">
        <f t="shared" si="0"/>
        <v>5.777027027027027E-3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customHeight="1">
      <c r="A6" s="2">
        <f>input_4!A$2</f>
        <v>3124</v>
      </c>
      <c r="B6" s="7" t="str">
        <f t="shared" si="1"/>
        <v>Premium3</v>
      </c>
      <c r="C6" s="7" t="str">
        <f t="shared" si="2"/>
        <v>Premium</v>
      </c>
      <c r="D6" s="6">
        <v>130</v>
      </c>
      <c r="E6" s="7" t="str">
        <f>VLOOKUP(D6,[1]characters!$A:$C,3,FALSE)</f>
        <v>狼男 ローレンス</v>
      </c>
      <c r="F6" s="7" t="str">
        <f>VLOOKUP(D6,[1]characters!$A:$J,10,FALSE)</f>
        <v>PremiumW</v>
      </c>
      <c r="G6" s="7">
        <f>VLOOKUP(D6,[1]characters!$A:$I,9,FALSE)</f>
        <v>3</v>
      </c>
      <c r="H6" s="7" t="str">
        <f>VLOOKUP(D6,[1]characters!$A:$H,8,FALSE)</f>
        <v>blue</v>
      </c>
      <c r="I6" s="7" t="str">
        <f>VLOOKUP(D6,[1]characters!$A:$K,11,FALSE)</f>
        <v>attack</v>
      </c>
      <c r="J6" s="7" t="str">
        <f>VLOOKUP(D6,[1]characters!$A:$M,13,FALSE)</f>
        <v>animal</v>
      </c>
      <c r="K6" s="7" t="str">
        <f>VLOOKUP(D6,[1]characters!$A:$G,7,FALSE)</f>
        <v>不明</v>
      </c>
      <c r="L6" s="66">
        <f>IFERROR(VLOOKUP(D6,input_4!L:R,7,FALSE),VLOOKUP(tables_4!B6,input_4!A:H,8,FALSE))</f>
        <v>70200</v>
      </c>
      <c r="M6" s="67">
        <f t="shared" si="0"/>
        <v>6.7567567567567571E-3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customHeight="1">
      <c r="A7" s="2">
        <f>input_4!A$2</f>
        <v>3124</v>
      </c>
      <c r="B7" s="7" t="str">
        <f t="shared" si="1"/>
        <v>Premium4</v>
      </c>
      <c r="C7" s="7" t="str">
        <f t="shared" si="2"/>
        <v>Premium</v>
      </c>
      <c r="D7" s="6">
        <v>131</v>
      </c>
      <c r="E7" s="7" t="str">
        <f>VLOOKUP(D7,[1]characters!$A:$C,3,FALSE)</f>
        <v>月下の人狼 ローレンス</v>
      </c>
      <c r="F7" s="7" t="str">
        <f>VLOOKUP(D7,[1]characters!$A:$J,10,FALSE)</f>
        <v>PremiumW</v>
      </c>
      <c r="G7" s="7">
        <f>VLOOKUP(D7,[1]characters!$A:$I,9,FALSE)</f>
        <v>4</v>
      </c>
      <c r="H7" s="7" t="str">
        <f>VLOOKUP(D7,[1]characters!$A:$H,8,FALSE)</f>
        <v>blue</v>
      </c>
      <c r="I7" s="7" t="str">
        <f>VLOOKUP(D7,[1]characters!$A:$K,11,FALSE)</f>
        <v>attack</v>
      </c>
      <c r="J7" s="7" t="str">
        <f>VLOOKUP(D7,[1]characters!$A:$M,13,FALSE)</f>
        <v>animal</v>
      </c>
      <c r="K7" s="7" t="str">
        <f>VLOOKUP(D7,[1]characters!$A:$G,7,FALSE)</f>
        <v>不明</v>
      </c>
      <c r="L7" s="66">
        <f>IFERROR(VLOOKUP(D7,input_4!L:R,7,FALSE),VLOOKUP(tables_4!B7,input_4!A:H,8,FALSE))</f>
        <v>60021</v>
      </c>
      <c r="M7" s="67">
        <f t="shared" si="0"/>
        <v>5.777027027027027E-3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customHeight="1">
      <c r="A8" s="2">
        <f>input_4!A$2</f>
        <v>3124</v>
      </c>
      <c r="B8" s="7" t="str">
        <f t="shared" si="1"/>
        <v>Premium3</v>
      </c>
      <c r="C8" s="7" t="str">
        <f t="shared" si="2"/>
        <v>Premium</v>
      </c>
      <c r="D8" s="6">
        <v>132</v>
      </c>
      <c r="E8" s="7" t="str">
        <f>VLOOKUP(D8,[1]characters!$A:$C,3,FALSE)</f>
        <v>鳥人ハヤト</v>
      </c>
      <c r="F8" s="7" t="str">
        <f>VLOOKUP(D8,[1]characters!$A:$J,10,FALSE)</f>
        <v>PremiumW</v>
      </c>
      <c r="G8" s="7">
        <f>VLOOKUP(D8,[1]characters!$A:$I,9,FALSE)</f>
        <v>3</v>
      </c>
      <c r="H8" s="7" t="str">
        <f>VLOOKUP(D8,[1]characters!$A:$H,8,FALSE)</f>
        <v>yellow</v>
      </c>
      <c r="I8" s="7" t="str">
        <f>VLOOKUP(D8,[1]characters!$A:$K,11,FALSE)</f>
        <v>attack</v>
      </c>
      <c r="J8" s="7" t="str">
        <f>VLOOKUP(D8,[1]characters!$A:$M,13,FALSE)</f>
        <v>human</v>
      </c>
      <c r="K8" s="7" t="str">
        <f>VLOOKUP(D8,[1]characters!$A:$G,7,FALSE)</f>
        <v>男性</v>
      </c>
      <c r="L8" s="66">
        <f>IFERROR(VLOOKUP(D8,input_4!L:R,7,FALSE),VLOOKUP(tables_4!B8,input_4!A:H,8,FALSE))</f>
        <v>70200</v>
      </c>
      <c r="M8" s="67">
        <f t="shared" si="0"/>
        <v>6.7567567567567571E-3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customHeight="1">
      <c r="A9" s="2">
        <f>input_4!A$2</f>
        <v>3124</v>
      </c>
      <c r="B9" s="7" t="str">
        <f t="shared" si="1"/>
        <v>Premium4</v>
      </c>
      <c r="C9" s="7" t="str">
        <f t="shared" si="2"/>
        <v>Premium</v>
      </c>
      <c r="D9" s="6">
        <v>133</v>
      </c>
      <c r="E9" s="7" t="str">
        <f>VLOOKUP(D9,[1]characters!$A:$C,3,FALSE)</f>
        <v>迅雷の刀剣 ハヤト</v>
      </c>
      <c r="F9" s="7" t="str">
        <f>VLOOKUP(D9,[1]characters!$A:$J,10,FALSE)</f>
        <v>PremiumW</v>
      </c>
      <c r="G9" s="7">
        <f>VLOOKUP(D9,[1]characters!$A:$I,9,FALSE)</f>
        <v>4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human</v>
      </c>
      <c r="K9" s="7" t="str">
        <f>VLOOKUP(D9,[1]characters!$A:$G,7,FALSE)</f>
        <v>男性</v>
      </c>
      <c r="L9" s="66">
        <f>IFERROR(VLOOKUP(D9,input_4!L:R,7,FALSE),VLOOKUP(tables_4!B9,input_4!A:H,8,FALSE))</f>
        <v>60021</v>
      </c>
      <c r="M9" s="67">
        <f t="shared" si="0"/>
        <v>5.777027027027027E-3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customHeight="1">
      <c r="A10" s="2">
        <f>input_4!A$2</f>
        <v>3124</v>
      </c>
      <c r="B10" s="7" t="str">
        <f t="shared" si="1"/>
        <v>Premium3</v>
      </c>
      <c r="C10" s="7" t="str">
        <f t="shared" si="2"/>
        <v>Premium</v>
      </c>
      <c r="D10" s="6">
        <v>134</v>
      </c>
      <c r="E10" s="7" t="str">
        <f>VLOOKUP(D10,[1]characters!$A:$C,3,FALSE)</f>
        <v>妖炎の夕霧</v>
      </c>
      <c r="F10" s="7" t="str">
        <f>VLOOKUP(D10,[1]characters!$A:$J,10,FALSE)</f>
        <v>PremiumW</v>
      </c>
      <c r="G10" s="7">
        <f>VLOOKUP(D10,[1]characters!$A:$I,9,FALSE)</f>
        <v>3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66">
        <f>IFERROR(VLOOKUP(D10,input_4!L:R,7,FALSE),VLOOKUP(tables_4!B10,input_4!A:H,8,FALSE))</f>
        <v>70200</v>
      </c>
      <c r="M10" s="67">
        <f t="shared" si="0"/>
        <v>6.7567567567567571E-3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customHeight="1">
      <c r="A11" s="2">
        <f>input_4!A$2</f>
        <v>3124</v>
      </c>
      <c r="B11" s="7" t="str">
        <f t="shared" si="1"/>
        <v>Premium4</v>
      </c>
      <c r="C11" s="7" t="str">
        <f t="shared" si="2"/>
        <v>Premium</v>
      </c>
      <c r="D11" s="6">
        <v>135</v>
      </c>
      <c r="E11" s="7" t="str">
        <f>VLOOKUP(D11,[1]characters!$A:$C,3,FALSE)</f>
        <v>京の炎華夕霧</v>
      </c>
      <c r="F11" s="7" t="str">
        <f>VLOOKUP(D11,[1]characters!$A:$J,10,FALSE)</f>
        <v>PremiumW</v>
      </c>
      <c r="G11" s="7">
        <f>VLOOKUP(D11,[1]characters!$A:$I,9,FALSE)</f>
        <v>4</v>
      </c>
      <c r="H11" s="7" t="str">
        <f>VLOOKUP(D11,[1]characters!$A:$H,8,FALSE)</f>
        <v>red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66">
        <f>IFERROR(VLOOKUP(D11,input_4!L:R,7,FALSE),VLOOKUP(tables_4!B11,input_4!A:H,8,FALSE))</f>
        <v>60021</v>
      </c>
      <c r="M11" s="67">
        <f t="shared" si="0"/>
        <v>5.777027027027027E-3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customHeight="1">
      <c r="A12" s="2">
        <f>input_4!A$2</f>
        <v>3124</v>
      </c>
      <c r="B12" s="7" t="str">
        <f t="shared" si="1"/>
        <v>Premium3</v>
      </c>
      <c r="C12" s="7" t="str">
        <f t="shared" si="2"/>
        <v>Premium</v>
      </c>
      <c r="D12" s="8">
        <v>136</v>
      </c>
      <c r="E12" s="7" t="str">
        <f>VLOOKUP(D12,[1]characters!$A:$C,3,FALSE)</f>
        <v>お針子チハヤ</v>
      </c>
      <c r="F12" s="7" t="str">
        <f>VLOOKUP(D12,[1]characters!$A:$J,10,FALSE)</f>
        <v>PremiumW</v>
      </c>
      <c r="G12" s="7">
        <f>VLOOKUP(D12,[1]characters!$A:$I,9,FALSE)</f>
        <v>3</v>
      </c>
      <c r="H12" s="7" t="str">
        <f>VLOOKUP(D12,[1]characters!$A:$H,8,FALSE)</f>
        <v>green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66">
        <f>IFERROR(VLOOKUP(D12,input_4!L:R,7,FALSE),VLOOKUP(tables_4!B12,input_4!A:H,8,FALSE))</f>
        <v>70200</v>
      </c>
      <c r="M12" s="67">
        <f t="shared" si="0"/>
        <v>6.7567567567567571E-3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customHeight="1">
      <c r="A13" s="2">
        <f>input_4!A$2</f>
        <v>3124</v>
      </c>
      <c r="B13" s="7" t="str">
        <f t="shared" si="1"/>
        <v>Premium4</v>
      </c>
      <c r="C13" s="7" t="str">
        <f t="shared" si="2"/>
        <v>Premium</v>
      </c>
      <c r="D13" s="8">
        <v>137</v>
      </c>
      <c r="E13" s="7" t="str">
        <f>VLOOKUP(D13,[1]characters!$A:$C,3,FALSE)</f>
        <v>清福の仕立屋 チハヤ</v>
      </c>
      <c r="F13" s="7" t="str">
        <f>VLOOKUP(D13,[1]characters!$A:$J,10,FALSE)</f>
        <v>PremiumW</v>
      </c>
      <c r="G13" s="7">
        <f>VLOOKUP(D13,[1]characters!$A:$I,9,FALSE)</f>
        <v>4</v>
      </c>
      <c r="H13" s="7" t="str">
        <f>VLOOKUP(D13,[1]characters!$A:$H,8,FALSE)</f>
        <v>green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女性</v>
      </c>
      <c r="L13" s="66">
        <f>IFERROR(VLOOKUP(D13,input_4!L:R,7,FALSE),VLOOKUP(tables_4!B13,input_4!A:H,8,FALSE))</f>
        <v>60021</v>
      </c>
      <c r="M13" s="67">
        <f t="shared" si="0"/>
        <v>5.777027027027027E-3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customHeight="1">
      <c r="A14" s="2">
        <f>input_4!A$2</f>
        <v>3124</v>
      </c>
      <c r="B14" s="7" t="str">
        <f t="shared" si="1"/>
        <v>Premium3</v>
      </c>
      <c r="C14" s="7" t="str">
        <f t="shared" si="2"/>
        <v>Premium</v>
      </c>
      <c r="D14" s="6">
        <v>138</v>
      </c>
      <c r="E14" s="7" t="str">
        <f>VLOOKUP(D14,[1]characters!$A:$C,3,FALSE)</f>
        <v>蒼薙のトモエ</v>
      </c>
      <c r="F14" s="7" t="str">
        <f>VLOOKUP(D14,[1]characters!$A:$J,10,FALSE)</f>
        <v>PremiumW</v>
      </c>
      <c r="G14" s="7">
        <f>VLOOKUP(D14,[1]characters!$A:$I,9,FALSE)</f>
        <v>3</v>
      </c>
      <c r="H14" s="7" t="str">
        <f>VLOOKUP(D14,[1]characters!$A:$H,8,FALSE)</f>
        <v>blue</v>
      </c>
      <c r="I14" s="7" t="str">
        <f>VLOOKUP(D14,[1]characters!$A:$K,11,FALSE)</f>
        <v>balance</v>
      </c>
      <c r="J14" s="7" t="str">
        <f>VLOOKUP(D14,[1]characters!$A:$M,13,FALSE)</f>
        <v>human</v>
      </c>
      <c r="K14" s="7" t="str">
        <f>VLOOKUP(D14,[1]characters!$A:$G,7,FALSE)</f>
        <v>女性</v>
      </c>
      <c r="L14" s="66">
        <f>IFERROR(VLOOKUP(D14,input_4!L:R,7,FALSE),VLOOKUP(tables_4!B14,input_4!A:H,8,FALSE))</f>
        <v>70200</v>
      </c>
      <c r="M14" s="67">
        <f t="shared" si="0"/>
        <v>6.7567567567567571E-3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customHeight="1">
      <c r="A15" s="2">
        <f>input_4!A$2</f>
        <v>3124</v>
      </c>
      <c r="B15" s="7" t="str">
        <f t="shared" si="1"/>
        <v>Premium4</v>
      </c>
      <c r="C15" s="7" t="str">
        <f t="shared" si="2"/>
        <v>Premium</v>
      </c>
      <c r="D15" s="6">
        <v>139</v>
      </c>
      <c r="E15" s="7" t="str">
        <f>VLOOKUP(D15,[1]characters!$A:$C,3,FALSE)</f>
        <v>蒼昇刃姫 トモエ</v>
      </c>
      <c r="F15" s="7" t="str">
        <f>VLOOKUP(D15,[1]characters!$A:$J,10,FALSE)</f>
        <v>PremiumW</v>
      </c>
      <c r="G15" s="7">
        <f>VLOOKUP(D15,[1]characters!$A:$I,9,FALSE)</f>
        <v>4</v>
      </c>
      <c r="H15" s="7" t="str">
        <f>VLOOKUP(D15,[1]characters!$A:$H,8,FALSE)</f>
        <v>blue</v>
      </c>
      <c r="I15" s="7" t="str">
        <f>VLOOKUP(D15,[1]characters!$A:$K,11,FALSE)</f>
        <v>balance</v>
      </c>
      <c r="J15" s="7" t="str">
        <f>VLOOKUP(D15,[1]characters!$A:$M,13,FALSE)</f>
        <v>human</v>
      </c>
      <c r="K15" s="7" t="str">
        <f>VLOOKUP(D15,[1]characters!$A:$G,7,FALSE)</f>
        <v>女性</v>
      </c>
      <c r="L15" s="66">
        <f>IFERROR(VLOOKUP(D15,input_4!L:R,7,FALSE),VLOOKUP(tables_4!B15,input_4!A:H,8,FALSE))</f>
        <v>60021</v>
      </c>
      <c r="M15" s="67">
        <f t="shared" si="0"/>
        <v>5.777027027027027E-3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customHeight="1">
      <c r="A16" s="2">
        <f>input_4!A$2</f>
        <v>3124</v>
      </c>
      <c r="B16" s="7" t="str">
        <f t="shared" si="1"/>
        <v>Premium3</v>
      </c>
      <c r="C16" s="7" t="str">
        <f t="shared" si="2"/>
        <v>Premium</v>
      </c>
      <c r="D16" s="10">
        <v>140</v>
      </c>
      <c r="E16" s="7" t="str">
        <f>VLOOKUP(D16,[1]characters!$A:$C,3,FALSE)</f>
        <v>秋祭のタマモ</v>
      </c>
      <c r="F16" s="7" t="str">
        <f>VLOOKUP(D16,[1]characters!$A:$J,10,FALSE)</f>
        <v>PremiumW</v>
      </c>
      <c r="G16" s="7">
        <f>VLOOKUP(D16,[1]characters!$A:$I,9,FALSE)</f>
        <v>3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animal</v>
      </c>
      <c r="K16" s="7" t="str">
        <f>VLOOKUP(D16,[1]characters!$A:$G,7,FALSE)</f>
        <v>女性</v>
      </c>
      <c r="L16" s="66">
        <f>IFERROR(VLOOKUP(D16,input_4!L:R,7,FALSE),VLOOKUP(tables_4!B16,input_4!A:H,8,FALSE))</f>
        <v>70200</v>
      </c>
      <c r="M16" s="67">
        <f t="shared" si="0"/>
        <v>6.7567567567567571E-3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customHeight="1">
      <c r="A17" s="2">
        <f>input_4!A$2</f>
        <v>3124</v>
      </c>
      <c r="B17" s="7" t="str">
        <f t="shared" si="1"/>
        <v>Premium4</v>
      </c>
      <c r="C17" s="7" t="str">
        <f t="shared" si="2"/>
        <v>Premium</v>
      </c>
      <c r="D17" s="11">
        <v>141</v>
      </c>
      <c r="E17" s="7" t="str">
        <f>VLOOKUP(D17,[1]characters!$A:$C,3,FALSE)</f>
        <v>妖狐演舞 タマモ</v>
      </c>
      <c r="F17" s="7" t="str">
        <f>VLOOKUP(D17,[1]characters!$A:$J,10,FALSE)</f>
        <v>PremiumW</v>
      </c>
      <c r="G17" s="7">
        <f>VLOOKUP(D17,[1]characters!$A:$I,9,FALSE)</f>
        <v>4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animal</v>
      </c>
      <c r="K17" s="7" t="str">
        <f>VLOOKUP(D17,[1]characters!$A:$G,7,FALSE)</f>
        <v>女性</v>
      </c>
      <c r="L17" s="66">
        <f>IFERROR(VLOOKUP(D17,input_4!L:R,7,FALSE),VLOOKUP(tables_4!B17,input_4!A:H,8,FALSE))</f>
        <v>60021</v>
      </c>
      <c r="M17" s="67">
        <f t="shared" si="0"/>
        <v>5.777027027027027E-3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customHeight="1">
      <c r="A18" s="2">
        <f>input_4!A$2</f>
        <v>3124</v>
      </c>
      <c r="B18" s="7" t="str">
        <f t="shared" si="1"/>
        <v>Premium3</v>
      </c>
      <c r="C18" s="7" t="str">
        <f t="shared" si="2"/>
        <v>Premium</v>
      </c>
      <c r="D18" s="6">
        <v>142</v>
      </c>
      <c r="E18" s="7" t="str">
        <f>VLOOKUP(D18,[1]characters!$A:$C,3,FALSE)</f>
        <v>赤ずきん</v>
      </c>
      <c r="F18" s="7" t="str">
        <f>VLOOKUP(D18,[1]characters!$A:$J,10,FALSE)</f>
        <v>PremiumW</v>
      </c>
      <c r="G18" s="7">
        <f>VLOOKUP(D18,[1]characters!$A:$I,9,FALSE)</f>
        <v>3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human</v>
      </c>
      <c r="K18" s="7" t="str">
        <f>VLOOKUP(D18,[1]characters!$A:$G,7,FALSE)</f>
        <v>女性</v>
      </c>
      <c r="L18" s="66">
        <f>IFERROR(VLOOKUP(D18,input_4!L:R,7,FALSE),VLOOKUP(tables_4!B18,input_4!A:H,8,FALSE))</f>
        <v>70200</v>
      </c>
      <c r="M18" s="67">
        <f t="shared" si="0"/>
        <v>6.7567567567567571E-3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s="12" customFormat="1" ht="21" customHeight="1" thickBot="1">
      <c r="A19" s="2">
        <f>input_4!A$2</f>
        <v>3124</v>
      </c>
      <c r="B19" s="7" t="str">
        <f t="shared" si="1"/>
        <v>Premium4</v>
      </c>
      <c r="C19" s="7" t="str">
        <f t="shared" si="2"/>
        <v>Premium</v>
      </c>
      <c r="D19" s="6">
        <v>143</v>
      </c>
      <c r="E19" s="7" t="str">
        <f>VLOOKUP(D19,[1]characters!$A:$C,3,FALSE)</f>
        <v>深紅の死神 赤ずきん</v>
      </c>
      <c r="F19" s="7" t="str">
        <f>VLOOKUP(D19,[1]characters!$A:$J,10,FALSE)</f>
        <v>PremiumW</v>
      </c>
      <c r="G19" s="7">
        <f>VLOOKUP(D19,[1]characters!$A:$I,9,FALSE)</f>
        <v>4</v>
      </c>
      <c r="H19" s="7" t="str">
        <f>VLOOKUP(D19,[1]characters!$A:$H,8,FALSE)</f>
        <v>red</v>
      </c>
      <c r="I19" s="7" t="str">
        <f>VLOOKUP(D19,[1]characters!$A:$K,11,FALSE)</f>
        <v>balance</v>
      </c>
      <c r="J19" s="7" t="str">
        <f>VLOOKUP(D19,[1]characters!$A:$M,13,FALSE)</f>
        <v>human</v>
      </c>
      <c r="K19" s="7" t="str">
        <f>VLOOKUP(D19,[1]characters!$A:$G,7,FALSE)</f>
        <v>女性</v>
      </c>
      <c r="L19" s="66">
        <f>IFERROR(VLOOKUP(D19,input_4!L:R,7,FALSE),VLOOKUP(tables_4!B19,input_4!A:H,8,FALSE))</f>
        <v>60021</v>
      </c>
      <c r="M19" s="67">
        <f t="shared" si="0"/>
        <v>5.777027027027027E-3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customHeight="1">
      <c r="A20" s="2">
        <f>input_4!A$2</f>
        <v>3124</v>
      </c>
      <c r="B20" s="7" t="str">
        <f t="shared" si="1"/>
        <v>Premium3</v>
      </c>
      <c r="C20" s="7" t="str">
        <f t="shared" si="2"/>
        <v>Premium</v>
      </c>
      <c r="D20" s="10">
        <v>144</v>
      </c>
      <c r="E20" s="7" t="str">
        <f>VLOOKUP(D20,[1]characters!$A:$C,3,FALSE)</f>
        <v>かぐや</v>
      </c>
      <c r="F20" s="7" t="str">
        <f>VLOOKUP(D20,[1]characters!$A:$J,10,FALSE)</f>
        <v>PremiumW</v>
      </c>
      <c r="G20" s="7">
        <f>VLOOKUP(D20,[1]characters!$A:$I,9,FALSE)</f>
        <v>3</v>
      </c>
      <c r="H20" s="7" t="str">
        <f>VLOOKUP(D20,[1]characters!$A:$H,8,FALSE)</f>
        <v>green</v>
      </c>
      <c r="I20" s="7" t="str">
        <f>VLOOKUP(D20,[1]characters!$A:$K,11,FALSE)</f>
        <v>hp</v>
      </c>
      <c r="J20" s="7" t="str">
        <f>VLOOKUP(D20,[1]characters!$A:$M,13,FALSE)</f>
        <v>human</v>
      </c>
      <c r="K20" s="7" t="str">
        <f>VLOOKUP(D20,[1]characters!$A:$G,7,FALSE)</f>
        <v>女性</v>
      </c>
      <c r="L20" s="66">
        <f>IFERROR(VLOOKUP(D20,input_4!L:R,7,FALSE),VLOOKUP(tables_4!B20,input_4!A:H,8,FALSE))</f>
        <v>70200</v>
      </c>
      <c r="M20" s="67">
        <f t="shared" si="0"/>
        <v>6.7567567567567571E-3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customHeight="1">
      <c r="A21" s="2">
        <f>input_4!A$2</f>
        <v>3124</v>
      </c>
      <c r="B21" s="7" t="str">
        <f t="shared" si="1"/>
        <v>Premium4</v>
      </c>
      <c r="C21" s="7" t="str">
        <f t="shared" si="2"/>
        <v>Premium</v>
      </c>
      <c r="D21" s="6">
        <v>145</v>
      </c>
      <c r="E21" s="7" t="str">
        <f>VLOOKUP(D21,[1]characters!$A:$C,3,FALSE)</f>
        <v>魔性妖艶 かぐや</v>
      </c>
      <c r="F21" s="7" t="str">
        <f>VLOOKUP(D21,[1]characters!$A:$J,10,FALSE)</f>
        <v>PremiumW</v>
      </c>
      <c r="G21" s="7">
        <f>VLOOKUP(D21,[1]characters!$A:$I,9,FALSE)</f>
        <v>4</v>
      </c>
      <c r="H21" s="7" t="str">
        <f>VLOOKUP(D21,[1]characters!$A:$H,8,FALSE)</f>
        <v>green</v>
      </c>
      <c r="I21" s="7" t="str">
        <f>VLOOKUP(D21,[1]characters!$A:$K,11,FALSE)</f>
        <v>hp</v>
      </c>
      <c r="J21" s="7" t="str">
        <f>VLOOKUP(D21,[1]characters!$A:$M,13,FALSE)</f>
        <v>human</v>
      </c>
      <c r="K21" s="7" t="str">
        <f>VLOOKUP(D21,[1]characters!$A:$G,7,FALSE)</f>
        <v>女性</v>
      </c>
      <c r="L21" s="66">
        <f>IFERROR(VLOOKUP(D21,input_4!L:R,7,FALSE),VLOOKUP(tables_4!B21,input_4!A:H,8,FALSE))</f>
        <v>60021</v>
      </c>
      <c r="M21" s="67">
        <f t="shared" si="0"/>
        <v>5.777027027027027E-3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customHeight="1">
      <c r="A22" s="2">
        <f>input_4!A$2</f>
        <v>3124</v>
      </c>
      <c r="B22" s="7" t="str">
        <f t="shared" si="1"/>
        <v>Premium3</v>
      </c>
      <c r="C22" s="7" t="str">
        <f t="shared" si="2"/>
        <v>Premium</v>
      </c>
      <c r="D22" s="6">
        <v>146</v>
      </c>
      <c r="E22" s="7" t="str">
        <f>VLOOKUP(D22,[1]characters!$A:$C,3,FALSE)</f>
        <v>マーメイド</v>
      </c>
      <c r="F22" s="7" t="str">
        <f>VLOOKUP(D22,[1]characters!$A:$J,10,FALSE)</f>
        <v>PremiumW</v>
      </c>
      <c r="G22" s="7">
        <f>VLOOKUP(D22,[1]characters!$A:$I,9,FALSE)</f>
        <v>3</v>
      </c>
      <c r="H22" s="7" t="str">
        <f>VLOOKUP(D22,[1]characters!$A:$H,8,FALSE)</f>
        <v>blue</v>
      </c>
      <c r="I22" s="7" t="str">
        <f>VLOOKUP(D22,[1]characters!$A:$K,11,FALSE)</f>
        <v>hp</v>
      </c>
      <c r="J22" s="7" t="str">
        <f>VLOOKUP(D22,[1]characters!$A:$M,13,FALSE)</f>
        <v>human</v>
      </c>
      <c r="K22" s="7" t="str">
        <f>VLOOKUP(D22,[1]characters!$A:$G,7,FALSE)</f>
        <v>女性</v>
      </c>
      <c r="L22" s="66">
        <f>IFERROR(VLOOKUP(D22,input_4!L:R,7,FALSE),VLOOKUP(tables_4!B22,input_4!A:H,8,FALSE))</f>
        <v>70200</v>
      </c>
      <c r="M22" s="67">
        <f t="shared" si="0"/>
        <v>6.7567567567567571E-3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customHeight="1">
      <c r="A23" s="2">
        <f>input_4!A$2</f>
        <v>3124</v>
      </c>
      <c r="B23" s="7" t="str">
        <f t="shared" si="1"/>
        <v>Premium4</v>
      </c>
      <c r="C23" s="7" t="str">
        <f t="shared" si="2"/>
        <v>Premium</v>
      </c>
      <c r="D23" s="6">
        <v>147</v>
      </c>
      <c r="E23" s="7" t="str">
        <f>VLOOKUP(D23,[1]characters!$A:$C,3,FALSE)</f>
        <v>蒼き閃光 元マーメイド</v>
      </c>
      <c r="F23" s="7" t="str">
        <f>VLOOKUP(D23,[1]characters!$A:$J,10,FALSE)</f>
        <v>PremiumW</v>
      </c>
      <c r="G23" s="7">
        <f>VLOOKUP(D23,[1]characters!$A:$I,9,FALSE)</f>
        <v>4</v>
      </c>
      <c r="H23" s="7" t="str">
        <f>VLOOKUP(D23,[1]characters!$A:$H,8,FALSE)</f>
        <v>blue</v>
      </c>
      <c r="I23" s="7" t="str">
        <f>VLOOKUP(D23,[1]characters!$A:$K,11,FALSE)</f>
        <v>hp</v>
      </c>
      <c r="J23" s="7" t="str">
        <f>VLOOKUP(D23,[1]characters!$A:$M,13,FALSE)</f>
        <v>human</v>
      </c>
      <c r="K23" s="7" t="str">
        <f>VLOOKUP(D23,[1]characters!$A:$G,7,FALSE)</f>
        <v>女性</v>
      </c>
      <c r="L23" s="66">
        <f>IFERROR(VLOOKUP(D23,input_4!L:R,7,FALSE),VLOOKUP(tables_4!B23,input_4!A:H,8,FALSE))</f>
        <v>60021</v>
      </c>
      <c r="M23" s="67">
        <f t="shared" si="0"/>
        <v>5.777027027027027E-3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customHeight="1">
      <c r="A24" s="2">
        <f>input_4!A$2</f>
        <v>3124</v>
      </c>
      <c r="B24" s="7" t="str">
        <f t="shared" si="1"/>
        <v>Premium3</v>
      </c>
      <c r="C24" s="7" t="str">
        <f t="shared" si="2"/>
        <v>Premium</v>
      </c>
      <c r="D24" s="6">
        <v>148</v>
      </c>
      <c r="E24" s="7" t="str">
        <f>VLOOKUP(D24,[1]characters!$A:$C,3,FALSE)</f>
        <v>シンデレラ</v>
      </c>
      <c r="F24" s="7" t="str">
        <f>VLOOKUP(D24,[1]characters!$A:$J,10,FALSE)</f>
        <v>PremiumW</v>
      </c>
      <c r="G24" s="7">
        <f>VLOOKUP(D24,[1]characters!$A:$I,9,FALSE)</f>
        <v>3</v>
      </c>
      <c r="H24" s="7" t="str">
        <f>VLOOKUP(D24,[1]characters!$A:$H,8,FALSE)</f>
        <v>yellow</v>
      </c>
      <c r="I24" s="7" t="str">
        <f>VLOOKUP(D24,[1]characters!$A:$K,11,FALSE)</f>
        <v>balance</v>
      </c>
      <c r="J24" s="7" t="str">
        <f>VLOOKUP(D24,[1]characters!$A:$M,13,FALSE)</f>
        <v>human</v>
      </c>
      <c r="K24" s="7" t="str">
        <f>VLOOKUP(D24,[1]characters!$A:$G,7,FALSE)</f>
        <v>女性</v>
      </c>
      <c r="L24" s="66">
        <f>IFERROR(VLOOKUP(D24,input_4!L:R,7,FALSE),VLOOKUP(tables_4!B24,input_4!A:H,8,FALSE))</f>
        <v>70200</v>
      </c>
      <c r="M24" s="67">
        <f t="shared" si="0"/>
        <v>6.7567567567567571E-3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customHeight="1">
      <c r="A25" s="2">
        <f>input_4!A$2</f>
        <v>3124</v>
      </c>
      <c r="B25" s="7" t="str">
        <f t="shared" si="1"/>
        <v>Premium4</v>
      </c>
      <c r="C25" s="7" t="str">
        <f t="shared" si="2"/>
        <v>Premium</v>
      </c>
      <c r="D25" s="6">
        <v>149</v>
      </c>
      <c r="E25" s="7" t="str">
        <f>VLOOKUP(D25,[1]characters!$A:$C,3,FALSE)</f>
        <v>雷撃蹴技を極めし者 シンデレラ</v>
      </c>
      <c r="F25" s="7" t="str">
        <f>VLOOKUP(D25,[1]characters!$A:$J,10,FALSE)</f>
        <v>PremiumW</v>
      </c>
      <c r="G25" s="7">
        <f>VLOOKUP(D25,[1]characters!$A:$I,9,FALSE)</f>
        <v>4</v>
      </c>
      <c r="H25" s="7" t="str">
        <f>VLOOKUP(D25,[1]characters!$A:$H,8,FALSE)</f>
        <v>yellow</v>
      </c>
      <c r="I25" s="7" t="str">
        <f>VLOOKUP(D25,[1]characters!$A:$K,11,FALSE)</f>
        <v>balance</v>
      </c>
      <c r="J25" s="7" t="str">
        <f>VLOOKUP(D25,[1]characters!$A:$M,13,FALSE)</f>
        <v>human</v>
      </c>
      <c r="K25" s="7" t="str">
        <f>VLOOKUP(D25,[1]characters!$A:$G,7,FALSE)</f>
        <v>女性</v>
      </c>
      <c r="L25" s="66">
        <f>IFERROR(VLOOKUP(D25,input_4!L:R,7,FALSE),VLOOKUP(tables_4!B25,input_4!A:H,8,FALSE))</f>
        <v>60021</v>
      </c>
      <c r="M25" s="67">
        <f t="shared" si="0"/>
        <v>5.777027027027027E-3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customHeight="1">
      <c r="A26" s="2">
        <f>input_4!A$2</f>
        <v>3124</v>
      </c>
      <c r="B26" s="7" t="str">
        <f t="shared" si="1"/>
        <v>Premium3</v>
      </c>
      <c r="C26" s="7" t="str">
        <f t="shared" si="2"/>
        <v>Premium</v>
      </c>
      <c r="D26" s="6">
        <v>150</v>
      </c>
      <c r="E26" s="7" t="str">
        <f>VLOOKUP(D26,[1]characters!$A:$C,3,FALSE)</f>
        <v>ポイズンマスターサキ</v>
      </c>
      <c r="F26" s="7" t="str">
        <f>VLOOKUP(D26,[1]characters!$A:$J,10,FALSE)</f>
        <v>PremiumW</v>
      </c>
      <c r="G26" s="7">
        <f>VLOOKUP(D26,[1]characters!$A:$I,9,FALSE)</f>
        <v>3</v>
      </c>
      <c r="H26" s="7" t="str">
        <f>VLOOKUP(D26,[1]characters!$A:$H,8,FALSE)</f>
        <v>red</v>
      </c>
      <c r="I26" s="7" t="str">
        <f>VLOOKUP(D26,[1]characters!$A:$K,11,FALSE)</f>
        <v>technical</v>
      </c>
      <c r="J26" s="7" t="str">
        <f>VLOOKUP(D26,[1]characters!$A:$M,13,FALSE)</f>
        <v>human</v>
      </c>
      <c r="K26" s="7" t="str">
        <f>VLOOKUP(D26,[1]characters!$A:$G,7,FALSE)</f>
        <v>女性</v>
      </c>
      <c r="L26" s="66">
        <f>IFERROR(VLOOKUP(D26,input_4!L:R,7,FALSE),VLOOKUP(tables_4!B26,input_4!A:H,8,FALSE))</f>
        <v>70200</v>
      </c>
      <c r="M26" s="67">
        <f t="shared" si="0"/>
        <v>6.7567567567567571E-3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customHeight="1">
      <c r="A27" s="2">
        <f>input_4!A$2</f>
        <v>3124</v>
      </c>
      <c r="B27" s="7" t="str">
        <f t="shared" si="1"/>
        <v>Premium4</v>
      </c>
      <c r="C27" s="7" t="str">
        <f t="shared" si="2"/>
        <v>Premium</v>
      </c>
      <c r="D27" s="6">
        <v>151</v>
      </c>
      <c r="E27" s="7" t="str">
        <f>VLOOKUP(D27,[1]characters!$A:$C,3,FALSE)</f>
        <v>毒煙の処刑人サキ</v>
      </c>
      <c r="F27" s="7" t="str">
        <f>VLOOKUP(D27,[1]characters!$A:$J,10,FALSE)</f>
        <v>PremiumW</v>
      </c>
      <c r="G27" s="7">
        <f>VLOOKUP(D27,[1]characters!$A:$I,9,FALSE)</f>
        <v>4</v>
      </c>
      <c r="H27" s="7" t="str">
        <f>VLOOKUP(D27,[1]characters!$A:$H,8,FALSE)</f>
        <v>red</v>
      </c>
      <c r="I27" s="7" t="str">
        <f>VLOOKUP(D27,[1]characters!$A:$K,11,FALSE)</f>
        <v>technical</v>
      </c>
      <c r="J27" s="7" t="str">
        <f>VLOOKUP(D27,[1]characters!$A:$M,13,FALSE)</f>
        <v>human</v>
      </c>
      <c r="K27" s="7" t="str">
        <f>VLOOKUP(D27,[1]characters!$A:$G,7,FALSE)</f>
        <v>女性</v>
      </c>
      <c r="L27" s="66">
        <f>IFERROR(VLOOKUP(D27,input_4!L:R,7,FALSE),VLOOKUP(tables_4!B27,input_4!A:H,8,FALSE))</f>
        <v>60021</v>
      </c>
      <c r="M27" s="67">
        <f t="shared" si="0"/>
        <v>5.777027027027027E-3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customHeight="1">
      <c r="A28" s="2">
        <f>input_4!A$2</f>
        <v>3124</v>
      </c>
      <c r="B28" s="7" t="str">
        <f t="shared" si="1"/>
        <v>Premium3</v>
      </c>
      <c r="C28" s="7" t="str">
        <f t="shared" si="2"/>
        <v>Premium</v>
      </c>
      <c r="D28" s="6">
        <v>152</v>
      </c>
      <c r="E28" s="7" t="str">
        <f>VLOOKUP(D28,[1]characters!$A:$C,3,FALSE)</f>
        <v>功夫少女ランラン</v>
      </c>
      <c r="F28" s="7" t="str">
        <f>VLOOKUP(D28,[1]characters!$A:$J,10,FALSE)</f>
        <v>PremiumW</v>
      </c>
      <c r="G28" s="7">
        <f>VLOOKUP(D28,[1]characters!$A:$I,9,FALSE)</f>
        <v>3</v>
      </c>
      <c r="H28" s="7" t="str">
        <f>VLOOKUP(D28,[1]characters!$A:$H,8,FALSE)</f>
        <v>green</v>
      </c>
      <c r="I28" s="7" t="str">
        <f>VLOOKUP(D28,[1]characters!$A:$K,11,FALSE)</f>
        <v>heal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66">
        <f>IFERROR(VLOOKUP(D28,input_4!L:R,7,FALSE),VLOOKUP(tables_4!B28,input_4!A:H,8,FALSE))</f>
        <v>70200</v>
      </c>
      <c r="M28" s="67">
        <f t="shared" si="0"/>
        <v>6.7567567567567571E-3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customHeight="1">
      <c r="A29" s="2">
        <f>input_4!A$2</f>
        <v>3124</v>
      </c>
      <c r="B29" s="7" t="str">
        <f t="shared" si="1"/>
        <v>Premium4</v>
      </c>
      <c r="C29" s="7" t="str">
        <f t="shared" si="2"/>
        <v>Premium</v>
      </c>
      <c r="D29" s="6">
        <v>153</v>
      </c>
      <c r="E29" s="7" t="str">
        <f>VLOOKUP(D29,[1]characters!$A:$C,3,FALSE)</f>
        <v>拳聖ランラン</v>
      </c>
      <c r="F29" s="7" t="str">
        <f>VLOOKUP(D29,[1]characters!$A:$J,10,FALSE)</f>
        <v>PremiumW</v>
      </c>
      <c r="G29" s="7">
        <f>VLOOKUP(D29,[1]characters!$A:$I,9,FALSE)</f>
        <v>4</v>
      </c>
      <c r="H29" s="7" t="str">
        <f>VLOOKUP(D29,[1]characters!$A:$H,8,FALSE)</f>
        <v>green</v>
      </c>
      <c r="I29" s="7" t="str">
        <f>VLOOKUP(D29,[1]characters!$A:$K,11,FALSE)</f>
        <v>heal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66">
        <f>IFERROR(VLOOKUP(D29,input_4!L:R,7,FALSE),VLOOKUP(tables_4!B29,input_4!A:H,8,FALSE))</f>
        <v>60021</v>
      </c>
      <c r="M29" s="67">
        <f t="shared" si="0"/>
        <v>5.777027027027027E-3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customHeight="1">
      <c r="A30" s="2">
        <f>input_4!A$2</f>
        <v>3124</v>
      </c>
      <c r="B30" s="7" t="str">
        <f t="shared" si="1"/>
        <v>Premium3</v>
      </c>
      <c r="C30" s="7" t="str">
        <f t="shared" si="2"/>
        <v>Premium</v>
      </c>
      <c r="D30" s="6">
        <v>154</v>
      </c>
      <c r="E30" s="7" t="str">
        <f>VLOOKUP(D30,[1]characters!$A:$C,3,FALSE)</f>
        <v>始末屋 ハンナ</v>
      </c>
      <c r="F30" s="7" t="str">
        <f>VLOOKUP(D30,[1]characters!$A:$J,10,FALSE)</f>
        <v>PremiumW</v>
      </c>
      <c r="G30" s="7">
        <f>VLOOKUP(D30,[1]characters!$A:$I,9,FALSE)</f>
        <v>3</v>
      </c>
      <c r="H30" s="7" t="str">
        <f>VLOOKUP(D30,[1]characters!$A:$H,8,FALSE)</f>
        <v>blue</v>
      </c>
      <c r="I30" s="7" t="str">
        <f>VLOOKUP(D30,[1]characters!$A:$K,11,FALSE)</f>
        <v>heal</v>
      </c>
      <c r="J30" s="7" t="str">
        <f>VLOOKUP(D30,[1]characters!$A:$M,13,FALSE)</f>
        <v>human</v>
      </c>
      <c r="K30" s="7" t="str">
        <f>VLOOKUP(D30,[1]characters!$A:$G,7,FALSE)</f>
        <v>女性</v>
      </c>
      <c r="L30" s="66">
        <f>IFERROR(VLOOKUP(D30,input_4!L:R,7,FALSE),VLOOKUP(tables_4!B30,input_4!A:H,8,FALSE))</f>
        <v>70200</v>
      </c>
      <c r="M30" s="67">
        <f t="shared" si="0"/>
        <v>6.7567567567567571E-3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customHeight="1">
      <c r="A31" s="2">
        <f>input_4!A$2</f>
        <v>3124</v>
      </c>
      <c r="B31" s="7" t="str">
        <f t="shared" si="1"/>
        <v>Premium4</v>
      </c>
      <c r="C31" s="7" t="str">
        <f t="shared" si="2"/>
        <v>Premium</v>
      </c>
      <c r="D31" s="6">
        <v>155</v>
      </c>
      <c r="E31" s="7" t="str">
        <f>VLOOKUP(D31,[1]characters!$A:$C,3,FALSE)</f>
        <v>隻眼の掃除屋 ハンナ</v>
      </c>
      <c r="F31" s="7" t="str">
        <f>VLOOKUP(D31,[1]characters!$A:$J,10,FALSE)</f>
        <v>PremiumW</v>
      </c>
      <c r="G31" s="7">
        <f>VLOOKUP(D31,[1]characters!$A:$I,9,FALSE)</f>
        <v>4</v>
      </c>
      <c r="H31" s="7" t="str">
        <f>VLOOKUP(D31,[1]characters!$A:$H,8,FALSE)</f>
        <v>blue</v>
      </c>
      <c r="I31" s="7" t="str">
        <f>VLOOKUP(D31,[1]characters!$A:$K,11,FALSE)</f>
        <v>heal</v>
      </c>
      <c r="J31" s="7" t="str">
        <f>VLOOKUP(D31,[1]characters!$A:$M,13,FALSE)</f>
        <v>human</v>
      </c>
      <c r="K31" s="7" t="str">
        <f>VLOOKUP(D31,[1]characters!$A:$G,7,FALSE)</f>
        <v>女性</v>
      </c>
      <c r="L31" s="66">
        <f>IFERROR(VLOOKUP(D31,input_4!L:R,7,FALSE),VLOOKUP(tables_4!B31,input_4!A:H,8,FALSE))</f>
        <v>60021</v>
      </c>
      <c r="M31" s="67">
        <f t="shared" si="0"/>
        <v>5.777027027027027E-3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customHeight="1">
      <c r="A32" s="2">
        <f>input_4!A$2</f>
        <v>3124</v>
      </c>
      <c r="B32" s="7" t="str">
        <f t="shared" si="1"/>
        <v>Premium3</v>
      </c>
      <c r="C32" s="7" t="str">
        <f t="shared" si="2"/>
        <v>Premium</v>
      </c>
      <c r="D32" s="6">
        <v>156</v>
      </c>
      <c r="E32" s="7" t="str">
        <f>VLOOKUP(D32,[1]characters!$A:$C,3,FALSE)</f>
        <v>踊り子 エレナ</v>
      </c>
      <c r="F32" s="7" t="str">
        <f>VLOOKUP(D32,[1]characters!$A:$J,10,FALSE)</f>
        <v>PremiumW</v>
      </c>
      <c r="G32" s="7">
        <f>VLOOKUP(D32,[1]characters!$A:$I,9,FALSE)</f>
        <v>3</v>
      </c>
      <c r="H32" s="7" t="str">
        <f>VLOOKUP(D32,[1]characters!$A:$H,8,FALSE)</f>
        <v>yellow</v>
      </c>
      <c r="I32" s="7" t="str">
        <f>VLOOKUP(D32,[1]characters!$A:$K,11,FALSE)</f>
        <v>heal</v>
      </c>
      <c r="J32" s="7" t="str">
        <f>VLOOKUP(D32,[1]characters!$A:$M,13,FALSE)</f>
        <v>human</v>
      </c>
      <c r="K32" s="7" t="str">
        <f>VLOOKUP(D32,[1]characters!$A:$G,7,FALSE)</f>
        <v>女性</v>
      </c>
      <c r="L32" s="66">
        <f>IFERROR(VLOOKUP(D32,input_4!L:R,7,FALSE),VLOOKUP(tables_4!B32,input_4!A:H,8,FALSE))</f>
        <v>70200</v>
      </c>
      <c r="M32" s="67">
        <f t="shared" si="0"/>
        <v>6.7567567567567571E-3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customHeight="1">
      <c r="A33" s="2">
        <f>input_4!A$2</f>
        <v>3124</v>
      </c>
      <c r="B33" s="7" t="str">
        <f t="shared" si="1"/>
        <v>Premium4</v>
      </c>
      <c r="C33" s="7" t="str">
        <f t="shared" si="2"/>
        <v>Premium</v>
      </c>
      <c r="D33" s="6">
        <v>157</v>
      </c>
      <c r="E33" s="7" t="str">
        <f>VLOOKUP(D33,[1]characters!$A:$C,3,FALSE)</f>
        <v>雷光舞姫 エレナ</v>
      </c>
      <c r="F33" s="7" t="str">
        <f>VLOOKUP(D33,[1]characters!$A:$J,10,FALSE)</f>
        <v>PremiumW</v>
      </c>
      <c r="G33" s="7">
        <f>VLOOKUP(D33,[1]characters!$A:$I,9,FALSE)</f>
        <v>4</v>
      </c>
      <c r="H33" s="7" t="str">
        <f>VLOOKUP(D33,[1]characters!$A:$H,8,FALSE)</f>
        <v>yellow</v>
      </c>
      <c r="I33" s="7" t="str">
        <f>VLOOKUP(D33,[1]characters!$A:$K,11,FALSE)</f>
        <v>heal</v>
      </c>
      <c r="J33" s="7" t="str">
        <f>VLOOKUP(D33,[1]characters!$A:$M,13,FALSE)</f>
        <v>human</v>
      </c>
      <c r="K33" s="7" t="str">
        <f>VLOOKUP(D33,[1]characters!$A:$G,7,FALSE)</f>
        <v>女性</v>
      </c>
      <c r="L33" s="66">
        <f>IFERROR(VLOOKUP(D33,input_4!L:R,7,FALSE),VLOOKUP(tables_4!B33,input_4!A:H,8,FALSE))</f>
        <v>60021</v>
      </c>
      <c r="M33" s="67">
        <f t="shared" si="0"/>
        <v>5.777027027027027E-3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customHeight="1">
      <c r="A34" s="2">
        <f>input_4!A$2</f>
        <v>3124</v>
      </c>
      <c r="B34" s="7" t="str">
        <f t="shared" si="1"/>
        <v>Premium3</v>
      </c>
      <c r="C34" s="7" t="str">
        <f t="shared" si="2"/>
        <v>Premium</v>
      </c>
      <c r="D34" s="6">
        <v>158</v>
      </c>
      <c r="E34" s="7" t="str">
        <f>VLOOKUP(D34,[1]characters!$A:$C,3,FALSE)</f>
        <v>シスター シャルロッテ</v>
      </c>
      <c r="F34" s="7" t="str">
        <f>VLOOKUP(D34,[1]characters!$A:$J,10,FALSE)</f>
        <v>PremiumW</v>
      </c>
      <c r="G34" s="7">
        <f>VLOOKUP(D34,[1]characters!$A:$I,9,FALSE)</f>
        <v>3</v>
      </c>
      <c r="H34" s="7" t="str">
        <f>VLOOKUP(D34,[1]characters!$A:$H,8,FALSE)</f>
        <v>red</v>
      </c>
      <c r="I34" s="7" t="str">
        <f>VLOOKUP(D34,[1]characters!$A:$K,11,FALSE)</f>
        <v>heal</v>
      </c>
      <c r="J34" s="7" t="str">
        <f>VLOOKUP(D34,[1]characters!$A:$M,13,FALSE)</f>
        <v>human</v>
      </c>
      <c r="K34" s="7" t="str">
        <f>VLOOKUP(D34,[1]characters!$A:$G,7,FALSE)</f>
        <v>女性</v>
      </c>
      <c r="L34" s="66">
        <f>IFERROR(VLOOKUP(D34,input_4!L:R,7,FALSE),VLOOKUP(tables_4!B34,input_4!A:H,8,FALSE))</f>
        <v>70200</v>
      </c>
      <c r="M34" s="67">
        <f t="shared" si="0"/>
        <v>6.7567567567567571E-3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customHeight="1">
      <c r="A35" s="2">
        <f>input_4!A$2</f>
        <v>3124</v>
      </c>
      <c r="B35" s="7" t="str">
        <f t="shared" si="1"/>
        <v>Premium4</v>
      </c>
      <c r="C35" s="7" t="str">
        <f t="shared" si="2"/>
        <v>Premium</v>
      </c>
      <c r="D35" s="6">
        <v>159</v>
      </c>
      <c r="E35" s="7" t="str">
        <f>VLOOKUP(D35,[1]characters!$A:$C,3,FALSE)</f>
        <v>邪を狩りし者 シャルロッテ</v>
      </c>
      <c r="F35" s="7" t="str">
        <f>VLOOKUP(D35,[1]characters!$A:$J,10,FALSE)</f>
        <v>PremiumW</v>
      </c>
      <c r="G35" s="7">
        <f>VLOOKUP(D35,[1]characters!$A:$I,9,FALSE)</f>
        <v>4</v>
      </c>
      <c r="H35" s="7" t="str">
        <f>VLOOKUP(D35,[1]characters!$A:$H,8,FALSE)</f>
        <v>red</v>
      </c>
      <c r="I35" s="7" t="str">
        <f>VLOOKUP(D35,[1]characters!$A:$K,11,FALSE)</f>
        <v>heal</v>
      </c>
      <c r="J35" s="7" t="str">
        <f>VLOOKUP(D35,[1]characters!$A:$M,13,FALSE)</f>
        <v>human</v>
      </c>
      <c r="K35" s="7" t="str">
        <f>VLOOKUP(D35,[1]characters!$A:$G,7,FALSE)</f>
        <v>女性</v>
      </c>
      <c r="L35" s="66">
        <f>IFERROR(VLOOKUP(D35,input_4!L:R,7,FALSE),VLOOKUP(tables_4!B35,input_4!A:H,8,FALSE))</f>
        <v>60021</v>
      </c>
      <c r="M35" s="67">
        <f t="shared" si="0"/>
        <v>5.777027027027027E-3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customHeight="1">
      <c r="A36" s="2">
        <f>input_4!A$2</f>
        <v>3124</v>
      </c>
      <c r="B36" s="7" t="str">
        <f t="shared" si="1"/>
        <v>Premium3</v>
      </c>
      <c r="C36" s="7" t="str">
        <f t="shared" si="2"/>
        <v>Premium</v>
      </c>
      <c r="D36" s="6">
        <v>160</v>
      </c>
      <c r="E36" s="7" t="str">
        <f>VLOOKUP(D36,[1]characters!$A:$C,3,FALSE)</f>
        <v>反逆者 クリエ</v>
      </c>
      <c r="F36" s="7" t="str">
        <f>VLOOKUP(D36,[1]characters!$A:$J,10,FALSE)</f>
        <v>PremiumW</v>
      </c>
      <c r="G36" s="7">
        <f>VLOOKUP(D36,[1]characters!$A:$I,9,FALSE)</f>
        <v>3</v>
      </c>
      <c r="H36" s="7" t="str">
        <f>VLOOKUP(D36,[1]characters!$A:$H,8,FALSE)</f>
        <v>green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66">
        <f>IFERROR(VLOOKUP(D36,input_4!L:R,7,FALSE),VLOOKUP(tables_4!B36,input_4!A:H,8,FALSE))</f>
        <v>70200</v>
      </c>
      <c r="M36" s="67">
        <f t="shared" si="0"/>
        <v>6.7567567567567571E-3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customHeight="1">
      <c r="A37" s="2">
        <f>input_4!A$2</f>
        <v>3124</v>
      </c>
      <c r="B37" s="7" t="str">
        <f t="shared" si="1"/>
        <v>Premium4</v>
      </c>
      <c r="C37" s="7" t="str">
        <f t="shared" si="2"/>
        <v>Premium</v>
      </c>
      <c r="D37" s="6">
        <v>161</v>
      </c>
      <c r="E37" s="7" t="str">
        <f>VLOOKUP(D37,[1]characters!$A:$C,3,FALSE)</f>
        <v>咆哮の先導者 クリエ</v>
      </c>
      <c r="F37" s="7" t="str">
        <f>VLOOKUP(D37,[1]characters!$A:$J,10,FALSE)</f>
        <v>PremiumW</v>
      </c>
      <c r="G37" s="7">
        <f>VLOOKUP(D37,[1]characters!$A:$I,9,FALSE)</f>
        <v>4</v>
      </c>
      <c r="H37" s="7" t="str">
        <f>VLOOKUP(D37,[1]characters!$A:$H,8,FALSE)</f>
        <v>green</v>
      </c>
      <c r="I37" s="7" t="str">
        <f>VLOOKUP(D37,[1]characters!$A:$K,11,FALSE)</f>
        <v>balance</v>
      </c>
      <c r="J37" s="7" t="str">
        <f>VLOOKUP(D37,[1]characters!$A:$M,13,FALSE)</f>
        <v>human</v>
      </c>
      <c r="K37" s="7" t="str">
        <f>VLOOKUP(D37,[1]characters!$A:$G,7,FALSE)</f>
        <v>女性</v>
      </c>
      <c r="L37" s="66">
        <f>IFERROR(VLOOKUP(D37,input_4!L:R,7,FALSE),VLOOKUP(tables_4!B37,input_4!A:H,8,FALSE))</f>
        <v>60021</v>
      </c>
      <c r="M37" s="67">
        <f t="shared" si="0"/>
        <v>5.777027027027027E-3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customHeight="1">
      <c r="A38" s="2">
        <f>input_4!A$2</f>
        <v>3124</v>
      </c>
      <c r="B38" s="7" t="str">
        <f t="shared" si="1"/>
        <v>Premium3</v>
      </c>
      <c r="C38" s="7" t="str">
        <f t="shared" si="2"/>
        <v>Premium</v>
      </c>
      <c r="D38" s="6">
        <v>162</v>
      </c>
      <c r="E38" s="7" t="str">
        <f>VLOOKUP(D38,[1]characters!$A:$C,3,FALSE)</f>
        <v>狂女 クララ</v>
      </c>
      <c r="F38" s="7" t="str">
        <f>VLOOKUP(D38,[1]characters!$A:$J,10,FALSE)</f>
        <v>PremiumW</v>
      </c>
      <c r="G38" s="7">
        <f>VLOOKUP(D38,[1]characters!$A:$I,9,FALSE)</f>
        <v>3</v>
      </c>
      <c r="H38" s="7" t="str">
        <f>VLOOKUP(D38,[1]characters!$A:$H,8,FALSE)</f>
        <v>blue</v>
      </c>
      <c r="I38" s="7" t="str">
        <f>VLOOKUP(D38,[1]characters!$A:$K,11,FALSE)</f>
        <v>attack</v>
      </c>
      <c r="J38" s="7" t="str">
        <f>VLOOKUP(D38,[1]characters!$A:$M,13,FALSE)</f>
        <v>human</v>
      </c>
      <c r="K38" s="7" t="str">
        <f>VLOOKUP(D38,[1]characters!$A:$G,7,FALSE)</f>
        <v>女性</v>
      </c>
      <c r="L38" s="66">
        <f>IFERROR(VLOOKUP(D38,input_4!L:R,7,FALSE),VLOOKUP(tables_4!B38,input_4!A:H,8,FALSE))</f>
        <v>70200</v>
      </c>
      <c r="M38" s="67">
        <f t="shared" si="0"/>
        <v>6.7567567567567571E-3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customHeight="1">
      <c r="A39" s="2">
        <f>input_4!A$2</f>
        <v>3124</v>
      </c>
      <c r="B39" s="7" t="str">
        <f t="shared" si="1"/>
        <v>Premium4</v>
      </c>
      <c r="C39" s="7" t="str">
        <f t="shared" si="2"/>
        <v>Premium</v>
      </c>
      <c r="D39" s="6">
        <v>163</v>
      </c>
      <c r="E39" s="7" t="str">
        <f>VLOOKUP(D39,[1]characters!$A:$C,3,FALSE)</f>
        <v>冷酷な狂嬢 クララ</v>
      </c>
      <c r="F39" s="7" t="str">
        <f>VLOOKUP(D39,[1]characters!$A:$J,10,FALSE)</f>
        <v>PremiumW</v>
      </c>
      <c r="G39" s="7">
        <f>VLOOKUP(D39,[1]characters!$A:$I,9,FALSE)</f>
        <v>4</v>
      </c>
      <c r="H39" s="7" t="str">
        <f>VLOOKUP(D39,[1]characters!$A:$H,8,FALSE)</f>
        <v>blue</v>
      </c>
      <c r="I39" s="7" t="str">
        <f>VLOOKUP(D39,[1]characters!$A:$K,11,FALSE)</f>
        <v>attack</v>
      </c>
      <c r="J39" s="7" t="str">
        <f>VLOOKUP(D39,[1]characters!$A:$M,13,FALSE)</f>
        <v>human</v>
      </c>
      <c r="K39" s="7" t="str">
        <f>VLOOKUP(D39,[1]characters!$A:$G,7,FALSE)</f>
        <v>女性</v>
      </c>
      <c r="L39" s="66">
        <f>IFERROR(VLOOKUP(D39,input_4!L:R,7,FALSE),VLOOKUP(tables_4!B39,input_4!A:H,8,FALSE))</f>
        <v>60021</v>
      </c>
      <c r="M39" s="67">
        <f t="shared" si="0"/>
        <v>5.777027027027027E-3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customHeight="1">
      <c r="A40" s="2">
        <f>input_4!A$2</f>
        <v>3124</v>
      </c>
      <c r="B40" s="7" t="str">
        <f t="shared" si="1"/>
        <v>Premium3</v>
      </c>
      <c r="C40" s="7" t="str">
        <f t="shared" si="2"/>
        <v>Premium</v>
      </c>
      <c r="D40" s="6">
        <v>164</v>
      </c>
      <c r="E40" s="7" t="str">
        <f>VLOOKUP(D40,[1]characters!$A:$C,3,FALSE)</f>
        <v>イブとトモダチ</v>
      </c>
      <c r="F40" s="7" t="str">
        <f>VLOOKUP(D40,[1]characters!$A:$J,10,FALSE)</f>
        <v>PremiumW</v>
      </c>
      <c r="G40" s="7">
        <f>VLOOKUP(D40,[1]characters!$A:$I,9,FALSE)</f>
        <v>3</v>
      </c>
      <c r="H40" s="7" t="str">
        <f>VLOOKUP(D40,[1]characters!$A:$H,8,FALSE)</f>
        <v>yellow</v>
      </c>
      <c r="I40" s="7" t="str">
        <f>VLOOKUP(D40,[1]characters!$A:$K,11,FALSE)</f>
        <v>technical</v>
      </c>
      <c r="J40" s="7" t="str">
        <f>VLOOKUP(D40,[1]characters!$A:$M,13,FALSE)</f>
        <v>human</v>
      </c>
      <c r="K40" s="7" t="str">
        <f>VLOOKUP(D40,[1]characters!$A:$G,7,FALSE)</f>
        <v>女性</v>
      </c>
      <c r="L40" s="66">
        <f>IFERROR(VLOOKUP(D40,input_4!L:R,7,FALSE),VLOOKUP(tables_4!B40,input_4!A:H,8,FALSE))</f>
        <v>70200</v>
      </c>
      <c r="M40" s="67">
        <f t="shared" si="0"/>
        <v>6.7567567567567571E-3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customHeight="1">
      <c r="A41" s="2">
        <f>input_4!A$2</f>
        <v>3124</v>
      </c>
      <c r="B41" s="7" t="str">
        <f t="shared" si="1"/>
        <v>Premium4</v>
      </c>
      <c r="C41" s="7" t="str">
        <f t="shared" si="2"/>
        <v>Premium</v>
      </c>
      <c r="D41" s="6">
        <v>165</v>
      </c>
      <c r="E41" s="7" t="str">
        <f>VLOOKUP(D41,[1]characters!$A:$C,3,FALSE)</f>
        <v>イブとたったひとりのトモダチ</v>
      </c>
      <c r="F41" s="7" t="str">
        <f>VLOOKUP(D41,[1]characters!$A:$J,10,FALSE)</f>
        <v>PremiumW</v>
      </c>
      <c r="G41" s="7">
        <f>VLOOKUP(D41,[1]characters!$A:$I,9,FALSE)</f>
        <v>4</v>
      </c>
      <c r="H41" s="7" t="str">
        <f>VLOOKUP(D41,[1]characters!$A:$H,8,FALSE)</f>
        <v>yellow</v>
      </c>
      <c r="I41" s="7" t="str">
        <f>VLOOKUP(D41,[1]characters!$A:$K,11,FALSE)</f>
        <v>technical</v>
      </c>
      <c r="J41" s="7" t="str">
        <f>VLOOKUP(D41,[1]characters!$A:$M,13,FALSE)</f>
        <v>human</v>
      </c>
      <c r="K41" s="7" t="str">
        <f>VLOOKUP(D41,[1]characters!$A:$G,7,FALSE)</f>
        <v>女性</v>
      </c>
      <c r="L41" s="66">
        <f>IFERROR(VLOOKUP(D41,input_4!L:R,7,FALSE),VLOOKUP(tables_4!B41,input_4!A:H,8,FALSE))</f>
        <v>60021</v>
      </c>
      <c r="M41" s="67">
        <f t="shared" si="0"/>
        <v>5.777027027027027E-3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customHeight="1">
      <c r="A42" s="2">
        <f>input_4!A$2</f>
        <v>3124</v>
      </c>
      <c r="B42" s="7" t="str">
        <f t="shared" si="1"/>
        <v>Premium3</v>
      </c>
      <c r="C42" s="7" t="str">
        <f t="shared" si="2"/>
        <v>Premium</v>
      </c>
      <c r="D42" s="6">
        <v>166</v>
      </c>
      <c r="E42" s="7" t="str">
        <f>VLOOKUP(D42,[1]characters!$A:$C,3,FALSE)</f>
        <v>ベリアル</v>
      </c>
      <c r="F42" s="7" t="str">
        <f>VLOOKUP(D42,[1]characters!$A:$J,10,FALSE)</f>
        <v>PremiumN</v>
      </c>
      <c r="G42" s="7">
        <f>VLOOKUP(D42,[1]characters!$A:$I,9,FALSE)</f>
        <v>3</v>
      </c>
      <c r="H42" s="7" t="str">
        <f>VLOOKUP(D42,[1]characters!$A:$H,8,FALSE)</f>
        <v>red</v>
      </c>
      <c r="I42" s="7" t="str">
        <f>VLOOKUP(D42,[1]characters!$A:$K,11,FALSE)</f>
        <v>attack</v>
      </c>
      <c r="J42" s="7" t="str">
        <f>VLOOKUP(D42,[1]characters!$A:$M,13,FALSE)</f>
        <v>god</v>
      </c>
      <c r="K42" s="7" t="str">
        <f>VLOOKUP(D42,[1]characters!$A:$G,7,FALSE)</f>
        <v>男性</v>
      </c>
      <c r="L42" s="66">
        <f>IFERROR(VLOOKUP(D42,input_4!L:R,7,FALSE),VLOOKUP(tables_4!B42,input_4!A:H,8,FALSE))</f>
        <v>70200</v>
      </c>
      <c r="M42" s="67">
        <f t="shared" si="0"/>
        <v>6.7567567567567571E-3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customHeight="1">
      <c r="A43" s="2">
        <f>input_4!A$2</f>
        <v>3124</v>
      </c>
      <c r="B43" s="7" t="str">
        <f t="shared" si="1"/>
        <v>Premium4</v>
      </c>
      <c r="C43" s="7" t="str">
        <f t="shared" si="2"/>
        <v>Premium</v>
      </c>
      <c r="D43" s="6">
        <v>167</v>
      </c>
      <c r="E43" s="7" t="str">
        <f>VLOOKUP(D43,[1]characters!$A:$C,3,FALSE)</f>
        <v>逆徒 ベリアル</v>
      </c>
      <c r="F43" s="7" t="str">
        <f>VLOOKUP(D43,[1]characters!$A:$J,10,FALSE)</f>
        <v>PremiumN</v>
      </c>
      <c r="G43" s="7">
        <f>VLOOKUP(D43,[1]characters!$A:$I,9,FALSE)</f>
        <v>4</v>
      </c>
      <c r="H43" s="7" t="str">
        <f>VLOOKUP(D43,[1]characters!$A:$H,8,FALSE)</f>
        <v>red</v>
      </c>
      <c r="I43" s="7" t="str">
        <f>VLOOKUP(D43,[1]characters!$A:$K,11,FALSE)</f>
        <v>attack</v>
      </c>
      <c r="J43" s="7" t="str">
        <f>VLOOKUP(D43,[1]characters!$A:$M,13,FALSE)</f>
        <v>god</v>
      </c>
      <c r="K43" s="7" t="str">
        <f>VLOOKUP(D43,[1]characters!$A:$G,7,FALSE)</f>
        <v>男性</v>
      </c>
      <c r="L43" s="66">
        <f>IFERROR(VLOOKUP(D43,input_4!L:R,7,FALSE),VLOOKUP(tables_4!B43,input_4!A:H,8,FALSE))</f>
        <v>60021</v>
      </c>
      <c r="M43" s="67">
        <f t="shared" si="0"/>
        <v>5.777027027027027E-3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customHeight="1">
      <c r="A44" s="2">
        <f>input_4!A$2</f>
        <v>3124</v>
      </c>
      <c r="B44" s="7" t="str">
        <f t="shared" si="1"/>
        <v>Premium5</v>
      </c>
      <c r="C44" s="7" t="str">
        <f t="shared" si="2"/>
        <v>Premium</v>
      </c>
      <c r="D44" s="6">
        <v>168</v>
      </c>
      <c r="E44" s="7" t="str">
        <f>VLOOKUP(D44,[1]characters!$A:$C,3,FALSE)</f>
        <v>猛進の大逆者 ベリアル</v>
      </c>
      <c r="F44" s="7" t="str">
        <f>VLOOKUP(D44,[1]characters!$A:$J,10,FALSE)</f>
        <v>PremiumN</v>
      </c>
      <c r="G44" s="7">
        <f>VLOOKUP(D44,[1]characters!$A:$I,9,FALSE)</f>
        <v>5</v>
      </c>
      <c r="H44" s="7" t="str">
        <f>VLOOKUP(D44,[1]characters!$A:$H,8,FALSE)</f>
        <v>red</v>
      </c>
      <c r="I44" s="7" t="str">
        <f>VLOOKUP(D44,[1]characters!$A:$K,11,FALSE)</f>
        <v>attack</v>
      </c>
      <c r="J44" s="7" t="str">
        <f>VLOOKUP(D44,[1]characters!$A:$M,13,FALSE)</f>
        <v>god</v>
      </c>
      <c r="K44" s="7" t="str">
        <f>VLOOKUP(D44,[1]characters!$A:$G,7,FALSE)</f>
        <v>男性</v>
      </c>
      <c r="L44" s="66">
        <f>IFERROR(VLOOKUP(D44,input_4!L:R,7,FALSE),VLOOKUP(tables_4!B44,input_4!A:H,8,FALSE))</f>
        <v>9139</v>
      </c>
      <c r="M44" s="67">
        <f t="shared" si="0"/>
        <v>8.7962962962962962E-4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customHeight="1">
      <c r="A45" s="2">
        <f>input_4!A$2</f>
        <v>3124</v>
      </c>
      <c r="B45" s="7" t="str">
        <f t="shared" si="1"/>
        <v>Premium3</v>
      </c>
      <c r="C45" s="7" t="str">
        <f t="shared" si="2"/>
        <v>Premium</v>
      </c>
      <c r="D45" s="6">
        <v>169</v>
      </c>
      <c r="E45" s="7" t="str">
        <f>VLOOKUP(D45,[1]characters!$A:$C,3,FALSE)</f>
        <v>オセ</v>
      </c>
      <c r="F45" s="7" t="str">
        <f>VLOOKUP(D45,[1]characters!$A:$J,10,FALSE)</f>
        <v>PremiumN</v>
      </c>
      <c r="G45" s="7">
        <f>VLOOKUP(D45,[1]characters!$A:$I,9,FALSE)</f>
        <v>3</v>
      </c>
      <c r="H45" s="7" t="str">
        <f>VLOOKUP(D45,[1]characters!$A:$H,8,FALSE)</f>
        <v>green</v>
      </c>
      <c r="I45" s="7" t="str">
        <f>VLOOKUP(D45,[1]characters!$A:$K,11,FALSE)</f>
        <v>attack</v>
      </c>
      <c r="J45" s="7" t="str">
        <f>VLOOKUP(D45,[1]characters!$A:$M,13,FALSE)</f>
        <v>god</v>
      </c>
      <c r="K45" s="7" t="str">
        <f>VLOOKUP(D45,[1]characters!$A:$G,7,FALSE)</f>
        <v>女性</v>
      </c>
      <c r="L45" s="66">
        <f>IFERROR(VLOOKUP(D45,input_4!L:R,7,FALSE),VLOOKUP(tables_4!B45,input_4!A:H,8,FALSE))</f>
        <v>70200</v>
      </c>
      <c r="M45" s="67">
        <f t="shared" si="0"/>
        <v>6.7567567567567571E-3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customHeight="1">
      <c r="A46" s="2">
        <f>input_4!A$2</f>
        <v>3124</v>
      </c>
      <c r="B46" s="7" t="str">
        <f t="shared" si="1"/>
        <v>Premium4</v>
      </c>
      <c r="C46" s="7" t="str">
        <f t="shared" si="2"/>
        <v>Premium</v>
      </c>
      <c r="D46" s="6">
        <v>170</v>
      </c>
      <c r="E46" s="7" t="str">
        <f>VLOOKUP(D46,[1]characters!$A:$C,3,FALSE)</f>
        <v>識徒 オセ</v>
      </c>
      <c r="F46" s="7" t="str">
        <f>VLOOKUP(D46,[1]characters!$A:$J,10,FALSE)</f>
        <v>PremiumN</v>
      </c>
      <c r="G46" s="7">
        <f>VLOOKUP(D46,[1]characters!$A:$I,9,FALSE)</f>
        <v>4</v>
      </c>
      <c r="H46" s="7" t="str">
        <f>VLOOKUP(D46,[1]characters!$A:$H,8,FALSE)</f>
        <v>green</v>
      </c>
      <c r="I46" s="7" t="str">
        <f>VLOOKUP(D46,[1]characters!$A:$K,11,FALSE)</f>
        <v>attack</v>
      </c>
      <c r="J46" s="7" t="str">
        <f>VLOOKUP(D46,[1]characters!$A:$M,13,FALSE)</f>
        <v>god</v>
      </c>
      <c r="K46" s="7" t="str">
        <f>VLOOKUP(D46,[1]characters!$A:$G,7,FALSE)</f>
        <v>女性</v>
      </c>
      <c r="L46" s="66">
        <f>IFERROR(VLOOKUP(D46,input_4!L:R,7,FALSE),VLOOKUP(tables_4!B46,input_4!A:H,8,FALSE))</f>
        <v>60021</v>
      </c>
      <c r="M46" s="67">
        <f t="shared" si="0"/>
        <v>5.777027027027027E-3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customHeight="1">
      <c r="A47" s="2">
        <f>input_4!A$2</f>
        <v>3124</v>
      </c>
      <c r="B47" s="7" t="str">
        <f t="shared" si="1"/>
        <v>Premium5</v>
      </c>
      <c r="C47" s="7" t="str">
        <f t="shared" si="2"/>
        <v>Premium</v>
      </c>
      <c r="D47" s="6">
        <v>171</v>
      </c>
      <c r="E47" s="7" t="str">
        <f>VLOOKUP(D47,[1]characters!$A:$C,3,FALSE)</f>
        <v>精解の預知者 オセ</v>
      </c>
      <c r="F47" s="7" t="str">
        <f>VLOOKUP(D47,[1]characters!$A:$J,10,FALSE)</f>
        <v>PremiumN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attack</v>
      </c>
      <c r="J47" s="7" t="str">
        <f>VLOOKUP(D47,[1]characters!$A:$M,13,FALSE)</f>
        <v>god</v>
      </c>
      <c r="K47" s="7" t="str">
        <f>VLOOKUP(D47,[1]characters!$A:$G,7,FALSE)</f>
        <v>女性</v>
      </c>
      <c r="L47" s="66">
        <f>IFERROR(VLOOKUP(D47,input_4!L:R,7,FALSE),VLOOKUP(tables_4!B47,input_4!A:H,8,FALSE))</f>
        <v>9139</v>
      </c>
      <c r="M47" s="67">
        <f t="shared" si="0"/>
        <v>8.7962962962962962E-4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customHeight="1">
      <c r="A48" s="2">
        <f>input_4!A$2</f>
        <v>3124</v>
      </c>
      <c r="B48" s="7" t="str">
        <f t="shared" si="1"/>
        <v>Premium3</v>
      </c>
      <c r="C48" s="7" t="str">
        <f t="shared" si="2"/>
        <v>Premium</v>
      </c>
      <c r="D48" s="6">
        <v>172</v>
      </c>
      <c r="E48" s="7" t="str">
        <f>VLOOKUP(D48,[1]characters!$A:$C,3,FALSE)</f>
        <v>フォルネウス</v>
      </c>
      <c r="F48" s="7" t="str">
        <f>VLOOKUP(D48,[1]characters!$A:$J,10,FALSE)</f>
        <v>PremiumN</v>
      </c>
      <c r="G48" s="7">
        <f>VLOOKUP(D48,[1]characters!$A:$I,9,FALSE)</f>
        <v>3</v>
      </c>
      <c r="H48" s="7" t="str">
        <f>VLOOKUP(D48,[1]characters!$A:$H,8,FALSE)</f>
        <v>blue</v>
      </c>
      <c r="I48" s="7" t="str">
        <f>VLOOKUP(D48,[1]characters!$A:$K,11,FALSE)</f>
        <v>attack</v>
      </c>
      <c r="J48" s="7" t="str">
        <f>VLOOKUP(D48,[1]characters!$A:$M,13,FALSE)</f>
        <v>god</v>
      </c>
      <c r="K48" s="7" t="str">
        <f>VLOOKUP(D48,[1]characters!$A:$G,7,FALSE)</f>
        <v>女性</v>
      </c>
      <c r="L48" s="66">
        <f>IFERROR(VLOOKUP(D48,input_4!L:R,7,FALSE),VLOOKUP(tables_4!B48,input_4!A:H,8,FALSE))</f>
        <v>70200</v>
      </c>
      <c r="M48" s="67">
        <f t="shared" si="0"/>
        <v>6.7567567567567571E-3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customHeight="1">
      <c r="A49" s="2">
        <f>input_4!A$2</f>
        <v>3124</v>
      </c>
      <c r="B49" s="7" t="str">
        <f t="shared" si="1"/>
        <v>Premium4</v>
      </c>
      <c r="C49" s="7" t="str">
        <f t="shared" si="2"/>
        <v>Premium</v>
      </c>
      <c r="D49" s="6">
        <v>173</v>
      </c>
      <c r="E49" s="7" t="str">
        <f>VLOOKUP(D49,[1]characters!$A:$C,3,FALSE)</f>
        <v>公爵 フォルネウス</v>
      </c>
      <c r="F49" s="7" t="str">
        <f>VLOOKUP(D49,[1]characters!$A:$J,10,FALSE)</f>
        <v>PremiumN</v>
      </c>
      <c r="G49" s="7">
        <f>VLOOKUP(D49,[1]characters!$A:$I,9,FALSE)</f>
        <v>4</v>
      </c>
      <c r="H49" s="7" t="str">
        <f>VLOOKUP(D49,[1]characters!$A:$H,8,FALSE)</f>
        <v>blue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女性</v>
      </c>
      <c r="L49" s="66">
        <f>IFERROR(VLOOKUP(D49,input_4!L:R,7,FALSE),VLOOKUP(tables_4!B49,input_4!A:H,8,FALSE))</f>
        <v>60021</v>
      </c>
      <c r="M49" s="67">
        <f t="shared" si="0"/>
        <v>5.777027027027027E-3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customHeight="1">
      <c r="A50" s="2">
        <f>input_4!A$2</f>
        <v>3124</v>
      </c>
      <c r="B50" s="7" t="str">
        <f t="shared" si="1"/>
        <v>Premium5</v>
      </c>
      <c r="C50" s="7" t="str">
        <f t="shared" si="2"/>
        <v>Premium</v>
      </c>
      <c r="D50" s="6">
        <v>174</v>
      </c>
      <c r="E50" s="7" t="str">
        <f>VLOOKUP(D50,[1]characters!$A:$C,3,FALSE)</f>
        <v>偽愛の大公爵 フォルネウス</v>
      </c>
      <c r="F50" s="7" t="str">
        <f>VLOOKUP(D50,[1]characters!$A:$J,10,FALSE)</f>
        <v>PremiumN</v>
      </c>
      <c r="G50" s="7">
        <f>VLOOKUP(D50,[1]characters!$A:$I,9,FALSE)</f>
        <v>5</v>
      </c>
      <c r="H50" s="7" t="str">
        <f>VLOOKUP(D50,[1]characters!$A:$H,8,FALSE)</f>
        <v>blue</v>
      </c>
      <c r="I50" s="7" t="str">
        <f>VLOOKUP(D50,[1]characters!$A:$K,11,FALSE)</f>
        <v>attack</v>
      </c>
      <c r="J50" s="7" t="str">
        <f>VLOOKUP(D50,[1]characters!$A:$M,13,FALSE)</f>
        <v>god</v>
      </c>
      <c r="K50" s="7" t="str">
        <f>VLOOKUP(D50,[1]characters!$A:$G,7,FALSE)</f>
        <v>女性</v>
      </c>
      <c r="L50" s="66">
        <f>IFERROR(VLOOKUP(D50,input_4!L:R,7,FALSE),VLOOKUP(tables_4!B50,input_4!A:H,8,FALSE))</f>
        <v>9139</v>
      </c>
      <c r="M50" s="67">
        <f t="shared" si="0"/>
        <v>8.7962962962962962E-4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customHeight="1">
      <c r="A51" s="2">
        <f>input_4!A$2</f>
        <v>3124</v>
      </c>
      <c r="B51" s="7" t="str">
        <f t="shared" si="1"/>
        <v>Premium3</v>
      </c>
      <c r="C51" s="7" t="str">
        <f t="shared" si="2"/>
        <v>Premium</v>
      </c>
      <c r="D51" s="6">
        <v>175</v>
      </c>
      <c r="E51" s="7" t="str">
        <f>VLOOKUP(D51,[1]characters!$A:$C,3,FALSE)</f>
        <v>バフォメット</v>
      </c>
      <c r="F51" s="7" t="str">
        <f>VLOOKUP(D51,[1]characters!$A:$J,10,FALSE)</f>
        <v>PremiumN</v>
      </c>
      <c r="G51" s="7">
        <f>VLOOKUP(D51,[1]characters!$A:$I,9,FALSE)</f>
        <v>3</v>
      </c>
      <c r="H51" s="7" t="str">
        <f>VLOOKUP(D51,[1]characters!$A:$H,8,FALSE)</f>
        <v>yellow</v>
      </c>
      <c r="I51" s="7" t="str">
        <f>VLOOKUP(D51,[1]characters!$A:$K,11,FALSE)</f>
        <v>attack</v>
      </c>
      <c r="J51" s="7" t="str">
        <f>VLOOKUP(D51,[1]characters!$A:$M,13,FALSE)</f>
        <v>god</v>
      </c>
      <c r="K51" s="7" t="str">
        <f>VLOOKUP(D51,[1]characters!$A:$G,7,FALSE)</f>
        <v>女性</v>
      </c>
      <c r="L51" s="66">
        <f>IFERROR(VLOOKUP(D51,input_4!L:R,7,FALSE),VLOOKUP(tables_4!B51,input_4!A:H,8,FALSE))</f>
        <v>70200</v>
      </c>
      <c r="M51" s="67">
        <f t="shared" si="0"/>
        <v>6.7567567567567571E-3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customHeight="1">
      <c r="A52" s="2">
        <f>input_4!A$2</f>
        <v>3124</v>
      </c>
      <c r="B52" s="7" t="str">
        <f t="shared" si="1"/>
        <v>Premium4</v>
      </c>
      <c r="C52" s="7" t="str">
        <f t="shared" si="2"/>
        <v>Premium</v>
      </c>
      <c r="D52" s="6">
        <v>176</v>
      </c>
      <c r="E52" s="7" t="str">
        <f>VLOOKUP(D52,[1]characters!$A:$C,3,FALSE)</f>
        <v>異教徒 バフォメット</v>
      </c>
      <c r="F52" s="7" t="str">
        <f>VLOOKUP(D52,[1]characters!$A:$J,10,FALSE)</f>
        <v>PremiumN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66">
        <f>IFERROR(VLOOKUP(D52,input_4!L:R,7,FALSE),VLOOKUP(tables_4!B52,input_4!A:H,8,FALSE))</f>
        <v>60021</v>
      </c>
      <c r="M52" s="67">
        <f t="shared" si="0"/>
        <v>5.777027027027027E-3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customHeight="1">
      <c r="A53" s="2">
        <f>input_4!A$2</f>
        <v>3124</v>
      </c>
      <c r="B53" s="7" t="str">
        <f t="shared" si="1"/>
        <v>Premium5</v>
      </c>
      <c r="C53" s="7" t="str">
        <f t="shared" si="2"/>
        <v>Premium</v>
      </c>
      <c r="D53" s="6">
        <v>177</v>
      </c>
      <c r="E53" s="7" t="str">
        <f>VLOOKUP(D53,[1]characters!$A:$C,3,FALSE)</f>
        <v>黒魔の異端師 バフォメット</v>
      </c>
      <c r="F53" s="7" t="str">
        <f>VLOOKUP(D53,[1]characters!$A:$J,10,FALSE)</f>
        <v>PremiumN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66">
        <f>IFERROR(VLOOKUP(D53,input_4!L:R,7,FALSE),VLOOKUP(tables_4!B53,input_4!A:H,8,FALSE))</f>
        <v>9139</v>
      </c>
      <c r="M53" s="67">
        <f t="shared" si="0"/>
        <v>8.7962962962962962E-4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customHeight="1">
      <c r="A54" s="2">
        <f>input_4!A$2</f>
        <v>3124</v>
      </c>
      <c r="B54" s="7" t="str">
        <f t="shared" si="1"/>
        <v>Premium3</v>
      </c>
      <c r="C54" s="7" t="str">
        <f t="shared" si="2"/>
        <v>Premium</v>
      </c>
      <c r="D54" s="6">
        <v>178</v>
      </c>
      <c r="E54" s="7" t="str">
        <f>VLOOKUP(D54,[1]characters!$A:$C,3,FALSE)</f>
        <v>ケルベロス</v>
      </c>
      <c r="F54" s="7" t="str">
        <f>VLOOKUP(D54,[1]characters!$A:$J,10,FALSE)</f>
        <v>PremiumN</v>
      </c>
      <c r="G54" s="7">
        <f>VLOOKUP(D54,[1]characters!$A:$I,9,FALSE)</f>
        <v>3</v>
      </c>
      <c r="H54" s="7" t="str">
        <f>VLOOKUP(D54,[1]characters!$A:$H,8,FALSE)</f>
        <v>red</v>
      </c>
      <c r="I54" s="7" t="str">
        <f>VLOOKUP(D54,[1]characters!$A:$K,11,FALSE)</f>
        <v>balance</v>
      </c>
      <c r="J54" s="7" t="str">
        <f>VLOOKUP(D54,[1]characters!$A:$M,13,FALSE)</f>
        <v>animal</v>
      </c>
      <c r="K54" s="7" t="str">
        <f>VLOOKUP(D54,[1]characters!$A:$G,7,FALSE)</f>
        <v>女性</v>
      </c>
      <c r="L54" s="66">
        <f>IFERROR(VLOOKUP(D54,input_4!L:R,7,FALSE),VLOOKUP(tables_4!B54,input_4!A:H,8,FALSE))</f>
        <v>70200</v>
      </c>
      <c r="M54" s="67">
        <f t="shared" si="0"/>
        <v>6.7567567567567571E-3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ht="21" customHeight="1">
      <c r="A55" s="2">
        <f>input_4!A$2</f>
        <v>3124</v>
      </c>
      <c r="B55" s="7" t="str">
        <f t="shared" si="1"/>
        <v>Premium4</v>
      </c>
      <c r="C55" s="7" t="str">
        <f t="shared" si="2"/>
        <v>Premium</v>
      </c>
      <c r="D55" s="6">
        <v>179</v>
      </c>
      <c r="E55" s="7" t="str">
        <f>VLOOKUP(D55,[1]characters!$A:$C,3,FALSE)</f>
        <v>番犬 ケルベロス</v>
      </c>
      <c r="F55" s="7" t="str">
        <f>VLOOKUP(D55,[1]characters!$A:$J,10,FALSE)</f>
        <v>PremiumN</v>
      </c>
      <c r="G55" s="7">
        <f>VLOOKUP(D55,[1]characters!$A:$I,9,FALSE)</f>
        <v>4</v>
      </c>
      <c r="H55" s="7" t="str">
        <f>VLOOKUP(D55,[1]characters!$A:$H,8,FALSE)</f>
        <v>red</v>
      </c>
      <c r="I55" s="7" t="str">
        <f>VLOOKUP(D55,[1]characters!$A:$K,11,FALSE)</f>
        <v>balance</v>
      </c>
      <c r="J55" s="7" t="str">
        <f>VLOOKUP(D55,[1]characters!$A:$M,13,FALSE)</f>
        <v>animal</v>
      </c>
      <c r="K55" s="7" t="str">
        <f>VLOOKUP(D55,[1]characters!$A:$G,7,FALSE)</f>
        <v>女性</v>
      </c>
      <c r="L55" s="66">
        <f>IFERROR(VLOOKUP(D55,input_4!L:R,7,FALSE),VLOOKUP(tables_4!B55,input_4!A:H,8,FALSE))</f>
        <v>60021</v>
      </c>
      <c r="M55" s="67">
        <f t="shared" si="0"/>
        <v>5.777027027027027E-3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customHeight="1">
      <c r="A56" s="2">
        <f>input_4!A$2</f>
        <v>3124</v>
      </c>
      <c r="B56" s="7" t="str">
        <f t="shared" si="1"/>
        <v>Premium5</v>
      </c>
      <c r="C56" s="7" t="str">
        <f t="shared" si="2"/>
        <v>Premium</v>
      </c>
      <c r="D56" s="6">
        <v>180</v>
      </c>
      <c r="E56" s="7" t="str">
        <f>VLOOKUP(D56,[1]characters!$A:$C,3,FALSE)</f>
        <v>地獄の大門番 ケルベロス</v>
      </c>
      <c r="F56" s="7" t="str">
        <f>VLOOKUP(D56,[1]characters!$A:$J,10,FALSE)</f>
        <v>PremiumN</v>
      </c>
      <c r="G56" s="7">
        <f>VLOOKUP(D56,[1]characters!$A:$I,9,FALSE)</f>
        <v>5</v>
      </c>
      <c r="H56" s="7" t="str">
        <f>VLOOKUP(D56,[1]characters!$A:$H,8,FALSE)</f>
        <v>red</v>
      </c>
      <c r="I56" s="7" t="str">
        <f>VLOOKUP(D56,[1]characters!$A:$K,11,FALSE)</f>
        <v>balance</v>
      </c>
      <c r="J56" s="7" t="str">
        <f>VLOOKUP(D56,[1]characters!$A:$M,13,FALSE)</f>
        <v>animal</v>
      </c>
      <c r="K56" s="7" t="str">
        <f>VLOOKUP(D56,[1]characters!$A:$G,7,FALSE)</f>
        <v>女性</v>
      </c>
      <c r="L56" s="66">
        <f>IFERROR(VLOOKUP(D56,input_4!L:R,7,FALSE),VLOOKUP(tables_4!B56,input_4!A:H,8,FALSE))</f>
        <v>9139</v>
      </c>
      <c r="M56" s="67">
        <f t="shared" si="0"/>
        <v>8.7962962962962962E-4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customHeight="1">
      <c r="A57" s="2">
        <f>input_4!A$2</f>
        <v>3124</v>
      </c>
      <c r="B57" s="7" t="str">
        <f t="shared" si="1"/>
        <v>Premium3</v>
      </c>
      <c r="C57" s="7" t="str">
        <f t="shared" si="2"/>
        <v>Premium</v>
      </c>
      <c r="D57" s="6">
        <v>181</v>
      </c>
      <c r="E57" s="7" t="str">
        <f>VLOOKUP(D57,[1]characters!$A:$C,3,FALSE)</f>
        <v>ベヒモス</v>
      </c>
      <c r="F57" s="7" t="str">
        <f>VLOOKUP(D57,[1]characters!$A:$J,10,FALSE)</f>
        <v>PremiumN</v>
      </c>
      <c r="G57" s="7">
        <f>VLOOKUP(D57,[1]characters!$A:$I,9,FALSE)</f>
        <v>3</v>
      </c>
      <c r="H57" s="7" t="str">
        <f>VLOOKUP(D57,[1]characters!$A:$H,8,FALSE)</f>
        <v>green</v>
      </c>
      <c r="I57" s="7" t="str">
        <f>VLOOKUP(D57,[1]characters!$A:$K,11,FALSE)</f>
        <v>hp</v>
      </c>
      <c r="J57" s="7" t="str">
        <f>VLOOKUP(D57,[1]characters!$A:$M,13,FALSE)</f>
        <v>animal</v>
      </c>
      <c r="K57" s="7" t="str">
        <f>VLOOKUP(D57,[1]characters!$A:$G,7,FALSE)</f>
        <v>女性</v>
      </c>
      <c r="L57" s="66">
        <f>IFERROR(VLOOKUP(D57,input_4!L:R,7,FALSE),VLOOKUP(tables_4!B57,input_4!A:H,8,FALSE))</f>
        <v>70200</v>
      </c>
      <c r="M57" s="67">
        <f t="shared" si="0"/>
        <v>6.7567567567567571E-3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customHeight="1">
      <c r="A58" s="2">
        <f>input_4!A$2</f>
        <v>3124</v>
      </c>
      <c r="B58" s="7" t="str">
        <f t="shared" si="1"/>
        <v>Premium4</v>
      </c>
      <c r="C58" s="7" t="str">
        <f t="shared" si="2"/>
        <v>Premium</v>
      </c>
      <c r="D58" s="6">
        <v>182</v>
      </c>
      <c r="E58" s="7" t="str">
        <f>VLOOKUP(D58,[1]characters!$A:$C,3,FALSE)</f>
        <v>放蕩者 ベヒモス</v>
      </c>
      <c r="F58" s="7" t="str">
        <f>VLOOKUP(D58,[1]characters!$A:$J,10,FALSE)</f>
        <v>PremiumN</v>
      </c>
      <c r="G58" s="7">
        <f>VLOOKUP(D58,[1]characters!$A:$I,9,FALSE)</f>
        <v>4</v>
      </c>
      <c r="H58" s="7" t="str">
        <f>VLOOKUP(D58,[1]characters!$A:$H,8,FALSE)</f>
        <v>green</v>
      </c>
      <c r="I58" s="7" t="str">
        <f>VLOOKUP(D58,[1]characters!$A:$K,11,FALSE)</f>
        <v>hp</v>
      </c>
      <c r="J58" s="7" t="str">
        <f>VLOOKUP(D58,[1]characters!$A:$M,13,FALSE)</f>
        <v>animal</v>
      </c>
      <c r="K58" s="7" t="str">
        <f>VLOOKUP(D58,[1]characters!$A:$G,7,FALSE)</f>
        <v>女性</v>
      </c>
      <c r="L58" s="66">
        <f>IFERROR(VLOOKUP(D58,input_4!L:R,7,FALSE),VLOOKUP(tables_4!B58,input_4!A:H,8,FALSE))</f>
        <v>60021</v>
      </c>
      <c r="M58" s="67">
        <f t="shared" si="0"/>
        <v>5.777027027027027E-3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customHeight="1">
      <c r="A59" s="2">
        <f>input_4!A$2</f>
        <v>3124</v>
      </c>
      <c r="B59" s="7" t="str">
        <f t="shared" si="1"/>
        <v>Premium5</v>
      </c>
      <c r="C59" s="7" t="str">
        <f t="shared" si="2"/>
        <v>Premium</v>
      </c>
      <c r="D59" s="6">
        <v>183</v>
      </c>
      <c r="E59" s="7" t="str">
        <f>VLOOKUP(D59,[1]characters!$A:$C,3,FALSE)</f>
        <v>鈍重な彷徨者 ベヒモス</v>
      </c>
      <c r="F59" s="7" t="str">
        <f>VLOOKUP(D59,[1]characters!$A:$J,10,FALSE)</f>
        <v>PremiumN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hp</v>
      </c>
      <c r="J59" s="7" t="str">
        <f>VLOOKUP(D59,[1]characters!$A:$M,13,FALSE)</f>
        <v>animal</v>
      </c>
      <c r="K59" s="7" t="str">
        <f>VLOOKUP(D59,[1]characters!$A:$G,7,FALSE)</f>
        <v>女性</v>
      </c>
      <c r="L59" s="66">
        <f>IFERROR(VLOOKUP(D59,input_4!L:R,7,FALSE),VLOOKUP(tables_4!B59,input_4!A:H,8,FALSE))</f>
        <v>9139</v>
      </c>
      <c r="M59" s="67">
        <f t="shared" si="0"/>
        <v>8.7962962962962962E-4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customHeight="1">
      <c r="A60" s="2">
        <f>input_4!A$2</f>
        <v>3124</v>
      </c>
      <c r="B60" s="7" t="str">
        <f t="shared" si="1"/>
        <v>Premium3</v>
      </c>
      <c r="C60" s="7" t="str">
        <f t="shared" si="2"/>
        <v>Premium</v>
      </c>
      <c r="D60" s="6">
        <v>184</v>
      </c>
      <c r="E60" s="7" t="str">
        <f>VLOOKUP(D60,[1]characters!$A:$C,3,FALSE)</f>
        <v>クラーケン</v>
      </c>
      <c r="F60" s="7" t="str">
        <f>VLOOKUP(D60,[1]characters!$A:$J,10,FALSE)</f>
        <v>PremiumN</v>
      </c>
      <c r="G60" s="7">
        <f>VLOOKUP(D60,[1]characters!$A:$I,9,FALSE)</f>
        <v>3</v>
      </c>
      <c r="H60" s="7" t="str">
        <f>VLOOKUP(D60,[1]characters!$A:$H,8,FALSE)</f>
        <v>blue</v>
      </c>
      <c r="I60" s="7" t="str">
        <f>VLOOKUP(D60,[1]characters!$A:$K,11,FALSE)</f>
        <v>heal</v>
      </c>
      <c r="J60" s="7" t="str">
        <f>VLOOKUP(D60,[1]characters!$A:$M,13,FALSE)</f>
        <v>animal</v>
      </c>
      <c r="K60" s="7" t="str">
        <f>VLOOKUP(D60,[1]characters!$A:$G,7,FALSE)</f>
        <v>女性</v>
      </c>
      <c r="L60" s="66">
        <f>IFERROR(VLOOKUP(D60,input_4!L:R,7,FALSE),VLOOKUP(tables_4!B60,input_4!A:H,8,FALSE))</f>
        <v>70200</v>
      </c>
      <c r="M60" s="67">
        <f t="shared" si="0"/>
        <v>6.7567567567567571E-3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customHeight="1">
      <c r="A61" s="2">
        <f>input_4!A$2</f>
        <v>3124</v>
      </c>
      <c r="B61" s="7" t="str">
        <f t="shared" si="1"/>
        <v>Premium4</v>
      </c>
      <c r="C61" s="7" t="str">
        <f t="shared" si="2"/>
        <v>Premium</v>
      </c>
      <c r="D61" s="6">
        <v>185</v>
      </c>
      <c r="E61" s="7" t="str">
        <f>VLOOKUP(D61,[1]characters!$A:$C,3,FALSE)</f>
        <v>海姫 クラーケン</v>
      </c>
      <c r="F61" s="7" t="str">
        <f>VLOOKUP(D61,[1]characters!$A:$J,10,FALSE)</f>
        <v>PremiumN</v>
      </c>
      <c r="G61" s="7">
        <f>VLOOKUP(D61,[1]characters!$A:$I,9,FALSE)</f>
        <v>4</v>
      </c>
      <c r="H61" s="7" t="str">
        <f>VLOOKUP(D61,[1]characters!$A:$H,8,FALSE)</f>
        <v>blue</v>
      </c>
      <c r="I61" s="7" t="str">
        <f>VLOOKUP(D61,[1]characters!$A:$K,11,FALSE)</f>
        <v>heal</v>
      </c>
      <c r="J61" s="7" t="str">
        <f>VLOOKUP(D61,[1]characters!$A:$M,13,FALSE)</f>
        <v>animal</v>
      </c>
      <c r="K61" s="7" t="str">
        <f>VLOOKUP(D61,[1]characters!$A:$G,7,FALSE)</f>
        <v>女性</v>
      </c>
      <c r="L61" s="66">
        <f>IFERROR(VLOOKUP(D61,input_4!L:R,7,FALSE),VLOOKUP(tables_4!B61,input_4!A:H,8,FALSE))</f>
        <v>60021</v>
      </c>
      <c r="M61" s="67">
        <f t="shared" si="0"/>
        <v>5.777027027027027E-3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customHeight="1">
      <c r="A62" s="2">
        <f>input_4!A$2</f>
        <v>3124</v>
      </c>
      <c r="B62" s="7" t="str">
        <f t="shared" si="1"/>
        <v>Premium5</v>
      </c>
      <c r="C62" s="7" t="str">
        <f t="shared" si="2"/>
        <v>Premium</v>
      </c>
      <c r="D62" s="8">
        <v>186</v>
      </c>
      <c r="E62" s="7" t="str">
        <f>VLOOKUP(D62,[1]characters!$A:$C,3,FALSE)</f>
        <v>誇り高き多触姫・クラーケン</v>
      </c>
      <c r="F62" s="7" t="str">
        <f>VLOOKUP(D62,[1]characters!$A:$J,10,FALSE)</f>
        <v>PremiumN</v>
      </c>
      <c r="G62" s="7">
        <f>VLOOKUP(D62,[1]characters!$A:$I,9,FALSE)</f>
        <v>5</v>
      </c>
      <c r="H62" s="7" t="str">
        <f>VLOOKUP(D62,[1]characters!$A:$H,8,FALSE)</f>
        <v>blue</v>
      </c>
      <c r="I62" s="7" t="str">
        <f>VLOOKUP(D62,[1]characters!$A:$K,11,FALSE)</f>
        <v>heal</v>
      </c>
      <c r="J62" s="7" t="str">
        <f>VLOOKUP(D62,[1]characters!$A:$M,13,FALSE)</f>
        <v>animal</v>
      </c>
      <c r="K62" s="7" t="str">
        <f>VLOOKUP(D62,[1]characters!$A:$G,7,FALSE)</f>
        <v>女性</v>
      </c>
      <c r="L62" s="66">
        <f>IFERROR(VLOOKUP(D62,input_4!L:R,7,FALSE),VLOOKUP(tables_4!B62,input_4!A:H,8,FALSE))</f>
        <v>9139</v>
      </c>
      <c r="M62" s="67">
        <f t="shared" si="0"/>
        <v>8.7962962962962962E-4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customHeight="1">
      <c r="A63" s="2">
        <f>input_4!A$2</f>
        <v>3124</v>
      </c>
      <c r="B63" s="7" t="str">
        <f t="shared" si="1"/>
        <v>Premium3</v>
      </c>
      <c r="C63" s="7" t="str">
        <f t="shared" si="2"/>
        <v>Premium</v>
      </c>
      <c r="D63" s="8">
        <v>187</v>
      </c>
      <c r="E63" s="7" t="str">
        <f>VLOOKUP(D63,[1]characters!$A:$C,3,FALSE)</f>
        <v>ホルス</v>
      </c>
      <c r="F63" s="7" t="str">
        <f>VLOOKUP(D63,[1]characters!$A:$J,10,FALSE)</f>
        <v>PremiumN</v>
      </c>
      <c r="G63" s="7">
        <f>VLOOKUP(D63,[1]characters!$A:$I,9,FALSE)</f>
        <v>3</v>
      </c>
      <c r="H63" s="7" t="str">
        <f>VLOOKUP(D63,[1]characters!$A:$H,8,FALSE)</f>
        <v>yellow</v>
      </c>
      <c r="I63" s="7" t="str">
        <f>VLOOKUP(D63,[1]characters!$A:$K,11,FALSE)</f>
        <v>attack</v>
      </c>
      <c r="J63" s="7" t="str">
        <f>VLOOKUP(D63,[1]characters!$A:$M,13,FALSE)</f>
        <v>animal</v>
      </c>
      <c r="K63" s="7" t="str">
        <f>VLOOKUP(D63,[1]characters!$A:$G,7,FALSE)</f>
        <v>女性</v>
      </c>
      <c r="L63" s="66">
        <f>IFERROR(VLOOKUP(D63,input_4!L:R,7,FALSE),VLOOKUP(tables_4!B63,input_4!A:H,8,FALSE))</f>
        <v>70200</v>
      </c>
      <c r="M63" s="67">
        <f t="shared" si="0"/>
        <v>6.7567567567567571E-3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customHeight="1">
      <c r="A64" s="2">
        <f>input_4!A$2</f>
        <v>3124</v>
      </c>
      <c r="B64" s="7" t="str">
        <f t="shared" si="1"/>
        <v>Premium4</v>
      </c>
      <c r="C64" s="7" t="str">
        <f t="shared" si="2"/>
        <v>Premium</v>
      </c>
      <c r="D64" s="8">
        <v>188</v>
      </c>
      <c r="E64" s="7" t="str">
        <f>VLOOKUP(D64,[1]characters!$A:$C,3,FALSE)</f>
        <v>猛禽 ホルス</v>
      </c>
      <c r="F64" s="7" t="str">
        <f>VLOOKUP(D64,[1]characters!$A:$J,10,FALSE)</f>
        <v>PremiumN</v>
      </c>
      <c r="G64" s="7">
        <f>VLOOKUP(D64,[1]characters!$A:$I,9,FALSE)</f>
        <v>4</v>
      </c>
      <c r="H64" s="7" t="str">
        <f>VLOOKUP(D64,[1]characters!$A:$H,8,FALSE)</f>
        <v>yellow</v>
      </c>
      <c r="I64" s="7" t="str">
        <f>VLOOKUP(D64,[1]characters!$A:$K,11,FALSE)</f>
        <v>attack</v>
      </c>
      <c r="J64" s="7" t="str">
        <f>VLOOKUP(D64,[1]characters!$A:$M,13,FALSE)</f>
        <v>animal</v>
      </c>
      <c r="K64" s="7" t="str">
        <f>VLOOKUP(D64,[1]characters!$A:$G,7,FALSE)</f>
        <v>女性</v>
      </c>
      <c r="L64" s="66">
        <f>IFERROR(VLOOKUP(D64,input_4!L:R,7,FALSE),VLOOKUP(tables_4!B64,input_4!A:H,8,FALSE))</f>
        <v>60021</v>
      </c>
      <c r="M64" s="67">
        <f t="shared" si="0"/>
        <v>5.777027027027027E-3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customHeight="1">
      <c r="A65" s="2">
        <f>input_4!A$2</f>
        <v>3124</v>
      </c>
      <c r="B65" s="7" t="str">
        <f t="shared" si="1"/>
        <v>Premium5</v>
      </c>
      <c r="C65" s="7" t="str">
        <f t="shared" si="2"/>
        <v>Premium</v>
      </c>
      <c r="D65" s="8">
        <v>189</v>
      </c>
      <c r="E65" s="7" t="str">
        <f>VLOOKUP(D65,[1]characters!$A:$C,3,FALSE)</f>
        <v>迅雷の王禽 ホルス</v>
      </c>
      <c r="F65" s="7" t="str">
        <f>VLOOKUP(D65,[1]characters!$A:$J,10,FALSE)</f>
        <v>PremiumN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attack</v>
      </c>
      <c r="J65" s="7" t="str">
        <f>VLOOKUP(D65,[1]characters!$A:$M,13,FALSE)</f>
        <v>animal</v>
      </c>
      <c r="K65" s="7" t="str">
        <f>VLOOKUP(D65,[1]characters!$A:$G,7,FALSE)</f>
        <v>女性</v>
      </c>
      <c r="L65" s="66">
        <f>IFERROR(VLOOKUP(D65,input_4!L:R,7,FALSE),VLOOKUP(tables_4!B65,input_4!A:H,8,FALSE))</f>
        <v>9139</v>
      </c>
      <c r="M65" s="67">
        <f t="shared" si="0"/>
        <v>8.7962962962962962E-4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s="9" customFormat="1" ht="21" customHeight="1" thickBot="1">
      <c r="A66" s="2">
        <f>input_4!A$2</f>
        <v>3124</v>
      </c>
      <c r="B66" s="7" t="str">
        <f t="shared" si="1"/>
        <v>Premium3</v>
      </c>
      <c r="C66" s="7" t="str">
        <f t="shared" si="2"/>
        <v>Premium</v>
      </c>
      <c r="D66" s="6">
        <v>190</v>
      </c>
      <c r="E66" s="7" t="str">
        <f>VLOOKUP(D66,[1]characters!$A:$C,3,FALSE)</f>
        <v>卑弥呼</v>
      </c>
      <c r="F66" s="7" t="str">
        <f>VLOOKUP(D66,[1]characters!$A:$J,10,FALSE)</f>
        <v>PremiumN</v>
      </c>
      <c r="G66" s="7">
        <f>VLOOKUP(D66,[1]characters!$A:$I,9,FALSE)</f>
        <v>3</v>
      </c>
      <c r="H66" s="7" t="str">
        <f>VLOOKUP(D66,[1]characters!$A:$H,8,FALSE)</f>
        <v>red</v>
      </c>
      <c r="I66" s="7" t="str">
        <f>VLOOKUP(D66,[1]characters!$A:$K,11,FALSE)</f>
        <v>balance</v>
      </c>
      <c r="J66" s="7" t="str">
        <f>VLOOKUP(D66,[1]characters!$A:$M,13,FALSE)</f>
        <v>human</v>
      </c>
      <c r="K66" s="7" t="str">
        <f>VLOOKUP(D66,[1]characters!$A:$G,7,FALSE)</f>
        <v>女性</v>
      </c>
      <c r="L66" s="66">
        <f>IFERROR(VLOOKUP(D66,input_4!L:R,7,FALSE),VLOOKUP(tables_4!B66,input_4!A:H,8,FALSE))</f>
        <v>70200</v>
      </c>
      <c r="M66" s="67">
        <f t="shared" ref="M66:M129" si="3">L66/SUM(L:L)</f>
        <v>6.7567567567567571E-3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customHeight="1">
      <c r="A67" s="2">
        <f>input_4!A$2</f>
        <v>3124</v>
      </c>
      <c r="B67" s="7" t="str">
        <f t="shared" ref="B67:B130" si="4">C67&amp;G67</f>
        <v>Premium4</v>
      </c>
      <c r="C67" s="7" t="str">
        <f t="shared" ref="C67:C130" si="5">IF(F67="PremiumSS",F67,IF(F67="PremiumSSS",F67,"Premium"))</f>
        <v>Premium</v>
      </c>
      <c r="D67" s="6">
        <v>191</v>
      </c>
      <c r="E67" s="7" t="str">
        <f>VLOOKUP(D67,[1]characters!$A:$C,3,FALSE)</f>
        <v>始祖 卑弥呼</v>
      </c>
      <c r="F67" s="7" t="str">
        <f>VLOOKUP(D67,[1]characters!$A:$J,10,FALSE)</f>
        <v>PremiumN</v>
      </c>
      <c r="G67" s="7">
        <f>VLOOKUP(D67,[1]characters!$A:$I,9,FALSE)</f>
        <v>4</v>
      </c>
      <c r="H67" s="7" t="str">
        <f>VLOOKUP(D67,[1]characters!$A:$H,8,FALSE)</f>
        <v>red</v>
      </c>
      <c r="I67" s="7" t="str">
        <f>VLOOKUP(D67,[1]characters!$A:$K,11,FALSE)</f>
        <v>balance</v>
      </c>
      <c r="J67" s="7" t="str">
        <f>VLOOKUP(D67,[1]characters!$A:$M,13,FALSE)</f>
        <v>human</v>
      </c>
      <c r="K67" s="7" t="str">
        <f>VLOOKUP(D67,[1]characters!$A:$G,7,FALSE)</f>
        <v>女性</v>
      </c>
      <c r="L67" s="66">
        <f>IFERROR(VLOOKUP(D67,input_4!L:R,7,FALSE),VLOOKUP(tables_4!B67,input_4!A:H,8,FALSE))</f>
        <v>60021</v>
      </c>
      <c r="M67" s="67">
        <f t="shared" si="3"/>
        <v>5.777027027027027E-3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customHeight="1">
      <c r="A68" s="2">
        <f>input_4!A$2</f>
        <v>3124</v>
      </c>
      <c r="B68" s="7" t="str">
        <f t="shared" si="4"/>
        <v>Premium5</v>
      </c>
      <c r="C68" s="7" t="str">
        <f t="shared" si="5"/>
        <v>Premium</v>
      </c>
      <c r="D68" s="6">
        <v>192</v>
      </c>
      <c r="E68" s="7" t="str">
        <f>VLOOKUP(D68,[1]characters!$A:$C,3,FALSE)</f>
        <v>荘厳なる始祖帝 卑弥呼</v>
      </c>
      <c r="F68" s="7" t="str">
        <f>VLOOKUP(D68,[1]characters!$A:$J,10,FALSE)</f>
        <v>PremiumN</v>
      </c>
      <c r="G68" s="7">
        <f>VLOOKUP(D68,[1]characters!$A:$I,9,FALSE)</f>
        <v>5</v>
      </c>
      <c r="H68" s="7" t="str">
        <f>VLOOKUP(D68,[1]characters!$A:$H,8,FALSE)</f>
        <v>red</v>
      </c>
      <c r="I68" s="7" t="str">
        <f>VLOOKUP(D68,[1]characters!$A:$K,11,FALSE)</f>
        <v>balance</v>
      </c>
      <c r="J68" s="7" t="str">
        <f>VLOOKUP(D68,[1]characters!$A:$M,13,FALSE)</f>
        <v>human</v>
      </c>
      <c r="K68" s="7" t="str">
        <f>VLOOKUP(D68,[1]characters!$A:$G,7,FALSE)</f>
        <v>女性</v>
      </c>
      <c r="L68" s="66">
        <f>IFERROR(VLOOKUP(D68,input_4!L:R,7,FALSE),VLOOKUP(tables_4!B68,input_4!A:H,8,FALSE))</f>
        <v>9139</v>
      </c>
      <c r="M68" s="67">
        <f t="shared" si="3"/>
        <v>8.7962962962962962E-4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customHeight="1">
      <c r="A69" s="2">
        <f>input_4!A$2</f>
        <v>3124</v>
      </c>
      <c r="B69" s="7" t="str">
        <f t="shared" si="4"/>
        <v>Premium3</v>
      </c>
      <c r="C69" s="7" t="str">
        <f t="shared" si="5"/>
        <v>Premium</v>
      </c>
      <c r="D69" s="6">
        <v>193</v>
      </c>
      <c r="E69" s="7" t="str">
        <f>VLOOKUP(D69,[1]characters!$A:$C,3,FALSE)</f>
        <v>ロビンフッド</v>
      </c>
      <c r="F69" s="7" t="str">
        <f>VLOOKUP(D69,[1]characters!$A:$J,10,FALSE)</f>
        <v>PremiumN</v>
      </c>
      <c r="G69" s="7">
        <f>VLOOKUP(D69,[1]characters!$A:$I,9,FALSE)</f>
        <v>3</v>
      </c>
      <c r="H69" s="7" t="str">
        <f>VLOOKUP(D69,[1]characters!$A:$H,8,FALSE)</f>
        <v>green</v>
      </c>
      <c r="I69" s="7" t="str">
        <f>VLOOKUP(D69,[1]characters!$A:$K,11,FALSE)</f>
        <v>balance</v>
      </c>
      <c r="J69" s="7" t="str">
        <f>VLOOKUP(D69,[1]characters!$A:$M,13,FALSE)</f>
        <v>human</v>
      </c>
      <c r="K69" s="7" t="str">
        <f>VLOOKUP(D69,[1]characters!$A:$G,7,FALSE)</f>
        <v>女性</v>
      </c>
      <c r="L69" s="66">
        <f>IFERROR(VLOOKUP(D69,input_4!L:R,7,FALSE),VLOOKUP(tables_4!B69,input_4!A:H,8,FALSE))</f>
        <v>70200</v>
      </c>
      <c r="M69" s="67">
        <f t="shared" si="3"/>
        <v>6.7567567567567571E-3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customHeight="1">
      <c r="A70" s="2">
        <f>input_4!A$2</f>
        <v>3124</v>
      </c>
      <c r="B70" s="7" t="str">
        <f t="shared" si="4"/>
        <v>Premium4</v>
      </c>
      <c r="C70" s="7" t="str">
        <f t="shared" si="5"/>
        <v>Premium</v>
      </c>
      <c r="D70" s="10">
        <v>194</v>
      </c>
      <c r="E70" s="7" t="str">
        <f>VLOOKUP(D70,[1]characters!$A:$C,3,FALSE)</f>
        <v>スナイパー ロビンフッド</v>
      </c>
      <c r="F70" s="7" t="str">
        <f>VLOOKUP(D70,[1]characters!$A:$J,10,FALSE)</f>
        <v>PremiumN</v>
      </c>
      <c r="G70" s="7">
        <f>VLOOKUP(D70,[1]characters!$A:$I,9,FALSE)</f>
        <v>4</v>
      </c>
      <c r="H70" s="7" t="str">
        <f>VLOOKUP(D70,[1]characters!$A:$H,8,FALSE)</f>
        <v>green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女性</v>
      </c>
      <c r="L70" s="66">
        <f>IFERROR(VLOOKUP(D70,input_4!L:R,7,FALSE),VLOOKUP(tables_4!B70,input_4!A:H,8,FALSE))</f>
        <v>60021</v>
      </c>
      <c r="M70" s="67">
        <f t="shared" si="3"/>
        <v>5.777027027027027E-3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customHeight="1">
      <c r="A71" s="2">
        <f>input_4!A$2</f>
        <v>3124</v>
      </c>
      <c r="B71" s="7" t="str">
        <f t="shared" si="4"/>
        <v>Premium5</v>
      </c>
      <c r="C71" s="7" t="str">
        <f t="shared" si="5"/>
        <v>Premium</v>
      </c>
      <c r="D71" s="6">
        <v>195</v>
      </c>
      <c r="E71" s="7" t="str">
        <f>VLOOKUP(D71,[1]characters!$A:$C,3,FALSE)</f>
        <v>グランドハンター ロビンフッド</v>
      </c>
      <c r="F71" s="7" t="str">
        <f>VLOOKUP(D71,[1]characters!$A:$J,10,FALSE)</f>
        <v>PremiumN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balance</v>
      </c>
      <c r="J71" s="7" t="str">
        <f>VLOOKUP(D71,[1]characters!$A:$M,13,FALSE)</f>
        <v>human</v>
      </c>
      <c r="K71" s="7" t="str">
        <f>VLOOKUP(D71,[1]characters!$A:$G,7,FALSE)</f>
        <v>女性</v>
      </c>
      <c r="L71" s="66">
        <f>IFERROR(VLOOKUP(D71,input_4!L:R,7,FALSE),VLOOKUP(tables_4!B71,input_4!A:H,8,FALSE))</f>
        <v>9139</v>
      </c>
      <c r="M71" s="67">
        <f t="shared" si="3"/>
        <v>8.7962962962962962E-4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customHeight="1">
      <c r="A72" s="2">
        <f>input_4!A$2</f>
        <v>3124</v>
      </c>
      <c r="B72" s="7" t="str">
        <f t="shared" si="4"/>
        <v>Premium3</v>
      </c>
      <c r="C72" s="7" t="str">
        <f t="shared" si="5"/>
        <v>Premium</v>
      </c>
      <c r="D72" s="10">
        <v>196</v>
      </c>
      <c r="E72" s="7" t="str">
        <f>VLOOKUP(D72,[1]characters!$A:$C,3,FALSE)</f>
        <v>アキレス</v>
      </c>
      <c r="F72" s="7" t="str">
        <f>VLOOKUP(D72,[1]characters!$A:$J,10,FALSE)</f>
        <v>PremiumN</v>
      </c>
      <c r="G72" s="7">
        <f>VLOOKUP(D72,[1]characters!$A:$I,9,FALSE)</f>
        <v>3</v>
      </c>
      <c r="H72" s="7" t="str">
        <f>VLOOKUP(D72,[1]characters!$A:$H,8,FALSE)</f>
        <v>yellow</v>
      </c>
      <c r="I72" s="7" t="str">
        <f>VLOOKUP(D72,[1]characters!$A:$K,11,FALSE)</f>
        <v>balance</v>
      </c>
      <c r="J72" s="7" t="str">
        <f>VLOOKUP(D72,[1]characters!$A:$M,13,FALSE)</f>
        <v>human</v>
      </c>
      <c r="K72" s="7" t="str">
        <f>VLOOKUP(D72,[1]characters!$A:$G,7,FALSE)</f>
        <v>女性</v>
      </c>
      <c r="L72" s="66">
        <f>IFERROR(VLOOKUP(D72,input_4!L:R,7,FALSE),VLOOKUP(tables_4!B72,input_4!A:H,8,FALSE))</f>
        <v>70200</v>
      </c>
      <c r="M72" s="67">
        <f t="shared" si="3"/>
        <v>6.7567567567567571E-3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customHeight="1">
      <c r="A73" s="2">
        <f>input_4!A$2</f>
        <v>3124</v>
      </c>
      <c r="B73" s="7" t="str">
        <f t="shared" si="4"/>
        <v>Premium4</v>
      </c>
      <c r="C73" s="7" t="str">
        <f t="shared" si="5"/>
        <v>Premium</v>
      </c>
      <c r="D73" s="11">
        <v>197</v>
      </c>
      <c r="E73" s="7" t="str">
        <f>VLOOKUP(D73,[1]characters!$A:$C,3,FALSE)</f>
        <v>鉄腕 アキレス</v>
      </c>
      <c r="F73" s="7" t="str">
        <f>VLOOKUP(D73,[1]characters!$A:$J,10,FALSE)</f>
        <v>PremiumN</v>
      </c>
      <c r="G73" s="7">
        <f>VLOOKUP(D73,[1]characters!$A:$I,9,FALSE)</f>
        <v>4</v>
      </c>
      <c r="H73" s="7" t="str">
        <f>VLOOKUP(D73,[1]characters!$A:$H,8,FALSE)</f>
        <v>yellow</v>
      </c>
      <c r="I73" s="7" t="str">
        <f>VLOOKUP(D73,[1]characters!$A:$K,11,FALSE)</f>
        <v>balance</v>
      </c>
      <c r="J73" s="7" t="str">
        <f>VLOOKUP(D73,[1]characters!$A:$M,13,FALSE)</f>
        <v>human</v>
      </c>
      <c r="K73" s="7" t="str">
        <f>VLOOKUP(D73,[1]characters!$A:$G,7,FALSE)</f>
        <v>女性</v>
      </c>
      <c r="L73" s="66">
        <f>IFERROR(VLOOKUP(D73,input_4!L:R,7,FALSE),VLOOKUP(tables_4!B73,input_4!A:H,8,FALSE))</f>
        <v>60021</v>
      </c>
      <c r="M73" s="67">
        <f t="shared" si="3"/>
        <v>5.777027027027027E-3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customHeight="1">
      <c r="A74" s="2">
        <f>input_4!A$2</f>
        <v>3124</v>
      </c>
      <c r="B74" s="7" t="str">
        <f t="shared" si="4"/>
        <v>Premium5</v>
      </c>
      <c r="C74" s="7" t="str">
        <f t="shared" si="5"/>
        <v>Premium</v>
      </c>
      <c r="D74" s="6">
        <v>198</v>
      </c>
      <c r="E74" s="7" t="str">
        <f>VLOOKUP(D74,[1]characters!$A:$C,3,FALSE)</f>
        <v>砕骨の剛腕 アキレス</v>
      </c>
      <c r="F74" s="7" t="str">
        <f>VLOOKUP(D74,[1]characters!$A:$J,10,FALSE)</f>
        <v>PremiumN</v>
      </c>
      <c r="G74" s="7">
        <f>VLOOKUP(D74,[1]characters!$A:$I,9,FALSE)</f>
        <v>5</v>
      </c>
      <c r="H74" s="7" t="str">
        <f>VLOOKUP(D74,[1]characters!$A:$H,8,FALSE)</f>
        <v>yellow</v>
      </c>
      <c r="I74" s="7" t="str">
        <f>VLOOKUP(D74,[1]characters!$A:$K,11,FALSE)</f>
        <v>balance</v>
      </c>
      <c r="J74" s="7" t="str">
        <f>VLOOKUP(D74,[1]characters!$A:$M,13,FALSE)</f>
        <v>human</v>
      </c>
      <c r="K74" s="7" t="str">
        <f>VLOOKUP(D74,[1]characters!$A:$G,7,FALSE)</f>
        <v>女性</v>
      </c>
      <c r="L74" s="66">
        <f>IFERROR(VLOOKUP(D74,input_4!L:R,7,FALSE),VLOOKUP(tables_4!B74,input_4!A:H,8,FALSE))</f>
        <v>9139</v>
      </c>
      <c r="M74" s="67">
        <f t="shared" si="3"/>
        <v>8.7962962962962962E-4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customHeight="1">
      <c r="A75" s="2">
        <f>input_4!A$2</f>
        <v>3124</v>
      </c>
      <c r="B75" s="7" t="str">
        <f t="shared" si="4"/>
        <v>Premium3</v>
      </c>
      <c r="C75" s="7" t="str">
        <f t="shared" si="5"/>
        <v>Premium</v>
      </c>
      <c r="D75" s="6">
        <v>199</v>
      </c>
      <c r="E75" s="7" t="str">
        <f>VLOOKUP(D75,[1]characters!$A:$C,3,FALSE)</f>
        <v>ジークフリート</v>
      </c>
      <c r="F75" s="7" t="str">
        <f>VLOOKUP(D75,[1]characters!$A:$J,10,FALSE)</f>
        <v>PremiumN</v>
      </c>
      <c r="G75" s="7">
        <f>VLOOKUP(D75,[1]characters!$A:$I,9,FALSE)</f>
        <v>3</v>
      </c>
      <c r="H75" s="7" t="str">
        <f>VLOOKUP(D75,[1]characters!$A:$H,8,FALSE)</f>
        <v>blue</v>
      </c>
      <c r="I75" s="7" t="str">
        <f>VLOOKUP(D75,[1]characters!$A:$K,11,FALSE)</f>
        <v>balance</v>
      </c>
      <c r="J75" s="7" t="str">
        <f>VLOOKUP(D75,[1]characters!$A:$M,13,FALSE)</f>
        <v>human</v>
      </c>
      <c r="K75" s="7" t="str">
        <f>VLOOKUP(D75,[1]characters!$A:$G,7,FALSE)</f>
        <v>男性</v>
      </c>
      <c r="L75" s="66">
        <f>IFERROR(VLOOKUP(D75,input_4!L:R,7,FALSE),VLOOKUP(tables_4!B75,input_4!A:H,8,FALSE))</f>
        <v>70200</v>
      </c>
      <c r="M75" s="67">
        <f t="shared" si="3"/>
        <v>6.7567567567567571E-3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customHeight="1">
      <c r="A76" s="2">
        <f>input_4!A$2</f>
        <v>3124</v>
      </c>
      <c r="B76" s="7" t="str">
        <f t="shared" si="4"/>
        <v>Premium4</v>
      </c>
      <c r="C76" s="7" t="str">
        <f t="shared" si="5"/>
        <v>Premium</v>
      </c>
      <c r="D76" s="6">
        <v>200</v>
      </c>
      <c r="E76" s="7" t="str">
        <f>VLOOKUP(D76,[1]characters!$A:$C,3,FALSE)</f>
        <v>大剣士 ジークフリート</v>
      </c>
      <c r="F76" s="7" t="str">
        <f>VLOOKUP(D76,[1]characters!$A:$J,10,FALSE)</f>
        <v>PremiumN</v>
      </c>
      <c r="G76" s="7">
        <f>VLOOKUP(D76,[1]characters!$A:$I,9,FALSE)</f>
        <v>4</v>
      </c>
      <c r="H76" s="7" t="str">
        <f>VLOOKUP(D76,[1]characters!$A:$H,8,FALSE)</f>
        <v>blue</v>
      </c>
      <c r="I76" s="7" t="str">
        <f>VLOOKUP(D76,[1]characters!$A:$K,11,FALSE)</f>
        <v>balance</v>
      </c>
      <c r="J76" s="7" t="str">
        <f>VLOOKUP(D76,[1]characters!$A:$M,13,FALSE)</f>
        <v>human</v>
      </c>
      <c r="K76" s="7" t="str">
        <f>VLOOKUP(D76,[1]characters!$A:$G,7,FALSE)</f>
        <v>男性</v>
      </c>
      <c r="L76" s="66">
        <f>IFERROR(VLOOKUP(D76,input_4!L:R,7,FALSE),VLOOKUP(tables_4!B76,input_4!A:H,8,FALSE))</f>
        <v>60021</v>
      </c>
      <c r="M76" s="67">
        <f t="shared" si="3"/>
        <v>5.777027027027027E-3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customHeight="1">
      <c r="A77" s="2">
        <f>input_4!A$2</f>
        <v>3124</v>
      </c>
      <c r="B77" s="7" t="str">
        <f t="shared" si="4"/>
        <v>Premium5</v>
      </c>
      <c r="C77" s="7" t="str">
        <f t="shared" si="5"/>
        <v>Premium</v>
      </c>
      <c r="D77" s="5">
        <v>201</v>
      </c>
      <c r="E77" s="7" t="str">
        <f>VLOOKUP(D77,[1]characters!$A:$C,3,FALSE)</f>
        <v>斬空の大破剣 ジークフリート</v>
      </c>
      <c r="F77" s="7" t="str">
        <f>VLOOKUP(D77,[1]characters!$A:$J,10,FALSE)</f>
        <v>PremiumN</v>
      </c>
      <c r="G77" s="7">
        <f>VLOOKUP(D77,[1]characters!$A:$I,9,FALSE)</f>
        <v>5</v>
      </c>
      <c r="H77" s="7" t="str">
        <f>VLOOKUP(D77,[1]characters!$A:$H,8,FALSE)</f>
        <v>blue</v>
      </c>
      <c r="I77" s="7" t="str">
        <f>VLOOKUP(D77,[1]characters!$A:$K,11,FALSE)</f>
        <v>balance</v>
      </c>
      <c r="J77" s="7" t="str">
        <f>VLOOKUP(D77,[1]characters!$A:$M,13,FALSE)</f>
        <v>human</v>
      </c>
      <c r="K77" s="7" t="str">
        <f>VLOOKUP(D77,[1]characters!$A:$G,7,FALSE)</f>
        <v>男性</v>
      </c>
      <c r="L77" s="66">
        <f>IFERROR(VLOOKUP(D77,input_4!L:R,7,FALSE),VLOOKUP(tables_4!B77,input_4!A:H,8,FALSE))</f>
        <v>9139</v>
      </c>
      <c r="M77" s="67">
        <f t="shared" si="3"/>
        <v>8.7962962962962962E-4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customHeight="1">
      <c r="A78" s="2">
        <f>input_4!A$2</f>
        <v>3124</v>
      </c>
      <c r="B78" s="7" t="str">
        <f t="shared" si="4"/>
        <v>Premium3</v>
      </c>
      <c r="C78" s="7" t="str">
        <f t="shared" si="5"/>
        <v>Premium</v>
      </c>
      <c r="D78" s="5">
        <v>202</v>
      </c>
      <c r="E78" s="7" t="str">
        <f>VLOOKUP(D78,[1]characters!$A:$C,3,FALSE)</f>
        <v>プロメテウス</v>
      </c>
      <c r="F78" s="7" t="str">
        <f>VLOOKUP(D78,[1]characters!$A:$J,10,FALSE)</f>
        <v>PremiumN</v>
      </c>
      <c r="G78" s="7">
        <f>VLOOKUP(D78,[1]characters!$A:$I,9,FALSE)</f>
        <v>3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66">
        <f>IFERROR(VLOOKUP(D78,input_4!L:R,7,FALSE),VLOOKUP(tables_4!B78,input_4!A:H,8,FALSE))</f>
        <v>70200</v>
      </c>
      <c r="M78" s="67">
        <f t="shared" si="3"/>
        <v>6.7567567567567571E-3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customHeight="1">
      <c r="A79" s="2">
        <f>input_4!A$2</f>
        <v>3124</v>
      </c>
      <c r="B79" s="7" t="str">
        <f t="shared" si="4"/>
        <v>Premium4</v>
      </c>
      <c r="C79" s="7" t="str">
        <f t="shared" si="5"/>
        <v>Premium</v>
      </c>
      <c r="D79" s="5">
        <v>203</v>
      </c>
      <c r="E79" s="7" t="str">
        <f>VLOOKUP(D79,[1]characters!$A:$C,3,FALSE)</f>
        <v>焔神 プロメテウス</v>
      </c>
      <c r="F79" s="7" t="str">
        <f>VLOOKUP(D79,[1]characters!$A:$J,10,FALSE)</f>
        <v>PremiumN</v>
      </c>
      <c r="G79" s="7">
        <f>VLOOKUP(D79,[1]characters!$A:$I,9,FALSE)</f>
        <v>4</v>
      </c>
      <c r="H79" s="7" t="str">
        <f>VLOOKUP(D79,[1]characters!$A:$H,8,FALSE)</f>
        <v>red</v>
      </c>
      <c r="I79" s="7" t="str">
        <f>VLOOKUP(D79,[1]characters!$A:$K,11,FALSE)</f>
        <v>hp</v>
      </c>
      <c r="J79" s="7" t="str">
        <f>VLOOKUP(D79,[1]characters!$A:$M,13,FALSE)</f>
        <v>god</v>
      </c>
      <c r="K79" s="7" t="str">
        <f>VLOOKUP(D79,[1]characters!$A:$G,7,FALSE)</f>
        <v>男性</v>
      </c>
      <c r="L79" s="66">
        <f>IFERROR(VLOOKUP(D79,input_4!L:R,7,FALSE),VLOOKUP(tables_4!B79,input_4!A:H,8,FALSE))</f>
        <v>60021</v>
      </c>
      <c r="M79" s="67">
        <f t="shared" si="3"/>
        <v>5.777027027027027E-3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customHeight="1">
      <c r="A80" s="2">
        <f>input_4!A$2</f>
        <v>3124</v>
      </c>
      <c r="B80" s="7" t="str">
        <f t="shared" si="4"/>
        <v>Premium5</v>
      </c>
      <c r="C80" s="7" t="str">
        <f t="shared" si="5"/>
        <v>Premium</v>
      </c>
      <c r="D80" s="5">
        <v>204</v>
      </c>
      <c r="E80" s="7" t="str">
        <f>VLOOKUP(D80,[1]characters!$A:$C,3,FALSE)</f>
        <v>慟哭の巨焔 プロメテウス</v>
      </c>
      <c r="F80" s="7" t="str">
        <f>VLOOKUP(D80,[1]characters!$A:$J,10,FALSE)</f>
        <v>PremiumN</v>
      </c>
      <c r="G80" s="7">
        <f>VLOOKUP(D80,[1]characters!$A:$I,9,FALSE)</f>
        <v>5</v>
      </c>
      <c r="H80" s="7" t="str">
        <f>VLOOKUP(D80,[1]characters!$A:$H,8,FALSE)</f>
        <v>red</v>
      </c>
      <c r="I80" s="7" t="str">
        <f>VLOOKUP(D80,[1]characters!$A:$K,11,FALSE)</f>
        <v>hp</v>
      </c>
      <c r="J80" s="7" t="str">
        <f>VLOOKUP(D80,[1]characters!$A:$M,13,FALSE)</f>
        <v>god</v>
      </c>
      <c r="K80" s="7" t="str">
        <f>VLOOKUP(D80,[1]characters!$A:$G,7,FALSE)</f>
        <v>男性</v>
      </c>
      <c r="L80" s="66">
        <f>IFERROR(VLOOKUP(D80,input_4!L:R,7,FALSE),VLOOKUP(tables_4!B80,input_4!A:H,8,FALSE))</f>
        <v>9139</v>
      </c>
      <c r="M80" s="67">
        <f t="shared" si="3"/>
        <v>8.7962962962962962E-4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customHeight="1">
      <c r="A81" s="2">
        <f>input_4!A$2</f>
        <v>3124</v>
      </c>
      <c r="B81" s="7" t="str">
        <f t="shared" si="4"/>
        <v>Premium3</v>
      </c>
      <c r="C81" s="7" t="str">
        <f t="shared" si="5"/>
        <v>Premium</v>
      </c>
      <c r="D81" s="5">
        <v>205</v>
      </c>
      <c r="E81" s="7" t="str">
        <f>VLOOKUP(D81,[1]characters!$A:$C,3,FALSE)</f>
        <v>アフロディーテ</v>
      </c>
      <c r="F81" s="7" t="str">
        <f>VLOOKUP(D81,[1]characters!$A:$J,10,FALSE)</f>
        <v>PremiumN</v>
      </c>
      <c r="G81" s="7">
        <f>VLOOKUP(D81,[1]characters!$A:$I,9,FALSE)</f>
        <v>3</v>
      </c>
      <c r="H81" s="7" t="str">
        <f>VLOOKUP(D81,[1]characters!$A:$H,8,FALSE)</f>
        <v>green</v>
      </c>
      <c r="I81" s="7" t="str">
        <f>VLOOKUP(D81,[1]characters!$A:$K,11,FALSE)</f>
        <v>hp</v>
      </c>
      <c r="J81" s="7" t="str">
        <f>VLOOKUP(D81,[1]characters!$A:$M,13,FALSE)</f>
        <v>god</v>
      </c>
      <c r="K81" s="7" t="str">
        <f>VLOOKUP(D81,[1]characters!$A:$G,7,FALSE)</f>
        <v>女性</v>
      </c>
      <c r="L81" s="66">
        <f>IFERROR(VLOOKUP(D81,input_4!L:R,7,FALSE),VLOOKUP(tables_4!B81,input_4!A:H,8,FALSE))</f>
        <v>70200</v>
      </c>
      <c r="M81" s="67">
        <f t="shared" si="3"/>
        <v>6.7567567567567571E-3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  <row r="82" spans="1:19" ht="21" customHeight="1">
      <c r="A82" s="2">
        <f>input_4!A$2</f>
        <v>3124</v>
      </c>
      <c r="B82" s="7" t="str">
        <f t="shared" si="4"/>
        <v>Premium4</v>
      </c>
      <c r="C82" s="7" t="str">
        <f t="shared" si="5"/>
        <v>Premium</v>
      </c>
      <c r="D82" s="5">
        <v>206</v>
      </c>
      <c r="E82" s="7" t="str">
        <f>VLOOKUP(D82,[1]characters!$A:$C,3,FALSE)</f>
        <v>美神 アフロディーテ</v>
      </c>
      <c r="F82" s="7" t="str">
        <f>VLOOKUP(D82,[1]characters!$A:$J,10,FALSE)</f>
        <v>PremiumN</v>
      </c>
      <c r="G82" s="7">
        <f>VLOOKUP(D82,[1]characters!$A:$I,9,FALSE)</f>
        <v>4</v>
      </c>
      <c r="H82" s="7" t="str">
        <f>VLOOKUP(D82,[1]characters!$A:$H,8,FALSE)</f>
        <v>green</v>
      </c>
      <c r="I82" s="7" t="str">
        <f>VLOOKUP(D82,[1]characters!$A:$K,11,FALSE)</f>
        <v>hp</v>
      </c>
      <c r="J82" s="7" t="str">
        <f>VLOOKUP(D82,[1]characters!$A:$M,13,FALSE)</f>
        <v>god</v>
      </c>
      <c r="K82" s="7" t="str">
        <f>VLOOKUP(D82,[1]characters!$A:$G,7,FALSE)</f>
        <v>女性</v>
      </c>
      <c r="L82" s="66">
        <f>IFERROR(VLOOKUP(D82,input_4!L:R,7,FALSE),VLOOKUP(tables_4!B82,input_4!A:H,8,FALSE))</f>
        <v>60021</v>
      </c>
      <c r="M82" s="67">
        <f t="shared" si="3"/>
        <v>5.777027027027027E-3</v>
      </c>
      <c r="N82" s="31">
        <f>IFERROR(VLOOKUP($D82,bug_conf_sheet!$A:$H,3,FALSE),VLOOKUP("other",bug_conf_sheet!$A:$H,3,FALSE))</f>
        <v>1</v>
      </c>
      <c r="O82" s="31">
        <f>IFERROR(VLOOKUP($D82,bug_conf_sheet!$A:$H,4,FALSE),VLOOKUP("other",bug_conf_sheet!$A:$H,4,FALSE))</f>
        <v>0</v>
      </c>
      <c r="P82" s="31">
        <f>IFERROR(VLOOKUP($D82,bug_conf_sheet!$A:$H,5,FALSE),VLOOKUP("other",bug_conf_sheet!$A:$H,5,FALSE))</f>
        <v>0</v>
      </c>
      <c r="Q82" s="31">
        <f>IFERROR(VLOOKUP($D82,bug_conf_sheet!$A:$H,6,FALSE),VLOOKUP("other",bug_conf_sheet!$A:$H,6,FALSE))</f>
        <v>0</v>
      </c>
      <c r="R82" s="31">
        <f>IFERROR(VLOOKUP($D82,bug_conf_sheet!$A:$H,7,FALSE),VLOOKUP("other",bug_conf_sheet!$A:$H,7,FALSE))</f>
        <v>0</v>
      </c>
      <c r="S82" s="31">
        <f>IFERROR(VLOOKUP($D82,bug_conf_sheet!$A:$H,8,FALSE),VLOOKUP("other",bug_conf_sheet!$A:$H,8,FALSE))</f>
        <v>1</v>
      </c>
    </row>
    <row r="83" spans="1:19" ht="21" customHeight="1">
      <c r="A83" s="2">
        <f>input_4!A$2</f>
        <v>3124</v>
      </c>
      <c r="B83" s="7" t="str">
        <f t="shared" si="4"/>
        <v>Premium5</v>
      </c>
      <c r="C83" s="7" t="str">
        <f t="shared" si="5"/>
        <v>Premium</v>
      </c>
      <c r="D83" s="5">
        <v>207</v>
      </c>
      <c r="E83" s="7" t="str">
        <f>VLOOKUP(D83,[1]characters!$A:$C,3,FALSE)</f>
        <v>豊穣の麗神・アフロディーテ</v>
      </c>
      <c r="F83" s="7" t="str">
        <f>VLOOKUP(D83,[1]characters!$A:$J,10,FALSE)</f>
        <v>PremiumN</v>
      </c>
      <c r="G83" s="7">
        <f>VLOOKUP(D83,[1]characters!$A:$I,9,FALSE)</f>
        <v>5</v>
      </c>
      <c r="H83" s="7" t="str">
        <f>VLOOKUP(D83,[1]characters!$A:$H,8,FALSE)</f>
        <v>green</v>
      </c>
      <c r="I83" s="7" t="str">
        <f>VLOOKUP(D83,[1]characters!$A:$K,11,FALSE)</f>
        <v>hp</v>
      </c>
      <c r="J83" s="7" t="str">
        <f>VLOOKUP(D83,[1]characters!$A:$M,13,FALSE)</f>
        <v>god</v>
      </c>
      <c r="K83" s="7" t="str">
        <f>VLOOKUP(D83,[1]characters!$A:$G,7,FALSE)</f>
        <v>女性</v>
      </c>
      <c r="L83" s="66">
        <f>IFERROR(VLOOKUP(D83,input_4!L:R,7,FALSE),VLOOKUP(tables_4!B83,input_4!A:H,8,FALSE))</f>
        <v>9139</v>
      </c>
      <c r="M83" s="67">
        <f t="shared" si="3"/>
        <v>8.7962962962962962E-4</v>
      </c>
      <c r="N83" s="31">
        <f>IFERROR(VLOOKUP($D83,bug_conf_sheet!$A:$H,3,FALSE),VLOOKUP("other",bug_conf_sheet!$A:$H,3,FALSE))</f>
        <v>1</v>
      </c>
      <c r="O83" s="31">
        <f>IFERROR(VLOOKUP($D83,bug_conf_sheet!$A:$H,4,FALSE),VLOOKUP("other",bug_conf_sheet!$A:$H,4,FALSE))</f>
        <v>0</v>
      </c>
      <c r="P83" s="31">
        <f>IFERROR(VLOOKUP($D83,bug_conf_sheet!$A:$H,5,FALSE),VLOOKUP("other",bug_conf_sheet!$A:$H,5,FALSE))</f>
        <v>0</v>
      </c>
      <c r="Q83" s="31">
        <f>IFERROR(VLOOKUP($D83,bug_conf_sheet!$A:$H,6,FALSE),VLOOKUP("other",bug_conf_sheet!$A:$H,6,FALSE))</f>
        <v>0</v>
      </c>
      <c r="R83" s="31">
        <f>IFERROR(VLOOKUP($D83,bug_conf_sheet!$A:$H,7,FALSE),VLOOKUP("other",bug_conf_sheet!$A:$H,7,FALSE))</f>
        <v>0</v>
      </c>
      <c r="S83" s="31">
        <f>IFERROR(VLOOKUP($D83,bug_conf_sheet!$A:$H,8,FALSE),VLOOKUP("other",bug_conf_sheet!$A:$H,8,FALSE))</f>
        <v>1</v>
      </c>
    </row>
    <row r="84" spans="1:19" ht="21" customHeight="1">
      <c r="A84" s="2">
        <f>input_4!A$2</f>
        <v>3124</v>
      </c>
      <c r="B84" s="7" t="str">
        <f t="shared" si="4"/>
        <v>Premium3</v>
      </c>
      <c r="C84" s="7" t="str">
        <f t="shared" si="5"/>
        <v>Premium</v>
      </c>
      <c r="D84" s="5">
        <v>208</v>
      </c>
      <c r="E84" s="7" t="str">
        <f>VLOOKUP(D84,[1]characters!$A:$C,3,FALSE)</f>
        <v>テティス</v>
      </c>
      <c r="F84" s="7" t="str">
        <f>VLOOKUP(D84,[1]characters!$A:$J,10,FALSE)</f>
        <v>PremiumN</v>
      </c>
      <c r="G84" s="7">
        <f>VLOOKUP(D84,[1]characters!$A:$I,9,FALSE)</f>
        <v>3</v>
      </c>
      <c r="H84" s="7" t="str">
        <f>VLOOKUP(D84,[1]characters!$A:$H,8,FALSE)</f>
        <v>blue</v>
      </c>
      <c r="I84" s="7" t="str">
        <f>VLOOKUP(D84,[1]characters!$A:$K,11,FALSE)</f>
        <v>hp</v>
      </c>
      <c r="J84" s="7" t="str">
        <f>VLOOKUP(D84,[1]characters!$A:$M,13,FALSE)</f>
        <v>god</v>
      </c>
      <c r="K84" s="7" t="str">
        <f>VLOOKUP(D84,[1]characters!$A:$G,7,FALSE)</f>
        <v>女性</v>
      </c>
      <c r="L84" s="66">
        <f>IFERROR(VLOOKUP(D84,input_4!L:R,7,FALSE),VLOOKUP(tables_4!B84,input_4!A:H,8,FALSE))</f>
        <v>70200</v>
      </c>
      <c r="M84" s="67">
        <f t="shared" si="3"/>
        <v>6.7567567567567571E-3</v>
      </c>
      <c r="N84" s="31">
        <f>IFERROR(VLOOKUP($D84,bug_conf_sheet!$A:$H,3,FALSE),VLOOKUP("other",bug_conf_sheet!$A:$H,3,FALSE))</f>
        <v>1</v>
      </c>
      <c r="O84" s="31">
        <f>IFERROR(VLOOKUP($D84,bug_conf_sheet!$A:$H,4,FALSE),VLOOKUP("other",bug_conf_sheet!$A:$H,4,FALSE))</f>
        <v>0</v>
      </c>
      <c r="P84" s="31">
        <f>IFERROR(VLOOKUP($D84,bug_conf_sheet!$A:$H,5,FALSE),VLOOKUP("other",bug_conf_sheet!$A:$H,5,FALSE))</f>
        <v>0</v>
      </c>
      <c r="Q84" s="31">
        <f>IFERROR(VLOOKUP($D84,bug_conf_sheet!$A:$H,6,FALSE),VLOOKUP("other",bug_conf_sheet!$A:$H,6,FALSE))</f>
        <v>0</v>
      </c>
      <c r="R84" s="31">
        <f>IFERROR(VLOOKUP($D84,bug_conf_sheet!$A:$H,7,FALSE),VLOOKUP("other",bug_conf_sheet!$A:$H,7,FALSE))</f>
        <v>0</v>
      </c>
      <c r="S84" s="31">
        <f>IFERROR(VLOOKUP($D84,bug_conf_sheet!$A:$H,8,FALSE),VLOOKUP("other",bug_conf_sheet!$A:$H,8,FALSE))</f>
        <v>1</v>
      </c>
    </row>
    <row r="85" spans="1:19" ht="21" customHeight="1">
      <c r="A85" s="2">
        <f>input_4!A$2</f>
        <v>3124</v>
      </c>
      <c r="B85" s="7" t="str">
        <f t="shared" si="4"/>
        <v>Premium4</v>
      </c>
      <c r="C85" s="7" t="str">
        <f t="shared" si="5"/>
        <v>Premium</v>
      </c>
      <c r="D85" s="5">
        <v>209</v>
      </c>
      <c r="E85" s="7" t="str">
        <f>VLOOKUP(D85,[1]characters!$A:$C,3,FALSE)</f>
        <v>孤神 テティス</v>
      </c>
      <c r="F85" s="7" t="str">
        <f>VLOOKUP(D85,[1]characters!$A:$J,10,FALSE)</f>
        <v>PremiumN</v>
      </c>
      <c r="G85" s="7">
        <f>VLOOKUP(D85,[1]characters!$A:$I,9,FALSE)</f>
        <v>4</v>
      </c>
      <c r="H85" s="7" t="str">
        <f>VLOOKUP(D85,[1]characters!$A:$H,8,FALSE)</f>
        <v>blue</v>
      </c>
      <c r="I85" s="7" t="str">
        <f>VLOOKUP(D85,[1]characters!$A:$K,11,FALSE)</f>
        <v>hp</v>
      </c>
      <c r="J85" s="7" t="str">
        <f>VLOOKUP(D85,[1]characters!$A:$M,13,FALSE)</f>
        <v>god</v>
      </c>
      <c r="K85" s="7" t="str">
        <f>VLOOKUP(D85,[1]characters!$A:$G,7,FALSE)</f>
        <v>女性</v>
      </c>
      <c r="L85" s="66">
        <f>IFERROR(VLOOKUP(D85,input_4!L:R,7,FALSE),VLOOKUP(tables_4!B85,input_4!A:H,8,FALSE))</f>
        <v>60021</v>
      </c>
      <c r="M85" s="67">
        <f t="shared" si="3"/>
        <v>5.777027027027027E-3</v>
      </c>
      <c r="N85" s="31">
        <f>IFERROR(VLOOKUP($D85,bug_conf_sheet!$A:$H,3,FALSE),VLOOKUP("other",bug_conf_sheet!$A:$H,3,FALSE))</f>
        <v>1</v>
      </c>
      <c r="O85" s="31">
        <f>IFERROR(VLOOKUP($D85,bug_conf_sheet!$A:$H,4,FALSE),VLOOKUP("other",bug_conf_sheet!$A:$H,4,FALSE))</f>
        <v>0</v>
      </c>
      <c r="P85" s="31">
        <f>IFERROR(VLOOKUP($D85,bug_conf_sheet!$A:$H,5,FALSE),VLOOKUP("other",bug_conf_sheet!$A:$H,5,FALSE))</f>
        <v>0</v>
      </c>
      <c r="Q85" s="31">
        <f>IFERROR(VLOOKUP($D85,bug_conf_sheet!$A:$H,6,FALSE),VLOOKUP("other",bug_conf_sheet!$A:$H,6,FALSE))</f>
        <v>0</v>
      </c>
      <c r="R85" s="31">
        <f>IFERROR(VLOOKUP($D85,bug_conf_sheet!$A:$H,7,FALSE),VLOOKUP("other",bug_conf_sheet!$A:$H,7,FALSE))</f>
        <v>0</v>
      </c>
      <c r="S85" s="31">
        <f>IFERROR(VLOOKUP($D85,bug_conf_sheet!$A:$H,8,FALSE),VLOOKUP("other",bug_conf_sheet!$A:$H,8,FALSE))</f>
        <v>1</v>
      </c>
    </row>
    <row r="86" spans="1:19" ht="21" customHeight="1">
      <c r="A86" s="2">
        <f>input_4!A$2</f>
        <v>3124</v>
      </c>
      <c r="B86" s="7" t="str">
        <f t="shared" si="4"/>
        <v>Premium5</v>
      </c>
      <c r="C86" s="7" t="str">
        <f t="shared" si="5"/>
        <v>Premium</v>
      </c>
      <c r="D86" s="5">
        <v>210</v>
      </c>
      <c r="E86" s="7" t="str">
        <f>VLOOKUP(D86,[1]characters!$A:$C,3,FALSE)</f>
        <v>海底の孤高神 テティス</v>
      </c>
      <c r="F86" s="7" t="str">
        <f>VLOOKUP(D86,[1]characters!$A:$J,10,FALSE)</f>
        <v>PremiumN</v>
      </c>
      <c r="G86" s="7">
        <f>VLOOKUP(D86,[1]characters!$A:$I,9,FALSE)</f>
        <v>5</v>
      </c>
      <c r="H86" s="7" t="str">
        <f>VLOOKUP(D86,[1]characters!$A:$H,8,FALSE)</f>
        <v>blue</v>
      </c>
      <c r="I86" s="7" t="str">
        <f>VLOOKUP(D86,[1]characters!$A:$K,11,FALSE)</f>
        <v>hp</v>
      </c>
      <c r="J86" s="7" t="str">
        <f>VLOOKUP(D86,[1]characters!$A:$M,13,FALSE)</f>
        <v>god</v>
      </c>
      <c r="K86" s="7" t="str">
        <f>VLOOKUP(D86,[1]characters!$A:$G,7,FALSE)</f>
        <v>女性</v>
      </c>
      <c r="L86" s="66">
        <f>IFERROR(VLOOKUP(D86,input_4!L:R,7,FALSE),VLOOKUP(tables_4!B86,input_4!A:H,8,FALSE))</f>
        <v>9139</v>
      </c>
      <c r="M86" s="67">
        <f t="shared" si="3"/>
        <v>8.7962962962962962E-4</v>
      </c>
      <c r="N86" s="31">
        <f>IFERROR(VLOOKUP($D86,bug_conf_sheet!$A:$H,3,FALSE),VLOOKUP("other",bug_conf_sheet!$A:$H,3,FALSE))</f>
        <v>1</v>
      </c>
      <c r="O86" s="31">
        <f>IFERROR(VLOOKUP($D86,bug_conf_sheet!$A:$H,4,FALSE),VLOOKUP("other",bug_conf_sheet!$A:$H,4,FALSE))</f>
        <v>0</v>
      </c>
      <c r="P86" s="31">
        <f>IFERROR(VLOOKUP($D86,bug_conf_sheet!$A:$H,5,FALSE),VLOOKUP("other",bug_conf_sheet!$A:$H,5,FALSE))</f>
        <v>0</v>
      </c>
      <c r="Q86" s="31">
        <f>IFERROR(VLOOKUP($D86,bug_conf_sheet!$A:$H,6,FALSE),VLOOKUP("other",bug_conf_sheet!$A:$H,6,FALSE))</f>
        <v>0</v>
      </c>
      <c r="R86" s="31">
        <f>IFERROR(VLOOKUP($D86,bug_conf_sheet!$A:$H,7,FALSE),VLOOKUP("other",bug_conf_sheet!$A:$H,7,FALSE))</f>
        <v>0</v>
      </c>
      <c r="S86" s="31">
        <f>IFERROR(VLOOKUP($D86,bug_conf_sheet!$A:$H,8,FALSE),VLOOKUP("other",bug_conf_sheet!$A:$H,8,FALSE))</f>
        <v>1</v>
      </c>
    </row>
    <row r="87" spans="1:19" ht="21" customHeight="1">
      <c r="A87" s="2">
        <f>input_4!A$2</f>
        <v>3124</v>
      </c>
      <c r="B87" s="7" t="str">
        <f t="shared" si="4"/>
        <v>Premium3</v>
      </c>
      <c r="C87" s="7" t="str">
        <f t="shared" si="5"/>
        <v>Premium</v>
      </c>
      <c r="D87" s="5">
        <v>211</v>
      </c>
      <c r="E87" s="7" t="str">
        <f>VLOOKUP(D87,[1]characters!$A:$C,3,FALSE)</f>
        <v>アストライアー</v>
      </c>
      <c r="F87" s="7" t="str">
        <f>VLOOKUP(D87,[1]characters!$A:$J,10,FALSE)</f>
        <v>PremiumN</v>
      </c>
      <c r="G87" s="7">
        <f>VLOOKUP(D87,[1]characters!$A:$I,9,FALSE)</f>
        <v>3</v>
      </c>
      <c r="H87" s="7" t="str">
        <f>VLOOKUP(D87,[1]characters!$A:$H,8,FALSE)</f>
        <v>yellow</v>
      </c>
      <c r="I87" s="7" t="str">
        <f>VLOOKUP(D87,[1]characters!$A:$K,11,FALSE)</f>
        <v>balance</v>
      </c>
      <c r="J87" s="7" t="str">
        <f>VLOOKUP(D87,[1]characters!$A:$M,13,FALSE)</f>
        <v>god</v>
      </c>
      <c r="K87" s="7" t="str">
        <f>VLOOKUP(D87,[1]characters!$A:$G,7,FALSE)</f>
        <v>女性</v>
      </c>
      <c r="L87" s="66">
        <f>IFERROR(VLOOKUP(D87,input_4!L:R,7,FALSE),VLOOKUP(tables_4!B87,input_4!A:H,8,FALSE))</f>
        <v>70200</v>
      </c>
      <c r="M87" s="67">
        <f t="shared" si="3"/>
        <v>6.7567567567567571E-3</v>
      </c>
      <c r="N87" s="31">
        <f>IFERROR(VLOOKUP($D87,bug_conf_sheet!$A:$H,3,FALSE),VLOOKUP("other",bug_conf_sheet!$A:$H,3,FALSE))</f>
        <v>1</v>
      </c>
      <c r="O87" s="31">
        <f>IFERROR(VLOOKUP($D87,bug_conf_sheet!$A:$H,4,FALSE),VLOOKUP("other",bug_conf_sheet!$A:$H,4,FALSE))</f>
        <v>0</v>
      </c>
      <c r="P87" s="31">
        <f>IFERROR(VLOOKUP($D87,bug_conf_sheet!$A:$H,5,FALSE),VLOOKUP("other",bug_conf_sheet!$A:$H,5,FALSE))</f>
        <v>0</v>
      </c>
      <c r="Q87" s="31">
        <f>IFERROR(VLOOKUP($D87,bug_conf_sheet!$A:$H,6,FALSE),VLOOKUP("other",bug_conf_sheet!$A:$H,6,FALSE))</f>
        <v>0</v>
      </c>
      <c r="R87" s="31">
        <f>IFERROR(VLOOKUP($D87,bug_conf_sheet!$A:$H,7,FALSE),VLOOKUP("other",bug_conf_sheet!$A:$H,7,FALSE))</f>
        <v>0</v>
      </c>
      <c r="S87" s="31">
        <f>IFERROR(VLOOKUP($D87,bug_conf_sheet!$A:$H,8,FALSE),VLOOKUP("other",bug_conf_sheet!$A:$H,8,FALSE))</f>
        <v>1</v>
      </c>
    </row>
    <row r="88" spans="1:19" ht="21" customHeight="1">
      <c r="A88" s="2">
        <f>input_4!A$2</f>
        <v>3124</v>
      </c>
      <c r="B88" s="7" t="str">
        <f t="shared" si="4"/>
        <v>Premium4</v>
      </c>
      <c r="C88" s="7" t="str">
        <f t="shared" si="5"/>
        <v>Premium</v>
      </c>
      <c r="D88" s="5">
        <v>212</v>
      </c>
      <c r="E88" s="7" t="str">
        <f>VLOOKUP(D88,[1]characters!$A:$C,3,FALSE)</f>
        <v>星神 アストライアー</v>
      </c>
      <c r="F88" s="7" t="str">
        <f>VLOOKUP(D88,[1]characters!$A:$J,10,FALSE)</f>
        <v>PremiumN</v>
      </c>
      <c r="G88" s="7">
        <f>VLOOKUP(D88,[1]characters!$A:$I,9,FALSE)</f>
        <v>4</v>
      </c>
      <c r="H88" s="7" t="str">
        <f>VLOOKUP(D88,[1]characters!$A:$H,8,FALSE)</f>
        <v>yellow</v>
      </c>
      <c r="I88" s="7" t="str">
        <f>VLOOKUP(D88,[1]characters!$A:$K,11,FALSE)</f>
        <v>balance</v>
      </c>
      <c r="J88" s="7" t="str">
        <f>VLOOKUP(D88,[1]characters!$A:$M,13,FALSE)</f>
        <v>god</v>
      </c>
      <c r="K88" s="7" t="str">
        <f>VLOOKUP(D88,[1]characters!$A:$G,7,FALSE)</f>
        <v>女性</v>
      </c>
      <c r="L88" s="66">
        <f>IFERROR(VLOOKUP(D88,input_4!L:R,7,FALSE),VLOOKUP(tables_4!B88,input_4!A:H,8,FALSE))</f>
        <v>60021</v>
      </c>
      <c r="M88" s="67">
        <f t="shared" si="3"/>
        <v>5.777027027027027E-3</v>
      </c>
      <c r="N88" s="31">
        <f>IFERROR(VLOOKUP($D88,bug_conf_sheet!$A:$H,3,FALSE),VLOOKUP("other",bug_conf_sheet!$A:$H,3,FALSE))</f>
        <v>1</v>
      </c>
      <c r="O88" s="31">
        <f>IFERROR(VLOOKUP($D88,bug_conf_sheet!$A:$H,4,FALSE),VLOOKUP("other",bug_conf_sheet!$A:$H,4,FALSE))</f>
        <v>0</v>
      </c>
      <c r="P88" s="31">
        <f>IFERROR(VLOOKUP($D88,bug_conf_sheet!$A:$H,5,FALSE),VLOOKUP("other",bug_conf_sheet!$A:$H,5,FALSE))</f>
        <v>0</v>
      </c>
      <c r="Q88" s="31">
        <f>IFERROR(VLOOKUP($D88,bug_conf_sheet!$A:$H,6,FALSE),VLOOKUP("other",bug_conf_sheet!$A:$H,6,FALSE))</f>
        <v>0</v>
      </c>
      <c r="R88" s="31">
        <f>IFERROR(VLOOKUP($D88,bug_conf_sheet!$A:$H,7,FALSE),VLOOKUP("other",bug_conf_sheet!$A:$H,7,FALSE))</f>
        <v>0</v>
      </c>
      <c r="S88" s="31">
        <f>IFERROR(VLOOKUP($D88,bug_conf_sheet!$A:$H,8,FALSE),VLOOKUP("other",bug_conf_sheet!$A:$H,8,FALSE))</f>
        <v>1</v>
      </c>
    </row>
    <row r="89" spans="1:19" ht="21" customHeight="1">
      <c r="A89" s="2">
        <f>input_4!A$2</f>
        <v>3124</v>
      </c>
      <c r="B89" s="7" t="str">
        <f t="shared" si="4"/>
        <v>Premium5</v>
      </c>
      <c r="C89" s="7" t="str">
        <f t="shared" si="5"/>
        <v>Premium</v>
      </c>
      <c r="D89" s="5">
        <v>213</v>
      </c>
      <c r="E89" s="7" t="str">
        <f>VLOOKUP(D89,[1]characters!$A:$C,3,FALSE)</f>
        <v>満天の星降神 アストライアー</v>
      </c>
      <c r="F89" s="7" t="str">
        <f>VLOOKUP(D89,[1]characters!$A:$J,10,FALSE)</f>
        <v>PremiumN</v>
      </c>
      <c r="G89" s="7">
        <f>VLOOKUP(D89,[1]characters!$A:$I,9,FALSE)</f>
        <v>5</v>
      </c>
      <c r="H89" s="7" t="str">
        <f>VLOOKUP(D89,[1]characters!$A:$H,8,FALSE)</f>
        <v>yellow</v>
      </c>
      <c r="I89" s="7" t="str">
        <f>VLOOKUP(D89,[1]characters!$A:$K,11,FALSE)</f>
        <v>balance</v>
      </c>
      <c r="J89" s="7" t="str">
        <f>VLOOKUP(D89,[1]characters!$A:$M,13,FALSE)</f>
        <v>god</v>
      </c>
      <c r="K89" s="7" t="str">
        <f>VLOOKUP(D89,[1]characters!$A:$G,7,FALSE)</f>
        <v>女性</v>
      </c>
      <c r="L89" s="66">
        <f>IFERROR(VLOOKUP(D89,input_4!L:R,7,FALSE),VLOOKUP(tables_4!B89,input_4!A:H,8,FALSE))</f>
        <v>9139</v>
      </c>
      <c r="M89" s="67">
        <f t="shared" si="3"/>
        <v>8.7962962962962962E-4</v>
      </c>
      <c r="N89" s="31">
        <f>IFERROR(VLOOKUP($D89,bug_conf_sheet!$A:$H,3,FALSE),VLOOKUP("other",bug_conf_sheet!$A:$H,3,FALSE))</f>
        <v>1</v>
      </c>
      <c r="O89" s="31">
        <f>IFERROR(VLOOKUP($D89,bug_conf_sheet!$A:$H,4,FALSE),VLOOKUP("other",bug_conf_sheet!$A:$H,4,FALSE))</f>
        <v>0</v>
      </c>
      <c r="P89" s="31">
        <f>IFERROR(VLOOKUP($D89,bug_conf_sheet!$A:$H,5,FALSE),VLOOKUP("other",bug_conf_sheet!$A:$H,5,FALSE))</f>
        <v>0</v>
      </c>
      <c r="Q89" s="31">
        <f>IFERROR(VLOOKUP($D89,bug_conf_sheet!$A:$H,6,FALSE),VLOOKUP("other",bug_conf_sheet!$A:$H,6,FALSE))</f>
        <v>0</v>
      </c>
      <c r="R89" s="31">
        <f>IFERROR(VLOOKUP($D89,bug_conf_sheet!$A:$H,7,FALSE),VLOOKUP("other",bug_conf_sheet!$A:$H,7,FALSE))</f>
        <v>0</v>
      </c>
      <c r="S89" s="31">
        <f>IFERROR(VLOOKUP($D89,bug_conf_sheet!$A:$H,8,FALSE),VLOOKUP("other",bug_conf_sheet!$A:$H,8,FALSE))</f>
        <v>1</v>
      </c>
    </row>
    <row r="90" spans="1:19" ht="21" customHeight="1">
      <c r="A90" s="2">
        <f>input_4!A$2</f>
        <v>3124</v>
      </c>
      <c r="B90" s="7" t="str">
        <f t="shared" si="4"/>
        <v>Premium3</v>
      </c>
      <c r="C90" s="7" t="str">
        <f t="shared" si="5"/>
        <v>Premium</v>
      </c>
      <c r="D90" s="5">
        <v>214</v>
      </c>
      <c r="E90" s="7" t="str">
        <f>VLOOKUP(D90,[1]characters!$A:$C,3,FALSE)</f>
        <v>アズラエル</v>
      </c>
      <c r="F90" s="7" t="str">
        <f>VLOOKUP(D90,[1]characters!$A:$J,10,FALSE)</f>
        <v>PremiumN</v>
      </c>
      <c r="G90" s="7">
        <f>VLOOKUP(D90,[1]characters!$A:$I,9,FALSE)</f>
        <v>3</v>
      </c>
      <c r="H90" s="7" t="str">
        <f>VLOOKUP(D90,[1]characters!$A:$H,8,FALSE)</f>
        <v>red</v>
      </c>
      <c r="I90" s="7" t="str">
        <f>VLOOKUP(D90,[1]characters!$A:$K,11,FALSE)</f>
        <v>balance</v>
      </c>
      <c r="J90" s="7" t="str">
        <f>VLOOKUP(D90,[1]characters!$A:$M,13,FALSE)</f>
        <v>god</v>
      </c>
      <c r="K90" s="7" t="str">
        <f>VLOOKUP(D90,[1]characters!$A:$G,7,FALSE)</f>
        <v>女性</v>
      </c>
      <c r="L90" s="66">
        <f>IFERROR(VLOOKUP(D90,input_4!L:R,7,FALSE),VLOOKUP(tables_4!B90,input_4!A:H,8,FALSE))</f>
        <v>70200</v>
      </c>
      <c r="M90" s="67">
        <f t="shared" si="3"/>
        <v>6.7567567567567571E-3</v>
      </c>
      <c r="N90" s="31">
        <f>IFERROR(VLOOKUP($D90,bug_conf_sheet!$A:$H,3,FALSE),VLOOKUP("other",bug_conf_sheet!$A:$H,3,FALSE))</f>
        <v>1</v>
      </c>
      <c r="O90" s="31">
        <f>IFERROR(VLOOKUP($D90,bug_conf_sheet!$A:$H,4,FALSE),VLOOKUP("other",bug_conf_sheet!$A:$H,4,FALSE))</f>
        <v>0</v>
      </c>
      <c r="P90" s="31">
        <f>IFERROR(VLOOKUP($D90,bug_conf_sheet!$A:$H,5,FALSE),VLOOKUP("other",bug_conf_sheet!$A:$H,5,FALSE))</f>
        <v>0</v>
      </c>
      <c r="Q90" s="31">
        <f>IFERROR(VLOOKUP($D90,bug_conf_sheet!$A:$H,6,FALSE),VLOOKUP("other",bug_conf_sheet!$A:$H,6,FALSE))</f>
        <v>0</v>
      </c>
      <c r="R90" s="31">
        <f>IFERROR(VLOOKUP($D90,bug_conf_sheet!$A:$H,7,FALSE),VLOOKUP("other",bug_conf_sheet!$A:$H,7,FALSE))</f>
        <v>0</v>
      </c>
      <c r="S90" s="31">
        <f>IFERROR(VLOOKUP($D90,bug_conf_sheet!$A:$H,8,FALSE),VLOOKUP("other",bug_conf_sheet!$A:$H,8,FALSE))</f>
        <v>1</v>
      </c>
    </row>
    <row r="91" spans="1:19" ht="21" customHeight="1">
      <c r="A91" s="2">
        <f>input_4!A$2</f>
        <v>3124</v>
      </c>
      <c r="B91" s="7" t="str">
        <f t="shared" si="4"/>
        <v>Premium4</v>
      </c>
      <c r="C91" s="7" t="str">
        <f t="shared" si="5"/>
        <v>Premium</v>
      </c>
      <c r="D91" s="5">
        <v>215</v>
      </c>
      <c r="E91" s="7" t="str">
        <f>VLOOKUP(D91,[1]characters!$A:$C,3,FALSE)</f>
        <v>死導者 アズラエル</v>
      </c>
      <c r="F91" s="7" t="str">
        <f>VLOOKUP(D91,[1]characters!$A:$J,10,FALSE)</f>
        <v>PremiumN</v>
      </c>
      <c r="G91" s="7">
        <f>VLOOKUP(D91,[1]characters!$A:$I,9,FALSE)</f>
        <v>4</v>
      </c>
      <c r="H91" s="7" t="str">
        <f>VLOOKUP(D91,[1]characters!$A:$H,8,FALSE)</f>
        <v>red</v>
      </c>
      <c r="I91" s="7" t="str">
        <f>VLOOKUP(D91,[1]characters!$A:$K,11,FALSE)</f>
        <v>balance</v>
      </c>
      <c r="J91" s="7" t="str">
        <f>VLOOKUP(D91,[1]characters!$A:$M,13,FALSE)</f>
        <v>god</v>
      </c>
      <c r="K91" s="7" t="str">
        <f>VLOOKUP(D91,[1]characters!$A:$G,7,FALSE)</f>
        <v>女性</v>
      </c>
      <c r="L91" s="66">
        <f>IFERROR(VLOOKUP(D91,input_4!L:R,7,FALSE),VLOOKUP(tables_4!B91,input_4!A:H,8,FALSE))</f>
        <v>60021</v>
      </c>
      <c r="M91" s="67">
        <f t="shared" si="3"/>
        <v>5.777027027027027E-3</v>
      </c>
      <c r="N91" s="31">
        <f>IFERROR(VLOOKUP($D91,bug_conf_sheet!$A:$H,3,FALSE),VLOOKUP("other",bug_conf_sheet!$A:$H,3,FALSE))</f>
        <v>1</v>
      </c>
      <c r="O91" s="31">
        <f>IFERROR(VLOOKUP($D91,bug_conf_sheet!$A:$H,4,FALSE),VLOOKUP("other",bug_conf_sheet!$A:$H,4,FALSE))</f>
        <v>0</v>
      </c>
      <c r="P91" s="31">
        <f>IFERROR(VLOOKUP($D91,bug_conf_sheet!$A:$H,5,FALSE),VLOOKUP("other",bug_conf_sheet!$A:$H,5,FALSE))</f>
        <v>0</v>
      </c>
      <c r="Q91" s="31">
        <f>IFERROR(VLOOKUP($D91,bug_conf_sheet!$A:$H,6,FALSE),VLOOKUP("other",bug_conf_sheet!$A:$H,6,FALSE))</f>
        <v>0</v>
      </c>
      <c r="R91" s="31">
        <f>IFERROR(VLOOKUP($D91,bug_conf_sheet!$A:$H,7,FALSE),VLOOKUP("other",bug_conf_sheet!$A:$H,7,FALSE))</f>
        <v>0</v>
      </c>
      <c r="S91" s="31">
        <f>IFERROR(VLOOKUP($D91,bug_conf_sheet!$A:$H,8,FALSE),VLOOKUP("other",bug_conf_sheet!$A:$H,8,FALSE))</f>
        <v>1</v>
      </c>
    </row>
    <row r="92" spans="1:19" ht="21" customHeight="1">
      <c r="A92" s="2">
        <f>input_4!A$2</f>
        <v>3124</v>
      </c>
      <c r="B92" s="7" t="str">
        <f t="shared" si="4"/>
        <v>Premium5</v>
      </c>
      <c r="C92" s="7" t="str">
        <f t="shared" si="5"/>
        <v>Premium</v>
      </c>
      <c r="D92" s="5">
        <v>216</v>
      </c>
      <c r="E92" s="7" t="str">
        <f>VLOOKUP(D92,[1]characters!$A:$C,3,FALSE)</f>
        <v>百読の死導司書 アズラエル</v>
      </c>
      <c r="F92" s="7" t="str">
        <f>VLOOKUP(D92,[1]characters!$A:$J,10,FALSE)</f>
        <v>PremiumN</v>
      </c>
      <c r="G92" s="7">
        <f>VLOOKUP(D92,[1]characters!$A:$I,9,FALSE)</f>
        <v>5</v>
      </c>
      <c r="H92" s="7" t="str">
        <f>VLOOKUP(D92,[1]characters!$A:$H,8,FALSE)</f>
        <v>red</v>
      </c>
      <c r="I92" s="7" t="str">
        <f>VLOOKUP(D92,[1]characters!$A:$K,11,FALSE)</f>
        <v>balance</v>
      </c>
      <c r="J92" s="7" t="str">
        <f>VLOOKUP(D92,[1]characters!$A:$M,13,FALSE)</f>
        <v>god</v>
      </c>
      <c r="K92" s="7" t="str">
        <f>VLOOKUP(D92,[1]characters!$A:$G,7,FALSE)</f>
        <v>女性</v>
      </c>
      <c r="L92" s="66">
        <f>IFERROR(VLOOKUP(D92,input_4!L:R,7,FALSE),VLOOKUP(tables_4!B92,input_4!A:H,8,FALSE))</f>
        <v>9139</v>
      </c>
      <c r="M92" s="67">
        <f t="shared" si="3"/>
        <v>8.7962962962962962E-4</v>
      </c>
      <c r="N92" s="31">
        <f>IFERROR(VLOOKUP($D92,bug_conf_sheet!$A:$H,3,FALSE),VLOOKUP("other",bug_conf_sheet!$A:$H,3,FALSE))</f>
        <v>1</v>
      </c>
      <c r="O92" s="31">
        <f>IFERROR(VLOOKUP($D92,bug_conf_sheet!$A:$H,4,FALSE),VLOOKUP("other",bug_conf_sheet!$A:$H,4,FALSE))</f>
        <v>0</v>
      </c>
      <c r="P92" s="31">
        <f>IFERROR(VLOOKUP($D92,bug_conf_sheet!$A:$H,5,FALSE),VLOOKUP("other",bug_conf_sheet!$A:$H,5,FALSE))</f>
        <v>0</v>
      </c>
      <c r="Q92" s="31">
        <f>IFERROR(VLOOKUP($D92,bug_conf_sheet!$A:$H,6,FALSE),VLOOKUP("other",bug_conf_sheet!$A:$H,6,FALSE))</f>
        <v>0</v>
      </c>
      <c r="R92" s="31">
        <f>IFERROR(VLOOKUP($D92,bug_conf_sheet!$A:$H,7,FALSE),VLOOKUP("other",bug_conf_sheet!$A:$H,7,FALSE))</f>
        <v>0</v>
      </c>
      <c r="S92" s="31">
        <f>IFERROR(VLOOKUP($D92,bug_conf_sheet!$A:$H,8,FALSE),VLOOKUP("other",bug_conf_sheet!$A:$H,8,FALSE))</f>
        <v>1</v>
      </c>
    </row>
    <row r="93" spans="1:19" ht="21" customHeight="1">
      <c r="A93" s="2">
        <f>input_4!A$2</f>
        <v>3124</v>
      </c>
      <c r="B93" s="7" t="str">
        <f t="shared" si="4"/>
        <v>Premium3</v>
      </c>
      <c r="C93" s="7" t="str">
        <f t="shared" si="5"/>
        <v>Premium</v>
      </c>
      <c r="D93" s="5">
        <v>217</v>
      </c>
      <c r="E93" s="7" t="str">
        <f>VLOOKUP(D93,[1]characters!$A:$C,3,FALSE)</f>
        <v>ケツァクアトル</v>
      </c>
      <c r="F93" s="7" t="str">
        <f>VLOOKUP(D93,[1]characters!$A:$J,10,FALSE)</f>
        <v>PremiumN</v>
      </c>
      <c r="G93" s="7">
        <f>VLOOKUP(D93,[1]characters!$A:$I,9,FALSE)</f>
        <v>3</v>
      </c>
      <c r="H93" s="7" t="str">
        <f>VLOOKUP(D93,[1]characters!$A:$H,8,FALSE)</f>
        <v>green</v>
      </c>
      <c r="I93" s="7" t="str">
        <f>VLOOKUP(D93,[1]characters!$A:$K,11,FALSE)</f>
        <v>hp</v>
      </c>
      <c r="J93" s="7" t="str">
        <f>VLOOKUP(D93,[1]characters!$A:$M,13,FALSE)</f>
        <v>dragon</v>
      </c>
      <c r="K93" s="7" t="str">
        <f>VLOOKUP(D93,[1]characters!$A:$G,7,FALSE)</f>
        <v>女性</v>
      </c>
      <c r="L93" s="66">
        <f>IFERROR(VLOOKUP(D93,input_4!L:R,7,FALSE),VLOOKUP(tables_4!B93,input_4!A:H,8,FALSE))</f>
        <v>70200</v>
      </c>
      <c r="M93" s="67">
        <f t="shared" si="3"/>
        <v>6.7567567567567571E-3</v>
      </c>
      <c r="N93" s="31">
        <f>IFERROR(VLOOKUP($D93,bug_conf_sheet!$A:$H,3,FALSE),VLOOKUP("other",bug_conf_sheet!$A:$H,3,FALSE))</f>
        <v>1</v>
      </c>
      <c r="O93" s="31">
        <f>IFERROR(VLOOKUP($D93,bug_conf_sheet!$A:$H,4,FALSE),VLOOKUP("other",bug_conf_sheet!$A:$H,4,FALSE))</f>
        <v>0</v>
      </c>
      <c r="P93" s="31">
        <f>IFERROR(VLOOKUP($D93,bug_conf_sheet!$A:$H,5,FALSE),VLOOKUP("other",bug_conf_sheet!$A:$H,5,FALSE))</f>
        <v>0</v>
      </c>
      <c r="Q93" s="31">
        <f>IFERROR(VLOOKUP($D93,bug_conf_sheet!$A:$H,6,FALSE),VLOOKUP("other",bug_conf_sheet!$A:$H,6,FALSE))</f>
        <v>0</v>
      </c>
      <c r="R93" s="31">
        <f>IFERROR(VLOOKUP($D93,bug_conf_sheet!$A:$H,7,FALSE),VLOOKUP("other",bug_conf_sheet!$A:$H,7,FALSE))</f>
        <v>0</v>
      </c>
      <c r="S93" s="31">
        <f>IFERROR(VLOOKUP($D93,bug_conf_sheet!$A:$H,8,FALSE),VLOOKUP("other",bug_conf_sheet!$A:$H,8,FALSE))</f>
        <v>1</v>
      </c>
    </row>
    <row r="94" spans="1:19" ht="21" customHeight="1">
      <c r="A94" s="2">
        <f>input_4!A$2</f>
        <v>3124</v>
      </c>
      <c r="B94" s="7" t="str">
        <f t="shared" si="4"/>
        <v>Premium4</v>
      </c>
      <c r="C94" s="7" t="str">
        <f t="shared" si="5"/>
        <v>Premium</v>
      </c>
      <c r="D94" s="5">
        <v>218</v>
      </c>
      <c r="E94" s="7" t="str">
        <f>VLOOKUP(D94,[1]characters!$A:$C,3,FALSE)</f>
        <v>聖蛇 ケツァクアトル</v>
      </c>
      <c r="F94" s="7" t="str">
        <f>VLOOKUP(D94,[1]characters!$A:$J,10,FALSE)</f>
        <v>PremiumN</v>
      </c>
      <c r="G94" s="7">
        <f>VLOOKUP(D94,[1]characters!$A:$I,9,FALSE)</f>
        <v>4</v>
      </c>
      <c r="H94" s="7" t="str">
        <f>VLOOKUP(D94,[1]characters!$A:$H,8,FALSE)</f>
        <v>green</v>
      </c>
      <c r="I94" s="7" t="str">
        <f>VLOOKUP(D94,[1]characters!$A:$K,11,FALSE)</f>
        <v>hp</v>
      </c>
      <c r="J94" s="7" t="str">
        <f>VLOOKUP(D94,[1]characters!$A:$M,13,FALSE)</f>
        <v>dragon</v>
      </c>
      <c r="K94" s="7" t="str">
        <f>VLOOKUP(D94,[1]characters!$A:$G,7,FALSE)</f>
        <v>女性</v>
      </c>
      <c r="L94" s="66">
        <f>IFERROR(VLOOKUP(D94,input_4!L:R,7,FALSE),VLOOKUP(tables_4!B94,input_4!A:H,8,FALSE))</f>
        <v>60021</v>
      </c>
      <c r="M94" s="67">
        <f t="shared" si="3"/>
        <v>5.777027027027027E-3</v>
      </c>
      <c r="N94" s="31">
        <f>IFERROR(VLOOKUP($D94,bug_conf_sheet!$A:$H,3,FALSE),VLOOKUP("other",bug_conf_sheet!$A:$H,3,FALSE))</f>
        <v>1</v>
      </c>
      <c r="O94" s="31">
        <f>IFERROR(VLOOKUP($D94,bug_conf_sheet!$A:$H,4,FALSE),VLOOKUP("other",bug_conf_sheet!$A:$H,4,FALSE))</f>
        <v>0</v>
      </c>
      <c r="P94" s="31">
        <f>IFERROR(VLOOKUP($D94,bug_conf_sheet!$A:$H,5,FALSE),VLOOKUP("other",bug_conf_sheet!$A:$H,5,FALSE))</f>
        <v>0</v>
      </c>
      <c r="Q94" s="31">
        <f>IFERROR(VLOOKUP($D94,bug_conf_sheet!$A:$H,6,FALSE),VLOOKUP("other",bug_conf_sheet!$A:$H,6,FALSE))</f>
        <v>0</v>
      </c>
      <c r="R94" s="31">
        <f>IFERROR(VLOOKUP($D94,bug_conf_sheet!$A:$H,7,FALSE),VLOOKUP("other",bug_conf_sheet!$A:$H,7,FALSE))</f>
        <v>0</v>
      </c>
      <c r="S94" s="31">
        <f>IFERROR(VLOOKUP($D94,bug_conf_sheet!$A:$H,8,FALSE),VLOOKUP("other",bug_conf_sheet!$A:$H,8,FALSE))</f>
        <v>1</v>
      </c>
    </row>
    <row r="95" spans="1:19" ht="21" customHeight="1">
      <c r="A95" s="2">
        <f>input_4!A$2</f>
        <v>3124</v>
      </c>
      <c r="B95" s="7" t="str">
        <f t="shared" si="4"/>
        <v>Premium5</v>
      </c>
      <c r="C95" s="7" t="str">
        <f t="shared" si="5"/>
        <v>Premium</v>
      </c>
      <c r="D95" s="5">
        <v>219</v>
      </c>
      <c r="E95" s="7" t="str">
        <f>VLOOKUP(D95,[1]characters!$A:$C,3,FALSE)</f>
        <v>覇翼の聖蛇竜 ケツァクアトル</v>
      </c>
      <c r="F95" s="7" t="str">
        <f>VLOOKUP(D95,[1]characters!$A:$J,10,FALSE)</f>
        <v>PremiumN</v>
      </c>
      <c r="G95" s="7">
        <f>VLOOKUP(D95,[1]characters!$A:$I,9,FALSE)</f>
        <v>5</v>
      </c>
      <c r="H95" s="7" t="str">
        <f>VLOOKUP(D95,[1]characters!$A:$H,8,FALSE)</f>
        <v>green</v>
      </c>
      <c r="I95" s="7" t="str">
        <f>VLOOKUP(D95,[1]characters!$A:$K,11,FALSE)</f>
        <v>hp</v>
      </c>
      <c r="J95" s="7" t="str">
        <f>VLOOKUP(D95,[1]characters!$A:$M,13,FALSE)</f>
        <v>dragon</v>
      </c>
      <c r="K95" s="7" t="str">
        <f>VLOOKUP(D95,[1]characters!$A:$G,7,FALSE)</f>
        <v>女性</v>
      </c>
      <c r="L95" s="66">
        <f>IFERROR(VLOOKUP(D95,input_4!L:R,7,FALSE),VLOOKUP(tables_4!B95,input_4!A:H,8,FALSE))</f>
        <v>9139</v>
      </c>
      <c r="M95" s="67">
        <f t="shared" si="3"/>
        <v>8.7962962962962962E-4</v>
      </c>
      <c r="N95" s="31">
        <f>IFERROR(VLOOKUP($D95,bug_conf_sheet!$A:$H,3,FALSE),VLOOKUP("other",bug_conf_sheet!$A:$H,3,FALSE))</f>
        <v>1</v>
      </c>
      <c r="O95" s="31">
        <f>IFERROR(VLOOKUP($D95,bug_conf_sheet!$A:$H,4,FALSE),VLOOKUP("other",bug_conf_sheet!$A:$H,4,FALSE))</f>
        <v>0</v>
      </c>
      <c r="P95" s="31">
        <f>IFERROR(VLOOKUP($D95,bug_conf_sheet!$A:$H,5,FALSE),VLOOKUP("other",bug_conf_sheet!$A:$H,5,FALSE))</f>
        <v>0</v>
      </c>
      <c r="Q95" s="31">
        <f>IFERROR(VLOOKUP($D95,bug_conf_sheet!$A:$H,6,FALSE),VLOOKUP("other",bug_conf_sheet!$A:$H,6,FALSE))</f>
        <v>0</v>
      </c>
      <c r="R95" s="31">
        <f>IFERROR(VLOOKUP($D95,bug_conf_sheet!$A:$H,7,FALSE),VLOOKUP("other",bug_conf_sheet!$A:$H,7,FALSE))</f>
        <v>0</v>
      </c>
      <c r="S95" s="31">
        <f>IFERROR(VLOOKUP($D95,bug_conf_sheet!$A:$H,8,FALSE),VLOOKUP("other",bug_conf_sheet!$A:$H,8,FALSE))</f>
        <v>1</v>
      </c>
    </row>
    <row r="96" spans="1:19" ht="21" customHeight="1">
      <c r="A96" s="2">
        <f>input_4!A$2</f>
        <v>3124</v>
      </c>
      <c r="B96" s="7" t="str">
        <f t="shared" si="4"/>
        <v>Premium3</v>
      </c>
      <c r="C96" s="7" t="str">
        <f t="shared" si="5"/>
        <v>Premium</v>
      </c>
      <c r="D96" s="5">
        <v>220</v>
      </c>
      <c r="E96" s="7" t="str">
        <f>VLOOKUP(D96,[1]characters!$A:$C,3,FALSE)</f>
        <v>ルキフグス</v>
      </c>
      <c r="F96" s="7" t="str">
        <f>VLOOKUP(D96,[1]characters!$A:$J,10,FALSE)</f>
        <v>PremiumN</v>
      </c>
      <c r="G96" s="7">
        <f>VLOOKUP(D96,[1]characters!$A:$I,9,FALSE)</f>
        <v>3</v>
      </c>
      <c r="H96" s="7" t="str">
        <f>VLOOKUP(D96,[1]characters!$A:$H,8,FALSE)</f>
        <v>blue</v>
      </c>
      <c r="I96" s="7" t="str">
        <f>VLOOKUP(D96,[1]characters!$A:$K,11,FALSE)</f>
        <v>balance</v>
      </c>
      <c r="J96" s="7" t="str">
        <f>VLOOKUP(D96,[1]characters!$A:$M,13,FALSE)</f>
        <v>god</v>
      </c>
      <c r="K96" s="7" t="str">
        <f>VLOOKUP(D96,[1]characters!$A:$G,7,FALSE)</f>
        <v>女性</v>
      </c>
      <c r="L96" s="66">
        <f>IFERROR(VLOOKUP(D96,input_4!L:R,7,FALSE),VLOOKUP(tables_4!B96,input_4!A:H,8,FALSE))</f>
        <v>70200</v>
      </c>
      <c r="M96" s="67">
        <f t="shared" si="3"/>
        <v>6.7567567567567571E-3</v>
      </c>
      <c r="N96" s="31">
        <f>IFERROR(VLOOKUP($D96,bug_conf_sheet!$A:$H,3,FALSE),VLOOKUP("other",bug_conf_sheet!$A:$H,3,FALSE))</f>
        <v>1</v>
      </c>
      <c r="O96" s="31">
        <f>IFERROR(VLOOKUP($D96,bug_conf_sheet!$A:$H,4,FALSE),VLOOKUP("other",bug_conf_sheet!$A:$H,4,FALSE))</f>
        <v>0</v>
      </c>
      <c r="P96" s="31">
        <f>IFERROR(VLOOKUP($D96,bug_conf_sheet!$A:$H,5,FALSE),VLOOKUP("other",bug_conf_sheet!$A:$H,5,FALSE))</f>
        <v>0</v>
      </c>
      <c r="Q96" s="31">
        <f>IFERROR(VLOOKUP($D96,bug_conf_sheet!$A:$H,6,FALSE),VLOOKUP("other",bug_conf_sheet!$A:$H,6,FALSE))</f>
        <v>0</v>
      </c>
      <c r="R96" s="31">
        <f>IFERROR(VLOOKUP($D96,bug_conf_sheet!$A:$H,7,FALSE),VLOOKUP("other",bug_conf_sheet!$A:$H,7,FALSE))</f>
        <v>0</v>
      </c>
      <c r="S96" s="31">
        <f>IFERROR(VLOOKUP($D96,bug_conf_sheet!$A:$H,8,FALSE),VLOOKUP("other",bug_conf_sheet!$A:$H,8,FALSE))</f>
        <v>1</v>
      </c>
    </row>
    <row r="97" spans="1:19" ht="21" customHeight="1">
      <c r="A97" s="2">
        <f>input_4!A$2</f>
        <v>3124</v>
      </c>
      <c r="B97" s="7" t="str">
        <f t="shared" si="4"/>
        <v>Premium4</v>
      </c>
      <c r="C97" s="7" t="str">
        <f t="shared" si="5"/>
        <v>Premium</v>
      </c>
      <c r="D97" s="5">
        <v>221</v>
      </c>
      <c r="E97" s="7" t="str">
        <f>VLOOKUP(D97,[1]characters!$A:$C,3,FALSE)</f>
        <v>宰相 ルキフグス</v>
      </c>
      <c r="F97" s="7" t="str">
        <f>VLOOKUP(D97,[1]characters!$A:$J,10,FALSE)</f>
        <v>PremiumN</v>
      </c>
      <c r="G97" s="7">
        <f>VLOOKUP(D97,[1]characters!$A:$I,9,FALSE)</f>
        <v>4</v>
      </c>
      <c r="H97" s="7" t="str">
        <f>VLOOKUP(D97,[1]characters!$A:$H,8,FALSE)</f>
        <v>blue</v>
      </c>
      <c r="I97" s="7" t="str">
        <f>VLOOKUP(D97,[1]characters!$A:$K,11,FALSE)</f>
        <v>balance</v>
      </c>
      <c r="J97" s="7" t="str">
        <f>VLOOKUP(D97,[1]characters!$A:$M,13,FALSE)</f>
        <v>god</v>
      </c>
      <c r="K97" s="7" t="str">
        <f>VLOOKUP(D97,[1]characters!$A:$G,7,FALSE)</f>
        <v>女性</v>
      </c>
      <c r="L97" s="66">
        <f>IFERROR(VLOOKUP(D97,input_4!L:R,7,FALSE),VLOOKUP(tables_4!B97,input_4!A:H,8,FALSE))</f>
        <v>60021</v>
      </c>
      <c r="M97" s="67">
        <f t="shared" si="3"/>
        <v>5.777027027027027E-3</v>
      </c>
      <c r="N97" s="31">
        <f>IFERROR(VLOOKUP($D97,bug_conf_sheet!$A:$H,3,FALSE),VLOOKUP("other",bug_conf_sheet!$A:$H,3,FALSE))</f>
        <v>1</v>
      </c>
      <c r="O97" s="31">
        <f>IFERROR(VLOOKUP($D97,bug_conf_sheet!$A:$H,4,FALSE),VLOOKUP("other",bug_conf_sheet!$A:$H,4,FALSE))</f>
        <v>0</v>
      </c>
      <c r="P97" s="31">
        <f>IFERROR(VLOOKUP($D97,bug_conf_sheet!$A:$H,5,FALSE),VLOOKUP("other",bug_conf_sheet!$A:$H,5,FALSE))</f>
        <v>0</v>
      </c>
      <c r="Q97" s="31">
        <f>IFERROR(VLOOKUP($D97,bug_conf_sheet!$A:$H,6,FALSE),VLOOKUP("other",bug_conf_sheet!$A:$H,6,FALSE))</f>
        <v>0</v>
      </c>
      <c r="R97" s="31">
        <f>IFERROR(VLOOKUP($D97,bug_conf_sheet!$A:$H,7,FALSE),VLOOKUP("other",bug_conf_sheet!$A:$H,7,FALSE))</f>
        <v>0</v>
      </c>
      <c r="S97" s="31">
        <f>IFERROR(VLOOKUP($D97,bug_conf_sheet!$A:$H,8,FALSE),VLOOKUP("other",bug_conf_sheet!$A:$H,8,FALSE))</f>
        <v>1</v>
      </c>
    </row>
    <row r="98" spans="1:19" ht="21" customHeight="1">
      <c r="A98" s="2">
        <f>input_4!A$2</f>
        <v>3124</v>
      </c>
      <c r="B98" s="7" t="str">
        <f t="shared" si="4"/>
        <v>Premium5</v>
      </c>
      <c r="C98" s="7" t="str">
        <f t="shared" si="5"/>
        <v>Premium</v>
      </c>
      <c r="D98" s="5">
        <v>222</v>
      </c>
      <c r="E98" s="7" t="str">
        <f>VLOOKUP(D98,[1]characters!$A:$C,3,FALSE)</f>
        <v>避光の鉄鎖宰相 ルキフグス</v>
      </c>
      <c r="F98" s="7" t="str">
        <f>VLOOKUP(D98,[1]characters!$A:$J,10,FALSE)</f>
        <v>PremiumN</v>
      </c>
      <c r="G98" s="7">
        <f>VLOOKUP(D98,[1]characters!$A:$I,9,FALSE)</f>
        <v>5</v>
      </c>
      <c r="H98" s="7" t="str">
        <f>VLOOKUP(D98,[1]characters!$A:$H,8,FALSE)</f>
        <v>blue</v>
      </c>
      <c r="I98" s="7" t="str">
        <f>VLOOKUP(D98,[1]characters!$A:$K,11,FALSE)</f>
        <v>balance</v>
      </c>
      <c r="J98" s="7" t="str">
        <f>VLOOKUP(D98,[1]characters!$A:$M,13,FALSE)</f>
        <v>god</v>
      </c>
      <c r="K98" s="7" t="str">
        <f>VLOOKUP(D98,[1]characters!$A:$G,7,FALSE)</f>
        <v>女性</v>
      </c>
      <c r="L98" s="66">
        <f>IFERROR(VLOOKUP(D98,input_4!L:R,7,FALSE),VLOOKUP(tables_4!B98,input_4!A:H,8,FALSE))</f>
        <v>9139</v>
      </c>
      <c r="M98" s="67">
        <f t="shared" si="3"/>
        <v>8.7962962962962962E-4</v>
      </c>
      <c r="N98" s="31">
        <f>IFERROR(VLOOKUP($D98,bug_conf_sheet!$A:$H,3,FALSE),VLOOKUP("other",bug_conf_sheet!$A:$H,3,FALSE))</f>
        <v>1</v>
      </c>
      <c r="O98" s="31">
        <f>IFERROR(VLOOKUP($D98,bug_conf_sheet!$A:$H,4,FALSE),VLOOKUP("other",bug_conf_sheet!$A:$H,4,FALSE))</f>
        <v>0</v>
      </c>
      <c r="P98" s="31">
        <f>IFERROR(VLOOKUP($D98,bug_conf_sheet!$A:$H,5,FALSE),VLOOKUP("other",bug_conf_sheet!$A:$H,5,FALSE))</f>
        <v>0</v>
      </c>
      <c r="Q98" s="31">
        <f>IFERROR(VLOOKUP($D98,bug_conf_sheet!$A:$H,6,FALSE),VLOOKUP("other",bug_conf_sheet!$A:$H,6,FALSE))</f>
        <v>0</v>
      </c>
      <c r="R98" s="31">
        <f>IFERROR(VLOOKUP($D98,bug_conf_sheet!$A:$H,7,FALSE),VLOOKUP("other",bug_conf_sheet!$A:$H,7,FALSE))</f>
        <v>0</v>
      </c>
      <c r="S98" s="31">
        <f>IFERROR(VLOOKUP($D98,bug_conf_sheet!$A:$H,8,FALSE),VLOOKUP("other",bug_conf_sheet!$A:$H,8,FALSE))</f>
        <v>1</v>
      </c>
    </row>
    <row r="99" spans="1:19" ht="21" customHeight="1">
      <c r="A99" s="2">
        <f>input_4!A$2</f>
        <v>3124</v>
      </c>
      <c r="B99" s="7" t="str">
        <f t="shared" si="4"/>
        <v>Premium3</v>
      </c>
      <c r="C99" s="7" t="str">
        <f t="shared" si="5"/>
        <v>Premium</v>
      </c>
      <c r="D99" s="5">
        <v>223</v>
      </c>
      <c r="E99" s="7" t="str">
        <f>VLOOKUP(D99,[1]characters!$A:$C,3,FALSE)</f>
        <v>ヘラクレス</v>
      </c>
      <c r="F99" s="7" t="str">
        <f>VLOOKUP(D99,[1]characters!$A:$J,10,FALSE)</f>
        <v>PremiumN</v>
      </c>
      <c r="G99" s="7">
        <f>VLOOKUP(D99,[1]characters!$A:$I,9,FALSE)</f>
        <v>3</v>
      </c>
      <c r="H99" s="7" t="str">
        <f>VLOOKUP(D99,[1]characters!$A:$H,8,FALSE)</f>
        <v>yellow</v>
      </c>
      <c r="I99" s="7" t="str">
        <f>VLOOKUP(D99,[1]characters!$A:$K,11,FALSE)</f>
        <v>balance</v>
      </c>
      <c r="J99" s="7" t="str">
        <f>VLOOKUP(D99,[1]characters!$A:$M,13,FALSE)</f>
        <v>human</v>
      </c>
      <c r="K99" s="7" t="str">
        <f>VLOOKUP(D99,[1]characters!$A:$G,7,FALSE)</f>
        <v>男性</v>
      </c>
      <c r="L99" s="66">
        <f>IFERROR(VLOOKUP(D99,input_4!L:R,7,FALSE),VLOOKUP(tables_4!B99,input_4!A:H,8,FALSE))</f>
        <v>70200</v>
      </c>
      <c r="M99" s="67">
        <f t="shared" si="3"/>
        <v>6.7567567567567571E-3</v>
      </c>
      <c r="N99" s="31">
        <f>IFERROR(VLOOKUP($D99,bug_conf_sheet!$A:$H,3,FALSE),VLOOKUP("other",bug_conf_sheet!$A:$H,3,FALSE))</f>
        <v>1</v>
      </c>
      <c r="O99" s="31">
        <f>IFERROR(VLOOKUP($D99,bug_conf_sheet!$A:$H,4,FALSE),VLOOKUP("other",bug_conf_sheet!$A:$H,4,FALSE))</f>
        <v>0</v>
      </c>
      <c r="P99" s="31">
        <f>IFERROR(VLOOKUP($D99,bug_conf_sheet!$A:$H,5,FALSE),VLOOKUP("other",bug_conf_sheet!$A:$H,5,FALSE))</f>
        <v>0</v>
      </c>
      <c r="Q99" s="31">
        <f>IFERROR(VLOOKUP($D99,bug_conf_sheet!$A:$H,6,FALSE),VLOOKUP("other",bug_conf_sheet!$A:$H,6,FALSE))</f>
        <v>0</v>
      </c>
      <c r="R99" s="31">
        <f>IFERROR(VLOOKUP($D99,bug_conf_sheet!$A:$H,7,FALSE),VLOOKUP("other",bug_conf_sheet!$A:$H,7,FALSE))</f>
        <v>0</v>
      </c>
      <c r="S99" s="31">
        <f>IFERROR(VLOOKUP($D99,bug_conf_sheet!$A:$H,8,FALSE),VLOOKUP("other",bug_conf_sheet!$A:$H,8,FALSE))</f>
        <v>1</v>
      </c>
    </row>
    <row r="100" spans="1:19" ht="21" customHeight="1">
      <c r="A100" s="2">
        <f>input_4!A$2</f>
        <v>3124</v>
      </c>
      <c r="B100" s="7" t="str">
        <f t="shared" si="4"/>
        <v>Premium4</v>
      </c>
      <c r="C100" s="7" t="str">
        <f t="shared" si="5"/>
        <v>Premium</v>
      </c>
      <c r="D100" s="5">
        <v>224</v>
      </c>
      <c r="E100" s="7" t="str">
        <f>VLOOKUP(D100,[1]characters!$A:$C,3,FALSE)</f>
        <v>巨腕 ヘラクレス</v>
      </c>
      <c r="F100" s="7" t="str">
        <f>VLOOKUP(D100,[1]characters!$A:$J,10,FALSE)</f>
        <v>PremiumN</v>
      </c>
      <c r="G100" s="7">
        <f>VLOOKUP(D100,[1]characters!$A:$I,9,FALSE)</f>
        <v>4</v>
      </c>
      <c r="H100" s="7" t="str">
        <f>VLOOKUP(D100,[1]characters!$A:$H,8,FALSE)</f>
        <v>yellow</v>
      </c>
      <c r="I100" s="7" t="str">
        <f>VLOOKUP(D100,[1]characters!$A:$K,11,FALSE)</f>
        <v>balance</v>
      </c>
      <c r="J100" s="7" t="str">
        <f>VLOOKUP(D100,[1]characters!$A:$M,13,FALSE)</f>
        <v>human</v>
      </c>
      <c r="K100" s="7" t="str">
        <f>VLOOKUP(D100,[1]characters!$A:$G,7,FALSE)</f>
        <v>男性</v>
      </c>
      <c r="L100" s="66">
        <f>IFERROR(VLOOKUP(D100,input_4!L:R,7,FALSE),VLOOKUP(tables_4!B100,input_4!A:H,8,FALSE))</f>
        <v>60021</v>
      </c>
      <c r="M100" s="67">
        <f t="shared" si="3"/>
        <v>5.777027027027027E-3</v>
      </c>
      <c r="N100" s="31">
        <f>IFERROR(VLOOKUP($D100,bug_conf_sheet!$A:$H,3,FALSE),VLOOKUP("other",bug_conf_sheet!$A:$H,3,FALSE))</f>
        <v>1</v>
      </c>
      <c r="O100" s="31">
        <f>IFERROR(VLOOKUP($D100,bug_conf_sheet!$A:$H,4,FALSE),VLOOKUP("other",bug_conf_sheet!$A:$H,4,FALSE))</f>
        <v>0</v>
      </c>
      <c r="P100" s="31">
        <f>IFERROR(VLOOKUP($D100,bug_conf_sheet!$A:$H,5,FALSE),VLOOKUP("other",bug_conf_sheet!$A:$H,5,FALSE))</f>
        <v>0</v>
      </c>
      <c r="Q100" s="31">
        <f>IFERROR(VLOOKUP($D100,bug_conf_sheet!$A:$H,6,FALSE),VLOOKUP("other",bug_conf_sheet!$A:$H,6,FALSE))</f>
        <v>0</v>
      </c>
      <c r="R100" s="31">
        <f>IFERROR(VLOOKUP($D100,bug_conf_sheet!$A:$H,7,FALSE),VLOOKUP("other",bug_conf_sheet!$A:$H,7,FALSE))</f>
        <v>0</v>
      </c>
      <c r="S100" s="31">
        <f>IFERROR(VLOOKUP($D100,bug_conf_sheet!$A:$H,8,FALSE),VLOOKUP("other",bug_conf_sheet!$A:$H,8,FALSE))</f>
        <v>1</v>
      </c>
    </row>
    <row r="101" spans="1:19" ht="21" customHeight="1">
      <c r="A101" s="2">
        <f>input_4!A$2</f>
        <v>3124</v>
      </c>
      <c r="B101" s="7" t="str">
        <f t="shared" si="4"/>
        <v>Premium5</v>
      </c>
      <c r="C101" s="7" t="str">
        <f t="shared" si="5"/>
        <v>Premium</v>
      </c>
      <c r="D101" s="5">
        <v>225</v>
      </c>
      <c r="E101" s="7" t="str">
        <f>VLOOKUP(D101,[1]characters!$A:$C,3,FALSE)</f>
        <v>咆哮の巨獅腕 ヘラクレス</v>
      </c>
      <c r="F101" s="7" t="str">
        <f>VLOOKUP(D101,[1]characters!$A:$J,10,FALSE)</f>
        <v>PremiumN</v>
      </c>
      <c r="G101" s="7">
        <f>VLOOKUP(D101,[1]characters!$A:$I,9,FALSE)</f>
        <v>5</v>
      </c>
      <c r="H101" s="7" t="str">
        <f>VLOOKUP(D101,[1]characters!$A:$H,8,FALSE)</f>
        <v>yellow</v>
      </c>
      <c r="I101" s="7" t="str">
        <f>VLOOKUP(D101,[1]characters!$A:$K,11,FALSE)</f>
        <v>balance</v>
      </c>
      <c r="J101" s="7" t="str">
        <f>VLOOKUP(D101,[1]characters!$A:$M,13,FALSE)</f>
        <v>human</v>
      </c>
      <c r="K101" s="7" t="str">
        <f>VLOOKUP(D101,[1]characters!$A:$G,7,FALSE)</f>
        <v>男性</v>
      </c>
      <c r="L101" s="66">
        <f>IFERROR(VLOOKUP(D101,input_4!L:R,7,FALSE),VLOOKUP(tables_4!B101,input_4!A:H,8,FALSE))</f>
        <v>9139</v>
      </c>
      <c r="M101" s="67">
        <f t="shared" si="3"/>
        <v>8.7962962962962962E-4</v>
      </c>
      <c r="N101" s="31">
        <f>IFERROR(VLOOKUP($D101,bug_conf_sheet!$A:$H,3,FALSE),VLOOKUP("other",bug_conf_sheet!$A:$H,3,FALSE))</f>
        <v>1</v>
      </c>
      <c r="O101" s="31">
        <f>IFERROR(VLOOKUP($D101,bug_conf_sheet!$A:$H,4,FALSE),VLOOKUP("other",bug_conf_sheet!$A:$H,4,FALSE))</f>
        <v>0</v>
      </c>
      <c r="P101" s="31">
        <f>IFERROR(VLOOKUP($D101,bug_conf_sheet!$A:$H,5,FALSE),VLOOKUP("other",bug_conf_sheet!$A:$H,5,FALSE))</f>
        <v>0</v>
      </c>
      <c r="Q101" s="31">
        <f>IFERROR(VLOOKUP($D101,bug_conf_sheet!$A:$H,6,FALSE),VLOOKUP("other",bug_conf_sheet!$A:$H,6,FALSE))</f>
        <v>0</v>
      </c>
      <c r="R101" s="31">
        <f>IFERROR(VLOOKUP($D101,bug_conf_sheet!$A:$H,7,FALSE),VLOOKUP("other",bug_conf_sheet!$A:$H,7,FALSE))</f>
        <v>0</v>
      </c>
      <c r="S101" s="31">
        <f>IFERROR(VLOOKUP($D101,bug_conf_sheet!$A:$H,8,FALSE),VLOOKUP("other",bug_conf_sheet!$A:$H,8,FALSE))</f>
        <v>1</v>
      </c>
    </row>
    <row r="102" spans="1:19" ht="21" customHeight="1">
      <c r="A102" s="2">
        <f>input_4!A$2</f>
        <v>3124</v>
      </c>
      <c r="B102" s="7" t="str">
        <f t="shared" si="4"/>
        <v>Premium3</v>
      </c>
      <c r="C102" s="7" t="str">
        <f t="shared" si="5"/>
        <v>Premium</v>
      </c>
      <c r="D102" s="5">
        <v>226</v>
      </c>
      <c r="E102" s="7" t="str">
        <f>VLOOKUP(D102,[1]characters!$A:$C,3,FALSE)</f>
        <v>アレス</v>
      </c>
      <c r="F102" s="7" t="str">
        <f>VLOOKUP(D102,[1]characters!$A:$J,10,FALSE)</f>
        <v>PremiumS</v>
      </c>
      <c r="G102" s="7">
        <f>VLOOKUP(D102,[1]characters!$A:$I,9,FALSE)</f>
        <v>3</v>
      </c>
      <c r="H102" s="7" t="str">
        <f>VLOOKUP(D102,[1]characters!$A:$H,8,FALSE)</f>
        <v>red</v>
      </c>
      <c r="I102" s="7" t="str">
        <f>VLOOKUP(D102,[1]characters!$A:$K,11,FALSE)</f>
        <v>attack</v>
      </c>
      <c r="J102" s="7" t="str">
        <f>VLOOKUP(D102,[1]characters!$A:$M,13,FALSE)</f>
        <v>god</v>
      </c>
      <c r="K102" s="7" t="str">
        <f>VLOOKUP(D102,[1]characters!$A:$G,7,FALSE)</f>
        <v>男性</v>
      </c>
      <c r="L102" s="66">
        <f>IFERROR(VLOOKUP(D102,input_4!L:R,7,FALSE),VLOOKUP(tables_4!B102,input_4!A:H,8,FALSE))</f>
        <v>70200</v>
      </c>
      <c r="M102" s="67">
        <f t="shared" si="3"/>
        <v>6.7567567567567571E-3</v>
      </c>
      <c r="N102" s="31">
        <f>IFERROR(VLOOKUP($D102,bug_conf_sheet!$A:$H,3,FALSE),VLOOKUP("other",bug_conf_sheet!$A:$H,3,FALSE))</f>
        <v>1</v>
      </c>
      <c r="O102" s="31">
        <f>IFERROR(VLOOKUP($D102,bug_conf_sheet!$A:$H,4,FALSE),VLOOKUP("other",bug_conf_sheet!$A:$H,4,FALSE))</f>
        <v>0</v>
      </c>
      <c r="P102" s="31">
        <f>IFERROR(VLOOKUP($D102,bug_conf_sheet!$A:$H,5,FALSE),VLOOKUP("other",bug_conf_sheet!$A:$H,5,FALSE))</f>
        <v>0</v>
      </c>
      <c r="Q102" s="31">
        <f>IFERROR(VLOOKUP($D102,bug_conf_sheet!$A:$H,6,FALSE),VLOOKUP("other",bug_conf_sheet!$A:$H,6,FALSE))</f>
        <v>0</v>
      </c>
      <c r="R102" s="31">
        <f>IFERROR(VLOOKUP($D102,bug_conf_sheet!$A:$H,7,FALSE),VLOOKUP("other",bug_conf_sheet!$A:$H,7,FALSE))</f>
        <v>0</v>
      </c>
      <c r="S102" s="31">
        <f>IFERROR(VLOOKUP($D102,bug_conf_sheet!$A:$H,8,FALSE),VLOOKUP("other",bug_conf_sheet!$A:$H,8,FALSE))</f>
        <v>1</v>
      </c>
    </row>
    <row r="103" spans="1:19" ht="21" customHeight="1">
      <c r="A103" s="2">
        <f>input_4!A$2</f>
        <v>3124</v>
      </c>
      <c r="B103" s="7" t="str">
        <f t="shared" si="4"/>
        <v>Premium4</v>
      </c>
      <c r="C103" s="7" t="str">
        <f t="shared" si="5"/>
        <v>Premium</v>
      </c>
      <c r="D103" s="5">
        <v>227</v>
      </c>
      <c r="E103" s="7" t="str">
        <f>VLOOKUP(D103,[1]characters!$A:$C,3,FALSE)</f>
        <v>滅弾 アレス</v>
      </c>
      <c r="F103" s="7" t="str">
        <f>VLOOKUP(D103,[1]characters!$A:$J,10,FALSE)</f>
        <v>PremiumS</v>
      </c>
      <c r="G103" s="7">
        <f>VLOOKUP(D103,[1]characters!$A:$I,9,FALSE)</f>
        <v>4</v>
      </c>
      <c r="H103" s="7" t="str">
        <f>VLOOKUP(D103,[1]characters!$A:$H,8,FALSE)</f>
        <v>red</v>
      </c>
      <c r="I103" s="7" t="str">
        <f>VLOOKUP(D103,[1]characters!$A:$K,11,FALSE)</f>
        <v>attack</v>
      </c>
      <c r="J103" s="7" t="str">
        <f>VLOOKUP(D103,[1]characters!$A:$M,13,FALSE)</f>
        <v>god</v>
      </c>
      <c r="K103" s="7" t="str">
        <f>VLOOKUP(D103,[1]characters!$A:$G,7,FALSE)</f>
        <v>男性</v>
      </c>
      <c r="L103" s="66">
        <f>IFERROR(VLOOKUP(D103,input_4!L:R,7,FALSE),VLOOKUP(tables_4!B103,input_4!A:H,8,FALSE))</f>
        <v>60021</v>
      </c>
      <c r="M103" s="67">
        <f t="shared" si="3"/>
        <v>5.777027027027027E-3</v>
      </c>
      <c r="N103" s="31">
        <f>IFERROR(VLOOKUP($D103,bug_conf_sheet!$A:$H,3,FALSE),VLOOKUP("other",bug_conf_sheet!$A:$H,3,FALSE))</f>
        <v>1</v>
      </c>
      <c r="O103" s="31">
        <f>IFERROR(VLOOKUP($D103,bug_conf_sheet!$A:$H,4,FALSE),VLOOKUP("other",bug_conf_sheet!$A:$H,4,FALSE))</f>
        <v>0</v>
      </c>
      <c r="P103" s="31">
        <f>IFERROR(VLOOKUP($D103,bug_conf_sheet!$A:$H,5,FALSE),VLOOKUP("other",bug_conf_sheet!$A:$H,5,FALSE))</f>
        <v>0</v>
      </c>
      <c r="Q103" s="31">
        <f>IFERROR(VLOOKUP($D103,bug_conf_sheet!$A:$H,6,FALSE),VLOOKUP("other",bug_conf_sheet!$A:$H,6,FALSE))</f>
        <v>0</v>
      </c>
      <c r="R103" s="31">
        <f>IFERROR(VLOOKUP($D103,bug_conf_sheet!$A:$H,7,FALSE),VLOOKUP("other",bug_conf_sheet!$A:$H,7,FALSE))</f>
        <v>0</v>
      </c>
      <c r="S103" s="31">
        <f>IFERROR(VLOOKUP($D103,bug_conf_sheet!$A:$H,8,FALSE),VLOOKUP("other",bug_conf_sheet!$A:$H,8,FALSE))</f>
        <v>1</v>
      </c>
    </row>
    <row r="104" spans="1:19" ht="21" customHeight="1">
      <c r="A104" s="2">
        <f>input_4!A$2</f>
        <v>3124</v>
      </c>
      <c r="B104" s="7" t="str">
        <f t="shared" si="4"/>
        <v>Premium5</v>
      </c>
      <c r="C104" s="7" t="str">
        <f t="shared" si="5"/>
        <v>Premium</v>
      </c>
      <c r="D104" s="5">
        <v>228</v>
      </c>
      <c r="E104" s="7" t="str">
        <f>VLOOKUP(D104,[1]characters!$A:$C,3,FALSE)</f>
        <v>殲滅の掃射砲 アレス</v>
      </c>
      <c r="F104" s="7" t="str">
        <f>VLOOKUP(D104,[1]characters!$A:$J,10,FALSE)</f>
        <v>PremiumS</v>
      </c>
      <c r="G104" s="7">
        <f>VLOOKUP(D104,[1]characters!$A:$I,9,FALSE)</f>
        <v>5</v>
      </c>
      <c r="H104" s="7" t="str">
        <f>VLOOKUP(D104,[1]characters!$A:$H,8,FALSE)</f>
        <v>red</v>
      </c>
      <c r="I104" s="7" t="str">
        <f>VLOOKUP(D104,[1]characters!$A:$K,11,FALSE)</f>
        <v>attack</v>
      </c>
      <c r="J104" s="7" t="str">
        <f>VLOOKUP(D104,[1]characters!$A:$M,13,FALSE)</f>
        <v>god</v>
      </c>
      <c r="K104" s="7" t="str">
        <f>VLOOKUP(D104,[1]characters!$A:$G,7,FALSE)</f>
        <v>男性</v>
      </c>
      <c r="L104" s="66">
        <f>IFERROR(VLOOKUP(D104,input_4!L:R,7,FALSE),VLOOKUP(tables_4!B104,input_4!A:H,8,FALSE))</f>
        <v>9139</v>
      </c>
      <c r="M104" s="67">
        <f t="shared" si="3"/>
        <v>8.7962962962962962E-4</v>
      </c>
      <c r="N104" s="31">
        <f>IFERROR(VLOOKUP($D104,bug_conf_sheet!$A:$H,3,FALSE),VLOOKUP("other",bug_conf_sheet!$A:$H,3,FALSE))</f>
        <v>1</v>
      </c>
      <c r="O104" s="31">
        <f>IFERROR(VLOOKUP($D104,bug_conf_sheet!$A:$H,4,FALSE),VLOOKUP("other",bug_conf_sheet!$A:$H,4,FALSE))</f>
        <v>0</v>
      </c>
      <c r="P104" s="31">
        <f>IFERROR(VLOOKUP($D104,bug_conf_sheet!$A:$H,5,FALSE),VLOOKUP("other",bug_conf_sheet!$A:$H,5,FALSE))</f>
        <v>0</v>
      </c>
      <c r="Q104" s="31">
        <f>IFERROR(VLOOKUP($D104,bug_conf_sheet!$A:$H,6,FALSE),VLOOKUP("other",bug_conf_sheet!$A:$H,6,FALSE))</f>
        <v>0</v>
      </c>
      <c r="R104" s="31">
        <f>IFERROR(VLOOKUP($D104,bug_conf_sheet!$A:$H,7,FALSE),VLOOKUP("other",bug_conf_sheet!$A:$H,7,FALSE))</f>
        <v>0</v>
      </c>
      <c r="S104" s="31">
        <f>IFERROR(VLOOKUP($D104,bug_conf_sheet!$A:$H,8,FALSE),VLOOKUP("other",bug_conf_sheet!$A:$H,8,FALSE))</f>
        <v>1</v>
      </c>
    </row>
    <row r="105" spans="1:19" ht="21" customHeight="1">
      <c r="A105" s="2">
        <f>input_4!A$2</f>
        <v>3124</v>
      </c>
      <c r="B105" s="7" t="str">
        <f t="shared" si="4"/>
        <v>Premium3</v>
      </c>
      <c r="C105" s="7" t="str">
        <f t="shared" si="5"/>
        <v>Premium</v>
      </c>
      <c r="D105" s="5">
        <v>229</v>
      </c>
      <c r="E105" s="7" t="str">
        <f>VLOOKUP(D105,[1]characters!$A:$C,3,FALSE)</f>
        <v>ヨルムンガンド</v>
      </c>
      <c r="F105" s="7" t="str">
        <f>VLOOKUP(D105,[1]characters!$A:$J,10,FALSE)</f>
        <v>PremiumS</v>
      </c>
      <c r="G105" s="7">
        <f>VLOOKUP(D105,[1]characters!$A:$I,9,FALSE)</f>
        <v>3</v>
      </c>
      <c r="H105" s="7" t="str">
        <f>VLOOKUP(D105,[1]characters!$A:$H,8,FALSE)</f>
        <v>green</v>
      </c>
      <c r="I105" s="7" t="str">
        <f>VLOOKUP(D105,[1]characters!$A:$K,11,FALSE)</f>
        <v>technical</v>
      </c>
      <c r="J105" s="7" t="str">
        <f>VLOOKUP(D105,[1]characters!$A:$M,13,FALSE)</f>
        <v>dragon</v>
      </c>
      <c r="K105" s="7" t="str">
        <f>VLOOKUP(D105,[1]characters!$A:$G,7,FALSE)</f>
        <v>女性</v>
      </c>
      <c r="L105" s="66">
        <f>IFERROR(VLOOKUP(D105,input_4!L:R,7,FALSE),VLOOKUP(tables_4!B105,input_4!A:H,8,FALSE))</f>
        <v>70200</v>
      </c>
      <c r="M105" s="67">
        <f t="shared" si="3"/>
        <v>6.7567567567567571E-3</v>
      </c>
      <c r="N105" s="31">
        <f>IFERROR(VLOOKUP($D105,bug_conf_sheet!$A:$H,3,FALSE),VLOOKUP("other",bug_conf_sheet!$A:$H,3,FALSE))</f>
        <v>1</v>
      </c>
      <c r="O105" s="31">
        <f>IFERROR(VLOOKUP($D105,bug_conf_sheet!$A:$H,4,FALSE),VLOOKUP("other",bug_conf_sheet!$A:$H,4,FALSE))</f>
        <v>0</v>
      </c>
      <c r="P105" s="31">
        <f>IFERROR(VLOOKUP($D105,bug_conf_sheet!$A:$H,5,FALSE),VLOOKUP("other",bug_conf_sheet!$A:$H,5,FALSE))</f>
        <v>0</v>
      </c>
      <c r="Q105" s="31">
        <f>IFERROR(VLOOKUP($D105,bug_conf_sheet!$A:$H,6,FALSE),VLOOKUP("other",bug_conf_sheet!$A:$H,6,FALSE))</f>
        <v>0</v>
      </c>
      <c r="R105" s="31">
        <f>IFERROR(VLOOKUP($D105,bug_conf_sheet!$A:$H,7,FALSE),VLOOKUP("other",bug_conf_sheet!$A:$H,7,FALSE))</f>
        <v>0</v>
      </c>
      <c r="S105" s="31">
        <f>IFERROR(VLOOKUP($D105,bug_conf_sheet!$A:$H,8,FALSE),VLOOKUP("other",bug_conf_sheet!$A:$H,8,FALSE))</f>
        <v>1</v>
      </c>
    </row>
    <row r="106" spans="1:19" ht="21" customHeight="1">
      <c r="A106" s="2">
        <f>input_4!A$2</f>
        <v>3124</v>
      </c>
      <c r="B106" s="7" t="str">
        <f t="shared" si="4"/>
        <v>Premium4</v>
      </c>
      <c r="C106" s="7" t="str">
        <f t="shared" si="5"/>
        <v>Premium</v>
      </c>
      <c r="D106" s="5">
        <v>230</v>
      </c>
      <c r="E106" s="7" t="str">
        <f>VLOOKUP(D106,[1]characters!$A:$C,3,FALSE)</f>
        <v>毒銃 ヨルムンガンド</v>
      </c>
      <c r="F106" s="7" t="str">
        <f>VLOOKUP(D106,[1]characters!$A:$J,10,FALSE)</f>
        <v>PremiumS</v>
      </c>
      <c r="G106" s="7">
        <f>VLOOKUP(D106,[1]characters!$A:$I,9,FALSE)</f>
        <v>4</v>
      </c>
      <c r="H106" s="7" t="str">
        <f>VLOOKUP(D106,[1]characters!$A:$H,8,FALSE)</f>
        <v>green</v>
      </c>
      <c r="I106" s="7" t="str">
        <f>VLOOKUP(D106,[1]characters!$A:$K,11,FALSE)</f>
        <v>technical</v>
      </c>
      <c r="J106" s="7" t="str">
        <f>VLOOKUP(D106,[1]characters!$A:$M,13,FALSE)</f>
        <v>dragon</v>
      </c>
      <c r="K106" s="7" t="str">
        <f>VLOOKUP(D106,[1]characters!$A:$G,7,FALSE)</f>
        <v>女性</v>
      </c>
      <c r="L106" s="66">
        <f>IFERROR(VLOOKUP(D106,input_4!L:R,7,FALSE),VLOOKUP(tables_4!B106,input_4!A:H,8,FALSE))</f>
        <v>60021</v>
      </c>
      <c r="M106" s="67">
        <f t="shared" si="3"/>
        <v>5.777027027027027E-3</v>
      </c>
      <c r="N106" s="31">
        <f>IFERROR(VLOOKUP($D106,bug_conf_sheet!$A:$H,3,FALSE),VLOOKUP("other",bug_conf_sheet!$A:$H,3,FALSE))</f>
        <v>1</v>
      </c>
      <c r="O106" s="31">
        <f>IFERROR(VLOOKUP($D106,bug_conf_sheet!$A:$H,4,FALSE),VLOOKUP("other",bug_conf_sheet!$A:$H,4,FALSE))</f>
        <v>0</v>
      </c>
      <c r="P106" s="31">
        <f>IFERROR(VLOOKUP($D106,bug_conf_sheet!$A:$H,5,FALSE),VLOOKUP("other",bug_conf_sheet!$A:$H,5,FALSE))</f>
        <v>0</v>
      </c>
      <c r="Q106" s="31">
        <f>IFERROR(VLOOKUP($D106,bug_conf_sheet!$A:$H,6,FALSE),VLOOKUP("other",bug_conf_sheet!$A:$H,6,FALSE))</f>
        <v>0</v>
      </c>
      <c r="R106" s="31">
        <f>IFERROR(VLOOKUP($D106,bug_conf_sheet!$A:$H,7,FALSE),VLOOKUP("other",bug_conf_sheet!$A:$H,7,FALSE))</f>
        <v>0</v>
      </c>
      <c r="S106" s="31">
        <f>IFERROR(VLOOKUP($D106,bug_conf_sheet!$A:$H,8,FALSE),VLOOKUP("other",bug_conf_sheet!$A:$H,8,FALSE))</f>
        <v>1</v>
      </c>
    </row>
    <row r="107" spans="1:19" ht="21" customHeight="1">
      <c r="A107" s="2">
        <f>input_4!A$2</f>
        <v>3124</v>
      </c>
      <c r="B107" s="7" t="str">
        <f t="shared" si="4"/>
        <v>Premium5</v>
      </c>
      <c r="C107" s="7" t="str">
        <f t="shared" si="5"/>
        <v>Premium</v>
      </c>
      <c r="D107" s="5">
        <v>231</v>
      </c>
      <c r="E107" s="7" t="str">
        <f>VLOOKUP(D107,[1]characters!$A:$C,3,FALSE)</f>
        <v>必中の咬銃 ヨルムンガンド</v>
      </c>
      <c r="F107" s="7" t="str">
        <f>VLOOKUP(D107,[1]characters!$A:$J,10,FALSE)</f>
        <v>PremiumS</v>
      </c>
      <c r="G107" s="7">
        <f>VLOOKUP(D107,[1]characters!$A:$I,9,FALSE)</f>
        <v>5</v>
      </c>
      <c r="H107" s="7" t="str">
        <f>VLOOKUP(D107,[1]characters!$A:$H,8,FALSE)</f>
        <v>green</v>
      </c>
      <c r="I107" s="7" t="str">
        <f>VLOOKUP(D107,[1]characters!$A:$K,11,FALSE)</f>
        <v>technical</v>
      </c>
      <c r="J107" s="7" t="str">
        <f>VLOOKUP(D107,[1]characters!$A:$M,13,FALSE)</f>
        <v>dragon</v>
      </c>
      <c r="K107" s="7" t="str">
        <f>VLOOKUP(D107,[1]characters!$A:$G,7,FALSE)</f>
        <v>女性</v>
      </c>
      <c r="L107" s="66">
        <f>IFERROR(VLOOKUP(D107,input_4!L:R,7,FALSE),VLOOKUP(tables_4!B107,input_4!A:H,8,FALSE))</f>
        <v>9139</v>
      </c>
      <c r="M107" s="67">
        <f t="shared" si="3"/>
        <v>8.7962962962962962E-4</v>
      </c>
      <c r="N107" s="31">
        <f>IFERROR(VLOOKUP($D107,bug_conf_sheet!$A:$H,3,FALSE),VLOOKUP("other",bug_conf_sheet!$A:$H,3,FALSE))</f>
        <v>1</v>
      </c>
      <c r="O107" s="31">
        <f>IFERROR(VLOOKUP($D107,bug_conf_sheet!$A:$H,4,FALSE),VLOOKUP("other",bug_conf_sheet!$A:$H,4,FALSE))</f>
        <v>0</v>
      </c>
      <c r="P107" s="31">
        <f>IFERROR(VLOOKUP($D107,bug_conf_sheet!$A:$H,5,FALSE),VLOOKUP("other",bug_conf_sheet!$A:$H,5,FALSE))</f>
        <v>0</v>
      </c>
      <c r="Q107" s="31">
        <f>IFERROR(VLOOKUP($D107,bug_conf_sheet!$A:$H,6,FALSE),VLOOKUP("other",bug_conf_sheet!$A:$H,6,FALSE))</f>
        <v>0</v>
      </c>
      <c r="R107" s="31">
        <f>IFERROR(VLOOKUP($D107,bug_conf_sheet!$A:$H,7,FALSE),VLOOKUP("other",bug_conf_sheet!$A:$H,7,FALSE))</f>
        <v>0</v>
      </c>
      <c r="S107" s="31">
        <f>IFERROR(VLOOKUP($D107,bug_conf_sheet!$A:$H,8,FALSE),VLOOKUP("other",bug_conf_sheet!$A:$H,8,FALSE))</f>
        <v>1</v>
      </c>
    </row>
    <row r="108" spans="1:19" ht="21" customHeight="1">
      <c r="A108" s="2">
        <f>input_4!A$2</f>
        <v>3124</v>
      </c>
      <c r="B108" s="7" t="str">
        <f t="shared" si="4"/>
        <v>Premium3</v>
      </c>
      <c r="C108" s="7" t="str">
        <f t="shared" si="5"/>
        <v>Premium</v>
      </c>
      <c r="D108" s="5">
        <v>232</v>
      </c>
      <c r="E108" s="7" t="str">
        <f>VLOOKUP(D108,[1]characters!$A:$C,3,FALSE)</f>
        <v>パーシヴァル</v>
      </c>
      <c r="F108" s="7" t="str">
        <f>VLOOKUP(D108,[1]characters!$A:$J,10,FALSE)</f>
        <v>PremiumS</v>
      </c>
      <c r="G108" s="7">
        <f>VLOOKUP(D108,[1]characters!$A:$I,9,FALSE)</f>
        <v>3</v>
      </c>
      <c r="H108" s="7" t="str">
        <f>VLOOKUP(D108,[1]characters!$A:$H,8,FALSE)</f>
        <v>blue</v>
      </c>
      <c r="I108" s="7" t="str">
        <f>VLOOKUP(D108,[1]characters!$A:$K,11,FALSE)</f>
        <v>technical</v>
      </c>
      <c r="J108" s="7" t="str">
        <f>VLOOKUP(D108,[1]characters!$A:$M,13,FALSE)</f>
        <v>human</v>
      </c>
      <c r="K108" s="7" t="str">
        <f>VLOOKUP(D108,[1]characters!$A:$G,7,FALSE)</f>
        <v>女性</v>
      </c>
      <c r="L108" s="66">
        <f>IFERROR(VLOOKUP(D108,input_4!L:R,7,FALSE),VLOOKUP(tables_4!B108,input_4!A:H,8,FALSE))</f>
        <v>70200</v>
      </c>
      <c r="M108" s="67">
        <f t="shared" si="3"/>
        <v>6.7567567567567571E-3</v>
      </c>
      <c r="N108" s="31">
        <f>IFERROR(VLOOKUP($D108,bug_conf_sheet!$A:$H,3,FALSE),VLOOKUP("other",bug_conf_sheet!$A:$H,3,FALSE))</f>
        <v>1</v>
      </c>
      <c r="O108" s="31">
        <f>IFERROR(VLOOKUP($D108,bug_conf_sheet!$A:$H,4,FALSE),VLOOKUP("other",bug_conf_sheet!$A:$H,4,FALSE))</f>
        <v>0</v>
      </c>
      <c r="P108" s="31">
        <f>IFERROR(VLOOKUP($D108,bug_conf_sheet!$A:$H,5,FALSE),VLOOKUP("other",bug_conf_sheet!$A:$H,5,FALSE))</f>
        <v>0</v>
      </c>
      <c r="Q108" s="31">
        <f>IFERROR(VLOOKUP($D108,bug_conf_sheet!$A:$H,6,FALSE),VLOOKUP("other",bug_conf_sheet!$A:$H,6,FALSE))</f>
        <v>0</v>
      </c>
      <c r="R108" s="31">
        <f>IFERROR(VLOOKUP($D108,bug_conf_sheet!$A:$H,7,FALSE),VLOOKUP("other",bug_conf_sheet!$A:$H,7,FALSE))</f>
        <v>0</v>
      </c>
      <c r="S108" s="31">
        <f>IFERROR(VLOOKUP($D108,bug_conf_sheet!$A:$H,8,FALSE),VLOOKUP("other",bug_conf_sheet!$A:$H,8,FALSE))</f>
        <v>1</v>
      </c>
    </row>
    <row r="109" spans="1:19" ht="21" customHeight="1">
      <c r="A109" s="2">
        <f>input_4!A$2</f>
        <v>3124</v>
      </c>
      <c r="B109" s="7" t="str">
        <f t="shared" si="4"/>
        <v>Premium4</v>
      </c>
      <c r="C109" s="7" t="str">
        <f t="shared" si="5"/>
        <v>Premium</v>
      </c>
      <c r="D109" s="5">
        <v>233</v>
      </c>
      <c r="E109" s="7" t="str">
        <f>VLOOKUP(D109,[1]characters!$A:$C,3,FALSE)</f>
        <v>遂行 パーシヴァル</v>
      </c>
      <c r="F109" s="7" t="str">
        <f>VLOOKUP(D109,[1]characters!$A:$J,10,FALSE)</f>
        <v>PremiumS</v>
      </c>
      <c r="G109" s="7">
        <f>VLOOKUP(D109,[1]characters!$A:$I,9,FALSE)</f>
        <v>4</v>
      </c>
      <c r="H109" s="7" t="str">
        <f>VLOOKUP(D109,[1]characters!$A:$H,8,FALSE)</f>
        <v>blue</v>
      </c>
      <c r="I109" s="7" t="str">
        <f>VLOOKUP(D109,[1]characters!$A:$K,11,FALSE)</f>
        <v>technical</v>
      </c>
      <c r="J109" s="7" t="str">
        <f>VLOOKUP(D109,[1]characters!$A:$M,13,FALSE)</f>
        <v>human</v>
      </c>
      <c r="K109" s="7" t="str">
        <f>VLOOKUP(D109,[1]characters!$A:$G,7,FALSE)</f>
        <v>女性</v>
      </c>
      <c r="L109" s="66">
        <f>IFERROR(VLOOKUP(D109,input_4!L:R,7,FALSE),VLOOKUP(tables_4!B109,input_4!A:H,8,FALSE))</f>
        <v>60021</v>
      </c>
      <c r="M109" s="67">
        <f t="shared" si="3"/>
        <v>5.777027027027027E-3</v>
      </c>
      <c r="N109" s="31">
        <f>IFERROR(VLOOKUP($D109,bug_conf_sheet!$A:$H,3,FALSE),VLOOKUP("other",bug_conf_sheet!$A:$H,3,FALSE))</f>
        <v>1</v>
      </c>
      <c r="O109" s="31">
        <f>IFERROR(VLOOKUP($D109,bug_conf_sheet!$A:$H,4,FALSE),VLOOKUP("other",bug_conf_sheet!$A:$H,4,FALSE))</f>
        <v>0</v>
      </c>
      <c r="P109" s="31">
        <f>IFERROR(VLOOKUP($D109,bug_conf_sheet!$A:$H,5,FALSE),VLOOKUP("other",bug_conf_sheet!$A:$H,5,FALSE))</f>
        <v>0</v>
      </c>
      <c r="Q109" s="31">
        <f>IFERROR(VLOOKUP($D109,bug_conf_sheet!$A:$H,6,FALSE),VLOOKUP("other",bug_conf_sheet!$A:$H,6,FALSE))</f>
        <v>0</v>
      </c>
      <c r="R109" s="31">
        <f>IFERROR(VLOOKUP($D109,bug_conf_sheet!$A:$H,7,FALSE),VLOOKUP("other",bug_conf_sheet!$A:$H,7,FALSE))</f>
        <v>0</v>
      </c>
      <c r="S109" s="31">
        <f>IFERROR(VLOOKUP($D109,bug_conf_sheet!$A:$H,8,FALSE),VLOOKUP("other",bug_conf_sheet!$A:$H,8,FALSE))</f>
        <v>1</v>
      </c>
    </row>
    <row r="110" spans="1:19" ht="21" customHeight="1">
      <c r="A110" s="2">
        <f>input_4!A$2</f>
        <v>3124</v>
      </c>
      <c r="B110" s="7" t="str">
        <f t="shared" si="4"/>
        <v>Premium5</v>
      </c>
      <c r="C110" s="7" t="str">
        <f t="shared" si="5"/>
        <v>Premium</v>
      </c>
      <c r="D110" s="5">
        <v>234</v>
      </c>
      <c r="E110" s="7" t="str">
        <f>VLOOKUP(D110,[1]characters!$A:$C,3,FALSE)</f>
        <v>精密なる照準 パーシヴァル</v>
      </c>
      <c r="F110" s="7" t="str">
        <f>VLOOKUP(D110,[1]characters!$A:$J,10,FALSE)</f>
        <v>PremiumS</v>
      </c>
      <c r="G110" s="7">
        <f>VLOOKUP(D110,[1]characters!$A:$I,9,FALSE)</f>
        <v>5</v>
      </c>
      <c r="H110" s="7" t="str">
        <f>VLOOKUP(D110,[1]characters!$A:$H,8,FALSE)</f>
        <v>blue</v>
      </c>
      <c r="I110" s="7" t="str">
        <f>VLOOKUP(D110,[1]characters!$A:$K,11,FALSE)</f>
        <v>technical</v>
      </c>
      <c r="J110" s="7" t="str">
        <f>VLOOKUP(D110,[1]characters!$A:$M,13,FALSE)</f>
        <v>human</v>
      </c>
      <c r="K110" s="7" t="str">
        <f>VLOOKUP(D110,[1]characters!$A:$G,7,FALSE)</f>
        <v>女性</v>
      </c>
      <c r="L110" s="66">
        <f>IFERROR(VLOOKUP(D110,input_4!L:R,7,FALSE),VLOOKUP(tables_4!B110,input_4!A:H,8,FALSE))</f>
        <v>9139</v>
      </c>
      <c r="M110" s="67">
        <f t="shared" si="3"/>
        <v>8.7962962962962962E-4</v>
      </c>
      <c r="N110" s="31">
        <f>IFERROR(VLOOKUP($D110,bug_conf_sheet!$A:$H,3,FALSE),VLOOKUP("other",bug_conf_sheet!$A:$H,3,FALSE))</f>
        <v>1</v>
      </c>
      <c r="O110" s="31">
        <f>IFERROR(VLOOKUP($D110,bug_conf_sheet!$A:$H,4,FALSE),VLOOKUP("other",bug_conf_sheet!$A:$H,4,FALSE))</f>
        <v>0</v>
      </c>
      <c r="P110" s="31">
        <f>IFERROR(VLOOKUP($D110,bug_conf_sheet!$A:$H,5,FALSE),VLOOKUP("other",bug_conf_sheet!$A:$H,5,FALSE))</f>
        <v>0</v>
      </c>
      <c r="Q110" s="31">
        <f>IFERROR(VLOOKUP($D110,bug_conf_sheet!$A:$H,6,FALSE),VLOOKUP("other",bug_conf_sheet!$A:$H,6,FALSE))</f>
        <v>0</v>
      </c>
      <c r="R110" s="31">
        <f>IFERROR(VLOOKUP($D110,bug_conf_sheet!$A:$H,7,FALSE),VLOOKUP("other",bug_conf_sheet!$A:$H,7,FALSE))</f>
        <v>0</v>
      </c>
      <c r="S110" s="31">
        <f>IFERROR(VLOOKUP($D110,bug_conf_sheet!$A:$H,8,FALSE),VLOOKUP("other",bug_conf_sheet!$A:$H,8,FALSE))</f>
        <v>1</v>
      </c>
    </row>
    <row r="111" spans="1:19" ht="21" customHeight="1">
      <c r="A111" s="2">
        <f>input_4!A$2</f>
        <v>3124</v>
      </c>
      <c r="B111" s="7" t="str">
        <f t="shared" si="4"/>
        <v>Premium3</v>
      </c>
      <c r="C111" s="7" t="str">
        <f t="shared" si="5"/>
        <v>Premium</v>
      </c>
      <c r="D111" s="5">
        <v>235</v>
      </c>
      <c r="E111" s="7" t="str">
        <f>VLOOKUP(D111,[1]characters!$A:$C,3,FALSE)</f>
        <v>イザナミ</v>
      </c>
      <c r="F111" s="7" t="str">
        <f>VLOOKUP(D111,[1]characters!$A:$J,10,FALSE)</f>
        <v>PremiumS</v>
      </c>
      <c r="G111" s="7">
        <f>VLOOKUP(D111,[1]characters!$A:$I,9,FALSE)</f>
        <v>3</v>
      </c>
      <c r="H111" s="7" t="str">
        <f>VLOOKUP(D111,[1]characters!$A:$H,8,FALSE)</f>
        <v>yellow</v>
      </c>
      <c r="I111" s="7" t="str">
        <f>VLOOKUP(D111,[1]characters!$A:$K,11,FALSE)</f>
        <v>attack</v>
      </c>
      <c r="J111" s="7" t="str">
        <f>VLOOKUP(D111,[1]characters!$A:$M,13,FALSE)</f>
        <v>god</v>
      </c>
      <c r="K111" s="7" t="str">
        <f>VLOOKUP(D111,[1]characters!$A:$G,7,FALSE)</f>
        <v>女性</v>
      </c>
      <c r="L111" s="66">
        <f>IFERROR(VLOOKUP(D111,input_4!L:R,7,FALSE),VLOOKUP(tables_4!B111,input_4!A:H,8,FALSE))</f>
        <v>70200</v>
      </c>
      <c r="M111" s="67">
        <f t="shared" si="3"/>
        <v>6.7567567567567571E-3</v>
      </c>
      <c r="N111" s="31">
        <f>IFERROR(VLOOKUP($D111,bug_conf_sheet!$A:$H,3,FALSE),VLOOKUP("other",bug_conf_sheet!$A:$H,3,FALSE))</f>
        <v>1</v>
      </c>
      <c r="O111" s="31">
        <f>IFERROR(VLOOKUP($D111,bug_conf_sheet!$A:$H,4,FALSE),VLOOKUP("other",bug_conf_sheet!$A:$H,4,FALSE))</f>
        <v>0</v>
      </c>
      <c r="P111" s="31">
        <f>IFERROR(VLOOKUP($D111,bug_conf_sheet!$A:$H,5,FALSE),VLOOKUP("other",bug_conf_sheet!$A:$H,5,FALSE))</f>
        <v>0</v>
      </c>
      <c r="Q111" s="31">
        <f>IFERROR(VLOOKUP($D111,bug_conf_sheet!$A:$H,6,FALSE),VLOOKUP("other",bug_conf_sheet!$A:$H,6,FALSE))</f>
        <v>0</v>
      </c>
      <c r="R111" s="31">
        <f>IFERROR(VLOOKUP($D111,bug_conf_sheet!$A:$H,7,FALSE),VLOOKUP("other",bug_conf_sheet!$A:$H,7,FALSE))</f>
        <v>0</v>
      </c>
      <c r="S111" s="31">
        <f>IFERROR(VLOOKUP($D111,bug_conf_sheet!$A:$H,8,FALSE),VLOOKUP("other",bug_conf_sheet!$A:$H,8,FALSE))</f>
        <v>1</v>
      </c>
    </row>
    <row r="112" spans="1:19" ht="21" customHeight="1">
      <c r="A112" s="2">
        <f>input_4!A$2</f>
        <v>3124</v>
      </c>
      <c r="B112" s="7" t="str">
        <f t="shared" si="4"/>
        <v>Premium4</v>
      </c>
      <c r="C112" s="7" t="str">
        <f t="shared" si="5"/>
        <v>Premium</v>
      </c>
      <c r="D112" s="5">
        <v>236</v>
      </c>
      <c r="E112" s="7" t="str">
        <f>VLOOKUP(D112,[1]characters!$A:$C,3,FALSE)</f>
        <v>神産 イザナミ</v>
      </c>
      <c r="F112" s="7" t="str">
        <f>VLOOKUP(D112,[1]characters!$A:$J,10,FALSE)</f>
        <v>PremiumS</v>
      </c>
      <c r="G112" s="7">
        <f>VLOOKUP(D112,[1]characters!$A:$I,9,FALSE)</f>
        <v>4</v>
      </c>
      <c r="H112" s="7" t="str">
        <f>VLOOKUP(D112,[1]characters!$A:$H,8,FALSE)</f>
        <v>yellow</v>
      </c>
      <c r="I112" s="7" t="str">
        <f>VLOOKUP(D112,[1]characters!$A:$K,11,FALSE)</f>
        <v>attack</v>
      </c>
      <c r="J112" s="7" t="str">
        <f>VLOOKUP(D112,[1]characters!$A:$M,13,FALSE)</f>
        <v>god</v>
      </c>
      <c r="K112" s="7" t="str">
        <f>VLOOKUP(D112,[1]characters!$A:$G,7,FALSE)</f>
        <v>女性</v>
      </c>
      <c r="L112" s="66">
        <f>IFERROR(VLOOKUP(D112,input_4!L:R,7,FALSE),VLOOKUP(tables_4!B112,input_4!A:H,8,FALSE))</f>
        <v>60021</v>
      </c>
      <c r="M112" s="67">
        <f t="shared" si="3"/>
        <v>5.777027027027027E-3</v>
      </c>
      <c r="N112" s="31">
        <f>IFERROR(VLOOKUP($D112,bug_conf_sheet!$A:$H,3,FALSE),VLOOKUP("other",bug_conf_sheet!$A:$H,3,FALSE))</f>
        <v>1</v>
      </c>
      <c r="O112" s="31">
        <f>IFERROR(VLOOKUP($D112,bug_conf_sheet!$A:$H,4,FALSE),VLOOKUP("other",bug_conf_sheet!$A:$H,4,FALSE))</f>
        <v>0</v>
      </c>
      <c r="P112" s="31">
        <f>IFERROR(VLOOKUP($D112,bug_conf_sheet!$A:$H,5,FALSE),VLOOKUP("other",bug_conf_sheet!$A:$H,5,FALSE))</f>
        <v>0</v>
      </c>
      <c r="Q112" s="31">
        <f>IFERROR(VLOOKUP($D112,bug_conf_sheet!$A:$H,6,FALSE),VLOOKUP("other",bug_conf_sheet!$A:$H,6,FALSE))</f>
        <v>0</v>
      </c>
      <c r="R112" s="31">
        <f>IFERROR(VLOOKUP($D112,bug_conf_sheet!$A:$H,7,FALSE),VLOOKUP("other",bug_conf_sheet!$A:$H,7,FALSE))</f>
        <v>0</v>
      </c>
      <c r="S112" s="31">
        <f>IFERROR(VLOOKUP($D112,bug_conf_sheet!$A:$H,8,FALSE),VLOOKUP("other",bug_conf_sheet!$A:$H,8,FALSE))</f>
        <v>1</v>
      </c>
    </row>
    <row r="113" spans="1:19" ht="21" customHeight="1">
      <c r="A113" s="2">
        <f>input_4!A$2</f>
        <v>3124</v>
      </c>
      <c r="B113" s="7" t="str">
        <f t="shared" si="4"/>
        <v>Premium5</v>
      </c>
      <c r="C113" s="7" t="str">
        <f t="shared" si="5"/>
        <v>Premium</v>
      </c>
      <c r="D113" s="5">
        <v>237</v>
      </c>
      <c r="E113" s="7" t="str">
        <f>VLOOKUP(D113,[1]characters!$A:$C,3,FALSE)</f>
        <v>森羅万象の神母 イザナミ</v>
      </c>
      <c r="F113" s="7" t="str">
        <f>VLOOKUP(D113,[1]characters!$A:$J,10,FALSE)</f>
        <v>PremiumS</v>
      </c>
      <c r="G113" s="7">
        <f>VLOOKUP(D113,[1]characters!$A:$I,9,FALSE)</f>
        <v>5</v>
      </c>
      <c r="H113" s="7" t="str">
        <f>VLOOKUP(D113,[1]characters!$A:$H,8,FALSE)</f>
        <v>yellow</v>
      </c>
      <c r="I113" s="7" t="str">
        <f>VLOOKUP(D113,[1]characters!$A:$K,11,FALSE)</f>
        <v>attack</v>
      </c>
      <c r="J113" s="7" t="str">
        <f>VLOOKUP(D113,[1]characters!$A:$M,13,FALSE)</f>
        <v>god</v>
      </c>
      <c r="K113" s="7" t="str">
        <f>VLOOKUP(D113,[1]characters!$A:$G,7,FALSE)</f>
        <v>女性</v>
      </c>
      <c r="L113" s="66">
        <f>IFERROR(VLOOKUP(D113,input_4!L:R,7,FALSE),VLOOKUP(tables_4!B113,input_4!A:H,8,FALSE))</f>
        <v>9139</v>
      </c>
      <c r="M113" s="67">
        <f t="shared" si="3"/>
        <v>8.7962962962962962E-4</v>
      </c>
      <c r="N113" s="31">
        <f>IFERROR(VLOOKUP($D113,bug_conf_sheet!$A:$H,3,FALSE),VLOOKUP("other",bug_conf_sheet!$A:$H,3,FALSE))</f>
        <v>1</v>
      </c>
      <c r="O113" s="31">
        <f>IFERROR(VLOOKUP($D113,bug_conf_sheet!$A:$H,4,FALSE),VLOOKUP("other",bug_conf_sheet!$A:$H,4,FALSE))</f>
        <v>0</v>
      </c>
      <c r="P113" s="31">
        <f>IFERROR(VLOOKUP($D113,bug_conf_sheet!$A:$H,5,FALSE),VLOOKUP("other",bug_conf_sheet!$A:$H,5,FALSE))</f>
        <v>0</v>
      </c>
      <c r="Q113" s="31">
        <f>IFERROR(VLOOKUP($D113,bug_conf_sheet!$A:$H,6,FALSE),VLOOKUP("other",bug_conf_sheet!$A:$H,6,FALSE))</f>
        <v>0</v>
      </c>
      <c r="R113" s="31">
        <f>IFERROR(VLOOKUP($D113,bug_conf_sheet!$A:$H,7,FALSE),VLOOKUP("other",bug_conf_sheet!$A:$H,7,FALSE))</f>
        <v>0</v>
      </c>
      <c r="S113" s="31">
        <f>IFERROR(VLOOKUP($D113,bug_conf_sheet!$A:$H,8,FALSE),VLOOKUP("other",bug_conf_sheet!$A:$H,8,FALSE))</f>
        <v>1</v>
      </c>
    </row>
    <row r="114" spans="1:19" ht="21" customHeight="1">
      <c r="A114" s="2">
        <f>input_4!A$2</f>
        <v>3124</v>
      </c>
      <c r="B114" s="7" t="str">
        <f t="shared" si="4"/>
        <v>Premium3</v>
      </c>
      <c r="C114" s="7" t="str">
        <f t="shared" si="5"/>
        <v>Premium</v>
      </c>
      <c r="D114" s="5">
        <v>238</v>
      </c>
      <c r="E114" s="7" t="str">
        <f>VLOOKUP(D114,[1]characters!$A:$C,3,FALSE)</f>
        <v>ウリエル</v>
      </c>
      <c r="F114" s="7" t="str">
        <f>VLOOKUP(D114,[1]characters!$A:$J,10,FALSE)</f>
        <v>PremiumS</v>
      </c>
      <c r="G114" s="7">
        <f>VLOOKUP(D114,[1]characters!$A:$I,9,FALSE)</f>
        <v>3</v>
      </c>
      <c r="H114" s="7" t="str">
        <f>VLOOKUP(D114,[1]characters!$A:$H,8,FALSE)</f>
        <v>red</v>
      </c>
      <c r="I114" s="7" t="str">
        <f>VLOOKUP(D114,[1]characters!$A:$K,11,FALSE)</f>
        <v>hp</v>
      </c>
      <c r="J114" s="7" t="str">
        <f>VLOOKUP(D114,[1]characters!$A:$M,13,FALSE)</f>
        <v>machine</v>
      </c>
      <c r="K114" s="7" t="str">
        <f>VLOOKUP(D114,[1]characters!$A:$G,7,FALSE)</f>
        <v>女性</v>
      </c>
      <c r="L114" s="66">
        <f>IFERROR(VLOOKUP(D114,input_4!L:R,7,FALSE),VLOOKUP(tables_4!B114,input_4!A:H,8,FALSE))</f>
        <v>70200</v>
      </c>
      <c r="M114" s="67">
        <f t="shared" si="3"/>
        <v>6.7567567567567571E-3</v>
      </c>
      <c r="N114" s="31">
        <f>IFERROR(VLOOKUP($D114,bug_conf_sheet!$A:$H,3,FALSE),VLOOKUP("other",bug_conf_sheet!$A:$H,3,FALSE))</f>
        <v>1</v>
      </c>
      <c r="O114" s="31">
        <f>IFERROR(VLOOKUP($D114,bug_conf_sheet!$A:$H,4,FALSE),VLOOKUP("other",bug_conf_sheet!$A:$H,4,FALSE))</f>
        <v>0</v>
      </c>
      <c r="P114" s="31">
        <f>IFERROR(VLOOKUP($D114,bug_conf_sheet!$A:$H,5,FALSE),VLOOKUP("other",bug_conf_sheet!$A:$H,5,FALSE))</f>
        <v>0</v>
      </c>
      <c r="Q114" s="31">
        <f>IFERROR(VLOOKUP($D114,bug_conf_sheet!$A:$H,6,FALSE),VLOOKUP("other",bug_conf_sheet!$A:$H,6,FALSE))</f>
        <v>0</v>
      </c>
      <c r="R114" s="31">
        <f>IFERROR(VLOOKUP($D114,bug_conf_sheet!$A:$H,7,FALSE),VLOOKUP("other",bug_conf_sheet!$A:$H,7,FALSE))</f>
        <v>0</v>
      </c>
      <c r="S114" s="31">
        <f>IFERROR(VLOOKUP($D114,bug_conf_sheet!$A:$H,8,FALSE),VLOOKUP("other",bug_conf_sheet!$A:$H,8,FALSE))</f>
        <v>1</v>
      </c>
    </row>
    <row r="115" spans="1:19" ht="21" customHeight="1">
      <c r="A115" s="2">
        <f>input_4!A$2</f>
        <v>3124</v>
      </c>
      <c r="B115" s="7" t="str">
        <f t="shared" si="4"/>
        <v>Premium4</v>
      </c>
      <c r="C115" s="7" t="str">
        <f t="shared" si="5"/>
        <v>Premium</v>
      </c>
      <c r="D115" s="5">
        <v>239</v>
      </c>
      <c r="E115" s="7" t="str">
        <f>VLOOKUP(D115,[1]characters!$A:$C,3,FALSE)</f>
        <v>豪炎の天使 ウリエル</v>
      </c>
      <c r="F115" s="7" t="str">
        <f>VLOOKUP(D115,[1]characters!$A:$J,10,FALSE)</f>
        <v>PremiumS</v>
      </c>
      <c r="G115" s="7">
        <f>VLOOKUP(D115,[1]characters!$A:$I,9,FALSE)</f>
        <v>4</v>
      </c>
      <c r="H115" s="7" t="str">
        <f>VLOOKUP(D115,[1]characters!$A:$H,8,FALSE)</f>
        <v>red</v>
      </c>
      <c r="I115" s="7" t="str">
        <f>VLOOKUP(D115,[1]characters!$A:$K,11,FALSE)</f>
        <v>hp</v>
      </c>
      <c r="J115" s="7" t="str">
        <f>VLOOKUP(D115,[1]characters!$A:$M,13,FALSE)</f>
        <v>machine</v>
      </c>
      <c r="K115" s="7" t="str">
        <f>VLOOKUP(D115,[1]characters!$A:$G,7,FALSE)</f>
        <v>女性</v>
      </c>
      <c r="L115" s="66">
        <f>IFERROR(VLOOKUP(D115,input_4!L:R,7,FALSE),VLOOKUP(tables_4!B115,input_4!A:H,8,FALSE))</f>
        <v>60021</v>
      </c>
      <c r="M115" s="67">
        <f t="shared" si="3"/>
        <v>5.777027027027027E-3</v>
      </c>
      <c r="N115" s="31">
        <f>IFERROR(VLOOKUP($D115,bug_conf_sheet!$A:$H,3,FALSE),VLOOKUP("other",bug_conf_sheet!$A:$H,3,FALSE))</f>
        <v>1</v>
      </c>
      <c r="O115" s="31">
        <f>IFERROR(VLOOKUP($D115,bug_conf_sheet!$A:$H,4,FALSE),VLOOKUP("other",bug_conf_sheet!$A:$H,4,FALSE))</f>
        <v>0</v>
      </c>
      <c r="P115" s="31">
        <f>IFERROR(VLOOKUP($D115,bug_conf_sheet!$A:$H,5,FALSE),VLOOKUP("other",bug_conf_sheet!$A:$H,5,FALSE))</f>
        <v>0</v>
      </c>
      <c r="Q115" s="31">
        <f>IFERROR(VLOOKUP($D115,bug_conf_sheet!$A:$H,6,FALSE),VLOOKUP("other",bug_conf_sheet!$A:$H,6,FALSE))</f>
        <v>0</v>
      </c>
      <c r="R115" s="31">
        <f>IFERROR(VLOOKUP($D115,bug_conf_sheet!$A:$H,7,FALSE),VLOOKUP("other",bug_conf_sheet!$A:$H,7,FALSE))</f>
        <v>0</v>
      </c>
      <c r="S115" s="31">
        <f>IFERROR(VLOOKUP($D115,bug_conf_sheet!$A:$H,8,FALSE),VLOOKUP("other",bug_conf_sheet!$A:$H,8,FALSE))</f>
        <v>1</v>
      </c>
    </row>
    <row r="116" spans="1:19" ht="21" customHeight="1">
      <c r="A116" s="2">
        <f>input_4!A$2</f>
        <v>3124</v>
      </c>
      <c r="B116" s="7" t="str">
        <f t="shared" si="4"/>
        <v>Premium5</v>
      </c>
      <c r="C116" s="7" t="str">
        <f t="shared" si="5"/>
        <v>Premium</v>
      </c>
      <c r="D116" s="5">
        <v>240</v>
      </c>
      <c r="E116" s="7" t="str">
        <f>VLOOKUP(D116,[1]characters!$A:$C,3,FALSE)</f>
        <v>轟炎の天使 ウリエル・スレイヤー</v>
      </c>
      <c r="F116" s="7" t="str">
        <f>VLOOKUP(D116,[1]characters!$A:$J,10,FALSE)</f>
        <v>PremiumS</v>
      </c>
      <c r="G116" s="7">
        <f>VLOOKUP(D116,[1]characters!$A:$I,9,FALSE)</f>
        <v>5</v>
      </c>
      <c r="H116" s="7" t="str">
        <f>VLOOKUP(D116,[1]characters!$A:$H,8,FALSE)</f>
        <v>red</v>
      </c>
      <c r="I116" s="7" t="str">
        <f>VLOOKUP(D116,[1]characters!$A:$K,11,FALSE)</f>
        <v>hp</v>
      </c>
      <c r="J116" s="7" t="str">
        <f>VLOOKUP(D116,[1]characters!$A:$M,13,FALSE)</f>
        <v>machine</v>
      </c>
      <c r="K116" s="7" t="str">
        <f>VLOOKUP(D116,[1]characters!$A:$G,7,FALSE)</f>
        <v>女性</v>
      </c>
      <c r="L116" s="66">
        <f>IFERROR(VLOOKUP(D116,input_4!L:R,7,FALSE),VLOOKUP(tables_4!B116,input_4!A:H,8,FALSE))</f>
        <v>9139</v>
      </c>
      <c r="M116" s="67">
        <f t="shared" si="3"/>
        <v>8.7962962962962962E-4</v>
      </c>
      <c r="N116" s="31">
        <f>IFERROR(VLOOKUP($D116,bug_conf_sheet!$A:$H,3,FALSE),VLOOKUP("other",bug_conf_sheet!$A:$H,3,FALSE))</f>
        <v>1</v>
      </c>
      <c r="O116" s="31">
        <f>IFERROR(VLOOKUP($D116,bug_conf_sheet!$A:$H,4,FALSE),VLOOKUP("other",bug_conf_sheet!$A:$H,4,FALSE))</f>
        <v>0</v>
      </c>
      <c r="P116" s="31">
        <f>IFERROR(VLOOKUP($D116,bug_conf_sheet!$A:$H,5,FALSE),VLOOKUP("other",bug_conf_sheet!$A:$H,5,FALSE))</f>
        <v>0</v>
      </c>
      <c r="Q116" s="31">
        <f>IFERROR(VLOOKUP($D116,bug_conf_sheet!$A:$H,6,FALSE),VLOOKUP("other",bug_conf_sheet!$A:$H,6,FALSE))</f>
        <v>0</v>
      </c>
      <c r="R116" s="31">
        <f>IFERROR(VLOOKUP($D116,bug_conf_sheet!$A:$H,7,FALSE),VLOOKUP("other",bug_conf_sheet!$A:$H,7,FALSE))</f>
        <v>0</v>
      </c>
      <c r="S116" s="31">
        <f>IFERROR(VLOOKUP($D116,bug_conf_sheet!$A:$H,8,FALSE),VLOOKUP("other",bug_conf_sheet!$A:$H,8,FALSE))</f>
        <v>1</v>
      </c>
    </row>
    <row r="117" spans="1:19" ht="21" customHeight="1">
      <c r="A117" s="2">
        <f>input_4!A$2</f>
        <v>3124</v>
      </c>
      <c r="B117" s="7" t="str">
        <f t="shared" si="4"/>
        <v>Premium3</v>
      </c>
      <c r="C117" s="7" t="str">
        <f t="shared" si="5"/>
        <v>Premium</v>
      </c>
      <c r="D117" s="5">
        <v>241</v>
      </c>
      <c r="E117" s="7" t="str">
        <f>VLOOKUP(D117,[1]characters!$A:$C,3,FALSE)</f>
        <v>ガブリエル</v>
      </c>
      <c r="F117" s="7" t="str">
        <f>VLOOKUP(D117,[1]characters!$A:$J,10,FALSE)</f>
        <v>PremiumS</v>
      </c>
      <c r="G117" s="7">
        <f>VLOOKUP(D117,[1]characters!$A:$I,9,FALSE)</f>
        <v>3</v>
      </c>
      <c r="H117" s="7" t="str">
        <f>VLOOKUP(D117,[1]characters!$A:$H,8,FALSE)</f>
        <v>green</v>
      </c>
      <c r="I117" s="7" t="str">
        <f>VLOOKUP(D117,[1]characters!$A:$K,11,FALSE)</f>
        <v>balance</v>
      </c>
      <c r="J117" s="7" t="str">
        <f>VLOOKUP(D117,[1]characters!$A:$M,13,FALSE)</f>
        <v>machine</v>
      </c>
      <c r="K117" s="7" t="str">
        <f>VLOOKUP(D117,[1]characters!$A:$G,7,FALSE)</f>
        <v>女性</v>
      </c>
      <c r="L117" s="66">
        <f>IFERROR(VLOOKUP(D117,input_4!L:R,7,FALSE),VLOOKUP(tables_4!B117,input_4!A:H,8,FALSE))</f>
        <v>70200</v>
      </c>
      <c r="M117" s="67">
        <f t="shared" si="3"/>
        <v>6.7567567567567571E-3</v>
      </c>
      <c r="N117" s="31">
        <f>IFERROR(VLOOKUP($D117,bug_conf_sheet!$A:$H,3,FALSE),VLOOKUP("other",bug_conf_sheet!$A:$H,3,FALSE))</f>
        <v>1</v>
      </c>
      <c r="O117" s="31">
        <f>IFERROR(VLOOKUP($D117,bug_conf_sheet!$A:$H,4,FALSE),VLOOKUP("other",bug_conf_sheet!$A:$H,4,FALSE))</f>
        <v>0</v>
      </c>
      <c r="P117" s="31">
        <f>IFERROR(VLOOKUP($D117,bug_conf_sheet!$A:$H,5,FALSE),VLOOKUP("other",bug_conf_sheet!$A:$H,5,FALSE))</f>
        <v>0</v>
      </c>
      <c r="Q117" s="31">
        <f>IFERROR(VLOOKUP($D117,bug_conf_sheet!$A:$H,6,FALSE),VLOOKUP("other",bug_conf_sheet!$A:$H,6,FALSE))</f>
        <v>0</v>
      </c>
      <c r="R117" s="31">
        <f>IFERROR(VLOOKUP($D117,bug_conf_sheet!$A:$H,7,FALSE),VLOOKUP("other",bug_conf_sheet!$A:$H,7,FALSE))</f>
        <v>0</v>
      </c>
      <c r="S117" s="31">
        <f>IFERROR(VLOOKUP($D117,bug_conf_sheet!$A:$H,8,FALSE),VLOOKUP("other",bug_conf_sheet!$A:$H,8,FALSE))</f>
        <v>1</v>
      </c>
    </row>
    <row r="118" spans="1:19" ht="21" customHeight="1">
      <c r="A118" s="2">
        <f>input_4!A$2</f>
        <v>3124</v>
      </c>
      <c r="B118" s="7" t="str">
        <f t="shared" si="4"/>
        <v>Premium4</v>
      </c>
      <c r="C118" s="7" t="str">
        <f t="shared" si="5"/>
        <v>Premium</v>
      </c>
      <c r="D118" s="5">
        <v>242</v>
      </c>
      <c r="E118" s="7" t="str">
        <f>VLOOKUP(D118,[1]characters!$A:$C,3,FALSE)</f>
        <v>百花の天使 ガブリエル</v>
      </c>
      <c r="F118" s="7" t="str">
        <f>VLOOKUP(D118,[1]characters!$A:$J,10,FALSE)</f>
        <v>PremiumS</v>
      </c>
      <c r="G118" s="7">
        <f>VLOOKUP(D118,[1]characters!$A:$I,9,FALSE)</f>
        <v>4</v>
      </c>
      <c r="H118" s="7" t="str">
        <f>VLOOKUP(D118,[1]characters!$A:$H,8,FALSE)</f>
        <v>green</v>
      </c>
      <c r="I118" s="7" t="str">
        <f>VLOOKUP(D118,[1]characters!$A:$K,11,FALSE)</f>
        <v>balance</v>
      </c>
      <c r="J118" s="7" t="str">
        <f>VLOOKUP(D118,[1]characters!$A:$M,13,FALSE)</f>
        <v>machine</v>
      </c>
      <c r="K118" s="7" t="str">
        <f>VLOOKUP(D118,[1]characters!$A:$G,7,FALSE)</f>
        <v>女性</v>
      </c>
      <c r="L118" s="66">
        <f>IFERROR(VLOOKUP(D118,input_4!L:R,7,FALSE),VLOOKUP(tables_4!B118,input_4!A:H,8,FALSE))</f>
        <v>60021</v>
      </c>
      <c r="M118" s="67">
        <f t="shared" si="3"/>
        <v>5.777027027027027E-3</v>
      </c>
      <c r="N118" s="31">
        <f>IFERROR(VLOOKUP($D118,bug_conf_sheet!$A:$H,3,FALSE),VLOOKUP("other",bug_conf_sheet!$A:$H,3,FALSE))</f>
        <v>1</v>
      </c>
      <c r="O118" s="31">
        <f>IFERROR(VLOOKUP($D118,bug_conf_sheet!$A:$H,4,FALSE),VLOOKUP("other",bug_conf_sheet!$A:$H,4,FALSE))</f>
        <v>0</v>
      </c>
      <c r="P118" s="31">
        <f>IFERROR(VLOOKUP($D118,bug_conf_sheet!$A:$H,5,FALSE),VLOOKUP("other",bug_conf_sheet!$A:$H,5,FALSE))</f>
        <v>0</v>
      </c>
      <c r="Q118" s="31">
        <f>IFERROR(VLOOKUP($D118,bug_conf_sheet!$A:$H,6,FALSE),VLOOKUP("other",bug_conf_sheet!$A:$H,6,FALSE))</f>
        <v>0</v>
      </c>
      <c r="R118" s="31">
        <f>IFERROR(VLOOKUP($D118,bug_conf_sheet!$A:$H,7,FALSE),VLOOKUP("other",bug_conf_sheet!$A:$H,7,FALSE))</f>
        <v>0</v>
      </c>
      <c r="S118" s="31">
        <f>IFERROR(VLOOKUP($D118,bug_conf_sheet!$A:$H,8,FALSE),VLOOKUP("other",bug_conf_sheet!$A:$H,8,FALSE))</f>
        <v>1</v>
      </c>
    </row>
    <row r="119" spans="1:19" ht="21" customHeight="1">
      <c r="A119" s="2">
        <f>input_4!A$2</f>
        <v>3124</v>
      </c>
      <c r="B119" s="7" t="str">
        <f t="shared" si="4"/>
        <v>Premium5</v>
      </c>
      <c r="C119" s="7" t="str">
        <f t="shared" si="5"/>
        <v>Premium</v>
      </c>
      <c r="D119" s="5">
        <v>243</v>
      </c>
      <c r="E119" s="7" t="str">
        <f>VLOOKUP(D119,[1]characters!$A:$C,3,FALSE)</f>
        <v>万花の天使 ガブリエル・ブルーム</v>
      </c>
      <c r="F119" s="7" t="str">
        <f>VLOOKUP(D119,[1]characters!$A:$J,10,FALSE)</f>
        <v>PremiumS</v>
      </c>
      <c r="G119" s="7">
        <f>VLOOKUP(D119,[1]characters!$A:$I,9,FALSE)</f>
        <v>5</v>
      </c>
      <c r="H119" s="7" t="str">
        <f>VLOOKUP(D119,[1]characters!$A:$H,8,FALSE)</f>
        <v>green</v>
      </c>
      <c r="I119" s="7" t="str">
        <f>VLOOKUP(D119,[1]characters!$A:$K,11,FALSE)</f>
        <v>balance</v>
      </c>
      <c r="J119" s="7" t="str">
        <f>VLOOKUP(D119,[1]characters!$A:$M,13,FALSE)</f>
        <v>machine</v>
      </c>
      <c r="K119" s="7" t="str">
        <f>VLOOKUP(D119,[1]characters!$A:$G,7,FALSE)</f>
        <v>女性</v>
      </c>
      <c r="L119" s="66">
        <f>IFERROR(VLOOKUP(D119,input_4!L:R,7,FALSE),VLOOKUP(tables_4!B119,input_4!A:H,8,FALSE))</f>
        <v>9139</v>
      </c>
      <c r="M119" s="67">
        <f t="shared" si="3"/>
        <v>8.7962962962962962E-4</v>
      </c>
      <c r="N119" s="31">
        <f>IFERROR(VLOOKUP($D119,bug_conf_sheet!$A:$H,3,FALSE),VLOOKUP("other",bug_conf_sheet!$A:$H,3,FALSE))</f>
        <v>1</v>
      </c>
      <c r="O119" s="31">
        <f>IFERROR(VLOOKUP($D119,bug_conf_sheet!$A:$H,4,FALSE),VLOOKUP("other",bug_conf_sheet!$A:$H,4,FALSE))</f>
        <v>0</v>
      </c>
      <c r="P119" s="31">
        <f>IFERROR(VLOOKUP($D119,bug_conf_sheet!$A:$H,5,FALSE),VLOOKUP("other",bug_conf_sheet!$A:$H,5,FALSE))</f>
        <v>0</v>
      </c>
      <c r="Q119" s="31">
        <f>IFERROR(VLOOKUP($D119,bug_conf_sheet!$A:$H,6,FALSE),VLOOKUP("other",bug_conf_sheet!$A:$H,6,FALSE))</f>
        <v>0</v>
      </c>
      <c r="R119" s="31">
        <f>IFERROR(VLOOKUP($D119,bug_conf_sheet!$A:$H,7,FALSE),VLOOKUP("other",bug_conf_sheet!$A:$H,7,FALSE))</f>
        <v>0</v>
      </c>
      <c r="S119" s="31">
        <f>IFERROR(VLOOKUP($D119,bug_conf_sheet!$A:$H,8,FALSE),VLOOKUP("other",bug_conf_sheet!$A:$H,8,FALSE))</f>
        <v>1</v>
      </c>
    </row>
    <row r="120" spans="1:19" ht="21" customHeight="1">
      <c r="A120" s="2">
        <f>input_4!A$2</f>
        <v>3124</v>
      </c>
      <c r="B120" s="7" t="str">
        <f t="shared" si="4"/>
        <v>Premium3</v>
      </c>
      <c r="C120" s="7" t="str">
        <f t="shared" si="5"/>
        <v>Premium</v>
      </c>
      <c r="D120" s="5">
        <v>244</v>
      </c>
      <c r="E120" s="7" t="str">
        <f>VLOOKUP(D120,[1]characters!$A:$C,3,FALSE)</f>
        <v>ラファエル</v>
      </c>
      <c r="F120" s="7" t="str">
        <f>VLOOKUP(D120,[1]characters!$A:$J,10,FALSE)</f>
        <v>PremiumS</v>
      </c>
      <c r="G120" s="7">
        <f>VLOOKUP(D120,[1]characters!$A:$I,9,FALSE)</f>
        <v>3</v>
      </c>
      <c r="H120" s="7" t="str">
        <f>VLOOKUP(D120,[1]characters!$A:$H,8,FALSE)</f>
        <v>blue</v>
      </c>
      <c r="I120" s="7" t="str">
        <f>VLOOKUP(D120,[1]characters!$A:$K,11,FALSE)</f>
        <v>balance</v>
      </c>
      <c r="J120" s="7" t="str">
        <f>VLOOKUP(D120,[1]characters!$A:$M,13,FALSE)</f>
        <v>machine</v>
      </c>
      <c r="K120" s="7" t="str">
        <f>VLOOKUP(D120,[1]characters!$A:$G,7,FALSE)</f>
        <v>女性</v>
      </c>
      <c r="L120" s="66">
        <f>IFERROR(VLOOKUP(D120,input_4!L:R,7,FALSE),VLOOKUP(tables_4!B120,input_4!A:H,8,FALSE))</f>
        <v>70200</v>
      </c>
      <c r="M120" s="67">
        <f t="shared" si="3"/>
        <v>6.7567567567567571E-3</v>
      </c>
      <c r="N120" s="31">
        <f>IFERROR(VLOOKUP($D120,bug_conf_sheet!$A:$H,3,FALSE),VLOOKUP("other",bug_conf_sheet!$A:$H,3,FALSE))</f>
        <v>1</v>
      </c>
      <c r="O120" s="31">
        <f>IFERROR(VLOOKUP($D120,bug_conf_sheet!$A:$H,4,FALSE),VLOOKUP("other",bug_conf_sheet!$A:$H,4,FALSE))</f>
        <v>0</v>
      </c>
      <c r="P120" s="31">
        <f>IFERROR(VLOOKUP($D120,bug_conf_sheet!$A:$H,5,FALSE),VLOOKUP("other",bug_conf_sheet!$A:$H,5,FALSE))</f>
        <v>0</v>
      </c>
      <c r="Q120" s="31">
        <f>IFERROR(VLOOKUP($D120,bug_conf_sheet!$A:$H,6,FALSE),VLOOKUP("other",bug_conf_sheet!$A:$H,6,FALSE))</f>
        <v>0</v>
      </c>
      <c r="R120" s="31">
        <f>IFERROR(VLOOKUP($D120,bug_conf_sheet!$A:$H,7,FALSE),VLOOKUP("other",bug_conf_sheet!$A:$H,7,FALSE))</f>
        <v>0</v>
      </c>
      <c r="S120" s="31">
        <f>IFERROR(VLOOKUP($D120,bug_conf_sheet!$A:$H,8,FALSE),VLOOKUP("other",bug_conf_sheet!$A:$H,8,FALSE))</f>
        <v>1</v>
      </c>
    </row>
    <row r="121" spans="1:19" ht="21" customHeight="1">
      <c r="A121" s="2">
        <f>input_4!A$2</f>
        <v>3124</v>
      </c>
      <c r="B121" s="7" t="str">
        <f t="shared" si="4"/>
        <v>Premium4</v>
      </c>
      <c r="C121" s="7" t="str">
        <f t="shared" si="5"/>
        <v>Premium</v>
      </c>
      <c r="D121" s="5">
        <v>245</v>
      </c>
      <c r="E121" s="7" t="str">
        <f>VLOOKUP(D121,[1]characters!$A:$C,3,FALSE)</f>
        <v>鎮癒の天使 ラファエル</v>
      </c>
      <c r="F121" s="7" t="str">
        <f>VLOOKUP(D121,[1]characters!$A:$J,10,FALSE)</f>
        <v>PremiumS</v>
      </c>
      <c r="G121" s="7">
        <f>VLOOKUP(D121,[1]characters!$A:$I,9,FALSE)</f>
        <v>4</v>
      </c>
      <c r="H121" s="7" t="str">
        <f>VLOOKUP(D121,[1]characters!$A:$H,8,FALSE)</f>
        <v>blue</v>
      </c>
      <c r="I121" s="7" t="str">
        <f>VLOOKUP(D121,[1]characters!$A:$K,11,FALSE)</f>
        <v>balance</v>
      </c>
      <c r="J121" s="7" t="str">
        <f>VLOOKUP(D121,[1]characters!$A:$M,13,FALSE)</f>
        <v>machine</v>
      </c>
      <c r="K121" s="7" t="str">
        <f>VLOOKUP(D121,[1]characters!$A:$G,7,FALSE)</f>
        <v>女性</v>
      </c>
      <c r="L121" s="66">
        <f>IFERROR(VLOOKUP(D121,input_4!L:R,7,FALSE),VLOOKUP(tables_4!B121,input_4!A:H,8,FALSE))</f>
        <v>60021</v>
      </c>
      <c r="M121" s="67">
        <f t="shared" si="3"/>
        <v>5.777027027027027E-3</v>
      </c>
      <c r="N121" s="31">
        <f>IFERROR(VLOOKUP($D121,bug_conf_sheet!$A:$H,3,FALSE),VLOOKUP("other",bug_conf_sheet!$A:$H,3,FALSE))</f>
        <v>1</v>
      </c>
      <c r="O121" s="31">
        <f>IFERROR(VLOOKUP($D121,bug_conf_sheet!$A:$H,4,FALSE),VLOOKUP("other",bug_conf_sheet!$A:$H,4,FALSE))</f>
        <v>0</v>
      </c>
      <c r="P121" s="31">
        <f>IFERROR(VLOOKUP($D121,bug_conf_sheet!$A:$H,5,FALSE),VLOOKUP("other",bug_conf_sheet!$A:$H,5,FALSE))</f>
        <v>0</v>
      </c>
      <c r="Q121" s="31">
        <f>IFERROR(VLOOKUP($D121,bug_conf_sheet!$A:$H,6,FALSE),VLOOKUP("other",bug_conf_sheet!$A:$H,6,FALSE))</f>
        <v>0</v>
      </c>
      <c r="R121" s="31">
        <f>IFERROR(VLOOKUP($D121,bug_conf_sheet!$A:$H,7,FALSE),VLOOKUP("other",bug_conf_sheet!$A:$H,7,FALSE))</f>
        <v>0</v>
      </c>
      <c r="S121" s="31">
        <f>IFERROR(VLOOKUP($D121,bug_conf_sheet!$A:$H,8,FALSE),VLOOKUP("other",bug_conf_sheet!$A:$H,8,FALSE))</f>
        <v>1</v>
      </c>
    </row>
    <row r="122" spans="1:19" ht="21" customHeight="1">
      <c r="A122" s="2">
        <f>input_4!A$2</f>
        <v>3124</v>
      </c>
      <c r="B122" s="7" t="str">
        <f t="shared" si="4"/>
        <v>Premium5</v>
      </c>
      <c r="C122" s="7" t="str">
        <f t="shared" si="5"/>
        <v>Premium</v>
      </c>
      <c r="D122" s="5">
        <v>246</v>
      </c>
      <c r="E122" s="7" t="str">
        <f>VLOOKUP(D122,[1]characters!$A:$C,3,FALSE)</f>
        <v>真癒の天使 ラファエル・メディカ</v>
      </c>
      <c r="F122" s="7" t="str">
        <f>VLOOKUP(D122,[1]characters!$A:$J,10,FALSE)</f>
        <v>PremiumS</v>
      </c>
      <c r="G122" s="7">
        <f>VLOOKUP(D122,[1]characters!$A:$I,9,FALSE)</f>
        <v>5</v>
      </c>
      <c r="H122" s="7" t="str">
        <f>VLOOKUP(D122,[1]characters!$A:$H,8,FALSE)</f>
        <v>blue</v>
      </c>
      <c r="I122" s="7" t="str">
        <f>VLOOKUP(D122,[1]characters!$A:$K,11,FALSE)</f>
        <v>balance</v>
      </c>
      <c r="J122" s="7" t="str">
        <f>VLOOKUP(D122,[1]characters!$A:$M,13,FALSE)</f>
        <v>machine</v>
      </c>
      <c r="K122" s="7" t="str">
        <f>VLOOKUP(D122,[1]characters!$A:$G,7,FALSE)</f>
        <v>女性</v>
      </c>
      <c r="L122" s="66">
        <f>IFERROR(VLOOKUP(D122,input_4!L:R,7,FALSE),VLOOKUP(tables_4!B122,input_4!A:H,8,FALSE))</f>
        <v>9139</v>
      </c>
      <c r="M122" s="67">
        <f t="shared" si="3"/>
        <v>8.7962962962962962E-4</v>
      </c>
      <c r="N122" s="31">
        <f>IFERROR(VLOOKUP($D122,bug_conf_sheet!$A:$H,3,FALSE),VLOOKUP("other",bug_conf_sheet!$A:$H,3,FALSE))</f>
        <v>1</v>
      </c>
      <c r="O122" s="31">
        <f>IFERROR(VLOOKUP($D122,bug_conf_sheet!$A:$H,4,FALSE),VLOOKUP("other",bug_conf_sheet!$A:$H,4,FALSE))</f>
        <v>0</v>
      </c>
      <c r="P122" s="31">
        <f>IFERROR(VLOOKUP($D122,bug_conf_sheet!$A:$H,5,FALSE),VLOOKUP("other",bug_conf_sheet!$A:$H,5,FALSE))</f>
        <v>0</v>
      </c>
      <c r="Q122" s="31">
        <f>IFERROR(VLOOKUP($D122,bug_conf_sheet!$A:$H,6,FALSE),VLOOKUP("other",bug_conf_sheet!$A:$H,6,FALSE))</f>
        <v>0</v>
      </c>
      <c r="R122" s="31">
        <f>IFERROR(VLOOKUP($D122,bug_conf_sheet!$A:$H,7,FALSE),VLOOKUP("other",bug_conf_sheet!$A:$H,7,FALSE))</f>
        <v>0</v>
      </c>
      <c r="S122" s="31">
        <f>IFERROR(VLOOKUP($D122,bug_conf_sheet!$A:$H,8,FALSE),VLOOKUP("other",bug_conf_sheet!$A:$H,8,FALSE))</f>
        <v>1</v>
      </c>
    </row>
    <row r="123" spans="1:19" ht="21" customHeight="1">
      <c r="A123" s="2">
        <f>input_4!A$2</f>
        <v>3124</v>
      </c>
      <c r="B123" s="7" t="str">
        <f t="shared" si="4"/>
        <v>Premium3</v>
      </c>
      <c r="C123" s="7" t="str">
        <f t="shared" si="5"/>
        <v>Premium</v>
      </c>
      <c r="D123" s="5">
        <v>247</v>
      </c>
      <c r="E123" s="7" t="str">
        <f>VLOOKUP(D123,[1]characters!$A:$C,3,FALSE)</f>
        <v>ミカエル</v>
      </c>
      <c r="F123" s="7" t="str">
        <f>VLOOKUP(D123,[1]characters!$A:$J,10,FALSE)</f>
        <v>PremiumS</v>
      </c>
      <c r="G123" s="7">
        <f>VLOOKUP(D123,[1]characters!$A:$I,9,FALSE)</f>
        <v>3</v>
      </c>
      <c r="H123" s="7" t="str">
        <f>VLOOKUP(D123,[1]characters!$A:$H,8,FALSE)</f>
        <v>yellow</v>
      </c>
      <c r="I123" s="7" t="str">
        <f>VLOOKUP(D123,[1]characters!$A:$K,11,FALSE)</f>
        <v>attack</v>
      </c>
      <c r="J123" s="7" t="str">
        <f>VLOOKUP(D123,[1]characters!$A:$M,13,FALSE)</f>
        <v>machine</v>
      </c>
      <c r="K123" s="7" t="str">
        <f>VLOOKUP(D123,[1]characters!$A:$G,7,FALSE)</f>
        <v>女性</v>
      </c>
      <c r="L123" s="66">
        <f>IFERROR(VLOOKUP(D123,input_4!L:R,7,FALSE),VLOOKUP(tables_4!B123,input_4!A:H,8,FALSE))</f>
        <v>70200</v>
      </c>
      <c r="M123" s="67">
        <f t="shared" si="3"/>
        <v>6.7567567567567571E-3</v>
      </c>
      <c r="N123" s="31">
        <f>IFERROR(VLOOKUP($D123,bug_conf_sheet!$A:$H,3,FALSE),VLOOKUP("other",bug_conf_sheet!$A:$H,3,FALSE))</f>
        <v>1</v>
      </c>
      <c r="O123" s="31">
        <f>IFERROR(VLOOKUP($D123,bug_conf_sheet!$A:$H,4,FALSE),VLOOKUP("other",bug_conf_sheet!$A:$H,4,FALSE))</f>
        <v>0</v>
      </c>
      <c r="P123" s="31">
        <f>IFERROR(VLOOKUP($D123,bug_conf_sheet!$A:$H,5,FALSE),VLOOKUP("other",bug_conf_sheet!$A:$H,5,FALSE))</f>
        <v>0</v>
      </c>
      <c r="Q123" s="31">
        <f>IFERROR(VLOOKUP($D123,bug_conf_sheet!$A:$H,6,FALSE),VLOOKUP("other",bug_conf_sheet!$A:$H,6,FALSE))</f>
        <v>0</v>
      </c>
      <c r="R123" s="31">
        <f>IFERROR(VLOOKUP($D123,bug_conf_sheet!$A:$H,7,FALSE),VLOOKUP("other",bug_conf_sheet!$A:$H,7,FALSE))</f>
        <v>0</v>
      </c>
      <c r="S123" s="31">
        <f>IFERROR(VLOOKUP($D123,bug_conf_sheet!$A:$H,8,FALSE),VLOOKUP("other",bug_conf_sheet!$A:$H,8,FALSE))</f>
        <v>1</v>
      </c>
    </row>
    <row r="124" spans="1:19" ht="21" customHeight="1">
      <c r="A124" s="2">
        <f>input_4!A$2</f>
        <v>3124</v>
      </c>
      <c r="B124" s="7" t="str">
        <f t="shared" si="4"/>
        <v>Premium4</v>
      </c>
      <c r="C124" s="7" t="str">
        <f t="shared" si="5"/>
        <v>Premium</v>
      </c>
      <c r="D124" s="5">
        <v>248</v>
      </c>
      <c r="E124" s="7" t="str">
        <f>VLOOKUP(D124,[1]characters!$A:$C,3,FALSE)</f>
        <v>彩電の天使 ミカエル</v>
      </c>
      <c r="F124" s="7" t="str">
        <f>VLOOKUP(D124,[1]characters!$A:$J,10,FALSE)</f>
        <v>PremiumS</v>
      </c>
      <c r="G124" s="7">
        <f>VLOOKUP(D124,[1]characters!$A:$I,9,FALSE)</f>
        <v>4</v>
      </c>
      <c r="H124" s="7" t="str">
        <f>VLOOKUP(D124,[1]characters!$A:$H,8,FALSE)</f>
        <v>yellow</v>
      </c>
      <c r="I124" s="7" t="str">
        <f>VLOOKUP(D124,[1]characters!$A:$K,11,FALSE)</f>
        <v>attack</v>
      </c>
      <c r="J124" s="7" t="str">
        <f>VLOOKUP(D124,[1]characters!$A:$M,13,FALSE)</f>
        <v>machine</v>
      </c>
      <c r="K124" s="7" t="str">
        <f>VLOOKUP(D124,[1]characters!$A:$G,7,FALSE)</f>
        <v>女性</v>
      </c>
      <c r="L124" s="66">
        <f>IFERROR(VLOOKUP(D124,input_4!L:R,7,FALSE),VLOOKUP(tables_4!B124,input_4!A:H,8,FALSE))</f>
        <v>60021</v>
      </c>
      <c r="M124" s="67">
        <f t="shared" si="3"/>
        <v>5.777027027027027E-3</v>
      </c>
      <c r="N124" s="31">
        <f>IFERROR(VLOOKUP($D124,bug_conf_sheet!$A:$H,3,FALSE),VLOOKUP("other",bug_conf_sheet!$A:$H,3,FALSE))</f>
        <v>1</v>
      </c>
      <c r="O124" s="31">
        <f>IFERROR(VLOOKUP($D124,bug_conf_sheet!$A:$H,4,FALSE),VLOOKUP("other",bug_conf_sheet!$A:$H,4,FALSE))</f>
        <v>0</v>
      </c>
      <c r="P124" s="31">
        <f>IFERROR(VLOOKUP($D124,bug_conf_sheet!$A:$H,5,FALSE),VLOOKUP("other",bug_conf_sheet!$A:$H,5,FALSE))</f>
        <v>0</v>
      </c>
      <c r="Q124" s="31">
        <f>IFERROR(VLOOKUP($D124,bug_conf_sheet!$A:$H,6,FALSE),VLOOKUP("other",bug_conf_sheet!$A:$H,6,FALSE))</f>
        <v>0</v>
      </c>
      <c r="R124" s="31">
        <f>IFERROR(VLOOKUP($D124,bug_conf_sheet!$A:$H,7,FALSE),VLOOKUP("other",bug_conf_sheet!$A:$H,7,FALSE))</f>
        <v>0</v>
      </c>
      <c r="S124" s="31">
        <f>IFERROR(VLOOKUP($D124,bug_conf_sheet!$A:$H,8,FALSE),VLOOKUP("other",bug_conf_sheet!$A:$H,8,FALSE))</f>
        <v>1</v>
      </c>
    </row>
    <row r="125" spans="1:19" ht="21" customHeight="1">
      <c r="A125" s="2">
        <f>input_4!A$2</f>
        <v>3124</v>
      </c>
      <c r="B125" s="7" t="str">
        <f t="shared" si="4"/>
        <v>Premium5</v>
      </c>
      <c r="C125" s="7" t="str">
        <f t="shared" si="5"/>
        <v>Premium</v>
      </c>
      <c r="D125" s="6">
        <v>249</v>
      </c>
      <c r="E125" s="7" t="str">
        <f>VLOOKUP(D125,[1]characters!$A:$C,3,FALSE)</f>
        <v>雷電の天使 ミカエル・ゲイナー</v>
      </c>
      <c r="F125" s="7" t="str">
        <f>VLOOKUP(D125,[1]characters!$A:$J,10,FALSE)</f>
        <v>PremiumS</v>
      </c>
      <c r="G125" s="7">
        <f>VLOOKUP(D125,[1]characters!$A:$I,9,FALSE)</f>
        <v>5</v>
      </c>
      <c r="H125" s="7" t="str">
        <f>VLOOKUP(D125,[1]characters!$A:$H,8,FALSE)</f>
        <v>yellow</v>
      </c>
      <c r="I125" s="7" t="str">
        <f>VLOOKUP(D125,[1]characters!$A:$K,11,FALSE)</f>
        <v>attack</v>
      </c>
      <c r="J125" s="7" t="str">
        <f>VLOOKUP(D125,[1]characters!$A:$M,13,FALSE)</f>
        <v>machine</v>
      </c>
      <c r="K125" s="7" t="str">
        <f>VLOOKUP(D125,[1]characters!$A:$G,7,FALSE)</f>
        <v>女性</v>
      </c>
      <c r="L125" s="66">
        <f>IFERROR(VLOOKUP(D125,input_4!L:R,7,FALSE),VLOOKUP(tables_4!B125,input_4!A:H,8,FALSE))</f>
        <v>9139</v>
      </c>
      <c r="M125" s="67">
        <f t="shared" si="3"/>
        <v>8.7962962962962962E-4</v>
      </c>
      <c r="N125" s="31">
        <f>IFERROR(VLOOKUP($D125,bug_conf_sheet!$A:$H,3,FALSE),VLOOKUP("other",bug_conf_sheet!$A:$H,3,FALSE))</f>
        <v>1</v>
      </c>
      <c r="O125" s="31">
        <f>IFERROR(VLOOKUP($D125,bug_conf_sheet!$A:$H,4,FALSE),VLOOKUP("other",bug_conf_sheet!$A:$H,4,FALSE))</f>
        <v>0</v>
      </c>
      <c r="P125" s="31">
        <f>IFERROR(VLOOKUP($D125,bug_conf_sheet!$A:$H,5,FALSE),VLOOKUP("other",bug_conf_sheet!$A:$H,5,FALSE))</f>
        <v>0</v>
      </c>
      <c r="Q125" s="31">
        <f>IFERROR(VLOOKUP($D125,bug_conf_sheet!$A:$H,6,FALSE),VLOOKUP("other",bug_conf_sheet!$A:$H,6,FALSE))</f>
        <v>0</v>
      </c>
      <c r="R125" s="31">
        <f>IFERROR(VLOOKUP($D125,bug_conf_sheet!$A:$H,7,FALSE),VLOOKUP("other",bug_conf_sheet!$A:$H,7,FALSE))</f>
        <v>0</v>
      </c>
      <c r="S125" s="31">
        <f>IFERROR(VLOOKUP($D125,bug_conf_sheet!$A:$H,8,FALSE),VLOOKUP("other",bug_conf_sheet!$A:$H,8,FALSE))</f>
        <v>1</v>
      </c>
    </row>
    <row r="126" spans="1:19" ht="21" customHeight="1">
      <c r="A126" s="2">
        <f>input_4!A$2</f>
        <v>3124</v>
      </c>
      <c r="B126" s="7" t="str">
        <f t="shared" si="4"/>
        <v>Premium3</v>
      </c>
      <c r="C126" s="7" t="str">
        <f t="shared" si="5"/>
        <v>Premium</v>
      </c>
      <c r="D126" s="6">
        <v>250</v>
      </c>
      <c r="E126" s="7" t="str">
        <f>VLOOKUP(D126,[1]characters!$A:$C,3,FALSE)</f>
        <v>マンモン</v>
      </c>
      <c r="F126" s="7" t="str">
        <f>VLOOKUP(D126,[1]characters!$A:$J,10,FALSE)</f>
        <v>PremiumS</v>
      </c>
      <c r="G126" s="7">
        <f>VLOOKUP(D126,[1]characters!$A:$I,9,FALSE)</f>
        <v>3</v>
      </c>
      <c r="H126" s="7" t="str">
        <f>VLOOKUP(D126,[1]characters!$A:$H,8,FALSE)</f>
        <v>red</v>
      </c>
      <c r="I126" s="7" t="str">
        <f>VLOOKUP(D126,[1]characters!$A:$K,11,FALSE)</f>
        <v>balance</v>
      </c>
      <c r="J126" s="7" t="str">
        <f>VLOOKUP(D126,[1]characters!$A:$M,13,FALSE)</f>
        <v>god</v>
      </c>
      <c r="K126" s="7" t="str">
        <f>VLOOKUP(D126,[1]characters!$A:$G,7,FALSE)</f>
        <v>女性</v>
      </c>
      <c r="L126" s="66">
        <f>IFERROR(VLOOKUP(D126,input_4!L:R,7,FALSE),VLOOKUP(tables_4!B126,input_4!A:H,8,FALSE))</f>
        <v>70200</v>
      </c>
      <c r="M126" s="67">
        <f t="shared" si="3"/>
        <v>6.7567567567567571E-3</v>
      </c>
      <c r="N126" s="31">
        <f>IFERROR(VLOOKUP($D126,bug_conf_sheet!$A:$H,3,FALSE),VLOOKUP("other",bug_conf_sheet!$A:$H,3,FALSE))</f>
        <v>1</v>
      </c>
      <c r="O126" s="31">
        <f>IFERROR(VLOOKUP($D126,bug_conf_sheet!$A:$H,4,FALSE),VLOOKUP("other",bug_conf_sheet!$A:$H,4,FALSE))</f>
        <v>0</v>
      </c>
      <c r="P126" s="31">
        <f>IFERROR(VLOOKUP($D126,bug_conf_sheet!$A:$H,5,FALSE),VLOOKUP("other",bug_conf_sheet!$A:$H,5,FALSE))</f>
        <v>0</v>
      </c>
      <c r="Q126" s="31">
        <f>IFERROR(VLOOKUP($D126,bug_conf_sheet!$A:$H,6,FALSE),VLOOKUP("other",bug_conf_sheet!$A:$H,6,FALSE))</f>
        <v>0</v>
      </c>
      <c r="R126" s="31">
        <f>IFERROR(VLOOKUP($D126,bug_conf_sheet!$A:$H,7,FALSE),VLOOKUP("other",bug_conf_sheet!$A:$H,7,FALSE))</f>
        <v>0</v>
      </c>
      <c r="S126" s="31">
        <f>IFERROR(VLOOKUP($D126,bug_conf_sheet!$A:$H,8,FALSE),VLOOKUP("other",bug_conf_sheet!$A:$H,8,FALSE))</f>
        <v>1</v>
      </c>
    </row>
    <row r="127" spans="1:19" ht="21" customHeight="1">
      <c r="A127" s="2">
        <f>input_4!A$2</f>
        <v>3124</v>
      </c>
      <c r="B127" s="7" t="str">
        <f t="shared" si="4"/>
        <v>Premium4</v>
      </c>
      <c r="C127" s="7" t="str">
        <f t="shared" si="5"/>
        <v>Premium</v>
      </c>
      <c r="D127" s="6">
        <v>251</v>
      </c>
      <c r="E127" s="7" t="str">
        <f>VLOOKUP(D127,[1]characters!$A:$C,3,FALSE)</f>
        <v>強欲 マンモン</v>
      </c>
      <c r="F127" s="7" t="str">
        <f>VLOOKUP(D127,[1]characters!$A:$J,10,FALSE)</f>
        <v>PremiumS</v>
      </c>
      <c r="G127" s="7">
        <f>VLOOKUP(D127,[1]characters!$A:$I,9,FALSE)</f>
        <v>4</v>
      </c>
      <c r="H127" s="7" t="str">
        <f>VLOOKUP(D127,[1]characters!$A:$H,8,FALSE)</f>
        <v>red</v>
      </c>
      <c r="I127" s="7" t="str">
        <f>VLOOKUP(D127,[1]characters!$A:$K,11,FALSE)</f>
        <v>balance</v>
      </c>
      <c r="J127" s="7" t="str">
        <f>VLOOKUP(D127,[1]characters!$A:$M,13,FALSE)</f>
        <v>god</v>
      </c>
      <c r="K127" s="7" t="str">
        <f>VLOOKUP(D127,[1]characters!$A:$G,7,FALSE)</f>
        <v>女性</v>
      </c>
      <c r="L127" s="66">
        <f>IFERROR(VLOOKUP(D127,input_4!L:R,7,FALSE),VLOOKUP(tables_4!B127,input_4!A:H,8,FALSE))</f>
        <v>60021</v>
      </c>
      <c r="M127" s="67">
        <f t="shared" si="3"/>
        <v>5.777027027027027E-3</v>
      </c>
      <c r="N127" s="31">
        <f>IFERROR(VLOOKUP($D127,bug_conf_sheet!$A:$H,3,FALSE),VLOOKUP("other",bug_conf_sheet!$A:$H,3,FALSE))</f>
        <v>1</v>
      </c>
      <c r="O127" s="31">
        <f>IFERROR(VLOOKUP($D127,bug_conf_sheet!$A:$H,4,FALSE),VLOOKUP("other",bug_conf_sheet!$A:$H,4,FALSE))</f>
        <v>0</v>
      </c>
      <c r="P127" s="31">
        <f>IFERROR(VLOOKUP($D127,bug_conf_sheet!$A:$H,5,FALSE),VLOOKUP("other",bug_conf_sheet!$A:$H,5,FALSE))</f>
        <v>0</v>
      </c>
      <c r="Q127" s="31">
        <f>IFERROR(VLOOKUP($D127,bug_conf_sheet!$A:$H,6,FALSE),VLOOKUP("other",bug_conf_sheet!$A:$H,6,FALSE))</f>
        <v>0</v>
      </c>
      <c r="R127" s="31">
        <f>IFERROR(VLOOKUP($D127,bug_conf_sheet!$A:$H,7,FALSE),VLOOKUP("other",bug_conf_sheet!$A:$H,7,FALSE))</f>
        <v>0</v>
      </c>
      <c r="S127" s="31">
        <f>IFERROR(VLOOKUP($D127,bug_conf_sheet!$A:$H,8,FALSE),VLOOKUP("other",bug_conf_sheet!$A:$H,8,FALSE))</f>
        <v>1</v>
      </c>
    </row>
    <row r="128" spans="1:19" ht="21" customHeight="1">
      <c r="A128" s="2">
        <f>input_4!A$2</f>
        <v>3124</v>
      </c>
      <c r="B128" s="7" t="str">
        <f t="shared" si="4"/>
        <v>Premium5</v>
      </c>
      <c r="C128" s="7" t="str">
        <f t="shared" si="5"/>
        <v>Premium</v>
      </c>
      <c r="D128" s="6">
        <v>252</v>
      </c>
      <c r="E128" s="7" t="str">
        <f>VLOOKUP(D128,[1]characters!$A:$C,3,FALSE)</f>
        <v>強欲の沸騰 マンモン</v>
      </c>
      <c r="F128" s="7" t="str">
        <f>VLOOKUP(D128,[1]characters!$A:$J,10,FALSE)</f>
        <v>PremiumS</v>
      </c>
      <c r="G128" s="7">
        <f>VLOOKUP(D128,[1]characters!$A:$I,9,FALSE)</f>
        <v>5</v>
      </c>
      <c r="H128" s="7" t="str">
        <f>VLOOKUP(D128,[1]characters!$A:$H,8,FALSE)</f>
        <v>red</v>
      </c>
      <c r="I128" s="7" t="str">
        <f>VLOOKUP(D128,[1]characters!$A:$K,11,FALSE)</f>
        <v>balance</v>
      </c>
      <c r="J128" s="7" t="str">
        <f>VLOOKUP(D128,[1]characters!$A:$M,13,FALSE)</f>
        <v>god</v>
      </c>
      <c r="K128" s="7" t="str">
        <f>VLOOKUP(D128,[1]characters!$A:$G,7,FALSE)</f>
        <v>女性</v>
      </c>
      <c r="L128" s="66">
        <f>IFERROR(VLOOKUP(D128,input_4!L:R,7,FALSE),VLOOKUP(tables_4!B128,input_4!A:H,8,FALSE))</f>
        <v>9139</v>
      </c>
      <c r="M128" s="67">
        <f t="shared" si="3"/>
        <v>8.7962962962962962E-4</v>
      </c>
      <c r="N128" s="31">
        <f>IFERROR(VLOOKUP($D128,bug_conf_sheet!$A:$H,3,FALSE),VLOOKUP("other",bug_conf_sheet!$A:$H,3,FALSE))</f>
        <v>1</v>
      </c>
      <c r="O128" s="31">
        <f>IFERROR(VLOOKUP($D128,bug_conf_sheet!$A:$H,4,FALSE),VLOOKUP("other",bug_conf_sheet!$A:$H,4,FALSE))</f>
        <v>0</v>
      </c>
      <c r="P128" s="31">
        <f>IFERROR(VLOOKUP($D128,bug_conf_sheet!$A:$H,5,FALSE),VLOOKUP("other",bug_conf_sheet!$A:$H,5,FALSE))</f>
        <v>0</v>
      </c>
      <c r="Q128" s="31">
        <f>IFERROR(VLOOKUP($D128,bug_conf_sheet!$A:$H,6,FALSE),VLOOKUP("other",bug_conf_sheet!$A:$H,6,FALSE))</f>
        <v>0</v>
      </c>
      <c r="R128" s="31">
        <f>IFERROR(VLOOKUP($D128,bug_conf_sheet!$A:$H,7,FALSE),VLOOKUP("other",bug_conf_sheet!$A:$H,7,FALSE))</f>
        <v>0</v>
      </c>
      <c r="S128" s="31">
        <f>IFERROR(VLOOKUP($D128,bug_conf_sheet!$A:$H,8,FALSE),VLOOKUP("other",bug_conf_sheet!$A:$H,8,FALSE))</f>
        <v>1</v>
      </c>
    </row>
    <row r="129" spans="1:19" ht="21" customHeight="1">
      <c r="A129" s="2">
        <f>input_4!A$2</f>
        <v>3124</v>
      </c>
      <c r="B129" s="7" t="str">
        <f t="shared" si="4"/>
        <v>Premium3</v>
      </c>
      <c r="C129" s="7" t="str">
        <f t="shared" si="5"/>
        <v>Premium</v>
      </c>
      <c r="D129" s="6">
        <v>253</v>
      </c>
      <c r="E129" s="7" t="str">
        <f>VLOOKUP(D129,[1]characters!$A:$C,3,FALSE)</f>
        <v>ベルフェゴール</v>
      </c>
      <c r="F129" s="7" t="str">
        <f>VLOOKUP(D129,[1]characters!$A:$J,10,FALSE)</f>
        <v>PremiumS</v>
      </c>
      <c r="G129" s="7">
        <f>VLOOKUP(D129,[1]characters!$A:$I,9,FALSE)</f>
        <v>3</v>
      </c>
      <c r="H129" s="7" t="str">
        <f>VLOOKUP(D129,[1]characters!$A:$H,8,FALSE)</f>
        <v>green</v>
      </c>
      <c r="I129" s="7" t="str">
        <f>VLOOKUP(D129,[1]characters!$A:$K,11,FALSE)</f>
        <v>technical</v>
      </c>
      <c r="J129" s="7" t="str">
        <f>VLOOKUP(D129,[1]characters!$A:$M,13,FALSE)</f>
        <v>god</v>
      </c>
      <c r="K129" s="7" t="str">
        <f>VLOOKUP(D129,[1]characters!$A:$G,7,FALSE)</f>
        <v>女性</v>
      </c>
      <c r="L129" s="66">
        <f>IFERROR(VLOOKUP(D129,input_4!L:R,7,FALSE),VLOOKUP(tables_4!B129,input_4!A:H,8,FALSE))</f>
        <v>70200</v>
      </c>
      <c r="M129" s="67">
        <f t="shared" si="3"/>
        <v>6.7567567567567571E-3</v>
      </c>
      <c r="N129" s="31">
        <f>IFERROR(VLOOKUP($D129,bug_conf_sheet!$A:$H,3,FALSE),VLOOKUP("other",bug_conf_sheet!$A:$H,3,FALSE))</f>
        <v>1</v>
      </c>
      <c r="O129" s="31">
        <f>IFERROR(VLOOKUP($D129,bug_conf_sheet!$A:$H,4,FALSE),VLOOKUP("other",bug_conf_sheet!$A:$H,4,FALSE))</f>
        <v>0</v>
      </c>
      <c r="P129" s="31">
        <f>IFERROR(VLOOKUP($D129,bug_conf_sheet!$A:$H,5,FALSE),VLOOKUP("other",bug_conf_sheet!$A:$H,5,FALSE))</f>
        <v>0</v>
      </c>
      <c r="Q129" s="31">
        <f>IFERROR(VLOOKUP($D129,bug_conf_sheet!$A:$H,6,FALSE),VLOOKUP("other",bug_conf_sheet!$A:$H,6,FALSE))</f>
        <v>0</v>
      </c>
      <c r="R129" s="31">
        <f>IFERROR(VLOOKUP($D129,bug_conf_sheet!$A:$H,7,FALSE),VLOOKUP("other",bug_conf_sheet!$A:$H,7,FALSE))</f>
        <v>0</v>
      </c>
      <c r="S129" s="31">
        <f>IFERROR(VLOOKUP($D129,bug_conf_sheet!$A:$H,8,FALSE),VLOOKUP("other",bug_conf_sheet!$A:$H,8,FALSE))</f>
        <v>1</v>
      </c>
    </row>
    <row r="130" spans="1:19" ht="21" customHeight="1">
      <c r="A130" s="2">
        <f>input_4!A$2</f>
        <v>3124</v>
      </c>
      <c r="B130" s="7" t="str">
        <f t="shared" si="4"/>
        <v>Premium4</v>
      </c>
      <c r="C130" s="7" t="str">
        <f t="shared" si="5"/>
        <v>Premium</v>
      </c>
      <c r="D130" s="6">
        <v>254</v>
      </c>
      <c r="E130" s="7" t="str">
        <f>VLOOKUP(D130,[1]characters!$A:$C,3,FALSE)</f>
        <v>怠惰 ベルフェゴール</v>
      </c>
      <c r="F130" s="7" t="str">
        <f>VLOOKUP(D130,[1]characters!$A:$J,10,FALSE)</f>
        <v>PremiumS</v>
      </c>
      <c r="G130" s="7">
        <f>VLOOKUP(D130,[1]characters!$A:$I,9,FALSE)</f>
        <v>4</v>
      </c>
      <c r="H130" s="7" t="str">
        <f>VLOOKUP(D130,[1]characters!$A:$H,8,FALSE)</f>
        <v>green</v>
      </c>
      <c r="I130" s="7" t="str">
        <f>VLOOKUP(D130,[1]characters!$A:$K,11,FALSE)</f>
        <v>technical</v>
      </c>
      <c r="J130" s="7" t="str">
        <f>VLOOKUP(D130,[1]characters!$A:$M,13,FALSE)</f>
        <v>god</v>
      </c>
      <c r="K130" s="7" t="str">
        <f>VLOOKUP(D130,[1]characters!$A:$G,7,FALSE)</f>
        <v>女性</v>
      </c>
      <c r="L130" s="66">
        <f>IFERROR(VLOOKUP(D130,input_4!L:R,7,FALSE),VLOOKUP(tables_4!B130,input_4!A:H,8,FALSE))</f>
        <v>60021</v>
      </c>
      <c r="M130" s="67">
        <f t="shared" ref="M130:M193" si="6">L130/SUM(L:L)</f>
        <v>5.777027027027027E-3</v>
      </c>
      <c r="N130" s="31">
        <f>IFERROR(VLOOKUP($D130,bug_conf_sheet!$A:$H,3,FALSE),VLOOKUP("other",bug_conf_sheet!$A:$H,3,FALSE))</f>
        <v>1</v>
      </c>
      <c r="O130" s="31">
        <f>IFERROR(VLOOKUP($D130,bug_conf_sheet!$A:$H,4,FALSE),VLOOKUP("other",bug_conf_sheet!$A:$H,4,FALSE))</f>
        <v>0</v>
      </c>
      <c r="P130" s="31">
        <f>IFERROR(VLOOKUP($D130,bug_conf_sheet!$A:$H,5,FALSE),VLOOKUP("other",bug_conf_sheet!$A:$H,5,FALSE))</f>
        <v>0</v>
      </c>
      <c r="Q130" s="31">
        <f>IFERROR(VLOOKUP($D130,bug_conf_sheet!$A:$H,6,FALSE),VLOOKUP("other",bug_conf_sheet!$A:$H,6,FALSE))</f>
        <v>0</v>
      </c>
      <c r="R130" s="31">
        <f>IFERROR(VLOOKUP($D130,bug_conf_sheet!$A:$H,7,FALSE),VLOOKUP("other",bug_conf_sheet!$A:$H,7,FALSE))</f>
        <v>0</v>
      </c>
      <c r="S130" s="31">
        <f>IFERROR(VLOOKUP($D130,bug_conf_sheet!$A:$H,8,FALSE),VLOOKUP("other",bug_conf_sheet!$A:$H,8,FALSE))</f>
        <v>1</v>
      </c>
    </row>
    <row r="131" spans="1:19" ht="21" customHeight="1">
      <c r="A131" s="2">
        <f>input_4!A$2</f>
        <v>3124</v>
      </c>
      <c r="B131" s="7" t="str">
        <f t="shared" ref="B131:B194" si="7">C131&amp;G131</f>
        <v>Premium5</v>
      </c>
      <c r="C131" s="7" t="str">
        <f t="shared" ref="C131:C194" si="8">IF(F131="PremiumSS",F131,IF(F131="PremiumSSS",F131,"Premium"))</f>
        <v>Premium</v>
      </c>
      <c r="D131" s="6">
        <v>255</v>
      </c>
      <c r="E131" s="7" t="str">
        <f>VLOOKUP(D131,[1]characters!$A:$C,3,FALSE)</f>
        <v>怠惰の頂点 ベルフェゴール</v>
      </c>
      <c r="F131" s="7" t="str">
        <f>VLOOKUP(D131,[1]characters!$A:$J,10,FALSE)</f>
        <v>PremiumS</v>
      </c>
      <c r="G131" s="7">
        <f>VLOOKUP(D131,[1]characters!$A:$I,9,FALSE)</f>
        <v>5</v>
      </c>
      <c r="H131" s="7" t="str">
        <f>VLOOKUP(D131,[1]characters!$A:$H,8,FALSE)</f>
        <v>green</v>
      </c>
      <c r="I131" s="7" t="str">
        <f>VLOOKUP(D131,[1]characters!$A:$K,11,FALSE)</f>
        <v>technical</v>
      </c>
      <c r="J131" s="7" t="str">
        <f>VLOOKUP(D131,[1]characters!$A:$M,13,FALSE)</f>
        <v>god</v>
      </c>
      <c r="K131" s="7" t="str">
        <f>VLOOKUP(D131,[1]characters!$A:$G,7,FALSE)</f>
        <v>女性</v>
      </c>
      <c r="L131" s="66">
        <f>IFERROR(VLOOKUP(D131,input_4!L:R,7,FALSE),VLOOKUP(tables_4!B131,input_4!A:H,8,FALSE))</f>
        <v>9139</v>
      </c>
      <c r="M131" s="67">
        <f t="shared" si="6"/>
        <v>8.7962962962962962E-4</v>
      </c>
      <c r="N131" s="31">
        <f>IFERROR(VLOOKUP($D131,bug_conf_sheet!$A:$H,3,FALSE),VLOOKUP("other",bug_conf_sheet!$A:$H,3,FALSE))</f>
        <v>1</v>
      </c>
      <c r="O131" s="31">
        <f>IFERROR(VLOOKUP($D131,bug_conf_sheet!$A:$H,4,FALSE),VLOOKUP("other",bug_conf_sheet!$A:$H,4,FALSE))</f>
        <v>0</v>
      </c>
      <c r="P131" s="31">
        <f>IFERROR(VLOOKUP($D131,bug_conf_sheet!$A:$H,5,FALSE),VLOOKUP("other",bug_conf_sheet!$A:$H,5,FALSE))</f>
        <v>0</v>
      </c>
      <c r="Q131" s="31">
        <f>IFERROR(VLOOKUP($D131,bug_conf_sheet!$A:$H,6,FALSE),VLOOKUP("other",bug_conf_sheet!$A:$H,6,FALSE))</f>
        <v>0</v>
      </c>
      <c r="R131" s="31">
        <f>IFERROR(VLOOKUP($D131,bug_conf_sheet!$A:$H,7,FALSE),VLOOKUP("other",bug_conf_sheet!$A:$H,7,FALSE))</f>
        <v>0</v>
      </c>
      <c r="S131" s="31">
        <f>IFERROR(VLOOKUP($D131,bug_conf_sheet!$A:$H,8,FALSE),VLOOKUP("other",bug_conf_sheet!$A:$H,8,FALSE))</f>
        <v>1</v>
      </c>
    </row>
    <row r="132" spans="1:19" ht="21" customHeight="1">
      <c r="A132" s="2">
        <f>input_4!A$2</f>
        <v>3124</v>
      </c>
      <c r="B132" s="7" t="str">
        <f t="shared" si="7"/>
        <v>Premium3</v>
      </c>
      <c r="C132" s="7" t="str">
        <f t="shared" si="8"/>
        <v>Premium</v>
      </c>
      <c r="D132" s="6">
        <v>256</v>
      </c>
      <c r="E132" s="7" t="str">
        <f>VLOOKUP(D132,[1]characters!$A:$C,3,FALSE)</f>
        <v>アスモデウス</v>
      </c>
      <c r="F132" s="7" t="str">
        <f>VLOOKUP(D132,[1]characters!$A:$J,10,FALSE)</f>
        <v>PremiumS</v>
      </c>
      <c r="G132" s="7">
        <f>VLOOKUP(D132,[1]characters!$A:$I,9,FALSE)</f>
        <v>3</v>
      </c>
      <c r="H132" s="7" t="str">
        <f>VLOOKUP(D132,[1]characters!$A:$H,8,FALSE)</f>
        <v>blue</v>
      </c>
      <c r="I132" s="7" t="str">
        <f>VLOOKUP(D132,[1]characters!$A:$K,11,FALSE)</f>
        <v>attack</v>
      </c>
      <c r="J132" s="7" t="str">
        <f>VLOOKUP(D132,[1]characters!$A:$M,13,FALSE)</f>
        <v>god</v>
      </c>
      <c r="K132" s="7" t="str">
        <f>VLOOKUP(D132,[1]characters!$A:$G,7,FALSE)</f>
        <v>女性</v>
      </c>
      <c r="L132" s="66">
        <f>IFERROR(VLOOKUP(D132,input_4!L:R,7,FALSE),VLOOKUP(tables_4!B132,input_4!A:H,8,FALSE))</f>
        <v>70200</v>
      </c>
      <c r="M132" s="67">
        <f t="shared" si="6"/>
        <v>6.7567567567567571E-3</v>
      </c>
      <c r="N132" s="31">
        <f>IFERROR(VLOOKUP($D132,bug_conf_sheet!$A:$H,3,FALSE),VLOOKUP("other",bug_conf_sheet!$A:$H,3,FALSE))</f>
        <v>1</v>
      </c>
      <c r="O132" s="31">
        <f>IFERROR(VLOOKUP($D132,bug_conf_sheet!$A:$H,4,FALSE),VLOOKUP("other",bug_conf_sheet!$A:$H,4,FALSE))</f>
        <v>0</v>
      </c>
      <c r="P132" s="31">
        <f>IFERROR(VLOOKUP($D132,bug_conf_sheet!$A:$H,5,FALSE),VLOOKUP("other",bug_conf_sheet!$A:$H,5,FALSE))</f>
        <v>0</v>
      </c>
      <c r="Q132" s="31">
        <f>IFERROR(VLOOKUP($D132,bug_conf_sheet!$A:$H,6,FALSE),VLOOKUP("other",bug_conf_sheet!$A:$H,6,FALSE))</f>
        <v>0</v>
      </c>
      <c r="R132" s="31">
        <f>IFERROR(VLOOKUP($D132,bug_conf_sheet!$A:$H,7,FALSE),VLOOKUP("other",bug_conf_sheet!$A:$H,7,FALSE))</f>
        <v>0</v>
      </c>
      <c r="S132" s="31">
        <f>IFERROR(VLOOKUP($D132,bug_conf_sheet!$A:$H,8,FALSE),VLOOKUP("other",bug_conf_sheet!$A:$H,8,FALSE))</f>
        <v>1</v>
      </c>
    </row>
    <row r="133" spans="1:19" ht="21" customHeight="1">
      <c r="A133" s="2">
        <f>input_4!A$2</f>
        <v>3124</v>
      </c>
      <c r="B133" s="7" t="str">
        <f t="shared" si="7"/>
        <v>Premium4</v>
      </c>
      <c r="C133" s="7" t="str">
        <f t="shared" si="8"/>
        <v>Premium</v>
      </c>
      <c r="D133" s="6">
        <v>257</v>
      </c>
      <c r="E133" s="7" t="str">
        <f>VLOOKUP(D133,[1]characters!$A:$C,3,FALSE)</f>
        <v>色欲 アスモデウス</v>
      </c>
      <c r="F133" s="7" t="str">
        <f>VLOOKUP(D133,[1]characters!$A:$J,10,FALSE)</f>
        <v>PremiumS</v>
      </c>
      <c r="G133" s="7">
        <f>VLOOKUP(D133,[1]characters!$A:$I,9,FALSE)</f>
        <v>4</v>
      </c>
      <c r="H133" s="7" t="str">
        <f>VLOOKUP(D133,[1]characters!$A:$H,8,FALSE)</f>
        <v>blue</v>
      </c>
      <c r="I133" s="7" t="str">
        <f>VLOOKUP(D133,[1]characters!$A:$K,11,FALSE)</f>
        <v>attack</v>
      </c>
      <c r="J133" s="7" t="str">
        <f>VLOOKUP(D133,[1]characters!$A:$M,13,FALSE)</f>
        <v>god</v>
      </c>
      <c r="K133" s="7" t="str">
        <f>VLOOKUP(D133,[1]characters!$A:$G,7,FALSE)</f>
        <v>女性</v>
      </c>
      <c r="L133" s="66">
        <f>IFERROR(VLOOKUP(D133,input_4!L:R,7,FALSE),VLOOKUP(tables_4!B133,input_4!A:H,8,FALSE))</f>
        <v>60021</v>
      </c>
      <c r="M133" s="67">
        <f t="shared" si="6"/>
        <v>5.777027027027027E-3</v>
      </c>
      <c r="N133" s="31">
        <f>IFERROR(VLOOKUP($D133,bug_conf_sheet!$A:$H,3,FALSE),VLOOKUP("other",bug_conf_sheet!$A:$H,3,FALSE))</f>
        <v>1</v>
      </c>
      <c r="O133" s="31">
        <f>IFERROR(VLOOKUP($D133,bug_conf_sheet!$A:$H,4,FALSE),VLOOKUP("other",bug_conf_sheet!$A:$H,4,FALSE))</f>
        <v>0</v>
      </c>
      <c r="P133" s="31">
        <f>IFERROR(VLOOKUP($D133,bug_conf_sheet!$A:$H,5,FALSE),VLOOKUP("other",bug_conf_sheet!$A:$H,5,FALSE))</f>
        <v>0</v>
      </c>
      <c r="Q133" s="31">
        <f>IFERROR(VLOOKUP($D133,bug_conf_sheet!$A:$H,6,FALSE),VLOOKUP("other",bug_conf_sheet!$A:$H,6,FALSE))</f>
        <v>0</v>
      </c>
      <c r="R133" s="31">
        <f>IFERROR(VLOOKUP($D133,bug_conf_sheet!$A:$H,7,FALSE),VLOOKUP("other",bug_conf_sheet!$A:$H,7,FALSE))</f>
        <v>0</v>
      </c>
      <c r="S133" s="31">
        <f>IFERROR(VLOOKUP($D133,bug_conf_sheet!$A:$H,8,FALSE),VLOOKUP("other",bug_conf_sheet!$A:$H,8,FALSE))</f>
        <v>1</v>
      </c>
    </row>
    <row r="134" spans="1:19" ht="21" customHeight="1">
      <c r="A134" s="2">
        <f>input_4!A$2</f>
        <v>3124</v>
      </c>
      <c r="B134" s="7" t="str">
        <f t="shared" si="7"/>
        <v>Premium5</v>
      </c>
      <c r="C134" s="7" t="str">
        <f t="shared" si="8"/>
        <v>Premium</v>
      </c>
      <c r="D134" s="6">
        <v>258</v>
      </c>
      <c r="E134" s="7" t="str">
        <f>VLOOKUP(D134,[1]characters!$A:$C,3,FALSE)</f>
        <v>色欲の源流 アスモデウス</v>
      </c>
      <c r="F134" s="7" t="str">
        <f>VLOOKUP(D134,[1]characters!$A:$J,10,FALSE)</f>
        <v>PremiumS</v>
      </c>
      <c r="G134" s="7">
        <f>VLOOKUP(D134,[1]characters!$A:$I,9,FALSE)</f>
        <v>5</v>
      </c>
      <c r="H134" s="7" t="str">
        <f>VLOOKUP(D134,[1]characters!$A:$H,8,FALSE)</f>
        <v>blue</v>
      </c>
      <c r="I134" s="7" t="str">
        <f>VLOOKUP(D134,[1]characters!$A:$K,11,FALSE)</f>
        <v>attack</v>
      </c>
      <c r="J134" s="7" t="str">
        <f>VLOOKUP(D134,[1]characters!$A:$M,13,FALSE)</f>
        <v>god</v>
      </c>
      <c r="K134" s="7" t="str">
        <f>VLOOKUP(D134,[1]characters!$A:$G,7,FALSE)</f>
        <v>女性</v>
      </c>
      <c r="L134" s="66">
        <f>IFERROR(VLOOKUP(D134,input_4!L:R,7,FALSE),VLOOKUP(tables_4!B134,input_4!A:H,8,FALSE))</f>
        <v>9139</v>
      </c>
      <c r="M134" s="67">
        <f t="shared" si="6"/>
        <v>8.7962962962962962E-4</v>
      </c>
      <c r="N134" s="31">
        <f>IFERROR(VLOOKUP($D134,bug_conf_sheet!$A:$H,3,FALSE),VLOOKUP("other",bug_conf_sheet!$A:$H,3,FALSE))</f>
        <v>1</v>
      </c>
      <c r="O134" s="31">
        <f>IFERROR(VLOOKUP($D134,bug_conf_sheet!$A:$H,4,FALSE),VLOOKUP("other",bug_conf_sheet!$A:$H,4,FALSE))</f>
        <v>0</v>
      </c>
      <c r="P134" s="31">
        <f>IFERROR(VLOOKUP($D134,bug_conf_sheet!$A:$H,5,FALSE),VLOOKUP("other",bug_conf_sheet!$A:$H,5,FALSE))</f>
        <v>0</v>
      </c>
      <c r="Q134" s="31">
        <f>IFERROR(VLOOKUP($D134,bug_conf_sheet!$A:$H,6,FALSE),VLOOKUP("other",bug_conf_sheet!$A:$H,6,FALSE))</f>
        <v>0</v>
      </c>
      <c r="R134" s="31">
        <f>IFERROR(VLOOKUP($D134,bug_conf_sheet!$A:$H,7,FALSE),VLOOKUP("other",bug_conf_sheet!$A:$H,7,FALSE))</f>
        <v>0</v>
      </c>
      <c r="S134" s="31">
        <f>IFERROR(VLOOKUP($D134,bug_conf_sheet!$A:$H,8,FALSE),VLOOKUP("other",bug_conf_sheet!$A:$H,8,FALSE))</f>
        <v>1</v>
      </c>
    </row>
    <row r="135" spans="1:19" ht="21" customHeight="1">
      <c r="A135" s="2">
        <f>input_4!A$2</f>
        <v>3124</v>
      </c>
      <c r="B135" s="7" t="str">
        <f t="shared" si="7"/>
        <v>Premium3</v>
      </c>
      <c r="C135" s="7" t="str">
        <f t="shared" si="8"/>
        <v>Premium</v>
      </c>
      <c r="D135" s="6">
        <v>259</v>
      </c>
      <c r="E135" s="7" t="str">
        <f>VLOOKUP(D135,[1]characters!$A:$C,3,FALSE)</f>
        <v>ウロボロス</v>
      </c>
      <c r="F135" s="7" t="str">
        <f>VLOOKUP(D135,[1]characters!$A:$J,10,FALSE)</f>
        <v>PremiumS</v>
      </c>
      <c r="G135" s="7">
        <f>VLOOKUP(D135,[1]characters!$A:$I,9,FALSE)</f>
        <v>3</v>
      </c>
      <c r="H135" s="7" t="str">
        <f>VLOOKUP(D135,[1]characters!$A:$H,8,FALSE)</f>
        <v>yellow</v>
      </c>
      <c r="I135" s="7" t="str">
        <f>VLOOKUP(D135,[1]characters!$A:$K,11,FALSE)</f>
        <v>balance</v>
      </c>
      <c r="J135" s="7" t="str">
        <f>VLOOKUP(D135,[1]characters!$A:$M,13,FALSE)</f>
        <v>dragon</v>
      </c>
      <c r="K135" s="7" t="str">
        <f>VLOOKUP(D135,[1]characters!$A:$G,7,FALSE)</f>
        <v>女性</v>
      </c>
      <c r="L135" s="66">
        <f>IFERROR(VLOOKUP(D135,input_4!L:R,7,FALSE),VLOOKUP(tables_4!B135,input_4!A:H,8,FALSE))</f>
        <v>70200</v>
      </c>
      <c r="M135" s="67">
        <f t="shared" si="6"/>
        <v>6.7567567567567571E-3</v>
      </c>
      <c r="N135" s="31">
        <f>IFERROR(VLOOKUP($D135,bug_conf_sheet!$A:$H,3,FALSE),VLOOKUP("other",bug_conf_sheet!$A:$H,3,FALSE))</f>
        <v>1</v>
      </c>
      <c r="O135" s="31">
        <f>IFERROR(VLOOKUP($D135,bug_conf_sheet!$A:$H,4,FALSE),VLOOKUP("other",bug_conf_sheet!$A:$H,4,FALSE))</f>
        <v>0</v>
      </c>
      <c r="P135" s="31">
        <f>IFERROR(VLOOKUP($D135,bug_conf_sheet!$A:$H,5,FALSE),VLOOKUP("other",bug_conf_sheet!$A:$H,5,FALSE))</f>
        <v>0</v>
      </c>
      <c r="Q135" s="31">
        <f>IFERROR(VLOOKUP($D135,bug_conf_sheet!$A:$H,6,FALSE),VLOOKUP("other",bug_conf_sheet!$A:$H,6,FALSE))</f>
        <v>0</v>
      </c>
      <c r="R135" s="31">
        <f>IFERROR(VLOOKUP($D135,bug_conf_sheet!$A:$H,7,FALSE),VLOOKUP("other",bug_conf_sheet!$A:$H,7,FALSE))</f>
        <v>0</v>
      </c>
      <c r="S135" s="31">
        <f>IFERROR(VLOOKUP($D135,bug_conf_sheet!$A:$H,8,FALSE),VLOOKUP("other",bug_conf_sheet!$A:$H,8,FALSE))</f>
        <v>1</v>
      </c>
    </row>
    <row r="136" spans="1:19" ht="21" customHeight="1">
      <c r="A136" s="2">
        <f>input_4!A$2</f>
        <v>3124</v>
      </c>
      <c r="B136" s="7" t="str">
        <f t="shared" si="7"/>
        <v>Premium4</v>
      </c>
      <c r="C136" s="7" t="str">
        <f t="shared" si="8"/>
        <v>Premium</v>
      </c>
      <c r="D136" s="8">
        <v>260</v>
      </c>
      <c r="E136" s="7" t="str">
        <f>VLOOKUP(D136,[1]characters!$A:$C,3,FALSE)</f>
        <v>輪廻 ウロボロス</v>
      </c>
      <c r="F136" s="7" t="str">
        <f>VLOOKUP(D136,[1]characters!$A:$J,10,FALSE)</f>
        <v>PremiumS</v>
      </c>
      <c r="G136" s="7">
        <f>VLOOKUP(D136,[1]characters!$A:$I,9,FALSE)</f>
        <v>4</v>
      </c>
      <c r="H136" s="7" t="str">
        <f>VLOOKUP(D136,[1]characters!$A:$H,8,FALSE)</f>
        <v>yellow</v>
      </c>
      <c r="I136" s="7" t="str">
        <f>VLOOKUP(D136,[1]characters!$A:$K,11,FALSE)</f>
        <v>balance</v>
      </c>
      <c r="J136" s="7" t="str">
        <f>VLOOKUP(D136,[1]characters!$A:$M,13,FALSE)</f>
        <v>dragon</v>
      </c>
      <c r="K136" s="7" t="str">
        <f>VLOOKUP(D136,[1]characters!$A:$G,7,FALSE)</f>
        <v>女性</v>
      </c>
      <c r="L136" s="66">
        <f>IFERROR(VLOOKUP(D136,input_4!L:R,7,FALSE),VLOOKUP(tables_4!B136,input_4!A:H,8,FALSE))</f>
        <v>60021</v>
      </c>
      <c r="M136" s="67">
        <f t="shared" si="6"/>
        <v>5.777027027027027E-3</v>
      </c>
      <c r="N136" s="31">
        <f>IFERROR(VLOOKUP($D136,bug_conf_sheet!$A:$H,3,FALSE),VLOOKUP("other",bug_conf_sheet!$A:$H,3,FALSE))</f>
        <v>1</v>
      </c>
      <c r="O136" s="31">
        <f>IFERROR(VLOOKUP($D136,bug_conf_sheet!$A:$H,4,FALSE),VLOOKUP("other",bug_conf_sheet!$A:$H,4,FALSE))</f>
        <v>0</v>
      </c>
      <c r="P136" s="31">
        <f>IFERROR(VLOOKUP($D136,bug_conf_sheet!$A:$H,5,FALSE),VLOOKUP("other",bug_conf_sheet!$A:$H,5,FALSE))</f>
        <v>0</v>
      </c>
      <c r="Q136" s="31">
        <f>IFERROR(VLOOKUP($D136,bug_conf_sheet!$A:$H,6,FALSE),VLOOKUP("other",bug_conf_sheet!$A:$H,6,FALSE))</f>
        <v>0</v>
      </c>
      <c r="R136" s="31">
        <f>IFERROR(VLOOKUP($D136,bug_conf_sheet!$A:$H,7,FALSE),VLOOKUP("other",bug_conf_sheet!$A:$H,7,FALSE))</f>
        <v>0</v>
      </c>
      <c r="S136" s="31">
        <f>IFERROR(VLOOKUP($D136,bug_conf_sheet!$A:$H,8,FALSE),VLOOKUP("other",bug_conf_sheet!$A:$H,8,FALSE))</f>
        <v>1</v>
      </c>
    </row>
    <row r="137" spans="1:19" ht="21" customHeight="1">
      <c r="A137" s="2">
        <f>input_4!A$2</f>
        <v>3124</v>
      </c>
      <c r="B137" s="7" t="str">
        <f t="shared" si="7"/>
        <v>Premium5</v>
      </c>
      <c r="C137" s="7" t="str">
        <f t="shared" si="8"/>
        <v>Premium</v>
      </c>
      <c r="D137" s="8">
        <v>261</v>
      </c>
      <c r="E137" s="7" t="str">
        <f>VLOOKUP(D137,[1]characters!$A:$C,3,FALSE)</f>
        <v>輪廻の蛇龍 ウロボロス</v>
      </c>
      <c r="F137" s="7" t="str">
        <f>VLOOKUP(D137,[1]characters!$A:$J,10,FALSE)</f>
        <v>PremiumS</v>
      </c>
      <c r="G137" s="7">
        <f>VLOOKUP(D137,[1]characters!$A:$I,9,FALSE)</f>
        <v>5</v>
      </c>
      <c r="H137" s="7" t="str">
        <f>VLOOKUP(D137,[1]characters!$A:$H,8,FALSE)</f>
        <v>yellow</v>
      </c>
      <c r="I137" s="7" t="str">
        <f>VLOOKUP(D137,[1]characters!$A:$K,11,FALSE)</f>
        <v>balance</v>
      </c>
      <c r="J137" s="7" t="str">
        <f>VLOOKUP(D137,[1]characters!$A:$M,13,FALSE)</f>
        <v>dragon</v>
      </c>
      <c r="K137" s="7" t="str">
        <f>VLOOKUP(D137,[1]characters!$A:$G,7,FALSE)</f>
        <v>女性</v>
      </c>
      <c r="L137" s="66">
        <f>IFERROR(VLOOKUP(D137,input_4!L:R,7,FALSE),VLOOKUP(tables_4!B137,input_4!A:H,8,FALSE))</f>
        <v>9139</v>
      </c>
      <c r="M137" s="67">
        <f t="shared" si="6"/>
        <v>8.7962962962962962E-4</v>
      </c>
      <c r="N137" s="31">
        <f>IFERROR(VLOOKUP($D137,bug_conf_sheet!$A:$H,3,FALSE),VLOOKUP("other",bug_conf_sheet!$A:$H,3,FALSE))</f>
        <v>1</v>
      </c>
      <c r="O137" s="31">
        <f>IFERROR(VLOOKUP($D137,bug_conf_sheet!$A:$H,4,FALSE),VLOOKUP("other",bug_conf_sheet!$A:$H,4,FALSE))</f>
        <v>0</v>
      </c>
      <c r="P137" s="31">
        <f>IFERROR(VLOOKUP($D137,bug_conf_sheet!$A:$H,5,FALSE),VLOOKUP("other",bug_conf_sheet!$A:$H,5,FALSE))</f>
        <v>0</v>
      </c>
      <c r="Q137" s="31">
        <f>IFERROR(VLOOKUP($D137,bug_conf_sheet!$A:$H,6,FALSE),VLOOKUP("other",bug_conf_sheet!$A:$H,6,FALSE))</f>
        <v>0</v>
      </c>
      <c r="R137" s="31">
        <f>IFERROR(VLOOKUP($D137,bug_conf_sheet!$A:$H,7,FALSE),VLOOKUP("other",bug_conf_sheet!$A:$H,7,FALSE))</f>
        <v>0</v>
      </c>
      <c r="S137" s="31">
        <f>IFERROR(VLOOKUP($D137,bug_conf_sheet!$A:$H,8,FALSE),VLOOKUP("other",bug_conf_sheet!$A:$H,8,FALSE))</f>
        <v>1</v>
      </c>
    </row>
    <row r="138" spans="1:19" ht="21" customHeight="1">
      <c r="A138" s="2">
        <f>input_4!A$2</f>
        <v>3124</v>
      </c>
      <c r="B138" s="7" t="str">
        <f t="shared" si="7"/>
        <v>PremiumSS4</v>
      </c>
      <c r="C138" s="7" t="str">
        <f t="shared" si="8"/>
        <v>PremiumSS</v>
      </c>
      <c r="D138" s="6">
        <v>320</v>
      </c>
      <c r="E138" s="7" t="str">
        <f>VLOOKUP(D138,[1]characters!$A:$C,3,FALSE)</f>
        <v>烈志士 近藤勇</v>
      </c>
      <c r="F138" s="7" t="str">
        <f>VLOOKUP(D138,[1]characters!$A:$J,10,FALSE)</f>
        <v>PremiumSS</v>
      </c>
      <c r="G138" s="7">
        <f>VLOOKUP(D138,[1]characters!$A:$I,9,FALSE)</f>
        <v>4</v>
      </c>
      <c r="H138" s="7" t="str">
        <f>VLOOKUP(D138,[1]characters!$A:$H,8,FALSE)</f>
        <v>red</v>
      </c>
      <c r="I138" s="7" t="str">
        <f>VLOOKUP(D138,[1]characters!$A:$K,11,FALSE)</f>
        <v>hp</v>
      </c>
      <c r="J138" s="7" t="str">
        <f>VLOOKUP(D138,[1]characters!$A:$M,13,FALSE)</f>
        <v>human</v>
      </c>
      <c r="K138" s="7" t="str">
        <f>VLOOKUP(D138,[1]characters!$A:$G,7,FALSE)</f>
        <v>男性</v>
      </c>
      <c r="L138" s="66">
        <f>IFERROR(VLOOKUP(D138,input_4!L:R,7,FALSE),VLOOKUP(tables_4!B138,input_4!A:H,8,FALSE))</f>
        <v>8991</v>
      </c>
      <c r="M138" s="67">
        <f t="shared" si="6"/>
        <v>8.6538461538461541E-4</v>
      </c>
      <c r="N138" s="31">
        <f>IFERROR(VLOOKUP($D138,bug_conf_sheet!$A:$H,3,FALSE),VLOOKUP("other",bug_conf_sheet!$A:$H,3,FALSE))</f>
        <v>1</v>
      </c>
      <c r="O138" s="31">
        <f>IFERROR(VLOOKUP($D138,bug_conf_sheet!$A:$H,4,FALSE),VLOOKUP("other",bug_conf_sheet!$A:$H,4,FALSE))</f>
        <v>0</v>
      </c>
      <c r="P138" s="31">
        <f>IFERROR(VLOOKUP($D138,bug_conf_sheet!$A:$H,5,FALSE),VLOOKUP("other",bug_conf_sheet!$A:$H,5,FALSE))</f>
        <v>0</v>
      </c>
      <c r="Q138" s="31">
        <f>IFERROR(VLOOKUP($D138,bug_conf_sheet!$A:$H,6,FALSE),VLOOKUP("other",bug_conf_sheet!$A:$H,6,FALSE))</f>
        <v>0</v>
      </c>
      <c r="R138" s="31">
        <f>IFERROR(VLOOKUP($D138,bug_conf_sheet!$A:$H,7,FALSE),VLOOKUP("other",bug_conf_sheet!$A:$H,7,FALSE))</f>
        <v>0</v>
      </c>
      <c r="S138" s="31">
        <f>IFERROR(VLOOKUP($D138,bug_conf_sheet!$A:$H,8,FALSE),VLOOKUP("other",bug_conf_sheet!$A:$H,8,FALSE))</f>
        <v>1</v>
      </c>
    </row>
    <row r="139" spans="1:19" ht="21" customHeight="1">
      <c r="A139" s="2">
        <f>input_4!A$2</f>
        <v>3124</v>
      </c>
      <c r="B139" s="7" t="str">
        <f t="shared" si="7"/>
        <v>PremiumSS5</v>
      </c>
      <c r="C139" s="7" t="str">
        <f t="shared" si="8"/>
        <v>PremiumSS</v>
      </c>
      <c r="D139" s="6">
        <v>321</v>
      </c>
      <c r="E139" s="7" t="str">
        <f>VLOOKUP(D139,[1]characters!$A:$C,3,FALSE)</f>
        <v>巌鉄の烈志士 近藤勇</v>
      </c>
      <c r="F139" s="7" t="str">
        <f>VLOOKUP(D139,[1]characters!$A:$J,10,FALSE)</f>
        <v>PremiumSS</v>
      </c>
      <c r="G139" s="7">
        <f>VLOOKUP(D139,[1]characters!$A:$I,9,FALSE)</f>
        <v>5</v>
      </c>
      <c r="H139" s="7" t="str">
        <f>VLOOKUP(D139,[1]characters!$A:$H,8,FALSE)</f>
        <v>red</v>
      </c>
      <c r="I139" s="7" t="str">
        <f>VLOOKUP(D139,[1]characters!$A:$K,11,FALSE)</f>
        <v>hp</v>
      </c>
      <c r="J139" s="7" t="str">
        <f>VLOOKUP(D139,[1]characters!$A:$M,13,FALSE)</f>
        <v>human</v>
      </c>
      <c r="K139" s="7" t="str">
        <f>VLOOKUP(D139,[1]characters!$A:$G,7,FALSE)</f>
        <v>男性</v>
      </c>
      <c r="L139" s="66">
        <f>IFERROR(VLOOKUP(D139,input_4!L:R,7,FALSE),VLOOKUP(tables_4!B139,input_4!A:H,8,FALSE))</f>
        <v>999</v>
      </c>
      <c r="M139" s="67">
        <f t="shared" si="6"/>
        <v>9.6153846153846154E-5</v>
      </c>
      <c r="N139" s="31">
        <f>IFERROR(VLOOKUP($D139,bug_conf_sheet!$A:$H,3,FALSE),VLOOKUP("other",bug_conf_sheet!$A:$H,3,FALSE))</f>
        <v>1</v>
      </c>
      <c r="O139" s="31">
        <f>IFERROR(VLOOKUP($D139,bug_conf_sheet!$A:$H,4,FALSE),VLOOKUP("other",bug_conf_sheet!$A:$H,4,FALSE))</f>
        <v>0</v>
      </c>
      <c r="P139" s="31">
        <f>IFERROR(VLOOKUP($D139,bug_conf_sheet!$A:$H,5,FALSE),VLOOKUP("other",bug_conf_sheet!$A:$H,5,FALSE))</f>
        <v>0</v>
      </c>
      <c r="Q139" s="31">
        <f>IFERROR(VLOOKUP($D139,bug_conf_sheet!$A:$H,6,FALSE),VLOOKUP("other",bug_conf_sheet!$A:$H,6,FALSE))</f>
        <v>0</v>
      </c>
      <c r="R139" s="31">
        <f>IFERROR(VLOOKUP($D139,bug_conf_sheet!$A:$H,7,FALSE),VLOOKUP("other",bug_conf_sheet!$A:$H,7,FALSE))</f>
        <v>0</v>
      </c>
      <c r="S139" s="31">
        <f>IFERROR(VLOOKUP($D139,bug_conf_sheet!$A:$H,8,FALSE),VLOOKUP("other",bug_conf_sheet!$A:$H,8,FALSE))</f>
        <v>1</v>
      </c>
    </row>
    <row r="140" spans="1:19" ht="21" customHeight="1">
      <c r="A140" s="2">
        <f>input_4!A$2</f>
        <v>3124</v>
      </c>
      <c r="B140" s="7" t="str">
        <f t="shared" si="7"/>
        <v>PremiumSS4</v>
      </c>
      <c r="C140" s="7" t="str">
        <f t="shared" si="8"/>
        <v>PremiumSS</v>
      </c>
      <c r="D140" s="6">
        <v>322</v>
      </c>
      <c r="E140" s="7" t="str">
        <f>VLOOKUP(D140,[1]characters!$A:$C,3,FALSE)</f>
        <v>愛志士 土方歳三</v>
      </c>
      <c r="F140" s="7" t="str">
        <f>VLOOKUP(D140,[1]characters!$A:$J,10,FALSE)</f>
        <v>PremiumSS</v>
      </c>
      <c r="G140" s="7">
        <f>VLOOKUP(D140,[1]characters!$A:$I,9,FALSE)</f>
        <v>4</v>
      </c>
      <c r="H140" s="7" t="str">
        <f>VLOOKUP(D140,[1]characters!$A:$H,8,FALSE)</f>
        <v>green</v>
      </c>
      <c r="I140" s="7" t="str">
        <f>VLOOKUP(D140,[1]characters!$A:$K,11,FALSE)</f>
        <v>attack</v>
      </c>
      <c r="J140" s="7" t="str">
        <f>VLOOKUP(D140,[1]characters!$A:$M,13,FALSE)</f>
        <v>human</v>
      </c>
      <c r="K140" s="7" t="str">
        <f>VLOOKUP(D140,[1]characters!$A:$G,7,FALSE)</f>
        <v>女性</v>
      </c>
      <c r="L140" s="66">
        <f>IFERROR(VLOOKUP(D140,input_4!L:R,7,FALSE),VLOOKUP(tables_4!B140,input_4!A:H,8,FALSE))</f>
        <v>8991</v>
      </c>
      <c r="M140" s="67">
        <f t="shared" si="6"/>
        <v>8.6538461538461541E-4</v>
      </c>
      <c r="N140" s="31">
        <f>IFERROR(VLOOKUP($D140,bug_conf_sheet!$A:$H,3,FALSE),VLOOKUP("other",bug_conf_sheet!$A:$H,3,FALSE))</f>
        <v>1</v>
      </c>
      <c r="O140" s="31">
        <f>IFERROR(VLOOKUP($D140,bug_conf_sheet!$A:$H,4,FALSE),VLOOKUP("other",bug_conf_sheet!$A:$H,4,FALSE))</f>
        <v>0</v>
      </c>
      <c r="P140" s="31">
        <f>IFERROR(VLOOKUP($D140,bug_conf_sheet!$A:$H,5,FALSE),VLOOKUP("other",bug_conf_sheet!$A:$H,5,FALSE))</f>
        <v>0</v>
      </c>
      <c r="Q140" s="31">
        <f>IFERROR(VLOOKUP($D140,bug_conf_sheet!$A:$H,6,FALSE),VLOOKUP("other",bug_conf_sheet!$A:$H,6,FALSE))</f>
        <v>0</v>
      </c>
      <c r="R140" s="31">
        <f>IFERROR(VLOOKUP($D140,bug_conf_sheet!$A:$H,7,FALSE),VLOOKUP("other",bug_conf_sheet!$A:$H,7,FALSE))</f>
        <v>0</v>
      </c>
      <c r="S140" s="31">
        <f>IFERROR(VLOOKUP($D140,bug_conf_sheet!$A:$H,8,FALSE),VLOOKUP("other",bug_conf_sheet!$A:$H,8,FALSE))</f>
        <v>1</v>
      </c>
    </row>
    <row r="141" spans="1:19" ht="21" customHeight="1">
      <c r="A141" s="2">
        <f>input_4!A$2</f>
        <v>3124</v>
      </c>
      <c r="B141" s="7" t="str">
        <f t="shared" si="7"/>
        <v>PremiumSS5</v>
      </c>
      <c r="C141" s="7" t="str">
        <f t="shared" si="8"/>
        <v>PremiumSS</v>
      </c>
      <c r="D141" s="6">
        <v>323</v>
      </c>
      <c r="E141" s="7" t="str">
        <f>VLOOKUP(D141,[1]characters!$A:$C,3,FALSE)</f>
        <v>流麗の愛志士 土方歳三</v>
      </c>
      <c r="F141" s="7" t="str">
        <f>VLOOKUP(D141,[1]characters!$A:$J,10,FALSE)</f>
        <v>PremiumSS</v>
      </c>
      <c r="G141" s="7">
        <f>VLOOKUP(D141,[1]characters!$A:$I,9,FALSE)</f>
        <v>5</v>
      </c>
      <c r="H141" s="7" t="str">
        <f>VLOOKUP(D141,[1]characters!$A:$H,8,FALSE)</f>
        <v>green</v>
      </c>
      <c r="I141" s="7" t="str">
        <f>VLOOKUP(D141,[1]characters!$A:$K,11,FALSE)</f>
        <v>attack</v>
      </c>
      <c r="J141" s="7" t="str">
        <f>VLOOKUP(D141,[1]characters!$A:$M,13,FALSE)</f>
        <v>human</v>
      </c>
      <c r="K141" s="7" t="str">
        <f>VLOOKUP(D141,[1]characters!$A:$G,7,FALSE)</f>
        <v>女性</v>
      </c>
      <c r="L141" s="66">
        <f>IFERROR(VLOOKUP(D141,input_4!L:R,7,FALSE),VLOOKUP(tables_4!B141,input_4!A:H,8,FALSE))</f>
        <v>999</v>
      </c>
      <c r="M141" s="67">
        <f t="shared" si="6"/>
        <v>9.6153846153846154E-5</v>
      </c>
      <c r="N141" s="31">
        <f>IFERROR(VLOOKUP($D141,bug_conf_sheet!$A:$H,3,FALSE),VLOOKUP("other",bug_conf_sheet!$A:$H,3,FALSE))</f>
        <v>1</v>
      </c>
      <c r="O141" s="31">
        <f>IFERROR(VLOOKUP($D141,bug_conf_sheet!$A:$H,4,FALSE),VLOOKUP("other",bug_conf_sheet!$A:$H,4,FALSE))</f>
        <v>0</v>
      </c>
      <c r="P141" s="31">
        <f>IFERROR(VLOOKUP($D141,bug_conf_sheet!$A:$H,5,FALSE),VLOOKUP("other",bug_conf_sheet!$A:$H,5,FALSE))</f>
        <v>0</v>
      </c>
      <c r="Q141" s="31">
        <f>IFERROR(VLOOKUP($D141,bug_conf_sheet!$A:$H,6,FALSE),VLOOKUP("other",bug_conf_sheet!$A:$H,6,FALSE))</f>
        <v>0</v>
      </c>
      <c r="R141" s="31">
        <f>IFERROR(VLOOKUP($D141,bug_conf_sheet!$A:$H,7,FALSE),VLOOKUP("other",bug_conf_sheet!$A:$H,7,FALSE))</f>
        <v>0</v>
      </c>
      <c r="S141" s="31">
        <f>IFERROR(VLOOKUP($D141,bug_conf_sheet!$A:$H,8,FALSE),VLOOKUP("other",bug_conf_sheet!$A:$H,8,FALSE))</f>
        <v>1</v>
      </c>
    </row>
    <row r="142" spans="1:19" ht="21" customHeight="1">
      <c r="A142" s="2">
        <f>input_4!A$2</f>
        <v>3124</v>
      </c>
      <c r="B142" s="7" t="str">
        <f t="shared" si="7"/>
        <v>PremiumSS4</v>
      </c>
      <c r="C142" s="7" t="str">
        <f t="shared" si="8"/>
        <v>PremiumSS</v>
      </c>
      <c r="D142" s="6">
        <v>324</v>
      </c>
      <c r="E142" s="7" t="str">
        <f>VLOOKUP(D142,[1]characters!$A:$C,3,FALSE)</f>
        <v>凛志士 沖田総司</v>
      </c>
      <c r="F142" s="7" t="str">
        <f>VLOOKUP(D142,[1]characters!$A:$J,10,FALSE)</f>
        <v>PremiumSS</v>
      </c>
      <c r="G142" s="7">
        <f>VLOOKUP(D142,[1]characters!$A:$I,9,FALSE)</f>
        <v>4</v>
      </c>
      <c r="H142" s="7" t="str">
        <f>VLOOKUP(D142,[1]characters!$A:$H,8,FALSE)</f>
        <v>blue</v>
      </c>
      <c r="I142" s="7" t="str">
        <f>VLOOKUP(D142,[1]characters!$A:$K,11,FALSE)</f>
        <v>balance</v>
      </c>
      <c r="J142" s="7" t="str">
        <f>VLOOKUP(D142,[1]characters!$A:$M,13,FALSE)</f>
        <v>human</v>
      </c>
      <c r="K142" s="7" t="str">
        <f>VLOOKUP(D142,[1]characters!$A:$G,7,FALSE)</f>
        <v>女性</v>
      </c>
      <c r="L142" s="66">
        <f>IFERROR(VLOOKUP(D142,input_4!L:R,7,FALSE),VLOOKUP(tables_4!B142,input_4!A:H,8,FALSE))</f>
        <v>8991</v>
      </c>
      <c r="M142" s="67">
        <f t="shared" si="6"/>
        <v>8.6538461538461541E-4</v>
      </c>
      <c r="N142" s="31">
        <f>IFERROR(VLOOKUP($D142,bug_conf_sheet!$A:$H,3,FALSE),VLOOKUP("other",bug_conf_sheet!$A:$H,3,FALSE))</f>
        <v>1</v>
      </c>
      <c r="O142" s="31">
        <f>IFERROR(VLOOKUP($D142,bug_conf_sheet!$A:$H,4,FALSE),VLOOKUP("other",bug_conf_sheet!$A:$H,4,FALSE))</f>
        <v>0</v>
      </c>
      <c r="P142" s="31">
        <f>IFERROR(VLOOKUP($D142,bug_conf_sheet!$A:$H,5,FALSE),VLOOKUP("other",bug_conf_sheet!$A:$H,5,FALSE))</f>
        <v>0</v>
      </c>
      <c r="Q142" s="31">
        <f>IFERROR(VLOOKUP($D142,bug_conf_sheet!$A:$H,6,FALSE),VLOOKUP("other",bug_conf_sheet!$A:$H,6,FALSE))</f>
        <v>0</v>
      </c>
      <c r="R142" s="31">
        <f>IFERROR(VLOOKUP($D142,bug_conf_sheet!$A:$H,7,FALSE),VLOOKUP("other",bug_conf_sheet!$A:$H,7,FALSE))</f>
        <v>0</v>
      </c>
      <c r="S142" s="31">
        <f>IFERROR(VLOOKUP($D142,bug_conf_sheet!$A:$H,8,FALSE),VLOOKUP("other",bug_conf_sheet!$A:$H,8,FALSE))</f>
        <v>1</v>
      </c>
    </row>
    <row r="143" spans="1:19" s="12" customFormat="1" ht="21" customHeight="1" thickBot="1">
      <c r="A143" s="2">
        <f>input_4!A$2</f>
        <v>3124</v>
      </c>
      <c r="B143" s="7" t="str">
        <f t="shared" si="7"/>
        <v>PremiumSS5</v>
      </c>
      <c r="C143" s="7" t="str">
        <f t="shared" si="8"/>
        <v>PremiumSS</v>
      </c>
      <c r="D143" s="6">
        <v>325</v>
      </c>
      <c r="E143" s="7" t="str">
        <f>VLOOKUP(D143,[1]characters!$A:$C,3,FALSE)</f>
        <v>天賦の凛志士 沖田総司</v>
      </c>
      <c r="F143" s="7" t="str">
        <f>VLOOKUP(D143,[1]characters!$A:$J,10,FALSE)</f>
        <v>PremiumSS</v>
      </c>
      <c r="G143" s="7">
        <f>VLOOKUP(D143,[1]characters!$A:$I,9,FALSE)</f>
        <v>5</v>
      </c>
      <c r="H143" s="7" t="str">
        <f>VLOOKUP(D143,[1]characters!$A:$H,8,FALSE)</f>
        <v>blue</v>
      </c>
      <c r="I143" s="7" t="str">
        <f>VLOOKUP(D143,[1]characters!$A:$K,11,FALSE)</f>
        <v>balance</v>
      </c>
      <c r="J143" s="7" t="str">
        <f>VLOOKUP(D143,[1]characters!$A:$M,13,FALSE)</f>
        <v>human</v>
      </c>
      <c r="K143" s="7" t="str">
        <f>VLOOKUP(D143,[1]characters!$A:$G,7,FALSE)</f>
        <v>女性</v>
      </c>
      <c r="L143" s="66">
        <f>IFERROR(VLOOKUP(D143,input_4!L:R,7,FALSE),VLOOKUP(tables_4!B143,input_4!A:H,8,FALSE))</f>
        <v>999</v>
      </c>
      <c r="M143" s="67">
        <f t="shared" si="6"/>
        <v>9.6153846153846154E-5</v>
      </c>
      <c r="N143" s="31">
        <f>IFERROR(VLOOKUP($D143,bug_conf_sheet!$A:$H,3,FALSE),VLOOKUP("other",bug_conf_sheet!$A:$H,3,FALSE))</f>
        <v>1</v>
      </c>
      <c r="O143" s="31">
        <f>IFERROR(VLOOKUP($D143,bug_conf_sheet!$A:$H,4,FALSE),VLOOKUP("other",bug_conf_sheet!$A:$H,4,FALSE))</f>
        <v>0</v>
      </c>
      <c r="P143" s="31">
        <f>IFERROR(VLOOKUP($D143,bug_conf_sheet!$A:$H,5,FALSE),VLOOKUP("other",bug_conf_sheet!$A:$H,5,FALSE))</f>
        <v>0</v>
      </c>
      <c r="Q143" s="31">
        <f>IFERROR(VLOOKUP($D143,bug_conf_sheet!$A:$H,6,FALSE),VLOOKUP("other",bug_conf_sheet!$A:$H,6,FALSE))</f>
        <v>0</v>
      </c>
      <c r="R143" s="31">
        <f>IFERROR(VLOOKUP($D143,bug_conf_sheet!$A:$H,7,FALSE),VLOOKUP("other",bug_conf_sheet!$A:$H,7,FALSE))</f>
        <v>0</v>
      </c>
      <c r="S143" s="31">
        <f>IFERROR(VLOOKUP($D143,bug_conf_sheet!$A:$H,8,FALSE),VLOOKUP("other",bug_conf_sheet!$A:$H,8,FALSE))</f>
        <v>1</v>
      </c>
    </row>
    <row r="144" spans="1:19" ht="21" customHeight="1">
      <c r="A144" s="2">
        <f>input_4!A$2</f>
        <v>3124</v>
      </c>
      <c r="B144" s="7" t="str">
        <f t="shared" si="7"/>
        <v>PremiumSS4</v>
      </c>
      <c r="C144" s="7" t="str">
        <f t="shared" si="8"/>
        <v>PremiumSS</v>
      </c>
      <c r="D144" s="6">
        <v>326</v>
      </c>
      <c r="E144" s="7" t="str">
        <f>VLOOKUP(D144,[1]characters!$A:$C,3,FALSE)</f>
        <v>妖志士 斎藤一</v>
      </c>
      <c r="F144" s="7" t="str">
        <f>VLOOKUP(D144,[1]characters!$A:$J,10,FALSE)</f>
        <v>PremiumSS</v>
      </c>
      <c r="G144" s="7">
        <f>VLOOKUP(D144,[1]characters!$A:$I,9,FALSE)</f>
        <v>4</v>
      </c>
      <c r="H144" s="7" t="str">
        <f>VLOOKUP(D144,[1]characters!$A:$H,8,FALSE)</f>
        <v>yellow</v>
      </c>
      <c r="I144" s="7" t="str">
        <f>VLOOKUP(D144,[1]characters!$A:$K,11,FALSE)</f>
        <v>technical</v>
      </c>
      <c r="J144" s="7" t="str">
        <f>VLOOKUP(D144,[1]characters!$A:$M,13,FALSE)</f>
        <v>human</v>
      </c>
      <c r="K144" s="7" t="str">
        <f>VLOOKUP(D144,[1]characters!$A:$G,7,FALSE)</f>
        <v>女性</v>
      </c>
      <c r="L144" s="66">
        <f>IFERROR(VLOOKUP(D144,input_4!L:R,7,FALSE),VLOOKUP(tables_4!B144,input_4!A:H,8,FALSE))</f>
        <v>8991</v>
      </c>
      <c r="M144" s="67">
        <f t="shared" si="6"/>
        <v>8.6538461538461541E-4</v>
      </c>
      <c r="N144" s="31">
        <f>IFERROR(VLOOKUP($D144,bug_conf_sheet!$A:$H,3,FALSE),VLOOKUP("other",bug_conf_sheet!$A:$H,3,FALSE))</f>
        <v>1</v>
      </c>
      <c r="O144" s="31">
        <f>IFERROR(VLOOKUP($D144,bug_conf_sheet!$A:$H,4,FALSE),VLOOKUP("other",bug_conf_sheet!$A:$H,4,FALSE))</f>
        <v>0</v>
      </c>
      <c r="P144" s="31">
        <f>IFERROR(VLOOKUP($D144,bug_conf_sheet!$A:$H,5,FALSE),VLOOKUP("other",bug_conf_sheet!$A:$H,5,FALSE))</f>
        <v>0</v>
      </c>
      <c r="Q144" s="31">
        <f>IFERROR(VLOOKUP($D144,bug_conf_sheet!$A:$H,6,FALSE),VLOOKUP("other",bug_conf_sheet!$A:$H,6,FALSE))</f>
        <v>0</v>
      </c>
      <c r="R144" s="31">
        <f>IFERROR(VLOOKUP($D144,bug_conf_sheet!$A:$H,7,FALSE),VLOOKUP("other",bug_conf_sheet!$A:$H,7,FALSE))</f>
        <v>0</v>
      </c>
      <c r="S144" s="31">
        <f>IFERROR(VLOOKUP($D144,bug_conf_sheet!$A:$H,8,FALSE),VLOOKUP("other",bug_conf_sheet!$A:$H,8,FALSE))</f>
        <v>1</v>
      </c>
    </row>
    <row r="145" spans="1:19" ht="21" customHeight="1">
      <c r="A145" s="2">
        <f>input_4!A$2</f>
        <v>3124</v>
      </c>
      <c r="B145" s="7" t="str">
        <f t="shared" si="7"/>
        <v>PremiumSS5</v>
      </c>
      <c r="C145" s="7" t="str">
        <f t="shared" si="8"/>
        <v>PremiumSS</v>
      </c>
      <c r="D145" s="6">
        <v>327</v>
      </c>
      <c r="E145" s="7" t="str">
        <f>VLOOKUP(D145,[1]characters!$A:$C,3,FALSE)</f>
        <v>千殺の妖志士 斎藤一</v>
      </c>
      <c r="F145" s="7" t="str">
        <f>VLOOKUP(D145,[1]characters!$A:$J,10,FALSE)</f>
        <v>PremiumSS</v>
      </c>
      <c r="G145" s="7">
        <f>VLOOKUP(D145,[1]characters!$A:$I,9,FALSE)</f>
        <v>5</v>
      </c>
      <c r="H145" s="7" t="str">
        <f>VLOOKUP(D145,[1]characters!$A:$H,8,FALSE)</f>
        <v>yellow</v>
      </c>
      <c r="I145" s="7" t="str">
        <f>VLOOKUP(D145,[1]characters!$A:$K,11,FALSE)</f>
        <v>technical</v>
      </c>
      <c r="J145" s="7" t="str">
        <f>VLOOKUP(D145,[1]characters!$A:$M,13,FALSE)</f>
        <v>human</v>
      </c>
      <c r="K145" s="7" t="str">
        <f>VLOOKUP(D145,[1]characters!$A:$G,7,FALSE)</f>
        <v>女性</v>
      </c>
      <c r="L145" s="66">
        <f>IFERROR(VLOOKUP(D145,input_4!L:R,7,FALSE),VLOOKUP(tables_4!B145,input_4!A:H,8,FALSE))</f>
        <v>999</v>
      </c>
      <c r="M145" s="67">
        <f t="shared" si="6"/>
        <v>9.6153846153846154E-5</v>
      </c>
      <c r="N145" s="31">
        <f>IFERROR(VLOOKUP($D145,bug_conf_sheet!$A:$H,3,FALSE),VLOOKUP("other",bug_conf_sheet!$A:$H,3,FALSE))</f>
        <v>1</v>
      </c>
      <c r="O145" s="31">
        <f>IFERROR(VLOOKUP($D145,bug_conf_sheet!$A:$H,4,FALSE),VLOOKUP("other",bug_conf_sheet!$A:$H,4,FALSE))</f>
        <v>0</v>
      </c>
      <c r="P145" s="31">
        <f>IFERROR(VLOOKUP($D145,bug_conf_sheet!$A:$H,5,FALSE),VLOOKUP("other",bug_conf_sheet!$A:$H,5,FALSE))</f>
        <v>0</v>
      </c>
      <c r="Q145" s="31">
        <f>IFERROR(VLOOKUP($D145,bug_conf_sheet!$A:$H,6,FALSE),VLOOKUP("other",bug_conf_sheet!$A:$H,6,FALSE))</f>
        <v>0</v>
      </c>
      <c r="R145" s="31">
        <f>IFERROR(VLOOKUP($D145,bug_conf_sheet!$A:$H,7,FALSE),VLOOKUP("other",bug_conf_sheet!$A:$H,7,FALSE))</f>
        <v>0</v>
      </c>
      <c r="S145" s="31">
        <f>IFERROR(VLOOKUP($D145,bug_conf_sheet!$A:$H,8,FALSE),VLOOKUP("other",bug_conf_sheet!$A:$H,8,FALSE))</f>
        <v>1</v>
      </c>
    </row>
    <row r="146" spans="1:19" ht="21" customHeight="1">
      <c r="A146" s="2">
        <f>input_4!A$2</f>
        <v>3124</v>
      </c>
      <c r="B146" s="7" t="str">
        <f t="shared" si="7"/>
        <v>Premium3</v>
      </c>
      <c r="C146" s="7" t="str">
        <f t="shared" si="8"/>
        <v>Premium</v>
      </c>
      <c r="D146" s="6">
        <v>380</v>
      </c>
      <c r="E146" s="7" t="str">
        <f>VLOOKUP(D146,[1]characters!$A:$C,3,FALSE)</f>
        <v>バハムート</v>
      </c>
      <c r="F146" s="7" t="str">
        <f>VLOOKUP(D146,[1]characters!$A:$J,10,FALSE)</f>
        <v>PremiumS</v>
      </c>
      <c r="G146" s="7">
        <f>VLOOKUP(D146,[1]characters!$A:$I,9,FALSE)</f>
        <v>3</v>
      </c>
      <c r="H146" s="7" t="str">
        <f>VLOOKUP(D146,[1]characters!$A:$H,8,FALSE)</f>
        <v>red</v>
      </c>
      <c r="I146" s="7" t="str">
        <f>VLOOKUP(D146,[1]characters!$A:$K,11,FALSE)</f>
        <v>technical</v>
      </c>
      <c r="J146" s="7" t="str">
        <f>VLOOKUP(D146,[1]characters!$A:$M,13,FALSE)</f>
        <v>dragon</v>
      </c>
      <c r="K146" s="7" t="str">
        <f>VLOOKUP(D146,[1]characters!$A:$G,7,FALSE)</f>
        <v>女性</v>
      </c>
      <c r="L146" s="66">
        <f>IFERROR(VLOOKUP(D146,input_4!L:R,7,FALSE),VLOOKUP(tables_4!B146,input_4!A:H,8,FALSE))</f>
        <v>70200</v>
      </c>
      <c r="M146" s="67">
        <f t="shared" si="6"/>
        <v>6.7567567567567571E-3</v>
      </c>
      <c r="N146" s="31">
        <f>IFERROR(VLOOKUP($D146,bug_conf_sheet!$A:$H,3,FALSE),VLOOKUP("other",bug_conf_sheet!$A:$H,3,FALSE))</f>
        <v>1</v>
      </c>
      <c r="O146" s="31">
        <f>IFERROR(VLOOKUP($D146,bug_conf_sheet!$A:$H,4,FALSE),VLOOKUP("other",bug_conf_sheet!$A:$H,4,FALSE))</f>
        <v>0</v>
      </c>
      <c r="P146" s="31">
        <f>IFERROR(VLOOKUP($D146,bug_conf_sheet!$A:$H,5,FALSE),VLOOKUP("other",bug_conf_sheet!$A:$H,5,FALSE))</f>
        <v>0</v>
      </c>
      <c r="Q146" s="31">
        <f>IFERROR(VLOOKUP($D146,bug_conf_sheet!$A:$H,6,FALSE),VLOOKUP("other",bug_conf_sheet!$A:$H,6,FALSE))</f>
        <v>0</v>
      </c>
      <c r="R146" s="31">
        <f>IFERROR(VLOOKUP($D146,bug_conf_sheet!$A:$H,7,FALSE),VLOOKUP("other",bug_conf_sheet!$A:$H,7,FALSE))</f>
        <v>0</v>
      </c>
      <c r="S146" s="31">
        <f>IFERROR(VLOOKUP($D146,bug_conf_sheet!$A:$H,8,FALSE),VLOOKUP("other",bug_conf_sheet!$A:$H,8,FALSE))</f>
        <v>1</v>
      </c>
    </row>
    <row r="147" spans="1:19" ht="21" customHeight="1">
      <c r="A147" s="2">
        <f>input_4!A$2</f>
        <v>3124</v>
      </c>
      <c r="B147" s="7" t="str">
        <f t="shared" si="7"/>
        <v>Premium4</v>
      </c>
      <c r="C147" s="7" t="str">
        <f t="shared" si="8"/>
        <v>Premium</v>
      </c>
      <c r="D147" s="6">
        <v>381</v>
      </c>
      <c r="E147" s="7" t="str">
        <f>VLOOKUP(D147,[1]characters!$A:$C,3,FALSE)</f>
        <v>肉食の恋火 バハムート</v>
      </c>
      <c r="F147" s="7" t="str">
        <f>VLOOKUP(D147,[1]characters!$A:$J,10,FALSE)</f>
        <v>PremiumS</v>
      </c>
      <c r="G147" s="7">
        <f>VLOOKUP(D147,[1]characters!$A:$I,9,FALSE)</f>
        <v>4</v>
      </c>
      <c r="H147" s="7" t="str">
        <f>VLOOKUP(D147,[1]characters!$A:$H,8,FALSE)</f>
        <v>red</v>
      </c>
      <c r="I147" s="7" t="str">
        <f>VLOOKUP(D147,[1]characters!$A:$K,11,FALSE)</f>
        <v>technical</v>
      </c>
      <c r="J147" s="7" t="str">
        <f>VLOOKUP(D147,[1]characters!$A:$M,13,FALSE)</f>
        <v>dragon</v>
      </c>
      <c r="K147" s="7" t="str">
        <f>VLOOKUP(D147,[1]characters!$A:$G,7,FALSE)</f>
        <v>女性</v>
      </c>
      <c r="L147" s="66">
        <f>IFERROR(VLOOKUP(D147,input_4!L:R,7,FALSE),VLOOKUP(tables_4!B147,input_4!A:H,8,FALSE))</f>
        <v>60021</v>
      </c>
      <c r="M147" s="67">
        <f t="shared" si="6"/>
        <v>5.777027027027027E-3</v>
      </c>
      <c r="N147" s="31">
        <f>IFERROR(VLOOKUP($D147,bug_conf_sheet!$A:$H,3,FALSE),VLOOKUP("other",bug_conf_sheet!$A:$H,3,FALSE))</f>
        <v>1</v>
      </c>
      <c r="O147" s="31">
        <f>IFERROR(VLOOKUP($D147,bug_conf_sheet!$A:$H,4,FALSE),VLOOKUP("other",bug_conf_sheet!$A:$H,4,FALSE))</f>
        <v>0</v>
      </c>
      <c r="P147" s="31">
        <f>IFERROR(VLOOKUP($D147,bug_conf_sheet!$A:$H,5,FALSE),VLOOKUP("other",bug_conf_sheet!$A:$H,5,FALSE))</f>
        <v>0</v>
      </c>
      <c r="Q147" s="31">
        <f>IFERROR(VLOOKUP($D147,bug_conf_sheet!$A:$H,6,FALSE),VLOOKUP("other",bug_conf_sheet!$A:$H,6,FALSE))</f>
        <v>0</v>
      </c>
      <c r="R147" s="31">
        <f>IFERROR(VLOOKUP($D147,bug_conf_sheet!$A:$H,7,FALSE),VLOOKUP("other",bug_conf_sheet!$A:$H,7,FALSE))</f>
        <v>0</v>
      </c>
      <c r="S147" s="31">
        <f>IFERROR(VLOOKUP($D147,bug_conf_sheet!$A:$H,8,FALSE),VLOOKUP("other",bug_conf_sheet!$A:$H,8,FALSE))</f>
        <v>1</v>
      </c>
    </row>
    <row r="148" spans="1:19" ht="21" customHeight="1">
      <c r="A148" s="2">
        <f>input_4!A$2</f>
        <v>3124</v>
      </c>
      <c r="B148" s="7" t="str">
        <f t="shared" si="7"/>
        <v>Premium5</v>
      </c>
      <c r="C148" s="7" t="str">
        <f t="shared" si="8"/>
        <v>Premium</v>
      </c>
      <c r="D148" s="6">
        <v>382</v>
      </c>
      <c r="E148" s="7" t="str">
        <f>VLOOKUP(D148,[1]characters!$A:$C,3,FALSE)</f>
        <v>激情の愛炎 バハムート</v>
      </c>
      <c r="F148" s="7" t="str">
        <f>VLOOKUP(D148,[1]characters!$A:$J,10,FALSE)</f>
        <v>PremiumS</v>
      </c>
      <c r="G148" s="7">
        <f>VLOOKUP(D148,[1]characters!$A:$I,9,FALSE)</f>
        <v>5</v>
      </c>
      <c r="H148" s="7" t="str">
        <f>VLOOKUP(D148,[1]characters!$A:$H,8,FALSE)</f>
        <v>red</v>
      </c>
      <c r="I148" s="7" t="str">
        <f>VLOOKUP(D148,[1]characters!$A:$K,11,FALSE)</f>
        <v>technical</v>
      </c>
      <c r="J148" s="7" t="str">
        <f>VLOOKUP(D148,[1]characters!$A:$M,13,FALSE)</f>
        <v>dragon</v>
      </c>
      <c r="K148" s="7" t="str">
        <f>VLOOKUP(D148,[1]characters!$A:$G,7,FALSE)</f>
        <v>女性</v>
      </c>
      <c r="L148" s="66">
        <f>IFERROR(VLOOKUP(D148,input_4!L:R,7,FALSE),VLOOKUP(tables_4!B148,input_4!A:H,8,FALSE))</f>
        <v>9139</v>
      </c>
      <c r="M148" s="67">
        <f t="shared" si="6"/>
        <v>8.7962962962962962E-4</v>
      </c>
      <c r="N148" s="31">
        <f>IFERROR(VLOOKUP($D148,bug_conf_sheet!$A:$H,3,FALSE),VLOOKUP("other",bug_conf_sheet!$A:$H,3,FALSE))</f>
        <v>1</v>
      </c>
      <c r="O148" s="31">
        <f>IFERROR(VLOOKUP($D148,bug_conf_sheet!$A:$H,4,FALSE),VLOOKUP("other",bug_conf_sheet!$A:$H,4,FALSE))</f>
        <v>0</v>
      </c>
      <c r="P148" s="31">
        <f>IFERROR(VLOOKUP($D148,bug_conf_sheet!$A:$H,5,FALSE),VLOOKUP("other",bug_conf_sheet!$A:$H,5,FALSE))</f>
        <v>0</v>
      </c>
      <c r="Q148" s="31">
        <f>IFERROR(VLOOKUP($D148,bug_conf_sheet!$A:$H,6,FALSE),VLOOKUP("other",bug_conf_sheet!$A:$H,6,FALSE))</f>
        <v>0</v>
      </c>
      <c r="R148" s="31">
        <f>IFERROR(VLOOKUP($D148,bug_conf_sheet!$A:$H,7,FALSE),VLOOKUP("other",bug_conf_sheet!$A:$H,7,FALSE))</f>
        <v>0</v>
      </c>
      <c r="S148" s="31">
        <f>IFERROR(VLOOKUP($D148,bug_conf_sheet!$A:$H,8,FALSE),VLOOKUP("other",bug_conf_sheet!$A:$H,8,FALSE))</f>
        <v>1</v>
      </c>
    </row>
    <row r="149" spans="1:19" ht="21" customHeight="1">
      <c r="A149" s="2">
        <f>input_4!A$2</f>
        <v>3124</v>
      </c>
      <c r="B149" s="7" t="str">
        <f t="shared" si="7"/>
        <v>PremiumSS4</v>
      </c>
      <c r="C149" s="7" t="str">
        <f t="shared" si="8"/>
        <v>PremiumSS</v>
      </c>
      <c r="D149" s="6">
        <v>383</v>
      </c>
      <c r="E149" s="7" t="str">
        <f>VLOOKUP(D149,[1]characters!$A:$C,3,FALSE)</f>
        <v>酒宴の蟒蛇 ヤマタノオロチ</v>
      </c>
      <c r="F149" s="7" t="str">
        <f>VLOOKUP(D149,[1]characters!$A:$J,10,FALSE)</f>
        <v>PremiumSS</v>
      </c>
      <c r="G149" s="7">
        <f>VLOOKUP(D149,[1]characters!$A:$I,9,FALSE)</f>
        <v>4</v>
      </c>
      <c r="H149" s="7" t="str">
        <f>VLOOKUP(D149,[1]characters!$A:$H,8,FALSE)</f>
        <v>green</v>
      </c>
      <c r="I149" s="7" t="str">
        <f>VLOOKUP(D149,[1]characters!$A:$K,11,FALSE)</f>
        <v>hp</v>
      </c>
      <c r="J149" s="7" t="str">
        <f>VLOOKUP(D149,[1]characters!$A:$M,13,FALSE)</f>
        <v>dragon</v>
      </c>
      <c r="K149" s="7" t="str">
        <f>VLOOKUP(D149,[1]characters!$A:$G,7,FALSE)</f>
        <v>女性</v>
      </c>
      <c r="L149" s="66">
        <f>IFERROR(VLOOKUP(D149,input_4!L:R,7,FALSE),VLOOKUP(tables_4!B149,input_4!A:H,8,FALSE))</f>
        <v>8991</v>
      </c>
      <c r="M149" s="67">
        <f t="shared" si="6"/>
        <v>8.6538461538461541E-4</v>
      </c>
      <c r="N149" s="31">
        <f>IFERROR(VLOOKUP($D149,bug_conf_sheet!$A:$H,3,FALSE),VLOOKUP("other",bug_conf_sheet!$A:$H,3,FALSE))</f>
        <v>1</v>
      </c>
      <c r="O149" s="31">
        <f>IFERROR(VLOOKUP($D149,bug_conf_sheet!$A:$H,4,FALSE),VLOOKUP("other",bug_conf_sheet!$A:$H,4,FALSE))</f>
        <v>0</v>
      </c>
      <c r="P149" s="31">
        <f>IFERROR(VLOOKUP($D149,bug_conf_sheet!$A:$H,5,FALSE),VLOOKUP("other",bug_conf_sheet!$A:$H,5,FALSE))</f>
        <v>0</v>
      </c>
      <c r="Q149" s="31">
        <f>IFERROR(VLOOKUP($D149,bug_conf_sheet!$A:$H,6,FALSE),VLOOKUP("other",bug_conf_sheet!$A:$H,6,FALSE))</f>
        <v>0</v>
      </c>
      <c r="R149" s="31">
        <f>IFERROR(VLOOKUP($D149,bug_conf_sheet!$A:$H,7,FALSE),VLOOKUP("other",bug_conf_sheet!$A:$H,7,FALSE))</f>
        <v>0</v>
      </c>
      <c r="S149" s="31">
        <f>IFERROR(VLOOKUP($D149,bug_conf_sheet!$A:$H,8,FALSE),VLOOKUP("other",bug_conf_sheet!$A:$H,8,FALSE))</f>
        <v>1</v>
      </c>
    </row>
    <row r="150" spans="1:19" ht="21" customHeight="1">
      <c r="A150" s="2">
        <f>input_4!A$2</f>
        <v>3124</v>
      </c>
      <c r="B150" s="7" t="str">
        <f t="shared" si="7"/>
        <v>PremiumSS5</v>
      </c>
      <c r="C150" s="7" t="str">
        <f t="shared" si="8"/>
        <v>PremiumSS</v>
      </c>
      <c r="D150" s="6">
        <v>384</v>
      </c>
      <c r="E150" s="7" t="str">
        <f>VLOOKUP(D150,[1]characters!$A:$C,3,FALSE)</f>
        <v>破国の呑龍 ヤマタノオロチ</v>
      </c>
      <c r="F150" s="7" t="str">
        <f>VLOOKUP(D150,[1]characters!$A:$J,10,FALSE)</f>
        <v>PremiumSS</v>
      </c>
      <c r="G150" s="7">
        <f>VLOOKUP(D150,[1]characters!$A:$I,9,FALSE)</f>
        <v>5</v>
      </c>
      <c r="H150" s="7" t="str">
        <f>VLOOKUP(D150,[1]characters!$A:$H,8,FALSE)</f>
        <v>green</v>
      </c>
      <c r="I150" s="7" t="str">
        <f>VLOOKUP(D150,[1]characters!$A:$K,11,FALSE)</f>
        <v>hp</v>
      </c>
      <c r="J150" s="7" t="str">
        <f>VLOOKUP(D150,[1]characters!$A:$M,13,FALSE)</f>
        <v>dragon</v>
      </c>
      <c r="K150" s="7" t="str">
        <f>VLOOKUP(D150,[1]characters!$A:$G,7,FALSE)</f>
        <v>女性</v>
      </c>
      <c r="L150" s="66">
        <f>IFERROR(VLOOKUP(D150,input_4!L:R,7,FALSE),VLOOKUP(tables_4!B150,input_4!A:H,8,FALSE))</f>
        <v>999</v>
      </c>
      <c r="M150" s="67">
        <f t="shared" si="6"/>
        <v>9.6153846153846154E-5</v>
      </c>
      <c r="N150" s="31">
        <f>IFERROR(VLOOKUP($D150,bug_conf_sheet!$A:$H,3,FALSE),VLOOKUP("other",bug_conf_sheet!$A:$H,3,FALSE))</f>
        <v>1</v>
      </c>
      <c r="O150" s="31">
        <f>IFERROR(VLOOKUP($D150,bug_conf_sheet!$A:$H,4,FALSE),VLOOKUP("other",bug_conf_sheet!$A:$H,4,FALSE))</f>
        <v>0</v>
      </c>
      <c r="P150" s="31">
        <f>IFERROR(VLOOKUP($D150,bug_conf_sheet!$A:$H,5,FALSE),VLOOKUP("other",bug_conf_sheet!$A:$H,5,FALSE))</f>
        <v>0</v>
      </c>
      <c r="Q150" s="31">
        <f>IFERROR(VLOOKUP($D150,bug_conf_sheet!$A:$H,6,FALSE),VLOOKUP("other",bug_conf_sheet!$A:$H,6,FALSE))</f>
        <v>0</v>
      </c>
      <c r="R150" s="31">
        <f>IFERROR(VLOOKUP($D150,bug_conf_sheet!$A:$H,7,FALSE),VLOOKUP("other",bug_conf_sheet!$A:$H,7,FALSE))</f>
        <v>0</v>
      </c>
      <c r="S150" s="31">
        <f>IFERROR(VLOOKUP($D150,bug_conf_sheet!$A:$H,8,FALSE),VLOOKUP("other",bug_conf_sheet!$A:$H,8,FALSE))</f>
        <v>1</v>
      </c>
    </row>
    <row r="151" spans="1:19" ht="21" customHeight="1">
      <c r="A151" s="2">
        <f>input_4!A$2</f>
        <v>3124</v>
      </c>
      <c r="B151" s="7" t="str">
        <f t="shared" si="7"/>
        <v>PremiumSS4</v>
      </c>
      <c r="C151" s="7" t="str">
        <f t="shared" si="8"/>
        <v>PremiumSS</v>
      </c>
      <c r="D151" s="6">
        <v>385</v>
      </c>
      <c r="E151" s="7" t="str">
        <f>VLOOKUP(D151,[1]characters!$A:$C,3,FALSE)</f>
        <v>波烈の出奔 リヴァイアサン</v>
      </c>
      <c r="F151" s="7" t="str">
        <f>VLOOKUP(D151,[1]characters!$A:$J,10,FALSE)</f>
        <v>PremiumSS</v>
      </c>
      <c r="G151" s="7">
        <f>VLOOKUP(D151,[1]characters!$A:$I,9,FALSE)</f>
        <v>4</v>
      </c>
      <c r="H151" s="7" t="str">
        <f>VLOOKUP(D151,[1]characters!$A:$H,8,FALSE)</f>
        <v>blue</v>
      </c>
      <c r="I151" s="7" t="str">
        <f>VLOOKUP(D151,[1]characters!$A:$K,11,FALSE)</f>
        <v>balance</v>
      </c>
      <c r="J151" s="7" t="str">
        <f>VLOOKUP(D151,[1]characters!$A:$M,13,FALSE)</f>
        <v>dragon</v>
      </c>
      <c r="K151" s="7" t="str">
        <f>VLOOKUP(D151,[1]characters!$A:$G,7,FALSE)</f>
        <v>女性</v>
      </c>
      <c r="L151" s="66">
        <f>IFERROR(VLOOKUP(D151,input_4!L:R,7,FALSE),VLOOKUP(tables_4!B151,input_4!A:H,8,FALSE))</f>
        <v>8991</v>
      </c>
      <c r="M151" s="67">
        <f t="shared" si="6"/>
        <v>8.6538461538461541E-4</v>
      </c>
      <c r="N151" s="31">
        <f>IFERROR(VLOOKUP($D151,bug_conf_sheet!$A:$H,3,FALSE),VLOOKUP("other",bug_conf_sheet!$A:$H,3,FALSE))</f>
        <v>1</v>
      </c>
      <c r="O151" s="31">
        <f>IFERROR(VLOOKUP($D151,bug_conf_sheet!$A:$H,4,FALSE),VLOOKUP("other",bug_conf_sheet!$A:$H,4,FALSE))</f>
        <v>0</v>
      </c>
      <c r="P151" s="31">
        <f>IFERROR(VLOOKUP($D151,bug_conf_sheet!$A:$H,5,FALSE),VLOOKUP("other",bug_conf_sheet!$A:$H,5,FALSE))</f>
        <v>0</v>
      </c>
      <c r="Q151" s="31">
        <f>IFERROR(VLOOKUP($D151,bug_conf_sheet!$A:$H,6,FALSE),VLOOKUP("other",bug_conf_sheet!$A:$H,6,FALSE))</f>
        <v>0</v>
      </c>
      <c r="R151" s="31">
        <f>IFERROR(VLOOKUP($D151,bug_conf_sheet!$A:$H,7,FALSE),VLOOKUP("other",bug_conf_sheet!$A:$H,7,FALSE))</f>
        <v>0</v>
      </c>
      <c r="S151" s="31">
        <f>IFERROR(VLOOKUP($D151,bug_conf_sheet!$A:$H,8,FALSE),VLOOKUP("other",bug_conf_sheet!$A:$H,8,FALSE))</f>
        <v>1</v>
      </c>
    </row>
    <row r="152" spans="1:19" ht="21" customHeight="1">
      <c r="A152" s="2">
        <f>input_4!A$2</f>
        <v>3124</v>
      </c>
      <c r="B152" s="7" t="str">
        <f t="shared" si="7"/>
        <v>PremiumSS5</v>
      </c>
      <c r="C152" s="7" t="str">
        <f t="shared" si="8"/>
        <v>PremiumSS</v>
      </c>
      <c r="D152" s="6">
        <v>386</v>
      </c>
      <c r="E152" s="7" t="str">
        <f>VLOOKUP(D152,[1]characters!$A:$C,3,FALSE)</f>
        <v>氾乱の海龍 リヴァイアサン</v>
      </c>
      <c r="F152" s="7" t="str">
        <f>VLOOKUP(D152,[1]characters!$A:$J,10,FALSE)</f>
        <v>PremiumSS</v>
      </c>
      <c r="G152" s="7">
        <f>VLOOKUP(D152,[1]characters!$A:$I,9,FALSE)</f>
        <v>5</v>
      </c>
      <c r="H152" s="7" t="str">
        <f>VLOOKUP(D152,[1]characters!$A:$H,8,FALSE)</f>
        <v>blue</v>
      </c>
      <c r="I152" s="7" t="str">
        <f>VLOOKUP(D152,[1]characters!$A:$K,11,FALSE)</f>
        <v>balance</v>
      </c>
      <c r="J152" s="7" t="str">
        <f>VLOOKUP(D152,[1]characters!$A:$M,13,FALSE)</f>
        <v>dragon</v>
      </c>
      <c r="K152" s="7" t="str">
        <f>VLOOKUP(D152,[1]characters!$A:$G,7,FALSE)</f>
        <v>女性</v>
      </c>
      <c r="L152" s="66">
        <f>IFERROR(VLOOKUP(D152,input_4!L:R,7,FALSE),VLOOKUP(tables_4!B152,input_4!A:H,8,FALSE))</f>
        <v>999</v>
      </c>
      <c r="M152" s="67">
        <f t="shared" si="6"/>
        <v>9.6153846153846154E-5</v>
      </c>
      <c r="N152" s="31">
        <f>IFERROR(VLOOKUP($D152,bug_conf_sheet!$A:$H,3,FALSE),VLOOKUP("other",bug_conf_sheet!$A:$H,3,FALSE))</f>
        <v>1</v>
      </c>
      <c r="O152" s="31">
        <f>IFERROR(VLOOKUP($D152,bug_conf_sheet!$A:$H,4,FALSE),VLOOKUP("other",bug_conf_sheet!$A:$H,4,FALSE))</f>
        <v>0</v>
      </c>
      <c r="P152" s="31">
        <f>IFERROR(VLOOKUP($D152,bug_conf_sheet!$A:$H,5,FALSE),VLOOKUP("other",bug_conf_sheet!$A:$H,5,FALSE))</f>
        <v>0</v>
      </c>
      <c r="Q152" s="31">
        <f>IFERROR(VLOOKUP($D152,bug_conf_sheet!$A:$H,6,FALSE),VLOOKUP("other",bug_conf_sheet!$A:$H,6,FALSE))</f>
        <v>0</v>
      </c>
      <c r="R152" s="31">
        <f>IFERROR(VLOOKUP($D152,bug_conf_sheet!$A:$H,7,FALSE),VLOOKUP("other",bug_conf_sheet!$A:$H,7,FALSE))</f>
        <v>0</v>
      </c>
      <c r="S152" s="31">
        <f>IFERROR(VLOOKUP($D152,bug_conf_sheet!$A:$H,8,FALSE),VLOOKUP("other",bug_conf_sheet!$A:$H,8,FALSE))</f>
        <v>1</v>
      </c>
    </row>
    <row r="153" spans="1:19" ht="21" customHeight="1">
      <c r="A153" s="2">
        <f>input_4!A$2</f>
        <v>3124</v>
      </c>
      <c r="B153" s="7" t="str">
        <f t="shared" si="7"/>
        <v>Premium3</v>
      </c>
      <c r="C153" s="7" t="str">
        <f t="shared" si="8"/>
        <v>Premium</v>
      </c>
      <c r="D153" s="6">
        <v>387</v>
      </c>
      <c r="E153" s="7" t="str">
        <f>VLOOKUP(D153,[1]characters!$A:$C,3,FALSE)</f>
        <v>スフィンクス</v>
      </c>
      <c r="F153" s="7" t="str">
        <f>VLOOKUP(D153,[1]characters!$A:$J,10,FALSE)</f>
        <v>PremiumS</v>
      </c>
      <c r="G153" s="7">
        <f>VLOOKUP(D153,[1]characters!$A:$I,9,FALSE)</f>
        <v>3</v>
      </c>
      <c r="H153" s="7" t="str">
        <f>VLOOKUP(D153,[1]characters!$A:$H,8,FALSE)</f>
        <v>yellow</v>
      </c>
      <c r="I153" s="7" t="str">
        <f>VLOOKUP(D153,[1]characters!$A:$K,11,FALSE)</f>
        <v>heal</v>
      </c>
      <c r="J153" s="7" t="str">
        <f>VLOOKUP(D153,[1]characters!$A:$M,13,FALSE)</f>
        <v>animal</v>
      </c>
      <c r="K153" s="7" t="str">
        <f>VLOOKUP(D153,[1]characters!$A:$G,7,FALSE)</f>
        <v>女性</v>
      </c>
      <c r="L153" s="66">
        <f>IFERROR(VLOOKUP(D153,input_4!L:R,7,FALSE),VLOOKUP(tables_4!B153,input_4!A:H,8,FALSE))</f>
        <v>70200</v>
      </c>
      <c r="M153" s="67">
        <f t="shared" si="6"/>
        <v>6.7567567567567571E-3</v>
      </c>
      <c r="N153" s="31">
        <f>IFERROR(VLOOKUP($D153,bug_conf_sheet!$A:$H,3,FALSE),VLOOKUP("other",bug_conf_sheet!$A:$H,3,FALSE))</f>
        <v>1</v>
      </c>
      <c r="O153" s="31">
        <f>IFERROR(VLOOKUP($D153,bug_conf_sheet!$A:$H,4,FALSE),VLOOKUP("other",bug_conf_sheet!$A:$H,4,FALSE))</f>
        <v>0</v>
      </c>
      <c r="P153" s="31">
        <f>IFERROR(VLOOKUP($D153,bug_conf_sheet!$A:$H,5,FALSE),VLOOKUP("other",bug_conf_sheet!$A:$H,5,FALSE))</f>
        <v>0</v>
      </c>
      <c r="Q153" s="31">
        <f>IFERROR(VLOOKUP($D153,bug_conf_sheet!$A:$H,6,FALSE),VLOOKUP("other",bug_conf_sheet!$A:$H,6,FALSE))</f>
        <v>0</v>
      </c>
      <c r="R153" s="31">
        <f>IFERROR(VLOOKUP($D153,bug_conf_sheet!$A:$H,7,FALSE),VLOOKUP("other",bug_conf_sheet!$A:$H,7,FALSE))</f>
        <v>0</v>
      </c>
      <c r="S153" s="31">
        <f>IFERROR(VLOOKUP($D153,bug_conf_sheet!$A:$H,8,FALSE),VLOOKUP("other",bug_conf_sheet!$A:$H,8,FALSE))</f>
        <v>1</v>
      </c>
    </row>
    <row r="154" spans="1:19" ht="21" customHeight="1">
      <c r="A154" s="2">
        <f>input_4!A$2</f>
        <v>3124</v>
      </c>
      <c r="B154" s="7" t="str">
        <f t="shared" si="7"/>
        <v>Premium4</v>
      </c>
      <c r="C154" s="7" t="str">
        <f t="shared" si="8"/>
        <v>Premium</v>
      </c>
      <c r="D154" s="6">
        <v>388</v>
      </c>
      <c r="E154" s="7" t="str">
        <f>VLOOKUP(D154,[1]characters!$A:$C,3,FALSE)</f>
        <v>神円の恋姫 スフィンクス</v>
      </c>
      <c r="F154" s="7" t="str">
        <f>VLOOKUP(D154,[1]characters!$A:$J,10,FALSE)</f>
        <v>PremiumS</v>
      </c>
      <c r="G154" s="7">
        <f>VLOOKUP(D154,[1]characters!$A:$I,9,FALSE)</f>
        <v>4</v>
      </c>
      <c r="H154" s="7" t="str">
        <f>VLOOKUP(D154,[1]characters!$A:$H,8,FALSE)</f>
        <v>yellow</v>
      </c>
      <c r="I154" s="7" t="str">
        <f>VLOOKUP(D154,[1]characters!$A:$K,11,FALSE)</f>
        <v>heal</v>
      </c>
      <c r="J154" s="7" t="str">
        <f>VLOOKUP(D154,[1]characters!$A:$M,13,FALSE)</f>
        <v>animal</v>
      </c>
      <c r="K154" s="7" t="str">
        <f>VLOOKUP(D154,[1]characters!$A:$G,7,FALSE)</f>
        <v>女性</v>
      </c>
      <c r="L154" s="66">
        <f>IFERROR(VLOOKUP(D154,input_4!L:R,7,FALSE),VLOOKUP(tables_4!B154,input_4!A:H,8,FALSE))</f>
        <v>60021</v>
      </c>
      <c r="M154" s="67">
        <f t="shared" si="6"/>
        <v>5.777027027027027E-3</v>
      </c>
      <c r="N154" s="31">
        <f>IFERROR(VLOOKUP($D154,bug_conf_sheet!$A:$H,3,FALSE),VLOOKUP("other",bug_conf_sheet!$A:$H,3,FALSE))</f>
        <v>1</v>
      </c>
      <c r="O154" s="31">
        <f>IFERROR(VLOOKUP($D154,bug_conf_sheet!$A:$H,4,FALSE),VLOOKUP("other",bug_conf_sheet!$A:$H,4,FALSE))</f>
        <v>0</v>
      </c>
      <c r="P154" s="31">
        <f>IFERROR(VLOOKUP($D154,bug_conf_sheet!$A:$H,5,FALSE),VLOOKUP("other",bug_conf_sheet!$A:$H,5,FALSE))</f>
        <v>0</v>
      </c>
      <c r="Q154" s="31">
        <f>IFERROR(VLOOKUP($D154,bug_conf_sheet!$A:$H,6,FALSE),VLOOKUP("other",bug_conf_sheet!$A:$H,6,FALSE))</f>
        <v>0</v>
      </c>
      <c r="R154" s="31">
        <f>IFERROR(VLOOKUP($D154,bug_conf_sheet!$A:$H,7,FALSE),VLOOKUP("other",bug_conf_sheet!$A:$H,7,FALSE))</f>
        <v>0</v>
      </c>
      <c r="S154" s="31">
        <f>IFERROR(VLOOKUP($D154,bug_conf_sheet!$A:$H,8,FALSE),VLOOKUP("other",bug_conf_sheet!$A:$H,8,FALSE))</f>
        <v>1</v>
      </c>
    </row>
    <row r="155" spans="1:19" ht="21" customHeight="1">
      <c r="A155" s="2">
        <f>input_4!A$2</f>
        <v>3124</v>
      </c>
      <c r="B155" s="7" t="str">
        <f t="shared" si="7"/>
        <v>Premium5</v>
      </c>
      <c r="C155" s="7" t="str">
        <f t="shared" si="8"/>
        <v>Premium</v>
      </c>
      <c r="D155" s="6">
        <v>389</v>
      </c>
      <c r="E155" s="7" t="str">
        <f>VLOOKUP(D155,[1]characters!$A:$C,3,FALSE)</f>
        <v>操神の愛姫 スフィンクス</v>
      </c>
      <c r="F155" s="7" t="str">
        <f>VLOOKUP(D155,[1]characters!$A:$J,10,FALSE)</f>
        <v>PremiumS</v>
      </c>
      <c r="G155" s="7">
        <f>VLOOKUP(D155,[1]characters!$A:$I,9,FALSE)</f>
        <v>5</v>
      </c>
      <c r="H155" s="7" t="str">
        <f>VLOOKUP(D155,[1]characters!$A:$H,8,FALSE)</f>
        <v>yellow</v>
      </c>
      <c r="I155" s="7" t="str">
        <f>VLOOKUP(D155,[1]characters!$A:$K,11,FALSE)</f>
        <v>heal</v>
      </c>
      <c r="J155" s="7" t="str">
        <f>VLOOKUP(D155,[1]characters!$A:$M,13,FALSE)</f>
        <v>animal</v>
      </c>
      <c r="K155" s="7" t="str">
        <f>VLOOKUP(D155,[1]characters!$A:$G,7,FALSE)</f>
        <v>女性</v>
      </c>
      <c r="L155" s="66">
        <f>IFERROR(VLOOKUP(D155,input_4!L:R,7,FALSE),VLOOKUP(tables_4!B155,input_4!A:H,8,FALSE))</f>
        <v>9139</v>
      </c>
      <c r="M155" s="67">
        <f t="shared" si="6"/>
        <v>8.7962962962962962E-4</v>
      </c>
      <c r="N155" s="31">
        <f>IFERROR(VLOOKUP($D155,bug_conf_sheet!$A:$H,3,FALSE),VLOOKUP("other",bug_conf_sheet!$A:$H,3,FALSE))</f>
        <v>1</v>
      </c>
      <c r="O155" s="31">
        <f>IFERROR(VLOOKUP($D155,bug_conf_sheet!$A:$H,4,FALSE),VLOOKUP("other",bug_conf_sheet!$A:$H,4,FALSE))</f>
        <v>0</v>
      </c>
      <c r="P155" s="31">
        <f>IFERROR(VLOOKUP($D155,bug_conf_sheet!$A:$H,5,FALSE),VLOOKUP("other",bug_conf_sheet!$A:$H,5,FALSE))</f>
        <v>0</v>
      </c>
      <c r="Q155" s="31">
        <f>IFERROR(VLOOKUP($D155,bug_conf_sheet!$A:$H,6,FALSE),VLOOKUP("other",bug_conf_sheet!$A:$H,6,FALSE))</f>
        <v>0</v>
      </c>
      <c r="R155" s="31">
        <f>IFERROR(VLOOKUP($D155,bug_conf_sheet!$A:$H,7,FALSE),VLOOKUP("other",bug_conf_sheet!$A:$H,7,FALSE))</f>
        <v>0</v>
      </c>
      <c r="S155" s="31">
        <f>IFERROR(VLOOKUP($D155,bug_conf_sheet!$A:$H,8,FALSE),VLOOKUP("other",bug_conf_sheet!$A:$H,8,FALSE))</f>
        <v>1</v>
      </c>
    </row>
    <row r="156" spans="1:19" ht="21" customHeight="1">
      <c r="A156" s="2">
        <f>input_4!A$2</f>
        <v>3124</v>
      </c>
      <c r="B156" s="7" t="str">
        <f t="shared" si="7"/>
        <v>PremiumSS4</v>
      </c>
      <c r="C156" s="7" t="str">
        <f t="shared" si="8"/>
        <v>PremiumSS</v>
      </c>
      <c r="D156" s="6">
        <v>390</v>
      </c>
      <c r="E156" s="7" t="str">
        <f>VLOOKUP(D156,[1]characters!$A:$C,3,FALSE)</f>
        <v>華環の旅客 親指姫</v>
      </c>
      <c r="F156" s="7" t="str">
        <f>VLOOKUP(D156,[1]characters!$A:$J,10,FALSE)</f>
        <v>PremiumSS</v>
      </c>
      <c r="G156" s="7">
        <f>VLOOKUP(D156,[1]characters!$A:$I,9,FALSE)</f>
        <v>4</v>
      </c>
      <c r="H156" s="7" t="str">
        <f>VLOOKUP(D156,[1]characters!$A:$H,8,FALSE)</f>
        <v>red</v>
      </c>
      <c r="I156" s="7" t="str">
        <f>VLOOKUP(D156,[1]characters!$A:$K,11,FALSE)</f>
        <v>heal</v>
      </c>
      <c r="J156" s="7" t="str">
        <f>VLOOKUP(D156,[1]characters!$A:$M,13,FALSE)</f>
        <v>human</v>
      </c>
      <c r="K156" s="7" t="str">
        <f>VLOOKUP(D156,[1]characters!$A:$G,7,FALSE)</f>
        <v>女性</v>
      </c>
      <c r="L156" s="66">
        <f>IFERROR(VLOOKUP(D156,input_4!L:R,7,FALSE),VLOOKUP(tables_4!B156,input_4!A:H,8,FALSE))</f>
        <v>8991</v>
      </c>
      <c r="M156" s="67">
        <f t="shared" si="6"/>
        <v>8.6538461538461541E-4</v>
      </c>
      <c r="N156" s="31">
        <f>IFERROR(VLOOKUP($D156,bug_conf_sheet!$A:$H,3,FALSE),VLOOKUP("other",bug_conf_sheet!$A:$H,3,FALSE))</f>
        <v>1</v>
      </c>
      <c r="O156" s="31">
        <f>IFERROR(VLOOKUP($D156,bug_conf_sheet!$A:$H,4,FALSE),VLOOKUP("other",bug_conf_sheet!$A:$H,4,FALSE))</f>
        <v>0</v>
      </c>
      <c r="P156" s="31">
        <f>IFERROR(VLOOKUP($D156,bug_conf_sheet!$A:$H,5,FALSE),VLOOKUP("other",bug_conf_sheet!$A:$H,5,FALSE))</f>
        <v>0</v>
      </c>
      <c r="Q156" s="31">
        <f>IFERROR(VLOOKUP($D156,bug_conf_sheet!$A:$H,6,FALSE),VLOOKUP("other",bug_conf_sheet!$A:$H,6,FALSE))</f>
        <v>0</v>
      </c>
      <c r="R156" s="31">
        <f>IFERROR(VLOOKUP($D156,bug_conf_sheet!$A:$H,7,FALSE),VLOOKUP("other",bug_conf_sheet!$A:$H,7,FALSE))</f>
        <v>0</v>
      </c>
      <c r="S156" s="31">
        <f>IFERROR(VLOOKUP($D156,bug_conf_sheet!$A:$H,8,FALSE),VLOOKUP("other",bug_conf_sheet!$A:$H,8,FALSE))</f>
        <v>1</v>
      </c>
    </row>
    <row r="157" spans="1:19" ht="21" customHeight="1">
      <c r="A157" s="2">
        <f>input_4!A$2</f>
        <v>3124</v>
      </c>
      <c r="B157" s="7" t="str">
        <f t="shared" si="7"/>
        <v>PremiumSS5</v>
      </c>
      <c r="C157" s="7" t="str">
        <f t="shared" si="8"/>
        <v>PremiumSS</v>
      </c>
      <c r="D157" s="6">
        <v>391</v>
      </c>
      <c r="E157" s="7" t="str">
        <f>VLOOKUP(D157,[1]characters!$A:$C,3,FALSE)</f>
        <v>燕翼の旅人 親指姫</v>
      </c>
      <c r="F157" s="7" t="str">
        <f>VLOOKUP(D157,[1]characters!$A:$J,10,FALSE)</f>
        <v>PremiumSS</v>
      </c>
      <c r="G157" s="7">
        <f>VLOOKUP(D157,[1]characters!$A:$I,9,FALSE)</f>
        <v>5</v>
      </c>
      <c r="H157" s="7" t="str">
        <f>VLOOKUP(D157,[1]characters!$A:$H,8,FALSE)</f>
        <v>red</v>
      </c>
      <c r="I157" s="7" t="str">
        <f>VLOOKUP(D157,[1]characters!$A:$K,11,FALSE)</f>
        <v>heal</v>
      </c>
      <c r="J157" s="7" t="str">
        <f>VLOOKUP(D157,[1]characters!$A:$M,13,FALSE)</f>
        <v>human</v>
      </c>
      <c r="K157" s="7" t="str">
        <f>VLOOKUP(D157,[1]characters!$A:$G,7,FALSE)</f>
        <v>女性</v>
      </c>
      <c r="L157" s="66">
        <f>IFERROR(VLOOKUP(D157,input_4!L:R,7,FALSE),VLOOKUP(tables_4!B157,input_4!A:H,8,FALSE))</f>
        <v>999</v>
      </c>
      <c r="M157" s="67">
        <f t="shared" si="6"/>
        <v>9.6153846153846154E-5</v>
      </c>
      <c r="N157" s="31">
        <f>IFERROR(VLOOKUP($D157,bug_conf_sheet!$A:$H,3,FALSE),VLOOKUP("other",bug_conf_sheet!$A:$H,3,FALSE))</f>
        <v>1</v>
      </c>
      <c r="O157" s="31">
        <f>IFERROR(VLOOKUP($D157,bug_conf_sheet!$A:$H,4,FALSE),VLOOKUP("other",bug_conf_sheet!$A:$H,4,FALSE))</f>
        <v>0</v>
      </c>
      <c r="P157" s="31">
        <f>IFERROR(VLOOKUP($D157,bug_conf_sheet!$A:$H,5,FALSE),VLOOKUP("other",bug_conf_sheet!$A:$H,5,FALSE))</f>
        <v>0</v>
      </c>
      <c r="Q157" s="31">
        <f>IFERROR(VLOOKUP($D157,bug_conf_sheet!$A:$H,6,FALSE),VLOOKUP("other",bug_conf_sheet!$A:$H,6,FALSE))</f>
        <v>0</v>
      </c>
      <c r="R157" s="31">
        <f>IFERROR(VLOOKUP($D157,bug_conf_sheet!$A:$H,7,FALSE),VLOOKUP("other",bug_conf_sheet!$A:$H,7,FALSE))</f>
        <v>0</v>
      </c>
      <c r="S157" s="31">
        <f>IFERROR(VLOOKUP($D157,bug_conf_sheet!$A:$H,8,FALSE),VLOOKUP("other",bug_conf_sheet!$A:$H,8,FALSE))</f>
        <v>1</v>
      </c>
    </row>
    <row r="158" spans="1:19" ht="21" customHeight="1">
      <c r="A158" s="2">
        <f>input_4!A$2</f>
        <v>3124</v>
      </c>
      <c r="B158" s="7" t="str">
        <f t="shared" si="7"/>
        <v>Premium3</v>
      </c>
      <c r="C158" s="7" t="str">
        <f t="shared" si="8"/>
        <v>Premium</v>
      </c>
      <c r="D158" s="6">
        <v>392</v>
      </c>
      <c r="E158" s="7" t="str">
        <f>VLOOKUP(D158,[1]characters!$A:$C,3,FALSE)</f>
        <v>ピーターパン</v>
      </c>
      <c r="F158" s="7" t="str">
        <f>VLOOKUP(D158,[1]characters!$A:$J,10,FALSE)</f>
        <v>PremiumS</v>
      </c>
      <c r="G158" s="7">
        <f>VLOOKUP(D158,[1]characters!$A:$I,9,FALSE)</f>
        <v>3</v>
      </c>
      <c r="H158" s="7" t="str">
        <f>VLOOKUP(D158,[1]characters!$A:$H,8,FALSE)</f>
        <v>green</v>
      </c>
      <c r="I158" s="7" t="str">
        <f>VLOOKUP(D158,[1]characters!$A:$K,11,FALSE)</f>
        <v>attack</v>
      </c>
      <c r="J158" s="7" t="str">
        <f>VLOOKUP(D158,[1]characters!$A:$M,13,FALSE)</f>
        <v>human</v>
      </c>
      <c r="K158" s="7" t="str">
        <f>VLOOKUP(D158,[1]characters!$A:$G,7,FALSE)</f>
        <v>男性</v>
      </c>
      <c r="L158" s="66">
        <f>IFERROR(VLOOKUP(D158,input_4!L:R,7,FALSE),VLOOKUP(tables_4!B158,input_4!A:H,8,FALSE))</f>
        <v>70200</v>
      </c>
      <c r="M158" s="67">
        <f t="shared" si="6"/>
        <v>6.7567567567567571E-3</v>
      </c>
      <c r="N158" s="31">
        <f>IFERROR(VLOOKUP($D158,bug_conf_sheet!$A:$H,3,FALSE),VLOOKUP("other",bug_conf_sheet!$A:$H,3,FALSE))</f>
        <v>1</v>
      </c>
      <c r="O158" s="31">
        <f>IFERROR(VLOOKUP($D158,bug_conf_sheet!$A:$H,4,FALSE),VLOOKUP("other",bug_conf_sheet!$A:$H,4,FALSE))</f>
        <v>0</v>
      </c>
      <c r="P158" s="31">
        <f>IFERROR(VLOOKUP($D158,bug_conf_sheet!$A:$H,5,FALSE),VLOOKUP("other",bug_conf_sheet!$A:$H,5,FALSE))</f>
        <v>0</v>
      </c>
      <c r="Q158" s="31">
        <f>IFERROR(VLOOKUP($D158,bug_conf_sheet!$A:$H,6,FALSE),VLOOKUP("other",bug_conf_sheet!$A:$H,6,FALSE))</f>
        <v>0</v>
      </c>
      <c r="R158" s="31">
        <f>IFERROR(VLOOKUP($D158,bug_conf_sheet!$A:$H,7,FALSE),VLOOKUP("other",bug_conf_sheet!$A:$H,7,FALSE))</f>
        <v>0</v>
      </c>
      <c r="S158" s="31">
        <f>IFERROR(VLOOKUP($D158,bug_conf_sheet!$A:$H,8,FALSE),VLOOKUP("other",bug_conf_sheet!$A:$H,8,FALSE))</f>
        <v>1</v>
      </c>
    </row>
    <row r="159" spans="1:19" ht="21" customHeight="1">
      <c r="A159" s="2">
        <f>input_4!A$2</f>
        <v>3124</v>
      </c>
      <c r="B159" s="7" t="str">
        <f t="shared" si="7"/>
        <v>Premium4</v>
      </c>
      <c r="C159" s="7" t="str">
        <f t="shared" si="8"/>
        <v>Premium</v>
      </c>
      <c r="D159" s="6">
        <v>393</v>
      </c>
      <c r="E159" s="7" t="str">
        <f>VLOOKUP(D159,[1]characters!$A:$C,3,FALSE)</f>
        <v>影縫い ピーターパン</v>
      </c>
      <c r="F159" s="7" t="str">
        <f>VLOOKUP(D159,[1]characters!$A:$J,10,FALSE)</f>
        <v>PremiumS</v>
      </c>
      <c r="G159" s="7">
        <f>VLOOKUP(D159,[1]characters!$A:$I,9,FALSE)</f>
        <v>4</v>
      </c>
      <c r="H159" s="7" t="str">
        <f>VLOOKUP(D159,[1]characters!$A:$H,8,FALSE)</f>
        <v>green</v>
      </c>
      <c r="I159" s="7" t="str">
        <f>VLOOKUP(D159,[1]characters!$A:$K,11,FALSE)</f>
        <v>attack</v>
      </c>
      <c r="J159" s="7" t="str">
        <f>VLOOKUP(D159,[1]characters!$A:$M,13,FALSE)</f>
        <v>human</v>
      </c>
      <c r="K159" s="7" t="str">
        <f>VLOOKUP(D159,[1]characters!$A:$G,7,FALSE)</f>
        <v>男性</v>
      </c>
      <c r="L159" s="66">
        <f>IFERROR(VLOOKUP(D159,input_4!L:R,7,FALSE),VLOOKUP(tables_4!B159,input_4!A:H,8,FALSE))</f>
        <v>60021</v>
      </c>
      <c r="M159" s="67">
        <f t="shared" si="6"/>
        <v>5.777027027027027E-3</v>
      </c>
      <c r="N159" s="31">
        <f>IFERROR(VLOOKUP($D159,bug_conf_sheet!$A:$H,3,FALSE),VLOOKUP("other",bug_conf_sheet!$A:$H,3,FALSE))</f>
        <v>1</v>
      </c>
      <c r="O159" s="31">
        <f>IFERROR(VLOOKUP($D159,bug_conf_sheet!$A:$H,4,FALSE),VLOOKUP("other",bug_conf_sheet!$A:$H,4,FALSE))</f>
        <v>0</v>
      </c>
      <c r="P159" s="31">
        <f>IFERROR(VLOOKUP($D159,bug_conf_sheet!$A:$H,5,FALSE),VLOOKUP("other",bug_conf_sheet!$A:$H,5,FALSE))</f>
        <v>0</v>
      </c>
      <c r="Q159" s="31">
        <f>IFERROR(VLOOKUP($D159,bug_conf_sheet!$A:$H,6,FALSE),VLOOKUP("other",bug_conf_sheet!$A:$H,6,FALSE))</f>
        <v>0</v>
      </c>
      <c r="R159" s="31">
        <f>IFERROR(VLOOKUP($D159,bug_conf_sheet!$A:$H,7,FALSE),VLOOKUP("other",bug_conf_sheet!$A:$H,7,FALSE))</f>
        <v>0</v>
      </c>
      <c r="S159" s="31">
        <f>IFERROR(VLOOKUP($D159,bug_conf_sheet!$A:$H,8,FALSE),VLOOKUP("other",bug_conf_sheet!$A:$H,8,FALSE))</f>
        <v>1</v>
      </c>
    </row>
    <row r="160" spans="1:19" ht="21" customHeight="1">
      <c r="A160" s="2">
        <f>input_4!A$2</f>
        <v>3124</v>
      </c>
      <c r="B160" s="7" t="str">
        <f t="shared" si="7"/>
        <v>Premium5</v>
      </c>
      <c r="C160" s="7" t="str">
        <f t="shared" si="8"/>
        <v>Premium</v>
      </c>
      <c r="D160" s="6">
        <v>394</v>
      </c>
      <c r="E160" s="7" t="str">
        <f>VLOOKUP(D160,[1]characters!$A:$C,3,FALSE)</f>
        <v>影求の悪童 ピーターパン</v>
      </c>
      <c r="F160" s="7" t="str">
        <f>VLOOKUP(D160,[1]characters!$A:$J,10,FALSE)</f>
        <v>PremiumS</v>
      </c>
      <c r="G160" s="7">
        <f>VLOOKUP(D160,[1]characters!$A:$I,9,FALSE)</f>
        <v>5</v>
      </c>
      <c r="H160" s="7" t="str">
        <f>VLOOKUP(D160,[1]characters!$A:$H,8,FALSE)</f>
        <v>green</v>
      </c>
      <c r="I160" s="7" t="str">
        <f>VLOOKUP(D160,[1]characters!$A:$K,11,FALSE)</f>
        <v>attack</v>
      </c>
      <c r="J160" s="7" t="str">
        <f>VLOOKUP(D160,[1]characters!$A:$M,13,FALSE)</f>
        <v>human</v>
      </c>
      <c r="K160" s="7" t="str">
        <f>VLOOKUP(D160,[1]characters!$A:$G,7,FALSE)</f>
        <v>男性</v>
      </c>
      <c r="L160" s="66">
        <f>IFERROR(VLOOKUP(D160,input_4!L:R,7,FALSE),VLOOKUP(tables_4!B160,input_4!A:H,8,FALSE))</f>
        <v>9139</v>
      </c>
      <c r="M160" s="67">
        <f t="shared" si="6"/>
        <v>8.7962962962962962E-4</v>
      </c>
      <c r="N160" s="31">
        <f>IFERROR(VLOOKUP($D160,bug_conf_sheet!$A:$H,3,FALSE),VLOOKUP("other",bug_conf_sheet!$A:$H,3,FALSE))</f>
        <v>1</v>
      </c>
      <c r="O160" s="31">
        <f>IFERROR(VLOOKUP($D160,bug_conf_sheet!$A:$H,4,FALSE),VLOOKUP("other",bug_conf_sheet!$A:$H,4,FALSE))</f>
        <v>0</v>
      </c>
      <c r="P160" s="31">
        <f>IFERROR(VLOOKUP($D160,bug_conf_sheet!$A:$H,5,FALSE),VLOOKUP("other",bug_conf_sheet!$A:$H,5,FALSE))</f>
        <v>0</v>
      </c>
      <c r="Q160" s="31">
        <f>IFERROR(VLOOKUP($D160,bug_conf_sheet!$A:$H,6,FALSE),VLOOKUP("other",bug_conf_sheet!$A:$H,6,FALSE))</f>
        <v>0</v>
      </c>
      <c r="R160" s="31">
        <f>IFERROR(VLOOKUP($D160,bug_conf_sheet!$A:$H,7,FALSE),VLOOKUP("other",bug_conf_sheet!$A:$H,7,FALSE))</f>
        <v>0</v>
      </c>
      <c r="S160" s="31">
        <f>IFERROR(VLOOKUP($D160,bug_conf_sheet!$A:$H,8,FALSE),VLOOKUP("other",bug_conf_sheet!$A:$H,8,FALSE))</f>
        <v>1</v>
      </c>
    </row>
    <row r="161" spans="1:19" ht="21" customHeight="1">
      <c r="A161" s="2">
        <f>input_4!A$2</f>
        <v>3124</v>
      </c>
      <c r="B161" s="7" t="str">
        <f t="shared" si="7"/>
        <v>Premium3</v>
      </c>
      <c r="C161" s="7" t="str">
        <f t="shared" si="8"/>
        <v>Premium</v>
      </c>
      <c r="D161" s="6">
        <v>395</v>
      </c>
      <c r="E161" s="7" t="str">
        <f>VLOOKUP(D161,[1]characters!$A:$C,3,FALSE)</f>
        <v>乙姫</v>
      </c>
      <c r="F161" s="7" t="str">
        <f>VLOOKUP(D161,[1]characters!$A:$J,10,FALSE)</f>
        <v>PremiumS</v>
      </c>
      <c r="G161" s="7">
        <f>VLOOKUP(D161,[1]characters!$A:$I,9,FALSE)</f>
        <v>3</v>
      </c>
      <c r="H161" s="7" t="str">
        <f>VLOOKUP(D161,[1]characters!$A:$H,8,FALSE)</f>
        <v>blue</v>
      </c>
      <c r="I161" s="7" t="str">
        <f>VLOOKUP(D161,[1]characters!$A:$K,11,FALSE)</f>
        <v>hp</v>
      </c>
      <c r="J161" s="7" t="str">
        <f>VLOOKUP(D161,[1]characters!$A:$M,13,FALSE)</f>
        <v>human</v>
      </c>
      <c r="K161" s="7" t="str">
        <f>VLOOKUP(D161,[1]characters!$A:$G,7,FALSE)</f>
        <v>女性</v>
      </c>
      <c r="L161" s="66">
        <f>IFERROR(VLOOKUP(D161,input_4!L:R,7,FALSE),VLOOKUP(tables_4!B161,input_4!A:H,8,FALSE))</f>
        <v>70200</v>
      </c>
      <c r="M161" s="67">
        <f t="shared" si="6"/>
        <v>6.7567567567567571E-3</v>
      </c>
      <c r="N161" s="31">
        <f>IFERROR(VLOOKUP($D161,bug_conf_sheet!$A:$H,3,FALSE),VLOOKUP("other",bug_conf_sheet!$A:$H,3,FALSE))</f>
        <v>1</v>
      </c>
      <c r="O161" s="31">
        <f>IFERROR(VLOOKUP($D161,bug_conf_sheet!$A:$H,4,FALSE),VLOOKUP("other",bug_conf_sheet!$A:$H,4,FALSE))</f>
        <v>0</v>
      </c>
      <c r="P161" s="31">
        <f>IFERROR(VLOOKUP($D161,bug_conf_sheet!$A:$H,5,FALSE),VLOOKUP("other",bug_conf_sheet!$A:$H,5,FALSE))</f>
        <v>0</v>
      </c>
      <c r="Q161" s="31">
        <f>IFERROR(VLOOKUP($D161,bug_conf_sheet!$A:$H,6,FALSE),VLOOKUP("other",bug_conf_sheet!$A:$H,6,FALSE))</f>
        <v>0</v>
      </c>
      <c r="R161" s="31">
        <f>IFERROR(VLOOKUP($D161,bug_conf_sheet!$A:$H,7,FALSE),VLOOKUP("other",bug_conf_sheet!$A:$H,7,FALSE))</f>
        <v>0</v>
      </c>
      <c r="S161" s="31">
        <f>IFERROR(VLOOKUP($D161,bug_conf_sheet!$A:$H,8,FALSE),VLOOKUP("other",bug_conf_sheet!$A:$H,8,FALSE))</f>
        <v>1</v>
      </c>
    </row>
    <row r="162" spans="1:19" ht="21" customHeight="1">
      <c r="A162" s="2">
        <f>input_4!A$2</f>
        <v>3124</v>
      </c>
      <c r="B162" s="7" t="str">
        <f t="shared" si="7"/>
        <v>Premium4</v>
      </c>
      <c r="C162" s="7" t="str">
        <f t="shared" si="8"/>
        <v>Premium</v>
      </c>
      <c r="D162" s="6">
        <v>396</v>
      </c>
      <c r="E162" s="7" t="str">
        <f>VLOOKUP(D162,[1]characters!$A:$C,3,FALSE)</f>
        <v>竜宮の水雷 乙姫</v>
      </c>
      <c r="F162" s="7" t="str">
        <f>VLOOKUP(D162,[1]characters!$A:$J,10,FALSE)</f>
        <v>PremiumS</v>
      </c>
      <c r="G162" s="7">
        <f>VLOOKUP(D162,[1]characters!$A:$I,9,FALSE)</f>
        <v>4</v>
      </c>
      <c r="H162" s="7" t="str">
        <f>VLOOKUP(D162,[1]characters!$A:$H,8,FALSE)</f>
        <v>blue</v>
      </c>
      <c r="I162" s="7" t="str">
        <f>VLOOKUP(D162,[1]characters!$A:$K,11,FALSE)</f>
        <v>hp</v>
      </c>
      <c r="J162" s="7" t="str">
        <f>VLOOKUP(D162,[1]characters!$A:$M,13,FALSE)</f>
        <v>human</v>
      </c>
      <c r="K162" s="7" t="str">
        <f>VLOOKUP(D162,[1]characters!$A:$G,7,FALSE)</f>
        <v>女性</v>
      </c>
      <c r="L162" s="66">
        <f>IFERROR(VLOOKUP(D162,input_4!L:R,7,FALSE),VLOOKUP(tables_4!B162,input_4!A:H,8,FALSE))</f>
        <v>60021</v>
      </c>
      <c r="M162" s="67">
        <f t="shared" si="6"/>
        <v>5.777027027027027E-3</v>
      </c>
      <c r="N162" s="31">
        <f>IFERROR(VLOOKUP($D162,bug_conf_sheet!$A:$H,3,FALSE),VLOOKUP("other",bug_conf_sheet!$A:$H,3,FALSE))</f>
        <v>1</v>
      </c>
      <c r="O162" s="31">
        <f>IFERROR(VLOOKUP($D162,bug_conf_sheet!$A:$H,4,FALSE),VLOOKUP("other",bug_conf_sheet!$A:$H,4,FALSE))</f>
        <v>0</v>
      </c>
      <c r="P162" s="31">
        <f>IFERROR(VLOOKUP($D162,bug_conf_sheet!$A:$H,5,FALSE),VLOOKUP("other",bug_conf_sheet!$A:$H,5,FALSE))</f>
        <v>0</v>
      </c>
      <c r="Q162" s="31">
        <f>IFERROR(VLOOKUP($D162,bug_conf_sheet!$A:$H,6,FALSE),VLOOKUP("other",bug_conf_sheet!$A:$H,6,FALSE))</f>
        <v>0</v>
      </c>
      <c r="R162" s="31">
        <f>IFERROR(VLOOKUP($D162,bug_conf_sheet!$A:$H,7,FALSE),VLOOKUP("other",bug_conf_sheet!$A:$H,7,FALSE))</f>
        <v>0</v>
      </c>
      <c r="S162" s="31">
        <f>IFERROR(VLOOKUP($D162,bug_conf_sheet!$A:$H,8,FALSE),VLOOKUP("other",bug_conf_sheet!$A:$H,8,FALSE))</f>
        <v>1</v>
      </c>
    </row>
    <row r="163" spans="1:19" ht="21" customHeight="1">
      <c r="A163" s="2">
        <f>input_4!A$2</f>
        <v>3124</v>
      </c>
      <c r="B163" s="7" t="str">
        <f t="shared" si="7"/>
        <v>Premium5</v>
      </c>
      <c r="C163" s="7" t="str">
        <f t="shared" si="8"/>
        <v>Premium</v>
      </c>
      <c r="D163" s="6">
        <v>397</v>
      </c>
      <c r="E163" s="7" t="str">
        <f>VLOOKUP(D163,[1]characters!$A:$C,3,FALSE)</f>
        <v>禁断の追箱 乙姫</v>
      </c>
      <c r="F163" s="7" t="str">
        <f>VLOOKUP(D163,[1]characters!$A:$J,10,FALSE)</f>
        <v>PremiumS</v>
      </c>
      <c r="G163" s="7">
        <f>VLOOKUP(D163,[1]characters!$A:$I,9,FALSE)</f>
        <v>5</v>
      </c>
      <c r="H163" s="7" t="str">
        <f>VLOOKUP(D163,[1]characters!$A:$H,8,FALSE)</f>
        <v>blue</v>
      </c>
      <c r="I163" s="7" t="str">
        <f>VLOOKUP(D163,[1]characters!$A:$K,11,FALSE)</f>
        <v>hp</v>
      </c>
      <c r="J163" s="7" t="str">
        <f>VLOOKUP(D163,[1]characters!$A:$M,13,FALSE)</f>
        <v>human</v>
      </c>
      <c r="K163" s="7" t="str">
        <f>VLOOKUP(D163,[1]characters!$A:$G,7,FALSE)</f>
        <v>女性</v>
      </c>
      <c r="L163" s="66">
        <f>IFERROR(VLOOKUP(D163,input_4!L:R,7,FALSE),VLOOKUP(tables_4!B163,input_4!A:H,8,FALSE))</f>
        <v>9139</v>
      </c>
      <c r="M163" s="67">
        <f t="shared" si="6"/>
        <v>8.7962962962962962E-4</v>
      </c>
      <c r="N163" s="31">
        <f>IFERROR(VLOOKUP($D163,bug_conf_sheet!$A:$H,3,FALSE),VLOOKUP("other",bug_conf_sheet!$A:$H,3,FALSE))</f>
        <v>1</v>
      </c>
      <c r="O163" s="31">
        <f>IFERROR(VLOOKUP($D163,bug_conf_sheet!$A:$H,4,FALSE),VLOOKUP("other",bug_conf_sheet!$A:$H,4,FALSE))</f>
        <v>0</v>
      </c>
      <c r="P163" s="31">
        <f>IFERROR(VLOOKUP($D163,bug_conf_sheet!$A:$H,5,FALSE),VLOOKUP("other",bug_conf_sheet!$A:$H,5,FALSE))</f>
        <v>0</v>
      </c>
      <c r="Q163" s="31">
        <f>IFERROR(VLOOKUP($D163,bug_conf_sheet!$A:$H,6,FALSE),VLOOKUP("other",bug_conf_sheet!$A:$H,6,FALSE))</f>
        <v>0</v>
      </c>
      <c r="R163" s="31">
        <f>IFERROR(VLOOKUP($D163,bug_conf_sheet!$A:$H,7,FALSE),VLOOKUP("other",bug_conf_sheet!$A:$H,7,FALSE))</f>
        <v>0</v>
      </c>
      <c r="S163" s="31">
        <f>IFERROR(VLOOKUP($D163,bug_conf_sheet!$A:$H,8,FALSE),VLOOKUP("other",bug_conf_sheet!$A:$H,8,FALSE))</f>
        <v>1</v>
      </c>
    </row>
    <row r="164" spans="1:19" ht="21" customHeight="1">
      <c r="A164" s="2">
        <f>input_4!A$2</f>
        <v>3124</v>
      </c>
      <c r="B164" s="7" t="str">
        <f t="shared" si="7"/>
        <v>PremiumSS4</v>
      </c>
      <c r="C164" s="7" t="str">
        <f t="shared" si="8"/>
        <v>PremiumSS</v>
      </c>
      <c r="D164" s="6">
        <v>398</v>
      </c>
      <c r="E164" s="7" t="str">
        <f>VLOOKUP(D164,[1]characters!$A:$C,3,FALSE)</f>
        <v>ヘンゼル＆グレーテル</v>
      </c>
      <c r="F164" s="7" t="str">
        <f>VLOOKUP(D164,[1]characters!$A:$J,10,FALSE)</f>
        <v>PremiumSS</v>
      </c>
      <c r="G164" s="7">
        <f>VLOOKUP(D164,[1]characters!$A:$I,9,FALSE)</f>
        <v>4</v>
      </c>
      <c r="H164" s="7" t="str">
        <f>VLOOKUP(D164,[1]characters!$A:$H,8,FALSE)</f>
        <v>yellow</v>
      </c>
      <c r="I164" s="7" t="str">
        <f>VLOOKUP(D164,[1]characters!$A:$K,11,FALSE)</f>
        <v>balance</v>
      </c>
      <c r="J164" s="7" t="str">
        <f>VLOOKUP(D164,[1]characters!$A:$M,13,FALSE)</f>
        <v>human</v>
      </c>
      <c r="K164" s="7" t="str">
        <f>VLOOKUP(D164,[1]characters!$A:$G,7,FALSE)</f>
        <v>女性</v>
      </c>
      <c r="L164" s="66">
        <f>IFERROR(VLOOKUP(D164,input_4!L:R,7,FALSE),VLOOKUP(tables_4!B164,input_4!A:H,8,FALSE))</f>
        <v>8991</v>
      </c>
      <c r="M164" s="67">
        <f t="shared" si="6"/>
        <v>8.6538461538461541E-4</v>
      </c>
      <c r="N164" s="31">
        <f>IFERROR(VLOOKUP($D164,bug_conf_sheet!$A:$H,3,FALSE),VLOOKUP("other",bug_conf_sheet!$A:$H,3,FALSE))</f>
        <v>1</v>
      </c>
      <c r="O164" s="31">
        <f>IFERROR(VLOOKUP($D164,bug_conf_sheet!$A:$H,4,FALSE),VLOOKUP("other",bug_conf_sheet!$A:$H,4,FALSE))</f>
        <v>0</v>
      </c>
      <c r="P164" s="31">
        <f>IFERROR(VLOOKUP($D164,bug_conf_sheet!$A:$H,5,FALSE),VLOOKUP("other",bug_conf_sheet!$A:$H,5,FALSE))</f>
        <v>0</v>
      </c>
      <c r="Q164" s="31">
        <f>IFERROR(VLOOKUP($D164,bug_conf_sheet!$A:$H,6,FALSE),VLOOKUP("other",bug_conf_sheet!$A:$H,6,FALSE))</f>
        <v>0</v>
      </c>
      <c r="R164" s="31">
        <f>IFERROR(VLOOKUP($D164,bug_conf_sheet!$A:$H,7,FALSE),VLOOKUP("other",bug_conf_sheet!$A:$H,7,FALSE))</f>
        <v>0</v>
      </c>
      <c r="S164" s="31">
        <f>IFERROR(VLOOKUP($D164,bug_conf_sheet!$A:$H,8,FALSE),VLOOKUP("other",bug_conf_sheet!$A:$H,8,FALSE))</f>
        <v>1</v>
      </c>
    </row>
    <row r="165" spans="1:19" ht="21" customHeight="1">
      <c r="A165" s="2">
        <f>input_4!A$2</f>
        <v>3124</v>
      </c>
      <c r="B165" s="7" t="str">
        <f t="shared" si="7"/>
        <v>PremiumSS5</v>
      </c>
      <c r="C165" s="7" t="str">
        <f t="shared" si="8"/>
        <v>PremiumSS</v>
      </c>
      <c r="D165" s="6">
        <v>399</v>
      </c>
      <c r="E165" s="7" t="str">
        <f>VLOOKUP(D165,[1]characters!$A:$C,3,FALSE)</f>
        <v>信愛の兄妹 ヘンゼル＆グレーテル</v>
      </c>
      <c r="F165" s="7" t="str">
        <f>VLOOKUP(D165,[1]characters!$A:$J,10,FALSE)</f>
        <v>PremiumSS</v>
      </c>
      <c r="G165" s="7">
        <f>VLOOKUP(D165,[1]characters!$A:$I,9,FALSE)</f>
        <v>5</v>
      </c>
      <c r="H165" s="7" t="str">
        <f>VLOOKUP(D165,[1]characters!$A:$H,8,FALSE)</f>
        <v>yellow</v>
      </c>
      <c r="I165" s="7" t="str">
        <f>VLOOKUP(D165,[1]characters!$A:$K,11,FALSE)</f>
        <v>balance</v>
      </c>
      <c r="J165" s="7" t="str">
        <f>VLOOKUP(D165,[1]characters!$A:$M,13,FALSE)</f>
        <v>human</v>
      </c>
      <c r="K165" s="7" t="str">
        <f>VLOOKUP(D165,[1]characters!$A:$G,7,FALSE)</f>
        <v>女性</v>
      </c>
      <c r="L165" s="66">
        <f>IFERROR(VLOOKUP(D165,input_4!L:R,7,FALSE),VLOOKUP(tables_4!B165,input_4!A:H,8,FALSE))</f>
        <v>999</v>
      </c>
      <c r="M165" s="67">
        <f t="shared" si="6"/>
        <v>9.6153846153846154E-5</v>
      </c>
      <c r="N165" s="31">
        <f>IFERROR(VLOOKUP($D165,bug_conf_sheet!$A:$H,3,FALSE),VLOOKUP("other",bug_conf_sheet!$A:$H,3,FALSE))</f>
        <v>1</v>
      </c>
      <c r="O165" s="31">
        <f>IFERROR(VLOOKUP($D165,bug_conf_sheet!$A:$H,4,FALSE),VLOOKUP("other",bug_conf_sheet!$A:$H,4,FALSE))</f>
        <v>0</v>
      </c>
      <c r="P165" s="31">
        <f>IFERROR(VLOOKUP($D165,bug_conf_sheet!$A:$H,5,FALSE),VLOOKUP("other",bug_conf_sheet!$A:$H,5,FALSE))</f>
        <v>0</v>
      </c>
      <c r="Q165" s="31">
        <f>IFERROR(VLOOKUP($D165,bug_conf_sheet!$A:$H,6,FALSE),VLOOKUP("other",bug_conf_sheet!$A:$H,6,FALSE))</f>
        <v>0</v>
      </c>
      <c r="R165" s="31">
        <f>IFERROR(VLOOKUP($D165,bug_conf_sheet!$A:$H,7,FALSE),VLOOKUP("other",bug_conf_sheet!$A:$H,7,FALSE))</f>
        <v>0</v>
      </c>
      <c r="S165" s="31">
        <f>IFERROR(VLOOKUP($D165,bug_conf_sheet!$A:$H,8,FALSE),VLOOKUP("other",bug_conf_sheet!$A:$H,8,FALSE))</f>
        <v>1</v>
      </c>
    </row>
    <row r="166" spans="1:19" ht="21" customHeight="1">
      <c r="A166" s="2">
        <f>input_4!A$2</f>
        <v>3124</v>
      </c>
      <c r="B166" s="7" t="str">
        <f t="shared" si="7"/>
        <v>Premium3</v>
      </c>
      <c r="C166" s="7" t="str">
        <f t="shared" si="8"/>
        <v>Premium</v>
      </c>
      <c r="D166" s="6">
        <v>400</v>
      </c>
      <c r="E166" s="7" t="str">
        <f>VLOOKUP(D166,[1]characters!$A:$C,3,FALSE)</f>
        <v>フェンリル</v>
      </c>
      <c r="F166" s="7" t="str">
        <f>VLOOKUP(D166,[1]characters!$A:$J,10,FALSE)</f>
        <v>PremiumS</v>
      </c>
      <c r="G166" s="7">
        <f>VLOOKUP(D166,[1]characters!$A:$I,9,FALSE)</f>
        <v>3</v>
      </c>
      <c r="H166" s="7" t="str">
        <f>VLOOKUP(D166,[1]characters!$A:$H,8,FALSE)</f>
        <v>red</v>
      </c>
      <c r="I166" s="7" t="str">
        <f>VLOOKUP(D166,[1]characters!$A:$K,11,FALSE)</f>
        <v>attack</v>
      </c>
      <c r="J166" s="7" t="str">
        <f>VLOOKUP(D166,[1]characters!$A:$M,13,FALSE)</f>
        <v>animal</v>
      </c>
      <c r="K166" s="7" t="str">
        <f>VLOOKUP(D166,[1]characters!$A:$G,7,FALSE)</f>
        <v>女性</v>
      </c>
      <c r="L166" s="66">
        <f>IFERROR(VLOOKUP(D166,input_4!L:R,7,FALSE),VLOOKUP(tables_4!B166,input_4!A:H,8,FALSE))</f>
        <v>70200</v>
      </c>
      <c r="M166" s="67">
        <f t="shared" si="6"/>
        <v>6.7567567567567571E-3</v>
      </c>
      <c r="N166" s="31">
        <f>IFERROR(VLOOKUP($D166,bug_conf_sheet!$A:$H,3,FALSE),VLOOKUP("other",bug_conf_sheet!$A:$H,3,FALSE))</f>
        <v>1</v>
      </c>
      <c r="O166" s="31">
        <f>IFERROR(VLOOKUP($D166,bug_conf_sheet!$A:$H,4,FALSE),VLOOKUP("other",bug_conf_sheet!$A:$H,4,FALSE))</f>
        <v>0</v>
      </c>
      <c r="P166" s="31">
        <f>IFERROR(VLOOKUP($D166,bug_conf_sheet!$A:$H,5,FALSE),VLOOKUP("other",bug_conf_sheet!$A:$H,5,FALSE))</f>
        <v>0</v>
      </c>
      <c r="Q166" s="31">
        <f>IFERROR(VLOOKUP($D166,bug_conf_sheet!$A:$H,6,FALSE),VLOOKUP("other",bug_conf_sheet!$A:$H,6,FALSE))</f>
        <v>0</v>
      </c>
      <c r="R166" s="31">
        <f>IFERROR(VLOOKUP($D166,bug_conf_sheet!$A:$H,7,FALSE),VLOOKUP("other",bug_conf_sheet!$A:$H,7,FALSE))</f>
        <v>0</v>
      </c>
      <c r="S166" s="31">
        <f>IFERROR(VLOOKUP($D166,bug_conf_sheet!$A:$H,8,FALSE),VLOOKUP("other",bug_conf_sheet!$A:$H,8,FALSE))</f>
        <v>1</v>
      </c>
    </row>
    <row r="167" spans="1:19" ht="21" customHeight="1">
      <c r="A167" s="2">
        <f>input_4!A$2</f>
        <v>3124</v>
      </c>
      <c r="B167" s="7" t="str">
        <f t="shared" si="7"/>
        <v>Premium4</v>
      </c>
      <c r="C167" s="7" t="str">
        <f t="shared" si="8"/>
        <v>Premium</v>
      </c>
      <c r="D167" s="6">
        <v>401</v>
      </c>
      <c r="E167" s="7" t="str">
        <f>VLOOKUP(D167,[1]characters!$A:$C,3,FALSE)</f>
        <v>紅銀の孤狼 フェンリル</v>
      </c>
      <c r="F167" s="7" t="str">
        <f>VLOOKUP(D167,[1]characters!$A:$J,10,FALSE)</f>
        <v>PremiumS</v>
      </c>
      <c r="G167" s="7">
        <f>VLOOKUP(D167,[1]characters!$A:$I,9,FALSE)</f>
        <v>4</v>
      </c>
      <c r="H167" s="7" t="str">
        <f>VLOOKUP(D167,[1]characters!$A:$H,8,FALSE)</f>
        <v>red</v>
      </c>
      <c r="I167" s="7" t="str">
        <f>VLOOKUP(D167,[1]characters!$A:$K,11,FALSE)</f>
        <v>attack</v>
      </c>
      <c r="J167" s="7" t="str">
        <f>VLOOKUP(D167,[1]characters!$A:$M,13,FALSE)</f>
        <v>animal</v>
      </c>
      <c r="K167" s="7" t="str">
        <f>VLOOKUP(D167,[1]characters!$A:$G,7,FALSE)</f>
        <v>女性</v>
      </c>
      <c r="L167" s="66">
        <f>IFERROR(VLOOKUP(D167,input_4!L:R,7,FALSE),VLOOKUP(tables_4!B167,input_4!A:H,8,FALSE))</f>
        <v>60021</v>
      </c>
      <c r="M167" s="67">
        <f t="shared" si="6"/>
        <v>5.777027027027027E-3</v>
      </c>
      <c r="N167" s="31">
        <f>IFERROR(VLOOKUP($D167,bug_conf_sheet!$A:$H,3,FALSE),VLOOKUP("other",bug_conf_sheet!$A:$H,3,FALSE))</f>
        <v>1</v>
      </c>
      <c r="O167" s="31">
        <f>IFERROR(VLOOKUP($D167,bug_conf_sheet!$A:$H,4,FALSE),VLOOKUP("other",bug_conf_sheet!$A:$H,4,FALSE))</f>
        <v>0</v>
      </c>
      <c r="P167" s="31">
        <f>IFERROR(VLOOKUP($D167,bug_conf_sheet!$A:$H,5,FALSE),VLOOKUP("other",bug_conf_sheet!$A:$H,5,FALSE))</f>
        <v>0</v>
      </c>
      <c r="Q167" s="31">
        <f>IFERROR(VLOOKUP($D167,bug_conf_sheet!$A:$H,6,FALSE),VLOOKUP("other",bug_conf_sheet!$A:$H,6,FALSE))</f>
        <v>0</v>
      </c>
      <c r="R167" s="31">
        <f>IFERROR(VLOOKUP($D167,bug_conf_sheet!$A:$H,7,FALSE),VLOOKUP("other",bug_conf_sheet!$A:$H,7,FALSE))</f>
        <v>0</v>
      </c>
      <c r="S167" s="31">
        <f>IFERROR(VLOOKUP($D167,bug_conf_sheet!$A:$H,8,FALSE),VLOOKUP("other",bug_conf_sheet!$A:$H,8,FALSE))</f>
        <v>1</v>
      </c>
    </row>
    <row r="168" spans="1:19" ht="21" customHeight="1">
      <c r="A168" s="2">
        <f>input_4!A$2</f>
        <v>3124</v>
      </c>
      <c r="B168" s="7" t="str">
        <f t="shared" si="7"/>
        <v>Premium5</v>
      </c>
      <c r="C168" s="7" t="str">
        <f t="shared" si="8"/>
        <v>Premium</v>
      </c>
      <c r="D168" s="6">
        <v>402</v>
      </c>
      <c r="E168" s="7" t="str">
        <f>VLOOKUP(D168,[1]characters!$A:$C,3,FALSE)</f>
        <v>天災の神狼 フェンリル</v>
      </c>
      <c r="F168" s="7" t="str">
        <f>VLOOKUP(D168,[1]characters!$A:$J,10,FALSE)</f>
        <v>PremiumS</v>
      </c>
      <c r="G168" s="7">
        <f>VLOOKUP(D168,[1]characters!$A:$I,9,FALSE)</f>
        <v>5</v>
      </c>
      <c r="H168" s="7" t="str">
        <f>VLOOKUP(D168,[1]characters!$A:$H,8,FALSE)</f>
        <v>red</v>
      </c>
      <c r="I168" s="7" t="str">
        <f>VLOOKUP(D168,[1]characters!$A:$K,11,FALSE)</f>
        <v>attack</v>
      </c>
      <c r="J168" s="7" t="str">
        <f>VLOOKUP(D168,[1]characters!$A:$M,13,FALSE)</f>
        <v>animal</v>
      </c>
      <c r="K168" s="7" t="str">
        <f>VLOOKUP(D168,[1]characters!$A:$G,7,FALSE)</f>
        <v>女性</v>
      </c>
      <c r="L168" s="66">
        <f>IFERROR(VLOOKUP(D168,input_4!L:R,7,FALSE),VLOOKUP(tables_4!B168,input_4!A:H,8,FALSE))</f>
        <v>9139</v>
      </c>
      <c r="M168" s="67">
        <f t="shared" si="6"/>
        <v>8.7962962962962962E-4</v>
      </c>
      <c r="N168" s="31">
        <f>IFERROR(VLOOKUP($D168,bug_conf_sheet!$A:$H,3,FALSE),VLOOKUP("other",bug_conf_sheet!$A:$H,3,FALSE))</f>
        <v>1</v>
      </c>
      <c r="O168" s="31">
        <f>IFERROR(VLOOKUP($D168,bug_conf_sheet!$A:$H,4,FALSE),VLOOKUP("other",bug_conf_sheet!$A:$H,4,FALSE))</f>
        <v>0</v>
      </c>
      <c r="P168" s="31">
        <f>IFERROR(VLOOKUP($D168,bug_conf_sheet!$A:$H,5,FALSE),VLOOKUP("other",bug_conf_sheet!$A:$H,5,FALSE))</f>
        <v>0</v>
      </c>
      <c r="Q168" s="31">
        <f>IFERROR(VLOOKUP($D168,bug_conf_sheet!$A:$H,6,FALSE),VLOOKUP("other",bug_conf_sheet!$A:$H,6,FALSE))</f>
        <v>0</v>
      </c>
      <c r="R168" s="31">
        <f>IFERROR(VLOOKUP($D168,bug_conf_sheet!$A:$H,7,FALSE),VLOOKUP("other",bug_conf_sheet!$A:$H,7,FALSE))</f>
        <v>0</v>
      </c>
      <c r="S168" s="31">
        <f>IFERROR(VLOOKUP($D168,bug_conf_sheet!$A:$H,8,FALSE),VLOOKUP("other",bug_conf_sheet!$A:$H,8,FALSE))</f>
        <v>1</v>
      </c>
    </row>
    <row r="169" spans="1:19" ht="21" customHeight="1">
      <c r="A169" s="2">
        <f>input_4!A$2</f>
        <v>3124</v>
      </c>
      <c r="B169" s="7" t="str">
        <f t="shared" si="7"/>
        <v>PremiumSS4</v>
      </c>
      <c r="C169" s="7" t="str">
        <f t="shared" si="8"/>
        <v>PremiumSS</v>
      </c>
      <c r="D169" s="6">
        <v>403</v>
      </c>
      <c r="E169" s="7" t="str">
        <f>VLOOKUP(D169,[1]characters!$A:$C,3,FALSE)</f>
        <v>静撃の翠眼 八咫烏</v>
      </c>
      <c r="F169" s="7" t="str">
        <f>VLOOKUP(D169,[1]characters!$A:$J,10,FALSE)</f>
        <v>PremiumSS</v>
      </c>
      <c r="G169" s="7">
        <f>VLOOKUP(D169,[1]characters!$A:$I,9,FALSE)</f>
        <v>4</v>
      </c>
      <c r="H169" s="7" t="str">
        <f>VLOOKUP(D169,[1]characters!$A:$H,8,FALSE)</f>
        <v>green</v>
      </c>
      <c r="I169" s="7" t="str">
        <f>VLOOKUP(D169,[1]characters!$A:$K,11,FALSE)</f>
        <v>balance</v>
      </c>
      <c r="J169" s="7" t="str">
        <f>VLOOKUP(D169,[1]characters!$A:$M,13,FALSE)</f>
        <v>animal</v>
      </c>
      <c r="K169" s="7" t="str">
        <f>VLOOKUP(D169,[1]characters!$A:$G,7,FALSE)</f>
        <v>女性</v>
      </c>
      <c r="L169" s="66">
        <f>IFERROR(VLOOKUP(D169,input_4!L:R,7,FALSE),VLOOKUP(tables_4!B169,input_4!A:H,8,FALSE))</f>
        <v>8991</v>
      </c>
      <c r="M169" s="67">
        <f t="shared" si="6"/>
        <v>8.6538461538461541E-4</v>
      </c>
      <c r="N169" s="31">
        <f>IFERROR(VLOOKUP($D169,bug_conf_sheet!$A:$H,3,FALSE),VLOOKUP("other",bug_conf_sheet!$A:$H,3,FALSE))</f>
        <v>1</v>
      </c>
      <c r="O169" s="31">
        <f>IFERROR(VLOOKUP($D169,bug_conf_sheet!$A:$H,4,FALSE),VLOOKUP("other",bug_conf_sheet!$A:$H,4,FALSE))</f>
        <v>0</v>
      </c>
      <c r="P169" s="31">
        <f>IFERROR(VLOOKUP($D169,bug_conf_sheet!$A:$H,5,FALSE),VLOOKUP("other",bug_conf_sheet!$A:$H,5,FALSE))</f>
        <v>0</v>
      </c>
      <c r="Q169" s="31">
        <f>IFERROR(VLOOKUP($D169,bug_conf_sheet!$A:$H,6,FALSE),VLOOKUP("other",bug_conf_sheet!$A:$H,6,FALSE))</f>
        <v>0</v>
      </c>
      <c r="R169" s="31">
        <f>IFERROR(VLOOKUP($D169,bug_conf_sheet!$A:$H,7,FALSE),VLOOKUP("other",bug_conf_sheet!$A:$H,7,FALSE))</f>
        <v>0</v>
      </c>
      <c r="S169" s="31">
        <f>IFERROR(VLOOKUP($D169,bug_conf_sheet!$A:$H,8,FALSE),VLOOKUP("other",bug_conf_sheet!$A:$H,8,FALSE))</f>
        <v>1</v>
      </c>
    </row>
    <row r="170" spans="1:19" ht="21" customHeight="1">
      <c r="A170" s="2">
        <f>input_4!A$2</f>
        <v>3124</v>
      </c>
      <c r="B170" s="7" t="str">
        <f t="shared" si="7"/>
        <v>PremiumSS5</v>
      </c>
      <c r="C170" s="7" t="str">
        <f t="shared" si="8"/>
        <v>PremiumSS</v>
      </c>
      <c r="D170" s="6">
        <v>404</v>
      </c>
      <c r="E170" s="7" t="str">
        <f>VLOOKUP(D170,[1]characters!$A:$C,3,FALSE)</f>
        <v>空襲の神眼 八咫烏</v>
      </c>
      <c r="F170" s="7" t="str">
        <f>VLOOKUP(D170,[1]characters!$A:$J,10,FALSE)</f>
        <v>PremiumSS</v>
      </c>
      <c r="G170" s="7">
        <f>VLOOKUP(D170,[1]characters!$A:$I,9,FALSE)</f>
        <v>5</v>
      </c>
      <c r="H170" s="7" t="str">
        <f>VLOOKUP(D170,[1]characters!$A:$H,8,FALSE)</f>
        <v>green</v>
      </c>
      <c r="I170" s="7" t="str">
        <f>VLOOKUP(D170,[1]characters!$A:$K,11,FALSE)</f>
        <v>balance</v>
      </c>
      <c r="J170" s="7" t="str">
        <f>VLOOKUP(D170,[1]characters!$A:$M,13,FALSE)</f>
        <v>animal</v>
      </c>
      <c r="K170" s="7" t="str">
        <f>VLOOKUP(D170,[1]characters!$A:$G,7,FALSE)</f>
        <v>女性</v>
      </c>
      <c r="L170" s="66">
        <f>IFERROR(VLOOKUP(D170,input_4!L:R,7,FALSE),VLOOKUP(tables_4!B170,input_4!A:H,8,FALSE))</f>
        <v>999</v>
      </c>
      <c r="M170" s="67">
        <f t="shared" si="6"/>
        <v>9.6153846153846154E-5</v>
      </c>
      <c r="N170" s="31">
        <f>IFERROR(VLOOKUP($D170,bug_conf_sheet!$A:$H,3,FALSE),VLOOKUP("other",bug_conf_sheet!$A:$H,3,FALSE))</f>
        <v>1</v>
      </c>
      <c r="O170" s="31">
        <f>IFERROR(VLOOKUP($D170,bug_conf_sheet!$A:$H,4,FALSE),VLOOKUP("other",bug_conf_sheet!$A:$H,4,FALSE))</f>
        <v>0</v>
      </c>
      <c r="P170" s="31">
        <f>IFERROR(VLOOKUP($D170,bug_conf_sheet!$A:$H,5,FALSE),VLOOKUP("other",bug_conf_sheet!$A:$H,5,FALSE))</f>
        <v>0</v>
      </c>
      <c r="Q170" s="31">
        <f>IFERROR(VLOOKUP($D170,bug_conf_sheet!$A:$H,6,FALSE),VLOOKUP("other",bug_conf_sheet!$A:$H,6,FALSE))</f>
        <v>0</v>
      </c>
      <c r="R170" s="31">
        <f>IFERROR(VLOOKUP($D170,bug_conf_sheet!$A:$H,7,FALSE),VLOOKUP("other",bug_conf_sheet!$A:$H,7,FALSE))</f>
        <v>0</v>
      </c>
      <c r="S170" s="31">
        <f>IFERROR(VLOOKUP($D170,bug_conf_sheet!$A:$H,8,FALSE),VLOOKUP("other",bug_conf_sheet!$A:$H,8,FALSE))</f>
        <v>1</v>
      </c>
    </row>
    <row r="171" spans="1:19" ht="21" customHeight="1">
      <c r="A171" s="2">
        <f>input_4!A$2</f>
        <v>3124</v>
      </c>
      <c r="B171" s="7" t="str">
        <f t="shared" si="7"/>
        <v>Premium3</v>
      </c>
      <c r="C171" s="7" t="str">
        <f t="shared" si="8"/>
        <v>Premium</v>
      </c>
      <c r="D171" s="6">
        <v>405</v>
      </c>
      <c r="E171" s="7" t="str">
        <f>VLOOKUP(D171,[1]characters!$A:$C,3,FALSE)</f>
        <v>エキドナ</v>
      </c>
      <c r="F171" s="7" t="str">
        <f>VLOOKUP(D171,[1]characters!$A:$J,10,FALSE)</f>
        <v>PremiumS</v>
      </c>
      <c r="G171" s="7">
        <f>VLOOKUP(D171,[1]characters!$A:$I,9,FALSE)</f>
        <v>3</v>
      </c>
      <c r="H171" s="7" t="str">
        <f>VLOOKUP(D171,[1]characters!$A:$H,8,FALSE)</f>
        <v>blue</v>
      </c>
      <c r="I171" s="7" t="str">
        <f>VLOOKUP(D171,[1]characters!$A:$K,11,FALSE)</f>
        <v>technical</v>
      </c>
      <c r="J171" s="7" t="str">
        <f>VLOOKUP(D171,[1]characters!$A:$M,13,FALSE)</f>
        <v>animal</v>
      </c>
      <c r="K171" s="7" t="str">
        <f>VLOOKUP(D171,[1]characters!$A:$G,7,FALSE)</f>
        <v>女性</v>
      </c>
      <c r="L171" s="66">
        <f>IFERROR(VLOOKUP(D171,input_4!L:R,7,FALSE),VLOOKUP(tables_4!B171,input_4!A:H,8,FALSE))</f>
        <v>70200</v>
      </c>
      <c r="M171" s="67">
        <f t="shared" si="6"/>
        <v>6.7567567567567571E-3</v>
      </c>
      <c r="N171" s="31">
        <f>IFERROR(VLOOKUP($D171,bug_conf_sheet!$A:$H,3,FALSE),VLOOKUP("other",bug_conf_sheet!$A:$H,3,FALSE))</f>
        <v>1</v>
      </c>
      <c r="O171" s="31">
        <f>IFERROR(VLOOKUP($D171,bug_conf_sheet!$A:$H,4,FALSE),VLOOKUP("other",bug_conf_sheet!$A:$H,4,FALSE))</f>
        <v>0</v>
      </c>
      <c r="P171" s="31">
        <f>IFERROR(VLOOKUP($D171,bug_conf_sheet!$A:$H,5,FALSE),VLOOKUP("other",bug_conf_sheet!$A:$H,5,FALSE))</f>
        <v>0</v>
      </c>
      <c r="Q171" s="31">
        <f>IFERROR(VLOOKUP($D171,bug_conf_sheet!$A:$H,6,FALSE),VLOOKUP("other",bug_conf_sheet!$A:$H,6,FALSE))</f>
        <v>0</v>
      </c>
      <c r="R171" s="31">
        <f>IFERROR(VLOOKUP($D171,bug_conf_sheet!$A:$H,7,FALSE),VLOOKUP("other",bug_conf_sheet!$A:$H,7,FALSE))</f>
        <v>0</v>
      </c>
      <c r="S171" s="31">
        <f>IFERROR(VLOOKUP($D171,bug_conf_sheet!$A:$H,8,FALSE),VLOOKUP("other",bug_conf_sheet!$A:$H,8,FALSE))</f>
        <v>1</v>
      </c>
    </row>
    <row r="172" spans="1:19" ht="21" customHeight="1">
      <c r="A172" s="2">
        <f>input_4!A$2</f>
        <v>3124</v>
      </c>
      <c r="B172" s="7" t="str">
        <f t="shared" si="7"/>
        <v>Premium4</v>
      </c>
      <c r="C172" s="7" t="str">
        <f t="shared" si="8"/>
        <v>Premium</v>
      </c>
      <c r="D172" s="6">
        <v>406</v>
      </c>
      <c r="E172" s="7" t="str">
        <f>VLOOKUP(D172,[1]characters!$A:$C,3,FALSE)</f>
        <v>美笑の蒼蛇 エキドナ</v>
      </c>
      <c r="F172" s="7" t="str">
        <f>VLOOKUP(D172,[1]characters!$A:$J,10,FALSE)</f>
        <v>PremiumS</v>
      </c>
      <c r="G172" s="7">
        <f>VLOOKUP(D172,[1]characters!$A:$I,9,FALSE)</f>
        <v>4</v>
      </c>
      <c r="H172" s="7" t="str">
        <f>VLOOKUP(D172,[1]characters!$A:$H,8,FALSE)</f>
        <v>blue</v>
      </c>
      <c r="I172" s="7" t="str">
        <f>VLOOKUP(D172,[1]characters!$A:$K,11,FALSE)</f>
        <v>technical</v>
      </c>
      <c r="J172" s="7" t="str">
        <f>VLOOKUP(D172,[1]characters!$A:$M,13,FALSE)</f>
        <v>animal</v>
      </c>
      <c r="K172" s="7" t="str">
        <f>VLOOKUP(D172,[1]characters!$A:$G,7,FALSE)</f>
        <v>女性</v>
      </c>
      <c r="L172" s="66">
        <f>IFERROR(VLOOKUP(D172,input_4!L:R,7,FALSE),VLOOKUP(tables_4!B172,input_4!A:H,8,FALSE))</f>
        <v>60021</v>
      </c>
      <c r="M172" s="67">
        <f t="shared" si="6"/>
        <v>5.777027027027027E-3</v>
      </c>
      <c r="N172" s="31">
        <f>IFERROR(VLOOKUP($D172,bug_conf_sheet!$A:$H,3,FALSE),VLOOKUP("other",bug_conf_sheet!$A:$H,3,FALSE))</f>
        <v>1</v>
      </c>
      <c r="O172" s="31">
        <f>IFERROR(VLOOKUP($D172,bug_conf_sheet!$A:$H,4,FALSE),VLOOKUP("other",bug_conf_sheet!$A:$H,4,FALSE))</f>
        <v>0</v>
      </c>
      <c r="P172" s="31">
        <f>IFERROR(VLOOKUP($D172,bug_conf_sheet!$A:$H,5,FALSE),VLOOKUP("other",bug_conf_sheet!$A:$H,5,FALSE))</f>
        <v>0</v>
      </c>
      <c r="Q172" s="31">
        <f>IFERROR(VLOOKUP($D172,bug_conf_sheet!$A:$H,6,FALSE),VLOOKUP("other",bug_conf_sheet!$A:$H,6,FALSE))</f>
        <v>0</v>
      </c>
      <c r="R172" s="31">
        <f>IFERROR(VLOOKUP($D172,bug_conf_sheet!$A:$H,7,FALSE),VLOOKUP("other",bug_conf_sheet!$A:$H,7,FALSE))</f>
        <v>0</v>
      </c>
      <c r="S172" s="31">
        <f>IFERROR(VLOOKUP($D172,bug_conf_sheet!$A:$H,8,FALSE),VLOOKUP("other",bug_conf_sheet!$A:$H,8,FALSE))</f>
        <v>1</v>
      </c>
    </row>
    <row r="173" spans="1:19" ht="21" customHeight="1">
      <c r="A173" s="2">
        <f>input_4!A$2</f>
        <v>3124</v>
      </c>
      <c r="B173" s="7" t="str">
        <f t="shared" si="7"/>
        <v>Premium5</v>
      </c>
      <c r="C173" s="7" t="str">
        <f t="shared" si="8"/>
        <v>Premium</v>
      </c>
      <c r="D173" s="6">
        <v>407</v>
      </c>
      <c r="E173" s="7" t="str">
        <f>VLOOKUP(D173,[1]characters!$A:$C,3,FALSE)</f>
        <v>蠱惑の飛刀 エキドナ</v>
      </c>
      <c r="F173" s="7" t="str">
        <f>VLOOKUP(D173,[1]characters!$A:$J,10,FALSE)</f>
        <v>PremiumS</v>
      </c>
      <c r="G173" s="7">
        <f>VLOOKUP(D173,[1]characters!$A:$I,9,FALSE)</f>
        <v>5</v>
      </c>
      <c r="H173" s="7" t="str">
        <f>VLOOKUP(D173,[1]characters!$A:$H,8,FALSE)</f>
        <v>blue</v>
      </c>
      <c r="I173" s="7" t="str">
        <f>VLOOKUP(D173,[1]characters!$A:$K,11,FALSE)</f>
        <v>technical</v>
      </c>
      <c r="J173" s="7" t="str">
        <f>VLOOKUP(D173,[1]characters!$A:$M,13,FALSE)</f>
        <v>animal</v>
      </c>
      <c r="K173" s="7" t="str">
        <f>VLOOKUP(D173,[1]characters!$A:$G,7,FALSE)</f>
        <v>女性</v>
      </c>
      <c r="L173" s="66">
        <f>IFERROR(VLOOKUP(D173,input_4!L:R,7,FALSE),VLOOKUP(tables_4!B173,input_4!A:H,8,FALSE))</f>
        <v>9139</v>
      </c>
      <c r="M173" s="67">
        <f t="shared" si="6"/>
        <v>8.7962962962962962E-4</v>
      </c>
      <c r="N173" s="31">
        <f>IFERROR(VLOOKUP($D173,bug_conf_sheet!$A:$H,3,FALSE),VLOOKUP("other",bug_conf_sheet!$A:$H,3,FALSE))</f>
        <v>1</v>
      </c>
      <c r="O173" s="31">
        <f>IFERROR(VLOOKUP($D173,bug_conf_sheet!$A:$H,4,FALSE),VLOOKUP("other",bug_conf_sheet!$A:$H,4,FALSE))</f>
        <v>0</v>
      </c>
      <c r="P173" s="31">
        <f>IFERROR(VLOOKUP($D173,bug_conf_sheet!$A:$H,5,FALSE),VLOOKUP("other",bug_conf_sheet!$A:$H,5,FALSE))</f>
        <v>0</v>
      </c>
      <c r="Q173" s="31">
        <f>IFERROR(VLOOKUP($D173,bug_conf_sheet!$A:$H,6,FALSE),VLOOKUP("other",bug_conf_sheet!$A:$H,6,FALSE))</f>
        <v>0</v>
      </c>
      <c r="R173" s="31">
        <f>IFERROR(VLOOKUP($D173,bug_conf_sheet!$A:$H,7,FALSE),VLOOKUP("other",bug_conf_sheet!$A:$H,7,FALSE))</f>
        <v>0</v>
      </c>
      <c r="S173" s="31">
        <f>IFERROR(VLOOKUP($D173,bug_conf_sheet!$A:$H,8,FALSE),VLOOKUP("other",bug_conf_sheet!$A:$H,8,FALSE))</f>
        <v>1</v>
      </c>
    </row>
    <row r="174" spans="1:19" ht="21" customHeight="1">
      <c r="A174" s="2">
        <f>input_4!A$2</f>
        <v>3124</v>
      </c>
      <c r="B174" s="7" t="str">
        <f t="shared" si="7"/>
        <v>PremiumSS4</v>
      </c>
      <c r="C174" s="7" t="str">
        <f t="shared" si="8"/>
        <v>PremiumSS</v>
      </c>
      <c r="D174" s="6">
        <v>408</v>
      </c>
      <c r="E174" s="7" t="str">
        <f>VLOOKUP(D174,[1]characters!$A:$C,3,FALSE)</f>
        <v>皇魔 アスタロト</v>
      </c>
      <c r="F174" s="7" t="str">
        <f>VLOOKUP(D174,[1]characters!$A:$J,10,FALSE)</f>
        <v>PremiumSS</v>
      </c>
      <c r="G174" s="7">
        <f>VLOOKUP(D174,[1]characters!$A:$I,9,FALSE)</f>
        <v>4</v>
      </c>
      <c r="H174" s="7" t="str">
        <f>VLOOKUP(D174,[1]characters!$A:$H,8,FALSE)</f>
        <v>yellow</v>
      </c>
      <c r="I174" s="7" t="str">
        <f>VLOOKUP(D174,[1]characters!$A:$K,11,FALSE)</f>
        <v>attack</v>
      </c>
      <c r="J174" s="7" t="str">
        <f>VLOOKUP(D174,[1]characters!$A:$M,13,FALSE)</f>
        <v>god</v>
      </c>
      <c r="K174" s="7" t="str">
        <f>VLOOKUP(D174,[1]characters!$A:$G,7,FALSE)</f>
        <v>男性</v>
      </c>
      <c r="L174" s="66">
        <f>IFERROR(VLOOKUP(D174,input_4!L:R,7,FALSE),VLOOKUP(tables_4!B174,input_4!A:H,8,FALSE))</f>
        <v>8991</v>
      </c>
      <c r="M174" s="67">
        <f t="shared" si="6"/>
        <v>8.6538461538461541E-4</v>
      </c>
      <c r="N174" s="31">
        <f>IFERROR(VLOOKUP($D174,bug_conf_sheet!$A:$H,3,FALSE),VLOOKUP("other",bug_conf_sheet!$A:$H,3,FALSE))</f>
        <v>1</v>
      </c>
      <c r="O174" s="31">
        <f>IFERROR(VLOOKUP($D174,bug_conf_sheet!$A:$H,4,FALSE),VLOOKUP("other",bug_conf_sheet!$A:$H,4,FALSE))</f>
        <v>0</v>
      </c>
      <c r="P174" s="31">
        <f>IFERROR(VLOOKUP($D174,bug_conf_sheet!$A:$H,5,FALSE),VLOOKUP("other",bug_conf_sheet!$A:$H,5,FALSE))</f>
        <v>0</v>
      </c>
      <c r="Q174" s="31">
        <f>IFERROR(VLOOKUP($D174,bug_conf_sheet!$A:$H,6,FALSE),VLOOKUP("other",bug_conf_sheet!$A:$H,6,FALSE))</f>
        <v>0</v>
      </c>
      <c r="R174" s="31">
        <f>IFERROR(VLOOKUP($D174,bug_conf_sheet!$A:$H,7,FALSE),VLOOKUP("other",bug_conf_sheet!$A:$H,7,FALSE))</f>
        <v>0</v>
      </c>
      <c r="S174" s="31">
        <f>IFERROR(VLOOKUP($D174,bug_conf_sheet!$A:$H,8,FALSE),VLOOKUP("other",bug_conf_sheet!$A:$H,8,FALSE))</f>
        <v>1</v>
      </c>
    </row>
    <row r="175" spans="1:19" ht="21" customHeight="1">
      <c r="A175" s="2">
        <f>input_4!A$2</f>
        <v>3124</v>
      </c>
      <c r="B175" s="7" t="str">
        <f t="shared" si="7"/>
        <v>PremiumSS5</v>
      </c>
      <c r="C175" s="7" t="str">
        <f t="shared" si="8"/>
        <v>PremiumSS</v>
      </c>
      <c r="D175" s="6">
        <v>409</v>
      </c>
      <c r="E175" s="7" t="str">
        <f>VLOOKUP(D175,[1]characters!$A:$C,3,FALSE)</f>
        <v>天眼の皇貴魔 アスタロト</v>
      </c>
      <c r="F175" s="7" t="str">
        <f>VLOOKUP(D175,[1]characters!$A:$J,10,FALSE)</f>
        <v>PremiumSS</v>
      </c>
      <c r="G175" s="7">
        <f>VLOOKUP(D175,[1]characters!$A:$I,9,FALSE)</f>
        <v>5</v>
      </c>
      <c r="H175" s="7" t="str">
        <f>VLOOKUP(D175,[1]characters!$A:$H,8,FALSE)</f>
        <v>yellow</v>
      </c>
      <c r="I175" s="7" t="str">
        <f>VLOOKUP(D175,[1]characters!$A:$K,11,FALSE)</f>
        <v>attack</v>
      </c>
      <c r="J175" s="7" t="str">
        <f>VLOOKUP(D175,[1]characters!$A:$M,13,FALSE)</f>
        <v>god</v>
      </c>
      <c r="K175" s="7" t="str">
        <f>VLOOKUP(D175,[1]characters!$A:$G,7,FALSE)</f>
        <v>男性</v>
      </c>
      <c r="L175" s="66">
        <f>IFERROR(VLOOKUP(D175,input_4!L:R,7,FALSE),VLOOKUP(tables_4!B175,input_4!A:H,8,FALSE))</f>
        <v>999</v>
      </c>
      <c r="M175" s="67">
        <f t="shared" si="6"/>
        <v>9.6153846153846154E-5</v>
      </c>
      <c r="N175" s="31">
        <f>IFERROR(VLOOKUP($D175,bug_conf_sheet!$A:$H,3,FALSE),VLOOKUP("other",bug_conf_sheet!$A:$H,3,FALSE))</f>
        <v>1</v>
      </c>
      <c r="O175" s="31">
        <f>IFERROR(VLOOKUP($D175,bug_conf_sheet!$A:$H,4,FALSE),VLOOKUP("other",bug_conf_sheet!$A:$H,4,FALSE))</f>
        <v>0</v>
      </c>
      <c r="P175" s="31">
        <f>IFERROR(VLOOKUP($D175,bug_conf_sheet!$A:$H,5,FALSE),VLOOKUP("other",bug_conf_sheet!$A:$H,5,FALSE))</f>
        <v>0</v>
      </c>
      <c r="Q175" s="31">
        <f>IFERROR(VLOOKUP($D175,bug_conf_sheet!$A:$H,6,FALSE),VLOOKUP("other",bug_conf_sheet!$A:$H,6,FALSE))</f>
        <v>0</v>
      </c>
      <c r="R175" s="31">
        <f>IFERROR(VLOOKUP($D175,bug_conf_sheet!$A:$H,7,FALSE),VLOOKUP("other",bug_conf_sheet!$A:$H,7,FALSE))</f>
        <v>0</v>
      </c>
      <c r="S175" s="31">
        <f>IFERROR(VLOOKUP($D175,bug_conf_sheet!$A:$H,8,FALSE),VLOOKUP("other",bug_conf_sheet!$A:$H,8,FALSE))</f>
        <v>1</v>
      </c>
    </row>
    <row r="176" spans="1:19" ht="21" customHeight="1">
      <c r="A176" s="2">
        <f>input_4!A$2</f>
        <v>3124</v>
      </c>
      <c r="B176" s="7" t="str">
        <f t="shared" si="7"/>
        <v>PremiumSS4</v>
      </c>
      <c r="C176" s="7" t="str">
        <f t="shared" si="8"/>
        <v>PremiumSS</v>
      </c>
      <c r="D176" s="6">
        <v>434</v>
      </c>
      <c r="E176" s="7" t="str">
        <f>VLOOKUP(D176,[1]characters!$A:$C,3,FALSE)</f>
        <v>D.R.T.H.</v>
      </c>
      <c r="F176" s="7" t="str">
        <f>VLOOKUP(D176,[1]characters!$A:$J,10,FALSE)</f>
        <v>PremiumSS</v>
      </c>
      <c r="G176" s="7">
        <f>VLOOKUP(D176,[1]characters!$A:$I,9,FALSE)</f>
        <v>4</v>
      </c>
      <c r="H176" s="7" t="str">
        <f>VLOOKUP(D176,[1]characters!$A:$H,8,FALSE)</f>
        <v>red</v>
      </c>
      <c r="I176" s="7" t="str">
        <f>VLOOKUP(D176,[1]characters!$A:$K,11,FALSE)</f>
        <v>balance</v>
      </c>
      <c r="J176" s="7" t="str">
        <f>VLOOKUP(D176,[1]characters!$A:$M,13,FALSE)</f>
        <v>human</v>
      </c>
      <c r="K176" s="7" t="str">
        <f>VLOOKUP(D176,[1]characters!$A:$G,7,FALSE)</f>
        <v>女性</v>
      </c>
      <c r="L176" s="66">
        <f>IFERROR(VLOOKUP(D176,input_4!L:R,7,FALSE),VLOOKUP(tables_4!B176,input_4!A:H,8,FALSE))</f>
        <v>8991</v>
      </c>
      <c r="M176" s="67">
        <f t="shared" si="6"/>
        <v>8.6538461538461541E-4</v>
      </c>
      <c r="N176" s="31">
        <f>IFERROR(VLOOKUP($D176,bug_conf_sheet!$A:$H,3,FALSE),VLOOKUP("other",bug_conf_sheet!$A:$H,3,FALSE))</f>
        <v>1</v>
      </c>
      <c r="O176" s="31">
        <f>IFERROR(VLOOKUP($D176,bug_conf_sheet!$A:$H,4,FALSE),VLOOKUP("other",bug_conf_sheet!$A:$H,4,FALSE))</f>
        <v>0</v>
      </c>
      <c r="P176" s="31">
        <f>IFERROR(VLOOKUP($D176,bug_conf_sheet!$A:$H,5,FALSE),VLOOKUP("other",bug_conf_sheet!$A:$H,5,FALSE))</f>
        <v>0</v>
      </c>
      <c r="Q176" s="31">
        <f>IFERROR(VLOOKUP($D176,bug_conf_sheet!$A:$H,6,FALSE),VLOOKUP("other",bug_conf_sheet!$A:$H,6,FALSE))</f>
        <v>0</v>
      </c>
      <c r="R176" s="31">
        <f>IFERROR(VLOOKUP($D176,bug_conf_sheet!$A:$H,7,FALSE),VLOOKUP("other",bug_conf_sheet!$A:$H,7,FALSE))</f>
        <v>0</v>
      </c>
      <c r="S176" s="31">
        <f>IFERROR(VLOOKUP($D176,bug_conf_sheet!$A:$H,8,FALSE),VLOOKUP("other",bug_conf_sheet!$A:$H,8,FALSE))</f>
        <v>1</v>
      </c>
    </row>
    <row r="177" spans="1:19" ht="21" customHeight="1">
      <c r="A177" s="2">
        <f>input_4!A$2</f>
        <v>3124</v>
      </c>
      <c r="B177" s="7" t="str">
        <f t="shared" si="7"/>
        <v>PremiumSS5</v>
      </c>
      <c r="C177" s="7" t="str">
        <f t="shared" si="8"/>
        <v>PremiumSS</v>
      </c>
      <c r="D177" s="6">
        <v>435</v>
      </c>
      <c r="E177" s="7" t="str">
        <f>VLOOKUP(D177,[1]characters!$A:$C,3,FALSE)</f>
        <v>曝弾の密偵 D.R.T.H.</v>
      </c>
      <c r="F177" s="7" t="str">
        <f>VLOOKUP(D177,[1]characters!$A:$J,10,FALSE)</f>
        <v>PremiumSS</v>
      </c>
      <c r="G177" s="7">
        <f>VLOOKUP(D177,[1]characters!$A:$I,9,FALSE)</f>
        <v>5</v>
      </c>
      <c r="H177" s="7" t="str">
        <f>VLOOKUP(D177,[1]characters!$A:$H,8,FALSE)</f>
        <v>red</v>
      </c>
      <c r="I177" s="7" t="str">
        <f>VLOOKUP(D177,[1]characters!$A:$K,11,FALSE)</f>
        <v>balance</v>
      </c>
      <c r="J177" s="7" t="str">
        <f>VLOOKUP(D177,[1]characters!$A:$M,13,FALSE)</f>
        <v>human</v>
      </c>
      <c r="K177" s="7" t="str">
        <f>VLOOKUP(D177,[1]characters!$A:$G,7,FALSE)</f>
        <v>女性</v>
      </c>
      <c r="L177" s="66">
        <f>IFERROR(VLOOKUP(D177,input_4!L:R,7,FALSE),VLOOKUP(tables_4!B177,input_4!A:H,8,FALSE))</f>
        <v>999</v>
      </c>
      <c r="M177" s="67">
        <f t="shared" si="6"/>
        <v>9.6153846153846154E-5</v>
      </c>
      <c r="N177" s="31">
        <f>IFERROR(VLOOKUP($D177,bug_conf_sheet!$A:$H,3,FALSE),VLOOKUP("other",bug_conf_sheet!$A:$H,3,FALSE))</f>
        <v>1</v>
      </c>
      <c r="O177" s="31">
        <f>IFERROR(VLOOKUP($D177,bug_conf_sheet!$A:$H,4,FALSE),VLOOKUP("other",bug_conf_sheet!$A:$H,4,FALSE))</f>
        <v>0</v>
      </c>
      <c r="P177" s="31">
        <f>IFERROR(VLOOKUP($D177,bug_conf_sheet!$A:$H,5,FALSE),VLOOKUP("other",bug_conf_sheet!$A:$H,5,FALSE))</f>
        <v>0</v>
      </c>
      <c r="Q177" s="31">
        <f>IFERROR(VLOOKUP($D177,bug_conf_sheet!$A:$H,6,FALSE),VLOOKUP("other",bug_conf_sheet!$A:$H,6,FALSE))</f>
        <v>0</v>
      </c>
      <c r="R177" s="31">
        <f>IFERROR(VLOOKUP($D177,bug_conf_sheet!$A:$H,7,FALSE),VLOOKUP("other",bug_conf_sheet!$A:$H,7,FALSE))</f>
        <v>0</v>
      </c>
      <c r="S177" s="31">
        <f>IFERROR(VLOOKUP($D177,bug_conf_sheet!$A:$H,8,FALSE),VLOOKUP("other",bug_conf_sheet!$A:$H,8,FALSE))</f>
        <v>1</v>
      </c>
    </row>
    <row r="178" spans="1:19" ht="21" customHeight="1">
      <c r="A178" s="2">
        <f>input_4!A$2</f>
        <v>3124</v>
      </c>
      <c r="B178" s="7" t="str">
        <f t="shared" si="7"/>
        <v>Premium3</v>
      </c>
      <c r="C178" s="7" t="str">
        <f t="shared" si="8"/>
        <v>Premium</v>
      </c>
      <c r="D178" s="6">
        <v>436</v>
      </c>
      <c r="E178" s="7" t="str">
        <f>VLOOKUP(D178,[1]characters!$A:$C,3,FALSE)</f>
        <v>カカシ</v>
      </c>
      <c r="F178" s="7" t="str">
        <f>VLOOKUP(D178,[1]characters!$A:$J,10,FALSE)</f>
        <v>PremiumS</v>
      </c>
      <c r="G178" s="7">
        <f>VLOOKUP(D178,[1]characters!$A:$I,9,FALSE)</f>
        <v>3</v>
      </c>
      <c r="H178" s="7" t="str">
        <f>VLOOKUP(D178,[1]characters!$A:$H,8,FALSE)</f>
        <v>green</v>
      </c>
      <c r="I178" s="7" t="str">
        <f>VLOOKUP(D178,[1]characters!$A:$K,11,FALSE)</f>
        <v>technical</v>
      </c>
      <c r="J178" s="7" t="str">
        <f>VLOOKUP(D178,[1]characters!$A:$M,13,FALSE)</f>
        <v>human</v>
      </c>
      <c r="K178" s="7" t="str">
        <f>VLOOKUP(D178,[1]characters!$A:$G,7,FALSE)</f>
        <v>男性</v>
      </c>
      <c r="L178" s="66">
        <f>IFERROR(VLOOKUP(D178,input_4!L:R,7,FALSE),VLOOKUP(tables_4!B178,input_4!A:H,8,FALSE))</f>
        <v>70200</v>
      </c>
      <c r="M178" s="67">
        <f t="shared" si="6"/>
        <v>6.7567567567567571E-3</v>
      </c>
      <c r="N178" s="31">
        <f>IFERROR(VLOOKUP($D178,bug_conf_sheet!$A:$H,3,FALSE),VLOOKUP("other",bug_conf_sheet!$A:$H,3,FALSE))</f>
        <v>1</v>
      </c>
      <c r="O178" s="31">
        <f>IFERROR(VLOOKUP($D178,bug_conf_sheet!$A:$H,4,FALSE),VLOOKUP("other",bug_conf_sheet!$A:$H,4,FALSE))</f>
        <v>0</v>
      </c>
      <c r="P178" s="31">
        <f>IFERROR(VLOOKUP($D178,bug_conf_sheet!$A:$H,5,FALSE),VLOOKUP("other",bug_conf_sheet!$A:$H,5,FALSE))</f>
        <v>0</v>
      </c>
      <c r="Q178" s="31">
        <f>IFERROR(VLOOKUP($D178,bug_conf_sheet!$A:$H,6,FALSE),VLOOKUP("other",bug_conf_sheet!$A:$H,6,FALSE))</f>
        <v>0</v>
      </c>
      <c r="R178" s="31">
        <f>IFERROR(VLOOKUP($D178,bug_conf_sheet!$A:$H,7,FALSE),VLOOKUP("other",bug_conf_sheet!$A:$H,7,FALSE))</f>
        <v>0</v>
      </c>
      <c r="S178" s="31">
        <f>IFERROR(VLOOKUP($D178,bug_conf_sheet!$A:$H,8,FALSE),VLOOKUP("other",bug_conf_sheet!$A:$H,8,FALSE))</f>
        <v>1</v>
      </c>
    </row>
    <row r="179" spans="1:19" ht="21" customHeight="1">
      <c r="A179" s="2">
        <f>input_4!A$2</f>
        <v>3124</v>
      </c>
      <c r="B179" s="7" t="str">
        <f t="shared" si="7"/>
        <v>Premium4</v>
      </c>
      <c r="C179" s="7" t="str">
        <f t="shared" si="8"/>
        <v>Premium</v>
      </c>
      <c r="D179" s="6">
        <v>437</v>
      </c>
      <c r="E179" s="7" t="str">
        <f>VLOOKUP(D179,[1]characters!$A:$C,3,FALSE)</f>
        <v>忘却者 カカシ</v>
      </c>
      <c r="F179" s="7" t="str">
        <f>VLOOKUP(D179,[1]characters!$A:$J,10,FALSE)</f>
        <v>PremiumS</v>
      </c>
      <c r="G179" s="7">
        <f>VLOOKUP(D179,[1]characters!$A:$I,9,FALSE)</f>
        <v>4</v>
      </c>
      <c r="H179" s="7" t="str">
        <f>VLOOKUP(D179,[1]characters!$A:$H,8,FALSE)</f>
        <v>green</v>
      </c>
      <c r="I179" s="7" t="str">
        <f>VLOOKUP(D179,[1]characters!$A:$K,11,FALSE)</f>
        <v>technical</v>
      </c>
      <c r="J179" s="7" t="str">
        <f>VLOOKUP(D179,[1]characters!$A:$M,13,FALSE)</f>
        <v>human</v>
      </c>
      <c r="K179" s="7" t="str">
        <f>VLOOKUP(D179,[1]characters!$A:$G,7,FALSE)</f>
        <v>男性</v>
      </c>
      <c r="L179" s="66">
        <f>IFERROR(VLOOKUP(D179,input_4!L:R,7,FALSE),VLOOKUP(tables_4!B179,input_4!A:H,8,FALSE))</f>
        <v>60021</v>
      </c>
      <c r="M179" s="67">
        <f t="shared" si="6"/>
        <v>5.777027027027027E-3</v>
      </c>
      <c r="N179" s="31">
        <f>IFERROR(VLOOKUP($D179,bug_conf_sheet!$A:$H,3,FALSE),VLOOKUP("other",bug_conf_sheet!$A:$H,3,FALSE))</f>
        <v>1</v>
      </c>
      <c r="O179" s="31">
        <f>IFERROR(VLOOKUP($D179,bug_conf_sheet!$A:$H,4,FALSE),VLOOKUP("other",bug_conf_sheet!$A:$H,4,FALSE))</f>
        <v>0</v>
      </c>
      <c r="P179" s="31">
        <f>IFERROR(VLOOKUP($D179,bug_conf_sheet!$A:$H,5,FALSE),VLOOKUP("other",bug_conf_sheet!$A:$H,5,FALSE))</f>
        <v>0</v>
      </c>
      <c r="Q179" s="31">
        <f>IFERROR(VLOOKUP($D179,bug_conf_sheet!$A:$H,6,FALSE),VLOOKUP("other",bug_conf_sheet!$A:$H,6,FALSE))</f>
        <v>0</v>
      </c>
      <c r="R179" s="31">
        <f>IFERROR(VLOOKUP($D179,bug_conf_sheet!$A:$H,7,FALSE),VLOOKUP("other",bug_conf_sheet!$A:$H,7,FALSE))</f>
        <v>0</v>
      </c>
      <c r="S179" s="31">
        <f>IFERROR(VLOOKUP($D179,bug_conf_sheet!$A:$H,8,FALSE),VLOOKUP("other",bug_conf_sheet!$A:$H,8,FALSE))</f>
        <v>1</v>
      </c>
    </row>
    <row r="180" spans="1:19" ht="21" customHeight="1">
      <c r="A180" s="2">
        <f>input_4!A$2</f>
        <v>3124</v>
      </c>
      <c r="B180" s="7" t="str">
        <f t="shared" si="7"/>
        <v>Premium5</v>
      </c>
      <c r="C180" s="7" t="str">
        <f t="shared" si="8"/>
        <v>Premium</v>
      </c>
      <c r="D180" s="6">
        <v>438</v>
      </c>
      <c r="E180" s="7" t="str">
        <f>VLOOKUP(D180,[1]characters!$A:$C,3,FALSE)</f>
        <v>記憶の奪還 カカシ</v>
      </c>
      <c r="F180" s="7" t="str">
        <f>VLOOKUP(D180,[1]characters!$A:$J,10,FALSE)</f>
        <v>PremiumS</v>
      </c>
      <c r="G180" s="7">
        <f>VLOOKUP(D180,[1]characters!$A:$I,9,FALSE)</f>
        <v>5</v>
      </c>
      <c r="H180" s="7" t="str">
        <f>VLOOKUP(D180,[1]characters!$A:$H,8,FALSE)</f>
        <v>green</v>
      </c>
      <c r="I180" s="7" t="str">
        <f>VLOOKUP(D180,[1]characters!$A:$K,11,FALSE)</f>
        <v>technical</v>
      </c>
      <c r="J180" s="7" t="str">
        <f>VLOOKUP(D180,[1]characters!$A:$M,13,FALSE)</f>
        <v>human</v>
      </c>
      <c r="K180" s="7" t="str">
        <f>VLOOKUP(D180,[1]characters!$A:$G,7,FALSE)</f>
        <v>男性</v>
      </c>
      <c r="L180" s="66">
        <f>IFERROR(VLOOKUP(D180,input_4!L:R,7,FALSE),VLOOKUP(tables_4!B180,input_4!A:H,8,FALSE))</f>
        <v>9139</v>
      </c>
      <c r="M180" s="67">
        <f t="shared" si="6"/>
        <v>8.7962962962962962E-4</v>
      </c>
      <c r="N180" s="31">
        <f>IFERROR(VLOOKUP($D180,bug_conf_sheet!$A:$H,3,FALSE),VLOOKUP("other",bug_conf_sheet!$A:$H,3,FALSE))</f>
        <v>1</v>
      </c>
      <c r="O180" s="31">
        <f>IFERROR(VLOOKUP($D180,bug_conf_sheet!$A:$H,4,FALSE),VLOOKUP("other",bug_conf_sheet!$A:$H,4,FALSE))</f>
        <v>0</v>
      </c>
      <c r="P180" s="31">
        <f>IFERROR(VLOOKUP($D180,bug_conf_sheet!$A:$H,5,FALSE),VLOOKUP("other",bug_conf_sheet!$A:$H,5,FALSE))</f>
        <v>0</v>
      </c>
      <c r="Q180" s="31">
        <f>IFERROR(VLOOKUP($D180,bug_conf_sheet!$A:$H,6,FALSE),VLOOKUP("other",bug_conf_sheet!$A:$H,6,FALSE))</f>
        <v>0</v>
      </c>
      <c r="R180" s="31">
        <f>IFERROR(VLOOKUP($D180,bug_conf_sheet!$A:$H,7,FALSE),VLOOKUP("other",bug_conf_sheet!$A:$H,7,FALSE))</f>
        <v>0</v>
      </c>
      <c r="S180" s="31">
        <f>IFERROR(VLOOKUP($D180,bug_conf_sheet!$A:$H,8,FALSE),VLOOKUP("other",bug_conf_sheet!$A:$H,8,FALSE))</f>
        <v>1</v>
      </c>
    </row>
    <row r="181" spans="1:19" ht="21" customHeight="1">
      <c r="A181" s="2">
        <f>input_4!A$2</f>
        <v>3124</v>
      </c>
      <c r="B181" s="7" t="str">
        <f t="shared" si="7"/>
        <v>Premium3</v>
      </c>
      <c r="C181" s="7" t="str">
        <f t="shared" si="8"/>
        <v>Premium</v>
      </c>
      <c r="D181" s="6">
        <v>439</v>
      </c>
      <c r="E181" s="7" t="str">
        <f>VLOOKUP(D181,[1]characters!$A:$C,3,FALSE)</f>
        <v>ブリキロガー</v>
      </c>
      <c r="F181" s="7" t="str">
        <f>VLOOKUP(D181,[1]characters!$A:$J,10,FALSE)</f>
        <v>PremiumS</v>
      </c>
      <c r="G181" s="7">
        <f>VLOOKUP(D181,[1]characters!$A:$I,9,FALSE)</f>
        <v>3</v>
      </c>
      <c r="H181" s="7" t="str">
        <f>VLOOKUP(D181,[1]characters!$A:$H,8,FALSE)</f>
        <v>blue</v>
      </c>
      <c r="I181" s="7" t="str">
        <f>VLOOKUP(D181,[1]characters!$A:$K,11,FALSE)</f>
        <v>attack</v>
      </c>
      <c r="J181" s="7" t="str">
        <f>VLOOKUP(D181,[1]characters!$A:$M,13,FALSE)</f>
        <v>machine</v>
      </c>
      <c r="K181" s="7" t="str">
        <f>VLOOKUP(D181,[1]characters!$A:$G,7,FALSE)</f>
        <v>不明</v>
      </c>
      <c r="L181" s="66">
        <f>IFERROR(VLOOKUP(D181,input_4!L:R,7,FALSE),VLOOKUP(tables_4!B181,input_4!A:H,8,FALSE))</f>
        <v>70200</v>
      </c>
      <c r="M181" s="67">
        <f t="shared" si="6"/>
        <v>6.7567567567567571E-3</v>
      </c>
      <c r="N181" s="31">
        <f>IFERROR(VLOOKUP($D181,bug_conf_sheet!$A:$H,3,FALSE),VLOOKUP("other",bug_conf_sheet!$A:$H,3,FALSE))</f>
        <v>1</v>
      </c>
      <c r="O181" s="31">
        <f>IFERROR(VLOOKUP($D181,bug_conf_sheet!$A:$H,4,FALSE),VLOOKUP("other",bug_conf_sheet!$A:$H,4,FALSE))</f>
        <v>0</v>
      </c>
      <c r="P181" s="31">
        <f>IFERROR(VLOOKUP($D181,bug_conf_sheet!$A:$H,5,FALSE),VLOOKUP("other",bug_conf_sheet!$A:$H,5,FALSE))</f>
        <v>0</v>
      </c>
      <c r="Q181" s="31">
        <f>IFERROR(VLOOKUP($D181,bug_conf_sheet!$A:$H,6,FALSE),VLOOKUP("other",bug_conf_sheet!$A:$H,6,FALSE))</f>
        <v>0</v>
      </c>
      <c r="R181" s="31">
        <f>IFERROR(VLOOKUP($D181,bug_conf_sheet!$A:$H,7,FALSE),VLOOKUP("other",bug_conf_sheet!$A:$H,7,FALSE))</f>
        <v>0</v>
      </c>
      <c r="S181" s="31">
        <f>IFERROR(VLOOKUP($D181,bug_conf_sheet!$A:$H,8,FALSE),VLOOKUP("other",bug_conf_sheet!$A:$H,8,FALSE))</f>
        <v>1</v>
      </c>
    </row>
    <row r="182" spans="1:19" ht="21" customHeight="1">
      <c r="A182" s="2">
        <f>input_4!A$2</f>
        <v>3124</v>
      </c>
      <c r="B182" s="7" t="str">
        <f t="shared" si="7"/>
        <v>Premium4</v>
      </c>
      <c r="C182" s="7" t="str">
        <f t="shared" si="8"/>
        <v>Premium</v>
      </c>
      <c r="D182" s="6">
        <v>440</v>
      </c>
      <c r="E182" s="7" t="str">
        <f>VLOOKUP(D182,[1]characters!$A:$C,3,FALSE)</f>
        <v>改良型 ブリキロガー</v>
      </c>
      <c r="F182" s="7" t="str">
        <f>VLOOKUP(D182,[1]characters!$A:$J,10,FALSE)</f>
        <v>PremiumS</v>
      </c>
      <c r="G182" s="7">
        <f>VLOOKUP(D182,[1]characters!$A:$I,9,FALSE)</f>
        <v>4</v>
      </c>
      <c r="H182" s="7" t="str">
        <f>VLOOKUP(D182,[1]characters!$A:$H,8,FALSE)</f>
        <v>blue</v>
      </c>
      <c r="I182" s="7" t="str">
        <f>VLOOKUP(D182,[1]characters!$A:$K,11,FALSE)</f>
        <v>attack</v>
      </c>
      <c r="J182" s="7" t="str">
        <f>VLOOKUP(D182,[1]characters!$A:$M,13,FALSE)</f>
        <v>machine</v>
      </c>
      <c r="K182" s="7" t="str">
        <f>VLOOKUP(D182,[1]characters!$A:$G,7,FALSE)</f>
        <v>不明</v>
      </c>
      <c r="L182" s="66">
        <f>IFERROR(VLOOKUP(D182,input_4!L:R,7,FALSE),VLOOKUP(tables_4!B182,input_4!A:H,8,FALSE))</f>
        <v>60021</v>
      </c>
      <c r="M182" s="67">
        <f t="shared" si="6"/>
        <v>5.777027027027027E-3</v>
      </c>
      <c r="N182" s="31">
        <f>IFERROR(VLOOKUP($D182,bug_conf_sheet!$A:$H,3,FALSE),VLOOKUP("other",bug_conf_sheet!$A:$H,3,FALSE))</f>
        <v>1</v>
      </c>
      <c r="O182" s="31">
        <f>IFERROR(VLOOKUP($D182,bug_conf_sheet!$A:$H,4,FALSE),VLOOKUP("other",bug_conf_sheet!$A:$H,4,FALSE))</f>
        <v>0</v>
      </c>
      <c r="P182" s="31">
        <f>IFERROR(VLOOKUP($D182,bug_conf_sheet!$A:$H,5,FALSE),VLOOKUP("other",bug_conf_sheet!$A:$H,5,FALSE))</f>
        <v>0</v>
      </c>
      <c r="Q182" s="31">
        <f>IFERROR(VLOOKUP($D182,bug_conf_sheet!$A:$H,6,FALSE),VLOOKUP("other",bug_conf_sheet!$A:$H,6,FALSE))</f>
        <v>0</v>
      </c>
      <c r="R182" s="31">
        <f>IFERROR(VLOOKUP($D182,bug_conf_sheet!$A:$H,7,FALSE),VLOOKUP("other",bug_conf_sheet!$A:$H,7,FALSE))</f>
        <v>0</v>
      </c>
      <c r="S182" s="31">
        <f>IFERROR(VLOOKUP($D182,bug_conf_sheet!$A:$H,8,FALSE),VLOOKUP("other",bug_conf_sheet!$A:$H,8,FALSE))</f>
        <v>1</v>
      </c>
    </row>
    <row r="183" spans="1:19" ht="21" customHeight="1">
      <c r="A183" s="2">
        <f>input_4!A$2</f>
        <v>3124</v>
      </c>
      <c r="B183" s="7" t="str">
        <f t="shared" si="7"/>
        <v>Premium5</v>
      </c>
      <c r="C183" s="7" t="str">
        <f t="shared" si="8"/>
        <v>Premium</v>
      </c>
      <c r="D183" s="6">
        <v>441</v>
      </c>
      <c r="E183" s="7" t="str">
        <f>VLOOKUP(D183,[1]characters!$A:$C,3,FALSE)</f>
        <v>求心の錻装 ブリキロガー</v>
      </c>
      <c r="F183" s="7" t="str">
        <f>VLOOKUP(D183,[1]characters!$A:$J,10,FALSE)</f>
        <v>PremiumS</v>
      </c>
      <c r="G183" s="7">
        <f>VLOOKUP(D183,[1]characters!$A:$I,9,FALSE)</f>
        <v>5</v>
      </c>
      <c r="H183" s="7" t="str">
        <f>VLOOKUP(D183,[1]characters!$A:$H,8,FALSE)</f>
        <v>blue</v>
      </c>
      <c r="I183" s="7" t="str">
        <f>VLOOKUP(D183,[1]characters!$A:$K,11,FALSE)</f>
        <v>attack</v>
      </c>
      <c r="J183" s="7" t="str">
        <f>VLOOKUP(D183,[1]characters!$A:$M,13,FALSE)</f>
        <v>machine</v>
      </c>
      <c r="K183" s="7" t="str">
        <f>VLOOKUP(D183,[1]characters!$A:$G,7,FALSE)</f>
        <v>不明</v>
      </c>
      <c r="L183" s="66">
        <f>IFERROR(VLOOKUP(D183,input_4!L:R,7,FALSE),VLOOKUP(tables_4!B183,input_4!A:H,8,FALSE))</f>
        <v>9139</v>
      </c>
      <c r="M183" s="67">
        <f t="shared" si="6"/>
        <v>8.7962962962962962E-4</v>
      </c>
      <c r="N183" s="31">
        <f>IFERROR(VLOOKUP($D183,bug_conf_sheet!$A:$H,3,FALSE),VLOOKUP("other",bug_conf_sheet!$A:$H,3,FALSE))</f>
        <v>1</v>
      </c>
      <c r="O183" s="31">
        <f>IFERROR(VLOOKUP($D183,bug_conf_sheet!$A:$H,4,FALSE),VLOOKUP("other",bug_conf_sheet!$A:$H,4,FALSE))</f>
        <v>0</v>
      </c>
      <c r="P183" s="31">
        <f>IFERROR(VLOOKUP($D183,bug_conf_sheet!$A:$H,5,FALSE),VLOOKUP("other",bug_conf_sheet!$A:$H,5,FALSE))</f>
        <v>0</v>
      </c>
      <c r="Q183" s="31">
        <f>IFERROR(VLOOKUP($D183,bug_conf_sheet!$A:$H,6,FALSE),VLOOKUP("other",bug_conf_sheet!$A:$H,6,FALSE))</f>
        <v>0</v>
      </c>
      <c r="R183" s="31">
        <f>IFERROR(VLOOKUP($D183,bug_conf_sheet!$A:$H,7,FALSE),VLOOKUP("other",bug_conf_sheet!$A:$H,7,FALSE))</f>
        <v>0</v>
      </c>
      <c r="S183" s="31">
        <f>IFERROR(VLOOKUP($D183,bug_conf_sheet!$A:$H,8,FALSE),VLOOKUP("other",bug_conf_sheet!$A:$H,8,FALSE))</f>
        <v>1</v>
      </c>
    </row>
    <row r="184" spans="1:19" ht="21" customHeight="1">
      <c r="A184" s="2">
        <f>input_4!A$2</f>
        <v>3124</v>
      </c>
      <c r="B184" s="7" t="str">
        <f t="shared" si="7"/>
        <v>PremiumSS4</v>
      </c>
      <c r="C184" s="7" t="str">
        <f t="shared" si="8"/>
        <v>PremiumSS</v>
      </c>
      <c r="D184" s="6">
        <v>442</v>
      </c>
      <c r="E184" s="7" t="str">
        <f>VLOOKUP(D184,[1]characters!$A:$C,3,FALSE)</f>
        <v>ブレイブリー・ライオン</v>
      </c>
      <c r="F184" s="7" t="str">
        <f>VLOOKUP(D184,[1]characters!$A:$J,10,FALSE)</f>
        <v>PremiumSS</v>
      </c>
      <c r="G184" s="7">
        <f>VLOOKUP(D184,[1]characters!$A:$I,9,FALSE)</f>
        <v>4</v>
      </c>
      <c r="H184" s="7" t="str">
        <f>VLOOKUP(D184,[1]characters!$A:$H,8,FALSE)</f>
        <v>yellow</v>
      </c>
      <c r="I184" s="7" t="str">
        <f>VLOOKUP(D184,[1]characters!$A:$K,11,FALSE)</f>
        <v>hp</v>
      </c>
      <c r="J184" s="7" t="str">
        <f>VLOOKUP(D184,[1]characters!$A:$M,13,FALSE)</f>
        <v>animal</v>
      </c>
      <c r="K184" s="7" t="str">
        <f>VLOOKUP(D184,[1]characters!$A:$G,7,FALSE)</f>
        <v>不明</v>
      </c>
      <c r="L184" s="66">
        <f>IFERROR(VLOOKUP(D184,input_4!L:R,7,FALSE),VLOOKUP(tables_4!B184,input_4!A:H,8,FALSE))</f>
        <v>8991</v>
      </c>
      <c r="M184" s="67">
        <f t="shared" si="6"/>
        <v>8.6538461538461541E-4</v>
      </c>
      <c r="N184" s="31">
        <f>IFERROR(VLOOKUP($D184,bug_conf_sheet!$A:$H,3,FALSE),VLOOKUP("other",bug_conf_sheet!$A:$H,3,FALSE))</f>
        <v>1</v>
      </c>
      <c r="O184" s="31">
        <f>IFERROR(VLOOKUP($D184,bug_conf_sheet!$A:$H,4,FALSE),VLOOKUP("other",bug_conf_sheet!$A:$H,4,FALSE))</f>
        <v>0</v>
      </c>
      <c r="P184" s="31">
        <f>IFERROR(VLOOKUP($D184,bug_conf_sheet!$A:$H,5,FALSE),VLOOKUP("other",bug_conf_sheet!$A:$H,5,FALSE))</f>
        <v>0</v>
      </c>
      <c r="Q184" s="31">
        <f>IFERROR(VLOOKUP($D184,bug_conf_sheet!$A:$H,6,FALSE),VLOOKUP("other",bug_conf_sheet!$A:$H,6,FALSE))</f>
        <v>0</v>
      </c>
      <c r="R184" s="31">
        <f>IFERROR(VLOOKUP($D184,bug_conf_sheet!$A:$H,7,FALSE),VLOOKUP("other",bug_conf_sheet!$A:$H,7,FALSE))</f>
        <v>0</v>
      </c>
      <c r="S184" s="31">
        <f>IFERROR(VLOOKUP($D184,bug_conf_sheet!$A:$H,8,FALSE),VLOOKUP("other",bug_conf_sheet!$A:$H,8,FALSE))</f>
        <v>1</v>
      </c>
    </row>
    <row r="185" spans="1:19" ht="21" customHeight="1">
      <c r="A185" s="2">
        <f>input_4!A$2</f>
        <v>3124</v>
      </c>
      <c r="B185" s="7" t="str">
        <f t="shared" si="7"/>
        <v>PremiumSS5</v>
      </c>
      <c r="C185" s="7" t="str">
        <f t="shared" si="8"/>
        <v>PremiumSS</v>
      </c>
      <c r="D185" s="6">
        <v>443</v>
      </c>
      <c r="E185" s="7" t="str">
        <f>VLOOKUP(D185,[1]characters!$A:$C,3,FALSE)</f>
        <v>勇機結集 ブレイブリー・ライオン</v>
      </c>
      <c r="F185" s="7" t="str">
        <f>VLOOKUP(D185,[1]characters!$A:$J,10,FALSE)</f>
        <v>PremiumSS</v>
      </c>
      <c r="G185" s="7">
        <f>VLOOKUP(D185,[1]characters!$A:$I,9,FALSE)</f>
        <v>5</v>
      </c>
      <c r="H185" s="7" t="str">
        <f>VLOOKUP(D185,[1]characters!$A:$H,8,FALSE)</f>
        <v>yellow</v>
      </c>
      <c r="I185" s="7" t="str">
        <f>VLOOKUP(D185,[1]characters!$A:$K,11,FALSE)</f>
        <v>hp</v>
      </c>
      <c r="J185" s="7" t="str">
        <f>VLOOKUP(D185,[1]characters!$A:$M,13,FALSE)</f>
        <v>animal</v>
      </c>
      <c r="K185" s="7" t="str">
        <f>VLOOKUP(D185,[1]characters!$A:$G,7,FALSE)</f>
        <v>不明</v>
      </c>
      <c r="L185" s="66">
        <f>IFERROR(VLOOKUP(D185,input_4!L:R,7,FALSE),VLOOKUP(tables_4!B185,input_4!A:H,8,FALSE))</f>
        <v>999</v>
      </c>
      <c r="M185" s="67">
        <f t="shared" si="6"/>
        <v>9.6153846153846154E-5</v>
      </c>
      <c r="N185" s="31">
        <f>IFERROR(VLOOKUP($D185,bug_conf_sheet!$A:$H,3,FALSE),VLOOKUP("other",bug_conf_sheet!$A:$H,3,FALSE))</f>
        <v>1</v>
      </c>
      <c r="O185" s="31">
        <f>IFERROR(VLOOKUP($D185,bug_conf_sheet!$A:$H,4,FALSE),VLOOKUP("other",bug_conf_sheet!$A:$H,4,FALSE))</f>
        <v>0</v>
      </c>
      <c r="P185" s="31">
        <f>IFERROR(VLOOKUP($D185,bug_conf_sheet!$A:$H,5,FALSE),VLOOKUP("other",bug_conf_sheet!$A:$H,5,FALSE))</f>
        <v>0</v>
      </c>
      <c r="Q185" s="31">
        <f>IFERROR(VLOOKUP($D185,bug_conf_sheet!$A:$H,6,FALSE),VLOOKUP("other",bug_conf_sheet!$A:$H,6,FALSE))</f>
        <v>0</v>
      </c>
      <c r="R185" s="31">
        <f>IFERROR(VLOOKUP($D185,bug_conf_sheet!$A:$H,7,FALSE),VLOOKUP("other",bug_conf_sheet!$A:$H,7,FALSE))</f>
        <v>0</v>
      </c>
      <c r="S185" s="31">
        <f>IFERROR(VLOOKUP($D185,bug_conf_sheet!$A:$H,8,FALSE),VLOOKUP("other",bug_conf_sheet!$A:$H,8,FALSE))</f>
        <v>1</v>
      </c>
    </row>
    <row r="186" spans="1:19" ht="21" customHeight="1">
      <c r="A186" s="2">
        <f>input_4!A$2</f>
        <v>3124</v>
      </c>
      <c r="B186" s="7" t="str">
        <f t="shared" si="7"/>
        <v>Premium3</v>
      </c>
      <c r="C186" s="7" t="str">
        <f t="shared" si="8"/>
        <v>Premium</v>
      </c>
      <c r="D186" s="8">
        <v>462</v>
      </c>
      <c r="E186" s="7" t="str">
        <f>VLOOKUP(D186,[1]characters!$A:$C,3,FALSE)</f>
        <v>ガウェイン</v>
      </c>
      <c r="F186" s="7" t="str">
        <f>VLOOKUP(D186,[1]characters!$A:$J,10,FALSE)</f>
        <v>PremiumS</v>
      </c>
      <c r="G186" s="7">
        <f>VLOOKUP(D186,[1]characters!$A:$I,9,FALSE)</f>
        <v>3</v>
      </c>
      <c r="H186" s="7" t="str">
        <f>VLOOKUP(D186,[1]characters!$A:$H,8,FALSE)</f>
        <v>red</v>
      </c>
      <c r="I186" s="7" t="str">
        <f>VLOOKUP(D186,[1]characters!$A:$K,11,FALSE)</f>
        <v>hp</v>
      </c>
      <c r="J186" s="7" t="str">
        <f>VLOOKUP(D186,[1]characters!$A:$M,13,FALSE)</f>
        <v>human</v>
      </c>
      <c r="K186" s="7" t="str">
        <f>VLOOKUP(D186,[1]characters!$A:$G,7,FALSE)</f>
        <v>男性</v>
      </c>
      <c r="L186" s="66">
        <f>IFERROR(VLOOKUP(D186,input_4!L:R,7,FALSE),VLOOKUP(tables_4!B186,input_4!A:H,8,FALSE))</f>
        <v>70200</v>
      </c>
      <c r="M186" s="67">
        <f t="shared" si="6"/>
        <v>6.7567567567567571E-3</v>
      </c>
      <c r="N186" s="31">
        <f>IFERROR(VLOOKUP($D186,bug_conf_sheet!$A:$H,3,FALSE),VLOOKUP("other",bug_conf_sheet!$A:$H,3,FALSE))</f>
        <v>1</v>
      </c>
      <c r="O186" s="31">
        <f>IFERROR(VLOOKUP($D186,bug_conf_sheet!$A:$H,4,FALSE),VLOOKUP("other",bug_conf_sheet!$A:$H,4,FALSE))</f>
        <v>0</v>
      </c>
      <c r="P186" s="31">
        <f>IFERROR(VLOOKUP($D186,bug_conf_sheet!$A:$H,5,FALSE),VLOOKUP("other",bug_conf_sheet!$A:$H,5,FALSE))</f>
        <v>0</v>
      </c>
      <c r="Q186" s="31">
        <f>IFERROR(VLOOKUP($D186,bug_conf_sheet!$A:$H,6,FALSE),VLOOKUP("other",bug_conf_sheet!$A:$H,6,FALSE))</f>
        <v>0</v>
      </c>
      <c r="R186" s="31">
        <f>IFERROR(VLOOKUP($D186,bug_conf_sheet!$A:$H,7,FALSE),VLOOKUP("other",bug_conf_sheet!$A:$H,7,FALSE))</f>
        <v>0</v>
      </c>
      <c r="S186" s="31">
        <f>IFERROR(VLOOKUP($D186,bug_conf_sheet!$A:$H,8,FALSE),VLOOKUP("other",bug_conf_sheet!$A:$H,8,FALSE))</f>
        <v>1</v>
      </c>
    </row>
    <row r="187" spans="1:19" ht="21" customHeight="1">
      <c r="A187" s="2">
        <f>input_4!A$2</f>
        <v>3124</v>
      </c>
      <c r="B187" s="7" t="str">
        <f t="shared" si="7"/>
        <v>Premium4</v>
      </c>
      <c r="C187" s="7" t="str">
        <f t="shared" si="8"/>
        <v>Premium</v>
      </c>
      <c r="D187" s="8">
        <v>463</v>
      </c>
      <c r="E187" s="7" t="str">
        <f>VLOOKUP(D187,[1]characters!$A:$C,3,FALSE)</f>
        <v>燻銀 ガウェイン</v>
      </c>
      <c r="F187" s="7" t="str">
        <f>VLOOKUP(D187,[1]characters!$A:$J,10,FALSE)</f>
        <v>PremiumS</v>
      </c>
      <c r="G187" s="7">
        <f>VLOOKUP(D187,[1]characters!$A:$I,9,FALSE)</f>
        <v>4</v>
      </c>
      <c r="H187" s="7" t="str">
        <f>VLOOKUP(D187,[1]characters!$A:$H,8,FALSE)</f>
        <v>red</v>
      </c>
      <c r="I187" s="7" t="str">
        <f>VLOOKUP(D187,[1]characters!$A:$K,11,FALSE)</f>
        <v>hp</v>
      </c>
      <c r="J187" s="7" t="str">
        <f>VLOOKUP(D187,[1]characters!$A:$M,13,FALSE)</f>
        <v>human</v>
      </c>
      <c r="K187" s="7" t="str">
        <f>VLOOKUP(D187,[1]characters!$A:$G,7,FALSE)</f>
        <v>男性</v>
      </c>
      <c r="L187" s="66">
        <f>IFERROR(VLOOKUP(D187,input_4!L:R,7,FALSE),VLOOKUP(tables_4!B187,input_4!A:H,8,FALSE))</f>
        <v>60021</v>
      </c>
      <c r="M187" s="67">
        <f t="shared" si="6"/>
        <v>5.777027027027027E-3</v>
      </c>
      <c r="N187" s="31">
        <f>IFERROR(VLOOKUP($D187,bug_conf_sheet!$A:$H,3,FALSE),VLOOKUP("other",bug_conf_sheet!$A:$H,3,FALSE))</f>
        <v>1</v>
      </c>
      <c r="O187" s="31">
        <f>IFERROR(VLOOKUP($D187,bug_conf_sheet!$A:$H,4,FALSE),VLOOKUP("other",bug_conf_sheet!$A:$H,4,FALSE))</f>
        <v>0</v>
      </c>
      <c r="P187" s="31">
        <f>IFERROR(VLOOKUP($D187,bug_conf_sheet!$A:$H,5,FALSE),VLOOKUP("other",bug_conf_sheet!$A:$H,5,FALSE))</f>
        <v>0</v>
      </c>
      <c r="Q187" s="31">
        <f>IFERROR(VLOOKUP($D187,bug_conf_sheet!$A:$H,6,FALSE),VLOOKUP("other",bug_conf_sheet!$A:$H,6,FALSE))</f>
        <v>0</v>
      </c>
      <c r="R187" s="31">
        <f>IFERROR(VLOOKUP($D187,bug_conf_sheet!$A:$H,7,FALSE),VLOOKUP("other",bug_conf_sheet!$A:$H,7,FALSE))</f>
        <v>0</v>
      </c>
      <c r="S187" s="31">
        <f>IFERROR(VLOOKUP($D187,bug_conf_sheet!$A:$H,8,FALSE),VLOOKUP("other",bug_conf_sheet!$A:$H,8,FALSE))</f>
        <v>1</v>
      </c>
    </row>
    <row r="188" spans="1:19" ht="21" customHeight="1">
      <c r="A188" s="2">
        <f>input_4!A$2</f>
        <v>3124</v>
      </c>
      <c r="B188" s="7" t="str">
        <f t="shared" si="7"/>
        <v>Premium5</v>
      </c>
      <c r="C188" s="7" t="str">
        <f t="shared" si="8"/>
        <v>Premium</v>
      </c>
      <c r="D188" s="8">
        <v>464</v>
      </c>
      <c r="E188" s="7" t="str">
        <f>VLOOKUP(D188,[1]characters!$A:$C,3,FALSE)</f>
        <v>円熟の弾導 ガウェイン</v>
      </c>
      <c r="F188" s="7" t="str">
        <f>VLOOKUP(D188,[1]characters!$A:$J,10,FALSE)</f>
        <v>PremiumS</v>
      </c>
      <c r="G188" s="7">
        <f>VLOOKUP(D188,[1]characters!$A:$I,9,FALSE)</f>
        <v>5</v>
      </c>
      <c r="H188" s="7" t="str">
        <f>VLOOKUP(D188,[1]characters!$A:$H,8,FALSE)</f>
        <v>red</v>
      </c>
      <c r="I188" s="7" t="str">
        <f>VLOOKUP(D188,[1]characters!$A:$K,11,FALSE)</f>
        <v>hp</v>
      </c>
      <c r="J188" s="7" t="str">
        <f>VLOOKUP(D188,[1]characters!$A:$M,13,FALSE)</f>
        <v>human</v>
      </c>
      <c r="K188" s="7" t="str">
        <f>VLOOKUP(D188,[1]characters!$A:$G,7,FALSE)</f>
        <v>男性</v>
      </c>
      <c r="L188" s="66">
        <f>IFERROR(VLOOKUP(D188,input_4!L:R,7,FALSE),VLOOKUP(tables_4!B188,input_4!A:H,8,FALSE))</f>
        <v>9139</v>
      </c>
      <c r="M188" s="67">
        <f t="shared" si="6"/>
        <v>8.7962962962962962E-4</v>
      </c>
      <c r="N188" s="31">
        <f>IFERROR(VLOOKUP($D188,bug_conf_sheet!$A:$H,3,FALSE),VLOOKUP("other",bug_conf_sheet!$A:$H,3,FALSE))</f>
        <v>1</v>
      </c>
      <c r="O188" s="31">
        <f>IFERROR(VLOOKUP($D188,bug_conf_sheet!$A:$H,4,FALSE),VLOOKUP("other",bug_conf_sheet!$A:$H,4,FALSE))</f>
        <v>0</v>
      </c>
      <c r="P188" s="31">
        <f>IFERROR(VLOOKUP($D188,bug_conf_sheet!$A:$H,5,FALSE),VLOOKUP("other",bug_conf_sheet!$A:$H,5,FALSE))</f>
        <v>0</v>
      </c>
      <c r="Q188" s="31">
        <f>IFERROR(VLOOKUP($D188,bug_conf_sheet!$A:$H,6,FALSE),VLOOKUP("other",bug_conf_sheet!$A:$H,6,FALSE))</f>
        <v>0</v>
      </c>
      <c r="R188" s="31">
        <f>IFERROR(VLOOKUP($D188,bug_conf_sheet!$A:$H,7,FALSE),VLOOKUP("other",bug_conf_sheet!$A:$H,7,FALSE))</f>
        <v>0</v>
      </c>
      <c r="S188" s="31">
        <f>IFERROR(VLOOKUP($D188,bug_conf_sheet!$A:$H,8,FALSE),VLOOKUP("other",bug_conf_sheet!$A:$H,8,FALSE))</f>
        <v>1</v>
      </c>
    </row>
    <row r="189" spans="1:19" ht="21" customHeight="1">
      <c r="A189" s="2">
        <f>input_4!A$2</f>
        <v>3124</v>
      </c>
      <c r="B189" s="7" t="str">
        <f t="shared" si="7"/>
        <v>PremiumSS4</v>
      </c>
      <c r="C189" s="7" t="str">
        <f t="shared" si="8"/>
        <v>PremiumSS</v>
      </c>
      <c r="D189" s="8">
        <v>465</v>
      </c>
      <c r="E189" s="7" t="str">
        <f>VLOOKUP(D189,[1]characters!$A:$C,3,FALSE)</f>
        <v>真撃 ランスロット</v>
      </c>
      <c r="F189" s="7" t="str">
        <f>VLOOKUP(D189,[1]characters!$A:$J,10,FALSE)</f>
        <v>PremiumSS</v>
      </c>
      <c r="G189" s="7">
        <f>VLOOKUP(D189,[1]characters!$A:$I,9,FALSE)</f>
        <v>4</v>
      </c>
      <c r="H189" s="7" t="str">
        <f>VLOOKUP(D189,[1]characters!$A:$H,8,FALSE)</f>
        <v>green</v>
      </c>
      <c r="I189" s="7" t="str">
        <f>VLOOKUP(D189,[1]characters!$A:$K,11,FALSE)</f>
        <v>balance</v>
      </c>
      <c r="J189" s="7" t="str">
        <f>VLOOKUP(D189,[1]characters!$A:$M,13,FALSE)</f>
        <v>human</v>
      </c>
      <c r="K189" s="7" t="str">
        <f>VLOOKUP(D189,[1]characters!$A:$G,7,FALSE)</f>
        <v>男性</v>
      </c>
      <c r="L189" s="66">
        <f>IFERROR(VLOOKUP(D189,input_4!L:R,7,FALSE),VLOOKUP(tables_4!B189,input_4!A:H,8,FALSE))</f>
        <v>8991</v>
      </c>
      <c r="M189" s="67">
        <f t="shared" si="6"/>
        <v>8.6538461538461541E-4</v>
      </c>
      <c r="N189" s="31">
        <f>IFERROR(VLOOKUP($D189,bug_conf_sheet!$A:$H,3,FALSE),VLOOKUP("other",bug_conf_sheet!$A:$H,3,FALSE))</f>
        <v>1</v>
      </c>
      <c r="O189" s="31">
        <f>IFERROR(VLOOKUP($D189,bug_conf_sheet!$A:$H,4,FALSE),VLOOKUP("other",bug_conf_sheet!$A:$H,4,FALSE))</f>
        <v>0</v>
      </c>
      <c r="P189" s="31">
        <f>IFERROR(VLOOKUP($D189,bug_conf_sheet!$A:$H,5,FALSE),VLOOKUP("other",bug_conf_sheet!$A:$H,5,FALSE))</f>
        <v>0</v>
      </c>
      <c r="Q189" s="31">
        <f>IFERROR(VLOOKUP($D189,bug_conf_sheet!$A:$H,6,FALSE),VLOOKUP("other",bug_conf_sheet!$A:$H,6,FALSE))</f>
        <v>0</v>
      </c>
      <c r="R189" s="31">
        <f>IFERROR(VLOOKUP($D189,bug_conf_sheet!$A:$H,7,FALSE),VLOOKUP("other",bug_conf_sheet!$A:$H,7,FALSE))</f>
        <v>0</v>
      </c>
      <c r="S189" s="31">
        <f>IFERROR(VLOOKUP($D189,bug_conf_sheet!$A:$H,8,FALSE),VLOOKUP("other",bug_conf_sheet!$A:$H,8,FALSE))</f>
        <v>1</v>
      </c>
    </row>
    <row r="190" spans="1:19" s="9" customFormat="1" ht="21" customHeight="1" thickBot="1">
      <c r="A190" s="2">
        <f>input_4!A$2</f>
        <v>3124</v>
      </c>
      <c r="B190" s="7" t="str">
        <f t="shared" si="7"/>
        <v>PremiumSS5</v>
      </c>
      <c r="C190" s="7" t="str">
        <f t="shared" si="8"/>
        <v>PremiumSS</v>
      </c>
      <c r="D190" s="6">
        <v>466</v>
      </c>
      <c r="E190" s="7" t="str">
        <f>VLOOKUP(D190,[1]characters!$A:$C,3,FALSE)</f>
        <v>真断の勇覇 ランスロット</v>
      </c>
      <c r="F190" s="7" t="str">
        <f>VLOOKUP(D190,[1]characters!$A:$J,10,FALSE)</f>
        <v>PremiumSS</v>
      </c>
      <c r="G190" s="7">
        <f>VLOOKUP(D190,[1]characters!$A:$I,9,FALSE)</f>
        <v>5</v>
      </c>
      <c r="H190" s="7" t="str">
        <f>VLOOKUP(D190,[1]characters!$A:$H,8,FALSE)</f>
        <v>green</v>
      </c>
      <c r="I190" s="7" t="str">
        <f>VLOOKUP(D190,[1]characters!$A:$K,11,FALSE)</f>
        <v>balance</v>
      </c>
      <c r="J190" s="7" t="str">
        <f>VLOOKUP(D190,[1]characters!$A:$M,13,FALSE)</f>
        <v>human</v>
      </c>
      <c r="K190" s="7" t="str">
        <f>VLOOKUP(D190,[1]characters!$A:$G,7,FALSE)</f>
        <v>男性</v>
      </c>
      <c r="L190" s="66">
        <f>IFERROR(VLOOKUP(D190,input_4!L:R,7,FALSE),VLOOKUP(tables_4!B190,input_4!A:H,8,FALSE))</f>
        <v>999</v>
      </c>
      <c r="M190" s="67">
        <f t="shared" si="6"/>
        <v>9.6153846153846154E-5</v>
      </c>
      <c r="N190" s="31">
        <f>IFERROR(VLOOKUP($D190,bug_conf_sheet!$A:$H,3,FALSE),VLOOKUP("other",bug_conf_sheet!$A:$H,3,FALSE))</f>
        <v>1</v>
      </c>
      <c r="O190" s="31">
        <f>IFERROR(VLOOKUP($D190,bug_conf_sheet!$A:$H,4,FALSE),VLOOKUP("other",bug_conf_sheet!$A:$H,4,FALSE))</f>
        <v>0</v>
      </c>
      <c r="P190" s="31">
        <f>IFERROR(VLOOKUP($D190,bug_conf_sheet!$A:$H,5,FALSE),VLOOKUP("other",bug_conf_sheet!$A:$H,5,FALSE))</f>
        <v>0</v>
      </c>
      <c r="Q190" s="31">
        <f>IFERROR(VLOOKUP($D190,bug_conf_sheet!$A:$H,6,FALSE),VLOOKUP("other",bug_conf_sheet!$A:$H,6,FALSE))</f>
        <v>0</v>
      </c>
      <c r="R190" s="31">
        <f>IFERROR(VLOOKUP($D190,bug_conf_sheet!$A:$H,7,FALSE),VLOOKUP("other",bug_conf_sheet!$A:$H,7,FALSE))</f>
        <v>0</v>
      </c>
      <c r="S190" s="31">
        <f>IFERROR(VLOOKUP($D190,bug_conf_sheet!$A:$H,8,FALSE),VLOOKUP("other",bug_conf_sheet!$A:$H,8,FALSE))</f>
        <v>1</v>
      </c>
    </row>
    <row r="191" spans="1:19" ht="21" customHeight="1">
      <c r="A191" s="2">
        <f>input_4!A$2</f>
        <v>3124</v>
      </c>
      <c r="B191" s="7" t="str">
        <f t="shared" si="7"/>
        <v>PremiumSS4</v>
      </c>
      <c r="C191" s="7" t="str">
        <f t="shared" si="8"/>
        <v>PremiumSS</v>
      </c>
      <c r="D191" s="6">
        <v>467</v>
      </c>
      <c r="E191" s="7" t="str">
        <f>VLOOKUP(D191,[1]characters!$A:$C,3,FALSE)</f>
        <v>報復 モルドレッド</v>
      </c>
      <c r="F191" s="7" t="str">
        <f>VLOOKUP(D191,[1]characters!$A:$J,10,FALSE)</f>
        <v>PremiumSS</v>
      </c>
      <c r="G191" s="7">
        <f>VLOOKUP(D191,[1]characters!$A:$I,9,FALSE)</f>
        <v>4</v>
      </c>
      <c r="H191" s="7" t="str">
        <f>VLOOKUP(D191,[1]characters!$A:$H,8,FALSE)</f>
        <v>blue</v>
      </c>
      <c r="I191" s="7" t="str">
        <f>VLOOKUP(D191,[1]characters!$A:$K,11,FALSE)</f>
        <v>technical</v>
      </c>
      <c r="J191" s="7" t="str">
        <f>VLOOKUP(D191,[1]characters!$A:$M,13,FALSE)</f>
        <v>human</v>
      </c>
      <c r="K191" s="7" t="str">
        <f>VLOOKUP(D191,[1]characters!$A:$G,7,FALSE)</f>
        <v>女性</v>
      </c>
      <c r="L191" s="66">
        <f>IFERROR(VLOOKUP(D191,input_4!L:R,7,FALSE),VLOOKUP(tables_4!B191,input_4!A:H,8,FALSE))</f>
        <v>8991</v>
      </c>
      <c r="M191" s="67">
        <f t="shared" si="6"/>
        <v>8.6538461538461541E-4</v>
      </c>
      <c r="N191" s="31">
        <f>IFERROR(VLOOKUP($D191,bug_conf_sheet!$A:$H,3,FALSE),VLOOKUP("other",bug_conf_sheet!$A:$H,3,FALSE))</f>
        <v>1</v>
      </c>
      <c r="O191" s="31">
        <f>IFERROR(VLOOKUP($D191,bug_conf_sheet!$A:$H,4,FALSE),VLOOKUP("other",bug_conf_sheet!$A:$H,4,FALSE))</f>
        <v>0</v>
      </c>
      <c r="P191" s="31">
        <f>IFERROR(VLOOKUP($D191,bug_conf_sheet!$A:$H,5,FALSE),VLOOKUP("other",bug_conf_sheet!$A:$H,5,FALSE))</f>
        <v>0</v>
      </c>
      <c r="Q191" s="31">
        <f>IFERROR(VLOOKUP($D191,bug_conf_sheet!$A:$H,6,FALSE),VLOOKUP("other",bug_conf_sheet!$A:$H,6,FALSE))</f>
        <v>0</v>
      </c>
      <c r="R191" s="31">
        <f>IFERROR(VLOOKUP($D191,bug_conf_sheet!$A:$H,7,FALSE),VLOOKUP("other",bug_conf_sheet!$A:$H,7,FALSE))</f>
        <v>0</v>
      </c>
      <c r="S191" s="31">
        <f>IFERROR(VLOOKUP($D191,bug_conf_sheet!$A:$H,8,FALSE),VLOOKUP("other",bug_conf_sheet!$A:$H,8,FALSE))</f>
        <v>1</v>
      </c>
    </row>
    <row r="192" spans="1:19" ht="21" customHeight="1">
      <c r="A192" s="2">
        <f>input_4!A$2</f>
        <v>3124</v>
      </c>
      <c r="B192" s="7" t="str">
        <f t="shared" si="7"/>
        <v>PremiumSS5</v>
      </c>
      <c r="C192" s="7" t="str">
        <f t="shared" si="8"/>
        <v>PremiumSS</v>
      </c>
      <c r="D192" s="6">
        <v>468</v>
      </c>
      <c r="E192" s="7" t="str">
        <f>VLOOKUP(D192,[1]characters!$A:$C,3,FALSE)</f>
        <v>憎愛の尖鋒 モルドレッド</v>
      </c>
      <c r="F192" s="7" t="str">
        <f>VLOOKUP(D192,[1]characters!$A:$J,10,FALSE)</f>
        <v>PremiumSS</v>
      </c>
      <c r="G192" s="7">
        <f>VLOOKUP(D192,[1]characters!$A:$I,9,FALSE)</f>
        <v>5</v>
      </c>
      <c r="H192" s="7" t="str">
        <f>VLOOKUP(D192,[1]characters!$A:$H,8,FALSE)</f>
        <v>blue</v>
      </c>
      <c r="I192" s="7" t="str">
        <f>VLOOKUP(D192,[1]characters!$A:$K,11,FALSE)</f>
        <v>technical</v>
      </c>
      <c r="J192" s="7" t="str">
        <f>VLOOKUP(D192,[1]characters!$A:$M,13,FALSE)</f>
        <v>human</v>
      </c>
      <c r="K192" s="7" t="str">
        <f>VLOOKUP(D192,[1]characters!$A:$G,7,FALSE)</f>
        <v>女性</v>
      </c>
      <c r="L192" s="66">
        <f>IFERROR(VLOOKUP(D192,input_4!L:R,7,FALSE),VLOOKUP(tables_4!B192,input_4!A:H,8,FALSE))</f>
        <v>999</v>
      </c>
      <c r="M192" s="67">
        <f t="shared" si="6"/>
        <v>9.6153846153846154E-5</v>
      </c>
      <c r="N192" s="31">
        <f>IFERROR(VLOOKUP($D192,bug_conf_sheet!$A:$H,3,FALSE),VLOOKUP("other",bug_conf_sheet!$A:$H,3,FALSE))</f>
        <v>1</v>
      </c>
      <c r="O192" s="31">
        <f>IFERROR(VLOOKUP($D192,bug_conf_sheet!$A:$H,4,FALSE),VLOOKUP("other",bug_conf_sheet!$A:$H,4,FALSE))</f>
        <v>0</v>
      </c>
      <c r="P192" s="31">
        <f>IFERROR(VLOOKUP($D192,bug_conf_sheet!$A:$H,5,FALSE),VLOOKUP("other",bug_conf_sheet!$A:$H,5,FALSE))</f>
        <v>0</v>
      </c>
      <c r="Q192" s="31">
        <f>IFERROR(VLOOKUP($D192,bug_conf_sheet!$A:$H,6,FALSE),VLOOKUP("other",bug_conf_sheet!$A:$H,6,FALSE))</f>
        <v>0</v>
      </c>
      <c r="R192" s="31">
        <f>IFERROR(VLOOKUP($D192,bug_conf_sheet!$A:$H,7,FALSE),VLOOKUP("other",bug_conf_sheet!$A:$H,7,FALSE))</f>
        <v>0</v>
      </c>
      <c r="S192" s="31">
        <f>IFERROR(VLOOKUP($D192,bug_conf_sheet!$A:$H,8,FALSE),VLOOKUP("other",bug_conf_sheet!$A:$H,8,FALSE))</f>
        <v>1</v>
      </c>
    </row>
    <row r="193" spans="1:19" ht="21" customHeight="1">
      <c r="A193" s="2">
        <f>input_4!A$2</f>
        <v>3124</v>
      </c>
      <c r="B193" s="7" t="str">
        <f t="shared" si="7"/>
        <v>Premium3</v>
      </c>
      <c r="C193" s="7" t="str">
        <f t="shared" si="8"/>
        <v>Premium</v>
      </c>
      <c r="D193" s="6">
        <v>469</v>
      </c>
      <c r="E193" s="7" t="str">
        <f>VLOOKUP(D193,[1]characters!$A:$C,3,FALSE)</f>
        <v>トリスタン</v>
      </c>
      <c r="F193" s="7" t="str">
        <f>VLOOKUP(D193,[1]characters!$A:$J,10,FALSE)</f>
        <v>PremiumS</v>
      </c>
      <c r="G193" s="7">
        <f>VLOOKUP(D193,[1]characters!$A:$I,9,FALSE)</f>
        <v>3</v>
      </c>
      <c r="H193" s="7" t="str">
        <f>VLOOKUP(D193,[1]characters!$A:$H,8,FALSE)</f>
        <v>yellow</v>
      </c>
      <c r="I193" s="7" t="str">
        <f>VLOOKUP(D193,[1]characters!$A:$K,11,FALSE)</f>
        <v>attack</v>
      </c>
      <c r="J193" s="7" t="str">
        <f>VLOOKUP(D193,[1]characters!$A:$M,13,FALSE)</f>
        <v>human</v>
      </c>
      <c r="K193" s="7" t="str">
        <f>VLOOKUP(D193,[1]characters!$A:$G,7,FALSE)</f>
        <v>男性</v>
      </c>
      <c r="L193" s="66">
        <f>IFERROR(VLOOKUP(D193,input_4!L:R,7,FALSE),VLOOKUP(tables_4!B193,input_4!A:H,8,FALSE))</f>
        <v>70200</v>
      </c>
      <c r="M193" s="67">
        <f t="shared" si="6"/>
        <v>6.7567567567567571E-3</v>
      </c>
      <c r="N193" s="31">
        <f>IFERROR(VLOOKUP($D193,bug_conf_sheet!$A:$H,3,FALSE),VLOOKUP("other",bug_conf_sheet!$A:$H,3,FALSE))</f>
        <v>1</v>
      </c>
      <c r="O193" s="31">
        <f>IFERROR(VLOOKUP($D193,bug_conf_sheet!$A:$H,4,FALSE),VLOOKUP("other",bug_conf_sheet!$A:$H,4,FALSE))</f>
        <v>0</v>
      </c>
      <c r="P193" s="31">
        <f>IFERROR(VLOOKUP($D193,bug_conf_sheet!$A:$H,5,FALSE),VLOOKUP("other",bug_conf_sheet!$A:$H,5,FALSE))</f>
        <v>0</v>
      </c>
      <c r="Q193" s="31">
        <f>IFERROR(VLOOKUP($D193,bug_conf_sheet!$A:$H,6,FALSE),VLOOKUP("other",bug_conf_sheet!$A:$H,6,FALSE))</f>
        <v>0</v>
      </c>
      <c r="R193" s="31">
        <f>IFERROR(VLOOKUP($D193,bug_conf_sheet!$A:$H,7,FALSE),VLOOKUP("other",bug_conf_sheet!$A:$H,7,FALSE))</f>
        <v>0</v>
      </c>
      <c r="S193" s="31">
        <f>IFERROR(VLOOKUP($D193,bug_conf_sheet!$A:$H,8,FALSE),VLOOKUP("other",bug_conf_sheet!$A:$H,8,FALSE))</f>
        <v>1</v>
      </c>
    </row>
    <row r="194" spans="1:19" ht="21" customHeight="1">
      <c r="A194" s="2">
        <f>input_4!A$2</f>
        <v>3124</v>
      </c>
      <c r="B194" s="7" t="str">
        <f t="shared" si="7"/>
        <v>Premium4</v>
      </c>
      <c r="C194" s="7" t="str">
        <f t="shared" si="8"/>
        <v>Premium</v>
      </c>
      <c r="D194" s="6">
        <v>470</v>
      </c>
      <c r="E194" s="7" t="str">
        <f>VLOOKUP(D194,[1]characters!$A:$C,3,FALSE)</f>
        <v>純心 トリスタン</v>
      </c>
      <c r="F194" s="7" t="str">
        <f>VLOOKUP(D194,[1]characters!$A:$J,10,FALSE)</f>
        <v>PremiumS</v>
      </c>
      <c r="G194" s="7">
        <f>VLOOKUP(D194,[1]characters!$A:$I,9,FALSE)</f>
        <v>4</v>
      </c>
      <c r="H194" s="7" t="str">
        <f>VLOOKUP(D194,[1]characters!$A:$H,8,FALSE)</f>
        <v>yellow</v>
      </c>
      <c r="I194" s="7" t="str">
        <f>VLOOKUP(D194,[1]characters!$A:$K,11,FALSE)</f>
        <v>attack</v>
      </c>
      <c r="J194" s="7" t="str">
        <f>VLOOKUP(D194,[1]characters!$A:$M,13,FALSE)</f>
        <v>human</v>
      </c>
      <c r="K194" s="7" t="str">
        <f>VLOOKUP(D194,[1]characters!$A:$G,7,FALSE)</f>
        <v>男性</v>
      </c>
      <c r="L194" s="66">
        <f>IFERROR(VLOOKUP(D194,input_4!L:R,7,FALSE),VLOOKUP(tables_4!B194,input_4!A:H,8,FALSE))</f>
        <v>60021</v>
      </c>
      <c r="M194" s="67">
        <f t="shared" ref="M194:M255" si="9">L194/SUM(L:L)</f>
        <v>5.777027027027027E-3</v>
      </c>
      <c r="N194" s="31">
        <f>IFERROR(VLOOKUP($D194,bug_conf_sheet!$A:$H,3,FALSE),VLOOKUP("other",bug_conf_sheet!$A:$H,3,FALSE))</f>
        <v>1</v>
      </c>
      <c r="O194" s="31">
        <f>IFERROR(VLOOKUP($D194,bug_conf_sheet!$A:$H,4,FALSE),VLOOKUP("other",bug_conf_sheet!$A:$H,4,FALSE))</f>
        <v>0</v>
      </c>
      <c r="P194" s="31">
        <f>IFERROR(VLOOKUP($D194,bug_conf_sheet!$A:$H,5,FALSE),VLOOKUP("other",bug_conf_sheet!$A:$H,5,FALSE))</f>
        <v>0</v>
      </c>
      <c r="Q194" s="31">
        <f>IFERROR(VLOOKUP($D194,bug_conf_sheet!$A:$H,6,FALSE),VLOOKUP("other",bug_conf_sheet!$A:$H,6,FALSE))</f>
        <v>0</v>
      </c>
      <c r="R194" s="31">
        <f>IFERROR(VLOOKUP($D194,bug_conf_sheet!$A:$H,7,FALSE),VLOOKUP("other",bug_conf_sheet!$A:$H,7,FALSE))</f>
        <v>0</v>
      </c>
      <c r="S194" s="31">
        <f>IFERROR(VLOOKUP($D194,bug_conf_sheet!$A:$H,8,FALSE),VLOOKUP("other",bug_conf_sheet!$A:$H,8,FALSE))</f>
        <v>1</v>
      </c>
    </row>
    <row r="195" spans="1:19" ht="21" customHeight="1">
      <c r="A195" s="2">
        <f>input_4!A$2</f>
        <v>3124</v>
      </c>
      <c r="B195" s="7" t="str">
        <f t="shared" ref="B195:B255" si="10">C195&amp;G195</f>
        <v>Premium5</v>
      </c>
      <c r="C195" s="7" t="str">
        <f t="shared" ref="C195:C255" si="11">IF(F195="PremiumSS",F195,IF(F195="PremiumSSS",F195,"Premium"))</f>
        <v>Premium</v>
      </c>
      <c r="D195" s="6">
        <v>471</v>
      </c>
      <c r="E195" s="7" t="str">
        <f>VLOOKUP(D195,[1]characters!$A:$C,3,FALSE)</f>
        <v>不可避の爆激 トリスタン</v>
      </c>
      <c r="F195" s="7" t="str">
        <f>VLOOKUP(D195,[1]characters!$A:$J,10,FALSE)</f>
        <v>PremiumS</v>
      </c>
      <c r="G195" s="7">
        <f>VLOOKUP(D195,[1]characters!$A:$I,9,FALSE)</f>
        <v>5</v>
      </c>
      <c r="H195" s="7" t="str">
        <f>VLOOKUP(D195,[1]characters!$A:$H,8,FALSE)</f>
        <v>yellow</v>
      </c>
      <c r="I195" s="7" t="str">
        <f>VLOOKUP(D195,[1]characters!$A:$K,11,FALSE)</f>
        <v>attack</v>
      </c>
      <c r="J195" s="7" t="str">
        <f>VLOOKUP(D195,[1]characters!$A:$M,13,FALSE)</f>
        <v>human</v>
      </c>
      <c r="K195" s="7" t="str">
        <f>VLOOKUP(D195,[1]characters!$A:$G,7,FALSE)</f>
        <v>男性</v>
      </c>
      <c r="L195" s="66">
        <f>IFERROR(VLOOKUP(D195,input_4!L:R,7,FALSE),VLOOKUP(tables_4!B195,input_4!A:H,8,FALSE))</f>
        <v>9139</v>
      </c>
      <c r="M195" s="67">
        <f t="shared" si="9"/>
        <v>8.7962962962962962E-4</v>
      </c>
      <c r="N195" s="31">
        <f>IFERROR(VLOOKUP($D195,bug_conf_sheet!$A:$H,3,FALSE),VLOOKUP("other",bug_conf_sheet!$A:$H,3,FALSE))</f>
        <v>1</v>
      </c>
      <c r="O195" s="31">
        <f>IFERROR(VLOOKUP($D195,bug_conf_sheet!$A:$H,4,FALSE),VLOOKUP("other",bug_conf_sheet!$A:$H,4,FALSE))</f>
        <v>0</v>
      </c>
      <c r="P195" s="31">
        <f>IFERROR(VLOOKUP($D195,bug_conf_sheet!$A:$H,5,FALSE),VLOOKUP("other",bug_conf_sheet!$A:$H,5,FALSE))</f>
        <v>0</v>
      </c>
      <c r="Q195" s="31">
        <f>IFERROR(VLOOKUP($D195,bug_conf_sheet!$A:$H,6,FALSE),VLOOKUP("other",bug_conf_sheet!$A:$H,6,FALSE))</f>
        <v>0</v>
      </c>
      <c r="R195" s="31">
        <f>IFERROR(VLOOKUP($D195,bug_conf_sheet!$A:$H,7,FALSE),VLOOKUP("other",bug_conf_sheet!$A:$H,7,FALSE))</f>
        <v>0</v>
      </c>
      <c r="S195" s="31">
        <f>IFERROR(VLOOKUP($D195,bug_conf_sheet!$A:$H,8,FALSE),VLOOKUP("other",bug_conf_sheet!$A:$H,8,FALSE))</f>
        <v>1</v>
      </c>
    </row>
    <row r="196" spans="1:19" ht="21" customHeight="1">
      <c r="A196" s="2">
        <f>input_4!A$2</f>
        <v>3124</v>
      </c>
      <c r="B196" s="7" t="str">
        <f t="shared" si="10"/>
        <v>PremiumSS4</v>
      </c>
      <c r="C196" s="7" t="str">
        <f t="shared" si="11"/>
        <v>PremiumSS</v>
      </c>
      <c r="D196" s="6">
        <v>474</v>
      </c>
      <c r="E196" s="7" t="str">
        <f>VLOOKUP(D196,[1]characters!$A:$C,3,FALSE)</f>
        <v>キング・ドライグ</v>
      </c>
      <c r="F196" s="7" t="str">
        <f>VLOOKUP(D196,[1]characters!$A:$J,10,FALSE)</f>
        <v>PremiumSS</v>
      </c>
      <c r="G196" s="7">
        <f>VLOOKUP(D196,[1]characters!$A:$I,9,FALSE)</f>
        <v>4</v>
      </c>
      <c r="H196" s="7" t="str">
        <f>VLOOKUP(D196,[1]characters!$A:$H,8,FALSE)</f>
        <v>red</v>
      </c>
      <c r="I196" s="7" t="str">
        <f>VLOOKUP(D196,[1]characters!$A:$K,11,FALSE)</f>
        <v>attack</v>
      </c>
      <c r="J196" s="7" t="str">
        <f>VLOOKUP(D196,[1]characters!$A:$M,13,FALSE)</f>
        <v>dragon</v>
      </c>
      <c r="K196" s="7" t="str">
        <f>VLOOKUP(D196,[1]characters!$A:$G,7,FALSE)</f>
        <v>不明</v>
      </c>
      <c r="L196" s="66">
        <f>IFERROR(VLOOKUP(D196,input_4!L:R,7,FALSE),VLOOKUP(tables_4!B196,input_4!A:H,8,FALSE))</f>
        <v>8991</v>
      </c>
      <c r="M196" s="67">
        <f t="shared" si="9"/>
        <v>8.6538461538461541E-4</v>
      </c>
      <c r="N196" s="31">
        <f>IFERROR(VLOOKUP($D196,bug_conf_sheet!$A:$H,3,FALSE),VLOOKUP("other",bug_conf_sheet!$A:$H,3,FALSE))</f>
        <v>1</v>
      </c>
      <c r="O196" s="31">
        <f>IFERROR(VLOOKUP($D196,bug_conf_sheet!$A:$H,4,FALSE),VLOOKUP("other",bug_conf_sheet!$A:$H,4,FALSE))</f>
        <v>0</v>
      </c>
      <c r="P196" s="31">
        <f>IFERROR(VLOOKUP($D196,bug_conf_sheet!$A:$H,5,FALSE),VLOOKUP("other",bug_conf_sheet!$A:$H,5,FALSE))</f>
        <v>0</v>
      </c>
      <c r="Q196" s="31">
        <f>IFERROR(VLOOKUP($D196,bug_conf_sheet!$A:$H,6,FALSE),VLOOKUP("other",bug_conf_sheet!$A:$H,6,FALSE))</f>
        <v>0</v>
      </c>
      <c r="R196" s="31">
        <f>IFERROR(VLOOKUP($D196,bug_conf_sheet!$A:$H,7,FALSE),VLOOKUP("other",bug_conf_sheet!$A:$H,7,FALSE))</f>
        <v>0</v>
      </c>
      <c r="S196" s="31">
        <f>IFERROR(VLOOKUP($D196,bug_conf_sheet!$A:$H,8,FALSE),VLOOKUP("other",bug_conf_sheet!$A:$H,8,FALSE))</f>
        <v>1</v>
      </c>
    </row>
    <row r="197" spans="1:19" ht="21" customHeight="1">
      <c r="A197" s="2">
        <f>input_4!A$2</f>
        <v>3124</v>
      </c>
      <c r="B197" s="7" t="str">
        <f t="shared" si="10"/>
        <v>PremiumSS5</v>
      </c>
      <c r="C197" s="7" t="str">
        <f t="shared" si="11"/>
        <v>PremiumSS</v>
      </c>
      <c r="D197" s="6">
        <v>475</v>
      </c>
      <c r="E197" s="7" t="str">
        <f>VLOOKUP(D197,[1]characters!$A:$C,3,FALSE)</f>
        <v>緋王 キング・ドライグ</v>
      </c>
      <c r="F197" s="7" t="str">
        <f>VLOOKUP(D197,[1]characters!$A:$J,10,FALSE)</f>
        <v>PremiumSS</v>
      </c>
      <c r="G197" s="7">
        <f>VLOOKUP(D197,[1]characters!$A:$I,9,FALSE)</f>
        <v>5</v>
      </c>
      <c r="H197" s="7" t="str">
        <f>VLOOKUP(D197,[1]characters!$A:$H,8,FALSE)</f>
        <v>red</v>
      </c>
      <c r="I197" s="7" t="str">
        <f>VLOOKUP(D197,[1]characters!$A:$K,11,FALSE)</f>
        <v>attack</v>
      </c>
      <c r="J197" s="7" t="str">
        <f>VLOOKUP(D197,[1]characters!$A:$M,13,FALSE)</f>
        <v>dragon</v>
      </c>
      <c r="K197" s="7" t="str">
        <f>VLOOKUP(D197,[1]characters!$A:$G,7,FALSE)</f>
        <v>不明</v>
      </c>
      <c r="L197" s="66">
        <f>IFERROR(VLOOKUP(D197,input_4!L:R,7,FALSE),VLOOKUP(tables_4!B197,input_4!A:H,8,FALSE))</f>
        <v>999</v>
      </c>
      <c r="M197" s="67">
        <f t="shared" si="9"/>
        <v>9.6153846153846154E-5</v>
      </c>
      <c r="N197" s="31">
        <f>IFERROR(VLOOKUP($D197,bug_conf_sheet!$A:$H,3,FALSE),VLOOKUP("other",bug_conf_sheet!$A:$H,3,FALSE))</f>
        <v>1</v>
      </c>
      <c r="O197" s="31">
        <f>IFERROR(VLOOKUP($D197,bug_conf_sheet!$A:$H,4,FALSE),VLOOKUP("other",bug_conf_sheet!$A:$H,4,FALSE))</f>
        <v>0</v>
      </c>
      <c r="P197" s="31">
        <f>IFERROR(VLOOKUP($D197,bug_conf_sheet!$A:$H,5,FALSE),VLOOKUP("other",bug_conf_sheet!$A:$H,5,FALSE))</f>
        <v>0</v>
      </c>
      <c r="Q197" s="31">
        <f>IFERROR(VLOOKUP($D197,bug_conf_sheet!$A:$H,6,FALSE),VLOOKUP("other",bug_conf_sheet!$A:$H,6,FALSE))</f>
        <v>0</v>
      </c>
      <c r="R197" s="31">
        <f>IFERROR(VLOOKUP($D197,bug_conf_sheet!$A:$H,7,FALSE),VLOOKUP("other",bug_conf_sheet!$A:$H,7,FALSE))</f>
        <v>0</v>
      </c>
      <c r="S197" s="31">
        <f>IFERROR(VLOOKUP($D197,bug_conf_sheet!$A:$H,8,FALSE),VLOOKUP("other",bug_conf_sheet!$A:$H,8,FALSE))</f>
        <v>1</v>
      </c>
    </row>
    <row r="198" spans="1:19" ht="21" customHeight="1">
      <c r="A198" s="2">
        <f>input_4!A$2</f>
        <v>3124</v>
      </c>
      <c r="B198" s="7" t="str">
        <f t="shared" si="10"/>
        <v>Premium3</v>
      </c>
      <c r="C198" s="7" t="str">
        <f t="shared" si="11"/>
        <v>Premium</v>
      </c>
      <c r="D198" s="6">
        <v>476</v>
      </c>
      <c r="E198" s="7" t="str">
        <f>VLOOKUP(D198,[1]characters!$A:$C,3,FALSE)</f>
        <v>ファータ</v>
      </c>
      <c r="F198" s="7" t="str">
        <f>VLOOKUP(D198,[1]characters!$A:$J,10,FALSE)</f>
        <v>PremiumS</v>
      </c>
      <c r="G198" s="7">
        <f>VLOOKUP(D198,[1]characters!$A:$I,9,FALSE)</f>
        <v>3</v>
      </c>
      <c r="H198" s="7" t="str">
        <f>VLOOKUP(D198,[1]characters!$A:$H,8,FALSE)</f>
        <v>green</v>
      </c>
      <c r="I198" s="7" t="str">
        <f>VLOOKUP(D198,[1]characters!$A:$K,11,FALSE)</f>
        <v>heal</v>
      </c>
      <c r="J198" s="7" t="str">
        <f>VLOOKUP(D198,[1]characters!$A:$M,13,FALSE)</f>
        <v>unknown</v>
      </c>
      <c r="K198" s="7" t="str">
        <f>VLOOKUP(D198,[1]characters!$A:$G,7,FALSE)</f>
        <v>女性</v>
      </c>
      <c r="L198" s="66">
        <f>IFERROR(VLOOKUP(D198,input_4!L:R,7,FALSE),VLOOKUP(tables_4!B198,input_4!A:H,8,FALSE))</f>
        <v>70200</v>
      </c>
      <c r="M198" s="67">
        <f t="shared" si="9"/>
        <v>6.7567567567567571E-3</v>
      </c>
      <c r="N198" s="31">
        <f>IFERROR(VLOOKUP($D198,bug_conf_sheet!$A:$H,3,FALSE),VLOOKUP("other",bug_conf_sheet!$A:$H,3,FALSE))</f>
        <v>1</v>
      </c>
      <c r="O198" s="31">
        <f>IFERROR(VLOOKUP($D198,bug_conf_sheet!$A:$H,4,FALSE),VLOOKUP("other",bug_conf_sheet!$A:$H,4,FALSE))</f>
        <v>0</v>
      </c>
      <c r="P198" s="31">
        <f>IFERROR(VLOOKUP($D198,bug_conf_sheet!$A:$H,5,FALSE),VLOOKUP("other",bug_conf_sheet!$A:$H,5,FALSE))</f>
        <v>0</v>
      </c>
      <c r="Q198" s="31">
        <f>IFERROR(VLOOKUP($D198,bug_conf_sheet!$A:$H,6,FALSE),VLOOKUP("other",bug_conf_sheet!$A:$H,6,FALSE))</f>
        <v>0</v>
      </c>
      <c r="R198" s="31">
        <f>IFERROR(VLOOKUP($D198,bug_conf_sheet!$A:$H,7,FALSE),VLOOKUP("other",bug_conf_sheet!$A:$H,7,FALSE))</f>
        <v>0</v>
      </c>
      <c r="S198" s="31">
        <f>IFERROR(VLOOKUP($D198,bug_conf_sheet!$A:$H,8,FALSE),VLOOKUP("other",bug_conf_sheet!$A:$H,8,FALSE))</f>
        <v>1</v>
      </c>
    </row>
    <row r="199" spans="1:19" ht="21" customHeight="1">
      <c r="A199" s="2">
        <f>input_4!A$2</f>
        <v>3124</v>
      </c>
      <c r="B199" s="7" t="str">
        <f t="shared" si="10"/>
        <v>Premium4</v>
      </c>
      <c r="C199" s="7" t="str">
        <f t="shared" si="11"/>
        <v>Premium</v>
      </c>
      <c r="D199" s="6">
        <v>477</v>
      </c>
      <c r="E199" s="7" t="str">
        <f>VLOOKUP(D199,[1]characters!$A:$C,3,FALSE)</f>
        <v>愛羽妖精 ファータ</v>
      </c>
      <c r="F199" s="7" t="str">
        <f>VLOOKUP(D199,[1]characters!$A:$J,10,FALSE)</f>
        <v>PremiumS</v>
      </c>
      <c r="G199" s="7">
        <f>VLOOKUP(D199,[1]characters!$A:$I,9,FALSE)</f>
        <v>4</v>
      </c>
      <c r="H199" s="7" t="str">
        <f>VLOOKUP(D199,[1]characters!$A:$H,8,FALSE)</f>
        <v>green</v>
      </c>
      <c r="I199" s="7" t="str">
        <f>VLOOKUP(D199,[1]characters!$A:$K,11,FALSE)</f>
        <v>heal</v>
      </c>
      <c r="J199" s="7" t="str">
        <f>VLOOKUP(D199,[1]characters!$A:$M,13,FALSE)</f>
        <v>unknown</v>
      </c>
      <c r="K199" s="7" t="str">
        <f>VLOOKUP(D199,[1]characters!$A:$G,7,FALSE)</f>
        <v>女性</v>
      </c>
      <c r="L199" s="66">
        <f>IFERROR(VLOOKUP(D199,input_4!L:R,7,FALSE),VLOOKUP(tables_4!B199,input_4!A:H,8,FALSE))</f>
        <v>60021</v>
      </c>
      <c r="M199" s="67">
        <f t="shared" si="9"/>
        <v>5.777027027027027E-3</v>
      </c>
      <c r="N199" s="31">
        <f>IFERROR(VLOOKUP($D199,bug_conf_sheet!$A:$H,3,FALSE),VLOOKUP("other",bug_conf_sheet!$A:$H,3,FALSE))</f>
        <v>1</v>
      </c>
      <c r="O199" s="31">
        <f>IFERROR(VLOOKUP($D199,bug_conf_sheet!$A:$H,4,FALSE),VLOOKUP("other",bug_conf_sheet!$A:$H,4,FALSE))</f>
        <v>0</v>
      </c>
      <c r="P199" s="31">
        <f>IFERROR(VLOOKUP($D199,bug_conf_sheet!$A:$H,5,FALSE),VLOOKUP("other",bug_conf_sheet!$A:$H,5,FALSE))</f>
        <v>0</v>
      </c>
      <c r="Q199" s="31">
        <f>IFERROR(VLOOKUP($D199,bug_conf_sheet!$A:$H,6,FALSE),VLOOKUP("other",bug_conf_sheet!$A:$H,6,FALSE))</f>
        <v>0</v>
      </c>
      <c r="R199" s="31">
        <f>IFERROR(VLOOKUP($D199,bug_conf_sheet!$A:$H,7,FALSE),VLOOKUP("other",bug_conf_sheet!$A:$H,7,FALSE))</f>
        <v>0</v>
      </c>
      <c r="S199" s="31">
        <f>IFERROR(VLOOKUP($D199,bug_conf_sheet!$A:$H,8,FALSE),VLOOKUP("other",bug_conf_sheet!$A:$H,8,FALSE))</f>
        <v>1</v>
      </c>
    </row>
    <row r="200" spans="1:19" ht="21" customHeight="1">
      <c r="A200" s="2">
        <f>input_4!A$2</f>
        <v>3124</v>
      </c>
      <c r="B200" s="7" t="str">
        <f t="shared" si="10"/>
        <v>Premium5</v>
      </c>
      <c r="C200" s="7" t="str">
        <f t="shared" si="11"/>
        <v>Premium</v>
      </c>
      <c r="D200" s="6">
        <v>478</v>
      </c>
      <c r="E200" s="7" t="str">
        <f>VLOOKUP(D200,[1]characters!$A:$C,3,FALSE)</f>
        <v>時計仕掛けの愛羽妖精 ファータ</v>
      </c>
      <c r="F200" s="7" t="str">
        <f>VLOOKUP(D200,[1]characters!$A:$J,10,FALSE)</f>
        <v>PremiumS</v>
      </c>
      <c r="G200" s="7">
        <f>VLOOKUP(D200,[1]characters!$A:$I,9,FALSE)</f>
        <v>5</v>
      </c>
      <c r="H200" s="7" t="str">
        <f>VLOOKUP(D200,[1]characters!$A:$H,8,FALSE)</f>
        <v>green</v>
      </c>
      <c r="I200" s="7" t="str">
        <f>VLOOKUP(D200,[1]characters!$A:$K,11,FALSE)</f>
        <v>heal</v>
      </c>
      <c r="J200" s="7" t="str">
        <f>VLOOKUP(D200,[1]characters!$A:$M,13,FALSE)</f>
        <v>unknown</v>
      </c>
      <c r="K200" s="7" t="str">
        <f>VLOOKUP(D200,[1]characters!$A:$G,7,FALSE)</f>
        <v>女性</v>
      </c>
      <c r="L200" s="66">
        <f>IFERROR(VLOOKUP(D200,input_4!L:R,7,FALSE),VLOOKUP(tables_4!B200,input_4!A:H,8,FALSE))</f>
        <v>9139</v>
      </c>
      <c r="M200" s="67">
        <f t="shared" si="9"/>
        <v>8.7962962962962962E-4</v>
      </c>
      <c r="N200" s="31">
        <f>IFERROR(VLOOKUP($D200,bug_conf_sheet!$A:$H,3,FALSE),VLOOKUP("other",bug_conf_sheet!$A:$H,3,FALSE))</f>
        <v>1</v>
      </c>
      <c r="O200" s="31">
        <f>IFERROR(VLOOKUP($D200,bug_conf_sheet!$A:$H,4,FALSE),VLOOKUP("other",bug_conf_sheet!$A:$H,4,FALSE))</f>
        <v>0</v>
      </c>
      <c r="P200" s="31">
        <f>IFERROR(VLOOKUP($D200,bug_conf_sheet!$A:$H,5,FALSE),VLOOKUP("other",bug_conf_sheet!$A:$H,5,FALSE))</f>
        <v>0</v>
      </c>
      <c r="Q200" s="31">
        <f>IFERROR(VLOOKUP($D200,bug_conf_sheet!$A:$H,6,FALSE),VLOOKUP("other",bug_conf_sheet!$A:$H,6,FALSE))</f>
        <v>0</v>
      </c>
      <c r="R200" s="31">
        <f>IFERROR(VLOOKUP($D200,bug_conf_sheet!$A:$H,7,FALSE),VLOOKUP("other",bug_conf_sheet!$A:$H,7,FALSE))</f>
        <v>0</v>
      </c>
      <c r="S200" s="31">
        <f>IFERROR(VLOOKUP($D200,bug_conf_sheet!$A:$H,8,FALSE),VLOOKUP("other",bug_conf_sheet!$A:$H,8,FALSE))</f>
        <v>1</v>
      </c>
    </row>
    <row r="201" spans="1:19" ht="21" customHeight="1">
      <c r="A201" s="2">
        <f>input_4!A$2</f>
        <v>3124</v>
      </c>
      <c r="B201" s="7" t="str">
        <f t="shared" si="10"/>
        <v>PremiumSS4</v>
      </c>
      <c r="C201" s="7" t="str">
        <f t="shared" si="11"/>
        <v>PremiumSS</v>
      </c>
      <c r="D201" s="6">
        <v>479</v>
      </c>
      <c r="E201" s="7" t="str">
        <f>VLOOKUP(D201,[1]characters!$A:$C,3,FALSE)</f>
        <v>フール</v>
      </c>
      <c r="F201" s="7" t="str">
        <f>VLOOKUP(D201,[1]characters!$A:$J,10,FALSE)</f>
        <v>PremiumSS</v>
      </c>
      <c r="G201" s="7">
        <f>VLOOKUP(D201,[1]characters!$A:$I,9,FALSE)</f>
        <v>4</v>
      </c>
      <c r="H201" s="7" t="str">
        <f>VLOOKUP(D201,[1]characters!$A:$H,8,FALSE)</f>
        <v>blue</v>
      </c>
      <c r="I201" s="7" t="str">
        <f>VLOOKUP(D201,[1]characters!$A:$K,11,FALSE)</f>
        <v>technical</v>
      </c>
      <c r="J201" s="7" t="str">
        <f>VLOOKUP(D201,[1]characters!$A:$M,13,FALSE)</f>
        <v>god</v>
      </c>
      <c r="K201" s="7" t="str">
        <f>VLOOKUP(D201,[1]characters!$A:$G,7,FALSE)</f>
        <v>男性</v>
      </c>
      <c r="L201" s="66">
        <f>IFERROR(VLOOKUP(D201,input_4!L:R,7,FALSE),VLOOKUP(tables_4!B201,input_4!A:H,8,FALSE))</f>
        <v>8991</v>
      </c>
      <c r="M201" s="67">
        <f t="shared" si="9"/>
        <v>8.6538461538461541E-4</v>
      </c>
      <c r="N201" s="31">
        <f>IFERROR(VLOOKUP($D201,bug_conf_sheet!$A:$H,3,FALSE),VLOOKUP("other",bug_conf_sheet!$A:$H,3,FALSE))</f>
        <v>1</v>
      </c>
      <c r="O201" s="31">
        <f>IFERROR(VLOOKUP($D201,bug_conf_sheet!$A:$H,4,FALSE),VLOOKUP("other",bug_conf_sheet!$A:$H,4,FALSE))</f>
        <v>0</v>
      </c>
      <c r="P201" s="31">
        <f>IFERROR(VLOOKUP($D201,bug_conf_sheet!$A:$H,5,FALSE),VLOOKUP("other",bug_conf_sheet!$A:$H,5,FALSE))</f>
        <v>0</v>
      </c>
      <c r="Q201" s="31">
        <f>IFERROR(VLOOKUP($D201,bug_conf_sheet!$A:$H,6,FALSE),VLOOKUP("other",bug_conf_sheet!$A:$H,6,FALSE))</f>
        <v>0</v>
      </c>
      <c r="R201" s="31">
        <f>IFERROR(VLOOKUP($D201,bug_conf_sheet!$A:$H,7,FALSE),VLOOKUP("other",bug_conf_sheet!$A:$H,7,FALSE))</f>
        <v>0</v>
      </c>
      <c r="S201" s="31">
        <f>IFERROR(VLOOKUP($D201,bug_conf_sheet!$A:$H,8,FALSE),VLOOKUP("other",bug_conf_sheet!$A:$H,8,FALSE))</f>
        <v>1</v>
      </c>
    </row>
    <row r="202" spans="1:19" ht="21" customHeight="1">
      <c r="A202" s="2">
        <f>input_4!A$2</f>
        <v>3124</v>
      </c>
      <c r="B202" s="7" t="str">
        <f t="shared" si="10"/>
        <v>PremiumSS5</v>
      </c>
      <c r="C202" s="7" t="str">
        <f t="shared" si="11"/>
        <v>PremiumSS</v>
      </c>
      <c r="D202" s="6">
        <v>480</v>
      </c>
      <c r="E202" s="7" t="str">
        <f>VLOOKUP(D202,[1]characters!$A:$C,3,FALSE)</f>
        <v>夢幻の愚者フール</v>
      </c>
      <c r="F202" s="7" t="str">
        <f>VLOOKUP(D202,[1]characters!$A:$J,10,FALSE)</f>
        <v>PremiumSS</v>
      </c>
      <c r="G202" s="7">
        <f>VLOOKUP(D202,[1]characters!$A:$I,9,FALSE)</f>
        <v>5</v>
      </c>
      <c r="H202" s="7" t="str">
        <f>VLOOKUP(D202,[1]characters!$A:$H,8,FALSE)</f>
        <v>blue</v>
      </c>
      <c r="I202" s="7" t="str">
        <f>VLOOKUP(D202,[1]characters!$A:$K,11,FALSE)</f>
        <v>technical</v>
      </c>
      <c r="J202" s="7" t="str">
        <f>VLOOKUP(D202,[1]characters!$A:$M,13,FALSE)</f>
        <v>god</v>
      </c>
      <c r="K202" s="7" t="str">
        <f>VLOOKUP(D202,[1]characters!$A:$G,7,FALSE)</f>
        <v>男性</v>
      </c>
      <c r="L202" s="66">
        <f>IFERROR(VLOOKUP(D202,input_4!L:R,7,FALSE),VLOOKUP(tables_4!B202,input_4!A:H,8,FALSE))</f>
        <v>999</v>
      </c>
      <c r="M202" s="67">
        <f t="shared" si="9"/>
        <v>9.6153846153846154E-5</v>
      </c>
      <c r="N202" s="31">
        <f>IFERROR(VLOOKUP($D202,bug_conf_sheet!$A:$H,3,FALSE),VLOOKUP("other",bug_conf_sheet!$A:$H,3,FALSE))</f>
        <v>1</v>
      </c>
      <c r="O202" s="31">
        <f>IFERROR(VLOOKUP($D202,bug_conf_sheet!$A:$H,4,FALSE),VLOOKUP("other",bug_conf_sheet!$A:$H,4,FALSE))</f>
        <v>0</v>
      </c>
      <c r="P202" s="31">
        <f>IFERROR(VLOOKUP($D202,bug_conf_sheet!$A:$H,5,FALSE),VLOOKUP("other",bug_conf_sheet!$A:$H,5,FALSE))</f>
        <v>0</v>
      </c>
      <c r="Q202" s="31">
        <f>IFERROR(VLOOKUP($D202,bug_conf_sheet!$A:$H,6,FALSE),VLOOKUP("other",bug_conf_sheet!$A:$H,6,FALSE))</f>
        <v>0</v>
      </c>
      <c r="R202" s="31">
        <f>IFERROR(VLOOKUP($D202,bug_conf_sheet!$A:$H,7,FALSE),VLOOKUP("other",bug_conf_sheet!$A:$H,7,FALSE))</f>
        <v>0</v>
      </c>
      <c r="S202" s="31">
        <f>IFERROR(VLOOKUP($D202,bug_conf_sheet!$A:$H,8,FALSE),VLOOKUP("other",bug_conf_sheet!$A:$H,8,FALSE))</f>
        <v>1</v>
      </c>
    </row>
    <row r="203" spans="1:19" ht="21" customHeight="1">
      <c r="A203" s="2">
        <f>input_4!A$2</f>
        <v>3124</v>
      </c>
      <c r="B203" s="7" t="str">
        <f t="shared" si="10"/>
        <v>Premium3</v>
      </c>
      <c r="C203" s="7" t="str">
        <f t="shared" si="11"/>
        <v>Premium</v>
      </c>
      <c r="D203" s="6">
        <v>481</v>
      </c>
      <c r="E203" s="7" t="str">
        <f>VLOOKUP(D203,[1]characters!$A:$C,3,FALSE)</f>
        <v>沢庵宗彭</v>
      </c>
      <c r="F203" s="7" t="str">
        <f>VLOOKUP(D203,[1]characters!$A:$J,10,FALSE)</f>
        <v>PremiumS</v>
      </c>
      <c r="G203" s="7">
        <f>VLOOKUP(D203,[1]characters!$A:$I,9,FALSE)</f>
        <v>3</v>
      </c>
      <c r="H203" s="7" t="str">
        <f>VLOOKUP(D203,[1]characters!$A:$H,8,FALSE)</f>
        <v>yellow</v>
      </c>
      <c r="I203" s="7" t="str">
        <f>VLOOKUP(D203,[1]characters!$A:$K,11,FALSE)</f>
        <v>hp</v>
      </c>
      <c r="J203" s="7" t="str">
        <f>VLOOKUP(D203,[1]characters!$A:$M,13,FALSE)</f>
        <v>human</v>
      </c>
      <c r="K203" s="7" t="str">
        <f>VLOOKUP(D203,[1]characters!$A:$G,7,FALSE)</f>
        <v>男性</v>
      </c>
      <c r="L203" s="66">
        <f>IFERROR(VLOOKUP(D203,input_4!L:R,7,FALSE),VLOOKUP(tables_4!B203,input_4!A:H,8,FALSE))</f>
        <v>70200</v>
      </c>
      <c r="M203" s="67">
        <f t="shared" si="9"/>
        <v>6.7567567567567571E-3</v>
      </c>
      <c r="N203" s="31">
        <f>IFERROR(VLOOKUP($D203,bug_conf_sheet!$A:$H,3,FALSE),VLOOKUP("other",bug_conf_sheet!$A:$H,3,FALSE))</f>
        <v>1</v>
      </c>
      <c r="O203" s="31">
        <f>IFERROR(VLOOKUP($D203,bug_conf_sheet!$A:$H,4,FALSE),VLOOKUP("other",bug_conf_sheet!$A:$H,4,FALSE))</f>
        <v>0</v>
      </c>
      <c r="P203" s="31">
        <f>IFERROR(VLOOKUP($D203,bug_conf_sheet!$A:$H,5,FALSE),VLOOKUP("other",bug_conf_sheet!$A:$H,5,FALSE))</f>
        <v>0</v>
      </c>
      <c r="Q203" s="31">
        <f>IFERROR(VLOOKUP($D203,bug_conf_sheet!$A:$H,6,FALSE),VLOOKUP("other",bug_conf_sheet!$A:$H,6,FALSE))</f>
        <v>0</v>
      </c>
      <c r="R203" s="31">
        <f>IFERROR(VLOOKUP($D203,bug_conf_sheet!$A:$H,7,FALSE),VLOOKUP("other",bug_conf_sheet!$A:$H,7,FALSE))</f>
        <v>0</v>
      </c>
      <c r="S203" s="31">
        <f>IFERROR(VLOOKUP($D203,bug_conf_sheet!$A:$H,8,FALSE),VLOOKUP("other",bug_conf_sheet!$A:$H,8,FALSE))</f>
        <v>1</v>
      </c>
    </row>
    <row r="204" spans="1:19" ht="21" customHeight="1">
      <c r="A204" s="2">
        <f>input_4!A$2</f>
        <v>3124</v>
      </c>
      <c r="B204" s="7" t="str">
        <f t="shared" si="10"/>
        <v>Premium4</v>
      </c>
      <c r="C204" s="7" t="str">
        <f t="shared" si="11"/>
        <v>Premium</v>
      </c>
      <c r="D204" s="6">
        <v>482</v>
      </c>
      <c r="E204" s="7" t="str">
        <f>VLOOKUP(D204,[1]characters!$A:$C,3,FALSE)</f>
        <v>魁僧 沢庵宗彭</v>
      </c>
      <c r="F204" s="7" t="str">
        <f>VLOOKUP(D204,[1]characters!$A:$J,10,FALSE)</f>
        <v>PremiumS</v>
      </c>
      <c r="G204" s="7">
        <f>VLOOKUP(D204,[1]characters!$A:$I,9,FALSE)</f>
        <v>4</v>
      </c>
      <c r="H204" s="7" t="str">
        <f>VLOOKUP(D204,[1]characters!$A:$H,8,FALSE)</f>
        <v>yellow</v>
      </c>
      <c r="I204" s="7" t="str">
        <f>VLOOKUP(D204,[1]characters!$A:$K,11,FALSE)</f>
        <v>hp</v>
      </c>
      <c r="J204" s="7" t="str">
        <f>VLOOKUP(D204,[1]characters!$A:$M,13,FALSE)</f>
        <v>human</v>
      </c>
      <c r="K204" s="7" t="str">
        <f>VLOOKUP(D204,[1]characters!$A:$G,7,FALSE)</f>
        <v>男性</v>
      </c>
      <c r="L204" s="66">
        <f>IFERROR(VLOOKUP(D204,input_4!L:R,7,FALSE),VLOOKUP(tables_4!B204,input_4!A:H,8,FALSE))</f>
        <v>60021</v>
      </c>
      <c r="M204" s="67">
        <f t="shared" si="9"/>
        <v>5.777027027027027E-3</v>
      </c>
      <c r="N204" s="31">
        <f>IFERROR(VLOOKUP($D204,bug_conf_sheet!$A:$H,3,FALSE),VLOOKUP("other",bug_conf_sheet!$A:$H,3,FALSE))</f>
        <v>1</v>
      </c>
      <c r="O204" s="31">
        <f>IFERROR(VLOOKUP($D204,bug_conf_sheet!$A:$H,4,FALSE),VLOOKUP("other",bug_conf_sheet!$A:$H,4,FALSE))</f>
        <v>0</v>
      </c>
      <c r="P204" s="31">
        <f>IFERROR(VLOOKUP($D204,bug_conf_sheet!$A:$H,5,FALSE),VLOOKUP("other",bug_conf_sheet!$A:$H,5,FALSE))</f>
        <v>0</v>
      </c>
      <c r="Q204" s="31">
        <f>IFERROR(VLOOKUP($D204,bug_conf_sheet!$A:$H,6,FALSE),VLOOKUP("other",bug_conf_sheet!$A:$H,6,FALSE))</f>
        <v>0</v>
      </c>
      <c r="R204" s="31">
        <f>IFERROR(VLOOKUP($D204,bug_conf_sheet!$A:$H,7,FALSE),VLOOKUP("other",bug_conf_sheet!$A:$H,7,FALSE))</f>
        <v>0</v>
      </c>
      <c r="S204" s="31">
        <f>IFERROR(VLOOKUP($D204,bug_conf_sheet!$A:$H,8,FALSE),VLOOKUP("other",bug_conf_sheet!$A:$H,8,FALSE))</f>
        <v>1</v>
      </c>
    </row>
    <row r="205" spans="1:19" ht="21" customHeight="1">
      <c r="A205" s="2">
        <f>input_4!A$2</f>
        <v>3124</v>
      </c>
      <c r="B205" s="7" t="str">
        <f t="shared" si="10"/>
        <v>Premium5</v>
      </c>
      <c r="C205" s="7" t="str">
        <f t="shared" si="11"/>
        <v>Premium</v>
      </c>
      <c r="D205" s="6">
        <v>483</v>
      </c>
      <c r="E205" s="7" t="str">
        <f>VLOOKUP(D205,[1]characters!$A:$C,3,FALSE)</f>
        <v xml:space="preserve">命経死遂 沢庵宗彭 </v>
      </c>
      <c r="F205" s="7" t="str">
        <f>VLOOKUP(D205,[1]characters!$A:$J,10,FALSE)</f>
        <v>PremiumS</v>
      </c>
      <c r="G205" s="7">
        <f>VLOOKUP(D205,[1]characters!$A:$I,9,FALSE)</f>
        <v>5</v>
      </c>
      <c r="H205" s="7" t="str">
        <f>VLOOKUP(D205,[1]characters!$A:$H,8,FALSE)</f>
        <v>yellow</v>
      </c>
      <c r="I205" s="7" t="str">
        <f>VLOOKUP(D205,[1]characters!$A:$K,11,FALSE)</f>
        <v>hp</v>
      </c>
      <c r="J205" s="7" t="str">
        <f>VLOOKUP(D205,[1]characters!$A:$M,13,FALSE)</f>
        <v>human</v>
      </c>
      <c r="K205" s="7" t="str">
        <f>VLOOKUP(D205,[1]characters!$A:$G,7,FALSE)</f>
        <v>男性</v>
      </c>
      <c r="L205" s="66">
        <f>IFERROR(VLOOKUP(D205,input_4!L:R,7,FALSE),VLOOKUP(tables_4!B205,input_4!A:H,8,FALSE))</f>
        <v>9139</v>
      </c>
      <c r="M205" s="67">
        <f t="shared" si="9"/>
        <v>8.7962962962962962E-4</v>
      </c>
      <c r="N205" s="31">
        <f>IFERROR(VLOOKUP($D205,bug_conf_sheet!$A:$H,3,FALSE),VLOOKUP("other",bug_conf_sheet!$A:$H,3,FALSE))</f>
        <v>1</v>
      </c>
      <c r="O205" s="31">
        <f>IFERROR(VLOOKUP($D205,bug_conf_sheet!$A:$H,4,FALSE),VLOOKUP("other",bug_conf_sheet!$A:$H,4,FALSE))</f>
        <v>0</v>
      </c>
      <c r="P205" s="31">
        <f>IFERROR(VLOOKUP($D205,bug_conf_sheet!$A:$H,5,FALSE),VLOOKUP("other",bug_conf_sheet!$A:$H,5,FALSE))</f>
        <v>0</v>
      </c>
      <c r="Q205" s="31">
        <f>IFERROR(VLOOKUP($D205,bug_conf_sheet!$A:$H,6,FALSE),VLOOKUP("other",bug_conf_sheet!$A:$H,6,FALSE))</f>
        <v>0</v>
      </c>
      <c r="R205" s="31">
        <f>IFERROR(VLOOKUP($D205,bug_conf_sheet!$A:$H,7,FALSE),VLOOKUP("other",bug_conf_sheet!$A:$H,7,FALSE))</f>
        <v>0</v>
      </c>
      <c r="S205" s="31">
        <f>IFERROR(VLOOKUP($D205,bug_conf_sheet!$A:$H,8,FALSE),VLOOKUP("other",bug_conf_sheet!$A:$H,8,FALSE))</f>
        <v>1</v>
      </c>
    </row>
    <row r="206" spans="1:19" ht="21" customHeight="1">
      <c r="A206" s="2">
        <f>input_4!A$2</f>
        <v>3124</v>
      </c>
      <c r="B206" s="7" t="str">
        <f t="shared" si="10"/>
        <v>PremiumSS4</v>
      </c>
      <c r="C206" s="7" t="str">
        <f t="shared" si="11"/>
        <v>PremiumSS</v>
      </c>
      <c r="D206" s="6">
        <v>492</v>
      </c>
      <c r="E206" s="7" t="str">
        <f>VLOOKUP(D206,[1]characters!$A:$C,3,FALSE)</f>
        <v>ブートレグ・ペロー</v>
      </c>
      <c r="F206" s="7" t="str">
        <f>VLOOKUP(D206,[1]characters!$A:$J,10,FALSE)</f>
        <v>PremiumSS</v>
      </c>
      <c r="G206" s="7">
        <f>VLOOKUP(D206,[1]characters!$A:$I,9,FALSE)</f>
        <v>4</v>
      </c>
      <c r="H206" s="7" t="str">
        <f>VLOOKUP(D206,[1]characters!$A:$H,8,FALSE)</f>
        <v>red</v>
      </c>
      <c r="I206" s="7" t="str">
        <f>VLOOKUP(D206,[1]characters!$A:$K,11,FALSE)</f>
        <v>hp</v>
      </c>
      <c r="J206" s="7" t="str">
        <f>VLOOKUP(D206,[1]characters!$A:$M,13,FALSE)</f>
        <v>animal</v>
      </c>
      <c r="K206" s="7" t="str">
        <f>VLOOKUP(D206,[1]characters!$A:$G,7,FALSE)</f>
        <v>不明</v>
      </c>
      <c r="L206" s="66">
        <f>IFERROR(VLOOKUP(D206,input_4!L:R,7,FALSE),VLOOKUP(tables_4!B206,input_4!A:H,8,FALSE))</f>
        <v>8991</v>
      </c>
      <c r="M206" s="67">
        <f t="shared" si="9"/>
        <v>8.6538461538461541E-4</v>
      </c>
      <c r="N206" s="31">
        <f>IFERROR(VLOOKUP($D206,bug_conf_sheet!$A:$H,3,FALSE),VLOOKUP("other",bug_conf_sheet!$A:$H,3,FALSE))</f>
        <v>1</v>
      </c>
      <c r="O206" s="31">
        <f>IFERROR(VLOOKUP($D206,bug_conf_sheet!$A:$H,4,FALSE),VLOOKUP("other",bug_conf_sheet!$A:$H,4,FALSE))</f>
        <v>0</v>
      </c>
      <c r="P206" s="31">
        <f>IFERROR(VLOOKUP($D206,bug_conf_sheet!$A:$H,5,FALSE),VLOOKUP("other",bug_conf_sheet!$A:$H,5,FALSE))</f>
        <v>0</v>
      </c>
      <c r="Q206" s="31">
        <f>IFERROR(VLOOKUP($D206,bug_conf_sheet!$A:$H,6,FALSE),VLOOKUP("other",bug_conf_sheet!$A:$H,6,FALSE))</f>
        <v>0</v>
      </c>
      <c r="R206" s="31">
        <f>IFERROR(VLOOKUP($D206,bug_conf_sheet!$A:$H,7,FALSE),VLOOKUP("other",bug_conf_sheet!$A:$H,7,FALSE))</f>
        <v>0</v>
      </c>
      <c r="S206" s="31">
        <f>IFERROR(VLOOKUP($D206,bug_conf_sheet!$A:$H,8,FALSE),VLOOKUP("other",bug_conf_sheet!$A:$H,8,FALSE))</f>
        <v>1</v>
      </c>
    </row>
    <row r="207" spans="1:19" ht="21" customHeight="1">
      <c r="A207" s="2">
        <f>input_4!A$2</f>
        <v>3124</v>
      </c>
      <c r="B207" s="7" t="str">
        <f t="shared" si="10"/>
        <v>PremiumSS5</v>
      </c>
      <c r="C207" s="7" t="str">
        <f t="shared" si="11"/>
        <v>PremiumSS</v>
      </c>
      <c r="D207" s="6">
        <v>493</v>
      </c>
      <c r="E207" s="7" t="str">
        <f>VLOOKUP(D207,[1]characters!$A:$C,3,FALSE)</f>
        <v>跋扈の機脚 ブートレグ・ペロー</v>
      </c>
      <c r="F207" s="7" t="str">
        <f>VLOOKUP(D207,[1]characters!$A:$J,10,FALSE)</f>
        <v>PremiumSS</v>
      </c>
      <c r="G207" s="7">
        <f>VLOOKUP(D207,[1]characters!$A:$I,9,FALSE)</f>
        <v>5</v>
      </c>
      <c r="H207" s="7" t="str">
        <f>VLOOKUP(D207,[1]characters!$A:$H,8,FALSE)</f>
        <v>red</v>
      </c>
      <c r="I207" s="7" t="str">
        <f>VLOOKUP(D207,[1]characters!$A:$K,11,FALSE)</f>
        <v>hp</v>
      </c>
      <c r="J207" s="7" t="str">
        <f>VLOOKUP(D207,[1]characters!$A:$M,13,FALSE)</f>
        <v>animal</v>
      </c>
      <c r="K207" s="7" t="str">
        <f>VLOOKUP(D207,[1]characters!$A:$G,7,FALSE)</f>
        <v>不明</v>
      </c>
      <c r="L207" s="66">
        <f>IFERROR(VLOOKUP(D207,input_4!L:R,7,FALSE),VLOOKUP(tables_4!B207,input_4!A:H,8,FALSE))</f>
        <v>999</v>
      </c>
      <c r="M207" s="67">
        <f t="shared" si="9"/>
        <v>9.6153846153846154E-5</v>
      </c>
      <c r="N207" s="31">
        <f>IFERROR(VLOOKUP($D207,bug_conf_sheet!$A:$H,3,FALSE),VLOOKUP("other",bug_conf_sheet!$A:$H,3,FALSE))</f>
        <v>1</v>
      </c>
      <c r="O207" s="31">
        <f>IFERROR(VLOOKUP($D207,bug_conf_sheet!$A:$H,4,FALSE),VLOOKUP("other",bug_conf_sheet!$A:$H,4,FALSE))</f>
        <v>0</v>
      </c>
      <c r="P207" s="31">
        <f>IFERROR(VLOOKUP($D207,bug_conf_sheet!$A:$H,5,FALSE),VLOOKUP("other",bug_conf_sheet!$A:$H,5,FALSE))</f>
        <v>0</v>
      </c>
      <c r="Q207" s="31">
        <f>IFERROR(VLOOKUP($D207,bug_conf_sheet!$A:$H,6,FALSE),VLOOKUP("other",bug_conf_sheet!$A:$H,6,FALSE))</f>
        <v>0</v>
      </c>
      <c r="R207" s="31">
        <f>IFERROR(VLOOKUP($D207,bug_conf_sheet!$A:$H,7,FALSE),VLOOKUP("other",bug_conf_sheet!$A:$H,7,FALSE))</f>
        <v>0</v>
      </c>
      <c r="S207" s="31">
        <f>IFERROR(VLOOKUP($D207,bug_conf_sheet!$A:$H,8,FALSE),VLOOKUP("other",bug_conf_sheet!$A:$H,8,FALSE))</f>
        <v>1</v>
      </c>
    </row>
    <row r="208" spans="1:19" ht="21" customHeight="1">
      <c r="A208" s="2">
        <f>input_4!A$2</f>
        <v>3124</v>
      </c>
      <c r="B208" s="7" t="str">
        <f t="shared" si="10"/>
        <v>PremiumSS4</v>
      </c>
      <c r="C208" s="7" t="str">
        <f t="shared" si="11"/>
        <v>PremiumSS</v>
      </c>
      <c r="D208" s="6">
        <v>494</v>
      </c>
      <c r="E208" s="7" t="str">
        <f>VLOOKUP(D208,[1]characters!$A:$C,3,FALSE)</f>
        <v>ハーメルン</v>
      </c>
      <c r="F208" s="7" t="str">
        <f>VLOOKUP(D208,[1]characters!$A:$J,10,FALSE)</f>
        <v>PremiumSS</v>
      </c>
      <c r="G208" s="7">
        <f>VLOOKUP(D208,[1]characters!$A:$I,9,FALSE)</f>
        <v>4</v>
      </c>
      <c r="H208" s="7" t="str">
        <f>VLOOKUP(D208,[1]characters!$A:$H,8,FALSE)</f>
        <v>green</v>
      </c>
      <c r="I208" s="7" t="str">
        <f>VLOOKUP(D208,[1]characters!$A:$K,11,FALSE)</f>
        <v>technical</v>
      </c>
      <c r="J208" s="7" t="str">
        <f>VLOOKUP(D208,[1]characters!$A:$M,13,FALSE)</f>
        <v>human</v>
      </c>
      <c r="K208" s="7" t="str">
        <f>VLOOKUP(D208,[1]characters!$A:$G,7,FALSE)</f>
        <v>男性</v>
      </c>
      <c r="L208" s="66">
        <f>IFERROR(VLOOKUP(D208,input_4!L:R,7,FALSE),VLOOKUP(tables_4!B208,input_4!A:H,8,FALSE))</f>
        <v>8991</v>
      </c>
      <c r="M208" s="67">
        <f t="shared" si="9"/>
        <v>8.6538461538461541E-4</v>
      </c>
      <c r="N208" s="31">
        <f>IFERROR(VLOOKUP($D208,bug_conf_sheet!$A:$H,3,FALSE),VLOOKUP("other",bug_conf_sheet!$A:$H,3,FALSE))</f>
        <v>1</v>
      </c>
      <c r="O208" s="31">
        <f>IFERROR(VLOOKUP($D208,bug_conf_sheet!$A:$H,4,FALSE),VLOOKUP("other",bug_conf_sheet!$A:$H,4,FALSE))</f>
        <v>0</v>
      </c>
      <c r="P208" s="31">
        <f>IFERROR(VLOOKUP($D208,bug_conf_sheet!$A:$H,5,FALSE),VLOOKUP("other",bug_conf_sheet!$A:$H,5,FALSE))</f>
        <v>0</v>
      </c>
      <c r="Q208" s="31">
        <f>IFERROR(VLOOKUP($D208,bug_conf_sheet!$A:$H,6,FALSE),VLOOKUP("other",bug_conf_sheet!$A:$H,6,FALSE))</f>
        <v>0</v>
      </c>
      <c r="R208" s="31">
        <f>IFERROR(VLOOKUP($D208,bug_conf_sheet!$A:$H,7,FALSE),VLOOKUP("other",bug_conf_sheet!$A:$H,7,FALSE))</f>
        <v>0</v>
      </c>
      <c r="S208" s="31">
        <f>IFERROR(VLOOKUP($D208,bug_conf_sheet!$A:$H,8,FALSE),VLOOKUP("other",bug_conf_sheet!$A:$H,8,FALSE))</f>
        <v>1</v>
      </c>
    </row>
    <row r="209" spans="1:19" ht="21" customHeight="1">
      <c r="A209" s="2">
        <f>input_4!A$2</f>
        <v>3124</v>
      </c>
      <c r="B209" s="7" t="str">
        <f t="shared" si="10"/>
        <v>PremiumSS5</v>
      </c>
      <c r="C209" s="7" t="str">
        <f t="shared" si="11"/>
        <v>PremiumSS</v>
      </c>
      <c r="D209" s="6">
        <v>495</v>
      </c>
      <c r="E209" s="7" t="str">
        <f>VLOOKUP(D209,[1]characters!$A:$C,3,FALSE)</f>
        <v>鼠災呼ぶ笛音 ハーメルン</v>
      </c>
      <c r="F209" s="7" t="str">
        <f>VLOOKUP(D209,[1]characters!$A:$J,10,FALSE)</f>
        <v>PremiumSS</v>
      </c>
      <c r="G209" s="7">
        <f>VLOOKUP(D209,[1]characters!$A:$I,9,FALSE)</f>
        <v>5</v>
      </c>
      <c r="H209" s="7" t="str">
        <f>VLOOKUP(D209,[1]characters!$A:$H,8,FALSE)</f>
        <v>green</v>
      </c>
      <c r="I209" s="7" t="str">
        <f>VLOOKUP(D209,[1]characters!$A:$K,11,FALSE)</f>
        <v>technical</v>
      </c>
      <c r="J209" s="7" t="str">
        <f>VLOOKUP(D209,[1]characters!$A:$M,13,FALSE)</f>
        <v>human</v>
      </c>
      <c r="K209" s="7" t="str">
        <f>VLOOKUP(D209,[1]characters!$A:$G,7,FALSE)</f>
        <v>男性</v>
      </c>
      <c r="L209" s="66">
        <f>IFERROR(VLOOKUP(D209,input_4!L:R,7,FALSE),VLOOKUP(tables_4!B209,input_4!A:H,8,FALSE))</f>
        <v>999</v>
      </c>
      <c r="M209" s="67">
        <f t="shared" si="9"/>
        <v>9.6153846153846154E-5</v>
      </c>
      <c r="N209" s="31">
        <f>IFERROR(VLOOKUP($D209,bug_conf_sheet!$A:$H,3,FALSE),VLOOKUP("other",bug_conf_sheet!$A:$H,3,FALSE))</f>
        <v>1</v>
      </c>
      <c r="O209" s="31">
        <f>IFERROR(VLOOKUP($D209,bug_conf_sheet!$A:$H,4,FALSE),VLOOKUP("other",bug_conf_sheet!$A:$H,4,FALSE))</f>
        <v>0</v>
      </c>
      <c r="P209" s="31">
        <f>IFERROR(VLOOKUP($D209,bug_conf_sheet!$A:$H,5,FALSE),VLOOKUP("other",bug_conf_sheet!$A:$H,5,FALSE))</f>
        <v>0</v>
      </c>
      <c r="Q209" s="31">
        <f>IFERROR(VLOOKUP($D209,bug_conf_sheet!$A:$H,6,FALSE),VLOOKUP("other",bug_conf_sheet!$A:$H,6,FALSE))</f>
        <v>0</v>
      </c>
      <c r="R209" s="31">
        <f>IFERROR(VLOOKUP($D209,bug_conf_sheet!$A:$H,7,FALSE),VLOOKUP("other",bug_conf_sheet!$A:$H,7,FALSE))</f>
        <v>0</v>
      </c>
      <c r="S209" s="31">
        <f>IFERROR(VLOOKUP($D209,bug_conf_sheet!$A:$H,8,FALSE),VLOOKUP("other",bug_conf_sheet!$A:$H,8,FALSE))</f>
        <v>1</v>
      </c>
    </row>
    <row r="210" spans="1:19" ht="21" customHeight="1">
      <c r="A210" s="2">
        <f>input_4!A$2</f>
        <v>3124</v>
      </c>
      <c r="B210" s="7" t="str">
        <f t="shared" si="10"/>
        <v>Premium3</v>
      </c>
      <c r="C210" s="7" t="str">
        <f t="shared" si="11"/>
        <v>Premium</v>
      </c>
      <c r="D210" s="6">
        <v>496</v>
      </c>
      <c r="E210" s="7" t="str">
        <f>VLOOKUP(D210,[1]characters!$A:$C,3,FALSE)</f>
        <v>エスタブ</v>
      </c>
      <c r="F210" s="7" t="str">
        <f>VLOOKUP(D210,[1]characters!$A:$J,10,FALSE)</f>
        <v>PremiumS</v>
      </c>
      <c r="G210" s="7">
        <f>VLOOKUP(D210,[1]characters!$A:$I,9,FALSE)</f>
        <v>3</v>
      </c>
      <c r="H210" s="7" t="str">
        <f>VLOOKUP(D210,[1]characters!$A:$H,8,FALSE)</f>
        <v>blue</v>
      </c>
      <c r="I210" s="7" t="str">
        <f>VLOOKUP(D210,[1]characters!$A:$K,11,FALSE)</f>
        <v>attack</v>
      </c>
      <c r="J210" s="7" t="str">
        <f>VLOOKUP(D210,[1]characters!$A:$M,13,FALSE)</f>
        <v>human</v>
      </c>
      <c r="K210" s="7" t="str">
        <f>VLOOKUP(D210,[1]characters!$A:$G,7,FALSE)</f>
        <v>男性</v>
      </c>
      <c r="L210" s="66">
        <f>IFERROR(VLOOKUP(D210,input_4!L:R,7,FALSE),VLOOKUP(tables_4!B210,input_4!A:H,8,FALSE))</f>
        <v>70200</v>
      </c>
      <c r="M210" s="67">
        <f t="shared" si="9"/>
        <v>6.7567567567567571E-3</v>
      </c>
      <c r="N210" s="31">
        <f>IFERROR(VLOOKUP($D210,bug_conf_sheet!$A:$H,3,FALSE),VLOOKUP("other",bug_conf_sheet!$A:$H,3,FALSE))</f>
        <v>1</v>
      </c>
      <c r="O210" s="31">
        <f>IFERROR(VLOOKUP($D210,bug_conf_sheet!$A:$H,4,FALSE),VLOOKUP("other",bug_conf_sheet!$A:$H,4,FALSE))</f>
        <v>0</v>
      </c>
      <c r="P210" s="31">
        <f>IFERROR(VLOOKUP($D210,bug_conf_sheet!$A:$H,5,FALSE),VLOOKUP("other",bug_conf_sheet!$A:$H,5,FALSE))</f>
        <v>0</v>
      </c>
      <c r="Q210" s="31">
        <f>IFERROR(VLOOKUP($D210,bug_conf_sheet!$A:$H,6,FALSE),VLOOKUP("other",bug_conf_sheet!$A:$H,6,FALSE))</f>
        <v>0</v>
      </c>
      <c r="R210" s="31">
        <f>IFERROR(VLOOKUP($D210,bug_conf_sheet!$A:$H,7,FALSE),VLOOKUP("other",bug_conf_sheet!$A:$H,7,FALSE))</f>
        <v>0</v>
      </c>
      <c r="S210" s="31">
        <f>IFERROR(VLOOKUP($D210,bug_conf_sheet!$A:$H,8,FALSE),VLOOKUP("other",bug_conf_sheet!$A:$H,8,FALSE))</f>
        <v>1</v>
      </c>
    </row>
    <row r="211" spans="1:19" ht="21" customHeight="1">
      <c r="A211" s="2">
        <f>input_4!A$2</f>
        <v>3124</v>
      </c>
      <c r="B211" s="7" t="str">
        <f t="shared" si="10"/>
        <v>Premium4</v>
      </c>
      <c r="C211" s="7" t="str">
        <f t="shared" si="11"/>
        <v>Premium</v>
      </c>
      <c r="D211" s="6">
        <v>497</v>
      </c>
      <c r="E211" s="7" t="str">
        <f>VLOOKUP(D211,[1]characters!$A:$C,3,FALSE)</f>
        <v>偏愛の野獣 エスタブ</v>
      </c>
      <c r="F211" s="7" t="str">
        <f>VLOOKUP(D211,[1]characters!$A:$J,10,FALSE)</f>
        <v>PremiumS</v>
      </c>
      <c r="G211" s="7">
        <f>VLOOKUP(D211,[1]characters!$A:$I,9,FALSE)</f>
        <v>4</v>
      </c>
      <c r="H211" s="7" t="str">
        <f>VLOOKUP(D211,[1]characters!$A:$H,8,FALSE)</f>
        <v>blue</v>
      </c>
      <c r="I211" s="7" t="str">
        <f>VLOOKUP(D211,[1]characters!$A:$K,11,FALSE)</f>
        <v>attack</v>
      </c>
      <c r="J211" s="7" t="str">
        <f>VLOOKUP(D211,[1]characters!$A:$M,13,FALSE)</f>
        <v>human</v>
      </c>
      <c r="K211" s="7" t="str">
        <f>VLOOKUP(D211,[1]characters!$A:$G,7,FALSE)</f>
        <v>男性</v>
      </c>
      <c r="L211" s="66">
        <f>IFERROR(VLOOKUP(D211,input_4!L:R,7,FALSE),VLOOKUP(tables_4!B211,input_4!A:H,8,FALSE))</f>
        <v>60021</v>
      </c>
      <c r="M211" s="67">
        <f t="shared" si="9"/>
        <v>5.777027027027027E-3</v>
      </c>
      <c r="N211" s="31">
        <f>IFERROR(VLOOKUP($D211,bug_conf_sheet!$A:$H,3,FALSE),VLOOKUP("other",bug_conf_sheet!$A:$H,3,FALSE))</f>
        <v>1</v>
      </c>
      <c r="O211" s="31">
        <f>IFERROR(VLOOKUP($D211,bug_conf_sheet!$A:$H,4,FALSE),VLOOKUP("other",bug_conf_sheet!$A:$H,4,FALSE))</f>
        <v>0</v>
      </c>
      <c r="P211" s="31">
        <f>IFERROR(VLOOKUP($D211,bug_conf_sheet!$A:$H,5,FALSE),VLOOKUP("other",bug_conf_sheet!$A:$H,5,FALSE))</f>
        <v>0</v>
      </c>
      <c r="Q211" s="31">
        <f>IFERROR(VLOOKUP($D211,bug_conf_sheet!$A:$H,6,FALSE),VLOOKUP("other",bug_conf_sheet!$A:$H,6,FALSE))</f>
        <v>0</v>
      </c>
      <c r="R211" s="31">
        <f>IFERROR(VLOOKUP($D211,bug_conf_sheet!$A:$H,7,FALSE),VLOOKUP("other",bug_conf_sheet!$A:$H,7,FALSE))</f>
        <v>0</v>
      </c>
      <c r="S211" s="31">
        <f>IFERROR(VLOOKUP($D211,bug_conf_sheet!$A:$H,8,FALSE),VLOOKUP("other",bug_conf_sheet!$A:$H,8,FALSE))</f>
        <v>1</v>
      </c>
    </row>
    <row r="212" spans="1:19" ht="21" customHeight="1">
      <c r="A212" s="2">
        <f>input_4!A$2</f>
        <v>3124</v>
      </c>
      <c r="B212" s="7" t="str">
        <f t="shared" si="10"/>
        <v>Premium5</v>
      </c>
      <c r="C212" s="7" t="str">
        <f t="shared" si="11"/>
        <v>Premium</v>
      </c>
      <c r="D212" s="6">
        <v>498</v>
      </c>
      <c r="E212" s="7" t="str">
        <f>VLOOKUP(D212,[1]characters!$A:$C,3,FALSE)</f>
        <v>自愛の高魔 エスタブ</v>
      </c>
      <c r="F212" s="7" t="str">
        <f>VLOOKUP(D212,[1]characters!$A:$J,10,FALSE)</f>
        <v>PremiumS</v>
      </c>
      <c r="G212" s="7">
        <f>VLOOKUP(D212,[1]characters!$A:$I,9,FALSE)</f>
        <v>5</v>
      </c>
      <c r="H212" s="7" t="str">
        <f>VLOOKUP(D212,[1]characters!$A:$H,8,FALSE)</f>
        <v>blue</v>
      </c>
      <c r="I212" s="7" t="str">
        <f>VLOOKUP(D212,[1]characters!$A:$K,11,FALSE)</f>
        <v>attack</v>
      </c>
      <c r="J212" s="7" t="str">
        <f>VLOOKUP(D212,[1]characters!$A:$M,13,FALSE)</f>
        <v>human</v>
      </c>
      <c r="K212" s="7" t="str">
        <f>VLOOKUP(D212,[1]characters!$A:$G,7,FALSE)</f>
        <v>男性</v>
      </c>
      <c r="L212" s="66">
        <f>IFERROR(VLOOKUP(D212,input_4!L:R,7,FALSE),VLOOKUP(tables_4!B212,input_4!A:H,8,FALSE))</f>
        <v>9139</v>
      </c>
      <c r="M212" s="67">
        <f t="shared" si="9"/>
        <v>8.7962962962962962E-4</v>
      </c>
      <c r="N212" s="31">
        <f>IFERROR(VLOOKUP($D212,bug_conf_sheet!$A:$H,3,FALSE),VLOOKUP("other",bug_conf_sheet!$A:$H,3,FALSE))</f>
        <v>1</v>
      </c>
      <c r="O212" s="31">
        <f>IFERROR(VLOOKUP($D212,bug_conf_sheet!$A:$H,4,FALSE),VLOOKUP("other",bug_conf_sheet!$A:$H,4,FALSE))</f>
        <v>0</v>
      </c>
      <c r="P212" s="31">
        <f>IFERROR(VLOOKUP($D212,bug_conf_sheet!$A:$H,5,FALSE),VLOOKUP("other",bug_conf_sheet!$A:$H,5,FALSE))</f>
        <v>0</v>
      </c>
      <c r="Q212" s="31">
        <f>IFERROR(VLOOKUP($D212,bug_conf_sheet!$A:$H,6,FALSE),VLOOKUP("other",bug_conf_sheet!$A:$H,6,FALSE))</f>
        <v>0</v>
      </c>
      <c r="R212" s="31">
        <f>IFERROR(VLOOKUP($D212,bug_conf_sheet!$A:$H,7,FALSE),VLOOKUP("other",bug_conf_sheet!$A:$H,7,FALSE))</f>
        <v>0</v>
      </c>
      <c r="S212" s="31">
        <f>IFERROR(VLOOKUP($D212,bug_conf_sheet!$A:$H,8,FALSE),VLOOKUP("other",bug_conf_sheet!$A:$H,8,FALSE))</f>
        <v>1</v>
      </c>
    </row>
    <row r="213" spans="1:19" ht="21" customHeight="1">
      <c r="A213" s="2">
        <f>input_4!A$2</f>
        <v>3124</v>
      </c>
      <c r="B213" s="7" t="str">
        <f t="shared" si="10"/>
        <v>PremiumSS4</v>
      </c>
      <c r="C213" s="7" t="str">
        <f t="shared" si="11"/>
        <v>PremiumSS</v>
      </c>
      <c r="D213" s="6">
        <v>499</v>
      </c>
      <c r="E213" s="7" t="str">
        <f>VLOOKUP(D213,[1]characters!$A:$C,3,FALSE)</f>
        <v>ラプンツェル</v>
      </c>
      <c r="F213" s="7" t="str">
        <f>VLOOKUP(D213,[1]characters!$A:$J,10,FALSE)</f>
        <v>PremiumSS</v>
      </c>
      <c r="G213" s="7">
        <f>VLOOKUP(D213,[1]characters!$A:$I,9,FALSE)</f>
        <v>4</v>
      </c>
      <c r="H213" s="7" t="str">
        <f>VLOOKUP(D213,[1]characters!$A:$H,8,FALSE)</f>
        <v>yellow</v>
      </c>
      <c r="I213" s="7" t="str">
        <f>VLOOKUP(D213,[1]characters!$A:$K,11,FALSE)</f>
        <v>balance</v>
      </c>
      <c r="J213" s="7" t="str">
        <f>VLOOKUP(D213,[1]characters!$A:$M,13,FALSE)</f>
        <v>human</v>
      </c>
      <c r="K213" s="7" t="str">
        <f>VLOOKUP(D213,[1]characters!$A:$G,7,FALSE)</f>
        <v>女性</v>
      </c>
      <c r="L213" s="66">
        <f>IFERROR(VLOOKUP(D213,input_4!L:R,7,FALSE),VLOOKUP(tables_4!B213,input_4!A:H,8,FALSE))</f>
        <v>8991</v>
      </c>
      <c r="M213" s="67">
        <f t="shared" si="9"/>
        <v>8.6538461538461541E-4</v>
      </c>
      <c r="N213" s="31">
        <f>IFERROR(VLOOKUP($D213,bug_conf_sheet!$A:$H,3,FALSE),VLOOKUP("other",bug_conf_sheet!$A:$H,3,FALSE))</f>
        <v>1</v>
      </c>
      <c r="O213" s="31">
        <f>IFERROR(VLOOKUP($D213,bug_conf_sheet!$A:$H,4,FALSE),VLOOKUP("other",bug_conf_sheet!$A:$H,4,FALSE))</f>
        <v>0</v>
      </c>
      <c r="P213" s="31">
        <f>IFERROR(VLOOKUP($D213,bug_conf_sheet!$A:$H,5,FALSE),VLOOKUP("other",bug_conf_sheet!$A:$H,5,FALSE))</f>
        <v>0</v>
      </c>
      <c r="Q213" s="31">
        <f>IFERROR(VLOOKUP($D213,bug_conf_sheet!$A:$H,6,FALSE),VLOOKUP("other",bug_conf_sheet!$A:$H,6,FALSE))</f>
        <v>0</v>
      </c>
      <c r="R213" s="31">
        <f>IFERROR(VLOOKUP($D213,bug_conf_sheet!$A:$H,7,FALSE),VLOOKUP("other",bug_conf_sheet!$A:$H,7,FALSE))</f>
        <v>0</v>
      </c>
      <c r="S213" s="31">
        <f>IFERROR(VLOOKUP($D213,bug_conf_sheet!$A:$H,8,FALSE),VLOOKUP("other",bug_conf_sheet!$A:$H,8,FALSE))</f>
        <v>1</v>
      </c>
    </row>
    <row r="214" spans="1:19" ht="21" customHeight="1">
      <c r="A214" s="2">
        <f>input_4!A$2</f>
        <v>3124</v>
      </c>
      <c r="B214" s="7" t="str">
        <f t="shared" si="10"/>
        <v>PremiumSS5</v>
      </c>
      <c r="C214" s="7" t="str">
        <f t="shared" si="11"/>
        <v>PremiumSS</v>
      </c>
      <c r="D214" s="6">
        <v>500</v>
      </c>
      <c r="E214" s="7" t="str">
        <f>VLOOKUP(D214,[1]characters!$A:$C,3,FALSE)</f>
        <v>脈動の禁髪 ラプンツェル</v>
      </c>
      <c r="F214" s="7" t="str">
        <f>VLOOKUP(D214,[1]characters!$A:$J,10,FALSE)</f>
        <v>PremiumSS</v>
      </c>
      <c r="G214" s="7">
        <f>VLOOKUP(D214,[1]characters!$A:$I,9,FALSE)</f>
        <v>5</v>
      </c>
      <c r="H214" s="7" t="str">
        <f>VLOOKUP(D214,[1]characters!$A:$H,8,FALSE)</f>
        <v>yellow</v>
      </c>
      <c r="I214" s="7" t="str">
        <f>VLOOKUP(D214,[1]characters!$A:$K,11,FALSE)</f>
        <v>balance</v>
      </c>
      <c r="J214" s="7" t="str">
        <f>VLOOKUP(D214,[1]characters!$A:$M,13,FALSE)</f>
        <v>human</v>
      </c>
      <c r="K214" s="7" t="str">
        <f>VLOOKUP(D214,[1]characters!$A:$G,7,FALSE)</f>
        <v>女性</v>
      </c>
      <c r="L214" s="66">
        <f>IFERROR(VLOOKUP(D214,input_4!L:R,7,FALSE),VLOOKUP(tables_4!B214,input_4!A:H,8,FALSE))</f>
        <v>999</v>
      </c>
      <c r="M214" s="67">
        <f t="shared" si="9"/>
        <v>9.6153846153846154E-5</v>
      </c>
      <c r="N214" s="31">
        <f>IFERROR(VLOOKUP($D214,bug_conf_sheet!$A:$H,3,FALSE),VLOOKUP("other",bug_conf_sheet!$A:$H,3,FALSE))</f>
        <v>1</v>
      </c>
      <c r="O214" s="31">
        <f>IFERROR(VLOOKUP($D214,bug_conf_sheet!$A:$H,4,FALSE),VLOOKUP("other",bug_conf_sheet!$A:$H,4,FALSE))</f>
        <v>0</v>
      </c>
      <c r="P214" s="31">
        <f>IFERROR(VLOOKUP($D214,bug_conf_sheet!$A:$H,5,FALSE),VLOOKUP("other",bug_conf_sheet!$A:$H,5,FALSE))</f>
        <v>0</v>
      </c>
      <c r="Q214" s="31">
        <f>IFERROR(VLOOKUP($D214,bug_conf_sheet!$A:$H,6,FALSE),VLOOKUP("other",bug_conf_sheet!$A:$H,6,FALSE))</f>
        <v>0</v>
      </c>
      <c r="R214" s="31">
        <f>IFERROR(VLOOKUP($D214,bug_conf_sheet!$A:$H,7,FALSE),VLOOKUP("other",bug_conf_sheet!$A:$H,7,FALSE))</f>
        <v>0</v>
      </c>
      <c r="S214" s="31">
        <f>IFERROR(VLOOKUP($D214,bug_conf_sheet!$A:$H,8,FALSE),VLOOKUP("other",bug_conf_sheet!$A:$H,8,FALSE))</f>
        <v>1</v>
      </c>
    </row>
    <row r="215" spans="1:19" ht="21" customHeight="1">
      <c r="A215" s="2">
        <f>input_4!A$2</f>
        <v>3124</v>
      </c>
      <c r="B215" s="7" t="str">
        <f t="shared" si="10"/>
        <v>PremiumSS4</v>
      </c>
      <c r="C215" s="7" t="str">
        <f t="shared" si="11"/>
        <v>PremiumSS</v>
      </c>
      <c r="D215" s="6">
        <v>586</v>
      </c>
      <c r="E215" s="7" t="str">
        <f>VLOOKUP(D215,[1]characters!$A:$C,3,FALSE)</f>
        <v>ユミル</v>
      </c>
      <c r="F215" s="7" t="str">
        <f>VLOOKUP(D215,[1]characters!$A:$J,10,FALSE)</f>
        <v>PremiumSS</v>
      </c>
      <c r="G215" s="7">
        <f>VLOOKUP(D215,[1]characters!$A:$I,9,FALSE)</f>
        <v>4</v>
      </c>
      <c r="H215" s="7" t="str">
        <f>VLOOKUP(D215,[1]characters!$A:$H,8,FALSE)</f>
        <v>red</v>
      </c>
      <c r="I215" s="7" t="str">
        <f>VLOOKUP(D215,[1]characters!$A:$K,11,FALSE)</f>
        <v>hp</v>
      </c>
      <c r="J215" s="7" t="str">
        <f>VLOOKUP(D215,[1]characters!$A:$M,13,FALSE)</f>
        <v>machine</v>
      </c>
      <c r="K215" s="7" t="str">
        <f>VLOOKUP(D215,[1]characters!$A:$G,7,FALSE)</f>
        <v>不明</v>
      </c>
      <c r="L215" s="66">
        <f>IFERROR(VLOOKUP(D215,input_4!L:R,7,FALSE),VLOOKUP(tables_4!B215,input_4!A:H,8,FALSE))</f>
        <v>8991</v>
      </c>
      <c r="M215" s="67">
        <f t="shared" si="9"/>
        <v>8.6538461538461541E-4</v>
      </c>
      <c r="N215" s="31">
        <f>IFERROR(VLOOKUP($D215,bug_conf_sheet!$A:$H,3,FALSE),VLOOKUP("other",bug_conf_sheet!$A:$H,3,FALSE))</f>
        <v>1</v>
      </c>
      <c r="O215" s="31">
        <f>IFERROR(VLOOKUP($D215,bug_conf_sheet!$A:$H,4,FALSE),VLOOKUP("other",bug_conf_sheet!$A:$H,4,FALSE))</f>
        <v>0</v>
      </c>
      <c r="P215" s="31">
        <f>IFERROR(VLOOKUP($D215,bug_conf_sheet!$A:$H,5,FALSE),VLOOKUP("other",bug_conf_sheet!$A:$H,5,FALSE))</f>
        <v>0</v>
      </c>
      <c r="Q215" s="31">
        <f>IFERROR(VLOOKUP($D215,bug_conf_sheet!$A:$H,6,FALSE),VLOOKUP("other",bug_conf_sheet!$A:$H,6,FALSE))</f>
        <v>0</v>
      </c>
      <c r="R215" s="31">
        <f>IFERROR(VLOOKUP($D215,bug_conf_sheet!$A:$H,7,FALSE),VLOOKUP("other",bug_conf_sheet!$A:$H,7,FALSE))</f>
        <v>0</v>
      </c>
      <c r="S215" s="31">
        <f>IFERROR(VLOOKUP($D215,bug_conf_sheet!$A:$H,8,FALSE),VLOOKUP("other",bug_conf_sheet!$A:$H,8,FALSE))</f>
        <v>1</v>
      </c>
    </row>
    <row r="216" spans="1:19" ht="21" customHeight="1">
      <c r="A216" s="2">
        <f>input_4!A$2</f>
        <v>3124</v>
      </c>
      <c r="B216" s="7" t="str">
        <f t="shared" si="10"/>
        <v>PremiumSS5</v>
      </c>
      <c r="C216" s="7" t="str">
        <f t="shared" si="11"/>
        <v>PremiumSS</v>
      </c>
      <c r="D216" s="6">
        <v>587</v>
      </c>
      <c r="E216" s="7" t="str">
        <f>VLOOKUP(D216,[1]characters!$A:$C,3,FALSE)</f>
        <v>原初の煉鋼巨刃 ユミル</v>
      </c>
      <c r="F216" s="7" t="str">
        <f>VLOOKUP(D216,[1]characters!$A:$J,10,FALSE)</f>
        <v>PremiumSS</v>
      </c>
      <c r="G216" s="7">
        <f>VLOOKUP(D216,[1]characters!$A:$I,9,FALSE)</f>
        <v>5</v>
      </c>
      <c r="H216" s="7" t="str">
        <f>VLOOKUP(D216,[1]characters!$A:$H,8,FALSE)</f>
        <v>red</v>
      </c>
      <c r="I216" s="7" t="str">
        <f>VLOOKUP(D216,[1]characters!$A:$K,11,FALSE)</f>
        <v>hp</v>
      </c>
      <c r="J216" s="7" t="str">
        <f>VLOOKUP(D216,[1]characters!$A:$M,13,FALSE)</f>
        <v>machine</v>
      </c>
      <c r="K216" s="7" t="str">
        <f>VLOOKUP(D216,[1]characters!$A:$G,7,FALSE)</f>
        <v>不明</v>
      </c>
      <c r="L216" s="66">
        <f>IFERROR(VLOOKUP(D216,input_4!L:R,7,FALSE),VLOOKUP(tables_4!B216,input_4!A:H,8,FALSE))</f>
        <v>999</v>
      </c>
      <c r="M216" s="67">
        <f t="shared" si="9"/>
        <v>9.6153846153846154E-5</v>
      </c>
      <c r="N216" s="31">
        <f>IFERROR(VLOOKUP($D216,bug_conf_sheet!$A:$H,3,FALSE),VLOOKUP("other",bug_conf_sheet!$A:$H,3,FALSE))</f>
        <v>1</v>
      </c>
      <c r="O216" s="31">
        <f>IFERROR(VLOOKUP($D216,bug_conf_sheet!$A:$H,4,FALSE),VLOOKUP("other",bug_conf_sheet!$A:$H,4,FALSE))</f>
        <v>0</v>
      </c>
      <c r="P216" s="31">
        <f>IFERROR(VLOOKUP($D216,bug_conf_sheet!$A:$H,5,FALSE),VLOOKUP("other",bug_conf_sheet!$A:$H,5,FALSE))</f>
        <v>0</v>
      </c>
      <c r="Q216" s="31">
        <f>IFERROR(VLOOKUP($D216,bug_conf_sheet!$A:$H,6,FALSE),VLOOKUP("other",bug_conf_sheet!$A:$H,6,FALSE))</f>
        <v>0</v>
      </c>
      <c r="R216" s="31">
        <f>IFERROR(VLOOKUP($D216,bug_conf_sheet!$A:$H,7,FALSE),VLOOKUP("other",bug_conf_sheet!$A:$H,7,FALSE))</f>
        <v>0</v>
      </c>
      <c r="S216" s="31">
        <f>IFERROR(VLOOKUP($D216,bug_conf_sheet!$A:$H,8,FALSE),VLOOKUP("other",bug_conf_sheet!$A:$H,8,FALSE))</f>
        <v>1</v>
      </c>
    </row>
    <row r="217" spans="1:19" ht="21" customHeight="1">
      <c r="A217" s="2">
        <f>input_4!A$2</f>
        <v>3124</v>
      </c>
      <c r="B217" s="7" t="str">
        <f t="shared" si="10"/>
        <v>Premium3</v>
      </c>
      <c r="C217" s="7" t="str">
        <f t="shared" si="11"/>
        <v>Premium</v>
      </c>
      <c r="D217" s="6">
        <v>588</v>
      </c>
      <c r="E217" s="7" t="str">
        <f>VLOOKUP(D217,[1]characters!$A:$C,3,FALSE)</f>
        <v>ニーベルゲン</v>
      </c>
      <c r="F217" s="7" t="str">
        <f>VLOOKUP(D217,[1]characters!$A:$J,10,FALSE)</f>
        <v>PremiumS</v>
      </c>
      <c r="G217" s="7">
        <f>VLOOKUP(D217,[1]characters!$A:$I,9,FALSE)</f>
        <v>3</v>
      </c>
      <c r="H217" s="7" t="str">
        <f>VLOOKUP(D217,[1]characters!$A:$H,8,FALSE)</f>
        <v>green</v>
      </c>
      <c r="I217" s="7" t="str">
        <f>VLOOKUP(D217,[1]characters!$A:$K,11,FALSE)</f>
        <v>balance</v>
      </c>
      <c r="J217" s="7" t="str">
        <f>VLOOKUP(D217,[1]characters!$A:$M,13,FALSE)</f>
        <v>unknown</v>
      </c>
      <c r="K217" s="7" t="str">
        <f>VLOOKUP(D217,[1]characters!$A:$G,7,FALSE)</f>
        <v>女性</v>
      </c>
      <c r="L217" s="66">
        <f>IFERROR(VLOOKUP(D217,input_4!L:R,7,FALSE),VLOOKUP(tables_4!B217,input_4!A:H,8,FALSE))</f>
        <v>70200</v>
      </c>
      <c r="M217" s="67">
        <f t="shared" si="9"/>
        <v>6.7567567567567571E-3</v>
      </c>
      <c r="N217" s="31">
        <f>IFERROR(VLOOKUP($D217,bug_conf_sheet!$A:$H,3,FALSE),VLOOKUP("other",bug_conf_sheet!$A:$H,3,FALSE))</f>
        <v>1</v>
      </c>
      <c r="O217" s="31">
        <f>IFERROR(VLOOKUP($D217,bug_conf_sheet!$A:$H,4,FALSE),VLOOKUP("other",bug_conf_sheet!$A:$H,4,FALSE))</f>
        <v>0</v>
      </c>
      <c r="P217" s="31">
        <f>IFERROR(VLOOKUP($D217,bug_conf_sheet!$A:$H,5,FALSE),VLOOKUP("other",bug_conf_sheet!$A:$H,5,FALSE))</f>
        <v>0</v>
      </c>
      <c r="Q217" s="31">
        <f>IFERROR(VLOOKUP($D217,bug_conf_sheet!$A:$H,6,FALSE),VLOOKUP("other",bug_conf_sheet!$A:$H,6,FALSE))</f>
        <v>0</v>
      </c>
      <c r="R217" s="31">
        <f>IFERROR(VLOOKUP($D217,bug_conf_sheet!$A:$H,7,FALSE),VLOOKUP("other",bug_conf_sheet!$A:$H,7,FALSE))</f>
        <v>0</v>
      </c>
      <c r="S217" s="31">
        <f>IFERROR(VLOOKUP($D217,bug_conf_sheet!$A:$H,8,FALSE),VLOOKUP("other",bug_conf_sheet!$A:$H,8,FALSE))</f>
        <v>1</v>
      </c>
    </row>
    <row r="218" spans="1:19" ht="21" customHeight="1">
      <c r="A218" s="2">
        <f>input_4!A$2</f>
        <v>3124</v>
      </c>
      <c r="B218" s="7" t="str">
        <f t="shared" si="10"/>
        <v>Premium4</v>
      </c>
      <c r="C218" s="7" t="str">
        <f t="shared" si="11"/>
        <v>Premium</v>
      </c>
      <c r="D218" s="6">
        <v>589</v>
      </c>
      <c r="E218" s="7" t="str">
        <f>VLOOKUP(D218,[1]characters!$A:$C,3,FALSE)</f>
        <v>不幸の円環 ニーベルゲン</v>
      </c>
      <c r="F218" s="7" t="str">
        <f>VLOOKUP(D218,[1]characters!$A:$J,10,FALSE)</f>
        <v>PremiumS</v>
      </c>
      <c r="G218" s="7">
        <f>VLOOKUP(D218,[1]characters!$A:$I,9,FALSE)</f>
        <v>4</v>
      </c>
      <c r="H218" s="7" t="str">
        <f>VLOOKUP(D218,[1]characters!$A:$H,8,FALSE)</f>
        <v>green</v>
      </c>
      <c r="I218" s="7" t="str">
        <f>VLOOKUP(D218,[1]characters!$A:$K,11,FALSE)</f>
        <v>balance</v>
      </c>
      <c r="J218" s="7" t="str">
        <f>VLOOKUP(D218,[1]characters!$A:$M,13,FALSE)</f>
        <v>unknown</v>
      </c>
      <c r="K218" s="7" t="str">
        <f>VLOOKUP(D218,[1]characters!$A:$G,7,FALSE)</f>
        <v>女性</v>
      </c>
      <c r="L218" s="66">
        <f>IFERROR(VLOOKUP(D218,input_4!L:R,7,FALSE),VLOOKUP(tables_4!B218,input_4!A:H,8,FALSE))</f>
        <v>60021</v>
      </c>
      <c r="M218" s="67">
        <f t="shared" si="9"/>
        <v>5.777027027027027E-3</v>
      </c>
      <c r="N218" s="31">
        <f>IFERROR(VLOOKUP($D218,bug_conf_sheet!$A:$H,3,FALSE),VLOOKUP("other",bug_conf_sheet!$A:$H,3,FALSE))</f>
        <v>1</v>
      </c>
      <c r="O218" s="31">
        <f>IFERROR(VLOOKUP($D218,bug_conf_sheet!$A:$H,4,FALSE),VLOOKUP("other",bug_conf_sheet!$A:$H,4,FALSE))</f>
        <v>0</v>
      </c>
      <c r="P218" s="31">
        <f>IFERROR(VLOOKUP($D218,bug_conf_sheet!$A:$H,5,FALSE),VLOOKUP("other",bug_conf_sheet!$A:$H,5,FALSE))</f>
        <v>0</v>
      </c>
      <c r="Q218" s="31">
        <f>IFERROR(VLOOKUP($D218,bug_conf_sheet!$A:$H,6,FALSE),VLOOKUP("other",bug_conf_sheet!$A:$H,6,FALSE))</f>
        <v>0</v>
      </c>
      <c r="R218" s="31">
        <f>IFERROR(VLOOKUP($D218,bug_conf_sheet!$A:$H,7,FALSE),VLOOKUP("other",bug_conf_sheet!$A:$H,7,FALSE))</f>
        <v>0</v>
      </c>
      <c r="S218" s="31">
        <f>IFERROR(VLOOKUP($D218,bug_conf_sheet!$A:$H,8,FALSE),VLOOKUP("other",bug_conf_sheet!$A:$H,8,FALSE))</f>
        <v>1</v>
      </c>
    </row>
    <row r="219" spans="1:19" ht="21" customHeight="1">
      <c r="A219" s="2">
        <f>input_4!A$2</f>
        <v>3124</v>
      </c>
      <c r="B219" s="7" t="str">
        <f t="shared" si="10"/>
        <v>Premium5</v>
      </c>
      <c r="C219" s="7" t="str">
        <f t="shared" si="11"/>
        <v>Premium</v>
      </c>
      <c r="D219" s="6">
        <v>590</v>
      </c>
      <c r="E219" s="7" t="str">
        <f>VLOOKUP(D219,[1]characters!$A:$C,3,FALSE)</f>
        <v>永遠を廻る呪い ニーベルゲン</v>
      </c>
      <c r="F219" s="7" t="str">
        <f>VLOOKUP(D219,[1]characters!$A:$J,10,FALSE)</f>
        <v>PremiumS</v>
      </c>
      <c r="G219" s="7">
        <f>VLOOKUP(D219,[1]characters!$A:$I,9,FALSE)</f>
        <v>5</v>
      </c>
      <c r="H219" s="7" t="str">
        <f>VLOOKUP(D219,[1]characters!$A:$H,8,FALSE)</f>
        <v>green</v>
      </c>
      <c r="I219" s="7" t="str">
        <f>VLOOKUP(D219,[1]characters!$A:$K,11,FALSE)</f>
        <v>balance</v>
      </c>
      <c r="J219" s="7" t="str">
        <f>VLOOKUP(D219,[1]characters!$A:$M,13,FALSE)</f>
        <v>unknown</v>
      </c>
      <c r="K219" s="7" t="str">
        <f>VLOOKUP(D219,[1]characters!$A:$G,7,FALSE)</f>
        <v>女性</v>
      </c>
      <c r="L219" s="66">
        <f>IFERROR(VLOOKUP(D219,input_4!L:R,7,FALSE),VLOOKUP(tables_4!B219,input_4!A:H,8,FALSE))</f>
        <v>9139</v>
      </c>
      <c r="M219" s="67">
        <f t="shared" si="9"/>
        <v>8.7962962962962962E-4</v>
      </c>
      <c r="N219" s="31">
        <f>IFERROR(VLOOKUP($D219,bug_conf_sheet!$A:$H,3,FALSE),VLOOKUP("other",bug_conf_sheet!$A:$H,3,FALSE))</f>
        <v>1</v>
      </c>
      <c r="O219" s="31">
        <f>IFERROR(VLOOKUP($D219,bug_conf_sheet!$A:$H,4,FALSE),VLOOKUP("other",bug_conf_sheet!$A:$H,4,FALSE))</f>
        <v>0</v>
      </c>
      <c r="P219" s="31">
        <f>IFERROR(VLOOKUP($D219,bug_conf_sheet!$A:$H,5,FALSE),VLOOKUP("other",bug_conf_sheet!$A:$H,5,FALSE))</f>
        <v>0</v>
      </c>
      <c r="Q219" s="31">
        <f>IFERROR(VLOOKUP($D219,bug_conf_sheet!$A:$H,6,FALSE),VLOOKUP("other",bug_conf_sheet!$A:$H,6,FALSE))</f>
        <v>0</v>
      </c>
      <c r="R219" s="31">
        <f>IFERROR(VLOOKUP($D219,bug_conf_sheet!$A:$H,7,FALSE),VLOOKUP("other",bug_conf_sheet!$A:$H,7,FALSE))</f>
        <v>0</v>
      </c>
      <c r="S219" s="31">
        <f>IFERROR(VLOOKUP($D219,bug_conf_sheet!$A:$H,8,FALSE),VLOOKUP("other",bug_conf_sheet!$A:$H,8,FALSE))</f>
        <v>1</v>
      </c>
    </row>
    <row r="220" spans="1:19" ht="21" customHeight="1">
      <c r="A220" s="2">
        <f>input_4!A$2</f>
        <v>3124</v>
      </c>
      <c r="B220" s="7" t="str">
        <f t="shared" si="10"/>
        <v>Premium3</v>
      </c>
      <c r="C220" s="7" t="str">
        <f t="shared" si="11"/>
        <v>Premium</v>
      </c>
      <c r="D220" s="6">
        <v>591</v>
      </c>
      <c r="E220" s="7" t="str">
        <f>VLOOKUP(D220,[1]characters!$A:$C,3,FALSE)</f>
        <v>ファフニール</v>
      </c>
      <c r="F220" s="7" t="str">
        <f>VLOOKUP(D220,[1]characters!$A:$J,10,FALSE)</f>
        <v>PremiumS</v>
      </c>
      <c r="G220" s="7">
        <f>VLOOKUP(D220,[1]characters!$A:$I,9,FALSE)</f>
        <v>3</v>
      </c>
      <c r="H220" s="7" t="str">
        <f>VLOOKUP(D220,[1]characters!$A:$H,8,FALSE)</f>
        <v>blue</v>
      </c>
      <c r="I220" s="7" t="str">
        <f>VLOOKUP(D220,[1]characters!$A:$K,11,FALSE)</f>
        <v>technical</v>
      </c>
      <c r="J220" s="7" t="str">
        <f>VLOOKUP(D220,[1]characters!$A:$M,13,FALSE)</f>
        <v>dragon</v>
      </c>
      <c r="K220" s="7" t="str">
        <f>VLOOKUP(D220,[1]characters!$A:$G,7,FALSE)</f>
        <v>不明</v>
      </c>
      <c r="L220" s="66">
        <f>IFERROR(VLOOKUP(D220,input_4!L:R,7,FALSE),VLOOKUP(tables_4!B220,input_4!A:H,8,FALSE))</f>
        <v>70200</v>
      </c>
      <c r="M220" s="67">
        <f t="shared" si="9"/>
        <v>6.7567567567567571E-3</v>
      </c>
      <c r="N220" s="31">
        <f>IFERROR(VLOOKUP($D220,bug_conf_sheet!$A:$H,3,FALSE),VLOOKUP("other",bug_conf_sheet!$A:$H,3,FALSE))</f>
        <v>1</v>
      </c>
      <c r="O220" s="31">
        <f>IFERROR(VLOOKUP($D220,bug_conf_sheet!$A:$H,4,FALSE),VLOOKUP("other",bug_conf_sheet!$A:$H,4,FALSE))</f>
        <v>0</v>
      </c>
      <c r="P220" s="31">
        <f>IFERROR(VLOOKUP($D220,bug_conf_sheet!$A:$H,5,FALSE),VLOOKUP("other",bug_conf_sheet!$A:$H,5,FALSE))</f>
        <v>0</v>
      </c>
      <c r="Q220" s="31">
        <f>IFERROR(VLOOKUP($D220,bug_conf_sheet!$A:$H,6,FALSE),VLOOKUP("other",bug_conf_sheet!$A:$H,6,FALSE))</f>
        <v>0</v>
      </c>
      <c r="R220" s="31">
        <f>IFERROR(VLOOKUP($D220,bug_conf_sheet!$A:$H,7,FALSE),VLOOKUP("other",bug_conf_sheet!$A:$H,7,FALSE))</f>
        <v>0</v>
      </c>
      <c r="S220" s="31">
        <f>IFERROR(VLOOKUP($D220,bug_conf_sheet!$A:$H,8,FALSE),VLOOKUP("other",bug_conf_sheet!$A:$H,8,FALSE))</f>
        <v>1</v>
      </c>
    </row>
    <row r="221" spans="1:19" ht="21" customHeight="1">
      <c r="A221" s="2">
        <f>input_4!A$2</f>
        <v>3124</v>
      </c>
      <c r="B221" s="7" t="str">
        <f t="shared" si="10"/>
        <v>Premium4</v>
      </c>
      <c r="C221" s="7" t="str">
        <f t="shared" si="11"/>
        <v>Premium</v>
      </c>
      <c r="D221" s="6">
        <v>592</v>
      </c>
      <c r="E221" s="7" t="str">
        <f>VLOOKUP(D221,[1]characters!$A:$C,3,FALSE)</f>
        <v>財宝への執着 ファフニール</v>
      </c>
      <c r="F221" s="7" t="str">
        <f>VLOOKUP(D221,[1]characters!$A:$J,10,FALSE)</f>
        <v>PremiumS</v>
      </c>
      <c r="G221" s="7">
        <f>VLOOKUP(D221,[1]characters!$A:$I,9,FALSE)</f>
        <v>4</v>
      </c>
      <c r="H221" s="7" t="str">
        <f>VLOOKUP(D221,[1]characters!$A:$H,8,FALSE)</f>
        <v>blue</v>
      </c>
      <c r="I221" s="7" t="str">
        <f>VLOOKUP(D221,[1]characters!$A:$K,11,FALSE)</f>
        <v>technical</v>
      </c>
      <c r="J221" s="7" t="str">
        <f>VLOOKUP(D221,[1]characters!$A:$M,13,FALSE)</f>
        <v>dragon</v>
      </c>
      <c r="K221" s="7" t="str">
        <f>VLOOKUP(D221,[1]characters!$A:$G,7,FALSE)</f>
        <v>不明</v>
      </c>
      <c r="L221" s="66">
        <f>IFERROR(VLOOKUP(D221,input_4!L:R,7,FALSE),VLOOKUP(tables_4!B221,input_4!A:H,8,FALSE))</f>
        <v>60021</v>
      </c>
      <c r="M221" s="67">
        <f t="shared" si="9"/>
        <v>5.777027027027027E-3</v>
      </c>
      <c r="N221" s="31">
        <f>IFERROR(VLOOKUP($D221,bug_conf_sheet!$A:$H,3,FALSE),VLOOKUP("other",bug_conf_sheet!$A:$H,3,FALSE))</f>
        <v>1</v>
      </c>
      <c r="O221" s="31">
        <f>IFERROR(VLOOKUP($D221,bug_conf_sheet!$A:$H,4,FALSE),VLOOKUP("other",bug_conf_sheet!$A:$H,4,FALSE))</f>
        <v>0</v>
      </c>
      <c r="P221" s="31">
        <f>IFERROR(VLOOKUP($D221,bug_conf_sheet!$A:$H,5,FALSE),VLOOKUP("other",bug_conf_sheet!$A:$H,5,FALSE))</f>
        <v>0</v>
      </c>
      <c r="Q221" s="31">
        <f>IFERROR(VLOOKUP($D221,bug_conf_sheet!$A:$H,6,FALSE),VLOOKUP("other",bug_conf_sheet!$A:$H,6,FALSE))</f>
        <v>0</v>
      </c>
      <c r="R221" s="31">
        <f>IFERROR(VLOOKUP($D221,bug_conf_sheet!$A:$H,7,FALSE),VLOOKUP("other",bug_conf_sheet!$A:$H,7,FALSE))</f>
        <v>0</v>
      </c>
      <c r="S221" s="31">
        <f>IFERROR(VLOOKUP($D221,bug_conf_sheet!$A:$H,8,FALSE),VLOOKUP("other",bug_conf_sheet!$A:$H,8,FALSE))</f>
        <v>1</v>
      </c>
    </row>
    <row r="222" spans="1:19" ht="21" customHeight="1">
      <c r="A222" s="2">
        <f>input_4!A$2</f>
        <v>3124</v>
      </c>
      <c r="B222" s="7" t="str">
        <f t="shared" si="10"/>
        <v>Premium5</v>
      </c>
      <c r="C222" s="7" t="str">
        <f t="shared" si="11"/>
        <v>Premium</v>
      </c>
      <c r="D222" s="6">
        <v>593</v>
      </c>
      <c r="E222" s="7" t="str">
        <f>VLOOKUP(D222,[1]characters!$A:$C,3,FALSE)</f>
        <v>妄執する邪毒龍 ファフニール</v>
      </c>
      <c r="F222" s="7" t="str">
        <f>VLOOKUP(D222,[1]characters!$A:$J,10,FALSE)</f>
        <v>PremiumS</v>
      </c>
      <c r="G222" s="7">
        <f>VLOOKUP(D222,[1]characters!$A:$I,9,FALSE)</f>
        <v>5</v>
      </c>
      <c r="H222" s="7" t="str">
        <f>VLOOKUP(D222,[1]characters!$A:$H,8,FALSE)</f>
        <v>blue</v>
      </c>
      <c r="I222" s="7" t="str">
        <f>VLOOKUP(D222,[1]characters!$A:$K,11,FALSE)</f>
        <v>technical</v>
      </c>
      <c r="J222" s="7" t="str">
        <f>VLOOKUP(D222,[1]characters!$A:$M,13,FALSE)</f>
        <v>dragon</v>
      </c>
      <c r="K222" s="7" t="str">
        <f>VLOOKUP(D222,[1]characters!$A:$G,7,FALSE)</f>
        <v>不明</v>
      </c>
      <c r="L222" s="66">
        <f>IFERROR(VLOOKUP(D222,input_4!L:R,7,FALSE),VLOOKUP(tables_4!B222,input_4!A:H,8,FALSE))</f>
        <v>9139</v>
      </c>
      <c r="M222" s="67">
        <f t="shared" si="9"/>
        <v>8.7962962962962962E-4</v>
      </c>
      <c r="N222" s="31">
        <f>IFERROR(VLOOKUP($D222,bug_conf_sheet!$A:$H,3,FALSE),VLOOKUP("other",bug_conf_sheet!$A:$H,3,FALSE))</f>
        <v>1</v>
      </c>
      <c r="O222" s="31">
        <f>IFERROR(VLOOKUP($D222,bug_conf_sheet!$A:$H,4,FALSE),VLOOKUP("other",bug_conf_sheet!$A:$H,4,FALSE))</f>
        <v>0</v>
      </c>
      <c r="P222" s="31">
        <f>IFERROR(VLOOKUP($D222,bug_conf_sheet!$A:$H,5,FALSE),VLOOKUP("other",bug_conf_sheet!$A:$H,5,FALSE))</f>
        <v>0</v>
      </c>
      <c r="Q222" s="31">
        <f>IFERROR(VLOOKUP($D222,bug_conf_sheet!$A:$H,6,FALSE),VLOOKUP("other",bug_conf_sheet!$A:$H,6,FALSE))</f>
        <v>0</v>
      </c>
      <c r="R222" s="31">
        <f>IFERROR(VLOOKUP($D222,bug_conf_sheet!$A:$H,7,FALSE),VLOOKUP("other",bug_conf_sheet!$A:$H,7,FALSE))</f>
        <v>0</v>
      </c>
      <c r="S222" s="31">
        <f>IFERROR(VLOOKUP($D222,bug_conf_sheet!$A:$H,8,FALSE),VLOOKUP("other",bug_conf_sheet!$A:$H,8,FALSE))</f>
        <v>1</v>
      </c>
    </row>
    <row r="223" spans="1:19" ht="21" customHeight="1">
      <c r="A223" s="2">
        <f>input_4!A$2</f>
        <v>3124</v>
      </c>
      <c r="B223" s="7" t="str">
        <f t="shared" si="10"/>
        <v>PremiumSS4</v>
      </c>
      <c r="C223" s="7" t="str">
        <f t="shared" si="11"/>
        <v>PremiumSS</v>
      </c>
      <c r="D223" s="6">
        <v>594</v>
      </c>
      <c r="E223" s="7" t="str">
        <f>VLOOKUP(D223,[1]characters!$A:$C,3,FALSE)</f>
        <v>アルフヘイム</v>
      </c>
      <c r="F223" s="7" t="str">
        <f>VLOOKUP(D223,[1]characters!$A:$J,10,FALSE)</f>
        <v>PremiumSS</v>
      </c>
      <c r="G223" s="7">
        <f>VLOOKUP(D223,[1]characters!$A:$I,9,FALSE)</f>
        <v>4</v>
      </c>
      <c r="H223" s="7" t="str">
        <f>VLOOKUP(D223,[1]characters!$A:$H,8,FALSE)</f>
        <v>yellow</v>
      </c>
      <c r="I223" s="7" t="str">
        <f>VLOOKUP(D223,[1]characters!$A:$K,11,FALSE)</f>
        <v>attack</v>
      </c>
      <c r="J223" s="7" t="str">
        <f>VLOOKUP(D223,[1]characters!$A:$M,13,FALSE)</f>
        <v>dragon</v>
      </c>
      <c r="K223" s="7" t="str">
        <f>VLOOKUP(D223,[1]characters!$A:$G,7,FALSE)</f>
        <v>不明</v>
      </c>
      <c r="L223" s="66">
        <f>IFERROR(VLOOKUP(D223,input_4!L:R,7,FALSE),VLOOKUP(tables_4!B223,input_4!A:H,8,FALSE))</f>
        <v>8991</v>
      </c>
      <c r="M223" s="67">
        <f t="shared" si="9"/>
        <v>8.6538461538461541E-4</v>
      </c>
      <c r="N223" s="31">
        <f>IFERROR(VLOOKUP($D223,bug_conf_sheet!$A:$H,3,FALSE),VLOOKUP("other",bug_conf_sheet!$A:$H,3,FALSE))</f>
        <v>1</v>
      </c>
      <c r="O223" s="31">
        <f>IFERROR(VLOOKUP($D223,bug_conf_sheet!$A:$H,4,FALSE),VLOOKUP("other",bug_conf_sheet!$A:$H,4,FALSE))</f>
        <v>0</v>
      </c>
      <c r="P223" s="31">
        <f>IFERROR(VLOOKUP($D223,bug_conf_sheet!$A:$H,5,FALSE),VLOOKUP("other",bug_conf_sheet!$A:$H,5,FALSE))</f>
        <v>0</v>
      </c>
      <c r="Q223" s="31">
        <f>IFERROR(VLOOKUP($D223,bug_conf_sheet!$A:$H,6,FALSE),VLOOKUP("other",bug_conf_sheet!$A:$H,6,FALSE))</f>
        <v>0</v>
      </c>
      <c r="R223" s="31">
        <f>IFERROR(VLOOKUP($D223,bug_conf_sheet!$A:$H,7,FALSE),VLOOKUP("other",bug_conf_sheet!$A:$H,7,FALSE))</f>
        <v>0</v>
      </c>
      <c r="S223" s="31">
        <f>IFERROR(VLOOKUP($D223,bug_conf_sheet!$A:$H,8,FALSE),VLOOKUP("other",bug_conf_sheet!$A:$H,8,FALSE))</f>
        <v>1</v>
      </c>
    </row>
    <row r="224" spans="1:19" ht="21" customHeight="1">
      <c r="A224" s="2">
        <f>input_4!A$2</f>
        <v>3124</v>
      </c>
      <c r="B224" s="7" t="str">
        <f t="shared" si="10"/>
        <v>PremiumSS5</v>
      </c>
      <c r="C224" s="7" t="str">
        <f t="shared" si="11"/>
        <v>PremiumSS</v>
      </c>
      <c r="D224" s="6">
        <v>595</v>
      </c>
      <c r="E224" s="7" t="str">
        <f>VLOOKUP(D224,[1]characters!$A:$C,3,FALSE)</f>
        <v>光華なる神域 アルフヘイム</v>
      </c>
      <c r="F224" s="7" t="str">
        <f>VLOOKUP(D224,[1]characters!$A:$J,10,FALSE)</f>
        <v>PremiumSS</v>
      </c>
      <c r="G224" s="7">
        <f>VLOOKUP(D224,[1]characters!$A:$I,9,FALSE)</f>
        <v>5</v>
      </c>
      <c r="H224" s="7" t="str">
        <f>VLOOKUP(D224,[1]characters!$A:$H,8,FALSE)</f>
        <v>yellow</v>
      </c>
      <c r="I224" s="7" t="str">
        <f>VLOOKUP(D224,[1]characters!$A:$K,11,FALSE)</f>
        <v>attack</v>
      </c>
      <c r="J224" s="7" t="str">
        <f>VLOOKUP(D224,[1]characters!$A:$M,13,FALSE)</f>
        <v>dragon</v>
      </c>
      <c r="K224" s="7" t="str">
        <f>VLOOKUP(D224,[1]characters!$A:$G,7,FALSE)</f>
        <v>不明</v>
      </c>
      <c r="L224" s="66">
        <f>IFERROR(VLOOKUP(D224,input_4!L:R,7,FALSE),VLOOKUP(tables_4!B224,input_4!A:H,8,FALSE))</f>
        <v>999</v>
      </c>
      <c r="M224" s="67">
        <f t="shared" si="9"/>
        <v>9.6153846153846154E-5</v>
      </c>
      <c r="N224" s="31">
        <f>IFERROR(VLOOKUP($D224,bug_conf_sheet!$A:$H,3,FALSE),VLOOKUP("other",bug_conf_sheet!$A:$H,3,FALSE))</f>
        <v>1</v>
      </c>
      <c r="O224" s="31">
        <f>IFERROR(VLOOKUP($D224,bug_conf_sheet!$A:$H,4,FALSE),VLOOKUP("other",bug_conf_sheet!$A:$H,4,FALSE))</f>
        <v>0</v>
      </c>
      <c r="P224" s="31">
        <f>IFERROR(VLOOKUP($D224,bug_conf_sheet!$A:$H,5,FALSE),VLOOKUP("other",bug_conf_sheet!$A:$H,5,FALSE))</f>
        <v>0</v>
      </c>
      <c r="Q224" s="31">
        <f>IFERROR(VLOOKUP($D224,bug_conf_sheet!$A:$H,6,FALSE),VLOOKUP("other",bug_conf_sheet!$A:$H,6,FALSE))</f>
        <v>0</v>
      </c>
      <c r="R224" s="31">
        <f>IFERROR(VLOOKUP($D224,bug_conf_sheet!$A:$H,7,FALSE),VLOOKUP("other",bug_conf_sheet!$A:$H,7,FALSE))</f>
        <v>0</v>
      </c>
      <c r="S224" s="31">
        <f>IFERROR(VLOOKUP($D224,bug_conf_sheet!$A:$H,8,FALSE),VLOOKUP("other",bug_conf_sheet!$A:$H,8,FALSE))</f>
        <v>1</v>
      </c>
    </row>
    <row r="225" spans="1:19" ht="21" customHeight="1">
      <c r="A225" s="2">
        <f>input_4!A$2</f>
        <v>3124</v>
      </c>
      <c r="B225" s="7" t="str">
        <f t="shared" si="10"/>
        <v>Premium3</v>
      </c>
      <c r="C225" s="7" t="str">
        <f t="shared" si="11"/>
        <v>Premium</v>
      </c>
      <c r="D225" s="6">
        <v>596</v>
      </c>
      <c r="E225" s="7" t="str">
        <f>VLOOKUP(D225,[1]characters!$A:$C,3,FALSE)</f>
        <v>ムスペルヘイム</v>
      </c>
      <c r="F225" s="7" t="str">
        <f>VLOOKUP(D225,[1]characters!$A:$J,10,FALSE)</f>
        <v>PremiumS</v>
      </c>
      <c r="G225" s="7">
        <f>VLOOKUP(D225,[1]characters!$A:$I,9,FALSE)</f>
        <v>3</v>
      </c>
      <c r="H225" s="7" t="str">
        <f>VLOOKUP(D225,[1]characters!$A:$H,8,FALSE)</f>
        <v>red</v>
      </c>
      <c r="I225" s="7" t="str">
        <f>VLOOKUP(D225,[1]characters!$A:$K,11,FALSE)</f>
        <v>balance</v>
      </c>
      <c r="J225" s="7" t="str">
        <f>VLOOKUP(D225,[1]characters!$A:$M,13,FALSE)</f>
        <v>human</v>
      </c>
      <c r="K225" s="7" t="str">
        <f>VLOOKUP(D225,[1]characters!$A:$G,7,FALSE)</f>
        <v>男性</v>
      </c>
      <c r="L225" s="66">
        <f>IFERROR(VLOOKUP(D225,input_4!L:R,7,FALSE),VLOOKUP(tables_4!B225,input_4!A:H,8,FALSE))</f>
        <v>70200</v>
      </c>
      <c r="M225" s="67">
        <f t="shared" si="9"/>
        <v>6.7567567567567571E-3</v>
      </c>
      <c r="N225" s="31">
        <f>IFERROR(VLOOKUP($D225,bug_conf_sheet!$A:$H,3,FALSE),VLOOKUP("other",bug_conf_sheet!$A:$H,3,FALSE))</f>
        <v>1</v>
      </c>
      <c r="O225" s="31">
        <f>IFERROR(VLOOKUP($D225,bug_conf_sheet!$A:$H,4,FALSE),VLOOKUP("other",bug_conf_sheet!$A:$H,4,FALSE))</f>
        <v>0</v>
      </c>
      <c r="P225" s="31">
        <f>IFERROR(VLOOKUP($D225,bug_conf_sheet!$A:$H,5,FALSE),VLOOKUP("other",bug_conf_sheet!$A:$H,5,FALSE))</f>
        <v>0</v>
      </c>
      <c r="Q225" s="31">
        <f>IFERROR(VLOOKUP($D225,bug_conf_sheet!$A:$H,6,FALSE),VLOOKUP("other",bug_conf_sheet!$A:$H,6,FALSE))</f>
        <v>0</v>
      </c>
      <c r="R225" s="31">
        <f>IFERROR(VLOOKUP($D225,bug_conf_sheet!$A:$H,7,FALSE),VLOOKUP("other",bug_conf_sheet!$A:$H,7,FALSE))</f>
        <v>0</v>
      </c>
      <c r="S225" s="31">
        <f>IFERROR(VLOOKUP($D225,bug_conf_sheet!$A:$H,8,FALSE),VLOOKUP("other",bug_conf_sheet!$A:$H,8,FALSE))</f>
        <v>1</v>
      </c>
    </row>
    <row r="226" spans="1:19" ht="21" customHeight="1">
      <c r="A226" s="2">
        <f>input_4!A$2</f>
        <v>3124</v>
      </c>
      <c r="B226" s="7" t="str">
        <f t="shared" si="10"/>
        <v>Premium4</v>
      </c>
      <c r="C226" s="7" t="str">
        <f t="shared" si="11"/>
        <v>Premium</v>
      </c>
      <c r="D226" s="6">
        <v>597</v>
      </c>
      <c r="E226" s="7" t="str">
        <f>VLOOKUP(D226,[1]characters!$A:$C,3,FALSE)</f>
        <v>灼熱の魂 ムスペルヘイム</v>
      </c>
      <c r="F226" s="7" t="str">
        <f>VLOOKUP(D226,[1]characters!$A:$J,10,FALSE)</f>
        <v>PremiumS</v>
      </c>
      <c r="G226" s="7">
        <f>VLOOKUP(D226,[1]characters!$A:$I,9,FALSE)</f>
        <v>4</v>
      </c>
      <c r="H226" s="7" t="str">
        <f>VLOOKUP(D226,[1]characters!$A:$H,8,FALSE)</f>
        <v>red</v>
      </c>
      <c r="I226" s="7" t="str">
        <f>VLOOKUP(D226,[1]characters!$A:$K,11,FALSE)</f>
        <v>balance</v>
      </c>
      <c r="J226" s="7" t="str">
        <f>VLOOKUP(D226,[1]characters!$A:$M,13,FALSE)</f>
        <v>human</v>
      </c>
      <c r="K226" s="7" t="str">
        <f>VLOOKUP(D226,[1]characters!$A:$G,7,FALSE)</f>
        <v>男性</v>
      </c>
      <c r="L226" s="66">
        <f>IFERROR(VLOOKUP(D226,input_4!L:R,7,FALSE),VLOOKUP(tables_4!B226,input_4!A:H,8,FALSE))</f>
        <v>60021</v>
      </c>
      <c r="M226" s="67">
        <f t="shared" si="9"/>
        <v>5.777027027027027E-3</v>
      </c>
      <c r="N226" s="31">
        <f>IFERROR(VLOOKUP($D226,bug_conf_sheet!$A:$H,3,FALSE),VLOOKUP("other",bug_conf_sheet!$A:$H,3,FALSE))</f>
        <v>1</v>
      </c>
      <c r="O226" s="31">
        <f>IFERROR(VLOOKUP($D226,bug_conf_sheet!$A:$H,4,FALSE),VLOOKUP("other",bug_conf_sheet!$A:$H,4,FALSE))</f>
        <v>0</v>
      </c>
      <c r="P226" s="31">
        <f>IFERROR(VLOOKUP($D226,bug_conf_sheet!$A:$H,5,FALSE),VLOOKUP("other",bug_conf_sheet!$A:$H,5,FALSE))</f>
        <v>0</v>
      </c>
      <c r="Q226" s="31">
        <f>IFERROR(VLOOKUP($D226,bug_conf_sheet!$A:$H,6,FALSE),VLOOKUP("other",bug_conf_sheet!$A:$H,6,FALSE))</f>
        <v>0</v>
      </c>
      <c r="R226" s="31">
        <f>IFERROR(VLOOKUP($D226,bug_conf_sheet!$A:$H,7,FALSE),VLOOKUP("other",bug_conf_sheet!$A:$H,7,FALSE))</f>
        <v>0</v>
      </c>
      <c r="S226" s="31">
        <f>IFERROR(VLOOKUP($D226,bug_conf_sheet!$A:$H,8,FALSE),VLOOKUP("other",bug_conf_sheet!$A:$H,8,FALSE))</f>
        <v>1</v>
      </c>
    </row>
    <row r="227" spans="1:19" ht="21" customHeight="1">
      <c r="A227" s="2">
        <f>input_4!A$2</f>
        <v>3124</v>
      </c>
      <c r="B227" s="7" t="str">
        <f t="shared" si="10"/>
        <v>Premium5</v>
      </c>
      <c r="C227" s="7" t="str">
        <f t="shared" si="11"/>
        <v>Premium</v>
      </c>
      <c r="D227" s="6">
        <v>598</v>
      </c>
      <c r="E227" s="7" t="str">
        <f>VLOOKUP(D227,[1]characters!$A:$C,3,FALSE)</f>
        <v>焼燃の情熱 ムスペルヘイム</v>
      </c>
      <c r="F227" s="7" t="str">
        <f>VLOOKUP(D227,[1]characters!$A:$J,10,FALSE)</f>
        <v>PremiumS</v>
      </c>
      <c r="G227" s="7">
        <f>VLOOKUP(D227,[1]characters!$A:$I,9,FALSE)</f>
        <v>5</v>
      </c>
      <c r="H227" s="7" t="str">
        <f>VLOOKUP(D227,[1]characters!$A:$H,8,FALSE)</f>
        <v>red</v>
      </c>
      <c r="I227" s="7" t="str">
        <f>VLOOKUP(D227,[1]characters!$A:$K,11,FALSE)</f>
        <v>balance</v>
      </c>
      <c r="J227" s="7" t="str">
        <f>VLOOKUP(D227,[1]characters!$A:$M,13,FALSE)</f>
        <v>human</v>
      </c>
      <c r="K227" s="7" t="str">
        <f>VLOOKUP(D227,[1]characters!$A:$G,7,FALSE)</f>
        <v>男性</v>
      </c>
      <c r="L227" s="66">
        <f>IFERROR(VLOOKUP(D227,input_4!L:R,7,FALSE),VLOOKUP(tables_4!B227,input_4!A:H,8,FALSE))</f>
        <v>9139</v>
      </c>
      <c r="M227" s="67">
        <f t="shared" si="9"/>
        <v>8.7962962962962962E-4</v>
      </c>
      <c r="N227" s="31">
        <f>IFERROR(VLOOKUP($D227,bug_conf_sheet!$A:$H,3,FALSE),VLOOKUP("other",bug_conf_sheet!$A:$H,3,FALSE))</f>
        <v>1</v>
      </c>
      <c r="O227" s="31">
        <f>IFERROR(VLOOKUP($D227,bug_conf_sheet!$A:$H,4,FALSE),VLOOKUP("other",bug_conf_sheet!$A:$H,4,FALSE))</f>
        <v>0</v>
      </c>
      <c r="P227" s="31">
        <f>IFERROR(VLOOKUP($D227,bug_conf_sheet!$A:$H,5,FALSE),VLOOKUP("other",bug_conf_sheet!$A:$H,5,FALSE))</f>
        <v>0</v>
      </c>
      <c r="Q227" s="31">
        <f>IFERROR(VLOOKUP($D227,bug_conf_sheet!$A:$H,6,FALSE),VLOOKUP("other",bug_conf_sheet!$A:$H,6,FALSE))</f>
        <v>0</v>
      </c>
      <c r="R227" s="31">
        <f>IFERROR(VLOOKUP($D227,bug_conf_sheet!$A:$H,7,FALSE),VLOOKUP("other",bug_conf_sheet!$A:$H,7,FALSE))</f>
        <v>0</v>
      </c>
      <c r="S227" s="31">
        <f>IFERROR(VLOOKUP($D227,bug_conf_sheet!$A:$H,8,FALSE),VLOOKUP("other",bug_conf_sheet!$A:$H,8,FALSE))</f>
        <v>1</v>
      </c>
    </row>
    <row r="228" spans="1:19" ht="21" customHeight="1">
      <c r="A228" s="2">
        <f>input_4!A$2</f>
        <v>3124</v>
      </c>
      <c r="B228" s="7" t="str">
        <f t="shared" si="10"/>
        <v>Premium3</v>
      </c>
      <c r="C228" s="7" t="str">
        <f t="shared" si="11"/>
        <v>Premium</v>
      </c>
      <c r="D228" s="6">
        <v>599</v>
      </c>
      <c r="E228" s="7" t="str">
        <f>VLOOKUP(D228,[1]characters!$A:$C,3,FALSE)</f>
        <v>ニーズヘッグ</v>
      </c>
      <c r="F228" s="7" t="str">
        <f>VLOOKUP(D228,[1]characters!$A:$J,10,FALSE)</f>
        <v>PremiumS</v>
      </c>
      <c r="G228" s="7">
        <f>VLOOKUP(D228,[1]characters!$A:$I,9,FALSE)</f>
        <v>3</v>
      </c>
      <c r="H228" s="7" t="str">
        <f>VLOOKUP(D228,[1]characters!$A:$H,8,FALSE)</f>
        <v>green</v>
      </c>
      <c r="I228" s="7" t="str">
        <f>VLOOKUP(D228,[1]characters!$A:$K,11,FALSE)</f>
        <v>attack</v>
      </c>
      <c r="J228" s="7" t="str">
        <f>VLOOKUP(D228,[1]characters!$A:$M,13,FALSE)</f>
        <v>dragon</v>
      </c>
      <c r="K228" s="7" t="str">
        <f>VLOOKUP(D228,[1]characters!$A:$G,7,FALSE)</f>
        <v>不明</v>
      </c>
      <c r="L228" s="66">
        <f>IFERROR(VLOOKUP(D228,input_4!L:R,7,FALSE),VLOOKUP(tables_4!B228,input_4!A:H,8,FALSE))</f>
        <v>70200</v>
      </c>
      <c r="M228" s="67">
        <f t="shared" si="9"/>
        <v>6.7567567567567571E-3</v>
      </c>
      <c r="N228" s="31">
        <f>IFERROR(VLOOKUP($D228,bug_conf_sheet!$A:$H,3,FALSE),VLOOKUP("other",bug_conf_sheet!$A:$H,3,FALSE))</f>
        <v>1</v>
      </c>
      <c r="O228" s="31">
        <f>IFERROR(VLOOKUP($D228,bug_conf_sheet!$A:$H,4,FALSE),VLOOKUP("other",bug_conf_sheet!$A:$H,4,FALSE))</f>
        <v>0</v>
      </c>
      <c r="P228" s="31">
        <f>IFERROR(VLOOKUP($D228,bug_conf_sheet!$A:$H,5,FALSE),VLOOKUP("other",bug_conf_sheet!$A:$H,5,FALSE))</f>
        <v>0</v>
      </c>
      <c r="Q228" s="31">
        <f>IFERROR(VLOOKUP($D228,bug_conf_sheet!$A:$H,6,FALSE),VLOOKUP("other",bug_conf_sheet!$A:$H,6,FALSE))</f>
        <v>0</v>
      </c>
      <c r="R228" s="31">
        <f>IFERROR(VLOOKUP($D228,bug_conf_sheet!$A:$H,7,FALSE),VLOOKUP("other",bug_conf_sheet!$A:$H,7,FALSE))</f>
        <v>0</v>
      </c>
      <c r="S228" s="31">
        <f>IFERROR(VLOOKUP($D228,bug_conf_sheet!$A:$H,8,FALSE),VLOOKUP("other",bug_conf_sheet!$A:$H,8,FALSE))</f>
        <v>1</v>
      </c>
    </row>
    <row r="229" spans="1:19" ht="21" customHeight="1">
      <c r="A229" s="2">
        <f>input_4!A$2</f>
        <v>3124</v>
      </c>
      <c r="B229" s="7" t="str">
        <f t="shared" si="10"/>
        <v>Premium4</v>
      </c>
      <c r="C229" s="7" t="str">
        <f t="shared" si="11"/>
        <v>Premium</v>
      </c>
      <c r="D229" s="6">
        <v>600</v>
      </c>
      <c r="E229" s="7" t="str">
        <f>VLOOKUP(D229,[1]characters!$A:$C,3,FALSE)</f>
        <v>界下に潜む蛇 ニーズヘッグ</v>
      </c>
      <c r="F229" s="7" t="str">
        <f>VLOOKUP(D229,[1]characters!$A:$J,10,FALSE)</f>
        <v>PremiumS</v>
      </c>
      <c r="G229" s="7">
        <f>VLOOKUP(D229,[1]characters!$A:$I,9,FALSE)</f>
        <v>4</v>
      </c>
      <c r="H229" s="7" t="str">
        <f>VLOOKUP(D229,[1]characters!$A:$H,8,FALSE)</f>
        <v>green</v>
      </c>
      <c r="I229" s="7" t="str">
        <f>VLOOKUP(D229,[1]characters!$A:$K,11,FALSE)</f>
        <v>attack</v>
      </c>
      <c r="J229" s="7" t="str">
        <f>VLOOKUP(D229,[1]characters!$A:$M,13,FALSE)</f>
        <v>dragon</v>
      </c>
      <c r="K229" s="7" t="str">
        <f>VLOOKUP(D229,[1]characters!$A:$G,7,FALSE)</f>
        <v>不明</v>
      </c>
      <c r="L229" s="66">
        <f>IFERROR(VLOOKUP(D229,input_4!L:R,7,FALSE),VLOOKUP(tables_4!B229,input_4!A:H,8,FALSE))</f>
        <v>60021</v>
      </c>
      <c r="M229" s="67">
        <f t="shared" si="9"/>
        <v>5.777027027027027E-3</v>
      </c>
      <c r="N229" s="31">
        <f>IFERROR(VLOOKUP($D229,bug_conf_sheet!$A:$H,3,FALSE),VLOOKUP("other",bug_conf_sheet!$A:$H,3,FALSE))</f>
        <v>1</v>
      </c>
      <c r="O229" s="31">
        <f>IFERROR(VLOOKUP($D229,bug_conf_sheet!$A:$H,4,FALSE),VLOOKUP("other",bug_conf_sheet!$A:$H,4,FALSE))</f>
        <v>0</v>
      </c>
      <c r="P229" s="31">
        <f>IFERROR(VLOOKUP($D229,bug_conf_sheet!$A:$H,5,FALSE),VLOOKUP("other",bug_conf_sheet!$A:$H,5,FALSE))</f>
        <v>0</v>
      </c>
      <c r="Q229" s="31">
        <f>IFERROR(VLOOKUP($D229,bug_conf_sheet!$A:$H,6,FALSE),VLOOKUP("other",bug_conf_sheet!$A:$H,6,FALSE))</f>
        <v>0</v>
      </c>
      <c r="R229" s="31">
        <f>IFERROR(VLOOKUP($D229,bug_conf_sheet!$A:$H,7,FALSE),VLOOKUP("other",bug_conf_sheet!$A:$H,7,FALSE))</f>
        <v>0</v>
      </c>
      <c r="S229" s="31">
        <f>IFERROR(VLOOKUP($D229,bug_conf_sheet!$A:$H,8,FALSE),VLOOKUP("other",bug_conf_sheet!$A:$H,8,FALSE))</f>
        <v>1</v>
      </c>
    </row>
    <row r="230" spans="1:19" ht="21" customHeight="1">
      <c r="A230" s="2">
        <f>input_4!A$2</f>
        <v>3124</v>
      </c>
      <c r="B230" s="7" t="str">
        <f t="shared" si="10"/>
        <v>Premium5</v>
      </c>
      <c r="C230" s="7" t="str">
        <f t="shared" si="11"/>
        <v>Premium</v>
      </c>
      <c r="D230" s="6">
        <v>601</v>
      </c>
      <c r="E230" s="7" t="str">
        <f>VLOOKUP(D230,[1]characters!$A:$C,3,FALSE)</f>
        <v>界根蝕む悪食 ニーズヘッグ</v>
      </c>
      <c r="F230" s="7" t="str">
        <f>VLOOKUP(D230,[1]characters!$A:$J,10,FALSE)</f>
        <v>PremiumS</v>
      </c>
      <c r="G230" s="7">
        <f>VLOOKUP(D230,[1]characters!$A:$I,9,FALSE)</f>
        <v>5</v>
      </c>
      <c r="H230" s="7" t="str">
        <f>VLOOKUP(D230,[1]characters!$A:$H,8,FALSE)</f>
        <v>green</v>
      </c>
      <c r="I230" s="7" t="str">
        <f>VLOOKUP(D230,[1]characters!$A:$K,11,FALSE)</f>
        <v>attack</v>
      </c>
      <c r="J230" s="7" t="str">
        <f>VLOOKUP(D230,[1]characters!$A:$M,13,FALSE)</f>
        <v>dragon</v>
      </c>
      <c r="K230" s="7" t="str">
        <f>VLOOKUP(D230,[1]characters!$A:$G,7,FALSE)</f>
        <v>不明</v>
      </c>
      <c r="L230" s="66">
        <f>IFERROR(VLOOKUP(D230,input_4!L:R,7,FALSE),VLOOKUP(tables_4!B230,input_4!A:H,8,FALSE))</f>
        <v>9139</v>
      </c>
      <c r="M230" s="67">
        <f t="shared" si="9"/>
        <v>8.7962962962962962E-4</v>
      </c>
      <c r="N230" s="31">
        <f>IFERROR(VLOOKUP($D230,bug_conf_sheet!$A:$H,3,FALSE),VLOOKUP("other",bug_conf_sheet!$A:$H,3,FALSE))</f>
        <v>1</v>
      </c>
      <c r="O230" s="31">
        <f>IFERROR(VLOOKUP($D230,bug_conf_sheet!$A:$H,4,FALSE),VLOOKUP("other",bug_conf_sheet!$A:$H,4,FALSE))</f>
        <v>0</v>
      </c>
      <c r="P230" s="31">
        <f>IFERROR(VLOOKUP($D230,bug_conf_sheet!$A:$H,5,FALSE),VLOOKUP("other",bug_conf_sheet!$A:$H,5,FALSE))</f>
        <v>0</v>
      </c>
      <c r="Q230" s="31">
        <f>IFERROR(VLOOKUP($D230,bug_conf_sheet!$A:$H,6,FALSE),VLOOKUP("other",bug_conf_sheet!$A:$H,6,FALSE))</f>
        <v>0</v>
      </c>
      <c r="R230" s="31">
        <f>IFERROR(VLOOKUP($D230,bug_conf_sheet!$A:$H,7,FALSE),VLOOKUP("other",bug_conf_sheet!$A:$H,7,FALSE))</f>
        <v>0</v>
      </c>
      <c r="S230" s="31">
        <f>IFERROR(VLOOKUP($D230,bug_conf_sheet!$A:$H,8,FALSE),VLOOKUP("other",bug_conf_sheet!$A:$H,8,FALSE))</f>
        <v>1</v>
      </c>
    </row>
    <row r="231" spans="1:19" ht="21" customHeight="1">
      <c r="A231" s="2">
        <f>input_4!A$2</f>
        <v>3124</v>
      </c>
      <c r="B231" s="7" t="str">
        <f t="shared" si="10"/>
        <v>PremiumSS4</v>
      </c>
      <c r="C231" s="7" t="str">
        <f t="shared" si="11"/>
        <v>PremiumSS</v>
      </c>
      <c r="D231" s="6">
        <v>602</v>
      </c>
      <c r="E231" s="7" t="str">
        <f>VLOOKUP(D231,[1]characters!$A:$C,3,FALSE)</f>
        <v>フレイヤ</v>
      </c>
      <c r="F231" s="7" t="str">
        <f>VLOOKUP(D231,[1]characters!$A:$J,10,FALSE)</f>
        <v>PremiumSS</v>
      </c>
      <c r="G231" s="7">
        <f>VLOOKUP(D231,[1]characters!$A:$I,9,FALSE)</f>
        <v>4</v>
      </c>
      <c r="H231" s="7" t="str">
        <f>VLOOKUP(D231,[1]characters!$A:$H,8,FALSE)</f>
        <v>blue</v>
      </c>
      <c r="I231" s="7" t="str">
        <f>VLOOKUP(D231,[1]characters!$A:$K,11,FALSE)</f>
        <v>heal</v>
      </c>
      <c r="J231" s="7" t="str">
        <f>VLOOKUP(D231,[1]characters!$A:$M,13,FALSE)</f>
        <v>animal</v>
      </c>
      <c r="K231" s="7" t="str">
        <f>VLOOKUP(D231,[1]characters!$A:$G,7,FALSE)</f>
        <v>女性</v>
      </c>
      <c r="L231" s="66">
        <f>IFERROR(VLOOKUP(D231,input_4!L:R,7,FALSE),VLOOKUP(tables_4!B231,input_4!A:H,8,FALSE))</f>
        <v>8991</v>
      </c>
      <c r="M231" s="67">
        <f t="shared" si="9"/>
        <v>8.6538461538461541E-4</v>
      </c>
      <c r="N231" s="31">
        <f>IFERROR(VLOOKUP($D231,bug_conf_sheet!$A:$H,3,FALSE),VLOOKUP("other",bug_conf_sheet!$A:$H,3,FALSE))</f>
        <v>1</v>
      </c>
      <c r="O231" s="31">
        <f>IFERROR(VLOOKUP($D231,bug_conf_sheet!$A:$H,4,FALSE),VLOOKUP("other",bug_conf_sheet!$A:$H,4,FALSE))</f>
        <v>0</v>
      </c>
      <c r="P231" s="31">
        <f>IFERROR(VLOOKUP($D231,bug_conf_sheet!$A:$H,5,FALSE),VLOOKUP("other",bug_conf_sheet!$A:$H,5,FALSE))</f>
        <v>0</v>
      </c>
      <c r="Q231" s="31">
        <f>IFERROR(VLOOKUP($D231,bug_conf_sheet!$A:$H,6,FALSE),VLOOKUP("other",bug_conf_sheet!$A:$H,6,FALSE))</f>
        <v>0</v>
      </c>
      <c r="R231" s="31">
        <f>IFERROR(VLOOKUP($D231,bug_conf_sheet!$A:$H,7,FALSE),VLOOKUP("other",bug_conf_sheet!$A:$H,7,FALSE))</f>
        <v>0</v>
      </c>
      <c r="S231" s="31">
        <f>IFERROR(VLOOKUP($D231,bug_conf_sheet!$A:$H,8,FALSE),VLOOKUP("other",bug_conf_sheet!$A:$H,8,FALSE))</f>
        <v>1</v>
      </c>
    </row>
    <row r="232" spans="1:19" ht="21" customHeight="1">
      <c r="A232" s="2">
        <f>input_4!A$2</f>
        <v>3124</v>
      </c>
      <c r="B232" s="7" t="str">
        <f t="shared" si="10"/>
        <v>PremiumSS5</v>
      </c>
      <c r="C232" s="7" t="str">
        <f t="shared" si="11"/>
        <v>PremiumSS</v>
      </c>
      <c r="D232" s="6">
        <v>603</v>
      </c>
      <c r="E232" s="7" t="str">
        <f>VLOOKUP(D232,[1]characters!$A:$C,3,FALSE)</f>
        <v>掌愛の豊穣女神 フレイヤ</v>
      </c>
      <c r="F232" s="7" t="str">
        <f>VLOOKUP(D232,[1]characters!$A:$J,10,FALSE)</f>
        <v>PremiumSS</v>
      </c>
      <c r="G232" s="7">
        <f>VLOOKUP(D232,[1]characters!$A:$I,9,FALSE)</f>
        <v>5</v>
      </c>
      <c r="H232" s="7" t="str">
        <f>VLOOKUP(D232,[1]characters!$A:$H,8,FALSE)</f>
        <v>blue</v>
      </c>
      <c r="I232" s="7" t="str">
        <f>VLOOKUP(D232,[1]characters!$A:$K,11,FALSE)</f>
        <v>heal</v>
      </c>
      <c r="J232" s="7" t="str">
        <f>VLOOKUP(D232,[1]characters!$A:$M,13,FALSE)</f>
        <v>animal</v>
      </c>
      <c r="K232" s="7" t="str">
        <f>VLOOKUP(D232,[1]characters!$A:$G,7,FALSE)</f>
        <v>女性</v>
      </c>
      <c r="L232" s="66">
        <f>IFERROR(VLOOKUP(D232,input_4!L:R,7,FALSE),VLOOKUP(tables_4!B232,input_4!A:H,8,FALSE))</f>
        <v>999</v>
      </c>
      <c r="M232" s="67">
        <f t="shared" si="9"/>
        <v>9.6153846153846154E-5</v>
      </c>
      <c r="N232" s="31">
        <f>IFERROR(VLOOKUP($D232,bug_conf_sheet!$A:$H,3,FALSE),VLOOKUP("other",bug_conf_sheet!$A:$H,3,FALSE))</f>
        <v>1</v>
      </c>
      <c r="O232" s="31">
        <f>IFERROR(VLOOKUP($D232,bug_conf_sheet!$A:$H,4,FALSE),VLOOKUP("other",bug_conf_sheet!$A:$H,4,FALSE))</f>
        <v>0</v>
      </c>
      <c r="P232" s="31">
        <f>IFERROR(VLOOKUP($D232,bug_conf_sheet!$A:$H,5,FALSE),VLOOKUP("other",bug_conf_sheet!$A:$H,5,FALSE))</f>
        <v>0</v>
      </c>
      <c r="Q232" s="31">
        <f>IFERROR(VLOOKUP($D232,bug_conf_sheet!$A:$H,6,FALSE),VLOOKUP("other",bug_conf_sheet!$A:$H,6,FALSE))</f>
        <v>0</v>
      </c>
      <c r="R232" s="31">
        <f>IFERROR(VLOOKUP($D232,bug_conf_sheet!$A:$H,7,FALSE),VLOOKUP("other",bug_conf_sheet!$A:$H,7,FALSE))</f>
        <v>0</v>
      </c>
      <c r="S232" s="31">
        <f>IFERROR(VLOOKUP($D232,bug_conf_sheet!$A:$H,8,FALSE),VLOOKUP("other",bug_conf_sheet!$A:$H,8,FALSE))</f>
        <v>1</v>
      </c>
    </row>
    <row r="233" spans="1:19" ht="21" customHeight="1">
      <c r="A233" s="2">
        <f>input_4!A$2</f>
        <v>3124</v>
      </c>
      <c r="B233" s="7" t="str">
        <f t="shared" si="10"/>
        <v>Premium3</v>
      </c>
      <c r="C233" s="7" t="str">
        <f t="shared" si="11"/>
        <v>Premium</v>
      </c>
      <c r="D233" s="6">
        <v>604</v>
      </c>
      <c r="E233" s="7" t="str">
        <f>VLOOKUP(D233,[1]characters!$A:$C,3,FALSE)</f>
        <v>バルドル</v>
      </c>
      <c r="F233" s="7" t="str">
        <f>VLOOKUP(D233,[1]characters!$A:$J,10,FALSE)</f>
        <v>PremiumS</v>
      </c>
      <c r="G233" s="7">
        <f>VLOOKUP(D233,[1]characters!$A:$I,9,FALSE)</f>
        <v>3</v>
      </c>
      <c r="H233" s="7" t="str">
        <f>VLOOKUP(D233,[1]characters!$A:$H,8,FALSE)</f>
        <v>yellow</v>
      </c>
      <c r="I233" s="7" t="str">
        <f>VLOOKUP(D233,[1]characters!$A:$K,11,FALSE)</f>
        <v>heal</v>
      </c>
      <c r="J233" s="7" t="str">
        <f>VLOOKUP(D233,[1]characters!$A:$M,13,FALSE)</f>
        <v>god</v>
      </c>
      <c r="K233" s="7" t="str">
        <f>VLOOKUP(D233,[1]characters!$A:$G,7,FALSE)</f>
        <v>男性</v>
      </c>
      <c r="L233" s="66">
        <f>IFERROR(VLOOKUP(D233,input_4!L:R,7,FALSE),VLOOKUP(tables_4!B233,input_4!A:H,8,FALSE))</f>
        <v>70200</v>
      </c>
      <c r="M233" s="67">
        <f t="shared" si="9"/>
        <v>6.7567567567567571E-3</v>
      </c>
      <c r="N233" s="31">
        <f>IFERROR(VLOOKUP($D233,bug_conf_sheet!$A:$H,3,FALSE),VLOOKUP("other",bug_conf_sheet!$A:$H,3,FALSE))</f>
        <v>1</v>
      </c>
      <c r="O233" s="31">
        <f>IFERROR(VLOOKUP($D233,bug_conf_sheet!$A:$H,4,FALSE),VLOOKUP("other",bug_conf_sheet!$A:$H,4,FALSE))</f>
        <v>0</v>
      </c>
      <c r="P233" s="31">
        <f>IFERROR(VLOOKUP($D233,bug_conf_sheet!$A:$H,5,FALSE),VLOOKUP("other",bug_conf_sheet!$A:$H,5,FALSE))</f>
        <v>0</v>
      </c>
      <c r="Q233" s="31">
        <f>IFERROR(VLOOKUP($D233,bug_conf_sheet!$A:$H,6,FALSE),VLOOKUP("other",bug_conf_sheet!$A:$H,6,FALSE))</f>
        <v>0</v>
      </c>
      <c r="R233" s="31">
        <f>IFERROR(VLOOKUP($D233,bug_conf_sheet!$A:$H,7,FALSE),VLOOKUP("other",bug_conf_sheet!$A:$H,7,FALSE))</f>
        <v>0</v>
      </c>
      <c r="S233" s="31">
        <f>IFERROR(VLOOKUP($D233,bug_conf_sheet!$A:$H,8,FALSE),VLOOKUP("other",bug_conf_sheet!$A:$H,8,FALSE))</f>
        <v>1</v>
      </c>
    </row>
    <row r="234" spans="1:19" ht="21" customHeight="1">
      <c r="A234" s="2">
        <f>input_4!A$2</f>
        <v>3124</v>
      </c>
      <c r="B234" s="7" t="str">
        <f t="shared" si="10"/>
        <v>Premium4</v>
      </c>
      <c r="C234" s="7" t="str">
        <f t="shared" si="11"/>
        <v>Premium</v>
      </c>
      <c r="D234" s="6">
        <v>605</v>
      </c>
      <c r="E234" s="7" t="str">
        <f>VLOOKUP(D234,[1]characters!$A:$C,3,FALSE)</f>
        <v>祝福される光耀 バルドル</v>
      </c>
      <c r="F234" s="7" t="str">
        <f>VLOOKUP(D234,[1]characters!$A:$J,10,FALSE)</f>
        <v>PremiumS</v>
      </c>
      <c r="G234" s="7">
        <f>VLOOKUP(D234,[1]characters!$A:$I,9,FALSE)</f>
        <v>4</v>
      </c>
      <c r="H234" s="7" t="str">
        <f>VLOOKUP(D234,[1]characters!$A:$H,8,FALSE)</f>
        <v>yellow</v>
      </c>
      <c r="I234" s="7" t="str">
        <f>VLOOKUP(D234,[1]characters!$A:$K,11,FALSE)</f>
        <v>heal</v>
      </c>
      <c r="J234" s="7" t="str">
        <f>VLOOKUP(D234,[1]characters!$A:$M,13,FALSE)</f>
        <v>god</v>
      </c>
      <c r="K234" s="7" t="str">
        <f>VLOOKUP(D234,[1]characters!$A:$G,7,FALSE)</f>
        <v>男性</v>
      </c>
      <c r="L234" s="66">
        <f>IFERROR(VLOOKUP(D234,input_4!L:R,7,FALSE),VLOOKUP(tables_4!B234,input_4!A:H,8,FALSE))</f>
        <v>60021</v>
      </c>
      <c r="M234" s="67">
        <f t="shared" si="9"/>
        <v>5.777027027027027E-3</v>
      </c>
      <c r="N234" s="31">
        <f>IFERROR(VLOOKUP($D234,bug_conf_sheet!$A:$H,3,FALSE),VLOOKUP("other",bug_conf_sheet!$A:$H,3,FALSE))</f>
        <v>1</v>
      </c>
      <c r="O234" s="31">
        <f>IFERROR(VLOOKUP($D234,bug_conf_sheet!$A:$H,4,FALSE),VLOOKUP("other",bug_conf_sheet!$A:$H,4,FALSE))</f>
        <v>0</v>
      </c>
      <c r="P234" s="31">
        <f>IFERROR(VLOOKUP($D234,bug_conf_sheet!$A:$H,5,FALSE),VLOOKUP("other",bug_conf_sheet!$A:$H,5,FALSE))</f>
        <v>0</v>
      </c>
      <c r="Q234" s="31">
        <f>IFERROR(VLOOKUP($D234,bug_conf_sheet!$A:$H,6,FALSE),VLOOKUP("other",bug_conf_sheet!$A:$H,6,FALSE))</f>
        <v>0</v>
      </c>
      <c r="R234" s="31">
        <f>IFERROR(VLOOKUP($D234,bug_conf_sheet!$A:$H,7,FALSE),VLOOKUP("other",bug_conf_sheet!$A:$H,7,FALSE))</f>
        <v>0</v>
      </c>
      <c r="S234" s="31">
        <f>IFERROR(VLOOKUP($D234,bug_conf_sheet!$A:$H,8,FALSE),VLOOKUP("other",bug_conf_sheet!$A:$H,8,FALSE))</f>
        <v>1</v>
      </c>
    </row>
    <row r="235" spans="1:19" ht="21" customHeight="1">
      <c r="A235" s="2">
        <f>input_4!A$2</f>
        <v>3124</v>
      </c>
      <c r="B235" s="7" t="str">
        <f t="shared" si="10"/>
        <v>Premium5</v>
      </c>
      <c r="C235" s="7" t="str">
        <f t="shared" si="11"/>
        <v>Premium</v>
      </c>
      <c r="D235" s="6">
        <v>606</v>
      </c>
      <c r="E235" s="7" t="str">
        <f>VLOOKUP(D235,[1]characters!$A:$C,3,FALSE)</f>
        <v>冀望の光芒 バルドル</v>
      </c>
      <c r="F235" s="7" t="str">
        <f>VLOOKUP(D235,[1]characters!$A:$J,10,FALSE)</f>
        <v>PremiumS</v>
      </c>
      <c r="G235" s="7">
        <f>VLOOKUP(D235,[1]characters!$A:$I,9,FALSE)</f>
        <v>5</v>
      </c>
      <c r="H235" s="7" t="str">
        <f>VLOOKUP(D235,[1]characters!$A:$H,8,FALSE)</f>
        <v>yellow</v>
      </c>
      <c r="I235" s="7" t="str">
        <f>VLOOKUP(D235,[1]characters!$A:$K,11,FALSE)</f>
        <v>heal</v>
      </c>
      <c r="J235" s="7" t="str">
        <f>VLOOKUP(D235,[1]characters!$A:$M,13,FALSE)</f>
        <v>god</v>
      </c>
      <c r="K235" s="7" t="str">
        <f>VLOOKUP(D235,[1]characters!$A:$G,7,FALSE)</f>
        <v>男性</v>
      </c>
      <c r="L235" s="66">
        <f>IFERROR(VLOOKUP(D235,input_4!L:R,7,FALSE),VLOOKUP(tables_4!B235,input_4!A:H,8,FALSE))</f>
        <v>9139</v>
      </c>
      <c r="M235" s="67">
        <f t="shared" si="9"/>
        <v>8.7962962962962962E-4</v>
      </c>
      <c r="N235" s="31">
        <f>IFERROR(VLOOKUP($D235,bug_conf_sheet!$A:$H,3,FALSE),VLOOKUP("other",bug_conf_sheet!$A:$H,3,FALSE))</f>
        <v>1</v>
      </c>
      <c r="O235" s="31">
        <f>IFERROR(VLOOKUP($D235,bug_conf_sheet!$A:$H,4,FALSE),VLOOKUP("other",bug_conf_sheet!$A:$H,4,FALSE))</f>
        <v>0</v>
      </c>
      <c r="P235" s="31">
        <f>IFERROR(VLOOKUP($D235,bug_conf_sheet!$A:$H,5,FALSE),VLOOKUP("other",bug_conf_sheet!$A:$H,5,FALSE))</f>
        <v>0</v>
      </c>
      <c r="Q235" s="31">
        <f>IFERROR(VLOOKUP($D235,bug_conf_sheet!$A:$H,6,FALSE),VLOOKUP("other",bug_conf_sheet!$A:$H,6,FALSE))</f>
        <v>0</v>
      </c>
      <c r="R235" s="31">
        <f>IFERROR(VLOOKUP($D235,bug_conf_sheet!$A:$H,7,FALSE),VLOOKUP("other",bug_conf_sheet!$A:$H,7,FALSE))</f>
        <v>0</v>
      </c>
      <c r="S235" s="31">
        <f>IFERROR(VLOOKUP($D235,bug_conf_sheet!$A:$H,8,FALSE),VLOOKUP("other",bug_conf_sheet!$A:$H,8,FALSE))</f>
        <v>1</v>
      </c>
    </row>
    <row r="236" spans="1:19" ht="21" customHeight="1">
      <c r="A236" s="2">
        <f>input_4!A$2</f>
        <v>3124</v>
      </c>
      <c r="B236" s="7" t="str">
        <f t="shared" si="10"/>
        <v>PremiumSS4</v>
      </c>
      <c r="C236" s="7" t="str">
        <f t="shared" si="11"/>
        <v>PremiumSS</v>
      </c>
      <c r="D236" s="6">
        <v>658</v>
      </c>
      <c r="E236" s="7" t="str">
        <f>VLOOKUP(D236,[1]characters!$A:$C,3,FALSE)</f>
        <v>猫又 クルミ</v>
      </c>
      <c r="F236" s="7" t="str">
        <f>VLOOKUP(D236,[1]characters!$A:$J,10,FALSE)</f>
        <v>PremiumSS</v>
      </c>
      <c r="G236" s="7">
        <f>VLOOKUP(D236,[1]characters!$A:$I,9,FALSE)</f>
        <v>4</v>
      </c>
      <c r="H236" s="7" t="str">
        <f>VLOOKUP(D236,[1]characters!$A:$H,8,FALSE)</f>
        <v>red</v>
      </c>
      <c r="I236" s="7" t="str">
        <f>VLOOKUP(D236,[1]characters!$A:$K,11,FALSE)</f>
        <v>attack</v>
      </c>
      <c r="J236" s="7" t="str">
        <f>VLOOKUP(D236,[1]characters!$A:$M,13,FALSE)</f>
        <v>animal</v>
      </c>
      <c r="K236" s="7" t="str">
        <f>VLOOKUP(D236,[1]characters!$A:$G,7,FALSE)</f>
        <v>女性</v>
      </c>
      <c r="L236" s="66">
        <f>IFERROR(VLOOKUP(D236,input_4!L:R,7,FALSE),VLOOKUP(tables_4!B236,input_4!A:H,8,FALSE))</f>
        <v>8991</v>
      </c>
      <c r="M236" s="67">
        <f t="shared" si="9"/>
        <v>8.6538461538461541E-4</v>
      </c>
      <c r="N236" s="31">
        <f>IFERROR(VLOOKUP($D236,bug_conf_sheet!$A:$H,3,FALSE),VLOOKUP("other",bug_conf_sheet!$A:$H,3,FALSE))</f>
        <v>1</v>
      </c>
      <c r="O236" s="31">
        <f>IFERROR(VLOOKUP($D236,bug_conf_sheet!$A:$H,4,FALSE),VLOOKUP("other",bug_conf_sheet!$A:$H,4,FALSE))</f>
        <v>0</v>
      </c>
      <c r="P236" s="31">
        <f>IFERROR(VLOOKUP($D236,bug_conf_sheet!$A:$H,5,FALSE),VLOOKUP("other",bug_conf_sheet!$A:$H,5,FALSE))</f>
        <v>0</v>
      </c>
      <c r="Q236" s="31">
        <f>IFERROR(VLOOKUP($D236,bug_conf_sheet!$A:$H,6,FALSE),VLOOKUP("other",bug_conf_sheet!$A:$H,6,FALSE))</f>
        <v>0</v>
      </c>
      <c r="R236" s="31">
        <f>IFERROR(VLOOKUP($D236,bug_conf_sheet!$A:$H,7,FALSE),VLOOKUP("other",bug_conf_sheet!$A:$H,7,FALSE))</f>
        <v>0</v>
      </c>
      <c r="S236" s="31">
        <f>IFERROR(VLOOKUP($D236,bug_conf_sheet!$A:$H,8,FALSE),VLOOKUP("other",bug_conf_sheet!$A:$H,8,FALSE))</f>
        <v>1</v>
      </c>
    </row>
    <row r="237" spans="1:19" ht="21" customHeight="1">
      <c r="A237" s="2">
        <f>input_4!A$2</f>
        <v>3124</v>
      </c>
      <c r="B237" s="7" t="str">
        <f t="shared" si="10"/>
        <v>PremiumSS5</v>
      </c>
      <c r="C237" s="7" t="str">
        <f t="shared" si="11"/>
        <v>PremiumSS</v>
      </c>
      <c r="D237" s="6">
        <v>659</v>
      </c>
      <c r="E237" s="7" t="str">
        <f>VLOOKUP(D237,[1]characters!$A:$C,3,FALSE)</f>
        <v>跳梁する化猫 クルミ</v>
      </c>
      <c r="F237" s="7" t="str">
        <f>VLOOKUP(D237,[1]characters!$A:$J,10,FALSE)</f>
        <v>PremiumSS</v>
      </c>
      <c r="G237" s="7">
        <f>VLOOKUP(D237,[1]characters!$A:$I,9,FALSE)</f>
        <v>5</v>
      </c>
      <c r="H237" s="7" t="str">
        <f>VLOOKUP(D237,[1]characters!$A:$H,8,FALSE)</f>
        <v>red</v>
      </c>
      <c r="I237" s="7" t="str">
        <f>VLOOKUP(D237,[1]characters!$A:$K,11,FALSE)</f>
        <v>attack</v>
      </c>
      <c r="J237" s="7" t="str">
        <f>VLOOKUP(D237,[1]characters!$A:$M,13,FALSE)</f>
        <v>animal</v>
      </c>
      <c r="K237" s="7" t="str">
        <f>VLOOKUP(D237,[1]characters!$A:$G,7,FALSE)</f>
        <v>女性</v>
      </c>
      <c r="L237" s="66">
        <f>IFERROR(VLOOKUP(D237,input_4!L:R,7,FALSE),VLOOKUP(tables_4!B237,input_4!A:H,8,FALSE))</f>
        <v>999</v>
      </c>
      <c r="M237" s="67">
        <f t="shared" si="9"/>
        <v>9.6153846153846154E-5</v>
      </c>
      <c r="N237" s="31">
        <f>IFERROR(VLOOKUP($D237,bug_conf_sheet!$A:$H,3,FALSE),VLOOKUP("other",bug_conf_sheet!$A:$H,3,FALSE))</f>
        <v>1</v>
      </c>
      <c r="O237" s="31">
        <f>IFERROR(VLOOKUP($D237,bug_conf_sheet!$A:$H,4,FALSE),VLOOKUP("other",bug_conf_sheet!$A:$H,4,FALSE))</f>
        <v>0</v>
      </c>
      <c r="P237" s="31">
        <f>IFERROR(VLOOKUP($D237,bug_conf_sheet!$A:$H,5,FALSE),VLOOKUP("other",bug_conf_sheet!$A:$H,5,FALSE))</f>
        <v>0</v>
      </c>
      <c r="Q237" s="31">
        <f>IFERROR(VLOOKUP($D237,bug_conf_sheet!$A:$H,6,FALSE),VLOOKUP("other",bug_conf_sheet!$A:$H,6,FALSE))</f>
        <v>0</v>
      </c>
      <c r="R237" s="31">
        <f>IFERROR(VLOOKUP($D237,bug_conf_sheet!$A:$H,7,FALSE),VLOOKUP("other",bug_conf_sheet!$A:$H,7,FALSE))</f>
        <v>0</v>
      </c>
      <c r="S237" s="31">
        <f>IFERROR(VLOOKUP($D237,bug_conf_sheet!$A:$H,8,FALSE),VLOOKUP("other",bug_conf_sheet!$A:$H,8,FALSE))</f>
        <v>1</v>
      </c>
    </row>
    <row r="238" spans="1:19" ht="21" customHeight="1">
      <c r="A238" s="2">
        <f>input_4!A$2</f>
        <v>3124</v>
      </c>
      <c r="B238" s="7" t="str">
        <f t="shared" si="10"/>
        <v>PremiumSS4</v>
      </c>
      <c r="C238" s="7" t="str">
        <f t="shared" si="11"/>
        <v>PremiumSS</v>
      </c>
      <c r="D238" s="6">
        <v>660</v>
      </c>
      <c r="E238" s="7" t="str">
        <f>VLOOKUP(D238,[1]characters!$A:$C,3,FALSE)</f>
        <v>烏天狗 フウガ</v>
      </c>
      <c r="F238" s="7" t="str">
        <f>VLOOKUP(D238,[1]characters!$A:$J,10,FALSE)</f>
        <v>PremiumSS</v>
      </c>
      <c r="G238" s="7">
        <f>VLOOKUP(D238,[1]characters!$A:$I,9,FALSE)</f>
        <v>4</v>
      </c>
      <c r="H238" s="7" t="str">
        <f>VLOOKUP(D238,[1]characters!$A:$H,8,FALSE)</f>
        <v>green</v>
      </c>
      <c r="I238" s="7" t="str">
        <f>VLOOKUP(D238,[1]characters!$A:$K,11,FALSE)</f>
        <v>balance</v>
      </c>
      <c r="J238" s="7" t="str">
        <f>VLOOKUP(D238,[1]characters!$A:$M,13,FALSE)</f>
        <v>animal</v>
      </c>
      <c r="K238" s="7" t="str">
        <f>VLOOKUP(D238,[1]characters!$A:$G,7,FALSE)</f>
        <v>男性</v>
      </c>
      <c r="L238" s="66">
        <f>IFERROR(VLOOKUP(D238,input_4!L:R,7,FALSE),VLOOKUP(tables_4!B238,input_4!A:H,8,FALSE))</f>
        <v>8991</v>
      </c>
      <c r="M238" s="67">
        <f t="shared" si="9"/>
        <v>8.6538461538461541E-4</v>
      </c>
      <c r="N238" s="31">
        <f>IFERROR(VLOOKUP($D238,bug_conf_sheet!$A:$H,3,FALSE),VLOOKUP("other",bug_conf_sheet!$A:$H,3,FALSE))</f>
        <v>1</v>
      </c>
      <c r="O238" s="31">
        <f>IFERROR(VLOOKUP($D238,bug_conf_sheet!$A:$H,4,FALSE),VLOOKUP("other",bug_conf_sheet!$A:$H,4,FALSE))</f>
        <v>0</v>
      </c>
      <c r="P238" s="31">
        <f>IFERROR(VLOOKUP($D238,bug_conf_sheet!$A:$H,5,FALSE),VLOOKUP("other",bug_conf_sheet!$A:$H,5,FALSE))</f>
        <v>0</v>
      </c>
      <c r="Q238" s="31">
        <f>IFERROR(VLOOKUP($D238,bug_conf_sheet!$A:$H,6,FALSE),VLOOKUP("other",bug_conf_sheet!$A:$H,6,FALSE))</f>
        <v>0</v>
      </c>
      <c r="R238" s="31">
        <f>IFERROR(VLOOKUP($D238,bug_conf_sheet!$A:$H,7,FALSE),VLOOKUP("other",bug_conf_sheet!$A:$H,7,FALSE))</f>
        <v>0</v>
      </c>
      <c r="S238" s="31">
        <f>IFERROR(VLOOKUP($D238,bug_conf_sheet!$A:$H,8,FALSE),VLOOKUP("other",bug_conf_sheet!$A:$H,8,FALSE))</f>
        <v>1</v>
      </c>
    </row>
    <row r="239" spans="1:19" ht="21" customHeight="1">
      <c r="A239" s="2">
        <f>input_4!A$2</f>
        <v>3124</v>
      </c>
      <c r="B239" s="7" t="str">
        <f t="shared" si="10"/>
        <v>PremiumSS5</v>
      </c>
      <c r="C239" s="7" t="str">
        <f t="shared" si="11"/>
        <v>PremiumSS</v>
      </c>
      <c r="D239" s="6">
        <v>661</v>
      </c>
      <c r="E239" s="7" t="str">
        <f>VLOOKUP(D239,[1]characters!$A:$C,3,FALSE)</f>
        <v>疾風の天狗礫 フウガ</v>
      </c>
      <c r="F239" s="7" t="str">
        <f>VLOOKUP(D239,[1]characters!$A:$J,10,FALSE)</f>
        <v>PremiumSS</v>
      </c>
      <c r="G239" s="7">
        <f>VLOOKUP(D239,[1]characters!$A:$I,9,FALSE)</f>
        <v>5</v>
      </c>
      <c r="H239" s="7" t="str">
        <f>VLOOKUP(D239,[1]characters!$A:$H,8,FALSE)</f>
        <v>green</v>
      </c>
      <c r="I239" s="7" t="str">
        <f>VLOOKUP(D239,[1]characters!$A:$K,11,FALSE)</f>
        <v>balance</v>
      </c>
      <c r="J239" s="7" t="str">
        <f>VLOOKUP(D239,[1]characters!$A:$M,13,FALSE)</f>
        <v>animal</v>
      </c>
      <c r="K239" s="7" t="str">
        <f>VLOOKUP(D239,[1]characters!$A:$G,7,FALSE)</f>
        <v>男性</v>
      </c>
      <c r="L239" s="66">
        <f>IFERROR(VLOOKUP(D239,input_4!L:R,7,FALSE),VLOOKUP(tables_4!B239,input_4!A:H,8,FALSE))</f>
        <v>999</v>
      </c>
      <c r="M239" s="67">
        <f t="shared" si="9"/>
        <v>9.6153846153846154E-5</v>
      </c>
      <c r="N239" s="31">
        <f>IFERROR(VLOOKUP($D239,bug_conf_sheet!$A:$H,3,FALSE),VLOOKUP("other",bug_conf_sheet!$A:$H,3,FALSE))</f>
        <v>1</v>
      </c>
      <c r="O239" s="31">
        <f>IFERROR(VLOOKUP($D239,bug_conf_sheet!$A:$H,4,FALSE),VLOOKUP("other",bug_conf_sheet!$A:$H,4,FALSE))</f>
        <v>0</v>
      </c>
      <c r="P239" s="31">
        <f>IFERROR(VLOOKUP($D239,bug_conf_sheet!$A:$H,5,FALSE),VLOOKUP("other",bug_conf_sheet!$A:$H,5,FALSE))</f>
        <v>0</v>
      </c>
      <c r="Q239" s="31">
        <f>IFERROR(VLOOKUP($D239,bug_conf_sheet!$A:$H,6,FALSE),VLOOKUP("other",bug_conf_sheet!$A:$H,6,FALSE))</f>
        <v>0</v>
      </c>
      <c r="R239" s="31">
        <f>IFERROR(VLOOKUP($D239,bug_conf_sheet!$A:$H,7,FALSE),VLOOKUP("other",bug_conf_sheet!$A:$H,7,FALSE))</f>
        <v>0</v>
      </c>
      <c r="S239" s="31">
        <f>IFERROR(VLOOKUP($D239,bug_conf_sheet!$A:$H,8,FALSE),VLOOKUP("other",bug_conf_sheet!$A:$H,8,FALSE))</f>
        <v>1</v>
      </c>
    </row>
    <row r="240" spans="1:19" ht="21" customHeight="1">
      <c r="A240" s="2">
        <f>input_4!A$2</f>
        <v>3124</v>
      </c>
      <c r="B240" s="7" t="str">
        <f t="shared" si="10"/>
        <v>Premium3</v>
      </c>
      <c r="C240" s="7" t="str">
        <f t="shared" si="11"/>
        <v>Premium</v>
      </c>
      <c r="D240" s="6">
        <v>662</v>
      </c>
      <c r="E240" s="7" t="str">
        <f>VLOOKUP(D240,[1]characters!$A:$C,3,FALSE)</f>
        <v>ダイダラ</v>
      </c>
      <c r="F240" s="7" t="str">
        <f>VLOOKUP(D240,[1]characters!$A:$J,10,FALSE)</f>
        <v>PremiumS</v>
      </c>
      <c r="G240" s="7">
        <f>VLOOKUP(D240,[1]characters!$A:$I,9,FALSE)</f>
        <v>3</v>
      </c>
      <c r="H240" s="7" t="str">
        <f>VLOOKUP(D240,[1]characters!$A:$H,8,FALSE)</f>
        <v>blue</v>
      </c>
      <c r="I240" s="7" t="str">
        <f>VLOOKUP(D240,[1]characters!$A:$K,11,FALSE)</f>
        <v>hp</v>
      </c>
      <c r="J240" s="7" t="str">
        <f>VLOOKUP(D240,[1]characters!$A:$M,13,FALSE)</f>
        <v>unknown</v>
      </c>
      <c r="K240" s="7" t="str">
        <f>VLOOKUP(D240,[1]characters!$A:$G,7,FALSE)</f>
        <v>不明</v>
      </c>
      <c r="L240" s="66">
        <f>IFERROR(VLOOKUP(D240,input_4!L:R,7,FALSE),VLOOKUP(tables_4!B240,input_4!A:H,8,FALSE))</f>
        <v>70200</v>
      </c>
      <c r="M240" s="67">
        <f t="shared" si="9"/>
        <v>6.7567567567567571E-3</v>
      </c>
      <c r="N240" s="31">
        <f>IFERROR(VLOOKUP($D240,bug_conf_sheet!$A:$H,3,FALSE),VLOOKUP("other",bug_conf_sheet!$A:$H,3,FALSE))</f>
        <v>1</v>
      </c>
      <c r="O240" s="31">
        <f>IFERROR(VLOOKUP($D240,bug_conf_sheet!$A:$H,4,FALSE),VLOOKUP("other",bug_conf_sheet!$A:$H,4,FALSE))</f>
        <v>0</v>
      </c>
      <c r="P240" s="31">
        <f>IFERROR(VLOOKUP($D240,bug_conf_sheet!$A:$H,5,FALSE),VLOOKUP("other",bug_conf_sheet!$A:$H,5,FALSE))</f>
        <v>0</v>
      </c>
      <c r="Q240" s="31">
        <f>IFERROR(VLOOKUP($D240,bug_conf_sheet!$A:$H,6,FALSE),VLOOKUP("other",bug_conf_sheet!$A:$H,6,FALSE))</f>
        <v>0</v>
      </c>
      <c r="R240" s="31">
        <f>IFERROR(VLOOKUP($D240,bug_conf_sheet!$A:$H,7,FALSE),VLOOKUP("other",bug_conf_sheet!$A:$H,7,FALSE))</f>
        <v>0</v>
      </c>
      <c r="S240" s="31">
        <f>IFERROR(VLOOKUP($D240,bug_conf_sheet!$A:$H,8,FALSE),VLOOKUP("other",bug_conf_sheet!$A:$H,8,FALSE))</f>
        <v>1</v>
      </c>
    </row>
    <row r="241" spans="1:19" ht="21" customHeight="1">
      <c r="A241" s="2">
        <f>input_4!A$2</f>
        <v>3124</v>
      </c>
      <c r="B241" s="7" t="str">
        <f t="shared" si="10"/>
        <v>Premium4</v>
      </c>
      <c r="C241" s="7" t="str">
        <f t="shared" si="11"/>
        <v>Premium</v>
      </c>
      <c r="D241" s="6">
        <v>663</v>
      </c>
      <c r="E241" s="7" t="str">
        <f>VLOOKUP(D241,[1]characters!$A:$C,3,FALSE)</f>
        <v>都揺らす地響き ダイダラ</v>
      </c>
      <c r="F241" s="7" t="str">
        <f>VLOOKUP(D241,[1]characters!$A:$J,10,FALSE)</f>
        <v>PremiumS</v>
      </c>
      <c r="G241" s="7">
        <f>VLOOKUP(D241,[1]characters!$A:$I,9,FALSE)</f>
        <v>4</v>
      </c>
      <c r="H241" s="7" t="str">
        <f>VLOOKUP(D241,[1]characters!$A:$H,8,FALSE)</f>
        <v>blue</v>
      </c>
      <c r="I241" s="7" t="str">
        <f>VLOOKUP(D241,[1]characters!$A:$K,11,FALSE)</f>
        <v>hp</v>
      </c>
      <c r="J241" s="7" t="str">
        <f>VLOOKUP(D241,[1]characters!$A:$M,13,FALSE)</f>
        <v>unknown</v>
      </c>
      <c r="K241" s="7" t="str">
        <f>VLOOKUP(D241,[1]characters!$A:$G,7,FALSE)</f>
        <v>不明</v>
      </c>
      <c r="L241" s="66">
        <f>IFERROR(VLOOKUP(D241,input_4!L:R,7,FALSE),VLOOKUP(tables_4!B241,input_4!A:H,8,FALSE))</f>
        <v>60021</v>
      </c>
      <c r="M241" s="67">
        <f t="shared" si="9"/>
        <v>5.777027027027027E-3</v>
      </c>
      <c r="N241" s="31">
        <f>IFERROR(VLOOKUP($D241,bug_conf_sheet!$A:$H,3,FALSE),VLOOKUP("other",bug_conf_sheet!$A:$H,3,FALSE))</f>
        <v>1</v>
      </c>
      <c r="O241" s="31">
        <f>IFERROR(VLOOKUP($D241,bug_conf_sheet!$A:$H,4,FALSE),VLOOKUP("other",bug_conf_sheet!$A:$H,4,FALSE))</f>
        <v>0</v>
      </c>
      <c r="P241" s="31">
        <f>IFERROR(VLOOKUP($D241,bug_conf_sheet!$A:$H,5,FALSE),VLOOKUP("other",bug_conf_sheet!$A:$H,5,FALSE))</f>
        <v>0</v>
      </c>
      <c r="Q241" s="31">
        <f>IFERROR(VLOOKUP($D241,bug_conf_sheet!$A:$H,6,FALSE),VLOOKUP("other",bug_conf_sheet!$A:$H,6,FALSE))</f>
        <v>0</v>
      </c>
      <c r="R241" s="31">
        <f>IFERROR(VLOOKUP($D241,bug_conf_sheet!$A:$H,7,FALSE),VLOOKUP("other",bug_conf_sheet!$A:$H,7,FALSE))</f>
        <v>0</v>
      </c>
      <c r="S241" s="31">
        <f>IFERROR(VLOOKUP($D241,bug_conf_sheet!$A:$H,8,FALSE),VLOOKUP("other",bug_conf_sheet!$A:$H,8,FALSE))</f>
        <v>1</v>
      </c>
    </row>
    <row r="242" spans="1:19" ht="21" customHeight="1">
      <c r="A242" s="2">
        <f>input_4!A$2</f>
        <v>3124</v>
      </c>
      <c r="B242" s="7" t="str">
        <f t="shared" si="10"/>
        <v>Premium5</v>
      </c>
      <c r="C242" s="7" t="str">
        <f t="shared" si="11"/>
        <v>Premium</v>
      </c>
      <c r="D242" s="6">
        <v>664</v>
      </c>
      <c r="E242" s="7" t="str">
        <f>VLOOKUP(D242,[1]characters!$A:$C,3,FALSE)</f>
        <v>山掴み国造り ダイダラ</v>
      </c>
      <c r="F242" s="7" t="str">
        <f>VLOOKUP(D242,[1]characters!$A:$J,10,FALSE)</f>
        <v>PremiumS</v>
      </c>
      <c r="G242" s="7">
        <f>VLOOKUP(D242,[1]characters!$A:$I,9,FALSE)</f>
        <v>5</v>
      </c>
      <c r="H242" s="7" t="str">
        <f>VLOOKUP(D242,[1]characters!$A:$H,8,FALSE)</f>
        <v>blue</v>
      </c>
      <c r="I242" s="7" t="str">
        <f>VLOOKUP(D242,[1]characters!$A:$K,11,FALSE)</f>
        <v>hp</v>
      </c>
      <c r="J242" s="7" t="str">
        <f>VLOOKUP(D242,[1]characters!$A:$M,13,FALSE)</f>
        <v>unknown</v>
      </c>
      <c r="K242" s="7" t="str">
        <f>VLOOKUP(D242,[1]characters!$A:$G,7,FALSE)</f>
        <v>不明</v>
      </c>
      <c r="L242" s="66">
        <f>IFERROR(VLOOKUP(D242,input_4!L:R,7,FALSE),VLOOKUP(tables_4!B242,input_4!A:H,8,FALSE))</f>
        <v>9139</v>
      </c>
      <c r="M242" s="67">
        <f t="shared" si="9"/>
        <v>8.7962962962962962E-4</v>
      </c>
      <c r="N242" s="31">
        <f>IFERROR(VLOOKUP($D242,bug_conf_sheet!$A:$H,3,FALSE),VLOOKUP("other",bug_conf_sheet!$A:$H,3,FALSE))</f>
        <v>1</v>
      </c>
      <c r="O242" s="31">
        <f>IFERROR(VLOOKUP($D242,bug_conf_sheet!$A:$H,4,FALSE),VLOOKUP("other",bug_conf_sheet!$A:$H,4,FALSE))</f>
        <v>0</v>
      </c>
      <c r="P242" s="31">
        <f>IFERROR(VLOOKUP($D242,bug_conf_sheet!$A:$H,5,FALSE),VLOOKUP("other",bug_conf_sheet!$A:$H,5,FALSE))</f>
        <v>0</v>
      </c>
      <c r="Q242" s="31">
        <f>IFERROR(VLOOKUP($D242,bug_conf_sheet!$A:$H,6,FALSE),VLOOKUP("other",bug_conf_sheet!$A:$H,6,FALSE))</f>
        <v>0</v>
      </c>
      <c r="R242" s="31">
        <f>IFERROR(VLOOKUP($D242,bug_conf_sheet!$A:$H,7,FALSE),VLOOKUP("other",bug_conf_sheet!$A:$H,7,FALSE))</f>
        <v>0</v>
      </c>
      <c r="S242" s="31">
        <f>IFERROR(VLOOKUP($D242,bug_conf_sheet!$A:$H,8,FALSE),VLOOKUP("other",bug_conf_sheet!$A:$H,8,FALSE))</f>
        <v>1</v>
      </c>
    </row>
    <row r="243" spans="1:19" ht="21" customHeight="1">
      <c r="A243" s="2">
        <f>input_4!A$2</f>
        <v>3124</v>
      </c>
      <c r="B243" s="7" t="str">
        <f t="shared" si="10"/>
        <v>Premium3</v>
      </c>
      <c r="C243" s="7" t="str">
        <f t="shared" si="11"/>
        <v>Premium</v>
      </c>
      <c r="D243" s="6">
        <v>665</v>
      </c>
      <c r="E243" s="7" t="str">
        <f>VLOOKUP(D243,[1]characters!$A:$C,3,FALSE)</f>
        <v>座敷童子 テマリ</v>
      </c>
      <c r="F243" s="7" t="str">
        <f>VLOOKUP(D243,[1]characters!$A:$J,10,FALSE)</f>
        <v>PremiumS</v>
      </c>
      <c r="G243" s="7">
        <f>VLOOKUP(D243,[1]characters!$A:$I,9,FALSE)</f>
        <v>3</v>
      </c>
      <c r="H243" s="7" t="str">
        <f>VLOOKUP(D243,[1]characters!$A:$H,8,FALSE)</f>
        <v>yellow</v>
      </c>
      <c r="I243" s="7" t="str">
        <f>VLOOKUP(D243,[1]characters!$A:$K,11,FALSE)</f>
        <v>balance</v>
      </c>
      <c r="J243" s="7" t="str">
        <f>VLOOKUP(D243,[1]characters!$A:$M,13,FALSE)</f>
        <v>unknown</v>
      </c>
      <c r="K243" s="7" t="str">
        <f>VLOOKUP(D243,[1]characters!$A:$G,7,FALSE)</f>
        <v>女性</v>
      </c>
      <c r="L243" s="66">
        <f>IFERROR(VLOOKUP(D243,input_4!L:R,7,FALSE),VLOOKUP(tables_4!B243,input_4!A:H,8,FALSE))</f>
        <v>70200</v>
      </c>
      <c r="M243" s="67">
        <f t="shared" si="9"/>
        <v>6.7567567567567571E-3</v>
      </c>
      <c r="N243" s="31">
        <f>IFERROR(VLOOKUP($D243,bug_conf_sheet!$A:$H,3,FALSE),VLOOKUP("other",bug_conf_sheet!$A:$H,3,FALSE))</f>
        <v>1</v>
      </c>
      <c r="O243" s="31">
        <f>IFERROR(VLOOKUP($D243,bug_conf_sheet!$A:$H,4,FALSE),VLOOKUP("other",bug_conf_sheet!$A:$H,4,FALSE))</f>
        <v>0</v>
      </c>
      <c r="P243" s="31">
        <f>IFERROR(VLOOKUP($D243,bug_conf_sheet!$A:$H,5,FALSE),VLOOKUP("other",bug_conf_sheet!$A:$H,5,FALSE))</f>
        <v>0</v>
      </c>
      <c r="Q243" s="31">
        <f>IFERROR(VLOOKUP($D243,bug_conf_sheet!$A:$H,6,FALSE),VLOOKUP("other",bug_conf_sheet!$A:$H,6,FALSE))</f>
        <v>0</v>
      </c>
      <c r="R243" s="31">
        <f>IFERROR(VLOOKUP($D243,bug_conf_sheet!$A:$H,7,FALSE),VLOOKUP("other",bug_conf_sheet!$A:$H,7,FALSE))</f>
        <v>0</v>
      </c>
      <c r="S243" s="31">
        <f>IFERROR(VLOOKUP($D243,bug_conf_sheet!$A:$H,8,FALSE),VLOOKUP("other",bug_conf_sheet!$A:$H,8,FALSE))</f>
        <v>1</v>
      </c>
    </row>
    <row r="244" spans="1:19" ht="21" customHeight="1">
      <c r="A244" s="2">
        <f>input_4!A$2</f>
        <v>3124</v>
      </c>
      <c r="B244" s="7" t="str">
        <f t="shared" si="10"/>
        <v>Premium4</v>
      </c>
      <c r="C244" s="7" t="str">
        <f t="shared" si="11"/>
        <v>Premium</v>
      </c>
      <c r="D244" s="6">
        <v>666</v>
      </c>
      <c r="E244" s="7" t="str">
        <f>VLOOKUP(D244,[1]characters!$A:$C,3,FALSE)</f>
        <v>拡散する幸福 テマリ</v>
      </c>
      <c r="F244" s="7" t="str">
        <f>VLOOKUP(D244,[1]characters!$A:$J,10,FALSE)</f>
        <v>PremiumS</v>
      </c>
      <c r="G244" s="7">
        <f>VLOOKUP(D244,[1]characters!$A:$I,9,FALSE)</f>
        <v>4</v>
      </c>
      <c r="H244" s="7" t="str">
        <f>VLOOKUP(D244,[1]characters!$A:$H,8,FALSE)</f>
        <v>yellow</v>
      </c>
      <c r="I244" s="7" t="str">
        <f>VLOOKUP(D244,[1]characters!$A:$K,11,FALSE)</f>
        <v>balance</v>
      </c>
      <c r="J244" s="7" t="str">
        <f>VLOOKUP(D244,[1]characters!$A:$M,13,FALSE)</f>
        <v>unknown</v>
      </c>
      <c r="K244" s="7" t="str">
        <f>VLOOKUP(D244,[1]characters!$A:$G,7,FALSE)</f>
        <v>女性</v>
      </c>
      <c r="L244" s="66">
        <f>IFERROR(VLOOKUP(D244,input_4!L:R,7,FALSE),VLOOKUP(tables_4!B244,input_4!A:H,8,FALSE))</f>
        <v>60021</v>
      </c>
      <c r="M244" s="67">
        <f t="shared" si="9"/>
        <v>5.777027027027027E-3</v>
      </c>
      <c r="N244" s="31">
        <f>IFERROR(VLOOKUP($D244,bug_conf_sheet!$A:$H,3,FALSE),VLOOKUP("other",bug_conf_sheet!$A:$H,3,FALSE))</f>
        <v>1</v>
      </c>
      <c r="O244" s="31">
        <f>IFERROR(VLOOKUP($D244,bug_conf_sheet!$A:$H,4,FALSE),VLOOKUP("other",bug_conf_sheet!$A:$H,4,FALSE))</f>
        <v>0</v>
      </c>
      <c r="P244" s="31">
        <f>IFERROR(VLOOKUP($D244,bug_conf_sheet!$A:$H,5,FALSE),VLOOKUP("other",bug_conf_sheet!$A:$H,5,FALSE))</f>
        <v>0</v>
      </c>
      <c r="Q244" s="31">
        <f>IFERROR(VLOOKUP($D244,bug_conf_sheet!$A:$H,6,FALSE),VLOOKUP("other",bug_conf_sheet!$A:$H,6,FALSE))</f>
        <v>0</v>
      </c>
      <c r="R244" s="31">
        <f>IFERROR(VLOOKUP($D244,bug_conf_sheet!$A:$H,7,FALSE),VLOOKUP("other",bug_conf_sheet!$A:$H,7,FALSE))</f>
        <v>0</v>
      </c>
      <c r="S244" s="31">
        <f>IFERROR(VLOOKUP($D244,bug_conf_sheet!$A:$H,8,FALSE),VLOOKUP("other",bug_conf_sheet!$A:$H,8,FALSE))</f>
        <v>1</v>
      </c>
    </row>
    <row r="245" spans="1:19" ht="21" customHeight="1">
      <c r="A245" s="2">
        <f>input_4!A$2</f>
        <v>3124</v>
      </c>
      <c r="B245" s="7" t="str">
        <f t="shared" si="10"/>
        <v>Premium5</v>
      </c>
      <c r="C245" s="7" t="str">
        <f t="shared" si="11"/>
        <v>Premium</v>
      </c>
      <c r="D245" s="6">
        <v>667</v>
      </c>
      <c r="E245" s="7" t="str">
        <f>VLOOKUP(D245,[1]characters!$A:$C,3,FALSE)</f>
        <v>最幸運の妖童 テマリ</v>
      </c>
      <c r="F245" s="7" t="str">
        <f>VLOOKUP(D245,[1]characters!$A:$J,10,FALSE)</f>
        <v>PremiumS</v>
      </c>
      <c r="G245" s="7">
        <f>VLOOKUP(D245,[1]characters!$A:$I,9,FALSE)</f>
        <v>5</v>
      </c>
      <c r="H245" s="7" t="str">
        <f>VLOOKUP(D245,[1]characters!$A:$H,8,FALSE)</f>
        <v>yellow</v>
      </c>
      <c r="I245" s="7" t="str">
        <f>VLOOKUP(D245,[1]characters!$A:$K,11,FALSE)</f>
        <v>balance</v>
      </c>
      <c r="J245" s="7" t="str">
        <f>VLOOKUP(D245,[1]characters!$A:$M,13,FALSE)</f>
        <v>unknown</v>
      </c>
      <c r="K245" s="7" t="str">
        <f>VLOOKUP(D245,[1]characters!$A:$G,7,FALSE)</f>
        <v>女性</v>
      </c>
      <c r="L245" s="66">
        <f>IFERROR(VLOOKUP(D245,input_4!L:R,7,FALSE),VLOOKUP(tables_4!B245,input_4!A:H,8,FALSE))</f>
        <v>9139</v>
      </c>
      <c r="M245" s="67">
        <f t="shared" si="9"/>
        <v>8.7962962962962962E-4</v>
      </c>
      <c r="N245" s="31">
        <f>IFERROR(VLOOKUP($D245,bug_conf_sheet!$A:$H,3,FALSE),VLOOKUP("other",bug_conf_sheet!$A:$H,3,FALSE))</f>
        <v>1</v>
      </c>
      <c r="O245" s="31">
        <f>IFERROR(VLOOKUP($D245,bug_conf_sheet!$A:$H,4,FALSE),VLOOKUP("other",bug_conf_sheet!$A:$H,4,FALSE))</f>
        <v>0</v>
      </c>
      <c r="P245" s="31">
        <f>IFERROR(VLOOKUP($D245,bug_conf_sheet!$A:$H,5,FALSE),VLOOKUP("other",bug_conf_sheet!$A:$H,5,FALSE))</f>
        <v>0</v>
      </c>
      <c r="Q245" s="31">
        <f>IFERROR(VLOOKUP($D245,bug_conf_sheet!$A:$H,6,FALSE),VLOOKUP("other",bug_conf_sheet!$A:$H,6,FALSE))</f>
        <v>0</v>
      </c>
      <c r="R245" s="31">
        <f>IFERROR(VLOOKUP($D245,bug_conf_sheet!$A:$H,7,FALSE),VLOOKUP("other",bug_conf_sheet!$A:$H,7,FALSE))</f>
        <v>0</v>
      </c>
      <c r="S245" s="31">
        <f>IFERROR(VLOOKUP($D245,bug_conf_sheet!$A:$H,8,FALSE),VLOOKUP("other",bug_conf_sheet!$A:$H,8,FALSE))</f>
        <v>1</v>
      </c>
    </row>
    <row r="246" spans="1:19" ht="21" customHeight="1">
      <c r="A246" s="2">
        <f>input_4!A$2</f>
        <v>3124</v>
      </c>
      <c r="B246" s="7" t="str">
        <f t="shared" si="10"/>
        <v>Premium3</v>
      </c>
      <c r="C246" s="7" t="str">
        <f t="shared" si="11"/>
        <v>Premium</v>
      </c>
      <c r="D246" s="6">
        <v>668</v>
      </c>
      <c r="E246" s="7" t="str">
        <f>VLOOKUP(D246,[1]characters!$A:$C,3,FALSE)</f>
        <v>アグニ</v>
      </c>
      <c r="F246" s="7" t="str">
        <f>VLOOKUP(D246,[1]characters!$A:$J,10,FALSE)</f>
        <v>PremiumS</v>
      </c>
      <c r="G246" s="7">
        <f>VLOOKUP(D246,[1]characters!$A:$I,9,FALSE)</f>
        <v>3</v>
      </c>
      <c r="H246" s="7" t="str">
        <f>VLOOKUP(D246,[1]characters!$A:$H,8,FALSE)</f>
        <v>red</v>
      </c>
      <c r="I246" s="7" t="str">
        <f>VLOOKUP(D246,[1]characters!$A:$K,11,FALSE)</f>
        <v>hp</v>
      </c>
      <c r="J246" s="7" t="str">
        <f>VLOOKUP(D246,[1]characters!$A:$M,13,FALSE)</f>
        <v>god</v>
      </c>
      <c r="K246" s="7" t="str">
        <f>VLOOKUP(D246,[1]characters!$A:$G,7,FALSE)</f>
        <v>男性</v>
      </c>
      <c r="L246" s="66">
        <f>IFERROR(VLOOKUP(D246,input_4!L:R,7,FALSE),VLOOKUP(tables_4!B246,input_4!A:H,8,FALSE))</f>
        <v>70200</v>
      </c>
      <c r="M246" s="67">
        <f t="shared" si="9"/>
        <v>6.7567567567567571E-3</v>
      </c>
      <c r="N246" s="31">
        <f>IFERROR(VLOOKUP($D246,bug_conf_sheet!$A:$H,3,FALSE),VLOOKUP("other",bug_conf_sheet!$A:$H,3,FALSE))</f>
        <v>1</v>
      </c>
      <c r="O246" s="31">
        <f>IFERROR(VLOOKUP($D246,bug_conf_sheet!$A:$H,4,FALSE),VLOOKUP("other",bug_conf_sheet!$A:$H,4,FALSE))</f>
        <v>0</v>
      </c>
      <c r="P246" s="31">
        <f>IFERROR(VLOOKUP($D246,bug_conf_sheet!$A:$H,5,FALSE),VLOOKUP("other",bug_conf_sheet!$A:$H,5,FALSE))</f>
        <v>0</v>
      </c>
      <c r="Q246" s="31">
        <f>IFERROR(VLOOKUP($D246,bug_conf_sheet!$A:$H,6,FALSE),VLOOKUP("other",bug_conf_sheet!$A:$H,6,FALSE))</f>
        <v>0</v>
      </c>
      <c r="R246" s="31">
        <f>IFERROR(VLOOKUP($D246,bug_conf_sheet!$A:$H,7,FALSE),VLOOKUP("other",bug_conf_sheet!$A:$H,7,FALSE))</f>
        <v>0</v>
      </c>
      <c r="S246" s="31">
        <f>IFERROR(VLOOKUP($D246,bug_conf_sheet!$A:$H,8,FALSE),VLOOKUP("other",bug_conf_sheet!$A:$H,8,FALSE))</f>
        <v>1</v>
      </c>
    </row>
    <row r="247" spans="1:19" ht="21" customHeight="1">
      <c r="A247" s="2">
        <f>input_4!A$2</f>
        <v>3124</v>
      </c>
      <c r="B247" s="7" t="str">
        <f t="shared" si="10"/>
        <v>Premium4</v>
      </c>
      <c r="C247" s="7" t="str">
        <f t="shared" si="11"/>
        <v>Premium</v>
      </c>
      <c r="D247" s="6">
        <v>669</v>
      </c>
      <c r="E247" s="7" t="str">
        <f>VLOOKUP(D247,[1]characters!$A:$C,3,FALSE)</f>
        <v>天地の仲界 アグニ</v>
      </c>
      <c r="F247" s="7" t="str">
        <f>VLOOKUP(D247,[1]characters!$A:$J,10,FALSE)</f>
        <v>PremiumS</v>
      </c>
      <c r="G247" s="7">
        <f>VLOOKUP(D247,[1]characters!$A:$I,9,FALSE)</f>
        <v>4</v>
      </c>
      <c r="H247" s="7" t="str">
        <f>VLOOKUP(D247,[1]characters!$A:$H,8,FALSE)</f>
        <v>red</v>
      </c>
      <c r="I247" s="7" t="str">
        <f>VLOOKUP(D247,[1]characters!$A:$K,11,FALSE)</f>
        <v>hp</v>
      </c>
      <c r="J247" s="7" t="str">
        <f>VLOOKUP(D247,[1]characters!$A:$M,13,FALSE)</f>
        <v>god</v>
      </c>
      <c r="K247" s="7" t="str">
        <f>VLOOKUP(D247,[1]characters!$A:$G,7,FALSE)</f>
        <v>男性</v>
      </c>
      <c r="L247" s="66">
        <f>IFERROR(VLOOKUP(D247,input_4!L:R,7,FALSE),VLOOKUP(tables_4!B247,input_4!A:H,8,FALSE))</f>
        <v>60021</v>
      </c>
      <c r="M247" s="67">
        <f t="shared" si="9"/>
        <v>5.777027027027027E-3</v>
      </c>
      <c r="N247" s="31">
        <f>IFERROR(VLOOKUP($D247,bug_conf_sheet!$A:$H,3,FALSE),VLOOKUP("other",bug_conf_sheet!$A:$H,3,FALSE))</f>
        <v>1</v>
      </c>
      <c r="O247" s="31">
        <f>IFERROR(VLOOKUP($D247,bug_conf_sheet!$A:$H,4,FALSE),VLOOKUP("other",bug_conf_sheet!$A:$H,4,FALSE))</f>
        <v>0</v>
      </c>
      <c r="P247" s="31">
        <f>IFERROR(VLOOKUP($D247,bug_conf_sheet!$A:$H,5,FALSE),VLOOKUP("other",bug_conf_sheet!$A:$H,5,FALSE))</f>
        <v>0</v>
      </c>
      <c r="Q247" s="31">
        <f>IFERROR(VLOOKUP($D247,bug_conf_sheet!$A:$H,6,FALSE),VLOOKUP("other",bug_conf_sheet!$A:$H,6,FALSE))</f>
        <v>0</v>
      </c>
      <c r="R247" s="31">
        <f>IFERROR(VLOOKUP($D247,bug_conf_sheet!$A:$H,7,FALSE),VLOOKUP("other",bug_conf_sheet!$A:$H,7,FALSE))</f>
        <v>0</v>
      </c>
      <c r="S247" s="31">
        <f>IFERROR(VLOOKUP($D247,bug_conf_sheet!$A:$H,8,FALSE),VLOOKUP("other",bug_conf_sheet!$A:$H,8,FALSE))</f>
        <v>1</v>
      </c>
    </row>
    <row r="248" spans="1:19" ht="21" customHeight="1">
      <c r="A248" s="2">
        <f>input_4!A$2</f>
        <v>3124</v>
      </c>
      <c r="B248" s="7" t="str">
        <f t="shared" si="10"/>
        <v>Premium5</v>
      </c>
      <c r="C248" s="7" t="str">
        <f t="shared" si="11"/>
        <v>Premium</v>
      </c>
      <c r="D248" s="6">
        <v>670</v>
      </c>
      <c r="E248" s="7" t="str">
        <f>VLOOKUP(D248,[1]characters!$A:$C,3,FALSE)</f>
        <v>陽天の噴煙 アグニ</v>
      </c>
      <c r="F248" s="7" t="str">
        <f>VLOOKUP(D248,[1]characters!$A:$J,10,FALSE)</f>
        <v>PremiumS</v>
      </c>
      <c r="G248" s="7">
        <f>VLOOKUP(D248,[1]characters!$A:$I,9,FALSE)</f>
        <v>5</v>
      </c>
      <c r="H248" s="7" t="str">
        <f>VLOOKUP(D248,[1]characters!$A:$H,8,FALSE)</f>
        <v>red</v>
      </c>
      <c r="I248" s="7" t="str">
        <f>VLOOKUP(D248,[1]characters!$A:$K,11,FALSE)</f>
        <v>hp</v>
      </c>
      <c r="J248" s="7" t="str">
        <f>VLOOKUP(D248,[1]characters!$A:$M,13,FALSE)</f>
        <v>god</v>
      </c>
      <c r="K248" s="7" t="str">
        <f>VLOOKUP(D248,[1]characters!$A:$G,7,FALSE)</f>
        <v>男性</v>
      </c>
      <c r="L248" s="66">
        <f>IFERROR(VLOOKUP(D248,input_4!L:R,7,FALSE),VLOOKUP(tables_4!B248,input_4!A:H,8,FALSE))</f>
        <v>9139</v>
      </c>
      <c r="M248" s="67">
        <f t="shared" si="9"/>
        <v>8.7962962962962962E-4</v>
      </c>
      <c r="N248" s="31">
        <f>IFERROR(VLOOKUP($D248,bug_conf_sheet!$A:$H,3,FALSE),VLOOKUP("other",bug_conf_sheet!$A:$H,3,FALSE))</f>
        <v>1</v>
      </c>
      <c r="O248" s="31">
        <f>IFERROR(VLOOKUP($D248,bug_conf_sheet!$A:$H,4,FALSE),VLOOKUP("other",bug_conf_sheet!$A:$H,4,FALSE))</f>
        <v>0</v>
      </c>
      <c r="P248" s="31">
        <f>IFERROR(VLOOKUP($D248,bug_conf_sheet!$A:$H,5,FALSE),VLOOKUP("other",bug_conf_sheet!$A:$H,5,FALSE))</f>
        <v>0</v>
      </c>
      <c r="Q248" s="31">
        <f>IFERROR(VLOOKUP($D248,bug_conf_sheet!$A:$H,6,FALSE),VLOOKUP("other",bug_conf_sheet!$A:$H,6,FALSE))</f>
        <v>0</v>
      </c>
      <c r="R248" s="31">
        <f>IFERROR(VLOOKUP($D248,bug_conf_sheet!$A:$H,7,FALSE),VLOOKUP("other",bug_conf_sheet!$A:$H,7,FALSE))</f>
        <v>0</v>
      </c>
      <c r="S248" s="31">
        <f>IFERROR(VLOOKUP($D248,bug_conf_sheet!$A:$H,8,FALSE),VLOOKUP("other",bug_conf_sheet!$A:$H,8,FALSE))</f>
        <v>1</v>
      </c>
    </row>
    <row r="249" spans="1:19" ht="21" customHeight="1">
      <c r="A249" s="2">
        <f>input_4!A$2</f>
        <v>3124</v>
      </c>
      <c r="B249" s="7" t="str">
        <f t="shared" si="10"/>
        <v>Premium3</v>
      </c>
      <c r="C249" s="7" t="str">
        <f t="shared" si="11"/>
        <v>Premium</v>
      </c>
      <c r="D249" s="6">
        <v>671</v>
      </c>
      <c r="E249" s="7" t="str">
        <f>VLOOKUP(D249,[1]characters!$A:$C,3,FALSE)</f>
        <v>ハヌマーン</v>
      </c>
      <c r="F249" s="7" t="str">
        <f>VLOOKUP(D249,[1]characters!$A:$J,10,FALSE)</f>
        <v>PremiumS</v>
      </c>
      <c r="G249" s="7">
        <f>VLOOKUP(D249,[1]characters!$A:$I,9,FALSE)</f>
        <v>3</v>
      </c>
      <c r="H249" s="7" t="str">
        <f>VLOOKUP(D249,[1]characters!$A:$H,8,FALSE)</f>
        <v>green</v>
      </c>
      <c r="I249" s="7" t="str">
        <f>VLOOKUP(D249,[1]characters!$A:$K,11,FALSE)</f>
        <v>attack</v>
      </c>
      <c r="J249" s="7" t="str">
        <f>VLOOKUP(D249,[1]characters!$A:$M,13,FALSE)</f>
        <v>animal</v>
      </c>
      <c r="K249" s="7" t="str">
        <f>VLOOKUP(D249,[1]characters!$A:$G,7,FALSE)</f>
        <v>男性</v>
      </c>
      <c r="L249" s="66">
        <f>IFERROR(VLOOKUP(D249,input_4!L:R,7,FALSE),VLOOKUP(tables_4!B249,input_4!A:H,8,FALSE))</f>
        <v>70200</v>
      </c>
      <c r="M249" s="67">
        <f t="shared" si="9"/>
        <v>6.7567567567567571E-3</v>
      </c>
      <c r="N249" s="31">
        <f>IFERROR(VLOOKUP($D249,bug_conf_sheet!$A:$H,3,FALSE),VLOOKUP("other",bug_conf_sheet!$A:$H,3,FALSE))</f>
        <v>1</v>
      </c>
      <c r="O249" s="31">
        <f>IFERROR(VLOOKUP($D249,bug_conf_sheet!$A:$H,4,FALSE),VLOOKUP("other",bug_conf_sheet!$A:$H,4,FALSE))</f>
        <v>0</v>
      </c>
      <c r="P249" s="31">
        <f>IFERROR(VLOOKUP($D249,bug_conf_sheet!$A:$H,5,FALSE),VLOOKUP("other",bug_conf_sheet!$A:$H,5,FALSE))</f>
        <v>0</v>
      </c>
      <c r="Q249" s="31">
        <f>IFERROR(VLOOKUP($D249,bug_conf_sheet!$A:$H,6,FALSE),VLOOKUP("other",bug_conf_sheet!$A:$H,6,FALSE))</f>
        <v>0</v>
      </c>
      <c r="R249" s="31">
        <f>IFERROR(VLOOKUP($D249,bug_conf_sheet!$A:$H,7,FALSE),VLOOKUP("other",bug_conf_sheet!$A:$H,7,FALSE))</f>
        <v>0</v>
      </c>
      <c r="S249" s="31">
        <f>IFERROR(VLOOKUP($D249,bug_conf_sheet!$A:$H,8,FALSE),VLOOKUP("other",bug_conf_sheet!$A:$H,8,FALSE))</f>
        <v>1</v>
      </c>
    </row>
    <row r="250" spans="1:19" ht="21" customHeight="1">
      <c r="A250" s="2">
        <f>input_4!A$2</f>
        <v>3124</v>
      </c>
      <c r="B250" s="7" t="str">
        <f t="shared" si="10"/>
        <v>Premium4</v>
      </c>
      <c r="C250" s="7" t="str">
        <f t="shared" si="11"/>
        <v>Premium</v>
      </c>
      <c r="D250" s="6">
        <v>672</v>
      </c>
      <c r="E250" s="7" t="str">
        <f>VLOOKUP(D250,[1]characters!$A:$C,3,FALSE)</f>
        <v>西遊韋駄天 ハヌマーン</v>
      </c>
      <c r="F250" s="7" t="str">
        <f>VLOOKUP(D250,[1]characters!$A:$J,10,FALSE)</f>
        <v>PremiumS</v>
      </c>
      <c r="G250" s="7">
        <f>VLOOKUP(D250,[1]characters!$A:$I,9,FALSE)</f>
        <v>4</v>
      </c>
      <c r="H250" s="7" t="str">
        <f>VLOOKUP(D250,[1]characters!$A:$H,8,FALSE)</f>
        <v>green</v>
      </c>
      <c r="I250" s="7" t="str">
        <f>VLOOKUP(D250,[1]characters!$A:$K,11,FALSE)</f>
        <v>attack</v>
      </c>
      <c r="J250" s="7" t="str">
        <f>VLOOKUP(D250,[1]characters!$A:$M,13,FALSE)</f>
        <v>animal</v>
      </c>
      <c r="K250" s="7" t="str">
        <f>VLOOKUP(D250,[1]characters!$A:$G,7,FALSE)</f>
        <v>男性</v>
      </c>
      <c r="L250" s="66">
        <f>IFERROR(VLOOKUP(D250,input_4!L:R,7,FALSE),VLOOKUP(tables_4!B250,input_4!A:H,8,FALSE))</f>
        <v>60021</v>
      </c>
      <c r="M250" s="67">
        <f t="shared" si="9"/>
        <v>5.777027027027027E-3</v>
      </c>
      <c r="N250" s="31">
        <f>IFERROR(VLOOKUP($D250,bug_conf_sheet!$A:$H,3,FALSE),VLOOKUP("other",bug_conf_sheet!$A:$H,3,FALSE))</f>
        <v>1</v>
      </c>
      <c r="O250" s="31">
        <f>IFERROR(VLOOKUP($D250,bug_conf_sheet!$A:$H,4,FALSE),VLOOKUP("other",bug_conf_sheet!$A:$H,4,FALSE))</f>
        <v>0</v>
      </c>
      <c r="P250" s="31">
        <f>IFERROR(VLOOKUP($D250,bug_conf_sheet!$A:$H,5,FALSE),VLOOKUP("other",bug_conf_sheet!$A:$H,5,FALSE))</f>
        <v>0</v>
      </c>
      <c r="Q250" s="31">
        <f>IFERROR(VLOOKUP($D250,bug_conf_sheet!$A:$H,6,FALSE),VLOOKUP("other",bug_conf_sheet!$A:$H,6,FALSE))</f>
        <v>0</v>
      </c>
      <c r="R250" s="31">
        <f>IFERROR(VLOOKUP($D250,bug_conf_sheet!$A:$H,7,FALSE),VLOOKUP("other",bug_conf_sheet!$A:$H,7,FALSE))</f>
        <v>0</v>
      </c>
      <c r="S250" s="31">
        <f>IFERROR(VLOOKUP($D250,bug_conf_sheet!$A:$H,8,FALSE),VLOOKUP("other",bug_conf_sheet!$A:$H,8,FALSE))</f>
        <v>1</v>
      </c>
    </row>
    <row r="251" spans="1:19" ht="21" customHeight="1">
      <c r="A251" s="2">
        <f>input_4!A$2</f>
        <v>3124</v>
      </c>
      <c r="B251" s="7" t="str">
        <f t="shared" si="10"/>
        <v>Premium5</v>
      </c>
      <c r="C251" s="7" t="str">
        <f t="shared" si="11"/>
        <v>Premium</v>
      </c>
      <c r="D251" s="6">
        <v>673</v>
      </c>
      <c r="E251" s="7" t="str">
        <f>VLOOKUP(D251,[1]characters!$A:$C,3,FALSE)</f>
        <v>変幻自在の猿王 ハヌマーン</v>
      </c>
      <c r="F251" s="7" t="str">
        <f>VLOOKUP(D251,[1]characters!$A:$J,10,FALSE)</f>
        <v>PremiumS</v>
      </c>
      <c r="G251" s="7">
        <f>VLOOKUP(D251,[1]characters!$A:$I,9,FALSE)</f>
        <v>5</v>
      </c>
      <c r="H251" s="7" t="str">
        <f>VLOOKUP(D251,[1]characters!$A:$H,8,FALSE)</f>
        <v>green</v>
      </c>
      <c r="I251" s="7" t="str">
        <f>VLOOKUP(D251,[1]characters!$A:$K,11,FALSE)</f>
        <v>attack</v>
      </c>
      <c r="J251" s="7" t="str">
        <f>VLOOKUP(D251,[1]characters!$A:$M,13,FALSE)</f>
        <v>animal</v>
      </c>
      <c r="K251" s="7" t="str">
        <f>VLOOKUP(D251,[1]characters!$A:$G,7,FALSE)</f>
        <v>男性</v>
      </c>
      <c r="L251" s="66">
        <f>IFERROR(VLOOKUP(D251,input_4!L:R,7,FALSE),VLOOKUP(tables_4!B251,input_4!A:H,8,FALSE))</f>
        <v>9139</v>
      </c>
      <c r="M251" s="67">
        <f t="shared" si="9"/>
        <v>8.7962962962962962E-4</v>
      </c>
      <c r="N251" s="31">
        <f>IFERROR(VLOOKUP($D251,bug_conf_sheet!$A:$H,3,FALSE),VLOOKUP("other",bug_conf_sheet!$A:$H,3,FALSE))</f>
        <v>1</v>
      </c>
      <c r="O251" s="31">
        <f>IFERROR(VLOOKUP($D251,bug_conf_sheet!$A:$H,4,FALSE),VLOOKUP("other",bug_conf_sheet!$A:$H,4,FALSE))</f>
        <v>0</v>
      </c>
      <c r="P251" s="31">
        <f>IFERROR(VLOOKUP($D251,bug_conf_sheet!$A:$H,5,FALSE),VLOOKUP("other",bug_conf_sheet!$A:$H,5,FALSE))</f>
        <v>0</v>
      </c>
      <c r="Q251" s="31">
        <f>IFERROR(VLOOKUP($D251,bug_conf_sheet!$A:$H,6,FALSE),VLOOKUP("other",bug_conf_sheet!$A:$H,6,FALSE))</f>
        <v>0</v>
      </c>
      <c r="R251" s="31">
        <f>IFERROR(VLOOKUP($D251,bug_conf_sheet!$A:$H,7,FALSE),VLOOKUP("other",bug_conf_sheet!$A:$H,7,FALSE))</f>
        <v>0</v>
      </c>
      <c r="S251" s="31">
        <f>IFERROR(VLOOKUP($D251,bug_conf_sheet!$A:$H,8,FALSE),VLOOKUP("other",bug_conf_sheet!$A:$H,8,FALSE))</f>
        <v>1</v>
      </c>
    </row>
    <row r="252" spans="1:19" ht="21" customHeight="1">
      <c r="A252" s="2">
        <f>input_4!A$2</f>
        <v>3124</v>
      </c>
      <c r="B252" s="7" t="str">
        <f t="shared" si="10"/>
        <v>PremiumSS4</v>
      </c>
      <c r="C252" s="7" t="str">
        <f t="shared" si="11"/>
        <v>PremiumSS</v>
      </c>
      <c r="D252" s="6">
        <v>674</v>
      </c>
      <c r="E252" s="7" t="str">
        <f>VLOOKUP(D252,[1]characters!$A:$C,3,FALSE)</f>
        <v>サラスヴァティ</v>
      </c>
      <c r="F252" s="7" t="str">
        <f>VLOOKUP(D252,[1]characters!$A:$J,10,FALSE)</f>
        <v>PremiumSS</v>
      </c>
      <c r="G252" s="7">
        <f>VLOOKUP(D252,[1]characters!$A:$I,9,FALSE)</f>
        <v>4</v>
      </c>
      <c r="H252" s="7" t="str">
        <f>VLOOKUP(D252,[1]characters!$A:$H,8,FALSE)</f>
        <v>blue</v>
      </c>
      <c r="I252" s="7" t="str">
        <f>VLOOKUP(D252,[1]characters!$A:$K,11,FALSE)</f>
        <v>balance</v>
      </c>
      <c r="J252" s="7" t="str">
        <f>VLOOKUP(D252,[1]characters!$A:$M,13,FALSE)</f>
        <v>god</v>
      </c>
      <c r="K252" s="7" t="str">
        <f>VLOOKUP(D252,[1]characters!$A:$G,7,FALSE)</f>
        <v>女性</v>
      </c>
      <c r="L252" s="66">
        <f>IFERROR(VLOOKUP(D252,input_4!L:R,7,FALSE),VLOOKUP(tables_4!B252,input_4!A:H,8,FALSE))</f>
        <v>8991</v>
      </c>
      <c r="M252" s="67">
        <f t="shared" si="9"/>
        <v>8.6538461538461541E-4</v>
      </c>
      <c r="N252" s="31">
        <f>IFERROR(VLOOKUP($D252,bug_conf_sheet!$A:$H,3,FALSE),VLOOKUP("other",bug_conf_sheet!$A:$H,3,FALSE))</f>
        <v>1</v>
      </c>
      <c r="O252" s="31">
        <f>IFERROR(VLOOKUP($D252,bug_conf_sheet!$A:$H,4,FALSE),VLOOKUP("other",bug_conf_sheet!$A:$H,4,FALSE))</f>
        <v>0</v>
      </c>
      <c r="P252" s="31">
        <f>IFERROR(VLOOKUP($D252,bug_conf_sheet!$A:$H,5,FALSE),VLOOKUP("other",bug_conf_sheet!$A:$H,5,FALSE))</f>
        <v>0</v>
      </c>
      <c r="Q252" s="31">
        <f>IFERROR(VLOOKUP($D252,bug_conf_sheet!$A:$H,6,FALSE),VLOOKUP("other",bug_conf_sheet!$A:$H,6,FALSE))</f>
        <v>0</v>
      </c>
      <c r="R252" s="31">
        <f>IFERROR(VLOOKUP($D252,bug_conf_sheet!$A:$H,7,FALSE),VLOOKUP("other",bug_conf_sheet!$A:$H,7,FALSE))</f>
        <v>0</v>
      </c>
      <c r="S252" s="31">
        <f>IFERROR(VLOOKUP($D252,bug_conf_sheet!$A:$H,8,FALSE),VLOOKUP("other",bug_conf_sheet!$A:$H,8,FALSE))</f>
        <v>1</v>
      </c>
    </row>
    <row r="253" spans="1:19" ht="21" customHeight="1">
      <c r="A253" s="2">
        <f>input_4!A$2</f>
        <v>3124</v>
      </c>
      <c r="B253" s="7" t="str">
        <f t="shared" si="10"/>
        <v>PremiumSS5</v>
      </c>
      <c r="C253" s="7" t="str">
        <f t="shared" si="11"/>
        <v>PremiumSS</v>
      </c>
      <c r="D253" s="6">
        <v>675</v>
      </c>
      <c r="E253" s="7" t="str">
        <f>VLOOKUP(D253,[1]characters!$A:$C,3,FALSE)</f>
        <v>芸楽の奔流 サラスヴァティ</v>
      </c>
      <c r="F253" s="7" t="str">
        <f>VLOOKUP(D253,[1]characters!$A:$J,10,FALSE)</f>
        <v>PremiumSS</v>
      </c>
      <c r="G253" s="7">
        <f>VLOOKUP(D253,[1]characters!$A:$I,9,FALSE)</f>
        <v>5</v>
      </c>
      <c r="H253" s="7" t="str">
        <f>VLOOKUP(D253,[1]characters!$A:$H,8,FALSE)</f>
        <v>blue</v>
      </c>
      <c r="I253" s="7" t="str">
        <f>VLOOKUP(D253,[1]characters!$A:$K,11,FALSE)</f>
        <v>balance</v>
      </c>
      <c r="J253" s="7" t="str">
        <f>VLOOKUP(D253,[1]characters!$A:$M,13,FALSE)</f>
        <v>god</v>
      </c>
      <c r="K253" s="7" t="str">
        <f>VLOOKUP(D253,[1]characters!$A:$G,7,FALSE)</f>
        <v>女性</v>
      </c>
      <c r="L253" s="66">
        <f>IFERROR(VLOOKUP(D253,input_4!L:R,7,FALSE),VLOOKUP(tables_4!B253,input_4!A:H,8,FALSE))</f>
        <v>999</v>
      </c>
      <c r="M253" s="67">
        <f t="shared" si="9"/>
        <v>9.6153846153846154E-5</v>
      </c>
      <c r="N253" s="31">
        <f>IFERROR(VLOOKUP($D253,bug_conf_sheet!$A:$H,3,FALSE),VLOOKUP("other",bug_conf_sheet!$A:$H,3,FALSE))</f>
        <v>1</v>
      </c>
      <c r="O253" s="31">
        <f>IFERROR(VLOOKUP($D253,bug_conf_sheet!$A:$H,4,FALSE),VLOOKUP("other",bug_conf_sheet!$A:$H,4,FALSE))</f>
        <v>0</v>
      </c>
      <c r="P253" s="31">
        <f>IFERROR(VLOOKUP($D253,bug_conf_sheet!$A:$H,5,FALSE),VLOOKUP("other",bug_conf_sheet!$A:$H,5,FALSE))</f>
        <v>0</v>
      </c>
      <c r="Q253" s="31">
        <f>IFERROR(VLOOKUP($D253,bug_conf_sheet!$A:$H,6,FALSE),VLOOKUP("other",bug_conf_sheet!$A:$H,6,FALSE))</f>
        <v>0</v>
      </c>
      <c r="R253" s="31">
        <f>IFERROR(VLOOKUP($D253,bug_conf_sheet!$A:$H,7,FALSE),VLOOKUP("other",bug_conf_sheet!$A:$H,7,FALSE))</f>
        <v>0</v>
      </c>
      <c r="S253" s="31">
        <f>IFERROR(VLOOKUP($D253,bug_conf_sheet!$A:$H,8,FALSE),VLOOKUP("other",bug_conf_sheet!$A:$H,8,FALSE))</f>
        <v>1</v>
      </c>
    </row>
    <row r="254" spans="1:19" ht="21" customHeight="1">
      <c r="A254" s="2">
        <f>input_4!A$2</f>
        <v>3124</v>
      </c>
      <c r="B254" s="7" t="str">
        <f t="shared" si="10"/>
        <v>PremiumSS4</v>
      </c>
      <c r="C254" s="7" t="str">
        <f t="shared" si="11"/>
        <v>PremiumSS</v>
      </c>
      <c r="D254" s="6">
        <v>676</v>
      </c>
      <c r="E254" s="7" t="str">
        <f>VLOOKUP(D254,[1]characters!$A:$C,3,FALSE)</f>
        <v>ヴィシュヌ</v>
      </c>
      <c r="F254" s="7" t="str">
        <f>VLOOKUP(D254,[1]characters!$A:$J,10,FALSE)</f>
        <v>PremiumSS</v>
      </c>
      <c r="G254" s="7">
        <f>VLOOKUP(D254,[1]characters!$A:$I,9,FALSE)</f>
        <v>4</v>
      </c>
      <c r="H254" s="7" t="str">
        <f>VLOOKUP(D254,[1]characters!$A:$H,8,FALSE)</f>
        <v>yellow</v>
      </c>
      <c r="I254" s="7" t="str">
        <f>VLOOKUP(D254,[1]characters!$A:$K,11,FALSE)</f>
        <v>attack</v>
      </c>
      <c r="J254" s="7" t="str">
        <f>VLOOKUP(D254,[1]characters!$A:$M,13,FALSE)</f>
        <v>god</v>
      </c>
      <c r="K254" s="7" t="str">
        <f>VLOOKUP(D254,[1]characters!$A:$G,7,FALSE)</f>
        <v>女性</v>
      </c>
      <c r="L254" s="66">
        <f>IFERROR(VLOOKUP(D254,input_4!L:R,7,FALSE),VLOOKUP(tables_4!B254,input_4!A:H,8,FALSE))</f>
        <v>8991</v>
      </c>
      <c r="M254" s="67">
        <f t="shared" si="9"/>
        <v>8.6538461538461541E-4</v>
      </c>
      <c r="N254" s="31">
        <f>IFERROR(VLOOKUP($D254,bug_conf_sheet!$A:$H,3,FALSE),VLOOKUP("other",bug_conf_sheet!$A:$H,3,FALSE))</f>
        <v>1</v>
      </c>
      <c r="O254" s="31">
        <f>IFERROR(VLOOKUP($D254,bug_conf_sheet!$A:$H,4,FALSE),VLOOKUP("other",bug_conf_sheet!$A:$H,4,FALSE))</f>
        <v>0</v>
      </c>
      <c r="P254" s="31">
        <f>IFERROR(VLOOKUP($D254,bug_conf_sheet!$A:$H,5,FALSE),VLOOKUP("other",bug_conf_sheet!$A:$H,5,FALSE))</f>
        <v>0</v>
      </c>
      <c r="Q254" s="31">
        <f>IFERROR(VLOOKUP($D254,bug_conf_sheet!$A:$H,6,FALSE),VLOOKUP("other",bug_conf_sheet!$A:$H,6,FALSE))</f>
        <v>0</v>
      </c>
      <c r="R254" s="31">
        <f>IFERROR(VLOOKUP($D254,bug_conf_sheet!$A:$H,7,FALSE),VLOOKUP("other",bug_conf_sheet!$A:$H,7,FALSE))</f>
        <v>0</v>
      </c>
      <c r="S254" s="31">
        <f>IFERROR(VLOOKUP($D254,bug_conf_sheet!$A:$H,8,FALSE),VLOOKUP("other",bug_conf_sheet!$A:$H,8,FALSE))</f>
        <v>1</v>
      </c>
    </row>
    <row r="255" spans="1:19" ht="21" customHeight="1">
      <c r="A255" s="2">
        <f>input_4!A$2</f>
        <v>3124</v>
      </c>
      <c r="B255" s="7" t="str">
        <f t="shared" si="10"/>
        <v>PremiumSS5</v>
      </c>
      <c r="C255" s="7" t="str">
        <f t="shared" si="11"/>
        <v>PremiumSS</v>
      </c>
      <c r="D255" s="6">
        <v>677</v>
      </c>
      <c r="E255" s="7" t="str">
        <f>VLOOKUP(D255,[1]characters!$A:$C,3,FALSE)</f>
        <v>武遊闊歩 ヴィシュヌ</v>
      </c>
      <c r="F255" s="7" t="str">
        <f>VLOOKUP(D255,[1]characters!$A:$J,10,FALSE)</f>
        <v>PremiumSS</v>
      </c>
      <c r="G255" s="7">
        <f>VLOOKUP(D255,[1]characters!$A:$I,9,FALSE)</f>
        <v>5</v>
      </c>
      <c r="H255" s="7" t="str">
        <f>VLOOKUP(D255,[1]characters!$A:$H,8,FALSE)</f>
        <v>yellow</v>
      </c>
      <c r="I255" s="7" t="str">
        <f>VLOOKUP(D255,[1]characters!$A:$K,11,FALSE)</f>
        <v>attack</v>
      </c>
      <c r="J255" s="7" t="str">
        <f>VLOOKUP(D255,[1]characters!$A:$M,13,FALSE)</f>
        <v>god</v>
      </c>
      <c r="K255" s="7" t="str">
        <f>VLOOKUP(D255,[1]characters!$A:$G,7,FALSE)</f>
        <v>女性</v>
      </c>
      <c r="L255" s="66">
        <f>IFERROR(VLOOKUP(D255,input_4!L:R,7,FALSE),VLOOKUP(tables_4!B255,input_4!A:H,8,FALSE))</f>
        <v>999</v>
      </c>
      <c r="M255" s="67">
        <f t="shared" si="9"/>
        <v>9.6153846153846154E-5</v>
      </c>
      <c r="N255" s="31">
        <f>IFERROR(VLOOKUP($D255,bug_conf_sheet!$A:$H,3,FALSE),VLOOKUP("other",bug_conf_sheet!$A:$H,3,FALSE))</f>
        <v>1</v>
      </c>
      <c r="O255" s="31">
        <f>IFERROR(VLOOKUP($D255,bug_conf_sheet!$A:$H,4,FALSE),VLOOKUP("other",bug_conf_sheet!$A:$H,4,FALSE))</f>
        <v>0</v>
      </c>
      <c r="P255" s="31">
        <f>IFERROR(VLOOKUP($D255,bug_conf_sheet!$A:$H,5,FALSE),VLOOKUP("other",bug_conf_sheet!$A:$H,5,FALSE))</f>
        <v>0</v>
      </c>
      <c r="Q255" s="31">
        <f>IFERROR(VLOOKUP($D255,bug_conf_sheet!$A:$H,6,FALSE),VLOOKUP("other",bug_conf_sheet!$A:$H,6,FALSE))</f>
        <v>0</v>
      </c>
      <c r="R255" s="31">
        <f>IFERROR(VLOOKUP($D255,bug_conf_sheet!$A:$H,7,FALSE),VLOOKUP("other",bug_conf_sheet!$A:$H,7,FALSE))</f>
        <v>0</v>
      </c>
      <c r="S255" s="31">
        <f>IFERROR(VLOOKUP($D255,bug_conf_sheet!$A:$H,8,FALSE),VLOOKUP("other",bug_conf_sheet!$A:$H,8,FALSE))</f>
        <v>1</v>
      </c>
    </row>
  </sheetData>
  <autoFilter ref="A1:S255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R43"/>
  <sheetViews>
    <sheetView workbookViewId="0">
      <selection activeCell="A32" sqref="A32"/>
    </sheetView>
  </sheetViews>
  <sheetFormatPr baseColWidth="12" defaultRowHeight="14" x14ac:dyDescent="0"/>
  <sheetData>
    <row r="1" spans="1:18">
      <c r="A1" s="70" t="s">
        <v>103</v>
      </c>
      <c r="B1" s="70"/>
    </row>
    <row r="2" spans="1:18">
      <c r="A2">
        <v>3125</v>
      </c>
    </row>
    <row r="4" spans="1:18">
      <c r="A4" s="48" t="s">
        <v>68</v>
      </c>
      <c r="B4" s="48"/>
    </row>
    <row r="5" spans="1:18">
      <c r="A5" s="46" t="s">
        <v>88</v>
      </c>
      <c r="B5" s="47">
        <f>1-B6-B7</f>
        <v>0</v>
      </c>
    </row>
    <row r="6" spans="1:18">
      <c r="A6" s="46" t="s">
        <v>89</v>
      </c>
      <c r="B6" s="47">
        <v>0.95</v>
      </c>
    </row>
    <row r="7" spans="1:18">
      <c r="A7" s="46" t="s">
        <v>90</v>
      </c>
      <c r="B7" s="47">
        <v>0.05</v>
      </c>
    </row>
    <row r="9" spans="1:18">
      <c r="A9" s="49" t="s">
        <v>69</v>
      </c>
      <c r="B9" s="49"/>
    </row>
    <row r="10" spans="1:18">
      <c r="A10" s="46" t="s">
        <v>118</v>
      </c>
      <c r="B10" s="47">
        <f>1-B11-B12</f>
        <v>0.97499999999999998</v>
      </c>
    </row>
    <row r="11" spans="1:18">
      <c r="A11" s="46" t="s">
        <v>71</v>
      </c>
      <c r="B11" s="47">
        <v>2.5000000000000001E-2</v>
      </c>
    </row>
    <row r="12" spans="1:18">
      <c r="A12" s="46" t="s">
        <v>70</v>
      </c>
      <c r="B12" s="47">
        <v>0</v>
      </c>
    </row>
    <row r="15" spans="1:18">
      <c r="A15" s="53" t="s">
        <v>72</v>
      </c>
      <c r="B15" s="53"/>
      <c r="C15" t="s">
        <v>104</v>
      </c>
      <c r="L15" s="55" t="s">
        <v>77</v>
      </c>
      <c r="M15" s="55"/>
    </row>
    <row r="16" spans="1:18">
      <c r="A16" s="46" t="s">
        <v>75</v>
      </c>
      <c r="B16" s="46" t="s">
        <v>76</v>
      </c>
      <c r="C16" s="54" t="s">
        <v>77</v>
      </c>
      <c r="D16" s="54" t="s">
        <v>78</v>
      </c>
      <c r="E16" t="s">
        <v>92</v>
      </c>
      <c r="F16" t="s">
        <v>91</v>
      </c>
      <c r="G16" t="s">
        <v>94</v>
      </c>
      <c r="H16" t="s">
        <v>93</v>
      </c>
      <c r="I16" t="s">
        <v>95</v>
      </c>
      <c r="J16" t="s">
        <v>98</v>
      </c>
      <c r="L16" s="46" t="s">
        <v>32</v>
      </c>
      <c r="M16" s="54" t="s">
        <v>81</v>
      </c>
      <c r="N16" s="46" t="s">
        <v>79</v>
      </c>
      <c r="O16" s="54" t="s">
        <v>82</v>
      </c>
      <c r="P16" s="54" t="s">
        <v>83</v>
      </c>
      <c r="Q16" s="54" t="s">
        <v>80</v>
      </c>
      <c r="R16" s="65" t="s">
        <v>93</v>
      </c>
    </row>
    <row r="17" spans="1:17">
      <c r="A17" s="46" t="s">
        <v>119</v>
      </c>
      <c r="B17" s="50">
        <f>B5</f>
        <v>0</v>
      </c>
      <c r="C17" s="69">
        <f t="shared" ref="C17:C23" si="0">SUMIF(Q:Q,A17,N:N)</f>
        <v>0</v>
      </c>
      <c r="D17" s="62">
        <f t="shared" ref="D17:D24" si="1">B17-C17</f>
        <v>0</v>
      </c>
      <c r="E17">
        <f>COUNTIF(tables_5!B:B,input_5!A17)-COUNTIF(Q:Q,A17)</f>
        <v>74</v>
      </c>
      <c r="F17" s="64">
        <f t="shared" ref="F17:F23" si="2">IFERROR(D17/E17,0)</f>
        <v>0</v>
      </c>
      <c r="G17">
        <f t="shared" ref="G17:G23" si="3">A$32*D17</f>
        <v>0</v>
      </c>
      <c r="H17">
        <f t="shared" ref="H17:H23" si="4">IFERROR(ROUND(G17/E17,5),0)</f>
        <v>0</v>
      </c>
      <c r="I17">
        <f t="shared" ref="I17:I23" si="5">MOD(H17,1)</f>
        <v>0</v>
      </c>
      <c r="J17">
        <f t="shared" ref="J17:J23" si="6">IFERROR(1/I17,1)</f>
        <v>1</v>
      </c>
      <c r="L17" s="46"/>
      <c r="M17" s="54"/>
      <c r="N17" s="52"/>
      <c r="O17" s="54"/>
      <c r="P17" s="54"/>
      <c r="Q17" s="54"/>
    </row>
    <row r="18" spans="1:17">
      <c r="A18" s="46" t="s">
        <v>120</v>
      </c>
      <c r="B18" s="56">
        <f>B6-B19-B20</f>
        <v>0.92624999999999991</v>
      </c>
      <c r="C18" s="69">
        <f t="shared" si="0"/>
        <v>0</v>
      </c>
      <c r="D18" s="62">
        <f t="shared" si="1"/>
        <v>0.92624999999999991</v>
      </c>
      <c r="E18">
        <f>COUNTIF(tables_5!B:B,input_5!A18)-COUNTIF(Q:Q,A18)</f>
        <v>74</v>
      </c>
      <c r="F18" s="64">
        <f t="shared" si="2"/>
        <v>1.2516891891891891E-2</v>
      </c>
      <c r="G18">
        <f t="shared" si="3"/>
        <v>19246733.999999996</v>
      </c>
      <c r="H18">
        <f t="shared" si="4"/>
        <v>260091</v>
      </c>
      <c r="I18">
        <f t="shared" si="5"/>
        <v>0</v>
      </c>
      <c r="J18">
        <f t="shared" si="6"/>
        <v>1</v>
      </c>
      <c r="L18" s="46"/>
      <c r="M18" s="54"/>
      <c r="N18" s="52"/>
      <c r="O18" s="54"/>
      <c r="P18" s="54"/>
      <c r="Q18" s="54"/>
    </row>
    <row r="19" spans="1:17">
      <c r="A19" s="46" t="s">
        <v>84</v>
      </c>
      <c r="B19" s="79">
        <f>B6*B11/(B6+B7)</f>
        <v>2.375E-2</v>
      </c>
      <c r="C19" s="69">
        <f t="shared" si="0"/>
        <v>0</v>
      </c>
      <c r="D19" s="62">
        <f t="shared" si="1"/>
        <v>2.375E-2</v>
      </c>
      <c r="E19">
        <f>COUNTIF(tables_5!B:B,input_5!A19)-COUNTIF(Q:Q,A19)</f>
        <v>26</v>
      </c>
      <c r="F19" s="64">
        <f t="shared" si="2"/>
        <v>9.1346153846153845E-4</v>
      </c>
      <c r="G19">
        <f t="shared" si="3"/>
        <v>493506</v>
      </c>
      <c r="H19">
        <f t="shared" si="4"/>
        <v>18981</v>
      </c>
      <c r="I19">
        <f t="shared" si="5"/>
        <v>0</v>
      </c>
      <c r="J19">
        <f t="shared" si="6"/>
        <v>1</v>
      </c>
      <c r="L19" s="46"/>
      <c r="M19" s="54"/>
      <c r="N19" s="52"/>
      <c r="O19" s="54"/>
      <c r="P19" s="54"/>
      <c r="Q19" s="54"/>
    </row>
    <row r="20" spans="1:17">
      <c r="A20" s="46" t="s">
        <v>85</v>
      </c>
      <c r="B20" s="57">
        <f>B12*B6/(B6+B7)</f>
        <v>0</v>
      </c>
      <c r="C20" s="69">
        <f t="shared" si="0"/>
        <v>0</v>
      </c>
      <c r="D20" s="62">
        <f t="shared" si="1"/>
        <v>0</v>
      </c>
      <c r="E20">
        <f>COUNTIF(tables_5!B:B,input_5!A20)-COUNTIF(Q:Q,A20)</f>
        <v>0</v>
      </c>
      <c r="F20" s="64">
        <f t="shared" si="2"/>
        <v>0</v>
      </c>
      <c r="G20">
        <f t="shared" si="3"/>
        <v>0</v>
      </c>
      <c r="H20">
        <f t="shared" si="4"/>
        <v>0</v>
      </c>
      <c r="I20">
        <f t="shared" si="5"/>
        <v>0</v>
      </c>
      <c r="J20">
        <f t="shared" si="6"/>
        <v>1</v>
      </c>
      <c r="L20" s="46"/>
      <c r="M20" s="54"/>
      <c r="N20" s="52"/>
      <c r="O20" s="54"/>
      <c r="P20" s="54"/>
      <c r="Q20" s="54"/>
    </row>
    <row r="21" spans="1:17">
      <c r="A21" s="46" t="s">
        <v>121</v>
      </c>
      <c r="B21" s="58">
        <f>B7-B22-B23</f>
        <v>4.8750000000000002E-2</v>
      </c>
      <c r="C21" s="69">
        <f t="shared" si="0"/>
        <v>0</v>
      </c>
      <c r="D21" s="62">
        <f t="shared" si="1"/>
        <v>4.8750000000000002E-2</v>
      </c>
      <c r="E21">
        <f>COUNTIF(tables_5!B:B,input_5!A21)-COUNTIF(Q:Q,A21)</f>
        <v>54</v>
      </c>
      <c r="F21" s="64">
        <f t="shared" si="2"/>
        <v>9.0277777777777784E-4</v>
      </c>
      <c r="G21">
        <f t="shared" si="3"/>
        <v>1012986</v>
      </c>
      <c r="H21">
        <f t="shared" si="4"/>
        <v>18759</v>
      </c>
      <c r="I21">
        <f t="shared" si="5"/>
        <v>0</v>
      </c>
      <c r="J21">
        <f t="shared" si="6"/>
        <v>1</v>
      </c>
      <c r="L21" s="46"/>
      <c r="M21" s="54"/>
      <c r="N21" s="46"/>
      <c r="O21" s="54"/>
      <c r="P21" s="54"/>
      <c r="Q21" s="54"/>
    </row>
    <row r="22" spans="1:17">
      <c r="A22" s="46" t="s">
        <v>86</v>
      </c>
      <c r="B22" s="79">
        <f>B7*B11/(B7+B6)</f>
        <v>1.2500000000000002E-3</v>
      </c>
      <c r="C22" s="69">
        <f t="shared" si="0"/>
        <v>0</v>
      </c>
      <c r="D22" s="62">
        <f t="shared" si="1"/>
        <v>1.2500000000000002E-3</v>
      </c>
      <c r="E22">
        <f>COUNTIF(tables_5!B:B,input_5!A22)-COUNTIF(Q:Q,A22)</f>
        <v>26</v>
      </c>
      <c r="F22" s="64">
        <f t="shared" si="2"/>
        <v>4.8076923076923084E-5</v>
      </c>
      <c r="G22">
        <f t="shared" si="3"/>
        <v>25974.000000000004</v>
      </c>
      <c r="H22">
        <f t="shared" si="4"/>
        <v>999</v>
      </c>
      <c r="I22">
        <f t="shared" si="5"/>
        <v>0</v>
      </c>
      <c r="J22">
        <f t="shared" si="6"/>
        <v>1</v>
      </c>
      <c r="L22" s="46"/>
      <c r="M22" s="54"/>
      <c r="N22" s="46"/>
      <c r="O22" s="54"/>
      <c r="P22" s="54"/>
      <c r="Q22" s="54"/>
    </row>
    <row r="23" spans="1:17">
      <c r="A23" s="46" t="s">
        <v>87</v>
      </c>
      <c r="B23" s="51">
        <f>B12*B7/(B7+B6)</f>
        <v>0</v>
      </c>
      <c r="C23" s="69">
        <f t="shared" si="0"/>
        <v>0</v>
      </c>
      <c r="D23" s="62">
        <f t="shared" si="1"/>
        <v>0</v>
      </c>
      <c r="E23">
        <f>COUNTIF(tables_5!B:B,input_5!A23)-COUNTIF(Q:Q,A23)</f>
        <v>0</v>
      </c>
      <c r="F23" s="64">
        <f t="shared" si="2"/>
        <v>0</v>
      </c>
      <c r="G23">
        <f t="shared" si="3"/>
        <v>0</v>
      </c>
      <c r="H23">
        <f t="shared" si="4"/>
        <v>0</v>
      </c>
      <c r="I23">
        <f t="shared" si="5"/>
        <v>0</v>
      </c>
      <c r="J23">
        <f t="shared" si="6"/>
        <v>1</v>
      </c>
      <c r="L23" s="46"/>
      <c r="M23" s="54"/>
      <c r="N23" s="46"/>
      <c r="O23" s="54"/>
      <c r="P23" s="54"/>
      <c r="Q23" s="54"/>
    </row>
    <row r="24" spans="1:17">
      <c r="A24" s="59" t="s">
        <v>74</v>
      </c>
      <c r="B24" s="60">
        <f>SUM(B17:B23)</f>
        <v>0.99999999999999989</v>
      </c>
      <c r="C24" s="61">
        <f>SUM(C17:C23)</f>
        <v>0</v>
      </c>
      <c r="D24" s="63">
        <f t="shared" si="1"/>
        <v>0.99999999999999989</v>
      </c>
      <c r="L24" s="46"/>
      <c r="M24" s="54"/>
      <c r="N24" s="46"/>
      <c r="O24" s="54"/>
      <c r="P24" s="54"/>
      <c r="Q24" s="54"/>
    </row>
    <row r="31" spans="1:17">
      <c r="A31" t="s">
        <v>93</v>
      </c>
    </row>
    <row r="32" spans="1:17">
      <c r="A32" s="34">
        <f>3000*5.2*9*37*2*2</f>
        <v>20779200</v>
      </c>
    </row>
    <row r="34" spans="1:6">
      <c r="A34" s="68" t="s">
        <v>97</v>
      </c>
    </row>
    <row r="35" spans="1:6">
      <c r="A35" s="46" t="s">
        <v>75</v>
      </c>
      <c r="B35" t="s">
        <v>94</v>
      </c>
      <c r="C35" t="s">
        <v>123</v>
      </c>
      <c r="E35" t="s">
        <v>124</v>
      </c>
    </row>
    <row r="36" spans="1:6">
      <c r="A36" s="46" t="s">
        <v>119</v>
      </c>
      <c r="B36">
        <f>SUMIF(tables_5!B:B,input_5!A36,tables_5!L:L)</f>
        <v>0</v>
      </c>
      <c r="C36" s="77">
        <f>B36/B$43</f>
        <v>0</v>
      </c>
      <c r="E36">
        <v>3</v>
      </c>
      <c r="F36" s="78">
        <f>C36</f>
        <v>0</v>
      </c>
    </row>
    <row r="37" spans="1:6">
      <c r="A37" s="46" t="s">
        <v>120</v>
      </c>
      <c r="B37">
        <f>SUMIF(tables_5!B:B,input_5!A37,tables_5!L:L)</f>
        <v>19246734</v>
      </c>
      <c r="C37" s="77">
        <f t="shared" ref="C37:C42" si="7">B37/B$43</f>
        <v>0.92625000000000002</v>
      </c>
      <c r="E37">
        <v>4</v>
      </c>
      <c r="F37" s="78">
        <f>SUM(C37:C39)</f>
        <v>0.95000000000000007</v>
      </c>
    </row>
    <row r="38" spans="1:6">
      <c r="A38" s="46" t="s">
        <v>84</v>
      </c>
      <c r="B38">
        <f>SUMIF(tables_5!B:B,input_5!A38,tables_5!L:L)</f>
        <v>493506</v>
      </c>
      <c r="C38" s="77">
        <f t="shared" si="7"/>
        <v>2.375E-2</v>
      </c>
      <c r="E38">
        <v>5</v>
      </c>
      <c r="F38" s="78">
        <f>SUM(C40:C42)</f>
        <v>0.05</v>
      </c>
    </row>
    <row r="39" spans="1:6">
      <c r="A39" s="46" t="s">
        <v>85</v>
      </c>
      <c r="B39">
        <f>SUMIF(tables_5!B:B,input_5!A39,tables_5!L:L)</f>
        <v>0</v>
      </c>
      <c r="C39" s="77">
        <f t="shared" si="7"/>
        <v>0</v>
      </c>
    </row>
    <row r="40" spans="1:6">
      <c r="A40" s="46" t="s">
        <v>122</v>
      </c>
      <c r="B40">
        <f>SUMIF(tables_5!B:B,input_5!A40,tables_5!L:L)</f>
        <v>1012986</v>
      </c>
      <c r="C40" s="77">
        <f t="shared" si="7"/>
        <v>4.8750000000000002E-2</v>
      </c>
      <c r="E40" t="s">
        <v>69</v>
      </c>
    </row>
    <row r="41" spans="1:6">
      <c r="A41" s="46" t="s">
        <v>86</v>
      </c>
      <c r="B41">
        <f>SUMIF(tables_5!B:B,input_5!A41,tables_5!L:L)</f>
        <v>25974</v>
      </c>
      <c r="C41" s="77">
        <f t="shared" si="7"/>
        <v>1.25E-3</v>
      </c>
      <c r="E41" t="s">
        <v>126</v>
      </c>
      <c r="F41" s="78">
        <f>C36+C37+C40</f>
        <v>0.97499999999999998</v>
      </c>
    </row>
    <row r="42" spans="1:6">
      <c r="A42" s="46" t="s">
        <v>87</v>
      </c>
      <c r="B42">
        <f>SUMIF(tables_5!B:B,input_5!A42,tables_5!L:L)</f>
        <v>0</v>
      </c>
      <c r="C42" s="77">
        <f t="shared" si="7"/>
        <v>0</v>
      </c>
      <c r="E42" t="s">
        <v>127</v>
      </c>
      <c r="F42" s="78">
        <f>C38+C41</f>
        <v>2.5000000000000001E-2</v>
      </c>
    </row>
    <row r="43" spans="1:6">
      <c r="A43" s="59" t="s">
        <v>74</v>
      </c>
      <c r="B43">
        <f>SUM(B36:B42)</f>
        <v>20779200</v>
      </c>
      <c r="E43" t="s">
        <v>128</v>
      </c>
      <c r="F43" s="78">
        <f>C39+C42</f>
        <v>0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S255"/>
  <sheetViews>
    <sheetView showGridLines="0" zoomScale="75" zoomScaleNormal="75" zoomScalePageLayoutView="75" workbookViewId="0">
      <pane ySplit="1" topLeftCell="A51" activePane="bottomLeft" state="frozen"/>
      <selection activeCell="A32" sqref="A32"/>
      <selection pane="bottomLeft" activeCell="A32" sqref="A32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105</v>
      </c>
      <c r="B1" s="3" t="s">
        <v>31</v>
      </c>
      <c r="C1" s="3" t="s">
        <v>117</v>
      </c>
      <c r="D1" s="16" t="s">
        <v>32</v>
      </c>
      <c r="E1" s="3" t="s">
        <v>33</v>
      </c>
      <c r="F1" s="3" t="s">
        <v>34</v>
      </c>
      <c r="G1" s="3" t="s">
        <v>35</v>
      </c>
      <c r="H1" s="3" t="s">
        <v>55</v>
      </c>
      <c r="I1" s="3" t="s">
        <v>36</v>
      </c>
      <c r="J1" s="3" t="s">
        <v>37</v>
      </c>
      <c r="K1" s="3" t="s">
        <v>73</v>
      </c>
      <c r="L1" s="16" t="s">
        <v>39</v>
      </c>
      <c r="M1" s="3" t="s">
        <v>79</v>
      </c>
      <c r="N1" s="16" t="s">
        <v>38</v>
      </c>
      <c r="O1" s="30" t="s">
        <v>5</v>
      </c>
      <c r="P1" s="30" t="s">
        <v>6</v>
      </c>
      <c r="Q1" s="30" t="s">
        <v>7</v>
      </c>
      <c r="R1" s="30" t="s">
        <v>8</v>
      </c>
      <c r="S1" s="30" t="s">
        <v>9</v>
      </c>
    </row>
    <row r="2" spans="1:19" ht="21" customHeight="1">
      <c r="A2" s="2">
        <f>input_5!A$2</f>
        <v>3125</v>
      </c>
      <c r="B2" s="7" t="str">
        <f>C2&amp;G2</f>
        <v>Premium3</v>
      </c>
      <c r="C2" s="7" t="str">
        <f>IF(F2="PremiumSS",F2,IF(F2="PremiumSSS",F2,"Premium"))</f>
        <v>Premium</v>
      </c>
      <c r="D2" s="6">
        <v>126</v>
      </c>
      <c r="E2" s="7" t="str">
        <f>VLOOKUP(D2,[1]characters!$A:$C,3,FALSE)</f>
        <v>骨器使い ユノ</v>
      </c>
      <c r="F2" s="7" t="str">
        <f>VLOOKUP(D2,[1]characters!$A:$J,10,FALSE)</f>
        <v>PremiumW</v>
      </c>
      <c r="G2" s="7">
        <f>VLOOKUP(D2,[1]characters!$A:$I,9,FALSE)</f>
        <v>3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human</v>
      </c>
      <c r="K2" s="7" t="str">
        <f>VLOOKUP(D2,[1]characters!$A:$G,7,FALSE)</f>
        <v>女性</v>
      </c>
      <c r="L2" s="66">
        <f>IFERROR(VLOOKUP(D2,input_5!L:R,7,FALSE),VLOOKUP(tables_5!B2,input_5!A:H,8,FALSE))</f>
        <v>0</v>
      </c>
      <c r="M2" s="67">
        <f t="shared" ref="M2:M65" si="0">L2/SUM(L:L)</f>
        <v>0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customHeight="1">
      <c r="A3" s="2">
        <f>input_5!A$2</f>
        <v>3125</v>
      </c>
      <c r="B3" s="7" t="str">
        <f t="shared" ref="B3:B66" si="1">C3&amp;G3</f>
        <v>Premium4</v>
      </c>
      <c r="C3" s="7" t="str">
        <f t="shared" ref="C3:C66" si="2">IF(F3="PremiumSS",F3,IF(F3="PremiumSSS",F3,"Premium"))</f>
        <v>Premium</v>
      </c>
      <c r="D3" s="6">
        <v>127</v>
      </c>
      <c r="E3" s="7" t="str">
        <f>VLOOKUP(D3,[1]characters!$A:$C,3,FALSE)</f>
        <v>狂喜の賢者 ユノ</v>
      </c>
      <c r="F3" s="7" t="str">
        <f>VLOOKUP(D3,[1]characters!$A:$J,10,FALSE)</f>
        <v>PremiumW</v>
      </c>
      <c r="G3" s="7">
        <f>VLOOKUP(D3,[1]characters!$A:$I,9,FALSE)</f>
        <v>4</v>
      </c>
      <c r="H3" s="7" t="str">
        <f>VLOOKUP(D3,[1]characters!$A:$H,8,FALSE)</f>
        <v>red</v>
      </c>
      <c r="I3" s="7" t="str">
        <f>VLOOKUP(D3,[1]characters!$A:$K,11,FALSE)</f>
        <v>attack</v>
      </c>
      <c r="J3" s="7" t="str">
        <f>VLOOKUP(D3,[1]characters!$A:$M,13,FALSE)</f>
        <v>human</v>
      </c>
      <c r="K3" s="7" t="str">
        <f>VLOOKUP(D3,[1]characters!$A:$G,7,FALSE)</f>
        <v>女性</v>
      </c>
      <c r="L3" s="66">
        <f>IFERROR(VLOOKUP(D3,input_5!L:R,7,FALSE),VLOOKUP(tables_5!B3,input_5!A:H,8,FALSE))</f>
        <v>260091</v>
      </c>
      <c r="M3" s="67">
        <f t="shared" si="0"/>
        <v>1.2516891891891892E-2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customHeight="1">
      <c r="A4" s="2">
        <f>input_5!A$2</f>
        <v>3125</v>
      </c>
      <c r="B4" s="7" t="str">
        <f t="shared" si="1"/>
        <v>Premium3</v>
      </c>
      <c r="C4" s="7" t="str">
        <f t="shared" si="2"/>
        <v>Premium</v>
      </c>
      <c r="D4" s="6">
        <v>128</v>
      </c>
      <c r="E4" s="7" t="str">
        <f>VLOOKUP(D4,[1]characters!$A:$C,3,FALSE)</f>
        <v>野生児 アマラ</v>
      </c>
      <c r="F4" s="7" t="str">
        <f>VLOOKUP(D4,[1]characters!$A:$J,10,FALSE)</f>
        <v>PremiumW</v>
      </c>
      <c r="G4" s="7">
        <f>VLOOKUP(D4,[1]characters!$A:$I,9,FALSE)</f>
        <v>3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66">
        <f>IFERROR(VLOOKUP(D4,input_5!L:R,7,FALSE),VLOOKUP(tables_5!B4,input_5!A:H,8,FALSE))</f>
        <v>0</v>
      </c>
      <c r="M4" s="67">
        <f t="shared" si="0"/>
        <v>0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customHeight="1">
      <c r="A5" s="2">
        <f>input_5!A$2</f>
        <v>3125</v>
      </c>
      <c r="B5" s="7" t="str">
        <f t="shared" si="1"/>
        <v>Premium4</v>
      </c>
      <c r="C5" s="7" t="str">
        <f t="shared" si="2"/>
        <v>Premium</v>
      </c>
      <c r="D5" s="6">
        <v>129</v>
      </c>
      <c r="E5" s="7" t="str">
        <f>VLOOKUP(D5,[1]characters!$A:$C,3,FALSE)</f>
        <v>孤高の狼憑き アマラ</v>
      </c>
      <c r="F5" s="7" t="str">
        <f>VLOOKUP(D5,[1]characters!$A:$J,10,FALSE)</f>
        <v>PremiumW</v>
      </c>
      <c r="G5" s="7">
        <f>VLOOKUP(D5,[1]characters!$A:$I,9,FALSE)</f>
        <v>4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66">
        <f>IFERROR(VLOOKUP(D5,input_5!L:R,7,FALSE),VLOOKUP(tables_5!B5,input_5!A:H,8,FALSE))</f>
        <v>260091</v>
      </c>
      <c r="M5" s="67">
        <f t="shared" si="0"/>
        <v>1.2516891891891892E-2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customHeight="1">
      <c r="A6" s="2">
        <f>input_5!A$2</f>
        <v>3125</v>
      </c>
      <c r="B6" s="7" t="str">
        <f t="shared" si="1"/>
        <v>Premium3</v>
      </c>
      <c r="C6" s="7" t="str">
        <f t="shared" si="2"/>
        <v>Premium</v>
      </c>
      <c r="D6" s="6">
        <v>130</v>
      </c>
      <c r="E6" s="7" t="str">
        <f>VLOOKUP(D6,[1]characters!$A:$C,3,FALSE)</f>
        <v>狼男 ローレンス</v>
      </c>
      <c r="F6" s="7" t="str">
        <f>VLOOKUP(D6,[1]characters!$A:$J,10,FALSE)</f>
        <v>PremiumW</v>
      </c>
      <c r="G6" s="7">
        <f>VLOOKUP(D6,[1]characters!$A:$I,9,FALSE)</f>
        <v>3</v>
      </c>
      <c r="H6" s="7" t="str">
        <f>VLOOKUP(D6,[1]characters!$A:$H,8,FALSE)</f>
        <v>blue</v>
      </c>
      <c r="I6" s="7" t="str">
        <f>VLOOKUP(D6,[1]characters!$A:$K,11,FALSE)</f>
        <v>attack</v>
      </c>
      <c r="J6" s="7" t="str">
        <f>VLOOKUP(D6,[1]characters!$A:$M,13,FALSE)</f>
        <v>animal</v>
      </c>
      <c r="K6" s="7" t="str">
        <f>VLOOKUP(D6,[1]characters!$A:$G,7,FALSE)</f>
        <v>不明</v>
      </c>
      <c r="L6" s="66">
        <f>IFERROR(VLOOKUP(D6,input_5!L:R,7,FALSE),VLOOKUP(tables_5!B6,input_5!A:H,8,FALSE))</f>
        <v>0</v>
      </c>
      <c r="M6" s="67">
        <f t="shared" si="0"/>
        <v>0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customHeight="1">
      <c r="A7" s="2">
        <f>input_5!A$2</f>
        <v>3125</v>
      </c>
      <c r="B7" s="7" t="str">
        <f t="shared" si="1"/>
        <v>Premium4</v>
      </c>
      <c r="C7" s="7" t="str">
        <f t="shared" si="2"/>
        <v>Premium</v>
      </c>
      <c r="D7" s="6">
        <v>131</v>
      </c>
      <c r="E7" s="7" t="str">
        <f>VLOOKUP(D7,[1]characters!$A:$C,3,FALSE)</f>
        <v>月下の人狼 ローレンス</v>
      </c>
      <c r="F7" s="7" t="str">
        <f>VLOOKUP(D7,[1]characters!$A:$J,10,FALSE)</f>
        <v>PremiumW</v>
      </c>
      <c r="G7" s="7">
        <f>VLOOKUP(D7,[1]characters!$A:$I,9,FALSE)</f>
        <v>4</v>
      </c>
      <c r="H7" s="7" t="str">
        <f>VLOOKUP(D7,[1]characters!$A:$H,8,FALSE)</f>
        <v>blue</v>
      </c>
      <c r="I7" s="7" t="str">
        <f>VLOOKUP(D7,[1]characters!$A:$K,11,FALSE)</f>
        <v>attack</v>
      </c>
      <c r="J7" s="7" t="str">
        <f>VLOOKUP(D7,[1]characters!$A:$M,13,FALSE)</f>
        <v>animal</v>
      </c>
      <c r="K7" s="7" t="str">
        <f>VLOOKUP(D7,[1]characters!$A:$G,7,FALSE)</f>
        <v>不明</v>
      </c>
      <c r="L7" s="66">
        <f>IFERROR(VLOOKUP(D7,input_5!L:R,7,FALSE),VLOOKUP(tables_5!B7,input_5!A:H,8,FALSE))</f>
        <v>260091</v>
      </c>
      <c r="M7" s="67">
        <f t="shared" si="0"/>
        <v>1.2516891891891892E-2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customHeight="1">
      <c r="A8" s="2">
        <f>input_5!A$2</f>
        <v>3125</v>
      </c>
      <c r="B8" s="7" t="str">
        <f t="shared" si="1"/>
        <v>Premium3</v>
      </c>
      <c r="C8" s="7" t="str">
        <f t="shared" si="2"/>
        <v>Premium</v>
      </c>
      <c r="D8" s="6">
        <v>132</v>
      </c>
      <c r="E8" s="7" t="str">
        <f>VLOOKUP(D8,[1]characters!$A:$C,3,FALSE)</f>
        <v>鳥人ハヤト</v>
      </c>
      <c r="F8" s="7" t="str">
        <f>VLOOKUP(D8,[1]characters!$A:$J,10,FALSE)</f>
        <v>PremiumW</v>
      </c>
      <c r="G8" s="7">
        <f>VLOOKUP(D8,[1]characters!$A:$I,9,FALSE)</f>
        <v>3</v>
      </c>
      <c r="H8" s="7" t="str">
        <f>VLOOKUP(D8,[1]characters!$A:$H,8,FALSE)</f>
        <v>yellow</v>
      </c>
      <c r="I8" s="7" t="str">
        <f>VLOOKUP(D8,[1]characters!$A:$K,11,FALSE)</f>
        <v>attack</v>
      </c>
      <c r="J8" s="7" t="str">
        <f>VLOOKUP(D8,[1]characters!$A:$M,13,FALSE)</f>
        <v>human</v>
      </c>
      <c r="K8" s="7" t="str">
        <f>VLOOKUP(D8,[1]characters!$A:$G,7,FALSE)</f>
        <v>男性</v>
      </c>
      <c r="L8" s="66">
        <f>IFERROR(VLOOKUP(D8,input_5!L:R,7,FALSE),VLOOKUP(tables_5!B8,input_5!A:H,8,FALSE))</f>
        <v>0</v>
      </c>
      <c r="M8" s="67">
        <f t="shared" si="0"/>
        <v>0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customHeight="1">
      <c r="A9" s="2">
        <f>input_5!A$2</f>
        <v>3125</v>
      </c>
      <c r="B9" s="7" t="str">
        <f t="shared" si="1"/>
        <v>Premium4</v>
      </c>
      <c r="C9" s="7" t="str">
        <f t="shared" si="2"/>
        <v>Premium</v>
      </c>
      <c r="D9" s="6">
        <v>133</v>
      </c>
      <c r="E9" s="7" t="str">
        <f>VLOOKUP(D9,[1]characters!$A:$C,3,FALSE)</f>
        <v>迅雷の刀剣 ハヤト</v>
      </c>
      <c r="F9" s="7" t="str">
        <f>VLOOKUP(D9,[1]characters!$A:$J,10,FALSE)</f>
        <v>PremiumW</v>
      </c>
      <c r="G9" s="7">
        <f>VLOOKUP(D9,[1]characters!$A:$I,9,FALSE)</f>
        <v>4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human</v>
      </c>
      <c r="K9" s="7" t="str">
        <f>VLOOKUP(D9,[1]characters!$A:$G,7,FALSE)</f>
        <v>男性</v>
      </c>
      <c r="L9" s="66">
        <f>IFERROR(VLOOKUP(D9,input_5!L:R,7,FALSE),VLOOKUP(tables_5!B9,input_5!A:H,8,FALSE))</f>
        <v>260091</v>
      </c>
      <c r="M9" s="67">
        <f t="shared" si="0"/>
        <v>1.2516891891891892E-2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customHeight="1">
      <c r="A10" s="2">
        <f>input_5!A$2</f>
        <v>3125</v>
      </c>
      <c r="B10" s="7" t="str">
        <f t="shared" si="1"/>
        <v>Premium3</v>
      </c>
      <c r="C10" s="7" t="str">
        <f t="shared" si="2"/>
        <v>Premium</v>
      </c>
      <c r="D10" s="6">
        <v>134</v>
      </c>
      <c r="E10" s="7" t="str">
        <f>VLOOKUP(D10,[1]characters!$A:$C,3,FALSE)</f>
        <v>妖炎の夕霧</v>
      </c>
      <c r="F10" s="7" t="str">
        <f>VLOOKUP(D10,[1]characters!$A:$J,10,FALSE)</f>
        <v>PremiumW</v>
      </c>
      <c r="G10" s="7">
        <f>VLOOKUP(D10,[1]characters!$A:$I,9,FALSE)</f>
        <v>3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66">
        <f>IFERROR(VLOOKUP(D10,input_5!L:R,7,FALSE),VLOOKUP(tables_5!B10,input_5!A:H,8,FALSE))</f>
        <v>0</v>
      </c>
      <c r="M10" s="67">
        <f t="shared" si="0"/>
        <v>0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customHeight="1">
      <c r="A11" s="2">
        <f>input_5!A$2</f>
        <v>3125</v>
      </c>
      <c r="B11" s="7" t="str">
        <f t="shared" si="1"/>
        <v>Premium4</v>
      </c>
      <c r="C11" s="7" t="str">
        <f t="shared" si="2"/>
        <v>Premium</v>
      </c>
      <c r="D11" s="6">
        <v>135</v>
      </c>
      <c r="E11" s="7" t="str">
        <f>VLOOKUP(D11,[1]characters!$A:$C,3,FALSE)</f>
        <v>京の炎華夕霧</v>
      </c>
      <c r="F11" s="7" t="str">
        <f>VLOOKUP(D11,[1]characters!$A:$J,10,FALSE)</f>
        <v>PremiumW</v>
      </c>
      <c r="G11" s="7">
        <f>VLOOKUP(D11,[1]characters!$A:$I,9,FALSE)</f>
        <v>4</v>
      </c>
      <c r="H11" s="7" t="str">
        <f>VLOOKUP(D11,[1]characters!$A:$H,8,FALSE)</f>
        <v>red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66">
        <f>IFERROR(VLOOKUP(D11,input_5!L:R,7,FALSE),VLOOKUP(tables_5!B11,input_5!A:H,8,FALSE))</f>
        <v>260091</v>
      </c>
      <c r="M11" s="67">
        <f t="shared" si="0"/>
        <v>1.2516891891891892E-2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customHeight="1">
      <c r="A12" s="2">
        <f>input_5!A$2</f>
        <v>3125</v>
      </c>
      <c r="B12" s="7" t="str">
        <f t="shared" si="1"/>
        <v>Premium3</v>
      </c>
      <c r="C12" s="7" t="str">
        <f t="shared" si="2"/>
        <v>Premium</v>
      </c>
      <c r="D12" s="8">
        <v>136</v>
      </c>
      <c r="E12" s="7" t="str">
        <f>VLOOKUP(D12,[1]characters!$A:$C,3,FALSE)</f>
        <v>お針子チハヤ</v>
      </c>
      <c r="F12" s="7" t="str">
        <f>VLOOKUP(D12,[1]characters!$A:$J,10,FALSE)</f>
        <v>PremiumW</v>
      </c>
      <c r="G12" s="7">
        <f>VLOOKUP(D12,[1]characters!$A:$I,9,FALSE)</f>
        <v>3</v>
      </c>
      <c r="H12" s="7" t="str">
        <f>VLOOKUP(D12,[1]characters!$A:$H,8,FALSE)</f>
        <v>green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66">
        <f>IFERROR(VLOOKUP(D12,input_5!L:R,7,FALSE),VLOOKUP(tables_5!B12,input_5!A:H,8,FALSE))</f>
        <v>0</v>
      </c>
      <c r="M12" s="67">
        <f t="shared" si="0"/>
        <v>0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customHeight="1">
      <c r="A13" s="2">
        <f>input_5!A$2</f>
        <v>3125</v>
      </c>
      <c r="B13" s="7" t="str">
        <f t="shared" si="1"/>
        <v>Premium4</v>
      </c>
      <c r="C13" s="7" t="str">
        <f t="shared" si="2"/>
        <v>Premium</v>
      </c>
      <c r="D13" s="8">
        <v>137</v>
      </c>
      <c r="E13" s="7" t="str">
        <f>VLOOKUP(D13,[1]characters!$A:$C,3,FALSE)</f>
        <v>清福の仕立屋 チハヤ</v>
      </c>
      <c r="F13" s="7" t="str">
        <f>VLOOKUP(D13,[1]characters!$A:$J,10,FALSE)</f>
        <v>PremiumW</v>
      </c>
      <c r="G13" s="7">
        <f>VLOOKUP(D13,[1]characters!$A:$I,9,FALSE)</f>
        <v>4</v>
      </c>
      <c r="H13" s="7" t="str">
        <f>VLOOKUP(D13,[1]characters!$A:$H,8,FALSE)</f>
        <v>green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女性</v>
      </c>
      <c r="L13" s="66">
        <f>IFERROR(VLOOKUP(D13,input_5!L:R,7,FALSE),VLOOKUP(tables_5!B13,input_5!A:H,8,FALSE))</f>
        <v>260091</v>
      </c>
      <c r="M13" s="67">
        <f t="shared" si="0"/>
        <v>1.2516891891891892E-2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customHeight="1">
      <c r="A14" s="2">
        <f>input_5!A$2</f>
        <v>3125</v>
      </c>
      <c r="B14" s="7" t="str">
        <f t="shared" si="1"/>
        <v>Premium3</v>
      </c>
      <c r="C14" s="7" t="str">
        <f t="shared" si="2"/>
        <v>Premium</v>
      </c>
      <c r="D14" s="6">
        <v>138</v>
      </c>
      <c r="E14" s="7" t="str">
        <f>VLOOKUP(D14,[1]characters!$A:$C,3,FALSE)</f>
        <v>蒼薙のトモエ</v>
      </c>
      <c r="F14" s="7" t="str">
        <f>VLOOKUP(D14,[1]characters!$A:$J,10,FALSE)</f>
        <v>PremiumW</v>
      </c>
      <c r="G14" s="7">
        <f>VLOOKUP(D14,[1]characters!$A:$I,9,FALSE)</f>
        <v>3</v>
      </c>
      <c r="H14" s="7" t="str">
        <f>VLOOKUP(D14,[1]characters!$A:$H,8,FALSE)</f>
        <v>blue</v>
      </c>
      <c r="I14" s="7" t="str">
        <f>VLOOKUP(D14,[1]characters!$A:$K,11,FALSE)</f>
        <v>balance</v>
      </c>
      <c r="J14" s="7" t="str">
        <f>VLOOKUP(D14,[1]characters!$A:$M,13,FALSE)</f>
        <v>human</v>
      </c>
      <c r="K14" s="7" t="str">
        <f>VLOOKUP(D14,[1]characters!$A:$G,7,FALSE)</f>
        <v>女性</v>
      </c>
      <c r="L14" s="66">
        <f>IFERROR(VLOOKUP(D14,input_5!L:R,7,FALSE),VLOOKUP(tables_5!B14,input_5!A:H,8,FALSE))</f>
        <v>0</v>
      </c>
      <c r="M14" s="67">
        <f t="shared" si="0"/>
        <v>0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customHeight="1">
      <c r="A15" s="2">
        <f>input_5!A$2</f>
        <v>3125</v>
      </c>
      <c r="B15" s="7" t="str">
        <f t="shared" si="1"/>
        <v>Premium4</v>
      </c>
      <c r="C15" s="7" t="str">
        <f t="shared" si="2"/>
        <v>Premium</v>
      </c>
      <c r="D15" s="6">
        <v>139</v>
      </c>
      <c r="E15" s="7" t="str">
        <f>VLOOKUP(D15,[1]characters!$A:$C,3,FALSE)</f>
        <v>蒼昇刃姫 トモエ</v>
      </c>
      <c r="F15" s="7" t="str">
        <f>VLOOKUP(D15,[1]characters!$A:$J,10,FALSE)</f>
        <v>PremiumW</v>
      </c>
      <c r="G15" s="7">
        <f>VLOOKUP(D15,[1]characters!$A:$I,9,FALSE)</f>
        <v>4</v>
      </c>
      <c r="H15" s="7" t="str">
        <f>VLOOKUP(D15,[1]characters!$A:$H,8,FALSE)</f>
        <v>blue</v>
      </c>
      <c r="I15" s="7" t="str">
        <f>VLOOKUP(D15,[1]characters!$A:$K,11,FALSE)</f>
        <v>balance</v>
      </c>
      <c r="J15" s="7" t="str">
        <f>VLOOKUP(D15,[1]characters!$A:$M,13,FALSE)</f>
        <v>human</v>
      </c>
      <c r="K15" s="7" t="str">
        <f>VLOOKUP(D15,[1]characters!$A:$G,7,FALSE)</f>
        <v>女性</v>
      </c>
      <c r="L15" s="66">
        <f>IFERROR(VLOOKUP(D15,input_5!L:R,7,FALSE),VLOOKUP(tables_5!B15,input_5!A:H,8,FALSE))</f>
        <v>260091</v>
      </c>
      <c r="M15" s="67">
        <f t="shared" si="0"/>
        <v>1.2516891891891892E-2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customHeight="1">
      <c r="A16" s="2">
        <f>input_5!A$2</f>
        <v>3125</v>
      </c>
      <c r="B16" s="7" t="str">
        <f t="shared" si="1"/>
        <v>Premium3</v>
      </c>
      <c r="C16" s="7" t="str">
        <f t="shared" si="2"/>
        <v>Premium</v>
      </c>
      <c r="D16" s="10">
        <v>140</v>
      </c>
      <c r="E16" s="7" t="str">
        <f>VLOOKUP(D16,[1]characters!$A:$C,3,FALSE)</f>
        <v>秋祭のタマモ</v>
      </c>
      <c r="F16" s="7" t="str">
        <f>VLOOKUP(D16,[1]characters!$A:$J,10,FALSE)</f>
        <v>PremiumW</v>
      </c>
      <c r="G16" s="7">
        <f>VLOOKUP(D16,[1]characters!$A:$I,9,FALSE)</f>
        <v>3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animal</v>
      </c>
      <c r="K16" s="7" t="str">
        <f>VLOOKUP(D16,[1]characters!$A:$G,7,FALSE)</f>
        <v>女性</v>
      </c>
      <c r="L16" s="66">
        <f>IFERROR(VLOOKUP(D16,input_5!L:R,7,FALSE),VLOOKUP(tables_5!B16,input_5!A:H,8,FALSE))</f>
        <v>0</v>
      </c>
      <c r="M16" s="67">
        <f t="shared" si="0"/>
        <v>0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customHeight="1">
      <c r="A17" s="2">
        <f>input_5!A$2</f>
        <v>3125</v>
      </c>
      <c r="B17" s="7" t="str">
        <f t="shared" si="1"/>
        <v>Premium4</v>
      </c>
      <c r="C17" s="7" t="str">
        <f t="shared" si="2"/>
        <v>Premium</v>
      </c>
      <c r="D17" s="11">
        <v>141</v>
      </c>
      <c r="E17" s="7" t="str">
        <f>VLOOKUP(D17,[1]characters!$A:$C,3,FALSE)</f>
        <v>妖狐演舞 タマモ</v>
      </c>
      <c r="F17" s="7" t="str">
        <f>VLOOKUP(D17,[1]characters!$A:$J,10,FALSE)</f>
        <v>PremiumW</v>
      </c>
      <c r="G17" s="7">
        <f>VLOOKUP(D17,[1]characters!$A:$I,9,FALSE)</f>
        <v>4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animal</v>
      </c>
      <c r="K17" s="7" t="str">
        <f>VLOOKUP(D17,[1]characters!$A:$G,7,FALSE)</f>
        <v>女性</v>
      </c>
      <c r="L17" s="66">
        <f>IFERROR(VLOOKUP(D17,input_5!L:R,7,FALSE),VLOOKUP(tables_5!B17,input_5!A:H,8,FALSE))</f>
        <v>260091</v>
      </c>
      <c r="M17" s="67">
        <f t="shared" si="0"/>
        <v>1.2516891891891892E-2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customHeight="1">
      <c r="A18" s="2">
        <f>input_5!A$2</f>
        <v>3125</v>
      </c>
      <c r="B18" s="7" t="str">
        <f t="shared" si="1"/>
        <v>Premium3</v>
      </c>
      <c r="C18" s="7" t="str">
        <f t="shared" si="2"/>
        <v>Premium</v>
      </c>
      <c r="D18" s="6">
        <v>142</v>
      </c>
      <c r="E18" s="7" t="str">
        <f>VLOOKUP(D18,[1]characters!$A:$C,3,FALSE)</f>
        <v>赤ずきん</v>
      </c>
      <c r="F18" s="7" t="str">
        <f>VLOOKUP(D18,[1]characters!$A:$J,10,FALSE)</f>
        <v>PremiumW</v>
      </c>
      <c r="G18" s="7">
        <f>VLOOKUP(D18,[1]characters!$A:$I,9,FALSE)</f>
        <v>3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human</v>
      </c>
      <c r="K18" s="7" t="str">
        <f>VLOOKUP(D18,[1]characters!$A:$G,7,FALSE)</f>
        <v>女性</v>
      </c>
      <c r="L18" s="66">
        <f>IFERROR(VLOOKUP(D18,input_5!L:R,7,FALSE),VLOOKUP(tables_5!B18,input_5!A:H,8,FALSE))</f>
        <v>0</v>
      </c>
      <c r="M18" s="67">
        <f t="shared" si="0"/>
        <v>0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s="12" customFormat="1" ht="21" customHeight="1" thickBot="1">
      <c r="A19" s="2">
        <f>input_5!A$2</f>
        <v>3125</v>
      </c>
      <c r="B19" s="7" t="str">
        <f t="shared" si="1"/>
        <v>Premium4</v>
      </c>
      <c r="C19" s="7" t="str">
        <f t="shared" si="2"/>
        <v>Premium</v>
      </c>
      <c r="D19" s="6">
        <v>143</v>
      </c>
      <c r="E19" s="7" t="str">
        <f>VLOOKUP(D19,[1]characters!$A:$C,3,FALSE)</f>
        <v>深紅の死神 赤ずきん</v>
      </c>
      <c r="F19" s="7" t="str">
        <f>VLOOKUP(D19,[1]characters!$A:$J,10,FALSE)</f>
        <v>PremiumW</v>
      </c>
      <c r="G19" s="7">
        <f>VLOOKUP(D19,[1]characters!$A:$I,9,FALSE)</f>
        <v>4</v>
      </c>
      <c r="H19" s="7" t="str">
        <f>VLOOKUP(D19,[1]characters!$A:$H,8,FALSE)</f>
        <v>red</v>
      </c>
      <c r="I19" s="7" t="str">
        <f>VLOOKUP(D19,[1]characters!$A:$K,11,FALSE)</f>
        <v>balance</v>
      </c>
      <c r="J19" s="7" t="str">
        <f>VLOOKUP(D19,[1]characters!$A:$M,13,FALSE)</f>
        <v>human</v>
      </c>
      <c r="K19" s="7" t="str">
        <f>VLOOKUP(D19,[1]characters!$A:$G,7,FALSE)</f>
        <v>女性</v>
      </c>
      <c r="L19" s="66">
        <f>IFERROR(VLOOKUP(D19,input_5!L:R,7,FALSE),VLOOKUP(tables_5!B19,input_5!A:H,8,FALSE))</f>
        <v>260091</v>
      </c>
      <c r="M19" s="67">
        <f t="shared" si="0"/>
        <v>1.2516891891891892E-2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customHeight="1">
      <c r="A20" s="2">
        <f>input_5!A$2</f>
        <v>3125</v>
      </c>
      <c r="B20" s="7" t="str">
        <f t="shared" si="1"/>
        <v>Premium3</v>
      </c>
      <c r="C20" s="7" t="str">
        <f t="shared" si="2"/>
        <v>Premium</v>
      </c>
      <c r="D20" s="10">
        <v>144</v>
      </c>
      <c r="E20" s="7" t="str">
        <f>VLOOKUP(D20,[1]characters!$A:$C,3,FALSE)</f>
        <v>かぐや</v>
      </c>
      <c r="F20" s="7" t="str">
        <f>VLOOKUP(D20,[1]characters!$A:$J,10,FALSE)</f>
        <v>PremiumW</v>
      </c>
      <c r="G20" s="7">
        <f>VLOOKUP(D20,[1]characters!$A:$I,9,FALSE)</f>
        <v>3</v>
      </c>
      <c r="H20" s="7" t="str">
        <f>VLOOKUP(D20,[1]characters!$A:$H,8,FALSE)</f>
        <v>green</v>
      </c>
      <c r="I20" s="7" t="str">
        <f>VLOOKUP(D20,[1]characters!$A:$K,11,FALSE)</f>
        <v>hp</v>
      </c>
      <c r="J20" s="7" t="str">
        <f>VLOOKUP(D20,[1]characters!$A:$M,13,FALSE)</f>
        <v>human</v>
      </c>
      <c r="K20" s="7" t="str">
        <f>VLOOKUP(D20,[1]characters!$A:$G,7,FALSE)</f>
        <v>女性</v>
      </c>
      <c r="L20" s="66">
        <f>IFERROR(VLOOKUP(D20,input_5!L:R,7,FALSE),VLOOKUP(tables_5!B20,input_5!A:H,8,FALSE))</f>
        <v>0</v>
      </c>
      <c r="M20" s="67">
        <f t="shared" si="0"/>
        <v>0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customHeight="1">
      <c r="A21" s="2">
        <f>input_5!A$2</f>
        <v>3125</v>
      </c>
      <c r="B21" s="7" t="str">
        <f t="shared" si="1"/>
        <v>Premium4</v>
      </c>
      <c r="C21" s="7" t="str">
        <f t="shared" si="2"/>
        <v>Premium</v>
      </c>
      <c r="D21" s="6">
        <v>145</v>
      </c>
      <c r="E21" s="7" t="str">
        <f>VLOOKUP(D21,[1]characters!$A:$C,3,FALSE)</f>
        <v>魔性妖艶 かぐや</v>
      </c>
      <c r="F21" s="7" t="str">
        <f>VLOOKUP(D21,[1]characters!$A:$J,10,FALSE)</f>
        <v>PremiumW</v>
      </c>
      <c r="G21" s="7">
        <f>VLOOKUP(D21,[1]characters!$A:$I,9,FALSE)</f>
        <v>4</v>
      </c>
      <c r="H21" s="7" t="str">
        <f>VLOOKUP(D21,[1]characters!$A:$H,8,FALSE)</f>
        <v>green</v>
      </c>
      <c r="I21" s="7" t="str">
        <f>VLOOKUP(D21,[1]characters!$A:$K,11,FALSE)</f>
        <v>hp</v>
      </c>
      <c r="J21" s="7" t="str">
        <f>VLOOKUP(D21,[1]characters!$A:$M,13,FALSE)</f>
        <v>human</v>
      </c>
      <c r="K21" s="7" t="str">
        <f>VLOOKUP(D21,[1]characters!$A:$G,7,FALSE)</f>
        <v>女性</v>
      </c>
      <c r="L21" s="66">
        <f>IFERROR(VLOOKUP(D21,input_5!L:R,7,FALSE),VLOOKUP(tables_5!B21,input_5!A:H,8,FALSE))</f>
        <v>260091</v>
      </c>
      <c r="M21" s="67">
        <f t="shared" si="0"/>
        <v>1.2516891891891892E-2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customHeight="1">
      <c r="A22" s="2">
        <f>input_5!A$2</f>
        <v>3125</v>
      </c>
      <c r="B22" s="7" t="str">
        <f t="shared" si="1"/>
        <v>Premium3</v>
      </c>
      <c r="C22" s="7" t="str">
        <f t="shared" si="2"/>
        <v>Premium</v>
      </c>
      <c r="D22" s="6">
        <v>146</v>
      </c>
      <c r="E22" s="7" t="str">
        <f>VLOOKUP(D22,[1]characters!$A:$C,3,FALSE)</f>
        <v>マーメイド</v>
      </c>
      <c r="F22" s="7" t="str">
        <f>VLOOKUP(D22,[1]characters!$A:$J,10,FALSE)</f>
        <v>PremiumW</v>
      </c>
      <c r="G22" s="7">
        <f>VLOOKUP(D22,[1]characters!$A:$I,9,FALSE)</f>
        <v>3</v>
      </c>
      <c r="H22" s="7" t="str">
        <f>VLOOKUP(D22,[1]characters!$A:$H,8,FALSE)</f>
        <v>blue</v>
      </c>
      <c r="I22" s="7" t="str">
        <f>VLOOKUP(D22,[1]characters!$A:$K,11,FALSE)</f>
        <v>hp</v>
      </c>
      <c r="J22" s="7" t="str">
        <f>VLOOKUP(D22,[1]characters!$A:$M,13,FALSE)</f>
        <v>human</v>
      </c>
      <c r="K22" s="7" t="str">
        <f>VLOOKUP(D22,[1]characters!$A:$G,7,FALSE)</f>
        <v>女性</v>
      </c>
      <c r="L22" s="66">
        <f>IFERROR(VLOOKUP(D22,input_5!L:R,7,FALSE),VLOOKUP(tables_5!B22,input_5!A:H,8,FALSE))</f>
        <v>0</v>
      </c>
      <c r="M22" s="67">
        <f t="shared" si="0"/>
        <v>0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customHeight="1">
      <c r="A23" s="2">
        <f>input_5!A$2</f>
        <v>3125</v>
      </c>
      <c r="B23" s="7" t="str">
        <f t="shared" si="1"/>
        <v>Premium4</v>
      </c>
      <c r="C23" s="7" t="str">
        <f t="shared" si="2"/>
        <v>Premium</v>
      </c>
      <c r="D23" s="6">
        <v>147</v>
      </c>
      <c r="E23" s="7" t="str">
        <f>VLOOKUP(D23,[1]characters!$A:$C,3,FALSE)</f>
        <v>蒼き閃光 元マーメイド</v>
      </c>
      <c r="F23" s="7" t="str">
        <f>VLOOKUP(D23,[1]characters!$A:$J,10,FALSE)</f>
        <v>PremiumW</v>
      </c>
      <c r="G23" s="7">
        <f>VLOOKUP(D23,[1]characters!$A:$I,9,FALSE)</f>
        <v>4</v>
      </c>
      <c r="H23" s="7" t="str">
        <f>VLOOKUP(D23,[1]characters!$A:$H,8,FALSE)</f>
        <v>blue</v>
      </c>
      <c r="I23" s="7" t="str">
        <f>VLOOKUP(D23,[1]characters!$A:$K,11,FALSE)</f>
        <v>hp</v>
      </c>
      <c r="J23" s="7" t="str">
        <f>VLOOKUP(D23,[1]characters!$A:$M,13,FALSE)</f>
        <v>human</v>
      </c>
      <c r="K23" s="7" t="str">
        <f>VLOOKUP(D23,[1]characters!$A:$G,7,FALSE)</f>
        <v>女性</v>
      </c>
      <c r="L23" s="66">
        <f>IFERROR(VLOOKUP(D23,input_5!L:R,7,FALSE),VLOOKUP(tables_5!B23,input_5!A:H,8,FALSE))</f>
        <v>260091</v>
      </c>
      <c r="M23" s="67">
        <f t="shared" si="0"/>
        <v>1.2516891891891892E-2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customHeight="1">
      <c r="A24" s="2">
        <f>input_5!A$2</f>
        <v>3125</v>
      </c>
      <c r="B24" s="7" t="str">
        <f t="shared" si="1"/>
        <v>Premium3</v>
      </c>
      <c r="C24" s="7" t="str">
        <f t="shared" si="2"/>
        <v>Premium</v>
      </c>
      <c r="D24" s="6">
        <v>148</v>
      </c>
      <c r="E24" s="7" t="str">
        <f>VLOOKUP(D24,[1]characters!$A:$C,3,FALSE)</f>
        <v>シンデレラ</v>
      </c>
      <c r="F24" s="7" t="str">
        <f>VLOOKUP(D24,[1]characters!$A:$J,10,FALSE)</f>
        <v>PremiumW</v>
      </c>
      <c r="G24" s="7">
        <f>VLOOKUP(D24,[1]characters!$A:$I,9,FALSE)</f>
        <v>3</v>
      </c>
      <c r="H24" s="7" t="str">
        <f>VLOOKUP(D24,[1]characters!$A:$H,8,FALSE)</f>
        <v>yellow</v>
      </c>
      <c r="I24" s="7" t="str">
        <f>VLOOKUP(D24,[1]characters!$A:$K,11,FALSE)</f>
        <v>balance</v>
      </c>
      <c r="J24" s="7" t="str">
        <f>VLOOKUP(D24,[1]characters!$A:$M,13,FALSE)</f>
        <v>human</v>
      </c>
      <c r="K24" s="7" t="str">
        <f>VLOOKUP(D24,[1]characters!$A:$G,7,FALSE)</f>
        <v>女性</v>
      </c>
      <c r="L24" s="66">
        <f>IFERROR(VLOOKUP(D24,input_5!L:R,7,FALSE),VLOOKUP(tables_5!B24,input_5!A:H,8,FALSE))</f>
        <v>0</v>
      </c>
      <c r="M24" s="67">
        <f t="shared" si="0"/>
        <v>0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customHeight="1">
      <c r="A25" s="2">
        <f>input_5!A$2</f>
        <v>3125</v>
      </c>
      <c r="B25" s="7" t="str">
        <f t="shared" si="1"/>
        <v>Premium4</v>
      </c>
      <c r="C25" s="7" t="str">
        <f t="shared" si="2"/>
        <v>Premium</v>
      </c>
      <c r="D25" s="6">
        <v>149</v>
      </c>
      <c r="E25" s="7" t="str">
        <f>VLOOKUP(D25,[1]characters!$A:$C,3,FALSE)</f>
        <v>雷撃蹴技を極めし者 シンデレラ</v>
      </c>
      <c r="F25" s="7" t="str">
        <f>VLOOKUP(D25,[1]characters!$A:$J,10,FALSE)</f>
        <v>PremiumW</v>
      </c>
      <c r="G25" s="7">
        <f>VLOOKUP(D25,[1]characters!$A:$I,9,FALSE)</f>
        <v>4</v>
      </c>
      <c r="H25" s="7" t="str">
        <f>VLOOKUP(D25,[1]characters!$A:$H,8,FALSE)</f>
        <v>yellow</v>
      </c>
      <c r="I25" s="7" t="str">
        <f>VLOOKUP(D25,[1]characters!$A:$K,11,FALSE)</f>
        <v>balance</v>
      </c>
      <c r="J25" s="7" t="str">
        <f>VLOOKUP(D25,[1]characters!$A:$M,13,FALSE)</f>
        <v>human</v>
      </c>
      <c r="K25" s="7" t="str">
        <f>VLOOKUP(D25,[1]characters!$A:$G,7,FALSE)</f>
        <v>女性</v>
      </c>
      <c r="L25" s="66">
        <f>IFERROR(VLOOKUP(D25,input_5!L:R,7,FALSE),VLOOKUP(tables_5!B25,input_5!A:H,8,FALSE))</f>
        <v>260091</v>
      </c>
      <c r="M25" s="67">
        <f t="shared" si="0"/>
        <v>1.2516891891891892E-2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customHeight="1">
      <c r="A26" s="2">
        <f>input_5!A$2</f>
        <v>3125</v>
      </c>
      <c r="B26" s="7" t="str">
        <f t="shared" si="1"/>
        <v>Premium3</v>
      </c>
      <c r="C26" s="7" t="str">
        <f t="shared" si="2"/>
        <v>Premium</v>
      </c>
      <c r="D26" s="6">
        <v>150</v>
      </c>
      <c r="E26" s="7" t="str">
        <f>VLOOKUP(D26,[1]characters!$A:$C,3,FALSE)</f>
        <v>ポイズンマスターサキ</v>
      </c>
      <c r="F26" s="7" t="str">
        <f>VLOOKUP(D26,[1]characters!$A:$J,10,FALSE)</f>
        <v>PremiumW</v>
      </c>
      <c r="G26" s="7">
        <f>VLOOKUP(D26,[1]characters!$A:$I,9,FALSE)</f>
        <v>3</v>
      </c>
      <c r="H26" s="7" t="str">
        <f>VLOOKUP(D26,[1]characters!$A:$H,8,FALSE)</f>
        <v>red</v>
      </c>
      <c r="I26" s="7" t="str">
        <f>VLOOKUP(D26,[1]characters!$A:$K,11,FALSE)</f>
        <v>technical</v>
      </c>
      <c r="J26" s="7" t="str">
        <f>VLOOKUP(D26,[1]characters!$A:$M,13,FALSE)</f>
        <v>human</v>
      </c>
      <c r="K26" s="7" t="str">
        <f>VLOOKUP(D26,[1]characters!$A:$G,7,FALSE)</f>
        <v>女性</v>
      </c>
      <c r="L26" s="66">
        <f>IFERROR(VLOOKUP(D26,input_5!L:R,7,FALSE),VLOOKUP(tables_5!B26,input_5!A:H,8,FALSE))</f>
        <v>0</v>
      </c>
      <c r="M26" s="67">
        <f t="shared" si="0"/>
        <v>0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customHeight="1">
      <c r="A27" s="2">
        <f>input_5!A$2</f>
        <v>3125</v>
      </c>
      <c r="B27" s="7" t="str">
        <f t="shared" si="1"/>
        <v>Premium4</v>
      </c>
      <c r="C27" s="7" t="str">
        <f t="shared" si="2"/>
        <v>Premium</v>
      </c>
      <c r="D27" s="6">
        <v>151</v>
      </c>
      <c r="E27" s="7" t="str">
        <f>VLOOKUP(D27,[1]characters!$A:$C,3,FALSE)</f>
        <v>毒煙の処刑人サキ</v>
      </c>
      <c r="F27" s="7" t="str">
        <f>VLOOKUP(D27,[1]characters!$A:$J,10,FALSE)</f>
        <v>PremiumW</v>
      </c>
      <c r="G27" s="7">
        <f>VLOOKUP(D27,[1]characters!$A:$I,9,FALSE)</f>
        <v>4</v>
      </c>
      <c r="H27" s="7" t="str">
        <f>VLOOKUP(D27,[1]characters!$A:$H,8,FALSE)</f>
        <v>red</v>
      </c>
      <c r="I27" s="7" t="str">
        <f>VLOOKUP(D27,[1]characters!$A:$K,11,FALSE)</f>
        <v>technical</v>
      </c>
      <c r="J27" s="7" t="str">
        <f>VLOOKUP(D27,[1]characters!$A:$M,13,FALSE)</f>
        <v>human</v>
      </c>
      <c r="K27" s="7" t="str">
        <f>VLOOKUP(D27,[1]characters!$A:$G,7,FALSE)</f>
        <v>女性</v>
      </c>
      <c r="L27" s="66">
        <f>IFERROR(VLOOKUP(D27,input_5!L:R,7,FALSE),VLOOKUP(tables_5!B27,input_5!A:H,8,FALSE))</f>
        <v>260091</v>
      </c>
      <c r="M27" s="67">
        <f t="shared" si="0"/>
        <v>1.2516891891891892E-2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customHeight="1">
      <c r="A28" s="2">
        <f>input_5!A$2</f>
        <v>3125</v>
      </c>
      <c r="B28" s="7" t="str">
        <f t="shared" si="1"/>
        <v>Premium3</v>
      </c>
      <c r="C28" s="7" t="str">
        <f t="shared" si="2"/>
        <v>Premium</v>
      </c>
      <c r="D28" s="6">
        <v>152</v>
      </c>
      <c r="E28" s="7" t="str">
        <f>VLOOKUP(D28,[1]characters!$A:$C,3,FALSE)</f>
        <v>功夫少女ランラン</v>
      </c>
      <c r="F28" s="7" t="str">
        <f>VLOOKUP(D28,[1]characters!$A:$J,10,FALSE)</f>
        <v>PremiumW</v>
      </c>
      <c r="G28" s="7">
        <f>VLOOKUP(D28,[1]characters!$A:$I,9,FALSE)</f>
        <v>3</v>
      </c>
      <c r="H28" s="7" t="str">
        <f>VLOOKUP(D28,[1]characters!$A:$H,8,FALSE)</f>
        <v>green</v>
      </c>
      <c r="I28" s="7" t="str">
        <f>VLOOKUP(D28,[1]characters!$A:$K,11,FALSE)</f>
        <v>heal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66">
        <f>IFERROR(VLOOKUP(D28,input_5!L:R,7,FALSE),VLOOKUP(tables_5!B28,input_5!A:H,8,FALSE))</f>
        <v>0</v>
      </c>
      <c r="M28" s="67">
        <f t="shared" si="0"/>
        <v>0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customHeight="1">
      <c r="A29" s="2">
        <f>input_5!A$2</f>
        <v>3125</v>
      </c>
      <c r="B29" s="7" t="str">
        <f t="shared" si="1"/>
        <v>Premium4</v>
      </c>
      <c r="C29" s="7" t="str">
        <f t="shared" si="2"/>
        <v>Premium</v>
      </c>
      <c r="D29" s="6">
        <v>153</v>
      </c>
      <c r="E29" s="7" t="str">
        <f>VLOOKUP(D29,[1]characters!$A:$C,3,FALSE)</f>
        <v>拳聖ランラン</v>
      </c>
      <c r="F29" s="7" t="str">
        <f>VLOOKUP(D29,[1]characters!$A:$J,10,FALSE)</f>
        <v>PremiumW</v>
      </c>
      <c r="G29" s="7">
        <f>VLOOKUP(D29,[1]characters!$A:$I,9,FALSE)</f>
        <v>4</v>
      </c>
      <c r="H29" s="7" t="str">
        <f>VLOOKUP(D29,[1]characters!$A:$H,8,FALSE)</f>
        <v>green</v>
      </c>
      <c r="I29" s="7" t="str">
        <f>VLOOKUP(D29,[1]characters!$A:$K,11,FALSE)</f>
        <v>heal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66">
        <f>IFERROR(VLOOKUP(D29,input_5!L:R,7,FALSE),VLOOKUP(tables_5!B29,input_5!A:H,8,FALSE))</f>
        <v>260091</v>
      </c>
      <c r="M29" s="67">
        <f t="shared" si="0"/>
        <v>1.2516891891891892E-2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customHeight="1">
      <c r="A30" s="2">
        <f>input_5!A$2</f>
        <v>3125</v>
      </c>
      <c r="B30" s="7" t="str">
        <f t="shared" si="1"/>
        <v>Premium3</v>
      </c>
      <c r="C30" s="7" t="str">
        <f t="shared" si="2"/>
        <v>Premium</v>
      </c>
      <c r="D30" s="6">
        <v>154</v>
      </c>
      <c r="E30" s="7" t="str">
        <f>VLOOKUP(D30,[1]characters!$A:$C,3,FALSE)</f>
        <v>始末屋 ハンナ</v>
      </c>
      <c r="F30" s="7" t="str">
        <f>VLOOKUP(D30,[1]characters!$A:$J,10,FALSE)</f>
        <v>PremiumW</v>
      </c>
      <c r="G30" s="7">
        <f>VLOOKUP(D30,[1]characters!$A:$I,9,FALSE)</f>
        <v>3</v>
      </c>
      <c r="H30" s="7" t="str">
        <f>VLOOKUP(D30,[1]characters!$A:$H,8,FALSE)</f>
        <v>blue</v>
      </c>
      <c r="I30" s="7" t="str">
        <f>VLOOKUP(D30,[1]characters!$A:$K,11,FALSE)</f>
        <v>heal</v>
      </c>
      <c r="J30" s="7" t="str">
        <f>VLOOKUP(D30,[1]characters!$A:$M,13,FALSE)</f>
        <v>human</v>
      </c>
      <c r="K30" s="7" t="str">
        <f>VLOOKUP(D30,[1]characters!$A:$G,7,FALSE)</f>
        <v>女性</v>
      </c>
      <c r="L30" s="66">
        <f>IFERROR(VLOOKUP(D30,input_5!L:R,7,FALSE),VLOOKUP(tables_5!B30,input_5!A:H,8,FALSE))</f>
        <v>0</v>
      </c>
      <c r="M30" s="67">
        <f t="shared" si="0"/>
        <v>0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customHeight="1">
      <c r="A31" s="2">
        <f>input_5!A$2</f>
        <v>3125</v>
      </c>
      <c r="B31" s="7" t="str">
        <f t="shared" si="1"/>
        <v>Premium4</v>
      </c>
      <c r="C31" s="7" t="str">
        <f t="shared" si="2"/>
        <v>Premium</v>
      </c>
      <c r="D31" s="6">
        <v>155</v>
      </c>
      <c r="E31" s="7" t="str">
        <f>VLOOKUP(D31,[1]characters!$A:$C,3,FALSE)</f>
        <v>隻眼の掃除屋 ハンナ</v>
      </c>
      <c r="F31" s="7" t="str">
        <f>VLOOKUP(D31,[1]characters!$A:$J,10,FALSE)</f>
        <v>PremiumW</v>
      </c>
      <c r="G31" s="7">
        <f>VLOOKUP(D31,[1]characters!$A:$I,9,FALSE)</f>
        <v>4</v>
      </c>
      <c r="H31" s="7" t="str">
        <f>VLOOKUP(D31,[1]characters!$A:$H,8,FALSE)</f>
        <v>blue</v>
      </c>
      <c r="I31" s="7" t="str">
        <f>VLOOKUP(D31,[1]characters!$A:$K,11,FALSE)</f>
        <v>heal</v>
      </c>
      <c r="J31" s="7" t="str">
        <f>VLOOKUP(D31,[1]characters!$A:$M,13,FALSE)</f>
        <v>human</v>
      </c>
      <c r="K31" s="7" t="str">
        <f>VLOOKUP(D31,[1]characters!$A:$G,7,FALSE)</f>
        <v>女性</v>
      </c>
      <c r="L31" s="66">
        <f>IFERROR(VLOOKUP(D31,input_5!L:R,7,FALSE),VLOOKUP(tables_5!B31,input_5!A:H,8,FALSE))</f>
        <v>260091</v>
      </c>
      <c r="M31" s="67">
        <f t="shared" si="0"/>
        <v>1.2516891891891892E-2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customHeight="1">
      <c r="A32" s="2">
        <f>input_5!A$2</f>
        <v>3125</v>
      </c>
      <c r="B32" s="7" t="str">
        <f t="shared" si="1"/>
        <v>Premium3</v>
      </c>
      <c r="C32" s="7" t="str">
        <f t="shared" si="2"/>
        <v>Premium</v>
      </c>
      <c r="D32" s="6">
        <v>156</v>
      </c>
      <c r="E32" s="7" t="str">
        <f>VLOOKUP(D32,[1]characters!$A:$C,3,FALSE)</f>
        <v>踊り子 エレナ</v>
      </c>
      <c r="F32" s="7" t="str">
        <f>VLOOKUP(D32,[1]characters!$A:$J,10,FALSE)</f>
        <v>PremiumW</v>
      </c>
      <c r="G32" s="7">
        <f>VLOOKUP(D32,[1]characters!$A:$I,9,FALSE)</f>
        <v>3</v>
      </c>
      <c r="H32" s="7" t="str">
        <f>VLOOKUP(D32,[1]characters!$A:$H,8,FALSE)</f>
        <v>yellow</v>
      </c>
      <c r="I32" s="7" t="str">
        <f>VLOOKUP(D32,[1]characters!$A:$K,11,FALSE)</f>
        <v>heal</v>
      </c>
      <c r="J32" s="7" t="str">
        <f>VLOOKUP(D32,[1]characters!$A:$M,13,FALSE)</f>
        <v>human</v>
      </c>
      <c r="K32" s="7" t="str">
        <f>VLOOKUP(D32,[1]characters!$A:$G,7,FALSE)</f>
        <v>女性</v>
      </c>
      <c r="L32" s="66">
        <f>IFERROR(VLOOKUP(D32,input_5!L:R,7,FALSE),VLOOKUP(tables_5!B32,input_5!A:H,8,FALSE))</f>
        <v>0</v>
      </c>
      <c r="M32" s="67">
        <f t="shared" si="0"/>
        <v>0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customHeight="1">
      <c r="A33" s="2">
        <f>input_5!A$2</f>
        <v>3125</v>
      </c>
      <c r="B33" s="7" t="str">
        <f t="shared" si="1"/>
        <v>Premium4</v>
      </c>
      <c r="C33" s="7" t="str">
        <f t="shared" si="2"/>
        <v>Premium</v>
      </c>
      <c r="D33" s="6">
        <v>157</v>
      </c>
      <c r="E33" s="7" t="str">
        <f>VLOOKUP(D33,[1]characters!$A:$C,3,FALSE)</f>
        <v>雷光舞姫 エレナ</v>
      </c>
      <c r="F33" s="7" t="str">
        <f>VLOOKUP(D33,[1]characters!$A:$J,10,FALSE)</f>
        <v>PremiumW</v>
      </c>
      <c r="G33" s="7">
        <f>VLOOKUP(D33,[1]characters!$A:$I,9,FALSE)</f>
        <v>4</v>
      </c>
      <c r="H33" s="7" t="str">
        <f>VLOOKUP(D33,[1]characters!$A:$H,8,FALSE)</f>
        <v>yellow</v>
      </c>
      <c r="I33" s="7" t="str">
        <f>VLOOKUP(D33,[1]characters!$A:$K,11,FALSE)</f>
        <v>heal</v>
      </c>
      <c r="J33" s="7" t="str">
        <f>VLOOKUP(D33,[1]characters!$A:$M,13,FALSE)</f>
        <v>human</v>
      </c>
      <c r="K33" s="7" t="str">
        <f>VLOOKUP(D33,[1]characters!$A:$G,7,FALSE)</f>
        <v>女性</v>
      </c>
      <c r="L33" s="66">
        <f>IFERROR(VLOOKUP(D33,input_5!L:R,7,FALSE),VLOOKUP(tables_5!B33,input_5!A:H,8,FALSE))</f>
        <v>260091</v>
      </c>
      <c r="M33" s="67">
        <f t="shared" si="0"/>
        <v>1.2516891891891892E-2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customHeight="1">
      <c r="A34" s="2">
        <f>input_5!A$2</f>
        <v>3125</v>
      </c>
      <c r="B34" s="7" t="str">
        <f t="shared" si="1"/>
        <v>Premium3</v>
      </c>
      <c r="C34" s="7" t="str">
        <f t="shared" si="2"/>
        <v>Premium</v>
      </c>
      <c r="D34" s="6">
        <v>158</v>
      </c>
      <c r="E34" s="7" t="str">
        <f>VLOOKUP(D34,[1]characters!$A:$C,3,FALSE)</f>
        <v>シスター シャルロッテ</v>
      </c>
      <c r="F34" s="7" t="str">
        <f>VLOOKUP(D34,[1]characters!$A:$J,10,FALSE)</f>
        <v>PremiumW</v>
      </c>
      <c r="G34" s="7">
        <f>VLOOKUP(D34,[1]characters!$A:$I,9,FALSE)</f>
        <v>3</v>
      </c>
      <c r="H34" s="7" t="str">
        <f>VLOOKUP(D34,[1]characters!$A:$H,8,FALSE)</f>
        <v>red</v>
      </c>
      <c r="I34" s="7" t="str">
        <f>VLOOKUP(D34,[1]characters!$A:$K,11,FALSE)</f>
        <v>heal</v>
      </c>
      <c r="J34" s="7" t="str">
        <f>VLOOKUP(D34,[1]characters!$A:$M,13,FALSE)</f>
        <v>human</v>
      </c>
      <c r="K34" s="7" t="str">
        <f>VLOOKUP(D34,[1]characters!$A:$G,7,FALSE)</f>
        <v>女性</v>
      </c>
      <c r="L34" s="66">
        <f>IFERROR(VLOOKUP(D34,input_5!L:R,7,FALSE),VLOOKUP(tables_5!B34,input_5!A:H,8,FALSE))</f>
        <v>0</v>
      </c>
      <c r="M34" s="67">
        <f t="shared" si="0"/>
        <v>0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customHeight="1">
      <c r="A35" s="2">
        <f>input_5!A$2</f>
        <v>3125</v>
      </c>
      <c r="B35" s="7" t="str">
        <f t="shared" si="1"/>
        <v>Premium4</v>
      </c>
      <c r="C35" s="7" t="str">
        <f t="shared" si="2"/>
        <v>Premium</v>
      </c>
      <c r="D35" s="6">
        <v>159</v>
      </c>
      <c r="E35" s="7" t="str">
        <f>VLOOKUP(D35,[1]characters!$A:$C,3,FALSE)</f>
        <v>邪を狩りし者 シャルロッテ</v>
      </c>
      <c r="F35" s="7" t="str">
        <f>VLOOKUP(D35,[1]characters!$A:$J,10,FALSE)</f>
        <v>PremiumW</v>
      </c>
      <c r="G35" s="7">
        <f>VLOOKUP(D35,[1]characters!$A:$I,9,FALSE)</f>
        <v>4</v>
      </c>
      <c r="H35" s="7" t="str">
        <f>VLOOKUP(D35,[1]characters!$A:$H,8,FALSE)</f>
        <v>red</v>
      </c>
      <c r="I35" s="7" t="str">
        <f>VLOOKUP(D35,[1]characters!$A:$K,11,FALSE)</f>
        <v>heal</v>
      </c>
      <c r="J35" s="7" t="str">
        <f>VLOOKUP(D35,[1]characters!$A:$M,13,FALSE)</f>
        <v>human</v>
      </c>
      <c r="K35" s="7" t="str">
        <f>VLOOKUP(D35,[1]characters!$A:$G,7,FALSE)</f>
        <v>女性</v>
      </c>
      <c r="L35" s="66">
        <f>IFERROR(VLOOKUP(D35,input_5!L:R,7,FALSE),VLOOKUP(tables_5!B35,input_5!A:H,8,FALSE))</f>
        <v>260091</v>
      </c>
      <c r="M35" s="67">
        <f t="shared" si="0"/>
        <v>1.2516891891891892E-2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customHeight="1">
      <c r="A36" s="2">
        <f>input_5!A$2</f>
        <v>3125</v>
      </c>
      <c r="B36" s="7" t="str">
        <f t="shared" si="1"/>
        <v>Premium3</v>
      </c>
      <c r="C36" s="7" t="str">
        <f t="shared" si="2"/>
        <v>Premium</v>
      </c>
      <c r="D36" s="6">
        <v>160</v>
      </c>
      <c r="E36" s="7" t="str">
        <f>VLOOKUP(D36,[1]characters!$A:$C,3,FALSE)</f>
        <v>反逆者 クリエ</v>
      </c>
      <c r="F36" s="7" t="str">
        <f>VLOOKUP(D36,[1]characters!$A:$J,10,FALSE)</f>
        <v>PremiumW</v>
      </c>
      <c r="G36" s="7">
        <f>VLOOKUP(D36,[1]characters!$A:$I,9,FALSE)</f>
        <v>3</v>
      </c>
      <c r="H36" s="7" t="str">
        <f>VLOOKUP(D36,[1]characters!$A:$H,8,FALSE)</f>
        <v>green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66">
        <f>IFERROR(VLOOKUP(D36,input_5!L:R,7,FALSE),VLOOKUP(tables_5!B36,input_5!A:H,8,FALSE))</f>
        <v>0</v>
      </c>
      <c r="M36" s="67">
        <f t="shared" si="0"/>
        <v>0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customHeight="1">
      <c r="A37" s="2">
        <f>input_5!A$2</f>
        <v>3125</v>
      </c>
      <c r="B37" s="7" t="str">
        <f t="shared" si="1"/>
        <v>Premium4</v>
      </c>
      <c r="C37" s="7" t="str">
        <f t="shared" si="2"/>
        <v>Premium</v>
      </c>
      <c r="D37" s="6">
        <v>161</v>
      </c>
      <c r="E37" s="7" t="str">
        <f>VLOOKUP(D37,[1]characters!$A:$C,3,FALSE)</f>
        <v>咆哮の先導者 クリエ</v>
      </c>
      <c r="F37" s="7" t="str">
        <f>VLOOKUP(D37,[1]characters!$A:$J,10,FALSE)</f>
        <v>PremiumW</v>
      </c>
      <c r="G37" s="7">
        <f>VLOOKUP(D37,[1]characters!$A:$I,9,FALSE)</f>
        <v>4</v>
      </c>
      <c r="H37" s="7" t="str">
        <f>VLOOKUP(D37,[1]characters!$A:$H,8,FALSE)</f>
        <v>green</v>
      </c>
      <c r="I37" s="7" t="str">
        <f>VLOOKUP(D37,[1]characters!$A:$K,11,FALSE)</f>
        <v>balance</v>
      </c>
      <c r="J37" s="7" t="str">
        <f>VLOOKUP(D37,[1]characters!$A:$M,13,FALSE)</f>
        <v>human</v>
      </c>
      <c r="K37" s="7" t="str">
        <f>VLOOKUP(D37,[1]characters!$A:$G,7,FALSE)</f>
        <v>女性</v>
      </c>
      <c r="L37" s="66">
        <f>IFERROR(VLOOKUP(D37,input_5!L:R,7,FALSE),VLOOKUP(tables_5!B37,input_5!A:H,8,FALSE))</f>
        <v>260091</v>
      </c>
      <c r="M37" s="67">
        <f t="shared" si="0"/>
        <v>1.2516891891891892E-2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customHeight="1">
      <c r="A38" s="2">
        <f>input_5!A$2</f>
        <v>3125</v>
      </c>
      <c r="B38" s="7" t="str">
        <f t="shared" si="1"/>
        <v>Premium3</v>
      </c>
      <c r="C38" s="7" t="str">
        <f t="shared" si="2"/>
        <v>Premium</v>
      </c>
      <c r="D38" s="6">
        <v>162</v>
      </c>
      <c r="E38" s="7" t="str">
        <f>VLOOKUP(D38,[1]characters!$A:$C,3,FALSE)</f>
        <v>狂女 クララ</v>
      </c>
      <c r="F38" s="7" t="str">
        <f>VLOOKUP(D38,[1]characters!$A:$J,10,FALSE)</f>
        <v>PremiumW</v>
      </c>
      <c r="G38" s="7">
        <f>VLOOKUP(D38,[1]characters!$A:$I,9,FALSE)</f>
        <v>3</v>
      </c>
      <c r="H38" s="7" t="str">
        <f>VLOOKUP(D38,[1]characters!$A:$H,8,FALSE)</f>
        <v>blue</v>
      </c>
      <c r="I38" s="7" t="str">
        <f>VLOOKUP(D38,[1]characters!$A:$K,11,FALSE)</f>
        <v>attack</v>
      </c>
      <c r="J38" s="7" t="str">
        <f>VLOOKUP(D38,[1]characters!$A:$M,13,FALSE)</f>
        <v>human</v>
      </c>
      <c r="K38" s="7" t="str">
        <f>VLOOKUP(D38,[1]characters!$A:$G,7,FALSE)</f>
        <v>女性</v>
      </c>
      <c r="L38" s="66">
        <f>IFERROR(VLOOKUP(D38,input_5!L:R,7,FALSE),VLOOKUP(tables_5!B38,input_5!A:H,8,FALSE))</f>
        <v>0</v>
      </c>
      <c r="M38" s="67">
        <f t="shared" si="0"/>
        <v>0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customHeight="1">
      <c r="A39" s="2">
        <f>input_5!A$2</f>
        <v>3125</v>
      </c>
      <c r="B39" s="7" t="str">
        <f t="shared" si="1"/>
        <v>Premium4</v>
      </c>
      <c r="C39" s="7" t="str">
        <f t="shared" si="2"/>
        <v>Premium</v>
      </c>
      <c r="D39" s="6">
        <v>163</v>
      </c>
      <c r="E39" s="7" t="str">
        <f>VLOOKUP(D39,[1]characters!$A:$C,3,FALSE)</f>
        <v>冷酷な狂嬢 クララ</v>
      </c>
      <c r="F39" s="7" t="str">
        <f>VLOOKUP(D39,[1]characters!$A:$J,10,FALSE)</f>
        <v>PremiumW</v>
      </c>
      <c r="G39" s="7">
        <f>VLOOKUP(D39,[1]characters!$A:$I,9,FALSE)</f>
        <v>4</v>
      </c>
      <c r="H39" s="7" t="str">
        <f>VLOOKUP(D39,[1]characters!$A:$H,8,FALSE)</f>
        <v>blue</v>
      </c>
      <c r="I39" s="7" t="str">
        <f>VLOOKUP(D39,[1]characters!$A:$K,11,FALSE)</f>
        <v>attack</v>
      </c>
      <c r="J39" s="7" t="str">
        <f>VLOOKUP(D39,[1]characters!$A:$M,13,FALSE)</f>
        <v>human</v>
      </c>
      <c r="K39" s="7" t="str">
        <f>VLOOKUP(D39,[1]characters!$A:$G,7,FALSE)</f>
        <v>女性</v>
      </c>
      <c r="L39" s="66">
        <f>IFERROR(VLOOKUP(D39,input_5!L:R,7,FALSE),VLOOKUP(tables_5!B39,input_5!A:H,8,FALSE))</f>
        <v>260091</v>
      </c>
      <c r="M39" s="67">
        <f t="shared" si="0"/>
        <v>1.2516891891891892E-2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customHeight="1">
      <c r="A40" s="2">
        <f>input_5!A$2</f>
        <v>3125</v>
      </c>
      <c r="B40" s="7" t="str">
        <f t="shared" si="1"/>
        <v>Premium3</v>
      </c>
      <c r="C40" s="7" t="str">
        <f t="shared" si="2"/>
        <v>Premium</v>
      </c>
      <c r="D40" s="6">
        <v>164</v>
      </c>
      <c r="E40" s="7" t="str">
        <f>VLOOKUP(D40,[1]characters!$A:$C,3,FALSE)</f>
        <v>イブとトモダチ</v>
      </c>
      <c r="F40" s="7" t="str">
        <f>VLOOKUP(D40,[1]characters!$A:$J,10,FALSE)</f>
        <v>PremiumW</v>
      </c>
      <c r="G40" s="7">
        <f>VLOOKUP(D40,[1]characters!$A:$I,9,FALSE)</f>
        <v>3</v>
      </c>
      <c r="H40" s="7" t="str">
        <f>VLOOKUP(D40,[1]characters!$A:$H,8,FALSE)</f>
        <v>yellow</v>
      </c>
      <c r="I40" s="7" t="str">
        <f>VLOOKUP(D40,[1]characters!$A:$K,11,FALSE)</f>
        <v>technical</v>
      </c>
      <c r="J40" s="7" t="str">
        <f>VLOOKUP(D40,[1]characters!$A:$M,13,FALSE)</f>
        <v>human</v>
      </c>
      <c r="K40" s="7" t="str">
        <f>VLOOKUP(D40,[1]characters!$A:$G,7,FALSE)</f>
        <v>女性</v>
      </c>
      <c r="L40" s="66">
        <f>IFERROR(VLOOKUP(D40,input_5!L:R,7,FALSE),VLOOKUP(tables_5!B40,input_5!A:H,8,FALSE))</f>
        <v>0</v>
      </c>
      <c r="M40" s="67">
        <f t="shared" si="0"/>
        <v>0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customHeight="1">
      <c r="A41" s="2">
        <f>input_5!A$2</f>
        <v>3125</v>
      </c>
      <c r="B41" s="7" t="str">
        <f t="shared" si="1"/>
        <v>Premium4</v>
      </c>
      <c r="C41" s="7" t="str">
        <f t="shared" si="2"/>
        <v>Premium</v>
      </c>
      <c r="D41" s="6">
        <v>165</v>
      </c>
      <c r="E41" s="7" t="str">
        <f>VLOOKUP(D41,[1]characters!$A:$C,3,FALSE)</f>
        <v>イブとたったひとりのトモダチ</v>
      </c>
      <c r="F41" s="7" t="str">
        <f>VLOOKUP(D41,[1]characters!$A:$J,10,FALSE)</f>
        <v>PremiumW</v>
      </c>
      <c r="G41" s="7">
        <f>VLOOKUP(D41,[1]characters!$A:$I,9,FALSE)</f>
        <v>4</v>
      </c>
      <c r="H41" s="7" t="str">
        <f>VLOOKUP(D41,[1]characters!$A:$H,8,FALSE)</f>
        <v>yellow</v>
      </c>
      <c r="I41" s="7" t="str">
        <f>VLOOKUP(D41,[1]characters!$A:$K,11,FALSE)</f>
        <v>technical</v>
      </c>
      <c r="J41" s="7" t="str">
        <f>VLOOKUP(D41,[1]characters!$A:$M,13,FALSE)</f>
        <v>human</v>
      </c>
      <c r="K41" s="7" t="str">
        <f>VLOOKUP(D41,[1]characters!$A:$G,7,FALSE)</f>
        <v>女性</v>
      </c>
      <c r="L41" s="66">
        <f>IFERROR(VLOOKUP(D41,input_5!L:R,7,FALSE),VLOOKUP(tables_5!B41,input_5!A:H,8,FALSE))</f>
        <v>260091</v>
      </c>
      <c r="M41" s="67">
        <f t="shared" si="0"/>
        <v>1.2516891891891892E-2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customHeight="1">
      <c r="A42" s="2">
        <f>input_5!A$2</f>
        <v>3125</v>
      </c>
      <c r="B42" s="7" t="str">
        <f t="shared" si="1"/>
        <v>Premium3</v>
      </c>
      <c r="C42" s="7" t="str">
        <f t="shared" si="2"/>
        <v>Premium</v>
      </c>
      <c r="D42" s="6">
        <v>166</v>
      </c>
      <c r="E42" s="7" t="str">
        <f>VLOOKUP(D42,[1]characters!$A:$C,3,FALSE)</f>
        <v>ベリアル</v>
      </c>
      <c r="F42" s="7" t="str">
        <f>VLOOKUP(D42,[1]characters!$A:$J,10,FALSE)</f>
        <v>PremiumN</v>
      </c>
      <c r="G42" s="7">
        <f>VLOOKUP(D42,[1]characters!$A:$I,9,FALSE)</f>
        <v>3</v>
      </c>
      <c r="H42" s="7" t="str">
        <f>VLOOKUP(D42,[1]characters!$A:$H,8,FALSE)</f>
        <v>red</v>
      </c>
      <c r="I42" s="7" t="str">
        <f>VLOOKUP(D42,[1]characters!$A:$K,11,FALSE)</f>
        <v>attack</v>
      </c>
      <c r="J42" s="7" t="str">
        <f>VLOOKUP(D42,[1]characters!$A:$M,13,FALSE)</f>
        <v>god</v>
      </c>
      <c r="K42" s="7" t="str">
        <f>VLOOKUP(D42,[1]characters!$A:$G,7,FALSE)</f>
        <v>男性</v>
      </c>
      <c r="L42" s="66">
        <f>IFERROR(VLOOKUP(D42,input_5!L:R,7,FALSE),VLOOKUP(tables_5!B42,input_5!A:H,8,FALSE))</f>
        <v>0</v>
      </c>
      <c r="M42" s="67">
        <f t="shared" si="0"/>
        <v>0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customHeight="1">
      <c r="A43" s="2">
        <f>input_5!A$2</f>
        <v>3125</v>
      </c>
      <c r="B43" s="7" t="str">
        <f t="shared" si="1"/>
        <v>Premium4</v>
      </c>
      <c r="C43" s="7" t="str">
        <f t="shared" si="2"/>
        <v>Premium</v>
      </c>
      <c r="D43" s="6">
        <v>167</v>
      </c>
      <c r="E43" s="7" t="str">
        <f>VLOOKUP(D43,[1]characters!$A:$C,3,FALSE)</f>
        <v>逆徒 ベリアル</v>
      </c>
      <c r="F43" s="7" t="str">
        <f>VLOOKUP(D43,[1]characters!$A:$J,10,FALSE)</f>
        <v>PremiumN</v>
      </c>
      <c r="G43" s="7">
        <f>VLOOKUP(D43,[1]characters!$A:$I,9,FALSE)</f>
        <v>4</v>
      </c>
      <c r="H43" s="7" t="str">
        <f>VLOOKUP(D43,[1]characters!$A:$H,8,FALSE)</f>
        <v>red</v>
      </c>
      <c r="I43" s="7" t="str">
        <f>VLOOKUP(D43,[1]characters!$A:$K,11,FALSE)</f>
        <v>attack</v>
      </c>
      <c r="J43" s="7" t="str">
        <f>VLOOKUP(D43,[1]characters!$A:$M,13,FALSE)</f>
        <v>god</v>
      </c>
      <c r="K43" s="7" t="str">
        <f>VLOOKUP(D43,[1]characters!$A:$G,7,FALSE)</f>
        <v>男性</v>
      </c>
      <c r="L43" s="66">
        <f>IFERROR(VLOOKUP(D43,input_5!L:R,7,FALSE),VLOOKUP(tables_5!B43,input_5!A:H,8,FALSE))</f>
        <v>260091</v>
      </c>
      <c r="M43" s="67">
        <f t="shared" si="0"/>
        <v>1.2516891891891892E-2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customHeight="1">
      <c r="A44" s="2">
        <f>input_5!A$2</f>
        <v>3125</v>
      </c>
      <c r="B44" s="7" t="str">
        <f t="shared" si="1"/>
        <v>Premium5</v>
      </c>
      <c r="C44" s="7" t="str">
        <f t="shared" si="2"/>
        <v>Premium</v>
      </c>
      <c r="D44" s="6">
        <v>168</v>
      </c>
      <c r="E44" s="7" t="str">
        <f>VLOOKUP(D44,[1]characters!$A:$C,3,FALSE)</f>
        <v>猛進の大逆者 ベリアル</v>
      </c>
      <c r="F44" s="7" t="str">
        <f>VLOOKUP(D44,[1]characters!$A:$J,10,FALSE)</f>
        <v>PremiumN</v>
      </c>
      <c r="G44" s="7">
        <f>VLOOKUP(D44,[1]characters!$A:$I,9,FALSE)</f>
        <v>5</v>
      </c>
      <c r="H44" s="7" t="str">
        <f>VLOOKUP(D44,[1]characters!$A:$H,8,FALSE)</f>
        <v>red</v>
      </c>
      <c r="I44" s="7" t="str">
        <f>VLOOKUP(D44,[1]characters!$A:$K,11,FALSE)</f>
        <v>attack</v>
      </c>
      <c r="J44" s="7" t="str">
        <f>VLOOKUP(D44,[1]characters!$A:$M,13,FALSE)</f>
        <v>god</v>
      </c>
      <c r="K44" s="7" t="str">
        <f>VLOOKUP(D44,[1]characters!$A:$G,7,FALSE)</f>
        <v>男性</v>
      </c>
      <c r="L44" s="66">
        <f>IFERROR(VLOOKUP(D44,input_5!L:R,7,FALSE),VLOOKUP(tables_5!B44,input_5!A:H,8,FALSE))</f>
        <v>18759</v>
      </c>
      <c r="M44" s="67">
        <f t="shared" si="0"/>
        <v>9.0277777777777774E-4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customHeight="1">
      <c r="A45" s="2">
        <f>input_5!A$2</f>
        <v>3125</v>
      </c>
      <c r="B45" s="7" t="str">
        <f t="shared" si="1"/>
        <v>Premium3</v>
      </c>
      <c r="C45" s="7" t="str">
        <f t="shared" si="2"/>
        <v>Premium</v>
      </c>
      <c r="D45" s="6">
        <v>169</v>
      </c>
      <c r="E45" s="7" t="str">
        <f>VLOOKUP(D45,[1]characters!$A:$C,3,FALSE)</f>
        <v>オセ</v>
      </c>
      <c r="F45" s="7" t="str">
        <f>VLOOKUP(D45,[1]characters!$A:$J,10,FALSE)</f>
        <v>PremiumN</v>
      </c>
      <c r="G45" s="7">
        <f>VLOOKUP(D45,[1]characters!$A:$I,9,FALSE)</f>
        <v>3</v>
      </c>
      <c r="H45" s="7" t="str">
        <f>VLOOKUP(D45,[1]characters!$A:$H,8,FALSE)</f>
        <v>green</v>
      </c>
      <c r="I45" s="7" t="str">
        <f>VLOOKUP(D45,[1]characters!$A:$K,11,FALSE)</f>
        <v>attack</v>
      </c>
      <c r="J45" s="7" t="str">
        <f>VLOOKUP(D45,[1]characters!$A:$M,13,FALSE)</f>
        <v>god</v>
      </c>
      <c r="K45" s="7" t="str">
        <f>VLOOKUP(D45,[1]characters!$A:$G,7,FALSE)</f>
        <v>女性</v>
      </c>
      <c r="L45" s="66">
        <f>IFERROR(VLOOKUP(D45,input_5!L:R,7,FALSE),VLOOKUP(tables_5!B45,input_5!A:H,8,FALSE))</f>
        <v>0</v>
      </c>
      <c r="M45" s="67">
        <f t="shared" si="0"/>
        <v>0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customHeight="1">
      <c r="A46" s="2">
        <f>input_5!A$2</f>
        <v>3125</v>
      </c>
      <c r="B46" s="7" t="str">
        <f t="shared" si="1"/>
        <v>Premium4</v>
      </c>
      <c r="C46" s="7" t="str">
        <f t="shared" si="2"/>
        <v>Premium</v>
      </c>
      <c r="D46" s="6">
        <v>170</v>
      </c>
      <c r="E46" s="7" t="str">
        <f>VLOOKUP(D46,[1]characters!$A:$C,3,FALSE)</f>
        <v>識徒 オセ</v>
      </c>
      <c r="F46" s="7" t="str">
        <f>VLOOKUP(D46,[1]characters!$A:$J,10,FALSE)</f>
        <v>PremiumN</v>
      </c>
      <c r="G46" s="7">
        <f>VLOOKUP(D46,[1]characters!$A:$I,9,FALSE)</f>
        <v>4</v>
      </c>
      <c r="H46" s="7" t="str">
        <f>VLOOKUP(D46,[1]characters!$A:$H,8,FALSE)</f>
        <v>green</v>
      </c>
      <c r="I46" s="7" t="str">
        <f>VLOOKUP(D46,[1]characters!$A:$K,11,FALSE)</f>
        <v>attack</v>
      </c>
      <c r="J46" s="7" t="str">
        <f>VLOOKUP(D46,[1]characters!$A:$M,13,FALSE)</f>
        <v>god</v>
      </c>
      <c r="K46" s="7" t="str">
        <f>VLOOKUP(D46,[1]characters!$A:$G,7,FALSE)</f>
        <v>女性</v>
      </c>
      <c r="L46" s="66">
        <f>IFERROR(VLOOKUP(D46,input_5!L:R,7,FALSE),VLOOKUP(tables_5!B46,input_5!A:H,8,FALSE))</f>
        <v>260091</v>
      </c>
      <c r="M46" s="67">
        <f t="shared" si="0"/>
        <v>1.2516891891891892E-2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customHeight="1">
      <c r="A47" s="2">
        <f>input_5!A$2</f>
        <v>3125</v>
      </c>
      <c r="B47" s="7" t="str">
        <f t="shared" si="1"/>
        <v>Premium5</v>
      </c>
      <c r="C47" s="7" t="str">
        <f t="shared" si="2"/>
        <v>Premium</v>
      </c>
      <c r="D47" s="6">
        <v>171</v>
      </c>
      <c r="E47" s="7" t="str">
        <f>VLOOKUP(D47,[1]characters!$A:$C,3,FALSE)</f>
        <v>精解の預知者 オセ</v>
      </c>
      <c r="F47" s="7" t="str">
        <f>VLOOKUP(D47,[1]characters!$A:$J,10,FALSE)</f>
        <v>PremiumN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attack</v>
      </c>
      <c r="J47" s="7" t="str">
        <f>VLOOKUP(D47,[1]characters!$A:$M,13,FALSE)</f>
        <v>god</v>
      </c>
      <c r="K47" s="7" t="str">
        <f>VLOOKUP(D47,[1]characters!$A:$G,7,FALSE)</f>
        <v>女性</v>
      </c>
      <c r="L47" s="66">
        <f>IFERROR(VLOOKUP(D47,input_5!L:R,7,FALSE),VLOOKUP(tables_5!B47,input_5!A:H,8,FALSE))</f>
        <v>18759</v>
      </c>
      <c r="M47" s="67">
        <f t="shared" si="0"/>
        <v>9.0277777777777774E-4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customHeight="1">
      <c r="A48" s="2">
        <f>input_5!A$2</f>
        <v>3125</v>
      </c>
      <c r="B48" s="7" t="str">
        <f t="shared" si="1"/>
        <v>Premium3</v>
      </c>
      <c r="C48" s="7" t="str">
        <f t="shared" si="2"/>
        <v>Premium</v>
      </c>
      <c r="D48" s="6">
        <v>172</v>
      </c>
      <c r="E48" s="7" t="str">
        <f>VLOOKUP(D48,[1]characters!$A:$C,3,FALSE)</f>
        <v>フォルネウス</v>
      </c>
      <c r="F48" s="7" t="str">
        <f>VLOOKUP(D48,[1]characters!$A:$J,10,FALSE)</f>
        <v>PremiumN</v>
      </c>
      <c r="G48" s="7">
        <f>VLOOKUP(D48,[1]characters!$A:$I,9,FALSE)</f>
        <v>3</v>
      </c>
      <c r="H48" s="7" t="str">
        <f>VLOOKUP(D48,[1]characters!$A:$H,8,FALSE)</f>
        <v>blue</v>
      </c>
      <c r="I48" s="7" t="str">
        <f>VLOOKUP(D48,[1]characters!$A:$K,11,FALSE)</f>
        <v>attack</v>
      </c>
      <c r="J48" s="7" t="str">
        <f>VLOOKUP(D48,[1]characters!$A:$M,13,FALSE)</f>
        <v>god</v>
      </c>
      <c r="K48" s="7" t="str">
        <f>VLOOKUP(D48,[1]characters!$A:$G,7,FALSE)</f>
        <v>女性</v>
      </c>
      <c r="L48" s="66">
        <f>IFERROR(VLOOKUP(D48,input_5!L:R,7,FALSE),VLOOKUP(tables_5!B48,input_5!A:H,8,FALSE))</f>
        <v>0</v>
      </c>
      <c r="M48" s="67">
        <f t="shared" si="0"/>
        <v>0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customHeight="1">
      <c r="A49" s="2">
        <f>input_5!A$2</f>
        <v>3125</v>
      </c>
      <c r="B49" s="7" t="str">
        <f t="shared" si="1"/>
        <v>Premium4</v>
      </c>
      <c r="C49" s="7" t="str">
        <f t="shared" si="2"/>
        <v>Premium</v>
      </c>
      <c r="D49" s="6">
        <v>173</v>
      </c>
      <c r="E49" s="7" t="str">
        <f>VLOOKUP(D49,[1]characters!$A:$C,3,FALSE)</f>
        <v>公爵 フォルネウス</v>
      </c>
      <c r="F49" s="7" t="str">
        <f>VLOOKUP(D49,[1]characters!$A:$J,10,FALSE)</f>
        <v>PremiumN</v>
      </c>
      <c r="G49" s="7">
        <f>VLOOKUP(D49,[1]characters!$A:$I,9,FALSE)</f>
        <v>4</v>
      </c>
      <c r="H49" s="7" t="str">
        <f>VLOOKUP(D49,[1]characters!$A:$H,8,FALSE)</f>
        <v>blue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女性</v>
      </c>
      <c r="L49" s="66">
        <f>IFERROR(VLOOKUP(D49,input_5!L:R,7,FALSE),VLOOKUP(tables_5!B49,input_5!A:H,8,FALSE))</f>
        <v>260091</v>
      </c>
      <c r="M49" s="67">
        <f t="shared" si="0"/>
        <v>1.2516891891891892E-2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customHeight="1">
      <c r="A50" s="2">
        <f>input_5!A$2</f>
        <v>3125</v>
      </c>
      <c r="B50" s="7" t="str">
        <f t="shared" si="1"/>
        <v>Premium5</v>
      </c>
      <c r="C50" s="7" t="str">
        <f t="shared" si="2"/>
        <v>Premium</v>
      </c>
      <c r="D50" s="6">
        <v>174</v>
      </c>
      <c r="E50" s="7" t="str">
        <f>VLOOKUP(D50,[1]characters!$A:$C,3,FALSE)</f>
        <v>偽愛の大公爵 フォルネウス</v>
      </c>
      <c r="F50" s="7" t="str">
        <f>VLOOKUP(D50,[1]characters!$A:$J,10,FALSE)</f>
        <v>PremiumN</v>
      </c>
      <c r="G50" s="7">
        <f>VLOOKUP(D50,[1]characters!$A:$I,9,FALSE)</f>
        <v>5</v>
      </c>
      <c r="H50" s="7" t="str">
        <f>VLOOKUP(D50,[1]characters!$A:$H,8,FALSE)</f>
        <v>blue</v>
      </c>
      <c r="I50" s="7" t="str">
        <f>VLOOKUP(D50,[1]characters!$A:$K,11,FALSE)</f>
        <v>attack</v>
      </c>
      <c r="J50" s="7" t="str">
        <f>VLOOKUP(D50,[1]characters!$A:$M,13,FALSE)</f>
        <v>god</v>
      </c>
      <c r="K50" s="7" t="str">
        <f>VLOOKUP(D50,[1]characters!$A:$G,7,FALSE)</f>
        <v>女性</v>
      </c>
      <c r="L50" s="66">
        <f>IFERROR(VLOOKUP(D50,input_5!L:R,7,FALSE),VLOOKUP(tables_5!B50,input_5!A:H,8,FALSE))</f>
        <v>18759</v>
      </c>
      <c r="M50" s="67">
        <f t="shared" si="0"/>
        <v>9.0277777777777774E-4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customHeight="1">
      <c r="A51" s="2">
        <f>input_5!A$2</f>
        <v>3125</v>
      </c>
      <c r="B51" s="7" t="str">
        <f t="shared" si="1"/>
        <v>Premium3</v>
      </c>
      <c r="C51" s="7" t="str">
        <f t="shared" si="2"/>
        <v>Premium</v>
      </c>
      <c r="D51" s="6">
        <v>175</v>
      </c>
      <c r="E51" s="7" t="str">
        <f>VLOOKUP(D51,[1]characters!$A:$C,3,FALSE)</f>
        <v>バフォメット</v>
      </c>
      <c r="F51" s="7" t="str">
        <f>VLOOKUP(D51,[1]characters!$A:$J,10,FALSE)</f>
        <v>PremiumN</v>
      </c>
      <c r="G51" s="7">
        <f>VLOOKUP(D51,[1]characters!$A:$I,9,FALSE)</f>
        <v>3</v>
      </c>
      <c r="H51" s="7" t="str">
        <f>VLOOKUP(D51,[1]characters!$A:$H,8,FALSE)</f>
        <v>yellow</v>
      </c>
      <c r="I51" s="7" t="str">
        <f>VLOOKUP(D51,[1]characters!$A:$K,11,FALSE)</f>
        <v>attack</v>
      </c>
      <c r="J51" s="7" t="str">
        <f>VLOOKUP(D51,[1]characters!$A:$M,13,FALSE)</f>
        <v>god</v>
      </c>
      <c r="K51" s="7" t="str">
        <f>VLOOKUP(D51,[1]characters!$A:$G,7,FALSE)</f>
        <v>女性</v>
      </c>
      <c r="L51" s="66">
        <f>IFERROR(VLOOKUP(D51,input_5!L:R,7,FALSE),VLOOKUP(tables_5!B51,input_5!A:H,8,FALSE))</f>
        <v>0</v>
      </c>
      <c r="M51" s="67">
        <f t="shared" si="0"/>
        <v>0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customHeight="1">
      <c r="A52" s="2">
        <f>input_5!A$2</f>
        <v>3125</v>
      </c>
      <c r="B52" s="7" t="str">
        <f t="shared" si="1"/>
        <v>Premium4</v>
      </c>
      <c r="C52" s="7" t="str">
        <f t="shared" si="2"/>
        <v>Premium</v>
      </c>
      <c r="D52" s="6">
        <v>176</v>
      </c>
      <c r="E52" s="7" t="str">
        <f>VLOOKUP(D52,[1]characters!$A:$C,3,FALSE)</f>
        <v>異教徒 バフォメット</v>
      </c>
      <c r="F52" s="7" t="str">
        <f>VLOOKUP(D52,[1]characters!$A:$J,10,FALSE)</f>
        <v>PremiumN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66">
        <f>IFERROR(VLOOKUP(D52,input_5!L:R,7,FALSE),VLOOKUP(tables_5!B52,input_5!A:H,8,FALSE))</f>
        <v>260091</v>
      </c>
      <c r="M52" s="67">
        <f t="shared" si="0"/>
        <v>1.2516891891891892E-2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customHeight="1">
      <c r="A53" s="2">
        <f>input_5!A$2</f>
        <v>3125</v>
      </c>
      <c r="B53" s="7" t="str">
        <f t="shared" si="1"/>
        <v>Premium5</v>
      </c>
      <c r="C53" s="7" t="str">
        <f t="shared" si="2"/>
        <v>Premium</v>
      </c>
      <c r="D53" s="6">
        <v>177</v>
      </c>
      <c r="E53" s="7" t="str">
        <f>VLOOKUP(D53,[1]characters!$A:$C,3,FALSE)</f>
        <v>黒魔の異端師 バフォメット</v>
      </c>
      <c r="F53" s="7" t="str">
        <f>VLOOKUP(D53,[1]characters!$A:$J,10,FALSE)</f>
        <v>PremiumN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66">
        <f>IFERROR(VLOOKUP(D53,input_5!L:R,7,FALSE),VLOOKUP(tables_5!B53,input_5!A:H,8,FALSE))</f>
        <v>18759</v>
      </c>
      <c r="M53" s="67">
        <f t="shared" si="0"/>
        <v>9.0277777777777774E-4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customHeight="1">
      <c r="A54" s="2">
        <f>input_5!A$2</f>
        <v>3125</v>
      </c>
      <c r="B54" s="7" t="str">
        <f t="shared" si="1"/>
        <v>Premium3</v>
      </c>
      <c r="C54" s="7" t="str">
        <f t="shared" si="2"/>
        <v>Premium</v>
      </c>
      <c r="D54" s="6">
        <v>178</v>
      </c>
      <c r="E54" s="7" t="str">
        <f>VLOOKUP(D54,[1]characters!$A:$C,3,FALSE)</f>
        <v>ケルベロス</v>
      </c>
      <c r="F54" s="7" t="str">
        <f>VLOOKUP(D54,[1]characters!$A:$J,10,FALSE)</f>
        <v>PremiumN</v>
      </c>
      <c r="G54" s="7">
        <f>VLOOKUP(D54,[1]characters!$A:$I,9,FALSE)</f>
        <v>3</v>
      </c>
      <c r="H54" s="7" t="str">
        <f>VLOOKUP(D54,[1]characters!$A:$H,8,FALSE)</f>
        <v>red</v>
      </c>
      <c r="I54" s="7" t="str">
        <f>VLOOKUP(D54,[1]characters!$A:$K,11,FALSE)</f>
        <v>balance</v>
      </c>
      <c r="J54" s="7" t="str">
        <f>VLOOKUP(D54,[1]characters!$A:$M,13,FALSE)</f>
        <v>animal</v>
      </c>
      <c r="K54" s="7" t="str">
        <f>VLOOKUP(D54,[1]characters!$A:$G,7,FALSE)</f>
        <v>女性</v>
      </c>
      <c r="L54" s="66">
        <f>IFERROR(VLOOKUP(D54,input_5!L:R,7,FALSE),VLOOKUP(tables_5!B54,input_5!A:H,8,FALSE))</f>
        <v>0</v>
      </c>
      <c r="M54" s="67">
        <f t="shared" si="0"/>
        <v>0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ht="21" customHeight="1">
      <c r="A55" s="2">
        <f>input_5!A$2</f>
        <v>3125</v>
      </c>
      <c r="B55" s="7" t="str">
        <f t="shared" si="1"/>
        <v>Premium4</v>
      </c>
      <c r="C55" s="7" t="str">
        <f t="shared" si="2"/>
        <v>Premium</v>
      </c>
      <c r="D55" s="6">
        <v>179</v>
      </c>
      <c r="E55" s="7" t="str">
        <f>VLOOKUP(D55,[1]characters!$A:$C,3,FALSE)</f>
        <v>番犬 ケルベロス</v>
      </c>
      <c r="F55" s="7" t="str">
        <f>VLOOKUP(D55,[1]characters!$A:$J,10,FALSE)</f>
        <v>PremiumN</v>
      </c>
      <c r="G55" s="7">
        <f>VLOOKUP(D55,[1]characters!$A:$I,9,FALSE)</f>
        <v>4</v>
      </c>
      <c r="H55" s="7" t="str">
        <f>VLOOKUP(D55,[1]characters!$A:$H,8,FALSE)</f>
        <v>red</v>
      </c>
      <c r="I55" s="7" t="str">
        <f>VLOOKUP(D55,[1]characters!$A:$K,11,FALSE)</f>
        <v>balance</v>
      </c>
      <c r="J55" s="7" t="str">
        <f>VLOOKUP(D55,[1]characters!$A:$M,13,FALSE)</f>
        <v>animal</v>
      </c>
      <c r="K55" s="7" t="str">
        <f>VLOOKUP(D55,[1]characters!$A:$G,7,FALSE)</f>
        <v>女性</v>
      </c>
      <c r="L55" s="66">
        <f>IFERROR(VLOOKUP(D55,input_5!L:R,7,FALSE),VLOOKUP(tables_5!B55,input_5!A:H,8,FALSE))</f>
        <v>260091</v>
      </c>
      <c r="M55" s="67">
        <f t="shared" si="0"/>
        <v>1.2516891891891892E-2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customHeight="1">
      <c r="A56" s="2">
        <f>input_5!A$2</f>
        <v>3125</v>
      </c>
      <c r="B56" s="7" t="str">
        <f t="shared" si="1"/>
        <v>Premium5</v>
      </c>
      <c r="C56" s="7" t="str">
        <f t="shared" si="2"/>
        <v>Premium</v>
      </c>
      <c r="D56" s="6">
        <v>180</v>
      </c>
      <c r="E56" s="7" t="str">
        <f>VLOOKUP(D56,[1]characters!$A:$C,3,FALSE)</f>
        <v>地獄の大門番 ケルベロス</v>
      </c>
      <c r="F56" s="7" t="str">
        <f>VLOOKUP(D56,[1]characters!$A:$J,10,FALSE)</f>
        <v>PremiumN</v>
      </c>
      <c r="G56" s="7">
        <f>VLOOKUP(D56,[1]characters!$A:$I,9,FALSE)</f>
        <v>5</v>
      </c>
      <c r="H56" s="7" t="str">
        <f>VLOOKUP(D56,[1]characters!$A:$H,8,FALSE)</f>
        <v>red</v>
      </c>
      <c r="I56" s="7" t="str">
        <f>VLOOKUP(D56,[1]characters!$A:$K,11,FALSE)</f>
        <v>balance</v>
      </c>
      <c r="J56" s="7" t="str">
        <f>VLOOKUP(D56,[1]characters!$A:$M,13,FALSE)</f>
        <v>animal</v>
      </c>
      <c r="K56" s="7" t="str">
        <f>VLOOKUP(D56,[1]characters!$A:$G,7,FALSE)</f>
        <v>女性</v>
      </c>
      <c r="L56" s="66">
        <f>IFERROR(VLOOKUP(D56,input_5!L:R,7,FALSE),VLOOKUP(tables_5!B56,input_5!A:H,8,FALSE))</f>
        <v>18759</v>
      </c>
      <c r="M56" s="67">
        <f t="shared" si="0"/>
        <v>9.0277777777777774E-4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customHeight="1">
      <c r="A57" s="2">
        <f>input_5!A$2</f>
        <v>3125</v>
      </c>
      <c r="B57" s="7" t="str">
        <f t="shared" si="1"/>
        <v>Premium3</v>
      </c>
      <c r="C57" s="7" t="str">
        <f t="shared" si="2"/>
        <v>Premium</v>
      </c>
      <c r="D57" s="6">
        <v>181</v>
      </c>
      <c r="E57" s="7" t="str">
        <f>VLOOKUP(D57,[1]characters!$A:$C,3,FALSE)</f>
        <v>ベヒモス</v>
      </c>
      <c r="F57" s="7" t="str">
        <f>VLOOKUP(D57,[1]characters!$A:$J,10,FALSE)</f>
        <v>PremiumN</v>
      </c>
      <c r="G57" s="7">
        <f>VLOOKUP(D57,[1]characters!$A:$I,9,FALSE)</f>
        <v>3</v>
      </c>
      <c r="H57" s="7" t="str">
        <f>VLOOKUP(D57,[1]characters!$A:$H,8,FALSE)</f>
        <v>green</v>
      </c>
      <c r="I57" s="7" t="str">
        <f>VLOOKUP(D57,[1]characters!$A:$K,11,FALSE)</f>
        <v>hp</v>
      </c>
      <c r="J57" s="7" t="str">
        <f>VLOOKUP(D57,[1]characters!$A:$M,13,FALSE)</f>
        <v>animal</v>
      </c>
      <c r="K57" s="7" t="str">
        <f>VLOOKUP(D57,[1]characters!$A:$G,7,FALSE)</f>
        <v>女性</v>
      </c>
      <c r="L57" s="66">
        <f>IFERROR(VLOOKUP(D57,input_5!L:R,7,FALSE),VLOOKUP(tables_5!B57,input_5!A:H,8,FALSE))</f>
        <v>0</v>
      </c>
      <c r="M57" s="67">
        <f t="shared" si="0"/>
        <v>0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customHeight="1">
      <c r="A58" s="2">
        <f>input_5!A$2</f>
        <v>3125</v>
      </c>
      <c r="B58" s="7" t="str">
        <f t="shared" si="1"/>
        <v>Premium4</v>
      </c>
      <c r="C58" s="7" t="str">
        <f t="shared" si="2"/>
        <v>Premium</v>
      </c>
      <c r="D58" s="6">
        <v>182</v>
      </c>
      <c r="E58" s="7" t="str">
        <f>VLOOKUP(D58,[1]characters!$A:$C,3,FALSE)</f>
        <v>放蕩者 ベヒモス</v>
      </c>
      <c r="F58" s="7" t="str">
        <f>VLOOKUP(D58,[1]characters!$A:$J,10,FALSE)</f>
        <v>PremiumN</v>
      </c>
      <c r="G58" s="7">
        <f>VLOOKUP(D58,[1]characters!$A:$I,9,FALSE)</f>
        <v>4</v>
      </c>
      <c r="H58" s="7" t="str">
        <f>VLOOKUP(D58,[1]characters!$A:$H,8,FALSE)</f>
        <v>green</v>
      </c>
      <c r="I58" s="7" t="str">
        <f>VLOOKUP(D58,[1]characters!$A:$K,11,FALSE)</f>
        <v>hp</v>
      </c>
      <c r="J58" s="7" t="str">
        <f>VLOOKUP(D58,[1]characters!$A:$M,13,FALSE)</f>
        <v>animal</v>
      </c>
      <c r="K58" s="7" t="str">
        <f>VLOOKUP(D58,[1]characters!$A:$G,7,FALSE)</f>
        <v>女性</v>
      </c>
      <c r="L58" s="66">
        <f>IFERROR(VLOOKUP(D58,input_5!L:R,7,FALSE),VLOOKUP(tables_5!B58,input_5!A:H,8,FALSE))</f>
        <v>260091</v>
      </c>
      <c r="M58" s="67">
        <f t="shared" si="0"/>
        <v>1.2516891891891892E-2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customHeight="1">
      <c r="A59" s="2">
        <f>input_5!A$2</f>
        <v>3125</v>
      </c>
      <c r="B59" s="7" t="str">
        <f t="shared" si="1"/>
        <v>Premium5</v>
      </c>
      <c r="C59" s="7" t="str">
        <f t="shared" si="2"/>
        <v>Premium</v>
      </c>
      <c r="D59" s="6">
        <v>183</v>
      </c>
      <c r="E59" s="7" t="str">
        <f>VLOOKUP(D59,[1]characters!$A:$C,3,FALSE)</f>
        <v>鈍重な彷徨者 ベヒモス</v>
      </c>
      <c r="F59" s="7" t="str">
        <f>VLOOKUP(D59,[1]characters!$A:$J,10,FALSE)</f>
        <v>PremiumN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hp</v>
      </c>
      <c r="J59" s="7" t="str">
        <f>VLOOKUP(D59,[1]characters!$A:$M,13,FALSE)</f>
        <v>animal</v>
      </c>
      <c r="K59" s="7" t="str">
        <f>VLOOKUP(D59,[1]characters!$A:$G,7,FALSE)</f>
        <v>女性</v>
      </c>
      <c r="L59" s="66">
        <f>IFERROR(VLOOKUP(D59,input_5!L:R,7,FALSE),VLOOKUP(tables_5!B59,input_5!A:H,8,FALSE))</f>
        <v>18759</v>
      </c>
      <c r="M59" s="67">
        <f t="shared" si="0"/>
        <v>9.0277777777777774E-4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customHeight="1">
      <c r="A60" s="2">
        <f>input_5!A$2</f>
        <v>3125</v>
      </c>
      <c r="B60" s="7" t="str">
        <f t="shared" si="1"/>
        <v>Premium3</v>
      </c>
      <c r="C60" s="7" t="str">
        <f t="shared" si="2"/>
        <v>Premium</v>
      </c>
      <c r="D60" s="6">
        <v>184</v>
      </c>
      <c r="E60" s="7" t="str">
        <f>VLOOKUP(D60,[1]characters!$A:$C,3,FALSE)</f>
        <v>クラーケン</v>
      </c>
      <c r="F60" s="7" t="str">
        <f>VLOOKUP(D60,[1]characters!$A:$J,10,FALSE)</f>
        <v>PremiumN</v>
      </c>
      <c r="G60" s="7">
        <f>VLOOKUP(D60,[1]characters!$A:$I,9,FALSE)</f>
        <v>3</v>
      </c>
      <c r="H60" s="7" t="str">
        <f>VLOOKUP(D60,[1]characters!$A:$H,8,FALSE)</f>
        <v>blue</v>
      </c>
      <c r="I60" s="7" t="str">
        <f>VLOOKUP(D60,[1]characters!$A:$K,11,FALSE)</f>
        <v>heal</v>
      </c>
      <c r="J60" s="7" t="str">
        <f>VLOOKUP(D60,[1]characters!$A:$M,13,FALSE)</f>
        <v>animal</v>
      </c>
      <c r="K60" s="7" t="str">
        <f>VLOOKUP(D60,[1]characters!$A:$G,7,FALSE)</f>
        <v>女性</v>
      </c>
      <c r="L60" s="66">
        <f>IFERROR(VLOOKUP(D60,input_5!L:R,7,FALSE),VLOOKUP(tables_5!B60,input_5!A:H,8,FALSE))</f>
        <v>0</v>
      </c>
      <c r="M60" s="67">
        <f t="shared" si="0"/>
        <v>0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customHeight="1">
      <c r="A61" s="2">
        <f>input_5!A$2</f>
        <v>3125</v>
      </c>
      <c r="B61" s="7" t="str">
        <f t="shared" si="1"/>
        <v>Premium4</v>
      </c>
      <c r="C61" s="7" t="str">
        <f t="shared" si="2"/>
        <v>Premium</v>
      </c>
      <c r="D61" s="6">
        <v>185</v>
      </c>
      <c r="E61" s="7" t="str">
        <f>VLOOKUP(D61,[1]characters!$A:$C,3,FALSE)</f>
        <v>海姫 クラーケン</v>
      </c>
      <c r="F61" s="7" t="str">
        <f>VLOOKUP(D61,[1]characters!$A:$J,10,FALSE)</f>
        <v>PremiumN</v>
      </c>
      <c r="G61" s="7">
        <f>VLOOKUP(D61,[1]characters!$A:$I,9,FALSE)</f>
        <v>4</v>
      </c>
      <c r="H61" s="7" t="str">
        <f>VLOOKUP(D61,[1]characters!$A:$H,8,FALSE)</f>
        <v>blue</v>
      </c>
      <c r="I61" s="7" t="str">
        <f>VLOOKUP(D61,[1]characters!$A:$K,11,FALSE)</f>
        <v>heal</v>
      </c>
      <c r="J61" s="7" t="str">
        <f>VLOOKUP(D61,[1]characters!$A:$M,13,FALSE)</f>
        <v>animal</v>
      </c>
      <c r="K61" s="7" t="str">
        <f>VLOOKUP(D61,[1]characters!$A:$G,7,FALSE)</f>
        <v>女性</v>
      </c>
      <c r="L61" s="66">
        <f>IFERROR(VLOOKUP(D61,input_5!L:R,7,FALSE),VLOOKUP(tables_5!B61,input_5!A:H,8,FALSE))</f>
        <v>260091</v>
      </c>
      <c r="M61" s="67">
        <f t="shared" si="0"/>
        <v>1.2516891891891892E-2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customHeight="1">
      <c r="A62" s="2">
        <f>input_5!A$2</f>
        <v>3125</v>
      </c>
      <c r="B62" s="7" t="str">
        <f t="shared" si="1"/>
        <v>Premium5</v>
      </c>
      <c r="C62" s="7" t="str">
        <f t="shared" si="2"/>
        <v>Premium</v>
      </c>
      <c r="D62" s="8">
        <v>186</v>
      </c>
      <c r="E62" s="7" t="str">
        <f>VLOOKUP(D62,[1]characters!$A:$C,3,FALSE)</f>
        <v>誇り高き多触姫・クラーケン</v>
      </c>
      <c r="F62" s="7" t="str">
        <f>VLOOKUP(D62,[1]characters!$A:$J,10,FALSE)</f>
        <v>PremiumN</v>
      </c>
      <c r="G62" s="7">
        <f>VLOOKUP(D62,[1]characters!$A:$I,9,FALSE)</f>
        <v>5</v>
      </c>
      <c r="H62" s="7" t="str">
        <f>VLOOKUP(D62,[1]characters!$A:$H,8,FALSE)</f>
        <v>blue</v>
      </c>
      <c r="I62" s="7" t="str">
        <f>VLOOKUP(D62,[1]characters!$A:$K,11,FALSE)</f>
        <v>heal</v>
      </c>
      <c r="J62" s="7" t="str">
        <f>VLOOKUP(D62,[1]characters!$A:$M,13,FALSE)</f>
        <v>animal</v>
      </c>
      <c r="K62" s="7" t="str">
        <f>VLOOKUP(D62,[1]characters!$A:$G,7,FALSE)</f>
        <v>女性</v>
      </c>
      <c r="L62" s="66">
        <f>IFERROR(VLOOKUP(D62,input_5!L:R,7,FALSE),VLOOKUP(tables_5!B62,input_5!A:H,8,FALSE))</f>
        <v>18759</v>
      </c>
      <c r="M62" s="67">
        <f t="shared" si="0"/>
        <v>9.0277777777777774E-4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customHeight="1">
      <c r="A63" s="2">
        <f>input_5!A$2</f>
        <v>3125</v>
      </c>
      <c r="B63" s="7" t="str">
        <f t="shared" si="1"/>
        <v>Premium3</v>
      </c>
      <c r="C63" s="7" t="str">
        <f t="shared" si="2"/>
        <v>Premium</v>
      </c>
      <c r="D63" s="8">
        <v>187</v>
      </c>
      <c r="E63" s="7" t="str">
        <f>VLOOKUP(D63,[1]characters!$A:$C,3,FALSE)</f>
        <v>ホルス</v>
      </c>
      <c r="F63" s="7" t="str">
        <f>VLOOKUP(D63,[1]characters!$A:$J,10,FALSE)</f>
        <v>PremiumN</v>
      </c>
      <c r="G63" s="7">
        <f>VLOOKUP(D63,[1]characters!$A:$I,9,FALSE)</f>
        <v>3</v>
      </c>
      <c r="H63" s="7" t="str">
        <f>VLOOKUP(D63,[1]characters!$A:$H,8,FALSE)</f>
        <v>yellow</v>
      </c>
      <c r="I63" s="7" t="str">
        <f>VLOOKUP(D63,[1]characters!$A:$K,11,FALSE)</f>
        <v>attack</v>
      </c>
      <c r="J63" s="7" t="str">
        <f>VLOOKUP(D63,[1]characters!$A:$M,13,FALSE)</f>
        <v>animal</v>
      </c>
      <c r="K63" s="7" t="str">
        <f>VLOOKUP(D63,[1]characters!$A:$G,7,FALSE)</f>
        <v>女性</v>
      </c>
      <c r="L63" s="66">
        <f>IFERROR(VLOOKUP(D63,input_5!L:R,7,FALSE),VLOOKUP(tables_5!B63,input_5!A:H,8,FALSE))</f>
        <v>0</v>
      </c>
      <c r="M63" s="67">
        <f t="shared" si="0"/>
        <v>0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customHeight="1">
      <c r="A64" s="2">
        <f>input_5!A$2</f>
        <v>3125</v>
      </c>
      <c r="B64" s="7" t="str">
        <f t="shared" si="1"/>
        <v>Premium4</v>
      </c>
      <c r="C64" s="7" t="str">
        <f t="shared" si="2"/>
        <v>Premium</v>
      </c>
      <c r="D64" s="8">
        <v>188</v>
      </c>
      <c r="E64" s="7" t="str">
        <f>VLOOKUP(D64,[1]characters!$A:$C,3,FALSE)</f>
        <v>猛禽 ホルス</v>
      </c>
      <c r="F64" s="7" t="str">
        <f>VLOOKUP(D64,[1]characters!$A:$J,10,FALSE)</f>
        <v>PremiumN</v>
      </c>
      <c r="G64" s="7">
        <f>VLOOKUP(D64,[1]characters!$A:$I,9,FALSE)</f>
        <v>4</v>
      </c>
      <c r="H64" s="7" t="str">
        <f>VLOOKUP(D64,[1]characters!$A:$H,8,FALSE)</f>
        <v>yellow</v>
      </c>
      <c r="I64" s="7" t="str">
        <f>VLOOKUP(D64,[1]characters!$A:$K,11,FALSE)</f>
        <v>attack</v>
      </c>
      <c r="J64" s="7" t="str">
        <f>VLOOKUP(D64,[1]characters!$A:$M,13,FALSE)</f>
        <v>animal</v>
      </c>
      <c r="K64" s="7" t="str">
        <f>VLOOKUP(D64,[1]characters!$A:$G,7,FALSE)</f>
        <v>女性</v>
      </c>
      <c r="L64" s="66">
        <f>IFERROR(VLOOKUP(D64,input_5!L:R,7,FALSE),VLOOKUP(tables_5!B64,input_5!A:H,8,FALSE))</f>
        <v>260091</v>
      </c>
      <c r="M64" s="67">
        <f t="shared" si="0"/>
        <v>1.2516891891891892E-2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customHeight="1">
      <c r="A65" s="2">
        <f>input_5!A$2</f>
        <v>3125</v>
      </c>
      <c r="B65" s="7" t="str">
        <f t="shared" si="1"/>
        <v>Premium5</v>
      </c>
      <c r="C65" s="7" t="str">
        <f t="shared" si="2"/>
        <v>Premium</v>
      </c>
      <c r="D65" s="8">
        <v>189</v>
      </c>
      <c r="E65" s="7" t="str">
        <f>VLOOKUP(D65,[1]characters!$A:$C,3,FALSE)</f>
        <v>迅雷の王禽 ホルス</v>
      </c>
      <c r="F65" s="7" t="str">
        <f>VLOOKUP(D65,[1]characters!$A:$J,10,FALSE)</f>
        <v>PremiumN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attack</v>
      </c>
      <c r="J65" s="7" t="str">
        <f>VLOOKUP(D65,[1]characters!$A:$M,13,FALSE)</f>
        <v>animal</v>
      </c>
      <c r="K65" s="7" t="str">
        <f>VLOOKUP(D65,[1]characters!$A:$G,7,FALSE)</f>
        <v>女性</v>
      </c>
      <c r="L65" s="66">
        <f>IFERROR(VLOOKUP(D65,input_5!L:R,7,FALSE),VLOOKUP(tables_5!B65,input_5!A:H,8,FALSE))</f>
        <v>18759</v>
      </c>
      <c r="M65" s="67">
        <f t="shared" si="0"/>
        <v>9.0277777777777774E-4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s="9" customFormat="1" ht="21" customHeight="1" thickBot="1">
      <c r="A66" s="2">
        <f>input_5!A$2</f>
        <v>3125</v>
      </c>
      <c r="B66" s="7" t="str">
        <f t="shared" si="1"/>
        <v>Premium3</v>
      </c>
      <c r="C66" s="7" t="str">
        <f t="shared" si="2"/>
        <v>Premium</v>
      </c>
      <c r="D66" s="6">
        <v>190</v>
      </c>
      <c r="E66" s="7" t="str">
        <f>VLOOKUP(D66,[1]characters!$A:$C,3,FALSE)</f>
        <v>卑弥呼</v>
      </c>
      <c r="F66" s="7" t="str">
        <f>VLOOKUP(D66,[1]characters!$A:$J,10,FALSE)</f>
        <v>PremiumN</v>
      </c>
      <c r="G66" s="7">
        <f>VLOOKUP(D66,[1]characters!$A:$I,9,FALSE)</f>
        <v>3</v>
      </c>
      <c r="H66" s="7" t="str">
        <f>VLOOKUP(D66,[1]characters!$A:$H,8,FALSE)</f>
        <v>red</v>
      </c>
      <c r="I66" s="7" t="str">
        <f>VLOOKUP(D66,[1]characters!$A:$K,11,FALSE)</f>
        <v>balance</v>
      </c>
      <c r="J66" s="7" t="str">
        <f>VLOOKUP(D66,[1]characters!$A:$M,13,FALSE)</f>
        <v>human</v>
      </c>
      <c r="K66" s="7" t="str">
        <f>VLOOKUP(D66,[1]characters!$A:$G,7,FALSE)</f>
        <v>女性</v>
      </c>
      <c r="L66" s="66">
        <f>IFERROR(VLOOKUP(D66,input_5!L:R,7,FALSE),VLOOKUP(tables_5!B66,input_5!A:H,8,FALSE))</f>
        <v>0</v>
      </c>
      <c r="M66" s="67">
        <f t="shared" ref="M66:M129" si="3">L66/SUM(L:L)</f>
        <v>0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customHeight="1">
      <c r="A67" s="2">
        <f>input_5!A$2</f>
        <v>3125</v>
      </c>
      <c r="B67" s="7" t="str">
        <f t="shared" ref="B67:B130" si="4">C67&amp;G67</f>
        <v>Premium4</v>
      </c>
      <c r="C67" s="7" t="str">
        <f t="shared" ref="C67:C130" si="5">IF(F67="PremiumSS",F67,IF(F67="PremiumSSS",F67,"Premium"))</f>
        <v>Premium</v>
      </c>
      <c r="D67" s="6">
        <v>191</v>
      </c>
      <c r="E67" s="7" t="str">
        <f>VLOOKUP(D67,[1]characters!$A:$C,3,FALSE)</f>
        <v>始祖 卑弥呼</v>
      </c>
      <c r="F67" s="7" t="str">
        <f>VLOOKUP(D67,[1]characters!$A:$J,10,FALSE)</f>
        <v>PremiumN</v>
      </c>
      <c r="G67" s="7">
        <f>VLOOKUP(D67,[1]characters!$A:$I,9,FALSE)</f>
        <v>4</v>
      </c>
      <c r="H67" s="7" t="str">
        <f>VLOOKUP(D67,[1]characters!$A:$H,8,FALSE)</f>
        <v>red</v>
      </c>
      <c r="I67" s="7" t="str">
        <f>VLOOKUP(D67,[1]characters!$A:$K,11,FALSE)</f>
        <v>balance</v>
      </c>
      <c r="J67" s="7" t="str">
        <f>VLOOKUP(D67,[1]characters!$A:$M,13,FALSE)</f>
        <v>human</v>
      </c>
      <c r="K67" s="7" t="str">
        <f>VLOOKUP(D67,[1]characters!$A:$G,7,FALSE)</f>
        <v>女性</v>
      </c>
      <c r="L67" s="66">
        <f>IFERROR(VLOOKUP(D67,input_5!L:R,7,FALSE),VLOOKUP(tables_5!B67,input_5!A:H,8,FALSE))</f>
        <v>260091</v>
      </c>
      <c r="M67" s="67">
        <f t="shared" si="3"/>
        <v>1.2516891891891892E-2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customHeight="1">
      <c r="A68" s="2">
        <f>input_5!A$2</f>
        <v>3125</v>
      </c>
      <c r="B68" s="7" t="str">
        <f t="shared" si="4"/>
        <v>Premium5</v>
      </c>
      <c r="C68" s="7" t="str">
        <f t="shared" si="5"/>
        <v>Premium</v>
      </c>
      <c r="D68" s="6">
        <v>192</v>
      </c>
      <c r="E68" s="7" t="str">
        <f>VLOOKUP(D68,[1]characters!$A:$C,3,FALSE)</f>
        <v>荘厳なる始祖帝 卑弥呼</v>
      </c>
      <c r="F68" s="7" t="str">
        <f>VLOOKUP(D68,[1]characters!$A:$J,10,FALSE)</f>
        <v>PremiumN</v>
      </c>
      <c r="G68" s="7">
        <f>VLOOKUP(D68,[1]characters!$A:$I,9,FALSE)</f>
        <v>5</v>
      </c>
      <c r="H68" s="7" t="str">
        <f>VLOOKUP(D68,[1]characters!$A:$H,8,FALSE)</f>
        <v>red</v>
      </c>
      <c r="I68" s="7" t="str">
        <f>VLOOKUP(D68,[1]characters!$A:$K,11,FALSE)</f>
        <v>balance</v>
      </c>
      <c r="J68" s="7" t="str">
        <f>VLOOKUP(D68,[1]characters!$A:$M,13,FALSE)</f>
        <v>human</v>
      </c>
      <c r="K68" s="7" t="str">
        <f>VLOOKUP(D68,[1]characters!$A:$G,7,FALSE)</f>
        <v>女性</v>
      </c>
      <c r="L68" s="66">
        <f>IFERROR(VLOOKUP(D68,input_5!L:R,7,FALSE),VLOOKUP(tables_5!B68,input_5!A:H,8,FALSE))</f>
        <v>18759</v>
      </c>
      <c r="M68" s="67">
        <f t="shared" si="3"/>
        <v>9.0277777777777774E-4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customHeight="1">
      <c r="A69" s="2">
        <f>input_5!A$2</f>
        <v>3125</v>
      </c>
      <c r="B69" s="7" t="str">
        <f t="shared" si="4"/>
        <v>Premium3</v>
      </c>
      <c r="C69" s="7" t="str">
        <f t="shared" si="5"/>
        <v>Premium</v>
      </c>
      <c r="D69" s="6">
        <v>193</v>
      </c>
      <c r="E69" s="7" t="str">
        <f>VLOOKUP(D69,[1]characters!$A:$C,3,FALSE)</f>
        <v>ロビンフッド</v>
      </c>
      <c r="F69" s="7" t="str">
        <f>VLOOKUP(D69,[1]characters!$A:$J,10,FALSE)</f>
        <v>PremiumN</v>
      </c>
      <c r="G69" s="7">
        <f>VLOOKUP(D69,[1]characters!$A:$I,9,FALSE)</f>
        <v>3</v>
      </c>
      <c r="H69" s="7" t="str">
        <f>VLOOKUP(D69,[1]characters!$A:$H,8,FALSE)</f>
        <v>green</v>
      </c>
      <c r="I69" s="7" t="str">
        <f>VLOOKUP(D69,[1]characters!$A:$K,11,FALSE)</f>
        <v>balance</v>
      </c>
      <c r="J69" s="7" t="str">
        <f>VLOOKUP(D69,[1]characters!$A:$M,13,FALSE)</f>
        <v>human</v>
      </c>
      <c r="K69" s="7" t="str">
        <f>VLOOKUP(D69,[1]characters!$A:$G,7,FALSE)</f>
        <v>女性</v>
      </c>
      <c r="L69" s="66">
        <f>IFERROR(VLOOKUP(D69,input_5!L:R,7,FALSE),VLOOKUP(tables_5!B69,input_5!A:H,8,FALSE))</f>
        <v>0</v>
      </c>
      <c r="M69" s="67">
        <f t="shared" si="3"/>
        <v>0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customHeight="1">
      <c r="A70" s="2">
        <f>input_5!A$2</f>
        <v>3125</v>
      </c>
      <c r="B70" s="7" t="str">
        <f t="shared" si="4"/>
        <v>Premium4</v>
      </c>
      <c r="C70" s="7" t="str">
        <f t="shared" si="5"/>
        <v>Premium</v>
      </c>
      <c r="D70" s="10">
        <v>194</v>
      </c>
      <c r="E70" s="7" t="str">
        <f>VLOOKUP(D70,[1]characters!$A:$C,3,FALSE)</f>
        <v>スナイパー ロビンフッド</v>
      </c>
      <c r="F70" s="7" t="str">
        <f>VLOOKUP(D70,[1]characters!$A:$J,10,FALSE)</f>
        <v>PremiumN</v>
      </c>
      <c r="G70" s="7">
        <f>VLOOKUP(D70,[1]characters!$A:$I,9,FALSE)</f>
        <v>4</v>
      </c>
      <c r="H70" s="7" t="str">
        <f>VLOOKUP(D70,[1]characters!$A:$H,8,FALSE)</f>
        <v>green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女性</v>
      </c>
      <c r="L70" s="66">
        <f>IFERROR(VLOOKUP(D70,input_5!L:R,7,FALSE),VLOOKUP(tables_5!B70,input_5!A:H,8,FALSE))</f>
        <v>260091</v>
      </c>
      <c r="M70" s="67">
        <f t="shared" si="3"/>
        <v>1.2516891891891892E-2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customHeight="1">
      <c r="A71" s="2">
        <f>input_5!A$2</f>
        <v>3125</v>
      </c>
      <c r="B71" s="7" t="str">
        <f t="shared" si="4"/>
        <v>Premium5</v>
      </c>
      <c r="C71" s="7" t="str">
        <f t="shared" si="5"/>
        <v>Premium</v>
      </c>
      <c r="D71" s="6">
        <v>195</v>
      </c>
      <c r="E71" s="7" t="str">
        <f>VLOOKUP(D71,[1]characters!$A:$C,3,FALSE)</f>
        <v>グランドハンター ロビンフッド</v>
      </c>
      <c r="F71" s="7" t="str">
        <f>VLOOKUP(D71,[1]characters!$A:$J,10,FALSE)</f>
        <v>PremiumN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balance</v>
      </c>
      <c r="J71" s="7" t="str">
        <f>VLOOKUP(D71,[1]characters!$A:$M,13,FALSE)</f>
        <v>human</v>
      </c>
      <c r="K71" s="7" t="str">
        <f>VLOOKUP(D71,[1]characters!$A:$G,7,FALSE)</f>
        <v>女性</v>
      </c>
      <c r="L71" s="66">
        <f>IFERROR(VLOOKUP(D71,input_5!L:R,7,FALSE),VLOOKUP(tables_5!B71,input_5!A:H,8,FALSE))</f>
        <v>18759</v>
      </c>
      <c r="M71" s="67">
        <f t="shared" si="3"/>
        <v>9.0277777777777774E-4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customHeight="1">
      <c r="A72" s="2">
        <f>input_5!A$2</f>
        <v>3125</v>
      </c>
      <c r="B72" s="7" t="str">
        <f t="shared" si="4"/>
        <v>Premium3</v>
      </c>
      <c r="C72" s="7" t="str">
        <f t="shared" si="5"/>
        <v>Premium</v>
      </c>
      <c r="D72" s="10">
        <v>196</v>
      </c>
      <c r="E72" s="7" t="str">
        <f>VLOOKUP(D72,[1]characters!$A:$C,3,FALSE)</f>
        <v>アキレス</v>
      </c>
      <c r="F72" s="7" t="str">
        <f>VLOOKUP(D72,[1]characters!$A:$J,10,FALSE)</f>
        <v>PremiumN</v>
      </c>
      <c r="G72" s="7">
        <f>VLOOKUP(D72,[1]characters!$A:$I,9,FALSE)</f>
        <v>3</v>
      </c>
      <c r="H72" s="7" t="str">
        <f>VLOOKUP(D72,[1]characters!$A:$H,8,FALSE)</f>
        <v>yellow</v>
      </c>
      <c r="I72" s="7" t="str">
        <f>VLOOKUP(D72,[1]characters!$A:$K,11,FALSE)</f>
        <v>balance</v>
      </c>
      <c r="J72" s="7" t="str">
        <f>VLOOKUP(D72,[1]characters!$A:$M,13,FALSE)</f>
        <v>human</v>
      </c>
      <c r="K72" s="7" t="str">
        <f>VLOOKUP(D72,[1]characters!$A:$G,7,FALSE)</f>
        <v>女性</v>
      </c>
      <c r="L72" s="66">
        <f>IFERROR(VLOOKUP(D72,input_5!L:R,7,FALSE),VLOOKUP(tables_5!B72,input_5!A:H,8,FALSE))</f>
        <v>0</v>
      </c>
      <c r="M72" s="67">
        <f t="shared" si="3"/>
        <v>0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customHeight="1">
      <c r="A73" s="2">
        <f>input_5!A$2</f>
        <v>3125</v>
      </c>
      <c r="B73" s="7" t="str">
        <f t="shared" si="4"/>
        <v>Premium4</v>
      </c>
      <c r="C73" s="7" t="str">
        <f t="shared" si="5"/>
        <v>Premium</v>
      </c>
      <c r="D73" s="11">
        <v>197</v>
      </c>
      <c r="E73" s="7" t="str">
        <f>VLOOKUP(D73,[1]characters!$A:$C,3,FALSE)</f>
        <v>鉄腕 アキレス</v>
      </c>
      <c r="F73" s="7" t="str">
        <f>VLOOKUP(D73,[1]characters!$A:$J,10,FALSE)</f>
        <v>PremiumN</v>
      </c>
      <c r="G73" s="7">
        <f>VLOOKUP(D73,[1]characters!$A:$I,9,FALSE)</f>
        <v>4</v>
      </c>
      <c r="H73" s="7" t="str">
        <f>VLOOKUP(D73,[1]characters!$A:$H,8,FALSE)</f>
        <v>yellow</v>
      </c>
      <c r="I73" s="7" t="str">
        <f>VLOOKUP(D73,[1]characters!$A:$K,11,FALSE)</f>
        <v>balance</v>
      </c>
      <c r="J73" s="7" t="str">
        <f>VLOOKUP(D73,[1]characters!$A:$M,13,FALSE)</f>
        <v>human</v>
      </c>
      <c r="K73" s="7" t="str">
        <f>VLOOKUP(D73,[1]characters!$A:$G,7,FALSE)</f>
        <v>女性</v>
      </c>
      <c r="L73" s="66">
        <f>IFERROR(VLOOKUP(D73,input_5!L:R,7,FALSE),VLOOKUP(tables_5!B73,input_5!A:H,8,FALSE))</f>
        <v>260091</v>
      </c>
      <c r="M73" s="67">
        <f t="shared" si="3"/>
        <v>1.2516891891891892E-2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customHeight="1">
      <c r="A74" s="2">
        <f>input_5!A$2</f>
        <v>3125</v>
      </c>
      <c r="B74" s="7" t="str">
        <f t="shared" si="4"/>
        <v>Premium5</v>
      </c>
      <c r="C74" s="7" t="str">
        <f t="shared" si="5"/>
        <v>Premium</v>
      </c>
      <c r="D74" s="6">
        <v>198</v>
      </c>
      <c r="E74" s="7" t="str">
        <f>VLOOKUP(D74,[1]characters!$A:$C,3,FALSE)</f>
        <v>砕骨の剛腕 アキレス</v>
      </c>
      <c r="F74" s="7" t="str">
        <f>VLOOKUP(D74,[1]characters!$A:$J,10,FALSE)</f>
        <v>PremiumN</v>
      </c>
      <c r="G74" s="7">
        <f>VLOOKUP(D74,[1]characters!$A:$I,9,FALSE)</f>
        <v>5</v>
      </c>
      <c r="H74" s="7" t="str">
        <f>VLOOKUP(D74,[1]characters!$A:$H,8,FALSE)</f>
        <v>yellow</v>
      </c>
      <c r="I74" s="7" t="str">
        <f>VLOOKUP(D74,[1]characters!$A:$K,11,FALSE)</f>
        <v>balance</v>
      </c>
      <c r="J74" s="7" t="str">
        <f>VLOOKUP(D74,[1]characters!$A:$M,13,FALSE)</f>
        <v>human</v>
      </c>
      <c r="K74" s="7" t="str">
        <f>VLOOKUP(D74,[1]characters!$A:$G,7,FALSE)</f>
        <v>女性</v>
      </c>
      <c r="L74" s="66">
        <f>IFERROR(VLOOKUP(D74,input_5!L:R,7,FALSE),VLOOKUP(tables_5!B74,input_5!A:H,8,FALSE))</f>
        <v>18759</v>
      </c>
      <c r="M74" s="67">
        <f t="shared" si="3"/>
        <v>9.0277777777777774E-4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customHeight="1">
      <c r="A75" s="2">
        <f>input_5!A$2</f>
        <v>3125</v>
      </c>
      <c r="B75" s="7" t="str">
        <f t="shared" si="4"/>
        <v>Premium3</v>
      </c>
      <c r="C75" s="7" t="str">
        <f t="shared" si="5"/>
        <v>Premium</v>
      </c>
      <c r="D75" s="6">
        <v>199</v>
      </c>
      <c r="E75" s="7" t="str">
        <f>VLOOKUP(D75,[1]characters!$A:$C,3,FALSE)</f>
        <v>ジークフリート</v>
      </c>
      <c r="F75" s="7" t="str">
        <f>VLOOKUP(D75,[1]characters!$A:$J,10,FALSE)</f>
        <v>PremiumN</v>
      </c>
      <c r="G75" s="7">
        <f>VLOOKUP(D75,[1]characters!$A:$I,9,FALSE)</f>
        <v>3</v>
      </c>
      <c r="H75" s="7" t="str">
        <f>VLOOKUP(D75,[1]characters!$A:$H,8,FALSE)</f>
        <v>blue</v>
      </c>
      <c r="I75" s="7" t="str">
        <f>VLOOKUP(D75,[1]characters!$A:$K,11,FALSE)</f>
        <v>balance</v>
      </c>
      <c r="J75" s="7" t="str">
        <f>VLOOKUP(D75,[1]characters!$A:$M,13,FALSE)</f>
        <v>human</v>
      </c>
      <c r="K75" s="7" t="str">
        <f>VLOOKUP(D75,[1]characters!$A:$G,7,FALSE)</f>
        <v>男性</v>
      </c>
      <c r="L75" s="66">
        <f>IFERROR(VLOOKUP(D75,input_5!L:R,7,FALSE),VLOOKUP(tables_5!B75,input_5!A:H,8,FALSE))</f>
        <v>0</v>
      </c>
      <c r="M75" s="67">
        <f t="shared" si="3"/>
        <v>0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customHeight="1">
      <c r="A76" s="2">
        <f>input_5!A$2</f>
        <v>3125</v>
      </c>
      <c r="B76" s="7" t="str">
        <f t="shared" si="4"/>
        <v>Premium4</v>
      </c>
      <c r="C76" s="7" t="str">
        <f t="shared" si="5"/>
        <v>Premium</v>
      </c>
      <c r="D76" s="6">
        <v>200</v>
      </c>
      <c r="E76" s="7" t="str">
        <f>VLOOKUP(D76,[1]characters!$A:$C,3,FALSE)</f>
        <v>大剣士 ジークフリート</v>
      </c>
      <c r="F76" s="7" t="str">
        <f>VLOOKUP(D76,[1]characters!$A:$J,10,FALSE)</f>
        <v>PremiumN</v>
      </c>
      <c r="G76" s="7">
        <f>VLOOKUP(D76,[1]characters!$A:$I,9,FALSE)</f>
        <v>4</v>
      </c>
      <c r="H76" s="7" t="str">
        <f>VLOOKUP(D76,[1]characters!$A:$H,8,FALSE)</f>
        <v>blue</v>
      </c>
      <c r="I76" s="7" t="str">
        <f>VLOOKUP(D76,[1]characters!$A:$K,11,FALSE)</f>
        <v>balance</v>
      </c>
      <c r="J76" s="7" t="str">
        <f>VLOOKUP(D76,[1]characters!$A:$M,13,FALSE)</f>
        <v>human</v>
      </c>
      <c r="K76" s="7" t="str">
        <f>VLOOKUP(D76,[1]characters!$A:$G,7,FALSE)</f>
        <v>男性</v>
      </c>
      <c r="L76" s="66">
        <f>IFERROR(VLOOKUP(D76,input_5!L:R,7,FALSE),VLOOKUP(tables_5!B76,input_5!A:H,8,FALSE))</f>
        <v>260091</v>
      </c>
      <c r="M76" s="67">
        <f t="shared" si="3"/>
        <v>1.2516891891891892E-2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customHeight="1">
      <c r="A77" s="2">
        <f>input_5!A$2</f>
        <v>3125</v>
      </c>
      <c r="B77" s="7" t="str">
        <f t="shared" si="4"/>
        <v>Premium5</v>
      </c>
      <c r="C77" s="7" t="str">
        <f t="shared" si="5"/>
        <v>Premium</v>
      </c>
      <c r="D77" s="5">
        <v>201</v>
      </c>
      <c r="E77" s="7" t="str">
        <f>VLOOKUP(D77,[1]characters!$A:$C,3,FALSE)</f>
        <v>斬空の大破剣 ジークフリート</v>
      </c>
      <c r="F77" s="7" t="str">
        <f>VLOOKUP(D77,[1]characters!$A:$J,10,FALSE)</f>
        <v>PremiumN</v>
      </c>
      <c r="G77" s="7">
        <f>VLOOKUP(D77,[1]characters!$A:$I,9,FALSE)</f>
        <v>5</v>
      </c>
      <c r="H77" s="7" t="str">
        <f>VLOOKUP(D77,[1]characters!$A:$H,8,FALSE)</f>
        <v>blue</v>
      </c>
      <c r="I77" s="7" t="str">
        <f>VLOOKUP(D77,[1]characters!$A:$K,11,FALSE)</f>
        <v>balance</v>
      </c>
      <c r="J77" s="7" t="str">
        <f>VLOOKUP(D77,[1]characters!$A:$M,13,FALSE)</f>
        <v>human</v>
      </c>
      <c r="K77" s="7" t="str">
        <f>VLOOKUP(D77,[1]characters!$A:$G,7,FALSE)</f>
        <v>男性</v>
      </c>
      <c r="L77" s="66">
        <f>IFERROR(VLOOKUP(D77,input_5!L:R,7,FALSE),VLOOKUP(tables_5!B77,input_5!A:H,8,FALSE))</f>
        <v>18759</v>
      </c>
      <c r="M77" s="67">
        <f t="shared" si="3"/>
        <v>9.0277777777777774E-4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customHeight="1">
      <c r="A78" s="2">
        <f>input_5!A$2</f>
        <v>3125</v>
      </c>
      <c r="B78" s="7" t="str">
        <f t="shared" si="4"/>
        <v>Premium3</v>
      </c>
      <c r="C78" s="7" t="str">
        <f t="shared" si="5"/>
        <v>Premium</v>
      </c>
      <c r="D78" s="5">
        <v>202</v>
      </c>
      <c r="E78" s="7" t="str">
        <f>VLOOKUP(D78,[1]characters!$A:$C,3,FALSE)</f>
        <v>プロメテウス</v>
      </c>
      <c r="F78" s="7" t="str">
        <f>VLOOKUP(D78,[1]characters!$A:$J,10,FALSE)</f>
        <v>PremiumN</v>
      </c>
      <c r="G78" s="7">
        <f>VLOOKUP(D78,[1]characters!$A:$I,9,FALSE)</f>
        <v>3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66">
        <f>IFERROR(VLOOKUP(D78,input_5!L:R,7,FALSE),VLOOKUP(tables_5!B78,input_5!A:H,8,FALSE))</f>
        <v>0</v>
      </c>
      <c r="M78" s="67">
        <f t="shared" si="3"/>
        <v>0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customHeight="1">
      <c r="A79" s="2">
        <f>input_5!A$2</f>
        <v>3125</v>
      </c>
      <c r="B79" s="7" t="str">
        <f t="shared" si="4"/>
        <v>Premium4</v>
      </c>
      <c r="C79" s="7" t="str">
        <f t="shared" si="5"/>
        <v>Premium</v>
      </c>
      <c r="D79" s="5">
        <v>203</v>
      </c>
      <c r="E79" s="7" t="str">
        <f>VLOOKUP(D79,[1]characters!$A:$C,3,FALSE)</f>
        <v>焔神 プロメテウス</v>
      </c>
      <c r="F79" s="7" t="str">
        <f>VLOOKUP(D79,[1]characters!$A:$J,10,FALSE)</f>
        <v>PremiumN</v>
      </c>
      <c r="G79" s="7">
        <f>VLOOKUP(D79,[1]characters!$A:$I,9,FALSE)</f>
        <v>4</v>
      </c>
      <c r="H79" s="7" t="str">
        <f>VLOOKUP(D79,[1]characters!$A:$H,8,FALSE)</f>
        <v>red</v>
      </c>
      <c r="I79" s="7" t="str">
        <f>VLOOKUP(D79,[1]characters!$A:$K,11,FALSE)</f>
        <v>hp</v>
      </c>
      <c r="J79" s="7" t="str">
        <f>VLOOKUP(D79,[1]characters!$A:$M,13,FALSE)</f>
        <v>god</v>
      </c>
      <c r="K79" s="7" t="str">
        <f>VLOOKUP(D79,[1]characters!$A:$G,7,FALSE)</f>
        <v>男性</v>
      </c>
      <c r="L79" s="66">
        <f>IFERROR(VLOOKUP(D79,input_5!L:R,7,FALSE),VLOOKUP(tables_5!B79,input_5!A:H,8,FALSE))</f>
        <v>260091</v>
      </c>
      <c r="M79" s="67">
        <f t="shared" si="3"/>
        <v>1.2516891891891892E-2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customHeight="1">
      <c r="A80" s="2">
        <f>input_5!A$2</f>
        <v>3125</v>
      </c>
      <c r="B80" s="7" t="str">
        <f t="shared" si="4"/>
        <v>Premium5</v>
      </c>
      <c r="C80" s="7" t="str">
        <f t="shared" si="5"/>
        <v>Premium</v>
      </c>
      <c r="D80" s="5">
        <v>204</v>
      </c>
      <c r="E80" s="7" t="str">
        <f>VLOOKUP(D80,[1]characters!$A:$C,3,FALSE)</f>
        <v>慟哭の巨焔 プロメテウス</v>
      </c>
      <c r="F80" s="7" t="str">
        <f>VLOOKUP(D80,[1]characters!$A:$J,10,FALSE)</f>
        <v>PremiumN</v>
      </c>
      <c r="G80" s="7">
        <f>VLOOKUP(D80,[1]characters!$A:$I,9,FALSE)</f>
        <v>5</v>
      </c>
      <c r="H80" s="7" t="str">
        <f>VLOOKUP(D80,[1]characters!$A:$H,8,FALSE)</f>
        <v>red</v>
      </c>
      <c r="I80" s="7" t="str">
        <f>VLOOKUP(D80,[1]characters!$A:$K,11,FALSE)</f>
        <v>hp</v>
      </c>
      <c r="J80" s="7" t="str">
        <f>VLOOKUP(D80,[1]characters!$A:$M,13,FALSE)</f>
        <v>god</v>
      </c>
      <c r="K80" s="7" t="str">
        <f>VLOOKUP(D80,[1]characters!$A:$G,7,FALSE)</f>
        <v>男性</v>
      </c>
      <c r="L80" s="66">
        <f>IFERROR(VLOOKUP(D80,input_5!L:R,7,FALSE),VLOOKUP(tables_5!B80,input_5!A:H,8,FALSE))</f>
        <v>18759</v>
      </c>
      <c r="M80" s="67">
        <f t="shared" si="3"/>
        <v>9.0277777777777774E-4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customHeight="1">
      <c r="A81" s="2">
        <f>input_5!A$2</f>
        <v>3125</v>
      </c>
      <c r="B81" s="7" t="str">
        <f t="shared" si="4"/>
        <v>Premium3</v>
      </c>
      <c r="C81" s="7" t="str">
        <f t="shared" si="5"/>
        <v>Premium</v>
      </c>
      <c r="D81" s="5">
        <v>205</v>
      </c>
      <c r="E81" s="7" t="str">
        <f>VLOOKUP(D81,[1]characters!$A:$C,3,FALSE)</f>
        <v>アフロディーテ</v>
      </c>
      <c r="F81" s="7" t="str">
        <f>VLOOKUP(D81,[1]characters!$A:$J,10,FALSE)</f>
        <v>PremiumN</v>
      </c>
      <c r="G81" s="7">
        <f>VLOOKUP(D81,[1]characters!$A:$I,9,FALSE)</f>
        <v>3</v>
      </c>
      <c r="H81" s="7" t="str">
        <f>VLOOKUP(D81,[1]characters!$A:$H,8,FALSE)</f>
        <v>green</v>
      </c>
      <c r="I81" s="7" t="str">
        <f>VLOOKUP(D81,[1]characters!$A:$K,11,FALSE)</f>
        <v>hp</v>
      </c>
      <c r="J81" s="7" t="str">
        <f>VLOOKUP(D81,[1]characters!$A:$M,13,FALSE)</f>
        <v>god</v>
      </c>
      <c r="K81" s="7" t="str">
        <f>VLOOKUP(D81,[1]characters!$A:$G,7,FALSE)</f>
        <v>女性</v>
      </c>
      <c r="L81" s="66">
        <f>IFERROR(VLOOKUP(D81,input_5!L:R,7,FALSE),VLOOKUP(tables_5!B81,input_5!A:H,8,FALSE))</f>
        <v>0</v>
      </c>
      <c r="M81" s="67">
        <f t="shared" si="3"/>
        <v>0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  <row r="82" spans="1:19" ht="21" customHeight="1">
      <c r="A82" s="2">
        <f>input_5!A$2</f>
        <v>3125</v>
      </c>
      <c r="B82" s="7" t="str">
        <f t="shared" si="4"/>
        <v>Premium4</v>
      </c>
      <c r="C82" s="7" t="str">
        <f t="shared" si="5"/>
        <v>Premium</v>
      </c>
      <c r="D82" s="5">
        <v>206</v>
      </c>
      <c r="E82" s="7" t="str">
        <f>VLOOKUP(D82,[1]characters!$A:$C,3,FALSE)</f>
        <v>美神 アフロディーテ</v>
      </c>
      <c r="F82" s="7" t="str">
        <f>VLOOKUP(D82,[1]characters!$A:$J,10,FALSE)</f>
        <v>PremiumN</v>
      </c>
      <c r="G82" s="7">
        <f>VLOOKUP(D82,[1]characters!$A:$I,9,FALSE)</f>
        <v>4</v>
      </c>
      <c r="H82" s="7" t="str">
        <f>VLOOKUP(D82,[1]characters!$A:$H,8,FALSE)</f>
        <v>green</v>
      </c>
      <c r="I82" s="7" t="str">
        <f>VLOOKUP(D82,[1]characters!$A:$K,11,FALSE)</f>
        <v>hp</v>
      </c>
      <c r="J82" s="7" t="str">
        <f>VLOOKUP(D82,[1]characters!$A:$M,13,FALSE)</f>
        <v>god</v>
      </c>
      <c r="K82" s="7" t="str">
        <f>VLOOKUP(D82,[1]characters!$A:$G,7,FALSE)</f>
        <v>女性</v>
      </c>
      <c r="L82" s="66">
        <f>IFERROR(VLOOKUP(D82,input_5!L:R,7,FALSE),VLOOKUP(tables_5!B82,input_5!A:H,8,FALSE))</f>
        <v>260091</v>
      </c>
      <c r="M82" s="67">
        <f t="shared" si="3"/>
        <v>1.2516891891891892E-2</v>
      </c>
      <c r="N82" s="31">
        <f>IFERROR(VLOOKUP($D82,bug_conf_sheet!$A:$H,3,FALSE),VLOOKUP("other",bug_conf_sheet!$A:$H,3,FALSE))</f>
        <v>1</v>
      </c>
      <c r="O82" s="31">
        <f>IFERROR(VLOOKUP($D82,bug_conf_sheet!$A:$H,4,FALSE),VLOOKUP("other",bug_conf_sheet!$A:$H,4,FALSE))</f>
        <v>0</v>
      </c>
      <c r="P82" s="31">
        <f>IFERROR(VLOOKUP($D82,bug_conf_sheet!$A:$H,5,FALSE),VLOOKUP("other",bug_conf_sheet!$A:$H,5,FALSE))</f>
        <v>0</v>
      </c>
      <c r="Q82" s="31">
        <f>IFERROR(VLOOKUP($D82,bug_conf_sheet!$A:$H,6,FALSE),VLOOKUP("other",bug_conf_sheet!$A:$H,6,FALSE))</f>
        <v>0</v>
      </c>
      <c r="R82" s="31">
        <f>IFERROR(VLOOKUP($D82,bug_conf_sheet!$A:$H,7,FALSE),VLOOKUP("other",bug_conf_sheet!$A:$H,7,FALSE))</f>
        <v>0</v>
      </c>
      <c r="S82" s="31">
        <f>IFERROR(VLOOKUP($D82,bug_conf_sheet!$A:$H,8,FALSE),VLOOKUP("other",bug_conf_sheet!$A:$H,8,FALSE))</f>
        <v>1</v>
      </c>
    </row>
    <row r="83" spans="1:19" ht="21" customHeight="1">
      <c r="A83" s="2">
        <f>input_5!A$2</f>
        <v>3125</v>
      </c>
      <c r="B83" s="7" t="str">
        <f t="shared" si="4"/>
        <v>Premium5</v>
      </c>
      <c r="C83" s="7" t="str">
        <f t="shared" si="5"/>
        <v>Premium</v>
      </c>
      <c r="D83" s="5">
        <v>207</v>
      </c>
      <c r="E83" s="7" t="str">
        <f>VLOOKUP(D83,[1]characters!$A:$C,3,FALSE)</f>
        <v>豊穣の麗神・アフロディーテ</v>
      </c>
      <c r="F83" s="7" t="str">
        <f>VLOOKUP(D83,[1]characters!$A:$J,10,FALSE)</f>
        <v>PremiumN</v>
      </c>
      <c r="G83" s="7">
        <f>VLOOKUP(D83,[1]characters!$A:$I,9,FALSE)</f>
        <v>5</v>
      </c>
      <c r="H83" s="7" t="str">
        <f>VLOOKUP(D83,[1]characters!$A:$H,8,FALSE)</f>
        <v>green</v>
      </c>
      <c r="I83" s="7" t="str">
        <f>VLOOKUP(D83,[1]characters!$A:$K,11,FALSE)</f>
        <v>hp</v>
      </c>
      <c r="J83" s="7" t="str">
        <f>VLOOKUP(D83,[1]characters!$A:$M,13,FALSE)</f>
        <v>god</v>
      </c>
      <c r="K83" s="7" t="str">
        <f>VLOOKUP(D83,[1]characters!$A:$G,7,FALSE)</f>
        <v>女性</v>
      </c>
      <c r="L83" s="66">
        <f>IFERROR(VLOOKUP(D83,input_5!L:R,7,FALSE),VLOOKUP(tables_5!B83,input_5!A:H,8,FALSE))</f>
        <v>18759</v>
      </c>
      <c r="M83" s="67">
        <f t="shared" si="3"/>
        <v>9.0277777777777774E-4</v>
      </c>
      <c r="N83" s="31">
        <f>IFERROR(VLOOKUP($D83,bug_conf_sheet!$A:$H,3,FALSE),VLOOKUP("other",bug_conf_sheet!$A:$H,3,FALSE))</f>
        <v>1</v>
      </c>
      <c r="O83" s="31">
        <f>IFERROR(VLOOKUP($D83,bug_conf_sheet!$A:$H,4,FALSE),VLOOKUP("other",bug_conf_sheet!$A:$H,4,FALSE))</f>
        <v>0</v>
      </c>
      <c r="P83" s="31">
        <f>IFERROR(VLOOKUP($D83,bug_conf_sheet!$A:$H,5,FALSE),VLOOKUP("other",bug_conf_sheet!$A:$H,5,FALSE))</f>
        <v>0</v>
      </c>
      <c r="Q83" s="31">
        <f>IFERROR(VLOOKUP($D83,bug_conf_sheet!$A:$H,6,FALSE),VLOOKUP("other",bug_conf_sheet!$A:$H,6,FALSE))</f>
        <v>0</v>
      </c>
      <c r="R83" s="31">
        <f>IFERROR(VLOOKUP($D83,bug_conf_sheet!$A:$H,7,FALSE),VLOOKUP("other",bug_conf_sheet!$A:$H,7,FALSE))</f>
        <v>0</v>
      </c>
      <c r="S83" s="31">
        <f>IFERROR(VLOOKUP($D83,bug_conf_sheet!$A:$H,8,FALSE),VLOOKUP("other",bug_conf_sheet!$A:$H,8,FALSE))</f>
        <v>1</v>
      </c>
    </row>
    <row r="84" spans="1:19" ht="21" customHeight="1">
      <c r="A84" s="2">
        <f>input_5!A$2</f>
        <v>3125</v>
      </c>
      <c r="B84" s="7" t="str">
        <f t="shared" si="4"/>
        <v>Premium3</v>
      </c>
      <c r="C84" s="7" t="str">
        <f t="shared" si="5"/>
        <v>Premium</v>
      </c>
      <c r="D84" s="5">
        <v>208</v>
      </c>
      <c r="E84" s="7" t="str">
        <f>VLOOKUP(D84,[1]characters!$A:$C,3,FALSE)</f>
        <v>テティス</v>
      </c>
      <c r="F84" s="7" t="str">
        <f>VLOOKUP(D84,[1]characters!$A:$J,10,FALSE)</f>
        <v>PremiumN</v>
      </c>
      <c r="G84" s="7">
        <f>VLOOKUP(D84,[1]characters!$A:$I,9,FALSE)</f>
        <v>3</v>
      </c>
      <c r="H84" s="7" t="str">
        <f>VLOOKUP(D84,[1]characters!$A:$H,8,FALSE)</f>
        <v>blue</v>
      </c>
      <c r="I84" s="7" t="str">
        <f>VLOOKUP(D84,[1]characters!$A:$K,11,FALSE)</f>
        <v>hp</v>
      </c>
      <c r="J84" s="7" t="str">
        <f>VLOOKUP(D84,[1]characters!$A:$M,13,FALSE)</f>
        <v>god</v>
      </c>
      <c r="K84" s="7" t="str">
        <f>VLOOKUP(D84,[1]characters!$A:$G,7,FALSE)</f>
        <v>女性</v>
      </c>
      <c r="L84" s="66">
        <f>IFERROR(VLOOKUP(D84,input_5!L:R,7,FALSE),VLOOKUP(tables_5!B84,input_5!A:H,8,FALSE))</f>
        <v>0</v>
      </c>
      <c r="M84" s="67">
        <f t="shared" si="3"/>
        <v>0</v>
      </c>
      <c r="N84" s="31">
        <f>IFERROR(VLOOKUP($D84,bug_conf_sheet!$A:$H,3,FALSE),VLOOKUP("other",bug_conf_sheet!$A:$H,3,FALSE))</f>
        <v>1</v>
      </c>
      <c r="O84" s="31">
        <f>IFERROR(VLOOKUP($D84,bug_conf_sheet!$A:$H,4,FALSE),VLOOKUP("other",bug_conf_sheet!$A:$H,4,FALSE))</f>
        <v>0</v>
      </c>
      <c r="P84" s="31">
        <f>IFERROR(VLOOKUP($D84,bug_conf_sheet!$A:$H,5,FALSE),VLOOKUP("other",bug_conf_sheet!$A:$H,5,FALSE))</f>
        <v>0</v>
      </c>
      <c r="Q84" s="31">
        <f>IFERROR(VLOOKUP($D84,bug_conf_sheet!$A:$H,6,FALSE),VLOOKUP("other",bug_conf_sheet!$A:$H,6,FALSE))</f>
        <v>0</v>
      </c>
      <c r="R84" s="31">
        <f>IFERROR(VLOOKUP($D84,bug_conf_sheet!$A:$H,7,FALSE),VLOOKUP("other",bug_conf_sheet!$A:$H,7,FALSE))</f>
        <v>0</v>
      </c>
      <c r="S84" s="31">
        <f>IFERROR(VLOOKUP($D84,bug_conf_sheet!$A:$H,8,FALSE),VLOOKUP("other",bug_conf_sheet!$A:$H,8,FALSE))</f>
        <v>1</v>
      </c>
    </row>
    <row r="85" spans="1:19" ht="21" customHeight="1">
      <c r="A85" s="2">
        <f>input_5!A$2</f>
        <v>3125</v>
      </c>
      <c r="B85" s="7" t="str">
        <f t="shared" si="4"/>
        <v>Premium4</v>
      </c>
      <c r="C85" s="7" t="str">
        <f t="shared" si="5"/>
        <v>Premium</v>
      </c>
      <c r="D85" s="5">
        <v>209</v>
      </c>
      <c r="E85" s="7" t="str">
        <f>VLOOKUP(D85,[1]characters!$A:$C,3,FALSE)</f>
        <v>孤神 テティス</v>
      </c>
      <c r="F85" s="7" t="str">
        <f>VLOOKUP(D85,[1]characters!$A:$J,10,FALSE)</f>
        <v>PremiumN</v>
      </c>
      <c r="G85" s="7">
        <f>VLOOKUP(D85,[1]characters!$A:$I,9,FALSE)</f>
        <v>4</v>
      </c>
      <c r="H85" s="7" t="str">
        <f>VLOOKUP(D85,[1]characters!$A:$H,8,FALSE)</f>
        <v>blue</v>
      </c>
      <c r="I85" s="7" t="str">
        <f>VLOOKUP(D85,[1]characters!$A:$K,11,FALSE)</f>
        <v>hp</v>
      </c>
      <c r="J85" s="7" t="str">
        <f>VLOOKUP(D85,[1]characters!$A:$M,13,FALSE)</f>
        <v>god</v>
      </c>
      <c r="K85" s="7" t="str">
        <f>VLOOKUP(D85,[1]characters!$A:$G,7,FALSE)</f>
        <v>女性</v>
      </c>
      <c r="L85" s="66">
        <f>IFERROR(VLOOKUP(D85,input_5!L:R,7,FALSE),VLOOKUP(tables_5!B85,input_5!A:H,8,FALSE))</f>
        <v>260091</v>
      </c>
      <c r="M85" s="67">
        <f t="shared" si="3"/>
        <v>1.2516891891891892E-2</v>
      </c>
      <c r="N85" s="31">
        <f>IFERROR(VLOOKUP($D85,bug_conf_sheet!$A:$H,3,FALSE),VLOOKUP("other",bug_conf_sheet!$A:$H,3,FALSE))</f>
        <v>1</v>
      </c>
      <c r="O85" s="31">
        <f>IFERROR(VLOOKUP($D85,bug_conf_sheet!$A:$H,4,FALSE),VLOOKUP("other",bug_conf_sheet!$A:$H,4,FALSE))</f>
        <v>0</v>
      </c>
      <c r="P85" s="31">
        <f>IFERROR(VLOOKUP($D85,bug_conf_sheet!$A:$H,5,FALSE),VLOOKUP("other",bug_conf_sheet!$A:$H,5,FALSE))</f>
        <v>0</v>
      </c>
      <c r="Q85" s="31">
        <f>IFERROR(VLOOKUP($D85,bug_conf_sheet!$A:$H,6,FALSE),VLOOKUP("other",bug_conf_sheet!$A:$H,6,FALSE))</f>
        <v>0</v>
      </c>
      <c r="R85" s="31">
        <f>IFERROR(VLOOKUP($D85,bug_conf_sheet!$A:$H,7,FALSE),VLOOKUP("other",bug_conf_sheet!$A:$H,7,FALSE))</f>
        <v>0</v>
      </c>
      <c r="S85" s="31">
        <f>IFERROR(VLOOKUP($D85,bug_conf_sheet!$A:$H,8,FALSE),VLOOKUP("other",bug_conf_sheet!$A:$H,8,FALSE))</f>
        <v>1</v>
      </c>
    </row>
    <row r="86" spans="1:19" ht="21" customHeight="1">
      <c r="A86" s="2">
        <f>input_5!A$2</f>
        <v>3125</v>
      </c>
      <c r="B86" s="7" t="str">
        <f t="shared" si="4"/>
        <v>Premium5</v>
      </c>
      <c r="C86" s="7" t="str">
        <f t="shared" si="5"/>
        <v>Premium</v>
      </c>
      <c r="D86" s="5">
        <v>210</v>
      </c>
      <c r="E86" s="7" t="str">
        <f>VLOOKUP(D86,[1]characters!$A:$C,3,FALSE)</f>
        <v>海底の孤高神 テティス</v>
      </c>
      <c r="F86" s="7" t="str">
        <f>VLOOKUP(D86,[1]characters!$A:$J,10,FALSE)</f>
        <v>PremiumN</v>
      </c>
      <c r="G86" s="7">
        <f>VLOOKUP(D86,[1]characters!$A:$I,9,FALSE)</f>
        <v>5</v>
      </c>
      <c r="H86" s="7" t="str">
        <f>VLOOKUP(D86,[1]characters!$A:$H,8,FALSE)</f>
        <v>blue</v>
      </c>
      <c r="I86" s="7" t="str">
        <f>VLOOKUP(D86,[1]characters!$A:$K,11,FALSE)</f>
        <v>hp</v>
      </c>
      <c r="J86" s="7" t="str">
        <f>VLOOKUP(D86,[1]characters!$A:$M,13,FALSE)</f>
        <v>god</v>
      </c>
      <c r="K86" s="7" t="str">
        <f>VLOOKUP(D86,[1]characters!$A:$G,7,FALSE)</f>
        <v>女性</v>
      </c>
      <c r="L86" s="66">
        <f>IFERROR(VLOOKUP(D86,input_5!L:R,7,FALSE),VLOOKUP(tables_5!B86,input_5!A:H,8,FALSE))</f>
        <v>18759</v>
      </c>
      <c r="M86" s="67">
        <f t="shared" si="3"/>
        <v>9.0277777777777774E-4</v>
      </c>
      <c r="N86" s="31">
        <f>IFERROR(VLOOKUP($D86,bug_conf_sheet!$A:$H,3,FALSE),VLOOKUP("other",bug_conf_sheet!$A:$H,3,FALSE))</f>
        <v>1</v>
      </c>
      <c r="O86" s="31">
        <f>IFERROR(VLOOKUP($D86,bug_conf_sheet!$A:$H,4,FALSE),VLOOKUP("other",bug_conf_sheet!$A:$H,4,FALSE))</f>
        <v>0</v>
      </c>
      <c r="P86" s="31">
        <f>IFERROR(VLOOKUP($D86,bug_conf_sheet!$A:$H,5,FALSE),VLOOKUP("other",bug_conf_sheet!$A:$H,5,FALSE))</f>
        <v>0</v>
      </c>
      <c r="Q86" s="31">
        <f>IFERROR(VLOOKUP($D86,bug_conf_sheet!$A:$H,6,FALSE),VLOOKUP("other",bug_conf_sheet!$A:$H,6,FALSE))</f>
        <v>0</v>
      </c>
      <c r="R86" s="31">
        <f>IFERROR(VLOOKUP($D86,bug_conf_sheet!$A:$H,7,FALSE),VLOOKUP("other",bug_conf_sheet!$A:$H,7,FALSE))</f>
        <v>0</v>
      </c>
      <c r="S86" s="31">
        <f>IFERROR(VLOOKUP($D86,bug_conf_sheet!$A:$H,8,FALSE),VLOOKUP("other",bug_conf_sheet!$A:$H,8,FALSE))</f>
        <v>1</v>
      </c>
    </row>
    <row r="87" spans="1:19" ht="21" customHeight="1">
      <c r="A87" s="2">
        <f>input_5!A$2</f>
        <v>3125</v>
      </c>
      <c r="B87" s="7" t="str">
        <f t="shared" si="4"/>
        <v>Premium3</v>
      </c>
      <c r="C87" s="7" t="str">
        <f t="shared" si="5"/>
        <v>Premium</v>
      </c>
      <c r="D87" s="5">
        <v>211</v>
      </c>
      <c r="E87" s="7" t="str">
        <f>VLOOKUP(D87,[1]characters!$A:$C,3,FALSE)</f>
        <v>アストライアー</v>
      </c>
      <c r="F87" s="7" t="str">
        <f>VLOOKUP(D87,[1]characters!$A:$J,10,FALSE)</f>
        <v>PremiumN</v>
      </c>
      <c r="G87" s="7">
        <f>VLOOKUP(D87,[1]characters!$A:$I,9,FALSE)</f>
        <v>3</v>
      </c>
      <c r="H87" s="7" t="str">
        <f>VLOOKUP(D87,[1]characters!$A:$H,8,FALSE)</f>
        <v>yellow</v>
      </c>
      <c r="I87" s="7" t="str">
        <f>VLOOKUP(D87,[1]characters!$A:$K,11,FALSE)</f>
        <v>balance</v>
      </c>
      <c r="J87" s="7" t="str">
        <f>VLOOKUP(D87,[1]characters!$A:$M,13,FALSE)</f>
        <v>god</v>
      </c>
      <c r="K87" s="7" t="str">
        <f>VLOOKUP(D87,[1]characters!$A:$G,7,FALSE)</f>
        <v>女性</v>
      </c>
      <c r="L87" s="66">
        <f>IFERROR(VLOOKUP(D87,input_5!L:R,7,FALSE),VLOOKUP(tables_5!B87,input_5!A:H,8,FALSE))</f>
        <v>0</v>
      </c>
      <c r="M87" s="67">
        <f t="shared" si="3"/>
        <v>0</v>
      </c>
      <c r="N87" s="31">
        <f>IFERROR(VLOOKUP($D87,bug_conf_sheet!$A:$H,3,FALSE),VLOOKUP("other",bug_conf_sheet!$A:$H,3,FALSE))</f>
        <v>1</v>
      </c>
      <c r="O87" s="31">
        <f>IFERROR(VLOOKUP($D87,bug_conf_sheet!$A:$H,4,FALSE),VLOOKUP("other",bug_conf_sheet!$A:$H,4,FALSE))</f>
        <v>0</v>
      </c>
      <c r="P87" s="31">
        <f>IFERROR(VLOOKUP($D87,bug_conf_sheet!$A:$H,5,FALSE),VLOOKUP("other",bug_conf_sheet!$A:$H,5,FALSE))</f>
        <v>0</v>
      </c>
      <c r="Q87" s="31">
        <f>IFERROR(VLOOKUP($D87,bug_conf_sheet!$A:$H,6,FALSE),VLOOKUP("other",bug_conf_sheet!$A:$H,6,FALSE))</f>
        <v>0</v>
      </c>
      <c r="R87" s="31">
        <f>IFERROR(VLOOKUP($D87,bug_conf_sheet!$A:$H,7,FALSE),VLOOKUP("other",bug_conf_sheet!$A:$H,7,FALSE))</f>
        <v>0</v>
      </c>
      <c r="S87" s="31">
        <f>IFERROR(VLOOKUP($D87,bug_conf_sheet!$A:$H,8,FALSE),VLOOKUP("other",bug_conf_sheet!$A:$H,8,FALSE))</f>
        <v>1</v>
      </c>
    </row>
    <row r="88" spans="1:19" ht="21" customHeight="1">
      <c r="A88" s="2">
        <f>input_5!A$2</f>
        <v>3125</v>
      </c>
      <c r="B88" s="7" t="str">
        <f t="shared" si="4"/>
        <v>Premium4</v>
      </c>
      <c r="C88" s="7" t="str">
        <f t="shared" si="5"/>
        <v>Premium</v>
      </c>
      <c r="D88" s="5">
        <v>212</v>
      </c>
      <c r="E88" s="7" t="str">
        <f>VLOOKUP(D88,[1]characters!$A:$C,3,FALSE)</f>
        <v>星神 アストライアー</v>
      </c>
      <c r="F88" s="7" t="str">
        <f>VLOOKUP(D88,[1]characters!$A:$J,10,FALSE)</f>
        <v>PremiumN</v>
      </c>
      <c r="G88" s="7">
        <f>VLOOKUP(D88,[1]characters!$A:$I,9,FALSE)</f>
        <v>4</v>
      </c>
      <c r="H88" s="7" t="str">
        <f>VLOOKUP(D88,[1]characters!$A:$H,8,FALSE)</f>
        <v>yellow</v>
      </c>
      <c r="I88" s="7" t="str">
        <f>VLOOKUP(D88,[1]characters!$A:$K,11,FALSE)</f>
        <v>balance</v>
      </c>
      <c r="J88" s="7" t="str">
        <f>VLOOKUP(D88,[1]characters!$A:$M,13,FALSE)</f>
        <v>god</v>
      </c>
      <c r="K88" s="7" t="str">
        <f>VLOOKUP(D88,[1]characters!$A:$G,7,FALSE)</f>
        <v>女性</v>
      </c>
      <c r="L88" s="66">
        <f>IFERROR(VLOOKUP(D88,input_5!L:R,7,FALSE),VLOOKUP(tables_5!B88,input_5!A:H,8,FALSE))</f>
        <v>260091</v>
      </c>
      <c r="M88" s="67">
        <f t="shared" si="3"/>
        <v>1.2516891891891892E-2</v>
      </c>
      <c r="N88" s="31">
        <f>IFERROR(VLOOKUP($D88,bug_conf_sheet!$A:$H,3,FALSE),VLOOKUP("other",bug_conf_sheet!$A:$H,3,FALSE))</f>
        <v>1</v>
      </c>
      <c r="O88" s="31">
        <f>IFERROR(VLOOKUP($D88,bug_conf_sheet!$A:$H,4,FALSE),VLOOKUP("other",bug_conf_sheet!$A:$H,4,FALSE))</f>
        <v>0</v>
      </c>
      <c r="P88" s="31">
        <f>IFERROR(VLOOKUP($D88,bug_conf_sheet!$A:$H,5,FALSE),VLOOKUP("other",bug_conf_sheet!$A:$H,5,FALSE))</f>
        <v>0</v>
      </c>
      <c r="Q88" s="31">
        <f>IFERROR(VLOOKUP($D88,bug_conf_sheet!$A:$H,6,FALSE),VLOOKUP("other",bug_conf_sheet!$A:$H,6,FALSE))</f>
        <v>0</v>
      </c>
      <c r="R88" s="31">
        <f>IFERROR(VLOOKUP($D88,bug_conf_sheet!$A:$H,7,FALSE),VLOOKUP("other",bug_conf_sheet!$A:$H,7,FALSE))</f>
        <v>0</v>
      </c>
      <c r="S88" s="31">
        <f>IFERROR(VLOOKUP($D88,bug_conf_sheet!$A:$H,8,FALSE),VLOOKUP("other",bug_conf_sheet!$A:$H,8,FALSE))</f>
        <v>1</v>
      </c>
    </row>
    <row r="89" spans="1:19" ht="21" customHeight="1">
      <c r="A89" s="2">
        <f>input_5!A$2</f>
        <v>3125</v>
      </c>
      <c r="B89" s="7" t="str">
        <f t="shared" si="4"/>
        <v>Premium5</v>
      </c>
      <c r="C89" s="7" t="str">
        <f t="shared" si="5"/>
        <v>Premium</v>
      </c>
      <c r="D89" s="5">
        <v>213</v>
      </c>
      <c r="E89" s="7" t="str">
        <f>VLOOKUP(D89,[1]characters!$A:$C,3,FALSE)</f>
        <v>満天の星降神 アストライアー</v>
      </c>
      <c r="F89" s="7" t="str">
        <f>VLOOKUP(D89,[1]characters!$A:$J,10,FALSE)</f>
        <v>PremiumN</v>
      </c>
      <c r="G89" s="7">
        <f>VLOOKUP(D89,[1]characters!$A:$I,9,FALSE)</f>
        <v>5</v>
      </c>
      <c r="H89" s="7" t="str">
        <f>VLOOKUP(D89,[1]characters!$A:$H,8,FALSE)</f>
        <v>yellow</v>
      </c>
      <c r="I89" s="7" t="str">
        <f>VLOOKUP(D89,[1]characters!$A:$K,11,FALSE)</f>
        <v>balance</v>
      </c>
      <c r="J89" s="7" t="str">
        <f>VLOOKUP(D89,[1]characters!$A:$M,13,FALSE)</f>
        <v>god</v>
      </c>
      <c r="K89" s="7" t="str">
        <f>VLOOKUP(D89,[1]characters!$A:$G,7,FALSE)</f>
        <v>女性</v>
      </c>
      <c r="L89" s="66">
        <f>IFERROR(VLOOKUP(D89,input_5!L:R,7,FALSE),VLOOKUP(tables_5!B89,input_5!A:H,8,FALSE))</f>
        <v>18759</v>
      </c>
      <c r="M89" s="67">
        <f t="shared" si="3"/>
        <v>9.0277777777777774E-4</v>
      </c>
      <c r="N89" s="31">
        <f>IFERROR(VLOOKUP($D89,bug_conf_sheet!$A:$H,3,FALSE),VLOOKUP("other",bug_conf_sheet!$A:$H,3,FALSE))</f>
        <v>1</v>
      </c>
      <c r="O89" s="31">
        <f>IFERROR(VLOOKUP($D89,bug_conf_sheet!$A:$H,4,FALSE),VLOOKUP("other",bug_conf_sheet!$A:$H,4,FALSE))</f>
        <v>0</v>
      </c>
      <c r="P89" s="31">
        <f>IFERROR(VLOOKUP($D89,bug_conf_sheet!$A:$H,5,FALSE),VLOOKUP("other",bug_conf_sheet!$A:$H,5,FALSE))</f>
        <v>0</v>
      </c>
      <c r="Q89" s="31">
        <f>IFERROR(VLOOKUP($D89,bug_conf_sheet!$A:$H,6,FALSE),VLOOKUP("other",bug_conf_sheet!$A:$H,6,FALSE))</f>
        <v>0</v>
      </c>
      <c r="R89" s="31">
        <f>IFERROR(VLOOKUP($D89,bug_conf_sheet!$A:$H,7,FALSE),VLOOKUP("other",bug_conf_sheet!$A:$H,7,FALSE))</f>
        <v>0</v>
      </c>
      <c r="S89" s="31">
        <f>IFERROR(VLOOKUP($D89,bug_conf_sheet!$A:$H,8,FALSE),VLOOKUP("other",bug_conf_sheet!$A:$H,8,FALSE))</f>
        <v>1</v>
      </c>
    </row>
    <row r="90" spans="1:19" ht="21" customHeight="1">
      <c r="A90" s="2">
        <f>input_5!A$2</f>
        <v>3125</v>
      </c>
      <c r="B90" s="7" t="str">
        <f t="shared" si="4"/>
        <v>Premium3</v>
      </c>
      <c r="C90" s="7" t="str">
        <f t="shared" si="5"/>
        <v>Premium</v>
      </c>
      <c r="D90" s="5">
        <v>214</v>
      </c>
      <c r="E90" s="7" t="str">
        <f>VLOOKUP(D90,[1]characters!$A:$C,3,FALSE)</f>
        <v>アズラエル</v>
      </c>
      <c r="F90" s="7" t="str">
        <f>VLOOKUP(D90,[1]characters!$A:$J,10,FALSE)</f>
        <v>PremiumN</v>
      </c>
      <c r="G90" s="7">
        <f>VLOOKUP(D90,[1]characters!$A:$I,9,FALSE)</f>
        <v>3</v>
      </c>
      <c r="H90" s="7" t="str">
        <f>VLOOKUP(D90,[1]characters!$A:$H,8,FALSE)</f>
        <v>red</v>
      </c>
      <c r="I90" s="7" t="str">
        <f>VLOOKUP(D90,[1]characters!$A:$K,11,FALSE)</f>
        <v>balance</v>
      </c>
      <c r="J90" s="7" t="str">
        <f>VLOOKUP(D90,[1]characters!$A:$M,13,FALSE)</f>
        <v>god</v>
      </c>
      <c r="K90" s="7" t="str">
        <f>VLOOKUP(D90,[1]characters!$A:$G,7,FALSE)</f>
        <v>女性</v>
      </c>
      <c r="L90" s="66">
        <f>IFERROR(VLOOKUP(D90,input_5!L:R,7,FALSE),VLOOKUP(tables_5!B90,input_5!A:H,8,FALSE))</f>
        <v>0</v>
      </c>
      <c r="M90" s="67">
        <f t="shared" si="3"/>
        <v>0</v>
      </c>
      <c r="N90" s="31">
        <f>IFERROR(VLOOKUP($D90,bug_conf_sheet!$A:$H,3,FALSE),VLOOKUP("other",bug_conf_sheet!$A:$H,3,FALSE))</f>
        <v>1</v>
      </c>
      <c r="O90" s="31">
        <f>IFERROR(VLOOKUP($D90,bug_conf_sheet!$A:$H,4,FALSE),VLOOKUP("other",bug_conf_sheet!$A:$H,4,FALSE))</f>
        <v>0</v>
      </c>
      <c r="P90" s="31">
        <f>IFERROR(VLOOKUP($D90,bug_conf_sheet!$A:$H,5,FALSE),VLOOKUP("other",bug_conf_sheet!$A:$H,5,FALSE))</f>
        <v>0</v>
      </c>
      <c r="Q90" s="31">
        <f>IFERROR(VLOOKUP($D90,bug_conf_sheet!$A:$H,6,FALSE),VLOOKUP("other",bug_conf_sheet!$A:$H,6,FALSE))</f>
        <v>0</v>
      </c>
      <c r="R90" s="31">
        <f>IFERROR(VLOOKUP($D90,bug_conf_sheet!$A:$H,7,FALSE),VLOOKUP("other",bug_conf_sheet!$A:$H,7,FALSE))</f>
        <v>0</v>
      </c>
      <c r="S90" s="31">
        <f>IFERROR(VLOOKUP($D90,bug_conf_sheet!$A:$H,8,FALSE),VLOOKUP("other",bug_conf_sheet!$A:$H,8,FALSE))</f>
        <v>1</v>
      </c>
    </row>
    <row r="91" spans="1:19" ht="21" customHeight="1">
      <c r="A91" s="2">
        <f>input_5!A$2</f>
        <v>3125</v>
      </c>
      <c r="B91" s="7" t="str">
        <f t="shared" si="4"/>
        <v>Premium4</v>
      </c>
      <c r="C91" s="7" t="str">
        <f t="shared" si="5"/>
        <v>Premium</v>
      </c>
      <c r="D91" s="5">
        <v>215</v>
      </c>
      <c r="E91" s="7" t="str">
        <f>VLOOKUP(D91,[1]characters!$A:$C,3,FALSE)</f>
        <v>死導者 アズラエル</v>
      </c>
      <c r="F91" s="7" t="str">
        <f>VLOOKUP(D91,[1]characters!$A:$J,10,FALSE)</f>
        <v>PremiumN</v>
      </c>
      <c r="G91" s="7">
        <f>VLOOKUP(D91,[1]characters!$A:$I,9,FALSE)</f>
        <v>4</v>
      </c>
      <c r="H91" s="7" t="str">
        <f>VLOOKUP(D91,[1]characters!$A:$H,8,FALSE)</f>
        <v>red</v>
      </c>
      <c r="I91" s="7" t="str">
        <f>VLOOKUP(D91,[1]characters!$A:$K,11,FALSE)</f>
        <v>balance</v>
      </c>
      <c r="J91" s="7" t="str">
        <f>VLOOKUP(D91,[1]characters!$A:$M,13,FALSE)</f>
        <v>god</v>
      </c>
      <c r="K91" s="7" t="str">
        <f>VLOOKUP(D91,[1]characters!$A:$G,7,FALSE)</f>
        <v>女性</v>
      </c>
      <c r="L91" s="66">
        <f>IFERROR(VLOOKUP(D91,input_5!L:R,7,FALSE),VLOOKUP(tables_5!B91,input_5!A:H,8,FALSE))</f>
        <v>260091</v>
      </c>
      <c r="M91" s="67">
        <f t="shared" si="3"/>
        <v>1.2516891891891892E-2</v>
      </c>
      <c r="N91" s="31">
        <f>IFERROR(VLOOKUP($D91,bug_conf_sheet!$A:$H,3,FALSE),VLOOKUP("other",bug_conf_sheet!$A:$H,3,FALSE))</f>
        <v>1</v>
      </c>
      <c r="O91" s="31">
        <f>IFERROR(VLOOKUP($D91,bug_conf_sheet!$A:$H,4,FALSE),VLOOKUP("other",bug_conf_sheet!$A:$H,4,FALSE))</f>
        <v>0</v>
      </c>
      <c r="P91" s="31">
        <f>IFERROR(VLOOKUP($D91,bug_conf_sheet!$A:$H,5,FALSE),VLOOKUP("other",bug_conf_sheet!$A:$H,5,FALSE))</f>
        <v>0</v>
      </c>
      <c r="Q91" s="31">
        <f>IFERROR(VLOOKUP($D91,bug_conf_sheet!$A:$H,6,FALSE),VLOOKUP("other",bug_conf_sheet!$A:$H,6,FALSE))</f>
        <v>0</v>
      </c>
      <c r="R91" s="31">
        <f>IFERROR(VLOOKUP($D91,bug_conf_sheet!$A:$H,7,FALSE),VLOOKUP("other",bug_conf_sheet!$A:$H,7,FALSE))</f>
        <v>0</v>
      </c>
      <c r="S91" s="31">
        <f>IFERROR(VLOOKUP($D91,bug_conf_sheet!$A:$H,8,FALSE),VLOOKUP("other",bug_conf_sheet!$A:$H,8,FALSE))</f>
        <v>1</v>
      </c>
    </row>
    <row r="92" spans="1:19" ht="21" customHeight="1">
      <c r="A92" s="2">
        <f>input_5!A$2</f>
        <v>3125</v>
      </c>
      <c r="B92" s="7" t="str">
        <f t="shared" si="4"/>
        <v>Premium5</v>
      </c>
      <c r="C92" s="7" t="str">
        <f t="shared" si="5"/>
        <v>Premium</v>
      </c>
      <c r="D92" s="5">
        <v>216</v>
      </c>
      <c r="E92" s="7" t="str">
        <f>VLOOKUP(D92,[1]characters!$A:$C,3,FALSE)</f>
        <v>百読の死導司書 アズラエル</v>
      </c>
      <c r="F92" s="7" t="str">
        <f>VLOOKUP(D92,[1]characters!$A:$J,10,FALSE)</f>
        <v>PremiumN</v>
      </c>
      <c r="G92" s="7">
        <f>VLOOKUP(D92,[1]characters!$A:$I,9,FALSE)</f>
        <v>5</v>
      </c>
      <c r="H92" s="7" t="str">
        <f>VLOOKUP(D92,[1]characters!$A:$H,8,FALSE)</f>
        <v>red</v>
      </c>
      <c r="I92" s="7" t="str">
        <f>VLOOKUP(D92,[1]characters!$A:$K,11,FALSE)</f>
        <v>balance</v>
      </c>
      <c r="J92" s="7" t="str">
        <f>VLOOKUP(D92,[1]characters!$A:$M,13,FALSE)</f>
        <v>god</v>
      </c>
      <c r="K92" s="7" t="str">
        <f>VLOOKUP(D92,[1]characters!$A:$G,7,FALSE)</f>
        <v>女性</v>
      </c>
      <c r="L92" s="66">
        <f>IFERROR(VLOOKUP(D92,input_5!L:R,7,FALSE),VLOOKUP(tables_5!B92,input_5!A:H,8,FALSE))</f>
        <v>18759</v>
      </c>
      <c r="M92" s="67">
        <f t="shared" si="3"/>
        <v>9.0277777777777774E-4</v>
      </c>
      <c r="N92" s="31">
        <f>IFERROR(VLOOKUP($D92,bug_conf_sheet!$A:$H,3,FALSE),VLOOKUP("other",bug_conf_sheet!$A:$H,3,FALSE))</f>
        <v>1</v>
      </c>
      <c r="O92" s="31">
        <f>IFERROR(VLOOKUP($D92,bug_conf_sheet!$A:$H,4,FALSE),VLOOKUP("other",bug_conf_sheet!$A:$H,4,FALSE))</f>
        <v>0</v>
      </c>
      <c r="P92" s="31">
        <f>IFERROR(VLOOKUP($D92,bug_conf_sheet!$A:$H,5,FALSE),VLOOKUP("other",bug_conf_sheet!$A:$H,5,FALSE))</f>
        <v>0</v>
      </c>
      <c r="Q92" s="31">
        <f>IFERROR(VLOOKUP($D92,bug_conf_sheet!$A:$H,6,FALSE),VLOOKUP("other",bug_conf_sheet!$A:$H,6,FALSE))</f>
        <v>0</v>
      </c>
      <c r="R92" s="31">
        <f>IFERROR(VLOOKUP($D92,bug_conf_sheet!$A:$H,7,FALSE),VLOOKUP("other",bug_conf_sheet!$A:$H,7,FALSE))</f>
        <v>0</v>
      </c>
      <c r="S92" s="31">
        <f>IFERROR(VLOOKUP($D92,bug_conf_sheet!$A:$H,8,FALSE),VLOOKUP("other",bug_conf_sheet!$A:$H,8,FALSE))</f>
        <v>1</v>
      </c>
    </row>
    <row r="93" spans="1:19" ht="21" customHeight="1">
      <c r="A93" s="2">
        <f>input_5!A$2</f>
        <v>3125</v>
      </c>
      <c r="B93" s="7" t="str">
        <f t="shared" si="4"/>
        <v>Premium3</v>
      </c>
      <c r="C93" s="7" t="str">
        <f t="shared" si="5"/>
        <v>Premium</v>
      </c>
      <c r="D93" s="5">
        <v>217</v>
      </c>
      <c r="E93" s="7" t="str">
        <f>VLOOKUP(D93,[1]characters!$A:$C,3,FALSE)</f>
        <v>ケツァクアトル</v>
      </c>
      <c r="F93" s="7" t="str">
        <f>VLOOKUP(D93,[1]characters!$A:$J,10,FALSE)</f>
        <v>PremiumN</v>
      </c>
      <c r="G93" s="7">
        <f>VLOOKUP(D93,[1]characters!$A:$I,9,FALSE)</f>
        <v>3</v>
      </c>
      <c r="H93" s="7" t="str">
        <f>VLOOKUP(D93,[1]characters!$A:$H,8,FALSE)</f>
        <v>green</v>
      </c>
      <c r="I93" s="7" t="str">
        <f>VLOOKUP(D93,[1]characters!$A:$K,11,FALSE)</f>
        <v>hp</v>
      </c>
      <c r="J93" s="7" t="str">
        <f>VLOOKUP(D93,[1]characters!$A:$M,13,FALSE)</f>
        <v>dragon</v>
      </c>
      <c r="K93" s="7" t="str">
        <f>VLOOKUP(D93,[1]characters!$A:$G,7,FALSE)</f>
        <v>女性</v>
      </c>
      <c r="L93" s="66">
        <f>IFERROR(VLOOKUP(D93,input_5!L:R,7,FALSE),VLOOKUP(tables_5!B93,input_5!A:H,8,FALSE))</f>
        <v>0</v>
      </c>
      <c r="M93" s="67">
        <f t="shared" si="3"/>
        <v>0</v>
      </c>
      <c r="N93" s="31">
        <f>IFERROR(VLOOKUP($D93,bug_conf_sheet!$A:$H,3,FALSE),VLOOKUP("other",bug_conf_sheet!$A:$H,3,FALSE))</f>
        <v>1</v>
      </c>
      <c r="O93" s="31">
        <f>IFERROR(VLOOKUP($D93,bug_conf_sheet!$A:$H,4,FALSE),VLOOKUP("other",bug_conf_sheet!$A:$H,4,FALSE))</f>
        <v>0</v>
      </c>
      <c r="P93" s="31">
        <f>IFERROR(VLOOKUP($D93,bug_conf_sheet!$A:$H,5,FALSE),VLOOKUP("other",bug_conf_sheet!$A:$H,5,FALSE))</f>
        <v>0</v>
      </c>
      <c r="Q93" s="31">
        <f>IFERROR(VLOOKUP($D93,bug_conf_sheet!$A:$H,6,FALSE),VLOOKUP("other",bug_conf_sheet!$A:$H,6,FALSE))</f>
        <v>0</v>
      </c>
      <c r="R93" s="31">
        <f>IFERROR(VLOOKUP($D93,bug_conf_sheet!$A:$H,7,FALSE),VLOOKUP("other",bug_conf_sheet!$A:$H,7,FALSE))</f>
        <v>0</v>
      </c>
      <c r="S93" s="31">
        <f>IFERROR(VLOOKUP($D93,bug_conf_sheet!$A:$H,8,FALSE),VLOOKUP("other",bug_conf_sheet!$A:$H,8,FALSE))</f>
        <v>1</v>
      </c>
    </row>
    <row r="94" spans="1:19" ht="21" customHeight="1">
      <c r="A94" s="2">
        <f>input_5!A$2</f>
        <v>3125</v>
      </c>
      <c r="B94" s="7" t="str">
        <f t="shared" si="4"/>
        <v>Premium4</v>
      </c>
      <c r="C94" s="7" t="str">
        <f t="shared" si="5"/>
        <v>Premium</v>
      </c>
      <c r="D94" s="5">
        <v>218</v>
      </c>
      <c r="E94" s="7" t="str">
        <f>VLOOKUP(D94,[1]characters!$A:$C,3,FALSE)</f>
        <v>聖蛇 ケツァクアトル</v>
      </c>
      <c r="F94" s="7" t="str">
        <f>VLOOKUP(D94,[1]characters!$A:$J,10,FALSE)</f>
        <v>PremiumN</v>
      </c>
      <c r="G94" s="7">
        <f>VLOOKUP(D94,[1]characters!$A:$I,9,FALSE)</f>
        <v>4</v>
      </c>
      <c r="H94" s="7" t="str">
        <f>VLOOKUP(D94,[1]characters!$A:$H,8,FALSE)</f>
        <v>green</v>
      </c>
      <c r="I94" s="7" t="str">
        <f>VLOOKUP(D94,[1]characters!$A:$K,11,FALSE)</f>
        <v>hp</v>
      </c>
      <c r="J94" s="7" t="str">
        <f>VLOOKUP(D94,[1]characters!$A:$M,13,FALSE)</f>
        <v>dragon</v>
      </c>
      <c r="K94" s="7" t="str">
        <f>VLOOKUP(D94,[1]characters!$A:$G,7,FALSE)</f>
        <v>女性</v>
      </c>
      <c r="L94" s="66">
        <f>IFERROR(VLOOKUP(D94,input_5!L:R,7,FALSE),VLOOKUP(tables_5!B94,input_5!A:H,8,FALSE))</f>
        <v>260091</v>
      </c>
      <c r="M94" s="67">
        <f t="shared" si="3"/>
        <v>1.2516891891891892E-2</v>
      </c>
      <c r="N94" s="31">
        <f>IFERROR(VLOOKUP($D94,bug_conf_sheet!$A:$H,3,FALSE),VLOOKUP("other",bug_conf_sheet!$A:$H,3,FALSE))</f>
        <v>1</v>
      </c>
      <c r="O94" s="31">
        <f>IFERROR(VLOOKUP($D94,bug_conf_sheet!$A:$H,4,FALSE),VLOOKUP("other",bug_conf_sheet!$A:$H,4,FALSE))</f>
        <v>0</v>
      </c>
      <c r="P94" s="31">
        <f>IFERROR(VLOOKUP($D94,bug_conf_sheet!$A:$H,5,FALSE),VLOOKUP("other",bug_conf_sheet!$A:$H,5,FALSE))</f>
        <v>0</v>
      </c>
      <c r="Q94" s="31">
        <f>IFERROR(VLOOKUP($D94,bug_conf_sheet!$A:$H,6,FALSE),VLOOKUP("other",bug_conf_sheet!$A:$H,6,FALSE))</f>
        <v>0</v>
      </c>
      <c r="R94" s="31">
        <f>IFERROR(VLOOKUP($D94,bug_conf_sheet!$A:$H,7,FALSE),VLOOKUP("other",bug_conf_sheet!$A:$H,7,FALSE))</f>
        <v>0</v>
      </c>
      <c r="S94" s="31">
        <f>IFERROR(VLOOKUP($D94,bug_conf_sheet!$A:$H,8,FALSE),VLOOKUP("other",bug_conf_sheet!$A:$H,8,FALSE))</f>
        <v>1</v>
      </c>
    </row>
    <row r="95" spans="1:19" ht="21" customHeight="1">
      <c r="A95" s="2">
        <f>input_5!A$2</f>
        <v>3125</v>
      </c>
      <c r="B95" s="7" t="str">
        <f t="shared" si="4"/>
        <v>Premium5</v>
      </c>
      <c r="C95" s="7" t="str">
        <f t="shared" si="5"/>
        <v>Premium</v>
      </c>
      <c r="D95" s="5">
        <v>219</v>
      </c>
      <c r="E95" s="7" t="str">
        <f>VLOOKUP(D95,[1]characters!$A:$C,3,FALSE)</f>
        <v>覇翼の聖蛇竜 ケツァクアトル</v>
      </c>
      <c r="F95" s="7" t="str">
        <f>VLOOKUP(D95,[1]characters!$A:$J,10,FALSE)</f>
        <v>PremiumN</v>
      </c>
      <c r="G95" s="7">
        <f>VLOOKUP(D95,[1]characters!$A:$I,9,FALSE)</f>
        <v>5</v>
      </c>
      <c r="H95" s="7" t="str">
        <f>VLOOKUP(D95,[1]characters!$A:$H,8,FALSE)</f>
        <v>green</v>
      </c>
      <c r="I95" s="7" t="str">
        <f>VLOOKUP(D95,[1]characters!$A:$K,11,FALSE)</f>
        <v>hp</v>
      </c>
      <c r="J95" s="7" t="str">
        <f>VLOOKUP(D95,[1]characters!$A:$M,13,FALSE)</f>
        <v>dragon</v>
      </c>
      <c r="K95" s="7" t="str">
        <f>VLOOKUP(D95,[1]characters!$A:$G,7,FALSE)</f>
        <v>女性</v>
      </c>
      <c r="L95" s="66">
        <f>IFERROR(VLOOKUP(D95,input_5!L:R,7,FALSE),VLOOKUP(tables_5!B95,input_5!A:H,8,FALSE))</f>
        <v>18759</v>
      </c>
      <c r="M95" s="67">
        <f t="shared" si="3"/>
        <v>9.0277777777777774E-4</v>
      </c>
      <c r="N95" s="31">
        <f>IFERROR(VLOOKUP($D95,bug_conf_sheet!$A:$H,3,FALSE),VLOOKUP("other",bug_conf_sheet!$A:$H,3,FALSE))</f>
        <v>1</v>
      </c>
      <c r="O95" s="31">
        <f>IFERROR(VLOOKUP($D95,bug_conf_sheet!$A:$H,4,FALSE),VLOOKUP("other",bug_conf_sheet!$A:$H,4,FALSE))</f>
        <v>0</v>
      </c>
      <c r="P95" s="31">
        <f>IFERROR(VLOOKUP($D95,bug_conf_sheet!$A:$H,5,FALSE),VLOOKUP("other",bug_conf_sheet!$A:$H,5,FALSE))</f>
        <v>0</v>
      </c>
      <c r="Q95" s="31">
        <f>IFERROR(VLOOKUP($D95,bug_conf_sheet!$A:$H,6,FALSE),VLOOKUP("other",bug_conf_sheet!$A:$H,6,FALSE))</f>
        <v>0</v>
      </c>
      <c r="R95" s="31">
        <f>IFERROR(VLOOKUP($D95,bug_conf_sheet!$A:$H,7,FALSE),VLOOKUP("other",bug_conf_sheet!$A:$H,7,FALSE))</f>
        <v>0</v>
      </c>
      <c r="S95" s="31">
        <f>IFERROR(VLOOKUP($D95,bug_conf_sheet!$A:$H,8,FALSE),VLOOKUP("other",bug_conf_sheet!$A:$H,8,FALSE))</f>
        <v>1</v>
      </c>
    </row>
    <row r="96" spans="1:19" ht="21" customHeight="1">
      <c r="A96" s="2">
        <f>input_5!A$2</f>
        <v>3125</v>
      </c>
      <c r="B96" s="7" t="str">
        <f t="shared" si="4"/>
        <v>Premium3</v>
      </c>
      <c r="C96" s="7" t="str">
        <f t="shared" si="5"/>
        <v>Premium</v>
      </c>
      <c r="D96" s="5">
        <v>220</v>
      </c>
      <c r="E96" s="7" t="str">
        <f>VLOOKUP(D96,[1]characters!$A:$C,3,FALSE)</f>
        <v>ルキフグス</v>
      </c>
      <c r="F96" s="7" t="str">
        <f>VLOOKUP(D96,[1]characters!$A:$J,10,FALSE)</f>
        <v>PremiumN</v>
      </c>
      <c r="G96" s="7">
        <f>VLOOKUP(D96,[1]characters!$A:$I,9,FALSE)</f>
        <v>3</v>
      </c>
      <c r="H96" s="7" t="str">
        <f>VLOOKUP(D96,[1]characters!$A:$H,8,FALSE)</f>
        <v>blue</v>
      </c>
      <c r="I96" s="7" t="str">
        <f>VLOOKUP(D96,[1]characters!$A:$K,11,FALSE)</f>
        <v>balance</v>
      </c>
      <c r="J96" s="7" t="str">
        <f>VLOOKUP(D96,[1]characters!$A:$M,13,FALSE)</f>
        <v>god</v>
      </c>
      <c r="K96" s="7" t="str">
        <f>VLOOKUP(D96,[1]characters!$A:$G,7,FALSE)</f>
        <v>女性</v>
      </c>
      <c r="L96" s="66">
        <f>IFERROR(VLOOKUP(D96,input_5!L:R,7,FALSE),VLOOKUP(tables_5!B96,input_5!A:H,8,FALSE))</f>
        <v>0</v>
      </c>
      <c r="M96" s="67">
        <f t="shared" si="3"/>
        <v>0</v>
      </c>
      <c r="N96" s="31">
        <f>IFERROR(VLOOKUP($D96,bug_conf_sheet!$A:$H,3,FALSE),VLOOKUP("other",bug_conf_sheet!$A:$H,3,FALSE))</f>
        <v>1</v>
      </c>
      <c r="O96" s="31">
        <f>IFERROR(VLOOKUP($D96,bug_conf_sheet!$A:$H,4,FALSE),VLOOKUP("other",bug_conf_sheet!$A:$H,4,FALSE))</f>
        <v>0</v>
      </c>
      <c r="P96" s="31">
        <f>IFERROR(VLOOKUP($D96,bug_conf_sheet!$A:$H,5,FALSE),VLOOKUP("other",bug_conf_sheet!$A:$H,5,FALSE))</f>
        <v>0</v>
      </c>
      <c r="Q96" s="31">
        <f>IFERROR(VLOOKUP($D96,bug_conf_sheet!$A:$H,6,FALSE),VLOOKUP("other",bug_conf_sheet!$A:$H,6,FALSE))</f>
        <v>0</v>
      </c>
      <c r="R96" s="31">
        <f>IFERROR(VLOOKUP($D96,bug_conf_sheet!$A:$H,7,FALSE),VLOOKUP("other",bug_conf_sheet!$A:$H,7,FALSE))</f>
        <v>0</v>
      </c>
      <c r="S96" s="31">
        <f>IFERROR(VLOOKUP($D96,bug_conf_sheet!$A:$H,8,FALSE),VLOOKUP("other",bug_conf_sheet!$A:$H,8,FALSE))</f>
        <v>1</v>
      </c>
    </row>
    <row r="97" spans="1:19" ht="21" customHeight="1">
      <c r="A97" s="2">
        <f>input_5!A$2</f>
        <v>3125</v>
      </c>
      <c r="B97" s="7" t="str">
        <f t="shared" si="4"/>
        <v>Premium4</v>
      </c>
      <c r="C97" s="7" t="str">
        <f t="shared" si="5"/>
        <v>Premium</v>
      </c>
      <c r="D97" s="5">
        <v>221</v>
      </c>
      <c r="E97" s="7" t="str">
        <f>VLOOKUP(D97,[1]characters!$A:$C,3,FALSE)</f>
        <v>宰相 ルキフグス</v>
      </c>
      <c r="F97" s="7" t="str">
        <f>VLOOKUP(D97,[1]characters!$A:$J,10,FALSE)</f>
        <v>PremiumN</v>
      </c>
      <c r="G97" s="7">
        <f>VLOOKUP(D97,[1]characters!$A:$I,9,FALSE)</f>
        <v>4</v>
      </c>
      <c r="H97" s="7" t="str">
        <f>VLOOKUP(D97,[1]characters!$A:$H,8,FALSE)</f>
        <v>blue</v>
      </c>
      <c r="I97" s="7" t="str">
        <f>VLOOKUP(D97,[1]characters!$A:$K,11,FALSE)</f>
        <v>balance</v>
      </c>
      <c r="J97" s="7" t="str">
        <f>VLOOKUP(D97,[1]characters!$A:$M,13,FALSE)</f>
        <v>god</v>
      </c>
      <c r="K97" s="7" t="str">
        <f>VLOOKUP(D97,[1]characters!$A:$G,7,FALSE)</f>
        <v>女性</v>
      </c>
      <c r="L97" s="66">
        <f>IFERROR(VLOOKUP(D97,input_5!L:R,7,FALSE),VLOOKUP(tables_5!B97,input_5!A:H,8,FALSE))</f>
        <v>260091</v>
      </c>
      <c r="M97" s="67">
        <f t="shared" si="3"/>
        <v>1.2516891891891892E-2</v>
      </c>
      <c r="N97" s="31">
        <f>IFERROR(VLOOKUP($D97,bug_conf_sheet!$A:$H,3,FALSE),VLOOKUP("other",bug_conf_sheet!$A:$H,3,FALSE))</f>
        <v>1</v>
      </c>
      <c r="O97" s="31">
        <f>IFERROR(VLOOKUP($D97,bug_conf_sheet!$A:$H,4,FALSE),VLOOKUP("other",bug_conf_sheet!$A:$H,4,FALSE))</f>
        <v>0</v>
      </c>
      <c r="P97" s="31">
        <f>IFERROR(VLOOKUP($D97,bug_conf_sheet!$A:$H,5,FALSE),VLOOKUP("other",bug_conf_sheet!$A:$H,5,FALSE))</f>
        <v>0</v>
      </c>
      <c r="Q97" s="31">
        <f>IFERROR(VLOOKUP($D97,bug_conf_sheet!$A:$H,6,FALSE),VLOOKUP("other",bug_conf_sheet!$A:$H,6,FALSE))</f>
        <v>0</v>
      </c>
      <c r="R97" s="31">
        <f>IFERROR(VLOOKUP($D97,bug_conf_sheet!$A:$H,7,FALSE),VLOOKUP("other",bug_conf_sheet!$A:$H,7,FALSE))</f>
        <v>0</v>
      </c>
      <c r="S97" s="31">
        <f>IFERROR(VLOOKUP($D97,bug_conf_sheet!$A:$H,8,FALSE),VLOOKUP("other",bug_conf_sheet!$A:$H,8,FALSE))</f>
        <v>1</v>
      </c>
    </row>
    <row r="98" spans="1:19" ht="21" customHeight="1">
      <c r="A98" s="2">
        <f>input_5!A$2</f>
        <v>3125</v>
      </c>
      <c r="B98" s="7" t="str">
        <f t="shared" si="4"/>
        <v>Premium5</v>
      </c>
      <c r="C98" s="7" t="str">
        <f t="shared" si="5"/>
        <v>Premium</v>
      </c>
      <c r="D98" s="5">
        <v>222</v>
      </c>
      <c r="E98" s="7" t="str">
        <f>VLOOKUP(D98,[1]characters!$A:$C,3,FALSE)</f>
        <v>避光の鉄鎖宰相 ルキフグス</v>
      </c>
      <c r="F98" s="7" t="str">
        <f>VLOOKUP(D98,[1]characters!$A:$J,10,FALSE)</f>
        <v>PremiumN</v>
      </c>
      <c r="G98" s="7">
        <f>VLOOKUP(D98,[1]characters!$A:$I,9,FALSE)</f>
        <v>5</v>
      </c>
      <c r="H98" s="7" t="str">
        <f>VLOOKUP(D98,[1]characters!$A:$H,8,FALSE)</f>
        <v>blue</v>
      </c>
      <c r="I98" s="7" t="str">
        <f>VLOOKUP(D98,[1]characters!$A:$K,11,FALSE)</f>
        <v>balance</v>
      </c>
      <c r="J98" s="7" t="str">
        <f>VLOOKUP(D98,[1]characters!$A:$M,13,FALSE)</f>
        <v>god</v>
      </c>
      <c r="K98" s="7" t="str">
        <f>VLOOKUP(D98,[1]characters!$A:$G,7,FALSE)</f>
        <v>女性</v>
      </c>
      <c r="L98" s="66">
        <f>IFERROR(VLOOKUP(D98,input_5!L:R,7,FALSE),VLOOKUP(tables_5!B98,input_5!A:H,8,FALSE))</f>
        <v>18759</v>
      </c>
      <c r="M98" s="67">
        <f t="shared" si="3"/>
        <v>9.0277777777777774E-4</v>
      </c>
      <c r="N98" s="31">
        <f>IFERROR(VLOOKUP($D98,bug_conf_sheet!$A:$H,3,FALSE),VLOOKUP("other",bug_conf_sheet!$A:$H,3,FALSE))</f>
        <v>1</v>
      </c>
      <c r="O98" s="31">
        <f>IFERROR(VLOOKUP($D98,bug_conf_sheet!$A:$H,4,FALSE),VLOOKUP("other",bug_conf_sheet!$A:$H,4,FALSE))</f>
        <v>0</v>
      </c>
      <c r="P98" s="31">
        <f>IFERROR(VLOOKUP($D98,bug_conf_sheet!$A:$H,5,FALSE),VLOOKUP("other",bug_conf_sheet!$A:$H,5,FALSE))</f>
        <v>0</v>
      </c>
      <c r="Q98" s="31">
        <f>IFERROR(VLOOKUP($D98,bug_conf_sheet!$A:$H,6,FALSE),VLOOKUP("other",bug_conf_sheet!$A:$H,6,FALSE))</f>
        <v>0</v>
      </c>
      <c r="R98" s="31">
        <f>IFERROR(VLOOKUP($D98,bug_conf_sheet!$A:$H,7,FALSE),VLOOKUP("other",bug_conf_sheet!$A:$H,7,FALSE))</f>
        <v>0</v>
      </c>
      <c r="S98" s="31">
        <f>IFERROR(VLOOKUP($D98,bug_conf_sheet!$A:$H,8,FALSE),VLOOKUP("other",bug_conf_sheet!$A:$H,8,FALSE))</f>
        <v>1</v>
      </c>
    </row>
    <row r="99" spans="1:19" ht="21" customHeight="1">
      <c r="A99" s="2">
        <f>input_5!A$2</f>
        <v>3125</v>
      </c>
      <c r="B99" s="7" t="str">
        <f t="shared" si="4"/>
        <v>Premium3</v>
      </c>
      <c r="C99" s="7" t="str">
        <f t="shared" si="5"/>
        <v>Premium</v>
      </c>
      <c r="D99" s="5">
        <v>223</v>
      </c>
      <c r="E99" s="7" t="str">
        <f>VLOOKUP(D99,[1]characters!$A:$C,3,FALSE)</f>
        <v>ヘラクレス</v>
      </c>
      <c r="F99" s="7" t="str">
        <f>VLOOKUP(D99,[1]characters!$A:$J,10,FALSE)</f>
        <v>PremiumN</v>
      </c>
      <c r="G99" s="7">
        <f>VLOOKUP(D99,[1]characters!$A:$I,9,FALSE)</f>
        <v>3</v>
      </c>
      <c r="H99" s="7" t="str">
        <f>VLOOKUP(D99,[1]characters!$A:$H,8,FALSE)</f>
        <v>yellow</v>
      </c>
      <c r="I99" s="7" t="str">
        <f>VLOOKUP(D99,[1]characters!$A:$K,11,FALSE)</f>
        <v>balance</v>
      </c>
      <c r="J99" s="7" t="str">
        <f>VLOOKUP(D99,[1]characters!$A:$M,13,FALSE)</f>
        <v>human</v>
      </c>
      <c r="K99" s="7" t="str">
        <f>VLOOKUP(D99,[1]characters!$A:$G,7,FALSE)</f>
        <v>男性</v>
      </c>
      <c r="L99" s="66">
        <f>IFERROR(VLOOKUP(D99,input_5!L:R,7,FALSE),VLOOKUP(tables_5!B99,input_5!A:H,8,FALSE))</f>
        <v>0</v>
      </c>
      <c r="M99" s="67">
        <f t="shared" si="3"/>
        <v>0</v>
      </c>
      <c r="N99" s="31">
        <f>IFERROR(VLOOKUP($D99,bug_conf_sheet!$A:$H,3,FALSE),VLOOKUP("other",bug_conf_sheet!$A:$H,3,FALSE))</f>
        <v>1</v>
      </c>
      <c r="O99" s="31">
        <f>IFERROR(VLOOKUP($D99,bug_conf_sheet!$A:$H,4,FALSE),VLOOKUP("other",bug_conf_sheet!$A:$H,4,FALSE))</f>
        <v>0</v>
      </c>
      <c r="P99" s="31">
        <f>IFERROR(VLOOKUP($D99,bug_conf_sheet!$A:$H,5,FALSE),VLOOKUP("other",bug_conf_sheet!$A:$H,5,FALSE))</f>
        <v>0</v>
      </c>
      <c r="Q99" s="31">
        <f>IFERROR(VLOOKUP($D99,bug_conf_sheet!$A:$H,6,FALSE),VLOOKUP("other",bug_conf_sheet!$A:$H,6,FALSE))</f>
        <v>0</v>
      </c>
      <c r="R99" s="31">
        <f>IFERROR(VLOOKUP($D99,bug_conf_sheet!$A:$H,7,FALSE),VLOOKUP("other",bug_conf_sheet!$A:$H,7,FALSE))</f>
        <v>0</v>
      </c>
      <c r="S99" s="31">
        <f>IFERROR(VLOOKUP($D99,bug_conf_sheet!$A:$H,8,FALSE),VLOOKUP("other",bug_conf_sheet!$A:$H,8,FALSE))</f>
        <v>1</v>
      </c>
    </row>
    <row r="100" spans="1:19" ht="21" customHeight="1">
      <c r="A100" s="2">
        <f>input_5!A$2</f>
        <v>3125</v>
      </c>
      <c r="B100" s="7" t="str">
        <f t="shared" si="4"/>
        <v>Premium4</v>
      </c>
      <c r="C100" s="7" t="str">
        <f t="shared" si="5"/>
        <v>Premium</v>
      </c>
      <c r="D100" s="5">
        <v>224</v>
      </c>
      <c r="E100" s="7" t="str">
        <f>VLOOKUP(D100,[1]characters!$A:$C,3,FALSE)</f>
        <v>巨腕 ヘラクレス</v>
      </c>
      <c r="F100" s="7" t="str">
        <f>VLOOKUP(D100,[1]characters!$A:$J,10,FALSE)</f>
        <v>PremiumN</v>
      </c>
      <c r="G100" s="7">
        <f>VLOOKUP(D100,[1]characters!$A:$I,9,FALSE)</f>
        <v>4</v>
      </c>
      <c r="H100" s="7" t="str">
        <f>VLOOKUP(D100,[1]characters!$A:$H,8,FALSE)</f>
        <v>yellow</v>
      </c>
      <c r="I100" s="7" t="str">
        <f>VLOOKUP(D100,[1]characters!$A:$K,11,FALSE)</f>
        <v>balance</v>
      </c>
      <c r="J100" s="7" t="str">
        <f>VLOOKUP(D100,[1]characters!$A:$M,13,FALSE)</f>
        <v>human</v>
      </c>
      <c r="K100" s="7" t="str">
        <f>VLOOKUP(D100,[1]characters!$A:$G,7,FALSE)</f>
        <v>男性</v>
      </c>
      <c r="L100" s="66">
        <f>IFERROR(VLOOKUP(D100,input_5!L:R,7,FALSE),VLOOKUP(tables_5!B100,input_5!A:H,8,FALSE))</f>
        <v>260091</v>
      </c>
      <c r="M100" s="67">
        <f t="shared" si="3"/>
        <v>1.2516891891891892E-2</v>
      </c>
      <c r="N100" s="31">
        <f>IFERROR(VLOOKUP($D100,bug_conf_sheet!$A:$H,3,FALSE),VLOOKUP("other",bug_conf_sheet!$A:$H,3,FALSE))</f>
        <v>1</v>
      </c>
      <c r="O100" s="31">
        <f>IFERROR(VLOOKUP($D100,bug_conf_sheet!$A:$H,4,FALSE),VLOOKUP("other",bug_conf_sheet!$A:$H,4,FALSE))</f>
        <v>0</v>
      </c>
      <c r="P100" s="31">
        <f>IFERROR(VLOOKUP($D100,bug_conf_sheet!$A:$H,5,FALSE),VLOOKUP("other",bug_conf_sheet!$A:$H,5,FALSE))</f>
        <v>0</v>
      </c>
      <c r="Q100" s="31">
        <f>IFERROR(VLOOKUP($D100,bug_conf_sheet!$A:$H,6,FALSE),VLOOKUP("other",bug_conf_sheet!$A:$H,6,FALSE))</f>
        <v>0</v>
      </c>
      <c r="R100" s="31">
        <f>IFERROR(VLOOKUP($D100,bug_conf_sheet!$A:$H,7,FALSE),VLOOKUP("other",bug_conf_sheet!$A:$H,7,FALSE))</f>
        <v>0</v>
      </c>
      <c r="S100" s="31">
        <f>IFERROR(VLOOKUP($D100,bug_conf_sheet!$A:$H,8,FALSE),VLOOKUP("other",bug_conf_sheet!$A:$H,8,FALSE))</f>
        <v>1</v>
      </c>
    </row>
    <row r="101" spans="1:19" ht="21" customHeight="1">
      <c r="A101" s="2">
        <f>input_5!A$2</f>
        <v>3125</v>
      </c>
      <c r="B101" s="7" t="str">
        <f t="shared" si="4"/>
        <v>Premium5</v>
      </c>
      <c r="C101" s="7" t="str">
        <f t="shared" si="5"/>
        <v>Premium</v>
      </c>
      <c r="D101" s="5">
        <v>225</v>
      </c>
      <c r="E101" s="7" t="str">
        <f>VLOOKUP(D101,[1]characters!$A:$C,3,FALSE)</f>
        <v>咆哮の巨獅腕 ヘラクレス</v>
      </c>
      <c r="F101" s="7" t="str">
        <f>VLOOKUP(D101,[1]characters!$A:$J,10,FALSE)</f>
        <v>PremiumN</v>
      </c>
      <c r="G101" s="7">
        <f>VLOOKUP(D101,[1]characters!$A:$I,9,FALSE)</f>
        <v>5</v>
      </c>
      <c r="H101" s="7" t="str">
        <f>VLOOKUP(D101,[1]characters!$A:$H,8,FALSE)</f>
        <v>yellow</v>
      </c>
      <c r="I101" s="7" t="str">
        <f>VLOOKUP(D101,[1]characters!$A:$K,11,FALSE)</f>
        <v>balance</v>
      </c>
      <c r="J101" s="7" t="str">
        <f>VLOOKUP(D101,[1]characters!$A:$M,13,FALSE)</f>
        <v>human</v>
      </c>
      <c r="K101" s="7" t="str">
        <f>VLOOKUP(D101,[1]characters!$A:$G,7,FALSE)</f>
        <v>男性</v>
      </c>
      <c r="L101" s="66">
        <f>IFERROR(VLOOKUP(D101,input_5!L:R,7,FALSE),VLOOKUP(tables_5!B101,input_5!A:H,8,FALSE))</f>
        <v>18759</v>
      </c>
      <c r="M101" s="67">
        <f t="shared" si="3"/>
        <v>9.0277777777777774E-4</v>
      </c>
      <c r="N101" s="31">
        <f>IFERROR(VLOOKUP($D101,bug_conf_sheet!$A:$H,3,FALSE),VLOOKUP("other",bug_conf_sheet!$A:$H,3,FALSE))</f>
        <v>1</v>
      </c>
      <c r="O101" s="31">
        <f>IFERROR(VLOOKUP($D101,bug_conf_sheet!$A:$H,4,FALSE),VLOOKUP("other",bug_conf_sheet!$A:$H,4,FALSE))</f>
        <v>0</v>
      </c>
      <c r="P101" s="31">
        <f>IFERROR(VLOOKUP($D101,bug_conf_sheet!$A:$H,5,FALSE),VLOOKUP("other",bug_conf_sheet!$A:$H,5,FALSE))</f>
        <v>0</v>
      </c>
      <c r="Q101" s="31">
        <f>IFERROR(VLOOKUP($D101,bug_conf_sheet!$A:$H,6,FALSE),VLOOKUP("other",bug_conf_sheet!$A:$H,6,FALSE))</f>
        <v>0</v>
      </c>
      <c r="R101" s="31">
        <f>IFERROR(VLOOKUP($D101,bug_conf_sheet!$A:$H,7,FALSE),VLOOKUP("other",bug_conf_sheet!$A:$H,7,FALSE))</f>
        <v>0</v>
      </c>
      <c r="S101" s="31">
        <f>IFERROR(VLOOKUP($D101,bug_conf_sheet!$A:$H,8,FALSE),VLOOKUP("other",bug_conf_sheet!$A:$H,8,FALSE))</f>
        <v>1</v>
      </c>
    </row>
    <row r="102" spans="1:19" ht="21" customHeight="1">
      <c r="A102" s="2">
        <f>input_5!A$2</f>
        <v>3125</v>
      </c>
      <c r="B102" s="7" t="str">
        <f t="shared" si="4"/>
        <v>Premium3</v>
      </c>
      <c r="C102" s="7" t="str">
        <f t="shared" si="5"/>
        <v>Premium</v>
      </c>
      <c r="D102" s="5">
        <v>226</v>
      </c>
      <c r="E102" s="7" t="str">
        <f>VLOOKUP(D102,[1]characters!$A:$C,3,FALSE)</f>
        <v>アレス</v>
      </c>
      <c r="F102" s="7" t="str">
        <f>VLOOKUP(D102,[1]characters!$A:$J,10,FALSE)</f>
        <v>PremiumS</v>
      </c>
      <c r="G102" s="7">
        <f>VLOOKUP(D102,[1]characters!$A:$I,9,FALSE)</f>
        <v>3</v>
      </c>
      <c r="H102" s="7" t="str">
        <f>VLOOKUP(D102,[1]characters!$A:$H,8,FALSE)</f>
        <v>red</v>
      </c>
      <c r="I102" s="7" t="str">
        <f>VLOOKUP(D102,[1]characters!$A:$K,11,FALSE)</f>
        <v>attack</v>
      </c>
      <c r="J102" s="7" t="str">
        <f>VLOOKUP(D102,[1]characters!$A:$M,13,FALSE)</f>
        <v>god</v>
      </c>
      <c r="K102" s="7" t="str">
        <f>VLOOKUP(D102,[1]characters!$A:$G,7,FALSE)</f>
        <v>男性</v>
      </c>
      <c r="L102" s="66">
        <f>IFERROR(VLOOKUP(D102,input_5!L:R,7,FALSE),VLOOKUP(tables_5!B102,input_5!A:H,8,FALSE))</f>
        <v>0</v>
      </c>
      <c r="M102" s="67">
        <f t="shared" si="3"/>
        <v>0</v>
      </c>
      <c r="N102" s="31">
        <f>IFERROR(VLOOKUP($D102,bug_conf_sheet!$A:$H,3,FALSE),VLOOKUP("other",bug_conf_sheet!$A:$H,3,FALSE))</f>
        <v>1</v>
      </c>
      <c r="O102" s="31">
        <f>IFERROR(VLOOKUP($D102,bug_conf_sheet!$A:$H,4,FALSE),VLOOKUP("other",bug_conf_sheet!$A:$H,4,FALSE))</f>
        <v>0</v>
      </c>
      <c r="P102" s="31">
        <f>IFERROR(VLOOKUP($D102,bug_conf_sheet!$A:$H,5,FALSE),VLOOKUP("other",bug_conf_sheet!$A:$H,5,FALSE))</f>
        <v>0</v>
      </c>
      <c r="Q102" s="31">
        <f>IFERROR(VLOOKUP($D102,bug_conf_sheet!$A:$H,6,FALSE),VLOOKUP("other",bug_conf_sheet!$A:$H,6,FALSE))</f>
        <v>0</v>
      </c>
      <c r="R102" s="31">
        <f>IFERROR(VLOOKUP($D102,bug_conf_sheet!$A:$H,7,FALSE),VLOOKUP("other",bug_conf_sheet!$A:$H,7,FALSE))</f>
        <v>0</v>
      </c>
      <c r="S102" s="31">
        <f>IFERROR(VLOOKUP($D102,bug_conf_sheet!$A:$H,8,FALSE),VLOOKUP("other",bug_conf_sheet!$A:$H,8,FALSE))</f>
        <v>1</v>
      </c>
    </row>
    <row r="103" spans="1:19" ht="21" customHeight="1">
      <c r="A103" s="2">
        <f>input_5!A$2</f>
        <v>3125</v>
      </c>
      <c r="B103" s="7" t="str">
        <f t="shared" si="4"/>
        <v>Premium4</v>
      </c>
      <c r="C103" s="7" t="str">
        <f t="shared" si="5"/>
        <v>Premium</v>
      </c>
      <c r="D103" s="5">
        <v>227</v>
      </c>
      <c r="E103" s="7" t="str">
        <f>VLOOKUP(D103,[1]characters!$A:$C,3,FALSE)</f>
        <v>滅弾 アレス</v>
      </c>
      <c r="F103" s="7" t="str">
        <f>VLOOKUP(D103,[1]characters!$A:$J,10,FALSE)</f>
        <v>PremiumS</v>
      </c>
      <c r="G103" s="7">
        <f>VLOOKUP(D103,[1]characters!$A:$I,9,FALSE)</f>
        <v>4</v>
      </c>
      <c r="H103" s="7" t="str">
        <f>VLOOKUP(D103,[1]characters!$A:$H,8,FALSE)</f>
        <v>red</v>
      </c>
      <c r="I103" s="7" t="str">
        <f>VLOOKUP(D103,[1]characters!$A:$K,11,FALSE)</f>
        <v>attack</v>
      </c>
      <c r="J103" s="7" t="str">
        <f>VLOOKUP(D103,[1]characters!$A:$M,13,FALSE)</f>
        <v>god</v>
      </c>
      <c r="K103" s="7" t="str">
        <f>VLOOKUP(D103,[1]characters!$A:$G,7,FALSE)</f>
        <v>男性</v>
      </c>
      <c r="L103" s="66">
        <f>IFERROR(VLOOKUP(D103,input_5!L:R,7,FALSE),VLOOKUP(tables_5!B103,input_5!A:H,8,FALSE))</f>
        <v>260091</v>
      </c>
      <c r="M103" s="67">
        <f t="shared" si="3"/>
        <v>1.2516891891891892E-2</v>
      </c>
      <c r="N103" s="31">
        <f>IFERROR(VLOOKUP($D103,bug_conf_sheet!$A:$H,3,FALSE),VLOOKUP("other",bug_conf_sheet!$A:$H,3,FALSE))</f>
        <v>1</v>
      </c>
      <c r="O103" s="31">
        <f>IFERROR(VLOOKUP($D103,bug_conf_sheet!$A:$H,4,FALSE),VLOOKUP("other",bug_conf_sheet!$A:$H,4,FALSE))</f>
        <v>0</v>
      </c>
      <c r="P103" s="31">
        <f>IFERROR(VLOOKUP($D103,bug_conf_sheet!$A:$H,5,FALSE),VLOOKUP("other",bug_conf_sheet!$A:$H,5,FALSE))</f>
        <v>0</v>
      </c>
      <c r="Q103" s="31">
        <f>IFERROR(VLOOKUP($D103,bug_conf_sheet!$A:$H,6,FALSE),VLOOKUP("other",bug_conf_sheet!$A:$H,6,FALSE))</f>
        <v>0</v>
      </c>
      <c r="R103" s="31">
        <f>IFERROR(VLOOKUP($D103,bug_conf_sheet!$A:$H,7,FALSE),VLOOKUP("other",bug_conf_sheet!$A:$H,7,FALSE))</f>
        <v>0</v>
      </c>
      <c r="S103" s="31">
        <f>IFERROR(VLOOKUP($D103,bug_conf_sheet!$A:$H,8,FALSE),VLOOKUP("other",bug_conf_sheet!$A:$H,8,FALSE))</f>
        <v>1</v>
      </c>
    </row>
    <row r="104" spans="1:19" ht="21" customHeight="1">
      <c r="A104" s="2">
        <f>input_5!A$2</f>
        <v>3125</v>
      </c>
      <c r="B104" s="7" t="str">
        <f t="shared" si="4"/>
        <v>Premium5</v>
      </c>
      <c r="C104" s="7" t="str">
        <f t="shared" si="5"/>
        <v>Premium</v>
      </c>
      <c r="D104" s="5">
        <v>228</v>
      </c>
      <c r="E104" s="7" t="str">
        <f>VLOOKUP(D104,[1]characters!$A:$C,3,FALSE)</f>
        <v>殲滅の掃射砲 アレス</v>
      </c>
      <c r="F104" s="7" t="str">
        <f>VLOOKUP(D104,[1]characters!$A:$J,10,FALSE)</f>
        <v>PremiumS</v>
      </c>
      <c r="G104" s="7">
        <f>VLOOKUP(D104,[1]characters!$A:$I,9,FALSE)</f>
        <v>5</v>
      </c>
      <c r="H104" s="7" t="str">
        <f>VLOOKUP(D104,[1]characters!$A:$H,8,FALSE)</f>
        <v>red</v>
      </c>
      <c r="I104" s="7" t="str">
        <f>VLOOKUP(D104,[1]characters!$A:$K,11,FALSE)</f>
        <v>attack</v>
      </c>
      <c r="J104" s="7" t="str">
        <f>VLOOKUP(D104,[1]characters!$A:$M,13,FALSE)</f>
        <v>god</v>
      </c>
      <c r="K104" s="7" t="str">
        <f>VLOOKUP(D104,[1]characters!$A:$G,7,FALSE)</f>
        <v>男性</v>
      </c>
      <c r="L104" s="66">
        <f>IFERROR(VLOOKUP(D104,input_5!L:R,7,FALSE),VLOOKUP(tables_5!B104,input_5!A:H,8,FALSE))</f>
        <v>18759</v>
      </c>
      <c r="M104" s="67">
        <f t="shared" si="3"/>
        <v>9.0277777777777774E-4</v>
      </c>
      <c r="N104" s="31">
        <f>IFERROR(VLOOKUP($D104,bug_conf_sheet!$A:$H,3,FALSE),VLOOKUP("other",bug_conf_sheet!$A:$H,3,FALSE))</f>
        <v>1</v>
      </c>
      <c r="O104" s="31">
        <f>IFERROR(VLOOKUP($D104,bug_conf_sheet!$A:$H,4,FALSE),VLOOKUP("other",bug_conf_sheet!$A:$H,4,FALSE))</f>
        <v>0</v>
      </c>
      <c r="P104" s="31">
        <f>IFERROR(VLOOKUP($D104,bug_conf_sheet!$A:$H,5,FALSE),VLOOKUP("other",bug_conf_sheet!$A:$H,5,FALSE))</f>
        <v>0</v>
      </c>
      <c r="Q104" s="31">
        <f>IFERROR(VLOOKUP($D104,bug_conf_sheet!$A:$H,6,FALSE),VLOOKUP("other",bug_conf_sheet!$A:$H,6,FALSE))</f>
        <v>0</v>
      </c>
      <c r="R104" s="31">
        <f>IFERROR(VLOOKUP($D104,bug_conf_sheet!$A:$H,7,FALSE),VLOOKUP("other",bug_conf_sheet!$A:$H,7,FALSE))</f>
        <v>0</v>
      </c>
      <c r="S104" s="31">
        <f>IFERROR(VLOOKUP($D104,bug_conf_sheet!$A:$H,8,FALSE),VLOOKUP("other",bug_conf_sheet!$A:$H,8,FALSE))</f>
        <v>1</v>
      </c>
    </row>
    <row r="105" spans="1:19" ht="21" customHeight="1">
      <c r="A105" s="2">
        <f>input_5!A$2</f>
        <v>3125</v>
      </c>
      <c r="B105" s="7" t="str">
        <f t="shared" si="4"/>
        <v>Premium3</v>
      </c>
      <c r="C105" s="7" t="str">
        <f t="shared" si="5"/>
        <v>Premium</v>
      </c>
      <c r="D105" s="5">
        <v>229</v>
      </c>
      <c r="E105" s="7" t="str">
        <f>VLOOKUP(D105,[1]characters!$A:$C,3,FALSE)</f>
        <v>ヨルムンガンド</v>
      </c>
      <c r="F105" s="7" t="str">
        <f>VLOOKUP(D105,[1]characters!$A:$J,10,FALSE)</f>
        <v>PremiumS</v>
      </c>
      <c r="G105" s="7">
        <f>VLOOKUP(D105,[1]characters!$A:$I,9,FALSE)</f>
        <v>3</v>
      </c>
      <c r="H105" s="7" t="str">
        <f>VLOOKUP(D105,[1]characters!$A:$H,8,FALSE)</f>
        <v>green</v>
      </c>
      <c r="I105" s="7" t="str">
        <f>VLOOKUP(D105,[1]characters!$A:$K,11,FALSE)</f>
        <v>technical</v>
      </c>
      <c r="J105" s="7" t="str">
        <f>VLOOKUP(D105,[1]characters!$A:$M,13,FALSE)</f>
        <v>dragon</v>
      </c>
      <c r="K105" s="7" t="str">
        <f>VLOOKUP(D105,[1]characters!$A:$G,7,FALSE)</f>
        <v>女性</v>
      </c>
      <c r="L105" s="66">
        <f>IFERROR(VLOOKUP(D105,input_5!L:R,7,FALSE),VLOOKUP(tables_5!B105,input_5!A:H,8,FALSE))</f>
        <v>0</v>
      </c>
      <c r="M105" s="67">
        <f t="shared" si="3"/>
        <v>0</v>
      </c>
      <c r="N105" s="31">
        <f>IFERROR(VLOOKUP($D105,bug_conf_sheet!$A:$H,3,FALSE),VLOOKUP("other",bug_conf_sheet!$A:$H,3,FALSE))</f>
        <v>1</v>
      </c>
      <c r="O105" s="31">
        <f>IFERROR(VLOOKUP($D105,bug_conf_sheet!$A:$H,4,FALSE),VLOOKUP("other",bug_conf_sheet!$A:$H,4,FALSE))</f>
        <v>0</v>
      </c>
      <c r="P105" s="31">
        <f>IFERROR(VLOOKUP($D105,bug_conf_sheet!$A:$H,5,FALSE),VLOOKUP("other",bug_conf_sheet!$A:$H,5,FALSE))</f>
        <v>0</v>
      </c>
      <c r="Q105" s="31">
        <f>IFERROR(VLOOKUP($D105,bug_conf_sheet!$A:$H,6,FALSE),VLOOKUP("other",bug_conf_sheet!$A:$H,6,FALSE))</f>
        <v>0</v>
      </c>
      <c r="R105" s="31">
        <f>IFERROR(VLOOKUP($D105,bug_conf_sheet!$A:$H,7,FALSE),VLOOKUP("other",bug_conf_sheet!$A:$H,7,FALSE))</f>
        <v>0</v>
      </c>
      <c r="S105" s="31">
        <f>IFERROR(VLOOKUP($D105,bug_conf_sheet!$A:$H,8,FALSE),VLOOKUP("other",bug_conf_sheet!$A:$H,8,FALSE))</f>
        <v>1</v>
      </c>
    </row>
    <row r="106" spans="1:19" ht="21" customHeight="1">
      <c r="A106" s="2">
        <f>input_5!A$2</f>
        <v>3125</v>
      </c>
      <c r="B106" s="7" t="str">
        <f t="shared" si="4"/>
        <v>Premium4</v>
      </c>
      <c r="C106" s="7" t="str">
        <f t="shared" si="5"/>
        <v>Premium</v>
      </c>
      <c r="D106" s="5">
        <v>230</v>
      </c>
      <c r="E106" s="7" t="str">
        <f>VLOOKUP(D106,[1]characters!$A:$C,3,FALSE)</f>
        <v>毒銃 ヨルムンガンド</v>
      </c>
      <c r="F106" s="7" t="str">
        <f>VLOOKUP(D106,[1]characters!$A:$J,10,FALSE)</f>
        <v>PremiumS</v>
      </c>
      <c r="G106" s="7">
        <f>VLOOKUP(D106,[1]characters!$A:$I,9,FALSE)</f>
        <v>4</v>
      </c>
      <c r="H106" s="7" t="str">
        <f>VLOOKUP(D106,[1]characters!$A:$H,8,FALSE)</f>
        <v>green</v>
      </c>
      <c r="I106" s="7" t="str">
        <f>VLOOKUP(D106,[1]characters!$A:$K,11,FALSE)</f>
        <v>technical</v>
      </c>
      <c r="J106" s="7" t="str">
        <f>VLOOKUP(D106,[1]characters!$A:$M,13,FALSE)</f>
        <v>dragon</v>
      </c>
      <c r="K106" s="7" t="str">
        <f>VLOOKUP(D106,[1]characters!$A:$G,7,FALSE)</f>
        <v>女性</v>
      </c>
      <c r="L106" s="66">
        <f>IFERROR(VLOOKUP(D106,input_5!L:R,7,FALSE),VLOOKUP(tables_5!B106,input_5!A:H,8,FALSE))</f>
        <v>260091</v>
      </c>
      <c r="M106" s="67">
        <f t="shared" si="3"/>
        <v>1.2516891891891892E-2</v>
      </c>
      <c r="N106" s="31">
        <f>IFERROR(VLOOKUP($D106,bug_conf_sheet!$A:$H,3,FALSE),VLOOKUP("other",bug_conf_sheet!$A:$H,3,FALSE))</f>
        <v>1</v>
      </c>
      <c r="O106" s="31">
        <f>IFERROR(VLOOKUP($D106,bug_conf_sheet!$A:$H,4,FALSE),VLOOKUP("other",bug_conf_sheet!$A:$H,4,FALSE))</f>
        <v>0</v>
      </c>
      <c r="P106" s="31">
        <f>IFERROR(VLOOKUP($D106,bug_conf_sheet!$A:$H,5,FALSE),VLOOKUP("other",bug_conf_sheet!$A:$H,5,FALSE))</f>
        <v>0</v>
      </c>
      <c r="Q106" s="31">
        <f>IFERROR(VLOOKUP($D106,bug_conf_sheet!$A:$H,6,FALSE),VLOOKUP("other",bug_conf_sheet!$A:$H,6,FALSE))</f>
        <v>0</v>
      </c>
      <c r="R106" s="31">
        <f>IFERROR(VLOOKUP($D106,bug_conf_sheet!$A:$H,7,FALSE),VLOOKUP("other",bug_conf_sheet!$A:$H,7,FALSE))</f>
        <v>0</v>
      </c>
      <c r="S106" s="31">
        <f>IFERROR(VLOOKUP($D106,bug_conf_sheet!$A:$H,8,FALSE),VLOOKUP("other",bug_conf_sheet!$A:$H,8,FALSE))</f>
        <v>1</v>
      </c>
    </row>
    <row r="107" spans="1:19" ht="21" customHeight="1">
      <c r="A107" s="2">
        <f>input_5!A$2</f>
        <v>3125</v>
      </c>
      <c r="B107" s="7" t="str">
        <f t="shared" si="4"/>
        <v>Premium5</v>
      </c>
      <c r="C107" s="7" t="str">
        <f t="shared" si="5"/>
        <v>Premium</v>
      </c>
      <c r="D107" s="5">
        <v>231</v>
      </c>
      <c r="E107" s="7" t="str">
        <f>VLOOKUP(D107,[1]characters!$A:$C,3,FALSE)</f>
        <v>必中の咬銃 ヨルムンガンド</v>
      </c>
      <c r="F107" s="7" t="str">
        <f>VLOOKUP(D107,[1]characters!$A:$J,10,FALSE)</f>
        <v>PremiumS</v>
      </c>
      <c r="G107" s="7">
        <f>VLOOKUP(D107,[1]characters!$A:$I,9,FALSE)</f>
        <v>5</v>
      </c>
      <c r="H107" s="7" t="str">
        <f>VLOOKUP(D107,[1]characters!$A:$H,8,FALSE)</f>
        <v>green</v>
      </c>
      <c r="I107" s="7" t="str">
        <f>VLOOKUP(D107,[1]characters!$A:$K,11,FALSE)</f>
        <v>technical</v>
      </c>
      <c r="J107" s="7" t="str">
        <f>VLOOKUP(D107,[1]characters!$A:$M,13,FALSE)</f>
        <v>dragon</v>
      </c>
      <c r="K107" s="7" t="str">
        <f>VLOOKUP(D107,[1]characters!$A:$G,7,FALSE)</f>
        <v>女性</v>
      </c>
      <c r="L107" s="66">
        <f>IFERROR(VLOOKUP(D107,input_5!L:R,7,FALSE),VLOOKUP(tables_5!B107,input_5!A:H,8,FALSE))</f>
        <v>18759</v>
      </c>
      <c r="M107" s="67">
        <f t="shared" si="3"/>
        <v>9.0277777777777774E-4</v>
      </c>
      <c r="N107" s="31">
        <f>IFERROR(VLOOKUP($D107,bug_conf_sheet!$A:$H,3,FALSE),VLOOKUP("other",bug_conf_sheet!$A:$H,3,FALSE))</f>
        <v>1</v>
      </c>
      <c r="O107" s="31">
        <f>IFERROR(VLOOKUP($D107,bug_conf_sheet!$A:$H,4,FALSE),VLOOKUP("other",bug_conf_sheet!$A:$H,4,FALSE))</f>
        <v>0</v>
      </c>
      <c r="P107" s="31">
        <f>IFERROR(VLOOKUP($D107,bug_conf_sheet!$A:$H,5,FALSE),VLOOKUP("other",bug_conf_sheet!$A:$H,5,FALSE))</f>
        <v>0</v>
      </c>
      <c r="Q107" s="31">
        <f>IFERROR(VLOOKUP($D107,bug_conf_sheet!$A:$H,6,FALSE),VLOOKUP("other",bug_conf_sheet!$A:$H,6,FALSE))</f>
        <v>0</v>
      </c>
      <c r="R107" s="31">
        <f>IFERROR(VLOOKUP($D107,bug_conf_sheet!$A:$H,7,FALSE),VLOOKUP("other",bug_conf_sheet!$A:$H,7,FALSE))</f>
        <v>0</v>
      </c>
      <c r="S107" s="31">
        <f>IFERROR(VLOOKUP($D107,bug_conf_sheet!$A:$H,8,FALSE),VLOOKUP("other",bug_conf_sheet!$A:$H,8,FALSE))</f>
        <v>1</v>
      </c>
    </row>
    <row r="108" spans="1:19" ht="21" customHeight="1">
      <c r="A108" s="2">
        <f>input_5!A$2</f>
        <v>3125</v>
      </c>
      <c r="B108" s="7" t="str">
        <f t="shared" si="4"/>
        <v>Premium3</v>
      </c>
      <c r="C108" s="7" t="str">
        <f t="shared" si="5"/>
        <v>Premium</v>
      </c>
      <c r="D108" s="5">
        <v>232</v>
      </c>
      <c r="E108" s="7" t="str">
        <f>VLOOKUP(D108,[1]characters!$A:$C,3,FALSE)</f>
        <v>パーシヴァル</v>
      </c>
      <c r="F108" s="7" t="str">
        <f>VLOOKUP(D108,[1]characters!$A:$J,10,FALSE)</f>
        <v>PremiumS</v>
      </c>
      <c r="G108" s="7">
        <f>VLOOKUP(D108,[1]characters!$A:$I,9,FALSE)</f>
        <v>3</v>
      </c>
      <c r="H108" s="7" t="str">
        <f>VLOOKUP(D108,[1]characters!$A:$H,8,FALSE)</f>
        <v>blue</v>
      </c>
      <c r="I108" s="7" t="str">
        <f>VLOOKUP(D108,[1]characters!$A:$K,11,FALSE)</f>
        <v>technical</v>
      </c>
      <c r="J108" s="7" t="str">
        <f>VLOOKUP(D108,[1]characters!$A:$M,13,FALSE)</f>
        <v>human</v>
      </c>
      <c r="K108" s="7" t="str">
        <f>VLOOKUP(D108,[1]characters!$A:$G,7,FALSE)</f>
        <v>女性</v>
      </c>
      <c r="L108" s="66">
        <f>IFERROR(VLOOKUP(D108,input_5!L:R,7,FALSE),VLOOKUP(tables_5!B108,input_5!A:H,8,FALSE))</f>
        <v>0</v>
      </c>
      <c r="M108" s="67">
        <f t="shared" si="3"/>
        <v>0</v>
      </c>
      <c r="N108" s="31">
        <f>IFERROR(VLOOKUP($D108,bug_conf_sheet!$A:$H,3,FALSE),VLOOKUP("other",bug_conf_sheet!$A:$H,3,FALSE))</f>
        <v>1</v>
      </c>
      <c r="O108" s="31">
        <f>IFERROR(VLOOKUP($D108,bug_conf_sheet!$A:$H,4,FALSE),VLOOKUP("other",bug_conf_sheet!$A:$H,4,FALSE))</f>
        <v>0</v>
      </c>
      <c r="P108" s="31">
        <f>IFERROR(VLOOKUP($D108,bug_conf_sheet!$A:$H,5,FALSE),VLOOKUP("other",bug_conf_sheet!$A:$H,5,FALSE))</f>
        <v>0</v>
      </c>
      <c r="Q108" s="31">
        <f>IFERROR(VLOOKUP($D108,bug_conf_sheet!$A:$H,6,FALSE),VLOOKUP("other",bug_conf_sheet!$A:$H,6,FALSE))</f>
        <v>0</v>
      </c>
      <c r="R108" s="31">
        <f>IFERROR(VLOOKUP($D108,bug_conf_sheet!$A:$H,7,FALSE),VLOOKUP("other",bug_conf_sheet!$A:$H,7,FALSE))</f>
        <v>0</v>
      </c>
      <c r="S108" s="31">
        <f>IFERROR(VLOOKUP($D108,bug_conf_sheet!$A:$H,8,FALSE),VLOOKUP("other",bug_conf_sheet!$A:$H,8,FALSE))</f>
        <v>1</v>
      </c>
    </row>
    <row r="109" spans="1:19" ht="21" customHeight="1">
      <c r="A109" s="2">
        <f>input_5!A$2</f>
        <v>3125</v>
      </c>
      <c r="B109" s="7" t="str">
        <f t="shared" si="4"/>
        <v>Premium4</v>
      </c>
      <c r="C109" s="7" t="str">
        <f t="shared" si="5"/>
        <v>Premium</v>
      </c>
      <c r="D109" s="5">
        <v>233</v>
      </c>
      <c r="E109" s="7" t="str">
        <f>VLOOKUP(D109,[1]characters!$A:$C,3,FALSE)</f>
        <v>遂行 パーシヴァル</v>
      </c>
      <c r="F109" s="7" t="str">
        <f>VLOOKUP(D109,[1]characters!$A:$J,10,FALSE)</f>
        <v>PremiumS</v>
      </c>
      <c r="G109" s="7">
        <f>VLOOKUP(D109,[1]characters!$A:$I,9,FALSE)</f>
        <v>4</v>
      </c>
      <c r="H109" s="7" t="str">
        <f>VLOOKUP(D109,[1]characters!$A:$H,8,FALSE)</f>
        <v>blue</v>
      </c>
      <c r="I109" s="7" t="str">
        <f>VLOOKUP(D109,[1]characters!$A:$K,11,FALSE)</f>
        <v>technical</v>
      </c>
      <c r="J109" s="7" t="str">
        <f>VLOOKUP(D109,[1]characters!$A:$M,13,FALSE)</f>
        <v>human</v>
      </c>
      <c r="K109" s="7" t="str">
        <f>VLOOKUP(D109,[1]characters!$A:$G,7,FALSE)</f>
        <v>女性</v>
      </c>
      <c r="L109" s="66">
        <f>IFERROR(VLOOKUP(D109,input_5!L:R,7,FALSE),VLOOKUP(tables_5!B109,input_5!A:H,8,FALSE))</f>
        <v>260091</v>
      </c>
      <c r="M109" s="67">
        <f t="shared" si="3"/>
        <v>1.2516891891891892E-2</v>
      </c>
      <c r="N109" s="31">
        <f>IFERROR(VLOOKUP($D109,bug_conf_sheet!$A:$H,3,FALSE),VLOOKUP("other",bug_conf_sheet!$A:$H,3,FALSE))</f>
        <v>1</v>
      </c>
      <c r="O109" s="31">
        <f>IFERROR(VLOOKUP($D109,bug_conf_sheet!$A:$H,4,FALSE),VLOOKUP("other",bug_conf_sheet!$A:$H,4,FALSE))</f>
        <v>0</v>
      </c>
      <c r="P109" s="31">
        <f>IFERROR(VLOOKUP($D109,bug_conf_sheet!$A:$H,5,FALSE),VLOOKUP("other",bug_conf_sheet!$A:$H,5,FALSE))</f>
        <v>0</v>
      </c>
      <c r="Q109" s="31">
        <f>IFERROR(VLOOKUP($D109,bug_conf_sheet!$A:$H,6,FALSE),VLOOKUP("other",bug_conf_sheet!$A:$H,6,FALSE))</f>
        <v>0</v>
      </c>
      <c r="R109" s="31">
        <f>IFERROR(VLOOKUP($D109,bug_conf_sheet!$A:$H,7,FALSE),VLOOKUP("other",bug_conf_sheet!$A:$H,7,FALSE))</f>
        <v>0</v>
      </c>
      <c r="S109" s="31">
        <f>IFERROR(VLOOKUP($D109,bug_conf_sheet!$A:$H,8,FALSE),VLOOKUP("other",bug_conf_sheet!$A:$H,8,FALSE))</f>
        <v>1</v>
      </c>
    </row>
    <row r="110" spans="1:19" ht="21" customHeight="1">
      <c r="A110" s="2">
        <f>input_5!A$2</f>
        <v>3125</v>
      </c>
      <c r="B110" s="7" t="str">
        <f t="shared" si="4"/>
        <v>Premium5</v>
      </c>
      <c r="C110" s="7" t="str">
        <f t="shared" si="5"/>
        <v>Premium</v>
      </c>
      <c r="D110" s="5">
        <v>234</v>
      </c>
      <c r="E110" s="7" t="str">
        <f>VLOOKUP(D110,[1]characters!$A:$C,3,FALSE)</f>
        <v>精密なる照準 パーシヴァル</v>
      </c>
      <c r="F110" s="7" t="str">
        <f>VLOOKUP(D110,[1]characters!$A:$J,10,FALSE)</f>
        <v>PremiumS</v>
      </c>
      <c r="G110" s="7">
        <f>VLOOKUP(D110,[1]characters!$A:$I,9,FALSE)</f>
        <v>5</v>
      </c>
      <c r="H110" s="7" t="str">
        <f>VLOOKUP(D110,[1]characters!$A:$H,8,FALSE)</f>
        <v>blue</v>
      </c>
      <c r="I110" s="7" t="str">
        <f>VLOOKUP(D110,[1]characters!$A:$K,11,FALSE)</f>
        <v>technical</v>
      </c>
      <c r="J110" s="7" t="str">
        <f>VLOOKUP(D110,[1]characters!$A:$M,13,FALSE)</f>
        <v>human</v>
      </c>
      <c r="K110" s="7" t="str">
        <f>VLOOKUP(D110,[1]characters!$A:$G,7,FALSE)</f>
        <v>女性</v>
      </c>
      <c r="L110" s="66">
        <f>IFERROR(VLOOKUP(D110,input_5!L:R,7,FALSE),VLOOKUP(tables_5!B110,input_5!A:H,8,FALSE))</f>
        <v>18759</v>
      </c>
      <c r="M110" s="67">
        <f t="shared" si="3"/>
        <v>9.0277777777777774E-4</v>
      </c>
      <c r="N110" s="31">
        <f>IFERROR(VLOOKUP($D110,bug_conf_sheet!$A:$H,3,FALSE),VLOOKUP("other",bug_conf_sheet!$A:$H,3,FALSE))</f>
        <v>1</v>
      </c>
      <c r="O110" s="31">
        <f>IFERROR(VLOOKUP($D110,bug_conf_sheet!$A:$H,4,FALSE),VLOOKUP("other",bug_conf_sheet!$A:$H,4,FALSE))</f>
        <v>0</v>
      </c>
      <c r="P110" s="31">
        <f>IFERROR(VLOOKUP($D110,bug_conf_sheet!$A:$H,5,FALSE),VLOOKUP("other",bug_conf_sheet!$A:$H,5,FALSE))</f>
        <v>0</v>
      </c>
      <c r="Q110" s="31">
        <f>IFERROR(VLOOKUP($D110,bug_conf_sheet!$A:$H,6,FALSE),VLOOKUP("other",bug_conf_sheet!$A:$H,6,FALSE))</f>
        <v>0</v>
      </c>
      <c r="R110" s="31">
        <f>IFERROR(VLOOKUP($D110,bug_conf_sheet!$A:$H,7,FALSE),VLOOKUP("other",bug_conf_sheet!$A:$H,7,FALSE))</f>
        <v>0</v>
      </c>
      <c r="S110" s="31">
        <f>IFERROR(VLOOKUP($D110,bug_conf_sheet!$A:$H,8,FALSE),VLOOKUP("other",bug_conf_sheet!$A:$H,8,FALSE))</f>
        <v>1</v>
      </c>
    </row>
    <row r="111" spans="1:19" ht="21" customHeight="1">
      <c r="A111" s="2">
        <f>input_5!A$2</f>
        <v>3125</v>
      </c>
      <c r="B111" s="7" t="str">
        <f t="shared" si="4"/>
        <v>Premium3</v>
      </c>
      <c r="C111" s="7" t="str">
        <f t="shared" si="5"/>
        <v>Premium</v>
      </c>
      <c r="D111" s="5">
        <v>235</v>
      </c>
      <c r="E111" s="7" t="str">
        <f>VLOOKUP(D111,[1]characters!$A:$C,3,FALSE)</f>
        <v>イザナミ</v>
      </c>
      <c r="F111" s="7" t="str">
        <f>VLOOKUP(D111,[1]characters!$A:$J,10,FALSE)</f>
        <v>PremiumS</v>
      </c>
      <c r="G111" s="7">
        <f>VLOOKUP(D111,[1]characters!$A:$I,9,FALSE)</f>
        <v>3</v>
      </c>
      <c r="H111" s="7" t="str">
        <f>VLOOKUP(D111,[1]characters!$A:$H,8,FALSE)</f>
        <v>yellow</v>
      </c>
      <c r="I111" s="7" t="str">
        <f>VLOOKUP(D111,[1]characters!$A:$K,11,FALSE)</f>
        <v>attack</v>
      </c>
      <c r="J111" s="7" t="str">
        <f>VLOOKUP(D111,[1]characters!$A:$M,13,FALSE)</f>
        <v>god</v>
      </c>
      <c r="K111" s="7" t="str">
        <f>VLOOKUP(D111,[1]characters!$A:$G,7,FALSE)</f>
        <v>女性</v>
      </c>
      <c r="L111" s="66">
        <f>IFERROR(VLOOKUP(D111,input_5!L:R,7,FALSE),VLOOKUP(tables_5!B111,input_5!A:H,8,FALSE))</f>
        <v>0</v>
      </c>
      <c r="M111" s="67">
        <f t="shared" si="3"/>
        <v>0</v>
      </c>
      <c r="N111" s="31">
        <f>IFERROR(VLOOKUP($D111,bug_conf_sheet!$A:$H,3,FALSE),VLOOKUP("other",bug_conf_sheet!$A:$H,3,FALSE))</f>
        <v>1</v>
      </c>
      <c r="O111" s="31">
        <f>IFERROR(VLOOKUP($D111,bug_conf_sheet!$A:$H,4,FALSE),VLOOKUP("other",bug_conf_sheet!$A:$H,4,FALSE))</f>
        <v>0</v>
      </c>
      <c r="P111" s="31">
        <f>IFERROR(VLOOKUP($D111,bug_conf_sheet!$A:$H,5,FALSE),VLOOKUP("other",bug_conf_sheet!$A:$H,5,FALSE))</f>
        <v>0</v>
      </c>
      <c r="Q111" s="31">
        <f>IFERROR(VLOOKUP($D111,bug_conf_sheet!$A:$H,6,FALSE),VLOOKUP("other",bug_conf_sheet!$A:$H,6,FALSE))</f>
        <v>0</v>
      </c>
      <c r="R111" s="31">
        <f>IFERROR(VLOOKUP($D111,bug_conf_sheet!$A:$H,7,FALSE),VLOOKUP("other",bug_conf_sheet!$A:$H,7,FALSE))</f>
        <v>0</v>
      </c>
      <c r="S111" s="31">
        <f>IFERROR(VLOOKUP($D111,bug_conf_sheet!$A:$H,8,FALSE),VLOOKUP("other",bug_conf_sheet!$A:$H,8,FALSE))</f>
        <v>1</v>
      </c>
    </row>
    <row r="112" spans="1:19" ht="21" customHeight="1">
      <c r="A112" s="2">
        <f>input_5!A$2</f>
        <v>3125</v>
      </c>
      <c r="B112" s="7" t="str">
        <f t="shared" si="4"/>
        <v>Premium4</v>
      </c>
      <c r="C112" s="7" t="str">
        <f t="shared" si="5"/>
        <v>Premium</v>
      </c>
      <c r="D112" s="5">
        <v>236</v>
      </c>
      <c r="E112" s="7" t="str">
        <f>VLOOKUP(D112,[1]characters!$A:$C,3,FALSE)</f>
        <v>神産 イザナミ</v>
      </c>
      <c r="F112" s="7" t="str">
        <f>VLOOKUP(D112,[1]characters!$A:$J,10,FALSE)</f>
        <v>PremiumS</v>
      </c>
      <c r="G112" s="7">
        <f>VLOOKUP(D112,[1]characters!$A:$I,9,FALSE)</f>
        <v>4</v>
      </c>
      <c r="H112" s="7" t="str">
        <f>VLOOKUP(D112,[1]characters!$A:$H,8,FALSE)</f>
        <v>yellow</v>
      </c>
      <c r="I112" s="7" t="str">
        <f>VLOOKUP(D112,[1]characters!$A:$K,11,FALSE)</f>
        <v>attack</v>
      </c>
      <c r="J112" s="7" t="str">
        <f>VLOOKUP(D112,[1]characters!$A:$M,13,FALSE)</f>
        <v>god</v>
      </c>
      <c r="K112" s="7" t="str">
        <f>VLOOKUP(D112,[1]characters!$A:$G,7,FALSE)</f>
        <v>女性</v>
      </c>
      <c r="L112" s="66">
        <f>IFERROR(VLOOKUP(D112,input_5!L:R,7,FALSE),VLOOKUP(tables_5!B112,input_5!A:H,8,FALSE))</f>
        <v>260091</v>
      </c>
      <c r="M112" s="67">
        <f t="shared" si="3"/>
        <v>1.2516891891891892E-2</v>
      </c>
      <c r="N112" s="31">
        <f>IFERROR(VLOOKUP($D112,bug_conf_sheet!$A:$H,3,FALSE),VLOOKUP("other",bug_conf_sheet!$A:$H,3,FALSE))</f>
        <v>1</v>
      </c>
      <c r="O112" s="31">
        <f>IFERROR(VLOOKUP($D112,bug_conf_sheet!$A:$H,4,FALSE),VLOOKUP("other",bug_conf_sheet!$A:$H,4,FALSE))</f>
        <v>0</v>
      </c>
      <c r="P112" s="31">
        <f>IFERROR(VLOOKUP($D112,bug_conf_sheet!$A:$H,5,FALSE),VLOOKUP("other",bug_conf_sheet!$A:$H,5,FALSE))</f>
        <v>0</v>
      </c>
      <c r="Q112" s="31">
        <f>IFERROR(VLOOKUP($D112,bug_conf_sheet!$A:$H,6,FALSE),VLOOKUP("other",bug_conf_sheet!$A:$H,6,FALSE))</f>
        <v>0</v>
      </c>
      <c r="R112" s="31">
        <f>IFERROR(VLOOKUP($D112,bug_conf_sheet!$A:$H,7,FALSE),VLOOKUP("other",bug_conf_sheet!$A:$H,7,FALSE))</f>
        <v>0</v>
      </c>
      <c r="S112" s="31">
        <f>IFERROR(VLOOKUP($D112,bug_conf_sheet!$A:$H,8,FALSE),VLOOKUP("other",bug_conf_sheet!$A:$H,8,FALSE))</f>
        <v>1</v>
      </c>
    </row>
    <row r="113" spans="1:19" ht="21" customHeight="1">
      <c r="A113" s="2">
        <f>input_5!A$2</f>
        <v>3125</v>
      </c>
      <c r="B113" s="7" t="str">
        <f t="shared" si="4"/>
        <v>Premium5</v>
      </c>
      <c r="C113" s="7" t="str">
        <f t="shared" si="5"/>
        <v>Premium</v>
      </c>
      <c r="D113" s="5">
        <v>237</v>
      </c>
      <c r="E113" s="7" t="str">
        <f>VLOOKUP(D113,[1]characters!$A:$C,3,FALSE)</f>
        <v>森羅万象の神母 イザナミ</v>
      </c>
      <c r="F113" s="7" t="str">
        <f>VLOOKUP(D113,[1]characters!$A:$J,10,FALSE)</f>
        <v>PremiumS</v>
      </c>
      <c r="G113" s="7">
        <f>VLOOKUP(D113,[1]characters!$A:$I,9,FALSE)</f>
        <v>5</v>
      </c>
      <c r="H113" s="7" t="str">
        <f>VLOOKUP(D113,[1]characters!$A:$H,8,FALSE)</f>
        <v>yellow</v>
      </c>
      <c r="I113" s="7" t="str">
        <f>VLOOKUP(D113,[1]characters!$A:$K,11,FALSE)</f>
        <v>attack</v>
      </c>
      <c r="J113" s="7" t="str">
        <f>VLOOKUP(D113,[1]characters!$A:$M,13,FALSE)</f>
        <v>god</v>
      </c>
      <c r="K113" s="7" t="str">
        <f>VLOOKUP(D113,[1]characters!$A:$G,7,FALSE)</f>
        <v>女性</v>
      </c>
      <c r="L113" s="66">
        <f>IFERROR(VLOOKUP(D113,input_5!L:R,7,FALSE),VLOOKUP(tables_5!B113,input_5!A:H,8,FALSE))</f>
        <v>18759</v>
      </c>
      <c r="M113" s="67">
        <f t="shared" si="3"/>
        <v>9.0277777777777774E-4</v>
      </c>
      <c r="N113" s="31">
        <f>IFERROR(VLOOKUP($D113,bug_conf_sheet!$A:$H,3,FALSE),VLOOKUP("other",bug_conf_sheet!$A:$H,3,FALSE))</f>
        <v>1</v>
      </c>
      <c r="O113" s="31">
        <f>IFERROR(VLOOKUP($D113,bug_conf_sheet!$A:$H,4,FALSE),VLOOKUP("other",bug_conf_sheet!$A:$H,4,FALSE))</f>
        <v>0</v>
      </c>
      <c r="P113" s="31">
        <f>IFERROR(VLOOKUP($D113,bug_conf_sheet!$A:$H,5,FALSE),VLOOKUP("other",bug_conf_sheet!$A:$H,5,FALSE))</f>
        <v>0</v>
      </c>
      <c r="Q113" s="31">
        <f>IFERROR(VLOOKUP($D113,bug_conf_sheet!$A:$H,6,FALSE),VLOOKUP("other",bug_conf_sheet!$A:$H,6,FALSE))</f>
        <v>0</v>
      </c>
      <c r="R113" s="31">
        <f>IFERROR(VLOOKUP($D113,bug_conf_sheet!$A:$H,7,FALSE),VLOOKUP("other",bug_conf_sheet!$A:$H,7,FALSE))</f>
        <v>0</v>
      </c>
      <c r="S113" s="31">
        <f>IFERROR(VLOOKUP($D113,bug_conf_sheet!$A:$H,8,FALSE),VLOOKUP("other",bug_conf_sheet!$A:$H,8,FALSE))</f>
        <v>1</v>
      </c>
    </row>
    <row r="114" spans="1:19" ht="21" customHeight="1">
      <c r="A114" s="2">
        <f>input_5!A$2</f>
        <v>3125</v>
      </c>
      <c r="B114" s="7" t="str">
        <f t="shared" si="4"/>
        <v>Premium3</v>
      </c>
      <c r="C114" s="7" t="str">
        <f t="shared" si="5"/>
        <v>Premium</v>
      </c>
      <c r="D114" s="5">
        <v>238</v>
      </c>
      <c r="E114" s="7" t="str">
        <f>VLOOKUP(D114,[1]characters!$A:$C,3,FALSE)</f>
        <v>ウリエル</v>
      </c>
      <c r="F114" s="7" t="str">
        <f>VLOOKUP(D114,[1]characters!$A:$J,10,FALSE)</f>
        <v>PremiumS</v>
      </c>
      <c r="G114" s="7">
        <f>VLOOKUP(D114,[1]characters!$A:$I,9,FALSE)</f>
        <v>3</v>
      </c>
      <c r="H114" s="7" t="str">
        <f>VLOOKUP(D114,[1]characters!$A:$H,8,FALSE)</f>
        <v>red</v>
      </c>
      <c r="I114" s="7" t="str">
        <f>VLOOKUP(D114,[1]characters!$A:$K,11,FALSE)</f>
        <v>hp</v>
      </c>
      <c r="J114" s="7" t="str">
        <f>VLOOKUP(D114,[1]characters!$A:$M,13,FALSE)</f>
        <v>machine</v>
      </c>
      <c r="K114" s="7" t="str">
        <f>VLOOKUP(D114,[1]characters!$A:$G,7,FALSE)</f>
        <v>女性</v>
      </c>
      <c r="L114" s="66">
        <f>IFERROR(VLOOKUP(D114,input_5!L:R,7,FALSE),VLOOKUP(tables_5!B114,input_5!A:H,8,FALSE))</f>
        <v>0</v>
      </c>
      <c r="M114" s="67">
        <f t="shared" si="3"/>
        <v>0</v>
      </c>
      <c r="N114" s="31">
        <f>IFERROR(VLOOKUP($D114,bug_conf_sheet!$A:$H,3,FALSE),VLOOKUP("other",bug_conf_sheet!$A:$H,3,FALSE))</f>
        <v>1</v>
      </c>
      <c r="O114" s="31">
        <f>IFERROR(VLOOKUP($D114,bug_conf_sheet!$A:$H,4,FALSE),VLOOKUP("other",bug_conf_sheet!$A:$H,4,FALSE))</f>
        <v>0</v>
      </c>
      <c r="P114" s="31">
        <f>IFERROR(VLOOKUP($D114,bug_conf_sheet!$A:$H,5,FALSE),VLOOKUP("other",bug_conf_sheet!$A:$H,5,FALSE))</f>
        <v>0</v>
      </c>
      <c r="Q114" s="31">
        <f>IFERROR(VLOOKUP($D114,bug_conf_sheet!$A:$H,6,FALSE),VLOOKUP("other",bug_conf_sheet!$A:$H,6,FALSE))</f>
        <v>0</v>
      </c>
      <c r="R114" s="31">
        <f>IFERROR(VLOOKUP($D114,bug_conf_sheet!$A:$H,7,FALSE),VLOOKUP("other",bug_conf_sheet!$A:$H,7,FALSE))</f>
        <v>0</v>
      </c>
      <c r="S114" s="31">
        <f>IFERROR(VLOOKUP($D114,bug_conf_sheet!$A:$H,8,FALSE),VLOOKUP("other",bug_conf_sheet!$A:$H,8,FALSE))</f>
        <v>1</v>
      </c>
    </row>
    <row r="115" spans="1:19" ht="21" customHeight="1">
      <c r="A115" s="2">
        <f>input_5!A$2</f>
        <v>3125</v>
      </c>
      <c r="B115" s="7" t="str">
        <f t="shared" si="4"/>
        <v>Premium4</v>
      </c>
      <c r="C115" s="7" t="str">
        <f t="shared" si="5"/>
        <v>Premium</v>
      </c>
      <c r="D115" s="5">
        <v>239</v>
      </c>
      <c r="E115" s="7" t="str">
        <f>VLOOKUP(D115,[1]characters!$A:$C,3,FALSE)</f>
        <v>豪炎の天使 ウリエル</v>
      </c>
      <c r="F115" s="7" t="str">
        <f>VLOOKUP(D115,[1]characters!$A:$J,10,FALSE)</f>
        <v>PremiumS</v>
      </c>
      <c r="G115" s="7">
        <f>VLOOKUP(D115,[1]characters!$A:$I,9,FALSE)</f>
        <v>4</v>
      </c>
      <c r="H115" s="7" t="str">
        <f>VLOOKUP(D115,[1]characters!$A:$H,8,FALSE)</f>
        <v>red</v>
      </c>
      <c r="I115" s="7" t="str">
        <f>VLOOKUP(D115,[1]characters!$A:$K,11,FALSE)</f>
        <v>hp</v>
      </c>
      <c r="J115" s="7" t="str">
        <f>VLOOKUP(D115,[1]characters!$A:$M,13,FALSE)</f>
        <v>machine</v>
      </c>
      <c r="K115" s="7" t="str">
        <f>VLOOKUP(D115,[1]characters!$A:$G,7,FALSE)</f>
        <v>女性</v>
      </c>
      <c r="L115" s="66">
        <f>IFERROR(VLOOKUP(D115,input_5!L:R,7,FALSE),VLOOKUP(tables_5!B115,input_5!A:H,8,FALSE))</f>
        <v>260091</v>
      </c>
      <c r="M115" s="67">
        <f t="shared" si="3"/>
        <v>1.2516891891891892E-2</v>
      </c>
      <c r="N115" s="31">
        <f>IFERROR(VLOOKUP($D115,bug_conf_sheet!$A:$H,3,FALSE),VLOOKUP("other",bug_conf_sheet!$A:$H,3,FALSE))</f>
        <v>1</v>
      </c>
      <c r="O115" s="31">
        <f>IFERROR(VLOOKUP($D115,bug_conf_sheet!$A:$H,4,FALSE),VLOOKUP("other",bug_conf_sheet!$A:$H,4,FALSE))</f>
        <v>0</v>
      </c>
      <c r="P115" s="31">
        <f>IFERROR(VLOOKUP($D115,bug_conf_sheet!$A:$H,5,FALSE),VLOOKUP("other",bug_conf_sheet!$A:$H,5,FALSE))</f>
        <v>0</v>
      </c>
      <c r="Q115" s="31">
        <f>IFERROR(VLOOKUP($D115,bug_conf_sheet!$A:$H,6,FALSE),VLOOKUP("other",bug_conf_sheet!$A:$H,6,FALSE))</f>
        <v>0</v>
      </c>
      <c r="R115" s="31">
        <f>IFERROR(VLOOKUP($D115,bug_conf_sheet!$A:$H,7,FALSE),VLOOKUP("other",bug_conf_sheet!$A:$H,7,FALSE))</f>
        <v>0</v>
      </c>
      <c r="S115" s="31">
        <f>IFERROR(VLOOKUP($D115,bug_conf_sheet!$A:$H,8,FALSE),VLOOKUP("other",bug_conf_sheet!$A:$H,8,FALSE))</f>
        <v>1</v>
      </c>
    </row>
    <row r="116" spans="1:19" ht="21" customHeight="1">
      <c r="A116" s="2">
        <f>input_5!A$2</f>
        <v>3125</v>
      </c>
      <c r="B116" s="7" t="str">
        <f t="shared" si="4"/>
        <v>Premium5</v>
      </c>
      <c r="C116" s="7" t="str">
        <f t="shared" si="5"/>
        <v>Premium</v>
      </c>
      <c r="D116" s="5">
        <v>240</v>
      </c>
      <c r="E116" s="7" t="str">
        <f>VLOOKUP(D116,[1]characters!$A:$C,3,FALSE)</f>
        <v>轟炎の天使 ウリエル・スレイヤー</v>
      </c>
      <c r="F116" s="7" t="str">
        <f>VLOOKUP(D116,[1]characters!$A:$J,10,FALSE)</f>
        <v>PremiumS</v>
      </c>
      <c r="G116" s="7">
        <f>VLOOKUP(D116,[1]characters!$A:$I,9,FALSE)</f>
        <v>5</v>
      </c>
      <c r="H116" s="7" t="str">
        <f>VLOOKUP(D116,[1]characters!$A:$H,8,FALSE)</f>
        <v>red</v>
      </c>
      <c r="I116" s="7" t="str">
        <f>VLOOKUP(D116,[1]characters!$A:$K,11,FALSE)</f>
        <v>hp</v>
      </c>
      <c r="J116" s="7" t="str">
        <f>VLOOKUP(D116,[1]characters!$A:$M,13,FALSE)</f>
        <v>machine</v>
      </c>
      <c r="K116" s="7" t="str">
        <f>VLOOKUP(D116,[1]characters!$A:$G,7,FALSE)</f>
        <v>女性</v>
      </c>
      <c r="L116" s="66">
        <f>IFERROR(VLOOKUP(D116,input_5!L:R,7,FALSE),VLOOKUP(tables_5!B116,input_5!A:H,8,FALSE))</f>
        <v>18759</v>
      </c>
      <c r="M116" s="67">
        <f t="shared" si="3"/>
        <v>9.0277777777777774E-4</v>
      </c>
      <c r="N116" s="31">
        <f>IFERROR(VLOOKUP($D116,bug_conf_sheet!$A:$H,3,FALSE),VLOOKUP("other",bug_conf_sheet!$A:$H,3,FALSE))</f>
        <v>1</v>
      </c>
      <c r="O116" s="31">
        <f>IFERROR(VLOOKUP($D116,bug_conf_sheet!$A:$H,4,FALSE),VLOOKUP("other",bug_conf_sheet!$A:$H,4,FALSE))</f>
        <v>0</v>
      </c>
      <c r="P116" s="31">
        <f>IFERROR(VLOOKUP($D116,bug_conf_sheet!$A:$H,5,FALSE),VLOOKUP("other",bug_conf_sheet!$A:$H,5,FALSE))</f>
        <v>0</v>
      </c>
      <c r="Q116" s="31">
        <f>IFERROR(VLOOKUP($D116,bug_conf_sheet!$A:$H,6,FALSE),VLOOKUP("other",bug_conf_sheet!$A:$H,6,FALSE))</f>
        <v>0</v>
      </c>
      <c r="R116" s="31">
        <f>IFERROR(VLOOKUP($D116,bug_conf_sheet!$A:$H,7,FALSE),VLOOKUP("other",bug_conf_sheet!$A:$H,7,FALSE))</f>
        <v>0</v>
      </c>
      <c r="S116" s="31">
        <f>IFERROR(VLOOKUP($D116,bug_conf_sheet!$A:$H,8,FALSE),VLOOKUP("other",bug_conf_sheet!$A:$H,8,FALSE))</f>
        <v>1</v>
      </c>
    </row>
    <row r="117" spans="1:19" ht="21" customHeight="1">
      <c r="A117" s="2">
        <f>input_5!A$2</f>
        <v>3125</v>
      </c>
      <c r="B117" s="7" t="str">
        <f t="shared" si="4"/>
        <v>Premium3</v>
      </c>
      <c r="C117" s="7" t="str">
        <f t="shared" si="5"/>
        <v>Premium</v>
      </c>
      <c r="D117" s="5">
        <v>241</v>
      </c>
      <c r="E117" s="7" t="str">
        <f>VLOOKUP(D117,[1]characters!$A:$C,3,FALSE)</f>
        <v>ガブリエル</v>
      </c>
      <c r="F117" s="7" t="str">
        <f>VLOOKUP(D117,[1]characters!$A:$J,10,FALSE)</f>
        <v>PremiumS</v>
      </c>
      <c r="G117" s="7">
        <f>VLOOKUP(D117,[1]characters!$A:$I,9,FALSE)</f>
        <v>3</v>
      </c>
      <c r="H117" s="7" t="str">
        <f>VLOOKUP(D117,[1]characters!$A:$H,8,FALSE)</f>
        <v>green</v>
      </c>
      <c r="I117" s="7" t="str">
        <f>VLOOKUP(D117,[1]characters!$A:$K,11,FALSE)</f>
        <v>balance</v>
      </c>
      <c r="J117" s="7" t="str">
        <f>VLOOKUP(D117,[1]characters!$A:$M,13,FALSE)</f>
        <v>machine</v>
      </c>
      <c r="K117" s="7" t="str">
        <f>VLOOKUP(D117,[1]characters!$A:$G,7,FALSE)</f>
        <v>女性</v>
      </c>
      <c r="L117" s="66">
        <f>IFERROR(VLOOKUP(D117,input_5!L:R,7,FALSE),VLOOKUP(tables_5!B117,input_5!A:H,8,FALSE))</f>
        <v>0</v>
      </c>
      <c r="M117" s="67">
        <f t="shared" si="3"/>
        <v>0</v>
      </c>
      <c r="N117" s="31">
        <f>IFERROR(VLOOKUP($D117,bug_conf_sheet!$A:$H,3,FALSE),VLOOKUP("other",bug_conf_sheet!$A:$H,3,FALSE))</f>
        <v>1</v>
      </c>
      <c r="O117" s="31">
        <f>IFERROR(VLOOKUP($D117,bug_conf_sheet!$A:$H,4,FALSE),VLOOKUP("other",bug_conf_sheet!$A:$H,4,FALSE))</f>
        <v>0</v>
      </c>
      <c r="P117" s="31">
        <f>IFERROR(VLOOKUP($D117,bug_conf_sheet!$A:$H,5,FALSE),VLOOKUP("other",bug_conf_sheet!$A:$H,5,FALSE))</f>
        <v>0</v>
      </c>
      <c r="Q117" s="31">
        <f>IFERROR(VLOOKUP($D117,bug_conf_sheet!$A:$H,6,FALSE),VLOOKUP("other",bug_conf_sheet!$A:$H,6,FALSE))</f>
        <v>0</v>
      </c>
      <c r="R117" s="31">
        <f>IFERROR(VLOOKUP($D117,bug_conf_sheet!$A:$H,7,FALSE),VLOOKUP("other",bug_conf_sheet!$A:$H,7,FALSE))</f>
        <v>0</v>
      </c>
      <c r="S117" s="31">
        <f>IFERROR(VLOOKUP($D117,bug_conf_sheet!$A:$H,8,FALSE),VLOOKUP("other",bug_conf_sheet!$A:$H,8,FALSE))</f>
        <v>1</v>
      </c>
    </row>
    <row r="118" spans="1:19" ht="21" customHeight="1">
      <c r="A118" s="2">
        <f>input_5!A$2</f>
        <v>3125</v>
      </c>
      <c r="B118" s="7" t="str">
        <f t="shared" si="4"/>
        <v>Premium4</v>
      </c>
      <c r="C118" s="7" t="str">
        <f t="shared" si="5"/>
        <v>Premium</v>
      </c>
      <c r="D118" s="5">
        <v>242</v>
      </c>
      <c r="E118" s="7" t="str">
        <f>VLOOKUP(D118,[1]characters!$A:$C,3,FALSE)</f>
        <v>百花の天使 ガブリエル</v>
      </c>
      <c r="F118" s="7" t="str">
        <f>VLOOKUP(D118,[1]characters!$A:$J,10,FALSE)</f>
        <v>PremiumS</v>
      </c>
      <c r="G118" s="7">
        <f>VLOOKUP(D118,[1]characters!$A:$I,9,FALSE)</f>
        <v>4</v>
      </c>
      <c r="H118" s="7" t="str">
        <f>VLOOKUP(D118,[1]characters!$A:$H,8,FALSE)</f>
        <v>green</v>
      </c>
      <c r="I118" s="7" t="str">
        <f>VLOOKUP(D118,[1]characters!$A:$K,11,FALSE)</f>
        <v>balance</v>
      </c>
      <c r="J118" s="7" t="str">
        <f>VLOOKUP(D118,[1]characters!$A:$M,13,FALSE)</f>
        <v>machine</v>
      </c>
      <c r="K118" s="7" t="str">
        <f>VLOOKUP(D118,[1]characters!$A:$G,7,FALSE)</f>
        <v>女性</v>
      </c>
      <c r="L118" s="66">
        <f>IFERROR(VLOOKUP(D118,input_5!L:R,7,FALSE),VLOOKUP(tables_5!B118,input_5!A:H,8,FALSE))</f>
        <v>260091</v>
      </c>
      <c r="M118" s="67">
        <f t="shared" si="3"/>
        <v>1.2516891891891892E-2</v>
      </c>
      <c r="N118" s="31">
        <f>IFERROR(VLOOKUP($D118,bug_conf_sheet!$A:$H,3,FALSE),VLOOKUP("other",bug_conf_sheet!$A:$H,3,FALSE))</f>
        <v>1</v>
      </c>
      <c r="O118" s="31">
        <f>IFERROR(VLOOKUP($D118,bug_conf_sheet!$A:$H,4,FALSE),VLOOKUP("other",bug_conf_sheet!$A:$H,4,FALSE))</f>
        <v>0</v>
      </c>
      <c r="P118" s="31">
        <f>IFERROR(VLOOKUP($D118,bug_conf_sheet!$A:$H,5,FALSE),VLOOKUP("other",bug_conf_sheet!$A:$H,5,FALSE))</f>
        <v>0</v>
      </c>
      <c r="Q118" s="31">
        <f>IFERROR(VLOOKUP($D118,bug_conf_sheet!$A:$H,6,FALSE),VLOOKUP("other",bug_conf_sheet!$A:$H,6,FALSE))</f>
        <v>0</v>
      </c>
      <c r="R118" s="31">
        <f>IFERROR(VLOOKUP($D118,bug_conf_sheet!$A:$H,7,FALSE),VLOOKUP("other",bug_conf_sheet!$A:$H,7,FALSE))</f>
        <v>0</v>
      </c>
      <c r="S118" s="31">
        <f>IFERROR(VLOOKUP($D118,bug_conf_sheet!$A:$H,8,FALSE),VLOOKUP("other",bug_conf_sheet!$A:$H,8,FALSE))</f>
        <v>1</v>
      </c>
    </row>
    <row r="119" spans="1:19" ht="21" customHeight="1">
      <c r="A119" s="2">
        <f>input_5!A$2</f>
        <v>3125</v>
      </c>
      <c r="B119" s="7" t="str">
        <f t="shared" si="4"/>
        <v>Premium5</v>
      </c>
      <c r="C119" s="7" t="str">
        <f t="shared" si="5"/>
        <v>Premium</v>
      </c>
      <c r="D119" s="5">
        <v>243</v>
      </c>
      <c r="E119" s="7" t="str">
        <f>VLOOKUP(D119,[1]characters!$A:$C,3,FALSE)</f>
        <v>万花の天使 ガブリエル・ブルーム</v>
      </c>
      <c r="F119" s="7" t="str">
        <f>VLOOKUP(D119,[1]characters!$A:$J,10,FALSE)</f>
        <v>PremiumS</v>
      </c>
      <c r="G119" s="7">
        <f>VLOOKUP(D119,[1]characters!$A:$I,9,FALSE)</f>
        <v>5</v>
      </c>
      <c r="H119" s="7" t="str">
        <f>VLOOKUP(D119,[1]characters!$A:$H,8,FALSE)</f>
        <v>green</v>
      </c>
      <c r="I119" s="7" t="str">
        <f>VLOOKUP(D119,[1]characters!$A:$K,11,FALSE)</f>
        <v>balance</v>
      </c>
      <c r="J119" s="7" t="str">
        <f>VLOOKUP(D119,[1]characters!$A:$M,13,FALSE)</f>
        <v>machine</v>
      </c>
      <c r="K119" s="7" t="str">
        <f>VLOOKUP(D119,[1]characters!$A:$G,7,FALSE)</f>
        <v>女性</v>
      </c>
      <c r="L119" s="66">
        <f>IFERROR(VLOOKUP(D119,input_5!L:R,7,FALSE),VLOOKUP(tables_5!B119,input_5!A:H,8,FALSE))</f>
        <v>18759</v>
      </c>
      <c r="M119" s="67">
        <f t="shared" si="3"/>
        <v>9.0277777777777774E-4</v>
      </c>
      <c r="N119" s="31">
        <f>IFERROR(VLOOKUP($D119,bug_conf_sheet!$A:$H,3,FALSE),VLOOKUP("other",bug_conf_sheet!$A:$H,3,FALSE))</f>
        <v>1</v>
      </c>
      <c r="O119" s="31">
        <f>IFERROR(VLOOKUP($D119,bug_conf_sheet!$A:$H,4,FALSE),VLOOKUP("other",bug_conf_sheet!$A:$H,4,FALSE))</f>
        <v>0</v>
      </c>
      <c r="P119" s="31">
        <f>IFERROR(VLOOKUP($D119,bug_conf_sheet!$A:$H,5,FALSE),VLOOKUP("other",bug_conf_sheet!$A:$H,5,FALSE))</f>
        <v>0</v>
      </c>
      <c r="Q119" s="31">
        <f>IFERROR(VLOOKUP($D119,bug_conf_sheet!$A:$H,6,FALSE),VLOOKUP("other",bug_conf_sheet!$A:$H,6,FALSE))</f>
        <v>0</v>
      </c>
      <c r="R119" s="31">
        <f>IFERROR(VLOOKUP($D119,bug_conf_sheet!$A:$H,7,FALSE),VLOOKUP("other",bug_conf_sheet!$A:$H,7,FALSE))</f>
        <v>0</v>
      </c>
      <c r="S119" s="31">
        <f>IFERROR(VLOOKUP($D119,bug_conf_sheet!$A:$H,8,FALSE),VLOOKUP("other",bug_conf_sheet!$A:$H,8,FALSE))</f>
        <v>1</v>
      </c>
    </row>
    <row r="120" spans="1:19" ht="21" customHeight="1">
      <c r="A120" s="2">
        <f>input_5!A$2</f>
        <v>3125</v>
      </c>
      <c r="B120" s="7" t="str">
        <f t="shared" si="4"/>
        <v>Premium3</v>
      </c>
      <c r="C120" s="7" t="str">
        <f t="shared" si="5"/>
        <v>Premium</v>
      </c>
      <c r="D120" s="5">
        <v>244</v>
      </c>
      <c r="E120" s="7" t="str">
        <f>VLOOKUP(D120,[1]characters!$A:$C,3,FALSE)</f>
        <v>ラファエル</v>
      </c>
      <c r="F120" s="7" t="str">
        <f>VLOOKUP(D120,[1]characters!$A:$J,10,FALSE)</f>
        <v>PremiumS</v>
      </c>
      <c r="G120" s="7">
        <f>VLOOKUP(D120,[1]characters!$A:$I,9,FALSE)</f>
        <v>3</v>
      </c>
      <c r="H120" s="7" t="str">
        <f>VLOOKUP(D120,[1]characters!$A:$H,8,FALSE)</f>
        <v>blue</v>
      </c>
      <c r="I120" s="7" t="str">
        <f>VLOOKUP(D120,[1]characters!$A:$K,11,FALSE)</f>
        <v>balance</v>
      </c>
      <c r="J120" s="7" t="str">
        <f>VLOOKUP(D120,[1]characters!$A:$M,13,FALSE)</f>
        <v>machine</v>
      </c>
      <c r="K120" s="7" t="str">
        <f>VLOOKUP(D120,[1]characters!$A:$G,7,FALSE)</f>
        <v>女性</v>
      </c>
      <c r="L120" s="66">
        <f>IFERROR(VLOOKUP(D120,input_5!L:R,7,FALSE),VLOOKUP(tables_5!B120,input_5!A:H,8,FALSE))</f>
        <v>0</v>
      </c>
      <c r="M120" s="67">
        <f t="shared" si="3"/>
        <v>0</v>
      </c>
      <c r="N120" s="31">
        <f>IFERROR(VLOOKUP($D120,bug_conf_sheet!$A:$H,3,FALSE),VLOOKUP("other",bug_conf_sheet!$A:$H,3,FALSE))</f>
        <v>1</v>
      </c>
      <c r="O120" s="31">
        <f>IFERROR(VLOOKUP($D120,bug_conf_sheet!$A:$H,4,FALSE),VLOOKUP("other",bug_conf_sheet!$A:$H,4,FALSE))</f>
        <v>0</v>
      </c>
      <c r="P120" s="31">
        <f>IFERROR(VLOOKUP($D120,bug_conf_sheet!$A:$H,5,FALSE),VLOOKUP("other",bug_conf_sheet!$A:$H,5,FALSE))</f>
        <v>0</v>
      </c>
      <c r="Q120" s="31">
        <f>IFERROR(VLOOKUP($D120,bug_conf_sheet!$A:$H,6,FALSE),VLOOKUP("other",bug_conf_sheet!$A:$H,6,FALSE))</f>
        <v>0</v>
      </c>
      <c r="R120" s="31">
        <f>IFERROR(VLOOKUP($D120,bug_conf_sheet!$A:$H,7,FALSE),VLOOKUP("other",bug_conf_sheet!$A:$H,7,FALSE))</f>
        <v>0</v>
      </c>
      <c r="S120" s="31">
        <f>IFERROR(VLOOKUP($D120,bug_conf_sheet!$A:$H,8,FALSE),VLOOKUP("other",bug_conf_sheet!$A:$H,8,FALSE))</f>
        <v>1</v>
      </c>
    </row>
    <row r="121" spans="1:19" ht="21" customHeight="1">
      <c r="A121" s="2">
        <f>input_5!A$2</f>
        <v>3125</v>
      </c>
      <c r="B121" s="7" t="str">
        <f t="shared" si="4"/>
        <v>Premium4</v>
      </c>
      <c r="C121" s="7" t="str">
        <f t="shared" si="5"/>
        <v>Premium</v>
      </c>
      <c r="D121" s="5">
        <v>245</v>
      </c>
      <c r="E121" s="7" t="str">
        <f>VLOOKUP(D121,[1]characters!$A:$C,3,FALSE)</f>
        <v>鎮癒の天使 ラファエル</v>
      </c>
      <c r="F121" s="7" t="str">
        <f>VLOOKUP(D121,[1]characters!$A:$J,10,FALSE)</f>
        <v>PremiumS</v>
      </c>
      <c r="G121" s="7">
        <f>VLOOKUP(D121,[1]characters!$A:$I,9,FALSE)</f>
        <v>4</v>
      </c>
      <c r="H121" s="7" t="str">
        <f>VLOOKUP(D121,[1]characters!$A:$H,8,FALSE)</f>
        <v>blue</v>
      </c>
      <c r="I121" s="7" t="str">
        <f>VLOOKUP(D121,[1]characters!$A:$K,11,FALSE)</f>
        <v>balance</v>
      </c>
      <c r="J121" s="7" t="str">
        <f>VLOOKUP(D121,[1]characters!$A:$M,13,FALSE)</f>
        <v>machine</v>
      </c>
      <c r="K121" s="7" t="str">
        <f>VLOOKUP(D121,[1]characters!$A:$G,7,FALSE)</f>
        <v>女性</v>
      </c>
      <c r="L121" s="66">
        <f>IFERROR(VLOOKUP(D121,input_5!L:R,7,FALSE),VLOOKUP(tables_5!B121,input_5!A:H,8,FALSE))</f>
        <v>260091</v>
      </c>
      <c r="M121" s="67">
        <f t="shared" si="3"/>
        <v>1.2516891891891892E-2</v>
      </c>
      <c r="N121" s="31">
        <f>IFERROR(VLOOKUP($D121,bug_conf_sheet!$A:$H,3,FALSE),VLOOKUP("other",bug_conf_sheet!$A:$H,3,FALSE))</f>
        <v>1</v>
      </c>
      <c r="O121" s="31">
        <f>IFERROR(VLOOKUP($D121,bug_conf_sheet!$A:$H,4,FALSE),VLOOKUP("other",bug_conf_sheet!$A:$H,4,FALSE))</f>
        <v>0</v>
      </c>
      <c r="P121" s="31">
        <f>IFERROR(VLOOKUP($D121,bug_conf_sheet!$A:$H,5,FALSE),VLOOKUP("other",bug_conf_sheet!$A:$H,5,FALSE))</f>
        <v>0</v>
      </c>
      <c r="Q121" s="31">
        <f>IFERROR(VLOOKUP($D121,bug_conf_sheet!$A:$H,6,FALSE),VLOOKUP("other",bug_conf_sheet!$A:$H,6,FALSE))</f>
        <v>0</v>
      </c>
      <c r="R121" s="31">
        <f>IFERROR(VLOOKUP($D121,bug_conf_sheet!$A:$H,7,FALSE),VLOOKUP("other",bug_conf_sheet!$A:$H,7,FALSE))</f>
        <v>0</v>
      </c>
      <c r="S121" s="31">
        <f>IFERROR(VLOOKUP($D121,bug_conf_sheet!$A:$H,8,FALSE),VLOOKUP("other",bug_conf_sheet!$A:$H,8,FALSE))</f>
        <v>1</v>
      </c>
    </row>
    <row r="122" spans="1:19" ht="21" customHeight="1">
      <c r="A122" s="2">
        <f>input_5!A$2</f>
        <v>3125</v>
      </c>
      <c r="B122" s="7" t="str">
        <f t="shared" si="4"/>
        <v>Premium5</v>
      </c>
      <c r="C122" s="7" t="str">
        <f t="shared" si="5"/>
        <v>Premium</v>
      </c>
      <c r="D122" s="5">
        <v>246</v>
      </c>
      <c r="E122" s="7" t="str">
        <f>VLOOKUP(D122,[1]characters!$A:$C,3,FALSE)</f>
        <v>真癒の天使 ラファエル・メディカ</v>
      </c>
      <c r="F122" s="7" t="str">
        <f>VLOOKUP(D122,[1]characters!$A:$J,10,FALSE)</f>
        <v>PremiumS</v>
      </c>
      <c r="G122" s="7">
        <f>VLOOKUP(D122,[1]characters!$A:$I,9,FALSE)</f>
        <v>5</v>
      </c>
      <c r="H122" s="7" t="str">
        <f>VLOOKUP(D122,[1]characters!$A:$H,8,FALSE)</f>
        <v>blue</v>
      </c>
      <c r="I122" s="7" t="str">
        <f>VLOOKUP(D122,[1]characters!$A:$K,11,FALSE)</f>
        <v>balance</v>
      </c>
      <c r="J122" s="7" t="str">
        <f>VLOOKUP(D122,[1]characters!$A:$M,13,FALSE)</f>
        <v>machine</v>
      </c>
      <c r="K122" s="7" t="str">
        <f>VLOOKUP(D122,[1]characters!$A:$G,7,FALSE)</f>
        <v>女性</v>
      </c>
      <c r="L122" s="66">
        <f>IFERROR(VLOOKUP(D122,input_5!L:R,7,FALSE),VLOOKUP(tables_5!B122,input_5!A:H,8,FALSE))</f>
        <v>18759</v>
      </c>
      <c r="M122" s="67">
        <f t="shared" si="3"/>
        <v>9.0277777777777774E-4</v>
      </c>
      <c r="N122" s="31">
        <f>IFERROR(VLOOKUP($D122,bug_conf_sheet!$A:$H,3,FALSE),VLOOKUP("other",bug_conf_sheet!$A:$H,3,FALSE))</f>
        <v>1</v>
      </c>
      <c r="O122" s="31">
        <f>IFERROR(VLOOKUP($D122,bug_conf_sheet!$A:$H,4,FALSE),VLOOKUP("other",bug_conf_sheet!$A:$H,4,FALSE))</f>
        <v>0</v>
      </c>
      <c r="P122" s="31">
        <f>IFERROR(VLOOKUP($D122,bug_conf_sheet!$A:$H,5,FALSE),VLOOKUP("other",bug_conf_sheet!$A:$H,5,FALSE))</f>
        <v>0</v>
      </c>
      <c r="Q122" s="31">
        <f>IFERROR(VLOOKUP($D122,bug_conf_sheet!$A:$H,6,FALSE),VLOOKUP("other",bug_conf_sheet!$A:$H,6,FALSE))</f>
        <v>0</v>
      </c>
      <c r="R122" s="31">
        <f>IFERROR(VLOOKUP($D122,bug_conf_sheet!$A:$H,7,FALSE),VLOOKUP("other",bug_conf_sheet!$A:$H,7,FALSE))</f>
        <v>0</v>
      </c>
      <c r="S122" s="31">
        <f>IFERROR(VLOOKUP($D122,bug_conf_sheet!$A:$H,8,FALSE),VLOOKUP("other",bug_conf_sheet!$A:$H,8,FALSE))</f>
        <v>1</v>
      </c>
    </row>
    <row r="123" spans="1:19" ht="21" customHeight="1">
      <c r="A123" s="2">
        <f>input_5!A$2</f>
        <v>3125</v>
      </c>
      <c r="B123" s="7" t="str">
        <f t="shared" si="4"/>
        <v>Premium3</v>
      </c>
      <c r="C123" s="7" t="str">
        <f t="shared" si="5"/>
        <v>Premium</v>
      </c>
      <c r="D123" s="5">
        <v>247</v>
      </c>
      <c r="E123" s="7" t="str">
        <f>VLOOKUP(D123,[1]characters!$A:$C,3,FALSE)</f>
        <v>ミカエル</v>
      </c>
      <c r="F123" s="7" t="str">
        <f>VLOOKUP(D123,[1]characters!$A:$J,10,FALSE)</f>
        <v>PremiumS</v>
      </c>
      <c r="G123" s="7">
        <f>VLOOKUP(D123,[1]characters!$A:$I,9,FALSE)</f>
        <v>3</v>
      </c>
      <c r="H123" s="7" t="str">
        <f>VLOOKUP(D123,[1]characters!$A:$H,8,FALSE)</f>
        <v>yellow</v>
      </c>
      <c r="I123" s="7" t="str">
        <f>VLOOKUP(D123,[1]characters!$A:$K,11,FALSE)</f>
        <v>attack</v>
      </c>
      <c r="J123" s="7" t="str">
        <f>VLOOKUP(D123,[1]characters!$A:$M,13,FALSE)</f>
        <v>machine</v>
      </c>
      <c r="K123" s="7" t="str">
        <f>VLOOKUP(D123,[1]characters!$A:$G,7,FALSE)</f>
        <v>女性</v>
      </c>
      <c r="L123" s="66">
        <f>IFERROR(VLOOKUP(D123,input_5!L:R,7,FALSE),VLOOKUP(tables_5!B123,input_5!A:H,8,FALSE))</f>
        <v>0</v>
      </c>
      <c r="M123" s="67">
        <f t="shared" si="3"/>
        <v>0</v>
      </c>
      <c r="N123" s="31">
        <f>IFERROR(VLOOKUP($D123,bug_conf_sheet!$A:$H,3,FALSE),VLOOKUP("other",bug_conf_sheet!$A:$H,3,FALSE))</f>
        <v>1</v>
      </c>
      <c r="O123" s="31">
        <f>IFERROR(VLOOKUP($D123,bug_conf_sheet!$A:$H,4,FALSE),VLOOKUP("other",bug_conf_sheet!$A:$H,4,FALSE))</f>
        <v>0</v>
      </c>
      <c r="P123" s="31">
        <f>IFERROR(VLOOKUP($D123,bug_conf_sheet!$A:$H,5,FALSE),VLOOKUP("other",bug_conf_sheet!$A:$H,5,FALSE))</f>
        <v>0</v>
      </c>
      <c r="Q123" s="31">
        <f>IFERROR(VLOOKUP($D123,bug_conf_sheet!$A:$H,6,FALSE),VLOOKUP("other",bug_conf_sheet!$A:$H,6,FALSE))</f>
        <v>0</v>
      </c>
      <c r="R123" s="31">
        <f>IFERROR(VLOOKUP($D123,bug_conf_sheet!$A:$H,7,FALSE),VLOOKUP("other",bug_conf_sheet!$A:$H,7,FALSE))</f>
        <v>0</v>
      </c>
      <c r="S123" s="31">
        <f>IFERROR(VLOOKUP($D123,bug_conf_sheet!$A:$H,8,FALSE),VLOOKUP("other",bug_conf_sheet!$A:$H,8,FALSE))</f>
        <v>1</v>
      </c>
    </row>
    <row r="124" spans="1:19" ht="21" customHeight="1">
      <c r="A124" s="2">
        <f>input_5!A$2</f>
        <v>3125</v>
      </c>
      <c r="B124" s="7" t="str">
        <f t="shared" si="4"/>
        <v>Premium4</v>
      </c>
      <c r="C124" s="7" t="str">
        <f t="shared" si="5"/>
        <v>Premium</v>
      </c>
      <c r="D124" s="5">
        <v>248</v>
      </c>
      <c r="E124" s="7" t="str">
        <f>VLOOKUP(D124,[1]characters!$A:$C,3,FALSE)</f>
        <v>彩電の天使 ミカエル</v>
      </c>
      <c r="F124" s="7" t="str">
        <f>VLOOKUP(D124,[1]characters!$A:$J,10,FALSE)</f>
        <v>PremiumS</v>
      </c>
      <c r="G124" s="7">
        <f>VLOOKUP(D124,[1]characters!$A:$I,9,FALSE)</f>
        <v>4</v>
      </c>
      <c r="H124" s="7" t="str">
        <f>VLOOKUP(D124,[1]characters!$A:$H,8,FALSE)</f>
        <v>yellow</v>
      </c>
      <c r="I124" s="7" t="str">
        <f>VLOOKUP(D124,[1]characters!$A:$K,11,FALSE)</f>
        <v>attack</v>
      </c>
      <c r="J124" s="7" t="str">
        <f>VLOOKUP(D124,[1]characters!$A:$M,13,FALSE)</f>
        <v>machine</v>
      </c>
      <c r="K124" s="7" t="str">
        <f>VLOOKUP(D124,[1]characters!$A:$G,7,FALSE)</f>
        <v>女性</v>
      </c>
      <c r="L124" s="66">
        <f>IFERROR(VLOOKUP(D124,input_5!L:R,7,FALSE),VLOOKUP(tables_5!B124,input_5!A:H,8,FALSE))</f>
        <v>260091</v>
      </c>
      <c r="M124" s="67">
        <f t="shared" si="3"/>
        <v>1.2516891891891892E-2</v>
      </c>
      <c r="N124" s="31">
        <f>IFERROR(VLOOKUP($D124,bug_conf_sheet!$A:$H,3,FALSE),VLOOKUP("other",bug_conf_sheet!$A:$H,3,FALSE))</f>
        <v>1</v>
      </c>
      <c r="O124" s="31">
        <f>IFERROR(VLOOKUP($D124,bug_conf_sheet!$A:$H,4,FALSE),VLOOKUP("other",bug_conf_sheet!$A:$H,4,FALSE))</f>
        <v>0</v>
      </c>
      <c r="P124" s="31">
        <f>IFERROR(VLOOKUP($D124,bug_conf_sheet!$A:$H,5,FALSE),VLOOKUP("other",bug_conf_sheet!$A:$H,5,FALSE))</f>
        <v>0</v>
      </c>
      <c r="Q124" s="31">
        <f>IFERROR(VLOOKUP($D124,bug_conf_sheet!$A:$H,6,FALSE),VLOOKUP("other",bug_conf_sheet!$A:$H,6,FALSE))</f>
        <v>0</v>
      </c>
      <c r="R124" s="31">
        <f>IFERROR(VLOOKUP($D124,bug_conf_sheet!$A:$H,7,FALSE),VLOOKUP("other",bug_conf_sheet!$A:$H,7,FALSE))</f>
        <v>0</v>
      </c>
      <c r="S124" s="31">
        <f>IFERROR(VLOOKUP($D124,bug_conf_sheet!$A:$H,8,FALSE),VLOOKUP("other",bug_conf_sheet!$A:$H,8,FALSE))</f>
        <v>1</v>
      </c>
    </row>
    <row r="125" spans="1:19" ht="21" customHeight="1">
      <c r="A125" s="2">
        <f>input_5!A$2</f>
        <v>3125</v>
      </c>
      <c r="B125" s="7" t="str">
        <f t="shared" si="4"/>
        <v>Premium5</v>
      </c>
      <c r="C125" s="7" t="str">
        <f t="shared" si="5"/>
        <v>Premium</v>
      </c>
      <c r="D125" s="6">
        <v>249</v>
      </c>
      <c r="E125" s="7" t="str">
        <f>VLOOKUP(D125,[1]characters!$A:$C,3,FALSE)</f>
        <v>雷電の天使 ミカエル・ゲイナー</v>
      </c>
      <c r="F125" s="7" t="str">
        <f>VLOOKUP(D125,[1]characters!$A:$J,10,FALSE)</f>
        <v>PremiumS</v>
      </c>
      <c r="G125" s="7">
        <f>VLOOKUP(D125,[1]characters!$A:$I,9,FALSE)</f>
        <v>5</v>
      </c>
      <c r="H125" s="7" t="str">
        <f>VLOOKUP(D125,[1]characters!$A:$H,8,FALSE)</f>
        <v>yellow</v>
      </c>
      <c r="I125" s="7" t="str">
        <f>VLOOKUP(D125,[1]characters!$A:$K,11,FALSE)</f>
        <v>attack</v>
      </c>
      <c r="J125" s="7" t="str">
        <f>VLOOKUP(D125,[1]characters!$A:$M,13,FALSE)</f>
        <v>machine</v>
      </c>
      <c r="K125" s="7" t="str">
        <f>VLOOKUP(D125,[1]characters!$A:$G,7,FALSE)</f>
        <v>女性</v>
      </c>
      <c r="L125" s="66">
        <f>IFERROR(VLOOKUP(D125,input_5!L:R,7,FALSE),VLOOKUP(tables_5!B125,input_5!A:H,8,FALSE))</f>
        <v>18759</v>
      </c>
      <c r="M125" s="67">
        <f t="shared" si="3"/>
        <v>9.0277777777777774E-4</v>
      </c>
      <c r="N125" s="31">
        <f>IFERROR(VLOOKUP($D125,bug_conf_sheet!$A:$H,3,FALSE),VLOOKUP("other",bug_conf_sheet!$A:$H,3,FALSE))</f>
        <v>1</v>
      </c>
      <c r="O125" s="31">
        <f>IFERROR(VLOOKUP($D125,bug_conf_sheet!$A:$H,4,FALSE),VLOOKUP("other",bug_conf_sheet!$A:$H,4,FALSE))</f>
        <v>0</v>
      </c>
      <c r="P125" s="31">
        <f>IFERROR(VLOOKUP($D125,bug_conf_sheet!$A:$H,5,FALSE),VLOOKUP("other",bug_conf_sheet!$A:$H,5,FALSE))</f>
        <v>0</v>
      </c>
      <c r="Q125" s="31">
        <f>IFERROR(VLOOKUP($D125,bug_conf_sheet!$A:$H,6,FALSE),VLOOKUP("other",bug_conf_sheet!$A:$H,6,FALSE))</f>
        <v>0</v>
      </c>
      <c r="R125" s="31">
        <f>IFERROR(VLOOKUP($D125,bug_conf_sheet!$A:$H,7,FALSE),VLOOKUP("other",bug_conf_sheet!$A:$H,7,FALSE))</f>
        <v>0</v>
      </c>
      <c r="S125" s="31">
        <f>IFERROR(VLOOKUP($D125,bug_conf_sheet!$A:$H,8,FALSE),VLOOKUP("other",bug_conf_sheet!$A:$H,8,FALSE))</f>
        <v>1</v>
      </c>
    </row>
    <row r="126" spans="1:19" ht="21" customHeight="1">
      <c r="A126" s="2">
        <f>input_5!A$2</f>
        <v>3125</v>
      </c>
      <c r="B126" s="7" t="str">
        <f t="shared" si="4"/>
        <v>Premium3</v>
      </c>
      <c r="C126" s="7" t="str">
        <f t="shared" si="5"/>
        <v>Premium</v>
      </c>
      <c r="D126" s="6">
        <v>250</v>
      </c>
      <c r="E126" s="7" t="str">
        <f>VLOOKUP(D126,[1]characters!$A:$C,3,FALSE)</f>
        <v>マンモン</v>
      </c>
      <c r="F126" s="7" t="str">
        <f>VLOOKUP(D126,[1]characters!$A:$J,10,FALSE)</f>
        <v>PremiumS</v>
      </c>
      <c r="G126" s="7">
        <f>VLOOKUP(D126,[1]characters!$A:$I,9,FALSE)</f>
        <v>3</v>
      </c>
      <c r="H126" s="7" t="str">
        <f>VLOOKUP(D126,[1]characters!$A:$H,8,FALSE)</f>
        <v>red</v>
      </c>
      <c r="I126" s="7" t="str">
        <f>VLOOKUP(D126,[1]characters!$A:$K,11,FALSE)</f>
        <v>balance</v>
      </c>
      <c r="J126" s="7" t="str">
        <f>VLOOKUP(D126,[1]characters!$A:$M,13,FALSE)</f>
        <v>god</v>
      </c>
      <c r="K126" s="7" t="str">
        <f>VLOOKUP(D126,[1]characters!$A:$G,7,FALSE)</f>
        <v>女性</v>
      </c>
      <c r="L126" s="66">
        <f>IFERROR(VLOOKUP(D126,input_5!L:R,7,FALSE),VLOOKUP(tables_5!B126,input_5!A:H,8,FALSE))</f>
        <v>0</v>
      </c>
      <c r="M126" s="67">
        <f t="shared" si="3"/>
        <v>0</v>
      </c>
      <c r="N126" s="31">
        <f>IFERROR(VLOOKUP($D126,bug_conf_sheet!$A:$H,3,FALSE),VLOOKUP("other",bug_conf_sheet!$A:$H,3,FALSE))</f>
        <v>1</v>
      </c>
      <c r="O126" s="31">
        <f>IFERROR(VLOOKUP($D126,bug_conf_sheet!$A:$H,4,FALSE),VLOOKUP("other",bug_conf_sheet!$A:$H,4,FALSE))</f>
        <v>0</v>
      </c>
      <c r="P126" s="31">
        <f>IFERROR(VLOOKUP($D126,bug_conf_sheet!$A:$H,5,FALSE),VLOOKUP("other",bug_conf_sheet!$A:$H,5,FALSE))</f>
        <v>0</v>
      </c>
      <c r="Q126" s="31">
        <f>IFERROR(VLOOKUP($D126,bug_conf_sheet!$A:$H,6,FALSE),VLOOKUP("other",bug_conf_sheet!$A:$H,6,FALSE))</f>
        <v>0</v>
      </c>
      <c r="R126" s="31">
        <f>IFERROR(VLOOKUP($D126,bug_conf_sheet!$A:$H,7,FALSE),VLOOKUP("other",bug_conf_sheet!$A:$H,7,FALSE))</f>
        <v>0</v>
      </c>
      <c r="S126" s="31">
        <f>IFERROR(VLOOKUP($D126,bug_conf_sheet!$A:$H,8,FALSE),VLOOKUP("other",bug_conf_sheet!$A:$H,8,FALSE))</f>
        <v>1</v>
      </c>
    </row>
    <row r="127" spans="1:19" ht="21" customHeight="1">
      <c r="A127" s="2">
        <f>input_5!A$2</f>
        <v>3125</v>
      </c>
      <c r="B127" s="7" t="str">
        <f t="shared" si="4"/>
        <v>Premium4</v>
      </c>
      <c r="C127" s="7" t="str">
        <f t="shared" si="5"/>
        <v>Premium</v>
      </c>
      <c r="D127" s="6">
        <v>251</v>
      </c>
      <c r="E127" s="7" t="str">
        <f>VLOOKUP(D127,[1]characters!$A:$C,3,FALSE)</f>
        <v>強欲 マンモン</v>
      </c>
      <c r="F127" s="7" t="str">
        <f>VLOOKUP(D127,[1]characters!$A:$J,10,FALSE)</f>
        <v>PremiumS</v>
      </c>
      <c r="G127" s="7">
        <f>VLOOKUP(D127,[1]characters!$A:$I,9,FALSE)</f>
        <v>4</v>
      </c>
      <c r="H127" s="7" t="str">
        <f>VLOOKUP(D127,[1]characters!$A:$H,8,FALSE)</f>
        <v>red</v>
      </c>
      <c r="I127" s="7" t="str">
        <f>VLOOKUP(D127,[1]characters!$A:$K,11,FALSE)</f>
        <v>balance</v>
      </c>
      <c r="J127" s="7" t="str">
        <f>VLOOKUP(D127,[1]characters!$A:$M,13,FALSE)</f>
        <v>god</v>
      </c>
      <c r="K127" s="7" t="str">
        <f>VLOOKUP(D127,[1]characters!$A:$G,7,FALSE)</f>
        <v>女性</v>
      </c>
      <c r="L127" s="66">
        <f>IFERROR(VLOOKUP(D127,input_5!L:R,7,FALSE),VLOOKUP(tables_5!B127,input_5!A:H,8,FALSE))</f>
        <v>260091</v>
      </c>
      <c r="M127" s="67">
        <f t="shared" si="3"/>
        <v>1.2516891891891892E-2</v>
      </c>
      <c r="N127" s="31">
        <f>IFERROR(VLOOKUP($D127,bug_conf_sheet!$A:$H,3,FALSE),VLOOKUP("other",bug_conf_sheet!$A:$H,3,FALSE))</f>
        <v>1</v>
      </c>
      <c r="O127" s="31">
        <f>IFERROR(VLOOKUP($D127,bug_conf_sheet!$A:$H,4,FALSE),VLOOKUP("other",bug_conf_sheet!$A:$H,4,FALSE))</f>
        <v>0</v>
      </c>
      <c r="P127" s="31">
        <f>IFERROR(VLOOKUP($D127,bug_conf_sheet!$A:$H,5,FALSE),VLOOKUP("other",bug_conf_sheet!$A:$H,5,FALSE))</f>
        <v>0</v>
      </c>
      <c r="Q127" s="31">
        <f>IFERROR(VLOOKUP($D127,bug_conf_sheet!$A:$H,6,FALSE),VLOOKUP("other",bug_conf_sheet!$A:$H,6,FALSE))</f>
        <v>0</v>
      </c>
      <c r="R127" s="31">
        <f>IFERROR(VLOOKUP($D127,bug_conf_sheet!$A:$H,7,FALSE),VLOOKUP("other",bug_conf_sheet!$A:$H,7,FALSE))</f>
        <v>0</v>
      </c>
      <c r="S127" s="31">
        <f>IFERROR(VLOOKUP($D127,bug_conf_sheet!$A:$H,8,FALSE),VLOOKUP("other",bug_conf_sheet!$A:$H,8,FALSE))</f>
        <v>1</v>
      </c>
    </row>
    <row r="128" spans="1:19" ht="21" customHeight="1">
      <c r="A128" s="2">
        <f>input_5!A$2</f>
        <v>3125</v>
      </c>
      <c r="B128" s="7" t="str">
        <f t="shared" si="4"/>
        <v>Premium5</v>
      </c>
      <c r="C128" s="7" t="str">
        <f t="shared" si="5"/>
        <v>Premium</v>
      </c>
      <c r="D128" s="6">
        <v>252</v>
      </c>
      <c r="E128" s="7" t="str">
        <f>VLOOKUP(D128,[1]characters!$A:$C,3,FALSE)</f>
        <v>強欲の沸騰 マンモン</v>
      </c>
      <c r="F128" s="7" t="str">
        <f>VLOOKUP(D128,[1]characters!$A:$J,10,FALSE)</f>
        <v>PremiumS</v>
      </c>
      <c r="G128" s="7">
        <f>VLOOKUP(D128,[1]characters!$A:$I,9,FALSE)</f>
        <v>5</v>
      </c>
      <c r="H128" s="7" t="str">
        <f>VLOOKUP(D128,[1]characters!$A:$H,8,FALSE)</f>
        <v>red</v>
      </c>
      <c r="I128" s="7" t="str">
        <f>VLOOKUP(D128,[1]characters!$A:$K,11,FALSE)</f>
        <v>balance</v>
      </c>
      <c r="J128" s="7" t="str">
        <f>VLOOKUP(D128,[1]characters!$A:$M,13,FALSE)</f>
        <v>god</v>
      </c>
      <c r="K128" s="7" t="str">
        <f>VLOOKUP(D128,[1]characters!$A:$G,7,FALSE)</f>
        <v>女性</v>
      </c>
      <c r="L128" s="66">
        <f>IFERROR(VLOOKUP(D128,input_5!L:R,7,FALSE),VLOOKUP(tables_5!B128,input_5!A:H,8,FALSE))</f>
        <v>18759</v>
      </c>
      <c r="M128" s="67">
        <f t="shared" si="3"/>
        <v>9.0277777777777774E-4</v>
      </c>
      <c r="N128" s="31">
        <f>IFERROR(VLOOKUP($D128,bug_conf_sheet!$A:$H,3,FALSE),VLOOKUP("other",bug_conf_sheet!$A:$H,3,FALSE))</f>
        <v>1</v>
      </c>
      <c r="O128" s="31">
        <f>IFERROR(VLOOKUP($D128,bug_conf_sheet!$A:$H,4,FALSE),VLOOKUP("other",bug_conf_sheet!$A:$H,4,FALSE))</f>
        <v>0</v>
      </c>
      <c r="P128" s="31">
        <f>IFERROR(VLOOKUP($D128,bug_conf_sheet!$A:$H,5,FALSE),VLOOKUP("other",bug_conf_sheet!$A:$H,5,FALSE))</f>
        <v>0</v>
      </c>
      <c r="Q128" s="31">
        <f>IFERROR(VLOOKUP($D128,bug_conf_sheet!$A:$H,6,FALSE),VLOOKUP("other",bug_conf_sheet!$A:$H,6,FALSE))</f>
        <v>0</v>
      </c>
      <c r="R128" s="31">
        <f>IFERROR(VLOOKUP($D128,bug_conf_sheet!$A:$H,7,FALSE),VLOOKUP("other",bug_conf_sheet!$A:$H,7,FALSE))</f>
        <v>0</v>
      </c>
      <c r="S128" s="31">
        <f>IFERROR(VLOOKUP($D128,bug_conf_sheet!$A:$H,8,FALSE),VLOOKUP("other",bug_conf_sheet!$A:$H,8,FALSE))</f>
        <v>1</v>
      </c>
    </row>
    <row r="129" spans="1:19" ht="21" customHeight="1">
      <c r="A129" s="2">
        <f>input_5!A$2</f>
        <v>3125</v>
      </c>
      <c r="B129" s="7" t="str">
        <f t="shared" si="4"/>
        <v>Premium3</v>
      </c>
      <c r="C129" s="7" t="str">
        <f t="shared" si="5"/>
        <v>Premium</v>
      </c>
      <c r="D129" s="6">
        <v>253</v>
      </c>
      <c r="E129" s="7" t="str">
        <f>VLOOKUP(D129,[1]characters!$A:$C,3,FALSE)</f>
        <v>ベルフェゴール</v>
      </c>
      <c r="F129" s="7" t="str">
        <f>VLOOKUP(D129,[1]characters!$A:$J,10,FALSE)</f>
        <v>PremiumS</v>
      </c>
      <c r="G129" s="7">
        <f>VLOOKUP(D129,[1]characters!$A:$I,9,FALSE)</f>
        <v>3</v>
      </c>
      <c r="H129" s="7" t="str">
        <f>VLOOKUP(D129,[1]characters!$A:$H,8,FALSE)</f>
        <v>green</v>
      </c>
      <c r="I129" s="7" t="str">
        <f>VLOOKUP(D129,[1]characters!$A:$K,11,FALSE)</f>
        <v>technical</v>
      </c>
      <c r="J129" s="7" t="str">
        <f>VLOOKUP(D129,[1]characters!$A:$M,13,FALSE)</f>
        <v>god</v>
      </c>
      <c r="K129" s="7" t="str">
        <f>VLOOKUP(D129,[1]characters!$A:$G,7,FALSE)</f>
        <v>女性</v>
      </c>
      <c r="L129" s="66">
        <f>IFERROR(VLOOKUP(D129,input_5!L:R,7,FALSE),VLOOKUP(tables_5!B129,input_5!A:H,8,FALSE))</f>
        <v>0</v>
      </c>
      <c r="M129" s="67">
        <f t="shared" si="3"/>
        <v>0</v>
      </c>
      <c r="N129" s="31">
        <f>IFERROR(VLOOKUP($D129,bug_conf_sheet!$A:$H,3,FALSE),VLOOKUP("other",bug_conf_sheet!$A:$H,3,FALSE))</f>
        <v>1</v>
      </c>
      <c r="O129" s="31">
        <f>IFERROR(VLOOKUP($D129,bug_conf_sheet!$A:$H,4,FALSE),VLOOKUP("other",bug_conf_sheet!$A:$H,4,FALSE))</f>
        <v>0</v>
      </c>
      <c r="P129" s="31">
        <f>IFERROR(VLOOKUP($D129,bug_conf_sheet!$A:$H,5,FALSE),VLOOKUP("other",bug_conf_sheet!$A:$H,5,FALSE))</f>
        <v>0</v>
      </c>
      <c r="Q129" s="31">
        <f>IFERROR(VLOOKUP($D129,bug_conf_sheet!$A:$H,6,FALSE),VLOOKUP("other",bug_conf_sheet!$A:$H,6,FALSE))</f>
        <v>0</v>
      </c>
      <c r="R129" s="31">
        <f>IFERROR(VLOOKUP($D129,bug_conf_sheet!$A:$H,7,FALSE),VLOOKUP("other",bug_conf_sheet!$A:$H,7,FALSE))</f>
        <v>0</v>
      </c>
      <c r="S129" s="31">
        <f>IFERROR(VLOOKUP($D129,bug_conf_sheet!$A:$H,8,FALSE),VLOOKUP("other",bug_conf_sheet!$A:$H,8,FALSE))</f>
        <v>1</v>
      </c>
    </row>
    <row r="130" spans="1:19" ht="21" customHeight="1">
      <c r="A130" s="2">
        <f>input_5!A$2</f>
        <v>3125</v>
      </c>
      <c r="B130" s="7" t="str">
        <f t="shared" si="4"/>
        <v>Premium4</v>
      </c>
      <c r="C130" s="7" t="str">
        <f t="shared" si="5"/>
        <v>Premium</v>
      </c>
      <c r="D130" s="6">
        <v>254</v>
      </c>
      <c r="E130" s="7" t="str">
        <f>VLOOKUP(D130,[1]characters!$A:$C,3,FALSE)</f>
        <v>怠惰 ベルフェゴール</v>
      </c>
      <c r="F130" s="7" t="str">
        <f>VLOOKUP(D130,[1]characters!$A:$J,10,FALSE)</f>
        <v>PremiumS</v>
      </c>
      <c r="G130" s="7">
        <f>VLOOKUP(D130,[1]characters!$A:$I,9,FALSE)</f>
        <v>4</v>
      </c>
      <c r="H130" s="7" t="str">
        <f>VLOOKUP(D130,[1]characters!$A:$H,8,FALSE)</f>
        <v>green</v>
      </c>
      <c r="I130" s="7" t="str">
        <f>VLOOKUP(D130,[1]characters!$A:$K,11,FALSE)</f>
        <v>technical</v>
      </c>
      <c r="J130" s="7" t="str">
        <f>VLOOKUP(D130,[1]characters!$A:$M,13,FALSE)</f>
        <v>god</v>
      </c>
      <c r="K130" s="7" t="str">
        <f>VLOOKUP(D130,[1]characters!$A:$G,7,FALSE)</f>
        <v>女性</v>
      </c>
      <c r="L130" s="66">
        <f>IFERROR(VLOOKUP(D130,input_5!L:R,7,FALSE),VLOOKUP(tables_5!B130,input_5!A:H,8,FALSE))</f>
        <v>260091</v>
      </c>
      <c r="M130" s="67">
        <f t="shared" ref="M130:M193" si="6">L130/SUM(L:L)</f>
        <v>1.2516891891891892E-2</v>
      </c>
      <c r="N130" s="31">
        <f>IFERROR(VLOOKUP($D130,bug_conf_sheet!$A:$H,3,FALSE),VLOOKUP("other",bug_conf_sheet!$A:$H,3,FALSE))</f>
        <v>1</v>
      </c>
      <c r="O130" s="31">
        <f>IFERROR(VLOOKUP($D130,bug_conf_sheet!$A:$H,4,FALSE),VLOOKUP("other",bug_conf_sheet!$A:$H,4,FALSE))</f>
        <v>0</v>
      </c>
      <c r="P130" s="31">
        <f>IFERROR(VLOOKUP($D130,bug_conf_sheet!$A:$H,5,FALSE),VLOOKUP("other",bug_conf_sheet!$A:$H,5,FALSE))</f>
        <v>0</v>
      </c>
      <c r="Q130" s="31">
        <f>IFERROR(VLOOKUP($D130,bug_conf_sheet!$A:$H,6,FALSE),VLOOKUP("other",bug_conf_sheet!$A:$H,6,FALSE))</f>
        <v>0</v>
      </c>
      <c r="R130" s="31">
        <f>IFERROR(VLOOKUP($D130,bug_conf_sheet!$A:$H,7,FALSE),VLOOKUP("other",bug_conf_sheet!$A:$H,7,FALSE))</f>
        <v>0</v>
      </c>
      <c r="S130" s="31">
        <f>IFERROR(VLOOKUP($D130,bug_conf_sheet!$A:$H,8,FALSE),VLOOKUP("other",bug_conf_sheet!$A:$H,8,FALSE))</f>
        <v>1</v>
      </c>
    </row>
    <row r="131" spans="1:19" ht="21" customHeight="1">
      <c r="A131" s="2">
        <f>input_5!A$2</f>
        <v>3125</v>
      </c>
      <c r="B131" s="7" t="str">
        <f t="shared" ref="B131:B194" si="7">C131&amp;G131</f>
        <v>Premium5</v>
      </c>
      <c r="C131" s="7" t="str">
        <f t="shared" ref="C131:C194" si="8">IF(F131="PremiumSS",F131,IF(F131="PremiumSSS",F131,"Premium"))</f>
        <v>Premium</v>
      </c>
      <c r="D131" s="6">
        <v>255</v>
      </c>
      <c r="E131" s="7" t="str">
        <f>VLOOKUP(D131,[1]characters!$A:$C,3,FALSE)</f>
        <v>怠惰の頂点 ベルフェゴール</v>
      </c>
      <c r="F131" s="7" t="str">
        <f>VLOOKUP(D131,[1]characters!$A:$J,10,FALSE)</f>
        <v>PremiumS</v>
      </c>
      <c r="G131" s="7">
        <f>VLOOKUP(D131,[1]characters!$A:$I,9,FALSE)</f>
        <v>5</v>
      </c>
      <c r="H131" s="7" t="str">
        <f>VLOOKUP(D131,[1]characters!$A:$H,8,FALSE)</f>
        <v>green</v>
      </c>
      <c r="I131" s="7" t="str">
        <f>VLOOKUP(D131,[1]characters!$A:$K,11,FALSE)</f>
        <v>technical</v>
      </c>
      <c r="J131" s="7" t="str">
        <f>VLOOKUP(D131,[1]characters!$A:$M,13,FALSE)</f>
        <v>god</v>
      </c>
      <c r="K131" s="7" t="str">
        <f>VLOOKUP(D131,[1]characters!$A:$G,7,FALSE)</f>
        <v>女性</v>
      </c>
      <c r="L131" s="66">
        <f>IFERROR(VLOOKUP(D131,input_5!L:R,7,FALSE),VLOOKUP(tables_5!B131,input_5!A:H,8,FALSE))</f>
        <v>18759</v>
      </c>
      <c r="M131" s="67">
        <f t="shared" si="6"/>
        <v>9.0277777777777774E-4</v>
      </c>
      <c r="N131" s="31">
        <f>IFERROR(VLOOKUP($D131,bug_conf_sheet!$A:$H,3,FALSE),VLOOKUP("other",bug_conf_sheet!$A:$H,3,FALSE))</f>
        <v>1</v>
      </c>
      <c r="O131" s="31">
        <f>IFERROR(VLOOKUP($D131,bug_conf_sheet!$A:$H,4,FALSE),VLOOKUP("other",bug_conf_sheet!$A:$H,4,FALSE))</f>
        <v>0</v>
      </c>
      <c r="P131" s="31">
        <f>IFERROR(VLOOKUP($D131,bug_conf_sheet!$A:$H,5,FALSE),VLOOKUP("other",bug_conf_sheet!$A:$H,5,FALSE))</f>
        <v>0</v>
      </c>
      <c r="Q131" s="31">
        <f>IFERROR(VLOOKUP($D131,bug_conf_sheet!$A:$H,6,FALSE),VLOOKUP("other",bug_conf_sheet!$A:$H,6,FALSE))</f>
        <v>0</v>
      </c>
      <c r="R131" s="31">
        <f>IFERROR(VLOOKUP($D131,bug_conf_sheet!$A:$H,7,FALSE),VLOOKUP("other",bug_conf_sheet!$A:$H,7,FALSE))</f>
        <v>0</v>
      </c>
      <c r="S131" s="31">
        <f>IFERROR(VLOOKUP($D131,bug_conf_sheet!$A:$H,8,FALSE),VLOOKUP("other",bug_conf_sheet!$A:$H,8,FALSE))</f>
        <v>1</v>
      </c>
    </row>
    <row r="132" spans="1:19" ht="21" customHeight="1">
      <c r="A132" s="2">
        <f>input_5!A$2</f>
        <v>3125</v>
      </c>
      <c r="B132" s="7" t="str">
        <f t="shared" si="7"/>
        <v>Premium3</v>
      </c>
      <c r="C132" s="7" t="str">
        <f t="shared" si="8"/>
        <v>Premium</v>
      </c>
      <c r="D132" s="6">
        <v>256</v>
      </c>
      <c r="E132" s="7" t="str">
        <f>VLOOKUP(D132,[1]characters!$A:$C,3,FALSE)</f>
        <v>アスモデウス</v>
      </c>
      <c r="F132" s="7" t="str">
        <f>VLOOKUP(D132,[1]characters!$A:$J,10,FALSE)</f>
        <v>PremiumS</v>
      </c>
      <c r="G132" s="7">
        <f>VLOOKUP(D132,[1]characters!$A:$I,9,FALSE)</f>
        <v>3</v>
      </c>
      <c r="H132" s="7" t="str">
        <f>VLOOKUP(D132,[1]characters!$A:$H,8,FALSE)</f>
        <v>blue</v>
      </c>
      <c r="I132" s="7" t="str">
        <f>VLOOKUP(D132,[1]characters!$A:$K,11,FALSE)</f>
        <v>attack</v>
      </c>
      <c r="J132" s="7" t="str">
        <f>VLOOKUP(D132,[1]characters!$A:$M,13,FALSE)</f>
        <v>god</v>
      </c>
      <c r="K132" s="7" t="str">
        <f>VLOOKUP(D132,[1]characters!$A:$G,7,FALSE)</f>
        <v>女性</v>
      </c>
      <c r="L132" s="66">
        <f>IFERROR(VLOOKUP(D132,input_5!L:R,7,FALSE),VLOOKUP(tables_5!B132,input_5!A:H,8,FALSE))</f>
        <v>0</v>
      </c>
      <c r="M132" s="67">
        <f t="shared" si="6"/>
        <v>0</v>
      </c>
      <c r="N132" s="31">
        <f>IFERROR(VLOOKUP($D132,bug_conf_sheet!$A:$H,3,FALSE),VLOOKUP("other",bug_conf_sheet!$A:$H,3,FALSE))</f>
        <v>1</v>
      </c>
      <c r="O132" s="31">
        <f>IFERROR(VLOOKUP($D132,bug_conf_sheet!$A:$H,4,FALSE),VLOOKUP("other",bug_conf_sheet!$A:$H,4,FALSE))</f>
        <v>0</v>
      </c>
      <c r="P132" s="31">
        <f>IFERROR(VLOOKUP($D132,bug_conf_sheet!$A:$H,5,FALSE),VLOOKUP("other",bug_conf_sheet!$A:$H,5,FALSE))</f>
        <v>0</v>
      </c>
      <c r="Q132" s="31">
        <f>IFERROR(VLOOKUP($D132,bug_conf_sheet!$A:$H,6,FALSE),VLOOKUP("other",bug_conf_sheet!$A:$H,6,FALSE))</f>
        <v>0</v>
      </c>
      <c r="R132" s="31">
        <f>IFERROR(VLOOKUP($D132,bug_conf_sheet!$A:$H,7,FALSE),VLOOKUP("other",bug_conf_sheet!$A:$H,7,FALSE))</f>
        <v>0</v>
      </c>
      <c r="S132" s="31">
        <f>IFERROR(VLOOKUP($D132,bug_conf_sheet!$A:$H,8,FALSE),VLOOKUP("other",bug_conf_sheet!$A:$H,8,FALSE))</f>
        <v>1</v>
      </c>
    </row>
    <row r="133" spans="1:19" ht="21" customHeight="1">
      <c r="A133" s="2">
        <f>input_5!A$2</f>
        <v>3125</v>
      </c>
      <c r="B133" s="7" t="str">
        <f t="shared" si="7"/>
        <v>Premium4</v>
      </c>
      <c r="C133" s="7" t="str">
        <f t="shared" si="8"/>
        <v>Premium</v>
      </c>
      <c r="D133" s="6">
        <v>257</v>
      </c>
      <c r="E133" s="7" t="str">
        <f>VLOOKUP(D133,[1]characters!$A:$C,3,FALSE)</f>
        <v>色欲 アスモデウス</v>
      </c>
      <c r="F133" s="7" t="str">
        <f>VLOOKUP(D133,[1]characters!$A:$J,10,FALSE)</f>
        <v>PremiumS</v>
      </c>
      <c r="G133" s="7">
        <f>VLOOKUP(D133,[1]characters!$A:$I,9,FALSE)</f>
        <v>4</v>
      </c>
      <c r="H133" s="7" t="str">
        <f>VLOOKUP(D133,[1]characters!$A:$H,8,FALSE)</f>
        <v>blue</v>
      </c>
      <c r="I133" s="7" t="str">
        <f>VLOOKUP(D133,[1]characters!$A:$K,11,FALSE)</f>
        <v>attack</v>
      </c>
      <c r="J133" s="7" t="str">
        <f>VLOOKUP(D133,[1]characters!$A:$M,13,FALSE)</f>
        <v>god</v>
      </c>
      <c r="K133" s="7" t="str">
        <f>VLOOKUP(D133,[1]characters!$A:$G,7,FALSE)</f>
        <v>女性</v>
      </c>
      <c r="L133" s="66">
        <f>IFERROR(VLOOKUP(D133,input_5!L:R,7,FALSE),VLOOKUP(tables_5!B133,input_5!A:H,8,FALSE))</f>
        <v>260091</v>
      </c>
      <c r="M133" s="67">
        <f t="shared" si="6"/>
        <v>1.2516891891891892E-2</v>
      </c>
      <c r="N133" s="31">
        <f>IFERROR(VLOOKUP($D133,bug_conf_sheet!$A:$H,3,FALSE),VLOOKUP("other",bug_conf_sheet!$A:$H,3,FALSE))</f>
        <v>1</v>
      </c>
      <c r="O133" s="31">
        <f>IFERROR(VLOOKUP($D133,bug_conf_sheet!$A:$H,4,FALSE),VLOOKUP("other",bug_conf_sheet!$A:$H,4,FALSE))</f>
        <v>0</v>
      </c>
      <c r="P133" s="31">
        <f>IFERROR(VLOOKUP($D133,bug_conf_sheet!$A:$H,5,FALSE),VLOOKUP("other",bug_conf_sheet!$A:$H,5,FALSE))</f>
        <v>0</v>
      </c>
      <c r="Q133" s="31">
        <f>IFERROR(VLOOKUP($D133,bug_conf_sheet!$A:$H,6,FALSE),VLOOKUP("other",bug_conf_sheet!$A:$H,6,FALSE))</f>
        <v>0</v>
      </c>
      <c r="R133" s="31">
        <f>IFERROR(VLOOKUP($D133,bug_conf_sheet!$A:$H,7,FALSE),VLOOKUP("other",bug_conf_sheet!$A:$H,7,FALSE))</f>
        <v>0</v>
      </c>
      <c r="S133" s="31">
        <f>IFERROR(VLOOKUP($D133,bug_conf_sheet!$A:$H,8,FALSE),VLOOKUP("other",bug_conf_sheet!$A:$H,8,FALSE))</f>
        <v>1</v>
      </c>
    </row>
    <row r="134" spans="1:19" ht="21" customHeight="1">
      <c r="A134" s="2">
        <f>input_5!A$2</f>
        <v>3125</v>
      </c>
      <c r="B134" s="7" t="str">
        <f t="shared" si="7"/>
        <v>Premium5</v>
      </c>
      <c r="C134" s="7" t="str">
        <f t="shared" si="8"/>
        <v>Premium</v>
      </c>
      <c r="D134" s="6">
        <v>258</v>
      </c>
      <c r="E134" s="7" t="str">
        <f>VLOOKUP(D134,[1]characters!$A:$C,3,FALSE)</f>
        <v>色欲の源流 アスモデウス</v>
      </c>
      <c r="F134" s="7" t="str">
        <f>VLOOKUP(D134,[1]characters!$A:$J,10,FALSE)</f>
        <v>PremiumS</v>
      </c>
      <c r="G134" s="7">
        <f>VLOOKUP(D134,[1]characters!$A:$I,9,FALSE)</f>
        <v>5</v>
      </c>
      <c r="H134" s="7" t="str">
        <f>VLOOKUP(D134,[1]characters!$A:$H,8,FALSE)</f>
        <v>blue</v>
      </c>
      <c r="I134" s="7" t="str">
        <f>VLOOKUP(D134,[1]characters!$A:$K,11,FALSE)</f>
        <v>attack</v>
      </c>
      <c r="J134" s="7" t="str">
        <f>VLOOKUP(D134,[1]characters!$A:$M,13,FALSE)</f>
        <v>god</v>
      </c>
      <c r="K134" s="7" t="str">
        <f>VLOOKUP(D134,[1]characters!$A:$G,7,FALSE)</f>
        <v>女性</v>
      </c>
      <c r="L134" s="66">
        <f>IFERROR(VLOOKUP(D134,input_5!L:R,7,FALSE),VLOOKUP(tables_5!B134,input_5!A:H,8,FALSE))</f>
        <v>18759</v>
      </c>
      <c r="M134" s="67">
        <f t="shared" si="6"/>
        <v>9.0277777777777774E-4</v>
      </c>
      <c r="N134" s="31">
        <f>IFERROR(VLOOKUP($D134,bug_conf_sheet!$A:$H,3,FALSE),VLOOKUP("other",bug_conf_sheet!$A:$H,3,FALSE))</f>
        <v>1</v>
      </c>
      <c r="O134" s="31">
        <f>IFERROR(VLOOKUP($D134,bug_conf_sheet!$A:$H,4,FALSE),VLOOKUP("other",bug_conf_sheet!$A:$H,4,FALSE))</f>
        <v>0</v>
      </c>
      <c r="P134" s="31">
        <f>IFERROR(VLOOKUP($D134,bug_conf_sheet!$A:$H,5,FALSE),VLOOKUP("other",bug_conf_sheet!$A:$H,5,FALSE))</f>
        <v>0</v>
      </c>
      <c r="Q134" s="31">
        <f>IFERROR(VLOOKUP($D134,bug_conf_sheet!$A:$H,6,FALSE),VLOOKUP("other",bug_conf_sheet!$A:$H,6,FALSE))</f>
        <v>0</v>
      </c>
      <c r="R134" s="31">
        <f>IFERROR(VLOOKUP($D134,bug_conf_sheet!$A:$H,7,FALSE),VLOOKUP("other",bug_conf_sheet!$A:$H,7,FALSE))</f>
        <v>0</v>
      </c>
      <c r="S134" s="31">
        <f>IFERROR(VLOOKUP($D134,bug_conf_sheet!$A:$H,8,FALSE),VLOOKUP("other",bug_conf_sheet!$A:$H,8,FALSE))</f>
        <v>1</v>
      </c>
    </row>
    <row r="135" spans="1:19" ht="21" customHeight="1">
      <c r="A135" s="2">
        <f>input_5!A$2</f>
        <v>3125</v>
      </c>
      <c r="B135" s="7" t="str">
        <f t="shared" si="7"/>
        <v>Premium3</v>
      </c>
      <c r="C135" s="7" t="str">
        <f t="shared" si="8"/>
        <v>Premium</v>
      </c>
      <c r="D135" s="6">
        <v>259</v>
      </c>
      <c r="E135" s="7" t="str">
        <f>VLOOKUP(D135,[1]characters!$A:$C,3,FALSE)</f>
        <v>ウロボロス</v>
      </c>
      <c r="F135" s="7" t="str">
        <f>VLOOKUP(D135,[1]characters!$A:$J,10,FALSE)</f>
        <v>PremiumS</v>
      </c>
      <c r="G135" s="7">
        <f>VLOOKUP(D135,[1]characters!$A:$I,9,FALSE)</f>
        <v>3</v>
      </c>
      <c r="H135" s="7" t="str">
        <f>VLOOKUP(D135,[1]characters!$A:$H,8,FALSE)</f>
        <v>yellow</v>
      </c>
      <c r="I135" s="7" t="str">
        <f>VLOOKUP(D135,[1]characters!$A:$K,11,FALSE)</f>
        <v>balance</v>
      </c>
      <c r="J135" s="7" t="str">
        <f>VLOOKUP(D135,[1]characters!$A:$M,13,FALSE)</f>
        <v>dragon</v>
      </c>
      <c r="K135" s="7" t="str">
        <f>VLOOKUP(D135,[1]characters!$A:$G,7,FALSE)</f>
        <v>女性</v>
      </c>
      <c r="L135" s="66">
        <f>IFERROR(VLOOKUP(D135,input_5!L:R,7,FALSE),VLOOKUP(tables_5!B135,input_5!A:H,8,FALSE))</f>
        <v>0</v>
      </c>
      <c r="M135" s="67">
        <f t="shared" si="6"/>
        <v>0</v>
      </c>
      <c r="N135" s="31">
        <f>IFERROR(VLOOKUP($D135,bug_conf_sheet!$A:$H,3,FALSE),VLOOKUP("other",bug_conf_sheet!$A:$H,3,FALSE))</f>
        <v>1</v>
      </c>
      <c r="O135" s="31">
        <f>IFERROR(VLOOKUP($D135,bug_conf_sheet!$A:$H,4,FALSE),VLOOKUP("other",bug_conf_sheet!$A:$H,4,FALSE))</f>
        <v>0</v>
      </c>
      <c r="P135" s="31">
        <f>IFERROR(VLOOKUP($D135,bug_conf_sheet!$A:$H,5,FALSE),VLOOKUP("other",bug_conf_sheet!$A:$H,5,FALSE))</f>
        <v>0</v>
      </c>
      <c r="Q135" s="31">
        <f>IFERROR(VLOOKUP($D135,bug_conf_sheet!$A:$H,6,FALSE),VLOOKUP("other",bug_conf_sheet!$A:$H,6,FALSE))</f>
        <v>0</v>
      </c>
      <c r="R135" s="31">
        <f>IFERROR(VLOOKUP($D135,bug_conf_sheet!$A:$H,7,FALSE),VLOOKUP("other",bug_conf_sheet!$A:$H,7,FALSE))</f>
        <v>0</v>
      </c>
      <c r="S135" s="31">
        <f>IFERROR(VLOOKUP($D135,bug_conf_sheet!$A:$H,8,FALSE),VLOOKUP("other",bug_conf_sheet!$A:$H,8,FALSE))</f>
        <v>1</v>
      </c>
    </row>
    <row r="136" spans="1:19" ht="21" customHeight="1">
      <c r="A136" s="2">
        <f>input_5!A$2</f>
        <v>3125</v>
      </c>
      <c r="B136" s="7" t="str">
        <f t="shared" si="7"/>
        <v>Premium4</v>
      </c>
      <c r="C136" s="7" t="str">
        <f t="shared" si="8"/>
        <v>Premium</v>
      </c>
      <c r="D136" s="8">
        <v>260</v>
      </c>
      <c r="E136" s="7" t="str">
        <f>VLOOKUP(D136,[1]characters!$A:$C,3,FALSE)</f>
        <v>輪廻 ウロボロス</v>
      </c>
      <c r="F136" s="7" t="str">
        <f>VLOOKUP(D136,[1]characters!$A:$J,10,FALSE)</f>
        <v>PremiumS</v>
      </c>
      <c r="G136" s="7">
        <f>VLOOKUP(D136,[1]characters!$A:$I,9,FALSE)</f>
        <v>4</v>
      </c>
      <c r="H136" s="7" t="str">
        <f>VLOOKUP(D136,[1]characters!$A:$H,8,FALSE)</f>
        <v>yellow</v>
      </c>
      <c r="I136" s="7" t="str">
        <f>VLOOKUP(D136,[1]characters!$A:$K,11,FALSE)</f>
        <v>balance</v>
      </c>
      <c r="J136" s="7" t="str">
        <f>VLOOKUP(D136,[1]characters!$A:$M,13,FALSE)</f>
        <v>dragon</v>
      </c>
      <c r="K136" s="7" t="str">
        <f>VLOOKUP(D136,[1]characters!$A:$G,7,FALSE)</f>
        <v>女性</v>
      </c>
      <c r="L136" s="66">
        <f>IFERROR(VLOOKUP(D136,input_5!L:R,7,FALSE),VLOOKUP(tables_5!B136,input_5!A:H,8,FALSE))</f>
        <v>260091</v>
      </c>
      <c r="M136" s="67">
        <f t="shared" si="6"/>
        <v>1.2516891891891892E-2</v>
      </c>
      <c r="N136" s="31">
        <f>IFERROR(VLOOKUP($D136,bug_conf_sheet!$A:$H,3,FALSE),VLOOKUP("other",bug_conf_sheet!$A:$H,3,FALSE))</f>
        <v>1</v>
      </c>
      <c r="O136" s="31">
        <f>IFERROR(VLOOKUP($D136,bug_conf_sheet!$A:$H,4,FALSE),VLOOKUP("other",bug_conf_sheet!$A:$H,4,FALSE))</f>
        <v>0</v>
      </c>
      <c r="P136" s="31">
        <f>IFERROR(VLOOKUP($D136,bug_conf_sheet!$A:$H,5,FALSE),VLOOKUP("other",bug_conf_sheet!$A:$H,5,FALSE))</f>
        <v>0</v>
      </c>
      <c r="Q136" s="31">
        <f>IFERROR(VLOOKUP($D136,bug_conf_sheet!$A:$H,6,FALSE),VLOOKUP("other",bug_conf_sheet!$A:$H,6,FALSE))</f>
        <v>0</v>
      </c>
      <c r="R136" s="31">
        <f>IFERROR(VLOOKUP($D136,bug_conf_sheet!$A:$H,7,FALSE),VLOOKUP("other",bug_conf_sheet!$A:$H,7,FALSE))</f>
        <v>0</v>
      </c>
      <c r="S136" s="31">
        <f>IFERROR(VLOOKUP($D136,bug_conf_sheet!$A:$H,8,FALSE),VLOOKUP("other",bug_conf_sheet!$A:$H,8,FALSE))</f>
        <v>1</v>
      </c>
    </row>
    <row r="137" spans="1:19" ht="21" customHeight="1">
      <c r="A137" s="2">
        <f>input_5!A$2</f>
        <v>3125</v>
      </c>
      <c r="B137" s="7" t="str">
        <f t="shared" si="7"/>
        <v>Premium5</v>
      </c>
      <c r="C137" s="7" t="str">
        <f t="shared" si="8"/>
        <v>Premium</v>
      </c>
      <c r="D137" s="8">
        <v>261</v>
      </c>
      <c r="E137" s="7" t="str">
        <f>VLOOKUP(D137,[1]characters!$A:$C,3,FALSE)</f>
        <v>輪廻の蛇龍 ウロボロス</v>
      </c>
      <c r="F137" s="7" t="str">
        <f>VLOOKUP(D137,[1]characters!$A:$J,10,FALSE)</f>
        <v>PremiumS</v>
      </c>
      <c r="G137" s="7">
        <f>VLOOKUP(D137,[1]characters!$A:$I,9,FALSE)</f>
        <v>5</v>
      </c>
      <c r="H137" s="7" t="str">
        <f>VLOOKUP(D137,[1]characters!$A:$H,8,FALSE)</f>
        <v>yellow</v>
      </c>
      <c r="I137" s="7" t="str">
        <f>VLOOKUP(D137,[1]characters!$A:$K,11,FALSE)</f>
        <v>balance</v>
      </c>
      <c r="J137" s="7" t="str">
        <f>VLOOKUP(D137,[1]characters!$A:$M,13,FALSE)</f>
        <v>dragon</v>
      </c>
      <c r="K137" s="7" t="str">
        <f>VLOOKUP(D137,[1]characters!$A:$G,7,FALSE)</f>
        <v>女性</v>
      </c>
      <c r="L137" s="66">
        <f>IFERROR(VLOOKUP(D137,input_5!L:R,7,FALSE),VLOOKUP(tables_5!B137,input_5!A:H,8,FALSE))</f>
        <v>18759</v>
      </c>
      <c r="M137" s="67">
        <f t="shared" si="6"/>
        <v>9.0277777777777774E-4</v>
      </c>
      <c r="N137" s="31">
        <f>IFERROR(VLOOKUP($D137,bug_conf_sheet!$A:$H,3,FALSE),VLOOKUP("other",bug_conf_sheet!$A:$H,3,FALSE))</f>
        <v>1</v>
      </c>
      <c r="O137" s="31">
        <f>IFERROR(VLOOKUP($D137,bug_conf_sheet!$A:$H,4,FALSE),VLOOKUP("other",bug_conf_sheet!$A:$H,4,FALSE))</f>
        <v>0</v>
      </c>
      <c r="P137" s="31">
        <f>IFERROR(VLOOKUP($D137,bug_conf_sheet!$A:$H,5,FALSE),VLOOKUP("other",bug_conf_sheet!$A:$H,5,FALSE))</f>
        <v>0</v>
      </c>
      <c r="Q137" s="31">
        <f>IFERROR(VLOOKUP($D137,bug_conf_sheet!$A:$H,6,FALSE),VLOOKUP("other",bug_conf_sheet!$A:$H,6,FALSE))</f>
        <v>0</v>
      </c>
      <c r="R137" s="31">
        <f>IFERROR(VLOOKUP($D137,bug_conf_sheet!$A:$H,7,FALSE),VLOOKUP("other",bug_conf_sheet!$A:$H,7,FALSE))</f>
        <v>0</v>
      </c>
      <c r="S137" s="31">
        <f>IFERROR(VLOOKUP($D137,bug_conf_sheet!$A:$H,8,FALSE),VLOOKUP("other",bug_conf_sheet!$A:$H,8,FALSE))</f>
        <v>1</v>
      </c>
    </row>
    <row r="138" spans="1:19" ht="21" customHeight="1">
      <c r="A138" s="2">
        <f>input_5!A$2</f>
        <v>3125</v>
      </c>
      <c r="B138" s="7" t="str">
        <f t="shared" si="7"/>
        <v>PremiumSS4</v>
      </c>
      <c r="C138" s="7" t="str">
        <f t="shared" si="8"/>
        <v>PremiumSS</v>
      </c>
      <c r="D138" s="6">
        <v>320</v>
      </c>
      <c r="E138" s="7" t="str">
        <f>VLOOKUP(D138,[1]characters!$A:$C,3,FALSE)</f>
        <v>烈志士 近藤勇</v>
      </c>
      <c r="F138" s="7" t="str">
        <f>VLOOKUP(D138,[1]characters!$A:$J,10,FALSE)</f>
        <v>PremiumSS</v>
      </c>
      <c r="G138" s="7">
        <f>VLOOKUP(D138,[1]characters!$A:$I,9,FALSE)</f>
        <v>4</v>
      </c>
      <c r="H138" s="7" t="str">
        <f>VLOOKUP(D138,[1]characters!$A:$H,8,FALSE)</f>
        <v>red</v>
      </c>
      <c r="I138" s="7" t="str">
        <f>VLOOKUP(D138,[1]characters!$A:$K,11,FALSE)</f>
        <v>hp</v>
      </c>
      <c r="J138" s="7" t="str">
        <f>VLOOKUP(D138,[1]characters!$A:$M,13,FALSE)</f>
        <v>human</v>
      </c>
      <c r="K138" s="7" t="str">
        <f>VLOOKUP(D138,[1]characters!$A:$G,7,FALSE)</f>
        <v>男性</v>
      </c>
      <c r="L138" s="66">
        <f>IFERROR(VLOOKUP(D138,input_5!L:R,7,FALSE),VLOOKUP(tables_5!B138,input_5!A:H,8,FALSE))</f>
        <v>18981</v>
      </c>
      <c r="M138" s="67">
        <f t="shared" si="6"/>
        <v>9.1346153846153845E-4</v>
      </c>
      <c r="N138" s="31">
        <f>IFERROR(VLOOKUP($D138,bug_conf_sheet!$A:$H,3,FALSE),VLOOKUP("other",bug_conf_sheet!$A:$H,3,FALSE))</f>
        <v>1</v>
      </c>
      <c r="O138" s="31">
        <f>IFERROR(VLOOKUP($D138,bug_conf_sheet!$A:$H,4,FALSE),VLOOKUP("other",bug_conf_sheet!$A:$H,4,FALSE))</f>
        <v>0</v>
      </c>
      <c r="P138" s="31">
        <f>IFERROR(VLOOKUP($D138,bug_conf_sheet!$A:$H,5,FALSE),VLOOKUP("other",bug_conf_sheet!$A:$H,5,FALSE))</f>
        <v>0</v>
      </c>
      <c r="Q138" s="31">
        <f>IFERROR(VLOOKUP($D138,bug_conf_sheet!$A:$H,6,FALSE),VLOOKUP("other",bug_conf_sheet!$A:$H,6,FALSE))</f>
        <v>0</v>
      </c>
      <c r="R138" s="31">
        <f>IFERROR(VLOOKUP($D138,bug_conf_sheet!$A:$H,7,FALSE),VLOOKUP("other",bug_conf_sheet!$A:$H,7,FALSE))</f>
        <v>0</v>
      </c>
      <c r="S138" s="31">
        <f>IFERROR(VLOOKUP($D138,bug_conf_sheet!$A:$H,8,FALSE),VLOOKUP("other",bug_conf_sheet!$A:$H,8,FALSE))</f>
        <v>1</v>
      </c>
    </row>
    <row r="139" spans="1:19" ht="21" customHeight="1">
      <c r="A139" s="2">
        <f>input_5!A$2</f>
        <v>3125</v>
      </c>
      <c r="B139" s="7" t="str">
        <f t="shared" si="7"/>
        <v>PremiumSS5</v>
      </c>
      <c r="C139" s="7" t="str">
        <f t="shared" si="8"/>
        <v>PremiumSS</v>
      </c>
      <c r="D139" s="6">
        <v>321</v>
      </c>
      <c r="E139" s="7" t="str">
        <f>VLOOKUP(D139,[1]characters!$A:$C,3,FALSE)</f>
        <v>巌鉄の烈志士 近藤勇</v>
      </c>
      <c r="F139" s="7" t="str">
        <f>VLOOKUP(D139,[1]characters!$A:$J,10,FALSE)</f>
        <v>PremiumSS</v>
      </c>
      <c r="G139" s="7">
        <f>VLOOKUP(D139,[1]characters!$A:$I,9,FALSE)</f>
        <v>5</v>
      </c>
      <c r="H139" s="7" t="str">
        <f>VLOOKUP(D139,[1]characters!$A:$H,8,FALSE)</f>
        <v>red</v>
      </c>
      <c r="I139" s="7" t="str">
        <f>VLOOKUP(D139,[1]characters!$A:$K,11,FALSE)</f>
        <v>hp</v>
      </c>
      <c r="J139" s="7" t="str">
        <f>VLOOKUP(D139,[1]characters!$A:$M,13,FALSE)</f>
        <v>human</v>
      </c>
      <c r="K139" s="7" t="str">
        <f>VLOOKUP(D139,[1]characters!$A:$G,7,FALSE)</f>
        <v>男性</v>
      </c>
      <c r="L139" s="66">
        <f>IFERROR(VLOOKUP(D139,input_5!L:R,7,FALSE),VLOOKUP(tables_5!B139,input_5!A:H,8,FALSE))</f>
        <v>999</v>
      </c>
      <c r="M139" s="67">
        <f t="shared" si="6"/>
        <v>4.8076923076923077E-5</v>
      </c>
      <c r="N139" s="31">
        <f>IFERROR(VLOOKUP($D139,bug_conf_sheet!$A:$H,3,FALSE),VLOOKUP("other",bug_conf_sheet!$A:$H,3,FALSE))</f>
        <v>1</v>
      </c>
      <c r="O139" s="31">
        <f>IFERROR(VLOOKUP($D139,bug_conf_sheet!$A:$H,4,FALSE),VLOOKUP("other",bug_conf_sheet!$A:$H,4,FALSE))</f>
        <v>0</v>
      </c>
      <c r="P139" s="31">
        <f>IFERROR(VLOOKUP($D139,bug_conf_sheet!$A:$H,5,FALSE),VLOOKUP("other",bug_conf_sheet!$A:$H,5,FALSE))</f>
        <v>0</v>
      </c>
      <c r="Q139" s="31">
        <f>IFERROR(VLOOKUP($D139,bug_conf_sheet!$A:$H,6,FALSE),VLOOKUP("other",bug_conf_sheet!$A:$H,6,FALSE))</f>
        <v>0</v>
      </c>
      <c r="R139" s="31">
        <f>IFERROR(VLOOKUP($D139,bug_conf_sheet!$A:$H,7,FALSE),VLOOKUP("other",bug_conf_sheet!$A:$H,7,FALSE))</f>
        <v>0</v>
      </c>
      <c r="S139" s="31">
        <f>IFERROR(VLOOKUP($D139,bug_conf_sheet!$A:$H,8,FALSE),VLOOKUP("other",bug_conf_sheet!$A:$H,8,FALSE))</f>
        <v>1</v>
      </c>
    </row>
    <row r="140" spans="1:19" ht="21" customHeight="1">
      <c r="A140" s="2">
        <f>input_5!A$2</f>
        <v>3125</v>
      </c>
      <c r="B140" s="7" t="str">
        <f t="shared" si="7"/>
        <v>PremiumSS4</v>
      </c>
      <c r="C140" s="7" t="str">
        <f t="shared" si="8"/>
        <v>PremiumSS</v>
      </c>
      <c r="D140" s="6">
        <v>322</v>
      </c>
      <c r="E140" s="7" t="str">
        <f>VLOOKUP(D140,[1]characters!$A:$C,3,FALSE)</f>
        <v>愛志士 土方歳三</v>
      </c>
      <c r="F140" s="7" t="str">
        <f>VLOOKUP(D140,[1]characters!$A:$J,10,FALSE)</f>
        <v>PremiumSS</v>
      </c>
      <c r="G140" s="7">
        <f>VLOOKUP(D140,[1]characters!$A:$I,9,FALSE)</f>
        <v>4</v>
      </c>
      <c r="H140" s="7" t="str">
        <f>VLOOKUP(D140,[1]characters!$A:$H,8,FALSE)</f>
        <v>green</v>
      </c>
      <c r="I140" s="7" t="str">
        <f>VLOOKUP(D140,[1]characters!$A:$K,11,FALSE)</f>
        <v>attack</v>
      </c>
      <c r="J140" s="7" t="str">
        <f>VLOOKUP(D140,[1]characters!$A:$M,13,FALSE)</f>
        <v>human</v>
      </c>
      <c r="K140" s="7" t="str">
        <f>VLOOKUP(D140,[1]characters!$A:$G,7,FALSE)</f>
        <v>女性</v>
      </c>
      <c r="L140" s="66">
        <f>IFERROR(VLOOKUP(D140,input_5!L:R,7,FALSE),VLOOKUP(tables_5!B140,input_5!A:H,8,FALSE))</f>
        <v>18981</v>
      </c>
      <c r="M140" s="67">
        <f t="shared" si="6"/>
        <v>9.1346153846153845E-4</v>
      </c>
      <c r="N140" s="31">
        <f>IFERROR(VLOOKUP($D140,bug_conf_sheet!$A:$H,3,FALSE),VLOOKUP("other",bug_conf_sheet!$A:$H,3,FALSE))</f>
        <v>1</v>
      </c>
      <c r="O140" s="31">
        <f>IFERROR(VLOOKUP($D140,bug_conf_sheet!$A:$H,4,FALSE),VLOOKUP("other",bug_conf_sheet!$A:$H,4,FALSE))</f>
        <v>0</v>
      </c>
      <c r="P140" s="31">
        <f>IFERROR(VLOOKUP($D140,bug_conf_sheet!$A:$H,5,FALSE),VLOOKUP("other",bug_conf_sheet!$A:$H,5,FALSE))</f>
        <v>0</v>
      </c>
      <c r="Q140" s="31">
        <f>IFERROR(VLOOKUP($D140,bug_conf_sheet!$A:$H,6,FALSE),VLOOKUP("other",bug_conf_sheet!$A:$H,6,FALSE))</f>
        <v>0</v>
      </c>
      <c r="R140" s="31">
        <f>IFERROR(VLOOKUP($D140,bug_conf_sheet!$A:$H,7,FALSE),VLOOKUP("other",bug_conf_sheet!$A:$H,7,FALSE))</f>
        <v>0</v>
      </c>
      <c r="S140" s="31">
        <f>IFERROR(VLOOKUP($D140,bug_conf_sheet!$A:$H,8,FALSE),VLOOKUP("other",bug_conf_sheet!$A:$H,8,FALSE))</f>
        <v>1</v>
      </c>
    </row>
    <row r="141" spans="1:19" ht="21" customHeight="1">
      <c r="A141" s="2">
        <f>input_5!A$2</f>
        <v>3125</v>
      </c>
      <c r="B141" s="7" t="str">
        <f t="shared" si="7"/>
        <v>PremiumSS5</v>
      </c>
      <c r="C141" s="7" t="str">
        <f t="shared" si="8"/>
        <v>PremiumSS</v>
      </c>
      <c r="D141" s="6">
        <v>323</v>
      </c>
      <c r="E141" s="7" t="str">
        <f>VLOOKUP(D141,[1]characters!$A:$C,3,FALSE)</f>
        <v>流麗の愛志士 土方歳三</v>
      </c>
      <c r="F141" s="7" t="str">
        <f>VLOOKUP(D141,[1]characters!$A:$J,10,FALSE)</f>
        <v>PremiumSS</v>
      </c>
      <c r="G141" s="7">
        <f>VLOOKUP(D141,[1]characters!$A:$I,9,FALSE)</f>
        <v>5</v>
      </c>
      <c r="H141" s="7" t="str">
        <f>VLOOKUP(D141,[1]characters!$A:$H,8,FALSE)</f>
        <v>green</v>
      </c>
      <c r="I141" s="7" t="str">
        <f>VLOOKUP(D141,[1]characters!$A:$K,11,FALSE)</f>
        <v>attack</v>
      </c>
      <c r="J141" s="7" t="str">
        <f>VLOOKUP(D141,[1]characters!$A:$M,13,FALSE)</f>
        <v>human</v>
      </c>
      <c r="K141" s="7" t="str">
        <f>VLOOKUP(D141,[1]characters!$A:$G,7,FALSE)</f>
        <v>女性</v>
      </c>
      <c r="L141" s="66">
        <f>IFERROR(VLOOKUP(D141,input_5!L:R,7,FALSE),VLOOKUP(tables_5!B141,input_5!A:H,8,FALSE))</f>
        <v>999</v>
      </c>
      <c r="M141" s="67">
        <f t="shared" si="6"/>
        <v>4.8076923076923077E-5</v>
      </c>
      <c r="N141" s="31">
        <f>IFERROR(VLOOKUP($D141,bug_conf_sheet!$A:$H,3,FALSE),VLOOKUP("other",bug_conf_sheet!$A:$H,3,FALSE))</f>
        <v>1</v>
      </c>
      <c r="O141" s="31">
        <f>IFERROR(VLOOKUP($D141,bug_conf_sheet!$A:$H,4,FALSE),VLOOKUP("other",bug_conf_sheet!$A:$H,4,FALSE))</f>
        <v>0</v>
      </c>
      <c r="P141" s="31">
        <f>IFERROR(VLOOKUP($D141,bug_conf_sheet!$A:$H,5,FALSE),VLOOKUP("other",bug_conf_sheet!$A:$H,5,FALSE))</f>
        <v>0</v>
      </c>
      <c r="Q141" s="31">
        <f>IFERROR(VLOOKUP($D141,bug_conf_sheet!$A:$H,6,FALSE),VLOOKUP("other",bug_conf_sheet!$A:$H,6,FALSE))</f>
        <v>0</v>
      </c>
      <c r="R141" s="31">
        <f>IFERROR(VLOOKUP($D141,bug_conf_sheet!$A:$H,7,FALSE),VLOOKUP("other",bug_conf_sheet!$A:$H,7,FALSE))</f>
        <v>0</v>
      </c>
      <c r="S141" s="31">
        <f>IFERROR(VLOOKUP($D141,bug_conf_sheet!$A:$H,8,FALSE),VLOOKUP("other",bug_conf_sheet!$A:$H,8,FALSE))</f>
        <v>1</v>
      </c>
    </row>
    <row r="142" spans="1:19" ht="21" customHeight="1">
      <c r="A142" s="2">
        <f>input_5!A$2</f>
        <v>3125</v>
      </c>
      <c r="B142" s="7" t="str">
        <f t="shared" si="7"/>
        <v>PremiumSS4</v>
      </c>
      <c r="C142" s="7" t="str">
        <f t="shared" si="8"/>
        <v>PremiumSS</v>
      </c>
      <c r="D142" s="6">
        <v>324</v>
      </c>
      <c r="E142" s="7" t="str">
        <f>VLOOKUP(D142,[1]characters!$A:$C,3,FALSE)</f>
        <v>凛志士 沖田総司</v>
      </c>
      <c r="F142" s="7" t="str">
        <f>VLOOKUP(D142,[1]characters!$A:$J,10,FALSE)</f>
        <v>PremiumSS</v>
      </c>
      <c r="G142" s="7">
        <f>VLOOKUP(D142,[1]characters!$A:$I,9,FALSE)</f>
        <v>4</v>
      </c>
      <c r="H142" s="7" t="str">
        <f>VLOOKUP(D142,[1]characters!$A:$H,8,FALSE)</f>
        <v>blue</v>
      </c>
      <c r="I142" s="7" t="str">
        <f>VLOOKUP(D142,[1]characters!$A:$K,11,FALSE)</f>
        <v>balance</v>
      </c>
      <c r="J142" s="7" t="str">
        <f>VLOOKUP(D142,[1]characters!$A:$M,13,FALSE)</f>
        <v>human</v>
      </c>
      <c r="K142" s="7" t="str">
        <f>VLOOKUP(D142,[1]characters!$A:$G,7,FALSE)</f>
        <v>女性</v>
      </c>
      <c r="L142" s="66">
        <f>IFERROR(VLOOKUP(D142,input_5!L:R,7,FALSE),VLOOKUP(tables_5!B142,input_5!A:H,8,FALSE))</f>
        <v>18981</v>
      </c>
      <c r="M142" s="67">
        <f t="shared" si="6"/>
        <v>9.1346153846153845E-4</v>
      </c>
      <c r="N142" s="31">
        <f>IFERROR(VLOOKUP($D142,bug_conf_sheet!$A:$H,3,FALSE),VLOOKUP("other",bug_conf_sheet!$A:$H,3,FALSE))</f>
        <v>1</v>
      </c>
      <c r="O142" s="31">
        <f>IFERROR(VLOOKUP($D142,bug_conf_sheet!$A:$H,4,FALSE),VLOOKUP("other",bug_conf_sheet!$A:$H,4,FALSE))</f>
        <v>0</v>
      </c>
      <c r="P142" s="31">
        <f>IFERROR(VLOOKUP($D142,bug_conf_sheet!$A:$H,5,FALSE),VLOOKUP("other",bug_conf_sheet!$A:$H,5,FALSE))</f>
        <v>0</v>
      </c>
      <c r="Q142" s="31">
        <f>IFERROR(VLOOKUP($D142,bug_conf_sheet!$A:$H,6,FALSE),VLOOKUP("other",bug_conf_sheet!$A:$H,6,FALSE))</f>
        <v>0</v>
      </c>
      <c r="R142" s="31">
        <f>IFERROR(VLOOKUP($D142,bug_conf_sheet!$A:$H,7,FALSE),VLOOKUP("other",bug_conf_sheet!$A:$H,7,FALSE))</f>
        <v>0</v>
      </c>
      <c r="S142" s="31">
        <f>IFERROR(VLOOKUP($D142,bug_conf_sheet!$A:$H,8,FALSE),VLOOKUP("other",bug_conf_sheet!$A:$H,8,FALSE))</f>
        <v>1</v>
      </c>
    </row>
    <row r="143" spans="1:19" s="12" customFormat="1" ht="21" customHeight="1" thickBot="1">
      <c r="A143" s="2">
        <f>input_5!A$2</f>
        <v>3125</v>
      </c>
      <c r="B143" s="7" t="str">
        <f t="shared" si="7"/>
        <v>PremiumSS5</v>
      </c>
      <c r="C143" s="7" t="str">
        <f t="shared" si="8"/>
        <v>PremiumSS</v>
      </c>
      <c r="D143" s="6">
        <v>325</v>
      </c>
      <c r="E143" s="7" t="str">
        <f>VLOOKUP(D143,[1]characters!$A:$C,3,FALSE)</f>
        <v>天賦の凛志士 沖田総司</v>
      </c>
      <c r="F143" s="7" t="str">
        <f>VLOOKUP(D143,[1]characters!$A:$J,10,FALSE)</f>
        <v>PremiumSS</v>
      </c>
      <c r="G143" s="7">
        <f>VLOOKUP(D143,[1]characters!$A:$I,9,FALSE)</f>
        <v>5</v>
      </c>
      <c r="H143" s="7" t="str">
        <f>VLOOKUP(D143,[1]characters!$A:$H,8,FALSE)</f>
        <v>blue</v>
      </c>
      <c r="I143" s="7" t="str">
        <f>VLOOKUP(D143,[1]characters!$A:$K,11,FALSE)</f>
        <v>balance</v>
      </c>
      <c r="J143" s="7" t="str">
        <f>VLOOKUP(D143,[1]characters!$A:$M,13,FALSE)</f>
        <v>human</v>
      </c>
      <c r="K143" s="7" t="str">
        <f>VLOOKUP(D143,[1]characters!$A:$G,7,FALSE)</f>
        <v>女性</v>
      </c>
      <c r="L143" s="66">
        <f>IFERROR(VLOOKUP(D143,input_5!L:R,7,FALSE),VLOOKUP(tables_5!B143,input_5!A:H,8,FALSE))</f>
        <v>999</v>
      </c>
      <c r="M143" s="67">
        <f t="shared" si="6"/>
        <v>4.8076923076923077E-5</v>
      </c>
      <c r="N143" s="31">
        <f>IFERROR(VLOOKUP($D143,bug_conf_sheet!$A:$H,3,FALSE),VLOOKUP("other",bug_conf_sheet!$A:$H,3,FALSE))</f>
        <v>1</v>
      </c>
      <c r="O143" s="31">
        <f>IFERROR(VLOOKUP($D143,bug_conf_sheet!$A:$H,4,FALSE),VLOOKUP("other",bug_conf_sheet!$A:$H,4,FALSE))</f>
        <v>0</v>
      </c>
      <c r="P143" s="31">
        <f>IFERROR(VLOOKUP($D143,bug_conf_sheet!$A:$H,5,FALSE),VLOOKUP("other",bug_conf_sheet!$A:$H,5,FALSE))</f>
        <v>0</v>
      </c>
      <c r="Q143" s="31">
        <f>IFERROR(VLOOKUP($D143,bug_conf_sheet!$A:$H,6,FALSE),VLOOKUP("other",bug_conf_sheet!$A:$H,6,FALSE))</f>
        <v>0</v>
      </c>
      <c r="R143" s="31">
        <f>IFERROR(VLOOKUP($D143,bug_conf_sheet!$A:$H,7,FALSE),VLOOKUP("other",bug_conf_sheet!$A:$H,7,FALSE))</f>
        <v>0</v>
      </c>
      <c r="S143" s="31">
        <f>IFERROR(VLOOKUP($D143,bug_conf_sheet!$A:$H,8,FALSE),VLOOKUP("other",bug_conf_sheet!$A:$H,8,FALSE))</f>
        <v>1</v>
      </c>
    </row>
    <row r="144" spans="1:19" ht="21" customHeight="1">
      <c r="A144" s="2">
        <f>input_5!A$2</f>
        <v>3125</v>
      </c>
      <c r="B144" s="7" t="str">
        <f t="shared" si="7"/>
        <v>PremiumSS4</v>
      </c>
      <c r="C144" s="7" t="str">
        <f t="shared" si="8"/>
        <v>PremiumSS</v>
      </c>
      <c r="D144" s="6">
        <v>326</v>
      </c>
      <c r="E144" s="7" t="str">
        <f>VLOOKUP(D144,[1]characters!$A:$C,3,FALSE)</f>
        <v>妖志士 斎藤一</v>
      </c>
      <c r="F144" s="7" t="str">
        <f>VLOOKUP(D144,[1]characters!$A:$J,10,FALSE)</f>
        <v>PremiumSS</v>
      </c>
      <c r="G144" s="7">
        <f>VLOOKUP(D144,[1]characters!$A:$I,9,FALSE)</f>
        <v>4</v>
      </c>
      <c r="H144" s="7" t="str">
        <f>VLOOKUP(D144,[1]characters!$A:$H,8,FALSE)</f>
        <v>yellow</v>
      </c>
      <c r="I144" s="7" t="str">
        <f>VLOOKUP(D144,[1]characters!$A:$K,11,FALSE)</f>
        <v>technical</v>
      </c>
      <c r="J144" s="7" t="str">
        <f>VLOOKUP(D144,[1]characters!$A:$M,13,FALSE)</f>
        <v>human</v>
      </c>
      <c r="K144" s="7" t="str">
        <f>VLOOKUP(D144,[1]characters!$A:$G,7,FALSE)</f>
        <v>女性</v>
      </c>
      <c r="L144" s="66">
        <f>IFERROR(VLOOKUP(D144,input_5!L:R,7,FALSE),VLOOKUP(tables_5!B144,input_5!A:H,8,FALSE))</f>
        <v>18981</v>
      </c>
      <c r="M144" s="67">
        <f t="shared" si="6"/>
        <v>9.1346153846153845E-4</v>
      </c>
      <c r="N144" s="31">
        <f>IFERROR(VLOOKUP($D144,bug_conf_sheet!$A:$H,3,FALSE),VLOOKUP("other",bug_conf_sheet!$A:$H,3,FALSE))</f>
        <v>1</v>
      </c>
      <c r="O144" s="31">
        <f>IFERROR(VLOOKUP($D144,bug_conf_sheet!$A:$H,4,FALSE),VLOOKUP("other",bug_conf_sheet!$A:$H,4,FALSE))</f>
        <v>0</v>
      </c>
      <c r="P144" s="31">
        <f>IFERROR(VLOOKUP($D144,bug_conf_sheet!$A:$H,5,FALSE),VLOOKUP("other",bug_conf_sheet!$A:$H,5,FALSE))</f>
        <v>0</v>
      </c>
      <c r="Q144" s="31">
        <f>IFERROR(VLOOKUP($D144,bug_conf_sheet!$A:$H,6,FALSE),VLOOKUP("other",bug_conf_sheet!$A:$H,6,FALSE))</f>
        <v>0</v>
      </c>
      <c r="R144" s="31">
        <f>IFERROR(VLOOKUP($D144,bug_conf_sheet!$A:$H,7,FALSE),VLOOKUP("other",bug_conf_sheet!$A:$H,7,FALSE))</f>
        <v>0</v>
      </c>
      <c r="S144" s="31">
        <f>IFERROR(VLOOKUP($D144,bug_conf_sheet!$A:$H,8,FALSE),VLOOKUP("other",bug_conf_sheet!$A:$H,8,FALSE))</f>
        <v>1</v>
      </c>
    </row>
    <row r="145" spans="1:19" ht="21" customHeight="1">
      <c r="A145" s="2">
        <f>input_5!A$2</f>
        <v>3125</v>
      </c>
      <c r="B145" s="7" t="str">
        <f t="shared" si="7"/>
        <v>PremiumSS5</v>
      </c>
      <c r="C145" s="7" t="str">
        <f t="shared" si="8"/>
        <v>PremiumSS</v>
      </c>
      <c r="D145" s="6">
        <v>327</v>
      </c>
      <c r="E145" s="7" t="str">
        <f>VLOOKUP(D145,[1]characters!$A:$C,3,FALSE)</f>
        <v>千殺の妖志士 斎藤一</v>
      </c>
      <c r="F145" s="7" t="str">
        <f>VLOOKUP(D145,[1]characters!$A:$J,10,FALSE)</f>
        <v>PremiumSS</v>
      </c>
      <c r="G145" s="7">
        <f>VLOOKUP(D145,[1]characters!$A:$I,9,FALSE)</f>
        <v>5</v>
      </c>
      <c r="H145" s="7" t="str">
        <f>VLOOKUP(D145,[1]characters!$A:$H,8,FALSE)</f>
        <v>yellow</v>
      </c>
      <c r="I145" s="7" t="str">
        <f>VLOOKUP(D145,[1]characters!$A:$K,11,FALSE)</f>
        <v>technical</v>
      </c>
      <c r="J145" s="7" t="str">
        <f>VLOOKUP(D145,[1]characters!$A:$M,13,FALSE)</f>
        <v>human</v>
      </c>
      <c r="K145" s="7" t="str">
        <f>VLOOKUP(D145,[1]characters!$A:$G,7,FALSE)</f>
        <v>女性</v>
      </c>
      <c r="L145" s="66">
        <f>IFERROR(VLOOKUP(D145,input_5!L:R,7,FALSE),VLOOKUP(tables_5!B145,input_5!A:H,8,FALSE))</f>
        <v>999</v>
      </c>
      <c r="M145" s="67">
        <f t="shared" si="6"/>
        <v>4.8076923076923077E-5</v>
      </c>
      <c r="N145" s="31">
        <f>IFERROR(VLOOKUP($D145,bug_conf_sheet!$A:$H,3,FALSE),VLOOKUP("other",bug_conf_sheet!$A:$H,3,FALSE))</f>
        <v>1</v>
      </c>
      <c r="O145" s="31">
        <f>IFERROR(VLOOKUP($D145,bug_conf_sheet!$A:$H,4,FALSE),VLOOKUP("other",bug_conf_sheet!$A:$H,4,FALSE))</f>
        <v>0</v>
      </c>
      <c r="P145" s="31">
        <f>IFERROR(VLOOKUP($D145,bug_conf_sheet!$A:$H,5,FALSE),VLOOKUP("other",bug_conf_sheet!$A:$H,5,FALSE))</f>
        <v>0</v>
      </c>
      <c r="Q145" s="31">
        <f>IFERROR(VLOOKUP($D145,bug_conf_sheet!$A:$H,6,FALSE),VLOOKUP("other",bug_conf_sheet!$A:$H,6,FALSE))</f>
        <v>0</v>
      </c>
      <c r="R145" s="31">
        <f>IFERROR(VLOOKUP($D145,bug_conf_sheet!$A:$H,7,FALSE),VLOOKUP("other",bug_conf_sheet!$A:$H,7,FALSE))</f>
        <v>0</v>
      </c>
      <c r="S145" s="31">
        <f>IFERROR(VLOOKUP($D145,bug_conf_sheet!$A:$H,8,FALSE),VLOOKUP("other",bug_conf_sheet!$A:$H,8,FALSE))</f>
        <v>1</v>
      </c>
    </row>
    <row r="146" spans="1:19" ht="21" customHeight="1">
      <c r="A146" s="2">
        <f>input_5!A$2</f>
        <v>3125</v>
      </c>
      <c r="B146" s="7" t="str">
        <f t="shared" si="7"/>
        <v>Premium3</v>
      </c>
      <c r="C146" s="7" t="str">
        <f t="shared" si="8"/>
        <v>Premium</v>
      </c>
      <c r="D146" s="6">
        <v>380</v>
      </c>
      <c r="E146" s="7" t="str">
        <f>VLOOKUP(D146,[1]characters!$A:$C,3,FALSE)</f>
        <v>バハムート</v>
      </c>
      <c r="F146" s="7" t="str">
        <f>VLOOKUP(D146,[1]characters!$A:$J,10,FALSE)</f>
        <v>PremiumS</v>
      </c>
      <c r="G146" s="7">
        <f>VLOOKUP(D146,[1]characters!$A:$I,9,FALSE)</f>
        <v>3</v>
      </c>
      <c r="H146" s="7" t="str">
        <f>VLOOKUP(D146,[1]characters!$A:$H,8,FALSE)</f>
        <v>red</v>
      </c>
      <c r="I146" s="7" t="str">
        <f>VLOOKUP(D146,[1]characters!$A:$K,11,FALSE)</f>
        <v>technical</v>
      </c>
      <c r="J146" s="7" t="str">
        <f>VLOOKUP(D146,[1]characters!$A:$M,13,FALSE)</f>
        <v>dragon</v>
      </c>
      <c r="K146" s="7" t="str">
        <f>VLOOKUP(D146,[1]characters!$A:$G,7,FALSE)</f>
        <v>女性</v>
      </c>
      <c r="L146" s="66">
        <f>IFERROR(VLOOKUP(D146,input_5!L:R,7,FALSE),VLOOKUP(tables_5!B146,input_5!A:H,8,FALSE))</f>
        <v>0</v>
      </c>
      <c r="M146" s="67">
        <f t="shared" si="6"/>
        <v>0</v>
      </c>
      <c r="N146" s="31">
        <f>IFERROR(VLOOKUP($D146,bug_conf_sheet!$A:$H,3,FALSE),VLOOKUP("other",bug_conf_sheet!$A:$H,3,FALSE))</f>
        <v>1</v>
      </c>
      <c r="O146" s="31">
        <f>IFERROR(VLOOKUP($D146,bug_conf_sheet!$A:$H,4,FALSE),VLOOKUP("other",bug_conf_sheet!$A:$H,4,FALSE))</f>
        <v>0</v>
      </c>
      <c r="P146" s="31">
        <f>IFERROR(VLOOKUP($D146,bug_conf_sheet!$A:$H,5,FALSE),VLOOKUP("other",bug_conf_sheet!$A:$H,5,FALSE))</f>
        <v>0</v>
      </c>
      <c r="Q146" s="31">
        <f>IFERROR(VLOOKUP($D146,bug_conf_sheet!$A:$H,6,FALSE),VLOOKUP("other",bug_conf_sheet!$A:$H,6,FALSE))</f>
        <v>0</v>
      </c>
      <c r="R146" s="31">
        <f>IFERROR(VLOOKUP($D146,bug_conf_sheet!$A:$H,7,FALSE),VLOOKUP("other",bug_conf_sheet!$A:$H,7,FALSE))</f>
        <v>0</v>
      </c>
      <c r="S146" s="31">
        <f>IFERROR(VLOOKUP($D146,bug_conf_sheet!$A:$H,8,FALSE),VLOOKUP("other",bug_conf_sheet!$A:$H,8,FALSE))</f>
        <v>1</v>
      </c>
    </row>
    <row r="147" spans="1:19" ht="21" customHeight="1">
      <c r="A147" s="2">
        <f>input_5!A$2</f>
        <v>3125</v>
      </c>
      <c r="B147" s="7" t="str">
        <f t="shared" si="7"/>
        <v>Premium4</v>
      </c>
      <c r="C147" s="7" t="str">
        <f t="shared" si="8"/>
        <v>Premium</v>
      </c>
      <c r="D147" s="6">
        <v>381</v>
      </c>
      <c r="E147" s="7" t="str">
        <f>VLOOKUP(D147,[1]characters!$A:$C,3,FALSE)</f>
        <v>肉食の恋火 バハムート</v>
      </c>
      <c r="F147" s="7" t="str">
        <f>VLOOKUP(D147,[1]characters!$A:$J,10,FALSE)</f>
        <v>PremiumS</v>
      </c>
      <c r="G147" s="7">
        <f>VLOOKUP(D147,[1]characters!$A:$I,9,FALSE)</f>
        <v>4</v>
      </c>
      <c r="H147" s="7" t="str">
        <f>VLOOKUP(D147,[1]characters!$A:$H,8,FALSE)</f>
        <v>red</v>
      </c>
      <c r="I147" s="7" t="str">
        <f>VLOOKUP(D147,[1]characters!$A:$K,11,FALSE)</f>
        <v>technical</v>
      </c>
      <c r="J147" s="7" t="str">
        <f>VLOOKUP(D147,[1]characters!$A:$M,13,FALSE)</f>
        <v>dragon</v>
      </c>
      <c r="K147" s="7" t="str">
        <f>VLOOKUP(D147,[1]characters!$A:$G,7,FALSE)</f>
        <v>女性</v>
      </c>
      <c r="L147" s="66">
        <f>IFERROR(VLOOKUP(D147,input_5!L:R,7,FALSE),VLOOKUP(tables_5!B147,input_5!A:H,8,FALSE))</f>
        <v>260091</v>
      </c>
      <c r="M147" s="67">
        <f t="shared" si="6"/>
        <v>1.2516891891891892E-2</v>
      </c>
      <c r="N147" s="31">
        <f>IFERROR(VLOOKUP($D147,bug_conf_sheet!$A:$H,3,FALSE),VLOOKUP("other",bug_conf_sheet!$A:$H,3,FALSE))</f>
        <v>1</v>
      </c>
      <c r="O147" s="31">
        <f>IFERROR(VLOOKUP($D147,bug_conf_sheet!$A:$H,4,FALSE),VLOOKUP("other",bug_conf_sheet!$A:$H,4,FALSE))</f>
        <v>0</v>
      </c>
      <c r="P147" s="31">
        <f>IFERROR(VLOOKUP($D147,bug_conf_sheet!$A:$H,5,FALSE),VLOOKUP("other",bug_conf_sheet!$A:$H,5,FALSE))</f>
        <v>0</v>
      </c>
      <c r="Q147" s="31">
        <f>IFERROR(VLOOKUP($D147,bug_conf_sheet!$A:$H,6,FALSE),VLOOKUP("other",bug_conf_sheet!$A:$H,6,FALSE))</f>
        <v>0</v>
      </c>
      <c r="R147" s="31">
        <f>IFERROR(VLOOKUP($D147,bug_conf_sheet!$A:$H,7,FALSE),VLOOKUP("other",bug_conf_sheet!$A:$H,7,FALSE))</f>
        <v>0</v>
      </c>
      <c r="S147" s="31">
        <f>IFERROR(VLOOKUP($D147,bug_conf_sheet!$A:$H,8,FALSE),VLOOKUP("other",bug_conf_sheet!$A:$H,8,FALSE))</f>
        <v>1</v>
      </c>
    </row>
    <row r="148" spans="1:19" ht="21" customHeight="1">
      <c r="A148" s="2">
        <f>input_5!A$2</f>
        <v>3125</v>
      </c>
      <c r="B148" s="7" t="str">
        <f t="shared" si="7"/>
        <v>Premium5</v>
      </c>
      <c r="C148" s="7" t="str">
        <f t="shared" si="8"/>
        <v>Premium</v>
      </c>
      <c r="D148" s="6">
        <v>382</v>
      </c>
      <c r="E148" s="7" t="str">
        <f>VLOOKUP(D148,[1]characters!$A:$C,3,FALSE)</f>
        <v>激情の愛炎 バハムート</v>
      </c>
      <c r="F148" s="7" t="str">
        <f>VLOOKUP(D148,[1]characters!$A:$J,10,FALSE)</f>
        <v>PremiumS</v>
      </c>
      <c r="G148" s="7">
        <f>VLOOKUP(D148,[1]characters!$A:$I,9,FALSE)</f>
        <v>5</v>
      </c>
      <c r="H148" s="7" t="str">
        <f>VLOOKUP(D148,[1]characters!$A:$H,8,FALSE)</f>
        <v>red</v>
      </c>
      <c r="I148" s="7" t="str">
        <f>VLOOKUP(D148,[1]characters!$A:$K,11,FALSE)</f>
        <v>technical</v>
      </c>
      <c r="J148" s="7" t="str">
        <f>VLOOKUP(D148,[1]characters!$A:$M,13,FALSE)</f>
        <v>dragon</v>
      </c>
      <c r="K148" s="7" t="str">
        <f>VLOOKUP(D148,[1]characters!$A:$G,7,FALSE)</f>
        <v>女性</v>
      </c>
      <c r="L148" s="66">
        <f>IFERROR(VLOOKUP(D148,input_5!L:R,7,FALSE),VLOOKUP(tables_5!B148,input_5!A:H,8,FALSE))</f>
        <v>18759</v>
      </c>
      <c r="M148" s="67">
        <f t="shared" si="6"/>
        <v>9.0277777777777774E-4</v>
      </c>
      <c r="N148" s="31">
        <f>IFERROR(VLOOKUP($D148,bug_conf_sheet!$A:$H,3,FALSE),VLOOKUP("other",bug_conf_sheet!$A:$H,3,FALSE))</f>
        <v>1</v>
      </c>
      <c r="O148" s="31">
        <f>IFERROR(VLOOKUP($D148,bug_conf_sheet!$A:$H,4,FALSE),VLOOKUP("other",bug_conf_sheet!$A:$H,4,FALSE))</f>
        <v>0</v>
      </c>
      <c r="P148" s="31">
        <f>IFERROR(VLOOKUP($D148,bug_conf_sheet!$A:$H,5,FALSE),VLOOKUP("other",bug_conf_sheet!$A:$H,5,FALSE))</f>
        <v>0</v>
      </c>
      <c r="Q148" s="31">
        <f>IFERROR(VLOOKUP($D148,bug_conf_sheet!$A:$H,6,FALSE),VLOOKUP("other",bug_conf_sheet!$A:$H,6,FALSE))</f>
        <v>0</v>
      </c>
      <c r="R148" s="31">
        <f>IFERROR(VLOOKUP($D148,bug_conf_sheet!$A:$H,7,FALSE),VLOOKUP("other",bug_conf_sheet!$A:$H,7,FALSE))</f>
        <v>0</v>
      </c>
      <c r="S148" s="31">
        <f>IFERROR(VLOOKUP($D148,bug_conf_sheet!$A:$H,8,FALSE),VLOOKUP("other",bug_conf_sheet!$A:$H,8,FALSE))</f>
        <v>1</v>
      </c>
    </row>
    <row r="149" spans="1:19" ht="21" customHeight="1">
      <c r="A149" s="2">
        <f>input_5!A$2</f>
        <v>3125</v>
      </c>
      <c r="B149" s="7" t="str">
        <f t="shared" si="7"/>
        <v>PremiumSS4</v>
      </c>
      <c r="C149" s="7" t="str">
        <f t="shared" si="8"/>
        <v>PremiumSS</v>
      </c>
      <c r="D149" s="6">
        <v>383</v>
      </c>
      <c r="E149" s="7" t="str">
        <f>VLOOKUP(D149,[1]characters!$A:$C,3,FALSE)</f>
        <v>酒宴の蟒蛇 ヤマタノオロチ</v>
      </c>
      <c r="F149" s="7" t="str">
        <f>VLOOKUP(D149,[1]characters!$A:$J,10,FALSE)</f>
        <v>PremiumSS</v>
      </c>
      <c r="G149" s="7">
        <f>VLOOKUP(D149,[1]characters!$A:$I,9,FALSE)</f>
        <v>4</v>
      </c>
      <c r="H149" s="7" t="str">
        <f>VLOOKUP(D149,[1]characters!$A:$H,8,FALSE)</f>
        <v>green</v>
      </c>
      <c r="I149" s="7" t="str">
        <f>VLOOKUP(D149,[1]characters!$A:$K,11,FALSE)</f>
        <v>hp</v>
      </c>
      <c r="J149" s="7" t="str">
        <f>VLOOKUP(D149,[1]characters!$A:$M,13,FALSE)</f>
        <v>dragon</v>
      </c>
      <c r="K149" s="7" t="str">
        <f>VLOOKUP(D149,[1]characters!$A:$G,7,FALSE)</f>
        <v>女性</v>
      </c>
      <c r="L149" s="66">
        <f>IFERROR(VLOOKUP(D149,input_5!L:R,7,FALSE),VLOOKUP(tables_5!B149,input_5!A:H,8,FALSE))</f>
        <v>18981</v>
      </c>
      <c r="M149" s="67">
        <f t="shared" si="6"/>
        <v>9.1346153846153845E-4</v>
      </c>
      <c r="N149" s="31">
        <f>IFERROR(VLOOKUP($D149,bug_conf_sheet!$A:$H,3,FALSE),VLOOKUP("other",bug_conf_sheet!$A:$H,3,FALSE))</f>
        <v>1</v>
      </c>
      <c r="O149" s="31">
        <f>IFERROR(VLOOKUP($D149,bug_conf_sheet!$A:$H,4,FALSE),VLOOKUP("other",bug_conf_sheet!$A:$H,4,FALSE))</f>
        <v>0</v>
      </c>
      <c r="P149" s="31">
        <f>IFERROR(VLOOKUP($D149,bug_conf_sheet!$A:$H,5,FALSE),VLOOKUP("other",bug_conf_sheet!$A:$H,5,FALSE))</f>
        <v>0</v>
      </c>
      <c r="Q149" s="31">
        <f>IFERROR(VLOOKUP($D149,bug_conf_sheet!$A:$H,6,FALSE),VLOOKUP("other",bug_conf_sheet!$A:$H,6,FALSE))</f>
        <v>0</v>
      </c>
      <c r="R149" s="31">
        <f>IFERROR(VLOOKUP($D149,bug_conf_sheet!$A:$H,7,FALSE),VLOOKUP("other",bug_conf_sheet!$A:$H,7,FALSE))</f>
        <v>0</v>
      </c>
      <c r="S149" s="31">
        <f>IFERROR(VLOOKUP($D149,bug_conf_sheet!$A:$H,8,FALSE),VLOOKUP("other",bug_conf_sheet!$A:$H,8,FALSE))</f>
        <v>1</v>
      </c>
    </row>
    <row r="150" spans="1:19" ht="21" customHeight="1">
      <c r="A150" s="2">
        <f>input_5!A$2</f>
        <v>3125</v>
      </c>
      <c r="B150" s="7" t="str">
        <f t="shared" si="7"/>
        <v>PremiumSS5</v>
      </c>
      <c r="C150" s="7" t="str">
        <f t="shared" si="8"/>
        <v>PremiumSS</v>
      </c>
      <c r="D150" s="6">
        <v>384</v>
      </c>
      <c r="E150" s="7" t="str">
        <f>VLOOKUP(D150,[1]characters!$A:$C,3,FALSE)</f>
        <v>破国の呑龍 ヤマタノオロチ</v>
      </c>
      <c r="F150" s="7" t="str">
        <f>VLOOKUP(D150,[1]characters!$A:$J,10,FALSE)</f>
        <v>PremiumSS</v>
      </c>
      <c r="G150" s="7">
        <f>VLOOKUP(D150,[1]characters!$A:$I,9,FALSE)</f>
        <v>5</v>
      </c>
      <c r="H150" s="7" t="str">
        <f>VLOOKUP(D150,[1]characters!$A:$H,8,FALSE)</f>
        <v>green</v>
      </c>
      <c r="I150" s="7" t="str">
        <f>VLOOKUP(D150,[1]characters!$A:$K,11,FALSE)</f>
        <v>hp</v>
      </c>
      <c r="J150" s="7" t="str">
        <f>VLOOKUP(D150,[1]characters!$A:$M,13,FALSE)</f>
        <v>dragon</v>
      </c>
      <c r="K150" s="7" t="str">
        <f>VLOOKUP(D150,[1]characters!$A:$G,7,FALSE)</f>
        <v>女性</v>
      </c>
      <c r="L150" s="66">
        <f>IFERROR(VLOOKUP(D150,input_5!L:R,7,FALSE),VLOOKUP(tables_5!B150,input_5!A:H,8,FALSE))</f>
        <v>999</v>
      </c>
      <c r="M150" s="67">
        <f t="shared" si="6"/>
        <v>4.8076923076923077E-5</v>
      </c>
      <c r="N150" s="31">
        <f>IFERROR(VLOOKUP($D150,bug_conf_sheet!$A:$H,3,FALSE),VLOOKUP("other",bug_conf_sheet!$A:$H,3,FALSE))</f>
        <v>1</v>
      </c>
      <c r="O150" s="31">
        <f>IFERROR(VLOOKUP($D150,bug_conf_sheet!$A:$H,4,FALSE),VLOOKUP("other",bug_conf_sheet!$A:$H,4,FALSE))</f>
        <v>0</v>
      </c>
      <c r="P150" s="31">
        <f>IFERROR(VLOOKUP($D150,bug_conf_sheet!$A:$H,5,FALSE),VLOOKUP("other",bug_conf_sheet!$A:$H,5,FALSE))</f>
        <v>0</v>
      </c>
      <c r="Q150" s="31">
        <f>IFERROR(VLOOKUP($D150,bug_conf_sheet!$A:$H,6,FALSE),VLOOKUP("other",bug_conf_sheet!$A:$H,6,FALSE))</f>
        <v>0</v>
      </c>
      <c r="R150" s="31">
        <f>IFERROR(VLOOKUP($D150,bug_conf_sheet!$A:$H,7,FALSE),VLOOKUP("other",bug_conf_sheet!$A:$H,7,FALSE))</f>
        <v>0</v>
      </c>
      <c r="S150" s="31">
        <f>IFERROR(VLOOKUP($D150,bug_conf_sheet!$A:$H,8,FALSE),VLOOKUP("other",bug_conf_sheet!$A:$H,8,FALSE))</f>
        <v>1</v>
      </c>
    </row>
    <row r="151" spans="1:19" ht="21" customHeight="1">
      <c r="A151" s="2">
        <f>input_5!A$2</f>
        <v>3125</v>
      </c>
      <c r="B151" s="7" t="str">
        <f t="shared" si="7"/>
        <v>PremiumSS4</v>
      </c>
      <c r="C151" s="7" t="str">
        <f t="shared" si="8"/>
        <v>PremiumSS</v>
      </c>
      <c r="D151" s="6">
        <v>385</v>
      </c>
      <c r="E151" s="7" t="str">
        <f>VLOOKUP(D151,[1]characters!$A:$C,3,FALSE)</f>
        <v>波烈の出奔 リヴァイアサン</v>
      </c>
      <c r="F151" s="7" t="str">
        <f>VLOOKUP(D151,[1]characters!$A:$J,10,FALSE)</f>
        <v>PremiumSS</v>
      </c>
      <c r="G151" s="7">
        <f>VLOOKUP(D151,[1]characters!$A:$I,9,FALSE)</f>
        <v>4</v>
      </c>
      <c r="H151" s="7" t="str">
        <f>VLOOKUP(D151,[1]characters!$A:$H,8,FALSE)</f>
        <v>blue</v>
      </c>
      <c r="I151" s="7" t="str">
        <f>VLOOKUP(D151,[1]characters!$A:$K,11,FALSE)</f>
        <v>balance</v>
      </c>
      <c r="J151" s="7" t="str">
        <f>VLOOKUP(D151,[1]characters!$A:$M,13,FALSE)</f>
        <v>dragon</v>
      </c>
      <c r="K151" s="7" t="str">
        <f>VLOOKUP(D151,[1]characters!$A:$G,7,FALSE)</f>
        <v>女性</v>
      </c>
      <c r="L151" s="66">
        <f>IFERROR(VLOOKUP(D151,input_5!L:R,7,FALSE),VLOOKUP(tables_5!B151,input_5!A:H,8,FALSE))</f>
        <v>18981</v>
      </c>
      <c r="M151" s="67">
        <f t="shared" si="6"/>
        <v>9.1346153846153845E-4</v>
      </c>
      <c r="N151" s="31">
        <f>IFERROR(VLOOKUP($D151,bug_conf_sheet!$A:$H,3,FALSE),VLOOKUP("other",bug_conf_sheet!$A:$H,3,FALSE))</f>
        <v>1</v>
      </c>
      <c r="O151" s="31">
        <f>IFERROR(VLOOKUP($D151,bug_conf_sheet!$A:$H,4,FALSE),VLOOKUP("other",bug_conf_sheet!$A:$H,4,FALSE))</f>
        <v>0</v>
      </c>
      <c r="P151" s="31">
        <f>IFERROR(VLOOKUP($D151,bug_conf_sheet!$A:$H,5,FALSE),VLOOKUP("other",bug_conf_sheet!$A:$H,5,FALSE))</f>
        <v>0</v>
      </c>
      <c r="Q151" s="31">
        <f>IFERROR(VLOOKUP($D151,bug_conf_sheet!$A:$H,6,FALSE),VLOOKUP("other",bug_conf_sheet!$A:$H,6,FALSE))</f>
        <v>0</v>
      </c>
      <c r="R151" s="31">
        <f>IFERROR(VLOOKUP($D151,bug_conf_sheet!$A:$H,7,FALSE),VLOOKUP("other",bug_conf_sheet!$A:$H,7,FALSE))</f>
        <v>0</v>
      </c>
      <c r="S151" s="31">
        <f>IFERROR(VLOOKUP($D151,bug_conf_sheet!$A:$H,8,FALSE),VLOOKUP("other",bug_conf_sheet!$A:$H,8,FALSE))</f>
        <v>1</v>
      </c>
    </row>
    <row r="152" spans="1:19" ht="21" customHeight="1">
      <c r="A152" s="2">
        <f>input_5!A$2</f>
        <v>3125</v>
      </c>
      <c r="B152" s="7" t="str">
        <f t="shared" si="7"/>
        <v>PremiumSS5</v>
      </c>
      <c r="C152" s="7" t="str">
        <f t="shared" si="8"/>
        <v>PremiumSS</v>
      </c>
      <c r="D152" s="6">
        <v>386</v>
      </c>
      <c r="E152" s="7" t="str">
        <f>VLOOKUP(D152,[1]characters!$A:$C,3,FALSE)</f>
        <v>氾乱の海龍 リヴァイアサン</v>
      </c>
      <c r="F152" s="7" t="str">
        <f>VLOOKUP(D152,[1]characters!$A:$J,10,FALSE)</f>
        <v>PremiumSS</v>
      </c>
      <c r="G152" s="7">
        <f>VLOOKUP(D152,[1]characters!$A:$I,9,FALSE)</f>
        <v>5</v>
      </c>
      <c r="H152" s="7" t="str">
        <f>VLOOKUP(D152,[1]characters!$A:$H,8,FALSE)</f>
        <v>blue</v>
      </c>
      <c r="I152" s="7" t="str">
        <f>VLOOKUP(D152,[1]characters!$A:$K,11,FALSE)</f>
        <v>balance</v>
      </c>
      <c r="J152" s="7" t="str">
        <f>VLOOKUP(D152,[1]characters!$A:$M,13,FALSE)</f>
        <v>dragon</v>
      </c>
      <c r="K152" s="7" t="str">
        <f>VLOOKUP(D152,[1]characters!$A:$G,7,FALSE)</f>
        <v>女性</v>
      </c>
      <c r="L152" s="66">
        <f>IFERROR(VLOOKUP(D152,input_5!L:R,7,FALSE),VLOOKUP(tables_5!B152,input_5!A:H,8,FALSE))</f>
        <v>999</v>
      </c>
      <c r="M152" s="67">
        <f t="shared" si="6"/>
        <v>4.8076923076923077E-5</v>
      </c>
      <c r="N152" s="31">
        <f>IFERROR(VLOOKUP($D152,bug_conf_sheet!$A:$H,3,FALSE),VLOOKUP("other",bug_conf_sheet!$A:$H,3,FALSE))</f>
        <v>1</v>
      </c>
      <c r="O152" s="31">
        <f>IFERROR(VLOOKUP($D152,bug_conf_sheet!$A:$H,4,FALSE),VLOOKUP("other",bug_conf_sheet!$A:$H,4,FALSE))</f>
        <v>0</v>
      </c>
      <c r="P152" s="31">
        <f>IFERROR(VLOOKUP($D152,bug_conf_sheet!$A:$H,5,FALSE),VLOOKUP("other",bug_conf_sheet!$A:$H,5,FALSE))</f>
        <v>0</v>
      </c>
      <c r="Q152" s="31">
        <f>IFERROR(VLOOKUP($D152,bug_conf_sheet!$A:$H,6,FALSE),VLOOKUP("other",bug_conf_sheet!$A:$H,6,FALSE))</f>
        <v>0</v>
      </c>
      <c r="R152" s="31">
        <f>IFERROR(VLOOKUP($D152,bug_conf_sheet!$A:$H,7,FALSE),VLOOKUP("other",bug_conf_sheet!$A:$H,7,FALSE))</f>
        <v>0</v>
      </c>
      <c r="S152" s="31">
        <f>IFERROR(VLOOKUP($D152,bug_conf_sheet!$A:$H,8,FALSE),VLOOKUP("other",bug_conf_sheet!$A:$H,8,FALSE))</f>
        <v>1</v>
      </c>
    </row>
    <row r="153" spans="1:19" ht="21" customHeight="1">
      <c r="A153" s="2">
        <f>input_5!A$2</f>
        <v>3125</v>
      </c>
      <c r="B153" s="7" t="str">
        <f t="shared" si="7"/>
        <v>Premium3</v>
      </c>
      <c r="C153" s="7" t="str">
        <f t="shared" si="8"/>
        <v>Premium</v>
      </c>
      <c r="D153" s="6">
        <v>387</v>
      </c>
      <c r="E153" s="7" t="str">
        <f>VLOOKUP(D153,[1]characters!$A:$C,3,FALSE)</f>
        <v>スフィンクス</v>
      </c>
      <c r="F153" s="7" t="str">
        <f>VLOOKUP(D153,[1]characters!$A:$J,10,FALSE)</f>
        <v>PremiumS</v>
      </c>
      <c r="G153" s="7">
        <f>VLOOKUP(D153,[1]characters!$A:$I,9,FALSE)</f>
        <v>3</v>
      </c>
      <c r="H153" s="7" t="str">
        <f>VLOOKUP(D153,[1]characters!$A:$H,8,FALSE)</f>
        <v>yellow</v>
      </c>
      <c r="I153" s="7" t="str">
        <f>VLOOKUP(D153,[1]characters!$A:$K,11,FALSE)</f>
        <v>heal</v>
      </c>
      <c r="J153" s="7" t="str">
        <f>VLOOKUP(D153,[1]characters!$A:$M,13,FALSE)</f>
        <v>animal</v>
      </c>
      <c r="K153" s="7" t="str">
        <f>VLOOKUP(D153,[1]characters!$A:$G,7,FALSE)</f>
        <v>女性</v>
      </c>
      <c r="L153" s="66">
        <f>IFERROR(VLOOKUP(D153,input_5!L:R,7,FALSE),VLOOKUP(tables_5!B153,input_5!A:H,8,FALSE))</f>
        <v>0</v>
      </c>
      <c r="M153" s="67">
        <f t="shared" si="6"/>
        <v>0</v>
      </c>
      <c r="N153" s="31">
        <f>IFERROR(VLOOKUP($D153,bug_conf_sheet!$A:$H,3,FALSE),VLOOKUP("other",bug_conf_sheet!$A:$H,3,FALSE))</f>
        <v>1</v>
      </c>
      <c r="O153" s="31">
        <f>IFERROR(VLOOKUP($D153,bug_conf_sheet!$A:$H,4,FALSE),VLOOKUP("other",bug_conf_sheet!$A:$H,4,FALSE))</f>
        <v>0</v>
      </c>
      <c r="P153" s="31">
        <f>IFERROR(VLOOKUP($D153,bug_conf_sheet!$A:$H,5,FALSE),VLOOKUP("other",bug_conf_sheet!$A:$H,5,FALSE))</f>
        <v>0</v>
      </c>
      <c r="Q153" s="31">
        <f>IFERROR(VLOOKUP($D153,bug_conf_sheet!$A:$H,6,FALSE),VLOOKUP("other",bug_conf_sheet!$A:$H,6,FALSE))</f>
        <v>0</v>
      </c>
      <c r="R153" s="31">
        <f>IFERROR(VLOOKUP($D153,bug_conf_sheet!$A:$H,7,FALSE),VLOOKUP("other",bug_conf_sheet!$A:$H,7,FALSE))</f>
        <v>0</v>
      </c>
      <c r="S153" s="31">
        <f>IFERROR(VLOOKUP($D153,bug_conf_sheet!$A:$H,8,FALSE),VLOOKUP("other",bug_conf_sheet!$A:$H,8,FALSE))</f>
        <v>1</v>
      </c>
    </row>
    <row r="154" spans="1:19" ht="21" customHeight="1">
      <c r="A154" s="2">
        <f>input_5!A$2</f>
        <v>3125</v>
      </c>
      <c r="B154" s="7" t="str">
        <f t="shared" si="7"/>
        <v>Premium4</v>
      </c>
      <c r="C154" s="7" t="str">
        <f t="shared" si="8"/>
        <v>Premium</v>
      </c>
      <c r="D154" s="6">
        <v>388</v>
      </c>
      <c r="E154" s="7" t="str">
        <f>VLOOKUP(D154,[1]characters!$A:$C,3,FALSE)</f>
        <v>神円の恋姫 スフィンクス</v>
      </c>
      <c r="F154" s="7" t="str">
        <f>VLOOKUP(D154,[1]characters!$A:$J,10,FALSE)</f>
        <v>PremiumS</v>
      </c>
      <c r="G154" s="7">
        <f>VLOOKUP(D154,[1]characters!$A:$I,9,FALSE)</f>
        <v>4</v>
      </c>
      <c r="H154" s="7" t="str">
        <f>VLOOKUP(D154,[1]characters!$A:$H,8,FALSE)</f>
        <v>yellow</v>
      </c>
      <c r="I154" s="7" t="str">
        <f>VLOOKUP(D154,[1]characters!$A:$K,11,FALSE)</f>
        <v>heal</v>
      </c>
      <c r="J154" s="7" t="str">
        <f>VLOOKUP(D154,[1]characters!$A:$M,13,FALSE)</f>
        <v>animal</v>
      </c>
      <c r="K154" s="7" t="str">
        <f>VLOOKUP(D154,[1]characters!$A:$G,7,FALSE)</f>
        <v>女性</v>
      </c>
      <c r="L154" s="66">
        <f>IFERROR(VLOOKUP(D154,input_5!L:R,7,FALSE),VLOOKUP(tables_5!B154,input_5!A:H,8,FALSE))</f>
        <v>260091</v>
      </c>
      <c r="M154" s="67">
        <f t="shared" si="6"/>
        <v>1.2516891891891892E-2</v>
      </c>
      <c r="N154" s="31">
        <f>IFERROR(VLOOKUP($D154,bug_conf_sheet!$A:$H,3,FALSE),VLOOKUP("other",bug_conf_sheet!$A:$H,3,FALSE))</f>
        <v>1</v>
      </c>
      <c r="O154" s="31">
        <f>IFERROR(VLOOKUP($D154,bug_conf_sheet!$A:$H,4,FALSE),VLOOKUP("other",bug_conf_sheet!$A:$H,4,FALSE))</f>
        <v>0</v>
      </c>
      <c r="P154" s="31">
        <f>IFERROR(VLOOKUP($D154,bug_conf_sheet!$A:$H,5,FALSE),VLOOKUP("other",bug_conf_sheet!$A:$H,5,FALSE))</f>
        <v>0</v>
      </c>
      <c r="Q154" s="31">
        <f>IFERROR(VLOOKUP($D154,bug_conf_sheet!$A:$H,6,FALSE),VLOOKUP("other",bug_conf_sheet!$A:$H,6,FALSE))</f>
        <v>0</v>
      </c>
      <c r="R154" s="31">
        <f>IFERROR(VLOOKUP($D154,bug_conf_sheet!$A:$H,7,FALSE),VLOOKUP("other",bug_conf_sheet!$A:$H,7,FALSE))</f>
        <v>0</v>
      </c>
      <c r="S154" s="31">
        <f>IFERROR(VLOOKUP($D154,bug_conf_sheet!$A:$H,8,FALSE),VLOOKUP("other",bug_conf_sheet!$A:$H,8,FALSE))</f>
        <v>1</v>
      </c>
    </row>
    <row r="155" spans="1:19" ht="21" customHeight="1">
      <c r="A155" s="2">
        <f>input_5!A$2</f>
        <v>3125</v>
      </c>
      <c r="B155" s="7" t="str">
        <f t="shared" si="7"/>
        <v>Premium5</v>
      </c>
      <c r="C155" s="7" t="str">
        <f t="shared" si="8"/>
        <v>Premium</v>
      </c>
      <c r="D155" s="6">
        <v>389</v>
      </c>
      <c r="E155" s="7" t="str">
        <f>VLOOKUP(D155,[1]characters!$A:$C,3,FALSE)</f>
        <v>操神の愛姫 スフィンクス</v>
      </c>
      <c r="F155" s="7" t="str">
        <f>VLOOKUP(D155,[1]characters!$A:$J,10,FALSE)</f>
        <v>PremiumS</v>
      </c>
      <c r="G155" s="7">
        <f>VLOOKUP(D155,[1]characters!$A:$I,9,FALSE)</f>
        <v>5</v>
      </c>
      <c r="H155" s="7" t="str">
        <f>VLOOKUP(D155,[1]characters!$A:$H,8,FALSE)</f>
        <v>yellow</v>
      </c>
      <c r="I155" s="7" t="str">
        <f>VLOOKUP(D155,[1]characters!$A:$K,11,FALSE)</f>
        <v>heal</v>
      </c>
      <c r="J155" s="7" t="str">
        <f>VLOOKUP(D155,[1]characters!$A:$M,13,FALSE)</f>
        <v>animal</v>
      </c>
      <c r="K155" s="7" t="str">
        <f>VLOOKUP(D155,[1]characters!$A:$G,7,FALSE)</f>
        <v>女性</v>
      </c>
      <c r="L155" s="66">
        <f>IFERROR(VLOOKUP(D155,input_5!L:R,7,FALSE),VLOOKUP(tables_5!B155,input_5!A:H,8,FALSE))</f>
        <v>18759</v>
      </c>
      <c r="M155" s="67">
        <f t="shared" si="6"/>
        <v>9.0277777777777774E-4</v>
      </c>
      <c r="N155" s="31">
        <f>IFERROR(VLOOKUP($D155,bug_conf_sheet!$A:$H,3,FALSE),VLOOKUP("other",bug_conf_sheet!$A:$H,3,FALSE))</f>
        <v>1</v>
      </c>
      <c r="O155" s="31">
        <f>IFERROR(VLOOKUP($D155,bug_conf_sheet!$A:$H,4,FALSE),VLOOKUP("other",bug_conf_sheet!$A:$H,4,FALSE))</f>
        <v>0</v>
      </c>
      <c r="P155" s="31">
        <f>IFERROR(VLOOKUP($D155,bug_conf_sheet!$A:$H,5,FALSE),VLOOKUP("other",bug_conf_sheet!$A:$H,5,FALSE))</f>
        <v>0</v>
      </c>
      <c r="Q155" s="31">
        <f>IFERROR(VLOOKUP($D155,bug_conf_sheet!$A:$H,6,FALSE),VLOOKUP("other",bug_conf_sheet!$A:$H,6,FALSE))</f>
        <v>0</v>
      </c>
      <c r="R155" s="31">
        <f>IFERROR(VLOOKUP($D155,bug_conf_sheet!$A:$H,7,FALSE),VLOOKUP("other",bug_conf_sheet!$A:$H,7,FALSE))</f>
        <v>0</v>
      </c>
      <c r="S155" s="31">
        <f>IFERROR(VLOOKUP($D155,bug_conf_sheet!$A:$H,8,FALSE),VLOOKUP("other",bug_conf_sheet!$A:$H,8,FALSE))</f>
        <v>1</v>
      </c>
    </row>
    <row r="156" spans="1:19" ht="21" customHeight="1">
      <c r="A156" s="2">
        <f>input_5!A$2</f>
        <v>3125</v>
      </c>
      <c r="B156" s="7" t="str">
        <f t="shared" si="7"/>
        <v>PremiumSS4</v>
      </c>
      <c r="C156" s="7" t="str">
        <f t="shared" si="8"/>
        <v>PremiumSS</v>
      </c>
      <c r="D156" s="6">
        <v>390</v>
      </c>
      <c r="E156" s="7" t="str">
        <f>VLOOKUP(D156,[1]characters!$A:$C,3,FALSE)</f>
        <v>華環の旅客 親指姫</v>
      </c>
      <c r="F156" s="7" t="str">
        <f>VLOOKUP(D156,[1]characters!$A:$J,10,FALSE)</f>
        <v>PremiumSS</v>
      </c>
      <c r="G156" s="7">
        <f>VLOOKUP(D156,[1]characters!$A:$I,9,FALSE)</f>
        <v>4</v>
      </c>
      <c r="H156" s="7" t="str">
        <f>VLOOKUP(D156,[1]characters!$A:$H,8,FALSE)</f>
        <v>red</v>
      </c>
      <c r="I156" s="7" t="str">
        <f>VLOOKUP(D156,[1]characters!$A:$K,11,FALSE)</f>
        <v>heal</v>
      </c>
      <c r="J156" s="7" t="str">
        <f>VLOOKUP(D156,[1]characters!$A:$M,13,FALSE)</f>
        <v>human</v>
      </c>
      <c r="K156" s="7" t="str">
        <f>VLOOKUP(D156,[1]characters!$A:$G,7,FALSE)</f>
        <v>女性</v>
      </c>
      <c r="L156" s="66">
        <f>IFERROR(VLOOKUP(D156,input_5!L:R,7,FALSE),VLOOKUP(tables_5!B156,input_5!A:H,8,FALSE))</f>
        <v>18981</v>
      </c>
      <c r="M156" s="67">
        <f t="shared" si="6"/>
        <v>9.1346153846153845E-4</v>
      </c>
      <c r="N156" s="31">
        <f>IFERROR(VLOOKUP($D156,bug_conf_sheet!$A:$H,3,FALSE),VLOOKUP("other",bug_conf_sheet!$A:$H,3,FALSE))</f>
        <v>1</v>
      </c>
      <c r="O156" s="31">
        <f>IFERROR(VLOOKUP($D156,bug_conf_sheet!$A:$H,4,FALSE),VLOOKUP("other",bug_conf_sheet!$A:$H,4,FALSE))</f>
        <v>0</v>
      </c>
      <c r="P156" s="31">
        <f>IFERROR(VLOOKUP($D156,bug_conf_sheet!$A:$H,5,FALSE),VLOOKUP("other",bug_conf_sheet!$A:$H,5,FALSE))</f>
        <v>0</v>
      </c>
      <c r="Q156" s="31">
        <f>IFERROR(VLOOKUP($D156,bug_conf_sheet!$A:$H,6,FALSE),VLOOKUP("other",bug_conf_sheet!$A:$H,6,FALSE))</f>
        <v>0</v>
      </c>
      <c r="R156" s="31">
        <f>IFERROR(VLOOKUP($D156,bug_conf_sheet!$A:$H,7,FALSE),VLOOKUP("other",bug_conf_sheet!$A:$H,7,FALSE))</f>
        <v>0</v>
      </c>
      <c r="S156" s="31">
        <f>IFERROR(VLOOKUP($D156,bug_conf_sheet!$A:$H,8,FALSE),VLOOKUP("other",bug_conf_sheet!$A:$H,8,FALSE))</f>
        <v>1</v>
      </c>
    </row>
    <row r="157" spans="1:19" ht="21" customHeight="1">
      <c r="A157" s="2">
        <f>input_5!A$2</f>
        <v>3125</v>
      </c>
      <c r="B157" s="7" t="str">
        <f t="shared" si="7"/>
        <v>PremiumSS5</v>
      </c>
      <c r="C157" s="7" t="str">
        <f t="shared" si="8"/>
        <v>PremiumSS</v>
      </c>
      <c r="D157" s="6">
        <v>391</v>
      </c>
      <c r="E157" s="7" t="str">
        <f>VLOOKUP(D157,[1]characters!$A:$C,3,FALSE)</f>
        <v>燕翼の旅人 親指姫</v>
      </c>
      <c r="F157" s="7" t="str">
        <f>VLOOKUP(D157,[1]characters!$A:$J,10,FALSE)</f>
        <v>PremiumSS</v>
      </c>
      <c r="G157" s="7">
        <f>VLOOKUP(D157,[1]characters!$A:$I,9,FALSE)</f>
        <v>5</v>
      </c>
      <c r="H157" s="7" t="str">
        <f>VLOOKUP(D157,[1]characters!$A:$H,8,FALSE)</f>
        <v>red</v>
      </c>
      <c r="I157" s="7" t="str">
        <f>VLOOKUP(D157,[1]characters!$A:$K,11,FALSE)</f>
        <v>heal</v>
      </c>
      <c r="J157" s="7" t="str">
        <f>VLOOKUP(D157,[1]characters!$A:$M,13,FALSE)</f>
        <v>human</v>
      </c>
      <c r="K157" s="7" t="str">
        <f>VLOOKUP(D157,[1]characters!$A:$G,7,FALSE)</f>
        <v>女性</v>
      </c>
      <c r="L157" s="66">
        <f>IFERROR(VLOOKUP(D157,input_5!L:R,7,FALSE),VLOOKUP(tables_5!B157,input_5!A:H,8,FALSE))</f>
        <v>999</v>
      </c>
      <c r="M157" s="67">
        <f t="shared" si="6"/>
        <v>4.8076923076923077E-5</v>
      </c>
      <c r="N157" s="31">
        <f>IFERROR(VLOOKUP($D157,bug_conf_sheet!$A:$H,3,FALSE),VLOOKUP("other",bug_conf_sheet!$A:$H,3,FALSE))</f>
        <v>1</v>
      </c>
      <c r="O157" s="31">
        <f>IFERROR(VLOOKUP($D157,bug_conf_sheet!$A:$H,4,FALSE),VLOOKUP("other",bug_conf_sheet!$A:$H,4,FALSE))</f>
        <v>0</v>
      </c>
      <c r="P157" s="31">
        <f>IFERROR(VLOOKUP($D157,bug_conf_sheet!$A:$H,5,FALSE),VLOOKUP("other",bug_conf_sheet!$A:$H,5,FALSE))</f>
        <v>0</v>
      </c>
      <c r="Q157" s="31">
        <f>IFERROR(VLOOKUP($D157,bug_conf_sheet!$A:$H,6,FALSE),VLOOKUP("other",bug_conf_sheet!$A:$H,6,FALSE))</f>
        <v>0</v>
      </c>
      <c r="R157" s="31">
        <f>IFERROR(VLOOKUP($D157,bug_conf_sheet!$A:$H,7,FALSE),VLOOKUP("other",bug_conf_sheet!$A:$H,7,FALSE))</f>
        <v>0</v>
      </c>
      <c r="S157" s="31">
        <f>IFERROR(VLOOKUP($D157,bug_conf_sheet!$A:$H,8,FALSE),VLOOKUP("other",bug_conf_sheet!$A:$H,8,FALSE))</f>
        <v>1</v>
      </c>
    </row>
    <row r="158" spans="1:19" ht="21" customHeight="1">
      <c r="A158" s="2">
        <f>input_5!A$2</f>
        <v>3125</v>
      </c>
      <c r="B158" s="7" t="str">
        <f t="shared" si="7"/>
        <v>Premium3</v>
      </c>
      <c r="C158" s="7" t="str">
        <f t="shared" si="8"/>
        <v>Premium</v>
      </c>
      <c r="D158" s="6">
        <v>392</v>
      </c>
      <c r="E158" s="7" t="str">
        <f>VLOOKUP(D158,[1]characters!$A:$C,3,FALSE)</f>
        <v>ピーターパン</v>
      </c>
      <c r="F158" s="7" t="str">
        <f>VLOOKUP(D158,[1]characters!$A:$J,10,FALSE)</f>
        <v>PremiumS</v>
      </c>
      <c r="G158" s="7">
        <f>VLOOKUP(D158,[1]characters!$A:$I,9,FALSE)</f>
        <v>3</v>
      </c>
      <c r="H158" s="7" t="str">
        <f>VLOOKUP(D158,[1]characters!$A:$H,8,FALSE)</f>
        <v>green</v>
      </c>
      <c r="I158" s="7" t="str">
        <f>VLOOKUP(D158,[1]characters!$A:$K,11,FALSE)</f>
        <v>attack</v>
      </c>
      <c r="J158" s="7" t="str">
        <f>VLOOKUP(D158,[1]characters!$A:$M,13,FALSE)</f>
        <v>human</v>
      </c>
      <c r="K158" s="7" t="str">
        <f>VLOOKUP(D158,[1]characters!$A:$G,7,FALSE)</f>
        <v>男性</v>
      </c>
      <c r="L158" s="66">
        <f>IFERROR(VLOOKUP(D158,input_5!L:R,7,FALSE),VLOOKUP(tables_5!B158,input_5!A:H,8,FALSE))</f>
        <v>0</v>
      </c>
      <c r="M158" s="67">
        <f t="shared" si="6"/>
        <v>0</v>
      </c>
      <c r="N158" s="31">
        <f>IFERROR(VLOOKUP($D158,bug_conf_sheet!$A:$H,3,FALSE),VLOOKUP("other",bug_conf_sheet!$A:$H,3,FALSE))</f>
        <v>1</v>
      </c>
      <c r="O158" s="31">
        <f>IFERROR(VLOOKUP($D158,bug_conf_sheet!$A:$H,4,FALSE),VLOOKUP("other",bug_conf_sheet!$A:$H,4,FALSE))</f>
        <v>0</v>
      </c>
      <c r="P158" s="31">
        <f>IFERROR(VLOOKUP($D158,bug_conf_sheet!$A:$H,5,FALSE),VLOOKUP("other",bug_conf_sheet!$A:$H,5,FALSE))</f>
        <v>0</v>
      </c>
      <c r="Q158" s="31">
        <f>IFERROR(VLOOKUP($D158,bug_conf_sheet!$A:$H,6,FALSE),VLOOKUP("other",bug_conf_sheet!$A:$H,6,FALSE))</f>
        <v>0</v>
      </c>
      <c r="R158" s="31">
        <f>IFERROR(VLOOKUP($D158,bug_conf_sheet!$A:$H,7,FALSE),VLOOKUP("other",bug_conf_sheet!$A:$H,7,FALSE))</f>
        <v>0</v>
      </c>
      <c r="S158" s="31">
        <f>IFERROR(VLOOKUP($D158,bug_conf_sheet!$A:$H,8,FALSE),VLOOKUP("other",bug_conf_sheet!$A:$H,8,FALSE))</f>
        <v>1</v>
      </c>
    </row>
    <row r="159" spans="1:19" ht="21" customHeight="1">
      <c r="A159" s="2">
        <f>input_5!A$2</f>
        <v>3125</v>
      </c>
      <c r="B159" s="7" t="str">
        <f t="shared" si="7"/>
        <v>Premium4</v>
      </c>
      <c r="C159" s="7" t="str">
        <f t="shared" si="8"/>
        <v>Premium</v>
      </c>
      <c r="D159" s="6">
        <v>393</v>
      </c>
      <c r="E159" s="7" t="str">
        <f>VLOOKUP(D159,[1]characters!$A:$C,3,FALSE)</f>
        <v>影縫い ピーターパン</v>
      </c>
      <c r="F159" s="7" t="str">
        <f>VLOOKUP(D159,[1]characters!$A:$J,10,FALSE)</f>
        <v>PremiumS</v>
      </c>
      <c r="G159" s="7">
        <f>VLOOKUP(D159,[1]characters!$A:$I,9,FALSE)</f>
        <v>4</v>
      </c>
      <c r="H159" s="7" t="str">
        <f>VLOOKUP(D159,[1]characters!$A:$H,8,FALSE)</f>
        <v>green</v>
      </c>
      <c r="I159" s="7" t="str">
        <f>VLOOKUP(D159,[1]characters!$A:$K,11,FALSE)</f>
        <v>attack</v>
      </c>
      <c r="J159" s="7" t="str">
        <f>VLOOKUP(D159,[1]characters!$A:$M,13,FALSE)</f>
        <v>human</v>
      </c>
      <c r="K159" s="7" t="str">
        <f>VLOOKUP(D159,[1]characters!$A:$G,7,FALSE)</f>
        <v>男性</v>
      </c>
      <c r="L159" s="66">
        <f>IFERROR(VLOOKUP(D159,input_5!L:R,7,FALSE),VLOOKUP(tables_5!B159,input_5!A:H,8,FALSE))</f>
        <v>260091</v>
      </c>
      <c r="M159" s="67">
        <f t="shared" si="6"/>
        <v>1.2516891891891892E-2</v>
      </c>
      <c r="N159" s="31">
        <f>IFERROR(VLOOKUP($D159,bug_conf_sheet!$A:$H,3,FALSE),VLOOKUP("other",bug_conf_sheet!$A:$H,3,FALSE))</f>
        <v>1</v>
      </c>
      <c r="O159" s="31">
        <f>IFERROR(VLOOKUP($D159,bug_conf_sheet!$A:$H,4,FALSE),VLOOKUP("other",bug_conf_sheet!$A:$H,4,FALSE))</f>
        <v>0</v>
      </c>
      <c r="P159" s="31">
        <f>IFERROR(VLOOKUP($D159,bug_conf_sheet!$A:$H,5,FALSE),VLOOKUP("other",bug_conf_sheet!$A:$H,5,FALSE))</f>
        <v>0</v>
      </c>
      <c r="Q159" s="31">
        <f>IFERROR(VLOOKUP($D159,bug_conf_sheet!$A:$H,6,FALSE),VLOOKUP("other",bug_conf_sheet!$A:$H,6,FALSE))</f>
        <v>0</v>
      </c>
      <c r="R159" s="31">
        <f>IFERROR(VLOOKUP($D159,bug_conf_sheet!$A:$H,7,FALSE),VLOOKUP("other",bug_conf_sheet!$A:$H,7,FALSE))</f>
        <v>0</v>
      </c>
      <c r="S159" s="31">
        <f>IFERROR(VLOOKUP($D159,bug_conf_sheet!$A:$H,8,FALSE),VLOOKUP("other",bug_conf_sheet!$A:$H,8,FALSE))</f>
        <v>1</v>
      </c>
    </row>
    <row r="160" spans="1:19" ht="21" customHeight="1">
      <c r="A160" s="2">
        <f>input_5!A$2</f>
        <v>3125</v>
      </c>
      <c r="B160" s="7" t="str">
        <f t="shared" si="7"/>
        <v>Premium5</v>
      </c>
      <c r="C160" s="7" t="str">
        <f t="shared" si="8"/>
        <v>Premium</v>
      </c>
      <c r="D160" s="6">
        <v>394</v>
      </c>
      <c r="E160" s="7" t="str">
        <f>VLOOKUP(D160,[1]characters!$A:$C,3,FALSE)</f>
        <v>影求の悪童 ピーターパン</v>
      </c>
      <c r="F160" s="7" t="str">
        <f>VLOOKUP(D160,[1]characters!$A:$J,10,FALSE)</f>
        <v>PremiumS</v>
      </c>
      <c r="G160" s="7">
        <f>VLOOKUP(D160,[1]characters!$A:$I,9,FALSE)</f>
        <v>5</v>
      </c>
      <c r="H160" s="7" t="str">
        <f>VLOOKUP(D160,[1]characters!$A:$H,8,FALSE)</f>
        <v>green</v>
      </c>
      <c r="I160" s="7" t="str">
        <f>VLOOKUP(D160,[1]characters!$A:$K,11,FALSE)</f>
        <v>attack</v>
      </c>
      <c r="J160" s="7" t="str">
        <f>VLOOKUP(D160,[1]characters!$A:$M,13,FALSE)</f>
        <v>human</v>
      </c>
      <c r="K160" s="7" t="str">
        <f>VLOOKUP(D160,[1]characters!$A:$G,7,FALSE)</f>
        <v>男性</v>
      </c>
      <c r="L160" s="66">
        <f>IFERROR(VLOOKUP(D160,input_5!L:R,7,FALSE),VLOOKUP(tables_5!B160,input_5!A:H,8,FALSE))</f>
        <v>18759</v>
      </c>
      <c r="M160" s="67">
        <f t="shared" si="6"/>
        <v>9.0277777777777774E-4</v>
      </c>
      <c r="N160" s="31">
        <f>IFERROR(VLOOKUP($D160,bug_conf_sheet!$A:$H,3,FALSE),VLOOKUP("other",bug_conf_sheet!$A:$H,3,FALSE))</f>
        <v>1</v>
      </c>
      <c r="O160" s="31">
        <f>IFERROR(VLOOKUP($D160,bug_conf_sheet!$A:$H,4,FALSE),VLOOKUP("other",bug_conf_sheet!$A:$H,4,FALSE))</f>
        <v>0</v>
      </c>
      <c r="P160" s="31">
        <f>IFERROR(VLOOKUP($D160,bug_conf_sheet!$A:$H,5,FALSE),VLOOKUP("other",bug_conf_sheet!$A:$H,5,FALSE))</f>
        <v>0</v>
      </c>
      <c r="Q160" s="31">
        <f>IFERROR(VLOOKUP($D160,bug_conf_sheet!$A:$H,6,FALSE),VLOOKUP("other",bug_conf_sheet!$A:$H,6,FALSE))</f>
        <v>0</v>
      </c>
      <c r="R160" s="31">
        <f>IFERROR(VLOOKUP($D160,bug_conf_sheet!$A:$H,7,FALSE),VLOOKUP("other",bug_conf_sheet!$A:$H,7,FALSE))</f>
        <v>0</v>
      </c>
      <c r="S160" s="31">
        <f>IFERROR(VLOOKUP($D160,bug_conf_sheet!$A:$H,8,FALSE),VLOOKUP("other",bug_conf_sheet!$A:$H,8,FALSE))</f>
        <v>1</v>
      </c>
    </row>
    <row r="161" spans="1:19" ht="21" customHeight="1">
      <c r="A161" s="2">
        <f>input_5!A$2</f>
        <v>3125</v>
      </c>
      <c r="B161" s="7" t="str">
        <f t="shared" si="7"/>
        <v>Premium3</v>
      </c>
      <c r="C161" s="7" t="str">
        <f t="shared" si="8"/>
        <v>Premium</v>
      </c>
      <c r="D161" s="6">
        <v>395</v>
      </c>
      <c r="E161" s="7" t="str">
        <f>VLOOKUP(D161,[1]characters!$A:$C,3,FALSE)</f>
        <v>乙姫</v>
      </c>
      <c r="F161" s="7" t="str">
        <f>VLOOKUP(D161,[1]characters!$A:$J,10,FALSE)</f>
        <v>PremiumS</v>
      </c>
      <c r="G161" s="7">
        <f>VLOOKUP(D161,[1]characters!$A:$I,9,FALSE)</f>
        <v>3</v>
      </c>
      <c r="H161" s="7" t="str">
        <f>VLOOKUP(D161,[1]characters!$A:$H,8,FALSE)</f>
        <v>blue</v>
      </c>
      <c r="I161" s="7" t="str">
        <f>VLOOKUP(D161,[1]characters!$A:$K,11,FALSE)</f>
        <v>hp</v>
      </c>
      <c r="J161" s="7" t="str">
        <f>VLOOKUP(D161,[1]characters!$A:$M,13,FALSE)</f>
        <v>human</v>
      </c>
      <c r="K161" s="7" t="str">
        <f>VLOOKUP(D161,[1]characters!$A:$G,7,FALSE)</f>
        <v>女性</v>
      </c>
      <c r="L161" s="66">
        <f>IFERROR(VLOOKUP(D161,input_5!L:R,7,FALSE),VLOOKUP(tables_5!B161,input_5!A:H,8,FALSE))</f>
        <v>0</v>
      </c>
      <c r="M161" s="67">
        <f t="shared" si="6"/>
        <v>0</v>
      </c>
      <c r="N161" s="31">
        <f>IFERROR(VLOOKUP($D161,bug_conf_sheet!$A:$H,3,FALSE),VLOOKUP("other",bug_conf_sheet!$A:$H,3,FALSE))</f>
        <v>1</v>
      </c>
      <c r="O161" s="31">
        <f>IFERROR(VLOOKUP($D161,bug_conf_sheet!$A:$H,4,FALSE),VLOOKUP("other",bug_conf_sheet!$A:$H,4,FALSE))</f>
        <v>0</v>
      </c>
      <c r="P161" s="31">
        <f>IFERROR(VLOOKUP($D161,bug_conf_sheet!$A:$H,5,FALSE),VLOOKUP("other",bug_conf_sheet!$A:$H,5,FALSE))</f>
        <v>0</v>
      </c>
      <c r="Q161" s="31">
        <f>IFERROR(VLOOKUP($D161,bug_conf_sheet!$A:$H,6,FALSE),VLOOKUP("other",bug_conf_sheet!$A:$H,6,FALSE))</f>
        <v>0</v>
      </c>
      <c r="R161" s="31">
        <f>IFERROR(VLOOKUP($D161,bug_conf_sheet!$A:$H,7,FALSE),VLOOKUP("other",bug_conf_sheet!$A:$H,7,FALSE))</f>
        <v>0</v>
      </c>
      <c r="S161" s="31">
        <f>IFERROR(VLOOKUP($D161,bug_conf_sheet!$A:$H,8,FALSE),VLOOKUP("other",bug_conf_sheet!$A:$H,8,FALSE))</f>
        <v>1</v>
      </c>
    </row>
    <row r="162" spans="1:19" ht="21" customHeight="1">
      <c r="A162" s="2">
        <f>input_5!A$2</f>
        <v>3125</v>
      </c>
      <c r="B162" s="7" t="str">
        <f t="shared" si="7"/>
        <v>Premium4</v>
      </c>
      <c r="C162" s="7" t="str">
        <f t="shared" si="8"/>
        <v>Premium</v>
      </c>
      <c r="D162" s="6">
        <v>396</v>
      </c>
      <c r="E162" s="7" t="str">
        <f>VLOOKUP(D162,[1]characters!$A:$C,3,FALSE)</f>
        <v>竜宮の水雷 乙姫</v>
      </c>
      <c r="F162" s="7" t="str">
        <f>VLOOKUP(D162,[1]characters!$A:$J,10,FALSE)</f>
        <v>PremiumS</v>
      </c>
      <c r="G162" s="7">
        <f>VLOOKUP(D162,[1]characters!$A:$I,9,FALSE)</f>
        <v>4</v>
      </c>
      <c r="H162" s="7" t="str">
        <f>VLOOKUP(D162,[1]characters!$A:$H,8,FALSE)</f>
        <v>blue</v>
      </c>
      <c r="I162" s="7" t="str">
        <f>VLOOKUP(D162,[1]characters!$A:$K,11,FALSE)</f>
        <v>hp</v>
      </c>
      <c r="J162" s="7" t="str">
        <f>VLOOKUP(D162,[1]characters!$A:$M,13,FALSE)</f>
        <v>human</v>
      </c>
      <c r="K162" s="7" t="str">
        <f>VLOOKUP(D162,[1]characters!$A:$G,7,FALSE)</f>
        <v>女性</v>
      </c>
      <c r="L162" s="66">
        <f>IFERROR(VLOOKUP(D162,input_5!L:R,7,FALSE),VLOOKUP(tables_5!B162,input_5!A:H,8,FALSE))</f>
        <v>260091</v>
      </c>
      <c r="M162" s="67">
        <f t="shared" si="6"/>
        <v>1.2516891891891892E-2</v>
      </c>
      <c r="N162" s="31">
        <f>IFERROR(VLOOKUP($D162,bug_conf_sheet!$A:$H,3,FALSE),VLOOKUP("other",bug_conf_sheet!$A:$H,3,FALSE))</f>
        <v>1</v>
      </c>
      <c r="O162" s="31">
        <f>IFERROR(VLOOKUP($D162,bug_conf_sheet!$A:$H,4,FALSE),VLOOKUP("other",bug_conf_sheet!$A:$H,4,FALSE))</f>
        <v>0</v>
      </c>
      <c r="P162" s="31">
        <f>IFERROR(VLOOKUP($D162,bug_conf_sheet!$A:$H,5,FALSE),VLOOKUP("other",bug_conf_sheet!$A:$H,5,FALSE))</f>
        <v>0</v>
      </c>
      <c r="Q162" s="31">
        <f>IFERROR(VLOOKUP($D162,bug_conf_sheet!$A:$H,6,FALSE),VLOOKUP("other",bug_conf_sheet!$A:$H,6,FALSE))</f>
        <v>0</v>
      </c>
      <c r="R162" s="31">
        <f>IFERROR(VLOOKUP($D162,bug_conf_sheet!$A:$H,7,FALSE),VLOOKUP("other",bug_conf_sheet!$A:$H,7,FALSE))</f>
        <v>0</v>
      </c>
      <c r="S162" s="31">
        <f>IFERROR(VLOOKUP($D162,bug_conf_sheet!$A:$H,8,FALSE),VLOOKUP("other",bug_conf_sheet!$A:$H,8,FALSE))</f>
        <v>1</v>
      </c>
    </row>
    <row r="163" spans="1:19" ht="21" customHeight="1">
      <c r="A163" s="2">
        <f>input_5!A$2</f>
        <v>3125</v>
      </c>
      <c r="B163" s="7" t="str">
        <f t="shared" si="7"/>
        <v>Premium5</v>
      </c>
      <c r="C163" s="7" t="str">
        <f t="shared" si="8"/>
        <v>Premium</v>
      </c>
      <c r="D163" s="6">
        <v>397</v>
      </c>
      <c r="E163" s="7" t="str">
        <f>VLOOKUP(D163,[1]characters!$A:$C,3,FALSE)</f>
        <v>禁断の追箱 乙姫</v>
      </c>
      <c r="F163" s="7" t="str">
        <f>VLOOKUP(D163,[1]characters!$A:$J,10,FALSE)</f>
        <v>PremiumS</v>
      </c>
      <c r="G163" s="7">
        <f>VLOOKUP(D163,[1]characters!$A:$I,9,FALSE)</f>
        <v>5</v>
      </c>
      <c r="H163" s="7" t="str">
        <f>VLOOKUP(D163,[1]characters!$A:$H,8,FALSE)</f>
        <v>blue</v>
      </c>
      <c r="I163" s="7" t="str">
        <f>VLOOKUP(D163,[1]characters!$A:$K,11,FALSE)</f>
        <v>hp</v>
      </c>
      <c r="J163" s="7" t="str">
        <f>VLOOKUP(D163,[1]characters!$A:$M,13,FALSE)</f>
        <v>human</v>
      </c>
      <c r="K163" s="7" t="str">
        <f>VLOOKUP(D163,[1]characters!$A:$G,7,FALSE)</f>
        <v>女性</v>
      </c>
      <c r="L163" s="66">
        <f>IFERROR(VLOOKUP(D163,input_5!L:R,7,FALSE),VLOOKUP(tables_5!B163,input_5!A:H,8,FALSE))</f>
        <v>18759</v>
      </c>
      <c r="M163" s="67">
        <f t="shared" si="6"/>
        <v>9.0277777777777774E-4</v>
      </c>
      <c r="N163" s="31">
        <f>IFERROR(VLOOKUP($D163,bug_conf_sheet!$A:$H,3,FALSE),VLOOKUP("other",bug_conf_sheet!$A:$H,3,FALSE))</f>
        <v>1</v>
      </c>
      <c r="O163" s="31">
        <f>IFERROR(VLOOKUP($D163,bug_conf_sheet!$A:$H,4,FALSE),VLOOKUP("other",bug_conf_sheet!$A:$H,4,FALSE))</f>
        <v>0</v>
      </c>
      <c r="P163" s="31">
        <f>IFERROR(VLOOKUP($D163,bug_conf_sheet!$A:$H,5,FALSE),VLOOKUP("other",bug_conf_sheet!$A:$H,5,FALSE))</f>
        <v>0</v>
      </c>
      <c r="Q163" s="31">
        <f>IFERROR(VLOOKUP($D163,bug_conf_sheet!$A:$H,6,FALSE),VLOOKUP("other",bug_conf_sheet!$A:$H,6,FALSE))</f>
        <v>0</v>
      </c>
      <c r="R163" s="31">
        <f>IFERROR(VLOOKUP($D163,bug_conf_sheet!$A:$H,7,FALSE),VLOOKUP("other",bug_conf_sheet!$A:$H,7,FALSE))</f>
        <v>0</v>
      </c>
      <c r="S163" s="31">
        <f>IFERROR(VLOOKUP($D163,bug_conf_sheet!$A:$H,8,FALSE),VLOOKUP("other",bug_conf_sheet!$A:$H,8,FALSE))</f>
        <v>1</v>
      </c>
    </row>
    <row r="164" spans="1:19" ht="21" customHeight="1">
      <c r="A164" s="2">
        <f>input_5!A$2</f>
        <v>3125</v>
      </c>
      <c r="B164" s="7" t="str">
        <f t="shared" si="7"/>
        <v>PremiumSS4</v>
      </c>
      <c r="C164" s="7" t="str">
        <f t="shared" si="8"/>
        <v>PremiumSS</v>
      </c>
      <c r="D164" s="6">
        <v>398</v>
      </c>
      <c r="E164" s="7" t="str">
        <f>VLOOKUP(D164,[1]characters!$A:$C,3,FALSE)</f>
        <v>ヘンゼル＆グレーテル</v>
      </c>
      <c r="F164" s="7" t="str">
        <f>VLOOKUP(D164,[1]characters!$A:$J,10,FALSE)</f>
        <v>PremiumSS</v>
      </c>
      <c r="G164" s="7">
        <f>VLOOKUP(D164,[1]characters!$A:$I,9,FALSE)</f>
        <v>4</v>
      </c>
      <c r="H164" s="7" t="str">
        <f>VLOOKUP(D164,[1]characters!$A:$H,8,FALSE)</f>
        <v>yellow</v>
      </c>
      <c r="I164" s="7" t="str">
        <f>VLOOKUP(D164,[1]characters!$A:$K,11,FALSE)</f>
        <v>balance</v>
      </c>
      <c r="J164" s="7" t="str">
        <f>VLOOKUP(D164,[1]characters!$A:$M,13,FALSE)</f>
        <v>human</v>
      </c>
      <c r="K164" s="7" t="str">
        <f>VLOOKUP(D164,[1]characters!$A:$G,7,FALSE)</f>
        <v>女性</v>
      </c>
      <c r="L164" s="66">
        <f>IFERROR(VLOOKUP(D164,input_5!L:R,7,FALSE),VLOOKUP(tables_5!B164,input_5!A:H,8,FALSE))</f>
        <v>18981</v>
      </c>
      <c r="M164" s="67">
        <f t="shared" si="6"/>
        <v>9.1346153846153845E-4</v>
      </c>
      <c r="N164" s="31">
        <f>IFERROR(VLOOKUP($D164,bug_conf_sheet!$A:$H,3,FALSE),VLOOKUP("other",bug_conf_sheet!$A:$H,3,FALSE))</f>
        <v>1</v>
      </c>
      <c r="O164" s="31">
        <f>IFERROR(VLOOKUP($D164,bug_conf_sheet!$A:$H,4,FALSE),VLOOKUP("other",bug_conf_sheet!$A:$H,4,FALSE))</f>
        <v>0</v>
      </c>
      <c r="P164" s="31">
        <f>IFERROR(VLOOKUP($D164,bug_conf_sheet!$A:$H,5,FALSE),VLOOKUP("other",bug_conf_sheet!$A:$H,5,FALSE))</f>
        <v>0</v>
      </c>
      <c r="Q164" s="31">
        <f>IFERROR(VLOOKUP($D164,bug_conf_sheet!$A:$H,6,FALSE),VLOOKUP("other",bug_conf_sheet!$A:$H,6,FALSE))</f>
        <v>0</v>
      </c>
      <c r="R164" s="31">
        <f>IFERROR(VLOOKUP($D164,bug_conf_sheet!$A:$H,7,FALSE),VLOOKUP("other",bug_conf_sheet!$A:$H,7,FALSE))</f>
        <v>0</v>
      </c>
      <c r="S164" s="31">
        <f>IFERROR(VLOOKUP($D164,bug_conf_sheet!$A:$H,8,FALSE),VLOOKUP("other",bug_conf_sheet!$A:$H,8,FALSE))</f>
        <v>1</v>
      </c>
    </row>
    <row r="165" spans="1:19" ht="21" customHeight="1">
      <c r="A165" s="2">
        <f>input_5!A$2</f>
        <v>3125</v>
      </c>
      <c r="B165" s="7" t="str">
        <f t="shared" si="7"/>
        <v>PremiumSS5</v>
      </c>
      <c r="C165" s="7" t="str">
        <f t="shared" si="8"/>
        <v>PremiumSS</v>
      </c>
      <c r="D165" s="6">
        <v>399</v>
      </c>
      <c r="E165" s="7" t="str">
        <f>VLOOKUP(D165,[1]characters!$A:$C,3,FALSE)</f>
        <v>信愛の兄妹 ヘンゼル＆グレーテル</v>
      </c>
      <c r="F165" s="7" t="str">
        <f>VLOOKUP(D165,[1]characters!$A:$J,10,FALSE)</f>
        <v>PremiumSS</v>
      </c>
      <c r="G165" s="7">
        <f>VLOOKUP(D165,[1]characters!$A:$I,9,FALSE)</f>
        <v>5</v>
      </c>
      <c r="H165" s="7" t="str">
        <f>VLOOKUP(D165,[1]characters!$A:$H,8,FALSE)</f>
        <v>yellow</v>
      </c>
      <c r="I165" s="7" t="str">
        <f>VLOOKUP(D165,[1]characters!$A:$K,11,FALSE)</f>
        <v>balance</v>
      </c>
      <c r="J165" s="7" t="str">
        <f>VLOOKUP(D165,[1]characters!$A:$M,13,FALSE)</f>
        <v>human</v>
      </c>
      <c r="K165" s="7" t="str">
        <f>VLOOKUP(D165,[1]characters!$A:$G,7,FALSE)</f>
        <v>女性</v>
      </c>
      <c r="L165" s="66">
        <f>IFERROR(VLOOKUP(D165,input_5!L:R,7,FALSE),VLOOKUP(tables_5!B165,input_5!A:H,8,FALSE))</f>
        <v>999</v>
      </c>
      <c r="M165" s="67">
        <f t="shared" si="6"/>
        <v>4.8076923076923077E-5</v>
      </c>
      <c r="N165" s="31">
        <f>IFERROR(VLOOKUP($D165,bug_conf_sheet!$A:$H,3,FALSE),VLOOKUP("other",bug_conf_sheet!$A:$H,3,FALSE))</f>
        <v>1</v>
      </c>
      <c r="O165" s="31">
        <f>IFERROR(VLOOKUP($D165,bug_conf_sheet!$A:$H,4,FALSE),VLOOKUP("other",bug_conf_sheet!$A:$H,4,FALSE))</f>
        <v>0</v>
      </c>
      <c r="P165" s="31">
        <f>IFERROR(VLOOKUP($D165,bug_conf_sheet!$A:$H,5,FALSE),VLOOKUP("other",bug_conf_sheet!$A:$H,5,FALSE))</f>
        <v>0</v>
      </c>
      <c r="Q165" s="31">
        <f>IFERROR(VLOOKUP($D165,bug_conf_sheet!$A:$H,6,FALSE),VLOOKUP("other",bug_conf_sheet!$A:$H,6,FALSE))</f>
        <v>0</v>
      </c>
      <c r="R165" s="31">
        <f>IFERROR(VLOOKUP($D165,bug_conf_sheet!$A:$H,7,FALSE),VLOOKUP("other",bug_conf_sheet!$A:$H,7,FALSE))</f>
        <v>0</v>
      </c>
      <c r="S165" s="31">
        <f>IFERROR(VLOOKUP($D165,bug_conf_sheet!$A:$H,8,FALSE),VLOOKUP("other",bug_conf_sheet!$A:$H,8,FALSE))</f>
        <v>1</v>
      </c>
    </row>
    <row r="166" spans="1:19" ht="21" customHeight="1">
      <c r="A166" s="2">
        <f>input_5!A$2</f>
        <v>3125</v>
      </c>
      <c r="B166" s="7" t="str">
        <f t="shared" si="7"/>
        <v>Premium3</v>
      </c>
      <c r="C166" s="7" t="str">
        <f t="shared" si="8"/>
        <v>Premium</v>
      </c>
      <c r="D166" s="6">
        <v>400</v>
      </c>
      <c r="E166" s="7" t="str">
        <f>VLOOKUP(D166,[1]characters!$A:$C,3,FALSE)</f>
        <v>フェンリル</v>
      </c>
      <c r="F166" s="7" t="str">
        <f>VLOOKUP(D166,[1]characters!$A:$J,10,FALSE)</f>
        <v>PremiumS</v>
      </c>
      <c r="G166" s="7">
        <f>VLOOKUP(D166,[1]characters!$A:$I,9,FALSE)</f>
        <v>3</v>
      </c>
      <c r="H166" s="7" t="str">
        <f>VLOOKUP(D166,[1]characters!$A:$H,8,FALSE)</f>
        <v>red</v>
      </c>
      <c r="I166" s="7" t="str">
        <f>VLOOKUP(D166,[1]characters!$A:$K,11,FALSE)</f>
        <v>attack</v>
      </c>
      <c r="J166" s="7" t="str">
        <f>VLOOKUP(D166,[1]characters!$A:$M,13,FALSE)</f>
        <v>animal</v>
      </c>
      <c r="K166" s="7" t="str">
        <f>VLOOKUP(D166,[1]characters!$A:$G,7,FALSE)</f>
        <v>女性</v>
      </c>
      <c r="L166" s="66">
        <f>IFERROR(VLOOKUP(D166,input_5!L:R,7,FALSE),VLOOKUP(tables_5!B166,input_5!A:H,8,FALSE))</f>
        <v>0</v>
      </c>
      <c r="M166" s="67">
        <f t="shared" si="6"/>
        <v>0</v>
      </c>
      <c r="N166" s="31">
        <f>IFERROR(VLOOKUP($D166,bug_conf_sheet!$A:$H,3,FALSE),VLOOKUP("other",bug_conf_sheet!$A:$H,3,FALSE))</f>
        <v>1</v>
      </c>
      <c r="O166" s="31">
        <f>IFERROR(VLOOKUP($D166,bug_conf_sheet!$A:$H,4,FALSE),VLOOKUP("other",bug_conf_sheet!$A:$H,4,FALSE))</f>
        <v>0</v>
      </c>
      <c r="P166" s="31">
        <f>IFERROR(VLOOKUP($D166,bug_conf_sheet!$A:$H,5,FALSE),VLOOKUP("other",bug_conf_sheet!$A:$H,5,FALSE))</f>
        <v>0</v>
      </c>
      <c r="Q166" s="31">
        <f>IFERROR(VLOOKUP($D166,bug_conf_sheet!$A:$H,6,FALSE),VLOOKUP("other",bug_conf_sheet!$A:$H,6,FALSE))</f>
        <v>0</v>
      </c>
      <c r="R166" s="31">
        <f>IFERROR(VLOOKUP($D166,bug_conf_sheet!$A:$H,7,FALSE),VLOOKUP("other",bug_conf_sheet!$A:$H,7,FALSE))</f>
        <v>0</v>
      </c>
      <c r="S166" s="31">
        <f>IFERROR(VLOOKUP($D166,bug_conf_sheet!$A:$H,8,FALSE),VLOOKUP("other",bug_conf_sheet!$A:$H,8,FALSE))</f>
        <v>1</v>
      </c>
    </row>
    <row r="167" spans="1:19" ht="21" customHeight="1">
      <c r="A167" s="2">
        <f>input_5!A$2</f>
        <v>3125</v>
      </c>
      <c r="B167" s="7" t="str">
        <f t="shared" si="7"/>
        <v>Premium4</v>
      </c>
      <c r="C167" s="7" t="str">
        <f t="shared" si="8"/>
        <v>Premium</v>
      </c>
      <c r="D167" s="6">
        <v>401</v>
      </c>
      <c r="E167" s="7" t="str">
        <f>VLOOKUP(D167,[1]characters!$A:$C,3,FALSE)</f>
        <v>紅銀の孤狼 フェンリル</v>
      </c>
      <c r="F167" s="7" t="str">
        <f>VLOOKUP(D167,[1]characters!$A:$J,10,FALSE)</f>
        <v>PremiumS</v>
      </c>
      <c r="G167" s="7">
        <f>VLOOKUP(D167,[1]characters!$A:$I,9,FALSE)</f>
        <v>4</v>
      </c>
      <c r="H167" s="7" t="str">
        <f>VLOOKUP(D167,[1]characters!$A:$H,8,FALSE)</f>
        <v>red</v>
      </c>
      <c r="I167" s="7" t="str">
        <f>VLOOKUP(D167,[1]characters!$A:$K,11,FALSE)</f>
        <v>attack</v>
      </c>
      <c r="J167" s="7" t="str">
        <f>VLOOKUP(D167,[1]characters!$A:$M,13,FALSE)</f>
        <v>animal</v>
      </c>
      <c r="K167" s="7" t="str">
        <f>VLOOKUP(D167,[1]characters!$A:$G,7,FALSE)</f>
        <v>女性</v>
      </c>
      <c r="L167" s="66">
        <f>IFERROR(VLOOKUP(D167,input_5!L:R,7,FALSE),VLOOKUP(tables_5!B167,input_5!A:H,8,FALSE))</f>
        <v>260091</v>
      </c>
      <c r="M167" s="67">
        <f t="shared" si="6"/>
        <v>1.2516891891891892E-2</v>
      </c>
      <c r="N167" s="31">
        <f>IFERROR(VLOOKUP($D167,bug_conf_sheet!$A:$H,3,FALSE),VLOOKUP("other",bug_conf_sheet!$A:$H,3,FALSE))</f>
        <v>1</v>
      </c>
      <c r="O167" s="31">
        <f>IFERROR(VLOOKUP($D167,bug_conf_sheet!$A:$H,4,FALSE),VLOOKUP("other",bug_conf_sheet!$A:$H,4,FALSE))</f>
        <v>0</v>
      </c>
      <c r="P167" s="31">
        <f>IFERROR(VLOOKUP($D167,bug_conf_sheet!$A:$H,5,FALSE),VLOOKUP("other",bug_conf_sheet!$A:$H,5,FALSE))</f>
        <v>0</v>
      </c>
      <c r="Q167" s="31">
        <f>IFERROR(VLOOKUP($D167,bug_conf_sheet!$A:$H,6,FALSE),VLOOKUP("other",bug_conf_sheet!$A:$H,6,FALSE))</f>
        <v>0</v>
      </c>
      <c r="R167" s="31">
        <f>IFERROR(VLOOKUP($D167,bug_conf_sheet!$A:$H,7,FALSE),VLOOKUP("other",bug_conf_sheet!$A:$H,7,FALSE))</f>
        <v>0</v>
      </c>
      <c r="S167" s="31">
        <f>IFERROR(VLOOKUP($D167,bug_conf_sheet!$A:$H,8,FALSE),VLOOKUP("other",bug_conf_sheet!$A:$H,8,FALSE))</f>
        <v>1</v>
      </c>
    </row>
    <row r="168" spans="1:19" ht="21" customHeight="1">
      <c r="A168" s="2">
        <f>input_5!A$2</f>
        <v>3125</v>
      </c>
      <c r="B168" s="7" t="str">
        <f t="shared" si="7"/>
        <v>Premium5</v>
      </c>
      <c r="C168" s="7" t="str">
        <f t="shared" si="8"/>
        <v>Premium</v>
      </c>
      <c r="D168" s="6">
        <v>402</v>
      </c>
      <c r="E168" s="7" t="str">
        <f>VLOOKUP(D168,[1]characters!$A:$C,3,FALSE)</f>
        <v>天災の神狼 フェンリル</v>
      </c>
      <c r="F168" s="7" t="str">
        <f>VLOOKUP(D168,[1]characters!$A:$J,10,FALSE)</f>
        <v>PremiumS</v>
      </c>
      <c r="G168" s="7">
        <f>VLOOKUP(D168,[1]characters!$A:$I,9,FALSE)</f>
        <v>5</v>
      </c>
      <c r="H168" s="7" t="str">
        <f>VLOOKUP(D168,[1]characters!$A:$H,8,FALSE)</f>
        <v>red</v>
      </c>
      <c r="I168" s="7" t="str">
        <f>VLOOKUP(D168,[1]characters!$A:$K,11,FALSE)</f>
        <v>attack</v>
      </c>
      <c r="J168" s="7" t="str">
        <f>VLOOKUP(D168,[1]characters!$A:$M,13,FALSE)</f>
        <v>animal</v>
      </c>
      <c r="K168" s="7" t="str">
        <f>VLOOKUP(D168,[1]characters!$A:$G,7,FALSE)</f>
        <v>女性</v>
      </c>
      <c r="L168" s="66">
        <f>IFERROR(VLOOKUP(D168,input_5!L:R,7,FALSE),VLOOKUP(tables_5!B168,input_5!A:H,8,FALSE))</f>
        <v>18759</v>
      </c>
      <c r="M168" s="67">
        <f t="shared" si="6"/>
        <v>9.0277777777777774E-4</v>
      </c>
      <c r="N168" s="31">
        <f>IFERROR(VLOOKUP($D168,bug_conf_sheet!$A:$H,3,FALSE),VLOOKUP("other",bug_conf_sheet!$A:$H,3,FALSE))</f>
        <v>1</v>
      </c>
      <c r="O168" s="31">
        <f>IFERROR(VLOOKUP($D168,bug_conf_sheet!$A:$H,4,FALSE),VLOOKUP("other",bug_conf_sheet!$A:$H,4,FALSE))</f>
        <v>0</v>
      </c>
      <c r="P168" s="31">
        <f>IFERROR(VLOOKUP($D168,bug_conf_sheet!$A:$H,5,FALSE),VLOOKUP("other",bug_conf_sheet!$A:$H,5,FALSE))</f>
        <v>0</v>
      </c>
      <c r="Q168" s="31">
        <f>IFERROR(VLOOKUP($D168,bug_conf_sheet!$A:$H,6,FALSE),VLOOKUP("other",bug_conf_sheet!$A:$H,6,FALSE))</f>
        <v>0</v>
      </c>
      <c r="R168" s="31">
        <f>IFERROR(VLOOKUP($D168,bug_conf_sheet!$A:$H,7,FALSE),VLOOKUP("other",bug_conf_sheet!$A:$H,7,FALSE))</f>
        <v>0</v>
      </c>
      <c r="S168" s="31">
        <f>IFERROR(VLOOKUP($D168,bug_conf_sheet!$A:$H,8,FALSE),VLOOKUP("other",bug_conf_sheet!$A:$H,8,FALSE))</f>
        <v>1</v>
      </c>
    </row>
    <row r="169" spans="1:19" ht="21" customHeight="1">
      <c r="A169" s="2">
        <f>input_5!A$2</f>
        <v>3125</v>
      </c>
      <c r="B169" s="7" t="str">
        <f t="shared" si="7"/>
        <v>PremiumSS4</v>
      </c>
      <c r="C169" s="7" t="str">
        <f t="shared" si="8"/>
        <v>PremiumSS</v>
      </c>
      <c r="D169" s="6">
        <v>403</v>
      </c>
      <c r="E169" s="7" t="str">
        <f>VLOOKUP(D169,[1]characters!$A:$C,3,FALSE)</f>
        <v>静撃の翠眼 八咫烏</v>
      </c>
      <c r="F169" s="7" t="str">
        <f>VLOOKUP(D169,[1]characters!$A:$J,10,FALSE)</f>
        <v>PremiumSS</v>
      </c>
      <c r="G169" s="7">
        <f>VLOOKUP(D169,[1]characters!$A:$I,9,FALSE)</f>
        <v>4</v>
      </c>
      <c r="H169" s="7" t="str">
        <f>VLOOKUP(D169,[1]characters!$A:$H,8,FALSE)</f>
        <v>green</v>
      </c>
      <c r="I169" s="7" t="str">
        <f>VLOOKUP(D169,[1]characters!$A:$K,11,FALSE)</f>
        <v>balance</v>
      </c>
      <c r="J169" s="7" t="str">
        <f>VLOOKUP(D169,[1]characters!$A:$M,13,FALSE)</f>
        <v>animal</v>
      </c>
      <c r="K169" s="7" t="str">
        <f>VLOOKUP(D169,[1]characters!$A:$G,7,FALSE)</f>
        <v>女性</v>
      </c>
      <c r="L169" s="66">
        <f>IFERROR(VLOOKUP(D169,input_5!L:R,7,FALSE),VLOOKUP(tables_5!B169,input_5!A:H,8,FALSE))</f>
        <v>18981</v>
      </c>
      <c r="M169" s="67">
        <f t="shared" si="6"/>
        <v>9.1346153846153845E-4</v>
      </c>
      <c r="N169" s="31">
        <f>IFERROR(VLOOKUP($D169,bug_conf_sheet!$A:$H,3,FALSE),VLOOKUP("other",bug_conf_sheet!$A:$H,3,FALSE))</f>
        <v>1</v>
      </c>
      <c r="O169" s="31">
        <f>IFERROR(VLOOKUP($D169,bug_conf_sheet!$A:$H,4,FALSE),VLOOKUP("other",bug_conf_sheet!$A:$H,4,FALSE))</f>
        <v>0</v>
      </c>
      <c r="P169" s="31">
        <f>IFERROR(VLOOKUP($D169,bug_conf_sheet!$A:$H,5,FALSE),VLOOKUP("other",bug_conf_sheet!$A:$H,5,FALSE))</f>
        <v>0</v>
      </c>
      <c r="Q169" s="31">
        <f>IFERROR(VLOOKUP($D169,bug_conf_sheet!$A:$H,6,FALSE),VLOOKUP("other",bug_conf_sheet!$A:$H,6,FALSE))</f>
        <v>0</v>
      </c>
      <c r="R169" s="31">
        <f>IFERROR(VLOOKUP($D169,bug_conf_sheet!$A:$H,7,FALSE),VLOOKUP("other",bug_conf_sheet!$A:$H,7,FALSE))</f>
        <v>0</v>
      </c>
      <c r="S169" s="31">
        <f>IFERROR(VLOOKUP($D169,bug_conf_sheet!$A:$H,8,FALSE),VLOOKUP("other",bug_conf_sheet!$A:$H,8,FALSE))</f>
        <v>1</v>
      </c>
    </row>
    <row r="170" spans="1:19" ht="21" customHeight="1">
      <c r="A170" s="2">
        <f>input_5!A$2</f>
        <v>3125</v>
      </c>
      <c r="B170" s="7" t="str">
        <f t="shared" si="7"/>
        <v>PremiumSS5</v>
      </c>
      <c r="C170" s="7" t="str">
        <f t="shared" si="8"/>
        <v>PremiumSS</v>
      </c>
      <c r="D170" s="6">
        <v>404</v>
      </c>
      <c r="E170" s="7" t="str">
        <f>VLOOKUP(D170,[1]characters!$A:$C,3,FALSE)</f>
        <v>空襲の神眼 八咫烏</v>
      </c>
      <c r="F170" s="7" t="str">
        <f>VLOOKUP(D170,[1]characters!$A:$J,10,FALSE)</f>
        <v>PremiumSS</v>
      </c>
      <c r="G170" s="7">
        <f>VLOOKUP(D170,[1]characters!$A:$I,9,FALSE)</f>
        <v>5</v>
      </c>
      <c r="H170" s="7" t="str">
        <f>VLOOKUP(D170,[1]characters!$A:$H,8,FALSE)</f>
        <v>green</v>
      </c>
      <c r="I170" s="7" t="str">
        <f>VLOOKUP(D170,[1]characters!$A:$K,11,FALSE)</f>
        <v>balance</v>
      </c>
      <c r="J170" s="7" t="str">
        <f>VLOOKUP(D170,[1]characters!$A:$M,13,FALSE)</f>
        <v>animal</v>
      </c>
      <c r="K170" s="7" t="str">
        <f>VLOOKUP(D170,[1]characters!$A:$G,7,FALSE)</f>
        <v>女性</v>
      </c>
      <c r="L170" s="66">
        <f>IFERROR(VLOOKUP(D170,input_5!L:R,7,FALSE),VLOOKUP(tables_5!B170,input_5!A:H,8,FALSE))</f>
        <v>999</v>
      </c>
      <c r="M170" s="67">
        <f t="shared" si="6"/>
        <v>4.8076923076923077E-5</v>
      </c>
      <c r="N170" s="31">
        <f>IFERROR(VLOOKUP($D170,bug_conf_sheet!$A:$H,3,FALSE),VLOOKUP("other",bug_conf_sheet!$A:$H,3,FALSE))</f>
        <v>1</v>
      </c>
      <c r="O170" s="31">
        <f>IFERROR(VLOOKUP($D170,bug_conf_sheet!$A:$H,4,FALSE),VLOOKUP("other",bug_conf_sheet!$A:$H,4,FALSE))</f>
        <v>0</v>
      </c>
      <c r="P170" s="31">
        <f>IFERROR(VLOOKUP($D170,bug_conf_sheet!$A:$H,5,FALSE),VLOOKUP("other",bug_conf_sheet!$A:$H,5,FALSE))</f>
        <v>0</v>
      </c>
      <c r="Q170" s="31">
        <f>IFERROR(VLOOKUP($D170,bug_conf_sheet!$A:$H,6,FALSE),VLOOKUP("other",bug_conf_sheet!$A:$H,6,FALSE))</f>
        <v>0</v>
      </c>
      <c r="R170" s="31">
        <f>IFERROR(VLOOKUP($D170,bug_conf_sheet!$A:$H,7,FALSE),VLOOKUP("other",bug_conf_sheet!$A:$H,7,FALSE))</f>
        <v>0</v>
      </c>
      <c r="S170" s="31">
        <f>IFERROR(VLOOKUP($D170,bug_conf_sheet!$A:$H,8,FALSE),VLOOKUP("other",bug_conf_sheet!$A:$H,8,FALSE))</f>
        <v>1</v>
      </c>
    </row>
    <row r="171" spans="1:19" ht="21" customHeight="1">
      <c r="A171" s="2">
        <f>input_5!A$2</f>
        <v>3125</v>
      </c>
      <c r="B171" s="7" t="str">
        <f t="shared" si="7"/>
        <v>Premium3</v>
      </c>
      <c r="C171" s="7" t="str">
        <f t="shared" si="8"/>
        <v>Premium</v>
      </c>
      <c r="D171" s="6">
        <v>405</v>
      </c>
      <c r="E171" s="7" t="str">
        <f>VLOOKUP(D171,[1]characters!$A:$C,3,FALSE)</f>
        <v>エキドナ</v>
      </c>
      <c r="F171" s="7" t="str">
        <f>VLOOKUP(D171,[1]characters!$A:$J,10,FALSE)</f>
        <v>PremiumS</v>
      </c>
      <c r="G171" s="7">
        <f>VLOOKUP(D171,[1]characters!$A:$I,9,FALSE)</f>
        <v>3</v>
      </c>
      <c r="H171" s="7" t="str">
        <f>VLOOKUP(D171,[1]characters!$A:$H,8,FALSE)</f>
        <v>blue</v>
      </c>
      <c r="I171" s="7" t="str">
        <f>VLOOKUP(D171,[1]characters!$A:$K,11,FALSE)</f>
        <v>technical</v>
      </c>
      <c r="J171" s="7" t="str">
        <f>VLOOKUP(D171,[1]characters!$A:$M,13,FALSE)</f>
        <v>animal</v>
      </c>
      <c r="K171" s="7" t="str">
        <f>VLOOKUP(D171,[1]characters!$A:$G,7,FALSE)</f>
        <v>女性</v>
      </c>
      <c r="L171" s="66">
        <f>IFERROR(VLOOKUP(D171,input_5!L:R,7,FALSE),VLOOKUP(tables_5!B171,input_5!A:H,8,FALSE))</f>
        <v>0</v>
      </c>
      <c r="M171" s="67">
        <f t="shared" si="6"/>
        <v>0</v>
      </c>
      <c r="N171" s="31">
        <f>IFERROR(VLOOKUP($D171,bug_conf_sheet!$A:$H,3,FALSE),VLOOKUP("other",bug_conf_sheet!$A:$H,3,FALSE))</f>
        <v>1</v>
      </c>
      <c r="O171" s="31">
        <f>IFERROR(VLOOKUP($D171,bug_conf_sheet!$A:$H,4,FALSE),VLOOKUP("other",bug_conf_sheet!$A:$H,4,FALSE))</f>
        <v>0</v>
      </c>
      <c r="P171" s="31">
        <f>IFERROR(VLOOKUP($D171,bug_conf_sheet!$A:$H,5,FALSE),VLOOKUP("other",bug_conf_sheet!$A:$H,5,FALSE))</f>
        <v>0</v>
      </c>
      <c r="Q171" s="31">
        <f>IFERROR(VLOOKUP($D171,bug_conf_sheet!$A:$H,6,FALSE),VLOOKUP("other",bug_conf_sheet!$A:$H,6,FALSE))</f>
        <v>0</v>
      </c>
      <c r="R171" s="31">
        <f>IFERROR(VLOOKUP($D171,bug_conf_sheet!$A:$H,7,FALSE),VLOOKUP("other",bug_conf_sheet!$A:$H,7,FALSE))</f>
        <v>0</v>
      </c>
      <c r="S171" s="31">
        <f>IFERROR(VLOOKUP($D171,bug_conf_sheet!$A:$H,8,FALSE),VLOOKUP("other",bug_conf_sheet!$A:$H,8,FALSE))</f>
        <v>1</v>
      </c>
    </row>
    <row r="172" spans="1:19" ht="21" customHeight="1">
      <c r="A172" s="2">
        <f>input_5!A$2</f>
        <v>3125</v>
      </c>
      <c r="B172" s="7" t="str">
        <f t="shared" si="7"/>
        <v>Premium4</v>
      </c>
      <c r="C172" s="7" t="str">
        <f t="shared" si="8"/>
        <v>Premium</v>
      </c>
      <c r="D172" s="6">
        <v>406</v>
      </c>
      <c r="E172" s="7" t="str">
        <f>VLOOKUP(D172,[1]characters!$A:$C,3,FALSE)</f>
        <v>美笑の蒼蛇 エキドナ</v>
      </c>
      <c r="F172" s="7" t="str">
        <f>VLOOKUP(D172,[1]characters!$A:$J,10,FALSE)</f>
        <v>PremiumS</v>
      </c>
      <c r="G172" s="7">
        <f>VLOOKUP(D172,[1]characters!$A:$I,9,FALSE)</f>
        <v>4</v>
      </c>
      <c r="H172" s="7" t="str">
        <f>VLOOKUP(D172,[1]characters!$A:$H,8,FALSE)</f>
        <v>blue</v>
      </c>
      <c r="I172" s="7" t="str">
        <f>VLOOKUP(D172,[1]characters!$A:$K,11,FALSE)</f>
        <v>technical</v>
      </c>
      <c r="J172" s="7" t="str">
        <f>VLOOKUP(D172,[1]characters!$A:$M,13,FALSE)</f>
        <v>animal</v>
      </c>
      <c r="K172" s="7" t="str">
        <f>VLOOKUP(D172,[1]characters!$A:$G,7,FALSE)</f>
        <v>女性</v>
      </c>
      <c r="L172" s="66">
        <f>IFERROR(VLOOKUP(D172,input_5!L:R,7,FALSE),VLOOKUP(tables_5!B172,input_5!A:H,8,FALSE))</f>
        <v>260091</v>
      </c>
      <c r="M172" s="67">
        <f t="shared" si="6"/>
        <v>1.2516891891891892E-2</v>
      </c>
      <c r="N172" s="31">
        <f>IFERROR(VLOOKUP($D172,bug_conf_sheet!$A:$H,3,FALSE),VLOOKUP("other",bug_conf_sheet!$A:$H,3,FALSE))</f>
        <v>1</v>
      </c>
      <c r="O172" s="31">
        <f>IFERROR(VLOOKUP($D172,bug_conf_sheet!$A:$H,4,FALSE),VLOOKUP("other",bug_conf_sheet!$A:$H,4,FALSE))</f>
        <v>0</v>
      </c>
      <c r="P172" s="31">
        <f>IFERROR(VLOOKUP($D172,bug_conf_sheet!$A:$H,5,FALSE),VLOOKUP("other",bug_conf_sheet!$A:$H,5,FALSE))</f>
        <v>0</v>
      </c>
      <c r="Q172" s="31">
        <f>IFERROR(VLOOKUP($D172,bug_conf_sheet!$A:$H,6,FALSE),VLOOKUP("other",bug_conf_sheet!$A:$H,6,FALSE))</f>
        <v>0</v>
      </c>
      <c r="R172" s="31">
        <f>IFERROR(VLOOKUP($D172,bug_conf_sheet!$A:$H,7,FALSE),VLOOKUP("other",bug_conf_sheet!$A:$H,7,FALSE))</f>
        <v>0</v>
      </c>
      <c r="S172" s="31">
        <f>IFERROR(VLOOKUP($D172,bug_conf_sheet!$A:$H,8,FALSE),VLOOKUP("other",bug_conf_sheet!$A:$H,8,FALSE))</f>
        <v>1</v>
      </c>
    </row>
    <row r="173" spans="1:19" ht="21" customHeight="1">
      <c r="A173" s="2">
        <f>input_5!A$2</f>
        <v>3125</v>
      </c>
      <c r="B173" s="7" t="str">
        <f t="shared" si="7"/>
        <v>Premium5</v>
      </c>
      <c r="C173" s="7" t="str">
        <f t="shared" si="8"/>
        <v>Premium</v>
      </c>
      <c r="D173" s="6">
        <v>407</v>
      </c>
      <c r="E173" s="7" t="str">
        <f>VLOOKUP(D173,[1]characters!$A:$C,3,FALSE)</f>
        <v>蠱惑の飛刀 エキドナ</v>
      </c>
      <c r="F173" s="7" t="str">
        <f>VLOOKUP(D173,[1]characters!$A:$J,10,FALSE)</f>
        <v>PremiumS</v>
      </c>
      <c r="G173" s="7">
        <f>VLOOKUP(D173,[1]characters!$A:$I,9,FALSE)</f>
        <v>5</v>
      </c>
      <c r="H173" s="7" t="str">
        <f>VLOOKUP(D173,[1]characters!$A:$H,8,FALSE)</f>
        <v>blue</v>
      </c>
      <c r="I173" s="7" t="str">
        <f>VLOOKUP(D173,[1]characters!$A:$K,11,FALSE)</f>
        <v>technical</v>
      </c>
      <c r="J173" s="7" t="str">
        <f>VLOOKUP(D173,[1]characters!$A:$M,13,FALSE)</f>
        <v>animal</v>
      </c>
      <c r="K173" s="7" t="str">
        <f>VLOOKUP(D173,[1]characters!$A:$G,7,FALSE)</f>
        <v>女性</v>
      </c>
      <c r="L173" s="66">
        <f>IFERROR(VLOOKUP(D173,input_5!L:R,7,FALSE),VLOOKUP(tables_5!B173,input_5!A:H,8,FALSE))</f>
        <v>18759</v>
      </c>
      <c r="M173" s="67">
        <f t="shared" si="6"/>
        <v>9.0277777777777774E-4</v>
      </c>
      <c r="N173" s="31">
        <f>IFERROR(VLOOKUP($D173,bug_conf_sheet!$A:$H,3,FALSE),VLOOKUP("other",bug_conf_sheet!$A:$H,3,FALSE))</f>
        <v>1</v>
      </c>
      <c r="O173" s="31">
        <f>IFERROR(VLOOKUP($D173,bug_conf_sheet!$A:$H,4,FALSE),VLOOKUP("other",bug_conf_sheet!$A:$H,4,FALSE))</f>
        <v>0</v>
      </c>
      <c r="P173" s="31">
        <f>IFERROR(VLOOKUP($D173,bug_conf_sheet!$A:$H,5,FALSE),VLOOKUP("other",bug_conf_sheet!$A:$H,5,FALSE))</f>
        <v>0</v>
      </c>
      <c r="Q173" s="31">
        <f>IFERROR(VLOOKUP($D173,bug_conf_sheet!$A:$H,6,FALSE),VLOOKUP("other",bug_conf_sheet!$A:$H,6,FALSE))</f>
        <v>0</v>
      </c>
      <c r="R173" s="31">
        <f>IFERROR(VLOOKUP($D173,bug_conf_sheet!$A:$H,7,FALSE),VLOOKUP("other",bug_conf_sheet!$A:$H,7,FALSE))</f>
        <v>0</v>
      </c>
      <c r="S173" s="31">
        <f>IFERROR(VLOOKUP($D173,bug_conf_sheet!$A:$H,8,FALSE),VLOOKUP("other",bug_conf_sheet!$A:$H,8,FALSE))</f>
        <v>1</v>
      </c>
    </row>
    <row r="174" spans="1:19" ht="21" customHeight="1">
      <c r="A174" s="2">
        <f>input_5!A$2</f>
        <v>3125</v>
      </c>
      <c r="B174" s="7" t="str">
        <f t="shared" si="7"/>
        <v>PremiumSS4</v>
      </c>
      <c r="C174" s="7" t="str">
        <f t="shared" si="8"/>
        <v>PremiumSS</v>
      </c>
      <c r="D174" s="6">
        <v>408</v>
      </c>
      <c r="E174" s="7" t="str">
        <f>VLOOKUP(D174,[1]characters!$A:$C,3,FALSE)</f>
        <v>皇魔 アスタロト</v>
      </c>
      <c r="F174" s="7" t="str">
        <f>VLOOKUP(D174,[1]characters!$A:$J,10,FALSE)</f>
        <v>PremiumSS</v>
      </c>
      <c r="G174" s="7">
        <f>VLOOKUP(D174,[1]characters!$A:$I,9,FALSE)</f>
        <v>4</v>
      </c>
      <c r="H174" s="7" t="str">
        <f>VLOOKUP(D174,[1]characters!$A:$H,8,FALSE)</f>
        <v>yellow</v>
      </c>
      <c r="I174" s="7" t="str">
        <f>VLOOKUP(D174,[1]characters!$A:$K,11,FALSE)</f>
        <v>attack</v>
      </c>
      <c r="J174" s="7" t="str">
        <f>VLOOKUP(D174,[1]characters!$A:$M,13,FALSE)</f>
        <v>god</v>
      </c>
      <c r="K174" s="7" t="str">
        <f>VLOOKUP(D174,[1]characters!$A:$G,7,FALSE)</f>
        <v>男性</v>
      </c>
      <c r="L174" s="66">
        <f>IFERROR(VLOOKUP(D174,input_5!L:R,7,FALSE),VLOOKUP(tables_5!B174,input_5!A:H,8,FALSE))</f>
        <v>18981</v>
      </c>
      <c r="M174" s="67">
        <f t="shared" si="6"/>
        <v>9.1346153846153845E-4</v>
      </c>
      <c r="N174" s="31">
        <f>IFERROR(VLOOKUP($D174,bug_conf_sheet!$A:$H,3,FALSE),VLOOKUP("other",bug_conf_sheet!$A:$H,3,FALSE))</f>
        <v>1</v>
      </c>
      <c r="O174" s="31">
        <f>IFERROR(VLOOKUP($D174,bug_conf_sheet!$A:$H,4,FALSE),VLOOKUP("other",bug_conf_sheet!$A:$H,4,FALSE))</f>
        <v>0</v>
      </c>
      <c r="P174" s="31">
        <f>IFERROR(VLOOKUP($D174,bug_conf_sheet!$A:$H,5,FALSE),VLOOKUP("other",bug_conf_sheet!$A:$H,5,FALSE))</f>
        <v>0</v>
      </c>
      <c r="Q174" s="31">
        <f>IFERROR(VLOOKUP($D174,bug_conf_sheet!$A:$H,6,FALSE),VLOOKUP("other",bug_conf_sheet!$A:$H,6,FALSE))</f>
        <v>0</v>
      </c>
      <c r="R174" s="31">
        <f>IFERROR(VLOOKUP($D174,bug_conf_sheet!$A:$H,7,FALSE),VLOOKUP("other",bug_conf_sheet!$A:$H,7,FALSE))</f>
        <v>0</v>
      </c>
      <c r="S174" s="31">
        <f>IFERROR(VLOOKUP($D174,bug_conf_sheet!$A:$H,8,FALSE),VLOOKUP("other",bug_conf_sheet!$A:$H,8,FALSE))</f>
        <v>1</v>
      </c>
    </row>
    <row r="175" spans="1:19" ht="21" customHeight="1">
      <c r="A175" s="2">
        <f>input_5!A$2</f>
        <v>3125</v>
      </c>
      <c r="B175" s="7" t="str">
        <f t="shared" si="7"/>
        <v>PremiumSS5</v>
      </c>
      <c r="C175" s="7" t="str">
        <f t="shared" si="8"/>
        <v>PremiumSS</v>
      </c>
      <c r="D175" s="6">
        <v>409</v>
      </c>
      <c r="E175" s="7" t="str">
        <f>VLOOKUP(D175,[1]characters!$A:$C,3,FALSE)</f>
        <v>天眼の皇貴魔 アスタロト</v>
      </c>
      <c r="F175" s="7" t="str">
        <f>VLOOKUP(D175,[1]characters!$A:$J,10,FALSE)</f>
        <v>PremiumSS</v>
      </c>
      <c r="G175" s="7">
        <f>VLOOKUP(D175,[1]characters!$A:$I,9,FALSE)</f>
        <v>5</v>
      </c>
      <c r="H175" s="7" t="str">
        <f>VLOOKUP(D175,[1]characters!$A:$H,8,FALSE)</f>
        <v>yellow</v>
      </c>
      <c r="I175" s="7" t="str">
        <f>VLOOKUP(D175,[1]characters!$A:$K,11,FALSE)</f>
        <v>attack</v>
      </c>
      <c r="J175" s="7" t="str">
        <f>VLOOKUP(D175,[1]characters!$A:$M,13,FALSE)</f>
        <v>god</v>
      </c>
      <c r="K175" s="7" t="str">
        <f>VLOOKUP(D175,[1]characters!$A:$G,7,FALSE)</f>
        <v>男性</v>
      </c>
      <c r="L175" s="66">
        <f>IFERROR(VLOOKUP(D175,input_5!L:R,7,FALSE),VLOOKUP(tables_5!B175,input_5!A:H,8,FALSE))</f>
        <v>999</v>
      </c>
      <c r="M175" s="67">
        <f t="shared" si="6"/>
        <v>4.8076923076923077E-5</v>
      </c>
      <c r="N175" s="31">
        <f>IFERROR(VLOOKUP($D175,bug_conf_sheet!$A:$H,3,FALSE),VLOOKUP("other",bug_conf_sheet!$A:$H,3,FALSE))</f>
        <v>1</v>
      </c>
      <c r="O175" s="31">
        <f>IFERROR(VLOOKUP($D175,bug_conf_sheet!$A:$H,4,FALSE),VLOOKUP("other",bug_conf_sheet!$A:$H,4,FALSE))</f>
        <v>0</v>
      </c>
      <c r="P175" s="31">
        <f>IFERROR(VLOOKUP($D175,bug_conf_sheet!$A:$H,5,FALSE),VLOOKUP("other",bug_conf_sheet!$A:$H,5,FALSE))</f>
        <v>0</v>
      </c>
      <c r="Q175" s="31">
        <f>IFERROR(VLOOKUP($D175,bug_conf_sheet!$A:$H,6,FALSE),VLOOKUP("other",bug_conf_sheet!$A:$H,6,FALSE))</f>
        <v>0</v>
      </c>
      <c r="R175" s="31">
        <f>IFERROR(VLOOKUP($D175,bug_conf_sheet!$A:$H,7,FALSE),VLOOKUP("other",bug_conf_sheet!$A:$H,7,FALSE))</f>
        <v>0</v>
      </c>
      <c r="S175" s="31">
        <f>IFERROR(VLOOKUP($D175,bug_conf_sheet!$A:$H,8,FALSE),VLOOKUP("other",bug_conf_sheet!$A:$H,8,FALSE))</f>
        <v>1</v>
      </c>
    </row>
    <row r="176" spans="1:19" ht="21" customHeight="1">
      <c r="A176" s="2">
        <f>input_5!A$2</f>
        <v>3125</v>
      </c>
      <c r="B176" s="7" t="str">
        <f t="shared" si="7"/>
        <v>PremiumSS4</v>
      </c>
      <c r="C176" s="7" t="str">
        <f t="shared" si="8"/>
        <v>PremiumSS</v>
      </c>
      <c r="D176" s="6">
        <v>434</v>
      </c>
      <c r="E176" s="7" t="str">
        <f>VLOOKUP(D176,[1]characters!$A:$C,3,FALSE)</f>
        <v>D.R.T.H.</v>
      </c>
      <c r="F176" s="7" t="str">
        <f>VLOOKUP(D176,[1]characters!$A:$J,10,FALSE)</f>
        <v>PremiumSS</v>
      </c>
      <c r="G176" s="7">
        <f>VLOOKUP(D176,[1]characters!$A:$I,9,FALSE)</f>
        <v>4</v>
      </c>
      <c r="H176" s="7" t="str">
        <f>VLOOKUP(D176,[1]characters!$A:$H,8,FALSE)</f>
        <v>red</v>
      </c>
      <c r="I176" s="7" t="str">
        <f>VLOOKUP(D176,[1]characters!$A:$K,11,FALSE)</f>
        <v>balance</v>
      </c>
      <c r="J176" s="7" t="str">
        <f>VLOOKUP(D176,[1]characters!$A:$M,13,FALSE)</f>
        <v>human</v>
      </c>
      <c r="K176" s="7" t="str">
        <f>VLOOKUP(D176,[1]characters!$A:$G,7,FALSE)</f>
        <v>女性</v>
      </c>
      <c r="L176" s="66">
        <f>IFERROR(VLOOKUP(D176,input_5!L:R,7,FALSE),VLOOKUP(tables_5!B176,input_5!A:H,8,FALSE))</f>
        <v>18981</v>
      </c>
      <c r="M176" s="67">
        <f t="shared" si="6"/>
        <v>9.1346153846153845E-4</v>
      </c>
      <c r="N176" s="31">
        <f>IFERROR(VLOOKUP($D176,bug_conf_sheet!$A:$H,3,FALSE),VLOOKUP("other",bug_conf_sheet!$A:$H,3,FALSE))</f>
        <v>1</v>
      </c>
      <c r="O176" s="31">
        <f>IFERROR(VLOOKUP($D176,bug_conf_sheet!$A:$H,4,FALSE),VLOOKUP("other",bug_conf_sheet!$A:$H,4,FALSE))</f>
        <v>0</v>
      </c>
      <c r="P176" s="31">
        <f>IFERROR(VLOOKUP($D176,bug_conf_sheet!$A:$H,5,FALSE),VLOOKUP("other",bug_conf_sheet!$A:$H,5,FALSE))</f>
        <v>0</v>
      </c>
      <c r="Q176" s="31">
        <f>IFERROR(VLOOKUP($D176,bug_conf_sheet!$A:$H,6,FALSE),VLOOKUP("other",bug_conf_sheet!$A:$H,6,FALSE))</f>
        <v>0</v>
      </c>
      <c r="R176" s="31">
        <f>IFERROR(VLOOKUP($D176,bug_conf_sheet!$A:$H,7,FALSE),VLOOKUP("other",bug_conf_sheet!$A:$H,7,FALSE))</f>
        <v>0</v>
      </c>
      <c r="S176" s="31">
        <f>IFERROR(VLOOKUP($D176,bug_conf_sheet!$A:$H,8,FALSE),VLOOKUP("other",bug_conf_sheet!$A:$H,8,FALSE))</f>
        <v>1</v>
      </c>
    </row>
    <row r="177" spans="1:19" ht="21" customHeight="1">
      <c r="A177" s="2">
        <f>input_5!A$2</f>
        <v>3125</v>
      </c>
      <c r="B177" s="7" t="str">
        <f t="shared" si="7"/>
        <v>PremiumSS5</v>
      </c>
      <c r="C177" s="7" t="str">
        <f t="shared" si="8"/>
        <v>PremiumSS</v>
      </c>
      <c r="D177" s="6">
        <v>435</v>
      </c>
      <c r="E177" s="7" t="str">
        <f>VLOOKUP(D177,[1]characters!$A:$C,3,FALSE)</f>
        <v>曝弾の密偵 D.R.T.H.</v>
      </c>
      <c r="F177" s="7" t="str">
        <f>VLOOKUP(D177,[1]characters!$A:$J,10,FALSE)</f>
        <v>PremiumSS</v>
      </c>
      <c r="G177" s="7">
        <f>VLOOKUP(D177,[1]characters!$A:$I,9,FALSE)</f>
        <v>5</v>
      </c>
      <c r="H177" s="7" t="str">
        <f>VLOOKUP(D177,[1]characters!$A:$H,8,FALSE)</f>
        <v>red</v>
      </c>
      <c r="I177" s="7" t="str">
        <f>VLOOKUP(D177,[1]characters!$A:$K,11,FALSE)</f>
        <v>balance</v>
      </c>
      <c r="J177" s="7" t="str">
        <f>VLOOKUP(D177,[1]characters!$A:$M,13,FALSE)</f>
        <v>human</v>
      </c>
      <c r="K177" s="7" t="str">
        <f>VLOOKUP(D177,[1]characters!$A:$G,7,FALSE)</f>
        <v>女性</v>
      </c>
      <c r="L177" s="66">
        <f>IFERROR(VLOOKUP(D177,input_5!L:R,7,FALSE),VLOOKUP(tables_5!B177,input_5!A:H,8,FALSE))</f>
        <v>999</v>
      </c>
      <c r="M177" s="67">
        <f t="shared" si="6"/>
        <v>4.8076923076923077E-5</v>
      </c>
      <c r="N177" s="31">
        <f>IFERROR(VLOOKUP($D177,bug_conf_sheet!$A:$H,3,FALSE),VLOOKUP("other",bug_conf_sheet!$A:$H,3,FALSE))</f>
        <v>1</v>
      </c>
      <c r="O177" s="31">
        <f>IFERROR(VLOOKUP($D177,bug_conf_sheet!$A:$H,4,FALSE),VLOOKUP("other",bug_conf_sheet!$A:$H,4,FALSE))</f>
        <v>0</v>
      </c>
      <c r="P177" s="31">
        <f>IFERROR(VLOOKUP($D177,bug_conf_sheet!$A:$H,5,FALSE),VLOOKUP("other",bug_conf_sheet!$A:$H,5,FALSE))</f>
        <v>0</v>
      </c>
      <c r="Q177" s="31">
        <f>IFERROR(VLOOKUP($D177,bug_conf_sheet!$A:$H,6,FALSE),VLOOKUP("other",bug_conf_sheet!$A:$H,6,FALSE))</f>
        <v>0</v>
      </c>
      <c r="R177" s="31">
        <f>IFERROR(VLOOKUP($D177,bug_conf_sheet!$A:$H,7,FALSE),VLOOKUP("other",bug_conf_sheet!$A:$H,7,FALSE))</f>
        <v>0</v>
      </c>
      <c r="S177" s="31">
        <f>IFERROR(VLOOKUP($D177,bug_conf_sheet!$A:$H,8,FALSE),VLOOKUP("other",bug_conf_sheet!$A:$H,8,FALSE))</f>
        <v>1</v>
      </c>
    </row>
    <row r="178" spans="1:19" ht="21" customHeight="1">
      <c r="A178" s="2">
        <f>input_5!A$2</f>
        <v>3125</v>
      </c>
      <c r="B178" s="7" t="str">
        <f t="shared" si="7"/>
        <v>Premium3</v>
      </c>
      <c r="C178" s="7" t="str">
        <f t="shared" si="8"/>
        <v>Premium</v>
      </c>
      <c r="D178" s="6">
        <v>436</v>
      </c>
      <c r="E178" s="7" t="str">
        <f>VLOOKUP(D178,[1]characters!$A:$C,3,FALSE)</f>
        <v>カカシ</v>
      </c>
      <c r="F178" s="7" t="str">
        <f>VLOOKUP(D178,[1]characters!$A:$J,10,FALSE)</f>
        <v>PremiumS</v>
      </c>
      <c r="G178" s="7">
        <f>VLOOKUP(D178,[1]characters!$A:$I,9,FALSE)</f>
        <v>3</v>
      </c>
      <c r="H178" s="7" t="str">
        <f>VLOOKUP(D178,[1]characters!$A:$H,8,FALSE)</f>
        <v>green</v>
      </c>
      <c r="I178" s="7" t="str">
        <f>VLOOKUP(D178,[1]characters!$A:$K,11,FALSE)</f>
        <v>technical</v>
      </c>
      <c r="J178" s="7" t="str">
        <f>VLOOKUP(D178,[1]characters!$A:$M,13,FALSE)</f>
        <v>human</v>
      </c>
      <c r="K178" s="7" t="str">
        <f>VLOOKUP(D178,[1]characters!$A:$G,7,FALSE)</f>
        <v>男性</v>
      </c>
      <c r="L178" s="66">
        <f>IFERROR(VLOOKUP(D178,input_5!L:R,7,FALSE),VLOOKUP(tables_5!B178,input_5!A:H,8,FALSE))</f>
        <v>0</v>
      </c>
      <c r="M178" s="67">
        <f t="shared" si="6"/>
        <v>0</v>
      </c>
      <c r="N178" s="31">
        <f>IFERROR(VLOOKUP($D178,bug_conf_sheet!$A:$H,3,FALSE),VLOOKUP("other",bug_conf_sheet!$A:$H,3,FALSE))</f>
        <v>1</v>
      </c>
      <c r="O178" s="31">
        <f>IFERROR(VLOOKUP($D178,bug_conf_sheet!$A:$H,4,FALSE),VLOOKUP("other",bug_conf_sheet!$A:$H,4,FALSE))</f>
        <v>0</v>
      </c>
      <c r="P178" s="31">
        <f>IFERROR(VLOOKUP($D178,bug_conf_sheet!$A:$H,5,FALSE),VLOOKUP("other",bug_conf_sheet!$A:$H,5,FALSE))</f>
        <v>0</v>
      </c>
      <c r="Q178" s="31">
        <f>IFERROR(VLOOKUP($D178,bug_conf_sheet!$A:$H,6,FALSE),VLOOKUP("other",bug_conf_sheet!$A:$H,6,FALSE))</f>
        <v>0</v>
      </c>
      <c r="R178" s="31">
        <f>IFERROR(VLOOKUP($D178,bug_conf_sheet!$A:$H,7,FALSE),VLOOKUP("other",bug_conf_sheet!$A:$H,7,FALSE))</f>
        <v>0</v>
      </c>
      <c r="S178" s="31">
        <f>IFERROR(VLOOKUP($D178,bug_conf_sheet!$A:$H,8,FALSE),VLOOKUP("other",bug_conf_sheet!$A:$H,8,FALSE))</f>
        <v>1</v>
      </c>
    </row>
    <row r="179" spans="1:19" ht="21" customHeight="1">
      <c r="A179" s="2">
        <f>input_5!A$2</f>
        <v>3125</v>
      </c>
      <c r="B179" s="7" t="str">
        <f t="shared" si="7"/>
        <v>Premium4</v>
      </c>
      <c r="C179" s="7" t="str">
        <f t="shared" si="8"/>
        <v>Premium</v>
      </c>
      <c r="D179" s="6">
        <v>437</v>
      </c>
      <c r="E179" s="7" t="str">
        <f>VLOOKUP(D179,[1]characters!$A:$C,3,FALSE)</f>
        <v>忘却者 カカシ</v>
      </c>
      <c r="F179" s="7" t="str">
        <f>VLOOKUP(D179,[1]characters!$A:$J,10,FALSE)</f>
        <v>PremiumS</v>
      </c>
      <c r="G179" s="7">
        <f>VLOOKUP(D179,[1]characters!$A:$I,9,FALSE)</f>
        <v>4</v>
      </c>
      <c r="H179" s="7" t="str">
        <f>VLOOKUP(D179,[1]characters!$A:$H,8,FALSE)</f>
        <v>green</v>
      </c>
      <c r="I179" s="7" t="str">
        <f>VLOOKUP(D179,[1]characters!$A:$K,11,FALSE)</f>
        <v>technical</v>
      </c>
      <c r="J179" s="7" t="str">
        <f>VLOOKUP(D179,[1]characters!$A:$M,13,FALSE)</f>
        <v>human</v>
      </c>
      <c r="K179" s="7" t="str">
        <f>VLOOKUP(D179,[1]characters!$A:$G,7,FALSE)</f>
        <v>男性</v>
      </c>
      <c r="L179" s="66">
        <f>IFERROR(VLOOKUP(D179,input_5!L:R,7,FALSE),VLOOKUP(tables_5!B179,input_5!A:H,8,FALSE))</f>
        <v>260091</v>
      </c>
      <c r="M179" s="67">
        <f t="shared" si="6"/>
        <v>1.2516891891891892E-2</v>
      </c>
      <c r="N179" s="31">
        <f>IFERROR(VLOOKUP($D179,bug_conf_sheet!$A:$H,3,FALSE),VLOOKUP("other",bug_conf_sheet!$A:$H,3,FALSE))</f>
        <v>1</v>
      </c>
      <c r="O179" s="31">
        <f>IFERROR(VLOOKUP($D179,bug_conf_sheet!$A:$H,4,FALSE),VLOOKUP("other",bug_conf_sheet!$A:$H,4,FALSE))</f>
        <v>0</v>
      </c>
      <c r="P179" s="31">
        <f>IFERROR(VLOOKUP($D179,bug_conf_sheet!$A:$H,5,FALSE),VLOOKUP("other",bug_conf_sheet!$A:$H,5,FALSE))</f>
        <v>0</v>
      </c>
      <c r="Q179" s="31">
        <f>IFERROR(VLOOKUP($D179,bug_conf_sheet!$A:$H,6,FALSE),VLOOKUP("other",bug_conf_sheet!$A:$H,6,FALSE))</f>
        <v>0</v>
      </c>
      <c r="R179" s="31">
        <f>IFERROR(VLOOKUP($D179,bug_conf_sheet!$A:$H,7,FALSE),VLOOKUP("other",bug_conf_sheet!$A:$H,7,FALSE))</f>
        <v>0</v>
      </c>
      <c r="S179" s="31">
        <f>IFERROR(VLOOKUP($D179,bug_conf_sheet!$A:$H,8,FALSE),VLOOKUP("other",bug_conf_sheet!$A:$H,8,FALSE))</f>
        <v>1</v>
      </c>
    </row>
    <row r="180" spans="1:19" ht="21" customHeight="1">
      <c r="A180" s="2">
        <f>input_5!A$2</f>
        <v>3125</v>
      </c>
      <c r="B180" s="7" t="str">
        <f t="shared" si="7"/>
        <v>Premium5</v>
      </c>
      <c r="C180" s="7" t="str">
        <f t="shared" si="8"/>
        <v>Premium</v>
      </c>
      <c r="D180" s="6">
        <v>438</v>
      </c>
      <c r="E180" s="7" t="str">
        <f>VLOOKUP(D180,[1]characters!$A:$C,3,FALSE)</f>
        <v>記憶の奪還 カカシ</v>
      </c>
      <c r="F180" s="7" t="str">
        <f>VLOOKUP(D180,[1]characters!$A:$J,10,FALSE)</f>
        <v>PremiumS</v>
      </c>
      <c r="G180" s="7">
        <f>VLOOKUP(D180,[1]characters!$A:$I,9,FALSE)</f>
        <v>5</v>
      </c>
      <c r="H180" s="7" t="str">
        <f>VLOOKUP(D180,[1]characters!$A:$H,8,FALSE)</f>
        <v>green</v>
      </c>
      <c r="I180" s="7" t="str">
        <f>VLOOKUP(D180,[1]characters!$A:$K,11,FALSE)</f>
        <v>technical</v>
      </c>
      <c r="J180" s="7" t="str">
        <f>VLOOKUP(D180,[1]characters!$A:$M,13,FALSE)</f>
        <v>human</v>
      </c>
      <c r="K180" s="7" t="str">
        <f>VLOOKUP(D180,[1]characters!$A:$G,7,FALSE)</f>
        <v>男性</v>
      </c>
      <c r="L180" s="66">
        <f>IFERROR(VLOOKUP(D180,input_5!L:R,7,FALSE),VLOOKUP(tables_5!B180,input_5!A:H,8,FALSE))</f>
        <v>18759</v>
      </c>
      <c r="M180" s="67">
        <f t="shared" si="6"/>
        <v>9.0277777777777774E-4</v>
      </c>
      <c r="N180" s="31">
        <f>IFERROR(VLOOKUP($D180,bug_conf_sheet!$A:$H,3,FALSE),VLOOKUP("other",bug_conf_sheet!$A:$H,3,FALSE))</f>
        <v>1</v>
      </c>
      <c r="O180" s="31">
        <f>IFERROR(VLOOKUP($D180,bug_conf_sheet!$A:$H,4,FALSE),VLOOKUP("other",bug_conf_sheet!$A:$H,4,FALSE))</f>
        <v>0</v>
      </c>
      <c r="P180" s="31">
        <f>IFERROR(VLOOKUP($D180,bug_conf_sheet!$A:$H,5,FALSE),VLOOKUP("other",bug_conf_sheet!$A:$H,5,FALSE))</f>
        <v>0</v>
      </c>
      <c r="Q180" s="31">
        <f>IFERROR(VLOOKUP($D180,bug_conf_sheet!$A:$H,6,FALSE),VLOOKUP("other",bug_conf_sheet!$A:$H,6,FALSE))</f>
        <v>0</v>
      </c>
      <c r="R180" s="31">
        <f>IFERROR(VLOOKUP($D180,bug_conf_sheet!$A:$H,7,FALSE),VLOOKUP("other",bug_conf_sheet!$A:$H,7,FALSE))</f>
        <v>0</v>
      </c>
      <c r="S180" s="31">
        <f>IFERROR(VLOOKUP($D180,bug_conf_sheet!$A:$H,8,FALSE),VLOOKUP("other",bug_conf_sheet!$A:$H,8,FALSE))</f>
        <v>1</v>
      </c>
    </row>
    <row r="181" spans="1:19" ht="21" customHeight="1">
      <c r="A181" s="2">
        <f>input_5!A$2</f>
        <v>3125</v>
      </c>
      <c r="B181" s="7" t="str">
        <f t="shared" si="7"/>
        <v>Premium3</v>
      </c>
      <c r="C181" s="7" t="str">
        <f t="shared" si="8"/>
        <v>Premium</v>
      </c>
      <c r="D181" s="6">
        <v>439</v>
      </c>
      <c r="E181" s="7" t="str">
        <f>VLOOKUP(D181,[1]characters!$A:$C,3,FALSE)</f>
        <v>ブリキロガー</v>
      </c>
      <c r="F181" s="7" t="str">
        <f>VLOOKUP(D181,[1]characters!$A:$J,10,FALSE)</f>
        <v>PremiumS</v>
      </c>
      <c r="G181" s="7">
        <f>VLOOKUP(D181,[1]characters!$A:$I,9,FALSE)</f>
        <v>3</v>
      </c>
      <c r="H181" s="7" t="str">
        <f>VLOOKUP(D181,[1]characters!$A:$H,8,FALSE)</f>
        <v>blue</v>
      </c>
      <c r="I181" s="7" t="str">
        <f>VLOOKUP(D181,[1]characters!$A:$K,11,FALSE)</f>
        <v>attack</v>
      </c>
      <c r="J181" s="7" t="str">
        <f>VLOOKUP(D181,[1]characters!$A:$M,13,FALSE)</f>
        <v>machine</v>
      </c>
      <c r="K181" s="7" t="str">
        <f>VLOOKUP(D181,[1]characters!$A:$G,7,FALSE)</f>
        <v>不明</v>
      </c>
      <c r="L181" s="66">
        <f>IFERROR(VLOOKUP(D181,input_5!L:R,7,FALSE),VLOOKUP(tables_5!B181,input_5!A:H,8,FALSE))</f>
        <v>0</v>
      </c>
      <c r="M181" s="67">
        <f t="shared" si="6"/>
        <v>0</v>
      </c>
      <c r="N181" s="31">
        <f>IFERROR(VLOOKUP($D181,bug_conf_sheet!$A:$H,3,FALSE),VLOOKUP("other",bug_conf_sheet!$A:$H,3,FALSE))</f>
        <v>1</v>
      </c>
      <c r="O181" s="31">
        <f>IFERROR(VLOOKUP($D181,bug_conf_sheet!$A:$H,4,FALSE),VLOOKUP("other",bug_conf_sheet!$A:$H,4,FALSE))</f>
        <v>0</v>
      </c>
      <c r="P181" s="31">
        <f>IFERROR(VLOOKUP($D181,bug_conf_sheet!$A:$H,5,FALSE),VLOOKUP("other",bug_conf_sheet!$A:$H,5,FALSE))</f>
        <v>0</v>
      </c>
      <c r="Q181" s="31">
        <f>IFERROR(VLOOKUP($D181,bug_conf_sheet!$A:$H,6,FALSE),VLOOKUP("other",bug_conf_sheet!$A:$H,6,FALSE))</f>
        <v>0</v>
      </c>
      <c r="R181" s="31">
        <f>IFERROR(VLOOKUP($D181,bug_conf_sheet!$A:$H,7,FALSE),VLOOKUP("other",bug_conf_sheet!$A:$H,7,FALSE))</f>
        <v>0</v>
      </c>
      <c r="S181" s="31">
        <f>IFERROR(VLOOKUP($D181,bug_conf_sheet!$A:$H,8,FALSE),VLOOKUP("other",bug_conf_sheet!$A:$H,8,FALSE))</f>
        <v>1</v>
      </c>
    </row>
    <row r="182" spans="1:19" ht="21" customHeight="1">
      <c r="A182" s="2">
        <f>input_5!A$2</f>
        <v>3125</v>
      </c>
      <c r="B182" s="7" t="str">
        <f t="shared" si="7"/>
        <v>Premium4</v>
      </c>
      <c r="C182" s="7" t="str">
        <f t="shared" si="8"/>
        <v>Premium</v>
      </c>
      <c r="D182" s="6">
        <v>440</v>
      </c>
      <c r="E182" s="7" t="str">
        <f>VLOOKUP(D182,[1]characters!$A:$C,3,FALSE)</f>
        <v>改良型 ブリキロガー</v>
      </c>
      <c r="F182" s="7" t="str">
        <f>VLOOKUP(D182,[1]characters!$A:$J,10,FALSE)</f>
        <v>PremiumS</v>
      </c>
      <c r="G182" s="7">
        <f>VLOOKUP(D182,[1]characters!$A:$I,9,FALSE)</f>
        <v>4</v>
      </c>
      <c r="H182" s="7" t="str">
        <f>VLOOKUP(D182,[1]characters!$A:$H,8,FALSE)</f>
        <v>blue</v>
      </c>
      <c r="I182" s="7" t="str">
        <f>VLOOKUP(D182,[1]characters!$A:$K,11,FALSE)</f>
        <v>attack</v>
      </c>
      <c r="J182" s="7" t="str">
        <f>VLOOKUP(D182,[1]characters!$A:$M,13,FALSE)</f>
        <v>machine</v>
      </c>
      <c r="K182" s="7" t="str">
        <f>VLOOKUP(D182,[1]characters!$A:$G,7,FALSE)</f>
        <v>不明</v>
      </c>
      <c r="L182" s="66">
        <f>IFERROR(VLOOKUP(D182,input_5!L:R,7,FALSE),VLOOKUP(tables_5!B182,input_5!A:H,8,FALSE))</f>
        <v>260091</v>
      </c>
      <c r="M182" s="67">
        <f t="shared" si="6"/>
        <v>1.2516891891891892E-2</v>
      </c>
      <c r="N182" s="31">
        <f>IFERROR(VLOOKUP($D182,bug_conf_sheet!$A:$H,3,FALSE),VLOOKUP("other",bug_conf_sheet!$A:$H,3,FALSE))</f>
        <v>1</v>
      </c>
      <c r="O182" s="31">
        <f>IFERROR(VLOOKUP($D182,bug_conf_sheet!$A:$H,4,FALSE),VLOOKUP("other",bug_conf_sheet!$A:$H,4,FALSE))</f>
        <v>0</v>
      </c>
      <c r="P182" s="31">
        <f>IFERROR(VLOOKUP($D182,bug_conf_sheet!$A:$H,5,FALSE),VLOOKUP("other",bug_conf_sheet!$A:$H,5,FALSE))</f>
        <v>0</v>
      </c>
      <c r="Q182" s="31">
        <f>IFERROR(VLOOKUP($D182,bug_conf_sheet!$A:$H,6,FALSE),VLOOKUP("other",bug_conf_sheet!$A:$H,6,FALSE))</f>
        <v>0</v>
      </c>
      <c r="R182" s="31">
        <f>IFERROR(VLOOKUP($D182,bug_conf_sheet!$A:$H,7,FALSE),VLOOKUP("other",bug_conf_sheet!$A:$H,7,FALSE))</f>
        <v>0</v>
      </c>
      <c r="S182" s="31">
        <f>IFERROR(VLOOKUP($D182,bug_conf_sheet!$A:$H,8,FALSE),VLOOKUP("other",bug_conf_sheet!$A:$H,8,FALSE))</f>
        <v>1</v>
      </c>
    </row>
    <row r="183" spans="1:19" ht="21" customHeight="1">
      <c r="A183" s="2">
        <f>input_5!A$2</f>
        <v>3125</v>
      </c>
      <c r="B183" s="7" t="str">
        <f t="shared" si="7"/>
        <v>Premium5</v>
      </c>
      <c r="C183" s="7" t="str">
        <f t="shared" si="8"/>
        <v>Premium</v>
      </c>
      <c r="D183" s="6">
        <v>441</v>
      </c>
      <c r="E183" s="7" t="str">
        <f>VLOOKUP(D183,[1]characters!$A:$C,3,FALSE)</f>
        <v>求心の錻装 ブリキロガー</v>
      </c>
      <c r="F183" s="7" t="str">
        <f>VLOOKUP(D183,[1]characters!$A:$J,10,FALSE)</f>
        <v>PremiumS</v>
      </c>
      <c r="G183" s="7">
        <f>VLOOKUP(D183,[1]characters!$A:$I,9,FALSE)</f>
        <v>5</v>
      </c>
      <c r="H183" s="7" t="str">
        <f>VLOOKUP(D183,[1]characters!$A:$H,8,FALSE)</f>
        <v>blue</v>
      </c>
      <c r="I183" s="7" t="str">
        <f>VLOOKUP(D183,[1]characters!$A:$K,11,FALSE)</f>
        <v>attack</v>
      </c>
      <c r="J183" s="7" t="str">
        <f>VLOOKUP(D183,[1]characters!$A:$M,13,FALSE)</f>
        <v>machine</v>
      </c>
      <c r="K183" s="7" t="str">
        <f>VLOOKUP(D183,[1]characters!$A:$G,7,FALSE)</f>
        <v>不明</v>
      </c>
      <c r="L183" s="66">
        <f>IFERROR(VLOOKUP(D183,input_5!L:R,7,FALSE),VLOOKUP(tables_5!B183,input_5!A:H,8,FALSE))</f>
        <v>18759</v>
      </c>
      <c r="M183" s="67">
        <f t="shared" si="6"/>
        <v>9.0277777777777774E-4</v>
      </c>
      <c r="N183" s="31">
        <f>IFERROR(VLOOKUP($D183,bug_conf_sheet!$A:$H,3,FALSE),VLOOKUP("other",bug_conf_sheet!$A:$H,3,FALSE))</f>
        <v>1</v>
      </c>
      <c r="O183" s="31">
        <f>IFERROR(VLOOKUP($D183,bug_conf_sheet!$A:$H,4,FALSE),VLOOKUP("other",bug_conf_sheet!$A:$H,4,FALSE))</f>
        <v>0</v>
      </c>
      <c r="P183" s="31">
        <f>IFERROR(VLOOKUP($D183,bug_conf_sheet!$A:$H,5,FALSE),VLOOKUP("other",bug_conf_sheet!$A:$H,5,FALSE))</f>
        <v>0</v>
      </c>
      <c r="Q183" s="31">
        <f>IFERROR(VLOOKUP($D183,bug_conf_sheet!$A:$H,6,FALSE),VLOOKUP("other",bug_conf_sheet!$A:$H,6,FALSE))</f>
        <v>0</v>
      </c>
      <c r="R183" s="31">
        <f>IFERROR(VLOOKUP($D183,bug_conf_sheet!$A:$H,7,FALSE),VLOOKUP("other",bug_conf_sheet!$A:$H,7,FALSE))</f>
        <v>0</v>
      </c>
      <c r="S183" s="31">
        <f>IFERROR(VLOOKUP($D183,bug_conf_sheet!$A:$H,8,FALSE),VLOOKUP("other",bug_conf_sheet!$A:$H,8,FALSE))</f>
        <v>1</v>
      </c>
    </row>
    <row r="184" spans="1:19" ht="21" customHeight="1">
      <c r="A184" s="2">
        <f>input_5!A$2</f>
        <v>3125</v>
      </c>
      <c r="B184" s="7" t="str">
        <f t="shared" si="7"/>
        <v>PremiumSS4</v>
      </c>
      <c r="C184" s="7" t="str">
        <f t="shared" si="8"/>
        <v>PremiumSS</v>
      </c>
      <c r="D184" s="6">
        <v>442</v>
      </c>
      <c r="E184" s="7" t="str">
        <f>VLOOKUP(D184,[1]characters!$A:$C,3,FALSE)</f>
        <v>ブレイブリー・ライオン</v>
      </c>
      <c r="F184" s="7" t="str">
        <f>VLOOKUP(D184,[1]characters!$A:$J,10,FALSE)</f>
        <v>PremiumSS</v>
      </c>
      <c r="G184" s="7">
        <f>VLOOKUP(D184,[1]characters!$A:$I,9,FALSE)</f>
        <v>4</v>
      </c>
      <c r="H184" s="7" t="str">
        <f>VLOOKUP(D184,[1]characters!$A:$H,8,FALSE)</f>
        <v>yellow</v>
      </c>
      <c r="I184" s="7" t="str">
        <f>VLOOKUP(D184,[1]characters!$A:$K,11,FALSE)</f>
        <v>hp</v>
      </c>
      <c r="J184" s="7" t="str">
        <f>VLOOKUP(D184,[1]characters!$A:$M,13,FALSE)</f>
        <v>animal</v>
      </c>
      <c r="K184" s="7" t="str">
        <f>VLOOKUP(D184,[1]characters!$A:$G,7,FALSE)</f>
        <v>不明</v>
      </c>
      <c r="L184" s="66">
        <f>IFERROR(VLOOKUP(D184,input_5!L:R,7,FALSE),VLOOKUP(tables_5!B184,input_5!A:H,8,FALSE))</f>
        <v>18981</v>
      </c>
      <c r="M184" s="67">
        <f t="shared" si="6"/>
        <v>9.1346153846153845E-4</v>
      </c>
      <c r="N184" s="31">
        <f>IFERROR(VLOOKUP($D184,bug_conf_sheet!$A:$H,3,FALSE),VLOOKUP("other",bug_conf_sheet!$A:$H,3,FALSE))</f>
        <v>1</v>
      </c>
      <c r="O184" s="31">
        <f>IFERROR(VLOOKUP($D184,bug_conf_sheet!$A:$H,4,FALSE),VLOOKUP("other",bug_conf_sheet!$A:$H,4,FALSE))</f>
        <v>0</v>
      </c>
      <c r="P184" s="31">
        <f>IFERROR(VLOOKUP($D184,bug_conf_sheet!$A:$H,5,FALSE),VLOOKUP("other",bug_conf_sheet!$A:$H,5,FALSE))</f>
        <v>0</v>
      </c>
      <c r="Q184" s="31">
        <f>IFERROR(VLOOKUP($D184,bug_conf_sheet!$A:$H,6,FALSE),VLOOKUP("other",bug_conf_sheet!$A:$H,6,FALSE))</f>
        <v>0</v>
      </c>
      <c r="R184" s="31">
        <f>IFERROR(VLOOKUP($D184,bug_conf_sheet!$A:$H,7,FALSE),VLOOKUP("other",bug_conf_sheet!$A:$H,7,FALSE))</f>
        <v>0</v>
      </c>
      <c r="S184" s="31">
        <f>IFERROR(VLOOKUP($D184,bug_conf_sheet!$A:$H,8,FALSE),VLOOKUP("other",bug_conf_sheet!$A:$H,8,FALSE))</f>
        <v>1</v>
      </c>
    </row>
    <row r="185" spans="1:19" ht="21" customHeight="1">
      <c r="A185" s="2">
        <f>input_5!A$2</f>
        <v>3125</v>
      </c>
      <c r="B185" s="7" t="str">
        <f t="shared" si="7"/>
        <v>PremiumSS5</v>
      </c>
      <c r="C185" s="7" t="str">
        <f t="shared" si="8"/>
        <v>PremiumSS</v>
      </c>
      <c r="D185" s="6">
        <v>443</v>
      </c>
      <c r="E185" s="7" t="str">
        <f>VLOOKUP(D185,[1]characters!$A:$C,3,FALSE)</f>
        <v>勇機結集 ブレイブリー・ライオン</v>
      </c>
      <c r="F185" s="7" t="str">
        <f>VLOOKUP(D185,[1]characters!$A:$J,10,FALSE)</f>
        <v>PremiumSS</v>
      </c>
      <c r="G185" s="7">
        <f>VLOOKUP(D185,[1]characters!$A:$I,9,FALSE)</f>
        <v>5</v>
      </c>
      <c r="H185" s="7" t="str">
        <f>VLOOKUP(D185,[1]characters!$A:$H,8,FALSE)</f>
        <v>yellow</v>
      </c>
      <c r="I185" s="7" t="str">
        <f>VLOOKUP(D185,[1]characters!$A:$K,11,FALSE)</f>
        <v>hp</v>
      </c>
      <c r="J185" s="7" t="str">
        <f>VLOOKUP(D185,[1]characters!$A:$M,13,FALSE)</f>
        <v>animal</v>
      </c>
      <c r="K185" s="7" t="str">
        <f>VLOOKUP(D185,[1]characters!$A:$G,7,FALSE)</f>
        <v>不明</v>
      </c>
      <c r="L185" s="66">
        <f>IFERROR(VLOOKUP(D185,input_5!L:R,7,FALSE),VLOOKUP(tables_5!B185,input_5!A:H,8,FALSE))</f>
        <v>999</v>
      </c>
      <c r="M185" s="67">
        <f t="shared" si="6"/>
        <v>4.8076923076923077E-5</v>
      </c>
      <c r="N185" s="31">
        <f>IFERROR(VLOOKUP($D185,bug_conf_sheet!$A:$H,3,FALSE),VLOOKUP("other",bug_conf_sheet!$A:$H,3,FALSE))</f>
        <v>1</v>
      </c>
      <c r="O185" s="31">
        <f>IFERROR(VLOOKUP($D185,bug_conf_sheet!$A:$H,4,FALSE),VLOOKUP("other",bug_conf_sheet!$A:$H,4,FALSE))</f>
        <v>0</v>
      </c>
      <c r="P185" s="31">
        <f>IFERROR(VLOOKUP($D185,bug_conf_sheet!$A:$H,5,FALSE),VLOOKUP("other",bug_conf_sheet!$A:$H,5,FALSE))</f>
        <v>0</v>
      </c>
      <c r="Q185" s="31">
        <f>IFERROR(VLOOKUP($D185,bug_conf_sheet!$A:$H,6,FALSE),VLOOKUP("other",bug_conf_sheet!$A:$H,6,FALSE))</f>
        <v>0</v>
      </c>
      <c r="R185" s="31">
        <f>IFERROR(VLOOKUP($D185,bug_conf_sheet!$A:$H,7,FALSE),VLOOKUP("other",bug_conf_sheet!$A:$H,7,FALSE))</f>
        <v>0</v>
      </c>
      <c r="S185" s="31">
        <f>IFERROR(VLOOKUP($D185,bug_conf_sheet!$A:$H,8,FALSE),VLOOKUP("other",bug_conf_sheet!$A:$H,8,FALSE))</f>
        <v>1</v>
      </c>
    </row>
    <row r="186" spans="1:19" ht="21" customHeight="1">
      <c r="A186" s="2">
        <f>input_5!A$2</f>
        <v>3125</v>
      </c>
      <c r="B186" s="7" t="str">
        <f t="shared" si="7"/>
        <v>Premium3</v>
      </c>
      <c r="C186" s="7" t="str">
        <f t="shared" si="8"/>
        <v>Premium</v>
      </c>
      <c r="D186" s="8">
        <v>462</v>
      </c>
      <c r="E186" s="7" t="str">
        <f>VLOOKUP(D186,[1]characters!$A:$C,3,FALSE)</f>
        <v>ガウェイン</v>
      </c>
      <c r="F186" s="7" t="str">
        <f>VLOOKUP(D186,[1]characters!$A:$J,10,FALSE)</f>
        <v>PremiumS</v>
      </c>
      <c r="G186" s="7">
        <f>VLOOKUP(D186,[1]characters!$A:$I,9,FALSE)</f>
        <v>3</v>
      </c>
      <c r="H186" s="7" t="str">
        <f>VLOOKUP(D186,[1]characters!$A:$H,8,FALSE)</f>
        <v>red</v>
      </c>
      <c r="I186" s="7" t="str">
        <f>VLOOKUP(D186,[1]characters!$A:$K,11,FALSE)</f>
        <v>hp</v>
      </c>
      <c r="J186" s="7" t="str">
        <f>VLOOKUP(D186,[1]characters!$A:$M,13,FALSE)</f>
        <v>human</v>
      </c>
      <c r="K186" s="7" t="str">
        <f>VLOOKUP(D186,[1]characters!$A:$G,7,FALSE)</f>
        <v>男性</v>
      </c>
      <c r="L186" s="66">
        <f>IFERROR(VLOOKUP(D186,input_5!L:R,7,FALSE),VLOOKUP(tables_5!B186,input_5!A:H,8,FALSE))</f>
        <v>0</v>
      </c>
      <c r="M186" s="67">
        <f t="shared" si="6"/>
        <v>0</v>
      </c>
      <c r="N186" s="31">
        <f>IFERROR(VLOOKUP($D186,bug_conf_sheet!$A:$H,3,FALSE),VLOOKUP("other",bug_conf_sheet!$A:$H,3,FALSE))</f>
        <v>1</v>
      </c>
      <c r="O186" s="31">
        <f>IFERROR(VLOOKUP($D186,bug_conf_sheet!$A:$H,4,FALSE),VLOOKUP("other",bug_conf_sheet!$A:$H,4,FALSE))</f>
        <v>0</v>
      </c>
      <c r="P186" s="31">
        <f>IFERROR(VLOOKUP($D186,bug_conf_sheet!$A:$H,5,FALSE),VLOOKUP("other",bug_conf_sheet!$A:$H,5,FALSE))</f>
        <v>0</v>
      </c>
      <c r="Q186" s="31">
        <f>IFERROR(VLOOKUP($D186,bug_conf_sheet!$A:$H,6,FALSE),VLOOKUP("other",bug_conf_sheet!$A:$H,6,FALSE))</f>
        <v>0</v>
      </c>
      <c r="R186" s="31">
        <f>IFERROR(VLOOKUP($D186,bug_conf_sheet!$A:$H,7,FALSE),VLOOKUP("other",bug_conf_sheet!$A:$H,7,FALSE))</f>
        <v>0</v>
      </c>
      <c r="S186" s="31">
        <f>IFERROR(VLOOKUP($D186,bug_conf_sheet!$A:$H,8,FALSE),VLOOKUP("other",bug_conf_sheet!$A:$H,8,FALSE))</f>
        <v>1</v>
      </c>
    </row>
    <row r="187" spans="1:19" ht="21" customHeight="1">
      <c r="A187" s="2">
        <f>input_5!A$2</f>
        <v>3125</v>
      </c>
      <c r="B187" s="7" t="str">
        <f t="shared" si="7"/>
        <v>Premium4</v>
      </c>
      <c r="C187" s="7" t="str">
        <f t="shared" si="8"/>
        <v>Premium</v>
      </c>
      <c r="D187" s="8">
        <v>463</v>
      </c>
      <c r="E187" s="7" t="str">
        <f>VLOOKUP(D187,[1]characters!$A:$C,3,FALSE)</f>
        <v>燻銀 ガウェイン</v>
      </c>
      <c r="F187" s="7" t="str">
        <f>VLOOKUP(D187,[1]characters!$A:$J,10,FALSE)</f>
        <v>PremiumS</v>
      </c>
      <c r="G187" s="7">
        <f>VLOOKUP(D187,[1]characters!$A:$I,9,FALSE)</f>
        <v>4</v>
      </c>
      <c r="H187" s="7" t="str">
        <f>VLOOKUP(D187,[1]characters!$A:$H,8,FALSE)</f>
        <v>red</v>
      </c>
      <c r="I187" s="7" t="str">
        <f>VLOOKUP(D187,[1]characters!$A:$K,11,FALSE)</f>
        <v>hp</v>
      </c>
      <c r="J187" s="7" t="str">
        <f>VLOOKUP(D187,[1]characters!$A:$M,13,FALSE)</f>
        <v>human</v>
      </c>
      <c r="K187" s="7" t="str">
        <f>VLOOKUP(D187,[1]characters!$A:$G,7,FALSE)</f>
        <v>男性</v>
      </c>
      <c r="L187" s="66">
        <f>IFERROR(VLOOKUP(D187,input_5!L:R,7,FALSE),VLOOKUP(tables_5!B187,input_5!A:H,8,FALSE))</f>
        <v>260091</v>
      </c>
      <c r="M187" s="67">
        <f t="shared" si="6"/>
        <v>1.2516891891891892E-2</v>
      </c>
      <c r="N187" s="31">
        <f>IFERROR(VLOOKUP($D187,bug_conf_sheet!$A:$H,3,FALSE),VLOOKUP("other",bug_conf_sheet!$A:$H,3,FALSE))</f>
        <v>1</v>
      </c>
      <c r="O187" s="31">
        <f>IFERROR(VLOOKUP($D187,bug_conf_sheet!$A:$H,4,FALSE),VLOOKUP("other",bug_conf_sheet!$A:$H,4,FALSE))</f>
        <v>0</v>
      </c>
      <c r="P187" s="31">
        <f>IFERROR(VLOOKUP($D187,bug_conf_sheet!$A:$H,5,FALSE),VLOOKUP("other",bug_conf_sheet!$A:$H,5,FALSE))</f>
        <v>0</v>
      </c>
      <c r="Q187" s="31">
        <f>IFERROR(VLOOKUP($D187,bug_conf_sheet!$A:$H,6,FALSE),VLOOKUP("other",bug_conf_sheet!$A:$H,6,FALSE))</f>
        <v>0</v>
      </c>
      <c r="R187" s="31">
        <f>IFERROR(VLOOKUP($D187,bug_conf_sheet!$A:$H,7,FALSE),VLOOKUP("other",bug_conf_sheet!$A:$H,7,FALSE))</f>
        <v>0</v>
      </c>
      <c r="S187" s="31">
        <f>IFERROR(VLOOKUP($D187,bug_conf_sheet!$A:$H,8,FALSE),VLOOKUP("other",bug_conf_sheet!$A:$H,8,FALSE))</f>
        <v>1</v>
      </c>
    </row>
    <row r="188" spans="1:19" ht="21" customHeight="1">
      <c r="A188" s="2">
        <f>input_5!A$2</f>
        <v>3125</v>
      </c>
      <c r="B188" s="7" t="str">
        <f t="shared" si="7"/>
        <v>Premium5</v>
      </c>
      <c r="C188" s="7" t="str">
        <f t="shared" si="8"/>
        <v>Premium</v>
      </c>
      <c r="D188" s="8">
        <v>464</v>
      </c>
      <c r="E188" s="7" t="str">
        <f>VLOOKUP(D188,[1]characters!$A:$C,3,FALSE)</f>
        <v>円熟の弾導 ガウェイン</v>
      </c>
      <c r="F188" s="7" t="str">
        <f>VLOOKUP(D188,[1]characters!$A:$J,10,FALSE)</f>
        <v>PremiumS</v>
      </c>
      <c r="G188" s="7">
        <f>VLOOKUP(D188,[1]characters!$A:$I,9,FALSE)</f>
        <v>5</v>
      </c>
      <c r="H188" s="7" t="str">
        <f>VLOOKUP(D188,[1]characters!$A:$H,8,FALSE)</f>
        <v>red</v>
      </c>
      <c r="I188" s="7" t="str">
        <f>VLOOKUP(D188,[1]characters!$A:$K,11,FALSE)</f>
        <v>hp</v>
      </c>
      <c r="J188" s="7" t="str">
        <f>VLOOKUP(D188,[1]characters!$A:$M,13,FALSE)</f>
        <v>human</v>
      </c>
      <c r="K188" s="7" t="str">
        <f>VLOOKUP(D188,[1]characters!$A:$G,7,FALSE)</f>
        <v>男性</v>
      </c>
      <c r="L188" s="66">
        <f>IFERROR(VLOOKUP(D188,input_5!L:R,7,FALSE),VLOOKUP(tables_5!B188,input_5!A:H,8,FALSE))</f>
        <v>18759</v>
      </c>
      <c r="M188" s="67">
        <f t="shared" si="6"/>
        <v>9.0277777777777774E-4</v>
      </c>
      <c r="N188" s="31">
        <f>IFERROR(VLOOKUP($D188,bug_conf_sheet!$A:$H,3,FALSE),VLOOKUP("other",bug_conf_sheet!$A:$H,3,FALSE))</f>
        <v>1</v>
      </c>
      <c r="O188" s="31">
        <f>IFERROR(VLOOKUP($D188,bug_conf_sheet!$A:$H,4,FALSE),VLOOKUP("other",bug_conf_sheet!$A:$H,4,FALSE))</f>
        <v>0</v>
      </c>
      <c r="P188" s="31">
        <f>IFERROR(VLOOKUP($D188,bug_conf_sheet!$A:$H,5,FALSE),VLOOKUP("other",bug_conf_sheet!$A:$H,5,FALSE))</f>
        <v>0</v>
      </c>
      <c r="Q188" s="31">
        <f>IFERROR(VLOOKUP($D188,bug_conf_sheet!$A:$H,6,FALSE),VLOOKUP("other",bug_conf_sheet!$A:$H,6,FALSE))</f>
        <v>0</v>
      </c>
      <c r="R188" s="31">
        <f>IFERROR(VLOOKUP($D188,bug_conf_sheet!$A:$H,7,FALSE),VLOOKUP("other",bug_conf_sheet!$A:$H,7,FALSE))</f>
        <v>0</v>
      </c>
      <c r="S188" s="31">
        <f>IFERROR(VLOOKUP($D188,bug_conf_sheet!$A:$H,8,FALSE),VLOOKUP("other",bug_conf_sheet!$A:$H,8,FALSE))</f>
        <v>1</v>
      </c>
    </row>
    <row r="189" spans="1:19" ht="21" customHeight="1">
      <c r="A189" s="2">
        <f>input_5!A$2</f>
        <v>3125</v>
      </c>
      <c r="B189" s="7" t="str">
        <f t="shared" si="7"/>
        <v>PremiumSS4</v>
      </c>
      <c r="C189" s="7" t="str">
        <f t="shared" si="8"/>
        <v>PremiumSS</v>
      </c>
      <c r="D189" s="8">
        <v>465</v>
      </c>
      <c r="E189" s="7" t="str">
        <f>VLOOKUP(D189,[1]characters!$A:$C,3,FALSE)</f>
        <v>真撃 ランスロット</v>
      </c>
      <c r="F189" s="7" t="str">
        <f>VLOOKUP(D189,[1]characters!$A:$J,10,FALSE)</f>
        <v>PremiumSS</v>
      </c>
      <c r="G189" s="7">
        <f>VLOOKUP(D189,[1]characters!$A:$I,9,FALSE)</f>
        <v>4</v>
      </c>
      <c r="H189" s="7" t="str">
        <f>VLOOKUP(D189,[1]characters!$A:$H,8,FALSE)</f>
        <v>green</v>
      </c>
      <c r="I189" s="7" t="str">
        <f>VLOOKUP(D189,[1]characters!$A:$K,11,FALSE)</f>
        <v>balance</v>
      </c>
      <c r="J189" s="7" t="str">
        <f>VLOOKUP(D189,[1]characters!$A:$M,13,FALSE)</f>
        <v>human</v>
      </c>
      <c r="K189" s="7" t="str">
        <f>VLOOKUP(D189,[1]characters!$A:$G,7,FALSE)</f>
        <v>男性</v>
      </c>
      <c r="L189" s="66">
        <f>IFERROR(VLOOKUP(D189,input_5!L:R,7,FALSE),VLOOKUP(tables_5!B189,input_5!A:H,8,FALSE))</f>
        <v>18981</v>
      </c>
      <c r="M189" s="67">
        <f t="shared" si="6"/>
        <v>9.1346153846153845E-4</v>
      </c>
      <c r="N189" s="31">
        <f>IFERROR(VLOOKUP($D189,bug_conf_sheet!$A:$H,3,FALSE),VLOOKUP("other",bug_conf_sheet!$A:$H,3,FALSE))</f>
        <v>1</v>
      </c>
      <c r="O189" s="31">
        <f>IFERROR(VLOOKUP($D189,bug_conf_sheet!$A:$H,4,FALSE),VLOOKUP("other",bug_conf_sheet!$A:$H,4,FALSE))</f>
        <v>0</v>
      </c>
      <c r="P189" s="31">
        <f>IFERROR(VLOOKUP($D189,bug_conf_sheet!$A:$H,5,FALSE),VLOOKUP("other",bug_conf_sheet!$A:$H,5,FALSE))</f>
        <v>0</v>
      </c>
      <c r="Q189" s="31">
        <f>IFERROR(VLOOKUP($D189,bug_conf_sheet!$A:$H,6,FALSE),VLOOKUP("other",bug_conf_sheet!$A:$H,6,FALSE))</f>
        <v>0</v>
      </c>
      <c r="R189" s="31">
        <f>IFERROR(VLOOKUP($D189,bug_conf_sheet!$A:$H,7,FALSE),VLOOKUP("other",bug_conf_sheet!$A:$H,7,FALSE))</f>
        <v>0</v>
      </c>
      <c r="S189" s="31">
        <f>IFERROR(VLOOKUP($D189,bug_conf_sheet!$A:$H,8,FALSE),VLOOKUP("other",bug_conf_sheet!$A:$H,8,FALSE))</f>
        <v>1</v>
      </c>
    </row>
    <row r="190" spans="1:19" s="9" customFormat="1" ht="21" customHeight="1" thickBot="1">
      <c r="A190" s="2">
        <f>input_5!A$2</f>
        <v>3125</v>
      </c>
      <c r="B190" s="7" t="str">
        <f t="shared" si="7"/>
        <v>PremiumSS5</v>
      </c>
      <c r="C190" s="7" t="str">
        <f t="shared" si="8"/>
        <v>PremiumSS</v>
      </c>
      <c r="D190" s="6">
        <v>466</v>
      </c>
      <c r="E190" s="7" t="str">
        <f>VLOOKUP(D190,[1]characters!$A:$C,3,FALSE)</f>
        <v>真断の勇覇 ランスロット</v>
      </c>
      <c r="F190" s="7" t="str">
        <f>VLOOKUP(D190,[1]characters!$A:$J,10,FALSE)</f>
        <v>PremiumSS</v>
      </c>
      <c r="G190" s="7">
        <f>VLOOKUP(D190,[1]characters!$A:$I,9,FALSE)</f>
        <v>5</v>
      </c>
      <c r="H190" s="7" t="str">
        <f>VLOOKUP(D190,[1]characters!$A:$H,8,FALSE)</f>
        <v>green</v>
      </c>
      <c r="I190" s="7" t="str">
        <f>VLOOKUP(D190,[1]characters!$A:$K,11,FALSE)</f>
        <v>balance</v>
      </c>
      <c r="J190" s="7" t="str">
        <f>VLOOKUP(D190,[1]characters!$A:$M,13,FALSE)</f>
        <v>human</v>
      </c>
      <c r="K190" s="7" t="str">
        <f>VLOOKUP(D190,[1]characters!$A:$G,7,FALSE)</f>
        <v>男性</v>
      </c>
      <c r="L190" s="66">
        <f>IFERROR(VLOOKUP(D190,input_5!L:R,7,FALSE),VLOOKUP(tables_5!B190,input_5!A:H,8,FALSE))</f>
        <v>999</v>
      </c>
      <c r="M190" s="67">
        <f t="shared" si="6"/>
        <v>4.8076923076923077E-5</v>
      </c>
      <c r="N190" s="31">
        <f>IFERROR(VLOOKUP($D190,bug_conf_sheet!$A:$H,3,FALSE),VLOOKUP("other",bug_conf_sheet!$A:$H,3,FALSE))</f>
        <v>1</v>
      </c>
      <c r="O190" s="31">
        <f>IFERROR(VLOOKUP($D190,bug_conf_sheet!$A:$H,4,FALSE),VLOOKUP("other",bug_conf_sheet!$A:$H,4,FALSE))</f>
        <v>0</v>
      </c>
      <c r="P190" s="31">
        <f>IFERROR(VLOOKUP($D190,bug_conf_sheet!$A:$H,5,FALSE),VLOOKUP("other",bug_conf_sheet!$A:$H,5,FALSE))</f>
        <v>0</v>
      </c>
      <c r="Q190" s="31">
        <f>IFERROR(VLOOKUP($D190,bug_conf_sheet!$A:$H,6,FALSE),VLOOKUP("other",bug_conf_sheet!$A:$H,6,FALSE))</f>
        <v>0</v>
      </c>
      <c r="R190" s="31">
        <f>IFERROR(VLOOKUP($D190,bug_conf_sheet!$A:$H,7,FALSE),VLOOKUP("other",bug_conf_sheet!$A:$H,7,FALSE))</f>
        <v>0</v>
      </c>
      <c r="S190" s="31">
        <f>IFERROR(VLOOKUP($D190,bug_conf_sheet!$A:$H,8,FALSE),VLOOKUP("other",bug_conf_sheet!$A:$H,8,FALSE))</f>
        <v>1</v>
      </c>
    </row>
    <row r="191" spans="1:19" ht="21" customHeight="1">
      <c r="A191" s="2">
        <f>input_5!A$2</f>
        <v>3125</v>
      </c>
      <c r="B191" s="7" t="str">
        <f t="shared" si="7"/>
        <v>PremiumSS4</v>
      </c>
      <c r="C191" s="7" t="str">
        <f t="shared" si="8"/>
        <v>PremiumSS</v>
      </c>
      <c r="D191" s="6">
        <v>467</v>
      </c>
      <c r="E191" s="7" t="str">
        <f>VLOOKUP(D191,[1]characters!$A:$C,3,FALSE)</f>
        <v>報復 モルドレッド</v>
      </c>
      <c r="F191" s="7" t="str">
        <f>VLOOKUP(D191,[1]characters!$A:$J,10,FALSE)</f>
        <v>PremiumSS</v>
      </c>
      <c r="G191" s="7">
        <f>VLOOKUP(D191,[1]characters!$A:$I,9,FALSE)</f>
        <v>4</v>
      </c>
      <c r="H191" s="7" t="str">
        <f>VLOOKUP(D191,[1]characters!$A:$H,8,FALSE)</f>
        <v>blue</v>
      </c>
      <c r="I191" s="7" t="str">
        <f>VLOOKUP(D191,[1]characters!$A:$K,11,FALSE)</f>
        <v>technical</v>
      </c>
      <c r="J191" s="7" t="str">
        <f>VLOOKUP(D191,[1]characters!$A:$M,13,FALSE)</f>
        <v>human</v>
      </c>
      <c r="K191" s="7" t="str">
        <f>VLOOKUP(D191,[1]characters!$A:$G,7,FALSE)</f>
        <v>女性</v>
      </c>
      <c r="L191" s="66">
        <f>IFERROR(VLOOKUP(D191,input_5!L:R,7,FALSE),VLOOKUP(tables_5!B191,input_5!A:H,8,FALSE))</f>
        <v>18981</v>
      </c>
      <c r="M191" s="67">
        <f t="shared" si="6"/>
        <v>9.1346153846153845E-4</v>
      </c>
      <c r="N191" s="31">
        <f>IFERROR(VLOOKUP($D191,bug_conf_sheet!$A:$H,3,FALSE),VLOOKUP("other",bug_conf_sheet!$A:$H,3,FALSE))</f>
        <v>1</v>
      </c>
      <c r="O191" s="31">
        <f>IFERROR(VLOOKUP($D191,bug_conf_sheet!$A:$H,4,FALSE),VLOOKUP("other",bug_conf_sheet!$A:$H,4,FALSE))</f>
        <v>0</v>
      </c>
      <c r="P191" s="31">
        <f>IFERROR(VLOOKUP($D191,bug_conf_sheet!$A:$H,5,FALSE),VLOOKUP("other",bug_conf_sheet!$A:$H,5,FALSE))</f>
        <v>0</v>
      </c>
      <c r="Q191" s="31">
        <f>IFERROR(VLOOKUP($D191,bug_conf_sheet!$A:$H,6,FALSE),VLOOKUP("other",bug_conf_sheet!$A:$H,6,FALSE))</f>
        <v>0</v>
      </c>
      <c r="R191" s="31">
        <f>IFERROR(VLOOKUP($D191,bug_conf_sheet!$A:$H,7,FALSE),VLOOKUP("other",bug_conf_sheet!$A:$H,7,FALSE))</f>
        <v>0</v>
      </c>
      <c r="S191" s="31">
        <f>IFERROR(VLOOKUP($D191,bug_conf_sheet!$A:$H,8,FALSE),VLOOKUP("other",bug_conf_sheet!$A:$H,8,FALSE))</f>
        <v>1</v>
      </c>
    </row>
    <row r="192" spans="1:19" ht="21" customHeight="1">
      <c r="A192" s="2">
        <f>input_5!A$2</f>
        <v>3125</v>
      </c>
      <c r="B192" s="7" t="str">
        <f t="shared" si="7"/>
        <v>PremiumSS5</v>
      </c>
      <c r="C192" s="7" t="str">
        <f t="shared" si="8"/>
        <v>PremiumSS</v>
      </c>
      <c r="D192" s="6">
        <v>468</v>
      </c>
      <c r="E192" s="7" t="str">
        <f>VLOOKUP(D192,[1]characters!$A:$C,3,FALSE)</f>
        <v>憎愛の尖鋒 モルドレッド</v>
      </c>
      <c r="F192" s="7" t="str">
        <f>VLOOKUP(D192,[1]characters!$A:$J,10,FALSE)</f>
        <v>PremiumSS</v>
      </c>
      <c r="G192" s="7">
        <f>VLOOKUP(D192,[1]characters!$A:$I,9,FALSE)</f>
        <v>5</v>
      </c>
      <c r="H192" s="7" t="str">
        <f>VLOOKUP(D192,[1]characters!$A:$H,8,FALSE)</f>
        <v>blue</v>
      </c>
      <c r="I192" s="7" t="str">
        <f>VLOOKUP(D192,[1]characters!$A:$K,11,FALSE)</f>
        <v>technical</v>
      </c>
      <c r="J192" s="7" t="str">
        <f>VLOOKUP(D192,[1]characters!$A:$M,13,FALSE)</f>
        <v>human</v>
      </c>
      <c r="K192" s="7" t="str">
        <f>VLOOKUP(D192,[1]characters!$A:$G,7,FALSE)</f>
        <v>女性</v>
      </c>
      <c r="L192" s="66">
        <f>IFERROR(VLOOKUP(D192,input_5!L:R,7,FALSE),VLOOKUP(tables_5!B192,input_5!A:H,8,FALSE))</f>
        <v>999</v>
      </c>
      <c r="M192" s="67">
        <f t="shared" si="6"/>
        <v>4.8076923076923077E-5</v>
      </c>
      <c r="N192" s="31">
        <f>IFERROR(VLOOKUP($D192,bug_conf_sheet!$A:$H,3,FALSE),VLOOKUP("other",bug_conf_sheet!$A:$H,3,FALSE))</f>
        <v>1</v>
      </c>
      <c r="O192" s="31">
        <f>IFERROR(VLOOKUP($D192,bug_conf_sheet!$A:$H,4,FALSE),VLOOKUP("other",bug_conf_sheet!$A:$H,4,FALSE))</f>
        <v>0</v>
      </c>
      <c r="P192" s="31">
        <f>IFERROR(VLOOKUP($D192,bug_conf_sheet!$A:$H,5,FALSE),VLOOKUP("other",bug_conf_sheet!$A:$H,5,FALSE))</f>
        <v>0</v>
      </c>
      <c r="Q192" s="31">
        <f>IFERROR(VLOOKUP($D192,bug_conf_sheet!$A:$H,6,FALSE),VLOOKUP("other",bug_conf_sheet!$A:$H,6,FALSE))</f>
        <v>0</v>
      </c>
      <c r="R192" s="31">
        <f>IFERROR(VLOOKUP($D192,bug_conf_sheet!$A:$H,7,FALSE),VLOOKUP("other",bug_conf_sheet!$A:$H,7,FALSE))</f>
        <v>0</v>
      </c>
      <c r="S192" s="31">
        <f>IFERROR(VLOOKUP($D192,bug_conf_sheet!$A:$H,8,FALSE),VLOOKUP("other",bug_conf_sheet!$A:$H,8,FALSE))</f>
        <v>1</v>
      </c>
    </row>
    <row r="193" spans="1:19" ht="21" customHeight="1">
      <c r="A193" s="2">
        <f>input_5!A$2</f>
        <v>3125</v>
      </c>
      <c r="B193" s="7" t="str">
        <f t="shared" si="7"/>
        <v>Premium3</v>
      </c>
      <c r="C193" s="7" t="str">
        <f t="shared" si="8"/>
        <v>Premium</v>
      </c>
      <c r="D193" s="6">
        <v>469</v>
      </c>
      <c r="E193" s="7" t="str">
        <f>VLOOKUP(D193,[1]characters!$A:$C,3,FALSE)</f>
        <v>トリスタン</v>
      </c>
      <c r="F193" s="7" t="str">
        <f>VLOOKUP(D193,[1]characters!$A:$J,10,FALSE)</f>
        <v>PremiumS</v>
      </c>
      <c r="G193" s="7">
        <f>VLOOKUP(D193,[1]characters!$A:$I,9,FALSE)</f>
        <v>3</v>
      </c>
      <c r="H193" s="7" t="str">
        <f>VLOOKUP(D193,[1]characters!$A:$H,8,FALSE)</f>
        <v>yellow</v>
      </c>
      <c r="I193" s="7" t="str">
        <f>VLOOKUP(D193,[1]characters!$A:$K,11,FALSE)</f>
        <v>attack</v>
      </c>
      <c r="J193" s="7" t="str">
        <f>VLOOKUP(D193,[1]characters!$A:$M,13,FALSE)</f>
        <v>human</v>
      </c>
      <c r="K193" s="7" t="str">
        <f>VLOOKUP(D193,[1]characters!$A:$G,7,FALSE)</f>
        <v>男性</v>
      </c>
      <c r="L193" s="66">
        <f>IFERROR(VLOOKUP(D193,input_5!L:R,7,FALSE),VLOOKUP(tables_5!B193,input_5!A:H,8,FALSE))</f>
        <v>0</v>
      </c>
      <c r="M193" s="67">
        <f t="shared" si="6"/>
        <v>0</v>
      </c>
      <c r="N193" s="31">
        <f>IFERROR(VLOOKUP($D193,bug_conf_sheet!$A:$H,3,FALSE),VLOOKUP("other",bug_conf_sheet!$A:$H,3,FALSE))</f>
        <v>1</v>
      </c>
      <c r="O193" s="31">
        <f>IFERROR(VLOOKUP($D193,bug_conf_sheet!$A:$H,4,FALSE),VLOOKUP("other",bug_conf_sheet!$A:$H,4,FALSE))</f>
        <v>0</v>
      </c>
      <c r="P193" s="31">
        <f>IFERROR(VLOOKUP($D193,bug_conf_sheet!$A:$H,5,FALSE),VLOOKUP("other",bug_conf_sheet!$A:$H,5,FALSE))</f>
        <v>0</v>
      </c>
      <c r="Q193" s="31">
        <f>IFERROR(VLOOKUP($D193,bug_conf_sheet!$A:$H,6,FALSE),VLOOKUP("other",bug_conf_sheet!$A:$H,6,FALSE))</f>
        <v>0</v>
      </c>
      <c r="R193" s="31">
        <f>IFERROR(VLOOKUP($D193,bug_conf_sheet!$A:$H,7,FALSE),VLOOKUP("other",bug_conf_sheet!$A:$H,7,FALSE))</f>
        <v>0</v>
      </c>
      <c r="S193" s="31">
        <f>IFERROR(VLOOKUP($D193,bug_conf_sheet!$A:$H,8,FALSE),VLOOKUP("other",bug_conf_sheet!$A:$H,8,FALSE))</f>
        <v>1</v>
      </c>
    </row>
    <row r="194" spans="1:19" ht="21" customHeight="1">
      <c r="A194" s="2">
        <f>input_5!A$2</f>
        <v>3125</v>
      </c>
      <c r="B194" s="7" t="str">
        <f t="shared" si="7"/>
        <v>Premium4</v>
      </c>
      <c r="C194" s="7" t="str">
        <f t="shared" si="8"/>
        <v>Premium</v>
      </c>
      <c r="D194" s="6">
        <v>470</v>
      </c>
      <c r="E194" s="7" t="str">
        <f>VLOOKUP(D194,[1]characters!$A:$C,3,FALSE)</f>
        <v>純心 トリスタン</v>
      </c>
      <c r="F194" s="7" t="str">
        <f>VLOOKUP(D194,[1]characters!$A:$J,10,FALSE)</f>
        <v>PremiumS</v>
      </c>
      <c r="G194" s="7">
        <f>VLOOKUP(D194,[1]characters!$A:$I,9,FALSE)</f>
        <v>4</v>
      </c>
      <c r="H194" s="7" t="str">
        <f>VLOOKUP(D194,[1]characters!$A:$H,8,FALSE)</f>
        <v>yellow</v>
      </c>
      <c r="I194" s="7" t="str">
        <f>VLOOKUP(D194,[1]characters!$A:$K,11,FALSE)</f>
        <v>attack</v>
      </c>
      <c r="J194" s="7" t="str">
        <f>VLOOKUP(D194,[1]characters!$A:$M,13,FALSE)</f>
        <v>human</v>
      </c>
      <c r="K194" s="7" t="str">
        <f>VLOOKUP(D194,[1]characters!$A:$G,7,FALSE)</f>
        <v>男性</v>
      </c>
      <c r="L194" s="66">
        <f>IFERROR(VLOOKUP(D194,input_5!L:R,7,FALSE),VLOOKUP(tables_5!B194,input_5!A:H,8,FALSE))</f>
        <v>260091</v>
      </c>
      <c r="M194" s="67">
        <f t="shared" ref="M194:M255" si="9">L194/SUM(L:L)</f>
        <v>1.2516891891891892E-2</v>
      </c>
      <c r="N194" s="31">
        <f>IFERROR(VLOOKUP($D194,bug_conf_sheet!$A:$H,3,FALSE),VLOOKUP("other",bug_conf_sheet!$A:$H,3,FALSE))</f>
        <v>1</v>
      </c>
      <c r="O194" s="31">
        <f>IFERROR(VLOOKUP($D194,bug_conf_sheet!$A:$H,4,FALSE),VLOOKUP("other",bug_conf_sheet!$A:$H,4,FALSE))</f>
        <v>0</v>
      </c>
      <c r="P194" s="31">
        <f>IFERROR(VLOOKUP($D194,bug_conf_sheet!$A:$H,5,FALSE),VLOOKUP("other",bug_conf_sheet!$A:$H,5,FALSE))</f>
        <v>0</v>
      </c>
      <c r="Q194" s="31">
        <f>IFERROR(VLOOKUP($D194,bug_conf_sheet!$A:$H,6,FALSE),VLOOKUP("other",bug_conf_sheet!$A:$H,6,FALSE))</f>
        <v>0</v>
      </c>
      <c r="R194" s="31">
        <f>IFERROR(VLOOKUP($D194,bug_conf_sheet!$A:$H,7,FALSE),VLOOKUP("other",bug_conf_sheet!$A:$H,7,FALSE))</f>
        <v>0</v>
      </c>
      <c r="S194" s="31">
        <f>IFERROR(VLOOKUP($D194,bug_conf_sheet!$A:$H,8,FALSE),VLOOKUP("other",bug_conf_sheet!$A:$H,8,FALSE))</f>
        <v>1</v>
      </c>
    </row>
    <row r="195" spans="1:19" ht="21" customHeight="1">
      <c r="A195" s="2">
        <f>input_5!A$2</f>
        <v>3125</v>
      </c>
      <c r="B195" s="7" t="str">
        <f t="shared" ref="B195:B255" si="10">C195&amp;G195</f>
        <v>Premium5</v>
      </c>
      <c r="C195" s="7" t="str">
        <f t="shared" ref="C195:C255" si="11">IF(F195="PremiumSS",F195,IF(F195="PremiumSSS",F195,"Premium"))</f>
        <v>Premium</v>
      </c>
      <c r="D195" s="6">
        <v>471</v>
      </c>
      <c r="E195" s="7" t="str">
        <f>VLOOKUP(D195,[1]characters!$A:$C,3,FALSE)</f>
        <v>不可避の爆激 トリスタン</v>
      </c>
      <c r="F195" s="7" t="str">
        <f>VLOOKUP(D195,[1]characters!$A:$J,10,FALSE)</f>
        <v>PremiumS</v>
      </c>
      <c r="G195" s="7">
        <f>VLOOKUP(D195,[1]characters!$A:$I,9,FALSE)</f>
        <v>5</v>
      </c>
      <c r="H195" s="7" t="str">
        <f>VLOOKUP(D195,[1]characters!$A:$H,8,FALSE)</f>
        <v>yellow</v>
      </c>
      <c r="I195" s="7" t="str">
        <f>VLOOKUP(D195,[1]characters!$A:$K,11,FALSE)</f>
        <v>attack</v>
      </c>
      <c r="J195" s="7" t="str">
        <f>VLOOKUP(D195,[1]characters!$A:$M,13,FALSE)</f>
        <v>human</v>
      </c>
      <c r="K195" s="7" t="str">
        <f>VLOOKUP(D195,[1]characters!$A:$G,7,FALSE)</f>
        <v>男性</v>
      </c>
      <c r="L195" s="66">
        <f>IFERROR(VLOOKUP(D195,input_5!L:R,7,FALSE),VLOOKUP(tables_5!B195,input_5!A:H,8,FALSE))</f>
        <v>18759</v>
      </c>
      <c r="M195" s="67">
        <f t="shared" si="9"/>
        <v>9.0277777777777774E-4</v>
      </c>
      <c r="N195" s="31">
        <f>IFERROR(VLOOKUP($D195,bug_conf_sheet!$A:$H,3,FALSE),VLOOKUP("other",bug_conf_sheet!$A:$H,3,FALSE))</f>
        <v>1</v>
      </c>
      <c r="O195" s="31">
        <f>IFERROR(VLOOKUP($D195,bug_conf_sheet!$A:$H,4,FALSE),VLOOKUP("other",bug_conf_sheet!$A:$H,4,FALSE))</f>
        <v>0</v>
      </c>
      <c r="P195" s="31">
        <f>IFERROR(VLOOKUP($D195,bug_conf_sheet!$A:$H,5,FALSE),VLOOKUP("other",bug_conf_sheet!$A:$H,5,FALSE))</f>
        <v>0</v>
      </c>
      <c r="Q195" s="31">
        <f>IFERROR(VLOOKUP($D195,bug_conf_sheet!$A:$H,6,FALSE),VLOOKUP("other",bug_conf_sheet!$A:$H,6,FALSE))</f>
        <v>0</v>
      </c>
      <c r="R195" s="31">
        <f>IFERROR(VLOOKUP($D195,bug_conf_sheet!$A:$H,7,FALSE),VLOOKUP("other",bug_conf_sheet!$A:$H,7,FALSE))</f>
        <v>0</v>
      </c>
      <c r="S195" s="31">
        <f>IFERROR(VLOOKUP($D195,bug_conf_sheet!$A:$H,8,FALSE),VLOOKUP("other",bug_conf_sheet!$A:$H,8,FALSE))</f>
        <v>1</v>
      </c>
    </row>
    <row r="196" spans="1:19" ht="21" customHeight="1">
      <c r="A196" s="2">
        <f>input_5!A$2</f>
        <v>3125</v>
      </c>
      <c r="B196" s="7" t="str">
        <f t="shared" si="10"/>
        <v>PremiumSS4</v>
      </c>
      <c r="C196" s="7" t="str">
        <f t="shared" si="11"/>
        <v>PremiumSS</v>
      </c>
      <c r="D196" s="6">
        <v>474</v>
      </c>
      <c r="E196" s="7" t="str">
        <f>VLOOKUP(D196,[1]characters!$A:$C,3,FALSE)</f>
        <v>キング・ドライグ</v>
      </c>
      <c r="F196" s="7" t="str">
        <f>VLOOKUP(D196,[1]characters!$A:$J,10,FALSE)</f>
        <v>PremiumSS</v>
      </c>
      <c r="G196" s="7">
        <f>VLOOKUP(D196,[1]characters!$A:$I,9,FALSE)</f>
        <v>4</v>
      </c>
      <c r="H196" s="7" t="str">
        <f>VLOOKUP(D196,[1]characters!$A:$H,8,FALSE)</f>
        <v>red</v>
      </c>
      <c r="I196" s="7" t="str">
        <f>VLOOKUP(D196,[1]characters!$A:$K,11,FALSE)</f>
        <v>attack</v>
      </c>
      <c r="J196" s="7" t="str">
        <f>VLOOKUP(D196,[1]characters!$A:$M,13,FALSE)</f>
        <v>dragon</v>
      </c>
      <c r="K196" s="7" t="str">
        <f>VLOOKUP(D196,[1]characters!$A:$G,7,FALSE)</f>
        <v>不明</v>
      </c>
      <c r="L196" s="66">
        <f>IFERROR(VLOOKUP(D196,input_5!L:R,7,FALSE),VLOOKUP(tables_5!B196,input_5!A:H,8,FALSE))</f>
        <v>18981</v>
      </c>
      <c r="M196" s="67">
        <f t="shared" si="9"/>
        <v>9.1346153846153845E-4</v>
      </c>
      <c r="N196" s="31">
        <f>IFERROR(VLOOKUP($D196,bug_conf_sheet!$A:$H,3,FALSE),VLOOKUP("other",bug_conf_sheet!$A:$H,3,FALSE))</f>
        <v>1</v>
      </c>
      <c r="O196" s="31">
        <f>IFERROR(VLOOKUP($D196,bug_conf_sheet!$A:$H,4,FALSE),VLOOKUP("other",bug_conf_sheet!$A:$H,4,FALSE))</f>
        <v>0</v>
      </c>
      <c r="P196" s="31">
        <f>IFERROR(VLOOKUP($D196,bug_conf_sheet!$A:$H,5,FALSE),VLOOKUP("other",bug_conf_sheet!$A:$H,5,FALSE))</f>
        <v>0</v>
      </c>
      <c r="Q196" s="31">
        <f>IFERROR(VLOOKUP($D196,bug_conf_sheet!$A:$H,6,FALSE),VLOOKUP("other",bug_conf_sheet!$A:$H,6,FALSE))</f>
        <v>0</v>
      </c>
      <c r="R196" s="31">
        <f>IFERROR(VLOOKUP($D196,bug_conf_sheet!$A:$H,7,FALSE),VLOOKUP("other",bug_conf_sheet!$A:$H,7,FALSE))</f>
        <v>0</v>
      </c>
      <c r="S196" s="31">
        <f>IFERROR(VLOOKUP($D196,bug_conf_sheet!$A:$H,8,FALSE),VLOOKUP("other",bug_conf_sheet!$A:$H,8,FALSE))</f>
        <v>1</v>
      </c>
    </row>
    <row r="197" spans="1:19" ht="21" customHeight="1">
      <c r="A197" s="2">
        <f>input_5!A$2</f>
        <v>3125</v>
      </c>
      <c r="B197" s="7" t="str">
        <f t="shared" si="10"/>
        <v>PremiumSS5</v>
      </c>
      <c r="C197" s="7" t="str">
        <f t="shared" si="11"/>
        <v>PremiumSS</v>
      </c>
      <c r="D197" s="6">
        <v>475</v>
      </c>
      <c r="E197" s="7" t="str">
        <f>VLOOKUP(D197,[1]characters!$A:$C,3,FALSE)</f>
        <v>緋王 キング・ドライグ</v>
      </c>
      <c r="F197" s="7" t="str">
        <f>VLOOKUP(D197,[1]characters!$A:$J,10,FALSE)</f>
        <v>PremiumSS</v>
      </c>
      <c r="G197" s="7">
        <f>VLOOKUP(D197,[1]characters!$A:$I,9,FALSE)</f>
        <v>5</v>
      </c>
      <c r="H197" s="7" t="str">
        <f>VLOOKUP(D197,[1]characters!$A:$H,8,FALSE)</f>
        <v>red</v>
      </c>
      <c r="I197" s="7" t="str">
        <f>VLOOKUP(D197,[1]characters!$A:$K,11,FALSE)</f>
        <v>attack</v>
      </c>
      <c r="J197" s="7" t="str">
        <f>VLOOKUP(D197,[1]characters!$A:$M,13,FALSE)</f>
        <v>dragon</v>
      </c>
      <c r="K197" s="7" t="str">
        <f>VLOOKUP(D197,[1]characters!$A:$G,7,FALSE)</f>
        <v>不明</v>
      </c>
      <c r="L197" s="66">
        <f>IFERROR(VLOOKUP(D197,input_5!L:R,7,FALSE),VLOOKUP(tables_5!B197,input_5!A:H,8,FALSE))</f>
        <v>999</v>
      </c>
      <c r="M197" s="67">
        <f t="shared" si="9"/>
        <v>4.8076923076923077E-5</v>
      </c>
      <c r="N197" s="31">
        <f>IFERROR(VLOOKUP($D197,bug_conf_sheet!$A:$H,3,FALSE),VLOOKUP("other",bug_conf_sheet!$A:$H,3,FALSE))</f>
        <v>1</v>
      </c>
      <c r="O197" s="31">
        <f>IFERROR(VLOOKUP($D197,bug_conf_sheet!$A:$H,4,FALSE),VLOOKUP("other",bug_conf_sheet!$A:$H,4,FALSE))</f>
        <v>0</v>
      </c>
      <c r="P197" s="31">
        <f>IFERROR(VLOOKUP($D197,bug_conf_sheet!$A:$H,5,FALSE),VLOOKUP("other",bug_conf_sheet!$A:$H,5,FALSE))</f>
        <v>0</v>
      </c>
      <c r="Q197" s="31">
        <f>IFERROR(VLOOKUP($D197,bug_conf_sheet!$A:$H,6,FALSE),VLOOKUP("other",bug_conf_sheet!$A:$H,6,FALSE))</f>
        <v>0</v>
      </c>
      <c r="R197" s="31">
        <f>IFERROR(VLOOKUP($D197,bug_conf_sheet!$A:$H,7,FALSE),VLOOKUP("other",bug_conf_sheet!$A:$H,7,FALSE))</f>
        <v>0</v>
      </c>
      <c r="S197" s="31">
        <f>IFERROR(VLOOKUP($D197,bug_conf_sheet!$A:$H,8,FALSE),VLOOKUP("other",bug_conf_sheet!$A:$H,8,FALSE))</f>
        <v>1</v>
      </c>
    </row>
    <row r="198" spans="1:19" ht="21" customHeight="1">
      <c r="A198" s="2">
        <f>input_5!A$2</f>
        <v>3125</v>
      </c>
      <c r="B198" s="7" t="str">
        <f t="shared" si="10"/>
        <v>Premium3</v>
      </c>
      <c r="C198" s="7" t="str">
        <f t="shared" si="11"/>
        <v>Premium</v>
      </c>
      <c r="D198" s="6">
        <v>476</v>
      </c>
      <c r="E198" s="7" t="str">
        <f>VLOOKUP(D198,[1]characters!$A:$C,3,FALSE)</f>
        <v>ファータ</v>
      </c>
      <c r="F198" s="7" t="str">
        <f>VLOOKUP(D198,[1]characters!$A:$J,10,FALSE)</f>
        <v>PremiumS</v>
      </c>
      <c r="G198" s="7">
        <f>VLOOKUP(D198,[1]characters!$A:$I,9,FALSE)</f>
        <v>3</v>
      </c>
      <c r="H198" s="7" t="str">
        <f>VLOOKUP(D198,[1]characters!$A:$H,8,FALSE)</f>
        <v>green</v>
      </c>
      <c r="I198" s="7" t="str">
        <f>VLOOKUP(D198,[1]characters!$A:$K,11,FALSE)</f>
        <v>heal</v>
      </c>
      <c r="J198" s="7" t="str">
        <f>VLOOKUP(D198,[1]characters!$A:$M,13,FALSE)</f>
        <v>unknown</v>
      </c>
      <c r="K198" s="7" t="str">
        <f>VLOOKUP(D198,[1]characters!$A:$G,7,FALSE)</f>
        <v>女性</v>
      </c>
      <c r="L198" s="66">
        <f>IFERROR(VLOOKUP(D198,input_5!L:R,7,FALSE),VLOOKUP(tables_5!B198,input_5!A:H,8,FALSE))</f>
        <v>0</v>
      </c>
      <c r="M198" s="67">
        <f t="shared" si="9"/>
        <v>0</v>
      </c>
      <c r="N198" s="31">
        <f>IFERROR(VLOOKUP($D198,bug_conf_sheet!$A:$H,3,FALSE),VLOOKUP("other",bug_conf_sheet!$A:$H,3,FALSE))</f>
        <v>1</v>
      </c>
      <c r="O198" s="31">
        <f>IFERROR(VLOOKUP($D198,bug_conf_sheet!$A:$H,4,FALSE),VLOOKUP("other",bug_conf_sheet!$A:$H,4,FALSE))</f>
        <v>0</v>
      </c>
      <c r="P198" s="31">
        <f>IFERROR(VLOOKUP($D198,bug_conf_sheet!$A:$H,5,FALSE),VLOOKUP("other",bug_conf_sheet!$A:$H,5,FALSE))</f>
        <v>0</v>
      </c>
      <c r="Q198" s="31">
        <f>IFERROR(VLOOKUP($D198,bug_conf_sheet!$A:$H,6,FALSE),VLOOKUP("other",bug_conf_sheet!$A:$H,6,FALSE))</f>
        <v>0</v>
      </c>
      <c r="R198" s="31">
        <f>IFERROR(VLOOKUP($D198,bug_conf_sheet!$A:$H,7,FALSE),VLOOKUP("other",bug_conf_sheet!$A:$H,7,FALSE))</f>
        <v>0</v>
      </c>
      <c r="S198" s="31">
        <f>IFERROR(VLOOKUP($D198,bug_conf_sheet!$A:$H,8,FALSE),VLOOKUP("other",bug_conf_sheet!$A:$H,8,FALSE))</f>
        <v>1</v>
      </c>
    </row>
    <row r="199" spans="1:19" ht="21" customHeight="1">
      <c r="A199" s="2">
        <f>input_5!A$2</f>
        <v>3125</v>
      </c>
      <c r="B199" s="7" t="str">
        <f t="shared" si="10"/>
        <v>Premium4</v>
      </c>
      <c r="C199" s="7" t="str">
        <f t="shared" si="11"/>
        <v>Premium</v>
      </c>
      <c r="D199" s="6">
        <v>477</v>
      </c>
      <c r="E199" s="7" t="str">
        <f>VLOOKUP(D199,[1]characters!$A:$C,3,FALSE)</f>
        <v>愛羽妖精 ファータ</v>
      </c>
      <c r="F199" s="7" t="str">
        <f>VLOOKUP(D199,[1]characters!$A:$J,10,FALSE)</f>
        <v>PremiumS</v>
      </c>
      <c r="G199" s="7">
        <f>VLOOKUP(D199,[1]characters!$A:$I,9,FALSE)</f>
        <v>4</v>
      </c>
      <c r="H199" s="7" t="str">
        <f>VLOOKUP(D199,[1]characters!$A:$H,8,FALSE)</f>
        <v>green</v>
      </c>
      <c r="I199" s="7" t="str">
        <f>VLOOKUP(D199,[1]characters!$A:$K,11,FALSE)</f>
        <v>heal</v>
      </c>
      <c r="J199" s="7" t="str">
        <f>VLOOKUP(D199,[1]characters!$A:$M,13,FALSE)</f>
        <v>unknown</v>
      </c>
      <c r="K199" s="7" t="str">
        <f>VLOOKUP(D199,[1]characters!$A:$G,7,FALSE)</f>
        <v>女性</v>
      </c>
      <c r="L199" s="66">
        <f>IFERROR(VLOOKUP(D199,input_5!L:R,7,FALSE),VLOOKUP(tables_5!B199,input_5!A:H,8,FALSE))</f>
        <v>260091</v>
      </c>
      <c r="M199" s="67">
        <f t="shared" si="9"/>
        <v>1.2516891891891892E-2</v>
      </c>
      <c r="N199" s="31">
        <f>IFERROR(VLOOKUP($D199,bug_conf_sheet!$A:$H,3,FALSE),VLOOKUP("other",bug_conf_sheet!$A:$H,3,FALSE))</f>
        <v>1</v>
      </c>
      <c r="O199" s="31">
        <f>IFERROR(VLOOKUP($D199,bug_conf_sheet!$A:$H,4,FALSE),VLOOKUP("other",bug_conf_sheet!$A:$H,4,FALSE))</f>
        <v>0</v>
      </c>
      <c r="P199" s="31">
        <f>IFERROR(VLOOKUP($D199,bug_conf_sheet!$A:$H,5,FALSE),VLOOKUP("other",bug_conf_sheet!$A:$H,5,FALSE))</f>
        <v>0</v>
      </c>
      <c r="Q199" s="31">
        <f>IFERROR(VLOOKUP($D199,bug_conf_sheet!$A:$H,6,FALSE),VLOOKUP("other",bug_conf_sheet!$A:$H,6,FALSE))</f>
        <v>0</v>
      </c>
      <c r="R199" s="31">
        <f>IFERROR(VLOOKUP($D199,bug_conf_sheet!$A:$H,7,FALSE),VLOOKUP("other",bug_conf_sheet!$A:$H,7,FALSE))</f>
        <v>0</v>
      </c>
      <c r="S199" s="31">
        <f>IFERROR(VLOOKUP($D199,bug_conf_sheet!$A:$H,8,FALSE),VLOOKUP("other",bug_conf_sheet!$A:$H,8,FALSE))</f>
        <v>1</v>
      </c>
    </row>
    <row r="200" spans="1:19" ht="21" customHeight="1">
      <c r="A200" s="2">
        <f>input_5!A$2</f>
        <v>3125</v>
      </c>
      <c r="B200" s="7" t="str">
        <f t="shared" si="10"/>
        <v>Premium5</v>
      </c>
      <c r="C200" s="7" t="str">
        <f t="shared" si="11"/>
        <v>Premium</v>
      </c>
      <c r="D200" s="6">
        <v>478</v>
      </c>
      <c r="E200" s="7" t="str">
        <f>VLOOKUP(D200,[1]characters!$A:$C,3,FALSE)</f>
        <v>時計仕掛けの愛羽妖精 ファータ</v>
      </c>
      <c r="F200" s="7" t="str">
        <f>VLOOKUP(D200,[1]characters!$A:$J,10,FALSE)</f>
        <v>PremiumS</v>
      </c>
      <c r="G200" s="7">
        <f>VLOOKUP(D200,[1]characters!$A:$I,9,FALSE)</f>
        <v>5</v>
      </c>
      <c r="H200" s="7" t="str">
        <f>VLOOKUP(D200,[1]characters!$A:$H,8,FALSE)</f>
        <v>green</v>
      </c>
      <c r="I200" s="7" t="str">
        <f>VLOOKUP(D200,[1]characters!$A:$K,11,FALSE)</f>
        <v>heal</v>
      </c>
      <c r="J200" s="7" t="str">
        <f>VLOOKUP(D200,[1]characters!$A:$M,13,FALSE)</f>
        <v>unknown</v>
      </c>
      <c r="K200" s="7" t="str">
        <f>VLOOKUP(D200,[1]characters!$A:$G,7,FALSE)</f>
        <v>女性</v>
      </c>
      <c r="L200" s="66">
        <f>IFERROR(VLOOKUP(D200,input_5!L:R,7,FALSE),VLOOKUP(tables_5!B200,input_5!A:H,8,FALSE))</f>
        <v>18759</v>
      </c>
      <c r="M200" s="67">
        <f t="shared" si="9"/>
        <v>9.0277777777777774E-4</v>
      </c>
      <c r="N200" s="31">
        <f>IFERROR(VLOOKUP($D200,bug_conf_sheet!$A:$H,3,FALSE),VLOOKUP("other",bug_conf_sheet!$A:$H,3,FALSE))</f>
        <v>1</v>
      </c>
      <c r="O200" s="31">
        <f>IFERROR(VLOOKUP($D200,bug_conf_sheet!$A:$H,4,FALSE),VLOOKUP("other",bug_conf_sheet!$A:$H,4,FALSE))</f>
        <v>0</v>
      </c>
      <c r="P200" s="31">
        <f>IFERROR(VLOOKUP($D200,bug_conf_sheet!$A:$H,5,FALSE),VLOOKUP("other",bug_conf_sheet!$A:$H,5,FALSE))</f>
        <v>0</v>
      </c>
      <c r="Q200" s="31">
        <f>IFERROR(VLOOKUP($D200,bug_conf_sheet!$A:$H,6,FALSE),VLOOKUP("other",bug_conf_sheet!$A:$H,6,FALSE))</f>
        <v>0</v>
      </c>
      <c r="R200" s="31">
        <f>IFERROR(VLOOKUP($D200,bug_conf_sheet!$A:$H,7,FALSE),VLOOKUP("other",bug_conf_sheet!$A:$H,7,FALSE))</f>
        <v>0</v>
      </c>
      <c r="S200" s="31">
        <f>IFERROR(VLOOKUP($D200,bug_conf_sheet!$A:$H,8,FALSE),VLOOKUP("other",bug_conf_sheet!$A:$H,8,FALSE))</f>
        <v>1</v>
      </c>
    </row>
    <row r="201" spans="1:19" ht="21" customHeight="1">
      <c r="A201" s="2">
        <f>input_5!A$2</f>
        <v>3125</v>
      </c>
      <c r="B201" s="7" t="str">
        <f t="shared" si="10"/>
        <v>PremiumSS4</v>
      </c>
      <c r="C201" s="7" t="str">
        <f t="shared" si="11"/>
        <v>PremiumSS</v>
      </c>
      <c r="D201" s="6">
        <v>479</v>
      </c>
      <c r="E201" s="7" t="str">
        <f>VLOOKUP(D201,[1]characters!$A:$C,3,FALSE)</f>
        <v>フール</v>
      </c>
      <c r="F201" s="7" t="str">
        <f>VLOOKUP(D201,[1]characters!$A:$J,10,FALSE)</f>
        <v>PremiumSS</v>
      </c>
      <c r="G201" s="7">
        <f>VLOOKUP(D201,[1]characters!$A:$I,9,FALSE)</f>
        <v>4</v>
      </c>
      <c r="H201" s="7" t="str">
        <f>VLOOKUP(D201,[1]characters!$A:$H,8,FALSE)</f>
        <v>blue</v>
      </c>
      <c r="I201" s="7" t="str">
        <f>VLOOKUP(D201,[1]characters!$A:$K,11,FALSE)</f>
        <v>technical</v>
      </c>
      <c r="J201" s="7" t="str">
        <f>VLOOKUP(D201,[1]characters!$A:$M,13,FALSE)</f>
        <v>god</v>
      </c>
      <c r="K201" s="7" t="str">
        <f>VLOOKUP(D201,[1]characters!$A:$G,7,FALSE)</f>
        <v>男性</v>
      </c>
      <c r="L201" s="66">
        <f>IFERROR(VLOOKUP(D201,input_5!L:R,7,FALSE),VLOOKUP(tables_5!B201,input_5!A:H,8,FALSE))</f>
        <v>18981</v>
      </c>
      <c r="M201" s="67">
        <f t="shared" si="9"/>
        <v>9.1346153846153845E-4</v>
      </c>
      <c r="N201" s="31">
        <f>IFERROR(VLOOKUP($D201,bug_conf_sheet!$A:$H,3,FALSE),VLOOKUP("other",bug_conf_sheet!$A:$H,3,FALSE))</f>
        <v>1</v>
      </c>
      <c r="O201" s="31">
        <f>IFERROR(VLOOKUP($D201,bug_conf_sheet!$A:$H,4,FALSE),VLOOKUP("other",bug_conf_sheet!$A:$H,4,FALSE))</f>
        <v>0</v>
      </c>
      <c r="P201" s="31">
        <f>IFERROR(VLOOKUP($D201,bug_conf_sheet!$A:$H,5,FALSE),VLOOKUP("other",bug_conf_sheet!$A:$H,5,FALSE))</f>
        <v>0</v>
      </c>
      <c r="Q201" s="31">
        <f>IFERROR(VLOOKUP($D201,bug_conf_sheet!$A:$H,6,FALSE),VLOOKUP("other",bug_conf_sheet!$A:$H,6,FALSE))</f>
        <v>0</v>
      </c>
      <c r="R201" s="31">
        <f>IFERROR(VLOOKUP($D201,bug_conf_sheet!$A:$H,7,FALSE),VLOOKUP("other",bug_conf_sheet!$A:$H,7,FALSE))</f>
        <v>0</v>
      </c>
      <c r="S201" s="31">
        <f>IFERROR(VLOOKUP($D201,bug_conf_sheet!$A:$H,8,FALSE),VLOOKUP("other",bug_conf_sheet!$A:$H,8,FALSE))</f>
        <v>1</v>
      </c>
    </row>
    <row r="202" spans="1:19" ht="21" customHeight="1">
      <c r="A202" s="2">
        <f>input_5!A$2</f>
        <v>3125</v>
      </c>
      <c r="B202" s="7" t="str">
        <f t="shared" si="10"/>
        <v>PremiumSS5</v>
      </c>
      <c r="C202" s="7" t="str">
        <f t="shared" si="11"/>
        <v>PremiumSS</v>
      </c>
      <c r="D202" s="6">
        <v>480</v>
      </c>
      <c r="E202" s="7" t="str">
        <f>VLOOKUP(D202,[1]characters!$A:$C,3,FALSE)</f>
        <v>夢幻の愚者フール</v>
      </c>
      <c r="F202" s="7" t="str">
        <f>VLOOKUP(D202,[1]characters!$A:$J,10,FALSE)</f>
        <v>PremiumSS</v>
      </c>
      <c r="G202" s="7">
        <f>VLOOKUP(D202,[1]characters!$A:$I,9,FALSE)</f>
        <v>5</v>
      </c>
      <c r="H202" s="7" t="str">
        <f>VLOOKUP(D202,[1]characters!$A:$H,8,FALSE)</f>
        <v>blue</v>
      </c>
      <c r="I202" s="7" t="str">
        <f>VLOOKUP(D202,[1]characters!$A:$K,11,FALSE)</f>
        <v>technical</v>
      </c>
      <c r="J202" s="7" t="str">
        <f>VLOOKUP(D202,[1]characters!$A:$M,13,FALSE)</f>
        <v>god</v>
      </c>
      <c r="K202" s="7" t="str">
        <f>VLOOKUP(D202,[1]characters!$A:$G,7,FALSE)</f>
        <v>男性</v>
      </c>
      <c r="L202" s="66">
        <f>IFERROR(VLOOKUP(D202,input_5!L:R,7,FALSE),VLOOKUP(tables_5!B202,input_5!A:H,8,FALSE))</f>
        <v>999</v>
      </c>
      <c r="M202" s="67">
        <f t="shared" si="9"/>
        <v>4.8076923076923077E-5</v>
      </c>
      <c r="N202" s="31">
        <f>IFERROR(VLOOKUP($D202,bug_conf_sheet!$A:$H,3,FALSE),VLOOKUP("other",bug_conf_sheet!$A:$H,3,FALSE))</f>
        <v>1</v>
      </c>
      <c r="O202" s="31">
        <f>IFERROR(VLOOKUP($D202,bug_conf_sheet!$A:$H,4,FALSE),VLOOKUP("other",bug_conf_sheet!$A:$H,4,FALSE))</f>
        <v>0</v>
      </c>
      <c r="P202" s="31">
        <f>IFERROR(VLOOKUP($D202,bug_conf_sheet!$A:$H,5,FALSE),VLOOKUP("other",bug_conf_sheet!$A:$H,5,FALSE))</f>
        <v>0</v>
      </c>
      <c r="Q202" s="31">
        <f>IFERROR(VLOOKUP($D202,bug_conf_sheet!$A:$H,6,FALSE),VLOOKUP("other",bug_conf_sheet!$A:$H,6,FALSE))</f>
        <v>0</v>
      </c>
      <c r="R202" s="31">
        <f>IFERROR(VLOOKUP($D202,bug_conf_sheet!$A:$H,7,FALSE),VLOOKUP("other",bug_conf_sheet!$A:$H,7,FALSE))</f>
        <v>0</v>
      </c>
      <c r="S202" s="31">
        <f>IFERROR(VLOOKUP($D202,bug_conf_sheet!$A:$H,8,FALSE),VLOOKUP("other",bug_conf_sheet!$A:$H,8,FALSE))</f>
        <v>1</v>
      </c>
    </row>
    <row r="203" spans="1:19" ht="21" customHeight="1">
      <c r="A203" s="2">
        <f>input_5!A$2</f>
        <v>3125</v>
      </c>
      <c r="B203" s="7" t="str">
        <f t="shared" si="10"/>
        <v>Premium3</v>
      </c>
      <c r="C203" s="7" t="str">
        <f t="shared" si="11"/>
        <v>Premium</v>
      </c>
      <c r="D203" s="6">
        <v>481</v>
      </c>
      <c r="E203" s="7" t="str">
        <f>VLOOKUP(D203,[1]characters!$A:$C,3,FALSE)</f>
        <v>沢庵宗彭</v>
      </c>
      <c r="F203" s="7" t="str">
        <f>VLOOKUP(D203,[1]characters!$A:$J,10,FALSE)</f>
        <v>PremiumS</v>
      </c>
      <c r="G203" s="7">
        <f>VLOOKUP(D203,[1]characters!$A:$I,9,FALSE)</f>
        <v>3</v>
      </c>
      <c r="H203" s="7" t="str">
        <f>VLOOKUP(D203,[1]characters!$A:$H,8,FALSE)</f>
        <v>yellow</v>
      </c>
      <c r="I203" s="7" t="str">
        <f>VLOOKUP(D203,[1]characters!$A:$K,11,FALSE)</f>
        <v>hp</v>
      </c>
      <c r="J203" s="7" t="str">
        <f>VLOOKUP(D203,[1]characters!$A:$M,13,FALSE)</f>
        <v>human</v>
      </c>
      <c r="K203" s="7" t="str">
        <f>VLOOKUP(D203,[1]characters!$A:$G,7,FALSE)</f>
        <v>男性</v>
      </c>
      <c r="L203" s="66">
        <f>IFERROR(VLOOKUP(D203,input_5!L:R,7,FALSE),VLOOKUP(tables_5!B203,input_5!A:H,8,FALSE))</f>
        <v>0</v>
      </c>
      <c r="M203" s="67">
        <f t="shared" si="9"/>
        <v>0</v>
      </c>
      <c r="N203" s="31">
        <f>IFERROR(VLOOKUP($D203,bug_conf_sheet!$A:$H,3,FALSE),VLOOKUP("other",bug_conf_sheet!$A:$H,3,FALSE))</f>
        <v>1</v>
      </c>
      <c r="O203" s="31">
        <f>IFERROR(VLOOKUP($D203,bug_conf_sheet!$A:$H,4,FALSE),VLOOKUP("other",bug_conf_sheet!$A:$H,4,FALSE))</f>
        <v>0</v>
      </c>
      <c r="P203" s="31">
        <f>IFERROR(VLOOKUP($D203,bug_conf_sheet!$A:$H,5,FALSE),VLOOKUP("other",bug_conf_sheet!$A:$H,5,FALSE))</f>
        <v>0</v>
      </c>
      <c r="Q203" s="31">
        <f>IFERROR(VLOOKUP($D203,bug_conf_sheet!$A:$H,6,FALSE),VLOOKUP("other",bug_conf_sheet!$A:$H,6,FALSE))</f>
        <v>0</v>
      </c>
      <c r="R203" s="31">
        <f>IFERROR(VLOOKUP($D203,bug_conf_sheet!$A:$H,7,FALSE),VLOOKUP("other",bug_conf_sheet!$A:$H,7,FALSE))</f>
        <v>0</v>
      </c>
      <c r="S203" s="31">
        <f>IFERROR(VLOOKUP($D203,bug_conf_sheet!$A:$H,8,FALSE),VLOOKUP("other",bug_conf_sheet!$A:$H,8,FALSE))</f>
        <v>1</v>
      </c>
    </row>
    <row r="204" spans="1:19" ht="21" customHeight="1">
      <c r="A204" s="2">
        <f>input_5!A$2</f>
        <v>3125</v>
      </c>
      <c r="B204" s="7" t="str">
        <f t="shared" si="10"/>
        <v>Premium4</v>
      </c>
      <c r="C204" s="7" t="str">
        <f t="shared" si="11"/>
        <v>Premium</v>
      </c>
      <c r="D204" s="6">
        <v>482</v>
      </c>
      <c r="E204" s="7" t="str">
        <f>VLOOKUP(D204,[1]characters!$A:$C,3,FALSE)</f>
        <v>魁僧 沢庵宗彭</v>
      </c>
      <c r="F204" s="7" t="str">
        <f>VLOOKUP(D204,[1]characters!$A:$J,10,FALSE)</f>
        <v>PremiumS</v>
      </c>
      <c r="G204" s="7">
        <f>VLOOKUP(D204,[1]characters!$A:$I,9,FALSE)</f>
        <v>4</v>
      </c>
      <c r="H204" s="7" t="str">
        <f>VLOOKUP(D204,[1]characters!$A:$H,8,FALSE)</f>
        <v>yellow</v>
      </c>
      <c r="I204" s="7" t="str">
        <f>VLOOKUP(D204,[1]characters!$A:$K,11,FALSE)</f>
        <v>hp</v>
      </c>
      <c r="J204" s="7" t="str">
        <f>VLOOKUP(D204,[1]characters!$A:$M,13,FALSE)</f>
        <v>human</v>
      </c>
      <c r="K204" s="7" t="str">
        <f>VLOOKUP(D204,[1]characters!$A:$G,7,FALSE)</f>
        <v>男性</v>
      </c>
      <c r="L204" s="66">
        <f>IFERROR(VLOOKUP(D204,input_5!L:R,7,FALSE),VLOOKUP(tables_5!B204,input_5!A:H,8,FALSE))</f>
        <v>260091</v>
      </c>
      <c r="M204" s="67">
        <f t="shared" si="9"/>
        <v>1.2516891891891892E-2</v>
      </c>
      <c r="N204" s="31">
        <f>IFERROR(VLOOKUP($D204,bug_conf_sheet!$A:$H,3,FALSE),VLOOKUP("other",bug_conf_sheet!$A:$H,3,FALSE))</f>
        <v>1</v>
      </c>
      <c r="O204" s="31">
        <f>IFERROR(VLOOKUP($D204,bug_conf_sheet!$A:$H,4,FALSE),VLOOKUP("other",bug_conf_sheet!$A:$H,4,FALSE))</f>
        <v>0</v>
      </c>
      <c r="P204" s="31">
        <f>IFERROR(VLOOKUP($D204,bug_conf_sheet!$A:$H,5,FALSE),VLOOKUP("other",bug_conf_sheet!$A:$H,5,FALSE))</f>
        <v>0</v>
      </c>
      <c r="Q204" s="31">
        <f>IFERROR(VLOOKUP($D204,bug_conf_sheet!$A:$H,6,FALSE),VLOOKUP("other",bug_conf_sheet!$A:$H,6,FALSE))</f>
        <v>0</v>
      </c>
      <c r="R204" s="31">
        <f>IFERROR(VLOOKUP($D204,bug_conf_sheet!$A:$H,7,FALSE),VLOOKUP("other",bug_conf_sheet!$A:$H,7,FALSE))</f>
        <v>0</v>
      </c>
      <c r="S204" s="31">
        <f>IFERROR(VLOOKUP($D204,bug_conf_sheet!$A:$H,8,FALSE),VLOOKUP("other",bug_conf_sheet!$A:$H,8,FALSE))</f>
        <v>1</v>
      </c>
    </row>
    <row r="205" spans="1:19" ht="21" customHeight="1">
      <c r="A205" s="2">
        <f>input_5!A$2</f>
        <v>3125</v>
      </c>
      <c r="B205" s="7" t="str">
        <f t="shared" si="10"/>
        <v>Premium5</v>
      </c>
      <c r="C205" s="7" t="str">
        <f t="shared" si="11"/>
        <v>Premium</v>
      </c>
      <c r="D205" s="6">
        <v>483</v>
      </c>
      <c r="E205" s="7" t="str">
        <f>VLOOKUP(D205,[1]characters!$A:$C,3,FALSE)</f>
        <v xml:space="preserve">命経死遂 沢庵宗彭 </v>
      </c>
      <c r="F205" s="7" t="str">
        <f>VLOOKUP(D205,[1]characters!$A:$J,10,FALSE)</f>
        <v>PremiumS</v>
      </c>
      <c r="G205" s="7">
        <f>VLOOKUP(D205,[1]characters!$A:$I,9,FALSE)</f>
        <v>5</v>
      </c>
      <c r="H205" s="7" t="str">
        <f>VLOOKUP(D205,[1]characters!$A:$H,8,FALSE)</f>
        <v>yellow</v>
      </c>
      <c r="I205" s="7" t="str">
        <f>VLOOKUP(D205,[1]characters!$A:$K,11,FALSE)</f>
        <v>hp</v>
      </c>
      <c r="J205" s="7" t="str">
        <f>VLOOKUP(D205,[1]characters!$A:$M,13,FALSE)</f>
        <v>human</v>
      </c>
      <c r="K205" s="7" t="str">
        <f>VLOOKUP(D205,[1]characters!$A:$G,7,FALSE)</f>
        <v>男性</v>
      </c>
      <c r="L205" s="66">
        <f>IFERROR(VLOOKUP(D205,input_5!L:R,7,FALSE),VLOOKUP(tables_5!B205,input_5!A:H,8,FALSE))</f>
        <v>18759</v>
      </c>
      <c r="M205" s="67">
        <f t="shared" si="9"/>
        <v>9.0277777777777774E-4</v>
      </c>
      <c r="N205" s="31">
        <f>IFERROR(VLOOKUP($D205,bug_conf_sheet!$A:$H,3,FALSE),VLOOKUP("other",bug_conf_sheet!$A:$H,3,FALSE))</f>
        <v>1</v>
      </c>
      <c r="O205" s="31">
        <f>IFERROR(VLOOKUP($D205,bug_conf_sheet!$A:$H,4,FALSE),VLOOKUP("other",bug_conf_sheet!$A:$H,4,FALSE))</f>
        <v>0</v>
      </c>
      <c r="P205" s="31">
        <f>IFERROR(VLOOKUP($D205,bug_conf_sheet!$A:$H,5,FALSE),VLOOKUP("other",bug_conf_sheet!$A:$H,5,FALSE))</f>
        <v>0</v>
      </c>
      <c r="Q205" s="31">
        <f>IFERROR(VLOOKUP($D205,bug_conf_sheet!$A:$H,6,FALSE),VLOOKUP("other",bug_conf_sheet!$A:$H,6,FALSE))</f>
        <v>0</v>
      </c>
      <c r="R205" s="31">
        <f>IFERROR(VLOOKUP($D205,bug_conf_sheet!$A:$H,7,FALSE),VLOOKUP("other",bug_conf_sheet!$A:$H,7,FALSE))</f>
        <v>0</v>
      </c>
      <c r="S205" s="31">
        <f>IFERROR(VLOOKUP($D205,bug_conf_sheet!$A:$H,8,FALSE),VLOOKUP("other",bug_conf_sheet!$A:$H,8,FALSE))</f>
        <v>1</v>
      </c>
    </row>
    <row r="206" spans="1:19" ht="21" customHeight="1">
      <c r="A206" s="2">
        <f>input_5!A$2</f>
        <v>3125</v>
      </c>
      <c r="B206" s="7" t="str">
        <f t="shared" si="10"/>
        <v>PremiumSS4</v>
      </c>
      <c r="C206" s="7" t="str">
        <f t="shared" si="11"/>
        <v>PremiumSS</v>
      </c>
      <c r="D206" s="6">
        <v>492</v>
      </c>
      <c r="E206" s="7" t="str">
        <f>VLOOKUP(D206,[1]characters!$A:$C,3,FALSE)</f>
        <v>ブートレグ・ペロー</v>
      </c>
      <c r="F206" s="7" t="str">
        <f>VLOOKUP(D206,[1]characters!$A:$J,10,FALSE)</f>
        <v>PremiumSS</v>
      </c>
      <c r="G206" s="7">
        <f>VLOOKUP(D206,[1]characters!$A:$I,9,FALSE)</f>
        <v>4</v>
      </c>
      <c r="H206" s="7" t="str">
        <f>VLOOKUP(D206,[1]characters!$A:$H,8,FALSE)</f>
        <v>red</v>
      </c>
      <c r="I206" s="7" t="str">
        <f>VLOOKUP(D206,[1]characters!$A:$K,11,FALSE)</f>
        <v>hp</v>
      </c>
      <c r="J206" s="7" t="str">
        <f>VLOOKUP(D206,[1]characters!$A:$M,13,FALSE)</f>
        <v>animal</v>
      </c>
      <c r="K206" s="7" t="str">
        <f>VLOOKUP(D206,[1]characters!$A:$G,7,FALSE)</f>
        <v>不明</v>
      </c>
      <c r="L206" s="66">
        <f>IFERROR(VLOOKUP(D206,input_5!L:R,7,FALSE),VLOOKUP(tables_5!B206,input_5!A:H,8,FALSE))</f>
        <v>18981</v>
      </c>
      <c r="M206" s="67">
        <f t="shared" si="9"/>
        <v>9.1346153846153845E-4</v>
      </c>
      <c r="N206" s="31">
        <f>IFERROR(VLOOKUP($D206,bug_conf_sheet!$A:$H,3,FALSE),VLOOKUP("other",bug_conf_sheet!$A:$H,3,FALSE))</f>
        <v>1</v>
      </c>
      <c r="O206" s="31">
        <f>IFERROR(VLOOKUP($D206,bug_conf_sheet!$A:$H,4,FALSE),VLOOKUP("other",bug_conf_sheet!$A:$H,4,FALSE))</f>
        <v>0</v>
      </c>
      <c r="P206" s="31">
        <f>IFERROR(VLOOKUP($D206,bug_conf_sheet!$A:$H,5,FALSE),VLOOKUP("other",bug_conf_sheet!$A:$H,5,FALSE))</f>
        <v>0</v>
      </c>
      <c r="Q206" s="31">
        <f>IFERROR(VLOOKUP($D206,bug_conf_sheet!$A:$H,6,FALSE),VLOOKUP("other",bug_conf_sheet!$A:$H,6,FALSE))</f>
        <v>0</v>
      </c>
      <c r="R206" s="31">
        <f>IFERROR(VLOOKUP($D206,bug_conf_sheet!$A:$H,7,FALSE),VLOOKUP("other",bug_conf_sheet!$A:$H,7,FALSE))</f>
        <v>0</v>
      </c>
      <c r="S206" s="31">
        <f>IFERROR(VLOOKUP($D206,bug_conf_sheet!$A:$H,8,FALSE),VLOOKUP("other",bug_conf_sheet!$A:$H,8,FALSE))</f>
        <v>1</v>
      </c>
    </row>
    <row r="207" spans="1:19" ht="21" customHeight="1">
      <c r="A207" s="2">
        <f>input_5!A$2</f>
        <v>3125</v>
      </c>
      <c r="B207" s="7" t="str">
        <f t="shared" si="10"/>
        <v>PremiumSS5</v>
      </c>
      <c r="C207" s="7" t="str">
        <f t="shared" si="11"/>
        <v>PremiumSS</v>
      </c>
      <c r="D207" s="6">
        <v>493</v>
      </c>
      <c r="E207" s="7" t="str">
        <f>VLOOKUP(D207,[1]characters!$A:$C,3,FALSE)</f>
        <v>跋扈の機脚 ブートレグ・ペロー</v>
      </c>
      <c r="F207" s="7" t="str">
        <f>VLOOKUP(D207,[1]characters!$A:$J,10,FALSE)</f>
        <v>PremiumSS</v>
      </c>
      <c r="G207" s="7">
        <f>VLOOKUP(D207,[1]characters!$A:$I,9,FALSE)</f>
        <v>5</v>
      </c>
      <c r="H207" s="7" t="str">
        <f>VLOOKUP(D207,[1]characters!$A:$H,8,FALSE)</f>
        <v>red</v>
      </c>
      <c r="I207" s="7" t="str">
        <f>VLOOKUP(D207,[1]characters!$A:$K,11,FALSE)</f>
        <v>hp</v>
      </c>
      <c r="J207" s="7" t="str">
        <f>VLOOKUP(D207,[1]characters!$A:$M,13,FALSE)</f>
        <v>animal</v>
      </c>
      <c r="K207" s="7" t="str">
        <f>VLOOKUP(D207,[1]characters!$A:$G,7,FALSE)</f>
        <v>不明</v>
      </c>
      <c r="L207" s="66">
        <f>IFERROR(VLOOKUP(D207,input_5!L:R,7,FALSE),VLOOKUP(tables_5!B207,input_5!A:H,8,FALSE))</f>
        <v>999</v>
      </c>
      <c r="M207" s="67">
        <f t="shared" si="9"/>
        <v>4.8076923076923077E-5</v>
      </c>
      <c r="N207" s="31">
        <f>IFERROR(VLOOKUP($D207,bug_conf_sheet!$A:$H,3,FALSE),VLOOKUP("other",bug_conf_sheet!$A:$H,3,FALSE))</f>
        <v>1</v>
      </c>
      <c r="O207" s="31">
        <f>IFERROR(VLOOKUP($D207,bug_conf_sheet!$A:$H,4,FALSE),VLOOKUP("other",bug_conf_sheet!$A:$H,4,FALSE))</f>
        <v>0</v>
      </c>
      <c r="P207" s="31">
        <f>IFERROR(VLOOKUP($D207,bug_conf_sheet!$A:$H,5,FALSE),VLOOKUP("other",bug_conf_sheet!$A:$H,5,FALSE))</f>
        <v>0</v>
      </c>
      <c r="Q207" s="31">
        <f>IFERROR(VLOOKUP($D207,bug_conf_sheet!$A:$H,6,FALSE),VLOOKUP("other",bug_conf_sheet!$A:$H,6,FALSE))</f>
        <v>0</v>
      </c>
      <c r="R207" s="31">
        <f>IFERROR(VLOOKUP($D207,bug_conf_sheet!$A:$H,7,FALSE),VLOOKUP("other",bug_conf_sheet!$A:$H,7,FALSE))</f>
        <v>0</v>
      </c>
      <c r="S207" s="31">
        <f>IFERROR(VLOOKUP($D207,bug_conf_sheet!$A:$H,8,FALSE),VLOOKUP("other",bug_conf_sheet!$A:$H,8,FALSE))</f>
        <v>1</v>
      </c>
    </row>
    <row r="208" spans="1:19" ht="21" customHeight="1">
      <c r="A208" s="2">
        <f>input_5!A$2</f>
        <v>3125</v>
      </c>
      <c r="B208" s="7" t="str">
        <f t="shared" si="10"/>
        <v>PremiumSS4</v>
      </c>
      <c r="C208" s="7" t="str">
        <f t="shared" si="11"/>
        <v>PremiumSS</v>
      </c>
      <c r="D208" s="6">
        <v>494</v>
      </c>
      <c r="E208" s="7" t="str">
        <f>VLOOKUP(D208,[1]characters!$A:$C,3,FALSE)</f>
        <v>ハーメルン</v>
      </c>
      <c r="F208" s="7" t="str">
        <f>VLOOKUP(D208,[1]characters!$A:$J,10,FALSE)</f>
        <v>PremiumSS</v>
      </c>
      <c r="G208" s="7">
        <f>VLOOKUP(D208,[1]characters!$A:$I,9,FALSE)</f>
        <v>4</v>
      </c>
      <c r="H208" s="7" t="str">
        <f>VLOOKUP(D208,[1]characters!$A:$H,8,FALSE)</f>
        <v>green</v>
      </c>
      <c r="I208" s="7" t="str">
        <f>VLOOKUP(D208,[1]characters!$A:$K,11,FALSE)</f>
        <v>technical</v>
      </c>
      <c r="J208" s="7" t="str">
        <f>VLOOKUP(D208,[1]characters!$A:$M,13,FALSE)</f>
        <v>human</v>
      </c>
      <c r="K208" s="7" t="str">
        <f>VLOOKUP(D208,[1]characters!$A:$G,7,FALSE)</f>
        <v>男性</v>
      </c>
      <c r="L208" s="66">
        <f>IFERROR(VLOOKUP(D208,input_5!L:R,7,FALSE),VLOOKUP(tables_5!B208,input_5!A:H,8,FALSE))</f>
        <v>18981</v>
      </c>
      <c r="M208" s="67">
        <f t="shared" si="9"/>
        <v>9.1346153846153845E-4</v>
      </c>
      <c r="N208" s="31">
        <f>IFERROR(VLOOKUP($D208,bug_conf_sheet!$A:$H,3,FALSE),VLOOKUP("other",bug_conf_sheet!$A:$H,3,FALSE))</f>
        <v>1</v>
      </c>
      <c r="O208" s="31">
        <f>IFERROR(VLOOKUP($D208,bug_conf_sheet!$A:$H,4,FALSE),VLOOKUP("other",bug_conf_sheet!$A:$H,4,FALSE))</f>
        <v>0</v>
      </c>
      <c r="P208" s="31">
        <f>IFERROR(VLOOKUP($D208,bug_conf_sheet!$A:$H,5,FALSE),VLOOKUP("other",bug_conf_sheet!$A:$H,5,FALSE))</f>
        <v>0</v>
      </c>
      <c r="Q208" s="31">
        <f>IFERROR(VLOOKUP($D208,bug_conf_sheet!$A:$H,6,FALSE),VLOOKUP("other",bug_conf_sheet!$A:$H,6,FALSE))</f>
        <v>0</v>
      </c>
      <c r="R208" s="31">
        <f>IFERROR(VLOOKUP($D208,bug_conf_sheet!$A:$H,7,FALSE),VLOOKUP("other",bug_conf_sheet!$A:$H,7,FALSE))</f>
        <v>0</v>
      </c>
      <c r="S208" s="31">
        <f>IFERROR(VLOOKUP($D208,bug_conf_sheet!$A:$H,8,FALSE),VLOOKUP("other",bug_conf_sheet!$A:$H,8,FALSE))</f>
        <v>1</v>
      </c>
    </row>
    <row r="209" spans="1:19" ht="21" customHeight="1">
      <c r="A209" s="2">
        <f>input_5!A$2</f>
        <v>3125</v>
      </c>
      <c r="B209" s="7" t="str">
        <f t="shared" si="10"/>
        <v>PremiumSS5</v>
      </c>
      <c r="C209" s="7" t="str">
        <f t="shared" si="11"/>
        <v>PremiumSS</v>
      </c>
      <c r="D209" s="6">
        <v>495</v>
      </c>
      <c r="E209" s="7" t="str">
        <f>VLOOKUP(D209,[1]characters!$A:$C,3,FALSE)</f>
        <v>鼠災呼ぶ笛音 ハーメルン</v>
      </c>
      <c r="F209" s="7" t="str">
        <f>VLOOKUP(D209,[1]characters!$A:$J,10,FALSE)</f>
        <v>PremiumSS</v>
      </c>
      <c r="G209" s="7">
        <f>VLOOKUP(D209,[1]characters!$A:$I,9,FALSE)</f>
        <v>5</v>
      </c>
      <c r="H209" s="7" t="str">
        <f>VLOOKUP(D209,[1]characters!$A:$H,8,FALSE)</f>
        <v>green</v>
      </c>
      <c r="I209" s="7" t="str">
        <f>VLOOKUP(D209,[1]characters!$A:$K,11,FALSE)</f>
        <v>technical</v>
      </c>
      <c r="J209" s="7" t="str">
        <f>VLOOKUP(D209,[1]characters!$A:$M,13,FALSE)</f>
        <v>human</v>
      </c>
      <c r="K209" s="7" t="str">
        <f>VLOOKUP(D209,[1]characters!$A:$G,7,FALSE)</f>
        <v>男性</v>
      </c>
      <c r="L209" s="66">
        <f>IFERROR(VLOOKUP(D209,input_5!L:R,7,FALSE),VLOOKUP(tables_5!B209,input_5!A:H,8,FALSE))</f>
        <v>999</v>
      </c>
      <c r="M209" s="67">
        <f t="shared" si="9"/>
        <v>4.8076923076923077E-5</v>
      </c>
      <c r="N209" s="31">
        <f>IFERROR(VLOOKUP($D209,bug_conf_sheet!$A:$H,3,FALSE),VLOOKUP("other",bug_conf_sheet!$A:$H,3,FALSE))</f>
        <v>1</v>
      </c>
      <c r="O209" s="31">
        <f>IFERROR(VLOOKUP($D209,bug_conf_sheet!$A:$H,4,FALSE),VLOOKUP("other",bug_conf_sheet!$A:$H,4,FALSE))</f>
        <v>0</v>
      </c>
      <c r="P209" s="31">
        <f>IFERROR(VLOOKUP($D209,bug_conf_sheet!$A:$H,5,FALSE),VLOOKUP("other",bug_conf_sheet!$A:$H,5,FALSE))</f>
        <v>0</v>
      </c>
      <c r="Q209" s="31">
        <f>IFERROR(VLOOKUP($D209,bug_conf_sheet!$A:$H,6,FALSE),VLOOKUP("other",bug_conf_sheet!$A:$H,6,FALSE))</f>
        <v>0</v>
      </c>
      <c r="R209" s="31">
        <f>IFERROR(VLOOKUP($D209,bug_conf_sheet!$A:$H,7,FALSE),VLOOKUP("other",bug_conf_sheet!$A:$H,7,FALSE))</f>
        <v>0</v>
      </c>
      <c r="S209" s="31">
        <f>IFERROR(VLOOKUP($D209,bug_conf_sheet!$A:$H,8,FALSE),VLOOKUP("other",bug_conf_sheet!$A:$H,8,FALSE))</f>
        <v>1</v>
      </c>
    </row>
    <row r="210" spans="1:19" ht="21" customHeight="1">
      <c r="A210" s="2">
        <f>input_5!A$2</f>
        <v>3125</v>
      </c>
      <c r="B210" s="7" t="str">
        <f t="shared" si="10"/>
        <v>Premium3</v>
      </c>
      <c r="C210" s="7" t="str">
        <f t="shared" si="11"/>
        <v>Premium</v>
      </c>
      <c r="D210" s="6">
        <v>496</v>
      </c>
      <c r="E210" s="7" t="str">
        <f>VLOOKUP(D210,[1]characters!$A:$C,3,FALSE)</f>
        <v>エスタブ</v>
      </c>
      <c r="F210" s="7" t="str">
        <f>VLOOKUP(D210,[1]characters!$A:$J,10,FALSE)</f>
        <v>PremiumS</v>
      </c>
      <c r="G210" s="7">
        <f>VLOOKUP(D210,[1]characters!$A:$I,9,FALSE)</f>
        <v>3</v>
      </c>
      <c r="H210" s="7" t="str">
        <f>VLOOKUP(D210,[1]characters!$A:$H,8,FALSE)</f>
        <v>blue</v>
      </c>
      <c r="I210" s="7" t="str">
        <f>VLOOKUP(D210,[1]characters!$A:$K,11,FALSE)</f>
        <v>attack</v>
      </c>
      <c r="J210" s="7" t="str">
        <f>VLOOKUP(D210,[1]characters!$A:$M,13,FALSE)</f>
        <v>human</v>
      </c>
      <c r="K210" s="7" t="str">
        <f>VLOOKUP(D210,[1]characters!$A:$G,7,FALSE)</f>
        <v>男性</v>
      </c>
      <c r="L210" s="66">
        <f>IFERROR(VLOOKUP(D210,input_5!L:R,7,FALSE),VLOOKUP(tables_5!B210,input_5!A:H,8,FALSE))</f>
        <v>0</v>
      </c>
      <c r="M210" s="67">
        <f t="shared" si="9"/>
        <v>0</v>
      </c>
      <c r="N210" s="31">
        <f>IFERROR(VLOOKUP($D210,bug_conf_sheet!$A:$H,3,FALSE),VLOOKUP("other",bug_conf_sheet!$A:$H,3,FALSE))</f>
        <v>1</v>
      </c>
      <c r="O210" s="31">
        <f>IFERROR(VLOOKUP($D210,bug_conf_sheet!$A:$H,4,FALSE),VLOOKUP("other",bug_conf_sheet!$A:$H,4,FALSE))</f>
        <v>0</v>
      </c>
      <c r="P210" s="31">
        <f>IFERROR(VLOOKUP($D210,bug_conf_sheet!$A:$H,5,FALSE),VLOOKUP("other",bug_conf_sheet!$A:$H,5,FALSE))</f>
        <v>0</v>
      </c>
      <c r="Q210" s="31">
        <f>IFERROR(VLOOKUP($D210,bug_conf_sheet!$A:$H,6,FALSE),VLOOKUP("other",bug_conf_sheet!$A:$H,6,FALSE))</f>
        <v>0</v>
      </c>
      <c r="R210" s="31">
        <f>IFERROR(VLOOKUP($D210,bug_conf_sheet!$A:$H,7,FALSE),VLOOKUP("other",bug_conf_sheet!$A:$H,7,FALSE))</f>
        <v>0</v>
      </c>
      <c r="S210" s="31">
        <f>IFERROR(VLOOKUP($D210,bug_conf_sheet!$A:$H,8,FALSE),VLOOKUP("other",bug_conf_sheet!$A:$H,8,FALSE))</f>
        <v>1</v>
      </c>
    </row>
    <row r="211" spans="1:19" ht="21" customHeight="1">
      <c r="A211" s="2">
        <f>input_5!A$2</f>
        <v>3125</v>
      </c>
      <c r="B211" s="7" t="str">
        <f t="shared" si="10"/>
        <v>Premium4</v>
      </c>
      <c r="C211" s="7" t="str">
        <f t="shared" si="11"/>
        <v>Premium</v>
      </c>
      <c r="D211" s="6">
        <v>497</v>
      </c>
      <c r="E211" s="7" t="str">
        <f>VLOOKUP(D211,[1]characters!$A:$C,3,FALSE)</f>
        <v>偏愛の野獣 エスタブ</v>
      </c>
      <c r="F211" s="7" t="str">
        <f>VLOOKUP(D211,[1]characters!$A:$J,10,FALSE)</f>
        <v>PremiumS</v>
      </c>
      <c r="G211" s="7">
        <f>VLOOKUP(D211,[1]characters!$A:$I,9,FALSE)</f>
        <v>4</v>
      </c>
      <c r="H211" s="7" t="str">
        <f>VLOOKUP(D211,[1]characters!$A:$H,8,FALSE)</f>
        <v>blue</v>
      </c>
      <c r="I211" s="7" t="str">
        <f>VLOOKUP(D211,[1]characters!$A:$K,11,FALSE)</f>
        <v>attack</v>
      </c>
      <c r="J211" s="7" t="str">
        <f>VLOOKUP(D211,[1]characters!$A:$M,13,FALSE)</f>
        <v>human</v>
      </c>
      <c r="K211" s="7" t="str">
        <f>VLOOKUP(D211,[1]characters!$A:$G,7,FALSE)</f>
        <v>男性</v>
      </c>
      <c r="L211" s="66">
        <f>IFERROR(VLOOKUP(D211,input_5!L:R,7,FALSE),VLOOKUP(tables_5!B211,input_5!A:H,8,FALSE))</f>
        <v>260091</v>
      </c>
      <c r="M211" s="67">
        <f t="shared" si="9"/>
        <v>1.2516891891891892E-2</v>
      </c>
      <c r="N211" s="31">
        <f>IFERROR(VLOOKUP($D211,bug_conf_sheet!$A:$H,3,FALSE),VLOOKUP("other",bug_conf_sheet!$A:$H,3,FALSE))</f>
        <v>1</v>
      </c>
      <c r="O211" s="31">
        <f>IFERROR(VLOOKUP($D211,bug_conf_sheet!$A:$H,4,FALSE),VLOOKUP("other",bug_conf_sheet!$A:$H,4,FALSE))</f>
        <v>0</v>
      </c>
      <c r="P211" s="31">
        <f>IFERROR(VLOOKUP($D211,bug_conf_sheet!$A:$H,5,FALSE),VLOOKUP("other",bug_conf_sheet!$A:$H,5,FALSE))</f>
        <v>0</v>
      </c>
      <c r="Q211" s="31">
        <f>IFERROR(VLOOKUP($D211,bug_conf_sheet!$A:$H,6,FALSE),VLOOKUP("other",bug_conf_sheet!$A:$H,6,FALSE))</f>
        <v>0</v>
      </c>
      <c r="R211" s="31">
        <f>IFERROR(VLOOKUP($D211,bug_conf_sheet!$A:$H,7,FALSE),VLOOKUP("other",bug_conf_sheet!$A:$H,7,FALSE))</f>
        <v>0</v>
      </c>
      <c r="S211" s="31">
        <f>IFERROR(VLOOKUP($D211,bug_conf_sheet!$A:$H,8,FALSE),VLOOKUP("other",bug_conf_sheet!$A:$H,8,FALSE))</f>
        <v>1</v>
      </c>
    </row>
    <row r="212" spans="1:19" ht="21" customHeight="1">
      <c r="A212" s="2">
        <f>input_5!A$2</f>
        <v>3125</v>
      </c>
      <c r="B212" s="7" t="str">
        <f t="shared" si="10"/>
        <v>Premium5</v>
      </c>
      <c r="C212" s="7" t="str">
        <f t="shared" si="11"/>
        <v>Premium</v>
      </c>
      <c r="D212" s="6">
        <v>498</v>
      </c>
      <c r="E212" s="7" t="str">
        <f>VLOOKUP(D212,[1]characters!$A:$C,3,FALSE)</f>
        <v>自愛の高魔 エスタブ</v>
      </c>
      <c r="F212" s="7" t="str">
        <f>VLOOKUP(D212,[1]characters!$A:$J,10,FALSE)</f>
        <v>PremiumS</v>
      </c>
      <c r="G212" s="7">
        <f>VLOOKUP(D212,[1]characters!$A:$I,9,FALSE)</f>
        <v>5</v>
      </c>
      <c r="H212" s="7" t="str">
        <f>VLOOKUP(D212,[1]characters!$A:$H,8,FALSE)</f>
        <v>blue</v>
      </c>
      <c r="I212" s="7" t="str">
        <f>VLOOKUP(D212,[1]characters!$A:$K,11,FALSE)</f>
        <v>attack</v>
      </c>
      <c r="J212" s="7" t="str">
        <f>VLOOKUP(D212,[1]characters!$A:$M,13,FALSE)</f>
        <v>human</v>
      </c>
      <c r="K212" s="7" t="str">
        <f>VLOOKUP(D212,[1]characters!$A:$G,7,FALSE)</f>
        <v>男性</v>
      </c>
      <c r="L212" s="66">
        <f>IFERROR(VLOOKUP(D212,input_5!L:R,7,FALSE),VLOOKUP(tables_5!B212,input_5!A:H,8,FALSE))</f>
        <v>18759</v>
      </c>
      <c r="M212" s="67">
        <f t="shared" si="9"/>
        <v>9.0277777777777774E-4</v>
      </c>
      <c r="N212" s="31">
        <f>IFERROR(VLOOKUP($D212,bug_conf_sheet!$A:$H,3,FALSE),VLOOKUP("other",bug_conf_sheet!$A:$H,3,FALSE))</f>
        <v>1</v>
      </c>
      <c r="O212" s="31">
        <f>IFERROR(VLOOKUP($D212,bug_conf_sheet!$A:$H,4,FALSE),VLOOKUP("other",bug_conf_sheet!$A:$H,4,FALSE))</f>
        <v>0</v>
      </c>
      <c r="P212" s="31">
        <f>IFERROR(VLOOKUP($D212,bug_conf_sheet!$A:$H,5,FALSE),VLOOKUP("other",bug_conf_sheet!$A:$H,5,FALSE))</f>
        <v>0</v>
      </c>
      <c r="Q212" s="31">
        <f>IFERROR(VLOOKUP($D212,bug_conf_sheet!$A:$H,6,FALSE),VLOOKUP("other",bug_conf_sheet!$A:$H,6,FALSE))</f>
        <v>0</v>
      </c>
      <c r="R212" s="31">
        <f>IFERROR(VLOOKUP($D212,bug_conf_sheet!$A:$H,7,FALSE),VLOOKUP("other",bug_conf_sheet!$A:$H,7,FALSE))</f>
        <v>0</v>
      </c>
      <c r="S212" s="31">
        <f>IFERROR(VLOOKUP($D212,bug_conf_sheet!$A:$H,8,FALSE),VLOOKUP("other",bug_conf_sheet!$A:$H,8,FALSE))</f>
        <v>1</v>
      </c>
    </row>
    <row r="213" spans="1:19" ht="21" customHeight="1">
      <c r="A213" s="2">
        <f>input_5!A$2</f>
        <v>3125</v>
      </c>
      <c r="B213" s="7" t="str">
        <f t="shared" si="10"/>
        <v>PremiumSS4</v>
      </c>
      <c r="C213" s="7" t="str">
        <f t="shared" si="11"/>
        <v>PremiumSS</v>
      </c>
      <c r="D213" s="6">
        <v>499</v>
      </c>
      <c r="E213" s="7" t="str">
        <f>VLOOKUP(D213,[1]characters!$A:$C,3,FALSE)</f>
        <v>ラプンツェル</v>
      </c>
      <c r="F213" s="7" t="str">
        <f>VLOOKUP(D213,[1]characters!$A:$J,10,FALSE)</f>
        <v>PremiumSS</v>
      </c>
      <c r="G213" s="7">
        <f>VLOOKUP(D213,[1]characters!$A:$I,9,FALSE)</f>
        <v>4</v>
      </c>
      <c r="H213" s="7" t="str">
        <f>VLOOKUP(D213,[1]characters!$A:$H,8,FALSE)</f>
        <v>yellow</v>
      </c>
      <c r="I213" s="7" t="str">
        <f>VLOOKUP(D213,[1]characters!$A:$K,11,FALSE)</f>
        <v>balance</v>
      </c>
      <c r="J213" s="7" t="str">
        <f>VLOOKUP(D213,[1]characters!$A:$M,13,FALSE)</f>
        <v>human</v>
      </c>
      <c r="K213" s="7" t="str">
        <f>VLOOKUP(D213,[1]characters!$A:$G,7,FALSE)</f>
        <v>女性</v>
      </c>
      <c r="L213" s="66">
        <f>IFERROR(VLOOKUP(D213,input_5!L:R,7,FALSE),VLOOKUP(tables_5!B213,input_5!A:H,8,FALSE))</f>
        <v>18981</v>
      </c>
      <c r="M213" s="67">
        <f t="shared" si="9"/>
        <v>9.1346153846153845E-4</v>
      </c>
      <c r="N213" s="31">
        <f>IFERROR(VLOOKUP($D213,bug_conf_sheet!$A:$H,3,FALSE),VLOOKUP("other",bug_conf_sheet!$A:$H,3,FALSE))</f>
        <v>1</v>
      </c>
      <c r="O213" s="31">
        <f>IFERROR(VLOOKUP($D213,bug_conf_sheet!$A:$H,4,FALSE),VLOOKUP("other",bug_conf_sheet!$A:$H,4,FALSE))</f>
        <v>0</v>
      </c>
      <c r="P213" s="31">
        <f>IFERROR(VLOOKUP($D213,bug_conf_sheet!$A:$H,5,FALSE),VLOOKUP("other",bug_conf_sheet!$A:$H,5,FALSE))</f>
        <v>0</v>
      </c>
      <c r="Q213" s="31">
        <f>IFERROR(VLOOKUP($D213,bug_conf_sheet!$A:$H,6,FALSE),VLOOKUP("other",bug_conf_sheet!$A:$H,6,FALSE))</f>
        <v>0</v>
      </c>
      <c r="R213" s="31">
        <f>IFERROR(VLOOKUP($D213,bug_conf_sheet!$A:$H,7,FALSE),VLOOKUP("other",bug_conf_sheet!$A:$H,7,FALSE))</f>
        <v>0</v>
      </c>
      <c r="S213" s="31">
        <f>IFERROR(VLOOKUP($D213,bug_conf_sheet!$A:$H,8,FALSE),VLOOKUP("other",bug_conf_sheet!$A:$H,8,FALSE))</f>
        <v>1</v>
      </c>
    </row>
    <row r="214" spans="1:19" ht="21" customHeight="1">
      <c r="A214" s="2">
        <f>input_5!A$2</f>
        <v>3125</v>
      </c>
      <c r="B214" s="7" t="str">
        <f t="shared" si="10"/>
        <v>PremiumSS5</v>
      </c>
      <c r="C214" s="7" t="str">
        <f t="shared" si="11"/>
        <v>PremiumSS</v>
      </c>
      <c r="D214" s="6">
        <v>500</v>
      </c>
      <c r="E214" s="7" t="str">
        <f>VLOOKUP(D214,[1]characters!$A:$C,3,FALSE)</f>
        <v>脈動の禁髪 ラプンツェル</v>
      </c>
      <c r="F214" s="7" t="str">
        <f>VLOOKUP(D214,[1]characters!$A:$J,10,FALSE)</f>
        <v>PremiumSS</v>
      </c>
      <c r="G214" s="7">
        <f>VLOOKUP(D214,[1]characters!$A:$I,9,FALSE)</f>
        <v>5</v>
      </c>
      <c r="H214" s="7" t="str">
        <f>VLOOKUP(D214,[1]characters!$A:$H,8,FALSE)</f>
        <v>yellow</v>
      </c>
      <c r="I214" s="7" t="str">
        <f>VLOOKUP(D214,[1]characters!$A:$K,11,FALSE)</f>
        <v>balance</v>
      </c>
      <c r="J214" s="7" t="str">
        <f>VLOOKUP(D214,[1]characters!$A:$M,13,FALSE)</f>
        <v>human</v>
      </c>
      <c r="K214" s="7" t="str">
        <f>VLOOKUP(D214,[1]characters!$A:$G,7,FALSE)</f>
        <v>女性</v>
      </c>
      <c r="L214" s="66">
        <f>IFERROR(VLOOKUP(D214,input_5!L:R,7,FALSE),VLOOKUP(tables_5!B214,input_5!A:H,8,FALSE))</f>
        <v>999</v>
      </c>
      <c r="M214" s="67">
        <f t="shared" si="9"/>
        <v>4.8076923076923077E-5</v>
      </c>
      <c r="N214" s="31">
        <f>IFERROR(VLOOKUP($D214,bug_conf_sheet!$A:$H,3,FALSE),VLOOKUP("other",bug_conf_sheet!$A:$H,3,FALSE))</f>
        <v>1</v>
      </c>
      <c r="O214" s="31">
        <f>IFERROR(VLOOKUP($D214,bug_conf_sheet!$A:$H,4,FALSE),VLOOKUP("other",bug_conf_sheet!$A:$H,4,FALSE))</f>
        <v>0</v>
      </c>
      <c r="P214" s="31">
        <f>IFERROR(VLOOKUP($D214,bug_conf_sheet!$A:$H,5,FALSE),VLOOKUP("other",bug_conf_sheet!$A:$H,5,FALSE))</f>
        <v>0</v>
      </c>
      <c r="Q214" s="31">
        <f>IFERROR(VLOOKUP($D214,bug_conf_sheet!$A:$H,6,FALSE),VLOOKUP("other",bug_conf_sheet!$A:$H,6,FALSE))</f>
        <v>0</v>
      </c>
      <c r="R214" s="31">
        <f>IFERROR(VLOOKUP($D214,bug_conf_sheet!$A:$H,7,FALSE),VLOOKUP("other",bug_conf_sheet!$A:$H,7,FALSE))</f>
        <v>0</v>
      </c>
      <c r="S214" s="31">
        <f>IFERROR(VLOOKUP($D214,bug_conf_sheet!$A:$H,8,FALSE),VLOOKUP("other",bug_conf_sheet!$A:$H,8,FALSE))</f>
        <v>1</v>
      </c>
    </row>
    <row r="215" spans="1:19" ht="21" customHeight="1">
      <c r="A215" s="2">
        <f>input_5!A$2</f>
        <v>3125</v>
      </c>
      <c r="B215" s="7" t="str">
        <f t="shared" si="10"/>
        <v>PremiumSS4</v>
      </c>
      <c r="C215" s="7" t="str">
        <f t="shared" si="11"/>
        <v>PremiumSS</v>
      </c>
      <c r="D215" s="6">
        <v>586</v>
      </c>
      <c r="E215" s="7" t="str">
        <f>VLOOKUP(D215,[1]characters!$A:$C,3,FALSE)</f>
        <v>ユミル</v>
      </c>
      <c r="F215" s="7" t="str">
        <f>VLOOKUP(D215,[1]characters!$A:$J,10,FALSE)</f>
        <v>PremiumSS</v>
      </c>
      <c r="G215" s="7">
        <f>VLOOKUP(D215,[1]characters!$A:$I,9,FALSE)</f>
        <v>4</v>
      </c>
      <c r="H215" s="7" t="str">
        <f>VLOOKUP(D215,[1]characters!$A:$H,8,FALSE)</f>
        <v>red</v>
      </c>
      <c r="I215" s="7" t="str">
        <f>VLOOKUP(D215,[1]characters!$A:$K,11,FALSE)</f>
        <v>hp</v>
      </c>
      <c r="J215" s="7" t="str">
        <f>VLOOKUP(D215,[1]characters!$A:$M,13,FALSE)</f>
        <v>machine</v>
      </c>
      <c r="K215" s="7" t="str">
        <f>VLOOKUP(D215,[1]characters!$A:$G,7,FALSE)</f>
        <v>不明</v>
      </c>
      <c r="L215" s="66">
        <f>IFERROR(VLOOKUP(D215,input_5!L:R,7,FALSE),VLOOKUP(tables_5!B215,input_5!A:H,8,FALSE))</f>
        <v>18981</v>
      </c>
      <c r="M215" s="67">
        <f t="shared" si="9"/>
        <v>9.1346153846153845E-4</v>
      </c>
      <c r="N215" s="31">
        <f>IFERROR(VLOOKUP($D215,bug_conf_sheet!$A:$H,3,FALSE),VLOOKUP("other",bug_conf_sheet!$A:$H,3,FALSE))</f>
        <v>1</v>
      </c>
      <c r="O215" s="31">
        <f>IFERROR(VLOOKUP($D215,bug_conf_sheet!$A:$H,4,FALSE),VLOOKUP("other",bug_conf_sheet!$A:$H,4,FALSE))</f>
        <v>0</v>
      </c>
      <c r="P215" s="31">
        <f>IFERROR(VLOOKUP($D215,bug_conf_sheet!$A:$H,5,FALSE),VLOOKUP("other",bug_conf_sheet!$A:$H,5,FALSE))</f>
        <v>0</v>
      </c>
      <c r="Q215" s="31">
        <f>IFERROR(VLOOKUP($D215,bug_conf_sheet!$A:$H,6,FALSE),VLOOKUP("other",bug_conf_sheet!$A:$H,6,FALSE))</f>
        <v>0</v>
      </c>
      <c r="R215" s="31">
        <f>IFERROR(VLOOKUP($D215,bug_conf_sheet!$A:$H,7,FALSE),VLOOKUP("other",bug_conf_sheet!$A:$H,7,FALSE))</f>
        <v>0</v>
      </c>
      <c r="S215" s="31">
        <f>IFERROR(VLOOKUP($D215,bug_conf_sheet!$A:$H,8,FALSE),VLOOKUP("other",bug_conf_sheet!$A:$H,8,FALSE))</f>
        <v>1</v>
      </c>
    </row>
    <row r="216" spans="1:19" ht="21" customHeight="1">
      <c r="A216" s="2">
        <f>input_5!A$2</f>
        <v>3125</v>
      </c>
      <c r="B216" s="7" t="str">
        <f t="shared" si="10"/>
        <v>PremiumSS5</v>
      </c>
      <c r="C216" s="7" t="str">
        <f t="shared" si="11"/>
        <v>PremiumSS</v>
      </c>
      <c r="D216" s="6">
        <v>587</v>
      </c>
      <c r="E216" s="7" t="str">
        <f>VLOOKUP(D216,[1]characters!$A:$C,3,FALSE)</f>
        <v>原初の煉鋼巨刃 ユミル</v>
      </c>
      <c r="F216" s="7" t="str">
        <f>VLOOKUP(D216,[1]characters!$A:$J,10,FALSE)</f>
        <v>PremiumSS</v>
      </c>
      <c r="G216" s="7">
        <f>VLOOKUP(D216,[1]characters!$A:$I,9,FALSE)</f>
        <v>5</v>
      </c>
      <c r="H216" s="7" t="str">
        <f>VLOOKUP(D216,[1]characters!$A:$H,8,FALSE)</f>
        <v>red</v>
      </c>
      <c r="I216" s="7" t="str">
        <f>VLOOKUP(D216,[1]characters!$A:$K,11,FALSE)</f>
        <v>hp</v>
      </c>
      <c r="J216" s="7" t="str">
        <f>VLOOKUP(D216,[1]characters!$A:$M,13,FALSE)</f>
        <v>machine</v>
      </c>
      <c r="K216" s="7" t="str">
        <f>VLOOKUP(D216,[1]characters!$A:$G,7,FALSE)</f>
        <v>不明</v>
      </c>
      <c r="L216" s="66">
        <f>IFERROR(VLOOKUP(D216,input_5!L:R,7,FALSE),VLOOKUP(tables_5!B216,input_5!A:H,8,FALSE))</f>
        <v>999</v>
      </c>
      <c r="M216" s="67">
        <f t="shared" si="9"/>
        <v>4.8076923076923077E-5</v>
      </c>
      <c r="N216" s="31">
        <f>IFERROR(VLOOKUP($D216,bug_conf_sheet!$A:$H,3,FALSE),VLOOKUP("other",bug_conf_sheet!$A:$H,3,FALSE))</f>
        <v>1</v>
      </c>
      <c r="O216" s="31">
        <f>IFERROR(VLOOKUP($D216,bug_conf_sheet!$A:$H,4,FALSE),VLOOKUP("other",bug_conf_sheet!$A:$H,4,FALSE))</f>
        <v>0</v>
      </c>
      <c r="P216" s="31">
        <f>IFERROR(VLOOKUP($D216,bug_conf_sheet!$A:$H,5,FALSE),VLOOKUP("other",bug_conf_sheet!$A:$H,5,FALSE))</f>
        <v>0</v>
      </c>
      <c r="Q216" s="31">
        <f>IFERROR(VLOOKUP($D216,bug_conf_sheet!$A:$H,6,FALSE),VLOOKUP("other",bug_conf_sheet!$A:$H,6,FALSE))</f>
        <v>0</v>
      </c>
      <c r="R216" s="31">
        <f>IFERROR(VLOOKUP($D216,bug_conf_sheet!$A:$H,7,FALSE),VLOOKUP("other",bug_conf_sheet!$A:$H,7,FALSE))</f>
        <v>0</v>
      </c>
      <c r="S216" s="31">
        <f>IFERROR(VLOOKUP($D216,bug_conf_sheet!$A:$H,8,FALSE),VLOOKUP("other",bug_conf_sheet!$A:$H,8,FALSE))</f>
        <v>1</v>
      </c>
    </row>
    <row r="217" spans="1:19" ht="21" customHeight="1">
      <c r="A217" s="2">
        <f>input_5!A$2</f>
        <v>3125</v>
      </c>
      <c r="B217" s="7" t="str">
        <f t="shared" si="10"/>
        <v>Premium3</v>
      </c>
      <c r="C217" s="7" t="str">
        <f t="shared" si="11"/>
        <v>Premium</v>
      </c>
      <c r="D217" s="6">
        <v>588</v>
      </c>
      <c r="E217" s="7" t="str">
        <f>VLOOKUP(D217,[1]characters!$A:$C,3,FALSE)</f>
        <v>ニーベルゲン</v>
      </c>
      <c r="F217" s="7" t="str">
        <f>VLOOKUP(D217,[1]characters!$A:$J,10,FALSE)</f>
        <v>PremiumS</v>
      </c>
      <c r="G217" s="7">
        <f>VLOOKUP(D217,[1]characters!$A:$I,9,FALSE)</f>
        <v>3</v>
      </c>
      <c r="H217" s="7" t="str">
        <f>VLOOKUP(D217,[1]characters!$A:$H,8,FALSE)</f>
        <v>green</v>
      </c>
      <c r="I217" s="7" t="str">
        <f>VLOOKUP(D217,[1]characters!$A:$K,11,FALSE)</f>
        <v>balance</v>
      </c>
      <c r="J217" s="7" t="str">
        <f>VLOOKUP(D217,[1]characters!$A:$M,13,FALSE)</f>
        <v>unknown</v>
      </c>
      <c r="K217" s="7" t="str">
        <f>VLOOKUP(D217,[1]characters!$A:$G,7,FALSE)</f>
        <v>女性</v>
      </c>
      <c r="L217" s="66">
        <f>IFERROR(VLOOKUP(D217,input_5!L:R,7,FALSE),VLOOKUP(tables_5!B217,input_5!A:H,8,FALSE))</f>
        <v>0</v>
      </c>
      <c r="M217" s="67">
        <f t="shared" si="9"/>
        <v>0</v>
      </c>
      <c r="N217" s="31">
        <f>IFERROR(VLOOKUP($D217,bug_conf_sheet!$A:$H,3,FALSE),VLOOKUP("other",bug_conf_sheet!$A:$H,3,FALSE))</f>
        <v>1</v>
      </c>
      <c r="O217" s="31">
        <f>IFERROR(VLOOKUP($D217,bug_conf_sheet!$A:$H,4,FALSE),VLOOKUP("other",bug_conf_sheet!$A:$H,4,FALSE))</f>
        <v>0</v>
      </c>
      <c r="P217" s="31">
        <f>IFERROR(VLOOKUP($D217,bug_conf_sheet!$A:$H,5,FALSE),VLOOKUP("other",bug_conf_sheet!$A:$H,5,FALSE))</f>
        <v>0</v>
      </c>
      <c r="Q217" s="31">
        <f>IFERROR(VLOOKUP($D217,bug_conf_sheet!$A:$H,6,FALSE),VLOOKUP("other",bug_conf_sheet!$A:$H,6,FALSE))</f>
        <v>0</v>
      </c>
      <c r="R217" s="31">
        <f>IFERROR(VLOOKUP($D217,bug_conf_sheet!$A:$H,7,FALSE),VLOOKUP("other",bug_conf_sheet!$A:$H,7,FALSE))</f>
        <v>0</v>
      </c>
      <c r="S217" s="31">
        <f>IFERROR(VLOOKUP($D217,bug_conf_sheet!$A:$H,8,FALSE),VLOOKUP("other",bug_conf_sheet!$A:$H,8,FALSE))</f>
        <v>1</v>
      </c>
    </row>
    <row r="218" spans="1:19" ht="21" customHeight="1">
      <c r="A218" s="2">
        <f>input_5!A$2</f>
        <v>3125</v>
      </c>
      <c r="B218" s="7" t="str">
        <f t="shared" si="10"/>
        <v>Premium4</v>
      </c>
      <c r="C218" s="7" t="str">
        <f t="shared" si="11"/>
        <v>Premium</v>
      </c>
      <c r="D218" s="6">
        <v>589</v>
      </c>
      <c r="E218" s="7" t="str">
        <f>VLOOKUP(D218,[1]characters!$A:$C,3,FALSE)</f>
        <v>不幸の円環 ニーベルゲン</v>
      </c>
      <c r="F218" s="7" t="str">
        <f>VLOOKUP(D218,[1]characters!$A:$J,10,FALSE)</f>
        <v>PremiumS</v>
      </c>
      <c r="G218" s="7">
        <f>VLOOKUP(D218,[1]characters!$A:$I,9,FALSE)</f>
        <v>4</v>
      </c>
      <c r="H218" s="7" t="str">
        <f>VLOOKUP(D218,[1]characters!$A:$H,8,FALSE)</f>
        <v>green</v>
      </c>
      <c r="I218" s="7" t="str">
        <f>VLOOKUP(D218,[1]characters!$A:$K,11,FALSE)</f>
        <v>balance</v>
      </c>
      <c r="J218" s="7" t="str">
        <f>VLOOKUP(D218,[1]characters!$A:$M,13,FALSE)</f>
        <v>unknown</v>
      </c>
      <c r="K218" s="7" t="str">
        <f>VLOOKUP(D218,[1]characters!$A:$G,7,FALSE)</f>
        <v>女性</v>
      </c>
      <c r="L218" s="66">
        <f>IFERROR(VLOOKUP(D218,input_5!L:R,7,FALSE),VLOOKUP(tables_5!B218,input_5!A:H,8,FALSE))</f>
        <v>260091</v>
      </c>
      <c r="M218" s="67">
        <f t="shared" si="9"/>
        <v>1.2516891891891892E-2</v>
      </c>
      <c r="N218" s="31">
        <f>IFERROR(VLOOKUP($D218,bug_conf_sheet!$A:$H,3,FALSE),VLOOKUP("other",bug_conf_sheet!$A:$H,3,FALSE))</f>
        <v>1</v>
      </c>
      <c r="O218" s="31">
        <f>IFERROR(VLOOKUP($D218,bug_conf_sheet!$A:$H,4,FALSE),VLOOKUP("other",bug_conf_sheet!$A:$H,4,FALSE))</f>
        <v>0</v>
      </c>
      <c r="P218" s="31">
        <f>IFERROR(VLOOKUP($D218,bug_conf_sheet!$A:$H,5,FALSE),VLOOKUP("other",bug_conf_sheet!$A:$H,5,FALSE))</f>
        <v>0</v>
      </c>
      <c r="Q218" s="31">
        <f>IFERROR(VLOOKUP($D218,bug_conf_sheet!$A:$H,6,FALSE),VLOOKUP("other",bug_conf_sheet!$A:$H,6,FALSE))</f>
        <v>0</v>
      </c>
      <c r="R218" s="31">
        <f>IFERROR(VLOOKUP($D218,bug_conf_sheet!$A:$H,7,FALSE),VLOOKUP("other",bug_conf_sheet!$A:$H,7,FALSE))</f>
        <v>0</v>
      </c>
      <c r="S218" s="31">
        <f>IFERROR(VLOOKUP($D218,bug_conf_sheet!$A:$H,8,FALSE),VLOOKUP("other",bug_conf_sheet!$A:$H,8,FALSE))</f>
        <v>1</v>
      </c>
    </row>
    <row r="219" spans="1:19" ht="21" customHeight="1">
      <c r="A219" s="2">
        <f>input_5!A$2</f>
        <v>3125</v>
      </c>
      <c r="B219" s="7" t="str">
        <f t="shared" si="10"/>
        <v>Premium5</v>
      </c>
      <c r="C219" s="7" t="str">
        <f t="shared" si="11"/>
        <v>Premium</v>
      </c>
      <c r="D219" s="6">
        <v>590</v>
      </c>
      <c r="E219" s="7" t="str">
        <f>VLOOKUP(D219,[1]characters!$A:$C,3,FALSE)</f>
        <v>永遠を廻る呪い ニーベルゲン</v>
      </c>
      <c r="F219" s="7" t="str">
        <f>VLOOKUP(D219,[1]characters!$A:$J,10,FALSE)</f>
        <v>PremiumS</v>
      </c>
      <c r="G219" s="7">
        <f>VLOOKUP(D219,[1]characters!$A:$I,9,FALSE)</f>
        <v>5</v>
      </c>
      <c r="H219" s="7" t="str">
        <f>VLOOKUP(D219,[1]characters!$A:$H,8,FALSE)</f>
        <v>green</v>
      </c>
      <c r="I219" s="7" t="str">
        <f>VLOOKUP(D219,[1]characters!$A:$K,11,FALSE)</f>
        <v>balance</v>
      </c>
      <c r="J219" s="7" t="str">
        <f>VLOOKUP(D219,[1]characters!$A:$M,13,FALSE)</f>
        <v>unknown</v>
      </c>
      <c r="K219" s="7" t="str">
        <f>VLOOKUP(D219,[1]characters!$A:$G,7,FALSE)</f>
        <v>女性</v>
      </c>
      <c r="L219" s="66">
        <f>IFERROR(VLOOKUP(D219,input_5!L:R,7,FALSE),VLOOKUP(tables_5!B219,input_5!A:H,8,FALSE))</f>
        <v>18759</v>
      </c>
      <c r="M219" s="67">
        <f t="shared" si="9"/>
        <v>9.0277777777777774E-4</v>
      </c>
      <c r="N219" s="31">
        <f>IFERROR(VLOOKUP($D219,bug_conf_sheet!$A:$H,3,FALSE),VLOOKUP("other",bug_conf_sheet!$A:$H,3,FALSE))</f>
        <v>1</v>
      </c>
      <c r="O219" s="31">
        <f>IFERROR(VLOOKUP($D219,bug_conf_sheet!$A:$H,4,FALSE),VLOOKUP("other",bug_conf_sheet!$A:$H,4,FALSE))</f>
        <v>0</v>
      </c>
      <c r="P219" s="31">
        <f>IFERROR(VLOOKUP($D219,bug_conf_sheet!$A:$H,5,FALSE),VLOOKUP("other",bug_conf_sheet!$A:$H,5,FALSE))</f>
        <v>0</v>
      </c>
      <c r="Q219" s="31">
        <f>IFERROR(VLOOKUP($D219,bug_conf_sheet!$A:$H,6,FALSE),VLOOKUP("other",bug_conf_sheet!$A:$H,6,FALSE))</f>
        <v>0</v>
      </c>
      <c r="R219" s="31">
        <f>IFERROR(VLOOKUP($D219,bug_conf_sheet!$A:$H,7,FALSE),VLOOKUP("other",bug_conf_sheet!$A:$H,7,FALSE))</f>
        <v>0</v>
      </c>
      <c r="S219" s="31">
        <f>IFERROR(VLOOKUP($D219,bug_conf_sheet!$A:$H,8,FALSE),VLOOKUP("other",bug_conf_sheet!$A:$H,8,FALSE))</f>
        <v>1</v>
      </c>
    </row>
    <row r="220" spans="1:19" ht="21" customHeight="1">
      <c r="A220" s="2">
        <f>input_5!A$2</f>
        <v>3125</v>
      </c>
      <c r="B220" s="7" t="str">
        <f t="shared" si="10"/>
        <v>Premium3</v>
      </c>
      <c r="C220" s="7" t="str">
        <f t="shared" si="11"/>
        <v>Premium</v>
      </c>
      <c r="D220" s="6">
        <v>591</v>
      </c>
      <c r="E220" s="7" t="str">
        <f>VLOOKUP(D220,[1]characters!$A:$C,3,FALSE)</f>
        <v>ファフニール</v>
      </c>
      <c r="F220" s="7" t="str">
        <f>VLOOKUP(D220,[1]characters!$A:$J,10,FALSE)</f>
        <v>PremiumS</v>
      </c>
      <c r="G220" s="7">
        <f>VLOOKUP(D220,[1]characters!$A:$I,9,FALSE)</f>
        <v>3</v>
      </c>
      <c r="H220" s="7" t="str">
        <f>VLOOKUP(D220,[1]characters!$A:$H,8,FALSE)</f>
        <v>blue</v>
      </c>
      <c r="I220" s="7" t="str">
        <f>VLOOKUP(D220,[1]characters!$A:$K,11,FALSE)</f>
        <v>technical</v>
      </c>
      <c r="J220" s="7" t="str">
        <f>VLOOKUP(D220,[1]characters!$A:$M,13,FALSE)</f>
        <v>dragon</v>
      </c>
      <c r="K220" s="7" t="str">
        <f>VLOOKUP(D220,[1]characters!$A:$G,7,FALSE)</f>
        <v>不明</v>
      </c>
      <c r="L220" s="66">
        <f>IFERROR(VLOOKUP(D220,input_5!L:R,7,FALSE),VLOOKUP(tables_5!B220,input_5!A:H,8,FALSE))</f>
        <v>0</v>
      </c>
      <c r="M220" s="67">
        <f t="shared" si="9"/>
        <v>0</v>
      </c>
      <c r="N220" s="31">
        <f>IFERROR(VLOOKUP($D220,bug_conf_sheet!$A:$H,3,FALSE),VLOOKUP("other",bug_conf_sheet!$A:$H,3,FALSE))</f>
        <v>1</v>
      </c>
      <c r="O220" s="31">
        <f>IFERROR(VLOOKUP($D220,bug_conf_sheet!$A:$H,4,FALSE),VLOOKUP("other",bug_conf_sheet!$A:$H,4,FALSE))</f>
        <v>0</v>
      </c>
      <c r="P220" s="31">
        <f>IFERROR(VLOOKUP($D220,bug_conf_sheet!$A:$H,5,FALSE),VLOOKUP("other",bug_conf_sheet!$A:$H,5,FALSE))</f>
        <v>0</v>
      </c>
      <c r="Q220" s="31">
        <f>IFERROR(VLOOKUP($D220,bug_conf_sheet!$A:$H,6,FALSE),VLOOKUP("other",bug_conf_sheet!$A:$H,6,FALSE))</f>
        <v>0</v>
      </c>
      <c r="R220" s="31">
        <f>IFERROR(VLOOKUP($D220,bug_conf_sheet!$A:$H,7,FALSE),VLOOKUP("other",bug_conf_sheet!$A:$H,7,FALSE))</f>
        <v>0</v>
      </c>
      <c r="S220" s="31">
        <f>IFERROR(VLOOKUP($D220,bug_conf_sheet!$A:$H,8,FALSE),VLOOKUP("other",bug_conf_sheet!$A:$H,8,FALSE))</f>
        <v>1</v>
      </c>
    </row>
    <row r="221" spans="1:19" ht="21" customHeight="1">
      <c r="A221" s="2">
        <f>input_5!A$2</f>
        <v>3125</v>
      </c>
      <c r="B221" s="7" t="str">
        <f t="shared" si="10"/>
        <v>Premium4</v>
      </c>
      <c r="C221" s="7" t="str">
        <f t="shared" si="11"/>
        <v>Premium</v>
      </c>
      <c r="D221" s="6">
        <v>592</v>
      </c>
      <c r="E221" s="7" t="str">
        <f>VLOOKUP(D221,[1]characters!$A:$C,3,FALSE)</f>
        <v>財宝への執着 ファフニール</v>
      </c>
      <c r="F221" s="7" t="str">
        <f>VLOOKUP(D221,[1]characters!$A:$J,10,FALSE)</f>
        <v>PremiumS</v>
      </c>
      <c r="G221" s="7">
        <f>VLOOKUP(D221,[1]characters!$A:$I,9,FALSE)</f>
        <v>4</v>
      </c>
      <c r="H221" s="7" t="str">
        <f>VLOOKUP(D221,[1]characters!$A:$H,8,FALSE)</f>
        <v>blue</v>
      </c>
      <c r="I221" s="7" t="str">
        <f>VLOOKUP(D221,[1]characters!$A:$K,11,FALSE)</f>
        <v>technical</v>
      </c>
      <c r="J221" s="7" t="str">
        <f>VLOOKUP(D221,[1]characters!$A:$M,13,FALSE)</f>
        <v>dragon</v>
      </c>
      <c r="K221" s="7" t="str">
        <f>VLOOKUP(D221,[1]characters!$A:$G,7,FALSE)</f>
        <v>不明</v>
      </c>
      <c r="L221" s="66">
        <f>IFERROR(VLOOKUP(D221,input_5!L:R,7,FALSE),VLOOKUP(tables_5!B221,input_5!A:H,8,FALSE))</f>
        <v>260091</v>
      </c>
      <c r="M221" s="67">
        <f t="shared" si="9"/>
        <v>1.2516891891891892E-2</v>
      </c>
      <c r="N221" s="31">
        <f>IFERROR(VLOOKUP($D221,bug_conf_sheet!$A:$H,3,FALSE),VLOOKUP("other",bug_conf_sheet!$A:$H,3,FALSE))</f>
        <v>1</v>
      </c>
      <c r="O221" s="31">
        <f>IFERROR(VLOOKUP($D221,bug_conf_sheet!$A:$H,4,FALSE),VLOOKUP("other",bug_conf_sheet!$A:$H,4,FALSE))</f>
        <v>0</v>
      </c>
      <c r="P221" s="31">
        <f>IFERROR(VLOOKUP($D221,bug_conf_sheet!$A:$H,5,FALSE),VLOOKUP("other",bug_conf_sheet!$A:$H,5,FALSE))</f>
        <v>0</v>
      </c>
      <c r="Q221" s="31">
        <f>IFERROR(VLOOKUP($D221,bug_conf_sheet!$A:$H,6,FALSE),VLOOKUP("other",bug_conf_sheet!$A:$H,6,FALSE))</f>
        <v>0</v>
      </c>
      <c r="R221" s="31">
        <f>IFERROR(VLOOKUP($D221,bug_conf_sheet!$A:$H,7,FALSE),VLOOKUP("other",bug_conf_sheet!$A:$H,7,FALSE))</f>
        <v>0</v>
      </c>
      <c r="S221" s="31">
        <f>IFERROR(VLOOKUP($D221,bug_conf_sheet!$A:$H,8,FALSE),VLOOKUP("other",bug_conf_sheet!$A:$H,8,FALSE))</f>
        <v>1</v>
      </c>
    </row>
    <row r="222" spans="1:19" ht="21" customHeight="1">
      <c r="A222" s="2">
        <f>input_5!A$2</f>
        <v>3125</v>
      </c>
      <c r="B222" s="7" t="str">
        <f t="shared" si="10"/>
        <v>Premium5</v>
      </c>
      <c r="C222" s="7" t="str">
        <f t="shared" si="11"/>
        <v>Premium</v>
      </c>
      <c r="D222" s="6">
        <v>593</v>
      </c>
      <c r="E222" s="7" t="str">
        <f>VLOOKUP(D222,[1]characters!$A:$C,3,FALSE)</f>
        <v>妄執する邪毒龍 ファフニール</v>
      </c>
      <c r="F222" s="7" t="str">
        <f>VLOOKUP(D222,[1]characters!$A:$J,10,FALSE)</f>
        <v>PremiumS</v>
      </c>
      <c r="G222" s="7">
        <f>VLOOKUP(D222,[1]characters!$A:$I,9,FALSE)</f>
        <v>5</v>
      </c>
      <c r="H222" s="7" t="str">
        <f>VLOOKUP(D222,[1]characters!$A:$H,8,FALSE)</f>
        <v>blue</v>
      </c>
      <c r="I222" s="7" t="str">
        <f>VLOOKUP(D222,[1]characters!$A:$K,11,FALSE)</f>
        <v>technical</v>
      </c>
      <c r="J222" s="7" t="str">
        <f>VLOOKUP(D222,[1]characters!$A:$M,13,FALSE)</f>
        <v>dragon</v>
      </c>
      <c r="K222" s="7" t="str">
        <f>VLOOKUP(D222,[1]characters!$A:$G,7,FALSE)</f>
        <v>不明</v>
      </c>
      <c r="L222" s="66">
        <f>IFERROR(VLOOKUP(D222,input_5!L:R,7,FALSE),VLOOKUP(tables_5!B222,input_5!A:H,8,FALSE))</f>
        <v>18759</v>
      </c>
      <c r="M222" s="67">
        <f t="shared" si="9"/>
        <v>9.0277777777777774E-4</v>
      </c>
      <c r="N222" s="31">
        <f>IFERROR(VLOOKUP($D222,bug_conf_sheet!$A:$H,3,FALSE),VLOOKUP("other",bug_conf_sheet!$A:$H,3,FALSE))</f>
        <v>1</v>
      </c>
      <c r="O222" s="31">
        <f>IFERROR(VLOOKUP($D222,bug_conf_sheet!$A:$H,4,FALSE),VLOOKUP("other",bug_conf_sheet!$A:$H,4,FALSE))</f>
        <v>0</v>
      </c>
      <c r="P222" s="31">
        <f>IFERROR(VLOOKUP($D222,bug_conf_sheet!$A:$H,5,FALSE),VLOOKUP("other",bug_conf_sheet!$A:$H,5,FALSE))</f>
        <v>0</v>
      </c>
      <c r="Q222" s="31">
        <f>IFERROR(VLOOKUP($D222,bug_conf_sheet!$A:$H,6,FALSE),VLOOKUP("other",bug_conf_sheet!$A:$H,6,FALSE))</f>
        <v>0</v>
      </c>
      <c r="R222" s="31">
        <f>IFERROR(VLOOKUP($D222,bug_conf_sheet!$A:$H,7,FALSE),VLOOKUP("other",bug_conf_sheet!$A:$H,7,FALSE))</f>
        <v>0</v>
      </c>
      <c r="S222" s="31">
        <f>IFERROR(VLOOKUP($D222,bug_conf_sheet!$A:$H,8,FALSE),VLOOKUP("other",bug_conf_sheet!$A:$H,8,FALSE))</f>
        <v>1</v>
      </c>
    </row>
    <row r="223" spans="1:19" ht="21" customHeight="1">
      <c r="A223" s="2">
        <f>input_5!A$2</f>
        <v>3125</v>
      </c>
      <c r="B223" s="7" t="str">
        <f t="shared" si="10"/>
        <v>PremiumSS4</v>
      </c>
      <c r="C223" s="7" t="str">
        <f t="shared" si="11"/>
        <v>PremiumSS</v>
      </c>
      <c r="D223" s="6">
        <v>594</v>
      </c>
      <c r="E223" s="7" t="str">
        <f>VLOOKUP(D223,[1]characters!$A:$C,3,FALSE)</f>
        <v>アルフヘイム</v>
      </c>
      <c r="F223" s="7" t="str">
        <f>VLOOKUP(D223,[1]characters!$A:$J,10,FALSE)</f>
        <v>PremiumSS</v>
      </c>
      <c r="G223" s="7">
        <f>VLOOKUP(D223,[1]characters!$A:$I,9,FALSE)</f>
        <v>4</v>
      </c>
      <c r="H223" s="7" t="str">
        <f>VLOOKUP(D223,[1]characters!$A:$H,8,FALSE)</f>
        <v>yellow</v>
      </c>
      <c r="I223" s="7" t="str">
        <f>VLOOKUP(D223,[1]characters!$A:$K,11,FALSE)</f>
        <v>attack</v>
      </c>
      <c r="J223" s="7" t="str">
        <f>VLOOKUP(D223,[1]characters!$A:$M,13,FALSE)</f>
        <v>dragon</v>
      </c>
      <c r="K223" s="7" t="str">
        <f>VLOOKUP(D223,[1]characters!$A:$G,7,FALSE)</f>
        <v>不明</v>
      </c>
      <c r="L223" s="66">
        <f>IFERROR(VLOOKUP(D223,input_5!L:R,7,FALSE),VLOOKUP(tables_5!B223,input_5!A:H,8,FALSE))</f>
        <v>18981</v>
      </c>
      <c r="M223" s="67">
        <f t="shared" si="9"/>
        <v>9.1346153846153845E-4</v>
      </c>
      <c r="N223" s="31">
        <f>IFERROR(VLOOKUP($D223,bug_conf_sheet!$A:$H,3,FALSE),VLOOKUP("other",bug_conf_sheet!$A:$H,3,FALSE))</f>
        <v>1</v>
      </c>
      <c r="O223" s="31">
        <f>IFERROR(VLOOKUP($D223,bug_conf_sheet!$A:$H,4,FALSE),VLOOKUP("other",bug_conf_sheet!$A:$H,4,FALSE))</f>
        <v>0</v>
      </c>
      <c r="P223" s="31">
        <f>IFERROR(VLOOKUP($D223,bug_conf_sheet!$A:$H,5,FALSE),VLOOKUP("other",bug_conf_sheet!$A:$H,5,FALSE))</f>
        <v>0</v>
      </c>
      <c r="Q223" s="31">
        <f>IFERROR(VLOOKUP($D223,bug_conf_sheet!$A:$H,6,FALSE),VLOOKUP("other",bug_conf_sheet!$A:$H,6,FALSE))</f>
        <v>0</v>
      </c>
      <c r="R223" s="31">
        <f>IFERROR(VLOOKUP($D223,bug_conf_sheet!$A:$H,7,FALSE),VLOOKUP("other",bug_conf_sheet!$A:$H,7,FALSE))</f>
        <v>0</v>
      </c>
      <c r="S223" s="31">
        <f>IFERROR(VLOOKUP($D223,bug_conf_sheet!$A:$H,8,FALSE),VLOOKUP("other",bug_conf_sheet!$A:$H,8,FALSE))</f>
        <v>1</v>
      </c>
    </row>
    <row r="224" spans="1:19" ht="21" customHeight="1">
      <c r="A224" s="2">
        <f>input_5!A$2</f>
        <v>3125</v>
      </c>
      <c r="B224" s="7" t="str">
        <f t="shared" si="10"/>
        <v>PremiumSS5</v>
      </c>
      <c r="C224" s="7" t="str">
        <f t="shared" si="11"/>
        <v>PremiumSS</v>
      </c>
      <c r="D224" s="6">
        <v>595</v>
      </c>
      <c r="E224" s="7" t="str">
        <f>VLOOKUP(D224,[1]characters!$A:$C,3,FALSE)</f>
        <v>光華なる神域 アルフヘイム</v>
      </c>
      <c r="F224" s="7" t="str">
        <f>VLOOKUP(D224,[1]characters!$A:$J,10,FALSE)</f>
        <v>PremiumSS</v>
      </c>
      <c r="G224" s="7">
        <f>VLOOKUP(D224,[1]characters!$A:$I,9,FALSE)</f>
        <v>5</v>
      </c>
      <c r="H224" s="7" t="str">
        <f>VLOOKUP(D224,[1]characters!$A:$H,8,FALSE)</f>
        <v>yellow</v>
      </c>
      <c r="I224" s="7" t="str">
        <f>VLOOKUP(D224,[1]characters!$A:$K,11,FALSE)</f>
        <v>attack</v>
      </c>
      <c r="J224" s="7" t="str">
        <f>VLOOKUP(D224,[1]characters!$A:$M,13,FALSE)</f>
        <v>dragon</v>
      </c>
      <c r="K224" s="7" t="str">
        <f>VLOOKUP(D224,[1]characters!$A:$G,7,FALSE)</f>
        <v>不明</v>
      </c>
      <c r="L224" s="66">
        <f>IFERROR(VLOOKUP(D224,input_5!L:R,7,FALSE),VLOOKUP(tables_5!B224,input_5!A:H,8,FALSE))</f>
        <v>999</v>
      </c>
      <c r="M224" s="67">
        <f t="shared" si="9"/>
        <v>4.8076923076923077E-5</v>
      </c>
      <c r="N224" s="31">
        <f>IFERROR(VLOOKUP($D224,bug_conf_sheet!$A:$H,3,FALSE),VLOOKUP("other",bug_conf_sheet!$A:$H,3,FALSE))</f>
        <v>1</v>
      </c>
      <c r="O224" s="31">
        <f>IFERROR(VLOOKUP($D224,bug_conf_sheet!$A:$H,4,FALSE),VLOOKUP("other",bug_conf_sheet!$A:$H,4,FALSE))</f>
        <v>0</v>
      </c>
      <c r="P224" s="31">
        <f>IFERROR(VLOOKUP($D224,bug_conf_sheet!$A:$H,5,FALSE),VLOOKUP("other",bug_conf_sheet!$A:$H,5,FALSE))</f>
        <v>0</v>
      </c>
      <c r="Q224" s="31">
        <f>IFERROR(VLOOKUP($D224,bug_conf_sheet!$A:$H,6,FALSE),VLOOKUP("other",bug_conf_sheet!$A:$H,6,FALSE))</f>
        <v>0</v>
      </c>
      <c r="R224" s="31">
        <f>IFERROR(VLOOKUP($D224,bug_conf_sheet!$A:$H,7,FALSE),VLOOKUP("other",bug_conf_sheet!$A:$H,7,FALSE))</f>
        <v>0</v>
      </c>
      <c r="S224" s="31">
        <f>IFERROR(VLOOKUP($D224,bug_conf_sheet!$A:$H,8,FALSE),VLOOKUP("other",bug_conf_sheet!$A:$H,8,FALSE))</f>
        <v>1</v>
      </c>
    </row>
    <row r="225" spans="1:19" ht="21" customHeight="1">
      <c r="A225" s="2">
        <f>input_5!A$2</f>
        <v>3125</v>
      </c>
      <c r="B225" s="7" t="str">
        <f t="shared" si="10"/>
        <v>Premium3</v>
      </c>
      <c r="C225" s="7" t="str">
        <f t="shared" si="11"/>
        <v>Premium</v>
      </c>
      <c r="D225" s="6">
        <v>596</v>
      </c>
      <c r="E225" s="7" t="str">
        <f>VLOOKUP(D225,[1]characters!$A:$C,3,FALSE)</f>
        <v>ムスペルヘイム</v>
      </c>
      <c r="F225" s="7" t="str">
        <f>VLOOKUP(D225,[1]characters!$A:$J,10,FALSE)</f>
        <v>PremiumS</v>
      </c>
      <c r="G225" s="7">
        <f>VLOOKUP(D225,[1]characters!$A:$I,9,FALSE)</f>
        <v>3</v>
      </c>
      <c r="H225" s="7" t="str">
        <f>VLOOKUP(D225,[1]characters!$A:$H,8,FALSE)</f>
        <v>red</v>
      </c>
      <c r="I225" s="7" t="str">
        <f>VLOOKUP(D225,[1]characters!$A:$K,11,FALSE)</f>
        <v>balance</v>
      </c>
      <c r="J225" s="7" t="str">
        <f>VLOOKUP(D225,[1]characters!$A:$M,13,FALSE)</f>
        <v>human</v>
      </c>
      <c r="K225" s="7" t="str">
        <f>VLOOKUP(D225,[1]characters!$A:$G,7,FALSE)</f>
        <v>男性</v>
      </c>
      <c r="L225" s="66">
        <f>IFERROR(VLOOKUP(D225,input_5!L:R,7,FALSE),VLOOKUP(tables_5!B225,input_5!A:H,8,FALSE))</f>
        <v>0</v>
      </c>
      <c r="M225" s="67">
        <f t="shared" si="9"/>
        <v>0</v>
      </c>
      <c r="N225" s="31">
        <f>IFERROR(VLOOKUP($D225,bug_conf_sheet!$A:$H,3,FALSE),VLOOKUP("other",bug_conf_sheet!$A:$H,3,FALSE))</f>
        <v>1</v>
      </c>
      <c r="O225" s="31">
        <f>IFERROR(VLOOKUP($D225,bug_conf_sheet!$A:$H,4,FALSE),VLOOKUP("other",bug_conf_sheet!$A:$H,4,FALSE))</f>
        <v>0</v>
      </c>
      <c r="P225" s="31">
        <f>IFERROR(VLOOKUP($D225,bug_conf_sheet!$A:$H,5,FALSE),VLOOKUP("other",bug_conf_sheet!$A:$H,5,FALSE))</f>
        <v>0</v>
      </c>
      <c r="Q225" s="31">
        <f>IFERROR(VLOOKUP($D225,bug_conf_sheet!$A:$H,6,FALSE),VLOOKUP("other",bug_conf_sheet!$A:$H,6,FALSE))</f>
        <v>0</v>
      </c>
      <c r="R225" s="31">
        <f>IFERROR(VLOOKUP($D225,bug_conf_sheet!$A:$H,7,FALSE),VLOOKUP("other",bug_conf_sheet!$A:$H,7,FALSE))</f>
        <v>0</v>
      </c>
      <c r="S225" s="31">
        <f>IFERROR(VLOOKUP($D225,bug_conf_sheet!$A:$H,8,FALSE),VLOOKUP("other",bug_conf_sheet!$A:$H,8,FALSE))</f>
        <v>1</v>
      </c>
    </row>
    <row r="226" spans="1:19" ht="21" customHeight="1">
      <c r="A226" s="2">
        <f>input_5!A$2</f>
        <v>3125</v>
      </c>
      <c r="B226" s="7" t="str">
        <f t="shared" si="10"/>
        <v>Premium4</v>
      </c>
      <c r="C226" s="7" t="str">
        <f t="shared" si="11"/>
        <v>Premium</v>
      </c>
      <c r="D226" s="6">
        <v>597</v>
      </c>
      <c r="E226" s="7" t="str">
        <f>VLOOKUP(D226,[1]characters!$A:$C,3,FALSE)</f>
        <v>灼熱の魂 ムスペルヘイム</v>
      </c>
      <c r="F226" s="7" t="str">
        <f>VLOOKUP(D226,[1]characters!$A:$J,10,FALSE)</f>
        <v>PremiumS</v>
      </c>
      <c r="G226" s="7">
        <f>VLOOKUP(D226,[1]characters!$A:$I,9,FALSE)</f>
        <v>4</v>
      </c>
      <c r="H226" s="7" t="str">
        <f>VLOOKUP(D226,[1]characters!$A:$H,8,FALSE)</f>
        <v>red</v>
      </c>
      <c r="I226" s="7" t="str">
        <f>VLOOKUP(D226,[1]characters!$A:$K,11,FALSE)</f>
        <v>balance</v>
      </c>
      <c r="J226" s="7" t="str">
        <f>VLOOKUP(D226,[1]characters!$A:$M,13,FALSE)</f>
        <v>human</v>
      </c>
      <c r="K226" s="7" t="str">
        <f>VLOOKUP(D226,[1]characters!$A:$G,7,FALSE)</f>
        <v>男性</v>
      </c>
      <c r="L226" s="66">
        <f>IFERROR(VLOOKUP(D226,input_5!L:R,7,FALSE),VLOOKUP(tables_5!B226,input_5!A:H,8,FALSE))</f>
        <v>260091</v>
      </c>
      <c r="M226" s="67">
        <f t="shared" si="9"/>
        <v>1.2516891891891892E-2</v>
      </c>
      <c r="N226" s="31">
        <f>IFERROR(VLOOKUP($D226,bug_conf_sheet!$A:$H,3,FALSE),VLOOKUP("other",bug_conf_sheet!$A:$H,3,FALSE))</f>
        <v>1</v>
      </c>
      <c r="O226" s="31">
        <f>IFERROR(VLOOKUP($D226,bug_conf_sheet!$A:$H,4,FALSE),VLOOKUP("other",bug_conf_sheet!$A:$H,4,FALSE))</f>
        <v>0</v>
      </c>
      <c r="P226" s="31">
        <f>IFERROR(VLOOKUP($D226,bug_conf_sheet!$A:$H,5,FALSE),VLOOKUP("other",bug_conf_sheet!$A:$H,5,FALSE))</f>
        <v>0</v>
      </c>
      <c r="Q226" s="31">
        <f>IFERROR(VLOOKUP($D226,bug_conf_sheet!$A:$H,6,FALSE),VLOOKUP("other",bug_conf_sheet!$A:$H,6,FALSE))</f>
        <v>0</v>
      </c>
      <c r="R226" s="31">
        <f>IFERROR(VLOOKUP($D226,bug_conf_sheet!$A:$H,7,FALSE),VLOOKUP("other",bug_conf_sheet!$A:$H,7,FALSE))</f>
        <v>0</v>
      </c>
      <c r="S226" s="31">
        <f>IFERROR(VLOOKUP($D226,bug_conf_sheet!$A:$H,8,FALSE),VLOOKUP("other",bug_conf_sheet!$A:$H,8,FALSE))</f>
        <v>1</v>
      </c>
    </row>
    <row r="227" spans="1:19" ht="21" customHeight="1">
      <c r="A227" s="2">
        <f>input_5!A$2</f>
        <v>3125</v>
      </c>
      <c r="B227" s="7" t="str">
        <f t="shared" si="10"/>
        <v>Premium5</v>
      </c>
      <c r="C227" s="7" t="str">
        <f t="shared" si="11"/>
        <v>Premium</v>
      </c>
      <c r="D227" s="6">
        <v>598</v>
      </c>
      <c r="E227" s="7" t="str">
        <f>VLOOKUP(D227,[1]characters!$A:$C,3,FALSE)</f>
        <v>焼燃の情熱 ムスペルヘイム</v>
      </c>
      <c r="F227" s="7" t="str">
        <f>VLOOKUP(D227,[1]characters!$A:$J,10,FALSE)</f>
        <v>PremiumS</v>
      </c>
      <c r="G227" s="7">
        <f>VLOOKUP(D227,[1]characters!$A:$I,9,FALSE)</f>
        <v>5</v>
      </c>
      <c r="H227" s="7" t="str">
        <f>VLOOKUP(D227,[1]characters!$A:$H,8,FALSE)</f>
        <v>red</v>
      </c>
      <c r="I227" s="7" t="str">
        <f>VLOOKUP(D227,[1]characters!$A:$K,11,FALSE)</f>
        <v>balance</v>
      </c>
      <c r="J227" s="7" t="str">
        <f>VLOOKUP(D227,[1]characters!$A:$M,13,FALSE)</f>
        <v>human</v>
      </c>
      <c r="K227" s="7" t="str">
        <f>VLOOKUP(D227,[1]characters!$A:$G,7,FALSE)</f>
        <v>男性</v>
      </c>
      <c r="L227" s="66">
        <f>IFERROR(VLOOKUP(D227,input_5!L:R,7,FALSE),VLOOKUP(tables_5!B227,input_5!A:H,8,FALSE))</f>
        <v>18759</v>
      </c>
      <c r="M227" s="67">
        <f t="shared" si="9"/>
        <v>9.0277777777777774E-4</v>
      </c>
      <c r="N227" s="31">
        <f>IFERROR(VLOOKUP($D227,bug_conf_sheet!$A:$H,3,FALSE),VLOOKUP("other",bug_conf_sheet!$A:$H,3,FALSE))</f>
        <v>1</v>
      </c>
      <c r="O227" s="31">
        <f>IFERROR(VLOOKUP($D227,bug_conf_sheet!$A:$H,4,FALSE),VLOOKUP("other",bug_conf_sheet!$A:$H,4,FALSE))</f>
        <v>0</v>
      </c>
      <c r="P227" s="31">
        <f>IFERROR(VLOOKUP($D227,bug_conf_sheet!$A:$H,5,FALSE),VLOOKUP("other",bug_conf_sheet!$A:$H,5,FALSE))</f>
        <v>0</v>
      </c>
      <c r="Q227" s="31">
        <f>IFERROR(VLOOKUP($D227,bug_conf_sheet!$A:$H,6,FALSE),VLOOKUP("other",bug_conf_sheet!$A:$H,6,FALSE))</f>
        <v>0</v>
      </c>
      <c r="R227" s="31">
        <f>IFERROR(VLOOKUP($D227,bug_conf_sheet!$A:$H,7,FALSE),VLOOKUP("other",bug_conf_sheet!$A:$H,7,FALSE))</f>
        <v>0</v>
      </c>
      <c r="S227" s="31">
        <f>IFERROR(VLOOKUP($D227,bug_conf_sheet!$A:$H,8,FALSE),VLOOKUP("other",bug_conf_sheet!$A:$H,8,FALSE))</f>
        <v>1</v>
      </c>
    </row>
    <row r="228" spans="1:19" ht="21" customHeight="1">
      <c r="A228" s="2">
        <f>input_5!A$2</f>
        <v>3125</v>
      </c>
      <c r="B228" s="7" t="str">
        <f t="shared" si="10"/>
        <v>Premium3</v>
      </c>
      <c r="C228" s="7" t="str">
        <f t="shared" si="11"/>
        <v>Premium</v>
      </c>
      <c r="D228" s="6">
        <v>599</v>
      </c>
      <c r="E228" s="7" t="str">
        <f>VLOOKUP(D228,[1]characters!$A:$C,3,FALSE)</f>
        <v>ニーズヘッグ</v>
      </c>
      <c r="F228" s="7" t="str">
        <f>VLOOKUP(D228,[1]characters!$A:$J,10,FALSE)</f>
        <v>PremiumS</v>
      </c>
      <c r="G228" s="7">
        <f>VLOOKUP(D228,[1]characters!$A:$I,9,FALSE)</f>
        <v>3</v>
      </c>
      <c r="H228" s="7" t="str">
        <f>VLOOKUP(D228,[1]characters!$A:$H,8,FALSE)</f>
        <v>green</v>
      </c>
      <c r="I228" s="7" t="str">
        <f>VLOOKUP(D228,[1]characters!$A:$K,11,FALSE)</f>
        <v>attack</v>
      </c>
      <c r="J228" s="7" t="str">
        <f>VLOOKUP(D228,[1]characters!$A:$M,13,FALSE)</f>
        <v>dragon</v>
      </c>
      <c r="K228" s="7" t="str">
        <f>VLOOKUP(D228,[1]characters!$A:$G,7,FALSE)</f>
        <v>不明</v>
      </c>
      <c r="L228" s="66">
        <f>IFERROR(VLOOKUP(D228,input_5!L:R,7,FALSE),VLOOKUP(tables_5!B228,input_5!A:H,8,FALSE))</f>
        <v>0</v>
      </c>
      <c r="M228" s="67">
        <f t="shared" si="9"/>
        <v>0</v>
      </c>
      <c r="N228" s="31">
        <f>IFERROR(VLOOKUP($D228,bug_conf_sheet!$A:$H,3,FALSE),VLOOKUP("other",bug_conf_sheet!$A:$H,3,FALSE))</f>
        <v>1</v>
      </c>
      <c r="O228" s="31">
        <f>IFERROR(VLOOKUP($D228,bug_conf_sheet!$A:$H,4,FALSE),VLOOKUP("other",bug_conf_sheet!$A:$H,4,FALSE))</f>
        <v>0</v>
      </c>
      <c r="P228" s="31">
        <f>IFERROR(VLOOKUP($D228,bug_conf_sheet!$A:$H,5,FALSE),VLOOKUP("other",bug_conf_sheet!$A:$H,5,FALSE))</f>
        <v>0</v>
      </c>
      <c r="Q228" s="31">
        <f>IFERROR(VLOOKUP($D228,bug_conf_sheet!$A:$H,6,FALSE),VLOOKUP("other",bug_conf_sheet!$A:$H,6,FALSE))</f>
        <v>0</v>
      </c>
      <c r="R228" s="31">
        <f>IFERROR(VLOOKUP($D228,bug_conf_sheet!$A:$H,7,FALSE),VLOOKUP("other",bug_conf_sheet!$A:$H,7,FALSE))</f>
        <v>0</v>
      </c>
      <c r="S228" s="31">
        <f>IFERROR(VLOOKUP($D228,bug_conf_sheet!$A:$H,8,FALSE),VLOOKUP("other",bug_conf_sheet!$A:$H,8,FALSE))</f>
        <v>1</v>
      </c>
    </row>
    <row r="229" spans="1:19" ht="21" customHeight="1">
      <c r="A229" s="2">
        <f>input_5!A$2</f>
        <v>3125</v>
      </c>
      <c r="B229" s="7" t="str">
        <f t="shared" si="10"/>
        <v>Premium4</v>
      </c>
      <c r="C229" s="7" t="str">
        <f t="shared" si="11"/>
        <v>Premium</v>
      </c>
      <c r="D229" s="6">
        <v>600</v>
      </c>
      <c r="E229" s="7" t="str">
        <f>VLOOKUP(D229,[1]characters!$A:$C,3,FALSE)</f>
        <v>界下に潜む蛇 ニーズヘッグ</v>
      </c>
      <c r="F229" s="7" t="str">
        <f>VLOOKUP(D229,[1]characters!$A:$J,10,FALSE)</f>
        <v>PremiumS</v>
      </c>
      <c r="G229" s="7">
        <f>VLOOKUP(D229,[1]characters!$A:$I,9,FALSE)</f>
        <v>4</v>
      </c>
      <c r="H229" s="7" t="str">
        <f>VLOOKUP(D229,[1]characters!$A:$H,8,FALSE)</f>
        <v>green</v>
      </c>
      <c r="I229" s="7" t="str">
        <f>VLOOKUP(D229,[1]characters!$A:$K,11,FALSE)</f>
        <v>attack</v>
      </c>
      <c r="J229" s="7" t="str">
        <f>VLOOKUP(D229,[1]characters!$A:$M,13,FALSE)</f>
        <v>dragon</v>
      </c>
      <c r="K229" s="7" t="str">
        <f>VLOOKUP(D229,[1]characters!$A:$G,7,FALSE)</f>
        <v>不明</v>
      </c>
      <c r="L229" s="66">
        <f>IFERROR(VLOOKUP(D229,input_5!L:R,7,FALSE),VLOOKUP(tables_5!B229,input_5!A:H,8,FALSE))</f>
        <v>260091</v>
      </c>
      <c r="M229" s="67">
        <f t="shared" si="9"/>
        <v>1.2516891891891892E-2</v>
      </c>
      <c r="N229" s="31">
        <f>IFERROR(VLOOKUP($D229,bug_conf_sheet!$A:$H,3,FALSE),VLOOKUP("other",bug_conf_sheet!$A:$H,3,FALSE))</f>
        <v>1</v>
      </c>
      <c r="O229" s="31">
        <f>IFERROR(VLOOKUP($D229,bug_conf_sheet!$A:$H,4,FALSE),VLOOKUP("other",bug_conf_sheet!$A:$H,4,FALSE))</f>
        <v>0</v>
      </c>
      <c r="P229" s="31">
        <f>IFERROR(VLOOKUP($D229,bug_conf_sheet!$A:$H,5,FALSE),VLOOKUP("other",bug_conf_sheet!$A:$H,5,FALSE))</f>
        <v>0</v>
      </c>
      <c r="Q229" s="31">
        <f>IFERROR(VLOOKUP($D229,bug_conf_sheet!$A:$H,6,FALSE),VLOOKUP("other",bug_conf_sheet!$A:$H,6,FALSE))</f>
        <v>0</v>
      </c>
      <c r="R229" s="31">
        <f>IFERROR(VLOOKUP($D229,bug_conf_sheet!$A:$H,7,FALSE),VLOOKUP("other",bug_conf_sheet!$A:$H,7,FALSE))</f>
        <v>0</v>
      </c>
      <c r="S229" s="31">
        <f>IFERROR(VLOOKUP($D229,bug_conf_sheet!$A:$H,8,FALSE),VLOOKUP("other",bug_conf_sheet!$A:$H,8,FALSE))</f>
        <v>1</v>
      </c>
    </row>
    <row r="230" spans="1:19" ht="21" customHeight="1">
      <c r="A230" s="2">
        <f>input_5!A$2</f>
        <v>3125</v>
      </c>
      <c r="B230" s="7" t="str">
        <f t="shared" si="10"/>
        <v>Premium5</v>
      </c>
      <c r="C230" s="7" t="str">
        <f t="shared" si="11"/>
        <v>Premium</v>
      </c>
      <c r="D230" s="6">
        <v>601</v>
      </c>
      <c r="E230" s="7" t="str">
        <f>VLOOKUP(D230,[1]characters!$A:$C,3,FALSE)</f>
        <v>界根蝕む悪食 ニーズヘッグ</v>
      </c>
      <c r="F230" s="7" t="str">
        <f>VLOOKUP(D230,[1]characters!$A:$J,10,FALSE)</f>
        <v>PremiumS</v>
      </c>
      <c r="G230" s="7">
        <f>VLOOKUP(D230,[1]characters!$A:$I,9,FALSE)</f>
        <v>5</v>
      </c>
      <c r="H230" s="7" t="str">
        <f>VLOOKUP(D230,[1]characters!$A:$H,8,FALSE)</f>
        <v>green</v>
      </c>
      <c r="I230" s="7" t="str">
        <f>VLOOKUP(D230,[1]characters!$A:$K,11,FALSE)</f>
        <v>attack</v>
      </c>
      <c r="J230" s="7" t="str">
        <f>VLOOKUP(D230,[1]characters!$A:$M,13,FALSE)</f>
        <v>dragon</v>
      </c>
      <c r="K230" s="7" t="str">
        <f>VLOOKUP(D230,[1]characters!$A:$G,7,FALSE)</f>
        <v>不明</v>
      </c>
      <c r="L230" s="66">
        <f>IFERROR(VLOOKUP(D230,input_5!L:R,7,FALSE),VLOOKUP(tables_5!B230,input_5!A:H,8,FALSE))</f>
        <v>18759</v>
      </c>
      <c r="M230" s="67">
        <f t="shared" si="9"/>
        <v>9.0277777777777774E-4</v>
      </c>
      <c r="N230" s="31">
        <f>IFERROR(VLOOKUP($D230,bug_conf_sheet!$A:$H,3,FALSE),VLOOKUP("other",bug_conf_sheet!$A:$H,3,FALSE))</f>
        <v>1</v>
      </c>
      <c r="O230" s="31">
        <f>IFERROR(VLOOKUP($D230,bug_conf_sheet!$A:$H,4,FALSE),VLOOKUP("other",bug_conf_sheet!$A:$H,4,FALSE))</f>
        <v>0</v>
      </c>
      <c r="P230" s="31">
        <f>IFERROR(VLOOKUP($D230,bug_conf_sheet!$A:$H,5,FALSE),VLOOKUP("other",bug_conf_sheet!$A:$H,5,FALSE))</f>
        <v>0</v>
      </c>
      <c r="Q230" s="31">
        <f>IFERROR(VLOOKUP($D230,bug_conf_sheet!$A:$H,6,FALSE),VLOOKUP("other",bug_conf_sheet!$A:$H,6,FALSE))</f>
        <v>0</v>
      </c>
      <c r="R230" s="31">
        <f>IFERROR(VLOOKUP($D230,bug_conf_sheet!$A:$H,7,FALSE),VLOOKUP("other",bug_conf_sheet!$A:$H,7,FALSE))</f>
        <v>0</v>
      </c>
      <c r="S230" s="31">
        <f>IFERROR(VLOOKUP($D230,bug_conf_sheet!$A:$H,8,FALSE),VLOOKUP("other",bug_conf_sheet!$A:$H,8,FALSE))</f>
        <v>1</v>
      </c>
    </row>
    <row r="231" spans="1:19" ht="21" customHeight="1">
      <c r="A231" s="2">
        <f>input_5!A$2</f>
        <v>3125</v>
      </c>
      <c r="B231" s="7" t="str">
        <f t="shared" si="10"/>
        <v>PremiumSS4</v>
      </c>
      <c r="C231" s="7" t="str">
        <f t="shared" si="11"/>
        <v>PremiumSS</v>
      </c>
      <c r="D231" s="6">
        <v>602</v>
      </c>
      <c r="E231" s="7" t="str">
        <f>VLOOKUP(D231,[1]characters!$A:$C,3,FALSE)</f>
        <v>フレイヤ</v>
      </c>
      <c r="F231" s="7" t="str">
        <f>VLOOKUP(D231,[1]characters!$A:$J,10,FALSE)</f>
        <v>PremiumSS</v>
      </c>
      <c r="G231" s="7">
        <f>VLOOKUP(D231,[1]characters!$A:$I,9,FALSE)</f>
        <v>4</v>
      </c>
      <c r="H231" s="7" t="str">
        <f>VLOOKUP(D231,[1]characters!$A:$H,8,FALSE)</f>
        <v>blue</v>
      </c>
      <c r="I231" s="7" t="str">
        <f>VLOOKUP(D231,[1]characters!$A:$K,11,FALSE)</f>
        <v>heal</v>
      </c>
      <c r="J231" s="7" t="str">
        <f>VLOOKUP(D231,[1]characters!$A:$M,13,FALSE)</f>
        <v>animal</v>
      </c>
      <c r="K231" s="7" t="str">
        <f>VLOOKUP(D231,[1]characters!$A:$G,7,FALSE)</f>
        <v>女性</v>
      </c>
      <c r="L231" s="66">
        <f>IFERROR(VLOOKUP(D231,input_5!L:R,7,FALSE),VLOOKUP(tables_5!B231,input_5!A:H,8,FALSE))</f>
        <v>18981</v>
      </c>
      <c r="M231" s="67">
        <f t="shared" si="9"/>
        <v>9.1346153846153845E-4</v>
      </c>
      <c r="N231" s="31">
        <f>IFERROR(VLOOKUP($D231,bug_conf_sheet!$A:$H,3,FALSE),VLOOKUP("other",bug_conf_sheet!$A:$H,3,FALSE))</f>
        <v>1</v>
      </c>
      <c r="O231" s="31">
        <f>IFERROR(VLOOKUP($D231,bug_conf_sheet!$A:$H,4,FALSE),VLOOKUP("other",bug_conf_sheet!$A:$H,4,FALSE))</f>
        <v>0</v>
      </c>
      <c r="P231" s="31">
        <f>IFERROR(VLOOKUP($D231,bug_conf_sheet!$A:$H,5,FALSE),VLOOKUP("other",bug_conf_sheet!$A:$H,5,FALSE))</f>
        <v>0</v>
      </c>
      <c r="Q231" s="31">
        <f>IFERROR(VLOOKUP($D231,bug_conf_sheet!$A:$H,6,FALSE),VLOOKUP("other",bug_conf_sheet!$A:$H,6,FALSE))</f>
        <v>0</v>
      </c>
      <c r="R231" s="31">
        <f>IFERROR(VLOOKUP($D231,bug_conf_sheet!$A:$H,7,FALSE),VLOOKUP("other",bug_conf_sheet!$A:$H,7,FALSE))</f>
        <v>0</v>
      </c>
      <c r="S231" s="31">
        <f>IFERROR(VLOOKUP($D231,bug_conf_sheet!$A:$H,8,FALSE),VLOOKUP("other",bug_conf_sheet!$A:$H,8,FALSE))</f>
        <v>1</v>
      </c>
    </row>
    <row r="232" spans="1:19" ht="21" customHeight="1">
      <c r="A232" s="2">
        <f>input_5!A$2</f>
        <v>3125</v>
      </c>
      <c r="B232" s="7" t="str">
        <f t="shared" si="10"/>
        <v>PremiumSS5</v>
      </c>
      <c r="C232" s="7" t="str">
        <f t="shared" si="11"/>
        <v>PremiumSS</v>
      </c>
      <c r="D232" s="6">
        <v>603</v>
      </c>
      <c r="E232" s="7" t="str">
        <f>VLOOKUP(D232,[1]characters!$A:$C,3,FALSE)</f>
        <v>掌愛の豊穣女神 フレイヤ</v>
      </c>
      <c r="F232" s="7" t="str">
        <f>VLOOKUP(D232,[1]characters!$A:$J,10,FALSE)</f>
        <v>PremiumSS</v>
      </c>
      <c r="G232" s="7">
        <f>VLOOKUP(D232,[1]characters!$A:$I,9,FALSE)</f>
        <v>5</v>
      </c>
      <c r="H232" s="7" t="str">
        <f>VLOOKUP(D232,[1]characters!$A:$H,8,FALSE)</f>
        <v>blue</v>
      </c>
      <c r="I232" s="7" t="str">
        <f>VLOOKUP(D232,[1]characters!$A:$K,11,FALSE)</f>
        <v>heal</v>
      </c>
      <c r="J232" s="7" t="str">
        <f>VLOOKUP(D232,[1]characters!$A:$M,13,FALSE)</f>
        <v>animal</v>
      </c>
      <c r="K232" s="7" t="str">
        <f>VLOOKUP(D232,[1]characters!$A:$G,7,FALSE)</f>
        <v>女性</v>
      </c>
      <c r="L232" s="66">
        <f>IFERROR(VLOOKUP(D232,input_5!L:R,7,FALSE),VLOOKUP(tables_5!B232,input_5!A:H,8,FALSE))</f>
        <v>999</v>
      </c>
      <c r="M232" s="67">
        <f t="shared" si="9"/>
        <v>4.8076923076923077E-5</v>
      </c>
      <c r="N232" s="31">
        <f>IFERROR(VLOOKUP($D232,bug_conf_sheet!$A:$H,3,FALSE),VLOOKUP("other",bug_conf_sheet!$A:$H,3,FALSE))</f>
        <v>1</v>
      </c>
      <c r="O232" s="31">
        <f>IFERROR(VLOOKUP($D232,bug_conf_sheet!$A:$H,4,FALSE),VLOOKUP("other",bug_conf_sheet!$A:$H,4,FALSE))</f>
        <v>0</v>
      </c>
      <c r="P232" s="31">
        <f>IFERROR(VLOOKUP($D232,bug_conf_sheet!$A:$H,5,FALSE),VLOOKUP("other",bug_conf_sheet!$A:$H,5,FALSE))</f>
        <v>0</v>
      </c>
      <c r="Q232" s="31">
        <f>IFERROR(VLOOKUP($D232,bug_conf_sheet!$A:$H,6,FALSE),VLOOKUP("other",bug_conf_sheet!$A:$H,6,FALSE))</f>
        <v>0</v>
      </c>
      <c r="R232" s="31">
        <f>IFERROR(VLOOKUP($D232,bug_conf_sheet!$A:$H,7,FALSE),VLOOKUP("other",bug_conf_sheet!$A:$H,7,FALSE))</f>
        <v>0</v>
      </c>
      <c r="S232" s="31">
        <f>IFERROR(VLOOKUP($D232,bug_conf_sheet!$A:$H,8,FALSE),VLOOKUP("other",bug_conf_sheet!$A:$H,8,FALSE))</f>
        <v>1</v>
      </c>
    </row>
    <row r="233" spans="1:19" ht="21" customHeight="1">
      <c r="A233" s="2">
        <f>input_5!A$2</f>
        <v>3125</v>
      </c>
      <c r="B233" s="7" t="str">
        <f t="shared" si="10"/>
        <v>Premium3</v>
      </c>
      <c r="C233" s="7" t="str">
        <f t="shared" si="11"/>
        <v>Premium</v>
      </c>
      <c r="D233" s="6">
        <v>604</v>
      </c>
      <c r="E233" s="7" t="str">
        <f>VLOOKUP(D233,[1]characters!$A:$C,3,FALSE)</f>
        <v>バルドル</v>
      </c>
      <c r="F233" s="7" t="str">
        <f>VLOOKUP(D233,[1]characters!$A:$J,10,FALSE)</f>
        <v>PremiumS</v>
      </c>
      <c r="G233" s="7">
        <f>VLOOKUP(D233,[1]characters!$A:$I,9,FALSE)</f>
        <v>3</v>
      </c>
      <c r="H233" s="7" t="str">
        <f>VLOOKUP(D233,[1]characters!$A:$H,8,FALSE)</f>
        <v>yellow</v>
      </c>
      <c r="I233" s="7" t="str">
        <f>VLOOKUP(D233,[1]characters!$A:$K,11,FALSE)</f>
        <v>heal</v>
      </c>
      <c r="J233" s="7" t="str">
        <f>VLOOKUP(D233,[1]characters!$A:$M,13,FALSE)</f>
        <v>god</v>
      </c>
      <c r="K233" s="7" t="str">
        <f>VLOOKUP(D233,[1]characters!$A:$G,7,FALSE)</f>
        <v>男性</v>
      </c>
      <c r="L233" s="66">
        <f>IFERROR(VLOOKUP(D233,input_5!L:R,7,FALSE),VLOOKUP(tables_5!B233,input_5!A:H,8,FALSE))</f>
        <v>0</v>
      </c>
      <c r="M233" s="67">
        <f t="shared" si="9"/>
        <v>0</v>
      </c>
      <c r="N233" s="31">
        <f>IFERROR(VLOOKUP($D233,bug_conf_sheet!$A:$H,3,FALSE),VLOOKUP("other",bug_conf_sheet!$A:$H,3,FALSE))</f>
        <v>1</v>
      </c>
      <c r="O233" s="31">
        <f>IFERROR(VLOOKUP($D233,bug_conf_sheet!$A:$H,4,FALSE),VLOOKUP("other",bug_conf_sheet!$A:$H,4,FALSE))</f>
        <v>0</v>
      </c>
      <c r="P233" s="31">
        <f>IFERROR(VLOOKUP($D233,bug_conf_sheet!$A:$H,5,FALSE),VLOOKUP("other",bug_conf_sheet!$A:$H,5,FALSE))</f>
        <v>0</v>
      </c>
      <c r="Q233" s="31">
        <f>IFERROR(VLOOKUP($D233,bug_conf_sheet!$A:$H,6,FALSE),VLOOKUP("other",bug_conf_sheet!$A:$H,6,FALSE))</f>
        <v>0</v>
      </c>
      <c r="R233" s="31">
        <f>IFERROR(VLOOKUP($D233,bug_conf_sheet!$A:$H,7,FALSE),VLOOKUP("other",bug_conf_sheet!$A:$H,7,FALSE))</f>
        <v>0</v>
      </c>
      <c r="S233" s="31">
        <f>IFERROR(VLOOKUP($D233,bug_conf_sheet!$A:$H,8,FALSE),VLOOKUP("other",bug_conf_sheet!$A:$H,8,FALSE))</f>
        <v>1</v>
      </c>
    </row>
    <row r="234" spans="1:19" ht="21" customHeight="1">
      <c r="A234" s="2">
        <f>input_5!A$2</f>
        <v>3125</v>
      </c>
      <c r="B234" s="7" t="str">
        <f t="shared" si="10"/>
        <v>Premium4</v>
      </c>
      <c r="C234" s="7" t="str">
        <f t="shared" si="11"/>
        <v>Premium</v>
      </c>
      <c r="D234" s="6">
        <v>605</v>
      </c>
      <c r="E234" s="7" t="str">
        <f>VLOOKUP(D234,[1]characters!$A:$C,3,FALSE)</f>
        <v>祝福される光耀 バルドル</v>
      </c>
      <c r="F234" s="7" t="str">
        <f>VLOOKUP(D234,[1]characters!$A:$J,10,FALSE)</f>
        <v>PremiumS</v>
      </c>
      <c r="G234" s="7">
        <f>VLOOKUP(D234,[1]characters!$A:$I,9,FALSE)</f>
        <v>4</v>
      </c>
      <c r="H234" s="7" t="str">
        <f>VLOOKUP(D234,[1]characters!$A:$H,8,FALSE)</f>
        <v>yellow</v>
      </c>
      <c r="I234" s="7" t="str">
        <f>VLOOKUP(D234,[1]characters!$A:$K,11,FALSE)</f>
        <v>heal</v>
      </c>
      <c r="J234" s="7" t="str">
        <f>VLOOKUP(D234,[1]characters!$A:$M,13,FALSE)</f>
        <v>god</v>
      </c>
      <c r="K234" s="7" t="str">
        <f>VLOOKUP(D234,[1]characters!$A:$G,7,FALSE)</f>
        <v>男性</v>
      </c>
      <c r="L234" s="66">
        <f>IFERROR(VLOOKUP(D234,input_5!L:R,7,FALSE),VLOOKUP(tables_5!B234,input_5!A:H,8,FALSE))</f>
        <v>260091</v>
      </c>
      <c r="M234" s="67">
        <f t="shared" si="9"/>
        <v>1.2516891891891892E-2</v>
      </c>
      <c r="N234" s="31">
        <f>IFERROR(VLOOKUP($D234,bug_conf_sheet!$A:$H,3,FALSE),VLOOKUP("other",bug_conf_sheet!$A:$H,3,FALSE))</f>
        <v>1</v>
      </c>
      <c r="O234" s="31">
        <f>IFERROR(VLOOKUP($D234,bug_conf_sheet!$A:$H,4,FALSE),VLOOKUP("other",bug_conf_sheet!$A:$H,4,FALSE))</f>
        <v>0</v>
      </c>
      <c r="P234" s="31">
        <f>IFERROR(VLOOKUP($D234,bug_conf_sheet!$A:$H,5,FALSE),VLOOKUP("other",bug_conf_sheet!$A:$H,5,FALSE))</f>
        <v>0</v>
      </c>
      <c r="Q234" s="31">
        <f>IFERROR(VLOOKUP($D234,bug_conf_sheet!$A:$H,6,FALSE),VLOOKUP("other",bug_conf_sheet!$A:$H,6,FALSE))</f>
        <v>0</v>
      </c>
      <c r="R234" s="31">
        <f>IFERROR(VLOOKUP($D234,bug_conf_sheet!$A:$H,7,FALSE),VLOOKUP("other",bug_conf_sheet!$A:$H,7,FALSE))</f>
        <v>0</v>
      </c>
      <c r="S234" s="31">
        <f>IFERROR(VLOOKUP($D234,bug_conf_sheet!$A:$H,8,FALSE),VLOOKUP("other",bug_conf_sheet!$A:$H,8,FALSE))</f>
        <v>1</v>
      </c>
    </row>
    <row r="235" spans="1:19" ht="21" customHeight="1">
      <c r="A235" s="2">
        <f>input_5!A$2</f>
        <v>3125</v>
      </c>
      <c r="B235" s="7" t="str">
        <f t="shared" si="10"/>
        <v>Premium5</v>
      </c>
      <c r="C235" s="7" t="str">
        <f t="shared" si="11"/>
        <v>Premium</v>
      </c>
      <c r="D235" s="6">
        <v>606</v>
      </c>
      <c r="E235" s="7" t="str">
        <f>VLOOKUP(D235,[1]characters!$A:$C,3,FALSE)</f>
        <v>冀望の光芒 バルドル</v>
      </c>
      <c r="F235" s="7" t="str">
        <f>VLOOKUP(D235,[1]characters!$A:$J,10,FALSE)</f>
        <v>PremiumS</v>
      </c>
      <c r="G235" s="7">
        <f>VLOOKUP(D235,[1]characters!$A:$I,9,FALSE)</f>
        <v>5</v>
      </c>
      <c r="H235" s="7" t="str">
        <f>VLOOKUP(D235,[1]characters!$A:$H,8,FALSE)</f>
        <v>yellow</v>
      </c>
      <c r="I235" s="7" t="str">
        <f>VLOOKUP(D235,[1]characters!$A:$K,11,FALSE)</f>
        <v>heal</v>
      </c>
      <c r="J235" s="7" t="str">
        <f>VLOOKUP(D235,[1]characters!$A:$M,13,FALSE)</f>
        <v>god</v>
      </c>
      <c r="K235" s="7" t="str">
        <f>VLOOKUP(D235,[1]characters!$A:$G,7,FALSE)</f>
        <v>男性</v>
      </c>
      <c r="L235" s="66">
        <f>IFERROR(VLOOKUP(D235,input_5!L:R,7,FALSE),VLOOKUP(tables_5!B235,input_5!A:H,8,FALSE))</f>
        <v>18759</v>
      </c>
      <c r="M235" s="67">
        <f t="shared" si="9"/>
        <v>9.0277777777777774E-4</v>
      </c>
      <c r="N235" s="31">
        <f>IFERROR(VLOOKUP($D235,bug_conf_sheet!$A:$H,3,FALSE),VLOOKUP("other",bug_conf_sheet!$A:$H,3,FALSE))</f>
        <v>1</v>
      </c>
      <c r="O235" s="31">
        <f>IFERROR(VLOOKUP($D235,bug_conf_sheet!$A:$H,4,FALSE),VLOOKUP("other",bug_conf_sheet!$A:$H,4,FALSE))</f>
        <v>0</v>
      </c>
      <c r="P235" s="31">
        <f>IFERROR(VLOOKUP($D235,bug_conf_sheet!$A:$H,5,FALSE),VLOOKUP("other",bug_conf_sheet!$A:$H,5,FALSE))</f>
        <v>0</v>
      </c>
      <c r="Q235" s="31">
        <f>IFERROR(VLOOKUP($D235,bug_conf_sheet!$A:$H,6,FALSE),VLOOKUP("other",bug_conf_sheet!$A:$H,6,FALSE))</f>
        <v>0</v>
      </c>
      <c r="R235" s="31">
        <f>IFERROR(VLOOKUP($D235,bug_conf_sheet!$A:$H,7,FALSE),VLOOKUP("other",bug_conf_sheet!$A:$H,7,FALSE))</f>
        <v>0</v>
      </c>
      <c r="S235" s="31">
        <f>IFERROR(VLOOKUP($D235,bug_conf_sheet!$A:$H,8,FALSE),VLOOKUP("other",bug_conf_sheet!$A:$H,8,FALSE))</f>
        <v>1</v>
      </c>
    </row>
    <row r="236" spans="1:19" ht="21" customHeight="1">
      <c r="A236" s="2">
        <f>input_5!A$2</f>
        <v>3125</v>
      </c>
      <c r="B236" s="7" t="str">
        <f t="shared" si="10"/>
        <v>PremiumSS4</v>
      </c>
      <c r="C236" s="7" t="str">
        <f t="shared" si="11"/>
        <v>PremiumSS</v>
      </c>
      <c r="D236" s="6">
        <v>658</v>
      </c>
      <c r="E236" s="7" t="str">
        <f>VLOOKUP(D236,[1]characters!$A:$C,3,FALSE)</f>
        <v>猫又 クルミ</v>
      </c>
      <c r="F236" s="7" t="str">
        <f>VLOOKUP(D236,[1]characters!$A:$J,10,FALSE)</f>
        <v>PremiumSS</v>
      </c>
      <c r="G236" s="7">
        <f>VLOOKUP(D236,[1]characters!$A:$I,9,FALSE)</f>
        <v>4</v>
      </c>
      <c r="H236" s="7" t="str">
        <f>VLOOKUP(D236,[1]characters!$A:$H,8,FALSE)</f>
        <v>red</v>
      </c>
      <c r="I236" s="7" t="str">
        <f>VLOOKUP(D236,[1]characters!$A:$K,11,FALSE)</f>
        <v>attack</v>
      </c>
      <c r="J236" s="7" t="str">
        <f>VLOOKUP(D236,[1]characters!$A:$M,13,FALSE)</f>
        <v>animal</v>
      </c>
      <c r="K236" s="7" t="str">
        <f>VLOOKUP(D236,[1]characters!$A:$G,7,FALSE)</f>
        <v>女性</v>
      </c>
      <c r="L236" s="66">
        <f>IFERROR(VLOOKUP(D236,input_5!L:R,7,FALSE),VLOOKUP(tables_5!B236,input_5!A:H,8,FALSE))</f>
        <v>18981</v>
      </c>
      <c r="M236" s="67">
        <f t="shared" si="9"/>
        <v>9.1346153846153845E-4</v>
      </c>
      <c r="N236" s="31">
        <f>IFERROR(VLOOKUP($D236,bug_conf_sheet!$A:$H,3,FALSE),VLOOKUP("other",bug_conf_sheet!$A:$H,3,FALSE))</f>
        <v>1</v>
      </c>
      <c r="O236" s="31">
        <f>IFERROR(VLOOKUP($D236,bug_conf_sheet!$A:$H,4,FALSE),VLOOKUP("other",bug_conf_sheet!$A:$H,4,FALSE))</f>
        <v>0</v>
      </c>
      <c r="P236" s="31">
        <f>IFERROR(VLOOKUP($D236,bug_conf_sheet!$A:$H,5,FALSE),VLOOKUP("other",bug_conf_sheet!$A:$H,5,FALSE))</f>
        <v>0</v>
      </c>
      <c r="Q236" s="31">
        <f>IFERROR(VLOOKUP($D236,bug_conf_sheet!$A:$H,6,FALSE),VLOOKUP("other",bug_conf_sheet!$A:$H,6,FALSE))</f>
        <v>0</v>
      </c>
      <c r="R236" s="31">
        <f>IFERROR(VLOOKUP($D236,bug_conf_sheet!$A:$H,7,FALSE),VLOOKUP("other",bug_conf_sheet!$A:$H,7,FALSE))</f>
        <v>0</v>
      </c>
      <c r="S236" s="31">
        <f>IFERROR(VLOOKUP($D236,bug_conf_sheet!$A:$H,8,FALSE),VLOOKUP("other",bug_conf_sheet!$A:$H,8,FALSE))</f>
        <v>1</v>
      </c>
    </row>
    <row r="237" spans="1:19" ht="21" customHeight="1">
      <c r="A237" s="2">
        <f>input_5!A$2</f>
        <v>3125</v>
      </c>
      <c r="B237" s="7" t="str">
        <f t="shared" si="10"/>
        <v>PremiumSS5</v>
      </c>
      <c r="C237" s="7" t="str">
        <f t="shared" si="11"/>
        <v>PremiumSS</v>
      </c>
      <c r="D237" s="6">
        <v>659</v>
      </c>
      <c r="E237" s="7" t="str">
        <f>VLOOKUP(D237,[1]characters!$A:$C,3,FALSE)</f>
        <v>跳梁する化猫 クルミ</v>
      </c>
      <c r="F237" s="7" t="str">
        <f>VLOOKUP(D237,[1]characters!$A:$J,10,FALSE)</f>
        <v>PremiumSS</v>
      </c>
      <c r="G237" s="7">
        <f>VLOOKUP(D237,[1]characters!$A:$I,9,FALSE)</f>
        <v>5</v>
      </c>
      <c r="H237" s="7" t="str">
        <f>VLOOKUP(D237,[1]characters!$A:$H,8,FALSE)</f>
        <v>red</v>
      </c>
      <c r="I237" s="7" t="str">
        <f>VLOOKUP(D237,[1]characters!$A:$K,11,FALSE)</f>
        <v>attack</v>
      </c>
      <c r="J237" s="7" t="str">
        <f>VLOOKUP(D237,[1]characters!$A:$M,13,FALSE)</f>
        <v>animal</v>
      </c>
      <c r="K237" s="7" t="str">
        <f>VLOOKUP(D237,[1]characters!$A:$G,7,FALSE)</f>
        <v>女性</v>
      </c>
      <c r="L237" s="66">
        <f>IFERROR(VLOOKUP(D237,input_5!L:R,7,FALSE),VLOOKUP(tables_5!B237,input_5!A:H,8,FALSE))</f>
        <v>999</v>
      </c>
      <c r="M237" s="67">
        <f t="shared" si="9"/>
        <v>4.8076923076923077E-5</v>
      </c>
      <c r="N237" s="31">
        <f>IFERROR(VLOOKUP($D237,bug_conf_sheet!$A:$H,3,FALSE),VLOOKUP("other",bug_conf_sheet!$A:$H,3,FALSE))</f>
        <v>1</v>
      </c>
      <c r="O237" s="31">
        <f>IFERROR(VLOOKUP($D237,bug_conf_sheet!$A:$H,4,FALSE),VLOOKUP("other",bug_conf_sheet!$A:$H,4,FALSE))</f>
        <v>0</v>
      </c>
      <c r="P237" s="31">
        <f>IFERROR(VLOOKUP($D237,bug_conf_sheet!$A:$H,5,FALSE),VLOOKUP("other",bug_conf_sheet!$A:$H,5,FALSE))</f>
        <v>0</v>
      </c>
      <c r="Q237" s="31">
        <f>IFERROR(VLOOKUP($D237,bug_conf_sheet!$A:$H,6,FALSE),VLOOKUP("other",bug_conf_sheet!$A:$H,6,FALSE))</f>
        <v>0</v>
      </c>
      <c r="R237" s="31">
        <f>IFERROR(VLOOKUP($D237,bug_conf_sheet!$A:$H,7,FALSE),VLOOKUP("other",bug_conf_sheet!$A:$H,7,FALSE))</f>
        <v>0</v>
      </c>
      <c r="S237" s="31">
        <f>IFERROR(VLOOKUP($D237,bug_conf_sheet!$A:$H,8,FALSE),VLOOKUP("other",bug_conf_sheet!$A:$H,8,FALSE))</f>
        <v>1</v>
      </c>
    </row>
    <row r="238" spans="1:19" ht="21" customHeight="1">
      <c r="A238" s="2">
        <f>input_5!A$2</f>
        <v>3125</v>
      </c>
      <c r="B238" s="7" t="str">
        <f t="shared" si="10"/>
        <v>PremiumSS4</v>
      </c>
      <c r="C238" s="7" t="str">
        <f t="shared" si="11"/>
        <v>PremiumSS</v>
      </c>
      <c r="D238" s="6">
        <v>660</v>
      </c>
      <c r="E238" s="7" t="str">
        <f>VLOOKUP(D238,[1]characters!$A:$C,3,FALSE)</f>
        <v>烏天狗 フウガ</v>
      </c>
      <c r="F238" s="7" t="str">
        <f>VLOOKUP(D238,[1]characters!$A:$J,10,FALSE)</f>
        <v>PremiumSS</v>
      </c>
      <c r="G238" s="7">
        <f>VLOOKUP(D238,[1]characters!$A:$I,9,FALSE)</f>
        <v>4</v>
      </c>
      <c r="H238" s="7" t="str">
        <f>VLOOKUP(D238,[1]characters!$A:$H,8,FALSE)</f>
        <v>green</v>
      </c>
      <c r="I238" s="7" t="str">
        <f>VLOOKUP(D238,[1]characters!$A:$K,11,FALSE)</f>
        <v>balance</v>
      </c>
      <c r="J238" s="7" t="str">
        <f>VLOOKUP(D238,[1]characters!$A:$M,13,FALSE)</f>
        <v>animal</v>
      </c>
      <c r="K238" s="7" t="str">
        <f>VLOOKUP(D238,[1]characters!$A:$G,7,FALSE)</f>
        <v>男性</v>
      </c>
      <c r="L238" s="66">
        <f>IFERROR(VLOOKUP(D238,input_5!L:R,7,FALSE),VLOOKUP(tables_5!B238,input_5!A:H,8,FALSE))</f>
        <v>18981</v>
      </c>
      <c r="M238" s="67">
        <f t="shared" si="9"/>
        <v>9.1346153846153845E-4</v>
      </c>
      <c r="N238" s="31">
        <f>IFERROR(VLOOKUP($D238,bug_conf_sheet!$A:$H,3,FALSE),VLOOKUP("other",bug_conf_sheet!$A:$H,3,FALSE))</f>
        <v>1</v>
      </c>
      <c r="O238" s="31">
        <f>IFERROR(VLOOKUP($D238,bug_conf_sheet!$A:$H,4,FALSE),VLOOKUP("other",bug_conf_sheet!$A:$H,4,FALSE))</f>
        <v>0</v>
      </c>
      <c r="P238" s="31">
        <f>IFERROR(VLOOKUP($D238,bug_conf_sheet!$A:$H,5,FALSE),VLOOKUP("other",bug_conf_sheet!$A:$H,5,FALSE))</f>
        <v>0</v>
      </c>
      <c r="Q238" s="31">
        <f>IFERROR(VLOOKUP($D238,bug_conf_sheet!$A:$H,6,FALSE),VLOOKUP("other",bug_conf_sheet!$A:$H,6,FALSE))</f>
        <v>0</v>
      </c>
      <c r="R238" s="31">
        <f>IFERROR(VLOOKUP($D238,bug_conf_sheet!$A:$H,7,FALSE),VLOOKUP("other",bug_conf_sheet!$A:$H,7,FALSE))</f>
        <v>0</v>
      </c>
      <c r="S238" s="31">
        <f>IFERROR(VLOOKUP($D238,bug_conf_sheet!$A:$H,8,FALSE),VLOOKUP("other",bug_conf_sheet!$A:$H,8,FALSE))</f>
        <v>1</v>
      </c>
    </row>
    <row r="239" spans="1:19" ht="21" customHeight="1">
      <c r="A239" s="2">
        <f>input_5!A$2</f>
        <v>3125</v>
      </c>
      <c r="B239" s="7" t="str">
        <f t="shared" si="10"/>
        <v>PremiumSS5</v>
      </c>
      <c r="C239" s="7" t="str">
        <f t="shared" si="11"/>
        <v>PremiumSS</v>
      </c>
      <c r="D239" s="6">
        <v>661</v>
      </c>
      <c r="E239" s="7" t="str">
        <f>VLOOKUP(D239,[1]characters!$A:$C,3,FALSE)</f>
        <v>疾風の天狗礫 フウガ</v>
      </c>
      <c r="F239" s="7" t="str">
        <f>VLOOKUP(D239,[1]characters!$A:$J,10,FALSE)</f>
        <v>PremiumSS</v>
      </c>
      <c r="G239" s="7">
        <f>VLOOKUP(D239,[1]characters!$A:$I,9,FALSE)</f>
        <v>5</v>
      </c>
      <c r="H239" s="7" t="str">
        <f>VLOOKUP(D239,[1]characters!$A:$H,8,FALSE)</f>
        <v>green</v>
      </c>
      <c r="I239" s="7" t="str">
        <f>VLOOKUP(D239,[1]characters!$A:$K,11,FALSE)</f>
        <v>balance</v>
      </c>
      <c r="J239" s="7" t="str">
        <f>VLOOKUP(D239,[1]characters!$A:$M,13,FALSE)</f>
        <v>animal</v>
      </c>
      <c r="K239" s="7" t="str">
        <f>VLOOKUP(D239,[1]characters!$A:$G,7,FALSE)</f>
        <v>男性</v>
      </c>
      <c r="L239" s="66">
        <f>IFERROR(VLOOKUP(D239,input_5!L:R,7,FALSE),VLOOKUP(tables_5!B239,input_5!A:H,8,FALSE))</f>
        <v>999</v>
      </c>
      <c r="M239" s="67">
        <f t="shared" si="9"/>
        <v>4.8076923076923077E-5</v>
      </c>
      <c r="N239" s="31">
        <f>IFERROR(VLOOKUP($D239,bug_conf_sheet!$A:$H,3,FALSE),VLOOKUP("other",bug_conf_sheet!$A:$H,3,FALSE))</f>
        <v>1</v>
      </c>
      <c r="O239" s="31">
        <f>IFERROR(VLOOKUP($D239,bug_conf_sheet!$A:$H,4,FALSE),VLOOKUP("other",bug_conf_sheet!$A:$H,4,FALSE))</f>
        <v>0</v>
      </c>
      <c r="P239" s="31">
        <f>IFERROR(VLOOKUP($D239,bug_conf_sheet!$A:$H,5,FALSE),VLOOKUP("other",bug_conf_sheet!$A:$H,5,FALSE))</f>
        <v>0</v>
      </c>
      <c r="Q239" s="31">
        <f>IFERROR(VLOOKUP($D239,bug_conf_sheet!$A:$H,6,FALSE),VLOOKUP("other",bug_conf_sheet!$A:$H,6,FALSE))</f>
        <v>0</v>
      </c>
      <c r="R239" s="31">
        <f>IFERROR(VLOOKUP($D239,bug_conf_sheet!$A:$H,7,FALSE),VLOOKUP("other",bug_conf_sheet!$A:$H,7,FALSE))</f>
        <v>0</v>
      </c>
      <c r="S239" s="31">
        <f>IFERROR(VLOOKUP($D239,bug_conf_sheet!$A:$H,8,FALSE),VLOOKUP("other",bug_conf_sheet!$A:$H,8,FALSE))</f>
        <v>1</v>
      </c>
    </row>
    <row r="240" spans="1:19" ht="21" customHeight="1">
      <c r="A240" s="2">
        <f>input_5!A$2</f>
        <v>3125</v>
      </c>
      <c r="B240" s="7" t="str">
        <f t="shared" si="10"/>
        <v>Premium3</v>
      </c>
      <c r="C240" s="7" t="str">
        <f t="shared" si="11"/>
        <v>Premium</v>
      </c>
      <c r="D240" s="6">
        <v>662</v>
      </c>
      <c r="E240" s="7" t="str">
        <f>VLOOKUP(D240,[1]characters!$A:$C,3,FALSE)</f>
        <v>ダイダラ</v>
      </c>
      <c r="F240" s="7" t="str">
        <f>VLOOKUP(D240,[1]characters!$A:$J,10,FALSE)</f>
        <v>PremiumS</v>
      </c>
      <c r="G240" s="7">
        <f>VLOOKUP(D240,[1]characters!$A:$I,9,FALSE)</f>
        <v>3</v>
      </c>
      <c r="H240" s="7" t="str">
        <f>VLOOKUP(D240,[1]characters!$A:$H,8,FALSE)</f>
        <v>blue</v>
      </c>
      <c r="I240" s="7" t="str">
        <f>VLOOKUP(D240,[1]characters!$A:$K,11,FALSE)</f>
        <v>hp</v>
      </c>
      <c r="J240" s="7" t="str">
        <f>VLOOKUP(D240,[1]characters!$A:$M,13,FALSE)</f>
        <v>unknown</v>
      </c>
      <c r="K240" s="7" t="str">
        <f>VLOOKUP(D240,[1]characters!$A:$G,7,FALSE)</f>
        <v>不明</v>
      </c>
      <c r="L240" s="66">
        <f>IFERROR(VLOOKUP(D240,input_5!L:R,7,FALSE),VLOOKUP(tables_5!B240,input_5!A:H,8,FALSE))</f>
        <v>0</v>
      </c>
      <c r="M240" s="67">
        <f t="shared" si="9"/>
        <v>0</v>
      </c>
      <c r="N240" s="31">
        <f>IFERROR(VLOOKUP($D240,bug_conf_sheet!$A:$H,3,FALSE),VLOOKUP("other",bug_conf_sheet!$A:$H,3,FALSE))</f>
        <v>1</v>
      </c>
      <c r="O240" s="31">
        <f>IFERROR(VLOOKUP($D240,bug_conf_sheet!$A:$H,4,FALSE),VLOOKUP("other",bug_conf_sheet!$A:$H,4,FALSE))</f>
        <v>0</v>
      </c>
      <c r="P240" s="31">
        <f>IFERROR(VLOOKUP($D240,bug_conf_sheet!$A:$H,5,FALSE),VLOOKUP("other",bug_conf_sheet!$A:$H,5,FALSE))</f>
        <v>0</v>
      </c>
      <c r="Q240" s="31">
        <f>IFERROR(VLOOKUP($D240,bug_conf_sheet!$A:$H,6,FALSE),VLOOKUP("other",bug_conf_sheet!$A:$H,6,FALSE))</f>
        <v>0</v>
      </c>
      <c r="R240" s="31">
        <f>IFERROR(VLOOKUP($D240,bug_conf_sheet!$A:$H,7,FALSE),VLOOKUP("other",bug_conf_sheet!$A:$H,7,FALSE))</f>
        <v>0</v>
      </c>
      <c r="S240" s="31">
        <f>IFERROR(VLOOKUP($D240,bug_conf_sheet!$A:$H,8,FALSE),VLOOKUP("other",bug_conf_sheet!$A:$H,8,FALSE))</f>
        <v>1</v>
      </c>
    </row>
    <row r="241" spans="1:19" ht="21" customHeight="1">
      <c r="A241" s="2">
        <f>input_5!A$2</f>
        <v>3125</v>
      </c>
      <c r="B241" s="7" t="str">
        <f t="shared" si="10"/>
        <v>Premium4</v>
      </c>
      <c r="C241" s="7" t="str">
        <f t="shared" si="11"/>
        <v>Premium</v>
      </c>
      <c r="D241" s="6">
        <v>663</v>
      </c>
      <c r="E241" s="7" t="str">
        <f>VLOOKUP(D241,[1]characters!$A:$C,3,FALSE)</f>
        <v>都揺らす地響き ダイダラ</v>
      </c>
      <c r="F241" s="7" t="str">
        <f>VLOOKUP(D241,[1]characters!$A:$J,10,FALSE)</f>
        <v>PremiumS</v>
      </c>
      <c r="G241" s="7">
        <f>VLOOKUP(D241,[1]characters!$A:$I,9,FALSE)</f>
        <v>4</v>
      </c>
      <c r="H241" s="7" t="str">
        <f>VLOOKUP(D241,[1]characters!$A:$H,8,FALSE)</f>
        <v>blue</v>
      </c>
      <c r="I241" s="7" t="str">
        <f>VLOOKUP(D241,[1]characters!$A:$K,11,FALSE)</f>
        <v>hp</v>
      </c>
      <c r="J241" s="7" t="str">
        <f>VLOOKUP(D241,[1]characters!$A:$M,13,FALSE)</f>
        <v>unknown</v>
      </c>
      <c r="K241" s="7" t="str">
        <f>VLOOKUP(D241,[1]characters!$A:$G,7,FALSE)</f>
        <v>不明</v>
      </c>
      <c r="L241" s="66">
        <f>IFERROR(VLOOKUP(D241,input_5!L:R,7,FALSE),VLOOKUP(tables_5!B241,input_5!A:H,8,FALSE))</f>
        <v>260091</v>
      </c>
      <c r="M241" s="67">
        <f t="shared" si="9"/>
        <v>1.2516891891891892E-2</v>
      </c>
      <c r="N241" s="31">
        <f>IFERROR(VLOOKUP($D241,bug_conf_sheet!$A:$H,3,FALSE),VLOOKUP("other",bug_conf_sheet!$A:$H,3,FALSE))</f>
        <v>1</v>
      </c>
      <c r="O241" s="31">
        <f>IFERROR(VLOOKUP($D241,bug_conf_sheet!$A:$H,4,FALSE),VLOOKUP("other",bug_conf_sheet!$A:$H,4,FALSE))</f>
        <v>0</v>
      </c>
      <c r="P241" s="31">
        <f>IFERROR(VLOOKUP($D241,bug_conf_sheet!$A:$H,5,FALSE),VLOOKUP("other",bug_conf_sheet!$A:$H,5,FALSE))</f>
        <v>0</v>
      </c>
      <c r="Q241" s="31">
        <f>IFERROR(VLOOKUP($D241,bug_conf_sheet!$A:$H,6,FALSE),VLOOKUP("other",bug_conf_sheet!$A:$H,6,FALSE))</f>
        <v>0</v>
      </c>
      <c r="R241" s="31">
        <f>IFERROR(VLOOKUP($D241,bug_conf_sheet!$A:$H,7,FALSE),VLOOKUP("other",bug_conf_sheet!$A:$H,7,FALSE))</f>
        <v>0</v>
      </c>
      <c r="S241" s="31">
        <f>IFERROR(VLOOKUP($D241,bug_conf_sheet!$A:$H,8,FALSE),VLOOKUP("other",bug_conf_sheet!$A:$H,8,FALSE))</f>
        <v>1</v>
      </c>
    </row>
    <row r="242" spans="1:19" ht="21" customHeight="1">
      <c r="A242" s="2">
        <f>input_5!A$2</f>
        <v>3125</v>
      </c>
      <c r="B242" s="7" t="str">
        <f t="shared" si="10"/>
        <v>Premium5</v>
      </c>
      <c r="C242" s="7" t="str">
        <f t="shared" si="11"/>
        <v>Premium</v>
      </c>
      <c r="D242" s="6">
        <v>664</v>
      </c>
      <c r="E242" s="7" t="str">
        <f>VLOOKUP(D242,[1]characters!$A:$C,3,FALSE)</f>
        <v>山掴み国造り ダイダラ</v>
      </c>
      <c r="F242" s="7" t="str">
        <f>VLOOKUP(D242,[1]characters!$A:$J,10,FALSE)</f>
        <v>PremiumS</v>
      </c>
      <c r="G242" s="7">
        <f>VLOOKUP(D242,[1]characters!$A:$I,9,FALSE)</f>
        <v>5</v>
      </c>
      <c r="H242" s="7" t="str">
        <f>VLOOKUP(D242,[1]characters!$A:$H,8,FALSE)</f>
        <v>blue</v>
      </c>
      <c r="I242" s="7" t="str">
        <f>VLOOKUP(D242,[1]characters!$A:$K,11,FALSE)</f>
        <v>hp</v>
      </c>
      <c r="J242" s="7" t="str">
        <f>VLOOKUP(D242,[1]characters!$A:$M,13,FALSE)</f>
        <v>unknown</v>
      </c>
      <c r="K242" s="7" t="str">
        <f>VLOOKUP(D242,[1]characters!$A:$G,7,FALSE)</f>
        <v>不明</v>
      </c>
      <c r="L242" s="66">
        <f>IFERROR(VLOOKUP(D242,input_5!L:R,7,FALSE),VLOOKUP(tables_5!B242,input_5!A:H,8,FALSE))</f>
        <v>18759</v>
      </c>
      <c r="M242" s="67">
        <f t="shared" si="9"/>
        <v>9.0277777777777774E-4</v>
      </c>
      <c r="N242" s="31">
        <f>IFERROR(VLOOKUP($D242,bug_conf_sheet!$A:$H,3,FALSE),VLOOKUP("other",bug_conf_sheet!$A:$H,3,FALSE))</f>
        <v>1</v>
      </c>
      <c r="O242" s="31">
        <f>IFERROR(VLOOKUP($D242,bug_conf_sheet!$A:$H,4,FALSE),VLOOKUP("other",bug_conf_sheet!$A:$H,4,FALSE))</f>
        <v>0</v>
      </c>
      <c r="P242" s="31">
        <f>IFERROR(VLOOKUP($D242,bug_conf_sheet!$A:$H,5,FALSE),VLOOKUP("other",bug_conf_sheet!$A:$H,5,FALSE))</f>
        <v>0</v>
      </c>
      <c r="Q242" s="31">
        <f>IFERROR(VLOOKUP($D242,bug_conf_sheet!$A:$H,6,FALSE),VLOOKUP("other",bug_conf_sheet!$A:$H,6,FALSE))</f>
        <v>0</v>
      </c>
      <c r="R242" s="31">
        <f>IFERROR(VLOOKUP($D242,bug_conf_sheet!$A:$H,7,FALSE),VLOOKUP("other",bug_conf_sheet!$A:$H,7,FALSE))</f>
        <v>0</v>
      </c>
      <c r="S242" s="31">
        <f>IFERROR(VLOOKUP($D242,bug_conf_sheet!$A:$H,8,FALSE),VLOOKUP("other",bug_conf_sheet!$A:$H,8,FALSE))</f>
        <v>1</v>
      </c>
    </row>
    <row r="243" spans="1:19" ht="21" customHeight="1">
      <c r="A243" s="2">
        <f>input_5!A$2</f>
        <v>3125</v>
      </c>
      <c r="B243" s="7" t="str">
        <f t="shared" si="10"/>
        <v>Premium3</v>
      </c>
      <c r="C243" s="7" t="str">
        <f t="shared" si="11"/>
        <v>Premium</v>
      </c>
      <c r="D243" s="6">
        <v>665</v>
      </c>
      <c r="E243" s="7" t="str">
        <f>VLOOKUP(D243,[1]characters!$A:$C,3,FALSE)</f>
        <v>座敷童子 テマリ</v>
      </c>
      <c r="F243" s="7" t="str">
        <f>VLOOKUP(D243,[1]characters!$A:$J,10,FALSE)</f>
        <v>PremiumS</v>
      </c>
      <c r="G243" s="7">
        <f>VLOOKUP(D243,[1]characters!$A:$I,9,FALSE)</f>
        <v>3</v>
      </c>
      <c r="H243" s="7" t="str">
        <f>VLOOKUP(D243,[1]characters!$A:$H,8,FALSE)</f>
        <v>yellow</v>
      </c>
      <c r="I243" s="7" t="str">
        <f>VLOOKUP(D243,[1]characters!$A:$K,11,FALSE)</f>
        <v>balance</v>
      </c>
      <c r="J243" s="7" t="str">
        <f>VLOOKUP(D243,[1]characters!$A:$M,13,FALSE)</f>
        <v>unknown</v>
      </c>
      <c r="K243" s="7" t="str">
        <f>VLOOKUP(D243,[1]characters!$A:$G,7,FALSE)</f>
        <v>女性</v>
      </c>
      <c r="L243" s="66">
        <f>IFERROR(VLOOKUP(D243,input_5!L:R,7,FALSE),VLOOKUP(tables_5!B243,input_5!A:H,8,FALSE))</f>
        <v>0</v>
      </c>
      <c r="M243" s="67">
        <f t="shared" si="9"/>
        <v>0</v>
      </c>
      <c r="N243" s="31">
        <f>IFERROR(VLOOKUP($D243,bug_conf_sheet!$A:$H,3,FALSE),VLOOKUP("other",bug_conf_sheet!$A:$H,3,FALSE))</f>
        <v>1</v>
      </c>
      <c r="O243" s="31">
        <f>IFERROR(VLOOKUP($D243,bug_conf_sheet!$A:$H,4,FALSE),VLOOKUP("other",bug_conf_sheet!$A:$H,4,FALSE))</f>
        <v>0</v>
      </c>
      <c r="P243" s="31">
        <f>IFERROR(VLOOKUP($D243,bug_conf_sheet!$A:$H,5,FALSE),VLOOKUP("other",bug_conf_sheet!$A:$H,5,FALSE))</f>
        <v>0</v>
      </c>
      <c r="Q243" s="31">
        <f>IFERROR(VLOOKUP($D243,bug_conf_sheet!$A:$H,6,FALSE),VLOOKUP("other",bug_conf_sheet!$A:$H,6,FALSE))</f>
        <v>0</v>
      </c>
      <c r="R243" s="31">
        <f>IFERROR(VLOOKUP($D243,bug_conf_sheet!$A:$H,7,FALSE),VLOOKUP("other",bug_conf_sheet!$A:$H,7,FALSE))</f>
        <v>0</v>
      </c>
      <c r="S243" s="31">
        <f>IFERROR(VLOOKUP($D243,bug_conf_sheet!$A:$H,8,FALSE),VLOOKUP("other",bug_conf_sheet!$A:$H,8,FALSE))</f>
        <v>1</v>
      </c>
    </row>
    <row r="244" spans="1:19" ht="21" customHeight="1">
      <c r="A244" s="2">
        <f>input_5!A$2</f>
        <v>3125</v>
      </c>
      <c r="B244" s="7" t="str">
        <f t="shared" si="10"/>
        <v>Premium4</v>
      </c>
      <c r="C244" s="7" t="str">
        <f t="shared" si="11"/>
        <v>Premium</v>
      </c>
      <c r="D244" s="6">
        <v>666</v>
      </c>
      <c r="E244" s="7" t="str">
        <f>VLOOKUP(D244,[1]characters!$A:$C,3,FALSE)</f>
        <v>拡散する幸福 テマリ</v>
      </c>
      <c r="F244" s="7" t="str">
        <f>VLOOKUP(D244,[1]characters!$A:$J,10,FALSE)</f>
        <v>PremiumS</v>
      </c>
      <c r="G244" s="7">
        <f>VLOOKUP(D244,[1]characters!$A:$I,9,FALSE)</f>
        <v>4</v>
      </c>
      <c r="H244" s="7" t="str">
        <f>VLOOKUP(D244,[1]characters!$A:$H,8,FALSE)</f>
        <v>yellow</v>
      </c>
      <c r="I244" s="7" t="str">
        <f>VLOOKUP(D244,[1]characters!$A:$K,11,FALSE)</f>
        <v>balance</v>
      </c>
      <c r="J244" s="7" t="str">
        <f>VLOOKUP(D244,[1]characters!$A:$M,13,FALSE)</f>
        <v>unknown</v>
      </c>
      <c r="K244" s="7" t="str">
        <f>VLOOKUP(D244,[1]characters!$A:$G,7,FALSE)</f>
        <v>女性</v>
      </c>
      <c r="L244" s="66">
        <f>IFERROR(VLOOKUP(D244,input_5!L:R,7,FALSE),VLOOKUP(tables_5!B244,input_5!A:H,8,FALSE))</f>
        <v>260091</v>
      </c>
      <c r="M244" s="67">
        <f t="shared" si="9"/>
        <v>1.2516891891891892E-2</v>
      </c>
      <c r="N244" s="31">
        <f>IFERROR(VLOOKUP($D244,bug_conf_sheet!$A:$H,3,FALSE),VLOOKUP("other",bug_conf_sheet!$A:$H,3,FALSE))</f>
        <v>1</v>
      </c>
      <c r="O244" s="31">
        <f>IFERROR(VLOOKUP($D244,bug_conf_sheet!$A:$H,4,FALSE),VLOOKUP("other",bug_conf_sheet!$A:$H,4,FALSE))</f>
        <v>0</v>
      </c>
      <c r="P244" s="31">
        <f>IFERROR(VLOOKUP($D244,bug_conf_sheet!$A:$H,5,FALSE),VLOOKUP("other",bug_conf_sheet!$A:$H,5,FALSE))</f>
        <v>0</v>
      </c>
      <c r="Q244" s="31">
        <f>IFERROR(VLOOKUP($D244,bug_conf_sheet!$A:$H,6,FALSE),VLOOKUP("other",bug_conf_sheet!$A:$H,6,FALSE))</f>
        <v>0</v>
      </c>
      <c r="R244" s="31">
        <f>IFERROR(VLOOKUP($D244,bug_conf_sheet!$A:$H,7,FALSE),VLOOKUP("other",bug_conf_sheet!$A:$H,7,FALSE))</f>
        <v>0</v>
      </c>
      <c r="S244" s="31">
        <f>IFERROR(VLOOKUP($D244,bug_conf_sheet!$A:$H,8,FALSE),VLOOKUP("other",bug_conf_sheet!$A:$H,8,FALSE))</f>
        <v>1</v>
      </c>
    </row>
    <row r="245" spans="1:19" ht="21" customHeight="1">
      <c r="A245" s="2">
        <f>input_5!A$2</f>
        <v>3125</v>
      </c>
      <c r="B245" s="7" t="str">
        <f t="shared" si="10"/>
        <v>Premium5</v>
      </c>
      <c r="C245" s="7" t="str">
        <f t="shared" si="11"/>
        <v>Premium</v>
      </c>
      <c r="D245" s="6">
        <v>667</v>
      </c>
      <c r="E245" s="7" t="str">
        <f>VLOOKUP(D245,[1]characters!$A:$C,3,FALSE)</f>
        <v>最幸運の妖童 テマリ</v>
      </c>
      <c r="F245" s="7" t="str">
        <f>VLOOKUP(D245,[1]characters!$A:$J,10,FALSE)</f>
        <v>PremiumS</v>
      </c>
      <c r="G245" s="7">
        <f>VLOOKUP(D245,[1]characters!$A:$I,9,FALSE)</f>
        <v>5</v>
      </c>
      <c r="H245" s="7" t="str">
        <f>VLOOKUP(D245,[1]characters!$A:$H,8,FALSE)</f>
        <v>yellow</v>
      </c>
      <c r="I245" s="7" t="str">
        <f>VLOOKUP(D245,[1]characters!$A:$K,11,FALSE)</f>
        <v>balance</v>
      </c>
      <c r="J245" s="7" t="str">
        <f>VLOOKUP(D245,[1]characters!$A:$M,13,FALSE)</f>
        <v>unknown</v>
      </c>
      <c r="K245" s="7" t="str">
        <f>VLOOKUP(D245,[1]characters!$A:$G,7,FALSE)</f>
        <v>女性</v>
      </c>
      <c r="L245" s="66">
        <f>IFERROR(VLOOKUP(D245,input_5!L:R,7,FALSE),VLOOKUP(tables_5!B245,input_5!A:H,8,FALSE))</f>
        <v>18759</v>
      </c>
      <c r="M245" s="67">
        <f t="shared" si="9"/>
        <v>9.0277777777777774E-4</v>
      </c>
      <c r="N245" s="31">
        <f>IFERROR(VLOOKUP($D245,bug_conf_sheet!$A:$H,3,FALSE),VLOOKUP("other",bug_conf_sheet!$A:$H,3,FALSE))</f>
        <v>1</v>
      </c>
      <c r="O245" s="31">
        <f>IFERROR(VLOOKUP($D245,bug_conf_sheet!$A:$H,4,FALSE),VLOOKUP("other",bug_conf_sheet!$A:$H,4,FALSE))</f>
        <v>0</v>
      </c>
      <c r="P245" s="31">
        <f>IFERROR(VLOOKUP($D245,bug_conf_sheet!$A:$H,5,FALSE),VLOOKUP("other",bug_conf_sheet!$A:$H,5,FALSE))</f>
        <v>0</v>
      </c>
      <c r="Q245" s="31">
        <f>IFERROR(VLOOKUP($D245,bug_conf_sheet!$A:$H,6,FALSE),VLOOKUP("other",bug_conf_sheet!$A:$H,6,FALSE))</f>
        <v>0</v>
      </c>
      <c r="R245" s="31">
        <f>IFERROR(VLOOKUP($D245,bug_conf_sheet!$A:$H,7,FALSE),VLOOKUP("other",bug_conf_sheet!$A:$H,7,FALSE))</f>
        <v>0</v>
      </c>
      <c r="S245" s="31">
        <f>IFERROR(VLOOKUP($D245,bug_conf_sheet!$A:$H,8,FALSE),VLOOKUP("other",bug_conf_sheet!$A:$H,8,FALSE))</f>
        <v>1</v>
      </c>
    </row>
    <row r="246" spans="1:19" ht="21" customHeight="1">
      <c r="A246" s="2">
        <f>input_5!A$2</f>
        <v>3125</v>
      </c>
      <c r="B246" s="7" t="str">
        <f t="shared" si="10"/>
        <v>Premium3</v>
      </c>
      <c r="C246" s="7" t="str">
        <f t="shared" si="11"/>
        <v>Premium</v>
      </c>
      <c r="D246" s="6">
        <v>668</v>
      </c>
      <c r="E246" s="7" t="str">
        <f>VLOOKUP(D246,[1]characters!$A:$C,3,FALSE)</f>
        <v>アグニ</v>
      </c>
      <c r="F246" s="7" t="str">
        <f>VLOOKUP(D246,[1]characters!$A:$J,10,FALSE)</f>
        <v>PremiumS</v>
      </c>
      <c r="G246" s="7">
        <f>VLOOKUP(D246,[1]characters!$A:$I,9,FALSE)</f>
        <v>3</v>
      </c>
      <c r="H246" s="7" t="str">
        <f>VLOOKUP(D246,[1]characters!$A:$H,8,FALSE)</f>
        <v>red</v>
      </c>
      <c r="I246" s="7" t="str">
        <f>VLOOKUP(D246,[1]characters!$A:$K,11,FALSE)</f>
        <v>hp</v>
      </c>
      <c r="J246" s="7" t="str">
        <f>VLOOKUP(D246,[1]characters!$A:$M,13,FALSE)</f>
        <v>god</v>
      </c>
      <c r="K246" s="7" t="str">
        <f>VLOOKUP(D246,[1]characters!$A:$G,7,FALSE)</f>
        <v>男性</v>
      </c>
      <c r="L246" s="66">
        <f>IFERROR(VLOOKUP(D246,input_5!L:R,7,FALSE),VLOOKUP(tables_5!B246,input_5!A:H,8,FALSE))</f>
        <v>0</v>
      </c>
      <c r="M246" s="67">
        <f t="shared" si="9"/>
        <v>0</v>
      </c>
      <c r="N246" s="31">
        <f>IFERROR(VLOOKUP($D246,bug_conf_sheet!$A:$H,3,FALSE),VLOOKUP("other",bug_conf_sheet!$A:$H,3,FALSE))</f>
        <v>1</v>
      </c>
      <c r="O246" s="31">
        <f>IFERROR(VLOOKUP($D246,bug_conf_sheet!$A:$H,4,FALSE),VLOOKUP("other",bug_conf_sheet!$A:$H,4,FALSE))</f>
        <v>0</v>
      </c>
      <c r="P246" s="31">
        <f>IFERROR(VLOOKUP($D246,bug_conf_sheet!$A:$H,5,FALSE),VLOOKUP("other",bug_conf_sheet!$A:$H,5,FALSE))</f>
        <v>0</v>
      </c>
      <c r="Q246" s="31">
        <f>IFERROR(VLOOKUP($D246,bug_conf_sheet!$A:$H,6,FALSE),VLOOKUP("other",bug_conf_sheet!$A:$H,6,FALSE))</f>
        <v>0</v>
      </c>
      <c r="R246" s="31">
        <f>IFERROR(VLOOKUP($D246,bug_conf_sheet!$A:$H,7,FALSE),VLOOKUP("other",bug_conf_sheet!$A:$H,7,FALSE))</f>
        <v>0</v>
      </c>
      <c r="S246" s="31">
        <f>IFERROR(VLOOKUP($D246,bug_conf_sheet!$A:$H,8,FALSE),VLOOKUP("other",bug_conf_sheet!$A:$H,8,FALSE))</f>
        <v>1</v>
      </c>
    </row>
    <row r="247" spans="1:19" ht="21" customHeight="1">
      <c r="A247" s="2">
        <f>input_5!A$2</f>
        <v>3125</v>
      </c>
      <c r="B247" s="7" t="str">
        <f t="shared" si="10"/>
        <v>Premium4</v>
      </c>
      <c r="C247" s="7" t="str">
        <f t="shared" si="11"/>
        <v>Premium</v>
      </c>
      <c r="D247" s="6">
        <v>669</v>
      </c>
      <c r="E247" s="7" t="str">
        <f>VLOOKUP(D247,[1]characters!$A:$C,3,FALSE)</f>
        <v>天地の仲界 アグニ</v>
      </c>
      <c r="F247" s="7" t="str">
        <f>VLOOKUP(D247,[1]characters!$A:$J,10,FALSE)</f>
        <v>PremiumS</v>
      </c>
      <c r="G247" s="7">
        <f>VLOOKUP(D247,[1]characters!$A:$I,9,FALSE)</f>
        <v>4</v>
      </c>
      <c r="H247" s="7" t="str">
        <f>VLOOKUP(D247,[1]characters!$A:$H,8,FALSE)</f>
        <v>red</v>
      </c>
      <c r="I247" s="7" t="str">
        <f>VLOOKUP(D247,[1]characters!$A:$K,11,FALSE)</f>
        <v>hp</v>
      </c>
      <c r="J247" s="7" t="str">
        <f>VLOOKUP(D247,[1]characters!$A:$M,13,FALSE)</f>
        <v>god</v>
      </c>
      <c r="K247" s="7" t="str">
        <f>VLOOKUP(D247,[1]characters!$A:$G,7,FALSE)</f>
        <v>男性</v>
      </c>
      <c r="L247" s="66">
        <f>IFERROR(VLOOKUP(D247,input_5!L:R,7,FALSE),VLOOKUP(tables_5!B247,input_5!A:H,8,FALSE))</f>
        <v>260091</v>
      </c>
      <c r="M247" s="67">
        <f t="shared" si="9"/>
        <v>1.2516891891891892E-2</v>
      </c>
      <c r="N247" s="31">
        <f>IFERROR(VLOOKUP($D247,bug_conf_sheet!$A:$H,3,FALSE),VLOOKUP("other",bug_conf_sheet!$A:$H,3,FALSE))</f>
        <v>1</v>
      </c>
      <c r="O247" s="31">
        <f>IFERROR(VLOOKUP($D247,bug_conf_sheet!$A:$H,4,FALSE),VLOOKUP("other",bug_conf_sheet!$A:$H,4,FALSE))</f>
        <v>0</v>
      </c>
      <c r="P247" s="31">
        <f>IFERROR(VLOOKUP($D247,bug_conf_sheet!$A:$H,5,FALSE),VLOOKUP("other",bug_conf_sheet!$A:$H,5,FALSE))</f>
        <v>0</v>
      </c>
      <c r="Q247" s="31">
        <f>IFERROR(VLOOKUP($D247,bug_conf_sheet!$A:$H,6,FALSE),VLOOKUP("other",bug_conf_sheet!$A:$H,6,FALSE))</f>
        <v>0</v>
      </c>
      <c r="R247" s="31">
        <f>IFERROR(VLOOKUP($D247,bug_conf_sheet!$A:$H,7,FALSE),VLOOKUP("other",bug_conf_sheet!$A:$H,7,FALSE))</f>
        <v>0</v>
      </c>
      <c r="S247" s="31">
        <f>IFERROR(VLOOKUP($D247,bug_conf_sheet!$A:$H,8,FALSE),VLOOKUP("other",bug_conf_sheet!$A:$H,8,FALSE))</f>
        <v>1</v>
      </c>
    </row>
    <row r="248" spans="1:19" ht="21" customHeight="1">
      <c r="A248" s="2">
        <f>input_5!A$2</f>
        <v>3125</v>
      </c>
      <c r="B248" s="7" t="str">
        <f t="shared" si="10"/>
        <v>Premium5</v>
      </c>
      <c r="C248" s="7" t="str">
        <f t="shared" si="11"/>
        <v>Premium</v>
      </c>
      <c r="D248" s="6">
        <v>670</v>
      </c>
      <c r="E248" s="7" t="str">
        <f>VLOOKUP(D248,[1]characters!$A:$C,3,FALSE)</f>
        <v>陽天の噴煙 アグニ</v>
      </c>
      <c r="F248" s="7" t="str">
        <f>VLOOKUP(D248,[1]characters!$A:$J,10,FALSE)</f>
        <v>PremiumS</v>
      </c>
      <c r="G248" s="7">
        <f>VLOOKUP(D248,[1]characters!$A:$I,9,FALSE)</f>
        <v>5</v>
      </c>
      <c r="H248" s="7" t="str">
        <f>VLOOKUP(D248,[1]characters!$A:$H,8,FALSE)</f>
        <v>red</v>
      </c>
      <c r="I248" s="7" t="str">
        <f>VLOOKUP(D248,[1]characters!$A:$K,11,FALSE)</f>
        <v>hp</v>
      </c>
      <c r="J248" s="7" t="str">
        <f>VLOOKUP(D248,[1]characters!$A:$M,13,FALSE)</f>
        <v>god</v>
      </c>
      <c r="K248" s="7" t="str">
        <f>VLOOKUP(D248,[1]characters!$A:$G,7,FALSE)</f>
        <v>男性</v>
      </c>
      <c r="L248" s="66">
        <f>IFERROR(VLOOKUP(D248,input_5!L:R,7,FALSE),VLOOKUP(tables_5!B248,input_5!A:H,8,FALSE))</f>
        <v>18759</v>
      </c>
      <c r="M248" s="67">
        <f t="shared" si="9"/>
        <v>9.0277777777777774E-4</v>
      </c>
      <c r="N248" s="31">
        <f>IFERROR(VLOOKUP($D248,bug_conf_sheet!$A:$H,3,FALSE),VLOOKUP("other",bug_conf_sheet!$A:$H,3,FALSE))</f>
        <v>1</v>
      </c>
      <c r="O248" s="31">
        <f>IFERROR(VLOOKUP($D248,bug_conf_sheet!$A:$H,4,FALSE),VLOOKUP("other",bug_conf_sheet!$A:$H,4,FALSE))</f>
        <v>0</v>
      </c>
      <c r="P248" s="31">
        <f>IFERROR(VLOOKUP($D248,bug_conf_sheet!$A:$H,5,FALSE),VLOOKUP("other",bug_conf_sheet!$A:$H,5,FALSE))</f>
        <v>0</v>
      </c>
      <c r="Q248" s="31">
        <f>IFERROR(VLOOKUP($D248,bug_conf_sheet!$A:$H,6,FALSE),VLOOKUP("other",bug_conf_sheet!$A:$H,6,FALSE))</f>
        <v>0</v>
      </c>
      <c r="R248" s="31">
        <f>IFERROR(VLOOKUP($D248,bug_conf_sheet!$A:$H,7,FALSE),VLOOKUP("other",bug_conf_sheet!$A:$H,7,FALSE))</f>
        <v>0</v>
      </c>
      <c r="S248" s="31">
        <f>IFERROR(VLOOKUP($D248,bug_conf_sheet!$A:$H,8,FALSE),VLOOKUP("other",bug_conf_sheet!$A:$H,8,FALSE))</f>
        <v>1</v>
      </c>
    </row>
    <row r="249" spans="1:19" ht="21" customHeight="1">
      <c r="A249" s="2">
        <f>input_5!A$2</f>
        <v>3125</v>
      </c>
      <c r="B249" s="7" t="str">
        <f t="shared" si="10"/>
        <v>Premium3</v>
      </c>
      <c r="C249" s="7" t="str">
        <f t="shared" si="11"/>
        <v>Premium</v>
      </c>
      <c r="D249" s="6">
        <v>671</v>
      </c>
      <c r="E249" s="7" t="str">
        <f>VLOOKUP(D249,[1]characters!$A:$C,3,FALSE)</f>
        <v>ハヌマーン</v>
      </c>
      <c r="F249" s="7" t="str">
        <f>VLOOKUP(D249,[1]characters!$A:$J,10,FALSE)</f>
        <v>PremiumS</v>
      </c>
      <c r="G249" s="7">
        <f>VLOOKUP(D249,[1]characters!$A:$I,9,FALSE)</f>
        <v>3</v>
      </c>
      <c r="H249" s="7" t="str">
        <f>VLOOKUP(D249,[1]characters!$A:$H,8,FALSE)</f>
        <v>green</v>
      </c>
      <c r="I249" s="7" t="str">
        <f>VLOOKUP(D249,[1]characters!$A:$K,11,FALSE)</f>
        <v>attack</v>
      </c>
      <c r="J249" s="7" t="str">
        <f>VLOOKUP(D249,[1]characters!$A:$M,13,FALSE)</f>
        <v>animal</v>
      </c>
      <c r="K249" s="7" t="str">
        <f>VLOOKUP(D249,[1]characters!$A:$G,7,FALSE)</f>
        <v>男性</v>
      </c>
      <c r="L249" s="66">
        <f>IFERROR(VLOOKUP(D249,input_5!L:R,7,FALSE),VLOOKUP(tables_5!B249,input_5!A:H,8,FALSE))</f>
        <v>0</v>
      </c>
      <c r="M249" s="67">
        <f t="shared" si="9"/>
        <v>0</v>
      </c>
      <c r="N249" s="31">
        <f>IFERROR(VLOOKUP($D249,bug_conf_sheet!$A:$H,3,FALSE),VLOOKUP("other",bug_conf_sheet!$A:$H,3,FALSE))</f>
        <v>1</v>
      </c>
      <c r="O249" s="31">
        <f>IFERROR(VLOOKUP($D249,bug_conf_sheet!$A:$H,4,FALSE),VLOOKUP("other",bug_conf_sheet!$A:$H,4,FALSE))</f>
        <v>0</v>
      </c>
      <c r="P249" s="31">
        <f>IFERROR(VLOOKUP($D249,bug_conf_sheet!$A:$H,5,FALSE),VLOOKUP("other",bug_conf_sheet!$A:$H,5,FALSE))</f>
        <v>0</v>
      </c>
      <c r="Q249" s="31">
        <f>IFERROR(VLOOKUP($D249,bug_conf_sheet!$A:$H,6,FALSE),VLOOKUP("other",bug_conf_sheet!$A:$H,6,FALSE))</f>
        <v>0</v>
      </c>
      <c r="R249" s="31">
        <f>IFERROR(VLOOKUP($D249,bug_conf_sheet!$A:$H,7,FALSE),VLOOKUP("other",bug_conf_sheet!$A:$H,7,FALSE))</f>
        <v>0</v>
      </c>
      <c r="S249" s="31">
        <f>IFERROR(VLOOKUP($D249,bug_conf_sheet!$A:$H,8,FALSE),VLOOKUP("other",bug_conf_sheet!$A:$H,8,FALSE))</f>
        <v>1</v>
      </c>
    </row>
    <row r="250" spans="1:19" ht="21" customHeight="1">
      <c r="A250" s="2">
        <f>input_5!A$2</f>
        <v>3125</v>
      </c>
      <c r="B250" s="7" t="str">
        <f t="shared" si="10"/>
        <v>Premium4</v>
      </c>
      <c r="C250" s="7" t="str">
        <f t="shared" si="11"/>
        <v>Premium</v>
      </c>
      <c r="D250" s="6">
        <v>672</v>
      </c>
      <c r="E250" s="7" t="str">
        <f>VLOOKUP(D250,[1]characters!$A:$C,3,FALSE)</f>
        <v>西遊韋駄天 ハヌマーン</v>
      </c>
      <c r="F250" s="7" t="str">
        <f>VLOOKUP(D250,[1]characters!$A:$J,10,FALSE)</f>
        <v>PremiumS</v>
      </c>
      <c r="G250" s="7">
        <f>VLOOKUP(D250,[1]characters!$A:$I,9,FALSE)</f>
        <v>4</v>
      </c>
      <c r="H250" s="7" t="str">
        <f>VLOOKUP(D250,[1]characters!$A:$H,8,FALSE)</f>
        <v>green</v>
      </c>
      <c r="I250" s="7" t="str">
        <f>VLOOKUP(D250,[1]characters!$A:$K,11,FALSE)</f>
        <v>attack</v>
      </c>
      <c r="J250" s="7" t="str">
        <f>VLOOKUP(D250,[1]characters!$A:$M,13,FALSE)</f>
        <v>animal</v>
      </c>
      <c r="K250" s="7" t="str">
        <f>VLOOKUP(D250,[1]characters!$A:$G,7,FALSE)</f>
        <v>男性</v>
      </c>
      <c r="L250" s="66">
        <f>IFERROR(VLOOKUP(D250,input_5!L:R,7,FALSE),VLOOKUP(tables_5!B250,input_5!A:H,8,FALSE))</f>
        <v>260091</v>
      </c>
      <c r="M250" s="67">
        <f t="shared" si="9"/>
        <v>1.2516891891891892E-2</v>
      </c>
      <c r="N250" s="31">
        <f>IFERROR(VLOOKUP($D250,bug_conf_sheet!$A:$H,3,FALSE),VLOOKUP("other",bug_conf_sheet!$A:$H,3,FALSE))</f>
        <v>1</v>
      </c>
      <c r="O250" s="31">
        <f>IFERROR(VLOOKUP($D250,bug_conf_sheet!$A:$H,4,FALSE),VLOOKUP("other",bug_conf_sheet!$A:$H,4,FALSE))</f>
        <v>0</v>
      </c>
      <c r="P250" s="31">
        <f>IFERROR(VLOOKUP($D250,bug_conf_sheet!$A:$H,5,FALSE),VLOOKUP("other",bug_conf_sheet!$A:$H,5,FALSE))</f>
        <v>0</v>
      </c>
      <c r="Q250" s="31">
        <f>IFERROR(VLOOKUP($D250,bug_conf_sheet!$A:$H,6,FALSE),VLOOKUP("other",bug_conf_sheet!$A:$H,6,FALSE))</f>
        <v>0</v>
      </c>
      <c r="R250" s="31">
        <f>IFERROR(VLOOKUP($D250,bug_conf_sheet!$A:$H,7,FALSE),VLOOKUP("other",bug_conf_sheet!$A:$H,7,FALSE))</f>
        <v>0</v>
      </c>
      <c r="S250" s="31">
        <f>IFERROR(VLOOKUP($D250,bug_conf_sheet!$A:$H,8,FALSE),VLOOKUP("other",bug_conf_sheet!$A:$H,8,FALSE))</f>
        <v>1</v>
      </c>
    </row>
    <row r="251" spans="1:19" ht="21" customHeight="1">
      <c r="A251" s="2">
        <f>input_5!A$2</f>
        <v>3125</v>
      </c>
      <c r="B251" s="7" t="str">
        <f t="shared" si="10"/>
        <v>Premium5</v>
      </c>
      <c r="C251" s="7" t="str">
        <f t="shared" si="11"/>
        <v>Premium</v>
      </c>
      <c r="D251" s="6">
        <v>673</v>
      </c>
      <c r="E251" s="7" t="str">
        <f>VLOOKUP(D251,[1]characters!$A:$C,3,FALSE)</f>
        <v>変幻自在の猿王 ハヌマーン</v>
      </c>
      <c r="F251" s="7" t="str">
        <f>VLOOKUP(D251,[1]characters!$A:$J,10,FALSE)</f>
        <v>PremiumS</v>
      </c>
      <c r="G251" s="7">
        <f>VLOOKUP(D251,[1]characters!$A:$I,9,FALSE)</f>
        <v>5</v>
      </c>
      <c r="H251" s="7" t="str">
        <f>VLOOKUP(D251,[1]characters!$A:$H,8,FALSE)</f>
        <v>green</v>
      </c>
      <c r="I251" s="7" t="str">
        <f>VLOOKUP(D251,[1]characters!$A:$K,11,FALSE)</f>
        <v>attack</v>
      </c>
      <c r="J251" s="7" t="str">
        <f>VLOOKUP(D251,[1]characters!$A:$M,13,FALSE)</f>
        <v>animal</v>
      </c>
      <c r="K251" s="7" t="str">
        <f>VLOOKUP(D251,[1]characters!$A:$G,7,FALSE)</f>
        <v>男性</v>
      </c>
      <c r="L251" s="66">
        <f>IFERROR(VLOOKUP(D251,input_5!L:R,7,FALSE),VLOOKUP(tables_5!B251,input_5!A:H,8,FALSE))</f>
        <v>18759</v>
      </c>
      <c r="M251" s="67">
        <f t="shared" si="9"/>
        <v>9.0277777777777774E-4</v>
      </c>
      <c r="N251" s="31">
        <f>IFERROR(VLOOKUP($D251,bug_conf_sheet!$A:$H,3,FALSE),VLOOKUP("other",bug_conf_sheet!$A:$H,3,FALSE))</f>
        <v>1</v>
      </c>
      <c r="O251" s="31">
        <f>IFERROR(VLOOKUP($D251,bug_conf_sheet!$A:$H,4,FALSE),VLOOKUP("other",bug_conf_sheet!$A:$H,4,FALSE))</f>
        <v>0</v>
      </c>
      <c r="P251" s="31">
        <f>IFERROR(VLOOKUP($D251,bug_conf_sheet!$A:$H,5,FALSE),VLOOKUP("other",bug_conf_sheet!$A:$H,5,FALSE))</f>
        <v>0</v>
      </c>
      <c r="Q251" s="31">
        <f>IFERROR(VLOOKUP($D251,bug_conf_sheet!$A:$H,6,FALSE),VLOOKUP("other",bug_conf_sheet!$A:$H,6,FALSE))</f>
        <v>0</v>
      </c>
      <c r="R251" s="31">
        <f>IFERROR(VLOOKUP($D251,bug_conf_sheet!$A:$H,7,FALSE),VLOOKUP("other",bug_conf_sheet!$A:$H,7,FALSE))</f>
        <v>0</v>
      </c>
      <c r="S251" s="31">
        <f>IFERROR(VLOOKUP($D251,bug_conf_sheet!$A:$H,8,FALSE),VLOOKUP("other",bug_conf_sheet!$A:$H,8,FALSE))</f>
        <v>1</v>
      </c>
    </row>
    <row r="252" spans="1:19" ht="21" customHeight="1">
      <c r="A252" s="2">
        <f>input_5!A$2</f>
        <v>3125</v>
      </c>
      <c r="B252" s="7" t="str">
        <f t="shared" si="10"/>
        <v>PremiumSS4</v>
      </c>
      <c r="C252" s="7" t="str">
        <f t="shared" si="11"/>
        <v>PremiumSS</v>
      </c>
      <c r="D252" s="6">
        <v>674</v>
      </c>
      <c r="E252" s="7" t="str">
        <f>VLOOKUP(D252,[1]characters!$A:$C,3,FALSE)</f>
        <v>サラスヴァティ</v>
      </c>
      <c r="F252" s="7" t="str">
        <f>VLOOKUP(D252,[1]characters!$A:$J,10,FALSE)</f>
        <v>PremiumSS</v>
      </c>
      <c r="G252" s="7">
        <f>VLOOKUP(D252,[1]characters!$A:$I,9,FALSE)</f>
        <v>4</v>
      </c>
      <c r="H252" s="7" t="str">
        <f>VLOOKUP(D252,[1]characters!$A:$H,8,FALSE)</f>
        <v>blue</v>
      </c>
      <c r="I252" s="7" t="str">
        <f>VLOOKUP(D252,[1]characters!$A:$K,11,FALSE)</f>
        <v>balance</v>
      </c>
      <c r="J252" s="7" t="str">
        <f>VLOOKUP(D252,[1]characters!$A:$M,13,FALSE)</f>
        <v>god</v>
      </c>
      <c r="K252" s="7" t="str">
        <f>VLOOKUP(D252,[1]characters!$A:$G,7,FALSE)</f>
        <v>女性</v>
      </c>
      <c r="L252" s="66">
        <f>IFERROR(VLOOKUP(D252,input_5!L:R,7,FALSE),VLOOKUP(tables_5!B252,input_5!A:H,8,FALSE))</f>
        <v>18981</v>
      </c>
      <c r="M252" s="67">
        <f t="shared" si="9"/>
        <v>9.1346153846153845E-4</v>
      </c>
      <c r="N252" s="31">
        <f>IFERROR(VLOOKUP($D252,bug_conf_sheet!$A:$H,3,FALSE),VLOOKUP("other",bug_conf_sheet!$A:$H,3,FALSE))</f>
        <v>1</v>
      </c>
      <c r="O252" s="31">
        <f>IFERROR(VLOOKUP($D252,bug_conf_sheet!$A:$H,4,FALSE),VLOOKUP("other",bug_conf_sheet!$A:$H,4,FALSE))</f>
        <v>0</v>
      </c>
      <c r="P252" s="31">
        <f>IFERROR(VLOOKUP($D252,bug_conf_sheet!$A:$H,5,FALSE),VLOOKUP("other",bug_conf_sheet!$A:$H,5,FALSE))</f>
        <v>0</v>
      </c>
      <c r="Q252" s="31">
        <f>IFERROR(VLOOKUP($D252,bug_conf_sheet!$A:$H,6,FALSE),VLOOKUP("other",bug_conf_sheet!$A:$H,6,FALSE))</f>
        <v>0</v>
      </c>
      <c r="R252" s="31">
        <f>IFERROR(VLOOKUP($D252,bug_conf_sheet!$A:$H,7,FALSE),VLOOKUP("other",bug_conf_sheet!$A:$H,7,FALSE))</f>
        <v>0</v>
      </c>
      <c r="S252" s="31">
        <f>IFERROR(VLOOKUP($D252,bug_conf_sheet!$A:$H,8,FALSE),VLOOKUP("other",bug_conf_sheet!$A:$H,8,FALSE))</f>
        <v>1</v>
      </c>
    </row>
    <row r="253" spans="1:19" ht="21" customHeight="1">
      <c r="A253" s="2">
        <f>input_5!A$2</f>
        <v>3125</v>
      </c>
      <c r="B253" s="7" t="str">
        <f t="shared" si="10"/>
        <v>PremiumSS5</v>
      </c>
      <c r="C253" s="7" t="str">
        <f t="shared" si="11"/>
        <v>PremiumSS</v>
      </c>
      <c r="D253" s="6">
        <v>675</v>
      </c>
      <c r="E253" s="7" t="str">
        <f>VLOOKUP(D253,[1]characters!$A:$C,3,FALSE)</f>
        <v>芸楽の奔流 サラスヴァティ</v>
      </c>
      <c r="F253" s="7" t="str">
        <f>VLOOKUP(D253,[1]characters!$A:$J,10,FALSE)</f>
        <v>PremiumSS</v>
      </c>
      <c r="G253" s="7">
        <f>VLOOKUP(D253,[1]characters!$A:$I,9,FALSE)</f>
        <v>5</v>
      </c>
      <c r="H253" s="7" t="str">
        <f>VLOOKUP(D253,[1]characters!$A:$H,8,FALSE)</f>
        <v>blue</v>
      </c>
      <c r="I253" s="7" t="str">
        <f>VLOOKUP(D253,[1]characters!$A:$K,11,FALSE)</f>
        <v>balance</v>
      </c>
      <c r="J253" s="7" t="str">
        <f>VLOOKUP(D253,[1]characters!$A:$M,13,FALSE)</f>
        <v>god</v>
      </c>
      <c r="K253" s="7" t="str">
        <f>VLOOKUP(D253,[1]characters!$A:$G,7,FALSE)</f>
        <v>女性</v>
      </c>
      <c r="L253" s="66">
        <f>IFERROR(VLOOKUP(D253,input_5!L:R,7,FALSE),VLOOKUP(tables_5!B253,input_5!A:H,8,FALSE))</f>
        <v>999</v>
      </c>
      <c r="M253" s="67">
        <f t="shared" si="9"/>
        <v>4.8076923076923077E-5</v>
      </c>
      <c r="N253" s="31">
        <f>IFERROR(VLOOKUP($D253,bug_conf_sheet!$A:$H,3,FALSE),VLOOKUP("other",bug_conf_sheet!$A:$H,3,FALSE))</f>
        <v>1</v>
      </c>
      <c r="O253" s="31">
        <f>IFERROR(VLOOKUP($D253,bug_conf_sheet!$A:$H,4,FALSE),VLOOKUP("other",bug_conf_sheet!$A:$H,4,FALSE))</f>
        <v>0</v>
      </c>
      <c r="P253" s="31">
        <f>IFERROR(VLOOKUP($D253,bug_conf_sheet!$A:$H,5,FALSE),VLOOKUP("other",bug_conf_sheet!$A:$H,5,FALSE))</f>
        <v>0</v>
      </c>
      <c r="Q253" s="31">
        <f>IFERROR(VLOOKUP($D253,bug_conf_sheet!$A:$H,6,FALSE),VLOOKUP("other",bug_conf_sheet!$A:$H,6,FALSE))</f>
        <v>0</v>
      </c>
      <c r="R253" s="31">
        <f>IFERROR(VLOOKUP($D253,bug_conf_sheet!$A:$H,7,FALSE),VLOOKUP("other",bug_conf_sheet!$A:$H,7,FALSE))</f>
        <v>0</v>
      </c>
      <c r="S253" s="31">
        <f>IFERROR(VLOOKUP($D253,bug_conf_sheet!$A:$H,8,FALSE),VLOOKUP("other",bug_conf_sheet!$A:$H,8,FALSE))</f>
        <v>1</v>
      </c>
    </row>
    <row r="254" spans="1:19" ht="21" customHeight="1">
      <c r="A254" s="2">
        <f>input_5!A$2</f>
        <v>3125</v>
      </c>
      <c r="B254" s="7" t="str">
        <f t="shared" si="10"/>
        <v>PremiumSS4</v>
      </c>
      <c r="C254" s="7" t="str">
        <f t="shared" si="11"/>
        <v>PremiumSS</v>
      </c>
      <c r="D254" s="6">
        <v>676</v>
      </c>
      <c r="E254" s="7" t="str">
        <f>VLOOKUP(D254,[1]characters!$A:$C,3,FALSE)</f>
        <v>ヴィシュヌ</v>
      </c>
      <c r="F254" s="7" t="str">
        <f>VLOOKUP(D254,[1]characters!$A:$J,10,FALSE)</f>
        <v>PremiumSS</v>
      </c>
      <c r="G254" s="7">
        <f>VLOOKUP(D254,[1]characters!$A:$I,9,FALSE)</f>
        <v>4</v>
      </c>
      <c r="H254" s="7" t="str">
        <f>VLOOKUP(D254,[1]characters!$A:$H,8,FALSE)</f>
        <v>yellow</v>
      </c>
      <c r="I254" s="7" t="str">
        <f>VLOOKUP(D254,[1]characters!$A:$K,11,FALSE)</f>
        <v>attack</v>
      </c>
      <c r="J254" s="7" t="str">
        <f>VLOOKUP(D254,[1]characters!$A:$M,13,FALSE)</f>
        <v>god</v>
      </c>
      <c r="K254" s="7" t="str">
        <f>VLOOKUP(D254,[1]characters!$A:$G,7,FALSE)</f>
        <v>女性</v>
      </c>
      <c r="L254" s="66">
        <f>IFERROR(VLOOKUP(D254,input_5!L:R,7,FALSE),VLOOKUP(tables_5!B254,input_5!A:H,8,FALSE))</f>
        <v>18981</v>
      </c>
      <c r="M254" s="67">
        <f t="shared" si="9"/>
        <v>9.1346153846153845E-4</v>
      </c>
      <c r="N254" s="31">
        <f>IFERROR(VLOOKUP($D254,bug_conf_sheet!$A:$H,3,FALSE),VLOOKUP("other",bug_conf_sheet!$A:$H,3,FALSE))</f>
        <v>1</v>
      </c>
      <c r="O254" s="31">
        <f>IFERROR(VLOOKUP($D254,bug_conf_sheet!$A:$H,4,FALSE),VLOOKUP("other",bug_conf_sheet!$A:$H,4,FALSE))</f>
        <v>0</v>
      </c>
      <c r="P254" s="31">
        <f>IFERROR(VLOOKUP($D254,bug_conf_sheet!$A:$H,5,FALSE),VLOOKUP("other",bug_conf_sheet!$A:$H,5,FALSE))</f>
        <v>0</v>
      </c>
      <c r="Q254" s="31">
        <f>IFERROR(VLOOKUP($D254,bug_conf_sheet!$A:$H,6,FALSE),VLOOKUP("other",bug_conf_sheet!$A:$H,6,FALSE))</f>
        <v>0</v>
      </c>
      <c r="R254" s="31">
        <f>IFERROR(VLOOKUP($D254,bug_conf_sheet!$A:$H,7,FALSE),VLOOKUP("other",bug_conf_sheet!$A:$H,7,FALSE))</f>
        <v>0</v>
      </c>
      <c r="S254" s="31">
        <f>IFERROR(VLOOKUP($D254,bug_conf_sheet!$A:$H,8,FALSE),VLOOKUP("other",bug_conf_sheet!$A:$H,8,FALSE))</f>
        <v>1</v>
      </c>
    </row>
    <row r="255" spans="1:19" ht="21" customHeight="1">
      <c r="A255" s="2">
        <f>input_5!A$2</f>
        <v>3125</v>
      </c>
      <c r="B255" s="7" t="str">
        <f t="shared" si="10"/>
        <v>PremiumSS5</v>
      </c>
      <c r="C255" s="7" t="str">
        <f t="shared" si="11"/>
        <v>PremiumSS</v>
      </c>
      <c r="D255" s="6">
        <v>677</v>
      </c>
      <c r="E255" s="7" t="str">
        <f>VLOOKUP(D255,[1]characters!$A:$C,3,FALSE)</f>
        <v>武遊闊歩 ヴィシュヌ</v>
      </c>
      <c r="F255" s="7" t="str">
        <f>VLOOKUP(D255,[1]characters!$A:$J,10,FALSE)</f>
        <v>PremiumSS</v>
      </c>
      <c r="G255" s="7">
        <f>VLOOKUP(D255,[1]characters!$A:$I,9,FALSE)</f>
        <v>5</v>
      </c>
      <c r="H255" s="7" t="str">
        <f>VLOOKUP(D255,[1]characters!$A:$H,8,FALSE)</f>
        <v>yellow</v>
      </c>
      <c r="I255" s="7" t="str">
        <f>VLOOKUP(D255,[1]characters!$A:$K,11,FALSE)</f>
        <v>attack</v>
      </c>
      <c r="J255" s="7" t="str">
        <f>VLOOKUP(D255,[1]characters!$A:$M,13,FALSE)</f>
        <v>god</v>
      </c>
      <c r="K255" s="7" t="str">
        <f>VLOOKUP(D255,[1]characters!$A:$G,7,FALSE)</f>
        <v>女性</v>
      </c>
      <c r="L255" s="66">
        <f>IFERROR(VLOOKUP(D255,input_5!L:R,7,FALSE),VLOOKUP(tables_5!B255,input_5!A:H,8,FALSE))</f>
        <v>999</v>
      </c>
      <c r="M255" s="67">
        <f t="shared" si="9"/>
        <v>4.8076923076923077E-5</v>
      </c>
      <c r="N255" s="31">
        <f>IFERROR(VLOOKUP($D255,bug_conf_sheet!$A:$H,3,FALSE),VLOOKUP("other",bug_conf_sheet!$A:$H,3,FALSE))</f>
        <v>1</v>
      </c>
      <c r="O255" s="31">
        <f>IFERROR(VLOOKUP($D255,bug_conf_sheet!$A:$H,4,FALSE),VLOOKUP("other",bug_conf_sheet!$A:$H,4,FALSE))</f>
        <v>0</v>
      </c>
      <c r="P255" s="31">
        <f>IFERROR(VLOOKUP($D255,bug_conf_sheet!$A:$H,5,FALSE),VLOOKUP("other",bug_conf_sheet!$A:$H,5,FALSE))</f>
        <v>0</v>
      </c>
      <c r="Q255" s="31">
        <f>IFERROR(VLOOKUP($D255,bug_conf_sheet!$A:$H,6,FALSE),VLOOKUP("other",bug_conf_sheet!$A:$H,6,FALSE))</f>
        <v>0</v>
      </c>
      <c r="R255" s="31">
        <f>IFERROR(VLOOKUP($D255,bug_conf_sheet!$A:$H,7,FALSE),VLOOKUP("other",bug_conf_sheet!$A:$H,7,FALSE))</f>
        <v>0</v>
      </c>
      <c r="S255" s="31">
        <f>IFERROR(VLOOKUP($D255,bug_conf_sheet!$A:$H,8,FALSE),VLOOKUP("other",bug_conf_sheet!$A:$H,8,FALSE))</f>
        <v>1</v>
      </c>
    </row>
  </sheetData>
  <autoFilter ref="A1:S255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5"/>
  </sheetPr>
  <dimension ref="A1:R43"/>
  <sheetViews>
    <sheetView workbookViewId="0">
      <selection activeCell="A32" sqref="A32"/>
    </sheetView>
  </sheetViews>
  <sheetFormatPr baseColWidth="12" defaultRowHeight="14" x14ac:dyDescent="0"/>
  <sheetData>
    <row r="1" spans="1:18">
      <c r="A1" s="70" t="s">
        <v>103</v>
      </c>
      <c r="B1" s="70"/>
    </row>
    <row r="2" spans="1:18">
      <c r="A2">
        <v>3126</v>
      </c>
    </row>
    <row r="4" spans="1:18">
      <c r="A4" s="48" t="s">
        <v>68</v>
      </c>
      <c r="B4" s="48"/>
    </row>
    <row r="5" spans="1:18">
      <c r="A5" s="46" t="s">
        <v>88</v>
      </c>
      <c r="B5" s="47">
        <f>1-B6-B7</f>
        <v>0</v>
      </c>
    </row>
    <row r="6" spans="1:18">
      <c r="A6" s="46" t="s">
        <v>89</v>
      </c>
      <c r="B6" s="47">
        <v>0.95</v>
      </c>
    </row>
    <row r="7" spans="1:18">
      <c r="A7" s="46" t="s">
        <v>90</v>
      </c>
      <c r="B7" s="47">
        <v>0.05</v>
      </c>
    </row>
    <row r="9" spans="1:18">
      <c r="A9" s="49" t="s">
        <v>69</v>
      </c>
      <c r="B9" s="49"/>
    </row>
    <row r="10" spans="1:18">
      <c r="A10" s="46" t="s">
        <v>118</v>
      </c>
      <c r="B10" s="47">
        <f>1-B11-B12</f>
        <v>0.97</v>
      </c>
    </row>
    <row r="11" spans="1:18">
      <c r="A11" s="46" t="s">
        <v>71</v>
      </c>
      <c r="B11" s="47">
        <v>0.03</v>
      </c>
    </row>
    <row r="12" spans="1:18">
      <c r="A12" s="46" t="s">
        <v>70</v>
      </c>
      <c r="B12" s="47">
        <v>0</v>
      </c>
    </row>
    <row r="15" spans="1:18">
      <c r="A15" s="53" t="s">
        <v>72</v>
      </c>
      <c r="B15" s="53"/>
      <c r="C15" t="s">
        <v>104</v>
      </c>
      <c r="L15" s="55" t="s">
        <v>77</v>
      </c>
      <c r="M15" s="55"/>
    </row>
    <row r="16" spans="1:18">
      <c r="A16" s="46" t="s">
        <v>75</v>
      </c>
      <c r="B16" s="46" t="s">
        <v>76</v>
      </c>
      <c r="C16" s="54" t="s">
        <v>77</v>
      </c>
      <c r="D16" s="54" t="s">
        <v>78</v>
      </c>
      <c r="E16" t="s">
        <v>92</v>
      </c>
      <c r="F16" t="s">
        <v>91</v>
      </c>
      <c r="G16" t="s">
        <v>94</v>
      </c>
      <c r="H16" t="s">
        <v>93</v>
      </c>
      <c r="I16" t="s">
        <v>95</v>
      </c>
      <c r="J16" t="s">
        <v>98</v>
      </c>
      <c r="L16" s="46" t="s">
        <v>32</v>
      </c>
      <c r="M16" s="54" t="s">
        <v>81</v>
      </c>
      <c r="N16" s="46" t="s">
        <v>79</v>
      </c>
      <c r="O16" s="54" t="s">
        <v>82</v>
      </c>
      <c r="P16" s="54" t="s">
        <v>83</v>
      </c>
      <c r="Q16" s="54" t="s">
        <v>80</v>
      </c>
      <c r="R16" s="65" t="s">
        <v>93</v>
      </c>
    </row>
    <row r="17" spans="1:17">
      <c r="A17" s="46" t="s">
        <v>119</v>
      </c>
      <c r="B17" s="50">
        <f>B5</f>
        <v>0</v>
      </c>
      <c r="C17" s="69">
        <f t="shared" ref="C17:C23" si="0">SUMIF(Q:Q,A17,N:N)</f>
        <v>0</v>
      </c>
      <c r="D17" s="62">
        <f t="shared" ref="D17:D24" si="1">B17-C17</f>
        <v>0</v>
      </c>
      <c r="E17">
        <f>COUNTIF(tables_6!B:B,input_6!A17)-COUNTIF(Q:Q,A17)</f>
        <v>74</v>
      </c>
      <c r="F17" s="64">
        <f t="shared" ref="F17:F23" si="2">IFERROR(D17/E17,0)</f>
        <v>0</v>
      </c>
      <c r="G17">
        <f t="shared" ref="G17:G23" si="3">A$32*D17</f>
        <v>0</v>
      </c>
      <c r="H17">
        <f t="shared" ref="H17:H23" si="4">IFERROR(ROUND(G17/E17,5),0)</f>
        <v>0</v>
      </c>
      <c r="I17">
        <f t="shared" ref="I17:I23" si="5">MOD(H17,1)</f>
        <v>0</v>
      </c>
      <c r="J17">
        <f t="shared" ref="J17:J23" si="6">IFERROR(1/I17,1)</f>
        <v>1</v>
      </c>
      <c r="L17" s="46"/>
      <c r="M17" s="54"/>
      <c r="N17" s="52"/>
      <c r="O17" s="54"/>
      <c r="P17" s="54"/>
      <c r="Q17" s="54"/>
    </row>
    <row r="18" spans="1:17">
      <c r="A18" s="46" t="s">
        <v>120</v>
      </c>
      <c r="B18" s="56">
        <f>B6-B19-B20</f>
        <v>0.92149999999999999</v>
      </c>
      <c r="C18" s="69">
        <f t="shared" si="0"/>
        <v>0</v>
      </c>
      <c r="D18" s="62">
        <f t="shared" si="1"/>
        <v>0.92149999999999999</v>
      </c>
      <c r="E18">
        <f>COUNTIF(tables_6!B:B,input_6!A18)-COUNTIF(Q:Q,A18)</f>
        <v>74</v>
      </c>
      <c r="F18" s="64">
        <f t="shared" si="2"/>
        <v>1.2452702702702703E-2</v>
      </c>
      <c r="G18">
        <f t="shared" si="3"/>
        <v>47870082</v>
      </c>
      <c r="H18">
        <f t="shared" si="4"/>
        <v>646893</v>
      </c>
      <c r="I18">
        <f t="shared" si="5"/>
        <v>0</v>
      </c>
      <c r="J18">
        <f t="shared" si="6"/>
        <v>1</v>
      </c>
      <c r="L18" s="46"/>
      <c r="M18" s="54"/>
      <c r="N18" s="52"/>
      <c r="O18" s="54"/>
      <c r="P18" s="54"/>
      <c r="Q18" s="54"/>
    </row>
    <row r="19" spans="1:17">
      <c r="A19" s="46" t="s">
        <v>84</v>
      </c>
      <c r="B19" s="79">
        <f>B6*B11/(B6+B7)</f>
        <v>2.8499999999999998E-2</v>
      </c>
      <c r="C19" s="69">
        <f t="shared" si="0"/>
        <v>0</v>
      </c>
      <c r="D19" s="62">
        <f t="shared" si="1"/>
        <v>2.8499999999999998E-2</v>
      </c>
      <c r="E19">
        <f>COUNTIF(tables_6!B:B,input_6!A19)-COUNTIF(Q:Q,A19)</f>
        <v>26</v>
      </c>
      <c r="F19" s="64">
        <f t="shared" si="2"/>
        <v>1.0961538461538461E-3</v>
      </c>
      <c r="G19">
        <f t="shared" si="3"/>
        <v>1480517.9999999998</v>
      </c>
      <c r="H19">
        <f t="shared" si="4"/>
        <v>56943</v>
      </c>
      <c r="I19">
        <f t="shared" si="5"/>
        <v>0</v>
      </c>
      <c r="J19">
        <f t="shared" si="6"/>
        <v>1</v>
      </c>
      <c r="L19" s="46"/>
      <c r="M19" s="54"/>
      <c r="N19" s="52"/>
      <c r="O19" s="54"/>
      <c r="P19" s="54"/>
      <c r="Q19" s="54"/>
    </row>
    <row r="20" spans="1:17">
      <c r="A20" s="46" t="s">
        <v>85</v>
      </c>
      <c r="B20" s="57">
        <f>B12*B6/(B6+B7)</f>
        <v>0</v>
      </c>
      <c r="C20" s="69">
        <f t="shared" si="0"/>
        <v>0</v>
      </c>
      <c r="D20" s="62">
        <f t="shared" si="1"/>
        <v>0</v>
      </c>
      <c r="E20">
        <f>COUNTIF(tables_6!B:B,input_6!A20)-COUNTIF(Q:Q,A20)</f>
        <v>0</v>
      </c>
      <c r="F20" s="64">
        <f t="shared" si="2"/>
        <v>0</v>
      </c>
      <c r="G20">
        <f t="shared" si="3"/>
        <v>0</v>
      </c>
      <c r="H20">
        <f t="shared" si="4"/>
        <v>0</v>
      </c>
      <c r="I20">
        <f t="shared" si="5"/>
        <v>0</v>
      </c>
      <c r="J20">
        <f t="shared" si="6"/>
        <v>1</v>
      </c>
      <c r="L20" s="46"/>
      <c r="M20" s="54"/>
      <c r="N20" s="52"/>
      <c r="O20" s="54"/>
      <c r="P20" s="54"/>
      <c r="Q20" s="54"/>
    </row>
    <row r="21" spans="1:17">
      <c r="A21" s="46" t="s">
        <v>121</v>
      </c>
      <c r="B21" s="58">
        <f>B7-B22-B23</f>
        <v>4.8500000000000001E-2</v>
      </c>
      <c r="C21" s="69">
        <f t="shared" si="0"/>
        <v>0</v>
      </c>
      <c r="D21" s="62">
        <f t="shared" si="1"/>
        <v>4.8500000000000001E-2</v>
      </c>
      <c r="E21">
        <f>COUNTIF(tables_6!B:B,input_6!A21)-COUNTIF(Q:Q,A21)</f>
        <v>54</v>
      </c>
      <c r="F21" s="64">
        <f t="shared" si="2"/>
        <v>8.9814814814814813E-4</v>
      </c>
      <c r="G21">
        <f t="shared" si="3"/>
        <v>2519478</v>
      </c>
      <c r="H21">
        <f t="shared" si="4"/>
        <v>46657</v>
      </c>
      <c r="I21">
        <f t="shared" si="5"/>
        <v>0</v>
      </c>
      <c r="J21">
        <f t="shared" si="6"/>
        <v>1</v>
      </c>
      <c r="L21" s="46"/>
      <c r="M21" s="54"/>
      <c r="N21" s="46"/>
      <c r="O21" s="54"/>
      <c r="P21" s="54"/>
      <c r="Q21" s="54"/>
    </row>
    <row r="22" spans="1:17">
      <c r="A22" s="46" t="s">
        <v>86</v>
      </c>
      <c r="B22" s="79">
        <f>B7*B11/(B7+B6)</f>
        <v>1.5E-3</v>
      </c>
      <c r="C22" s="69">
        <f t="shared" si="0"/>
        <v>0</v>
      </c>
      <c r="D22" s="62">
        <f t="shared" si="1"/>
        <v>1.5E-3</v>
      </c>
      <c r="E22">
        <f>COUNTIF(tables_6!B:B,input_6!A22)-COUNTIF(Q:Q,A22)</f>
        <v>26</v>
      </c>
      <c r="F22" s="64">
        <f t="shared" si="2"/>
        <v>5.7692307692307691E-5</v>
      </c>
      <c r="G22">
        <f t="shared" si="3"/>
        <v>77922</v>
      </c>
      <c r="H22">
        <f t="shared" si="4"/>
        <v>2997</v>
      </c>
      <c r="I22">
        <f t="shared" si="5"/>
        <v>0</v>
      </c>
      <c r="J22">
        <f t="shared" si="6"/>
        <v>1</v>
      </c>
      <c r="L22" s="46"/>
      <c r="M22" s="54"/>
      <c r="N22" s="46"/>
      <c r="O22" s="54"/>
      <c r="P22" s="54"/>
      <c r="Q22" s="54"/>
    </row>
    <row r="23" spans="1:17">
      <c r="A23" s="46" t="s">
        <v>87</v>
      </c>
      <c r="B23" s="51">
        <f>B12*B7/(B7+B6)</f>
        <v>0</v>
      </c>
      <c r="C23" s="69">
        <f t="shared" si="0"/>
        <v>0</v>
      </c>
      <c r="D23" s="62">
        <f t="shared" si="1"/>
        <v>0</v>
      </c>
      <c r="E23">
        <f>COUNTIF(tables_6!B:B,input_6!A23)-COUNTIF(Q:Q,A23)</f>
        <v>0</v>
      </c>
      <c r="F23" s="64">
        <f t="shared" si="2"/>
        <v>0</v>
      </c>
      <c r="G23">
        <f t="shared" si="3"/>
        <v>0</v>
      </c>
      <c r="H23">
        <f t="shared" si="4"/>
        <v>0</v>
      </c>
      <c r="I23">
        <f t="shared" si="5"/>
        <v>0</v>
      </c>
      <c r="J23">
        <f t="shared" si="6"/>
        <v>1</v>
      </c>
      <c r="L23" s="46"/>
      <c r="M23" s="54"/>
      <c r="N23" s="46"/>
      <c r="O23" s="54"/>
      <c r="P23" s="54"/>
      <c r="Q23" s="54"/>
    </row>
    <row r="24" spans="1:17">
      <c r="A24" s="59" t="s">
        <v>74</v>
      </c>
      <c r="B24" s="60">
        <f>SUM(B17:B23)</f>
        <v>0.99999999999999989</v>
      </c>
      <c r="C24" s="61">
        <f>SUM(C17:C23)</f>
        <v>0</v>
      </c>
      <c r="D24" s="63">
        <f t="shared" si="1"/>
        <v>0.99999999999999989</v>
      </c>
      <c r="L24" s="46"/>
      <c r="M24" s="54"/>
      <c r="N24" s="46"/>
      <c r="O24" s="54"/>
      <c r="P24" s="54"/>
      <c r="Q24" s="54"/>
    </row>
    <row r="31" spans="1:17">
      <c r="A31" t="s">
        <v>93</v>
      </c>
    </row>
    <row r="32" spans="1:17">
      <c r="A32" s="34">
        <f>3000*5.2*9*37*2*5</f>
        <v>51948000</v>
      </c>
    </row>
    <row r="34" spans="1:6">
      <c r="A34" s="68" t="s">
        <v>97</v>
      </c>
    </row>
    <row r="35" spans="1:6">
      <c r="A35" s="46" t="s">
        <v>75</v>
      </c>
      <c r="B35" t="s">
        <v>94</v>
      </c>
      <c r="C35" t="s">
        <v>123</v>
      </c>
      <c r="E35" t="s">
        <v>124</v>
      </c>
    </row>
    <row r="36" spans="1:6">
      <c r="A36" s="46" t="s">
        <v>119</v>
      </c>
      <c r="B36">
        <f>SUMIF(tables_6!B:B,input_6!A36,tables_6!L:L)</f>
        <v>0</v>
      </c>
      <c r="C36" s="77">
        <f>B36/B$43</f>
        <v>0</v>
      </c>
      <c r="E36">
        <v>3</v>
      </c>
      <c r="F36" s="78">
        <f>C36</f>
        <v>0</v>
      </c>
    </row>
    <row r="37" spans="1:6">
      <c r="A37" s="46" t="s">
        <v>120</v>
      </c>
      <c r="B37">
        <f>SUMIF(tables_6!B:B,input_6!A37,tables_6!L:L)</f>
        <v>47870082</v>
      </c>
      <c r="C37" s="77">
        <f t="shared" ref="C37:C42" si="7">B37/B$43</f>
        <v>0.92149999999999999</v>
      </c>
      <c r="E37">
        <v>4</v>
      </c>
      <c r="F37" s="78">
        <f>SUM(C37:C39)</f>
        <v>0.95</v>
      </c>
    </row>
    <row r="38" spans="1:6">
      <c r="A38" s="46" t="s">
        <v>84</v>
      </c>
      <c r="B38">
        <f>SUMIF(tables_6!B:B,input_6!A38,tables_6!L:L)</f>
        <v>1480518</v>
      </c>
      <c r="C38" s="77">
        <f t="shared" si="7"/>
        <v>2.8500000000000001E-2</v>
      </c>
      <c r="E38">
        <v>5</v>
      </c>
      <c r="F38" s="78">
        <f>SUM(C40:C42)</f>
        <v>0.05</v>
      </c>
    </row>
    <row r="39" spans="1:6">
      <c r="A39" s="46" t="s">
        <v>85</v>
      </c>
      <c r="B39">
        <f>SUMIF(tables_6!B:B,input_6!A39,tables_6!L:L)</f>
        <v>0</v>
      </c>
      <c r="C39" s="77">
        <f t="shared" si="7"/>
        <v>0</v>
      </c>
    </row>
    <row r="40" spans="1:6">
      <c r="A40" s="46" t="s">
        <v>122</v>
      </c>
      <c r="B40">
        <f>SUMIF(tables_6!B:B,input_6!A40,tables_6!L:L)</f>
        <v>2519478</v>
      </c>
      <c r="C40" s="77">
        <f t="shared" si="7"/>
        <v>4.8500000000000001E-2</v>
      </c>
      <c r="E40" t="s">
        <v>69</v>
      </c>
    </row>
    <row r="41" spans="1:6">
      <c r="A41" s="46" t="s">
        <v>86</v>
      </c>
      <c r="B41">
        <f>SUMIF(tables_6!B:B,input_6!A41,tables_6!L:L)</f>
        <v>77922</v>
      </c>
      <c r="C41" s="77">
        <f t="shared" si="7"/>
        <v>1.5E-3</v>
      </c>
      <c r="E41" t="s">
        <v>126</v>
      </c>
      <c r="F41" s="78">
        <f>C36+C37+C40</f>
        <v>0.97</v>
      </c>
    </row>
    <row r="42" spans="1:6">
      <c r="A42" s="46" t="s">
        <v>87</v>
      </c>
      <c r="B42">
        <f>SUMIF(tables_6!B:B,input_6!A42,tables_6!L:L)</f>
        <v>0</v>
      </c>
      <c r="C42" s="77">
        <f t="shared" si="7"/>
        <v>0</v>
      </c>
      <c r="E42" t="s">
        <v>127</v>
      </c>
      <c r="F42" s="78">
        <f>C38+C41</f>
        <v>3.0000000000000002E-2</v>
      </c>
    </row>
    <row r="43" spans="1:6">
      <c r="A43" s="59" t="s">
        <v>74</v>
      </c>
      <c r="B43">
        <f>SUM(B36:B42)</f>
        <v>51948000</v>
      </c>
      <c r="E43" t="s">
        <v>128</v>
      </c>
      <c r="F43" s="78">
        <f>C39+C42</f>
        <v>0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S255"/>
  <sheetViews>
    <sheetView showGridLines="0" zoomScale="75" zoomScaleNormal="75" zoomScalePageLayoutView="75" workbookViewId="0">
      <pane ySplit="1" topLeftCell="A2" activePane="bottomLeft" state="frozen"/>
      <selection activeCell="A32" sqref="A32"/>
      <selection pane="bottomLeft" activeCell="A32" sqref="A32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105</v>
      </c>
      <c r="B1" s="3" t="s">
        <v>31</v>
      </c>
      <c r="C1" s="3" t="s">
        <v>117</v>
      </c>
      <c r="D1" s="16" t="s">
        <v>32</v>
      </c>
      <c r="E1" s="3" t="s">
        <v>33</v>
      </c>
      <c r="F1" s="3" t="s">
        <v>34</v>
      </c>
      <c r="G1" s="3" t="s">
        <v>35</v>
      </c>
      <c r="H1" s="3" t="s">
        <v>55</v>
      </c>
      <c r="I1" s="3" t="s">
        <v>36</v>
      </c>
      <c r="J1" s="3" t="s">
        <v>37</v>
      </c>
      <c r="K1" s="3" t="s">
        <v>73</v>
      </c>
      <c r="L1" s="16" t="s">
        <v>39</v>
      </c>
      <c r="M1" s="3" t="s">
        <v>79</v>
      </c>
      <c r="N1" s="16" t="s">
        <v>38</v>
      </c>
      <c r="O1" s="30" t="s">
        <v>5</v>
      </c>
      <c r="P1" s="30" t="s">
        <v>6</v>
      </c>
      <c r="Q1" s="30" t="s">
        <v>7</v>
      </c>
      <c r="R1" s="30" t="s">
        <v>8</v>
      </c>
      <c r="S1" s="30" t="s">
        <v>9</v>
      </c>
    </row>
    <row r="2" spans="1:19" ht="21" customHeight="1">
      <c r="A2" s="2">
        <f>input_6!A$2</f>
        <v>3126</v>
      </c>
      <c r="B2" s="7" t="str">
        <f>C2&amp;G2</f>
        <v>Premium3</v>
      </c>
      <c r="C2" s="7" t="str">
        <f>IF(F2="PremiumSS",F2,IF(F2="PremiumSSS",F2,"Premium"))</f>
        <v>Premium</v>
      </c>
      <c r="D2" s="6">
        <v>126</v>
      </c>
      <c r="E2" s="7" t="str">
        <f>VLOOKUP(D2,[1]characters!$A:$C,3,FALSE)</f>
        <v>骨器使い ユノ</v>
      </c>
      <c r="F2" s="7" t="str">
        <f>VLOOKUP(D2,[1]characters!$A:$J,10,FALSE)</f>
        <v>PremiumW</v>
      </c>
      <c r="G2" s="7">
        <f>VLOOKUP(D2,[1]characters!$A:$I,9,FALSE)</f>
        <v>3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human</v>
      </c>
      <c r="K2" s="7" t="str">
        <f>VLOOKUP(D2,[1]characters!$A:$G,7,FALSE)</f>
        <v>女性</v>
      </c>
      <c r="L2" s="66">
        <f>IFERROR(VLOOKUP(D2,input_6!L:R,7,FALSE),VLOOKUP(tables_6!B2,input_6!A:H,8,FALSE))</f>
        <v>0</v>
      </c>
      <c r="M2" s="67">
        <f t="shared" ref="M2:M65" si="0">L2/SUM(L:L)</f>
        <v>0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customHeight="1">
      <c r="A3" s="2">
        <f>input_6!A$2</f>
        <v>3126</v>
      </c>
      <c r="B3" s="7" t="str">
        <f t="shared" ref="B3:B66" si="1">C3&amp;G3</f>
        <v>Premium4</v>
      </c>
      <c r="C3" s="7" t="str">
        <f t="shared" ref="C3:C66" si="2">IF(F3="PremiumSS",F3,IF(F3="PremiumSSS",F3,"Premium"))</f>
        <v>Premium</v>
      </c>
      <c r="D3" s="6">
        <v>127</v>
      </c>
      <c r="E3" s="7" t="str">
        <f>VLOOKUP(D3,[1]characters!$A:$C,3,FALSE)</f>
        <v>狂喜の賢者 ユノ</v>
      </c>
      <c r="F3" s="7" t="str">
        <f>VLOOKUP(D3,[1]characters!$A:$J,10,FALSE)</f>
        <v>PremiumW</v>
      </c>
      <c r="G3" s="7">
        <f>VLOOKUP(D3,[1]characters!$A:$I,9,FALSE)</f>
        <v>4</v>
      </c>
      <c r="H3" s="7" t="str">
        <f>VLOOKUP(D3,[1]characters!$A:$H,8,FALSE)</f>
        <v>red</v>
      </c>
      <c r="I3" s="7" t="str">
        <f>VLOOKUP(D3,[1]characters!$A:$K,11,FALSE)</f>
        <v>attack</v>
      </c>
      <c r="J3" s="7" t="str">
        <f>VLOOKUP(D3,[1]characters!$A:$M,13,FALSE)</f>
        <v>human</v>
      </c>
      <c r="K3" s="7" t="str">
        <f>VLOOKUP(D3,[1]characters!$A:$G,7,FALSE)</f>
        <v>女性</v>
      </c>
      <c r="L3" s="66">
        <f>IFERROR(VLOOKUP(D3,input_6!L:R,7,FALSE),VLOOKUP(tables_6!B3,input_6!A:H,8,FALSE))</f>
        <v>646893</v>
      </c>
      <c r="M3" s="67">
        <f t="shared" si="0"/>
        <v>1.2452702702702703E-2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customHeight="1">
      <c r="A4" s="2">
        <f>input_6!A$2</f>
        <v>3126</v>
      </c>
      <c r="B4" s="7" t="str">
        <f t="shared" si="1"/>
        <v>Premium3</v>
      </c>
      <c r="C4" s="7" t="str">
        <f t="shared" si="2"/>
        <v>Premium</v>
      </c>
      <c r="D4" s="6">
        <v>128</v>
      </c>
      <c r="E4" s="7" t="str">
        <f>VLOOKUP(D4,[1]characters!$A:$C,3,FALSE)</f>
        <v>野生児 アマラ</v>
      </c>
      <c r="F4" s="7" t="str">
        <f>VLOOKUP(D4,[1]characters!$A:$J,10,FALSE)</f>
        <v>PremiumW</v>
      </c>
      <c r="G4" s="7">
        <f>VLOOKUP(D4,[1]characters!$A:$I,9,FALSE)</f>
        <v>3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66">
        <f>IFERROR(VLOOKUP(D4,input_6!L:R,7,FALSE),VLOOKUP(tables_6!B4,input_6!A:H,8,FALSE))</f>
        <v>0</v>
      </c>
      <c r="M4" s="67">
        <f t="shared" si="0"/>
        <v>0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customHeight="1">
      <c r="A5" s="2">
        <f>input_6!A$2</f>
        <v>3126</v>
      </c>
      <c r="B5" s="7" t="str">
        <f t="shared" si="1"/>
        <v>Premium4</v>
      </c>
      <c r="C5" s="7" t="str">
        <f t="shared" si="2"/>
        <v>Premium</v>
      </c>
      <c r="D5" s="6">
        <v>129</v>
      </c>
      <c r="E5" s="7" t="str">
        <f>VLOOKUP(D5,[1]characters!$A:$C,3,FALSE)</f>
        <v>孤高の狼憑き アマラ</v>
      </c>
      <c r="F5" s="7" t="str">
        <f>VLOOKUP(D5,[1]characters!$A:$J,10,FALSE)</f>
        <v>PremiumW</v>
      </c>
      <c r="G5" s="7">
        <f>VLOOKUP(D5,[1]characters!$A:$I,9,FALSE)</f>
        <v>4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66">
        <f>IFERROR(VLOOKUP(D5,input_6!L:R,7,FALSE),VLOOKUP(tables_6!B5,input_6!A:H,8,FALSE))</f>
        <v>646893</v>
      </c>
      <c r="M5" s="67">
        <f t="shared" si="0"/>
        <v>1.2452702702702703E-2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customHeight="1">
      <c r="A6" s="2">
        <f>input_6!A$2</f>
        <v>3126</v>
      </c>
      <c r="B6" s="7" t="str">
        <f t="shared" si="1"/>
        <v>Premium3</v>
      </c>
      <c r="C6" s="7" t="str">
        <f t="shared" si="2"/>
        <v>Premium</v>
      </c>
      <c r="D6" s="6">
        <v>130</v>
      </c>
      <c r="E6" s="7" t="str">
        <f>VLOOKUP(D6,[1]characters!$A:$C,3,FALSE)</f>
        <v>狼男 ローレンス</v>
      </c>
      <c r="F6" s="7" t="str">
        <f>VLOOKUP(D6,[1]characters!$A:$J,10,FALSE)</f>
        <v>PremiumW</v>
      </c>
      <c r="G6" s="7">
        <f>VLOOKUP(D6,[1]characters!$A:$I,9,FALSE)</f>
        <v>3</v>
      </c>
      <c r="H6" s="7" t="str">
        <f>VLOOKUP(D6,[1]characters!$A:$H,8,FALSE)</f>
        <v>blue</v>
      </c>
      <c r="I6" s="7" t="str">
        <f>VLOOKUP(D6,[1]characters!$A:$K,11,FALSE)</f>
        <v>attack</v>
      </c>
      <c r="J6" s="7" t="str">
        <f>VLOOKUP(D6,[1]characters!$A:$M,13,FALSE)</f>
        <v>animal</v>
      </c>
      <c r="K6" s="7" t="str">
        <f>VLOOKUP(D6,[1]characters!$A:$G,7,FALSE)</f>
        <v>不明</v>
      </c>
      <c r="L6" s="66">
        <f>IFERROR(VLOOKUP(D6,input_6!L:R,7,FALSE),VLOOKUP(tables_6!B6,input_6!A:H,8,FALSE))</f>
        <v>0</v>
      </c>
      <c r="M6" s="67">
        <f t="shared" si="0"/>
        <v>0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customHeight="1">
      <c r="A7" s="2">
        <f>input_6!A$2</f>
        <v>3126</v>
      </c>
      <c r="B7" s="7" t="str">
        <f t="shared" si="1"/>
        <v>Premium4</v>
      </c>
      <c r="C7" s="7" t="str">
        <f t="shared" si="2"/>
        <v>Premium</v>
      </c>
      <c r="D7" s="6">
        <v>131</v>
      </c>
      <c r="E7" s="7" t="str">
        <f>VLOOKUP(D7,[1]characters!$A:$C,3,FALSE)</f>
        <v>月下の人狼 ローレンス</v>
      </c>
      <c r="F7" s="7" t="str">
        <f>VLOOKUP(D7,[1]characters!$A:$J,10,FALSE)</f>
        <v>PremiumW</v>
      </c>
      <c r="G7" s="7">
        <f>VLOOKUP(D7,[1]characters!$A:$I,9,FALSE)</f>
        <v>4</v>
      </c>
      <c r="H7" s="7" t="str">
        <f>VLOOKUP(D7,[1]characters!$A:$H,8,FALSE)</f>
        <v>blue</v>
      </c>
      <c r="I7" s="7" t="str">
        <f>VLOOKUP(D7,[1]characters!$A:$K,11,FALSE)</f>
        <v>attack</v>
      </c>
      <c r="J7" s="7" t="str">
        <f>VLOOKUP(D7,[1]characters!$A:$M,13,FALSE)</f>
        <v>animal</v>
      </c>
      <c r="K7" s="7" t="str">
        <f>VLOOKUP(D7,[1]characters!$A:$G,7,FALSE)</f>
        <v>不明</v>
      </c>
      <c r="L7" s="66">
        <f>IFERROR(VLOOKUP(D7,input_6!L:R,7,FALSE),VLOOKUP(tables_6!B7,input_6!A:H,8,FALSE))</f>
        <v>646893</v>
      </c>
      <c r="M7" s="67">
        <f t="shared" si="0"/>
        <v>1.2452702702702703E-2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customHeight="1">
      <c r="A8" s="2">
        <f>input_6!A$2</f>
        <v>3126</v>
      </c>
      <c r="B8" s="7" t="str">
        <f t="shared" si="1"/>
        <v>Premium3</v>
      </c>
      <c r="C8" s="7" t="str">
        <f t="shared" si="2"/>
        <v>Premium</v>
      </c>
      <c r="D8" s="6">
        <v>132</v>
      </c>
      <c r="E8" s="7" t="str">
        <f>VLOOKUP(D8,[1]characters!$A:$C,3,FALSE)</f>
        <v>鳥人ハヤト</v>
      </c>
      <c r="F8" s="7" t="str">
        <f>VLOOKUP(D8,[1]characters!$A:$J,10,FALSE)</f>
        <v>PremiumW</v>
      </c>
      <c r="G8" s="7">
        <f>VLOOKUP(D8,[1]characters!$A:$I,9,FALSE)</f>
        <v>3</v>
      </c>
      <c r="H8" s="7" t="str">
        <f>VLOOKUP(D8,[1]characters!$A:$H,8,FALSE)</f>
        <v>yellow</v>
      </c>
      <c r="I8" s="7" t="str">
        <f>VLOOKUP(D8,[1]characters!$A:$K,11,FALSE)</f>
        <v>attack</v>
      </c>
      <c r="J8" s="7" t="str">
        <f>VLOOKUP(D8,[1]characters!$A:$M,13,FALSE)</f>
        <v>human</v>
      </c>
      <c r="K8" s="7" t="str">
        <f>VLOOKUP(D8,[1]characters!$A:$G,7,FALSE)</f>
        <v>男性</v>
      </c>
      <c r="L8" s="66">
        <f>IFERROR(VLOOKUP(D8,input_6!L:R,7,FALSE),VLOOKUP(tables_6!B8,input_6!A:H,8,FALSE))</f>
        <v>0</v>
      </c>
      <c r="M8" s="67">
        <f t="shared" si="0"/>
        <v>0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customHeight="1">
      <c r="A9" s="2">
        <f>input_6!A$2</f>
        <v>3126</v>
      </c>
      <c r="B9" s="7" t="str">
        <f t="shared" si="1"/>
        <v>Premium4</v>
      </c>
      <c r="C9" s="7" t="str">
        <f t="shared" si="2"/>
        <v>Premium</v>
      </c>
      <c r="D9" s="6">
        <v>133</v>
      </c>
      <c r="E9" s="7" t="str">
        <f>VLOOKUP(D9,[1]characters!$A:$C,3,FALSE)</f>
        <v>迅雷の刀剣 ハヤト</v>
      </c>
      <c r="F9" s="7" t="str">
        <f>VLOOKUP(D9,[1]characters!$A:$J,10,FALSE)</f>
        <v>PremiumW</v>
      </c>
      <c r="G9" s="7">
        <f>VLOOKUP(D9,[1]characters!$A:$I,9,FALSE)</f>
        <v>4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human</v>
      </c>
      <c r="K9" s="7" t="str">
        <f>VLOOKUP(D9,[1]characters!$A:$G,7,FALSE)</f>
        <v>男性</v>
      </c>
      <c r="L9" s="66">
        <f>IFERROR(VLOOKUP(D9,input_6!L:R,7,FALSE),VLOOKUP(tables_6!B9,input_6!A:H,8,FALSE))</f>
        <v>646893</v>
      </c>
      <c r="M9" s="67">
        <f t="shared" si="0"/>
        <v>1.2452702702702703E-2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customHeight="1">
      <c r="A10" s="2">
        <f>input_6!A$2</f>
        <v>3126</v>
      </c>
      <c r="B10" s="7" t="str">
        <f t="shared" si="1"/>
        <v>Premium3</v>
      </c>
      <c r="C10" s="7" t="str">
        <f t="shared" si="2"/>
        <v>Premium</v>
      </c>
      <c r="D10" s="6">
        <v>134</v>
      </c>
      <c r="E10" s="7" t="str">
        <f>VLOOKUP(D10,[1]characters!$A:$C,3,FALSE)</f>
        <v>妖炎の夕霧</v>
      </c>
      <c r="F10" s="7" t="str">
        <f>VLOOKUP(D10,[1]characters!$A:$J,10,FALSE)</f>
        <v>PremiumW</v>
      </c>
      <c r="G10" s="7">
        <f>VLOOKUP(D10,[1]characters!$A:$I,9,FALSE)</f>
        <v>3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66">
        <f>IFERROR(VLOOKUP(D10,input_6!L:R,7,FALSE),VLOOKUP(tables_6!B10,input_6!A:H,8,FALSE))</f>
        <v>0</v>
      </c>
      <c r="M10" s="67">
        <f t="shared" si="0"/>
        <v>0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customHeight="1">
      <c r="A11" s="2">
        <f>input_6!A$2</f>
        <v>3126</v>
      </c>
      <c r="B11" s="7" t="str">
        <f t="shared" si="1"/>
        <v>Premium4</v>
      </c>
      <c r="C11" s="7" t="str">
        <f t="shared" si="2"/>
        <v>Premium</v>
      </c>
      <c r="D11" s="6">
        <v>135</v>
      </c>
      <c r="E11" s="7" t="str">
        <f>VLOOKUP(D11,[1]characters!$A:$C,3,FALSE)</f>
        <v>京の炎華夕霧</v>
      </c>
      <c r="F11" s="7" t="str">
        <f>VLOOKUP(D11,[1]characters!$A:$J,10,FALSE)</f>
        <v>PremiumW</v>
      </c>
      <c r="G11" s="7">
        <f>VLOOKUP(D11,[1]characters!$A:$I,9,FALSE)</f>
        <v>4</v>
      </c>
      <c r="H11" s="7" t="str">
        <f>VLOOKUP(D11,[1]characters!$A:$H,8,FALSE)</f>
        <v>red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66">
        <f>IFERROR(VLOOKUP(D11,input_6!L:R,7,FALSE),VLOOKUP(tables_6!B11,input_6!A:H,8,FALSE))</f>
        <v>646893</v>
      </c>
      <c r="M11" s="67">
        <f t="shared" si="0"/>
        <v>1.2452702702702703E-2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customHeight="1">
      <c r="A12" s="2">
        <f>input_6!A$2</f>
        <v>3126</v>
      </c>
      <c r="B12" s="7" t="str">
        <f t="shared" si="1"/>
        <v>Premium3</v>
      </c>
      <c r="C12" s="7" t="str">
        <f t="shared" si="2"/>
        <v>Premium</v>
      </c>
      <c r="D12" s="8">
        <v>136</v>
      </c>
      <c r="E12" s="7" t="str">
        <f>VLOOKUP(D12,[1]characters!$A:$C,3,FALSE)</f>
        <v>お針子チハヤ</v>
      </c>
      <c r="F12" s="7" t="str">
        <f>VLOOKUP(D12,[1]characters!$A:$J,10,FALSE)</f>
        <v>PremiumW</v>
      </c>
      <c r="G12" s="7">
        <f>VLOOKUP(D12,[1]characters!$A:$I,9,FALSE)</f>
        <v>3</v>
      </c>
      <c r="H12" s="7" t="str">
        <f>VLOOKUP(D12,[1]characters!$A:$H,8,FALSE)</f>
        <v>green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66">
        <f>IFERROR(VLOOKUP(D12,input_6!L:R,7,FALSE),VLOOKUP(tables_6!B12,input_6!A:H,8,FALSE))</f>
        <v>0</v>
      </c>
      <c r="M12" s="67">
        <f t="shared" si="0"/>
        <v>0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customHeight="1">
      <c r="A13" s="2">
        <f>input_6!A$2</f>
        <v>3126</v>
      </c>
      <c r="B13" s="7" t="str">
        <f t="shared" si="1"/>
        <v>Premium4</v>
      </c>
      <c r="C13" s="7" t="str">
        <f t="shared" si="2"/>
        <v>Premium</v>
      </c>
      <c r="D13" s="8">
        <v>137</v>
      </c>
      <c r="E13" s="7" t="str">
        <f>VLOOKUP(D13,[1]characters!$A:$C,3,FALSE)</f>
        <v>清福の仕立屋 チハヤ</v>
      </c>
      <c r="F13" s="7" t="str">
        <f>VLOOKUP(D13,[1]characters!$A:$J,10,FALSE)</f>
        <v>PremiumW</v>
      </c>
      <c r="G13" s="7">
        <f>VLOOKUP(D13,[1]characters!$A:$I,9,FALSE)</f>
        <v>4</v>
      </c>
      <c r="H13" s="7" t="str">
        <f>VLOOKUP(D13,[1]characters!$A:$H,8,FALSE)</f>
        <v>green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女性</v>
      </c>
      <c r="L13" s="66">
        <f>IFERROR(VLOOKUP(D13,input_6!L:R,7,FALSE),VLOOKUP(tables_6!B13,input_6!A:H,8,FALSE))</f>
        <v>646893</v>
      </c>
      <c r="M13" s="67">
        <f t="shared" si="0"/>
        <v>1.2452702702702703E-2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customHeight="1">
      <c r="A14" s="2">
        <f>input_6!A$2</f>
        <v>3126</v>
      </c>
      <c r="B14" s="7" t="str">
        <f t="shared" si="1"/>
        <v>Premium3</v>
      </c>
      <c r="C14" s="7" t="str">
        <f t="shared" si="2"/>
        <v>Premium</v>
      </c>
      <c r="D14" s="6">
        <v>138</v>
      </c>
      <c r="E14" s="7" t="str">
        <f>VLOOKUP(D14,[1]characters!$A:$C,3,FALSE)</f>
        <v>蒼薙のトモエ</v>
      </c>
      <c r="F14" s="7" t="str">
        <f>VLOOKUP(D14,[1]characters!$A:$J,10,FALSE)</f>
        <v>PremiumW</v>
      </c>
      <c r="G14" s="7">
        <f>VLOOKUP(D14,[1]characters!$A:$I,9,FALSE)</f>
        <v>3</v>
      </c>
      <c r="H14" s="7" t="str">
        <f>VLOOKUP(D14,[1]characters!$A:$H,8,FALSE)</f>
        <v>blue</v>
      </c>
      <c r="I14" s="7" t="str">
        <f>VLOOKUP(D14,[1]characters!$A:$K,11,FALSE)</f>
        <v>balance</v>
      </c>
      <c r="J14" s="7" t="str">
        <f>VLOOKUP(D14,[1]characters!$A:$M,13,FALSE)</f>
        <v>human</v>
      </c>
      <c r="K14" s="7" t="str">
        <f>VLOOKUP(D14,[1]characters!$A:$G,7,FALSE)</f>
        <v>女性</v>
      </c>
      <c r="L14" s="66">
        <f>IFERROR(VLOOKUP(D14,input_6!L:R,7,FALSE),VLOOKUP(tables_6!B14,input_6!A:H,8,FALSE))</f>
        <v>0</v>
      </c>
      <c r="M14" s="67">
        <f t="shared" si="0"/>
        <v>0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customHeight="1">
      <c r="A15" s="2">
        <f>input_6!A$2</f>
        <v>3126</v>
      </c>
      <c r="B15" s="7" t="str">
        <f t="shared" si="1"/>
        <v>Premium4</v>
      </c>
      <c r="C15" s="7" t="str">
        <f t="shared" si="2"/>
        <v>Premium</v>
      </c>
      <c r="D15" s="6">
        <v>139</v>
      </c>
      <c r="E15" s="7" t="str">
        <f>VLOOKUP(D15,[1]characters!$A:$C,3,FALSE)</f>
        <v>蒼昇刃姫 トモエ</v>
      </c>
      <c r="F15" s="7" t="str">
        <f>VLOOKUP(D15,[1]characters!$A:$J,10,FALSE)</f>
        <v>PremiumW</v>
      </c>
      <c r="G15" s="7">
        <f>VLOOKUP(D15,[1]characters!$A:$I,9,FALSE)</f>
        <v>4</v>
      </c>
      <c r="H15" s="7" t="str">
        <f>VLOOKUP(D15,[1]characters!$A:$H,8,FALSE)</f>
        <v>blue</v>
      </c>
      <c r="I15" s="7" t="str">
        <f>VLOOKUP(D15,[1]characters!$A:$K,11,FALSE)</f>
        <v>balance</v>
      </c>
      <c r="J15" s="7" t="str">
        <f>VLOOKUP(D15,[1]characters!$A:$M,13,FALSE)</f>
        <v>human</v>
      </c>
      <c r="K15" s="7" t="str">
        <f>VLOOKUP(D15,[1]characters!$A:$G,7,FALSE)</f>
        <v>女性</v>
      </c>
      <c r="L15" s="66">
        <f>IFERROR(VLOOKUP(D15,input_6!L:R,7,FALSE),VLOOKUP(tables_6!B15,input_6!A:H,8,FALSE))</f>
        <v>646893</v>
      </c>
      <c r="M15" s="67">
        <f t="shared" si="0"/>
        <v>1.2452702702702703E-2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customHeight="1">
      <c r="A16" s="2">
        <f>input_6!A$2</f>
        <v>3126</v>
      </c>
      <c r="B16" s="7" t="str">
        <f t="shared" si="1"/>
        <v>Premium3</v>
      </c>
      <c r="C16" s="7" t="str">
        <f t="shared" si="2"/>
        <v>Premium</v>
      </c>
      <c r="D16" s="10">
        <v>140</v>
      </c>
      <c r="E16" s="7" t="str">
        <f>VLOOKUP(D16,[1]characters!$A:$C,3,FALSE)</f>
        <v>秋祭のタマモ</v>
      </c>
      <c r="F16" s="7" t="str">
        <f>VLOOKUP(D16,[1]characters!$A:$J,10,FALSE)</f>
        <v>PremiumW</v>
      </c>
      <c r="G16" s="7">
        <f>VLOOKUP(D16,[1]characters!$A:$I,9,FALSE)</f>
        <v>3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animal</v>
      </c>
      <c r="K16" s="7" t="str">
        <f>VLOOKUP(D16,[1]characters!$A:$G,7,FALSE)</f>
        <v>女性</v>
      </c>
      <c r="L16" s="66">
        <f>IFERROR(VLOOKUP(D16,input_6!L:R,7,FALSE),VLOOKUP(tables_6!B16,input_6!A:H,8,FALSE))</f>
        <v>0</v>
      </c>
      <c r="M16" s="67">
        <f t="shared" si="0"/>
        <v>0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customHeight="1">
      <c r="A17" s="2">
        <f>input_6!A$2</f>
        <v>3126</v>
      </c>
      <c r="B17" s="7" t="str">
        <f t="shared" si="1"/>
        <v>Premium4</v>
      </c>
      <c r="C17" s="7" t="str">
        <f t="shared" si="2"/>
        <v>Premium</v>
      </c>
      <c r="D17" s="11">
        <v>141</v>
      </c>
      <c r="E17" s="7" t="str">
        <f>VLOOKUP(D17,[1]characters!$A:$C,3,FALSE)</f>
        <v>妖狐演舞 タマモ</v>
      </c>
      <c r="F17" s="7" t="str">
        <f>VLOOKUP(D17,[1]characters!$A:$J,10,FALSE)</f>
        <v>PremiumW</v>
      </c>
      <c r="G17" s="7">
        <f>VLOOKUP(D17,[1]characters!$A:$I,9,FALSE)</f>
        <v>4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animal</v>
      </c>
      <c r="K17" s="7" t="str">
        <f>VLOOKUP(D17,[1]characters!$A:$G,7,FALSE)</f>
        <v>女性</v>
      </c>
      <c r="L17" s="66">
        <f>IFERROR(VLOOKUP(D17,input_6!L:R,7,FALSE),VLOOKUP(tables_6!B17,input_6!A:H,8,FALSE))</f>
        <v>646893</v>
      </c>
      <c r="M17" s="67">
        <f t="shared" si="0"/>
        <v>1.2452702702702703E-2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customHeight="1">
      <c r="A18" s="2">
        <f>input_6!A$2</f>
        <v>3126</v>
      </c>
      <c r="B18" s="7" t="str">
        <f t="shared" si="1"/>
        <v>Premium3</v>
      </c>
      <c r="C18" s="7" t="str">
        <f t="shared" si="2"/>
        <v>Premium</v>
      </c>
      <c r="D18" s="6">
        <v>142</v>
      </c>
      <c r="E18" s="7" t="str">
        <f>VLOOKUP(D18,[1]characters!$A:$C,3,FALSE)</f>
        <v>赤ずきん</v>
      </c>
      <c r="F18" s="7" t="str">
        <f>VLOOKUP(D18,[1]characters!$A:$J,10,FALSE)</f>
        <v>PremiumW</v>
      </c>
      <c r="G18" s="7">
        <f>VLOOKUP(D18,[1]characters!$A:$I,9,FALSE)</f>
        <v>3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human</v>
      </c>
      <c r="K18" s="7" t="str">
        <f>VLOOKUP(D18,[1]characters!$A:$G,7,FALSE)</f>
        <v>女性</v>
      </c>
      <c r="L18" s="66">
        <f>IFERROR(VLOOKUP(D18,input_6!L:R,7,FALSE),VLOOKUP(tables_6!B18,input_6!A:H,8,FALSE))</f>
        <v>0</v>
      </c>
      <c r="M18" s="67">
        <f t="shared" si="0"/>
        <v>0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s="12" customFormat="1" ht="21" customHeight="1" thickBot="1">
      <c r="A19" s="2">
        <f>input_6!A$2</f>
        <v>3126</v>
      </c>
      <c r="B19" s="7" t="str">
        <f t="shared" si="1"/>
        <v>Premium4</v>
      </c>
      <c r="C19" s="7" t="str">
        <f t="shared" si="2"/>
        <v>Premium</v>
      </c>
      <c r="D19" s="6">
        <v>143</v>
      </c>
      <c r="E19" s="7" t="str">
        <f>VLOOKUP(D19,[1]characters!$A:$C,3,FALSE)</f>
        <v>深紅の死神 赤ずきん</v>
      </c>
      <c r="F19" s="7" t="str">
        <f>VLOOKUP(D19,[1]characters!$A:$J,10,FALSE)</f>
        <v>PremiumW</v>
      </c>
      <c r="G19" s="7">
        <f>VLOOKUP(D19,[1]characters!$A:$I,9,FALSE)</f>
        <v>4</v>
      </c>
      <c r="H19" s="7" t="str">
        <f>VLOOKUP(D19,[1]characters!$A:$H,8,FALSE)</f>
        <v>red</v>
      </c>
      <c r="I19" s="7" t="str">
        <f>VLOOKUP(D19,[1]characters!$A:$K,11,FALSE)</f>
        <v>balance</v>
      </c>
      <c r="J19" s="7" t="str">
        <f>VLOOKUP(D19,[1]characters!$A:$M,13,FALSE)</f>
        <v>human</v>
      </c>
      <c r="K19" s="7" t="str">
        <f>VLOOKUP(D19,[1]characters!$A:$G,7,FALSE)</f>
        <v>女性</v>
      </c>
      <c r="L19" s="66">
        <f>IFERROR(VLOOKUP(D19,input_6!L:R,7,FALSE),VLOOKUP(tables_6!B19,input_6!A:H,8,FALSE))</f>
        <v>646893</v>
      </c>
      <c r="M19" s="67">
        <f t="shared" si="0"/>
        <v>1.2452702702702703E-2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customHeight="1">
      <c r="A20" s="2">
        <f>input_6!A$2</f>
        <v>3126</v>
      </c>
      <c r="B20" s="7" t="str">
        <f t="shared" si="1"/>
        <v>Premium3</v>
      </c>
      <c r="C20" s="7" t="str">
        <f t="shared" si="2"/>
        <v>Premium</v>
      </c>
      <c r="D20" s="10">
        <v>144</v>
      </c>
      <c r="E20" s="7" t="str">
        <f>VLOOKUP(D20,[1]characters!$A:$C,3,FALSE)</f>
        <v>かぐや</v>
      </c>
      <c r="F20" s="7" t="str">
        <f>VLOOKUP(D20,[1]characters!$A:$J,10,FALSE)</f>
        <v>PremiumW</v>
      </c>
      <c r="G20" s="7">
        <f>VLOOKUP(D20,[1]characters!$A:$I,9,FALSE)</f>
        <v>3</v>
      </c>
      <c r="H20" s="7" t="str">
        <f>VLOOKUP(D20,[1]characters!$A:$H,8,FALSE)</f>
        <v>green</v>
      </c>
      <c r="I20" s="7" t="str">
        <f>VLOOKUP(D20,[1]characters!$A:$K,11,FALSE)</f>
        <v>hp</v>
      </c>
      <c r="J20" s="7" t="str">
        <f>VLOOKUP(D20,[1]characters!$A:$M,13,FALSE)</f>
        <v>human</v>
      </c>
      <c r="K20" s="7" t="str">
        <f>VLOOKUP(D20,[1]characters!$A:$G,7,FALSE)</f>
        <v>女性</v>
      </c>
      <c r="L20" s="66">
        <f>IFERROR(VLOOKUP(D20,input_6!L:R,7,FALSE),VLOOKUP(tables_6!B20,input_6!A:H,8,FALSE))</f>
        <v>0</v>
      </c>
      <c r="M20" s="67">
        <f t="shared" si="0"/>
        <v>0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customHeight="1">
      <c r="A21" s="2">
        <f>input_6!A$2</f>
        <v>3126</v>
      </c>
      <c r="B21" s="7" t="str">
        <f t="shared" si="1"/>
        <v>Premium4</v>
      </c>
      <c r="C21" s="7" t="str">
        <f t="shared" si="2"/>
        <v>Premium</v>
      </c>
      <c r="D21" s="6">
        <v>145</v>
      </c>
      <c r="E21" s="7" t="str">
        <f>VLOOKUP(D21,[1]characters!$A:$C,3,FALSE)</f>
        <v>魔性妖艶 かぐや</v>
      </c>
      <c r="F21" s="7" t="str">
        <f>VLOOKUP(D21,[1]characters!$A:$J,10,FALSE)</f>
        <v>PremiumW</v>
      </c>
      <c r="G21" s="7">
        <f>VLOOKUP(D21,[1]characters!$A:$I,9,FALSE)</f>
        <v>4</v>
      </c>
      <c r="H21" s="7" t="str">
        <f>VLOOKUP(D21,[1]characters!$A:$H,8,FALSE)</f>
        <v>green</v>
      </c>
      <c r="I21" s="7" t="str">
        <f>VLOOKUP(D21,[1]characters!$A:$K,11,FALSE)</f>
        <v>hp</v>
      </c>
      <c r="J21" s="7" t="str">
        <f>VLOOKUP(D21,[1]characters!$A:$M,13,FALSE)</f>
        <v>human</v>
      </c>
      <c r="K21" s="7" t="str">
        <f>VLOOKUP(D21,[1]characters!$A:$G,7,FALSE)</f>
        <v>女性</v>
      </c>
      <c r="L21" s="66">
        <f>IFERROR(VLOOKUP(D21,input_6!L:R,7,FALSE),VLOOKUP(tables_6!B21,input_6!A:H,8,FALSE))</f>
        <v>646893</v>
      </c>
      <c r="M21" s="67">
        <f t="shared" si="0"/>
        <v>1.2452702702702703E-2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customHeight="1">
      <c r="A22" s="2">
        <f>input_6!A$2</f>
        <v>3126</v>
      </c>
      <c r="B22" s="7" t="str">
        <f t="shared" si="1"/>
        <v>Premium3</v>
      </c>
      <c r="C22" s="7" t="str">
        <f t="shared" si="2"/>
        <v>Premium</v>
      </c>
      <c r="D22" s="6">
        <v>146</v>
      </c>
      <c r="E22" s="7" t="str">
        <f>VLOOKUP(D22,[1]characters!$A:$C,3,FALSE)</f>
        <v>マーメイド</v>
      </c>
      <c r="F22" s="7" t="str">
        <f>VLOOKUP(D22,[1]characters!$A:$J,10,FALSE)</f>
        <v>PremiumW</v>
      </c>
      <c r="G22" s="7">
        <f>VLOOKUP(D22,[1]characters!$A:$I,9,FALSE)</f>
        <v>3</v>
      </c>
      <c r="H22" s="7" t="str">
        <f>VLOOKUP(D22,[1]characters!$A:$H,8,FALSE)</f>
        <v>blue</v>
      </c>
      <c r="I22" s="7" t="str">
        <f>VLOOKUP(D22,[1]characters!$A:$K,11,FALSE)</f>
        <v>hp</v>
      </c>
      <c r="J22" s="7" t="str">
        <f>VLOOKUP(D22,[1]characters!$A:$M,13,FALSE)</f>
        <v>human</v>
      </c>
      <c r="K22" s="7" t="str">
        <f>VLOOKUP(D22,[1]characters!$A:$G,7,FALSE)</f>
        <v>女性</v>
      </c>
      <c r="L22" s="66">
        <f>IFERROR(VLOOKUP(D22,input_6!L:R,7,FALSE),VLOOKUP(tables_6!B22,input_6!A:H,8,FALSE))</f>
        <v>0</v>
      </c>
      <c r="M22" s="67">
        <f t="shared" si="0"/>
        <v>0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customHeight="1">
      <c r="A23" s="2">
        <f>input_6!A$2</f>
        <v>3126</v>
      </c>
      <c r="B23" s="7" t="str">
        <f t="shared" si="1"/>
        <v>Premium4</v>
      </c>
      <c r="C23" s="7" t="str">
        <f t="shared" si="2"/>
        <v>Premium</v>
      </c>
      <c r="D23" s="6">
        <v>147</v>
      </c>
      <c r="E23" s="7" t="str">
        <f>VLOOKUP(D23,[1]characters!$A:$C,3,FALSE)</f>
        <v>蒼き閃光 元マーメイド</v>
      </c>
      <c r="F23" s="7" t="str">
        <f>VLOOKUP(D23,[1]characters!$A:$J,10,FALSE)</f>
        <v>PremiumW</v>
      </c>
      <c r="G23" s="7">
        <f>VLOOKUP(D23,[1]characters!$A:$I,9,FALSE)</f>
        <v>4</v>
      </c>
      <c r="H23" s="7" t="str">
        <f>VLOOKUP(D23,[1]characters!$A:$H,8,FALSE)</f>
        <v>blue</v>
      </c>
      <c r="I23" s="7" t="str">
        <f>VLOOKUP(D23,[1]characters!$A:$K,11,FALSE)</f>
        <v>hp</v>
      </c>
      <c r="J23" s="7" t="str">
        <f>VLOOKUP(D23,[1]characters!$A:$M,13,FALSE)</f>
        <v>human</v>
      </c>
      <c r="K23" s="7" t="str">
        <f>VLOOKUP(D23,[1]characters!$A:$G,7,FALSE)</f>
        <v>女性</v>
      </c>
      <c r="L23" s="66">
        <f>IFERROR(VLOOKUP(D23,input_6!L:R,7,FALSE),VLOOKUP(tables_6!B23,input_6!A:H,8,FALSE))</f>
        <v>646893</v>
      </c>
      <c r="M23" s="67">
        <f t="shared" si="0"/>
        <v>1.2452702702702703E-2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customHeight="1">
      <c r="A24" s="2">
        <f>input_6!A$2</f>
        <v>3126</v>
      </c>
      <c r="B24" s="7" t="str">
        <f t="shared" si="1"/>
        <v>Premium3</v>
      </c>
      <c r="C24" s="7" t="str">
        <f t="shared" si="2"/>
        <v>Premium</v>
      </c>
      <c r="D24" s="6">
        <v>148</v>
      </c>
      <c r="E24" s="7" t="str">
        <f>VLOOKUP(D24,[1]characters!$A:$C,3,FALSE)</f>
        <v>シンデレラ</v>
      </c>
      <c r="F24" s="7" t="str">
        <f>VLOOKUP(D24,[1]characters!$A:$J,10,FALSE)</f>
        <v>PremiumW</v>
      </c>
      <c r="G24" s="7">
        <f>VLOOKUP(D24,[1]characters!$A:$I,9,FALSE)</f>
        <v>3</v>
      </c>
      <c r="H24" s="7" t="str">
        <f>VLOOKUP(D24,[1]characters!$A:$H,8,FALSE)</f>
        <v>yellow</v>
      </c>
      <c r="I24" s="7" t="str">
        <f>VLOOKUP(D24,[1]characters!$A:$K,11,FALSE)</f>
        <v>balance</v>
      </c>
      <c r="J24" s="7" t="str">
        <f>VLOOKUP(D24,[1]characters!$A:$M,13,FALSE)</f>
        <v>human</v>
      </c>
      <c r="K24" s="7" t="str">
        <f>VLOOKUP(D24,[1]characters!$A:$G,7,FALSE)</f>
        <v>女性</v>
      </c>
      <c r="L24" s="66">
        <f>IFERROR(VLOOKUP(D24,input_6!L:R,7,FALSE),VLOOKUP(tables_6!B24,input_6!A:H,8,FALSE))</f>
        <v>0</v>
      </c>
      <c r="M24" s="67">
        <f t="shared" si="0"/>
        <v>0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customHeight="1">
      <c r="A25" s="2">
        <f>input_6!A$2</f>
        <v>3126</v>
      </c>
      <c r="B25" s="7" t="str">
        <f t="shared" si="1"/>
        <v>Premium4</v>
      </c>
      <c r="C25" s="7" t="str">
        <f t="shared" si="2"/>
        <v>Premium</v>
      </c>
      <c r="D25" s="6">
        <v>149</v>
      </c>
      <c r="E25" s="7" t="str">
        <f>VLOOKUP(D25,[1]characters!$A:$C,3,FALSE)</f>
        <v>雷撃蹴技を極めし者 シンデレラ</v>
      </c>
      <c r="F25" s="7" t="str">
        <f>VLOOKUP(D25,[1]characters!$A:$J,10,FALSE)</f>
        <v>PremiumW</v>
      </c>
      <c r="G25" s="7">
        <f>VLOOKUP(D25,[1]characters!$A:$I,9,FALSE)</f>
        <v>4</v>
      </c>
      <c r="H25" s="7" t="str">
        <f>VLOOKUP(D25,[1]characters!$A:$H,8,FALSE)</f>
        <v>yellow</v>
      </c>
      <c r="I25" s="7" t="str">
        <f>VLOOKUP(D25,[1]characters!$A:$K,11,FALSE)</f>
        <v>balance</v>
      </c>
      <c r="J25" s="7" t="str">
        <f>VLOOKUP(D25,[1]characters!$A:$M,13,FALSE)</f>
        <v>human</v>
      </c>
      <c r="K25" s="7" t="str">
        <f>VLOOKUP(D25,[1]characters!$A:$G,7,FALSE)</f>
        <v>女性</v>
      </c>
      <c r="L25" s="66">
        <f>IFERROR(VLOOKUP(D25,input_6!L:R,7,FALSE),VLOOKUP(tables_6!B25,input_6!A:H,8,FALSE))</f>
        <v>646893</v>
      </c>
      <c r="M25" s="67">
        <f t="shared" si="0"/>
        <v>1.2452702702702703E-2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customHeight="1">
      <c r="A26" s="2">
        <f>input_6!A$2</f>
        <v>3126</v>
      </c>
      <c r="B26" s="7" t="str">
        <f t="shared" si="1"/>
        <v>Premium3</v>
      </c>
      <c r="C26" s="7" t="str">
        <f t="shared" si="2"/>
        <v>Premium</v>
      </c>
      <c r="D26" s="6">
        <v>150</v>
      </c>
      <c r="E26" s="7" t="str">
        <f>VLOOKUP(D26,[1]characters!$A:$C,3,FALSE)</f>
        <v>ポイズンマスターサキ</v>
      </c>
      <c r="F26" s="7" t="str">
        <f>VLOOKUP(D26,[1]characters!$A:$J,10,FALSE)</f>
        <v>PremiumW</v>
      </c>
      <c r="G26" s="7">
        <f>VLOOKUP(D26,[1]characters!$A:$I,9,FALSE)</f>
        <v>3</v>
      </c>
      <c r="H26" s="7" t="str">
        <f>VLOOKUP(D26,[1]characters!$A:$H,8,FALSE)</f>
        <v>red</v>
      </c>
      <c r="I26" s="7" t="str">
        <f>VLOOKUP(D26,[1]characters!$A:$K,11,FALSE)</f>
        <v>technical</v>
      </c>
      <c r="J26" s="7" t="str">
        <f>VLOOKUP(D26,[1]characters!$A:$M,13,FALSE)</f>
        <v>human</v>
      </c>
      <c r="K26" s="7" t="str">
        <f>VLOOKUP(D26,[1]characters!$A:$G,7,FALSE)</f>
        <v>女性</v>
      </c>
      <c r="L26" s="66">
        <f>IFERROR(VLOOKUP(D26,input_6!L:R,7,FALSE),VLOOKUP(tables_6!B26,input_6!A:H,8,FALSE))</f>
        <v>0</v>
      </c>
      <c r="M26" s="67">
        <f t="shared" si="0"/>
        <v>0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customHeight="1">
      <c r="A27" s="2">
        <f>input_6!A$2</f>
        <v>3126</v>
      </c>
      <c r="B27" s="7" t="str">
        <f t="shared" si="1"/>
        <v>Premium4</v>
      </c>
      <c r="C27" s="7" t="str">
        <f t="shared" si="2"/>
        <v>Premium</v>
      </c>
      <c r="D27" s="6">
        <v>151</v>
      </c>
      <c r="E27" s="7" t="str">
        <f>VLOOKUP(D27,[1]characters!$A:$C,3,FALSE)</f>
        <v>毒煙の処刑人サキ</v>
      </c>
      <c r="F27" s="7" t="str">
        <f>VLOOKUP(D27,[1]characters!$A:$J,10,FALSE)</f>
        <v>PremiumW</v>
      </c>
      <c r="G27" s="7">
        <f>VLOOKUP(D27,[1]characters!$A:$I,9,FALSE)</f>
        <v>4</v>
      </c>
      <c r="H27" s="7" t="str">
        <f>VLOOKUP(D27,[1]characters!$A:$H,8,FALSE)</f>
        <v>red</v>
      </c>
      <c r="I27" s="7" t="str">
        <f>VLOOKUP(D27,[1]characters!$A:$K,11,FALSE)</f>
        <v>technical</v>
      </c>
      <c r="J27" s="7" t="str">
        <f>VLOOKUP(D27,[1]characters!$A:$M,13,FALSE)</f>
        <v>human</v>
      </c>
      <c r="K27" s="7" t="str">
        <f>VLOOKUP(D27,[1]characters!$A:$G,7,FALSE)</f>
        <v>女性</v>
      </c>
      <c r="L27" s="66">
        <f>IFERROR(VLOOKUP(D27,input_6!L:R,7,FALSE),VLOOKUP(tables_6!B27,input_6!A:H,8,FALSE))</f>
        <v>646893</v>
      </c>
      <c r="M27" s="67">
        <f t="shared" si="0"/>
        <v>1.2452702702702703E-2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customHeight="1">
      <c r="A28" s="2">
        <f>input_6!A$2</f>
        <v>3126</v>
      </c>
      <c r="B28" s="7" t="str">
        <f t="shared" si="1"/>
        <v>Premium3</v>
      </c>
      <c r="C28" s="7" t="str">
        <f t="shared" si="2"/>
        <v>Premium</v>
      </c>
      <c r="D28" s="6">
        <v>152</v>
      </c>
      <c r="E28" s="7" t="str">
        <f>VLOOKUP(D28,[1]characters!$A:$C,3,FALSE)</f>
        <v>功夫少女ランラン</v>
      </c>
      <c r="F28" s="7" t="str">
        <f>VLOOKUP(D28,[1]characters!$A:$J,10,FALSE)</f>
        <v>PremiumW</v>
      </c>
      <c r="G28" s="7">
        <f>VLOOKUP(D28,[1]characters!$A:$I,9,FALSE)</f>
        <v>3</v>
      </c>
      <c r="H28" s="7" t="str">
        <f>VLOOKUP(D28,[1]characters!$A:$H,8,FALSE)</f>
        <v>green</v>
      </c>
      <c r="I28" s="7" t="str">
        <f>VLOOKUP(D28,[1]characters!$A:$K,11,FALSE)</f>
        <v>heal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66">
        <f>IFERROR(VLOOKUP(D28,input_6!L:R,7,FALSE),VLOOKUP(tables_6!B28,input_6!A:H,8,FALSE))</f>
        <v>0</v>
      </c>
      <c r="M28" s="67">
        <f t="shared" si="0"/>
        <v>0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customHeight="1">
      <c r="A29" s="2">
        <f>input_6!A$2</f>
        <v>3126</v>
      </c>
      <c r="B29" s="7" t="str">
        <f t="shared" si="1"/>
        <v>Premium4</v>
      </c>
      <c r="C29" s="7" t="str">
        <f t="shared" si="2"/>
        <v>Premium</v>
      </c>
      <c r="D29" s="6">
        <v>153</v>
      </c>
      <c r="E29" s="7" t="str">
        <f>VLOOKUP(D29,[1]characters!$A:$C,3,FALSE)</f>
        <v>拳聖ランラン</v>
      </c>
      <c r="F29" s="7" t="str">
        <f>VLOOKUP(D29,[1]characters!$A:$J,10,FALSE)</f>
        <v>PremiumW</v>
      </c>
      <c r="G29" s="7">
        <f>VLOOKUP(D29,[1]characters!$A:$I,9,FALSE)</f>
        <v>4</v>
      </c>
      <c r="H29" s="7" t="str">
        <f>VLOOKUP(D29,[1]characters!$A:$H,8,FALSE)</f>
        <v>green</v>
      </c>
      <c r="I29" s="7" t="str">
        <f>VLOOKUP(D29,[1]characters!$A:$K,11,FALSE)</f>
        <v>heal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66">
        <f>IFERROR(VLOOKUP(D29,input_6!L:R,7,FALSE),VLOOKUP(tables_6!B29,input_6!A:H,8,FALSE))</f>
        <v>646893</v>
      </c>
      <c r="M29" s="67">
        <f t="shared" si="0"/>
        <v>1.2452702702702703E-2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customHeight="1">
      <c r="A30" s="2">
        <f>input_6!A$2</f>
        <v>3126</v>
      </c>
      <c r="B30" s="7" t="str">
        <f t="shared" si="1"/>
        <v>Premium3</v>
      </c>
      <c r="C30" s="7" t="str">
        <f t="shared" si="2"/>
        <v>Premium</v>
      </c>
      <c r="D30" s="6">
        <v>154</v>
      </c>
      <c r="E30" s="7" t="str">
        <f>VLOOKUP(D30,[1]characters!$A:$C,3,FALSE)</f>
        <v>始末屋 ハンナ</v>
      </c>
      <c r="F30" s="7" t="str">
        <f>VLOOKUP(D30,[1]characters!$A:$J,10,FALSE)</f>
        <v>PremiumW</v>
      </c>
      <c r="G30" s="7">
        <f>VLOOKUP(D30,[1]characters!$A:$I,9,FALSE)</f>
        <v>3</v>
      </c>
      <c r="H30" s="7" t="str">
        <f>VLOOKUP(D30,[1]characters!$A:$H,8,FALSE)</f>
        <v>blue</v>
      </c>
      <c r="I30" s="7" t="str">
        <f>VLOOKUP(D30,[1]characters!$A:$K,11,FALSE)</f>
        <v>heal</v>
      </c>
      <c r="J30" s="7" t="str">
        <f>VLOOKUP(D30,[1]characters!$A:$M,13,FALSE)</f>
        <v>human</v>
      </c>
      <c r="K30" s="7" t="str">
        <f>VLOOKUP(D30,[1]characters!$A:$G,7,FALSE)</f>
        <v>女性</v>
      </c>
      <c r="L30" s="66">
        <f>IFERROR(VLOOKUP(D30,input_6!L:R,7,FALSE),VLOOKUP(tables_6!B30,input_6!A:H,8,FALSE))</f>
        <v>0</v>
      </c>
      <c r="M30" s="67">
        <f t="shared" si="0"/>
        <v>0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customHeight="1">
      <c r="A31" s="2">
        <f>input_6!A$2</f>
        <v>3126</v>
      </c>
      <c r="B31" s="7" t="str">
        <f t="shared" si="1"/>
        <v>Premium4</v>
      </c>
      <c r="C31" s="7" t="str">
        <f t="shared" si="2"/>
        <v>Premium</v>
      </c>
      <c r="D31" s="6">
        <v>155</v>
      </c>
      <c r="E31" s="7" t="str">
        <f>VLOOKUP(D31,[1]characters!$A:$C,3,FALSE)</f>
        <v>隻眼の掃除屋 ハンナ</v>
      </c>
      <c r="F31" s="7" t="str">
        <f>VLOOKUP(D31,[1]characters!$A:$J,10,FALSE)</f>
        <v>PremiumW</v>
      </c>
      <c r="G31" s="7">
        <f>VLOOKUP(D31,[1]characters!$A:$I,9,FALSE)</f>
        <v>4</v>
      </c>
      <c r="H31" s="7" t="str">
        <f>VLOOKUP(D31,[1]characters!$A:$H,8,FALSE)</f>
        <v>blue</v>
      </c>
      <c r="I31" s="7" t="str">
        <f>VLOOKUP(D31,[1]characters!$A:$K,11,FALSE)</f>
        <v>heal</v>
      </c>
      <c r="J31" s="7" t="str">
        <f>VLOOKUP(D31,[1]characters!$A:$M,13,FALSE)</f>
        <v>human</v>
      </c>
      <c r="K31" s="7" t="str">
        <f>VLOOKUP(D31,[1]characters!$A:$G,7,FALSE)</f>
        <v>女性</v>
      </c>
      <c r="L31" s="66">
        <f>IFERROR(VLOOKUP(D31,input_6!L:R,7,FALSE),VLOOKUP(tables_6!B31,input_6!A:H,8,FALSE))</f>
        <v>646893</v>
      </c>
      <c r="M31" s="67">
        <f t="shared" si="0"/>
        <v>1.2452702702702703E-2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customHeight="1">
      <c r="A32" s="2">
        <f>input_6!A$2</f>
        <v>3126</v>
      </c>
      <c r="B32" s="7" t="str">
        <f t="shared" si="1"/>
        <v>Premium3</v>
      </c>
      <c r="C32" s="7" t="str">
        <f t="shared" si="2"/>
        <v>Premium</v>
      </c>
      <c r="D32" s="6">
        <v>156</v>
      </c>
      <c r="E32" s="7" t="str">
        <f>VLOOKUP(D32,[1]characters!$A:$C,3,FALSE)</f>
        <v>踊り子 エレナ</v>
      </c>
      <c r="F32" s="7" t="str">
        <f>VLOOKUP(D32,[1]characters!$A:$J,10,FALSE)</f>
        <v>PremiumW</v>
      </c>
      <c r="G32" s="7">
        <f>VLOOKUP(D32,[1]characters!$A:$I,9,FALSE)</f>
        <v>3</v>
      </c>
      <c r="H32" s="7" t="str">
        <f>VLOOKUP(D32,[1]characters!$A:$H,8,FALSE)</f>
        <v>yellow</v>
      </c>
      <c r="I32" s="7" t="str">
        <f>VLOOKUP(D32,[1]characters!$A:$K,11,FALSE)</f>
        <v>heal</v>
      </c>
      <c r="J32" s="7" t="str">
        <f>VLOOKUP(D32,[1]characters!$A:$M,13,FALSE)</f>
        <v>human</v>
      </c>
      <c r="K32" s="7" t="str">
        <f>VLOOKUP(D32,[1]characters!$A:$G,7,FALSE)</f>
        <v>女性</v>
      </c>
      <c r="L32" s="66">
        <f>IFERROR(VLOOKUP(D32,input_6!L:R,7,FALSE),VLOOKUP(tables_6!B32,input_6!A:H,8,FALSE))</f>
        <v>0</v>
      </c>
      <c r="M32" s="67">
        <f t="shared" si="0"/>
        <v>0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customHeight="1">
      <c r="A33" s="2">
        <f>input_6!A$2</f>
        <v>3126</v>
      </c>
      <c r="B33" s="7" t="str">
        <f t="shared" si="1"/>
        <v>Premium4</v>
      </c>
      <c r="C33" s="7" t="str">
        <f t="shared" si="2"/>
        <v>Premium</v>
      </c>
      <c r="D33" s="6">
        <v>157</v>
      </c>
      <c r="E33" s="7" t="str">
        <f>VLOOKUP(D33,[1]characters!$A:$C,3,FALSE)</f>
        <v>雷光舞姫 エレナ</v>
      </c>
      <c r="F33" s="7" t="str">
        <f>VLOOKUP(D33,[1]characters!$A:$J,10,FALSE)</f>
        <v>PremiumW</v>
      </c>
      <c r="G33" s="7">
        <f>VLOOKUP(D33,[1]characters!$A:$I,9,FALSE)</f>
        <v>4</v>
      </c>
      <c r="H33" s="7" t="str">
        <f>VLOOKUP(D33,[1]characters!$A:$H,8,FALSE)</f>
        <v>yellow</v>
      </c>
      <c r="I33" s="7" t="str">
        <f>VLOOKUP(D33,[1]characters!$A:$K,11,FALSE)</f>
        <v>heal</v>
      </c>
      <c r="J33" s="7" t="str">
        <f>VLOOKUP(D33,[1]characters!$A:$M,13,FALSE)</f>
        <v>human</v>
      </c>
      <c r="K33" s="7" t="str">
        <f>VLOOKUP(D33,[1]characters!$A:$G,7,FALSE)</f>
        <v>女性</v>
      </c>
      <c r="L33" s="66">
        <f>IFERROR(VLOOKUP(D33,input_6!L:R,7,FALSE),VLOOKUP(tables_6!B33,input_6!A:H,8,FALSE))</f>
        <v>646893</v>
      </c>
      <c r="M33" s="67">
        <f t="shared" si="0"/>
        <v>1.2452702702702703E-2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customHeight="1">
      <c r="A34" s="2">
        <f>input_6!A$2</f>
        <v>3126</v>
      </c>
      <c r="B34" s="7" t="str">
        <f t="shared" si="1"/>
        <v>Premium3</v>
      </c>
      <c r="C34" s="7" t="str">
        <f t="shared" si="2"/>
        <v>Premium</v>
      </c>
      <c r="D34" s="6">
        <v>158</v>
      </c>
      <c r="E34" s="7" t="str">
        <f>VLOOKUP(D34,[1]characters!$A:$C,3,FALSE)</f>
        <v>シスター シャルロッテ</v>
      </c>
      <c r="F34" s="7" t="str">
        <f>VLOOKUP(D34,[1]characters!$A:$J,10,FALSE)</f>
        <v>PremiumW</v>
      </c>
      <c r="G34" s="7">
        <f>VLOOKUP(D34,[1]characters!$A:$I,9,FALSE)</f>
        <v>3</v>
      </c>
      <c r="H34" s="7" t="str">
        <f>VLOOKUP(D34,[1]characters!$A:$H,8,FALSE)</f>
        <v>red</v>
      </c>
      <c r="I34" s="7" t="str">
        <f>VLOOKUP(D34,[1]characters!$A:$K,11,FALSE)</f>
        <v>heal</v>
      </c>
      <c r="J34" s="7" t="str">
        <f>VLOOKUP(D34,[1]characters!$A:$M,13,FALSE)</f>
        <v>human</v>
      </c>
      <c r="K34" s="7" t="str">
        <f>VLOOKUP(D34,[1]characters!$A:$G,7,FALSE)</f>
        <v>女性</v>
      </c>
      <c r="L34" s="66">
        <f>IFERROR(VLOOKUP(D34,input_6!L:R,7,FALSE),VLOOKUP(tables_6!B34,input_6!A:H,8,FALSE))</f>
        <v>0</v>
      </c>
      <c r="M34" s="67">
        <f t="shared" si="0"/>
        <v>0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customHeight="1">
      <c r="A35" s="2">
        <f>input_6!A$2</f>
        <v>3126</v>
      </c>
      <c r="B35" s="7" t="str">
        <f t="shared" si="1"/>
        <v>Premium4</v>
      </c>
      <c r="C35" s="7" t="str">
        <f t="shared" si="2"/>
        <v>Premium</v>
      </c>
      <c r="D35" s="6">
        <v>159</v>
      </c>
      <c r="E35" s="7" t="str">
        <f>VLOOKUP(D35,[1]characters!$A:$C,3,FALSE)</f>
        <v>邪を狩りし者 シャルロッテ</v>
      </c>
      <c r="F35" s="7" t="str">
        <f>VLOOKUP(D35,[1]characters!$A:$J,10,FALSE)</f>
        <v>PremiumW</v>
      </c>
      <c r="G35" s="7">
        <f>VLOOKUP(D35,[1]characters!$A:$I,9,FALSE)</f>
        <v>4</v>
      </c>
      <c r="H35" s="7" t="str">
        <f>VLOOKUP(D35,[1]characters!$A:$H,8,FALSE)</f>
        <v>red</v>
      </c>
      <c r="I35" s="7" t="str">
        <f>VLOOKUP(D35,[1]characters!$A:$K,11,FALSE)</f>
        <v>heal</v>
      </c>
      <c r="J35" s="7" t="str">
        <f>VLOOKUP(D35,[1]characters!$A:$M,13,FALSE)</f>
        <v>human</v>
      </c>
      <c r="K35" s="7" t="str">
        <f>VLOOKUP(D35,[1]characters!$A:$G,7,FALSE)</f>
        <v>女性</v>
      </c>
      <c r="L35" s="66">
        <f>IFERROR(VLOOKUP(D35,input_6!L:R,7,FALSE),VLOOKUP(tables_6!B35,input_6!A:H,8,FALSE))</f>
        <v>646893</v>
      </c>
      <c r="M35" s="67">
        <f t="shared" si="0"/>
        <v>1.2452702702702703E-2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customHeight="1">
      <c r="A36" s="2">
        <f>input_6!A$2</f>
        <v>3126</v>
      </c>
      <c r="B36" s="7" t="str">
        <f t="shared" si="1"/>
        <v>Premium3</v>
      </c>
      <c r="C36" s="7" t="str">
        <f t="shared" si="2"/>
        <v>Premium</v>
      </c>
      <c r="D36" s="6">
        <v>160</v>
      </c>
      <c r="E36" s="7" t="str">
        <f>VLOOKUP(D36,[1]characters!$A:$C,3,FALSE)</f>
        <v>反逆者 クリエ</v>
      </c>
      <c r="F36" s="7" t="str">
        <f>VLOOKUP(D36,[1]characters!$A:$J,10,FALSE)</f>
        <v>PremiumW</v>
      </c>
      <c r="G36" s="7">
        <f>VLOOKUP(D36,[1]characters!$A:$I,9,FALSE)</f>
        <v>3</v>
      </c>
      <c r="H36" s="7" t="str">
        <f>VLOOKUP(D36,[1]characters!$A:$H,8,FALSE)</f>
        <v>green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66">
        <f>IFERROR(VLOOKUP(D36,input_6!L:R,7,FALSE),VLOOKUP(tables_6!B36,input_6!A:H,8,FALSE))</f>
        <v>0</v>
      </c>
      <c r="M36" s="67">
        <f t="shared" si="0"/>
        <v>0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customHeight="1">
      <c r="A37" s="2">
        <f>input_6!A$2</f>
        <v>3126</v>
      </c>
      <c r="B37" s="7" t="str">
        <f t="shared" si="1"/>
        <v>Premium4</v>
      </c>
      <c r="C37" s="7" t="str">
        <f t="shared" si="2"/>
        <v>Premium</v>
      </c>
      <c r="D37" s="6">
        <v>161</v>
      </c>
      <c r="E37" s="7" t="str">
        <f>VLOOKUP(D37,[1]characters!$A:$C,3,FALSE)</f>
        <v>咆哮の先導者 クリエ</v>
      </c>
      <c r="F37" s="7" t="str">
        <f>VLOOKUP(D37,[1]characters!$A:$J,10,FALSE)</f>
        <v>PremiumW</v>
      </c>
      <c r="G37" s="7">
        <f>VLOOKUP(D37,[1]characters!$A:$I,9,FALSE)</f>
        <v>4</v>
      </c>
      <c r="H37" s="7" t="str">
        <f>VLOOKUP(D37,[1]characters!$A:$H,8,FALSE)</f>
        <v>green</v>
      </c>
      <c r="I37" s="7" t="str">
        <f>VLOOKUP(D37,[1]characters!$A:$K,11,FALSE)</f>
        <v>balance</v>
      </c>
      <c r="J37" s="7" t="str">
        <f>VLOOKUP(D37,[1]characters!$A:$M,13,FALSE)</f>
        <v>human</v>
      </c>
      <c r="K37" s="7" t="str">
        <f>VLOOKUP(D37,[1]characters!$A:$G,7,FALSE)</f>
        <v>女性</v>
      </c>
      <c r="L37" s="66">
        <f>IFERROR(VLOOKUP(D37,input_6!L:R,7,FALSE),VLOOKUP(tables_6!B37,input_6!A:H,8,FALSE))</f>
        <v>646893</v>
      </c>
      <c r="M37" s="67">
        <f t="shared" si="0"/>
        <v>1.2452702702702703E-2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customHeight="1">
      <c r="A38" s="2">
        <f>input_6!A$2</f>
        <v>3126</v>
      </c>
      <c r="B38" s="7" t="str">
        <f t="shared" si="1"/>
        <v>Premium3</v>
      </c>
      <c r="C38" s="7" t="str">
        <f t="shared" si="2"/>
        <v>Premium</v>
      </c>
      <c r="D38" s="6">
        <v>162</v>
      </c>
      <c r="E38" s="7" t="str">
        <f>VLOOKUP(D38,[1]characters!$A:$C,3,FALSE)</f>
        <v>狂女 クララ</v>
      </c>
      <c r="F38" s="7" t="str">
        <f>VLOOKUP(D38,[1]characters!$A:$J,10,FALSE)</f>
        <v>PremiumW</v>
      </c>
      <c r="G38" s="7">
        <f>VLOOKUP(D38,[1]characters!$A:$I,9,FALSE)</f>
        <v>3</v>
      </c>
      <c r="H38" s="7" t="str">
        <f>VLOOKUP(D38,[1]characters!$A:$H,8,FALSE)</f>
        <v>blue</v>
      </c>
      <c r="I38" s="7" t="str">
        <f>VLOOKUP(D38,[1]characters!$A:$K,11,FALSE)</f>
        <v>attack</v>
      </c>
      <c r="J38" s="7" t="str">
        <f>VLOOKUP(D38,[1]characters!$A:$M,13,FALSE)</f>
        <v>human</v>
      </c>
      <c r="K38" s="7" t="str">
        <f>VLOOKUP(D38,[1]characters!$A:$G,7,FALSE)</f>
        <v>女性</v>
      </c>
      <c r="L38" s="66">
        <f>IFERROR(VLOOKUP(D38,input_6!L:R,7,FALSE),VLOOKUP(tables_6!B38,input_6!A:H,8,FALSE))</f>
        <v>0</v>
      </c>
      <c r="M38" s="67">
        <f t="shared" si="0"/>
        <v>0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customHeight="1">
      <c r="A39" s="2">
        <f>input_6!A$2</f>
        <v>3126</v>
      </c>
      <c r="B39" s="7" t="str">
        <f t="shared" si="1"/>
        <v>Premium4</v>
      </c>
      <c r="C39" s="7" t="str">
        <f t="shared" si="2"/>
        <v>Premium</v>
      </c>
      <c r="D39" s="6">
        <v>163</v>
      </c>
      <c r="E39" s="7" t="str">
        <f>VLOOKUP(D39,[1]characters!$A:$C,3,FALSE)</f>
        <v>冷酷な狂嬢 クララ</v>
      </c>
      <c r="F39" s="7" t="str">
        <f>VLOOKUP(D39,[1]characters!$A:$J,10,FALSE)</f>
        <v>PremiumW</v>
      </c>
      <c r="G39" s="7">
        <f>VLOOKUP(D39,[1]characters!$A:$I,9,FALSE)</f>
        <v>4</v>
      </c>
      <c r="H39" s="7" t="str">
        <f>VLOOKUP(D39,[1]characters!$A:$H,8,FALSE)</f>
        <v>blue</v>
      </c>
      <c r="I39" s="7" t="str">
        <f>VLOOKUP(D39,[1]characters!$A:$K,11,FALSE)</f>
        <v>attack</v>
      </c>
      <c r="J39" s="7" t="str">
        <f>VLOOKUP(D39,[1]characters!$A:$M,13,FALSE)</f>
        <v>human</v>
      </c>
      <c r="K39" s="7" t="str">
        <f>VLOOKUP(D39,[1]characters!$A:$G,7,FALSE)</f>
        <v>女性</v>
      </c>
      <c r="L39" s="66">
        <f>IFERROR(VLOOKUP(D39,input_6!L:R,7,FALSE),VLOOKUP(tables_6!B39,input_6!A:H,8,FALSE))</f>
        <v>646893</v>
      </c>
      <c r="M39" s="67">
        <f t="shared" si="0"/>
        <v>1.2452702702702703E-2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customHeight="1">
      <c r="A40" s="2">
        <f>input_6!A$2</f>
        <v>3126</v>
      </c>
      <c r="B40" s="7" t="str">
        <f t="shared" si="1"/>
        <v>Premium3</v>
      </c>
      <c r="C40" s="7" t="str">
        <f t="shared" si="2"/>
        <v>Premium</v>
      </c>
      <c r="D40" s="6">
        <v>164</v>
      </c>
      <c r="E40" s="7" t="str">
        <f>VLOOKUP(D40,[1]characters!$A:$C,3,FALSE)</f>
        <v>イブとトモダチ</v>
      </c>
      <c r="F40" s="7" t="str">
        <f>VLOOKUP(D40,[1]characters!$A:$J,10,FALSE)</f>
        <v>PremiumW</v>
      </c>
      <c r="G40" s="7">
        <f>VLOOKUP(D40,[1]characters!$A:$I,9,FALSE)</f>
        <v>3</v>
      </c>
      <c r="H40" s="7" t="str">
        <f>VLOOKUP(D40,[1]characters!$A:$H,8,FALSE)</f>
        <v>yellow</v>
      </c>
      <c r="I40" s="7" t="str">
        <f>VLOOKUP(D40,[1]characters!$A:$K,11,FALSE)</f>
        <v>technical</v>
      </c>
      <c r="J40" s="7" t="str">
        <f>VLOOKUP(D40,[1]characters!$A:$M,13,FALSE)</f>
        <v>human</v>
      </c>
      <c r="K40" s="7" t="str">
        <f>VLOOKUP(D40,[1]characters!$A:$G,7,FALSE)</f>
        <v>女性</v>
      </c>
      <c r="L40" s="66">
        <f>IFERROR(VLOOKUP(D40,input_6!L:R,7,FALSE),VLOOKUP(tables_6!B40,input_6!A:H,8,FALSE))</f>
        <v>0</v>
      </c>
      <c r="M40" s="67">
        <f t="shared" si="0"/>
        <v>0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customHeight="1">
      <c r="A41" s="2">
        <f>input_6!A$2</f>
        <v>3126</v>
      </c>
      <c r="B41" s="7" t="str">
        <f t="shared" si="1"/>
        <v>Premium4</v>
      </c>
      <c r="C41" s="7" t="str">
        <f t="shared" si="2"/>
        <v>Premium</v>
      </c>
      <c r="D41" s="6">
        <v>165</v>
      </c>
      <c r="E41" s="7" t="str">
        <f>VLOOKUP(D41,[1]characters!$A:$C,3,FALSE)</f>
        <v>イブとたったひとりのトモダチ</v>
      </c>
      <c r="F41" s="7" t="str">
        <f>VLOOKUP(D41,[1]characters!$A:$J,10,FALSE)</f>
        <v>PremiumW</v>
      </c>
      <c r="G41" s="7">
        <f>VLOOKUP(D41,[1]characters!$A:$I,9,FALSE)</f>
        <v>4</v>
      </c>
      <c r="H41" s="7" t="str">
        <f>VLOOKUP(D41,[1]characters!$A:$H,8,FALSE)</f>
        <v>yellow</v>
      </c>
      <c r="I41" s="7" t="str">
        <f>VLOOKUP(D41,[1]characters!$A:$K,11,FALSE)</f>
        <v>technical</v>
      </c>
      <c r="J41" s="7" t="str">
        <f>VLOOKUP(D41,[1]characters!$A:$M,13,FALSE)</f>
        <v>human</v>
      </c>
      <c r="K41" s="7" t="str">
        <f>VLOOKUP(D41,[1]characters!$A:$G,7,FALSE)</f>
        <v>女性</v>
      </c>
      <c r="L41" s="66">
        <f>IFERROR(VLOOKUP(D41,input_6!L:R,7,FALSE),VLOOKUP(tables_6!B41,input_6!A:H,8,FALSE))</f>
        <v>646893</v>
      </c>
      <c r="M41" s="67">
        <f t="shared" si="0"/>
        <v>1.2452702702702703E-2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customHeight="1">
      <c r="A42" s="2">
        <f>input_6!A$2</f>
        <v>3126</v>
      </c>
      <c r="B42" s="7" t="str">
        <f t="shared" si="1"/>
        <v>Premium3</v>
      </c>
      <c r="C42" s="7" t="str">
        <f t="shared" si="2"/>
        <v>Premium</v>
      </c>
      <c r="D42" s="6">
        <v>166</v>
      </c>
      <c r="E42" s="7" t="str">
        <f>VLOOKUP(D42,[1]characters!$A:$C,3,FALSE)</f>
        <v>ベリアル</v>
      </c>
      <c r="F42" s="7" t="str">
        <f>VLOOKUP(D42,[1]characters!$A:$J,10,FALSE)</f>
        <v>PremiumN</v>
      </c>
      <c r="G42" s="7">
        <f>VLOOKUP(D42,[1]characters!$A:$I,9,FALSE)</f>
        <v>3</v>
      </c>
      <c r="H42" s="7" t="str">
        <f>VLOOKUP(D42,[1]characters!$A:$H,8,FALSE)</f>
        <v>red</v>
      </c>
      <c r="I42" s="7" t="str">
        <f>VLOOKUP(D42,[1]characters!$A:$K,11,FALSE)</f>
        <v>attack</v>
      </c>
      <c r="J42" s="7" t="str">
        <f>VLOOKUP(D42,[1]characters!$A:$M,13,FALSE)</f>
        <v>god</v>
      </c>
      <c r="K42" s="7" t="str">
        <f>VLOOKUP(D42,[1]characters!$A:$G,7,FALSE)</f>
        <v>男性</v>
      </c>
      <c r="L42" s="66">
        <f>IFERROR(VLOOKUP(D42,input_6!L:R,7,FALSE),VLOOKUP(tables_6!B42,input_6!A:H,8,FALSE))</f>
        <v>0</v>
      </c>
      <c r="M42" s="67">
        <f t="shared" si="0"/>
        <v>0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customHeight="1">
      <c r="A43" s="2">
        <f>input_6!A$2</f>
        <v>3126</v>
      </c>
      <c r="B43" s="7" t="str">
        <f t="shared" si="1"/>
        <v>Premium4</v>
      </c>
      <c r="C43" s="7" t="str">
        <f t="shared" si="2"/>
        <v>Premium</v>
      </c>
      <c r="D43" s="6">
        <v>167</v>
      </c>
      <c r="E43" s="7" t="str">
        <f>VLOOKUP(D43,[1]characters!$A:$C,3,FALSE)</f>
        <v>逆徒 ベリアル</v>
      </c>
      <c r="F43" s="7" t="str">
        <f>VLOOKUP(D43,[1]characters!$A:$J,10,FALSE)</f>
        <v>PremiumN</v>
      </c>
      <c r="G43" s="7">
        <f>VLOOKUP(D43,[1]characters!$A:$I,9,FALSE)</f>
        <v>4</v>
      </c>
      <c r="H43" s="7" t="str">
        <f>VLOOKUP(D43,[1]characters!$A:$H,8,FALSE)</f>
        <v>red</v>
      </c>
      <c r="I43" s="7" t="str">
        <f>VLOOKUP(D43,[1]characters!$A:$K,11,FALSE)</f>
        <v>attack</v>
      </c>
      <c r="J43" s="7" t="str">
        <f>VLOOKUP(D43,[1]characters!$A:$M,13,FALSE)</f>
        <v>god</v>
      </c>
      <c r="K43" s="7" t="str">
        <f>VLOOKUP(D43,[1]characters!$A:$G,7,FALSE)</f>
        <v>男性</v>
      </c>
      <c r="L43" s="66">
        <f>IFERROR(VLOOKUP(D43,input_6!L:R,7,FALSE),VLOOKUP(tables_6!B43,input_6!A:H,8,FALSE))</f>
        <v>646893</v>
      </c>
      <c r="M43" s="67">
        <f t="shared" si="0"/>
        <v>1.2452702702702703E-2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customHeight="1">
      <c r="A44" s="2">
        <f>input_6!A$2</f>
        <v>3126</v>
      </c>
      <c r="B44" s="7" t="str">
        <f t="shared" si="1"/>
        <v>Premium5</v>
      </c>
      <c r="C44" s="7" t="str">
        <f t="shared" si="2"/>
        <v>Premium</v>
      </c>
      <c r="D44" s="6">
        <v>168</v>
      </c>
      <c r="E44" s="7" t="str">
        <f>VLOOKUP(D44,[1]characters!$A:$C,3,FALSE)</f>
        <v>猛進の大逆者 ベリアル</v>
      </c>
      <c r="F44" s="7" t="str">
        <f>VLOOKUP(D44,[1]characters!$A:$J,10,FALSE)</f>
        <v>PremiumN</v>
      </c>
      <c r="G44" s="7">
        <f>VLOOKUP(D44,[1]characters!$A:$I,9,FALSE)</f>
        <v>5</v>
      </c>
      <c r="H44" s="7" t="str">
        <f>VLOOKUP(D44,[1]characters!$A:$H,8,FALSE)</f>
        <v>red</v>
      </c>
      <c r="I44" s="7" t="str">
        <f>VLOOKUP(D44,[1]characters!$A:$K,11,FALSE)</f>
        <v>attack</v>
      </c>
      <c r="J44" s="7" t="str">
        <f>VLOOKUP(D44,[1]characters!$A:$M,13,FALSE)</f>
        <v>god</v>
      </c>
      <c r="K44" s="7" t="str">
        <f>VLOOKUP(D44,[1]characters!$A:$G,7,FALSE)</f>
        <v>男性</v>
      </c>
      <c r="L44" s="66">
        <f>IFERROR(VLOOKUP(D44,input_6!L:R,7,FALSE),VLOOKUP(tables_6!B44,input_6!A:H,8,FALSE))</f>
        <v>46657</v>
      </c>
      <c r="M44" s="67">
        <f t="shared" si="0"/>
        <v>8.9814814814814813E-4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customHeight="1">
      <c r="A45" s="2">
        <f>input_6!A$2</f>
        <v>3126</v>
      </c>
      <c r="B45" s="7" t="str">
        <f t="shared" si="1"/>
        <v>Premium3</v>
      </c>
      <c r="C45" s="7" t="str">
        <f t="shared" si="2"/>
        <v>Premium</v>
      </c>
      <c r="D45" s="6">
        <v>169</v>
      </c>
      <c r="E45" s="7" t="str">
        <f>VLOOKUP(D45,[1]characters!$A:$C,3,FALSE)</f>
        <v>オセ</v>
      </c>
      <c r="F45" s="7" t="str">
        <f>VLOOKUP(D45,[1]characters!$A:$J,10,FALSE)</f>
        <v>PremiumN</v>
      </c>
      <c r="G45" s="7">
        <f>VLOOKUP(D45,[1]characters!$A:$I,9,FALSE)</f>
        <v>3</v>
      </c>
      <c r="H45" s="7" t="str">
        <f>VLOOKUP(D45,[1]characters!$A:$H,8,FALSE)</f>
        <v>green</v>
      </c>
      <c r="I45" s="7" t="str">
        <f>VLOOKUP(D45,[1]characters!$A:$K,11,FALSE)</f>
        <v>attack</v>
      </c>
      <c r="J45" s="7" t="str">
        <f>VLOOKUP(D45,[1]characters!$A:$M,13,FALSE)</f>
        <v>god</v>
      </c>
      <c r="K45" s="7" t="str">
        <f>VLOOKUP(D45,[1]characters!$A:$G,7,FALSE)</f>
        <v>女性</v>
      </c>
      <c r="L45" s="66">
        <f>IFERROR(VLOOKUP(D45,input_6!L:R,7,FALSE),VLOOKUP(tables_6!B45,input_6!A:H,8,FALSE))</f>
        <v>0</v>
      </c>
      <c r="M45" s="67">
        <f t="shared" si="0"/>
        <v>0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customHeight="1">
      <c r="A46" s="2">
        <f>input_6!A$2</f>
        <v>3126</v>
      </c>
      <c r="B46" s="7" t="str">
        <f t="shared" si="1"/>
        <v>Premium4</v>
      </c>
      <c r="C46" s="7" t="str">
        <f t="shared" si="2"/>
        <v>Premium</v>
      </c>
      <c r="D46" s="6">
        <v>170</v>
      </c>
      <c r="E46" s="7" t="str">
        <f>VLOOKUP(D46,[1]characters!$A:$C,3,FALSE)</f>
        <v>識徒 オセ</v>
      </c>
      <c r="F46" s="7" t="str">
        <f>VLOOKUP(D46,[1]characters!$A:$J,10,FALSE)</f>
        <v>PremiumN</v>
      </c>
      <c r="G46" s="7">
        <f>VLOOKUP(D46,[1]characters!$A:$I,9,FALSE)</f>
        <v>4</v>
      </c>
      <c r="H46" s="7" t="str">
        <f>VLOOKUP(D46,[1]characters!$A:$H,8,FALSE)</f>
        <v>green</v>
      </c>
      <c r="I46" s="7" t="str">
        <f>VLOOKUP(D46,[1]characters!$A:$K,11,FALSE)</f>
        <v>attack</v>
      </c>
      <c r="J46" s="7" t="str">
        <f>VLOOKUP(D46,[1]characters!$A:$M,13,FALSE)</f>
        <v>god</v>
      </c>
      <c r="K46" s="7" t="str">
        <f>VLOOKUP(D46,[1]characters!$A:$G,7,FALSE)</f>
        <v>女性</v>
      </c>
      <c r="L46" s="66">
        <f>IFERROR(VLOOKUP(D46,input_6!L:R,7,FALSE),VLOOKUP(tables_6!B46,input_6!A:H,8,FALSE))</f>
        <v>646893</v>
      </c>
      <c r="M46" s="67">
        <f t="shared" si="0"/>
        <v>1.2452702702702703E-2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customHeight="1">
      <c r="A47" s="2">
        <f>input_6!A$2</f>
        <v>3126</v>
      </c>
      <c r="B47" s="7" t="str">
        <f t="shared" si="1"/>
        <v>Premium5</v>
      </c>
      <c r="C47" s="7" t="str">
        <f t="shared" si="2"/>
        <v>Premium</v>
      </c>
      <c r="D47" s="6">
        <v>171</v>
      </c>
      <c r="E47" s="7" t="str">
        <f>VLOOKUP(D47,[1]characters!$A:$C,3,FALSE)</f>
        <v>精解の預知者 オセ</v>
      </c>
      <c r="F47" s="7" t="str">
        <f>VLOOKUP(D47,[1]characters!$A:$J,10,FALSE)</f>
        <v>PremiumN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attack</v>
      </c>
      <c r="J47" s="7" t="str">
        <f>VLOOKUP(D47,[1]characters!$A:$M,13,FALSE)</f>
        <v>god</v>
      </c>
      <c r="K47" s="7" t="str">
        <f>VLOOKUP(D47,[1]characters!$A:$G,7,FALSE)</f>
        <v>女性</v>
      </c>
      <c r="L47" s="66">
        <f>IFERROR(VLOOKUP(D47,input_6!L:R,7,FALSE),VLOOKUP(tables_6!B47,input_6!A:H,8,FALSE))</f>
        <v>46657</v>
      </c>
      <c r="M47" s="67">
        <f t="shared" si="0"/>
        <v>8.9814814814814813E-4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customHeight="1">
      <c r="A48" s="2">
        <f>input_6!A$2</f>
        <v>3126</v>
      </c>
      <c r="B48" s="7" t="str">
        <f t="shared" si="1"/>
        <v>Premium3</v>
      </c>
      <c r="C48" s="7" t="str">
        <f t="shared" si="2"/>
        <v>Premium</v>
      </c>
      <c r="D48" s="6">
        <v>172</v>
      </c>
      <c r="E48" s="7" t="str">
        <f>VLOOKUP(D48,[1]characters!$A:$C,3,FALSE)</f>
        <v>フォルネウス</v>
      </c>
      <c r="F48" s="7" t="str">
        <f>VLOOKUP(D48,[1]characters!$A:$J,10,FALSE)</f>
        <v>PremiumN</v>
      </c>
      <c r="G48" s="7">
        <f>VLOOKUP(D48,[1]characters!$A:$I,9,FALSE)</f>
        <v>3</v>
      </c>
      <c r="H48" s="7" t="str">
        <f>VLOOKUP(D48,[1]characters!$A:$H,8,FALSE)</f>
        <v>blue</v>
      </c>
      <c r="I48" s="7" t="str">
        <f>VLOOKUP(D48,[1]characters!$A:$K,11,FALSE)</f>
        <v>attack</v>
      </c>
      <c r="J48" s="7" t="str">
        <f>VLOOKUP(D48,[1]characters!$A:$M,13,FALSE)</f>
        <v>god</v>
      </c>
      <c r="K48" s="7" t="str">
        <f>VLOOKUP(D48,[1]characters!$A:$G,7,FALSE)</f>
        <v>女性</v>
      </c>
      <c r="L48" s="66">
        <f>IFERROR(VLOOKUP(D48,input_6!L:R,7,FALSE),VLOOKUP(tables_6!B48,input_6!A:H,8,FALSE))</f>
        <v>0</v>
      </c>
      <c r="M48" s="67">
        <f t="shared" si="0"/>
        <v>0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customHeight="1">
      <c r="A49" s="2">
        <f>input_6!A$2</f>
        <v>3126</v>
      </c>
      <c r="B49" s="7" t="str">
        <f t="shared" si="1"/>
        <v>Premium4</v>
      </c>
      <c r="C49" s="7" t="str">
        <f t="shared" si="2"/>
        <v>Premium</v>
      </c>
      <c r="D49" s="6">
        <v>173</v>
      </c>
      <c r="E49" s="7" t="str">
        <f>VLOOKUP(D49,[1]characters!$A:$C,3,FALSE)</f>
        <v>公爵 フォルネウス</v>
      </c>
      <c r="F49" s="7" t="str">
        <f>VLOOKUP(D49,[1]characters!$A:$J,10,FALSE)</f>
        <v>PremiumN</v>
      </c>
      <c r="G49" s="7">
        <f>VLOOKUP(D49,[1]characters!$A:$I,9,FALSE)</f>
        <v>4</v>
      </c>
      <c r="H49" s="7" t="str">
        <f>VLOOKUP(D49,[1]characters!$A:$H,8,FALSE)</f>
        <v>blue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女性</v>
      </c>
      <c r="L49" s="66">
        <f>IFERROR(VLOOKUP(D49,input_6!L:R,7,FALSE),VLOOKUP(tables_6!B49,input_6!A:H,8,FALSE))</f>
        <v>646893</v>
      </c>
      <c r="M49" s="67">
        <f t="shared" si="0"/>
        <v>1.2452702702702703E-2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customHeight="1">
      <c r="A50" s="2">
        <f>input_6!A$2</f>
        <v>3126</v>
      </c>
      <c r="B50" s="7" t="str">
        <f t="shared" si="1"/>
        <v>Premium5</v>
      </c>
      <c r="C50" s="7" t="str">
        <f t="shared" si="2"/>
        <v>Premium</v>
      </c>
      <c r="D50" s="6">
        <v>174</v>
      </c>
      <c r="E50" s="7" t="str">
        <f>VLOOKUP(D50,[1]characters!$A:$C,3,FALSE)</f>
        <v>偽愛の大公爵 フォルネウス</v>
      </c>
      <c r="F50" s="7" t="str">
        <f>VLOOKUP(D50,[1]characters!$A:$J,10,FALSE)</f>
        <v>PremiumN</v>
      </c>
      <c r="G50" s="7">
        <f>VLOOKUP(D50,[1]characters!$A:$I,9,FALSE)</f>
        <v>5</v>
      </c>
      <c r="H50" s="7" t="str">
        <f>VLOOKUP(D50,[1]characters!$A:$H,8,FALSE)</f>
        <v>blue</v>
      </c>
      <c r="I50" s="7" t="str">
        <f>VLOOKUP(D50,[1]characters!$A:$K,11,FALSE)</f>
        <v>attack</v>
      </c>
      <c r="J50" s="7" t="str">
        <f>VLOOKUP(D50,[1]characters!$A:$M,13,FALSE)</f>
        <v>god</v>
      </c>
      <c r="K50" s="7" t="str">
        <f>VLOOKUP(D50,[1]characters!$A:$G,7,FALSE)</f>
        <v>女性</v>
      </c>
      <c r="L50" s="66">
        <f>IFERROR(VLOOKUP(D50,input_6!L:R,7,FALSE),VLOOKUP(tables_6!B50,input_6!A:H,8,FALSE))</f>
        <v>46657</v>
      </c>
      <c r="M50" s="67">
        <f t="shared" si="0"/>
        <v>8.9814814814814813E-4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customHeight="1">
      <c r="A51" s="2">
        <f>input_6!A$2</f>
        <v>3126</v>
      </c>
      <c r="B51" s="7" t="str">
        <f t="shared" si="1"/>
        <v>Premium3</v>
      </c>
      <c r="C51" s="7" t="str">
        <f t="shared" si="2"/>
        <v>Premium</v>
      </c>
      <c r="D51" s="6">
        <v>175</v>
      </c>
      <c r="E51" s="7" t="str">
        <f>VLOOKUP(D51,[1]characters!$A:$C,3,FALSE)</f>
        <v>バフォメット</v>
      </c>
      <c r="F51" s="7" t="str">
        <f>VLOOKUP(D51,[1]characters!$A:$J,10,FALSE)</f>
        <v>PremiumN</v>
      </c>
      <c r="G51" s="7">
        <f>VLOOKUP(D51,[1]characters!$A:$I,9,FALSE)</f>
        <v>3</v>
      </c>
      <c r="H51" s="7" t="str">
        <f>VLOOKUP(D51,[1]characters!$A:$H,8,FALSE)</f>
        <v>yellow</v>
      </c>
      <c r="I51" s="7" t="str">
        <f>VLOOKUP(D51,[1]characters!$A:$K,11,FALSE)</f>
        <v>attack</v>
      </c>
      <c r="J51" s="7" t="str">
        <f>VLOOKUP(D51,[1]characters!$A:$M,13,FALSE)</f>
        <v>god</v>
      </c>
      <c r="K51" s="7" t="str">
        <f>VLOOKUP(D51,[1]characters!$A:$G,7,FALSE)</f>
        <v>女性</v>
      </c>
      <c r="L51" s="66">
        <f>IFERROR(VLOOKUP(D51,input_6!L:R,7,FALSE),VLOOKUP(tables_6!B51,input_6!A:H,8,FALSE))</f>
        <v>0</v>
      </c>
      <c r="M51" s="67">
        <f t="shared" si="0"/>
        <v>0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customHeight="1">
      <c r="A52" s="2">
        <f>input_6!A$2</f>
        <v>3126</v>
      </c>
      <c r="B52" s="7" t="str">
        <f t="shared" si="1"/>
        <v>Premium4</v>
      </c>
      <c r="C52" s="7" t="str">
        <f t="shared" si="2"/>
        <v>Premium</v>
      </c>
      <c r="D52" s="6">
        <v>176</v>
      </c>
      <c r="E52" s="7" t="str">
        <f>VLOOKUP(D52,[1]characters!$A:$C,3,FALSE)</f>
        <v>異教徒 バフォメット</v>
      </c>
      <c r="F52" s="7" t="str">
        <f>VLOOKUP(D52,[1]characters!$A:$J,10,FALSE)</f>
        <v>PremiumN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66">
        <f>IFERROR(VLOOKUP(D52,input_6!L:R,7,FALSE),VLOOKUP(tables_6!B52,input_6!A:H,8,FALSE))</f>
        <v>646893</v>
      </c>
      <c r="M52" s="67">
        <f t="shared" si="0"/>
        <v>1.2452702702702703E-2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customHeight="1">
      <c r="A53" s="2">
        <f>input_6!A$2</f>
        <v>3126</v>
      </c>
      <c r="B53" s="7" t="str">
        <f t="shared" si="1"/>
        <v>Premium5</v>
      </c>
      <c r="C53" s="7" t="str">
        <f t="shared" si="2"/>
        <v>Premium</v>
      </c>
      <c r="D53" s="6">
        <v>177</v>
      </c>
      <c r="E53" s="7" t="str">
        <f>VLOOKUP(D53,[1]characters!$A:$C,3,FALSE)</f>
        <v>黒魔の異端師 バフォメット</v>
      </c>
      <c r="F53" s="7" t="str">
        <f>VLOOKUP(D53,[1]characters!$A:$J,10,FALSE)</f>
        <v>PremiumN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66">
        <f>IFERROR(VLOOKUP(D53,input_6!L:R,7,FALSE),VLOOKUP(tables_6!B53,input_6!A:H,8,FALSE))</f>
        <v>46657</v>
      </c>
      <c r="M53" s="67">
        <f t="shared" si="0"/>
        <v>8.9814814814814813E-4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customHeight="1">
      <c r="A54" s="2">
        <f>input_6!A$2</f>
        <v>3126</v>
      </c>
      <c r="B54" s="7" t="str">
        <f t="shared" si="1"/>
        <v>Premium3</v>
      </c>
      <c r="C54" s="7" t="str">
        <f t="shared" si="2"/>
        <v>Premium</v>
      </c>
      <c r="D54" s="6">
        <v>178</v>
      </c>
      <c r="E54" s="7" t="str">
        <f>VLOOKUP(D54,[1]characters!$A:$C,3,FALSE)</f>
        <v>ケルベロス</v>
      </c>
      <c r="F54" s="7" t="str">
        <f>VLOOKUP(D54,[1]characters!$A:$J,10,FALSE)</f>
        <v>PremiumN</v>
      </c>
      <c r="G54" s="7">
        <f>VLOOKUP(D54,[1]characters!$A:$I,9,FALSE)</f>
        <v>3</v>
      </c>
      <c r="H54" s="7" t="str">
        <f>VLOOKUP(D54,[1]characters!$A:$H,8,FALSE)</f>
        <v>red</v>
      </c>
      <c r="I54" s="7" t="str">
        <f>VLOOKUP(D54,[1]characters!$A:$K,11,FALSE)</f>
        <v>balance</v>
      </c>
      <c r="J54" s="7" t="str">
        <f>VLOOKUP(D54,[1]characters!$A:$M,13,FALSE)</f>
        <v>animal</v>
      </c>
      <c r="K54" s="7" t="str">
        <f>VLOOKUP(D54,[1]characters!$A:$G,7,FALSE)</f>
        <v>女性</v>
      </c>
      <c r="L54" s="66">
        <f>IFERROR(VLOOKUP(D54,input_6!L:R,7,FALSE),VLOOKUP(tables_6!B54,input_6!A:H,8,FALSE))</f>
        <v>0</v>
      </c>
      <c r="M54" s="67">
        <f t="shared" si="0"/>
        <v>0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ht="21" customHeight="1">
      <c r="A55" s="2">
        <f>input_6!A$2</f>
        <v>3126</v>
      </c>
      <c r="B55" s="7" t="str">
        <f t="shared" si="1"/>
        <v>Premium4</v>
      </c>
      <c r="C55" s="7" t="str">
        <f t="shared" si="2"/>
        <v>Premium</v>
      </c>
      <c r="D55" s="6">
        <v>179</v>
      </c>
      <c r="E55" s="7" t="str">
        <f>VLOOKUP(D55,[1]characters!$A:$C,3,FALSE)</f>
        <v>番犬 ケルベロス</v>
      </c>
      <c r="F55" s="7" t="str">
        <f>VLOOKUP(D55,[1]characters!$A:$J,10,FALSE)</f>
        <v>PremiumN</v>
      </c>
      <c r="G55" s="7">
        <f>VLOOKUP(D55,[1]characters!$A:$I,9,FALSE)</f>
        <v>4</v>
      </c>
      <c r="H55" s="7" t="str">
        <f>VLOOKUP(D55,[1]characters!$A:$H,8,FALSE)</f>
        <v>red</v>
      </c>
      <c r="I55" s="7" t="str">
        <f>VLOOKUP(D55,[1]characters!$A:$K,11,FALSE)</f>
        <v>balance</v>
      </c>
      <c r="J55" s="7" t="str">
        <f>VLOOKUP(D55,[1]characters!$A:$M,13,FALSE)</f>
        <v>animal</v>
      </c>
      <c r="K55" s="7" t="str">
        <f>VLOOKUP(D55,[1]characters!$A:$G,7,FALSE)</f>
        <v>女性</v>
      </c>
      <c r="L55" s="66">
        <f>IFERROR(VLOOKUP(D55,input_6!L:R,7,FALSE),VLOOKUP(tables_6!B55,input_6!A:H,8,FALSE))</f>
        <v>646893</v>
      </c>
      <c r="M55" s="67">
        <f t="shared" si="0"/>
        <v>1.2452702702702703E-2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customHeight="1">
      <c r="A56" s="2">
        <f>input_6!A$2</f>
        <v>3126</v>
      </c>
      <c r="B56" s="7" t="str">
        <f t="shared" si="1"/>
        <v>Premium5</v>
      </c>
      <c r="C56" s="7" t="str">
        <f t="shared" si="2"/>
        <v>Premium</v>
      </c>
      <c r="D56" s="6">
        <v>180</v>
      </c>
      <c r="E56" s="7" t="str">
        <f>VLOOKUP(D56,[1]characters!$A:$C,3,FALSE)</f>
        <v>地獄の大門番 ケルベロス</v>
      </c>
      <c r="F56" s="7" t="str">
        <f>VLOOKUP(D56,[1]characters!$A:$J,10,FALSE)</f>
        <v>PremiumN</v>
      </c>
      <c r="G56" s="7">
        <f>VLOOKUP(D56,[1]characters!$A:$I,9,FALSE)</f>
        <v>5</v>
      </c>
      <c r="H56" s="7" t="str">
        <f>VLOOKUP(D56,[1]characters!$A:$H,8,FALSE)</f>
        <v>red</v>
      </c>
      <c r="I56" s="7" t="str">
        <f>VLOOKUP(D56,[1]characters!$A:$K,11,FALSE)</f>
        <v>balance</v>
      </c>
      <c r="J56" s="7" t="str">
        <f>VLOOKUP(D56,[1]characters!$A:$M,13,FALSE)</f>
        <v>animal</v>
      </c>
      <c r="K56" s="7" t="str">
        <f>VLOOKUP(D56,[1]characters!$A:$G,7,FALSE)</f>
        <v>女性</v>
      </c>
      <c r="L56" s="66">
        <f>IFERROR(VLOOKUP(D56,input_6!L:R,7,FALSE),VLOOKUP(tables_6!B56,input_6!A:H,8,FALSE))</f>
        <v>46657</v>
      </c>
      <c r="M56" s="67">
        <f t="shared" si="0"/>
        <v>8.9814814814814813E-4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customHeight="1">
      <c r="A57" s="2">
        <f>input_6!A$2</f>
        <v>3126</v>
      </c>
      <c r="B57" s="7" t="str">
        <f t="shared" si="1"/>
        <v>Premium3</v>
      </c>
      <c r="C57" s="7" t="str">
        <f t="shared" si="2"/>
        <v>Premium</v>
      </c>
      <c r="D57" s="6">
        <v>181</v>
      </c>
      <c r="E57" s="7" t="str">
        <f>VLOOKUP(D57,[1]characters!$A:$C,3,FALSE)</f>
        <v>ベヒモス</v>
      </c>
      <c r="F57" s="7" t="str">
        <f>VLOOKUP(D57,[1]characters!$A:$J,10,FALSE)</f>
        <v>PremiumN</v>
      </c>
      <c r="G57" s="7">
        <f>VLOOKUP(D57,[1]characters!$A:$I,9,FALSE)</f>
        <v>3</v>
      </c>
      <c r="H57" s="7" t="str">
        <f>VLOOKUP(D57,[1]characters!$A:$H,8,FALSE)</f>
        <v>green</v>
      </c>
      <c r="I57" s="7" t="str">
        <f>VLOOKUP(D57,[1]characters!$A:$K,11,FALSE)</f>
        <v>hp</v>
      </c>
      <c r="J57" s="7" t="str">
        <f>VLOOKUP(D57,[1]characters!$A:$M,13,FALSE)</f>
        <v>animal</v>
      </c>
      <c r="K57" s="7" t="str">
        <f>VLOOKUP(D57,[1]characters!$A:$G,7,FALSE)</f>
        <v>女性</v>
      </c>
      <c r="L57" s="66">
        <f>IFERROR(VLOOKUP(D57,input_6!L:R,7,FALSE),VLOOKUP(tables_6!B57,input_6!A:H,8,FALSE))</f>
        <v>0</v>
      </c>
      <c r="M57" s="67">
        <f t="shared" si="0"/>
        <v>0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customHeight="1">
      <c r="A58" s="2">
        <f>input_6!A$2</f>
        <v>3126</v>
      </c>
      <c r="B58" s="7" t="str">
        <f t="shared" si="1"/>
        <v>Premium4</v>
      </c>
      <c r="C58" s="7" t="str">
        <f t="shared" si="2"/>
        <v>Premium</v>
      </c>
      <c r="D58" s="6">
        <v>182</v>
      </c>
      <c r="E58" s="7" t="str">
        <f>VLOOKUP(D58,[1]characters!$A:$C,3,FALSE)</f>
        <v>放蕩者 ベヒモス</v>
      </c>
      <c r="F58" s="7" t="str">
        <f>VLOOKUP(D58,[1]characters!$A:$J,10,FALSE)</f>
        <v>PremiumN</v>
      </c>
      <c r="G58" s="7">
        <f>VLOOKUP(D58,[1]characters!$A:$I,9,FALSE)</f>
        <v>4</v>
      </c>
      <c r="H58" s="7" t="str">
        <f>VLOOKUP(D58,[1]characters!$A:$H,8,FALSE)</f>
        <v>green</v>
      </c>
      <c r="I58" s="7" t="str">
        <f>VLOOKUP(D58,[1]characters!$A:$K,11,FALSE)</f>
        <v>hp</v>
      </c>
      <c r="J58" s="7" t="str">
        <f>VLOOKUP(D58,[1]characters!$A:$M,13,FALSE)</f>
        <v>animal</v>
      </c>
      <c r="K58" s="7" t="str">
        <f>VLOOKUP(D58,[1]characters!$A:$G,7,FALSE)</f>
        <v>女性</v>
      </c>
      <c r="L58" s="66">
        <f>IFERROR(VLOOKUP(D58,input_6!L:R,7,FALSE),VLOOKUP(tables_6!B58,input_6!A:H,8,FALSE))</f>
        <v>646893</v>
      </c>
      <c r="M58" s="67">
        <f t="shared" si="0"/>
        <v>1.2452702702702703E-2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customHeight="1">
      <c r="A59" s="2">
        <f>input_6!A$2</f>
        <v>3126</v>
      </c>
      <c r="B59" s="7" t="str">
        <f t="shared" si="1"/>
        <v>Premium5</v>
      </c>
      <c r="C59" s="7" t="str">
        <f t="shared" si="2"/>
        <v>Premium</v>
      </c>
      <c r="D59" s="6">
        <v>183</v>
      </c>
      <c r="E59" s="7" t="str">
        <f>VLOOKUP(D59,[1]characters!$A:$C,3,FALSE)</f>
        <v>鈍重な彷徨者 ベヒモス</v>
      </c>
      <c r="F59" s="7" t="str">
        <f>VLOOKUP(D59,[1]characters!$A:$J,10,FALSE)</f>
        <v>PremiumN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hp</v>
      </c>
      <c r="J59" s="7" t="str">
        <f>VLOOKUP(D59,[1]characters!$A:$M,13,FALSE)</f>
        <v>animal</v>
      </c>
      <c r="K59" s="7" t="str">
        <f>VLOOKUP(D59,[1]characters!$A:$G,7,FALSE)</f>
        <v>女性</v>
      </c>
      <c r="L59" s="66">
        <f>IFERROR(VLOOKUP(D59,input_6!L:R,7,FALSE),VLOOKUP(tables_6!B59,input_6!A:H,8,FALSE))</f>
        <v>46657</v>
      </c>
      <c r="M59" s="67">
        <f t="shared" si="0"/>
        <v>8.9814814814814813E-4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customHeight="1">
      <c r="A60" s="2">
        <f>input_6!A$2</f>
        <v>3126</v>
      </c>
      <c r="B60" s="7" t="str">
        <f t="shared" si="1"/>
        <v>Premium3</v>
      </c>
      <c r="C60" s="7" t="str">
        <f t="shared" si="2"/>
        <v>Premium</v>
      </c>
      <c r="D60" s="6">
        <v>184</v>
      </c>
      <c r="E60" s="7" t="str">
        <f>VLOOKUP(D60,[1]characters!$A:$C,3,FALSE)</f>
        <v>クラーケン</v>
      </c>
      <c r="F60" s="7" t="str">
        <f>VLOOKUP(D60,[1]characters!$A:$J,10,FALSE)</f>
        <v>PremiumN</v>
      </c>
      <c r="G60" s="7">
        <f>VLOOKUP(D60,[1]characters!$A:$I,9,FALSE)</f>
        <v>3</v>
      </c>
      <c r="H60" s="7" t="str">
        <f>VLOOKUP(D60,[1]characters!$A:$H,8,FALSE)</f>
        <v>blue</v>
      </c>
      <c r="I60" s="7" t="str">
        <f>VLOOKUP(D60,[1]characters!$A:$K,11,FALSE)</f>
        <v>heal</v>
      </c>
      <c r="J60" s="7" t="str">
        <f>VLOOKUP(D60,[1]characters!$A:$M,13,FALSE)</f>
        <v>animal</v>
      </c>
      <c r="K60" s="7" t="str">
        <f>VLOOKUP(D60,[1]characters!$A:$G,7,FALSE)</f>
        <v>女性</v>
      </c>
      <c r="L60" s="66">
        <f>IFERROR(VLOOKUP(D60,input_6!L:R,7,FALSE),VLOOKUP(tables_6!B60,input_6!A:H,8,FALSE))</f>
        <v>0</v>
      </c>
      <c r="M60" s="67">
        <f t="shared" si="0"/>
        <v>0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customHeight="1">
      <c r="A61" s="2">
        <f>input_6!A$2</f>
        <v>3126</v>
      </c>
      <c r="B61" s="7" t="str">
        <f t="shared" si="1"/>
        <v>Premium4</v>
      </c>
      <c r="C61" s="7" t="str">
        <f t="shared" si="2"/>
        <v>Premium</v>
      </c>
      <c r="D61" s="6">
        <v>185</v>
      </c>
      <c r="E61" s="7" t="str">
        <f>VLOOKUP(D61,[1]characters!$A:$C,3,FALSE)</f>
        <v>海姫 クラーケン</v>
      </c>
      <c r="F61" s="7" t="str">
        <f>VLOOKUP(D61,[1]characters!$A:$J,10,FALSE)</f>
        <v>PremiumN</v>
      </c>
      <c r="G61" s="7">
        <f>VLOOKUP(D61,[1]characters!$A:$I,9,FALSE)</f>
        <v>4</v>
      </c>
      <c r="H61" s="7" t="str">
        <f>VLOOKUP(D61,[1]characters!$A:$H,8,FALSE)</f>
        <v>blue</v>
      </c>
      <c r="I61" s="7" t="str">
        <f>VLOOKUP(D61,[1]characters!$A:$K,11,FALSE)</f>
        <v>heal</v>
      </c>
      <c r="J61" s="7" t="str">
        <f>VLOOKUP(D61,[1]characters!$A:$M,13,FALSE)</f>
        <v>animal</v>
      </c>
      <c r="K61" s="7" t="str">
        <f>VLOOKUP(D61,[1]characters!$A:$G,7,FALSE)</f>
        <v>女性</v>
      </c>
      <c r="L61" s="66">
        <f>IFERROR(VLOOKUP(D61,input_6!L:R,7,FALSE),VLOOKUP(tables_6!B61,input_6!A:H,8,FALSE))</f>
        <v>646893</v>
      </c>
      <c r="M61" s="67">
        <f t="shared" si="0"/>
        <v>1.2452702702702703E-2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customHeight="1">
      <c r="A62" s="2">
        <f>input_6!A$2</f>
        <v>3126</v>
      </c>
      <c r="B62" s="7" t="str">
        <f t="shared" si="1"/>
        <v>Premium5</v>
      </c>
      <c r="C62" s="7" t="str">
        <f t="shared" si="2"/>
        <v>Premium</v>
      </c>
      <c r="D62" s="8">
        <v>186</v>
      </c>
      <c r="E62" s="7" t="str">
        <f>VLOOKUP(D62,[1]characters!$A:$C,3,FALSE)</f>
        <v>誇り高き多触姫・クラーケン</v>
      </c>
      <c r="F62" s="7" t="str">
        <f>VLOOKUP(D62,[1]characters!$A:$J,10,FALSE)</f>
        <v>PremiumN</v>
      </c>
      <c r="G62" s="7">
        <f>VLOOKUP(D62,[1]characters!$A:$I,9,FALSE)</f>
        <v>5</v>
      </c>
      <c r="H62" s="7" t="str">
        <f>VLOOKUP(D62,[1]characters!$A:$H,8,FALSE)</f>
        <v>blue</v>
      </c>
      <c r="I62" s="7" t="str">
        <f>VLOOKUP(D62,[1]characters!$A:$K,11,FALSE)</f>
        <v>heal</v>
      </c>
      <c r="J62" s="7" t="str">
        <f>VLOOKUP(D62,[1]characters!$A:$M,13,FALSE)</f>
        <v>animal</v>
      </c>
      <c r="K62" s="7" t="str">
        <f>VLOOKUP(D62,[1]characters!$A:$G,7,FALSE)</f>
        <v>女性</v>
      </c>
      <c r="L62" s="66">
        <f>IFERROR(VLOOKUP(D62,input_6!L:R,7,FALSE),VLOOKUP(tables_6!B62,input_6!A:H,8,FALSE))</f>
        <v>46657</v>
      </c>
      <c r="M62" s="67">
        <f t="shared" si="0"/>
        <v>8.9814814814814813E-4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customHeight="1">
      <c r="A63" s="2">
        <f>input_6!A$2</f>
        <v>3126</v>
      </c>
      <c r="B63" s="7" t="str">
        <f t="shared" si="1"/>
        <v>Premium3</v>
      </c>
      <c r="C63" s="7" t="str">
        <f t="shared" si="2"/>
        <v>Premium</v>
      </c>
      <c r="D63" s="8">
        <v>187</v>
      </c>
      <c r="E63" s="7" t="str">
        <f>VLOOKUP(D63,[1]characters!$A:$C,3,FALSE)</f>
        <v>ホルス</v>
      </c>
      <c r="F63" s="7" t="str">
        <f>VLOOKUP(D63,[1]characters!$A:$J,10,FALSE)</f>
        <v>PremiumN</v>
      </c>
      <c r="G63" s="7">
        <f>VLOOKUP(D63,[1]characters!$A:$I,9,FALSE)</f>
        <v>3</v>
      </c>
      <c r="H63" s="7" t="str">
        <f>VLOOKUP(D63,[1]characters!$A:$H,8,FALSE)</f>
        <v>yellow</v>
      </c>
      <c r="I63" s="7" t="str">
        <f>VLOOKUP(D63,[1]characters!$A:$K,11,FALSE)</f>
        <v>attack</v>
      </c>
      <c r="J63" s="7" t="str">
        <f>VLOOKUP(D63,[1]characters!$A:$M,13,FALSE)</f>
        <v>animal</v>
      </c>
      <c r="K63" s="7" t="str">
        <f>VLOOKUP(D63,[1]characters!$A:$G,7,FALSE)</f>
        <v>女性</v>
      </c>
      <c r="L63" s="66">
        <f>IFERROR(VLOOKUP(D63,input_6!L:R,7,FALSE),VLOOKUP(tables_6!B63,input_6!A:H,8,FALSE))</f>
        <v>0</v>
      </c>
      <c r="M63" s="67">
        <f t="shared" si="0"/>
        <v>0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customHeight="1">
      <c r="A64" s="2">
        <f>input_6!A$2</f>
        <v>3126</v>
      </c>
      <c r="B64" s="7" t="str">
        <f t="shared" si="1"/>
        <v>Premium4</v>
      </c>
      <c r="C64" s="7" t="str">
        <f t="shared" si="2"/>
        <v>Premium</v>
      </c>
      <c r="D64" s="8">
        <v>188</v>
      </c>
      <c r="E64" s="7" t="str">
        <f>VLOOKUP(D64,[1]characters!$A:$C,3,FALSE)</f>
        <v>猛禽 ホルス</v>
      </c>
      <c r="F64" s="7" t="str">
        <f>VLOOKUP(D64,[1]characters!$A:$J,10,FALSE)</f>
        <v>PremiumN</v>
      </c>
      <c r="G64" s="7">
        <f>VLOOKUP(D64,[1]characters!$A:$I,9,FALSE)</f>
        <v>4</v>
      </c>
      <c r="H64" s="7" t="str">
        <f>VLOOKUP(D64,[1]characters!$A:$H,8,FALSE)</f>
        <v>yellow</v>
      </c>
      <c r="I64" s="7" t="str">
        <f>VLOOKUP(D64,[1]characters!$A:$K,11,FALSE)</f>
        <v>attack</v>
      </c>
      <c r="J64" s="7" t="str">
        <f>VLOOKUP(D64,[1]characters!$A:$M,13,FALSE)</f>
        <v>animal</v>
      </c>
      <c r="K64" s="7" t="str">
        <f>VLOOKUP(D64,[1]characters!$A:$G,7,FALSE)</f>
        <v>女性</v>
      </c>
      <c r="L64" s="66">
        <f>IFERROR(VLOOKUP(D64,input_6!L:R,7,FALSE),VLOOKUP(tables_6!B64,input_6!A:H,8,FALSE))</f>
        <v>646893</v>
      </c>
      <c r="M64" s="67">
        <f t="shared" si="0"/>
        <v>1.2452702702702703E-2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customHeight="1">
      <c r="A65" s="2">
        <f>input_6!A$2</f>
        <v>3126</v>
      </c>
      <c r="B65" s="7" t="str">
        <f t="shared" si="1"/>
        <v>Premium5</v>
      </c>
      <c r="C65" s="7" t="str">
        <f t="shared" si="2"/>
        <v>Premium</v>
      </c>
      <c r="D65" s="8">
        <v>189</v>
      </c>
      <c r="E65" s="7" t="str">
        <f>VLOOKUP(D65,[1]characters!$A:$C,3,FALSE)</f>
        <v>迅雷の王禽 ホルス</v>
      </c>
      <c r="F65" s="7" t="str">
        <f>VLOOKUP(D65,[1]characters!$A:$J,10,FALSE)</f>
        <v>PremiumN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attack</v>
      </c>
      <c r="J65" s="7" t="str">
        <f>VLOOKUP(D65,[1]characters!$A:$M,13,FALSE)</f>
        <v>animal</v>
      </c>
      <c r="K65" s="7" t="str">
        <f>VLOOKUP(D65,[1]characters!$A:$G,7,FALSE)</f>
        <v>女性</v>
      </c>
      <c r="L65" s="66">
        <f>IFERROR(VLOOKUP(D65,input_6!L:R,7,FALSE),VLOOKUP(tables_6!B65,input_6!A:H,8,FALSE))</f>
        <v>46657</v>
      </c>
      <c r="M65" s="67">
        <f t="shared" si="0"/>
        <v>8.9814814814814813E-4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s="9" customFormat="1" ht="21" customHeight="1" thickBot="1">
      <c r="A66" s="2">
        <f>input_6!A$2</f>
        <v>3126</v>
      </c>
      <c r="B66" s="7" t="str">
        <f t="shared" si="1"/>
        <v>Premium3</v>
      </c>
      <c r="C66" s="7" t="str">
        <f t="shared" si="2"/>
        <v>Premium</v>
      </c>
      <c r="D66" s="6">
        <v>190</v>
      </c>
      <c r="E66" s="7" t="str">
        <f>VLOOKUP(D66,[1]characters!$A:$C,3,FALSE)</f>
        <v>卑弥呼</v>
      </c>
      <c r="F66" s="7" t="str">
        <f>VLOOKUP(D66,[1]characters!$A:$J,10,FALSE)</f>
        <v>PremiumN</v>
      </c>
      <c r="G66" s="7">
        <f>VLOOKUP(D66,[1]characters!$A:$I,9,FALSE)</f>
        <v>3</v>
      </c>
      <c r="H66" s="7" t="str">
        <f>VLOOKUP(D66,[1]characters!$A:$H,8,FALSE)</f>
        <v>red</v>
      </c>
      <c r="I66" s="7" t="str">
        <f>VLOOKUP(D66,[1]characters!$A:$K,11,FALSE)</f>
        <v>balance</v>
      </c>
      <c r="J66" s="7" t="str">
        <f>VLOOKUP(D66,[1]characters!$A:$M,13,FALSE)</f>
        <v>human</v>
      </c>
      <c r="K66" s="7" t="str">
        <f>VLOOKUP(D66,[1]characters!$A:$G,7,FALSE)</f>
        <v>女性</v>
      </c>
      <c r="L66" s="66">
        <f>IFERROR(VLOOKUP(D66,input_6!L:R,7,FALSE),VLOOKUP(tables_6!B66,input_6!A:H,8,FALSE))</f>
        <v>0</v>
      </c>
      <c r="M66" s="67">
        <f t="shared" ref="M66:M129" si="3">L66/SUM(L:L)</f>
        <v>0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customHeight="1">
      <c r="A67" s="2">
        <f>input_6!A$2</f>
        <v>3126</v>
      </c>
      <c r="B67" s="7" t="str">
        <f t="shared" ref="B67:B130" si="4">C67&amp;G67</f>
        <v>Premium4</v>
      </c>
      <c r="C67" s="7" t="str">
        <f t="shared" ref="C67:C130" si="5">IF(F67="PremiumSS",F67,IF(F67="PremiumSSS",F67,"Premium"))</f>
        <v>Premium</v>
      </c>
      <c r="D67" s="6">
        <v>191</v>
      </c>
      <c r="E67" s="7" t="str">
        <f>VLOOKUP(D67,[1]characters!$A:$C,3,FALSE)</f>
        <v>始祖 卑弥呼</v>
      </c>
      <c r="F67" s="7" t="str">
        <f>VLOOKUP(D67,[1]characters!$A:$J,10,FALSE)</f>
        <v>PremiumN</v>
      </c>
      <c r="G67" s="7">
        <f>VLOOKUP(D67,[1]characters!$A:$I,9,FALSE)</f>
        <v>4</v>
      </c>
      <c r="H67" s="7" t="str">
        <f>VLOOKUP(D67,[1]characters!$A:$H,8,FALSE)</f>
        <v>red</v>
      </c>
      <c r="I67" s="7" t="str">
        <f>VLOOKUP(D67,[1]characters!$A:$K,11,FALSE)</f>
        <v>balance</v>
      </c>
      <c r="J67" s="7" t="str">
        <f>VLOOKUP(D67,[1]characters!$A:$M,13,FALSE)</f>
        <v>human</v>
      </c>
      <c r="K67" s="7" t="str">
        <f>VLOOKUP(D67,[1]characters!$A:$G,7,FALSE)</f>
        <v>女性</v>
      </c>
      <c r="L67" s="66">
        <f>IFERROR(VLOOKUP(D67,input_6!L:R,7,FALSE),VLOOKUP(tables_6!B67,input_6!A:H,8,FALSE))</f>
        <v>646893</v>
      </c>
      <c r="M67" s="67">
        <f t="shared" si="3"/>
        <v>1.2452702702702703E-2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customHeight="1">
      <c r="A68" s="2">
        <f>input_6!A$2</f>
        <v>3126</v>
      </c>
      <c r="B68" s="7" t="str">
        <f t="shared" si="4"/>
        <v>Premium5</v>
      </c>
      <c r="C68" s="7" t="str">
        <f t="shared" si="5"/>
        <v>Premium</v>
      </c>
      <c r="D68" s="6">
        <v>192</v>
      </c>
      <c r="E68" s="7" t="str">
        <f>VLOOKUP(D68,[1]characters!$A:$C,3,FALSE)</f>
        <v>荘厳なる始祖帝 卑弥呼</v>
      </c>
      <c r="F68" s="7" t="str">
        <f>VLOOKUP(D68,[1]characters!$A:$J,10,FALSE)</f>
        <v>PremiumN</v>
      </c>
      <c r="G68" s="7">
        <f>VLOOKUP(D68,[1]characters!$A:$I,9,FALSE)</f>
        <v>5</v>
      </c>
      <c r="H68" s="7" t="str">
        <f>VLOOKUP(D68,[1]characters!$A:$H,8,FALSE)</f>
        <v>red</v>
      </c>
      <c r="I68" s="7" t="str">
        <f>VLOOKUP(D68,[1]characters!$A:$K,11,FALSE)</f>
        <v>balance</v>
      </c>
      <c r="J68" s="7" t="str">
        <f>VLOOKUP(D68,[1]characters!$A:$M,13,FALSE)</f>
        <v>human</v>
      </c>
      <c r="K68" s="7" t="str">
        <f>VLOOKUP(D68,[1]characters!$A:$G,7,FALSE)</f>
        <v>女性</v>
      </c>
      <c r="L68" s="66">
        <f>IFERROR(VLOOKUP(D68,input_6!L:R,7,FALSE),VLOOKUP(tables_6!B68,input_6!A:H,8,FALSE))</f>
        <v>46657</v>
      </c>
      <c r="M68" s="67">
        <f t="shared" si="3"/>
        <v>8.9814814814814813E-4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customHeight="1">
      <c r="A69" s="2">
        <f>input_6!A$2</f>
        <v>3126</v>
      </c>
      <c r="B69" s="7" t="str">
        <f t="shared" si="4"/>
        <v>Premium3</v>
      </c>
      <c r="C69" s="7" t="str">
        <f t="shared" si="5"/>
        <v>Premium</v>
      </c>
      <c r="D69" s="6">
        <v>193</v>
      </c>
      <c r="E69" s="7" t="str">
        <f>VLOOKUP(D69,[1]characters!$A:$C,3,FALSE)</f>
        <v>ロビンフッド</v>
      </c>
      <c r="F69" s="7" t="str">
        <f>VLOOKUP(D69,[1]characters!$A:$J,10,FALSE)</f>
        <v>PremiumN</v>
      </c>
      <c r="G69" s="7">
        <f>VLOOKUP(D69,[1]characters!$A:$I,9,FALSE)</f>
        <v>3</v>
      </c>
      <c r="H69" s="7" t="str">
        <f>VLOOKUP(D69,[1]characters!$A:$H,8,FALSE)</f>
        <v>green</v>
      </c>
      <c r="I69" s="7" t="str">
        <f>VLOOKUP(D69,[1]characters!$A:$K,11,FALSE)</f>
        <v>balance</v>
      </c>
      <c r="J69" s="7" t="str">
        <f>VLOOKUP(D69,[1]characters!$A:$M,13,FALSE)</f>
        <v>human</v>
      </c>
      <c r="K69" s="7" t="str">
        <f>VLOOKUP(D69,[1]characters!$A:$G,7,FALSE)</f>
        <v>女性</v>
      </c>
      <c r="L69" s="66">
        <f>IFERROR(VLOOKUP(D69,input_6!L:R,7,FALSE),VLOOKUP(tables_6!B69,input_6!A:H,8,FALSE))</f>
        <v>0</v>
      </c>
      <c r="M69" s="67">
        <f t="shared" si="3"/>
        <v>0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customHeight="1">
      <c r="A70" s="2">
        <f>input_6!A$2</f>
        <v>3126</v>
      </c>
      <c r="B70" s="7" t="str">
        <f t="shared" si="4"/>
        <v>Premium4</v>
      </c>
      <c r="C70" s="7" t="str">
        <f t="shared" si="5"/>
        <v>Premium</v>
      </c>
      <c r="D70" s="10">
        <v>194</v>
      </c>
      <c r="E70" s="7" t="str">
        <f>VLOOKUP(D70,[1]characters!$A:$C,3,FALSE)</f>
        <v>スナイパー ロビンフッド</v>
      </c>
      <c r="F70" s="7" t="str">
        <f>VLOOKUP(D70,[1]characters!$A:$J,10,FALSE)</f>
        <v>PremiumN</v>
      </c>
      <c r="G70" s="7">
        <f>VLOOKUP(D70,[1]characters!$A:$I,9,FALSE)</f>
        <v>4</v>
      </c>
      <c r="H70" s="7" t="str">
        <f>VLOOKUP(D70,[1]characters!$A:$H,8,FALSE)</f>
        <v>green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女性</v>
      </c>
      <c r="L70" s="66">
        <f>IFERROR(VLOOKUP(D70,input_6!L:R,7,FALSE),VLOOKUP(tables_6!B70,input_6!A:H,8,FALSE))</f>
        <v>646893</v>
      </c>
      <c r="M70" s="67">
        <f t="shared" si="3"/>
        <v>1.2452702702702703E-2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customHeight="1">
      <c r="A71" s="2">
        <f>input_6!A$2</f>
        <v>3126</v>
      </c>
      <c r="B71" s="7" t="str">
        <f t="shared" si="4"/>
        <v>Premium5</v>
      </c>
      <c r="C71" s="7" t="str">
        <f t="shared" si="5"/>
        <v>Premium</v>
      </c>
      <c r="D71" s="6">
        <v>195</v>
      </c>
      <c r="E71" s="7" t="str">
        <f>VLOOKUP(D71,[1]characters!$A:$C,3,FALSE)</f>
        <v>グランドハンター ロビンフッド</v>
      </c>
      <c r="F71" s="7" t="str">
        <f>VLOOKUP(D71,[1]characters!$A:$J,10,FALSE)</f>
        <v>PremiumN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balance</v>
      </c>
      <c r="J71" s="7" t="str">
        <f>VLOOKUP(D71,[1]characters!$A:$M,13,FALSE)</f>
        <v>human</v>
      </c>
      <c r="K71" s="7" t="str">
        <f>VLOOKUP(D71,[1]characters!$A:$G,7,FALSE)</f>
        <v>女性</v>
      </c>
      <c r="L71" s="66">
        <f>IFERROR(VLOOKUP(D71,input_6!L:R,7,FALSE),VLOOKUP(tables_6!B71,input_6!A:H,8,FALSE))</f>
        <v>46657</v>
      </c>
      <c r="M71" s="67">
        <f t="shared" si="3"/>
        <v>8.9814814814814813E-4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customHeight="1">
      <c r="A72" s="2">
        <f>input_6!A$2</f>
        <v>3126</v>
      </c>
      <c r="B72" s="7" t="str">
        <f t="shared" si="4"/>
        <v>Premium3</v>
      </c>
      <c r="C72" s="7" t="str">
        <f t="shared" si="5"/>
        <v>Premium</v>
      </c>
      <c r="D72" s="10">
        <v>196</v>
      </c>
      <c r="E72" s="7" t="str">
        <f>VLOOKUP(D72,[1]characters!$A:$C,3,FALSE)</f>
        <v>アキレス</v>
      </c>
      <c r="F72" s="7" t="str">
        <f>VLOOKUP(D72,[1]characters!$A:$J,10,FALSE)</f>
        <v>PremiumN</v>
      </c>
      <c r="G72" s="7">
        <f>VLOOKUP(D72,[1]characters!$A:$I,9,FALSE)</f>
        <v>3</v>
      </c>
      <c r="H72" s="7" t="str">
        <f>VLOOKUP(D72,[1]characters!$A:$H,8,FALSE)</f>
        <v>yellow</v>
      </c>
      <c r="I72" s="7" t="str">
        <f>VLOOKUP(D72,[1]characters!$A:$K,11,FALSE)</f>
        <v>balance</v>
      </c>
      <c r="J72" s="7" t="str">
        <f>VLOOKUP(D72,[1]characters!$A:$M,13,FALSE)</f>
        <v>human</v>
      </c>
      <c r="K72" s="7" t="str">
        <f>VLOOKUP(D72,[1]characters!$A:$G,7,FALSE)</f>
        <v>女性</v>
      </c>
      <c r="L72" s="66">
        <f>IFERROR(VLOOKUP(D72,input_6!L:R,7,FALSE),VLOOKUP(tables_6!B72,input_6!A:H,8,FALSE))</f>
        <v>0</v>
      </c>
      <c r="M72" s="67">
        <f t="shared" si="3"/>
        <v>0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customHeight="1">
      <c r="A73" s="2">
        <f>input_6!A$2</f>
        <v>3126</v>
      </c>
      <c r="B73" s="7" t="str">
        <f t="shared" si="4"/>
        <v>Premium4</v>
      </c>
      <c r="C73" s="7" t="str">
        <f t="shared" si="5"/>
        <v>Premium</v>
      </c>
      <c r="D73" s="11">
        <v>197</v>
      </c>
      <c r="E73" s="7" t="str">
        <f>VLOOKUP(D73,[1]characters!$A:$C,3,FALSE)</f>
        <v>鉄腕 アキレス</v>
      </c>
      <c r="F73" s="7" t="str">
        <f>VLOOKUP(D73,[1]characters!$A:$J,10,FALSE)</f>
        <v>PremiumN</v>
      </c>
      <c r="G73" s="7">
        <f>VLOOKUP(D73,[1]characters!$A:$I,9,FALSE)</f>
        <v>4</v>
      </c>
      <c r="H73" s="7" t="str">
        <f>VLOOKUP(D73,[1]characters!$A:$H,8,FALSE)</f>
        <v>yellow</v>
      </c>
      <c r="I73" s="7" t="str">
        <f>VLOOKUP(D73,[1]characters!$A:$K,11,FALSE)</f>
        <v>balance</v>
      </c>
      <c r="J73" s="7" t="str">
        <f>VLOOKUP(D73,[1]characters!$A:$M,13,FALSE)</f>
        <v>human</v>
      </c>
      <c r="K73" s="7" t="str">
        <f>VLOOKUP(D73,[1]characters!$A:$G,7,FALSE)</f>
        <v>女性</v>
      </c>
      <c r="L73" s="66">
        <f>IFERROR(VLOOKUP(D73,input_6!L:R,7,FALSE),VLOOKUP(tables_6!B73,input_6!A:H,8,FALSE))</f>
        <v>646893</v>
      </c>
      <c r="M73" s="67">
        <f t="shared" si="3"/>
        <v>1.2452702702702703E-2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customHeight="1">
      <c r="A74" s="2">
        <f>input_6!A$2</f>
        <v>3126</v>
      </c>
      <c r="B74" s="7" t="str">
        <f t="shared" si="4"/>
        <v>Premium5</v>
      </c>
      <c r="C74" s="7" t="str">
        <f t="shared" si="5"/>
        <v>Premium</v>
      </c>
      <c r="D74" s="6">
        <v>198</v>
      </c>
      <c r="E74" s="7" t="str">
        <f>VLOOKUP(D74,[1]characters!$A:$C,3,FALSE)</f>
        <v>砕骨の剛腕 アキレス</v>
      </c>
      <c r="F74" s="7" t="str">
        <f>VLOOKUP(D74,[1]characters!$A:$J,10,FALSE)</f>
        <v>PremiumN</v>
      </c>
      <c r="G74" s="7">
        <f>VLOOKUP(D74,[1]characters!$A:$I,9,FALSE)</f>
        <v>5</v>
      </c>
      <c r="H74" s="7" t="str">
        <f>VLOOKUP(D74,[1]characters!$A:$H,8,FALSE)</f>
        <v>yellow</v>
      </c>
      <c r="I74" s="7" t="str">
        <f>VLOOKUP(D74,[1]characters!$A:$K,11,FALSE)</f>
        <v>balance</v>
      </c>
      <c r="J74" s="7" t="str">
        <f>VLOOKUP(D74,[1]characters!$A:$M,13,FALSE)</f>
        <v>human</v>
      </c>
      <c r="K74" s="7" t="str">
        <f>VLOOKUP(D74,[1]characters!$A:$G,7,FALSE)</f>
        <v>女性</v>
      </c>
      <c r="L74" s="66">
        <f>IFERROR(VLOOKUP(D74,input_6!L:R,7,FALSE),VLOOKUP(tables_6!B74,input_6!A:H,8,FALSE))</f>
        <v>46657</v>
      </c>
      <c r="M74" s="67">
        <f t="shared" si="3"/>
        <v>8.9814814814814813E-4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customHeight="1">
      <c r="A75" s="2">
        <f>input_6!A$2</f>
        <v>3126</v>
      </c>
      <c r="B75" s="7" t="str">
        <f t="shared" si="4"/>
        <v>Premium3</v>
      </c>
      <c r="C75" s="7" t="str">
        <f t="shared" si="5"/>
        <v>Premium</v>
      </c>
      <c r="D75" s="6">
        <v>199</v>
      </c>
      <c r="E75" s="7" t="str">
        <f>VLOOKUP(D75,[1]characters!$A:$C,3,FALSE)</f>
        <v>ジークフリート</v>
      </c>
      <c r="F75" s="7" t="str">
        <f>VLOOKUP(D75,[1]characters!$A:$J,10,FALSE)</f>
        <v>PremiumN</v>
      </c>
      <c r="G75" s="7">
        <f>VLOOKUP(D75,[1]characters!$A:$I,9,FALSE)</f>
        <v>3</v>
      </c>
      <c r="H75" s="7" t="str">
        <f>VLOOKUP(D75,[1]characters!$A:$H,8,FALSE)</f>
        <v>blue</v>
      </c>
      <c r="I75" s="7" t="str">
        <f>VLOOKUP(D75,[1]characters!$A:$K,11,FALSE)</f>
        <v>balance</v>
      </c>
      <c r="J75" s="7" t="str">
        <f>VLOOKUP(D75,[1]characters!$A:$M,13,FALSE)</f>
        <v>human</v>
      </c>
      <c r="K75" s="7" t="str">
        <f>VLOOKUP(D75,[1]characters!$A:$G,7,FALSE)</f>
        <v>男性</v>
      </c>
      <c r="L75" s="66">
        <f>IFERROR(VLOOKUP(D75,input_6!L:R,7,FALSE),VLOOKUP(tables_6!B75,input_6!A:H,8,FALSE))</f>
        <v>0</v>
      </c>
      <c r="M75" s="67">
        <f t="shared" si="3"/>
        <v>0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customHeight="1">
      <c r="A76" s="2">
        <f>input_6!A$2</f>
        <v>3126</v>
      </c>
      <c r="B76" s="7" t="str">
        <f t="shared" si="4"/>
        <v>Premium4</v>
      </c>
      <c r="C76" s="7" t="str">
        <f t="shared" si="5"/>
        <v>Premium</v>
      </c>
      <c r="D76" s="6">
        <v>200</v>
      </c>
      <c r="E76" s="7" t="str">
        <f>VLOOKUP(D76,[1]characters!$A:$C,3,FALSE)</f>
        <v>大剣士 ジークフリート</v>
      </c>
      <c r="F76" s="7" t="str">
        <f>VLOOKUP(D76,[1]characters!$A:$J,10,FALSE)</f>
        <v>PremiumN</v>
      </c>
      <c r="G76" s="7">
        <f>VLOOKUP(D76,[1]characters!$A:$I,9,FALSE)</f>
        <v>4</v>
      </c>
      <c r="H76" s="7" t="str">
        <f>VLOOKUP(D76,[1]characters!$A:$H,8,FALSE)</f>
        <v>blue</v>
      </c>
      <c r="I76" s="7" t="str">
        <f>VLOOKUP(D76,[1]characters!$A:$K,11,FALSE)</f>
        <v>balance</v>
      </c>
      <c r="J76" s="7" t="str">
        <f>VLOOKUP(D76,[1]characters!$A:$M,13,FALSE)</f>
        <v>human</v>
      </c>
      <c r="K76" s="7" t="str">
        <f>VLOOKUP(D76,[1]characters!$A:$G,7,FALSE)</f>
        <v>男性</v>
      </c>
      <c r="L76" s="66">
        <f>IFERROR(VLOOKUP(D76,input_6!L:R,7,FALSE),VLOOKUP(tables_6!B76,input_6!A:H,8,FALSE))</f>
        <v>646893</v>
      </c>
      <c r="M76" s="67">
        <f t="shared" si="3"/>
        <v>1.2452702702702703E-2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customHeight="1">
      <c r="A77" s="2">
        <f>input_6!A$2</f>
        <v>3126</v>
      </c>
      <c r="B77" s="7" t="str">
        <f t="shared" si="4"/>
        <v>Premium5</v>
      </c>
      <c r="C77" s="7" t="str">
        <f t="shared" si="5"/>
        <v>Premium</v>
      </c>
      <c r="D77" s="5">
        <v>201</v>
      </c>
      <c r="E77" s="7" t="str">
        <f>VLOOKUP(D77,[1]characters!$A:$C,3,FALSE)</f>
        <v>斬空の大破剣 ジークフリート</v>
      </c>
      <c r="F77" s="7" t="str">
        <f>VLOOKUP(D77,[1]characters!$A:$J,10,FALSE)</f>
        <v>PremiumN</v>
      </c>
      <c r="G77" s="7">
        <f>VLOOKUP(D77,[1]characters!$A:$I,9,FALSE)</f>
        <v>5</v>
      </c>
      <c r="H77" s="7" t="str">
        <f>VLOOKUP(D77,[1]characters!$A:$H,8,FALSE)</f>
        <v>blue</v>
      </c>
      <c r="I77" s="7" t="str">
        <f>VLOOKUP(D77,[1]characters!$A:$K,11,FALSE)</f>
        <v>balance</v>
      </c>
      <c r="J77" s="7" t="str">
        <f>VLOOKUP(D77,[1]characters!$A:$M,13,FALSE)</f>
        <v>human</v>
      </c>
      <c r="K77" s="7" t="str">
        <f>VLOOKUP(D77,[1]characters!$A:$G,7,FALSE)</f>
        <v>男性</v>
      </c>
      <c r="L77" s="66">
        <f>IFERROR(VLOOKUP(D77,input_6!L:R,7,FALSE),VLOOKUP(tables_6!B77,input_6!A:H,8,FALSE))</f>
        <v>46657</v>
      </c>
      <c r="M77" s="67">
        <f t="shared" si="3"/>
        <v>8.9814814814814813E-4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customHeight="1">
      <c r="A78" s="2">
        <f>input_6!A$2</f>
        <v>3126</v>
      </c>
      <c r="B78" s="7" t="str">
        <f t="shared" si="4"/>
        <v>Premium3</v>
      </c>
      <c r="C78" s="7" t="str">
        <f t="shared" si="5"/>
        <v>Premium</v>
      </c>
      <c r="D78" s="5">
        <v>202</v>
      </c>
      <c r="E78" s="7" t="str">
        <f>VLOOKUP(D78,[1]characters!$A:$C,3,FALSE)</f>
        <v>プロメテウス</v>
      </c>
      <c r="F78" s="7" t="str">
        <f>VLOOKUP(D78,[1]characters!$A:$J,10,FALSE)</f>
        <v>PremiumN</v>
      </c>
      <c r="G78" s="7">
        <f>VLOOKUP(D78,[1]characters!$A:$I,9,FALSE)</f>
        <v>3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66">
        <f>IFERROR(VLOOKUP(D78,input_6!L:R,7,FALSE),VLOOKUP(tables_6!B78,input_6!A:H,8,FALSE))</f>
        <v>0</v>
      </c>
      <c r="M78" s="67">
        <f t="shared" si="3"/>
        <v>0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customHeight="1">
      <c r="A79" s="2">
        <f>input_6!A$2</f>
        <v>3126</v>
      </c>
      <c r="B79" s="7" t="str">
        <f t="shared" si="4"/>
        <v>Premium4</v>
      </c>
      <c r="C79" s="7" t="str">
        <f t="shared" si="5"/>
        <v>Premium</v>
      </c>
      <c r="D79" s="5">
        <v>203</v>
      </c>
      <c r="E79" s="7" t="str">
        <f>VLOOKUP(D79,[1]characters!$A:$C,3,FALSE)</f>
        <v>焔神 プロメテウス</v>
      </c>
      <c r="F79" s="7" t="str">
        <f>VLOOKUP(D79,[1]characters!$A:$J,10,FALSE)</f>
        <v>PremiumN</v>
      </c>
      <c r="G79" s="7">
        <f>VLOOKUP(D79,[1]characters!$A:$I,9,FALSE)</f>
        <v>4</v>
      </c>
      <c r="H79" s="7" t="str">
        <f>VLOOKUP(D79,[1]characters!$A:$H,8,FALSE)</f>
        <v>red</v>
      </c>
      <c r="I79" s="7" t="str">
        <f>VLOOKUP(D79,[1]characters!$A:$K,11,FALSE)</f>
        <v>hp</v>
      </c>
      <c r="J79" s="7" t="str">
        <f>VLOOKUP(D79,[1]characters!$A:$M,13,FALSE)</f>
        <v>god</v>
      </c>
      <c r="K79" s="7" t="str">
        <f>VLOOKUP(D79,[1]characters!$A:$G,7,FALSE)</f>
        <v>男性</v>
      </c>
      <c r="L79" s="66">
        <f>IFERROR(VLOOKUP(D79,input_6!L:R,7,FALSE),VLOOKUP(tables_6!B79,input_6!A:H,8,FALSE))</f>
        <v>646893</v>
      </c>
      <c r="M79" s="67">
        <f t="shared" si="3"/>
        <v>1.2452702702702703E-2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customHeight="1">
      <c r="A80" s="2">
        <f>input_6!A$2</f>
        <v>3126</v>
      </c>
      <c r="B80" s="7" t="str">
        <f t="shared" si="4"/>
        <v>Premium5</v>
      </c>
      <c r="C80" s="7" t="str">
        <f t="shared" si="5"/>
        <v>Premium</v>
      </c>
      <c r="D80" s="5">
        <v>204</v>
      </c>
      <c r="E80" s="7" t="str">
        <f>VLOOKUP(D80,[1]characters!$A:$C,3,FALSE)</f>
        <v>慟哭の巨焔 プロメテウス</v>
      </c>
      <c r="F80" s="7" t="str">
        <f>VLOOKUP(D80,[1]characters!$A:$J,10,FALSE)</f>
        <v>PremiumN</v>
      </c>
      <c r="G80" s="7">
        <f>VLOOKUP(D80,[1]characters!$A:$I,9,FALSE)</f>
        <v>5</v>
      </c>
      <c r="H80" s="7" t="str">
        <f>VLOOKUP(D80,[1]characters!$A:$H,8,FALSE)</f>
        <v>red</v>
      </c>
      <c r="I80" s="7" t="str">
        <f>VLOOKUP(D80,[1]characters!$A:$K,11,FALSE)</f>
        <v>hp</v>
      </c>
      <c r="J80" s="7" t="str">
        <f>VLOOKUP(D80,[1]characters!$A:$M,13,FALSE)</f>
        <v>god</v>
      </c>
      <c r="K80" s="7" t="str">
        <f>VLOOKUP(D80,[1]characters!$A:$G,7,FALSE)</f>
        <v>男性</v>
      </c>
      <c r="L80" s="66">
        <f>IFERROR(VLOOKUP(D80,input_6!L:R,7,FALSE),VLOOKUP(tables_6!B80,input_6!A:H,8,FALSE))</f>
        <v>46657</v>
      </c>
      <c r="M80" s="67">
        <f t="shared" si="3"/>
        <v>8.9814814814814813E-4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customHeight="1">
      <c r="A81" s="2">
        <f>input_6!A$2</f>
        <v>3126</v>
      </c>
      <c r="B81" s="7" t="str">
        <f t="shared" si="4"/>
        <v>Premium3</v>
      </c>
      <c r="C81" s="7" t="str">
        <f t="shared" si="5"/>
        <v>Premium</v>
      </c>
      <c r="D81" s="5">
        <v>205</v>
      </c>
      <c r="E81" s="7" t="str">
        <f>VLOOKUP(D81,[1]characters!$A:$C,3,FALSE)</f>
        <v>アフロディーテ</v>
      </c>
      <c r="F81" s="7" t="str">
        <f>VLOOKUP(D81,[1]characters!$A:$J,10,FALSE)</f>
        <v>PremiumN</v>
      </c>
      <c r="G81" s="7">
        <f>VLOOKUP(D81,[1]characters!$A:$I,9,FALSE)</f>
        <v>3</v>
      </c>
      <c r="H81" s="7" t="str">
        <f>VLOOKUP(D81,[1]characters!$A:$H,8,FALSE)</f>
        <v>green</v>
      </c>
      <c r="I81" s="7" t="str">
        <f>VLOOKUP(D81,[1]characters!$A:$K,11,FALSE)</f>
        <v>hp</v>
      </c>
      <c r="J81" s="7" t="str">
        <f>VLOOKUP(D81,[1]characters!$A:$M,13,FALSE)</f>
        <v>god</v>
      </c>
      <c r="K81" s="7" t="str">
        <f>VLOOKUP(D81,[1]characters!$A:$G,7,FALSE)</f>
        <v>女性</v>
      </c>
      <c r="L81" s="66">
        <f>IFERROR(VLOOKUP(D81,input_6!L:R,7,FALSE),VLOOKUP(tables_6!B81,input_6!A:H,8,FALSE))</f>
        <v>0</v>
      </c>
      <c r="M81" s="67">
        <f t="shared" si="3"/>
        <v>0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  <row r="82" spans="1:19" ht="21" customHeight="1">
      <c r="A82" s="2">
        <f>input_6!A$2</f>
        <v>3126</v>
      </c>
      <c r="B82" s="7" t="str">
        <f t="shared" si="4"/>
        <v>Premium4</v>
      </c>
      <c r="C82" s="7" t="str">
        <f t="shared" si="5"/>
        <v>Premium</v>
      </c>
      <c r="D82" s="5">
        <v>206</v>
      </c>
      <c r="E82" s="7" t="str">
        <f>VLOOKUP(D82,[1]characters!$A:$C,3,FALSE)</f>
        <v>美神 アフロディーテ</v>
      </c>
      <c r="F82" s="7" t="str">
        <f>VLOOKUP(D82,[1]characters!$A:$J,10,FALSE)</f>
        <v>PremiumN</v>
      </c>
      <c r="G82" s="7">
        <f>VLOOKUP(D82,[1]characters!$A:$I,9,FALSE)</f>
        <v>4</v>
      </c>
      <c r="H82" s="7" t="str">
        <f>VLOOKUP(D82,[1]characters!$A:$H,8,FALSE)</f>
        <v>green</v>
      </c>
      <c r="I82" s="7" t="str">
        <f>VLOOKUP(D82,[1]characters!$A:$K,11,FALSE)</f>
        <v>hp</v>
      </c>
      <c r="J82" s="7" t="str">
        <f>VLOOKUP(D82,[1]characters!$A:$M,13,FALSE)</f>
        <v>god</v>
      </c>
      <c r="K82" s="7" t="str">
        <f>VLOOKUP(D82,[1]characters!$A:$G,7,FALSE)</f>
        <v>女性</v>
      </c>
      <c r="L82" s="66">
        <f>IFERROR(VLOOKUP(D82,input_6!L:R,7,FALSE),VLOOKUP(tables_6!B82,input_6!A:H,8,FALSE))</f>
        <v>646893</v>
      </c>
      <c r="M82" s="67">
        <f t="shared" si="3"/>
        <v>1.2452702702702703E-2</v>
      </c>
      <c r="N82" s="31">
        <f>IFERROR(VLOOKUP($D82,bug_conf_sheet!$A:$H,3,FALSE),VLOOKUP("other",bug_conf_sheet!$A:$H,3,FALSE))</f>
        <v>1</v>
      </c>
      <c r="O82" s="31">
        <f>IFERROR(VLOOKUP($D82,bug_conf_sheet!$A:$H,4,FALSE),VLOOKUP("other",bug_conf_sheet!$A:$H,4,FALSE))</f>
        <v>0</v>
      </c>
      <c r="P82" s="31">
        <f>IFERROR(VLOOKUP($D82,bug_conf_sheet!$A:$H,5,FALSE),VLOOKUP("other",bug_conf_sheet!$A:$H,5,FALSE))</f>
        <v>0</v>
      </c>
      <c r="Q82" s="31">
        <f>IFERROR(VLOOKUP($D82,bug_conf_sheet!$A:$H,6,FALSE),VLOOKUP("other",bug_conf_sheet!$A:$H,6,FALSE))</f>
        <v>0</v>
      </c>
      <c r="R82" s="31">
        <f>IFERROR(VLOOKUP($D82,bug_conf_sheet!$A:$H,7,FALSE),VLOOKUP("other",bug_conf_sheet!$A:$H,7,FALSE))</f>
        <v>0</v>
      </c>
      <c r="S82" s="31">
        <f>IFERROR(VLOOKUP($D82,bug_conf_sheet!$A:$H,8,FALSE),VLOOKUP("other",bug_conf_sheet!$A:$H,8,FALSE))</f>
        <v>1</v>
      </c>
    </row>
    <row r="83" spans="1:19" ht="21" customHeight="1">
      <c r="A83" s="2">
        <f>input_6!A$2</f>
        <v>3126</v>
      </c>
      <c r="B83" s="7" t="str">
        <f t="shared" si="4"/>
        <v>Premium5</v>
      </c>
      <c r="C83" s="7" t="str">
        <f t="shared" si="5"/>
        <v>Premium</v>
      </c>
      <c r="D83" s="5">
        <v>207</v>
      </c>
      <c r="E83" s="7" t="str">
        <f>VLOOKUP(D83,[1]characters!$A:$C,3,FALSE)</f>
        <v>豊穣の麗神・アフロディーテ</v>
      </c>
      <c r="F83" s="7" t="str">
        <f>VLOOKUP(D83,[1]characters!$A:$J,10,FALSE)</f>
        <v>PremiumN</v>
      </c>
      <c r="G83" s="7">
        <f>VLOOKUP(D83,[1]characters!$A:$I,9,FALSE)</f>
        <v>5</v>
      </c>
      <c r="H83" s="7" t="str">
        <f>VLOOKUP(D83,[1]characters!$A:$H,8,FALSE)</f>
        <v>green</v>
      </c>
      <c r="I83" s="7" t="str">
        <f>VLOOKUP(D83,[1]characters!$A:$K,11,FALSE)</f>
        <v>hp</v>
      </c>
      <c r="J83" s="7" t="str">
        <f>VLOOKUP(D83,[1]characters!$A:$M,13,FALSE)</f>
        <v>god</v>
      </c>
      <c r="K83" s="7" t="str">
        <f>VLOOKUP(D83,[1]characters!$A:$G,7,FALSE)</f>
        <v>女性</v>
      </c>
      <c r="L83" s="66">
        <f>IFERROR(VLOOKUP(D83,input_6!L:R,7,FALSE),VLOOKUP(tables_6!B83,input_6!A:H,8,FALSE))</f>
        <v>46657</v>
      </c>
      <c r="M83" s="67">
        <f t="shared" si="3"/>
        <v>8.9814814814814813E-4</v>
      </c>
      <c r="N83" s="31">
        <f>IFERROR(VLOOKUP($D83,bug_conf_sheet!$A:$H,3,FALSE),VLOOKUP("other",bug_conf_sheet!$A:$H,3,FALSE))</f>
        <v>1</v>
      </c>
      <c r="O83" s="31">
        <f>IFERROR(VLOOKUP($D83,bug_conf_sheet!$A:$H,4,FALSE),VLOOKUP("other",bug_conf_sheet!$A:$H,4,FALSE))</f>
        <v>0</v>
      </c>
      <c r="P83" s="31">
        <f>IFERROR(VLOOKUP($D83,bug_conf_sheet!$A:$H,5,FALSE),VLOOKUP("other",bug_conf_sheet!$A:$H,5,FALSE))</f>
        <v>0</v>
      </c>
      <c r="Q83" s="31">
        <f>IFERROR(VLOOKUP($D83,bug_conf_sheet!$A:$H,6,FALSE),VLOOKUP("other",bug_conf_sheet!$A:$H,6,FALSE))</f>
        <v>0</v>
      </c>
      <c r="R83" s="31">
        <f>IFERROR(VLOOKUP($D83,bug_conf_sheet!$A:$H,7,FALSE),VLOOKUP("other",bug_conf_sheet!$A:$H,7,FALSE))</f>
        <v>0</v>
      </c>
      <c r="S83" s="31">
        <f>IFERROR(VLOOKUP($D83,bug_conf_sheet!$A:$H,8,FALSE),VLOOKUP("other",bug_conf_sheet!$A:$H,8,FALSE))</f>
        <v>1</v>
      </c>
    </row>
    <row r="84" spans="1:19" ht="21" customHeight="1">
      <c r="A84" s="2">
        <f>input_6!A$2</f>
        <v>3126</v>
      </c>
      <c r="B84" s="7" t="str">
        <f t="shared" si="4"/>
        <v>Premium3</v>
      </c>
      <c r="C84" s="7" t="str">
        <f t="shared" si="5"/>
        <v>Premium</v>
      </c>
      <c r="D84" s="5">
        <v>208</v>
      </c>
      <c r="E84" s="7" t="str">
        <f>VLOOKUP(D84,[1]characters!$A:$C,3,FALSE)</f>
        <v>テティス</v>
      </c>
      <c r="F84" s="7" t="str">
        <f>VLOOKUP(D84,[1]characters!$A:$J,10,FALSE)</f>
        <v>PremiumN</v>
      </c>
      <c r="G84" s="7">
        <f>VLOOKUP(D84,[1]characters!$A:$I,9,FALSE)</f>
        <v>3</v>
      </c>
      <c r="H84" s="7" t="str">
        <f>VLOOKUP(D84,[1]characters!$A:$H,8,FALSE)</f>
        <v>blue</v>
      </c>
      <c r="I84" s="7" t="str">
        <f>VLOOKUP(D84,[1]characters!$A:$K,11,FALSE)</f>
        <v>hp</v>
      </c>
      <c r="J84" s="7" t="str">
        <f>VLOOKUP(D84,[1]characters!$A:$M,13,FALSE)</f>
        <v>god</v>
      </c>
      <c r="K84" s="7" t="str">
        <f>VLOOKUP(D84,[1]characters!$A:$G,7,FALSE)</f>
        <v>女性</v>
      </c>
      <c r="L84" s="66">
        <f>IFERROR(VLOOKUP(D84,input_6!L:R,7,FALSE),VLOOKUP(tables_6!B84,input_6!A:H,8,FALSE))</f>
        <v>0</v>
      </c>
      <c r="M84" s="67">
        <f t="shared" si="3"/>
        <v>0</v>
      </c>
      <c r="N84" s="31">
        <f>IFERROR(VLOOKUP($D84,bug_conf_sheet!$A:$H,3,FALSE),VLOOKUP("other",bug_conf_sheet!$A:$H,3,FALSE))</f>
        <v>1</v>
      </c>
      <c r="O84" s="31">
        <f>IFERROR(VLOOKUP($D84,bug_conf_sheet!$A:$H,4,FALSE),VLOOKUP("other",bug_conf_sheet!$A:$H,4,FALSE))</f>
        <v>0</v>
      </c>
      <c r="P84" s="31">
        <f>IFERROR(VLOOKUP($D84,bug_conf_sheet!$A:$H,5,FALSE),VLOOKUP("other",bug_conf_sheet!$A:$H,5,FALSE))</f>
        <v>0</v>
      </c>
      <c r="Q84" s="31">
        <f>IFERROR(VLOOKUP($D84,bug_conf_sheet!$A:$H,6,FALSE),VLOOKUP("other",bug_conf_sheet!$A:$H,6,FALSE))</f>
        <v>0</v>
      </c>
      <c r="R84" s="31">
        <f>IFERROR(VLOOKUP($D84,bug_conf_sheet!$A:$H,7,FALSE),VLOOKUP("other",bug_conf_sheet!$A:$H,7,FALSE))</f>
        <v>0</v>
      </c>
      <c r="S84" s="31">
        <f>IFERROR(VLOOKUP($D84,bug_conf_sheet!$A:$H,8,FALSE),VLOOKUP("other",bug_conf_sheet!$A:$H,8,FALSE))</f>
        <v>1</v>
      </c>
    </row>
    <row r="85" spans="1:19" ht="21" customHeight="1">
      <c r="A85" s="2">
        <f>input_6!A$2</f>
        <v>3126</v>
      </c>
      <c r="B85" s="7" t="str">
        <f t="shared" si="4"/>
        <v>Premium4</v>
      </c>
      <c r="C85" s="7" t="str">
        <f t="shared" si="5"/>
        <v>Premium</v>
      </c>
      <c r="D85" s="5">
        <v>209</v>
      </c>
      <c r="E85" s="7" t="str">
        <f>VLOOKUP(D85,[1]characters!$A:$C,3,FALSE)</f>
        <v>孤神 テティス</v>
      </c>
      <c r="F85" s="7" t="str">
        <f>VLOOKUP(D85,[1]characters!$A:$J,10,FALSE)</f>
        <v>PremiumN</v>
      </c>
      <c r="G85" s="7">
        <f>VLOOKUP(D85,[1]characters!$A:$I,9,FALSE)</f>
        <v>4</v>
      </c>
      <c r="H85" s="7" t="str">
        <f>VLOOKUP(D85,[1]characters!$A:$H,8,FALSE)</f>
        <v>blue</v>
      </c>
      <c r="I85" s="7" t="str">
        <f>VLOOKUP(D85,[1]characters!$A:$K,11,FALSE)</f>
        <v>hp</v>
      </c>
      <c r="J85" s="7" t="str">
        <f>VLOOKUP(D85,[1]characters!$A:$M,13,FALSE)</f>
        <v>god</v>
      </c>
      <c r="K85" s="7" t="str">
        <f>VLOOKUP(D85,[1]characters!$A:$G,7,FALSE)</f>
        <v>女性</v>
      </c>
      <c r="L85" s="66">
        <f>IFERROR(VLOOKUP(D85,input_6!L:R,7,FALSE),VLOOKUP(tables_6!B85,input_6!A:H,8,FALSE))</f>
        <v>646893</v>
      </c>
      <c r="M85" s="67">
        <f t="shared" si="3"/>
        <v>1.2452702702702703E-2</v>
      </c>
      <c r="N85" s="31">
        <f>IFERROR(VLOOKUP($D85,bug_conf_sheet!$A:$H,3,FALSE),VLOOKUP("other",bug_conf_sheet!$A:$H,3,FALSE))</f>
        <v>1</v>
      </c>
      <c r="O85" s="31">
        <f>IFERROR(VLOOKUP($D85,bug_conf_sheet!$A:$H,4,FALSE),VLOOKUP("other",bug_conf_sheet!$A:$H,4,FALSE))</f>
        <v>0</v>
      </c>
      <c r="P85" s="31">
        <f>IFERROR(VLOOKUP($D85,bug_conf_sheet!$A:$H,5,FALSE),VLOOKUP("other",bug_conf_sheet!$A:$H,5,FALSE))</f>
        <v>0</v>
      </c>
      <c r="Q85" s="31">
        <f>IFERROR(VLOOKUP($D85,bug_conf_sheet!$A:$H,6,FALSE),VLOOKUP("other",bug_conf_sheet!$A:$H,6,FALSE))</f>
        <v>0</v>
      </c>
      <c r="R85" s="31">
        <f>IFERROR(VLOOKUP($D85,bug_conf_sheet!$A:$H,7,FALSE),VLOOKUP("other",bug_conf_sheet!$A:$H,7,FALSE))</f>
        <v>0</v>
      </c>
      <c r="S85" s="31">
        <f>IFERROR(VLOOKUP($D85,bug_conf_sheet!$A:$H,8,FALSE),VLOOKUP("other",bug_conf_sheet!$A:$H,8,FALSE))</f>
        <v>1</v>
      </c>
    </row>
    <row r="86" spans="1:19" ht="21" customHeight="1">
      <c r="A86" s="2">
        <f>input_6!A$2</f>
        <v>3126</v>
      </c>
      <c r="B86" s="7" t="str">
        <f t="shared" si="4"/>
        <v>Premium5</v>
      </c>
      <c r="C86" s="7" t="str">
        <f t="shared" si="5"/>
        <v>Premium</v>
      </c>
      <c r="D86" s="5">
        <v>210</v>
      </c>
      <c r="E86" s="7" t="str">
        <f>VLOOKUP(D86,[1]characters!$A:$C,3,FALSE)</f>
        <v>海底の孤高神 テティス</v>
      </c>
      <c r="F86" s="7" t="str">
        <f>VLOOKUP(D86,[1]characters!$A:$J,10,FALSE)</f>
        <v>PremiumN</v>
      </c>
      <c r="G86" s="7">
        <f>VLOOKUP(D86,[1]characters!$A:$I,9,FALSE)</f>
        <v>5</v>
      </c>
      <c r="H86" s="7" t="str">
        <f>VLOOKUP(D86,[1]characters!$A:$H,8,FALSE)</f>
        <v>blue</v>
      </c>
      <c r="I86" s="7" t="str">
        <f>VLOOKUP(D86,[1]characters!$A:$K,11,FALSE)</f>
        <v>hp</v>
      </c>
      <c r="J86" s="7" t="str">
        <f>VLOOKUP(D86,[1]characters!$A:$M,13,FALSE)</f>
        <v>god</v>
      </c>
      <c r="K86" s="7" t="str">
        <f>VLOOKUP(D86,[1]characters!$A:$G,7,FALSE)</f>
        <v>女性</v>
      </c>
      <c r="L86" s="66">
        <f>IFERROR(VLOOKUP(D86,input_6!L:R,7,FALSE),VLOOKUP(tables_6!B86,input_6!A:H,8,FALSE))</f>
        <v>46657</v>
      </c>
      <c r="M86" s="67">
        <f t="shared" si="3"/>
        <v>8.9814814814814813E-4</v>
      </c>
      <c r="N86" s="31">
        <f>IFERROR(VLOOKUP($D86,bug_conf_sheet!$A:$H,3,FALSE),VLOOKUP("other",bug_conf_sheet!$A:$H,3,FALSE))</f>
        <v>1</v>
      </c>
      <c r="O86" s="31">
        <f>IFERROR(VLOOKUP($D86,bug_conf_sheet!$A:$H,4,FALSE),VLOOKUP("other",bug_conf_sheet!$A:$H,4,FALSE))</f>
        <v>0</v>
      </c>
      <c r="P86" s="31">
        <f>IFERROR(VLOOKUP($D86,bug_conf_sheet!$A:$H,5,FALSE),VLOOKUP("other",bug_conf_sheet!$A:$H,5,FALSE))</f>
        <v>0</v>
      </c>
      <c r="Q86" s="31">
        <f>IFERROR(VLOOKUP($D86,bug_conf_sheet!$A:$H,6,FALSE),VLOOKUP("other",bug_conf_sheet!$A:$H,6,FALSE))</f>
        <v>0</v>
      </c>
      <c r="R86" s="31">
        <f>IFERROR(VLOOKUP($D86,bug_conf_sheet!$A:$H,7,FALSE),VLOOKUP("other",bug_conf_sheet!$A:$H,7,FALSE))</f>
        <v>0</v>
      </c>
      <c r="S86" s="31">
        <f>IFERROR(VLOOKUP($D86,bug_conf_sheet!$A:$H,8,FALSE),VLOOKUP("other",bug_conf_sheet!$A:$H,8,FALSE))</f>
        <v>1</v>
      </c>
    </row>
    <row r="87" spans="1:19" ht="21" customHeight="1">
      <c r="A87" s="2">
        <f>input_6!A$2</f>
        <v>3126</v>
      </c>
      <c r="B87" s="7" t="str">
        <f t="shared" si="4"/>
        <v>Premium3</v>
      </c>
      <c r="C87" s="7" t="str">
        <f t="shared" si="5"/>
        <v>Premium</v>
      </c>
      <c r="D87" s="5">
        <v>211</v>
      </c>
      <c r="E87" s="7" t="str">
        <f>VLOOKUP(D87,[1]characters!$A:$C,3,FALSE)</f>
        <v>アストライアー</v>
      </c>
      <c r="F87" s="7" t="str">
        <f>VLOOKUP(D87,[1]characters!$A:$J,10,FALSE)</f>
        <v>PremiumN</v>
      </c>
      <c r="G87" s="7">
        <f>VLOOKUP(D87,[1]characters!$A:$I,9,FALSE)</f>
        <v>3</v>
      </c>
      <c r="H87" s="7" t="str">
        <f>VLOOKUP(D87,[1]characters!$A:$H,8,FALSE)</f>
        <v>yellow</v>
      </c>
      <c r="I87" s="7" t="str">
        <f>VLOOKUP(D87,[1]characters!$A:$K,11,FALSE)</f>
        <v>balance</v>
      </c>
      <c r="J87" s="7" t="str">
        <f>VLOOKUP(D87,[1]characters!$A:$M,13,FALSE)</f>
        <v>god</v>
      </c>
      <c r="K87" s="7" t="str">
        <f>VLOOKUP(D87,[1]characters!$A:$G,7,FALSE)</f>
        <v>女性</v>
      </c>
      <c r="L87" s="66">
        <f>IFERROR(VLOOKUP(D87,input_6!L:R,7,FALSE),VLOOKUP(tables_6!B87,input_6!A:H,8,FALSE))</f>
        <v>0</v>
      </c>
      <c r="M87" s="67">
        <f t="shared" si="3"/>
        <v>0</v>
      </c>
      <c r="N87" s="31">
        <f>IFERROR(VLOOKUP($D87,bug_conf_sheet!$A:$H,3,FALSE),VLOOKUP("other",bug_conf_sheet!$A:$H,3,FALSE))</f>
        <v>1</v>
      </c>
      <c r="O87" s="31">
        <f>IFERROR(VLOOKUP($D87,bug_conf_sheet!$A:$H,4,FALSE),VLOOKUP("other",bug_conf_sheet!$A:$H,4,FALSE))</f>
        <v>0</v>
      </c>
      <c r="P87" s="31">
        <f>IFERROR(VLOOKUP($D87,bug_conf_sheet!$A:$H,5,FALSE),VLOOKUP("other",bug_conf_sheet!$A:$H,5,FALSE))</f>
        <v>0</v>
      </c>
      <c r="Q87" s="31">
        <f>IFERROR(VLOOKUP($D87,bug_conf_sheet!$A:$H,6,FALSE),VLOOKUP("other",bug_conf_sheet!$A:$H,6,FALSE))</f>
        <v>0</v>
      </c>
      <c r="R87" s="31">
        <f>IFERROR(VLOOKUP($D87,bug_conf_sheet!$A:$H,7,FALSE),VLOOKUP("other",bug_conf_sheet!$A:$H,7,FALSE))</f>
        <v>0</v>
      </c>
      <c r="S87" s="31">
        <f>IFERROR(VLOOKUP($D87,bug_conf_sheet!$A:$H,8,FALSE),VLOOKUP("other",bug_conf_sheet!$A:$H,8,FALSE))</f>
        <v>1</v>
      </c>
    </row>
    <row r="88" spans="1:19" ht="21" customHeight="1">
      <c r="A88" s="2">
        <f>input_6!A$2</f>
        <v>3126</v>
      </c>
      <c r="B88" s="7" t="str">
        <f t="shared" si="4"/>
        <v>Premium4</v>
      </c>
      <c r="C88" s="7" t="str">
        <f t="shared" si="5"/>
        <v>Premium</v>
      </c>
      <c r="D88" s="5">
        <v>212</v>
      </c>
      <c r="E88" s="7" t="str">
        <f>VLOOKUP(D88,[1]characters!$A:$C,3,FALSE)</f>
        <v>星神 アストライアー</v>
      </c>
      <c r="F88" s="7" t="str">
        <f>VLOOKUP(D88,[1]characters!$A:$J,10,FALSE)</f>
        <v>PremiumN</v>
      </c>
      <c r="G88" s="7">
        <f>VLOOKUP(D88,[1]characters!$A:$I,9,FALSE)</f>
        <v>4</v>
      </c>
      <c r="H88" s="7" t="str">
        <f>VLOOKUP(D88,[1]characters!$A:$H,8,FALSE)</f>
        <v>yellow</v>
      </c>
      <c r="I88" s="7" t="str">
        <f>VLOOKUP(D88,[1]characters!$A:$K,11,FALSE)</f>
        <v>balance</v>
      </c>
      <c r="J88" s="7" t="str">
        <f>VLOOKUP(D88,[1]characters!$A:$M,13,FALSE)</f>
        <v>god</v>
      </c>
      <c r="K88" s="7" t="str">
        <f>VLOOKUP(D88,[1]characters!$A:$G,7,FALSE)</f>
        <v>女性</v>
      </c>
      <c r="L88" s="66">
        <f>IFERROR(VLOOKUP(D88,input_6!L:R,7,FALSE),VLOOKUP(tables_6!B88,input_6!A:H,8,FALSE))</f>
        <v>646893</v>
      </c>
      <c r="M88" s="67">
        <f t="shared" si="3"/>
        <v>1.2452702702702703E-2</v>
      </c>
      <c r="N88" s="31">
        <f>IFERROR(VLOOKUP($D88,bug_conf_sheet!$A:$H,3,FALSE),VLOOKUP("other",bug_conf_sheet!$A:$H,3,FALSE))</f>
        <v>1</v>
      </c>
      <c r="O88" s="31">
        <f>IFERROR(VLOOKUP($D88,bug_conf_sheet!$A:$H,4,FALSE),VLOOKUP("other",bug_conf_sheet!$A:$H,4,FALSE))</f>
        <v>0</v>
      </c>
      <c r="P88" s="31">
        <f>IFERROR(VLOOKUP($D88,bug_conf_sheet!$A:$H,5,FALSE),VLOOKUP("other",bug_conf_sheet!$A:$H,5,FALSE))</f>
        <v>0</v>
      </c>
      <c r="Q88" s="31">
        <f>IFERROR(VLOOKUP($D88,bug_conf_sheet!$A:$H,6,FALSE),VLOOKUP("other",bug_conf_sheet!$A:$H,6,FALSE))</f>
        <v>0</v>
      </c>
      <c r="R88" s="31">
        <f>IFERROR(VLOOKUP($D88,bug_conf_sheet!$A:$H,7,FALSE),VLOOKUP("other",bug_conf_sheet!$A:$H,7,FALSE))</f>
        <v>0</v>
      </c>
      <c r="S88" s="31">
        <f>IFERROR(VLOOKUP($D88,bug_conf_sheet!$A:$H,8,FALSE),VLOOKUP("other",bug_conf_sheet!$A:$H,8,FALSE))</f>
        <v>1</v>
      </c>
    </row>
    <row r="89" spans="1:19" ht="21" customHeight="1">
      <c r="A89" s="2">
        <f>input_6!A$2</f>
        <v>3126</v>
      </c>
      <c r="B89" s="7" t="str">
        <f t="shared" si="4"/>
        <v>Premium5</v>
      </c>
      <c r="C89" s="7" t="str">
        <f t="shared" si="5"/>
        <v>Premium</v>
      </c>
      <c r="D89" s="5">
        <v>213</v>
      </c>
      <c r="E89" s="7" t="str">
        <f>VLOOKUP(D89,[1]characters!$A:$C,3,FALSE)</f>
        <v>満天の星降神 アストライアー</v>
      </c>
      <c r="F89" s="7" t="str">
        <f>VLOOKUP(D89,[1]characters!$A:$J,10,FALSE)</f>
        <v>PremiumN</v>
      </c>
      <c r="G89" s="7">
        <f>VLOOKUP(D89,[1]characters!$A:$I,9,FALSE)</f>
        <v>5</v>
      </c>
      <c r="H89" s="7" t="str">
        <f>VLOOKUP(D89,[1]characters!$A:$H,8,FALSE)</f>
        <v>yellow</v>
      </c>
      <c r="I89" s="7" t="str">
        <f>VLOOKUP(D89,[1]characters!$A:$K,11,FALSE)</f>
        <v>balance</v>
      </c>
      <c r="J89" s="7" t="str">
        <f>VLOOKUP(D89,[1]characters!$A:$M,13,FALSE)</f>
        <v>god</v>
      </c>
      <c r="K89" s="7" t="str">
        <f>VLOOKUP(D89,[1]characters!$A:$G,7,FALSE)</f>
        <v>女性</v>
      </c>
      <c r="L89" s="66">
        <f>IFERROR(VLOOKUP(D89,input_6!L:R,7,FALSE),VLOOKUP(tables_6!B89,input_6!A:H,8,FALSE))</f>
        <v>46657</v>
      </c>
      <c r="M89" s="67">
        <f t="shared" si="3"/>
        <v>8.9814814814814813E-4</v>
      </c>
      <c r="N89" s="31">
        <f>IFERROR(VLOOKUP($D89,bug_conf_sheet!$A:$H,3,FALSE),VLOOKUP("other",bug_conf_sheet!$A:$H,3,FALSE))</f>
        <v>1</v>
      </c>
      <c r="O89" s="31">
        <f>IFERROR(VLOOKUP($D89,bug_conf_sheet!$A:$H,4,FALSE),VLOOKUP("other",bug_conf_sheet!$A:$H,4,FALSE))</f>
        <v>0</v>
      </c>
      <c r="P89" s="31">
        <f>IFERROR(VLOOKUP($D89,bug_conf_sheet!$A:$H,5,FALSE),VLOOKUP("other",bug_conf_sheet!$A:$H,5,FALSE))</f>
        <v>0</v>
      </c>
      <c r="Q89" s="31">
        <f>IFERROR(VLOOKUP($D89,bug_conf_sheet!$A:$H,6,FALSE),VLOOKUP("other",bug_conf_sheet!$A:$H,6,FALSE))</f>
        <v>0</v>
      </c>
      <c r="R89" s="31">
        <f>IFERROR(VLOOKUP($D89,bug_conf_sheet!$A:$H,7,FALSE),VLOOKUP("other",bug_conf_sheet!$A:$H,7,FALSE))</f>
        <v>0</v>
      </c>
      <c r="S89" s="31">
        <f>IFERROR(VLOOKUP($D89,bug_conf_sheet!$A:$H,8,FALSE),VLOOKUP("other",bug_conf_sheet!$A:$H,8,FALSE))</f>
        <v>1</v>
      </c>
    </row>
    <row r="90" spans="1:19" ht="21" customHeight="1">
      <c r="A90" s="2">
        <f>input_6!A$2</f>
        <v>3126</v>
      </c>
      <c r="B90" s="7" t="str">
        <f t="shared" si="4"/>
        <v>Premium3</v>
      </c>
      <c r="C90" s="7" t="str">
        <f t="shared" si="5"/>
        <v>Premium</v>
      </c>
      <c r="D90" s="5">
        <v>214</v>
      </c>
      <c r="E90" s="7" t="str">
        <f>VLOOKUP(D90,[1]characters!$A:$C,3,FALSE)</f>
        <v>アズラエル</v>
      </c>
      <c r="F90" s="7" t="str">
        <f>VLOOKUP(D90,[1]characters!$A:$J,10,FALSE)</f>
        <v>PremiumN</v>
      </c>
      <c r="G90" s="7">
        <f>VLOOKUP(D90,[1]characters!$A:$I,9,FALSE)</f>
        <v>3</v>
      </c>
      <c r="H90" s="7" t="str">
        <f>VLOOKUP(D90,[1]characters!$A:$H,8,FALSE)</f>
        <v>red</v>
      </c>
      <c r="I90" s="7" t="str">
        <f>VLOOKUP(D90,[1]characters!$A:$K,11,FALSE)</f>
        <v>balance</v>
      </c>
      <c r="J90" s="7" t="str">
        <f>VLOOKUP(D90,[1]characters!$A:$M,13,FALSE)</f>
        <v>god</v>
      </c>
      <c r="K90" s="7" t="str">
        <f>VLOOKUP(D90,[1]characters!$A:$G,7,FALSE)</f>
        <v>女性</v>
      </c>
      <c r="L90" s="66">
        <f>IFERROR(VLOOKUP(D90,input_6!L:R,7,FALSE),VLOOKUP(tables_6!B90,input_6!A:H,8,FALSE))</f>
        <v>0</v>
      </c>
      <c r="M90" s="67">
        <f t="shared" si="3"/>
        <v>0</v>
      </c>
      <c r="N90" s="31">
        <f>IFERROR(VLOOKUP($D90,bug_conf_sheet!$A:$H,3,FALSE),VLOOKUP("other",bug_conf_sheet!$A:$H,3,FALSE))</f>
        <v>1</v>
      </c>
      <c r="O90" s="31">
        <f>IFERROR(VLOOKUP($D90,bug_conf_sheet!$A:$H,4,FALSE),VLOOKUP("other",bug_conf_sheet!$A:$H,4,FALSE))</f>
        <v>0</v>
      </c>
      <c r="P90" s="31">
        <f>IFERROR(VLOOKUP($D90,bug_conf_sheet!$A:$H,5,FALSE),VLOOKUP("other",bug_conf_sheet!$A:$H,5,FALSE))</f>
        <v>0</v>
      </c>
      <c r="Q90" s="31">
        <f>IFERROR(VLOOKUP($D90,bug_conf_sheet!$A:$H,6,FALSE),VLOOKUP("other",bug_conf_sheet!$A:$H,6,FALSE))</f>
        <v>0</v>
      </c>
      <c r="R90" s="31">
        <f>IFERROR(VLOOKUP($D90,bug_conf_sheet!$A:$H,7,FALSE),VLOOKUP("other",bug_conf_sheet!$A:$H,7,FALSE))</f>
        <v>0</v>
      </c>
      <c r="S90" s="31">
        <f>IFERROR(VLOOKUP($D90,bug_conf_sheet!$A:$H,8,FALSE),VLOOKUP("other",bug_conf_sheet!$A:$H,8,FALSE))</f>
        <v>1</v>
      </c>
    </row>
    <row r="91" spans="1:19" ht="21" customHeight="1">
      <c r="A91" s="2">
        <f>input_6!A$2</f>
        <v>3126</v>
      </c>
      <c r="B91" s="7" t="str">
        <f t="shared" si="4"/>
        <v>Premium4</v>
      </c>
      <c r="C91" s="7" t="str">
        <f t="shared" si="5"/>
        <v>Premium</v>
      </c>
      <c r="D91" s="5">
        <v>215</v>
      </c>
      <c r="E91" s="7" t="str">
        <f>VLOOKUP(D91,[1]characters!$A:$C,3,FALSE)</f>
        <v>死導者 アズラエル</v>
      </c>
      <c r="F91" s="7" t="str">
        <f>VLOOKUP(D91,[1]characters!$A:$J,10,FALSE)</f>
        <v>PremiumN</v>
      </c>
      <c r="G91" s="7">
        <f>VLOOKUP(D91,[1]characters!$A:$I,9,FALSE)</f>
        <v>4</v>
      </c>
      <c r="H91" s="7" t="str">
        <f>VLOOKUP(D91,[1]characters!$A:$H,8,FALSE)</f>
        <v>red</v>
      </c>
      <c r="I91" s="7" t="str">
        <f>VLOOKUP(D91,[1]characters!$A:$K,11,FALSE)</f>
        <v>balance</v>
      </c>
      <c r="J91" s="7" t="str">
        <f>VLOOKUP(D91,[1]characters!$A:$M,13,FALSE)</f>
        <v>god</v>
      </c>
      <c r="K91" s="7" t="str">
        <f>VLOOKUP(D91,[1]characters!$A:$G,7,FALSE)</f>
        <v>女性</v>
      </c>
      <c r="L91" s="66">
        <f>IFERROR(VLOOKUP(D91,input_6!L:R,7,FALSE),VLOOKUP(tables_6!B91,input_6!A:H,8,FALSE))</f>
        <v>646893</v>
      </c>
      <c r="M91" s="67">
        <f t="shared" si="3"/>
        <v>1.2452702702702703E-2</v>
      </c>
      <c r="N91" s="31">
        <f>IFERROR(VLOOKUP($D91,bug_conf_sheet!$A:$H,3,FALSE),VLOOKUP("other",bug_conf_sheet!$A:$H,3,FALSE))</f>
        <v>1</v>
      </c>
      <c r="O91" s="31">
        <f>IFERROR(VLOOKUP($D91,bug_conf_sheet!$A:$H,4,FALSE),VLOOKUP("other",bug_conf_sheet!$A:$H,4,FALSE))</f>
        <v>0</v>
      </c>
      <c r="P91" s="31">
        <f>IFERROR(VLOOKUP($D91,bug_conf_sheet!$A:$H,5,FALSE),VLOOKUP("other",bug_conf_sheet!$A:$H,5,FALSE))</f>
        <v>0</v>
      </c>
      <c r="Q91" s="31">
        <f>IFERROR(VLOOKUP($D91,bug_conf_sheet!$A:$H,6,FALSE),VLOOKUP("other",bug_conf_sheet!$A:$H,6,FALSE))</f>
        <v>0</v>
      </c>
      <c r="R91" s="31">
        <f>IFERROR(VLOOKUP($D91,bug_conf_sheet!$A:$H,7,FALSE),VLOOKUP("other",bug_conf_sheet!$A:$H,7,FALSE))</f>
        <v>0</v>
      </c>
      <c r="S91" s="31">
        <f>IFERROR(VLOOKUP($D91,bug_conf_sheet!$A:$H,8,FALSE),VLOOKUP("other",bug_conf_sheet!$A:$H,8,FALSE))</f>
        <v>1</v>
      </c>
    </row>
    <row r="92" spans="1:19" ht="21" customHeight="1">
      <c r="A92" s="2">
        <f>input_6!A$2</f>
        <v>3126</v>
      </c>
      <c r="B92" s="7" t="str">
        <f t="shared" si="4"/>
        <v>Premium5</v>
      </c>
      <c r="C92" s="7" t="str">
        <f t="shared" si="5"/>
        <v>Premium</v>
      </c>
      <c r="D92" s="5">
        <v>216</v>
      </c>
      <c r="E92" s="7" t="str">
        <f>VLOOKUP(D92,[1]characters!$A:$C,3,FALSE)</f>
        <v>百読の死導司書 アズラエル</v>
      </c>
      <c r="F92" s="7" t="str">
        <f>VLOOKUP(D92,[1]characters!$A:$J,10,FALSE)</f>
        <v>PremiumN</v>
      </c>
      <c r="G92" s="7">
        <f>VLOOKUP(D92,[1]characters!$A:$I,9,FALSE)</f>
        <v>5</v>
      </c>
      <c r="H92" s="7" t="str">
        <f>VLOOKUP(D92,[1]characters!$A:$H,8,FALSE)</f>
        <v>red</v>
      </c>
      <c r="I92" s="7" t="str">
        <f>VLOOKUP(D92,[1]characters!$A:$K,11,FALSE)</f>
        <v>balance</v>
      </c>
      <c r="J92" s="7" t="str">
        <f>VLOOKUP(D92,[1]characters!$A:$M,13,FALSE)</f>
        <v>god</v>
      </c>
      <c r="K92" s="7" t="str">
        <f>VLOOKUP(D92,[1]characters!$A:$G,7,FALSE)</f>
        <v>女性</v>
      </c>
      <c r="L92" s="66">
        <f>IFERROR(VLOOKUP(D92,input_6!L:R,7,FALSE),VLOOKUP(tables_6!B92,input_6!A:H,8,FALSE))</f>
        <v>46657</v>
      </c>
      <c r="M92" s="67">
        <f t="shared" si="3"/>
        <v>8.9814814814814813E-4</v>
      </c>
      <c r="N92" s="31">
        <f>IFERROR(VLOOKUP($D92,bug_conf_sheet!$A:$H,3,FALSE),VLOOKUP("other",bug_conf_sheet!$A:$H,3,FALSE))</f>
        <v>1</v>
      </c>
      <c r="O92" s="31">
        <f>IFERROR(VLOOKUP($D92,bug_conf_sheet!$A:$H,4,FALSE),VLOOKUP("other",bug_conf_sheet!$A:$H,4,FALSE))</f>
        <v>0</v>
      </c>
      <c r="P92" s="31">
        <f>IFERROR(VLOOKUP($D92,bug_conf_sheet!$A:$H,5,FALSE),VLOOKUP("other",bug_conf_sheet!$A:$H,5,FALSE))</f>
        <v>0</v>
      </c>
      <c r="Q92" s="31">
        <f>IFERROR(VLOOKUP($D92,bug_conf_sheet!$A:$H,6,FALSE),VLOOKUP("other",bug_conf_sheet!$A:$H,6,FALSE))</f>
        <v>0</v>
      </c>
      <c r="R92" s="31">
        <f>IFERROR(VLOOKUP($D92,bug_conf_sheet!$A:$H,7,FALSE),VLOOKUP("other",bug_conf_sheet!$A:$H,7,FALSE))</f>
        <v>0</v>
      </c>
      <c r="S92" s="31">
        <f>IFERROR(VLOOKUP($D92,bug_conf_sheet!$A:$H,8,FALSE),VLOOKUP("other",bug_conf_sheet!$A:$H,8,FALSE))</f>
        <v>1</v>
      </c>
    </row>
    <row r="93" spans="1:19" ht="21" customHeight="1">
      <c r="A93" s="2">
        <f>input_6!A$2</f>
        <v>3126</v>
      </c>
      <c r="B93" s="7" t="str">
        <f t="shared" si="4"/>
        <v>Premium3</v>
      </c>
      <c r="C93" s="7" t="str">
        <f t="shared" si="5"/>
        <v>Premium</v>
      </c>
      <c r="D93" s="5">
        <v>217</v>
      </c>
      <c r="E93" s="7" t="str">
        <f>VLOOKUP(D93,[1]characters!$A:$C,3,FALSE)</f>
        <v>ケツァクアトル</v>
      </c>
      <c r="F93" s="7" t="str">
        <f>VLOOKUP(D93,[1]characters!$A:$J,10,FALSE)</f>
        <v>PremiumN</v>
      </c>
      <c r="G93" s="7">
        <f>VLOOKUP(D93,[1]characters!$A:$I,9,FALSE)</f>
        <v>3</v>
      </c>
      <c r="H93" s="7" t="str">
        <f>VLOOKUP(D93,[1]characters!$A:$H,8,FALSE)</f>
        <v>green</v>
      </c>
      <c r="I93" s="7" t="str">
        <f>VLOOKUP(D93,[1]characters!$A:$K,11,FALSE)</f>
        <v>hp</v>
      </c>
      <c r="J93" s="7" t="str">
        <f>VLOOKUP(D93,[1]characters!$A:$M,13,FALSE)</f>
        <v>dragon</v>
      </c>
      <c r="K93" s="7" t="str">
        <f>VLOOKUP(D93,[1]characters!$A:$G,7,FALSE)</f>
        <v>女性</v>
      </c>
      <c r="L93" s="66">
        <f>IFERROR(VLOOKUP(D93,input_6!L:R,7,FALSE),VLOOKUP(tables_6!B93,input_6!A:H,8,FALSE))</f>
        <v>0</v>
      </c>
      <c r="M93" s="67">
        <f t="shared" si="3"/>
        <v>0</v>
      </c>
      <c r="N93" s="31">
        <f>IFERROR(VLOOKUP($D93,bug_conf_sheet!$A:$H,3,FALSE),VLOOKUP("other",bug_conf_sheet!$A:$H,3,FALSE))</f>
        <v>1</v>
      </c>
      <c r="O93" s="31">
        <f>IFERROR(VLOOKUP($D93,bug_conf_sheet!$A:$H,4,FALSE),VLOOKUP("other",bug_conf_sheet!$A:$H,4,FALSE))</f>
        <v>0</v>
      </c>
      <c r="P93" s="31">
        <f>IFERROR(VLOOKUP($D93,bug_conf_sheet!$A:$H,5,FALSE),VLOOKUP("other",bug_conf_sheet!$A:$H,5,FALSE))</f>
        <v>0</v>
      </c>
      <c r="Q93" s="31">
        <f>IFERROR(VLOOKUP($D93,bug_conf_sheet!$A:$H,6,FALSE),VLOOKUP("other",bug_conf_sheet!$A:$H,6,FALSE))</f>
        <v>0</v>
      </c>
      <c r="R93" s="31">
        <f>IFERROR(VLOOKUP($D93,bug_conf_sheet!$A:$H,7,FALSE),VLOOKUP("other",bug_conf_sheet!$A:$H,7,FALSE))</f>
        <v>0</v>
      </c>
      <c r="S93" s="31">
        <f>IFERROR(VLOOKUP($D93,bug_conf_sheet!$A:$H,8,FALSE),VLOOKUP("other",bug_conf_sheet!$A:$H,8,FALSE))</f>
        <v>1</v>
      </c>
    </row>
    <row r="94" spans="1:19" ht="21" customHeight="1">
      <c r="A94" s="2">
        <f>input_6!A$2</f>
        <v>3126</v>
      </c>
      <c r="B94" s="7" t="str">
        <f t="shared" si="4"/>
        <v>Premium4</v>
      </c>
      <c r="C94" s="7" t="str">
        <f t="shared" si="5"/>
        <v>Premium</v>
      </c>
      <c r="D94" s="5">
        <v>218</v>
      </c>
      <c r="E94" s="7" t="str">
        <f>VLOOKUP(D94,[1]characters!$A:$C,3,FALSE)</f>
        <v>聖蛇 ケツァクアトル</v>
      </c>
      <c r="F94" s="7" t="str">
        <f>VLOOKUP(D94,[1]characters!$A:$J,10,FALSE)</f>
        <v>PremiumN</v>
      </c>
      <c r="G94" s="7">
        <f>VLOOKUP(D94,[1]characters!$A:$I,9,FALSE)</f>
        <v>4</v>
      </c>
      <c r="H94" s="7" t="str">
        <f>VLOOKUP(D94,[1]characters!$A:$H,8,FALSE)</f>
        <v>green</v>
      </c>
      <c r="I94" s="7" t="str">
        <f>VLOOKUP(D94,[1]characters!$A:$K,11,FALSE)</f>
        <v>hp</v>
      </c>
      <c r="J94" s="7" t="str">
        <f>VLOOKUP(D94,[1]characters!$A:$M,13,FALSE)</f>
        <v>dragon</v>
      </c>
      <c r="K94" s="7" t="str">
        <f>VLOOKUP(D94,[1]characters!$A:$G,7,FALSE)</f>
        <v>女性</v>
      </c>
      <c r="L94" s="66">
        <f>IFERROR(VLOOKUP(D94,input_6!L:R,7,FALSE),VLOOKUP(tables_6!B94,input_6!A:H,8,FALSE))</f>
        <v>646893</v>
      </c>
      <c r="M94" s="67">
        <f t="shared" si="3"/>
        <v>1.2452702702702703E-2</v>
      </c>
      <c r="N94" s="31">
        <f>IFERROR(VLOOKUP($D94,bug_conf_sheet!$A:$H,3,FALSE),VLOOKUP("other",bug_conf_sheet!$A:$H,3,FALSE))</f>
        <v>1</v>
      </c>
      <c r="O94" s="31">
        <f>IFERROR(VLOOKUP($D94,bug_conf_sheet!$A:$H,4,FALSE),VLOOKUP("other",bug_conf_sheet!$A:$H,4,FALSE))</f>
        <v>0</v>
      </c>
      <c r="P94" s="31">
        <f>IFERROR(VLOOKUP($D94,bug_conf_sheet!$A:$H,5,FALSE),VLOOKUP("other",bug_conf_sheet!$A:$H,5,FALSE))</f>
        <v>0</v>
      </c>
      <c r="Q94" s="31">
        <f>IFERROR(VLOOKUP($D94,bug_conf_sheet!$A:$H,6,FALSE),VLOOKUP("other",bug_conf_sheet!$A:$H,6,FALSE))</f>
        <v>0</v>
      </c>
      <c r="R94" s="31">
        <f>IFERROR(VLOOKUP($D94,bug_conf_sheet!$A:$H,7,FALSE),VLOOKUP("other",bug_conf_sheet!$A:$H,7,FALSE))</f>
        <v>0</v>
      </c>
      <c r="S94" s="31">
        <f>IFERROR(VLOOKUP($D94,bug_conf_sheet!$A:$H,8,FALSE),VLOOKUP("other",bug_conf_sheet!$A:$H,8,FALSE))</f>
        <v>1</v>
      </c>
    </row>
    <row r="95" spans="1:19" ht="21" customHeight="1">
      <c r="A95" s="2">
        <f>input_6!A$2</f>
        <v>3126</v>
      </c>
      <c r="B95" s="7" t="str">
        <f t="shared" si="4"/>
        <v>Premium5</v>
      </c>
      <c r="C95" s="7" t="str">
        <f t="shared" si="5"/>
        <v>Premium</v>
      </c>
      <c r="D95" s="5">
        <v>219</v>
      </c>
      <c r="E95" s="7" t="str">
        <f>VLOOKUP(D95,[1]characters!$A:$C,3,FALSE)</f>
        <v>覇翼の聖蛇竜 ケツァクアトル</v>
      </c>
      <c r="F95" s="7" t="str">
        <f>VLOOKUP(D95,[1]characters!$A:$J,10,FALSE)</f>
        <v>PremiumN</v>
      </c>
      <c r="G95" s="7">
        <f>VLOOKUP(D95,[1]characters!$A:$I,9,FALSE)</f>
        <v>5</v>
      </c>
      <c r="H95" s="7" t="str">
        <f>VLOOKUP(D95,[1]characters!$A:$H,8,FALSE)</f>
        <v>green</v>
      </c>
      <c r="I95" s="7" t="str">
        <f>VLOOKUP(D95,[1]characters!$A:$K,11,FALSE)</f>
        <v>hp</v>
      </c>
      <c r="J95" s="7" t="str">
        <f>VLOOKUP(D95,[1]characters!$A:$M,13,FALSE)</f>
        <v>dragon</v>
      </c>
      <c r="K95" s="7" t="str">
        <f>VLOOKUP(D95,[1]characters!$A:$G,7,FALSE)</f>
        <v>女性</v>
      </c>
      <c r="L95" s="66">
        <f>IFERROR(VLOOKUP(D95,input_6!L:R,7,FALSE),VLOOKUP(tables_6!B95,input_6!A:H,8,FALSE))</f>
        <v>46657</v>
      </c>
      <c r="M95" s="67">
        <f t="shared" si="3"/>
        <v>8.9814814814814813E-4</v>
      </c>
      <c r="N95" s="31">
        <f>IFERROR(VLOOKUP($D95,bug_conf_sheet!$A:$H,3,FALSE),VLOOKUP("other",bug_conf_sheet!$A:$H,3,FALSE))</f>
        <v>1</v>
      </c>
      <c r="O95" s="31">
        <f>IFERROR(VLOOKUP($D95,bug_conf_sheet!$A:$H,4,FALSE),VLOOKUP("other",bug_conf_sheet!$A:$H,4,FALSE))</f>
        <v>0</v>
      </c>
      <c r="P95" s="31">
        <f>IFERROR(VLOOKUP($D95,bug_conf_sheet!$A:$H,5,FALSE),VLOOKUP("other",bug_conf_sheet!$A:$H,5,FALSE))</f>
        <v>0</v>
      </c>
      <c r="Q95" s="31">
        <f>IFERROR(VLOOKUP($D95,bug_conf_sheet!$A:$H,6,FALSE),VLOOKUP("other",bug_conf_sheet!$A:$H,6,FALSE))</f>
        <v>0</v>
      </c>
      <c r="R95" s="31">
        <f>IFERROR(VLOOKUP($D95,bug_conf_sheet!$A:$H,7,FALSE),VLOOKUP("other",bug_conf_sheet!$A:$H,7,FALSE))</f>
        <v>0</v>
      </c>
      <c r="S95" s="31">
        <f>IFERROR(VLOOKUP($D95,bug_conf_sheet!$A:$H,8,FALSE),VLOOKUP("other",bug_conf_sheet!$A:$H,8,FALSE))</f>
        <v>1</v>
      </c>
    </row>
    <row r="96" spans="1:19" ht="21" customHeight="1">
      <c r="A96" s="2">
        <f>input_6!A$2</f>
        <v>3126</v>
      </c>
      <c r="B96" s="7" t="str">
        <f t="shared" si="4"/>
        <v>Premium3</v>
      </c>
      <c r="C96" s="7" t="str">
        <f t="shared" si="5"/>
        <v>Premium</v>
      </c>
      <c r="D96" s="5">
        <v>220</v>
      </c>
      <c r="E96" s="7" t="str">
        <f>VLOOKUP(D96,[1]characters!$A:$C,3,FALSE)</f>
        <v>ルキフグス</v>
      </c>
      <c r="F96" s="7" t="str">
        <f>VLOOKUP(D96,[1]characters!$A:$J,10,FALSE)</f>
        <v>PremiumN</v>
      </c>
      <c r="G96" s="7">
        <f>VLOOKUP(D96,[1]characters!$A:$I,9,FALSE)</f>
        <v>3</v>
      </c>
      <c r="H96" s="7" t="str">
        <f>VLOOKUP(D96,[1]characters!$A:$H,8,FALSE)</f>
        <v>blue</v>
      </c>
      <c r="I96" s="7" t="str">
        <f>VLOOKUP(D96,[1]characters!$A:$K,11,FALSE)</f>
        <v>balance</v>
      </c>
      <c r="J96" s="7" t="str">
        <f>VLOOKUP(D96,[1]characters!$A:$M,13,FALSE)</f>
        <v>god</v>
      </c>
      <c r="K96" s="7" t="str">
        <f>VLOOKUP(D96,[1]characters!$A:$G,7,FALSE)</f>
        <v>女性</v>
      </c>
      <c r="L96" s="66">
        <f>IFERROR(VLOOKUP(D96,input_6!L:R,7,FALSE),VLOOKUP(tables_6!B96,input_6!A:H,8,FALSE))</f>
        <v>0</v>
      </c>
      <c r="M96" s="67">
        <f t="shared" si="3"/>
        <v>0</v>
      </c>
      <c r="N96" s="31">
        <f>IFERROR(VLOOKUP($D96,bug_conf_sheet!$A:$H,3,FALSE),VLOOKUP("other",bug_conf_sheet!$A:$H,3,FALSE))</f>
        <v>1</v>
      </c>
      <c r="O96" s="31">
        <f>IFERROR(VLOOKUP($D96,bug_conf_sheet!$A:$H,4,FALSE),VLOOKUP("other",bug_conf_sheet!$A:$H,4,FALSE))</f>
        <v>0</v>
      </c>
      <c r="P96" s="31">
        <f>IFERROR(VLOOKUP($D96,bug_conf_sheet!$A:$H,5,FALSE),VLOOKUP("other",bug_conf_sheet!$A:$H,5,FALSE))</f>
        <v>0</v>
      </c>
      <c r="Q96" s="31">
        <f>IFERROR(VLOOKUP($D96,bug_conf_sheet!$A:$H,6,FALSE),VLOOKUP("other",bug_conf_sheet!$A:$H,6,FALSE))</f>
        <v>0</v>
      </c>
      <c r="R96" s="31">
        <f>IFERROR(VLOOKUP($D96,bug_conf_sheet!$A:$H,7,FALSE),VLOOKUP("other",bug_conf_sheet!$A:$H,7,FALSE))</f>
        <v>0</v>
      </c>
      <c r="S96" s="31">
        <f>IFERROR(VLOOKUP($D96,bug_conf_sheet!$A:$H,8,FALSE),VLOOKUP("other",bug_conf_sheet!$A:$H,8,FALSE))</f>
        <v>1</v>
      </c>
    </row>
    <row r="97" spans="1:19" ht="21" customHeight="1">
      <c r="A97" s="2">
        <f>input_6!A$2</f>
        <v>3126</v>
      </c>
      <c r="B97" s="7" t="str">
        <f t="shared" si="4"/>
        <v>Premium4</v>
      </c>
      <c r="C97" s="7" t="str">
        <f t="shared" si="5"/>
        <v>Premium</v>
      </c>
      <c r="D97" s="5">
        <v>221</v>
      </c>
      <c r="E97" s="7" t="str">
        <f>VLOOKUP(D97,[1]characters!$A:$C,3,FALSE)</f>
        <v>宰相 ルキフグス</v>
      </c>
      <c r="F97" s="7" t="str">
        <f>VLOOKUP(D97,[1]characters!$A:$J,10,FALSE)</f>
        <v>PremiumN</v>
      </c>
      <c r="G97" s="7">
        <f>VLOOKUP(D97,[1]characters!$A:$I,9,FALSE)</f>
        <v>4</v>
      </c>
      <c r="H97" s="7" t="str">
        <f>VLOOKUP(D97,[1]characters!$A:$H,8,FALSE)</f>
        <v>blue</v>
      </c>
      <c r="I97" s="7" t="str">
        <f>VLOOKUP(D97,[1]characters!$A:$K,11,FALSE)</f>
        <v>balance</v>
      </c>
      <c r="J97" s="7" t="str">
        <f>VLOOKUP(D97,[1]characters!$A:$M,13,FALSE)</f>
        <v>god</v>
      </c>
      <c r="K97" s="7" t="str">
        <f>VLOOKUP(D97,[1]characters!$A:$G,7,FALSE)</f>
        <v>女性</v>
      </c>
      <c r="L97" s="66">
        <f>IFERROR(VLOOKUP(D97,input_6!L:R,7,FALSE),VLOOKUP(tables_6!B97,input_6!A:H,8,FALSE))</f>
        <v>646893</v>
      </c>
      <c r="M97" s="67">
        <f t="shared" si="3"/>
        <v>1.2452702702702703E-2</v>
      </c>
      <c r="N97" s="31">
        <f>IFERROR(VLOOKUP($D97,bug_conf_sheet!$A:$H,3,FALSE),VLOOKUP("other",bug_conf_sheet!$A:$H,3,FALSE))</f>
        <v>1</v>
      </c>
      <c r="O97" s="31">
        <f>IFERROR(VLOOKUP($D97,bug_conf_sheet!$A:$H,4,FALSE),VLOOKUP("other",bug_conf_sheet!$A:$H,4,FALSE))</f>
        <v>0</v>
      </c>
      <c r="P97" s="31">
        <f>IFERROR(VLOOKUP($D97,bug_conf_sheet!$A:$H,5,FALSE),VLOOKUP("other",bug_conf_sheet!$A:$H,5,FALSE))</f>
        <v>0</v>
      </c>
      <c r="Q97" s="31">
        <f>IFERROR(VLOOKUP($D97,bug_conf_sheet!$A:$H,6,FALSE),VLOOKUP("other",bug_conf_sheet!$A:$H,6,FALSE))</f>
        <v>0</v>
      </c>
      <c r="R97" s="31">
        <f>IFERROR(VLOOKUP($D97,bug_conf_sheet!$A:$H,7,FALSE),VLOOKUP("other",bug_conf_sheet!$A:$H,7,FALSE))</f>
        <v>0</v>
      </c>
      <c r="S97" s="31">
        <f>IFERROR(VLOOKUP($D97,bug_conf_sheet!$A:$H,8,FALSE),VLOOKUP("other",bug_conf_sheet!$A:$H,8,FALSE))</f>
        <v>1</v>
      </c>
    </row>
    <row r="98" spans="1:19" ht="21" customHeight="1">
      <c r="A98" s="2">
        <f>input_6!A$2</f>
        <v>3126</v>
      </c>
      <c r="B98" s="7" t="str">
        <f t="shared" si="4"/>
        <v>Premium5</v>
      </c>
      <c r="C98" s="7" t="str">
        <f t="shared" si="5"/>
        <v>Premium</v>
      </c>
      <c r="D98" s="5">
        <v>222</v>
      </c>
      <c r="E98" s="7" t="str">
        <f>VLOOKUP(D98,[1]characters!$A:$C,3,FALSE)</f>
        <v>避光の鉄鎖宰相 ルキフグス</v>
      </c>
      <c r="F98" s="7" t="str">
        <f>VLOOKUP(D98,[1]characters!$A:$J,10,FALSE)</f>
        <v>PremiumN</v>
      </c>
      <c r="G98" s="7">
        <f>VLOOKUP(D98,[1]characters!$A:$I,9,FALSE)</f>
        <v>5</v>
      </c>
      <c r="H98" s="7" t="str">
        <f>VLOOKUP(D98,[1]characters!$A:$H,8,FALSE)</f>
        <v>blue</v>
      </c>
      <c r="I98" s="7" t="str">
        <f>VLOOKUP(D98,[1]characters!$A:$K,11,FALSE)</f>
        <v>balance</v>
      </c>
      <c r="J98" s="7" t="str">
        <f>VLOOKUP(D98,[1]characters!$A:$M,13,FALSE)</f>
        <v>god</v>
      </c>
      <c r="K98" s="7" t="str">
        <f>VLOOKUP(D98,[1]characters!$A:$G,7,FALSE)</f>
        <v>女性</v>
      </c>
      <c r="L98" s="66">
        <f>IFERROR(VLOOKUP(D98,input_6!L:R,7,FALSE),VLOOKUP(tables_6!B98,input_6!A:H,8,FALSE))</f>
        <v>46657</v>
      </c>
      <c r="M98" s="67">
        <f t="shared" si="3"/>
        <v>8.9814814814814813E-4</v>
      </c>
      <c r="N98" s="31">
        <f>IFERROR(VLOOKUP($D98,bug_conf_sheet!$A:$H,3,FALSE),VLOOKUP("other",bug_conf_sheet!$A:$H,3,FALSE))</f>
        <v>1</v>
      </c>
      <c r="O98" s="31">
        <f>IFERROR(VLOOKUP($D98,bug_conf_sheet!$A:$H,4,FALSE),VLOOKUP("other",bug_conf_sheet!$A:$H,4,FALSE))</f>
        <v>0</v>
      </c>
      <c r="P98" s="31">
        <f>IFERROR(VLOOKUP($D98,bug_conf_sheet!$A:$H,5,FALSE),VLOOKUP("other",bug_conf_sheet!$A:$H,5,FALSE))</f>
        <v>0</v>
      </c>
      <c r="Q98" s="31">
        <f>IFERROR(VLOOKUP($D98,bug_conf_sheet!$A:$H,6,FALSE),VLOOKUP("other",bug_conf_sheet!$A:$H,6,FALSE))</f>
        <v>0</v>
      </c>
      <c r="R98" s="31">
        <f>IFERROR(VLOOKUP($D98,bug_conf_sheet!$A:$H,7,FALSE),VLOOKUP("other",bug_conf_sheet!$A:$H,7,FALSE))</f>
        <v>0</v>
      </c>
      <c r="S98" s="31">
        <f>IFERROR(VLOOKUP($D98,bug_conf_sheet!$A:$H,8,FALSE),VLOOKUP("other",bug_conf_sheet!$A:$H,8,FALSE))</f>
        <v>1</v>
      </c>
    </row>
    <row r="99" spans="1:19" ht="21" customHeight="1">
      <c r="A99" s="2">
        <f>input_6!A$2</f>
        <v>3126</v>
      </c>
      <c r="B99" s="7" t="str">
        <f t="shared" si="4"/>
        <v>Premium3</v>
      </c>
      <c r="C99" s="7" t="str">
        <f t="shared" si="5"/>
        <v>Premium</v>
      </c>
      <c r="D99" s="5">
        <v>223</v>
      </c>
      <c r="E99" s="7" t="str">
        <f>VLOOKUP(D99,[1]characters!$A:$C,3,FALSE)</f>
        <v>ヘラクレス</v>
      </c>
      <c r="F99" s="7" t="str">
        <f>VLOOKUP(D99,[1]characters!$A:$J,10,FALSE)</f>
        <v>PremiumN</v>
      </c>
      <c r="G99" s="7">
        <f>VLOOKUP(D99,[1]characters!$A:$I,9,FALSE)</f>
        <v>3</v>
      </c>
      <c r="H99" s="7" t="str">
        <f>VLOOKUP(D99,[1]characters!$A:$H,8,FALSE)</f>
        <v>yellow</v>
      </c>
      <c r="I99" s="7" t="str">
        <f>VLOOKUP(D99,[1]characters!$A:$K,11,FALSE)</f>
        <v>balance</v>
      </c>
      <c r="J99" s="7" t="str">
        <f>VLOOKUP(D99,[1]characters!$A:$M,13,FALSE)</f>
        <v>human</v>
      </c>
      <c r="K99" s="7" t="str">
        <f>VLOOKUP(D99,[1]characters!$A:$G,7,FALSE)</f>
        <v>男性</v>
      </c>
      <c r="L99" s="66">
        <f>IFERROR(VLOOKUP(D99,input_6!L:R,7,FALSE),VLOOKUP(tables_6!B99,input_6!A:H,8,FALSE))</f>
        <v>0</v>
      </c>
      <c r="M99" s="67">
        <f t="shared" si="3"/>
        <v>0</v>
      </c>
      <c r="N99" s="31">
        <f>IFERROR(VLOOKUP($D99,bug_conf_sheet!$A:$H,3,FALSE),VLOOKUP("other",bug_conf_sheet!$A:$H,3,FALSE))</f>
        <v>1</v>
      </c>
      <c r="O99" s="31">
        <f>IFERROR(VLOOKUP($D99,bug_conf_sheet!$A:$H,4,FALSE),VLOOKUP("other",bug_conf_sheet!$A:$H,4,FALSE))</f>
        <v>0</v>
      </c>
      <c r="P99" s="31">
        <f>IFERROR(VLOOKUP($D99,bug_conf_sheet!$A:$H,5,FALSE),VLOOKUP("other",bug_conf_sheet!$A:$H,5,FALSE))</f>
        <v>0</v>
      </c>
      <c r="Q99" s="31">
        <f>IFERROR(VLOOKUP($D99,bug_conf_sheet!$A:$H,6,FALSE),VLOOKUP("other",bug_conf_sheet!$A:$H,6,FALSE))</f>
        <v>0</v>
      </c>
      <c r="R99" s="31">
        <f>IFERROR(VLOOKUP($D99,bug_conf_sheet!$A:$H,7,FALSE),VLOOKUP("other",bug_conf_sheet!$A:$H,7,FALSE))</f>
        <v>0</v>
      </c>
      <c r="S99" s="31">
        <f>IFERROR(VLOOKUP($D99,bug_conf_sheet!$A:$H,8,FALSE),VLOOKUP("other",bug_conf_sheet!$A:$H,8,FALSE))</f>
        <v>1</v>
      </c>
    </row>
    <row r="100" spans="1:19" ht="21" customHeight="1">
      <c r="A100" s="2">
        <f>input_6!A$2</f>
        <v>3126</v>
      </c>
      <c r="B100" s="7" t="str">
        <f t="shared" si="4"/>
        <v>Premium4</v>
      </c>
      <c r="C100" s="7" t="str">
        <f t="shared" si="5"/>
        <v>Premium</v>
      </c>
      <c r="D100" s="5">
        <v>224</v>
      </c>
      <c r="E100" s="7" t="str">
        <f>VLOOKUP(D100,[1]characters!$A:$C,3,FALSE)</f>
        <v>巨腕 ヘラクレス</v>
      </c>
      <c r="F100" s="7" t="str">
        <f>VLOOKUP(D100,[1]characters!$A:$J,10,FALSE)</f>
        <v>PremiumN</v>
      </c>
      <c r="G100" s="7">
        <f>VLOOKUP(D100,[1]characters!$A:$I,9,FALSE)</f>
        <v>4</v>
      </c>
      <c r="H100" s="7" t="str">
        <f>VLOOKUP(D100,[1]characters!$A:$H,8,FALSE)</f>
        <v>yellow</v>
      </c>
      <c r="I100" s="7" t="str">
        <f>VLOOKUP(D100,[1]characters!$A:$K,11,FALSE)</f>
        <v>balance</v>
      </c>
      <c r="J100" s="7" t="str">
        <f>VLOOKUP(D100,[1]characters!$A:$M,13,FALSE)</f>
        <v>human</v>
      </c>
      <c r="K100" s="7" t="str">
        <f>VLOOKUP(D100,[1]characters!$A:$G,7,FALSE)</f>
        <v>男性</v>
      </c>
      <c r="L100" s="66">
        <f>IFERROR(VLOOKUP(D100,input_6!L:R,7,FALSE),VLOOKUP(tables_6!B100,input_6!A:H,8,FALSE))</f>
        <v>646893</v>
      </c>
      <c r="M100" s="67">
        <f t="shared" si="3"/>
        <v>1.2452702702702703E-2</v>
      </c>
      <c r="N100" s="31">
        <f>IFERROR(VLOOKUP($D100,bug_conf_sheet!$A:$H,3,FALSE),VLOOKUP("other",bug_conf_sheet!$A:$H,3,FALSE))</f>
        <v>1</v>
      </c>
      <c r="O100" s="31">
        <f>IFERROR(VLOOKUP($D100,bug_conf_sheet!$A:$H,4,FALSE),VLOOKUP("other",bug_conf_sheet!$A:$H,4,FALSE))</f>
        <v>0</v>
      </c>
      <c r="P100" s="31">
        <f>IFERROR(VLOOKUP($D100,bug_conf_sheet!$A:$H,5,FALSE),VLOOKUP("other",bug_conf_sheet!$A:$H,5,FALSE))</f>
        <v>0</v>
      </c>
      <c r="Q100" s="31">
        <f>IFERROR(VLOOKUP($D100,bug_conf_sheet!$A:$H,6,FALSE),VLOOKUP("other",bug_conf_sheet!$A:$H,6,FALSE))</f>
        <v>0</v>
      </c>
      <c r="R100" s="31">
        <f>IFERROR(VLOOKUP($D100,bug_conf_sheet!$A:$H,7,FALSE),VLOOKUP("other",bug_conf_sheet!$A:$H,7,FALSE))</f>
        <v>0</v>
      </c>
      <c r="S100" s="31">
        <f>IFERROR(VLOOKUP($D100,bug_conf_sheet!$A:$H,8,FALSE),VLOOKUP("other",bug_conf_sheet!$A:$H,8,FALSE))</f>
        <v>1</v>
      </c>
    </row>
    <row r="101" spans="1:19" ht="21" customHeight="1">
      <c r="A101" s="2">
        <f>input_6!A$2</f>
        <v>3126</v>
      </c>
      <c r="B101" s="7" t="str">
        <f t="shared" si="4"/>
        <v>Premium5</v>
      </c>
      <c r="C101" s="7" t="str">
        <f t="shared" si="5"/>
        <v>Premium</v>
      </c>
      <c r="D101" s="5">
        <v>225</v>
      </c>
      <c r="E101" s="7" t="str">
        <f>VLOOKUP(D101,[1]characters!$A:$C,3,FALSE)</f>
        <v>咆哮の巨獅腕 ヘラクレス</v>
      </c>
      <c r="F101" s="7" t="str">
        <f>VLOOKUP(D101,[1]characters!$A:$J,10,FALSE)</f>
        <v>PremiumN</v>
      </c>
      <c r="G101" s="7">
        <f>VLOOKUP(D101,[1]characters!$A:$I,9,FALSE)</f>
        <v>5</v>
      </c>
      <c r="H101" s="7" t="str">
        <f>VLOOKUP(D101,[1]characters!$A:$H,8,FALSE)</f>
        <v>yellow</v>
      </c>
      <c r="I101" s="7" t="str">
        <f>VLOOKUP(D101,[1]characters!$A:$K,11,FALSE)</f>
        <v>balance</v>
      </c>
      <c r="J101" s="7" t="str">
        <f>VLOOKUP(D101,[1]characters!$A:$M,13,FALSE)</f>
        <v>human</v>
      </c>
      <c r="K101" s="7" t="str">
        <f>VLOOKUP(D101,[1]characters!$A:$G,7,FALSE)</f>
        <v>男性</v>
      </c>
      <c r="L101" s="66">
        <f>IFERROR(VLOOKUP(D101,input_6!L:R,7,FALSE),VLOOKUP(tables_6!B101,input_6!A:H,8,FALSE))</f>
        <v>46657</v>
      </c>
      <c r="M101" s="67">
        <f t="shared" si="3"/>
        <v>8.9814814814814813E-4</v>
      </c>
      <c r="N101" s="31">
        <f>IFERROR(VLOOKUP($D101,bug_conf_sheet!$A:$H,3,FALSE),VLOOKUP("other",bug_conf_sheet!$A:$H,3,FALSE))</f>
        <v>1</v>
      </c>
      <c r="O101" s="31">
        <f>IFERROR(VLOOKUP($D101,bug_conf_sheet!$A:$H,4,FALSE),VLOOKUP("other",bug_conf_sheet!$A:$H,4,FALSE))</f>
        <v>0</v>
      </c>
      <c r="P101" s="31">
        <f>IFERROR(VLOOKUP($D101,bug_conf_sheet!$A:$H,5,FALSE),VLOOKUP("other",bug_conf_sheet!$A:$H,5,FALSE))</f>
        <v>0</v>
      </c>
      <c r="Q101" s="31">
        <f>IFERROR(VLOOKUP($D101,bug_conf_sheet!$A:$H,6,FALSE),VLOOKUP("other",bug_conf_sheet!$A:$H,6,FALSE))</f>
        <v>0</v>
      </c>
      <c r="R101" s="31">
        <f>IFERROR(VLOOKUP($D101,bug_conf_sheet!$A:$H,7,FALSE),VLOOKUP("other",bug_conf_sheet!$A:$H,7,FALSE))</f>
        <v>0</v>
      </c>
      <c r="S101" s="31">
        <f>IFERROR(VLOOKUP($D101,bug_conf_sheet!$A:$H,8,FALSE),VLOOKUP("other",bug_conf_sheet!$A:$H,8,FALSE))</f>
        <v>1</v>
      </c>
    </row>
    <row r="102" spans="1:19" ht="21" customHeight="1">
      <c r="A102" s="2">
        <f>input_6!A$2</f>
        <v>3126</v>
      </c>
      <c r="B102" s="7" t="str">
        <f t="shared" si="4"/>
        <v>Premium3</v>
      </c>
      <c r="C102" s="7" t="str">
        <f t="shared" si="5"/>
        <v>Premium</v>
      </c>
      <c r="D102" s="5">
        <v>226</v>
      </c>
      <c r="E102" s="7" t="str">
        <f>VLOOKUP(D102,[1]characters!$A:$C,3,FALSE)</f>
        <v>アレス</v>
      </c>
      <c r="F102" s="7" t="str">
        <f>VLOOKUP(D102,[1]characters!$A:$J,10,FALSE)</f>
        <v>PremiumS</v>
      </c>
      <c r="G102" s="7">
        <f>VLOOKUP(D102,[1]characters!$A:$I,9,FALSE)</f>
        <v>3</v>
      </c>
      <c r="H102" s="7" t="str">
        <f>VLOOKUP(D102,[1]characters!$A:$H,8,FALSE)</f>
        <v>red</v>
      </c>
      <c r="I102" s="7" t="str">
        <f>VLOOKUP(D102,[1]characters!$A:$K,11,FALSE)</f>
        <v>attack</v>
      </c>
      <c r="J102" s="7" t="str">
        <f>VLOOKUP(D102,[1]characters!$A:$M,13,FALSE)</f>
        <v>god</v>
      </c>
      <c r="K102" s="7" t="str">
        <f>VLOOKUP(D102,[1]characters!$A:$G,7,FALSE)</f>
        <v>男性</v>
      </c>
      <c r="L102" s="66">
        <f>IFERROR(VLOOKUP(D102,input_6!L:R,7,FALSE),VLOOKUP(tables_6!B102,input_6!A:H,8,FALSE))</f>
        <v>0</v>
      </c>
      <c r="M102" s="67">
        <f t="shared" si="3"/>
        <v>0</v>
      </c>
      <c r="N102" s="31">
        <f>IFERROR(VLOOKUP($D102,bug_conf_sheet!$A:$H,3,FALSE),VLOOKUP("other",bug_conf_sheet!$A:$H,3,FALSE))</f>
        <v>1</v>
      </c>
      <c r="O102" s="31">
        <f>IFERROR(VLOOKUP($D102,bug_conf_sheet!$A:$H,4,FALSE),VLOOKUP("other",bug_conf_sheet!$A:$H,4,FALSE))</f>
        <v>0</v>
      </c>
      <c r="P102" s="31">
        <f>IFERROR(VLOOKUP($D102,bug_conf_sheet!$A:$H,5,FALSE),VLOOKUP("other",bug_conf_sheet!$A:$H,5,FALSE))</f>
        <v>0</v>
      </c>
      <c r="Q102" s="31">
        <f>IFERROR(VLOOKUP($D102,bug_conf_sheet!$A:$H,6,FALSE),VLOOKUP("other",bug_conf_sheet!$A:$H,6,FALSE))</f>
        <v>0</v>
      </c>
      <c r="R102" s="31">
        <f>IFERROR(VLOOKUP($D102,bug_conf_sheet!$A:$H,7,FALSE),VLOOKUP("other",bug_conf_sheet!$A:$H,7,FALSE))</f>
        <v>0</v>
      </c>
      <c r="S102" s="31">
        <f>IFERROR(VLOOKUP($D102,bug_conf_sheet!$A:$H,8,FALSE),VLOOKUP("other",bug_conf_sheet!$A:$H,8,FALSE))</f>
        <v>1</v>
      </c>
    </row>
    <row r="103" spans="1:19" ht="21" customHeight="1">
      <c r="A103" s="2">
        <f>input_6!A$2</f>
        <v>3126</v>
      </c>
      <c r="B103" s="7" t="str">
        <f t="shared" si="4"/>
        <v>Premium4</v>
      </c>
      <c r="C103" s="7" t="str">
        <f t="shared" si="5"/>
        <v>Premium</v>
      </c>
      <c r="D103" s="5">
        <v>227</v>
      </c>
      <c r="E103" s="7" t="str">
        <f>VLOOKUP(D103,[1]characters!$A:$C,3,FALSE)</f>
        <v>滅弾 アレス</v>
      </c>
      <c r="F103" s="7" t="str">
        <f>VLOOKUP(D103,[1]characters!$A:$J,10,FALSE)</f>
        <v>PremiumS</v>
      </c>
      <c r="G103" s="7">
        <f>VLOOKUP(D103,[1]characters!$A:$I,9,FALSE)</f>
        <v>4</v>
      </c>
      <c r="H103" s="7" t="str">
        <f>VLOOKUP(D103,[1]characters!$A:$H,8,FALSE)</f>
        <v>red</v>
      </c>
      <c r="I103" s="7" t="str">
        <f>VLOOKUP(D103,[1]characters!$A:$K,11,FALSE)</f>
        <v>attack</v>
      </c>
      <c r="J103" s="7" t="str">
        <f>VLOOKUP(D103,[1]characters!$A:$M,13,FALSE)</f>
        <v>god</v>
      </c>
      <c r="K103" s="7" t="str">
        <f>VLOOKUP(D103,[1]characters!$A:$G,7,FALSE)</f>
        <v>男性</v>
      </c>
      <c r="L103" s="66">
        <f>IFERROR(VLOOKUP(D103,input_6!L:R,7,FALSE),VLOOKUP(tables_6!B103,input_6!A:H,8,FALSE))</f>
        <v>646893</v>
      </c>
      <c r="M103" s="67">
        <f t="shared" si="3"/>
        <v>1.2452702702702703E-2</v>
      </c>
      <c r="N103" s="31">
        <f>IFERROR(VLOOKUP($D103,bug_conf_sheet!$A:$H,3,FALSE),VLOOKUP("other",bug_conf_sheet!$A:$H,3,FALSE))</f>
        <v>1</v>
      </c>
      <c r="O103" s="31">
        <f>IFERROR(VLOOKUP($D103,bug_conf_sheet!$A:$H,4,FALSE),VLOOKUP("other",bug_conf_sheet!$A:$H,4,FALSE))</f>
        <v>0</v>
      </c>
      <c r="P103" s="31">
        <f>IFERROR(VLOOKUP($D103,bug_conf_sheet!$A:$H,5,FALSE),VLOOKUP("other",bug_conf_sheet!$A:$H,5,FALSE))</f>
        <v>0</v>
      </c>
      <c r="Q103" s="31">
        <f>IFERROR(VLOOKUP($D103,bug_conf_sheet!$A:$H,6,FALSE),VLOOKUP("other",bug_conf_sheet!$A:$H,6,FALSE))</f>
        <v>0</v>
      </c>
      <c r="R103" s="31">
        <f>IFERROR(VLOOKUP($D103,bug_conf_sheet!$A:$H,7,FALSE),VLOOKUP("other",bug_conf_sheet!$A:$H,7,FALSE))</f>
        <v>0</v>
      </c>
      <c r="S103" s="31">
        <f>IFERROR(VLOOKUP($D103,bug_conf_sheet!$A:$H,8,FALSE),VLOOKUP("other",bug_conf_sheet!$A:$H,8,FALSE))</f>
        <v>1</v>
      </c>
    </row>
    <row r="104" spans="1:19" ht="21" customHeight="1">
      <c r="A104" s="2">
        <f>input_6!A$2</f>
        <v>3126</v>
      </c>
      <c r="B104" s="7" t="str">
        <f t="shared" si="4"/>
        <v>Premium5</v>
      </c>
      <c r="C104" s="7" t="str">
        <f t="shared" si="5"/>
        <v>Premium</v>
      </c>
      <c r="D104" s="5">
        <v>228</v>
      </c>
      <c r="E104" s="7" t="str">
        <f>VLOOKUP(D104,[1]characters!$A:$C,3,FALSE)</f>
        <v>殲滅の掃射砲 アレス</v>
      </c>
      <c r="F104" s="7" t="str">
        <f>VLOOKUP(D104,[1]characters!$A:$J,10,FALSE)</f>
        <v>PremiumS</v>
      </c>
      <c r="G104" s="7">
        <f>VLOOKUP(D104,[1]characters!$A:$I,9,FALSE)</f>
        <v>5</v>
      </c>
      <c r="H104" s="7" t="str">
        <f>VLOOKUP(D104,[1]characters!$A:$H,8,FALSE)</f>
        <v>red</v>
      </c>
      <c r="I104" s="7" t="str">
        <f>VLOOKUP(D104,[1]characters!$A:$K,11,FALSE)</f>
        <v>attack</v>
      </c>
      <c r="J104" s="7" t="str">
        <f>VLOOKUP(D104,[1]characters!$A:$M,13,FALSE)</f>
        <v>god</v>
      </c>
      <c r="K104" s="7" t="str">
        <f>VLOOKUP(D104,[1]characters!$A:$G,7,FALSE)</f>
        <v>男性</v>
      </c>
      <c r="L104" s="66">
        <f>IFERROR(VLOOKUP(D104,input_6!L:R,7,FALSE),VLOOKUP(tables_6!B104,input_6!A:H,8,FALSE))</f>
        <v>46657</v>
      </c>
      <c r="M104" s="67">
        <f t="shared" si="3"/>
        <v>8.9814814814814813E-4</v>
      </c>
      <c r="N104" s="31">
        <f>IFERROR(VLOOKUP($D104,bug_conf_sheet!$A:$H,3,FALSE),VLOOKUP("other",bug_conf_sheet!$A:$H,3,FALSE))</f>
        <v>1</v>
      </c>
      <c r="O104" s="31">
        <f>IFERROR(VLOOKUP($D104,bug_conf_sheet!$A:$H,4,FALSE),VLOOKUP("other",bug_conf_sheet!$A:$H,4,FALSE))</f>
        <v>0</v>
      </c>
      <c r="P104" s="31">
        <f>IFERROR(VLOOKUP($D104,bug_conf_sheet!$A:$H,5,FALSE),VLOOKUP("other",bug_conf_sheet!$A:$H,5,FALSE))</f>
        <v>0</v>
      </c>
      <c r="Q104" s="31">
        <f>IFERROR(VLOOKUP($D104,bug_conf_sheet!$A:$H,6,FALSE),VLOOKUP("other",bug_conf_sheet!$A:$H,6,FALSE))</f>
        <v>0</v>
      </c>
      <c r="R104" s="31">
        <f>IFERROR(VLOOKUP($D104,bug_conf_sheet!$A:$H,7,FALSE),VLOOKUP("other",bug_conf_sheet!$A:$H,7,FALSE))</f>
        <v>0</v>
      </c>
      <c r="S104" s="31">
        <f>IFERROR(VLOOKUP($D104,bug_conf_sheet!$A:$H,8,FALSE),VLOOKUP("other",bug_conf_sheet!$A:$H,8,FALSE))</f>
        <v>1</v>
      </c>
    </row>
    <row r="105" spans="1:19" ht="21" customHeight="1">
      <c r="A105" s="2">
        <f>input_6!A$2</f>
        <v>3126</v>
      </c>
      <c r="B105" s="7" t="str">
        <f t="shared" si="4"/>
        <v>Premium3</v>
      </c>
      <c r="C105" s="7" t="str">
        <f t="shared" si="5"/>
        <v>Premium</v>
      </c>
      <c r="D105" s="5">
        <v>229</v>
      </c>
      <c r="E105" s="7" t="str">
        <f>VLOOKUP(D105,[1]characters!$A:$C,3,FALSE)</f>
        <v>ヨルムンガンド</v>
      </c>
      <c r="F105" s="7" t="str">
        <f>VLOOKUP(D105,[1]characters!$A:$J,10,FALSE)</f>
        <v>PremiumS</v>
      </c>
      <c r="G105" s="7">
        <f>VLOOKUP(D105,[1]characters!$A:$I,9,FALSE)</f>
        <v>3</v>
      </c>
      <c r="H105" s="7" t="str">
        <f>VLOOKUP(D105,[1]characters!$A:$H,8,FALSE)</f>
        <v>green</v>
      </c>
      <c r="I105" s="7" t="str">
        <f>VLOOKUP(D105,[1]characters!$A:$K,11,FALSE)</f>
        <v>technical</v>
      </c>
      <c r="J105" s="7" t="str">
        <f>VLOOKUP(D105,[1]characters!$A:$M,13,FALSE)</f>
        <v>dragon</v>
      </c>
      <c r="K105" s="7" t="str">
        <f>VLOOKUP(D105,[1]characters!$A:$G,7,FALSE)</f>
        <v>女性</v>
      </c>
      <c r="L105" s="66">
        <f>IFERROR(VLOOKUP(D105,input_6!L:R,7,FALSE),VLOOKUP(tables_6!B105,input_6!A:H,8,FALSE))</f>
        <v>0</v>
      </c>
      <c r="M105" s="67">
        <f t="shared" si="3"/>
        <v>0</v>
      </c>
      <c r="N105" s="31">
        <f>IFERROR(VLOOKUP($D105,bug_conf_sheet!$A:$H,3,FALSE),VLOOKUP("other",bug_conf_sheet!$A:$H,3,FALSE))</f>
        <v>1</v>
      </c>
      <c r="O105" s="31">
        <f>IFERROR(VLOOKUP($D105,bug_conf_sheet!$A:$H,4,FALSE),VLOOKUP("other",bug_conf_sheet!$A:$H,4,FALSE))</f>
        <v>0</v>
      </c>
      <c r="P105" s="31">
        <f>IFERROR(VLOOKUP($D105,bug_conf_sheet!$A:$H,5,FALSE),VLOOKUP("other",bug_conf_sheet!$A:$H,5,FALSE))</f>
        <v>0</v>
      </c>
      <c r="Q105" s="31">
        <f>IFERROR(VLOOKUP($D105,bug_conf_sheet!$A:$H,6,FALSE),VLOOKUP("other",bug_conf_sheet!$A:$H,6,FALSE))</f>
        <v>0</v>
      </c>
      <c r="R105" s="31">
        <f>IFERROR(VLOOKUP($D105,bug_conf_sheet!$A:$H,7,FALSE),VLOOKUP("other",bug_conf_sheet!$A:$H,7,FALSE))</f>
        <v>0</v>
      </c>
      <c r="S105" s="31">
        <f>IFERROR(VLOOKUP($D105,bug_conf_sheet!$A:$H,8,FALSE),VLOOKUP("other",bug_conf_sheet!$A:$H,8,FALSE))</f>
        <v>1</v>
      </c>
    </row>
    <row r="106" spans="1:19" ht="21" customHeight="1">
      <c r="A106" s="2">
        <f>input_6!A$2</f>
        <v>3126</v>
      </c>
      <c r="B106" s="7" t="str">
        <f t="shared" si="4"/>
        <v>Premium4</v>
      </c>
      <c r="C106" s="7" t="str">
        <f t="shared" si="5"/>
        <v>Premium</v>
      </c>
      <c r="D106" s="5">
        <v>230</v>
      </c>
      <c r="E106" s="7" t="str">
        <f>VLOOKUP(D106,[1]characters!$A:$C,3,FALSE)</f>
        <v>毒銃 ヨルムンガンド</v>
      </c>
      <c r="F106" s="7" t="str">
        <f>VLOOKUP(D106,[1]characters!$A:$J,10,FALSE)</f>
        <v>PremiumS</v>
      </c>
      <c r="G106" s="7">
        <f>VLOOKUP(D106,[1]characters!$A:$I,9,FALSE)</f>
        <v>4</v>
      </c>
      <c r="H106" s="7" t="str">
        <f>VLOOKUP(D106,[1]characters!$A:$H,8,FALSE)</f>
        <v>green</v>
      </c>
      <c r="I106" s="7" t="str">
        <f>VLOOKUP(D106,[1]characters!$A:$K,11,FALSE)</f>
        <v>technical</v>
      </c>
      <c r="J106" s="7" t="str">
        <f>VLOOKUP(D106,[1]characters!$A:$M,13,FALSE)</f>
        <v>dragon</v>
      </c>
      <c r="K106" s="7" t="str">
        <f>VLOOKUP(D106,[1]characters!$A:$G,7,FALSE)</f>
        <v>女性</v>
      </c>
      <c r="L106" s="66">
        <f>IFERROR(VLOOKUP(D106,input_6!L:R,7,FALSE),VLOOKUP(tables_6!B106,input_6!A:H,8,FALSE))</f>
        <v>646893</v>
      </c>
      <c r="M106" s="67">
        <f t="shared" si="3"/>
        <v>1.2452702702702703E-2</v>
      </c>
      <c r="N106" s="31">
        <f>IFERROR(VLOOKUP($D106,bug_conf_sheet!$A:$H,3,FALSE),VLOOKUP("other",bug_conf_sheet!$A:$H,3,FALSE))</f>
        <v>1</v>
      </c>
      <c r="O106" s="31">
        <f>IFERROR(VLOOKUP($D106,bug_conf_sheet!$A:$H,4,FALSE),VLOOKUP("other",bug_conf_sheet!$A:$H,4,FALSE))</f>
        <v>0</v>
      </c>
      <c r="P106" s="31">
        <f>IFERROR(VLOOKUP($D106,bug_conf_sheet!$A:$H,5,FALSE),VLOOKUP("other",bug_conf_sheet!$A:$H,5,FALSE))</f>
        <v>0</v>
      </c>
      <c r="Q106" s="31">
        <f>IFERROR(VLOOKUP($D106,bug_conf_sheet!$A:$H,6,FALSE),VLOOKUP("other",bug_conf_sheet!$A:$H,6,FALSE))</f>
        <v>0</v>
      </c>
      <c r="R106" s="31">
        <f>IFERROR(VLOOKUP($D106,bug_conf_sheet!$A:$H,7,FALSE),VLOOKUP("other",bug_conf_sheet!$A:$H,7,FALSE))</f>
        <v>0</v>
      </c>
      <c r="S106" s="31">
        <f>IFERROR(VLOOKUP($D106,bug_conf_sheet!$A:$H,8,FALSE),VLOOKUP("other",bug_conf_sheet!$A:$H,8,FALSE))</f>
        <v>1</v>
      </c>
    </row>
    <row r="107" spans="1:19" ht="21" customHeight="1">
      <c r="A107" s="2">
        <f>input_6!A$2</f>
        <v>3126</v>
      </c>
      <c r="B107" s="7" t="str">
        <f t="shared" si="4"/>
        <v>Premium5</v>
      </c>
      <c r="C107" s="7" t="str">
        <f t="shared" si="5"/>
        <v>Premium</v>
      </c>
      <c r="D107" s="5">
        <v>231</v>
      </c>
      <c r="E107" s="7" t="str">
        <f>VLOOKUP(D107,[1]characters!$A:$C,3,FALSE)</f>
        <v>必中の咬銃 ヨルムンガンド</v>
      </c>
      <c r="F107" s="7" t="str">
        <f>VLOOKUP(D107,[1]characters!$A:$J,10,FALSE)</f>
        <v>PremiumS</v>
      </c>
      <c r="G107" s="7">
        <f>VLOOKUP(D107,[1]characters!$A:$I,9,FALSE)</f>
        <v>5</v>
      </c>
      <c r="H107" s="7" t="str">
        <f>VLOOKUP(D107,[1]characters!$A:$H,8,FALSE)</f>
        <v>green</v>
      </c>
      <c r="I107" s="7" t="str">
        <f>VLOOKUP(D107,[1]characters!$A:$K,11,FALSE)</f>
        <v>technical</v>
      </c>
      <c r="J107" s="7" t="str">
        <f>VLOOKUP(D107,[1]characters!$A:$M,13,FALSE)</f>
        <v>dragon</v>
      </c>
      <c r="K107" s="7" t="str">
        <f>VLOOKUP(D107,[1]characters!$A:$G,7,FALSE)</f>
        <v>女性</v>
      </c>
      <c r="L107" s="66">
        <f>IFERROR(VLOOKUP(D107,input_6!L:R,7,FALSE),VLOOKUP(tables_6!B107,input_6!A:H,8,FALSE))</f>
        <v>46657</v>
      </c>
      <c r="M107" s="67">
        <f t="shared" si="3"/>
        <v>8.9814814814814813E-4</v>
      </c>
      <c r="N107" s="31">
        <f>IFERROR(VLOOKUP($D107,bug_conf_sheet!$A:$H,3,FALSE),VLOOKUP("other",bug_conf_sheet!$A:$H,3,FALSE))</f>
        <v>1</v>
      </c>
      <c r="O107" s="31">
        <f>IFERROR(VLOOKUP($D107,bug_conf_sheet!$A:$H,4,FALSE),VLOOKUP("other",bug_conf_sheet!$A:$H,4,FALSE))</f>
        <v>0</v>
      </c>
      <c r="P107" s="31">
        <f>IFERROR(VLOOKUP($D107,bug_conf_sheet!$A:$H,5,FALSE),VLOOKUP("other",bug_conf_sheet!$A:$H,5,FALSE))</f>
        <v>0</v>
      </c>
      <c r="Q107" s="31">
        <f>IFERROR(VLOOKUP($D107,bug_conf_sheet!$A:$H,6,FALSE),VLOOKUP("other",bug_conf_sheet!$A:$H,6,FALSE))</f>
        <v>0</v>
      </c>
      <c r="R107" s="31">
        <f>IFERROR(VLOOKUP($D107,bug_conf_sheet!$A:$H,7,FALSE),VLOOKUP("other",bug_conf_sheet!$A:$H,7,FALSE))</f>
        <v>0</v>
      </c>
      <c r="S107" s="31">
        <f>IFERROR(VLOOKUP($D107,bug_conf_sheet!$A:$H,8,FALSE),VLOOKUP("other",bug_conf_sheet!$A:$H,8,FALSE))</f>
        <v>1</v>
      </c>
    </row>
    <row r="108" spans="1:19" ht="21" customHeight="1">
      <c r="A108" s="2">
        <f>input_6!A$2</f>
        <v>3126</v>
      </c>
      <c r="B108" s="7" t="str">
        <f t="shared" si="4"/>
        <v>Premium3</v>
      </c>
      <c r="C108" s="7" t="str">
        <f t="shared" si="5"/>
        <v>Premium</v>
      </c>
      <c r="D108" s="5">
        <v>232</v>
      </c>
      <c r="E108" s="7" t="str">
        <f>VLOOKUP(D108,[1]characters!$A:$C,3,FALSE)</f>
        <v>パーシヴァル</v>
      </c>
      <c r="F108" s="7" t="str">
        <f>VLOOKUP(D108,[1]characters!$A:$J,10,FALSE)</f>
        <v>PremiumS</v>
      </c>
      <c r="G108" s="7">
        <f>VLOOKUP(D108,[1]characters!$A:$I,9,FALSE)</f>
        <v>3</v>
      </c>
      <c r="H108" s="7" t="str">
        <f>VLOOKUP(D108,[1]characters!$A:$H,8,FALSE)</f>
        <v>blue</v>
      </c>
      <c r="I108" s="7" t="str">
        <f>VLOOKUP(D108,[1]characters!$A:$K,11,FALSE)</f>
        <v>technical</v>
      </c>
      <c r="J108" s="7" t="str">
        <f>VLOOKUP(D108,[1]characters!$A:$M,13,FALSE)</f>
        <v>human</v>
      </c>
      <c r="K108" s="7" t="str">
        <f>VLOOKUP(D108,[1]characters!$A:$G,7,FALSE)</f>
        <v>女性</v>
      </c>
      <c r="L108" s="66">
        <f>IFERROR(VLOOKUP(D108,input_6!L:R,7,FALSE),VLOOKUP(tables_6!B108,input_6!A:H,8,FALSE))</f>
        <v>0</v>
      </c>
      <c r="M108" s="67">
        <f t="shared" si="3"/>
        <v>0</v>
      </c>
      <c r="N108" s="31">
        <f>IFERROR(VLOOKUP($D108,bug_conf_sheet!$A:$H,3,FALSE),VLOOKUP("other",bug_conf_sheet!$A:$H,3,FALSE))</f>
        <v>1</v>
      </c>
      <c r="O108" s="31">
        <f>IFERROR(VLOOKUP($D108,bug_conf_sheet!$A:$H,4,FALSE),VLOOKUP("other",bug_conf_sheet!$A:$H,4,FALSE))</f>
        <v>0</v>
      </c>
      <c r="P108" s="31">
        <f>IFERROR(VLOOKUP($D108,bug_conf_sheet!$A:$H,5,FALSE),VLOOKUP("other",bug_conf_sheet!$A:$H,5,FALSE))</f>
        <v>0</v>
      </c>
      <c r="Q108" s="31">
        <f>IFERROR(VLOOKUP($D108,bug_conf_sheet!$A:$H,6,FALSE),VLOOKUP("other",bug_conf_sheet!$A:$H,6,FALSE))</f>
        <v>0</v>
      </c>
      <c r="R108" s="31">
        <f>IFERROR(VLOOKUP($D108,bug_conf_sheet!$A:$H,7,FALSE),VLOOKUP("other",bug_conf_sheet!$A:$H,7,FALSE))</f>
        <v>0</v>
      </c>
      <c r="S108" s="31">
        <f>IFERROR(VLOOKUP($D108,bug_conf_sheet!$A:$H,8,FALSE),VLOOKUP("other",bug_conf_sheet!$A:$H,8,FALSE))</f>
        <v>1</v>
      </c>
    </row>
    <row r="109" spans="1:19" ht="21" customHeight="1">
      <c r="A109" s="2">
        <f>input_6!A$2</f>
        <v>3126</v>
      </c>
      <c r="B109" s="7" t="str">
        <f t="shared" si="4"/>
        <v>Premium4</v>
      </c>
      <c r="C109" s="7" t="str">
        <f t="shared" si="5"/>
        <v>Premium</v>
      </c>
      <c r="D109" s="5">
        <v>233</v>
      </c>
      <c r="E109" s="7" t="str">
        <f>VLOOKUP(D109,[1]characters!$A:$C,3,FALSE)</f>
        <v>遂行 パーシヴァル</v>
      </c>
      <c r="F109" s="7" t="str">
        <f>VLOOKUP(D109,[1]characters!$A:$J,10,FALSE)</f>
        <v>PremiumS</v>
      </c>
      <c r="G109" s="7">
        <f>VLOOKUP(D109,[1]characters!$A:$I,9,FALSE)</f>
        <v>4</v>
      </c>
      <c r="H109" s="7" t="str">
        <f>VLOOKUP(D109,[1]characters!$A:$H,8,FALSE)</f>
        <v>blue</v>
      </c>
      <c r="I109" s="7" t="str">
        <f>VLOOKUP(D109,[1]characters!$A:$K,11,FALSE)</f>
        <v>technical</v>
      </c>
      <c r="J109" s="7" t="str">
        <f>VLOOKUP(D109,[1]characters!$A:$M,13,FALSE)</f>
        <v>human</v>
      </c>
      <c r="K109" s="7" t="str">
        <f>VLOOKUP(D109,[1]characters!$A:$G,7,FALSE)</f>
        <v>女性</v>
      </c>
      <c r="L109" s="66">
        <f>IFERROR(VLOOKUP(D109,input_6!L:R,7,FALSE),VLOOKUP(tables_6!B109,input_6!A:H,8,FALSE))</f>
        <v>646893</v>
      </c>
      <c r="M109" s="67">
        <f t="shared" si="3"/>
        <v>1.2452702702702703E-2</v>
      </c>
      <c r="N109" s="31">
        <f>IFERROR(VLOOKUP($D109,bug_conf_sheet!$A:$H,3,FALSE),VLOOKUP("other",bug_conf_sheet!$A:$H,3,FALSE))</f>
        <v>1</v>
      </c>
      <c r="O109" s="31">
        <f>IFERROR(VLOOKUP($D109,bug_conf_sheet!$A:$H,4,FALSE),VLOOKUP("other",bug_conf_sheet!$A:$H,4,FALSE))</f>
        <v>0</v>
      </c>
      <c r="P109" s="31">
        <f>IFERROR(VLOOKUP($D109,bug_conf_sheet!$A:$H,5,FALSE),VLOOKUP("other",bug_conf_sheet!$A:$H,5,FALSE))</f>
        <v>0</v>
      </c>
      <c r="Q109" s="31">
        <f>IFERROR(VLOOKUP($D109,bug_conf_sheet!$A:$H,6,FALSE),VLOOKUP("other",bug_conf_sheet!$A:$H,6,FALSE))</f>
        <v>0</v>
      </c>
      <c r="R109" s="31">
        <f>IFERROR(VLOOKUP($D109,bug_conf_sheet!$A:$H,7,FALSE),VLOOKUP("other",bug_conf_sheet!$A:$H,7,FALSE))</f>
        <v>0</v>
      </c>
      <c r="S109" s="31">
        <f>IFERROR(VLOOKUP($D109,bug_conf_sheet!$A:$H,8,FALSE),VLOOKUP("other",bug_conf_sheet!$A:$H,8,FALSE))</f>
        <v>1</v>
      </c>
    </row>
    <row r="110" spans="1:19" ht="21" customHeight="1">
      <c r="A110" s="2">
        <f>input_6!A$2</f>
        <v>3126</v>
      </c>
      <c r="B110" s="7" t="str">
        <f t="shared" si="4"/>
        <v>Premium5</v>
      </c>
      <c r="C110" s="7" t="str">
        <f t="shared" si="5"/>
        <v>Premium</v>
      </c>
      <c r="D110" s="5">
        <v>234</v>
      </c>
      <c r="E110" s="7" t="str">
        <f>VLOOKUP(D110,[1]characters!$A:$C,3,FALSE)</f>
        <v>精密なる照準 パーシヴァル</v>
      </c>
      <c r="F110" s="7" t="str">
        <f>VLOOKUP(D110,[1]characters!$A:$J,10,FALSE)</f>
        <v>PremiumS</v>
      </c>
      <c r="G110" s="7">
        <f>VLOOKUP(D110,[1]characters!$A:$I,9,FALSE)</f>
        <v>5</v>
      </c>
      <c r="H110" s="7" t="str">
        <f>VLOOKUP(D110,[1]characters!$A:$H,8,FALSE)</f>
        <v>blue</v>
      </c>
      <c r="I110" s="7" t="str">
        <f>VLOOKUP(D110,[1]characters!$A:$K,11,FALSE)</f>
        <v>technical</v>
      </c>
      <c r="J110" s="7" t="str">
        <f>VLOOKUP(D110,[1]characters!$A:$M,13,FALSE)</f>
        <v>human</v>
      </c>
      <c r="K110" s="7" t="str">
        <f>VLOOKUP(D110,[1]characters!$A:$G,7,FALSE)</f>
        <v>女性</v>
      </c>
      <c r="L110" s="66">
        <f>IFERROR(VLOOKUP(D110,input_6!L:R,7,FALSE),VLOOKUP(tables_6!B110,input_6!A:H,8,FALSE))</f>
        <v>46657</v>
      </c>
      <c r="M110" s="67">
        <f t="shared" si="3"/>
        <v>8.9814814814814813E-4</v>
      </c>
      <c r="N110" s="31">
        <f>IFERROR(VLOOKUP($D110,bug_conf_sheet!$A:$H,3,FALSE),VLOOKUP("other",bug_conf_sheet!$A:$H,3,FALSE))</f>
        <v>1</v>
      </c>
      <c r="O110" s="31">
        <f>IFERROR(VLOOKUP($D110,bug_conf_sheet!$A:$H,4,FALSE),VLOOKUP("other",bug_conf_sheet!$A:$H,4,FALSE))</f>
        <v>0</v>
      </c>
      <c r="P110" s="31">
        <f>IFERROR(VLOOKUP($D110,bug_conf_sheet!$A:$H,5,FALSE),VLOOKUP("other",bug_conf_sheet!$A:$H,5,FALSE))</f>
        <v>0</v>
      </c>
      <c r="Q110" s="31">
        <f>IFERROR(VLOOKUP($D110,bug_conf_sheet!$A:$H,6,FALSE),VLOOKUP("other",bug_conf_sheet!$A:$H,6,FALSE))</f>
        <v>0</v>
      </c>
      <c r="R110" s="31">
        <f>IFERROR(VLOOKUP($D110,bug_conf_sheet!$A:$H,7,FALSE),VLOOKUP("other",bug_conf_sheet!$A:$H,7,FALSE))</f>
        <v>0</v>
      </c>
      <c r="S110" s="31">
        <f>IFERROR(VLOOKUP($D110,bug_conf_sheet!$A:$H,8,FALSE),VLOOKUP("other",bug_conf_sheet!$A:$H,8,FALSE))</f>
        <v>1</v>
      </c>
    </row>
    <row r="111" spans="1:19" ht="21" customHeight="1">
      <c r="A111" s="2">
        <f>input_6!A$2</f>
        <v>3126</v>
      </c>
      <c r="B111" s="7" t="str">
        <f t="shared" si="4"/>
        <v>Premium3</v>
      </c>
      <c r="C111" s="7" t="str">
        <f t="shared" si="5"/>
        <v>Premium</v>
      </c>
      <c r="D111" s="5">
        <v>235</v>
      </c>
      <c r="E111" s="7" t="str">
        <f>VLOOKUP(D111,[1]characters!$A:$C,3,FALSE)</f>
        <v>イザナミ</v>
      </c>
      <c r="F111" s="7" t="str">
        <f>VLOOKUP(D111,[1]characters!$A:$J,10,FALSE)</f>
        <v>PremiumS</v>
      </c>
      <c r="G111" s="7">
        <f>VLOOKUP(D111,[1]characters!$A:$I,9,FALSE)</f>
        <v>3</v>
      </c>
      <c r="H111" s="7" t="str">
        <f>VLOOKUP(D111,[1]characters!$A:$H,8,FALSE)</f>
        <v>yellow</v>
      </c>
      <c r="I111" s="7" t="str">
        <f>VLOOKUP(D111,[1]characters!$A:$K,11,FALSE)</f>
        <v>attack</v>
      </c>
      <c r="J111" s="7" t="str">
        <f>VLOOKUP(D111,[1]characters!$A:$M,13,FALSE)</f>
        <v>god</v>
      </c>
      <c r="K111" s="7" t="str">
        <f>VLOOKUP(D111,[1]characters!$A:$G,7,FALSE)</f>
        <v>女性</v>
      </c>
      <c r="L111" s="66">
        <f>IFERROR(VLOOKUP(D111,input_6!L:R,7,FALSE),VLOOKUP(tables_6!B111,input_6!A:H,8,FALSE))</f>
        <v>0</v>
      </c>
      <c r="M111" s="67">
        <f t="shared" si="3"/>
        <v>0</v>
      </c>
      <c r="N111" s="31">
        <f>IFERROR(VLOOKUP($D111,bug_conf_sheet!$A:$H,3,FALSE),VLOOKUP("other",bug_conf_sheet!$A:$H,3,FALSE))</f>
        <v>1</v>
      </c>
      <c r="O111" s="31">
        <f>IFERROR(VLOOKUP($D111,bug_conf_sheet!$A:$H,4,FALSE),VLOOKUP("other",bug_conf_sheet!$A:$H,4,FALSE))</f>
        <v>0</v>
      </c>
      <c r="P111" s="31">
        <f>IFERROR(VLOOKUP($D111,bug_conf_sheet!$A:$H,5,FALSE),VLOOKUP("other",bug_conf_sheet!$A:$H,5,FALSE))</f>
        <v>0</v>
      </c>
      <c r="Q111" s="31">
        <f>IFERROR(VLOOKUP($D111,bug_conf_sheet!$A:$H,6,FALSE),VLOOKUP("other",bug_conf_sheet!$A:$H,6,FALSE))</f>
        <v>0</v>
      </c>
      <c r="R111" s="31">
        <f>IFERROR(VLOOKUP($D111,bug_conf_sheet!$A:$H,7,FALSE),VLOOKUP("other",bug_conf_sheet!$A:$H,7,FALSE))</f>
        <v>0</v>
      </c>
      <c r="S111" s="31">
        <f>IFERROR(VLOOKUP($D111,bug_conf_sheet!$A:$H,8,FALSE),VLOOKUP("other",bug_conf_sheet!$A:$H,8,FALSE))</f>
        <v>1</v>
      </c>
    </row>
    <row r="112" spans="1:19" ht="21" customHeight="1">
      <c r="A112" s="2">
        <f>input_6!A$2</f>
        <v>3126</v>
      </c>
      <c r="B112" s="7" t="str">
        <f t="shared" si="4"/>
        <v>Premium4</v>
      </c>
      <c r="C112" s="7" t="str">
        <f t="shared" si="5"/>
        <v>Premium</v>
      </c>
      <c r="D112" s="5">
        <v>236</v>
      </c>
      <c r="E112" s="7" t="str">
        <f>VLOOKUP(D112,[1]characters!$A:$C,3,FALSE)</f>
        <v>神産 イザナミ</v>
      </c>
      <c r="F112" s="7" t="str">
        <f>VLOOKUP(D112,[1]characters!$A:$J,10,FALSE)</f>
        <v>PremiumS</v>
      </c>
      <c r="G112" s="7">
        <f>VLOOKUP(D112,[1]characters!$A:$I,9,FALSE)</f>
        <v>4</v>
      </c>
      <c r="H112" s="7" t="str">
        <f>VLOOKUP(D112,[1]characters!$A:$H,8,FALSE)</f>
        <v>yellow</v>
      </c>
      <c r="I112" s="7" t="str">
        <f>VLOOKUP(D112,[1]characters!$A:$K,11,FALSE)</f>
        <v>attack</v>
      </c>
      <c r="J112" s="7" t="str">
        <f>VLOOKUP(D112,[1]characters!$A:$M,13,FALSE)</f>
        <v>god</v>
      </c>
      <c r="K112" s="7" t="str">
        <f>VLOOKUP(D112,[1]characters!$A:$G,7,FALSE)</f>
        <v>女性</v>
      </c>
      <c r="L112" s="66">
        <f>IFERROR(VLOOKUP(D112,input_6!L:R,7,FALSE),VLOOKUP(tables_6!B112,input_6!A:H,8,FALSE))</f>
        <v>646893</v>
      </c>
      <c r="M112" s="67">
        <f t="shared" si="3"/>
        <v>1.2452702702702703E-2</v>
      </c>
      <c r="N112" s="31">
        <f>IFERROR(VLOOKUP($D112,bug_conf_sheet!$A:$H,3,FALSE),VLOOKUP("other",bug_conf_sheet!$A:$H,3,FALSE))</f>
        <v>1</v>
      </c>
      <c r="O112" s="31">
        <f>IFERROR(VLOOKUP($D112,bug_conf_sheet!$A:$H,4,FALSE),VLOOKUP("other",bug_conf_sheet!$A:$H,4,FALSE))</f>
        <v>0</v>
      </c>
      <c r="P112" s="31">
        <f>IFERROR(VLOOKUP($D112,bug_conf_sheet!$A:$H,5,FALSE),VLOOKUP("other",bug_conf_sheet!$A:$H,5,FALSE))</f>
        <v>0</v>
      </c>
      <c r="Q112" s="31">
        <f>IFERROR(VLOOKUP($D112,bug_conf_sheet!$A:$H,6,FALSE),VLOOKUP("other",bug_conf_sheet!$A:$H,6,FALSE))</f>
        <v>0</v>
      </c>
      <c r="R112" s="31">
        <f>IFERROR(VLOOKUP($D112,bug_conf_sheet!$A:$H,7,FALSE),VLOOKUP("other",bug_conf_sheet!$A:$H,7,FALSE))</f>
        <v>0</v>
      </c>
      <c r="S112" s="31">
        <f>IFERROR(VLOOKUP($D112,bug_conf_sheet!$A:$H,8,FALSE),VLOOKUP("other",bug_conf_sheet!$A:$H,8,FALSE))</f>
        <v>1</v>
      </c>
    </row>
    <row r="113" spans="1:19" ht="21" customHeight="1">
      <c r="A113" s="2">
        <f>input_6!A$2</f>
        <v>3126</v>
      </c>
      <c r="B113" s="7" t="str">
        <f t="shared" si="4"/>
        <v>Premium5</v>
      </c>
      <c r="C113" s="7" t="str">
        <f t="shared" si="5"/>
        <v>Premium</v>
      </c>
      <c r="D113" s="5">
        <v>237</v>
      </c>
      <c r="E113" s="7" t="str">
        <f>VLOOKUP(D113,[1]characters!$A:$C,3,FALSE)</f>
        <v>森羅万象の神母 イザナミ</v>
      </c>
      <c r="F113" s="7" t="str">
        <f>VLOOKUP(D113,[1]characters!$A:$J,10,FALSE)</f>
        <v>PremiumS</v>
      </c>
      <c r="G113" s="7">
        <f>VLOOKUP(D113,[1]characters!$A:$I,9,FALSE)</f>
        <v>5</v>
      </c>
      <c r="H113" s="7" t="str">
        <f>VLOOKUP(D113,[1]characters!$A:$H,8,FALSE)</f>
        <v>yellow</v>
      </c>
      <c r="I113" s="7" t="str">
        <f>VLOOKUP(D113,[1]characters!$A:$K,11,FALSE)</f>
        <v>attack</v>
      </c>
      <c r="J113" s="7" t="str">
        <f>VLOOKUP(D113,[1]characters!$A:$M,13,FALSE)</f>
        <v>god</v>
      </c>
      <c r="K113" s="7" t="str">
        <f>VLOOKUP(D113,[1]characters!$A:$G,7,FALSE)</f>
        <v>女性</v>
      </c>
      <c r="L113" s="66">
        <f>IFERROR(VLOOKUP(D113,input_6!L:R,7,FALSE),VLOOKUP(tables_6!B113,input_6!A:H,8,FALSE))</f>
        <v>46657</v>
      </c>
      <c r="M113" s="67">
        <f t="shared" si="3"/>
        <v>8.9814814814814813E-4</v>
      </c>
      <c r="N113" s="31">
        <f>IFERROR(VLOOKUP($D113,bug_conf_sheet!$A:$H,3,FALSE),VLOOKUP("other",bug_conf_sheet!$A:$H,3,FALSE))</f>
        <v>1</v>
      </c>
      <c r="O113" s="31">
        <f>IFERROR(VLOOKUP($D113,bug_conf_sheet!$A:$H,4,FALSE),VLOOKUP("other",bug_conf_sheet!$A:$H,4,FALSE))</f>
        <v>0</v>
      </c>
      <c r="P113" s="31">
        <f>IFERROR(VLOOKUP($D113,bug_conf_sheet!$A:$H,5,FALSE),VLOOKUP("other",bug_conf_sheet!$A:$H,5,FALSE))</f>
        <v>0</v>
      </c>
      <c r="Q113" s="31">
        <f>IFERROR(VLOOKUP($D113,bug_conf_sheet!$A:$H,6,FALSE),VLOOKUP("other",bug_conf_sheet!$A:$H,6,FALSE))</f>
        <v>0</v>
      </c>
      <c r="R113" s="31">
        <f>IFERROR(VLOOKUP($D113,bug_conf_sheet!$A:$H,7,FALSE),VLOOKUP("other",bug_conf_sheet!$A:$H,7,FALSE))</f>
        <v>0</v>
      </c>
      <c r="S113" s="31">
        <f>IFERROR(VLOOKUP($D113,bug_conf_sheet!$A:$H,8,FALSE),VLOOKUP("other",bug_conf_sheet!$A:$H,8,FALSE))</f>
        <v>1</v>
      </c>
    </row>
    <row r="114" spans="1:19" ht="21" customHeight="1">
      <c r="A114" s="2">
        <f>input_6!A$2</f>
        <v>3126</v>
      </c>
      <c r="B114" s="7" t="str">
        <f t="shared" si="4"/>
        <v>Premium3</v>
      </c>
      <c r="C114" s="7" t="str">
        <f t="shared" si="5"/>
        <v>Premium</v>
      </c>
      <c r="D114" s="5">
        <v>238</v>
      </c>
      <c r="E114" s="7" t="str">
        <f>VLOOKUP(D114,[1]characters!$A:$C,3,FALSE)</f>
        <v>ウリエル</v>
      </c>
      <c r="F114" s="7" t="str">
        <f>VLOOKUP(D114,[1]characters!$A:$J,10,FALSE)</f>
        <v>PremiumS</v>
      </c>
      <c r="G114" s="7">
        <f>VLOOKUP(D114,[1]characters!$A:$I,9,FALSE)</f>
        <v>3</v>
      </c>
      <c r="H114" s="7" t="str">
        <f>VLOOKUP(D114,[1]characters!$A:$H,8,FALSE)</f>
        <v>red</v>
      </c>
      <c r="I114" s="7" t="str">
        <f>VLOOKUP(D114,[1]characters!$A:$K,11,FALSE)</f>
        <v>hp</v>
      </c>
      <c r="J114" s="7" t="str">
        <f>VLOOKUP(D114,[1]characters!$A:$M,13,FALSE)</f>
        <v>machine</v>
      </c>
      <c r="K114" s="7" t="str">
        <f>VLOOKUP(D114,[1]characters!$A:$G,7,FALSE)</f>
        <v>女性</v>
      </c>
      <c r="L114" s="66">
        <f>IFERROR(VLOOKUP(D114,input_6!L:R,7,FALSE),VLOOKUP(tables_6!B114,input_6!A:H,8,FALSE))</f>
        <v>0</v>
      </c>
      <c r="M114" s="67">
        <f t="shared" si="3"/>
        <v>0</v>
      </c>
      <c r="N114" s="31">
        <f>IFERROR(VLOOKUP($D114,bug_conf_sheet!$A:$H,3,FALSE),VLOOKUP("other",bug_conf_sheet!$A:$H,3,FALSE))</f>
        <v>1</v>
      </c>
      <c r="O114" s="31">
        <f>IFERROR(VLOOKUP($D114,bug_conf_sheet!$A:$H,4,FALSE),VLOOKUP("other",bug_conf_sheet!$A:$H,4,FALSE))</f>
        <v>0</v>
      </c>
      <c r="P114" s="31">
        <f>IFERROR(VLOOKUP($D114,bug_conf_sheet!$A:$H,5,FALSE),VLOOKUP("other",bug_conf_sheet!$A:$H,5,FALSE))</f>
        <v>0</v>
      </c>
      <c r="Q114" s="31">
        <f>IFERROR(VLOOKUP($D114,bug_conf_sheet!$A:$H,6,FALSE),VLOOKUP("other",bug_conf_sheet!$A:$H,6,FALSE))</f>
        <v>0</v>
      </c>
      <c r="R114" s="31">
        <f>IFERROR(VLOOKUP($D114,bug_conf_sheet!$A:$H,7,FALSE),VLOOKUP("other",bug_conf_sheet!$A:$H,7,FALSE))</f>
        <v>0</v>
      </c>
      <c r="S114" s="31">
        <f>IFERROR(VLOOKUP($D114,bug_conf_sheet!$A:$H,8,FALSE),VLOOKUP("other",bug_conf_sheet!$A:$H,8,FALSE))</f>
        <v>1</v>
      </c>
    </row>
    <row r="115" spans="1:19" ht="21" customHeight="1">
      <c r="A115" s="2">
        <f>input_6!A$2</f>
        <v>3126</v>
      </c>
      <c r="B115" s="7" t="str">
        <f t="shared" si="4"/>
        <v>Premium4</v>
      </c>
      <c r="C115" s="7" t="str">
        <f t="shared" si="5"/>
        <v>Premium</v>
      </c>
      <c r="D115" s="5">
        <v>239</v>
      </c>
      <c r="E115" s="7" t="str">
        <f>VLOOKUP(D115,[1]characters!$A:$C,3,FALSE)</f>
        <v>豪炎の天使 ウリエル</v>
      </c>
      <c r="F115" s="7" t="str">
        <f>VLOOKUP(D115,[1]characters!$A:$J,10,FALSE)</f>
        <v>PremiumS</v>
      </c>
      <c r="G115" s="7">
        <f>VLOOKUP(D115,[1]characters!$A:$I,9,FALSE)</f>
        <v>4</v>
      </c>
      <c r="H115" s="7" t="str">
        <f>VLOOKUP(D115,[1]characters!$A:$H,8,FALSE)</f>
        <v>red</v>
      </c>
      <c r="I115" s="7" t="str">
        <f>VLOOKUP(D115,[1]characters!$A:$K,11,FALSE)</f>
        <v>hp</v>
      </c>
      <c r="J115" s="7" t="str">
        <f>VLOOKUP(D115,[1]characters!$A:$M,13,FALSE)</f>
        <v>machine</v>
      </c>
      <c r="K115" s="7" t="str">
        <f>VLOOKUP(D115,[1]characters!$A:$G,7,FALSE)</f>
        <v>女性</v>
      </c>
      <c r="L115" s="66">
        <f>IFERROR(VLOOKUP(D115,input_6!L:R,7,FALSE),VLOOKUP(tables_6!B115,input_6!A:H,8,FALSE))</f>
        <v>646893</v>
      </c>
      <c r="M115" s="67">
        <f t="shared" si="3"/>
        <v>1.2452702702702703E-2</v>
      </c>
      <c r="N115" s="31">
        <f>IFERROR(VLOOKUP($D115,bug_conf_sheet!$A:$H,3,FALSE),VLOOKUP("other",bug_conf_sheet!$A:$H,3,FALSE))</f>
        <v>1</v>
      </c>
      <c r="O115" s="31">
        <f>IFERROR(VLOOKUP($D115,bug_conf_sheet!$A:$H,4,FALSE),VLOOKUP("other",bug_conf_sheet!$A:$H,4,FALSE))</f>
        <v>0</v>
      </c>
      <c r="P115" s="31">
        <f>IFERROR(VLOOKUP($D115,bug_conf_sheet!$A:$H,5,FALSE),VLOOKUP("other",bug_conf_sheet!$A:$H,5,FALSE))</f>
        <v>0</v>
      </c>
      <c r="Q115" s="31">
        <f>IFERROR(VLOOKUP($D115,bug_conf_sheet!$A:$H,6,FALSE),VLOOKUP("other",bug_conf_sheet!$A:$H,6,FALSE))</f>
        <v>0</v>
      </c>
      <c r="R115" s="31">
        <f>IFERROR(VLOOKUP($D115,bug_conf_sheet!$A:$H,7,FALSE),VLOOKUP("other",bug_conf_sheet!$A:$H,7,FALSE))</f>
        <v>0</v>
      </c>
      <c r="S115" s="31">
        <f>IFERROR(VLOOKUP($D115,bug_conf_sheet!$A:$H,8,FALSE),VLOOKUP("other",bug_conf_sheet!$A:$H,8,FALSE))</f>
        <v>1</v>
      </c>
    </row>
    <row r="116" spans="1:19" ht="21" customHeight="1">
      <c r="A116" s="2">
        <f>input_6!A$2</f>
        <v>3126</v>
      </c>
      <c r="B116" s="7" t="str">
        <f t="shared" si="4"/>
        <v>Premium5</v>
      </c>
      <c r="C116" s="7" t="str">
        <f t="shared" si="5"/>
        <v>Premium</v>
      </c>
      <c r="D116" s="5">
        <v>240</v>
      </c>
      <c r="E116" s="7" t="str">
        <f>VLOOKUP(D116,[1]characters!$A:$C,3,FALSE)</f>
        <v>轟炎の天使 ウリエル・スレイヤー</v>
      </c>
      <c r="F116" s="7" t="str">
        <f>VLOOKUP(D116,[1]characters!$A:$J,10,FALSE)</f>
        <v>PremiumS</v>
      </c>
      <c r="G116" s="7">
        <f>VLOOKUP(D116,[1]characters!$A:$I,9,FALSE)</f>
        <v>5</v>
      </c>
      <c r="H116" s="7" t="str">
        <f>VLOOKUP(D116,[1]characters!$A:$H,8,FALSE)</f>
        <v>red</v>
      </c>
      <c r="I116" s="7" t="str">
        <f>VLOOKUP(D116,[1]characters!$A:$K,11,FALSE)</f>
        <v>hp</v>
      </c>
      <c r="J116" s="7" t="str">
        <f>VLOOKUP(D116,[1]characters!$A:$M,13,FALSE)</f>
        <v>machine</v>
      </c>
      <c r="K116" s="7" t="str">
        <f>VLOOKUP(D116,[1]characters!$A:$G,7,FALSE)</f>
        <v>女性</v>
      </c>
      <c r="L116" s="66">
        <f>IFERROR(VLOOKUP(D116,input_6!L:R,7,FALSE),VLOOKUP(tables_6!B116,input_6!A:H,8,FALSE))</f>
        <v>46657</v>
      </c>
      <c r="M116" s="67">
        <f t="shared" si="3"/>
        <v>8.9814814814814813E-4</v>
      </c>
      <c r="N116" s="31">
        <f>IFERROR(VLOOKUP($D116,bug_conf_sheet!$A:$H,3,FALSE),VLOOKUP("other",bug_conf_sheet!$A:$H,3,FALSE))</f>
        <v>1</v>
      </c>
      <c r="O116" s="31">
        <f>IFERROR(VLOOKUP($D116,bug_conf_sheet!$A:$H,4,FALSE),VLOOKUP("other",bug_conf_sheet!$A:$H,4,FALSE))</f>
        <v>0</v>
      </c>
      <c r="P116" s="31">
        <f>IFERROR(VLOOKUP($D116,bug_conf_sheet!$A:$H,5,FALSE),VLOOKUP("other",bug_conf_sheet!$A:$H,5,FALSE))</f>
        <v>0</v>
      </c>
      <c r="Q116" s="31">
        <f>IFERROR(VLOOKUP($D116,bug_conf_sheet!$A:$H,6,FALSE),VLOOKUP("other",bug_conf_sheet!$A:$H,6,FALSE))</f>
        <v>0</v>
      </c>
      <c r="R116" s="31">
        <f>IFERROR(VLOOKUP($D116,bug_conf_sheet!$A:$H,7,FALSE),VLOOKUP("other",bug_conf_sheet!$A:$H,7,FALSE))</f>
        <v>0</v>
      </c>
      <c r="S116" s="31">
        <f>IFERROR(VLOOKUP($D116,bug_conf_sheet!$A:$H,8,FALSE),VLOOKUP("other",bug_conf_sheet!$A:$H,8,FALSE))</f>
        <v>1</v>
      </c>
    </row>
    <row r="117" spans="1:19" ht="21" customHeight="1">
      <c r="A117" s="2">
        <f>input_6!A$2</f>
        <v>3126</v>
      </c>
      <c r="B117" s="7" t="str">
        <f t="shared" si="4"/>
        <v>Premium3</v>
      </c>
      <c r="C117" s="7" t="str">
        <f t="shared" si="5"/>
        <v>Premium</v>
      </c>
      <c r="D117" s="5">
        <v>241</v>
      </c>
      <c r="E117" s="7" t="str">
        <f>VLOOKUP(D117,[1]characters!$A:$C,3,FALSE)</f>
        <v>ガブリエル</v>
      </c>
      <c r="F117" s="7" t="str">
        <f>VLOOKUP(D117,[1]characters!$A:$J,10,FALSE)</f>
        <v>PremiumS</v>
      </c>
      <c r="G117" s="7">
        <f>VLOOKUP(D117,[1]characters!$A:$I,9,FALSE)</f>
        <v>3</v>
      </c>
      <c r="H117" s="7" t="str">
        <f>VLOOKUP(D117,[1]characters!$A:$H,8,FALSE)</f>
        <v>green</v>
      </c>
      <c r="I117" s="7" t="str">
        <f>VLOOKUP(D117,[1]characters!$A:$K,11,FALSE)</f>
        <v>balance</v>
      </c>
      <c r="J117" s="7" t="str">
        <f>VLOOKUP(D117,[1]characters!$A:$M,13,FALSE)</f>
        <v>machine</v>
      </c>
      <c r="K117" s="7" t="str">
        <f>VLOOKUP(D117,[1]characters!$A:$G,7,FALSE)</f>
        <v>女性</v>
      </c>
      <c r="L117" s="66">
        <f>IFERROR(VLOOKUP(D117,input_6!L:R,7,FALSE),VLOOKUP(tables_6!B117,input_6!A:H,8,FALSE))</f>
        <v>0</v>
      </c>
      <c r="M117" s="67">
        <f t="shared" si="3"/>
        <v>0</v>
      </c>
      <c r="N117" s="31">
        <f>IFERROR(VLOOKUP($D117,bug_conf_sheet!$A:$H,3,FALSE),VLOOKUP("other",bug_conf_sheet!$A:$H,3,FALSE))</f>
        <v>1</v>
      </c>
      <c r="O117" s="31">
        <f>IFERROR(VLOOKUP($D117,bug_conf_sheet!$A:$H,4,FALSE),VLOOKUP("other",bug_conf_sheet!$A:$H,4,FALSE))</f>
        <v>0</v>
      </c>
      <c r="P117" s="31">
        <f>IFERROR(VLOOKUP($D117,bug_conf_sheet!$A:$H,5,FALSE),VLOOKUP("other",bug_conf_sheet!$A:$H,5,FALSE))</f>
        <v>0</v>
      </c>
      <c r="Q117" s="31">
        <f>IFERROR(VLOOKUP($D117,bug_conf_sheet!$A:$H,6,FALSE),VLOOKUP("other",bug_conf_sheet!$A:$H,6,FALSE))</f>
        <v>0</v>
      </c>
      <c r="R117" s="31">
        <f>IFERROR(VLOOKUP($D117,bug_conf_sheet!$A:$H,7,FALSE),VLOOKUP("other",bug_conf_sheet!$A:$H,7,FALSE))</f>
        <v>0</v>
      </c>
      <c r="S117" s="31">
        <f>IFERROR(VLOOKUP($D117,bug_conf_sheet!$A:$H,8,FALSE),VLOOKUP("other",bug_conf_sheet!$A:$H,8,FALSE))</f>
        <v>1</v>
      </c>
    </row>
    <row r="118" spans="1:19" ht="21" customHeight="1">
      <c r="A118" s="2">
        <f>input_6!A$2</f>
        <v>3126</v>
      </c>
      <c r="B118" s="7" t="str">
        <f t="shared" si="4"/>
        <v>Premium4</v>
      </c>
      <c r="C118" s="7" t="str">
        <f t="shared" si="5"/>
        <v>Premium</v>
      </c>
      <c r="D118" s="5">
        <v>242</v>
      </c>
      <c r="E118" s="7" t="str">
        <f>VLOOKUP(D118,[1]characters!$A:$C,3,FALSE)</f>
        <v>百花の天使 ガブリエル</v>
      </c>
      <c r="F118" s="7" t="str">
        <f>VLOOKUP(D118,[1]characters!$A:$J,10,FALSE)</f>
        <v>PremiumS</v>
      </c>
      <c r="G118" s="7">
        <f>VLOOKUP(D118,[1]characters!$A:$I,9,FALSE)</f>
        <v>4</v>
      </c>
      <c r="H118" s="7" t="str">
        <f>VLOOKUP(D118,[1]characters!$A:$H,8,FALSE)</f>
        <v>green</v>
      </c>
      <c r="I118" s="7" t="str">
        <f>VLOOKUP(D118,[1]characters!$A:$K,11,FALSE)</f>
        <v>balance</v>
      </c>
      <c r="J118" s="7" t="str">
        <f>VLOOKUP(D118,[1]characters!$A:$M,13,FALSE)</f>
        <v>machine</v>
      </c>
      <c r="K118" s="7" t="str">
        <f>VLOOKUP(D118,[1]characters!$A:$G,7,FALSE)</f>
        <v>女性</v>
      </c>
      <c r="L118" s="66">
        <f>IFERROR(VLOOKUP(D118,input_6!L:R,7,FALSE),VLOOKUP(tables_6!B118,input_6!A:H,8,FALSE))</f>
        <v>646893</v>
      </c>
      <c r="M118" s="67">
        <f t="shared" si="3"/>
        <v>1.2452702702702703E-2</v>
      </c>
      <c r="N118" s="31">
        <f>IFERROR(VLOOKUP($D118,bug_conf_sheet!$A:$H,3,FALSE),VLOOKUP("other",bug_conf_sheet!$A:$H,3,FALSE))</f>
        <v>1</v>
      </c>
      <c r="O118" s="31">
        <f>IFERROR(VLOOKUP($D118,bug_conf_sheet!$A:$H,4,FALSE),VLOOKUP("other",bug_conf_sheet!$A:$H,4,FALSE))</f>
        <v>0</v>
      </c>
      <c r="P118" s="31">
        <f>IFERROR(VLOOKUP($D118,bug_conf_sheet!$A:$H,5,FALSE),VLOOKUP("other",bug_conf_sheet!$A:$H,5,FALSE))</f>
        <v>0</v>
      </c>
      <c r="Q118" s="31">
        <f>IFERROR(VLOOKUP($D118,bug_conf_sheet!$A:$H,6,FALSE),VLOOKUP("other",bug_conf_sheet!$A:$H,6,FALSE))</f>
        <v>0</v>
      </c>
      <c r="R118" s="31">
        <f>IFERROR(VLOOKUP($D118,bug_conf_sheet!$A:$H,7,FALSE),VLOOKUP("other",bug_conf_sheet!$A:$H,7,FALSE))</f>
        <v>0</v>
      </c>
      <c r="S118" s="31">
        <f>IFERROR(VLOOKUP($D118,bug_conf_sheet!$A:$H,8,FALSE),VLOOKUP("other",bug_conf_sheet!$A:$H,8,FALSE))</f>
        <v>1</v>
      </c>
    </row>
    <row r="119" spans="1:19" ht="21" customHeight="1">
      <c r="A119" s="2">
        <f>input_6!A$2</f>
        <v>3126</v>
      </c>
      <c r="B119" s="7" t="str">
        <f t="shared" si="4"/>
        <v>Premium5</v>
      </c>
      <c r="C119" s="7" t="str">
        <f t="shared" si="5"/>
        <v>Premium</v>
      </c>
      <c r="D119" s="5">
        <v>243</v>
      </c>
      <c r="E119" s="7" t="str">
        <f>VLOOKUP(D119,[1]characters!$A:$C,3,FALSE)</f>
        <v>万花の天使 ガブリエル・ブルーム</v>
      </c>
      <c r="F119" s="7" t="str">
        <f>VLOOKUP(D119,[1]characters!$A:$J,10,FALSE)</f>
        <v>PremiumS</v>
      </c>
      <c r="G119" s="7">
        <f>VLOOKUP(D119,[1]characters!$A:$I,9,FALSE)</f>
        <v>5</v>
      </c>
      <c r="H119" s="7" t="str">
        <f>VLOOKUP(D119,[1]characters!$A:$H,8,FALSE)</f>
        <v>green</v>
      </c>
      <c r="I119" s="7" t="str">
        <f>VLOOKUP(D119,[1]characters!$A:$K,11,FALSE)</f>
        <v>balance</v>
      </c>
      <c r="J119" s="7" t="str">
        <f>VLOOKUP(D119,[1]characters!$A:$M,13,FALSE)</f>
        <v>machine</v>
      </c>
      <c r="K119" s="7" t="str">
        <f>VLOOKUP(D119,[1]characters!$A:$G,7,FALSE)</f>
        <v>女性</v>
      </c>
      <c r="L119" s="66">
        <f>IFERROR(VLOOKUP(D119,input_6!L:R,7,FALSE),VLOOKUP(tables_6!B119,input_6!A:H,8,FALSE))</f>
        <v>46657</v>
      </c>
      <c r="M119" s="67">
        <f t="shared" si="3"/>
        <v>8.9814814814814813E-4</v>
      </c>
      <c r="N119" s="31">
        <f>IFERROR(VLOOKUP($D119,bug_conf_sheet!$A:$H,3,FALSE),VLOOKUP("other",bug_conf_sheet!$A:$H,3,FALSE))</f>
        <v>1</v>
      </c>
      <c r="O119" s="31">
        <f>IFERROR(VLOOKUP($D119,bug_conf_sheet!$A:$H,4,FALSE),VLOOKUP("other",bug_conf_sheet!$A:$H,4,FALSE))</f>
        <v>0</v>
      </c>
      <c r="P119" s="31">
        <f>IFERROR(VLOOKUP($D119,bug_conf_sheet!$A:$H,5,FALSE),VLOOKUP("other",bug_conf_sheet!$A:$H,5,FALSE))</f>
        <v>0</v>
      </c>
      <c r="Q119" s="31">
        <f>IFERROR(VLOOKUP($D119,bug_conf_sheet!$A:$H,6,FALSE),VLOOKUP("other",bug_conf_sheet!$A:$H,6,FALSE))</f>
        <v>0</v>
      </c>
      <c r="R119" s="31">
        <f>IFERROR(VLOOKUP($D119,bug_conf_sheet!$A:$H,7,FALSE),VLOOKUP("other",bug_conf_sheet!$A:$H,7,FALSE))</f>
        <v>0</v>
      </c>
      <c r="S119" s="31">
        <f>IFERROR(VLOOKUP($D119,bug_conf_sheet!$A:$H,8,FALSE),VLOOKUP("other",bug_conf_sheet!$A:$H,8,FALSE))</f>
        <v>1</v>
      </c>
    </row>
    <row r="120" spans="1:19" ht="21" customHeight="1">
      <c r="A120" s="2">
        <f>input_6!A$2</f>
        <v>3126</v>
      </c>
      <c r="B120" s="7" t="str">
        <f t="shared" si="4"/>
        <v>Premium3</v>
      </c>
      <c r="C120" s="7" t="str">
        <f t="shared" si="5"/>
        <v>Premium</v>
      </c>
      <c r="D120" s="5">
        <v>244</v>
      </c>
      <c r="E120" s="7" t="str">
        <f>VLOOKUP(D120,[1]characters!$A:$C,3,FALSE)</f>
        <v>ラファエル</v>
      </c>
      <c r="F120" s="7" t="str">
        <f>VLOOKUP(D120,[1]characters!$A:$J,10,FALSE)</f>
        <v>PremiumS</v>
      </c>
      <c r="G120" s="7">
        <f>VLOOKUP(D120,[1]characters!$A:$I,9,FALSE)</f>
        <v>3</v>
      </c>
      <c r="H120" s="7" t="str">
        <f>VLOOKUP(D120,[1]characters!$A:$H,8,FALSE)</f>
        <v>blue</v>
      </c>
      <c r="I120" s="7" t="str">
        <f>VLOOKUP(D120,[1]characters!$A:$K,11,FALSE)</f>
        <v>balance</v>
      </c>
      <c r="J120" s="7" t="str">
        <f>VLOOKUP(D120,[1]characters!$A:$M,13,FALSE)</f>
        <v>machine</v>
      </c>
      <c r="K120" s="7" t="str">
        <f>VLOOKUP(D120,[1]characters!$A:$G,7,FALSE)</f>
        <v>女性</v>
      </c>
      <c r="L120" s="66">
        <f>IFERROR(VLOOKUP(D120,input_6!L:R,7,FALSE),VLOOKUP(tables_6!B120,input_6!A:H,8,FALSE))</f>
        <v>0</v>
      </c>
      <c r="M120" s="67">
        <f t="shared" si="3"/>
        <v>0</v>
      </c>
      <c r="N120" s="31">
        <f>IFERROR(VLOOKUP($D120,bug_conf_sheet!$A:$H,3,FALSE),VLOOKUP("other",bug_conf_sheet!$A:$H,3,FALSE))</f>
        <v>1</v>
      </c>
      <c r="O120" s="31">
        <f>IFERROR(VLOOKUP($D120,bug_conf_sheet!$A:$H,4,FALSE),VLOOKUP("other",bug_conf_sheet!$A:$H,4,FALSE))</f>
        <v>0</v>
      </c>
      <c r="P120" s="31">
        <f>IFERROR(VLOOKUP($D120,bug_conf_sheet!$A:$H,5,FALSE),VLOOKUP("other",bug_conf_sheet!$A:$H,5,FALSE))</f>
        <v>0</v>
      </c>
      <c r="Q120" s="31">
        <f>IFERROR(VLOOKUP($D120,bug_conf_sheet!$A:$H,6,FALSE),VLOOKUP("other",bug_conf_sheet!$A:$H,6,FALSE))</f>
        <v>0</v>
      </c>
      <c r="R120" s="31">
        <f>IFERROR(VLOOKUP($D120,bug_conf_sheet!$A:$H,7,FALSE),VLOOKUP("other",bug_conf_sheet!$A:$H,7,FALSE))</f>
        <v>0</v>
      </c>
      <c r="S120" s="31">
        <f>IFERROR(VLOOKUP($D120,bug_conf_sheet!$A:$H,8,FALSE),VLOOKUP("other",bug_conf_sheet!$A:$H,8,FALSE))</f>
        <v>1</v>
      </c>
    </row>
    <row r="121" spans="1:19" ht="21" customHeight="1">
      <c r="A121" s="2">
        <f>input_6!A$2</f>
        <v>3126</v>
      </c>
      <c r="B121" s="7" t="str">
        <f t="shared" si="4"/>
        <v>Premium4</v>
      </c>
      <c r="C121" s="7" t="str">
        <f t="shared" si="5"/>
        <v>Premium</v>
      </c>
      <c r="D121" s="5">
        <v>245</v>
      </c>
      <c r="E121" s="7" t="str">
        <f>VLOOKUP(D121,[1]characters!$A:$C,3,FALSE)</f>
        <v>鎮癒の天使 ラファエル</v>
      </c>
      <c r="F121" s="7" t="str">
        <f>VLOOKUP(D121,[1]characters!$A:$J,10,FALSE)</f>
        <v>PremiumS</v>
      </c>
      <c r="G121" s="7">
        <f>VLOOKUP(D121,[1]characters!$A:$I,9,FALSE)</f>
        <v>4</v>
      </c>
      <c r="H121" s="7" t="str">
        <f>VLOOKUP(D121,[1]characters!$A:$H,8,FALSE)</f>
        <v>blue</v>
      </c>
      <c r="I121" s="7" t="str">
        <f>VLOOKUP(D121,[1]characters!$A:$K,11,FALSE)</f>
        <v>balance</v>
      </c>
      <c r="J121" s="7" t="str">
        <f>VLOOKUP(D121,[1]characters!$A:$M,13,FALSE)</f>
        <v>machine</v>
      </c>
      <c r="K121" s="7" t="str">
        <f>VLOOKUP(D121,[1]characters!$A:$G,7,FALSE)</f>
        <v>女性</v>
      </c>
      <c r="L121" s="66">
        <f>IFERROR(VLOOKUP(D121,input_6!L:R,7,FALSE),VLOOKUP(tables_6!B121,input_6!A:H,8,FALSE))</f>
        <v>646893</v>
      </c>
      <c r="M121" s="67">
        <f t="shared" si="3"/>
        <v>1.2452702702702703E-2</v>
      </c>
      <c r="N121" s="31">
        <f>IFERROR(VLOOKUP($D121,bug_conf_sheet!$A:$H,3,FALSE),VLOOKUP("other",bug_conf_sheet!$A:$H,3,FALSE))</f>
        <v>1</v>
      </c>
      <c r="O121" s="31">
        <f>IFERROR(VLOOKUP($D121,bug_conf_sheet!$A:$H,4,FALSE),VLOOKUP("other",bug_conf_sheet!$A:$H,4,FALSE))</f>
        <v>0</v>
      </c>
      <c r="P121" s="31">
        <f>IFERROR(VLOOKUP($D121,bug_conf_sheet!$A:$H,5,FALSE),VLOOKUP("other",bug_conf_sheet!$A:$H,5,FALSE))</f>
        <v>0</v>
      </c>
      <c r="Q121" s="31">
        <f>IFERROR(VLOOKUP($D121,bug_conf_sheet!$A:$H,6,FALSE),VLOOKUP("other",bug_conf_sheet!$A:$H,6,FALSE))</f>
        <v>0</v>
      </c>
      <c r="R121" s="31">
        <f>IFERROR(VLOOKUP($D121,bug_conf_sheet!$A:$H,7,FALSE),VLOOKUP("other",bug_conf_sheet!$A:$H,7,FALSE))</f>
        <v>0</v>
      </c>
      <c r="S121" s="31">
        <f>IFERROR(VLOOKUP($D121,bug_conf_sheet!$A:$H,8,FALSE),VLOOKUP("other",bug_conf_sheet!$A:$H,8,FALSE))</f>
        <v>1</v>
      </c>
    </row>
    <row r="122" spans="1:19" ht="21" customHeight="1">
      <c r="A122" s="2">
        <f>input_6!A$2</f>
        <v>3126</v>
      </c>
      <c r="B122" s="7" t="str">
        <f t="shared" si="4"/>
        <v>Premium5</v>
      </c>
      <c r="C122" s="7" t="str">
        <f t="shared" si="5"/>
        <v>Premium</v>
      </c>
      <c r="D122" s="5">
        <v>246</v>
      </c>
      <c r="E122" s="7" t="str">
        <f>VLOOKUP(D122,[1]characters!$A:$C,3,FALSE)</f>
        <v>真癒の天使 ラファエル・メディカ</v>
      </c>
      <c r="F122" s="7" t="str">
        <f>VLOOKUP(D122,[1]characters!$A:$J,10,FALSE)</f>
        <v>PremiumS</v>
      </c>
      <c r="G122" s="7">
        <f>VLOOKUP(D122,[1]characters!$A:$I,9,FALSE)</f>
        <v>5</v>
      </c>
      <c r="H122" s="7" t="str">
        <f>VLOOKUP(D122,[1]characters!$A:$H,8,FALSE)</f>
        <v>blue</v>
      </c>
      <c r="I122" s="7" t="str">
        <f>VLOOKUP(D122,[1]characters!$A:$K,11,FALSE)</f>
        <v>balance</v>
      </c>
      <c r="J122" s="7" t="str">
        <f>VLOOKUP(D122,[1]characters!$A:$M,13,FALSE)</f>
        <v>machine</v>
      </c>
      <c r="K122" s="7" t="str">
        <f>VLOOKUP(D122,[1]characters!$A:$G,7,FALSE)</f>
        <v>女性</v>
      </c>
      <c r="L122" s="66">
        <f>IFERROR(VLOOKUP(D122,input_6!L:R,7,FALSE),VLOOKUP(tables_6!B122,input_6!A:H,8,FALSE))</f>
        <v>46657</v>
      </c>
      <c r="M122" s="67">
        <f t="shared" si="3"/>
        <v>8.9814814814814813E-4</v>
      </c>
      <c r="N122" s="31">
        <f>IFERROR(VLOOKUP($D122,bug_conf_sheet!$A:$H,3,FALSE),VLOOKUP("other",bug_conf_sheet!$A:$H,3,FALSE))</f>
        <v>1</v>
      </c>
      <c r="O122" s="31">
        <f>IFERROR(VLOOKUP($D122,bug_conf_sheet!$A:$H,4,FALSE),VLOOKUP("other",bug_conf_sheet!$A:$H,4,FALSE))</f>
        <v>0</v>
      </c>
      <c r="P122" s="31">
        <f>IFERROR(VLOOKUP($D122,bug_conf_sheet!$A:$H,5,FALSE),VLOOKUP("other",bug_conf_sheet!$A:$H,5,FALSE))</f>
        <v>0</v>
      </c>
      <c r="Q122" s="31">
        <f>IFERROR(VLOOKUP($D122,bug_conf_sheet!$A:$H,6,FALSE),VLOOKUP("other",bug_conf_sheet!$A:$H,6,FALSE))</f>
        <v>0</v>
      </c>
      <c r="R122" s="31">
        <f>IFERROR(VLOOKUP($D122,bug_conf_sheet!$A:$H,7,FALSE),VLOOKUP("other",bug_conf_sheet!$A:$H,7,FALSE))</f>
        <v>0</v>
      </c>
      <c r="S122" s="31">
        <f>IFERROR(VLOOKUP($D122,bug_conf_sheet!$A:$H,8,FALSE),VLOOKUP("other",bug_conf_sheet!$A:$H,8,FALSE))</f>
        <v>1</v>
      </c>
    </row>
    <row r="123" spans="1:19" ht="21" customHeight="1">
      <c r="A123" s="2">
        <f>input_6!A$2</f>
        <v>3126</v>
      </c>
      <c r="B123" s="7" t="str">
        <f t="shared" si="4"/>
        <v>Premium3</v>
      </c>
      <c r="C123" s="7" t="str">
        <f t="shared" si="5"/>
        <v>Premium</v>
      </c>
      <c r="D123" s="5">
        <v>247</v>
      </c>
      <c r="E123" s="7" t="str">
        <f>VLOOKUP(D123,[1]characters!$A:$C,3,FALSE)</f>
        <v>ミカエル</v>
      </c>
      <c r="F123" s="7" t="str">
        <f>VLOOKUP(D123,[1]characters!$A:$J,10,FALSE)</f>
        <v>PremiumS</v>
      </c>
      <c r="G123" s="7">
        <f>VLOOKUP(D123,[1]characters!$A:$I,9,FALSE)</f>
        <v>3</v>
      </c>
      <c r="H123" s="7" t="str">
        <f>VLOOKUP(D123,[1]characters!$A:$H,8,FALSE)</f>
        <v>yellow</v>
      </c>
      <c r="I123" s="7" t="str">
        <f>VLOOKUP(D123,[1]characters!$A:$K,11,FALSE)</f>
        <v>attack</v>
      </c>
      <c r="J123" s="7" t="str">
        <f>VLOOKUP(D123,[1]characters!$A:$M,13,FALSE)</f>
        <v>machine</v>
      </c>
      <c r="K123" s="7" t="str">
        <f>VLOOKUP(D123,[1]characters!$A:$G,7,FALSE)</f>
        <v>女性</v>
      </c>
      <c r="L123" s="66">
        <f>IFERROR(VLOOKUP(D123,input_6!L:R,7,FALSE),VLOOKUP(tables_6!B123,input_6!A:H,8,FALSE))</f>
        <v>0</v>
      </c>
      <c r="M123" s="67">
        <f t="shared" si="3"/>
        <v>0</v>
      </c>
      <c r="N123" s="31">
        <f>IFERROR(VLOOKUP($D123,bug_conf_sheet!$A:$H,3,FALSE),VLOOKUP("other",bug_conf_sheet!$A:$H,3,FALSE))</f>
        <v>1</v>
      </c>
      <c r="O123" s="31">
        <f>IFERROR(VLOOKUP($D123,bug_conf_sheet!$A:$H,4,FALSE),VLOOKUP("other",bug_conf_sheet!$A:$H,4,FALSE))</f>
        <v>0</v>
      </c>
      <c r="P123" s="31">
        <f>IFERROR(VLOOKUP($D123,bug_conf_sheet!$A:$H,5,FALSE),VLOOKUP("other",bug_conf_sheet!$A:$H,5,FALSE))</f>
        <v>0</v>
      </c>
      <c r="Q123" s="31">
        <f>IFERROR(VLOOKUP($D123,bug_conf_sheet!$A:$H,6,FALSE),VLOOKUP("other",bug_conf_sheet!$A:$H,6,FALSE))</f>
        <v>0</v>
      </c>
      <c r="R123" s="31">
        <f>IFERROR(VLOOKUP($D123,bug_conf_sheet!$A:$H,7,FALSE),VLOOKUP("other",bug_conf_sheet!$A:$H,7,FALSE))</f>
        <v>0</v>
      </c>
      <c r="S123" s="31">
        <f>IFERROR(VLOOKUP($D123,bug_conf_sheet!$A:$H,8,FALSE),VLOOKUP("other",bug_conf_sheet!$A:$H,8,FALSE))</f>
        <v>1</v>
      </c>
    </row>
    <row r="124" spans="1:19" ht="21" customHeight="1">
      <c r="A124" s="2">
        <f>input_6!A$2</f>
        <v>3126</v>
      </c>
      <c r="B124" s="7" t="str">
        <f t="shared" si="4"/>
        <v>Premium4</v>
      </c>
      <c r="C124" s="7" t="str">
        <f t="shared" si="5"/>
        <v>Premium</v>
      </c>
      <c r="D124" s="5">
        <v>248</v>
      </c>
      <c r="E124" s="7" t="str">
        <f>VLOOKUP(D124,[1]characters!$A:$C,3,FALSE)</f>
        <v>彩電の天使 ミカエル</v>
      </c>
      <c r="F124" s="7" t="str">
        <f>VLOOKUP(D124,[1]characters!$A:$J,10,FALSE)</f>
        <v>PremiumS</v>
      </c>
      <c r="G124" s="7">
        <f>VLOOKUP(D124,[1]characters!$A:$I,9,FALSE)</f>
        <v>4</v>
      </c>
      <c r="H124" s="7" t="str">
        <f>VLOOKUP(D124,[1]characters!$A:$H,8,FALSE)</f>
        <v>yellow</v>
      </c>
      <c r="I124" s="7" t="str">
        <f>VLOOKUP(D124,[1]characters!$A:$K,11,FALSE)</f>
        <v>attack</v>
      </c>
      <c r="J124" s="7" t="str">
        <f>VLOOKUP(D124,[1]characters!$A:$M,13,FALSE)</f>
        <v>machine</v>
      </c>
      <c r="K124" s="7" t="str">
        <f>VLOOKUP(D124,[1]characters!$A:$G,7,FALSE)</f>
        <v>女性</v>
      </c>
      <c r="L124" s="66">
        <f>IFERROR(VLOOKUP(D124,input_6!L:R,7,FALSE),VLOOKUP(tables_6!B124,input_6!A:H,8,FALSE))</f>
        <v>646893</v>
      </c>
      <c r="M124" s="67">
        <f t="shared" si="3"/>
        <v>1.2452702702702703E-2</v>
      </c>
      <c r="N124" s="31">
        <f>IFERROR(VLOOKUP($D124,bug_conf_sheet!$A:$H,3,FALSE),VLOOKUP("other",bug_conf_sheet!$A:$H,3,FALSE))</f>
        <v>1</v>
      </c>
      <c r="O124" s="31">
        <f>IFERROR(VLOOKUP($D124,bug_conf_sheet!$A:$H,4,FALSE),VLOOKUP("other",bug_conf_sheet!$A:$H,4,FALSE))</f>
        <v>0</v>
      </c>
      <c r="P124" s="31">
        <f>IFERROR(VLOOKUP($D124,bug_conf_sheet!$A:$H,5,FALSE),VLOOKUP("other",bug_conf_sheet!$A:$H,5,FALSE))</f>
        <v>0</v>
      </c>
      <c r="Q124" s="31">
        <f>IFERROR(VLOOKUP($D124,bug_conf_sheet!$A:$H,6,FALSE),VLOOKUP("other",bug_conf_sheet!$A:$H,6,FALSE))</f>
        <v>0</v>
      </c>
      <c r="R124" s="31">
        <f>IFERROR(VLOOKUP($D124,bug_conf_sheet!$A:$H,7,FALSE),VLOOKUP("other",bug_conf_sheet!$A:$H,7,FALSE))</f>
        <v>0</v>
      </c>
      <c r="S124" s="31">
        <f>IFERROR(VLOOKUP($D124,bug_conf_sheet!$A:$H,8,FALSE),VLOOKUP("other",bug_conf_sheet!$A:$H,8,FALSE))</f>
        <v>1</v>
      </c>
    </row>
    <row r="125" spans="1:19" ht="21" customHeight="1">
      <c r="A125" s="2">
        <f>input_6!A$2</f>
        <v>3126</v>
      </c>
      <c r="B125" s="7" t="str">
        <f t="shared" si="4"/>
        <v>Premium5</v>
      </c>
      <c r="C125" s="7" t="str">
        <f t="shared" si="5"/>
        <v>Premium</v>
      </c>
      <c r="D125" s="6">
        <v>249</v>
      </c>
      <c r="E125" s="7" t="str">
        <f>VLOOKUP(D125,[1]characters!$A:$C,3,FALSE)</f>
        <v>雷電の天使 ミカエル・ゲイナー</v>
      </c>
      <c r="F125" s="7" t="str">
        <f>VLOOKUP(D125,[1]characters!$A:$J,10,FALSE)</f>
        <v>PremiumS</v>
      </c>
      <c r="G125" s="7">
        <f>VLOOKUP(D125,[1]characters!$A:$I,9,FALSE)</f>
        <v>5</v>
      </c>
      <c r="H125" s="7" t="str">
        <f>VLOOKUP(D125,[1]characters!$A:$H,8,FALSE)</f>
        <v>yellow</v>
      </c>
      <c r="I125" s="7" t="str">
        <f>VLOOKUP(D125,[1]characters!$A:$K,11,FALSE)</f>
        <v>attack</v>
      </c>
      <c r="J125" s="7" t="str">
        <f>VLOOKUP(D125,[1]characters!$A:$M,13,FALSE)</f>
        <v>machine</v>
      </c>
      <c r="K125" s="7" t="str">
        <f>VLOOKUP(D125,[1]characters!$A:$G,7,FALSE)</f>
        <v>女性</v>
      </c>
      <c r="L125" s="66">
        <f>IFERROR(VLOOKUP(D125,input_6!L:R,7,FALSE),VLOOKUP(tables_6!B125,input_6!A:H,8,FALSE))</f>
        <v>46657</v>
      </c>
      <c r="M125" s="67">
        <f t="shared" si="3"/>
        <v>8.9814814814814813E-4</v>
      </c>
      <c r="N125" s="31">
        <f>IFERROR(VLOOKUP($D125,bug_conf_sheet!$A:$H,3,FALSE),VLOOKUP("other",bug_conf_sheet!$A:$H,3,FALSE))</f>
        <v>1</v>
      </c>
      <c r="O125" s="31">
        <f>IFERROR(VLOOKUP($D125,bug_conf_sheet!$A:$H,4,FALSE),VLOOKUP("other",bug_conf_sheet!$A:$H,4,FALSE))</f>
        <v>0</v>
      </c>
      <c r="P125" s="31">
        <f>IFERROR(VLOOKUP($D125,bug_conf_sheet!$A:$H,5,FALSE),VLOOKUP("other",bug_conf_sheet!$A:$H,5,FALSE))</f>
        <v>0</v>
      </c>
      <c r="Q125" s="31">
        <f>IFERROR(VLOOKUP($D125,bug_conf_sheet!$A:$H,6,FALSE),VLOOKUP("other",bug_conf_sheet!$A:$H,6,FALSE))</f>
        <v>0</v>
      </c>
      <c r="R125" s="31">
        <f>IFERROR(VLOOKUP($D125,bug_conf_sheet!$A:$H,7,FALSE),VLOOKUP("other",bug_conf_sheet!$A:$H,7,FALSE))</f>
        <v>0</v>
      </c>
      <c r="S125" s="31">
        <f>IFERROR(VLOOKUP($D125,bug_conf_sheet!$A:$H,8,FALSE),VLOOKUP("other",bug_conf_sheet!$A:$H,8,FALSE))</f>
        <v>1</v>
      </c>
    </row>
    <row r="126" spans="1:19" ht="21" customHeight="1">
      <c r="A126" s="2">
        <f>input_6!A$2</f>
        <v>3126</v>
      </c>
      <c r="B126" s="7" t="str">
        <f t="shared" si="4"/>
        <v>Premium3</v>
      </c>
      <c r="C126" s="7" t="str">
        <f t="shared" si="5"/>
        <v>Premium</v>
      </c>
      <c r="D126" s="6">
        <v>250</v>
      </c>
      <c r="E126" s="7" t="str">
        <f>VLOOKUP(D126,[1]characters!$A:$C,3,FALSE)</f>
        <v>マンモン</v>
      </c>
      <c r="F126" s="7" t="str">
        <f>VLOOKUP(D126,[1]characters!$A:$J,10,FALSE)</f>
        <v>PremiumS</v>
      </c>
      <c r="G126" s="7">
        <f>VLOOKUP(D126,[1]characters!$A:$I,9,FALSE)</f>
        <v>3</v>
      </c>
      <c r="H126" s="7" t="str">
        <f>VLOOKUP(D126,[1]characters!$A:$H,8,FALSE)</f>
        <v>red</v>
      </c>
      <c r="I126" s="7" t="str">
        <f>VLOOKUP(D126,[1]characters!$A:$K,11,FALSE)</f>
        <v>balance</v>
      </c>
      <c r="J126" s="7" t="str">
        <f>VLOOKUP(D126,[1]characters!$A:$M,13,FALSE)</f>
        <v>god</v>
      </c>
      <c r="K126" s="7" t="str">
        <f>VLOOKUP(D126,[1]characters!$A:$G,7,FALSE)</f>
        <v>女性</v>
      </c>
      <c r="L126" s="66">
        <f>IFERROR(VLOOKUP(D126,input_6!L:R,7,FALSE),VLOOKUP(tables_6!B126,input_6!A:H,8,FALSE))</f>
        <v>0</v>
      </c>
      <c r="M126" s="67">
        <f t="shared" si="3"/>
        <v>0</v>
      </c>
      <c r="N126" s="31">
        <f>IFERROR(VLOOKUP($D126,bug_conf_sheet!$A:$H,3,FALSE),VLOOKUP("other",bug_conf_sheet!$A:$H,3,FALSE))</f>
        <v>1</v>
      </c>
      <c r="O126" s="31">
        <f>IFERROR(VLOOKUP($D126,bug_conf_sheet!$A:$H,4,FALSE),VLOOKUP("other",bug_conf_sheet!$A:$H,4,FALSE))</f>
        <v>0</v>
      </c>
      <c r="P126" s="31">
        <f>IFERROR(VLOOKUP($D126,bug_conf_sheet!$A:$H,5,FALSE),VLOOKUP("other",bug_conf_sheet!$A:$H,5,FALSE))</f>
        <v>0</v>
      </c>
      <c r="Q126" s="31">
        <f>IFERROR(VLOOKUP($D126,bug_conf_sheet!$A:$H,6,FALSE),VLOOKUP("other",bug_conf_sheet!$A:$H,6,FALSE))</f>
        <v>0</v>
      </c>
      <c r="R126" s="31">
        <f>IFERROR(VLOOKUP($D126,bug_conf_sheet!$A:$H,7,FALSE),VLOOKUP("other",bug_conf_sheet!$A:$H,7,FALSE))</f>
        <v>0</v>
      </c>
      <c r="S126" s="31">
        <f>IFERROR(VLOOKUP($D126,bug_conf_sheet!$A:$H,8,FALSE),VLOOKUP("other",bug_conf_sheet!$A:$H,8,FALSE))</f>
        <v>1</v>
      </c>
    </row>
    <row r="127" spans="1:19" ht="21" customHeight="1">
      <c r="A127" s="2">
        <f>input_6!A$2</f>
        <v>3126</v>
      </c>
      <c r="B127" s="7" t="str">
        <f t="shared" si="4"/>
        <v>Premium4</v>
      </c>
      <c r="C127" s="7" t="str">
        <f t="shared" si="5"/>
        <v>Premium</v>
      </c>
      <c r="D127" s="6">
        <v>251</v>
      </c>
      <c r="E127" s="7" t="str">
        <f>VLOOKUP(D127,[1]characters!$A:$C,3,FALSE)</f>
        <v>強欲 マンモン</v>
      </c>
      <c r="F127" s="7" t="str">
        <f>VLOOKUP(D127,[1]characters!$A:$J,10,FALSE)</f>
        <v>PremiumS</v>
      </c>
      <c r="G127" s="7">
        <f>VLOOKUP(D127,[1]characters!$A:$I,9,FALSE)</f>
        <v>4</v>
      </c>
      <c r="H127" s="7" t="str">
        <f>VLOOKUP(D127,[1]characters!$A:$H,8,FALSE)</f>
        <v>red</v>
      </c>
      <c r="I127" s="7" t="str">
        <f>VLOOKUP(D127,[1]characters!$A:$K,11,FALSE)</f>
        <v>balance</v>
      </c>
      <c r="J127" s="7" t="str">
        <f>VLOOKUP(D127,[1]characters!$A:$M,13,FALSE)</f>
        <v>god</v>
      </c>
      <c r="K127" s="7" t="str">
        <f>VLOOKUP(D127,[1]characters!$A:$G,7,FALSE)</f>
        <v>女性</v>
      </c>
      <c r="L127" s="66">
        <f>IFERROR(VLOOKUP(D127,input_6!L:R,7,FALSE),VLOOKUP(tables_6!B127,input_6!A:H,8,FALSE))</f>
        <v>646893</v>
      </c>
      <c r="M127" s="67">
        <f t="shared" si="3"/>
        <v>1.2452702702702703E-2</v>
      </c>
      <c r="N127" s="31">
        <f>IFERROR(VLOOKUP($D127,bug_conf_sheet!$A:$H,3,FALSE),VLOOKUP("other",bug_conf_sheet!$A:$H,3,FALSE))</f>
        <v>1</v>
      </c>
      <c r="O127" s="31">
        <f>IFERROR(VLOOKUP($D127,bug_conf_sheet!$A:$H,4,FALSE),VLOOKUP("other",bug_conf_sheet!$A:$H,4,FALSE))</f>
        <v>0</v>
      </c>
      <c r="P127" s="31">
        <f>IFERROR(VLOOKUP($D127,bug_conf_sheet!$A:$H,5,FALSE),VLOOKUP("other",bug_conf_sheet!$A:$H,5,FALSE))</f>
        <v>0</v>
      </c>
      <c r="Q127" s="31">
        <f>IFERROR(VLOOKUP($D127,bug_conf_sheet!$A:$H,6,FALSE),VLOOKUP("other",bug_conf_sheet!$A:$H,6,FALSE))</f>
        <v>0</v>
      </c>
      <c r="R127" s="31">
        <f>IFERROR(VLOOKUP($D127,bug_conf_sheet!$A:$H,7,FALSE),VLOOKUP("other",bug_conf_sheet!$A:$H,7,FALSE))</f>
        <v>0</v>
      </c>
      <c r="S127" s="31">
        <f>IFERROR(VLOOKUP($D127,bug_conf_sheet!$A:$H,8,FALSE),VLOOKUP("other",bug_conf_sheet!$A:$H,8,FALSE))</f>
        <v>1</v>
      </c>
    </row>
    <row r="128" spans="1:19" ht="21" customHeight="1">
      <c r="A128" s="2">
        <f>input_6!A$2</f>
        <v>3126</v>
      </c>
      <c r="B128" s="7" t="str">
        <f t="shared" si="4"/>
        <v>Premium5</v>
      </c>
      <c r="C128" s="7" t="str">
        <f t="shared" si="5"/>
        <v>Premium</v>
      </c>
      <c r="D128" s="6">
        <v>252</v>
      </c>
      <c r="E128" s="7" t="str">
        <f>VLOOKUP(D128,[1]characters!$A:$C,3,FALSE)</f>
        <v>強欲の沸騰 マンモン</v>
      </c>
      <c r="F128" s="7" t="str">
        <f>VLOOKUP(D128,[1]characters!$A:$J,10,FALSE)</f>
        <v>PremiumS</v>
      </c>
      <c r="G128" s="7">
        <f>VLOOKUP(D128,[1]characters!$A:$I,9,FALSE)</f>
        <v>5</v>
      </c>
      <c r="H128" s="7" t="str">
        <f>VLOOKUP(D128,[1]characters!$A:$H,8,FALSE)</f>
        <v>red</v>
      </c>
      <c r="I128" s="7" t="str">
        <f>VLOOKUP(D128,[1]characters!$A:$K,11,FALSE)</f>
        <v>balance</v>
      </c>
      <c r="J128" s="7" t="str">
        <f>VLOOKUP(D128,[1]characters!$A:$M,13,FALSE)</f>
        <v>god</v>
      </c>
      <c r="K128" s="7" t="str">
        <f>VLOOKUP(D128,[1]characters!$A:$G,7,FALSE)</f>
        <v>女性</v>
      </c>
      <c r="L128" s="66">
        <f>IFERROR(VLOOKUP(D128,input_6!L:R,7,FALSE),VLOOKUP(tables_6!B128,input_6!A:H,8,FALSE))</f>
        <v>46657</v>
      </c>
      <c r="M128" s="67">
        <f t="shared" si="3"/>
        <v>8.9814814814814813E-4</v>
      </c>
      <c r="N128" s="31">
        <f>IFERROR(VLOOKUP($D128,bug_conf_sheet!$A:$H,3,FALSE),VLOOKUP("other",bug_conf_sheet!$A:$H,3,FALSE))</f>
        <v>1</v>
      </c>
      <c r="O128" s="31">
        <f>IFERROR(VLOOKUP($D128,bug_conf_sheet!$A:$H,4,FALSE),VLOOKUP("other",bug_conf_sheet!$A:$H,4,FALSE))</f>
        <v>0</v>
      </c>
      <c r="P128" s="31">
        <f>IFERROR(VLOOKUP($D128,bug_conf_sheet!$A:$H,5,FALSE),VLOOKUP("other",bug_conf_sheet!$A:$H,5,FALSE))</f>
        <v>0</v>
      </c>
      <c r="Q128" s="31">
        <f>IFERROR(VLOOKUP($D128,bug_conf_sheet!$A:$H,6,FALSE),VLOOKUP("other",bug_conf_sheet!$A:$H,6,FALSE))</f>
        <v>0</v>
      </c>
      <c r="R128" s="31">
        <f>IFERROR(VLOOKUP($D128,bug_conf_sheet!$A:$H,7,FALSE),VLOOKUP("other",bug_conf_sheet!$A:$H,7,FALSE))</f>
        <v>0</v>
      </c>
      <c r="S128" s="31">
        <f>IFERROR(VLOOKUP($D128,bug_conf_sheet!$A:$H,8,FALSE),VLOOKUP("other",bug_conf_sheet!$A:$H,8,FALSE))</f>
        <v>1</v>
      </c>
    </row>
    <row r="129" spans="1:19" ht="21" customHeight="1">
      <c r="A129" s="2">
        <f>input_6!A$2</f>
        <v>3126</v>
      </c>
      <c r="B129" s="7" t="str">
        <f t="shared" si="4"/>
        <v>Premium3</v>
      </c>
      <c r="C129" s="7" t="str">
        <f t="shared" si="5"/>
        <v>Premium</v>
      </c>
      <c r="D129" s="6">
        <v>253</v>
      </c>
      <c r="E129" s="7" t="str">
        <f>VLOOKUP(D129,[1]characters!$A:$C,3,FALSE)</f>
        <v>ベルフェゴール</v>
      </c>
      <c r="F129" s="7" t="str">
        <f>VLOOKUP(D129,[1]characters!$A:$J,10,FALSE)</f>
        <v>PremiumS</v>
      </c>
      <c r="G129" s="7">
        <f>VLOOKUP(D129,[1]characters!$A:$I,9,FALSE)</f>
        <v>3</v>
      </c>
      <c r="H129" s="7" t="str">
        <f>VLOOKUP(D129,[1]characters!$A:$H,8,FALSE)</f>
        <v>green</v>
      </c>
      <c r="I129" s="7" t="str">
        <f>VLOOKUP(D129,[1]characters!$A:$K,11,FALSE)</f>
        <v>technical</v>
      </c>
      <c r="J129" s="7" t="str">
        <f>VLOOKUP(D129,[1]characters!$A:$M,13,FALSE)</f>
        <v>god</v>
      </c>
      <c r="K129" s="7" t="str">
        <f>VLOOKUP(D129,[1]characters!$A:$G,7,FALSE)</f>
        <v>女性</v>
      </c>
      <c r="L129" s="66">
        <f>IFERROR(VLOOKUP(D129,input_6!L:R,7,FALSE),VLOOKUP(tables_6!B129,input_6!A:H,8,FALSE))</f>
        <v>0</v>
      </c>
      <c r="M129" s="67">
        <f t="shared" si="3"/>
        <v>0</v>
      </c>
      <c r="N129" s="31">
        <f>IFERROR(VLOOKUP($D129,bug_conf_sheet!$A:$H,3,FALSE),VLOOKUP("other",bug_conf_sheet!$A:$H,3,FALSE))</f>
        <v>1</v>
      </c>
      <c r="O129" s="31">
        <f>IFERROR(VLOOKUP($D129,bug_conf_sheet!$A:$H,4,FALSE),VLOOKUP("other",bug_conf_sheet!$A:$H,4,FALSE))</f>
        <v>0</v>
      </c>
      <c r="P129" s="31">
        <f>IFERROR(VLOOKUP($D129,bug_conf_sheet!$A:$H,5,FALSE),VLOOKUP("other",bug_conf_sheet!$A:$H,5,FALSE))</f>
        <v>0</v>
      </c>
      <c r="Q129" s="31">
        <f>IFERROR(VLOOKUP($D129,bug_conf_sheet!$A:$H,6,FALSE),VLOOKUP("other",bug_conf_sheet!$A:$H,6,FALSE))</f>
        <v>0</v>
      </c>
      <c r="R129" s="31">
        <f>IFERROR(VLOOKUP($D129,bug_conf_sheet!$A:$H,7,FALSE),VLOOKUP("other",bug_conf_sheet!$A:$H,7,FALSE))</f>
        <v>0</v>
      </c>
      <c r="S129" s="31">
        <f>IFERROR(VLOOKUP($D129,bug_conf_sheet!$A:$H,8,FALSE),VLOOKUP("other",bug_conf_sheet!$A:$H,8,FALSE))</f>
        <v>1</v>
      </c>
    </row>
    <row r="130" spans="1:19" ht="21" customHeight="1">
      <c r="A130" s="2">
        <f>input_6!A$2</f>
        <v>3126</v>
      </c>
      <c r="B130" s="7" t="str">
        <f t="shared" si="4"/>
        <v>Premium4</v>
      </c>
      <c r="C130" s="7" t="str">
        <f t="shared" si="5"/>
        <v>Premium</v>
      </c>
      <c r="D130" s="6">
        <v>254</v>
      </c>
      <c r="E130" s="7" t="str">
        <f>VLOOKUP(D130,[1]characters!$A:$C,3,FALSE)</f>
        <v>怠惰 ベルフェゴール</v>
      </c>
      <c r="F130" s="7" t="str">
        <f>VLOOKUP(D130,[1]characters!$A:$J,10,FALSE)</f>
        <v>PremiumS</v>
      </c>
      <c r="G130" s="7">
        <f>VLOOKUP(D130,[1]characters!$A:$I,9,FALSE)</f>
        <v>4</v>
      </c>
      <c r="H130" s="7" t="str">
        <f>VLOOKUP(D130,[1]characters!$A:$H,8,FALSE)</f>
        <v>green</v>
      </c>
      <c r="I130" s="7" t="str">
        <f>VLOOKUP(D130,[1]characters!$A:$K,11,FALSE)</f>
        <v>technical</v>
      </c>
      <c r="J130" s="7" t="str">
        <f>VLOOKUP(D130,[1]characters!$A:$M,13,FALSE)</f>
        <v>god</v>
      </c>
      <c r="K130" s="7" t="str">
        <f>VLOOKUP(D130,[1]characters!$A:$G,7,FALSE)</f>
        <v>女性</v>
      </c>
      <c r="L130" s="66">
        <f>IFERROR(VLOOKUP(D130,input_6!L:R,7,FALSE),VLOOKUP(tables_6!B130,input_6!A:H,8,FALSE))</f>
        <v>646893</v>
      </c>
      <c r="M130" s="67">
        <f t="shared" ref="M130:M193" si="6">L130/SUM(L:L)</f>
        <v>1.2452702702702703E-2</v>
      </c>
      <c r="N130" s="31">
        <f>IFERROR(VLOOKUP($D130,bug_conf_sheet!$A:$H,3,FALSE),VLOOKUP("other",bug_conf_sheet!$A:$H,3,FALSE))</f>
        <v>1</v>
      </c>
      <c r="O130" s="31">
        <f>IFERROR(VLOOKUP($D130,bug_conf_sheet!$A:$H,4,FALSE),VLOOKUP("other",bug_conf_sheet!$A:$H,4,FALSE))</f>
        <v>0</v>
      </c>
      <c r="P130" s="31">
        <f>IFERROR(VLOOKUP($D130,bug_conf_sheet!$A:$H,5,FALSE),VLOOKUP("other",bug_conf_sheet!$A:$H,5,FALSE))</f>
        <v>0</v>
      </c>
      <c r="Q130" s="31">
        <f>IFERROR(VLOOKUP($D130,bug_conf_sheet!$A:$H,6,FALSE),VLOOKUP("other",bug_conf_sheet!$A:$H,6,FALSE))</f>
        <v>0</v>
      </c>
      <c r="R130" s="31">
        <f>IFERROR(VLOOKUP($D130,bug_conf_sheet!$A:$H,7,FALSE),VLOOKUP("other",bug_conf_sheet!$A:$H,7,FALSE))</f>
        <v>0</v>
      </c>
      <c r="S130" s="31">
        <f>IFERROR(VLOOKUP($D130,bug_conf_sheet!$A:$H,8,FALSE),VLOOKUP("other",bug_conf_sheet!$A:$H,8,FALSE))</f>
        <v>1</v>
      </c>
    </row>
    <row r="131" spans="1:19" ht="21" customHeight="1">
      <c r="A131" s="2">
        <f>input_6!A$2</f>
        <v>3126</v>
      </c>
      <c r="B131" s="7" t="str">
        <f t="shared" ref="B131:B194" si="7">C131&amp;G131</f>
        <v>Premium5</v>
      </c>
      <c r="C131" s="7" t="str">
        <f t="shared" ref="C131:C194" si="8">IF(F131="PremiumSS",F131,IF(F131="PremiumSSS",F131,"Premium"))</f>
        <v>Premium</v>
      </c>
      <c r="D131" s="6">
        <v>255</v>
      </c>
      <c r="E131" s="7" t="str">
        <f>VLOOKUP(D131,[1]characters!$A:$C,3,FALSE)</f>
        <v>怠惰の頂点 ベルフェゴール</v>
      </c>
      <c r="F131" s="7" t="str">
        <f>VLOOKUP(D131,[1]characters!$A:$J,10,FALSE)</f>
        <v>PremiumS</v>
      </c>
      <c r="G131" s="7">
        <f>VLOOKUP(D131,[1]characters!$A:$I,9,FALSE)</f>
        <v>5</v>
      </c>
      <c r="H131" s="7" t="str">
        <f>VLOOKUP(D131,[1]characters!$A:$H,8,FALSE)</f>
        <v>green</v>
      </c>
      <c r="I131" s="7" t="str">
        <f>VLOOKUP(D131,[1]characters!$A:$K,11,FALSE)</f>
        <v>technical</v>
      </c>
      <c r="J131" s="7" t="str">
        <f>VLOOKUP(D131,[1]characters!$A:$M,13,FALSE)</f>
        <v>god</v>
      </c>
      <c r="K131" s="7" t="str">
        <f>VLOOKUP(D131,[1]characters!$A:$G,7,FALSE)</f>
        <v>女性</v>
      </c>
      <c r="L131" s="66">
        <f>IFERROR(VLOOKUP(D131,input_6!L:R,7,FALSE),VLOOKUP(tables_6!B131,input_6!A:H,8,FALSE))</f>
        <v>46657</v>
      </c>
      <c r="M131" s="67">
        <f t="shared" si="6"/>
        <v>8.9814814814814813E-4</v>
      </c>
      <c r="N131" s="31">
        <f>IFERROR(VLOOKUP($D131,bug_conf_sheet!$A:$H,3,FALSE),VLOOKUP("other",bug_conf_sheet!$A:$H,3,FALSE))</f>
        <v>1</v>
      </c>
      <c r="O131" s="31">
        <f>IFERROR(VLOOKUP($D131,bug_conf_sheet!$A:$H,4,FALSE),VLOOKUP("other",bug_conf_sheet!$A:$H,4,FALSE))</f>
        <v>0</v>
      </c>
      <c r="P131" s="31">
        <f>IFERROR(VLOOKUP($D131,bug_conf_sheet!$A:$H,5,FALSE),VLOOKUP("other",bug_conf_sheet!$A:$H,5,FALSE))</f>
        <v>0</v>
      </c>
      <c r="Q131" s="31">
        <f>IFERROR(VLOOKUP($D131,bug_conf_sheet!$A:$H,6,FALSE),VLOOKUP("other",bug_conf_sheet!$A:$H,6,FALSE))</f>
        <v>0</v>
      </c>
      <c r="R131" s="31">
        <f>IFERROR(VLOOKUP($D131,bug_conf_sheet!$A:$H,7,FALSE),VLOOKUP("other",bug_conf_sheet!$A:$H,7,FALSE))</f>
        <v>0</v>
      </c>
      <c r="S131" s="31">
        <f>IFERROR(VLOOKUP($D131,bug_conf_sheet!$A:$H,8,FALSE),VLOOKUP("other",bug_conf_sheet!$A:$H,8,FALSE))</f>
        <v>1</v>
      </c>
    </row>
    <row r="132" spans="1:19" ht="21" customHeight="1">
      <c r="A132" s="2">
        <f>input_6!A$2</f>
        <v>3126</v>
      </c>
      <c r="B132" s="7" t="str">
        <f t="shared" si="7"/>
        <v>Premium3</v>
      </c>
      <c r="C132" s="7" t="str">
        <f t="shared" si="8"/>
        <v>Premium</v>
      </c>
      <c r="D132" s="6">
        <v>256</v>
      </c>
      <c r="E132" s="7" t="str">
        <f>VLOOKUP(D132,[1]characters!$A:$C,3,FALSE)</f>
        <v>アスモデウス</v>
      </c>
      <c r="F132" s="7" t="str">
        <f>VLOOKUP(D132,[1]characters!$A:$J,10,FALSE)</f>
        <v>PremiumS</v>
      </c>
      <c r="G132" s="7">
        <f>VLOOKUP(D132,[1]characters!$A:$I,9,FALSE)</f>
        <v>3</v>
      </c>
      <c r="H132" s="7" t="str">
        <f>VLOOKUP(D132,[1]characters!$A:$H,8,FALSE)</f>
        <v>blue</v>
      </c>
      <c r="I132" s="7" t="str">
        <f>VLOOKUP(D132,[1]characters!$A:$K,11,FALSE)</f>
        <v>attack</v>
      </c>
      <c r="J132" s="7" t="str">
        <f>VLOOKUP(D132,[1]characters!$A:$M,13,FALSE)</f>
        <v>god</v>
      </c>
      <c r="K132" s="7" t="str">
        <f>VLOOKUP(D132,[1]characters!$A:$G,7,FALSE)</f>
        <v>女性</v>
      </c>
      <c r="L132" s="66">
        <f>IFERROR(VLOOKUP(D132,input_6!L:R,7,FALSE),VLOOKUP(tables_6!B132,input_6!A:H,8,FALSE))</f>
        <v>0</v>
      </c>
      <c r="M132" s="67">
        <f t="shared" si="6"/>
        <v>0</v>
      </c>
      <c r="N132" s="31">
        <f>IFERROR(VLOOKUP($D132,bug_conf_sheet!$A:$H,3,FALSE),VLOOKUP("other",bug_conf_sheet!$A:$H,3,FALSE))</f>
        <v>1</v>
      </c>
      <c r="O132" s="31">
        <f>IFERROR(VLOOKUP($D132,bug_conf_sheet!$A:$H,4,FALSE),VLOOKUP("other",bug_conf_sheet!$A:$H,4,FALSE))</f>
        <v>0</v>
      </c>
      <c r="P132" s="31">
        <f>IFERROR(VLOOKUP($D132,bug_conf_sheet!$A:$H,5,FALSE),VLOOKUP("other",bug_conf_sheet!$A:$H,5,FALSE))</f>
        <v>0</v>
      </c>
      <c r="Q132" s="31">
        <f>IFERROR(VLOOKUP($D132,bug_conf_sheet!$A:$H,6,FALSE),VLOOKUP("other",bug_conf_sheet!$A:$H,6,FALSE))</f>
        <v>0</v>
      </c>
      <c r="R132" s="31">
        <f>IFERROR(VLOOKUP($D132,bug_conf_sheet!$A:$H,7,FALSE),VLOOKUP("other",bug_conf_sheet!$A:$H,7,FALSE))</f>
        <v>0</v>
      </c>
      <c r="S132" s="31">
        <f>IFERROR(VLOOKUP($D132,bug_conf_sheet!$A:$H,8,FALSE),VLOOKUP("other",bug_conf_sheet!$A:$H,8,FALSE))</f>
        <v>1</v>
      </c>
    </row>
    <row r="133" spans="1:19" ht="21" customHeight="1">
      <c r="A133" s="2">
        <f>input_6!A$2</f>
        <v>3126</v>
      </c>
      <c r="B133" s="7" t="str">
        <f t="shared" si="7"/>
        <v>Premium4</v>
      </c>
      <c r="C133" s="7" t="str">
        <f t="shared" si="8"/>
        <v>Premium</v>
      </c>
      <c r="D133" s="6">
        <v>257</v>
      </c>
      <c r="E133" s="7" t="str">
        <f>VLOOKUP(D133,[1]characters!$A:$C,3,FALSE)</f>
        <v>色欲 アスモデウス</v>
      </c>
      <c r="F133" s="7" t="str">
        <f>VLOOKUP(D133,[1]characters!$A:$J,10,FALSE)</f>
        <v>PremiumS</v>
      </c>
      <c r="G133" s="7">
        <f>VLOOKUP(D133,[1]characters!$A:$I,9,FALSE)</f>
        <v>4</v>
      </c>
      <c r="H133" s="7" t="str">
        <f>VLOOKUP(D133,[1]characters!$A:$H,8,FALSE)</f>
        <v>blue</v>
      </c>
      <c r="I133" s="7" t="str">
        <f>VLOOKUP(D133,[1]characters!$A:$K,11,FALSE)</f>
        <v>attack</v>
      </c>
      <c r="J133" s="7" t="str">
        <f>VLOOKUP(D133,[1]characters!$A:$M,13,FALSE)</f>
        <v>god</v>
      </c>
      <c r="K133" s="7" t="str">
        <f>VLOOKUP(D133,[1]characters!$A:$G,7,FALSE)</f>
        <v>女性</v>
      </c>
      <c r="L133" s="66">
        <f>IFERROR(VLOOKUP(D133,input_6!L:R,7,FALSE),VLOOKUP(tables_6!B133,input_6!A:H,8,FALSE))</f>
        <v>646893</v>
      </c>
      <c r="M133" s="67">
        <f t="shared" si="6"/>
        <v>1.2452702702702703E-2</v>
      </c>
      <c r="N133" s="31">
        <f>IFERROR(VLOOKUP($D133,bug_conf_sheet!$A:$H,3,FALSE),VLOOKUP("other",bug_conf_sheet!$A:$H,3,FALSE))</f>
        <v>1</v>
      </c>
      <c r="O133" s="31">
        <f>IFERROR(VLOOKUP($D133,bug_conf_sheet!$A:$H,4,FALSE),VLOOKUP("other",bug_conf_sheet!$A:$H,4,FALSE))</f>
        <v>0</v>
      </c>
      <c r="P133" s="31">
        <f>IFERROR(VLOOKUP($D133,bug_conf_sheet!$A:$H,5,FALSE),VLOOKUP("other",bug_conf_sheet!$A:$H,5,FALSE))</f>
        <v>0</v>
      </c>
      <c r="Q133" s="31">
        <f>IFERROR(VLOOKUP($D133,bug_conf_sheet!$A:$H,6,FALSE),VLOOKUP("other",bug_conf_sheet!$A:$H,6,FALSE))</f>
        <v>0</v>
      </c>
      <c r="R133" s="31">
        <f>IFERROR(VLOOKUP($D133,bug_conf_sheet!$A:$H,7,FALSE),VLOOKUP("other",bug_conf_sheet!$A:$H,7,FALSE))</f>
        <v>0</v>
      </c>
      <c r="S133" s="31">
        <f>IFERROR(VLOOKUP($D133,bug_conf_sheet!$A:$H,8,FALSE),VLOOKUP("other",bug_conf_sheet!$A:$H,8,FALSE))</f>
        <v>1</v>
      </c>
    </row>
    <row r="134" spans="1:19" ht="21" customHeight="1">
      <c r="A134" s="2">
        <f>input_6!A$2</f>
        <v>3126</v>
      </c>
      <c r="B134" s="7" t="str">
        <f t="shared" si="7"/>
        <v>Premium5</v>
      </c>
      <c r="C134" s="7" t="str">
        <f t="shared" si="8"/>
        <v>Premium</v>
      </c>
      <c r="D134" s="6">
        <v>258</v>
      </c>
      <c r="E134" s="7" t="str">
        <f>VLOOKUP(D134,[1]characters!$A:$C,3,FALSE)</f>
        <v>色欲の源流 アスモデウス</v>
      </c>
      <c r="F134" s="7" t="str">
        <f>VLOOKUP(D134,[1]characters!$A:$J,10,FALSE)</f>
        <v>PremiumS</v>
      </c>
      <c r="G134" s="7">
        <f>VLOOKUP(D134,[1]characters!$A:$I,9,FALSE)</f>
        <v>5</v>
      </c>
      <c r="H134" s="7" t="str">
        <f>VLOOKUP(D134,[1]characters!$A:$H,8,FALSE)</f>
        <v>blue</v>
      </c>
      <c r="I134" s="7" t="str">
        <f>VLOOKUP(D134,[1]characters!$A:$K,11,FALSE)</f>
        <v>attack</v>
      </c>
      <c r="J134" s="7" t="str">
        <f>VLOOKUP(D134,[1]characters!$A:$M,13,FALSE)</f>
        <v>god</v>
      </c>
      <c r="K134" s="7" t="str">
        <f>VLOOKUP(D134,[1]characters!$A:$G,7,FALSE)</f>
        <v>女性</v>
      </c>
      <c r="L134" s="66">
        <f>IFERROR(VLOOKUP(D134,input_6!L:R,7,FALSE),VLOOKUP(tables_6!B134,input_6!A:H,8,FALSE))</f>
        <v>46657</v>
      </c>
      <c r="M134" s="67">
        <f t="shared" si="6"/>
        <v>8.9814814814814813E-4</v>
      </c>
      <c r="N134" s="31">
        <f>IFERROR(VLOOKUP($D134,bug_conf_sheet!$A:$H,3,FALSE),VLOOKUP("other",bug_conf_sheet!$A:$H,3,FALSE))</f>
        <v>1</v>
      </c>
      <c r="O134" s="31">
        <f>IFERROR(VLOOKUP($D134,bug_conf_sheet!$A:$H,4,FALSE),VLOOKUP("other",bug_conf_sheet!$A:$H,4,FALSE))</f>
        <v>0</v>
      </c>
      <c r="P134" s="31">
        <f>IFERROR(VLOOKUP($D134,bug_conf_sheet!$A:$H,5,FALSE),VLOOKUP("other",bug_conf_sheet!$A:$H,5,FALSE))</f>
        <v>0</v>
      </c>
      <c r="Q134" s="31">
        <f>IFERROR(VLOOKUP($D134,bug_conf_sheet!$A:$H,6,FALSE),VLOOKUP("other",bug_conf_sheet!$A:$H,6,FALSE))</f>
        <v>0</v>
      </c>
      <c r="R134" s="31">
        <f>IFERROR(VLOOKUP($D134,bug_conf_sheet!$A:$H,7,FALSE),VLOOKUP("other",bug_conf_sheet!$A:$H,7,FALSE))</f>
        <v>0</v>
      </c>
      <c r="S134" s="31">
        <f>IFERROR(VLOOKUP($D134,bug_conf_sheet!$A:$H,8,FALSE),VLOOKUP("other",bug_conf_sheet!$A:$H,8,FALSE))</f>
        <v>1</v>
      </c>
    </row>
    <row r="135" spans="1:19" ht="21" customHeight="1">
      <c r="A135" s="2">
        <f>input_6!A$2</f>
        <v>3126</v>
      </c>
      <c r="B135" s="7" t="str">
        <f t="shared" si="7"/>
        <v>Premium3</v>
      </c>
      <c r="C135" s="7" t="str">
        <f t="shared" si="8"/>
        <v>Premium</v>
      </c>
      <c r="D135" s="6">
        <v>259</v>
      </c>
      <c r="E135" s="7" t="str">
        <f>VLOOKUP(D135,[1]characters!$A:$C,3,FALSE)</f>
        <v>ウロボロス</v>
      </c>
      <c r="F135" s="7" t="str">
        <f>VLOOKUP(D135,[1]characters!$A:$J,10,FALSE)</f>
        <v>PremiumS</v>
      </c>
      <c r="G135" s="7">
        <f>VLOOKUP(D135,[1]characters!$A:$I,9,FALSE)</f>
        <v>3</v>
      </c>
      <c r="H135" s="7" t="str">
        <f>VLOOKUP(D135,[1]characters!$A:$H,8,FALSE)</f>
        <v>yellow</v>
      </c>
      <c r="I135" s="7" t="str">
        <f>VLOOKUP(D135,[1]characters!$A:$K,11,FALSE)</f>
        <v>balance</v>
      </c>
      <c r="J135" s="7" t="str">
        <f>VLOOKUP(D135,[1]characters!$A:$M,13,FALSE)</f>
        <v>dragon</v>
      </c>
      <c r="K135" s="7" t="str">
        <f>VLOOKUP(D135,[1]characters!$A:$G,7,FALSE)</f>
        <v>女性</v>
      </c>
      <c r="L135" s="66">
        <f>IFERROR(VLOOKUP(D135,input_6!L:R,7,FALSE),VLOOKUP(tables_6!B135,input_6!A:H,8,FALSE))</f>
        <v>0</v>
      </c>
      <c r="M135" s="67">
        <f t="shared" si="6"/>
        <v>0</v>
      </c>
      <c r="N135" s="31">
        <f>IFERROR(VLOOKUP($D135,bug_conf_sheet!$A:$H,3,FALSE),VLOOKUP("other",bug_conf_sheet!$A:$H,3,FALSE))</f>
        <v>1</v>
      </c>
      <c r="O135" s="31">
        <f>IFERROR(VLOOKUP($D135,bug_conf_sheet!$A:$H,4,FALSE),VLOOKUP("other",bug_conf_sheet!$A:$H,4,FALSE))</f>
        <v>0</v>
      </c>
      <c r="P135" s="31">
        <f>IFERROR(VLOOKUP($D135,bug_conf_sheet!$A:$H,5,FALSE),VLOOKUP("other",bug_conf_sheet!$A:$H,5,FALSE))</f>
        <v>0</v>
      </c>
      <c r="Q135" s="31">
        <f>IFERROR(VLOOKUP($D135,bug_conf_sheet!$A:$H,6,FALSE),VLOOKUP("other",bug_conf_sheet!$A:$H,6,FALSE))</f>
        <v>0</v>
      </c>
      <c r="R135" s="31">
        <f>IFERROR(VLOOKUP($D135,bug_conf_sheet!$A:$H,7,FALSE),VLOOKUP("other",bug_conf_sheet!$A:$H,7,FALSE))</f>
        <v>0</v>
      </c>
      <c r="S135" s="31">
        <f>IFERROR(VLOOKUP($D135,bug_conf_sheet!$A:$H,8,FALSE),VLOOKUP("other",bug_conf_sheet!$A:$H,8,FALSE))</f>
        <v>1</v>
      </c>
    </row>
    <row r="136" spans="1:19" ht="21" customHeight="1">
      <c r="A136" s="2">
        <f>input_6!A$2</f>
        <v>3126</v>
      </c>
      <c r="B136" s="7" t="str">
        <f t="shared" si="7"/>
        <v>Premium4</v>
      </c>
      <c r="C136" s="7" t="str">
        <f t="shared" si="8"/>
        <v>Premium</v>
      </c>
      <c r="D136" s="8">
        <v>260</v>
      </c>
      <c r="E136" s="7" t="str">
        <f>VLOOKUP(D136,[1]characters!$A:$C,3,FALSE)</f>
        <v>輪廻 ウロボロス</v>
      </c>
      <c r="F136" s="7" t="str">
        <f>VLOOKUP(D136,[1]characters!$A:$J,10,FALSE)</f>
        <v>PremiumS</v>
      </c>
      <c r="G136" s="7">
        <f>VLOOKUP(D136,[1]characters!$A:$I,9,FALSE)</f>
        <v>4</v>
      </c>
      <c r="H136" s="7" t="str">
        <f>VLOOKUP(D136,[1]characters!$A:$H,8,FALSE)</f>
        <v>yellow</v>
      </c>
      <c r="I136" s="7" t="str">
        <f>VLOOKUP(D136,[1]characters!$A:$K,11,FALSE)</f>
        <v>balance</v>
      </c>
      <c r="J136" s="7" t="str">
        <f>VLOOKUP(D136,[1]characters!$A:$M,13,FALSE)</f>
        <v>dragon</v>
      </c>
      <c r="K136" s="7" t="str">
        <f>VLOOKUP(D136,[1]characters!$A:$G,7,FALSE)</f>
        <v>女性</v>
      </c>
      <c r="L136" s="66">
        <f>IFERROR(VLOOKUP(D136,input_6!L:R,7,FALSE),VLOOKUP(tables_6!B136,input_6!A:H,8,FALSE))</f>
        <v>646893</v>
      </c>
      <c r="M136" s="67">
        <f t="shared" si="6"/>
        <v>1.2452702702702703E-2</v>
      </c>
      <c r="N136" s="31">
        <f>IFERROR(VLOOKUP($D136,bug_conf_sheet!$A:$H,3,FALSE),VLOOKUP("other",bug_conf_sheet!$A:$H,3,FALSE))</f>
        <v>1</v>
      </c>
      <c r="O136" s="31">
        <f>IFERROR(VLOOKUP($D136,bug_conf_sheet!$A:$H,4,FALSE),VLOOKUP("other",bug_conf_sheet!$A:$H,4,FALSE))</f>
        <v>0</v>
      </c>
      <c r="P136" s="31">
        <f>IFERROR(VLOOKUP($D136,bug_conf_sheet!$A:$H,5,FALSE),VLOOKUP("other",bug_conf_sheet!$A:$H,5,FALSE))</f>
        <v>0</v>
      </c>
      <c r="Q136" s="31">
        <f>IFERROR(VLOOKUP($D136,bug_conf_sheet!$A:$H,6,FALSE),VLOOKUP("other",bug_conf_sheet!$A:$H,6,FALSE))</f>
        <v>0</v>
      </c>
      <c r="R136" s="31">
        <f>IFERROR(VLOOKUP($D136,bug_conf_sheet!$A:$H,7,FALSE),VLOOKUP("other",bug_conf_sheet!$A:$H,7,FALSE))</f>
        <v>0</v>
      </c>
      <c r="S136" s="31">
        <f>IFERROR(VLOOKUP($D136,bug_conf_sheet!$A:$H,8,FALSE),VLOOKUP("other",bug_conf_sheet!$A:$H,8,FALSE))</f>
        <v>1</v>
      </c>
    </row>
    <row r="137" spans="1:19" ht="21" customHeight="1">
      <c r="A137" s="2">
        <f>input_6!A$2</f>
        <v>3126</v>
      </c>
      <c r="B137" s="7" t="str">
        <f t="shared" si="7"/>
        <v>Premium5</v>
      </c>
      <c r="C137" s="7" t="str">
        <f t="shared" si="8"/>
        <v>Premium</v>
      </c>
      <c r="D137" s="8">
        <v>261</v>
      </c>
      <c r="E137" s="7" t="str">
        <f>VLOOKUP(D137,[1]characters!$A:$C,3,FALSE)</f>
        <v>輪廻の蛇龍 ウロボロス</v>
      </c>
      <c r="F137" s="7" t="str">
        <f>VLOOKUP(D137,[1]characters!$A:$J,10,FALSE)</f>
        <v>PremiumS</v>
      </c>
      <c r="G137" s="7">
        <f>VLOOKUP(D137,[1]characters!$A:$I,9,FALSE)</f>
        <v>5</v>
      </c>
      <c r="H137" s="7" t="str">
        <f>VLOOKUP(D137,[1]characters!$A:$H,8,FALSE)</f>
        <v>yellow</v>
      </c>
      <c r="I137" s="7" t="str">
        <f>VLOOKUP(D137,[1]characters!$A:$K,11,FALSE)</f>
        <v>balance</v>
      </c>
      <c r="J137" s="7" t="str">
        <f>VLOOKUP(D137,[1]characters!$A:$M,13,FALSE)</f>
        <v>dragon</v>
      </c>
      <c r="K137" s="7" t="str">
        <f>VLOOKUP(D137,[1]characters!$A:$G,7,FALSE)</f>
        <v>女性</v>
      </c>
      <c r="L137" s="66">
        <f>IFERROR(VLOOKUP(D137,input_6!L:R,7,FALSE),VLOOKUP(tables_6!B137,input_6!A:H,8,FALSE))</f>
        <v>46657</v>
      </c>
      <c r="M137" s="67">
        <f t="shared" si="6"/>
        <v>8.9814814814814813E-4</v>
      </c>
      <c r="N137" s="31">
        <f>IFERROR(VLOOKUP($D137,bug_conf_sheet!$A:$H,3,FALSE),VLOOKUP("other",bug_conf_sheet!$A:$H,3,FALSE))</f>
        <v>1</v>
      </c>
      <c r="O137" s="31">
        <f>IFERROR(VLOOKUP($D137,bug_conf_sheet!$A:$H,4,FALSE),VLOOKUP("other",bug_conf_sheet!$A:$H,4,FALSE))</f>
        <v>0</v>
      </c>
      <c r="P137" s="31">
        <f>IFERROR(VLOOKUP($D137,bug_conf_sheet!$A:$H,5,FALSE),VLOOKUP("other",bug_conf_sheet!$A:$H,5,FALSE))</f>
        <v>0</v>
      </c>
      <c r="Q137" s="31">
        <f>IFERROR(VLOOKUP($D137,bug_conf_sheet!$A:$H,6,FALSE),VLOOKUP("other",bug_conf_sheet!$A:$H,6,FALSE))</f>
        <v>0</v>
      </c>
      <c r="R137" s="31">
        <f>IFERROR(VLOOKUP($D137,bug_conf_sheet!$A:$H,7,FALSE),VLOOKUP("other",bug_conf_sheet!$A:$H,7,FALSE))</f>
        <v>0</v>
      </c>
      <c r="S137" s="31">
        <f>IFERROR(VLOOKUP($D137,bug_conf_sheet!$A:$H,8,FALSE),VLOOKUP("other",bug_conf_sheet!$A:$H,8,FALSE))</f>
        <v>1</v>
      </c>
    </row>
    <row r="138" spans="1:19" ht="21" customHeight="1">
      <c r="A138" s="2">
        <f>input_6!A$2</f>
        <v>3126</v>
      </c>
      <c r="B138" s="7" t="str">
        <f t="shared" si="7"/>
        <v>PremiumSS4</v>
      </c>
      <c r="C138" s="7" t="str">
        <f t="shared" si="8"/>
        <v>PremiumSS</v>
      </c>
      <c r="D138" s="6">
        <v>320</v>
      </c>
      <c r="E138" s="7" t="str">
        <f>VLOOKUP(D138,[1]characters!$A:$C,3,FALSE)</f>
        <v>烈志士 近藤勇</v>
      </c>
      <c r="F138" s="7" t="str">
        <f>VLOOKUP(D138,[1]characters!$A:$J,10,FALSE)</f>
        <v>PremiumSS</v>
      </c>
      <c r="G138" s="7">
        <f>VLOOKUP(D138,[1]characters!$A:$I,9,FALSE)</f>
        <v>4</v>
      </c>
      <c r="H138" s="7" t="str">
        <f>VLOOKUP(D138,[1]characters!$A:$H,8,FALSE)</f>
        <v>red</v>
      </c>
      <c r="I138" s="7" t="str">
        <f>VLOOKUP(D138,[1]characters!$A:$K,11,FALSE)</f>
        <v>hp</v>
      </c>
      <c r="J138" s="7" t="str">
        <f>VLOOKUP(D138,[1]characters!$A:$M,13,FALSE)</f>
        <v>human</v>
      </c>
      <c r="K138" s="7" t="str">
        <f>VLOOKUP(D138,[1]characters!$A:$G,7,FALSE)</f>
        <v>男性</v>
      </c>
      <c r="L138" s="66">
        <f>IFERROR(VLOOKUP(D138,input_6!L:R,7,FALSE),VLOOKUP(tables_6!B138,input_6!A:H,8,FALSE))</f>
        <v>56943</v>
      </c>
      <c r="M138" s="67">
        <f t="shared" si="6"/>
        <v>1.0961538461538461E-3</v>
      </c>
      <c r="N138" s="31">
        <f>IFERROR(VLOOKUP($D138,bug_conf_sheet!$A:$H,3,FALSE),VLOOKUP("other",bug_conf_sheet!$A:$H,3,FALSE))</f>
        <v>1</v>
      </c>
      <c r="O138" s="31">
        <f>IFERROR(VLOOKUP($D138,bug_conf_sheet!$A:$H,4,FALSE),VLOOKUP("other",bug_conf_sheet!$A:$H,4,FALSE))</f>
        <v>0</v>
      </c>
      <c r="P138" s="31">
        <f>IFERROR(VLOOKUP($D138,bug_conf_sheet!$A:$H,5,FALSE),VLOOKUP("other",bug_conf_sheet!$A:$H,5,FALSE))</f>
        <v>0</v>
      </c>
      <c r="Q138" s="31">
        <f>IFERROR(VLOOKUP($D138,bug_conf_sheet!$A:$H,6,FALSE),VLOOKUP("other",bug_conf_sheet!$A:$H,6,FALSE))</f>
        <v>0</v>
      </c>
      <c r="R138" s="31">
        <f>IFERROR(VLOOKUP($D138,bug_conf_sheet!$A:$H,7,FALSE),VLOOKUP("other",bug_conf_sheet!$A:$H,7,FALSE))</f>
        <v>0</v>
      </c>
      <c r="S138" s="31">
        <f>IFERROR(VLOOKUP($D138,bug_conf_sheet!$A:$H,8,FALSE),VLOOKUP("other",bug_conf_sheet!$A:$H,8,FALSE))</f>
        <v>1</v>
      </c>
    </row>
    <row r="139" spans="1:19" ht="21" customHeight="1">
      <c r="A139" s="2">
        <f>input_6!A$2</f>
        <v>3126</v>
      </c>
      <c r="B139" s="7" t="str">
        <f t="shared" si="7"/>
        <v>PremiumSS5</v>
      </c>
      <c r="C139" s="7" t="str">
        <f t="shared" si="8"/>
        <v>PremiumSS</v>
      </c>
      <c r="D139" s="6">
        <v>321</v>
      </c>
      <c r="E139" s="7" t="str">
        <f>VLOOKUP(D139,[1]characters!$A:$C,3,FALSE)</f>
        <v>巌鉄の烈志士 近藤勇</v>
      </c>
      <c r="F139" s="7" t="str">
        <f>VLOOKUP(D139,[1]characters!$A:$J,10,FALSE)</f>
        <v>PremiumSS</v>
      </c>
      <c r="G139" s="7">
        <f>VLOOKUP(D139,[1]characters!$A:$I,9,FALSE)</f>
        <v>5</v>
      </c>
      <c r="H139" s="7" t="str">
        <f>VLOOKUP(D139,[1]characters!$A:$H,8,FALSE)</f>
        <v>red</v>
      </c>
      <c r="I139" s="7" t="str">
        <f>VLOOKUP(D139,[1]characters!$A:$K,11,FALSE)</f>
        <v>hp</v>
      </c>
      <c r="J139" s="7" t="str">
        <f>VLOOKUP(D139,[1]characters!$A:$M,13,FALSE)</f>
        <v>human</v>
      </c>
      <c r="K139" s="7" t="str">
        <f>VLOOKUP(D139,[1]characters!$A:$G,7,FALSE)</f>
        <v>男性</v>
      </c>
      <c r="L139" s="66">
        <f>IFERROR(VLOOKUP(D139,input_6!L:R,7,FALSE),VLOOKUP(tables_6!B139,input_6!A:H,8,FALSE))</f>
        <v>2997</v>
      </c>
      <c r="M139" s="67">
        <f t="shared" si="6"/>
        <v>5.7692307692307691E-5</v>
      </c>
      <c r="N139" s="31">
        <f>IFERROR(VLOOKUP($D139,bug_conf_sheet!$A:$H,3,FALSE),VLOOKUP("other",bug_conf_sheet!$A:$H,3,FALSE))</f>
        <v>1</v>
      </c>
      <c r="O139" s="31">
        <f>IFERROR(VLOOKUP($D139,bug_conf_sheet!$A:$H,4,FALSE),VLOOKUP("other",bug_conf_sheet!$A:$H,4,FALSE))</f>
        <v>0</v>
      </c>
      <c r="P139" s="31">
        <f>IFERROR(VLOOKUP($D139,bug_conf_sheet!$A:$H,5,FALSE),VLOOKUP("other",bug_conf_sheet!$A:$H,5,FALSE))</f>
        <v>0</v>
      </c>
      <c r="Q139" s="31">
        <f>IFERROR(VLOOKUP($D139,bug_conf_sheet!$A:$H,6,FALSE),VLOOKUP("other",bug_conf_sheet!$A:$H,6,FALSE))</f>
        <v>0</v>
      </c>
      <c r="R139" s="31">
        <f>IFERROR(VLOOKUP($D139,bug_conf_sheet!$A:$H,7,FALSE),VLOOKUP("other",bug_conf_sheet!$A:$H,7,FALSE))</f>
        <v>0</v>
      </c>
      <c r="S139" s="31">
        <f>IFERROR(VLOOKUP($D139,bug_conf_sheet!$A:$H,8,FALSE),VLOOKUP("other",bug_conf_sheet!$A:$H,8,FALSE))</f>
        <v>1</v>
      </c>
    </row>
    <row r="140" spans="1:19" ht="21" customHeight="1">
      <c r="A140" s="2">
        <f>input_6!A$2</f>
        <v>3126</v>
      </c>
      <c r="B140" s="7" t="str">
        <f t="shared" si="7"/>
        <v>PremiumSS4</v>
      </c>
      <c r="C140" s="7" t="str">
        <f t="shared" si="8"/>
        <v>PremiumSS</v>
      </c>
      <c r="D140" s="6">
        <v>322</v>
      </c>
      <c r="E140" s="7" t="str">
        <f>VLOOKUP(D140,[1]characters!$A:$C,3,FALSE)</f>
        <v>愛志士 土方歳三</v>
      </c>
      <c r="F140" s="7" t="str">
        <f>VLOOKUP(D140,[1]characters!$A:$J,10,FALSE)</f>
        <v>PremiumSS</v>
      </c>
      <c r="G140" s="7">
        <f>VLOOKUP(D140,[1]characters!$A:$I,9,FALSE)</f>
        <v>4</v>
      </c>
      <c r="H140" s="7" t="str">
        <f>VLOOKUP(D140,[1]characters!$A:$H,8,FALSE)</f>
        <v>green</v>
      </c>
      <c r="I140" s="7" t="str">
        <f>VLOOKUP(D140,[1]characters!$A:$K,11,FALSE)</f>
        <v>attack</v>
      </c>
      <c r="J140" s="7" t="str">
        <f>VLOOKUP(D140,[1]characters!$A:$M,13,FALSE)</f>
        <v>human</v>
      </c>
      <c r="K140" s="7" t="str">
        <f>VLOOKUP(D140,[1]characters!$A:$G,7,FALSE)</f>
        <v>女性</v>
      </c>
      <c r="L140" s="66">
        <f>IFERROR(VLOOKUP(D140,input_6!L:R,7,FALSE),VLOOKUP(tables_6!B140,input_6!A:H,8,FALSE))</f>
        <v>56943</v>
      </c>
      <c r="M140" s="67">
        <f t="shared" si="6"/>
        <v>1.0961538461538461E-3</v>
      </c>
      <c r="N140" s="31">
        <f>IFERROR(VLOOKUP($D140,bug_conf_sheet!$A:$H,3,FALSE),VLOOKUP("other",bug_conf_sheet!$A:$H,3,FALSE))</f>
        <v>1</v>
      </c>
      <c r="O140" s="31">
        <f>IFERROR(VLOOKUP($D140,bug_conf_sheet!$A:$H,4,FALSE),VLOOKUP("other",bug_conf_sheet!$A:$H,4,FALSE))</f>
        <v>0</v>
      </c>
      <c r="P140" s="31">
        <f>IFERROR(VLOOKUP($D140,bug_conf_sheet!$A:$H,5,FALSE),VLOOKUP("other",bug_conf_sheet!$A:$H,5,FALSE))</f>
        <v>0</v>
      </c>
      <c r="Q140" s="31">
        <f>IFERROR(VLOOKUP($D140,bug_conf_sheet!$A:$H,6,FALSE),VLOOKUP("other",bug_conf_sheet!$A:$H,6,FALSE))</f>
        <v>0</v>
      </c>
      <c r="R140" s="31">
        <f>IFERROR(VLOOKUP($D140,bug_conf_sheet!$A:$H,7,FALSE),VLOOKUP("other",bug_conf_sheet!$A:$H,7,FALSE))</f>
        <v>0</v>
      </c>
      <c r="S140" s="31">
        <f>IFERROR(VLOOKUP($D140,bug_conf_sheet!$A:$H,8,FALSE),VLOOKUP("other",bug_conf_sheet!$A:$H,8,FALSE))</f>
        <v>1</v>
      </c>
    </row>
    <row r="141" spans="1:19" ht="21" customHeight="1">
      <c r="A141" s="2">
        <f>input_6!A$2</f>
        <v>3126</v>
      </c>
      <c r="B141" s="7" t="str">
        <f t="shared" si="7"/>
        <v>PremiumSS5</v>
      </c>
      <c r="C141" s="7" t="str">
        <f t="shared" si="8"/>
        <v>PremiumSS</v>
      </c>
      <c r="D141" s="6">
        <v>323</v>
      </c>
      <c r="E141" s="7" t="str">
        <f>VLOOKUP(D141,[1]characters!$A:$C,3,FALSE)</f>
        <v>流麗の愛志士 土方歳三</v>
      </c>
      <c r="F141" s="7" t="str">
        <f>VLOOKUP(D141,[1]characters!$A:$J,10,FALSE)</f>
        <v>PremiumSS</v>
      </c>
      <c r="G141" s="7">
        <f>VLOOKUP(D141,[1]characters!$A:$I,9,FALSE)</f>
        <v>5</v>
      </c>
      <c r="H141" s="7" t="str">
        <f>VLOOKUP(D141,[1]characters!$A:$H,8,FALSE)</f>
        <v>green</v>
      </c>
      <c r="I141" s="7" t="str">
        <f>VLOOKUP(D141,[1]characters!$A:$K,11,FALSE)</f>
        <v>attack</v>
      </c>
      <c r="J141" s="7" t="str">
        <f>VLOOKUP(D141,[1]characters!$A:$M,13,FALSE)</f>
        <v>human</v>
      </c>
      <c r="K141" s="7" t="str">
        <f>VLOOKUP(D141,[1]characters!$A:$G,7,FALSE)</f>
        <v>女性</v>
      </c>
      <c r="L141" s="66">
        <f>IFERROR(VLOOKUP(D141,input_6!L:R,7,FALSE),VLOOKUP(tables_6!B141,input_6!A:H,8,FALSE))</f>
        <v>2997</v>
      </c>
      <c r="M141" s="67">
        <f t="shared" si="6"/>
        <v>5.7692307692307691E-5</v>
      </c>
      <c r="N141" s="31">
        <f>IFERROR(VLOOKUP($D141,bug_conf_sheet!$A:$H,3,FALSE),VLOOKUP("other",bug_conf_sheet!$A:$H,3,FALSE))</f>
        <v>1</v>
      </c>
      <c r="O141" s="31">
        <f>IFERROR(VLOOKUP($D141,bug_conf_sheet!$A:$H,4,FALSE),VLOOKUP("other",bug_conf_sheet!$A:$H,4,FALSE))</f>
        <v>0</v>
      </c>
      <c r="P141" s="31">
        <f>IFERROR(VLOOKUP($D141,bug_conf_sheet!$A:$H,5,FALSE),VLOOKUP("other",bug_conf_sheet!$A:$H,5,FALSE))</f>
        <v>0</v>
      </c>
      <c r="Q141" s="31">
        <f>IFERROR(VLOOKUP($D141,bug_conf_sheet!$A:$H,6,FALSE),VLOOKUP("other",bug_conf_sheet!$A:$H,6,FALSE))</f>
        <v>0</v>
      </c>
      <c r="R141" s="31">
        <f>IFERROR(VLOOKUP($D141,bug_conf_sheet!$A:$H,7,FALSE),VLOOKUP("other",bug_conf_sheet!$A:$H,7,FALSE))</f>
        <v>0</v>
      </c>
      <c r="S141" s="31">
        <f>IFERROR(VLOOKUP($D141,bug_conf_sheet!$A:$H,8,FALSE),VLOOKUP("other",bug_conf_sheet!$A:$H,8,FALSE))</f>
        <v>1</v>
      </c>
    </row>
    <row r="142" spans="1:19" ht="21" customHeight="1">
      <c r="A142" s="2">
        <f>input_6!A$2</f>
        <v>3126</v>
      </c>
      <c r="B142" s="7" t="str">
        <f t="shared" si="7"/>
        <v>PremiumSS4</v>
      </c>
      <c r="C142" s="7" t="str">
        <f t="shared" si="8"/>
        <v>PremiumSS</v>
      </c>
      <c r="D142" s="6">
        <v>324</v>
      </c>
      <c r="E142" s="7" t="str">
        <f>VLOOKUP(D142,[1]characters!$A:$C,3,FALSE)</f>
        <v>凛志士 沖田総司</v>
      </c>
      <c r="F142" s="7" t="str">
        <f>VLOOKUP(D142,[1]characters!$A:$J,10,FALSE)</f>
        <v>PremiumSS</v>
      </c>
      <c r="G142" s="7">
        <f>VLOOKUP(D142,[1]characters!$A:$I,9,FALSE)</f>
        <v>4</v>
      </c>
      <c r="H142" s="7" t="str">
        <f>VLOOKUP(D142,[1]characters!$A:$H,8,FALSE)</f>
        <v>blue</v>
      </c>
      <c r="I142" s="7" t="str">
        <f>VLOOKUP(D142,[1]characters!$A:$K,11,FALSE)</f>
        <v>balance</v>
      </c>
      <c r="J142" s="7" t="str">
        <f>VLOOKUP(D142,[1]characters!$A:$M,13,FALSE)</f>
        <v>human</v>
      </c>
      <c r="K142" s="7" t="str">
        <f>VLOOKUP(D142,[1]characters!$A:$G,7,FALSE)</f>
        <v>女性</v>
      </c>
      <c r="L142" s="66">
        <f>IFERROR(VLOOKUP(D142,input_6!L:R,7,FALSE),VLOOKUP(tables_6!B142,input_6!A:H,8,FALSE))</f>
        <v>56943</v>
      </c>
      <c r="M142" s="67">
        <f t="shared" si="6"/>
        <v>1.0961538461538461E-3</v>
      </c>
      <c r="N142" s="31">
        <f>IFERROR(VLOOKUP($D142,bug_conf_sheet!$A:$H,3,FALSE),VLOOKUP("other",bug_conf_sheet!$A:$H,3,FALSE))</f>
        <v>1</v>
      </c>
      <c r="O142" s="31">
        <f>IFERROR(VLOOKUP($D142,bug_conf_sheet!$A:$H,4,FALSE),VLOOKUP("other",bug_conf_sheet!$A:$H,4,FALSE))</f>
        <v>0</v>
      </c>
      <c r="P142" s="31">
        <f>IFERROR(VLOOKUP($D142,bug_conf_sheet!$A:$H,5,FALSE),VLOOKUP("other",bug_conf_sheet!$A:$H,5,FALSE))</f>
        <v>0</v>
      </c>
      <c r="Q142" s="31">
        <f>IFERROR(VLOOKUP($D142,bug_conf_sheet!$A:$H,6,FALSE),VLOOKUP("other",bug_conf_sheet!$A:$H,6,FALSE))</f>
        <v>0</v>
      </c>
      <c r="R142" s="31">
        <f>IFERROR(VLOOKUP($D142,bug_conf_sheet!$A:$H,7,FALSE),VLOOKUP("other",bug_conf_sheet!$A:$H,7,FALSE))</f>
        <v>0</v>
      </c>
      <c r="S142" s="31">
        <f>IFERROR(VLOOKUP($D142,bug_conf_sheet!$A:$H,8,FALSE),VLOOKUP("other",bug_conf_sheet!$A:$H,8,FALSE))</f>
        <v>1</v>
      </c>
    </row>
    <row r="143" spans="1:19" s="12" customFormat="1" ht="21" customHeight="1" thickBot="1">
      <c r="A143" s="2">
        <f>input_6!A$2</f>
        <v>3126</v>
      </c>
      <c r="B143" s="7" t="str">
        <f t="shared" si="7"/>
        <v>PremiumSS5</v>
      </c>
      <c r="C143" s="7" t="str">
        <f t="shared" si="8"/>
        <v>PremiumSS</v>
      </c>
      <c r="D143" s="6">
        <v>325</v>
      </c>
      <c r="E143" s="7" t="str">
        <f>VLOOKUP(D143,[1]characters!$A:$C,3,FALSE)</f>
        <v>天賦の凛志士 沖田総司</v>
      </c>
      <c r="F143" s="7" t="str">
        <f>VLOOKUP(D143,[1]characters!$A:$J,10,FALSE)</f>
        <v>PremiumSS</v>
      </c>
      <c r="G143" s="7">
        <f>VLOOKUP(D143,[1]characters!$A:$I,9,FALSE)</f>
        <v>5</v>
      </c>
      <c r="H143" s="7" t="str">
        <f>VLOOKUP(D143,[1]characters!$A:$H,8,FALSE)</f>
        <v>blue</v>
      </c>
      <c r="I143" s="7" t="str">
        <f>VLOOKUP(D143,[1]characters!$A:$K,11,FALSE)</f>
        <v>balance</v>
      </c>
      <c r="J143" s="7" t="str">
        <f>VLOOKUP(D143,[1]characters!$A:$M,13,FALSE)</f>
        <v>human</v>
      </c>
      <c r="K143" s="7" t="str">
        <f>VLOOKUP(D143,[1]characters!$A:$G,7,FALSE)</f>
        <v>女性</v>
      </c>
      <c r="L143" s="66">
        <f>IFERROR(VLOOKUP(D143,input_6!L:R,7,FALSE),VLOOKUP(tables_6!B143,input_6!A:H,8,FALSE))</f>
        <v>2997</v>
      </c>
      <c r="M143" s="67">
        <f t="shared" si="6"/>
        <v>5.7692307692307691E-5</v>
      </c>
      <c r="N143" s="31">
        <f>IFERROR(VLOOKUP($D143,bug_conf_sheet!$A:$H,3,FALSE),VLOOKUP("other",bug_conf_sheet!$A:$H,3,FALSE))</f>
        <v>1</v>
      </c>
      <c r="O143" s="31">
        <f>IFERROR(VLOOKUP($D143,bug_conf_sheet!$A:$H,4,FALSE),VLOOKUP("other",bug_conf_sheet!$A:$H,4,FALSE))</f>
        <v>0</v>
      </c>
      <c r="P143" s="31">
        <f>IFERROR(VLOOKUP($D143,bug_conf_sheet!$A:$H,5,FALSE),VLOOKUP("other",bug_conf_sheet!$A:$H,5,FALSE))</f>
        <v>0</v>
      </c>
      <c r="Q143" s="31">
        <f>IFERROR(VLOOKUP($D143,bug_conf_sheet!$A:$H,6,FALSE),VLOOKUP("other",bug_conf_sheet!$A:$H,6,FALSE))</f>
        <v>0</v>
      </c>
      <c r="R143" s="31">
        <f>IFERROR(VLOOKUP($D143,bug_conf_sheet!$A:$H,7,FALSE),VLOOKUP("other",bug_conf_sheet!$A:$H,7,FALSE))</f>
        <v>0</v>
      </c>
      <c r="S143" s="31">
        <f>IFERROR(VLOOKUP($D143,bug_conf_sheet!$A:$H,8,FALSE),VLOOKUP("other",bug_conf_sheet!$A:$H,8,FALSE))</f>
        <v>1</v>
      </c>
    </row>
    <row r="144" spans="1:19" ht="21" customHeight="1">
      <c r="A144" s="2">
        <f>input_6!A$2</f>
        <v>3126</v>
      </c>
      <c r="B144" s="7" t="str">
        <f t="shared" si="7"/>
        <v>PremiumSS4</v>
      </c>
      <c r="C144" s="7" t="str">
        <f t="shared" si="8"/>
        <v>PremiumSS</v>
      </c>
      <c r="D144" s="6">
        <v>326</v>
      </c>
      <c r="E144" s="7" t="str">
        <f>VLOOKUP(D144,[1]characters!$A:$C,3,FALSE)</f>
        <v>妖志士 斎藤一</v>
      </c>
      <c r="F144" s="7" t="str">
        <f>VLOOKUP(D144,[1]characters!$A:$J,10,FALSE)</f>
        <v>PremiumSS</v>
      </c>
      <c r="G144" s="7">
        <f>VLOOKUP(D144,[1]characters!$A:$I,9,FALSE)</f>
        <v>4</v>
      </c>
      <c r="H144" s="7" t="str">
        <f>VLOOKUP(D144,[1]characters!$A:$H,8,FALSE)</f>
        <v>yellow</v>
      </c>
      <c r="I144" s="7" t="str">
        <f>VLOOKUP(D144,[1]characters!$A:$K,11,FALSE)</f>
        <v>technical</v>
      </c>
      <c r="J144" s="7" t="str">
        <f>VLOOKUP(D144,[1]characters!$A:$M,13,FALSE)</f>
        <v>human</v>
      </c>
      <c r="K144" s="7" t="str">
        <f>VLOOKUP(D144,[1]characters!$A:$G,7,FALSE)</f>
        <v>女性</v>
      </c>
      <c r="L144" s="66">
        <f>IFERROR(VLOOKUP(D144,input_6!L:R,7,FALSE),VLOOKUP(tables_6!B144,input_6!A:H,8,FALSE))</f>
        <v>56943</v>
      </c>
      <c r="M144" s="67">
        <f t="shared" si="6"/>
        <v>1.0961538461538461E-3</v>
      </c>
      <c r="N144" s="31">
        <f>IFERROR(VLOOKUP($D144,bug_conf_sheet!$A:$H,3,FALSE),VLOOKUP("other",bug_conf_sheet!$A:$H,3,FALSE))</f>
        <v>1</v>
      </c>
      <c r="O144" s="31">
        <f>IFERROR(VLOOKUP($D144,bug_conf_sheet!$A:$H,4,FALSE),VLOOKUP("other",bug_conf_sheet!$A:$H,4,FALSE))</f>
        <v>0</v>
      </c>
      <c r="P144" s="31">
        <f>IFERROR(VLOOKUP($D144,bug_conf_sheet!$A:$H,5,FALSE),VLOOKUP("other",bug_conf_sheet!$A:$H,5,FALSE))</f>
        <v>0</v>
      </c>
      <c r="Q144" s="31">
        <f>IFERROR(VLOOKUP($D144,bug_conf_sheet!$A:$H,6,FALSE),VLOOKUP("other",bug_conf_sheet!$A:$H,6,FALSE))</f>
        <v>0</v>
      </c>
      <c r="R144" s="31">
        <f>IFERROR(VLOOKUP($D144,bug_conf_sheet!$A:$H,7,FALSE),VLOOKUP("other",bug_conf_sheet!$A:$H,7,FALSE))</f>
        <v>0</v>
      </c>
      <c r="S144" s="31">
        <f>IFERROR(VLOOKUP($D144,bug_conf_sheet!$A:$H,8,FALSE),VLOOKUP("other",bug_conf_sheet!$A:$H,8,FALSE))</f>
        <v>1</v>
      </c>
    </row>
    <row r="145" spans="1:19" ht="21" customHeight="1">
      <c r="A145" s="2">
        <f>input_6!A$2</f>
        <v>3126</v>
      </c>
      <c r="B145" s="7" t="str">
        <f t="shared" si="7"/>
        <v>PremiumSS5</v>
      </c>
      <c r="C145" s="7" t="str">
        <f t="shared" si="8"/>
        <v>PremiumSS</v>
      </c>
      <c r="D145" s="6">
        <v>327</v>
      </c>
      <c r="E145" s="7" t="str">
        <f>VLOOKUP(D145,[1]characters!$A:$C,3,FALSE)</f>
        <v>千殺の妖志士 斎藤一</v>
      </c>
      <c r="F145" s="7" t="str">
        <f>VLOOKUP(D145,[1]characters!$A:$J,10,FALSE)</f>
        <v>PremiumSS</v>
      </c>
      <c r="G145" s="7">
        <f>VLOOKUP(D145,[1]characters!$A:$I,9,FALSE)</f>
        <v>5</v>
      </c>
      <c r="H145" s="7" t="str">
        <f>VLOOKUP(D145,[1]characters!$A:$H,8,FALSE)</f>
        <v>yellow</v>
      </c>
      <c r="I145" s="7" t="str">
        <f>VLOOKUP(D145,[1]characters!$A:$K,11,FALSE)</f>
        <v>technical</v>
      </c>
      <c r="J145" s="7" t="str">
        <f>VLOOKUP(D145,[1]characters!$A:$M,13,FALSE)</f>
        <v>human</v>
      </c>
      <c r="K145" s="7" t="str">
        <f>VLOOKUP(D145,[1]characters!$A:$G,7,FALSE)</f>
        <v>女性</v>
      </c>
      <c r="L145" s="66">
        <f>IFERROR(VLOOKUP(D145,input_6!L:R,7,FALSE),VLOOKUP(tables_6!B145,input_6!A:H,8,FALSE))</f>
        <v>2997</v>
      </c>
      <c r="M145" s="67">
        <f t="shared" si="6"/>
        <v>5.7692307692307691E-5</v>
      </c>
      <c r="N145" s="31">
        <f>IFERROR(VLOOKUP($D145,bug_conf_sheet!$A:$H,3,FALSE),VLOOKUP("other",bug_conf_sheet!$A:$H,3,FALSE))</f>
        <v>1</v>
      </c>
      <c r="O145" s="31">
        <f>IFERROR(VLOOKUP($D145,bug_conf_sheet!$A:$H,4,FALSE),VLOOKUP("other",bug_conf_sheet!$A:$H,4,FALSE))</f>
        <v>0</v>
      </c>
      <c r="P145" s="31">
        <f>IFERROR(VLOOKUP($D145,bug_conf_sheet!$A:$H,5,FALSE),VLOOKUP("other",bug_conf_sheet!$A:$H,5,FALSE))</f>
        <v>0</v>
      </c>
      <c r="Q145" s="31">
        <f>IFERROR(VLOOKUP($D145,bug_conf_sheet!$A:$H,6,FALSE),VLOOKUP("other",bug_conf_sheet!$A:$H,6,FALSE))</f>
        <v>0</v>
      </c>
      <c r="R145" s="31">
        <f>IFERROR(VLOOKUP($D145,bug_conf_sheet!$A:$H,7,FALSE),VLOOKUP("other",bug_conf_sheet!$A:$H,7,FALSE))</f>
        <v>0</v>
      </c>
      <c r="S145" s="31">
        <f>IFERROR(VLOOKUP($D145,bug_conf_sheet!$A:$H,8,FALSE),VLOOKUP("other",bug_conf_sheet!$A:$H,8,FALSE))</f>
        <v>1</v>
      </c>
    </row>
    <row r="146" spans="1:19" ht="21" customHeight="1">
      <c r="A146" s="2">
        <f>input_6!A$2</f>
        <v>3126</v>
      </c>
      <c r="B146" s="7" t="str">
        <f t="shared" si="7"/>
        <v>Premium3</v>
      </c>
      <c r="C146" s="7" t="str">
        <f t="shared" si="8"/>
        <v>Premium</v>
      </c>
      <c r="D146" s="6">
        <v>380</v>
      </c>
      <c r="E146" s="7" t="str">
        <f>VLOOKUP(D146,[1]characters!$A:$C,3,FALSE)</f>
        <v>バハムート</v>
      </c>
      <c r="F146" s="7" t="str">
        <f>VLOOKUP(D146,[1]characters!$A:$J,10,FALSE)</f>
        <v>PremiumS</v>
      </c>
      <c r="G146" s="7">
        <f>VLOOKUP(D146,[1]characters!$A:$I,9,FALSE)</f>
        <v>3</v>
      </c>
      <c r="H146" s="7" t="str">
        <f>VLOOKUP(D146,[1]characters!$A:$H,8,FALSE)</f>
        <v>red</v>
      </c>
      <c r="I146" s="7" t="str">
        <f>VLOOKUP(D146,[1]characters!$A:$K,11,FALSE)</f>
        <v>technical</v>
      </c>
      <c r="J146" s="7" t="str">
        <f>VLOOKUP(D146,[1]characters!$A:$M,13,FALSE)</f>
        <v>dragon</v>
      </c>
      <c r="K146" s="7" t="str">
        <f>VLOOKUP(D146,[1]characters!$A:$G,7,FALSE)</f>
        <v>女性</v>
      </c>
      <c r="L146" s="66">
        <f>IFERROR(VLOOKUP(D146,input_6!L:R,7,FALSE),VLOOKUP(tables_6!B146,input_6!A:H,8,FALSE))</f>
        <v>0</v>
      </c>
      <c r="M146" s="67">
        <f t="shared" si="6"/>
        <v>0</v>
      </c>
      <c r="N146" s="31">
        <f>IFERROR(VLOOKUP($D146,bug_conf_sheet!$A:$H,3,FALSE),VLOOKUP("other",bug_conf_sheet!$A:$H,3,FALSE))</f>
        <v>1</v>
      </c>
      <c r="O146" s="31">
        <f>IFERROR(VLOOKUP($D146,bug_conf_sheet!$A:$H,4,FALSE),VLOOKUP("other",bug_conf_sheet!$A:$H,4,FALSE))</f>
        <v>0</v>
      </c>
      <c r="P146" s="31">
        <f>IFERROR(VLOOKUP($D146,bug_conf_sheet!$A:$H,5,FALSE),VLOOKUP("other",bug_conf_sheet!$A:$H,5,FALSE))</f>
        <v>0</v>
      </c>
      <c r="Q146" s="31">
        <f>IFERROR(VLOOKUP($D146,bug_conf_sheet!$A:$H,6,FALSE),VLOOKUP("other",bug_conf_sheet!$A:$H,6,FALSE))</f>
        <v>0</v>
      </c>
      <c r="R146" s="31">
        <f>IFERROR(VLOOKUP($D146,bug_conf_sheet!$A:$H,7,FALSE),VLOOKUP("other",bug_conf_sheet!$A:$H,7,FALSE))</f>
        <v>0</v>
      </c>
      <c r="S146" s="31">
        <f>IFERROR(VLOOKUP($D146,bug_conf_sheet!$A:$H,8,FALSE),VLOOKUP("other",bug_conf_sheet!$A:$H,8,FALSE))</f>
        <v>1</v>
      </c>
    </row>
    <row r="147" spans="1:19" ht="21" customHeight="1">
      <c r="A147" s="2">
        <f>input_6!A$2</f>
        <v>3126</v>
      </c>
      <c r="B147" s="7" t="str">
        <f t="shared" si="7"/>
        <v>Premium4</v>
      </c>
      <c r="C147" s="7" t="str">
        <f t="shared" si="8"/>
        <v>Premium</v>
      </c>
      <c r="D147" s="6">
        <v>381</v>
      </c>
      <c r="E147" s="7" t="str">
        <f>VLOOKUP(D147,[1]characters!$A:$C,3,FALSE)</f>
        <v>肉食の恋火 バハムート</v>
      </c>
      <c r="F147" s="7" t="str">
        <f>VLOOKUP(D147,[1]characters!$A:$J,10,FALSE)</f>
        <v>PremiumS</v>
      </c>
      <c r="G147" s="7">
        <f>VLOOKUP(D147,[1]characters!$A:$I,9,FALSE)</f>
        <v>4</v>
      </c>
      <c r="H147" s="7" t="str">
        <f>VLOOKUP(D147,[1]characters!$A:$H,8,FALSE)</f>
        <v>red</v>
      </c>
      <c r="I147" s="7" t="str">
        <f>VLOOKUP(D147,[1]characters!$A:$K,11,FALSE)</f>
        <v>technical</v>
      </c>
      <c r="J147" s="7" t="str">
        <f>VLOOKUP(D147,[1]characters!$A:$M,13,FALSE)</f>
        <v>dragon</v>
      </c>
      <c r="K147" s="7" t="str">
        <f>VLOOKUP(D147,[1]characters!$A:$G,7,FALSE)</f>
        <v>女性</v>
      </c>
      <c r="L147" s="66">
        <f>IFERROR(VLOOKUP(D147,input_6!L:R,7,FALSE),VLOOKUP(tables_6!B147,input_6!A:H,8,FALSE))</f>
        <v>646893</v>
      </c>
      <c r="M147" s="67">
        <f t="shared" si="6"/>
        <v>1.2452702702702703E-2</v>
      </c>
      <c r="N147" s="31">
        <f>IFERROR(VLOOKUP($D147,bug_conf_sheet!$A:$H,3,FALSE),VLOOKUP("other",bug_conf_sheet!$A:$H,3,FALSE))</f>
        <v>1</v>
      </c>
      <c r="O147" s="31">
        <f>IFERROR(VLOOKUP($D147,bug_conf_sheet!$A:$H,4,FALSE),VLOOKUP("other",bug_conf_sheet!$A:$H,4,FALSE))</f>
        <v>0</v>
      </c>
      <c r="P147" s="31">
        <f>IFERROR(VLOOKUP($D147,bug_conf_sheet!$A:$H,5,FALSE),VLOOKUP("other",bug_conf_sheet!$A:$H,5,FALSE))</f>
        <v>0</v>
      </c>
      <c r="Q147" s="31">
        <f>IFERROR(VLOOKUP($D147,bug_conf_sheet!$A:$H,6,FALSE),VLOOKUP("other",bug_conf_sheet!$A:$H,6,FALSE))</f>
        <v>0</v>
      </c>
      <c r="R147" s="31">
        <f>IFERROR(VLOOKUP($D147,bug_conf_sheet!$A:$H,7,FALSE),VLOOKUP("other",bug_conf_sheet!$A:$H,7,FALSE))</f>
        <v>0</v>
      </c>
      <c r="S147" s="31">
        <f>IFERROR(VLOOKUP($D147,bug_conf_sheet!$A:$H,8,FALSE),VLOOKUP("other",bug_conf_sheet!$A:$H,8,FALSE))</f>
        <v>1</v>
      </c>
    </row>
    <row r="148" spans="1:19" ht="21" customHeight="1">
      <c r="A148" s="2">
        <f>input_6!A$2</f>
        <v>3126</v>
      </c>
      <c r="B148" s="7" t="str">
        <f t="shared" si="7"/>
        <v>Premium5</v>
      </c>
      <c r="C148" s="7" t="str">
        <f t="shared" si="8"/>
        <v>Premium</v>
      </c>
      <c r="D148" s="6">
        <v>382</v>
      </c>
      <c r="E148" s="7" t="str">
        <f>VLOOKUP(D148,[1]characters!$A:$C,3,FALSE)</f>
        <v>激情の愛炎 バハムート</v>
      </c>
      <c r="F148" s="7" t="str">
        <f>VLOOKUP(D148,[1]characters!$A:$J,10,FALSE)</f>
        <v>PremiumS</v>
      </c>
      <c r="G148" s="7">
        <f>VLOOKUP(D148,[1]characters!$A:$I,9,FALSE)</f>
        <v>5</v>
      </c>
      <c r="H148" s="7" t="str">
        <f>VLOOKUP(D148,[1]characters!$A:$H,8,FALSE)</f>
        <v>red</v>
      </c>
      <c r="I148" s="7" t="str">
        <f>VLOOKUP(D148,[1]characters!$A:$K,11,FALSE)</f>
        <v>technical</v>
      </c>
      <c r="J148" s="7" t="str">
        <f>VLOOKUP(D148,[1]characters!$A:$M,13,FALSE)</f>
        <v>dragon</v>
      </c>
      <c r="K148" s="7" t="str">
        <f>VLOOKUP(D148,[1]characters!$A:$G,7,FALSE)</f>
        <v>女性</v>
      </c>
      <c r="L148" s="66">
        <f>IFERROR(VLOOKUP(D148,input_6!L:R,7,FALSE),VLOOKUP(tables_6!B148,input_6!A:H,8,FALSE))</f>
        <v>46657</v>
      </c>
      <c r="M148" s="67">
        <f t="shared" si="6"/>
        <v>8.9814814814814813E-4</v>
      </c>
      <c r="N148" s="31">
        <f>IFERROR(VLOOKUP($D148,bug_conf_sheet!$A:$H,3,FALSE),VLOOKUP("other",bug_conf_sheet!$A:$H,3,FALSE))</f>
        <v>1</v>
      </c>
      <c r="O148" s="31">
        <f>IFERROR(VLOOKUP($D148,bug_conf_sheet!$A:$H,4,FALSE),VLOOKUP("other",bug_conf_sheet!$A:$H,4,FALSE))</f>
        <v>0</v>
      </c>
      <c r="P148" s="31">
        <f>IFERROR(VLOOKUP($D148,bug_conf_sheet!$A:$H,5,FALSE),VLOOKUP("other",bug_conf_sheet!$A:$H,5,FALSE))</f>
        <v>0</v>
      </c>
      <c r="Q148" s="31">
        <f>IFERROR(VLOOKUP($D148,bug_conf_sheet!$A:$H,6,FALSE),VLOOKUP("other",bug_conf_sheet!$A:$H,6,FALSE))</f>
        <v>0</v>
      </c>
      <c r="R148" s="31">
        <f>IFERROR(VLOOKUP($D148,bug_conf_sheet!$A:$H,7,FALSE),VLOOKUP("other",bug_conf_sheet!$A:$H,7,FALSE))</f>
        <v>0</v>
      </c>
      <c r="S148" s="31">
        <f>IFERROR(VLOOKUP($D148,bug_conf_sheet!$A:$H,8,FALSE),VLOOKUP("other",bug_conf_sheet!$A:$H,8,FALSE))</f>
        <v>1</v>
      </c>
    </row>
    <row r="149" spans="1:19" ht="21" customHeight="1">
      <c r="A149" s="2">
        <f>input_6!A$2</f>
        <v>3126</v>
      </c>
      <c r="B149" s="7" t="str">
        <f t="shared" si="7"/>
        <v>PremiumSS4</v>
      </c>
      <c r="C149" s="7" t="str">
        <f t="shared" si="8"/>
        <v>PremiumSS</v>
      </c>
      <c r="D149" s="6">
        <v>383</v>
      </c>
      <c r="E149" s="7" t="str">
        <f>VLOOKUP(D149,[1]characters!$A:$C,3,FALSE)</f>
        <v>酒宴の蟒蛇 ヤマタノオロチ</v>
      </c>
      <c r="F149" s="7" t="str">
        <f>VLOOKUP(D149,[1]characters!$A:$J,10,FALSE)</f>
        <v>PremiumSS</v>
      </c>
      <c r="G149" s="7">
        <f>VLOOKUP(D149,[1]characters!$A:$I,9,FALSE)</f>
        <v>4</v>
      </c>
      <c r="H149" s="7" t="str">
        <f>VLOOKUP(D149,[1]characters!$A:$H,8,FALSE)</f>
        <v>green</v>
      </c>
      <c r="I149" s="7" t="str">
        <f>VLOOKUP(D149,[1]characters!$A:$K,11,FALSE)</f>
        <v>hp</v>
      </c>
      <c r="J149" s="7" t="str">
        <f>VLOOKUP(D149,[1]characters!$A:$M,13,FALSE)</f>
        <v>dragon</v>
      </c>
      <c r="K149" s="7" t="str">
        <f>VLOOKUP(D149,[1]characters!$A:$G,7,FALSE)</f>
        <v>女性</v>
      </c>
      <c r="L149" s="66">
        <f>IFERROR(VLOOKUP(D149,input_6!L:R,7,FALSE),VLOOKUP(tables_6!B149,input_6!A:H,8,FALSE))</f>
        <v>56943</v>
      </c>
      <c r="M149" s="67">
        <f t="shared" si="6"/>
        <v>1.0961538461538461E-3</v>
      </c>
      <c r="N149" s="31">
        <f>IFERROR(VLOOKUP($D149,bug_conf_sheet!$A:$H,3,FALSE),VLOOKUP("other",bug_conf_sheet!$A:$H,3,FALSE))</f>
        <v>1</v>
      </c>
      <c r="O149" s="31">
        <f>IFERROR(VLOOKUP($D149,bug_conf_sheet!$A:$H,4,FALSE),VLOOKUP("other",bug_conf_sheet!$A:$H,4,FALSE))</f>
        <v>0</v>
      </c>
      <c r="P149" s="31">
        <f>IFERROR(VLOOKUP($D149,bug_conf_sheet!$A:$H,5,FALSE),VLOOKUP("other",bug_conf_sheet!$A:$H,5,FALSE))</f>
        <v>0</v>
      </c>
      <c r="Q149" s="31">
        <f>IFERROR(VLOOKUP($D149,bug_conf_sheet!$A:$H,6,FALSE),VLOOKUP("other",bug_conf_sheet!$A:$H,6,FALSE))</f>
        <v>0</v>
      </c>
      <c r="R149" s="31">
        <f>IFERROR(VLOOKUP($D149,bug_conf_sheet!$A:$H,7,FALSE),VLOOKUP("other",bug_conf_sheet!$A:$H,7,FALSE))</f>
        <v>0</v>
      </c>
      <c r="S149" s="31">
        <f>IFERROR(VLOOKUP($D149,bug_conf_sheet!$A:$H,8,FALSE),VLOOKUP("other",bug_conf_sheet!$A:$H,8,FALSE))</f>
        <v>1</v>
      </c>
    </row>
    <row r="150" spans="1:19" ht="21" customHeight="1">
      <c r="A150" s="2">
        <f>input_6!A$2</f>
        <v>3126</v>
      </c>
      <c r="B150" s="7" t="str">
        <f t="shared" si="7"/>
        <v>PremiumSS5</v>
      </c>
      <c r="C150" s="7" t="str">
        <f t="shared" si="8"/>
        <v>PremiumSS</v>
      </c>
      <c r="D150" s="6">
        <v>384</v>
      </c>
      <c r="E150" s="7" t="str">
        <f>VLOOKUP(D150,[1]characters!$A:$C,3,FALSE)</f>
        <v>破国の呑龍 ヤマタノオロチ</v>
      </c>
      <c r="F150" s="7" t="str">
        <f>VLOOKUP(D150,[1]characters!$A:$J,10,FALSE)</f>
        <v>PremiumSS</v>
      </c>
      <c r="G150" s="7">
        <f>VLOOKUP(D150,[1]characters!$A:$I,9,FALSE)</f>
        <v>5</v>
      </c>
      <c r="H150" s="7" t="str">
        <f>VLOOKUP(D150,[1]characters!$A:$H,8,FALSE)</f>
        <v>green</v>
      </c>
      <c r="I150" s="7" t="str">
        <f>VLOOKUP(D150,[1]characters!$A:$K,11,FALSE)</f>
        <v>hp</v>
      </c>
      <c r="J150" s="7" t="str">
        <f>VLOOKUP(D150,[1]characters!$A:$M,13,FALSE)</f>
        <v>dragon</v>
      </c>
      <c r="K150" s="7" t="str">
        <f>VLOOKUP(D150,[1]characters!$A:$G,7,FALSE)</f>
        <v>女性</v>
      </c>
      <c r="L150" s="66">
        <f>IFERROR(VLOOKUP(D150,input_6!L:R,7,FALSE),VLOOKUP(tables_6!B150,input_6!A:H,8,FALSE))</f>
        <v>2997</v>
      </c>
      <c r="M150" s="67">
        <f t="shared" si="6"/>
        <v>5.7692307692307691E-5</v>
      </c>
      <c r="N150" s="31">
        <f>IFERROR(VLOOKUP($D150,bug_conf_sheet!$A:$H,3,FALSE),VLOOKUP("other",bug_conf_sheet!$A:$H,3,FALSE))</f>
        <v>1</v>
      </c>
      <c r="O150" s="31">
        <f>IFERROR(VLOOKUP($D150,bug_conf_sheet!$A:$H,4,FALSE),VLOOKUP("other",bug_conf_sheet!$A:$H,4,FALSE))</f>
        <v>0</v>
      </c>
      <c r="P150" s="31">
        <f>IFERROR(VLOOKUP($D150,bug_conf_sheet!$A:$H,5,FALSE),VLOOKUP("other",bug_conf_sheet!$A:$H,5,FALSE))</f>
        <v>0</v>
      </c>
      <c r="Q150" s="31">
        <f>IFERROR(VLOOKUP($D150,bug_conf_sheet!$A:$H,6,FALSE),VLOOKUP("other",bug_conf_sheet!$A:$H,6,FALSE))</f>
        <v>0</v>
      </c>
      <c r="R150" s="31">
        <f>IFERROR(VLOOKUP($D150,bug_conf_sheet!$A:$H,7,FALSE),VLOOKUP("other",bug_conf_sheet!$A:$H,7,FALSE))</f>
        <v>0</v>
      </c>
      <c r="S150" s="31">
        <f>IFERROR(VLOOKUP($D150,bug_conf_sheet!$A:$H,8,FALSE),VLOOKUP("other",bug_conf_sheet!$A:$H,8,FALSE))</f>
        <v>1</v>
      </c>
    </row>
    <row r="151" spans="1:19" ht="21" customHeight="1">
      <c r="A151" s="2">
        <f>input_6!A$2</f>
        <v>3126</v>
      </c>
      <c r="B151" s="7" t="str">
        <f t="shared" si="7"/>
        <v>PremiumSS4</v>
      </c>
      <c r="C151" s="7" t="str">
        <f t="shared" si="8"/>
        <v>PremiumSS</v>
      </c>
      <c r="D151" s="6">
        <v>385</v>
      </c>
      <c r="E151" s="7" t="str">
        <f>VLOOKUP(D151,[1]characters!$A:$C,3,FALSE)</f>
        <v>波烈の出奔 リヴァイアサン</v>
      </c>
      <c r="F151" s="7" t="str">
        <f>VLOOKUP(D151,[1]characters!$A:$J,10,FALSE)</f>
        <v>PremiumSS</v>
      </c>
      <c r="G151" s="7">
        <f>VLOOKUP(D151,[1]characters!$A:$I,9,FALSE)</f>
        <v>4</v>
      </c>
      <c r="H151" s="7" t="str">
        <f>VLOOKUP(D151,[1]characters!$A:$H,8,FALSE)</f>
        <v>blue</v>
      </c>
      <c r="I151" s="7" t="str">
        <f>VLOOKUP(D151,[1]characters!$A:$K,11,FALSE)</f>
        <v>balance</v>
      </c>
      <c r="J151" s="7" t="str">
        <f>VLOOKUP(D151,[1]characters!$A:$M,13,FALSE)</f>
        <v>dragon</v>
      </c>
      <c r="K151" s="7" t="str">
        <f>VLOOKUP(D151,[1]characters!$A:$G,7,FALSE)</f>
        <v>女性</v>
      </c>
      <c r="L151" s="66">
        <f>IFERROR(VLOOKUP(D151,input_6!L:R,7,FALSE),VLOOKUP(tables_6!B151,input_6!A:H,8,FALSE))</f>
        <v>56943</v>
      </c>
      <c r="M151" s="67">
        <f t="shared" si="6"/>
        <v>1.0961538461538461E-3</v>
      </c>
      <c r="N151" s="31">
        <f>IFERROR(VLOOKUP($D151,bug_conf_sheet!$A:$H,3,FALSE),VLOOKUP("other",bug_conf_sheet!$A:$H,3,FALSE))</f>
        <v>1</v>
      </c>
      <c r="O151" s="31">
        <f>IFERROR(VLOOKUP($D151,bug_conf_sheet!$A:$H,4,FALSE),VLOOKUP("other",bug_conf_sheet!$A:$H,4,FALSE))</f>
        <v>0</v>
      </c>
      <c r="P151" s="31">
        <f>IFERROR(VLOOKUP($D151,bug_conf_sheet!$A:$H,5,FALSE),VLOOKUP("other",bug_conf_sheet!$A:$H,5,FALSE))</f>
        <v>0</v>
      </c>
      <c r="Q151" s="31">
        <f>IFERROR(VLOOKUP($D151,bug_conf_sheet!$A:$H,6,FALSE),VLOOKUP("other",bug_conf_sheet!$A:$H,6,FALSE))</f>
        <v>0</v>
      </c>
      <c r="R151" s="31">
        <f>IFERROR(VLOOKUP($D151,bug_conf_sheet!$A:$H,7,FALSE),VLOOKUP("other",bug_conf_sheet!$A:$H,7,FALSE))</f>
        <v>0</v>
      </c>
      <c r="S151" s="31">
        <f>IFERROR(VLOOKUP($D151,bug_conf_sheet!$A:$H,8,FALSE),VLOOKUP("other",bug_conf_sheet!$A:$H,8,FALSE))</f>
        <v>1</v>
      </c>
    </row>
    <row r="152" spans="1:19" ht="21" customHeight="1">
      <c r="A152" s="2">
        <f>input_6!A$2</f>
        <v>3126</v>
      </c>
      <c r="B152" s="7" t="str">
        <f t="shared" si="7"/>
        <v>PremiumSS5</v>
      </c>
      <c r="C152" s="7" t="str">
        <f t="shared" si="8"/>
        <v>PremiumSS</v>
      </c>
      <c r="D152" s="6">
        <v>386</v>
      </c>
      <c r="E152" s="7" t="str">
        <f>VLOOKUP(D152,[1]characters!$A:$C,3,FALSE)</f>
        <v>氾乱の海龍 リヴァイアサン</v>
      </c>
      <c r="F152" s="7" t="str">
        <f>VLOOKUP(D152,[1]characters!$A:$J,10,FALSE)</f>
        <v>PremiumSS</v>
      </c>
      <c r="G152" s="7">
        <f>VLOOKUP(D152,[1]characters!$A:$I,9,FALSE)</f>
        <v>5</v>
      </c>
      <c r="H152" s="7" t="str">
        <f>VLOOKUP(D152,[1]characters!$A:$H,8,FALSE)</f>
        <v>blue</v>
      </c>
      <c r="I152" s="7" t="str">
        <f>VLOOKUP(D152,[1]characters!$A:$K,11,FALSE)</f>
        <v>balance</v>
      </c>
      <c r="J152" s="7" t="str">
        <f>VLOOKUP(D152,[1]characters!$A:$M,13,FALSE)</f>
        <v>dragon</v>
      </c>
      <c r="K152" s="7" t="str">
        <f>VLOOKUP(D152,[1]characters!$A:$G,7,FALSE)</f>
        <v>女性</v>
      </c>
      <c r="L152" s="66">
        <f>IFERROR(VLOOKUP(D152,input_6!L:R,7,FALSE),VLOOKUP(tables_6!B152,input_6!A:H,8,FALSE))</f>
        <v>2997</v>
      </c>
      <c r="M152" s="67">
        <f t="shared" si="6"/>
        <v>5.7692307692307691E-5</v>
      </c>
      <c r="N152" s="31">
        <f>IFERROR(VLOOKUP($D152,bug_conf_sheet!$A:$H,3,FALSE),VLOOKUP("other",bug_conf_sheet!$A:$H,3,FALSE))</f>
        <v>1</v>
      </c>
      <c r="O152" s="31">
        <f>IFERROR(VLOOKUP($D152,bug_conf_sheet!$A:$H,4,FALSE),VLOOKUP("other",bug_conf_sheet!$A:$H,4,FALSE))</f>
        <v>0</v>
      </c>
      <c r="P152" s="31">
        <f>IFERROR(VLOOKUP($D152,bug_conf_sheet!$A:$H,5,FALSE),VLOOKUP("other",bug_conf_sheet!$A:$H,5,FALSE))</f>
        <v>0</v>
      </c>
      <c r="Q152" s="31">
        <f>IFERROR(VLOOKUP($D152,bug_conf_sheet!$A:$H,6,FALSE),VLOOKUP("other",bug_conf_sheet!$A:$H,6,FALSE))</f>
        <v>0</v>
      </c>
      <c r="R152" s="31">
        <f>IFERROR(VLOOKUP($D152,bug_conf_sheet!$A:$H,7,FALSE),VLOOKUP("other",bug_conf_sheet!$A:$H,7,FALSE))</f>
        <v>0</v>
      </c>
      <c r="S152" s="31">
        <f>IFERROR(VLOOKUP($D152,bug_conf_sheet!$A:$H,8,FALSE),VLOOKUP("other",bug_conf_sheet!$A:$H,8,FALSE))</f>
        <v>1</v>
      </c>
    </row>
    <row r="153" spans="1:19" ht="21" customHeight="1">
      <c r="A153" s="2">
        <f>input_6!A$2</f>
        <v>3126</v>
      </c>
      <c r="B153" s="7" t="str">
        <f t="shared" si="7"/>
        <v>Premium3</v>
      </c>
      <c r="C153" s="7" t="str">
        <f t="shared" si="8"/>
        <v>Premium</v>
      </c>
      <c r="D153" s="6">
        <v>387</v>
      </c>
      <c r="E153" s="7" t="str">
        <f>VLOOKUP(D153,[1]characters!$A:$C,3,FALSE)</f>
        <v>スフィンクス</v>
      </c>
      <c r="F153" s="7" t="str">
        <f>VLOOKUP(D153,[1]characters!$A:$J,10,FALSE)</f>
        <v>PremiumS</v>
      </c>
      <c r="G153" s="7">
        <f>VLOOKUP(D153,[1]characters!$A:$I,9,FALSE)</f>
        <v>3</v>
      </c>
      <c r="H153" s="7" t="str">
        <f>VLOOKUP(D153,[1]characters!$A:$H,8,FALSE)</f>
        <v>yellow</v>
      </c>
      <c r="I153" s="7" t="str">
        <f>VLOOKUP(D153,[1]characters!$A:$K,11,FALSE)</f>
        <v>heal</v>
      </c>
      <c r="J153" s="7" t="str">
        <f>VLOOKUP(D153,[1]characters!$A:$M,13,FALSE)</f>
        <v>animal</v>
      </c>
      <c r="K153" s="7" t="str">
        <f>VLOOKUP(D153,[1]characters!$A:$G,7,FALSE)</f>
        <v>女性</v>
      </c>
      <c r="L153" s="66">
        <f>IFERROR(VLOOKUP(D153,input_6!L:R,7,FALSE),VLOOKUP(tables_6!B153,input_6!A:H,8,FALSE))</f>
        <v>0</v>
      </c>
      <c r="M153" s="67">
        <f t="shared" si="6"/>
        <v>0</v>
      </c>
      <c r="N153" s="31">
        <f>IFERROR(VLOOKUP($D153,bug_conf_sheet!$A:$H,3,FALSE),VLOOKUP("other",bug_conf_sheet!$A:$H,3,FALSE))</f>
        <v>1</v>
      </c>
      <c r="O153" s="31">
        <f>IFERROR(VLOOKUP($D153,bug_conf_sheet!$A:$H,4,FALSE),VLOOKUP("other",bug_conf_sheet!$A:$H,4,FALSE))</f>
        <v>0</v>
      </c>
      <c r="P153" s="31">
        <f>IFERROR(VLOOKUP($D153,bug_conf_sheet!$A:$H,5,FALSE),VLOOKUP("other",bug_conf_sheet!$A:$H,5,FALSE))</f>
        <v>0</v>
      </c>
      <c r="Q153" s="31">
        <f>IFERROR(VLOOKUP($D153,bug_conf_sheet!$A:$H,6,FALSE),VLOOKUP("other",bug_conf_sheet!$A:$H,6,FALSE))</f>
        <v>0</v>
      </c>
      <c r="R153" s="31">
        <f>IFERROR(VLOOKUP($D153,bug_conf_sheet!$A:$H,7,FALSE),VLOOKUP("other",bug_conf_sheet!$A:$H,7,FALSE))</f>
        <v>0</v>
      </c>
      <c r="S153" s="31">
        <f>IFERROR(VLOOKUP($D153,bug_conf_sheet!$A:$H,8,FALSE),VLOOKUP("other",bug_conf_sheet!$A:$H,8,FALSE))</f>
        <v>1</v>
      </c>
    </row>
    <row r="154" spans="1:19" ht="21" customHeight="1">
      <c r="A154" s="2">
        <f>input_6!A$2</f>
        <v>3126</v>
      </c>
      <c r="B154" s="7" t="str">
        <f t="shared" si="7"/>
        <v>Premium4</v>
      </c>
      <c r="C154" s="7" t="str">
        <f t="shared" si="8"/>
        <v>Premium</v>
      </c>
      <c r="D154" s="6">
        <v>388</v>
      </c>
      <c r="E154" s="7" t="str">
        <f>VLOOKUP(D154,[1]characters!$A:$C,3,FALSE)</f>
        <v>神円の恋姫 スフィンクス</v>
      </c>
      <c r="F154" s="7" t="str">
        <f>VLOOKUP(D154,[1]characters!$A:$J,10,FALSE)</f>
        <v>PremiumS</v>
      </c>
      <c r="G154" s="7">
        <f>VLOOKUP(D154,[1]characters!$A:$I,9,FALSE)</f>
        <v>4</v>
      </c>
      <c r="H154" s="7" t="str">
        <f>VLOOKUP(D154,[1]characters!$A:$H,8,FALSE)</f>
        <v>yellow</v>
      </c>
      <c r="I154" s="7" t="str">
        <f>VLOOKUP(D154,[1]characters!$A:$K,11,FALSE)</f>
        <v>heal</v>
      </c>
      <c r="J154" s="7" t="str">
        <f>VLOOKUP(D154,[1]characters!$A:$M,13,FALSE)</f>
        <v>animal</v>
      </c>
      <c r="K154" s="7" t="str">
        <f>VLOOKUP(D154,[1]characters!$A:$G,7,FALSE)</f>
        <v>女性</v>
      </c>
      <c r="L154" s="66">
        <f>IFERROR(VLOOKUP(D154,input_6!L:R,7,FALSE),VLOOKUP(tables_6!B154,input_6!A:H,8,FALSE))</f>
        <v>646893</v>
      </c>
      <c r="M154" s="67">
        <f t="shared" si="6"/>
        <v>1.2452702702702703E-2</v>
      </c>
      <c r="N154" s="31">
        <f>IFERROR(VLOOKUP($D154,bug_conf_sheet!$A:$H,3,FALSE),VLOOKUP("other",bug_conf_sheet!$A:$H,3,FALSE))</f>
        <v>1</v>
      </c>
      <c r="O154" s="31">
        <f>IFERROR(VLOOKUP($D154,bug_conf_sheet!$A:$H,4,FALSE),VLOOKUP("other",bug_conf_sheet!$A:$H,4,FALSE))</f>
        <v>0</v>
      </c>
      <c r="P154" s="31">
        <f>IFERROR(VLOOKUP($D154,bug_conf_sheet!$A:$H,5,FALSE),VLOOKUP("other",bug_conf_sheet!$A:$H,5,FALSE))</f>
        <v>0</v>
      </c>
      <c r="Q154" s="31">
        <f>IFERROR(VLOOKUP($D154,bug_conf_sheet!$A:$H,6,FALSE),VLOOKUP("other",bug_conf_sheet!$A:$H,6,FALSE))</f>
        <v>0</v>
      </c>
      <c r="R154" s="31">
        <f>IFERROR(VLOOKUP($D154,bug_conf_sheet!$A:$H,7,FALSE),VLOOKUP("other",bug_conf_sheet!$A:$H,7,FALSE))</f>
        <v>0</v>
      </c>
      <c r="S154" s="31">
        <f>IFERROR(VLOOKUP($D154,bug_conf_sheet!$A:$H,8,FALSE),VLOOKUP("other",bug_conf_sheet!$A:$H,8,FALSE))</f>
        <v>1</v>
      </c>
    </row>
    <row r="155" spans="1:19" ht="21" customHeight="1">
      <c r="A155" s="2">
        <f>input_6!A$2</f>
        <v>3126</v>
      </c>
      <c r="B155" s="7" t="str">
        <f t="shared" si="7"/>
        <v>Premium5</v>
      </c>
      <c r="C155" s="7" t="str">
        <f t="shared" si="8"/>
        <v>Premium</v>
      </c>
      <c r="D155" s="6">
        <v>389</v>
      </c>
      <c r="E155" s="7" t="str">
        <f>VLOOKUP(D155,[1]characters!$A:$C,3,FALSE)</f>
        <v>操神の愛姫 スフィンクス</v>
      </c>
      <c r="F155" s="7" t="str">
        <f>VLOOKUP(D155,[1]characters!$A:$J,10,FALSE)</f>
        <v>PremiumS</v>
      </c>
      <c r="G155" s="7">
        <f>VLOOKUP(D155,[1]characters!$A:$I,9,FALSE)</f>
        <v>5</v>
      </c>
      <c r="H155" s="7" t="str">
        <f>VLOOKUP(D155,[1]characters!$A:$H,8,FALSE)</f>
        <v>yellow</v>
      </c>
      <c r="I155" s="7" t="str">
        <f>VLOOKUP(D155,[1]characters!$A:$K,11,FALSE)</f>
        <v>heal</v>
      </c>
      <c r="J155" s="7" t="str">
        <f>VLOOKUP(D155,[1]characters!$A:$M,13,FALSE)</f>
        <v>animal</v>
      </c>
      <c r="K155" s="7" t="str">
        <f>VLOOKUP(D155,[1]characters!$A:$G,7,FALSE)</f>
        <v>女性</v>
      </c>
      <c r="L155" s="66">
        <f>IFERROR(VLOOKUP(D155,input_6!L:R,7,FALSE),VLOOKUP(tables_6!B155,input_6!A:H,8,FALSE))</f>
        <v>46657</v>
      </c>
      <c r="M155" s="67">
        <f t="shared" si="6"/>
        <v>8.9814814814814813E-4</v>
      </c>
      <c r="N155" s="31">
        <f>IFERROR(VLOOKUP($D155,bug_conf_sheet!$A:$H,3,FALSE),VLOOKUP("other",bug_conf_sheet!$A:$H,3,FALSE))</f>
        <v>1</v>
      </c>
      <c r="O155" s="31">
        <f>IFERROR(VLOOKUP($D155,bug_conf_sheet!$A:$H,4,FALSE),VLOOKUP("other",bug_conf_sheet!$A:$H,4,FALSE))</f>
        <v>0</v>
      </c>
      <c r="P155" s="31">
        <f>IFERROR(VLOOKUP($D155,bug_conf_sheet!$A:$H,5,FALSE),VLOOKUP("other",bug_conf_sheet!$A:$H,5,FALSE))</f>
        <v>0</v>
      </c>
      <c r="Q155" s="31">
        <f>IFERROR(VLOOKUP($D155,bug_conf_sheet!$A:$H,6,FALSE),VLOOKUP("other",bug_conf_sheet!$A:$H,6,FALSE))</f>
        <v>0</v>
      </c>
      <c r="R155" s="31">
        <f>IFERROR(VLOOKUP($D155,bug_conf_sheet!$A:$H,7,FALSE),VLOOKUP("other",bug_conf_sheet!$A:$H,7,FALSE))</f>
        <v>0</v>
      </c>
      <c r="S155" s="31">
        <f>IFERROR(VLOOKUP($D155,bug_conf_sheet!$A:$H,8,FALSE),VLOOKUP("other",bug_conf_sheet!$A:$H,8,FALSE))</f>
        <v>1</v>
      </c>
    </row>
    <row r="156" spans="1:19" ht="21" customHeight="1">
      <c r="A156" s="2">
        <f>input_6!A$2</f>
        <v>3126</v>
      </c>
      <c r="B156" s="7" t="str">
        <f t="shared" si="7"/>
        <v>PremiumSS4</v>
      </c>
      <c r="C156" s="7" t="str">
        <f t="shared" si="8"/>
        <v>PremiumSS</v>
      </c>
      <c r="D156" s="6">
        <v>390</v>
      </c>
      <c r="E156" s="7" t="str">
        <f>VLOOKUP(D156,[1]characters!$A:$C,3,FALSE)</f>
        <v>華環の旅客 親指姫</v>
      </c>
      <c r="F156" s="7" t="str">
        <f>VLOOKUP(D156,[1]characters!$A:$J,10,FALSE)</f>
        <v>PremiumSS</v>
      </c>
      <c r="G156" s="7">
        <f>VLOOKUP(D156,[1]characters!$A:$I,9,FALSE)</f>
        <v>4</v>
      </c>
      <c r="H156" s="7" t="str">
        <f>VLOOKUP(D156,[1]characters!$A:$H,8,FALSE)</f>
        <v>red</v>
      </c>
      <c r="I156" s="7" t="str">
        <f>VLOOKUP(D156,[1]characters!$A:$K,11,FALSE)</f>
        <v>heal</v>
      </c>
      <c r="J156" s="7" t="str">
        <f>VLOOKUP(D156,[1]characters!$A:$M,13,FALSE)</f>
        <v>human</v>
      </c>
      <c r="K156" s="7" t="str">
        <f>VLOOKUP(D156,[1]characters!$A:$G,7,FALSE)</f>
        <v>女性</v>
      </c>
      <c r="L156" s="66">
        <f>IFERROR(VLOOKUP(D156,input_6!L:R,7,FALSE),VLOOKUP(tables_6!B156,input_6!A:H,8,FALSE))</f>
        <v>56943</v>
      </c>
      <c r="M156" s="67">
        <f t="shared" si="6"/>
        <v>1.0961538461538461E-3</v>
      </c>
      <c r="N156" s="31">
        <f>IFERROR(VLOOKUP($D156,bug_conf_sheet!$A:$H,3,FALSE),VLOOKUP("other",bug_conf_sheet!$A:$H,3,FALSE))</f>
        <v>1</v>
      </c>
      <c r="O156" s="31">
        <f>IFERROR(VLOOKUP($D156,bug_conf_sheet!$A:$H,4,FALSE),VLOOKUP("other",bug_conf_sheet!$A:$H,4,FALSE))</f>
        <v>0</v>
      </c>
      <c r="P156" s="31">
        <f>IFERROR(VLOOKUP($D156,bug_conf_sheet!$A:$H,5,FALSE),VLOOKUP("other",bug_conf_sheet!$A:$H,5,FALSE))</f>
        <v>0</v>
      </c>
      <c r="Q156" s="31">
        <f>IFERROR(VLOOKUP($D156,bug_conf_sheet!$A:$H,6,FALSE),VLOOKUP("other",bug_conf_sheet!$A:$H,6,FALSE))</f>
        <v>0</v>
      </c>
      <c r="R156" s="31">
        <f>IFERROR(VLOOKUP($D156,bug_conf_sheet!$A:$H,7,FALSE),VLOOKUP("other",bug_conf_sheet!$A:$H,7,FALSE))</f>
        <v>0</v>
      </c>
      <c r="S156" s="31">
        <f>IFERROR(VLOOKUP($D156,bug_conf_sheet!$A:$H,8,FALSE),VLOOKUP("other",bug_conf_sheet!$A:$H,8,FALSE))</f>
        <v>1</v>
      </c>
    </row>
    <row r="157" spans="1:19" ht="21" customHeight="1">
      <c r="A157" s="2">
        <f>input_6!A$2</f>
        <v>3126</v>
      </c>
      <c r="B157" s="7" t="str">
        <f t="shared" si="7"/>
        <v>PremiumSS5</v>
      </c>
      <c r="C157" s="7" t="str">
        <f t="shared" si="8"/>
        <v>PremiumSS</v>
      </c>
      <c r="D157" s="6">
        <v>391</v>
      </c>
      <c r="E157" s="7" t="str">
        <f>VLOOKUP(D157,[1]characters!$A:$C,3,FALSE)</f>
        <v>燕翼の旅人 親指姫</v>
      </c>
      <c r="F157" s="7" t="str">
        <f>VLOOKUP(D157,[1]characters!$A:$J,10,FALSE)</f>
        <v>PremiumSS</v>
      </c>
      <c r="G157" s="7">
        <f>VLOOKUP(D157,[1]characters!$A:$I,9,FALSE)</f>
        <v>5</v>
      </c>
      <c r="H157" s="7" t="str">
        <f>VLOOKUP(D157,[1]characters!$A:$H,8,FALSE)</f>
        <v>red</v>
      </c>
      <c r="I157" s="7" t="str">
        <f>VLOOKUP(D157,[1]characters!$A:$K,11,FALSE)</f>
        <v>heal</v>
      </c>
      <c r="J157" s="7" t="str">
        <f>VLOOKUP(D157,[1]characters!$A:$M,13,FALSE)</f>
        <v>human</v>
      </c>
      <c r="K157" s="7" t="str">
        <f>VLOOKUP(D157,[1]characters!$A:$G,7,FALSE)</f>
        <v>女性</v>
      </c>
      <c r="L157" s="66">
        <f>IFERROR(VLOOKUP(D157,input_6!L:R,7,FALSE),VLOOKUP(tables_6!B157,input_6!A:H,8,FALSE))</f>
        <v>2997</v>
      </c>
      <c r="M157" s="67">
        <f t="shared" si="6"/>
        <v>5.7692307692307691E-5</v>
      </c>
      <c r="N157" s="31">
        <f>IFERROR(VLOOKUP($D157,bug_conf_sheet!$A:$H,3,FALSE),VLOOKUP("other",bug_conf_sheet!$A:$H,3,FALSE))</f>
        <v>1</v>
      </c>
      <c r="O157" s="31">
        <f>IFERROR(VLOOKUP($D157,bug_conf_sheet!$A:$H,4,FALSE),VLOOKUP("other",bug_conf_sheet!$A:$H,4,FALSE))</f>
        <v>0</v>
      </c>
      <c r="P157" s="31">
        <f>IFERROR(VLOOKUP($D157,bug_conf_sheet!$A:$H,5,FALSE),VLOOKUP("other",bug_conf_sheet!$A:$H,5,FALSE))</f>
        <v>0</v>
      </c>
      <c r="Q157" s="31">
        <f>IFERROR(VLOOKUP($D157,bug_conf_sheet!$A:$H,6,FALSE),VLOOKUP("other",bug_conf_sheet!$A:$H,6,FALSE))</f>
        <v>0</v>
      </c>
      <c r="R157" s="31">
        <f>IFERROR(VLOOKUP($D157,bug_conf_sheet!$A:$H,7,FALSE),VLOOKUP("other",bug_conf_sheet!$A:$H,7,FALSE))</f>
        <v>0</v>
      </c>
      <c r="S157" s="31">
        <f>IFERROR(VLOOKUP($D157,bug_conf_sheet!$A:$H,8,FALSE),VLOOKUP("other",bug_conf_sheet!$A:$H,8,FALSE))</f>
        <v>1</v>
      </c>
    </row>
    <row r="158" spans="1:19" ht="21" customHeight="1">
      <c r="A158" s="2">
        <f>input_6!A$2</f>
        <v>3126</v>
      </c>
      <c r="B158" s="7" t="str">
        <f t="shared" si="7"/>
        <v>Premium3</v>
      </c>
      <c r="C158" s="7" t="str">
        <f t="shared" si="8"/>
        <v>Premium</v>
      </c>
      <c r="D158" s="6">
        <v>392</v>
      </c>
      <c r="E158" s="7" t="str">
        <f>VLOOKUP(D158,[1]characters!$A:$C,3,FALSE)</f>
        <v>ピーターパン</v>
      </c>
      <c r="F158" s="7" t="str">
        <f>VLOOKUP(D158,[1]characters!$A:$J,10,FALSE)</f>
        <v>PremiumS</v>
      </c>
      <c r="G158" s="7">
        <f>VLOOKUP(D158,[1]characters!$A:$I,9,FALSE)</f>
        <v>3</v>
      </c>
      <c r="H158" s="7" t="str">
        <f>VLOOKUP(D158,[1]characters!$A:$H,8,FALSE)</f>
        <v>green</v>
      </c>
      <c r="I158" s="7" t="str">
        <f>VLOOKUP(D158,[1]characters!$A:$K,11,FALSE)</f>
        <v>attack</v>
      </c>
      <c r="J158" s="7" t="str">
        <f>VLOOKUP(D158,[1]characters!$A:$M,13,FALSE)</f>
        <v>human</v>
      </c>
      <c r="K158" s="7" t="str">
        <f>VLOOKUP(D158,[1]characters!$A:$G,7,FALSE)</f>
        <v>男性</v>
      </c>
      <c r="L158" s="66">
        <f>IFERROR(VLOOKUP(D158,input_6!L:R,7,FALSE),VLOOKUP(tables_6!B158,input_6!A:H,8,FALSE))</f>
        <v>0</v>
      </c>
      <c r="M158" s="67">
        <f t="shared" si="6"/>
        <v>0</v>
      </c>
      <c r="N158" s="31">
        <f>IFERROR(VLOOKUP($D158,bug_conf_sheet!$A:$H,3,FALSE),VLOOKUP("other",bug_conf_sheet!$A:$H,3,FALSE))</f>
        <v>1</v>
      </c>
      <c r="O158" s="31">
        <f>IFERROR(VLOOKUP($D158,bug_conf_sheet!$A:$H,4,FALSE),VLOOKUP("other",bug_conf_sheet!$A:$H,4,FALSE))</f>
        <v>0</v>
      </c>
      <c r="P158" s="31">
        <f>IFERROR(VLOOKUP($D158,bug_conf_sheet!$A:$H,5,FALSE),VLOOKUP("other",bug_conf_sheet!$A:$H,5,FALSE))</f>
        <v>0</v>
      </c>
      <c r="Q158" s="31">
        <f>IFERROR(VLOOKUP($D158,bug_conf_sheet!$A:$H,6,FALSE),VLOOKUP("other",bug_conf_sheet!$A:$H,6,FALSE))</f>
        <v>0</v>
      </c>
      <c r="R158" s="31">
        <f>IFERROR(VLOOKUP($D158,bug_conf_sheet!$A:$H,7,FALSE),VLOOKUP("other",bug_conf_sheet!$A:$H,7,FALSE))</f>
        <v>0</v>
      </c>
      <c r="S158" s="31">
        <f>IFERROR(VLOOKUP($D158,bug_conf_sheet!$A:$H,8,FALSE),VLOOKUP("other",bug_conf_sheet!$A:$H,8,FALSE))</f>
        <v>1</v>
      </c>
    </row>
    <row r="159" spans="1:19" ht="21" customHeight="1">
      <c r="A159" s="2">
        <f>input_6!A$2</f>
        <v>3126</v>
      </c>
      <c r="B159" s="7" t="str">
        <f t="shared" si="7"/>
        <v>Premium4</v>
      </c>
      <c r="C159" s="7" t="str">
        <f t="shared" si="8"/>
        <v>Premium</v>
      </c>
      <c r="D159" s="6">
        <v>393</v>
      </c>
      <c r="E159" s="7" t="str">
        <f>VLOOKUP(D159,[1]characters!$A:$C,3,FALSE)</f>
        <v>影縫い ピーターパン</v>
      </c>
      <c r="F159" s="7" t="str">
        <f>VLOOKUP(D159,[1]characters!$A:$J,10,FALSE)</f>
        <v>PremiumS</v>
      </c>
      <c r="G159" s="7">
        <f>VLOOKUP(D159,[1]characters!$A:$I,9,FALSE)</f>
        <v>4</v>
      </c>
      <c r="H159" s="7" t="str">
        <f>VLOOKUP(D159,[1]characters!$A:$H,8,FALSE)</f>
        <v>green</v>
      </c>
      <c r="I159" s="7" t="str">
        <f>VLOOKUP(D159,[1]characters!$A:$K,11,FALSE)</f>
        <v>attack</v>
      </c>
      <c r="J159" s="7" t="str">
        <f>VLOOKUP(D159,[1]characters!$A:$M,13,FALSE)</f>
        <v>human</v>
      </c>
      <c r="K159" s="7" t="str">
        <f>VLOOKUP(D159,[1]characters!$A:$G,7,FALSE)</f>
        <v>男性</v>
      </c>
      <c r="L159" s="66">
        <f>IFERROR(VLOOKUP(D159,input_6!L:R,7,FALSE),VLOOKUP(tables_6!B159,input_6!A:H,8,FALSE))</f>
        <v>646893</v>
      </c>
      <c r="M159" s="67">
        <f t="shared" si="6"/>
        <v>1.2452702702702703E-2</v>
      </c>
      <c r="N159" s="31">
        <f>IFERROR(VLOOKUP($D159,bug_conf_sheet!$A:$H,3,FALSE),VLOOKUP("other",bug_conf_sheet!$A:$H,3,FALSE))</f>
        <v>1</v>
      </c>
      <c r="O159" s="31">
        <f>IFERROR(VLOOKUP($D159,bug_conf_sheet!$A:$H,4,FALSE),VLOOKUP("other",bug_conf_sheet!$A:$H,4,FALSE))</f>
        <v>0</v>
      </c>
      <c r="P159" s="31">
        <f>IFERROR(VLOOKUP($D159,bug_conf_sheet!$A:$H,5,FALSE),VLOOKUP("other",bug_conf_sheet!$A:$H,5,FALSE))</f>
        <v>0</v>
      </c>
      <c r="Q159" s="31">
        <f>IFERROR(VLOOKUP($D159,bug_conf_sheet!$A:$H,6,FALSE),VLOOKUP("other",bug_conf_sheet!$A:$H,6,FALSE))</f>
        <v>0</v>
      </c>
      <c r="R159" s="31">
        <f>IFERROR(VLOOKUP($D159,bug_conf_sheet!$A:$H,7,FALSE),VLOOKUP("other",bug_conf_sheet!$A:$H,7,FALSE))</f>
        <v>0</v>
      </c>
      <c r="S159" s="31">
        <f>IFERROR(VLOOKUP($D159,bug_conf_sheet!$A:$H,8,FALSE),VLOOKUP("other",bug_conf_sheet!$A:$H,8,FALSE))</f>
        <v>1</v>
      </c>
    </row>
    <row r="160" spans="1:19" ht="21" customHeight="1">
      <c r="A160" s="2">
        <f>input_6!A$2</f>
        <v>3126</v>
      </c>
      <c r="B160" s="7" t="str">
        <f t="shared" si="7"/>
        <v>Premium5</v>
      </c>
      <c r="C160" s="7" t="str">
        <f t="shared" si="8"/>
        <v>Premium</v>
      </c>
      <c r="D160" s="6">
        <v>394</v>
      </c>
      <c r="E160" s="7" t="str">
        <f>VLOOKUP(D160,[1]characters!$A:$C,3,FALSE)</f>
        <v>影求の悪童 ピーターパン</v>
      </c>
      <c r="F160" s="7" t="str">
        <f>VLOOKUP(D160,[1]characters!$A:$J,10,FALSE)</f>
        <v>PremiumS</v>
      </c>
      <c r="G160" s="7">
        <f>VLOOKUP(D160,[1]characters!$A:$I,9,FALSE)</f>
        <v>5</v>
      </c>
      <c r="H160" s="7" t="str">
        <f>VLOOKUP(D160,[1]characters!$A:$H,8,FALSE)</f>
        <v>green</v>
      </c>
      <c r="I160" s="7" t="str">
        <f>VLOOKUP(D160,[1]characters!$A:$K,11,FALSE)</f>
        <v>attack</v>
      </c>
      <c r="J160" s="7" t="str">
        <f>VLOOKUP(D160,[1]characters!$A:$M,13,FALSE)</f>
        <v>human</v>
      </c>
      <c r="K160" s="7" t="str">
        <f>VLOOKUP(D160,[1]characters!$A:$G,7,FALSE)</f>
        <v>男性</v>
      </c>
      <c r="L160" s="66">
        <f>IFERROR(VLOOKUP(D160,input_6!L:R,7,FALSE),VLOOKUP(tables_6!B160,input_6!A:H,8,FALSE))</f>
        <v>46657</v>
      </c>
      <c r="M160" s="67">
        <f t="shared" si="6"/>
        <v>8.9814814814814813E-4</v>
      </c>
      <c r="N160" s="31">
        <f>IFERROR(VLOOKUP($D160,bug_conf_sheet!$A:$H,3,FALSE),VLOOKUP("other",bug_conf_sheet!$A:$H,3,FALSE))</f>
        <v>1</v>
      </c>
      <c r="O160" s="31">
        <f>IFERROR(VLOOKUP($D160,bug_conf_sheet!$A:$H,4,FALSE),VLOOKUP("other",bug_conf_sheet!$A:$H,4,FALSE))</f>
        <v>0</v>
      </c>
      <c r="P160" s="31">
        <f>IFERROR(VLOOKUP($D160,bug_conf_sheet!$A:$H,5,FALSE),VLOOKUP("other",bug_conf_sheet!$A:$H,5,FALSE))</f>
        <v>0</v>
      </c>
      <c r="Q160" s="31">
        <f>IFERROR(VLOOKUP($D160,bug_conf_sheet!$A:$H,6,FALSE),VLOOKUP("other",bug_conf_sheet!$A:$H,6,FALSE))</f>
        <v>0</v>
      </c>
      <c r="R160" s="31">
        <f>IFERROR(VLOOKUP($D160,bug_conf_sheet!$A:$H,7,FALSE),VLOOKUP("other",bug_conf_sheet!$A:$H,7,FALSE))</f>
        <v>0</v>
      </c>
      <c r="S160" s="31">
        <f>IFERROR(VLOOKUP($D160,bug_conf_sheet!$A:$H,8,FALSE),VLOOKUP("other",bug_conf_sheet!$A:$H,8,FALSE))</f>
        <v>1</v>
      </c>
    </row>
    <row r="161" spans="1:19" ht="21" customHeight="1">
      <c r="A161" s="2">
        <f>input_6!A$2</f>
        <v>3126</v>
      </c>
      <c r="B161" s="7" t="str">
        <f t="shared" si="7"/>
        <v>Premium3</v>
      </c>
      <c r="C161" s="7" t="str">
        <f t="shared" si="8"/>
        <v>Premium</v>
      </c>
      <c r="D161" s="6">
        <v>395</v>
      </c>
      <c r="E161" s="7" t="str">
        <f>VLOOKUP(D161,[1]characters!$A:$C,3,FALSE)</f>
        <v>乙姫</v>
      </c>
      <c r="F161" s="7" t="str">
        <f>VLOOKUP(D161,[1]characters!$A:$J,10,FALSE)</f>
        <v>PremiumS</v>
      </c>
      <c r="G161" s="7">
        <f>VLOOKUP(D161,[1]characters!$A:$I,9,FALSE)</f>
        <v>3</v>
      </c>
      <c r="H161" s="7" t="str">
        <f>VLOOKUP(D161,[1]characters!$A:$H,8,FALSE)</f>
        <v>blue</v>
      </c>
      <c r="I161" s="7" t="str">
        <f>VLOOKUP(D161,[1]characters!$A:$K,11,FALSE)</f>
        <v>hp</v>
      </c>
      <c r="J161" s="7" t="str">
        <f>VLOOKUP(D161,[1]characters!$A:$M,13,FALSE)</f>
        <v>human</v>
      </c>
      <c r="K161" s="7" t="str">
        <f>VLOOKUP(D161,[1]characters!$A:$G,7,FALSE)</f>
        <v>女性</v>
      </c>
      <c r="L161" s="66">
        <f>IFERROR(VLOOKUP(D161,input_6!L:R,7,FALSE),VLOOKUP(tables_6!B161,input_6!A:H,8,FALSE))</f>
        <v>0</v>
      </c>
      <c r="M161" s="67">
        <f t="shared" si="6"/>
        <v>0</v>
      </c>
      <c r="N161" s="31">
        <f>IFERROR(VLOOKUP($D161,bug_conf_sheet!$A:$H,3,FALSE),VLOOKUP("other",bug_conf_sheet!$A:$H,3,FALSE))</f>
        <v>1</v>
      </c>
      <c r="O161" s="31">
        <f>IFERROR(VLOOKUP($D161,bug_conf_sheet!$A:$H,4,FALSE),VLOOKUP("other",bug_conf_sheet!$A:$H,4,FALSE))</f>
        <v>0</v>
      </c>
      <c r="P161" s="31">
        <f>IFERROR(VLOOKUP($D161,bug_conf_sheet!$A:$H,5,FALSE),VLOOKUP("other",bug_conf_sheet!$A:$H,5,FALSE))</f>
        <v>0</v>
      </c>
      <c r="Q161" s="31">
        <f>IFERROR(VLOOKUP($D161,bug_conf_sheet!$A:$H,6,FALSE),VLOOKUP("other",bug_conf_sheet!$A:$H,6,FALSE))</f>
        <v>0</v>
      </c>
      <c r="R161" s="31">
        <f>IFERROR(VLOOKUP($D161,bug_conf_sheet!$A:$H,7,FALSE),VLOOKUP("other",bug_conf_sheet!$A:$H,7,FALSE))</f>
        <v>0</v>
      </c>
      <c r="S161" s="31">
        <f>IFERROR(VLOOKUP($D161,bug_conf_sheet!$A:$H,8,FALSE),VLOOKUP("other",bug_conf_sheet!$A:$H,8,FALSE))</f>
        <v>1</v>
      </c>
    </row>
    <row r="162" spans="1:19" ht="21" customHeight="1">
      <c r="A162" s="2">
        <f>input_6!A$2</f>
        <v>3126</v>
      </c>
      <c r="B162" s="7" t="str">
        <f t="shared" si="7"/>
        <v>Premium4</v>
      </c>
      <c r="C162" s="7" t="str">
        <f t="shared" si="8"/>
        <v>Premium</v>
      </c>
      <c r="D162" s="6">
        <v>396</v>
      </c>
      <c r="E162" s="7" t="str">
        <f>VLOOKUP(D162,[1]characters!$A:$C,3,FALSE)</f>
        <v>竜宮の水雷 乙姫</v>
      </c>
      <c r="F162" s="7" t="str">
        <f>VLOOKUP(D162,[1]characters!$A:$J,10,FALSE)</f>
        <v>PremiumS</v>
      </c>
      <c r="G162" s="7">
        <f>VLOOKUP(D162,[1]characters!$A:$I,9,FALSE)</f>
        <v>4</v>
      </c>
      <c r="H162" s="7" t="str">
        <f>VLOOKUP(D162,[1]characters!$A:$H,8,FALSE)</f>
        <v>blue</v>
      </c>
      <c r="I162" s="7" t="str">
        <f>VLOOKUP(D162,[1]characters!$A:$K,11,FALSE)</f>
        <v>hp</v>
      </c>
      <c r="J162" s="7" t="str">
        <f>VLOOKUP(D162,[1]characters!$A:$M,13,FALSE)</f>
        <v>human</v>
      </c>
      <c r="K162" s="7" t="str">
        <f>VLOOKUP(D162,[1]characters!$A:$G,7,FALSE)</f>
        <v>女性</v>
      </c>
      <c r="L162" s="66">
        <f>IFERROR(VLOOKUP(D162,input_6!L:R,7,FALSE),VLOOKUP(tables_6!B162,input_6!A:H,8,FALSE))</f>
        <v>646893</v>
      </c>
      <c r="M162" s="67">
        <f t="shared" si="6"/>
        <v>1.2452702702702703E-2</v>
      </c>
      <c r="N162" s="31">
        <f>IFERROR(VLOOKUP($D162,bug_conf_sheet!$A:$H,3,FALSE),VLOOKUP("other",bug_conf_sheet!$A:$H,3,FALSE))</f>
        <v>1</v>
      </c>
      <c r="O162" s="31">
        <f>IFERROR(VLOOKUP($D162,bug_conf_sheet!$A:$H,4,FALSE),VLOOKUP("other",bug_conf_sheet!$A:$H,4,FALSE))</f>
        <v>0</v>
      </c>
      <c r="P162" s="31">
        <f>IFERROR(VLOOKUP($D162,bug_conf_sheet!$A:$H,5,FALSE),VLOOKUP("other",bug_conf_sheet!$A:$H,5,FALSE))</f>
        <v>0</v>
      </c>
      <c r="Q162" s="31">
        <f>IFERROR(VLOOKUP($D162,bug_conf_sheet!$A:$H,6,FALSE),VLOOKUP("other",bug_conf_sheet!$A:$H,6,FALSE))</f>
        <v>0</v>
      </c>
      <c r="R162" s="31">
        <f>IFERROR(VLOOKUP($D162,bug_conf_sheet!$A:$H,7,FALSE),VLOOKUP("other",bug_conf_sheet!$A:$H,7,FALSE))</f>
        <v>0</v>
      </c>
      <c r="S162" s="31">
        <f>IFERROR(VLOOKUP($D162,bug_conf_sheet!$A:$H,8,FALSE),VLOOKUP("other",bug_conf_sheet!$A:$H,8,FALSE))</f>
        <v>1</v>
      </c>
    </row>
    <row r="163" spans="1:19" ht="21" customHeight="1">
      <c r="A163" s="2">
        <f>input_6!A$2</f>
        <v>3126</v>
      </c>
      <c r="B163" s="7" t="str">
        <f t="shared" si="7"/>
        <v>Premium5</v>
      </c>
      <c r="C163" s="7" t="str">
        <f t="shared" si="8"/>
        <v>Premium</v>
      </c>
      <c r="D163" s="6">
        <v>397</v>
      </c>
      <c r="E163" s="7" t="str">
        <f>VLOOKUP(D163,[1]characters!$A:$C,3,FALSE)</f>
        <v>禁断の追箱 乙姫</v>
      </c>
      <c r="F163" s="7" t="str">
        <f>VLOOKUP(D163,[1]characters!$A:$J,10,FALSE)</f>
        <v>PremiumS</v>
      </c>
      <c r="G163" s="7">
        <f>VLOOKUP(D163,[1]characters!$A:$I,9,FALSE)</f>
        <v>5</v>
      </c>
      <c r="H163" s="7" t="str">
        <f>VLOOKUP(D163,[1]characters!$A:$H,8,FALSE)</f>
        <v>blue</v>
      </c>
      <c r="I163" s="7" t="str">
        <f>VLOOKUP(D163,[1]characters!$A:$K,11,FALSE)</f>
        <v>hp</v>
      </c>
      <c r="J163" s="7" t="str">
        <f>VLOOKUP(D163,[1]characters!$A:$M,13,FALSE)</f>
        <v>human</v>
      </c>
      <c r="K163" s="7" t="str">
        <f>VLOOKUP(D163,[1]characters!$A:$G,7,FALSE)</f>
        <v>女性</v>
      </c>
      <c r="L163" s="66">
        <f>IFERROR(VLOOKUP(D163,input_6!L:R,7,FALSE),VLOOKUP(tables_6!B163,input_6!A:H,8,FALSE))</f>
        <v>46657</v>
      </c>
      <c r="M163" s="67">
        <f t="shared" si="6"/>
        <v>8.9814814814814813E-4</v>
      </c>
      <c r="N163" s="31">
        <f>IFERROR(VLOOKUP($D163,bug_conf_sheet!$A:$H,3,FALSE),VLOOKUP("other",bug_conf_sheet!$A:$H,3,FALSE))</f>
        <v>1</v>
      </c>
      <c r="O163" s="31">
        <f>IFERROR(VLOOKUP($D163,bug_conf_sheet!$A:$H,4,FALSE),VLOOKUP("other",bug_conf_sheet!$A:$H,4,FALSE))</f>
        <v>0</v>
      </c>
      <c r="P163" s="31">
        <f>IFERROR(VLOOKUP($D163,bug_conf_sheet!$A:$H,5,FALSE),VLOOKUP("other",bug_conf_sheet!$A:$H,5,FALSE))</f>
        <v>0</v>
      </c>
      <c r="Q163" s="31">
        <f>IFERROR(VLOOKUP($D163,bug_conf_sheet!$A:$H,6,FALSE),VLOOKUP("other",bug_conf_sheet!$A:$H,6,FALSE))</f>
        <v>0</v>
      </c>
      <c r="R163" s="31">
        <f>IFERROR(VLOOKUP($D163,bug_conf_sheet!$A:$H,7,FALSE),VLOOKUP("other",bug_conf_sheet!$A:$H,7,FALSE))</f>
        <v>0</v>
      </c>
      <c r="S163" s="31">
        <f>IFERROR(VLOOKUP($D163,bug_conf_sheet!$A:$H,8,FALSE),VLOOKUP("other",bug_conf_sheet!$A:$H,8,FALSE))</f>
        <v>1</v>
      </c>
    </row>
    <row r="164" spans="1:19" ht="21" customHeight="1">
      <c r="A164" s="2">
        <f>input_6!A$2</f>
        <v>3126</v>
      </c>
      <c r="B164" s="7" t="str">
        <f t="shared" si="7"/>
        <v>PremiumSS4</v>
      </c>
      <c r="C164" s="7" t="str">
        <f t="shared" si="8"/>
        <v>PremiumSS</v>
      </c>
      <c r="D164" s="6">
        <v>398</v>
      </c>
      <c r="E164" s="7" t="str">
        <f>VLOOKUP(D164,[1]characters!$A:$C,3,FALSE)</f>
        <v>ヘンゼル＆グレーテル</v>
      </c>
      <c r="F164" s="7" t="str">
        <f>VLOOKUP(D164,[1]characters!$A:$J,10,FALSE)</f>
        <v>PremiumSS</v>
      </c>
      <c r="G164" s="7">
        <f>VLOOKUP(D164,[1]characters!$A:$I,9,FALSE)</f>
        <v>4</v>
      </c>
      <c r="H164" s="7" t="str">
        <f>VLOOKUP(D164,[1]characters!$A:$H,8,FALSE)</f>
        <v>yellow</v>
      </c>
      <c r="I164" s="7" t="str">
        <f>VLOOKUP(D164,[1]characters!$A:$K,11,FALSE)</f>
        <v>balance</v>
      </c>
      <c r="J164" s="7" t="str">
        <f>VLOOKUP(D164,[1]characters!$A:$M,13,FALSE)</f>
        <v>human</v>
      </c>
      <c r="K164" s="7" t="str">
        <f>VLOOKUP(D164,[1]characters!$A:$G,7,FALSE)</f>
        <v>女性</v>
      </c>
      <c r="L164" s="66">
        <f>IFERROR(VLOOKUP(D164,input_6!L:R,7,FALSE),VLOOKUP(tables_6!B164,input_6!A:H,8,FALSE))</f>
        <v>56943</v>
      </c>
      <c r="M164" s="67">
        <f t="shared" si="6"/>
        <v>1.0961538461538461E-3</v>
      </c>
      <c r="N164" s="31">
        <f>IFERROR(VLOOKUP($D164,bug_conf_sheet!$A:$H,3,FALSE),VLOOKUP("other",bug_conf_sheet!$A:$H,3,FALSE))</f>
        <v>1</v>
      </c>
      <c r="O164" s="31">
        <f>IFERROR(VLOOKUP($D164,bug_conf_sheet!$A:$H,4,FALSE),VLOOKUP("other",bug_conf_sheet!$A:$H,4,FALSE))</f>
        <v>0</v>
      </c>
      <c r="P164" s="31">
        <f>IFERROR(VLOOKUP($D164,bug_conf_sheet!$A:$H,5,FALSE),VLOOKUP("other",bug_conf_sheet!$A:$H,5,FALSE))</f>
        <v>0</v>
      </c>
      <c r="Q164" s="31">
        <f>IFERROR(VLOOKUP($D164,bug_conf_sheet!$A:$H,6,FALSE),VLOOKUP("other",bug_conf_sheet!$A:$H,6,FALSE))</f>
        <v>0</v>
      </c>
      <c r="R164" s="31">
        <f>IFERROR(VLOOKUP($D164,bug_conf_sheet!$A:$H,7,FALSE),VLOOKUP("other",bug_conf_sheet!$A:$H,7,FALSE))</f>
        <v>0</v>
      </c>
      <c r="S164" s="31">
        <f>IFERROR(VLOOKUP($D164,bug_conf_sheet!$A:$H,8,FALSE),VLOOKUP("other",bug_conf_sheet!$A:$H,8,FALSE))</f>
        <v>1</v>
      </c>
    </row>
    <row r="165" spans="1:19" ht="21" customHeight="1">
      <c r="A165" s="2">
        <f>input_6!A$2</f>
        <v>3126</v>
      </c>
      <c r="B165" s="7" t="str">
        <f t="shared" si="7"/>
        <v>PremiumSS5</v>
      </c>
      <c r="C165" s="7" t="str">
        <f t="shared" si="8"/>
        <v>PremiumSS</v>
      </c>
      <c r="D165" s="6">
        <v>399</v>
      </c>
      <c r="E165" s="7" t="str">
        <f>VLOOKUP(D165,[1]characters!$A:$C,3,FALSE)</f>
        <v>信愛の兄妹 ヘンゼル＆グレーテル</v>
      </c>
      <c r="F165" s="7" t="str">
        <f>VLOOKUP(D165,[1]characters!$A:$J,10,FALSE)</f>
        <v>PremiumSS</v>
      </c>
      <c r="G165" s="7">
        <f>VLOOKUP(D165,[1]characters!$A:$I,9,FALSE)</f>
        <v>5</v>
      </c>
      <c r="H165" s="7" t="str">
        <f>VLOOKUP(D165,[1]characters!$A:$H,8,FALSE)</f>
        <v>yellow</v>
      </c>
      <c r="I165" s="7" t="str">
        <f>VLOOKUP(D165,[1]characters!$A:$K,11,FALSE)</f>
        <v>balance</v>
      </c>
      <c r="J165" s="7" t="str">
        <f>VLOOKUP(D165,[1]characters!$A:$M,13,FALSE)</f>
        <v>human</v>
      </c>
      <c r="K165" s="7" t="str">
        <f>VLOOKUP(D165,[1]characters!$A:$G,7,FALSE)</f>
        <v>女性</v>
      </c>
      <c r="L165" s="66">
        <f>IFERROR(VLOOKUP(D165,input_6!L:R,7,FALSE),VLOOKUP(tables_6!B165,input_6!A:H,8,FALSE))</f>
        <v>2997</v>
      </c>
      <c r="M165" s="67">
        <f t="shared" si="6"/>
        <v>5.7692307692307691E-5</v>
      </c>
      <c r="N165" s="31">
        <f>IFERROR(VLOOKUP($D165,bug_conf_sheet!$A:$H,3,FALSE),VLOOKUP("other",bug_conf_sheet!$A:$H,3,FALSE))</f>
        <v>1</v>
      </c>
      <c r="O165" s="31">
        <f>IFERROR(VLOOKUP($D165,bug_conf_sheet!$A:$H,4,FALSE),VLOOKUP("other",bug_conf_sheet!$A:$H,4,FALSE))</f>
        <v>0</v>
      </c>
      <c r="P165" s="31">
        <f>IFERROR(VLOOKUP($D165,bug_conf_sheet!$A:$H,5,FALSE),VLOOKUP("other",bug_conf_sheet!$A:$H,5,FALSE))</f>
        <v>0</v>
      </c>
      <c r="Q165" s="31">
        <f>IFERROR(VLOOKUP($D165,bug_conf_sheet!$A:$H,6,FALSE),VLOOKUP("other",bug_conf_sheet!$A:$H,6,FALSE))</f>
        <v>0</v>
      </c>
      <c r="R165" s="31">
        <f>IFERROR(VLOOKUP($D165,bug_conf_sheet!$A:$H,7,FALSE),VLOOKUP("other",bug_conf_sheet!$A:$H,7,FALSE))</f>
        <v>0</v>
      </c>
      <c r="S165" s="31">
        <f>IFERROR(VLOOKUP($D165,bug_conf_sheet!$A:$H,8,FALSE),VLOOKUP("other",bug_conf_sheet!$A:$H,8,FALSE))</f>
        <v>1</v>
      </c>
    </row>
    <row r="166" spans="1:19" ht="21" customHeight="1">
      <c r="A166" s="2">
        <f>input_6!A$2</f>
        <v>3126</v>
      </c>
      <c r="B166" s="7" t="str">
        <f t="shared" si="7"/>
        <v>Premium3</v>
      </c>
      <c r="C166" s="7" t="str">
        <f t="shared" si="8"/>
        <v>Premium</v>
      </c>
      <c r="D166" s="6">
        <v>400</v>
      </c>
      <c r="E166" s="7" t="str">
        <f>VLOOKUP(D166,[1]characters!$A:$C,3,FALSE)</f>
        <v>フェンリル</v>
      </c>
      <c r="F166" s="7" t="str">
        <f>VLOOKUP(D166,[1]characters!$A:$J,10,FALSE)</f>
        <v>PremiumS</v>
      </c>
      <c r="G166" s="7">
        <f>VLOOKUP(D166,[1]characters!$A:$I,9,FALSE)</f>
        <v>3</v>
      </c>
      <c r="H166" s="7" t="str">
        <f>VLOOKUP(D166,[1]characters!$A:$H,8,FALSE)</f>
        <v>red</v>
      </c>
      <c r="I166" s="7" t="str">
        <f>VLOOKUP(D166,[1]characters!$A:$K,11,FALSE)</f>
        <v>attack</v>
      </c>
      <c r="J166" s="7" t="str">
        <f>VLOOKUP(D166,[1]characters!$A:$M,13,FALSE)</f>
        <v>animal</v>
      </c>
      <c r="K166" s="7" t="str">
        <f>VLOOKUP(D166,[1]characters!$A:$G,7,FALSE)</f>
        <v>女性</v>
      </c>
      <c r="L166" s="66">
        <f>IFERROR(VLOOKUP(D166,input_6!L:R,7,FALSE),VLOOKUP(tables_6!B166,input_6!A:H,8,FALSE))</f>
        <v>0</v>
      </c>
      <c r="M166" s="67">
        <f t="shared" si="6"/>
        <v>0</v>
      </c>
      <c r="N166" s="31">
        <f>IFERROR(VLOOKUP($D166,bug_conf_sheet!$A:$H,3,FALSE),VLOOKUP("other",bug_conf_sheet!$A:$H,3,FALSE))</f>
        <v>1</v>
      </c>
      <c r="O166" s="31">
        <f>IFERROR(VLOOKUP($D166,bug_conf_sheet!$A:$H,4,FALSE),VLOOKUP("other",bug_conf_sheet!$A:$H,4,FALSE))</f>
        <v>0</v>
      </c>
      <c r="P166" s="31">
        <f>IFERROR(VLOOKUP($D166,bug_conf_sheet!$A:$H,5,FALSE),VLOOKUP("other",bug_conf_sheet!$A:$H,5,FALSE))</f>
        <v>0</v>
      </c>
      <c r="Q166" s="31">
        <f>IFERROR(VLOOKUP($D166,bug_conf_sheet!$A:$H,6,FALSE),VLOOKUP("other",bug_conf_sheet!$A:$H,6,FALSE))</f>
        <v>0</v>
      </c>
      <c r="R166" s="31">
        <f>IFERROR(VLOOKUP($D166,bug_conf_sheet!$A:$H,7,FALSE),VLOOKUP("other",bug_conf_sheet!$A:$H,7,FALSE))</f>
        <v>0</v>
      </c>
      <c r="S166" s="31">
        <f>IFERROR(VLOOKUP($D166,bug_conf_sheet!$A:$H,8,FALSE),VLOOKUP("other",bug_conf_sheet!$A:$H,8,FALSE))</f>
        <v>1</v>
      </c>
    </row>
    <row r="167" spans="1:19" ht="21" customHeight="1">
      <c r="A167" s="2">
        <f>input_6!A$2</f>
        <v>3126</v>
      </c>
      <c r="B167" s="7" t="str">
        <f t="shared" si="7"/>
        <v>Premium4</v>
      </c>
      <c r="C167" s="7" t="str">
        <f t="shared" si="8"/>
        <v>Premium</v>
      </c>
      <c r="D167" s="6">
        <v>401</v>
      </c>
      <c r="E167" s="7" t="str">
        <f>VLOOKUP(D167,[1]characters!$A:$C,3,FALSE)</f>
        <v>紅銀の孤狼 フェンリル</v>
      </c>
      <c r="F167" s="7" t="str">
        <f>VLOOKUP(D167,[1]characters!$A:$J,10,FALSE)</f>
        <v>PremiumS</v>
      </c>
      <c r="G167" s="7">
        <f>VLOOKUP(D167,[1]characters!$A:$I,9,FALSE)</f>
        <v>4</v>
      </c>
      <c r="H167" s="7" t="str">
        <f>VLOOKUP(D167,[1]characters!$A:$H,8,FALSE)</f>
        <v>red</v>
      </c>
      <c r="I167" s="7" t="str">
        <f>VLOOKUP(D167,[1]characters!$A:$K,11,FALSE)</f>
        <v>attack</v>
      </c>
      <c r="J167" s="7" t="str">
        <f>VLOOKUP(D167,[1]characters!$A:$M,13,FALSE)</f>
        <v>animal</v>
      </c>
      <c r="K167" s="7" t="str">
        <f>VLOOKUP(D167,[1]characters!$A:$G,7,FALSE)</f>
        <v>女性</v>
      </c>
      <c r="L167" s="66">
        <f>IFERROR(VLOOKUP(D167,input_6!L:R,7,FALSE),VLOOKUP(tables_6!B167,input_6!A:H,8,FALSE))</f>
        <v>646893</v>
      </c>
      <c r="M167" s="67">
        <f t="shared" si="6"/>
        <v>1.2452702702702703E-2</v>
      </c>
      <c r="N167" s="31">
        <f>IFERROR(VLOOKUP($D167,bug_conf_sheet!$A:$H,3,FALSE),VLOOKUP("other",bug_conf_sheet!$A:$H,3,FALSE))</f>
        <v>1</v>
      </c>
      <c r="O167" s="31">
        <f>IFERROR(VLOOKUP($D167,bug_conf_sheet!$A:$H,4,FALSE),VLOOKUP("other",bug_conf_sheet!$A:$H,4,FALSE))</f>
        <v>0</v>
      </c>
      <c r="P167" s="31">
        <f>IFERROR(VLOOKUP($D167,bug_conf_sheet!$A:$H,5,FALSE),VLOOKUP("other",bug_conf_sheet!$A:$H,5,FALSE))</f>
        <v>0</v>
      </c>
      <c r="Q167" s="31">
        <f>IFERROR(VLOOKUP($D167,bug_conf_sheet!$A:$H,6,FALSE),VLOOKUP("other",bug_conf_sheet!$A:$H,6,FALSE))</f>
        <v>0</v>
      </c>
      <c r="R167" s="31">
        <f>IFERROR(VLOOKUP($D167,bug_conf_sheet!$A:$H,7,FALSE),VLOOKUP("other",bug_conf_sheet!$A:$H,7,FALSE))</f>
        <v>0</v>
      </c>
      <c r="S167" s="31">
        <f>IFERROR(VLOOKUP($D167,bug_conf_sheet!$A:$H,8,FALSE),VLOOKUP("other",bug_conf_sheet!$A:$H,8,FALSE))</f>
        <v>1</v>
      </c>
    </row>
    <row r="168" spans="1:19" ht="21" customHeight="1">
      <c r="A168" s="2">
        <f>input_6!A$2</f>
        <v>3126</v>
      </c>
      <c r="B168" s="7" t="str">
        <f t="shared" si="7"/>
        <v>Premium5</v>
      </c>
      <c r="C168" s="7" t="str">
        <f t="shared" si="8"/>
        <v>Premium</v>
      </c>
      <c r="D168" s="6">
        <v>402</v>
      </c>
      <c r="E168" s="7" t="str">
        <f>VLOOKUP(D168,[1]characters!$A:$C,3,FALSE)</f>
        <v>天災の神狼 フェンリル</v>
      </c>
      <c r="F168" s="7" t="str">
        <f>VLOOKUP(D168,[1]characters!$A:$J,10,FALSE)</f>
        <v>PremiumS</v>
      </c>
      <c r="G168" s="7">
        <f>VLOOKUP(D168,[1]characters!$A:$I,9,FALSE)</f>
        <v>5</v>
      </c>
      <c r="H168" s="7" t="str">
        <f>VLOOKUP(D168,[1]characters!$A:$H,8,FALSE)</f>
        <v>red</v>
      </c>
      <c r="I168" s="7" t="str">
        <f>VLOOKUP(D168,[1]characters!$A:$K,11,FALSE)</f>
        <v>attack</v>
      </c>
      <c r="J168" s="7" t="str">
        <f>VLOOKUP(D168,[1]characters!$A:$M,13,FALSE)</f>
        <v>animal</v>
      </c>
      <c r="K168" s="7" t="str">
        <f>VLOOKUP(D168,[1]characters!$A:$G,7,FALSE)</f>
        <v>女性</v>
      </c>
      <c r="L168" s="66">
        <f>IFERROR(VLOOKUP(D168,input_6!L:R,7,FALSE),VLOOKUP(tables_6!B168,input_6!A:H,8,FALSE))</f>
        <v>46657</v>
      </c>
      <c r="M168" s="67">
        <f t="shared" si="6"/>
        <v>8.9814814814814813E-4</v>
      </c>
      <c r="N168" s="31">
        <f>IFERROR(VLOOKUP($D168,bug_conf_sheet!$A:$H,3,FALSE),VLOOKUP("other",bug_conf_sheet!$A:$H,3,FALSE))</f>
        <v>1</v>
      </c>
      <c r="O168" s="31">
        <f>IFERROR(VLOOKUP($D168,bug_conf_sheet!$A:$H,4,FALSE),VLOOKUP("other",bug_conf_sheet!$A:$H,4,FALSE))</f>
        <v>0</v>
      </c>
      <c r="P168" s="31">
        <f>IFERROR(VLOOKUP($D168,bug_conf_sheet!$A:$H,5,FALSE),VLOOKUP("other",bug_conf_sheet!$A:$H,5,FALSE))</f>
        <v>0</v>
      </c>
      <c r="Q168" s="31">
        <f>IFERROR(VLOOKUP($D168,bug_conf_sheet!$A:$H,6,FALSE),VLOOKUP("other",bug_conf_sheet!$A:$H,6,FALSE))</f>
        <v>0</v>
      </c>
      <c r="R168" s="31">
        <f>IFERROR(VLOOKUP($D168,bug_conf_sheet!$A:$H,7,FALSE),VLOOKUP("other",bug_conf_sheet!$A:$H,7,FALSE))</f>
        <v>0</v>
      </c>
      <c r="S168" s="31">
        <f>IFERROR(VLOOKUP($D168,bug_conf_sheet!$A:$H,8,FALSE),VLOOKUP("other",bug_conf_sheet!$A:$H,8,FALSE))</f>
        <v>1</v>
      </c>
    </row>
    <row r="169" spans="1:19" ht="21" customHeight="1">
      <c r="A169" s="2">
        <f>input_6!A$2</f>
        <v>3126</v>
      </c>
      <c r="B169" s="7" t="str">
        <f t="shared" si="7"/>
        <v>PremiumSS4</v>
      </c>
      <c r="C169" s="7" t="str">
        <f t="shared" si="8"/>
        <v>PremiumSS</v>
      </c>
      <c r="D169" s="6">
        <v>403</v>
      </c>
      <c r="E169" s="7" t="str">
        <f>VLOOKUP(D169,[1]characters!$A:$C,3,FALSE)</f>
        <v>静撃の翠眼 八咫烏</v>
      </c>
      <c r="F169" s="7" t="str">
        <f>VLOOKUP(D169,[1]characters!$A:$J,10,FALSE)</f>
        <v>PremiumSS</v>
      </c>
      <c r="G169" s="7">
        <f>VLOOKUP(D169,[1]characters!$A:$I,9,FALSE)</f>
        <v>4</v>
      </c>
      <c r="H169" s="7" t="str">
        <f>VLOOKUP(D169,[1]characters!$A:$H,8,FALSE)</f>
        <v>green</v>
      </c>
      <c r="I169" s="7" t="str">
        <f>VLOOKUP(D169,[1]characters!$A:$K,11,FALSE)</f>
        <v>balance</v>
      </c>
      <c r="J169" s="7" t="str">
        <f>VLOOKUP(D169,[1]characters!$A:$M,13,FALSE)</f>
        <v>animal</v>
      </c>
      <c r="K169" s="7" t="str">
        <f>VLOOKUP(D169,[1]characters!$A:$G,7,FALSE)</f>
        <v>女性</v>
      </c>
      <c r="L169" s="66">
        <f>IFERROR(VLOOKUP(D169,input_6!L:R,7,FALSE),VLOOKUP(tables_6!B169,input_6!A:H,8,FALSE))</f>
        <v>56943</v>
      </c>
      <c r="M169" s="67">
        <f t="shared" si="6"/>
        <v>1.0961538461538461E-3</v>
      </c>
      <c r="N169" s="31">
        <f>IFERROR(VLOOKUP($D169,bug_conf_sheet!$A:$H,3,FALSE),VLOOKUP("other",bug_conf_sheet!$A:$H,3,FALSE))</f>
        <v>1</v>
      </c>
      <c r="O169" s="31">
        <f>IFERROR(VLOOKUP($D169,bug_conf_sheet!$A:$H,4,FALSE),VLOOKUP("other",bug_conf_sheet!$A:$H,4,FALSE))</f>
        <v>0</v>
      </c>
      <c r="P169" s="31">
        <f>IFERROR(VLOOKUP($D169,bug_conf_sheet!$A:$H,5,FALSE),VLOOKUP("other",bug_conf_sheet!$A:$H,5,FALSE))</f>
        <v>0</v>
      </c>
      <c r="Q169" s="31">
        <f>IFERROR(VLOOKUP($D169,bug_conf_sheet!$A:$H,6,FALSE),VLOOKUP("other",bug_conf_sheet!$A:$H,6,FALSE))</f>
        <v>0</v>
      </c>
      <c r="R169" s="31">
        <f>IFERROR(VLOOKUP($D169,bug_conf_sheet!$A:$H,7,FALSE),VLOOKUP("other",bug_conf_sheet!$A:$H,7,FALSE))</f>
        <v>0</v>
      </c>
      <c r="S169" s="31">
        <f>IFERROR(VLOOKUP($D169,bug_conf_sheet!$A:$H,8,FALSE),VLOOKUP("other",bug_conf_sheet!$A:$H,8,FALSE))</f>
        <v>1</v>
      </c>
    </row>
    <row r="170" spans="1:19" ht="21" customHeight="1">
      <c r="A170" s="2">
        <f>input_6!A$2</f>
        <v>3126</v>
      </c>
      <c r="B170" s="7" t="str">
        <f t="shared" si="7"/>
        <v>PremiumSS5</v>
      </c>
      <c r="C170" s="7" t="str">
        <f t="shared" si="8"/>
        <v>PremiumSS</v>
      </c>
      <c r="D170" s="6">
        <v>404</v>
      </c>
      <c r="E170" s="7" t="str">
        <f>VLOOKUP(D170,[1]characters!$A:$C,3,FALSE)</f>
        <v>空襲の神眼 八咫烏</v>
      </c>
      <c r="F170" s="7" t="str">
        <f>VLOOKUP(D170,[1]characters!$A:$J,10,FALSE)</f>
        <v>PremiumSS</v>
      </c>
      <c r="G170" s="7">
        <f>VLOOKUP(D170,[1]characters!$A:$I,9,FALSE)</f>
        <v>5</v>
      </c>
      <c r="H170" s="7" t="str">
        <f>VLOOKUP(D170,[1]characters!$A:$H,8,FALSE)</f>
        <v>green</v>
      </c>
      <c r="I170" s="7" t="str">
        <f>VLOOKUP(D170,[1]characters!$A:$K,11,FALSE)</f>
        <v>balance</v>
      </c>
      <c r="J170" s="7" t="str">
        <f>VLOOKUP(D170,[1]characters!$A:$M,13,FALSE)</f>
        <v>animal</v>
      </c>
      <c r="K170" s="7" t="str">
        <f>VLOOKUP(D170,[1]characters!$A:$G,7,FALSE)</f>
        <v>女性</v>
      </c>
      <c r="L170" s="66">
        <f>IFERROR(VLOOKUP(D170,input_6!L:R,7,FALSE),VLOOKUP(tables_6!B170,input_6!A:H,8,FALSE))</f>
        <v>2997</v>
      </c>
      <c r="M170" s="67">
        <f t="shared" si="6"/>
        <v>5.7692307692307691E-5</v>
      </c>
      <c r="N170" s="31">
        <f>IFERROR(VLOOKUP($D170,bug_conf_sheet!$A:$H,3,FALSE),VLOOKUP("other",bug_conf_sheet!$A:$H,3,FALSE))</f>
        <v>1</v>
      </c>
      <c r="O170" s="31">
        <f>IFERROR(VLOOKUP($D170,bug_conf_sheet!$A:$H,4,FALSE),VLOOKUP("other",bug_conf_sheet!$A:$H,4,FALSE))</f>
        <v>0</v>
      </c>
      <c r="P170" s="31">
        <f>IFERROR(VLOOKUP($D170,bug_conf_sheet!$A:$H,5,FALSE),VLOOKUP("other",bug_conf_sheet!$A:$H,5,FALSE))</f>
        <v>0</v>
      </c>
      <c r="Q170" s="31">
        <f>IFERROR(VLOOKUP($D170,bug_conf_sheet!$A:$H,6,FALSE),VLOOKUP("other",bug_conf_sheet!$A:$H,6,FALSE))</f>
        <v>0</v>
      </c>
      <c r="R170" s="31">
        <f>IFERROR(VLOOKUP($D170,bug_conf_sheet!$A:$H,7,FALSE),VLOOKUP("other",bug_conf_sheet!$A:$H,7,FALSE))</f>
        <v>0</v>
      </c>
      <c r="S170" s="31">
        <f>IFERROR(VLOOKUP($D170,bug_conf_sheet!$A:$H,8,FALSE),VLOOKUP("other",bug_conf_sheet!$A:$H,8,FALSE))</f>
        <v>1</v>
      </c>
    </row>
    <row r="171" spans="1:19" ht="21" customHeight="1">
      <c r="A171" s="2">
        <f>input_6!A$2</f>
        <v>3126</v>
      </c>
      <c r="B171" s="7" t="str">
        <f t="shared" si="7"/>
        <v>Premium3</v>
      </c>
      <c r="C171" s="7" t="str">
        <f t="shared" si="8"/>
        <v>Premium</v>
      </c>
      <c r="D171" s="6">
        <v>405</v>
      </c>
      <c r="E171" s="7" t="str">
        <f>VLOOKUP(D171,[1]characters!$A:$C,3,FALSE)</f>
        <v>エキドナ</v>
      </c>
      <c r="F171" s="7" t="str">
        <f>VLOOKUP(D171,[1]characters!$A:$J,10,FALSE)</f>
        <v>PremiumS</v>
      </c>
      <c r="G171" s="7">
        <f>VLOOKUP(D171,[1]characters!$A:$I,9,FALSE)</f>
        <v>3</v>
      </c>
      <c r="H171" s="7" t="str">
        <f>VLOOKUP(D171,[1]characters!$A:$H,8,FALSE)</f>
        <v>blue</v>
      </c>
      <c r="I171" s="7" t="str">
        <f>VLOOKUP(D171,[1]characters!$A:$K,11,FALSE)</f>
        <v>technical</v>
      </c>
      <c r="J171" s="7" t="str">
        <f>VLOOKUP(D171,[1]characters!$A:$M,13,FALSE)</f>
        <v>animal</v>
      </c>
      <c r="K171" s="7" t="str">
        <f>VLOOKUP(D171,[1]characters!$A:$G,7,FALSE)</f>
        <v>女性</v>
      </c>
      <c r="L171" s="66">
        <f>IFERROR(VLOOKUP(D171,input_6!L:R,7,FALSE),VLOOKUP(tables_6!B171,input_6!A:H,8,FALSE))</f>
        <v>0</v>
      </c>
      <c r="M171" s="67">
        <f t="shared" si="6"/>
        <v>0</v>
      </c>
      <c r="N171" s="31">
        <f>IFERROR(VLOOKUP($D171,bug_conf_sheet!$A:$H,3,FALSE),VLOOKUP("other",bug_conf_sheet!$A:$H,3,FALSE))</f>
        <v>1</v>
      </c>
      <c r="O171" s="31">
        <f>IFERROR(VLOOKUP($D171,bug_conf_sheet!$A:$H,4,FALSE),VLOOKUP("other",bug_conf_sheet!$A:$H,4,FALSE))</f>
        <v>0</v>
      </c>
      <c r="P171" s="31">
        <f>IFERROR(VLOOKUP($D171,bug_conf_sheet!$A:$H,5,FALSE),VLOOKUP("other",bug_conf_sheet!$A:$H,5,FALSE))</f>
        <v>0</v>
      </c>
      <c r="Q171" s="31">
        <f>IFERROR(VLOOKUP($D171,bug_conf_sheet!$A:$H,6,FALSE),VLOOKUP("other",bug_conf_sheet!$A:$H,6,FALSE))</f>
        <v>0</v>
      </c>
      <c r="R171" s="31">
        <f>IFERROR(VLOOKUP($D171,bug_conf_sheet!$A:$H,7,FALSE),VLOOKUP("other",bug_conf_sheet!$A:$H,7,FALSE))</f>
        <v>0</v>
      </c>
      <c r="S171" s="31">
        <f>IFERROR(VLOOKUP($D171,bug_conf_sheet!$A:$H,8,FALSE),VLOOKUP("other",bug_conf_sheet!$A:$H,8,FALSE))</f>
        <v>1</v>
      </c>
    </row>
    <row r="172" spans="1:19" ht="21" customHeight="1">
      <c r="A172" s="2">
        <f>input_6!A$2</f>
        <v>3126</v>
      </c>
      <c r="B172" s="7" t="str">
        <f t="shared" si="7"/>
        <v>Premium4</v>
      </c>
      <c r="C172" s="7" t="str">
        <f t="shared" si="8"/>
        <v>Premium</v>
      </c>
      <c r="D172" s="6">
        <v>406</v>
      </c>
      <c r="E172" s="7" t="str">
        <f>VLOOKUP(D172,[1]characters!$A:$C,3,FALSE)</f>
        <v>美笑の蒼蛇 エキドナ</v>
      </c>
      <c r="F172" s="7" t="str">
        <f>VLOOKUP(D172,[1]characters!$A:$J,10,FALSE)</f>
        <v>PremiumS</v>
      </c>
      <c r="G172" s="7">
        <f>VLOOKUP(D172,[1]characters!$A:$I,9,FALSE)</f>
        <v>4</v>
      </c>
      <c r="H172" s="7" t="str">
        <f>VLOOKUP(D172,[1]characters!$A:$H,8,FALSE)</f>
        <v>blue</v>
      </c>
      <c r="I172" s="7" t="str">
        <f>VLOOKUP(D172,[1]characters!$A:$K,11,FALSE)</f>
        <v>technical</v>
      </c>
      <c r="J172" s="7" t="str">
        <f>VLOOKUP(D172,[1]characters!$A:$M,13,FALSE)</f>
        <v>animal</v>
      </c>
      <c r="K172" s="7" t="str">
        <f>VLOOKUP(D172,[1]characters!$A:$G,7,FALSE)</f>
        <v>女性</v>
      </c>
      <c r="L172" s="66">
        <f>IFERROR(VLOOKUP(D172,input_6!L:R,7,FALSE),VLOOKUP(tables_6!B172,input_6!A:H,8,FALSE))</f>
        <v>646893</v>
      </c>
      <c r="M172" s="67">
        <f t="shared" si="6"/>
        <v>1.2452702702702703E-2</v>
      </c>
      <c r="N172" s="31">
        <f>IFERROR(VLOOKUP($D172,bug_conf_sheet!$A:$H,3,FALSE),VLOOKUP("other",bug_conf_sheet!$A:$H,3,FALSE))</f>
        <v>1</v>
      </c>
      <c r="O172" s="31">
        <f>IFERROR(VLOOKUP($D172,bug_conf_sheet!$A:$H,4,FALSE),VLOOKUP("other",bug_conf_sheet!$A:$H,4,FALSE))</f>
        <v>0</v>
      </c>
      <c r="P172" s="31">
        <f>IFERROR(VLOOKUP($D172,bug_conf_sheet!$A:$H,5,FALSE),VLOOKUP("other",bug_conf_sheet!$A:$H,5,FALSE))</f>
        <v>0</v>
      </c>
      <c r="Q172" s="31">
        <f>IFERROR(VLOOKUP($D172,bug_conf_sheet!$A:$H,6,FALSE),VLOOKUP("other",bug_conf_sheet!$A:$H,6,FALSE))</f>
        <v>0</v>
      </c>
      <c r="R172" s="31">
        <f>IFERROR(VLOOKUP($D172,bug_conf_sheet!$A:$H,7,FALSE),VLOOKUP("other",bug_conf_sheet!$A:$H,7,FALSE))</f>
        <v>0</v>
      </c>
      <c r="S172" s="31">
        <f>IFERROR(VLOOKUP($D172,bug_conf_sheet!$A:$H,8,FALSE),VLOOKUP("other",bug_conf_sheet!$A:$H,8,FALSE))</f>
        <v>1</v>
      </c>
    </row>
    <row r="173" spans="1:19" ht="21" customHeight="1">
      <c r="A173" s="2">
        <f>input_6!A$2</f>
        <v>3126</v>
      </c>
      <c r="B173" s="7" t="str">
        <f t="shared" si="7"/>
        <v>Premium5</v>
      </c>
      <c r="C173" s="7" t="str">
        <f t="shared" si="8"/>
        <v>Premium</v>
      </c>
      <c r="D173" s="6">
        <v>407</v>
      </c>
      <c r="E173" s="7" t="str">
        <f>VLOOKUP(D173,[1]characters!$A:$C,3,FALSE)</f>
        <v>蠱惑の飛刀 エキドナ</v>
      </c>
      <c r="F173" s="7" t="str">
        <f>VLOOKUP(D173,[1]characters!$A:$J,10,FALSE)</f>
        <v>PremiumS</v>
      </c>
      <c r="G173" s="7">
        <f>VLOOKUP(D173,[1]characters!$A:$I,9,FALSE)</f>
        <v>5</v>
      </c>
      <c r="H173" s="7" t="str">
        <f>VLOOKUP(D173,[1]characters!$A:$H,8,FALSE)</f>
        <v>blue</v>
      </c>
      <c r="I173" s="7" t="str">
        <f>VLOOKUP(D173,[1]characters!$A:$K,11,FALSE)</f>
        <v>technical</v>
      </c>
      <c r="J173" s="7" t="str">
        <f>VLOOKUP(D173,[1]characters!$A:$M,13,FALSE)</f>
        <v>animal</v>
      </c>
      <c r="K173" s="7" t="str">
        <f>VLOOKUP(D173,[1]characters!$A:$G,7,FALSE)</f>
        <v>女性</v>
      </c>
      <c r="L173" s="66">
        <f>IFERROR(VLOOKUP(D173,input_6!L:R,7,FALSE),VLOOKUP(tables_6!B173,input_6!A:H,8,FALSE))</f>
        <v>46657</v>
      </c>
      <c r="M173" s="67">
        <f t="shared" si="6"/>
        <v>8.9814814814814813E-4</v>
      </c>
      <c r="N173" s="31">
        <f>IFERROR(VLOOKUP($D173,bug_conf_sheet!$A:$H,3,FALSE),VLOOKUP("other",bug_conf_sheet!$A:$H,3,FALSE))</f>
        <v>1</v>
      </c>
      <c r="O173" s="31">
        <f>IFERROR(VLOOKUP($D173,bug_conf_sheet!$A:$H,4,FALSE),VLOOKUP("other",bug_conf_sheet!$A:$H,4,FALSE))</f>
        <v>0</v>
      </c>
      <c r="P173" s="31">
        <f>IFERROR(VLOOKUP($D173,bug_conf_sheet!$A:$H,5,FALSE),VLOOKUP("other",bug_conf_sheet!$A:$H,5,FALSE))</f>
        <v>0</v>
      </c>
      <c r="Q173" s="31">
        <f>IFERROR(VLOOKUP($D173,bug_conf_sheet!$A:$H,6,FALSE),VLOOKUP("other",bug_conf_sheet!$A:$H,6,FALSE))</f>
        <v>0</v>
      </c>
      <c r="R173" s="31">
        <f>IFERROR(VLOOKUP($D173,bug_conf_sheet!$A:$H,7,FALSE),VLOOKUP("other",bug_conf_sheet!$A:$H,7,FALSE))</f>
        <v>0</v>
      </c>
      <c r="S173" s="31">
        <f>IFERROR(VLOOKUP($D173,bug_conf_sheet!$A:$H,8,FALSE),VLOOKUP("other",bug_conf_sheet!$A:$H,8,FALSE))</f>
        <v>1</v>
      </c>
    </row>
    <row r="174" spans="1:19" ht="21" customHeight="1">
      <c r="A174" s="2">
        <f>input_6!A$2</f>
        <v>3126</v>
      </c>
      <c r="B174" s="7" t="str">
        <f t="shared" si="7"/>
        <v>PremiumSS4</v>
      </c>
      <c r="C174" s="7" t="str">
        <f t="shared" si="8"/>
        <v>PremiumSS</v>
      </c>
      <c r="D174" s="6">
        <v>408</v>
      </c>
      <c r="E174" s="7" t="str">
        <f>VLOOKUP(D174,[1]characters!$A:$C,3,FALSE)</f>
        <v>皇魔 アスタロト</v>
      </c>
      <c r="F174" s="7" t="str">
        <f>VLOOKUP(D174,[1]characters!$A:$J,10,FALSE)</f>
        <v>PremiumSS</v>
      </c>
      <c r="G174" s="7">
        <f>VLOOKUP(D174,[1]characters!$A:$I,9,FALSE)</f>
        <v>4</v>
      </c>
      <c r="H174" s="7" t="str">
        <f>VLOOKUP(D174,[1]characters!$A:$H,8,FALSE)</f>
        <v>yellow</v>
      </c>
      <c r="I174" s="7" t="str">
        <f>VLOOKUP(D174,[1]characters!$A:$K,11,FALSE)</f>
        <v>attack</v>
      </c>
      <c r="J174" s="7" t="str">
        <f>VLOOKUP(D174,[1]characters!$A:$M,13,FALSE)</f>
        <v>god</v>
      </c>
      <c r="K174" s="7" t="str">
        <f>VLOOKUP(D174,[1]characters!$A:$G,7,FALSE)</f>
        <v>男性</v>
      </c>
      <c r="L174" s="66">
        <f>IFERROR(VLOOKUP(D174,input_6!L:R,7,FALSE),VLOOKUP(tables_6!B174,input_6!A:H,8,FALSE))</f>
        <v>56943</v>
      </c>
      <c r="M174" s="67">
        <f t="shared" si="6"/>
        <v>1.0961538461538461E-3</v>
      </c>
      <c r="N174" s="31">
        <f>IFERROR(VLOOKUP($D174,bug_conf_sheet!$A:$H,3,FALSE),VLOOKUP("other",bug_conf_sheet!$A:$H,3,FALSE))</f>
        <v>1</v>
      </c>
      <c r="O174" s="31">
        <f>IFERROR(VLOOKUP($D174,bug_conf_sheet!$A:$H,4,FALSE),VLOOKUP("other",bug_conf_sheet!$A:$H,4,FALSE))</f>
        <v>0</v>
      </c>
      <c r="P174" s="31">
        <f>IFERROR(VLOOKUP($D174,bug_conf_sheet!$A:$H,5,FALSE),VLOOKUP("other",bug_conf_sheet!$A:$H,5,FALSE))</f>
        <v>0</v>
      </c>
      <c r="Q174" s="31">
        <f>IFERROR(VLOOKUP($D174,bug_conf_sheet!$A:$H,6,FALSE),VLOOKUP("other",bug_conf_sheet!$A:$H,6,FALSE))</f>
        <v>0</v>
      </c>
      <c r="R174" s="31">
        <f>IFERROR(VLOOKUP($D174,bug_conf_sheet!$A:$H,7,FALSE),VLOOKUP("other",bug_conf_sheet!$A:$H,7,FALSE))</f>
        <v>0</v>
      </c>
      <c r="S174" s="31">
        <f>IFERROR(VLOOKUP($D174,bug_conf_sheet!$A:$H,8,FALSE),VLOOKUP("other",bug_conf_sheet!$A:$H,8,FALSE))</f>
        <v>1</v>
      </c>
    </row>
    <row r="175" spans="1:19" ht="21" customHeight="1">
      <c r="A175" s="2">
        <f>input_6!A$2</f>
        <v>3126</v>
      </c>
      <c r="B175" s="7" t="str">
        <f t="shared" si="7"/>
        <v>PremiumSS5</v>
      </c>
      <c r="C175" s="7" t="str">
        <f t="shared" si="8"/>
        <v>PremiumSS</v>
      </c>
      <c r="D175" s="6">
        <v>409</v>
      </c>
      <c r="E175" s="7" t="str">
        <f>VLOOKUP(D175,[1]characters!$A:$C,3,FALSE)</f>
        <v>天眼の皇貴魔 アスタロト</v>
      </c>
      <c r="F175" s="7" t="str">
        <f>VLOOKUP(D175,[1]characters!$A:$J,10,FALSE)</f>
        <v>PremiumSS</v>
      </c>
      <c r="G175" s="7">
        <f>VLOOKUP(D175,[1]characters!$A:$I,9,FALSE)</f>
        <v>5</v>
      </c>
      <c r="H175" s="7" t="str">
        <f>VLOOKUP(D175,[1]characters!$A:$H,8,FALSE)</f>
        <v>yellow</v>
      </c>
      <c r="I175" s="7" t="str">
        <f>VLOOKUP(D175,[1]characters!$A:$K,11,FALSE)</f>
        <v>attack</v>
      </c>
      <c r="J175" s="7" t="str">
        <f>VLOOKUP(D175,[1]characters!$A:$M,13,FALSE)</f>
        <v>god</v>
      </c>
      <c r="K175" s="7" t="str">
        <f>VLOOKUP(D175,[1]characters!$A:$G,7,FALSE)</f>
        <v>男性</v>
      </c>
      <c r="L175" s="66">
        <f>IFERROR(VLOOKUP(D175,input_6!L:R,7,FALSE),VLOOKUP(tables_6!B175,input_6!A:H,8,FALSE))</f>
        <v>2997</v>
      </c>
      <c r="M175" s="67">
        <f t="shared" si="6"/>
        <v>5.7692307692307691E-5</v>
      </c>
      <c r="N175" s="31">
        <f>IFERROR(VLOOKUP($D175,bug_conf_sheet!$A:$H,3,FALSE),VLOOKUP("other",bug_conf_sheet!$A:$H,3,FALSE))</f>
        <v>1</v>
      </c>
      <c r="O175" s="31">
        <f>IFERROR(VLOOKUP($D175,bug_conf_sheet!$A:$H,4,FALSE),VLOOKUP("other",bug_conf_sheet!$A:$H,4,FALSE))</f>
        <v>0</v>
      </c>
      <c r="P175" s="31">
        <f>IFERROR(VLOOKUP($D175,bug_conf_sheet!$A:$H,5,FALSE),VLOOKUP("other",bug_conf_sheet!$A:$H,5,FALSE))</f>
        <v>0</v>
      </c>
      <c r="Q175" s="31">
        <f>IFERROR(VLOOKUP($D175,bug_conf_sheet!$A:$H,6,FALSE),VLOOKUP("other",bug_conf_sheet!$A:$H,6,FALSE))</f>
        <v>0</v>
      </c>
      <c r="R175" s="31">
        <f>IFERROR(VLOOKUP($D175,bug_conf_sheet!$A:$H,7,FALSE),VLOOKUP("other",bug_conf_sheet!$A:$H,7,FALSE))</f>
        <v>0</v>
      </c>
      <c r="S175" s="31">
        <f>IFERROR(VLOOKUP($D175,bug_conf_sheet!$A:$H,8,FALSE),VLOOKUP("other",bug_conf_sheet!$A:$H,8,FALSE))</f>
        <v>1</v>
      </c>
    </row>
    <row r="176" spans="1:19" ht="21" customHeight="1">
      <c r="A176" s="2">
        <f>input_6!A$2</f>
        <v>3126</v>
      </c>
      <c r="B176" s="7" t="str">
        <f t="shared" si="7"/>
        <v>PremiumSS4</v>
      </c>
      <c r="C176" s="7" t="str">
        <f t="shared" si="8"/>
        <v>PremiumSS</v>
      </c>
      <c r="D176" s="6">
        <v>434</v>
      </c>
      <c r="E176" s="7" t="str">
        <f>VLOOKUP(D176,[1]characters!$A:$C,3,FALSE)</f>
        <v>D.R.T.H.</v>
      </c>
      <c r="F176" s="7" t="str">
        <f>VLOOKUP(D176,[1]characters!$A:$J,10,FALSE)</f>
        <v>PremiumSS</v>
      </c>
      <c r="G176" s="7">
        <f>VLOOKUP(D176,[1]characters!$A:$I,9,FALSE)</f>
        <v>4</v>
      </c>
      <c r="H176" s="7" t="str">
        <f>VLOOKUP(D176,[1]characters!$A:$H,8,FALSE)</f>
        <v>red</v>
      </c>
      <c r="I176" s="7" t="str">
        <f>VLOOKUP(D176,[1]characters!$A:$K,11,FALSE)</f>
        <v>balance</v>
      </c>
      <c r="J176" s="7" t="str">
        <f>VLOOKUP(D176,[1]characters!$A:$M,13,FALSE)</f>
        <v>human</v>
      </c>
      <c r="K176" s="7" t="str">
        <f>VLOOKUP(D176,[1]characters!$A:$G,7,FALSE)</f>
        <v>女性</v>
      </c>
      <c r="L176" s="66">
        <f>IFERROR(VLOOKUP(D176,input_6!L:R,7,FALSE),VLOOKUP(tables_6!B176,input_6!A:H,8,FALSE))</f>
        <v>56943</v>
      </c>
      <c r="M176" s="67">
        <f t="shared" si="6"/>
        <v>1.0961538461538461E-3</v>
      </c>
      <c r="N176" s="31">
        <f>IFERROR(VLOOKUP($D176,bug_conf_sheet!$A:$H,3,FALSE),VLOOKUP("other",bug_conf_sheet!$A:$H,3,FALSE))</f>
        <v>1</v>
      </c>
      <c r="O176" s="31">
        <f>IFERROR(VLOOKUP($D176,bug_conf_sheet!$A:$H,4,FALSE),VLOOKUP("other",bug_conf_sheet!$A:$H,4,FALSE))</f>
        <v>0</v>
      </c>
      <c r="P176" s="31">
        <f>IFERROR(VLOOKUP($D176,bug_conf_sheet!$A:$H,5,FALSE),VLOOKUP("other",bug_conf_sheet!$A:$H,5,FALSE))</f>
        <v>0</v>
      </c>
      <c r="Q176" s="31">
        <f>IFERROR(VLOOKUP($D176,bug_conf_sheet!$A:$H,6,FALSE),VLOOKUP("other",bug_conf_sheet!$A:$H,6,FALSE))</f>
        <v>0</v>
      </c>
      <c r="R176" s="31">
        <f>IFERROR(VLOOKUP($D176,bug_conf_sheet!$A:$H,7,FALSE),VLOOKUP("other",bug_conf_sheet!$A:$H,7,FALSE))</f>
        <v>0</v>
      </c>
      <c r="S176" s="31">
        <f>IFERROR(VLOOKUP($D176,bug_conf_sheet!$A:$H,8,FALSE),VLOOKUP("other",bug_conf_sheet!$A:$H,8,FALSE))</f>
        <v>1</v>
      </c>
    </row>
    <row r="177" spans="1:19" ht="21" customHeight="1">
      <c r="A177" s="2">
        <f>input_6!A$2</f>
        <v>3126</v>
      </c>
      <c r="B177" s="7" t="str">
        <f t="shared" si="7"/>
        <v>PremiumSS5</v>
      </c>
      <c r="C177" s="7" t="str">
        <f t="shared" si="8"/>
        <v>PremiumSS</v>
      </c>
      <c r="D177" s="6">
        <v>435</v>
      </c>
      <c r="E177" s="7" t="str">
        <f>VLOOKUP(D177,[1]characters!$A:$C,3,FALSE)</f>
        <v>曝弾の密偵 D.R.T.H.</v>
      </c>
      <c r="F177" s="7" t="str">
        <f>VLOOKUP(D177,[1]characters!$A:$J,10,FALSE)</f>
        <v>PremiumSS</v>
      </c>
      <c r="G177" s="7">
        <f>VLOOKUP(D177,[1]characters!$A:$I,9,FALSE)</f>
        <v>5</v>
      </c>
      <c r="H177" s="7" t="str">
        <f>VLOOKUP(D177,[1]characters!$A:$H,8,FALSE)</f>
        <v>red</v>
      </c>
      <c r="I177" s="7" t="str">
        <f>VLOOKUP(D177,[1]characters!$A:$K,11,FALSE)</f>
        <v>balance</v>
      </c>
      <c r="J177" s="7" t="str">
        <f>VLOOKUP(D177,[1]characters!$A:$M,13,FALSE)</f>
        <v>human</v>
      </c>
      <c r="K177" s="7" t="str">
        <f>VLOOKUP(D177,[1]characters!$A:$G,7,FALSE)</f>
        <v>女性</v>
      </c>
      <c r="L177" s="66">
        <f>IFERROR(VLOOKUP(D177,input_6!L:R,7,FALSE),VLOOKUP(tables_6!B177,input_6!A:H,8,FALSE))</f>
        <v>2997</v>
      </c>
      <c r="M177" s="67">
        <f t="shared" si="6"/>
        <v>5.7692307692307691E-5</v>
      </c>
      <c r="N177" s="31">
        <f>IFERROR(VLOOKUP($D177,bug_conf_sheet!$A:$H,3,FALSE),VLOOKUP("other",bug_conf_sheet!$A:$H,3,FALSE))</f>
        <v>1</v>
      </c>
      <c r="O177" s="31">
        <f>IFERROR(VLOOKUP($D177,bug_conf_sheet!$A:$H,4,FALSE),VLOOKUP("other",bug_conf_sheet!$A:$H,4,FALSE))</f>
        <v>0</v>
      </c>
      <c r="P177" s="31">
        <f>IFERROR(VLOOKUP($D177,bug_conf_sheet!$A:$H,5,FALSE),VLOOKUP("other",bug_conf_sheet!$A:$H,5,FALSE))</f>
        <v>0</v>
      </c>
      <c r="Q177" s="31">
        <f>IFERROR(VLOOKUP($D177,bug_conf_sheet!$A:$H,6,FALSE),VLOOKUP("other",bug_conf_sheet!$A:$H,6,FALSE))</f>
        <v>0</v>
      </c>
      <c r="R177" s="31">
        <f>IFERROR(VLOOKUP($D177,bug_conf_sheet!$A:$H,7,FALSE),VLOOKUP("other",bug_conf_sheet!$A:$H,7,FALSE))</f>
        <v>0</v>
      </c>
      <c r="S177" s="31">
        <f>IFERROR(VLOOKUP($D177,bug_conf_sheet!$A:$H,8,FALSE),VLOOKUP("other",bug_conf_sheet!$A:$H,8,FALSE))</f>
        <v>1</v>
      </c>
    </row>
    <row r="178" spans="1:19" ht="21" customHeight="1">
      <c r="A178" s="2">
        <f>input_6!A$2</f>
        <v>3126</v>
      </c>
      <c r="B178" s="7" t="str">
        <f t="shared" si="7"/>
        <v>Premium3</v>
      </c>
      <c r="C178" s="7" t="str">
        <f t="shared" si="8"/>
        <v>Premium</v>
      </c>
      <c r="D178" s="6">
        <v>436</v>
      </c>
      <c r="E178" s="7" t="str">
        <f>VLOOKUP(D178,[1]characters!$A:$C,3,FALSE)</f>
        <v>カカシ</v>
      </c>
      <c r="F178" s="7" t="str">
        <f>VLOOKUP(D178,[1]characters!$A:$J,10,FALSE)</f>
        <v>PremiumS</v>
      </c>
      <c r="G178" s="7">
        <f>VLOOKUP(D178,[1]characters!$A:$I,9,FALSE)</f>
        <v>3</v>
      </c>
      <c r="H178" s="7" t="str">
        <f>VLOOKUP(D178,[1]characters!$A:$H,8,FALSE)</f>
        <v>green</v>
      </c>
      <c r="I178" s="7" t="str">
        <f>VLOOKUP(D178,[1]characters!$A:$K,11,FALSE)</f>
        <v>technical</v>
      </c>
      <c r="J178" s="7" t="str">
        <f>VLOOKUP(D178,[1]characters!$A:$M,13,FALSE)</f>
        <v>human</v>
      </c>
      <c r="K178" s="7" t="str">
        <f>VLOOKUP(D178,[1]characters!$A:$G,7,FALSE)</f>
        <v>男性</v>
      </c>
      <c r="L178" s="66">
        <f>IFERROR(VLOOKUP(D178,input_6!L:R,7,FALSE),VLOOKUP(tables_6!B178,input_6!A:H,8,FALSE))</f>
        <v>0</v>
      </c>
      <c r="M178" s="67">
        <f t="shared" si="6"/>
        <v>0</v>
      </c>
      <c r="N178" s="31">
        <f>IFERROR(VLOOKUP($D178,bug_conf_sheet!$A:$H,3,FALSE),VLOOKUP("other",bug_conf_sheet!$A:$H,3,FALSE))</f>
        <v>1</v>
      </c>
      <c r="O178" s="31">
        <f>IFERROR(VLOOKUP($D178,bug_conf_sheet!$A:$H,4,FALSE),VLOOKUP("other",bug_conf_sheet!$A:$H,4,FALSE))</f>
        <v>0</v>
      </c>
      <c r="P178" s="31">
        <f>IFERROR(VLOOKUP($D178,bug_conf_sheet!$A:$H,5,FALSE),VLOOKUP("other",bug_conf_sheet!$A:$H,5,FALSE))</f>
        <v>0</v>
      </c>
      <c r="Q178" s="31">
        <f>IFERROR(VLOOKUP($D178,bug_conf_sheet!$A:$H,6,FALSE),VLOOKUP("other",bug_conf_sheet!$A:$H,6,FALSE))</f>
        <v>0</v>
      </c>
      <c r="R178" s="31">
        <f>IFERROR(VLOOKUP($D178,bug_conf_sheet!$A:$H,7,FALSE),VLOOKUP("other",bug_conf_sheet!$A:$H,7,FALSE))</f>
        <v>0</v>
      </c>
      <c r="S178" s="31">
        <f>IFERROR(VLOOKUP($D178,bug_conf_sheet!$A:$H,8,FALSE),VLOOKUP("other",bug_conf_sheet!$A:$H,8,FALSE))</f>
        <v>1</v>
      </c>
    </row>
    <row r="179" spans="1:19" ht="21" customHeight="1">
      <c r="A179" s="2">
        <f>input_6!A$2</f>
        <v>3126</v>
      </c>
      <c r="B179" s="7" t="str">
        <f t="shared" si="7"/>
        <v>Premium4</v>
      </c>
      <c r="C179" s="7" t="str">
        <f t="shared" si="8"/>
        <v>Premium</v>
      </c>
      <c r="D179" s="6">
        <v>437</v>
      </c>
      <c r="E179" s="7" t="str">
        <f>VLOOKUP(D179,[1]characters!$A:$C,3,FALSE)</f>
        <v>忘却者 カカシ</v>
      </c>
      <c r="F179" s="7" t="str">
        <f>VLOOKUP(D179,[1]characters!$A:$J,10,FALSE)</f>
        <v>PremiumS</v>
      </c>
      <c r="G179" s="7">
        <f>VLOOKUP(D179,[1]characters!$A:$I,9,FALSE)</f>
        <v>4</v>
      </c>
      <c r="H179" s="7" t="str">
        <f>VLOOKUP(D179,[1]characters!$A:$H,8,FALSE)</f>
        <v>green</v>
      </c>
      <c r="I179" s="7" t="str">
        <f>VLOOKUP(D179,[1]characters!$A:$K,11,FALSE)</f>
        <v>technical</v>
      </c>
      <c r="J179" s="7" t="str">
        <f>VLOOKUP(D179,[1]characters!$A:$M,13,FALSE)</f>
        <v>human</v>
      </c>
      <c r="K179" s="7" t="str">
        <f>VLOOKUP(D179,[1]characters!$A:$G,7,FALSE)</f>
        <v>男性</v>
      </c>
      <c r="L179" s="66">
        <f>IFERROR(VLOOKUP(D179,input_6!L:R,7,FALSE),VLOOKUP(tables_6!B179,input_6!A:H,8,FALSE))</f>
        <v>646893</v>
      </c>
      <c r="M179" s="67">
        <f t="shared" si="6"/>
        <v>1.2452702702702703E-2</v>
      </c>
      <c r="N179" s="31">
        <f>IFERROR(VLOOKUP($D179,bug_conf_sheet!$A:$H,3,FALSE),VLOOKUP("other",bug_conf_sheet!$A:$H,3,FALSE))</f>
        <v>1</v>
      </c>
      <c r="O179" s="31">
        <f>IFERROR(VLOOKUP($D179,bug_conf_sheet!$A:$H,4,FALSE),VLOOKUP("other",bug_conf_sheet!$A:$H,4,FALSE))</f>
        <v>0</v>
      </c>
      <c r="P179" s="31">
        <f>IFERROR(VLOOKUP($D179,bug_conf_sheet!$A:$H,5,FALSE),VLOOKUP("other",bug_conf_sheet!$A:$H,5,FALSE))</f>
        <v>0</v>
      </c>
      <c r="Q179" s="31">
        <f>IFERROR(VLOOKUP($D179,bug_conf_sheet!$A:$H,6,FALSE),VLOOKUP("other",bug_conf_sheet!$A:$H,6,FALSE))</f>
        <v>0</v>
      </c>
      <c r="R179" s="31">
        <f>IFERROR(VLOOKUP($D179,bug_conf_sheet!$A:$H,7,FALSE),VLOOKUP("other",bug_conf_sheet!$A:$H,7,FALSE))</f>
        <v>0</v>
      </c>
      <c r="S179" s="31">
        <f>IFERROR(VLOOKUP($D179,bug_conf_sheet!$A:$H,8,FALSE),VLOOKUP("other",bug_conf_sheet!$A:$H,8,FALSE))</f>
        <v>1</v>
      </c>
    </row>
    <row r="180" spans="1:19" ht="21" customHeight="1">
      <c r="A180" s="2">
        <f>input_6!A$2</f>
        <v>3126</v>
      </c>
      <c r="B180" s="7" t="str">
        <f t="shared" si="7"/>
        <v>Premium5</v>
      </c>
      <c r="C180" s="7" t="str">
        <f t="shared" si="8"/>
        <v>Premium</v>
      </c>
      <c r="D180" s="6">
        <v>438</v>
      </c>
      <c r="E180" s="7" t="str">
        <f>VLOOKUP(D180,[1]characters!$A:$C,3,FALSE)</f>
        <v>記憶の奪還 カカシ</v>
      </c>
      <c r="F180" s="7" t="str">
        <f>VLOOKUP(D180,[1]characters!$A:$J,10,FALSE)</f>
        <v>PremiumS</v>
      </c>
      <c r="G180" s="7">
        <f>VLOOKUP(D180,[1]characters!$A:$I,9,FALSE)</f>
        <v>5</v>
      </c>
      <c r="H180" s="7" t="str">
        <f>VLOOKUP(D180,[1]characters!$A:$H,8,FALSE)</f>
        <v>green</v>
      </c>
      <c r="I180" s="7" t="str">
        <f>VLOOKUP(D180,[1]characters!$A:$K,11,FALSE)</f>
        <v>technical</v>
      </c>
      <c r="J180" s="7" t="str">
        <f>VLOOKUP(D180,[1]characters!$A:$M,13,FALSE)</f>
        <v>human</v>
      </c>
      <c r="K180" s="7" t="str">
        <f>VLOOKUP(D180,[1]characters!$A:$G,7,FALSE)</f>
        <v>男性</v>
      </c>
      <c r="L180" s="66">
        <f>IFERROR(VLOOKUP(D180,input_6!L:R,7,FALSE),VLOOKUP(tables_6!B180,input_6!A:H,8,FALSE))</f>
        <v>46657</v>
      </c>
      <c r="M180" s="67">
        <f t="shared" si="6"/>
        <v>8.9814814814814813E-4</v>
      </c>
      <c r="N180" s="31">
        <f>IFERROR(VLOOKUP($D180,bug_conf_sheet!$A:$H,3,FALSE),VLOOKUP("other",bug_conf_sheet!$A:$H,3,FALSE))</f>
        <v>1</v>
      </c>
      <c r="O180" s="31">
        <f>IFERROR(VLOOKUP($D180,bug_conf_sheet!$A:$H,4,FALSE),VLOOKUP("other",bug_conf_sheet!$A:$H,4,FALSE))</f>
        <v>0</v>
      </c>
      <c r="P180" s="31">
        <f>IFERROR(VLOOKUP($D180,bug_conf_sheet!$A:$H,5,FALSE),VLOOKUP("other",bug_conf_sheet!$A:$H,5,FALSE))</f>
        <v>0</v>
      </c>
      <c r="Q180" s="31">
        <f>IFERROR(VLOOKUP($D180,bug_conf_sheet!$A:$H,6,FALSE),VLOOKUP("other",bug_conf_sheet!$A:$H,6,FALSE))</f>
        <v>0</v>
      </c>
      <c r="R180" s="31">
        <f>IFERROR(VLOOKUP($D180,bug_conf_sheet!$A:$H,7,FALSE),VLOOKUP("other",bug_conf_sheet!$A:$H,7,FALSE))</f>
        <v>0</v>
      </c>
      <c r="S180" s="31">
        <f>IFERROR(VLOOKUP($D180,bug_conf_sheet!$A:$H,8,FALSE),VLOOKUP("other",bug_conf_sheet!$A:$H,8,FALSE))</f>
        <v>1</v>
      </c>
    </row>
    <row r="181" spans="1:19" ht="21" customHeight="1">
      <c r="A181" s="2">
        <f>input_6!A$2</f>
        <v>3126</v>
      </c>
      <c r="B181" s="7" t="str">
        <f t="shared" si="7"/>
        <v>Premium3</v>
      </c>
      <c r="C181" s="7" t="str">
        <f t="shared" si="8"/>
        <v>Premium</v>
      </c>
      <c r="D181" s="6">
        <v>439</v>
      </c>
      <c r="E181" s="7" t="str">
        <f>VLOOKUP(D181,[1]characters!$A:$C,3,FALSE)</f>
        <v>ブリキロガー</v>
      </c>
      <c r="F181" s="7" t="str">
        <f>VLOOKUP(D181,[1]characters!$A:$J,10,FALSE)</f>
        <v>PremiumS</v>
      </c>
      <c r="G181" s="7">
        <f>VLOOKUP(D181,[1]characters!$A:$I,9,FALSE)</f>
        <v>3</v>
      </c>
      <c r="H181" s="7" t="str">
        <f>VLOOKUP(D181,[1]characters!$A:$H,8,FALSE)</f>
        <v>blue</v>
      </c>
      <c r="I181" s="7" t="str">
        <f>VLOOKUP(D181,[1]characters!$A:$K,11,FALSE)</f>
        <v>attack</v>
      </c>
      <c r="J181" s="7" t="str">
        <f>VLOOKUP(D181,[1]characters!$A:$M,13,FALSE)</f>
        <v>machine</v>
      </c>
      <c r="K181" s="7" t="str">
        <f>VLOOKUP(D181,[1]characters!$A:$G,7,FALSE)</f>
        <v>不明</v>
      </c>
      <c r="L181" s="66">
        <f>IFERROR(VLOOKUP(D181,input_6!L:R,7,FALSE),VLOOKUP(tables_6!B181,input_6!A:H,8,FALSE))</f>
        <v>0</v>
      </c>
      <c r="M181" s="67">
        <f t="shared" si="6"/>
        <v>0</v>
      </c>
      <c r="N181" s="31">
        <f>IFERROR(VLOOKUP($D181,bug_conf_sheet!$A:$H,3,FALSE),VLOOKUP("other",bug_conf_sheet!$A:$H,3,FALSE))</f>
        <v>1</v>
      </c>
      <c r="O181" s="31">
        <f>IFERROR(VLOOKUP($D181,bug_conf_sheet!$A:$H,4,FALSE),VLOOKUP("other",bug_conf_sheet!$A:$H,4,FALSE))</f>
        <v>0</v>
      </c>
      <c r="P181" s="31">
        <f>IFERROR(VLOOKUP($D181,bug_conf_sheet!$A:$H,5,FALSE),VLOOKUP("other",bug_conf_sheet!$A:$H,5,FALSE))</f>
        <v>0</v>
      </c>
      <c r="Q181" s="31">
        <f>IFERROR(VLOOKUP($D181,bug_conf_sheet!$A:$H,6,FALSE),VLOOKUP("other",bug_conf_sheet!$A:$H,6,FALSE))</f>
        <v>0</v>
      </c>
      <c r="R181" s="31">
        <f>IFERROR(VLOOKUP($D181,bug_conf_sheet!$A:$H,7,FALSE),VLOOKUP("other",bug_conf_sheet!$A:$H,7,FALSE))</f>
        <v>0</v>
      </c>
      <c r="S181" s="31">
        <f>IFERROR(VLOOKUP($D181,bug_conf_sheet!$A:$H,8,FALSE),VLOOKUP("other",bug_conf_sheet!$A:$H,8,FALSE))</f>
        <v>1</v>
      </c>
    </row>
    <row r="182" spans="1:19" ht="21" customHeight="1">
      <c r="A182" s="2">
        <f>input_6!A$2</f>
        <v>3126</v>
      </c>
      <c r="B182" s="7" t="str">
        <f t="shared" si="7"/>
        <v>Premium4</v>
      </c>
      <c r="C182" s="7" t="str">
        <f t="shared" si="8"/>
        <v>Premium</v>
      </c>
      <c r="D182" s="6">
        <v>440</v>
      </c>
      <c r="E182" s="7" t="str">
        <f>VLOOKUP(D182,[1]characters!$A:$C,3,FALSE)</f>
        <v>改良型 ブリキロガー</v>
      </c>
      <c r="F182" s="7" t="str">
        <f>VLOOKUP(D182,[1]characters!$A:$J,10,FALSE)</f>
        <v>PremiumS</v>
      </c>
      <c r="G182" s="7">
        <f>VLOOKUP(D182,[1]characters!$A:$I,9,FALSE)</f>
        <v>4</v>
      </c>
      <c r="H182" s="7" t="str">
        <f>VLOOKUP(D182,[1]characters!$A:$H,8,FALSE)</f>
        <v>blue</v>
      </c>
      <c r="I182" s="7" t="str">
        <f>VLOOKUP(D182,[1]characters!$A:$K,11,FALSE)</f>
        <v>attack</v>
      </c>
      <c r="J182" s="7" t="str">
        <f>VLOOKUP(D182,[1]characters!$A:$M,13,FALSE)</f>
        <v>machine</v>
      </c>
      <c r="K182" s="7" t="str">
        <f>VLOOKUP(D182,[1]characters!$A:$G,7,FALSE)</f>
        <v>不明</v>
      </c>
      <c r="L182" s="66">
        <f>IFERROR(VLOOKUP(D182,input_6!L:R,7,FALSE),VLOOKUP(tables_6!B182,input_6!A:H,8,FALSE))</f>
        <v>646893</v>
      </c>
      <c r="M182" s="67">
        <f t="shared" si="6"/>
        <v>1.2452702702702703E-2</v>
      </c>
      <c r="N182" s="31">
        <f>IFERROR(VLOOKUP($D182,bug_conf_sheet!$A:$H,3,FALSE),VLOOKUP("other",bug_conf_sheet!$A:$H,3,FALSE))</f>
        <v>1</v>
      </c>
      <c r="O182" s="31">
        <f>IFERROR(VLOOKUP($D182,bug_conf_sheet!$A:$H,4,FALSE),VLOOKUP("other",bug_conf_sheet!$A:$H,4,FALSE))</f>
        <v>0</v>
      </c>
      <c r="P182" s="31">
        <f>IFERROR(VLOOKUP($D182,bug_conf_sheet!$A:$H,5,FALSE),VLOOKUP("other",bug_conf_sheet!$A:$H,5,FALSE))</f>
        <v>0</v>
      </c>
      <c r="Q182" s="31">
        <f>IFERROR(VLOOKUP($D182,bug_conf_sheet!$A:$H,6,FALSE),VLOOKUP("other",bug_conf_sheet!$A:$H,6,FALSE))</f>
        <v>0</v>
      </c>
      <c r="R182" s="31">
        <f>IFERROR(VLOOKUP($D182,bug_conf_sheet!$A:$H,7,FALSE),VLOOKUP("other",bug_conf_sheet!$A:$H,7,FALSE))</f>
        <v>0</v>
      </c>
      <c r="S182" s="31">
        <f>IFERROR(VLOOKUP($D182,bug_conf_sheet!$A:$H,8,FALSE),VLOOKUP("other",bug_conf_sheet!$A:$H,8,FALSE))</f>
        <v>1</v>
      </c>
    </row>
    <row r="183" spans="1:19" ht="21" customHeight="1">
      <c r="A183" s="2">
        <f>input_6!A$2</f>
        <v>3126</v>
      </c>
      <c r="B183" s="7" t="str">
        <f t="shared" si="7"/>
        <v>Premium5</v>
      </c>
      <c r="C183" s="7" t="str">
        <f t="shared" si="8"/>
        <v>Premium</v>
      </c>
      <c r="D183" s="6">
        <v>441</v>
      </c>
      <c r="E183" s="7" t="str">
        <f>VLOOKUP(D183,[1]characters!$A:$C,3,FALSE)</f>
        <v>求心の錻装 ブリキロガー</v>
      </c>
      <c r="F183" s="7" t="str">
        <f>VLOOKUP(D183,[1]characters!$A:$J,10,FALSE)</f>
        <v>PremiumS</v>
      </c>
      <c r="G183" s="7">
        <f>VLOOKUP(D183,[1]characters!$A:$I,9,FALSE)</f>
        <v>5</v>
      </c>
      <c r="H183" s="7" t="str">
        <f>VLOOKUP(D183,[1]characters!$A:$H,8,FALSE)</f>
        <v>blue</v>
      </c>
      <c r="I183" s="7" t="str">
        <f>VLOOKUP(D183,[1]characters!$A:$K,11,FALSE)</f>
        <v>attack</v>
      </c>
      <c r="J183" s="7" t="str">
        <f>VLOOKUP(D183,[1]characters!$A:$M,13,FALSE)</f>
        <v>machine</v>
      </c>
      <c r="K183" s="7" t="str">
        <f>VLOOKUP(D183,[1]characters!$A:$G,7,FALSE)</f>
        <v>不明</v>
      </c>
      <c r="L183" s="66">
        <f>IFERROR(VLOOKUP(D183,input_6!L:R,7,FALSE),VLOOKUP(tables_6!B183,input_6!A:H,8,FALSE))</f>
        <v>46657</v>
      </c>
      <c r="M183" s="67">
        <f t="shared" si="6"/>
        <v>8.9814814814814813E-4</v>
      </c>
      <c r="N183" s="31">
        <f>IFERROR(VLOOKUP($D183,bug_conf_sheet!$A:$H,3,FALSE),VLOOKUP("other",bug_conf_sheet!$A:$H,3,FALSE))</f>
        <v>1</v>
      </c>
      <c r="O183" s="31">
        <f>IFERROR(VLOOKUP($D183,bug_conf_sheet!$A:$H,4,FALSE),VLOOKUP("other",bug_conf_sheet!$A:$H,4,FALSE))</f>
        <v>0</v>
      </c>
      <c r="P183" s="31">
        <f>IFERROR(VLOOKUP($D183,bug_conf_sheet!$A:$H,5,FALSE),VLOOKUP("other",bug_conf_sheet!$A:$H,5,FALSE))</f>
        <v>0</v>
      </c>
      <c r="Q183" s="31">
        <f>IFERROR(VLOOKUP($D183,bug_conf_sheet!$A:$H,6,FALSE),VLOOKUP("other",bug_conf_sheet!$A:$H,6,FALSE))</f>
        <v>0</v>
      </c>
      <c r="R183" s="31">
        <f>IFERROR(VLOOKUP($D183,bug_conf_sheet!$A:$H,7,FALSE),VLOOKUP("other",bug_conf_sheet!$A:$H,7,FALSE))</f>
        <v>0</v>
      </c>
      <c r="S183" s="31">
        <f>IFERROR(VLOOKUP($D183,bug_conf_sheet!$A:$H,8,FALSE),VLOOKUP("other",bug_conf_sheet!$A:$H,8,FALSE))</f>
        <v>1</v>
      </c>
    </row>
    <row r="184" spans="1:19" ht="21" customHeight="1">
      <c r="A184" s="2">
        <f>input_6!A$2</f>
        <v>3126</v>
      </c>
      <c r="B184" s="7" t="str">
        <f t="shared" si="7"/>
        <v>PremiumSS4</v>
      </c>
      <c r="C184" s="7" t="str">
        <f t="shared" si="8"/>
        <v>PremiumSS</v>
      </c>
      <c r="D184" s="6">
        <v>442</v>
      </c>
      <c r="E184" s="7" t="str">
        <f>VLOOKUP(D184,[1]characters!$A:$C,3,FALSE)</f>
        <v>ブレイブリー・ライオン</v>
      </c>
      <c r="F184" s="7" t="str">
        <f>VLOOKUP(D184,[1]characters!$A:$J,10,FALSE)</f>
        <v>PremiumSS</v>
      </c>
      <c r="G184" s="7">
        <f>VLOOKUP(D184,[1]characters!$A:$I,9,FALSE)</f>
        <v>4</v>
      </c>
      <c r="H184" s="7" t="str">
        <f>VLOOKUP(D184,[1]characters!$A:$H,8,FALSE)</f>
        <v>yellow</v>
      </c>
      <c r="I184" s="7" t="str">
        <f>VLOOKUP(D184,[1]characters!$A:$K,11,FALSE)</f>
        <v>hp</v>
      </c>
      <c r="J184" s="7" t="str">
        <f>VLOOKUP(D184,[1]characters!$A:$M,13,FALSE)</f>
        <v>animal</v>
      </c>
      <c r="K184" s="7" t="str">
        <f>VLOOKUP(D184,[1]characters!$A:$G,7,FALSE)</f>
        <v>不明</v>
      </c>
      <c r="L184" s="66">
        <f>IFERROR(VLOOKUP(D184,input_6!L:R,7,FALSE),VLOOKUP(tables_6!B184,input_6!A:H,8,FALSE))</f>
        <v>56943</v>
      </c>
      <c r="M184" s="67">
        <f t="shared" si="6"/>
        <v>1.0961538461538461E-3</v>
      </c>
      <c r="N184" s="31">
        <f>IFERROR(VLOOKUP($D184,bug_conf_sheet!$A:$H,3,FALSE),VLOOKUP("other",bug_conf_sheet!$A:$H,3,FALSE))</f>
        <v>1</v>
      </c>
      <c r="O184" s="31">
        <f>IFERROR(VLOOKUP($D184,bug_conf_sheet!$A:$H,4,FALSE),VLOOKUP("other",bug_conf_sheet!$A:$H,4,FALSE))</f>
        <v>0</v>
      </c>
      <c r="P184" s="31">
        <f>IFERROR(VLOOKUP($D184,bug_conf_sheet!$A:$H,5,FALSE),VLOOKUP("other",bug_conf_sheet!$A:$H,5,FALSE))</f>
        <v>0</v>
      </c>
      <c r="Q184" s="31">
        <f>IFERROR(VLOOKUP($D184,bug_conf_sheet!$A:$H,6,FALSE),VLOOKUP("other",bug_conf_sheet!$A:$H,6,FALSE))</f>
        <v>0</v>
      </c>
      <c r="R184" s="31">
        <f>IFERROR(VLOOKUP($D184,bug_conf_sheet!$A:$H,7,FALSE),VLOOKUP("other",bug_conf_sheet!$A:$H,7,FALSE))</f>
        <v>0</v>
      </c>
      <c r="S184" s="31">
        <f>IFERROR(VLOOKUP($D184,bug_conf_sheet!$A:$H,8,FALSE),VLOOKUP("other",bug_conf_sheet!$A:$H,8,FALSE))</f>
        <v>1</v>
      </c>
    </row>
    <row r="185" spans="1:19" ht="21" customHeight="1">
      <c r="A185" s="2">
        <f>input_6!A$2</f>
        <v>3126</v>
      </c>
      <c r="B185" s="7" t="str">
        <f t="shared" si="7"/>
        <v>PremiumSS5</v>
      </c>
      <c r="C185" s="7" t="str">
        <f t="shared" si="8"/>
        <v>PremiumSS</v>
      </c>
      <c r="D185" s="6">
        <v>443</v>
      </c>
      <c r="E185" s="7" t="str">
        <f>VLOOKUP(D185,[1]characters!$A:$C,3,FALSE)</f>
        <v>勇機結集 ブレイブリー・ライオン</v>
      </c>
      <c r="F185" s="7" t="str">
        <f>VLOOKUP(D185,[1]characters!$A:$J,10,FALSE)</f>
        <v>PremiumSS</v>
      </c>
      <c r="G185" s="7">
        <f>VLOOKUP(D185,[1]characters!$A:$I,9,FALSE)</f>
        <v>5</v>
      </c>
      <c r="H185" s="7" t="str">
        <f>VLOOKUP(D185,[1]characters!$A:$H,8,FALSE)</f>
        <v>yellow</v>
      </c>
      <c r="I185" s="7" t="str">
        <f>VLOOKUP(D185,[1]characters!$A:$K,11,FALSE)</f>
        <v>hp</v>
      </c>
      <c r="J185" s="7" t="str">
        <f>VLOOKUP(D185,[1]characters!$A:$M,13,FALSE)</f>
        <v>animal</v>
      </c>
      <c r="K185" s="7" t="str">
        <f>VLOOKUP(D185,[1]characters!$A:$G,7,FALSE)</f>
        <v>不明</v>
      </c>
      <c r="L185" s="66">
        <f>IFERROR(VLOOKUP(D185,input_6!L:R,7,FALSE),VLOOKUP(tables_6!B185,input_6!A:H,8,FALSE))</f>
        <v>2997</v>
      </c>
      <c r="M185" s="67">
        <f t="shared" si="6"/>
        <v>5.7692307692307691E-5</v>
      </c>
      <c r="N185" s="31">
        <f>IFERROR(VLOOKUP($D185,bug_conf_sheet!$A:$H,3,FALSE),VLOOKUP("other",bug_conf_sheet!$A:$H,3,FALSE))</f>
        <v>1</v>
      </c>
      <c r="O185" s="31">
        <f>IFERROR(VLOOKUP($D185,bug_conf_sheet!$A:$H,4,FALSE),VLOOKUP("other",bug_conf_sheet!$A:$H,4,FALSE))</f>
        <v>0</v>
      </c>
      <c r="P185" s="31">
        <f>IFERROR(VLOOKUP($D185,bug_conf_sheet!$A:$H,5,FALSE),VLOOKUP("other",bug_conf_sheet!$A:$H,5,FALSE))</f>
        <v>0</v>
      </c>
      <c r="Q185" s="31">
        <f>IFERROR(VLOOKUP($D185,bug_conf_sheet!$A:$H,6,FALSE),VLOOKUP("other",bug_conf_sheet!$A:$H,6,FALSE))</f>
        <v>0</v>
      </c>
      <c r="R185" s="31">
        <f>IFERROR(VLOOKUP($D185,bug_conf_sheet!$A:$H,7,FALSE),VLOOKUP("other",bug_conf_sheet!$A:$H,7,FALSE))</f>
        <v>0</v>
      </c>
      <c r="S185" s="31">
        <f>IFERROR(VLOOKUP($D185,bug_conf_sheet!$A:$H,8,FALSE),VLOOKUP("other",bug_conf_sheet!$A:$H,8,FALSE))</f>
        <v>1</v>
      </c>
    </row>
    <row r="186" spans="1:19" ht="21" customHeight="1">
      <c r="A186" s="2">
        <f>input_6!A$2</f>
        <v>3126</v>
      </c>
      <c r="B186" s="7" t="str">
        <f t="shared" si="7"/>
        <v>Premium3</v>
      </c>
      <c r="C186" s="7" t="str">
        <f t="shared" si="8"/>
        <v>Premium</v>
      </c>
      <c r="D186" s="8">
        <v>462</v>
      </c>
      <c r="E186" s="7" t="str">
        <f>VLOOKUP(D186,[1]characters!$A:$C,3,FALSE)</f>
        <v>ガウェイン</v>
      </c>
      <c r="F186" s="7" t="str">
        <f>VLOOKUP(D186,[1]characters!$A:$J,10,FALSE)</f>
        <v>PremiumS</v>
      </c>
      <c r="G186" s="7">
        <f>VLOOKUP(D186,[1]characters!$A:$I,9,FALSE)</f>
        <v>3</v>
      </c>
      <c r="H186" s="7" t="str">
        <f>VLOOKUP(D186,[1]characters!$A:$H,8,FALSE)</f>
        <v>red</v>
      </c>
      <c r="I186" s="7" t="str">
        <f>VLOOKUP(D186,[1]characters!$A:$K,11,FALSE)</f>
        <v>hp</v>
      </c>
      <c r="J186" s="7" t="str">
        <f>VLOOKUP(D186,[1]characters!$A:$M,13,FALSE)</f>
        <v>human</v>
      </c>
      <c r="K186" s="7" t="str">
        <f>VLOOKUP(D186,[1]characters!$A:$G,7,FALSE)</f>
        <v>男性</v>
      </c>
      <c r="L186" s="66">
        <f>IFERROR(VLOOKUP(D186,input_6!L:R,7,FALSE),VLOOKUP(tables_6!B186,input_6!A:H,8,FALSE))</f>
        <v>0</v>
      </c>
      <c r="M186" s="67">
        <f t="shared" si="6"/>
        <v>0</v>
      </c>
      <c r="N186" s="31">
        <f>IFERROR(VLOOKUP($D186,bug_conf_sheet!$A:$H,3,FALSE),VLOOKUP("other",bug_conf_sheet!$A:$H,3,FALSE))</f>
        <v>1</v>
      </c>
      <c r="O186" s="31">
        <f>IFERROR(VLOOKUP($D186,bug_conf_sheet!$A:$H,4,FALSE),VLOOKUP("other",bug_conf_sheet!$A:$H,4,FALSE))</f>
        <v>0</v>
      </c>
      <c r="P186" s="31">
        <f>IFERROR(VLOOKUP($D186,bug_conf_sheet!$A:$H,5,FALSE),VLOOKUP("other",bug_conf_sheet!$A:$H,5,FALSE))</f>
        <v>0</v>
      </c>
      <c r="Q186" s="31">
        <f>IFERROR(VLOOKUP($D186,bug_conf_sheet!$A:$H,6,FALSE),VLOOKUP("other",bug_conf_sheet!$A:$H,6,FALSE))</f>
        <v>0</v>
      </c>
      <c r="R186" s="31">
        <f>IFERROR(VLOOKUP($D186,bug_conf_sheet!$A:$H,7,FALSE),VLOOKUP("other",bug_conf_sheet!$A:$H,7,FALSE))</f>
        <v>0</v>
      </c>
      <c r="S186" s="31">
        <f>IFERROR(VLOOKUP($D186,bug_conf_sheet!$A:$H,8,FALSE),VLOOKUP("other",bug_conf_sheet!$A:$H,8,FALSE))</f>
        <v>1</v>
      </c>
    </row>
    <row r="187" spans="1:19" ht="21" customHeight="1">
      <c r="A187" s="2">
        <f>input_6!A$2</f>
        <v>3126</v>
      </c>
      <c r="B187" s="7" t="str">
        <f t="shared" si="7"/>
        <v>Premium4</v>
      </c>
      <c r="C187" s="7" t="str">
        <f t="shared" si="8"/>
        <v>Premium</v>
      </c>
      <c r="D187" s="8">
        <v>463</v>
      </c>
      <c r="E187" s="7" t="str">
        <f>VLOOKUP(D187,[1]characters!$A:$C,3,FALSE)</f>
        <v>燻銀 ガウェイン</v>
      </c>
      <c r="F187" s="7" t="str">
        <f>VLOOKUP(D187,[1]characters!$A:$J,10,FALSE)</f>
        <v>PremiumS</v>
      </c>
      <c r="G187" s="7">
        <f>VLOOKUP(D187,[1]characters!$A:$I,9,FALSE)</f>
        <v>4</v>
      </c>
      <c r="H187" s="7" t="str">
        <f>VLOOKUP(D187,[1]characters!$A:$H,8,FALSE)</f>
        <v>red</v>
      </c>
      <c r="I187" s="7" t="str">
        <f>VLOOKUP(D187,[1]characters!$A:$K,11,FALSE)</f>
        <v>hp</v>
      </c>
      <c r="J187" s="7" t="str">
        <f>VLOOKUP(D187,[1]characters!$A:$M,13,FALSE)</f>
        <v>human</v>
      </c>
      <c r="K187" s="7" t="str">
        <f>VLOOKUP(D187,[1]characters!$A:$G,7,FALSE)</f>
        <v>男性</v>
      </c>
      <c r="L187" s="66">
        <f>IFERROR(VLOOKUP(D187,input_6!L:R,7,FALSE),VLOOKUP(tables_6!B187,input_6!A:H,8,FALSE))</f>
        <v>646893</v>
      </c>
      <c r="M187" s="67">
        <f t="shared" si="6"/>
        <v>1.2452702702702703E-2</v>
      </c>
      <c r="N187" s="31">
        <f>IFERROR(VLOOKUP($D187,bug_conf_sheet!$A:$H,3,FALSE),VLOOKUP("other",bug_conf_sheet!$A:$H,3,FALSE))</f>
        <v>1</v>
      </c>
      <c r="O187" s="31">
        <f>IFERROR(VLOOKUP($D187,bug_conf_sheet!$A:$H,4,FALSE),VLOOKUP("other",bug_conf_sheet!$A:$H,4,FALSE))</f>
        <v>0</v>
      </c>
      <c r="P187" s="31">
        <f>IFERROR(VLOOKUP($D187,bug_conf_sheet!$A:$H,5,FALSE),VLOOKUP("other",bug_conf_sheet!$A:$H,5,FALSE))</f>
        <v>0</v>
      </c>
      <c r="Q187" s="31">
        <f>IFERROR(VLOOKUP($D187,bug_conf_sheet!$A:$H,6,FALSE),VLOOKUP("other",bug_conf_sheet!$A:$H,6,FALSE))</f>
        <v>0</v>
      </c>
      <c r="R187" s="31">
        <f>IFERROR(VLOOKUP($D187,bug_conf_sheet!$A:$H,7,FALSE),VLOOKUP("other",bug_conf_sheet!$A:$H,7,FALSE))</f>
        <v>0</v>
      </c>
      <c r="S187" s="31">
        <f>IFERROR(VLOOKUP($D187,bug_conf_sheet!$A:$H,8,FALSE),VLOOKUP("other",bug_conf_sheet!$A:$H,8,FALSE))</f>
        <v>1</v>
      </c>
    </row>
    <row r="188" spans="1:19" ht="21" customHeight="1">
      <c r="A188" s="2">
        <f>input_6!A$2</f>
        <v>3126</v>
      </c>
      <c r="B188" s="7" t="str">
        <f t="shared" si="7"/>
        <v>Premium5</v>
      </c>
      <c r="C188" s="7" t="str">
        <f t="shared" si="8"/>
        <v>Premium</v>
      </c>
      <c r="D188" s="8">
        <v>464</v>
      </c>
      <c r="E188" s="7" t="str">
        <f>VLOOKUP(D188,[1]characters!$A:$C,3,FALSE)</f>
        <v>円熟の弾導 ガウェイン</v>
      </c>
      <c r="F188" s="7" t="str">
        <f>VLOOKUP(D188,[1]characters!$A:$J,10,FALSE)</f>
        <v>PremiumS</v>
      </c>
      <c r="G188" s="7">
        <f>VLOOKUP(D188,[1]characters!$A:$I,9,FALSE)</f>
        <v>5</v>
      </c>
      <c r="H188" s="7" t="str">
        <f>VLOOKUP(D188,[1]characters!$A:$H,8,FALSE)</f>
        <v>red</v>
      </c>
      <c r="I188" s="7" t="str">
        <f>VLOOKUP(D188,[1]characters!$A:$K,11,FALSE)</f>
        <v>hp</v>
      </c>
      <c r="J188" s="7" t="str">
        <f>VLOOKUP(D188,[1]characters!$A:$M,13,FALSE)</f>
        <v>human</v>
      </c>
      <c r="K188" s="7" t="str">
        <f>VLOOKUP(D188,[1]characters!$A:$G,7,FALSE)</f>
        <v>男性</v>
      </c>
      <c r="L188" s="66">
        <f>IFERROR(VLOOKUP(D188,input_6!L:R,7,FALSE),VLOOKUP(tables_6!B188,input_6!A:H,8,FALSE))</f>
        <v>46657</v>
      </c>
      <c r="M188" s="67">
        <f t="shared" si="6"/>
        <v>8.9814814814814813E-4</v>
      </c>
      <c r="N188" s="31">
        <f>IFERROR(VLOOKUP($D188,bug_conf_sheet!$A:$H,3,FALSE),VLOOKUP("other",bug_conf_sheet!$A:$H,3,FALSE))</f>
        <v>1</v>
      </c>
      <c r="O188" s="31">
        <f>IFERROR(VLOOKUP($D188,bug_conf_sheet!$A:$H,4,FALSE),VLOOKUP("other",bug_conf_sheet!$A:$H,4,FALSE))</f>
        <v>0</v>
      </c>
      <c r="P188" s="31">
        <f>IFERROR(VLOOKUP($D188,bug_conf_sheet!$A:$H,5,FALSE),VLOOKUP("other",bug_conf_sheet!$A:$H,5,FALSE))</f>
        <v>0</v>
      </c>
      <c r="Q188" s="31">
        <f>IFERROR(VLOOKUP($D188,bug_conf_sheet!$A:$H,6,FALSE),VLOOKUP("other",bug_conf_sheet!$A:$H,6,FALSE))</f>
        <v>0</v>
      </c>
      <c r="R188" s="31">
        <f>IFERROR(VLOOKUP($D188,bug_conf_sheet!$A:$H,7,FALSE),VLOOKUP("other",bug_conf_sheet!$A:$H,7,FALSE))</f>
        <v>0</v>
      </c>
      <c r="S188" s="31">
        <f>IFERROR(VLOOKUP($D188,bug_conf_sheet!$A:$H,8,FALSE),VLOOKUP("other",bug_conf_sheet!$A:$H,8,FALSE))</f>
        <v>1</v>
      </c>
    </row>
    <row r="189" spans="1:19" ht="21" customHeight="1">
      <c r="A189" s="2">
        <f>input_6!A$2</f>
        <v>3126</v>
      </c>
      <c r="B189" s="7" t="str">
        <f t="shared" si="7"/>
        <v>PremiumSS4</v>
      </c>
      <c r="C189" s="7" t="str">
        <f t="shared" si="8"/>
        <v>PremiumSS</v>
      </c>
      <c r="D189" s="8">
        <v>465</v>
      </c>
      <c r="E189" s="7" t="str">
        <f>VLOOKUP(D189,[1]characters!$A:$C,3,FALSE)</f>
        <v>真撃 ランスロット</v>
      </c>
      <c r="F189" s="7" t="str">
        <f>VLOOKUP(D189,[1]characters!$A:$J,10,FALSE)</f>
        <v>PremiumSS</v>
      </c>
      <c r="G189" s="7">
        <f>VLOOKUP(D189,[1]characters!$A:$I,9,FALSE)</f>
        <v>4</v>
      </c>
      <c r="H189" s="7" t="str">
        <f>VLOOKUP(D189,[1]characters!$A:$H,8,FALSE)</f>
        <v>green</v>
      </c>
      <c r="I189" s="7" t="str">
        <f>VLOOKUP(D189,[1]characters!$A:$K,11,FALSE)</f>
        <v>balance</v>
      </c>
      <c r="J189" s="7" t="str">
        <f>VLOOKUP(D189,[1]characters!$A:$M,13,FALSE)</f>
        <v>human</v>
      </c>
      <c r="K189" s="7" t="str">
        <f>VLOOKUP(D189,[1]characters!$A:$G,7,FALSE)</f>
        <v>男性</v>
      </c>
      <c r="L189" s="66">
        <f>IFERROR(VLOOKUP(D189,input_6!L:R,7,FALSE),VLOOKUP(tables_6!B189,input_6!A:H,8,FALSE))</f>
        <v>56943</v>
      </c>
      <c r="M189" s="67">
        <f t="shared" si="6"/>
        <v>1.0961538461538461E-3</v>
      </c>
      <c r="N189" s="31">
        <f>IFERROR(VLOOKUP($D189,bug_conf_sheet!$A:$H,3,FALSE),VLOOKUP("other",bug_conf_sheet!$A:$H,3,FALSE))</f>
        <v>1</v>
      </c>
      <c r="O189" s="31">
        <f>IFERROR(VLOOKUP($D189,bug_conf_sheet!$A:$H,4,FALSE),VLOOKUP("other",bug_conf_sheet!$A:$H,4,FALSE))</f>
        <v>0</v>
      </c>
      <c r="P189" s="31">
        <f>IFERROR(VLOOKUP($D189,bug_conf_sheet!$A:$H,5,FALSE),VLOOKUP("other",bug_conf_sheet!$A:$H,5,FALSE))</f>
        <v>0</v>
      </c>
      <c r="Q189" s="31">
        <f>IFERROR(VLOOKUP($D189,bug_conf_sheet!$A:$H,6,FALSE),VLOOKUP("other",bug_conf_sheet!$A:$H,6,FALSE))</f>
        <v>0</v>
      </c>
      <c r="R189" s="31">
        <f>IFERROR(VLOOKUP($D189,bug_conf_sheet!$A:$H,7,FALSE),VLOOKUP("other",bug_conf_sheet!$A:$H,7,FALSE))</f>
        <v>0</v>
      </c>
      <c r="S189" s="31">
        <f>IFERROR(VLOOKUP($D189,bug_conf_sheet!$A:$H,8,FALSE),VLOOKUP("other",bug_conf_sheet!$A:$H,8,FALSE))</f>
        <v>1</v>
      </c>
    </row>
    <row r="190" spans="1:19" s="9" customFormat="1" ht="21" customHeight="1" thickBot="1">
      <c r="A190" s="2">
        <f>input_6!A$2</f>
        <v>3126</v>
      </c>
      <c r="B190" s="7" t="str">
        <f t="shared" si="7"/>
        <v>PremiumSS5</v>
      </c>
      <c r="C190" s="7" t="str">
        <f t="shared" si="8"/>
        <v>PremiumSS</v>
      </c>
      <c r="D190" s="6">
        <v>466</v>
      </c>
      <c r="E190" s="7" t="str">
        <f>VLOOKUP(D190,[1]characters!$A:$C,3,FALSE)</f>
        <v>真断の勇覇 ランスロット</v>
      </c>
      <c r="F190" s="7" t="str">
        <f>VLOOKUP(D190,[1]characters!$A:$J,10,FALSE)</f>
        <v>PremiumSS</v>
      </c>
      <c r="G190" s="7">
        <f>VLOOKUP(D190,[1]characters!$A:$I,9,FALSE)</f>
        <v>5</v>
      </c>
      <c r="H190" s="7" t="str">
        <f>VLOOKUP(D190,[1]characters!$A:$H,8,FALSE)</f>
        <v>green</v>
      </c>
      <c r="I190" s="7" t="str">
        <f>VLOOKUP(D190,[1]characters!$A:$K,11,FALSE)</f>
        <v>balance</v>
      </c>
      <c r="J190" s="7" t="str">
        <f>VLOOKUP(D190,[1]characters!$A:$M,13,FALSE)</f>
        <v>human</v>
      </c>
      <c r="K190" s="7" t="str">
        <f>VLOOKUP(D190,[1]characters!$A:$G,7,FALSE)</f>
        <v>男性</v>
      </c>
      <c r="L190" s="66">
        <f>IFERROR(VLOOKUP(D190,input_6!L:R,7,FALSE),VLOOKUP(tables_6!B190,input_6!A:H,8,FALSE))</f>
        <v>2997</v>
      </c>
      <c r="M190" s="67">
        <f t="shared" si="6"/>
        <v>5.7692307692307691E-5</v>
      </c>
      <c r="N190" s="31">
        <f>IFERROR(VLOOKUP($D190,bug_conf_sheet!$A:$H,3,FALSE),VLOOKUP("other",bug_conf_sheet!$A:$H,3,FALSE))</f>
        <v>1</v>
      </c>
      <c r="O190" s="31">
        <f>IFERROR(VLOOKUP($D190,bug_conf_sheet!$A:$H,4,FALSE),VLOOKUP("other",bug_conf_sheet!$A:$H,4,FALSE))</f>
        <v>0</v>
      </c>
      <c r="P190" s="31">
        <f>IFERROR(VLOOKUP($D190,bug_conf_sheet!$A:$H,5,FALSE),VLOOKUP("other",bug_conf_sheet!$A:$H,5,FALSE))</f>
        <v>0</v>
      </c>
      <c r="Q190" s="31">
        <f>IFERROR(VLOOKUP($D190,bug_conf_sheet!$A:$H,6,FALSE),VLOOKUP("other",bug_conf_sheet!$A:$H,6,FALSE))</f>
        <v>0</v>
      </c>
      <c r="R190" s="31">
        <f>IFERROR(VLOOKUP($D190,bug_conf_sheet!$A:$H,7,FALSE),VLOOKUP("other",bug_conf_sheet!$A:$H,7,FALSE))</f>
        <v>0</v>
      </c>
      <c r="S190" s="31">
        <f>IFERROR(VLOOKUP($D190,bug_conf_sheet!$A:$H,8,FALSE),VLOOKUP("other",bug_conf_sheet!$A:$H,8,FALSE))</f>
        <v>1</v>
      </c>
    </row>
    <row r="191" spans="1:19" ht="21" customHeight="1">
      <c r="A191" s="2">
        <f>input_6!A$2</f>
        <v>3126</v>
      </c>
      <c r="B191" s="7" t="str">
        <f t="shared" si="7"/>
        <v>PremiumSS4</v>
      </c>
      <c r="C191" s="7" t="str">
        <f t="shared" si="8"/>
        <v>PremiumSS</v>
      </c>
      <c r="D191" s="6">
        <v>467</v>
      </c>
      <c r="E191" s="7" t="str">
        <f>VLOOKUP(D191,[1]characters!$A:$C,3,FALSE)</f>
        <v>報復 モルドレッド</v>
      </c>
      <c r="F191" s="7" t="str">
        <f>VLOOKUP(D191,[1]characters!$A:$J,10,FALSE)</f>
        <v>PremiumSS</v>
      </c>
      <c r="G191" s="7">
        <f>VLOOKUP(D191,[1]characters!$A:$I,9,FALSE)</f>
        <v>4</v>
      </c>
      <c r="H191" s="7" t="str">
        <f>VLOOKUP(D191,[1]characters!$A:$H,8,FALSE)</f>
        <v>blue</v>
      </c>
      <c r="I191" s="7" t="str">
        <f>VLOOKUP(D191,[1]characters!$A:$K,11,FALSE)</f>
        <v>technical</v>
      </c>
      <c r="J191" s="7" t="str">
        <f>VLOOKUP(D191,[1]characters!$A:$M,13,FALSE)</f>
        <v>human</v>
      </c>
      <c r="K191" s="7" t="str">
        <f>VLOOKUP(D191,[1]characters!$A:$G,7,FALSE)</f>
        <v>女性</v>
      </c>
      <c r="L191" s="66">
        <f>IFERROR(VLOOKUP(D191,input_6!L:R,7,FALSE),VLOOKUP(tables_6!B191,input_6!A:H,8,FALSE))</f>
        <v>56943</v>
      </c>
      <c r="M191" s="67">
        <f t="shared" si="6"/>
        <v>1.0961538461538461E-3</v>
      </c>
      <c r="N191" s="31">
        <f>IFERROR(VLOOKUP($D191,bug_conf_sheet!$A:$H,3,FALSE),VLOOKUP("other",bug_conf_sheet!$A:$H,3,FALSE))</f>
        <v>1</v>
      </c>
      <c r="O191" s="31">
        <f>IFERROR(VLOOKUP($D191,bug_conf_sheet!$A:$H,4,FALSE),VLOOKUP("other",bug_conf_sheet!$A:$H,4,FALSE))</f>
        <v>0</v>
      </c>
      <c r="P191" s="31">
        <f>IFERROR(VLOOKUP($D191,bug_conf_sheet!$A:$H,5,FALSE),VLOOKUP("other",bug_conf_sheet!$A:$H,5,FALSE))</f>
        <v>0</v>
      </c>
      <c r="Q191" s="31">
        <f>IFERROR(VLOOKUP($D191,bug_conf_sheet!$A:$H,6,FALSE),VLOOKUP("other",bug_conf_sheet!$A:$H,6,FALSE))</f>
        <v>0</v>
      </c>
      <c r="R191" s="31">
        <f>IFERROR(VLOOKUP($D191,bug_conf_sheet!$A:$H,7,FALSE),VLOOKUP("other",bug_conf_sheet!$A:$H,7,FALSE))</f>
        <v>0</v>
      </c>
      <c r="S191" s="31">
        <f>IFERROR(VLOOKUP($D191,bug_conf_sheet!$A:$H,8,FALSE),VLOOKUP("other",bug_conf_sheet!$A:$H,8,FALSE))</f>
        <v>1</v>
      </c>
    </row>
    <row r="192" spans="1:19" ht="21" customHeight="1">
      <c r="A192" s="2">
        <f>input_6!A$2</f>
        <v>3126</v>
      </c>
      <c r="B192" s="7" t="str">
        <f t="shared" si="7"/>
        <v>PremiumSS5</v>
      </c>
      <c r="C192" s="7" t="str">
        <f t="shared" si="8"/>
        <v>PremiumSS</v>
      </c>
      <c r="D192" s="6">
        <v>468</v>
      </c>
      <c r="E192" s="7" t="str">
        <f>VLOOKUP(D192,[1]characters!$A:$C,3,FALSE)</f>
        <v>憎愛の尖鋒 モルドレッド</v>
      </c>
      <c r="F192" s="7" t="str">
        <f>VLOOKUP(D192,[1]characters!$A:$J,10,FALSE)</f>
        <v>PremiumSS</v>
      </c>
      <c r="G192" s="7">
        <f>VLOOKUP(D192,[1]characters!$A:$I,9,FALSE)</f>
        <v>5</v>
      </c>
      <c r="H192" s="7" t="str">
        <f>VLOOKUP(D192,[1]characters!$A:$H,8,FALSE)</f>
        <v>blue</v>
      </c>
      <c r="I192" s="7" t="str">
        <f>VLOOKUP(D192,[1]characters!$A:$K,11,FALSE)</f>
        <v>technical</v>
      </c>
      <c r="J192" s="7" t="str">
        <f>VLOOKUP(D192,[1]characters!$A:$M,13,FALSE)</f>
        <v>human</v>
      </c>
      <c r="K192" s="7" t="str">
        <f>VLOOKUP(D192,[1]characters!$A:$G,7,FALSE)</f>
        <v>女性</v>
      </c>
      <c r="L192" s="66">
        <f>IFERROR(VLOOKUP(D192,input_6!L:R,7,FALSE),VLOOKUP(tables_6!B192,input_6!A:H,8,FALSE))</f>
        <v>2997</v>
      </c>
      <c r="M192" s="67">
        <f t="shared" si="6"/>
        <v>5.7692307692307691E-5</v>
      </c>
      <c r="N192" s="31">
        <f>IFERROR(VLOOKUP($D192,bug_conf_sheet!$A:$H,3,FALSE),VLOOKUP("other",bug_conf_sheet!$A:$H,3,FALSE))</f>
        <v>1</v>
      </c>
      <c r="O192" s="31">
        <f>IFERROR(VLOOKUP($D192,bug_conf_sheet!$A:$H,4,FALSE),VLOOKUP("other",bug_conf_sheet!$A:$H,4,FALSE))</f>
        <v>0</v>
      </c>
      <c r="P192" s="31">
        <f>IFERROR(VLOOKUP($D192,bug_conf_sheet!$A:$H,5,FALSE),VLOOKUP("other",bug_conf_sheet!$A:$H,5,FALSE))</f>
        <v>0</v>
      </c>
      <c r="Q192" s="31">
        <f>IFERROR(VLOOKUP($D192,bug_conf_sheet!$A:$H,6,FALSE),VLOOKUP("other",bug_conf_sheet!$A:$H,6,FALSE))</f>
        <v>0</v>
      </c>
      <c r="R192" s="31">
        <f>IFERROR(VLOOKUP($D192,bug_conf_sheet!$A:$H,7,FALSE),VLOOKUP("other",bug_conf_sheet!$A:$H,7,FALSE))</f>
        <v>0</v>
      </c>
      <c r="S192" s="31">
        <f>IFERROR(VLOOKUP($D192,bug_conf_sheet!$A:$H,8,FALSE),VLOOKUP("other",bug_conf_sheet!$A:$H,8,FALSE))</f>
        <v>1</v>
      </c>
    </row>
    <row r="193" spans="1:19" ht="21" customHeight="1">
      <c r="A193" s="2">
        <f>input_6!A$2</f>
        <v>3126</v>
      </c>
      <c r="B193" s="7" t="str">
        <f t="shared" si="7"/>
        <v>Premium3</v>
      </c>
      <c r="C193" s="7" t="str">
        <f t="shared" si="8"/>
        <v>Premium</v>
      </c>
      <c r="D193" s="6">
        <v>469</v>
      </c>
      <c r="E193" s="7" t="str">
        <f>VLOOKUP(D193,[1]characters!$A:$C,3,FALSE)</f>
        <v>トリスタン</v>
      </c>
      <c r="F193" s="7" t="str">
        <f>VLOOKUP(D193,[1]characters!$A:$J,10,FALSE)</f>
        <v>PremiumS</v>
      </c>
      <c r="G193" s="7">
        <f>VLOOKUP(D193,[1]characters!$A:$I,9,FALSE)</f>
        <v>3</v>
      </c>
      <c r="H193" s="7" t="str">
        <f>VLOOKUP(D193,[1]characters!$A:$H,8,FALSE)</f>
        <v>yellow</v>
      </c>
      <c r="I193" s="7" t="str">
        <f>VLOOKUP(D193,[1]characters!$A:$K,11,FALSE)</f>
        <v>attack</v>
      </c>
      <c r="J193" s="7" t="str">
        <f>VLOOKUP(D193,[1]characters!$A:$M,13,FALSE)</f>
        <v>human</v>
      </c>
      <c r="K193" s="7" t="str">
        <f>VLOOKUP(D193,[1]characters!$A:$G,7,FALSE)</f>
        <v>男性</v>
      </c>
      <c r="L193" s="66">
        <f>IFERROR(VLOOKUP(D193,input_6!L:R,7,FALSE),VLOOKUP(tables_6!B193,input_6!A:H,8,FALSE))</f>
        <v>0</v>
      </c>
      <c r="M193" s="67">
        <f t="shared" si="6"/>
        <v>0</v>
      </c>
      <c r="N193" s="31">
        <f>IFERROR(VLOOKUP($D193,bug_conf_sheet!$A:$H,3,FALSE),VLOOKUP("other",bug_conf_sheet!$A:$H,3,FALSE))</f>
        <v>1</v>
      </c>
      <c r="O193" s="31">
        <f>IFERROR(VLOOKUP($D193,bug_conf_sheet!$A:$H,4,FALSE),VLOOKUP("other",bug_conf_sheet!$A:$H,4,FALSE))</f>
        <v>0</v>
      </c>
      <c r="P193" s="31">
        <f>IFERROR(VLOOKUP($D193,bug_conf_sheet!$A:$H,5,FALSE),VLOOKUP("other",bug_conf_sheet!$A:$H,5,FALSE))</f>
        <v>0</v>
      </c>
      <c r="Q193" s="31">
        <f>IFERROR(VLOOKUP($D193,bug_conf_sheet!$A:$H,6,FALSE),VLOOKUP("other",bug_conf_sheet!$A:$H,6,FALSE))</f>
        <v>0</v>
      </c>
      <c r="R193" s="31">
        <f>IFERROR(VLOOKUP($D193,bug_conf_sheet!$A:$H,7,FALSE),VLOOKUP("other",bug_conf_sheet!$A:$H,7,FALSE))</f>
        <v>0</v>
      </c>
      <c r="S193" s="31">
        <f>IFERROR(VLOOKUP($D193,bug_conf_sheet!$A:$H,8,FALSE),VLOOKUP("other",bug_conf_sheet!$A:$H,8,FALSE))</f>
        <v>1</v>
      </c>
    </row>
    <row r="194" spans="1:19" ht="21" customHeight="1">
      <c r="A194" s="2">
        <f>input_6!A$2</f>
        <v>3126</v>
      </c>
      <c r="B194" s="7" t="str">
        <f t="shared" si="7"/>
        <v>Premium4</v>
      </c>
      <c r="C194" s="7" t="str">
        <f t="shared" si="8"/>
        <v>Premium</v>
      </c>
      <c r="D194" s="6">
        <v>470</v>
      </c>
      <c r="E194" s="7" t="str">
        <f>VLOOKUP(D194,[1]characters!$A:$C,3,FALSE)</f>
        <v>純心 トリスタン</v>
      </c>
      <c r="F194" s="7" t="str">
        <f>VLOOKUP(D194,[1]characters!$A:$J,10,FALSE)</f>
        <v>PremiumS</v>
      </c>
      <c r="G194" s="7">
        <f>VLOOKUP(D194,[1]characters!$A:$I,9,FALSE)</f>
        <v>4</v>
      </c>
      <c r="H194" s="7" t="str">
        <f>VLOOKUP(D194,[1]characters!$A:$H,8,FALSE)</f>
        <v>yellow</v>
      </c>
      <c r="I194" s="7" t="str">
        <f>VLOOKUP(D194,[1]characters!$A:$K,11,FALSE)</f>
        <v>attack</v>
      </c>
      <c r="J194" s="7" t="str">
        <f>VLOOKUP(D194,[1]characters!$A:$M,13,FALSE)</f>
        <v>human</v>
      </c>
      <c r="K194" s="7" t="str">
        <f>VLOOKUP(D194,[1]characters!$A:$G,7,FALSE)</f>
        <v>男性</v>
      </c>
      <c r="L194" s="66">
        <f>IFERROR(VLOOKUP(D194,input_6!L:R,7,FALSE),VLOOKUP(tables_6!B194,input_6!A:H,8,FALSE))</f>
        <v>646893</v>
      </c>
      <c r="M194" s="67">
        <f t="shared" ref="M194:M255" si="9">L194/SUM(L:L)</f>
        <v>1.2452702702702703E-2</v>
      </c>
      <c r="N194" s="31">
        <f>IFERROR(VLOOKUP($D194,bug_conf_sheet!$A:$H,3,FALSE),VLOOKUP("other",bug_conf_sheet!$A:$H,3,FALSE))</f>
        <v>1</v>
      </c>
      <c r="O194" s="31">
        <f>IFERROR(VLOOKUP($D194,bug_conf_sheet!$A:$H,4,FALSE),VLOOKUP("other",bug_conf_sheet!$A:$H,4,FALSE))</f>
        <v>0</v>
      </c>
      <c r="P194" s="31">
        <f>IFERROR(VLOOKUP($D194,bug_conf_sheet!$A:$H,5,FALSE),VLOOKUP("other",bug_conf_sheet!$A:$H,5,FALSE))</f>
        <v>0</v>
      </c>
      <c r="Q194" s="31">
        <f>IFERROR(VLOOKUP($D194,bug_conf_sheet!$A:$H,6,FALSE),VLOOKUP("other",bug_conf_sheet!$A:$H,6,FALSE))</f>
        <v>0</v>
      </c>
      <c r="R194" s="31">
        <f>IFERROR(VLOOKUP($D194,bug_conf_sheet!$A:$H,7,FALSE),VLOOKUP("other",bug_conf_sheet!$A:$H,7,FALSE))</f>
        <v>0</v>
      </c>
      <c r="S194" s="31">
        <f>IFERROR(VLOOKUP($D194,bug_conf_sheet!$A:$H,8,FALSE),VLOOKUP("other",bug_conf_sheet!$A:$H,8,FALSE))</f>
        <v>1</v>
      </c>
    </row>
    <row r="195" spans="1:19" ht="21" customHeight="1">
      <c r="A195" s="2">
        <f>input_6!A$2</f>
        <v>3126</v>
      </c>
      <c r="B195" s="7" t="str">
        <f t="shared" ref="B195:B255" si="10">C195&amp;G195</f>
        <v>Premium5</v>
      </c>
      <c r="C195" s="7" t="str">
        <f t="shared" ref="C195:C255" si="11">IF(F195="PremiumSS",F195,IF(F195="PremiumSSS",F195,"Premium"))</f>
        <v>Premium</v>
      </c>
      <c r="D195" s="6">
        <v>471</v>
      </c>
      <c r="E195" s="7" t="str">
        <f>VLOOKUP(D195,[1]characters!$A:$C,3,FALSE)</f>
        <v>不可避の爆激 トリスタン</v>
      </c>
      <c r="F195" s="7" t="str">
        <f>VLOOKUP(D195,[1]characters!$A:$J,10,FALSE)</f>
        <v>PremiumS</v>
      </c>
      <c r="G195" s="7">
        <f>VLOOKUP(D195,[1]characters!$A:$I,9,FALSE)</f>
        <v>5</v>
      </c>
      <c r="H195" s="7" t="str">
        <f>VLOOKUP(D195,[1]characters!$A:$H,8,FALSE)</f>
        <v>yellow</v>
      </c>
      <c r="I195" s="7" t="str">
        <f>VLOOKUP(D195,[1]characters!$A:$K,11,FALSE)</f>
        <v>attack</v>
      </c>
      <c r="J195" s="7" t="str">
        <f>VLOOKUP(D195,[1]characters!$A:$M,13,FALSE)</f>
        <v>human</v>
      </c>
      <c r="K195" s="7" t="str">
        <f>VLOOKUP(D195,[1]characters!$A:$G,7,FALSE)</f>
        <v>男性</v>
      </c>
      <c r="L195" s="66">
        <f>IFERROR(VLOOKUP(D195,input_6!L:R,7,FALSE),VLOOKUP(tables_6!B195,input_6!A:H,8,FALSE))</f>
        <v>46657</v>
      </c>
      <c r="M195" s="67">
        <f t="shared" si="9"/>
        <v>8.9814814814814813E-4</v>
      </c>
      <c r="N195" s="31">
        <f>IFERROR(VLOOKUP($D195,bug_conf_sheet!$A:$H,3,FALSE),VLOOKUP("other",bug_conf_sheet!$A:$H,3,FALSE))</f>
        <v>1</v>
      </c>
      <c r="O195" s="31">
        <f>IFERROR(VLOOKUP($D195,bug_conf_sheet!$A:$H,4,FALSE),VLOOKUP("other",bug_conf_sheet!$A:$H,4,FALSE))</f>
        <v>0</v>
      </c>
      <c r="P195" s="31">
        <f>IFERROR(VLOOKUP($D195,bug_conf_sheet!$A:$H,5,FALSE),VLOOKUP("other",bug_conf_sheet!$A:$H,5,FALSE))</f>
        <v>0</v>
      </c>
      <c r="Q195" s="31">
        <f>IFERROR(VLOOKUP($D195,bug_conf_sheet!$A:$H,6,FALSE),VLOOKUP("other",bug_conf_sheet!$A:$H,6,FALSE))</f>
        <v>0</v>
      </c>
      <c r="R195" s="31">
        <f>IFERROR(VLOOKUP($D195,bug_conf_sheet!$A:$H,7,FALSE),VLOOKUP("other",bug_conf_sheet!$A:$H,7,FALSE))</f>
        <v>0</v>
      </c>
      <c r="S195" s="31">
        <f>IFERROR(VLOOKUP($D195,bug_conf_sheet!$A:$H,8,FALSE),VLOOKUP("other",bug_conf_sheet!$A:$H,8,FALSE))</f>
        <v>1</v>
      </c>
    </row>
    <row r="196" spans="1:19" ht="21" customHeight="1">
      <c r="A196" s="2">
        <f>input_6!A$2</f>
        <v>3126</v>
      </c>
      <c r="B196" s="7" t="str">
        <f t="shared" si="10"/>
        <v>PremiumSS4</v>
      </c>
      <c r="C196" s="7" t="str">
        <f t="shared" si="11"/>
        <v>PremiumSS</v>
      </c>
      <c r="D196" s="6">
        <v>474</v>
      </c>
      <c r="E196" s="7" t="str">
        <f>VLOOKUP(D196,[1]characters!$A:$C,3,FALSE)</f>
        <v>キング・ドライグ</v>
      </c>
      <c r="F196" s="7" t="str">
        <f>VLOOKUP(D196,[1]characters!$A:$J,10,FALSE)</f>
        <v>PremiumSS</v>
      </c>
      <c r="G196" s="7">
        <f>VLOOKUP(D196,[1]characters!$A:$I,9,FALSE)</f>
        <v>4</v>
      </c>
      <c r="H196" s="7" t="str">
        <f>VLOOKUP(D196,[1]characters!$A:$H,8,FALSE)</f>
        <v>red</v>
      </c>
      <c r="I196" s="7" t="str">
        <f>VLOOKUP(D196,[1]characters!$A:$K,11,FALSE)</f>
        <v>attack</v>
      </c>
      <c r="J196" s="7" t="str">
        <f>VLOOKUP(D196,[1]characters!$A:$M,13,FALSE)</f>
        <v>dragon</v>
      </c>
      <c r="K196" s="7" t="str">
        <f>VLOOKUP(D196,[1]characters!$A:$G,7,FALSE)</f>
        <v>不明</v>
      </c>
      <c r="L196" s="66">
        <f>IFERROR(VLOOKUP(D196,input_6!L:R,7,FALSE),VLOOKUP(tables_6!B196,input_6!A:H,8,FALSE))</f>
        <v>56943</v>
      </c>
      <c r="M196" s="67">
        <f t="shared" si="9"/>
        <v>1.0961538461538461E-3</v>
      </c>
      <c r="N196" s="31">
        <f>IFERROR(VLOOKUP($D196,bug_conf_sheet!$A:$H,3,FALSE),VLOOKUP("other",bug_conf_sheet!$A:$H,3,FALSE))</f>
        <v>1</v>
      </c>
      <c r="O196" s="31">
        <f>IFERROR(VLOOKUP($D196,bug_conf_sheet!$A:$H,4,FALSE),VLOOKUP("other",bug_conf_sheet!$A:$H,4,FALSE))</f>
        <v>0</v>
      </c>
      <c r="P196" s="31">
        <f>IFERROR(VLOOKUP($D196,bug_conf_sheet!$A:$H,5,FALSE),VLOOKUP("other",bug_conf_sheet!$A:$H,5,FALSE))</f>
        <v>0</v>
      </c>
      <c r="Q196" s="31">
        <f>IFERROR(VLOOKUP($D196,bug_conf_sheet!$A:$H,6,FALSE),VLOOKUP("other",bug_conf_sheet!$A:$H,6,FALSE))</f>
        <v>0</v>
      </c>
      <c r="R196" s="31">
        <f>IFERROR(VLOOKUP($D196,bug_conf_sheet!$A:$H,7,FALSE),VLOOKUP("other",bug_conf_sheet!$A:$H,7,FALSE))</f>
        <v>0</v>
      </c>
      <c r="S196" s="31">
        <f>IFERROR(VLOOKUP($D196,bug_conf_sheet!$A:$H,8,FALSE),VLOOKUP("other",bug_conf_sheet!$A:$H,8,FALSE))</f>
        <v>1</v>
      </c>
    </row>
    <row r="197" spans="1:19" ht="21" customHeight="1">
      <c r="A197" s="2">
        <f>input_6!A$2</f>
        <v>3126</v>
      </c>
      <c r="B197" s="7" t="str">
        <f t="shared" si="10"/>
        <v>PremiumSS5</v>
      </c>
      <c r="C197" s="7" t="str">
        <f t="shared" si="11"/>
        <v>PremiumSS</v>
      </c>
      <c r="D197" s="6">
        <v>475</v>
      </c>
      <c r="E197" s="7" t="str">
        <f>VLOOKUP(D197,[1]characters!$A:$C,3,FALSE)</f>
        <v>緋王 キング・ドライグ</v>
      </c>
      <c r="F197" s="7" t="str">
        <f>VLOOKUP(D197,[1]characters!$A:$J,10,FALSE)</f>
        <v>PremiumSS</v>
      </c>
      <c r="G197" s="7">
        <f>VLOOKUP(D197,[1]characters!$A:$I,9,FALSE)</f>
        <v>5</v>
      </c>
      <c r="H197" s="7" t="str">
        <f>VLOOKUP(D197,[1]characters!$A:$H,8,FALSE)</f>
        <v>red</v>
      </c>
      <c r="I197" s="7" t="str">
        <f>VLOOKUP(D197,[1]characters!$A:$K,11,FALSE)</f>
        <v>attack</v>
      </c>
      <c r="J197" s="7" t="str">
        <f>VLOOKUP(D197,[1]characters!$A:$M,13,FALSE)</f>
        <v>dragon</v>
      </c>
      <c r="K197" s="7" t="str">
        <f>VLOOKUP(D197,[1]characters!$A:$G,7,FALSE)</f>
        <v>不明</v>
      </c>
      <c r="L197" s="66">
        <f>IFERROR(VLOOKUP(D197,input_6!L:R,7,FALSE),VLOOKUP(tables_6!B197,input_6!A:H,8,FALSE))</f>
        <v>2997</v>
      </c>
      <c r="M197" s="67">
        <f t="shared" si="9"/>
        <v>5.7692307692307691E-5</v>
      </c>
      <c r="N197" s="31">
        <f>IFERROR(VLOOKUP($D197,bug_conf_sheet!$A:$H,3,FALSE),VLOOKUP("other",bug_conf_sheet!$A:$H,3,FALSE))</f>
        <v>1</v>
      </c>
      <c r="O197" s="31">
        <f>IFERROR(VLOOKUP($D197,bug_conf_sheet!$A:$H,4,FALSE),VLOOKUP("other",bug_conf_sheet!$A:$H,4,FALSE))</f>
        <v>0</v>
      </c>
      <c r="P197" s="31">
        <f>IFERROR(VLOOKUP($D197,bug_conf_sheet!$A:$H,5,FALSE),VLOOKUP("other",bug_conf_sheet!$A:$H,5,FALSE))</f>
        <v>0</v>
      </c>
      <c r="Q197" s="31">
        <f>IFERROR(VLOOKUP($D197,bug_conf_sheet!$A:$H,6,FALSE),VLOOKUP("other",bug_conf_sheet!$A:$H,6,FALSE))</f>
        <v>0</v>
      </c>
      <c r="R197" s="31">
        <f>IFERROR(VLOOKUP($D197,bug_conf_sheet!$A:$H,7,FALSE),VLOOKUP("other",bug_conf_sheet!$A:$H,7,FALSE))</f>
        <v>0</v>
      </c>
      <c r="S197" s="31">
        <f>IFERROR(VLOOKUP($D197,bug_conf_sheet!$A:$H,8,FALSE),VLOOKUP("other",bug_conf_sheet!$A:$H,8,FALSE))</f>
        <v>1</v>
      </c>
    </row>
    <row r="198" spans="1:19" ht="21" customHeight="1">
      <c r="A198" s="2">
        <f>input_6!A$2</f>
        <v>3126</v>
      </c>
      <c r="B198" s="7" t="str">
        <f t="shared" si="10"/>
        <v>Premium3</v>
      </c>
      <c r="C198" s="7" t="str">
        <f t="shared" si="11"/>
        <v>Premium</v>
      </c>
      <c r="D198" s="6">
        <v>476</v>
      </c>
      <c r="E198" s="7" t="str">
        <f>VLOOKUP(D198,[1]characters!$A:$C,3,FALSE)</f>
        <v>ファータ</v>
      </c>
      <c r="F198" s="7" t="str">
        <f>VLOOKUP(D198,[1]characters!$A:$J,10,FALSE)</f>
        <v>PremiumS</v>
      </c>
      <c r="G198" s="7">
        <f>VLOOKUP(D198,[1]characters!$A:$I,9,FALSE)</f>
        <v>3</v>
      </c>
      <c r="H198" s="7" t="str">
        <f>VLOOKUP(D198,[1]characters!$A:$H,8,FALSE)</f>
        <v>green</v>
      </c>
      <c r="I198" s="7" t="str">
        <f>VLOOKUP(D198,[1]characters!$A:$K,11,FALSE)</f>
        <v>heal</v>
      </c>
      <c r="J198" s="7" t="str">
        <f>VLOOKUP(D198,[1]characters!$A:$M,13,FALSE)</f>
        <v>unknown</v>
      </c>
      <c r="K198" s="7" t="str">
        <f>VLOOKUP(D198,[1]characters!$A:$G,7,FALSE)</f>
        <v>女性</v>
      </c>
      <c r="L198" s="66">
        <f>IFERROR(VLOOKUP(D198,input_6!L:R,7,FALSE),VLOOKUP(tables_6!B198,input_6!A:H,8,FALSE))</f>
        <v>0</v>
      </c>
      <c r="M198" s="67">
        <f t="shared" si="9"/>
        <v>0</v>
      </c>
      <c r="N198" s="31">
        <f>IFERROR(VLOOKUP($D198,bug_conf_sheet!$A:$H,3,FALSE),VLOOKUP("other",bug_conf_sheet!$A:$H,3,FALSE))</f>
        <v>1</v>
      </c>
      <c r="O198" s="31">
        <f>IFERROR(VLOOKUP($D198,bug_conf_sheet!$A:$H,4,FALSE),VLOOKUP("other",bug_conf_sheet!$A:$H,4,FALSE))</f>
        <v>0</v>
      </c>
      <c r="P198" s="31">
        <f>IFERROR(VLOOKUP($D198,bug_conf_sheet!$A:$H,5,FALSE),VLOOKUP("other",bug_conf_sheet!$A:$H,5,FALSE))</f>
        <v>0</v>
      </c>
      <c r="Q198" s="31">
        <f>IFERROR(VLOOKUP($D198,bug_conf_sheet!$A:$H,6,FALSE),VLOOKUP("other",bug_conf_sheet!$A:$H,6,FALSE))</f>
        <v>0</v>
      </c>
      <c r="R198" s="31">
        <f>IFERROR(VLOOKUP($D198,bug_conf_sheet!$A:$H,7,FALSE),VLOOKUP("other",bug_conf_sheet!$A:$H,7,FALSE))</f>
        <v>0</v>
      </c>
      <c r="S198" s="31">
        <f>IFERROR(VLOOKUP($D198,bug_conf_sheet!$A:$H,8,FALSE),VLOOKUP("other",bug_conf_sheet!$A:$H,8,FALSE))</f>
        <v>1</v>
      </c>
    </row>
    <row r="199" spans="1:19" ht="21" customHeight="1">
      <c r="A199" s="2">
        <f>input_6!A$2</f>
        <v>3126</v>
      </c>
      <c r="B199" s="7" t="str">
        <f t="shared" si="10"/>
        <v>Premium4</v>
      </c>
      <c r="C199" s="7" t="str">
        <f t="shared" si="11"/>
        <v>Premium</v>
      </c>
      <c r="D199" s="6">
        <v>477</v>
      </c>
      <c r="E199" s="7" t="str">
        <f>VLOOKUP(D199,[1]characters!$A:$C,3,FALSE)</f>
        <v>愛羽妖精 ファータ</v>
      </c>
      <c r="F199" s="7" t="str">
        <f>VLOOKUP(D199,[1]characters!$A:$J,10,FALSE)</f>
        <v>PremiumS</v>
      </c>
      <c r="G199" s="7">
        <f>VLOOKUP(D199,[1]characters!$A:$I,9,FALSE)</f>
        <v>4</v>
      </c>
      <c r="H199" s="7" t="str">
        <f>VLOOKUP(D199,[1]characters!$A:$H,8,FALSE)</f>
        <v>green</v>
      </c>
      <c r="I199" s="7" t="str">
        <f>VLOOKUP(D199,[1]characters!$A:$K,11,FALSE)</f>
        <v>heal</v>
      </c>
      <c r="J199" s="7" t="str">
        <f>VLOOKUP(D199,[1]characters!$A:$M,13,FALSE)</f>
        <v>unknown</v>
      </c>
      <c r="K199" s="7" t="str">
        <f>VLOOKUP(D199,[1]characters!$A:$G,7,FALSE)</f>
        <v>女性</v>
      </c>
      <c r="L199" s="66">
        <f>IFERROR(VLOOKUP(D199,input_6!L:R,7,FALSE),VLOOKUP(tables_6!B199,input_6!A:H,8,FALSE))</f>
        <v>646893</v>
      </c>
      <c r="M199" s="67">
        <f t="shared" si="9"/>
        <v>1.2452702702702703E-2</v>
      </c>
      <c r="N199" s="31">
        <f>IFERROR(VLOOKUP($D199,bug_conf_sheet!$A:$H,3,FALSE),VLOOKUP("other",bug_conf_sheet!$A:$H,3,FALSE))</f>
        <v>1</v>
      </c>
      <c r="O199" s="31">
        <f>IFERROR(VLOOKUP($D199,bug_conf_sheet!$A:$H,4,FALSE),VLOOKUP("other",bug_conf_sheet!$A:$H,4,FALSE))</f>
        <v>0</v>
      </c>
      <c r="P199" s="31">
        <f>IFERROR(VLOOKUP($D199,bug_conf_sheet!$A:$H,5,FALSE),VLOOKUP("other",bug_conf_sheet!$A:$H,5,FALSE))</f>
        <v>0</v>
      </c>
      <c r="Q199" s="31">
        <f>IFERROR(VLOOKUP($D199,bug_conf_sheet!$A:$H,6,FALSE),VLOOKUP("other",bug_conf_sheet!$A:$H,6,FALSE))</f>
        <v>0</v>
      </c>
      <c r="R199" s="31">
        <f>IFERROR(VLOOKUP($D199,bug_conf_sheet!$A:$H,7,FALSE),VLOOKUP("other",bug_conf_sheet!$A:$H,7,FALSE))</f>
        <v>0</v>
      </c>
      <c r="S199" s="31">
        <f>IFERROR(VLOOKUP($D199,bug_conf_sheet!$A:$H,8,FALSE),VLOOKUP("other",bug_conf_sheet!$A:$H,8,FALSE))</f>
        <v>1</v>
      </c>
    </row>
    <row r="200" spans="1:19" ht="21" customHeight="1">
      <c r="A200" s="2">
        <f>input_6!A$2</f>
        <v>3126</v>
      </c>
      <c r="B200" s="7" t="str">
        <f t="shared" si="10"/>
        <v>Premium5</v>
      </c>
      <c r="C200" s="7" t="str">
        <f t="shared" si="11"/>
        <v>Premium</v>
      </c>
      <c r="D200" s="6">
        <v>478</v>
      </c>
      <c r="E200" s="7" t="str">
        <f>VLOOKUP(D200,[1]characters!$A:$C,3,FALSE)</f>
        <v>時計仕掛けの愛羽妖精 ファータ</v>
      </c>
      <c r="F200" s="7" t="str">
        <f>VLOOKUP(D200,[1]characters!$A:$J,10,FALSE)</f>
        <v>PremiumS</v>
      </c>
      <c r="G200" s="7">
        <f>VLOOKUP(D200,[1]characters!$A:$I,9,FALSE)</f>
        <v>5</v>
      </c>
      <c r="H200" s="7" t="str">
        <f>VLOOKUP(D200,[1]characters!$A:$H,8,FALSE)</f>
        <v>green</v>
      </c>
      <c r="I200" s="7" t="str">
        <f>VLOOKUP(D200,[1]characters!$A:$K,11,FALSE)</f>
        <v>heal</v>
      </c>
      <c r="J200" s="7" t="str">
        <f>VLOOKUP(D200,[1]characters!$A:$M,13,FALSE)</f>
        <v>unknown</v>
      </c>
      <c r="K200" s="7" t="str">
        <f>VLOOKUP(D200,[1]characters!$A:$G,7,FALSE)</f>
        <v>女性</v>
      </c>
      <c r="L200" s="66">
        <f>IFERROR(VLOOKUP(D200,input_6!L:R,7,FALSE),VLOOKUP(tables_6!B200,input_6!A:H,8,FALSE))</f>
        <v>46657</v>
      </c>
      <c r="M200" s="67">
        <f t="shared" si="9"/>
        <v>8.9814814814814813E-4</v>
      </c>
      <c r="N200" s="31">
        <f>IFERROR(VLOOKUP($D200,bug_conf_sheet!$A:$H,3,FALSE),VLOOKUP("other",bug_conf_sheet!$A:$H,3,FALSE))</f>
        <v>1</v>
      </c>
      <c r="O200" s="31">
        <f>IFERROR(VLOOKUP($D200,bug_conf_sheet!$A:$H,4,FALSE),VLOOKUP("other",bug_conf_sheet!$A:$H,4,FALSE))</f>
        <v>0</v>
      </c>
      <c r="P200" s="31">
        <f>IFERROR(VLOOKUP($D200,bug_conf_sheet!$A:$H,5,FALSE),VLOOKUP("other",bug_conf_sheet!$A:$H,5,FALSE))</f>
        <v>0</v>
      </c>
      <c r="Q200" s="31">
        <f>IFERROR(VLOOKUP($D200,bug_conf_sheet!$A:$H,6,FALSE),VLOOKUP("other",bug_conf_sheet!$A:$H,6,FALSE))</f>
        <v>0</v>
      </c>
      <c r="R200" s="31">
        <f>IFERROR(VLOOKUP($D200,bug_conf_sheet!$A:$H,7,FALSE),VLOOKUP("other",bug_conf_sheet!$A:$H,7,FALSE))</f>
        <v>0</v>
      </c>
      <c r="S200" s="31">
        <f>IFERROR(VLOOKUP($D200,bug_conf_sheet!$A:$H,8,FALSE),VLOOKUP("other",bug_conf_sheet!$A:$H,8,FALSE))</f>
        <v>1</v>
      </c>
    </row>
    <row r="201" spans="1:19" ht="21" customHeight="1">
      <c r="A201" s="2">
        <f>input_6!A$2</f>
        <v>3126</v>
      </c>
      <c r="B201" s="7" t="str">
        <f t="shared" si="10"/>
        <v>PremiumSS4</v>
      </c>
      <c r="C201" s="7" t="str">
        <f t="shared" si="11"/>
        <v>PremiumSS</v>
      </c>
      <c r="D201" s="6">
        <v>479</v>
      </c>
      <c r="E201" s="7" t="str">
        <f>VLOOKUP(D201,[1]characters!$A:$C,3,FALSE)</f>
        <v>フール</v>
      </c>
      <c r="F201" s="7" t="str">
        <f>VLOOKUP(D201,[1]characters!$A:$J,10,FALSE)</f>
        <v>PremiumSS</v>
      </c>
      <c r="G201" s="7">
        <f>VLOOKUP(D201,[1]characters!$A:$I,9,FALSE)</f>
        <v>4</v>
      </c>
      <c r="H201" s="7" t="str">
        <f>VLOOKUP(D201,[1]characters!$A:$H,8,FALSE)</f>
        <v>blue</v>
      </c>
      <c r="I201" s="7" t="str">
        <f>VLOOKUP(D201,[1]characters!$A:$K,11,FALSE)</f>
        <v>technical</v>
      </c>
      <c r="J201" s="7" t="str">
        <f>VLOOKUP(D201,[1]characters!$A:$M,13,FALSE)</f>
        <v>god</v>
      </c>
      <c r="K201" s="7" t="str">
        <f>VLOOKUP(D201,[1]characters!$A:$G,7,FALSE)</f>
        <v>男性</v>
      </c>
      <c r="L201" s="66">
        <f>IFERROR(VLOOKUP(D201,input_6!L:R,7,FALSE),VLOOKUP(tables_6!B201,input_6!A:H,8,FALSE))</f>
        <v>56943</v>
      </c>
      <c r="M201" s="67">
        <f t="shared" si="9"/>
        <v>1.0961538461538461E-3</v>
      </c>
      <c r="N201" s="31">
        <f>IFERROR(VLOOKUP($D201,bug_conf_sheet!$A:$H,3,FALSE),VLOOKUP("other",bug_conf_sheet!$A:$H,3,FALSE))</f>
        <v>1</v>
      </c>
      <c r="O201" s="31">
        <f>IFERROR(VLOOKUP($D201,bug_conf_sheet!$A:$H,4,FALSE),VLOOKUP("other",bug_conf_sheet!$A:$H,4,FALSE))</f>
        <v>0</v>
      </c>
      <c r="P201" s="31">
        <f>IFERROR(VLOOKUP($D201,bug_conf_sheet!$A:$H,5,FALSE),VLOOKUP("other",bug_conf_sheet!$A:$H,5,FALSE))</f>
        <v>0</v>
      </c>
      <c r="Q201" s="31">
        <f>IFERROR(VLOOKUP($D201,bug_conf_sheet!$A:$H,6,FALSE),VLOOKUP("other",bug_conf_sheet!$A:$H,6,FALSE))</f>
        <v>0</v>
      </c>
      <c r="R201" s="31">
        <f>IFERROR(VLOOKUP($D201,bug_conf_sheet!$A:$H,7,FALSE),VLOOKUP("other",bug_conf_sheet!$A:$H,7,FALSE))</f>
        <v>0</v>
      </c>
      <c r="S201" s="31">
        <f>IFERROR(VLOOKUP($D201,bug_conf_sheet!$A:$H,8,FALSE),VLOOKUP("other",bug_conf_sheet!$A:$H,8,FALSE))</f>
        <v>1</v>
      </c>
    </row>
    <row r="202" spans="1:19" ht="21" customHeight="1">
      <c r="A202" s="2">
        <f>input_6!A$2</f>
        <v>3126</v>
      </c>
      <c r="B202" s="7" t="str">
        <f t="shared" si="10"/>
        <v>PremiumSS5</v>
      </c>
      <c r="C202" s="7" t="str">
        <f t="shared" si="11"/>
        <v>PremiumSS</v>
      </c>
      <c r="D202" s="6">
        <v>480</v>
      </c>
      <c r="E202" s="7" t="str">
        <f>VLOOKUP(D202,[1]characters!$A:$C,3,FALSE)</f>
        <v>夢幻の愚者フール</v>
      </c>
      <c r="F202" s="7" t="str">
        <f>VLOOKUP(D202,[1]characters!$A:$J,10,FALSE)</f>
        <v>PremiumSS</v>
      </c>
      <c r="G202" s="7">
        <f>VLOOKUP(D202,[1]characters!$A:$I,9,FALSE)</f>
        <v>5</v>
      </c>
      <c r="H202" s="7" t="str">
        <f>VLOOKUP(D202,[1]characters!$A:$H,8,FALSE)</f>
        <v>blue</v>
      </c>
      <c r="I202" s="7" t="str">
        <f>VLOOKUP(D202,[1]characters!$A:$K,11,FALSE)</f>
        <v>technical</v>
      </c>
      <c r="J202" s="7" t="str">
        <f>VLOOKUP(D202,[1]characters!$A:$M,13,FALSE)</f>
        <v>god</v>
      </c>
      <c r="K202" s="7" t="str">
        <f>VLOOKUP(D202,[1]characters!$A:$G,7,FALSE)</f>
        <v>男性</v>
      </c>
      <c r="L202" s="66">
        <f>IFERROR(VLOOKUP(D202,input_6!L:R,7,FALSE),VLOOKUP(tables_6!B202,input_6!A:H,8,FALSE))</f>
        <v>2997</v>
      </c>
      <c r="M202" s="67">
        <f t="shared" si="9"/>
        <v>5.7692307692307691E-5</v>
      </c>
      <c r="N202" s="31">
        <f>IFERROR(VLOOKUP($D202,bug_conf_sheet!$A:$H,3,FALSE),VLOOKUP("other",bug_conf_sheet!$A:$H,3,FALSE))</f>
        <v>1</v>
      </c>
      <c r="O202" s="31">
        <f>IFERROR(VLOOKUP($D202,bug_conf_sheet!$A:$H,4,FALSE),VLOOKUP("other",bug_conf_sheet!$A:$H,4,FALSE))</f>
        <v>0</v>
      </c>
      <c r="P202" s="31">
        <f>IFERROR(VLOOKUP($D202,bug_conf_sheet!$A:$H,5,FALSE),VLOOKUP("other",bug_conf_sheet!$A:$H,5,FALSE))</f>
        <v>0</v>
      </c>
      <c r="Q202" s="31">
        <f>IFERROR(VLOOKUP($D202,bug_conf_sheet!$A:$H,6,FALSE),VLOOKUP("other",bug_conf_sheet!$A:$H,6,FALSE))</f>
        <v>0</v>
      </c>
      <c r="R202" s="31">
        <f>IFERROR(VLOOKUP($D202,bug_conf_sheet!$A:$H,7,FALSE),VLOOKUP("other",bug_conf_sheet!$A:$H,7,FALSE))</f>
        <v>0</v>
      </c>
      <c r="S202" s="31">
        <f>IFERROR(VLOOKUP($D202,bug_conf_sheet!$A:$H,8,FALSE),VLOOKUP("other",bug_conf_sheet!$A:$H,8,FALSE))</f>
        <v>1</v>
      </c>
    </row>
    <row r="203" spans="1:19" ht="21" customHeight="1">
      <c r="A203" s="2">
        <f>input_6!A$2</f>
        <v>3126</v>
      </c>
      <c r="B203" s="7" t="str">
        <f t="shared" si="10"/>
        <v>Premium3</v>
      </c>
      <c r="C203" s="7" t="str">
        <f t="shared" si="11"/>
        <v>Premium</v>
      </c>
      <c r="D203" s="6">
        <v>481</v>
      </c>
      <c r="E203" s="7" t="str">
        <f>VLOOKUP(D203,[1]characters!$A:$C,3,FALSE)</f>
        <v>沢庵宗彭</v>
      </c>
      <c r="F203" s="7" t="str">
        <f>VLOOKUP(D203,[1]characters!$A:$J,10,FALSE)</f>
        <v>PremiumS</v>
      </c>
      <c r="G203" s="7">
        <f>VLOOKUP(D203,[1]characters!$A:$I,9,FALSE)</f>
        <v>3</v>
      </c>
      <c r="H203" s="7" t="str">
        <f>VLOOKUP(D203,[1]characters!$A:$H,8,FALSE)</f>
        <v>yellow</v>
      </c>
      <c r="I203" s="7" t="str">
        <f>VLOOKUP(D203,[1]characters!$A:$K,11,FALSE)</f>
        <v>hp</v>
      </c>
      <c r="J203" s="7" t="str">
        <f>VLOOKUP(D203,[1]characters!$A:$M,13,FALSE)</f>
        <v>human</v>
      </c>
      <c r="K203" s="7" t="str">
        <f>VLOOKUP(D203,[1]characters!$A:$G,7,FALSE)</f>
        <v>男性</v>
      </c>
      <c r="L203" s="66">
        <f>IFERROR(VLOOKUP(D203,input_6!L:R,7,FALSE),VLOOKUP(tables_6!B203,input_6!A:H,8,FALSE))</f>
        <v>0</v>
      </c>
      <c r="M203" s="67">
        <f t="shared" si="9"/>
        <v>0</v>
      </c>
      <c r="N203" s="31">
        <f>IFERROR(VLOOKUP($D203,bug_conf_sheet!$A:$H,3,FALSE),VLOOKUP("other",bug_conf_sheet!$A:$H,3,FALSE))</f>
        <v>1</v>
      </c>
      <c r="O203" s="31">
        <f>IFERROR(VLOOKUP($D203,bug_conf_sheet!$A:$H,4,FALSE),VLOOKUP("other",bug_conf_sheet!$A:$H,4,FALSE))</f>
        <v>0</v>
      </c>
      <c r="P203" s="31">
        <f>IFERROR(VLOOKUP($D203,bug_conf_sheet!$A:$H,5,FALSE),VLOOKUP("other",bug_conf_sheet!$A:$H,5,FALSE))</f>
        <v>0</v>
      </c>
      <c r="Q203" s="31">
        <f>IFERROR(VLOOKUP($D203,bug_conf_sheet!$A:$H,6,FALSE),VLOOKUP("other",bug_conf_sheet!$A:$H,6,FALSE))</f>
        <v>0</v>
      </c>
      <c r="R203" s="31">
        <f>IFERROR(VLOOKUP($D203,bug_conf_sheet!$A:$H,7,FALSE),VLOOKUP("other",bug_conf_sheet!$A:$H,7,FALSE))</f>
        <v>0</v>
      </c>
      <c r="S203" s="31">
        <f>IFERROR(VLOOKUP($D203,bug_conf_sheet!$A:$H,8,FALSE),VLOOKUP("other",bug_conf_sheet!$A:$H,8,FALSE))</f>
        <v>1</v>
      </c>
    </row>
    <row r="204" spans="1:19" ht="21" customHeight="1">
      <c r="A204" s="2">
        <f>input_6!A$2</f>
        <v>3126</v>
      </c>
      <c r="B204" s="7" t="str">
        <f t="shared" si="10"/>
        <v>Premium4</v>
      </c>
      <c r="C204" s="7" t="str">
        <f t="shared" si="11"/>
        <v>Premium</v>
      </c>
      <c r="D204" s="6">
        <v>482</v>
      </c>
      <c r="E204" s="7" t="str">
        <f>VLOOKUP(D204,[1]characters!$A:$C,3,FALSE)</f>
        <v>魁僧 沢庵宗彭</v>
      </c>
      <c r="F204" s="7" t="str">
        <f>VLOOKUP(D204,[1]characters!$A:$J,10,FALSE)</f>
        <v>PremiumS</v>
      </c>
      <c r="G204" s="7">
        <f>VLOOKUP(D204,[1]characters!$A:$I,9,FALSE)</f>
        <v>4</v>
      </c>
      <c r="H204" s="7" t="str">
        <f>VLOOKUP(D204,[1]characters!$A:$H,8,FALSE)</f>
        <v>yellow</v>
      </c>
      <c r="I204" s="7" t="str">
        <f>VLOOKUP(D204,[1]characters!$A:$K,11,FALSE)</f>
        <v>hp</v>
      </c>
      <c r="J204" s="7" t="str">
        <f>VLOOKUP(D204,[1]characters!$A:$M,13,FALSE)</f>
        <v>human</v>
      </c>
      <c r="K204" s="7" t="str">
        <f>VLOOKUP(D204,[1]characters!$A:$G,7,FALSE)</f>
        <v>男性</v>
      </c>
      <c r="L204" s="66">
        <f>IFERROR(VLOOKUP(D204,input_6!L:R,7,FALSE),VLOOKUP(tables_6!B204,input_6!A:H,8,FALSE))</f>
        <v>646893</v>
      </c>
      <c r="M204" s="67">
        <f t="shared" si="9"/>
        <v>1.2452702702702703E-2</v>
      </c>
      <c r="N204" s="31">
        <f>IFERROR(VLOOKUP($D204,bug_conf_sheet!$A:$H,3,FALSE),VLOOKUP("other",bug_conf_sheet!$A:$H,3,FALSE))</f>
        <v>1</v>
      </c>
      <c r="O204" s="31">
        <f>IFERROR(VLOOKUP($D204,bug_conf_sheet!$A:$H,4,FALSE),VLOOKUP("other",bug_conf_sheet!$A:$H,4,FALSE))</f>
        <v>0</v>
      </c>
      <c r="P204" s="31">
        <f>IFERROR(VLOOKUP($D204,bug_conf_sheet!$A:$H,5,FALSE),VLOOKUP("other",bug_conf_sheet!$A:$H,5,FALSE))</f>
        <v>0</v>
      </c>
      <c r="Q204" s="31">
        <f>IFERROR(VLOOKUP($D204,bug_conf_sheet!$A:$H,6,FALSE),VLOOKUP("other",bug_conf_sheet!$A:$H,6,FALSE))</f>
        <v>0</v>
      </c>
      <c r="R204" s="31">
        <f>IFERROR(VLOOKUP($D204,bug_conf_sheet!$A:$H,7,FALSE),VLOOKUP("other",bug_conf_sheet!$A:$H,7,FALSE))</f>
        <v>0</v>
      </c>
      <c r="S204" s="31">
        <f>IFERROR(VLOOKUP($D204,bug_conf_sheet!$A:$H,8,FALSE),VLOOKUP("other",bug_conf_sheet!$A:$H,8,FALSE))</f>
        <v>1</v>
      </c>
    </row>
    <row r="205" spans="1:19" ht="21" customHeight="1">
      <c r="A205" s="2">
        <f>input_6!A$2</f>
        <v>3126</v>
      </c>
      <c r="B205" s="7" t="str">
        <f t="shared" si="10"/>
        <v>Premium5</v>
      </c>
      <c r="C205" s="7" t="str">
        <f t="shared" si="11"/>
        <v>Premium</v>
      </c>
      <c r="D205" s="6">
        <v>483</v>
      </c>
      <c r="E205" s="7" t="str">
        <f>VLOOKUP(D205,[1]characters!$A:$C,3,FALSE)</f>
        <v xml:space="preserve">命経死遂 沢庵宗彭 </v>
      </c>
      <c r="F205" s="7" t="str">
        <f>VLOOKUP(D205,[1]characters!$A:$J,10,FALSE)</f>
        <v>PremiumS</v>
      </c>
      <c r="G205" s="7">
        <f>VLOOKUP(D205,[1]characters!$A:$I,9,FALSE)</f>
        <v>5</v>
      </c>
      <c r="H205" s="7" t="str">
        <f>VLOOKUP(D205,[1]characters!$A:$H,8,FALSE)</f>
        <v>yellow</v>
      </c>
      <c r="I205" s="7" t="str">
        <f>VLOOKUP(D205,[1]characters!$A:$K,11,FALSE)</f>
        <v>hp</v>
      </c>
      <c r="J205" s="7" t="str">
        <f>VLOOKUP(D205,[1]characters!$A:$M,13,FALSE)</f>
        <v>human</v>
      </c>
      <c r="K205" s="7" t="str">
        <f>VLOOKUP(D205,[1]characters!$A:$G,7,FALSE)</f>
        <v>男性</v>
      </c>
      <c r="L205" s="66">
        <f>IFERROR(VLOOKUP(D205,input_6!L:R,7,FALSE),VLOOKUP(tables_6!B205,input_6!A:H,8,FALSE))</f>
        <v>46657</v>
      </c>
      <c r="M205" s="67">
        <f t="shared" si="9"/>
        <v>8.9814814814814813E-4</v>
      </c>
      <c r="N205" s="31">
        <f>IFERROR(VLOOKUP($D205,bug_conf_sheet!$A:$H,3,FALSE),VLOOKUP("other",bug_conf_sheet!$A:$H,3,FALSE))</f>
        <v>1</v>
      </c>
      <c r="O205" s="31">
        <f>IFERROR(VLOOKUP($D205,bug_conf_sheet!$A:$H,4,FALSE),VLOOKUP("other",bug_conf_sheet!$A:$H,4,FALSE))</f>
        <v>0</v>
      </c>
      <c r="P205" s="31">
        <f>IFERROR(VLOOKUP($D205,bug_conf_sheet!$A:$H,5,FALSE),VLOOKUP("other",bug_conf_sheet!$A:$H,5,FALSE))</f>
        <v>0</v>
      </c>
      <c r="Q205" s="31">
        <f>IFERROR(VLOOKUP($D205,bug_conf_sheet!$A:$H,6,FALSE),VLOOKUP("other",bug_conf_sheet!$A:$H,6,FALSE))</f>
        <v>0</v>
      </c>
      <c r="R205" s="31">
        <f>IFERROR(VLOOKUP($D205,bug_conf_sheet!$A:$H,7,FALSE),VLOOKUP("other",bug_conf_sheet!$A:$H,7,FALSE))</f>
        <v>0</v>
      </c>
      <c r="S205" s="31">
        <f>IFERROR(VLOOKUP($D205,bug_conf_sheet!$A:$H,8,FALSE),VLOOKUP("other",bug_conf_sheet!$A:$H,8,FALSE))</f>
        <v>1</v>
      </c>
    </row>
    <row r="206" spans="1:19" ht="21" customHeight="1">
      <c r="A206" s="2">
        <f>input_6!A$2</f>
        <v>3126</v>
      </c>
      <c r="B206" s="7" t="str">
        <f t="shared" si="10"/>
        <v>PremiumSS4</v>
      </c>
      <c r="C206" s="7" t="str">
        <f t="shared" si="11"/>
        <v>PremiumSS</v>
      </c>
      <c r="D206" s="6">
        <v>492</v>
      </c>
      <c r="E206" s="7" t="str">
        <f>VLOOKUP(D206,[1]characters!$A:$C,3,FALSE)</f>
        <v>ブートレグ・ペロー</v>
      </c>
      <c r="F206" s="7" t="str">
        <f>VLOOKUP(D206,[1]characters!$A:$J,10,FALSE)</f>
        <v>PremiumSS</v>
      </c>
      <c r="G206" s="7">
        <f>VLOOKUP(D206,[1]characters!$A:$I,9,FALSE)</f>
        <v>4</v>
      </c>
      <c r="H206" s="7" t="str">
        <f>VLOOKUP(D206,[1]characters!$A:$H,8,FALSE)</f>
        <v>red</v>
      </c>
      <c r="I206" s="7" t="str">
        <f>VLOOKUP(D206,[1]characters!$A:$K,11,FALSE)</f>
        <v>hp</v>
      </c>
      <c r="J206" s="7" t="str">
        <f>VLOOKUP(D206,[1]characters!$A:$M,13,FALSE)</f>
        <v>animal</v>
      </c>
      <c r="K206" s="7" t="str">
        <f>VLOOKUP(D206,[1]characters!$A:$G,7,FALSE)</f>
        <v>不明</v>
      </c>
      <c r="L206" s="66">
        <f>IFERROR(VLOOKUP(D206,input_6!L:R,7,FALSE),VLOOKUP(tables_6!B206,input_6!A:H,8,FALSE))</f>
        <v>56943</v>
      </c>
      <c r="M206" s="67">
        <f t="shared" si="9"/>
        <v>1.0961538461538461E-3</v>
      </c>
      <c r="N206" s="31">
        <f>IFERROR(VLOOKUP($D206,bug_conf_sheet!$A:$H,3,FALSE),VLOOKUP("other",bug_conf_sheet!$A:$H,3,FALSE))</f>
        <v>1</v>
      </c>
      <c r="O206" s="31">
        <f>IFERROR(VLOOKUP($D206,bug_conf_sheet!$A:$H,4,FALSE),VLOOKUP("other",bug_conf_sheet!$A:$H,4,FALSE))</f>
        <v>0</v>
      </c>
      <c r="P206" s="31">
        <f>IFERROR(VLOOKUP($D206,bug_conf_sheet!$A:$H,5,FALSE),VLOOKUP("other",bug_conf_sheet!$A:$H,5,FALSE))</f>
        <v>0</v>
      </c>
      <c r="Q206" s="31">
        <f>IFERROR(VLOOKUP($D206,bug_conf_sheet!$A:$H,6,FALSE),VLOOKUP("other",bug_conf_sheet!$A:$H,6,FALSE))</f>
        <v>0</v>
      </c>
      <c r="R206" s="31">
        <f>IFERROR(VLOOKUP($D206,bug_conf_sheet!$A:$H,7,FALSE),VLOOKUP("other",bug_conf_sheet!$A:$H,7,FALSE))</f>
        <v>0</v>
      </c>
      <c r="S206" s="31">
        <f>IFERROR(VLOOKUP($D206,bug_conf_sheet!$A:$H,8,FALSE),VLOOKUP("other",bug_conf_sheet!$A:$H,8,FALSE))</f>
        <v>1</v>
      </c>
    </row>
    <row r="207" spans="1:19" ht="21" customHeight="1">
      <c r="A207" s="2">
        <f>input_6!A$2</f>
        <v>3126</v>
      </c>
      <c r="B207" s="7" t="str">
        <f t="shared" si="10"/>
        <v>PremiumSS5</v>
      </c>
      <c r="C207" s="7" t="str">
        <f t="shared" si="11"/>
        <v>PremiumSS</v>
      </c>
      <c r="D207" s="6">
        <v>493</v>
      </c>
      <c r="E207" s="7" t="str">
        <f>VLOOKUP(D207,[1]characters!$A:$C,3,FALSE)</f>
        <v>跋扈の機脚 ブートレグ・ペロー</v>
      </c>
      <c r="F207" s="7" t="str">
        <f>VLOOKUP(D207,[1]characters!$A:$J,10,FALSE)</f>
        <v>PremiumSS</v>
      </c>
      <c r="G207" s="7">
        <f>VLOOKUP(D207,[1]characters!$A:$I,9,FALSE)</f>
        <v>5</v>
      </c>
      <c r="H207" s="7" t="str">
        <f>VLOOKUP(D207,[1]characters!$A:$H,8,FALSE)</f>
        <v>red</v>
      </c>
      <c r="I207" s="7" t="str">
        <f>VLOOKUP(D207,[1]characters!$A:$K,11,FALSE)</f>
        <v>hp</v>
      </c>
      <c r="J207" s="7" t="str">
        <f>VLOOKUP(D207,[1]characters!$A:$M,13,FALSE)</f>
        <v>animal</v>
      </c>
      <c r="K207" s="7" t="str">
        <f>VLOOKUP(D207,[1]characters!$A:$G,7,FALSE)</f>
        <v>不明</v>
      </c>
      <c r="L207" s="66">
        <f>IFERROR(VLOOKUP(D207,input_6!L:R,7,FALSE),VLOOKUP(tables_6!B207,input_6!A:H,8,FALSE))</f>
        <v>2997</v>
      </c>
      <c r="M207" s="67">
        <f t="shared" si="9"/>
        <v>5.7692307692307691E-5</v>
      </c>
      <c r="N207" s="31">
        <f>IFERROR(VLOOKUP($D207,bug_conf_sheet!$A:$H,3,FALSE),VLOOKUP("other",bug_conf_sheet!$A:$H,3,FALSE))</f>
        <v>1</v>
      </c>
      <c r="O207" s="31">
        <f>IFERROR(VLOOKUP($D207,bug_conf_sheet!$A:$H,4,FALSE),VLOOKUP("other",bug_conf_sheet!$A:$H,4,FALSE))</f>
        <v>0</v>
      </c>
      <c r="P207" s="31">
        <f>IFERROR(VLOOKUP($D207,bug_conf_sheet!$A:$H,5,FALSE),VLOOKUP("other",bug_conf_sheet!$A:$H,5,FALSE))</f>
        <v>0</v>
      </c>
      <c r="Q207" s="31">
        <f>IFERROR(VLOOKUP($D207,bug_conf_sheet!$A:$H,6,FALSE),VLOOKUP("other",bug_conf_sheet!$A:$H,6,FALSE))</f>
        <v>0</v>
      </c>
      <c r="R207" s="31">
        <f>IFERROR(VLOOKUP($D207,bug_conf_sheet!$A:$H,7,FALSE),VLOOKUP("other",bug_conf_sheet!$A:$H,7,FALSE))</f>
        <v>0</v>
      </c>
      <c r="S207" s="31">
        <f>IFERROR(VLOOKUP($D207,bug_conf_sheet!$A:$H,8,FALSE),VLOOKUP("other",bug_conf_sheet!$A:$H,8,FALSE))</f>
        <v>1</v>
      </c>
    </row>
    <row r="208" spans="1:19" ht="21" customHeight="1">
      <c r="A208" s="2">
        <f>input_6!A$2</f>
        <v>3126</v>
      </c>
      <c r="B208" s="7" t="str">
        <f t="shared" si="10"/>
        <v>PremiumSS4</v>
      </c>
      <c r="C208" s="7" t="str">
        <f t="shared" si="11"/>
        <v>PremiumSS</v>
      </c>
      <c r="D208" s="6">
        <v>494</v>
      </c>
      <c r="E208" s="7" t="str">
        <f>VLOOKUP(D208,[1]characters!$A:$C,3,FALSE)</f>
        <v>ハーメルン</v>
      </c>
      <c r="F208" s="7" t="str">
        <f>VLOOKUP(D208,[1]characters!$A:$J,10,FALSE)</f>
        <v>PremiumSS</v>
      </c>
      <c r="G208" s="7">
        <f>VLOOKUP(D208,[1]characters!$A:$I,9,FALSE)</f>
        <v>4</v>
      </c>
      <c r="H208" s="7" t="str">
        <f>VLOOKUP(D208,[1]characters!$A:$H,8,FALSE)</f>
        <v>green</v>
      </c>
      <c r="I208" s="7" t="str">
        <f>VLOOKUP(D208,[1]characters!$A:$K,11,FALSE)</f>
        <v>technical</v>
      </c>
      <c r="J208" s="7" t="str">
        <f>VLOOKUP(D208,[1]characters!$A:$M,13,FALSE)</f>
        <v>human</v>
      </c>
      <c r="K208" s="7" t="str">
        <f>VLOOKUP(D208,[1]characters!$A:$G,7,FALSE)</f>
        <v>男性</v>
      </c>
      <c r="L208" s="66">
        <f>IFERROR(VLOOKUP(D208,input_6!L:R,7,FALSE),VLOOKUP(tables_6!B208,input_6!A:H,8,FALSE))</f>
        <v>56943</v>
      </c>
      <c r="M208" s="67">
        <f t="shared" si="9"/>
        <v>1.0961538461538461E-3</v>
      </c>
      <c r="N208" s="31">
        <f>IFERROR(VLOOKUP($D208,bug_conf_sheet!$A:$H,3,FALSE),VLOOKUP("other",bug_conf_sheet!$A:$H,3,FALSE))</f>
        <v>1</v>
      </c>
      <c r="O208" s="31">
        <f>IFERROR(VLOOKUP($D208,bug_conf_sheet!$A:$H,4,FALSE),VLOOKUP("other",bug_conf_sheet!$A:$H,4,FALSE))</f>
        <v>0</v>
      </c>
      <c r="P208" s="31">
        <f>IFERROR(VLOOKUP($D208,bug_conf_sheet!$A:$H,5,FALSE),VLOOKUP("other",bug_conf_sheet!$A:$H,5,FALSE))</f>
        <v>0</v>
      </c>
      <c r="Q208" s="31">
        <f>IFERROR(VLOOKUP($D208,bug_conf_sheet!$A:$H,6,FALSE),VLOOKUP("other",bug_conf_sheet!$A:$H,6,FALSE))</f>
        <v>0</v>
      </c>
      <c r="R208" s="31">
        <f>IFERROR(VLOOKUP($D208,bug_conf_sheet!$A:$H,7,FALSE),VLOOKUP("other",bug_conf_sheet!$A:$H,7,FALSE))</f>
        <v>0</v>
      </c>
      <c r="S208" s="31">
        <f>IFERROR(VLOOKUP($D208,bug_conf_sheet!$A:$H,8,FALSE),VLOOKUP("other",bug_conf_sheet!$A:$H,8,FALSE))</f>
        <v>1</v>
      </c>
    </row>
    <row r="209" spans="1:19" ht="21" customHeight="1">
      <c r="A209" s="2">
        <f>input_6!A$2</f>
        <v>3126</v>
      </c>
      <c r="B209" s="7" t="str">
        <f t="shared" si="10"/>
        <v>PremiumSS5</v>
      </c>
      <c r="C209" s="7" t="str">
        <f t="shared" si="11"/>
        <v>PremiumSS</v>
      </c>
      <c r="D209" s="6">
        <v>495</v>
      </c>
      <c r="E209" s="7" t="str">
        <f>VLOOKUP(D209,[1]characters!$A:$C,3,FALSE)</f>
        <v>鼠災呼ぶ笛音 ハーメルン</v>
      </c>
      <c r="F209" s="7" t="str">
        <f>VLOOKUP(D209,[1]characters!$A:$J,10,FALSE)</f>
        <v>PremiumSS</v>
      </c>
      <c r="G209" s="7">
        <f>VLOOKUP(D209,[1]characters!$A:$I,9,FALSE)</f>
        <v>5</v>
      </c>
      <c r="H209" s="7" t="str">
        <f>VLOOKUP(D209,[1]characters!$A:$H,8,FALSE)</f>
        <v>green</v>
      </c>
      <c r="I209" s="7" t="str">
        <f>VLOOKUP(D209,[1]characters!$A:$K,11,FALSE)</f>
        <v>technical</v>
      </c>
      <c r="J209" s="7" t="str">
        <f>VLOOKUP(D209,[1]characters!$A:$M,13,FALSE)</f>
        <v>human</v>
      </c>
      <c r="K209" s="7" t="str">
        <f>VLOOKUP(D209,[1]characters!$A:$G,7,FALSE)</f>
        <v>男性</v>
      </c>
      <c r="L209" s="66">
        <f>IFERROR(VLOOKUP(D209,input_6!L:R,7,FALSE),VLOOKUP(tables_6!B209,input_6!A:H,8,FALSE))</f>
        <v>2997</v>
      </c>
      <c r="M209" s="67">
        <f t="shared" si="9"/>
        <v>5.7692307692307691E-5</v>
      </c>
      <c r="N209" s="31">
        <f>IFERROR(VLOOKUP($D209,bug_conf_sheet!$A:$H,3,FALSE),VLOOKUP("other",bug_conf_sheet!$A:$H,3,FALSE))</f>
        <v>1</v>
      </c>
      <c r="O209" s="31">
        <f>IFERROR(VLOOKUP($D209,bug_conf_sheet!$A:$H,4,FALSE),VLOOKUP("other",bug_conf_sheet!$A:$H,4,FALSE))</f>
        <v>0</v>
      </c>
      <c r="P209" s="31">
        <f>IFERROR(VLOOKUP($D209,bug_conf_sheet!$A:$H,5,FALSE),VLOOKUP("other",bug_conf_sheet!$A:$H,5,FALSE))</f>
        <v>0</v>
      </c>
      <c r="Q209" s="31">
        <f>IFERROR(VLOOKUP($D209,bug_conf_sheet!$A:$H,6,FALSE),VLOOKUP("other",bug_conf_sheet!$A:$H,6,FALSE))</f>
        <v>0</v>
      </c>
      <c r="R209" s="31">
        <f>IFERROR(VLOOKUP($D209,bug_conf_sheet!$A:$H,7,FALSE),VLOOKUP("other",bug_conf_sheet!$A:$H,7,FALSE))</f>
        <v>0</v>
      </c>
      <c r="S209" s="31">
        <f>IFERROR(VLOOKUP($D209,bug_conf_sheet!$A:$H,8,FALSE),VLOOKUP("other",bug_conf_sheet!$A:$H,8,FALSE))</f>
        <v>1</v>
      </c>
    </row>
    <row r="210" spans="1:19" ht="21" customHeight="1">
      <c r="A210" s="2">
        <f>input_6!A$2</f>
        <v>3126</v>
      </c>
      <c r="B210" s="7" t="str">
        <f t="shared" si="10"/>
        <v>Premium3</v>
      </c>
      <c r="C210" s="7" t="str">
        <f t="shared" si="11"/>
        <v>Premium</v>
      </c>
      <c r="D210" s="6">
        <v>496</v>
      </c>
      <c r="E210" s="7" t="str">
        <f>VLOOKUP(D210,[1]characters!$A:$C,3,FALSE)</f>
        <v>エスタブ</v>
      </c>
      <c r="F210" s="7" t="str">
        <f>VLOOKUP(D210,[1]characters!$A:$J,10,FALSE)</f>
        <v>PremiumS</v>
      </c>
      <c r="G210" s="7">
        <f>VLOOKUP(D210,[1]characters!$A:$I,9,FALSE)</f>
        <v>3</v>
      </c>
      <c r="H210" s="7" t="str">
        <f>VLOOKUP(D210,[1]characters!$A:$H,8,FALSE)</f>
        <v>blue</v>
      </c>
      <c r="I210" s="7" t="str">
        <f>VLOOKUP(D210,[1]characters!$A:$K,11,FALSE)</f>
        <v>attack</v>
      </c>
      <c r="J210" s="7" t="str">
        <f>VLOOKUP(D210,[1]characters!$A:$M,13,FALSE)</f>
        <v>human</v>
      </c>
      <c r="K210" s="7" t="str">
        <f>VLOOKUP(D210,[1]characters!$A:$G,7,FALSE)</f>
        <v>男性</v>
      </c>
      <c r="L210" s="66">
        <f>IFERROR(VLOOKUP(D210,input_6!L:R,7,FALSE),VLOOKUP(tables_6!B210,input_6!A:H,8,FALSE))</f>
        <v>0</v>
      </c>
      <c r="M210" s="67">
        <f t="shared" si="9"/>
        <v>0</v>
      </c>
      <c r="N210" s="31">
        <f>IFERROR(VLOOKUP($D210,bug_conf_sheet!$A:$H,3,FALSE),VLOOKUP("other",bug_conf_sheet!$A:$H,3,FALSE))</f>
        <v>1</v>
      </c>
      <c r="O210" s="31">
        <f>IFERROR(VLOOKUP($D210,bug_conf_sheet!$A:$H,4,FALSE),VLOOKUP("other",bug_conf_sheet!$A:$H,4,FALSE))</f>
        <v>0</v>
      </c>
      <c r="P210" s="31">
        <f>IFERROR(VLOOKUP($D210,bug_conf_sheet!$A:$H,5,FALSE),VLOOKUP("other",bug_conf_sheet!$A:$H,5,FALSE))</f>
        <v>0</v>
      </c>
      <c r="Q210" s="31">
        <f>IFERROR(VLOOKUP($D210,bug_conf_sheet!$A:$H,6,FALSE),VLOOKUP("other",bug_conf_sheet!$A:$H,6,FALSE))</f>
        <v>0</v>
      </c>
      <c r="R210" s="31">
        <f>IFERROR(VLOOKUP($D210,bug_conf_sheet!$A:$H,7,FALSE),VLOOKUP("other",bug_conf_sheet!$A:$H,7,FALSE))</f>
        <v>0</v>
      </c>
      <c r="S210" s="31">
        <f>IFERROR(VLOOKUP($D210,bug_conf_sheet!$A:$H,8,FALSE),VLOOKUP("other",bug_conf_sheet!$A:$H,8,FALSE))</f>
        <v>1</v>
      </c>
    </row>
    <row r="211" spans="1:19" ht="21" customHeight="1">
      <c r="A211" s="2">
        <f>input_6!A$2</f>
        <v>3126</v>
      </c>
      <c r="B211" s="7" t="str">
        <f t="shared" si="10"/>
        <v>Premium4</v>
      </c>
      <c r="C211" s="7" t="str">
        <f t="shared" si="11"/>
        <v>Premium</v>
      </c>
      <c r="D211" s="6">
        <v>497</v>
      </c>
      <c r="E211" s="7" t="str">
        <f>VLOOKUP(D211,[1]characters!$A:$C,3,FALSE)</f>
        <v>偏愛の野獣 エスタブ</v>
      </c>
      <c r="F211" s="7" t="str">
        <f>VLOOKUP(D211,[1]characters!$A:$J,10,FALSE)</f>
        <v>PremiumS</v>
      </c>
      <c r="G211" s="7">
        <f>VLOOKUP(D211,[1]characters!$A:$I,9,FALSE)</f>
        <v>4</v>
      </c>
      <c r="H211" s="7" t="str">
        <f>VLOOKUP(D211,[1]characters!$A:$H,8,FALSE)</f>
        <v>blue</v>
      </c>
      <c r="I211" s="7" t="str">
        <f>VLOOKUP(D211,[1]characters!$A:$K,11,FALSE)</f>
        <v>attack</v>
      </c>
      <c r="J211" s="7" t="str">
        <f>VLOOKUP(D211,[1]characters!$A:$M,13,FALSE)</f>
        <v>human</v>
      </c>
      <c r="K211" s="7" t="str">
        <f>VLOOKUP(D211,[1]characters!$A:$G,7,FALSE)</f>
        <v>男性</v>
      </c>
      <c r="L211" s="66">
        <f>IFERROR(VLOOKUP(D211,input_6!L:R,7,FALSE),VLOOKUP(tables_6!B211,input_6!A:H,8,FALSE))</f>
        <v>646893</v>
      </c>
      <c r="M211" s="67">
        <f t="shared" si="9"/>
        <v>1.2452702702702703E-2</v>
      </c>
      <c r="N211" s="31">
        <f>IFERROR(VLOOKUP($D211,bug_conf_sheet!$A:$H,3,FALSE),VLOOKUP("other",bug_conf_sheet!$A:$H,3,FALSE))</f>
        <v>1</v>
      </c>
      <c r="O211" s="31">
        <f>IFERROR(VLOOKUP($D211,bug_conf_sheet!$A:$H,4,FALSE),VLOOKUP("other",bug_conf_sheet!$A:$H,4,FALSE))</f>
        <v>0</v>
      </c>
      <c r="P211" s="31">
        <f>IFERROR(VLOOKUP($D211,bug_conf_sheet!$A:$H,5,FALSE),VLOOKUP("other",bug_conf_sheet!$A:$H,5,FALSE))</f>
        <v>0</v>
      </c>
      <c r="Q211" s="31">
        <f>IFERROR(VLOOKUP($D211,bug_conf_sheet!$A:$H,6,FALSE),VLOOKUP("other",bug_conf_sheet!$A:$H,6,FALSE))</f>
        <v>0</v>
      </c>
      <c r="R211" s="31">
        <f>IFERROR(VLOOKUP($D211,bug_conf_sheet!$A:$H,7,FALSE),VLOOKUP("other",bug_conf_sheet!$A:$H,7,FALSE))</f>
        <v>0</v>
      </c>
      <c r="S211" s="31">
        <f>IFERROR(VLOOKUP($D211,bug_conf_sheet!$A:$H,8,FALSE),VLOOKUP("other",bug_conf_sheet!$A:$H,8,FALSE))</f>
        <v>1</v>
      </c>
    </row>
    <row r="212" spans="1:19" ht="21" customHeight="1">
      <c r="A212" s="2">
        <f>input_6!A$2</f>
        <v>3126</v>
      </c>
      <c r="B212" s="7" t="str">
        <f t="shared" si="10"/>
        <v>Premium5</v>
      </c>
      <c r="C212" s="7" t="str">
        <f t="shared" si="11"/>
        <v>Premium</v>
      </c>
      <c r="D212" s="6">
        <v>498</v>
      </c>
      <c r="E212" s="7" t="str">
        <f>VLOOKUP(D212,[1]characters!$A:$C,3,FALSE)</f>
        <v>自愛の高魔 エスタブ</v>
      </c>
      <c r="F212" s="7" t="str">
        <f>VLOOKUP(D212,[1]characters!$A:$J,10,FALSE)</f>
        <v>PremiumS</v>
      </c>
      <c r="G212" s="7">
        <f>VLOOKUP(D212,[1]characters!$A:$I,9,FALSE)</f>
        <v>5</v>
      </c>
      <c r="H212" s="7" t="str">
        <f>VLOOKUP(D212,[1]characters!$A:$H,8,FALSE)</f>
        <v>blue</v>
      </c>
      <c r="I212" s="7" t="str">
        <f>VLOOKUP(D212,[1]characters!$A:$K,11,FALSE)</f>
        <v>attack</v>
      </c>
      <c r="J212" s="7" t="str">
        <f>VLOOKUP(D212,[1]characters!$A:$M,13,FALSE)</f>
        <v>human</v>
      </c>
      <c r="K212" s="7" t="str">
        <f>VLOOKUP(D212,[1]characters!$A:$G,7,FALSE)</f>
        <v>男性</v>
      </c>
      <c r="L212" s="66">
        <f>IFERROR(VLOOKUP(D212,input_6!L:R,7,FALSE),VLOOKUP(tables_6!B212,input_6!A:H,8,FALSE))</f>
        <v>46657</v>
      </c>
      <c r="M212" s="67">
        <f t="shared" si="9"/>
        <v>8.9814814814814813E-4</v>
      </c>
      <c r="N212" s="31">
        <f>IFERROR(VLOOKUP($D212,bug_conf_sheet!$A:$H,3,FALSE),VLOOKUP("other",bug_conf_sheet!$A:$H,3,FALSE))</f>
        <v>1</v>
      </c>
      <c r="O212" s="31">
        <f>IFERROR(VLOOKUP($D212,bug_conf_sheet!$A:$H,4,FALSE),VLOOKUP("other",bug_conf_sheet!$A:$H,4,FALSE))</f>
        <v>0</v>
      </c>
      <c r="P212" s="31">
        <f>IFERROR(VLOOKUP($D212,bug_conf_sheet!$A:$H,5,FALSE),VLOOKUP("other",bug_conf_sheet!$A:$H,5,FALSE))</f>
        <v>0</v>
      </c>
      <c r="Q212" s="31">
        <f>IFERROR(VLOOKUP($D212,bug_conf_sheet!$A:$H,6,FALSE),VLOOKUP("other",bug_conf_sheet!$A:$H,6,FALSE))</f>
        <v>0</v>
      </c>
      <c r="R212" s="31">
        <f>IFERROR(VLOOKUP($D212,bug_conf_sheet!$A:$H,7,FALSE),VLOOKUP("other",bug_conf_sheet!$A:$H,7,FALSE))</f>
        <v>0</v>
      </c>
      <c r="S212" s="31">
        <f>IFERROR(VLOOKUP($D212,bug_conf_sheet!$A:$H,8,FALSE),VLOOKUP("other",bug_conf_sheet!$A:$H,8,FALSE))</f>
        <v>1</v>
      </c>
    </row>
    <row r="213" spans="1:19" ht="21" customHeight="1">
      <c r="A213" s="2">
        <f>input_6!A$2</f>
        <v>3126</v>
      </c>
      <c r="B213" s="7" t="str">
        <f t="shared" si="10"/>
        <v>PremiumSS4</v>
      </c>
      <c r="C213" s="7" t="str">
        <f t="shared" si="11"/>
        <v>PremiumSS</v>
      </c>
      <c r="D213" s="6">
        <v>499</v>
      </c>
      <c r="E213" s="7" t="str">
        <f>VLOOKUP(D213,[1]characters!$A:$C,3,FALSE)</f>
        <v>ラプンツェル</v>
      </c>
      <c r="F213" s="7" t="str">
        <f>VLOOKUP(D213,[1]characters!$A:$J,10,FALSE)</f>
        <v>PremiumSS</v>
      </c>
      <c r="G213" s="7">
        <f>VLOOKUP(D213,[1]characters!$A:$I,9,FALSE)</f>
        <v>4</v>
      </c>
      <c r="H213" s="7" t="str">
        <f>VLOOKUP(D213,[1]characters!$A:$H,8,FALSE)</f>
        <v>yellow</v>
      </c>
      <c r="I213" s="7" t="str">
        <f>VLOOKUP(D213,[1]characters!$A:$K,11,FALSE)</f>
        <v>balance</v>
      </c>
      <c r="J213" s="7" t="str">
        <f>VLOOKUP(D213,[1]characters!$A:$M,13,FALSE)</f>
        <v>human</v>
      </c>
      <c r="K213" s="7" t="str">
        <f>VLOOKUP(D213,[1]characters!$A:$G,7,FALSE)</f>
        <v>女性</v>
      </c>
      <c r="L213" s="66">
        <f>IFERROR(VLOOKUP(D213,input_6!L:R,7,FALSE),VLOOKUP(tables_6!B213,input_6!A:H,8,FALSE))</f>
        <v>56943</v>
      </c>
      <c r="M213" s="67">
        <f t="shared" si="9"/>
        <v>1.0961538461538461E-3</v>
      </c>
      <c r="N213" s="31">
        <f>IFERROR(VLOOKUP($D213,bug_conf_sheet!$A:$H,3,FALSE),VLOOKUP("other",bug_conf_sheet!$A:$H,3,FALSE))</f>
        <v>1</v>
      </c>
      <c r="O213" s="31">
        <f>IFERROR(VLOOKUP($D213,bug_conf_sheet!$A:$H,4,FALSE),VLOOKUP("other",bug_conf_sheet!$A:$H,4,FALSE))</f>
        <v>0</v>
      </c>
      <c r="P213" s="31">
        <f>IFERROR(VLOOKUP($D213,bug_conf_sheet!$A:$H,5,FALSE),VLOOKUP("other",bug_conf_sheet!$A:$H,5,FALSE))</f>
        <v>0</v>
      </c>
      <c r="Q213" s="31">
        <f>IFERROR(VLOOKUP($D213,bug_conf_sheet!$A:$H,6,FALSE),VLOOKUP("other",bug_conf_sheet!$A:$H,6,FALSE))</f>
        <v>0</v>
      </c>
      <c r="R213" s="31">
        <f>IFERROR(VLOOKUP($D213,bug_conf_sheet!$A:$H,7,FALSE),VLOOKUP("other",bug_conf_sheet!$A:$H,7,FALSE))</f>
        <v>0</v>
      </c>
      <c r="S213" s="31">
        <f>IFERROR(VLOOKUP($D213,bug_conf_sheet!$A:$H,8,FALSE),VLOOKUP("other",bug_conf_sheet!$A:$H,8,FALSE))</f>
        <v>1</v>
      </c>
    </row>
    <row r="214" spans="1:19" ht="21" customHeight="1">
      <c r="A214" s="2">
        <f>input_6!A$2</f>
        <v>3126</v>
      </c>
      <c r="B214" s="7" t="str">
        <f t="shared" si="10"/>
        <v>PremiumSS5</v>
      </c>
      <c r="C214" s="7" t="str">
        <f t="shared" si="11"/>
        <v>PremiumSS</v>
      </c>
      <c r="D214" s="6">
        <v>500</v>
      </c>
      <c r="E214" s="7" t="str">
        <f>VLOOKUP(D214,[1]characters!$A:$C,3,FALSE)</f>
        <v>脈動の禁髪 ラプンツェル</v>
      </c>
      <c r="F214" s="7" t="str">
        <f>VLOOKUP(D214,[1]characters!$A:$J,10,FALSE)</f>
        <v>PremiumSS</v>
      </c>
      <c r="G214" s="7">
        <f>VLOOKUP(D214,[1]characters!$A:$I,9,FALSE)</f>
        <v>5</v>
      </c>
      <c r="H214" s="7" t="str">
        <f>VLOOKUP(D214,[1]characters!$A:$H,8,FALSE)</f>
        <v>yellow</v>
      </c>
      <c r="I214" s="7" t="str">
        <f>VLOOKUP(D214,[1]characters!$A:$K,11,FALSE)</f>
        <v>balance</v>
      </c>
      <c r="J214" s="7" t="str">
        <f>VLOOKUP(D214,[1]characters!$A:$M,13,FALSE)</f>
        <v>human</v>
      </c>
      <c r="K214" s="7" t="str">
        <f>VLOOKUP(D214,[1]characters!$A:$G,7,FALSE)</f>
        <v>女性</v>
      </c>
      <c r="L214" s="66">
        <f>IFERROR(VLOOKUP(D214,input_6!L:R,7,FALSE),VLOOKUP(tables_6!B214,input_6!A:H,8,FALSE))</f>
        <v>2997</v>
      </c>
      <c r="M214" s="67">
        <f t="shared" si="9"/>
        <v>5.7692307692307691E-5</v>
      </c>
      <c r="N214" s="31">
        <f>IFERROR(VLOOKUP($D214,bug_conf_sheet!$A:$H,3,FALSE),VLOOKUP("other",bug_conf_sheet!$A:$H,3,FALSE))</f>
        <v>1</v>
      </c>
      <c r="O214" s="31">
        <f>IFERROR(VLOOKUP($D214,bug_conf_sheet!$A:$H,4,FALSE),VLOOKUP("other",bug_conf_sheet!$A:$H,4,FALSE))</f>
        <v>0</v>
      </c>
      <c r="P214" s="31">
        <f>IFERROR(VLOOKUP($D214,bug_conf_sheet!$A:$H,5,FALSE),VLOOKUP("other",bug_conf_sheet!$A:$H,5,FALSE))</f>
        <v>0</v>
      </c>
      <c r="Q214" s="31">
        <f>IFERROR(VLOOKUP($D214,bug_conf_sheet!$A:$H,6,FALSE),VLOOKUP("other",bug_conf_sheet!$A:$H,6,FALSE))</f>
        <v>0</v>
      </c>
      <c r="R214" s="31">
        <f>IFERROR(VLOOKUP($D214,bug_conf_sheet!$A:$H,7,FALSE),VLOOKUP("other",bug_conf_sheet!$A:$H,7,FALSE))</f>
        <v>0</v>
      </c>
      <c r="S214" s="31">
        <f>IFERROR(VLOOKUP($D214,bug_conf_sheet!$A:$H,8,FALSE),VLOOKUP("other",bug_conf_sheet!$A:$H,8,FALSE))</f>
        <v>1</v>
      </c>
    </row>
    <row r="215" spans="1:19" ht="21" customHeight="1">
      <c r="A215" s="2">
        <f>input_6!A$2</f>
        <v>3126</v>
      </c>
      <c r="B215" s="7" t="str">
        <f t="shared" si="10"/>
        <v>PremiumSS4</v>
      </c>
      <c r="C215" s="7" t="str">
        <f t="shared" si="11"/>
        <v>PremiumSS</v>
      </c>
      <c r="D215" s="6">
        <v>586</v>
      </c>
      <c r="E215" s="7" t="str">
        <f>VLOOKUP(D215,[1]characters!$A:$C,3,FALSE)</f>
        <v>ユミル</v>
      </c>
      <c r="F215" s="7" t="str">
        <f>VLOOKUP(D215,[1]characters!$A:$J,10,FALSE)</f>
        <v>PremiumSS</v>
      </c>
      <c r="G215" s="7">
        <f>VLOOKUP(D215,[1]characters!$A:$I,9,FALSE)</f>
        <v>4</v>
      </c>
      <c r="H215" s="7" t="str">
        <f>VLOOKUP(D215,[1]characters!$A:$H,8,FALSE)</f>
        <v>red</v>
      </c>
      <c r="I215" s="7" t="str">
        <f>VLOOKUP(D215,[1]characters!$A:$K,11,FALSE)</f>
        <v>hp</v>
      </c>
      <c r="J215" s="7" t="str">
        <f>VLOOKUP(D215,[1]characters!$A:$M,13,FALSE)</f>
        <v>machine</v>
      </c>
      <c r="K215" s="7" t="str">
        <f>VLOOKUP(D215,[1]characters!$A:$G,7,FALSE)</f>
        <v>不明</v>
      </c>
      <c r="L215" s="66">
        <f>IFERROR(VLOOKUP(D215,input_6!L:R,7,FALSE),VLOOKUP(tables_6!B215,input_6!A:H,8,FALSE))</f>
        <v>56943</v>
      </c>
      <c r="M215" s="67">
        <f t="shared" si="9"/>
        <v>1.0961538461538461E-3</v>
      </c>
      <c r="N215" s="31">
        <f>IFERROR(VLOOKUP($D215,bug_conf_sheet!$A:$H,3,FALSE),VLOOKUP("other",bug_conf_sheet!$A:$H,3,FALSE))</f>
        <v>1</v>
      </c>
      <c r="O215" s="31">
        <f>IFERROR(VLOOKUP($D215,bug_conf_sheet!$A:$H,4,FALSE),VLOOKUP("other",bug_conf_sheet!$A:$H,4,FALSE))</f>
        <v>0</v>
      </c>
      <c r="P215" s="31">
        <f>IFERROR(VLOOKUP($D215,bug_conf_sheet!$A:$H,5,FALSE),VLOOKUP("other",bug_conf_sheet!$A:$H,5,FALSE))</f>
        <v>0</v>
      </c>
      <c r="Q215" s="31">
        <f>IFERROR(VLOOKUP($D215,bug_conf_sheet!$A:$H,6,FALSE),VLOOKUP("other",bug_conf_sheet!$A:$H,6,FALSE))</f>
        <v>0</v>
      </c>
      <c r="R215" s="31">
        <f>IFERROR(VLOOKUP($D215,bug_conf_sheet!$A:$H,7,FALSE),VLOOKUP("other",bug_conf_sheet!$A:$H,7,FALSE))</f>
        <v>0</v>
      </c>
      <c r="S215" s="31">
        <f>IFERROR(VLOOKUP($D215,bug_conf_sheet!$A:$H,8,FALSE),VLOOKUP("other",bug_conf_sheet!$A:$H,8,FALSE))</f>
        <v>1</v>
      </c>
    </row>
    <row r="216" spans="1:19" ht="21" customHeight="1">
      <c r="A216" s="2">
        <f>input_6!A$2</f>
        <v>3126</v>
      </c>
      <c r="B216" s="7" t="str">
        <f t="shared" si="10"/>
        <v>PremiumSS5</v>
      </c>
      <c r="C216" s="7" t="str">
        <f t="shared" si="11"/>
        <v>PremiumSS</v>
      </c>
      <c r="D216" s="6">
        <v>587</v>
      </c>
      <c r="E216" s="7" t="str">
        <f>VLOOKUP(D216,[1]characters!$A:$C,3,FALSE)</f>
        <v>原初の煉鋼巨刃 ユミル</v>
      </c>
      <c r="F216" s="7" t="str">
        <f>VLOOKUP(D216,[1]characters!$A:$J,10,FALSE)</f>
        <v>PremiumSS</v>
      </c>
      <c r="G216" s="7">
        <f>VLOOKUP(D216,[1]characters!$A:$I,9,FALSE)</f>
        <v>5</v>
      </c>
      <c r="H216" s="7" t="str">
        <f>VLOOKUP(D216,[1]characters!$A:$H,8,FALSE)</f>
        <v>red</v>
      </c>
      <c r="I216" s="7" t="str">
        <f>VLOOKUP(D216,[1]characters!$A:$K,11,FALSE)</f>
        <v>hp</v>
      </c>
      <c r="J216" s="7" t="str">
        <f>VLOOKUP(D216,[1]characters!$A:$M,13,FALSE)</f>
        <v>machine</v>
      </c>
      <c r="K216" s="7" t="str">
        <f>VLOOKUP(D216,[1]characters!$A:$G,7,FALSE)</f>
        <v>不明</v>
      </c>
      <c r="L216" s="66">
        <f>IFERROR(VLOOKUP(D216,input_6!L:R,7,FALSE),VLOOKUP(tables_6!B216,input_6!A:H,8,FALSE))</f>
        <v>2997</v>
      </c>
      <c r="M216" s="67">
        <f t="shared" si="9"/>
        <v>5.7692307692307691E-5</v>
      </c>
      <c r="N216" s="31">
        <f>IFERROR(VLOOKUP($D216,bug_conf_sheet!$A:$H,3,FALSE),VLOOKUP("other",bug_conf_sheet!$A:$H,3,FALSE))</f>
        <v>1</v>
      </c>
      <c r="O216" s="31">
        <f>IFERROR(VLOOKUP($D216,bug_conf_sheet!$A:$H,4,FALSE),VLOOKUP("other",bug_conf_sheet!$A:$H,4,FALSE))</f>
        <v>0</v>
      </c>
      <c r="P216" s="31">
        <f>IFERROR(VLOOKUP($D216,bug_conf_sheet!$A:$H,5,FALSE),VLOOKUP("other",bug_conf_sheet!$A:$H,5,FALSE))</f>
        <v>0</v>
      </c>
      <c r="Q216" s="31">
        <f>IFERROR(VLOOKUP($D216,bug_conf_sheet!$A:$H,6,FALSE),VLOOKUP("other",bug_conf_sheet!$A:$H,6,FALSE))</f>
        <v>0</v>
      </c>
      <c r="R216" s="31">
        <f>IFERROR(VLOOKUP($D216,bug_conf_sheet!$A:$H,7,FALSE),VLOOKUP("other",bug_conf_sheet!$A:$H,7,FALSE))</f>
        <v>0</v>
      </c>
      <c r="S216" s="31">
        <f>IFERROR(VLOOKUP($D216,bug_conf_sheet!$A:$H,8,FALSE),VLOOKUP("other",bug_conf_sheet!$A:$H,8,FALSE))</f>
        <v>1</v>
      </c>
    </row>
    <row r="217" spans="1:19" ht="21" customHeight="1">
      <c r="A217" s="2">
        <f>input_6!A$2</f>
        <v>3126</v>
      </c>
      <c r="B217" s="7" t="str">
        <f t="shared" si="10"/>
        <v>Premium3</v>
      </c>
      <c r="C217" s="7" t="str">
        <f t="shared" si="11"/>
        <v>Premium</v>
      </c>
      <c r="D217" s="6">
        <v>588</v>
      </c>
      <c r="E217" s="7" t="str">
        <f>VLOOKUP(D217,[1]characters!$A:$C,3,FALSE)</f>
        <v>ニーベルゲン</v>
      </c>
      <c r="F217" s="7" t="str">
        <f>VLOOKUP(D217,[1]characters!$A:$J,10,FALSE)</f>
        <v>PremiumS</v>
      </c>
      <c r="G217" s="7">
        <f>VLOOKUP(D217,[1]characters!$A:$I,9,FALSE)</f>
        <v>3</v>
      </c>
      <c r="H217" s="7" t="str">
        <f>VLOOKUP(D217,[1]characters!$A:$H,8,FALSE)</f>
        <v>green</v>
      </c>
      <c r="I217" s="7" t="str">
        <f>VLOOKUP(D217,[1]characters!$A:$K,11,FALSE)</f>
        <v>balance</v>
      </c>
      <c r="J217" s="7" t="str">
        <f>VLOOKUP(D217,[1]characters!$A:$M,13,FALSE)</f>
        <v>unknown</v>
      </c>
      <c r="K217" s="7" t="str">
        <f>VLOOKUP(D217,[1]characters!$A:$G,7,FALSE)</f>
        <v>女性</v>
      </c>
      <c r="L217" s="66">
        <f>IFERROR(VLOOKUP(D217,input_6!L:R,7,FALSE),VLOOKUP(tables_6!B217,input_6!A:H,8,FALSE))</f>
        <v>0</v>
      </c>
      <c r="M217" s="67">
        <f t="shared" si="9"/>
        <v>0</v>
      </c>
      <c r="N217" s="31">
        <f>IFERROR(VLOOKUP($D217,bug_conf_sheet!$A:$H,3,FALSE),VLOOKUP("other",bug_conf_sheet!$A:$H,3,FALSE))</f>
        <v>1</v>
      </c>
      <c r="O217" s="31">
        <f>IFERROR(VLOOKUP($D217,bug_conf_sheet!$A:$H,4,FALSE),VLOOKUP("other",bug_conf_sheet!$A:$H,4,FALSE))</f>
        <v>0</v>
      </c>
      <c r="P217" s="31">
        <f>IFERROR(VLOOKUP($D217,bug_conf_sheet!$A:$H,5,FALSE),VLOOKUP("other",bug_conf_sheet!$A:$H,5,FALSE))</f>
        <v>0</v>
      </c>
      <c r="Q217" s="31">
        <f>IFERROR(VLOOKUP($D217,bug_conf_sheet!$A:$H,6,FALSE),VLOOKUP("other",bug_conf_sheet!$A:$H,6,FALSE))</f>
        <v>0</v>
      </c>
      <c r="R217" s="31">
        <f>IFERROR(VLOOKUP($D217,bug_conf_sheet!$A:$H,7,FALSE),VLOOKUP("other",bug_conf_sheet!$A:$H,7,FALSE))</f>
        <v>0</v>
      </c>
      <c r="S217" s="31">
        <f>IFERROR(VLOOKUP($D217,bug_conf_sheet!$A:$H,8,FALSE),VLOOKUP("other",bug_conf_sheet!$A:$H,8,FALSE))</f>
        <v>1</v>
      </c>
    </row>
    <row r="218" spans="1:19" ht="21" customHeight="1">
      <c r="A218" s="2">
        <f>input_6!A$2</f>
        <v>3126</v>
      </c>
      <c r="B218" s="7" t="str">
        <f t="shared" si="10"/>
        <v>Premium4</v>
      </c>
      <c r="C218" s="7" t="str">
        <f t="shared" si="11"/>
        <v>Premium</v>
      </c>
      <c r="D218" s="6">
        <v>589</v>
      </c>
      <c r="E218" s="7" t="str">
        <f>VLOOKUP(D218,[1]characters!$A:$C,3,FALSE)</f>
        <v>不幸の円環 ニーベルゲン</v>
      </c>
      <c r="F218" s="7" t="str">
        <f>VLOOKUP(D218,[1]characters!$A:$J,10,FALSE)</f>
        <v>PremiumS</v>
      </c>
      <c r="G218" s="7">
        <f>VLOOKUP(D218,[1]characters!$A:$I,9,FALSE)</f>
        <v>4</v>
      </c>
      <c r="H218" s="7" t="str">
        <f>VLOOKUP(D218,[1]characters!$A:$H,8,FALSE)</f>
        <v>green</v>
      </c>
      <c r="I218" s="7" t="str">
        <f>VLOOKUP(D218,[1]characters!$A:$K,11,FALSE)</f>
        <v>balance</v>
      </c>
      <c r="J218" s="7" t="str">
        <f>VLOOKUP(D218,[1]characters!$A:$M,13,FALSE)</f>
        <v>unknown</v>
      </c>
      <c r="K218" s="7" t="str">
        <f>VLOOKUP(D218,[1]characters!$A:$G,7,FALSE)</f>
        <v>女性</v>
      </c>
      <c r="L218" s="66">
        <f>IFERROR(VLOOKUP(D218,input_6!L:R,7,FALSE),VLOOKUP(tables_6!B218,input_6!A:H,8,FALSE))</f>
        <v>646893</v>
      </c>
      <c r="M218" s="67">
        <f t="shared" si="9"/>
        <v>1.2452702702702703E-2</v>
      </c>
      <c r="N218" s="31">
        <f>IFERROR(VLOOKUP($D218,bug_conf_sheet!$A:$H,3,FALSE),VLOOKUP("other",bug_conf_sheet!$A:$H,3,FALSE))</f>
        <v>1</v>
      </c>
      <c r="O218" s="31">
        <f>IFERROR(VLOOKUP($D218,bug_conf_sheet!$A:$H,4,FALSE),VLOOKUP("other",bug_conf_sheet!$A:$H,4,FALSE))</f>
        <v>0</v>
      </c>
      <c r="P218" s="31">
        <f>IFERROR(VLOOKUP($D218,bug_conf_sheet!$A:$H,5,FALSE),VLOOKUP("other",bug_conf_sheet!$A:$H,5,FALSE))</f>
        <v>0</v>
      </c>
      <c r="Q218" s="31">
        <f>IFERROR(VLOOKUP($D218,bug_conf_sheet!$A:$H,6,FALSE),VLOOKUP("other",bug_conf_sheet!$A:$H,6,FALSE))</f>
        <v>0</v>
      </c>
      <c r="R218" s="31">
        <f>IFERROR(VLOOKUP($D218,bug_conf_sheet!$A:$H,7,FALSE),VLOOKUP("other",bug_conf_sheet!$A:$H,7,FALSE))</f>
        <v>0</v>
      </c>
      <c r="S218" s="31">
        <f>IFERROR(VLOOKUP($D218,bug_conf_sheet!$A:$H,8,FALSE),VLOOKUP("other",bug_conf_sheet!$A:$H,8,FALSE))</f>
        <v>1</v>
      </c>
    </row>
    <row r="219" spans="1:19" ht="21" customHeight="1">
      <c r="A219" s="2">
        <f>input_6!A$2</f>
        <v>3126</v>
      </c>
      <c r="B219" s="7" t="str">
        <f t="shared" si="10"/>
        <v>Premium5</v>
      </c>
      <c r="C219" s="7" t="str">
        <f t="shared" si="11"/>
        <v>Premium</v>
      </c>
      <c r="D219" s="6">
        <v>590</v>
      </c>
      <c r="E219" s="7" t="str">
        <f>VLOOKUP(D219,[1]characters!$A:$C,3,FALSE)</f>
        <v>永遠を廻る呪い ニーベルゲン</v>
      </c>
      <c r="F219" s="7" t="str">
        <f>VLOOKUP(D219,[1]characters!$A:$J,10,FALSE)</f>
        <v>PremiumS</v>
      </c>
      <c r="G219" s="7">
        <f>VLOOKUP(D219,[1]characters!$A:$I,9,FALSE)</f>
        <v>5</v>
      </c>
      <c r="H219" s="7" t="str">
        <f>VLOOKUP(D219,[1]characters!$A:$H,8,FALSE)</f>
        <v>green</v>
      </c>
      <c r="I219" s="7" t="str">
        <f>VLOOKUP(D219,[1]characters!$A:$K,11,FALSE)</f>
        <v>balance</v>
      </c>
      <c r="J219" s="7" t="str">
        <f>VLOOKUP(D219,[1]characters!$A:$M,13,FALSE)</f>
        <v>unknown</v>
      </c>
      <c r="K219" s="7" t="str">
        <f>VLOOKUP(D219,[1]characters!$A:$G,7,FALSE)</f>
        <v>女性</v>
      </c>
      <c r="L219" s="66">
        <f>IFERROR(VLOOKUP(D219,input_6!L:R,7,FALSE),VLOOKUP(tables_6!B219,input_6!A:H,8,FALSE))</f>
        <v>46657</v>
      </c>
      <c r="M219" s="67">
        <f t="shared" si="9"/>
        <v>8.9814814814814813E-4</v>
      </c>
      <c r="N219" s="31">
        <f>IFERROR(VLOOKUP($D219,bug_conf_sheet!$A:$H,3,FALSE),VLOOKUP("other",bug_conf_sheet!$A:$H,3,FALSE))</f>
        <v>1</v>
      </c>
      <c r="O219" s="31">
        <f>IFERROR(VLOOKUP($D219,bug_conf_sheet!$A:$H,4,FALSE),VLOOKUP("other",bug_conf_sheet!$A:$H,4,FALSE))</f>
        <v>0</v>
      </c>
      <c r="P219" s="31">
        <f>IFERROR(VLOOKUP($D219,bug_conf_sheet!$A:$H,5,FALSE),VLOOKUP("other",bug_conf_sheet!$A:$H,5,FALSE))</f>
        <v>0</v>
      </c>
      <c r="Q219" s="31">
        <f>IFERROR(VLOOKUP($D219,bug_conf_sheet!$A:$H,6,FALSE),VLOOKUP("other",bug_conf_sheet!$A:$H,6,FALSE))</f>
        <v>0</v>
      </c>
      <c r="R219" s="31">
        <f>IFERROR(VLOOKUP($D219,bug_conf_sheet!$A:$H,7,FALSE),VLOOKUP("other",bug_conf_sheet!$A:$H,7,FALSE))</f>
        <v>0</v>
      </c>
      <c r="S219" s="31">
        <f>IFERROR(VLOOKUP($D219,bug_conf_sheet!$A:$H,8,FALSE),VLOOKUP("other",bug_conf_sheet!$A:$H,8,FALSE))</f>
        <v>1</v>
      </c>
    </row>
    <row r="220" spans="1:19" ht="21" customHeight="1">
      <c r="A220" s="2">
        <f>input_6!A$2</f>
        <v>3126</v>
      </c>
      <c r="B220" s="7" t="str">
        <f t="shared" si="10"/>
        <v>Premium3</v>
      </c>
      <c r="C220" s="7" t="str">
        <f t="shared" si="11"/>
        <v>Premium</v>
      </c>
      <c r="D220" s="6">
        <v>591</v>
      </c>
      <c r="E220" s="7" t="str">
        <f>VLOOKUP(D220,[1]characters!$A:$C,3,FALSE)</f>
        <v>ファフニール</v>
      </c>
      <c r="F220" s="7" t="str">
        <f>VLOOKUP(D220,[1]characters!$A:$J,10,FALSE)</f>
        <v>PremiumS</v>
      </c>
      <c r="G220" s="7">
        <f>VLOOKUP(D220,[1]characters!$A:$I,9,FALSE)</f>
        <v>3</v>
      </c>
      <c r="H220" s="7" t="str">
        <f>VLOOKUP(D220,[1]characters!$A:$H,8,FALSE)</f>
        <v>blue</v>
      </c>
      <c r="I220" s="7" t="str">
        <f>VLOOKUP(D220,[1]characters!$A:$K,11,FALSE)</f>
        <v>technical</v>
      </c>
      <c r="J220" s="7" t="str">
        <f>VLOOKUP(D220,[1]characters!$A:$M,13,FALSE)</f>
        <v>dragon</v>
      </c>
      <c r="K220" s="7" t="str">
        <f>VLOOKUP(D220,[1]characters!$A:$G,7,FALSE)</f>
        <v>不明</v>
      </c>
      <c r="L220" s="66">
        <f>IFERROR(VLOOKUP(D220,input_6!L:R,7,FALSE),VLOOKUP(tables_6!B220,input_6!A:H,8,FALSE))</f>
        <v>0</v>
      </c>
      <c r="M220" s="67">
        <f t="shared" si="9"/>
        <v>0</v>
      </c>
      <c r="N220" s="31">
        <f>IFERROR(VLOOKUP($D220,bug_conf_sheet!$A:$H,3,FALSE),VLOOKUP("other",bug_conf_sheet!$A:$H,3,FALSE))</f>
        <v>1</v>
      </c>
      <c r="O220" s="31">
        <f>IFERROR(VLOOKUP($D220,bug_conf_sheet!$A:$H,4,FALSE),VLOOKUP("other",bug_conf_sheet!$A:$H,4,FALSE))</f>
        <v>0</v>
      </c>
      <c r="P220" s="31">
        <f>IFERROR(VLOOKUP($D220,bug_conf_sheet!$A:$H,5,FALSE),VLOOKUP("other",bug_conf_sheet!$A:$H,5,FALSE))</f>
        <v>0</v>
      </c>
      <c r="Q220" s="31">
        <f>IFERROR(VLOOKUP($D220,bug_conf_sheet!$A:$H,6,FALSE),VLOOKUP("other",bug_conf_sheet!$A:$H,6,FALSE))</f>
        <v>0</v>
      </c>
      <c r="R220" s="31">
        <f>IFERROR(VLOOKUP($D220,bug_conf_sheet!$A:$H,7,FALSE),VLOOKUP("other",bug_conf_sheet!$A:$H,7,FALSE))</f>
        <v>0</v>
      </c>
      <c r="S220" s="31">
        <f>IFERROR(VLOOKUP($D220,bug_conf_sheet!$A:$H,8,FALSE),VLOOKUP("other",bug_conf_sheet!$A:$H,8,FALSE))</f>
        <v>1</v>
      </c>
    </row>
    <row r="221" spans="1:19" ht="21" customHeight="1">
      <c r="A221" s="2">
        <f>input_6!A$2</f>
        <v>3126</v>
      </c>
      <c r="B221" s="7" t="str">
        <f t="shared" si="10"/>
        <v>Premium4</v>
      </c>
      <c r="C221" s="7" t="str">
        <f t="shared" si="11"/>
        <v>Premium</v>
      </c>
      <c r="D221" s="6">
        <v>592</v>
      </c>
      <c r="E221" s="7" t="str">
        <f>VLOOKUP(D221,[1]characters!$A:$C,3,FALSE)</f>
        <v>財宝への執着 ファフニール</v>
      </c>
      <c r="F221" s="7" t="str">
        <f>VLOOKUP(D221,[1]characters!$A:$J,10,FALSE)</f>
        <v>PremiumS</v>
      </c>
      <c r="G221" s="7">
        <f>VLOOKUP(D221,[1]characters!$A:$I,9,FALSE)</f>
        <v>4</v>
      </c>
      <c r="H221" s="7" t="str">
        <f>VLOOKUP(D221,[1]characters!$A:$H,8,FALSE)</f>
        <v>blue</v>
      </c>
      <c r="I221" s="7" t="str">
        <f>VLOOKUP(D221,[1]characters!$A:$K,11,FALSE)</f>
        <v>technical</v>
      </c>
      <c r="J221" s="7" t="str">
        <f>VLOOKUP(D221,[1]characters!$A:$M,13,FALSE)</f>
        <v>dragon</v>
      </c>
      <c r="K221" s="7" t="str">
        <f>VLOOKUP(D221,[1]characters!$A:$G,7,FALSE)</f>
        <v>不明</v>
      </c>
      <c r="L221" s="66">
        <f>IFERROR(VLOOKUP(D221,input_6!L:R,7,FALSE),VLOOKUP(tables_6!B221,input_6!A:H,8,FALSE))</f>
        <v>646893</v>
      </c>
      <c r="M221" s="67">
        <f t="shared" si="9"/>
        <v>1.2452702702702703E-2</v>
      </c>
      <c r="N221" s="31">
        <f>IFERROR(VLOOKUP($D221,bug_conf_sheet!$A:$H,3,FALSE),VLOOKUP("other",bug_conf_sheet!$A:$H,3,FALSE))</f>
        <v>1</v>
      </c>
      <c r="O221" s="31">
        <f>IFERROR(VLOOKUP($D221,bug_conf_sheet!$A:$H,4,FALSE),VLOOKUP("other",bug_conf_sheet!$A:$H,4,FALSE))</f>
        <v>0</v>
      </c>
      <c r="P221" s="31">
        <f>IFERROR(VLOOKUP($D221,bug_conf_sheet!$A:$H,5,FALSE),VLOOKUP("other",bug_conf_sheet!$A:$H,5,FALSE))</f>
        <v>0</v>
      </c>
      <c r="Q221" s="31">
        <f>IFERROR(VLOOKUP($D221,bug_conf_sheet!$A:$H,6,FALSE),VLOOKUP("other",bug_conf_sheet!$A:$H,6,FALSE))</f>
        <v>0</v>
      </c>
      <c r="R221" s="31">
        <f>IFERROR(VLOOKUP($D221,bug_conf_sheet!$A:$H,7,FALSE),VLOOKUP("other",bug_conf_sheet!$A:$H,7,FALSE))</f>
        <v>0</v>
      </c>
      <c r="S221" s="31">
        <f>IFERROR(VLOOKUP($D221,bug_conf_sheet!$A:$H,8,FALSE),VLOOKUP("other",bug_conf_sheet!$A:$H,8,FALSE))</f>
        <v>1</v>
      </c>
    </row>
    <row r="222" spans="1:19" ht="21" customHeight="1">
      <c r="A222" s="2">
        <f>input_6!A$2</f>
        <v>3126</v>
      </c>
      <c r="B222" s="7" t="str">
        <f t="shared" si="10"/>
        <v>Premium5</v>
      </c>
      <c r="C222" s="7" t="str">
        <f t="shared" si="11"/>
        <v>Premium</v>
      </c>
      <c r="D222" s="6">
        <v>593</v>
      </c>
      <c r="E222" s="7" t="str">
        <f>VLOOKUP(D222,[1]characters!$A:$C,3,FALSE)</f>
        <v>妄執する邪毒龍 ファフニール</v>
      </c>
      <c r="F222" s="7" t="str">
        <f>VLOOKUP(D222,[1]characters!$A:$J,10,FALSE)</f>
        <v>PremiumS</v>
      </c>
      <c r="G222" s="7">
        <f>VLOOKUP(D222,[1]characters!$A:$I,9,FALSE)</f>
        <v>5</v>
      </c>
      <c r="H222" s="7" t="str">
        <f>VLOOKUP(D222,[1]characters!$A:$H,8,FALSE)</f>
        <v>blue</v>
      </c>
      <c r="I222" s="7" t="str">
        <f>VLOOKUP(D222,[1]characters!$A:$K,11,FALSE)</f>
        <v>technical</v>
      </c>
      <c r="J222" s="7" t="str">
        <f>VLOOKUP(D222,[1]characters!$A:$M,13,FALSE)</f>
        <v>dragon</v>
      </c>
      <c r="K222" s="7" t="str">
        <f>VLOOKUP(D222,[1]characters!$A:$G,7,FALSE)</f>
        <v>不明</v>
      </c>
      <c r="L222" s="66">
        <f>IFERROR(VLOOKUP(D222,input_6!L:R,7,FALSE),VLOOKUP(tables_6!B222,input_6!A:H,8,FALSE))</f>
        <v>46657</v>
      </c>
      <c r="M222" s="67">
        <f t="shared" si="9"/>
        <v>8.9814814814814813E-4</v>
      </c>
      <c r="N222" s="31">
        <f>IFERROR(VLOOKUP($D222,bug_conf_sheet!$A:$H,3,FALSE),VLOOKUP("other",bug_conf_sheet!$A:$H,3,FALSE))</f>
        <v>1</v>
      </c>
      <c r="O222" s="31">
        <f>IFERROR(VLOOKUP($D222,bug_conf_sheet!$A:$H,4,FALSE),VLOOKUP("other",bug_conf_sheet!$A:$H,4,FALSE))</f>
        <v>0</v>
      </c>
      <c r="P222" s="31">
        <f>IFERROR(VLOOKUP($D222,bug_conf_sheet!$A:$H,5,FALSE),VLOOKUP("other",bug_conf_sheet!$A:$H,5,FALSE))</f>
        <v>0</v>
      </c>
      <c r="Q222" s="31">
        <f>IFERROR(VLOOKUP($D222,bug_conf_sheet!$A:$H,6,FALSE),VLOOKUP("other",bug_conf_sheet!$A:$H,6,FALSE))</f>
        <v>0</v>
      </c>
      <c r="R222" s="31">
        <f>IFERROR(VLOOKUP($D222,bug_conf_sheet!$A:$H,7,FALSE),VLOOKUP("other",bug_conf_sheet!$A:$H,7,FALSE))</f>
        <v>0</v>
      </c>
      <c r="S222" s="31">
        <f>IFERROR(VLOOKUP($D222,bug_conf_sheet!$A:$H,8,FALSE),VLOOKUP("other",bug_conf_sheet!$A:$H,8,FALSE))</f>
        <v>1</v>
      </c>
    </row>
    <row r="223" spans="1:19" ht="21" customHeight="1">
      <c r="A223" s="2">
        <f>input_6!A$2</f>
        <v>3126</v>
      </c>
      <c r="B223" s="7" t="str">
        <f t="shared" si="10"/>
        <v>PremiumSS4</v>
      </c>
      <c r="C223" s="7" t="str">
        <f t="shared" si="11"/>
        <v>PremiumSS</v>
      </c>
      <c r="D223" s="6">
        <v>594</v>
      </c>
      <c r="E223" s="7" t="str">
        <f>VLOOKUP(D223,[1]characters!$A:$C,3,FALSE)</f>
        <v>アルフヘイム</v>
      </c>
      <c r="F223" s="7" t="str">
        <f>VLOOKUP(D223,[1]characters!$A:$J,10,FALSE)</f>
        <v>PremiumSS</v>
      </c>
      <c r="G223" s="7">
        <f>VLOOKUP(D223,[1]characters!$A:$I,9,FALSE)</f>
        <v>4</v>
      </c>
      <c r="H223" s="7" t="str">
        <f>VLOOKUP(D223,[1]characters!$A:$H,8,FALSE)</f>
        <v>yellow</v>
      </c>
      <c r="I223" s="7" t="str">
        <f>VLOOKUP(D223,[1]characters!$A:$K,11,FALSE)</f>
        <v>attack</v>
      </c>
      <c r="J223" s="7" t="str">
        <f>VLOOKUP(D223,[1]characters!$A:$M,13,FALSE)</f>
        <v>dragon</v>
      </c>
      <c r="K223" s="7" t="str">
        <f>VLOOKUP(D223,[1]characters!$A:$G,7,FALSE)</f>
        <v>不明</v>
      </c>
      <c r="L223" s="66">
        <f>IFERROR(VLOOKUP(D223,input_6!L:R,7,FALSE),VLOOKUP(tables_6!B223,input_6!A:H,8,FALSE))</f>
        <v>56943</v>
      </c>
      <c r="M223" s="67">
        <f t="shared" si="9"/>
        <v>1.0961538461538461E-3</v>
      </c>
      <c r="N223" s="31">
        <f>IFERROR(VLOOKUP($D223,bug_conf_sheet!$A:$H,3,FALSE),VLOOKUP("other",bug_conf_sheet!$A:$H,3,FALSE))</f>
        <v>1</v>
      </c>
      <c r="O223" s="31">
        <f>IFERROR(VLOOKUP($D223,bug_conf_sheet!$A:$H,4,FALSE),VLOOKUP("other",bug_conf_sheet!$A:$H,4,FALSE))</f>
        <v>0</v>
      </c>
      <c r="P223" s="31">
        <f>IFERROR(VLOOKUP($D223,bug_conf_sheet!$A:$H,5,FALSE),VLOOKUP("other",bug_conf_sheet!$A:$H,5,FALSE))</f>
        <v>0</v>
      </c>
      <c r="Q223" s="31">
        <f>IFERROR(VLOOKUP($D223,bug_conf_sheet!$A:$H,6,FALSE),VLOOKUP("other",bug_conf_sheet!$A:$H,6,FALSE))</f>
        <v>0</v>
      </c>
      <c r="R223" s="31">
        <f>IFERROR(VLOOKUP($D223,bug_conf_sheet!$A:$H,7,FALSE),VLOOKUP("other",bug_conf_sheet!$A:$H,7,FALSE))</f>
        <v>0</v>
      </c>
      <c r="S223" s="31">
        <f>IFERROR(VLOOKUP($D223,bug_conf_sheet!$A:$H,8,FALSE),VLOOKUP("other",bug_conf_sheet!$A:$H,8,FALSE))</f>
        <v>1</v>
      </c>
    </row>
    <row r="224" spans="1:19" ht="21" customHeight="1">
      <c r="A224" s="2">
        <f>input_6!A$2</f>
        <v>3126</v>
      </c>
      <c r="B224" s="7" t="str">
        <f t="shared" si="10"/>
        <v>PremiumSS5</v>
      </c>
      <c r="C224" s="7" t="str">
        <f t="shared" si="11"/>
        <v>PremiumSS</v>
      </c>
      <c r="D224" s="6">
        <v>595</v>
      </c>
      <c r="E224" s="7" t="str">
        <f>VLOOKUP(D224,[1]characters!$A:$C,3,FALSE)</f>
        <v>光華なる神域 アルフヘイム</v>
      </c>
      <c r="F224" s="7" t="str">
        <f>VLOOKUP(D224,[1]characters!$A:$J,10,FALSE)</f>
        <v>PremiumSS</v>
      </c>
      <c r="G224" s="7">
        <f>VLOOKUP(D224,[1]characters!$A:$I,9,FALSE)</f>
        <v>5</v>
      </c>
      <c r="H224" s="7" t="str">
        <f>VLOOKUP(D224,[1]characters!$A:$H,8,FALSE)</f>
        <v>yellow</v>
      </c>
      <c r="I224" s="7" t="str">
        <f>VLOOKUP(D224,[1]characters!$A:$K,11,FALSE)</f>
        <v>attack</v>
      </c>
      <c r="J224" s="7" t="str">
        <f>VLOOKUP(D224,[1]characters!$A:$M,13,FALSE)</f>
        <v>dragon</v>
      </c>
      <c r="K224" s="7" t="str">
        <f>VLOOKUP(D224,[1]characters!$A:$G,7,FALSE)</f>
        <v>不明</v>
      </c>
      <c r="L224" s="66">
        <f>IFERROR(VLOOKUP(D224,input_6!L:R,7,FALSE),VLOOKUP(tables_6!B224,input_6!A:H,8,FALSE))</f>
        <v>2997</v>
      </c>
      <c r="M224" s="67">
        <f t="shared" si="9"/>
        <v>5.7692307692307691E-5</v>
      </c>
      <c r="N224" s="31">
        <f>IFERROR(VLOOKUP($D224,bug_conf_sheet!$A:$H,3,FALSE),VLOOKUP("other",bug_conf_sheet!$A:$H,3,FALSE))</f>
        <v>1</v>
      </c>
      <c r="O224" s="31">
        <f>IFERROR(VLOOKUP($D224,bug_conf_sheet!$A:$H,4,FALSE),VLOOKUP("other",bug_conf_sheet!$A:$H,4,FALSE))</f>
        <v>0</v>
      </c>
      <c r="P224" s="31">
        <f>IFERROR(VLOOKUP($D224,bug_conf_sheet!$A:$H,5,FALSE),VLOOKUP("other",bug_conf_sheet!$A:$H,5,FALSE))</f>
        <v>0</v>
      </c>
      <c r="Q224" s="31">
        <f>IFERROR(VLOOKUP($D224,bug_conf_sheet!$A:$H,6,FALSE),VLOOKUP("other",bug_conf_sheet!$A:$H,6,FALSE))</f>
        <v>0</v>
      </c>
      <c r="R224" s="31">
        <f>IFERROR(VLOOKUP($D224,bug_conf_sheet!$A:$H,7,FALSE),VLOOKUP("other",bug_conf_sheet!$A:$H,7,FALSE))</f>
        <v>0</v>
      </c>
      <c r="S224" s="31">
        <f>IFERROR(VLOOKUP($D224,bug_conf_sheet!$A:$H,8,FALSE),VLOOKUP("other",bug_conf_sheet!$A:$H,8,FALSE))</f>
        <v>1</v>
      </c>
    </row>
    <row r="225" spans="1:19" ht="21" customHeight="1">
      <c r="A225" s="2">
        <f>input_6!A$2</f>
        <v>3126</v>
      </c>
      <c r="B225" s="7" t="str">
        <f t="shared" si="10"/>
        <v>Premium3</v>
      </c>
      <c r="C225" s="7" t="str">
        <f t="shared" si="11"/>
        <v>Premium</v>
      </c>
      <c r="D225" s="6">
        <v>596</v>
      </c>
      <c r="E225" s="7" t="str">
        <f>VLOOKUP(D225,[1]characters!$A:$C,3,FALSE)</f>
        <v>ムスペルヘイム</v>
      </c>
      <c r="F225" s="7" t="str">
        <f>VLOOKUP(D225,[1]characters!$A:$J,10,FALSE)</f>
        <v>PremiumS</v>
      </c>
      <c r="G225" s="7">
        <f>VLOOKUP(D225,[1]characters!$A:$I,9,FALSE)</f>
        <v>3</v>
      </c>
      <c r="H225" s="7" t="str">
        <f>VLOOKUP(D225,[1]characters!$A:$H,8,FALSE)</f>
        <v>red</v>
      </c>
      <c r="I225" s="7" t="str">
        <f>VLOOKUP(D225,[1]characters!$A:$K,11,FALSE)</f>
        <v>balance</v>
      </c>
      <c r="J225" s="7" t="str">
        <f>VLOOKUP(D225,[1]characters!$A:$M,13,FALSE)</f>
        <v>human</v>
      </c>
      <c r="K225" s="7" t="str">
        <f>VLOOKUP(D225,[1]characters!$A:$G,7,FALSE)</f>
        <v>男性</v>
      </c>
      <c r="L225" s="66">
        <f>IFERROR(VLOOKUP(D225,input_6!L:R,7,FALSE),VLOOKUP(tables_6!B225,input_6!A:H,8,FALSE))</f>
        <v>0</v>
      </c>
      <c r="M225" s="67">
        <f t="shared" si="9"/>
        <v>0</v>
      </c>
      <c r="N225" s="31">
        <f>IFERROR(VLOOKUP($D225,bug_conf_sheet!$A:$H,3,FALSE),VLOOKUP("other",bug_conf_sheet!$A:$H,3,FALSE))</f>
        <v>1</v>
      </c>
      <c r="O225" s="31">
        <f>IFERROR(VLOOKUP($D225,bug_conf_sheet!$A:$H,4,FALSE),VLOOKUP("other",bug_conf_sheet!$A:$H,4,FALSE))</f>
        <v>0</v>
      </c>
      <c r="P225" s="31">
        <f>IFERROR(VLOOKUP($D225,bug_conf_sheet!$A:$H,5,FALSE),VLOOKUP("other",bug_conf_sheet!$A:$H,5,FALSE))</f>
        <v>0</v>
      </c>
      <c r="Q225" s="31">
        <f>IFERROR(VLOOKUP($D225,bug_conf_sheet!$A:$H,6,FALSE),VLOOKUP("other",bug_conf_sheet!$A:$H,6,FALSE))</f>
        <v>0</v>
      </c>
      <c r="R225" s="31">
        <f>IFERROR(VLOOKUP($D225,bug_conf_sheet!$A:$H,7,FALSE),VLOOKUP("other",bug_conf_sheet!$A:$H,7,FALSE))</f>
        <v>0</v>
      </c>
      <c r="S225" s="31">
        <f>IFERROR(VLOOKUP($D225,bug_conf_sheet!$A:$H,8,FALSE),VLOOKUP("other",bug_conf_sheet!$A:$H,8,FALSE))</f>
        <v>1</v>
      </c>
    </row>
    <row r="226" spans="1:19" ht="21" customHeight="1">
      <c r="A226" s="2">
        <f>input_6!A$2</f>
        <v>3126</v>
      </c>
      <c r="B226" s="7" t="str">
        <f t="shared" si="10"/>
        <v>Premium4</v>
      </c>
      <c r="C226" s="7" t="str">
        <f t="shared" si="11"/>
        <v>Premium</v>
      </c>
      <c r="D226" s="6">
        <v>597</v>
      </c>
      <c r="E226" s="7" t="str">
        <f>VLOOKUP(D226,[1]characters!$A:$C,3,FALSE)</f>
        <v>灼熱の魂 ムスペルヘイム</v>
      </c>
      <c r="F226" s="7" t="str">
        <f>VLOOKUP(D226,[1]characters!$A:$J,10,FALSE)</f>
        <v>PremiumS</v>
      </c>
      <c r="G226" s="7">
        <f>VLOOKUP(D226,[1]characters!$A:$I,9,FALSE)</f>
        <v>4</v>
      </c>
      <c r="H226" s="7" t="str">
        <f>VLOOKUP(D226,[1]characters!$A:$H,8,FALSE)</f>
        <v>red</v>
      </c>
      <c r="I226" s="7" t="str">
        <f>VLOOKUP(D226,[1]characters!$A:$K,11,FALSE)</f>
        <v>balance</v>
      </c>
      <c r="J226" s="7" t="str">
        <f>VLOOKUP(D226,[1]characters!$A:$M,13,FALSE)</f>
        <v>human</v>
      </c>
      <c r="K226" s="7" t="str">
        <f>VLOOKUP(D226,[1]characters!$A:$G,7,FALSE)</f>
        <v>男性</v>
      </c>
      <c r="L226" s="66">
        <f>IFERROR(VLOOKUP(D226,input_6!L:R,7,FALSE),VLOOKUP(tables_6!B226,input_6!A:H,8,FALSE))</f>
        <v>646893</v>
      </c>
      <c r="M226" s="67">
        <f t="shared" si="9"/>
        <v>1.2452702702702703E-2</v>
      </c>
      <c r="N226" s="31">
        <f>IFERROR(VLOOKUP($D226,bug_conf_sheet!$A:$H,3,FALSE),VLOOKUP("other",bug_conf_sheet!$A:$H,3,FALSE))</f>
        <v>1</v>
      </c>
      <c r="O226" s="31">
        <f>IFERROR(VLOOKUP($D226,bug_conf_sheet!$A:$H,4,FALSE),VLOOKUP("other",bug_conf_sheet!$A:$H,4,FALSE))</f>
        <v>0</v>
      </c>
      <c r="P226" s="31">
        <f>IFERROR(VLOOKUP($D226,bug_conf_sheet!$A:$H,5,FALSE),VLOOKUP("other",bug_conf_sheet!$A:$H,5,FALSE))</f>
        <v>0</v>
      </c>
      <c r="Q226" s="31">
        <f>IFERROR(VLOOKUP($D226,bug_conf_sheet!$A:$H,6,FALSE),VLOOKUP("other",bug_conf_sheet!$A:$H,6,FALSE))</f>
        <v>0</v>
      </c>
      <c r="R226" s="31">
        <f>IFERROR(VLOOKUP($D226,bug_conf_sheet!$A:$H,7,FALSE),VLOOKUP("other",bug_conf_sheet!$A:$H,7,FALSE))</f>
        <v>0</v>
      </c>
      <c r="S226" s="31">
        <f>IFERROR(VLOOKUP($D226,bug_conf_sheet!$A:$H,8,FALSE),VLOOKUP("other",bug_conf_sheet!$A:$H,8,FALSE))</f>
        <v>1</v>
      </c>
    </row>
    <row r="227" spans="1:19" ht="21" customHeight="1">
      <c r="A227" s="2">
        <f>input_6!A$2</f>
        <v>3126</v>
      </c>
      <c r="B227" s="7" t="str">
        <f t="shared" si="10"/>
        <v>Premium5</v>
      </c>
      <c r="C227" s="7" t="str">
        <f t="shared" si="11"/>
        <v>Premium</v>
      </c>
      <c r="D227" s="6">
        <v>598</v>
      </c>
      <c r="E227" s="7" t="str">
        <f>VLOOKUP(D227,[1]characters!$A:$C,3,FALSE)</f>
        <v>焼燃の情熱 ムスペルヘイム</v>
      </c>
      <c r="F227" s="7" t="str">
        <f>VLOOKUP(D227,[1]characters!$A:$J,10,FALSE)</f>
        <v>PremiumS</v>
      </c>
      <c r="G227" s="7">
        <f>VLOOKUP(D227,[1]characters!$A:$I,9,FALSE)</f>
        <v>5</v>
      </c>
      <c r="H227" s="7" t="str">
        <f>VLOOKUP(D227,[1]characters!$A:$H,8,FALSE)</f>
        <v>red</v>
      </c>
      <c r="I227" s="7" t="str">
        <f>VLOOKUP(D227,[1]characters!$A:$K,11,FALSE)</f>
        <v>balance</v>
      </c>
      <c r="J227" s="7" t="str">
        <f>VLOOKUP(D227,[1]characters!$A:$M,13,FALSE)</f>
        <v>human</v>
      </c>
      <c r="K227" s="7" t="str">
        <f>VLOOKUP(D227,[1]characters!$A:$G,7,FALSE)</f>
        <v>男性</v>
      </c>
      <c r="L227" s="66">
        <f>IFERROR(VLOOKUP(D227,input_6!L:R,7,FALSE),VLOOKUP(tables_6!B227,input_6!A:H,8,FALSE))</f>
        <v>46657</v>
      </c>
      <c r="M227" s="67">
        <f t="shared" si="9"/>
        <v>8.9814814814814813E-4</v>
      </c>
      <c r="N227" s="31">
        <f>IFERROR(VLOOKUP($D227,bug_conf_sheet!$A:$H,3,FALSE),VLOOKUP("other",bug_conf_sheet!$A:$H,3,FALSE))</f>
        <v>1</v>
      </c>
      <c r="O227" s="31">
        <f>IFERROR(VLOOKUP($D227,bug_conf_sheet!$A:$H,4,FALSE),VLOOKUP("other",bug_conf_sheet!$A:$H,4,FALSE))</f>
        <v>0</v>
      </c>
      <c r="P227" s="31">
        <f>IFERROR(VLOOKUP($D227,bug_conf_sheet!$A:$H,5,FALSE),VLOOKUP("other",bug_conf_sheet!$A:$H,5,FALSE))</f>
        <v>0</v>
      </c>
      <c r="Q227" s="31">
        <f>IFERROR(VLOOKUP($D227,bug_conf_sheet!$A:$H,6,FALSE),VLOOKUP("other",bug_conf_sheet!$A:$H,6,FALSE))</f>
        <v>0</v>
      </c>
      <c r="R227" s="31">
        <f>IFERROR(VLOOKUP($D227,bug_conf_sheet!$A:$H,7,FALSE),VLOOKUP("other",bug_conf_sheet!$A:$H,7,FALSE))</f>
        <v>0</v>
      </c>
      <c r="S227" s="31">
        <f>IFERROR(VLOOKUP($D227,bug_conf_sheet!$A:$H,8,FALSE),VLOOKUP("other",bug_conf_sheet!$A:$H,8,FALSE))</f>
        <v>1</v>
      </c>
    </row>
    <row r="228" spans="1:19" ht="21" customHeight="1">
      <c r="A228" s="2">
        <f>input_6!A$2</f>
        <v>3126</v>
      </c>
      <c r="B228" s="7" t="str">
        <f t="shared" si="10"/>
        <v>Premium3</v>
      </c>
      <c r="C228" s="7" t="str">
        <f t="shared" si="11"/>
        <v>Premium</v>
      </c>
      <c r="D228" s="6">
        <v>599</v>
      </c>
      <c r="E228" s="7" t="str">
        <f>VLOOKUP(D228,[1]characters!$A:$C,3,FALSE)</f>
        <v>ニーズヘッグ</v>
      </c>
      <c r="F228" s="7" t="str">
        <f>VLOOKUP(D228,[1]characters!$A:$J,10,FALSE)</f>
        <v>PremiumS</v>
      </c>
      <c r="G228" s="7">
        <f>VLOOKUP(D228,[1]characters!$A:$I,9,FALSE)</f>
        <v>3</v>
      </c>
      <c r="H228" s="7" t="str">
        <f>VLOOKUP(D228,[1]characters!$A:$H,8,FALSE)</f>
        <v>green</v>
      </c>
      <c r="I228" s="7" t="str">
        <f>VLOOKUP(D228,[1]characters!$A:$K,11,FALSE)</f>
        <v>attack</v>
      </c>
      <c r="J228" s="7" t="str">
        <f>VLOOKUP(D228,[1]characters!$A:$M,13,FALSE)</f>
        <v>dragon</v>
      </c>
      <c r="K228" s="7" t="str">
        <f>VLOOKUP(D228,[1]characters!$A:$G,7,FALSE)</f>
        <v>不明</v>
      </c>
      <c r="L228" s="66">
        <f>IFERROR(VLOOKUP(D228,input_6!L:R,7,FALSE),VLOOKUP(tables_6!B228,input_6!A:H,8,FALSE))</f>
        <v>0</v>
      </c>
      <c r="M228" s="67">
        <f t="shared" si="9"/>
        <v>0</v>
      </c>
      <c r="N228" s="31">
        <f>IFERROR(VLOOKUP($D228,bug_conf_sheet!$A:$H,3,FALSE),VLOOKUP("other",bug_conf_sheet!$A:$H,3,FALSE))</f>
        <v>1</v>
      </c>
      <c r="O228" s="31">
        <f>IFERROR(VLOOKUP($D228,bug_conf_sheet!$A:$H,4,FALSE),VLOOKUP("other",bug_conf_sheet!$A:$H,4,FALSE))</f>
        <v>0</v>
      </c>
      <c r="P228" s="31">
        <f>IFERROR(VLOOKUP($D228,bug_conf_sheet!$A:$H,5,FALSE),VLOOKUP("other",bug_conf_sheet!$A:$H,5,FALSE))</f>
        <v>0</v>
      </c>
      <c r="Q228" s="31">
        <f>IFERROR(VLOOKUP($D228,bug_conf_sheet!$A:$H,6,FALSE),VLOOKUP("other",bug_conf_sheet!$A:$H,6,FALSE))</f>
        <v>0</v>
      </c>
      <c r="R228" s="31">
        <f>IFERROR(VLOOKUP($D228,bug_conf_sheet!$A:$H,7,FALSE),VLOOKUP("other",bug_conf_sheet!$A:$H,7,FALSE))</f>
        <v>0</v>
      </c>
      <c r="S228" s="31">
        <f>IFERROR(VLOOKUP($D228,bug_conf_sheet!$A:$H,8,FALSE),VLOOKUP("other",bug_conf_sheet!$A:$H,8,FALSE))</f>
        <v>1</v>
      </c>
    </row>
    <row r="229" spans="1:19" ht="21" customHeight="1">
      <c r="A229" s="2">
        <f>input_6!A$2</f>
        <v>3126</v>
      </c>
      <c r="B229" s="7" t="str">
        <f t="shared" si="10"/>
        <v>Premium4</v>
      </c>
      <c r="C229" s="7" t="str">
        <f t="shared" si="11"/>
        <v>Premium</v>
      </c>
      <c r="D229" s="6">
        <v>600</v>
      </c>
      <c r="E229" s="7" t="str">
        <f>VLOOKUP(D229,[1]characters!$A:$C,3,FALSE)</f>
        <v>界下に潜む蛇 ニーズヘッグ</v>
      </c>
      <c r="F229" s="7" t="str">
        <f>VLOOKUP(D229,[1]characters!$A:$J,10,FALSE)</f>
        <v>PremiumS</v>
      </c>
      <c r="G229" s="7">
        <f>VLOOKUP(D229,[1]characters!$A:$I,9,FALSE)</f>
        <v>4</v>
      </c>
      <c r="H229" s="7" t="str">
        <f>VLOOKUP(D229,[1]characters!$A:$H,8,FALSE)</f>
        <v>green</v>
      </c>
      <c r="I229" s="7" t="str">
        <f>VLOOKUP(D229,[1]characters!$A:$K,11,FALSE)</f>
        <v>attack</v>
      </c>
      <c r="J229" s="7" t="str">
        <f>VLOOKUP(D229,[1]characters!$A:$M,13,FALSE)</f>
        <v>dragon</v>
      </c>
      <c r="K229" s="7" t="str">
        <f>VLOOKUP(D229,[1]characters!$A:$G,7,FALSE)</f>
        <v>不明</v>
      </c>
      <c r="L229" s="66">
        <f>IFERROR(VLOOKUP(D229,input_6!L:R,7,FALSE),VLOOKUP(tables_6!B229,input_6!A:H,8,FALSE))</f>
        <v>646893</v>
      </c>
      <c r="M229" s="67">
        <f t="shared" si="9"/>
        <v>1.2452702702702703E-2</v>
      </c>
      <c r="N229" s="31">
        <f>IFERROR(VLOOKUP($D229,bug_conf_sheet!$A:$H,3,FALSE),VLOOKUP("other",bug_conf_sheet!$A:$H,3,FALSE))</f>
        <v>1</v>
      </c>
      <c r="O229" s="31">
        <f>IFERROR(VLOOKUP($D229,bug_conf_sheet!$A:$H,4,FALSE),VLOOKUP("other",bug_conf_sheet!$A:$H,4,FALSE))</f>
        <v>0</v>
      </c>
      <c r="P229" s="31">
        <f>IFERROR(VLOOKUP($D229,bug_conf_sheet!$A:$H,5,FALSE),VLOOKUP("other",bug_conf_sheet!$A:$H,5,FALSE))</f>
        <v>0</v>
      </c>
      <c r="Q229" s="31">
        <f>IFERROR(VLOOKUP($D229,bug_conf_sheet!$A:$H,6,FALSE),VLOOKUP("other",bug_conf_sheet!$A:$H,6,FALSE))</f>
        <v>0</v>
      </c>
      <c r="R229" s="31">
        <f>IFERROR(VLOOKUP($D229,bug_conf_sheet!$A:$H,7,FALSE),VLOOKUP("other",bug_conf_sheet!$A:$H,7,FALSE))</f>
        <v>0</v>
      </c>
      <c r="S229" s="31">
        <f>IFERROR(VLOOKUP($D229,bug_conf_sheet!$A:$H,8,FALSE),VLOOKUP("other",bug_conf_sheet!$A:$H,8,FALSE))</f>
        <v>1</v>
      </c>
    </row>
    <row r="230" spans="1:19" ht="21" customHeight="1">
      <c r="A230" s="2">
        <f>input_6!A$2</f>
        <v>3126</v>
      </c>
      <c r="B230" s="7" t="str">
        <f t="shared" si="10"/>
        <v>Premium5</v>
      </c>
      <c r="C230" s="7" t="str">
        <f t="shared" si="11"/>
        <v>Premium</v>
      </c>
      <c r="D230" s="6">
        <v>601</v>
      </c>
      <c r="E230" s="7" t="str">
        <f>VLOOKUP(D230,[1]characters!$A:$C,3,FALSE)</f>
        <v>界根蝕む悪食 ニーズヘッグ</v>
      </c>
      <c r="F230" s="7" t="str">
        <f>VLOOKUP(D230,[1]characters!$A:$J,10,FALSE)</f>
        <v>PremiumS</v>
      </c>
      <c r="G230" s="7">
        <f>VLOOKUP(D230,[1]characters!$A:$I,9,FALSE)</f>
        <v>5</v>
      </c>
      <c r="H230" s="7" t="str">
        <f>VLOOKUP(D230,[1]characters!$A:$H,8,FALSE)</f>
        <v>green</v>
      </c>
      <c r="I230" s="7" t="str">
        <f>VLOOKUP(D230,[1]characters!$A:$K,11,FALSE)</f>
        <v>attack</v>
      </c>
      <c r="J230" s="7" t="str">
        <f>VLOOKUP(D230,[1]characters!$A:$M,13,FALSE)</f>
        <v>dragon</v>
      </c>
      <c r="K230" s="7" t="str">
        <f>VLOOKUP(D230,[1]characters!$A:$G,7,FALSE)</f>
        <v>不明</v>
      </c>
      <c r="L230" s="66">
        <f>IFERROR(VLOOKUP(D230,input_6!L:R,7,FALSE),VLOOKUP(tables_6!B230,input_6!A:H,8,FALSE))</f>
        <v>46657</v>
      </c>
      <c r="M230" s="67">
        <f t="shared" si="9"/>
        <v>8.9814814814814813E-4</v>
      </c>
      <c r="N230" s="31">
        <f>IFERROR(VLOOKUP($D230,bug_conf_sheet!$A:$H,3,FALSE),VLOOKUP("other",bug_conf_sheet!$A:$H,3,FALSE))</f>
        <v>1</v>
      </c>
      <c r="O230" s="31">
        <f>IFERROR(VLOOKUP($D230,bug_conf_sheet!$A:$H,4,FALSE),VLOOKUP("other",bug_conf_sheet!$A:$H,4,FALSE))</f>
        <v>0</v>
      </c>
      <c r="P230" s="31">
        <f>IFERROR(VLOOKUP($D230,bug_conf_sheet!$A:$H,5,FALSE),VLOOKUP("other",bug_conf_sheet!$A:$H,5,FALSE))</f>
        <v>0</v>
      </c>
      <c r="Q230" s="31">
        <f>IFERROR(VLOOKUP($D230,bug_conf_sheet!$A:$H,6,FALSE),VLOOKUP("other",bug_conf_sheet!$A:$H,6,FALSE))</f>
        <v>0</v>
      </c>
      <c r="R230" s="31">
        <f>IFERROR(VLOOKUP($D230,bug_conf_sheet!$A:$H,7,FALSE),VLOOKUP("other",bug_conf_sheet!$A:$H,7,FALSE))</f>
        <v>0</v>
      </c>
      <c r="S230" s="31">
        <f>IFERROR(VLOOKUP($D230,bug_conf_sheet!$A:$H,8,FALSE),VLOOKUP("other",bug_conf_sheet!$A:$H,8,FALSE))</f>
        <v>1</v>
      </c>
    </row>
    <row r="231" spans="1:19" ht="21" customHeight="1">
      <c r="A231" s="2">
        <f>input_6!A$2</f>
        <v>3126</v>
      </c>
      <c r="B231" s="7" t="str">
        <f t="shared" si="10"/>
        <v>PremiumSS4</v>
      </c>
      <c r="C231" s="7" t="str">
        <f t="shared" si="11"/>
        <v>PremiumSS</v>
      </c>
      <c r="D231" s="6">
        <v>602</v>
      </c>
      <c r="E231" s="7" t="str">
        <f>VLOOKUP(D231,[1]characters!$A:$C,3,FALSE)</f>
        <v>フレイヤ</v>
      </c>
      <c r="F231" s="7" t="str">
        <f>VLOOKUP(D231,[1]characters!$A:$J,10,FALSE)</f>
        <v>PremiumSS</v>
      </c>
      <c r="G231" s="7">
        <f>VLOOKUP(D231,[1]characters!$A:$I,9,FALSE)</f>
        <v>4</v>
      </c>
      <c r="H231" s="7" t="str">
        <f>VLOOKUP(D231,[1]characters!$A:$H,8,FALSE)</f>
        <v>blue</v>
      </c>
      <c r="I231" s="7" t="str">
        <f>VLOOKUP(D231,[1]characters!$A:$K,11,FALSE)</f>
        <v>heal</v>
      </c>
      <c r="J231" s="7" t="str">
        <f>VLOOKUP(D231,[1]characters!$A:$M,13,FALSE)</f>
        <v>animal</v>
      </c>
      <c r="K231" s="7" t="str">
        <f>VLOOKUP(D231,[1]characters!$A:$G,7,FALSE)</f>
        <v>女性</v>
      </c>
      <c r="L231" s="66">
        <f>IFERROR(VLOOKUP(D231,input_6!L:R,7,FALSE),VLOOKUP(tables_6!B231,input_6!A:H,8,FALSE))</f>
        <v>56943</v>
      </c>
      <c r="M231" s="67">
        <f t="shared" si="9"/>
        <v>1.0961538461538461E-3</v>
      </c>
      <c r="N231" s="31">
        <f>IFERROR(VLOOKUP($D231,bug_conf_sheet!$A:$H,3,FALSE),VLOOKUP("other",bug_conf_sheet!$A:$H,3,FALSE))</f>
        <v>1</v>
      </c>
      <c r="O231" s="31">
        <f>IFERROR(VLOOKUP($D231,bug_conf_sheet!$A:$H,4,FALSE),VLOOKUP("other",bug_conf_sheet!$A:$H,4,FALSE))</f>
        <v>0</v>
      </c>
      <c r="P231" s="31">
        <f>IFERROR(VLOOKUP($D231,bug_conf_sheet!$A:$H,5,FALSE),VLOOKUP("other",bug_conf_sheet!$A:$H,5,FALSE))</f>
        <v>0</v>
      </c>
      <c r="Q231" s="31">
        <f>IFERROR(VLOOKUP($D231,bug_conf_sheet!$A:$H,6,FALSE),VLOOKUP("other",bug_conf_sheet!$A:$H,6,FALSE))</f>
        <v>0</v>
      </c>
      <c r="R231" s="31">
        <f>IFERROR(VLOOKUP($D231,bug_conf_sheet!$A:$H,7,FALSE),VLOOKUP("other",bug_conf_sheet!$A:$H,7,FALSE))</f>
        <v>0</v>
      </c>
      <c r="S231" s="31">
        <f>IFERROR(VLOOKUP($D231,bug_conf_sheet!$A:$H,8,FALSE),VLOOKUP("other",bug_conf_sheet!$A:$H,8,FALSE))</f>
        <v>1</v>
      </c>
    </row>
    <row r="232" spans="1:19" ht="21" customHeight="1">
      <c r="A232" s="2">
        <f>input_6!A$2</f>
        <v>3126</v>
      </c>
      <c r="B232" s="7" t="str">
        <f t="shared" si="10"/>
        <v>PremiumSS5</v>
      </c>
      <c r="C232" s="7" t="str">
        <f t="shared" si="11"/>
        <v>PremiumSS</v>
      </c>
      <c r="D232" s="6">
        <v>603</v>
      </c>
      <c r="E232" s="7" t="str">
        <f>VLOOKUP(D232,[1]characters!$A:$C,3,FALSE)</f>
        <v>掌愛の豊穣女神 フレイヤ</v>
      </c>
      <c r="F232" s="7" t="str">
        <f>VLOOKUP(D232,[1]characters!$A:$J,10,FALSE)</f>
        <v>PremiumSS</v>
      </c>
      <c r="G232" s="7">
        <f>VLOOKUP(D232,[1]characters!$A:$I,9,FALSE)</f>
        <v>5</v>
      </c>
      <c r="H232" s="7" t="str">
        <f>VLOOKUP(D232,[1]characters!$A:$H,8,FALSE)</f>
        <v>blue</v>
      </c>
      <c r="I232" s="7" t="str">
        <f>VLOOKUP(D232,[1]characters!$A:$K,11,FALSE)</f>
        <v>heal</v>
      </c>
      <c r="J232" s="7" t="str">
        <f>VLOOKUP(D232,[1]characters!$A:$M,13,FALSE)</f>
        <v>animal</v>
      </c>
      <c r="K232" s="7" t="str">
        <f>VLOOKUP(D232,[1]characters!$A:$G,7,FALSE)</f>
        <v>女性</v>
      </c>
      <c r="L232" s="66">
        <f>IFERROR(VLOOKUP(D232,input_6!L:R,7,FALSE),VLOOKUP(tables_6!B232,input_6!A:H,8,FALSE))</f>
        <v>2997</v>
      </c>
      <c r="M232" s="67">
        <f t="shared" si="9"/>
        <v>5.7692307692307691E-5</v>
      </c>
      <c r="N232" s="31">
        <f>IFERROR(VLOOKUP($D232,bug_conf_sheet!$A:$H,3,FALSE),VLOOKUP("other",bug_conf_sheet!$A:$H,3,FALSE))</f>
        <v>1</v>
      </c>
      <c r="O232" s="31">
        <f>IFERROR(VLOOKUP($D232,bug_conf_sheet!$A:$H,4,FALSE),VLOOKUP("other",bug_conf_sheet!$A:$H,4,FALSE))</f>
        <v>0</v>
      </c>
      <c r="P232" s="31">
        <f>IFERROR(VLOOKUP($D232,bug_conf_sheet!$A:$H,5,FALSE),VLOOKUP("other",bug_conf_sheet!$A:$H,5,FALSE))</f>
        <v>0</v>
      </c>
      <c r="Q232" s="31">
        <f>IFERROR(VLOOKUP($D232,bug_conf_sheet!$A:$H,6,FALSE),VLOOKUP("other",bug_conf_sheet!$A:$H,6,FALSE))</f>
        <v>0</v>
      </c>
      <c r="R232" s="31">
        <f>IFERROR(VLOOKUP($D232,bug_conf_sheet!$A:$H,7,FALSE),VLOOKUP("other",bug_conf_sheet!$A:$H,7,FALSE))</f>
        <v>0</v>
      </c>
      <c r="S232" s="31">
        <f>IFERROR(VLOOKUP($D232,bug_conf_sheet!$A:$H,8,FALSE),VLOOKUP("other",bug_conf_sheet!$A:$H,8,FALSE))</f>
        <v>1</v>
      </c>
    </row>
    <row r="233" spans="1:19" ht="21" customHeight="1">
      <c r="A233" s="2">
        <f>input_6!A$2</f>
        <v>3126</v>
      </c>
      <c r="B233" s="7" t="str">
        <f t="shared" si="10"/>
        <v>Premium3</v>
      </c>
      <c r="C233" s="7" t="str">
        <f t="shared" si="11"/>
        <v>Premium</v>
      </c>
      <c r="D233" s="6">
        <v>604</v>
      </c>
      <c r="E233" s="7" t="str">
        <f>VLOOKUP(D233,[1]characters!$A:$C,3,FALSE)</f>
        <v>バルドル</v>
      </c>
      <c r="F233" s="7" t="str">
        <f>VLOOKUP(D233,[1]characters!$A:$J,10,FALSE)</f>
        <v>PremiumS</v>
      </c>
      <c r="G233" s="7">
        <f>VLOOKUP(D233,[1]characters!$A:$I,9,FALSE)</f>
        <v>3</v>
      </c>
      <c r="H233" s="7" t="str">
        <f>VLOOKUP(D233,[1]characters!$A:$H,8,FALSE)</f>
        <v>yellow</v>
      </c>
      <c r="I233" s="7" t="str">
        <f>VLOOKUP(D233,[1]characters!$A:$K,11,FALSE)</f>
        <v>heal</v>
      </c>
      <c r="J233" s="7" t="str">
        <f>VLOOKUP(D233,[1]characters!$A:$M,13,FALSE)</f>
        <v>god</v>
      </c>
      <c r="K233" s="7" t="str">
        <f>VLOOKUP(D233,[1]characters!$A:$G,7,FALSE)</f>
        <v>男性</v>
      </c>
      <c r="L233" s="66">
        <f>IFERROR(VLOOKUP(D233,input_6!L:R,7,FALSE),VLOOKUP(tables_6!B233,input_6!A:H,8,FALSE))</f>
        <v>0</v>
      </c>
      <c r="M233" s="67">
        <f t="shared" si="9"/>
        <v>0</v>
      </c>
      <c r="N233" s="31">
        <f>IFERROR(VLOOKUP($D233,bug_conf_sheet!$A:$H,3,FALSE),VLOOKUP("other",bug_conf_sheet!$A:$H,3,FALSE))</f>
        <v>1</v>
      </c>
      <c r="O233" s="31">
        <f>IFERROR(VLOOKUP($D233,bug_conf_sheet!$A:$H,4,FALSE),VLOOKUP("other",bug_conf_sheet!$A:$H,4,FALSE))</f>
        <v>0</v>
      </c>
      <c r="P233" s="31">
        <f>IFERROR(VLOOKUP($D233,bug_conf_sheet!$A:$H,5,FALSE),VLOOKUP("other",bug_conf_sheet!$A:$H,5,FALSE))</f>
        <v>0</v>
      </c>
      <c r="Q233" s="31">
        <f>IFERROR(VLOOKUP($D233,bug_conf_sheet!$A:$H,6,FALSE),VLOOKUP("other",bug_conf_sheet!$A:$H,6,FALSE))</f>
        <v>0</v>
      </c>
      <c r="R233" s="31">
        <f>IFERROR(VLOOKUP($D233,bug_conf_sheet!$A:$H,7,FALSE),VLOOKUP("other",bug_conf_sheet!$A:$H,7,FALSE))</f>
        <v>0</v>
      </c>
      <c r="S233" s="31">
        <f>IFERROR(VLOOKUP($D233,bug_conf_sheet!$A:$H,8,FALSE),VLOOKUP("other",bug_conf_sheet!$A:$H,8,FALSE))</f>
        <v>1</v>
      </c>
    </row>
    <row r="234" spans="1:19" ht="21" customHeight="1">
      <c r="A234" s="2">
        <f>input_6!A$2</f>
        <v>3126</v>
      </c>
      <c r="B234" s="7" t="str">
        <f t="shared" si="10"/>
        <v>Premium4</v>
      </c>
      <c r="C234" s="7" t="str">
        <f t="shared" si="11"/>
        <v>Premium</v>
      </c>
      <c r="D234" s="6">
        <v>605</v>
      </c>
      <c r="E234" s="7" t="str">
        <f>VLOOKUP(D234,[1]characters!$A:$C,3,FALSE)</f>
        <v>祝福される光耀 バルドル</v>
      </c>
      <c r="F234" s="7" t="str">
        <f>VLOOKUP(D234,[1]characters!$A:$J,10,FALSE)</f>
        <v>PremiumS</v>
      </c>
      <c r="G234" s="7">
        <f>VLOOKUP(D234,[1]characters!$A:$I,9,FALSE)</f>
        <v>4</v>
      </c>
      <c r="H234" s="7" t="str">
        <f>VLOOKUP(D234,[1]characters!$A:$H,8,FALSE)</f>
        <v>yellow</v>
      </c>
      <c r="I234" s="7" t="str">
        <f>VLOOKUP(D234,[1]characters!$A:$K,11,FALSE)</f>
        <v>heal</v>
      </c>
      <c r="J234" s="7" t="str">
        <f>VLOOKUP(D234,[1]characters!$A:$M,13,FALSE)</f>
        <v>god</v>
      </c>
      <c r="K234" s="7" t="str">
        <f>VLOOKUP(D234,[1]characters!$A:$G,7,FALSE)</f>
        <v>男性</v>
      </c>
      <c r="L234" s="66">
        <f>IFERROR(VLOOKUP(D234,input_6!L:R,7,FALSE),VLOOKUP(tables_6!B234,input_6!A:H,8,FALSE))</f>
        <v>646893</v>
      </c>
      <c r="M234" s="67">
        <f t="shared" si="9"/>
        <v>1.2452702702702703E-2</v>
      </c>
      <c r="N234" s="31">
        <f>IFERROR(VLOOKUP($D234,bug_conf_sheet!$A:$H,3,FALSE),VLOOKUP("other",bug_conf_sheet!$A:$H,3,FALSE))</f>
        <v>1</v>
      </c>
      <c r="O234" s="31">
        <f>IFERROR(VLOOKUP($D234,bug_conf_sheet!$A:$H,4,FALSE),VLOOKUP("other",bug_conf_sheet!$A:$H,4,FALSE))</f>
        <v>0</v>
      </c>
      <c r="P234" s="31">
        <f>IFERROR(VLOOKUP($D234,bug_conf_sheet!$A:$H,5,FALSE),VLOOKUP("other",bug_conf_sheet!$A:$H,5,FALSE))</f>
        <v>0</v>
      </c>
      <c r="Q234" s="31">
        <f>IFERROR(VLOOKUP($D234,bug_conf_sheet!$A:$H,6,FALSE),VLOOKUP("other",bug_conf_sheet!$A:$H,6,FALSE))</f>
        <v>0</v>
      </c>
      <c r="R234" s="31">
        <f>IFERROR(VLOOKUP($D234,bug_conf_sheet!$A:$H,7,FALSE),VLOOKUP("other",bug_conf_sheet!$A:$H,7,FALSE))</f>
        <v>0</v>
      </c>
      <c r="S234" s="31">
        <f>IFERROR(VLOOKUP($D234,bug_conf_sheet!$A:$H,8,FALSE),VLOOKUP("other",bug_conf_sheet!$A:$H,8,FALSE))</f>
        <v>1</v>
      </c>
    </row>
    <row r="235" spans="1:19" ht="21" customHeight="1">
      <c r="A235" s="2">
        <f>input_6!A$2</f>
        <v>3126</v>
      </c>
      <c r="B235" s="7" t="str">
        <f t="shared" si="10"/>
        <v>Premium5</v>
      </c>
      <c r="C235" s="7" t="str">
        <f t="shared" si="11"/>
        <v>Premium</v>
      </c>
      <c r="D235" s="6">
        <v>606</v>
      </c>
      <c r="E235" s="7" t="str">
        <f>VLOOKUP(D235,[1]characters!$A:$C,3,FALSE)</f>
        <v>冀望の光芒 バルドル</v>
      </c>
      <c r="F235" s="7" t="str">
        <f>VLOOKUP(D235,[1]characters!$A:$J,10,FALSE)</f>
        <v>PremiumS</v>
      </c>
      <c r="G235" s="7">
        <f>VLOOKUP(D235,[1]characters!$A:$I,9,FALSE)</f>
        <v>5</v>
      </c>
      <c r="H235" s="7" t="str">
        <f>VLOOKUP(D235,[1]characters!$A:$H,8,FALSE)</f>
        <v>yellow</v>
      </c>
      <c r="I235" s="7" t="str">
        <f>VLOOKUP(D235,[1]characters!$A:$K,11,FALSE)</f>
        <v>heal</v>
      </c>
      <c r="J235" s="7" t="str">
        <f>VLOOKUP(D235,[1]characters!$A:$M,13,FALSE)</f>
        <v>god</v>
      </c>
      <c r="K235" s="7" t="str">
        <f>VLOOKUP(D235,[1]characters!$A:$G,7,FALSE)</f>
        <v>男性</v>
      </c>
      <c r="L235" s="66">
        <f>IFERROR(VLOOKUP(D235,input_6!L:R,7,FALSE),VLOOKUP(tables_6!B235,input_6!A:H,8,FALSE))</f>
        <v>46657</v>
      </c>
      <c r="M235" s="67">
        <f t="shared" si="9"/>
        <v>8.9814814814814813E-4</v>
      </c>
      <c r="N235" s="31">
        <f>IFERROR(VLOOKUP($D235,bug_conf_sheet!$A:$H,3,FALSE),VLOOKUP("other",bug_conf_sheet!$A:$H,3,FALSE))</f>
        <v>1</v>
      </c>
      <c r="O235" s="31">
        <f>IFERROR(VLOOKUP($D235,bug_conf_sheet!$A:$H,4,FALSE),VLOOKUP("other",bug_conf_sheet!$A:$H,4,FALSE))</f>
        <v>0</v>
      </c>
      <c r="P235" s="31">
        <f>IFERROR(VLOOKUP($D235,bug_conf_sheet!$A:$H,5,FALSE),VLOOKUP("other",bug_conf_sheet!$A:$H,5,FALSE))</f>
        <v>0</v>
      </c>
      <c r="Q235" s="31">
        <f>IFERROR(VLOOKUP($D235,bug_conf_sheet!$A:$H,6,FALSE),VLOOKUP("other",bug_conf_sheet!$A:$H,6,FALSE))</f>
        <v>0</v>
      </c>
      <c r="R235" s="31">
        <f>IFERROR(VLOOKUP($D235,bug_conf_sheet!$A:$H,7,FALSE),VLOOKUP("other",bug_conf_sheet!$A:$H,7,FALSE))</f>
        <v>0</v>
      </c>
      <c r="S235" s="31">
        <f>IFERROR(VLOOKUP($D235,bug_conf_sheet!$A:$H,8,FALSE),VLOOKUP("other",bug_conf_sheet!$A:$H,8,FALSE))</f>
        <v>1</v>
      </c>
    </row>
    <row r="236" spans="1:19" ht="21" customHeight="1">
      <c r="A236" s="2">
        <f>input_6!A$2</f>
        <v>3126</v>
      </c>
      <c r="B236" s="7" t="str">
        <f t="shared" si="10"/>
        <v>PremiumSS4</v>
      </c>
      <c r="C236" s="7" t="str">
        <f t="shared" si="11"/>
        <v>PremiumSS</v>
      </c>
      <c r="D236" s="6">
        <v>658</v>
      </c>
      <c r="E236" s="7" t="str">
        <f>VLOOKUP(D236,[1]characters!$A:$C,3,FALSE)</f>
        <v>猫又 クルミ</v>
      </c>
      <c r="F236" s="7" t="str">
        <f>VLOOKUP(D236,[1]characters!$A:$J,10,FALSE)</f>
        <v>PremiumSS</v>
      </c>
      <c r="G236" s="7">
        <f>VLOOKUP(D236,[1]characters!$A:$I,9,FALSE)</f>
        <v>4</v>
      </c>
      <c r="H236" s="7" t="str">
        <f>VLOOKUP(D236,[1]characters!$A:$H,8,FALSE)</f>
        <v>red</v>
      </c>
      <c r="I236" s="7" t="str">
        <f>VLOOKUP(D236,[1]characters!$A:$K,11,FALSE)</f>
        <v>attack</v>
      </c>
      <c r="J236" s="7" t="str">
        <f>VLOOKUP(D236,[1]characters!$A:$M,13,FALSE)</f>
        <v>animal</v>
      </c>
      <c r="K236" s="7" t="str">
        <f>VLOOKUP(D236,[1]characters!$A:$G,7,FALSE)</f>
        <v>女性</v>
      </c>
      <c r="L236" s="66">
        <f>IFERROR(VLOOKUP(D236,input_6!L:R,7,FALSE),VLOOKUP(tables_6!B236,input_6!A:H,8,FALSE))</f>
        <v>56943</v>
      </c>
      <c r="M236" s="67">
        <f t="shared" si="9"/>
        <v>1.0961538461538461E-3</v>
      </c>
      <c r="N236" s="31">
        <f>IFERROR(VLOOKUP($D236,bug_conf_sheet!$A:$H,3,FALSE),VLOOKUP("other",bug_conf_sheet!$A:$H,3,FALSE))</f>
        <v>1</v>
      </c>
      <c r="O236" s="31">
        <f>IFERROR(VLOOKUP($D236,bug_conf_sheet!$A:$H,4,FALSE),VLOOKUP("other",bug_conf_sheet!$A:$H,4,FALSE))</f>
        <v>0</v>
      </c>
      <c r="P236" s="31">
        <f>IFERROR(VLOOKUP($D236,bug_conf_sheet!$A:$H,5,FALSE),VLOOKUP("other",bug_conf_sheet!$A:$H,5,FALSE))</f>
        <v>0</v>
      </c>
      <c r="Q236" s="31">
        <f>IFERROR(VLOOKUP($D236,bug_conf_sheet!$A:$H,6,FALSE),VLOOKUP("other",bug_conf_sheet!$A:$H,6,FALSE))</f>
        <v>0</v>
      </c>
      <c r="R236" s="31">
        <f>IFERROR(VLOOKUP($D236,bug_conf_sheet!$A:$H,7,FALSE),VLOOKUP("other",bug_conf_sheet!$A:$H,7,FALSE))</f>
        <v>0</v>
      </c>
      <c r="S236" s="31">
        <f>IFERROR(VLOOKUP($D236,bug_conf_sheet!$A:$H,8,FALSE),VLOOKUP("other",bug_conf_sheet!$A:$H,8,FALSE))</f>
        <v>1</v>
      </c>
    </row>
    <row r="237" spans="1:19" ht="21" customHeight="1">
      <c r="A237" s="2">
        <f>input_6!A$2</f>
        <v>3126</v>
      </c>
      <c r="B237" s="7" t="str">
        <f t="shared" si="10"/>
        <v>PremiumSS5</v>
      </c>
      <c r="C237" s="7" t="str">
        <f t="shared" si="11"/>
        <v>PremiumSS</v>
      </c>
      <c r="D237" s="6">
        <v>659</v>
      </c>
      <c r="E237" s="7" t="str">
        <f>VLOOKUP(D237,[1]characters!$A:$C,3,FALSE)</f>
        <v>跳梁する化猫 クルミ</v>
      </c>
      <c r="F237" s="7" t="str">
        <f>VLOOKUP(D237,[1]characters!$A:$J,10,FALSE)</f>
        <v>PremiumSS</v>
      </c>
      <c r="G237" s="7">
        <f>VLOOKUP(D237,[1]characters!$A:$I,9,FALSE)</f>
        <v>5</v>
      </c>
      <c r="H237" s="7" t="str">
        <f>VLOOKUP(D237,[1]characters!$A:$H,8,FALSE)</f>
        <v>red</v>
      </c>
      <c r="I237" s="7" t="str">
        <f>VLOOKUP(D237,[1]characters!$A:$K,11,FALSE)</f>
        <v>attack</v>
      </c>
      <c r="J237" s="7" t="str">
        <f>VLOOKUP(D237,[1]characters!$A:$M,13,FALSE)</f>
        <v>animal</v>
      </c>
      <c r="K237" s="7" t="str">
        <f>VLOOKUP(D237,[1]characters!$A:$G,7,FALSE)</f>
        <v>女性</v>
      </c>
      <c r="L237" s="66">
        <f>IFERROR(VLOOKUP(D237,input_6!L:R,7,FALSE),VLOOKUP(tables_6!B237,input_6!A:H,8,FALSE))</f>
        <v>2997</v>
      </c>
      <c r="M237" s="67">
        <f t="shared" si="9"/>
        <v>5.7692307692307691E-5</v>
      </c>
      <c r="N237" s="31">
        <f>IFERROR(VLOOKUP($D237,bug_conf_sheet!$A:$H,3,FALSE),VLOOKUP("other",bug_conf_sheet!$A:$H,3,FALSE))</f>
        <v>1</v>
      </c>
      <c r="O237" s="31">
        <f>IFERROR(VLOOKUP($D237,bug_conf_sheet!$A:$H,4,FALSE),VLOOKUP("other",bug_conf_sheet!$A:$H,4,FALSE))</f>
        <v>0</v>
      </c>
      <c r="P237" s="31">
        <f>IFERROR(VLOOKUP($D237,bug_conf_sheet!$A:$H,5,FALSE),VLOOKUP("other",bug_conf_sheet!$A:$H,5,FALSE))</f>
        <v>0</v>
      </c>
      <c r="Q237" s="31">
        <f>IFERROR(VLOOKUP($D237,bug_conf_sheet!$A:$H,6,FALSE),VLOOKUP("other",bug_conf_sheet!$A:$H,6,FALSE))</f>
        <v>0</v>
      </c>
      <c r="R237" s="31">
        <f>IFERROR(VLOOKUP($D237,bug_conf_sheet!$A:$H,7,FALSE),VLOOKUP("other",bug_conf_sheet!$A:$H,7,FALSE))</f>
        <v>0</v>
      </c>
      <c r="S237" s="31">
        <f>IFERROR(VLOOKUP($D237,bug_conf_sheet!$A:$H,8,FALSE),VLOOKUP("other",bug_conf_sheet!$A:$H,8,FALSE))</f>
        <v>1</v>
      </c>
    </row>
    <row r="238" spans="1:19" ht="21" customHeight="1">
      <c r="A238" s="2">
        <f>input_6!A$2</f>
        <v>3126</v>
      </c>
      <c r="B238" s="7" t="str">
        <f t="shared" si="10"/>
        <v>PremiumSS4</v>
      </c>
      <c r="C238" s="7" t="str">
        <f t="shared" si="11"/>
        <v>PremiumSS</v>
      </c>
      <c r="D238" s="6">
        <v>660</v>
      </c>
      <c r="E238" s="7" t="str">
        <f>VLOOKUP(D238,[1]characters!$A:$C,3,FALSE)</f>
        <v>烏天狗 フウガ</v>
      </c>
      <c r="F238" s="7" t="str">
        <f>VLOOKUP(D238,[1]characters!$A:$J,10,FALSE)</f>
        <v>PremiumSS</v>
      </c>
      <c r="G238" s="7">
        <f>VLOOKUP(D238,[1]characters!$A:$I,9,FALSE)</f>
        <v>4</v>
      </c>
      <c r="H238" s="7" t="str">
        <f>VLOOKUP(D238,[1]characters!$A:$H,8,FALSE)</f>
        <v>green</v>
      </c>
      <c r="I238" s="7" t="str">
        <f>VLOOKUP(D238,[1]characters!$A:$K,11,FALSE)</f>
        <v>balance</v>
      </c>
      <c r="J238" s="7" t="str">
        <f>VLOOKUP(D238,[1]characters!$A:$M,13,FALSE)</f>
        <v>animal</v>
      </c>
      <c r="K238" s="7" t="str">
        <f>VLOOKUP(D238,[1]characters!$A:$G,7,FALSE)</f>
        <v>男性</v>
      </c>
      <c r="L238" s="66">
        <f>IFERROR(VLOOKUP(D238,input_6!L:R,7,FALSE),VLOOKUP(tables_6!B238,input_6!A:H,8,FALSE))</f>
        <v>56943</v>
      </c>
      <c r="M238" s="67">
        <f t="shared" si="9"/>
        <v>1.0961538461538461E-3</v>
      </c>
      <c r="N238" s="31">
        <f>IFERROR(VLOOKUP($D238,bug_conf_sheet!$A:$H,3,FALSE),VLOOKUP("other",bug_conf_sheet!$A:$H,3,FALSE))</f>
        <v>1</v>
      </c>
      <c r="O238" s="31">
        <f>IFERROR(VLOOKUP($D238,bug_conf_sheet!$A:$H,4,FALSE),VLOOKUP("other",bug_conf_sheet!$A:$H,4,FALSE))</f>
        <v>0</v>
      </c>
      <c r="P238" s="31">
        <f>IFERROR(VLOOKUP($D238,bug_conf_sheet!$A:$H,5,FALSE),VLOOKUP("other",bug_conf_sheet!$A:$H,5,FALSE))</f>
        <v>0</v>
      </c>
      <c r="Q238" s="31">
        <f>IFERROR(VLOOKUP($D238,bug_conf_sheet!$A:$H,6,FALSE),VLOOKUP("other",bug_conf_sheet!$A:$H,6,FALSE))</f>
        <v>0</v>
      </c>
      <c r="R238" s="31">
        <f>IFERROR(VLOOKUP($D238,bug_conf_sheet!$A:$H,7,FALSE),VLOOKUP("other",bug_conf_sheet!$A:$H,7,FALSE))</f>
        <v>0</v>
      </c>
      <c r="S238" s="31">
        <f>IFERROR(VLOOKUP($D238,bug_conf_sheet!$A:$H,8,FALSE),VLOOKUP("other",bug_conf_sheet!$A:$H,8,FALSE))</f>
        <v>1</v>
      </c>
    </row>
    <row r="239" spans="1:19" ht="21" customHeight="1">
      <c r="A239" s="2">
        <f>input_6!A$2</f>
        <v>3126</v>
      </c>
      <c r="B239" s="7" t="str">
        <f t="shared" si="10"/>
        <v>PremiumSS5</v>
      </c>
      <c r="C239" s="7" t="str">
        <f t="shared" si="11"/>
        <v>PremiumSS</v>
      </c>
      <c r="D239" s="6">
        <v>661</v>
      </c>
      <c r="E239" s="7" t="str">
        <f>VLOOKUP(D239,[1]characters!$A:$C,3,FALSE)</f>
        <v>疾風の天狗礫 フウガ</v>
      </c>
      <c r="F239" s="7" t="str">
        <f>VLOOKUP(D239,[1]characters!$A:$J,10,FALSE)</f>
        <v>PremiumSS</v>
      </c>
      <c r="G239" s="7">
        <f>VLOOKUP(D239,[1]characters!$A:$I,9,FALSE)</f>
        <v>5</v>
      </c>
      <c r="H239" s="7" t="str">
        <f>VLOOKUP(D239,[1]characters!$A:$H,8,FALSE)</f>
        <v>green</v>
      </c>
      <c r="I239" s="7" t="str">
        <f>VLOOKUP(D239,[1]characters!$A:$K,11,FALSE)</f>
        <v>balance</v>
      </c>
      <c r="J239" s="7" t="str">
        <f>VLOOKUP(D239,[1]characters!$A:$M,13,FALSE)</f>
        <v>animal</v>
      </c>
      <c r="K239" s="7" t="str">
        <f>VLOOKUP(D239,[1]characters!$A:$G,7,FALSE)</f>
        <v>男性</v>
      </c>
      <c r="L239" s="66">
        <f>IFERROR(VLOOKUP(D239,input_6!L:R,7,FALSE),VLOOKUP(tables_6!B239,input_6!A:H,8,FALSE))</f>
        <v>2997</v>
      </c>
      <c r="M239" s="67">
        <f t="shared" si="9"/>
        <v>5.7692307692307691E-5</v>
      </c>
      <c r="N239" s="31">
        <f>IFERROR(VLOOKUP($D239,bug_conf_sheet!$A:$H,3,FALSE),VLOOKUP("other",bug_conf_sheet!$A:$H,3,FALSE))</f>
        <v>1</v>
      </c>
      <c r="O239" s="31">
        <f>IFERROR(VLOOKUP($D239,bug_conf_sheet!$A:$H,4,FALSE),VLOOKUP("other",bug_conf_sheet!$A:$H,4,FALSE))</f>
        <v>0</v>
      </c>
      <c r="P239" s="31">
        <f>IFERROR(VLOOKUP($D239,bug_conf_sheet!$A:$H,5,FALSE),VLOOKUP("other",bug_conf_sheet!$A:$H,5,FALSE))</f>
        <v>0</v>
      </c>
      <c r="Q239" s="31">
        <f>IFERROR(VLOOKUP($D239,bug_conf_sheet!$A:$H,6,FALSE),VLOOKUP("other",bug_conf_sheet!$A:$H,6,FALSE))</f>
        <v>0</v>
      </c>
      <c r="R239" s="31">
        <f>IFERROR(VLOOKUP($D239,bug_conf_sheet!$A:$H,7,FALSE),VLOOKUP("other",bug_conf_sheet!$A:$H,7,FALSE))</f>
        <v>0</v>
      </c>
      <c r="S239" s="31">
        <f>IFERROR(VLOOKUP($D239,bug_conf_sheet!$A:$H,8,FALSE),VLOOKUP("other",bug_conf_sheet!$A:$H,8,FALSE))</f>
        <v>1</v>
      </c>
    </row>
    <row r="240" spans="1:19" ht="21" customHeight="1">
      <c r="A240" s="2">
        <f>input_6!A$2</f>
        <v>3126</v>
      </c>
      <c r="B240" s="7" t="str">
        <f t="shared" si="10"/>
        <v>Premium3</v>
      </c>
      <c r="C240" s="7" t="str">
        <f t="shared" si="11"/>
        <v>Premium</v>
      </c>
      <c r="D240" s="6">
        <v>662</v>
      </c>
      <c r="E240" s="7" t="str">
        <f>VLOOKUP(D240,[1]characters!$A:$C,3,FALSE)</f>
        <v>ダイダラ</v>
      </c>
      <c r="F240" s="7" t="str">
        <f>VLOOKUP(D240,[1]characters!$A:$J,10,FALSE)</f>
        <v>PremiumS</v>
      </c>
      <c r="G240" s="7">
        <f>VLOOKUP(D240,[1]characters!$A:$I,9,FALSE)</f>
        <v>3</v>
      </c>
      <c r="H240" s="7" t="str">
        <f>VLOOKUP(D240,[1]characters!$A:$H,8,FALSE)</f>
        <v>blue</v>
      </c>
      <c r="I240" s="7" t="str">
        <f>VLOOKUP(D240,[1]characters!$A:$K,11,FALSE)</f>
        <v>hp</v>
      </c>
      <c r="J240" s="7" t="str">
        <f>VLOOKUP(D240,[1]characters!$A:$M,13,FALSE)</f>
        <v>unknown</v>
      </c>
      <c r="K240" s="7" t="str">
        <f>VLOOKUP(D240,[1]characters!$A:$G,7,FALSE)</f>
        <v>不明</v>
      </c>
      <c r="L240" s="66">
        <f>IFERROR(VLOOKUP(D240,input_6!L:R,7,FALSE),VLOOKUP(tables_6!B240,input_6!A:H,8,FALSE))</f>
        <v>0</v>
      </c>
      <c r="M240" s="67">
        <f t="shared" si="9"/>
        <v>0</v>
      </c>
      <c r="N240" s="31">
        <f>IFERROR(VLOOKUP($D240,bug_conf_sheet!$A:$H,3,FALSE),VLOOKUP("other",bug_conf_sheet!$A:$H,3,FALSE))</f>
        <v>1</v>
      </c>
      <c r="O240" s="31">
        <f>IFERROR(VLOOKUP($D240,bug_conf_sheet!$A:$H,4,FALSE),VLOOKUP("other",bug_conf_sheet!$A:$H,4,FALSE))</f>
        <v>0</v>
      </c>
      <c r="P240" s="31">
        <f>IFERROR(VLOOKUP($D240,bug_conf_sheet!$A:$H,5,FALSE),VLOOKUP("other",bug_conf_sheet!$A:$H,5,FALSE))</f>
        <v>0</v>
      </c>
      <c r="Q240" s="31">
        <f>IFERROR(VLOOKUP($D240,bug_conf_sheet!$A:$H,6,FALSE),VLOOKUP("other",bug_conf_sheet!$A:$H,6,FALSE))</f>
        <v>0</v>
      </c>
      <c r="R240" s="31">
        <f>IFERROR(VLOOKUP($D240,bug_conf_sheet!$A:$H,7,FALSE),VLOOKUP("other",bug_conf_sheet!$A:$H,7,FALSE))</f>
        <v>0</v>
      </c>
      <c r="S240" s="31">
        <f>IFERROR(VLOOKUP($D240,bug_conf_sheet!$A:$H,8,FALSE),VLOOKUP("other",bug_conf_sheet!$A:$H,8,FALSE))</f>
        <v>1</v>
      </c>
    </row>
    <row r="241" spans="1:19" ht="21" customHeight="1">
      <c r="A241" s="2">
        <f>input_6!A$2</f>
        <v>3126</v>
      </c>
      <c r="B241" s="7" t="str">
        <f t="shared" si="10"/>
        <v>Premium4</v>
      </c>
      <c r="C241" s="7" t="str">
        <f t="shared" si="11"/>
        <v>Premium</v>
      </c>
      <c r="D241" s="6">
        <v>663</v>
      </c>
      <c r="E241" s="7" t="str">
        <f>VLOOKUP(D241,[1]characters!$A:$C,3,FALSE)</f>
        <v>都揺らす地響き ダイダラ</v>
      </c>
      <c r="F241" s="7" t="str">
        <f>VLOOKUP(D241,[1]characters!$A:$J,10,FALSE)</f>
        <v>PremiumS</v>
      </c>
      <c r="G241" s="7">
        <f>VLOOKUP(D241,[1]characters!$A:$I,9,FALSE)</f>
        <v>4</v>
      </c>
      <c r="H241" s="7" t="str">
        <f>VLOOKUP(D241,[1]characters!$A:$H,8,FALSE)</f>
        <v>blue</v>
      </c>
      <c r="I241" s="7" t="str">
        <f>VLOOKUP(D241,[1]characters!$A:$K,11,FALSE)</f>
        <v>hp</v>
      </c>
      <c r="J241" s="7" t="str">
        <f>VLOOKUP(D241,[1]characters!$A:$M,13,FALSE)</f>
        <v>unknown</v>
      </c>
      <c r="K241" s="7" t="str">
        <f>VLOOKUP(D241,[1]characters!$A:$G,7,FALSE)</f>
        <v>不明</v>
      </c>
      <c r="L241" s="66">
        <f>IFERROR(VLOOKUP(D241,input_6!L:R,7,FALSE),VLOOKUP(tables_6!B241,input_6!A:H,8,FALSE))</f>
        <v>646893</v>
      </c>
      <c r="M241" s="67">
        <f t="shared" si="9"/>
        <v>1.2452702702702703E-2</v>
      </c>
      <c r="N241" s="31">
        <f>IFERROR(VLOOKUP($D241,bug_conf_sheet!$A:$H,3,FALSE),VLOOKUP("other",bug_conf_sheet!$A:$H,3,FALSE))</f>
        <v>1</v>
      </c>
      <c r="O241" s="31">
        <f>IFERROR(VLOOKUP($D241,bug_conf_sheet!$A:$H,4,FALSE),VLOOKUP("other",bug_conf_sheet!$A:$H,4,FALSE))</f>
        <v>0</v>
      </c>
      <c r="P241" s="31">
        <f>IFERROR(VLOOKUP($D241,bug_conf_sheet!$A:$H,5,FALSE),VLOOKUP("other",bug_conf_sheet!$A:$H,5,FALSE))</f>
        <v>0</v>
      </c>
      <c r="Q241" s="31">
        <f>IFERROR(VLOOKUP($D241,bug_conf_sheet!$A:$H,6,FALSE),VLOOKUP("other",bug_conf_sheet!$A:$H,6,FALSE))</f>
        <v>0</v>
      </c>
      <c r="R241" s="31">
        <f>IFERROR(VLOOKUP($D241,bug_conf_sheet!$A:$H,7,FALSE),VLOOKUP("other",bug_conf_sheet!$A:$H,7,FALSE))</f>
        <v>0</v>
      </c>
      <c r="S241" s="31">
        <f>IFERROR(VLOOKUP($D241,bug_conf_sheet!$A:$H,8,FALSE),VLOOKUP("other",bug_conf_sheet!$A:$H,8,FALSE))</f>
        <v>1</v>
      </c>
    </row>
    <row r="242" spans="1:19" ht="21" customHeight="1">
      <c r="A242" s="2">
        <f>input_6!A$2</f>
        <v>3126</v>
      </c>
      <c r="B242" s="7" t="str">
        <f t="shared" si="10"/>
        <v>Premium5</v>
      </c>
      <c r="C242" s="7" t="str">
        <f t="shared" si="11"/>
        <v>Premium</v>
      </c>
      <c r="D242" s="6">
        <v>664</v>
      </c>
      <c r="E242" s="7" t="str">
        <f>VLOOKUP(D242,[1]characters!$A:$C,3,FALSE)</f>
        <v>山掴み国造り ダイダラ</v>
      </c>
      <c r="F242" s="7" t="str">
        <f>VLOOKUP(D242,[1]characters!$A:$J,10,FALSE)</f>
        <v>PremiumS</v>
      </c>
      <c r="G242" s="7">
        <f>VLOOKUP(D242,[1]characters!$A:$I,9,FALSE)</f>
        <v>5</v>
      </c>
      <c r="H242" s="7" t="str">
        <f>VLOOKUP(D242,[1]characters!$A:$H,8,FALSE)</f>
        <v>blue</v>
      </c>
      <c r="I242" s="7" t="str">
        <f>VLOOKUP(D242,[1]characters!$A:$K,11,FALSE)</f>
        <v>hp</v>
      </c>
      <c r="J242" s="7" t="str">
        <f>VLOOKUP(D242,[1]characters!$A:$M,13,FALSE)</f>
        <v>unknown</v>
      </c>
      <c r="K242" s="7" t="str">
        <f>VLOOKUP(D242,[1]characters!$A:$G,7,FALSE)</f>
        <v>不明</v>
      </c>
      <c r="L242" s="66">
        <f>IFERROR(VLOOKUP(D242,input_6!L:R,7,FALSE),VLOOKUP(tables_6!B242,input_6!A:H,8,FALSE))</f>
        <v>46657</v>
      </c>
      <c r="M242" s="67">
        <f t="shared" si="9"/>
        <v>8.9814814814814813E-4</v>
      </c>
      <c r="N242" s="31">
        <f>IFERROR(VLOOKUP($D242,bug_conf_sheet!$A:$H,3,FALSE),VLOOKUP("other",bug_conf_sheet!$A:$H,3,FALSE))</f>
        <v>1</v>
      </c>
      <c r="O242" s="31">
        <f>IFERROR(VLOOKUP($D242,bug_conf_sheet!$A:$H,4,FALSE),VLOOKUP("other",bug_conf_sheet!$A:$H,4,FALSE))</f>
        <v>0</v>
      </c>
      <c r="P242" s="31">
        <f>IFERROR(VLOOKUP($D242,bug_conf_sheet!$A:$H,5,FALSE),VLOOKUP("other",bug_conf_sheet!$A:$H,5,FALSE))</f>
        <v>0</v>
      </c>
      <c r="Q242" s="31">
        <f>IFERROR(VLOOKUP($D242,bug_conf_sheet!$A:$H,6,FALSE),VLOOKUP("other",bug_conf_sheet!$A:$H,6,FALSE))</f>
        <v>0</v>
      </c>
      <c r="R242" s="31">
        <f>IFERROR(VLOOKUP($D242,bug_conf_sheet!$A:$H,7,FALSE),VLOOKUP("other",bug_conf_sheet!$A:$H,7,FALSE))</f>
        <v>0</v>
      </c>
      <c r="S242" s="31">
        <f>IFERROR(VLOOKUP($D242,bug_conf_sheet!$A:$H,8,FALSE),VLOOKUP("other",bug_conf_sheet!$A:$H,8,FALSE))</f>
        <v>1</v>
      </c>
    </row>
    <row r="243" spans="1:19" ht="21" customHeight="1">
      <c r="A243" s="2">
        <f>input_6!A$2</f>
        <v>3126</v>
      </c>
      <c r="B243" s="7" t="str">
        <f t="shared" si="10"/>
        <v>Premium3</v>
      </c>
      <c r="C243" s="7" t="str">
        <f t="shared" si="11"/>
        <v>Premium</v>
      </c>
      <c r="D243" s="6">
        <v>665</v>
      </c>
      <c r="E243" s="7" t="str">
        <f>VLOOKUP(D243,[1]characters!$A:$C,3,FALSE)</f>
        <v>座敷童子 テマリ</v>
      </c>
      <c r="F243" s="7" t="str">
        <f>VLOOKUP(D243,[1]characters!$A:$J,10,FALSE)</f>
        <v>PremiumS</v>
      </c>
      <c r="G243" s="7">
        <f>VLOOKUP(D243,[1]characters!$A:$I,9,FALSE)</f>
        <v>3</v>
      </c>
      <c r="H243" s="7" t="str">
        <f>VLOOKUP(D243,[1]characters!$A:$H,8,FALSE)</f>
        <v>yellow</v>
      </c>
      <c r="I243" s="7" t="str">
        <f>VLOOKUP(D243,[1]characters!$A:$K,11,FALSE)</f>
        <v>balance</v>
      </c>
      <c r="J243" s="7" t="str">
        <f>VLOOKUP(D243,[1]characters!$A:$M,13,FALSE)</f>
        <v>unknown</v>
      </c>
      <c r="K243" s="7" t="str">
        <f>VLOOKUP(D243,[1]characters!$A:$G,7,FALSE)</f>
        <v>女性</v>
      </c>
      <c r="L243" s="66">
        <f>IFERROR(VLOOKUP(D243,input_6!L:R,7,FALSE),VLOOKUP(tables_6!B243,input_6!A:H,8,FALSE))</f>
        <v>0</v>
      </c>
      <c r="M243" s="67">
        <f t="shared" si="9"/>
        <v>0</v>
      </c>
      <c r="N243" s="31">
        <f>IFERROR(VLOOKUP($D243,bug_conf_sheet!$A:$H,3,FALSE),VLOOKUP("other",bug_conf_sheet!$A:$H,3,FALSE))</f>
        <v>1</v>
      </c>
      <c r="O243" s="31">
        <f>IFERROR(VLOOKUP($D243,bug_conf_sheet!$A:$H,4,FALSE),VLOOKUP("other",bug_conf_sheet!$A:$H,4,FALSE))</f>
        <v>0</v>
      </c>
      <c r="P243" s="31">
        <f>IFERROR(VLOOKUP($D243,bug_conf_sheet!$A:$H,5,FALSE),VLOOKUP("other",bug_conf_sheet!$A:$H,5,FALSE))</f>
        <v>0</v>
      </c>
      <c r="Q243" s="31">
        <f>IFERROR(VLOOKUP($D243,bug_conf_sheet!$A:$H,6,FALSE),VLOOKUP("other",bug_conf_sheet!$A:$H,6,FALSE))</f>
        <v>0</v>
      </c>
      <c r="R243" s="31">
        <f>IFERROR(VLOOKUP($D243,bug_conf_sheet!$A:$H,7,FALSE),VLOOKUP("other",bug_conf_sheet!$A:$H,7,FALSE))</f>
        <v>0</v>
      </c>
      <c r="S243" s="31">
        <f>IFERROR(VLOOKUP($D243,bug_conf_sheet!$A:$H,8,FALSE),VLOOKUP("other",bug_conf_sheet!$A:$H,8,FALSE))</f>
        <v>1</v>
      </c>
    </row>
    <row r="244" spans="1:19" ht="21" customHeight="1">
      <c r="A244" s="2">
        <f>input_6!A$2</f>
        <v>3126</v>
      </c>
      <c r="B244" s="7" t="str">
        <f t="shared" si="10"/>
        <v>Premium4</v>
      </c>
      <c r="C244" s="7" t="str">
        <f t="shared" si="11"/>
        <v>Premium</v>
      </c>
      <c r="D244" s="6">
        <v>666</v>
      </c>
      <c r="E244" s="7" t="str">
        <f>VLOOKUP(D244,[1]characters!$A:$C,3,FALSE)</f>
        <v>拡散する幸福 テマリ</v>
      </c>
      <c r="F244" s="7" t="str">
        <f>VLOOKUP(D244,[1]characters!$A:$J,10,FALSE)</f>
        <v>PremiumS</v>
      </c>
      <c r="G244" s="7">
        <f>VLOOKUP(D244,[1]characters!$A:$I,9,FALSE)</f>
        <v>4</v>
      </c>
      <c r="H244" s="7" t="str">
        <f>VLOOKUP(D244,[1]characters!$A:$H,8,FALSE)</f>
        <v>yellow</v>
      </c>
      <c r="I244" s="7" t="str">
        <f>VLOOKUP(D244,[1]characters!$A:$K,11,FALSE)</f>
        <v>balance</v>
      </c>
      <c r="J244" s="7" t="str">
        <f>VLOOKUP(D244,[1]characters!$A:$M,13,FALSE)</f>
        <v>unknown</v>
      </c>
      <c r="K244" s="7" t="str">
        <f>VLOOKUP(D244,[1]characters!$A:$G,7,FALSE)</f>
        <v>女性</v>
      </c>
      <c r="L244" s="66">
        <f>IFERROR(VLOOKUP(D244,input_6!L:R,7,FALSE),VLOOKUP(tables_6!B244,input_6!A:H,8,FALSE))</f>
        <v>646893</v>
      </c>
      <c r="M244" s="67">
        <f t="shared" si="9"/>
        <v>1.2452702702702703E-2</v>
      </c>
      <c r="N244" s="31">
        <f>IFERROR(VLOOKUP($D244,bug_conf_sheet!$A:$H,3,FALSE),VLOOKUP("other",bug_conf_sheet!$A:$H,3,FALSE))</f>
        <v>1</v>
      </c>
      <c r="O244" s="31">
        <f>IFERROR(VLOOKUP($D244,bug_conf_sheet!$A:$H,4,FALSE),VLOOKUP("other",bug_conf_sheet!$A:$H,4,FALSE))</f>
        <v>0</v>
      </c>
      <c r="P244" s="31">
        <f>IFERROR(VLOOKUP($D244,bug_conf_sheet!$A:$H,5,FALSE),VLOOKUP("other",bug_conf_sheet!$A:$H,5,FALSE))</f>
        <v>0</v>
      </c>
      <c r="Q244" s="31">
        <f>IFERROR(VLOOKUP($D244,bug_conf_sheet!$A:$H,6,FALSE),VLOOKUP("other",bug_conf_sheet!$A:$H,6,FALSE))</f>
        <v>0</v>
      </c>
      <c r="R244" s="31">
        <f>IFERROR(VLOOKUP($D244,bug_conf_sheet!$A:$H,7,FALSE),VLOOKUP("other",bug_conf_sheet!$A:$H,7,FALSE))</f>
        <v>0</v>
      </c>
      <c r="S244" s="31">
        <f>IFERROR(VLOOKUP($D244,bug_conf_sheet!$A:$H,8,FALSE),VLOOKUP("other",bug_conf_sheet!$A:$H,8,FALSE))</f>
        <v>1</v>
      </c>
    </row>
    <row r="245" spans="1:19" ht="21" customHeight="1">
      <c r="A245" s="2">
        <f>input_6!A$2</f>
        <v>3126</v>
      </c>
      <c r="B245" s="7" t="str">
        <f t="shared" si="10"/>
        <v>Premium5</v>
      </c>
      <c r="C245" s="7" t="str">
        <f t="shared" si="11"/>
        <v>Premium</v>
      </c>
      <c r="D245" s="6">
        <v>667</v>
      </c>
      <c r="E245" s="7" t="str">
        <f>VLOOKUP(D245,[1]characters!$A:$C,3,FALSE)</f>
        <v>最幸運の妖童 テマリ</v>
      </c>
      <c r="F245" s="7" t="str">
        <f>VLOOKUP(D245,[1]characters!$A:$J,10,FALSE)</f>
        <v>PremiumS</v>
      </c>
      <c r="G245" s="7">
        <f>VLOOKUP(D245,[1]characters!$A:$I,9,FALSE)</f>
        <v>5</v>
      </c>
      <c r="H245" s="7" t="str">
        <f>VLOOKUP(D245,[1]characters!$A:$H,8,FALSE)</f>
        <v>yellow</v>
      </c>
      <c r="I245" s="7" t="str">
        <f>VLOOKUP(D245,[1]characters!$A:$K,11,FALSE)</f>
        <v>balance</v>
      </c>
      <c r="J245" s="7" t="str">
        <f>VLOOKUP(D245,[1]characters!$A:$M,13,FALSE)</f>
        <v>unknown</v>
      </c>
      <c r="K245" s="7" t="str">
        <f>VLOOKUP(D245,[1]characters!$A:$G,7,FALSE)</f>
        <v>女性</v>
      </c>
      <c r="L245" s="66">
        <f>IFERROR(VLOOKUP(D245,input_6!L:R,7,FALSE),VLOOKUP(tables_6!B245,input_6!A:H,8,FALSE))</f>
        <v>46657</v>
      </c>
      <c r="M245" s="67">
        <f t="shared" si="9"/>
        <v>8.9814814814814813E-4</v>
      </c>
      <c r="N245" s="31">
        <f>IFERROR(VLOOKUP($D245,bug_conf_sheet!$A:$H,3,FALSE),VLOOKUP("other",bug_conf_sheet!$A:$H,3,FALSE))</f>
        <v>1</v>
      </c>
      <c r="O245" s="31">
        <f>IFERROR(VLOOKUP($D245,bug_conf_sheet!$A:$H,4,FALSE),VLOOKUP("other",bug_conf_sheet!$A:$H,4,FALSE))</f>
        <v>0</v>
      </c>
      <c r="P245" s="31">
        <f>IFERROR(VLOOKUP($D245,bug_conf_sheet!$A:$H,5,FALSE),VLOOKUP("other",bug_conf_sheet!$A:$H,5,FALSE))</f>
        <v>0</v>
      </c>
      <c r="Q245" s="31">
        <f>IFERROR(VLOOKUP($D245,bug_conf_sheet!$A:$H,6,FALSE),VLOOKUP("other",bug_conf_sheet!$A:$H,6,FALSE))</f>
        <v>0</v>
      </c>
      <c r="R245" s="31">
        <f>IFERROR(VLOOKUP($D245,bug_conf_sheet!$A:$H,7,FALSE),VLOOKUP("other",bug_conf_sheet!$A:$H,7,FALSE))</f>
        <v>0</v>
      </c>
      <c r="S245" s="31">
        <f>IFERROR(VLOOKUP($D245,bug_conf_sheet!$A:$H,8,FALSE),VLOOKUP("other",bug_conf_sheet!$A:$H,8,FALSE))</f>
        <v>1</v>
      </c>
    </row>
    <row r="246" spans="1:19" ht="21" customHeight="1">
      <c r="A246" s="2">
        <f>input_6!A$2</f>
        <v>3126</v>
      </c>
      <c r="B246" s="7" t="str">
        <f t="shared" si="10"/>
        <v>Premium3</v>
      </c>
      <c r="C246" s="7" t="str">
        <f t="shared" si="11"/>
        <v>Premium</v>
      </c>
      <c r="D246" s="6">
        <v>668</v>
      </c>
      <c r="E246" s="7" t="str">
        <f>VLOOKUP(D246,[1]characters!$A:$C,3,FALSE)</f>
        <v>アグニ</v>
      </c>
      <c r="F246" s="7" t="str">
        <f>VLOOKUP(D246,[1]characters!$A:$J,10,FALSE)</f>
        <v>PremiumS</v>
      </c>
      <c r="G246" s="7">
        <f>VLOOKUP(D246,[1]characters!$A:$I,9,FALSE)</f>
        <v>3</v>
      </c>
      <c r="H246" s="7" t="str">
        <f>VLOOKUP(D246,[1]characters!$A:$H,8,FALSE)</f>
        <v>red</v>
      </c>
      <c r="I246" s="7" t="str">
        <f>VLOOKUP(D246,[1]characters!$A:$K,11,FALSE)</f>
        <v>hp</v>
      </c>
      <c r="J246" s="7" t="str">
        <f>VLOOKUP(D246,[1]characters!$A:$M,13,FALSE)</f>
        <v>god</v>
      </c>
      <c r="K246" s="7" t="str">
        <f>VLOOKUP(D246,[1]characters!$A:$G,7,FALSE)</f>
        <v>男性</v>
      </c>
      <c r="L246" s="66">
        <f>IFERROR(VLOOKUP(D246,input_6!L:R,7,FALSE),VLOOKUP(tables_6!B246,input_6!A:H,8,FALSE))</f>
        <v>0</v>
      </c>
      <c r="M246" s="67">
        <f t="shared" si="9"/>
        <v>0</v>
      </c>
      <c r="N246" s="31">
        <f>IFERROR(VLOOKUP($D246,bug_conf_sheet!$A:$H,3,FALSE),VLOOKUP("other",bug_conf_sheet!$A:$H,3,FALSE))</f>
        <v>1</v>
      </c>
      <c r="O246" s="31">
        <f>IFERROR(VLOOKUP($D246,bug_conf_sheet!$A:$H,4,FALSE),VLOOKUP("other",bug_conf_sheet!$A:$H,4,FALSE))</f>
        <v>0</v>
      </c>
      <c r="P246" s="31">
        <f>IFERROR(VLOOKUP($D246,bug_conf_sheet!$A:$H,5,FALSE),VLOOKUP("other",bug_conf_sheet!$A:$H,5,FALSE))</f>
        <v>0</v>
      </c>
      <c r="Q246" s="31">
        <f>IFERROR(VLOOKUP($D246,bug_conf_sheet!$A:$H,6,FALSE),VLOOKUP("other",bug_conf_sheet!$A:$H,6,FALSE))</f>
        <v>0</v>
      </c>
      <c r="R246" s="31">
        <f>IFERROR(VLOOKUP($D246,bug_conf_sheet!$A:$H,7,FALSE),VLOOKUP("other",bug_conf_sheet!$A:$H,7,FALSE))</f>
        <v>0</v>
      </c>
      <c r="S246" s="31">
        <f>IFERROR(VLOOKUP($D246,bug_conf_sheet!$A:$H,8,FALSE),VLOOKUP("other",bug_conf_sheet!$A:$H,8,FALSE))</f>
        <v>1</v>
      </c>
    </row>
    <row r="247" spans="1:19" ht="21" customHeight="1">
      <c r="A247" s="2">
        <f>input_6!A$2</f>
        <v>3126</v>
      </c>
      <c r="B247" s="7" t="str">
        <f t="shared" si="10"/>
        <v>Premium4</v>
      </c>
      <c r="C247" s="7" t="str">
        <f t="shared" si="11"/>
        <v>Premium</v>
      </c>
      <c r="D247" s="6">
        <v>669</v>
      </c>
      <c r="E247" s="7" t="str">
        <f>VLOOKUP(D247,[1]characters!$A:$C,3,FALSE)</f>
        <v>天地の仲界 アグニ</v>
      </c>
      <c r="F247" s="7" t="str">
        <f>VLOOKUP(D247,[1]characters!$A:$J,10,FALSE)</f>
        <v>PremiumS</v>
      </c>
      <c r="G247" s="7">
        <f>VLOOKUP(D247,[1]characters!$A:$I,9,FALSE)</f>
        <v>4</v>
      </c>
      <c r="H247" s="7" t="str">
        <f>VLOOKUP(D247,[1]characters!$A:$H,8,FALSE)</f>
        <v>red</v>
      </c>
      <c r="I247" s="7" t="str">
        <f>VLOOKUP(D247,[1]characters!$A:$K,11,FALSE)</f>
        <v>hp</v>
      </c>
      <c r="J247" s="7" t="str">
        <f>VLOOKUP(D247,[1]characters!$A:$M,13,FALSE)</f>
        <v>god</v>
      </c>
      <c r="K247" s="7" t="str">
        <f>VLOOKUP(D247,[1]characters!$A:$G,7,FALSE)</f>
        <v>男性</v>
      </c>
      <c r="L247" s="66">
        <f>IFERROR(VLOOKUP(D247,input_6!L:R,7,FALSE),VLOOKUP(tables_6!B247,input_6!A:H,8,FALSE))</f>
        <v>646893</v>
      </c>
      <c r="M247" s="67">
        <f t="shared" si="9"/>
        <v>1.2452702702702703E-2</v>
      </c>
      <c r="N247" s="31">
        <f>IFERROR(VLOOKUP($D247,bug_conf_sheet!$A:$H,3,FALSE),VLOOKUP("other",bug_conf_sheet!$A:$H,3,FALSE))</f>
        <v>1</v>
      </c>
      <c r="O247" s="31">
        <f>IFERROR(VLOOKUP($D247,bug_conf_sheet!$A:$H,4,FALSE),VLOOKUP("other",bug_conf_sheet!$A:$H,4,FALSE))</f>
        <v>0</v>
      </c>
      <c r="P247" s="31">
        <f>IFERROR(VLOOKUP($D247,bug_conf_sheet!$A:$H,5,FALSE),VLOOKUP("other",bug_conf_sheet!$A:$H,5,FALSE))</f>
        <v>0</v>
      </c>
      <c r="Q247" s="31">
        <f>IFERROR(VLOOKUP($D247,bug_conf_sheet!$A:$H,6,FALSE),VLOOKUP("other",bug_conf_sheet!$A:$H,6,FALSE))</f>
        <v>0</v>
      </c>
      <c r="R247" s="31">
        <f>IFERROR(VLOOKUP($D247,bug_conf_sheet!$A:$H,7,FALSE),VLOOKUP("other",bug_conf_sheet!$A:$H,7,FALSE))</f>
        <v>0</v>
      </c>
      <c r="S247" s="31">
        <f>IFERROR(VLOOKUP($D247,bug_conf_sheet!$A:$H,8,FALSE),VLOOKUP("other",bug_conf_sheet!$A:$H,8,FALSE))</f>
        <v>1</v>
      </c>
    </row>
    <row r="248" spans="1:19" ht="21" customHeight="1">
      <c r="A248" s="2">
        <f>input_6!A$2</f>
        <v>3126</v>
      </c>
      <c r="B248" s="7" t="str">
        <f t="shared" si="10"/>
        <v>Premium5</v>
      </c>
      <c r="C248" s="7" t="str">
        <f t="shared" si="11"/>
        <v>Premium</v>
      </c>
      <c r="D248" s="6">
        <v>670</v>
      </c>
      <c r="E248" s="7" t="str">
        <f>VLOOKUP(D248,[1]characters!$A:$C,3,FALSE)</f>
        <v>陽天の噴煙 アグニ</v>
      </c>
      <c r="F248" s="7" t="str">
        <f>VLOOKUP(D248,[1]characters!$A:$J,10,FALSE)</f>
        <v>PremiumS</v>
      </c>
      <c r="G248" s="7">
        <f>VLOOKUP(D248,[1]characters!$A:$I,9,FALSE)</f>
        <v>5</v>
      </c>
      <c r="H248" s="7" t="str">
        <f>VLOOKUP(D248,[1]characters!$A:$H,8,FALSE)</f>
        <v>red</v>
      </c>
      <c r="I248" s="7" t="str">
        <f>VLOOKUP(D248,[1]characters!$A:$K,11,FALSE)</f>
        <v>hp</v>
      </c>
      <c r="J248" s="7" t="str">
        <f>VLOOKUP(D248,[1]characters!$A:$M,13,FALSE)</f>
        <v>god</v>
      </c>
      <c r="K248" s="7" t="str">
        <f>VLOOKUP(D248,[1]characters!$A:$G,7,FALSE)</f>
        <v>男性</v>
      </c>
      <c r="L248" s="66">
        <f>IFERROR(VLOOKUP(D248,input_6!L:R,7,FALSE),VLOOKUP(tables_6!B248,input_6!A:H,8,FALSE))</f>
        <v>46657</v>
      </c>
      <c r="M248" s="67">
        <f t="shared" si="9"/>
        <v>8.9814814814814813E-4</v>
      </c>
      <c r="N248" s="31">
        <f>IFERROR(VLOOKUP($D248,bug_conf_sheet!$A:$H,3,FALSE),VLOOKUP("other",bug_conf_sheet!$A:$H,3,FALSE))</f>
        <v>1</v>
      </c>
      <c r="O248" s="31">
        <f>IFERROR(VLOOKUP($D248,bug_conf_sheet!$A:$H,4,FALSE),VLOOKUP("other",bug_conf_sheet!$A:$H,4,FALSE))</f>
        <v>0</v>
      </c>
      <c r="P248" s="31">
        <f>IFERROR(VLOOKUP($D248,bug_conf_sheet!$A:$H,5,FALSE),VLOOKUP("other",bug_conf_sheet!$A:$H,5,FALSE))</f>
        <v>0</v>
      </c>
      <c r="Q248" s="31">
        <f>IFERROR(VLOOKUP($D248,bug_conf_sheet!$A:$H,6,FALSE),VLOOKUP("other",bug_conf_sheet!$A:$H,6,FALSE))</f>
        <v>0</v>
      </c>
      <c r="R248" s="31">
        <f>IFERROR(VLOOKUP($D248,bug_conf_sheet!$A:$H,7,FALSE),VLOOKUP("other",bug_conf_sheet!$A:$H,7,FALSE))</f>
        <v>0</v>
      </c>
      <c r="S248" s="31">
        <f>IFERROR(VLOOKUP($D248,bug_conf_sheet!$A:$H,8,FALSE),VLOOKUP("other",bug_conf_sheet!$A:$H,8,FALSE))</f>
        <v>1</v>
      </c>
    </row>
    <row r="249" spans="1:19" ht="21" customHeight="1">
      <c r="A249" s="2">
        <f>input_6!A$2</f>
        <v>3126</v>
      </c>
      <c r="B249" s="7" t="str">
        <f t="shared" si="10"/>
        <v>Premium3</v>
      </c>
      <c r="C249" s="7" t="str">
        <f t="shared" si="11"/>
        <v>Premium</v>
      </c>
      <c r="D249" s="6">
        <v>671</v>
      </c>
      <c r="E249" s="7" t="str">
        <f>VLOOKUP(D249,[1]characters!$A:$C,3,FALSE)</f>
        <v>ハヌマーン</v>
      </c>
      <c r="F249" s="7" t="str">
        <f>VLOOKUP(D249,[1]characters!$A:$J,10,FALSE)</f>
        <v>PremiumS</v>
      </c>
      <c r="G249" s="7">
        <f>VLOOKUP(D249,[1]characters!$A:$I,9,FALSE)</f>
        <v>3</v>
      </c>
      <c r="H249" s="7" t="str">
        <f>VLOOKUP(D249,[1]characters!$A:$H,8,FALSE)</f>
        <v>green</v>
      </c>
      <c r="I249" s="7" t="str">
        <f>VLOOKUP(D249,[1]characters!$A:$K,11,FALSE)</f>
        <v>attack</v>
      </c>
      <c r="J249" s="7" t="str">
        <f>VLOOKUP(D249,[1]characters!$A:$M,13,FALSE)</f>
        <v>animal</v>
      </c>
      <c r="K249" s="7" t="str">
        <f>VLOOKUP(D249,[1]characters!$A:$G,7,FALSE)</f>
        <v>男性</v>
      </c>
      <c r="L249" s="66">
        <f>IFERROR(VLOOKUP(D249,input_6!L:R,7,FALSE),VLOOKUP(tables_6!B249,input_6!A:H,8,FALSE))</f>
        <v>0</v>
      </c>
      <c r="M249" s="67">
        <f t="shared" si="9"/>
        <v>0</v>
      </c>
      <c r="N249" s="31">
        <f>IFERROR(VLOOKUP($D249,bug_conf_sheet!$A:$H,3,FALSE),VLOOKUP("other",bug_conf_sheet!$A:$H,3,FALSE))</f>
        <v>1</v>
      </c>
      <c r="O249" s="31">
        <f>IFERROR(VLOOKUP($D249,bug_conf_sheet!$A:$H,4,FALSE),VLOOKUP("other",bug_conf_sheet!$A:$H,4,FALSE))</f>
        <v>0</v>
      </c>
      <c r="P249" s="31">
        <f>IFERROR(VLOOKUP($D249,bug_conf_sheet!$A:$H,5,FALSE),VLOOKUP("other",bug_conf_sheet!$A:$H,5,FALSE))</f>
        <v>0</v>
      </c>
      <c r="Q249" s="31">
        <f>IFERROR(VLOOKUP($D249,bug_conf_sheet!$A:$H,6,FALSE),VLOOKUP("other",bug_conf_sheet!$A:$H,6,FALSE))</f>
        <v>0</v>
      </c>
      <c r="R249" s="31">
        <f>IFERROR(VLOOKUP($D249,bug_conf_sheet!$A:$H,7,FALSE),VLOOKUP("other",bug_conf_sheet!$A:$H,7,FALSE))</f>
        <v>0</v>
      </c>
      <c r="S249" s="31">
        <f>IFERROR(VLOOKUP($D249,bug_conf_sheet!$A:$H,8,FALSE),VLOOKUP("other",bug_conf_sheet!$A:$H,8,FALSE))</f>
        <v>1</v>
      </c>
    </row>
    <row r="250" spans="1:19" ht="21" customHeight="1">
      <c r="A250" s="2">
        <f>input_6!A$2</f>
        <v>3126</v>
      </c>
      <c r="B250" s="7" t="str">
        <f t="shared" si="10"/>
        <v>Premium4</v>
      </c>
      <c r="C250" s="7" t="str">
        <f t="shared" si="11"/>
        <v>Premium</v>
      </c>
      <c r="D250" s="6">
        <v>672</v>
      </c>
      <c r="E250" s="7" t="str">
        <f>VLOOKUP(D250,[1]characters!$A:$C,3,FALSE)</f>
        <v>西遊韋駄天 ハヌマーン</v>
      </c>
      <c r="F250" s="7" t="str">
        <f>VLOOKUP(D250,[1]characters!$A:$J,10,FALSE)</f>
        <v>PremiumS</v>
      </c>
      <c r="G250" s="7">
        <f>VLOOKUP(D250,[1]characters!$A:$I,9,FALSE)</f>
        <v>4</v>
      </c>
      <c r="H250" s="7" t="str">
        <f>VLOOKUP(D250,[1]characters!$A:$H,8,FALSE)</f>
        <v>green</v>
      </c>
      <c r="I250" s="7" t="str">
        <f>VLOOKUP(D250,[1]characters!$A:$K,11,FALSE)</f>
        <v>attack</v>
      </c>
      <c r="J250" s="7" t="str">
        <f>VLOOKUP(D250,[1]characters!$A:$M,13,FALSE)</f>
        <v>animal</v>
      </c>
      <c r="K250" s="7" t="str">
        <f>VLOOKUP(D250,[1]characters!$A:$G,7,FALSE)</f>
        <v>男性</v>
      </c>
      <c r="L250" s="66">
        <f>IFERROR(VLOOKUP(D250,input_6!L:R,7,FALSE),VLOOKUP(tables_6!B250,input_6!A:H,8,FALSE))</f>
        <v>646893</v>
      </c>
      <c r="M250" s="67">
        <f t="shared" si="9"/>
        <v>1.2452702702702703E-2</v>
      </c>
      <c r="N250" s="31">
        <f>IFERROR(VLOOKUP($D250,bug_conf_sheet!$A:$H,3,FALSE),VLOOKUP("other",bug_conf_sheet!$A:$H,3,FALSE))</f>
        <v>1</v>
      </c>
      <c r="O250" s="31">
        <f>IFERROR(VLOOKUP($D250,bug_conf_sheet!$A:$H,4,FALSE),VLOOKUP("other",bug_conf_sheet!$A:$H,4,FALSE))</f>
        <v>0</v>
      </c>
      <c r="P250" s="31">
        <f>IFERROR(VLOOKUP($D250,bug_conf_sheet!$A:$H,5,FALSE),VLOOKUP("other",bug_conf_sheet!$A:$H,5,FALSE))</f>
        <v>0</v>
      </c>
      <c r="Q250" s="31">
        <f>IFERROR(VLOOKUP($D250,bug_conf_sheet!$A:$H,6,FALSE),VLOOKUP("other",bug_conf_sheet!$A:$H,6,FALSE))</f>
        <v>0</v>
      </c>
      <c r="R250" s="31">
        <f>IFERROR(VLOOKUP($D250,bug_conf_sheet!$A:$H,7,FALSE),VLOOKUP("other",bug_conf_sheet!$A:$H,7,FALSE))</f>
        <v>0</v>
      </c>
      <c r="S250" s="31">
        <f>IFERROR(VLOOKUP($D250,bug_conf_sheet!$A:$H,8,FALSE),VLOOKUP("other",bug_conf_sheet!$A:$H,8,FALSE))</f>
        <v>1</v>
      </c>
    </row>
    <row r="251" spans="1:19" ht="21" customHeight="1">
      <c r="A251" s="2">
        <f>input_6!A$2</f>
        <v>3126</v>
      </c>
      <c r="B251" s="7" t="str">
        <f t="shared" si="10"/>
        <v>Premium5</v>
      </c>
      <c r="C251" s="7" t="str">
        <f t="shared" si="11"/>
        <v>Premium</v>
      </c>
      <c r="D251" s="6">
        <v>673</v>
      </c>
      <c r="E251" s="7" t="str">
        <f>VLOOKUP(D251,[1]characters!$A:$C,3,FALSE)</f>
        <v>変幻自在の猿王 ハヌマーン</v>
      </c>
      <c r="F251" s="7" t="str">
        <f>VLOOKUP(D251,[1]characters!$A:$J,10,FALSE)</f>
        <v>PremiumS</v>
      </c>
      <c r="G251" s="7">
        <f>VLOOKUP(D251,[1]characters!$A:$I,9,FALSE)</f>
        <v>5</v>
      </c>
      <c r="H251" s="7" t="str">
        <f>VLOOKUP(D251,[1]characters!$A:$H,8,FALSE)</f>
        <v>green</v>
      </c>
      <c r="I251" s="7" t="str">
        <f>VLOOKUP(D251,[1]characters!$A:$K,11,FALSE)</f>
        <v>attack</v>
      </c>
      <c r="J251" s="7" t="str">
        <f>VLOOKUP(D251,[1]characters!$A:$M,13,FALSE)</f>
        <v>animal</v>
      </c>
      <c r="K251" s="7" t="str">
        <f>VLOOKUP(D251,[1]characters!$A:$G,7,FALSE)</f>
        <v>男性</v>
      </c>
      <c r="L251" s="66">
        <f>IFERROR(VLOOKUP(D251,input_6!L:R,7,FALSE),VLOOKUP(tables_6!B251,input_6!A:H,8,FALSE))</f>
        <v>46657</v>
      </c>
      <c r="M251" s="67">
        <f t="shared" si="9"/>
        <v>8.9814814814814813E-4</v>
      </c>
      <c r="N251" s="31">
        <f>IFERROR(VLOOKUP($D251,bug_conf_sheet!$A:$H,3,FALSE),VLOOKUP("other",bug_conf_sheet!$A:$H,3,FALSE))</f>
        <v>1</v>
      </c>
      <c r="O251" s="31">
        <f>IFERROR(VLOOKUP($D251,bug_conf_sheet!$A:$H,4,FALSE),VLOOKUP("other",bug_conf_sheet!$A:$H,4,FALSE))</f>
        <v>0</v>
      </c>
      <c r="P251" s="31">
        <f>IFERROR(VLOOKUP($D251,bug_conf_sheet!$A:$H,5,FALSE),VLOOKUP("other",bug_conf_sheet!$A:$H,5,FALSE))</f>
        <v>0</v>
      </c>
      <c r="Q251" s="31">
        <f>IFERROR(VLOOKUP($D251,bug_conf_sheet!$A:$H,6,FALSE),VLOOKUP("other",bug_conf_sheet!$A:$H,6,FALSE))</f>
        <v>0</v>
      </c>
      <c r="R251" s="31">
        <f>IFERROR(VLOOKUP($D251,bug_conf_sheet!$A:$H,7,FALSE),VLOOKUP("other",bug_conf_sheet!$A:$H,7,FALSE))</f>
        <v>0</v>
      </c>
      <c r="S251" s="31">
        <f>IFERROR(VLOOKUP($D251,bug_conf_sheet!$A:$H,8,FALSE),VLOOKUP("other",bug_conf_sheet!$A:$H,8,FALSE))</f>
        <v>1</v>
      </c>
    </row>
    <row r="252" spans="1:19" ht="21" customHeight="1">
      <c r="A252" s="2">
        <f>input_6!A$2</f>
        <v>3126</v>
      </c>
      <c r="B252" s="7" t="str">
        <f t="shared" si="10"/>
        <v>PremiumSS4</v>
      </c>
      <c r="C252" s="7" t="str">
        <f t="shared" si="11"/>
        <v>PremiumSS</v>
      </c>
      <c r="D252" s="6">
        <v>674</v>
      </c>
      <c r="E252" s="7" t="str">
        <f>VLOOKUP(D252,[1]characters!$A:$C,3,FALSE)</f>
        <v>サラスヴァティ</v>
      </c>
      <c r="F252" s="7" t="str">
        <f>VLOOKUP(D252,[1]characters!$A:$J,10,FALSE)</f>
        <v>PremiumSS</v>
      </c>
      <c r="G252" s="7">
        <f>VLOOKUP(D252,[1]characters!$A:$I,9,FALSE)</f>
        <v>4</v>
      </c>
      <c r="H252" s="7" t="str">
        <f>VLOOKUP(D252,[1]characters!$A:$H,8,FALSE)</f>
        <v>blue</v>
      </c>
      <c r="I252" s="7" t="str">
        <f>VLOOKUP(D252,[1]characters!$A:$K,11,FALSE)</f>
        <v>balance</v>
      </c>
      <c r="J252" s="7" t="str">
        <f>VLOOKUP(D252,[1]characters!$A:$M,13,FALSE)</f>
        <v>god</v>
      </c>
      <c r="K252" s="7" t="str">
        <f>VLOOKUP(D252,[1]characters!$A:$G,7,FALSE)</f>
        <v>女性</v>
      </c>
      <c r="L252" s="66">
        <f>IFERROR(VLOOKUP(D252,input_6!L:R,7,FALSE),VLOOKUP(tables_6!B252,input_6!A:H,8,FALSE))</f>
        <v>56943</v>
      </c>
      <c r="M252" s="67">
        <f t="shared" si="9"/>
        <v>1.0961538461538461E-3</v>
      </c>
      <c r="N252" s="31">
        <f>IFERROR(VLOOKUP($D252,bug_conf_sheet!$A:$H,3,FALSE),VLOOKUP("other",bug_conf_sheet!$A:$H,3,FALSE))</f>
        <v>1</v>
      </c>
      <c r="O252" s="31">
        <f>IFERROR(VLOOKUP($D252,bug_conf_sheet!$A:$H,4,FALSE),VLOOKUP("other",bug_conf_sheet!$A:$H,4,FALSE))</f>
        <v>0</v>
      </c>
      <c r="P252" s="31">
        <f>IFERROR(VLOOKUP($D252,bug_conf_sheet!$A:$H,5,FALSE),VLOOKUP("other",bug_conf_sheet!$A:$H,5,FALSE))</f>
        <v>0</v>
      </c>
      <c r="Q252" s="31">
        <f>IFERROR(VLOOKUP($D252,bug_conf_sheet!$A:$H,6,FALSE),VLOOKUP("other",bug_conf_sheet!$A:$H,6,FALSE))</f>
        <v>0</v>
      </c>
      <c r="R252" s="31">
        <f>IFERROR(VLOOKUP($D252,bug_conf_sheet!$A:$H,7,FALSE),VLOOKUP("other",bug_conf_sheet!$A:$H,7,FALSE))</f>
        <v>0</v>
      </c>
      <c r="S252" s="31">
        <f>IFERROR(VLOOKUP($D252,bug_conf_sheet!$A:$H,8,FALSE),VLOOKUP("other",bug_conf_sheet!$A:$H,8,FALSE))</f>
        <v>1</v>
      </c>
    </row>
    <row r="253" spans="1:19" ht="21" customHeight="1">
      <c r="A253" s="2">
        <f>input_6!A$2</f>
        <v>3126</v>
      </c>
      <c r="B253" s="7" t="str">
        <f t="shared" si="10"/>
        <v>PremiumSS5</v>
      </c>
      <c r="C253" s="7" t="str">
        <f t="shared" si="11"/>
        <v>PremiumSS</v>
      </c>
      <c r="D253" s="6">
        <v>675</v>
      </c>
      <c r="E253" s="7" t="str">
        <f>VLOOKUP(D253,[1]characters!$A:$C,3,FALSE)</f>
        <v>芸楽の奔流 サラスヴァティ</v>
      </c>
      <c r="F253" s="7" t="str">
        <f>VLOOKUP(D253,[1]characters!$A:$J,10,FALSE)</f>
        <v>PremiumSS</v>
      </c>
      <c r="G253" s="7">
        <f>VLOOKUP(D253,[1]characters!$A:$I,9,FALSE)</f>
        <v>5</v>
      </c>
      <c r="H253" s="7" t="str">
        <f>VLOOKUP(D253,[1]characters!$A:$H,8,FALSE)</f>
        <v>blue</v>
      </c>
      <c r="I253" s="7" t="str">
        <f>VLOOKUP(D253,[1]characters!$A:$K,11,FALSE)</f>
        <v>balance</v>
      </c>
      <c r="J253" s="7" t="str">
        <f>VLOOKUP(D253,[1]characters!$A:$M,13,FALSE)</f>
        <v>god</v>
      </c>
      <c r="K253" s="7" t="str">
        <f>VLOOKUP(D253,[1]characters!$A:$G,7,FALSE)</f>
        <v>女性</v>
      </c>
      <c r="L253" s="66">
        <f>IFERROR(VLOOKUP(D253,input_6!L:R,7,FALSE),VLOOKUP(tables_6!B253,input_6!A:H,8,FALSE))</f>
        <v>2997</v>
      </c>
      <c r="M253" s="67">
        <f t="shared" si="9"/>
        <v>5.7692307692307691E-5</v>
      </c>
      <c r="N253" s="31">
        <f>IFERROR(VLOOKUP($D253,bug_conf_sheet!$A:$H,3,FALSE),VLOOKUP("other",bug_conf_sheet!$A:$H,3,FALSE))</f>
        <v>1</v>
      </c>
      <c r="O253" s="31">
        <f>IFERROR(VLOOKUP($D253,bug_conf_sheet!$A:$H,4,FALSE),VLOOKUP("other",bug_conf_sheet!$A:$H,4,FALSE))</f>
        <v>0</v>
      </c>
      <c r="P253" s="31">
        <f>IFERROR(VLOOKUP($D253,bug_conf_sheet!$A:$H,5,FALSE),VLOOKUP("other",bug_conf_sheet!$A:$H,5,FALSE))</f>
        <v>0</v>
      </c>
      <c r="Q253" s="31">
        <f>IFERROR(VLOOKUP($D253,bug_conf_sheet!$A:$H,6,FALSE),VLOOKUP("other",bug_conf_sheet!$A:$H,6,FALSE))</f>
        <v>0</v>
      </c>
      <c r="R253" s="31">
        <f>IFERROR(VLOOKUP($D253,bug_conf_sheet!$A:$H,7,FALSE),VLOOKUP("other",bug_conf_sheet!$A:$H,7,FALSE))</f>
        <v>0</v>
      </c>
      <c r="S253" s="31">
        <f>IFERROR(VLOOKUP($D253,bug_conf_sheet!$A:$H,8,FALSE),VLOOKUP("other",bug_conf_sheet!$A:$H,8,FALSE))</f>
        <v>1</v>
      </c>
    </row>
    <row r="254" spans="1:19" ht="21" customHeight="1">
      <c r="A254" s="2">
        <f>input_6!A$2</f>
        <v>3126</v>
      </c>
      <c r="B254" s="7" t="str">
        <f t="shared" si="10"/>
        <v>PremiumSS4</v>
      </c>
      <c r="C254" s="7" t="str">
        <f t="shared" si="11"/>
        <v>PremiumSS</v>
      </c>
      <c r="D254" s="6">
        <v>676</v>
      </c>
      <c r="E254" s="7" t="str">
        <f>VLOOKUP(D254,[1]characters!$A:$C,3,FALSE)</f>
        <v>ヴィシュヌ</v>
      </c>
      <c r="F254" s="7" t="str">
        <f>VLOOKUP(D254,[1]characters!$A:$J,10,FALSE)</f>
        <v>PremiumSS</v>
      </c>
      <c r="G254" s="7">
        <f>VLOOKUP(D254,[1]characters!$A:$I,9,FALSE)</f>
        <v>4</v>
      </c>
      <c r="H254" s="7" t="str">
        <f>VLOOKUP(D254,[1]characters!$A:$H,8,FALSE)</f>
        <v>yellow</v>
      </c>
      <c r="I254" s="7" t="str">
        <f>VLOOKUP(D254,[1]characters!$A:$K,11,FALSE)</f>
        <v>attack</v>
      </c>
      <c r="J254" s="7" t="str">
        <f>VLOOKUP(D254,[1]characters!$A:$M,13,FALSE)</f>
        <v>god</v>
      </c>
      <c r="K254" s="7" t="str">
        <f>VLOOKUP(D254,[1]characters!$A:$G,7,FALSE)</f>
        <v>女性</v>
      </c>
      <c r="L254" s="66">
        <f>IFERROR(VLOOKUP(D254,input_6!L:R,7,FALSE),VLOOKUP(tables_6!B254,input_6!A:H,8,FALSE))</f>
        <v>56943</v>
      </c>
      <c r="M254" s="67">
        <f t="shared" si="9"/>
        <v>1.0961538461538461E-3</v>
      </c>
      <c r="N254" s="31">
        <f>IFERROR(VLOOKUP($D254,bug_conf_sheet!$A:$H,3,FALSE),VLOOKUP("other",bug_conf_sheet!$A:$H,3,FALSE))</f>
        <v>1</v>
      </c>
      <c r="O254" s="31">
        <f>IFERROR(VLOOKUP($D254,bug_conf_sheet!$A:$H,4,FALSE),VLOOKUP("other",bug_conf_sheet!$A:$H,4,FALSE))</f>
        <v>0</v>
      </c>
      <c r="P254" s="31">
        <f>IFERROR(VLOOKUP($D254,bug_conf_sheet!$A:$H,5,FALSE),VLOOKUP("other",bug_conf_sheet!$A:$H,5,FALSE))</f>
        <v>0</v>
      </c>
      <c r="Q254" s="31">
        <f>IFERROR(VLOOKUP($D254,bug_conf_sheet!$A:$H,6,FALSE),VLOOKUP("other",bug_conf_sheet!$A:$H,6,FALSE))</f>
        <v>0</v>
      </c>
      <c r="R254" s="31">
        <f>IFERROR(VLOOKUP($D254,bug_conf_sheet!$A:$H,7,FALSE),VLOOKUP("other",bug_conf_sheet!$A:$H,7,FALSE))</f>
        <v>0</v>
      </c>
      <c r="S254" s="31">
        <f>IFERROR(VLOOKUP($D254,bug_conf_sheet!$A:$H,8,FALSE),VLOOKUP("other",bug_conf_sheet!$A:$H,8,FALSE))</f>
        <v>1</v>
      </c>
    </row>
    <row r="255" spans="1:19" ht="21" customHeight="1">
      <c r="A255" s="2">
        <f>input_6!A$2</f>
        <v>3126</v>
      </c>
      <c r="B255" s="7" t="str">
        <f t="shared" si="10"/>
        <v>PremiumSS5</v>
      </c>
      <c r="C255" s="7" t="str">
        <f t="shared" si="11"/>
        <v>PremiumSS</v>
      </c>
      <c r="D255" s="6">
        <v>677</v>
      </c>
      <c r="E255" s="7" t="str">
        <f>VLOOKUP(D255,[1]characters!$A:$C,3,FALSE)</f>
        <v>武遊闊歩 ヴィシュヌ</v>
      </c>
      <c r="F255" s="7" t="str">
        <f>VLOOKUP(D255,[1]characters!$A:$J,10,FALSE)</f>
        <v>PremiumSS</v>
      </c>
      <c r="G255" s="7">
        <f>VLOOKUP(D255,[1]characters!$A:$I,9,FALSE)</f>
        <v>5</v>
      </c>
      <c r="H255" s="7" t="str">
        <f>VLOOKUP(D255,[1]characters!$A:$H,8,FALSE)</f>
        <v>yellow</v>
      </c>
      <c r="I255" s="7" t="str">
        <f>VLOOKUP(D255,[1]characters!$A:$K,11,FALSE)</f>
        <v>attack</v>
      </c>
      <c r="J255" s="7" t="str">
        <f>VLOOKUP(D255,[1]characters!$A:$M,13,FALSE)</f>
        <v>god</v>
      </c>
      <c r="K255" s="7" t="str">
        <f>VLOOKUP(D255,[1]characters!$A:$G,7,FALSE)</f>
        <v>女性</v>
      </c>
      <c r="L255" s="66">
        <f>IFERROR(VLOOKUP(D255,input_6!L:R,7,FALSE),VLOOKUP(tables_6!B255,input_6!A:H,8,FALSE))</f>
        <v>2997</v>
      </c>
      <c r="M255" s="67">
        <f t="shared" si="9"/>
        <v>5.7692307692307691E-5</v>
      </c>
      <c r="N255" s="31">
        <f>IFERROR(VLOOKUP($D255,bug_conf_sheet!$A:$H,3,FALSE),VLOOKUP("other",bug_conf_sheet!$A:$H,3,FALSE))</f>
        <v>1</v>
      </c>
      <c r="O255" s="31">
        <f>IFERROR(VLOOKUP($D255,bug_conf_sheet!$A:$H,4,FALSE),VLOOKUP("other",bug_conf_sheet!$A:$H,4,FALSE))</f>
        <v>0</v>
      </c>
      <c r="P255" s="31">
        <f>IFERROR(VLOOKUP($D255,bug_conf_sheet!$A:$H,5,FALSE),VLOOKUP("other",bug_conf_sheet!$A:$H,5,FALSE))</f>
        <v>0</v>
      </c>
      <c r="Q255" s="31">
        <f>IFERROR(VLOOKUP($D255,bug_conf_sheet!$A:$H,6,FALSE),VLOOKUP("other",bug_conf_sheet!$A:$H,6,FALSE))</f>
        <v>0</v>
      </c>
      <c r="R255" s="31">
        <f>IFERROR(VLOOKUP($D255,bug_conf_sheet!$A:$H,7,FALSE),VLOOKUP("other",bug_conf_sheet!$A:$H,7,FALSE))</f>
        <v>0</v>
      </c>
      <c r="S255" s="31">
        <f>IFERROR(VLOOKUP($D255,bug_conf_sheet!$A:$H,8,FALSE),VLOOKUP("other",bug_conf_sheet!$A:$H,8,FALSE))</f>
        <v>1</v>
      </c>
    </row>
  </sheetData>
  <autoFilter ref="A1:S245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R43"/>
  <sheetViews>
    <sheetView workbookViewId="0">
      <selection activeCell="B12" sqref="B12"/>
    </sheetView>
  </sheetViews>
  <sheetFormatPr baseColWidth="12" defaultRowHeight="14" x14ac:dyDescent="0"/>
  <sheetData>
    <row r="1" spans="1:18">
      <c r="A1" s="70" t="s">
        <v>103</v>
      </c>
      <c r="B1" s="70"/>
    </row>
    <row r="2" spans="1:18">
      <c r="A2">
        <v>3120</v>
      </c>
    </row>
    <row r="4" spans="1:18">
      <c r="A4" s="48" t="s">
        <v>68</v>
      </c>
      <c r="B4" s="48"/>
    </row>
    <row r="5" spans="1:18">
      <c r="A5" s="46" t="s">
        <v>88</v>
      </c>
      <c r="B5" s="47">
        <f>1-B6-B7</f>
        <v>0</v>
      </c>
    </row>
    <row r="6" spans="1:18">
      <c r="A6" s="46" t="s">
        <v>89</v>
      </c>
      <c r="B6" s="47">
        <v>0.95</v>
      </c>
    </row>
    <row r="7" spans="1:18">
      <c r="A7" s="46" t="s">
        <v>90</v>
      </c>
      <c r="B7" s="47">
        <v>0.05</v>
      </c>
    </row>
    <row r="9" spans="1:18">
      <c r="A9" s="49" t="s">
        <v>69</v>
      </c>
      <c r="B9" s="49"/>
    </row>
    <row r="10" spans="1:18">
      <c r="A10" s="46" t="s">
        <v>118</v>
      </c>
      <c r="B10" s="47">
        <f>1-B11-B12</f>
        <v>0.96</v>
      </c>
    </row>
    <row r="11" spans="1:18">
      <c r="A11" s="46" t="s">
        <v>71</v>
      </c>
      <c r="B11" s="47">
        <v>0.04</v>
      </c>
    </row>
    <row r="12" spans="1:18">
      <c r="A12" s="46" t="s">
        <v>70</v>
      </c>
      <c r="B12" s="47">
        <v>0</v>
      </c>
    </row>
    <row r="15" spans="1:18">
      <c r="A15" s="53" t="s">
        <v>72</v>
      </c>
      <c r="B15" s="53"/>
      <c r="C15" t="s">
        <v>104</v>
      </c>
      <c r="L15" s="55" t="s">
        <v>77</v>
      </c>
      <c r="M15" s="55"/>
    </row>
    <row r="16" spans="1:18">
      <c r="A16" s="46" t="s">
        <v>75</v>
      </c>
      <c r="B16" s="46" t="s">
        <v>76</v>
      </c>
      <c r="C16" s="54" t="s">
        <v>77</v>
      </c>
      <c r="D16" s="54" t="s">
        <v>78</v>
      </c>
      <c r="E16" t="s">
        <v>92</v>
      </c>
      <c r="F16" t="s">
        <v>91</v>
      </c>
      <c r="G16" t="s">
        <v>94</v>
      </c>
      <c r="H16" t="s">
        <v>93</v>
      </c>
      <c r="I16" t="s">
        <v>95</v>
      </c>
      <c r="J16" t="s">
        <v>98</v>
      </c>
      <c r="L16" s="46" t="s">
        <v>32</v>
      </c>
      <c r="M16" s="54" t="s">
        <v>81</v>
      </c>
      <c r="N16" s="46" t="s">
        <v>79</v>
      </c>
      <c r="O16" s="54" t="s">
        <v>82</v>
      </c>
      <c r="P16" s="54" t="s">
        <v>83</v>
      </c>
      <c r="Q16" s="54" t="s">
        <v>80</v>
      </c>
      <c r="R16" s="65" t="s">
        <v>93</v>
      </c>
    </row>
    <row r="17" spans="1:17">
      <c r="A17" s="46" t="s">
        <v>119</v>
      </c>
      <c r="B17" s="50">
        <f>B5</f>
        <v>0</v>
      </c>
      <c r="C17" s="69">
        <f t="shared" ref="C17:C23" si="0">SUMIF(Q:Q,A17,N:N)</f>
        <v>0</v>
      </c>
      <c r="D17" s="62">
        <f t="shared" ref="D17:D24" si="1">B17-C17</f>
        <v>0</v>
      </c>
      <c r="E17">
        <f>COUNTIF(tables_0!B:B,input_0!A17)-COUNTIF(Q:Q,A17)</f>
        <v>74</v>
      </c>
      <c r="F17" s="64">
        <f t="shared" ref="F17:F23" si="2">IFERROR(D17/E17,0)</f>
        <v>0</v>
      </c>
      <c r="G17">
        <f t="shared" ref="G17:G23" si="3">A$32*D17</f>
        <v>0</v>
      </c>
      <c r="H17">
        <f t="shared" ref="H17:H23" si="4">IFERROR(ROUND(G17/E17,5),0)</f>
        <v>0</v>
      </c>
      <c r="I17">
        <f t="shared" ref="I17:I23" si="5">MOD(H17,1)</f>
        <v>0</v>
      </c>
      <c r="J17">
        <f t="shared" ref="J17:J23" si="6">IFERROR(1/I17,1)</f>
        <v>1</v>
      </c>
      <c r="L17" s="46"/>
      <c r="M17" s="54"/>
      <c r="N17" s="52"/>
      <c r="O17" s="54"/>
      <c r="P17" s="54"/>
      <c r="Q17" s="54"/>
    </row>
    <row r="18" spans="1:17">
      <c r="A18" s="46" t="s">
        <v>120</v>
      </c>
      <c r="B18" s="56">
        <f>B6-B19-B20</f>
        <v>0.91199999999999992</v>
      </c>
      <c r="C18" s="69">
        <f t="shared" si="0"/>
        <v>0</v>
      </c>
      <c r="D18" s="62">
        <f t="shared" si="1"/>
        <v>0.91199999999999992</v>
      </c>
      <c r="E18">
        <f>COUNTIF(tables_0!B:B,input_0!A18)-COUNTIF(Q:Q,A18)</f>
        <v>74</v>
      </c>
      <c r="F18" s="64">
        <f t="shared" si="2"/>
        <v>1.2324324324324324E-2</v>
      </c>
      <c r="G18">
        <f t="shared" si="3"/>
        <v>47376575.999999993</v>
      </c>
      <c r="H18">
        <f t="shared" si="4"/>
        <v>640224</v>
      </c>
      <c r="I18">
        <f t="shared" si="5"/>
        <v>0</v>
      </c>
      <c r="J18">
        <f t="shared" si="6"/>
        <v>1</v>
      </c>
      <c r="L18" s="46"/>
      <c r="M18" s="54"/>
      <c r="N18" s="52"/>
      <c r="O18" s="54"/>
      <c r="P18" s="54"/>
      <c r="Q18" s="54"/>
    </row>
    <row r="19" spans="1:17">
      <c r="A19" s="46" t="s">
        <v>84</v>
      </c>
      <c r="B19" s="79">
        <f>B6*B11/(B6+B7)</f>
        <v>3.7999999999999999E-2</v>
      </c>
      <c r="C19" s="69">
        <f t="shared" si="0"/>
        <v>0</v>
      </c>
      <c r="D19" s="62">
        <f t="shared" si="1"/>
        <v>3.7999999999999999E-2</v>
      </c>
      <c r="E19">
        <f>COUNTIF(tables_0!B:B,input_0!A19)-COUNTIF(Q:Q,A19)</f>
        <v>26</v>
      </c>
      <c r="F19" s="64">
        <f t="shared" si="2"/>
        <v>1.4615384615384616E-3</v>
      </c>
      <c r="G19">
        <f t="shared" si="3"/>
        <v>1974024</v>
      </c>
      <c r="H19">
        <f t="shared" si="4"/>
        <v>75924</v>
      </c>
      <c r="I19">
        <f t="shared" si="5"/>
        <v>0</v>
      </c>
      <c r="J19">
        <f t="shared" si="6"/>
        <v>1</v>
      </c>
      <c r="L19" s="46"/>
      <c r="M19" s="54"/>
      <c r="N19" s="52"/>
      <c r="O19" s="54"/>
      <c r="P19" s="54"/>
      <c r="Q19" s="54"/>
    </row>
    <row r="20" spans="1:17">
      <c r="A20" s="46" t="s">
        <v>85</v>
      </c>
      <c r="B20" s="57">
        <f>B12*B6/(B6+B7)</f>
        <v>0</v>
      </c>
      <c r="C20" s="69">
        <f t="shared" si="0"/>
        <v>0</v>
      </c>
      <c r="D20" s="62">
        <f t="shared" si="1"/>
        <v>0</v>
      </c>
      <c r="E20">
        <f>COUNTIF(tables_0!B:B,input_0!A20)-COUNTIF(Q:Q,A20)</f>
        <v>0</v>
      </c>
      <c r="F20" s="64">
        <f t="shared" si="2"/>
        <v>0</v>
      </c>
      <c r="G20">
        <f t="shared" si="3"/>
        <v>0</v>
      </c>
      <c r="H20">
        <f t="shared" si="4"/>
        <v>0</v>
      </c>
      <c r="I20">
        <f t="shared" si="5"/>
        <v>0</v>
      </c>
      <c r="J20">
        <f t="shared" si="6"/>
        <v>1</v>
      </c>
      <c r="L20" s="46"/>
      <c r="M20" s="54"/>
      <c r="N20" s="52"/>
      <c r="O20" s="54"/>
      <c r="P20" s="54"/>
      <c r="Q20" s="54"/>
    </row>
    <row r="21" spans="1:17">
      <c r="A21" s="46" t="s">
        <v>121</v>
      </c>
      <c r="B21" s="58">
        <f>B7-B22-B23</f>
        <v>4.8000000000000001E-2</v>
      </c>
      <c r="C21" s="69">
        <f t="shared" si="0"/>
        <v>0</v>
      </c>
      <c r="D21" s="62">
        <f t="shared" si="1"/>
        <v>4.8000000000000001E-2</v>
      </c>
      <c r="E21">
        <f>COUNTIF(tables_0!B:B,input_0!A21)-COUNTIF(Q:Q,A21)</f>
        <v>54</v>
      </c>
      <c r="F21" s="64">
        <f t="shared" si="2"/>
        <v>8.8888888888888893E-4</v>
      </c>
      <c r="G21">
        <f t="shared" si="3"/>
        <v>2493504</v>
      </c>
      <c r="H21">
        <f t="shared" si="4"/>
        <v>46176</v>
      </c>
      <c r="I21">
        <f t="shared" si="5"/>
        <v>0</v>
      </c>
      <c r="J21">
        <f t="shared" si="6"/>
        <v>1</v>
      </c>
      <c r="L21" s="46"/>
      <c r="M21" s="54"/>
      <c r="N21" s="46"/>
      <c r="O21" s="54"/>
      <c r="P21" s="54"/>
      <c r="Q21" s="54"/>
    </row>
    <row r="22" spans="1:17">
      <c r="A22" s="46" t="s">
        <v>86</v>
      </c>
      <c r="B22" s="79">
        <f>B7*B11/(B7+B6)</f>
        <v>2E-3</v>
      </c>
      <c r="C22" s="69">
        <f t="shared" si="0"/>
        <v>0</v>
      </c>
      <c r="D22" s="62">
        <f t="shared" si="1"/>
        <v>2E-3</v>
      </c>
      <c r="E22">
        <f>COUNTIF(tables_0!B:B,input_0!A22)-COUNTIF(Q:Q,A22)</f>
        <v>26</v>
      </c>
      <c r="F22" s="64">
        <f t="shared" si="2"/>
        <v>7.6923076923076926E-5</v>
      </c>
      <c r="G22">
        <f t="shared" si="3"/>
        <v>103896</v>
      </c>
      <c r="H22">
        <f t="shared" si="4"/>
        <v>3996</v>
      </c>
      <c r="I22">
        <f t="shared" si="5"/>
        <v>0</v>
      </c>
      <c r="J22">
        <f t="shared" si="6"/>
        <v>1</v>
      </c>
      <c r="L22" s="46"/>
      <c r="M22" s="54"/>
      <c r="N22" s="46"/>
      <c r="O22" s="54"/>
      <c r="P22" s="54"/>
      <c r="Q22" s="54"/>
    </row>
    <row r="23" spans="1:17">
      <c r="A23" s="46" t="s">
        <v>87</v>
      </c>
      <c r="B23" s="51">
        <f>B12*B7/(B7+B6)</f>
        <v>0</v>
      </c>
      <c r="C23" s="69">
        <f t="shared" si="0"/>
        <v>0</v>
      </c>
      <c r="D23" s="62">
        <f t="shared" si="1"/>
        <v>0</v>
      </c>
      <c r="E23">
        <f>COUNTIF(tables_0!B:B,input_0!A23)-COUNTIF(Q:Q,A23)</f>
        <v>0</v>
      </c>
      <c r="F23" s="64">
        <f t="shared" si="2"/>
        <v>0</v>
      </c>
      <c r="G23">
        <f t="shared" si="3"/>
        <v>0</v>
      </c>
      <c r="H23">
        <f t="shared" si="4"/>
        <v>0</v>
      </c>
      <c r="I23">
        <f t="shared" si="5"/>
        <v>0</v>
      </c>
      <c r="J23">
        <f t="shared" si="6"/>
        <v>1</v>
      </c>
      <c r="L23" s="46"/>
      <c r="M23" s="54"/>
      <c r="N23" s="46"/>
      <c r="O23" s="54"/>
      <c r="P23" s="54"/>
      <c r="Q23" s="54"/>
    </row>
    <row r="24" spans="1:17">
      <c r="A24" s="59" t="s">
        <v>74</v>
      </c>
      <c r="B24" s="60">
        <f>SUM(B17:B23)</f>
        <v>1</v>
      </c>
      <c r="C24" s="61">
        <f>SUM(C17:C23)</f>
        <v>0</v>
      </c>
      <c r="D24" s="63">
        <f t="shared" si="1"/>
        <v>1</v>
      </c>
      <c r="L24" s="46"/>
      <c r="M24" s="54"/>
      <c r="N24" s="46"/>
      <c r="O24" s="54"/>
      <c r="P24" s="54"/>
      <c r="Q24" s="54"/>
    </row>
    <row r="31" spans="1:17">
      <c r="A31" t="s">
        <v>93</v>
      </c>
    </row>
    <row r="32" spans="1:17">
      <c r="A32" s="34">
        <f>3000*5.2*9*37*2*5</f>
        <v>51948000</v>
      </c>
    </row>
    <row r="34" spans="1:6">
      <c r="A34" s="68" t="s">
        <v>97</v>
      </c>
    </row>
    <row r="35" spans="1:6">
      <c r="A35" s="46" t="s">
        <v>75</v>
      </c>
      <c r="B35" t="s">
        <v>94</v>
      </c>
      <c r="C35" t="s">
        <v>123</v>
      </c>
      <c r="E35" t="s">
        <v>124</v>
      </c>
    </row>
    <row r="36" spans="1:6">
      <c r="A36" s="46" t="s">
        <v>119</v>
      </c>
      <c r="B36">
        <f>SUMIF(tables_0!B:B,input_0!A36,tables_0!L:L)</f>
        <v>0</v>
      </c>
      <c r="C36" s="77">
        <f>B36/B$43</f>
        <v>0</v>
      </c>
      <c r="E36">
        <v>3</v>
      </c>
      <c r="F36" s="78">
        <f>C36</f>
        <v>0</v>
      </c>
    </row>
    <row r="37" spans="1:6">
      <c r="A37" s="46" t="s">
        <v>120</v>
      </c>
      <c r="B37">
        <f>SUMIF(tables_0!B:B,input_0!A37,tables_0!L:L)</f>
        <v>47376576</v>
      </c>
      <c r="C37" s="77">
        <f t="shared" ref="C37:C42" si="7">B37/B$43</f>
        <v>0.91200000000000003</v>
      </c>
      <c r="E37">
        <v>4</v>
      </c>
      <c r="F37" s="78">
        <f>SUM(C37:C39)</f>
        <v>0.95000000000000007</v>
      </c>
    </row>
    <row r="38" spans="1:6">
      <c r="A38" s="46" t="s">
        <v>84</v>
      </c>
      <c r="B38">
        <f>SUMIF(tables_0!B:B,input_0!A38,tables_0!L:L)</f>
        <v>1974024</v>
      </c>
      <c r="C38" s="77">
        <f t="shared" si="7"/>
        <v>3.7999999999999999E-2</v>
      </c>
      <c r="E38">
        <v>5</v>
      </c>
      <c r="F38" s="78">
        <f>SUM(C40:C42)</f>
        <v>0.05</v>
      </c>
    </row>
    <row r="39" spans="1:6">
      <c r="A39" s="46" t="s">
        <v>85</v>
      </c>
      <c r="B39">
        <f>SUMIF(tables_0!B:B,input_0!A39,tables_0!L:L)</f>
        <v>0</v>
      </c>
      <c r="C39" s="77">
        <f t="shared" si="7"/>
        <v>0</v>
      </c>
    </row>
    <row r="40" spans="1:6">
      <c r="A40" s="46" t="s">
        <v>122</v>
      </c>
      <c r="B40">
        <f>SUMIF(tables_0!B:B,input_0!A40,tables_0!L:L)</f>
        <v>2493504</v>
      </c>
      <c r="C40" s="77">
        <f t="shared" si="7"/>
        <v>4.8000000000000001E-2</v>
      </c>
      <c r="E40" t="s">
        <v>69</v>
      </c>
    </row>
    <row r="41" spans="1:6">
      <c r="A41" s="46" t="s">
        <v>86</v>
      </c>
      <c r="B41">
        <f>SUMIF(tables_0!B:B,input_0!A41,tables_0!L:L)</f>
        <v>103896</v>
      </c>
      <c r="C41" s="77">
        <f t="shared" si="7"/>
        <v>2E-3</v>
      </c>
      <c r="E41" t="s">
        <v>126</v>
      </c>
      <c r="F41" s="78">
        <f>C36+C37+C40</f>
        <v>0.96000000000000008</v>
      </c>
    </row>
    <row r="42" spans="1:6">
      <c r="A42" s="46" t="s">
        <v>87</v>
      </c>
      <c r="B42">
        <f>SUMIF(tables_0!B:B,input_0!A42,tables_0!L:L)</f>
        <v>0</v>
      </c>
      <c r="C42" s="77">
        <f t="shared" si="7"/>
        <v>0</v>
      </c>
      <c r="E42" t="s">
        <v>127</v>
      </c>
      <c r="F42" s="78">
        <f>C38+C41</f>
        <v>0.04</v>
      </c>
    </row>
    <row r="43" spans="1:6">
      <c r="A43" s="59" t="s">
        <v>74</v>
      </c>
      <c r="B43">
        <f>SUM(B36:B42)</f>
        <v>51948000</v>
      </c>
      <c r="E43" t="s">
        <v>128</v>
      </c>
      <c r="F43" s="78">
        <f>C39+C42</f>
        <v>0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filterMode="1" enableFormatConditionsCalculation="0">
    <tabColor rgb="FF0000FF"/>
    <outlinePr summaryBelow="0" summaryRight="0"/>
  </sheetPr>
  <dimension ref="A1:S255"/>
  <sheetViews>
    <sheetView showGridLines="0" zoomScale="75" zoomScaleNormal="75" zoomScalePageLayoutView="75" workbookViewId="0">
      <pane ySplit="1" topLeftCell="A192" activePane="bottomLeft" state="frozen"/>
      <selection activeCell="A32" sqref="A32"/>
      <selection pane="bottomLeft" activeCell="S255" sqref="S1:S255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105</v>
      </c>
      <c r="B1" s="3" t="s">
        <v>31</v>
      </c>
      <c r="C1" s="3" t="s">
        <v>117</v>
      </c>
      <c r="D1" s="16" t="s">
        <v>32</v>
      </c>
      <c r="E1" s="3" t="s">
        <v>33</v>
      </c>
      <c r="F1" s="3" t="s">
        <v>34</v>
      </c>
      <c r="G1" s="3" t="s">
        <v>35</v>
      </c>
      <c r="H1" s="3" t="s">
        <v>55</v>
      </c>
      <c r="I1" s="3" t="s">
        <v>36</v>
      </c>
      <c r="J1" s="3" t="s">
        <v>37</v>
      </c>
      <c r="K1" s="3" t="s">
        <v>73</v>
      </c>
      <c r="L1" s="16" t="s">
        <v>39</v>
      </c>
      <c r="M1" s="3" t="s">
        <v>79</v>
      </c>
      <c r="N1" s="16" t="s">
        <v>38</v>
      </c>
      <c r="O1" s="30" t="s">
        <v>5</v>
      </c>
      <c r="P1" s="30" t="s">
        <v>6</v>
      </c>
      <c r="Q1" s="30" t="s">
        <v>7</v>
      </c>
      <c r="R1" s="30" t="s">
        <v>8</v>
      </c>
      <c r="S1" s="30" t="s">
        <v>9</v>
      </c>
    </row>
    <row r="2" spans="1:19" ht="21" hidden="1" customHeight="1">
      <c r="A2" s="2">
        <f>input_0!A$2</f>
        <v>3120</v>
      </c>
      <c r="B2" s="7" t="str">
        <f>C2&amp;G2</f>
        <v>Premium3</v>
      </c>
      <c r="C2" s="7" t="str">
        <f>IF(F2="PremiumSS",F2,IF(F2="PremiumSSS",F2,"Premium"))</f>
        <v>Premium</v>
      </c>
      <c r="D2" s="6">
        <v>126</v>
      </c>
      <c r="E2" s="7" t="str">
        <f>VLOOKUP(D2,[1]characters!$A:$C,3,FALSE)</f>
        <v>骨器使い ユノ</v>
      </c>
      <c r="F2" s="7" t="str">
        <f>VLOOKUP(D2,[1]characters!$A:$J,10,FALSE)</f>
        <v>PremiumW</v>
      </c>
      <c r="G2" s="7">
        <f>VLOOKUP(D2,[1]characters!$A:$I,9,FALSE)</f>
        <v>3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human</v>
      </c>
      <c r="K2" s="7" t="str">
        <f>VLOOKUP(D2,[1]characters!$A:$G,7,FALSE)</f>
        <v>女性</v>
      </c>
      <c r="L2" s="66">
        <f>IFERROR(VLOOKUP(D2,input_0!L:R,7,FALSE),VLOOKUP(tables_0!B2,input_0!A:H,8,FALSE))</f>
        <v>0</v>
      </c>
      <c r="M2" s="67">
        <f t="shared" ref="M2:M65" si="0">L2/SUM(L:L)</f>
        <v>0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hidden="1" customHeight="1">
      <c r="A3" s="2">
        <f>input_0!A$2</f>
        <v>3120</v>
      </c>
      <c r="B3" s="7" t="str">
        <f t="shared" ref="B3:B66" si="1">C3&amp;G3</f>
        <v>Premium4</v>
      </c>
      <c r="C3" s="7" t="str">
        <f t="shared" ref="C3:C66" si="2">IF(F3="PremiumSS",F3,IF(F3="PremiumSSS",F3,"Premium"))</f>
        <v>Premium</v>
      </c>
      <c r="D3" s="6">
        <v>127</v>
      </c>
      <c r="E3" s="7" t="str">
        <f>VLOOKUP(D3,[1]characters!$A:$C,3,FALSE)</f>
        <v>狂喜の賢者 ユノ</v>
      </c>
      <c r="F3" s="7" t="str">
        <f>VLOOKUP(D3,[1]characters!$A:$J,10,FALSE)</f>
        <v>PremiumW</v>
      </c>
      <c r="G3" s="7">
        <f>VLOOKUP(D3,[1]characters!$A:$I,9,FALSE)</f>
        <v>4</v>
      </c>
      <c r="H3" s="7" t="str">
        <f>VLOOKUP(D3,[1]characters!$A:$H,8,FALSE)</f>
        <v>red</v>
      </c>
      <c r="I3" s="7" t="str">
        <f>VLOOKUP(D3,[1]characters!$A:$K,11,FALSE)</f>
        <v>attack</v>
      </c>
      <c r="J3" s="7" t="str">
        <f>VLOOKUP(D3,[1]characters!$A:$M,13,FALSE)</f>
        <v>human</v>
      </c>
      <c r="K3" s="7" t="str">
        <f>VLOOKUP(D3,[1]characters!$A:$G,7,FALSE)</f>
        <v>女性</v>
      </c>
      <c r="L3" s="66">
        <f>IFERROR(VLOOKUP(D3,input_0!L:R,7,FALSE),VLOOKUP(tables_0!B3,input_0!A:H,8,FALSE))</f>
        <v>640224</v>
      </c>
      <c r="M3" s="67">
        <f t="shared" si="0"/>
        <v>1.2324324324324324E-2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hidden="1" customHeight="1">
      <c r="A4" s="2">
        <f>input_0!A$2</f>
        <v>3120</v>
      </c>
      <c r="B4" s="7" t="str">
        <f t="shared" si="1"/>
        <v>Premium3</v>
      </c>
      <c r="C4" s="7" t="str">
        <f t="shared" si="2"/>
        <v>Premium</v>
      </c>
      <c r="D4" s="6">
        <v>128</v>
      </c>
      <c r="E4" s="7" t="str">
        <f>VLOOKUP(D4,[1]characters!$A:$C,3,FALSE)</f>
        <v>野生児 アマラ</v>
      </c>
      <c r="F4" s="7" t="str">
        <f>VLOOKUP(D4,[1]characters!$A:$J,10,FALSE)</f>
        <v>PremiumW</v>
      </c>
      <c r="G4" s="7">
        <f>VLOOKUP(D4,[1]characters!$A:$I,9,FALSE)</f>
        <v>3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66">
        <f>IFERROR(VLOOKUP(D4,input_0!L:R,7,FALSE),VLOOKUP(tables_0!B4,input_0!A:H,8,FALSE))</f>
        <v>0</v>
      </c>
      <c r="M4" s="67">
        <f t="shared" si="0"/>
        <v>0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hidden="1" customHeight="1">
      <c r="A5" s="2">
        <f>input_0!A$2</f>
        <v>3120</v>
      </c>
      <c r="B5" s="7" t="str">
        <f t="shared" si="1"/>
        <v>Premium4</v>
      </c>
      <c r="C5" s="7" t="str">
        <f t="shared" si="2"/>
        <v>Premium</v>
      </c>
      <c r="D5" s="6">
        <v>129</v>
      </c>
      <c r="E5" s="7" t="str">
        <f>VLOOKUP(D5,[1]characters!$A:$C,3,FALSE)</f>
        <v>孤高の狼憑き アマラ</v>
      </c>
      <c r="F5" s="7" t="str">
        <f>VLOOKUP(D5,[1]characters!$A:$J,10,FALSE)</f>
        <v>PremiumW</v>
      </c>
      <c r="G5" s="7">
        <f>VLOOKUP(D5,[1]characters!$A:$I,9,FALSE)</f>
        <v>4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66">
        <f>IFERROR(VLOOKUP(D5,input_0!L:R,7,FALSE),VLOOKUP(tables_0!B5,input_0!A:H,8,FALSE))</f>
        <v>640224</v>
      </c>
      <c r="M5" s="67">
        <f t="shared" si="0"/>
        <v>1.2324324324324324E-2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hidden="1" customHeight="1">
      <c r="A6" s="2">
        <f>input_0!A$2</f>
        <v>3120</v>
      </c>
      <c r="B6" s="7" t="str">
        <f t="shared" si="1"/>
        <v>Premium3</v>
      </c>
      <c r="C6" s="7" t="str">
        <f t="shared" si="2"/>
        <v>Premium</v>
      </c>
      <c r="D6" s="6">
        <v>130</v>
      </c>
      <c r="E6" s="7" t="str">
        <f>VLOOKUP(D6,[1]characters!$A:$C,3,FALSE)</f>
        <v>狼男 ローレンス</v>
      </c>
      <c r="F6" s="7" t="str">
        <f>VLOOKUP(D6,[1]characters!$A:$J,10,FALSE)</f>
        <v>PremiumW</v>
      </c>
      <c r="G6" s="7">
        <f>VLOOKUP(D6,[1]characters!$A:$I,9,FALSE)</f>
        <v>3</v>
      </c>
      <c r="H6" s="7" t="str">
        <f>VLOOKUP(D6,[1]characters!$A:$H,8,FALSE)</f>
        <v>blue</v>
      </c>
      <c r="I6" s="7" t="str">
        <f>VLOOKUP(D6,[1]characters!$A:$K,11,FALSE)</f>
        <v>attack</v>
      </c>
      <c r="J6" s="7" t="str">
        <f>VLOOKUP(D6,[1]characters!$A:$M,13,FALSE)</f>
        <v>animal</v>
      </c>
      <c r="K6" s="7" t="str">
        <f>VLOOKUP(D6,[1]characters!$A:$G,7,FALSE)</f>
        <v>不明</v>
      </c>
      <c r="L6" s="66">
        <f>IFERROR(VLOOKUP(D6,input_0!L:R,7,FALSE),VLOOKUP(tables_0!B6,input_0!A:H,8,FALSE))</f>
        <v>0</v>
      </c>
      <c r="M6" s="67">
        <f t="shared" si="0"/>
        <v>0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hidden="1" customHeight="1">
      <c r="A7" s="2">
        <f>input_0!A$2</f>
        <v>3120</v>
      </c>
      <c r="B7" s="7" t="str">
        <f t="shared" si="1"/>
        <v>Premium4</v>
      </c>
      <c r="C7" s="7" t="str">
        <f t="shared" si="2"/>
        <v>Premium</v>
      </c>
      <c r="D7" s="6">
        <v>131</v>
      </c>
      <c r="E7" s="7" t="str">
        <f>VLOOKUP(D7,[1]characters!$A:$C,3,FALSE)</f>
        <v>月下の人狼 ローレンス</v>
      </c>
      <c r="F7" s="7" t="str">
        <f>VLOOKUP(D7,[1]characters!$A:$J,10,FALSE)</f>
        <v>PremiumW</v>
      </c>
      <c r="G7" s="7">
        <f>VLOOKUP(D7,[1]characters!$A:$I,9,FALSE)</f>
        <v>4</v>
      </c>
      <c r="H7" s="7" t="str">
        <f>VLOOKUP(D7,[1]characters!$A:$H,8,FALSE)</f>
        <v>blue</v>
      </c>
      <c r="I7" s="7" t="str">
        <f>VLOOKUP(D7,[1]characters!$A:$K,11,FALSE)</f>
        <v>attack</v>
      </c>
      <c r="J7" s="7" t="str">
        <f>VLOOKUP(D7,[1]characters!$A:$M,13,FALSE)</f>
        <v>animal</v>
      </c>
      <c r="K7" s="7" t="str">
        <f>VLOOKUP(D7,[1]characters!$A:$G,7,FALSE)</f>
        <v>不明</v>
      </c>
      <c r="L7" s="66">
        <f>IFERROR(VLOOKUP(D7,input_0!L:R,7,FALSE),VLOOKUP(tables_0!B7,input_0!A:H,8,FALSE))</f>
        <v>640224</v>
      </c>
      <c r="M7" s="67">
        <f t="shared" si="0"/>
        <v>1.2324324324324324E-2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hidden="1" customHeight="1">
      <c r="A8" s="2">
        <f>input_0!A$2</f>
        <v>3120</v>
      </c>
      <c r="B8" s="7" t="str">
        <f t="shared" si="1"/>
        <v>Premium3</v>
      </c>
      <c r="C8" s="7" t="str">
        <f t="shared" si="2"/>
        <v>Premium</v>
      </c>
      <c r="D8" s="6">
        <v>132</v>
      </c>
      <c r="E8" s="7" t="str">
        <f>VLOOKUP(D8,[1]characters!$A:$C,3,FALSE)</f>
        <v>鳥人ハヤト</v>
      </c>
      <c r="F8" s="7" t="str">
        <f>VLOOKUP(D8,[1]characters!$A:$J,10,FALSE)</f>
        <v>PremiumW</v>
      </c>
      <c r="G8" s="7">
        <f>VLOOKUP(D8,[1]characters!$A:$I,9,FALSE)</f>
        <v>3</v>
      </c>
      <c r="H8" s="7" t="str">
        <f>VLOOKUP(D8,[1]characters!$A:$H,8,FALSE)</f>
        <v>yellow</v>
      </c>
      <c r="I8" s="7" t="str">
        <f>VLOOKUP(D8,[1]characters!$A:$K,11,FALSE)</f>
        <v>attack</v>
      </c>
      <c r="J8" s="7" t="str">
        <f>VLOOKUP(D8,[1]characters!$A:$M,13,FALSE)</f>
        <v>human</v>
      </c>
      <c r="K8" s="7" t="str">
        <f>VLOOKUP(D8,[1]characters!$A:$G,7,FALSE)</f>
        <v>男性</v>
      </c>
      <c r="L8" s="66">
        <f>IFERROR(VLOOKUP(D8,input_0!L:R,7,FALSE),VLOOKUP(tables_0!B8,input_0!A:H,8,FALSE))</f>
        <v>0</v>
      </c>
      <c r="M8" s="67">
        <f t="shared" si="0"/>
        <v>0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hidden="1" customHeight="1">
      <c r="A9" s="2">
        <f>input_0!A$2</f>
        <v>3120</v>
      </c>
      <c r="B9" s="7" t="str">
        <f t="shared" si="1"/>
        <v>Premium4</v>
      </c>
      <c r="C9" s="7" t="str">
        <f t="shared" si="2"/>
        <v>Premium</v>
      </c>
      <c r="D9" s="6">
        <v>133</v>
      </c>
      <c r="E9" s="7" t="str">
        <f>VLOOKUP(D9,[1]characters!$A:$C,3,FALSE)</f>
        <v>迅雷の刀剣 ハヤト</v>
      </c>
      <c r="F9" s="7" t="str">
        <f>VLOOKUP(D9,[1]characters!$A:$J,10,FALSE)</f>
        <v>PremiumW</v>
      </c>
      <c r="G9" s="7">
        <f>VLOOKUP(D9,[1]characters!$A:$I,9,FALSE)</f>
        <v>4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human</v>
      </c>
      <c r="K9" s="7" t="str">
        <f>VLOOKUP(D9,[1]characters!$A:$G,7,FALSE)</f>
        <v>男性</v>
      </c>
      <c r="L9" s="66">
        <f>IFERROR(VLOOKUP(D9,input_0!L:R,7,FALSE),VLOOKUP(tables_0!B9,input_0!A:H,8,FALSE))</f>
        <v>640224</v>
      </c>
      <c r="M9" s="67">
        <f t="shared" si="0"/>
        <v>1.2324324324324324E-2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hidden="1" customHeight="1">
      <c r="A10" s="2">
        <f>input_0!A$2</f>
        <v>3120</v>
      </c>
      <c r="B10" s="7" t="str">
        <f t="shared" si="1"/>
        <v>Premium3</v>
      </c>
      <c r="C10" s="7" t="str">
        <f t="shared" si="2"/>
        <v>Premium</v>
      </c>
      <c r="D10" s="6">
        <v>134</v>
      </c>
      <c r="E10" s="7" t="str">
        <f>VLOOKUP(D10,[1]characters!$A:$C,3,FALSE)</f>
        <v>妖炎の夕霧</v>
      </c>
      <c r="F10" s="7" t="str">
        <f>VLOOKUP(D10,[1]characters!$A:$J,10,FALSE)</f>
        <v>PremiumW</v>
      </c>
      <c r="G10" s="7">
        <f>VLOOKUP(D10,[1]characters!$A:$I,9,FALSE)</f>
        <v>3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66">
        <f>IFERROR(VLOOKUP(D10,input_0!L:R,7,FALSE),VLOOKUP(tables_0!B10,input_0!A:H,8,FALSE))</f>
        <v>0</v>
      </c>
      <c r="M10" s="67">
        <f t="shared" si="0"/>
        <v>0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hidden="1" customHeight="1">
      <c r="A11" s="2">
        <f>input_0!A$2</f>
        <v>3120</v>
      </c>
      <c r="B11" s="7" t="str">
        <f t="shared" si="1"/>
        <v>Premium4</v>
      </c>
      <c r="C11" s="7" t="str">
        <f t="shared" si="2"/>
        <v>Premium</v>
      </c>
      <c r="D11" s="6">
        <v>135</v>
      </c>
      <c r="E11" s="7" t="str">
        <f>VLOOKUP(D11,[1]characters!$A:$C,3,FALSE)</f>
        <v>京の炎華夕霧</v>
      </c>
      <c r="F11" s="7" t="str">
        <f>VLOOKUP(D11,[1]characters!$A:$J,10,FALSE)</f>
        <v>PremiumW</v>
      </c>
      <c r="G11" s="7">
        <f>VLOOKUP(D11,[1]characters!$A:$I,9,FALSE)</f>
        <v>4</v>
      </c>
      <c r="H11" s="7" t="str">
        <f>VLOOKUP(D11,[1]characters!$A:$H,8,FALSE)</f>
        <v>red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66">
        <f>IFERROR(VLOOKUP(D11,input_0!L:R,7,FALSE),VLOOKUP(tables_0!B11,input_0!A:H,8,FALSE))</f>
        <v>640224</v>
      </c>
      <c r="M11" s="67">
        <f t="shared" si="0"/>
        <v>1.2324324324324324E-2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hidden="1" customHeight="1">
      <c r="A12" s="2">
        <f>input_0!A$2</f>
        <v>3120</v>
      </c>
      <c r="B12" s="7" t="str">
        <f t="shared" si="1"/>
        <v>Premium3</v>
      </c>
      <c r="C12" s="7" t="str">
        <f t="shared" si="2"/>
        <v>Premium</v>
      </c>
      <c r="D12" s="8">
        <v>136</v>
      </c>
      <c r="E12" s="7" t="str">
        <f>VLOOKUP(D12,[1]characters!$A:$C,3,FALSE)</f>
        <v>お針子チハヤ</v>
      </c>
      <c r="F12" s="7" t="str">
        <f>VLOOKUP(D12,[1]characters!$A:$J,10,FALSE)</f>
        <v>PremiumW</v>
      </c>
      <c r="G12" s="7">
        <f>VLOOKUP(D12,[1]characters!$A:$I,9,FALSE)</f>
        <v>3</v>
      </c>
      <c r="H12" s="7" t="str">
        <f>VLOOKUP(D12,[1]characters!$A:$H,8,FALSE)</f>
        <v>green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66">
        <f>IFERROR(VLOOKUP(D12,input_0!L:R,7,FALSE),VLOOKUP(tables_0!B12,input_0!A:H,8,FALSE))</f>
        <v>0</v>
      </c>
      <c r="M12" s="67">
        <f t="shared" si="0"/>
        <v>0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hidden="1" customHeight="1">
      <c r="A13" s="2">
        <f>input_0!A$2</f>
        <v>3120</v>
      </c>
      <c r="B13" s="7" t="str">
        <f t="shared" si="1"/>
        <v>Premium4</v>
      </c>
      <c r="C13" s="7" t="str">
        <f t="shared" si="2"/>
        <v>Premium</v>
      </c>
      <c r="D13" s="8">
        <v>137</v>
      </c>
      <c r="E13" s="7" t="str">
        <f>VLOOKUP(D13,[1]characters!$A:$C,3,FALSE)</f>
        <v>清福の仕立屋 チハヤ</v>
      </c>
      <c r="F13" s="7" t="str">
        <f>VLOOKUP(D13,[1]characters!$A:$J,10,FALSE)</f>
        <v>PremiumW</v>
      </c>
      <c r="G13" s="7">
        <f>VLOOKUP(D13,[1]characters!$A:$I,9,FALSE)</f>
        <v>4</v>
      </c>
      <c r="H13" s="7" t="str">
        <f>VLOOKUP(D13,[1]characters!$A:$H,8,FALSE)</f>
        <v>green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女性</v>
      </c>
      <c r="L13" s="66">
        <f>IFERROR(VLOOKUP(D13,input_0!L:R,7,FALSE),VLOOKUP(tables_0!B13,input_0!A:H,8,FALSE))</f>
        <v>640224</v>
      </c>
      <c r="M13" s="67">
        <f t="shared" si="0"/>
        <v>1.2324324324324324E-2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hidden="1" customHeight="1">
      <c r="A14" s="2">
        <f>input_0!A$2</f>
        <v>3120</v>
      </c>
      <c r="B14" s="7" t="str">
        <f t="shared" si="1"/>
        <v>Premium3</v>
      </c>
      <c r="C14" s="7" t="str">
        <f t="shared" si="2"/>
        <v>Premium</v>
      </c>
      <c r="D14" s="6">
        <v>138</v>
      </c>
      <c r="E14" s="7" t="str">
        <f>VLOOKUP(D14,[1]characters!$A:$C,3,FALSE)</f>
        <v>蒼薙のトモエ</v>
      </c>
      <c r="F14" s="7" t="str">
        <f>VLOOKUP(D14,[1]characters!$A:$J,10,FALSE)</f>
        <v>PremiumW</v>
      </c>
      <c r="G14" s="7">
        <f>VLOOKUP(D14,[1]characters!$A:$I,9,FALSE)</f>
        <v>3</v>
      </c>
      <c r="H14" s="7" t="str">
        <f>VLOOKUP(D14,[1]characters!$A:$H,8,FALSE)</f>
        <v>blue</v>
      </c>
      <c r="I14" s="7" t="str">
        <f>VLOOKUP(D14,[1]characters!$A:$K,11,FALSE)</f>
        <v>balance</v>
      </c>
      <c r="J14" s="7" t="str">
        <f>VLOOKUP(D14,[1]characters!$A:$M,13,FALSE)</f>
        <v>human</v>
      </c>
      <c r="K14" s="7" t="str">
        <f>VLOOKUP(D14,[1]characters!$A:$G,7,FALSE)</f>
        <v>女性</v>
      </c>
      <c r="L14" s="66">
        <f>IFERROR(VLOOKUP(D14,input_0!L:R,7,FALSE),VLOOKUP(tables_0!B14,input_0!A:H,8,FALSE))</f>
        <v>0</v>
      </c>
      <c r="M14" s="67">
        <f t="shared" si="0"/>
        <v>0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hidden="1" customHeight="1">
      <c r="A15" s="2">
        <f>input_0!A$2</f>
        <v>3120</v>
      </c>
      <c r="B15" s="7" t="str">
        <f t="shared" si="1"/>
        <v>Premium4</v>
      </c>
      <c r="C15" s="7" t="str">
        <f t="shared" si="2"/>
        <v>Premium</v>
      </c>
      <c r="D15" s="6">
        <v>139</v>
      </c>
      <c r="E15" s="7" t="str">
        <f>VLOOKUP(D15,[1]characters!$A:$C,3,FALSE)</f>
        <v>蒼昇刃姫 トモエ</v>
      </c>
      <c r="F15" s="7" t="str">
        <f>VLOOKUP(D15,[1]characters!$A:$J,10,FALSE)</f>
        <v>PremiumW</v>
      </c>
      <c r="G15" s="7">
        <f>VLOOKUP(D15,[1]characters!$A:$I,9,FALSE)</f>
        <v>4</v>
      </c>
      <c r="H15" s="7" t="str">
        <f>VLOOKUP(D15,[1]characters!$A:$H,8,FALSE)</f>
        <v>blue</v>
      </c>
      <c r="I15" s="7" t="str">
        <f>VLOOKUP(D15,[1]characters!$A:$K,11,FALSE)</f>
        <v>balance</v>
      </c>
      <c r="J15" s="7" t="str">
        <f>VLOOKUP(D15,[1]characters!$A:$M,13,FALSE)</f>
        <v>human</v>
      </c>
      <c r="K15" s="7" t="str">
        <f>VLOOKUP(D15,[1]characters!$A:$G,7,FALSE)</f>
        <v>女性</v>
      </c>
      <c r="L15" s="66">
        <f>IFERROR(VLOOKUP(D15,input_0!L:R,7,FALSE),VLOOKUP(tables_0!B15,input_0!A:H,8,FALSE))</f>
        <v>640224</v>
      </c>
      <c r="M15" s="67">
        <f t="shared" si="0"/>
        <v>1.2324324324324324E-2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hidden="1" customHeight="1">
      <c r="A16" s="2">
        <f>input_0!A$2</f>
        <v>3120</v>
      </c>
      <c r="B16" s="7" t="str">
        <f t="shared" si="1"/>
        <v>Premium3</v>
      </c>
      <c r="C16" s="7" t="str">
        <f t="shared" si="2"/>
        <v>Premium</v>
      </c>
      <c r="D16" s="10">
        <v>140</v>
      </c>
      <c r="E16" s="7" t="str">
        <f>VLOOKUP(D16,[1]characters!$A:$C,3,FALSE)</f>
        <v>秋祭のタマモ</v>
      </c>
      <c r="F16" s="7" t="str">
        <f>VLOOKUP(D16,[1]characters!$A:$J,10,FALSE)</f>
        <v>PremiumW</v>
      </c>
      <c r="G16" s="7">
        <f>VLOOKUP(D16,[1]characters!$A:$I,9,FALSE)</f>
        <v>3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animal</v>
      </c>
      <c r="K16" s="7" t="str">
        <f>VLOOKUP(D16,[1]characters!$A:$G,7,FALSE)</f>
        <v>女性</v>
      </c>
      <c r="L16" s="66">
        <f>IFERROR(VLOOKUP(D16,input_0!L:R,7,FALSE),VLOOKUP(tables_0!B16,input_0!A:H,8,FALSE))</f>
        <v>0</v>
      </c>
      <c r="M16" s="67">
        <f t="shared" si="0"/>
        <v>0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hidden="1" customHeight="1">
      <c r="A17" s="2">
        <f>input_0!A$2</f>
        <v>3120</v>
      </c>
      <c r="B17" s="7" t="str">
        <f t="shared" si="1"/>
        <v>Premium4</v>
      </c>
      <c r="C17" s="7" t="str">
        <f t="shared" si="2"/>
        <v>Premium</v>
      </c>
      <c r="D17" s="11">
        <v>141</v>
      </c>
      <c r="E17" s="7" t="str">
        <f>VLOOKUP(D17,[1]characters!$A:$C,3,FALSE)</f>
        <v>妖狐演舞 タマモ</v>
      </c>
      <c r="F17" s="7" t="str">
        <f>VLOOKUP(D17,[1]characters!$A:$J,10,FALSE)</f>
        <v>PremiumW</v>
      </c>
      <c r="G17" s="7">
        <f>VLOOKUP(D17,[1]characters!$A:$I,9,FALSE)</f>
        <v>4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animal</v>
      </c>
      <c r="K17" s="7" t="str">
        <f>VLOOKUP(D17,[1]characters!$A:$G,7,FALSE)</f>
        <v>女性</v>
      </c>
      <c r="L17" s="66">
        <f>IFERROR(VLOOKUP(D17,input_0!L:R,7,FALSE),VLOOKUP(tables_0!B17,input_0!A:H,8,FALSE))</f>
        <v>640224</v>
      </c>
      <c r="M17" s="67">
        <f t="shared" si="0"/>
        <v>1.2324324324324324E-2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hidden="1" customHeight="1">
      <c r="A18" s="2">
        <f>input_0!A$2</f>
        <v>3120</v>
      </c>
      <c r="B18" s="7" t="str">
        <f t="shared" si="1"/>
        <v>Premium3</v>
      </c>
      <c r="C18" s="7" t="str">
        <f t="shared" si="2"/>
        <v>Premium</v>
      </c>
      <c r="D18" s="6">
        <v>142</v>
      </c>
      <c r="E18" s="7" t="str">
        <f>VLOOKUP(D18,[1]characters!$A:$C,3,FALSE)</f>
        <v>赤ずきん</v>
      </c>
      <c r="F18" s="7" t="str">
        <f>VLOOKUP(D18,[1]characters!$A:$J,10,FALSE)</f>
        <v>PremiumW</v>
      </c>
      <c r="G18" s="7">
        <f>VLOOKUP(D18,[1]characters!$A:$I,9,FALSE)</f>
        <v>3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human</v>
      </c>
      <c r="K18" s="7" t="str">
        <f>VLOOKUP(D18,[1]characters!$A:$G,7,FALSE)</f>
        <v>女性</v>
      </c>
      <c r="L18" s="66">
        <f>IFERROR(VLOOKUP(D18,input_0!L:R,7,FALSE),VLOOKUP(tables_0!B18,input_0!A:H,8,FALSE))</f>
        <v>0</v>
      </c>
      <c r="M18" s="67">
        <f t="shared" si="0"/>
        <v>0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s="12" customFormat="1" ht="21" hidden="1" customHeight="1" thickBot="1">
      <c r="A19" s="2">
        <f>input_0!A$2</f>
        <v>3120</v>
      </c>
      <c r="B19" s="7" t="str">
        <f t="shared" si="1"/>
        <v>Premium4</v>
      </c>
      <c r="C19" s="7" t="str">
        <f t="shared" si="2"/>
        <v>Premium</v>
      </c>
      <c r="D19" s="6">
        <v>143</v>
      </c>
      <c r="E19" s="7" t="str">
        <f>VLOOKUP(D19,[1]characters!$A:$C,3,FALSE)</f>
        <v>深紅の死神 赤ずきん</v>
      </c>
      <c r="F19" s="7" t="str">
        <f>VLOOKUP(D19,[1]characters!$A:$J,10,FALSE)</f>
        <v>PremiumW</v>
      </c>
      <c r="G19" s="7">
        <f>VLOOKUP(D19,[1]characters!$A:$I,9,FALSE)</f>
        <v>4</v>
      </c>
      <c r="H19" s="7" t="str">
        <f>VLOOKUP(D19,[1]characters!$A:$H,8,FALSE)</f>
        <v>red</v>
      </c>
      <c r="I19" s="7" t="str">
        <f>VLOOKUP(D19,[1]characters!$A:$K,11,FALSE)</f>
        <v>balance</v>
      </c>
      <c r="J19" s="7" t="str">
        <f>VLOOKUP(D19,[1]characters!$A:$M,13,FALSE)</f>
        <v>human</v>
      </c>
      <c r="K19" s="7" t="str">
        <f>VLOOKUP(D19,[1]characters!$A:$G,7,FALSE)</f>
        <v>女性</v>
      </c>
      <c r="L19" s="66">
        <f>IFERROR(VLOOKUP(D19,input_0!L:R,7,FALSE),VLOOKUP(tables_0!B19,input_0!A:H,8,FALSE))</f>
        <v>640224</v>
      </c>
      <c r="M19" s="67">
        <f t="shared" si="0"/>
        <v>1.2324324324324324E-2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hidden="1" customHeight="1">
      <c r="A20" s="2">
        <f>input_0!A$2</f>
        <v>3120</v>
      </c>
      <c r="B20" s="7" t="str">
        <f t="shared" si="1"/>
        <v>Premium3</v>
      </c>
      <c r="C20" s="7" t="str">
        <f t="shared" si="2"/>
        <v>Premium</v>
      </c>
      <c r="D20" s="10">
        <v>144</v>
      </c>
      <c r="E20" s="7" t="str">
        <f>VLOOKUP(D20,[1]characters!$A:$C,3,FALSE)</f>
        <v>かぐや</v>
      </c>
      <c r="F20" s="7" t="str">
        <f>VLOOKUP(D20,[1]characters!$A:$J,10,FALSE)</f>
        <v>PremiumW</v>
      </c>
      <c r="G20" s="7">
        <f>VLOOKUP(D20,[1]characters!$A:$I,9,FALSE)</f>
        <v>3</v>
      </c>
      <c r="H20" s="7" t="str">
        <f>VLOOKUP(D20,[1]characters!$A:$H,8,FALSE)</f>
        <v>green</v>
      </c>
      <c r="I20" s="7" t="str">
        <f>VLOOKUP(D20,[1]characters!$A:$K,11,FALSE)</f>
        <v>hp</v>
      </c>
      <c r="J20" s="7" t="str">
        <f>VLOOKUP(D20,[1]characters!$A:$M,13,FALSE)</f>
        <v>human</v>
      </c>
      <c r="K20" s="7" t="str">
        <f>VLOOKUP(D20,[1]characters!$A:$G,7,FALSE)</f>
        <v>女性</v>
      </c>
      <c r="L20" s="66">
        <f>IFERROR(VLOOKUP(D20,input_0!L:R,7,FALSE),VLOOKUP(tables_0!B20,input_0!A:H,8,FALSE))</f>
        <v>0</v>
      </c>
      <c r="M20" s="67">
        <f t="shared" si="0"/>
        <v>0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hidden="1" customHeight="1">
      <c r="A21" s="2">
        <f>input_0!A$2</f>
        <v>3120</v>
      </c>
      <c r="B21" s="7" t="str">
        <f t="shared" si="1"/>
        <v>Premium4</v>
      </c>
      <c r="C21" s="7" t="str">
        <f t="shared" si="2"/>
        <v>Premium</v>
      </c>
      <c r="D21" s="6">
        <v>145</v>
      </c>
      <c r="E21" s="7" t="str">
        <f>VLOOKUP(D21,[1]characters!$A:$C,3,FALSE)</f>
        <v>魔性妖艶 かぐや</v>
      </c>
      <c r="F21" s="7" t="str">
        <f>VLOOKUP(D21,[1]characters!$A:$J,10,FALSE)</f>
        <v>PremiumW</v>
      </c>
      <c r="G21" s="7">
        <f>VLOOKUP(D21,[1]characters!$A:$I,9,FALSE)</f>
        <v>4</v>
      </c>
      <c r="H21" s="7" t="str">
        <f>VLOOKUP(D21,[1]characters!$A:$H,8,FALSE)</f>
        <v>green</v>
      </c>
      <c r="I21" s="7" t="str">
        <f>VLOOKUP(D21,[1]characters!$A:$K,11,FALSE)</f>
        <v>hp</v>
      </c>
      <c r="J21" s="7" t="str">
        <f>VLOOKUP(D21,[1]characters!$A:$M,13,FALSE)</f>
        <v>human</v>
      </c>
      <c r="K21" s="7" t="str">
        <f>VLOOKUP(D21,[1]characters!$A:$G,7,FALSE)</f>
        <v>女性</v>
      </c>
      <c r="L21" s="66">
        <f>IFERROR(VLOOKUP(D21,input_0!L:R,7,FALSE),VLOOKUP(tables_0!B21,input_0!A:H,8,FALSE))</f>
        <v>640224</v>
      </c>
      <c r="M21" s="67">
        <f t="shared" si="0"/>
        <v>1.2324324324324324E-2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hidden="1" customHeight="1">
      <c r="A22" s="2">
        <f>input_0!A$2</f>
        <v>3120</v>
      </c>
      <c r="B22" s="7" t="str">
        <f t="shared" si="1"/>
        <v>Premium3</v>
      </c>
      <c r="C22" s="7" t="str">
        <f t="shared" si="2"/>
        <v>Premium</v>
      </c>
      <c r="D22" s="6">
        <v>146</v>
      </c>
      <c r="E22" s="7" t="str">
        <f>VLOOKUP(D22,[1]characters!$A:$C,3,FALSE)</f>
        <v>マーメイド</v>
      </c>
      <c r="F22" s="7" t="str">
        <f>VLOOKUP(D22,[1]characters!$A:$J,10,FALSE)</f>
        <v>PremiumW</v>
      </c>
      <c r="G22" s="7">
        <f>VLOOKUP(D22,[1]characters!$A:$I,9,FALSE)</f>
        <v>3</v>
      </c>
      <c r="H22" s="7" t="str">
        <f>VLOOKUP(D22,[1]characters!$A:$H,8,FALSE)</f>
        <v>blue</v>
      </c>
      <c r="I22" s="7" t="str">
        <f>VLOOKUP(D22,[1]characters!$A:$K,11,FALSE)</f>
        <v>hp</v>
      </c>
      <c r="J22" s="7" t="str">
        <f>VLOOKUP(D22,[1]characters!$A:$M,13,FALSE)</f>
        <v>human</v>
      </c>
      <c r="K22" s="7" t="str">
        <f>VLOOKUP(D22,[1]characters!$A:$G,7,FALSE)</f>
        <v>女性</v>
      </c>
      <c r="L22" s="66">
        <f>IFERROR(VLOOKUP(D22,input_0!L:R,7,FALSE),VLOOKUP(tables_0!B22,input_0!A:H,8,FALSE))</f>
        <v>0</v>
      </c>
      <c r="M22" s="67">
        <f t="shared" si="0"/>
        <v>0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hidden="1" customHeight="1">
      <c r="A23" s="2">
        <f>input_0!A$2</f>
        <v>3120</v>
      </c>
      <c r="B23" s="7" t="str">
        <f t="shared" si="1"/>
        <v>Premium4</v>
      </c>
      <c r="C23" s="7" t="str">
        <f t="shared" si="2"/>
        <v>Premium</v>
      </c>
      <c r="D23" s="6">
        <v>147</v>
      </c>
      <c r="E23" s="7" t="str">
        <f>VLOOKUP(D23,[1]characters!$A:$C,3,FALSE)</f>
        <v>蒼き閃光 元マーメイド</v>
      </c>
      <c r="F23" s="7" t="str">
        <f>VLOOKUP(D23,[1]characters!$A:$J,10,FALSE)</f>
        <v>PremiumW</v>
      </c>
      <c r="G23" s="7">
        <f>VLOOKUP(D23,[1]characters!$A:$I,9,FALSE)</f>
        <v>4</v>
      </c>
      <c r="H23" s="7" t="str">
        <f>VLOOKUP(D23,[1]characters!$A:$H,8,FALSE)</f>
        <v>blue</v>
      </c>
      <c r="I23" s="7" t="str">
        <f>VLOOKUP(D23,[1]characters!$A:$K,11,FALSE)</f>
        <v>hp</v>
      </c>
      <c r="J23" s="7" t="str">
        <f>VLOOKUP(D23,[1]characters!$A:$M,13,FALSE)</f>
        <v>human</v>
      </c>
      <c r="K23" s="7" t="str">
        <f>VLOOKUP(D23,[1]characters!$A:$G,7,FALSE)</f>
        <v>女性</v>
      </c>
      <c r="L23" s="66">
        <f>IFERROR(VLOOKUP(D23,input_0!L:R,7,FALSE),VLOOKUP(tables_0!B23,input_0!A:H,8,FALSE))</f>
        <v>640224</v>
      </c>
      <c r="M23" s="67">
        <f t="shared" si="0"/>
        <v>1.2324324324324324E-2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hidden="1" customHeight="1">
      <c r="A24" s="2">
        <f>input_0!A$2</f>
        <v>3120</v>
      </c>
      <c r="B24" s="7" t="str">
        <f t="shared" si="1"/>
        <v>Premium3</v>
      </c>
      <c r="C24" s="7" t="str">
        <f t="shared" si="2"/>
        <v>Premium</v>
      </c>
      <c r="D24" s="6">
        <v>148</v>
      </c>
      <c r="E24" s="7" t="str">
        <f>VLOOKUP(D24,[1]characters!$A:$C,3,FALSE)</f>
        <v>シンデレラ</v>
      </c>
      <c r="F24" s="7" t="str">
        <f>VLOOKUP(D24,[1]characters!$A:$J,10,FALSE)</f>
        <v>PremiumW</v>
      </c>
      <c r="G24" s="7">
        <f>VLOOKUP(D24,[1]characters!$A:$I,9,FALSE)</f>
        <v>3</v>
      </c>
      <c r="H24" s="7" t="str">
        <f>VLOOKUP(D24,[1]characters!$A:$H,8,FALSE)</f>
        <v>yellow</v>
      </c>
      <c r="I24" s="7" t="str">
        <f>VLOOKUP(D24,[1]characters!$A:$K,11,FALSE)</f>
        <v>balance</v>
      </c>
      <c r="J24" s="7" t="str">
        <f>VLOOKUP(D24,[1]characters!$A:$M,13,FALSE)</f>
        <v>human</v>
      </c>
      <c r="K24" s="7" t="str">
        <f>VLOOKUP(D24,[1]characters!$A:$G,7,FALSE)</f>
        <v>女性</v>
      </c>
      <c r="L24" s="66">
        <f>IFERROR(VLOOKUP(D24,input_0!L:R,7,FALSE),VLOOKUP(tables_0!B24,input_0!A:H,8,FALSE))</f>
        <v>0</v>
      </c>
      <c r="M24" s="67">
        <f t="shared" si="0"/>
        <v>0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hidden="1" customHeight="1">
      <c r="A25" s="2">
        <f>input_0!A$2</f>
        <v>3120</v>
      </c>
      <c r="B25" s="7" t="str">
        <f t="shared" si="1"/>
        <v>Premium4</v>
      </c>
      <c r="C25" s="7" t="str">
        <f t="shared" si="2"/>
        <v>Premium</v>
      </c>
      <c r="D25" s="6">
        <v>149</v>
      </c>
      <c r="E25" s="7" t="str">
        <f>VLOOKUP(D25,[1]characters!$A:$C,3,FALSE)</f>
        <v>雷撃蹴技を極めし者 シンデレラ</v>
      </c>
      <c r="F25" s="7" t="str">
        <f>VLOOKUP(D25,[1]characters!$A:$J,10,FALSE)</f>
        <v>PremiumW</v>
      </c>
      <c r="G25" s="7">
        <f>VLOOKUP(D25,[1]characters!$A:$I,9,FALSE)</f>
        <v>4</v>
      </c>
      <c r="H25" s="7" t="str">
        <f>VLOOKUP(D25,[1]characters!$A:$H,8,FALSE)</f>
        <v>yellow</v>
      </c>
      <c r="I25" s="7" t="str">
        <f>VLOOKUP(D25,[1]characters!$A:$K,11,FALSE)</f>
        <v>balance</v>
      </c>
      <c r="J25" s="7" t="str">
        <f>VLOOKUP(D25,[1]characters!$A:$M,13,FALSE)</f>
        <v>human</v>
      </c>
      <c r="K25" s="7" t="str">
        <f>VLOOKUP(D25,[1]characters!$A:$G,7,FALSE)</f>
        <v>女性</v>
      </c>
      <c r="L25" s="66">
        <f>IFERROR(VLOOKUP(D25,input_0!L:R,7,FALSE),VLOOKUP(tables_0!B25,input_0!A:H,8,FALSE))</f>
        <v>640224</v>
      </c>
      <c r="M25" s="67">
        <f t="shared" si="0"/>
        <v>1.2324324324324324E-2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hidden="1" customHeight="1">
      <c r="A26" s="2">
        <f>input_0!A$2</f>
        <v>3120</v>
      </c>
      <c r="B26" s="7" t="str">
        <f t="shared" si="1"/>
        <v>Premium3</v>
      </c>
      <c r="C26" s="7" t="str">
        <f t="shared" si="2"/>
        <v>Premium</v>
      </c>
      <c r="D26" s="6">
        <v>150</v>
      </c>
      <c r="E26" s="7" t="str">
        <f>VLOOKUP(D26,[1]characters!$A:$C,3,FALSE)</f>
        <v>ポイズンマスターサキ</v>
      </c>
      <c r="F26" s="7" t="str">
        <f>VLOOKUP(D26,[1]characters!$A:$J,10,FALSE)</f>
        <v>PremiumW</v>
      </c>
      <c r="G26" s="7">
        <f>VLOOKUP(D26,[1]characters!$A:$I,9,FALSE)</f>
        <v>3</v>
      </c>
      <c r="H26" s="7" t="str">
        <f>VLOOKUP(D26,[1]characters!$A:$H,8,FALSE)</f>
        <v>red</v>
      </c>
      <c r="I26" s="7" t="str">
        <f>VLOOKUP(D26,[1]characters!$A:$K,11,FALSE)</f>
        <v>technical</v>
      </c>
      <c r="J26" s="7" t="str">
        <f>VLOOKUP(D26,[1]characters!$A:$M,13,FALSE)</f>
        <v>human</v>
      </c>
      <c r="K26" s="7" t="str">
        <f>VLOOKUP(D26,[1]characters!$A:$G,7,FALSE)</f>
        <v>女性</v>
      </c>
      <c r="L26" s="66">
        <f>IFERROR(VLOOKUP(D26,input_0!L:R,7,FALSE),VLOOKUP(tables_0!B26,input_0!A:H,8,FALSE))</f>
        <v>0</v>
      </c>
      <c r="M26" s="67">
        <f t="shared" si="0"/>
        <v>0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hidden="1" customHeight="1">
      <c r="A27" s="2">
        <f>input_0!A$2</f>
        <v>3120</v>
      </c>
      <c r="B27" s="7" t="str">
        <f t="shared" si="1"/>
        <v>Premium4</v>
      </c>
      <c r="C27" s="7" t="str">
        <f t="shared" si="2"/>
        <v>Premium</v>
      </c>
      <c r="D27" s="6">
        <v>151</v>
      </c>
      <c r="E27" s="7" t="str">
        <f>VLOOKUP(D27,[1]characters!$A:$C,3,FALSE)</f>
        <v>毒煙の処刑人サキ</v>
      </c>
      <c r="F27" s="7" t="str">
        <f>VLOOKUP(D27,[1]characters!$A:$J,10,FALSE)</f>
        <v>PremiumW</v>
      </c>
      <c r="G27" s="7">
        <f>VLOOKUP(D27,[1]characters!$A:$I,9,FALSE)</f>
        <v>4</v>
      </c>
      <c r="H27" s="7" t="str">
        <f>VLOOKUP(D27,[1]characters!$A:$H,8,FALSE)</f>
        <v>red</v>
      </c>
      <c r="I27" s="7" t="str">
        <f>VLOOKUP(D27,[1]characters!$A:$K,11,FALSE)</f>
        <v>technical</v>
      </c>
      <c r="J27" s="7" t="str">
        <f>VLOOKUP(D27,[1]characters!$A:$M,13,FALSE)</f>
        <v>human</v>
      </c>
      <c r="K27" s="7" t="str">
        <f>VLOOKUP(D27,[1]characters!$A:$G,7,FALSE)</f>
        <v>女性</v>
      </c>
      <c r="L27" s="66">
        <f>IFERROR(VLOOKUP(D27,input_0!L:R,7,FALSE),VLOOKUP(tables_0!B27,input_0!A:H,8,FALSE))</f>
        <v>640224</v>
      </c>
      <c r="M27" s="67">
        <f t="shared" si="0"/>
        <v>1.2324324324324324E-2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hidden="1" customHeight="1">
      <c r="A28" s="2">
        <f>input_0!A$2</f>
        <v>3120</v>
      </c>
      <c r="B28" s="7" t="str">
        <f t="shared" si="1"/>
        <v>Premium3</v>
      </c>
      <c r="C28" s="7" t="str">
        <f t="shared" si="2"/>
        <v>Premium</v>
      </c>
      <c r="D28" s="6">
        <v>152</v>
      </c>
      <c r="E28" s="7" t="str">
        <f>VLOOKUP(D28,[1]characters!$A:$C,3,FALSE)</f>
        <v>功夫少女ランラン</v>
      </c>
      <c r="F28" s="7" t="str">
        <f>VLOOKUP(D28,[1]characters!$A:$J,10,FALSE)</f>
        <v>PremiumW</v>
      </c>
      <c r="G28" s="7">
        <f>VLOOKUP(D28,[1]characters!$A:$I,9,FALSE)</f>
        <v>3</v>
      </c>
      <c r="H28" s="7" t="str">
        <f>VLOOKUP(D28,[1]characters!$A:$H,8,FALSE)</f>
        <v>green</v>
      </c>
      <c r="I28" s="7" t="str">
        <f>VLOOKUP(D28,[1]characters!$A:$K,11,FALSE)</f>
        <v>heal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66">
        <f>IFERROR(VLOOKUP(D28,input_0!L:R,7,FALSE),VLOOKUP(tables_0!B28,input_0!A:H,8,FALSE))</f>
        <v>0</v>
      </c>
      <c r="M28" s="67">
        <f t="shared" si="0"/>
        <v>0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hidden="1" customHeight="1">
      <c r="A29" s="2">
        <f>input_0!A$2</f>
        <v>3120</v>
      </c>
      <c r="B29" s="7" t="str">
        <f t="shared" si="1"/>
        <v>Premium4</v>
      </c>
      <c r="C29" s="7" t="str">
        <f t="shared" si="2"/>
        <v>Premium</v>
      </c>
      <c r="D29" s="6">
        <v>153</v>
      </c>
      <c r="E29" s="7" t="str">
        <f>VLOOKUP(D29,[1]characters!$A:$C,3,FALSE)</f>
        <v>拳聖ランラン</v>
      </c>
      <c r="F29" s="7" t="str">
        <f>VLOOKUP(D29,[1]characters!$A:$J,10,FALSE)</f>
        <v>PremiumW</v>
      </c>
      <c r="G29" s="7">
        <f>VLOOKUP(D29,[1]characters!$A:$I,9,FALSE)</f>
        <v>4</v>
      </c>
      <c r="H29" s="7" t="str">
        <f>VLOOKUP(D29,[1]characters!$A:$H,8,FALSE)</f>
        <v>green</v>
      </c>
      <c r="I29" s="7" t="str">
        <f>VLOOKUP(D29,[1]characters!$A:$K,11,FALSE)</f>
        <v>heal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66">
        <f>IFERROR(VLOOKUP(D29,input_0!L:R,7,FALSE),VLOOKUP(tables_0!B29,input_0!A:H,8,FALSE))</f>
        <v>640224</v>
      </c>
      <c r="M29" s="67">
        <f t="shared" si="0"/>
        <v>1.2324324324324324E-2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hidden="1" customHeight="1">
      <c r="A30" s="2">
        <f>input_0!A$2</f>
        <v>3120</v>
      </c>
      <c r="B30" s="7" t="str">
        <f t="shared" si="1"/>
        <v>Premium3</v>
      </c>
      <c r="C30" s="7" t="str">
        <f t="shared" si="2"/>
        <v>Premium</v>
      </c>
      <c r="D30" s="6">
        <v>154</v>
      </c>
      <c r="E30" s="7" t="str">
        <f>VLOOKUP(D30,[1]characters!$A:$C,3,FALSE)</f>
        <v>始末屋 ハンナ</v>
      </c>
      <c r="F30" s="7" t="str">
        <f>VLOOKUP(D30,[1]characters!$A:$J,10,FALSE)</f>
        <v>PremiumW</v>
      </c>
      <c r="G30" s="7">
        <f>VLOOKUP(D30,[1]characters!$A:$I,9,FALSE)</f>
        <v>3</v>
      </c>
      <c r="H30" s="7" t="str">
        <f>VLOOKUP(D30,[1]characters!$A:$H,8,FALSE)</f>
        <v>blue</v>
      </c>
      <c r="I30" s="7" t="str">
        <f>VLOOKUP(D30,[1]characters!$A:$K,11,FALSE)</f>
        <v>heal</v>
      </c>
      <c r="J30" s="7" t="str">
        <f>VLOOKUP(D30,[1]characters!$A:$M,13,FALSE)</f>
        <v>human</v>
      </c>
      <c r="K30" s="7" t="str">
        <f>VLOOKUP(D30,[1]characters!$A:$G,7,FALSE)</f>
        <v>女性</v>
      </c>
      <c r="L30" s="66">
        <f>IFERROR(VLOOKUP(D30,input_0!L:R,7,FALSE),VLOOKUP(tables_0!B30,input_0!A:H,8,FALSE))</f>
        <v>0</v>
      </c>
      <c r="M30" s="67">
        <f t="shared" si="0"/>
        <v>0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hidden="1" customHeight="1">
      <c r="A31" s="2">
        <f>input_0!A$2</f>
        <v>3120</v>
      </c>
      <c r="B31" s="7" t="str">
        <f t="shared" si="1"/>
        <v>Premium4</v>
      </c>
      <c r="C31" s="7" t="str">
        <f t="shared" si="2"/>
        <v>Premium</v>
      </c>
      <c r="D31" s="6">
        <v>155</v>
      </c>
      <c r="E31" s="7" t="str">
        <f>VLOOKUP(D31,[1]characters!$A:$C,3,FALSE)</f>
        <v>隻眼の掃除屋 ハンナ</v>
      </c>
      <c r="F31" s="7" t="str">
        <f>VLOOKUP(D31,[1]characters!$A:$J,10,FALSE)</f>
        <v>PremiumW</v>
      </c>
      <c r="G31" s="7">
        <f>VLOOKUP(D31,[1]characters!$A:$I,9,FALSE)</f>
        <v>4</v>
      </c>
      <c r="H31" s="7" t="str">
        <f>VLOOKUP(D31,[1]characters!$A:$H,8,FALSE)</f>
        <v>blue</v>
      </c>
      <c r="I31" s="7" t="str">
        <f>VLOOKUP(D31,[1]characters!$A:$K,11,FALSE)</f>
        <v>heal</v>
      </c>
      <c r="J31" s="7" t="str">
        <f>VLOOKUP(D31,[1]characters!$A:$M,13,FALSE)</f>
        <v>human</v>
      </c>
      <c r="K31" s="7" t="str">
        <f>VLOOKUP(D31,[1]characters!$A:$G,7,FALSE)</f>
        <v>女性</v>
      </c>
      <c r="L31" s="66">
        <f>IFERROR(VLOOKUP(D31,input_0!L:R,7,FALSE),VLOOKUP(tables_0!B31,input_0!A:H,8,FALSE))</f>
        <v>640224</v>
      </c>
      <c r="M31" s="67">
        <f t="shared" si="0"/>
        <v>1.2324324324324324E-2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hidden="1" customHeight="1">
      <c r="A32" s="2">
        <f>input_0!A$2</f>
        <v>3120</v>
      </c>
      <c r="B32" s="7" t="str">
        <f t="shared" si="1"/>
        <v>Premium3</v>
      </c>
      <c r="C32" s="7" t="str">
        <f t="shared" si="2"/>
        <v>Premium</v>
      </c>
      <c r="D32" s="6">
        <v>156</v>
      </c>
      <c r="E32" s="7" t="str">
        <f>VLOOKUP(D32,[1]characters!$A:$C,3,FALSE)</f>
        <v>踊り子 エレナ</v>
      </c>
      <c r="F32" s="7" t="str">
        <f>VLOOKUP(D32,[1]characters!$A:$J,10,FALSE)</f>
        <v>PremiumW</v>
      </c>
      <c r="G32" s="7">
        <f>VLOOKUP(D32,[1]characters!$A:$I,9,FALSE)</f>
        <v>3</v>
      </c>
      <c r="H32" s="7" t="str">
        <f>VLOOKUP(D32,[1]characters!$A:$H,8,FALSE)</f>
        <v>yellow</v>
      </c>
      <c r="I32" s="7" t="str">
        <f>VLOOKUP(D32,[1]characters!$A:$K,11,FALSE)</f>
        <v>heal</v>
      </c>
      <c r="J32" s="7" t="str">
        <f>VLOOKUP(D32,[1]characters!$A:$M,13,FALSE)</f>
        <v>human</v>
      </c>
      <c r="K32" s="7" t="str">
        <f>VLOOKUP(D32,[1]characters!$A:$G,7,FALSE)</f>
        <v>女性</v>
      </c>
      <c r="L32" s="66">
        <f>IFERROR(VLOOKUP(D32,input_0!L:R,7,FALSE),VLOOKUP(tables_0!B32,input_0!A:H,8,FALSE))</f>
        <v>0</v>
      </c>
      <c r="M32" s="67">
        <f t="shared" si="0"/>
        <v>0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hidden="1" customHeight="1">
      <c r="A33" s="2">
        <f>input_0!A$2</f>
        <v>3120</v>
      </c>
      <c r="B33" s="7" t="str">
        <f t="shared" si="1"/>
        <v>Premium4</v>
      </c>
      <c r="C33" s="7" t="str">
        <f t="shared" si="2"/>
        <v>Premium</v>
      </c>
      <c r="D33" s="6">
        <v>157</v>
      </c>
      <c r="E33" s="7" t="str">
        <f>VLOOKUP(D33,[1]characters!$A:$C,3,FALSE)</f>
        <v>雷光舞姫 エレナ</v>
      </c>
      <c r="F33" s="7" t="str">
        <f>VLOOKUP(D33,[1]characters!$A:$J,10,FALSE)</f>
        <v>PremiumW</v>
      </c>
      <c r="G33" s="7">
        <f>VLOOKUP(D33,[1]characters!$A:$I,9,FALSE)</f>
        <v>4</v>
      </c>
      <c r="H33" s="7" t="str">
        <f>VLOOKUP(D33,[1]characters!$A:$H,8,FALSE)</f>
        <v>yellow</v>
      </c>
      <c r="I33" s="7" t="str">
        <f>VLOOKUP(D33,[1]characters!$A:$K,11,FALSE)</f>
        <v>heal</v>
      </c>
      <c r="J33" s="7" t="str">
        <f>VLOOKUP(D33,[1]characters!$A:$M,13,FALSE)</f>
        <v>human</v>
      </c>
      <c r="K33" s="7" t="str">
        <f>VLOOKUP(D33,[1]characters!$A:$G,7,FALSE)</f>
        <v>女性</v>
      </c>
      <c r="L33" s="66">
        <f>IFERROR(VLOOKUP(D33,input_0!L:R,7,FALSE),VLOOKUP(tables_0!B33,input_0!A:H,8,FALSE))</f>
        <v>640224</v>
      </c>
      <c r="M33" s="67">
        <f t="shared" si="0"/>
        <v>1.2324324324324324E-2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hidden="1" customHeight="1">
      <c r="A34" s="2">
        <f>input_0!A$2</f>
        <v>3120</v>
      </c>
      <c r="B34" s="7" t="str">
        <f t="shared" si="1"/>
        <v>Premium3</v>
      </c>
      <c r="C34" s="7" t="str">
        <f t="shared" si="2"/>
        <v>Premium</v>
      </c>
      <c r="D34" s="6">
        <v>158</v>
      </c>
      <c r="E34" s="7" t="str">
        <f>VLOOKUP(D34,[1]characters!$A:$C,3,FALSE)</f>
        <v>シスター シャルロッテ</v>
      </c>
      <c r="F34" s="7" t="str">
        <f>VLOOKUP(D34,[1]characters!$A:$J,10,FALSE)</f>
        <v>PremiumW</v>
      </c>
      <c r="G34" s="7">
        <f>VLOOKUP(D34,[1]characters!$A:$I,9,FALSE)</f>
        <v>3</v>
      </c>
      <c r="H34" s="7" t="str">
        <f>VLOOKUP(D34,[1]characters!$A:$H,8,FALSE)</f>
        <v>red</v>
      </c>
      <c r="I34" s="7" t="str">
        <f>VLOOKUP(D34,[1]characters!$A:$K,11,FALSE)</f>
        <v>heal</v>
      </c>
      <c r="J34" s="7" t="str">
        <f>VLOOKUP(D34,[1]characters!$A:$M,13,FALSE)</f>
        <v>human</v>
      </c>
      <c r="K34" s="7" t="str">
        <f>VLOOKUP(D34,[1]characters!$A:$G,7,FALSE)</f>
        <v>女性</v>
      </c>
      <c r="L34" s="66">
        <f>IFERROR(VLOOKUP(D34,input_0!L:R,7,FALSE),VLOOKUP(tables_0!B34,input_0!A:H,8,FALSE))</f>
        <v>0</v>
      </c>
      <c r="M34" s="67">
        <f t="shared" si="0"/>
        <v>0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hidden="1" customHeight="1">
      <c r="A35" s="2">
        <f>input_0!A$2</f>
        <v>3120</v>
      </c>
      <c r="B35" s="7" t="str">
        <f t="shared" si="1"/>
        <v>Premium4</v>
      </c>
      <c r="C35" s="7" t="str">
        <f t="shared" si="2"/>
        <v>Premium</v>
      </c>
      <c r="D35" s="6">
        <v>159</v>
      </c>
      <c r="E35" s="7" t="str">
        <f>VLOOKUP(D35,[1]characters!$A:$C,3,FALSE)</f>
        <v>邪を狩りし者 シャルロッテ</v>
      </c>
      <c r="F35" s="7" t="str">
        <f>VLOOKUP(D35,[1]characters!$A:$J,10,FALSE)</f>
        <v>PremiumW</v>
      </c>
      <c r="G35" s="7">
        <f>VLOOKUP(D35,[1]characters!$A:$I,9,FALSE)</f>
        <v>4</v>
      </c>
      <c r="H35" s="7" t="str">
        <f>VLOOKUP(D35,[1]characters!$A:$H,8,FALSE)</f>
        <v>red</v>
      </c>
      <c r="I35" s="7" t="str">
        <f>VLOOKUP(D35,[1]characters!$A:$K,11,FALSE)</f>
        <v>heal</v>
      </c>
      <c r="J35" s="7" t="str">
        <f>VLOOKUP(D35,[1]characters!$A:$M,13,FALSE)</f>
        <v>human</v>
      </c>
      <c r="K35" s="7" t="str">
        <f>VLOOKUP(D35,[1]characters!$A:$G,7,FALSE)</f>
        <v>女性</v>
      </c>
      <c r="L35" s="66">
        <f>IFERROR(VLOOKUP(D35,input_0!L:R,7,FALSE),VLOOKUP(tables_0!B35,input_0!A:H,8,FALSE))</f>
        <v>640224</v>
      </c>
      <c r="M35" s="67">
        <f t="shared" si="0"/>
        <v>1.2324324324324324E-2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hidden="1" customHeight="1">
      <c r="A36" s="2">
        <f>input_0!A$2</f>
        <v>3120</v>
      </c>
      <c r="B36" s="7" t="str">
        <f t="shared" si="1"/>
        <v>Premium3</v>
      </c>
      <c r="C36" s="7" t="str">
        <f t="shared" si="2"/>
        <v>Premium</v>
      </c>
      <c r="D36" s="6">
        <v>160</v>
      </c>
      <c r="E36" s="7" t="str">
        <f>VLOOKUP(D36,[1]characters!$A:$C,3,FALSE)</f>
        <v>反逆者 クリエ</v>
      </c>
      <c r="F36" s="7" t="str">
        <f>VLOOKUP(D36,[1]characters!$A:$J,10,FALSE)</f>
        <v>PremiumW</v>
      </c>
      <c r="G36" s="7">
        <f>VLOOKUP(D36,[1]characters!$A:$I,9,FALSE)</f>
        <v>3</v>
      </c>
      <c r="H36" s="7" t="str">
        <f>VLOOKUP(D36,[1]characters!$A:$H,8,FALSE)</f>
        <v>green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66">
        <f>IFERROR(VLOOKUP(D36,input_0!L:R,7,FALSE),VLOOKUP(tables_0!B36,input_0!A:H,8,FALSE))</f>
        <v>0</v>
      </c>
      <c r="M36" s="67">
        <f t="shared" si="0"/>
        <v>0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hidden="1" customHeight="1">
      <c r="A37" s="2">
        <f>input_0!A$2</f>
        <v>3120</v>
      </c>
      <c r="B37" s="7" t="str">
        <f t="shared" si="1"/>
        <v>Premium4</v>
      </c>
      <c r="C37" s="7" t="str">
        <f t="shared" si="2"/>
        <v>Premium</v>
      </c>
      <c r="D37" s="6">
        <v>161</v>
      </c>
      <c r="E37" s="7" t="str">
        <f>VLOOKUP(D37,[1]characters!$A:$C,3,FALSE)</f>
        <v>咆哮の先導者 クリエ</v>
      </c>
      <c r="F37" s="7" t="str">
        <f>VLOOKUP(D37,[1]characters!$A:$J,10,FALSE)</f>
        <v>PremiumW</v>
      </c>
      <c r="G37" s="7">
        <f>VLOOKUP(D37,[1]characters!$A:$I,9,FALSE)</f>
        <v>4</v>
      </c>
      <c r="H37" s="7" t="str">
        <f>VLOOKUP(D37,[1]characters!$A:$H,8,FALSE)</f>
        <v>green</v>
      </c>
      <c r="I37" s="7" t="str">
        <f>VLOOKUP(D37,[1]characters!$A:$K,11,FALSE)</f>
        <v>balance</v>
      </c>
      <c r="J37" s="7" t="str">
        <f>VLOOKUP(D37,[1]characters!$A:$M,13,FALSE)</f>
        <v>human</v>
      </c>
      <c r="K37" s="7" t="str">
        <f>VLOOKUP(D37,[1]characters!$A:$G,7,FALSE)</f>
        <v>女性</v>
      </c>
      <c r="L37" s="66">
        <f>IFERROR(VLOOKUP(D37,input_0!L:R,7,FALSE),VLOOKUP(tables_0!B37,input_0!A:H,8,FALSE))</f>
        <v>640224</v>
      </c>
      <c r="M37" s="67">
        <f t="shared" si="0"/>
        <v>1.2324324324324324E-2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hidden="1" customHeight="1">
      <c r="A38" s="2">
        <f>input_0!A$2</f>
        <v>3120</v>
      </c>
      <c r="B38" s="7" t="str">
        <f t="shared" si="1"/>
        <v>Premium3</v>
      </c>
      <c r="C38" s="7" t="str">
        <f t="shared" si="2"/>
        <v>Premium</v>
      </c>
      <c r="D38" s="6">
        <v>162</v>
      </c>
      <c r="E38" s="7" t="str">
        <f>VLOOKUP(D38,[1]characters!$A:$C,3,FALSE)</f>
        <v>狂女 クララ</v>
      </c>
      <c r="F38" s="7" t="str">
        <f>VLOOKUP(D38,[1]characters!$A:$J,10,FALSE)</f>
        <v>PremiumW</v>
      </c>
      <c r="G38" s="7">
        <f>VLOOKUP(D38,[1]characters!$A:$I,9,FALSE)</f>
        <v>3</v>
      </c>
      <c r="H38" s="7" t="str">
        <f>VLOOKUP(D38,[1]characters!$A:$H,8,FALSE)</f>
        <v>blue</v>
      </c>
      <c r="I38" s="7" t="str">
        <f>VLOOKUP(D38,[1]characters!$A:$K,11,FALSE)</f>
        <v>attack</v>
      </c>
      <c r="J38" s="7" t="str">
        <f>VLOOKUP(D38,[1]characters!$A:$M,13,FALSE)</f>
        <v>human</v>
      </c>
      <c r="K38" s="7" t="str">
        <f>VLOOKUP(D38,[1]characters!$A:$G,7,FALSE)</f>
        <v>女性</v>
      </c>
      <c r="L38" s="66">
        <f>IFERROR(VLOOKUP(D38,input_0!L:R,7,FALSE),VLOOKUP(tables_0!B38,input_0!A:H,8,FALSE))</f>
        <v>0</v>
      </c>
      <c r="M38" s="67">
        <f t="shared" si="0"/>
        <v>0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hidden="1" customHeight="1">
      <c r="A39" s="2">
        <f>input_0!A$2</f>
        <v>3120</v>
      </c>
      <c r="B39" s="7" t="str">
        <f t="shared" si="1"/>
        <v>Premium4</v>
      </c>
      <c r="C39" s="7" t="str">
        <f t="shared" si="2"/>
        <v>Premium</v>
      </c>
      <c r="D39" s="6">
        <v>163</v>
      </c>
      <c r="E39" s="7" t="str">
        <f>VLOOKUP(D39,[1]characters!$A:$C,3,FALSE)</f>
        <v>冷酷な狂嬢 クララ</v>
      </c>
      <c r="F39" s="7" t="str">
        <f>VLOOKUP(D39,[1]characters!$A:$J,10,FALSE)</f>
        <v>PremiumW</v>
      </c>
      <c r="G39" s="7">
        <f>VLOOKUP(D39,[1]characters!$A:$I,9,FALSE)</f>
        <v>4</v>
      </c>
      <c r="H39" s="7" t="str">
        <f>VLOOKUP(D39,[1]characters!$A:$H,8,FALSE)</f>
        <v>blue</v>
      </c>
      <c r="I39" s="7" t="str">
        <f>VLOOKUP(D39,[1]characters!$A:$K,11,FALSE)</f>
        <v>attack</v>
      </c>
      <c r="J39" s="7" t="str">
        <f>VLOOKUP(D39,[1]characters!$A:$M,13,FALSE)</f>
        <v>human</v>
      </c>
      <c r="K39" s="7" t="str">
        <f>VLOOKUP(D39,[1]characters!$A:$G,7,FALSE)</f>
        <v>女性</v>
      </c>
      <c r="L39" s="66">
        <f>IFERROR(VLOOKUP(D39,input_0!L:R,7,FALSE),VLOOKUP(tables_0!B39,input_0!A:H,8,FALSE))</f>
        <v>640224</v>
      </c>
      <c r="M39" s="67">
        <f t="shared" si="0"/>
        <v>1.2324324324324324E-2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hidden="1" customHeight="1">
      <c r="A40" s="2">
        <f>input_0!A$2</f>
        <v>3120</v>
      </c>
      <c r="B40" s="7" t="str">
        <f t="shared" si="1"/>
        <v>Premium3</v>
      </c>
      <c r="C40" s="7" t="str">
        <f t="shared" si="2"/>
        <v>Premium</v>
      </c>
      <c r="D40" s="6">
        <v>164</v>
      </c>
      <c r="E40" s="7" t="str">
        <f>VLOOKUP(D40,[1]characters!$A:$C,3,FALSE)</f>
        <v>イブとトモダチ</v>
      </c>
      <c r="F40" s="7" t="str">
        <f>VLOOKUP(D40,[1]characters!$A:$J,10,FALSE)</f>
        <v>PremiumW</v>
      </c>
      <c r="G40" s="7">
        <f>VLOOKUP(D40,[1]characters!$A:$I,9,FALSE)</f>
        <v>3</v>
      </c>
      <c r="H40" s="7" t="str">
        <f>VLOOKUP(D40,[1]characters!$A:$H,8,FALSE)</f>
        <v>yellow</v>
      </c>
      <c r="I40" s="7" t="str">
        <f>VLOOKUP(D40,[1]characters!$A:$K,11,FALSE)</f>
        <v>technical</v>
      </c>
      <c r="J40" s="7" t="str">
        <f>VLOOKUP(D40,[1]characters!$A:$M,13,FALSE)</f>
        <v>human</v>
      </c>
      <c r="K40" s="7" t="str">
        <f>VLOOKUP(D40,[1]characters!$A:$G,7,FALSE)</f>
        <v>女性</v>
      </c>
      <c r="L40" s="66">
        <f>IFERROR(VLOOKUP(D40,input_0!L:R,7,FALSE),VLOOKUP(tables_0!B40,input_0!A:H,8,FALSE))</f>
        <v>0</v>
      </c>
      <c r="M40" s="67">
        <f t="shared" si="0"/>
        <v>0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hidden="1" customHeight="1">
      <c r="A41" s="2">
        <f>input_0!A$2</f>
        <v>3120</v>
      </c>
      <c r="B41" s="7" t="str">
        <f t="shared" si="1"/>
        <v>Premium4</v>
      </c>
      <c r="C41" s="7" t="str">
        <f t="shared" si="2"/>
        <v>Premium</v>
      </c>
      <c r="D41" s="6">
        <v>165</v>
      </c>
      <c r="E41" s="7" t="str">
        <f>VLOOKUP(D41,[1]characters!$A:$C,3,FALSE)</f>
        <v>イブとたったひとりのトモダチ</v>
      </c>
      <c r="F41" s="7" t="str">
        <f>VLOOKUP(D41,[1]characters!$A:$J,10,FALSE)</f>
        <v>PremiumW</v>
      </c>
      <c r="G41" s="7">
        <f>VLOOKUP(D41,[1]characters!$A:$I,9,FALSE)</f>
        <v>4</v>
      </c>
      <c r="H41" s="7" t="str">
        <f>VLOOKUP(D41,[1]characters!$A:$H,8,FALSE)</f>
        <v>yellow</v>
      </c>
      <c r="I41" s="7" t="str">
        <f>VLOOKUP(D41,[1]characters!$A:$K,11,FALSE)</f>
        <v>technical</v>
      </c>
      <c r="J41" s="7" t="str">
        <f>VLOOKUP(D41,[1]characters!$A:$M,13,FALSE)</f>
        <v>human</v>
      </c>
      <c r="K41" s="7" t="str">
        <f>VLOOKUP(D41,[1]characters!$A:$G,7,FALSE)</f>
        <v>女性</v>
      </c>
      <c r="L41" s="66">
        <f>IFERROR(VLOOKUP(D41,input_0!L:R,7,FALSE),VLOOKUP(tables_0!B41,input_0!A:H,8,FALSE))</f>
        <v>640224</v>
      </c>
      <c r="M41" s="67">
        <f t="shared" si="0"/>
        <v>1.2324324324324324E-2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hidden="1" customHeight="1">
      <c r="A42" s="2">
        <f>input_0!A$2</f>
        <v>3120</v>
      </c>
      <c r="B42" s="7" t="str">
        <f t="shared" si="1"/>
        <v>Premium3</v>
      </c>
      <c r="C42" s="7" t="str">
        <f t="shared" si="2"/>
        <v>Premium</v>
      </c>
      <c r="D42" s="6">
        <v>166</v>
      </c>
      <c r="E42" s="7" t="str">
        <f>VLOOKUP(D42,[1]characters!$A:$C,3,FALSE)</f>
        <v>ベリアル</v>
      </c>
      <c r="F42" s="7" t="str">
        <f>VLOOKUP(D42,[1]characters!$A:$J,10,FALSE)</f>
        <v>PremiumN</v>
      </c>
      <c r="G42" s="7">
        <f>VLOOKUP(D42,[1]characters!$A:$I,9,FALSE)</f>
        <v>3</v>
      </c>
      <c r="H42" s="7" t="str">
        <f>VLOOKUP(D42,[1]characters!$A:$H,8,FALSE)</f>
        <v>red</v>
      </c>
      <c r="I42" s="7" t="str">
        <f>VLOOKUP(D42,[1]characters!$A:$K,11,FALSE)</f>
        <v>attack</v>
      </c>
      <c r="J42" s="7" t="str">
        <f>VLOOKUP(D42,[1]characters!$A:$M,13,FALSE)</f>
        <v>god</v>
      </c>
      <c r="K42" s="7" t="str">
        <f>VLOOKUP(D42,[1]characters!$A:$G,7,FALSE)</f>
        <v>男性</v>
      </c>
      <c r="L42" s="66">
        <f>IFERROR(VLOOKUP(D42,input_0!L:R,7,FALSE),VLOOKUP(tables_0!B42,input_0!A:H,8,FALSE))</f>
        <v>0</v>
      </c>
      <c r="M42" s="67">
        <f t="shared" si="0"/>
        <v>0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hidden="1" customHeight="1">
      <c r="A43" s="2">
        <f>input_0!A$2</f>
        <v>3120</v>
      </c>
      <c r="B43" s="7" t="str">
        <f t="shared" si="1"/>
        <v>Premium4</v>
      </c>
      <c r="C43" s="7" t="str">
        <f t="shared" si="2"/>
        <v>Premium</v>
      </c>
      <c r="D43" s="6">
        <v>167</v>
      </c>
      <c r="E43" s="7" t="str">
        <f>VLOOKUP(D43,[1]characters!$A:$C,3,FALSE)</f>
        <v>逆徒 ベリアル</v>
      </c>
      <c r="F43" s="7" t="str">
        <f>VLOOKUP(D43,[1]characters!$A:$J,10,FALSE)</f>
        <v>PremiumN</v>
      </c>
      <c r="G43" s="7">
        <f>VLOOKUP(D43,[1]characters!$A:$I,9,FALSE)</f>
        <v>4</v>
      </c>
      <c r="H43" s="7" t="str">
        <f>VLOOKUP(D43,[1]characters!$A:$H,8,FALSE)</f>
        <v>red</v>
      </c>
      <c r="I43" s="7" t="str">
        <f>VLOOKUP(D43,[1]characters!$A:$K,11,FALSE)</f>
        <v>attack</v>
      </c>
      <c r="J43" s="7" t="str">
        <f>VLOOKUP(D43,[1]characters!$A:$M,13,FALSE)</f>
        <v>god</v>
      </c>
      <c r="K43" s="7" t="str">
        <f>VLOOKUP(D43,[1]characters!$A:$G,7,FALSE)</f>
        <v>男性</v>
      </c>
      <c r="L43" s="66">
        <f>IFERROR(VLOOKUP(D43,input_0!L:R,7,FALSE),VLOOKUP(tables_0!B43,input_0!A:H,8,FALSE))</f>
        <v>640224</v>
      </c>
      <c r="M43" s="67">
        <f t="shared" si="0"/>
        <v>1.2324324324324324E-2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hidden="1" customHeight="1">
      <c r="A44" s="2">
        <f>input_0!A$2</f>
        <v>3120</v>
      </c>
      <c r="B44" s="7" t="str">
        <f t="shared" si="1"/>
        <v>Premium5</v>
      </c>
      <c r="C44" s="7" t="str">
        <f t="shared" si="2"/>
        <v>Premium</v>
      </c>
      <c r="D44" s="6">
        <v>168</v>
      </c>
      <c r="E44" s="7" t="str">
        <f>VLOOKUP(D44,[1]characters!$A:$C,3,FALSE)</f>
        <v>猛進の大逆者 ベリアル</v>
      </c>
      <c r="F44" s="7" t="str">
        <f>VLOOKUP(D44,[1]characters!$A:$J,10,FALSE)</f>
        <v>PremiumN</v>
      </c>
      <c r="G44" s="7">
        <f>VLOOKUP(D44,[1]characters!$A:$I,9,FALSE)</f>
        <v>5</v>
      </c>
      <c r="H44" s="7" t="str">
        <f>VLOOKUP(D44,[1]characters!$A:$H,8,FALSE)</f>
        <v>red</v>
      </c>
      <c r="I44" s="7" t="str">
        <f>VLOOKUP(D44,[1]characters!$A:$K,11,FALSE)</f>
        <v>attack</v>
      </c>
      <c r="J44" s="7" t="str">
        <f>VLOOKUP(D44,[1]characters!$A:$M,13,FALSE)</f>
        <v>god</v>
      </c>
      <c r="K44" s="7" t="str">
        <f>VLOOKUP(D44,[1]characters!$A:$G,7,FALSE)</f>
        <v>男性</v>
      </c>
      <c r="L44" s="66">
        <f>IFERROR(VLOOKUP(D44,input_0!L:R,7,FALSE),VLOOKUP(tables_0!B44,input_0!A:H,8,FALSE))</f>
        <v>46176</v>
      </c>
      <c r="M44" s="67">
        <f t="shared" si="0"/>
        <v>8.8888888888888893E-4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hidden="1" customHeight="1">
      <c r="A45" s="2">
        <f>input_0!A$2</f>
        <v>3120</v>
      </c>
      <c r="B45" s="7" t="str">
        <f t="shared" si="1"/>
        <v>Premium3</v>
      </c>
      <c r="C45" s="7" t="str">
        <f t="shared" si="2"/>
        <v>Premium</v>
      </c>
      <c r="D45" s="6">
        <v>169</v>
      </c>
      <c r="E45" s="7" t="str">
        <f>VLOOKUP(D45,[1]characters!$A:$C,3,FALSE)</f>
        <v>オセ</v>
      </c>
      <c r="F45" s="7" t="str">
        <f>VLOOKUP(D45,[1]characters!$A:$J,10,FALSE)</f>
        <v>PremiumN</v>
      </c>
      <c r="G45" s="7">
        <f>VLOOKUP(D45,[1]characters!$A:$I,9,FALSE)</f>
        <v>3</v>
      </c>
      <c r="H45" s="7" t="str">
        <f>VLOOKUP(D45,[1]characters!$A:$H,8,FALSE)</f>
        <v>green</v>
      </c>
      <c r="I45" s="7" t="str">
        <f>VLOOKUP(D45,[1]characters!$A:$K,11,FALSE)</f>
        <v>attack</v>
      </c>
      <c r="J45" s="7" t="str">
        <f>VLOOKUP(D45,[1]characters!$A:$M,13,FALSE)</f>
        <v>god</v>
      </c>
      <c r="K45" s="7" t="str">
        <f>VLOOKUP(D45,[1]characters!$A:$G,7,FALSE)</f>
        <v>女性</v>
      </c>
      <c r="L45" s="66">
        <f>IFERROR(VLOOKUP(D45,input_0!L:R,7,FALSE),VLOOKUP(tables_0!B45,input_0!A:H,8,FALSE))</f>
        <v>0</v>
      </c>
      <c r="M45" s="67">
        <f t="shared" si="0"/>
        <v>0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hidden="1" customHeight="1">
      <c r="A46" s="2">
        <f>input_0!A$2</f>
        <v>3120</v>
      </c>
      <c r="B46" s="7" t="str">
        <f t="shared" si="1"/>
        <v>Premium4</v>
      </c>
      <c r="C46" s="7" t="str">
        <f t="shared" si="2"/>
        <v>Premium</v>
      </c>
      <c r="D46" s="6">
        <v>170</v>
      </c>
      <c r="E46" s="7" t="str">
        <f>VLOOKUP(D46,[1]characters!$A:$C,3,FALSE)</f>
        <v>識徒 オセ</v>
      </c>
      <c r="F46" s="7" t="str">
        <f>VLOOKUP(D46,[1]characters!$A:$J,10,FALSE)</f>
        <v>PremiumN</v>
      </c>
      <c r="G46" s="7">
        <f>VLOOKUP(D46,[1]characters!$A:$I,9,FALSE)</f>
        <v>4</v>
      </c>
      <c r="H46" s="7" t="str">
        <f>VLOOKUP(D46,[1]characters!$A:$H,8,FALSE)</f>
        <v>green</v>
      </c>
      <c r="I46" s="7" t="str">
        <f>VLOOKUP(D46,[1]characters!$A:$K,11,FALSE)</f>
        <v>attack</v>
      </c>
      <c r="J46" s="7" t="str">
        <f>VLOOKUP(D46,[1]characters!$A:$M,13,FALSE)</f>
        <v>god</v>
      </c>
      <c r="K46" s="7" t="str">
        <f>VLOOKUP(D46,[1]characters!$A:$G,7,FALSE)</f>
        <v>女性</v>
      </c>
      <c r="L46" s="66">
        <f>IFERROR(VLOOKUP(D46,input_0!L:R,7,FALSE),VLOOKUP(tables_0!B46,input_0!A:H,8,FALSE))</f>
        <v>640224</v>
      </c>
      <c r="M46" s="67">
        <f t="shared" si="0"/>
        <v>1.2324324324324324E-2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hidden="1" customHeight="1">
      <c r="A47" s="2">
        <f>input_0!A$2</f>
        <v>3120</v>
      </c>
      <c r="B47" s="7" t="str">
        <f t="shared" si="1"/>
        <v>Premium5</v>
      </c>
      <c r="C47" s="7" t="str">
        <f t="shared" si="2"/>
        <v>Premium</v>
      </c>
      <c r="D47" s="6">
        <v>171</v>
      </c>
      <c r="E47" s="7" t="str">
        <f>VLOOKUP(D47,[1]characters!$A:$C,3,FALSE)</f>
        <v>精解の預知者 オセ</v>
      </c>
      <c r="F47" s="7" t="str">
        <f>VLOOKUP(D47,[1]characters!$A:$J,10,FALSE)</f>
        <v>PremiumN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attack</v>
      </c>
      <c r="J47" s="7" t="str">
        <f>VLOOKUP(D47,[1]characters!$A:$M,13,FALSE)</f>
        <v>god</v>
      </c>
      <c r="K47" s="7" t="str">
        <f>VLOOKUP(D47,[1]characters!$A:$G,7,FALSE)</f>
        <v>女性</v>
      </c>
      <c r="L47" s="66">
        <f>IFERROR(VLOOKUP(D47,input_0!L:R,7,FALSE),VLOOKUP(tables_0!B47,input_0!A:H,8,FALSE))</f>
        <v>46176</v>
      </c>
      <c r="M47" s="67">
        <f t="shared" si="0"/>
        <v>8.8888888888888893E-4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hidden="1" customHeight="1">
      <c r="A48" s="2">
        <f>input_0!A$2</f>
        <v>3120</v>
      </c>
      <c r="B48" s="7" t="str">
        <f t="shared" si="1"/>
        <v>Premium3</v>
      </c>
      <c r="C48" s="7" t="str">
        <f t="shared" si="2"/>
        <v>Premium</v>
      </c>
      <c r="D48" s="6">
        <v>172</v>
      </c>
      <c r="E48" s="7" t="str">
        <f>VLOOKUP(D48,[1]characters!$A:$C,3,FALSE)</f>
        <v>フォルネウス</v>
      </c>
      <c r="F48" s="7" t="str">
        <f>VLOOKUP(D48,[1]characters!$A:$J,10,FALSE)</f>
        <v>PremiumN</v>
      </c>
      <c r="G48" s="7">
        <f>VLOOKUP(D48,[1]characters!$A:$I,9,FALSE)</f>
        <v>3</v>
      </c>
      <c r="H48" s="7" t="str">
        <f>VLOOKUP(D48,[1]characters!$A:$H,8,FALSE)</f>
        <v>blue</v>
      </c>
      <c r="I48" s="7" t="str">
        <f>VLOOKUP(D48,[1]characters!$A:$K,11,FALSE)</f>
        <v>attack</v>
      </c>
      <c r="J48" s="7" t="str">
        <f>VLOOKUP(D48,[1]characters!$A:$M,13,FALSE)</f>
        <v>god</v>
      </c>
      <c r="K48" s="7" t="str">
        <f>VLOOKUP(D48,[1]characters!$A:$G,7,FALSE)</f>
        <v>女性</v>
      </c>
      <c r="L48" s="66">
        <f>IFERROR(VLOOKUP(D48,input_0!L:R,7,FALSE),VLOOKUP(tables_0!B48,input_0!A:H,8,FALSE))</f>
        <v>0</v>
      </c>
      <c r="M48" s="67">
        <f t="shared" si="0"/>
        <v>0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hidden="1" customHeight="1">
      <c r="A49" s="2">
        <f>input_0!A$2</f>
        <v>3120</v>
      </c>
      <c r="B49" s="7" t="str">
        <f t="shared" si="1"/>
        <v>Premium4</v>
      </c>
      <c r="C49" s="7" t="str">
        <f t="shared" si="2"/>
        <v>Premium</v>
      </c>
      <c r="D49" s="6">
        <v>173</v>
      </c>
      <c r="E49" s="7" t="str">
        <f>VLOOKUP(D49,[1]characters!$A:$C,3,FALSE)</f>
        <v>公爵 フォルネウス</v>
      </c>
      <c r="F49" s="7" t="str">
        <f>VLOOKUP(D49,[1]characters!$A:$J,10,FALSE)</f>
        <v>PremiumN</v>
      </c>
      <c r="G49" s="7">
        <f>VLOOKUP(D49,[1]characters!$A:$I,9,FALSE)</f>
        <v>4</v>
      </c>
      <c r="H49" s="7" t="str">
        <f>VLOOKUP(D49,[1]characters!$A:$H,8,FALSE)</f>
        <v>blue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女性</v>
      </c>
      <c r="L49" s="66">
        <f>IFERROR(VLOOKUP(D49,input_0!L:R,7,FALSE),VLOOKUP(tables_0!B49,input_0!A:H,8,FALSE))</f>
        <v>640224</v>
      </c>
      <c r="M49" s="67">
        <f t="shared" si="0"/>
        <v>1.2324324324324324E-2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hidden="1" customHeight="1">
      <c r="A50" s="2">
        <f>input_0!A$2</f>
        <v>3120</v>
      </c>
      <c r="B50" s="7" t="str">
        <f t="shared" si="1"/>
        <v>Premium5</v>
      </c>
      <c r="C50" s="7" t="str">
        <f t="shared" si="2"/>
        <v>Premium</v>
      </c>
      <c r="D50" s="6">
        <v>174</v>
      </c>
      <c r="E50" s="7" t="str">
        <f>VLOOKUP(D50,[1]characters!$A:$C,3,FALSE)</f>
        <v>偽愛の大公爵 フォルネウス</v>
      </c>
      <c r="F50" s="7" t="str">
        <f>VLOOKUP(D50,[1]characters!$A:$J,10,FALSE)</f>
        <v>PremiumN</v>
      </c>
      <c r="G50" s="7">
        <f>VLOOKUP(D50,[1]characters!$A:$I,9,FALSE)</f>
        <v>5</v>
      </c>
      <c r="H50" s="7" t="str">
        <f>VLOOKUP(D50,[1]characters!$A:$H,8,FALSE)</f>
        <v>blue</v>
      </c>
      <c r="I50" s="7" t="str">
        <f>VLOOKUP(D50,[1]characters!$A:$K,11,FALSE)</f>
        <v>attack</v>
      </c>
      <c r="J50" s="7" t="str">
        <f>VLOOKUP(D50,[1]characters!$A:$M,13,FALSE)</f>
        <v>god</v>
      </c>
      <c r="K50" s="7" t="str">
        <f>VLOOKUP(D50,[1]characters!$A:$G,7,FALSE)</f>
        <v>女性</v>
      </c>
      <c r="L50" s="66">
        <f>IFERROR(VLOOKUP(D50,input_0!L:R,7,FALSE),VLOOKUP(tables_0!B50,input_0!A:H,8,FALSE))</f>
        <v>46176</v>
      </c>
      <c r="M50" s="67">
        <f t="shared" si="0"/>
        <v>8.8888888888888893E-4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hidden="1" customHeight="1">
      <c r="A51" s="2">
        <f>input_0!A$2</f>
        <v>3120</v>
      </c>
      <c r="B51" s="7" t="str">
        <f t="shared" si="1"/>
        <v>Premium3</v>
      </c>
      <c r="C51" s="7" t="str">
        <f t="shared" si="2"/>
        <v>Premium</v>
      </c>
      <c r="D51" s="6">
        <v>175</v>
      </c>
      <c r="E51" s="7" t="str">
        <f>VLOOKUP(D51,[1]characters!$A:$C,3,FALSE)</f>
        <v>バフォメット</v>
      </c>
      <c r="F51" s="7" t="str">
        <f>VLOOKUP(D51,[1]characters!$A:$J,10,FALSE)</f>
        <v>PremiumN</v>
      </c>
      <c r="G51" s="7">
        <f>VLOOKUP(D51,[1]characters!$A:$I,9,FALSE)</f>
        <v>3</v>
      </c>
      <c r="H51" s="7" t="str">
        <f>VLOOKUP(D51,[1]characters!$A:$H,8,FALSE)</f>
        <v>yellow</v>
      </c>
      <c r="I51" s="7" t="str">
        <f>VLOOKUP(D51,[1]characters!$A:$K,11,FALSE)</f>
        <v>attack</v>
      </c>
      <c r="J51" s="7" t="str">
        <f>VLOOKUP(D51,[1]characters!$A:$M,13,FALSE)</f>
        <v>god</v>
      </c>
      <c r="K51" s="7" t="str">
        <f>VLOOKUP(D51,[1]characters!$A:$G,7,FALSE)</f>
        <v>女性</v>
      </c>
      <c r="L51" s="66">
        <f>IFERROR(VLOOKUP(D51,input_0!L:R,7,FALSE),VLOOKUP(tables_0!B51,input_0!A:H,8,FALSE))</f>
        <v>0</v>
      </c>
      <c r="M51" s="67">
        <f t="shared" si="0"/>
        <v>0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hidden="1" customHeight="1">
      <c r="A52" s="2">
        <f>input_0!A$2</f>
        <v>3120</v>
      </c>
      <c r="B52" s="7" t="str">
        <f t="shared" si="1"/>
        <v>Premium4</v>
      </c>
      <c r="C52" s="7" t="str">
        <f t="shared" si="2"/>
        <v>Premium</v>
      </c>
      <c r="D52" s="6">
        <v>176</v>
      </c>
      <c r="E52" s="7" t="str">
        <f>VLOOKUP(D52,[1]characters!$A:$C,3,FALSE)</f>
        <v>異教徒 バフォメット</v>
      </c>
      <c r="F52" s="7" t="str">
        <f>VLOOKUP(D52,[1]characters!$A:$J,10,FALSE)</f>
        <v>PremiumN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66">
        <f>IFERROR(VLOOKUP(D52,input_0!L:R,7,FALSE),VLOOKUP(tables_0!B52,input_0!A:H,8,FALSE))</f>
        <v>640224</v>
      </c>
      <c r="M52" s="67">
        <f t="shared" si="0"/>
        <v>1.2324324324324324E-2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hidden="1" customHeight="1">
      <c r="A53" s="2">
        <f>input_0!A$2</f>
        <v>3120</v>
      </c>
      <c r="B53" s="7" t="str">
        <f t="shared" si="1"/>
        <v>Premium5</v>
      </c>
      <c r="C53" s="7" t="str">
        <f t="shared" si="2"/>
        <v>Premium</v>
      </c>
      <c r="D53" s="6">
        <v>177</v>
      </c>
      <c r="E53" s="7" t="str">
        <f>VLOOKUP(D53,[1]characters!$A:$C,3,FALSE)</f>
        <v>黒魔の異端師 バフォメット</v>
      </c>
      <c r="F53" s="7" t="str">
        <f>VLOOKUP(D53,[1]characters!$A:$J,10,FALSE)</f>
        <v>PremiumN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66">
        <f>IFERROR(VLOOKUP(D53,input_0!L:R,7,FALSE),VLOOKUP(tables_0!B53,input_0!A:H,8,FALSE))</f>
        <v>46176</v>
      </c>
      <c r="M53" s="67">
        <f t="shared" si="0"/>
        <v>8.8888888888888893E-4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hidden="1" customHeight="1">
      <c r="A54" s="2">
        <f>input_0!A$2</f>
        <v>3120</v>
      </c>
      <c r="B54" s="7" t="str">
        <f t="shared" si="1"/>
        <v>Premium3</v>
      </c>
      <c r="C54" s="7" t="str">
        <f t="shared" si="2"/>
        <v>Premium</v>
      </c>
      <c r="D54" s="6">
        <v>178</v>
      </c>
      <c r="E54" s="7" t="str">
        <f>VLOOKUP(D54,[1]characters!$A:$C,3,FALSE)</f>
        <v>ケルベロス</v>
      </c>
      <c r="F54" s="7" t="str">
        <f>VLOOKUP(D54,[1]characters!$A:$J,10,FALSE)</f>
        <v>PremiumN</v>
      </c>
      <c r="G54" s="7">
        <f>VLOOKUP(D54,[1]characters!$A:$I,9,FALSE)</f>
        <v>3</v>
      </c>
      <c r="H54" s="7" t="str">
        <f>VLOOKUP(D54,[1]characters!$A:$H,8,FALSE)</f>
        <v>red</v>
      </c>
      <c r="I54" s="7" t="str">
        <f>VLOOKUP(D54,[1]characters!$A:$K,11,FALSE)</f>
        <v>balance</v>
      </c>
      <c r="J54" s="7" t="str">
        <f>VLOOKUP(D54,[1]characters!$A:$M,13,FALSE)</f>
        <v>animal</v>
      </c>
      <c r="K54" s="7" t="str">
        <f>VLOOKUP(D54,[1]characters!$A:$G,7,FALSE)</f>
        <v>女性</v>
      </c>
      <c r="L54" s="66">
        <f>IFERROR(VLOOKUP(D54,input_0!L:R,7,FALSE),VLOOKUP(tables_0!B54,input_0!A:H,8,FALSE))</f>
        <v>0</v>
      </c>
      <c r="M54" s="67">
        <f t="shared" si="0"/>
        <v>0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ht="21" hidden="1" customHeight="1">
      <c r="A55" s="2">
        <f>input_0!A$2</f>
        <v>3120</v>
      </c>
      <c r="B55" s="7" t="str">
        <f t="shared" si="1"/>
        <v>Premium4</v>
      </c>
      <c r="C55" s="7" t="str">
        <f t="shared" si="2"/>
        <v>Premium</v>
      </c>
      <c r="D55" s="6">
        <v>179</v>
      </c>
      <c r="E55" s="7" t="str">
        <f>VLOOKUP(D55,[1]characters!$A:$C,3,FALSE)</f>
        <v>番犬 ケルベロス</v>
      </c>
      <c r="F55" s="7" t="str">
        <f>VLOOKUP(D55,[1]characters!$A:$J,10,FALSE)</f>
        <v>PremiumN</v>
      </c>
      <c r="G55" s="7">
        <f>VLOOKUP(D55,[1]characters!$A:$I,9,FALSE)</f>
        <v>4</v>
      </c>
      <c r="H55" s="7" t="str">
        <f>VLOOKUP(D55,[1]characters!$A:$H,8,FALSE)</f>
        <v>red</v>
      </c>
      <c r="I55" s="7" t="str">
        <f>VLOOKUP(D55,[1]characters!$A:$K,11,FALSE)</f>
        <v>balance</v>
      </c>
      <c r="J55" s="7" t="str">
        <f>VLOOKUP(D55,[1]characters!$A:$M,13,FALSE)</f>
        <v>animal</v>
      </c>
      <c r="K55" s="7" t="str">
        <f>VLOOKUP(D55,[1]characters!$A:$G,7,FALSE)</f>
        <v>女性</v>
      </c>
      <c r="L55" s="66">
        <f>IFERROR(VLOOKUP(D55,input_0!L:R,7,FALSE),VLOOKUP(tables_0!B55,input_0!A:H,8,FALSE))</f>
        <v>640224</v>
      </c>
      <c r="M55" s="67">
        <f t="shared" si="0"/>
        <v>1.2324324324324324E-2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hidden="1" customHeight="1">
      <c r="A56" s="2">
        <f>input_0!A$2</f>
        <v>3120</v>
      </c>
      <c r="B56" s="7" t="str">
        <f t="shared" si="1"/>
        <v>Premium5</v>
      </c>
      <c r="C56" s="7" t="str">
        <f t="shared" si="2"/>
        <v>Premium</v>
      </c>
      <c r="D56" s="6">
        <v>180</v>
      </c>
      <c r="E56" s="7" t="str">
        <f>VLOOKUP(D56,[1]characters!$A:$C,3,FALSE)</f>
        <v>地獄の大門番 ケルベロス</v>
      </c>
      <c r="F56" s="7" t="str">
        <f>VLOOKUP(D56,[1]characters!$A:$J,10,FALSE)</f>
        <v>PremiumN</v>
      </c>
      <c r="G56" s="7">
        <f>VLOOKUP(D56,[1]characters!$A:$I,9,FALSE)</f>
        <v>5</v>
      </c>
      <c r="H56" s="7" t="str">
        <f>VLOOKUP(D56,[1]characters!$A:$H,8,FALSE)</f>
        <v>red</v>
      </c>
      <c r="I56" s="7" t="str">
        <f>VLOOKUP(D56,[1]characters!$A:$K,11,FALSE)</f>
        <v>balance</v>
      </c>
      <c r="J56" s="7" t="str">
        <f>VLOOKUP(D56,[1]characters!$A:$M,13,FALSE)</f>
        <v>animal</v>
      </c>
      <c r="K56" s="7" t="str">
        <f>VLOOKUP(D56,[1]characters!$A:$G,7,FALSE)</f>
        <v>女性</v>
      </c>
      <c r="L56" s="66">
        <f>IFERROR(VLOOKUP(D56,input_0!L:R,7,FALSE),VLOOKUP(tables_0!B56,input_0!A:H,8,FALSE))</f>
        <v>46176</v>
      </c>
      <c r="M56" s="67">
        <f t="shared" si="0"/>
        <v>8.8888888888888893E-4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hidden="1" customHeight="1">
      <c r="A57" s="2">
        <f>input_0!A$2</f>
        <v>3120</v>
      </c>
      <c r="B57" s="7" t="str">
        <f t="shared" si="1"/>
        <v>Premium3</v>
      </c>
      <c r="C57" s="7" t="str">
        <f t="shared" si="2"/>
        <v>Premium</v>
      </c>
      <c r="D57" s="6">
        <v>181</v>
      </c>
      <c r="E57" s="7" t="str">
        <f>VLOOKUP(D57,[1]characters!$A:$C,3,FALSE)</f>
        <v>ベヒモス</v>
      </c>
      <c r="F57" s="7" t="str">
        <f>VLOOKUP(D57,[1]characters!$A:$J,10,FALSE)</f>
        <v>PremiumN</v>
      </c>
      <c r="G57" s="7">
        <f>VLOOKUP(D57,[1]characters!$A:$I,9,FALSE)</f>
        <v>3</v>
      </c>
      <c r="H57" s="7" t="str">
        <f>VLOOKUP(D57,[1]characters!$A:$H,8,FALSE)</f>
        <v>green</v>
      </c>
      <c r="I57" s="7" t="str">
        <f>VLOOKUP(D57,[1]characters!$A:$K,11,FALSE)</f>
        <v>hp</v>
      </c>
      <c r="J57" s="7" t="str">
        <f>VLOOKUP(D57,[1]characters!$A:$M,13,FALSE)</f>
        <v>animal</v>
      </c>
      <c r="K57" s="7" t="str">
        <f>VLOOKUP(D57,[1]characters!$A:$G,7,FALSE)</f>
        <v>女性</v>
      </c>
      <c r="L57" s="66">
        <f>IFERROR(VLOOKUP(D57,input_0!L:R,7,FALSE),VLOOKUP(tables_0!B57,input_0!A:H,8,FALSE))</f>
        <v>0</v>
      </c>
      <c r="M57" s="67">
        <f t="shared" si="0"/>
        <v>0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hidden="1" customHeight="1">
      <c r="A58" s="2">
        <f>input_0!A$2</f>
        <v>3120</v>
      </c>
      <c r="B58" s="7" t="str">
        <f t="shared" si="1"/>
        <v>Premium4</v>
      </c>
      <c r="C58" s="7" t="str">
        <f t="shared" si="2"/>
        <v>Premium</v>
      </c>
      <c r="D58" s="6">
        <v>182</v>
      </c>
      <c r="E58" s="7" t="str">
        <f>VLOOKUP(D58,[1]characters!$A:$C,3,FALSE)</f>
        <v>放蕩者 ベヒモス</v>
      </c>
      <c r="F58" s="7" t="str">
        <f>VLOOKUP(D58,[1]characters!$A:$J,10,FALSE)</f>
        <v>PremiumN</v>
      </c>
      <c r="G58" s="7">
        <f>VLOOKUP(D58,[1]characters!$A:$I,9,FALSE)</f>
        <v>4</v>
      </c>
      <c r="H58" s="7" t="str">
        <f>VLOOKUP(D58,[1]characters!$A:$H,8,FALSE)</f>
        <v>green</v>
      </c>
      <c r="I58" s="7" t="str">
        <f>VLOOKUP(D58,[1]characters!$A:$K,11,FALSE)</f>
        <v>hp</v>
      </c>
      <c r="J58" s="7" t="str">
        <f>VLOOKUP(D58,[1]characters!$A:$M,13,FALSE)</f>
        <v>animal</v>
      </c>
      <c r="K58" s="7" t="str">
        <f>VLOOKUP(D58,[1]characters!$A:$G,7,FALSE)</f>
        <v>女性</v>
      </c>
      <c r="L58" s="66">
        <f>IFERROR(VLOOKUP(D58,input_0!L:R,7,FALSE),VLOOKUP(tables_0!B58,input_0!A:H,8,FALSE))</f>
        <v>640224</v>
      </c>
      <c r="M58" s="67">
        <f t="shared" si="0"/>
        <v>1.2324324324324324E-2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hidden="1" customHeight="1">
      <c r="A59" s="2">
        <f>input_0!A$2</f>
        <v>3120</v>
      </c>
      <c r="B59" s="7" t="str">
        <f t="shared" si="1"/>
        <v>Premium5</v>
      </c>
      <c r="C59" s="7" t="str">
        <f t="shared" si="2"/>
        <v>Premium</v>
      </c>
      <c r="D59" s="6">
        <v>183</v>
      </c>
      <c r="E59" s="7" t="str">
        <f>VLOOKUP(D59,[1]characters!$A:$C,3,FALSE)</f>
        <v>鈍重な彷徨者 ベヒモス</v>
      </c>
      <c r="F59" s="7" t="str">
        <f>VLOOKUP(D59,[1]characters!$A:$J,10,FALSE)</f>
        <v>PremiumN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hp</v>
      </c>
      <c r="J59" s="7" t="str">
        <f>VLOOKUP(D59,[1]characters!$A:$M,13,FALSE)</f>
        <v>animal</v>
      </c>
      <c r="K59" s="7" t="str">
        <f>VLOOKUP(D59,[1]characters!$A:$G,7,FALSE)</f>
        <v>女性</v>
      </c>
      <c r="L59" s="66">
        <f>IFERROR(VLOOKUP(D59,input_0!L:R,7,FALSE),VLOOKUP(tables_0!B59,input_0!A:H,8,FALSE))</f>
        <v>46176</v>
      </c>
      <c r="M59" s="67">
        <f t="shared" si="0"/>
        <v>8.8888888888888893E-4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hidden="1" customHeight="1">
      <c r="A60" s="2">
        <f>input_0!A$2</f>
        <v>3120</v>
      </c>
      <c r="B60" s="7" t="str">
        <f t="shared" si="1"/>
        <v>Premium3</v>
      </c>
      <c r="C60" s="7" t="str">
        <f t="shared" si="2"/>
        <v>Premium</v>
      </c>
      <c r="D60" s="6">
        <v>184</v>
      </c>
      <c r="E60" s="7" t="str">
        <f>VLOOKUP(D60,[1]characters!$A:$C,3,FALSE)</f>
        <v>クラーケン</v>
      </c>
      <c r="F60" s="7" t="str">
        <f>VLOOKUP(D60,[1]characters!$A:$J,10,FALSE)</f>
        <v>PremiumN</v>
      </c>
      <c r="G60" s="7">
        <f>VLOOKUP(D60,[1]characters!$A:$I,9,FALSE)</f>
        <v>3</v>
      </c>
      <c r="H60" s="7" t="str">
        <f>VLOOKUP(D60,[1]characters!$A:$H,8,FALSE)</f>
        <v>blue</v>
      </c>
      <c r="I60" s="7" t="str">
        <f>VLOOKUP(D60,[1]characters!$A:$K,11,FALSE)</f>
        <v>heal</v>
      </c>
      <c r="J60" s="7" t="str">
        <f>VLOOKUP(D60,[1]characters!$A:$M,13,FALSE)</f>
        <v>animal</v>
      </c>
      <c r="K60" s="7" t="str">
        <f>VLOOKUP(D60,[1]characters!$A:$G,7,FALSE)</f>
        <v>女性</v>
      </c>
      <c r="L60" s="66">
        <f>IFERROR(VLOOKUP(D60,input_0!L:R,7,FALSE),VLOOKUP(tables_0!B60,input_0!A:H,8,FALSE))</f>
        <v>0</v>
      </c>
      <c r="M60" s="67">
        <f t="shared" si="0"/>
        <v>0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hidden="1" customHeight="1">
      <c r="A61" s="2">
        <f>input_0!A$2</f>
        <v>3120</v>
      </c>
      <c r="B61" s="7" t="str">
        <f t="shared" si="1"/>
        <v>Premium4</v>
      </c>
      <c r="C61" s="7" t="str">
        <f t="shared" si="2"/>
        <v>Premium</v>
      </c>
      <c r="D61" s="6">
        <v>185</v>
      </c>
      <c r="E61" s="7" t="str">
        <f>VLOOKUP(D61,[1]characters!$A:$C,3,FALSE)</f>
        <v>海姫 クラーケン</v>
      </c>
      <c r="F61" s="7" t="str">
        <f>VLOOKUP(D61,[1]characters!$A:$J,10,FALSE)</f>
        <v>PremiumN</v>
      </c>
      <c r="G61" s="7">
        <f>VLOOKUP(D61,[1]characters!$A:$I,9,FALSE)</f>
        <v>4</v>
      </c>
      <c r="H61" s="7" t="str">
        <f>VLOOKUP(D61,[1]characters!$A:$H,8,FALSE)</f>
        <v>blue</v>
      </c>
      <c r="I61" s="7" t="str">
        <f>VLOOKUP(D61,[1]characters!$A:$K,11,FALSE)</f>
        <v>heal</v>
      </c>
      <c r="J61" s="7" t="str">
        <f>VLOOKUP(D61,[1]characters!$A:$M,13,FALSE)</f>
        <v>animal</v>
      </c>
      <c r="K61" s="7" t="str">
        <f>VLOOKUP(D61,[1]characters!$A:$G,7,FALSE)</f>
        <v>女性</v>
      </c>
      <c r="L61" s="66">
        <f>IFERROR(VLOOKUP(D61,input_0!L:R,7,FALSE),VLOOKUP(tables_0!B61,input_0!A:H,8,FALSE))</f>
        <v>640224</v>
      </c>
      <c r="M61" s="67">
        <f t="shared" si="0"/>
        <v>1.2324324324324324E-2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hidden="1" customHeight="1">
      <c r="A62" s="2">
        <f>input_0!A$2</f>
        <v>3120</v>
      </c>
      <c r="B62" s="7" t="str">
        <f t="shared" si="1"/>
        <v>Premium5</v>
      </c>
      <c r="C62" s="7" t="str">
        <f t="shared" si="2"/>
        <v>Premium</v>
      </c>
      <c r="D62" s="8">
        <v>186</v>
      </c>
      <c r="E62" s="7" t="str">
        <f>VLOOKUP(D62,[1]characters!$A:$C,3,FALSE)</f>
        <v>誇り高き多触姫・クラーケン</v>
      </c>
      <c r="F62" s="7" t="str">
        <f>VLOOKUP(D62,[1]characters!$A:$J,10,FALSE)</f>
        <v>PremiumN</v>
      </c>
      <c r="G62" s="7">
        <f>VLOOKUP(D62,[1]characters!$A:$I,9,FALSE)</f>
        <v>5</v>
      </c>
      <c r="H62" s="7" t="str">
        <f>VLOOKUP(D62,[1]characters!$A:$H,8,FALSE)</f>
        <v>blue</v>
      </c>
      <c r="I62" s="7" t="str">
        <f>VLOOKUP(D62,[1]characters!$A:$K,11,FALSE)</f>
        <v>heal</v>
      </c>
      <c r="J62" s="7" t="str">
        <f>VLOOKUP(D62,[1]characters!$A:$M,13,FALSE)</f>
        <v>animal</v>
      </c>
      <c r="K62" s="7" t="str">
        <f>VLOOKUP(D62,[1]characters!$A:$G,7,FALSE)</f>
        <v>女性</v>
      </c>
      <c r="L62" s="66">
        <f>IFERROR(VLOOKUP(D62,input_0!L:R,7,FALSE),VLOOKUP(tables_0!B62,input_0!A:H,8,FALSE))</f>
        <v>46176</v>
      </c>
      <c r="M62" s="67">
        <f t="shared" si="0"/>
        <v>8.8888888888888893E-4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hidden="1" customHeight="1">
      <c r="A63" s="2">
        <f>input_0!A$2</f>
        <v>3120</v>
      </c>
      <c r="B63" s="7" t="str">
        <f t="shared" si="1"/>
        <v>Premium3</v>
      </c>
      <c r="C63" s="7" t="str">
        <f t="shared" si="2"/>
        <v>Premium</v>
      </c>
      <c r="D63" s="8">
        <v>187</v>
      </c>
      <c r="E63" s="7" t="str">
        <f>VLOOKUP(D63,[1]characters!$A:$C,3,FALSE)</f>
        <v>ホルス</v>
      </c>
      <c r="F63" s="7" t="str">
        <f>VLOOKUP(D63,[1]characters!$A:$J,10,FALSE)</f>
        <v>PremiumN</v>
      </c>
      <c r="G63" s="7">
        <f>VLOOKUP(D63,[1]characters!$A:$I,9,FALSE)</f>
        <v>3</v>
      </c>
      <c r="H63" s="7" t="str">
        <f>VLOOKUP(D63,[1]characters!$A:$H,8,FALSE)</f>
        <v>yellow</v>
      </c>
      <c r="I63" s="7" t="str">
        <f>VLOOKUP(D63,[1]characters!$A:$K,11,FALSE)</f>
        <v>attack</v>
      </c>
      <c r="J63" s="7" t="str">
        <f>VLOOKUP(D63,[1]characters!$A:$M,13,FALSE)</f>
        <v>animal</v>
      </c>
      <c r="K63" s="7" t="str">
        <f>VLOOKUP(D63,[1]characters!$A:$G,7,FALSE)</f>
        <v>女性</v>
      </c>
      <c r="L63" s="66">
        <f>IFERROR(VLOOKUP(D63,input_0!L:R,7,FALSE),VLOOKUP(tables_0!B63,input_0!A:H,8,FALSE))</f>
        <v>0</v>
      </c>
      <c r="M63" s="67">
        <f t="shared" si="0"/>
        <v>0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hidden="1" customHeight="1">
      <c r="A64" s="2">
        <f>input_0!A$2</f>
        <v>3120</v>
      </c>
      <c r="B64" s="7" t="str">
        <f t="shared" si="1"/>
        <v>Premium4</v>
      </c>
      <c r="C64" s="7" t="str">
        <f t="shared" si="2"/>
        <v>Premium</v>
      </c>
      <c r="D64" s="8">
        <v>188</v>
      </c>
      <c r="E64" s="7" t="str">
        <f>VLOOKUP(D64,[1]characters!$A:$C,3,FALSE)</f>
        <v>猛禽 ホルス</v>
      </c>
      <c r="F64" s="7" t="str">
        <f>VLOOKUP(D64,[1]characters!$A:$J,10,FALSE)</f>
        <v>PremiumN</v>
      </c>
      <c r="G64" s="7">
        <f>VLOOKUP(D64,[1]characters!$A:$I,9,FALSE)</f>
        <v>4</v>
      </c>
      <c r="H64" s="7" t="str">
        <f>VLOOKUP(D64,[1]characters!$A:$H,8,FALSE)</f>
        <v>yellow</v>
      </c>
      <c r="I64" s="7" t="str">
        <f>VLOOKUP(D64,[1]characters!$A:$K,11,FALSE)</f>
        <v>attack</v>
      </c>
      <c r="J64" s="7" t="str">
        <f>VLOOKUP(D64,[1]characters!$A:$M,13,FALSE)</f>
        <v>animal</v>
      </c>
      <c r="K64" s="7" t="str">
        <f>VLOOKUP(D64,[1]characters!$A:$G,7,FALSE)</f>
        <v>女性</v>
      </c>
      <c r="L64" s="66">
        <f>IFERROR(VLOOKUP(D64,input_0!L:R,7,FALSE),VLOOKUP(tables_0!B64,input_0!A:H,8,FALSE))</f>
        <v>640224</v>
      </c>
      <c r="M64" s="67">
        <f t="shared" si="0"/>
        <v>1.2324324324324324E-2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hidden="1" customHeight="1">
      <c r="A65" s="2">
        <f>input_0!A$2</f>
        <v>3120</v>
      </c>
      <c r="B65" s="7" t="str">
        <f t="shared" si="1"/>
        <v>Premium5</v>
      </c>
      <c r="C65" s="7" t="str">
        <f t="shared" si="2"/>
        <v>Premium</v>
      </c>
      <c r="D65" s="8">
        <v>189</v>
      </c>
      <c r="E65" s="7" t="str">
        <f>VLOOKUP(D65,[1]characters!$A:$C,3,FALSE)</f>
        <v>迅雷の王禽 ホルス</v>
      </c>
      <c r="F65" s="7" t="str">
        <f>VLOOKUP(D65,[1]characters!$A:$J,10,FALSE)</f>
        <v>PremiumN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attack</v>
      </c>
      <c r="J65" s="7" t="str">
        <f>VLOOKUP(D65,[1]characters!$A:$M,13,FALSE)</f>
        <v>animal</v>
      </c>
      <c r="K65" s="7" t="str">
        <f>VLOOKUP(D65,[1]characters!$A:$G,7,FALSE)</f>
        <v>女性</v>
      </c>
      <c r="L65" s="66">
        <f>IFERROR(VLOOKUP(D65,input_0!L:R,7,FALSE),VLOOKUP(tables_0!B65,input_0!A:H,8,FALSE))</f>
        <v>46176</v>
      </c>
      <c r="M65" s="67">
        <f t="shared" si="0"/>
        <v>8.8888888888888893E-4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s="9" customFormat="1" ht="21" hidden="1" customHeight="1" thickBot="1">
      <c r="A66" s="2">
        <f>input_0!A$2</f>
        <v>3120</v>
      </c>
      <c r="B66" s="7" t="str">
        <f t="shared" si="1"/>
        <v>Premium3</v>
      </c>
      <c r="C66" s="7" t="str">
        <f t="shared" si="2"/>
        <v>Premium</v>
      </c>
      <c r="D66" s="6">
        <v>190</v>
      </c>
      <c r="E66" s="7" t="str">
        <f>VLOOKUP(D66,[1]characters!$A:$C,3,FALSE)</f>
        <v>卑弥呼</v>
      </c>
      <c r="F66" s="7" t="str">
        <f>VLOOKUP(D66,[1]characters!$A:$J,10,FALSE)</f>
        <v>PremiumN</v>
      </c>
      <c r="G66" s="7">
        <f>VLOOKUP(D66,[1]characters!$A:$I,9,FALSE)</f>
        <v>3</v>
      </c>
      <c r="H66" s="7" t="str">
        <f>VLOOKUP(D66,[1]characters!$A:$H,8,FALSE)</f>
        <v>red</v>
      </c>
      <c r="I66" s="7" t="str">
        <f>VLOOKUP(D66,[1]characters!$A:$K,11,FALSE)</f>
        <v>balance</v>
      </c>
      <c r="J66" s="7" t="str">
        <f>VLOOKUP(D66,[1]characters!$A:$M,13,FALSE)</f>
        <v>human</v>
      </c>
      <c r="K66" s="7" t="str">
        <f>VLOOKUP(D66,[1]characters!$A:$G,7,FALSE)</f>
        <v>女性</v>
      </c>
      <c r="L66" s="66">
        <f>IFERROR(VLOOKUP(D66,input_0!L:R,7,FALSE),VLOOKUP(tables_0!B66,input_0!A:H,8,FALSE))</f>
        <v>0</v>
      </c>
      <c r="M66" s="67">
        <f t="shared" ref="M66:M129" si="3">L66/SUM(L:L)</f>
        <v>0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hidden="1" customHeight="1">
      <c r="A67" s="2">
        <f>input_0!A$2</f>
        <v>3120</v>
      </c>
      <c r="B67" s="7" t="str">
        <f t="shared" ref="B67:B130" si="4">C67&amp;G67</f>
        <v>Premium4</v>
      </c>
      <c r="C67" s="7" t="str">
        <f t="shared" ref="C67:C130" si="5">IF(F67="PremiumSS",F67,IF(F67="PremiumSSS",F67,"Premium"))</f>
        <v>Premium</v>
      </c>
      <c r="D67" s="6">
        <v>191</v>
      </c>
      <c r="E67" s="7" t="str">
        <f>VLOOKUP(D67,[1]characters!$A:$C,3,FALSE)</f>
        <v>始祖 卑弥呼</v>
      </c>
      <c r="F67" s="7" t="str">
        <f>VLOOKUP(D67,[1]characters!$A:$J,10,FALSE)</f>
        <v>PremiumN</v>
      </c>
      <c r="G67" s="7">
        <f>VLOOKUP(D67,[1]characters!$A:$I,9,FALSE)</f>
        <v>4</v>
      </c>
      <c r="H67" s="7" t="str">
        <f>VLOOKUP(D67,[1]characters!$A:$H,8,FALSE)</f>
        <v>red</v>
      </c>
      <c r="I67" s="7" t="str">
        <f>VLOOKUP(D67,[1]characters!$A:$K,11,FALSE)</f>
        <v>balance</v>
      </c>
      <c r="J67" s="7" t="str">
        <f>VLOOKUP(D67,[1]characters!$A:$M,13,FALSE)</f>
        <v>human</v>
      </c>
      <c r="K67" s="7" t="str">
        <f>VLOOKUP(D67,[1]characters!$A:$G,7,FALSE)</f>
        <v>女性</v>
      </c>
      <c r="L67" s="66">
        <f>IFERROR(VLOOKUP(D67,input_0!L:R,7,FALSE),VLOOKUP(tables_0!B67,input_0!A:H,8,FALSE))</f>
        <v>640224</v>
      </c>
      <c r="M67" s="67">
        <f t="shared" si="3"/>
        <v>1.2324324324324324E-2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hidden="1" customHeight="1">
      <c r="A68" s="2">
        <f>input_0!A$2</f>
        <v>3120</v>
      </c>
      <c r="B68" s="7" t="str">
        <f t="shared" si="4"/>
        <v>Premium5</v>
      </c>
      <c r="C68" s="7" t="str">
        <f t="shared" si="5"/>
        <v>Premium</v>
      </c>
      <c r="D68" s="6">
        <v>192</v>
      </c>
      <c r="E68" s="7" t="str">
        <f>VLOOKUP(D68,[1]characters!$A:$C,3,FALSE)</f>
        <v>荘厳なる始祖帝 卑弥呼</v>
      </c>
      <c r="F68" s="7" t="str">
        <f>VLOOKUP(D68,[1]characters!$A:$J,10,FALSE)</f>
        <v>PremiumN</v>
      </c>
      <c r="G68" s="7">
        <f>VLOOKUP(D68,[1]characters!$A:$I,9,FALSE)</f>
        <v>5</v>
      </c>
      <c r="H68" s="7" t="str">
        <f>VLOOKUP(D68,[1]characters!$A:$H,8,FALSE)</f>
        <v>red</v>
      </c>
      <c r="I68" s="7" t="str">
        <f>VLOOKUP(D68,[1]characters!$A:$K,11,FALSE)</f>
        <v>balance</v>
      </c>
      <c r="J68" s="7" t="str">
        <f>VLOOKUP(D68,[1]characters!$A:$M,13,FALSE)</f>
        <v>human</v>
      </c>
      <c r="K68" s="7" t="str">
        <f>VLOOKUP(D68,[1]characters!$A:$G,7,FALSE)</f>
        <v>女性</v>
      </c>
      <c r="L68" s="66">
        <f>IFERROR(VLOOKUP(D68,input_0!L:R,7,FALSE),VLOOKUP(tables_0!B68,input_0!A:H,8,FALSE))</f>
        <v>46176</v>
      </c>
      <c r="M68" s="67">
        <f t="shared" si="3"/>
        <v>8.8888888888888893E-4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hidden="1" customHeight="1">
      <c r="A69" s="2">
        <f>input_0!A$2</f>
        <v>3120</v>
      </c>
      <c r="B69" s="7" t="str">
        <f t="shared" si="4"/>
        <v>Premium3</v>
      </c>
      <c r="C69" s="7" t="str">
        <f t="shared" si="5"/>
        <v>Premium</v>
      </c>
      <c r="D69" s="6">
        <v>193</v>
      </c>
      <c r="E69" s="7" t="str">
        <f>VLOOKUP(D69,[1]characters!$A:$C,3,FALSE)</f>
        <v>ロビンフッド</v>
      </c>
      <c r="F69" s="7" t="str">
        <f>VLOOKUP(D69,[1]characters!$A:$J,10,FALSE)</f>
        <v>PremiumN</v>
      </c>
      <c r="G69" s="7">
        <f>VLOOKUP(D69,[1]characters!$A:$I,9,FALSE)</f>
        <v>3</v>
      </c>
      <c r="H69" s="7" t="str">
        <f>VLOOKUP(D69,[1]characters!$A:$H,8,FALSE)</f>
        <v>green</v>
      </c>
      <c r="I69" s="7" t="str">
        <f>VLOOKUP(D69,[1]characters!$A:$K,11,FALSE)</f>
        <v>balance</v>
      </c>
      <c r="J69" s="7" t="str">
        <f>VLOOKUP(D69,[1]characters!$A:$M,13,FALSE)</f>
        <v>human</v>
      </c>
      <c r="K69" s="7" t="str">
        <f>VLOOKUP(D69,[1]characters!$A:$G,7,FALSE)</f>
        <v>女性</v>
      </c>
      <c r="L69" s="66">
        <f>IFERROR(VLOOKUP(D69,input_0!L:R,7,FALSE),VLOOKUP(tables_0!B69,input_0!A:H,8,FALSE))</f>
        <v>0</v>
      </c>
      <c r="M69" s="67">
        <f t="shared" si="3"/>
        <v>0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hidden="1" customHeight="1">
      <c r="A70" s="2">
        <f>input_0!A$2</f>
        <v>3120</v>
      </c>
      <c r="B70" s="7" t="str">
        <f t="shared" si="4"/>
        <v>Premium4</v>
      </c>
      <c r="C70" s="7" t="str">
        <f t="shared" si="5"/>
        <v>Premium</v>
      </c>
      <c r="D70" s="10">
        <v>194</v>
      </c>
      <c r="E70" s="7" t="str">
        <f>VLOOKUP(D70,[1]characters!$A:$C,3,FALSE)</f>
        <v>スナイパー ロビンフッド</v>
      </c>
      <c r="F70" s="7" t="str">
        <f>VLOOKUP(D70,[1]characters!$A:$J,10,FALSE)</f>
        <v>PremiumN</v>
      </c>
      <c r="G70" s="7">
        <f>VLOOKUP(D70,[1]characters!$A:$I,9,FALSE)</f>
        <v>4</v>
      </c>
      <c r="H70" s="7" t="str">
        <f>VLOOKUP(D70,[1]characters!$A:$H,8,FALSE)</f>
        <v>green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女性</v>
      </c>
      <c r="L70" s="66">
        <f>IFERROR(VLOOKUP(D70,input_0!L:R,7,FALSE),VLOOKUP(tables_0!B70,input_0!A:H,8,FALSE))</f>
        <v>640224</v>
      </c>
      <c r="M70" s="67">
        <f t="shared" si="3"/>
        <v>1.2324324324324324E-2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hidden="1" customHeight="1">
      <c r="A71" s="2">
        <f>input_0!A$2</f>
        <v>3120</v>
      </c>
      <c r="B71" s="7" t="str">
        <f t="shared" si="4"/>
        <v>Premium5</v>
      </c>
      <c r="C71" s="7" t="str">
        <f t="shared" si="5"/>
        <v>Premium</v>
      </c>
      <c r="D71" s="6">
        <v>195</v>
      </c>
      <c r="E71" s="7" t="str">
        <f>VLOOKUP(D71,[1]characters!$A:$C,3,FALSE)</f>
        <v>グランドハンター ロビンフッド</v>
      </c>
      <c r="F71" s="7" t="str">
        <f>VLOOKUP(D71,[1]characters!$A:$J,10,FALSE)</f>
        <v>PremiumN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balance</v>
      </c>
      <c r="J71" s="7" t="str">
        <f>VLOOKUP(D71,[1]characters!$A:$M,13,FALSE)</f>
        <v>human</v>
      </c>
      <c r="K71" s="7" t="str">
        <f>VLOOKUP(D71,[1]characters!$A:$G,7,FALSE)</f>
        <v>女性</v>
      </c>
      <c r="L71" s="66">
        <f>IFERROR(VLOOKUP(D71,input_0!L:R,7,FALSE),VLOOKUP(tables_0!B71,input_0!A:H,8,FALSE))</f>
        <v>46176</v>
      </c>
      <c r="M71" s="67">
        <f t="shared" si="3"/>
        <v>8.8888888888888893E-4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hidden="1" customHeight="1">
      <c r="A72" s="2">
        <f>input_0!A$2</f>
        <v>3120</v>
      </c>
      <c r="B72" s="7" t="str">
        <f t="shared" si="4"/>
        <v>Premium3</v>
      </c>
      <c r="C72" s="7" t="str">
        <f t="shared" si="5"/>
        <v>Premium</v>
      </c>
      <c r="D72" s="10">
        <v>196</v>
      </c>
      <c r="E72" s="7" t="str">
        <f>VLOOKUP(D72,[1]characters!$A:$C,3,FALSE)</f>
        <v>アキレス</v>
      </c>
      <c r="F72" s="7" t="str">
        <f>VLOOKUP(D72,[1]characters!$A:$J,10,FALSE)</f>
        <v>PremiumN</v>
      </c>
      <c r="G72" s="7">
        <f>VLOOKUP(D72,[1]characters!$A:$I,9,FALSE)</f>
        <v>3</v>
      </c>
      <c r="H72" s="7" t="str">
        <f>VLOOKUP(D72,[1]characters!$A:$H,8,FALSE)</f>
        <v>yellow</v>
      </c>
      <c r="I72" s="7" t="str">
        <f>VLOOKUP(D72,[1]characters!$A:$K,11,FALSE)</f>
        <v>balance</v>
      </c>
      <c r="J72" s="7" t="str">
        <f>VLOOKUP(D72,[1]characters!$A:$M,13,FALSE)</f>
        <v>human</v>
      </c>
      <c r="K72" s="7" t="str">
        <f>VLOOKUP(D72,[1]characters!$A:$G,7,FALSE)</f>
        <v>女性</v>
      </c>
      <c r="L72" s="66">
        <f>IFERROR(VLOOKUP(D72,input_0!L:R,7,FALSE),VLOOKUP(tables_0!B72,input_0!A:H,8,FALSE))</f>
        <v>0</v>
      </c>
      <c r="M72" s="67">
        <f t="shared" si="3"/>
        <v>0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hidden="1" customHeight="1">
      <c r="A73" s="2">
        <f>input_0!A$2</f>
        <v>3120</v>
      </c>
      <c r="B73" s="7" t="str">
        <f t="shared" si="4"/>
        <v>Premium4</v>
      </c>
      <c r="C73" s="7" t="str">
        <f t="shared" si="5"/>
        <v>Premium</v>
      </c>
      <c r="D73" s="11">
        <v>197</v>
      </c>
      <c r="E73" s="7" t="str">
        <f>VLOOKUP(D73,[1]characters!$A:$C,3,FALSE)</f>
        <v>鉄腕 アキレス</v>
      </c>
      <c r="F73" s="7" t="str">
        <f>VLOOKUP(D73,[1]characters!$A:$J,10,FALSE)</f>
        <v>PremiumN</v>
      </c>
      <c r="G73" s="7">
        <f>VLOOKUP(D73,[1]characters!$A:$I,9,FALSE)</f>
        <v>4</v>
      </c>
      <c r="H73" s="7" t="str">
        <f>VLOOKUP(D73,[1]characters!$A:$H,8,FALSE)</f>
        <v>yellow</v>
      </c>
      <c r="I73" s="7" t="str">
        <f>VLOOKUP(D73,[1]characters!$A:$K,11,FALSE)</f>
        <v>balance</v>
      </c>
      <c r="J73" s="7" t="str">
        <f>VLOOKUP(D73,[1]characters!$A:$M,13,FALSE)</f>
        <v>human</v>
      </c>
      <c r="K73" s="7" t="str">
        <f>VLOOKUP(D73,[1]characters!$A:$G,7,FALSE)</f>
        <v>女性</v>
      </c>
      <c r="L73" s="66">
        <f>IFERROR(VLOOKUP(D73,input_0!L:R,7,FALSE),VLOOKUP(tables_0!B73,input_0!A:H,8,FALSE))</f>
        <v>640224</v>
      </c>
      <c r="M73" s="67">
        <f t="shared" si="3"/>
        <v>1.2324324324324324E-2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hidden="1" customHeight="1">
      <c r="A74" s="2">
        <f>input_0!A$2</f>
        <v>3120</v>
      </c>
      <c r="B74" s="7" t="str">
        <f t="shared" si="4"/>
        <v>Premium5</v>
      </c>
      <c r="C74" s="7" t="str">
        <f t="shared" si="5"/>
        <v>Premium</v>
      </c>
      <c r="D74" s="6">
        <v>198</v>
      </c>
      <c r="E74" s="7" t="str">
        <f>VLOOKUP(D74,[1]characters!$A:$C,3,FALSE)</f>
        <v>砕骨の剛腕 アキレス</v>
      </c>
      <c r="F74" s="7" t="str">
        <f>VLOOKUP(D74,[1]characters!$A:$J,10,FALSE)</f>
        <v>PremiumN</v>
      </c>
      <c r="G74" s="7">
        <f>VLOOKUP(D74,[1]characters!$A:$I,9,FALSE)</f>
        <v>5</v>
      </c>
      <c r="H74" s="7" t="str">
        <f>VLOOKUP(D74,[1]characters!$A:$H,8,FALSE)</f>
        <v>yellow</v>
      </c>
      <c r="I74" s="7" t="str">
        <f>VLOOKUP(D74,[1]characters!$A:$K,11,FALSE)</f>
        <v>balance</v>
      </c>
      <c r="J74" s="7" t="str">
        <f>VLOOKUP(D74,[1]characters!$A:$M,13,FALSE)</f>
        <v>human</v>
      </c>
      <c r="K74" s="7" t="str">
        <f>VLOOKUP(D74,[1]characters!$A:$G,7,FALSE)</f>
        <v>女性</v>
      </c>
      <c r="L74" s="66">
        <f>IFERROR(VLOOKUP(D74,input_0!L:R,7,FALSE),VLOOKUP(tables_0!B74,input_0!A:H,8,FALSE))</f>
        <v>46176</v>
      </c>
      <c r="M74" s="67">
        <f t="shared" si="3"/>
        <v>8.8888888888888893E-4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hidden="1" customHeight="1">
      <c r="A75" s="2">
        <f>input_0!A$2</f>
        <v>3120</v>
      </c>
      <c r="B75" s="7" t="str">
        <f t="shared" si="4"/>
        <v>Premium3</v>
      </c>
      <c r="C75" s="7" t="str">
        <f t="shared" si="5"/>
        <v>Premium</v>
      </c>
      <c r="D75" s="6">
        <v>199</v>
      </c>
      <c r="E75" s="7" t="str">
        <f>VLOOKUP(D75,[1]characters!$A:$C,3,FALSE)</f>
        <v>ジークフリート</v>
      </c>
      <c r="F75" s="7" t="str">
        <f>VLOOKUP(D75,[1]characters!$A:$J,10,FALSE)</f>
        <v>PremiumN</v>
      </c>
      <c r="G75" s="7">
        <f>VLOOKUP(D75,[1]characters!$A:$I,9,FALSE)</f>
        <v>3</v>
      </c>
      <c r="H75" s="7" t="str">
        <f>VLOOKUP(D75,[1]characters!$A:$H,8,FALSE)</f>
        <v>blue</v>
      </c>
      <c r="I75" s="7" t="str">
        <f>VLOOKUP(D75,[1]characters!$A:$K,11,FALSE)</f>
        <v>balance</v>
      </c>
      <c r="J75" s="7" t="str">
        <f>VLOOKUP(D75,[1]characters!$A:$M,13,FALSE)</f>
        <v>human</v>
      </c>
      <c r="K75" s="7" t="str">
        <f>VLOOKUP(D75,[1]characters!$A:$G,7,FALSE)</f>
        <v>男性</v>
      </c>
      <c r="L75" s="66">
        <f>IFERROR(VLOOKUP(D75,input_0!L:R,7,FALSE),VLOOKUP(tables_0!B75,input_0!A:H,8,FALSE))</f>
        <v>0</v>
      </c>
      <c r="M75" s="67">
        <f t="shared" si="3"/>
        <v>0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hidden="1" customHeight="1">
      <c r="A76" s="2">
        <f>input_0!A$2</f>
        <v>3120</v>
      </c>
      <c r="B76" s="7" t="str">
        <f t="shared" si="4"/>
        <v>Premium4</v>
      </c>
      <c r="C76" s="7" t="str">
        <f t="shared" si="5"/>
        <v>Premium</v>
      </c>
      <c r="D76" s="6">
        <v>200</v>
      </c>
      <c r="E76" s="7" t="str">
        <f>VLOOKUP(D76,[1]characters!$A:$C,3,FALSE)</f>
        <v>大剣士 ジークフリート</v>
      </c>
      <c r="F76" s="7" t="str">
        <f>VLOOKUP(D76,[1]characters!$A:$J,10,FALSE)</f>
        <v>PremiumN</v>
      </c>
      <c r="G76" s="7">
        <f>VLOOKUP(D76,[1]characters!$A:$I,9,FALSE)</f>
        <v>4</v>
      </c>
      <c r="H76" s="7" t="str">
        <f>VLOOKUP(D76,[1]characters!$A:$H,8,FALSE)</f>
        <v>blue</v>
      </c>
      <c r="I76" s="7" t="str">
        <f>VLOOKUP(D76,[1]characters!$A:$K,11,FALSE)</f>
        <v>balance</v>
      </c>
      <c r="J76" s="7" t="str">
        <f>VLOOKUP(D76,[1]characters!$A:$M,13,FALSE)</f>
        <v>human</v>
      </c>
      <c r="K76" s="7" t="str">
        <f>VLOOKUP(D76,[1]characters!$A:$G,7,FALSE)</f>
        <v>男性</v>
      </c>
      <c r="L76" s="66">
        <f>IFERROR(VLOOKUP(D76,input_0!L:R,7,FALSE),VLOOKUP(tables_0!B76,input_0!A:H,8,FALSE))</f>
        <v>640224</v>
      </c>
      <c r="M76" s="67">
        <f t="shared" si="3"/>
        <v>1.2324324324324324E-2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hidden="1" customHeight="1">
      <c r="A77" s="2">
        <f>input_0!A$2</f>
        <v>3120</v>
      </c>
      <c r="B77" s="7" t="str">
        <f t="shared" si="4"/>
        <v>Premium5</v>
      </c>
      <c r="C77" s="7" t="str">
        <f t="shared" si="5"/>
        <v>Premium</v>
      </c>
      <c r="D77" s="5">
        <v>201</v>
      </c>
      <c r="E77" s="7" t="str">
        <f>VLOOKUP(D77,[1]characters!$A:$C,3,FALSE)</f>
        <v>斬空の大破剣 ジークフリート</v>
      </c>
      <c r="F77" s="7" t="str">
        <f>VLOOKUP(D77,[1]characters!$A:$J,10,FALSE)</f>
        <v>PremiumN</v>
      </c>
      <c r="G77" s="7">
        <f>VLOOKUP(D77,[1]characters!$A:$I,9,FALSE)</f>
        <v>5</v>
      </c>
      <c r="H77" s="7" t="str">
        <f>VLOOKUP(D77,[1]characters!$A:$H,8,FALSE)</f>
        <v>blue</v>
      </c>
      <c r="I77" s="7" t="str">
        <f>VLOOKUP(D77,[1]characters!$A:$K,11,FALSE)</f>
        <v>balance</v>
      </c>
      <c r="J77" s="7" t="str">
        <f>VLOOKUP(D77,[1]characters!$A:$M,13,FALSE)</f>
        <v>human</v>
      </c>
      <c r="K77" s="7" t="str">
        <f>VLOOKUP(D77,[1]characters!$A:$G,7,FALSE)</f>
        <v>男性</v>
      </c>
      <c r="L77" s="66">
        <f>IFERROR(VLOOKUP(D77,input_0!L:R,7,FALSE),VLOOKUP(tables_0!B77,input_0!A:H,8,FALSE))</f>
        <v>46176</v>
      </c>
      <c r="M77" s="67">
        <f t="shared" si="3"/>
        <v>8.8888888888888893E-4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hidden="1" customHeight="1">
      <c r="A78" s="2">
        <f>input_0!A$2</f>
        <v>3120</v>
      </c>
      <c r="B78" s="7" t="str">
        <f t="shared" si="4"/>
        <v>Premium3</v>
      </c>
      <c r="C78" s="7" t="str">
        <f t="shared" si="5"/>
        <v>Premium</v>
      </c>
      <c r="D78" s="5">
        <v>202</v>
      </c>
      <c r="E78" s="7" t="str">
        <f>VLOOKUP(D78,[1]characters!$A:$C,3,FALSE)</f>
        <v>プロメテウス</v>
      </c>
      <c r="F78" s="7" t="str">
        <f>VLOOKUP(D78,[1]characters!$A:$J,10,FALSE)</f>
        <v>PremiumN</v>
      </c>
      <c r="G78" s="7">
        <f>VLOOKUP(D78,[1]characters!$A:$I,9,FALSE)</f>
        <v>3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66">
        <f>IFERROR(VLOOKUP(D78,input_0!L:R,7,FALSE),VLOOKUP(tables_0!B78,input_0!A:H,8,FALSE))</f>
        <v>0</v>
      </c>
      <c r="M78" s="67">
        <f t="shared" si="3"/>
        <v>0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hidden="1" customHeight="1">
      <c r="A79" s="2">
        <f>input_0!A$2</f>
        <v>3120</v>
      </c>
      <c r="B79" s="7" t="str">
        <f t="shared" si="4"/>
        <v>Premium4</v>
      </c>
      <c r="C79" s="7" t="str">
        <f t="shared" si="5"/>
        <v>Premium</v>
      </c>
      <c r="D79" s="5">
        <v>203</v>
      </c>
      <c r="E79" s="7" t="str">
        <f>VLOOKUP(D79,[1]characters!$A:$C,3,FALSE)</f>
        <v>焔神 プロメテウス</v>
      </c>
      <c r="F79" s="7" t="str">
        <f>VLOOKUP(D79,[1]characters!$A:$J,10,FALSE)</f>
        <v>PremiumN</v>
      </c>
      <c r="G79" s="7">
        <f>VLOOKUP(D79,[1]characters!$A:$I,9,FALSE)</f>
        <v>4</v>
      </c>
      <c r="H79" s="7" t="str">
        <f>VLOOKUP(D79,[1]characters!$A:$H,8,FALSE)</f>
        <v>red</v>
      </c>
      <c r="I79" s="7" t="str">
        <f>VLOOKUP(D79,[1]characters!$A:$K,11,FALSE)</f>
        <v>hp</v>
      </c>
      <c r="J79" s="7" t="str">
        <f>VLOOKUP(D79,[1]characters!$A:$M,13,FALSE)</f>
        <v>god</v>
      </c>
      <c r="K79" s="7" t="str">
        <f>VLOOKUP(D79,[1]characters!$A:$G,7,FALSE)</f>
        <v>男性</v>
      </c>
      <c r="L79" s="66">
        <f>IFERROR(VLOOKUP(D79,input_0!L:R,7,FALSE),VLOOKUP(tables_0!B79,input_0!A:H,8,FALSE))</f>
        <v>640224</v>
      </c>
      <c r="M79" s="67">
        <f t="shared" si="3"/>
        <v>1.2324324324324324E-2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hidden="1" customHeight="1">
      <c r="A80" s="2">
        <f>input_0!A$2</f>
        <v>3120</v>
      </c>
      <c r="B80" s="7" t="str">
        <f t="shared" si="4"/>
        <v>Premium5</v>
      </c>
      <c r="C80" s="7" t="str">
        <f t="shared" si="5"/>
        <v>Premium</v>
      </c>
      <c r="D80" s="5">
        <v>204</v>
      </c>
      <c r="E80" s="7" t="str">
        <f>VLOOKUP(D80,[1]characters!$A:$C,3,FALSE)</f>
        <v>慟哭の巨焔 プロメテウス</v>
      </c>
      <c r="F80" s="7" t="str">
        <f>VLOOKUP(D80,[1]characters!$A:$J,10,FALSE)</f>
        <v>PremiumN</v>
      </c>
      <c r="G80" s="7">
        <f>VLOOKUP(D80,[1]characters!$A:$I,9,FALSE)</f>
        <v>5</v>
      </c>
      <c r="H80" s="7" t="str">
        <f>VLOOKUP(D80,[1]characters!$A:$H,8,FALSE)</f>
        <v>red</v>
      </c>
      <c r="I80" s="7" t="str">
        <f>VLOOKUP(D80,[1]characters!$A:$K,11,FALSE)</f>
        <v>hp</v>
      </c>
      <c r="J80" s="7" t="str">
        <f>VLOOKUP(D80,[1]characters!$A:$M,13,FALSE)</f>
        <v>god</v>
      </c>
      <c r="K80" s="7" t="str">
        <f>VLOOKUP(D80,[1]characters!$A:$G,7,FALSE)</f>
        <v>男性</v>
      </c>
      <c r="L80" s="66">
        <f>IFERROR(VLOOKUP(D80,input_0!L:R,7,FALSE),VLOOKUP(tables_0!B80,input_0!A:H,8,FALSE))</f>
        <v>46176</v>
      </c>
      <c r="M80" s="67">
        <f t="shared" si="3"/>
        <v>8.8888888888888893E-4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hidden="1" customHeight="1">
      <c r="A81" s="2">
        <f>input_0!A$2</f>
        <v>3120</v>
      </c>
      <c r="B81" s="7" t="str">
        <f t="shared" si="4"/>
        <v>Premium3</v>
      </c>
      <c r="C81" s="7" t="str">
        <f t="shared" si="5"/>
        <v>Premium</v>
      </c>
      <c r="D81" s="5">
        <v>205</v>
      </c>
      <c r="E81" s="7" t="str">
        <f>VLOOKUP(D81,[1]characters!$A:$C,3,FALSE)</f>
        <v>アフロディーテ</v>
      </c>
      <c r="F81" s="7" t="str">
        <f>VLOOKUP(D81,[1]characters!$A:$J,10,FALSE)</f>
        <v>PremiumN</v>
      </c>
      <c r="G81" s="7">
        <f>VLOOKUP(D81,[1]characters!$A:$I,9,FALSE)</f>
        <v>3</v>
      </c>
      <c r="H81" s="7" t="str">
        <f>VLOOKUP(D81,[1]characters!$A:$H,8,FALSE)</f>
        <v>green</v>
      </c>
      <c r="I81" s="7" t="str">
        <f>VLOOKUP(D81,[1]characters!$A:$K,11,FALSE)</f>
        <v>hp</v>
      </c>
      <c r="J81" s="7" t="str">
        <f>VLOOKUP(D81,[1]characters!$A:$M,13,FALSE)</f>
        <v>god</v>
      </c>
      <c r="K81" s="7" t="str">
        <f>VLOOKUP(D81,[1]characters!$A:$G,7,FALSE)</f>
        <v>女性</v>
      </c>
      <c r="L81" s="66">
        <f>IFERROR(VLOOKUP(D81,input_0!L:R,7,FALSE),VLOOKUP(tables_0!B81,input_0!A:H,8,FALSE))</f>
        <v>0</v>
      </c>
      <c r="M81" s="67">
        <f t="shared" si="3"/>
        <v>0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  <row r="82" spans="1:19" ht="21" hidden="1" customHeight="1">
      <c r="A82" s="2">
        <f>input_0!A$2</f>
        <v>3120</v>
      </c>
      <c r="B82" s="7" t="str">
        <f t="shared" si="4"/>
        <v>Premium4</v>
      </c>
      <c r="C82" s="7" t="str">
        <f t="shared" si="5"/>
        <v>Premium</v>
      </c>
      <c r="D82" s="5">
        <v>206</v>
      </c>
      <c r="E82" s="7" t="str">
        <f>VLOOKUP(D82,[1]characters!$A:$C,3,FALSE)</f>
        <v>美神 アフロディーテ</v>
      </c>
      <c r="F82" s="7" t="str">
        <f>VLOOKUP(D82,[1]characters!$A:$J,10,FALSE)</f>
        <v>PremiumN</v>
      </c>
      <c r="G82" s="7">
        <f>VLOOKUP(D82,[1]characters!$A:$I,9,FALSE)</f>
        <v>4</v>
      </c>
      <c r="H82" s="7" t="str">
        <f>VLOOKUP(D82,[1]characters!$A:$H,8,FALSE)</f>
        <v>green</v>
      </c>
      <c r="I82" s="7" t="str">
        <f>VLOOKUP(D82,[1]characters!$A:$K,11,FALSE)</f>
        <v>hp</v>
      </c>
      <c r="J82" s="7" t="str">
        <f>VLOOKUP(D82,[1]characters!$A:$M,13,FALSE)</f>
        <v>god</v>
      </c>
      <c r="K82" s="7" t="str">
        <f>VLOOKUP(D82,[1]characters!$A:$G,7,FALSE)</f>
        <v>女性</v>
      </c>
      <c r="L82" s="66">
        <f>IFERROR(VLOOKUP(D82,input_0!L:R,7,FALSE),VLOOKUP(tables_0!B82,input_0!A:H,8,FALSE))</f>
        <v>640224</v>
      </c>
      <c r="M82" s="67">
        <f t="shared" si="3"/>
        <v>1.2324324324324324E-2</v>
      </c>
      <c r="N82" s="31">
        <f>IFERROR(VLOOKUP($D82,bug_conf_sheet!$A:$H,3,FALSE),VLOOKUP("other",bug_conf_sheet!$A:$H,3,FALSE))</f>
        <v>1</v>
      </c>
      <c r="O82" s="31">
        <f>IFERROR(VLOOKUP($D82,bug_conf_sheet!$A:$H,4,FALSE),VLOOKUP("other",bug_conf_sheet!$A:$H,4,FALSE))</f>
        <v>0</v>
      </c>
      <c r="P82" s="31">
        <f>IFERROR(VLOOKUP($D82,bug_conf_sheet!$A:$H,5,FALSE),VLOOKUP("other",bug_conf_sheet!$A:$H,5,FALSE))</f>
        <v>0</v>
      </c>
      <c r="Q82" s="31">
        <f>IFERROR(VLOOKUP($D82,bug_conf_sheet!$A:$H,6,FALSE),VLOOKUP("other",bug_conf_sheet!$A:$H,6,FALSE))</f>
        <v>0</v>
      </c>
      <c r="R82" s="31">
        <f>IFERROR(VLOOKUP($D82,bug_conf_sheet!$A:$H,7,FALSE),VLOOKUP("other",bug_conf_sheet!$A:$H,7,FALSE))</f>
        <v>0</v>
      </c>
      <c r="S82" s="31">
        <f>IFERROR(VLOOKUP($D82,bug_conf_sheet!$A:$H,8,FALSE),VLOOKUP("other",bug_conf_sheet!$A:$H,8,FALSE))</f>
        <v>1</v>
      </c>
    </row>
    <row r="83" spans="1:19" ht="21" hidden="1" customHeight="1">
      <c r="A83" s="2">
        <f>input_0!A$2</f>
        <v>3120</v>
      </c>
      <c r="B83" s="7" t="str">
        <f t="shared" si="4"/>
        <v>Premium5</v>
      </c>
      <c r="C83" s="7" t="str">
        <f t="shared" si="5"/>
        <v>Premium</v>
      </c>
      <c r="D83" s="5">
        <v>207</v>
      </c>
      <c r="E83" s="7" t="str">
        <f>VLOOKUP(D83,[1]characters!$A:$C,3,FALSE)</f>
        <v>豊穣の麗神・アフロディーテ</v>
      </c>
      <c r="F83" s="7" t="str">
        <f>VLOOKUP(D83,[1]characters!$A:$J,10,FALSE)</f>
        <v>PremiumN</v>
      </c>
      <c r="G83" s="7">
        <f>VLOOKUP(D83,[1]characters!$A:$I,9,FALSE)</f>
        <v>5</v>
      </c>
      <c r="H83" s="7" t="str">
        <f>VLOOKUP(D83,[1]characters!$A:$H,8,FALSE)</f>
        <v>green</v>
      </c>
      <c r="I83" s="7" t="str">
        <f>VLOOKUP(D83,[1]characters!$A:$K,11,FALSE)</f>
        <v>hp</v>
      </c>
      <c r="J83" s="7" t="str">
        <f>VLOOKUP(D83,[1]characters!$A:$M,13,FALSE)</f>
        <v>god</v>
      </c>
      <c r="K83" s="7" t="str">
        <f>VLOOKUP(D83,[1]characters!$A:$G,7,FALSE)</f>
        <v>女性</v>
      </c>
      <c r="L83" s="66">
        <f>IFERROR(VLOOKUP(D83,input_0!L:R,7,FALSE),VLOOKUP(tables_0!B83,input_0!A:H,8,FALSE))</f>
        <v>46176</v>
      </c>
      <c r="M83" s="67">
        <f t="shared" si="3"/>
        <v>8.8888888888888893E-4</v>
      </c>
      <c r="N83" s="31">
        <f>IFERROR(VLOOKUP($D83,bug_conf_sheet!$A:$H,3,FALSE),VLOOKUP("other",bug_conf_sheet!$A:$H,3,FALSE))</f>
        <v>1</v>
      </c>
      <c r="O83" s="31">
        <f>IFERROR(VLOOKUP($D83,bug_conf_sheet!$A:$H,4,FALSE),VLOOKUP("other",bug_conf_sheet!$A:$H,4,FALSE))</f>
        <v>0</v>
      </c>
      <c r="P83" s="31">
        <f>IFERROR(VLOOKUP($D83,bug_conf_sheet!$A:$H,5,FALSE),VLOOKUP("other",bug_conf_sheet!$A:$H,5,FALSE))</f>
        <v>0</v>
      </c>
      <c r="Q83" s="31">
        <f>IFERROR(VLOOKUP($D83,bug_conf_sheet!$A:$H,6,FALSE),VLOOKUP("other",bug_conf_sheet!$A:$H,6,FALSE))</f>
        <v>0</v>
      </c>
      <c r="R83" s="31">
        <f>IFERROR(VLOOKUP($D83,bug_conf_sheet!$A:$H,7,FALSE),VLOOKUP("other",bug_conf_sheet!$A:$H,7,FALSE))</f>
        <v>0</v>
      </c>
      <c r="S83" s="31">
        <f>IFERROR(VLOOKUP($D83,bug_conf_sheet!$A:$H,8,FALSE),VLOOKUP("other",bug_conf_sheet!$A:$H,8,FALSE))</f>
        <v>1</v>
      </c>
    </row>
    <row r="84" spans="1:19" ht="21" hidden="1" customHeight="1">
      <c r="A84" s="2">
        <f>input_0!A$2</f>
        <v>3120</v>
      </c>
      <c r="B84" s="7" t="str">
        <f t="shared" si="4"/>
        <v>Premium3</v>
      </c>
      <c r="C84" s="7" t="str">
        <f t="shared" si="5"/>
        <v>Premium</v>
      </c>
      <c r="D84" s="5">
        <v>208</v>
      </c>
      <c r="E84" s="7" t="str">
        <f>VLOOKUP(D84,[1]characters!$A:$C,3,FALSE)</f>
        <v>テティス</v>
      </c>
      <c r="F84" s="7" t="str">
        <f>VLOOKUP(D84,[1]characters!$A:$J,10,FALSE)</f>
        <v>PremiumN</v>
      </c>
      <c r="G84" s="7">
        <f>VLOOKUP(D84,[1]characters!$A:$I,9,FALSE)</f>
        <v>3</v>
      </c>
      <c r="H84" s="7" t="str">
        <f>VLOOKUP(D84,[1]characters!$A:$H,8,FALSE)</f>
        <v>blue</v>
      </c>
      <c r="I84" s="7" t="str">
        <f>VLOOKUP(D84,[1]characters!$A:$K,11,FALSE)</f>
        <v>hp</v>
      </c>
      <c r="J84" s="7" t="str">
        <f>VLOOKUP(D84,[1]characters!$A:$M,13,FALSE)</f>
        <v>god</v>
      </c>
      <c r="K84" s="7" t="str">
        <f>VLOOKUP(D84,[1]characters!$A:$G,7,FALSE)</f>
        <v>女性</v>
      </c>
      <c r="L84" s="66">
        <f>IFERROR(VLOOKUP(D84,input_0!L:R,7,FALSE),VLOOKUP(tables_0!B84,input_0!A:H,8,FALSE))</f>
        <v>0</v>
      </c>
      <c r="M84" s="67">
        <f t="shared" si="3"/>
        <v>0</v>
      </c>
      <c r="N84" s="31">
        <f>IFERROR(VLOOKUP($D84,bug_conf_sheet!$A:$H,3,FALSE),VLOOKUP("other",bug_conf_sheet!$A:$H,3,FALSE))</f>
        <v>1</v>
      </c>
      <c r="O84" s="31">
        <f>IFERROR(VLOOKUP($D84,bug_conf_sheet!$A:$H,4,FALSE),VLOOKUP("other",bug_conf_sheet!$A:$H,4,FALSE))</f>
        <v>0</v>
      </c>
      <c r="P84" s="31">
        <f>IFERROR(VLOOKUP($D84,bug_conf_sheet!$A:$H,5,FALSE),VLOOKUP("other",bug_conf_sheet!$A:$H,5,FALSE))</f>
        <v>0</v>
      </c>
      <c r="Q84" s="31">
        <f>IFERROR(VLOOKUP($D84,bug_conf_sheet!$A:$H,6,FALSE),VLOOKUP("other",bug_conf_sheet!$A:$H,6,FALSE))</f>
        <v>0</v>
      </c>
      <c r="R84" s="31">
        <f>IFERROR(VLOOKUP($D84,bug_conf_sheet!$A:$H,7,FALSE),VLOOKUP("other",bug_conf_sheet!$A:$H,7,FALSE))</f>
        <v>0</v>
      </c>
      <c r="S84" s="31">
        <f>IFERROR(VLOOKUP($D84,bug_conf_sheet!$A:$H,8,FALSE),VLOOKUP("other",bug_conf_sheet!$A:$H,8,FALSE))</f>
        <v>1</v>
      </c>
    </row>
    <row r="85" spans="1:19" ht="21" hidden="1" customHeight="1">
      <c r="A85" s="2">
        <f>input_0!A$2</f>
        <v>3120</v>
      </c>
      <c r="B85" s="7" t="str">
        <f t="shared" si="4"/>
        <v>Premium4</v>
      </c>
      <c r="C85" s="7" t="str">
        <f t="shared" si="5"/>
        <v>Premium</v>
      </c>
      <c r="D85" s="5">
        <v>209</v>
      </c>
      <c r="E85" s="7" t="str">
        <f>VLOOKUP(D85,[1]characters!$A:$C,3,FALSE)</f>
        <v>孤神 テティス</v>
      </c>
      <c r="F85" s="7" t="str">
        <f>VLOOKUP(D85,[1]characters!$A:$J,10,FALSE)</f>
        <v>PremiumN</v>
      </c>
      <c r="G85" s="7">
        <f>VLOOKUP(D85,[1]characters!$A:$I,9,FALSE)</f>
        <v>4</v>
      </c>
      <c r="H85" s="7" t="str">
        <f>VLOOKUP(D85,[1]characters!$A:$H,8,FALSE)</f>
        <v>blue</v>
      </c>
      <c r="I85" s="7" t="str">
        <f>VLOOKUP(D85,[1]characters!$A:$K,11,FALSE)</f>
        <v>hp</v>
      </c>
      <c r="J85" s="7" t="str">
        <f>VLOOKUP(D85,[1]characters!$A:$M,13,FALSE)</f>
        <v>god</v>
      </c>
      <c r="K85" s="7" t="str">
        <f>VLOOKUP(D85,[1]characters!$A:$G,7,FALSE)</f>
        <v>女性</v>
      </c>
      <c r="L85" s="66">
        <f>IFERROR(VLOOKUP(D85,input_0!L:R,7,FALSE),VLOOKUP(tables_0!B85,input_0!A:H,8,FALSE))</f>
        <v>640224</v>
      </c>
      <c r="M85" s="67">
        <f t="shared" si="3"/>
        <v>1.2324324324324324E-2</v>
      </c>
      <c r="N85" s="31">
        <f>IFERROR(VLOOKUP($D85,bug_conf_sheet!$A:$H,3,FALSE),VLOOKUP("other",bug_conf_sheet!$A:$H,3,FALSE))</f>
        <v>1</v>
      </c>
      <c r="O85" s="31">
        <f>IFERROR(VLOOKUP($D85,bug_conf_sheet!$A:$H,4,FALSE),VLOOKUP("other",bug_conf_sheet!$A:$H,4,FALSE))</f>
        <v>0</v>
      </c>
      <c r="P85" s="31">
        <f>IFERROR(VLOOKUP($D85,bug_conf_sheet!$A:$H,5,FALSE),VLOOKUP("other",bug_conf_sheet!$A:$H,5,FALSE))</f>
        <v>0</v>
      </c>
      <c r="Q85" s="31">
        <f>IFERROR(VLOOKUP($D85,bug_conf_sheet!$A:$H,6,FALSE),VLOOKUP("other",bug_conf_sheet!$A:$H,6,FALSE))</f>
        <v>0</v>
      </c>
      <c r="R85" s="31">
        <f>IFERROR(VLOOKUP($D85,bug_conf_sheet!$A:$H,7,FALSE),VLOOKUP("other",bug_conf_sheet!$A:$H,7,FALSE))</f>
        <v>0</v>
      </c>
      <c r="S85" s="31">
        <f>IFERROR(VLOOKUP($D85,bug_conf_sheet!$A:$H,8,FALSE),VLOOKUP("other",bug_conf_sheet!$A:$H,8,FALSE))</f>
        <v>1</v>
      </c>
    </row>
    <row r="86" spans="1:19" ht="21" hidden="1" customHeight="1">
      <c r="A86" s="2">
        <f>input_0!A$2</f>
        <v>3120</v>
      </c>
      <c r="B86" s="7" t="str">
        <f t="shared" si="4"/>
        <v>Premium5</v>
      </c>
      <c r="C86" s="7" t="str">
        <f t="shared" si="5"/>
        <v>Premium</v>
      </c>
      <c r="D86" s="5">
        <v>210</v>
      </c>
      <c r="E86" s="7" t="str">
        <f>VLOOKUP(D86,[1]characters!$A:$C,3,FALSE)</f>
        <v>海底の孤高神 テティス</v>
      </c>
      <c r="F86" s="7" t="str">
        <f>VLOOKUP(D86,[1]characters!$A:$J,10,FALSE)</f>
        <v>PremiumN</v>
      </c>
      <c r="G86" s="7">
        <f>VLOOKUP(D86,[1]characters!$A:$I,9,FALSE)</f>
        <v>5</v>
      </c>
      <c r="H86" s="7" t="str">
        <f>VLOOKUP(D86,[1]characters!$A:$H,8,FALSE)</f>
        <v>blue</v>
      </c>
      <c r="I86" s="7" t="str">
        <f>VLOOKUP(D86,[1]characters!$A:$K,11,FALSE)</f>
        <v>hp</v>
      </c>
      <c r="J86" s="7" t="str">
        <f>VLOOKUP(D86,[1]characters!$A:$M,13,FALSE)</f>
        <v>god</v>
      </c>
      <c r="K86" s="7" t="str">
        <f>VLOOKUP(D86,[1]characters!$A:$G,7,FALSE)</f>
        <v>女性</v>
      </c>
      <c r="L86" s="66">
        <f>IFERROR(VLOOKUP(D86,input_0!L:R,7,FALSE),VLOOKUP(tables_0!B86,input_0!A:H,8,FALSE))</f>
        <v>46176</v>
      </c>
      <c r="M86" s="67">
        <f t="shared" si="3"/>
        <v>8.8888888888888893E-4</v>
      </c>
      <c r="N86" s="31">
        <f>IFERROR(VLOOKUP($D86,bug_conf_sheet!$A:$H,3,FALSE),VLOOKUP("other",bug_conf_sheet!$A:$H,3,FALSE))</f>
        <v>1</v>
      </c>
      <c r="O86" s="31">
        <f>IFERROR(VLOOKUP($D86,bug_conf_sheet!$A:$H,4,FALSE),VLOOKUP("other",bug_conf_sheet!$A:$H,4,FALSE))</f>
        <v>0</v>
      </c>
      <c r="P86" s="31">
        <f>IFERROR(VLOOKUP($D86,bug_conf_sheet!$A:$H,5,FALSE),VLOOKUP("other",bug_conf_sheet!$A:$H,5,FALSE))</f>
        <v>0</v>
      </c>
      <c r="Q86" s="31">
        <f>IFERROR(VLOOKUP($D86,bug_conf_sheet!$A:$H,6,FALSE),VLOOKUP("other",bug_conf_sheet!$A:$H,6,FALSE))</f>
        <v>0</v>
      </c>
      <c r="R86" s="31">
        <f>IFERROR(VLOOKUP($D86,bug_conf_sheet!$A:$H,7,FALSE),VLOOKUP("other",bug_conf_sheet!$A:$H,7,FALSE))</f>
        <v>0</v>
      </c>
      <c r="S86" s="31">
        <f>IFERROR(VLOOKUP($D86,bug_conf_sheet!$A:$H,8,FALSE),VLOOKUP("other",bug_conf_sheet!$A:$H,8,FALSE))</f>
        <v>1</v>
      </c>
    </row>
    <row r="87" spans="1:19" ht="21" hidden="1" customHeight="1">
      <c r="A87" s="2">
        <f>input_0!A$2</f>
        <v>3120</v>
      </c>
      <c r="B87" s="7" t="str">
        <f t="shared" si="4"/>
        <v>Premium3</v>
      </c>
      <c r="C87" s="7" t="str">
        <f t="shared" si="5"/>
        <v>Premium</v>
      </c>
      <c r="D87" s="5">
        <v>211</v>
      </c>
      <c r="E87" s="7" t="str">
        <f>VLOOKUP(D87,[1]characters!$A:$C,3,FALSE)</f>
        <v>アストライアー</v>
      </c>
      <c r="F87" s="7" t="str">
        <f>VLOOKUP(D87,[1]characters!$A:$J,10,FALSE)</f>
        <v>PremiumN</v>
      </c>
      <c r="G87" s="7">
        <f>VLOOKUP(D87,[1]characters!$A:$I,9,FALSE)</f>
        <v>3</v>
      </c>
      <c r="H87" s="7" t="str">
        <f>VLOOKUP(D87,[1]characters!$A:$H,8,FALSE)</f>
        <v>yellow</v>
      </c>
      <c r="I87" s="7" t="str">
        <f>VLOOKUP(D87,[1]characters!$A:$K,11,FALSE)</f>
        <v>balance</v>
      </c>
      <c r="J87" s="7" t="str">
        <f>VLOOKUP(D87,[1]characters!$A:$M,13,FALSE)</f>
        <v>god</v>
      </c>
      <c r="K87" s="7" t="str">
        <f>VLOOKUP(D87,[1]characters!$A:$G,7,FALSE)</f>
        <v>女性</v>
      </c>
      <c r="L87" s="66">
        <f>IFERROR(VLOOKUP(D87,input_0!L:R,7,FALSE),VLOOKUP(tables_0!B87,input_0!A:H,8,FALSE))</f>
        <v>0</v>
      </c>
      <c r="M87" s="67">
        <f t="shared" si="3"/>
        <v>0</v>
      </c>
      <c r="N87" s="31">
        <f>IFERROR(VLOOKUP($D87,bug_conf_sheet!$A:$H,3,FALSE),VLOOKUP("other",bug_conf_sheet!$A:$H,3,FALSE))</f>
        <v>1</v>
      </c>
      <c r="O87" s="31">
        <f>IFERROR(VLOOKUP($D87,bug_conf_sheet!$A:$H,4,FALSE),VLOOKUP("other",bug_conf_sheet!$A:$H,4,FALSE))</f>
        <v>0</v>
      </c>
      <c r="P87" s="31">
        <f>IFERROR(VLOOKUP($D87,bug_conf_sheet!$A:$H,5,FALSE),VLOOKUP("other",bug_conf_sheet!$A:$H,5,FALSE))</f>
        <v>0</v>
      </c>
      <c r="Q87" s="31">
        <f>IFERROR(VLOOKUP($D87,bug_conf_sheet!$A:$H,6,FALSE),VLOOKUP("other",bug_conf_sheet!$A:$H,6,FALSE))</f>
        <v>0</v>
      </c>
      <c r="R87" s="31">
        <f>IFERROR(VLOOKUP($D87,bug_conf_sheet!$A:$H,7,FALSE),VLOOKUP("other",bug_conf_sheet!$A:$H,7,FALSE))</f>
        <v>0</v>
      </c>
      <c r="S87" s="31">
        <f>IFERROR(VLOOKUP($D87,bug_conf_sheet!$A:$H,8,FALSE),VLOOKUP("other",bug_conf_sheet!$A:$H,8,FALSE))</f>
        <v>1</v>
      </c>
    </row>
    <row r="88" spans="1:19" ht="21" hidden="1" customHeight="1">
      <c r="A88" s="2">
        <f>input_0!A$2</f>
        <v>3120</v>
      </c>
      <c r="B88" s="7" t="str">
        <f t="shared" si="4"/>
        <v>Premium4</v>
      </c>
      <c r="C88" s="7" t="str">
        <f t="shared" si="5"/>
        <v>Premium</v>
      </c>
      <c r="D88" s="5">
        <v>212</v>
      </c>
      <c r="E88" s="7" t="str">
        <f>VLOOKUP(D88,[1]characters!$A:$C,3,FALSE)</f>
        <v>星神 アストライアー</v>
      </c>
      <c r="F88" s="7" t="str">
        <f>VLOOKUP(D88,[1]characters!$A:$J,10,FALSE)</f>
        <v>PremiumN</v>
      </c>
      <c r="G88" s="7">
        <f>VLOOKUP(D88,[1]characters!$A:$I,9,FALSE)</f>
        <v>4</v>
      </c>
      <c r="H88" s="7" t="str">
        <f>VLOOKUP(D88,[1]characters!$A:$H,8,FALSE)</f>
        <v>yellow</v>
      </c>
      <c r="I88" s="7" t="str">
        <f>VLOOKUP(D88,[1]characters!$A:$K,11,FALSE)</f>
        <v>balance</v>
      </c>
      <c r="J88" s="7" t="str">
        <f>VLOOKUP(D88,[1]characters!$A:$M,13,FALSE)</f>
        <v>god</v>
      </c>
      <c r="K88" s="7" t="str">
        <f>VLOOKUP(D88,[1]characters!$A:$G,7,FALSE)</f>
        <v>女性</v>
      </c>
      <c r="L88" s="66">
        <f>IFERROR(VLOOKUP(D88,input_0!L:R,7,FALSE),VLOOKUP(tables_0!B88,input_0!A:H,8,FALSE))</f>
        <v>640224</v>
      </c>
      <c r="M88" s="67">
        <f t="shared" si="3"/>
        <v>1.2324324324324324E-2</v>
      </c>
      <c r="N88" s="31">
        <f>IFERROR(VLOOKUP($D88,bug_conf_sheet!$A:$H,3,FALSE),VLOOKUP("other",bug_conf_sheet!$A:$H,3,FALSE))</f>
        <v>1</v>
      </c>
      <c r="O88" s="31">
        <f>IFERROR(VLOOKUP($D88,bug_conf_sheet!$A:$H,4,FALSE),VLOOKUP("other",bug_conf_sheet!$A:$H,4,FALSE))</f>
        <v>0</v>
      </c>
      <c r="P88" s="31">
        <f>IFERROR(VLOOKUP($D88,bug_conf_sheet!$A:$H,5,FALSE),VLOOKUP("other",bug_conf_sheet!$A:$H,5,FALSE))</f>
        <v>0</v>
      </c>
      <c r="Q88" s="31">
        <f>IFERROR(VLOOKUP($D88,bug_conf_sheet!$A:$H,6,FALSE),VLOOKUP("other",bug_conf_sheet!$A:$H,6,FALSE))</f>
        <v>0</v>
      </c>
      <c r="R88" s="31">
        <f>IFERROR(VLOOKUP($D88,bug_conf_sheet!$A:$H,7,FALSE),VLOOKUP("other",bug_conf_sheet!$A:$H,7,FALSE))</f>
        <v>0</v>
      </c>
      <c r="S88" s="31">
        <f>IFERROR(VLOOKUP($D88,bug_conf_sheet!$A:$H,8,FALSE),VLOOKUP("other",bug_conf_sheet!$A:$H,8,FALSE))</f>
        <v>1</v>
      </c>
    </row>
    <row r="89" spans="1:19" ht="21" hidden="1" customHeight="1">
      <c r="A89" s="2">
        <f>input_0!A$2</f>
        <v>3120</v>
      </c>
      <c r="B89" s="7" t="str">
        <f t="shared" si="4"/>
        <v>Premium5</v>
      </c>
      <c r="C89" s="7" t="str">
        <f t="shared" si="5"/>
        <v>Premium</v>
      </c>
      <c r="D89" s="5">
        <v>213</v>
      </c>
      <c r="E89" s="7" t="str">
        <f>VLOOKUP(D89,[1]characters!$A:$C,3,FALSE)</f>
        <v>満天の星降神 アストライアー</v>
      </c>
      <c r="F89" s="7" t="str">
        <f>VLOOKUP(D89,[1]characters!$A:$J,10,FALSE)</f>
        <v>PremiumN</v>
      </c>
      <c r="G89" s="7">
        <f>VLOOKUP(D89,[1]characters!$A:$I,9,FALSE)</f>
        <v>5</v>
      </c>
      <c r="H89" s="7" t="str">
        <f>VLOOKUP(D89,[1]characters!$A:$H,8,FALSE)</f>
        <v>yellow</v>
      </c>
      <c r="I89" s="7" t="str">
        <f>VLOOKUP(D89,[1]characters!$A:$K,11,FALSE)</f>
        <v>balance</v>
      </c>
      <c r="J89" s="7" t="str">
        <f>VLOOKUP(D89,[1]characters!$A:$M,13,FALSE)</f>
        <v>god</v>
      </c>
      <c r="K89" s="7" t="str">
        <f>VLOOKUP(D89,[1]characters!$A:$G,7,FALSE)</f>
        <v>女性</v>
      </c>
      <c r="L89" s="66">
        <f>IFERROR(VLOOKUP(D89,input_0!L:R,7,FALSE),VLOOKUP(tables_0!B89,input_0!A:H,8,FALSE))</f>
        <v>46176</v>
      </c>
      <c r="M89" s="67">
        <f t="shared" si="3"/>
        <v>8.8888888888888893E-4</v>
      </c>
      <c r="N89" s="31">
        <f>IFERROR(VLOOKUP($D89,bug_conf_sheet!$A:$H,3,FALSE),VLOOKUP("other",bug_conf_sheet!$A:$H,3,FALSE))</f>
        <v>1</v>
      </c>
      <c r="O89" s="31">
        <f>IFERROR(VLOOKUP($D89,bug_conf_sheet!$A:$H,4,FALSE),VLOOKUP("other",bug_conf_sheet!$A:$H,4,FALSE))</f>
        <v>0</v>
      </c>
      <c r="P89" s="31">
        <f>IFERROR(VLOOKUP($D89,bug_conf_sheet!$A:$H,5,FALSE),VLOOKUP("other",bug_conf_sheet!$A:$H,5,FALSE))</f>
        <v>0</v>
      </c>
      <c r="Q89" s="31">
        <f>IFERROR(VLOOKUP($D89,bug_conf_sheet!$A:$H,6,FALSE),VLOOKUP("other",bug_conf_sheet!$A:$H,6,FALSE))</f>
        <v>0</v>
      </c>
      <c r="R89" s="31">
        <f>IFERROR(VLOOKUP($D89,bug_conf_sheet!$A:$H,7,FALSE),VLOOKUP("other",bug_conf_sheet!$A:$H,7,FALSE))</f>
        <v>0</v>
      </c>
      <c r="S89" s="31">
        <f>IFERROR(VLOOKUP($D89,bug_conf_sheet!$A:$H,8,FALSE),VLOOKUP("other",bug_conf_sheet!$A:$H,8,FALSE))</f>
        <v>1</v>
      </c>
    </row>
    <row r="90" spans="1:19" ht="21" hidden="1" customHeight="1">
      <c r="A90" s="2">
        <f>input_0!A$2</f>
        <v>3120</v>
      </c>
      <c r="B90" s="7" t="str">
        <f t="shared" si="4"/>
        <v>Premium3</v>
      </c>
      <c r="C90" s="7" t="str">
        <f t="shared" si="5"/>
        <v>Premium</v>
      </c>
      <c r="D90" s="5">
        <v>214</v>
      </c>
      <c r="E90" s="7" t="str">
        <f>VLOOKUP(D90,[1]characters!$A:$C,3,FALSE)</f>
        <v>アズラエル</v>
      </c>
      <c r="F90" s="7" t="str">
        <f>VLOOKUP(D90,[1]characters!$A:$J,10,FALSE)</f>
        <v>PremiumN</v>
      </c>
      <c r="G90" s="7">
        <f>VLOOKUP(D90,[1]characters!$A:$I,9,FALSE)</f>
        <v>3</v>
      </c>
      <c r="H90" s="7" t="str">
        <f>VLOOKUP(D90,[1]characters!$A:$H,8,FALSE)</f>
        <v>red</v>
      </c>
      <c r="I90" s="7" t="str">
        <f>VLOOKUP(D90,[1]characters!$A:$K,11,FALSE)</f>
        <v>balance</v>
      </c>
      <c r="J90" s="7" t="str">
        <f>VLOOKUP(D90,[1]characters!$A:$M,13,FALSE)</f>
        <v>god</v>
      </c>
      <c r="K90" s="7" t="str">
        <f>VLOOKUP(D90,[1]characters!$A:$G,7,FALSE)</f>
        <v>女性</v>
      </c>
      <c r="L90" s="66">
        <f>IFERROR(VLOOKUP(D90,input_0!L:R,7,FALSE),VLOOKUP(tables_0!B90,input_0!A:H,8,FALSE))</f>
        <v>0</v>
      </c>
      <c r="M90" s="67">
        <f t="shared" si="3"/>
        <v>0</v>
      </c>
      <c r="N90" s="31">
        <f>IFERROR(VLOOKUP($D90,bug_conf_sheet!$A:$H,3,FALSE),VLOOKUP("other",bug_conf_sheet!$A:$H,3,FALSE))</f>
        <v>1</v>
      </c>
      <c r="O90" s="31">
        <f>IFERROR(VLOOKUP($D90,bug_conf_sheet!$A:$H,4,FALSE),VLOOKUP("other",bug_conf_sheet!$A:$H,4,FALSE))</f>
        <v>0</v>
      </c>
      <c r="P90" s="31">
        <f>IFERROR(VLOOKUP($D90,bug_conf_sheet!$A:$H,5,FALSE),VLOOKUP("other",bug_conf_sheet!$A:$H,5,FALSE))</f>
        <v>0</v>
      </c>
      <c r="Q90" s="31">
        <f>IFERROR(VLOOKUP($D90,bug_conf_sheet!$A:$H,6,FALSE),VLOOKUP("other",bug_conf_sheet!$A:$H,6,FALSE))</f>
        <v>0</v>
      </c>
      <c r="R90" s="31">
        <f>IFERROR(VLOOKUP($D90,bug_conf_sheet!$A:$H,7,FALSE),VLOOKUP("other",bug_conf_sheet!$A:$H,7,FALSE))</f>
        <v>0</v>
      </c>
      <c r="S90" s="31">
        <f>IFERROR(VLOOKUP($D90,bug_conf_sheet!$A:$H,8,FALSE),VLOOKUP("other",bug_conf_sheet!$A:$H,8,FALSE))</f>
        <v>1</v>
      </c>
    </row>
    <row r="91" spans="1:19" ht="21" hidden="1" customHeight="1">
      <c r="A91" s="2">
        <f>input_0!A$2</f>
        <v>3120</v>
      </c>
      <c r="B91" s="7" t="str">
        <f t="shared" si="4"/>
        <v>Premium4</v>
      </c>
      <c r="C91" s="7" t="str">
        <f t="shared" si="5"/>
        <v>Premium</v>
      </c>
      <c r="D91" s="5">
        <v>215</v>
      </c>
      <c r="E91" s="7" t="str">
        <f>VLOOKUP(D91,[1]characters!$A:$C,3,FALSE)</f>
        <v>死導者 アズラエル</v>
      </c>
      <c r="F91" s="7" t="str">
        <f>VLOOKUP(D91,[1]characters!$A:$J,10,FALSE)</f>
        <v>PremiumN</v>
      </c>
      <c r="G91" s="7">
        <f>VLOOKUP(D91,[1]characters!$A:$I,9,FALSE)</f>
        <v>4</v>
      </c>
      <c r="H91" s="7" t="str">
        <f>VLOOKUP(D91,[1]characters!$A:$H,8,FALSE)</f>
        <v>red</v>
      </c>
      <c r="I91" s="7" t="str">
        <f>VLOOKUP(D91,[1]characters!$A:$K,11,FALSE)</f>
        <v>balance</v>
      </c>
      <c r="J91" s="7" t="str">
        <f>VLOOKUP(D91,[1]characters!$A:$M,13,FALSE)</f>
        <v>god</v>
      </c>
      <c r="K91" s="7" t="str">
        <f>VLOOKUP(D91,[1]characters!$A:$G,7,FALSE)</f>
        <v>女性</v>
      </c>
      <c r="L91" s="66">
        <f>IFERROR(VLOOKUP(D91,input_0!L:R,7,FALSE),VLOOKUP(tables_0!B91,input_0!A:H,8,FALSE))</f>
        <v>640224</v>
      </c>
      <c r="M91" s="67">
        <f t="shared" si="3"/>
        <v>1.2324324324324324E-2</v>
      </c>
      <c r="N91" s="31">
        <f>IFERROR(VLOOKUP($D91,bug_conf_sheet!$A:$H,3,FALSE),VLOOKUP("other",bug_conf_sheet!$A:$H,3,FALSE))</f>
        <v>1</v>
      </c>
      <c r="O91" s="31">
        <f>IFERROR(VLOOKUP($D91,bug_conf_sheet!$A:$H,4,FALSE),VLOOKUP("other",bug_conf_sheet!$A:$H,4,FALSE))</f>
        <v>0</v>
      </c>
      <c r="P91" s="31">
        <f>IFERROR(VLOOKUP($D91,bug_conf_sheet!$A:$H,5,FALSE),VLOOKUP("other",bug_conf_sheet!$A:$H,5,FALSE))</f>
        <v>0</v>
      </c>
      <c r="Q91" s="31">
        <f>IFERROR(VLOOKUP($D91,bug_conf_sheet!$A:$H,6,FALSE),VLOOKUP("other",bug_conf_sheet!$A:$H,6,FALSE))</f>
        <v>0</v>
      </c>
      <c r="R91" s="31">
        <f>IFERROR(VLOOKUP($D91,bug_conf_sheet!$A:$H,7,FALSE),VLOOKUP("other",bug_conf_sheet!$A:$H,7,FALSE))</f>
        <v>0</v>
      </c>
      <c r="S91" s="31">
        <f>IFERROR(VLOOKUP($D91,bug_conf_sheet!$A:$H,8,FALSE),VLOOKUP("other",bug_conf_sheet!$A:$H,8,FALSE))</f>
        <v>1</v>
      </c>
    </row>
    <row r="92" spans="1:19" ht="21" hidden="1" customHeight="1">
      <c r="A92" s="2">
        <f>input_0!A$2</f>
        <v>3120</v>
      </c>
      <c r="B92" s="7" t="str">
        <f t="shared" si="4"/>
        <v>Premium5</v>
      </c>
      <c r="C92" s="7" t="str">
        <f t="shared" si="5"/>
        <v>Premium</v>
      </c>
      <c r="D92" s="5">
        <v>216</v>
      </c>
      <c r="E92" s="7" t="str">
        <f>VLOOKUP(D92,[1]characters!$A:$C,3,FALSE)</f>
        <v>百読の死導司書 アズラエル</v>
      </c>
      <c r="F92" s="7" t="str">
        <f>VLOOKUP(D92,[1]characters!$A:$J,10,FALSE)</f>
        <v>PremiumN</v>
      </c>
      <c r="G92" s="7">
        <f>VLOOKUP(D92,[1]characters!$A:$I,9,FALSE)</f>
        <v>5</v>
      </c>
      <c r="H92" s="7" t="str">
        <f>VLOOKUP(D92,[1]characters!$A:$H,8,FALSE)</f>
        <v>red</v>
      </c>
      <c r="I92" s="7" t="str">
        <f>VLOOKUP(D92,[1]characters!$A:$K,11,FALSE)</f>
        <v>balance</v>
      </c>
      <c r="J92" s="7" t="str">
        <f>VLOOKUP(D92,[1]characters!$A:$M,13,FALSE)</f>
        <v>god</v>
      </c>
      <c r="K92" s="7" t="str">
        <f>VLOOKUP(D92,[1]characters!$A:$G,7,FALSE)</f>
        <v>女性</v>
      </c>
      <c r="L92" s="66">
        <f>IFERROR(VLOOKUP(D92,input_0!L:R,7,FALSE),VLOOKUP(tables_0!B92,input_0!A:H,8,FALSE))</f>
        <v>46176</v>
      </c>
      <c r="M92" s="67">
        <f t="shared" si="3"/>
        <v>8.8888888888888893E-4</v>
      </c>
      <c r="N92" s="31">
        <f>IFERROR(VLOOKUP($D92,bug_conf_sheet!$A:$H,3,FALSE),VLOOKUP("other",bug_conf_sheet!$A:$H,3,FALSE))</f>
        <v>1</v>
      </c>
      <c r="O92" s="31">
        <f>IFERROR(VLOOKUP($D92,bug_conf_sheet!$A:$H,4,FALSE),VLOOKUP("other",bug_conf_sheet!$A:$H,4,FALSE))</f>
        <v>0</v>
      </c>
      <c r="P92" s="31">
        <f>IFERROR(VLOOKUP($D92,bug_conf_sheet!$A:$H,5,FALSE),VLOOKUP("other",bug_conf_sheet!$A:$H,5,FALSE))</f>
        <v>0</v>
      </c>
      <c r="Q92" s="31">
        <f>IFERROR(VLOOKUP($D92,bug_conf_sheet!$A:$H,6,FALSE),VLOOKUP("other",bug_conf_sheet!$A:$H,6,FALSE))</f>
        <v>0</v>
      </c>
      <c r="R92" s="31">
        <f>IFERROR(VLOOKUP($D92,bug_conf_sheet!$A:$H,7,FALSE),VLOOKUP("other",bug_conf_sheet!$A:$H,7,FALSE))</f>
        <v>0</v>
      </c>
      <c r="S92" s="31">
        <f>IFERROR(VLOOKUP($D92,bug_conf_sheet!$A:$H,8,FALSE),VLOOKUP("other",bug_conf_sheet!$A:$H,8,FALSE))</f>
        <v>1</v>
      </c>
    </row>
    <row r="93" spans="1:19" ht="21" hidden="1" customHeight="1">
      <c r="A93" s="2">
        <f>input_0!A$2</f>
        <v>3120</v>
      </c>
      <c r="B93" s="7" t="str">
        <f t="shared" si="4"/>
        <v>Premium3</v>
      </c>
      <c r="C93" s="7" t="str">
        <f t="shared" si="5"/>
        <v>Premium</v>
      </c>
      <c r="D93" s="5">
        <v>217</v>
      </c>
      <c r="E93" s="7" t="str">
        <f>VLOOKUP(D93,[1]characters!$A:$C,3,FALSE)</f>
        <v>ケツァクアトル</v>
      </c>
      <c r="F93" s="7" t="str">
        <f>VLOOKUP(D93,[1]characters!$A:$J,10,FALSE)</f>
        <v>PremiumN</v>
      </c>
      <c r="G93" s="7">
        <f>VLOOKUP(D93,[1]characters!$A:$I,9,FALSE)</f>
        <v>3</v>
      </c>
      <c r="H93" s="7" t="str">
        <f>VLOOKUP(D93,[1]characters!$A:$H,8,FALSE)</f>
        <v>green</v>
      </c>
      <c r="I93" s="7" t="str">
        <f>VLOOKUP(D93,[1]characters!$A:$K,11,FALSE)</f>
        <v>hp</v>
      </c>
      <c r="J93" s="7" t="str">
        <f>VLOOKUP(D93,[1]characters!$A:$M,13,FALSE)</f>
        <v>dragon</v>
      </c>
      <c r="K93" s="7" t="str">
        <f>VLOOKUP(D93,[1]characters!$A:$G,7,FALSE)</f>
        <v>女性</v>
      </c>
      <c r="L93" s="66">
        <f>IFERROR(VLOOKUP(D93,input_0!L:R,7,FALSE),VLOOKUP(tables_0!B93,input_0!A:H,8,FALSE))</f>
        <v>0</v>
      </c>
      <c r="M93" s="67">
        <f t="shared" si="3"/>
        <v>0</v>
      </c>
      <c r="N93" s="31">
        <f>IFERROR(VLOOKUP($D93,bug_conf_sheet!$A:$H,3,FALSE),VLOOKUP("other",bug_conf_sheet!$A:$H,3,FALSE))</f>
        <v>1</v>
      </c>
      <c r="O93" s="31">
        <f>IFERROR(VLOOKUP($D93,bug_conf_sheet!$A:$H,4,FALSE),VLOOKUP("other",bug_conf_sheet!$A:$H,4,FALSE))</f>
        <v>0</v>
      </c>
      <c r="P93" s="31">
        <f>IFERROR(VLOOKUP($D93,bug_conf_sheet!$A:$H,5,FALSE),VLOOKUP("other",bug_conf_sheet!$A:$H,5,FALSE))</f>
        <v>0</v>
      </c>
      <c r="Q93" s="31">
        <f>IFERROR(VLOOKUP($D93,bug_conf_sheet!$A:$H,6,FALSE),VLOOKUP("other",bug_conf_sheet!$A:$H,6,FALSE))</f>
        <v>0</v>
      </c>
      <c r="R93" s="31">
        <f>IFERROR(VLOOKUP($D93,bug_conf_sheet!$A:$H,7,FALSE),VLOOKUP("other",bug_conf_sheet!$A:$H,7,FALSE))</f>
        <v>0</v>
      </c>
      <c r="S93" s="31">
        <f>IFERROR(VLOOKUP($D93,bug_conf_sheet!$A:$H,8,FALSE),VLOOKUP("other",bug_conf_sheet!$A:$H,8,FALSE))</f>
        <v>1</v>
      </c>
    </row>
    <row r="94" spans="1:19" ht="21" hidden="1" customHeight="1">
      <c r="A94" s="2">
        <f>input_0!A$2</f>
        <v>3120</v>
      </c>
      <c r="B94" s="7" t="str">
        <f t="shared" si="4"/>
        <v>Premium4</v>
      </c>
      <c r="C94" s="7" t="str">
        <f t="shared" si="5"/>
        <v>Premium</v>
      </c>
      <c r="D94" s="5">
        <v>218</v>
      </c>
      <c r="E94" s="7" t="str">
        <f>VLOOKUP(D94,[1]characters!$A:$C,3,FALSE)</f>
        <v>聖蛇 ケツァクアトル</v>
      </c>
      <c r="F94" s="7" t="str">
        <f>VLOOKUP(D94,[1]characters!$A:$J,10,FALSE)</f>
        <v>PremiumN</v>
      </c>
      <c r="G94" s="7">
        <f>VLOOKUP(D94,[1]characters!$A:$I,9,FALSE)</f>
        <v>4</v>
      </c>
      <c r="H94" s="7" t="str">
        <f>VLOOKUP(D94,[1]characters!$A:$H,8,FALSE)</f>
        <v>green</v>
      </c>
      <c r="I94" s="7" t="str">
        <f>VLOOKUP(D94,[1]characters!$A:$K,11,FALSE)</f>
        <v>hp</v>
      </c>
      <c r="J94" s="7" t="str">
        <f>VLOOKUP(D94,[1]characters!$A:$M,13,FALSE)</f>
        <v>dragon</v>
      </c>
      <c r="K94" s="7" t="str">
        <f>VLOOKUP(D94,[1]characters!$A:$G,7,FALSE)</f>
        <v>女性</v>
      </c>
      <c r="L94" s="66">
        <f>IFERROR(VLOOKUP(D94,input_0!L:R,7,FALSE),VLOOKUP(tables_0!B94,input_0!A:H,8,FALSE))</f>
        <v>640224</v>
      </c>
      <c r="M94" s="67">
        <f t="shared" si="3"/>
        <v>1.2324324324324324E-2</v>
      </c>
      <c r="N94" s="31">
        <f>IFERROR(VLOOKUP($D94,bug_conf_sheet!$A:$H,3,FALSE),VLOOKUP("other",bug_conf_sheet!$A:$H,3,FALSE))</f>
        <v>1</v>
      </c>
      <c r="O94" s="31">
        <f>IFERROR(VLOOKUP($D94,bug_conf_sheet!$A:$H,4,FALSE),VLOOKUP("other",bug_conf_sheet!$A:$H,4,FALSE))</f>
        <v>0</v>
      </c>
      <c r="P94" s="31">
        <f>IFERROR(VLOOKUP($D94,bug_conf_sheet!$A:$H,5,FALSE),VLOOKUP("other",bug_conf_sheet!$A:$H,5,FALSE))</f>
        <v>0</v>
      </c>
      <c r="Q94" s="31">
        <f>IFERROR(VLOOKUP($D94,bug_conf_sheet!$A:$H,6,FALSE),VLOOKUP("other",bug_conf_sheet!$A:$H,6,FALSE))</f>
        <v>0</v>
      </c>
      <c r="R94" s="31">
        <f>IFERROR(VLOOKUP($D94,bug_conf_sheet!$A:$H,7,FALSE),VLOOKUP("other",bug_conf_sheet!$A:$H,7,FALSE))</f>
        <v>0</v>
      </c>
      <c r="S94" s="31">
        <f>IFERROR(VLOOKUP($D94,bug_conf_sheet!$A:$H,8,FALSE),VLOOKUP("other",bug_conf_sheet!$A:$H,8,FALSE))</f>
        <v>1</v>
      </c>
    </row>
    <row r="95" spans="1:19" ht="21" hidden="1" customHeight="1">
      <c r="A95" s="2">
        <f>input_0!A$2</f>
        <v>3120</v>
      </c>
      <c r="B95" s="7" t="str">
        <f t="shared" si="4"/>
        <v>Premium5</v>
      </c>
      <c r="C95" s="7" t="str">
        <f t="shared" si="5"/>
        <v>Premium</v>
      </c>
      <c r="D95" s="5">
        <v>219</v>
      </c>
      <c r="E95" s="7" t="str">
        <f>VLOOKUP(D95,[1]characters!$A:$C,3,FALSE)</f>
        <v>覇翼の聖蛇竜 ケツァクアトル</v>
      </c>
      <c r="F95" s="7" t="str">
        <f>VLOOKUP(D95,[1]characters!$A:$J,10,FALSE)</f>
        <v>PremiumN</v>
      </c>
      <c r="G95" s="7">
        <f>VLOOKUP(D95,[1]characters!$A:$I,9,FALSE)</f>
        <v>5</v>
      </c>
      <c r="H95" s="7" t="str">
        <f>VLOOKUP(D95,[1]characters!$A:$H,8,FALSE)</f>
        <v>green</v>
      </c>
      <c r="I95" s="7" t="str">
        <f>VLOOKUP(D95,[1]characters!$A:$K,11,FALSE)</f>
        <v>hp</v>
      </c>
      <c r="J95" s="7" t="str">
        <f>VLOOKUP(D95,[1]characters!$A:$M,13,FALSE)</f>
        <v>dragon</v>
      </c>
      <c r="K95" s="7" t="str">
        <f>VLOOKUP(D95,[1]characters!$A:$G,7,FALSE)</f>
        <v>女性</v>
      </c>
      <c r="L95" s="66">
        <f>IFERROR(VLOOKUP(D95,input_0!L:R,7,FALSE),VLOOKUP(tables_0!B95,input_0!A:H,8,FALSE))</f>
        <v>46176</v>
      </c>
      <c r="M95" s="67">
        <f t="shared" si="3"/>
        <v>8.8888888888888893E-4</v>
      </c>
      <c r="N95" s="31">
        <f>IFERROR(VLOOKUP($D95,bug_conf_sheet!$A:$H,3,FALSE),VLOOKUP("other",bug_conf_sheet!$A:$H,3,FALSE))</f>
        <v>1</v>
      </c>
      <c r="O95" s="31">
        <f>IFERROR(VLOOKUP($D95,bug_conf_sheet!$A:$H,4,FALSE),VLOOKUP("other",bug_conf_sheet!$A:$H,4,FALSE))</f>
        <v>0</v>
      </c>
      <c r="P95" s="31">
        <f>IFERROR(VLOOKUP($D95,bug_conf_sheet!$A:$H,5,FALSE),VLOOKUP("other",bug_conf_sheet!$A:$H,5,FALSE))</f>
        <v>0</v>
      </c>
      <c r="Q95" s="31">
        <f>IFERROR(VLOOKUP($D95,bug_conf_sheet!$A:$H,6,FALSE),VLOOKUP("other",bug_conf_sheet!$A:$H,6,FALSE))</f>
        <v>0</v>
      </c>
      <c r="R95" s="31">
        <f>IFERROR(VLOOKUP($D95,bug_conf_sheet!$A:$H,7,FALSE),VLOOKUP("other",bug_conf_sheet!$A:$H,7,FALSE))</f>
        <v>0</v>
      </c>
      <c r="S95" s="31">
        <f>IFERROR(VLOOKUP($D95,bug_conf_sheet!$A:$H,8,FALSE),VLOOKUP("other",bug_conf_sheet!$A:$H,8,FALSE))</f>
        <v>1</v>
      </c>
    </row>
    <row r="96" spans="1:19" ht="21" hidden="1" customHeight="1">
      <c r="A96" s="2">
        <f>input_0!A$2</f>
        <v>3120</v>
      </c>
      <c r="B96" s="7" t="str">
        <f t="shared" si="4"/>
        <v>Premium3</v>
      </c>
      <c r="C96" s="7" t="str">
        <f t="shared" si="5"/>
        <v>Premium</v>
      </c>
      <c r="D96" s="5">
        <v>220</v>
      </c>
      <c r="E96" s="7" t="str">
        <f>VLOOKUP(D96,[1]characters!$A:$C,3,FALSE)</f>
        <v>ルキフグス</v>
      </c>
      <c r="F96" s="7" t="str">
        <f>VLOOKUP(D96,[1]characters!$A:$J,10,FALSE)</f>
        <v>PremiumN</v>
      </c>
      <c r="G96" s="7">
        <f>VLOOKUP(D96,[1]characters!$A:$I,9,FALSE)</f>
        <v>3</v>
      </c>
      <c r="H96" s="7" t="str">
        <f>VLOOKUP(D96,[1]characters!$A:$H,8,FALSE)</f>
        <v>blue</v>
      </c>
      <c r="I96" s="7" t="str">
        <f>VLOOKUP(D96,[1]characters!$A:$K,11,FALSE)</f>
        <v>balance</v>
      </c>
      <c r="J96" s="7" t="str">
        <f>VLOOKUP(D96,[1]characters!$A:$M,13,FALSE)</f>
        <v>god</v>
      </c>
      <c r="K96" s="7" t="str">
        <f>VLOOKUP(D96,[1]characters!$A:$G,7,FALSE)</f>
        <v>女性</v>
      </c>
      <c r="L96" s="66">
        <f>IFERROR(VLOOKUP(D96,input_0!L:R,7,FALSE),VLOOKUP(tables_0!B96,input_0!A:H,8,FALSE))</f>
        <v>0</v>
      </c>
      <c r="M96" s="67">
        <f t="shared" si="3"/>
        <v>0</v>
      </c>
      <c r="N96" s="31">
        <f>IFERROR(VLOOKUP($D96,bug_conf_sheet!$A:$H,3,FALSE),VLOOKUP("other",bug_conf_sheet!$A:$H,3,FALSE))</f>
        <v>1</v>
      </c>
      <c r="O96" s="31">
        <f>IFERROR(VLOOKUP($D96,bug_conf_sheet!$A:$H,4,FALSE),VLOOKUP("other",bug_conf_sheet!$A:$H,4,FALSE))</f>
        <v>0</v>
      </c>
      <c r="P96" s="31">
        <f>IFERROR(VLOOKUP($D96,bug_conf_sheet!$A:$H,5,FALSE),VLOOKUP("other",bug_conf_sheet!$A:$H,5,FALSE))</f>
        <v>0</v>
      </c>
      <c r="Q96" s="31">
        <f>IFERROR(VLOOKUP($D96,bug_conf_sheet!$A:$H,6,FALSE),VLOOKUP("other",bug_conf_sheet!$A:$H,6,FALSE))</f>
        <v>0</v>
      </c>
      <c r="R96" s="31">
        <f>IFERROR(VLOOKUP($D96,bug_conf_sheet!$A:$H,7,FALSE),VLOOKUP("other",bug_conf_sheet!$A:$H,7,FALSE))</f>
        <v>0</v>
      </c>
      <c r="S96" s="31">
        <f>IFERROR(VLOOKUP($D96,bug_conf_sheet!$A:$H,8,FALSE),VLOOKUP("other",bug_conf_sheet!$A:$H,8,FALSE))</f>
        <v>1</v>
      </c>
    </row>
    <row r="97" spans="1:19" ht="21" hidden="1" customHeight="1">
      <c r="A97" s="2">
        <f>input_0!A$2</f>
        <v>3120</v>
      </c>
      <c r="B97" s="7" t="str">
        <f t="shared" si="4"/>
        <v>Premium4</v>
      </c>
      <c r="C97" s="7" t="str">
        <f t="shared" si="5"/>
        <v>Premium</v>
      </c>
      <c r="D97" s="5">
        <v>221</v>
      </c>
      <c r="E97" s="7" t="str">
        <f>VLOOKUP(D97,[1]characters!$A:$C,3,FALSE)</f>
        <v>宰相 ルキフグス</v>
      </c>
      <c r="F97" s="7" t="str">
        <f>VLOOKUP(D97,[1]characters!$A:$J,10,FALSE)</f>
        <v>PremiumN</v>
      </c>
      <c r="G97" s="7">
        <f>VLOOKUP(D97,[1]characters!$A:$I,9,FALSE)</f>
        <v>4</v>
      </c>
      <c r="H97" s="7" t="str">
        <f>VLOOKUP(D97,[1]characters!$A:$H,8,FALSE)</f>
        <v>blue</v>
      </c>
      <c r="I97" s="7" t="str">
        <f>VLOOKUP(D97,[1]characters!$A:$K,11,FALSE)</f>
        <v>balance</v>
      </c>
      <c r="J97" s="7" t="str">
        <f>VLOOKUP(D97,[1]characters!$A:$M,13,FALSE)</f>
        <v>god</v>
      </c>
      <c r="K97" s="7" t="str">
        <f>VLOOKUP(D97,[1]characters!$A:$G,7,FALSE)</f>
        <v>女性</v>
      </c>
      <c r="L97" s="66">
        <f>IFERROR(VLOOKUP(D97,input_0!L:R,7,FALSE),VLOOKUP(tables_0!B97,input_0!A:H,8,FALSE))</f>
        <v>640224</v>
      </c>
      <c r="M97" s="67">
        <f t="shared" si="3"/>
        <v>1.2324324324324324E-2</v>
      </c>
      <c r="N97" s="31">
        <f>IFERROR(VLOOKUP($D97,bug_conf_sheet!$A:$H,3,FALSE),VLOOKUP("other",bug_conf_sheet!$A:$H,3,FALSE))</f>
        <v>1</v>
      </c>
      <c r="O97" s="31">
        <f>IFERROR(VLOOKUP($D97,bug_conf_sheet!$A:$H,4,FALSE),VLOOKUP("other",bug_conf_sheet!$A:$H,4,FALSE))</f>
        <v>0</v>
      </c>
      <c r="P97" s="31">
        <f>IFERROR(VLOOKUP($D97,bug_conf_sheet!$A:$H,5,FALSE),VLOOKUP("other",bug_conf_sheet!$A:$H,5,FALSE))</f>
        <v>0</v>
      </c>
      <c r="Q97" s="31">
        <f>IFERROR(VLOOKUP($D97,bug_conf_sheet!$A:$H,6,FALSE),VLOOKUP("other",bug_conf_sheet!$A:$H,6,FALSE))</f>
        <v>0</v>
      </c>
      <c r="R97" s="31">
        <f>IFERROR(VLOOKUP($D97,bug_conf_sheet!$A:$H,7,FALSE),VLOOKUP("other",bug_conf_sheet!$A:$H,7,FALSE))</f>
        <v>0</v>
      </c>
      <c r="S97" s="31">
        <f>IFERROR(VLOOKUP($D97,bug_conf_sheet!$A:$H,8,FALSE),VLOOKUP("other",bug_conf_sheet!$A:$H,8,FALSE))</f>
        <v>1</v>
      </c>
    </row>
    <row r="98" spans="1:19" ht="21" hidden="1" customHeight="1">
      <c r="A98" s="2">
        <f>input_0!A$2</f>
        <v>3120</v>
      </c>
      <c r="B98" s="7" t="str">
        <f t="shared" si="4"/>
        <v>Premium5</v>
      </c>
      <c r="C98" s="7" t="str">
        <f t="shared" si="5"/>
        <v>Premium</v>
      </c>
      <c r="D98" s="5">
        <v>222</v>
      </c>
      <c r="E98" s="7" t="str">
        <f>VLOOKUP(D98,[1]characters!$A:$C,3,FALSE)</f>
        <v>避光の鉄鎖宰相 ルキフグス</v>
      </c>
      <c r="F98" s="7" t="str">
        <f>VLOOKUP(D98,[1]characters!$A:$J,10,FALSE)</f>
        <v>PremiumN</v>
      </c>
      <c r="G98" s="7">
        <f>VLOOKUP(D98,[1]characters!$A:$I,9,FALSE)</f>
        <v>5</v>
      </c>
      <c r="H98" s="7" t="str">
        <f>VLOOKUP(D98,[1]characters!$A:$H,8,FALSE)</f>
        <v>blue</v>
      </c>
      <c r="I98" s="7" t="str">
        <f>VLOOKUP(D98,[1]characters!$A:$K,11,FALSE)</f>
        <v>balance</v>
      </c>
      <c r="J98" s="7" t="str">
        <f>VLOOKUP(D98,[1]characters!$A:$M,13,FALSE)</f>
        <v>god</v>
      </c>
      <c r="K98" s="7" t="str">
        <f>VLOOKUP(D98,[1]characters!$A:$G,7,FALSE)</f>
        <v>女性</v>
      </c>
      <c r="L98" s="66">
        <f>IFERROR(VLOOKUP(D98,input_0!L:R,7,FALSE),VLOOKUP(tables_0!B98,input_0!A:H,8,FALSE))</f>
        <v>46176</v>
      </c>
      <c r="M98" s="67">
        <f t="shared" si="3"/>
        <v>8.8888888888888893E-4</v>
      </c>
      <c r="N98" s="31">
        <f>IFERROR(VLOOKUP($D98,bug_conf_sheet!$A:$H,3,FALSE),VLOOKUP("other",bug_conf_sheet!$A:$H,3,FALSE))</f>
        <v>1</v>
      </c>
      <c r="O98" s="31">
        <f>IFERROR(VLOOKUP($D98,bug_conf_sheet!$A:$H,4,FALSE),VLOOKUP("other",bug_conf_sheet!$A:$H,4,FALSE))</f>
        <v>0</v>
      </c>
      <c r="P98" s="31">
        <f>IFERROR(VLOOKUP($D98,bug_conf_sheet!$A:$H,5,FALSE),VLOOKUP("other",bug_conf_sheet!$A:$H,5,FALSE))</f>
        <v>0</v>
      </c>
      <c r="Q98" s="31">
        <f>IFERROR(VLOOKUP($D98,bug_conf_sheet!$A:$H,6,FALSE),VLOOKUP("other",bug_conf_sheet!$A:$H,6,FALSE))</f>
        <v>0</v>
      </c>
      <c r="R98" s="31">
        <f>IFERROR(VLOOKUP($D98,bug_conf_sheet!$A:$H,7,FALSE),VLOOKUP("other",bug_conf_sheet!$A:$H,7,FALSE))</f>
        <v>0</v>
      </c>
      <c r="S98" s="31">
        <f>IFERROR(VLOOKUP($D98,bug_conf_sheet!$A:$H,8,FALSE),VLOOKUP("other",bug_conf_sheet!$A:$H,8,FALSE))</f>
        <v>1</v>
      </c>
    </row>
    <row r="99" spans="1:19" ht="21" hidden="1" customHeight="1">
      <c r="A99" s="2">
        <f>input_0!A$2</f>
        <v>3120</v>
      </c>
      <c r="B99" s="7" t="str">
        <f t="shared" si="4"/>
        <v>Premium3</v>
      </c>
      <c r="C99" s="7" t="str">
        <f t="shared" si="5"/>
        <v>Premium</v>
      </c>
      <c r="D99" s="5">
        <v>223</v>
      </c>
      <c r="E99" s="7" t="str">
        <f>VLOOKUP(D99,[1]characters!$A:$C,3,FALSE)</f>
        <v>ヘラクレス</v>
      </c>
      <c r="F99" s="7" t="str">
        <f>VLOOKUP(D99,[1]characters!$A:$J,10,FALSE)</f>
        <v>PremiumN</v>
      </c>
      <c r="G99" s="7">
        <f>VLOOKUP(D99,[1]characters!$A:$I,9,FALSE)</f>
        <v>3</v>
      </c>
      <c r="H99" s="7" t="str">
        <f>VLOOKUP(D99,[1]characters!$A:$H,8,FALSE)</f>
        <v>yellow</v>
      </c>
      <c r="I99" s="7" t="str">
        <f>VLOOKUP(D99,[1]characters!$A:$K,11,FALSE)</f>
        <v>balance</v>
      </c>
      <c r="J99" s="7" t="str">
        <f>VLOOKUP(D99,[1]characters!$A:$M,13,FALSE)</f>
        <v>human</v>
      </c>
      <c r="K99" s="7" t="str">
        <f>VLOOKUP(D99,[1]characters!$A:$G,7,FALSE)</f>
        <v>男性</v>
      </c>
      <c r="L99" s="66">
        <f>IFERROR(VLOOKUP(D99,input_0!L:R,7,FALSE),VLOOKUP(tables_0!B99,input_0!A:H,8,FALSE))</f>
        <v>0</v>
      </c>
      <c r="M99" s="67">
        <f t="shared" si="3"/>
        <v>0</v>
      </c>
      <c r="N99" s="31">
        <f>IFERROR(VLOOKUP($D99,bug_conf_sheet!$A:$H,3,FALSE),VLOOKUP("other",bug_conf_sheet!$A:$H,3,FALSE))</f>
        <v>1</v>
      </c>
      <c r="O99" s="31">
        <f>IFERROR(VLOOKUP($D99,bug_conf_sheet!$A:$H,4,FALSE),VLOOKUP("other",bug_conf_sheet!$A:$H,4,FALSE))</f>
        <v>0</v>
      </c>
      <c r="P99" s="31">
        <f>IFERROR(VLOOKUP($D99,bug_conf_sheet!$A:$H,5,FALSE),VLOOKUP("other",bug_conf_sheet!$A:$H,5,FALSE))</f>
        <v>0</v>
      </c>
      <c r="Q99" s="31">
        <f>IFERROR(VLOOKUP($D99,bug_conf_sheet!$A:$H,6,FALSE),VLOOKUP("other",bug_conf_sheet!$A:$H,6,FALSE))</f>
        <v>0</v>
      </c>
      <c r="R99" s="31">
        <f>IFERROR(VLOOKUP($D99,bug_conf_sheet!$A:$H,7,FALSE),VLOOKUP("other",bug_conf_sheet!$A:$H,7,FALSE))</f>
        <v>0</v>
      </c>
      <c r="S99" s="31">
        <f>IFERROR(VLOOKUP($D99,bug_conf_sheet!$A:$H,8,FALSE),VLOOKUP("other",bug_conf_sheet!$A:$H,8,FALSE))</f>
        <v>1</v>
      </c>
    </row>
    <row r="100" spans="1:19" ht="21" hidden="1" customHeight="1">
      <c r="A100" s="2">
        <f>input_0!A$2</f>
        <v>3120</v>
      </c>
      <c r="B100" s="7" t="str">
        <f t="shared" si="4"/>
        <v>Premium4</v>
      </c>
      <c r="C100" s="7" t="str">
        <f t="shared" si="5"/>
        <v>Premium</v>
      </c>
      <c r="D100" s="5">
        <v>224</v>
      </c>
      <c r="E100" s="7" t="str">
        <f>VLOOKUP(D100,[1]characters!$A:$C,3,FALSE)</f>
        <v>巨腕 ヘラクレス</v>
      </c>
      <c r="F100" s="7" t="str">
        <f>VLOOKUP(D100,[1]characters!$A:$J,10,FALSE)</f>
        <v>PremiumN</v>
      </c>
      <c r="G100" s="7">
        <f>VLOOKUP(D100,[1]characters!$A:$I,9,FALSE)</f>
        <v>4</v>
      </c>
      <c r="H100" s="7" t="str">
        <f>VLOOKUP(D100,[1]characters!$A:$H,8,FALSE)</f>
        <v>yellow</v>
      </c>
      <c r="I100" s="7" t="str">
        <f>VLOOKUP(D100,[1]characters!$A:$K,11,FALSE)</f>
        <v>balance</v>
      </c>
      <c r="J100" s="7" t="str">
        <f>VLOOKUP(D100,[1]characters!$A:$M,13,FALSE)</f>
        <v>human</v>
      </c>
      <c r="K100" s="7" t="str">
        <f>VLOOKUP(D100,[1]characters!$A:$G,7,FALSE)</f>
        <v>男性</v>
      </c>
      <c r="L100" s="66">
        <f>IFERROR(VLOOKUP(D100,input_0!L:R,7,FALSE),VLOOKUP(tables_0!B100,input_0!A:H,8,FALSE))</f>
        <v>640224</v>
      </c>
      <c r="M100" s="67">
        <f t="shared" si="3"/>
        <v>1.2324324324324324E-2</v>
      </c>
      <c r="N100" s="31">
        <f>IFERROR(VLOOKUP($D100,bug_conf_sheet!$A:$H,3,FALSE),VLOOKUP("other",bug_conf_sheet!$A:$H,3,FALSE))</f>
        <v>1</v>
      </c>
      <c r="O100" s="31">
        <f>IFERROR(VLOOKUP($D100,bug_conf_sheet!$A:$H,4,FALSE),VLOOKUP("other",bug_conf_sheet!$A:$H,4,FALSE))</f>
        <v>0</v>
      </c>
      <c r="P100" s="31">
        <f>IFERROR(VLOOKUP($D100,bug_conf_sheet!$A:$H,5,FALSE),VLOOKUP("other",bug_conf_sheet!$A:$H,5,FALSE))</f>
        <v>0</v>
      </c>
      <c r="Q100" s="31">
        <f>IFERROR(VLOOKUP($D100,bug_conf_sheet!$A:$H,6,FALSE),VLOOKUP("other",bug_conf_sheet!$A:$H,6,FALSE))</f>
        <v>0</v>
      </c>
      <c r="R100" s="31">
        <f>IFERROR(VLOOKUP($D100,bug_conf_sheet!$A:$H,7,FALSE),VLOOKUP("other",bug_conf_sheet!$A:$H,7,FALSE))</f>
        <v>0</v>
      </c>
      <c r="S100" s="31">
        <f>IFERROR(VLOOKUP($D100,bug_conf_sheet!$A:$H,8,FALSE),VLOOKUP("other",bug_conf_sheet!$A:$H,8,FALSE))</f>
        <v>1</v>
      </c>
    </row>
    <row r="101" spans="1:19" ht="21" hidden="1" customHeight="1">
      <c r="A101" s="2">
        <f>input_0!A$2</f>
        <v>3120</v>
      </c>
      <c r="B101" s="7" t="str">
        <f t="shared" si="4"/>
        <v>Premium5</v>
      </c>
      <c r="C101" s="7" t="str">
        <f t="shared" si="5"/>
        <v>Premium</v>
      </c>
      <c r="D101" s="5">
        <v>225</v>
      </c>
      <c r="E101" s="7" t="str">
        <f>VLOOKUP(D101,[1]characters!$A:$C,3,FALSE)</f>
        <v>咆哮の巨獅腕 ヘラクレス</v>
      </c>
      <c r="F101" s="7" t="str">
        <f>VLOOKUP(D101,[1]characters!$A:$J,10,FALSE)</f>
        <v>PremiumN</v>
      </c>
      <c r="G101" s="7">
        <f>VLOOKUP(D101,[1]characters!$A:$I,9,FALSE)</f>
        <v>5</v>
      </c>
      <c r="H101" s="7" t="str">
        <f>VLOOKUP(D101,[1]characters!$A:$H,8,FALSE)</f>
        <v>yellow</v>
      </c>
      <c r="I101" s="7" t="str">
        <f>VLOOKUP(D101,[1]characters!$A:$K,11,FALSE)</f>
        <v>balance</v>
      </c>
      <c r="J101" s="7" t="str">
        <f>VLOOKUP(D101,[1]characters!$A:$M,13,FALSE)</f>
        <v>human</v>
      </c>
      <c r="K101" s="7" t="str">
        <f>VLOOKUP(D101,[1]characters!$A:$G,7,FALSE)</f>
        <v>男性</v>
      </c>
      <c r="L101" s="66">
        <f>IFERROR(VLOOKUP(D101,input_0!L:R,7,FALSE),VLOOKUP(tables_0!B101,input_0!A:H,8,FALSE))</f>
        <v>46176</v>
      </c>
      <c r="M101" s="67">
        <f t="shared" si="3"/>
        <v>8.8888888888888893E-4</v>
      </c>
      <c r="N101" s="31">
        <f>IFERROR(VLOOKUP($D101,bug_conf_sheet!$A:$H,3,FALSE),VLOOKUP("other",bug_conf_sheet!$A:$H,3,FALSE))</f>
        <v>1</v>
      </c>
      <c r="O101" s="31">
        <f>IFERROR(VLOOKUP($D101,bug_conf_sheet!$A:$H,4,FALSE),VLOOKUP("other",bug_conf_sheet!$A:$H,4,FALSE))</f>
        <v>0</v>
      </c>
      <c r="P101" s="31">
        <f>IFERROR(VLOOKUP($D101,bug_conf_sheet!$A:$H,5,FALSE),VLOOKUP("other",bug_conf_sheet!$A:$H,5,FALSE))</f>
        <v>0</v>
      </c>
      <c r="Q101" s="31">
        <f>IFERROR(VLOOKUP($D101,bug_conf_sheet!$A:$H,6,FALSE),VLOOKUP("other",bug_conf_sheet!$A:$H,6,FALSE))</f>
        <v>0</v>
      </c>
      <c r="R101" s="31">
        <f>IFERROR(VLOOKUP($D101,bug_conf_sheet!$A:$H,7,FALSE),VLOOKUP("other",bug_conf_sheet!$A:$H,7,FALSE))</f>
        <v>0</v>
      </c>
      <c r="S101" s="31">
        <f>IFERROR(VLOOKUP($D101,bug_conf_sheet!$A:$H,8,FALSE),VLOOKUP("other",bug_conf_sheet!$A:$H,8,FALSE))</f>
        <v>1</v>
      </c>
    </row>
    <row r="102" spans="1:19" ht="21" hidden="1" customHeight="1">
      <c r="A102" s="2">
        <f>input_0!A$2</f>
        <v>3120</v>
      </c>
      <c r="B102" s="7" t="str">
        <f t="shared" si="4"/>
        <v>Premium3</v>
      </c>
      <c r="C102" s="7" t="str">
        <f t="shared" si="5"/>
        <v>Premium</v>
      </c>
      <c r="D102" s="5">
        <v>226</v>
      </c>
      <c r="E102" s="7" t="str">
        <f>VLOOKUP(D102,[1]characters!$A:$C,3,FALSE)</f>
        <v>アレス</v>
      </c>
      <c r="F102" s="7" t="str">
        <f>VLOOKUP(D102,[1]characters!$A:$J,10,FALSE)</f>
        <v>PremiumS</v>
      </c>
      <c r="G102" s="7">
        <f>VLOOKUP(D102,[1]characters!$A:$I,9,FALSE)</f>
        <v>3</v>
      </c>
      <c r="H102" s="7" t="str">
        <f>VLOOKUP(D102,[1]characters!$A:$H,8,FALSE)</f>
        <v>red</v>
      </c>
      <c r="I102" s="7" t="str">
        <f>VLOOKUP(D102,[1]characters!$A:$K,11,FALSE)</f>
        <v>attack</v>
      </c>
      <c r="J102" s="7" t="str">
        <f>VLOOKUP(D102,[1]characters!$A:$M,13,FALSE)</f>
        <v>god</v>
      </c>
      <c r="K102" s="7" t="str">
        <f>VLOOKUP(D102,[1]characters!$A:$G,7,FALSE)</f>
        <v>男性</v>
      </c>
      <c r="L102" s="66">
        <f>IFERROR(VLOOKUP(D102,input_0!L:R,7,FALSE),VLOOKUP(tables_0!B102,input_0!A:H,8,FALSE))</f>
        <v>0</v>
      </c>
      <c r="M102" s="67">
        <f t="shared" si="3"/>
        <v>0</v>
      </c>
      <c r="N102" s="31">
        <f>IFERROR(VLOOKUP($D102,bug_conf_sheet!$A:$H,3,FALSE),VLOOKUP("other",bug_conf_sheet!$A:$H,3,FALSE))</f>
        <v>1</v>
      </c>
      <c r="O102" s="31">
        <f>IFERROR(VLOOKUP($D102,bug_conf_sheet!$A:$H,4,FALSE),VLOOKUP("other",bug_conf_sheet!$A:$H,4,FALSE))</f>
        <v>0</v>
      </c>
      <c r="P102" s="31">
        <f>IFERROR(VLOOKUP($D102,bug_conf_sheet!$A:$H,5,FALSE),VLOOKUP("other",bug_conf_sheet!$A:$H,5,FALSE))</f>
        <v>0</v>
      </c>
      <c r="Q102" s="31">
        <f>IFERROR(VLOOKUP($D102,bug_conf_sheet!$A:$H,6,FALSE),VLOOKUP("other",bug_conf_sheet!$A:$H,6,FALSE))</f>
        <v>0</v>
      </c>
      <c r="R102" s="31">
        <f>IFERROR(VLOOKUP($D102,bug_conf_sheet!$A:$H,7,FALSE),VLOOKUP("other",bug_conf_sheet!$A:$H,7,FALSE))</f>
        <v>0</v>
      </c>
      <c r="S102" s="31">
        <f>IFERROR(VLOOKUP($D102,bug_conf_sheet!$A:$H,8,FALSE),VLOOKUP("other",bug_conf_sheet!$A:$H,8,FALSE))</f>
        <v>1</v>
      </c>
    </row>
    <row r="103" spans="1:19" ht="21" hidden="1" customHeight="1">
      <c r="A103" s="2">
        <f>input_0!A$2</f>
        <v>3120</v>
      </c>
      <c r="B103" s="7" t="str">
        <f t="shared" si="4"/>
        <v>Premium4</v>
      </c>
      <c r="C103" s="7" t="str">
        <f t="shared" si="5"/>
        <v>Premium</v>
      </c>
      <c r="D103" s="5">
        <v>227</v>
      </c>
      <c r="E103" s="7" t="str">
        <f>VLOOKUP(D103,[1]characters!$A:$C,3,FALSE)</f>
        <v>滅弾 アレス</v>
      </c>
      <c r="F103" s="7" t="str">
        <f>VLOOKUP(D103,[1]characters!$A:$J,10,FALSE)</f>
        <v>PremiumS</v>
      </c>
      <c r="G103" s="7">
        <f>VLOOKUP(D103,[1]characters!$A:$I,9,FALSE)</f>
        <v>4</v>
      </c>
      <c r="H103" s="7" t="str">
        <f>VLOOKUP(D103,[1]characters!$A:$H,8,FALSE)</f>
        <v>red</v>
      </c>
      <c r="I103" s="7" t="str">
        <f>VLOOKUP(D103,[1]characters!$A:$K,11,FALSE)</f>
        <v>attack</v>
      </c>
      <c r="J103" s="7" t="str">
        <f>VLOOKUP(D103,[1]characters!$A:$M,13,FALSE)</f>
        <v>god</v>
      </c>
      <c r="K103" s="7" t="str">
        <f>VLOOKUP(D103,[1]characters!$A:$G,7,FALSE)</f>
        <v>男性</v>
      </c>
      <c r="L103" s="66">
        <f>IFERROR(VLOOKUP(D103,input_0!L:R,7,FALSE),VLOOKUP(tables_0!B103,input_0!A:H,8,FALSE))</f>
        <v>640224</v>
      </c>
      <c r="M103" s="67">
        <f t="shared" si="3"/>
        <v>1.2324324324324324E-2</v>
      </c>
      <c r="N103" s="31">
        <f>IFERROR(VLOOKUP($D103,bug_conf_sheet!$A:$H,3,FALSE),VLOOKUP("other",bug_conf_sheet!$A:$H,3,FALSE))</f>
        <v>1</v>
      </c>
      <c r="O103" s="31">
        <f>IFERROR(VLOOKUP($D103,bug_conf_sheet!$A:$H,4,FALSE),VLOOKUP("other",bug_conf_sheet!$A:$H,4,FALSE))</f>
        <v>0</v>
      </c>
      <c r="P103" s="31">
        <f>IFERROR(VLOOKUP($D103,bug_conf_sheet!$A:$H,5,FALSE),VLOOKUP("other",bug_conf_sheet!$A:$H,5,FALSE))</f>
        <v>0</v>
      </c>
      <c r="Q103" s="31">
        <f>IFERROR(VLOOKUP($D103,bug_conf_sheet!$A:$H,6,FALSE),VLOOKUP("other",bug_conf_sheet!$A:$H,6,FALSE))</f>
        <v>0</v>
      </c>
      <c r="R103" s="31">
        <f>IFERROR(VLOOKUP($D103,bug_conf_sheet!$A:$H,7,FALSE),VLOOKUP("other",bug_conf_sheet!$A:$H,7,FALSE))</f>
        <v>0</v>
      </c>
      <c r="S103" s="31">
        <f>IFERROR(VLOOKUP($D103,bug_conf_sheet!$A:$H,8,FALSE),VLOOKUP("other",bug_conf_sheet!$A:$H,8,FALSE))</f>
        <v>1</v>
      </c>
    </row>
    <row r="104" spans="1:19" ht="21" hidden="1" customHeight="1">
      <c r="A104" s="2">
        <f>input_0!A$2</f>
        <v>3120</v>
      </c>
      <c r="B104" s="7" t="str">
        <f t="shared" si="4"/>
        <v>Premium5</v>
      </c>
      <c r="C104" s="7" t="str">
        <f t="shared" si="5"/>
        <v>Premium</v>
      </c>
      <c r="D104" s="5">
        <v>228</v>
      </c>
      <c r="E104" s="7" t="str">
        <f>VLOOKUP(D104,[1]characters!$A:$C,3,FALSE)</f>
        <v>殲滅の掃射砲 アレス</v>
      </c>
      <c r="F104" s="7" t="str">
        <f>VLOOKUP(D104,[1]characters!$A:$J,10,FALSE)</f>
        <v>PremiumS</v>
      </c>
      <c r="G104" s="7">
        <f>VLOOKUP(D104,[1]characters!$A:$I,9,FALSE)</f>
        <v>5</v>
      </c>
      <c r="H104" s="7" t="str">
        <f>VLOOKUP(D104,[1]characters!$A:$H,8,FALSE)</f>
        <v>red</v>
      </c>
      <c r="I104" s="7" t="str">
        <f>VLOOKUP(D104,[1]characters!$A:$K,11,FALSE)</f>
        <v>attack</v>
      </c>
      <c r="J104" s="7" t="str">
        <f>VLOOKUP(D104,[1]characters!$A:$M,13,FALSE)</f>
        <v>god</v>
      </c>
      <c r="K104" s="7" t="str">
        <f>VLOOKUP(D104,[1]characters!$A:$G,7,FALSE)</f>
        <v>男性</v>
      </c>
      <c r="L104" s="66">
        <f>IFERROR(VLOOKUP(D104,input_0!L:R,7,FALSE),VLOOKUP(tables_0!B104,input_0!A:H,8,FALSE))</f>
        <v>46176</v>
      </c>
      <c r="M104" s="67">
        <f t="shared" si="3"/>
        <v>8.8888888888888893E-4</v>
      </c>
      <c r="N104" s="31">
        <f>IFERROR(VLOOKUP($D104,bug_conf_sheet!$A:$H,3,FALSE),VLOOKUP("other",bug_conf_sheet!$A:$H,3,FALSE))</f>
        <v>1</v>
      </c>
      <c r="O104" s="31">
        <f>IFERROR(VLOOKUP($D104,bug_conf_sheet!$A:$H,4,FALSE),VLOOKUP("other",bug_conf_sheet!$A:$H,4,FALSE))</f>
        <v>0</v>
      </c>
      <c r="P104" s="31">
        <f>IFERROR(VLOOKUP($D104,bug_conf_sheet!$A:$H,5,FALSE),VLOOKUP("other",bug_conf_sheet!$A:$H,5,FALSE))</f>
        <v>0</v>
      </c>
      <c r="Q104" s="31">
        <f>IFERROR(VLOOKUP($D104,bug_conf_sheet!$A:$H,6,FALSE),VLOOKUP("other",bug_conf_sheet!$A:$H,6,FALSE))</f>
        <v>0</v>
      </c>
      <c r="R104" s="31">
        <f>IFERROR(VLOOKUP($D104,bug_conf_sheet!$A:$H,7,FALSE),VLOOKUP("other",bug_conf_sheet!$A:$H,7,FALSE))</f>
        <v>0</v>
      </c>
      <c r="S104" s="31">
        <f>IFERROR(VLOOKUP($D104,bug_conf_sheet!$A:$H,8,FALSE),VLOOKUP("other",bug_conf_sheet!$A:$H,8,FALSE))</f>
        <v>1</v>
      </c>
    </row>
    <row r="105" spans="1:19" ht="21" hidden="1" customHeight="1">
      <c r="A105" s="2">
        <f>input_0!A$2</f>
        <v>3120</v>
      </c>
      <c r="B105" s="7" t="str">
        <f t="shared" si="4"/>
        <v>Premium3</v>
      </c>
      <c r="C105" s="7" t="str">
        <f t="shared" si="5"/>
        <v>Premium</v>
      </c>
      <c r="D105" s="5">
        <v>229</v>
      </c>
      <c r="E105" s="7" t="str">
        <f>VLOOKUP(D105,[1]characters!$A:$C,3,FALSE)</f>
        <v>ヨルムンガンド</v>
      </c>
      <c r="F105" s="7" t="str">
        <f>VLOOKUP(D105,[1]characters!$A:$J,10,FALSE)</f>
        <v>PremiumS</v>
      </c>
      <c r="G105" s="7">
        <f>VLOOKUP(D105,[1]characters!$A:$I,9,FALSE)</f>
        <v>3</v>
      </c>
      <c r="H105" s="7" t="str">
        <f>VLOOKUP(D105,[1]characters!$A:$H,8,FALSE)</f>
        <v>green</v>
      </c>
      <c r="I105" s="7" t="str">
        <f>VLOOKUP(D105,[1]characters!$A:$K,11,FALSE)</f>
        <v>technical</v>
      </c>
      <c r="J105" s="7" t="str">
        <f>VLOOKUP(D105,[1]characters!$A:$M,13,FALSE)</f>
        <v>dragon</v>
      </c>
      <c r="K105" s="7" t="str">
        <f>VLOOKUP(D105,[1]characters!$A:$G,7,FALSE)</f>
        <v>女性</v>
      </c>
      <c r="L105" s="66">
        <f>IFERROR(VLOOKUP(D105,input_0!L:R,7,FALSE),VLOOKUP(tables_0!B105,input_0!A:H,8,FALSE))</f>
        <v>0</v>
      </c>
      <c r="M105" s="67">
        <f t="shared" si="3"/>
        <v>0</v>
      </c>
      <c r="N105" s="31">
        <f>IFERROR(VLOOKUP($D105,bug_conf_sheet!$A:$H,3,FALSE),VLOOKUP("other",bug_conf_sheet!$A:$H,3,FALSE))</f>
        <v>1</v>
      </c>
      <c r="O105" s="31">
        <f>IFERROR(VLOOKUP($D105,bug_conf_sheet!$A:$H,4,FALSE),VLOOKUP("other",bug_conf_sheet!$A:$H,4,FALSE))</f>
        <v>0</v>
      </c>
      <c r="P105" s="31">
        <f>IFERROR(VLOOKUP($D105,bug_conf_sheet!$A:$H,5,FALSE),VLOOKUP("other",bug_conf_sheet!$A:$H,5,FALSE))</f>
        <v>0</v>
      </c>
      <c r="Q105" s="31">
        <f>IFERROR(VLOOKUP($D105,bug_conf_sheet!$A:$H,6,FALSE),VLOOKUP("other",bug_conf_sheet!$A:$H,6,FALSE))</f>
        <v>0</v>
      </c>
      <c r="R105" s="31">
        <f>IFERROR(VLOOKUP($D105,bug_conf_sheet!$A:$H,7,FALSE),VLOOKUP("other",bug_conf_sheet!$A:$H,7,FALSE))</f>
        <v>0</v>
      </c>
      <c r="S105" s="31">
        <f>IFERROR(VLOOKUP($D105,bug_conf_sheet!$A:$H,8,FALSE),VLOOKUP("other",bug_conf_sheet!$A:$H,8,FALSE))</f>
        <v>1</v>
      </c>
    </row>
    <row r="106" spans="1:19" ht="21" hidden="1" customHeight="1">
      <c r="A106" s="2">
        <f>input_0!A$2</f>
        <v>3120</v>
      </c>
      <c r="B106" s="7" t="str">
        <f t="shared" si="4"/>
        <v>Premium4</v>
      </c>
      <c r="C106" s="7" t="str">
        <f t="shared" si="5"/>
        <v>Premium</v>
      </c>
      <c r="D106" s="5">
        <v>230</v>
      </c>
      <c r="E106" s="7" t="str">
        <f>VLOOKUP(D106,[1]characters!$A:$C,3,FALSE)</f>
        <v>毒銃 ヨルムンガンド</v>
      </c>
      <c r="F106" s="7" t="str">
        <f>VLOOKUP(D106,[1]characters!$A:$J,10,FALSE)</f>
        <v>PremiumS</v>
      </c>
      <c r="G106" s="7">
        <f>VLOOKUP(D106,[1]characters!$A:$I,9,FALSE)</f>
        <v>4</v>
      </c>
      <c r="H106" s="7" t="str">
        <f>VLOOKUP(D106,[1]characters!$A:$H,8,FALSE)</f>
        <v>green</v>
      </c>
      <c r="I106" s="7" t="str">
        <f>VLOOKUP(D106,[1]characters!$A:$K,11,FALSE)</f>
        <v>technical</v>
      </c>
      <c r="J106" s="7" t="str">
        <f>VLOOKUP(D106,[1]characters!$A:$M,13,FALSE)</f>
        <v>dragon</v>
      </c>
      <c r="K106" s="7" t="str">
        <f>VLOOKUP(D106,[1]characters!$A:$G,7,FALSE)</f>
        <v>女性</v>
      </c>
      <c r="L106" s="66">
        <f>IFERROR(VLOOKUP(D106,input_0!L:R,7,FALSE),VLOOKUP(tables_0!B106,input_0!A:H,8,FALSE))</f>
        <v>640224</v>
      </c>
      <c r="M106" s="67">
        <f t="shared" si="3"/>
        <v>1.2324324324324324E-2</v>
      </c>
      <c r="N106" s="31">
        <f>IFERROR(VLOOKUP($D106,bug_conf_sheet!$A:$H,3,FALSE),VLOOKUP("other",bug_conf_sheet!$A:$H,3,FALSE))</f>
        <v>1</v>
      </c>
      <c r="O106" s="31">
        <f>IFERROR(VLOOKUP($D106,bug_conf_sheet!$A:$H,4,FALSE),VLOOKUP("other",bug_conf_sheet!$A:$H,4,FALSE))</f>
        <v>0</v>
      </c>
      <c r="P106" s="31">
        <f>IFERROR(VLOOKUP($D106,bug_conf_sheet!$A:$H,5,FALSE),VLOOKUP("other",bug_conf_sheet!$A:$H,5,FALSE))</f>
        <v>0</v>
      </c>
      <c r="Q106" s="31">
        <f>IFERROR(VLOOKUP($D106,bug_conf_sheet!$A:$H,6,FALSE),VLOOKUP("other",bug_conf_sheet!$A:$H,6,FALSE))</f>
        <v>0</v>
      </c>
      <c r="R106" s="31">
        <f>IFERROR(VLOOKUP($D106,bug_conf_sheet!$A:$H,7,FALSE),VLOOKUP("other",bug_conf_sheet!$A:$H,7,FALSE))</f>
        <v>0</v>
      </c>
      <c r="S106" s="31">
        <f>IFERROR(VLOOKUP($D106,bug_conf_sheet!$A:$H,8,FALSE),VLOOKUP("other",bug_conf_sheet!$A:$H,8,FALSE))</f>
        <v>1</v>
      </c>
    </row>
    <row r="107" spans="1:19" ht="21" hidden="1" customHeight="1">
      <c r="A107" s="2">
        <f>input_0!A$2</f>
        <v>3120</v>
      </c>
      <c r="B107" s="7" t="str">
        <f t="shared" si="4"/>
        <v>Premium5</v>
      </c>
      <c r="C107" s="7" t="str">
        <f t="shared" si="5"/>
        <v>Premium</v>
      </c>
      <c r="D107" s="5">
        <v>231</v>
      </c>
      <c r="E107" s="7" t="str">
        <f>VLOOKUP(D107,[1]characters!$A:$C,3,FALSE)</f>
        <v>必中の咬銃 ヨルムンガンド</v>
      </c>
      <c r="F107" s="7" t="str">
        <f>VLOOKUP(D107,[1]characters!$A:$J,10,FALSE)</f>
        <v>PremiumS</v>
      </c>
      <c r="G107" s="7">
        <f>VLOOKUP(D107,[1]characters!$A:$I,9,FALSE)</f>
        <v>5</v>
      </c>
      <c r="H107" s="7" t="str">
        <f>VLOOKUP(D107,[1]characters!$A:$H,8,FALSE)</f>
        <v>green</v>
      </c>
      <c r="I107" s="7" t="str">
        <f>VLOOKUP(D107,[1]characters!$A:$K,11,FALSE)</f>
        <v>technical</v>
      </c>
      <c r="J107" s="7" t="str">
        <f>VLOOKUP(D107,[1]characters!$A:$M,13,FALSE)</f>
        <v>dragon</v>
      </c>
      <c r="K107" s="7" t="str">
        <f>VLOOKUP(D107,[1]characters!$A:$G,7,FALSE)</f>
        <v>女性</v>
      </c>
      <c r="L107" s="66">
        <f>IFERROR(VLOOKUP(D107,input_0!L:R,7,FALSE),VLOOKUP(tables_0!B107,input_0!A:H,8,FALSE))</f>
        <v>46176</v>
      </c>
      <c r="M107" s="67">
        <f t="shared" si="3"/>
        <v>8.8888888888888893E-4</v>
      </c>
      <c r="N107" s="31">
        <f>IFERROR(VLOOKUP($D107,bug_conf_sheet!$A:$H,3,FALSE),VLOOKUP("other",bug_conf_sheet!$A:$H,3,FALSE))</f>
        <v>1</v>
      </c>
      <c r="O107" s="31">
        <f>IFERROR(VLOOKUP($D107,bug_conf_sheet!$A:$H,4,FALSE),VLOOKUP("other",bug_conf_sheet!$A:$H,4,FALSE))</f>
        <v>0</v>
      </c>
      <c r="P107" s="31">
        <f>IFERROR(VLOOKUP($D107,bug_conf_sheet!$A:$H,5,FALSE),VLOOKUP("other",bug_conf_sheet!$A:$H,5,FALSE))</f>
        <v>0</v>
      </c>
      <c r="Q107" s="31">
        <f>IFERROR(VLOOKUP($D107,bug_conf_sheet!$A:$H,6,FALSE),VLOOKUP("other",bug_conf_sheet!$A:$H,6,FALSE))</f>
        <v>0</v>
      </c>
      <c r="R107" s="31">
        <f>IFERROR(VLOOKUP($D107,bug_conf_sheet!$A:$H,7,FALSE),VLOOKUP("other",bug_conf_sheet!$A:$H,7,FALSE))</f>
        <v>0</v>
      </c>
      <c r="S107" s="31">
        <f>IFERROR(VLOOKUP($D107,bug_conf_sheet!$A:$H,8,FALSE),VLOOKUP("other",bug_conf_sheet!$A:$H,8,FALSE))</f>
        <v>1</v>
      </c>
    </row>
    <row r="108" spans="1:19" ht="21" hidden="1" customHeight="1">
      <c r="A108" s="2">
        <f>input_0!A$2</f>
        <v>3120</v>
      </c>
      <c r="B108" s="7" t="str">
        <f t="shared" si="4"/>
        <v>Premium3</v>
      </c>
      <c r="C108" s="7" t="str">
        <f t="shared" si="5"/>
        <v>Premium</v>
      </c>
      <c r="D108" s="5">
        <v>232</v>
      </c>
      <c r="E108" s="7" t="str">
        <f>VLOOKUP(D108,[1]characters!$A:$C,3,FALSE)</f>
        <v>パーシヴァル</v>
      </c>
      <c r="F108" s="7" t="str">
        <f>VLOOKUP(D108,[1]characters!$A:$J,10,FALSE)</f>
        <v>PremiumS</v>
      </c>
      <c r="G108" s="7">
        <f>VLOOKUP(D108,[1]characters!$A:$I,9,FALSE)</f>
        <v>3</v>
      </c>
      <c r="H108" s="7" t="str">
        <f>VLOOKUP(D108,[1]characters!$A:$H,8,FALSE)</f>
        <v>blue</v>
      </c>
      <c r="I108" s="7" t="str">
        <f>VLOOKUP(D108,[1]characters!$A:$K,11,FALSE)</f>
        <v>technical</v>
      </c>
      <c r="J108" s="7" t="str">
        <f>VLOOKUP(D108,[1]characters!$A:$M,13,FALSE)</f>
        <v>human</v>
      </c>
      <c r="K108" s="7" t="str">
        <f>VLOOKUP(D108,[1]characters!$A:$G,7,FALSE)</f>
        <v>女性</v>
      </c>
      <c r="L108" s="66">
        <f>IFERROR(VLOOKUP(D108,input_0!L:R,7,FALSE),VLOOKUP(tables_0!B108,input_0!A:H,8,FALSE))</f>
        <v>0</v>
      </c>
      <c r="M108" s="67">
        <f t="shared" si="3"/>
        <v>0</v>
      </c>
      <c r="N108" s="31">
        <f>IFERROR(VLOOKUP($D108,bug_conf_sheet!$A:$H,3,FALSE),VLOOKUP("other",bug_conf_sheet!$A:$H,3,FALSE))</f>
        <v>1</v>
      </c>
      <c r="O108" s="31">
        <f>IFERROR(VLOOKUP($D108,bug_conf_sheet!$A:$H,4,FALSE),VLOOKUP("other",bug_conf_sheet!$A:$H,4,FALSE))</f>
        <v>0</v>
      </c>
      <c r="P108" s="31">
        <f>IFERROR(VLOOKUP($D108,bug_conf_sheet!$A:$H,5,FALSE),VLOOKUP("other",bug_conf_sheet!$A:$H,5,FALSE))</f>
        <v>0</v>
      </c>
      <c r="Q108" s="31">
        <f>IFERROR(VLOOKUP($D108,bug_conf_sheet!$A:$H,6,FALSE),VLOOKUP("other",bug_conf_sheet!$A:$H,6,FALSE))</f>
        <v>0</v>
      </c>
      <c r="R108" s="31">
        <f>IFERROR(VLOOKUP($D108,bug_conf_sheet!$A:$H,7,FALSE),VLOOKUP("other",bug_conf_sheet!$A:$H,7,FALSE))</f>
        <v>0</v>
      </c>
      <c r="S108" s="31">
        <f>IFERROR(VLOOKUP($D108,bug_conf_sheet!$A:$H,8,FALSE),VLOOKUP("other",bug_conf_sheet!$A:$H,8,FALSE))</f>
        <v>1</v>
      </c>
    </row>
    <row r="109" spans="1:19" ht="21" hidden="1" customHeight="1">
      <c r="A109" s="2">
        <f>input_0!A$2</f>
        <v>3120</v>
      </c>
      <c r="B109" s="7" t="str">
        <f t="shared" si="4"/>
        <v>Premium4</v>
      </c>
      <c r="C109" s="7" t="str">
        <f t="shared" si="5"/>
        <v>Premium</v>
      </c>
      <c r="D109" s="5">
        <v>233</v>
      </c>
      <c r="E109" s="7" t="str">
        <f>VLOOKUP(D109,[1]characters!$A:$C,3,FALSE)</f>
        <v>遂行 パーシヴァル</v>
      </c>
      <c r="F109" s="7" t="str">
        <f>VLOOKUP(D109,[1]characters!$A:$J,10,FALSE)</f>
        <v>PremiumS</v>
      </c>
      <c r="G109" s="7">
        <f>VLOOKUP(D109,[1]characters!$A:$I,9,FALSE)</f>
        <v>4</v>
      </c>
      <c r="H109" s="7" t="str">
        <f>VLOOKUP(D109,[1]characters!$A:$H,8,FALSE)</f>
        <v>blue</v>
      </c>
      <c r="I109" s="7" t="str">
        <f>VLOOKUP(D109,[1]characters!$A:$K,11,FALSE)</f>
        <v>technical</v>
      </c>
      <c r="J109" s="7" t="str">
        <f>VLOOKUP(D109,[1]characters!$A:$M,13,FALSE)</f>
        <v>human</v>
      </c>
      <c r="K109" s="7" t="str">
        <f>VLOOKUP(D109,[1]characters!$A:$G,7,FALSE)</f>
        <v>女性</v>
      </c>
      <c r="L109" s="66">
        <f>IFERROR(VLOOKUP(D109,input_0!L:R,7,FALSE),VLOOKUP(tables_0!B109,input_0!A:H,8,FALSE))</f>
        <v>640224</v>
      </c>
      <c r="M109" s="67">
        <f t="shared" si="3"/>
        <v>1.2324324324324324E-2</v>
      </c>
      <c r="N109" s="31">
        <f>IFERROR(VLOOKUP($D109,bug_conf_sheet!$A:$H,3,FALSE),VLOOKUP("other",bug_conf_sheet!$A:$H,3,FALSE))</f>
        <v>1</v>
      </c>
      <c r="O109" s="31">
        <f>IFERROR(VLOOKUP($D109,bug_conf_sheet!$A:$H,4,FALSE),VLOOKUP("other",bug_conf_sheet!$A:$H,4,FALSE))</f>
        <v>0</v>
      </c>
      <c r="P109" s="31">
        <f>IFERROR(VLOOKUP($D109,bug_conf_sheet!$A:$H,5,FALSE),VLOOKUP("other",bug_conf_sheet!$A:$H,5,FALSE))</f>
        <v>0</v>
      </c>
      <c r="Q109" s="31">
        <f>IFERROR(VLOOKUP($D109,bug_conf_sheet!$A:$H,6,FALSE),VLOOKUP("other",bug_conf_sheet!$A:$H,6,FALSE))</f>
        <v>0</v>
      </c>
      <c r="R109" s="31">
        <f>IFERROR(VLOOKUP($D109,bug_conf_sheet!$A:$H,7,FALSE),VLOOKUP("other",bug_conf_sheet!$A:$H,7,FALSE))</f>
        <v>0</v>
      </c>
      <c r="S109" s="31">
        <f>IFERROR(VLOOKUP($D109,bug_conf_sheet!$A:$H,8,FALSE),VLOOKUP("other",bug_conf_sheet!$A:$H,8,FALSE))</f>
        <v>1</v>
      </c>
    </row>
    <row r="110" spans="1:19" ht="21" hidden="1" customHeight="1">
      <c r="A110" s="2">
        <f>input_0!A$2</f>
        <v>3120</v>
      </c>
      <c r="B110" s="7" t="str">
        <f t="shared" si="4"/>
        <v>Premium5</v>
      </c>
      <c r="C110" s="7" t="str">
        <f t="shared" si="5"/>
        <v>Premium</v>
      </c>
      <c r="D110" s="5">
        <v>234</v>
      </c>
      <c r="E110" s="7" t="str">
        <f>VLOOKUP(D110,[1]characters!$A:$C,3,FALSE)</f>
        <v>精密なる照準 パーシヴァル</v>
      </c>
      <c r="F110" s="7" t="str">
        <f>VLOOKUP(D110,[1]characters!$A:$J,10,FALSE)</f>
        <v>PremiumS</v>
      </c>
      <c r="G110" s="7">
        <f>VLOOKUP(D110,[1]characters!$A:$I,9,FALSE)</f>
        <v>5</v>
      </c>
      <c r="H110" s="7" t="str">
        <f>VLOOKUP(D110,[1]characters!$A:$H,8,FALSE)</f>
        <v>blue</v>
      </c>
      <c r="I110" s="7" t="str">
        <f>VLOOKUP(D110,[1]characters!$A:$K,11,FALSE)</f>
        <v>technical</v>
      </c>
      <c r="J110" s="7" t="str">
        <f>VLOOKUP(D110,[1]characters!$A:$M,13,FALSE)</f>
        <v>human</v>
      </c>
      <c r="K110" s="7" t="str">
        <f>VLOOKUP(D110,[1]characters!$A:$G,7,FALSE)</f>
        <v>女性</v>
      </c>
      <c r="L110" s="66">
        <f>IFERROR(VLOOKUP(D110,input_0!L:R,7,FALSE),VLOOKUP(tables_0!B110,input_0!A:H,8,FALSE))</f>
        <v>46176</v>
      </c>
      <c r="M110" s="67">
        <f t="shared" si="3"/>
        <v>8.8888888888888893E-4</v>
      </c>
      <c r="N110" s="31">
        <f>IFERROR(VLOOKUP($D110,bug_conf_sheet!$A:$H,3,FALSE),VLOOKUP("other",bug_conf_sheet!$A:$H,3,FALSE))</f>
        <v>1</v>
      </c>
      <c r="O110" s="31">
        <f>IFERROR(VLOOKUP($D110,bug_conf_sheet!$A:$H,4,FALSE),VLOOKUP("other",bug_conf_sheet!$A:$H,4,FALSE))</f>
        <v>0</v>
      </c>
      <c r="P110" s="31">
        <f>IFERROR(VLOOKUP($D110,bug_conf_sheet!$A:$H,5,FALSE),VLOOKUP("other",bug_conf_sheet!$A:$H,5,FALSE))</f>
        <v>0</v>
      </c>
      <c r="Q110" s="31">
        <f>IFERROR(VLOOKUP($D110,bug_conf_sheet!$A:$H,6,FALSE),VLOOKUP("other",bug_conf_sheet!$A:$H,6,FALSE))</f>
        <v>0</v>
      </c>
      <c r="R110" s="31">
        <f>IFERROR(VLOOKUP($D110,bug_conf_sheet!$A:$H,7,FALSE),VLOOKUP("other",bug_conf_sheet!$A:$H,7,FALSE))</f>
        <v>0</v>
      </c>
      <c r="S110" s="31">
        <f>IFERROR(VLOOKUP($D110,bug_conf_sheet!$A:$H,8,FALSE),VLOOKUP("other",bug_conf_sheet!$A:$H,8,FALSE))</f>
        <v>1</v>
      </c>
    </row>
    <row r="111" spans="1:19" ht="21" hidden="1" customHeight="1">
      <c r="A111" s="2">
        <f>input_0!A$2</f>
        <v>3120</v>
      </c>
      <c r="B111" s="7" t="str">
        <f t="shared" si="4"/>
        <v>Premium3</v>
      </c>
      <c r="C111" s="7" t="str">
        <f t="shared" si="5"/>
        <v>Premium</v>
      </c>
      <c r="D111" s="5">
        <v>235</v>
      </c>
      <c r="E111" s="7" t="str">
        <f>VLOOKUP(D111,[1]characters!$A:$C,3,FALSE)</f>
        <v>イザナミ</v>
      </c>
      <c r="F111" s="7" t="str">
        <f>VLOOKUP(D111,[1]characters!$A:$J,10,FALSE)</f>
        <v>PremiumS</v>
      </c>
      <c r="G111" s="7">
        <f>VLOOKUP(D111,[1]characters!$A:$I,9,FALSE)</f>
        <v>3</v>
      </c>
      <c r="H111" s="7" t="str">
        <f>VLOOKUP(D111,[1]characters!$A:$H,8,FALSE)</f>
        <v>yellow</v>
      </c>
      <c r="I111" s="7" t="str">
        <f>VLOOKUP(D111,[1]characters!$A:$K,11,FALSE)</f>
        <v>attack</v>
      </c>
      <c r="J111" s="7" t="str">
        <f>VLOOKUP(D111,[1]characters!$A:$M,13,FALSE)</f>
        <v>god</v>
      </c>
      <c r="K111" s="7" t="str">
        <f>VLOOKUP(D111,[1]characters!$A:$G,7,FALSE)</f>
        <v>女性</v>
      </c>
      <c r="L111" s="66">
        <f>IFERROR(VLOOKUP(D111,input_0!L:R,7,FALSE),VLOOKUP(tables_0!B111,input_0!A:H,8,FALSE))</f>
        <v>0</v>
      </c>
      <c r="M111" s="67">
        <f t="shared" si="3"/>
        <v>0</v>
      </c>
      <c r="N111" s="31">
        <f>IFERROR(VLOOKUP($D111,bug_conf_sheet!$A:$H,3,FALSE),VLOOKUP("other",bug_conf_sheet!$A:$H,3,FALSE))</f>
        <v>1</v>
      </c>
      <c r="O111" s="31">
        <f>IFERROR(VLOOKUP($D111,bug_conf_sheet!$A:$H,4,FALSE),VLOOKUP("other",bug_conf_sheet!$A:$H,4,FALSE))</f>
        <v>0</v>
      </c>
      <c r="P111" s="31">
        <f>IFERROR(VLOOKUP($D111,bug_conf_sheet!$A:$H,5,FALSE),VLOOKUP("other",bug_conf_sheet!$A:$H,5,FALSE))</f>
        <v>0</v>
      </c>
      <c r="Q111" s="31">
        <f>IFERROR(VLOOKUP($D111,bug_conf_sheet!$A:$H,6,FALSE),VLOOKUP("other",bug_conf_sheet!$A:$H,6,FALSE))</f>
        <v>0</v>
      </c>
      <c r="R111" s="31">
        <f>IFERROR(VLOOKUP($D111,bug_conf_sheet!$A:$H,7,FALSE),VLOOKUP("other",bug_conf_sheet!$A:$H,7,FALSE))</f>
        <v>0</v>
      </c>
      <c r="S111" s="31">
        <f>IFERROR(VLOOKUP($D111,bug_conf_sheet!$A:$H,8,FALSE),VLOOKUP("other",bug_conf_sheet!$A:$H,8,FALSE))</f>
        <v>1</v>
      </c>
    </row>
    <row r="112" spans="1:19" ht="21" hidden="1" customHeight="1">
      <c r="A112" s="2">
        <f>input_0!A$2</f>
        <v>3120</v>
      </c>
      <c r="B112" s="7" t="str">
        <f t="shared" si="4"/>
        <v>Premium4</v>
      </c>
      <c r="C112" s="7" t="str">
        <f t="shared" si="5"/>
        <v>Premium</v>
      </c>
      <c r="D112" s="5">
        <v>236</v>
      </c>
      <c r="E112" s="7" t="str">
        <f>VLOOKUP(D112,[1]characters!$A:$C,3,FALSE)</f>
        <v>神産 イザナミ</v>
      </c>
      <c r="F112" s="7" t="str">
        <f>VLOOKUP(D112,[1]characters!$A:$J,10,FALSE)</f>
        <v>PremiumS</v>
      </c>
      <c r="G112" s="7">
        <f>VLOOKUP(D112,[1]characters!$A:$I,9,FALSE)</f>
        <v>4</v>
      </c>
      <c r="H112" s="7" t="str">
        <f>VLOOKUP(D112,[1]characters!$A:$H,8,FALSE)</f>
        <v>yellow</v>
      </c>
      <c r="I112" s="7" t="str">
        <f>VLOOKUP(D112,[1]characters!$A:$K,11,FALSE)</f>
        <v>attack</v>
      </c>
      <c r="J112" s="7" t="str">
        <f>VLOOKUP(D112,[1]characters!$A:$M,13,FALSE)</f>
        <v>god</v>
      </c>
      <c r="K112" s="7" t="str">
        <f>VLOOKUP(D112,[1]characters!$A:$G,7,FALSE)</f>
        <v>女性</v>
      </c>
      <c r="L112" s="66">
        <f>IFERROR(VLOOKUP(D112,input_0!L:R,7,FALSE),VLOOKUP(tables_0!B112,input_0!A:H,8,FALSE))</f>
        <v>640224</v>
      </c>
      <c r="M112" s="67">
        <f t="shared" si="3"/>
        <v>1.2324324324324324E-2</v>
      </c>
      <c r="N112" s="31">
        <f>IFERROR(VLOOKUP($D112,bug_conf_sheet!$A:$H,3,FALSE),VLOOKUP("other",bug_conf_sheet!$A:$H,3,FALSE))</f>
        <v>1</v>
      </c>
      <c r="O112" s="31">
        <f>IFERROR(VLOOKUP($D112,bug_conf_sheet!$A:$H,4,FALSE),VLOOKUP("other",bug_conf_sheet!$A:$H,4,FALSE))</f>
        <v>0</v>
      </c>
      <c r="P112" s="31">
        <f>IFERROR(VLOOKUP($D112,bug_conf_sheet!$A:$H,5,FALSE),VLOOKUP("other",bug_conf_sheet!$A:$H,5,FALSE))</f>
        <v>0</v>
      </c>
      <c r="Q112" s="31">
        <f>IFERROR(VLOOKUP($D112,bug_conf_sheet!$A:$H,6,FALSE),VLOOKUP("other",bug_conf_sheet!$A:$H,6,FALSE))</f>
        <v>0</v>
      </c>
      <c r="R112" s="31">
        <f>IFERROR(VLOOKUP($D112,bug_conf_sheet!$A:$H,7,FALSE),VLOOKUP("other",bug_conf_sheet!$A:$H,7,FALSE))</f>
        <v>0</v>
      </c>
      <c r="S112" s="31">
        <f>IFERROR(VLOOKUP($D112,bug_conf_sheet!$A:$H,8,FALSE),VLOOKUP("other",bug_conf_sheet!$A:$H,8,FALSE))</f>
        <v>1</v>
      </c>
    </row>
    <row r="113" spans="1:19" ht="21" hidden="1" customHeight="1">
      <c r="A113" s="2">
        <f>input_0!A$2</f>
        <v>3120</v>
      </c>
      <c r="B113" s="7" t="str">
        <f t="shared" si="4"/>
        <v>Premium5</v>
      </c>
      <c r="C113" s="7" t="str">
        <f t="shared" si="5"/>
        <v>Premium</v>
      </c>
      <c r="D113" s="5">
        <v>237</v>
      </c>
      <c r="E113" s="7" t="str">
        <f>VLOOKUP(D113,[1]characters!$A:$C,3,FALSE)</f>
        <v>森羅万象の神母 イザナミ</v>
      </c>
      <c r="F113" s="7" t="str">
        <f>VLOOKUP(D113,[1]characters!$A:$J,10,FALSE)</f>
        <v>PremiumS</v>
      </c>
      <c r="G113" s="7">
        <f>VLOOKUP(D113,[1]characters!$A:$I,9,FALSE)</f>
        <v>5</v>
      </c>
      <c r="H113" s="7" t="str">
        <f>VLOOKUP(D113,[1]characters!$A:$H,8,FALSE)</f>
        <v>yellow</v>
      </c>
      <c r="I113" s="7" t="str">
        <f>VLOOKUP(D113,[1]characters!$A:$K,11,FALSE)</f>
        <v>attack</v>
      </c>
      <c r="J113" s="7" t="str">
        <f>VLOOKUP(D113,[1]characters!$A:$M,13,FALSE)</f>
        <v>god</v>
      </c>
      <c r="K113" s="7" t="str">
        <f>VLOOKUP(D113,[1]characters!$A:$G,7,FALSE)</f>
        <v>女性</v>
      </c>
      <c r="L113" s="66">
        <f>IFERROR(VLOOKUP(D113,input_0!L:R,7,FALSE),VLOOKUP(tables_0!B113,input_0!A:H,8,FALSE))</f>
        <v>46176</v>
      </c>
      <c r="M113" s="67">
        <f t="shared" si="3"/>
        <v>8.8888888888888893E-4</v>
      </c>
      <c r="N113" s="31">
        <f>IFERROR(VLOOKUP($D113,bug_conf_sheet!$A:$H,3,FALSE),VLOOKUP("other",bug_conf_sheet!$A:$H,3,FALSE))</f>
        <v>1</v>
      </c>
      <c r="O113" s="31">
        <f>IFERROR(VLOOKUP($D113,bug_conf_sheet!$A:$H,4,FALSE),VLOOKUP("other",bug_conf_sheet!$A:$H,4,FALSE))</f>
        <v>0</v>
      </c>
      <c r="P113" s="31">
        <f>IFERROR(VLOOKUP($D113,bug_conf_sheet!$A:$H,5,FALSE),VLOOKUP("other",bug_conf_sheet!$A:$H,5,FALSE))</f>
        <v>0</v>
      </c>
      <c r="Q113" s="31">
        <f>IFERROR(VLOOKUP($D113,bug_conf_sheet!$A:$H,6,FALSE),VLOOKUP("other",bug_conf_sheet!$A:$H,6,FALSE))</f>
        <v>0</v>
      </c>
      <c r="R113" s="31">
        <f>IFERROR(VLOOKUP($D113,bug_conf_sheet!$A:$H,7,FALSE),VLOOKUP("other",bug_conf_sheet!$A:$H,7,FALSE))</f>
        <v>0</v>
      </c>
      <c r="S113" s="31">
        <f>IFERROR(VLOOKUP($D113,bug_conf_sheet!$A:$H,8,FALSE),VLOOKUP("other",bug_conf_sheet!$A:$H,8,FALSE))</f>
        <v>1</v>
      </c>
    </row>
    <row r="114" spans="1:19" ht="21" hidden="1" customHeight="1">
      <c r="A114" s="2">
        <f>input_0!A$2</f>
        <v>3120</v>
      </c>
      <c r="B114" s="7" t="str">
        <f t="shared" si="4"/>
        <v>Premium3</v>
      </c>
      <c r="C114" s="7" t="str">
        <f t="shared" si="5"/>
        <v>Premium</v>
      </c>
      <c r="D114" s="5">
        <v>238</v>
      </c>
      <c r="E114" s="7" t="str">
        <f>VLOOKUP(D114,[1]characters!$A:$C,3,FALSE)</f>
        <v>ウリエル</v>
      </c>
      <c r="F114" s="7" t="str">
        <f>VLOOKUP(D114,[1]characters!$A:$J,10,FALSE)</f>
        <v>PremiumS</v>
      </c>
      <c r="G114" s="7">
        <f>VLOOKUP(D114,[1]characters!$A:$I,9,FALSE)</f>
        <v>3</v>
      </c>
      <c r="H114" s="7" t="str">
        <f>VLOOKUP(D114,[1]characters!$A:$H,8,FALSE)</f>
        <v>red</v>
      </c>
      <c r="I114" s="7" t="str">
        <f>VLOOKUP(D114,[1]characters!$A:$K,11,FALSE)</f>
        <v>hp</v>
      </c>
      <c r="J114" s="7" t="str">
        <f>VLOOKUP(D114,[1]characters!$A:$M,13,FALSE)</f>
        <v>machine</v>
      </c>
      <c r="K114" s="7" t="str">
        <f>VLOOKUP(D114,[1]characters!$A:$G,7,FALSE)</f>
        <v>女性</v>
      </c>
      <c r="L114" s="66">
        <f>IFERROR(VLOOKUP(D114,input_0!L:R,7,FALSE),VLOOKUP(tables_0!B114,input_0!A:H,8,FALSE))</f>
        <v>0</v>
      </c>
      <c r="M114" s="67">
        <f t="shared" si="3"/>
        <v>0</v>
      </c>
      <c r="N114" s="31">
        <f>IFERROR(VLOOKUP($D114,bug_conf_sheet!$A:$H,3,FALSE),VLOOKUP("other",bug_conf_sheet!$A:$H,3,FALSE))</f>
        <v>1</v>
      </c>
      <c r="O114" s="31">
        <f>IFERROR(VLOOKUP($D114,bug_conf_sheet!$A:$H,4,FALSE),VLOOKUP("other",bug_conf_sheet!$A:$H,4,FALSE))</f>
        <v>0</v>
      </c>
      <c r="P114" s="31">
        <f>IFERROR(VLOOKUP($D114,bug_conf_sheet!$A:$H,5,FALSE),VLOOKUP("other",bug_conf_sheet!$A:$H,5,FALSE))</f>
        <v>0</v>
      </c>
      <c r="Q114" s="31">
        <f>IFERROR(VLOOKUP($D114,bug_conf_sheet!$A:$H,6,FALSE),VLOOKUP("other",bug_conf_sheet!$A:$H,6,FALSE))</f>
        <v>0</v>
      </c>
      <c r="R114" s="31">
        <f>IFERROR(VLOOKUP($D114,bug_conf_sheet!$A:$H,7,FALSE),VLOOKUP("other",bug_conf_sheet!$A:$H,7,FALSE))</f>
        <v>0</v>
      </c>
      <c r="S114" s="31">
        <f>IFERROR(VLOOKUP($D114,bug_conf_sheet!$A:$H,8,FALSE),VLOOKUP("other",bug_conf_sheet!$A:$H,8,FALSE))</f>
        <v>1</v>
      </c>
    </row>
    <row r="115" spans="1:19" ht="21" hidden="1" customHeight="1">
      <c r="A115" s="2">
        <f>input_0!A$2</f>
        <v>3120</v>
      </c>
      <c r="B115" s="7" t="str">
        <f t="shared" si="4"/>
        <v>Premium4</v>
      </c>
      <c r="C115" s="7" t="str">
        <f t="shared" si="5"/>
        <v>Premium</v>
      </c>
      <c r="D115" s="5">
        <v>239</v>
      </c>
      <c r="E115" s="7" t="str">
        <f>VLOOKUP(D115,[1]characters!$A:$C,3,FALSE)</f>
        <v>豪炎の天使 ウリエル</v>
      </c>
      <c r="F115" s="7" t="str">
        <f>VLOOKUP(D115,[1]characters!$A:$J,10,FALSE)</f>
        <v>PremiumS</v>
      </c>
      <c r="G115" s="7">
        <f>VLOOKUP(D115,[1]characters!$A:$I,9,FALSE)</f>
        <v>4</v>
      </c>
      <c r="H115" s="7" t="str">
        <f>VLOOKUP(D115,[1]characters!$A:$H,8,FALSE)</f>
        <v>red</v>
      </c>
      <c r="I115" s="7" t="str">
        <f>VLOOKUP(D115,[1]characters!$A:$K,11,FALSE)</f>
        <v>hp</v>
      </c>
      <c r="J115" s="7" t="str">
        <f>VLOOKUP(D115,[1]characters!$A:$M,13,FALSE)</f>
        <v>machine</v>
      </c>
      <c r="K115" s="7" t="str">
        <f>VLOOKUP(D115,[1]characters!$A:$G,7,FALSE)</f>
        <v>女性</v>
      </c>
      <c r="L115" s="66">
        <f>IFERROR(VLOOKUP(D115,input_0!L:R,7,FALSE),VLOOKUP(tables_0!B115,input_0!A:H,8,FALSE))</f>
        <v>640224</v>
      </c>
      <c r="M115" s="67">
        <f t="shared" si="3"/>
        <v>1.2324324324324324E-2</v>
      </c>
      <c r="N115" s="31">
        <f>IFERROR(VLOOKUP($D115,bug_conf_sheet!$A:$H,3,FALSE),VLOOKUP("other",bug_conf_sheet!$A:$H,3,FALSE))</f>
        <v>1</v>
      </c>
      <c r="O115" s="31">
        <f>IFERROR(VLOOKUP($D115,bug_conf_sheet!$A:$H,4,FALSE),VLOOKUP("other",bug_conf_sheet!$A:$H,4,FALSE))</f>
        <v>0</v>
      </c>
      <c r="P115" s="31">
        <f>IFERROR(VLOOKUP($D115,bug_conf_sheet!$A:$H,5,FALSE),VLOOKUP("other",bug_conf_sheet!$A:$H,5,FALSE))</f>
        <v>0</v>
      </c>
      <c r="Q115" s="31">
        <f>IFERROR(VLOOKUP($D115,bug_conf_sheet!$A:$H,6,FALSE),VLOOKUP("other",bug_conf_sheet!$A:$H,6,FALSE))</f>
        <v>0</v>
      </c>
      <c r="R115" s="31">
        <f>IFERROR(VLOOKUP($D115,bug_conf_sheet!$A:$H,7,FALSE),VLOOKUP("other",bug_conf_sheet!$A:$H,7,FALSE))</f>
        <v>0</v>
      </c>
      <c r="S115" s="31">
        <f>IFERROR(VLOOKUP($D115,bug_conf_sheet!$A:$H,8,FALSE),VLOOKUP("other",bug_conf_sheet!$A:$H,8,FALSE))</f>
        <v>1</v>
      </c>
    </row>
    <row r="116" spans="1:19" ht="21" hidden="1" customHeight="1">
      <c r="A116" s="2">
        <f>input_0!A$2</f>
        <v>3120</v>
      </c>
      <c r="B116" s="7" t="str">
        <f t="shared" si="4"/>
        <v>Premium5</v>
      </c>
      <c r="C116" s="7" t="str">
        <f t="shared" si="5"/>
        <v>Premium</v>
      </c>
      <c r="D116" s="5">
        <v>240</v>
      </c>
      <c r="E116" s="7" t="str">
        <f>VLOOKUP(D116,[1]characters!$A:$C,3,FALSE)</f>
        <v>轟炎の天使 ウリエル・スレイヤー</v>
      </c>
      <c r="F116" s="7" t="str">
        <f>VLOOKUP(D116,[1]characters!$A:$J,10,FALSE)</f>
        <v>PremiumS</v>
      </c>
      <c r="G116" s="7">
        <f>VLOOKUP(D116,[1]characters!$A:$I,9,FALSE)</f>
        <v>5</v>
      </c>
      <c r="H116" s="7" t="str">
        <f>VLOOKUP(D116,[1]characters!$A:$H,8,FALSE)</f>
        <v>red</v>
      </c>
      <c r="I116" s="7" t="str">
        <f>VLOOKUP(D116,[1]characters!$A:$K,11,FALSE)</f>
        <v>hp</v>
      </c>
      <c r="J116" s="7" t="str">
        <f>VLOOKUP(D116,[1]characters!$A:$M,13,FALSE)</f>
        <v>machine</v>
      </c>
      <c r="K116" s="7" t="str">
        <f>VLOOKUP(D116,[1]characters!$A:$G,7,FALSE)</f>
        <v>女性</v>
      </c>
      <c r="L116" s="66">
        <f>IFERROR(VLOOKUP(D116,input_0!L:R,7,FALSE),VLOOKUP(tables_0!B116,input_0!A:H,8,FALSE))</f>
        <v>46176</v>
      </c>
      <c r="M116" s="67">
        <f t="shared" si="3"/>
        <v>8.8888888888888893E-4</v>
      </c>
      <c r="N116" s="31">
        <f>IFERROR(VLOOKUP($D116,bug_conf_sheet!$A:$H,3,FALSE),VLOOKUP("other",bug_conf_sheet!$A:$H,3,FALSE))</f>
        <v>1</v>
      </c>
      <c r="O116" s="31">
        <f>IFERROR(VLOOKUP($D116,bug_conf_sheet!$A:$H,4,FALSE),VLOOKUP("other",bug_conf_sheet!$A:$H,4,FALSE))</f>
        <v>0</v>
      </c>
      <c r="P116" s="31">
        <f>IFERROR(VLOOKUP($D116,bug_conf_sheet!$A:$H,5,FALSE),VLOOKUP("other",bug_conf_sheet!$A:$H,5,FALSE))</f>
        <v>0</v>
      </c>
      <c r="Q116" s="31">
        <f>IFERROR(VLOOKUP($D116,bug_conf_sheet!$A:$H,6,FALSE),VLOOKUP("other",bug_conf_sheet!$A:$H,6,FALSE))</f>
        <v>0</v>
      </c>
      <c r="R116" s="31">
        <f>IFERROR(VLOOKUP($D116,bug_conf_sheet!$A:$H,7,FALSE),VLOOKUP("other",bug_conf_sheet!$A:$H,7,FALSE))</f>
        <v>0</v>
      </c>
      <c r="S116" s="31">
        <f>IFERROR(VLOOKUP($D116,bug_conf_sheet!$A:$H,8,FALSE),VLOOKUP("other",bug_conf_sheet!$A:$H,8,FALSE))</f>
        <v>1</v>
      </c>
    </row>
    <row r="117" spans="1:19" ht="21" hidden="1" customHeight="1">
      <c r="A117" s="2">
        <f>input_0!A$2</f>
        <v>3120</v>
      </c>
      <c r="B117" s="7" t="str">
        <f t="shared" si="4"/>
        <v>Premium3</v>
      </c>
      <c r="C117" s="7" t="str">
        <f t="shared" si="5"/>
        <v>Premium</v>
      </c>
      <c r="D117" s="5">
        <v>241</v>
      </c>
      <c r="E117" s="7" t="str">
        <f>VLOOKUP(D117,[1]characters!$A:$C,3,FALSE)</f>
        <v>ガブリエル</v>
      </c>
      <c r="F117" s="7" t="str">
        <f>VLOOKUP(D117,[1]characters!$A:$J,10,FALSE)</f>
        <v>PremiumS</v>
      </c>
      <c r="G117" s="7">
        <f>VLOOKUP(D117,[1]characters!$A:$I,9,FALSE)</f>
        <v>3</v>
      </c>
      <c r="H117" s="7" t="str">
        <f>VLOOKUP(D117,[1]characters!$A:$H,8,FALSE)</f>
        <v>green</v>
      </c>
      <c r="I117" s="7" t="str">
        <f>VLOOKUP(D117,[1]characters!$A:$K,11,FALSE)</f>
        <v>balance</v>
      </c>
      <c r="J117" s="7" t="str">
        <f>VLOOKUP(D117,[1]characters!$A:$M,13,FALSE)</f>
        <v>machine</v>
      </c>
      <c r="K117" s="7" t="str">
        <f>VLOOKUP(D117,[1]characters!$A:$G,7,FALSE)</f>
        <v>女性</v>
      </c>
      <c r="L117" s="66">
        <f>IFERROR(VLOOKUP(D117,input_0!L:R,7,FALSE),VLOOKUP(tables_0!B117,input_0!A:H,8,FALSE))</f>
        <v>0</v>
      </c>
      <c r="M117" s="67">
        <f t="shared" si="3"/>
        <v>0</v>
      </c>
      <c r="N117" s="31">
        <f>IFERROR(VLOOKUP($D117,bug_conf_sheet!$A:$H,3,FALSE),VLOOKUP("other",bug_conf_sheet!$A:$H,3,FALSE))</f>
        <v>1</v>
      </c>
      <c r="O117" s="31">
        <f>IFERROR(VLOOKUP($D117,bug_conf_sheet!$A:$H,4,FALSE),VLOOKUP("other",bug_conf_sheet!$A:$H,4,FALSE))</f>
        <v>0</v>
      </c>
      <c r="P117" s="31">
        <f>IFERROR(VLOOKUP($D117,bug_conf_sheet!$A:$H,5,FALSE),VLOOKUP("other",bug_conf_sheet!$A:$H,5,FALSE))</f>
        <v>0</v>
      </c>
      <c r="Q117" s="31">
        <f>IFERROR(VLOOKUP($D117,bug_conf_sheet!$A:$H,6,FALSE),VLOOKUP("other",bug_conf_sheet!$A:$H,6,FALSE))</f>
        <v>0</v>
      </c>
      <c r="R117" s="31">
        <f>IFERROR(VLOOKUP($D117,bug_conf_sheet!$A:$H,7,FALSE),VLOOKUP("other",bug_conf_sheet!$A:$H,7,FALSE))</f>
        <v>0</v>
      </c>
      <c r="S117" s="31">
        <f>IFERROR(VLOOKUP($D117,bug_conf_sheet!$A:$H,8,FALSE),VLOOKUP("other",bug_conf_sheet!$A:$H,8,FALSE))</f>
        <v>1</v>
      </c>
    </row>
    <row r="118" spans="1:19" ht="21" hidden="1" customHeight="1">
      <c r="A118" s="2">
        <f>input_0!A$2</f>
        <v>3120</v>
      </c>
      <c r="B118" s="7" t="str">
        <f t="shared" si="4"/>
        <v>Premium4</v>
      </c>
      <c r="C118" s="7" t="str">
        <f t="shared" si="5"/>
        <v>Premium</v>
      </c>
      <c r="D118" s="5">
        <v>242</v>
      </c>
      <c r="E118" s="7" t="str">
        <f>VLOOKUP(D118,[1]characters!$A:$C,3,FALSE)</f>
        <v>百花の天使 ガブリエル</v>
      </c>
      <c r="F118" s="7" t="str">
        <f>VLOOKUP(D118,[1]characters!$A:$J,10,FALSE)</f>
        <v>PremiumS</v>
      </c>
      <c r="G118" s="7">
        <f>VLOOKUP(D118,[1]characters!$A:$I,9,FALSE)</f>
        <v>4</v>
      </c>
      <c r="H118" s="7" t="str">
        <f>VLOOKUP(D118,[1]characters!$A:$H,8,FALSE)</f>
        <v>green</v>
      </c>
      <c r="I118" s="7" t="str">
        <f>VLOOKUP(D118,[1]characters!$A:$K,11,FALSE)</f>
        <v>balance</v>
      </c>
      <c r="J118" s="7" t="str">
        <f>VLOOKUP(D118,[1]characters!$A:$M,13,FALSE)</f>
        <v>machine</v>
      </c>
      <c r="K118" s="7" t="str">
        <f>VLOOKUP(D118,[1]characters!$A:$G,7,FALSE)</f>
        <v>女性</v>
      </c>
      <c r="L118" s="66">
        <f>IFERROR(VLOOKUP(D118,input_0!L:R,7,FALSE),VLOOKUP(tables_0!B118,input_0!A:H,8,FALSE))</f>
        <v>640224</v>
      </c>
      <c r="M118" s="67">
        <f t="shared" si="3"/>
        <v>1.2324324324324324E-2</v>
      </c>
      <c r="N118" s="31">
        <f>IFERROR(VLOOKUP($D118,bug_conf_sheet!$A:$H,3,FALSE),VLOOKUP("other",bug_conf_sheet!$A:$H,3,FALSE))</f>
        <v>1</v>
      </c>
      <c r="O118" s="31">
        <f>IFERROR(VLOOKUP($D118,bug_conf_sheet!$A:$H,4,FALSE),VLOOKUP("other",bug_conf_sheet!$A:$H,4,FALSE))</f>
        <v>0</v>
      </c>
      <c r="P118" s="31">
        <f>IFERROR(VLOOKUP($D118,bug_conf_sheet!$A:$H,5,FALSE),VLOOKUP("other",bug_conf_sheet!$A:$H,5,FALSE))</f>
        <v>0</v>
      </c>
      <c r="Q118" s="31">
        <f>IFERROR(VLOOKUP($D118,bug_conf_sheet!$A:$H,6,FALSE),VLOOKUP("other",bug_conf_sheet!$A:$H,6,FALSE))</f>
        <v>0</v>
      </c>
      <c r="R118" s="31">
        <f>IFERROR(VLOOKUP($D118,bug_conf_sheet!$A:$H,7,FALSE),VLOOKUP("other",bug_conf_sheet!$A:$H,7,FALSE))</f>
        <v>0</v>
      </c>
      <c r="S118" s="31">
        <f>IFERROR(VLOOKUP($D118,bug_conf_sheet!$A:$H,8,FALSE),VLOOKUP("other",bug_conf_sheet!$A:$H,8,FALSE))</f>
        <v>1</v>
      </c>
    </row>
    <row r="119" spans="1:19" ht="21" hidden="1" customHeight="1">
      <c r="A119" s="2">
        <f>input_0!A$2</f>
        <v>3120</v>
      </c>
      <c r="B119" s="7" t="str">
        <f t="shared" si="4"/>
        <v>Premium5</v>
      </c>
      <c r="C119" s="7" t="str">
        <f t="shared" si="5"/>
        <v>Premium</v>
      </c>
      <c r="D119" s="5">
        <v>243</v>
      </c>
      <c r="E119" s="7" t="str">
        <f>VLOOKUP(D119,[1]characters!$A:$C,3,FALSE)</f>
        <v>万花の天使 ガブリエル・ブルーム</v>
      </c>
      <c r="F119" s="7" t="str">
        <f>VLOOKUP(D119,[1]characters!$A:$J,10,FALSE)</f>
        <v>PremiumS</v>
      </c>
      <c r="G119" s="7">
        <f>VLOOKUP(D119,[1]characters!$A:$I,9,FALSE)</f>
        <v>5</v>
      </c>
      <c r="H119" s="7" t="str">
        <f>VLOOKUP(D119,[1]characters!$A:$H,8,FALSE)</f>
        <v>green</v>
      </c>
      <c r="I119" s="7" t="str">
        <f>VLOOKUP(D119,[1]characters!$A:$K,11,FALSE)</f>
        <v>balance</v>
      </c>
      <c r="J119" s="7" t="str">
        <f>VLOOKUP(D119,[1]characters!$A:$M,13,FALSE)</f>
        <v>machine</v>
      </c>
      <c r="K119" s="7" t="str">
        <f>VLOOKUP(D119,[1]characters!$A:$G,7,FALSE)</f>
        <v>女性</v>
      </c>
      <c r="L119" s="66">
        <f>IFERROR(VLOOKUP(D119,input_0!L:R,7,FALSE),VLOOKUP(tables_0!B119,input_0!A:H,8,FALSE))</f>
        <v>46176</v>
      </c>
      <c r="M119" s="67">
        <f t="shared" si="3"/>
        <v>8.8888888888888893E-4</v>
      </c>
      <c r="N119" s="31">
        <f>IFERROR(VLOOKUP($D119,bug_conf_sheet!$A:$H,3,FALSE),VLOOKUP("other",bug_conf_sheet!$A:$H,3,FALSE))</f>
        <v>1</v>
      </c>
      <c r="O119" s="31">
        <f>IFERROR(VLOOKUP($D119,bug_conf_sheet!$A:$H,4,FALSE),VLOOKUP("other",bug_conf_sheet!$A:$H,4,FALSE))</f>
        <v>0</v>
      </c>
      <c r="P119" s="31">
        <f>IFERROR(VLOOKUP($D119,bug_conf_sheet!$A:$H,5,FALSE),VLOOKUP("other",bug_conf_sheet!$A:$H,5,FALSE))</f>
        <v>0</v>
      </c>
      <c r="Q119" s="31">
        <f>IFERROR(VLOOKUP($D119,bug_conf_sheet!$A:$H,6,FALSE),VLOOKUP("other",bug_conf_sheet!$A:$H,6,FALSE))</f>
        <v>0</v>
      </c>
      <c r="R119" s="31">
        <f>IFERROR(VLOOKUP($D119,bug_conf_sheet!$A:$H,7,FALSE),VLOOKUP("other",bug_conf_sheet!$A:$H,7,FALSE))</f>
        <v>0</v>
      </c>
      <c r="S119" s="31">
        <f>IFERROR(VLOOKUP($D119,bug_conf_sheet!$A:$H,8,FALSE),VLOOKUP("other",bug_conf_sheet!$A:$H,8,FALSE))</f>
        <v>1</v>
      </c>
    </row>
    <row r="120" spans="1:19" ht="21" hidden="1" customHeight="1">
      <c r="A120" s="2">
        <f>input_0!A$2</f>
        <v>3120</v>
      </c>
      <c r="B120" s="7" t="str">
        <f t="shared" si="4"/>
        <v>Premium3</v>
      </c>
      <c r="C120" s="7" t="str">
        <f t="shared" si="5"/>
        <v>Premium</v>
      </c>
      <c r="D120" s="5">
        <v>244</v>
      </c>
      <c r="E120" s="7" t="str">
        <f>VLOOKUP(D120,[1]characters!$A:$C,3,FALSE)</f>
        <v>ラファエル</v>
      </c>
      <c r="F120" s="7" t="str">
        <f>VLOOKUP(D120,[1]characters!$A:$J,10,FALSE)</f>
        <v>PremiumS</v>
      </c>
      <c r="G120" s="7">
        <f>VLOOKUP(D120,[1]characters!$A:$I,9,FALSE)</f>
        <v>3</v>
      </c>
      <c r="H120" s="7" t="str">
        <f>VLOOKUP(D120,[1]characters!$A:$H,8,FALSE)</f>
        <v>blue</v>
      </c>
      <c r="I120" s="7" t="str">
        <f>VLOOKUP(D120,[1]characters!$A:$K,11,FALSE)</f>
        <v>balance</v>
      </c>
      <c r="J120" s="7" t="str">
        <f>VLOOKUP(D120,[1]characters!$A:$M,13,FALSE)</f>
        <v>machine</v>
      </c>
      <c r="K120" s="7" t="str">
        <f>VLOOKUP(D120,[1]characters!$A:$G,7,FALSE)</f>
        <v>女性</v>
      </c>
      <c r="L120" s="66">
        <f>IFERROR(VLOOKUP(D120,input_0!L:R,7,FALSE),VLOOKUP(tables_0!B120,input_0!A:H,8,FALSE))</f>
        <v>0</v>
      </c>
      <c r="M120" s="67">
        <f t="shared" si="3"/>
        <v>0</v>
      </c>
      <c r="N120" s="31">
        <f>IFERROR(VLOOKUP($D120,bug_conf_sheet!$A:$H,3,FALSE),VLOOKUP("other",bug_conf_sheet!$A:$H,3,FALSE))</f>
        <v>1</v>
      </c>
      <c r="O120" s="31">
        <f>IFERROR(VLOOKUP($D120,bug_conf_sheet!$A:$H,4,FALSE),VLOOKUP("other",bug_conf_sheet!$A:$H,4,FALSE))</f>
        <v>0</v>
      </c>
      <c r="P120" s="31">
        <f>IFERROR(VLOOKUP($D120,bug_conf_sheet!$A:$H,5,FALSE),VLOOKUP("other",bug_conf_sheet!$A:$H,5,FALSE))</f>
        <v>0</v>
      </c>
      <c r="Q120" s="31">
        <f>IFERROR(VLOOKUP($D120,bug_conf_sheet!$A:$H,6,FALSE),VLOOKUP("other",bug_conf_sheet!$A:$H,6,FALSE))</f>
        <v>0</v>
      </c>
      <c r="R120" s="31">
        <f>IFERROR(VLOOKUP($D120,bug_conf_sheet!$A:$H,7,FALSE),VLOOKUP("other",bug_conf_sheet!$A:$H,7,FALSE))</f>
        <v>0</v>
      </c>
      <c r="S120" s="31">
        <f>IFERROR(VLOOKUP($D120,bug_conf_sheet!$A:$H,8,FALSE),VLOOKUP("other",bug_conf_sheet!$A:$H,8,FALSE))</f>
        <v>1</v>
      </c>
    </row>
    <row r="121" spans="1:19" ht="21" hidden="1" customHeight="1">
      <c r="A121" s="2">
        <f>input_0!A$2</f>
        <v>3120</v>
      </c>
      <c r="B121" s="7" t="str">
        <f t="shared" si="4"/>
        <v>Premium4</v>
      </c>
      <c r="C121" s="7" t="str">
        <f t="shared" si="5"/>
        <v>Premium</v>
      </c>
      <c r="D121" s="5">
        <v>245</v>
      </c>
      <c r="E121" s="7" t="str">
        <f>VLOOKUP(D121,[1]characters!$A:$C,3,FALSE)</f>
        <v>鎮癒の天使 ラファエル</v>
      </c>
      <c r="F121" s="7" t="str">
        <f>VLOOKUP(D121,[1]characters!$A:$J,10,FALSE)</f>
        <v>PremiumS</v>
      </c>
      <c r="G121" s="7">
        <f>VLOOKUP(D121,[1]characters!$A:$I,9,FALSE)</f>
        <v>4</v>
      </c>
      <c r="H121" s="7" t="str">
        <f>VLOOKUP(D121,[1]characters!$A:$H,8,FALSE)</f>
        <v>blue</v>
      </c>
      <c r="I121" s="7" t="str">
        <f>VLOOKUP(D121,[1]characters!$A:$K,11,FALSE)</f>
        <v>balance</v>
      </c>
      <c r="J121" s="7" t="str">
        <f>VLOOKUP(D121,[1]characters!$A:$M,13,FALSE)</f>
        <v>machine</v>
      </c>
      <c r="K121" s="7" t="str">
        <f>VLOOKUP(D121,[1]characters!$A:$G,7,FALSE)</f>
        <v>女性</v>
      </c>
      <c r="L121" s="66">
        <f>IFERROR(VLOOKUP(D121,input_0!L:R,7,FALSE),VLOOKUP(tables_0!B121,input_0!A:H,8,FALSE))</f>
        <v>640224</v>
      </c>
      <c r="M121" s="67">
        <f t="shared" si="3"/>
        <v>1.2324324324324324E-2</v>
      </c>
      <c r="N121" s="31">
        <f>IFERROR(VLOOKUP($D121,bug_conf_sheet!$A:$H,3,FALSE),VLOOKUP("other",bug_conf_sheet!$A:$H,3,FALSE))</f>
        <v>1</v>
      </c>
      <c r="O121" s="31">
        <f>IFERROR(VLOOKUP($D121,bug_conf_sheet!$A:$H,4,FALSE),VLOOKUP("other",bug_conf_sheet!$A:$H,4,FALSE))</f>
        <v>0</v>
      </c>
      <c r="P121" s="31">
        <f>IFERROR(VLOOKUP($D121,bug_conf_sheet!$A:$H,5,FALSE),VLOOKUP("other",bug_conf_sheet!$A:$H,5,FALSE))</f>
        <v>0</v>
      </c>
      <c r="Q121" s="31">
        <f>IFERROR(VLOOKUP($D121,bug_conf_sheet!$A:$H,6,FALSE),VLOOKUP("other",bug_conf_sheet!$A:$H,6,FALSE))</f>
        <v>0</v>
      </c>
      <c r="R121" s="31">
        <f>IFERROR(VLOOKUP($D121,bug_conf_sheet!$A:$H,7,FALSE),VLOOKUP("other",bug_conf_sheet!$A:$H,7,FALSE))</f>
        <v>0</v>
      </c>
      <c r="S121" s="31">
        <f>IFERROR(VLOOKUP($D121,bug_conf_sheet!$A:$H,8,FALSE),VLOOKUP("other",bug_conf_sheet!$A:$H,8,FALSE))</f>
        <v>1</v>
      </c>
    </row>
    <row r="122" spans="1:19" ht="21" hidden="1" customHeight="1">
      <c r="A122" s="2">
        <f>input_0!A$2</f>
        <v>3120</v>
      </c>
      <c r="B122" s="7" t="str">
        <f t="shared" si="4"/>
        <v>Premium5</v>
      </c>
      <c r="C122" s="7" t="str">
        <f t="shared" si="5"/>
        <v>Premium</v>
      </c>
      <c r="D122" s="5">
        <v>246</v>
      </c>
      <c r="E122" s="7" t="str">
        <f>VLOOKUP(D122,[1]characters!$A:$C,3,FALSE)</f>
        <v>真癒の天使 ラファエル・メディカ</v>
      </c>
      <c r="F122" s="7" t="str">
        <f>VLOOKUP(D122,[1]characters!$A:$J,10,FALSE)</f>
        <v>PremiumS</v>
      </c>
      <c r="G122" s="7">
        <f>VLOOKUP(D122,[1]characters!$A:$I,9,FALSE)</f>
        <v>5</v>
      </c>
      <c r="H122" s="7" t="str">
        <f>VLOOKUP(D122,[1]characters!$A:$H,8,FALSE)</f>
        <v>blue</v>
      </c>
      <c r="I122" s="7" t="str">
        <f>VLOOKUP(D122,[1]characters!$A:$K,11,FALSE)</f>
        <v>balance</v>
      </c>
      <c r="J122" s="7" t="str">
        <f>VLOOKUP(D122,[1]characters!$A:$M,13,FALSE)</f>
        <v>machine</v>
      </c>
      <c r="K122" s="7" t="str">
        <f>VLOOKUP(D122,[1]characters!$A:$G,7,FALSE)</f>
        <v>女性</v>
      </c>
      <c r="L122" s="66">
        <f>IFERROR(VLOOKUP(D122,input_0!L:R,7,FALSE),VLOOKUP(tables_0!B122,input_0!A:H,8,FALSE))</f>
        <v>46176</v>
      </c>
      <c r="M122" s="67">
        <f t="shared" si="3"/>
        <v>8.8888888888888893E-4</v>
      </c>
      <c r="N122" s="31">
        <f>IFERROR(VLOOKUP($D122,bug_conf_sheet!$A:$H,3,FALSE),VLOOKUP("other",bug_conf_sheet!$A:$H,3,FALSE))</f>
        <v>1</v>
      </c>
      <c r="O122" s="31">
        <f>IFERROR(VLOOKUP($D122,bug_conf_sheet!$A:$H,4,FALSE),VLOOKUP("other",bug_conf_sheet!$A:$H,4,FALSE))</f>
        <v>0</v>
      </c>
      <c r="P122" s="31">
        <f>IFERROR(VLOOKUP($D122,bug_conf_sheet!$A:$H,5,FALSE),VLOOKUP("other",bug_conf_sheet!$A:$H,5,FALSE))</f>
        <v>0</v>
      </c>
      <c r="Q122" s="31">
        <f>IFERROR(VLOOKUP($D122,bug_conf_sheet!$A:$H,6,FALSE),VLOOKUP("other",bug_conf_sheet!$A:$H,6,FALSE))</f>
        <v>0</v>
      </c>
      <c r="R122" s="31">
        <f>IFERROR(VLOOKUP($D122,bug_conf_sheet!$A:$H,7,FALSE),VLOOKUP("other",bug_conf_sheet!$A:$H,7,FALSE))</f>
        <v>0</v>
      </c>
      <c r="S122" s="31">
        <f>IFERROR(VLOOKUP($D122,bug_conf_sheet!$A:$H,8,FALSE),VLOOKUP("other",bug_conf_sheet!$A:$H,8,FALSE))</f>
        <v>1</v>
      </c>
    </row>
    <row r="123" spans="1:19" ht="21" hidden="1" customHeight="1">
      <c r="A123" s="2">
        <f>input_0!A$2</f>
        <v>3120</v>
      </c>
      <c r="B123" s="7" t="str">
        <f t="shared" si="4"/>
        <v>Premium3</v>
      </c>
      <c r="C123" s="7" t="str">
        <f t="shared" si="5"/>
        <v>Premium</v>
      </c>
      <c r="D123" s="5">
        <v>247</v>
      </c>
      <c r="E123" s="7" t="str">
        <f>VLOOKUP(D123,[1]characters!$A:$C,3,FALSE)</f>
        <v>ミカエル</v>
      </c>
      <c r="F123" s="7" t="str">
        <f>VLOOKUP(D123,[1]characters!$A:$J,10,FALSE)</f>
        <v>PremiumS</v>
      </c>
      <c r="G123" s="7">
        <f>VLOOKUP(D123,[1]characters!$A:$I,9,FALSE)</f>
        <v>3</v>
      </c>
      <c r="H123" s="7" t="str">
        <f>VLOOKUP(D123,[1]characters!$A:$H,8,FALSE)</f>
        <v>yellow</v>
      </c>
      <c r="I123" s="7" t="str">
        <f>VLOOKUP(D123,[1]characters!$A:$K,11,FALSE)</f>
        <v>attack</v>
      </c>
      <c r="J123" s="7" t="str">
        <f>VLOOKUP(D123,[1]characters!$A:$M,13,FALSE)</f>
        <v>machine</v>
      </c>
      <c r="K123" s="7" t="str">
        <f>VLOOKUP(D123,[1]characters!$A:$G,7,FALSE)</f>
        <v>女性</v>
      </c>
      <c r="L123" s="66">
        <f>IFERROR(VLOOKUP(D123,input_0!L:R,7,FALSE),VLOOKUP(tables_0!B123,input_0!A:H,8,FALSE))</f>
        <v>0</v>
      </c>
      <c r="M123" s="67">
        <f t="shared" si="3"/>
        <v>0</v>
      </c>
      <c r="N123" s="31">
        <f>IFERROR(VLOOKUP($D123,bug_conf_sheet!$A:$H,3,FALSE),VLOOKUP("other",bug_conf_sheet!$A:$H,3,FALSE))</f>
        <v>1</v>
      </c>
      <c r="O123" s="31">
        <f>IFERROR(VLOOKUP($D123,bug_conf_sheet!$A:$H,4,FALSE),VLOOKUP("other",bug_conf_sheet!$A:$H,4,FALSE))</f>
        <v>0</v>
      </c>
      <c r="P123" s="31">
        <f>IFERROR(VLOOKUP($D123,bug_conf_sheet!$A:$H,5,FALSE),VLOOKUP("other",bug_conf_sheet!$A:$H,5,FALSE))</f>
        <v>0</v>
      </c>
      <c r="Q123" s="31">
        <f>IFERROR(VLOOKUP($D123,bug_conf_sheet!$A:$H,6,FALSE),VLOOKUP("other",bug_conf_sheet!$A:$H,6,FALSE))</f>
        <v>0</v>
      </c>
      <c r="R123" s="31">
        <f>IFERROR(VLOOKUP($D123,bug_conf_sheet!$A:$H,7,FALSE),VLOOKUP("other",bug_conf_sheet!$A:$H,7,FALSE))</f>
        <v>0</v>
      </c>
      <c r="S123" s="31">
        <f>IFERROR(VLOOKUP($D123,bug_conf_sheet!$A:$H,8,FALSE),VLOOKUP("other",bug_conf_sheet!$A:$H,8,FALSE))</f>
        <v>1</v>
      </c>
    </row>
    <row r="124" spans="1:19" ht="21" hidden="1" customHeight="1">
      <c r="A124" s="2">
        <f>input_0!A$2</f>
        <v>3120</v>
      </c>
      <c r="B124" s="7" t="str">
        <f t="shared" si="4"/>
        <v>Premium4</v>
      </c>
      <c r="C124" s="7" t="str">
        <f t="shared" si="5"/>
        <v>Premium</v>
      </c>
      <c r="D124" s="5">
        <v>248</v>
      </c>
      <c r="E124" s="7" t="str">
        <f>VLOOKUP(D124,[1]characters!$A:$C,3,FALSE)</f>
        <v>彩電の天使 ミカエル</v>
      </c>
      <c r="F124" s="7" t="str">
        <f>VLOOKUP(D124,[1]characters!$A:$J,10,FALSE)</f>
        <v>PremiumS</v>
      </c>
      <c r="G124" s="7">
        <f>VLOOKUP(D124,[1]characters!$A:$I,9,FALSE)</f>
        <v>4</v>
      </c>
      <c r="H124" s="7" t="str">
        <f>VLOOKUP(D124,[1]characters!$A:$H,8,FALSE)</f>
        <v>yellow</v>
      </c>
      <c r="I124" s="7" t="str">
        <f>VLOOKUP(D124,[1]characters!$A:$K,11,FALSE)</f>
        <v>attack</v>
      </c>
      <c r="J124" s="7" t="str">
        <f>VLOOKUP(D124,[1]characters!$A:$M,13,FALSE)</f>
        <v>machine</v>
      </c>
      <c r="K124" s="7" t="str">
        <f>VLOOKUP(D124,[1]characters!$A:$G,7,FALSE)</f>
        <v>女性</v>
      </c>
      <c r="L124" s="66">
        <f>IFERROR(VLOOKUP(D124,input_0!L:R,7,FALSE),VLOOKUP(tables_0!B124,input_0!A:H,8,FALSE))</f>
        <v>640224</v>
      </c>
      <c r="M124" s="67">
        <f t="shared" si="3"/>
        <v>1.2324324324324324E-2</v>
      </c>
      <c r="N124" s="31">
        <f>IFERROR(VLOOKUP($D124,bug_conf_sheet!$A:$H,3,FALSE),VLOOKUP("other",bug_conf_sheet!$A:$H,3,FALSE))</f>
        <v>1</v>
      </c>
      <c r="O124" s="31">
        <f>IFERROR(VLOOKUP($D124,bug_conf_sheet!$A:$H,4,FALSE),VLOOKUP("other",bug_conf_sheet!$A:$H,4,FALSE))</f>
        <v>0</v>
      </c>
      <c r="P124" s="31">
        <f>IFERROR(VLOOKUP($D124,bug_conf_sheet!$A:$H,5,FALSE),VLOOKUP("other",bug_conf_sheet!$A:$H,5,FALSE))</f>
        <v>0</v>
      </c>
      <c r="Q124" s="31">
        <f>IFERROR(VLOOKUP($D124,bug_conf_sheet!$A:$H,6,FALSE),VLOOKUP("other",bug_conf_sheet!$A:$H,6,FALSE))</f>
        <v>0</v>
      </c>
      <c r="R124" s="31">
        <f>IFERROR(VLOOKUP($D124,bug_conf_sheet!$A:$H,7,FALSE),VLOOKUP("other",bug_conf_sheet!$A:$H,7,FALSE))</f>
        <v>0</v>
      </c>
      <c r="S124" s="31">
        <f>IFERROR(VLOOKUP($D124,bug_conf_sheet!$A:$H,8,FALSE),VLOOKUP("other",bug_conf_sheet!$A:$H,8,FALSE))</f>
        <v>1</v>
      </c>
    </row>
    <row r="125" spans="1:19" ht="21" hidden="1" customHeight="1">
      <c r="A125" s="2">
        <f>input_0!A$2</f>
        <v>3120</v>
      </c>
      <c r="B125" s="7" t="str">
        <f t="shared" si="4"/>
        <v>Premium5</v>
      </c>
      <c r="C125" s="7" t="str">
        <f t="shared" si="5"/>
        <v>Premium</v>
      </c>
      <c r="D125" s="6">
        <v>249</v>
      </c>
      <c r="E125" s="7" t="str">
        <f>VLOOKUP(D125,[1]characters!$A:$C,3,FALSE)</f>
        <v>雷電の天使 ミカエル・ゲイナー</v>
      </c>
      <c r="F125" s="7" t="str">
        <f>VLOOKUP(D125,[1]characters!$A:$J,10,FALSE)</f>
        <v>PremiumS</v>
      </c>
      <c r="G125" s="7">
        <f>VLOOKUP(D125,[1]characters!$A:$I,9,FALSE)</f>
        <v>5</v>
      </c>
      <c r="H125" s="7" t="str">
        <f>VLOOKUP(D125,[1]characters!$A:$H,8,FALSE)</f>
        <v>yellow</v>
      </c>
      <c r="I125" s="7" t="str">
        <f>VLOOKUP(D125,[1]characters!$A:$K,11,FALSE)</f>
        <v>attack</v>
      </c>
      <c r="J125" s="7" t="str">
        <f>VLOOKUP(D125,[1]characters!$A:$M,13,FALSE)</f>
        <v>machine</v>
      </c>
      <c r="K125" s="7" t="str">
        <f>VLOOKUP(D125,[1]characters!$A:$G,7,FALSE)</f>
        <v>女性</v>
      </c>
      <c r="L125" s="66">
        <f>IFERROR(VLOOKUP(D125,input_0!L:R,7,FALSE),VLOOKUP(tables_0!B125,input_0!A:H,8,FALSE))</f>
        <v>46176</v>
      </c>
      <c r="M125" s="67">
        <f t="shared" si="3"/>
        <v>8.8888888888888893E-4</v>
      </c>
      <c r="N125" s="31">
        <f>IFERROR(VLOOKUP($D125,bug_conf_sheet!$A:$H,3,FALSE),VLOOKUP("other",bug_conf_sheet!$A:$H,3,FALSE))</f>
        <v>1</v>
      </c>
      <c r="O125" s="31">
        <f>IFERROR(VLOOKUP($D125,bug_conf_sheet!$A:$H,4,FALSE),VLOOKUP("other",bug_conf_sheet!$A:$H,4,FALSE))</f>
        <v>0</v>
      </c>
      <c r="P125" s="31">
        <f>IFERROR(VLOOKUP($D125,bug_conf_sheet!$A:$H,5,FALSE),VLOOKUP("other",bug_conf_sheet!$A:$H,5,FALSE))</f>
        <v>0</v>
      </c>
      <c r="Q125" s="31">
        <f>IFERROR(VLOOKUP($D125,bug_conf_sheet!$A:$H,6,FALSE),VLOOKUP("other",bug_conf_sheet!$A:$H,6,FALSE))</f>
        <v>0</v>
      </c>
      <c r="R125" s="31">
        <f>IFERROR(VLOOKUP($D125,bug_conf_sheet!$A:$H,7,FALSE),VLOOKUP("other",bug_conf_sheet!$A:$H,7,FALSE))</f>
        <v>0</v>
      </c>
      <c r="S125" s="31">
        <f>IFERROR(VLOOKUP($D125,bug_conf_sheet!$A:$H,8,FALSE),VLOOKUP("other",bug_conf_sheet!$A:$H,8,FALSE))</f>
        <v>1</v>
      </c>
    </row>
    <row r="126" spans="1:19" ht="21" hidden="1" customHeight="1">
      <c r="A126" s="2">
        <f>input_0!A$2</f>
        <v>3120</v>
      </c>
      <c r="B126" s="7" t="str">
        <f t="shared" si="4"/>
        <v>Premium3</v>
      </c>
      <c r="C126" s="7" t="str">
        <f t="shared" si="5"/>
        <v>Premium</v>
      </c>
      <c r="D126" s="6">
        <v>250</v>
      </c>
      <c r="E126" s="7" t="str">
        <f>VLOOKUP(D126,[1]characters!$A:$C,3,FALSE)</f>
        <v>マンモン</v>
      </c>
      <c r="F126" s="7" t="str">
        <f>VLOOKUP(D126,[1]characters!$A:$J,10,FALSE)</f>
        <v>PremiumS</v>
      </c>
      <c r="G126" s="7">
        <f>VLOOKUP(D126,[1]characters!$A:$I,9,FALSE)</f>
        <v>3</v>
      </c>
      <c r="H126" s="7" t="str">
        <f>VLOOKUP(D126,[1]characters!$A:$H,8,FALSE)</f>
        <v>red</v>
      </c>
      <c r="I126" s="7" t="str">
        <f>VLOOKUP(D126,[1]characters!$A:$K,11,FALSE)</f>
        <v>balance</v>
      </c>
      <c r="J126" s="7" t="str">
        <f>VLOOKUP(D126,[1]characters!$A:$M,13,FALSE)</f>
        <v>god</v>
      </c>
      <c r="K126" s="7" t="str">
        <f>VLOOKUP(D126,[1]characters!$A:$G,7,FALSE)</f>
        <v>女性</v>
      </c>
      <c r="L126" s="66">
        <f>IFERROR(VLOOKUP(D126,input_0!L:R,7,FALSE),VLOOKUP(tables_0!B126,input_0!A:H,8,FALSE))</f>
        <v>0</v>
      </c>
      <c r="M126" s="67">
        <f t="shared" si="3"/>
        <v>0</v>
      </c>
      <c r="N126" s="31">
        <f>IFERROR(VLOOKUP($D126,bug_conf_sheet!$A:$H,3,FALSE),VLOOKUP("other",bug_conf_sheet!$A:$H,3,FALSE))</f>
        <v>1</v>
      </c>
      <c r="O126" s="31">
        <f>IFERROR(VLOOKUP($D126,bug_conf_sheet!$A:$H,4,FALSE),VLOOKUP("other",bug_conf_sheet!$A:$H,4,FALSE))</f>
        <v>0</v>
      </c>
      <c r="P126" s="31">
        <f>IFERROR(VLOOKUP($D126,bug_conf_sheet!$A:$H,5,FALSE),VLOOKUP("other",bug_conf_sheet!$A:$H,5,FALSE))</f>
        <v>0</v>
      </c>
      <c r="Q126" s="31">
        <f>IFERROR(VLOOKUP($D126,bug_conf_sheet!$A:$H,6,FALSE),VLOOKUP("other",bug_conf_sheet!$A:$H,6,FALSE))</f>
        <v>0</v>
      </c>
      <c r="R126" s="31">
        <f>IFERROR(VLOOKUP($D126,bug_conf_sheet!$A:$H,7,FALSE),VLOOKUP("other",bug_conf_sheet!$A:$H,7,FALSE))</f>
        <v>0</v>
      </c>
      <c r="S126" s="31">
        <f>IFERROR(VLOOKUP($D126,bug_conf_sheet!$A:$H,8,FALSE),VLOOKUP("other",bug_conf_sheet!$A:$H,8,FALSE))</f>
        <v>1</v>
      </c>
    </row>
    <row r="127" spans="1:19" ht="21" hidden="1" customHeight="1">
      <c r="A127" s="2">
        <f>input_0!A$2</f>
        <v>3120</v>
      </c>
      <c r="B127" s="7" t="str">
        <f t="shared" si="4"/>
        <v>Premium4</v>
      </c>
      <c r="C127" s="7" t="str">
        <f t="shared" si="5"/>
        <v>Premium</v>
      </c>
      <c r="D127" s="6">
        <v>251</v>
      </c>
      <c r="E127" s="7" t="str">
        <f>VLOOKUP(D127,[1]characters!$A:$C,3,FALSE)</f>
        <v>強欲 マンモン</v>
      </c>
      <c r="F127" s="7" t="str">
        <f>VLOOKUP(D127,[1]characters!$A:$J,10,FALSE)</f>
        <v>PremiumS</v>
      </c>
      <c r="G127" s="7">
        <f>VLOOKUP(D127,[1]characters!$A:$I,9,FALSE)</f>
        <v>4</v>
      </c>
      <c r="H127" s="7" t="str">
        <f>VLOOKUP(D127,[1]characters!$A:$H,8,FALSE)</f>
        <v>red</v>
      </c>
      <c r="I127" s="7" t="str">
        <f>VLOOKUP(D127,[1]characters!$A:$K,11,FALSE)</f>
        <v>balance</v>
      </c>
      <c r="J127" s="7" t="str">
        <f>VLOOKUP(D127,[1]characters!$A:$M,13,FALSE)</f>
        <v>god</v>
      </c>
      <c r="K127" s="7" t="str">
        <f>VLOOKUP(D127,[1]characters!$A:$G,7,FALSE)</f>
        <v>女性</v>
      </c>
      <c r="L127" s="66">
        <f>IFERROR(VLOOKUP(D127,input_0!L:R,7,FALSE),VLOOKUP(tables_0!B127,input_0!A:H,8,FALSE))</f>
        <v>640224</v>
      </c>
      <c r="M127" s="67">
        <f t="shared" si="3"/>
        <v>1.2324324324324324E-2</v>
      </c>
      <c r="N127" s="31">
        <f>IFERROR(VLOOKUP($D127,bug_conf_sheet!$A:$H,3,FALSE),VLOOKUP("other",bug_conf_sheet!$A:$H,3,FALSE))</f>
        <v>1</v>
      </c>
      <c r="O127" s="31">
        <f>IFERROR(VLOOKUP($D127,bug_conf_sheet!$A:$H,4,FALSE),VLOOKUP("other",bug_conf_sheet!$A:$H,4,FALSE))</f>
        <v>0</v>
      </c>
      <c r="P127" s="31">
        <f>IFERROR(VLOOKUP($D127,bug_conf_sheet!$A:$H,5,FALSE),VLOOKUP("other",bug_conf_sheet!$A:$H,5,FALSE))</f>
        <v>0</v>
      </c>
      <c r="Q127" s="31">
        <f>IFERROR(VLOOKUP($D127,bug_conf_sheet!$A:$H,6,FALSE),VLOOKUP("other",bug_conf_sheet!$A:$H,6,FALSE))</f>
        <v>0</v>
      </c>
      <c r="R127" s="31">
        <f>IFERROR(VLOOKUP($D127,bug_conf_sheet!$A:$H,7,FALSE),VLOOKUP("other",bug_conf_sheet!$A:$H,7,FALSE))</f>
        <v>0</v>
      </c>
      <c r="S127" s="31">
        <f>IFERROR(VLOOKUP($D127,bug_conf_sheet!$A:$H,8,FALSE),VLOOKUP("other",bug_conf_sheet!$A:$H,8,FALSE))</f>
        <v>1</v>
      </c>
    </row>
    <row r="128" spans="1:19" ht="21" hidden="1" customHeight="1">
      <c r="A128" s="2">
        <f>input_0!A$2</f>
        <v>3120</v>
      </c>
      <c r="B128" s="7" t="str">
        <f t="shared" si="4"/>
        <v>Premium5</v>
      </c>
      <c r="C128" s="7" t="str">
        <f t="shared" si="5"/>
        <v>Premium</v>
      </c>
      <c r="D128" s="6">
        <v>252</v>
      </c>
      <c r="E128" s="7" t="str">
        <f>VLOOKUP(D128,[1]characters!$A:$C,3,FALSE)</f>
        <v>強欲の沸騰 マンモン</v>
      </c>
      <c r="F128" s="7" t="str">
        <f>VLOOKUP(D128,[1]characters!$A:$J,10,FALSE)</f>
        <v>PremiumS</v>
      </c>
      <c r="G128" s="7">
        <f>VLOOKUP(D128,[1]characters!$A:$I,9,FALSE)</f>
        <v>5</v>
      </c>
      <c r="H128" s="7" t="str">
        <f>VLOOKUP(D128,[1]characters!$A:$H,8,FALSE)</f>
        <v>red</v>
      </c>
      <c r="I128" s="7" t="str">
        <f>VLOOKUP(D128,[1]characters!$A:$K,11,FALSE)</f>
        <v>balance</v>
      </c>
      <c r="J128" s="7" t="str">
        <f>VLOOKUP(D128,[1]characters!$A:$M,13,FALSE)</f>
        <v>god</v>
      </c>
      <c r="K128" s="7" t="str">
        <f>VLOOKUP(D128,[1]characters!$A:$G,7,FALSE)</f>
        <v>女性</v>
      </c>
      <c r="L128" s="66">
        <f>IFERROR(VLOOKUP(D128,input_0!L:R,7,FALSE),VLOOKUP(tables_0!B128,input_0!A:H,8,FALSE))</f>
        <v>46176</v>
      </c>
      <c r="M128" s="67">
        <f t="shared" si="3"/>
        <v>8.8888888888888893E-4</v>
      </c>
      <c r="N128" s="31">
        <f>IFERROR(VLOOKUP($D128,bug_conf_sheet!$A:$H,3,FALSE),VLOOKUP("other",bug_conf_sheet!$A:$H,3,FALSE))</f>
        <v>1</v>
      </c>
      <c r="O128" s="31">
        <f>IFERROR(VLOOKUP($D128,bug_conf_sheet!$A:$H,4,FALSE),VLOOKUP("other",bug_conf_sheet!$A:$H,4,FALSE))</f>
        <v>0</v>
      </c>
      <c r="P128" s="31">
        <f>IFERROR(VLOOKUP($D128,bug_conf_sheet!$A:$H,5,FALSE),VLOOKUP("other",bug_conf_sheet!$A:$H,5,FALSE))</f>
        <v>0</v>
      </c>
      <c r="Q128" s="31">
        <f>IFERROR(VLOOKUP($D128,bug_conf_sheet!$A:$H,6,FALSE),VLOOKUP("other",bug_conf_sheet!$A:$H,6,FALSE))</f>
        <v>0</v>
      </c>
      <c r="R128" s="31">
        <f>IFERROR(VLOOKUP($D128,bug_conf_sheet!$A:$H,7,FALSE),VLOOKUP("other",bug_conf_sheet!$A:$H,7,FALSE))</f>
        <v>0</v>
      </c>
      <c r="S128" s="31">
        <f>IFERROR(VLOOKUP($D128,bug_conf_sheet!$A:$H,8,FALSE),VLOOKUP("other",bug_conf_sheet!$A:$H,8,FALSE))</f>
        <v>1</v>
      </c>
    </row>
    <row r="129" spans="1:19" ht="21" hidden="1" customHeight="1">
      <c r="A129" s="2">
        <f>input_0!A$2</f>
        <v>3120</v>
      </c>
      <c r="B129" s="7" t="str">
        <f t="shared" si="4"/>
        <v>Premium3</v>
      </c>
      <c r="C129" s="7" t="str">
        <f t="shared" si="5"/>
        <v>Premium</v>
      </c>
      <c r="D129" s="6">
        <v>253</v>
      </c>
      <c r="E129" s="7" t="str">
        <f>VLOOKUP(D129,[1]characters!$A:$C,3,FALSE)</f>
        <v>ベルフェゴール</v>
      </c>
      <c r="F129" s="7" t="str">
        <f>VLOOKUP(D129,[1]characters!$A:$J,10,FALSE)</f>
        <v>PremiumS</v>
      </c>
      <c r="G129" s="7">
        <f>VLOOKUP(D129,[1]characters!$A:$I,9,FALSE)</f>
        <v>3</v>
      </c>
      <c r="H129" s="7" t="str">
        <f>VLOOKUP(D129,[1]characters!$A:$H,8,FALSE)</f>
        <v>green</v>
      </c>
      <c r="I129" s="7" t="str">
        <f>VLOOKUP(D129,[1]characters!$A:$K,11,FALSE)</f>
        <v>technical</v>
      </c>
      <c r="J129" s="7" t="str">
        <f>VLOOKUP(D129,[1]characters!$A:$M,13,FALSE)</f>
        <v>god</v>
      </c>
      <c r="K129" s="7" t="str">
        <f>VLOOKUP(D129,[1]characters!$A:$G,7,FALSE)</f>
        <v>女性</v>
      </c>
      <c r="L129" s="66">
        <f>IFERROR(VLOOKUP(D129,input_0!L:R,7,FALSE),VLOOKUP(tables_0!B129,input_0!A:H,8,FALSE))</f>
        <v>0</v>
      </c>
      <c r="M129" s="67">
        <f t="shared" si="3"/>
        <v>0</v>
      </c>
      <c r="N129" s="31">
        <f>IFERROR(VLOOKUP($D129,bug_conf_sheet!$A:$H,3,FALSE),VLOOKUP("other",bug_conf_sheet!$A:$H,3,FALSE))</f>
        <v>1</v>
      </c>
      <c r="O129" s="31">
        <f>IFERROR(VLOOKUP($D129,bug_conf_sheet!$A:$H,4,FALSE),VLOOKUP("other",bug_conf_sheet!$A:$H,4,FALSE))</f>
        <v>0</v>
      </c>
      <c r="P129" s="31">
        <f>IFERROR(VLOOKUP($D129,bug_conf_sheet!$A:$H,5,FALSE),VLOOKUP("other",bug_conf_sheet!$A:$H,5,FALSE))</f>
        <v>0</v>
      </c>
      <c r="Q129" s="31">
        <f>IFERROR(VLOOKUP($D129,bug_conf_sheet!$A:$H,6,FALSE),VLOOKUP("other",bug_conf_sheet!$A:$H,6,FALSE))</f>
        <v>0</v>
      </c>
      <c r="R129" s="31">
        <f>IFERROR(VLOOKUP($D129,bug_conf_sheet!$A:$H,7,FALSE),VLOOKUP("other",bug_conf_sheet!$A:$H,7,FALSE))</f>
        <v>0</v>
      </c>
      <c r="S129" s="31">
        <f>IFERROR(VLOOKUP($D129,bug_conf_sheet!$A:$H,8,FALSE),VLOOKUP("other",bug_conf_sheet!$A:$H,8,FALSE))</f>
        <v>1</v>
      </c>
    </row>
    <row r="130" spans="1:19" ht="21" hidden="1" customHeight="1">
      <c r="A130" s="2">
        <f>input_0!A$2</f>
        <v>3120</v>
      </c>
      <c r="B130" s="7" t="str">
        <f t="shared" si="4"/>
        <v>Premium4</v>
      </c>
      <c r="C130" s="7" t="str">
        <f t="shared" si="5"/>
        <v>Premium</v>
      </c>
      <c r="D130" s="6">
        <v>254</v>
      </c>
      <c r="E130" s="7" t="str">
        <f>VLOOKUP(D130,[1]characters!$A:$C,3,FALSE)</f>
        <v>怠惰 ベルフェゴール</v>
      </c>
      <c r="F130" s="7" t="str">
        <f>VLOOKUP(D130,[1]characters!$A:$J,10,FALSE)</f>
        <v>PremiumS</v>
      </c>
      <c r="G130" s="7">
        <f>VLOOKUP(D130,[1]characters!$A:$I,9,FALSE)</f>
        <v>4</v>
      </c>
      <c r="H130" s="7" t="str">
        <f>VLOOKUP(D130,[1]characters!$A:$H,8,FALSE)</f>
        <v>green</v>
      </c>
      <c r="I130" s="7" t="str">
        <f>VLOOKUP(D130,[1]characters!$A:$K,11,FALSE)</f>
        <v>technical</v>
      </c>
      <c r="J130" s="7" t="str">
        <f>VLOOKUP(D130,[1]characters!$A:$M,13,FALSE)</f>
        <v>god</v>
      </c>
      <c r="K130" s="7" t="str">
        <f>VLOOKUP(D130,[1]characters!$A:$G,7,FALSE)</f>
        <v>女性</v>
      </c>
      <c r="L130" s="66">
        <f>IFERROR(VLOOKUP(D130,input_0!L:R,7,FALSE),VLOOKUP(tables_0!B130,input_0!A:H,8,FALSE))</f>
        <v>640224</v>
      </c>
      <c r="M130" s="67">
        <f t="shared" ref="M130:M193" si="6">L130/SUM(L:L)</f>
        <v>1.2324324324324324E-2</v>
      </c>
      <c r="N130" s="31">
        <f>IFERROR(VLOOKUP($D130,bug_conf_sheet!$A:$H,3,FALSE),VLOOKUP("other",bug_conf_sheet!$A:$H,3,FALSE))</f>
        <v>1</v>
      </c>
      <c r="O130" s="31">
        <f>IFERROR(VLOOKUP($D130,bug_conf_sheet!$A:$H,4,FALSE),VLOOKUP("other",bug_conf_sheet!$A:$H,4,FALSE))</f>
        <v>0</v>
      </c>
      <c r="P130" s="31">
        <f>IFERROR(VLOOKUP($D130,bug_conf_sheet!$A:$H,5,FALSE),VLOOKUP("other",bug_conf_sheet!$A:$H,5,FALSE))</f>
        <v>0</v>
      </c>
      <c r="Q130" s="31">
        <f>IFERROR(VLOOKUP($D130,bug_conf_sheet!$A:$H,6,FALSE),VLOOKUP("other",bug_conf_sheet!$A:$H,6,FALSE))</f>
        <v>0</v>
      </c>
      <c r="R130" s="31">
        <f>IFERROR(VLOOKUP($D130,bug_conf_sheet!$A:$H,7,FALSE),VLOOKUP("other",bug_conf_sheet!$A:$H,7,FALSE))</f>
        <v>0</v>
      </c>
      <c r="S130" s="31">
        <f>IFERROR(VLOOKUP($D130,bug_conf_sheet!$A:$H,8,FALSE),VLOOKUP("other",bug_conf_sheet!$A:$H,8,FALSE))</f>
        <v>1</v>
      </c>
    </row>
    <row r="131" spans="1:19" ht="21" hidden="1" customHeight="1">
      <c r="A131" s="2">
        <f>input_0!A$2</f>
        <v>3120</v>
      </c>
      <c r="B131" s="7" t="str">
        <f t="shared" ref="B131:B194" si="7">C131&amp;G131</f>
        <v>Premium5</v>
      </c>
      <c r="C131" s="7" t="str">
        <f t="shared" ref="C131:C194" si="8">IF(F131="PremiumSS",F131,IF(F131="PremiumSSS",F131,"Premium"))</f>
        <v>Premium</v>
      </c>
      <c r="D131" s="6">
        <v>255</v>
      </c>
      <c r="E131" s="7" t="str">
        <f>VLOOKUP(D131,[1]characters!$A:$C,3,FALSE)</f>
        <v>怠惰の頂点 ベルフェゴール</v>
      </c>
      <c r="F131" s="7" t="str">
        <f>VLOOKUP(D131,[1]characters!$A:$J,10,FALSE)</f>
        <v>PremiumS</v>
      </c>
      <c r="G131" s="7">
        <f>VLOOKUP(D131,[1]characters!$A:$I,9,FALSE)</f>
        <v>5</v>
      </c>
      <c r="H131" s="7" t="str">
        <f>VLOOKUP(D131,[1]characters!$A:$H,8,FALSE)</f>
        <v>green</v>
      </c>
      <c r="I131" s="7" t="str">
        <f>VLOOKUP(D131,[1]characters!$A:$K,11,FALSE)</f>
        <v>technical</v>
      </c>
      <c r="J131" s="7" t="str">
        <f>VLOOKUP(D131,[1]characters!$A:$M,13,FALSE)</f>
        <v>god</v>
      </c>
      <c r="K131" s="7" t="str">
        <f>VLOOKUP(D131,[1]characters!$A:$G,7,FALSE)</f>
        <v>女性</v>
      </c>
      <c r="L131" s="66">
        <f>IFERROR(VLOOKUP(D131,input_0!L:R,7,FALSE),VLOOKUP(tables_0!B131,input_0!A:H,8,FALSE))</f>
        <v>46176</v>
      </c>
      <c r="M131" s="67">
        <f t="shared" si="6"/>
        <v>8.8888888888888893E-4</v>
      </c>
      <c r="N131" s="31">
        <f>IFERROR(VLOOKUP($D131,bug_conf_sheet!$A:$H,3,FALSE),VLOOKUP("other",bug_conf_sheet!$A:$H,3,FALSE))</f>
        <v>1</v>
      </c>
      <c r="O131" s="31">
        <f>IFERROR(VLOOKUP($D131,bug_conf_sheet!$A:$H,4,FALSE),VLOOKUP("other",bug_conf_sheet!$A:$H,4,FALSE))</f>
        <v>0</v>
      </c>
      <c r="P131" s="31">
        <f>IFERROR(VLOOKUP($D131,bug_conf_sheet!$A:$H,5,FALSE),VLOOKUP("other",bug_conf_sheet!$A:$H,5,FALSE))</f>
        <v>0</v>
      </c>
      <c r="Q131" s="31">
        <f>IFERROR(VLOOKUP($D131,bug_conf_sheet!$A:$H,6,FALSE),VLOOKUP("other",bug_conf_sheet!$A:$H,6,FALSE))</f>
        <v>0</v>
      </c>
      <c r="R131" s="31">
        <f>IFERROR(VLOOKUP($D131,bug_conf_sheet!$A:$H,7,FALSE),VLOOKUP("other",bug_conf_sheet!$A:$H,7,FALSE))</f>
        <v>0</v>
      </c>
      <c r="S131" s="31">
        <f>IFERROR(VLOOKUP($D131,bug_conf_sheet!$A:$H,8,FALSE),VLOOKUP("other",bug_conf_sheet!$A:$H,8,FALSE))</f>
        <v>1</v>
      </c>
    </row>
    <row r="132" spans="1:19" ht="21" hidden="1" customHeight="1">
      <c r="A132" s="2">
        <f>input_0!A$2</f>
        <v>3120</v>
      </c>
      <c r="B132" s="7" t="str">
        <f t="shared" si="7"/>
        <v>Premium3</v>
      </c>
      <c r="C132" s="7" t="str">
        <f t="shared" si="8"/>
        <v>Premium</v>
      </c>
      <c r="D132" s="6">
        <v>256</v>
      </c>
      <c r="E132" s="7" t="str">
        <f>VLOOKUP(D132,[1]characters!$A:$C,3,FALSE)</f>
        <v>アスモデウス</v>
      </c>
      <c r="F132" s="7" t="str">
        <f>VLOOKUP(D132,[1]characters!$A:$J,10,FALSE)</f>
        <v>PremiumS</v>
      </c>
      <c r="G132" s="7">
        <f>VLOOKUP(D132,[1]characters!$A:$I,9,FALSE)</f>
        <v>3</v>
      </c>
      <c r="H132" s="7" t="str">
        <f>VLOOKUP(D132,[1]characters!$A:$H,8,FALSE)</f>
        <v>blue</v>
      </c>
      <c r="I132" s="7" t="str">
        <f>VLOOKUP(D132,[1]characters!$A:$K,11,FALSE)</f>
        <v>attack</v>
      </c>
      <c r="J132" s="7" t="str">
        <f>VLOOKUP(D132,[1]characters!$A:$M,13,FALSE)</f>
        <v>god</v>
      </c>
      <c r="K132" s="7" t="str">
        <f>VLOOKUP(D132,[1]characters!$A:$G,7,FALSE)</f>
        <v>女性</v>
      </c>
      <c r="L132" s="66">
        <f>IFERROR(VLOOKUP(D132,input_0!L:R,7,FALSE),VLOOKUP(tables_0!B132,input_0!A:H,8,FALSE))</f>
        <v>0</v>
      </c>
      <c r="M132" s="67">
        <f t="shared" si="6"/>
        <v>0</v>
      </c>
      <c r="N132" s="31">
        <f>IFERROR(VLOOKUP($D132,bug_conf_sheet!$A:$H,3,FALSE),VLOOKUP("other",bug_conf_sheet!$A:$H,3,FALSE))</f>
        <v>1</v>
      </c>
      <c r="O132" s="31">
        <f>IFERROR(VLOOKUP($D132,bug_conf_sheet!$A:$H,4,FALSE),VLOOKUP("other",bug_conf_sheet!$A:$H,4,FALSE))</f>
        <v>0</v>
      </c>
      <c r="P132" s="31">
        <f>IFERROR(VLOOKUP($D132,bug_conf_sheet!$A:$H,5,FALSE),VLOOKUP("other",bug_conf_sheet!$A:$H,5,FALSE))</f>
        <v>0</v>
      </c>
      <c r="Q132" s="31">
        <f>IFERROR(VLOOKUP($D132,bug_conf_sheet!$A:$H,6,FALSE),VLOOKUP("other",bug_conf_sheet!$A:$H,6,FALSE))</f>
        <v>0</v>
      </c>
      <c r="R132" s="31">
        <f>IFERROR(VLOOKUP($D132,bug_conf_sheet!$A:$H,7,FALSE),VLOOKUP("other",bug_conf_sheet!$A:$H,7,FALSE))</f>
        <v>0</v>
      </c>
      <c r="S132" s="31">
        <f>IFERROR(VLOOKUP($D132,bug_conf_sheet!$A:$H,8,FALSE),VLOOKUP("other",bug_conf_sheet!$A:$H,8,FALSE))</f>
        <v>1</v>
      </c>
    </row>
    <row r="133" spans="1:19" ht="21" hidden="1" customHeight="1">
      <c r="A133" s="2">
        <f>input_0!A$2</f>
        <v>3120</v>
      </c>
      <c r="B133" s="7" t="str">
        <f t="shared" si="7"/>
        <v>Premium4</v>
      </c>
      <c r="C133" s="7" t="str">
        <f t="shared" si="8"/>
        <v>Premium</v>
      </c>
      <c r="D133" s="6">
        <v>257</v>
      </c>
      <c r="E133" s="7" t="str">
        <f>VLOOKUP(D133,[1]characters!$A:$C,3,FALSE)</f>
        <v>色欲 アスモデウス</v>
      </c>
      <c r="F133" s="7" t="str">
        <f>VLOOKUP(D133,[1]characters!$A:$J,10,FALSE)</f>
        <v>PremiumS</v>
      </c>
      <c r="G133" s="7">
        <f>VLOOKUP(D133,[1]characters!$A:$I,9,FALSE)</f>
        <v>4</v>
      </c>
      <c r="H133" s="7" t="str">
        <f>VLOOKUP(D133,[1]characters!$A:$H,8,FALSE)</f>
        <v>blue</v>
      </c>
      <c r="I133" s="7" t="str">
        <f>VLOOKUP(D133,[1]characters!$A:$K,11,FALSE)</f>
        <v>attack</v>
      </c>
      <c r="J133" s="7" t="str">
        <f>VLOOKUP(D133,[1]characters!$A:$M,13,FALSE)</f>
        <v>god</v>
      </c>
      <c r="K133" s="7" t="str">
        <f>VLOOKUP(D133,[1]characters!$A:$G,7,FALSE)</f>
        <v>女性</v>
      </c>
      <c r="L133" s="66">
        <f>IFERROR(VLOOKUP(D133,input_0!L:R,7,FALSE),VLOOKUP(tables_0!B133,input_0!A:H,8,FALSE))</f>
        <v>640224</v>
      </c>
      <c r="M133" s="67">
        <f t="shared" si="6"/>
        <v>1.2324324324324324E-2</v>
      </c>
      <c r="N133" s="31">
        <f>IFERROR(VLOOKUP($D133,bug_conf_sheet!$A:$H,3,FALSE),VLOOKUP("other",bug_conf_sheet!$A:$H,3,FALSE))</f>
        <v>1</v>
      </c>
      <c r="O133" s="31">
        <f>IFERROR(VLOOKUP($D133,bug_conf_sheet!$A:$H,4,FALSE),VLOOKUP("other",bug_conf_sheet!$A:$H,4,FALSE))</f>
        <v>0</v>
      </c>
      <c r="P133" s="31">
        <f>IFERROR(VLOOKUP($D133,bug_conf_sheet!$A:$H,5,FALSE),VLOOKUP("other",bug_conf_sheet!$A:$H,5,FALSE))</f>
        <v>0</v>
      </c>
      <c r="Q133" s="31">
        <f>IFERROR(VLOOKUP($D133,bug_conf_sheet!$A:$H,6,FALSE),VLOOKUP("other",bug_conf_sheet!$A:$H,6,FALSE))</f>
        <v>0</v>
      </c>
      <c r="R133" s="31">
        <f>IFERROR(VLOOKUP($D133,bug_conf_sheet!$A:$H,7,FALSE),VLOOKUP("other",bug_conf_sheet!$A:$H,7,FALSE))</f>
        <v>0</v>
      </c>
      <c r="S133" s="31">
        <f>IFERROR(VLOOKUP($D133,bug_conf_sheet!$A:$H,8,FALSE),VLOOKUP("other",bug_conf_sheet!$A:$H,8,FALSE))</f>
        <v>1</v>
      </c>
    </row>
    <row r="134" spans="1:19" ht="21" hidden="1" customHeight="1">
      <c r="A134" s="2">
        <f>input_0!A$2</f>
        <v>3120</v>
      </c>
      <c r="B134" s="7" t="str">
        <f t="shared" si="7"/>
        <v>Premium5</v>
      </c>
      <c r="C134" s="7" t="str">
        <f t="shared" si="8"/>
        <v>Premium</v>
      </c>
      <c r="D134" s="6">
        <v>258</v>
      </c>
      <c r="E134" s="7" t="str">
        <f>VLOOKUP(D134,[1]characters!$A:$C,3,FALSE)</f>
        <v>色欲の源流 アスモデウス</v>
      </c>
      <c r="F134" s="7" t="str">
        <f>VLOOKUP(D134,[1]characters!$A:$J,10,FALSE)</f>
        <v>PremiumS</v>
      </c>
      <c r="G134" s="7">
        <f>VLOOKUP(D134,[1]characters!$A:$I,9,FALSE)</f>
        <v>5</v>
      </c>
      <c r="H134" s="7" t="str">
        <f>VLOOKUP(D134,[1]characters!$A:$H,8,FALSE)</f>
        <v>blue</v>
      </c>
      <c r="I134" s="7" t="str">
        <f>VLOOKUP(D134,[1]characters!$A:$K,11,FALSE)</f>
        <v>attack</v>
      </c>
      <c r="J134" s="7" t="str">
        <f>VLOOKUP(D134,[1]characters!$A:$M,13,FALSE)</f>
        <v>god</v>
      </c>
      <c r="K134" s="7" t="str">
        <f>VLOOKUP(D134,[1]characters!$A:$G,7,FALSE)</f>
        <v>女性</v>
      </c>
      <c r="L134" s="66">
        <f>IFERROR(VLOOKUP(D134,input_0!L:R,7,FALSE),VLOOKUP(tables_0!B134,input_0!A:H,8,FALSE))</f>
        <v>46176</v>
      </c>
      <c r="M134" s="67">
        <f t="shared" si="6"/>
        <v>8.8888888888888893E-4</v>
      </c>
      <c r="N134" s="31">
        <f>IFERROR(VLOOKUP($D134,bug_conf_sheet!$A:$H,3,FALSE),VLOOKUP("other",bug_conf_sheet!$A:$H,3,FALSE))</f>
        <v>1</v>
      </c>
      <c r="O134" s="31">
        <f>IFERROR(VLOOKUP($D134,bug_conf_sheet!$A:$H,4,FALSE),VLOOKUP("other",bug_conf_sheet!$A:$H,4,FALSE))</f>
        <v>0</v>
      </c>
      <c r="P134" s="31">
        <f>IFERROR(VLOOKUP($D134,bug_conf_sheet!$A:$H,5,FALSE),VLOOKUP("other",bug_conf_sheet!$A:$H,5,FALSE))</f>
        <v>0</v>
      </c>
      <c r="Q134" s="31">
        <f>IFERROR(VLOOKUP($D134,bug_conf_sheet!$A:$H,6,FALSE),VLOOKUP("other",bug_conf_sheet!$A:$H,6,FALSE))</f>
        <v>0</v>
      </c>
      <c r="R134" s="31">
        <f>IFERROR(VLOOKUP($D134,bug_conf_sheet!$A:$H,7,FALSE),VLOOKUP("other",bug_conf_sheet!$A:$H,7,FALSE))</f>
        <v>0</v>
      </c>
      <c r="S134" s="31">
        <f>IFERROR(VLOOKUP($D134,bug_conf_sheet!$A:$H,8,FALSE),VLOOKUP("other",bug_conf_sheet!$A:$H,8,FALSE))</f>
        <v>1</v>
      </c>
    </row>
    <row r="135" spans="1:19" ht="21" hidden="1" customHeight="1">
      <c r="A135" s="2">
        <f>input_0!A$2</f>
        <v>3120</v>
      </c>
      <c r="B135" s="7" t="str">
        <f t="shared" si="7"/>
        <v>Premium3</v>
      </c>
      <c r="C135" s="7" t="str">
        <f t="shared" si="8"/>
        <v>Premium</v>
      </c>
      <c r="D135" s="6">
        <v>259</v>
      </c>
      <c r="E135" s="7" t="str">
        <f>VLOOKUP(D135,[1]characters!$A:$C,3,FALSE)</f>
        <v>ウロボロス</v>
      </c>
      <c r="F135" s="7" t="str">
        <f>VLOOKUP(D135,[1]characters!$A:$J,10,FALSE)</f>
        <v>PremiumS</v>
      </c>
      <c r="G135" s="7">
        <f>VLOOKUP(D135,[1]characters!$A:$I,9,FALSE)</f>
        <v>3</v>
      </c>
      <c r="H135" s="7" t="str">
        <f>VLOOKUP(D135,[1]characters!$A:$H,8,FALSE)</f>
        <v>yellow</v>
      </c>
      <c r="I135" s="7" t="str">
        <f>VLOOKUP(D135,[1]characters!$A:$K,11,FALSE)</f>
        <v>balance</v>
      </c>
      <c r="J135" s="7" t="str">
        <f>VLOOKUP(D135,[1]characters!$A:$M,13,FALSE)</f>
        <v>dragon</v>
      </c>
      <c r="K135" s="7" t="str">
        <f>VLOOKUP(D135,[1]characters!$A:$G,7,FALSE)</f>
        <v>女性</v>
      </c>
      <c r="L135" s="66">
        <f>IFERROR(VLOOKUP(D135,input_0!L:R,7,FALSE),VLOOKUP(tables_0!B135,input_0!A:H,8,FALSE))</f>
        <v>0</v>
      </c>
      <c r="M135" s="67">
        <f t="shared" si="6"/>
        <v>0</v>
      </c>
      <c r="N135" s="31">
        <f>IFERROR(VLOOKUP($D135,bug_conf_sheet!$A:$H,3,FALSE),VLOOKUP("other",bug_conf_sheet!$A:$H,3,FALSE))</f>
        <v>1</v>
      </c>
      <c r="O135" s="31">
        <f>IFERROR(VLOOKUP($D135,bug_conf_sheet!$A:$H,4,FALSE),VLOOKUP("other",bug_conf_sheet!$A:$H,4,FALSE))</f>
        <v>0</v>
      </c>
      <c r="P135" s="31">
        <f>IFERROR(VLOOKUP($D135,bug_conf_sheet!$A:$H,5,FALSE),VLOOKUP("other",bug_conf_sheet!$A:$H,5,FALSE))</f>
        <v>0</v>
      </c>
      <c r="Q135" s="31">
        <f>IFERROR(VLOOKUP($D135,bug_conf_sheet!$A:$H,6,FALSE),VLOOKUP("other",bug_conf_sheet!$A:$H,6,FALSE))</f>
        <v>0</v>
      </c>
      <c r="R135" s="31">
        <f>IFERROR(VLOOKUP($D135,bug_conf_sheet!$A:$H,7,FALSE),VLOOKUP("other",bug_conf_sheet!$A:$H,7,FALSE))</f>
        <v>0</v>
      </c>
      <c r="S135" s="31">
        <f>IFERROR(VLOOKUP($D135,bug_conf_sheet!$A:$H,8,FALSE),VLOOKUP("other",bug_conf_sheet!$A:$H,8,FALSE))</f>
        <v>1</v>
      </c>
    </row>
    <row r="136" spans="1:19" ht="21" hidden="1" customHeight="1">
      <c r="A136" s="2">
        <f>input_0!A$2</f>
        <v>3120</v>
      </c>
      <c r="B136" s="7" t="str">
        <f t="shared" si="7"/>
        <v>Premium4</v>
      </c>
      <c r="C136" s="7" t="str">
        <f t="shared" si="8"/>
        <v>Premium</v>
      </c>
      <c r="D136" s="8">
        <v>260</v>
      </c>
      <c r="E136" s="7" t="str">
        <f>VLOOKUP(D136,[1]characters!$A:$C,3,FALSE)</f>
        <v>輪廻 ウロボロス</v>
      </c>
      <c r="F136" s="7" t="str">
        <f>VLOOKUP(D136,[1]characters!$A:$J,10,FALSE)</f>
        <v>PremiumS</v>
      </c>
      <c r="G136" s="7">
        <f>VLOOKUP(D136,[1]characters!$A:$I,9,FALSE)</f>
        <v>4</v>
      </c>
      <c r="H136" s="7" t="str">
        <f>VLOOKUP(D136,[1]characters!$A:$H,8,FALSE)</f>
        <v>yellow</v>
      </c>
      <c r="I136" s="7" t="str">
        <f>VLOOKUP(D136,[1]characters!$A:$K,11,FALSE)</f>
        <v>balance</v>
      </c>
      <c r="J136" s="7" t="str">
        <f>VLOOKUP(D136,[1]characters!$A:$M,13,FALSE)</f>
        <v>dragon</v>
      </c>
      <c r="K136" s="7" t="str">
        <f>VLOOKUP(D136,[1]characters!$A:$G,7,FALSE)</f>
        <v>女性</v>
      </c>
      <c r="L136" s="66">
        <f>IFERROR(VLOOKUP(D136,input_0!L:R,7,FALSE),VLOOKUP(tables_0!B136,input_0!A:H,8,FALSE))</f>
        <v>640224</v>
      </c>
      <c r="M136" s="67">
        <f t="shared" si="6"/>
        <v>1.2324324324324324E-2</v>
      </c>
      <c r="N136" s="31">
        <f>IFERROR(VLOOKUP($D136,bug_conf_sheet!$A:$H,3,FALSE),VLOOKUP("other",bug_conf_sheet!$A:$H,3,FALSE))</f>
        <v>1</v>
      </c>
      <c r="O136" s="31">
        <f>IFERROR(VLOOKUP($D136,bug_conf_sheet!$A:$H,4,FALSE),VLOOKUP("other",bug_conf_sheet!$A:$H,4,FALSE))</f>
        <v>0</v>
      </c>
      <c r="P136" s="31">
        <f>IFERROR(VLOOKUP($D136,bug_conf_sheet!$A:$H,5,FALSE),VLOOKUP("other",bug_conf_sheet!$A:$H,5,FALSE))</f>
        <v>0</v>
      </c>
      <c r="Q136" s="31">
        <f>IFERROR(VLOOKUP($D136,bug_conf_sheet!$A:$H,6,FALSE),VLOOKUP("other",bug_conf_sheet!$A:$H,6,FALSE))</f>
        <v>0</v>
      </c>
      <c r="R136" s="31">
        <f>IFERROR(VLOOKUP($D136,bug_conf_sheet!$A:$H,7,FALSE),VLOOKUP("other",bug_conf_sheet!$A:$H,7,FALSE))</f>
        <v>0</v>
      </c>
      <c r="S136" s="31">
        <f>IFERROR(VLOOKUP($D136,bug_conf_sheet!$A:$H,8,FALSE),VLOOKUP("other",bug_conf_sheet!$A:$H,8,FALSE))</f>
        <v>1</v>
      </c>
    </row>
    <row r="137" spans="1:19" ht="21" hidden="1" customHeight="1">
      <c r="A137" s="2">
        <f>input_0!A$2</f>
        <v>3120</v>
      </c>
      <c r="B137" s="7" t="str">
        <f t="shared" si="7"/>
        <v>Premium5</v>
      </c>
      <c r="C137" s="7" t="str">
        <f t="shared" si="8"/>
        <v>Premium</v>
      </c>
      <c r="D137" s="8">
        <v>261</v>
      </c>
      <c r="E137" s="7" t="str">
        <f>VLOOKUP(D137,[1]characters!$A:$C,3,FALSE)</f>
        <v>輪廻の蛇龍 ウロボロス</v>
      </c>
      <c r="F137" s="7" t="str">
        <f>VLOOKUP(D137,[1]characters!$A:$J,10,FALSE)</f>
        <v>PremiumS</v>
      </c>
      <c r="G137" s="7">
        <f>VLOOKUP(D137,[1]characters!$A:$I,9,FALSE)</f>
        <v>5</v>
      </c>
      <c r="H137" s="7" t="str">
        <f>VLOOKUP(D137,[1]characters!$A:$H,8,FALSE)</f>
        <v>yellow</v>
      </c>
      <c r="I137" s="7" t="str">
        <f>VLOOKUP(D137,[1]characters!$A:$K,11,FALSE)</f>
        <v>balance</v>
      </c>
      <c r="J137" s="7" t="str">
        <f>VLOOKUP(D137,[1]characters!$A:$M,13,FALSE)</f>
        <v>dragon</v>
      </c>
      <c r="K137" s="7" t="str">
        <f>VLOOKUP(D137,[1]characters!$A:$G,7,FALSE)</f>
        <v>女性</v>
      </c>
      <c r="L137" s="66">
        <f>IFERROR(VLOOKUP(D137,input_0!L:R,7,FALSE),VLOOKUP(tables_0!B137,input_0!A:H,8,FALSE))</f>
        <v>46176</v>
      </c>
      <c r="M137" s="67">
        <f t="shared" si="6"/>
        <v>8.8888888888888893E-4</v>
      </c>
      <c r="N137" s="31">
        <f>IFERROR(VLOOKUP($D137,bug_conf_sheet!$A:$H,3,FALSE),VLOOKUP("other",bug_conf_sheet!$A:$H,3,FALSE))</f>
        <v>1</v>
      </c>
      <c r="O137" s="31">
        <f>IFERROR(VLOOKUP($D137,bug_conf_sheet!$A:$H,4,FALSE),VLOOKUP("other",bug_conf_sheet!$A:$H,4,FALSE))</f>
        <v>0</v>
      </c>
      <c r="P137" s="31">
        <f>IFERROR(VLOOKUP($D137,bug_conf_sheet!$A:$H,5,FALSE),VLOOKUP("other",bug_conf_sheet!$A:$H,5,FALSE))</f>
        <v>0</v>
      </c>
      <c r="Q137" s="31">
        <f>IFERROR(VLOOKUP($D137,bug_conf_sheet!$A:$H,6,FALSE),VLOOKUP("other",bug_conf_sheet!$A:$H,6,FALSE))</f>
        <v>0</v>
      </c>
      <c r="R137" s="31">
        <f>IFERROR(VLOOKUP($D137,bug_conf_sheet!$A:$H,7,FALSE),VLOOKUP("other",bug_conf_sheet!$A:$H,7,FALSE))</f>
        <v>0</v>
      </c>
      <c r="S137" s="31">
        <f>IFERROR(VLOOKUP($D137,bug_conf_sheet!$A:$H,8,FALSE),VLOOKUP("other",bug_conf_sheet!$A:$H,8,FALSE))</f>
        <v>1</v>
      </c>
    </row>
    <row r="138" spans="1:19" ht="21" customHeight="1">
      <c r="A138" s="2">
        <f>input_0!A$2</f>
        <v>3120</v>
      </c>
      <c r="B138" s="7" t="str">
        <f t="shared" si="7"/>
        <v>PremiumSS4</v>
      </c>
      <c r="C138" s="7" t="str">
        <f t="shared" si="8"/>
        <v>PremiumSS</v>
      </c>
      <c r="D138" s="6">
        <v>320</v>
      </c>
      <c r="E138" s="7" t="str">
        <f>VLOOKUP(D138,[1]characters!$A:$C,3,FALSE)</f>
        <v>烈志士 近藤勇</v>
      </c>
      <c r="F138" s="7" t="str">
        <f>VLOOKUP(D138,[1]characters!$A:$J,10,FALSE)</f>
        <v>PremiumSS</v>
      </c>
      <c r="G138" s="7">
        <f>VLOOKUP(D138,[1]characters!$A:$I,9,FALSE)</f>
        <v>4</v>
      </c>
      <c r="H138" s="7" t="str">
        <f>VLOOKUP(D138,[1]characters!$A:$H,8,FALSE)</f>
        <v>red</v>
      </c>
      <c r="I138" s="7" t="str">
        <f>VLOOKUP(D138,[1]characters!$A:$K,11,FALSE)</f>
        <v>hp</v>
      </c>
      <c r="J138" s="7" t="str">
        <f>VLOOKUP(D138,[1]characters!$A:$M,13,FALSE)</f>
        <v>human</v>
      </c>
      <c r="K138" s="7" t="str">
        <f>VLOOKUP(D138,[1]characters!$A:$G,7,FALSE)</f>
        <v>男性</v>
      </c>
      <c r="L138" s="66">
        <f>IFERROR(VLOOKUP(D138,input_0!L:R,7,FALSE),VLOOKUP(tables_0!B138,input_0!A:H,8,FALSE))</f>
        <v>75924</v>
      </c>
      <c r="M138" s="67">
        <f t="shared" si="6"/>
        <v>1.4615384615384616E-3</v>
      </c>
      <c r="N138" s="31">
        <f>IFERROR(VLOOKUP($D138,bug_conf_sheet!$A:$H,3,FALSE),VLOOKUP("other",bug_conf_sheet!$A:$H,3,FALSE))</f>
        <v>1</v>
      </c>
      <c r="O138" s="31">
        <f>IFERROR(VLOOKUP($D138,bug_conf_sheet!$A:$H,4,FALSE),VLOOKUP("other",bug_conf_sheet!$A:$H,4,FALSE))</f>
        <v>0</v>
      </c>
      <c r="P138" s="31">
        <f>IFERROR(VLOOKUP($D138,bug_conf_sheet!$A:$H,5,FALSE),VLOOKUP("other",bug_conf_sheet!$A:$H,5,FALSE))</f>
        <v>0</v>
      </c>
      <c r="Q138" s="31">
        <f>IFERROR(VLOOKUP($D138,bug_conf_sheet!$A:$H,6,FALSE),VLOOKUP("other",bug_conf_sheet!$A:$H,6,FALSE))</f>
        <v>0</v>
      </c>
      <c r="R138" s="31">
        <f>IFERROR(VLOOKUP($D138,bug_conf_sheet!$A:$H,7,FALSE),VLOOKUP("other",bug_conf_sheet!$A:$H,7,FALSE))</f>
        <v>0</v>
      </c>
      <c r="S138" s="31">
        <f>IFERROR(VLOOKUP($D138,bug_conf_sheet!$A:$H,8,FALSE),VLOOKUP("other",bug_conf_sheet!$A:$H,8,FALSE))</f>
        <v>1</v>
      </c>
    </row>
    <row r="139" spans="1:19" ht="21" customHeight="1">
      <c r="A139" s="2">
        <f>input_0!A$2</f>
        <v>3120</v>
      </c>
      <c r="B139" s="7" t="str">
        <f t="shared" si="7"/>
        <v>PremiumSS5</v>
      </c>
      <c r="C139" s="7" t="str">
        <f t="shared" si="8"/>
        <v>PremiumSS</v>
      </c>
      <c r="D139" s="6">
        <v>321</v>
      </c>
      <c r="E139" s="7" t="str">
        <f>VLOOKUP(D139,[1]characters!$A:$C,3,FALSE)</f>
        <v>巌鉄の烈志士 近藤勇</v>
      </c>
      <c r="F139" s="7" t="str">
        <f>VLOOKUP(D139,[1]characters!$A:$J,10,FALSE)</f>
        <v>PremiumSS</v>
      </c>
      <c r="G139" s="7">
        <f>VLOOKUP(D139,[1]characters!$A:$I,9,FALSE)</f>
        <v>5</v>
      </c>
      <c r="H139" s="7" t="str">
        <f>VLOOKUP(D139,[1]characters!$A:$H,8,FALSE)</f>
        <v>red</v>
      </c>
      <c r="I139" s="7" t="str">
        <f>VLOOKUP(D139,[1]characters!$A:$K,11,FALSE)</f>
        <v>hp</v>
      </c>
      <c r="J139" s="7" t="str">
        <f>VLOOKUP(D139,[1]characters!$A:$M,13,FALSE)</f>
        <v>human</v>
      </c>
      <c r="K139" s="7" t="str">
        <f>VLOOKUP(D139,[1]characters!$A:$G,7,FALSE)</f>
        <v>男性</v>
      </c>
      <c r="L139" s="66">
        <f>IFERROR(VLOOKUP(D139,input_0!L:R,7,FALSE),VLOOKUP(tables_0!B139,input_0!A:H,8,FALSE))</f>
        <v>3996</v>
      </c>
      <c r="M139" s="67">
        <f t="shared" si="6"/>
        <v>7.6923076923076926E-5</v>
      </c>
      <c r="N139" s="31">
        <f>IFERROR(VLOOKUP($D139,bug_conf_sheet!$A:$H,3,FALSE),VLOOKUP("other",bug_conf_sheet!$A:$H,3,FALSE))</f>
        <v>1</v>
      </c>
      <c r="O139" s="31">
        <f>IFERROR(VLOOKUP($D139,bug_conf_sheet!$A:$H,4,FALSE),VLOOKUP("other",bug_conf_sheet!$A:$H,4,FALSE))</f>
        <v>0</v>
      </c>
      <c r="P139" s="31">
        <f>IFERROR(VLOOKUP($D139,bug_conf_sheet!$A:$H,5,FALSE),VLOOKUP("other",bug_conf_sheet!$A:$H,5,FALSE))</f>
        <v>0</v>
      </c>
      <c r="Q139" s="31">
        <f>IFERROR(VLOOKUP($D139,bug_conf_sheet!$A:$H,6,FALSE),VLOOKUP("other",bug_conf_sheet!$A:$H,6,FALSE))</f>
        <v>0</v>
      </c>
      <c r="R139" s="31">
        <f>IFERROR(VLOOKUP($D139,bug_conf_sheet!$A:$H,7,FALSE),VLOOKUP("other",bug_conf_sheet!$A:$H,7,FALSE))</f>
        <v>0</v>
      </c>
      <c r="S139" s="31">
        <f>IFERROR(VLOOKUP($D139,bug_conf_sheet!$A:$H,8,FALSE),VLOOKUP("other",bug_conf_sheet!$A:$H,8,FALSE))</f>
        <v>1</v>
      </c>
    </row>
    <row r="140" spans="1:19" ht="21" customHeight="1">
      <c r="A140" s="2">
        <f>input_0!A$2</f>
        <v>3120</v>
      </c>
      <c r="B140" s="7" t="str">
        <f t="shared" si="7"/>
        <v>PremiumSS4</v>
      </c>
      <c r="C140" s="7" t="str">
        <f t="shared" si="8"/>
        <v>PremiumSS</v>
      </c>
      <c r="D140" s="6">
        <v>322</v>
      </c>
      <c r="E140" s="7" t="str">
        <f>VLOOKUP(D140,[1]characters!$A:$C,3,FALSE)</f>
        <v>愛志士 土方歳三</v>
      </c>
      <c r="F140" s="7" t="str">
        <f>VLOOKUP(D140,[1]characters!$A:$J,10,FALSE)</f>
        <v>PremiumSS</v>
      </c>
      <c r="G140" s="7">
        <f>VLOOKUP(D140,[1]characters!$A:$I,9,FALSE)</f>
        <v>4</v>
      </c>
      <c r="H140" s="7" t="str">
        <f>VLOOKUP(D140,[1]characters!$A:$H,8,FALSE)</f>
        <v>green</v>
      </c>
      <c r="I140" s="7" t="str">
        <f>VLOOKUP(D140,[1]characters!$A:$K,11,FALSE)</f>
        <v>attack</v>
      </c>
      <c r="J140" s="7" t="str">
        <f>VLOOKUP(D140,[1]characters!$A:$M,13,FALSE)</f>
        <v>human</v>
      </c>
      <c r="K140" s="7" t="str">
        <f>VLOOKUP(D140,[1]characters!$A:$G,7,FALSE)</f>
        <v>女性</v>
      </c>
      <c r="L140" s="66">
        <f>IFERROR(VLOOKUP(D140,input_0!L:R,7,FALSE),VLOOKUP(tables_0!B140,input_0!A:H,8,FALSE))</f>
        <v>75924</v>
      </c>
      <c r="M140" s="67">
        <f t="shared" si="6"/>
        <v>1.4615384615384616E-3</v>
      </c>
      <c r="N140" s="31">
        <f>IFERROR(VLOOKUP($D140,bug_conf_sheet!$A:$H,3,FALSE),VLOOKUP("other",bug_conf_sheet!$A:$H,3,FALSE))</f>
        <v>1</v>
      </c>
      <c r="O140" s="31">
        <f>IFERROR(VLOOKUP($D140,bug_conf_sheet!$A:$H,4,FALSE),VLOOKUP("other",bug_conf_sheet!$A:$H,4,FALSE))</f>
        <v>0</v>
      </c>
      <c r="P140" s="31">
        <f>IFERROR(VLOOKUP($D140,bug_conf_sheet!$A:$H,5,FALSE),VLOOKUP("other",bug_conf_sheet!$A:$H,5,FALSE))</f>
        <v>0</v>
      </c>
      <c r="Q140" s="31">
        <f>IFERROR(VLOOKUP($D140,bug_conf_sheet!$A:$H,6,FALSE),VLOOKUP("other",bug_conf_sheet!$A:$H,6,FALSE))</f>
        <v>0</v>
      </c>
      <c r="R140" s="31">
        <f>IFERROR(VLOOKUP($D140,bug_conf_sheet!$A:$H,7,FALSE),VLOOKUP("other",bug_conf_sheet!$A:$H,7,FALSE))</f>
        <v>0</v>
      </c>
      <c r="S140" s="31">
        <f>IFERROR(VLOOKUP($D140,bug_conf_sheet!$A:$H,8,FALSE),VLOOKUP("other",bug_conf_sheet!$A:$H,8,FALSE))</f>
        <v>1</v>
      </c>
    </row>
    <row r="141" spans="1:19" ht="21" customHeight="1">
      <c r="A141" s="2">
        <f>input_0!A$2</f>
        <v>3120</v>
      </c>
      <c r="B141" s="7" t="str">
        <f t="shared" si="7"/>
        <v>PremiumSS5</v>
      </c>
      <c r="C141" s="7" t="str">
        <f t="shared" si="8"/>
        <v>PremiumSS</v>
      </c>
      <c r="D141" s="6">
        <v>323</v>
      </c>
      <c r="E141" s="7" t="str">
        <f>VLOOKUP(D141,[1]characters!$A:$C,3,FALSE)</f>
        <v>流麗の愛志士 土方歳三</v>
      </c>
      <c r="F141" s="7" t="str">
        <f>VLOOKUP(D141,[1]characters!$A:$J,10,FALSE)</f>
        <v>PremiumSS</v>
      </c>
      <c r="G141" s="7">
        <f>VLOOKUP(D141,[1]characters!$A:$I,9,FALSE)</f>
        <v>5</v>
      </c>
      <c r="H141" s="7" t="str">
        <f>VLOOKUP(D141,[1]characters!$A:$H,8,FALSE)</f>
        <v>green</v>
      </c>
      <c r="I141" s="7" t="str">
        <f>VLOOKUP(D141,[1]characters!$A:$K,11,FALSE)</f>
        <v>attack</v>
      </c>
      <c r="J141" s="7" t="str">
        <f>VLOOKUP(D141,[1]characters!$A:$M,13,FALSE)</f>
        <v>human</v>
      </c>
      <c r="K141" s="7" t="str">
        <f>VLOOKUP(D141,[1]characters!$A:$G,7,FALSE)</f>
        <v>女性</v>
      </c>
      <c r="L141" s="66">
        <f>IFERROR(VLOOKUP(D141,input_0!L:R,7,FALSE),VLOOKUP(tables_0!B141,input_0!A:H,8,FALSE))</f>
        <v>3996</v>
      </c>
      <c r="M141" s="67">
        <f t="shared" si="6"/>
        <v>7.6923076923076926E-5</v>
      </c>
      <c r="N141" s="31">
        <f>IFERROR(VLOOKUP($D141,bug_conf_sheet!$A:$H,3,FALSE),VLOOKUP("other",bug_conf_sheet!$A:$H,3,FALSE))</f>
        <v>1</v>
      </c>
      <c r="O141" s="31">
        <f>IFERROR(VLOOKUP($D141,bug_conf_sheet!$A:$H,4,FALSE),VLOOKUP("other",bug_conf_sheet!$A:$H,4,FALSE))</f>
        <v>0</v>
      </c>
      <c r="P141" s="31">
        <f>IFERROR(VLOOKUP($D141,bug_conf_sheet!$A:$H,5,FALSE),VLOOKUP("other",bug_conf_sheet!$A:$H,5,FALSE))</f>
        <v>0</v>
      </c>
      <c r="Q141" s="31">
        <f>IFERROR(VLOOKUP($D141,bug_conf_sheet!$A:$H,6,FALSE),VLOOKUP("other",bug_conf_sheet!$A:$H,6,FALSE))</f>
        <v>0</v>
      </c>
      <c r="R141" s="31">
        <f>IFERROR(VLOOKUP($D141,bug_conf_sheet!$A:$H,7,FALSE),VLOOKUP("other",bug_conf_sheet!$A:$H,7,FALSE))</f>
        <v>0</v>
      </c>
      <c r="S141" s="31">
        <f>IFERROR(VLOOKUP($D141,bug_conf_sheet!$A:$H,8,FALSE),VLOOKUP("other",bug_conf_sheet!$A:$H,8,FALSE))</f>
        <v>1</v>
      </c>
    </row>
    <row r="142" spans="1:19" ht="21" customHeight="1">
      <c r="A142" s="2">
        <f>input_0!A$2</f>
        <v>3120</v>
      </c>
      <c r="B142" s="7" t="str">
        <f t="shared" si="7"/>
        <v>PremiumSS4</v>
      </c>
      <c r="C142" s="7" t="str">
        <f t="shared" si="8"/>
        <v>PremiumSS</v>
      </c>
      <c r="D142" s="6">
        <v>324</v>
      </c>
      <c r="E142" s="7" t="str">
        <f>VLOOKUP(D142,[1]characters!$A:$C,3,FALSE)</f>
        <v>凛志士 沖田総司</v>
      </c>
      <c r="F142" s="7" t="str">
        <f>VLOOKUP(D142,[1]characters!$A:$J,10,FALSE)</f>
        <v>PremiumSS</v>
      </c>
      <c r="G142" s="7">
        <f>VLOOKUP(D142,[1]characters!$A:$I,9,FALSE)</f>
        <v>4</v>
      </c>
      <c r="H142" s="7" t="str">
        <f>VLOOKUP(D142,[1]characters!$A:$H,8,FALSE)</f>
        <v>blue</v>
      </c>
      <c r="I142" s="7" t="str">
        <f>VLOOKUP(D142,[1]characters!$A:$K,11,FALSE)</f>
        <v>balance</v>
      </c>
      <c r="J142" s="7" t="str">
        <f>VLOOKUP(D142,[1]characters!$A:$M,13,FALSE)</f>
        <v>human</v>
      </c>
      <c r="K142" s="7" t="str">
        <f>VLOOKUP(D142,[1]characters!$A:$G,7,FALSE)</f>
        <v>女性</v>
      </c>
      <c r="L142" s="66">
        <f>IFERROR(VLOOKUP(D142,input_0!L:R,7,FALSE),VLOOKUP(tables_0!B142,input_0!A:H,8,FALSE))</f>
        <v>75924</v>
      </c>
      <c r="M142" s="67">
        <f t="shared" si="6"/>
        <v>1.4615384615384616E-3</v>
      </c>
      <c r="N142" s="31">
        <f>IFERROR(VLOOKUP($D142,bug_conf_sheet!$A:$H,3,FALSE),VLOOKUP("other",bug_conf_sheet!$A:$H,3,FALSE))</f>
        <v>1</v>
      </c>
      <c r="O142" s="31">
        <f>IFERROR(VLOOKUP($D142,bug_conf_sheet!$A:$H,4,FALSE),VLOOKUP("other",bug_conf_sheet!$A:$H,4,FALSE))</f>
        <v>0</v>
      </c>
      <c r="P142" s="31">
        <f>IFERROR(VLOOKUP($D142,bug_conf_sheet!$A:$H,5,FALSE),VLOOKUP("other",bug_conf_sheet!$A:$H,5,FALSE))</f>
        <v>0</v>
      </c>
      <c r="Q142" s="31">
        <f>IFERROR(VLOOKUP($D142,bug_conf_sheet!$A:$H,6,FALSE),VLOOKUP("other",bug_conf_sheet!$A:$H,6,FALSE))</f>
        <v>0</v>
      </c>
      <c r="R142" s="31">
        <f>IFERROR(VLOOKUP($D142,bug_conf_sheet!$A:$H,7,FALSE),VLOOKUP("other",bug_conf_sheet!$A:$H,7,FALSE))</f>
        <v>0</v>
      </c>
      <c r="S142" s="31">
        <f>IFERROR(VLOOKUP($D142,bug_conf_sheet!$A:$H,8,FALSE),VLOOKUP("other",bug_conf_sheet!$A:$H,8,FALSE))</f>
        <v>1</v>
      </c>
    </row>
    <row r="143" spans="1:19" s="12" customFormat="1" ht="21" customHeight="1" thickBot="1">
      <c r="A143" s="2">
        <f>input_0!A$2</f>
        <v>3120</v>
      </c>
      <c r="B143" s="7" t="str">
        <f t="shared" si="7"/>
        <v>PremiumSS5</v>
      </c>
      <c r="C143" s="7" t="str">
        <f t="shared" si="8"/>
        <v>PremiumSS</v>
      </c>
      <c r="D143" s="6">
        <v>325</v>
      </c>
      <c r="E143" s="7" t="str">
        <f>VLOOKUP(D143,[1]characters!$A:$C,3,FALSE)</f>
        <v>天賦の凛志士 沖田総司</v>
      </c>
      <c r="F143" s="7" t="str">
        <f>VLOOKUP(D143,[1]characters!$A:$J,10,FALSE)</f>
        <v>PremiumSS</v>
      </c>
      <c r="G143" s="7">
        <f>VLOOKUP(D143,[1]characters!$A:$I,9,FALSE)</f>
        <v>5</v>
      </c>
      <c r="H143" s="7" t="str">
        <f>VLOOKUP(D143,[1]characters!$A:$H,8,FALSE)</f>
        <v>blue</v>
      </c>
      <c r="I143" s="7" t="str">
        <f>VLOOKUP(D143,[1]characters!$A:$K,11,FALSE)</f>
        <v>balance</v>
      </c>
      <c r="J143" s="7" t="str">
        <f>VLOOKUP(D143,[1]characters!$A:$M,13,FALSE)</f>
        <v>human</v>
      </c>
      <c r="K143" s="7" t="str">
        <f>VLOOKUP(D143,[1]characters!$A:$G,7,FALSE)</f>
        <v>女性</v>
      </c>
      <c r="L143" s="66">
        <f>IFERROR(VLOOKUP(D143,input_0!L:R,7,FALSE),VLOOKUP(tables_0!B143,input_0!A:H,8,FALSE))</f>
        <v>3996</v>
      </c>
      <c r="M143" s="67">
        <f t="shared" si="6"/>
        <v>7.6923076923076926E-5</v>
      </c>
      <c r="N143" s="31">
        <f>IFERROR(VLOOKUP($D143,bug_conf_sheet!$A:$H,3,FALSE),VLOOKUP("other",bug_conf_sheet!$A:$H,3,FALSE))</f>
        <v>1</v>
      </c>
      <c r="O143" s="31">
        <f>IFERROR(VLOOKUP($D143,bug_conf_sheet!$A:$H,4,FALSE),VLOOKUP("other",bug_conf_sheet!$A:$H,4,FALSE))</f>
        <v>0</v>
      </c>
      <c r="P143" s="31">
        <f>IFERROR(VLOOKUP($D143,bug_conf_sheet!$A:$H,5,FALSE),VLOOKUP("other",bug_conf_sheet!$A:$H,5,FALSE))</f>
        <v>0</v>
      </c>
      <c r="Q143" s="31">
        <f>IFERROR(VLOOKUP($D143,bug_conf_sheet!$A:$H,6,FALSE),VLOOKUP("other",bug_conf_sheet!$A:$H,6,FALSE))</f>
        <v>0</v>
      </c>
      <c r="R143" s="31">
        <f>IFERROR(VLOOKUP($D143,bug_conf_sheet!$A:$H,7,FALSE),VLOOKUP("other",bug_conf_sheet!$A:$H,7,FALSE))</f>
        <v>0</v>
      </c>
      <c r="S143" s="31">
        <f>IFERROR(VLOOKUP($D143,bug_conf_sheet!$A:$H,8,FALSE),VLOOKUP("other",bug_conf_sheet!$A:$H,8,FALSE))</f>
        <v>1</v>
      </c>
    </row>
    <row r="144" spans="1:19" ht="21" customHeight="1">
      <c r="A144" s="2">
        <f>input_0!A$2</f>
        <v>3120</v>
      </c>
      <c r="B144" s="7" t="str">
        <f t="shared" si="7"/>
        <v>PremiumSS4</v>
      </c>
      <c r="C144" s="7" t="str">
        <f t="shared" si="8"/>
        <v>PremiumSS</v>
      </c>
      <c r="D144" s="6">
        <v>326</v>
      </c>
      <c r="E144" s="7" t="str">
        <f>VLOOKUP(D144,[1]characters!$A:$C,3,FALSE)</f>
        <v>妖志士 斎藤一</v>
      </c>
      <c r="F144" s="7" t="str">
        <f>VLOOKUP(D144,[1]characters!$A:$J,10,FALSE)</f>
        <v>PremiumSS</v>
      </c>
      <c r="G144" s="7">
        <f>VLOOKUP(D144,[1]characters!$A:$I,9,FALSE)</f>
        <v>4</v>
      </c>
      <c r="H144" s="7" t="str">
        <f>VLOOKUP(D144,[1]characters!$A:$H,8,FALSE)</f>
        <v>yellow</v>
      </c>
      <c r="I144" s="7" t="str">
        <f>VLOOKUP(D144,[1]characters!$A:$K,11,FALSE)</f>
        <v>technical</v>
      </c>
      <c r="J144" s="7" t="str">
        <f>VLOOKUP(D144,[1]characters!$A:$M,13,FALSE)</f>
        <v>human</v>
      </c>
      <c r="K144" s="7" t="str">
        <f>VLOOKUP(D144,[1]characters!$A:$G,7,FALSE)</f>
        <v>女性</v>
      </c>
      <c r="L144" s="66">
        <f>IFERROR(VLOOKUP(D144,input_0!L:R,7,FALSE),VLOOKUP(tables_0!B144,input_0!A:H,8,FALSE))</f>
        <v>75924</v>
      </c>
      <c r="M144" s="67">
        <f t="shared" si="6"/>
        <v>1.4615384615384616E-3</v>
      </c>
      <c r="N144" s="31">
        <f>IFERROR(VLOOKUP($D144,bug_conf_sheet!$A:$H,3,FALSE),VLOOKUP("other",bug_conf_sheet!$A:$H,3,FALSE))</f>
        <v>1</v>
      </c>
      <c r="O144" s="31">
        <f>IFERROR(VLOOKUP($D144,bug_conf_sheet!$A:$H,4,FALSE),VLOOKUP("other",bug_conf_sheet!$A:$H,4,FALSE))</f>
        <v>0</v>
      </c>
      <c r="P144" s="31">
        <f>IFERROR(VLOOKUP($D144,bug_conf_sheet!$A:$H,5,FALSE),VLOOKUP("other",bug_conf_sheet!$A:$H,5,FALSE))</f>
        <v>0</v>
      </c>
      <c r="Q144" s="31">
        <f>IFERROR(VLOOKUP($D144,bug_conf_sheet!$A:$H,6,FALSE),VLOOKUP("other",bug_conf_sheet!$A:$H,6,FALSE))</f>
        <v>0</v>
      </c>
      <c r="R144" s="31">
        <f>IFERROR(VLOOKUP($D144,bug_conf_sheet!$A:$H,7,FALSE),VLOOKUP("other",bug_conf_sheet!$A:$H,7,FALSE))</f>
        <v>0</v>
      </c>
      <c r="S144" s="31">
        <f>IFERROR(VLOOKUP($D144,bug_conf_sheet!$A:$H,8,FALSE),VLOOKUP("other",bug_conf_sheet!$A:$H,8,FALSE))</f>
        <v>1</v>
      </c>
    </row>
    <row r="145" spans="1:19" ht="21" customHeight="1">
      <c r="A145" s="2">
        <f>input_0!A$2</f>
        <v>3120</v>
      </c>
      <c r="B145" s="7" t="str">
        <f t="shared" si="7"/>
        <v>PremiumSS5</v>
      </c>
      <c r="C145" s="7" t="str">
        <f t="shared" si="8"/>
        <v>PremiumSS</v>
      </c>
      <c r="D145" s="6">
        <v>327</v>
      </c>
      <c r="E145" s="7" t="str">
        <f>VLOOKUP(D145,[1]characters!$A:$C,3,FALSE)</f>
        <v>千殺の妖志士 斎藤一</v>
      </c>
      <c r="F145" s="7" t="str">
        <f>VLOOKUP(D145,[1]characters!$A:$J,10,FALSE)</f>
        <v>PremiumSS</v>
      </c>
      <c r="G145" s="7">
        <f>VLOOKUP(D145,[1]characters!$A:$I,9,FALSE)</f>
        <v>5</v>
      </c>
      <c r="H145" s="7" t="str">
        <f>VLOOKUP(D145,[1]characters!$A:$H,8,FALSE)</f>
        <v>yellow</v>
      </c>
      <c r="I145" s="7" t="str">
        <f>VLOOKUP(D145,[1]characters!$A:$K,11,FALSE)</f>
        <v>technical</v>
      </c>
      <c r="J145" s="7" t="str">
        <f>VLOOKUP(D145,[1]characters!$A:$M,13,FALSE)</f>
        <v>human</v>
      </c>
      <c r="K145" s="7" t="str">
        <f>VLOOKUP(D145,[1]characters!$A:$G,7,FALSE)</f>
        <v>女性</v>
      </c>
      <c r="L145" s="66">
        <f>IFERROR(VLOOKUP(D145,input_0!L:R,7,FALSE),VLOOKUP(tables_0!B145,input_0!A:H,8,FALSE))</f>
        <v>3996</v>
      </c>
      <c r="M145" s="67">
        <f t="shared" si="6"/>
        <v>7.6923076923076926E-5</v>
      </c>
      <c r="N145" s="31">
        <f>IFERROR(VLOOKUP($D145,bug_conf_sheet!$A:$H,3,FALSE),VLOOKUP("other",bug_conf_sheet!$A:$H,3,FALSE))</f>
        <v>1</v>
      </c>
      <c r="O145" s="31">
        <f>IFERROR(VLOOKUP($D145,bug_conf_sheet!$A:$H,4,FALSE),VLOOKUP("other",bug_conf_sheet!$A:$H,4,FALSE))</f>
        <v>0</v>
      </c>
      <c r="P145" s="31">
        <f>IFERROR(VLOOKUP($D145,bug_conf_sheet!$A:$H,5,FALSE),VLOOKUP("other",bug_conf_sheet!$A:$H,5,FALSE))</f>
        <v>0</v>
      </c>
      <c r="Q145" s="31">
        <f>IFERROR(VLOOKUP($D145,bug_conf_sheet!$A:$H,6,FALSE),VLOOKUP("other",bug_conf_sheet!$A:$H,6,FALSE))</f>
        <v>0</v>
      </c>
      <c r="R145" s="31">
        <f>IFERROR(VLOOKUP($D145,bug_conf_sheet!$A:$H,7,FALSE),VLOOKUP("other",bug_conf_sheet!$A:$H,7,FALSE))</f>
        <v>0</v>
      </c>
      <c r="S145" s="31">
        <f>IFERROR(VLOOKUP($D145,bug_conf_sheet!$A:$H,8,FALSE),VLOOKUP("other",bug_conf_sheet!$A:$H,8,FALSE))</f>
        <v>1</v>
      </c>
    </row>
    <row r="146" spans="1:19" ht="21" hidden="1" customHeight="1">
      <c r="A146" s="2">
        <f>input_0!A$2</f>
        <v>3120</v>
      </c>
      <c r="B146" s="7" t="str">
        <f t="shared" si="7"/>
        <v>Premium3</v>
      </c>
      <c r="C146" s="7" t="str">
        <f t="shared" si="8"/>
        <v>Premium</v>
      </c>
      <c r="D146" s="6">
        <v>380</v>
      </c>
      <c r="E146" s="7" t="str">
        <f>VLOOKUP(D146,[1]characters!$A:$C,3,FALSE)</f>
        <v>バハムート</v>
      </c>
      <c r="F146" s="7" t="str">
        <f>VLOOKUP(D146,[1]characters!$A:$J,10,FALSE)</f>
        <v>PremiumS</v>
      </c>
      <c r="G146" s="7">
        <f>VLOOKUP(D146,[1]characters!$A:$I,9,FALSE)</f>
        <v>3</v>
      </c>
      <c r="H146" s="7" t="str">
        <f>VLOOKUP(D146,[1]characters!$A:$H,8,FALSE)</f>
        <v>red</v>
      </c>
      <c r="I146" s="7" t="str">
        <f>VLOOKUP(D146,[1]characters!$A:$K,11,FALSE)</f>
        <v>technical</v>
      </c>
      <c r="J146" s="7" t="str">
        <f>VLOOKUP(D146,[1]characters!$A:$M,13,FALSE)</f>
        <v>dragon</v>
      </c>
      <c r="K146" s="7" t="str">
        <f>VLOOKUP(D146,[1]characters!$A:$G,7,FALSE)</f>
        <v>女性</v>
      </c>
      <c r="L146" s="66">
        <f>IFERROR(VLOOKUP(D146,input_0!L:R,7,FALSE),VLOOKUP(tables_0!B146,input_0!A:H,8,FALSE))</f>
        <v>0</v>
      </c>
      <c r="M146" s="67">
        <f t="shared" si="6"/>
        <v>0</v>
      </c>
      <c r="N146" s="31">
        <f>IFERROR(VLOOKUP($D146,bug_conf_sheet!$A:$H,3,FALSE),VLOOKUP("other",bug_conf_sheet!$A:$H,3,FALSE))</f>
        <v>1</v>
      </c>
      <c r="O146" s="31">
        <f>IFERROR(VLOOKUP($D146,bug_conf_sheet!$A:$H,4,FALSE),VLOOKUP("other",bug_conf_sheet!$A:$H,4,FALSE))</f>
        <v>0</v>
      </c>
      <c r="P146" s="31">
        <f>IFERROR(VLOOKUP($D146,bug_conf_sheet!$A:$H,5,FALSE),VLOOKUP("other",bug_conf_sheet!$A:$H,5,FALSE))</f>
        <v>0</v>
      </c>
      <c r="Q146" s="31">
        <f>IFERROR(VLOOKUP($D146,bug_conf_sheet!$A:$H,6,FALSE),VLOOKUP("other",bug_conf_sheet!$A:$H,6,FALSE))</f>
        <v>0</v>
      </c>
      <c r="R146" s="31">
        <f>IFERROR(VLOOKUP($D146,bug_conf_sheet!$A:$H,7,FALSE),VLOOKUP("other",bug_conf_sheet!$A:$H,7,FALSE))</f>
        <v>0</v>
      </c>
      <c r="S146" s="31">
        <f>IFERROR(VLOOKUP($D146,bug_conf_sheet!$A:$H,8,FALSE),VLOOKUP("other",bug_conf_sheet!$A:$H,8,FALSE))</f>
        <v>1</v>
      </c>
    </row>
    <row r="147" spans="1:19" ht="21" hidden="1" customHeight="1">
      <c r="A147" s="2">
        <f>input_0!A$2</f>
        <v>3120</v>
      </c>
      <c r="B147" s="7" t="str">
        <f t="shared" si="7"/>
        <v>Premium4</v>
      </c>
      <c r="C147" s="7" t="str">
        <f t="shared" si="8"/>
        <v>Premium</v>
      </c>
      <c r="D147" s="6">
        <v>381</v>
      </c>
      <c r="E147" s="7" t="str">
        <f>VLOOKUP(D147,[1]characters!$A:$C,3,FALSE)</f>
        <v>肉食の恋火 バハムート</v>
      </c>
      <c r="F147" s="7" t="str">
        <f>VLOOKUP(D147,[1]characters!$A:$J,10,FALSE)</f>
        <v>PremiumS</v>
      </c>
      <c r="G147" s="7">
        <f>VLOOKUP(D147,[1]characters!$A:$I,9,FALSE)</f>
        <v>4</v>
      </c>
      <c r="H147" s="7" t="str">
        <f>VLOOKUP(D147,[1]characters!$A:$H,8,FALSE)</f>
        <v>red</v>
      </c>
      <c r="I147" s="7" t="str">
        <f>VLOOKUP(D147,[1]characters!$A:$K,11,FALSE)</f>
        <v>technical</v>
      </c>
      <c r="J147" s="7" t="str">
        <f>VLOOKUP(D147,[1]characters!$A:$M,13,FALSE)</f>
        <v>dragon</v>
      </c>
      <c r="K147" s="7" t="str">
        <f>VLOOKUP(D147,[1]characters!$A:$G,7,FALSE)</f>
        <v>女性</v>
      </c>
      <c r="L147" s="66">
        <f>IFERROR(VLOOKUP(D147,input_0!L:R,7,FALSE),VLOOKUP(tables_0!B147,input_0!A:H,8,FALSE))</f>
        <v>640224</v>
      </c>
      <c r="M147" s="67">
        <f t="shared" si="6"/>
        <v>1.2324324324324324E-2</v>
      </c>
      <c r="N147" s="31">
        <f>IFERROR(VLOOKUP($D147,bug_conf_sheet!$A:$H,3,FALSE),VLOOKUP("other",bug_conf_sheet!$A:$H,3,FALSE))</f>
        <v>1</v>
      </c>
      <c r="O147" s="31">
        <f>IFERROR(VLOOKUP($D147,bug_conf_sheet!$A:$H,4,FALSE),VLOOKUP("other",bug_conf_sheet!$A:$H,4,FALSE))</f>
        <v>0</v>
      </c>
      <c r="P147" s="31">
        <f>IFERROR(VLOOKUP($D147,bug_conf_sheet!$A:$H,5,FALSE),VLOOKUP("other",bug_conf_sheet!$A:$H,5,FALSE))</f>
        <v>0</v>
      </c>
      <c r="Q147" s="31">
        <f>IFERROR(VLOOKUP($D147,bug_conf_sheet!$A:$H,6,FALSE),VLOOKUP("other",bug_conf_sheet!$A:$H,6,FALSE))</f>
        <v>0</v>
      </c>
      <c r="R147" s="31">
        <f>IFERROR(VLOOKUP($D147,bug_conf_sheet!$A:$H,7,FALSE),VLOOKUP("other",bug_conf_sheet!$A:$H,7,FALSE))</f>
        <v>0</v>
      </c>
      <c r="S147" s="31">
        <f>IFERROR(VLOOKUP($D147,bug_conf_sheet!$A:$H,8,FALSE),VLOOKUP("other",bug_conf_sheet!$A:$H,8,FALSE))</f>
        <v>1</v>
      </c>
    </row>
    <row r="148" spans="1:19" ht="21" hidden="1" customHeight="1">
      <c r="A148" s="2">
        <f>input_0!A$2</f>
        <v>3120</v>
      </c>
      <c r="B148" s="7" t="str">
        <f t="shared" si="7"/>
        <v>Premium5</v>
      </c>
      <c r="C148" s="7" t="str">
        <f t="shared" si="8"/>
        <v>Premium</v>
      </c>
      <c r="D148" s="6">
        <v>382</v>
      </c>
      <c r="E148" s="7" t="str">
        <f>VLOOKUP(D148,[1]characters!$A:$C,3,FALSE)</f>
        <v>激情の愛炎 バハムート</v>
      </c>
      <c r="F148" s="7" t="str">
        <f>VLOOKUP(D148,[1]characters!$A:$J,10,FALSE)</f>
        <v>PremiumS</v>
      </c>
      <c r="G148" s="7">
        <f>VLOOKUP(D148,[1]characters!$A:$I,9,FALSE)</f>
        <v>5</v>
      </c>
      <c r="H148" s="7" t="str">
        <f>VLOOKUP(D148,[1]characters!$A:$H,8,FALSE)</f>
        <v>red</v>
      </c>
      <c r="I148" s="7" t="str">
        <f>VLOOKUP(D148,[1]characters!$A:$K,11,FALSE)</f>
        <v>technical</v>
      </c>
      <c r="J148" s="7" t="str">
        <f>VLOOKUP(D148,[1]characters!$A:$M,13,FALSE)</f>
        <v>dragon</v>
      </c>
      <c r="K148" s="7" t="str">
        <f>VLOOKUP(D148,[1]characters!$A:$G,7,FALSE)</f>
        <v>女性</v>
      </c>
      <c r="L148" s="66">
        <f>IFERROR(VLOOKUP(D148,input_0!L:R,7,FALSE),VLOOKUP(tables_0!B148,input_0!A:H,8,FALSE))</f>
        <v>46176</v>
      </c>
      <c r="M148" s="67">
        <f t="shared" si="6"/>
        <v>8.8888888888888893E-4</v>
      </c>
      <c r="N148" s="31">
        <f>IFERROR(VLOOKUP($D148,bug_conf_sheet!$A:$H,3,FALSE),VLOOKUP("other",bug_conf_sheet!$A:$H,3,FALSE))</f>
        <v>1</v>
      </c>
      <c r="O148" s="31">
        <f>IFERROR(VLOOKUP($D148,bug_conf_sheet!$A:$H,4,FALSE),VLOOKUP("other",bug_conf_sheet!$A:$H,4,FALSE))</f>
        <v>0</v>
      </c>
      <c r="P148" s="31">
        <f>IFERROR(VLOOKUP($D148,bug_conf_sheet!$A:$H,5,FALSE),VLOOKUP("other",bug_conf_sheet!$A:$H,5,FALSE))</f>
        <v>0</v>
      </c>
      <c r="Q148" s="31">
        <f>IFERROR(VLOOKUP($D148,bug_conf_sheet!$A:$H,6,FALSE),VLOOKUP("other",bug_conf_sheet!$A:$H,6,FALSE))</f>
        <v>0</v>
      </c>
      <c r="R148" s="31">
        <f>IFERROR(VLOOKUP($D148,bug_conf_sheet!$A:$H,7,FALSE),VLOOKUP("other",bug_conf_sheet!$A:$H,7,FALSE))</f>
        <v>0</v>
      </c>
      <c r="S148" s="31">
        <f>IFERROR(VLOOKUP($D148,bug_conf_sheet!$A:$H,8,FALSE),VLOOKUP("other",bug_conf_sheet!$A:$H,8,FALSE))</f>
        <v>1</v>
      </c>
    </row>
    <row r="149" spans="1:19" ht="21" customHeight="1">
      <c r="A149" s="2">
        <f>input_0!A$2</f>
        <v>3120</v>
      </c>
      <c r="B149" s="7" t="str">
        <f t="shared" si="7"/>
        <v>PremiumSS4</v>
      </c>
      <c r="C149" s="7" t="str">
        <f t="shared" si="8"/>
        <v>PremiumSS</v>
      </c>
      <c r="D149" s="6">
        <v>383</v>
      </c>
      <c r="E149" s="7" t="str">
        <f>VLOOKUP(D149,[1]characters!$A:$C,3,FALSE)</f>
        <v>酒宴の蟒蛇 ヤマタノオロチ</v>
      </c>
      <c r="F149" s="7" t="str">
        <f>VLOOKUP(D149,[1]characters!$A:$J,10,FALSE)</f>
        <v>PremiumSS</v>
      </c>
      <c r="G149" s="7">
        <f>VLOOKUP(D149,[1]characters!$A:$I,9,FALSE)</f>
        <v>4</v>
      </c>
      <c r="H149" s="7" t="str">
        <f>VLOOKUP(D149,[1]characters!$A:$H,8,FALSE)</f>
        <v>green</v>
      </c>
      <c r="I149" s="7" t="str">
        <f>VLOOKUP(D149,[1]characters!$A:$K,11,FALSE)</f>
        <v>hp</v>
      </c>
      <c r="J149" s="7" t="str">
        <f>VLOOKUP(D149,[1]characters!$A:$M,13,FALSE)</f>
        <v>dragon</v>
      </c>
      <c r="K149" s="7" t="str">
        <f>VLOOKUP(D149,[1]characters!$A:$G,7,FALSE)</f>
        <v>女性</v>
      </c>
      <c r="L149" s="66">
        <f>IFERROR(VLOOKUP(D149,input_0!L:R,7,FALSE),VLOOKUP(tables_0!B149,input_0!A:H,8,FALSE))</f>
        <v>75924</v>
      </c>
      <c r="M149" s="67">
        <f t="shared" si="6"/>
        <v>1.4615384615384616E-3</v>
      </c>
      <c r="N149" s="31">
        <f>IFERROR(VLOOKUP($D149,bug_conf_sheet!$A:$H,3,FALSE),VLOOKUP("other",bug_conf_sheet!$A:$H,3,FALSE))</f>
        <v>1</v>
      </c>
      <c r="O149" s="31">
        <f>IFERROR(VLOOKUP($D149,bug_conf_sheet!$A:$H,4,FALSE),VLOOKUP("other",bug_conf_sheet!$A:$H,4,FALSE))</f>
        <v>0</v>
      </c>
      <c r="P149" s="31">
        <f>IFERROR(VLOOKUP($D149,bug_conf_sheet!$A:$H,5,FALSE),VLOOKUP("other",bug_conf_sheet!$A:$H,5,FALSE))</f>
        <v>0</v>
      </c>
      <c r="Q149" s="31">
        <f>IFERROR(VLOOKUP($D149,bug_conf_sheet!$A:$H,6,FALSE),VLOOKUP("other",bug_conf_sheet!$A:$H,6,FALSE))</f>
        <v>0</v>
      </c>
      <c r="R149" s="31">
        <f>IFERROR(VLOOKUP($D149,bug_conf_sheet!$A:$H,7,FALSE),VLOOKUP("other",bug_conf_sheet!$A:$H,7,FALSE))</f>
        <v>0</v>
      </c>
      <c r="S149" s="31">
        <f>IFERROR(VLOOKUP($D149,bug_conf_sheet!$A:$H,8,FALSE),VLOOKUP("other",bug_conf_sheet!$A:$H,8,FALSE))</f>
        <v>1</v>
      </c>
    </row>
    <row r="150" spans="1:19" ht="21" customHeight="1">
      <c r="A150" s="2">
        <f>input_0!A$2</f>
        <v>3120</v>
      </c>
      <c r="B150" s="7" t="str">
        <f t="shared" si="7"/>
        <v>PremiumSS5</v>
      </c>
      <c r="C150" s="7" t="str">
        <f t="shared" si="8"/>
        <v>PremiumSS</v>
      </c>
      <c r="D150" s="6">
        <v>384</v>
      </c>
      <c r="E150" s="7" t="str">
        <f>VLOOKUP(D150,[1]characters!$A:$C,3,FALSE)</f>
        <v>破国の呑龍 ヤマタノオロチ</v>
      </c>
      <c r="F150" s="7" t="str">
        <f>VLOOKUP(D150,[1]characters!$A:$J,10,FALSE)</f>
        <v>PremiumSS</v>
      </c>
      <c r="G150" s="7">
        <f>VLOOKUP(D150,[1]characters!$A:$I,9,FALSE)</f>
        <v>5</v>
      </c>
      <c r="H150" s="7" t="str">
        <f>VLOOKUP(D150,[1]characters!$A:$H,8,FALSE)</f>
        <v>green</v>
      </c>
      <c r="I150" s="7" t="str">
        <f>VLOOKUP(D150,[1]characters!$A:$K,11,FALSE)</f>
        <v>hp</v>
      </c>
      <c r="J150" s="7" t="str">
        <f>VLOOKUP(D150,[1]characters!$A:$M,13,FALSE)</f>
        <v>dragon</v>
      </c>
      <c r="K150" s="7" t="str">
        <f>VLOOKUP(D150,[1]characters!$A:$G,7,FALSE)</f>
        <v>女性</v>
      </c>
      <c r="L150" s="66">
        <f>IFERROR(VLOOKUP(D150,input_0!L:R,7,FALSE),VLOOKUP(tables_0!B150,input_0!A:H,8,FALSE))</f>
        <v>3996</v>
      </c>
      <c r="M150" s="67">
        <f t="shared" si="6"/>
        <v>7.6923076923076926E-5</v>
      </c>
      <c r="N150" s="31">
        <f>IFERROR(VLOOKUP($D150,bug_conf_sheet!$A:$H,3,FALSE),VLOOKUP("other",bug_conf_sheet!$A:$H,3,FALSE))</f>
        <v>1</v>
      </c>
      <c r="O150" s="31">
        <f>IFERROR(VLOOKUP($D150,bug_conf_sheet!$A:$H,4,FALSE),VLOOKUP("other",bug_conf_sheet!$A:$H,4,FALSE))</f>
        <v>0</v>
      </c>
      <c r="P150" s="31">
        <f>IFERROR(VLOOKUP($D150,bug_conf_sheet!$A:$H,5,FALSE),VLOOKUP("other",bug_conf_sheet!$A:$H,5,FALSE))</f>
        <v>0</v>
      </c>
      <c r="Q150" s="31">
        <f>IFERROR(VLOOKUP($D150,bug_conf_sheet!$A:$H,6,FALSE),VLOOKUP("other",bug_conf_sheet!$A:$H,6,FALSE))</f>
        <v>0</v>
      </c>
      <c r="R150" s="31">
        <f>IFERROR(VLOOKUP($D150,bug_conf_sheet!$A:$H,7,FALSE),VLOOKUP("other",bug_conf_sheet!$A:$H,7,FALSE))</f>
        <v>0</v>
      </c>
      <c r="S150" s="31">
        <f>IFERROR(VLOOKUP($D150,bug_conf_sheet!$A:$H,8,FALSE),VLOOKUP("other",bug_conf_sheet!$A:$H,8,FALSE))</f>
        <v>1</v>
      </c>
    </row>
    <row r="151" spans="1:19" ht="21" customHeight="1">
      <c r="A151" s="2">
        <f>input_0!A$2</f>
        <v>3120</v>
      </c>
      <c r="B151" s="7" t="str">
        <f t="shared" si="7"/>
        <v>PremiumSS4</v>
      </c>
      <c r="C151" s="7" t="str">
        <f t="shared" si="8"/>
        <v>PremiumSS</v>
      </c>
      <c r="D151" s="6">
        <v>385</v>
      </c>
      <c r="E151" s="7" t="str">
        <f>VLOOKUP(D151,[1]characters!$A:$C,3,FALSE)</f>
        <v>波烈の出奔 リヴァイアサン</v>
      </c>
      <c r="F151" s="7" t="str">
        <f>VLOOKUP(D151,[1]characters!$A:$J,10,FALSE)</f>
        <v>PremiumSS</v>
      </c>
      <c r="G151" s="7">
        <f>VLOOKUP(D151,[1]characters!$A:$I,9,FALSE)</f>
        <v>4</v>
      </c>
      <c r="H151" s="7" t="str">
        <f>VLOOKUP(D151,[1]characters!$A:$H,8,FALSE)</f>
        <v>blue</v>
      </c>
      <c r="I151" s="7" t="str">
        <f>VLOOKUP(D151,[1]characters!$A:$K,11,FALSE)</f>
        <v>balance</v>
      </c>
      <c r="J151" s="7" t="str">
        <f>VLOOKUP(D151,[1]characters!$A:$M,13,FALSE)</f>
        <v>dragon</v>
      </c>
      <c r="K151" s="7" t="str">
        <f>VLOOKUP(D151,[1]characters!$A:$G,7,FALSE)</f>
        <v>女性</v>
      </c>
      <c r="L151" s="66">
        <f>IFERROR(VLOOKUP(D151,input_0!L:R,7,FALSE),VLOOKUP(tables_0!B151,input_0!A:H,8,FALSE))</f>
        <v>75924</v>
      </c>
      <c r="M151" s="67">
        <f t="shared" si="6"/>
        <v>1.4615384615384616E-3</v>
      </c>
      <c r="N151" s="31">
        <f>IFERROR(VLOOKUP($D151,bug_conf_sheet!$A:$H,3,FALSE),VLOOKUP("other",bug_conf_sheet!$A:$H,3,FALSE))</f>
        <v>1</v>
      </c>
      <c r="O151" s="31">
        <f>IFERROR(VLOOKUP($D151,bug_conf_sheet!$A:$H,4,FALSE),VLOOKUP("other",bug_conf_sheet!$A:$H,4,FALSE))</f>
        <v>0</v>
      </c>
      <c r="P151" s="31">
        <f>IFERROR(VLOOKUP($D151,bug_conf_sheet!$A:$H,5,FALSE),VLOOKUP("other",bug_conf_sheet!$A:$H,5,FALSE))</f>
        <v>0</v>
      </c>
      <c r="Q151" s="31">
        <f>IFERROR(VLOOKUP($D151,bug_conf_sheet!$A:$H,6,FALSE),VLOOKUP("other",bug_conf_sheet!$A:$H,6,FALSE))</f>
        <v>0</v>
      </c>
      <c r="R151" s="31">
        <f>IFERROR(VLOOKUP($D151,bug_conf_sheet!$A:$H,7,FALSE),VLOOKUP("other",bug_conf_sheet!$A:$H,7,FALSE))</f>
        <v>0</v>
      </c>
      <c r="S151" s="31">
        <f>IFERROR(VLOOKUP($D151,bug_conf_sheet!$A:$H,8,FALSE),VLOOKUP("other",bug_conf_sheet!$A:$H,8,FALSE))</f>
        <v>1</v>
      </c>
    </row>
    <row r="152" spans="1:19" ht="21" customHeight="1">
      <c r="A152" s="2">
        <f>input_0!A$2</f>
        <v>3120</v>
      </c>
      <c r="B152" s="7" t="str">
        <f t="shared" si="7"/>
        <v>PremiumSS5</v>
      </c>
      <c r="C152" s="7" t="str">
        <f t="shared" si="8"/>
        <v>PremiumSS</v>
      </c>
      <c r="D152" s="6">
        <v>386</v>
      </c>
      <c r="E152" s="7" t="str">
        <f>VLOOKUP(D152,[1]characters!$A:$C,3,FALSE)</f>
        <v>氾乱の海龍 リヴァイアサン</v>
      </c>
      <c r="F152" s="7" t="str">
        <f>VLOOKUP(D152,[1]characters!$A:$J,10,FALSE)</f>
        <v>PremiumSS</v>
      </c>
      <c r="G152" s="7">
        <f>VLOOKUP(D152,[1]characters!$A:$I,9,FALSE)</f>
        <v>5</v>
      </c>
      <c r="H152" s="7" t="str">
        <f>VLOOKUP(D152,[1]characters!$A:$H,8,FALSE)</f>
        <v>blue</v>
      </c>
      <c r="I152" s="7" t="str">
        <f>VLOOKUP(D152,[1]characters!$A:$K,11,FALSE)</f>
        <v>balance</v>
      </c>
      <c r="J152" s="7" t="str">
        <f>VLOOKUP(D152,[1]characters!$A:$M,13,FALSE)</f>
        <v>dragon</v>
      </c>
      <c r="K152" s="7" t="str">
        <f>VLOOKUP(D152,[1]characters!$A:$G,7,FALSE)</f>
        <v>女性</v>
      </c>
      <c r="L152" s="66">
        <f>IFERROR(VLOOKUP(D152,input_0!L:R,7,FALSE),VLOOKUP(tables_0!B152,input_0!A:H,8,FALSE))</f>
        <v>3996</v>
      </c>
      <c r="M152" s="67">
        <f t="shared" si="6"/>
        <v>7.6923076923076926E-5</v>
      </c>
      <c r="N152" s="31">
        <f>IFERROR(VLOOKUP($D152,bug_conf_sheet!$A:$H,3,FALSE),VLOOKUP("other",bug_conf_sheet!$A:$H,3,FALSE))</f>
        <v>1</v>
      </c>
      <c r="O152" s="31">
        <f>IFERROR(VLOOKUP($D152,bug_conf_sheet!$A:$H,4,FALSE),VLOOKUP("other",bug_conf_sheet!$A:$H,4,FALSE))</f>
        <v>0</v>
      </c>
      <c r="P152" s="31">
        <f>IFERROR(VLOOKUP($D152,bug_conf_sheet!$A:$H,5,FALSE),VLOOKUP("other",bug_conf_sheet!$A:$H,5,FALSE))</f>
        <v>0</v>
      </c>
      <c r="Q152" s="31">
        <f>IFERROR(VLOOKUP($D152,bug_conf_sheet!$A:$H,6,FALSE),VLOOKUP("other",bug_conf_sheet!$A:$H,6,FALSE))</f>
        <v>0</v>
      </c>
      <c r="R152" s="31">
        <f>IFERROR(VLOOKUP($D152,bug_conf_sheet!$A:$H,7,FALSE),VLOOKUP("other",bug_conf_sheet!$A:$H,7,FALSE))</f>
        <v>0</v>
      </c>
      <c r="S152" s="31">
        <f>IFERROR(VLOOKUP($D152,bug_conf_sheet!$A:$H,8,FALSE),VLOOKUP("other",bug_conf_sheet!$A:$H,8,FALSE))</f>
        <v>1</v>
      </c>
    </row>
    <row r="153" spans="1:19" ht="21" hidden="1" customHeight="1">
      <c r="A153" s="2">
        <f>input_0!A$2</f>
        <v>3120</v>
      </c>
      <c r="B153" s="7" t="str">
        <f t="shared" si="7"/>
        <v>Premium3</v>
      </c>
      <c r="C153" s="7" t="str">
        <f t="shared" si="8"/>
        <v>Premium</v>
      </c>
      <c r="D153" s="6">
        <v>387</v>
      </c>
      <c r="E153" s="7" t="str">
        <f>VLOOKUP(D153,[1]characters!$A:$C,3,FALSE)</f>
        <v>スフィンクス</v>
      </c>
      <c r="F153" s="7" t="str">
        <f>VLOOKUP(D153,[1]characters!$A:$J,10,FALSE)</f>
        <v>PremiumS</v>
      </c>
      <c r="G153" s="7">
        <f>VLOOKUP(D153,[1]characters!$A:$I,9,FALSE)</f>
        <v>3</v>
      </c>
      <c r="H153" s="7" t="str">
        <f>VLOOKUP(D153,[1]characters!$A:$H,8,FALSE)</f>
        <v>yellow</v>
      </c>
      <c r="I153" s="7" t="str">
        <f>VLOOKUP(D153,[1]characters!$A:$K,11,FALSE)</f>
        <v>heal</v>
      </c>
      <c r="J153" s="7" t="str">
        <f>VLOOKUP(D153,[1]characters!$A:$M,13,FALSE)</f>
        <v>animal</v>
      </c>
      <c r="K153" s="7" t="str">
        <f>VLOOKUP(D153,[1]characters!$A:$G,7,FALSE)</f>
        <v>女性</v>
      </c>
      <c r="L153" s="66">
        <f>IFERROR(VLOOKUP(D153,input_0!L:R,7,FALSE),VLOOKUP(tables_0!B153,input_0!A:H,8,FALSE))</f>
        <v>0</v>
      </c>
      <c r="M153" s="67">
        <f t="shared" si="6"/>
        <v>0</v>
      </c>
      <c r="N153" s="31">
        <f>IFERROR(VLOOKUP($D153,bug_conf_sheet!$A:$H,3,FALSE),VLOOKUP("other",bug_conf_sheet!$A:$H,3,FALSE))</f>
        <v>1</v>
      </c>
      <c r="O153" s="31">
        <f>IFERROR(VLOOKUP($D153,bug_conf_sheet!$A:$H,4,FALSE),VLOOKUP("other",bug_conf_sheet!$A:$H,4,FALSE))</f>
        <v>0</v>
      </c>
      <c r="P153" s="31">
        <f>IFERROR(VLOOKUP($D153,bug_conf_sheet!$A:$H,5,FALSE),VLOOKUP("other",bug_conf_sheet!$A:$H,5,FALSE))</f>
        <v>0</v>
      </c>
      <c r="Q153" s="31">
        <f>IFERROR(VLOOKUP($D153,bug_conf_sheet!$A:$H,6,FALSE),VLOOKUP("other",bug_conf_sheet!$A:$H,6,FALSE))</f>
        <v>0</v>
      </c>
      <c r="R153" s="31">
        <f>IFERROR(VLOOKUP($D153,bug_conf_sheet!$A:$H,7,FALSE),VLOOKUP("other",bug_conf_sheet!$A:$H,7,FALSE))</f>
        <v>0</v>
      </c>
      <c r="S153" s="31">
        <f>IFERROR(VLOOKUP($D153,bug_conf_sheet!$A:$H,8,FALSE),VLOOKUP("other",bug_conf_sheet!$A:$H,8,FALSE))</f>
        <v>1</v>
      </c>
    </row>
    <row r="154" spans="1:19" ht="21" hidden="1" customHeight="1">
      <c r="A154" s="2">
        <f>input_0!A$2</f>
        <v>3120</v>
      </c>
      <c r="B154" s="7" t="str">
        <f t="shared" si="7"/>
        <v>Premium4</v>
      </c>
      <c r="C154" s="7" t="str">
        <f t="shared" si="8"/>
        <v>Premium</v>
      </c>
      <c r="D154" s="6">
        <v>388</v>
      </c>
      <c r="E154" s="7" t="str">
        <f>VLOOKUP(D154,[1]characters!$A:$C,3,FALSE)</f>
        <v>神円の恋姫 スフィンクス</v>
      </c>
      <c r="F154" s="7" t="str">
        <f>VLOOKUP(D154,[1]characters!$A:$J,10,FALSE)</f>
        <v>PremiumS</v>
      </c>
      <c r="G154" s="7">
        <f>VLOOKUP(D154,[1]characters!$A:$I,9,FALSE)</f>
        <v>4</v>
      </c>
      <c r="H154" s="7" t="str">
        <f>VLOOKUP(D154,[1]characters!$A:$H,8,FALSE)</f>
        <v>yellow</v>
      </c>
      <c r="I154" s="7" t="str">
        <f>VLOOKUP(D154,[1]characters!$A:$K,11,FALSE)</f>
        <v>heal</v>
      </c>
      <c r="J154" s="7" t="str">
        <f>VLOOKUP(D154,[1]characters!$A:$M,13,FALSE)</f>
        <v>animal</v>
      </c>
      <c r="K154" s="7" t="str">
        <f>VLOOKUP(D154,[1]characters!$A:$G,7,FALSE)</f>
        <v>女性</v>
      </c>
      <c r="L154" s="66">
        <f>IFERROR(VLOOKUP(D154,input_0!L:R,7,FALSE),VLOOKUP(tables_0!B154,input_0!A:H,8,FALSE))</f>
        <v>640224</v>
      </c>
      <c r="M154" s="67">
        <f t="shared" si="6"/>
        <v>1.2324324324324324E-2</v>
      </c>
      <c r="N154" s="31">
        <f>IFERROR(VLOOKUP($D154,bug_conf_sheet!$A:$H,3,FALSE),VLOOKUP("other",bug_conf_sheet!$A:$H,3,FALSE))</f>
        <v>1</v>
      </c>
      <c r="O154" s="31">
        <f>IFERROR(VLOOKUP($D154,bug_conf_sheet!$A:$H,4,FALSE),VLOOKUP("other",bug_conf_sheet!$A:$H,4,FALSE))</f>
        <v>0</v>
      </c>
      <c r="P154" s="31">
        <f>IFERROR(VLOOKUP($D154,bug_conf_sheet!$A:$H,5,FALSE),VLOOKUP("other",bug_conf_sheet!$A:$H,5,FALSE))</f>
        <v>0</v>
      </c>
      <c r="Q154" s="31">
        <f>IFERROR(VLOOKUP($D154,bug_conf_sheet!$A:$H,6,FALSE),VLOOKUP("other",bug_conf_sheet!$A:$H,6,FALSE))</f>
        <v>0</v>
      </c>
      <c r="R154" s="31">
        <f>IFERROR(VLOOKUP($D154,bug_conf_sheet!$A:$H,7,FALSE),VLOOKUP("other",bug_conf_sheet!$A:$H,7,FALSE))</f>
        <v>0</v>
      </c>
      <c r="S154" s="31">
        <f>IFERROR(VLOOKUP($D154,bug_conf_sheet!$A:$H,8,FALSE),VLOOKUP("other",bug_conf_sheet!$A:$H,8,FALSE))</f>
        <v>1</v>
      </c>
    </row>
    <row r="155" spans="1:19" ht="21" hidden="1" customHeight="1">
      <c r="A155" s="2">
        <f>input_0!A$2</f>
        <v>3120</v>
      </c>
      <c r="B155" s="7" t="str">
        <f t="shared" si="7"/>
        <v>Premium5</v>
      </c>
      <c r="C155" s="7" t="str">
        <f t="shared" si="8"/>
        <v>Premium</v>
      </c>
      <c r="D155" s="6">
        <v>389</v>
      </c>
      <c r="E155" s="7" t="str">
        <f>VLOOKUP(D155,[1]characters!$A:$C,3,FALSE)</f>
        <v>操神の愛姫 スフィンクス</v>
      </c>
      <c r="F155" s="7" t="str">
        <f>VLOOKUP(D155,[1]characters!$A:$J,10,FALSE)</f>
        <v>PremiumS</v>
      </c>
      <c r="G155" s="7">
        <f>VLOOKUP(D155,[1]characters!$A:$I,9,FALSE)</f>
        <v>5</v>
      </c>
      <c r="H155" s="7" t="str">
        <f>VLOOKUP(D155,[1]characters!$A:$H,8,FALSE)</f>
        <v>yellow</v>
      </c>
      <c r="I155" s="7" t="str">
        <f>VLOOKUP(D155,[1]characters!$A:$K,11,FALSE)</f>
        <v>heal</v>
      </c>
      <c r="J155" s="7" t="str">
        <f>VLOOKUP(D155,[1]characters!$A:$M,13,FALSE)</f>
        <v>animal</v>
      </c>
      <c r="K155" s="7" t="str">
        <f>VLOOKUP(D155,[1]characters!$A:$G,7,FALSE)</f>
        <v>女性</v>
      </c>
      <c r="L155" s="66">
        <f>IFERROR(VLOOKUP(D155,input_0!L:R,7,FALSE),VLOOKUP(tables_0!B155,input_0!A:H,8,FALSE))</f>
        <v>46176</v>
      </c>
      <c r="M155" s="67">
        <f t="shared" si="6"/>
        <v>8.8888888888888893E-4</v>
      </c>
      <c r="N155" s="31">
        <f>IFERROR(VLOOKUP($D155,bug_conf_sheet!$A:$H,3,FALSE),VLOOKUP("other",bug_conf_sheet!$A:$H,3,FALSE))</f>
        <v>1</v>
      </c>
      <c r="O155" s="31">
        <f>IFERROR(VLOOKUP($D155,bug_conf_sheet!$A:$H,4,FALSE),VLOOKUP("other",bug_conf_sheet!$A:$H,4,FALSE))</f>
        <v>0</v>
      </c>
      <c r="P155" s="31">
        <f>IFERROR(VLOOKUP($D155,bug_conf_sheet!$A:$H,5,FALSE),VLOOKUP("other",bug_conf_sheet!$A:$H,5,FALSE))</f>
        <v>0</v>
      </c>
      <c r="Q155" s="31">
        <f>IFERROR(VLOOKUP($D155,bug_conf_sheet!$A:$H,6,FALSE),VLOOKUP("other",bug_conf_sheet!$A:$H,6,FALSE))</f>
        <v>0</v>
      </c>
      <c r="R155" s="31">
        <f>IFERROR(VLOOKUP($D155,bug_conf_sheet!$A:$H,7,FALSE),VLOOKUP("other",bug_conf_sheet!$A:$H,7,FALSE))</f>
        <v>0</v>
      </c>
      <c r="S155" s="31">
        <f>IFERROR(VLOOKUP($D155,bug_conf_sheet!$A:$H,8,FALSE),VLOOKUP("other",bug_conf_sheet!$A:$H,8,FALSE))</f>
        <v>1</v>
      </c>
    </row>
    <row r="156" spans="1:19" ht="21" customHeight="1">
      <c r="A156" s="2">
        <f>input_0!A$2</f>
        <v>3120</v>
      </c>
      <c r="B156" s="7" t="str">
        <f t="shared" si="7"/>
        <v>PremiumSS4</v>
      </c>
      <c r="C156" s="7" t="str">
        <f t="shared" si="8"/>
        <v>PremiumSS</v>
      </c>
      <c r="D156" s="6">
        <v>390</v>
      </c>
      <c r="E156" s="7" t="str">
        <f>VLOOKUP(D156,[1]characters!$A:$C,3,FALSE)</f>
        <v>華環の旅客 親指姫</v>
      </c>
      <c r="F156" s="7" t="str">
        <f>VLOOKUP(D156,[1]characters!$A:$J,10,FALSE)</f>
        <v>PremiumSS</v>
      </c>
      <c r="G156" s="7">
        <f>VLOOKUP(D156,[1]characters!$A:$I,9,FALSE)</f>
        <v>4</v>
      </c>
      <c r="H156" s="7" t="str">
        <f>VLOOKUP(D156,[1]characters!$A:$H,8,FALSE)</f>
        <v>red</v>
      </c>
      <c r="I156" s="7" t="str">
        <f>VLOOKUP(D156,[1]characters!$A:$K,11,FALSE)</f>
        <v>heal</v>
      </c>
      <c r="J156" s="7" t="str">
        <f>VLOOKUP(D156,[1]characters!$A:$M,13,FALSE)</f>
        <v>human</v>
      </c>
      <c r="K156" s="7" t="str">
        <f>VLOOKUP(D156,[1]characters!$A:$G,7,FALSE)</f>
        <v>女性</v>
      </c>
      <c r="L156" s="66">
        <f>IFERROR(VLOOKUP(D156,input_0!L:R,7,FALSE),VLOOKUP(tables_0!B156,input_0!A:H,8,FALSE))</f>
        <v>75924</v>
      </c>
      <c r="M156" s="67">
        <f t="shared" si="6"/>
        <v>1.4615384615384616E-3</v>
      </c>
      <c r="N156" s="31">
        <f>IFERROR(VLOOKUP($D156,bug_conf_sheet!$A:$H,3,FALSE),VLOOKUP("other",bug_conf_sheet!$A:$H,3,FALSE))</f>
        <v>1</v>
      </c>
      <c r="O156" s="31">
        <f>IFERROR(VLOOKUP($D156,bug_conf_sheet!$A:$H,4,FALSE),VLOOKUP("other",bug_conf_sheet!$A:$H,4,FALSE))</f>
        <v>0</v>
      </c>
      <c r="P156" s="31">
        <f>IFERROR(VLOOKUP($D156,bug_conf_sheet!$A:$H,5,FALSE),VLOOKUP("other",bug_conf_sheet!$A:$H,5,FALSE))</f>
        <v>0</v>
      </c>
      <c r="Q156" s="31">
        <f>IFERROR(VLOOKUP($D156,bug_conf_sheet!$A:$H,6,FALSE),VLOOKUP("other",bug_conf_sheet!$A:$H,6,FALSE))</f>
        <v>0</v>
      </c>
      <c r="R156" s="31">
        <f>IFERROR(VLOOKUP($D156,bug_conf_sheet!$A:$H,7,FALSE),VLOOKUP("other",bug_conf_sheet!$A:$H,7,FALSE))</f>
        <v>0</v>
      </c>
      <c r="S156" s="31">
        <f>IFERROR(VLOOKUP($D156,bug_conf_sheet!$A:$H,8,FALSE),VLOOKUP("other",bug_conf_sheet!$A:$H,8,FALSE))</f>
        <v>1</v>
      </c>
    </row>
    <row r="157" spans="1:19" ht="21" customHeight="1">
      <c r="A157" s="2">
        <f>input_0!A$2</f>
        <v>3120</v>
      </c>
      <c r="B157" s="7" t="str">
        <f t="shared" si="7"/>
        <v>PremiumSS5</v>
      </c>
      <c r="C157" s="7" t="str">
        <f t="shared" si="8"/>
        <v>PremiumSS</v>
      </c>
      <c r="D157" s="6">
        <v>391</v>
      </c>
      <c r="E157" s="7" t="str">
        <f>VLOOKUP(D157,[1]characters!$A:$C,3,FALSE)</f>
        <v>燕翼の旅人 親指姫</v>
      </c>
      <c r="F157" s="7" t="str">
        <f>VLOOKUP(D157,[1]characters!$A:$J,10,FALSE)</f>
        <v>PremiumSS</v>
      </c>
      <c r="G157" s="7">
        <f>VLOOKUP(D157,[1]characters!$A:$I,9,FALSE)</f>
        <v>5</v>
      </c>
      <c r="H157" s="7" t="str">
        <f>VLOOKUP(D157,[1]characters!$A:$H,8,FALSE)</f>
        <v>red</v>
      </c>
      <c r="I157" s="7" t="str">
        <f>VLOOKUP(D157,[1]characters!$A:$K,11,FALSE)</f>
        <v>heal</v>
      </c>
      <c r="J157" s="7" t="str">
        <f>VLOOKUP(D157,[1]characters!$A:$M,13,FALSE)</f>
        <v>human</v>
      </c>
      <c r="K157" s="7" t="str">
        <f>VLOOKUP(D157,[1]characters!$A:$G,7,FALSE)</f>
        <v>女性</v>
      </c>
      <c r="L157" s="66">
        <f>IFERROR(VLOOKUP(D157,input_0!L:R,7,FALSE),VLOOKUP(tables_0!B157,input_0!A:H,8,FALSE))</f>
        <v>3996</v>
      </c>
      <c r="M157" s="67">
        <f t="shared" si="6"/>
        <v>7.6923076923076926E-5</v>
      </c>
      <c r="N157" s="31">
        <f>IFERROR(VLOOKUP($D157,bug_conf_sheet!$A:$H,3,FALSE),VLOOKUP("other",bug_conf_sheet!$A:$H,3,FALSE))</f>
        <v>1</v>
      </c>
      <c r="O157" s="31">
        <f>IFERROR(VLOOKUP($D157,bug_conf_sheet!$A:$H,4,FALSE),VLOOKUP("other",bug_conf_sheet!$A:$H,4,FALSE))</f>
        <v>0</v>
      </c>
      <c r="P157" s="31">
        <f>IFERROR(VLOOKUP($D157,bug_conf_sheet!$A:$H,5,FALSE),VLOOKUP("other",bug_conf_sheet!$A:$H,5,FALSE))</f>
        <v>0</v>
      </c>
      <c r="Q157" s="31">
        <f>IFERROR(VLOOKUP($D157,bug_conf_sheet!$A:$H,6,FALSE),VLOOKUP("other",bug_conf_sheet!$A:$H,6,FALSE))</f>
        <v>0</v>
      </c>
      <c r="R157" s="31">
        <f>IFERROR(VLOOKUP($D157,bug_conf_sheet!$A:$H,7,FALSE),VLOOKUP("other",bug_conf_sheet!$A:$H,7,FALSE))</f>
        <v>0</v>
      </c>
      <c r="S157" s="31">
        <f>IFERROR(VLOOKUP($D157,bug_conf_sheet!$A:$H,8,FALSE),VLOOKUP("other",bug_conf_sheet!$A:$H,8,FALSE))</f>
        <v>1</v>
      </c>
    </row>
    <row r="158" spans="1:19" ht="21" hidden="1" customHeight="1">
      <c r="A158" s="2">
        <f>input_0!A$2</f>
        <v>3120</v>
      </c>
      <c r="B158" s="7" t="str">
        <f t="shared" si="7"/>
        <v>Premium3</v>
      </c>
      <c r="C158" s="7" t="str">
        <f t="shared" si="8"/>
        <v>Premium</v>
      </c>
      <c r="D158" s="6">
        <v>392</v>
      </c>
      <c r="E158" s="7" t="str">
        <f>VLOOKUP(D158,[1]characters!$A:$C,3,FALSE)</f>
        <v>ピーターパン</v>
      </c>
      <c r="F158" s="7" t="str">
        <f>VLOOKUP(D158,[1]characters!$A:$J,10,FALSE)</f>
        <v>PremiumS</v>
      </c>
      <c r="G158" s="7">
        <f>VLOOKUP(D158,[1]characters!$A:$I,9,FALSE)</f>
        <v>3</v>
      </c>
      <c r="H158" s="7" t="str">
        <f>VLOOKUP(D158,[1]characters!$A:$H,8,FALSE)</f>
        <v>green</v>
      </c>
      <c r="I158" s="7" t="str">
        <f>VLOOKUP(D158,[1]characters!$A:$K,11,FALSE)</f>
        <v>attack</v>
      </c>
      <c r="J158" s="7" t="str">
        <f>VLOOKUP(D158,[1]characters!$A:$M,13,FALSE)</f>
        <v>human</v>
      </c>
      <c r="K158" s="7" t="str">
        <f>VLOOKUP(D158,[1]characters!$A:$G,7,FALSE)</f>
        <v>男性</v>
      </c>
      <c r="L158" s="66">
        <f>IFERROR(VLOOKUP(D158,input_0!L:R,7,FALSE),VLOOKUP(tables_0!B158,input_0!A:H,8,FALSE))</f>
        <v>0</v>
      </c>
      <c r="M158" s="67">
        <f t="shared" si="6"/>
        <v>0</v>
      </c>
      <c r="N158" s="31">
        <f>IFERROR(VLOOKUP($D158,bug_conf_sheet!$A:$H,3,FALSE),VLOOKUP("other",bug_conf_sheet!$A:$H,3,FALSE))</f>
        <v>1</v>
      </c>
      <c r="O158" s="31">
        <f>IFERROR(VLOOKUP($D158,bug_conf_sheet!$A:$H,4,FALSE),VLOOKUP("other",bug_conf_sheet!$A:$H,4,FALSE))</f>
        <v>0</v>
      </c>
      <c r="P158" s="31">
        <f>IFERROR(VLOOKUP($D158,bug_conf_sheet!$A:$H,5,FALSE),VLOOKUP("other",bug_conf_sheet!$A:$H,5,FALSE))</f>
        <v>0</v>
      </c>
      <c r="Q158" s="31">
        <f>IFERROR(VLOOKUP($D158,bug_conf_sheet!$A:$H,6,FALSE),VLOOKUP("other",bug_conf_sheet!$A:$H,6,FALSE))</f>
        <v>0</v>
      </c>
      <c r="R158" s="31">
        <f>IFERROR(VLOOKUP($D158,bug_conf_sheet!$A:$H,7,FALSE),VLOOKUP("other",bug_conf_sheet!$A:$H,7,FALSE))</f>
        <v>0</v>
      </c>
      <c r="S158" s="31">
        <f>IFERROR(VLOOKUP($D158,bug_conf_sheet!$A:$H,8,FALSE),VLOOKUP("other",bug_conf_sheet!$A:$H,8,FALSE))</f>
        <v>1</v>
      </c>
    </row>
    <row r="159" spans="1:19" ht="21" hidden="1" customHeight="1">
      <c r="A159" s="2">
        <f>input_0!A$2</f>
        <v>3120</v>
      </c>
      <c r="B159" s="7" t="str">
        <f t="shared" si="7"/>
        <v>Premium4</v>
      </c>
      <c r="C159" s="7" t="str">
        <f t="shared" si="8"/>
        <v>Premium</v>
      </c>
      <c r="D159" s="6">
        <v>393</v>
      </c>
      <c r="E159" s="7" t="str">
        <f>VLOOKUP(D159,[1]characters!$A:$C,3,FALSE)</f>
        <v>影縫い ピーターパン</v>
      </c>
      <c r="F159" s="7" t="str">
        <f>VLOOKUP(D159,[1]characters!$A:$J,10,FALSE)</f>
        <v>PremiumS</v>
      </c>
      <c r="G159" s="7">
        <f>VLOOKUP(D159,[1]characters!$A:$I,9,FALSE)</f>
        <v>4</v>
      </c>
      <c r="H159" s="7" t="str">
        <f>VLOOKUP(D159,[1]characters!$A:$H,8,FALSE)</f>
        <v>green</v>
      </c>
      <c r="I159" s="7" t="str">
        <f>VLOOKUP(D159,[1]characters!$A:$K,11,FALSE)</f>
        <v>attack</v>
      </c>
      <c r="J159" s="7" t="str">
        <f>VLOOKUP(D159,[1]characters!$A:$M,13,FALSE)</f>
        <v>human</v>
      </c>
      <c r="K159" s="7" t="str">
        <f>VLOOKUP(D159,[1]characters!$A:$G,7,FALSE)</f>
        <v>男性</v>
      </c>
      <c r="L159" s="66">
        <f>IFERROR(VLOOKUP(D159,input_0!L:R,7,FALSE),VLOOKUP(tables_0!B159,input_0!A:H,8,FALSE))</f>
        <v>640224</v>
      </c>
      <c r="M159" s="67">
        <f t="shared" si="6"/>
        <v>1.2324324324324324E-2</v>
      </c>
      <c r="N159" s="31">
        <f>IFERROR(VLOOKUP($D159,bug_conf_sheet!$A:$H,3,FALSE),VLOOKUP("other",bug_conf_sheet!$A:$H,3,FALSE))</f>
        <v>1</v>
      </c>
      <c r="O159" s="31">
        <f>IFERROR(VLOOKUP($D159,bug_conf_sheet!$A:$H,4,FALSE),VLOOKUP("other",bug_conf_sheet!$A:$H,4,FALSE))</f>
        <v>0</v>
      </c>
      <c r="P159" s="31">
        <f>IFERROR(VLOOKUP($D159,bug_conf_sheet!$A:$H,5,FALSE),VLOOKUP("other",bug_conf_sheet!$A:$H,5,FALSE))</f>
        <v>0</v>
      </c>
      <c r="Q159" s="31">
        <f>IFERROR(VLOOKUP($D159,bug_conf_sheet!$A:$H,6,FALSE),VLOOKUP("other",bug_conf_sheet!$A:$H,6,FALSE))</f>
        <v>0</v>
      </c>
      <c r="R159" s="31">
        <f>IFERROR(VLOOKUP($D159,bug_conf_sheet!$A:$H,7,FALSE),VLOOKUP("other",bug_conf_sheet!$A:$H,7,FALSE))</f>
        <v>0</v>
      </c>
      <c r="S159" s="31">
        <f>IFERROR(VLOOKUP($D159,bug_conf_sheet!$A:$H,8,FALSE),VLOOKUP("other",bug_conf_sheet!$A:$H,8,FALSE))</f>
        <v>1</v>
      </c>
    </row>
    <row r="160" spans="1:19" ht="21" hidden="1" customHeight="1">
      <c r="A160" s="2">
        <f>input_0!A$2</f>
        <v>3120</v>
      </c>
      <c r="B160" s="7" t="str">
        <f t="shared" si="7"/>
        <v>Premium5</v>
      </c>
      <c r="C160" s="7" t="str">
        <f t="shared" si="8"/>
        <v>Premium</v>
      </c>
      <c r="D160" s="6">
        <v>394</v>
      </c>
      <c r="E160" s="7" t="str">
        <f>VLOOKUP(D160,[1]characters!$A:$C,3,FALSE)</f>
        <v>影求の悪童 ピーターパン</v>
      </c>
      <c r="F160" s="7" t="str">
        <f>VLOOKUP(D160,[1]characters!$A:$J,10,FALSE)</f>
        <v>PremiumS</v>
      </c>
      <c r="G160" s="7">
        <f>VLOOKUP(D160,[1]characters!$A:$I,9,FALSE)</f>
        <v>5</v>
      </c>
      <c r="H160" s="7" t="str">
        <f>VLOOKUP(D160,[1]characters!$A:$H,8,FALSE)</f>
        <v>green</v>
      </c>
      <c r="I160" s="7" t="str">
        <f>VLOOKUP(D160,[1]characters!$A:$K,11,FALSE)</f>
        <v>attack</v>
      </c>
      <c r="J160" s="7" t="str">
        <f>VLOOKUP(D160,[1]characters!$A:$M,13,FALSE)</f>
        <v>human</v>
      </c>
      <c r="K160" s="7" t="str">
        <f>VLOOKUP(D160,[1]characters!$A:$G,7,FALSE)</f>
        <v>男性</v>
      </c>
      <c r="L160" s="66">
        <f>IFERROR(VLOOKUP(D160,input_0!L:R,7,FALSE),VLOOKUP(tables_0!B160,input_0!A:H,8,FALSE))</f>
        <v>46176</v>
      </c>
      <c r="M160" s="67">
        <f t="shared" si="6"/>
        <v>8.8888888888888893E-4</v>
      </c>
      <c r="N160" s="31">
        <f>IFERROR(VLOOKUP($D160,bug_conf_sheet!$A:$H,3,FALSE),VLOOKUP("other",bug_conf_sheet!$A:$H,3,FALSE))</f>
        <v>1</v>
      </c>
      <c r="O160" s="31">
        <f>IFERROR(VLOOKUP($D160,bug_conf_sheet!$A:$H,4,FALSE),VLOOKUP("other",bug_conf_sheet!$A:$H,4,FALSE))</f>
        <v>0</v>
      </c>
      <c r="P160" s="31">
        <f>IFERROR(VLOOKUP($D160,bug_conf_sheet!$A:$H,5,FALSE),VLOOKUP("other",bug_conf_sheet!$A:$H,5,FALSE))</f>
        <v>0</v>
      </c>
      <c r="Q160" s="31">
        <f>IFERROR(VLOOKUP($D160,bug_conf_sheet!$A:$H,6,FALSE),VLOOKUP("other",bug_conf_sheet!$A:$H,6,FALSE))</f>
        <v>0</v>
      </c>
      <c r="R160" s="31">
        <f>IFERROR(VLOOKUP($D160,bug_conf_sheet!$A:$H,7,FALSE),VLOOKUP("other",bug_conf_sheet!$A:$H,7,FALSE))</f>
        <v>0</v>
      </c>
      <c r="S160" s="31">
        <f>IFERROR(VLOOKUP($D160,bug_conf_sheet!$A:$H,8,FALSE),VLOOKUP("other",bug_conf_sheet!$A:$H,8,FALSE))</f>
        <v>1</v>
      </c>
    </row>
    <row r="161" spans="1:19" ht="21" hidden="1" customHeight="1">
      <c r="A161" s="2">
        <f>input_0!A$2</f>
        <v>3120</v>
      </c>
      <c r="B161" s="7" t="str">
        <f t="shared" si="7"/>
        <v>Premium3</v>
      </c>
      <c r="C161" s="7" t="str">
        <f t="shared" si="8"/>
        <v>Premium</v>
      </c>
      <c r="D161" s="6">
        <v>395</v>
      </c>
      <c r="E161" s="7" t="str">
        <f>VLOOKUP(D161,[1]characters!$A:$C,3,FALSE)</f>
        <v>乙姫</v>
      </c>
      <c r="F161" s="7" t="str">
        <f>VLOOKUP(D161,[1]characters!$A:$J,10,FALSE)</f>
        <v>PremiumS</v>
      </c>
      <c r="G161" s="7">
        <f>VLOOKUP(D161,[1]characters!$A:$I,9,FALSE)</f>
        <v>3</v>
      </c>
      <c r="H161" s="7" t="str">
        <f>VLOOKUP(D161,[1]characters!$A:$H,8,FALSE)</f>
        <v>blue</v>
      </c>
      <c r="I161" s="7" t="str">
        <f>VLOOKUP(D161,[1]characters!$A:$K,11,FALSE)</f>
        <v>hp</v>
      </c>
      <c r="J161" s="7" t="str">
        <f>VLOOKUP(D161,[1]characters!$A:$M,13,FALSE)</f>
        <v>human</v>
      </c>
      <c r="K161" s="7" t="str">
        <f>VLOOKUP(D161,[1]characters!$A:$G,7,FALSE)</f>
        <v>女性</v>
      </c>
      <c r="L161" s="66">
        <f>IFERROR(VLOOKUP(D161,input_0!L:R,7,FALSE),VLOOKUP(tables_0!B161,input_0!A:H,8,FALSE))</f>
        <v>0</v>
      </c>
      <c r="M161" s="67">
        <f t="shared" si="6"/>
        <v>0</v>
      </c>
      <c r="N161" s="31">
        <f>IFERROR(VLOOKUP($D161,bug_conf_sheet!$A:$H,3,FALSE),VLOOKUP("other",bug_conf_sheet!$A:$H,3,FALSE))</f>
        <v>1</v>
      </c>
      <c r="O161" s="31">
        <f>IFERROR(VLOOKUP($D161,bug_conf_sheet!$A:$H,4,FALSE),VLOOKUP("other",bug_conf_sheet!$A:$H,4,FALSE))</f>
        <v>0</v>
      </c>
      <c r="P161" s="31">
        <f>IFERROR(VLOOKUP($D161,bug_conf_sheet!$A:$H,5,FALSE),VLOOKUP("other",bug_conf_sheet!$A:$H,5,FALSE))</f>
        <v>0</v>
      </c>
      <c r="Q161" s="31">
        <f>IFERROR(VLOOKUP($D161,bug_conf_sheet!$A:$H,6,FALSE),VLOOKUP("other",bug_conf_sheet!$A:$H,6,FALSE))</f>
        <v>0</v>
      </c>
      <c r="R161" s="31">
        <f>IFERROR(VLOOKUP($D161,bug_conf_sheet!$A:$H,7,FALSE),VLOOKUP("other",bug_conf_sheet!$A:$H,7,FALSE))</f>
        <v>0</v>
      </c>
      <c r="S161" s="31">
        <f>IFERROR(VLOOKUP($D161,bug_conf_sheet!$A:$H,8,FALSE),VLOOKUP("other",bug_conf_sheet!$A:$H,8,FALSE))</f>
        <v>1</v>
      </c>
    </row>
    <row r="162" spans="1:19" ht="21" hidden="1" customHeight="1">
      <c r="A162" s="2">
        <f>input_0!A$2</f>
        <v>3120</v>
      </c>
      <c r="B162" s="7" t="str">
        <f t="shared" si="7"/>
        <v>Premium4</v>
      </c>
      <c r="C162" s="7" t="str">
        <f t="shared" si="8"/>
        <v>Premium</v>
      </c>
      <c r="D162" s="6">
        <v>396</v>
      </c>
      <c r="E162" s="7" t="str">
        <f>VLOOKUP(D162,[1]characters!$A:$C,3,FALSE)</f>
        <v>竜宮の水雷 乙姫</v>
      </c>
      <c r="F162" s="7" t="str">
        <f>VLOOKUP(D162,[1]characters!$A:$J,10,FALSE)</f>
        <v>PremiumS</v>
      </c>
      <c r="G162" s="7">
        <f>VLOOKUP(D162,[1]characters!$A:$I,9,FALSE)</f>
        <v>4</v>
      </c>
      <c r="H162" s="7" t="str">
        <f>VLOOKUP(D162,[1]characters!$A:$H,8,FALSE)</f>
        <v>blue</v>
      </c>
      <c r="I162" s="7" t="str">
        <f>VLOOKUP(D162,[1]characters!$A:$K,11,FALSE)</f>
        <v>hp</v>
      </c>
      <c r="J162" s="7" t="str">
        <f>VLOOKUP(D162,[1]characters!$A:$M,13,FALSE)</f>
        <v>human</v>
      </c>
      <c r="K162" s="7" t="str">
        <f>VLOOKUP(D162,[1]characters!$A:$G,7,FALSE)</f>
        <v>女性</v>
      </c>
      <c r="L162" s="66">
        <f>IFERROR(VLOOKUP(D162,input_0!L:R,7,FALSE),VLOOKUP(tables_0!B162,input_0!A:H,8,FALSE))</f>
        <v>640224</v>
      </c>
      <c r="M162" s="67">
        <f t="shared" si="6"/>
        <v>1.2324324324324324E-2</v>
      </c>
      <c r="N162" s="31">
        <f>IFERROR(VLOOKUP($D162,bug_conf_sheet!$A:$H,3,FALSE),VLOOKUP("other",bug_conf_sheet!$A:$H,3,FALSE))</f>
        <v>1</v>
      </c>
      <c r="O162" s="31">
        <f>IFERROR(VLOOKUP($D162,bug_conf_sheet!$A:$H,4,FALSE),VLOOKUP("other",bug_conf_sheet!$A:$H,4,FALSE))</f>
        <v>0</v>
      </c>
      <c r="P162" s="31">
        <f>IFERROR(VLOOKUP($D162,bug_conf_sheet!$A:$H,5,FALSE),VLOOKUP("other",bug_conf_sheet!$A:$H,5,FALSE))</f>
        <v>0</v>
      </c>
      <c r="Q162" s="31">
        <f>IFERROR(VLOOKUP($D162,bug_conf_sheet!$A:$H,6,FALSE),VLOOKUP("other",bug_conf_sheet!$A:$H,6,FALSE))</f>
        <v>0</v>
      </c>
      <c r="R162" s="31">
        <f>IFERROR(VLOOKUP($D162,bug_conf_sheet!$A:$H,7,FALSE),VLOOKUP("other",bug_conf_sheet!$A:$H,7,FALSE))</f>
        <v>0</v>
      </c>
      <c r="S162" s="31">
        <f>IFERROR(VLOOKUP($D162,bug_conf_sheet!$A:$H,8,FALSE),VLOOKUP("other",bug_conf_sheet!$A:$H,8,FALSE))</f>
        <v>1</v>
      </c>
    </row>
    <row r="163" spans="1:19" ht="21" hidden="1" customHeight="1">
      <c r="A163" s="2">
        <f>input_0!A$2</f>
        <v>3120</v>
      </c>
      <c r="B163" s="7" t="str">
        <f t="shared" si="7"/>
        <v>Premium5</v>
      </c>
      <c r="C163" s="7" t="str">
        <f t="shared" si="8"/>
        <v>Premium</v>
      </c>
      <c r="D163" s="6">
        <v>397</v>
      </c>
      <c r="E163" s="7" t="str">
        <f>VLOOKUP(D163,[1]characters!$A:$C,3,FALSE)</f>
        <v>禁断の追箱 乙姫</v>
      </c>
      <c r="F163" s="7" t="str">
        <f>VLOOKUP(D163,[1]characters!$A:$J,10,FALSE)</f>
        <v>PremiumS</v>
      </c>
      <c r="G163" s="7">
        <f>VLOOKUP(D163,[1]characters!$A:$I,9,FALSE)</f>
        <v>5</v>
      </c>
      <c r="H163" s="7" t="str">
        <f>VLOOKUP(D163,[1]characters!$A:$H,8,FALSE)</f>
        <v>blue</v>
      </c>
      <c r="I163" s="7" t="str">
        <f>VLOOKUP(D163,[1]characters!$A:$K,11,FALSE)</f>
        <v>hp</v>
      </c>
      <c r="J163" s="7" t="str">
        <f>VLOOKUP(D163,[1]characters!$A:$M,13,FALSE)</f>
        <v>human</v>
      </c>
      <c r="K163" s="7" t="str">
        <f>VLOOKUP(D163,[1]characters!$A:$G,7,FALSE)</f>
        <v>女性</v>
      </c>
      <c r="L163" s="66">
        <f>IFERROR(VLOOKUP(D163,input_0!L:R,7,FALSE),VLOOKUP(tables_0!B163,input_0!A:H,8,FALSE))</f>
        <v>46176</v>
      </c>
      <c r="M163" s="67">
        <f t="shared" si="6"/>
        <v>8.8888888888888893E-4</v>
      </c>
      <c r="N163" s="31">
        <f>IFERROR(VLOOKUP($D163,bug_conf_sheet!$A:$H,3,FALSE),VLOOKUP("other",bug_conf_sheet!$A:$H,3,FALSE))</f>
        <v>1</v>
      </c>
      <c r="O163" s="31">
        <f>IFERROR(VLOOKUP($D163,bug_conf_sheet!$A:$H,4,FALSE),VLOOKUP("other",bug_conf_sheet!$A:$H,4,FALSE))</f>
        <v>0</v>
      </c>
      <c r="P163" s="31">
        <f>IFERROR(VLOOKUP($D163,bug_conf_sheet!$A:$H,5,FALSE),VLOOKUP("other",bug_conf_sheet!$A:$H,5,FALSE))</f>
        <v>0</v>
      </c>
      <c r="Q163" s="31">
        <f>IFERROR(VLOOKUP($D163,bug_conf_sheet!$A:$H,6,FALSE),VLOOKUP("other",bug_conf_sheet!$A:$H,6,FALSE))</f>
        <v>0</v>
      </c>
      <c r="R163" s="31">
        <f>IFERROR(VLOOKUP($D163,bug_conf_sheet!$A:$H,7,FALSE),VLOOKUP("other",bug_conf_sheet!$A:$H,7,FALSE))</f>
        <v>0</v>
      </c>
      <c r="S163" s="31">
        <f>IFERROR(VLOOKUP($D163,bug_conf_sheet!$A:$H,8,FALSE),VLOOKUP("other",bug_conf_sheet!$A:$H,8,FALSE))</f>
        <v>1</v>
      </c>
    </row>
    <row r="164" spans="1:19" ht="21" customHeight="1">
      <c r="A164" s="2">
        <f>input_0!A$2</f>
        <v>3120</v>
      </c>
      <c r="B164" s="7" t="str">
        <f t="shared" si="7"/>
        <v>PremiumSS4</v>
      </c>
      <c r="C164" s="7" t="str">
        <f t="shared" si="8"/>
        <v>PremiumSS</v>
      </c>
      <c r="D164" s="6">
        <v>398</v>
      </c>
      <c r="E164" s="7" t="str">
        <f>VLOOKUP(D164,[1]characters!$A:$C,3,FALSE)</f>
        <v>ヘンゼル＆グレーテル</v>
      </c>
      <c r="F164" s="7" t="str">
        <f>VLOOKUP(D164,[1]characters!$A:$J,10,FALSE)</f>
        <v>PremiumSS</v>
      </c>
      <c r="G164" s="7">
        <f>VLOOKUP(D164,[1]characters!$A:$I,9,FALSE)</f>
        <v>4</v>
      </c>
      <c r="H164" s="7" t="str">
        <f>VLOOKUP(D164,[1]characters!$A:$H,8,FALSE)</f>
        <v>yellow</v>
      </c>
      <c r="I164" s="7" t="str">
        <f>VLOOKUP(D164,[1]characters!$A:$K,11,FALSE)</f>
        <v>balance</v>
      </c>
      <c r="J164" s="7" t="str">
        <f>VLOOKUP(D164,[1]characters!$A:$M,13,FALSE)</f>
        <v>human</v>
      </c>
      <c r="K164" s="7" t="str">
        <f>VLOOKUP(D164,[1]characters!$A:$G,7,FALSE)</f>
        <v>女性</v>
      </c>
      <c r="L164" s="66">
        <f>IFERROR(VLOOKUP(D164,input_0!L:R,7,FALSE),VLOOKUP(tables_0!B164,input_0!A:H,8,FALSE))</f>
        <v>75924</v>
      </c>
      <c r="M164" s="67">
        <f t="shared" si="6"/>
        <v>1.4615384615384616E-3</v>
      </c>
      <c r="N164" s="31">
        <f>IFERROR(VLOOKUP($D164,bug_conf_sheet!$A:$H,3,FALSE),VLOOKUP("other",bug_conf_sheet!$A:$H,3,FALSE))</f>
        <v>1</v>
      </c>
      <c r="O164" s="31">
        <f>IFERROR(VLOOKUP($D164,bug_conf_sheet!$A:$H,4,FALSE),VLOOKUP("other",bug_conf_sheet!$A:$H,4,FALSE))</f>
        <v>0</v>
      </c>
      <c r="P164" s="31">
        <f>IFERROR(VLOOKUP($D164,bug_conf_sheet!$A:$H,5,FALSE),VLOOKUP("other",bug_conf_sheet!$A:$H,5,FALSE))</f>
        <v>0</v>
      </c>
      <c r="Q164" s="31">
        <f>IFERROR(VLOOKUP($D164,bug_conf_sheet!$A:$H,6,FALSE),VLOOKUP("other",bug_conf_sheet!$A:$H,6,FALSE))</f>
        <v>0</v>
      </c>
      <c r="R164" s="31">
        <f>IFERROR(VLOOKUP($D164,bug_conf_sheet!$A:$H,7,FALSE),VLOOKUP("other",bug_conf_sheet!$A:$H,7,FALSE))</f>
        <v>0</v>
      </c>
      <c r="S164" s="31">
        <f>IFERROR(VLOOKUP($D164,bug_conf_sheet!$A:$H,8,FALSE),VLOOKUP("other",bug_conf_sheet!$A:$H,8,FALSE))</f>
        <v>1</v>
      </c>
    </row>
    <row r="165" spans="1:19" ht="21" customHeight="1">
      <c r="A165" s="2">
        <f>input_0!A$2</f>
        <v>3120</v>
      </c>
      <c r="B165" s="7" t="str">
        <f t="shared" si="7"/>
        <v>PremiumSS5</v>
      </c>
      <c r="C165" s="7" t="str">
        <f t="shared" si="8"/>
        <v>PremiumSS</v>
      </c>
      <c r="D165" s="6">
        <v>399</v>
      </c>
      <c r="E165" s="7" t="str">
        <f>VLOOKUP(D165,[1]characters!$A:$C,3,FALSE)</f>
        <v>信愛の兄妹 ヘンゼル＆グレーテル</v>
      </c>
      <c r="F165" s="7" t="str">
        <f>VLOOKUP(D165,[1]characters!$A:$J,10,FALSE)</f>
        <v>PremiumSS</v>
      </c>
      <c r="G165" s="7">
        <f>VLOOKUP(D165,[1]characters!$A:$I,9,FALSE)</f>
        <v>5</v>
      </c>
      <c r="H165" s="7" t="str">
        <f>VLOOKUP(D165,[1]characters!$A:$H,8,FALSE)</f>
        <v>yellow</v>
      </c>
      <c r="I165" s="7" t="str">
        <f>VLOOKUP(D165,[1]characters!$A:$K,11,FALSE)</f>
        <v>balance</v>
      </c>
      <c r="J165" s="7" t="str">
        <f>VLOOKUP(D165,[1]characters!$A:$M,13,FALSE)</f>
        <v>human</v>
      </c>
      <c r="K165" s="7" t="str">
        <f>VLOOKUP(D165,[1]characters!$A:$G,7,FALSE)</f>
        <v>女性</v>
      </c>
      <c r="L165" s="66">
        <f>IFERROR(VLOOKUP(D165,input_0!L:R,7,FALSE),VLOOKUP(tables_0!B165,input_0!A:H,8,FALSE))</f>
        <v>3996</v>
      </c>
      <c r="M165" s="67">
        <f t="shared" si="6"/>
        <v>7.6923076923076926E-5</v>
      </c>
      <c r="N165" s="31">
        <f>IFERROR(VLOOKUP($D165,bug_conf_sheet!$A:$H,3,FALSE),VLOOKUP("other",bug_conf_sheet!$A:$H,3,FALSE))</f>
        <v>1</v>
      </c>
      <c r="O165" s="31">
        <f>IFERROR(VLOOKUP($D165,bug_conf_sheet!$A:$H,4,FALSE),VLOOKUP("other",bug_conf_sheet!$A:$H,4,FALSE))</f>
        <v>0</v>
      </c>
      <c r="P165" s="31">
        <f>IFERROR(VLOOKUP($D165,bug_conf_sheet!$A:$H,5,FALSE),VLOOKUP("other",bug_conf_sheet!$A:$H,5,FALSE))</f>
        <v>0</v>
      </c>
      <c r="Q165" s="31">
        <f>IFERROR(VLOOKUP($D165,bug_conf_sheet!$A:$H,6,FALSE),VLOOKUP("other",bug_conf_sheet!$A:$H,6,FALSE))</f>
        <v>0</v>
      </c>
      <c r="R165" s="31">
        <f>IFERROR(VLOOKUP($D165,bug_conf_sheet!$A:$H,7,FALSE),VLOOKUP("other",bug_conf_sheet!$A:$H,7,FALSE))</f>
        <v>0</v>
      </c>
      <c r="S165" s="31">
        <f>IFERROR(VLOOKUP($D165,bug_conf_sheet!$A:$H,8,FALSE),VLOOKUP("other",bug_conf_sheet!$A:$H,8,FALSE))</f>
        <v>1</v>
      </c>
    </row>
    <row r="166" spans="1:19" ht="21" hidden="1" customHeight="1">
      <c r="A166" s="2">
        <f>input_0!A$2</f>
        <v>3120</v>
      </c>
      <c r="B166" s="7" t="str">
        <f t="shared" si="7"/>
        <v>Premium3</v>
      </c>
      <c r="C166" s="7" t="str">
        <f t="shared" si="8"/>
        <v>Premium</v>
      </c>
      <c r="D166" s="6">
        <v>400</v>
      </c>
      <c r="E166" s="7" t="str">
        <f>VLOOKUP(D166,[1]characters!$A:$C,3,FALSE)</f>
        <v>フェンリル</v>
      </c>
      <c r="F166" s="7" t="str">
        <f>VLOOKUP(D166,[1]characters!$A:$J,10,FALSE)</f>
        <v>PremiumS</v>
      </c>
      <c r="G166" s="7">
        <f>VLOOKUP(D166,[1]characters!$A:$I,9,FALSE)</f>
        <v>3</v>
      </c>
      <c r="H166" s="7" t="str">
        <f>VLOOKUP(D166,[1]characters!$A:$H,8,FALSE)</f>
        <v>red</v>
      </c>
      <c r="I166" s="7" t="str">
        <f>VLOOKUP(D166,[1]characters!$A:$K,11,FALSE)</f>
        <v>attack</v>
      </c>
      <c r="J166" s="7" t="str">
        <f>VLOOKUP(D166,[1]characters!$A:$M,13,FALSE)</f>
        <v>animal</v>
      </c>
      <c r="K166" s="7" t="str">
        <f>VLOOKUP(D166,[1]characters!$A:$G,7,FALSE)</f>
        <v>女性</v>
      </c>
      <c r="L166" s="66">
        <f>IFERROR(VLOOKUP(D166,input_0!L:R,7,FALSE),VLOOKUP(tables_0!B166,input_0!A:H,8,FALSE))</f>
        <v>0</v>
      </c>
      <c r="M166" s="67">
        <f t="shared" si="6"/>
        <v>0</v>
      </c>
      <c r="N166" s="31">
        <f>IFERROR(VLOOKUP($D166,bug_conf_sheet!$A:$H,3,FALSE),VLOOKUP("other",bug_conf_sheet!$A:$H,3,FALSE))</f>
        <v>1</v>
      </c>
      <c r="O166" s="31">
        <f>IFERROR(VLOOKUP($D166,bug_conf_sheet!$A:$H,4,FALSE),VLOOKUP("other",bug_conf_sheet!$A:$H,4,FALSE))</f>
        <v>0</v>
      </c>
      <c r="P166" s="31">
        <f>IFERROR(VLOOKUP($D166,bug_conf_sheet!$A:$H,5,FALSE),VLOOKUP("other",bug_conf_sheet!$A:$H,5,FALSE))</f>
        <v>0</v>
      </c>
      <c r="Q166" s="31">
        <f>IFERROR(VLOOKUP($D166,bug_conf_sheet!$A:$H,6,FALSE),VLOOKUP("other",bug_conf_sheet!$A:$H,6,FALSE))</f>
        <v>0</v>
      </c>
      <c r="R166" s="31">
        <f>IFERROR(VLOOKUP($D166,bug_conf_sheet!$A:$H,7,FALSE),VLOOKUP("other",bug_conf_sheet!$A:$H,7,FALSE))</f>
        <v>0</v>
      </c>
      <c r="S166" s="31">
        <f>IFERROR(VLOOKUP($D166,bug_conf_sheet!$A:$H,8,FALSE),VLOOKUP("other",bug_conf_sheet!$A:$H,8,FALSE))</f>
        <v>1</v>
      </c>
    </row>
    <row r="167" spans="1:19" ht="21" hidden="1" customHeight="1">
      <c r="A167" s="2">
        <f>input_0!A$2</f>
        <v>3120</v>
      </c>
      <c r="B167" s="7" t="str">
        <f t="shared" si="7"/>
        <v>Premium4</v>
      </c>
      <c r="C167" s="7" t="str">
        <f t="shared" si="8"/>
        <v>Premium</v>
      </c>
      <c r="D167" s="6">
        <v>401</v>
      </c>
      <c r="E167" s="7" t="str">
        <f>VLOOKUP(D167,[1]characters!$A:$C,3,FALSE)</f>
        <v>紅銀の孤狼 フェンリル</v>
      </c>
      <c r="F167" s="7" t="str">
        <f>VLOOKUP(D167,[1]characters!$A:$J,10,FALSE)</f>
        <v>PremiumS</v>
      </c>
      <c r="G167" s="7">
        <f>VLOOKUP(D167,[1]characters!$A:$I,9,FALSE)</f>
        <v>4</v>
      </c>
      <c r="H167" s="7" t="str">
        <f>VLOOKUP(D167,[1]characters!$A:$H,8,FALSE)</f>
        <v>red</v>
      </c>
      <c r="I167" s="7" t="str">
        <f>VLOOKUP(D167,[1]characters!$A:$K,11,FALSE)</f>
        <v>attack</v>
      </c>
      <c r="J167" s="7" t="str">
        <f>VLOOKUP(D167,[1]characters!$A:$M,13,FALSE)</f>
        <v>animal</v>
      </c>
      <c r="K167" s="7" t="str">
        <f>VLOOKUP(D167,[1]characters!$A:$G,7,FALSE)</f>
        <v>女性</v>
      </c>
      <c r="L167" s="66">
        <f>IFERROR(VLOOKUP(D167,input_0!L:R,7,FALSE),VLOOKUP(tables_0!B167,input_0!A:H,8,FALSE))</f>
        <v>640224</v>
      </c>
      <c r="M167" s="67">
        <f t="shared" si="6"/>
        <v>1.2324324324324324E-2</v>
      </c>
      <c r="N167" s="31">
        <f>IFERROR(VLOOKUP($D167,bug_conf_sheet!$A:$H,3,FALSE),VLOOKUP("other",bug_conf_sheet!$A:$H,3,FALSE))</f>
        <v>1</v>
      </c>
      <c r="O167" s="31">
        <f>IFERROR(VLOOKUP($D167,bug_conf_sheet!$A:$H,4,FALSE),VLOOKUP("other",bug_conf_sheet!$A:$H,4,FALSE))</f>
        <v>0</v>
      </c>
      <c r="P167" s="31">
        <f>IFERROR(VLOOKUP($D167,bug_conf_sheet!$A:$H,5,FALSE),VLOOKUP("other",bug_conf_sheet!$A:$H,5,FALSE))</f>
        <v>0</v>
      </c>
      <c r="Q167" s="31">
        <f>IFERROR(VLOOKUP($D167,bug_conf_sheet!$A:$H,6,FALSE),VLOOKUP("other",bug_conf_sheet!$A:$H,6,FALSE))</f>
        <v>0</v>
      </c>
      <c r="R167" s="31">
        <f>IFERROR(VLOOKUP($D167,bug_conf_sheet!$A:$H,7,FALSE),VLOOKUP("other",bug_conf_sheet!$A:$H,7,FALSE))</f>
        <v>0</v>
      </c>
      <c r="S167" s="31">
        <f>IFERROR(VLOOKUP($D167,bug_conf_sheet!$A:$H,8,FALSE),VLOOKUP("other",bug_conf_sheet!$A:$H,8,FALSE))</f>
        <v>1</v>
      </c>
    </row>
    <row r="168" spans="1:19" ht="21" hidden="1" customHeight="1">
      <c r="A168" s="2">
        <f>input_0!A$2</f>
        <v>3120</v>
      </c>
      <c r="B168" s="7" t="str">
        <f t="shared" si="7"/>
        <v>Premium5</v>
      </c>
      <c r="C168" s="7" t="str">
        <f t="shared" si="8"/>
        <v>Premium</v>
      </c>
      <c r="D168" s="6">
        <v>402</v>
      </c>
      <c r="E168" s="7" t="str">
        <f>VLOOKUP(D168,[1]characters!$A:$C,3,FALSE)</f>
        <v>天災の神狼 フェンリル</v>
      </c>
      <c r="F168" s="7" t="str">
        <f>VLOOKUP(D168,[1]characters!$A:$J,10,FALSE)</f>
        <v>PremiumS</v>
      </c>
      <c r="G168" s="7">
        <f>VLOOKUP(D168,[1]characters!$A:$I,9,FALSE)</f>
        <v>5</v>
      </c>
      <c r="H168" s="7" t="str">
        <f>VLOOKUP(D168,[1]characters!$A:$H,8,FALSE)</f>
        <v>red</v>
      </c>
      <c r="I168" s="7" t="str">
        <f>VLOOKUP(D168,[1]characters!$A:$K,11,FALSE)</f>
        <v>attack</v>
      </c>
      <c r="J168" s="7" t="str">
        <f>VLOOKUP(D168,[1]characters!$A:$M,13,FALSE)</f>
        <v>animal</v>
      </c>
      <c r="K168" s="7" t="str">
        <f>VLOOKUP(D168,[1]characters!$A:$G,7,FALSE)</f>
        <v>女性</v>
      </c>
      <c r="L168" s="66">
        <f>IFERROR(VLOOKUP(D168,input_0!L:R,7,FALSE),VLOOKUP(tables_0!B168,input_0!A:H,8,FALSE))</f>
        <v>46176</v>
      </c>
      <c r="M168" s="67">
        <f t="shared" si="6"/>
        <v>8.8888888888888893E-4</v>
      </c>
      <c r="N168" s="31">
        <f>IFERROR(VLOOKUP($D168,bug_conf_sheet!$A:$H,3,FALSE),VLOOKUP("other",bug_conf_sheet!$A:$H,3,FALSE))</f>
        <v>1</v>
      </c>
      <c r="O168" s="31">
        <f>IFERROR(VLOOKUP($D168,bug_conf_sheet!$A:$H,4,FALSE),VLOOKUP("other",bug_conf_sheet!$A:$H,4,FALSE))</f>
        <v>0</v>
      </c>
      <c r="P168" s="31">
        <f>IFERROR(VLOOKUP($D168,bug_conf_sheet!$A:$H,5,FALSE),VLOOKUP("other",bug_conf_sheet!$A:$H,5,FALSE))</f>
        <v>0</v>
      </c>
      <c r="Q168" s="31">
        <f>IFERROR(VLOOKUP($D168,bug_conf_sheet!$A:$H,6,FALSE),VLOOKUP("other",bug_conf_sheet!$A:$H,6,FALSE))</f>
        <v>0</v>
      </c>
      <c r="R168" s="31">
        <f>IFERROR(VLOOKUP($D168,bug_conf_sheet!$A:$H,7,FALSE),VLOOKUP("other",bug_conf_sheet!$A:$H,7,FALSE))</f>
        <v>0</v>
      </c>
      <c r="S168" s="31">
        <f>IFERROR(VLOOKUP($D168,bug_conf_sheet!$A:$H,8,FALSE),VLOOKUP("other",bug_conf_sheet!$A:$H,8,FALSE))</f>
        <v>1</v>
      </c>
    </row>
    <row r="169" spans="1:19" ht="21" customHeight="1">
      <c r="A169" s="2">
        <f>input_0!A$2</f>
        <v>3120</v>
      </c>
      <c r="B169" s="7" t="str">
        <f t="shared" si="7"/>
        <v>PremiumSS4</v>
      </c>
      <c r="C169" s="7" t="str">
        <f t="shared" si="8"/>
        <v>PremiumSS</v>
      </c>
      <c r="D169" s="6">
        <v>403</v>
      </c>
      <c r="E169" s="7" t="str">
        <f>VLOOKUP(D169,[1]characters!$A:$C,3,FALSE)</f>
        <v>静撃の翠眼 八咫烏</v>
      </c>
      <c r="F169" s="7" t="str">
        <f>VLOOKUP(D169,[1]characters!$A:$J,10,FALSE)</f>
        <v>PremiumSS</v>
      </c>
      <c r="G169" s="7">
        <f>VLOOKUP(D169,[1]characters!$A:$I,9,FALSE)</f>
        <v>4</v>
      </c>
      <c r="H169" s="7" t="str">
        <f>VLOOKUP(D169,[1]characters!$A:$H,8,FALSE)</f>
        <v>green</v>
      </c>
      <c r="I169" s="7" t="str">
        <f>VLOOKUP(D169,[1]characters!$A:$K,11,FALSE)</f>
        <v>balance</v>
      </c>
      <c r="J169" s="7" t="str">
        <f>VLOOKUP(D169,[1]characters!$A:$M,13,FALSE)</f>
        <v>animal</v>
      </c>
      <c r="K169" s="7" t="str">
        <f>VLOOKUP(D169,[1]characters!$A:$G,7,FALSE)</f>
        <v>女性</v>
      </c>
      <c r="L169" s="66">
        <f>IFERROR(VLOOKUP(D169,input_0!L:R,7,FALSE),VLOOKUP(tables_0!B169,input_0!A:H,8,FALSE))</f>
        <v>75924</v>
      </c>
      <c r="M169" s="67">
        <f t="shared" si="6"/>
        <v>1.4615384615384616E-3</v>
      </c>
      <c r="N169" s="31">
        <f>IFERROR(VLOOKUP($D169,bug_conf_sheet!$A:$H,3,FALSE),VLOOKUP("other",bug_conf_sheet!$A:$H,3,FALSE))</f>
        <v>1</v>
      </c>
      <c r="O169" s="31">
        <f>IFERROR(VLOOKUP($D169,bug_conf_sheet!$A:$H,4,FALSE),VLOOKUP("other",bug_conf_sheet!$A:$H,4,FALSE))</f>
        <v>0</v>
      </c>
      <c r="P169" s="31">
        <f>IFERROR(VLOOKUP($D169,bug_conf_sheet!$A:$H,5,FALSE),VLOOKUP("other",bug_conf_sheet!$A:$H,5,FALSE))</f>
        <v>0</v>
      </c>
      <c r="Q169" s="31">
        <f>IFERROR(VLOOKUP($D169,bug_conf_sheet!$A:$H,6,FALSE),VLOOKUP("other",bug_conf_sheet!$A:$H,6,FALSE))</f>
        <v>0</v>
      </c>
      <c r="R169" s="31">
        <f>IFERROR(VLOOKUP($D169,bug_conf_sheet!$A:$H,7,FALSE),VLOOKUP("other",bug_conf_sheet!$A:$H,7,FALSE))</f>
        <v>0</v>
      </c>
      <c r="S169" s="31">
        <f>IFERROR(VLOOKUP($D169,bug_conf_sheet!$A:$H,8,FALSE),VLOOKUP("other",bug_conf_sheet!$A:$H,8,FALSE))</f>
        <v>1</v>
      </c>
    </row>
    <row r="170" spans="1:19" ht="21" customHeight="1">
      <c r="A170" s="2">
        <f>input_0!A$2</f>
        <v>3120</v>
      </c>
      <c r="B170" s="7" t="str">
        <f t="shared" si="7"/>
        <v>PremiumSS5</v>
      </c>
      <c r="C170" s="7" t="str">
        <f t="shared" si="8"/>
        <v>PremiumSS</v>
      </c>
      <c r="D170" s="6">
        <v>404</v>
      </c>
      <c r="E170" s="7" t="str">
        <f>VLOOKUP(D170,[1]characters!$A:$C,3,FALSE)</f>
        <v>空襲の神眼 八咫烏</v>
      </c>
      <c r="F170" s="7" t="str">
        <f>VLOOKUP(D170,[1]characters!$A:$J,10,FALSE)</f>
        <v>PremiumSS</v>
      </c>
      <c r="G170" s="7">
        <f>VLOOKUP(D170,[1]characters!$A:$I,9,FALSE)</f>
        <v>5</v>
      </c>
      <c r="H170" s="7" t="str">
        <f>VLOOKUP(D170,[1]characters!$A:$H,8,FALSE)</f>
        <v>green</v>
      </c>
      <c r="I170" s="7" t="str">
        <f>VLOOKUP(D170,[1]characters!$A:$K,11,FALSE)</f>
        <v>balance</v>
      </c>
      <c r="J170" s="7" t="str">
        <f>VLOOKUP(D170,[1]characters!$A:$M,13,FALSE)</f>
        <v>animal</v>
      </c>
      <c r="K170" s="7" t="str">
        <f>VLOOKUP(D170,[1]characters!$A:$G,7,FALSE)</f>
        <v>女性</v>
      </c>
      <c r="L170" s="66">
        <f>IFERROR(VLOOKUP(D170,input_0!L:R,7,FALSE),VLOOKUP(tables_0!B170,input_0!A:H,8,FALSE))</f>
        <v>3996</v>
      </c>
      <c r="M170" s="67">
        <f t="shared" si="6"/>
        <v>7.6923076923076926E-5</v>
      </c>
      <c r="N170" s="31">
        <f>IFERROR(VLOOKUP($D170,bug_conf_sheet!$A:$H,3,FALSE),VLOOKUP("other",bug_conf_sheet!$A:$H,3,FALSE))</f>
        <v>1</v>
      </c>
      <c r="O170" s="31">
        <f>IFERROR(VLOOKUP($D170,bug_conf_sheet!$A:$H,4,FALSE),VLOOKUP("other",bug_conf_sheet!$A:$H,4,FALSE))</f>
        <v>0</v>
      </c>
      <c r="P170" s="31">
        <f>IFERROR(VLOOKUP($D170,bug_conf_sheet!$A:$H,5,FALSE),VLOOKUP("other",bug_conf_sheet!$A:$H,5,FALSE))</f>
        <v>0</v>
      </c>
      <c r="Q170" s="31">
        <f>IFERROR(VLOOKUP($D170,bug_conf_sheet!$A:$H,6,FALSE),VLOOKUP("other",bug_conf_sheet!$A:$H,6,FALSE))</f>
        <v>0</v>
      </c>
      <c r="R170" s="31">
        <f>IFERROR(VLOOKUP($D170,bug_conf_sheet!$A:$H,7,FALSE),VLOOKUP("other",bug_conf_sheet!$A:$H,7,FALSE))</f>
        <v>0</v>
      </c>
      <c r="S170" s="31">
        <f>IFERROR(VLOOKUP($D170,bug_conf_sheet!$A:$H,8,FALSE),VLOOKUP("other",bug_conf_sheet!$A:$H,8,FALSE))</f>
        <v>1</v>
      </c>
    </row>
    <row r="171" spans="1:19" ht="21" hidden="1" customHeight="1">
      <c r="A171" s="2">
        <f>input_0!A$2</f>
        <v>3120</v>
      </c>
      <c r="B171" s="7" t="str">
        <f t="shared" si="7"/>
        <v>Premium3</v>
      </c>
      <c r="C171" s="7" t="str">
        <f t="shared" si="8"/>
        <v>Premium</v>
      </c>
      <c r="D171" s="6">
        <v>405</v>
      </c>
      <c r="E171" s="7" t="str">
        <f>VLOOKUP(D171,[1]characters!$A:$C,3,FALSE)</f>
        <v>エキドナ</v>
      </c>
      <c r="F171" s="7" t="str">
        <f>VLOOKUP(D171,[1]characters!$A:$J,10,FALSE)</f>
        <v>PremiumS</v>
      </c>
      <c r="G171" s="7">
        <f>VLOOKUP(D171,[1]characters!$A:$I,9,FALSE)</f>
        <v>3</v>
      </c>
      <c r="H171" s="7" t="str">
        <f>VLOOKUP(D171,[1]characters!$A:$H,8,FALSE)</f>
        <v>blue</v>
      </c>
      <c r="I171" s="7" t="str">
        <f>VLOOKUP(D171,[1]characters!$A:$K,11,FALSE)</f>
        <v>technical</v>
      </c>
      <c r="J171" s="7" t="str">
        <f>VLOOKUP(D171,[1]characters!$A:$M,13,FALSE)</f>
        <v>animal</v>
      </c>
      <c r="K171" s="7" t="str">
        <f>VLOOKUP(D171,[1]characters!$A:$G,7,FALSE)</f>
        <v>女性</v>
      </c>
      <c r="L171" s="66">
        <f>IFERROR(VLOOKUP(D171,input_0!L:R,7,FALSE),VLOOKUP(tables_0!B171,input_0!A:H,8,FALSE))</f>
        <v>0</v>
      </c>
      <c r="M171" s="67">
        <f t="shared" si="6"/>
        <v>0</v>
      </c>
      <c r="N171" s="31">
        <f>IFERROR(VLOOKUP($D171,bug_conf_sheet!$A:$H,3,FALSE),VLOOKUP("other",bug_conf_sheet!$A:$H,3,FALSE))</f>
        <v>1</v>
      </c>
      <c r="O171" s="31">
        <f>IFERROR(VLOOKUP($D171,bug_conf_sheet!$A:$H,4,FALSE),VLOOKUP("other",bug_conf_sheet!$A:$H,4,FALSE))</f>
        <v>0</v>
      </c>
      <c r="P171" s="31">
        <f>IFERROR(VLOOKUP($D171,bug_conf_sheet!$A:$H,5,FALSE),VLOOKUP("other",bug_conf_sheet!$A:$H,5,FALSE))</f>
        <v>0</v>
      </c>
      <c r="Q171" s="31">
        <f>IFERROR(VLOOKUP($D171,bug_conf_sheet!$A:$H,6,FALSE),VLOOKUP("other",bug_conf_sheet!$A:$H,6,FALSE))</f>
        <v>0</v>
      </c>
      <c r="R171" s="31">
        <f>IFERROR(VLOOKUP($D171,bug_conf_sheet!$A:$H,7,FALSE),VLOOKUP("other",bug_conf_sheet!$A:$H,7,FALSE))</f>
        <v>0</v>
      </c>
      <c r="S171" s="31">
        <f>IFERROR(VLOOKUP($D171,bug_conf_sheet!$A:$H,8,FALSE),VLOOKUP("other",bug_conf_sheet!$A:$H,8,FALSE))</f>
        <v>1</v>
      </c>
    </row>
    <row r="172" spans="1:19" ht="21" hidden="1" customHeight="1">
      <c r="A172" s="2">
        <f>input_0!A$2</f>
        <v>3120</v>
      </c>
      <c r="B172" s="7" t="str">
        <f t="shared" si="7"/>
        <v>Premium4</v>
      </c>
      <c r="C172" s="7" t="str">
        <f t="shared" si="8"/>
        <v>Premium</v>
      </c>
      <c r="D172" s="6">
        <v>406</v>
      </c>
      <c r="E172" s="7" t="str">
        <f>VLOOKUP(D172,[1]characters!$A:$C,3,FALSE)</f>
        <v>美笑の蒼蛇 エキドナ</v>
      </c>
      <c r="F172" s="7" t="str">
        <f>VLOOKUP(D172,[1]characters!$A:$J,10,FALSE)</f>
        <v>PremiumS</v>
      </c>
      <c r="G172" s="7">
        <f>VLOOKUP(D172,[1]characters!$A:$I,9,FALSE)</f>
        <v>4</v>
      </c>
      <c r="H172" s="7" t="str">
        <f>VLOOKUP(D172,[1]characters!$A:$H,8,FALSE)</f>
        <v>blue</v>
      </c>
      <c r="I172" s="7" t="str">
        <f>VLOOKUP(D172,[1]characters!$A:$K,11,FALSE)</f>
        <v>technical</v>
      </c>
      <c r="J172" s="7" t="str">
        <f>VLOOKUP(D172,[1]characters!$A:$M,13,FALSE)</f>
        <v>animal</v>
      </c>
      <c r="K172" s="7" t="str">
        <f>VLOOKUP(D172,[1]characters!$A:$G,7,FALSE)</f>
        <v>女性</v>
      </c>
      <c r="L172" s="66">
        <f>IFERROR(VLOOKUP(D172,input_0!L:R,7,FALSE),VLOOKUP(tables_0!B172,input_0!A:H,8,FALSE))</f>
        <v>640224</v>
      </c>
      <c r="M172" s="67">
        <f t="shared" si="6"/>
        <v>1.2324324324324324E-2</v>
      </c>
      <c r="N172" s="31">
        <f>IFERROR(VLOOKUP($D172,bug_conf_sheet!$A:$H,3,FALSE),VLOOKUP("other",bug_conf_sheet!$A:$H,3,FALSE))</f>
        <v>1</v>
      </c>
      <c r="O172" s="31">
        <f>IFERROR(VLOOKUP($D172,bug_conf_sheet!$A:$H,4,FALSE),VLOOKUP("other",bug_conf_sheet!$A:$H,4,FALSE))</f>
        <v>0</v>
      </c>
      <c r="P172" s="31">
        <f>IFERROR(VLOOKUP($D172,bug_conf_sheet!$A:$H,5,FALSE),VLOOKUP("other",bug_conf_sheet!$A:$H,5,FALSE))</f>
        <v>0</v>
      </c>
      <c r="Q172" s="31">
        <f>IFERROR(VLOOKUP($D172,bug_conf_sheet!$A:$H,6,FALSE),VLOOKUP("other",bug_conf_sheet!$A:$H,6,FALSE))</f>
        <v>0</v>
      </c>
      <c r="R172" s="31">
        <f>IFERROR(VLOOKUP($D172,bug_conf_sheet!$A:$H,7,FALSE),VLOOKUP("other",bug_conf_sheet!$A:$H,7,FALSE))</f>
        <v>0</v>
      </c>
      <c r="S172" s="31">
        <f>IFERROR(VLOOKUP($D172,bug_conf_sheet!$A:$H,8,FALSE),VLOOKUP("other",bug_conf_sheet!$A:$H,8,FALSE))</f>
        <v>1</v>
      </c>
    </row>
    <row r="173" spans="1:19" ht="21" hidden="1" customHeight="1">
      <c r="A173" s="2">
        <f>input_0!A$2</f>
        <v>3120</v>
      </c>
      <c r="B173" s="7" t="str">
        <f t="shared" si="7"/>
        <v>Premium5</v>
      </c>
      <c r="C173" s="7" t="str">
        <f t="shared" si="8"/>
        <v>Premium</v>
      </c>
      <c r="D173" s="6">
        <v>407</v>
      </c>
      <c r="E173" s="7" t="str">
        <f>VLOOKUP(D173,[1]characters!$A:$C,3,FALSE)</f>
        <v>蠱惑の飛刀 エキドナ</v>
      </c>
      <c r="F173" s="7" t="str">
        <f>VLOOKUP(D173,[1]characters!$A:$J,10,FALSE)</f>
        <v>PremiumS</v>
      </c>
      <c r="G173" s="7">
        <f>VLOOKUP(D173,[1]characters!$A:$I,9,FALSE)</f>
        <v>5</v>
      </c>
      <c r="H173" s="7" t="str">
        <f>VLOOKUP(D173,[1]characters!$A:$H,8,FALSE)</f>
        <v>blue</v>
      </c>
      <c r="I173" s="7" t="str">
        <f>VLOOKUP(D173,[1]characters!$A:$K,11,FALSE)</f>
        <v>technical</v>
      </c>
      <c r="J173" s="7" t="str">
        <f>VLOOKUP(D173,[1]characters!$A:$M,13,FALSE)</f>
        <v>animal</v>
      </c>
      <c r="K173" s="7" t="str">
        <f>VLOOKUP(D173,[1]characters!$A:$G,7,FALSE)</f>
        <v>女性</v>
      </c>
      <c r="L173" s="66">
        <f>IFERROR(VLOOKUP(D173,input_0!L:R,7,FALSE),VLOOKUP(tables_0!B173,input_0!A:H,8,FALSE))</f>
        <v>46176</v>
      </c>
      <c r="M173" s="67">
        <f t="shared" si="6"/>
        <v>8.8888888888888893E-4</v>
      </c>
      <c r="N173" s="31">
        <f>IFERROR(VLOOKUP($D173,bug_conf_sheet!$A:$H,3,FALSE),VLOOKUP("other",bug_conf_sheet!$A:$H,3,FALSE))</f>
        <v>1</v>
      </c>
      <c r="O173" s="31">
        <f>IFERROR(VLOOKUP($D173,bug_conf_sheet!$A:$H,4,FALSE),VLOOKUP("other",bug_conf_sheet!$A:$H,4,FALSE))</f>
        <v>0</v>
      </c>
      <c r="P173" s="31">
        <f>IFERROR(VLOOKUP($D173,bug_conf_sheet!$A:$H,5,FALSE),VLOOKUP("other",bug_conf_sheet!$A:$H,5,FALSE))</f>
        <v>0</v>
      </c>
      <c r="Q173" s="31">
        <f>IFERROR(VLOOKUP($D173,bug_conf_sheet!$A:$H,6,FALSE),VLOOKUP("other",bug_conf_sheet!$A:$H,6,FALSE))</f>
        <v>0</v>
      </c>
      <c r="R173" s="31">
        <f>IFERROR(VLOOKUP($D173,bug_conf_sheet!$A:$H,7,FALSE),VLOOKUP("other",bug_conf_sheet!$A:$H,7,FALSE))</f>
        <v>0</v>
      </c>
      <c r="S173" s="31">
        <f>IFERROR(VLOOKUP($D173,bug_conf_sheet!$A:$H,8,FALSE),VLOOKUP("other",bug_conf_sheet!$A:$H,8,FALSE))</f>
        <v>1</v>
      </c>
    </row>
    <row r="174" spans="1:19" ht="21" customHeight="1">
      <c r="A174" s="2">
        <f>input_0!A$2</f>
        <v>3120</v>
      </c>
      <c r="B174" s="7" t="str">
        <f t="shared" si="7"/>
        <v>PremiumSS4</v>
      </c>
      <c r="C174" s="7" t="str">
        <f t="shared" si="8"/>
        <v>PremiumSS</v>
      </c>
      <c r="D174" s="6">
        <v>408</v>
      </c>
      <c r="E174" s="7" t="str">
        <f>VLOOKUP(D174,[1]characters!$A:$C,3,FALSE)</f>
        <v>皇魔 アスタロト</v>
      </c>
      <c r="F174" s="7" t="str">
        <f>VLOOKUP(D174,[1]characters!$A:$J,10,FALSE)</f>
        <v>PremiumSS</v>
      </c>
      <c r="G174" s="7">
        <f>VLOOKUP(D174,[1]characters!$A:$I,9,FALSE)</f>
        <v>4</v>
      </c>
      <c r="H174" s="7" t="str">
        <f>VLOOKUP(D174,[1]characters!$A:$H,8,FALSE)</f>
        <v>yellow</v>
      </c>
      <c r="I174" s="7" t="str">
        <f>VLOOKUP(D174,[1]characters!$A:$K,11,FALSE)</f>
        <v>attack</v>
      </c>
      <c r="J174" s="7" t="str">
        <f>VLOOKUP(D174,[1]characters!$A:$M,13,FALSE)</f>
        <v>god</v>
      </c>
      <c r="K174" s="7" t="str">
        <f>VLOOKUP(D174,[1]characters!$A:$G,7,FALSE)</f>
        <v>男性</v>
      </c>
      <c r="L174" s="66">
        <f>IFERROR(VLOOKUP(D174,input_0!L:R,7,FALSE),VLOOKUP(tables_0!B174,input_0!A:H,8,FALSE))</f>
        <v>75924</v>
      </c>
      <c r="M174" s="67">
        <f t="shared" si="6"/>
        <v>1.4615384615384616E-3</v>
      </c>
      <c r="N174" s="31">
        <f>IFERROR(VLOOKUP($D174,bug_conf_sheet!$A:$H,3,FALSE),VLOOKUP("other",bug_conf_sheet!$A:$H,3,FALSE))</f>
        <v>1</v>
      </c>
      <c r="O174" s="31">
        <f>IFERROR(VLOOKUP($D174,bug_conf_sheet!$A:$H,4,FALSE),VLOOKUP("other",bug_conf_sheet!$A:$H,4,FALSE))</f>
        <v>0</v>
      </c>
      <c r="P174" s="31">
        <f>IFERROR(VLOOKUP($D174,bug_conf_sheet!$A:$H,5,FALSE),VLOOKUP("other",bug_conf_sheet!$A:$H,5,FALSE))</f>
        <v>0</v>
      </c>
      <c r="Q174" s="31">
        <f>IFERROR(VLOOKUP($D174,bug_conf_sheet!$A:$H,6,FALSE),VLOOKUP("other",bug_conf_sheet!$A:$H,6,FALSE))</f>
        <v>0</v>
      </c>
      <c r="R174" s="31">
        <f>IFERROR(VLOOKUP($D174,bug_conf_sheet!$A:$H,7,FALSE),VLOOKUP("other",bug_conf_sheet!$A:$H,7,FALSE))</f>
        <v>0</v>
      </c>
      <c r="S174" s="31">
        <f>IFERROR(VLOOKUP($D174,bug_conf_sheet!$A:$H,8,FALSE),VLOOKUP("other",bug_conf_sheet!$A:$H,8,FALSE))</f>
        <v>1</v>
      </c>
    </row>
    <row r="175" spans="1:19" ht="21" customHeight="1">
      <c r="A175" s="2">
        <f>input_0!A$2</f>
        <v>3120</v>
      </c>
      <c r="B175" s="7" t="str">
        <f t="shared" si="7"/>
        <v>PremiumSS5</v>
      </c>
      <c r="C175" s="7" t="str">
        <f t="shared" si="8"/>
        <v>PremiumSS</v>
      </c>
      <c r="D175" s="6">
        <v>409</v>
      </c>
      <c r="E175" s="7" t="str">
        <f>VLOOKUP(D175,[1]characters!$A:$C,3,FALSE)</f>
        <v>天眼の皇貴魔 アスタロト</v>
      </c>
      <c r="F175" s="7" t="str">
        <f>VLOOKUP(D175,[1]characters!$A:$J,10,FALSE)</f>
        <v>PremiumSS</v>
      </c>
      <c r="G175" s="7">
        <f>VLOOKUP(D175,[1]characters!$A:$I,9,FALSE)</f>
        <v>5</v>
      </c>
      <c r="H175" s="7" t="str">
        <f>VLOOKUP(D175,[1]characters!$A:$H,8,FALSE)</f>
        <v>yellow</v>
      </c>
      <c r="I175" s="7" t="str">
        <f>VLOOKUP(D175,[1]characters!$A:$K,11,FALSE)</f>
        <v>attack</v>
      </c>
      <c r="J175" s="7" t="str">
        <f>VLOOKUP(D175,[1]characters!$A:$M,13,FALSE)</f>
        <v>god</v>
      </c>
      <c r="K175" s="7" t="str">
        <f>VLOOKUP(D175,[1]characters!$A:$G,7,FALSE)</f>
        <v>男性</v>
      </c>
      <c r="L175" s="66">
        <f>IFERROR(VLOOKUP(D175,input_0!L:R,7,FALSE),VLOOKUP(tables_0!B175,input_0!A:H,8,FALSE))</f>
        <v>3996</v>
      </c>
      <c r="M175" s="67">
        <f t="shared" si="6"/>
        <v>7.6923076923076926E-5</v>
      </c>
      <c r="N175" s="31">
        <f>IFERROR(VLOOKUP($D175,bug_conf_sheet!$A:$H,3,FALSE),VLOOKUP("other",bug_conf_sheet!$A:$H,3,FALSE))</f>
        <v>1</v>
      </c>
      <c r="O175" s="31">
        <f>IFERROR(VLOOKUP($D175,bug_conf_sheet!$A:$H,4,FALSE),VLOOKUP("other",bug_conf_sheet!$A:$H,4,FALSE))</f>
        <v>0</v>
      </c>
      <c r="P175" s="31">
        <f>IFERROR(VLOOKUP($D175,bug_conf_sheet!$A:$H,5,FALSE),VLOOKUP("other",bug_conf_sheet!$A:$H,5,FALSE))</f>
        <v>0</v>
      </c>
      <c r="Q175" s="31">
        <f>IFERROR(VLOOKUP($D175,bug_conf_sheet!$A:$H,6,FALSE),VLOOKUP("other",bug_conf_sheet!$A:$H,6,FALSE))</f>
        <v>0</v>
      </c>
      <c r="R175" s="31">
        <f>IFERROR(VLOOKUP($D175,bug_conf_sheet!$A:$H,7,FALSE),VLOOKUP("other",bug_conf_sheet!$A:$H,7,FALSE))</f>
        <v>0</v>
      </c>
      <c r="S175" s="31">
        <f>IFERROR(VLOOKUP($D175,bug_conf_sheet!$A:$H,8,FALSE),VLOOKUP("other",bug_conf_sheet!$A:$H,8,FALSE))</f>
        <v>1</v>
      </c>
    </row>
    <row r="176" spans="1:19" ht="21" customHeight="1">
      <c r="A176" s="2">
        <f>input_0!A$2</f>
        <v>3120</v>
      </c>
      <c r="B176" s="7" t="str">
        <f t="shared" si="7"/>
        <v>PremiumSS4</v>
      </c>
      <c r="C176" s="7" t="str">
        <f t="shared" si="8"/>
        <v>PremiumSS</v>
      </c>
      <c r="D176" s="6">
        <v>434</v>
      </c>
      <c r="E176" s="7" t="str">
        <f>VLOOKUP(D176,[1]characters!$A:$C,3,FALSE)</f>
        <v>D.R.T.H.</v>
      </c>
      <c r="F176" s="7" t="str">
        <f>VLOOKUP(D176,[1]characters!$A:$J,10,FALSE)</f>
        <v>PremiumSS</v>
      </c>
      <c r="G176" s="7">
        <f>VLOOKUP(D176,[1]characters!$A:$I,9,FALSE)</f>
        <v>4</v>
      </c>
      <c r="H176" s="7" t="str">
        <f>VLOOKUP(D176,[1]characters!$A:$H,8,FALSE)</f>
        <v>red</v>
      </c>
      <c r="I176" s="7" t="str">
        <f>VLOOKUP(D176,[1]characters!$A:$K,11,FALSE)</f>
        <v>balance</v>
      </c>
      <c r="J176" s="7" t="str">
        <f>VLOOKUP(D176,[1]characters!$A:$M,13,FALSE)</f>
        <v>human</v>
      </c>
      <c r="K176" s="7" t="str">
        <f>VLOOKUP(D176,[1]characters!$A:$G,7,FALSE)</f>
        <v>女性</v>
      </c>
      <c r="L176" s="66">
        <f>IFERROR(VLOOKUP(D176,input_0!L:R,7,FALSE),VLOOKUP(tables_0!B176,input_0!A:H,8,FALSE))</f>
        <v>75924</v>
      </c>
      <c r="M176" s="67">
        <f t="shared" si="6"/>
        <v>1.4615384615384616E-3</v>
      </c>
      <c r="N176" s="31">
        <f>IFERROR(VLOOKUP($D176,bug_conf_sheet!$A:$H,3,FALSE),VLOOKUP("other",bug_conf_sheet!$A:$H,3,FALSE))</f>
        <v>1</v>
      </c>
      <c r="O176" s="31">
        <f>IFERROR(VLOOKUP($D176,bug_conf_sheet!$A:$H,4,FALSE),VLOOKUP("other",bug_conf_sheet!$A:$H,4,FALSE))</f>
        <v>0</v>
      </c>
      <c r="P176" s="31">
        <f>IFERROR(VLOOKUP($D176,bug_conf_sheet!$A:$H,5,FALSE),VLOOKUP("other",bug_conf_sheet!$A:$H,5,FALSE))</f>
        <v>0</v>
      </c>
      <c r="Q176" s="31">
        <f>IFERROR(VLOOKUP($D176,bug_conf_sheet!$A:$H,6,FALSE),VLOOKUP("other",bug_conf_sheet!$A:$H,6,FALSE))</f>
        <v>0</v>
      </c>
      <c r="R176" s="31">
        <f>IFERROR(VLOOKUP($D176,bug_conf_sheet!$A:$H,7,FALSE),VLOOKUP("other",bug_conf_sheet!$A:$H,7,FALSE))</f>
        <v>0</v>
      </c>
      <c r="S176" s="31">
        <f>IFERROR(VLOOKUP($D176,bug_conf_sheet!$A:$H,8,FALSE),VLOOKUP("other",bug_conf_sheet!$A:$H,8,FALSE))</f>
        <v>1</v>
      </c>
    </row>
    <row r="177" spans="1:19" ht="21" customHeight="1">
      <c r="A177" s="2">
        <f>input_0!A$2</f>
        <v>3120</v>
      </c>
      <c r="B177" s="7" t="str">
        <f t="shared" si="7"/>
        <v>PremiumSS5</v>
      </c>
      <c r="C177" s="7" t="str">
        <f t="shared" si="8"/>
        <v>PremiumSS</v>
      </c>
      <c r="D177" s="6">
        <v>435</v>
      </c>
      <c r="E177" s="7" t="str">
        <f>VLOOKUP(D177,[1]characters!$A:$C,3,FALSE)</f>
        <v>曝弾の密偵 D.R.T.H.</v>
      </c>
      <c r="F177" s="7" t="str">
        <f>VLOOKUP(D177,[1]characters!$A:$J,10,FALSE)</f>
        <v>PremiumSS</v>
      </c>
      <c r="G177" s="7">
        <f>VLOOKUP(D177,[1]characters!$A:$I,9,FALSE)</f>
        <v>5</v>
      </c>
      <c r="H177" s="7" t="str">
        <f>VLOOKUP(D177,[1]characters!$A:$H,8,FALSE)</f>
        <v>red</v>
      </c>
      <c r="I177" s="7" t="str">
        <f>VLOOKUP(D177,[1]characters!$A:$K,11,FALSE)</f>
        <v>balance</v>
      </c>
      <c r="J177" s="7" t="str">
        <f>VLOOKUP(D177,[1]characters!$A:$M,13,FALSE)</f>
        <v>human</v>
      </c>
      <c r="K177" s="7" t="str">
        <f>VLOOKUP(D177,[1]characters!$A:$G,7,FALSE)</f>
        <v>女性</v>
      </c>
      <c r="L177" s="66">
        <f>IFERROR(VLOOKUP(D177,input_0!L:R,7,FALSE),VLOOKUP(tables_0!B177,input_0!A:H,8,FALSE))</f>
        <v>3996</v>
      </c>
      <c r="M177" s="67">
        <f t="shared" si="6"/>
        <v>7.6923076923076926E-5</v>
      </c>
      <c r="N177" s="31">
        <f>IFERROR(VLOOKUP($D177,bug_conf_sheet!$A:$H,3,FALSE),VLOOKUP("other",bug_conf_sheet!$A:$H,3,FALSE))</f>
        <v>1</v>
      </c>
      <c r="O177" s="31">
        <f>IFERROR(VLOOKUP($D177,bug_conf_sheet!$A:$H,4,FALSE),VLOOKUP("other",bug_conf_sheet!$A:$H,4,FALSE))</f>
        <v>0</v>
      </c>
      <c r="P177" s="31">
        <f>IFERROR(VLOOKUP($D177,bug_conf_sheet!$A:$H,5,FALSE),VLOOKUP("other",bug_conf_sheet!$A:$H,5,FALSE))</f>
        <v>0</v>
      </c>
      <c r="Q177" s="31">
        <f>IFERROR(VLOOKUP($D177,bug_conf_sheet!$A:$H,6,FALSE),VLOOKUP("other",bug_conf_sheet!$A:$H,6,FALSE))</f>
        <v>0</v>
      </c>
      <c r="R177" s="31">
        <f>IFERROR(VLOOKUP($D177,bug_conf_sheet!$A:$H,7,FALSE),VLOOKUP("other",bug_conf_sheet!$A:$H,7,FALSE))</f>
        <v>0</v>
      </c>
      <c r="S177" s="31">
        <f>IFERROR(VLOOKUP($D177,bug_conf_sheet!$A:$H,8,FALSE),VLOOKUP("other",bug_conf_sheet!$A:$H,8,FALSE))</f>
        <v>1</v>
      </c>
    </row>
    <row r="178" spans="1:19" ht="21" hidden="1" customHeight="1">
      <c r="A178" s="2">
        <f>input_0!A$2</f>
        <v>3120</v>
      </c>
      <c r="B178" s="7" t="str">
        <f t="shared" si="7"/>
        <v>Premium3</v>
      </c>
      <c r="C178" s="7" t="str">
        <f t="shared" si="8"/>
        <v>Premium</v>
      </c>
      <c r="D178" s="6">
        <v>436</v>
      </c>
      <c r="E178" s="7" t="str">
        <f>VLOOKUP(D178,[1]characters!$A:$C,3,FALSE)</f>
        <v>カカシ</v>
      </c>
      <c r="F178" s="7" t="str">
        <f>VLOOKUP(D178,[1]characters!$A:$J,10,FALSE)</f>
        <v>PremiumS</v>
      </c>
      <c r="G178" s="7">
        <f>VLOOKUP(D178,[1]characters!$A:$I,9,FALSE)</f>
        <v>3</v>
      </c>
      <c r="H178" s="7" t="str">
        <f>VLOOKUP(D178,[1]characters!$A:$H,8,FALSE)</f>
        <v>green</v>
      </c>
      <c r="I178" s="7" t="str">
        <f>VLOOKUP(D178,[1]characters!$A:$K,11,FALSE)</f>
        <v>technical</v>
      </c>
      <c r="J178" s="7" t="str">
        <f>VLOOKUP(D178,[1]characters!$A:$M,13,FALSE)</f>
        <v>human</v>
      </c>
      <c r="K178" s="7" t="str">
        <f>VLOOKUP(D178,[1]characters!$A:$G,7,FALSE)</f>
        <v>男性</v>
      </c>
      <c r="L178" s="66">
        <f>IFERROR(VLOOKUP(D178,input_0!L:R,7,FALSE),VLOOKUP(tables_0!B178,input_0!A:H,8,FALSE))</f>
        <v>0</v>
      </c>
      <c r="M178" s="67">
        <f t="shared" si="6"/>
        <v>0</v>
      </c>
      <c r="N178" s="31">
        <f>IFERROR(VLOOKUP($D178,bug_conf_sheet!$A:$H,3,FALSE),VLOOKUP("other",bug_conf_sheet!$A:$H,3,FALSE))</f>
        <v>1</v>
      </c>
      <c r="O178" s="31">
        <f>IFERROR(VLOOKUP($D178,bug_conf_sheet!$A:$H,4,FALSE),VLOOKUP("other",bug_conf_sheet!$A:$H,4,FALSE))</f>
        <v>0</v>
      </c>
      <c r="P178" s="31">
        <f>IFERROR(VLOOKUP($D178,bug_conf_sheet!$A:$H,5,FALSE),VLOOKUP("other",bug_conf_sheet!$A:$H,5,FALSE))</f>
        <v>0</v>
      </c>
      <c r="Q178" s="31">
        <f>IFERROR(VLOOKUP($D178,bug_conf_sheet!$A:$H,6,FALSE),VLOOKUP("other",bug_conf_sheet!$A:$H,6,FALSE))</f>
        <v>0</v>
      </c>
      <c r="R178" s="31">
        <f>IFERROR(VLOOKUP($D178,bug_conf_sheet!$A:$H,7,FALSE),VLOOKUP("other",bug_conf_sheet!$A:$H,7,FALSE))</f>
        <v>0</v>
      </c>
      <c r="S178" s="31">
        <f>IFERROR(VLOOKUP($D178,bug_conf_sheet!$A:$H,8,FALSE),VLOOKUP("other",bug_conf_sheet!$A:$H,8,FALSE))</f>
        <v>1</v>
      </c>
    </row>
    <row r="179" spans="1:19" ht="21" hidden="1" customHeight="1">
      <c r="A179" s="2">
        <f>input_0!A$2</f>
        <v>3120</v>
      </c>
      <c r="B179" s="7" t="str">
        <f t="shared" si="7"/>
        <v>Premium4</v>
      </c>
      <c r="C179" s="7" t="str">
        <f t="shared" si="8"/>
        <v>Premium</v>
      </c>
      <c r="D179" s="6">
        <v>437</v>
      </c>
      <c r="E179" s="7" t="str">
        <f>VLOOKUP(D179,[1]characters!$A:$C,3,FALSE)</f>
        <v>忘却者 カカシ</v>
      </c>
      <c r="F179" s="7" t="str">
        <f>VLOOKUP(D179,[1]characters!$A:$J,10,FALSE)</f>
        <v>PremiumS</v>
      </c>
      <c r="G179" s="7">
        <f>VLOOKUP(D179,[1]characters!$A:$I,9,FALSE)</f>
        <v>4</v>
      </c>
      <c r="H179" s="7" t="str">
        <f>VLOOKUP(D179,[1]characters!$A:$H,8,FALSE)</f>
        <v>green</v>
      </c>
      <c r="I179" s="7" t="str">
        <f>VLOOKUP(D179,[1]characters!$A:$K,11,FALSE)</f>
        <v>technical</v>
      </c>
      <c r="J179" s="7" t="str">
        <f>VLOOKUP(D179,[1]characters!$A:$M,13,FALSE)</f>
        <v>human</v>
      </c>
      <c r="K179" s="7" t="str">
        <f>VLOOKUP(D179,[1]characters!$A:$G,7,FALSE)</f>
        <v>男性</v>
      </c>
      <c r="L179" s="66">
        <f>IFERROR(VLOOKUP(D179,input_0!L:R,7,FALSE),VLOOKUP(tables_0!B179,input_0!A:H,8,FALSE))</f>
        <v>640224</v>
      </c>
      <c r="M179" s="67">
        <f t="shared" si="6"/>
        <v>1.2324324324324324E-2</v>
      </c>
      <c r="N179" s="31">
        <f>IFERROR(VLOOKUP($D179,bug_conf_sheet!$A:$H,3,FALSE),VLOOKUP("other",bug_conf_sheet!$A:$H,3,FALSE))</f>
        <v>1</v>
      </c>
      <c r="O179" s="31">
        <f>IFERROR(VLOOKUP($D179,bug_conf_sheet!$A:$H,4,FALSE),VLOOKUP("other",bug_conf_sheet!$A:$H,4,FALSE))</f>
        <v>0</v>
      </c>
      <c r="P179" s="31">
        <f>IFERROR(VLOOKUP($D179,bug_conf_sheet!$A:$H,5,FALSE),VLOOKUP("other",bug_conf_sheet!$A:$H,5,FALSE))</f>
        <v>0</v>
      </c>
      <c r="Q179" s="31">
        <f>IFERROR(VLOOKUP($D179,bug_conf_sheet!$A:$H,6,FALSE),VLOOKUP("other",bug_conf_sheet!$A:$H,6,FALSE))</f>
        <v>0</v>
      </c>
      <c r="R179" s="31">
        <f>IFERROR(VLOOKUP($D179,bug_conf_sheet!$A:$H,7,FALSE),VLOOKUP("other",bug_conf_sheet!$A:$H,7,FALSE))</f>
        <v>0</v>
      </c>
      <c r="S179" s="31">
        <f>IFERROR(VLOOKUP($D179,bug_conf_sheet!$A:$H,8,FALSE),VLOOKUP("other",bug_conf_sheet!$A:$H,8,FALSE))</f>
        <v>1</v>
      </c>
    </row>
    <row r="180" spans="1:19" ht="21" hidden="1" customHeight="1">
      <c r="A180" s="2">
        <f>input_0!A$2</f>
        <v>3120</v>
      </c>
      <c r="B180" s="7" t="str">
        <f t="shared" si="7"/>
        <v>Premium5</v>
      </c>
      <c r="C180" s="7" t="str">
        <f t="shared" si="8"/>
        <v>Premium</v>
      </c>
      <c r="D180" s="6">
        <v>438</v>
      </c>
      <c r="E180" s="7" t="str">
        <f>VLOOKUP(D180,[1]characters!$A:$C,3,FALSE)</f>
        <v>記憶の奪還 カカシ</v>
      </c>
      <c r="F180" s="7" t="str">
        <f>VLOOKUP(D180,[1]characters!$A:$J,10,FALSE)</f>
        <v>PremiumS</v>
      </c>
      <c r="G180" s="7">
        <f>VLOOKUP(D180,[1]characters!$A:$I,9,FALSE)</f>
        <v>5</v>
      </c>
      <c r="H180" s="7" t="str">
        <f>VLOOKUP(D180,[1]characters!$A:$H,8,FALSE)</f>
        <v>green</v>
      </c>
      <c r="I180" s="7" t="str">
        <f>VLOOKUP(D180,[1]characters!$A:$K,11,FALSE)</f>
        <v>technical</v>
      </c>
      <c r="J180" s="7" t="str">
        <f>VLOOKUP(D180,[1]characters!$A:$M,13,FALSE)</f>
        <v>human</v>
      </c>
      <c r="K180" s="7" t="str">
        <f>VLOOKUP(D180,[1]characters!$A:$G,7,FALSE)</f>
        <v>男性</v>
      </c>
      <c r="L180" s="66">
        <f>IFERROR(VLOOKUP(D180,input_0!L:R,7,FALSE),VLOOKUP(tables_0!B180,input_0!A:H,8,FALSE))</f>
        <v>46176</v>
      </c>
      <c r="M180" s="67">
        <f t="shared" si="6"/>
        <v>8.8888888888888893E-4</v>
      </c>
      <c r="N180" s="31">
        <f>IFERROR(VLOOKUP($D180,bug_conf_sheet!$A:$H,3,FALSE),VLOOKUP("other",bug_conf_sheet!$A:$H,3,FALSE))</f>
        <v>1</v>
      </c>
      <c r="O180" s="31">
        <f>IFERROR(VLOOKUP($D180,bug_conf_sheet!$A:$H,4,FALSE),VLOOKUP("other",bug_conf_sheet!$A:$H,4,FALSE))</f>
        <v>0</v>
      </c>
      <c r="P180" s="31">
        <f>IFERROR(VLOOKUP($D180,bug_conf_sheet!$A:$H,5,FALSE),VLOOKUP("other",bug_conf_sheet!$A:$H,5,FALSE))</f>
        <v>0</v>
      </c>
      <c r="Q180" s="31">
        <f>IFERROR(VLOOKUP($D180,bug_conf_sheet!$A:$H,6,FALSE),VLOOKUP("other",bug_conf_sheet!$A:$H,6,FALSE))</f>
        <v>0</v>
      </c>
      <c r="R180" s="31">
        <f>IFERROR(VLOOKUP($D180,bug_conf_sheet!$A:$H,7,FALSE),VLOOKUP("other",bug_conf_sheet!$A:$H,7,FALSE))</f>
        <v>0</v>
      </c>
      <c r="S180" s="31">
        <f>IFERROR(VLOOKUP($D180,bug_conf_sheet!$A:$H,8,FALSE),VLOOKUP("other",bug_conf_sheet!$A:$H,8,FALSE))</f>
        <v>1</v>
      </c>
    </row>
    <row r="181" spans="1:19" ht="21" hidden="1" customHeight="1">
      <c r="A181" s="2">
        <f>input_0!A$2</f>
        <v>3120</v>
      </c>
      <c r="B181" s="7" t="str">
        <f t="shared" si="7"/>
        <v>Premium3</v>
      </c>
      <c r="C181" s="7" t="str">
        <f t="shared" si="8"/>
        <v>Premium</v>
      </c>
      <c r="D181" s="6">
        <v>439</v>
      </c>
      <c r="E181" s="7" t="str">
        <f>VLOOKUP(D181,[1]characters!$A:$C,3,FALSE)</f>
        <v>ブリキロガー</v>
      </c>
      <c r="F181" s="7" t="str">
        <f>VLOOKUP(D181,[1]characters!$A:$J,10,FALSE)</f>
        <v>PremiumS</v>
      </c>
      <c r="G181" s="7">
        <f>VLOOKUP(D181,[1]characters!$A:$I,9,FALSE)</f>
        <v>3</v>
      </c>
      <c r="H181" s="7" t="str">
        <f>VLOOKUP(D181,[1]characters!$A:$H,8,FALSE)</f>
        <v>blue</v>
      </c>
      <c r="I181" s="7" t="str">
        <f>VLOOKUP(D181,[1]characters!$A:$K,11,FALSE)</f>
        <v>attack</v>
      </c>
      <c r="J181" s="7" t="str">
        <f>VLOOKUP(D181,[1]characters!$A:$M,13,FALSE)</f>
        <v>machine</v>
      </c>
      <c r="K181" s="7" t="str">
        <f>VLOOKUP(D181,[1]characters!$A:$G,7,FALSE)</f>
        <v>不明</v>
      </c>
      <c r="L181" s="66">
        <f>IFERROR(VLOOKUP(D181,input_0!L:R,7,FALSE),VLOOKUP(tables_0!B181,input_0!A:H,8,FALSE))</f>
        <v>0</v>
      </c>
      <c r="M181" s="67">
        <f t="shared" si="6"/>
        <v>0</v>
      </c>
      <c r="N181" s="31">
        <f>IFERROR(VLOOKUP($D181,bug_conf_sheet!$A:$H,3,FALSE),VLOOKUP("other",bug_conf_sheet!$A:$H,3,FALSE))</f>
        <v>1</v>
      </c>
      <c r="O181" s="31">
        <f>IFERROR(VLOOKUP($D181,bug_conf_sheet!$A:$H,4,FALSE),VLOOKUP("other",bug_conf_sheet!$A:$H,4,FALSE))</f>
        <v>0</v>
      </c>
      <c r="P181" s="31">
        <f>IFERROR(VLOOKUP($D181,bug_conf_sheet!$A:$H,5,FALSE),VLOOKUP("other",bug_conf_sheet!$A:$H,5,FALSE))</f>
        <v>0</v>
      </c>
      <c r="Q181" s="31">
        <f>IFERROR(VLOOKUP($D181,bug_conf_sheet!$A:$H,6,FALSE),VLOOKUP("other",bug_conf_sheet!$A:$H,6,FALSE))</f>
        <v>0</v>
      </c>
      <c r="R181" s="31">
        <f>IFERROR(VLOOKUP($D181,bug_conf_sheet!$A:$H,7,FALSE),VLOOKUP("other",bug_conf_sheet!$A:$H,7,FALSE))</f>
        <v>0</v>
      </c>
      <c r="S181" s="31">
        <f>IFERROR(VLOOKUP($D181,bug_conf_sheet!$A:$H,8,FALSE),VLOOKUP("other",bug_conf_sheet!$A:$H,8,FALSE))</f>
        <v>1</v>
      </c>
    </row>
    <row r="182" spans="1:19" ht="21" hidden="1" customHeight="1">
      <c r="A182" s="2">
        <f>input_0!A$2</f>
        <v>3120</v>
      </c>
      <c r="B182" s="7" t="str">
        <f t="shared" si="7"/>
        <v>Premium4</v>
      </c>
      <c r="C182" s="7" t="str">
        <f t="shared" si="8"/>
        <v>Premium</v>
      </c>
      <c r="D182" s="6">
        <v>440</v>
      </c>
      <c r="E182" s="7" t="str">
        <f>VLOOKUP(D182,[1]characters!$A:$C,3,FALSE)</f>
        <v>改良型 ブリキロガー</v>
      </c>
      <c r="F182" s="7" t="str">
        <f>VLOOKUP(D182,[1]characters!$A:$J,10,FALSE)</f>
        <v>PremiumS</v>
      </c>
      <c r="G182" s="7">
        <f>VLOOKUP(D182,[1]characters!$A:$I,9,FALSE)</f>
        <v>4</v>
      </c>
      <c r="H182" s="7" t="str">
        <f>VLOOKUP(D182,[1]characters!$A:$H,8,FALSE)</f>
        <v>blue</v>
      </c>
      <c r="I182" s="7" t="str">
        <f>VLOOKUP(D182,[1]characters!$A:$K,11,FALSE)</f>
        <v>attack</v>
      </c>
      <c r="J182" s="7" t="str">
        <f>VLOOKUP(D182,[1]characters!$A:$M,13,FALSE)</f>
        <v>machine</v>
      </c>
      <c r="K182" s="7" t="str">
        <f>VLOOKUP(D182,[1]characters!$A:$G,7,FALSE)</f>
        <v>不明</v>
      </c>
      <c r="L182" s="66">
        <f>IFERROR(VLOOKUP(D182,input_0!L:R,7,FALSE),VLOOKUP(tables_0!B182,input_0!A:H,8,FALSE))</f>
        <v>640224</v>
      </c>
      <c r="M182" s="67">
        <f t="shared" si="6"/>
        <v>1.2324324324324324E-2</v>
      </c>
      <c r="N182" s="31">
        <f>IFERROR(VLOOKUP($D182,bug_conf_sheet!$A:$H,3,FALSE),VLOOKUP("other",bug_conf_sheet!$A:$H,3,FALSE))</f>
        <v>1</v>
      </c>
      <c r="O182" s="31">
        <f>IFERROR(VLOOKUP($D182,bug_conf_sheet!$A:$H,4,FALSE),VLOOKUP("other",bug_conf_sheet!$A:$H,4,FALSE))</f>
        <v>0</v>
      </c>
      <c r="P182" s="31">
        <f>IFERROR(VLOOKUP($D182,bug_conf_sheet!$A:$H,5,FALSE),VLOOKUP("other",bug_conf_sheet!$A:$H,5,FALSE))</f>
        <v>0</v>
      </c>
      <c r="Q182" s="31">
        <f>IFERROR(VLOOKUP($D182,bug_conf_sheet!$A:$H,6,FALSE),VLOOKUP("other",bug_conf_sheet!$A:$H,6,FALSE))</f>
        <v>0</v>
      </c>
      <c r="R182" s="31">
        <f>IFERROR(VLOOKUP($D182,bug_conf_sheet!$A:$H,7,FALSE),VLOOKUP("other",bug_conf_sheet!$A:$H,7,FALSE))</f>
        <v>0</v>
      </c>
      <c r="S182" s="31">
        <f>IFERROR(VLOOKUP($D182,bug_conf_sheet!$A:$H,8,FALSE),VLOOKUP("other",bug_conf_sheet!$A:$H,8,FALSE))</f>
        <v>1</v>
      </c>
    </row>
    <row r="183" spans="1:19" ht="21" hidden="1" customHeight="1">
      <c r="A183" s="2">
        <f>input_0!A$2</f>
        <v>3120</v>
      </c>
      <c r="B183" s="7" t="str">
        <f t="shared" si="7"/>
        <v>Premium5</v>
      </c>
      <c r="C183" s="7" t="str">
        <f t="shared" si="8"/>
        <v>Premium</v>
      </c>
      <c r="D183" s="6">
        <v>441</v>
      </c>
      <c r="E183" s="7" t="str">
        <f>VLOOKUP(D183,[1]characters!$A:$C,3,FALSE)</f>
        <v>求心の錻装 ブリキロガー</v>
      </c>
      <c r="F183" s="7" t="str">
        <f>VLOOKUP(D183,[1]characters!$A:$J,10,FALSE)</f>
        <v>PremiumS</v>
      </c>
      <c r="G183" s="7">
        <f>VLOOKUP(D183,[1]characters!$A:$I,9,FALSE)</f>
        <v>5</v>
      </c>
      <c r="H183" s="7" t="str">
        <f>VLOOKUP(D183,[1]characters!$A:$H,8,FALSE)</f>
        <v>blue</v>
      </c>
      <c r="I183" s="7" t="str">
        <f>VLOOKUP(D183,[1]characters!$A:$K,11,FALSE)</f>
        <v>attack</v>
      </c>
      <c r="J183" s="7" t="str">
        <f>VLOOKUP(D183,[1]characters!$A:$M,13,FALSE)</f>
        <v>machine</v>
      </c>
      <c r="K183" s="7" t="str">
        <f>VLOOKUP(D183,[1]characters!$A:$G,7,FALSE)</f>
        <v>不明</v>
      </c>
      <c r="L183" s="66">
        <f>IFERROR(VLOOKUP(D183,input_0!L:R,7,FALSE),VLOOKUP(tables_0!B183,input_0!A:H,8,FALSE))</f>
        <v>46176</v>
      </c>
      <c r="M183" s="67">
        <f t="shared" si="6"/>
        <v>8.8888888888888893E-4</v>
      </c>
      <c r="N183" s="31">
        <f>IFERROR(VLOOKUP($D183,bug_conf_sheet!$A:$H,3,FALSE),VLOOKUP("other",bug_conf_sheet!$A:$H,3,FALSE))</f>
        <v>1</v>
      </c>
      <c r="O183" s="31">
        <f>IFERROR(VLOOKUP($D183,bug_conf_sheet!$A:$H,4,FALSE),VLOOKUP("other",bug_conf_sheet!$A:$H,4,FALSE))</f>
        <v>0</v>
      </c>
      <c r="P183" s="31">
        <f>IFERROR(VLOOKUP($D183,bug_conf_sheet!$A:$H,5,FALSE),VLOOKUP("other",bug_conf_sheet!$A:$H,5,FALSE))</f>
        <v>0</v>
      </c>
      <c r="Q183" s="31">
        <f>IFERROR(VLOOKUP($D183,bug_conf_sheet!$A:$H,6,FALSE),VLOOKUP("other",bug_conf_sheet!$A:$H,6,FALSE))</f>
        <v>0</v>
      </c>
      <c r="R183" s="31">
        <f>IFERROR(VLOOKUP($D183,bug_conf_sheet!$A:$H,7,FALSE),VLOOKUP("other",bug_conf_sheet!$A:$H,7,FALSE))</f>
        <v>0</v>
      </c>
      <c r="S183" s="31">
        <f>IFERROR(VLOOKUP($D183,bug_conf_sheet!$A:$H,8,FALSE),VLOOKUP("other",bug_conf_sheet!$A:$H,8,FALSE))</f>
        <v>1</v>
      </c>
    </row>
    <row r="184" spans="1:19" ht="21" customHeight="1">
      <c r="A184" s="2">
        <f>input_0!A$2</f>
        <v>3120</v>
      </c>
      <c r="B184" s="7" t="str">
        <f t="shared" si="7"/>
        <v>PremiumSS4</v>
      </c>
      <c r="C184" s="7" t="str">
        <f t="shared" si="8"/>
        <v>PremiumSS</v>
      </c>
      <c r="D184" s="6">
        <v>442</v>
      </c>
      <c r="E184" s="7" t="str">
        <f>VLOOKUP(D184,[1]characters!$A:$C,3,FALSE)</f>
        <v>ブレイブリー・ライオン</v>
      </c>
      <c r="F184" s="7" t="str">
        <f>VLOOKUP(D184,[1]characters!$A:$J,10,FALSE)</f>
        <v>PremiumSS</v>
      </c>
      <c r="G184" s="7">
        <f>VLOOKUP(D184,[1]characters!$A:$I,9,FALSE)</f>
        <v>4</v>
      </c>
      <c r="H184" s="7" t="str">
        <f>VLOOKUP(D184,[1]characters!$A:$H,8,FALSE)</f>
        <v>yellow</v>
      </c>
      <c r="I184" s="7" t="str">
        <f>VLOOKUP(D184,[1]characters!$A:$K,11,FALSE)</f>
        <v>hp</v>
      </c>
      <c r="J184" s="7" t="str">
        <f>VLOOKUP(D184,[1]characters!$A:$M,13,FALSE)</f>
        <v>animal</v>
      </c>
      <c r="K184" s="7" t="str">
        <f>VLOOKUP(D184,[1]characters!$A:$G,7,FALSE)</f>
        <v>不明</v>
      </c>
      <c r="L184" s="66">
        <f>IFERROR(VLOOKUP(D184,input_0!L:R,7,FALSE),VLOOKUP(tables_0!B184,input_0!A:H,8,FALSE))</f>
        <v>75924</v>
      </c>
      <c r="M184" s="67">
        <f t="shared" si="6"/>
        <v>1.4615384615384616E-3</v>
      </c>
      <c r="N184" s="31">
        <f>IFERROR(VLOOKUP($D184,bug_conf_sheet!$A:$H,3,FALSE),VLOOKUP("other",bug_conf_sheet!$A:$H,3,FALSE))</f>
        <v>1</v>
      </c>
      <c r="O184" s="31">
        <f>IFERROR(VLOOKUP($D184,bug_conf_sheet!$A:$H,4,FALSE),VLOOKUP("other",bug_conf_sheet!$A:$H,4,FALSE))</f>
        <v>0</v>
      </c>
      <c r="P184" s="31">
        <f>IFERROR(VLOOKUP($D184,bug_conf_sheet!$A:$H,5,FALSE),VLOOKUP("other",bug_conf_sheet!$A:$H,5,FALSE))</f>
        <v>0</v>
      </c>
      <c r="Q184" s="31">
        <f>IFERROR(VLOOKUP($D184,bug_conf_sheet!$A:$H,6,FALSE),VLOOKUP("other",bug_conf_sheet!$A:$H,6,FALSE))</f>
        <v>0</v>
      </c>
      <c r="R184" s="31">
        <f>IFERROR(VLOOKUP($D184,bug_conf_sheet!$A:$H,7,FALSE),VLOOKUP("other",bug_conf_sheet!$A:$H,7,FALSE))</f>
        <v>0</v>
      </c>
      <c r="S184" s="31">
        <f>IFERROR(VLOOKUP($D184,bug_conf_sheet!$A:$H,8,FALSE),VLOOKUP("other",bug_conf_sheet!$A:$H,8,FALSE))</f>
        <v>1</v>
      </c>
    </row>
    <row r="185" spans="1:19" ht="21" customHeight="1">
      <c r="A185" s="2">
        <f>input_0!A$2</f>
        <v>3120</v>
      </c>
      <c r="B185" s="7" t="str">
        <f t="shared" si="7"/>
        <v>PremiumSS5</v>
      </c>
      <c r="C185" s="7" t="str">
        <f t="shared" si="8"/>
        <v>PremiumSS</v>
      </c>
      <c r="D185" s="6">
        <v>443</v>
      </c>
      <c r="E185" s="7" t="str">
        <f>VLOOKUP(D185,[1]characters!$A:$C,3,FALSE)</f>
        <v>勇機結集 ブレイブリー・ライオン</v>
      </c>
      <c r="F185" s="7" t="str">
        <f>VLOOKUP(D185,[1]characters!$A:$J,10,FALSE)</f>
        <v>PremiumSS</v>
      </c>
      <c r="G185" s="7">
        <f>VLOOKUP(D185,[1]characters!$A:$I,9,FALSE)</f>
        <v>5</v>
      </c>
      <c r="H185" s="7" t="str">
        <f>VLOOKUP(D185,[1]characters!$A:$H,8,FALSE)</f>
        <v>yellow</v>
      </c>
      <c r="I185" s="7" t="str">
        <f>VLOOKUP(D185,[1]characters!$A:$K,11,FALSE)</f>
        <v>hp</v>
      </c>
      <c r="J185" s="7" t="str">
        <f>VLOOKUP(D185,[1]characters!$A:$M,13,FALSE)</f>
        <v>animal</v>
      </c>
      <c r="K185" s="7" t="str">
        <f>VLOOKUP(D185,[1]characters!$A:$G,7,FALSE)</f>
        <v>不明</v>
      </c>
      <c r="L185" s="66">
        <f>IFERROR(VLOOKUP(D185,input_0!L:R,7,FALSE),VLOOKUP(tables_0!B185,input_0!A:H,8,FALSE))</f>
        <v>3996</v>
      </c>
      <c r="M185" s="67">
        <f t="shared" si="6"/>
        <v>7.6923076923076926E-5</v>
      </c>
      <c r="N185" s="31">
        <f>IFERROR(VLOOKUP($D185,bug_conf_sheet!$A:$H,3,FALSE),VLOOKUP("other",bug_conf_sheet!$A:$H,3,FALSE))</f>
        <v>1</v>
      </c>
      <c r="O185" s="31">
        <f>IFERROR(VLOOKUP($D185,bug_conf_sheet!$A:$H,4,FALSE),VLOOKUP("other",bug_conf_sheet!$A:$H,4,FALSE))</f>
        <v>0</v>
      </c>
      <c r="P185" s="31">
        <f>IFERROR(VLOOKUP($D185,bug_conf_sheet!$A:$H,5,FALSE),VLOOKUP("other",bug_conf_sheet!$A:$H,5,FALSE))</f>
        <v>0</v>
      </c>
      <c r="Q185" s="31">
        <f>IFERROR(VLOOKUP($D185,bug_conf_sheet!$A:$H,6,FALSE),VLOOKUP("other",bug_conf_sheet!$A:$H,6,FALSE))</f>
        <v>0</v>
      </c>
      <c r="R185" s="31">
        <f>IFERROR(VLOOKUP($D185,bug_conf_sheet!$A:$H,7,FALSE),VLOOKUP("other",bug_conf_sheet!$A:$H,7,FALSE))</f>
        <v>0</v>
      </c>
      <c r="S185" s="31">
        <f>IFERROR(VLOOKUP($D185,bug_conf_sheet!$A:$H,8,FALSE),VLOOKUP("other",bug_conf_sheet!$A:$H,8,FALSE))</f>
        <v>1</v>
      </c>
    </row>
    <row r="186" spans="1:19" ht="21" hidden="1" customHeight="1">
      <c r="A186" s="2">
        <f>input_0!A$2</f>
        <v>3120</v>
      </c>
      <c r="B186" s="7" t="str">
        <f t="shared" si="7"/>
        <v>Premium3</v>
      </c>
      <c r="C186" s="7" t="str">
        <f t="shared" si="8"/>
        <v>Premium</v>
      </c>
      <c r="D186" s="8">
        <v>462</v>
      </c>
      <c r="E186" s="7" t="str">
        <f>VLOOKUP(D186,[1]characters!$A:$C,3,FALSE)</f>
        <v>ガウェイン</v>
      </c>
      <c r="F186" s="7" t="str">
        <f>VLOOKUP(D186,[1]characters!$A:$J,10,FALSE)</f>
        <v>PremiumS</v>
      </c>
      <c r="G186" s="7">
        <f>VLOOKUP(D186,[1]characters!$A:$I,9,FALSE)</f>
        <v>3</v>
      </c>
      <c r="H186" s="7" t="str">
        <f>VLOOKUP(D186,[1]characters!$A:$H,8,FALSE)</f>
        <v>red</v>
      </c>
      <c r="I186" s="7" t="str">
        <f>VLOOKUP(D186,[1]characters!$A:$K,11,FALSE)</f>
        <v>hp</v>
      </c>
      <c r="J186" s="7" t="str">
        <f>VLOOKUP(D186,[1]characters!$A:$M,13,FALSE)</f>
        <v>human</v>
      </c>
      <c r="K186" s="7" t="str">
        <f>VLOOKUP(D186,[1]characters!$A:$G,7,FALSE)</f>
        <v>男性</v>
      </c>
      <c r="L186" s="66">
        <f>IFERROR(VLOOKUP(D186,input_0!L:R,7,FALSE),VLOOKUP(tables_0!B186,input_0!A:H,8,FALSE))</f>
        <v>0</v>
      </c>
      <c r="M186" s="67">
        <f t="shared" si="6"/>
        <v>0</v>
      </c>
      <c r="N186" s="31">
        <f>IFERROR(VLOOKUP($D186,bug_conf_sheet!$A:$H,3,FALSE),VLOOKUP("other",bug_conf_sheet!$A:$H,3,FALSE))</f>
        <v>1</v>
      </c>
      <c r="O186" s="31">
        <f>IFERROR(VLOOKUP($D186,bug_conf_sheet!$A:$H,4,FALSE),VLOOKUP("other",bug_conf_sheet!$A:$H,4,FALSE))</f>
        <v>0</v>
      </c>
      <c r="P186" s="31">
        <f>IFERROR(VLOOKUP($D186,bug_conf_sheet!$A:$H,5,FALSE),VLOOKUP("other",bug_conf_sheet!$A:$H,5,FALSE))</f>
        <v>0</v>
      </c>
      <c r="Q186" s="31">
        <f>IFERROR(VLOOKUP($D186,bug_conf_sheet!$A:$H,6,FALSE),VLOOKUP("other",bug_conf_sheet!$A:$H,6,FALSE))</f>
        <v>0</v>
      </c>
      <c r="R186" s="31">
        <f>IFERROR(VLOOKUP($D186,bug_conf_sheet!$A:$H,7,FALSE),VLOOKUP("other",bug_conf_sheet!$A:$H,7,FALSE))</f>
        <v>0</v>
      </c>
      <c r="S186" s="31">
        <f>IFERROR(VLOOKUP($D186,bug_conf_sheet!$A:$H,8,FALSE),VLOOKUP("other",bug_conf_sheet!$A:$H,8,FALSE))</f>
        <v>1</v>
      </c>
    </row>
    <row r="187" spans="1:19" ht="21" hidden="1" customHeight="1">
      <c r="A187" s="2">
        <f>input_0!A$2</f>
        <v>3120</v>
      </c>
      <c r="B187" s="7" t="str">
        <f t="shared" si="7"/>
        <v>Premium4</v>
      </c>
      <c r="C187" s="7" t="str">
        <f t="shared" si="8"/>
        <v>Premium</v>
      </c>
      <c r="D187" s="8">
        <v>463</v>
      </c>
      <c r="E187" s="7" t="str">
        <f>VLOOKUP(D187,[1]characters!$A:$C,3,FALSE)</f>
        <v>燻銀 ガウェイン</v>
      </c>
      <c r="F187" s="7" t="str">
        <f>VLOOKUP(D187,[1]characters!$A:$J,10,FALSE)</f>
        <v>PremiumS</v>
      </c>
      <c r="G187" s="7">
        <f>VLOOKUP(D187,[1]characters!$A:$I,9,FALSE)</f>
        <v>4</v>
      </c>
      <c r="H187" s="7" t="str">
        <f>VLOOKUP(D187,[1]characters!$A:$H,8,FALSE)</f>
        <v>red</v>
      </c>
      <c r="I187" s="7" t="str">
        <f>VLOOKUP(D187,[1]characters!$A:$K,11,FALSE)</f>
        <v>hp</v>
      </c>
      <c r="J187" s="7" t="str">
        <f>VLOOKUP(D187,[1]characters!$A:$M,13,FALSE)</f>
        <v>human</v>
      </c>
      <c r="K187" s="7" t="str">
        <f>VLOOKUP(D187,[1]characters!$A:$G,7,FALSE)</f>
        <v>男性</v>
      </c>
      <c r="L187" s="66">
        <f>IFERROR(VLOOKUP(D187,input_0!L:R,7,FALSE),VLOOKUP(tables_0!B187,input_0!A:H,8,FALSE))</f>
        <v>640224</v>
      </c>
      <c r="M187" s="67">
        <f t="shared" si="6"/>
        <v>1.2324324324324324E-2</v>
      </c>
      <c r="N187" s="31">
        <f>IFERROR(VLOOKUP($D187,bug_conf_sheet!$A:$H,3,FALSE),VLOOKUP("other",bug_conf_sheet!$A:$H,3,FALSE))</f>
        <v>1</v>
      </c>
      <c r="O187" s="31">
        <f>IFERROR(VLOOKUP($D187,bug_conf_sheet!$A:$H,4,FALSE),VLOOKUP("other",bug_conf_sheet!$A:$H,4,FALSE))</f>
        <v>0</v>
      </c>
      <c r="P187" s="31">
        <f>IFERROR(VLOOKUP($D187,bug_conf_sheet!$A:$H,5,FALSE),VLOOKUP("other",bug_conf_sheet!$A:$H,5,FALSE))</f>
        <v>0</v>
      </c>
      <c r="Q187" s="31">
        <f>IFERROR(VLOOKUP($D187,bug_conf_sheet!$A:$H,6,FALSE),VLOOKUP("other",bug_conf_sheet!$A:$H,6,FALSE))</f>
        <v>0</v>
      </c>
      <c r="R187" s="31">
        <f>IFERROR(VLOOKUP($D187,bug_conf_sheet!$A:$H,7,FALSE),VLOOKUP("other",bug_conf_sheet!$A:$H,7,FALSE))</f>
        <v>0</v>
      </c>
      <c r="S187" s="31">
        <f>IFERROR(VLOOKUP($D187,bug_conf_sheet!$A:$H,8,FALSE),VLOOKUP("other",bug_conf_sheet!$A:$H,8,FALSE))</f>
        <v>1</v>
      </c>
    </row>
    <row r="188" spans="1:19" ht="21" hidden="1" customHeight="1">
      <c r="A188" s="2">
        <f>input_0!A$2</f>
        <v>3120</v>
      </c>
      <c r="B188" s="7" t="str">
        <f t="shared" si="7"/>
        <v>Premium5</v>
      </c>
      <c r="C188" s="7" t="str">
        <f t="shared" si="8"/>
        <v>Premium</v>
      </c>
      <c r="D188" s="8">
        <v>464</v>
      </c>
      <c r="E188" s="7" t="str">
        <f>VLOOKUP(D188,[1]characters!$A:$C,3,FALSE)</f>
        <v>円熟の弾導 ガウェイン</v>
      </c>
      <c r="F188" s="7" t="str">
        <f>VLOOKUP(D188,[1]characters!$A:$J,10,FALSE)</f>
        <v>PremiumS</v>
      </c>
      <c r="G188" s="7">
        <f>VLOOKUP(D188,[1]characters!$A:$I,9,FALSE)</f>
        <v>5</v>
      </c>
      <c r="H188" s="7" t="str">
        <f>VLOOKUP(D188,[1]characters!$A:$H,8,FALSE)</f>
        <v>red</v>
      </c>
      <c r="I188" s="7" t="str">
        <f>VLOOKUP(D188,[1]characters!$A:$K,11,FALSE)</f>
        <v>hp</v>
      </c>
      <c r="J188" s="7" t="str">
        <f>VLOOKUP(D188,[1]characters!$A:$M,13,FALSE)</f>
        <v>human</v>
      </c>
      <c r="K188" s="7" t="str">
        <f>VLOOKUP(D188,[1]characters!$A:$G,7,FALSE)</f>
        <v>男性</v>
      </c>
      <c r="L188" s="66">
        <f>IFERROR(VLOOKUP(D188,input_0!L:R,7,FALSE),VLOOKUP(tables_0!B188,input_0!A:H,8,FALSE))</f>
        <v>46176</v>
      </c>
      <c r="M188" s="67">
        <f t="shared" si="6"/>
        <v>8.8888888888888893E-4</v>
      </c>
      <c r="N188" s="31">
        <f>IFERROR(VLOOKUP($D188,bug_conf_sheet!$A:$H,3,FALSE),VLOOKUP("other",bug_conf_sheet!$A:$H,3,FALSE))</f>
        <v>1</v>
      </c>
      <c r="O188" s="31">
        <f>IFERROR(VLOOKUP($D188,bug_conf_sheet!$A:$H,4,FALSE),VLOOKUP("other",bug_conf_sheet!$A:$H,4,FALSE))</f>
        <v>0</v>
      </c>
      <c r="P188" s="31">
        <f>IFERROR(VLOOKUP($D188,bug_conf_sheet!$A:$H,5,FALSE),VLOOKUP("other",bug_conf_sheet!$A:$H,5,FALSE))</f>
        <v>0</v>
      </c>
      <c r="Q188" s="31">
        <f>IFERROR(VLOOKUP($D188,bug_conf_sheet!$A:$H,6,FALSE),VLOOKUP("other",bug_conf_sheet!$A:$H,6,FALSE))</f>
        <v>0</v>
      </c>
      <c r="R188" s="31">
        <f>IFERROR(VLOOKUP($D188,bug_conf_sheet!$A:$H,7,FALSE),VLOOKUP("other",bug_conf_sheet!$A:$H,7,FALSE))</f>
        <v>0</v>
      </c>
      <c r="S188" s="31">
        <f>IFERROR(VLOOKUP($D188,bug_conf_sheet!$A:$H,8,FALSE),VLOOKUP("other",bug_conf_sheet!$A:$H,8,FALSE))</f>
        <v>1</v>
      </c>
    </row>
    <row r="189" spans="1:19" ht="21" customHeight="1">
      <c r="A189" s="2">
        <f>input_0!A$2</f>
        <v>3120</v>
      </c>
      <c r="B189" s="7" t="str">
        <f t="shared" si="7"/>
        <v>PremiumSS4</v>
      </c>
      <c r="C189" s="7" t="str">
        <f t="shared" si="8"/>
        <v>PremiumSS</v>
      </c>
      <c r="D189" s="8">
        <v>465</v>
      </c>
      <c r="E189" s="7" t="str">
        <f>VLOOKUP(D189,[1]characters!$A:$C,3,FALSE)</f>
        <v>真撃 ランスロット</v>
      </c>
      <c r="F189" s="7" t="str">
        <f>VLOOKUP(D189,[1]characters!$A:$J,10,FALSE)</f>
        <v>PremiumSS</v>
      </c>
      <c r="G189" s="7">
        <f>VLOOKUP(D189,[1]characters!$A:$I,9,FALSE)</f>
        <v>4</v>
      </c>
      <c r="H189" s="7" t="str">
        <f>VLOOKUP(D189,[1]characters!$A:$H,8,FALSE)</f>
        <v>green</v>
      </c>
      <c r="I189" s="7" t="str">
        <f>VLOOKUP(D189,[1]characters!$A:$K,11,FALSE)</f>
        <v>balance</v>
      </c>
      <c r="J189" s="7" t="str">
        <f>VLOOKUP(D189,[1]characters!$A:$M,13,FALSE)</f>
        <v>human</v>
      </c>
      <c r="K189" s="7" t="str">
        <f>VLOOKUP(D189,[1]characters!$A:$G,7,FALSE)</f>
        <v>男性</v>
      </c>
      <c r="L189" s="66">
        <f>IFERROR(VLOOKUP(D189,input_0!L:R,7,FALSE),VLOOKUP(tables_0!B189,input_0!A:H,8,FALSE))</f>
        <v>75924</v>
      </c>
      <c r="M189" s="67">
        <f t="shared" si="6"/>
        <v>1.4615384615384616E-3</v>
      </c>
      <c r="N189" s="31">
        <f>IFERROR(VLOOKUP($D189,bug_conf_sheet!$A:$H,3,FALSE),VLOOKUP("other",bug_conf_sheet!$A:$H,3,FALSE))</f>
        <v>1</v>
      </c>
      <c r="O189" s="31">
        <f>IFERROR(VLOOKUP($D189,bug_conf_sheet!$A:$H,4,FALSE),VLOOKUP("other",bug_conf_sheet!$A:$H,4,FALSE))</f>
        <v>0</v>
      </c>
      <c r="P189" s="31">
        <f>IFERROR(VLOOKUP($D189,bug_conf_sheet!$A:$H,5,FALSE),VLOOKUP("other",bug_conf_sheet!$A:$H,5,FALSE))</f>
        <v>0</v>
      </c>
      <c r="Q189" s="31">
        <f>IFERROR(VLOOKUP($D189,bug_conf_sheet!$A:$H,6,FALSE),VLOOKUP("other",bug_conf_sheet!$A:$H,6,FALSE))</f>
        <v>0</v>
      </c>
      <c r="R189" s="31">
        <f>IFERROR(VLOOKUP($D189,bug_conf_sheet!$A:$H,7,FALSE),VLOOKUP("other",bug_conf_sheet!$A:$H,7,FALSE))</f>
        <v>0</v>
      </c>
      <c r="S189" s="31">
        <f>IFERROR(VLOOKUP($D189,bug_conf_sheet!$A:$H,8,FALSE),VLOOKUP("other",bug_conf_sheet!$A:$H,8,FALSE))</f>
        <v>1</v>
      </c>
    </row>
    <row r="190" spans="1:19" s="9" customFormat="1" ht="21" customHeight="1" thickBot="1">
      <c r="A190" s="2">
        <f>input_0!A$2</f>
        <v>3120</v>
      </c>
      <c r="B190" s="7" t="str">
        <f t="shared" si="7"/>
        <v>PremiumSS5</v>
      </c>
      <c r="C190" s="7" t="str">
        <f t="shared" si="8"/>
        <v>PremiumSS</v>
      </c>
      <c r="D190" s="6">
        <v>466</v>
      </c>
      <c r="E190" s="7" t="str">
        <f>VLOOKUP(D190,[1]characters!$A:$C,3,FALSE)</f>
        <v>真断の勇覇 ランスロット</v>
      </c>
      <c r="F190" s="7" t="str">
        <f>VLOOKUP(D190,[1]characters!$A:$J,10,FALSE)</f>
        <v>PremiumSS</v>
      </c>
      <c r="G190" s="7">
        <f>VLOOKUP(D190,[1]characters!$A:$I,9,FALSE)</f>
        <v>5</v>
      </c>
      <c r="H190" s="7" t="str">
        <f>VLOOKUP(D190,[1]characters!$A:$H,8,FALSE)</f>
        <v>green</v>
      </c>
      <c r="I190" s="7" t="str">
        <f>VLOOKUP(D190,[1]characters!$A:$K,11,FALSE)</f>
        <v>balance</v>
      </c>
      <c r="J190" s="7" t="str">
        <f>VLOOKUP(D190,[1]characters!$A:$M,13,FALSE)</f>
        <v>human</v>
      </c>
      <c r="K190" s="7" t="str">
        <f>VLOOKUP(D190,[1]characters!$A:$G,7,FALSE)</f>
        <v>男性</v>
      </c>
      <c r="L190" s="66">
        <f>IFERROR(VLOOKUP(D190,input_0!L:R,7,FALSE),VLOOKUP(tables_0!B190,input_0!A:H,8,FALSE))</f>
        <v>3996</v>
      </c>
      <c r="M190" s="67">
        <f t="shared" si="6"/>
        <v>7.6923076923076926E-5</v>
      </c>
      <c r="N190" s="31">
        <f>IFERROR(VLOOKUP($D190,bug_conf_sheet!$A:$H,3,FALSE),VLOOKUP("other",bug_conf_sheet!$A:$H,3,FALSE))</f>
        <v>1</v>
      </c>
      <c r="O190" s="31">
        <f>IFERROR(VLOOKUP($D190,bug_conf_sheet!$A:$H,4,FALSE),VLOOKUP("other",bug_conf_sheet!$A:$H,4,FALSE))</f>
        <v>0</v>
      </c>
      <c r="P190" s="31">
        <f>IFERROR(VLOOKUP($D190,bug_conf_sheet!$A:$H,5,FALSE),VLOOKUP("other",bug_conf_sheet!$A:$H,5,FALSE))</f>
        <v>0</v>
      </c>
      <c r="Q190" s="31">
        <f>IFERROR(VLOOKUP($D190,bug_conf_sheet!$A:$H,6,FALSE),VLOOKUP("other",bug_conf_sheet!$A:$H,6,FALSE))</f>
        <v>0</v>
      </c>
      <c r="R190" s="31">
        <f>IFERROR(VLOOKUP($D190,bug_conf_sheet!$A:$H,7,FALSE),VLOOKUP("other",bug_conf_sheet!$A:$H,7,FALSE))</f>
        <v>0</v>
      </c>
      <c r="S190" s="31">
        <f>IFERROR(VLOOKUP($D190,bug_conf_sheet!$A:$H,8,FALSE),VLOOKUP("other",bug_conf_sheet!$A:$H,8,FALSE))</f>
        <v>1</v>
      </c>
    </row>
    <row r="191" spans="1:19" ht="21" customHeight="1">
      <c r="A191" s="2">
        <f>input_0!A$2</f>
        <v>3120</v>
      </c>
      <c r="B191" s="7" t="str">
        <f t="shared" si="7"/>
        <v>PremiumSS4</v>
      </c>
      <c r="C191" s="7" t="str">
        <f t="shared" si="8"/>
        <v>PremiumSS</v>
      </c>
      <c r="D191" s="6">
        <v>467</v>
      </c>
      <c r="E191" s="7" t="str">
        <f>VLOOKUP(D191,[1]characters!$A:$C,3,FALSE)</f>
        <v>報復 モルドレッド</v>
      </c>
      <c r="F191" s="7" t="str">
        <f>VLOOKUP(D191,[1]characters!$A:$J,10,FALSE)</f>
        <v>PremiumSS</v>
      </c>
      <c r="G191" s="7">
        <f>VLOOKUP(D191,[1]characters!$A:$I,9,FALSE)</f>
        <v>4</v>
      </c>
      <c r="H191" s="7" t="str">
        <f>VLOOKUP(D191,[1]characters!$A:$H,8,FALSE)</f>
        <v>blue</v>
      </c>
      <c r="I191" s="7" t="str">
        <f>VLOOKUP(D191,[1]characters!$A:$K,11,FALSE)</f>
        <v>technical</v>
      </c>
      <c r="J191" s="7" t="str">
        <f>VLOOKUP(D191,[1]characters!$A:$M,13,FALSE)</f>
        <v>human</v>
      </c>
      <c r="K191" s="7" t="str">
        <f>VLOOKUP(D191,[1]characters!$A:$G,7,FALSE)</f>
        <v>女性</v>
      </c>
      <c r="L191" s="66">
        <f>IFERROR(VLOOKUP(D191,input_0!L:R,7,FALSE),VLOOKUP(tables_0!B191,input_0!A:H,8,FALSE))</f>
        <v>75924</v>
      </c>
      <c r="M191" s="67">
        <f t="shared" si="6"/>
        <v>1.4615384615384616E-3</v>
      </c>
      <c r="N191" s="31">
        <f>IFERROR(VLOOKUP($D191,bug_conf_sheet!$A:$H,3,FALSE),VLOOKUP("other",bug_conf_sheet!$A:$H,3,FALSE))</f>
        <v>1</v>
      </c>
      <c r="O191" s="31">
        <f>IFERROR(VLOOKUP($D191,bug_conf_sheet!$A:$H,4,FALSE),VLOOKUP("other",bug_conf_sheet!$A:$H,4,FALSE))</f>
        <v>0</v>
      </c>
      <c r="P191" s="31">
        <f>IFERROR(VLOOKUP($D191,bug_conf_sheet!$A:$H,5,FALSE),VLOOKUP("other",bug_conf_sheet!$A:$H,5,FALSE))</f>
        <v>0</v>
      </c>
      <c r="Q191" s="31">
        <f>IFERROR(VLOOKUP($D191,bug_conf_sheet!$A:$H,6,FALSE),VLOOKUP("other",bug_conf_sheet!$A:$H,6,FALSE))</f>
        <v>0</v>
      </c>
      <c r="R191" s="31">
        <f>IFERROR(VLOOKUP($D191,bug_conf_sheet!$A:$H,7,FALSE),VLOOKUP("other",bug_conf_sheet!$A:$H,7,FALSE))</f>
        <v>0</v>
      </c>
      <c r="S191" s="31">
        <f>IFERROR(VLOOKUP($D191,bug_conf_sheet!$A:$H,8,FALSE),VLOOKUP("other",bug_conf_sheet!$A:$H,8,FALSE))</f>
        <v>1</v>
      </c>
    </row>
    <row r="192" spans="1:19" ht="21" customHeight="1">
      <c r="A192" s="2">
        <f>input_0!A$2</f>
        <v>3120</v>
      </c>
      <c r="B192" s="7" t="str">
        <f t="shared" si="7"/>
        <v>PremiumSS5</v>
      </c>
      <c r="C192" s="7" t="str">
        <f t="shared" si="8"/>
        <v>PremiumSS</v>
      </c>
      <c r="D192" s="6">
        <v>468</v>
      </c>
      <c r="E192" s="7" t="str">
        <f>VLOOKUP(D192,[1]characters!$A:$C,3,FALSE)</f>
        <v>憎愛の尖鋒 モルドレッド</v>
      </c>
      <c r="F192" s="7" t="str">
        <f>VLOOKUP(D192,[1]characters!$A:$J,10,FALSE)</f>
        <v>PremiumSS</v>
      </c>
      <c r="G192" s="7">
        <f>VLOOKUP(D192,[1]characters!$A:$I,9,FALSE)</f>
        <v>5</v>
      </c>
      <c r="H192" s="7" t="str">
        <f>VLOOKUP(D192,[1]characters!$A:$H,8,FALSE)</f>
        <v>blue</v>
      </c>
      <c r="I192" s="7" t="str">
        <f>VLOOKUP(D192,[1]characters!$A:$K,11,FALSE)</f>
        <v>technical</v>
      </c>
      <c r="J192" s="7" t="str">
        <f>VLOOKUP(D192,[1]characters!$A:$M,13,FALSE)</f>
        <v>human</v>
      </c>
      <c r="K192" s="7" t="str">
        <f>VLOOKUP(D192,[1]characters!$A:$G,7,FALSE)</f>
        <v>女性</v>
      </c>
      <c r="L192" s="66">
        <f>IFERROR(VLOOKUP(D192,input_0!L:R,7,FALSE),VLOOKUP(tables_0!B192,input_0!A:H,8,FALSE))</f>
        <v>3996</v>
      </c>
      <c r="M192" s="67">
        <f t="shared" si="6"/>
        <v>7.6923076923076926E-5</v>
      </c>
      <c r="N192" s="31">
        <f>IFERROR(VLOOKUP($D192,bug_conf_sheet!$A:$H,3,FALSE),VLOOKUP("other",bug_conf_sheet!$A:$H,3,FALSE))</f>
        <v>1</v>
      </c>
      <c r="O192" s="31">
        <f>IFERROR(VLOOKUP($D192,bug_conf_sheet!$A:$H,4,FALSE),VLOOKUP("other",bug_conf_sheet!$A:$H,4,FALSE))</f>
        <v>0</v>
      </c>
      <c r="P192" s="31">
        <f>IFERROR(VLOOKUP($D192,bug_conf_sheet!$A:$H,5,FALSE),VLOOKUP("other",bug_conf_sheet!$A:$H,5,FALSE))</f>
        <v>0</v>
      </c>
      <c r="Q192" s="31">
        <f>IFERROR(VLOOKUP($D192,bug_conf_sheet!$A:$H,6,FALSE),VLOOKUP("other",bug_conf_sheet!$A:$H,6,FALSE))</f>
        <v>0</v>
      </c>
      <c r="R192" s="31">
        <f>IFERROR(VLOOKUP($D192,bug_conf_sheet!$A:$H,7,FALSE),VLOOKUP("other",bug_conf_sheet!$A:$H,7,FALSE))</f>
        <v>0</v>
      </c>
      <c r="S192" s="31">
        <f>IFERROR(VLOOKUP($D192,bug_conf_sheet!$A:$H,8,FALSE),VLOOKUP("other",bug_conf_sheet!$A:$H,8,FALSE))</f>
        <v>1</v>
      </c>
    </row>
    <row r="193" spans="1:19" ht="21" hidden="1" customHeight="1">
      <c r="A193" s="2">
        <f>input_0!A$2</f>
        <v>3120</v>
      </c>
      <c r="B193" s="7" t="str">
        <f t="shared" si="7"/>
        <v>Premium3</v>
      </c>
      <c r="C193" s="7" t="str">
        <f t="shared" si="8"/>
        <v>Premium</v>
      </c>
      <c r="D193" s="6">
        <v>469</v>
      </c>
      <c r="E193" s="7" t="str">
        <f>VLOOKUP(D193,[1]characters!$A:$C,3,FALSE)</f>
        <v>トリスタン</v>
      </c>
      <c r="F193" s="7" t="str">
        <f>VLOOKUP(D193,[1]characters!$A:$J,10,FALSE)</f>
        <v>PremiumS</v>
      </c>
      <c r="G193" s="7">
        <f>VLOOKUP(D193,[1]characters!$A:$I,9,FALSE)</f>
        <v>3</v>
      </c>
      <c r="H193" s="7" t="str">
        <f>VLOOKUP(D193,[1]characters!$A:$H,8,FALSE)</f>
        <v>yellow</v>
      </c>
      <c r="I193" s="7" t="str">
        <f>VLOOKUP(D193,[1]characters!$A:$K,11,FALSE)</f>
        <v>attack</v>
      </c>
      <c r="J193" s="7" t="str">
        <f>VLOOKUP(D193,[1]characters!$A:$M,13,FALSE)</f>
        <v>human</v>
      </c>
      <c r="K193" s="7" t="str">
        <f>VLOOKUP(D193,[1]characters!$A:$G,7,FALSE)</f>
        <v>男性</v>
      </c>
      <c r="L193" s="66">
        <f>IFERROR(VLOOKUP(D193,input_0!L:R,7,FALSE),VLOOKUP(tables_0!B193,input_0!A:H,8,FALSE))</f>
        <v>0</v>
      </c>
      <c r="M193" s="67">
        <f t="shared" si="6"/>
        <v>0</v>
      </c>
      <c r="N193" s="31">
        <f>IFERROR(VLOOKUP($D193,bug_conf_sheet!$A:$H,3,FALSE),VLOOKUP("other",bug_conf_sheet!$A:$H,3,FALSE))</f>
        <v>1</v>
      </c>
      <c r="O193" s="31">
        <f>IFERROR(VLOOKUP($D193,bug_conf_sheet!$A:$H,4,FALSE),VLOOKUP("other",bug_conf_sheet!$A:$H,4,FALSE))</f>
        <v>0</v>
      </c>
      <c r="P193" s="31">
        <f>IFERROR(VLOOKUP($D193,bug_conf_sheet!$A:$H,5,FALSE),VLOOKUP("other",bug_conf_sheet!$A:$H,5,FALSE))</f>
        <v>0</v>
      </c>
      <c r="Q193" s="31">
        <f>IFERROR(VLOOKUP($D193,bug_conf_sheet!$A:$H,6,FALSE),VLOOKUP("other",bug_conf_sheet!$A:$H,6,FALSE))</f>
        <v>0</v>
      </c>
      <c r="R193" s="31">
        <f>IFERROR(VLOOKUP($D193,bug_conf_sheet!$A:$H,7,FALSE),VLOOKUP("other",bug_conf_sheet!$A:$H,7,FALSE))</f>
        <v>0</v>
      </c>
      <c r="S193" s="31">
        <f>IFERROR(VLOOKUP($D193,bug_conf_sheet!$A:$H,8,FALSE),VLOOKUP("other",bug_conf_sheet!$A:$H,8,FALSE))</f>
        <v>1</v>
      </c>
    </row>
    <row r="194" spans="1:19" ht="21" hidden="1" customHeight="1">
      <c r="A194" s="2">
        <f>input_0!A$2</f>
        <v>3120</v>
      </c>
      <c r="B194" s="7" t="str">
        <f t="shared" si="7"/>
        <v>Premium4</v>
      </c>
      <c r="C194" s="7" t="str">
        <f t="shared" si="8"/>
        <v>Premium</v>
      </c>
      <c r="D194" s="6">
        <v>470</v>
      </c>
      <c r="E194" s="7" t="str">
        <f>VLOOKUP(D194,[1]characters!$A:$C,3,FALSE)</f>
        <v>純心 トリスタン</v>
      </c>
      <c r="F194" s="7" t="str">
        <f>VLOOKUP(D194,[1]characters!$A:$J,10,FALSE)</f>
        <v>PremiumS</v>
      </c>
      <c r="G194" s="7">
        <f>VLOOKUP(D194,[1]characters!$A:$I,9,FALSE)</f>
        <v>4</v>
      </c>
      <c r="H194" s="7" t="str">
        <f>VLOOKUP(D194,[1]characters!$A:$H,8,FALSE)</f>
        <v>yellow</v>
      </c>
      <c r="I194" s="7" t="str">
        <f>VLOOKUP(D194,[1]characters!$A:$K,11,FALSE)</f>
        <v>attack</v>
      </c>
      <c r="J194" s="7" t="str">
        <f>VLOOKUP(D194,[1]characters!$A:$M,13,FALSE)</f>
        <v>human</v>
      </c>
      <c r="K194" s="7" t="str">
        <f>VLOOKUP(D194,[1]characters!$A:$G,7,FALSE)</f>
        <v>男性</v>
      </c>
      <c r="L194" s="66">
        <f>IFERROR(VLOOKUP(D194,input_0!L:R,7,FALSE),VLOOKUP(tables_0!B194,input_0!A:H,8,FALSE))</f>
        <v>640224</v>
      </c>
      <c r="M194" s="67">
        <f t="shared" ref="M194:M255" si="9">L194/SUM(L:L)</f>
        <v>1.2324324324324324E-2</v>
      </c>
      <c r="N194" s="31">
        <f>IFERROR(VLOOKUP($D194,bug_conf_sheet!$A:$H,3,FALSE),VLOOKUP("other",bug_conf_sheet!$A:$H,3,FALSE))</f>
        <v>1</v>
      </c>
      <c r="O194" s="31">
        <f>IFERROR(VLOOKUP($D194,bug_conf_sheet!$A:$H,4,FALSE),VLOOKUP("other",bug_conf_sheet!$A:$H,4,FALSE))</f>
        <v>0</v>
      </c>
      <c r="P194" s="31">
        <f>IFERROR(VLOOKUP($D194,bug_conf_sheet!$A:$H,5,FALSE),VLOOKUP("other",bug_conf_sheet!$A:$H,5,FALSE))</f>
        <v>0</v>
      </c>
      <c r="Q194" s="31">
        <f>IFERROR(VLOOKUP($D194,bug_conf_sheet!$A:$H,6,FALSE),VLOOKUP("other",bug_conf_sheet!$A:$H,6,FALSE))</f>
        <v>0</v>
      </c>
      <c r="R194" s="31">
        <f>IFERROR(VLOOKUP($D194,bug_conf_sheet!$A:$H,7,FALSE),VLOOKUP("other",bug_conf_sheet!$A:$H,7,FALSE))</f>
        <v>0</v>
      </c>
      <c r="S194" s="31">
        <f>IFERROR(VLOOKUP($D194,bug_conf_sheet!$A:$H,8,FALSE),VLOOKUP("other",bug_conf_sheet!$A:$H,8,FALSE))</f>
        <v>1</v>
      </c>
    </row>
    <row r="195" spans="1:19" ht="21" hidden="1" customHeight="1">
      <c r="A195" s="2">
        <f>input_0!A$2</f>
        <v>3120</v>
      </c>
      <c r="B195" s="7" t="str">
        <f t="shared" ref="B195:B255" si="10">C195&amp;G195</f>
        <v>Premium5</v>
      </c>
      <c r="C195" s="7" t="str">
        <f t="shared" ref="C195:C255" si="11">IF(F195="PremiumSS",F195,IF(F195="PremiumSSS",F195,"Premium"))</f>
        <v>Premium</v>
      </c>
      <c r="D195" s="6">
        <v>471</v>
      </c>
      <c r="E195" s="7" t="str">
        <f>VLOOKUP(D195,[1]characters!$A:$C,3,FALSE)</f>
        <v>不可避の爆激 トリスタン</v>
      </c>
      <c r="F195" s="7" t="str">
        <f>VLOOKUP(D195,[1]characters!$A:$J,10,FALSE)</f>
        <v>PremiumS</v>
      </c>
      <c r="G195" s="7">
        <f>VLOOKUP(D195,[1]characters!$A:$I,9,FALSE)</f>
        <v>5</v>
      </c>
      <c r="H195" s="7" t="str">
        <f>VLOOKUP(D195,[1]characters!$A:$H,8,FALSE)</f>
        <v>yellow</v>
      </c>
      <c r="I195" s="7" t="str">
        <f>VLOOKUP(D195,[1]characters!$A:$K,11,FALSE)</f>
        <v>attack</v>
      </c>
      <c r="J195" s="7" t="str">
        <f>VLOOKUP(D195,[1]characters!$A:$M,13,FALSE)</f>
        <v>human</v>
      </c>
      <c r="K195" s="7" t="str">
        <f>VLOOKUP(D195,[1]characters!$A:$G,7,FALSE)</f>
        <v>男性</v>
      </c>
      <c r="L195" s="66">
        <f>IFERROR(VLOOKUP(D195,input_0!L:R,7,FALSE),VLOOKUP(tables_0!B195,input_0!A:H,8,FALSE))</f>
        <v>46176</v>
      </c>
      <c r="M195" s="67">
        <f t="shared" si="9"/>
        <v>8.8888888888888893E-4</v>
      </c>
      <c r="N195" s="31">
        <f>IFERROR(VLOOKUP($D195,bug_conf_sheet!$A:$H,3,FALSE),VLOOKUP("other",bug_conf_sheet!$A:$H,3,FALSE))</f>
        <v>1</v>
      </c>
      <c r="O195" s="31">
        <f>IFERROR(VLOOKUP($D195,bug_conf_sheet!$A:$H,4,FALSE),VLOOKUP("other",bug_conf_sheet!$A:$H,4,FALSE))</f>
        <v>0</v>
      </c>
      <c r="P195" s="31">
        <f>IFERROR(VLOOKUP($D195,bug_conf_sheet!$A:$H,5,FALSE),VLOOKUP("other",bug_conf_sheet!$A:$H,5,FALSE))</f>
        <v>0</v>
      </c>
      <c r="Q195" s="31">
        <f>IFERROR(VLOOKUP($D195,bug_conf_sheet!$A:$H,6,FALSE),VLOOKUP("other",bug_conf_sheet!$A:$H,6,FALSE))</f>
        <v>0</v>
      </c>
      <c r="R195" s="31">
        <f>IFERROR(VLOOKUP($D195,bug_conf_sheet!$A:$H,7,FALSE),VLOOKUP("other",bug_conf_sheet!$A:$H,7,FALSE))</f>
        <v>0</v>
      </c>
      <c r="S195" s="31">
        <f>IFERROR(VLOOKUP($D195,bug_conf_sheet!$A:$H,8,FALSE),VLOOKUP("other",bug_conf_sheet!$A:$H,8,FALSE))</f>
        <v>1</v>
      </c>
    </row>
    <row r="196" spans="1:19" ht="21" customHeight="1">
      <c r="A196" s="2">
        <f>input_0!A$2</f>
        <v>3120</v>
      </c>
      <c r="B196" s="7" t="str">
        <f t="shared" si="10"/>
        <v>PremiumSS4</v>
      </c>
      <c r="C196" s="7" t="str">
        <f t="shared" si="11"/>
        <v>PremiumSS</v>
      </c>
      <c r="D196" s="6">
        <v>474</v>
      </c>
      <c r="E196" s="7" t="str">
        <f>VLOOKUP(D196,[1]characters!$A:$C,3,FALSE)</f>
        <v>キング・ドライグ</v>
      </c>
      <c r="F196" s="7" t="str">
        <f>VLOOKUP(D196,[1]characters!$A:$J,10,FALSE)</f>
        <v>PremiumSS</v>
      </c>
      <c r="G196" s="7">
        <f>VLOOKUP(D196,[1]characters!$A:$I,9,FALSE)</f>
        <v>4</v>
      </c>
      <c r="H196" s="7" t="str">
        <f>VLOOKUP(D196,[1]characters!$A:$H,8,FALSE)</f>
        <v>red</v>
      </c>
      <c r="I196" s="7" t="str">
        <f>VLOOKUP(D196,[1]characters!$A:$K,11,FALSE)</f>
        <v>attack</v>
      </c>
      <c r="J196" s="7" t="str">
        <f>VLOOKUP(D196,[1]characters!$A:$M,13,FALSE)</f>
        <v>dragon</v>
      </c>
      <c r="K196" s="7" t="str">
        <f>VLOOKUP(D196,[1]characters!$A:$G,7,FALSE)</f>
        <v>不明</v>
      </c>
      <c r="L196" s="66">
        <f>IFERROR(VLOOKUP(D196,input_0!L:R,7,FALSE),VLOOKUP(tables_0!B196,input_0!A:H,8,FALSE))</f>
        <v>75924</v>
      </c>
      <c r="M196" s="67">
        <f t="shared" si="9"/>
        <v>1.4615384615384616E-3</v>
      </c>
      <c r="N196" s="31">
        <f>IFERROR(VLOOKUP($D196,bug_conf_sheet!$A:$H,3,FALSE),VLOOKUP("other",bug_conf_sheet!$A:$H,3,FALSE))</f>
        <v>1</v>
      </c>
      <c r="O196" s="31">
        <f>IFERROR(VLOOKUP($D196,bug_conf_sheet!$A:$H,4,FALSE),VLOOKUP("other",bug_conf_sheet!$A:$H,4,FALSE))</f>
        <v>0</v>
      </c>
      <c r="P196" s="31">
        <f>IFERROR(VLOOKUP($D196,bug_conf_sheet!$A:$H,5,FALSE),VLOOKUP("other",bug_conf_sheet!$A:$H,5,FALSE))</f>
        <v>0</v>
      </c>
      <c r="Q196" s="31">
        <f>IFERROR(VLOOKUP($D196,bug_conf_sheet!$A:$H,6,FALSE),VLOOKUP("other",bug_conf_sheet!$A:$H,6,FALSE))</f>
        <v>0</v>
      </c>
      <c r="R196" s="31">
        <f>IFERROR(VLOOKUP($D196,bug_conf_sheet!$A:$H,7,FALSE),VLOOKUP("other",bug_conf_sheet!$A:$H,7,FALSE))</f>
        <v>0</v>
      </c>
      <c r="S196" s="31">
        <f>IFERROR(VLOOKUP($D196,bug_conf_sheet!$A:$H,8,FALSE),VLOOKUP("other",bug_conf_sheet!$A:$H,8,FALSE))</f>
        <v>1</v>
      </c>
    </row>
    <row r="197" spans="1:19" ht="21" customHeight="1">
      <c r="A197" s="2">
        <f>input_0!A$2</f>
        <v>3120</v>
      </c>
      <c r="B197" s="7" t="str">
        <f t="shared" si="10"/>
        <v>PremiumSS5</v>
      </c>
      <c r="C197" s="7" t="str">
        <f t="shared" si="11"/>
        <v>PremiumSS</v>
      </c>
      <c r="D197" s="6">
        <v>475</v>
      </c>
      <c r="E197" s="7" t="str">
        <f>VLOOKUP(D197,[1]characters!$A:$C,3,FALSE)</f>
        <v>緋王 キング・ドライグ</v>
      </c>
      <c r="F197" s="7" t="str">
        <f>VLOOKUP(D197,[1]characters!$A:$J,10,FALSE)</f>
        <v>PremiumSS</v>
      </c>
      <c r="G197" s="7">
        <f>VLOOKUP(D197,[1]characters!$A:$I,9,FALSE)</f>
        <v>5</v>
      </c>
      <c r="H197" s="7" t="str">
        <f>VLOOKUP(D197,[1]characters!$A:$H,8,FALSE)</f>
        <v>red</v>
      </c>
      <c r="I197" s="7" t="str">
        <f>VLOOKUP(D197,[1]characters!$A:$K,11,FALSE)</f>
        <v>attack</v>
      </c>
      <c r="J197" s="7" t="str">
        <f>VLOOKUP(D197,[1]characters!$A:$M,13,FALSE)</f>
        <v>dragon</v>
      </c>
      <c r="K197" s="7" t="str">
        <f>VLOOKUP(D197,[1]characters!$A:$G,7,FALSE)</f>
        <v>不明</v>
      </c>
      <c r="L197" s="66">
        <f>IFERROR(VLOOKUP(D197,input_0!L:R,7,FALSE),VLOOKUP(tables_0!B197,input_0!A:H,8,FALSE))</f>
        <v>3996</v>
      </c>
      <c r="M197" s="67">
        <f t="shared" si="9"/>
        <v>7.6923076923076926E-5</v>
      </c>
      <c r="N197" s="31">
        <f>IFERROR(VLOOKUP($D197,bug_conf_sheet!$A:$H,3,FALSE),VLOOKUP("other",bug_conf_sheet!$A:$H,3,FALSE))</f>
        <v>1</v>
      </c>
      <c r="O197" s="31">
        <f>IFERROR(VLOOKUP($D197,bug_conf_sheet!$A:$H,4,FALSE),VLOOKUP("other",bug_conf_sheet!$A:$H,4,FALSE))</f>
        <v>0</v>
      </c>
      <c r="P197" s="31">
        <f>IFERROR(VLOOKUP($D197,bug_conf_sheet!$A:$H,5,FALSE),VLOOKUP("other",bug_conf_sheet!$A:$H,5,FALSE))</f>
        <v>0</v>
      </c>
      <c r="Q197" s="31">
        <f>IFERROR(VLOOKUP($D197,bug_conf_sheet!$A:$H,6,FALSE),VLOOKUP("other",bug_conf_sheet!$A:$H,6,FALSE))</f>
        <v>0</v>
      </c>
      <c r="R197" s="31">
        <f>IFERROR(VLOOKUP($D197,bug_conf_sheet!$A:$H,7,FALSE),VLOOKUP("other",bug_conf_sheet!$A:$H,7,FALSE))</f>
        <v>0</v>
      </c>
      <c r="S197" s="31">
        <f>IFERROR(VLOOKUP($D197,bug_conf_sheet!$A:$H,8,FALSE),VLOOKUP("other",bug_conf_sheet!$A:$H,8,FALSE))</f>
        <v>1</v>
      </c>
    </row>
    <row r="198" spans="1:19" ht="21" hidden="1" customHeight="1">
      <c r="A198" s="2">
        <f>input_0!A$2</f>
        <v>3120</v>
      </c>
      <c r="B198" s="7" t="str">
        <f t="shared" si="10"/>
        <v>Premium3</v>
      </c>
      <c r="C198" s="7" t="str">
        <f t="shared" si="11"/>
        <v>Premium</v>
      </c>
      <c r="D198" s="6">
        <v>476</v>
      </c>
      <c r="E198" s="7" t="str">
        <f>VLOOKUP(D198,[1]characters!$A:$C,3,FALSE)</f>
        <v>ファータ</v>
      </c>
      <c r="F198" s="7" t="str">
        <f>VLOOKUP(D198,[1]characters!$A:$J,10,FALSE)</f>
        <v>PremiumS</v>
      </c>
      <c r="G198" s="7">
        <f>VLOOKUP(D198,[1]characters!$A:$I,9,FALSE)</f>
        <v>3</v>
      </c>
      <c r="H198" s="7" t="str">
        <f>VLOOKUP(D198,[1]characters!$A:$H,8,FALSE)</f>
        <v>green</v>
      </c>
      <c r="I198" s="7" t="str">
        <f>VLOOKUP(D198,[1]characters!$A:$K,11,FALSE)</f>
        <v>heal</v>
      </c>
      <c r="J198" s="7" t="str">
        <f>VLOOKUP(D198,[1]characters!$A:$M,13,FALSE)</f>
        <v>unknown</v>
      </c>
      <c r="K198" s="7" t="str">
        <f>VLOOKUP(D198,[1]characters!$A:$G,7,FALSE)</f>
        <v>女性</v>
      </c>
      <c r="L198" s="66">
        <f>IFERROR(VLOOKUP(D198,input_0!L:R,7,FALSE),VLOOKUP(tables_0!B198,input_0!A:H,8,FALSE))</f>
        <v>0</v>
      </c>
      <c r="M198" s="67">
        <f t="shared" si="9"/>
        <v>0</v>
      </c>
      <c r="N198" s="31">
        <f>IFERROR(VLOOKUP($D198,bug_conf_sheet!$A:$H,3,FALSE),VLOOKUP("other",bug_conf_sheet!$A:$H,3,FALSE))</f>
        <v>1</v>
      </c>
      <c r="O198" s="31">
        <f>IFERROR(VLOOKUP($D198,bug_conf_sheet!$A:$H,4,FALSE),VLOOKUP("other",bug_conf_sheet!$A:$H,4,FALSE))</f>
        <v>0</v>
      </c>
      <c r="P198" s="31">
        <f>IFERROR(VLOOKUP($D198,bug_conf_sheet!$A:$H,5,FALSE),VLOOKUP("other",bug_conf_sheet!$A:$H,5,FALSE))</f>
        <v>0</v>
      </c>
      <c r="Q198" s="31">
        <f>IFERROR(VLOOKUP($D198,bug_conf_sheet!$A:$H,6,FALSE),VLOOKUP("other",bug_conf_sheet!$A:$H,6,FALSE))</f>
        <v>0</v>
      </c>
      <c r="R198" s="31">
        <f>IFERROR(VLOOKUP($D198,bug_conf_sheet!$A:$H,7,FALSE),VLOOKUP("other",bug_conf_sheet!$A:$H,7,FALSE))</f>
        <v>0</v>
      </c>
      <c r="S198" s="31">
        <f>IFERROR(VLOOKUP($D198,bug_conf_sheet!$A:$H,8,FALSE),VLOOKUP("other",bug_conf_sheet!$A:$H,8,FALSE))</f>
        <v>1</v>
      </c>
    </row>
    <row r="199" spans="1:19" ht="21" hidden="1" customHeight="1">
      <c r="A199" s="2">
        <f>input_0!A$2</f>
        <v>3120</v>
      </c>
      <c r="B199" s="7" t="str">
        <f t="shared" si="10"/>
        <v>Premium4</v>
      </c>
      <c r="C199" s="7" t="str">
        <f t="shared" si="11"/>
        <v>Premium</v>
      </c>
      <c r="D199" s="6">
        <v>477</v>
      </c>
      <c r="E199" s="7" t="str">
        <f>VLOOKUP(D199,[1]characters!$A:$C,3,FALSE)</f>
        <v>愛羽妖精 ファータ</v>
      </c>
      <c r="F199" s="7" t="str">
        <f>VLOOKUP(D199,[1]characters!$A:$J,10,FALSE)</f>
        <v>PremiumS</v>
      </c>
      <c r="G199" s="7">
        <f>VLOOKUP(D199,[1]characters!$A:$I,9,FALSE)</f>
        <v>4</v>
      </c>
      <c r="H199" s="7" t="str">
        <f>VLOOKUP(D199,[1]characters!$A:$H,8,FALSE)</f>
        <v>green</v>
      </c>
      <c r="I199" s="7" t="str">
        <f>VLOOKUP(D199,[1]characters!$A:$K,11,FALSE)</f>
        <v>heal</v>
      </c>
      <c r="J199" s="7" t="str">
        <f>VLOOKUP(D199,[1]characters!$A:$M,13,FALSE)</f>
        <v>unknown</v>
      </c>
      <c r="K199" s="7" t="str">
        <f>VLOOKUP(D199,[1]characters!$A:$G,7,FALSE)</f>
        <v>女性</v>
      </c>
      <c r="L199" s="66">
        <f>IFERROR(VLOOKUP(D199,input_0!L:R,7,FALSE),VLOOKUP(tables_0!B199,input_0!A:H,8,FALSE))</f>
        <v>640224</v>
      </c>
      <c r="M199" s="67">
        <f t="shared" si="9"/>
        <v>1.2324324324324324E-2</v>
      </c>
      <c r="N199" s="31">
        <f>IFERROR(VLOOKUP($D199,bug_conf_sheet!$A:$H,3,FALSE),VLOOKUP("other",bug_conf_sheet!$A:$H,3,FALSE))</f>
        <v>1</v>
      </c>
      <c r="O199" s="31">
        <f>IFERROR(VLOOKUP($D199,bug_conf_sheet!$A:$H,4,FALSE),VLOOKUP("other",bug_conf_sheet!$A:$H,4,FALSE))</f>
        <v>0</v>
      </c>
      <c r="P199" s="31">
        <f>IFERROR(VLOOKUP($D199,bug_conf_sheet!$A:$H,5,FALSE),VLOOKUP("other",bug_conf_sheet!$A:$H,5,FALSE))</f>
        <v>0</v>
      </c>
      <c r="Q199" s="31">
        <f>IFERROR(VLOOKUP($D199,bug_conf_sheet!$A:$H,6,FALSE),VLOOKUP("other",bug_conf_sheet!$A:$H,6,FALSE))</f>
        <v>0</v>
      </c>
      <c r="R199" s="31">
        <f>IFERROR(VLOOKUP($D199,bug_conf_sheet!$A:$H,7,FALSE),VLOOKUP("other",bug_conf_sheet!$A:$H,7,FALSE))</f>
        <v>0</v>
      </c>
      <c r="S199" s="31">
        <f>IFERROR(VLOOKUP($D199,bug_conf_sheet!$A:$H,8,FALSE),VLOOKUP("other",bug_conf_sheet!$A:$H,8,FALSE))</f>
        <v>1</v>
      </c>
    </row>
    <row r="200" spans="1:19" ht="21" hidden="1" customHeight="1">
      <c r="A200" s="2">
        <f>input_0!A$2</f>
        <v>3120</v>
      </c>
      <c r="B200" s="7" t="str">
        <f t="shared" si="10"/>
        <v>Premium5</v>
      </c>
      <c r="C200" s="7" t="str">
        <f t="shared" si="11"/>
        <v>Premium</v>
      </c>
      <c r="D200" s="6">
        <v>478</v>
      </c>
      <c r="E200" s="7" t="str">
        <f>VLOOKUP(D200,[1]characters!$A:$C,3,FALSE)</f>
        <v>時計仕掛けの愛羽妖精 ファータ</v>
      </c>
      <c r="F200" s="7" t="str">
        <f>VLOOKUP(D200,[1]characters!$A:$J,10,FALSE)</f>
        <v>PremiumS</v>
      </c>
      <c r="G200" s="7">
        <f>VLOOKUP(D200,[1]characters!$A:$I,9,FALSE)</f>
        <v>5</v>
      </c>
      <c r="H200" s="7" t="str">
        <f>VLOOKUP(D200,[1]characters!$A:$H,8,FALSE)</f>
        <v>green</v>
      </c>
      <c r="I200" s="7" t="str">
        <f>VLOOKUP(D200,[1]characters!$A:$K,11,FALSE)</f>
        <v>heal</v>
      </c>
      <c r="J200" s="7" t="str">
        <f>VLOOKUP(D200,[1]characters!$A:$M,13,FALSE)</f>
        <v>unknown</v>
      </c>
      <c r="K200" s="7" t="str">
        <f>VLOOKUP(D200,[1]characters!$A:$G,7,FALSE)</f>
        <v>女性</v>
      </c>
      <c r="L200" s="66">
        <f>IFERROR(VLOOKUP(D200,input_0!L:R,7,FALSE),VLOOKUP(tables_0!B200,input_0!A:H,8,FALSE))</f>
        <v>46176</v>
      </c>
      <c r="M200" s="67">
        <f t="shared" si="9"/>
        <v>8.8888888888888893E-4</v>
      </c>
      <c r="N200" s="31">
        <f>IFERROR(VLOOKUP($D200,bug_conf_sheet!$A:$H,3,FALSE),VLOOKUP("other",bug_conf_sheet!$A:$H,3,FALSE))</f>
        <v>1</v>
      </c>
      <c r="O200" s="31">
        <f>IFERROR(VLOOKUP($D200,bug_conf_sheet!$A:$H,4,FALSE),VLOOKUP("other",bug_conf_sheet!$A:$H,4,FALSE))</f>
        <v>0</v>
      </c>
      <c r="P200" s="31">
        <f>IFERROR(VLOOKUP($D200,bug_conf_sheet!$A:$H,5,FALSE),VLOOKUP("other",bug_conf_sheet!$A:$H,5,FALSE))</f>
        <v>0</v>
      </c>
      <c r="Q200" s="31">
        <f>IFERROR(VLOOKUP($D200,bug_conf_sheet!$A:$H,6,FALSE),VLOOKUP("other",bug_conf_sheet!$A:$H,6,FALSE))</f>
        <v>0</v>
      </c>
      <c r="R200" s="31">
        <f>IFERROR(VLOOKUP($D200,bug_conf_sheet!$A:$H,7,FALSE),VLOOKUP("other",bug_conf_sheet!$A:$H,7,FALSE))</f>
        <v>0</v>
      </c>
      <c r="S200" s="31">
        <f>IFERROR(VLOOKUP($D200,bug_conf_sheet!$A:$H,8,FALSE),VLOOKUP("other",bug_conf_sheet!$A:$H,8,FALSE))</f>
        <v>1</v>
      </c>
    </row>
    <row r="201" spans="1:19" ht="21" customHeight="1">
      <c r="A201" s="2">
        <f>input_0!A$2</f>
        <v>3120</v>
      </c>
      <c r="B201" s="7" t="str">
        <f t="shared" si="10"/>
        <v>PremiumSS4</v>
      </c>
      <c r="C201" s="7" t="str">
        <f t="shared" si="11"/>
        <v>PremiumSS</v>
      </c>
      <c r="D201" s="6">
        <v>479</v>
      </c>
      <c r="E201" s="7" t="str">
        <f>VLOOKUP(D201,[1]characters!$A:$C,3,FALSE)</f>
        <v>フール</v>
      </c>
      <c r="F201" s="7" t="str">
        <f>VLOOKUP(D201,[1]characters!$A:$J,10,FALSE)</f>
        <v>PremiumSS</v>
      </c>
      <c r="G201" s="7">
        <f>VLOOKUP(D201,[1]characters!$A:$I,9,FALSE)</f>
        <v>4</v>
      </c>
      <c r="H201" s="7" t="str">
        <f>VLOOKUP(D201,[1]characters!$A:$H,8,FALSE)</f>
        <v>blue</v>
      </c>
      <c r="I201" s="7" t="str">
        <f>VLOOKUP(D201,[1]characters!$A:$K,11,FALSE)</f>
        <v>technical</v>
      </c>
      <c r="J201" s="7" t="str">
        <f>VLOOKUP(D201,[1]characters!$A:$M,13,FALSE)</f>
        <v>god</v>
      </c>
      <c r="K201" s="7" t="str">
        <f>VLOOKUP(D201,[1]characters!$A:$G,7,FALSE)</f>
        <v>男性</v>
      </c>
      <c r="L201" s="66">
        <f>IFERROR(VLOOKUP(D201,input_0!L:R,7,FALSE),VLOOKUP(tables_0!B201,input_0!A:H,8,FALSE))</f>
        <v>75924</v>
      </c>
      <c r="M201" s="67">
        <f t="shared" si="9"/>
        <v>1.4615384615384616E-3</v>
      </c>
      <c r="N201" s="31">
        <f>IFERROR(VLOOKUP($D201,bug_conf_sheet!$A:$H,3,FALSE),VLOOKUP("other",bug_conf_sheet!$A:$H,3,FALSE))</f>
        <v>1</v>
      </c>
      <c r="O201" s="31">
        <f>IFERROR(VLOOKUP($D201,bug_conf_sheet!$A:$H,4,FALSE),VLOOKUP("other",bug_conf_sheet!$A:$H,4,FALSE))</f>
        <v>0</v>
      </c>
      <c r="P201" s="31">
        <f>IFERROR(VLOOKUP($D201,bug_conf_sheet!$A:$H,5,FALSE),VLOOKUP("other",bug_conf_sheet!$A:$H,5,FALSE))</f>
        <v>0</v>
      </c>
      <c r="Q201" s="31">
        <f>IFERROR(VLOOKUP($D201,bug_conf_sheet!$A:$H,6,FALSE),VLOOKUP("other",bug_conf_sheet!$A:$H,6,FALSE))</f>
        <v>0</v>
      </c>
      <c r="R201" s="31">
        <f>IFERROR(VLOOKUP($D201,bug_conf_sheet!$A:$H,7,FALSE),VLOOKUP("other",bug_conf_sheet!$A:$H,7,FALSE))</f>
        <v>0</v>
      </c>
      <c r="S201" s="31">
        <f>IFERROR(VLOOKUP($D201,bug_conf_sheet!$A:$H,8,FALSE),VLOOKUP("other",bug_conf_sheet!$A:$H,8,FALSE))</f>
        <v>1</v>
      </c>
    </row>
    <row r="202" spans="1:19" ht="21" customHeight="1">
      <c r="A202" s="2">
        <f>input_0!A$2</f>
        <v>3120</v>
      </c>
      <c r="B202" s="7" t="str">
        <f t="shared" si="10"/>
        <v>PremiumSS5</v>
      </c>
      <c r="C202" s="7" t="str">
        <f t="shared" si="11"/>
        <v>PremiumSS</v>
      </c>
      <c r="D202" s="6">
        <v>480</v>
      </c>
      <c r="E202" s="7" t="str">
        <f>VLOOKUP(D202,[1]characters!$A:$C,3,FALSE)</f>
        <v>夢幻の愚者フール</v>
      </c>
      <c r="F202" s="7" t="str">
        <f>VLOOKUP(D202,[1]characters!$A:$J,10,FALSE)</f>
        <v>PremiumSS</v>
      </c>
      <c r="G202" s="7">
        <f>VLOOKUP(D202,[1]characters!$A:$I,9,FALSE)</f>
        <v>5</v>
      </c>
      <c r="H202" s="7" t="str">
        <f>VLOOKUP(D202,[1]characters!$A:$H,8,FALSE)</f>
        <v>blue</v>
      </c>
      <c r="I202" s="7" t="str">
        <f>VLOOKUP(D202,[1]characters!$A:$K,11,FALSE)</f>
        <v>technical</v>
      </c>
      <c r="J202" s="7" t="str">
        <f>VLOOKUP(D202,[1]characters!$A:$M,13,FALSE)</f>
        <v>god</v>
      </c>
      <c r="K202" s="7" t="str">
        <f>VLOOKUP(D202,[1]characters!$A:$G,7,FALSE)</f>
        <v>男性</v>
      </c>
      <c r="L202" s="66">
        <f>IFERROR(VLOOKUP(D202,input_0!L:R,7,FALSE),VLOOKUP(tables_0!B202,input_0!A:H,8,FALSE))</f>
        <v>3996</v>
      </c>
      <c r="M202" s="67">
        <f t="shared" si="9"/>
        <v>7.6923076923076926E-5</v>
      </c>
      <c r="N202" s="31">
        <f>IFERROR(VLOOKUP($D202,bug_conf_sheet!$A:$H,3,FALSE),VLOOKUP("other",bug_conf_sheet!$A:$H,3,FALSE))</f>
        <v>1</v>
      </c>
      <c r="O202" s="31">
        <f>IFERROR(VLOOKUP($D202,bug_conf_sheet!$A:$H,4,FALSE),VLOOKUP("other",bug_conf_sheet!$A:$H,4,FALSE))</f>
        <v>0</v>
      </c>
      <c r="P202" s="31">
        <f>IFERROR(VLOOKUP($D202,bug_conf_sheet!$A:$H,5,FALSE),VLOOKUP("other",bug_conf_sheet!$A:$H,5,FALSE))</f>
        <v>0</v>
      </c>
      <c r="Q202" s="31">
        <f>IFERROR(VLOOKUP($D202,bug_conf_sheet!$A:$H,6,FALSE),VLOOKUP("other",bug_conf_sheet!$A:$H,6,FALSE))</f>
        <v>0</v>
      </c>
      <c r="R202" s="31">
        <f>IFERROR(VLOOKUP($D202,bug_conf_sheet!$A:$H,7,FALSE),VLOOKUP("other",bug_conf_sheet!$A:$H,7,FALSE))</f>
        <v>0</v>
      </c>
      <c r="S202" s="31">
        <f>IFERROR(VLOOKUP($D202,bug_conf_sheet!$A:$H,8,FALSE),VLOOKUP("other",bug_conf_sheet!$A:$H,8,FALSE))</f>
        <v>1</v>
      </c>
    </row>
    <row r="203" spans="1:19" ht="21" hidden="1" customHeight="1">
      <c r="A203" s="2">
        <f>input_0!A$2</f>
        <v>3120</v>
      </c>
      <c r="B203" s="7" t="str">
        <f t="shared" si="10"/>
        <v>Premium3</v>
      </c>
      <c r="C203" s="7" t="str">
        <f t="shared" si="11"/>
        <v>Premium</v>
      </c>
      <c r="D203" s="6">
        <v>481</v>
      </c>
      <c r="E203" s="7" t="str">
        <f>VLOOKUP(D203,[1]characters!$A:$C,3,FALSE)</f>
        <v>沢庵宗彭</v>
      </c>
      <c r="F203" s="7" t="str">
        <f>VLOOKUP(D203,[1]characters!$A:$J,10,FALSE)</f>
        <v>PremiumS</v>
      </c>
      <c r="G203" s="7">
        <f>VLOOKUP(D203,[1]characters!$A:$I,9,FALSE)</f>
        <v>3</v>
      </c>
      <c r="H203" s="7" t="str">
        <f>VLOOKUP(D203,[1]characters!$A:$H,8,FALSE)</f>
        <v>yellow</v>
      </c>
      <c r="I203" s="7" t="str">
        <f>VLOOKUP(D203,[1]characters!$A:$K,11,FALSE)</f>
        <v>hp</v>
      </c>
      <c r="J203" s="7" t="str">
        <f>VLOOKUP(D203,[1]characters!$A:$M,13,FALSE)</f>
        <v>human</v>
      </c>
      <c r="K203" s="7" t="str">
        <f>VLOOKUP(D203,[1]characters!$A:$G,7,FALSE)</f>
        <v>男性</v>
      </c>
      <c r="L203" s="66">
        <f>IFERROR(VLOOKUP(D203,input_0!L:R,7,FALSE),VLOOKUP(tables_0!B203,input_0!A:H,8,FALSE))</f>
        <v>0</v>
      </c>
      <c r="M203" s="67">
        <f t="shared" si="9"/>
        <v>0</v>
      </c>
      <c r="N203" s="31">
        <f>IFERROR(VLOOKUP($D203,bug_conf_sheet!$A:$H,3,FALSE),VLOOKUP("other",bug_conf_sheet!$A:$H,3,FALSE))</f>
        <v>1</v>
      </c>
      <c r="O203" s="31">
        <f>IFERROR(VLOOKUP($D203,bug_conf_sheet!$A:$H,4,FALSE),VLOOKUP("other",bug_conf_sheet!$A:$H,4,FALSE))</f>
        <v>0</v>
      </c>
      <c r="P203" s="31">
        <f>IFERROR(VLOOKUP($D203,bug_conf_sheet!$A:$H,5,FALSE),VLOOKUP("other",bug_conf_sheet!$A:$H,5,FALSE))</f>
        <v>0</v>
      </c>
      <c r="Q203" s="31">
        <f>IFERROR(VLOOKUP($D203,bug_conf_sheet!$A:$H,6,FALSE),VLOOKUP("other",bug_conf_sheet!$A:$H,6,FALSE))</f>
        <v>0</v>
      </c>
      <c r="R203" s="31">
        <f>IFERROR(VLOOKUP($D203,bug_conf_sheet!$A:$H,7,FALSE),VLOOKUP("other",bug_conf_sheet!$A:$H,7,FALSE))</f>
        <v>0</v>
      </c>
      <c r="S203" s="31">
        <f>IFERROR(VLOOKUP($D203,bug_conf_sheet!$A:$H,8,FALSE),VLOOKUP("other",bug_conf_sheet!$A:$H,8,FALSE))</f>
        <v>1</v>
      </c>
    </row>
    <row r="204" spans="1:19" ht="21" hidden="1" customHeight="1">
      <c r="A204" s="2">
        <f>input_0!A$2</f>
        <v>3120</v>
      </c>
      <c r="B204" s="7" t="str">
        <f t="shared" si="10"/>
        <v>Premium4</v>
      </c>
      <c r="C204" s="7" t="str">
        <f t="shared" si="11"/>
        <v>Premium</v>
      </c>
      <c r="D204" s="6">
        <v>482</v>
      </c>
      <c r="E204" s="7" t="str">
        <f>VLOOKUP(D204,[1]characters!$A:$C,3,FALSE)</f>
        <v>魁僧 沢庵宗彭</v>
      </c>
      <c r="F204" s="7" t="str">
        <f>VLOOKUP(D204,[1]characters!$A:$J,10,FALSE)</f>
        <v>PremiumS</v>
      </c>
      <c r="G204" s="7">
        <f>VLOOKUP(D204,[1]characters!$A:$I,9,FALSE)</f>
        <v>4</v>
      </c>
      <c r="H204" s="7" t="str">
        <f>VLOOKUP(D204,[1]characters!$A:$H,8,FALSE)</f>
        <v>yellow</v>
      </c>
      <c r="I204" s="7" t="str">
        <f>VLOOKUP(D204,[1]characters!$A:$K,11,FALSE)</f>
        <v>hp</v>
      </c>
      <c r="J204" s="7" t="str">
        <f>VLOOKUP(D204,[1]characters!$A:$M,13,FALSE)</f>
        <v>human</v>
      </c>
      <c r="K204" s="7" t="str">
        <f>VLOOKUP(D204,[1]characters!$A:$G,7,FALSE)</f>
        <v>男性</v>
      </c>
      <c r="L204" s="66">
        <f>IFERROR(VLOOKUP(D204,input_0!L:R,7,FALSE),VLOOKUP(tables_0!B204,input_0!A:H,8,FALSE))</f>
        <v>640224</v>
      </c>
      <c r="M204" s="67">
        <f t="shared" si="9"/>
        <v>1.2324324324324324E-2</v>
      </c>
      <c r="N204" s="31">
        <f>IFERROR(VLOOKUP($D204,bug_conf_sheet!$A:$H,3,FALSE),VLOOKUP("other",bug_conf_sheet!$A:$H,3,FALSE))</f>
        <v>1</v>
      </c>
      <c r="O204" s="31">
        <f>IFERROR(VLOOKUP($D204,bug_conf_sheet!$A:$H,4,FALSE),VLOOKUP("other",bug_conf_sheet!$A:$H,4,FALSE))</f>
        <v>0</v>
      </c>
      <c r="P204" s="31">
        <f>IFERROR(VLOOKUP($D204,bug_conf_sheet!$A:$H,5,FALSE),VLOOKUP("other",bug_conf_sheet!$A:$H,5,FALSE))</f>
        <v>0</v>
      </c>
      <c r="Q204" s="31">
        <f>IFERROR(VLOOKUP($D204,bug_conf_sheet!$A:$H,6,FALSE),VLOOKUP("other",bug_conf_sheet!$A:$H,6,FALSE))</f>
        <v>0</v>
      </c>
      <c r="R204" s="31">
        <f>IFERROR(VLOOKUP($D204,bug_conf_sheet!$A:$H,7,FALSE),VLOOKUP("other",bug_conf_sheet!$A:$H,7,FALSE))</f>
        <v>0</v>
      </c>
      <c r="S204" s="31">
        <f>IFERROR(VLOOKUP($D204,bug_conf_sheet!$A:$H,8,FALSE),VLOOKUP("other",bug_conf_sheet!$A:$H,8,FALSE))</f>
        <v>1</v>
      </c>
    </row>
    <row r="205" spans="1:19" ht="21" hidden="1" customHeight="1">
      <c r="A205" s="2">
        <f>input_0!A$2</f>
        <v>3120</v>
      </c>
      <c r="B205" s="7" t="str">
        <f t="shared" si="10"/>
        <v>Premium5</v>
      </c>
      <c r="C205" s="7" t="str">
        <f t="shared" si="11"/>
        <v>Premium</v>
      </c>
      <c r="D205" s="6">
        <v>483</v>
      </c>
      <c r="E205" s="7" t="str">
        <f>VLOOKUP(D205,[1]characters!$A:$C,3,FALSE)</f>
        <v xml:space="preserve">命経死遂 沢庵宗彭 </v>
      </c>
      <c r="F205" s="7" t="str">
        <f>VLOOKUP(D205,[1]characters!$A:$J,10,FALSE)</f>
        <v>PremiumS</v>
      </c>
      <c r="G205" s="7">
        <f>VLOOKUP(D205,[1]characters!$A:$I,9,FALSE)</f>
        <v>5</v>
      </c>
      <c r="H205" s="7" t="str">
        <f>VLOOKUP(D205,[1]characters!$A:$H,8,FALSE)</f>
        <v>yellow</v>
      </c>
      <c r="I205" s="7" t="str">
        <f>VLOOKUP(D205,[1]characters!$A:$K,11,FALSE)</f>
        <v>hp</v>
      </c>
      <c r="J205" s="7" t="str">
        <f>VLOOKUP(D205,[1]characters!$A:$M,13,FALSE)</f>
        <v>human</v>
      </c>
      <c r="K205" s="7" t="str">
        <f>VLOOKUP(D205,[1]characters!$A:$G,7,FALSE)</f>
        <v>男性</v>
      </c>
      <c r="L205" s="66">
        <f>IFERROR(VLOOKUP(D205,input_0!L:R,7,FALSE),VLOOKUP(tables_0!B205,input_0!A:H,8,FALSE))</f>
        <v>46176</v>
      </c>
      <c r="M205" s="67">
        <f t="shared" si="9"/>
        <v>8.8888888888888893E-4</v>
      </c>
      <c r="N205" s="31">
        <f>IFERROR(VLOOKUP($D205,bug_conf_sheet!$A:$H,3,FALSE),VLOOKUP("other",bug_conf_sheet!$A:$H,3,FALSE))</f>
        <v>1</v>
      </c>
      <c r="O205" s="31">
        <f>IFERROR(VLOOKUP($D205,bug_conf_sheet!$A:$H,4,FALSE),VLOOKUP("other",bug_conf_sheet!$A:$H,4,FALSE))</f>
        <v>0</v>
      </c>
      <c r="P205" s="31">
        <f>IFERROR(VLOOKUP($D205,bug_conf_sheet!$A:$H,5,FALSE),VLOOKUP("other",bug_conf_sheet!$A:$H,5,FALSE))</f>
        <v>0</v>
      </c>
      <c r="Q205" s="31">
        <f>IFERROR(VLOOKUP($D205,bug_conf_sheet!$A:$H,6,FALSE),VLOOKUP("other",bug_conf_sheet!$A:$H,6,FALSE))</f>
        <v>0</v>
      </c>
      <c r="R205" s="31">
        <f>IFERROR(VLOOKUP($D205,bug_conf_sheet!$A:$H,7,FALSE),VLOOKUP("other",bug_conf_sheet!$A:$H,7,FALSE))</f>
        <v>0</v>
      </c>
      <c r="S205" s="31">
        <f>IFERROR(VLOOKUP($D205,bug_conf_sheet!$A:$H,8,FALSE),VLOOKUP("other",bug_conf_sheet!$A:$H,8,FALSE))</f>
        <v>1</v>
      </c>
    </row>
    <row r="206" spans="1:19" ht="21" customHeight="1">
      <c r="A206" s="2">
        <f>input_0!A$2</f>
        <v>3120</v>
      </c>
      <c r="B206" s="7" t="str">
        <f t="shared" si="10"/>
        <v>PremiumSS4</v>
      </c>
      <c r="C206" s="7" t="str">
        <f t="shared" si="11"/>
        <v>PremiumSS</v>
      </c>
      <c r="D206" s="6">
        <v>492</v>
      </c>
      <c r="E206" s="7" t="str">
        <f>VLOOKUP(D206,[1]characters!$A:$C,3,FALSE)</f>
        <v>ブートレグ・ペロー</v>
      </c>
      <c r="F206" s="7" t="str">
        <f>VLOOKUP(D206,[1]characters!$A:$J,10,FALSE)</f>
        <v>PremiumSS</v>
      </c>
      <c r="G206" s="7">
        <f>VLOOKUP(D206,[1]characters!$A:$I,9,FALSE)</f>
        <v>4</v>
      </c>
      <c r="H206" s="7" t="str">
        <f>VLOOKUP(D206,[1]characters!$A:$H,8,FALSE)</f>
        <v>red</v>
      </c>
      <c r="I206" s="7" t="str">
        <f>VLOOKUP(D206,[1]characters!$A:$K,11,FALSE)</f>
        <v>hp</v>
      </c>
      <c r="J206" s="7" t="str">
        <f>VLOOKUP(D206,[1]characters!$A:$M,13,FALSE)</f>
        <v>animal</v>
      </c>
      <c r="K206" s="7" t="str">
        <f>VLOOKUP(D206,[1]characters!$A:$G,7,FALSE)</f>
        <v>不明</v>
      </c>
      <c r="L206" s="66">
        <f>IFERROR(VLOOKUP(D206,input_0!L:R,7,FALSE),VLOOKUP(tables_0!B206,input_0!A:H,8,FALSE))</f>
        <v>75924</v>
      </c>
      <c r="M206" s="67">
        <f t="shared" si="9"/>
        <v>1.4615384615384616E-3</v>
      </c>
      <c r="N206" s="31">
        <f>IFERROR(VLOOKUP($D206,bug_conf_sheet!$A:$H,3,FALSE),VLOOKUP("other",bug_conf_sheet!$A:$H,3,FALSE))</f>
        <v>1</v>
      </c>
      <c r="O206" s="31">
        <f>IFERROR(VLOOKUP($D206,bug_conf_sheet!$A:$H,4,FALSE),VLOOKUP("other",bug_conf_sheet!$A:$H,4,FALSE))</f>
        <v>0</v>
      </c>
      <c r="P206" s="31">
        <f>IFERROR(VLOOKUP($D206,bug_conf_sheet!$A:$H,5,FALSE),VLOOKUP("other",bug_conf_sheet!$A:$H,5,FALSE))</f>
        <v>0</v>
      </c>
      <c r="Q206" s="31">
        <f>IFERROR(VLOOKUP($D206,bug_conf_sheet!$A:$H,6,FALSE),VLOOKUP("other",bug_conf_sheet!$A:$H,6,FALSE))</f>
        <v>0</v>
      </c>
      <c r="R206" s="31">
        <f>IFERROR(VLOOKUP($D206,bug_conf_sheet!$A:$H,7,FALSE),VLOOKUP("other",bug_conf_sheet!$A:$H,7,FALSE))</f>
        <v>0</v>
      </c>
      <c r="S206" s="31">
        <f>IFERROR(VLOOKUP($D206,bug_conf_sheet!$A:$H,8,FALSE),VLOOKUP("other",bug_conf_sheet!$A:$H,8,FALSE))</f>
        <v>1</v>
      </c>
    </row>
    <row r="207" spans="1:19" ht="21" customHeight="1">
      <c r="A207" s="2">
        <f>input_0!A$2</f>
        <v>3120</v>
      </c>
      <c r="B207" s="7" t="str">
        <f t="shared" si="10"/>
        <v>PremiumSS5</v>
      </c>
      <c r="C207" s="7" t="str">
        <f t="shared" si="11"/>
        <v>PremiumSS</v>
      </c>
      <c r="D207" s="6">
        <v>493</v>
      </c>
      <c r="E207" s="7" t="str">
        <f>VLOOKUP(D207,[1]characters!$A:$C,3,FALSE)</f>
        <v>跋扈の機脚 ブートレグ・ペロー</v>
      </c>
      <c r="F207" s="7" t="str">
        <f>VLOOKUP(D207,[1]characters!$A:$J,10,FALSE)</f>
        <v>PremiumSS</v>
      </c>
      <c r="G207" s="7">
        <f>VLOOKUP(D207,[1]characters!$A:$I,9,FALSE)</f>
        <v>5</v>
      </c>
      <c r="H207" s="7" t="str">
        <f>VLOOKUP(D207,[1]characters!$A:$H,8,FALSE)</f>
        <v>red</v>
      </c>
      <c r="I207" s="7" t="str">
        <f>VLOOKUP(D207,[1]characters!$A:$K,11,FALSE)</f>
        <v>hp</v>
      </c>
      <c r="J207" s="7" t="str">
        <f>VLOOKUP(D207,[1]characters!$A:$M,13,FALSE)</f>
        <v>animal</v>
      </c>
      <c r="K207" s="7" t="str">
        <f>VLOOKUP(D207,[1]characters!$A:$G,7,FALSE)</f>
        <v>不明</v>
      </c>
      <c r="L207" s="66">
        <f>IFERROR(VLOOKUP(D207,input_0!L:R,7,FALSE),VLOOKUP(tables_0!B207,input_0!A:H,8,FALSE))</f>
        <v>3996</v>
      </c>
      <c r="M207" s="67">
        <f t="shared" si="9"/>
        <v>7.6923076923076926E-5</v>
      </c>
      <c r="N207" s="31">
        <f>IFERROR(VLOOKUP($D207,bug_conf_sheet!$A:$H,3,FALSE),VLOOKUP("other",bug_conf_sheet!$A:$H,3,FALSE))</f>
        <v>1</v>
      </c>
      <c r="O207" s="31">
        <f>IFERROR(VLOOKUP($D207,bug_conf_sheet!$A:$H,4,FALSE),VLOOKUP("other",bug_conf_sheet!$A:$H,4,FALSE))</f>
        <v>0</v>
      </c>
      <c r="P207" s="31">
        <f>IFERROR(VLOOKUP($D207,bug_conf_sheet!$A:$H,5,FALSE),VLOOKUP("other",bug_conf_sheet!$A:$H,5,FALSE))</f>
        <v>0</v>
      </c>
      <c r="Q207" s="31">
        <f>IFERROR(VLOOKUP($D207,bug_conf_sheet!$A:$H,6,FALSE),VLOOKUP("other",bug_conf_sheet!$A:$H,6,FALSE))</f>
        <v>0</v>
      </c>
      <c r="R207" s="31">
        <f>IFERROR(VLOOKUP($D207,bug_conf_sheet!$A:$H,7,FALSE),VLOOKUP("other",bug_conf_sheet!$A:$H,7,FALSE))</f>
        <v>0</v>
      </c>
      <c r="S207" s="31">
        <f>IFERROR(VLOOKUP($D207,bug_conf_sheet!$A:$H,8,FALSE),VLOOKUP("other",bug_conf_sheet!$A:$H,8,FALSE))</f>
        <v>1</v>
      </c>
    </row>
    <row r="208" spans="1:19" ht="21" customHeight="1">
      <c r="A208" s="2">
        <f>input_0!A$2</f>
        <v>3120</v>
      </c>
      <c r="B208" s="7" t="str">
        <f t="shared" si="10"/>
        <v>PremiumSS4</v>
      </c>
      <c r="C208" s="7" t="str">
        <f t="shared" si="11"/>
        <v>PremiumSS</v>
      </c>
      <c r="D208" s="6">
        <v>494</v>
      </c>
      <c r="E208" s="7" t="str">
        <f>VLOOKUP(D208,[1]characters!$A:$C,3,FALSE)</f>
        <v>ハーメルン</v>
      </c>
      <c r="F208" s="7" t="str">
        <f>VLOOKUP(D208,[1]characters!$A:$J,10,FALSE)</f>
        <v>PremiumSS</v>
      </c>
      <c r="G208" s="7">
        <f>VLOOKUP(D208,[1]characters!$A:$I,9,FALSE)</f>
        <v>4</v>
      </c>
      <c r="H208" s="7" t="str">
        <f>VLOOKUP(D208,[1]characters!$A:$H,8,FALSE)</f>
        <v>green</v>
      </c>
      <c r="I208" s="7" t="str">
        <f>VLOOKUP(D208,[1]characters!$A:$K,11,FALSE)</f>
        <v>technical</v>
      </c>
      <c r="J208" s="7" t="str">
        <f>VLOOKUP(D208,[1]characters!$A:$M,13,FALSE)</f>
        <v>human</v>
      </c>
      <c r="K208" s="7" t="str">
        <f>VLOOKUP(D208,[1]characters!$A:$G,7,FALSE)</f>
        <v>男性</v>
      </c>
      <c r="L208" s="66">
        <f>IFERROR(VLOOKUP(D208,input_0!L:R,7,FALSE),VLOOKUP(tables_0!B208,input_0!A:H,8,FALSE))</f>
        <v>75924</v>
      </c>
      <c r="M208" s="67">
        <f t="shared" si="9"/>
        <v>1.4615384615384616E-3</v>
      </c>
      <c r="N208" s="31">
        <f>IFERROR(VLOOKUP($D208,bug_conf_sheet!$A:$H,3,FALSE),VLOOKUP("other",bug_conf_sheet!$A:$H,3,FALSE))</f>
        <v>1</v>
      </c>
      <c r="O208" s="31">
        <f>IFERROR(VLOOKUP($D208,bug_conf_sheet!$A:$H,4,FALSE),VLOOKUP("other",bug_conf_sheet!$A:$H,4,FALSE))</f>
        <v>0</v>
      </c>
      <c r="P208" s="31">
        <f>IFERROR(VLOOKUP($D208,bug_conf_sheet!$A:$H,5,FALSE),VLOOKUP("other",bug_conf_sheet!$A:$H,5,FALSE))</f>
        <v>0</v>
      </c>
      <c r="Q208" s="31">
        <f>IFERROR(VLOOKUP($D208,bug_conf_sheet!$A:$H,6,FALSE),VLOOKUP("other",bug_conf_sheet!$A:$H,6,FALSE))</f>
        <v>0</v>
      </c>
      <c r="R208" s="31">
        <f>IFERROR(VLOOKUP($D208,bug_conf_sheet!$A:$H,7,FALSE),VLOOKUP("other",bug_conf_sheet!$A:$H,7,FALSE))</f>
        <v>0</v>
      </c>
      <c r="S208" s="31">
        <f>IFERROR(VLOOKUP($D208,bug_conf_sheet!$A:$H,8,FALSE),VLOOKUP("other",bug_conf_sheet!$A:$H,8,FALSE))</f>
        <v>1</v>
      </c>
    </row>
    <row r="209" spans="1:19" ht="21" customHeight="1">
      <c r="A209" s="2">
        <f>input_0!A$2</f>
        <v>3120</v>
      </c>
      <c r="B209" s="7" t="str">
        <f t="shared" si="10"/>
        <v>PremiumSS5</v>
      </c>
      <c r="C209" s="7" t="str">
        <f t="shared" si="11"/>
        <v>PremiumSS</v>
      </c>
      <c r="D209" s="6">
        <v>495</v>
      </c>
      <c r="E209" s="7" t="str">
        <f>VLOOKUP(D209,[1]characters!$A:$C,3,FALSE)</f>
        <v>鼠災呼ぶ笛音 ハーメルン</v>
      </c>
      <c r="F209" s="7" t="str">
        <f>VLOOKUP(D209,[1]characters!$A:$J,10,FALSE)</f>
        <v>PremiumSS</v>
      </c>
      <c r="G209" s="7">
        <f>VLOOKUP(D209,[1]characters!$A:$I,9,FALSE)</f>
        <v>5</v>
      </c>
      <c r="H209" s="7" t="str">
        <f>VLOOKUP(D209,[1]characters!$A:$H,8,FALSE)</f>
        <v>green</v>
      </c>
      <c r="I209" s="7" t="str">
        <f>VLOOKUP(D209,[1]characters!$A:$K,11,FALSE)</f>
        <v>technical</v>
      </c>
      <c r="J209" s="7" t="str">
        <f>VLOOKUP(D209,[1]characters!$A:$M,13,FALSE)</f>
        <v>human</v>
      </c>
      <c r="K209" s="7" t="str">
        <f>VLOOKUP(D209,[1]characters!$A:$G,7,FALSE)</f>
        <v>男性</v>
      </c>
      <c r="L209" s="66">
        <f>IFERROR(VLOOKUP(D209,input_0!L:R,7,FALSE),VLOOKUP(tables_0!B209,input_0!A:H,8,FALSE))</f>
        <v>3996</v>
      </c>
      <c r="M209" s="67">
        <f t="shared" si="9"/>
        <v>7.6923076923076926E-5</v>
      </c>
      <c r="N209" s="31">
        <f>IFERROR(VLOOKUP($D209,bug_conf_sheet!$A:$H,3,FALSE),VLOOKUP("other",bug_conf_sheet!$A:$H,3,FALSE))</f>
        <v>1</v>
      </c>
      <c r="O209" s="31">
        <f>IFERROR(VLOOKUP($D209,bug_conf_sheet!$A:$H,4,FALSE),VLOOKUP("other",bug_conf_sheet!$A:$H,4,FALSE))</f>
        <v>0</v>
      </c>
      <c r="P209" s="31">
        <f>IFERROR(VLOOKUP($D209,bug_conf_sheet!$A:$H,5,FALSE),VLOOKUP("other",bug_conf_sheet!$A:$H,5,FALSE))</f>
        <v>0</v>
      </c>
      <c r="Q209" s="31">
        <f>IFERROR(VLOOKUP($D209,bug_conf_sheet!$A:$H,6,FALSE),VLOOKUP("other",bug_conf_sheet!$A:$H,6,FALSE))</f>
        <v>0</v>
      </c>
      <c r="R209" s="31">
        <f>IFERROR(VLOOKUP($D209,bug_conf_sheet!$A:$H,7,FALSE),VLOOKUP("other",bug_conf_sheet!$A:$H,7,FALSE))</f>
        <v>0</v>
      </c>
      <c r="S209" s="31">
        <f>IFERROR(VLOOKUP($D209,bug_conf_sheet!$A:$H,8,FALSE),VLOOKUP("other",bug_conf_sheet!$A:$H,8,FALSE))</f>
        <v>1</v>
      </c>
    </row>
    <row r="210" spans="1:19" ht="21" hidden="1" customHeight="1">
      <c r="A210" s="2">
        <f>input_0!A$2</f>
        <v>3120</v>
      </c>
      <c r="B210" s="7" t="str">
        <f t="shared" si="10"/>
        <v>Premium3</v>
      </c>
      <c r="C210" s="7" t="str">
        <f t="shared" si="11"/>
        <v>Premium</v>
      </c>
      <c r="D210" s="6">
        <v>496</v>
      </c>
      <c r="E210" s="7" t="str">
        <f>VLOOKUP(D210,[1]characters!$A:$C,3,FALSE)</f>
        <v>エスタブ</v>
      </c>
      <c r="F210" s="7" t="str">
        <f>VLOOKUP(D210,[1]characters!$A:$J,10,FALSE)</f>
        <v>PremiumS</v>
      </c>
      <c r="G210" s="7">
        <f>VLOOKUP(D210,[1]characters!$A:$I,9,FALSE)</f>
        <v>3</v>
      </c>
      <c r="H210" s="7" t="str">
        <f>VLOOKUP(D210,[1]characters!$A:$H,8,FALSE)</f>
        <v>blue</v>
      </c>
      <c r="I210" s="7" t="str">
        <f>VLOOKUP(D210,[1]characters!$A:$K,11,FALSE)</f>
        <v>attack</v>
      </c>
      <c r="J210" s="7" t="str">
        <f>VLOOKUP(D210,[1]characters!$A:$M,13,FALSE)</f>
        <v>human</v>
      </c>
      <c r="K210" s="7" t="str">
        <f>VLOOKUP(D210,[1]characters!$A:$G,7,FALSE)</f>
        <v>男性</v>
      </c>
      <c r="L210" s="66">
        <f>IFERROR(VLOOKUP(D210,input_0!L:R,7,FALSE),VLOOKUP(tables_0!B210,input_0!A:H,8,FALSE))</f>
        <v>0</v>
      </c>
      <c r="M210" s="67">
        <f t="shared" si="9"/>
        <v>0</v>
      </c>
      <c r="N210" s="31">
        <f>IFERROR(VLOOKUP($D210,bug_conf_sheet!$A:$H,3,FALSE),VLOOKUP("other",bug_conf_sheet!$A:$H,3,FALSE))</f>
        <v>1</v>
      </c>
      <c r="O210" s="31">
        <f>IFERROR(VLOOKUP($D210,bug_conf_sheet!$A:$H,4,FALSE),VLOOKUP("other",bug_conf_sheet!$A:$H,4,FALSE))</f>
        <v>0</v>
      </c>
      <c r="P210" s="31">
        <f>IFERROR(VLOOKUP($D210,bug_conf_sheet!$A:$H,5,FALSE),VLOOKUP("other",bug_conf_sheet!$A:$H,5,FALSE))</f>
        <v>0</v>
      </c>
      <c r="Q210" s="31">
        <f>IFERROR(VLOOKUP($D210,bug_conf_sheet!$A:$H,6,FALSE),VLOOKUP("other",bug_conf_sheet!$A:$H,6,FALSE))</f>
        <v>0</v>
      </c>
      <c r="R210" s="31">
        <f>IFERROR(VLOOKUP($D210,bug_conf_sheet!$A:$H,7,FALSE),VLOOKUP("other",bug_conf_sheet!$A:$H,7,FALSE))</f>
        <v>0</v>
      </c>
      <c r="S210" s="31">
        <f>IFERROR(VLOOKUP($D210,bug_conf_sheet!$A:$H,8,FALSE),VLOOKUP("other",bug_conf_sheet!$A:$H,8,FALSE))</f>
        <v>1</v>
      </c>
    </row>
    <row r="211" spans="1:19" ht="21" hidden="1" customHeight="1">
      <c r="A211" s="2">
        <f>input_0!A$2</f>
        <v>3120</v>
      </c>
      <c r="B211" s="7" t="str">
        <f t="shared" si="10"/>
        <v>Premium4</v>
      </c>
      <c r="C211" s="7" t="str">
        <f t="shared" si="11"/>
        <v>Premium</v>
      </c>
      <c r="D211" s="6">
        <v>497</v>
      </c>
      <c r="E211" s="7" t="str">
        <f>VLOOKUP(D211,[1]characters!$A:$C,3,FALSE)</f>
        <v>偏愛の野獣 エスタブ</v>
      </c>
      <c r="F211" s="7" t="str">
        <f>VLOOKUP(D211,[1]characters!$A:$J,10,FALSE)</f>
        <v>PremiumS</v>
      </c>
      <c r="G211" s="7">
        <f>VLOOKUP(D211,[1]characters!$A:$I,9,FALSE)</f>
        <v>4</v>
      </c>
      <c r="H211" s="7" t="str">
        <f>VLOOKUP(D211,[1]characters!$A:$H,8,FALSE)</f>
        <v>blue</v>
      </c>
      <c r="I211" s="7" t="str">
        <f>VLOOKUP(D211,[1]characters!$A:$K,11,FALSE)</f>
        <v>attack</v>
      </c>
      <c r="J211" s="7" t="str">
        <f>VLOOKUP(D211,[1]characters!$A:$M,13,FALSE)</f>
        <v>human</v>
      </c>
      <c r="K211" s="7" t="str">
        <f>VLOOKUP(D211,[1]characters!$A:$G,7,FALSE)</f>
        <v>男性</v>
      </c>
      <c r="L211" s="66">
        <f>IFERROR(VLOOKUP(D211,input_0!L:R,7,FALSE),VLOOKUP(tables_0!B211,input_0!A:H,8,FALSE))</f>
        <v>640224</v>
      </c>
      <c r="M211" s="67">
        <f t="shared" si="9"/>
        <v>1.2324324324324324E-2</v>
      </c>
      <c r="N211" s="31">
        <f>IFERROR(VLOOKUP($D211,bug_conf_sheet!$A:$H,3,FALSE),VLOOKUP("other",bug_conf_sheet!$A:$H,3,FALSE))</f>
        <v>1</v>
      </c>
      <c r="O211" s="31">
        <f>IFERROR(VLOOKUP($D211,bug_conf_sheet!$A:$H,4,FALSE),VLOOKUP("other",bug_conf_sheet!$A:$H,4,FALSE))</f>
        <v>0</v>
      </c>
      <c r="P211" s="31">
        <f>IFERROR(VLOOKUP($D211,bug_conf_sheet!$A:$H,5,FALSE),VLOOKUP("other",bug_conf_sheet!$A:$H,5,FALSE))</f>
        <v>0</v>
      </c>
      <c r="Q211" s="31">
        <f>IFERROR(VLOOKUP($D211,bug_conf_sheet!$A:$H,6,FALSE),VLOOKUP("other",bug_conf_sheet!$A:$H,6,FALSE))</f>
        <v>0</v>
      </c>
      <c r="R211" s="31">
        <f>IFERROR(VLOOKUP($D211,bug_conf_sheet!$A:$H,7,FALSE),VLOOKUP("other",bug_conf_sheet!$A:$H,7,FALSE))</f>
        <v>0</v>
      </c>
      <c r="S211" s="31">
        <f>IFERROR(VLOOKUP($D211,bug_conf_sheet!$A:$H,8,FALSE),VLOOKUP("other",bug_conf_sheet!$A:$H,8,FALSE))</f>
        <v>1</v>
      </c>
    </row>
    <row r="212" spans="1:19" ht="21" hidden="1" customHeight="1">
      <c r="A212" s="2">
        <f>input_0!A$2</f>
        <v>3120</v>
      </c>
      <c r="B212" s="7" t="str">
        <f t="shared" si="10"/>
        <v>Premium5</v>
      </c>
      <c r="C212" s="7" t="str">
        <f t="shared" si="11"/>
        <v>Premium</v>
      </c>
      <c r="D212" s="6">
        <v>498</v>
      </c>
      <c r="E212" s="7" t="str">
        <f>VLOOKUP(D212,[1]characters!$A:$C,3,FALSE)</f>
        <v>自愛の高魔 エスタブ</v>
      </c>
      <c r="F212" s="7" t="str">
        <f>VLOOKUP(D212,[1]characters!$A:$J,10,FALSE)</f>
        <v>PremiumS</v>
      </c>
      <c r="G212" s="7">
        <f>VLOOKUP(D212,[1]characters!$A:$I,9,FALSE)</f>
        <v>5</v>
      </c>
      <c r="H212" s="7" t="str">
        <f>VLOOKUP(D212,[1]characters!$A:$H,8,FALSE)</f>
        <v>blue</v>
      </c>
      <c r="I212" s="7" t="str">
        <f>VLOOKUP(D212,[1]characters!$A:$K,11,FALSE)</f>
        <v>attack</v>
      </c>
      <c r="J212" s="7" t="str">
        <f>VLOOKUP(D212,[1]characters!$A:$M,13,FALSE)</f>
        <v>human</v>
      </c>
      <c r="K212" s="7" t="str">
        <f>VLOOKUP(D212,[1]characters!$A:$G,7,FALSE)</f>
        <v>男性</v>
      </c>
      <c r="L212" s="66">
        <f>IFERROR(VLOOKUP(D212,input_0!L:R,7,FALSE),VLOOKUP(tables_0!B212,input_0!A:H,8,FALSE))</f>
        <v>46176</v>
      </c>
      <c r="M212" s="67">
        <f t="shared" si="9"/>
        <v>8.8888888888888893E-4</v>
      </c>
      <c r="N212" s="31">
        <f>IFERROR(VLOOKUP($D212,bug_conf_sheet!$A:$H,3,FALSE),VLOOKUP("other",bug_conf_sheet!$A:$H,3,FALSE))</f>
        <v>1</v>
      </c>
      <c r="O212" s="31">
        <f>IFERROR(VLOOKUP($D212,bug_conf_sheet!$A:$H,4,FALSE),VLOOKUP("other",bug_conf_sheet!$A:$H,4,FALSE))</f>
        <v>0</v>
      </c>
      <c r="P212" s="31">
        <f>IFERROR(VLOOKUP($D212,bug_conf_sheet!$A:$H,5,FALSE),VLOOKUP("other",bug_conf_sheet!$A:$H,5,FALSE))</f>
        <v>0</v>
      </c>
      <c r="Q212" s="31">
        <f>IFERROR(VLOOKUP($D212,bug_conf_sheet!$A:$H,6,FALSE),VLOOKUP("other",bug_conf_sheet!$A:$H,6,FALSE))</f>
        <v>0</v>
      </c>
      <c r="R212" s="31">
        <f>IFERROR(VLOOKUP($D212,bug_conf_sheet!$A:$H,7,FALSE),VLOOKUP("other",bug_conf_sheet!$A:$H,7,FALSE))</f>
        <v>0</v>
      </c>
      <c r="S212" s="31">
        <f>IFERROR(VLOOKUP($D212,bug_conf_sheet!$A:$H,8,FALSE),VLOOKUP("other",bug_conf_sheet!$A:$H,8,FALSE))</f>
        <v>1</v>
      </c>
    </row>
    <row r="213" spans="1:19" ht="21" customHeight="1">
      <c r="A213" s="2">
        <f>input_0!A$2</f>
        <v>3120</v>
      </c>
      <c r="B213" s="7" t="str">
        <f t="shared" si="10"/>
        <v>PremiumSS4</v>
      </c>
      <c r="C213" s="7" t="str">
        <f t="shared" si="11"/>
        <v>PremiumSS</v>
      </c>
      <c r="D213" s="6">
        <v>499</v>
      </c>
      <c r="E213" s="7" t="str">
        <f>VLOOKUP(D213,[1]characters!$A:$C,3,FALSE)</f>
        <v>ラプンツェル</v>
      </c>
      <c r="F213" s="7" t="str">
        <f>VLOOKUP(D213,[1]characters!$A:$J,10,FALSE)</f>
        <v>PremiumSS</v>
      </c>
      <c r="G213" s="7">
        <f>VLOOKUP(D213,[1]characters!$A:$I,9,FALSE)</f>
        <v>4</v>
      </c>
      <c r="H213" s="7" t="str">
        <f>VLOOKUP(D213,[1]characters!$A:$H,8,FALSE)</f>
        <v>yellow</v>
      </c>
      <c r="I213" s="7" t="str">
        <f>VLOOKUP(D213,[1]characters!$A:$K,11,FALSE)</f>
        <v>balance</v>
      </c>
      <c r="J213" s="7" t="str">
        <f>VLOOKUP(D213,[1]characters!$A:$M,13,FALSE)</f>
        <v>human</v>
      </c>
      <c r="K213" s="7" t="str">
        <f>VLOOKUP(D213,[1]characters!$A:$G,7,FALSE)</f>
        <v>女性</v>
      </c>
      <c r="L213" s="66">
        <f>IFERROR(VLOOKUP(D213,input_0!L:R,7,FALSE),VLOOKUP(tables_0!B213,input_0!A:H,8,FALSE))</f>
        <v>75924</v>
      </c>
      <c r="M213" s="67">
        <f t="shared" si="9"/>
        <v>1.4615384615384616E-3</v>
      </c>
      <c r="N213" s="31">
        <f>IFERROR(VLOOKUP($D213,bug_conf_sheet!$A:$H,3,FALSE),VLOOKUP("other",bug_conf_sheet!$A:$H,3,FALSE))</f>
        <v>1</v>
      </c>
      <c r="O213" s="31">
        <f>IFERROR(VLOOKUP($D213,bug_conf_sheet!$A:$H,4,FALSE),VLOOKUP("other",bug_conf_sheet!$A:$H,4,FALSE))</f>
        <v>0</v>
      </c>
      <c r="P213" s="31">
        <f>IFERROR(VLOOKUP($D213,bug_conf_sheet!$A:$H,5,FALSE),VLOOKUP("other",bug_conf_sheet!$A:$H,5,FALSE))</f>
        <v>0</v>
      </c>
      <c r="Q213" s="31">
        <f>IFERROR(VLOOKUP($D213,bug_conf_sheet!$A:$H,6,FALSE),VLOOKUP("other",bug_conf_sheet!$A:$H,6,FALSE))</f>
        <v>0</v>
      </c>
      <c r="R213" s="31">
        <f>IFERROR(VLOOKUP($D213,bug_conf_sheet!$A:$H,7,FALSE),VLOOKUP("other",bug_conf_sheet!$A:$H,7,FALSE))</f>
        <v>0</v>
      </c>
      <c r="S213" s="31">
        <f>IFERROR(VLOOKUP($D213,bug_conf_sheet!$A:$H,8,FALSE),VLOOKUP("other",bug_conf_sheet!$A:$H,8,FALSE))</f>
        <v>1</v>
      </c>
    </row>
    <row r="214" spans="1:19" ht="21" customHeight="1">
      <c r="A214" s="2">
        <f>input_0!A$2</f>
        <v>3120</v>
      </c>
      <c r="B214" s="7" t="str">
        <f t="shared" si="10"/>
        <v>PremiumSS5</v>
      </c>
      <c r="C214" s="7" t="str">
        <f t="shared" si="11"/>
        <v>PremiumSS</v>
      </c>
      <c r="D214" s="6">
        <v>500</v>
      </c>
      <c r="E214" s="7" t="str">
        <f>VLOOKUP(D214,[1]characters!$A:$C,3,FALSE)</f>
        <v>脈動の禁髪 ラプンツェル</v>
      </c>
      <c r="F214" s="7" t="str">
        <f>VLOOKUP(D214,[1]characters!$A:$J,10,FALSE)</f>
        <v>PremiumSS</v>
      </c>
      <c r="G214" s="7">
        <f>VLOOKUP(D214,[1]characters!$A:$I,9,FALSE)</f>
        <v>5</v>
      </c>
      <c r="H214" s="7" t="str">
        <f>VLOOKUP(D214,[1]characters!$A:$H,8,FALSE)</f>
        <v>yellow</v>
      </c>
      <c r="I214" s="7" t="str">
        <f>VLOOKUP(D214,[1]characters!$A:$K,11,FALSE)</f>
        <v>balance</v>
      </c>
      <c r="J214" s="7" t="str">
        <f>VLOOKUP(D214,[1]characters!$A:$M,13,FALSE)</f>
        <v>human</v>
      </c>
      <c r="K214" s="7" t="str">
        <f>VLOOKUP(D214,[1]characters!$A:$G,7,FALSE)</f>
        <v>女性</v>
      </c>
      <c r="L214" s="66">
        <f>IFERROR(VLOOKUP(D214,input_0!L:R,7,FALSE),VLOOKUP(tables_0!B214,input_0!A:H,8,FALSE))</f>
        <v>3996</v>
      </c>
      <c r="M214" s="67">
        <f t="shared" si="9"/>
        <v>7.6923076923076926E-5</v>
      </c>
      <c r="N214" s="31">
        <f>IFERROR(VLOOKUP($D214,bug_conf_sheet!$A:$H,3,FALSE),VLOOKUP("other",bug_conf_sheet!$A:$H,3,FALSE))</f>
        <v>1</v>
      </c>
      <c r="O214" s="31">
        <f>IFERROR(VLOOKUP($D214,bug_conf_sheet!$A:$H,4,FALSE),VLOOKUP("other",bug_conf_sheet!$A:$H,4,FALSE))</f>
        <v>0</v>
      </c>
      <c r="P214" s="31">
        <f>IFERROR(VLOOKUP($D214,bug_conf_sheet!$A:$H,5,FALSE),VLOOKUP("other",bug_conf_sheet!$A:$H,5,FALSE))</f>
        <v>0</v>
      </c>
      <c r="Q214" s="31">
        <f>IFERROR(VLOOKUP($D214,bug_conf_sheet!$A:$H,6,FALSE),VLOOKUP("other",bug_conf_sheet!$A:$H,6,FALSE))</f>
        <v>0</v>
      </c>
      <c r="R214" s="31">
        <f>IFERROR(VLOOKUP($D214,bug_conf_sheet!$A:$H,7,FALSE),VLOOKUP("other",bug_conf_sheet!$A:$H,7,FALSE))</f>
        <v>0</v>
      </c>
      <c r="S214" s="31">
        <f>IFERROR(VLOOKUP($D214,bug_conf_sheet!$A:$H,8,FALSE),VLOOKUP("other",bug_conf_sheet!$A:$H,8,FALSE))</f>
        <v>1</v>
      </c>
    </row>
    <row r="215" spans="1:19" ht="21" customHeight="1">
      <c r="A215" s="2">
        <f>input_0!A$2</f>
        <v>3120</v>
      </c>
      <c r="B215" s="7" t="str">
        <f t="shared" si="10"/>
        <v>PremiumSS4</v>
      </c>
      <c r="C215" s="7" t="str">
        <f t="shared" si="11"/>
        <v>PremiumSS</v>
      </c>
      <c r="D215" s="6">
        <v>586</v>
      </c>
      <c r="E215" s="7" t="str">
        <f>VLOOKUP(D215,[1]characters!$A:$C,3,FALSE)</f>
        <v>ユミル</v>
      </c>
      <c r="F215" s="7" t="str">
        <f>VLOOKUP(D215,[1]characters!$A:$J,10,FALSE)</f>
        <v>PremiumSS</v>
      </c>
      <c r="G215" s="7">
        <f>VLOOKUP(D215,[1]characters!$A:$I,9,FALSE)</f>
        <v>4</v>
      </c>
      <c r="H215" s="7" t="str">
        <f>VLOOKUP(D215,[1]characters!$A:$H,8,FALSE)</f>
        <v>red</v>
      </c>
      <c r="I215" s="7" t="str">
        <f>VLOOKUP(D215,[1]characters!$A:$K,11,FALSE)</f>
        <v>hp</v>
      </c>
      <c r="J215" s="7" t="str">
        <f>VLOOKUP(D215,[1]characters!$A:$M,13,FALSE)</f>
        <v>machine</v>
      </c>
      <c r="K215" s="7" t="str">
        <f>VLOOKUP(D215,[1]characters!$A:$G,7,FALSE)</f>
        <v>不明</v>
      </c>
      <c r="L215" s="66">
        <f>IFERROR(VLOOKUP(D215,input_0!L:R,7,FALSE),VLOOKUP(tables_0!B215,input_0!A:H,8,FALSE))</f>
        <v>75924</v>
      </c>
      <c r="M215" s="67">
        <f t="shared" si="9"/>
        <v>1.4615384615384616E-3</v>
      </c>
      <c r="N215" s="31">
        <f>IFERROR(VLOOKUP($D215,bug_conf_sheet!$A:$H,3,FALSE),VLOOKUP("other",bug_conf_sheet!$A:$H,3,FALSE))</f>
        <v>1</v>
      </c>
      <c r="O215" s="31">
        <f>IFERROR(VLOOKUP($D215,bug_conf_sheet!$A:$H,4,FALSE),VLOOKUP("other",bug_conf_sheet!$A:$H,4,FALSE))</f>
        <v>0</v>
      </c>
      <c r="P215" s="31">
        <f>IFERROR(VLOOKUP($D215,bug_conf_sheet!$A:$H,5,FALSE),VLOOKUP("other",bug_conf_sheet!$A:$H,5,FALSE))</f>
        <v>0</v>
      </c>
      <c r="Q215" s="31">
        <f>IFERROR(VLOOKUP($D215,bug_conf_sheet!$A:$H,6,FALSE),VLOOKUP("other",bug_conf_sheet!$A:$H,6,FALSE))</f>
        <v>0</v>
      </c>
      <c r="R215" s="31">
        <f>IFERROR(VLOOKUP($D215,bug_conf_sheet!$A:$H,7,FALSE),VLOOKUP("other",bug_conf_sheet!$A:$H,7,FALSE))</f>
        <v>0</v>
      </c>
      <c r="S215" s="31">
        <f>IFERROR(VLOOKUP($D215,bug_conf_sheet!$A:$H,8,FALSE),VLOOKUP("other",bug_conf_sheet!$A:$H,8,FALSE))</f>
        <v>1</v>
      </c>
    </row>
    <row r="216" spans="1:19" ht="21" customHeight="1">
      <c r="A216" s="2">
        <f>input_0!A$2</f>
        <v>3120</v>
      </c>
      <c r="B216" s="7" t="str">
        <f t="shared" si="10"/>
        <v>PremiumSS5</v>
      </c>
      <c r="C216" s="7" t="str">
        <f t="shared" si="11"/>
        <v>PremiumSS</v>
      </c>
      <c r="D216" s="6">
        <v>587</v>
      </c>
      <c r="E216" s="7" t="str">
        <f>VLOOKUP(D216,[1]characters!$A:$C,3,FALSE)</f>
        <v>原初の煉鋼巨刃 ユミル</v>
      </c>
      <c r="F216" s="7" t="str">
        <f>VLOOKUP(D216,[1]characters!$A:$J,10,FALSE)</f>
        <v>PremiumSS</v>
      </c>
      <c r="G216" s="7">
        <f>VLOOKUP(D216,[1]characters!$A:$I,9,FALSE)</f>
        <v>5</v>
      </c>
      <c r="H216" s="7" t="str">
        <f>VLOOKUP(D216,[1]characters!$A:$H,8,FALSE)</f>
        <v>red</v>
      </c>
      <c r="I216" s="7" t="str">
        <f>VLOOKUP(D216,[1]characters!$A:$K,11,FALSE)</f>
        <v>hp</v>
      </c>
      <c r="J216" s="7" t="str">
        <f>VLOOKUP(D216,[1]characters!$A:$M,13,FALSE)</f>
        <v>machine</v>
      </c>
      <c r="K216" s="7" t="str">
        <f>VLOOKUP(D216,[1]characters!$A:$G,7,FALSE)</f>
        <v>不明</v>
      </c>
      <c r="L216" s="66">
        <f>IFERROR(VLOOKUP(D216,input_0!L:R,7,FALSE),VLOOKUP(tables_0!B216,input_0!A:H,8,FALSE))</f>
        <v>3996</v>
      </c>
      <c r="M216" s="67">
        <f t="shared" si="9"/>
        <v>7.6923076923076926E-5</v>
      </c>
      <c r="N216" s="31">
        <f>IFERROR(VLOOKUP($D216,bug_conf_sheet!$A:$H,3,FALSE),VLOOKUP("other",bug_conf_sheet!$A:$H,3,FALSE))</f>
        <v>1</v>
      </c>
      <c r="O216" s="31">
        <f>IFERROR(VLOOKUP($D216,bug_conf_sheet!$A:$H,4,FALSE),VLOOKUP("other",bug_conf_sheet!$A:$H,4,FALSE))</f>
        <v>0</v>
      </c>
      <c r="P216" s="31">
        <f>IFERROR(VLOOKUP($D216,bug_conf_sheet!$A:$H,5,FALSE),VLOOKUP("other",bug_conf_sheet!$A:$H,5,FALSE))</f>
        <v>0</v>
      </c>
      <c r="Q216" s="31">
        <f>IFERROR(VLOOKUP($D216,bug_conf_sheet!$A:$H,6,FALSE),VLOOKUP("other",bug_conf_sheet!$A:$H,6,FALSE))</f>
        <v>0</v>
      </c>
      <c r="R216" s="31">
        <f>IFERROR(VLOOKUP($D216,bug_conf_sheet!$A:$H,7,FALSE),VLOOKUP("other",bug_conf_sheet!$A:$H,7,FALSE))</f>
        <v>0</v>
      </c>
      <c r="S216" s="31">
        <f>IFERROR(VLOOKUP($D216,bug_conf_sheet!$A:$H,8,FALSE),VLOOKUP("other",bug_conf_sheet!$A:$H,8,FALSE))</f>
        <v>1</v>
      </c>
    </row>
    <row r="217" spans="1:19" ht="21" hidden="1" customHeight="1">
      <c r="A217" s="2">
        <f>input_0!A$2</f>
        <v>3120</v>
      </c>
      <c r="B217" s="7" t="str">
        <f t="shared" si="10"/>
        <v>Premium3</v>
      </c>
      <c r="C217" s="7" t="str">
        <f t="shared" si="11"/>
        <v>Premium</v>
      </c>
      <c r="D217" s="6">
        <v>588</v>
      </c>
      <c r="E217" s="7" t="str">
        <f>VLOOKUP(D217,[1]characters!$A:$C,3,FALSE)</f>
        <v>ニーベルゲン</v>
      </c>
      <c r="F217" s="7" t="str">
        <f>VLOOKUP(D217,[1]characters!$A:$J,10,FALSE)</f>
        <v>PremiumS</v>
      </c>
      <c r="G217" s="7">
        <f>VLOOKUP(D217,[1]characters!$A:$I,9,FALSE)</f>
        <v>3</v>
      </c>
      <c r="H217" s="7" t="str">
        <f>VLOOKUP(D217,[1]characters!$A:$H,8,FALSE)</f>
        <v>green</v>
      </c>
      <c r="I217" s="7" t="str">
        <f>VLOOKUP(D217,[1]characters!$A:$K,11,FALSE)</f>
        <v>balance</v>
      </c>
      <c r="J217" s="7" t="str">
        <f>VLOOKUP(D217,[1]characters!$A:$M,13,FALSE)</f>
        <v>unknown</v>
      </c>
      <c r="K217" s="7" t="str">
        <f>VLOOKUP(D217,[1]characters!$A:$G,7,FALSE)</f>
        <v>女性</v>
      </c>
      <c r="L217" s="66">
        <f>IFERROR(VLOOKUP(D217,input_0!L:R,7,FALSE),VLOOKUP(tables_0!B217,input_0!A:H,8,FALSE))</f>
        <v>0</v>
      </c>
      <c r="M217" s="67">
        <f t="shared" si="9"/>
        <v>0</v>
      </c>
      <c r="N217" s="31">
        <f>IFERROR(VLOOKUP($D217,bug_conf_sheet!$A:$H,3,FALSE),VLOOKUP("other",bug_conf_sheet!$A:$H,3,FALSE))</f>
        <v>1</v>
      </c>
      <c r="O217" s="31">
        <f>IFERROR(VLOOKUP($D217,bug_conf_sheet!$A:$H,4,FALSE),VLOOKUP("other",bug_conf_sheet!$A:$H,4,FALSE))</f>
        <v>0</v>
      </c>
      <c r="P217" s="31">
        <f>IFERROR(VLOOKUP($D217,bug_conf_sheet!$A:$H,5,FALSE),VLOOKUP("other",bug_conf_sheet!$A:$H,5,FALSE))</f>
        <v>0</v>
      </c>
      <c r="Q217" s="31">
        <f>IFERROR(VLOOKUP($D217,bug_conf_sheet!$A:$H,6,FALSE),VLOOKUP("other",bug_conf_sheet!$A:$H,6,FALSE))</f>
        <v>0</v>
      </c>
      <c r="R217" s="31">
        <f>IFERROR(VLOOKUP($D217,bug_conf_sheet!$A:$H,7,FALSE),VLOOKUP("other",bug_conf_sheet!$A:$H,7,FALSE))</f>
        <v>0</v>
      </c>
      <c r="S217" s="31">
        <f>IFERROR(VLOOKUP($D217,bug_conf_sheet!$A:$H,8,FALSE),VLOOKUP("other",bug_conf_sheet!$A:$H,8,FALSE))</f>
        <v>1</v>
      </c>
    </row>
    <row r="218" spans="1:19" ht="21" hidden="1" customHeight="1">
      <c r="A218" s="2">
        <f>input_0!A$2</f>
        <v>3120</v>
      </c>
      <c r="B218" s="7" t="str">
        <f t="shared" si="10"/>
        <v>Premium4</v>
      </c>
      <c r="C218" s="7" t="str">
        <f t="shared" si="11"/>
        <v>Premium</v>
      </c>
      <c r="D218" s="6">
        <v>589</v>
      </c>
      <c r="E218" s="7" t="str">
        <f>VLOOKUP(D218,[1]characters!$A:$C,3,FALSE)</f>
        <v>不幸の円環 ニーベルゲン</v>
      </c>
      <c r="F218" s="7" t="str">
        <f>VLOOKUP(D218,[1]characters!$A:$J,10,FALSE)</f>
        <v>PremiumS</v>
      </c>
      <c r="G218" s="7">
        <f>VLOOKUP(D218,[1]characters!$A:$I,9,FALSE)</f>
        <v>4</v>
      </c>
      <c r="H218" s="7" t="str">
        <f>VLOOKUP(D218,[1]characters!$A:$H,8,FALSE)</f>
        <v>green</v>
      </c>
      <c r="I218" s="7" t="str">
        <f>VLOOKUP(D218,[1]characters!$A:$K,11,FALSE)</f>
        <v>balance</v>
      </c>
      <c r="J218" s="7" t="str">
        <f>VLOOKUP(D218,[1]characters!$A:$M,13,FALSE)</f>
        <v>unknown</v>
      </c>
      <c r="K218" s="7" t="str">
        <f>VLOOKUP(D218,[1]characters!$A:$G,7,FALSE)</f>
        <v>女性</v>
      </c>
      <c r="L218" s="66">
        <f>IFERROR(VLOOKUP(D218,input_0!L:R,7,FALSE),VLOOKUP(tables_0!B218,input_0!A:H,8,FALSE))</f>
        <v>640224</v>
      </c>
      <c r="M218" s="67">
        <f t="shared" si="9"/>
        <v>1.2324324324324324E-2</v>
      </c>
      <c r="N218" s="31">
        <f>IFERROR(VLOOKUP($D218,bug_conf_sheet!$A:$H,3,FALSE),VLOOKUP("other",bug_conf_sheet!$A:$H,3,FALSE))</f>
        <v>1</v>
      </c>
      <c r="O218" s="31">
        <f>IFERROR(VLOOKUP($D218,bug_conf_sheet!$A:$H,4,FALSE),VLOOKUP("other",bug_conf_sheet!$A:$H,4,FALSE))</f>
        <v>0</v>
      </c>
      <c r="P218" s="31">
        <f>IFERROR(VLOOKUP($D218,bug_conf_sheet!$A:$H,5,FALSE),VLOOKUP("other",bug_conf_sheet!$A:$H,5,FALSE))</f>
        <v>0</v>
      </c>
      <c r="Q218" s="31">
        <f>IFERROR(VLOOKUP($D218,bug_conf_sheet!$A:$H,6,FALSE),VLOOKUP("other",bug_conf_sheet!$A:$H,6,FALSE))</f>
        <v>0</v>
      </c>
      <c r="R218" s="31">
        <f>IFERROR(VLOOKUP($D218,bug_conf_sheet!$A:$H,7,FALSE),VLOOKUP("other",bug_conf_sheet!$A:$H,7,FALSE))</f>
        <v>0</v>
      </c>
      <c r="S218" s="31">
        <f>IFERROR(VLOOKUP($D218,bug_conf_sheet!$A:$H,8,FALSE),VLOOKUP("other",bug_conf_sheet!$A:$H,8,FALSE))</f>
        <v>1</v>
      </c>
    </row>
    <row r="219" spans="1:19" ht="21" hidden="1" customHeight="1">
      <c r="A219" s="2">
        <f>input_0!A$2</f>
        <v>3120</v>
      </c>
      <c r="B219" s="7" t="str">
        <f t="shared" si="10"/>
        <v>Premium5</v>
      </c>
      <c r="C219" s="7" t="str">
        <f t="shared" si="11"/>
        <v>Premium</v>
      </c>
      <c r="D219" s="6">
        <v>590</v>
      </c>
      <c r="E219" s="7" t="str">
        <f>VLOOKUP(D219,[1]characters!$A:$C,3,FALSE)</f>
        <v>永遠を廻る呪い ニーベルゲン</v>
      </c>
      <c r="F219" s="7" t="str">
        <f>VLOOKUP(D219,[1]characters!$A:$J,10,FALSE)</f>
        <v>PremiumS</v>
      </c>
      <c r="G219" s="7">
        <f>VLOOKUP(D219,[1]characters!$A:$I,9,FALSE)</f>
        <v>5</v>
      </c>
      <c r="H219" s="7" t="str">
        <f>VLOOKUP(D219,[1]characters!$A:$H,8,FALSE)</f>
        <v>green</v>
      </c>
      <c r="I219" s="7" t="str">
        <f>VLOOKUP(D219,[1]characters!$A:$K,11,FALSE)</f>
        <v>balance</v>
      </c>
      <c r="J219" s="7" t="str">
        <f>VLOOKUP(D219,[1]characters!$A:$M,13,FALSE)</f>
        <v>unknown</v>
      </c>
      <c r="K219" s="7" t="str">
        <f>VLOOKUP(D219,[1]characters!$A:$G,7,FALSE)</f>
        <v>女性</v>
      </c>
      <c r="L219" s="66">
        <f>IFERROR(VLOOKUP(D219,input_0!L:R,7,FALSE),VLOOKUP(tables_0!B219,input_0!A:H,8,FALSE))</f>
        <v>46176</v>
      </c>
      <c r="M219" s="67">
        <f t="shared" si="9"/>
        <v>8.8888888888888893E-4</v>
      </c>
      <c r="N219" s="31">
        <f>IFERROR(VLOOKUP($D219,bug_conf_sheet!$A:$H,3,FALSE),VLOOKUP("other",bug_conf_sheet!$A:$H,3,FALSE))</f>
        <v>1</v>
      </c>
      <c r="O219" s="31">
        <f>IFERROR(VLOOKUP($D219,bug_conf_sheet!$A:$H,4,FALSE),VLOOKUP("other",bug_conf_sheet!$A:$H,4,FALSE))</f>
        <v>0</v>
      </c>
      <c r="P219" s="31">
        <f>IFERROR(VLOOKUP($D219,bug_conf_sheet!$A:$H,5,FALSE),VLOOKUP("other",bug_conf_sheet!$A:$H,5,FALSE))</f>
        <v>0</v>
      </c>
      <c r="Q219" s="31">
        <f>IFERROR(VLOOKUP($D219,bug_conf_sheet!$A:$H,6,FALSE),VLOOKUP("other",bug_conf_sheet!$A:$H,6,FALSE))</f>
        <v>0</v>
      </c>
      <c r="R219" s="31">
        <f>IFERROR(VLOOKUP($D219,bug_conf_sheet!$A:$H,7,FALSE),VLOOKUP("other",bug_conf_sheet!$A:$H,7,FALSE))</f>
        <v>0</v>
      </c>
      <c r="S219" s="31">
        <f>IFERROR(VLOOKUP($D219,bug_conf_sheet!$A:$H,8,FALSE),VLOOKUP("other",bug_conf_sheet!$A:$H,8,FALSE))</f>
        <v>1</v>
      </c>
    </row>
    <row r="220" spans="1:19" ht="21" hidden="1" customHeight="1">
      <c r="A220" s="2">
        <f>input_0!A$2</f>
        <v>3120</v>
      </c>
      <c r="B220" s="7" t="str">
        <f t="shared" si="10"/>
        <v>Premium3</v>
      </c>
      <c r="C220" s="7" t="str">
        <f t="shared" si="11"/>
        <v>Premium</v>
      </c>
      <c r="D220" s="6">
        <v>591</v>
      </c>
      <c r="E220" s="7" t="str">
        <f>VLOOKUP(D220,[1]characters!$A:$C,3,FALSE)</f>
        <v>ファフニール</v>
      </c>
      <c r="F220" s="7" t="str">
        <f>VLOOKUP(D220,[1]characters!$A:$J,10,FALSE)</f>
        <v>PremiumS</v>
      </c>
      <c r="G220" s="7">
        <f>VLOOKUP(D220,[1]characters!$A:$I,9,FALSE)</f>
        <v>3</v>
      </c>
      <c r="H220" s="7" t="str">
        <f>VLOOKUP(D220,[1]characters!$A:$H,8,FALSE)</f>
        <v>blue</v>
      </c>
      <c r="I220" s="7" t="str">
        <f>VLOOKUP(D220,[1]characters!$A:$K,11,FALSE)</f>
        <v>technical</v>
      </c>
      <c r="J220" s="7" t="str">
        <f>VLOOKUP(D220,[1]characters!$A:$M,13,FALSE)</f>
        <v>dragon</v>
      </c>
      <c r="K220" s="7" t="str">
        <f>VLOOKUP(D220,[1]characters!$A:$G,7,FALSE)</f>
        <v>不明</v>
      </c>
      <c r="L220" s="66">
        <f>IFERROR(VLOOKUP(D220,input_0!L:R,7,FALSE),VLOOKUP(tables_0!B220,input_0!A:H,8,FALSE))</f>
        <v>0</v>
      </c>
      <c r="M220" s="67">
        <f t="shared" si="9"/>
        <v>0</v>
      </c>
      <c r="N220" s="31">
        <f>IFERROR(VLOOKUP($D220,bug_conf_sheet!$A:$H,3,FALSE),VLOOKUP("other",bug_conf_sheet!$A:$H,3,FALSE))</f>
        <v>1</v>
      </c>
      <c r="O220" s="31">
        <f>IFERROR(VLOOKUP($D220,bug_conf_sheet!$A:$H,4,FALSE),VLOOKUP("other",bug_conf_sheet!$A:$H,4,FALSE))</f>
        <v>0</v>
      </c>
      <c r="P220" s="31">
        <f>IFERROR(VLOOKUP($D220,bug_conf_sheet!$A:$H,5,FALSE),VLOOKUP("other",bug_conf_sheet!$A:$H,5,FALSE))</f>
        <v>0</v>
      </c>
      <c r="Q220" s="31">
        <f>IFERROR(VLOOKUP($D220,bug_conf_sheet!$A:$H,6,FALSE),VLOOKUP("other",bug_conf_sheet!$A:$H,6,FALSE))</f>
        <v>0</v>
      </c>
      <c r="R220" s="31">
        <f>IFERROR(VLOOKUP($D220,bug_conf_sheet!$A:$H,7,FALSE),VLOOKUP("other",bug_conf_sheet!$A:$H,7,FALSE))</f>
        <v>0</v>
      </c>
      <c r="S220" s="31">
        <f>IFERROR(VLOOKUP($D220,bug_conf_sheet!$A:$H,8,FALSE),VLOOKUP("other",bug_conf_sheet!$A:$H,8,FALSE))</f>
        <v>1</v>
      </c>
    </row>
    <row r="221" spans="1:19" ht="21" hidden="1" customHeight="1">
      <c r="A221" s="2">
        <f>input_0!A$2</f>
        <v>3120</v>
      </c>
      <c r="B221" s="7" t="str">
        <f t="shared" si="10"/>
        <v>Premium4</v>
      </c>
      <c r="C221" s="7" t="str">
        <f t="shared" si="11"/>
        <v>Premium</v>
      </c>
      <c r="D221" s="6">
        <v>592</v>
      </c>
      <c r="E221" s="7" t="str">
        <f>VLOOKUP(D221,[1]characters!$A:$C,3,FALSE)</f>
        <v>財宝への執着 ファフニール</v>
      </c>
      <c r="F221" s="7" t="str">
        <f>VLOOKUP(D221,[1]characters!$A:$J,10,FALSE)</f>
        <v>PremiumS</v>
      </c>
      <c r="G221" s="7">
        <f>VLOOKUP(D221,[1]characters!$A:$I,9,FALSE)</f>
        <v>4</v>
      </c>
      <c r="H221" s="7" t="str">
        <f>VLOOKUP(D221,[1]characters!$A:$H,8,FALSE)</f>
        <v>blue</v>
      </c>
      <c r="I221" s="7" t="str">
        <f>VLOOKUP(D221,[1]characters!$A:$K,11,FALSE)</f>
        <v>technical</v>
      </c>
      <c r="J221" s="7" t="str">
        <f>VLOOKUP(D221,[1]characters!$A:$M,13,FALSE)</f>
        <v>dragon</v>
      </c>
      <c r="K221" s="7" t="str">
        <f>VLOOKUP(D221,[1]characters!$A:$G,7,FALSE)</f>
        <v>不明</v>
      </c>
      <c r="L221" s="66">
        <f>IFERROR(VLOOKUP(D221,input_0!L:R,7,FALSE),VLOOKUP(tables_0!B221,input_0!A:H,8,FALSE))</f>
        <v>640224</v>
      </c>
      <c r="M221" s="67">
        <f t="shared" si="9"/>
        <v>1.2324324324324324E-2</v>
      </c>
      <c r="N221" s="31">
        <f>IFERROR(VLOOKUP($D221,bug_conf_sheet!$A:$H,3,FALSE),VLOOKUP("other",bug_conf_sheet!$A:$H,3,FALSE))</f>
        <v>1</v>
      </c>
      <c r="O221" s="31">
        <f>IFERROR(VLOOKUP($D221,bug_conf_sheet!$A:$H,4,FALSE),VLOOKUP("other",bug_conf_sheet!$A:$H,4,FALSE))</f>
        <v>0</v>
      </c>
      <c r="P221" s="31">
        <f>IFERROR(VLOOKUP($D221,bug_conf_sheet!$A:$H,5,FALSE),VLOOKUP("other",bug_conf_sheet!$A:$H,5,FALSE))</f>
        <v>0</v>
      </c>
      <c r="Q221" s="31">
        <f>IFERROR(VLOOKUP($D221,bug_conf_sheet!$A:$H,6,FALSE),VLOOKUP("other",bug_conf_sheet!$A:$H,6,FALSE))</f>
        <v>0</v>
      </c>
      <c r="R221" s="31">
        <f>IFERROR(VLOOKUP($D221,bug_conf_sheet!$A:$H,7,FALSE),VLOOKUP("other",bug_conf_sheet!$A:$H,7,FALSE))</f>
        <v>0</v>
      </c>
      <c r="S221" s="31">
        <f>IFERROR(VLOOKUP($D221,bug_conf_sheet!$A:$H,8,FALSE),VLOOKUP("other",bug_conf_sheet!$A:$H,8,FALSE))</f>
        <v>1</v>
      </c>
    </row>
    <row r="222" spans="1:19" ht="21" hidden="1" customHeight="1">
      <c r="A222" s="2">
        <f>input_0!A$2</f>
        <v>3120</v>
      </c>
      <c r="B222" s="7" t="str">
        <f t="shared" si="10"/>
        <v>Premium5</v>
      </c>
      <c r="C222" s="7" t="str">
        <f t="shared" si="11"/>
        <v>Premium</v>
      </c>
      <c r="D222" s="6">
        <v>593</v>
      </c>
      <c r="E222" s="7" t="str">
        <f>VLOOKUP(D222,[1]characters!$A:$C,3,FALSE)</f>
        <v>妄執する邪毒龍 ファフニール</v>
      </c>
      <c r="F222" s="7" t="str">
        <f>VLOOKUP(D222,[1]characters!$A:$J,10,FALSE)</f>
        <v>PremiumS</v>
      </c>
      <c r="G222" s="7">
        <f>VLOOKUP(D222,[1]characters!$A:$I,9,FALSE)</f>
        <v>5</v>
      </c>
      <c r="H222" s="7" t="str">
        <f>VLOOKUP(D222,[1]characters!$A:$H,8,FALSE)</f>
        <v>blue</v>
      </c>
      <c r="I222" s="7" t="str">
        <f>VLOOKUP(D222,[1]characters!$A:$K,11,FALSE)</f>
        <v>technical</v>
      </c>
      <c r="J222" s="7" t="str">
        <f>VLOOKUP(D222,[1]characters!$A:$M,13,FALSE)</f>
        <v>dragon</v>
      </c>
      <c r="K222" s="7" t="str">
        <f>VLOOKUP(D222,[1]characters!$A:$G,7,FALSE)</f>
        <v>不明</v>
      </c>
      <c r="L222" s="66">
        <f>IFERROR(VLOOKUP(D222,input_0!L:R,7,FALSE),VLOOKUP(tables_0!B222,input_0!A:H,8,FALSE))</f>
        <v>46176</v>
      </c>
      <c r="M222" s="67">
        <f t="shared" si="9"/>
        <v>8.8888888888888893E-4</v>
      </c>
      <c r="N222" s="31">
        <f>IFERROR(VLOOKUP($D222,bug_conf_sheet!$A:$H,3,FALSE),VLOOKUP("other",bug_conf_sheet!$A:$H,3,FALSE))</f>
        <v>1</v>
      </c>
      <c r="O222" s="31">
        <f>IFERROR(VLOOKUP($D222,bug_conf_sheet!$A:$H,4,FALSE),VLOOKUP("other",bug_conf_sheet!$A:$H,4,FALSE))</f>
        <v>0</v>
      </c>
      <c r="P222" s="31">
        <f>IFERROR(VLOOKUP($D222,bug_conf_sheet!$A:$H,5,FALSE),VLOOKUP("other",bug_conf_sheet!$A:$H,5,FALSE))</f>
        <v>0</v>
      </c>
      <c r="Q222" s="31">
        <f>IFERROR(VLOOKUP($D222,bug_conf_sheet!$A:$H,6,FALSE),VLOOKUP("other",bug_conf_sheet!$A:$H,6,FALSE))</f>
        <v>0</v>
      </c>
      <c r="R222" s="31">
        <f>IFERROR(VLOOKUP($D222,bug_conf_sheet!$A:$H,7,FALSE),VLOOKUP("other",bug_conf_sheet!$A:$H,7,FALSE))</f>
        <v>0</v>
      </c>
      <c r="S222" s="31">
        <f>IFERROR(VLOOKUP($D222,bug_conf_sheet!$A:$H,8,FALSE),VLOOKUP("other",bug_conf_sheet!$A:$H,8,FALSE))</f>
        <v>1</v>
      </c>
    </row>
    <row r="223" spans="1:19" ht="21" customHeight="1">
      <c r="A223" s="2">
        <f>input_0!A$2</f>
        <v>3120</v>
      </c>
      <c r="B223" s="7" t="str">
        <f t="shared" si="10"/>
        <v>PremiumSS4</v>
      </c>
      <c r="C223" s="7" t="str">
        <f t="shared" si="11"/>
        <v>PremiumSS</v>
      </c>
      <c r="D223" s="6">
        <v>594</v>
      </c>
      <c r="E223" s="7" t="str">
        <f>VLOOKUP(D223,[1]characters!$A:$C,3,FALSE)</f>
        <v>アルフヘイム</v>
      </c>
      <c r="F223" s="7" t="str">
        <f>VLOOKUP(D223,[1]characters!$A:$J,10,FALSE)</f>
        <v>PremiumSS</v>
      </c>
      <c r="G223" s="7">
        <f>VLOOKUP(D223,[1]characters!$A:$I,9,FALSE)</f>
        <v>4</v>
      </c>
      <c r="H223" s="7" t="str">
        <f>VLOOKUP(D223,[1]characters!$A:$H,8,FALSE)</f>
        <v>yellow</v>
      </c>
      <c r="I223" s="7" t="str">
        <f>VLOOKUP(D223,[1]characters!$A:$K,11,FALSE)</f>
        <v>attack</v>
      </c>
      <c r="J223" s="7" t="str">
        <f>VLOOKUP(D223,[1]characters!$A:$M,13,FALSE)</f>
        <v>dragon</v>
      </c>
      <c r="K223" s="7" t="str">
        <f>VLOOKUP(D223,[1]characters!$A:$G,7,FALSE)</f>
        <v>不明</v>
      </c>
      <c r="L223" s="66">
        <f>IFERROR(VLOOKUP(D223,input_0!L:R,7,FALSE),VLOOKUP(tables_0!B223,input_0!A:H,8,FALSE))</f>
        <v>75924</v>
      </c>
      <c r="M223" s="67">
        <f t="shared" si="9"/>
        <v>1.4615384615384616E-3</v>
      </c>
      <c r="N223" s="31">
        <f>IFERROR(VLOOKUP($D223,bug_conf_sheet!$A:$H,3,FALSE),VLOOKUP("other",bug_conf_sheet!$A:$H,3,FALSE))</f>
        <v>1</v>
      </c>
      <c r="O223" s="31">
        <f>IFERROR(VLOOKUP($D223,bug_conf_sheet!$A:$H,4,FALSE),VLOOKUP("other",bug_conf_sheet!$A:$H,4,FALSE))</f>
        <v>0</v>
      </c>
      <c r="P223" s="31">
        <f>IFERROR(VLOOKUP($D223,bug_conf_sheet!$A:$H,5,FALSE),VLOOKUP("other",bug_conf_sheet!$A:$H,5,FALSE))</f>
        <v>0</v>
      </c>
      <c r="Q223" s="31">
        <f>IFERROR(VLOOKUP($D223,bug_conf_sheet!$A:$H,6,FALSE),VLOOKUP("other",bug_conf_sheet!$A:$H,6,FALSE))</f>
        <v>0</v>
      </c>
      <c r="R223" s="31">
        <f>IFERROR(VLOOKUP($D223,bug_conf_sheet!$A:$H,7,FALSE),VLOOKUP("other",bug_conf_sheet!$A:$H,7,FALSE))</f>
        <v>0</v>
      </c>
      <c r="S223" s="31">
        <f>IFERROR(VLOOKUP($D223,bug_conf_sheet!$A:$H,8,FALSE),VLOOKUP("other",bug_conf_sheet!$A:$H,8,FALSE))</f>
        <v>1</v>
      </c>
    </row>
    <row r="224" spans="1:19" ht="21" customHeight="1">
      <c r="A224" s="2">
        <f>input_0!A$2</f>
        <v>3120</v>
      </c>
      <c r="B224" s="7" t="str">
        <f t="shared" si="10"/>
        <v>PremiumSS5</v>
      </c>
      <c r="C224" s="7" t="str">
        <f t="shared" si="11"/>
        <v>PremiumSS</v>
      </c>
      <c r="D224" s="6">
        <v>595</v>
      </c>
      <c r="E224" s="7" t="str">
        <f>VLOOKUP(D224,[1]characters!$A:$C,3,FALSE)</f>
        <v>光華なる神域 アルフヘイム</v>
      </c>
      <c r="F224" s="7" t="str">
        <f>VLOOKUP(D224,[1]characters!$A:$J,10,FALSE)</f>
        <v>PremiumSS</v>
      </c>
      <c r="G224" s="7">
        <f>VLOOKUP(D224,[1]characters!$A:$I,9,FALSE)</f>
        <v>5</v>
      </c>
      <c r="H224" s="7" t="str">
        <f>VLOOKUP(D224,[1]characters!$A:$H,8,FALSE)</f>
        <v>yellow</v>
      </c>
      <c r="I224" s="7" t="str">
        <f>VLOOKUP(D224,[1]characters!$A:$K,11,FALSE)</f>
        <v>attack</v>
      </c>
      <c r="J224" s="7" t="str">
        <f>VLOOKUP(D224,[1]characters!$A:$M,13,FALSE)</f>
        <v>dragon</v>
      </c>
      <c r="K224" s="7" t="str">
        <f>VLOOKUP(D224,[1]characters!$A:$G,7,FALSE)</f>
        <v>不明</v>
      </c>
      <c r="L224" s="66">
        <f>IFERROR(VLOOKUP(D224,input_0!L:R,7,FALSE),VLOOKUP(tables_0!B224,input_0!A:H,8,FALSE))</f>
        <v>3996</v>
      </c>
      <c r="M224" s="67">
        <f t="shared" si="9"/>
        <v>7.6923076923076926E-5</v>
      </c>
      <c r="N224" s="31">
        <f>IFERROR(VLOOKUP($D224,bug_conf_sheet!$A:$H,3,FALSE),VLOOKUP("other",bug_conf_sheet!$A:$H,3,FALSE))</f>
        <v>1</v>
      </c>
      <c r="O224" s="31">
        <f>IFERROR(VLOOKUP($D224,bug_conf_sheet!$A:$H,4,FALSE),VLOOKUP("other",bug_conf_sheet!$A:$H,4,FALSE))</f>
        <v>0</v>
      </c>
      <c r="P224" s="31">
        <f>IFERROR(VLOOKUP($D224,bug_conf_sheet!$A:$H,5,FALSE),VLOOKUP("other",bug_conf_sheet!$A:$H,5,FALSE))</f>
        <v>0</v>
      </c>
      <c r="Q224" s="31">
        <f>IFERROR(VLOOKUP($D224,bug_conf_sheet!$A:$H,6,FALSE),VLOOKUP("other",bug_conf_sheet!$A:$H,6,FALSE))</f>
        <v>0</v>
      </c>
      <c r="R224" s="31">
        <f>IFERROR(VLOOKUP($D224,bug_conf_sheet!$A:$H,7,FALSE),VLOOKUP("other",bug_conf_sheet!$A:$H,7,FALSE))</f>
        <v>0</v>
      </c>
      <c r="S224" s="31">
        <f>IFERROR(VLOOKUP($D224,bug_conf_sheet!$A:$H,8,FALSE),VLOOKUP("other",bug_conf_sheet!$A:$H,8,FALSE))</f>
        <v>1</v>
      </c>
    </row>
    <row r="225" spans="1:19" ht="21" hidden="1" customHeight="1">
      <c r="A225" s="2">
        <f>input_0!A$2</f>
        <v>3120</v>
      </c>
      <c r="B225" s="7" t="str">
        <f t="shared" si="10"/>
        <v>Premium3</v>
      </c>
      <c r="C225" s="7" t="str">
        <f t="shared" si="11"/>
        <v>Premium</v>
      </c>
      <c r="D225" s="6">
        <v>596</v>
      </c>
      <c r="E225" s="7" t="str">
        <f>VLOOKUP(D225,[1]characters!$A:$C,3,FALSE)</f>
        <v>ムスペルヘイム</v>
      </c>
      <c r="F225" s="7" t="str">
        <f>VLOOKUP(D225,[1]characters!$A:$J,10,FALSE)</f>
        <v>PremiumS</v>
      </c>
      <c r="G225" s="7">
        <f>VLOOKUP(D225,[1]characters!$A:$I,9,FALSE)</f>
        <v>3</v>
      </c>
      <c r="H225" s="7" t="str">
        <f>VLOOKUP(D225,[1]characters!$A:$H,8,FALSE)</f>
        <v>red</v>
      </c>
      <c r="I225" s="7" t="str">
        <f>VLOOKUP(D225,[1]characters!$A:$K,11,FALSE)</f>
        <v>balance</v>
      </c>
      <c r="J225" s="7" t="str">
        <f>VLOOKUP(D225,[1]characters!$A:$M,13,FALSE)</f>
        <v>human</v>
      </c>
      <c r="K225" s="7" t="str">
        <f>VLOOKUP(D225,[1]characters!$A:$G,7,FALSE)</f>
        <v>男性</v>
      </c>
      <c r="L225" s="66">
        <f>IFERROR(VLOOKUP(D225,input_0!L:R,7,FALSE),VLOOKUP(tables_0!B225,input_0!A:H,8,FALSE))</f>
        <v>0</v>
      </c>
      <c r="M225" s="67">
        <f t="shared" si="9"/>
        <v>0</v>
      </c>
      <c r="N225" s="31">
        <f>IFERROR(VLOOKUP($D225,bug_conf_sheet!$A:$H,3,FALSE),VLOOKUP("other",bug_conf_sheet!$A:$H,3,FALSE))</f>
        <v>1</v>
      </c>
      <c r="O225" s="31">
        <f>IFERROR(VLOOKUP($D225,bug_conf_sheet!$A:$H,4,FALSE),VLOOKUP("other",bug_conf_sheet!$A:$H,4,FALSE))</f>
        <v>0</v>
      </c>
      <c r="P225" s="31">
        <f>IFERROR(VLOOKUP($D225,bug_conf_sheet!$A:$H,5,FALSE),VLOOKUP("other",bug_conf_sheet!$A:$H,5,FALSE))</f>
        <v>0</v>
      </c>
      <c r="Q225" s="31">
        <f>IFERROR(VLOOKUP($D225,bug_conf_sheet!$A:$H,6,FALSE),VLOOKUP("other",bug_conf_sheet!$A:$H,6,FALSE))</f>
        <v>0</v>
      </c>
      <c r="R225" s="31">
        <f>IFERROR(VLOOKUP($D225,bug_conf_sheet!$A:$H,7,FALSE),VLOOKUP("other",bug_conf_sheet!$A:$H,7,FALSE))</f>
        <v>0</v>
      </c>
      <c r="S225" s="31">
        <f>IFERROR(VLOOKUP($D225,bug_conf_sheet!$A:$H,8,FALSE),VLOOKUP("other",bug_conf_sheet!$A:$H,8,FALSE))</f>
        <v>1</v>
      </c>
    </row>
    <row r="226" spans="1:19" ht="21" hidden="1" customHeight="1">
      <c r="A226" s="2">
        <f>input_0!A$2</f>
        <v>3120</v>
      </c>
      <c r="B226" s="7" t="str">
        <f t="shared" si="10"/>
        <v>Premium4</v>
      </c>
      <c r="C226" s="7" t="str">
        <f t="shared" si="11"/>
        <v>Premium</v>
      </c>
      <c r="D226" s="6">
        <v>597</v>
      </c>
      <c r="E226" s="7" t="str">
        <f>VLOOKUP(D226,[1]characters!$A:$C,3,FALSE)</f>
        <v>灼熱の魂 ムスペルヘイム</v>
      </c>
      <c r="F226" s="7" t="str">
        <f>VLOOKUP(D226,[1]characters!$A:$J,10,FALSE)</f>
        <v>PremiumS</v>
      </c>
      <c r="G226" s="7">
        <f>VLOOKUP(D226,[1]characters!$A:$I,9,FALSE)</f>
        <v>4</v>
      </c>
      <c r="H226" s="7" t="str">
        <f>VLOOKUP(D226,[1]characters!$A:$H,8,FALSE)</f>
        <v>red</v>
      </c>
      <c r="I226" s="7" t="str">
        <f>VLOOKUP(D226,[1]characters!$A:$K,11,FALSE)</f>
        <v>balance</v>
      </c>
      <c r="J226" s="7" t="str">
        <f>VLOOKUP(D226,[1]characters!$A:$M,13,FALSE)</f>
        <v>human</v>
      </c>
      <c r="K226" s="7" t="str">
        <f>VLOOKUP(D226,[1]characters!$A:$G,7,FALSE)</f>
        <v>男性</v>
      </c>
      <c r="L226" s="66">
        <f>IFERROR(VLOOKUP(D226,input_0!L:R,7,FALSE),VLOOKUP(tables_0!B226,input_0!A:H,8,FALSE))</f>
        <v>640224</v>
      </c>
      <c r="M226" s="67">
        <f t="shared" si="9"/>
        <v>1.2324324324324324E-2</v>
      </c>
      <c r="N226" s="31">
        <f>IFERROR(VLOOKUP($D226,bug_conf_sheet!$A:$H,3,FALSE),VLOOKUP("other",bug_conf_sheet!$A:$H,3,FALSE))</f>
        <v>1</v>
      </c>
      <c r="O226" s="31">
        <f>IFERROR(VLOOKUP($D226,bug_conf_sheet!$A:$H,4,FALSE),VLOOKUP("other",bug_conf_sheet!$A:$H,4,FALSE))</f>
        <v>0</v>
      </c>
      <c r="P226" s="31">
        <f>IFERROR(VLOOKUP($D226,bug_conf_sheet!$A:$H,5,FALSE),VLOOKUP("other",bug_conf_sheet!$A:$H,5,FALSE))</f>
        <v>0</v>
      </c>
      <c r="Q226" s="31">
        <f>IFERROR(VLOOKUP($D226,bug_conf_sheet!$A:$H,6,FALSE),VLOOKUP("other",bug_conf_sheet!$A:$H,6,FALSE))</f>
        <v>0</v>
      </c>
      <c r="R226" s="31">
        <f>IFERROR(VLOOKUP($D226,bug_conf_sheet!$A:$H,7,FALSE),VLOOKUP("other",bug_conf_sheet!$A:$H,7,FALSE))</f>
        <v>0</v>
      </c>
      <c r="S226" s="31">
        <f>IFERROR(VLOOKUP($D226,bug_conf_sheet!$A:$H,8,FALSE),VLOOKUP("other",bug_conf_sheet!$A:$H,8,FALSE))</f>
        <v>1</v>
      </c>
    </row>
    <row r="227" spans="1:19" ht="21" hidden="1" customHeight="1">
      <c r="A227" s="2">
        <f>input_0!A$2</f>
        <v>3120</v>
      </c>
      <c r="B227" s="7" t="str">
        <f t="shared" si="10"/>
        <v>Premium5</v>
      </c>
      <c r="C227" s="7" t="str">
        <f t="shared" si="11"/>
        <v>Premium</v>
      </c>
      <c r="D227" s="6">
        <v>598</v>
      </c>
      <c r="E227" s="7" t="str">
        <f>VLOOKUP(D227,[1]characters!$A:$C,3,FALSE)</f>
        <v>焼燃の情熱 ムスペルヘイム</v>
      </c>
      <c r="F227" s="7" t="str">
        <f>VLOOKUP(D227,[1]characters!$A:$J,10,FALSE)</f>
        <v>PremiumS</v>
      </c>
      <c r="G227" s="7">
        <f>VLOOKUP(D227,[1]characters!$A:$I,9,FALSE)</f>
        <v>5</v>
      </c>
      <c r="H227" s="7" t="str">
        <f>VLOOKUP(D227,[1]characters!$A:$H,8,FALSE)</f>
        <v>red</v>
      </c>
      <c r="I227" s="7" t="str">
        <f>VLOOKUP(D227,[1]characters!$A:$K,11,FALSE)</f>
        <v>balance</v>
      </c>
      <c r="J227" s="7" t="str">
        <f>VLOOKUP(D227,[1]characters!$A:$M,13,FALSE)</f>
        <v>human</v>
      </c>
      <c r="K227" s="7" t="str">
        <f>VLOOKUP(D227,[1]characters!$A:$G,7,FALSE)</f>
        <v>男性</v>
      </c>
      <c r="L227" s="66">
        <f>IFERROR(VLOOKUP(D227,input_0!L:R,7,FALSE),VLOOKUP(tables_0!B227,input_0!A:H,8,FALSE))</f>
        <v>46176</v>
      </c>
      <c r="M227" s="67">
        <f t="shared" si="9"/>
        <v>8.8888888888888893E-4</v>
      </c>
      <c r="N227" s="31">
        <f>IFERROR(VLOOKUP($D227,bug_conf_sheet!$A:$H,3,FALSE),VLOOKUP("other",bug_conf_sheet!$A:$H,3,FALSE))</f>
        <v>1</v>
      </c>
      <c r="O227" s="31">
        <f>IFERROR(VLOOKUP($D227,bug_conf_sheet!$A:$H,4,FALSE),VLOOKUP("other",bug_conf_sheet!$A:$H,4,FALSE))</f>
        <v>0</v>
      </c>
      <c r="P227" s="31">
        <f>IFERROR(VLOOKUP($D227,bug_conf_sheet!$A:$H,5,FALSE),VLOOKUP("other",bug_conf_sheet!$A:$H,5,FALSE))</f>
        <v>0</v>
      </c>
      <c r="Q227" s="31">
        <f>IFERROR(VLOOKUP($D227,bug_conf_sheet!$A:$H,6,FALSE),VLOOKUP("other",bug_conf_sheet!$A:$H,6,FALSE))</f>
        <v>0</v>
      </c>
      <c r="R227" s="31">
        <f>IFERROR(VLOOKUP($D227,bug_conf_sheet!$A:$H,7,FALSE),VLOOKUP("other",bug_conf_sheet!$A:$H,7,FALSE))</f>
        <v>0</v>
      </c>
      <c r="S227" s="31">
        <f>IFERROR(VLOOKUP($D227,bug_conf_sheet!$A:$H,8,FALSE),VLOOKUP("other",bug_conf_sheet!$A:$H,8,FALSE))</f>
        <v>1</v>
      </c>
    </row>
    <row r="228" spans="1:19" ht="21" hidden="1" customHeight="1">
      <c r="A228" s="2">
        <f>input_0!A$2</f>
        <v>3120</v>
      </c>
      <c r="B228" s="7" t="str">
        <f t="shared" si="10"/>
        <v>Premium3</v>
      </c>
      <c r="C228" s="7" t="str">
        <f t="shared" si="11"/>
        <v>Premium</v>
      </c>
      <c r="D228" s="6">
        <v>599</v>
      </c>
      <c r="E228" s="7" t="str">
        <f>VLOOKUP(D228,[1]characters!$A:$C,3,FALSE)</f>
        <v>ニーズヘッグ</v>
      </c>
      <c r="F228" s="7" t="str">
        <f>VLOOKUP(D228,[1]characters!$A:$J,10,FALSE)</f>
        <v>PremiumS</v>
      </c>
      <c r="G228" s="7">
        <f>VLOOKUP(D228,[1]characters!$A:$I,9,FALSE)</f>
        <v>3</v>
      </c>
      <c r="H228" s="7" t="str">
        <f>VLOOKUP(D228,[1]characters!$A:$H,8,FALSE)</f>
        <v>green</v>
      </c>
      <c r="I228" s="7" t="str">
        <f>VLOOKUP(D228,[1]characters!$A:$K,11,FALSE)</f>
        <v>attack</v>
      </c>
      <c r="J228" s="7" t="str">
        <f>VLOOKUP(D228,[1]characters!$A:$M,13,FALSE)</f>
        <v>dragon</v>
      </c>
      <c r="K228" s="7" t="str">
        <f>VLOOKUP(D228,[1]characters!$A:$G,7,FALSE)</f>
        <v>不明</v>
      </c>
      <c r="L228" s="66">
        <f>IFERROR(VLOOKUP(D228,input_0!L:R,7,FALSE),VLOOKUP(tables_0!B228,input_0!A:H,8,FALSE))</f>
        <v>0</v>
      </c>
      <c r="M228" s="67">
        <f t="shared" si="9"/>
        <v>0</v>
      </c>
      <c r="N228" s="31">
        <f>IFERROR(VLOOKUP($D228,bug_conf_sheet!$A:$H,3,FALSE),VLOOKUP("other",bug_conf_sheet!$A:$H,3,FALSE))</f>
        <v>1</v>
      </c>
      <c r="O228" s="31">
        <f>IFERROR(VLOOKUP($D228,bug_conf_sheet!$A:$H,4,FALSE),VLOOKUP("other",bug_conf_sheet!$A:$H,4,FALSE))</f>
        <v>0</v>
      </c>
      <c r="P228" s="31">
        <f>IFERROR(VLOOKUP($D228,bug_conf_sheet!$A:$H,5,FALSE),VLOOKUP("other",bug_conf_sheet!$A:$H,5,FALSE))</f>
        <v>0</v>
      </c>
      <c r="Q228" s="31">
        <f>IFERROR(VLOOKUP($D228,bug_conf_sheet!$A:$H,6,FALSE),VLOOKUP("other",bug_conf_sheet!$A:$H,6,FALSE))</f>
        <v>0</v>
      </c>
      <c r="R228" s="31">
        <f>IFERROR(VLOOKUP($D228,bug_conf_sheet!$A:$H,7,FALSE),VLOOKUP("other",bug_conf_sheet!$A:$H,7,FALSE))</f>
        <v>0</v>
      </c>
      <c r="S228" s="31">
        <f>IFERROR(VLOOKUP($D228,bug_conf_sheet!$A:$H,8,FALSE),VLOOKUP("other",bug_conf_sheet!$A:$H,8,FALSE))</f>
        <v>1</v>
      </c>
    </row>
    <row r="229" spans="1:19" ht="21" hidden="1" customHeight="1">
      <c r="A229" s="2">
        <f>input_0!A$2</f>
        <v>3120</v>
      </c>
      <c r="B229" s="7" t="str">
        <f t="shared" si="10"/>
        <v>Premium4</v>
      </c>
      <c r="C229" s="7" t="str">
        <f t="shared" si="11"/>
        <v>Premium</v>
      </c>
      <c r="D229" s="6">
        <v>600</v>
      </c>
      <c r="E229" s="7" t="str">
        <f>VLOOKUP(D229,[1]characters!$A:$C,3,FALSE)</f>
        <v>界下に潜む蛇 ニーズヘッグ</v>
      </c>
      <c r="F229" s="7" t="str">
        <f>VLOOKUP(D229,[1]characters!$A:$J,10,FALSE)</f>
        <v>PremiumS</v>
      </c>
      <c r="G229" s="7">
        <f>VLOOKUP(D229,[1]characters!$A:$I,9,FALSE)</f>
        <v>4</v>
      </c>
      <c r="H229" s="7" t="str">
        <f>VLOOKUP(D229,[1]characters!$A:$H,8,FALSE)</f>
        <v>green</v>
      </c>
      <c r="I229" s="7" t="str">
        <f>VLOOKUP(D229,[1]characters!$A:$K,11,FALSE)</f>
        <v>attack</v>
      </c>
      <c r="J229" s="7" t="str">
        <f>VLOOKUP(D229,[1]characters!$A:$M,13,FALSE)</f>
        <v>dragon</v>
      </c>
      <c r="K229" s="7" t="str">
        <f>VLOOKUP(D229,[1]characters!$A:$G,7,FALSE)</f>
        <v>不明</v>
      </c>
      <c r="L229" s="66">
        <f>IFERROR(VLOOKUP(D229,input_0!L:R,7,FALSE),VLOOKUP(tables_0!B229,input_0!A:H,8,FALSE))</f>
        <v>640224</v>
      </c>
      <c r="M229" s="67">
        <f t="shared" si="9"/>
        <v>1.2324324324324324E-2</v>
      </c>
      <c r="N229" s="31">
        <f>IFERROR(VLOOKUP($D229,bug_conf_sheet!$A:$H,3,FALSE),VLOOKUP("other",bug_conf_sheet!$A:$H,3,FALSE))</f>
        <v>1</v>
      </c>
      <c r="O229" s="31">
        <f>IFERROR(VLOOKUP($D229,bug_conf_sheet!$A:$H,4,FALSE),VLOOKUP("other",bug_conf_sheet!$A:$H,4,FALSE))</f>
        <v>0</v>
      </c>
      <c r="P229" s="31">
        <f>IFERROR(VLOOKUP($D229,bug_conf_sheet!$A:$H,5,FALSE),VLOOKUP("other",bug_conf_sheet!$A:$H,5,FALSE))</f>
        <v>0</v>
      </c>
      <c r="Q229" s="31">
        <f>IFERROR(VLOOKUP($D229,bug_conf_sheet!$A:$H,6,FALSE),VLOOKUP("other",bug_conf_sheet!$A:$H,6,FALSE))</f>
        <v>0</v>
      </c>
      <c r="R229" s="31">
        <f>IFERROR(VLOOKUP($D229,bug_conf_sheet!$A:$H,7,FALSE),VLOOKUP("other",bug_conf_sheet!$A:$H,7,FALSE))</f>
        <v>0</v>
      </c>
      <c r="S229" s="31">
        <f>IFERROR(VLOOKUP($D229,bug_conf_sheet!$A:$H,8,FALSE),VLOOKUP("other",bug_conf_sheet!$A:$H,8,FALSE))</f>
        <v>1</v>
      </c>
    </row>
    <row r="230" spans="1:19" ht="21" hidden="1" customHeight="1">
      <c r="A230" s="2">
        <f>input_0!A$2</f>
        <v>3120</v>
      </c>
      <c r="B230" s="7" t="str">
        <f t="shared" si="10"/>
        <v>Premium5</v>
      </c>
      <c r="C230" s="7" t="str">
        <f t="shared" si="11"/>
        <v>Premium</v>
      </c>
      <c r="D230" s="6">
        <v>601</v>
      </c>
      <c r="E230" s="7" t="str">
        <f>VLOOKUP(D230,[1]characters!$A:$C,3,FALSE)</f>
        <v>界根蝕む悪食 ニーズヘッグ</v>
      </c>
      <c r="F230" s="7" t="str">
        <f>VLOOKUP(D230,[1]characters!$A:$J,10,FALSE)</f>
        <v>PremiumS</v>
      </c>
      <c r="G230" s="7">
        <f>VLOOKUP(D230,[1]characters!$A:$I,9,FALSE)</f>
        <v>5</v>
      </c>
      <c r="H230" s="7" t="str">
        <f>VLOOKUP(D230,[1]characters!$A:$H,8,FALSE)</f>
        <v>green</v>
      </c>
      <c r="I230" s="7" t="str">
        <f>VLOOKUP(D230,[1]characters!$A:$K,11,FALSE)</f>
        <v>attack</v>
      </c>
      <c r="J230" s="7" t="str">
        <f>VLOOKUP(D230,[1]characters!$A:$M,13,FALSE)</f>
        <v>dragon</v>
      </c>
      <c r="K230" s="7" t="str">
        <f>VLOOKUP(D230,[1]characters!$A:$G,7,FALSE)</f>
        <v>不明</v>
      </c>
      <c r="L230" s="66">
        <f>IFERROR(VLOOKUP(D230,input_0!L:R,7,FALSE),VLOOKUP(tables_0!B230,input_0!A:H,8,FALSE))</f>
        <v>46176</v>
      </c>
      <c r="M230" s="67">
        <f t="shared" si="9"/>
        <v>8.8888888888888893E-4</v>
      </c>
      <c r="N230" s="31">
        <f>IFERROR(VLOOKUP($D230,bug_conf_sheet!$A:$H,3,FALSE),VLOOKUP("other",bug_conf_sheet!$A:$H,3,FALSE))</f>
        <v>1</v>
      </c>
      <c r="O230" s="31">
        <f>IFERROR(VLOOKUP($D230,bug_conf_sheet!$A:$H,4,FALSE),VLOOKUP("other",bug_conf_sheet!$A:$H,4,FALSE))</f>
        <v>0</v>
      </c>
      <c r="P230" s="31">
        <f>IFERROR(VLOOKUP($D230,bug_conf_sheet!$A:$H,5,FALSE),VLOOKUP("other",bug_conf_sheet!$A:$H,5,FALSE))</f>
        <v>0</v>
      </c>
      <c r="Q230" s="31">
        <f>IFERROR(VLOOKUP($D230,bug_conf_sheet!$A:$H,6,FALSE),VLOOKUP("other",bug_conf_sheet!$A:$H,6,FALSE))</f>
        <v>0</v>
      </c>
      <c r="R230" s="31">
        <f>IFERROR(VLOOKUP($D230,bug_conf_sheet!$A:$H,7,FALSE),VLOOKUP("other",bug_conf_sheet!$A:$H,7,FALSE))</f>
        <v>0</v>
      </c>
      <c r="S230" s="31">
        <f>IFERROR(VLOOKUP($D230,bug_conf_sheet!$A:$H,8,FALSE),VLOOKUP("other",bug_conf_sheet!$A:$H,8,FALSE))</f>
        <v>1</v>
      </c>
    </row>
    <row r="231" spans="1:19" ht="21" customHeight="1">
      <c r="A231" s="2">
        <f>input_0!A$2</f>
        <v>3120</v>
      </c>
      <c r="B231" s="7" t="str">
        <f t="shared" si="10"/>
        <v>PremiumSS4</v>
      </c>
      <c r="C231" s="7" t="str">
        <f t="shared" si="11"/>
        <v>PremiumSS</v>
      </c>
      <c r="D231" s="6">
        <v>602</v>
      </c>
      <c r="E231" s="7" t="str">
        <f>VLOOKUP(D231,[1]characters!$A:$C,3,FALSE)</f>
        <v>フレイヤ</v>
      </c>
      <c r="F231" s="7" t="str">
        <f>VLOOKUP(D231,[1]characters!$A:$J,10,FALSE)</f>
        <v>PremiumSS</v>
      </c>
      <c r="G231" s="7">
        <f>VLOOKUP(D231,[1]characters!$A:$I,9,FALSE)</f>
        <v>4</v>
      </c>
      <c r="H231" s="7" t="str">
        <f>VLOOKUP(D231,[1]characters!$A:$H,8,FALSE)</f>
        <v>blue</v>
      </c>
      <c r="I231" s="7" t="str">
        <f>VLOOKUP(D231,[1]characters!$A:$K,11,FALSE)</f>
        <v>heal</v>
      </c>
      <c r="J231" s="7" t="str">
        <f>VLOOKUP(D231,[1]characters!$A:$M,13,FALSE)</f>
        <v>animal</v>
      </c>
      <c r="K231" s="7" t="str">
        <f>VLOOKUP(D231,[1]characters!$A:$G,7,FALSE)</f>
        <v>女性</v>
      </c>
      <c r="L231" s="66">
        <f>IFERROR(VLOOKUP(D231,input_0!L:R,7,FALSE),VLOOKUP(tables_0!B231,input_0!A:H,8,FALSE))</f>
        <v>75924</v>
      </c>
      <c r="M231" s="67">
        <f t="shared" si="9"/>
        <v>1.4615384615384616E-3</v>
      </c>
      <c r="N231" s="31">
        <f>IFERROR(VLOOKUP($D231,bug_conf_sheet!$A:$H,3,FALSE),VLOOKUP("other",bug_conf_sheet!$A:$H,3,FALSE))</f>
        <v>1</v>
      </c>
      <c r="O231" s="31">
        <f>IFERROR(VLOOKUP($D231,bug_conf_sheet!$A:$H,4,FALSE),VLOOKUP("other",bug_conf_sheet!$A:$H,4,FALSE))</f>
        <v>0</v>
      </c>
      <c r="P231" s="31">
        <f>IFERROR(VLOOKUP($D231,bug_conf_sheet!$A:$H,5,FALSE),VLOOKUP("other",bug_conf_sheet!$A:$H,5,FALSE))</f>
        <v>0</v>
      </c>
      <c r="Q231" s="31">
        <f>IFERROR(VLOOKUP($D231,bug_conf_sheet!$A:$H,6,FALSE),VLOOKUP("other",bug_conf_sheet!$A:$H,6,FALSE))</f>
        <v>0</v>
      </c>
      <c r="R231" s="31">
        <f>IFERROR(VLOOKUP($D231,bug_conf_sheet!$A:$H,7,FALSE),VLOOKUP("other",bug_conf_sheet!$A:$H,7,FALSE))</f>
        <v>0</v>
      </c>
      <c r="S231" s="31">
        <f>IFERROR(VLOOKUP($D231,bug_conf_sheet!$A:$H,8,FALSE),VLOOKUP("other",bug_conf_sheet!$A:$H,8,FALSE))</f>
        <v>1</v>
      </c>
    </row>
    <row r="232" spans="1:19" ht="21" customHeight="1">
      <c r="A232" s="2">
        <f>input_0!A$2</f>
        <v>3120</v>
      </c>
      <c r="B232" s="7" t="str">
        <f t="shared" si="10"/>
        <v>PremiumSS5</v>
      </c>
      <c r="C232" s="7" t="str">
        <f t="shared" si="11"/>
        <v>PremiumSS</v>
      </c>
      <c r="D232" s="6">
        <v>603</v>
      </c>
      <c r="E232" s="7" t="str">
        <f>VLOOKUP(D232,[1]characters!$A:$C,3,FALSE)</f>
        <v>掌愛の豊穣女神 フレイヤ</v>
      </c>
      <c r="F232" s="7" t="str">
        <f>VLOOKUP(D232,[1]characters!$A:$J,10,FALSE)</f>
        <v>PremiumSS</v>
      </c>
      <c r="G232" s="7">
        <f>VLOOKUP(D232,[1]characters!$A:$I,9,FALSE)</f>
        <v>5</v>
      </c>
      <c r="H232" s="7" t="str">
        <f>VLOOKUP(D232,[1]characters!$A:$H,8,FALSE)</f>
        <v>blue</v>
      </c>
      <c r="I232" s="7" t="str">
        <f>VLOOKUP(D232,[1]characters!$A:$K,11,FALSE)</f>
        <v>heal</v>
      </c>
      <c r="J232" s="7" t="str">
        <f>VLOOKUP(D232,[1]characters!$A:$M,13,FALSE)</f>
        <v>animal</v>
      </c>
      <c r="K232" s="7" t="str">
        <f>VLOOKUP(D232,[1]characters!$A:$G,7,FALSE)</f>
        <v>女性</v>
      </c>
      <c r="L232" s="66">
        <f>IFERROR(VLOOKUP(D232,input_0!L:R,7,FALSE),VLOOKUP(tables_0!B232,input_0!A:H,8,FALSE))</f>
        <v>3996</v>
      </c>
      <c r="M232" s="67">
        <f t="shared" si="9"/>
        <v>7.6923076923076926E-5</v>
      </c>
      <c r="N232" s="31">
        <f>IFERROR(VLOOKUP($D232,bug_conf_sheet!$A:$H,3,FALSE),VLOOKUP("other",bug_conf_sheet!$A:$H,3,FALSE))</f>
        <v>1</v>
      </c>
      <c r="O232" s="31">
        <f>IFERROR(VLOOKUP($D232,bug_conf_sheet!$A:$H,4,FALSE),VLOOKUP("other",bug_conf_sheet!$A:$H,4,FALSE))</f>
        <v>0</v>
      </c>
      <c r="P232" s="31">
        <f>IFERROR(VLOOKUP($D232,bug_conf_sheet!$A:$H,5,FALSE),VLOOKUP("other",bug_conf_sheet!$A:$H,5,FALSE))</f>
        <v>0</v>
      </c>
      <c r="Q232" s="31">
        <f>IFERROR(VLOOKUP($D232,bug_conf_sheet!$A:$H,6,FALSE),VLOOKUP("other",bug_conf_sheet!$A:$H,6,FALSE))</f>
        <v>0</v>
      </c>
      <c r="R232" s="31">
        <f>IFERROR(VLOOKUP($D232,bug_conf_sheet!$A:$H,7,FALSE),VLOOKUP("other",bug_conf_sheet!$A:$H,7,FALSE))</f>
        <v>0</v>
      </c>
      <c r="S232" s="31">
        <f>IFERROR(VLOOKUP($D232,bug_conf_sheet!$A:$H,8,FALSE),VLOOKUP("other",bug_conf_sheet!$A:$H,8,FALSE))</f>
        <v>1</v>
      </c>
    </row>
    <row r="233" spans="1:19" ht="21" hidden="1" customHeight="1">
      <c r="A233" s="2">
        <f>input_0!A$2</f>
        <v>3120</v>
      </c>
      <c r="B233" s="7" t="str">
        <f t="shared" si="10"/>
        <v>Premium3</v>
      </c>
      <c r="C233" s="7" t="str">
        <f t="shared" si="11"/>
        <v>Premium</v>
      </c>
      <c r="D233" s="6">
        <v>604</v>
      </c>
      <c r="E233" s="7" t="str">
        <f>VLOOKUP(D233,[1]characters!$A:$C,3,FALSE)</f>
        <v>バルドル</v>
      </c>
      <c r="F233" s="7" t="str">
        <f>VLOOKUP(D233,[1]characters!$A:$J,10,FALSE)</f>
        <v>PremiumS</v>
      </c>
      <c r="G233" s="7">
        <f>VLOOKUP(D233,[1]characters!$A:$I,9,FALSE)</f>
        <v>3</v>
      </c>
      <c r="H233" s="7" t="str">
        <f>VLOOKUP(D233,[1]characters!$A:$H,8,FALSE)</f>
        <v>yellow</v>
      </c>
      <c r="I233" s="7" t="str">
        <f>VLOOKUP(D233,[1]characters!$A:$K,11,FALSE)</f>
        <v>heal</v>
      </c>
      <c r="J233" s="7" t="str">
        <f>VLOOKUP(D233,[1]characters!$A:$M,13,FALSE)</f>
        <v>god</v>
      </c>
      <c r="K233" s="7" t="str">
        <f>VLOOKUP(D233,[1]characters!$A:$G,7,FALSE)</f>
        <v>男性</v>
      </c>
      <c r="L233" s="66">
        <f>IFERROR(VLOOKUP(D233,input_0!L:R,7,FALSE),VLOOKUP(tables_0!B233,input_0!A:H,8,FALSE))</f>
        <v>0</v>
      </c>
      <c r="M233" s="67">
        <f t="shared" si="9"/>
        <v>0</v>
      </c>
      <c r="N233" s="31">
        <f>IFERROR(VLOOKUP($D233,bug_conf_sheet!$A:$H,3,FALSE),VLOOKUP("other",bug_conf_sheet!$A:$H,3,FALSE))</f>
        <v>1</v>
      </c>
      <c r="O233" s="31">
        <f>IFERROR(VLOOKUP($D233,bug_conf_sheet!$A:$H,4,FALSE),VLOOKUP("other",bug_conf_sheet!$A:$H,4,FALSE))</f>
        <v>0</v>
      </c>
      <c r="P233" s="31">
        <f>IFERROR(VLOOKUP($D233,bug_conf_sheet!$A:$H,5,FALSE),VLOOKUP("other",bug_conf_sheet!$A:$H,5,FALSE))</f>
        <v>0</v>
      </c>
      <c r="Q233" s="31">
        <f>IFERROR(VLOOKUP($D233,bug_conf_sheet!$A:$H,6,FALSE),VLOOKUP("other",bug_conf_sheet!$A:$H,6,FALSE))</f>
        <v>0</v>
      </c>
      <c r="R233" s="31">
        <f>IFERROR(VLOOKUP($D233,bug_conf_sheet!$A:$H,7,FALSE),VLOOKUP("other",bug_conf_sheet!$A:$H,7,FALSE))</f>
        <v>0</v>
      </c>
      <c r="S233" s="31">
        <f>IFERROR(VLOOKUP($D233,bug_conf_sheet!$A:$H,8,FALSE),VLOOKUP("other",bug_conf_sheet!$A:$H,8,FALSE))</f>
        <v>1</v>
      </c>
    </row>
    <row r="234" spans="1:19" ht="21" hidden="1" customHeight="1">
      <c r="A234" s="2">
        <f>input_0!A$2</f>
        <v>3120</v>
      </c>
      <c r="B234" s="7" t="str">
        <f t="shared" si="10"/>
        <v>Premium4</v>
      </c>
      <c r="C234" s="7" t="str">
        <f t="shared" si="11"/>
        <v>Premium</v>
      </c>
      <c r="D234" s="6">
        <v>605</v>
      </c>
      <c r="E234" s="7" t="str">
        <f>VLOOKUP(D234,[1]characters!$A:$C,3,FALSE)</f>
        <v>祝福される光耀 バルドル</v>
      </c>
      <c r="F234" s="7" t="str">
        <f>VLOOKUP(D234,[1]characters!$A:$J,10,FALSE)</f>
        <v>PremiumS</v>
      </c>
      <c r="G234" s="7">
        <f>VLOOKUP(D234,[1]characters!$A:$I,9,FALSE)</f>
        <v>4</v>
      </c>
      <c r="H234" s="7" t="str">
        <f>VLOOKUP(D234,[1]characters!$A:$H,8,FALSE)</f>
        <v>yellow</v>
      </c>
      <c r="I234" s="7" t="str">
        <f>VLOOKUP(D234,[1]characters!$A:$K,11,FALSE)</f>
        <v>heal</v>
      </c>
      <c r="J234" s="7" t="str">
        <f>VLOOKUP(D234,[1]characters!$A:$M,13,FALSE)</f>
        <v>god</v>
      </c>
      <c r="K234" s="7" t="str">
        <f>VLOOKUP(D234,[1]characters!$A:$G,7,FALSE)</f>
        <v>男性</v>
      </c>
      <c r="L234" s="66">
        <f>IFERROR(VLOOKUP(D234,input_0!L:R,7,FALSE),VLOOKUP(tables_0!B234,input_0!A:H,8,FALSE))</f>
        <v>640224</v>
      </c>
      <c r="M234" s="67">
        <f t="shared" si="9"/>
        <v>1.2324324324324324E-2</v>
      </c>
      <c r="N234" s="31">
        <f>IFERROR(VLOOKUP($D234,bug_conf_sheet!$A:$H,3,FALSE),VLOOKUP("other",bug_conf_sheet!$A:$H,3,FALSE))</f>
        <v>1</v>
      </c>
      <c r="O234" s="31">
        <f>IFERROR(VLOOKUP($D234,bug_conf_sheet!$A:$H,4,FALSE),VLOOKUP("other",bug_conf_sheet!$A:$H,4,FALSE))</f>
        <v>0</v>
      </c>
      <c r="P234" s="31">
        <f>IFERROR(VLOOKUP($D234,bug_conf_sheet!$A:$H,5,FALSE),VLOOKUP("other",bug_conf_sheet!$A:$H,5,FALSE))</f>
        <v>0</v>
      </c>
      <c r="Q234" s="31">
        <f>IFERROR(VLOOKUP($D234,bug_conf_sheet!$A:$H,6,FALSE),VLOOKUP("other",bug_conf_sheet!$A:$H,6,FALSE))</f>
        <v>0</v>
      </c>
      <c r="R234" s="31">
        <f>IFERROR(VLOOKUP($D234,bug_conf_sheet!$A:$H,7,FALSE),VLOOKUP("other",bug_conf_sheet!$A:$H,7,FALSE))</f>
        <v>0</v>
      </c>
      <c r="S234" s="31">
        <f>IFERROR(VLOOKUP($D234,bug_conf_sheet!$A:$H,8,FALSE),VLOOKUP("other",bug_conf_sheet!$A:$H,8,FALSE))</f>
        <v>1</v>
      </c>
    </row>
    <row r="235" spans="1:19" ht="21" hidden="1" customHeight="1">
      <c r="A235" s="2">
        <f>input_0!A$2</f>
        <v>3120</v>
      </c>
      <c r="B235" s="7" t="str">
        <f t="shared" si="10"/>
        <v>Premium5</v>
      </c>
      <c r="C235" s="7" t="str">
        <f t="shared" si="11"/>
        <v>Premium</v>
      </c>
      <c r="D235" s="6">
        <v>606</v>
      </c>
      <c r="E235" s="7" t="str">
        <f>VLOOKUP(D235,[1]characters!$A:$C,3,FALSE)</f>
        <v>冀望の光芒 バルドル</v>
      </c>
      <c r="F235" s="7" t="str">
        <f>VLOOKUP(D235,[1]characters!$A:$J,10,FALSE)</f>
        <v>PremiumS</v>
      </c>
      <c r="G235" s="7">
        <f>VLOOKUP(D235,[1]characters!$A:$I,9,FALSE)</f>
        <v>5</v>
      </c>
      <c r="H235" s="7" t="str">
        <f>VLOOKUP(D235,[1]characters!$A:$H,8,FALSE)</f>
        <v>yellow</v>
      </c>
      <c r="I235" s="7" t="str">
        <f>VLOOKUP(D235,[1]characters!$A:$K,11,FALSE)</f>
        <v>heal</v>
      </c>
      <c r="J235" s="7" t="str">
        <f>VLOOKUP(D235,[1]characters!$A:$M,13,FALSE)</f>
        <v>god</v>
      </c>
      <c r="K235" s="7" t="str">
        <f>VLOOKUP(D235,[1]characters!$A:$G,7,FALSE)</f>
        <v>男性</v>
      </c>
      <c r="L235" s="66">
        <f>IFERROR(VLOOKUP(D235,input_0!L:R,7,FALSE),VLOOKUP(tables_0!B235,input_0!A:H,8,FALSE))</f>
        <v>46176</v>
      </c>
      <c r="M235" s="67">
        <f t="shared" si="9"/>
        <v>8.8888888888888893E-4</v>
      </c>
      <c r="N235" s="31">
        <f>IFERROR(VLOOKUP($D235,bug_conf_sheet!$A:$H,3,FALSE),VLOOKUP("other",bug_conf_sheet!$A:$H,3,FALSE))</f>
        <v>1</v>
      </c>
      <c r="O235" s="31">
        <f>IFERROR(VLOOKUP($D235,bug_conf_sheet!$A:$H,4,FALSE),VLOOKUP("other",bug_conf_sheet!$A:$H,4,FALSE))</f>
        <v>0</v>
      </c>
      <c r="P235" s="31">
        <f>IFERROR(VLOOKUP($D235,bug_conf_sheet!$A:$H,5,FALSE),VLOOKUP("other",bug_conf_sheet!$A:$H,5,FALSE))</f>
        <v>0</v>
      </c>
      <c r="Q235" s="31">
        <f>IFERROR(VLOOKUP($D235,bug_conf_sheet!$A:$H,6,FALSE),VLOOKUP("other",bug_conf_sheet!$A:$H,6,FALSE))</f>
        <v>0</v>
      </c>
      <c r="R235" s="31">
        <f>IFERROR(VLOOKUP($D235,bug_conf_sheet!$A:$H,7,FALSE),VLOOKUP("other",bug_conf_sheet!$A:$H,7,FALSE))</f>
        <v>0</v>
      </c>
      <c r="S235" s="31">
        <f>IFERROR(VLOOKUP($D235,bug_conf_sheet!$A:$H,8,FALSE),VLOOKUP("other",bug_conf_sheet!$A:$H,8,FALSE))</f>
        <v>1</v>
      </c>
    </row>
    <row r="236" spans="1:19" ht="21" customHeight="1">
      <c r="A236" s="2">
        <f>input_0!A$2</f>
        <v>3120</v>
      </c>
      <c r="B236" s="7" t="str">
        <f t="shared" si="10"/>
        <v>PremiumSS4</v>
      </c>
      <c r="C236" s="7" t="str">
        <f t="shared" si="11"/>
        <v>PremiumSS</v>
      </c>
      <c r="D236" s="6">
        <v>658</v>
      </c>
      <c r="E236" s="7" t="str">
        <f>VLOOKUP(D236,[1]characters!$A:$C,3,FALSE)</f>
        <v>猫又 クルミ</v>
      </c>
      <c r="F236" s="7" t="str">
        <f>VLOOKUP(D236,[1]characters!$A:$J,10,FALSE)</f>
        <v>PremiumSS</v>
      </c>
      <c r="G236" s="7">
        <f>VLOOKUP(D236,[1]characters!$A:$I,9,FALSE)</f>
        <v>4</v>
      </c>
      <c r="H236" s="7" t="str">
        <f>VLOOKUP(D236,[1]characters!$A:$H,8,FALSE)</f>
        <v>red</v>
      </c>
      <c r="I236" s="7" t="str">
        <f>VLOOKUP(D236,[1]characters!$A:$K,11,FALSE)</f>
        <v>attack</v>
      </c>
      <c r="J236" s="7" t="str">
        <f>VLOOKUP(D236,[1]characters!$A:$M,13,FALSE)</f>
        <v>animal</v>
      </c>
      <c r="K236" s="7" t="str">
        <f>VLOOKUP(D236,[1]characters!$A:$G,7,FALSE)</f>
        <v>女性</v>
      </c>
      <c r="L236" s="66">
        <f>IFERROR(VLOOKUP(D236,input_0!L:R,7,FALSE),VLOOKUP(tables_0!B236,input_0!A:H,8,FALSE))</f>
        <v>75924</v>
      </c>
      <c r="M236" s="67">
        <f t="shared" si="9"/>
        <v>1.4615384615384616E-3</v>
      </c>
      <c r="N236" s="31">
        <f>IFERROR(VLOOKUP($D236,bug_conf_sheet!$A:$H,3,FALSE),VLOOKUP("other",bug_conf_sheet!$A:$H,3,FALSE))</f>
        <v>1</v>
      </c>
      <c r="O236" s="31">
        <f>IFERROR(VLOOKUP($D236,bug_conf_sheet!$A:$H,4,FALSE),VLOOKUP("other",bug_conf_sheet!$A:$H,4,FALSE))</f>
        <v>0</v>
      </c>
      <c r="P236" s="31">
        <f>IFERROR(VLOOKUP($D236,bug_conf_sheet!$A:$H,5,FALSE),VLOOKUP("other",bug_conf_sheet!$A:$H,5,FALSE))</f>
        <v>0</v>
      </c>
      <c r="Q236" s="31">
        <f>IFERROR(VLOOKUP($D236,bug_conf_sheet!$A:$H,6,FALSE),VLOOKUP("other",bug_conf_sheet!$A:$H,6,FALSE))</f>
        <v>0</v>
      </c>
      <c r="R236" s="31">
        <f>IFERROR(VLOOKUP($D236,bug_conf_sheet!$A:$H,7,FALSE),VLOOKUP("other",bug_conf_sheet!$A:$H,7,FALSE))</f>
        <v>0</v>
      </c>
      <c r="S236" s="31">
        <f>IFERROR(VLOOKUP($D236,bug_conf_sheet!$A:$H,8,FALSE),VLOOKUP("other",bug_conf_sheet!$A:$H,8,FALSE))</f>
        <v>1</v>
      </c>
    </row>
    <row r="237" spans="1:19" ht="21" customHeight="1">
      <c r="A237" s="2">
        <f>input_0!A$2</f>
        <v>3120</v>
      </c>
      <c r="B237" s="7" t="str">
        <f t="shared" si="10"/>
        <v>PremiumSS5</v>
      </c>
      <c r="C237" s="7" t="str">
        <f t="shared" si="11"/>
        <v>PremiumSS</v>
      </c>
      <c r="D237" s="6">
        <v>659</v>
      </c>
      <c r="E237" s="7" t="str">
        <f>VLOOKUP(D237,[1]characters!$A:$C,3,FALSE)</f>
        <v>跳梁する化猫 クルミ</v>
      </c>
      <c r="F237" s="7" t="str">
        <f>VLOOKUP(D237,[1]characters!$A:$J,10,FALSE)</f>
        <v>PremiumSS</v>
      </c>
      <c r="G237" s="7">
        <f>VLOOKUP(D237,[1]characters!$A:$I,9,FALSE)</f>
        <v>5</v>
      </c>
      <c r="H237" s="7" t="str">
        <f>VLOOKUP(D237,[1]characters!$A:$H,8,FALSE)</f>
        <v>red</v>
      </c>
      <c r="I237" s="7" t="str">
        <f>VLOOKUP(D237,[1]characters!$A:$K,11,FALSE)</f>
        <v>attack</v>
      </c>
      <c r="J237" s="7" t="str">
        <f>VLOOKUP(D237,[1]characters!$A:$M,13,FALSE)</f>
        <v>animal</v>
      </c>
      <c r="K237" s="7" t="str">
        <f>VLOOKUP(D237,[1]characters!$A:$G,7,FALSE)</f>
        <v>女性</v>
      </c>
      <c r="L237" s="66">
        <f>IFERROR(VLOOKUP(D237,input_0!L:R,7,FALSE),VLOOKUP(tables_0!B237,input_0!A:H,8,FALSE))</f>
        <v>3996</v>
      </c>
      <c r="M237" s="67">
        <f t="shared" si="9"/>
        <v>7.6923076923076926E-5</v>
      </c>
      <c r="N237" s="31">
        <f>IFERROR(VLOOKUP($D237,bug_conf_sheet!$A:$H,3,FALSE),VLOOKUP("other",bug_conf_sheet!$A:$H,3,FALSE))</f>
        <v>1</v>
      </c>
      <c r="O237" s="31">
        <f>IFERROR(VLOOKUP($D237,bug_conf_sheet!$A:$H,4,FALSE),VLOOKUP("other",bug_conf_sheet!$A:$H,4,FALSE))</f>
        <v>0</v>
      </c>
      <c r="P237" s="31">
        <f>IFERROR(VLOOKUP($D237,bug_conf_sheet!$A:$H,5,FALSE),VLOOKUP("other",bug_conf_sheet!$A:$H,5,FALSE))</f>
        <v>0</v>
      </c>
      <c r="Q237" s="31">
        <f>IFERROR(VLOOKUP($D237,bug_conf_sheet!$A:$H,6,FALSE),VLOOKUP("other",bug_conf_sheet!$A:$H,6,FALSE))</f>
        <v>0</v>
      </c>
      <c r="R237" s="31">
        <f>IFERROR(VLOOKUP($D237,bug_conf_sheet!$A:$H,7,FALSE),VLOOKUP("other",bug_conf_sheet!$A:$H,7,FALSE))</f>
        <v>0</v>
      </c>
      <c r="S237" s="31">
        <f>IFERROR(VLOOKUP($D237,bug_conf_sheet!$A:$H,8,FALSE),VLOOKUP("other",bug_conf_sheet!$A:$H,8,FALSE))</f>
        <v>1</v>
      </c>
    </row>
    <row r="238" spans="1:19" ht="21" customHeight="1">
      <c r="A238" s="2">
        <f>input_0!A$2</f>
        <v>3120</v>
      </c>
      <c r="B238" s="7" t="str">
        <f t="shared" si="10"/>
        <v>PremiumSS4</v>
      </c>
      <c r="C238" s="7" t="str">
        <f t="shared" si="11"/>
        <v>PremiumSS</v>
      </c>
      <c r="D238" s="6">
        <v>660</v>
      </c>
      <c r="E238" s="7" t="str">
        <f>VLOOKUP(D238,[1]characters!$A:$C,3,FALSE)</f>
        <v>烏天狗 フウガ</v>
      </c>
      <c r="F238" s="7" t="str">
        <f>VLOOKUP(D238,[1]characters!$A:$J,10,FALSE)</f>
        <v>PremiumSS</v>
      </c>
      <c r="G238" s="7">
        <f>VLOOKUP(D238,[1]characters!$A:$I,9,FALSE)</f>
        <v>4</v>
      </c>
      <c r="H238" s="7" t="str">
        <f>VLOOKUP(D238,[1]characters!$A:$H,8,FALSE)</f>
        <v>green</v>
      </c>
      <c r="I238" s="7" t="str">
        <f>VLOOKUP(D238,[1]characters!$A:$K,11,FALSE)</f>
        <v>balance</v>
      </c>
      <c r="J238" s="7" t="str">
        <f>VLOOKUP(D238,[1]characters!$A:$M,13,FALSE)</f>
        <v>animal</v>
      </c>
      <c r="K238" s="7" t="str">
        <f>VLOOKUP(D238,[1]characters!$A:$G,7,FALSE)</f>
        <v>男性</v>
      </c>
      <c r="L238" s="66">
        <f>IFERROR(VLOOKUP(D238,input_0!L:R,7,FALSE),VLOOKUP(tables_0!B238,input_0!A:H,8,FALSE))</f>
        <v>75924</v>
      </c>
      <c r="M238" s="67">
        <f t="shared" si="9"/>
        <v>1.4615384615384616E-3</v>
      </c>
      <c r="N238" s="31">
        <f>IFERROR(VLOOKUP($D238,bug_conf_sheet!$A:$H,3,FALSE),VLOOKUP("other",bug_conf_sheet!$A:$H,3,FALSE))</f>
        <v>1</v>
      </c>
      <c r="O238" s="31">
        <f>IFERROR(VLOOKUP($D238,bug_conf_sheet!$A:$H,4,FALSE),VLOOKUP("other",bug_conf_sheet!$A:$H,4,FALSE))</f>
        <v>0</v>
      </c>
      <c r="P238" s="31">
        <f>IFERROR(VLOOKUP($D238,bug_conf_sheet!$A:$H,5,FALSE),VLOOKUP("other",bug_conf_sheet!$A:$H,5,FALSE))</f>
        <v>0</v>
      </c>
      <c r="Q238" s="31">
        <f>IFERROR(VLOOKUP($D238,bug_conf_sheet!$A:$H,6,FALSE),VLOOKUP("other",bug_conf_sheet!$A:$H,6,FALSE))</f>
        <v>0</v>
      </c>
      <c r="R238" s="31">
        <f>IFERROR(VLOOKUP($D238,bug_conf_sheet!$A:$H,7,FALSE),VLOOKUP("other",bug_conf_sheet!$A:$H,7,FALSE))</f>
        <v>0</v>
      </c>
      <c r="S238" s="31">
        <f>IFERROR(VLOOKUP($D238,bug_conf_sheet!$A:$H,8,FALSE),VLOOKUP("other",bug_conf_sheet!$A:$H,8,FALSE))</f>
        <v>1</v>
      </c>
    </row>
    <row r="239" spans="1:19" ht="21" customHeight="1">
      <c r="A239" s="2">
        <f>input_0!A$2</f>
        <v>3120</v>
      </c>
      <c r="B239" s="7" t="str">
        <f t="shared" si="10"/>
        <v>PremiumSS5</v>
      </c>
      <c r="C239" s="7" t="str">
        <f t="shared" si="11"/>
        <v>PremiumSS</v>
      </c>
      <c r="D239" s="6">
        <v>661</v>
      </c>
      <c r="E239" s="7" t="str">
        <f>VLOOKUP(D239,[1]characters!$A:$C,3,FALSE)</f>
        <v>疾風の天狗礫 フウガ</v>
      </c>
      <c r="F239" s="7" t="str">
        <f>VLOOKUP(D239,[1]characters!$A:$J,10,FALSE)</f>
        <v>PremiumSS</v>
      </c>
      <c r="G239" s="7">
        <f>VLOOKUP(D239,[1]characters!$A:$I,9,FALSE)</f>
        <v>5</v>
      </c>
      <c r="H239" s="7" t="str">
        <f>VLOOKUP(D239,[1]characters!$A:$H,8,FALSE)</f>
        <v>green</v>
      </c>
      <c r="I239" s="7" t="str">
        <f>VLOOKUP(D239,[1]characters!$A:$K,11,FALSE)</f>
        <v>balance</v>
      </c>
      <c r="J239" s="7" t="str">
        <f>VLOOKUP(D239,[1]characters!$A:$M,13,FALSE)</f>
        <v>animal</v>
      </c>
      <c r="K239" s="7" t="str">
        <f>VLOOKUP(D239,[1]characters!$A:$G,7,FALSE)</f>
        <v>男性</v>
      </c>
      <c r="L239" s="66">
        <f>IFERROR(VLOOKUP(D239,input_0!L:R,7,FALSE),VLOOKUP(tables_0!B239,input_0!A:H,8,FALSE))</f>
        <v>3996</v>
      </c>
      <c r="M239" s="67">
        <f t="shared" si="9"/>
        <v>7.6923076923076926E-5</v>
      </c>
      <c r="N239" s="31">
        <f>IFERROR(VLOOKUP($D239,bug_conf_sheet!$A:$H,3,FALSE),VLOOKUP("other",bug_conf_sheet!$A:$H,3,FALSE))</f>
        <v>1</v>
      </c>
      <c r="O239" s="31">
        <f>IFERROR(VLOOKUP($D239,bug_conf_sheet!$A:$H,4,FALSE),VLOOKUP("other",bug_conf_sheet!$A:$H,4,FALSE))</f>
        <v>0</v>
      </c>
      <c r="P239" s="31">
        <f>IFERROR(VLOOKUP($D239,bug_conf_sheet!$A:$H,5,FALSE),VLOOKUP("other",bug_conf_sheet!$A:$H,5,FALSE))</f>
        <v>0</v>
      </c>
      <c r="Q239" s="31">
        <f>IFERROR(VLOOKUP($D239,bug_conf_sheet!$A:$H,6,FALSE),VLOOKUP("other",bug_conf_sheet!$A:$H,6,FALSE))</f>
        <v>0</v>
      </c>
      <c r="R239" s="31">
        <f>IFERROR(VLOOKUP($D239,bug_conf_sheet!$A:$H,7,FALSE),VLOOKUP("other",bug_conf_sheet!$A:$H,7,FALSE))</f>
        <v>0</v>
      </c>
      <c r="S239" s="31">
        <f>IFERROR(VLOOKUP($D239,bug_conf_sheet!$A:$H,8,FALSE),VLOOKUP("other",bug_conf_sheet!$A:$H,8,FALSE))</f>
        <v>1</v>
      </c>
    </row>
    <row r="240" spans="1:19" ht="21" hidden="1" customHeight="1">
      <c r="A240" s="2">
        <f>input_0!A$2</f>
        <v>3120</v>
      </c>
      <c r="B240" s="7" t="str">
        <f t="shared" si="10"/>
        <v>Premium3</v>
      </c>
      <c r="C240" s="7" t="str">
        <f t="shared" si="11"/>
        <v>Premium</v>
      </c>
      <c r="D240" s="6">
        <v>662</v>
      </c>
      <c r="E240" s="7" t="str">
        <f>VLOOKUP(D240,[1]characters!$A:$C,3,FALSE)</f>
        <v>ダイダラ</v>
      </c>
      <c r="F240" s="7" t="str">
        <f>VLOOKUP(D240,[1]characters!$A:$J,10,FALSE)</f>
        <v>PremiumS</v>
      </c>
      <c r="G240" s="7">
        <f>VLOOKUP(D240,[1]characters!$A:$I,9,FALSE)</f>
        <v>3</v>
      </c>
      <c r="H240" s="7" t="str">
        <f>VLOOKUP(D240,[1]characters!$A:$H,8,FALSE)</f>
        <v>blue</v>
      </c>
      <c r="I240" s="7" t="str">
        <f>VLOOKUP(D240,[1]characters!$A:$K,11,FALSE)</f>
        <v>hp</v>
      </c>
      <c r="J240" s="7" t="str">
        <f>VLOOKUP(D240,[1]characters!$A:$M,13,FALSE)</f>
        <v>unknown</v>
      </c>
      <c r="K240" s="7" t="str">
        <f>VLOOKUP(D240,[1]characters!$A:$G,7,FALSE)</f>
        <v>不明</v>
      </c>
      <c r="L240" s="66">
        <f>IFERROR(VLOOKUP(D240,input_0!L:R,7,FALSE),VLOOKUP(tables_0!B240,input_0!A:H,8,FALSE))</f>
        <v>0</v>
      </c>
      <c r="M240" s="67">
        <f t="shared" si="9"/>
        <v>0</v>
      </c>
      <c r="N240" s="31">
        <f>IFERROR(VLOOKUP($D240,bug_conf_sheet!$A:$H,3,FALSE),VLOOKUP("other",bug_conf_sheet!$A:$H,3,FALSE))</f>
        <v>1</v>
      </c>
      <c r="O240" s="31">
        <f>IFERROR(VLOOKUP($D240,bug_conf_sheet!$A:$H,4,FALSE),VLOOKUP("other",bug_conf_sheet!$A:$H,4,FALSE))</f>
        <v>0</v>
      </c>
      <c r="P240" s="31">
        <f>IFERROR(VLOOKUP($D240,bug_conf_sheet!$A:$H,5,FALSE),VLOOKUP("other",bug_conf_sheet!$A:$H,5,FALSE))</f>
        <v>0</v>
      </c>
      <c r="Q240" s="31">
        <f>IFERROR(VLOOKUP($D240,bug_conf_sheet!$A:$H,6,FALSE),VLOOKUP("other",bug_conf_sheet!$A:$H,6,FALSE))</f>
        <v>0</v>
      </c>
      <c r="R240" s="31">
        <f>IFERROR(VLOOKUP($D240,bug_conf_sheet!$A:$H,7,FALSE),VLOOKUP("other",bug_conf_sheet!$A:$H,7,FALSE))</f>
        <v>0</v>
      </c>
      <c r="S240" s="31">
        <f>IFERROR(VLOOKUP($D240,bug_conf_sheet!$A:$H,8,FALSE),VLOOKUP("other",bug_conf_sheet!$A:$H,8,FALSE))</f>
        <v>1</v>
      </c>
    </row>
    <row r="241" spans="1:19" ht="21" hidden="1" customHeight="1">
      <c r="A241" s="2">
        <f>input_0!A$2</f>
        <v>3120</v>
      </c>
      <c r="B241" s="7" t="str">
        <f t="shared" si="10"/>
        <v>Premium4</v>
      </c>
      <c r="C241" s="7" t="str">
        <f t="shared" si="11"/>
        <v>Premium</v>
      </c>
      <c r="D241" s="6">
        <v>663</v>
      </c>
      <c r="E241" s="7" t="str">
        <f>VLOOKUP(D241,[1]characters!$A:$C,3,FALSE)</f>
        <v>都揺らす地響き ダイダラ</v>
      </c>
      <c r="F241" s="7" t="str">
        <f>VLOOKUP(D241,[1]characters!$A:$J,10,FALSE)</f>
        <v>PremiumS</v>
      </c>
      <c r="G241" s="7">
        <f>VLOOKUP(D241,[1]characters!$A:$I,9,FALSE)</f>
        <v>4</v>
      </c>
      <c r="H241" s="7" t="str">
        <f>VLOOKUP(D241,[1]characters!$A:$H,8,FALSE)</f>
        <v>blue</v>
      </c>
      <c r="I241" s="7" t="str">
        <f>VLOOKUP(D241,[1]characters!$A:$K,11,FALSE)</f>
        <v>hp</v>
      </c>
      <c r="J241" s="7" t="str">
        <f>VLOOKUP(D241,[1]characters!$A:$M,13,FALSE)</f>
        <v>unknown</v>
      </c>
      <c r="K241" s="7" t="str">
        <f>VLOOKUP(D241,[1]characters!$A:$G,7,FALSE)</f>
        <v>不明</v>
      </c>
      <c r="L241" s="66">
        <f>IFERROR(VLOOKUP(D241,input_0!L:R,7,FALSE),VLOOKUP(tables_0!B241,input_0!A:H,8,FALSE))</f>
        <v>640224</v>
      </c>
      <c r="M241" s="67">
        <f t="shared" si="9"/>
        <v>1.2324324324324324E-2</v>
      </c>
      <c r="N241" s="31">
        <f>IFERROR(VLOOKUP($D241,bug_conf_sheet!$A:$H,3,FALSE),VLOOKUP("other",bug_conf_sheet!$A:$H,3,FALSE))</f>
        <v>1</v>
      </c>
      <c r="O241" s="31">
        <f>IFERROR(VLOOKUP($D241,bug_conf_sheet!$A:$H,4,FALSE),VLOOKUP("other",bug_conf_sheet!$A:$H,4,FALSE))</f>
        <v>0</v>
      </c>
      <c r="P241" s="31">
        <f>IFERROR(VLOOKUP($D241,bug_conf_sheet!$A:$H,5,FALSE),VLOOKUP("other",bug_conf_sheet!$A:$H,5,FALSE))</f>
        <v>0</v>
      </c>
      <c r="Q241" s="31">
        <f>IFERROR(VLOOKUP($D241,bug_conf_sheet!$A:$H,6,FALSE),VLOOKUP("other",bug_conf_sheet!$A:$H,6,FALSE))</f>
        <v>0</v>
      </c>
      <c r="R241" s="31">
        <f>IFERROR(VLOOKUP($D241,bug_conf_sheet!$A:$H,7,FALSE),VLOOKUP("other",bug_conf_sheet!$A:$H,7,FALSE))</f>
        <v>0</v>
      </c>
      <c r="S241" s="31">
        <f>IFERROR(VLOOKUP($D241,bug_conf_sheet!$A:$H,8,FALSE),VLOOKUP("other",bug_conf_sheet!$A:$H,8,FALSE))</f>
        <v>1</v>
      </c>
    </row>
    <row r="242" spans="1:19" ht="21" hidden="1" customHeight="1">
      <c r="A242" s="2">
        <f>input_0!A$2</f>
        <v>3120</v>
      </c>
      <c r="B242" s="7" t="str">
        <f t="shared" si="10"/>
        <v>Premium5</v>
      </c>
      <c r="C242" s="7" t="str">
        <f t="shared" si="11"/>
        <v>Premium</v>
      </c>
      <c r="D242" s="6">
        <v>664</v>
      </c>
      <c r="E242" s="7" t="str">
        <f>VLOOKUP(D242,[1]characters!$A:$C,3,FALSE)</f>
        <v>山掴み国造り ダイダラ</v>
      </c>
      <c r="F242" s="7" t="str">
        <f>VLOOKUP(D242,[1]characters!$A:$J,10,FALSE)</f>
        <v>PremiumS</v>
      </c>
      <c r="G242" s="7">
        <f>VLOOKUP(D242,[1]characters!$A:$I,9,FALSE)</f>
        <v>5</v>
      </c>
      <c r="H242" s="7" t="str">
        <f>VLOOKUP(D242,[1]characters!$A:$H,8,FALSE)</f>
        <v>blue</v>
      </c>
      <c r="I242" s="7" t="str">
        <f>VLOOKUP(D242,[1]characters!$A:$K,11,FALSE)</f>
        <v>hp</v>
      </c>
      <c r="J242" s="7" t="str">
        <f>VLOOKUP(D242,[1]characters!$A:$M,13,FALSE)</f>
        <v>unknown</v>
      </c>
      <c r="K242" s="7" t="str">
        <f>VLOOKUP(D242,[1]characters!$A:$G,7,FALSE)</f>
        <v>不明</v>
      </c>
      <c r="L242" s="66">
        <f>IFERROR(VLOOKUP(D242,input_0!L:R,7,FALSE),VLOOKUP(tables_0!B242,input_0!A:H,8,FALSE))</f>
        <v>46176</v>
      </c>
      <c r="M242" s="67">
        <f t="shared" si="9"/>
        <v>8.8888888888888893E-4</v>
      </c>
      <c r="N242" s="31">
        <f>IFERROR(VLOOKUP($D242,bug_conf_sheet!$A:$H,3,FALSE),VLOOKUP("other",bug_conf_sheet!$A:$H,3,FALSE))</f>
        <v>1</v>
      </c>
      <c r="O242" s="31">
        <f>IFERROR(VLOOKUP($D242,bug_conf_sheet!$A:$H,4,FALSE),VLOOKUP("other",bug_conf_sheet!$A:$H,4,FALSE))</f>
        <v>0</v>
      </c>
      <c r="P242" s="31">
        <f>IFERROR(VLOOKUP($D242,bug_conf_sheet!$A:$H,5,FALSE),VLOOKUP("other",bug_conf_sheet!$A:$H,5,FALSE))</f>
        <v>0</v>
      </c>
      <c r="Q242" s="31">
        <f>IFERROR(VLOOKUP($D242,bug_conf_sheet!$A:$H,6,FALSE),VLOOKUP("other",bug_conf_sheet!$A:$H,6,FALSE))</f>
        <v>0</v>
      </c>
      <c r="R242" s="31">
        <f>IFERROR(VLOOKUP($D242,bug_conf_sheet!$A:$H,7,FALSE),VLOOKUP("other",bug_conf_sheet!$A:$H,7,FALSE))</f>
        <v>0</v>
      </c>
      <c r="S242" s="31">
        <f>IFERROR(VLOOKUP($D242,bug_conf_sheet!$A:$H,8,FALSE),VLOOKUP("other",bug_conf_sheet!$A:$H,8,FALSE))</f>
        <v>1</v>
      </c>
    </row>
    <row r="243" spans="1:19" ht="21" hidden="1" customHeight="1">
      <c r="A243" s="2">
        <f>input_0!A$2</f>
        <v>3120</v>
      </c>
      <c r="B243" s="7" t="str">
        <f t="shared" si="10"/>
        <v>Premium3</v>
      </c>
      <c r="C243" s="7" t="str">
        <f t="shared" si="11"/>
        <v>Premium</v>
      </c>
      <c r="D243" s="6">
        <v>665</v>
      </c>
      <c r="E243" s="7" t="str">
        <f>VLOOKUP(D243,[1]characters!$A:$C,3,FALSE)</f>
        <v>座敷童子 テマリ</v>
      </c>
      <c r="F243" s="7" t="str">
        <f>VLOOKUP(D243,[1]characters!$A:$J,10,FALSE)</f>
        <v>PremiumS</v>
      </c>
      <c r="G243" s="7">
        <f>VLOOKUP(D243,[1]characters!$A:$I,9,FALSE)</f>
        <v>3</v>
      </c>
      <c r="H243" s="7" t="str">
        <f>VLOOKUP(D243,[1]characters!$A:$H,8,FALSE)</f>
        <v>yellow</v>
      </c>
      <c r="I243" s="7" t="str">
        <f>VLOOKUP(D243,[1]characters!$A:$K,11,FALSE)</f>
        <v>balance</v>
      </c>
      <c r="J243" s="7" t="str">
        <f>VLOOKUP(D243,[1]characters!$A:$M,13,FALSE)</f>
        <v>unknown</v>
      </c>
      <c r="K243" s="7" t="str">
        <f>VLOOKUP(D243,[1]characters!$A:$G,7,FALSE)</f>
        <v>女性</v>
      </c>
      <c r="L243" s="66">
        <f>IFERROR(VLOOKUP(D243,input_0!L:R,7,FALSE),VLOOKUP(tables_0!B243,input_0!A:H,8,FALSE))</f>
        <v>0</v>
      </c>
      <c r="M243" s="67">
        <f t="shared" si="9"/>
        <v>0</v>
      </c>
      <c r="N243" s="31">
        <f>IFERROR(VLOOKUP($D243,bug_conf_sheet!$A:$H,3,FALSE),VLOOKUP("other",bug_conf_sheet!$A:$H,3,FALSE))</f>
        <v>1</v>
      </c>
      <c r="O243" s="31">
        <f>IFERROR(VLOOKUP($D243,bug_conf_sheet!$A:$H,4,FALSE),VLOOKUP("other",bug_conf_sheet!$A:$H,4,FALSE))</f>
        <v>0</v>
      </c>
      <c r="P243" s="31">
        <f>IFERROR(VLOOKUP($D243,bug_conf_sheet!$A:$H,5,FALSE),VLOOKUP("other",bug_conf_sheet!$A:$H,5,FALSE))</f>
        <v>0</v>
      </c>
      <c r="Q243" s="31">
        <f>IFERROR(VLOOKUP($D243,bug_conf_sheet!$A:$H,6,FALSE),VLOOKUP("other",bug_conf_sheet!$A:$H,6,FALSE))</f>
        <v>0</v>
      </c>
      <c r="R243" s="31">
        <f>IFERROR(VLOOKUP($D243,bug_conf_sheet!$A:$H,7,FALSE),VLOOKUP("other",bug_conf_sheet!$A:$H,7,FALSE))</f>
        <v>0</v>
      </c>
      <c r="S243" s="31">
        <f>IFERROR(VLOOKUP($D243,bug_conf_sheet!$A:$H,8,FALSE),VLOOKUP("other",bug_conf_sheet!$A:$H,8,FALSE))</f>
        <v>1</v>
      </c>
    </row>
    <row r="244" spans="1:19" ht="21" hidden="1" customHeight="1">
      <c r="A244" s="2">
        <f>input_0!A$2</f>
        <v>3120</v>
      </c>
      <c r="B244" s="7" t="str">
        <f t="shared" si="10"/>
        <v>Premium4</v>
      </c>
      <c r="C244" s="7" t="str">
        <f t="shared" si="11"/>
        <v>Premium</v>
      </c>
      <c r="D244" s="6">
        <v>666</v>
      </c>
      <c r="E244" s="7" t="str">
        <f>VLOOKUP(D244,[1]characters!$A:$C,3,FALSE)</f>
        <v>拡散する幸福 テマリ</v>
      </c>
      <c r="F244" s="7" t="str">
        <f>VLOOKUP(D244,[1]characters!$A:$J,10,FALSE)</f>
        <v>PremiumS</v>
      </c>
      <c r="G244" s="7">
        <f>VLOOKUP(D244,[1]characters!$A:$I,9,FALSE)</f>
        <v>4</v>
      </c>
      <c r="H244" s="7" t="str">
        <f>VLOOKUP(D244,[1]characters!$A:$H,8,FALSE)</f>
        <v>yellow</v>
      </c>
      <c r="I244" s="7" t="str">
        <f>VLOOKUP(D244,[1]characters!$A:$K,11,FALSE)</f>
        <v>balance</v>
      </c>
      <c r="J244" s="7" t="str">
        <f>VLOOKUP(D244,[1]characters!$A:$M,13,FALSE)</f>
        <v>unknown</v>
      </c>
      <c r="K244" s="7" t="str">
        <f>VLOOKUP(D244,[1]characters!$A:$G,7,FALSE)</f>
        <v>女性</v>
      </c>
      <c r="L244" s="66">
        <f>IFERROR(VLOOKUP(D244,input_0!L:R,7,FALSE),VLOOKUP(tables_0!B244,input_0!A:H,8,FALSE))</f>
        <v>640224</v>
      </c>
      <c r="M244" s="67">
        <f t="shared" si="9"/>
        <v>1.2324324324324324E-2</v>
      </c>
      <c r="N244" s="31">
        <f>IFERROR(VLOOKUP($D244,bug_conf_sheet!$A:$H,3,FALSE),VLOOKUP("other",bug_conf_sheet!$A:$H,3,FALSE))</f>
        <v>1</v>
      </c>
      <c r="O244" s="31">
        <f>IFERROR(VLOOKUP($D244,bug_conf_sheet!$A:$H,4,FALSE),VLOOKUP("other",bug_conf_sheet!$A:$H,4,FALSE))</f>
        <v>0</v>
      </c>
      <c r="P244" s="31">
        <f>IFERROR(VLOOKUP($D244,bug_conf_sheet!$A:$H,5,FALSE),VLOOKUP("other",bug_conf_sheet!$A:$H,5,FALSE))</f>
        <v>0</v>
      </c>
      <c r="Q244" s="31">
        <f>IFERROR(VLOOKUP($D244,bug_conf_sheet!$A:$H,6,FALSE),VLOOKUP("other",bug_conf_sheet!$A:$H,6,FALSE))</f>
        <v>0</v>
      </c>
      <c r="R244" s="31">
        <f>IFERROR(VLOOKUP($D244,bug_conf_sheet!$A:$H,7,FALSE),VLOOKUP("other",bug_conf_sheet!$A:$H,7,FALSE))</f>
        <v>0</v>
      </c>
      <c r="S244" s="31">
        <f>IFERROR(VLOOKUP($D244,bug_conf_sheet!$A:$H,8,FALSE),VLOOKUP("other",bug_conf_sheet!$A:$H,8,FALSE))</f>
        <v>1</v>
      </c>
    </row>
    <row r="245" spans="1:19" ht="21" hidden="1" customHeight="1">
      <c r="A245" s="2">
        <f>input_0!A$2</f>
        <v>3120</v>
      </c>
      <c r="B245" s="7" t="str">
        <f t="shared" si="10"/>
        <v>Premium5</v>
      </c>
      <c r="C245" s="7" t="str">
        <f t="shared" si="11"/>
        <v>Premium</v>
      </c>
      <c r="D245" s="6">
        <v>667</v>
      </c>
      <c r="E245" s="7" t="str">
        <f>VLOOKUP(D245,[1]characters!$A:$C,3,FALSE)</f>
        <v>最幸運の妖童 テマリ</v>
      </c>
      <c r="F245" s="7" t="str">
        <f>VLOOKUP(D245,[1]characters!$A:$J,10,FALSE)</f>
        <v>PremiumS</v>
      </c>
      <c r="G245" s="7">
        <f>VLOOKUP(D245,[1]characters!$A:$I,9,FALSE)</f>
        <v>5</v>
      </c>
      <c r="H245" s="7" t="str">
        <f>VLOOKUP(D245,[1]characters!$A:$H,8,FALSE)</f>
        <v>yellow</v>
      </c>
      <c r="I245" s="7" t="str">
        <f>VLOOKUP(D245,[1]characters!$A:$K,11,FALSE)</f>
        <v>balance</v>
      </c>
      <c r="J245" s="7" t="str">
        <f>VLOOKUP(D245,[1]characters!$A:$M,13,FALSE)</f>
        <v>unknown</v>
      </c>
      <c r="K245" s="7" t="str">
        <f>VLOOKUP(D245,[1]characters!$A:$G,7,FALSE)</f>
        <v>女性</v>
      </c>
      <c r="L245" s="66">
        <f>IFERROR(VLOOKUP(D245,input_0!L:R,7,FALSE),VLOOKUP(tables_0!B245,input_0!A:H,8,FALSE))</f>
        <v>46176</v>
      </c>
      <c r="M245" s="67">
        <f t="shared" si="9"/>
        <v>8.8888888888888893E-4</v>
      </c>
      <c r="N245" s="31">
        <f>IFERROR(VLOOKUP($D245,bug_conf_sheet!$A:$H,3,FALSE),VLOOKUP("other",bug_conf_sheet!$A:$H,3,FALSE))</f>
        <v>1</v>
      </c>
      <c r="O245" s="31">
        <f>IFERROR(VLOOKUP($D245,bug_conf_sheet!$A:$H,4,FALSE),VLOOKUP("other",bug_conf_sheet!$A:$H,4,FALSE))</f>
        <v>0</v>
      </c>
      <c r="P245" s="31">
        <f>IFERROR(VLOOKUP($D245,bug_conf_sheet!$A:$H,5,FALSE),VLOOKUP("other",bug_conf_sheet!$A:$H,5,FALSE))</f>
        <v>0</v>
      </c>
      <c r="Q245" s="31">
        <f>IFERROR(VLOOKUP($D245,bug_conf_sheet!$A:$H,6,FALSE),VLOOKUP("other",bug_conf_sheet!$A:$H,6,FALSE))</f>
        <v>0</v>
      </c>
      <c r="R245" s="31">
        <f>IFERROR(VLOOKUP($D245,bug_conf_sheet!$A:$H,7,FALSE),VLOOKUP("other",bug_conf_sheet!$A:$H,7,FALSE))</f>
        <v>0</v>
      </c>
      <c r="S245" s="31">
        <f>IFERROR(VLOOKUP($D245,bug_conf_sheet!$A:$H,8,FALSE),VLOOKUP("other",bug_conf_sheet!$A:$H,8,FALSE))</f>
        <v>1</v>
      </c>
    </row>
    <row r="246" spans="1:19" ht="21" hidden="1" customHeight="1">
      <c r="A246" s="2">
        <f>input_0!A$2</f>
        <v>3120</v>
      </c>
      <c r="B246" s="7" t="str">
        <f t="shared" si="10"/>
        <v>Premium3</v>
      </c>
      <c r="C246" s="7" t="str">
        <f t="shared" si="11"/>
        <v>Premium</v>
      </c>
      <c r="D246" s="6">
        <v>668</v>
      </c>
      <c r="E246" s="7" t="str">
        <f>VLOOKUP(D246,[1]characters!$A:$C,3,FALSE)</f>
        <v>アグニ</v>
      </c>
      <c r="F246" s="7" t="str">
        <f>VLOOKUP(D246,[1]characters!$A:$J,10,FALSE)</f>
        <v>PremiumS</v>
      </c>
      <c r="G246" s="7">
        <f>VLOOKUP(D246,[1]characters!$A:$I,9,FALSE)</f>
        <v>3</v>
      </c>
      <c r="H246" s="7" t="str">
        <f>VLOOKUP(D246,[1]characters!$A:$H,8,FALSE)</f>
        <v>red</v>
      </c>
      <c r="I246" s="7" t="str">
        <f>VLOOKUP(D246,[1]characters!$A:$K,11,FALSE)</f>
        <v>hp</v>
      </c>
      <c r="J246" s="7" t="str">
        <f>VLOOKUP(D246,[1]characters!$A:$M,13,FALSE)</f>
        <v>god</v>
      </c>
      <c r="K246" s="7" t="str">
        <f>VLOOKUP(D246,[1]characters!$A:$G,7,FALSE)</f>
        <v>男性</v>
      </c>
      <c r="L246" s="66">
        <f>IFERROR(VLOOKUP(D246,input_0!L:R,7,FALSE),VLOOKUP(tables_0!B246,input_0!A:H,8,FALSE))</f>
        <v>0</v>
      </c>
      <c r="M246" s="67">
        <f t="shared" si="9"/>
        <v>0</v>
      </c>
      <c r="N246" s="31">
        <f>IFERROR(VLOOKUP($D246,bug_conf_sheet!$A:$H,3,FALSE),VLOOKUP("other",bug_conf_sheet!$A:$H,3,FALSE))</f>
        <v>1</v>
      </c>
      <c r="O246" s="31">
        <f>IFERROR(VLOOKUP($D246,bug_conf_sheet!$A:$H,4,FALSE),VLOOKUP("other",bug_conf_sheet!$A:$H,4,FALSE))</f>
        <v>0</v>
      </c>
      <c r="P246" s="31">
        <f>IFERROR(VLOOKUP($D246,bug_conf_sheet!$A:$H,5,FALSE),VLOOKUP("other",bug_conf_sheet!$A:$H,5,FALSE))</f>
        <v>0</v>
      </c>
      <c r="Q246" s="31">
        <f>IFERROR(VLOOKUP($D246,bug_conf_sheet!$A:$H,6,FALSE),VLOOKUP("other",bug_conf_sheet!$A:$H,6,FALSE))</f>
        <v>0</v>
      </c>
      <c r="R246" s="31">
        <f>IFERROR(VLOOKUP($D246,bug_conf_sheet!$A:$H,7,FALSE),VLOOKUP("other",bug_conf_sheet!$A:$H,7,FALSE))</f>
        <v>0</v>
      </c>
      <c r="S246" s="31">
        <f>IFERROR(VLOOKUP($D246,bug_conf_sheet!$A:$H,8,FALSE),VLOOKUP("other",bug_conf_sheet!$A:$H,8,FALSE))</f>
        <v>1</v>
      </c>
    </row>
    <row r="247" spans="1:19" ht="21" hidden="1" customHeight="1">
      <c r="A247" s="2">
        <f>input_0!A$2</f>
        <v>3120</v>
      </c>
      <c r="B247" s="7" t="str">
        <f t="shared" si="10"/>
        <v>Premium4</v>
      </c>
      <c r="C247" s="7" t="str">
        <f t="shared" si="11"/>
        <v>Premium</v>
      </c>
      <c r="D247" s="6">
        <v>669</v>
      </c>
      <c r="E247" s="7" t="str">
        <f>VLOOKUP(D247,[1]characters!$A:$C,3,FALSE)</f>
        <v>天地の仲界 アグニ</v>
      </c>
      <c r="F247" s="7" t="str">
        <f>VLOOKUP(D247,[1]characters!$A:$J,10,FALSE)</f>
        <v>PremiumS</v>
      </c>
      <c r="G247" s="7">
        <f>VLOOKUP(D247,[1]characters!$A:$I,9,FALSE)</f>
        <v>4</v>
      </c>
      <c r="H247" s="7" t="str">
        <f>VLOOKUP(D247,[1]characters!$A:$H,8,FALSE)</f>
        <v>red</v>
      </c>
      <c r="I247" s="7" t="str">
        <f>VLOOKUP(D247,[1]characters!$A:$K,11,FALSE)</f>
        <v>hp</v>
      </c>
      <c r="J247" s="7" t="str">
        <f>VLOOKUP(D247,[1]characters!$A:$M,13,FALSE)</f>
        <v>god</v>
      </c>
      <c r="K247" s="7" t="str">
        <f>VLOOKUP(D247,[1]characters!$A:$G,7,FALSE)</f>
        <v>男性</v>
      </c>
      <c r="L247" s="66">
        <f>IFERROR(VLOOKUP(D247,input_0!L:R,7,FALSE),VLOOKUP(tables_0!B247,input_0!A:H,8,FALSE))</f>
        <v>640224</v>
      </c>
      <c r="M247" s="67">
        <f t="shared" si="9"/>
        <v>1.2324324324324324E-2</v>
      </c>
      <c r="N247" s="31">
        <f>IFERROR(VLOOKUP($D247,bug_conf_sheet!$A:$H,3,FALSE),VLOOKUP("other",bug_conf_sheet!$A:$H,3,FALSE))</f>
        <v>1</v>
      </c>
      <c r="O247" s="31">
        <f>IFERROR(VLOOKUP($D247,bug_conf_sheet!$A:$H,4,FALSE),VLOOKUP("other",bug_conf_sheet!$A:$H,4,FALSE))</f>
        <v>0</v>
      </c>
      <c r="P247" s="31">
        <f>IFERROR(VLOOKUP($D247,bug_conf_sheet!$A:$H,5,FALSE),VLOOKUP("other",bug_conf_sheet!$A:$H,5,FALSE))</f>
        <v>0</v>
      </c>
      <c r="Q247" s="31">
        <f>IFERROR(VLOOKUP($D247,bug_conf_sheet!$A:$H,6,FALSE),VLOOKUP("other",bug_conf_sheet!$A:$H,6,FALSE))</f>
        <v>0</v>
      </c>
      <c r="R247" s="31">
        <f>IFERROR(VLOOKUP($D247,bug_conf_sheet!$A:$H,7,FALSE),VLOOKUP("other",bug_conf_sheet!$A:$H,7,FALSE))</f>
        <v>0</v>
      </c>
      <c r="S247" s="31">
        <f>IFERROR(VLOOKUP($D247,bug_conf_sheet!$A:$H,8,FALSE),VLOOKUP("other",bug_conf_sheet!$A:$H,8,FALSE))</f>
        <v>1</v>
      </c>
    </row>
    <row r="248" spans="1:19" ht="21" hidden="1" customHeight="1">
      <c r="A248" s="2">
        <f>input_0!A$2</f>
        <v>3120</v>
      </c>
      <c r="B248" s="7" t="str">
        <f t="shared" si="10"/>
        <v>Premium5</v>
      </c>
      <c r="C248" s="7" t="str">
        <f t="shared" si="11"/>
        <v>Premium</v>
      </c>
      <c r="D248" s="6">
        <v>670</v>
      </c>
      <c r="E248" s="7" t="str">
        <f>VLOOKUP(D248,[1]characters!$A:$C,3,FALSE)</f>
        <v>陽天の噴煙 アグニ</v>
      </c>
      <c r="F248" s="7" t="str">
        <f>VLOOKUP(D248,[1]characters!$A:$J,10,FALSE)</f>
        <v>PremiumS</v>
      </c>
      <c r="G248" s="7">
        <f>VLOOKUP(D248,[1]characters!$A:$I,9,FALSE)</f>
        <v>5</v>
      </c>
      <c r="H248" s="7" t="str">
        <f>VLOOKUP(D248,[1]characters!$A:$H,8,FALSE)</f>
        <v>red</v>
      </c>
      <c r="I248" s="7" t="str">
        <f>VLOOKUP(D248,[1]characters!$A:$K,11,FALSE)</f>
        <v>hp</v>
      </c>
      <c r="J248" s="7" t="str">
        <f>VLOOKUP(D248,[1]characters!$A:$M,13,FALSE)</f>
        <v>god</v>
      </c>
      <c r="K248" s="7" t="str">
        <f>VLOOKUP(D248,[1]characters!$A:$G,7,FALSE)</f>
        <v>男性</v>
      </c>
      <c r="L248" s="66">
        <f>IFERROR(VLOOKUP(D248,input_0!L:R,7,FALSE),VLOOKUP(tables_0!B248,input_0!A:H,8,FALSE))</f>
        <v>46176</v>
      </c>
      <c r="M248" s="67">
        <f t="shared" si="9"/>
        <v>8.8888888888888893E-4</v>
      </c>
      <c r="N248" s="31">
        <f>IFERROR(VLOOKUP($D248,bug_conf_sheet!$A:$H,3,FALSE),VLOOKUP("other",bug_conf_sheet!$A:$H,3,FALSE))</f>
        <v>1</v>
      </c>
      <c r="O248" s="31">
        <f>IFERROR(VLOOKUP($D248,bug_conf_sheet!$A:$H,4,FALSE),VLOOKUP("other",bug_conf_sheet!$A:$H,4,FALSE))</f>
        <v>0</v>
      </c>
      <c r="P248" s="31">
        <f>IFERROR(VLOOKUP($D248,bug_conf_sheet!$A:$H,5,FALSE),VLOOKUP("other",bug_conf_sheet!$A:$H,5,FALSE))</f>
        <v>0</v>
      </c>
      <c r="Q248" s="31">
        <f>IFERROR(VLOOKUP($D248,bug_conf_sheet!$A:$H,6,FALSE),VLOOKUP("other",bug_conf_sheet!$A:$H,6,FALSE))</f>
        <v>0</v>
      </c>
      <c r="R248" s="31">
        <f>IFERROR(VLOOKUP($D248,bug_conf_sheet!$A:$H,7,FALSE),VLOOKUP("other",bug_conf_sheet!$A:$H,7,FALSE))</f>
        <v>0</v>
      </c>
      <c r="S248" s="31">
        <f>IFERROR(VLOOKUP($D248,bug_conf_sheet!$A:$H,8,FALSE),VLOOKUP("other",bug_conf_sheet!$A:$H,8,FALSE))</f>
        <v>1</v>
      </c>
    </row>
    <row r="249" spans="1:19" ht="21" hidden="1" customHeight="1">
      <c r="A249" s="2">
        <f>input_0!A$2</f>
        <v>3120</v>
      </c>
      <c r="B249" s="7" t="str">
        <f t="shared" si="10"/>
        <v>Premium3</v>
      </c>
      <c r="C249" s="7" t="str">
        <f t="shared" si="11"/>
        <v>Premium</v>
      </c>
      <c r="D249" s="6">
        <v>671</v>
      </c>
      <c r="E249" s="7" t="str">
        <f>VLOOKUP(D249,[1]characters!$A:$C,3,FALSE)</f>
        <v>ハヌマーン</v>
      </c>
      <c r="F249" s="7" t="str">
        <f>VLOOKUP(D249,[1]characters!$A:$J,10,FALSE)</f>
        <v>PremiumS</v>
      </c>
      <c r="G249" s="7">
        <f>VLOOKUP(D249,[1]characters!$A:$I,9,FALSE)</f>
        <v>3</v>
      </c>
      <c r="H249" s="7" t="str">
        <f>VLOOKUP(D249,[1]characters!$A:$H,8,FALSE)</f>
        <v>green</v>
      </c>
      <c r="I249" s="7" t="str">
        <f>VLOOKUP(D249,[1]characters!$A:$K,11,FALSE)</f>
        <v>attack</v>
      </c>
      <c r="J249" s="7" t="str">
        <f>VLOOKUP(D249,[1]characters!$A:$M,13,FALSE)</f>
        <v>animal</v>
      </c>
      <c r="K249" s="7" t="str">
        <f>VLOOKUP(D249,[1]characters!$A:$G,7,FALSE)</f>
        <v>男性</v>
      </c>
      <c r="L249" s="66">
        <f>IFERROR(VLOOKUP(D249,input_0!L:R,7,FALSE),VLOOKUP(tables_0!B249,input_0!A:H,8,FALSE))</f>
        <v>0</v>
      </c>
      <c r="M249" s="67">
        <f t="shared" si="9"/>
        <v>0</v>
      </c>
      <c r="N249" s="31">
        <f>IFERROR(VLOOKUP($D249,bug_conf_sheet!$A:$H,3,FALSE),VLOOKUP("other",bug_conf_sheet!$A:$H,3,FALSE))</f>
        <v>1</v>
      </c>
      <c r="O249" s="31">
        <f>IFERROR(VLOOKUP($D249,bug_conf_sheet!$A:$H,4,FALSE),VLOOKUP("other",bug_conf_sheet!$A:$H,4,FALSE))</f>
        <v>0</v>
      </c>
      <c r="P249" s="31">
        <f>IFERROR(VLOOKUP($D249,bug_conf_sheet!$A:$H,5,FALSE),VLOOKUP("other",bug_conf_sheet!$A:$H,5,FALSE))</f>
        <v>0</v>
      </c>
      <c r="Q249" s="31">
        <f>IFERROR(VLOOKUP($D249,bug_conf_sheet!$A:$H,6,FALSE),VLOOKUP("other",bug_conf_sheet!$A:$H,6,FALSE))</f>
        <v>0</v>
      </c>
      <c r="R249" s="31">
        <f>IFERROR(VLOOKUP($D249,bug_conf_sheet!$A:$H,7,FALSE),VLOOKUP("other",bug_conf_sheet!$A:$H,7,FALSE))</f>
        <v>0</v>
      </c>
      <c r="S249" s="31">
        <f>IFERROR(VLOOKUP($D249,bug_conf_sheet!$A:$H,8,FALSE),VLOOKUP("other",bug_conf_sheet!$A:$H,8,FALSE))</f>
        <v>1</v>
      </c>
    </row>
    <row r="250" spans="1:19" ht="21" hidden="1" customHeight="1">
      <c r="A250" s="2">
        <f>input_0!A$2</f>
        <v>3120</v>
      </c>
      <c r="B250" s="7" t="str">
        <f t="shared" si="10"/>
        <v>Premium4</v>
      </c>
      <c r="C250" s="7" t="str">
        <f t="shared" si="11"/>
        <v>Premium</v>
      </c>
      <c r="D250" s="6">
        <v>672</v>
      </c>
      <c r="E250" s="7" t="str">
        <f>VLOOKUP(D250,[1]characters!$A:$C,3,FALSE)</f>
        <v>西遊韋駄天 ハヌマーン</v>
      </c>
      <c r="F250" s="7" t="str">
        <f>VLOOKUP(D250,[1]characters!$A:$J,10,FALSE)</f>
        <v>PremiumS</v>
      </c>
      <c r="G250" s="7">
        <f>VLOOKUP(D250,[1]characters!$A:$I,9,FALSE)</f>
        <v>4</v>
      </c>
      <c r="H250" s="7" t="str">
        <f>VLOOKUP(D250,[1]characters!$A:$H,8,FALSE)</f>
        <v>green</v>
      </c>
      <c r="I250" s="7" t="str">
        <f>VLOOKUP(D250,[1]characters!$A:$K,11,FALSE)</f>
        <v>attack</v>
      </c>
      <c r="J250" s="7" t="str">
        <f>VLOOKUP(D250,[1]characters!$A:$M,13,FALSE)</f>
        <v>animal</v>
      </c>
      <c r="K250" s="7" t="str">
        <f>VLOOKUP(D250,[1]characters!$A:$G,7,FALSE)</f>
        <v>男性</v>
      </c>
      <c r="L250" s="66">
        <f>IFERROR(VLOOKUP(D250,input_0!L:R,7,FALSE),VLOOKUP(tables_0!B250,input_0!A:H,8,FALSE))</f>
        <v>640224</v>
      </c>
      <c r="M250" s="67">
        <f t="shared" si="9"/>
        <v>1.2324324324324324E-2</v>
      </c>
      <c r="N250" s="31">
        <f>IFERROR(VLOOKUP($D250,bug_conf_sheet!$A:$H,3,FALSE),VLOOKUP("other",bug_conf_sheet!$A:$H,3,FALSE))</f>
        <v>1</v>
      </c>
      <c r="O250" s="31">
        <f>IFERROR(VLOOKUP($D250,bug_conf_sheet!$A:$H,4,FALSE),VLOOKUP("other",bug_conf_sheet!$A:$H,4,FALSE))</f>
        <v>0</v>
      </c>
      <c r="P250" s="31">
        <f>IFERROR(VLOOKUP($D250,bug_conf_sheet!$A:$H,5,FALSE),VLOOKUP("other",bug_conf_sheet!$A:$H,5,FALSE))</f>
        <v>0</v>
      </c>
      <c r="Q250" s="31">
        <f>IFERROR(VLOOKUP($D250,bug_conf_sheet!$A:$H,6,FALSE),VLOOKUP("other",bug_conf_sheet!$A:$H,6,FALSE))</f>
        <v>0</v>
      </c>
      <c r="R250" s="31">
        <f>IFERROR(VLOOKUP($D250,bug_conf_sheet!$A:$H,7,FALSE),VLOOKUP("other",bug_conf_sheet!$A:$H,7,FALSE))</f>
        <v>0</v>
      </c>
      <c r="S250" s="31">
        <f>IFERROR(VLOOKUP($D250,bug_conf_sheet!$A:$H,8,FALSE),VLOOKUP("other",bug_conf_sheet!$A:$H,8,FALSE))</f>
        <v>1</v>
      </c>
    </row>
    <row r="251" spans="1:19" ht="21" hidden="1" customHeight="1">
      <c r="A251" s="2">
        <f>input_0!A$2</f>
        <v>3120</v>
      </c>
      <c r="B251" s="7" t="str">
        <f t="shared" si="10"/>
        <v>Premium5</v>
      </c>
      <c r="C251" s="7" t="str">
        <f t="shared" si="11"/>
        <v>Premium</v>
      </c>
      <c r="D251" s="6">
        <v>673</v>
      </c>
      <c r="E251" s="7" t="str">
        <f>VLOOKUP(D251,[1]characters!$A:$C,3,FALSE)</f>
        <v>変幻自在の猿王 ハヌマーン</v>
      </c>
      <c r="F251" s="7" t="str">
        <f>VLOOKUP(D251,[1]characters!$A:$J,10,FALSE)</f>
        <v>PremiumS</v>
      </c>
      <c r="G251" s="7">
        <f>VLOOKUP(D251,[1]characters!$A:$I,9,FALSE)</f>
        <v>5</v>
      </c>
      <c r="H251" s="7" t="str">
        <f>VLOOKUP(D251,[1]characters!$A:$H,8,FALSE)</f>
        <v>green</v>
      </c>
      <c r="I251" s="7" t="str">
        <f>VLOOKUP(D251,[1]characters!$A:$K,11,FALSE)</f>
        <v>attack</v>
      </c>
      <c r="J251" s="7" t="str">
        <f>VLOOKUP(D251,[1]characters!$A:$M,13,FALSE)</f>
        <v>animal</v>
      </c>
      <c r="K251" s="7" t="str">
        <f>VLOOKUP(D251,[1]characters!$A:$G,7,FALSE)</f>
        <v>男性</v>
      </c>
      <c r="L251" s="66">
        <f>IFERROR(VLOOKUP(D251,input_0!L:R,7,FALSE),VLOOKUP(tables_0!B251,input_0!A:H,8,FALSE))</f>
        <v>46176</v>
      </c>
      <c r="M251" s="67">
        <f t="shared" si="9"/>
        <v>8.8888888888888893E-4</v>
      </c>
      <c r="N251" s="31">
        <f>IFERROR(VLOOKUP($D251,bug_conf_sheet!$A:$H,3,FALSE),VLOOKUP("other",bug_conf_sheet!$A:$H,3,FALSE))</f>
        <v>1</v>
      </c>
      <c r="O251" s="31">
        <f>IFERROR(VLOOKUP($D251,bug_conf_sheet!$A:$H,4,FALSE),VLOOKUP("other",bug_conf_sheet!$A:$H,4,FALSE))</f>
        <v>0</v>
      </c>
      <c r="P251" s="31">
        <f>IFERROR(VLOOKUP($D251,bug_conf_sheet!$A:$H,5,FALSE),VLOOKUP("other",bug_conf_sheet!$A:$H,5,FALSE))</f>
        <v>0</v>
      </c>
      <c r="Q251" s="31">
        <f>IFERROR(VLOOKUP($D251,bug_conf_sheet!$A:$H,6,FALSE),VLOOKUP("other",bug_conf_sheet!$A:$H,6,FALSE))</f>
        <v>0</v>
      </c>
      <c r="R251" s="31">
        <f>IFERROR(VLOOKUP($D251,bug_conf_sheet!$A:$H,7,FALSE),VLOOKUP("other",bug_conf_sheet!$A:$H,7,FALSE))</f>
        <v>0</v>
      </c>
      <c r="S251" s="31">
        <f>IFERROR(VLOOKUP($D251,bug_conf_sheet!$A:$H,8,FALSE),VLOOKUP("other",bug_conf_sheet!$A:$H,8,FALSE))</f>
        <v>1</v>
      </c>
    </row>
    <row r="252" spans="1:19" ht="21" customHeight="1">
      <c r="A252" s="2">
        <f>input_0!A$2</f>
        <v>3120</v>
      </c>
      <c r="B252" s="7" t="str">
        <f t="shared" si="10"/>
        <v>PremiumSS4</v>
      </c>
      <c r="C252" s="7" t="str">
        <f t="shared" si="11"/>
        <v>PremiumSS</v>
      </c>
      <c r="D252" s="6">
        <v>674</v>
      </c>
      <c r="E252" s="7" t="str">
        <f>VLOOKUP(D252,[1]characters!$A:$C,3,FALSE)</f>
        <v>サラスヴァティ</v>
      </c>
      <c r="F252" s="7" t="str">
        <f>VLOOKUP(D252,[1]characters!$A:$J,10,FALSE)</f>
        <v>PremiumSS</v>
      </c>
      <c r="G252" s="7">
        <f>VLOOKUP(D252,[1]characters!$A:$I,9,FALSE)</f>
        <v>4</v>
      </c>
      <c r="H252" s="7" t="str">
        <f>VLOOKUP(D252,[1]characters!$A:$H,8,FALSE)</f>
        <v>blue</v>
      </c>
      <c r="I252" s="7" t="str">
        <f>VLOOKUP(D252,[1]characters!$A:$K,11,FALSE)</f>
        <v>balance</v>
      </c>
      <c r="J252" s="7" t="str">
        <f>VLOOKUP(D252,[1]characters!$A:$M,13,FALSE)</f>
        <v>god</v>
      </c>
      <c r="K252" s="7" t="str">
        <f>VLOOKUP(D252,[1]characters!$A:$G,7,FALSE)</f>
        <v>女性</v>
      </c>
      <c r="L252" s="66">
        <f>IFERROR(VLOOKUP(D252,input_0!L:R,7,FALSE),VLOOKUP(tables_0!B252,input_0!A:H,8,FALSE))</f>
        <v>75924</v>
      </c>
      <c r="M252" s="67">
        <f t="shared" si="9"/>
        <v>1.4615384615384616E-3</v>
      </c>
      <c r="N252" s="31">
        <f>IFERROR(VLOOKUP($D252,bug_conf_sheet!$A:$H,3,FALSE),VLOOKUP("other",bug_conf_sheet!$A:$H,3,FALSE))</f>
        <v>1</v>
      </c>
      <c r="O252" s="31">
        <f>IFERROR(VLOOKUP($D252,bug_conf_sheet!$A:$H,4,FALSE),VLOOKUP("other",bug_conf_sheet!$A:$H,4,FALSE))</f>
        <v>0</v>
      </c>
      <c r="P252" s="31">
        <f>IFERROR(VLOOKUP($D252,bug_conf_sheet!$A:$H,5,FALSE),VLOOKUP("other",bug_conf_sheet!$A:$H,5,FALSE))</f>
        <v>0</v>
      </c>
      <c r="Q252" s="31">
        <f>IFERROR(VLOOKUP($D252,bug_conf_sheet!$A:$H,6,FALSE),VLOOKUP("other",bug_conf_sheet!$A:$H,6,FALSE))</f>
        <v>0</v>
      </c>
      <c r="R252" s="31">
        <f>IFERROR(VLOOKUP($D252,bug_conf_sheet!$A:$H,7,FALSE),VLOOKUP("other",bug_conf_sheet!$A:$H,7,FALSE))</f>
        <v>0</v>
      </c>
      <c r="S252" s="31">
        <f>IFERROR(VLOOKUP($D252,bug_conf_sheet!$A:$H,8,FALSE),VLOOKUP("other",bug_conf_sheet!$A:$H,8,FALSE))</f>
        <v>1</v>
      </c>
    </row>
    <row r="253" spans="1:19" ht="21" customHeight="1">
      <c r="A253" s="2">
        <f>input_0!A$2</f>
        <v>3120</v>
      </c>
      <c r="B253" s="7" t="str">
        <f t="shared" si="10"/>
        <v>PremiumSS5</v>
      </c>
      <c r="C253" s="7" t="str">
        <f t="shared" si="11"/>
        <v>PremiumSS</v>
      </c>
      <c r="D253" s="6">
        <v>675</v>
      </c>
      <c r="E253" s="7" t="str">
        <f>VLOOKUP(D253,[1]characters!$A:$C,3,FALSE)</f>
        <v>芸楽の奔流 サラスヴァティ</v>
      </c>
      <c r="F253" s="7" t="str">
        <f>VLOOKUP(D253,[1]characters!$A:$J,10,FALSE)</f>
        <v>PremiumSS</v>
      </c>
      <c r="G253" s="7">
        <f>VLOOKUP(D253,[1]characters!$A:$I,9,FALSE)</f>
        <v>5</v>
      </c>
      <c r="H253" s="7" t="str">
        <f>VLOOKUP(D253,[1]characters!$A:$H,8,FALSE)</f>
        <v>blue</v>
      </c>
      <c r="I253" s="7" t="str">
        <f>VLOOKUP(D253,[1]characters!$A:$K,11,FALSE)</f>
        <v>balance</v>
      </c>
      <c r="J253" s="7" t="str">
        <f>VLOOKUP(D253,[1]characters!$A:$M,13,FALSE)</f>
        <v>god</v>
      </c>
      <c r="K253" s="7" t="str">
        <f>VLOOKUP(D253,[1]characters!$A:$G,7,FALSE)</f>
        <v>女性</v>
      </c>
      <c r="L253" s="66">
        <f>IFERROR(VLOOKUP(D253,input_0!L:R,7,FALSE),VLOOKUP(tables_0!B253,input_0!A:H,8,FALSE))</f>
        <v>3996</v>
      </c>
      <c r="M253" s="67">
        <f t="shared" si="9"/>
        <v>7.6923076923076926E-5</v>
      </c>
      <c r="N253" s="31">
        <f>IFERROR(VLOOKUP($D253,bug_conf_sheet!$A:$H,3,FALSE),VLOOKUP("other",bug_conf_sheet!$A:$H,3,FALSE))</f>
        <v>1</v>
      </c>
      <c r="O253" s="31">
        <f>IFERROR(VLOOKUP($D253,bug_conf_sheet!$A:$H,4,FALSE),VLOOKUP("other",bug_conf_sheet!$A:$H,4,FALSE))</f>
        <v>0</v>
      </c>
      <c r="P253" s="31">
        <f>IFERROR(VLOOKUP($D253,bug_conf_sheet!$A:$H,5,FALSE),VLOOKUP("other",bug_conf_sheet!$A:$H,5,FALSE))</f>
        <v>0</v>
      </c>
      <c r="Q253" s="31">
        <f>IFERROR(VLOOKUP($D253,bug_conf_sheet!$A:$H,6,FALSE),VLOOKUP("other",bug_conf_sheet!$A:$H,6,FALSE))</f>
        <v>0</v>
      </c>
      <c r="R253" s="31">
        <f>IFERROR(VLOOKUP($D253,bug_conf_sheet!$A:$H,7,FALSE),VLOOKUP("other",bug_conf_sheet!$A:$H,7,FALSE))</f>
        <v>0</v>
      </c>
      <c r="S253" s="31">
        <f>IFERROR(VLOOKUP($D253,bug_conf_sheet!$A:$H,8,FALSE),VLOOKUP("other",bug_conf_sheet!$A:$H,8,FALSE))</f>
        <v>1</v>
      </c>
    </row>
    <row r="254" spans="1:19" ht="21" customHeight="1">
      <c r="A254" s="2">
        <f>input_0!A$2</f>
        <v>3120</v>
      </c>
      <c r="B254" s="7" t="str">
        <f t="shared" si="10"/>
        <v>PremiumSS4</v>
      </c>
      <c r="C254" s="7" t="str">
        <f t="shared" si="11"/>
        <v>PremiumSS</v>
      </c>
      <c r="D254" s="6">
        <v>676</v>
      </c>
      <c r="E254" s="7" t="str">
        <f>VLOOKUP(D254,[1]characters!$A:$C,3,FALSE)</f>
        <v>ヴィシュヌ</v>
      </c>
      <c r="F254" s="7" t="str">
        <f>VLOOKUP(D254,[1]characters!$A:$J,10,FALSE)</f>
        <v>PremiumSS</v>
      </c>
      <c r="G254" s="7">
        <f>VLOOKUP(D254,[1]characters!$A:$I,9,FALSE)</f>
        <v>4</v>
      </c>
      <c r="H254" s="7" t="str">
        <f>VLOOKUP(D254,[1]characters!$A:$H,8,FALSE)</f>
        <v>yellow</v>
      </c>
      <c r="I254" s="7" t="str">
        <f>VLOOKUP(D254,[1]characters!$A:$K,11,FALSE)</f>
        <v>attack</v>
      </c>
      <c r="J254" s="7" t="str">
        <f>VLOOKUP(D254,[1]characters!$A:$M,13,FALSE)</f>
        <v>god</v>
      </c>
      <c r="K254" s="7" t="str">
        <f>VLOOKUP(D254,[1]characters!$A:$G,7,FALSE)</f>
        <v>女性</v>
      </c>
      <c r="L254" s="66">
        <f>IFERROR(VLOOKUP(D254,input_0!L:R,7,FALSE),VLOOKUP(tables_0!B254,input_0!A:H,8,FALSE))</f>
        <v>75924</v>
      </c>
      <c r="M254" s="67">
        <f t="shared" si="9"/>
        <v>1.4615384615384616E-3</v>
      </c>
      <c r="N254" s="31">
        <f>IFERROR(VLOOKUP($D254,bug_conf_sheet!$A:$H,3,FALSE),VLOOKUP("other",bug_conf_sheet!$A:$H,3,FALSE))</f>
        <v>1</v>
      </c>
      <c r="O254" s="31">
        <f>IFERROR(VLOOKUP($D254,bug_conf_sheet!$A:$H,4,FALSE),VLOOKUP("other",bug_conf_sheet!$A:$H,4,FALSE))</f>
        <v>0</v>
      </c>
      <c r="P254" s="31">
        <f>IFERROR(VLOOKUP($D254,bug_conf_sheet!$A:$H,5,FALSE),VLOOKUP("other",bug_conf_sheet!$A:$H,5,FALSE))</f>
        <v>0</v>
      </c>
      <c r="Q254" s="31">
        <f>IFERROR(VLOOKUP($D254,bug_conf_sheet!$A:$H,6,FALSE),VLOOKUP("other",bug_conf_sheet!$A:$H,6,FALSE))</f>
        <v>0</v>
      </c>
      <c r="R254" s="31">
        <f>IFERROR(VLOOKUP($D254,bug_conf_sheet!$A:$H,7,FALSE),VLOOKUP("other",bug_conf_sheet!$A:$H,7,FALSE))</f>
        <v>0</v>
      </c>
      <c r="S254" s="31">
        <f>IFERROR(VLOOKUP($D254,bug_conf_sheet!$A:$H,8,FALSE),VLOOKUP("other",bug_conf_sheet!$A:$H,8,FALSE))</f>
        <v>1</v>
      </c>
    </row>
    <row r="255" spans="1:19" ht="21" customHeight="1">
      <c r="A255" s="2">
        <f>input_0!A$2</f>
        <v>3120</v>
      </c>
      <c r="B255" s="7" t="str">
        <f t="shared" si="10"/>
        <v>PremiumSS5</v>
      </c>
      <c r="C255" s="7" t="str">
        <f t="shared" si="11"/>
        <v>PremiumSS</v>
      </c>
      <c r="D255" s="6">
        <v>677</v>
      </c>
      <c r="E255" s="7" t="str">
        <f>VLOOKUP(D255,[1]characters!$A:$C,3,FALSE)</f>
        <v>武遊闊歩 ヴィシュヌ</v>
      </c>
      <c r="F255" s="7" t="str">
        <f>VLOOKUP(D255,[1]characters!$A:$J,10,FALSE)</f>
        <v>PremiumSS</v>
      </c>
      <c r="G255" s="7">
        <f>VLOOKUP(D255,[1]characters!$A:$I,9,FALSE)</f>
        <v>5</v>
      </c>
      <c r="H255" s="7" t="str">
        <f>VLOOKUP(D255,[1]characters!$A:$H,8,FALSE)</f>
        <v>yellow</v>
      </c>
      <c r="I255" s="7" t="str">
        <f>VLOOKUP(D255,[1]characters!$A:$K,11,FALSE)</f>
        <v>attack</v>
      </c>
      <c r="J255" s="7" t="str">
        <f>VLOOKUP(D255,[1]characters!$A:$M,13,FALSE)</f>
        <v>god</v>
      </c>
      <c r="K255" s="7" t="str">
        <f>VLOOKUP(D255,[1]characters!$A:$G,7,FALSE)</f>
        <v>女性</v>
      </c>
      <c r="L255" s="66">
        <f>IFERROR(VLOOKUP(D255,input_0!L:R,7,FALSE),VLOOKUP(tables_0!B255,input_0!A:H,8,FALSE))</f>
        <v>3996</v>
      </c>
      <c r="M255" s="67">
        <f t="shared" si="9"/>
        <v>7.6923076923076926E-5</v>
      </c>
      <c r="N255" s="31">
        <f>IFERROR(VLOOKUP($D255,bug_conf_sheet!$A:$H,3,FALSE),VLOOKUP("other",bug_conf_sheet!$A:$H,3,FALSE))</f>
        <v>1</v>
      </c>
      <c r="O255" s="31">
        <f>IFERROR(VLOOKUP($D255,bug_conf_sheet!$A:$H,4,FALSE),VLOOKUP("other",bug_conf_sheet!$A:$H,4,FALSE))</f>
        <v>0</v>
      </c>
      <c r="P255" s="31">
        <f>IFERROR(VLOOKUP($D255,bug_conf_sheet!$A:$H,5,FALSE),VLOOKUP("other",bug_conf_sheet!$A:$H,5,FALSE))</f>
        <v>0</v>
      </c>
      <c r="Q255" s="31">
        <f>IFERROR(VLOOKUP($D255,bug_conf_sheet!$A:$H,6,FALSE),VLOOKUP("other",bug_conf_sheet!$A:$H,6,FALSE))</f>
        <v>0</v>
      </c>
      <c r="R255" s="31">
        <f>IFERROR(VLOOKUP($D255,bug_conf_sheet!$A:$H,7,FALSE),VLOOKUP("other",bug_conf_sheet!$A:$H,7,FALSE))</f>
        <v>0</v>
      </c>
      <c r="S255" s="31">
        <f>IFERROR(VLOOKUP($D255,bug_conf_sheet!$A:$H,8,FALSE),VLOOKUP("other",bug_conf_sheet!$A:$H,8,FALSE))</f>
        <v>1</v>
      </c>
    </row>
  </sheetData>
  <autoFilter ref="A1:S255">
    <filterColumn colId="5">
      <filters>
        <filter val="PremiumSS"/>
      </filters>
    </filterColumn>
  </autoFilter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R43"/>
  <sheetViews>
    <sheetView topLeftCell="A2" workbookViewId="0">
      <selection activeCell="A33" sqref="A33"/>
    </sheetView>
  </sheetViews>
  <sheetFormatPr baseColWidth="12" defaultRowHeight="14" x14ac:dyDescent="0"/>
  <sheetData>
    <row r="1" spans="1:18">
      <c r="A1" s="70" t="s">
        <v>103</v>
      </c>
      <c r="B1" s="70"/>
    </row>
    <row r="2" spans="1:18">
      <c r="A2">
        <v>3127</v>
      </c>
    </row>
    <row r="4" spans="1:18">
      <c r="A4" s="48" t="s">
        <v>68</v>
      </c>
      <c r="B4" s="48"/>
    </row>
    <row r="5" spans="1:18">
      <c r="A5" s="46" t="s">
        <v>88</v>
      </c>
      <c r="B5" s="47">
        <f>1-B6-B7</f>
        <v>0</v>
      </c>
    </row>
    <row r="6" spans="1:18">
      <c r="A6" s="46" t="s">
        <v>89</v>
      </c>
      <c r="B6" s="47">
        <v>0</v>
      </c>
    </row>
    <row r="7" spans="1:18">
      <c r="A7" s="46" t="s">
        <v>90</v>
      </c>
      <c r="B7" s="47">
        <v>1</v>
      </c>
    </row>
    <row r="9" spans="1:18">
      <c r="A9" s="49" t="s">
        <v>69</v>
      </c>
      <c r="B9" s="49"/>
    </row>
    <row r="10" spans="1:18">
      <c r="A10" s="46" t="s">
        <v>118</v>
      </c>
      <c r="B10" s="47">
        <f>1-B11-B12</f>
        <v>0.98</v>
      </c>
    </row>
    <row r="11" spans="1:18">
      <c r="A11" s="46" t="s">
        <v>71</v>
      </c>
      <c r="B11" s="47">
        <v>0.02</v>
      </c>
    </row>
    <row r="12" spans="1:18">
      <c r="A12" s="46" t="s">
        <v>70</v>
      </c>
      <c r="B12" s="47">
        <v>0</v>
      </c>
    </row>
    <row r="15" spans="1:18">
      <c r="A15" s="53" t="s">
        <v>72</v>
      </c>
      <c r="B15" s="53"/>
      <c r="C15" t="s">
        <v>104</v>
      </c>
      <c r="L15" s="55" t="s">
        <v>77</v>
      </c>
      <c r="M15" s="55"/>
    </row>
    <row r="16" spans="1:18">
      <c r="A16" s="46" t="s">
        <v>75</v>
      </c>
      <c r="B16" s="46" t="s">
        <v>76</v>
      </c>
      <c r="C16" s="54" t="s">
        <v>77</v>
      </c>
      <c r="D16" s="54" t="s">
        <v>78</v>
      </c>
      <c r="E16" t="s">
        <v>92</v>
      </c>
      <c r="F16" t="s">
        <v>91</v>
      </c>
      <c r="G16" t="s">
        <v>94</v>
      </c>
      <c r="H16" t="s">
        <v>93</v>
      </c>
      <c r="I16" t="s">
        <v>95</v>
      </c>
      <c r="J16" t="s">
        <v>98</v>
      </c>
      <c r="L16" s="46" t="s">
        <v>1</v>
      </c>
      <c r="M16" s="54" t="s">
        <v>81</v>
      </c>
      <c r="N16" s="46" t="s">
        <v>79</v>
      </c>
      <c r="O16" s="54" t="s">
        <v>82</v>
      </c>
      <c r="P16" s="54" t="s">
        <v>83</v>
      </c>
      <c r="Q16" s="54" t="s">
        <v>80</v>
      </c>
      <c r="R16" s="65" t="s">
        <v>93</v>
      </c>
    </row>
    <row r="17" spans="1:17">
      <c r="A17" s="46" t="s">
        <v>119</v>
      </c>
      <c r="B17" s="50">
        <f>B5</f>
        <v>0</v>
      </c>
      <c r="C17" s="69">
        <f t="shared" ref="C17:C23" si="0">SUMIF(Q:Q,A17,N:N)</f>
        <v>0</v>
      </c>
      <c r="D17" s="62">
        <f t="shared" ref="D17:D24" si="1">B17-C17</f>
        <v>0</v>
      </c>
      <c r="E17">
        <f>COUNTIF(gacha_settle_tables_1!B:B,input_settle_1!A17)-COUNTIF(Q:Q,A17)</f>
        <v>0</v>
      </c>
      <c r="F17" s="64">
        <f t="shared" ref="F17:F23" si="2">IFERROR(D17/E17,0)</f>
        <v>0</v>
      </c>
      <c r="G17">
        <f t="shared" ref="G17:G23" si="3">A$32*D17</f>
        <v>0</v>
      </c>
      <c r="H17">
        <f t="shared" ref="H17:H23" si="4">IFERROR(ROUND(G17/E17,5),0)</f>
        <v>0</v>
      </c>
      <c r="I17">
        <f t="shared" ref="I17:I23" si="5">MOD(H17,1)</f>
        <v>0</v>
      </c>
      <c r="J17">
        <f t="shared" ref="J17:J23" si="6">IFERROR(1/I17,1)</f>
        <v>1</v>
      </c>
      <c r="L17" s="46"/>
      <c r="M17" s="54"/>
      <c r="N17" s="52"/>
      <c r="O17" s="54"/>
      <c r="P17" s="54"/>
      <c r="Q17" s="54"/>
    </row>
    <row r="18" spans="1:17">
      <c r="A18" s="46" t="s">
        <v>120</v>
      </c>
      <c r="B18" s="56">
        <f>B6-B19-B20</f>
        <v>0</v>
      </c>
      <c r="C18" s="69">
        <f t="shared" si="0"/>
        <v>0</v>
      </c>
      <c r="D18" s="62">
        <f t="shared" si="1"/>
        <v>0</v>
      </c>
      <c r="E18">
        <f>COUNTIF(gacha_settle_tables_1!B:B,input_settle_1!A18)-COUNTIF(Q:Q,A18)</f>
        <v>0</v>
      </c>
      <c r="F18" s="64">
        <f t="shared" si="2"/>
        <v>0</v>
      </c>
      <c r="G18">
        <f t="shared" si="3"/>
        <v>0</v>
      </c>
      <c r="H18">
        <f t="shared" si="4"/>
        <v>0</v>
      </c>
      <c r="I18">
        <f t="shared" si="5"/>
        <v>0</v>
      </c>
      <c r="J18">
        <f t="shared" si="6"/>
        <v>1</v>
      </c>
      <c r="L18" s="46"/>
      <c r="M18" s="54"/>
      <c r="N18" s="52"/>
      <c r="O18" s="54"/>
      <c r="P18" s="54"/>
      <c r="Q18" s="54"/>
    </row>
    <row r="19" spans="1:17">
      <c r="A19" s="46" t="s">
        <v>84</v>
      </c>
      <c r="B19" s="79">
        <f>B6*B11/(B6+B7)</f>
        <v>0</v>
      </c>
      <c r="C19" s="69">
        <f t="shared" si="0"/>
        <v>0</v>
      </c>
      <c r="D19" s="62">
        <f t="shared" si="1"/>
        <v>0</v>
      </c>
      <c r="E19">
        <f>COUNTIF(gacha_settle_tables_1!B:B,input_settle_1!A19)-COUNTIF(Q:Q,A19)</f>
        <v>0</v>
      </c>
      <c r="F19" s="64">
        <f t="shared" si="2"/>
        <v>0</v>
      </c>
      <c r="G19">
        <f t="shared" si="3"/>
        <v>0</v>
      </c>
      <c r="H19">
        <f t="shared" si="4"/>
        <v>0</v>
      </c>
      <c r="I19">
        <f t="shared" si="5"/>
        <v>0</v>
      </c>
      <c r="J19">
        <f t="shared" si="6"/>
        <v>1</v>
      </c>
      <c r="L19" s="46"/>
      <c r="M19" s="54"/>
      <c r="N19" s="52"/>
      <c r="O19" s="54"/>
      <c r="P19" s="54"/>
      <c r="Q19" s="54"/>
    </row>
    <row r="20" spans="1:17">
      <c r="A20" s="46" t="s">
        <v>85</v>
      </c>
      <c r="B20" s="57">
        <f>B12*B6/(B6+B7)</f>
        <v>0</v>
      </c>
      <c r="C20" s="69">
        <f t="shared" si="0"/>
        <v>0</v>
      </c>
      <c r="D20" s="62">
        <f t="shared" si="1"/>
        <v>0</v>
      </c>
      <c r="E20">
        <f>COUNTIF(gacha_settle_tables_1!B:B,input_settle_1!A20)-COUNTIF(Q:Q,A20)</f>
        <v>0</v>
      </c>
      <c r="F20" s="64">
        <f t="shared" si="2"/>
        <v>0</v>
      </c>
      <c r="G20">
        <f t="shared" si="3"/>
        <v>0</v>
      </c>
      <c r="H20">
        <f t="shared" si="4"/>
        <v>0</v>
      </c>
      <c r="I20">
        <f t="shared" si="5"/>
        <v>0</v>
      </c>
      <c r="J20">
        <f t="shared" si="6"/>
        <v>1</v>
      </c>
      <c r="L20" s="46"/>
      <c r="M20" s="54"/>
      <c r="N20" s="52"/>
      <c r="O20" s="54"/>
      <c r="P20" s="54"/>
      <c r="Q20" s="54"/>
    </row>
    <row r="21" spans="1:17">
      <c r="A21" s="46" t="s">
        <v>121</v>
      </c>
      <c r="B21" s="58">
        <f>B7-B22-B23</f>
        <v>0.97499999999999998</v>
      </c>
      <c r="C21" s="69">
        <f t="shared" si="0"/>
        <v>0</v>
      </c>
      <c r="D21" s="62">
        <f t="shared" si="1"/>
        <v>0.97499999999999998</v>
      </c>
      <c r="E21">
        <f>COUNTIF(gacha_settle_tables_1!B:B,input_settle_1!A21)-COUNTIF(Q:Q,A21)</f>
        <v>54</v>
      </c>
      <c r="F21" s="64">
        <f t="shared" si="2"/>
        <v>1.8055555555555554E-2</v>
      </c>
      <c r="G21">
        <f t="shared" si="3"/>
        <v>136890</v>
      </c>
      <c r="H21">
        <f t="shared" si="4"/>
        <v>2535</v>
      </c>
      <c r="I21">
        <f t="shared" si="5"/>
        <v>0</v>
      </c>
      <c r="J21">
        <f t="shared" si="6"/>
        <v>1</v>
      </c>
      <c r="L21" s="46"/>
      <c r="M21" s="54"/>
      <c r="N21" s="46"/>
      <c r="O21" s="54"/>
      <c r="P21" s="54"/>
      <c r="Q21" s="54"/>
    </row>
    <row r="22" spans="1:17">
      <c r="A22" s="46" t="s">
        <v>86</v>
      </c>
      <c r="B22" s="79">
        <v>2.5000000000000001E-2</v>
      </c>
      <c r="C22" s="69">
        <f t="shared" si="0"/>
        <v>0</v>
      </c>
      <c r="D22" s="62">
        <f t="shared" si="1"/>
        <v>2.5000000000000001E-2</v>
      </c>
      <c r="E22">
        <f>COUNTIF(gacha_settle_tables_1!B:B,input_settle_1!A22)-COUNTIF(Q:Q,A22)</f>
        <v>26</v>
      </c>
      <c r="F22" s="64">
        <f t="shared" si="2"/>
        <v>9.6153846153846159E-4</v>
      </c>
      <c r="G22">
        <f t="shared" si="3"/>
        <v>3510</v>
      </c>
      <c r="H22">
        <f t="shared" si="4"/>
        <v>135</v>
      </c>
      <c r="I22">
        <f t="shared" si="5"/>
        <v>0</v>
      </c>
      <c r="J22">
        <f t="shared" si="6"/>
        <v>1</v>
      </c>
      <c r="L22" s="46"/>
      <c r="M22" s="54"/>
      <c r="N22" s="46"/>
      <c r="O22" s="54"/>
      <c r="P22" s="54"/>
      <c r="Q22" s="54"/>
    </row>
    <row r="23" spans="1:17">
      <c r="A23" s="46" t="s">
        <v>87</v>
      </c>
      <c r="B23" s="51">
        <f>B12*B7/(B7+B6)</f>
        <v>0</v>
      </c>
      <c r="C23" s="69">
        <f t="shared" si="0"/>
        <v>0</v>
      </c>
      <c r="D23" s="62">
        <f t="shared" si="1"/>
        <v>0</v>
      </c>
      <c r="E23">
        <f>COUNTIF(gacha_settle_tables_1!B:B,input_settle_1!A23)-COUNTIF(Q:Q,A23)</f>
        <v>0</v>
      </c>
      <c r="F23" s="64">
        <f t="shared" si="2"/>
        <v>0</v>
      </c>
      <c r="G23">
        <f t="shared" si="3"/>
        <v>0</v>
      </c>
      <c r="H23">
        <f t="shared" si="4"/>
        <v>0</v>
      </c>
      <c r="I23">
        <f t="shared" si="5"/>
        <v>0</v>
      </c>
      <c r="J23">
        <f t="shared" si="6"/>
        <v>1</v>
      </c>
      <c r="L23" s="46"/>
      <c r="M23" s="54"/>
      <c r="N23" s="46"/>
      <c r="O23" s="54"/>
      <c r="P23" s="54"/>
      <c r="Q23" s="54"/>
    </row>
    <row r="24" spans="1:17">
      <c r="A24" s="59" t="s">
        <v>74</v>
      </c>
      <c r="B24" s="60">
        <f>SUM(B17:B23)</f>
        <v>1</v>
      </c>
      <c r="C24" s="61">
        <f>SUM(C17:C23)</f>
        <v>0</v>
      </c>
      <c r="D24" s="63">
        <f t="shared" si="1"/>
        <v>1</v>
      </c>
      <c r="L24" s="46"/>
      <c r="M24" s="54"/>
      <c r="N24" s="46"/>
      <c r="O24" s="54"/>
      <c r="P24" s="54"/>
      <c r="Q24" s="54"/>
    </row>
    <row r="31" spans="1:17">
      <c r="A31" t="s">
        <v>93</v>
      </c>
    </row>
    <row r="32" spans="1:17">
      <c r="A32" s="34">
        <f>54*26*100</f>
        <v>140400</v>
      </c>
    </row>
    <row r="34" spans="1:6">
      <c r="A34" s="68" t="s">
        <v>97</v>
      </c>
    </row>
    <row r="35" spans="1:6">
      <c r="A35" s="46" t="s">
        <v>75</v>
      </c>
      <c r="B35" t="s">
        <v>94</v>
      </c>
      <c r="C35" t="s">
        <v>123</v>
      </c>
      <c r="E35" t="s">
        <v>124</v>
      </c>
    </row>
    <row r="36" spans="1:6">
      <c r="A36" s="46" t="s">
        <v>119</v>
      </c>
      <c r="B36">
        <f>SUMIF(gacha_settle_tables_1!B:B,input_settle_1!A36,gacha_settle_tables_1!L:L)</f>
        <v>0</v>
      </c>
      <c r="C36" s="77">
        <f>B36/B$43</f>
        <v>0</v>
      </c>
      <c r="E36">
        <v>3</v>
      </c>
      <c r="F36" s="78">
        <f>C36</f>
        <v>0</v>
      </c>
    </row>
    <row r="37" spans="1:6">
      <c r="A37" s="46" t="s">
        <v>120</v>
      </c>
      <c r="B37">
        <f>SUMIF(gacha_settle_tables_1!B:B,input_settle_1!A37,gacha_settle_tables_1!L:L)</f>
        <v>0</v>
      </c>
      <c r="C37" s="77">
        <f t="shared" ref="C37:C42" si="7">B37/B$43</f>
        <v>0</v>
      </c>
      <c r="E37">
        <v>4</v>
      </c>
      <c r="F37" s="78">
        <f>SUM(C37:C39)</f>
        <v>0</v>
      </c>
    </row>
    <row r="38" spans="1:6">
      <c r="A38" s="46" t="s">
        <v>84</v>
      </c>
      <c r="B38">
        <f>SUMIF(gacha_settle_tables_1!B:B,input_settle_1!A38,gacha_settle_tables_1!L:L)</f>
        <v>0</v>
      </c>
      <c r="C38" s="77">
        <f t="shared" si="7"/>
        <v>0</v>
      </c>
      <c r="E38">
        <v>5</v>
      </c>
      <c r="F38" s="78">
        <f>SUM(C40:C42)</f>
        <v>1</v>
      </c>
    </row>
    <row r="39" spans="1:6">
      <c r="A39" s="46" t="s">
        <v>85</v>
      </c>
      <c r="B39">
        <f>SUMIF(gacha_settle_tables_1!B:B,input_settle_1!A39,gacha_settle_tables_1!L:L)</f>
        <v>0</v>
      </c>
      <c r="C39" s="77">
        <f t="shared" si="7"/>
        <v>0</v>
      </c>
    </row>
    <row r="40" spans="1:6">
      <c r="A40" s="46" t="s">
        <v>121</v>
      </c>
      <c r="B40">
        <f>SUMIF(gacha_settle_tables_1!B:B,input_settle_1!A40,gacha_settle_tables_1!L:L)</f>
        <v>136890</v>
      </c>
      <c r="C40" s="77">
        <f t="shared" si="7"/>
        <v>0.97499999999999998</v>
      </c>
      <c r="E40" t="s">
        <v>69</v>
      </c>
    </row>
    <row r="41" spans="1:6">
      <c r="A41" s="46" t="s">
        <v>86</v>
      </c>
      <c r="B41">
        <f>SUMIF(gacha_settle_tables_1!B:B,input_settle_1!A41,gacha_settle_tables_1!L:L)</f>
        <v>3510</v>
      </c>
      <c r="C41" s="77">
        <f t="shared" si="7"/>
        <v>2.5000000000000001E-2</v>
      </c>
      <c r="E41" t="s">
        <v>126</v>
      </c>
      <c r="F41" s="78">
        <f>C36+C37+C40</f>
        <v>0.97499999999999998</v>
      </c>
    </row>
    <row r="42" spans="1:6">
      <c r="A42" s="46" t="s">
        <v>87</v>
      </c>
      <c r="B42">
        <f>SUMIF(gacha_settle_tables_1!B:B,input_settle_1!A42,gacha_settle_tables_1!L:L)</f>
        <v>0</v>
      </c>
      <c r="C42" s="77">
        <f t="shared" si="7"/>
        <v>0</v>
      </c>
      <c r="E42" t="s">
        <v>71</v>
      </c>
      <c r="F42" s="78">
        <f>C38+C41</f>
        <v>2.5000000000000001E-2</v>
      </c>
    </row>
    <row r="43" spans="1:6">
      <c r="A43" s="59" t="s">
        <v>74</v>
      </c>
      <c r="B43">
        <f>SUM(B36:B42)</f>
        <v>140400</v>
      </c>
      <c r="E43" t="s">
        <v>70</v>
      </c>
      <c r="F43" s="78">
        <f>C39+C42</f>
        <v>0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S81"/>
  <sheetViews>
    <sheetView showGridLines="0" zoomScale="75" zoomScaleNormal="75" zoomScalePageLayoutView="75" workbookViewId="0">
      <pane ySplit="1" topLeftCell="A2" activePane="bottomLeft" state="frozen"/>
      <selection activeCell="A32" sqref="A32"/>
      <selection pane="bottomLeft" activeCell="B34" sqref="B34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105</v>
      </c>
      <c r="B1" s="3" t="s">
        <v>31</v>
      </c>
      <c r="C1" s="3" t="s">
        <v>117</v>
      </c>
      <c r="D1" s="16" t="s">
        <v>32</v>
      </c>
      <c r="E1" s="3" t="s">
        <v>33</v>
      </c>
      <c r="F1" s="3" t="s">
        <v>34</v>
      </c>
      <c r="G1" s="3" t="s">
        <v>35</v>
      </c>
      <c r="H1" s="3" t="s">
        <v>55</v>
      </c>
      <c r="I1" s="3" t="s">
        <v>36</v>
      </c>
      <c r="J1" s="3" t="s">
        <v>37</v>
      </c>
      <c r="K1" s="3" t="s">
        <v>73</v>
      </c>
      <c r="L1" s="16" t="s">
        <v>39</v>
      </c>
      <c r="M1" s="3" t="s">
        <v>79</v>
      </c>
      <c r="N1" s="16" t="s">
        <v>38</v>
      </c>
      <c r="O1" s="30" t="s">
        <v>5</v>
      </c>
      <c r="P1" s="30" t="s">
        <v>6</v>
      </c>
      <c r="Q1" s="30" t="s">
        <v>7</v>
      </c>
      <c r="R1" s="30" t="s">
        <v>8</v>
      </c>
      <c r="S1" s="30" t="s">
        <v>9</v>
      </c>
    </row>
    <row r="2" spans="1:19" ht="21" customHeight="1">
      <c r="A2" s="2">
        <v>3127</v>
      </c>
      <c r="B2" s="7" t="s">
        <v>135</v>
      </c>
      <c r="C2" s="7" t="s">
        <v>136</v>
      </c>
      <c r="D2" s="6">
        <v>168</v>
      </c>
      <c r="E2" s="7" t="str">
        <f>VLOOKUP(D2,[1]characters!$A:$C,3,FALSE)</f>
        <v>猛進の大逆者 ベリアル</v>
      </c>
      <c r="F2" s="7" t="str">
        <f>VLOOKUP(D2,[1]characters!$A:$J,10,FALSE)</f>
        <v>PremiumN</v>
      </c>
      <c r="G2" s="7">
        <f>VLOOKUP(D2,[1]characters!$A:$I,9,FALSE)</f>
        <v>5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god</v>
      </c>
      <c r="K2" s="7" t="str">
        <f>VLOOKUP(D2,[1]characters!$A:$G,7,FALSE)</f>
        <v>男性</v>
      </c>
      <c r="L2" s="66">
        <f>IFERROR(VLOOKUP(D2,input_settle_1!L:R,7,FALSE),VLOOKUP(gacha_settle_tables_1!B2,input_settle_1!A:H,8,FALSE))</f>
        <v>2535</v>
      </c>
      <c r="M2" s="67">
        <f t="shared" ref="M2:M33" si="0">L2/SUM(L:L)</f>
        <v>1.8055555555555554E-2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customHeight="1">
      <c r="A3" s="2">
        <v>3127</v>
      </c>
      <c r="B3" s="7" t="s">
        <v>135</v>
      </c>
      <c r="C3" s="7" t="s">
        <v>136</v>
      </c>
      <c r="D3" s="6">
        <v>171</v>
      </c>
      <c r="E3" s="7" t="str">
        <f>VLOOKUP(D3,[1]characters!$A:$C,3,FALSE)</f>
        <v>精解の預知者 オセ</v>
      </c>
      <c r="F3" s="7" t="str">
        <f>VLOOKUP(D3,[1]characters!$A:$J,10,FALSE)</f>
        <v>PremiumN</v>
      </c>
      <c r="G3" s="7">
        <f>VLOOKUP(D3,[1]characters!$A:$I,9,FALSE)</f>
        <v>5</v>
      </c>
      <c r="H3" s="7" t="str">
        <f>VLOOKUP(D3,[1]characters!$A:$H,8,FALSE)</f>
        <v>green</v>
      </c>
      <c r="I3" s="7" t="str">
        <f>VLOOKUP(D3,[1]characters!$A:$K,11,FALSE)</f>
        <v>attack</v>
      </c>
      <c r="J3" s="7" t="str">
        <f>VLOOKUP(D3,[1]characters!$A:$M,13,FALSE)</f>
        <v>god</v>
      </c>
      <c r="K3" s="7" t="str">
        <f>VLOOKUP(D3,[1]characters!$A:$G,7,FALSE)</f>
        <v>女性</v>
      </c>
      <c r="L3" s="66">
        <f>IFERROR(VLOOKUP(D3,input_settle_1!L:R,7,FALSE),VLOOKUP(gacha_settle_tables_1!B3,input_settle_1!A:H,8,FALSE))</f>
        <v>2535</v>
      </c>
      <c r="M3" s="67">
        <f t="shared" si="0"/>
        <v>1.8055555555555554E-2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customHeight="1">
      <c r="A4" s="2">
        <v>3127</v>
      </c>
      <c r="B4" s="7" t="s">
        <v>135</v>
      </c>
      <c r="C4" s="7" t="s">
        <v>136</v>
      </c>
      <c r="D4" s="6">
        <v>174</v>
      </c>
      <c r="E4" s="7" t="str">
        <f>VLOOKUP(D4,[1]characters!$A:$C,3,FALSE)</f>
        <v>偽愛の大公爵 フォルネウス</v>
      </c>
      <c r="F4" s="7" t="str">
        <f>VLOOKUP(D4,[1]characters!$A:$J,10,FALSE)</f>
        <v>PremiumN</v>
      </c>
      <c r="G4" s="7">
        <f>VLOOKUP(D4,[1]characters!$A:$I,9,FALSE)</f>
        <v>5</v>
      </c>
      <c r="H4" s="7" t="str">
        <f>VLOOKUP(D4,[1]characters!$A:$H,8,FALSE)</f>
        <v>blue</v>
      </c>
      <c r="I4" s="7" t="str">
        <f>VLOOKUP(D4,[1]characters!$A:$K,11,FALSE)</f>
        <v>attack</v>
      </c>
      <c r="J4" s="7" t="str">
        <f>VLOOKUP(D4,[1]characters!$A:$M,13,FALSE)</f>
        <v>god</v>
      </c>
      <c r="K4" s="7" t="str">
        <f>VLOOKUP(D4,[1]characters!$A:$G,7,FALSE)</f>
        <v>女性</v>
      </c>
      <c r="L4" s="66">
        <f>IFERROR(VLOOKUP(D4,input_settle_1!L:R,7,FALSE),VLOOKUP(gacha_settle_tables_1!B4,input_settle_1!A:H,8,FALSE))</f>
        <v>2535</v>
      </c>
      <c r="M4" s="67">
        <f t="shared" si="0"/>
        <v>1.8055555555555554E-2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customHeight="1">
      <c r="A5" s="2">
        <v>3127</v>
      </c>
      <c r="B5" s="7" t="s">
        <v>135</v>
      </c>
      <c r="C5" s="7" t="s">
        <v>136</v>
      </c>
      <c r="D5" s="6">
        <v>177</v>
      </c>
      <c r="E5" s="7" t="str">
        <f>VLOOKUP(D5,[1]characters!$A:$C,3,FALSE)</f>
        <v>黒魔の異端師 バフォメット</v>
      </c>
      <c r="F5" s="7" t="str">
        <f>VLOOKUP(D5,[1]characters!$A:$J,10,FALSE)</f>
        <v>PremiumN</v>
      </c>
      <c r="G5" s="7">
        <f>VLOOKUP(D5,[1]characters!$A:$I,9,FALSE)</f>
        <v>5</v>
      </c>
      <c r="H5" s="7" t="str">
        <f>VLOOKUP(D5,[1]characters!$A:$H,8,FALSE)</f>
        <v>yellow</v>
      </c>
      <c r="I5" s="7" t="str">
        <f>VLOOKUP(D5,[1]characters!$A:$K,11,FALSE)</f>
        <v>attack</v>
      </c>
      <c r="J5" s="7" t="str">
        <f>VLOOKUP(D5,[1]characters!$A:$M,13,FALSE)</f>
        <v>god</v>
      </c>
      <c r="K5" s="7" t="str">
        <f>VLOOKUP(D5,[1]characters!$A:$G,7,FALSE)</f>
        <v>女性</v>
      </c>
      <c r="L5" s="66">
        <f>IFERROR(VLOOKUP(D5,input_settle_1!L:R,7,FALSE),VLOOKUP(gacha_settle_tables_1!B5,input_settle_1!A:H,8,FALSE))</f>
        <v>2535</v>
      </c>
      <c r="M5" s="67">
        <f t="shared" si="0"/>
        <v>1.8055555555555554E-2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customHeight="1">
      <c r="A6" s="2">
        <v>3127</v>
      </c>
      <c r="B6" s="7" t="s">
        <v>135</v>
      </c>
      <c r="C6" s="7" t="s">
        <v>136</v>
      </c>
      <c r="D6" s="6">
        <v>180</v>
      </c>
      <c r="E6" s="7" t="str">
        <f>VLOOKUP(D6,[1]characters!$A:$C,3,FALSE)</f>
        <v>地獄の大門番 ケルベロス</v>
      </c>
      <c r="F6" s="7" t="str">
        <f>VLOOKUP(D6,[1]characters!$A:$J,10,FALSE)</f>
        <v>PremiumN</v>
      </c>
      <c r="G6" s="7">
        <f>VLOOKUP(D6,[1]characters!$A:$I,9,FALSE)</f>
        <v>5</v>
      </c>
      <c r="H6" s="7" t="str">
        <f>VLOOKUP(D6,[1]characters!$A:$H,8,FALSE)</f>
        <v>red</v>
      </c>
      <c r="I6" s="7" t="str">
        <f>VLOOKUP(D6,[1]characters!$A:$K,11,FALSE)</f>
        <v>balance</v>
      </c>
      <c r="J6" s="7" t="str">
        <f>VLOOKUP(D6,[1]characters!$A:$M,13,FALSE)</f>
        <v>animal</v>
      </c>
      <c r="K6" s="7" t="str">
        <f>VLOOKUP(D6,[1]characters!$A:$G,7,FALSE)</f>
        <v>女性</v>
      </c>
      <c r="L6" s="66">
        <f>IFERROR(VLOOKUP(D6,input_settle_1!L:R,7,FALSE),VLOOKUP(gacha_settle_tables_1!B6,input_settle_1!A:H,8,FALSE))</f>
        <v>2535</v>
      </c>
      <c r="M6" s="67">
        <f t="shared" si="0"/>
        <v>1.8055555555555554E-2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customHeight="1">
      <c r="A7" s="2">
        <v>3127</v>
      </c>
      <c r="B7" s="7" t="s">
        <v>135</v>
      </c>
      <c r="C7" s="7" t="s">
        <v>136</v>
      </c>
      <c r="D7" s="6">
        <v>183</v>
      </c>
      <c r="E7" s="7" t="str">
        <f>VLOOKUP(D7,[1]characters!$A:$C,3,FALSE)</f>
        <v>鈍重な彷徨者 ベヒモス</v>
      </c>
      <c r="F7" s="7" t="str">
        <f>VLOOKUP(D7,[1]characters!$A:$J,10,FALSE)</f>
        <v>PremiumN</v>
      </c>
      <c r="G7" s="7">
        <f>VLOOKUP(D7,[1]characters!$A:$I,9,FALSE)</f>
        <v>5</v>
      </c>
      <c r="H7" s="7" t="str">
        <f>VLOOKUP(D7,[1]characters!$A:$H,8,FALSE)</f>
        <v>green</v>
      </c>
      <c r="I7" s="7" t="str">
        <f>VLOOKUP(D7,[1]characters!$A:$K,11,FALSE)</f>
        <v>hp</v>
      </c>
      <c r="J7" s="7" t="str">
        <f>VLOOKUP(D7,[1]characters!$A:$M,13,FALSE)</f>
        <v>animal</v>
      </c>
      <c r="K7" s="7" t="str">
        <f>VLOOKUP(D7,[1]characters!$A:$G,7,FALSE)</f>
        <v>女性</v>
      </c>
      <c r="L7" s="66">
        <f>IFERROR(VLOOKUP(D7,input_settle_1!L:R,7,FALSE),VLOOKUP(gacha_settle_tables_1!B7,input_settle_1!A:H,8,FALSE))</f>
        <v>2535</v>
      </c>
      <c r="M7" s="67">
        <f t="shared" si="0"/>
        <v>1.8055555555555554E-2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customHeight="1">
      <c r="A8" s="2">
        <v>3127</v>
      </c>
      <c r="B8" s="7" t="s">
        <v>135</v>
      </c>
      <c r="C8" s="7" t="s">
        <v>136</v>
      </c>
      <c r="D8" s="8">
        <v>186</v>
      </c>
      <c r="E8" s="7" t="str">
        <f>VLOOKUP(D8,[1]characters!$A:$C,3,FALSE)</f>
        <v>誇り高き多触姫・クラーケン</v>
      </c>
      <c r="F8" s="7" t="str">
        <f>VLOOKUP(D8,[1]characters!$A:$J,10,FALSE)</f>
        <v>PremiumN</v>
      </c>
      <c r="G8" s="7">
        <f>VLOOKUP(D8,[1]characters!$A:$I,9,FALSE)</f>
        <v>5</v>
      </c>
      <c r="H8" s="7" t="str">
        <f>VLOOKUP(D8,[1]characters!$A:$H,8,FALSE)</f>
        <v>blue</v>
      </c>
      <c r="I8" s="7" t="str">
        <f>VLOOKUP(D8,[1]characters!$A:$K,11,FALSE)</f>
        <v>heal</v>
      </c>
      <c r="J8" s="7" t="str">
        <f>VLOOKUP(D8,[1]characters!$A:$M,13,FALSE)</f>
        <v>animal</v>
      </c>
      <c r="K8" s="7" t="str">
        <f>VLOOKUP(D8,[1]characters!$A:$G,7,FALSE)</f>
        <v>女性</v>
      </c>
      <c r="L8" s="66">
        <f>IFERROR(VLOOKUP(D8,input_settle_1!L:R,7,FALSE),VLOOKUP(gacha_settle_tables_1!B8,input_settle_1!A:H,8,FALSE))</f>
        <v>2535</v>
      </c>
      <c r="M8" s="67">
        <f t="shared" si="0"/>
        <v>1.8055555555555554E-2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customHeight="1">
      <c r="A9" s="2">
        <v>3127</v>
      </c>
      <c r="B9" s="7" t="s">
        <v>135</v>
      </c>
      <c r="C9" s="7" t="s">
        <v>136</v>
      </c>
      <c r="D9" s="8">
        <v>189</v>
      </c>
      <c r="E9" s="7" t="str">
        <f>VLOOKUP(D9,[1]characters!$A:$C,3,FALSE)</f>
        <v>迅雷の王禽 ホルス</v>
      </c>
      <c r="F9" s="7" t="str">
        <f>VLOOKUP(D9,[1]characters!$A:$J,10,FALSE)</f>
        <v>PremiumN</v>
      </c>
      <c r="G9" s="7">
        <f>VLOOKUP(D9,[1]characters!$A:$I,9,FALSE)</f>
        <v>5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animal</v>
      </c>
      <c r="K9" s="7" t="str">
        <f>VLOOKUP(D9,[1]characters!$A:$G,7,FALSE)</f>
        <v>女性</v>
      </c>
      <c r="L9" s="66">
        <f>IFERROR(VLOOKUP(D9,input_settle_1!L:R,7,FALSE),VLOOKUP(gacha_settle_tables_1!B9,input_settle_1!A:H,8,FALSE))</f>
        <v>2535</v>
      </c>
      <c r="M9" s="67">
        <f t="shared" si="0"/>
        <v>1.8055555555555554E-2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customHeight="1">
      <c r="A10" s="2">
        <v>3127</v>
      </c>
      <c r="B10" s="7" t="s">
        <v>135</v>
      </c>
      <c r="C10" s="7" t="s">
        <v>136</v>
      </c>
      <c r="D10" s="6">
        <v>192</v>
      </c>
      <c r="E10" s="7" t="str">
        <f>VLOOKUP(D10,[1]characters!$A:$C,3,FALSE)</f>
        <v>荘厳なる始祖帝 卑弥呼</v>
      </c>
      <c r="F10" s="7" t="str">
        <f>VLOOKUP(D10,[1]characters!$A:$J,10,FALSE)</f>
        <v>PremiumN</v>
      </c>
      <c r="G10" s="7">
        <f>VLOOKUP(D10,[1]characters!$A:$I,9,FALSE)</f>
        <v>5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66">
        <f>IFERROR(VLOOKUP(D10,input_settle_1!L:R,7,FALSE),VLOOKUP(gacha_settle_tables_1!B10,input_settle_1!A:H,8,FALSE))</f>
        <v>2535</v>
      </c>
      <c r="M10" s="67">
        <f t="shared" si="0"/>
        <v>1.8055555555555554E-2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customHeight="1">
      <c r="A11" s="2">
        <v>3127</v>
      </c>
      <c r="B11" s="7" t="s">
        <v>135</v>
      </c>
      <c r="C11" s="7" t="s">
        <v>136</v>
      </c>
      <c r="D11" s="6">
        <v>195</v>
      </c>
      <c r="E11" s="7" t="str">
        <f>VLOOKUP(D11,[1]characters!$A:$C,3,FALSE)</f>
        <v>グランドハンター ロビンフッド</v>
      </c>
      <c r="F11" s="7" t="str">
        <f>VLOOKUP(D11,[1]characters!$A:$J,10,FALSE)</f>
        <v>PremiumN</v>
      </c>
      <c r="G11" s="7">
        <f>VLOOKUP(D11,[1]characters!$A:$I,9,FALSE)</f>
        <v>5</v>
      </c>
      <c r="H11" s="7" t="str">
        <f>VLOOKUP(D11,[1]characters!$A:$H,8,FALSE)</f>
        <v>green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66">
        <f>IFERROR(VLOOKUP(D11,input_settle_1!L:R,7,FALSE),VLOOKUP(gacha_settle_tables_1!B11,input_settle_1!A:H,8,FALSE))</f>
        <v>2535</v>
      </c>
      <c r="M11" s="67">
        <f t="shared" si="0"/>
        <v>1.8055555555555554E-2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customHeight="1">
      <c r="A12" s="2">
        <v>3127</v>
      </c>
      <c r="B12" s="7" t="s">
        <v>135</v>
      </c>
      <c r="C12" s="7" t="s">
        <v>136</v>
      </c>
      <c r="D12" s="6">
        <v>198</v>
      </c>
      <c r="E12" s="7" t="str">
        <f>VLOOKUP(D12,[1]characters!$A:$C,3,FALSE)</f>
        <v>砕骨の剛腕 アキレス</v>
      </c>
      <c r="F12" s="7" t="str">
        <f>VLOOKUP(D12,[1]characters!$A:$J,10,FALSE)</f>
        <v>PremiumN</v>
      </c>
      <c r="G12" s="7">
        <f>VLOOKUP(D12,[1]characters!$A:$I,9,FALSE)</f>
        <v>5</v>
      </c>
      <c r="H12" s="7" t="str">
        <f>VLOOKUP(D12,[1]characters!$A:$H,8,FALSE)</f>
        <v>yellow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66">
        <f>IFERROR(VLOOKUP(D12,input_settle_1!L:R,7,FALSE),VLOOKUP(gacha_settle_tables_1!B12,input_settle_1!A:H,8,FALSE))</f>
        <v>2535</v>
      </c>
      <c r="M12" s="67">
        <f t="shared" si="0"/>
        <v>1.8055555555555554E-2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customHeight="1">
      <c r="A13" s="2">
        <v>3127</v>
      </c>
      <c r="B13" s="7" t="s">
        <v>135</v>
      </c>
      <c r="C13" s="7" t="s">
        <v>136</v>
      </c>
      <c r="D13" s="5">
        <v>201</v>
      </c>
      <c r="E13" s="7" t="str">
        <f>VLOOKUP(D13,[1]characters!$A:$C,3,FALSE)</f>
        <v>斬空の大破剣 ジークフリート</v>
      </c>
      <c r="F13" s="7" t="str">
        <f>VLOOKUP(D13,[1]characters!$A:$J,10,FALSE)</f>
        <v>PremiumN</v>
      </c>
      <c r="G13" s="7">
        <f>VLOOKUP(D13,[1]characters!$A:$I,9,FALSE)</f>
        <v>5</v>
      </c>
      <c r="H13" s="7" t="str">
        <f>VLOOKUP(D13,[1]characters!$A:$H,8,FALSE)</f>
        <v>blue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男性</v>
      </c>
      <c r="L13" s="66">
        <f>IFERROR(VLOOKUP(D13,input_settle_1!L:R,7,FALSE),VLOOKUP(gacha_settle_tables_1!B13,input_settle_1!A:H,8,FALSE))</f>
        <v>2535</v>
      </c>
      <c r="M13" s="67">
        <f t="shared" si="0"/>
        <v>1.8055555555555554E-2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customHeight="1">
      <c r="A14" s="2">
        <v>3127</v>
      </c>
      <c r="B14" s="7" t="s">
        <v>135</v>
      </c>
      <c r="C14" s="7" t="s">
        <v>136</v>
      </c>
      <c r="D14" s="5">
        <v>204</v>
      </c>
      <c r="E14" s="7" t="str">
        <f>VLOOKUP(D14,[1]characters!$A:$C,3,FALSE)</f>
        <v>慟哭の巨焔 プロメテウス</v>
      </c>
      <c r="F14" s="7" t="str">
        <f>VLOOKUP(D14,[1]characters!$A:$J,10,FALSE)</f>
        <v>PremiumN</v>
      </c>
      <c r="G14" s="7">
        <f>VLOOKUP(D14,[1]characters!$A:$I,9,FALSE)</f>
        <v>5</v>
      </c>
      <c r="H14" s="7" t="str">
        <f>VLOOKUP(D14,[1]characters!$A:$H,8,FALSE)</f>
        <v>red</v>
      </c>
      <c r="I14" s="7" t="str">
        <f>VLOOKUP(D14,[1]characters!$A:$K,11,FALSE)</f>
        <v>hp</v>
      </c>
      <c r="J14" s="7" t="str">
        <f>VLOOKUP(D14,[1]characters!$A:$M,13,FALSE)</f>
        <v>god</v>
      </c>
      <c r="K14" s="7" t="str">
        <f>VLOOKUP(D14,[1]characters!$A:$G,7,FALSE)</f>
        <v>男性</v>
      </c>
      <c r="L14" s="66">
        <f>IFERROR(VLOOKUP(D14,input_settle_1!L:R,7,FALSE),VLOOKUP(gacha_settle_tables_1!B14,input_settle_1!A:H,8,FALSE))</f>
        <v>2535</v>
      </c>
      <c r="M14" s="67">
        <f t="shared" si="0"/>
        <v>1.8055555555555554E-2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customHeight="1">
      <c r="A15" s="2">
        <v>3127</v>
      </c>
      <c r="B15" s="7" t="s">
        <v>135</v>
      </c>
      <c r="C15" s="7" t="s">
        <v>136</v>
      </c>
      <c r="D15" s="5">
        <v>207</v>
      </c>
      <c r="E15" s="7" t="str">
        <f>VLOOKUP(D15,[1]characters!$A:$C,3,FALSE)</f>
        <v>豊穣の麗神・アフロディーテ</v>
      </c>
      <c r="F15" s="7" t="str">
        <f>VLOOKUP(D15,[1]characters!$A:$J,10,FALSE)</f>
        <v>PremiumN</v>
      </c>
      <c r="G15" s="7">
        <f>VLOOKUP(D15,[1]characters!$A:$I,9,FALSE)</f>
        <v>5</v>
      </c>
      <c r="H15" s="7" t="str">
        <f>VLOOKUP(D15,[1]characters!$A:$H,8,FALSE)</f>
        <v>green</v>
      </c>
      <c r="I15" s="7" t="str">
        <f>VLOOKUP(D15,[1]characters!$A:$K,11,FALSE)</f>
        <v>hp</v>
      </c>
      <c r="J15" s="7" t="str">
        <f>VLOOKUP(D15,[1]characters!$A:$M,13,FALSE)</f>
        <v>god</v>
      </c>
      <c r="K15" s="7" t="str">
        <f>VLOOKUP(D15,[1]characters!$A:$G,7,FALSE)</f>
        <v>女性</v>
      </c>
      <c r="L15" s="66">
        <f>IFERROR(VLOOKUP(D15,input_settle_1!L:R,7,FALSE),VLOOKUP(gacha_settle_tables_1!B15,input_settle_1!A:H,8,FALSE))</f>
        <v>2535</v>
      </c>
      <c r="M15" s="67">
        <f t="shared" si="0"/>
        <v>1.8055555555555554E-2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customHeight="1">
      <c r="A16" s="2">
        <v>3127</v>
      </c>
      <c r="B16" s="7" t="s">
        <v>135</v>
      </c>
      <c r="C16" s="7" t="s">
        <v>136</v>
      </c>
      <c r="D16" s="5">
        <v>210</v>
      </c>
      <c r="E16" s="7" t="str">
        <f>VLOOKUP(D16,[1]characters!$A:$C,3,FALSE)</f>
        <v>海底の孤高神 テティス</v>
      </c>
      <c r="F16" s="7" t="str">
        <f>VLOOKUP(D16,[1]characters!$A:$J,10,FALSE)</f>
        <v>PremiumN</v>
      </c>
      <c r="G16" s="7">
        <f>VLOOKUP(D16,[1]characters!$A:$I,9,FALSE)</f>
        <v>5</v>
      </c>
      <c r="H16" s="7" t="str">
        <f>VLOOKUP(D16,[1]characters!$A:$H,8,FALSE)</f>
        <v>blue</v>
      </c>
      <c r="I16" s="7" t="str">
        <f>VLOOKUP(D16,[1]characters!$A:$K,11,FALSE)</f>
        <v>hp</v>
      </c>
      <c r="J16" s="7" t="str">
        <f>VLOOKUP(D16,[1]characters!$A:$M,13,FALSE)</f>
        <v>god</v>
      </c>
      <c r="K16" s="7" t="str">
        <f>VLOOKUP(D16,[1]characters!$A:$G,7,FALSE)</f>
        <v>女性</v>
      </c>
      <c r="L16" s="66">
        <f>IFERROR(VLOOKUP(D16,input_settle_1!L:R,7,FALSE),VLOOKUP(gacha_settle_tables_1!B16,input_settle_1!A:H,8,FALSE))</f>
        <v>2535</v>
      </c>
      <c r="M16" s="67">
        <f t="shared" si="0"/>
        <v>1.8055555555555554E-2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customHeight="1">
      <c r="A17" s="2">
        <v>3127</v>
      </c>
      <c r="B17" s="7" t="s">
        <v>135</v>
      </c>
      <c r="C17" s="7" t="s">
        <v>136</v>
      </c>
      <c r="D17" s="5">
        <v>213</v>
      </c>
      <c r="E17" s="7" t="str">
        <f>VLOOKUP(D17,[1]characters!$A:$C,3,FALSE)</f>
        <v>満天の星降神 アストライアー</v>
      </c>
      <c r="F17" s="7" t="str">
        <f>VLOOKUP(D17,[1]characters!$A:$J,10,FALSE)</f>
        <v>PremiumN</v>
      </c>
      <c r="G17" s="7">
        <f>VLOOKUP(D17,[1]characters!$A:$I,9,FALSE)</f>
        <v>5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god</v>
      </c>
      <c r="K17" s="7" t="str">
        <f>VLOOKUP(D17,[1]characters!$A:$G,7,FALSE)</f>
        <v>女性</v>
      </c>
      <c r="L17" s="66">
        <f>IFERROR(VLOOKUP(D17,input_settle_1!L:R,7,FALSE),VLOOKUP(gacha_settle_tables_1!B17,input_settle_1!A:H,8,FALSE))</f>
        <v>2535</v>
      </c>
      <c r="M17" s="67">
        <f t="shared" si="0"/>
        <v>1.8055555555555554E-2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customHeight="1">
      <c r="A18" s="2">
        <v>3127</v>
      </c>
      <c r="B18" s="7" t="s">
        <v>135</v>
      </c>
      <c r="C18" s="7" t="s">
        <v>136</v>
      </c>
      <c r="D18" s="5">
        <v>216</v>
      </c>
      <c r="E18" s="7" t="str">
        <f>VLOOKUP(D18,[1]characters!$A:$C,3,FALSE)</f>
        <v>百読の死導司書 アズラエル</v>
      </c>
      <c r="F18" s="7" t="str">
        <f>VLOOKUP(D18,[1]characters!$A:$J,10,FALSE)</f>
        <v>PremiumN</v>
      </c>
      <c r="G18" s="7">
        <f>VLOOKUP(D18,[1]characters!$A:$I,9,FALSE)</f>
        <v>5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god</v>
      </c>
      <c r="K18" s="7" t="str">
        <f>VLOOKUP(D18,[1]characters!$A:$G,7,FALSE)</f>
        <v>女性</v>
      </c>
      <c r="L18" s="66">
        <f>IFERROR(VLOOKUP(D18,input_settle_1!L:R,7,FALSE),VLOOKUP(gacha_settle_tables_1!B18,input_settle_1!A:H,8,FALSE))</f>
        <v>2535</v>
      </c>
      <c r="M18" s="67">
        <f t="shared" si="0"/>
        <v>1.8055555555555554E-2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ht="21" customHeight="1">
      <c r="A19" s="2">
        <v>3127</v>
      </c>
      <c r="B19" s="7" t="s">
        <v>135</v>
      </c>
      <c r="C19" s="7" t="s">
        <v>136</v>
      </c>
      <c r="D19" s="5">
        <v>219</v>
      </c>
      <c r="E19" s="7" t="str">
        <f>VLOOKUP(D19,[1]characters!$A:$C,3,FALSE)</f>
        <v>覇翼の聖蛇竜 ケツァクアトル</v>
      </c>
      <c r="F19" s="7" t="str">
        <f>VLOOKUP(D19,[1]characters!$A:$J,10,FALSE)</f>
        <v>PremiumN</v>
      </c>
      <c r="G19" s="7">
        <f>VLOOKUP(D19,[1]characters!$A:$I,9,FALSE)</f>
        <v>5</v>
      </c>
      <c r="H19" s="7" t="str">
        <f>VLOOKUP(D19,[1]characters!$A:$H,8,FALSE)</f>
        <v>green</v>
      </c>
      <c r="I19" s="7" t="str">
        <f>VLOOKUP(D19,[1]characters!$A:$K,11,FALSE)</f>
        <v>hp</v>
      </c>
      <c r="J19" s="7" t="str">
        <f>VLOOKUP(D19,[1]characters!$A:$M,13,FALSE)</f>
        <v>dragon</v>
      </c>
      <c r="K19" s="7" t="str">
        <f>VLOOKUP(D19,[1]characters!$A:$G,7,FALSE)</f>
        <v>女性</v>
      </c>
      <c r="L19" s="66">
        <f>IFERROR(VLOOKUP(D19,input_settle_1!L:R,7,FALSE),VLOOKUP(gacha_settle_tables_1!B19,input_settle_1!A:H,8,FALSE))</f>
        <v>2535</v>
      </c>
      <c r="M19" s="67">
        <f t="shared" si="0"/>
        <v>1.8055555555555554E-2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customHeight="1">
      <c r="A20" s="2">
        <v>3127</v>
      </c>
      <c r="B20" s="7" t="s">
        <v>135</v>
      </c>
      <c r="C20" s="7" t="s">
        <v>136</v>
      </c>
      <c r="D20" s="5">
        <v>222</v>
      </c>
      <c r="E20" s="7" t="str">
        <f>VLOOKUP(D20,[1]characters!$A:$C,3,FALSE)</f>
        <v>避光の鉄鎖宰相 ルキフグス</v>
      </c>
      <c r="F20" s="7" t="str">
        <f>VLOOKUP(D20,[1]characters!$A:$J,10,FALSE)</f>
        <v>PremiumN</v>
      </c>
      <c r="G20" s="7">
        <f>VLOOKUP(D20,[1]characters!$A:$I,9,FALSE)</f>
        <v>5</v>
      </c>
      <c r="H20" s="7" t="str">
        <f>VLOOKUP(D20,[1]characters!$A:$H,8,FALSE)</f>
        <v>blue</v>
      </c>
      <c r="I20" s="7" t="str">
        <f>VLOOKUP(D20,[1]characters!$A:$K,11,FALSE)</f>
        <v>balance</v>
      </c>
      <c r="J20" s="7" t="str">
        <f>VLOOKUP(D20,[1]characters!$A:$M,13,FALSE)</f>
        <v>god</v>
      </c>
      <c r="K20" s="7" t="str">
        <f>VLOOKUP(D20,[1]characters!$A:$G,7,FALSE)</f>
        <v>女性</v>
      </c>
      <c r="L20" s="66">
        <f>IFERROR(VLOOKUP(D20,input_settle_1!L:R,7,FALSE),VLOOKUP(gacha_settle_tables_1!B20,input_settle_1!A:H,8,FALSE))</f>
        <v>2535</v>
      </c>
      <c r="M20" s="67">
        <f t="shared" si="0"/>
        <v>1.8055555555555554E-2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customHeight="1">
      <c r="A21" s="2">
        <v>3127</v>
      </c>
      <c r="B21" s="7" t="s">
        <v>135</v>
      </c>
      <c r="C21" s="7" t="s">
        <v>136</v>
      </c>
      <c r="D21" s="5">
        <v>225</v>
      </c>
      <c r="E21" s="7" t="str">
        <f>VLOOKUP(D21,[1]characters!$A:$C,3,FALSE)</f>
        <v>咆哮の巨獅腕 ヘラクレス</v>
      </c>
      <c r="F21" s="7" t="str">
        <f>VLOOKUP(D21,[1]characters!$A:$J,10,FALSE)</f>
        <v>PremiumN</v>
      </c>
      <c r="G21" s="7">
        <f>VLOOKUP(D21,[1]characters!$A:$I,9,FALSE)</f>
        <v>5</v>
      </c>
      <c r="H21" s="7" t="str">
        <f>VLOOKUP(D21,[1]characters!$A:$H,8,FALSE)</f>
        <v>yellow</v>
      </c>
      <c r="I21" s="7" t="str">
        <f>VLOOKUP(D21,[1]characters!$A:$K,11,FALSE)</f>
        <v>balance</v>
      </c>
      <c r="J21" s="7" t="str">
        <f>VLOOKUP(D21,[1]characters!$A:$M,13,FALSE)</f>
        <v>human</v>
      </c>
      <c r="K21" s="7" t="str">
        <f>VLOOKUP(D21,[1]characters!$A:$G,7,FALSE)</f>
        <v>男性</v>
      </c>
      <c r="L21" s="66">
        <f>IFERROR(VLOOKUP(D21,input_settle_1!L:R,7,FALSE),VLOOKUP(gacha_settle_tables_1!B21,input_settle_1!A:H,8,FALSE))</f>
        <v>2535</v>
      </c>
      <c r="M21" s="67">
        <f t="shared" si="0"/>
        <v>1.8055555555555554E-2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customHeight="1">
      <c r="A22" s="2">
        <v>3127</v>
      </c>
      <c r="B22" s="7" t="s">
        <v>135</v>
      </c>
      <c r="C22" s="7" t="s">
        <v>136</v>
      </c>
      <c r="D22" s="5">
        <v>228</v>
      </c>
      <c r="E22" s="7" t="str">
        <f>VLOOKUP(D22,[1]characters!$A:$C,3,FALSE)</f>
        <v>殲滅の掃射砲 アレス</v>
      </c>
      <c r="F22" s="7" t="str">
        <f>VLOOKUP(D22,[1]characters!$A:$J,10,FALSE)</f>
        <v>PremiumS</v>
      </c>
      <c r="G22" s="7">
        <f>VLOOKUP(D22,[1]characters!$A:$I,9,FALSE)</f>
        <v>5</v>
      </c>
      <c r="H22" s="7" t="str">
        <f>VLOOKUP(D22,[1]characters!$A:$H,8,FALSE)</f>
        <v>red</v>
      </c>
      <c r="I22" s="7" t="str">
        <f>VLOOKUP(D22,[1]characters!$A:$K,11,FALSE)</f>
        <v>attack</v>
      </c>
      <c r="J22" s="7" t="str">
        <f>VLOOKUP(D22,[1]characters!$A:$M,13,FALSE)</f>
        <v>god</v>
      </c>
      <c r="K22" s="7" t="str">
        <f>VLOOKUP(D22,[1]characters!$A:$G,7,FALSE)</f>
        <v>男性</v>
      </c>
      <c r="L22" s="66">
        <f>IFERROR(VLOOKUP(D22,input_settle_1!L:R,7,FALSE),VLOOKUP(gacha_settle_tables_1!B22,input_settle_1!A:H,8,FALSE))</f>
        <v>2535</v>
      </c>
      <c r="M22" s="67">
        <f t="shared" si="0"/>
        <v>1.8055555555555554E-2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customHeight="1">
      <c r="A23" s="2">
        <v>3127</v>
      </c>
      <c r="B23" s="7" t="s">
        <v>135</v>
      </c>
      <c r="C23" s="7" t="s">
        <v>136</v>
      </c>
      <c r="D23" s="5">
        <v>231</v>
      </c>
      <c r="E23" s="7" t="str">
        <f>VLOOKUP(D23,[1]characters!$A:$C,3,FALSE)</f>
        <v>必中の咬銃 ヨルムンガンド</v>
      </c>
      <c r="F23" s="7" t="str">
        <f>VLOOKUP(D23,[1]characters!$A:$J,10,FALSE)</f>
        <v>PremiumS</v>
      </c>
      <c r="G23" s="7">
        <f>VLOOKUP(D23,[1]characters!$A:$I,9,FALSE)</f>
        <v>5</v>
      </c>
      <c r="H23" s="7" t="str">
        <f>VLOOKUP(D23,[1]characters!$A:$H,8,FALSE)</f>
        <v>green</v>
      </c>
      <c r="I23" s="7" t="str">
        <f>VLOOKUP(D23,[1]characters!$A:$K,11,FALSE)</f>
        <v>technical</v>
      </c>
      <c r="J23" s="7" t="str">
        <f>VLOOKUP(D23,[1]characters!$A:$M,13,FALSE)</f>
        <v>dragon</v>
      </c>
      <c r="K23" s="7" t="str">
        <f>VLOOKUP(D23,[1]characters!$A:$G,7,FALSE)</f>
        <v>女性</v>
      </c>
      <c r="L23" s="66">
        <f>IFERROR(VLOOKUP(D23,input_settle_1!L:R,7,FALSE),VLOOKUP(gacha_settle_tables_1!B23,input_settle_1!A:H,8,FALSE))</f>
        <v>2535</v>
      </c>
      <c r="M23" s="67">
        <f t="shared" si="0"/>
        <v>1.8055555555555554E-2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customHeight="1">
      <c r="A24" s="2">
        <v>3127</v>
      </c>
      <c r="B24" s="7" t="s">
        <v>135</v>
      </c>
      <c r="C24" s="7" t="s">
        <v>136</v>
      </c>
      <c r="D24" s="5">
        <v>234</v>
      </c>
      <c r="E24" s="7" t="str">
        <f>VLOOKUP(D24,[1]characters!$A:$C,3,FALSE)</f>
        <v>精密なる照準 パーシヴァル</v>
      </c>
      <c r="F24" s="7" t="str">
        <f>VLOOKUP(D24,[1]characters!$A:$J,10,FALSE)</f>
        <v>PremiumS</v>
      </c>
      <c r="G24" s="7">
        <f>VLOOKUP(D24,[1]characters!$A:$I,9,FALSE)</f>
        <v>5</v>
      </c>
      <c r="H24" s="7" t="str">
        <f>VLOOKUP(D24,[1]characters!$A:$H,8,FALSE)</f>
        <v>blue</v>
      </c>
      <c r="I24" s="7" t="str">
        <f>VLOOKUP(D24,[1]characters!$A:$K,11,FALSE)</f>
        <v>technical</v>
      </c>
      <c r="J24" s="7" t="str">
        <f>VLOOKUP(D24,[1]characters!$A:$M,13,FALSE)</f>
        <v>human</v>
      </c>
      <c r="K24" s="7" t="str">
        <f>VLOOKUP(D24,[1]characters!$A:$G,7,FALSE)</f>
        <v>女性</v>
      </c>
      <c r="L24" s="66">
        <f>IFERROR(VLOOKUP(D24,input_settle_1!L:R,7,FALSE),VLOOKUP(gacha_settle_tables_1!B24,input_settle_1!A:H,8,FALSE))</f>
        <v>2535</v>
      </c>
      <c r="M24" s="67">
        <f t="shared" si="0"/>
        <v>1.8055555555555554E-2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customHeight="1">
      <c r="A25" s="2">
        <v>3127</v>
      </c>
      <c r="B25" s="7" t="s">
        <v>135</v>
      </c>
      <c r="C25" s="7" t="s">
        <v>136</v>
      </c>
      <c r="D25" s="5">
        <v>237</v>
      </c>
      <c r="E25" s="7" t="str">
        <f>VLOOKUP(D25,[1]characters!$A:$C,3,FALSE)</f>
        <v>森羅万象の神母 イザナミ</v>
      </c>
      <c r="F25" s="7" t="str">
        <f>VLOOKUP(D25,[1]characters!$A:$J,10,FALSE)</f>
        <v>PremiumS</v>
      </c>
      <c r="G25" s="7">
        <f>VLOOKUP(D25,[1]characters!$A:$I,9,FALSE)</f>
        <v>5</v>
      </c>
      <c r="H25" s="7" t="str">
        <f>VLOOKUP(D25,[1]characters!$A:$H,8,FALSE)</f>
        <v>yellow</v>
      </c>
      <c r="I25" s="7" t="str">
        <f>VLOOKUP(D25,[1]characters!$A:$K,11,FALSE)</f>
        <v>attack</v>
      </c>
      <c r="J25" s="7" t="str">
        <f>VLOOKUP(D25,[1]characters!$A:$M,13,FALSE)</f>
        <v>god</v>
      </c>
      <c r="K25" s="7" t="str">
        <f>VLOOKUP(D25,[1]characters!$A:$G,7,FALSE)</f>
        <v>女性</v>
      </c>
      <c r="L25" s="66">
        <f>IFERROR(VLOOKUP(D25,input_settle_1!L:R,7,FALSE),VLOOKUP(gacha_settle_tables_1!B25,input_settle_1!A:H,8,FALSE))</f>
        <v>2535</v>
      </c>
      <c r="M25" s="67">
        <f t="shared" si="0"/>
        <v>1.8055555555555554E-2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customHeight="1">
      <c r="A26" s="2">
        <v>3127</v>
      </c>
      <c r="B26" s="7" t="s">
        <v>135</v>
      </c>
      <c r="C26" s="7" t="s">
        <v>136</v>
      </c>
      <c r="D26" s="5">
        <v>240</v>
      </c>
      <c r="E26" s="7" t="str">
        <f>VLOOKUP(D26,[1]characters!$A:$C,3,FALSE)</f>
        <v>轟炎の天使 ウリエル・スレイヤー</v>
      </c>
      <c r="F26" s="7" t="str">
        <f>VLOOKUP(D26,[1]characters!$A:$J,10,FALSE)</f>
        <v>PremiumS</v>
      </c>
      <c r="G26" s="7">
        <f>VLOOKUP(D26,[1]characters!$A:$I,9,FALSE)</f>
        <v>5</v>
      </c>
      <c r="H26" s="7" t="str">
        <f>VLOOKUP(D26,[1]characters!$A:$H,8,FALSE)</f>
        <v>red</v>
      </c>
      <c r="I26" s="7" t="str">
        <f>VLOOKUP(D26,[1]characters!$A:$K,11,FALSE)</f>
        <v>hp</v>
      </c>
      <c r="J26" s="7" t="str">
        <f>VLOOKUP(D26,[1]characters!$A:$M,13,FALSE)</f>
        <v>machine</v>
      </c>
      <c r="K26" s="7" t="str">
        <f>VLOOKUP(D26,[1]characters!$A:$G,7,FALSE)</f>
        <v>女性</v>
      </c>
      <c r="L26" s="66">
        <f>IFERROR(VLOOKUP(D26,input_settle_1!L:R,7,FALSE),VLOOKUP(gacha_settle_tables_1!B26,input_settle_1!A:H,8,FALSE))</f>
        <v>2535</v>
      </c>
      <c r="M26" s="67">
        <f t="shared" si="0"/>
        <v>1.8055555555555554E-2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customHeight="1">
      <c r="A27" s="2">
        <v>3127</v>
      </c>
      <c r="B27" s="7" t="s">
        <v>135</v>
      </c>
      <c r="C27" s="7" t="s">
        <v>136</v>
      </c>
      <c r="D27" s="5">
        <v>243</v>
      </c>
      <c r="E27" s="7" t="str">
        <f>VLOOKUP(D27,[1]characters!$A:$C,3,FALSE)</f>
        <v>万花の天使 ガブリエル・ブルーム</v>
      </c>
      <c r="F27" s="7" t="str">
        <f>VLOOKUP(D27,[1]characters!$A:$J,10,FALSE)</f>
        <v>PremiumS</v>
      </c>
      <c r="G27" s="7">
        <f>VLOOKUP(D27,[1]characters!$A:$I,9,FALSE)</f>
        <v>5</v>
      </c>
      <c r="H27" s="7" t="str">
        <f>VLOOKUP(D27,[1]characters!$A:$H,8,FALSE)</f>
        <v>green</v>
      </c>
      <c r="I27" s="7" t="str">
        <f>VLOOKUP(D27,[1]characters!$A:$K,11,FALSE)</f>
        <v>balance</v>
      </c>
      <c r="J27" s="7" t="str">
        <f>VLOOKUP(D27,[1]characters!$A:$M,13,FALSE)</f>
        <v>machine</v>
      </c>
      <c r="K27" s="7" t="str">
        <f>VLOOKUP(D27,[1]characters!$A:$G,7,FALSE)</f>
        <v>女性</v>
      </c>
      <c r="L27" s="66">
        <f>IFERROR(VLOOKUP(D27,input_settle_1!L:R,7,FALSE),VLOOKUP(gacha_settle_tables_1!B27,input_settle_1!A:H,8,FALSE))</f>
        <v>2535</v>
      </c>
      <c r="M27" s="67">
        <f t="shared" si="0"/>
        <v>1.8055555555555554E-2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customHeight="1">
      <c r="A28" s="2">
        <v>3127</v>
      </c>
      <c r="B28" s="7" t="s">
        <v>135</v>
      </c>
      <c r="C28" s="7" t="s">
        <v>136</v>
      </c>
      <c r="D28" s="5">
        <v>246</v>
      </c>
      <c r="E28" s="7" t="str">
        <f>VLOOKUP(D28,[1]characters!$A:$C,3,FALSE)</f>
        <v>真癒の天使 ラファエル・メディカ</v>
      </c>
      <c r="F28" s="7" t="str">
        <f>VLOOKUP(D28,[1]characters!$A:$J,10,FALSE)</f>
        <v>PremiumS</v>
      </c>
      <c r="G28" s="7">
        <f>VLOOKUP(D28,[1]characters!$A:$I,9,FALSE)</f>
        <v>5</v>
      </c>
      <c r="H28" s="7" t="str">
        <f>VLOOKUP(D28,[1]characters!$A:$H,8,FALSE)</f>
        <v>blue</v>
      </c>
      <c r="I28" s="7" t="str">
        <f>VLOOKUP(D28,[1]characters!$A:$K,11,FALSE)</f>
        <v>balance</v>
      </c>
      <c r="J28" s="7" t="str">
        <f>VLOOKUP(D28,[1]characters!$A:$M,13,FALSE)</f>
        <v>machine</v>
      </c>
      <c r="K28" s="7" t="str">
        <f>VLOOKUP(D28,[1]characters!$A:$G,7,FALSE)</f>
        <v>女性</v>
      </c>
      <c r="L28" s="66">
        <f>IFERROR(VLOOKUP(D28,input_settle_1!L:R,7,FALSE),VLOOKUP(gacha_settle_tables_1!B28,input_settle_1!A:H,8,FALSE))</f>
        <v>2535</v>
      </c>
      <c r="M28" s="67">
        <f t="shared" si="0"/>
        <v>1.8055555555555554E-2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customHeight="1">
      <c r="A29" s="2">
        <v>3127</v>
      </c>
      <c r="B29" s="7" t="s">
        <v>135</v>
      </c>
      <c r="C29" s="7" t="s">
        <v>136</v>
      </c>
      <c r="D29" s="6">
        <v>249</v>
      </c>
      <c r="E29" s="7" t="str">
        <f>VLOOKUP(D29,[1]characters!$A:$C,3,FALSE)</f>
        <v>雷電の天使 ミカエル・ゲイナー</v>
      </c>
      <c r="F29" s="7" t="str">
        <f>VLOOKUP(D29,[1]characters!$A:$J,10,FALSE)</f>
        <v>PremiumS</v>
      </c>
      <c r="G29" s="7">
        <f>VLOOKUP(D29,[1]characters!$A:$I,9,FALSE)</f>
        <v>5</v>
      </c>
      <c r="H29" s="7" t="str">
        <f>VLOOKUP(D29,[1]characters!$A:$H,8,FALSE)</f>
        <v>yellow</v>
      </c>
      <c r="I29" s="7" t="str">
        <f>VLOOKUP(D29,[1]characters!$A:$K,11,FALSE)</f>
        <v>attack</v>
      </c>
      <c r="J29" s="7" t="str">
        <f>VLOOKUP(D29,[1]characters!$A:$M,13,FALSE)</f>
        <v>machine</v>
      </c>
      <c r="K29" s="7" t="str">
        <f>VLOOKUP(D29,[1]characters!$A:$G,7,FALSE)</f>
        <v>女性</v>
      </c>
      <c r="L29" s="66">
        <f>IFERROR(VLOOKUP(D29,input_settle_1!L:R,7,FALSE),VLOOKUP(gacha_settle_tables_1!B29,input_settle_1!A:H,8,FALSE))</f>
        <v>2535</v>
      </c>
      <c r="M29" s="67">
        <f t="shared" si="0"/>
        <v>1.8055555555555554E-2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customHeight="1">
      <c r="A30" s="2">
        <v>3127</v>
      </c>
      <c r="B30" s="7" t="s">
        <v>135</v>
      </c>
      <c r="C30" s="7" t="s">
        <v>136</v>
      </c>
      <c r="D30" s="6">
        <v>252</v>
      </c>
      <c r="E30" s="7" t="str">
        <f>VLOOKUP(D30,[1]characters!$A:$C,3,FALSE)</f>
        <v>強欲の沸騰 マンモン</v>
      </c>
      <c r="F30" s="7" t="str">
        <f>VLOOKUP(D30,[1]characters!$A:$J,10,FALSE)</f>
        <v>PremiumS</v>
      </c>
      <c r="G30" s="7">
        <f>VLOOKUP(D30,[1]characters!$A:$I,9,FALSE)</f>
        <v>5</v>
      </c>
      <c r="H30" s="7" t="str">
        <f>VLOOKUP(D30,[1]characters!$A:$H,8,FALSE)</f>
        <v>red</v>
      </c>
      <c r="I30" s="7" t="str">
        <f>VLOOKUP(D30,[1]characters!$A:$K,11,FALSE)</f>
        <v>balance</v>
      </c>
      <c r="J30" s="7" t="str">
        <f>VLOOKUP(D30,[1]characters!$A:$M,13,FALSE)</f>
        <v>god</v>
      </c>
      <c r="K30" s="7" t="str">
        <f>VLOOKUP(D30,[1]characters!$A:$G,7,FALSE)</f>
        <v>女性</v>
      </c>
      <c r="L30" s="66">
        <f>IFERROR(VLOOKUP(D30,input_settle_1!L:R,7,FALSE),VLOOKUP(gacha_settle_tables_1!B30,input_settle_1!A:H,8,FALSE))</f>
        <v>2535</v>
      </c>
      <c r="M30" s="67">
        <f t="shared" si="0"/>
        <v>1.8055555555555554E-2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customHeight="1">
      <c r="A31" s="2">
        <v>3127</v>
      </c>
      <c r="B31" s="7" t="s">
        <v>135</v>
      </c>
      <c r="C31" s="7" t="s">
        <v>136</v>
      </c>
      <c r="D31" s="6">
        <v>255</v>
      </c>
      <c r="E31" s="7" t="str">
        <f>VLOOKUP(D31,[1]characters!$A:$C,3,FALSE)</f>
        <v>怠惰の頂点 ベルフェゴール</v>
      </c>
      <c r="F31" s="7" t="str">
        <f>VLOOKUP(D31,[1]characters!$A:$J,10,FALSE)</f>
        <v>PremiumS</v>
      </c>
      <c r="G31" s="7">
        <f>VLOOKUP(D31,[1]characters!$A:$I,9,FALSE)</f>
        <v>5</v>
      </c>
      <c r="H31" s="7" t="str">
        <f>VLOOKUP(D31,[1]characters!$A:$H,8,FALSE)</f>
        <v>green</v>
      </c>
      <c r="I31" s="7" t="str">
        <f>VLOOKUP(D31,[1]characters!$A:$K,11,FALSE)</f>
        <v>technical</v>
      </c>
      <c r="J31" s="7" t="str">
        <f>VLOOKUP(D31,[1]characters!$A:$M,13,FALSE)</f>
        <v>god</v>
      </c>
      <c r="K31" s="7" t="str">
        <f>VLOOKUP(D31,[1]characters!$A:$G,7,FALSE)</f>
        <v>女性</v>
      </c>
      <c r="L31" s="66">
        <f>IFERROR(VLOOKUP(D31,input_settle_1!L:R,7,FALSE),VLOOKUP(gacha_settle_tables_1!B31,input_settle_1!A:H,8,FALSE))</f>
        <v>2535</v>
      </c>
      <c r="M31" s="67">
        <f t="shared" si="0"/>
        <v>1.8055555555555554E-2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customHeight="1">
      <c r="A32" s="2">
        <v>3127</v>
      </c>
      <c r="B32" s="7" t="s">
        <v>135</v>
      </c>
      <c r="C32" s="7" t="s">
        <v>136</v>
      </c>
      <c r="D32" s="6">
        <v>258</v>
      </c>
      <c r="E32" s="7" t="str">
        <f>VLOOKUP(D32,[1]characters!$A:$C,3,FALSE)</f>
        <v>色欲の源流 アスモデウス</v>
      </c>
      <c r="F32" s="7" t="str">
        <f>VLOOKUP(D32,[1]characters!$A:$J,10,FALSE)</f>
        <v>PremiumS</v>
      </c>
      <c r="G32" s="7">
        <f>VLOOKUP(D32,[1]characters!$A:$I,9,FALSE)</f>
        <v>5</v>
      </c>
      <c r="H32" s="7" t="str">
        <f>VLOOKUP(D32,[1]characters!$A:$H,8,FALSE)</f>
        <v>blue</v>
      </c>
      <c r="I32" s="7" t="str">
        <f>VLOOKUP(D32,[1]characters!$A:$K,11,FALSE)</f>
        <v>attack</v>
      </c>
      <c r="J32" s="7" t="str">
        <f>VLOOKUP(D32,[1]characters!$A:$M,13,FALSE)</f>
        <v>god</v>
      </c>
      <c r="K32" s="7" t="str">
        <f>VLOOKUP(D32,[1]characters!$A:$G,7,FALSE)</f>
        <v>女性</v>
      </c>
      <c r="L32" s="66">
        <f>IFERROR(VLOOKUP(D32,input_settle_1!L:R,7,FALSE),VLOOKUP(gacha_settle_tables_1!B32,input_settle_1!A:H,8,FALSE))</f>
        <v>2535</v>
      </c>
      <c r="M32" s="67">
        <f t="shared" si="0"/>
        <v>1.8055555555555554E-2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customHeight="1">
      <c r="A33" s="2">
        <v>3127</v>
      </c>
      <c r="B33" s="7" t="s">
        <v>135</v>
      </c>
      <c r="C33" s="7" t="s">
        <v>136</v>
      </c>
      <c r="D33" s="8">
        <v>261</v>
      </c>
      <c r="E33" s="7" t="str">
        <f>VLOOKUP(D33,[1]characters!$A:$C,3,FALSE)</f>
        <v>輪廻の蛇龍 ウロボロス</v>
      </c>
      <c r="F33" s="7" t="str">
        <f>VLOOKUP(D33,[1]characters!$A:$J,10,FALSE)</f>
        <v>PremiumS</v>
      </c>
      <c r="G33" s="7">
        <f>VLOOKUP(D33,[1]characters!$A:$I,9,FALSE)</f>
        <v>5</v>
      </c>
      <c r="H33" s="7" t="str">
        <f>VLOOKUP(D33,[1]characters!$A:$H,8,FALSE)</f>
        <v>yellow</v>
      </c>
      <c r="I33" s="7" t="str">
        <f>VLOOKUP(D33,[1]characters!$A:$K,11,FALSE)</f>
        <v>balance</v>
      </c>
      <c r="J33" s="7" t="str">
        <f>VLOOKUP(D33,[1]characters!$A:$M,13,FALSE)</f>
        <v>dragon</v>
      </c>
      <c r="K33" s="7" t="str">
        <f>VLOOKUP(D33,[1]characters!$A:$G,7,FALSE)</f>
        <v>女性</v>
      </c>
      <c r="L33" s="66">
        <f>IFERROR(VLOOKUP(D33,input_settle_1!L:R,7,FALSE),VLOOKUP(gacha_settle_tables_1!B33,input_settle_1!A:H,8,FALSE))</f>
        <v>2535</v>
      </c>
      <c r="M33" s="67">
        <f t="shared" si="0"/>
        <v>1.8055555555555554E-2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customHeight="1">
      <c r="A34" s="2">
        <v>3127</v>
      </c>
      <c r="B34" s="7" t="s">
        <v>133</v>
      </c>
      <c r="C34" s="7" t="s">
        <v>134</v>
      </c>
      <c r="D34" s="6">
        <v>321</v>
      </c>
      <c r="E34" s="7" t="str">
        <f>VLOOKUP(D34,[1]characters!$A:$C,3,FALSE)</f>
        <v>巌鉄の烈志士 近藤勇</v>
      </c>
      <c r="F34" s="7" t="str">
        <f>VLOOKUP(D34,[1]characters!$A:$J,10,FALSE)</f>
        <v>PremiumSS</v>
      </c>
      <c r="G34" s="7">
        <f>VLOOKUP(D34,[1]characters!$A:$I,9,FALSE)</f>
        <v>5</v>
      </c>
      <c r="H34" s="7" t="str">
        <f>VLOOKUP(D34,[1]characters!$A:$H,8,FALSE)</f>
        <v>red</v>
      </c>
      <c r="I34" s="7" t="str">
        <f>VLOOKUP(D34,[1]characters!$A:$K,11,FALSE)</f>
        <v>hp</v>
      </c>
      <c r="J34" s="7" t="str">
        <f>VLOOKUP(D34,[1]characters!$A:$M,13,FALSE)</f>
        <v>human</v>
      </c>
      <c r="K34" s="7" t="str">
        <f>VLOOKUP(D34,[1]characters!$A:$G,7,FALSE)</f>
        <v>男性</v>
      </c>
      <c r="L34" s="66">
        <f>IFERROR(VLOOKUP(D34,input_settle_1!L:R,7,FALSE),VLOOKUP(gacha_settle_tables_1!B34,input_settle_1!A:H,8,FALSE))</f>
        <v>135</v>
      </c>
      <c r="M34" s="67">
        <f t="shared" ref="M34:M65" si="1">L34/SUM(L:L)</f>
        <v>9.6153846153846159E-4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customHeight="1">
      <c r="A35" s="2">
        <v>3127</v>
      </c>
      <c r="B35" s="7" t="s">
        <v>133</v>
      </c>
      <c r="C35" s="7" t="s">
        <v>134</v>
      </c>
      <c r="D35" s="6">
        <v>323</v>
      </c>
      <c r="E35" s="7" t="str">
        <f>VLOOKUP(D35,[1]characters!$A:$C,3,FALSE)</f>
        <v>流麗の愛志士 土方歳三</v>
      </c>
      <c r="F35" s="7" t="str">
        <f>VLOOKUP(D35,[1]characters!$A:$J,10,FALSE)</f>
        <v>PremiumSS</v>
      </c>
      <c r="G35" s="7">
        <f>VLOOKUP(D35,[1]characters!$A:$I,9,FALSE)</f>
        <v>5</v>
      </c>
      <c r="H35" s="7" t="str">
        <f>VLOOKUP(D35,[1]characters!$A:$H,8,FALSE)</f>
        <v>green</v>
      </c>
      <c r="I35" s="7" t="str">
        <f>VLOOKUP(D35,[1]characters!$A:$K,11,FALSE)</f>
        <v>attack</v>
      </c>
      <c r="J35" s="7" t="str">
        <f>VLOOKUP(D35,[1]characters!$A:$M,13,FALSE)</f>
        <v>human</v>
      </c>
      <c r="K35" s="7" t="str">
        <f>VLOOKUP(D35,[1]characters!$A:$G,7,FALSE)</f>
        <v>女性</v>
      </c>
      <c r="L35" s="66">
        <f>IFERROR(VLOOKUP(D35,input_settle_1!L:R,7,FALSE),VLOOKUP(gacha_settle_tables_1!B35,input_settle_1!A:H,8,FALSE))</f>
        <v>135</v>
      </c>
      <c r="M35" s="67">
        <f t="shared" si="1"/>
        <v>9.6153846153846159E-4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s="12" customFormat="1" ht="21" customHeight="1" thickBot="1">
      <c r="A36" s="2">
        <v>3127</v>
      </c>
      <c r="B36" s="7" t="s">
        <v>133</v>
      </c>
      <c r="C36" s="7" t="s">
        <v>134</v>
      </c>
      <c r="D36" s="6">
        <v>325</v>
      </c>
      <c r="E36" s="7" t="str">
        <f>VLOOKUP(D36,[1]characters!$A:$C,3,FALSE)</f>
        <v>天賦の凛志士 沖田総司</v>
      </c>
      <c r="F36" s="7" t="str">
        <f>VLOOKUP(D36,[1]characters!$A:$J,10,FALSE)</f>
        <v>PremiumSS</v>
      </c>
      <c r="G36" s="7">
        <f>VLOOKUP(D36,[1]characters!$A:$I,9,FALSE)</f>
        <v>5</v>
      </c>
      <c r="H36" s="7" t="str">
        <f>VLOOKUP(D36,[1]characters!$A:$H,8,FALSE)</f>
        <v>blue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66">
        <f>IFERROR(VLOOKUP(D36,input_settle_1!L:R,7,FALSE),VLOOKUP(gacha_settle_tables_1!B36,input_settle_1!A:H,8,FALSE))</f>
        <v>135</v>
      </c>
      <c r="M36" s="67">
        <f t="shared" si="1"/>
        <v>9.6153846153846159E-4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customHeight="1">
      <c r="A37" s="2">
        <v>3127</v>
      </c>
      <c r="B37" s="7" t="s">
        <v>133</v>
      </c>
      <c r="C37" s="7" t="s">
        <v>134</v>
      </c>
      <c r="D37" s="6">
        <v>327</v>
      </c>
      <c r="E37" s="7" t="str">
        <f>VLOOKUP(D37,[1]characters!$A:$C,3,FALSE)</f>
        <v>千殺の妖志士 斎藤一</v>
      </c>
      <c r="F37" s="7" t="str">
        <f>VLOOKUP(D37,[1]characters!$A:$J,10,FALSE)</f>
        <v>PremiumSS</v>
      </c>
      <c r="G37" s="7">
        <f>VLOOKUP(D37,[1]characters!$A:$I,9,FALSE)</f>
        <v>5</v>
      </c>
      <c r="H37" s="7" t="str">
        <f>VLOOKUP(D37,[1]characters!$A:$H,8,FALSE)</f>
        <v>yellow</v>
      </c>
      <c r="I37" s="7" t="str">
        <f>VLOOKUP(D37,[1]characters!$A:$K,11,FALSE)</f>
        <v>technical</v>
      </c>
      <c r="J37" s="7" t="str">
        <f>VLOOKUP(D37,[1]characters!$A:$M,13,FALSE)</f>
        <v>human</v>
      </c>
      <c r="K37" s="7" t="str">
        <f>VLOOKUP(D37,[1]characters!$A:$G,7,FALSE)</f>
        <v>女性</v>
      </c>
      <c r="L37" s="66">
        <f>IFERROR(VLOOKUP(D37,input_settle_1!L:R,7,FALSE),VLOOKUP(gacha_settle_tables_1!B37,input_settle_1!A:H,8,FALSE))</f>
        <v>135</v>
      </c>
      <c r="M37" s="67">
        <f t="shared" si="1"/>
        <v>9.6153846153846159E-4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customHeight="1">
      <c r="A38" s="2">
        <v>3127</v>
      </c>
      <c r="B38" s="7" t="s">
        <v>135</v>
      </c>
      <c r="C38" s="7" t="s">
        <v>136</v>
      </c>
      <c r="D38" s="6">
        <v>382</v>
      </c>
      <c r="E38" s="7" t="str">
        <f>VLOOKUP(D38,[1]characters!$A:$C,3,FALSE)</f>
        <v>激情の愛炎 バハムート</v>
      </c>
      <c r="F38" s="7" t="str">
        <f>VLOOKUP(D38,[1]characters!$A:$J,10,FALSE)</f>
        <v>PremiumS</v>
      </c>
      <c r="G38" s="7">
        <f>VLOOKUP(D38,[1]characters!$A:$I,9,FALSE)</f>
        <v>5</v>
      </c>
      <c r="H38" s="7" t="str">
        <f>VLOOKUP(D38,[1]characters!$A:$H,8,FALSE)</f>
        <v>red</v>
      </c>
      <c r="I38" s="7" t="str">
        <f>VLOOKUP(D38,[1]characters!$A:$K,11,FALSE)</f>
        <v>technical</v>
      </c>
      <c r="J38" s="7" t="str">
        <f>VLOOKUP(D38,[1]characters!$A:$M,13,FALSE)</f>
        <v>dragon</v>
      </c>
      <c r="K38" s="7" t="str">
        <f>VLOOKUP(D38,[1]characters!$A:$G,7,FALSE)</f>
        <v>女性</v>
      </c>
      <c r="L38" s="66">
        <f>IFERROR(VLOOKUP(D38,input_settle_1!L:R,7,FALSE),VLOOKUP(gacha_settle_tables_1!B38,input_settle_1!A:H,8,FALSE))</f>
        <v>2535</v>
      </c>
      <c r="M38" s="67">
        <f t="shared" si="1"/>
        <v>1.8055555555555554E-2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customHeight="1">
      <c r="A39" s="2">
        <v>3127</v>
      </c>
      <c r="B39" s="7" t="s">
        <v>133</v>
      </c>
      <c r="C39" s="7" t="s">
        <v>134</v>
      </c>
      <c r="D39" s="6">
        <v>384</v>
      </c>
      <c r="E39" s="7" t="str">
        <f>VLOOKUP(D39,[1]characters!$A:$C,3,FALSE)</f>
        <v>破国の呑龍 ヤマタノオロチ</v>
      </c>
      <c r="F39" s="7" t="str">
        <f>VLOOKUP(D39,[1]characters!$A:$J,10,FALSE)</f>
        <v>PremiumSS</v>
      </c>
      <c r="G39" s="7">
        <f>VLOOKUP(D39,[1]characters!$A:$I,9,FALSE)</f>
        <v>5</v>
      </c>
      <c r="H39" s="7" t="str">
        <f>VLOOKUP(D39,[1]characters!$A:$H,8,FALSE)</f>
        <v>green</v>
      </c>
      <c r="I39" s="7" t="str">
        <f>VLOOKUP(D39,[1]characters!$A:$K,11,FALSE)</f>
        <v>hp</v>
      </c>
      <c r="J39" s="7" t="str">
        <f>VLOOKUP(D39,[1]characters!$A:$M,13,FALSE)</f>
        <v>dragon</v>
      </c>
      <c r="K39" s="7" t="str">
        <f>VLOOKUP(D39,[1]characters!$A:$G,7,FALSE)</f>
        <v>女性</v>
      </c>
      <c r="L39" s="66">
        <f>IFERROR(VLOOKUP(D39,input_settle_1!L:R,7,FALSE),VLOOKUP(gacha_settle_tables_1!B39,input_settle_1!A:H,8,FALSE))</f>
        <v>135</v>
      </c>
      <c r="M39" s="67">
        <f t="shared" si="1"/>
        <v>9.6153846153846159E-4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customHeight="1">
      <c r="A40" s="2">
        <v>3127</v>
      </c>
      <c r="B40" s="7" t="s">
        <v>133</v>
      </c>
      <c r="C40" s="7" t="s">
        <v>134</v>
      </c>
      <c r="D40" s="6">
        <v>386</v>
      </c>
      <c r="E40" s="7" t="str">
        <f>VLOOKUP(D40,[1]characters!$A:$C,3,FALSE)</f>
        <v>氾乱の海龍 リヴァイアサン</v>
      </c>
      <c r="F40" s="7" t="str">
        <f>VLOOKUP(D40,[1]characters!$A:$J,10,FALSE)</f>
        <v>PremiumSS</v>
      </c>
      <c r="G40" s="7">
        <f>VLOOKUP(D40,[1]characters!$A:$I,9,FALSE)</f>
        <v>5</v>
      </c>
      <c r="H40" s="7" t="str">
        <f>VLOOKUP(D40,[1]characters!$A:$H,8,FALSE)</f>
        <v>blue</v>
      </c>
      <c r="I40" s="7" t="str">
        <f>VLOOKUP(D40,[1]characters!$A:$K,11,FALSE)</f>
        <v>balance</v>
      </c>
      <c r="J40" s="7" t="str">
        <f>VLOOKUP(D40,[1]characters!$A:$M,13,FALSE)</f>
        <v>dragon</v>
      </c>
      <c r="K40" s="7" t="str">
        <f>VLOOKUP(D40,[1]characters!$A:$G,7,FALSE)</f>
        <v>女性</v>
      </c>
      <c r="L40" s="66">
        <f>IFERROR(VLOOKUP(D40,input_settle_1!L:R,7,FALSE),VLOOKUP(gacha_settle_tables_1!B40,input_settle_1!A:H,8,FALSE))</f>
        <v>135</v>
      </c>
      <c r="M40" s="67">
        <f t="shared" si="1"/>
        <v>9.6153846153846159E-4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customHeight="1">
      <c r="A41" s="2">
        <v>3127</v>
      </c>
      <c r="B41" s="7" t="s">
        <v>135</v>
      </c>
      <c r="C41" s="7" t="s">
        <v>136</v>
      </c>
      <c r="D41" s="6">
        <v>389</v>
      </c>
      <c r="E41" s="7" t="str">
        <f>VLOOKUP(D41,[1]characters!$A:$C,3,FALSE)</f>
        <v>操神の愛姫 スフィンクス</v>
      </c>
      <c r="F41" s="7" t="str">
        <f>VLOOKUP(D41,[1]characters!$A:$J,10,FALSE)</f>
        <v>PremiumS</v>
      </c>
      <c r="G41" s="7">
        <f>VLOOKUP(D41,[1]characters!$A:$I,9,FALSE)</f>
        <v>5</v>
      </c>
      <c r="H41" s="7" t="str">
        <f>VLOOKUP(D41,[1]characters!$A:$H,8,FALSE)</f>
        <v>yellow</v>
      </c>
      <c r="I41" s="7" t="str">
        <f>VLOOKUP(D41,[1]characters!$A:$K,11,FALSE)</f>
        <v>heal</v>
      </c>
      <c r="J41" s="7" t="str">
        <f>VLOOKUP(D41,[1]characters!$A:$M,13,FALSE)</f>
        <v>animal</v>
      </c>
      <c r="K41" s="7" t="str">
        <f>VLOOKUP(D41,[1]characters!$A:$G,7,FALSE)</f>
        <v>女性</v>
      </c>
      <c r="L41" s="66">
        <f>IFERROR(VLOOKUP(D41,input_settle_1!L:R,7,FALSE),VLOOKUP(gacha_settle_tables_1!B41,input_settle_1!A:H,8,FALSE))</f>
        <v>2535</v>
      </c>
      <c r="M41" s="67">
        <f t="shared" si="1"/>
        <v>1.8055555555555554E-2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customHeight="1">
      <c r="A42" s="2">
        <v>3127</v>
      </c>
      <c r="B42" s="7" t="s">
        <v>133</v>
      </c>
      <c r="C42" s="7" t="s">
        <v>134</v>
      </c>
      <c r="D42" s="6">
        <v>391</v>
      </c>
      <c r="E42" s="7" t="str">
        <f>VLOOKUP(D42,[1]characters!$A:$C,3,FALSE)</f>
        <v>燕翼の旅人 親指姫</v>
      </c>
      <c r="F42" s="7" t="str">
        <f>VLOOKUP(D42,[1]characters!$A:$J,10,FALSE)</f>
        <v>PremiumSS</v>
      </c>
      <c r="G42" s="7">
        <f>VLOOKUP(D42,[1]characters!$A:$I,9,FALSE)</f>
        <v>5</v>
      </c>
      <c r="H42" s="7" t="str">
        <f>VLOOKUP(D42,[1]characters!$A:$H,8,FALSE)</f>
        <v>red</v>
      </c>
      <c r="I42" s="7" t="str">
        <f>VLOOKUP(D42,[1]characters!$A:$K,11,FALSE)</f>
        <v>heal</v>
      </c>
      <c r="J42" s="7" t="str">
        <f>VLOOKUP(D42,[1]characters!$A:$M,13,FALSE)</f>
        <v>human</v>
      </c>
      <c r="K42" s="7" t="str">
        <f>VLOOKUP(D42,[1]characters!$A:$G,7,FALSE)</f>
        <v>女性</v>
      </c>
      <c r="L42" s="66">
        <f>IFERROR(VLOOKUP(D42,input_settle_1!L:R,7,FALSE),VLOOKUP(gacha_settle_tables_1!B42,input_settle_1!A:H,8,FALSE))</f>
        <v>135</v>
      </c>
      <c r="M42" s="67">
        <f t="shared" si="1"/>
        <v>9.6153846153846159E-4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customHeight="1">
      <c r="A43" s="2">
        <v>3127</v>
      </c>
      <c r="B43" s="7" t="s">
        <v>135</v>
      </c>
      <c r="C43" s="7" t="s">
        <v>136</v>
      </c>
      <c r="D43" s="6">
        <v>394</v>
      </c>
      <c r="E43" s="7" t="str">
        <f>VLOOKUP(D43,[1]characters!$A:$C,3,FALSE)</f>
        <v>影求の悪童 ピーターパン</v>
      </c>
      <c r="F43" s="7" t="str">
        <f>VLOOKUP(D43,[1]characters!$A:$J,10,FALSE)</f>
        <v>PremiumS</v>
      </c>
      <c r="G43" s="7">
        <f>VLOOKUP(D43,[1]characters!$A:$I,9,FALSE)</f>
        <v>5</v>
      </c>
      <c r="H43" s="7" t="str">
        <f>VLOOKUP(D43,[1]characters!$A:$H,8,FALSE)</f>
        <v>green</v>
      </c>
      <c r="I43" s="7" t="str">
        <f>VLOOKUP(D43,[1]characters!$A:$K,11,FALSE)</f>
        <v>attack</v>
      </c>
      <c r="J43" s="7" t="str">
        <f>VLOOKUP(D43,[1]characters!$A:$M,13,FALSE)</f>
        <v>human</v>
      </c>
      <c r="K43" s="7" t="str">
        <f>VLOOKUP(D43,[1]characters!$A:$G,7,FALSE)</f>
        <v>男性</v>
      </c>
      <c r="L43" s="66">
        <f>IFERROR(VLOOKUP(D43,input_settle_1!L:R,7,FALSE),VLOOKUP(gacha_settle_tables_1!B43,input_settle_1!A:H,8,FALSE))</f>
        <v>2535</v>
      </c>
      <c r="M43" s="67">
        <f t="shared" si="1"/>
        <v>1.8055555555555554E-2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customHeight="1">
      <c r="A44" s="2">
        <v>3127</v>
      </c>
      <c r="B44" s="7" t="s">
        <v>135</v>
      </c>
      <c r="C44" s="7" t="s">
        <v>136</v>
      </c>
      <c r="D44" s="6">
        <v>397</v>
      </c>
      <c r="E44" s="7" t="str">
        <f>VLOOKUP(D44,[1]characters!$A:$C,3,FALSE)</f>
        <v>禁断の追箱 乙姫</v>
      </c>
      <c r="F44" s="7" t="str">
        <f>VLOOKUP(D44,[1]characters!$A:$J,10,FALSE)</f>
        <v>PremiumS</v>
      </c>
      <c r="G44" s="7">
        <f>VLOOKUP(D44,[1]characters!$A:$I,9,FALSE)</f>
        <v>5</v>
      </c>
      <c r="H44" s="7" t="str">
        <f>VLOOKUP(D44,[1]characters!$A:$H,8,FALSE)</f>
        <v>blue</v>
      </c>
      <c r="I44" s="7" t="str">
        <f>VLOOKUP(D44,[1]characters!$A:$K,11,FALSE)</f>
        <v>hp</v>
      </c>
      <c r="J44" s="7" t="str">
        <f>VLOOKUP(D44,[1]characters!$A:$M,13,FALSE)</f>
        <v>human</v>
      </c>
      <c r="K44" s="7" t="str">
        <f>VLOOKUP(D44,[1]characters!$A:$G,7,FALSE)</f>
        <v>女性</v>
      </c>
      <c r="L44" s="66">
        <f>IFERROR(VLOOKUP(D44,input_settle_1!L:R,7,FALSE),VLOOKUP(gacha_settle_tables_1!B44,input_settle_1!A:H,8,FALSE))</f>
        <v>2535</v>
      </c>
      <c r="M44" s="67">
        <f t="shared" si="1"/>
        <v>1.8055555555555554E-2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customHeight="1">
      <c r="A45" s="2">
        <v>3127</v>
      </c>
      <c r="B45" s="7" t="s">
        <v>133</v>
      </c>
      <c r="C45" s="7" t="s">
        <v>134</v>
      </c>
      <c r="D45" s="6">
        <v>399</v>
      </c>
      <c r="E45" s="7" t="str">
        <f>VLOOKUP(D45,[1]characters!$A:$C,3,FALSE)</f>
        <v>信愛の兄妹 ヘンゼル＆グレーテル</v>
      </c>
      <c r="F45" s="7" t="str">
        <f>VLOOKUP(D45,[1]characters!$A:$J,10,FALSE)</f>
        <v>PremiumSS</v>
      </c>
      <c r="G45" s="7">
        <f>VLOOKUP(D45,[1]characters!$A:$I,9,FALSE)</f>
        <v>5</v>
      </c>
      <c r="H45" s="7" t="str">
        <f>VLOOKUP(D45,[1]characters!$A:$H,8,FALSE)</f>
        <v>yellow</v>
      </c>
      <c r="I45" s="7" t="str">
        <f>VLOOKUP(D45,[1]characters!$A:$K,11,FALSE)</f>
        <v>balance</v>
      </c>
      <c r="J45" s="7" t="str">
        <f>VLOOKUP(D45,[1]characters!$A:$M,13,FALSE)</f>
        <v>human</v>
      </c>
      <c r="K45" s="7" t="str">
        <f>VLOOKUP(D45,[1]characters!$A:$G,7,FALSE)</f>
        <v>女性</v>
      </c>
      <c r="L45" s="66">
        <f>IFERROR(VLOOKUP(D45,input_settle_1!L:R,7,FALSE),VLOOKUP(gacha_settle_tables_1!B45,input_settle_1!A:H,8,FALSE))</f>
        <v>135</v>
      </c>
      <c r="M45" s="67">
        <f t="shared" si="1"/>
        <v>9.6153846153846159E-4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customHeight="1">
      <c r="A46" s="2">
        <v>3127</v>
      </c>
      <c r="B46" s="7" t="s">
        <v>135</v>
      </c>
      <c r="C46" s="7" t="s">
        <v>136</v>
      </c>
      <c r="D46" s="6">
        <v>402</v>
      </c>
      <c r="E46" s="7" t="str">
        <f>VLOOKUP(D46,[1]characters!$A:$C,3,FALSE)</f>
        <v>天災の神狼 フェンリル</v>
      </c>
      <c r="F46" s="7" t="str">
        <f>VLOOKUP(D46,[1]characters!$A:$J,10,FALSE)</f>
        <v>PremiumS</v>
      </c>
      <c r="G46" s="7">
        <f>VLOOKUP(D46,[1]characters!$A:$I,9,FALSE)</f>
        <v>5</v>
      </c>
      <c r="H46" s="7" t="str">
        <f>VLOOKUP(D46,[1]characters!$A:$H,8,FALSE)</f>
        <v>red</v>
      </c>
      <c r="I46" s="7" t="str">
        <f>VLOOKUP(D46,[1]characters!$A:$K,11,FALSE)</f>
        <v>attack</v>
      </c>
      <c r="J46" s="7" t="str">
        <f>VLOOKUP(D46,[1]characters!$A:$M,13,FALSE)</f>
        <v>animal</v>
      </c>
      <c r="K46" s="7" t="str">
        <f>VLOOKUP(D46,[1]characters!$A:$G,7,FALSE)</f>
        <v>女性</v>
      </c>
      <c r="L46" s="66">
        <f>IFERROR(VLOOKUP(D46,input_settle_1!L:R,7,FALSE),VLOOKUP(gacha_settle_tables_1!B46,input_settle_1!A:H,8,FALSE))</f>
        <v>2535</v>
      </c>
      <c r="M46" s="67">
        <f t="shared" si="1"/>
        <v>1.8055555555555554E-2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customHeight="1">
      <c r="A47" s="2">
        <v>3127</v>
      </c>
      <c r="B47" s="7" t="s">
        <v>133</v>
      </c>
      <c r="C47" s="7" t="s">
        <v>134</v>
      </c>
      <c r="D47" s="6">
        <v>404</v>
      </c>
      <c r="E47" s="7" t="str">
        <f>VLOOKUP(D47,[1]characters!$A:$C,3,FALSE)</f>
        <v>空襲の神眼 八咫烏</v>
      </c>
      <c r="F47" s="7" t="str">
        <f>VLOOKUP(D47,[1]characters!$A:$J,10,FALSE)</f>
        <v>PremiumSS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balance</v>
      </c>
      <c r="J47" s="7" t="str">
        <f>VLOOKUP(D47,[1]characters!$A:$M,13,FALSE)</f>
        <v>animal</v>
      </c>
      <c r="K47" s="7" t="str">
        <f>VLOOKUP(D47,[1]characters!$A:$G,7,FALSE)</f>
        <v>女性</v>
      </c>
      <c r="L47" s="66">
        <f>IFERROR(VLOOKUP(D47,input_settle_1!L:R,7,FALSE),VLOOKUP(gacha_settle_tables_1!B47,input_settle_1!A:H,8,FALSE))</f>
        <v>135</v>
      </c>
      <c r="M47" s="67">
        <f t="shared" si="1"/>
        <v>9.6153846153846159E-4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customHeight="1">
      <c r="A48" s="2">
        <v>3127</v>
      </c>
      <c r="B48" s="7" t="s">
        <v>135</v>
      </c>
      <c r="C48" s="7" t="s">
        <v>136</v>
      </c>
      <c r="D48" s="6">
        <v>407</v>
      </c>
      <c r="E48" s="7" t="str">
        <f>VLOOKUP(D48,[1]characters!$A:$C,3,FALSE)</f>
        <v>蠱惑の飛刀 エキドナ</v>
      </c>
      <c r="F48" s="7" t="str">
        <f>VLOOKUP(D48,[1]characters!$A:$J,10,FALSE)</f>
        <v>PremiumS</v>
      </c>
      <c r="G48" s="7">
        <f>VLOOKUP(D48,[1]characters!$A:$I,9,FALSE)</f>
        <v>5</v>
      </c>
      <c r="H48" s="7" t="str">
        <f>VLOOKUP(D48,[1]characters!$A:$H,8,FALSE)</f>
        <v>blue</v>
      </c>
      <c r="I48" s="7" t="str">
        <f>VLOOKUP(D48,[1]characters!$A:$K,11,FALSE)</f>
        <v>technical</v>
      </c>
      <c r="J48" s="7" t="str">
        <f>VLOOKUP(D48,[1]characters!$A:$M,13,FALSE)</f>
        <v>animal</v>
      </c>
      <c r="K48" s="7" t="str">
        <f>VLOOKUP(D48,[1]characters!$A:$G,7,FALSE)</f>
        <v>女性</v>
      </c>
      <c r="L48" s="66">
        <f>IFERROR(VLOOKUP(D48,input_settle_1!L:R,7,FALSE),VLOOKUP(gacha_settle_tables_1!B48,input_settle_1!A:H,8,FALSE))</f>
        <v>2535</v>
      </c>
      <c r="M48" s="67">
        <f t="shared" si="1"/>
        <v>1.8055555555555554E-2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customHeight="1">
      <c r="A49" s="2">
        <v>3127</v>
      </c>
      <c r="B49" s="7" t="s">
        <v>133</v>
      </c>
      <c r="C49" s="7" t="s">
        <v>134</v>
      </c>
      <c r="D49" s="6">
        <v>409</v>
      </c>
      <c r="E49" s="7" t="str">
        <f>VLOOKUP(D49,[1]characters!$A:$C,3,FALSE)</f>
        <v>天眼の皇貴魔 アスタロト</v>
      </c>
      <c r="F49" s="7" t="str">
        <f>VLOOKUP(D49,[1]characters!$A:$J,10,FALSE)</f>
        <v>PremiumSS</v>
      </c>
      <c r="G49" s="7">
        <f>VLOOKUP(D49,[1]characters!$A:$I,9,FALSE)</f>
        <v>5</v>
      </c>
      <c r="H49" s="7" t="str">
        <f>VLOOKUP(D49,[1]characters!$A:$H,8,FALSE)</f>
        <v>yellow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男性</v>
      </c>
      <c r="L49" s="66">
        <f>IFERROR(VLOOKUP(D49,input_settle_1!L:R,7,FALSE),VLOOKUP(gacha_settle_tables_1!B49,input_settle_1!A:H,8,FALSE))</f>
        <v>135</v>
      </c>
      <c r="M49" s="67">
        <f t="shared" si="1"/>
        <v>9.6153846153846159E-4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customHeight="1">
      <c r="A50" s="2">
        <v>3127</v>
      </c>
      <c r="B50" s="7" t="s">
        <v>133</v>
      </c>
      <c r="C50" s="7" t="s">
        <v>134</v>
      </c>
      <c r="D50" s="6">
        <v>435</v>
      </c>
      <c r="E50" s="7" t="str">
        <f>VLOOKUP(D50,[1]characters!$A:$C,3,FALSE)</f>
        <v>曝弾の密偵 D.R.T.H.</v>
      </c>
      <c r="F50" s="7" t="str">
        <f>VLOOKUP(D50,[1]characters!$A:$J,10,FALSE)</f>
        <v>PremiumSS</v>
      </c>
      <c r="G50" s="7">
        <f>VLOOKUP(D50,[1]characters!$A:$I,9,FALSE)</f>
        <v>5</v>
      </c>
      <c r="H50" s="7" t="str">
        <f>VLOOKUP(D50,[1]characters!$A:$H,8,FALSE)</f>
        <v>red</v>
      </c>
      <c r="I50" s="7" t="str">
        <f>VLOOKUP(D50,[1]characters!$A:$K,11,FALSE)</f>
        <v>balance</v>
      </c>
      <c r="J50" s="7" t="str">
        <f>VLOOKUP(D50,[1]characters!$A:$M,13,FALSE)</f>
        <v>human</v>
      </c>
      <c r="K50" s="7" t="str">
        <f>VLOOKUP(D50,[1]characters!$A:$G,7,FALSE)</f>
        <v>女性</v>
      </c>
      <c r="L50" s="66">
        <f>IFERROR(VLOOKUP(D50,input_settle_1!L:R,7,FALSE),VLOOKUP(gacha_settle_tables_1!B50,input_settle_1!A:H,8,FALSE))</f>
        <v>135</v>
      </c>
      <c r="M50" s="67">
        <f t="shared" si="1"/>
        <v>9.6153846153846159E-4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customHeight="1">
      <c r="A51" s="2">
        <v>3127</v>
      </c>
      <c r="B51" s="7" t="s">
        <v>135</v>
      </c>
      <c r="C51" s="7" t="s">
        <v>136</v>
      </c>
      <c r="D51" s="6">
        <v>438</v>
      </c>
      <c r="E51" s="7" t="str">
        <f>VLOOKUP(D51,[1]characters!$A:$C,3,FALSE)</f>
        <v>記憶の奪還 カカシ</v>
      </c>
      <c r="F51" s="7" t="str">
        <f>VLOOKUP(D51,[1]characters!$A:$J,10,FALSE)</f>
        <v>PremiumS</v>
      </c>
      <c r="G51" s="7">
        <f>VLOOKUP(D51,[1]characters!$A:$I,9,FALSE)</f>
        <v>5</v>
      </c>
      <c r="H51" s="7" t="str">
        <f>VLOOKUP(D51,[1]characters!$A:$H,8,FALSE)</f>
        <v>green</v>
      </c>
      <c r="I51" s="7" t="str">
        <f>VLOOKUP(D51,[1]characters!$A:$K,11,FALSE)</f>
        <v>technical</v>
      </c>
      <c r="J51" s="7" t="str">
        <f>VLOOKUP(D51,[1]characters!$A:$M,13,FALSE)</f>
        <v>human</v>
      </c>
      <c r="K51" s="7" t="str">
        <f>VLOOKUP(D51,[1]characters!$A:$G,7,FALSE)</f>
        <v>男性</v>
      </c>
      <c r="L51" s="66">
        <f>IFERROR(VLOOKUP(D51,input_settle_1!L:R,7,FALSE),VLOOKUP(gacha_settle_tables_1!B51,input_settle_1!A:H,8,FALSE))</f>
        <v>2535</v>
      </c>
      <c r="M51" s="67">
        <f t="shared" si="1"/>
        <v>1.8055555555555554E-2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customHeight="1">
      <c r="A52" s="2">
        <v>3127</v>
      </c>
      <c r="B52" s="7" t="s">
        <v>135</v>
      </c>
      <c r="C52" s="7" t="s">
        <v>136</v>
      </c>
      <c r="D52" s="6">
        <v>441</v>
      </c>
      <c r="E52" s="7" t="str">
        <f>VLOOKUP(D52,[1]characters!$A:$C,3,FALSE)</f>
        <v>求心の錻装 ブリキロガー</v>
      </c>
      <c r="F52" s="7" t="str">
        <f>VLOOKUP(D52,[1]characters!$A:$J,10,FALSE)</f>
        <v>PremiumS</v>
      </c>
      <c r="G52" s="7">
        <f>VLOOKUP(D52,[1]characters!$A:$I,9,FALSE)</f>
        <v>5</v>
      </c>
      <c r="H52" s="7" t="str">
        <f>VLOOKUP(D52,[1]characters!$A:$H,8,FALSE)</f>
        <v>blue</v>
      </c>
      <c r="I52" s="7" t="str">
        <f>VLOOKUP(D52,[1]characters!$A:$K,11,FALSE)</f>
        <v>attack</v>
      </c>
      <c r="J52" s="7" t="str">
        <f>VLOOKUP(D52,[1]characters!$A:$M,13,FALSE)</f>
        <v>machine</v>
      </c>
      <c r="K52" s="7" t="str">
        <f>VLOOKUP(D52,[1]characters!$A:$G,7,FALSE)</f>
        <v>不明</v>
      </c>
      <c r="L52" s="66">
        <f>IFERROR(VLOOKUP(D52,input_settle_1!L:R,7,FALSE),VLOOKUP(gacha_settle_tables_1!B52,input_settle_1!A:H,8,FALSE))</f>
        <v>2535</v>
      </c>
      <c r="M52" s="67">
        <f t="shared" si="1"/>
        <v>1.8055555555555554E-2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customHeight="1">
      <c r="A53" s="2">
        <v>3127</v>
      </c>
      <c r="B53" s="7" t="s">
        <v>133</v>
      </c>
      <c r="C53" s="7" t="s">
        <v>134</v>
      </c>
      <c r="D53" s="6">
        <v>443</v>
      </c>
      <c r="E53" s="7" t="str">
        <f>VLOOKUP(D53,[1]characters!$A:$C,3,FALSE)</f>
        <v>勇機結集 ブレイブリー・ライオン</v>
      </c>
      <c r="F53" s="7" t="str">
        <f>VLOOKUP(D53,[1]characters!$A:$J,10,FALSE)</f>
        <v>PremiumSS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hp</v>
      </c>
      <c r="J53" s="7" t="str">
        <f>VLOOKUP(D53,[1]characters!$A:$M,13,FALSE)</f>
        <v>animal</v>
      </c>
      <c r="K53" s="7" t="str">
        <f>VLOOKUP(D53,[1]characters!$A:$G,7,FALSE)</f>
        <v>不明</v>
      </c>
      <c r="L53" s="66">
        <f>IFERROR(VLOOKUP(D53,input_settle_1!L:R,7,FALSE),VLOOKUP(gacha_settle_tables_1!B53,input_settle_1!A:H,8,FALSE))</f>
        <v>135</v>
      </c>
      <c r="M53" s="67">
        <f t="shared" si="1"/>
        <v>9.6153846153846159E-4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customHeight="1">
      <c r="A54" s="2">
        <v>3127</v>
      </c>
      <c r="B54" s="7" t="s">
        <v>135</v>
      </c>
      <c r="C54" s="7" t="s">
        <v>136</v>
      </c>
      <c r="D54" s="8">
        <v>464</v>
      </c>
      <c r="E54" s="7" t="str">
        <f>VLOOKUP(D54,[1]characters!$A:$C,3,FALSE)</f>
        <v>円熟の弾導 ガウェイン</v>
      </c>
      <c r="F54" s="7" t="str">
        <f>VLOOKUP(D54,[1]characters!$A:$J,10,FALSE)</f>
        <v>PremiumS</v>
      </c>
      <c r="G54" s="7">
        <f>VLOOKUP(D54,[1]characters!$A:$I,9,FALSE)</f>
        <v>5</v>
      </c>
      <c r="H54" s="7" t="str">
        <f>VLOOKUP(D54,[1]characters!$A:$H,8,FALSE)</f>
        <v>red</v>
      </c>
      <c r="I54" s="7" t="str">
        <f>VLOOKUP(D54,[1]characters!$A:$K,11,FALSE)</f>
        <v>hp</v>
      </c>
      <c r="J54" s="7" t="str">
        <f>VLOOKUP(D54,[1]characters!$A:$M,13,FALSE)</f>
        <v>human</v>
      </c>
      <c r="K54" s="7" t="str">
        <f>VLOOKUP(D54,[1]characters!$A:$G,7,FALSE)</f>
        <v>男性</v>
      </c>
      <c r="L54" s="66">
        <f>IFERROR(VLOOKUP(D54,input_settle_1!L:R,7,FALSE),VLOOKUP(gacha_settle_tables_1!B54,input_settle_1!A:H,8,FALSE))</f>
        <v>2535</v>
      </c>
      <c r="M54" s="67">
        <f t="shared" si="1"/>
        <v>1.8055555555555554E-2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s="9" customFormat="1" ht="21" customHeight="1" thickBot="1">
      <c r="A55" s="2">
        <v>3127</v>
      </c>
      <c r="B55" s="7" t="s">
        <v>133</v>
      </c>
      <c r="C55" s="7" t="s">
        <v>134</v>
      </c>
      <c r="D55" s="6">
        <v>466</v>
      </c>
      <c r="E55" s="7" t="str">
        <f>VLOOKUP(D55,[1]characters!$A:$C,3,FALSE)</f>
        <v>真断の勇覇 ランスロット</v>
      </c>
      <c r="F55" s="7" t="str">
        <f>VLOOKUP(D55,[1]characters!$A:$J,10,FALSE)</f>
        <v>PremiumSS</v>
      </c>
      <c r="G55" s="7">
        <f>VLOOKUP(D55,[1]characters!$A:$I,9,FALSE)</f>
        <v>5</v>
      </c>
      <c r="H55" s="7" t="str">
        <f>VLOOKUP(D55,[1]characters!$A:$H,8,FALSE)</f>
        <v>green</v>
      </c>
      <c r="I55" s="7" t="str">
        <f>VLOOKUP(D55,[1]characters!$A:$K,11,FALSE)</f>
        <v>balance</v>
      </c>
      <c r="J55" s="7" t="str">
        <f>VLOOKUP(D55,[1]characters!$A:$M,13,FALSE)</f>
        <v>human</v>
      </c>
      <c r="K55" s="7" t="str">
        <f>VLOOKUP(D55,[1]characters!$A:$G,7,FALSE)</f>
        <v>男性</v>
      </c>
      <c r="L55" s="66">
        <f>IFERROR(VLOOKUP(D55,input_settle_1!L:R,7,FALSE),VLOOKUP(gacha_settle_tables_1!B55,input_settle_1!A:H,8,FALSE))</f>
        <v>135</v>
      </c>
      <c r="M55" s="67">
        <f t="shared" si="1"/>
        <v>9.6153846153846159E-4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customHeight="1">
      <c r="A56" s="2">
        <v>3127</v>
      </c>
      <c r="B56" s="7" t="s">
        <v>133</v>
      </c>
      <c r="C56" s="7" t="s">
        <v>134</v>
      </c>
      <c r="D56" s="6">
        <v>468</v>
      </c>
      <c r="E56" s="7" t="str">
        <f>VLOOKUP(D56,[1]characters!$A:$C,3,FALSE)</f>
        <v>憎愛の尖鋒 モルドレッド</v>
      </c>
      <c r="F56" s="7" t="str">
        <f>VLOOKUP(D56,[1]characters!$A:$J,10,FALSE)</f>
        <v>PremiumSS</v>
      </c>
      <c r="G56" s="7">
        <f>VLOOKUP(D56,[1]characters!$A:$I,9,FALSE)</f>
        <v>5</v>
      </c>
      <c r="H56" s="7" t="str">
        <f>VLOOKUP(D56,[1]characters!$A:$H,8,FALSE)</f>
        <v>blue</v>
      </c>
      <c r="I56" s="7" t="str">
        <f>VLOOKUP(D56,[1]characters!$A:$K,11,FALSE)</f>
        <v>technical</v>
      </c>
      <c r="J56" s="7" t="str">
        <f>VLOOKUP(D56,[1]characters!$A:$M,13,FALSE)</f>
        <v>human</v>
      </c>
      <c r="K56" s="7" t="str">
        <f>VLOOKUP(D56,[1]characters!$A:$G,7,FALSE)</f>
        <v>女性</v>
      </c>
      <c r="L56" s="66">
        <f>IFERROR(VLOOKUP(D56,input_settle_1!L:R,7,FALSE),VLOOKUP(gacha_settle_tables_1!B56,input_settle_1!A:H,8,FALSE))</f>
        <v>135</v>
      </c>
      <c r="M56" s="67">
        <f t="shared" si="1"/>
        <v>9.6153846153846159E-4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customHeight="1">
      <c r="A57" s="2">
        <v>3127</v>
      </c>
      <c r="B57" s="7" t="s">
        <v>135</v>
      </c>
      <c r="C57" s="7" t="s">
        <v>136</v>
      </c>
      <c r="D57" s="6">
        <v>471</v>
      </c>
      <c r="E57" s="7" t="str">
        <f>VLOOKUP(D57,[1]characters!$A:$C,3,FALSE)</f>
        <v>不可避の爆激 トリスタン</v>
      </c>
      <c r="F57" s="7" t="str">
        <f>VLOOKUP(D57,[1]characters!$A:$J,10,FALSE)</f>
        <v>PremiumS</v>
      </c>
      <c r="G57" s="7">
        <f>VLOOKUP(D57,[1]characters!$A:$I,9,FALSE)</f>
        <v>5</v>
      </c>
      <c r="H57" s="7" t="str">
        <f>VLOOKUP(D57,[1]characters!$A:$H,8,FALSE)</f>
        <v>yellow</v>
      </c>
      <c r="I57" s="7" t="str">
        <f>VLOOKUP(D57,[1]characters!$A:$K,11,FALSE)</f>
        <v>attack</v>
      </c>
      <c r="J57" s="7" t="str">
        <f>VLOOKUP(D57,[1]characters!$A:$M,13,FALSE)</f>
        <v>human</v>
      </c>
      <c r="K57" s="7" t="str">
        <f>VLOOKUP(D57,[1]characters!$A:$G,7,FALSE)</f>
        <v>男性</v>
      </c>
      <c r="L57" s="66">
        <f>IFERROR(VLOOKUP(D57,input_settle_1!L:R,7,FALSE),VLOOKUP(gacha_settle_tables_1!B57,input_settle_1!A:H,8,FALSE))</f>
        <v>2535</v>
      </c>
      <c r="M57" s="67">
        <f t="shared" si="1"/>
        <v>1.8055555555555554E-2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customHeight="1">
      <c r="A58" s="2">
        <v>3127</v>
      </c>
      <c r="B58" s="7" t="s">
        <v>133</v>
      </c>
      <c r="C58" s="7" t="s">
        <v>134</v>
      </c>
      <c r="D58" s="6">
        <v>475</v>
      </c>
      <c r="E58" s="7" t="str">
        <f>VLOOKUP(D58,[1]characters!$A:$C,3,FALSE)</f>
        <v>緋王 キング・ドライグ</v>
      </c>
      <c r="F58" s="7" t="str">
        <f>VLOOKUP(D58,[1]characters!$A:$J,10,FALSE)</f>
        <v>PremiumSS</v>
      </c>
      <c r="G58" s="7">
        <f>VLOOKUP(D58,[1]characters!$A:$I,9,FALSE)</f>
        <v>5</v>
      </c>
      <c r="H58" s="7" t="str">
        <f>VLOOKUP(D58,[1]characters!$A:$H,8,FALSE)</f>
        <v>red</v>
      </c>
      <c r="I58" s="7" t="str">
        <f>VLOOKUP(D58,[1]characters!$A:$K,11,FALSE)</f>
        <v>attack</v>
      </c>
      <c r="J58" s="7" t="str">
        <f>VLOOKUP(D58,[1]characters!$A:$M,13,FALSE)</f>
        <v>dragon</v>
      </c>
      <c r="K58" s="7" t="str">
        <f>VLOOKUP(D58,[1]characters!$A:$G,7,FALSE)</f>
        <v>不明</v>
      </c>
      <c r="L58" s="66">
        <f>IFERROR(VLOOKUP(D58,input_settle_1!L:R,7,FALSE),VLOOKUP(gacha_settle_tables_1!B58,input_settle_1!A:H,8,FALSE))</f>
        <v>135</v>
      </c>
      <c r="M58" s="67">
        <f t="shared" si="1"/>
        <v>9.6153846153846159E-4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customHeight="1">
      <c r="A59" s="2">
        <v>3127</v>
      </c>
      <c r="B59" s="7" t="s">
        <v>135</v>
      </c>
      <c r="C59" s="7" t="s">
        <v>136</v>
      </c>
      <c r="D59" s="6">
        <v>478</v>
      </c>
      <c r="E59" s="7" t="str">
        <f>VLOOKUP(D59,[1]characters!$A:$C,3,FALSE)</f>
        <v>時計仕掛けの愛羽妖精 ファータ</v>
      </c>
      <c r="F59" s="7" t="str">
        <f>VLOOKUP(D59,[1]characters!$A:$J,10,FALSE)</f>
        <v>PremiumS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heal</v>
      </c>
      <c r="J59" s="7" t="str">
        <f>VLOOKUP(D59,[1]characters!$A:$M,13,FALSE)</f>
        <v>unknown</v>
      </c>
      <c r="K59" s="7" t="str">
        <f>VLOOKUP(D59,[1]characters!$A:$G,7,FALSE)</f>
        <v>女性</v>
      </c>
      <c r="L59" s="66">
        <f>IFERROR(VLOOKUP(D59,input_settle_1!L:R,7,FALSE),VLOOKUP(gacha_settle_tables_1!B59,input_settle_1!A:H,8,FALSE))</f>
        <v>2535</v>
      </c>
      <c r="M59" s="67">
        <f t="shared" si="1"/>
        <v>1.8055555555555554E-2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customHeight="1">
      <c r="A60" s="2">
        <v>3127</v>
      </c>
      <c r="B60" s="7" t="s">
        <v>133</v>
      </c>
      <c r="C60" s="7" t="s">
        <v>134</v>
      </c>
      <c r="D60" s="6">
        <v>480</v>
      </c>
      <c r="E60" s="7" t="str">
        <f>VLOOKUP(D60,[1]characters!$A:$C,3,FALSE)</f>
        <v>夢幻の愚者フール</v>
      </c>
      <c r="F60" s="7" t="str">
        <f>VLOOKUP(D60,[1]characters!$A:$J,10,FALSE)</f>
        <v>PremiumSS</v>
      </c>
      <c r="G60" s="7">
        <f>VLOOKUP(D60,[1]characters!$A:$I,9,FALSE)</f>
        <v>5</v>
      </c>
      <c r="H60" s="7" t="str">
        <f>VLOOKUP(D60,[1]characters!$A:$H,8,FALSE)</f>
        <v>blue</v>
      </c>
      <c r="I60" s="7" t="str">
        <f>VLOOKUP(D60,[1]characters!$A:$K,11,FALSE)</f>
        <v>technical</v>
      </c>
      <c r="J60" s="7" t="str">
        <f>VLOOKUP(D60,[1]characters!$A:$M,13,FALSE)</f>
        <v>god</v>
      </c>
      <c r="K60" s="7" t="str">
        <f>VLOOKUP(D60,[1]characters!$A:$G,7,FALSE)</f>
        <v>男性</v>
      </c>
      <c r="L60" s="66">
        <f>IFERROR(VLOOKUP(D60,input_settle_1!L:R,7,FALSE),VLOOKUP(gacha_settle_tables_1!B60,input_settle_1!A:H,8,FALSE))</f>
        <v>135</v>
      </c>
      <c r="M60" s="67">
        <f t="shared" si="1"/>
        <v>9.6153846153846159E-4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customHeight="1">
      <c r="A61" s="2">
        <v>3127</v>
      </c>
      <c r="B61" s="7" t="s">
        <v>135</v>
      </c>
      <c r="C61" s="7" t="s">
        <v>136</v>
      </c>
      <c r="D61" s="6">
        <v>483</v>
      </c>
      <c r="E61" s="7" t="str">
        <f>VLOOKUP(D61,[1]characters!$A:$C,3,FALSE)</f>
        <v xml:space="preserve">命経死遂 沢庵宗彭 </v>
      </c>
      <c r="F61" s="7" t="str">
        <f>VLOOKUP(D61,[1]characters!$A:$J,10,FALSE)</f>
        <v>PremiumS</v>
      </c>
      <c r="G61" s="7">
        <f>VLOOKUP(D61,[1]characters!$A:$I,9,FALSE)</f>
        <v>5</v>
      </c>
      <c r="H61" s="7" t="str">
        <f>VLOOKUP(D61,[1]characters!$A:$H,8,FALSE)</f>
        <v>yellow</v>
      </c>
      <c r="I61" s="7" t="str">
        <f>VLOOKUP(D61,[1]characters!$A:$K,11,FALSE)</f>
        <v>hp</v>
      </c>
      <c r="J61" s="7" t="str">
        <f>VLOOKUP(D61,[1]characters!$A:$M,13,FALSE)</f>
        <v>human</v>
      </c>
      <c r="K61" s="7" t="str">
        <f>VLOOKUP(D61,[1]characters!$A:$G,7,FALSE)</f>
        <v>男性</v>
      </c>
      <c r="L61" s="66">
        <f>IFERROR(VLOOKUP(D61,input_settle_1!L:R,7,FALSE),VLOOKUP(gacha_settle_tables_1!B61,input_settle_1!A:H,8,FALSE))</f>
        <v>2535</v>
      </c>
      <c r="M61" s="67">
        <f t="shared" si="1"/>
        <v>1.8055555555555554E-2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customHeight="1">
      <c r="A62" s="2">
        <v>3127</v>
      </c>
      <c r="B62" s="7" t="s">
        <v>133</v>
      </c>
      <c r="C62" s="7" t="s">
        <v>134</v>
      </c>
      <c r="D62" s="6">
        <v>493</v>
      </c>
      <c r="E62" s="7" t="str">
        <f>VLOOKUP(D62,[1]characters!$A:$C,3,FALSE)</f>
        <v>跋扈の機脚 ブートレグ・ペロー</v>
      </c>
      <c r="F62" s="7" t="str">
        <f>VLOOKUP(D62,[1]characters!$A:$J,10,FALSE)</f>
        <v>PremiumSS</v>
      </c>
      <c r="G62" s="7">
        <f>VLOOKUP(D62,[1]characters!$A:$I,9,FALSE)</f>
        <v>5</v>
      </c>
      <c r="H62" s="7" t="str">
        <f>VLOOKUP(D62,[1]characters!$A:$H,8,FALSE)</f>
        <v>red</v>
      </c>
      <c r="I62" s="7" t="str">
        <f>VLOOKUP(D62,[1]characters!$A:$K,11,FALSE)</f>
        <v>hp</v>
      </c>
      <c r="J62" s="7" t="str">
        <f>VLOOKUP(D62,[1]characters!$A:$M,13,FALSE)</f>
        <v>animal</v>
      </c>
      <c r="K62" s="7" t="str">
        <f>VLOOKUP(D62,[1]characters!$A:$G,7,FALSE)</f>
        <v>不明</v>
      </c>
      <c r="L62" s="66">
        <f>IFERROR(VLOOKUP(D62,input_settle_1!L:R,7,FALSE),VLOOKUP(gacha_settle_tables_1!B62,input_settle_1!A:H,8,FALSE))</f>
        <v>135</v>
      </c>
      <c r="M62" s="67">
        <f t="shared" si="1"/>
        <v>9.6153846153846159E-4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customHeight="1">
      <c r="A63" s="2">
        <v>3127</v>
      </c>
      <c r="B63" s="7" t="s">
        <v>133</v>
      </c>
      <c r="C63" s="7" t="s">
        <v>134</v>
      </c>
      <c r="D63" s="6">
        <v>495</v>
      </c>
      <c r="E63" s="7" t="str">
        <f>VLOOKUP(D63,[1]characters!$A:$C,3,FALSE)</f>
        <v>鼠災呼ぶ笛音 ハーメルン</v>
      </c>
      <c r="F63" s="7" t="str">
        <f>VLOOKUP(D63,[1]characters!$A:$J,10,FALSE)</f>
        <v>PremiumSS</v>
      </c>
      <c r="G63" s="7">
        <f>VLOOKUP(D63,[1]characters!$A:$I,9,FALSE)</f>
        <v>5</v>
      </c>
      <c r="H63" s="7" t="str">
        <f>VLOOKUP(D63,[1]characters!$A:$H,8,FALSE)</f>
        <v>green</v>
      </c>
      <c r="I63" s="7" t="str">
        <f>VLOOKUP(D63,[1]characters!$A:$K,11,FALSE)</f>
        <v>technical</v>
      </c>
      <c r="J63" s="7" t="str">
        <f>VLOOKUP(D63,[1]characters!$A:$M,13,FALSE)</f>
        <v>human</v>
      </c>
      <c r="K63" s="7" t="str">
        <f>VLOOKUP(D63,[1]characters!$A:$G,7,FALSE)</f>
        <v>男性</v>
      </c>
      <c r="L63" s="66">
        <f>IFERROR(VLOOKUP(D63,input_settle_1!L:R,7,FALSE),VLOOKUP(gacha_settle_tables_1!B63,input_settle_1!A:H,8,FALSE))</f>
        <v>135</v>
      </c>
      <c r="M63" s="67">
        <f t="shared" si="1"/>
        <v>9.6153846153846159E-4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customHeight="1">
      <c r="A64" s="2">
        <v>3127</v>
      </c>
      <c r="B64" s="7" t="s">
        <v>135</v>
      </c>
      <c r="C64" s="7" t="s">
        <v>136</v>
      </c>
      <c r="D64" s="6">
        <v>498</v>
      </c>
      <c r="E64" s="7" t="str">
        <f>VLOOKUP(D64,[1]characters!$A:$C,3,FALSE)</f>
        <v>自愛の高魔 エスタブ</v>
      </c>
      <c r="F64" s="7" t="str">
        <f>VLOOKUP(D64,[1]characters!$A:$J,10,FALSE)</f>
        <v>PremiumS</v>
      </c>
      <c r="G64" s="7">
        <f>VLOOKUP(D64,[1]characters!$A:$I,9,FALSE)</f>
        <v>5</v>
      </c>
      <c r="H64" s="7" t="str">
        <f>VLOOKUP(D64,[1]characters!$A:$H,8,FALSE)</f>
        <v>blue</v>
      </c>
      <c r="I64" s="7" t="str">
        <f>VLOOKUP(D64,[1]characters!$A:$K,11,FALSE)</f>
        <v>attack</v>
      </c>
      <c r="J64" s="7" t="str">
        <f>VLOOKUP(D64,[1]characters!$A:$M,13,FALSE)</f>
        <v>human</v>
      </c>
      <c r="K64" s="7" t="str">
        <f>VLOOKUP(D64,[1]characters!$A:$G,7,FALSE)</f>
        <v>男性</v>
      </c>
      <c r="L64" s="66">
        <f>IFERROR(VLOOKUP(D64,input_settle_1!L:R,7,FALSE),VLOOKUP(gacha_settle_tables_1!B64,input_settle_1!A:H,8,FALSE))</f>
        <v>2535</v>
      </c>
      <c r="M64" s="67">
        <f t="shared" si="1"/>
        <v>1.8055555555555554E-2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customHeight="1">
      <c r="A65" s="2">
        <v>3127</v>
      </c>
      <c r="B65" s="7" t="s">
        <v>133</v>
      </c>
      <c r="C65" s="7" t="s">
        <v>134</v>
      </c>
      <c r="D65" s="6">
        <v>500</v>
      </c>
      <c r="E65" s="7" t="str">
        <f>VLOOKUP(D65,[1]characters!$A:$C,3,FALSE)</f>
        <v>脈動の禁髪 ラプンツェル</v>
      </c>
      <c r="F65" s="7" t="str">
        <f>VLOOKUP(D65,[1]characters!$A:$J,10,FALSE)</f>
        <v>PremiumSS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balance</v>
      </c>
      <c r="J65" s="7" t="str">
        <f>VLOOKUP(D65,[1]characters!$A:$M,13,FALSE)</f>
        <v>human</v>
      </c>
      <c r="K65" s="7" t="str">
        <f>VLOOKUP(D65,[1]characters!$A:$G,7,FALSE)</f>
        <v>女性</v>
      </c>
      <c r="L65" s="66">
        <f>IFERROR(VLOOKUP(D65,input_settle_1!L:R,7,FALSE),VLOOKUP(gacha_settle_tables_1!B65,input_settle_1!A:H,8,FALSE))</f>
        <v>135</v>
      </c>
      <c r="M65" s="67">
        <f t="shared" si="1"/>
        <v>9.6153846153846159E-4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ht="21" customHeight="1">
      <c r="A66" s="2">
        <v>3127</v>
      </c>
      <c r="B66" s="7" t="s">
        <v>133</v>
      </c>
      <c r="C66" s="7" t="s">
        <v>134</v>
      </c>
      <c r="D66" s="6">
        <v>587</v>
      </c>
      <c r="E66" s="7" t="str">
        <f>VLOOKUP(D66,[1]characters!$A:$C,3,FALSE)</f>
        <v>原初の煉鋼巨刃 ユミル</v>
      </c>
      <c r="F66" s="7" t="str">
        <f>VLOOKUP(D66,[1]characters!$A:$J,10,FALSE)</f>
        <v>PremiumSS</v>
      </c>
      <c r="G66" s="7">
        <f>VLOOKUP(D66,[1]characters!$A:$I,9,FALSE)</f>
        <v>5</v>
      </c>
      <c r="H66" s="7" t="str">
        <f>VLOOKUP(D66,[1]characters!$A:$H,8,FALSE)</f>
        <v>red</v>
      </c>
      <c r="I66" s="7" t="str">
        <f>VLOOKUP(D66,[1]characters!$A:$K,11,FALSE)</f>
        <v>hp</v>
      </c>
      <c r="J66" s="7" t="str">
        <f>VLOOKUP(D66,[1]characters!$A:$M,13,FALSE)</f>
        <v>machine</v>
      </c>
      <c r="K66" s="7" t="str">
        <f>VLOOKUP(D66,[1]characters!$A:$G,7,FALSE)</f>
        <v>不明</v>
      </c>
      <c r="L66" s="66">
        <f>IFERROR(VLOOKUP(D66,input_settle_1!L:R,7,FALSE),VLOOKUP(gacha_settle_tables_1!B66,input_settle_1!A:H,8,FALSE))</f>
        <v>135</v>
      </c>
      <c r="M66" s="67">
        <f t="shared" ref="M66:M81" si="2">L66/SUM(L:L)</f>
        <v>9.6153846153846159E-4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customHeight="1">
      <c r="A67" s="2">
        <v>3127</v>
      </c>
      <c r="B67" s="7" t="s">
        <v>135</v>
      </c>
      <c r="C67" s="7" t="s">
        <v>136</v>
      </c>
      <c r="D67" s="6">
        <v>590</v>
      </c>
      <c r="E67" s="7" t="str">
        <f>VLOOKUP(D67,[1]characters!$A:$C,3,FALSE)</f>
        <v>永遠を廻る呪い ニーベルゲン</v>
      </c>
      <c r="F67" s="7" t="str">
        <f>VLOOKUP(D67,[1]characters!$A:$J,10,FALSE)</f>
        <v>PremiumS</v>
      </c>
      <c r="G67" s="7">
        <f>VLOOKUP(D67,[1]characters!$A:$I,9,FALSE)</f>
        <v>5</v>
      </c>
      <c r="H67" s="7" t="str">
        <f>VLOOKUP(D67,[1]characters!$A:$H,8,FALSE)</f>
        <v>green</v>
      </c>
      <c r="I67" s="7" t="str">
        <f>VLOOKUP(D67,[1]characters!$A:$K,11,FALSE)</f>
        <v>balance</v>
      </c>
      <c r="J67" s="7" t="str">
        <f>VLOOKUP(D67,[1]characters!$A:$M,13,FALSE)</f>
        <v>unknown</v>
      </c>
      <c r="K67" s="7" t="str">
        <f>VLOOKUP(D67,[1]characters!$A:$G,7,FALSE)</f>
        <v>女性</v>
      </c>
      <c r="L67" s="66">
        <f>IFERROR(VLOOKUP(D67,input_settle_1!L:R,7,FALSE),VLOOKUP(gacha_settle_tables_1!B67,input_settle_1!A:H,8,FALSE))</f>
        <v>2535</v>
      </c>
      <c r="M67" s="67">
        <f t="shared" si="2"/>
        <v>1.8055555555555554E-2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customHeight="1">
      <c r="A68" s="2">
        <v>3127</v>
      </c>
      <c r="B68" s="7" t="s">
        <v>135</v>
      </c>
      <c r="C68" s="7" t="s">
        <v>136</v>
      </c>
      <c r="D68" s="6">
        <v>593</v>
      </c>
      <c r="E68" s="7" t="str">
        <f>VLOOKUP(D68,[1]characters!$A:$C,3,FALSE)</f>
        <v>妄執する邪毒龍 ファフニール</v>
      </c>
      <c r="F68" s="7" t="str">
        <f>VLOOKUP(D68,[1]characters!$A:$J,10,FALSE)</f>
        <v>PremiumS</v>
      </c>
      <c r="G68" s="7">
        <f>VLOOKUP(D68,[1]characters!$A:$I,9,FALSE)</f>
        <v>5</v>
      </c>
      <c r="H68" s="7" t="str">
        <f>VLOOKUP(D68,[1]characters!$A:$H,8,FALSE)</f>
        <v>blue</v>
      </c>
      <c r="I68" s="7" t="str">
        <f>VLOOKUP(D68,[1]characters!$A:$K,11,FALSE)</f>
        <v>technical</v>
      </c>
      <c r="J68" s="7" t="str">
        <f>VLOOKUP(D68,[1]characters!$A:$M,13,FALSE)</f>
        <v>dragon</v>
      </c>
      <c r="K68" s="7" t="str">
        <f>VLOOKUP(D68,[1]characters!$A:$G,7,FALSE)</f>
        <v>不明</v>
      </c>
      <c r="L68" s="66">
        <f>IFERROR(VLOOKUP(D68,input_settle_1!L:R,7,FALSE),VLOOKUP(gacha_settle_tables_1!B68,input_settle_1!A:H,8,FALSE))</f>
        <v>2535</v>
      </c>
      <c r="M68" s="67">
        <f t="shared" si="2"/>
        <v>1.8055555555555554E-2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customHeight="1">
      <c r="A69" s="2">
        <v>3127</v>
      </c>
      <c r="B69" s="7" t="s">
        <v>133</v>
      </c>
      <c r="C69" s="7" t="s">
        <v>134</v>
      </c>
      <c r="D69" s="6">
        <v>595</v>
      </c>
      <c r="E69" s="7" t="str">
        <f>VLOOKUP(D69,[1]characters!$A:$C,3,FALSE)</f>
        <v>光華なる神域 アルフヘイム</v>
      </c>
      <c r="F69" s="7" t="str">
        <f>VLOOKUP(D69,[1]characters!$A:$J,10,FALSE)</f>
        <v>PremiumSS</v>
      </c>
      <c r="G69" s="7">
        <f>VLOOKUP(D69,[1]characters!$A:$I,9,FALSE)</f>
        <v>5</v>
      </c>
      <c r="H69" s="7" t="str">
        <f>VLOOKUP(D69,[1]characters!$A:$H,8,FALSE)</f>
        <v>yellow</v>
      </c>
      <c r="I69" s="7" t="str">
        <f>VLOOKUP(D69,[1]characters!$A:$K,11,FALSE)</f>
        <v>attack</v>
      </c>
      <c r="J69" s="7" t="str">
        <f>VLOOKUP(D69,[1]characters!$A:$M,13,FALSE)</f>
        <v>dragon</v>
      </c>
      <c r="K69" s="7" t="str">
        <f>VLOOKUP(D69,[1]characters!$A:$G,7,FALSE)</f>
        <v>不明</v>
      </c>
      <c r="L69" s="66">
        <f>IFERROR(VLOOKUP(D69,input_settle_1!L:R,7,FALSE),VLOOKUP(gacha_settle_tables_1!B69,input_settle_1!A:H,8,FALSE))</f>
        <v>135</v>
      </c>
      <c r="M69" s="67">
        <f t="shared" si="2"/>
        <v>9.6153846153846159E-4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customHeight="1">
      <c r="A70" s="2">
        <v>3127</v>
      </c>
      <c r="B70" s="7" t="s">
        <v>135</v>
      </c>
      <c r="C70" s="7" t="s">
        <v>136</v>
      </c>
      <c r="D70" s="6">
        <v>598</v>
      </c>
      <c r="E70" s="7" t="str">
        <f>VLOOKUP(D70,[1]characters!$A:$C,3,FALSE)</f>
        <v>焼燃の情熱 ムスペルヘイム</v>
      </c>
      <c r="F70" s="7" t="str">
        <f>VLOOKUP(D70,[1]characters!$A:$J,10,FALSE)</f>
        <v>PremiumS</v>
      </c>
      <c r="G70" s="7">
        <f>VLOOKUP(D70,[1]characters!$A:$I,9,FALSE)</f>
        <v>5</v>
      </c>
      <c r="H70" s="7" t="str">
        <f>VLOOKUP(D70,[1]characters!$A:$H,8,FALSE)</f>
        <v>red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男性</v>
      </c>
      <c r="L70" s="66">
        <f>IFERROR(VLOOKUP(D70,input_settle_1!L:R,7,FALSE),VLOOKUP(gacha_settle_tables_1!B70,input_settle_1!A:H,8,FALSE))</f>
        <v>2535</v>
      </c>
      <c r="M70" s="67">
        <f t="shared" si="2"/>
        <v>1.8055555555555554E-2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customHeight="1">
      <c r="A71" s="2">
        <v>3127</v>
      </c>
      <c r="B71" s="7" t="s">
        <v>135</v>
      </c>
      <c r="C71" s="7" t="s">
        <v>136</v>
      </c>
      <c r="D71" s="6">
        <v>601</v>
      </c>
      <c r="E71" s="7" t="str">
        <f>VLOOKUP(D71,[1]characters!$A:$C,3,FALSE)</f>
        <v>界根蝕む悪食 ニーズヘッグ</v>
      </c>
      <c r="F71" s="7" t="str">
        <f>VLOOKUP(D71,[1]characters!$A:$J,10,FALSE)</f>
        <v>PremiumS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attack</v>
      </c>
      <c r="J71" s="7" t="str">
        <f>VLOOKUP(D71,[1]characters!$A:$M,13,FALSE)</f>
        <v>dragon</v>
      </c>
      <c r="K71" s="7" t="str">
        <f>VLOOKUP(D71,[1]characters!$A:$G,7,FALSE)</f>
        <v>不明</v>
      </c>
      <c r="L71" s="66">
        <f>IFERROR(VLOOKUP(D71,input_settle_1!L:R,7,FALSE),VLOOKUP(gacha_settle_tables_1!B71,input_settle_1!A:H,8,FALSE))</f>
        <v>2535</v>
      </c>
      <c r="M71" s="67">
        <f t="shared" si="2"/>
        <v>1.8055555555555554E-2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customHeight="1">
      <c r="A72" s="2">
        <v>3127</v>
      </c>
      <c r="B72" s="7" t="s">
        <v>133</v>
      </c>
      <c r="C72" s="7" t="s">
        <v>134</v>
      </c>
      <c r="D72" s="6">
        <v>603</v>
      </c>
      <c r="E72" s="7" t="str">
        <f>VLOOKUP(D72,[1]characters!$A:$C,3,FALSE)</f>
        <v>掌愛の豊穣女神 フレイヤ</v>
      </c>
      <c r="F72" s="7" t="str">
        <f>VLOOKUP(D72,[1]characters!$A:$J,10,FALSE)</f>
        <v>PremiumSS</v>
      </c>
      <c r="G72" s="7">
        <f>VLOOKUP(D72,[1]characters!$A:$I,9,FALSE)</f>
        <v>5</v>
      </c>
      <c r="H72" s="7" t="str">
        <f>VLOOKUP(D72,[1]characters!$A:$H,8,FALSE)</f>
        <v>blue</v>
      </c>
      <c r="I72" s="7" t="str">
        <f>VLOOKUP(D72,[1]characters!$A:$K,11,FALSE)</f>
        <v>heal</v>
      </c>
      <c r="J72" s="7" t="str">
        <f>VLOOKUP(D72,[1]characters!$A:$M,13,FALSE)</f>
        <v>animal</v>
      </c>
      <c r="K72" s="7" t="str">
        <f>VLOOKUP(D72,[1]characters!$A:$G,7,FALSE)</f>
        <v>女性</v>
      </c>
      <c r="L72" s="66">
        <f>IFERROR(VLOOKUP(D72,input_settle_1!L:R,7,FALSE),VLOOKUP(gacha_settle_tables_1!B72,input_settle_1!A:H,8,FALSE))</f>
        <v>135</v>
      </c>
      <c r="M72" s="67">
        <f t="shared" si="2"/>
        <v>9.6153846153846159E-4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customHeight="1">
      <c r="A73" s="2">
        <v>3127</v>
      </c>
      <c r="B73" s="7" t="s">
        <v>135</v>
      </c>
      <c r="C73" s="7" t="s">
        <v>136</v>
      </c>
      <c r="D73" s="6">
        <v>606</v>
      </c>
      <c r="E73" s="7" t="str">
        <f>VLOOKUP(D73,[1]characters!$A:$C,3,FALSE)</f>
        <v>冀望の光芒 バルドル</v>
      </c>
      <c r="F73" s="7" t="str">
        <f>VLOOKUP(D73,[1]characters!$A:$J,10,FALSE)</f>
        <v>PremiumS</v>
      </c>
      <c r="G73" s="7">
        <f>VLOOKUP(D73,[1]characters!$A:$I,9,FALSE)</f>
        <v>5</v>
      </c>
      <c r="H73" s="7" t="str">
        <f>VLOOKUP(D73,[1]characters!$A:$H,8,FALSE)</f>
        <v>yellow</v>
      </c>
      <c r="I73" s="7" t="str">
        <f>VLOOKUP(D73,[1]characters!$A:$K,11,FALSE)</f>
        <v>heal</v>
      </c>
      <c r="J73" s="7" t="str">
        <f>VLOOKUP(D73,[1]characters!$A:$M,13,FALSE)</f>
        <v>god</v>
      </c>
      <c r="K73" s="7" t="str">
        <f>VLOOKUP(D73,[1]characters!$A:$G,7,FALSE)</f>
        <v>男性</v>
      </c>
      <c r="L73" s="66">
        <f>IFERROR(VLOOKUP(D73,input_settle_1!L:R,7,FALSE),VLOOKUP(gacha_settle_tables_1!B73,input_settle_1!A:H,8,FALSE))</f>
        <v>2535</v>
      </c>
      <c r="M73" s="67">
        <f t="shared" si="2"/>
        <v>1.8055555555555554E-2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customHeight="1">
      <c r="A74" s="2">
        <v>3127</v>
      </c>
      <c r="B74" s="7" t="s">
        <v>133</v>
      </c>
      <c r="C74" s="7" t="s">
        <v>134</v>
      </c>
      <c r="D74" s="6">
        <v>659</v>
      </c>
      <c r="E74" s="7" t="str">
        <f>VLOOKUP(D74,[1]characters!$A:$C,3,FALSE)</f>
        <v>跳梁する化猫 クルミ</v>
      </c>
      <c r="F74" s="7" t="str">
        <f>VLOOKUP(D74,[1]characters!$A:$J,10,FALSE)</f>
        <v>PremiumSS</v>
      </c>
      <c r="G74" s="7">
        <f>VLOOKUP(D74,[1]characters!$A:$I,9,FALSE)</f>
        <v>5</v>
      </c>
      <c r="H74" s="7" t="str">
        <f>VLOOKUP(D74,[1]characters!$A:$H,8,FALSE)</f>
        <v>red</v>
      </c>
      <c r="I74" s="7" t="str">
        <f>VLOOKUP(D74,[1]characters!$A:$K,11,FALSE)</f>
        <v>attack</v>
      </c>
      <c r="J74" s="7" t="str">
        <f>VLOOKUP(D74,[1]characters!$A:$M,13,FALSE)</f>
        <v>animal</v>
      </c>
      <c r="K74" s="7" t="str">
        <f>VLOOKUP(D74,[1]characters!$A:$G,7,FALSE)</f>
        <v>女性</v>
      </c>
      <c r="L74" s="66">
        <f>IFERROR(VLOOKUP(D74,input_settle_1!L:R,7,FALSE),VLOOKUP(gacha_settle_tables_1!B74,input_settle_1!A:H,8,FALSE))</f>
        <v>135</v>
      </c>
      <c r="M74" s="67">
        <f t="shared" si="2"/>
        <v>9.6153846153846159E-4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customHeight="1">
      <c r="A75" s="2">
        <v>3127</v>
      </c>
      <c r="B75" s="7" t="s">
        <v>133</v>
      </c>
      <c r="C75" s="7" t="s">
        <v>134</v>
      </c>
      <c r="D75" s="6">
        <v>661</v>
      </c>
      <c r="E75" s="7" t="str">
        <f>VLOOKUP(D75,[1]characters!$A:$C,3,FALSE)</f>
        <v>疾風の天狗礫 フウガ</v>
      </c>
      <c r="F75" s="7" t="str">
        <f>VLOOKUP(D75,[1]characters!$A:$J,10,FALSE)</f>
        <v>PremiumSS</v>
      </c>
      <c r="G75" s="7">
        <f>VLOOKUP(D75,[1]characters!$A:$I,9,FALSE)</f>
        <v>5</v>
      </c>
      <c r="H75" s="7" t="str">
        <f>VLOOKUP(D75,[1]characters!$A:$H,8,FALSE)</f>
        <v>green</v>
      </c>
      <c r="I75" s="7" t="str">
        <f>VLOOKUP(D75,[1]characters!$A:$K,11,FALSE)</f>
        <v>balance</v>
      </c>
      <c r="J75" s="7" t="str">
        <f>VLOOKUP(D75,[1]characters!$A:$M,13,FALSE)</f>
        <v>animal</v>
      </c>
      <c r="K75" s="7" t="str">
        <f>VLOOKUP(D75,[1]characters!$A:$G,7,FALSE)</f>
        <v>男性</v>
      </c>
      <c r="L75" s="66">
        <f>IFERROR(VLOOKUP(D75,input_settle_1!L:R,7,FALSE),VLOOKUP(gacha_settle_tables_1!B75,input_settle_1!A:H,8,FALSE))</f>
        <v>135</v>
      </c>
      <c r="M75" s="67">
        <f t="shared" si="2"/>
        <v>9.6153846153846159E-4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customHeight="1">
      <c r="A76" s="2">
        <v>3127</v>
      </c>
      <c r="B76" s="7" t="s">
        <v>135</v>
      </c>
      <c r="C76" s="7" t="s">
        <v>136</v>
      </c>
      <c r="D76" s="6">
        <v>664</v>
      </c>
      <c r="E76" s="7" t="str">
        <f>VLOOKUP(D76,[1]characters!$A:$C,3,FALSE)</f>
        <v>山掴み国造り ダイダラ</v>
      </c>
      <c r="F76" s="7" t="str">
        <f>VLOOKUP(D76,[1]characters!$A:$J,10,FALSE)</f>
        <v>PremiumS</v>
      </c>
      <c r="G76" s="7">
        <f>VLOOKUP(D76,[1]characters!$A:$I,9,FALSE)</f>
        <v>5</v>
      </c>
      <c r="H76" s="7" t="str">
        <f>VLOOKUP(D76,[1]characters!$A:$H,8,FALSE)</f>
        <v>blue</v>
      </c>
      <c r="I76" s="7" t="str">
        <f>VLOOKUP(D76,[1]characters!$A:$K,11,FALSE)</f>
        <v>hp</v>
      </c>
      <c r="J76" s="7" t="str">
        <f>VLOOKUP(D76,[1]characters!$A:$M,13,FALSE)</f>
        <v>unknown</v>
      </c>
      <c r="K76" s="7" t="str">
        <f>VLOOKUP(D76,[1]characters!$A:$G,7,FALSE)</f>
        <v>不明</v>
      </c>
      <c r="L76" s="66">
        <f>IFERROR(VLOOKUP(D76,input_settle_1!L:R,7,FALSE),VLOOKUP(gacha_settle_tables_1!B76,input_settle_1!A:H,8,FALSE))</f>
        <v>2535</v>
      </c>
      <c r="M76" s="67">
        <f t="shared" si="2"/>
        <v>1.8055555555555554E-2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customHeight="1">
      <c r="A77" s="2">
        <v>3127</v>
      </c>
      <c r="B77" s="7" t="s">
        <v>135</v>
      </c>
      <c r="C77" s="7" t="s">
        <v>136</v>
      </c>
      <c r="D77" s="6">
        <v>667</v>
      </c>
      <c r="E77" s="7" t="str">
        <f>VLOOKUP(D77,[1]characters!$A:$C,3,FALSE)</f>
        <v>最幸運の妖童 テマリ</v>
      </c>
      <c r="F77" s="7" t="str">
        <f>VLOOKUP(D77,[1]characters!$A:$J,10,FALSE)</f>
        <v>PremiumS</v>
      </c>
      <c r="G77" s="7">
        <f>VLOOKUP(D77,[1]characters!$A:$I,9,FALSE)</f>
        <v>5</v>
      </c>
      <c r="H77" s="7" t="str">
        <f>VLOOKUP(D77,[1]characters!$A:$H,8,FALSE)</f>
        <v>yellow</v>
      </c>
      <c r="I77" s="7" t="str">
        <f>VLOOKUP(D77,[1]characters!$A:$K,11,FALSE)</f>
        <v>balance</v>
      </c>
      <c r="J77" s="7" t="str">
        <f>VLOOKUP(D77,[1]characters!$A:$M,13,FALSE)</f>
        <v>unknown</v>
      </c>
      <c r="K77" s="7" t="str">
        <f>VLOOKUP(D77,[1]characters!$A:$G,7,FALSE)</f>
        <v>女性</v>
      </c>
      <c r="L77" s="66">
        <f>IFERROR(VLOOKUP(D77,input_settle_1!L:R,7,FALSE),VLOOKUP(gacha_settle_tables_1!B77,input_settle_1!A:H,8,FALSE))</f>
        <v>2535</v>
      </c>
      <c r="M77" s="67">
        <f t="shared" si="2"/>
        <v>1.8055555555555554E-2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customHeight="1">
      <c r="A78" s="2">
        <v>3127</v>
      </c>
      <c r="B78" s="7" t="s">
        <v>135</v>
      </c>
      <c r="C78" s="7" t="s">
        <v>136</v>
      </c>
      <c r="D78" s="6">
        <v>670</v>
      </c>
      <c r="E78" s="7" t="str">
        <f>VLOOKUP(D78,[1]characters!$A:$C,3,FALSE)</f>
        <v>陽天の噴煙 アグニ</v>
      </c>
      <c r="F78" s="7" t="str">
        <f>VLOOKUP(D78,[1]characters!$A:$J,10,FALSE)</f>
        <v>PremiumS</v>
      </c>
      <c r="G78" s="7">
        <f>VLOOKUP(D78,[1]characters!$A:$I,9,FALSE)</f>
        <v>5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66">
        <f>IFERROR(VLOOKUP(D78,input_settle_1!L:R,7,FALSE),VLOOKUP(gacha_settle_tables_1!B78,input_settle_1!A:H,8,FALSE))</f>
        <v>2535</v>
      </c>
      <c r="M78" s="67">
        <f t="shared" si="2"/>
        <v>1.8055555555555554E-2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customHeight="1">
      <c r="A79" s="2">
        <v>3127</v>
      </c>
      <c r="B79" s="7" t="s">
        <v>135</v>
      </c>
      <c r="C79" s="7" t="s">
        <v>136</v>
      </c>
      <c r="D79" s="6">
        <v>673</v>
      </c>
      <c r="E79" s="7" t="str">
        <f>VLOOKUP(D79,[1]characters!$A:$C,3,FALSE)</f>
        <v>変幻自在の猿王 ハヌマーン</v>
      </c>
      <c r="F79" s="7" t="str">
        <f>VLOOKUP(D79,[1]characters!$A:$J,10,FALSE)</f>
        <v>PremiumS</v>
      </c>
      <c r="G79" s="7">
        <f>VLOOKUP(D79,[1]characters!$A:$I,9,FALSE)</f>
        <v>5</v>
      </c>
      <c r="H79" s="7" t="str">
        <f>VLOOKUP(D79,[1]characters!$A:$H,8,FALSE)</f>
        <v>green</v>
      </c>
      <c r="I79" s="7" t="str">
        <f>VLOOKUP(D79,[1]characters!$A:$K,11,FALSE)</f>
        <v>attack</v>
      </c>
      <c r="J79" s="7" t="str">
        <f>VLOOKUP(D79,[1]characters!$A:$M,13,FALSE)</f>
        <v>animal</v>
      </c>
      <c r="K79" s="7" t="str">
        <f>VLOOKUP(D79,[1]characters!$A:$G,7,FALSE)</f>
        <v>男性</v>
      </c>
      <c r="L79" s="66">
        <f>IFERROR(VLOOKUP(D79,input_settle_1!L:R,7,FALSE),VLOOKUP(gacha_settle_tables_1!B79,input_settle_1!A:H,8,FALSE))</f>
        <v>2535</v>
      </c>
      <c r="M79" s="67">
        <f t="shared" si="2"/>
        <v>1.8055555555555554E-2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customHeight="1">
      <c r="A80" s="2">
        <v>3127</v>
      </c>
      <c r="B80" s="7" t="s">
        <v>133</v>
      </c>
      <c r="C80" s="7" t="s">
        <v>134</v>
      </c>
      <c r="D80" s="6">
        <v>675</v>
      </c>
      <c r="E80" s="7" t="str">
        <f>VLOOKUP(D80,[1]characters!$A:$C,3,FALSE)</f>
        <v>芸楽の奔流 サラスヴァティ</v>
      </c>
      <c r="F80" s="7" t="str">
        <f>VLOOKUP(D80,[1]characters!$A:$J,10,FALSE)</f>
        <v>PremiumSS</v>
      </c>
      <c r="G80" s="7">
        <f>VLOOKUP(D80,[1]characters!$A:$I,9,FALSE)</f>
        <v>5</v>
      </c>
      <c r="H80" s="7" t="str">
        <f>VLOOKUP(D80,[1]characters!$A:$H,8,FALSE)</f>
        <v>blue</v>
      </c>
      <c r="I80" s="7" t="str">
        <f>VLOOKUP(D80,[1]characters!$A:$K,11,FALSE)</f>
        <v>balance</v>
      </c>
      <c r="J80" s="7" t="str">
        <f>VLOOKUP(D80,[1]characters!$A:$M,13,FALSE)</f>
        <v>god</v>
      </c>
      <c r="K80" s="7" t="str">
        <f>VLOOKUP(D80,[1]characters!$A:$G,7,FALSE)</f>
        <v>女性</v>
      </c>
      <c r="L80" s="66">
        <f>IFERROR(VLOOKUP(D80,input_settle_1!L:R,7,FALSE),VLOOKUP(gacha_settle_tables_1!B80,input_settle_1!A:H,8,FALSE))</f>
        <v>135</v>
      </c>
      <c r="M80" s="67">
        <f t="shared" si="2"/>
        <v>9.6153846153846159E-4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customHeight="1">
      <c r="A81" s="2">
        <v>3127</v>
      </c>
      <c r="B81" s="7" t="s">
        <v>133</v>
      </c>
      <c r="C81" s="7" t="s">
        <v>134</v>
      </c>
      <c r="D81" s="6">
        <v>677</v>
      </c>
      <c r="E81" s="7" t="str">
        <f>VLOOKUP(D81,[1]characters!$A:$C,3,FALSE)</f>
        <v>武遊闊歩 ヴィシュヌ</v>
      </c>
      <c r="F81" s="7" t="str">
        <f>VLOOKUP(D81,[1]characters!$A:$J,10,FALSE)</f>
        <v>PremiumSS</v>
      </c>
      <c r="G81" s="7">
        <f>VLOOKUP(D81,[1]characters!$A:$I,9,FALSE)</f>
        <v>5</v>
      </c>
      <c r="H81" s="7" t="str">
        <f>VLOOKUP(D81,[1]characters!$A:$H,8,FALSE)</f>
        <v>yellow</v>
      </c>
      <c r="I81" s="7" t="str">
        <f>VLOOKUP(D81,[1]characters!$A:$K,11,FALSE)</f>
        <v>attack</v>
      </c>
      <c r="J81" s="7" t="str">
        <f>VLOOKUP(D81,[1]characters!$A:$M,13,FALSE)</f>
        <v>god</v>
      </c>
      <c r="K81" s="7" t="str">
        <f>VLOOKUP(D81,[1]characters!$A:$G,7,FALSE)</f>
        <v>女性</v>
      </c>
      <c r="L81" s="66">
        <f>IFERROR(VLOOKUP(D81,input_settle_1!L:R,7,FALSE),VLOOKUP(gacha_settle_tables_1!B81,input_settle_1!A:H,8,FALSE))</f>
        <v>135</v>
      </c>
      <c r="M81" s="67">
        <f t="shared" si="2"/>
        <v>9.6153846153846159E-4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</sheetData>
  <autoFilter ref="A1:S81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R43"/>
  <sheetViews>
    <sheetView tabSelected="1" workbookViewId="0">
      <selection activeCell="D2" sqref="D2"/>
    </sheetView>
  </sheetViews>
  <sheetFormatPr baseColWidth="12" defaultRowHeight="14" x14ac:dyDescent="0"/>
  <sheetData>
    <row r="1" spans="1:18">
      <c r="A1" s="70" t="s">
        <v>103</v>
      </c>
      <c r="B1" s="70"/>
    </row>
    <row r="2" spans="1:18">
      <c r="A2">
        <v>3128</v>
      </c>
    </row>
    <row r="4" spans="1:18">
      <c r="A4" s="48" t="s">
        <v>68</v>
      </c>
      <c r="B4" s="48"/>
    </row>
    <row r="5" spans="1:18">
      <c r="A5" s="46" t="s">
        <v>88</v>
      </c>
      <c r="B5" s="47">
        <f>1-B6-B7</f>
        <v>0</v>
      </c>
    </row>
    <row r="6" spans="1:18">
      <c r="A6" s="46" t="s">
        <v>89</v>
      </c>
      <c r="B6" s="47">
        <v>0</v>
      </c>
    </row>
    <row r="7" spans="1:18">
      <c r="A7" s="46" t="s">
        <v>90</v>
      </c>
      <c r="B7" s="47">
        <v>1</v>
      </c>
    </row>
    <row r="9" spans="1:18">
      <c r="A9" s="49" t="s">
        <v>69</v>
      </c>
      <c r="B9" s="49"/>
    </row>
    <row r="10" spans="1:18">
      <c r="A10" s="46" t="s">
        <v>118</v>
      </c>
      <c r="B10" s="47">
        <f>1-B11-B12</f>
        <v>0.98</v>
      </c>
    </row>
    <row r="11" spans="1:18">
      <c r="A11" s="46" t="s">
        <v>71</v>
      </c>
      <c r="B11" s="47">
        <v>0.02</v>
      </c>
    </row>
    <row r="12" spans="1:18">
      <c r="A12" s="46" t="s">
        <v>70</v>
      </c>
      <c r="B12" s="47">
        <v>0</v>
      </c>
    </row>
    <row r="15" spans="1:18">
      <c r="A15" s="53" t="s">
        <v>72</v>
      </c>
      <c r="B15" s="53"/>
      <c r="C15" t="s">
        <v>104</v>
      </c>
      <c r="L15" s="55" t="s">
        <v>77</v>
      </c>
      <c r="M15" s="55"/>
    </row>
    <row r="16" spans="1:18">
      <c r="A16" s="46" t="s">
        <v>75</v>
      </c>
      <c r="B16" s="46" t="s">
        <v>76</v>
      </c>
      <c r="C16" s="54" t="s">
        <v>77</v>
      </c>
      <c r="D16" s="54" t="s">
        <v>78</v>
      </c>
      <c r="E16" t="s">
        <v>92</v>
      </c>
      <c r="F16" t="s">
        <v>91</v>
      </c>
      <c r="G16" t="s">
        <v>94</v>
      </c>
      <c r="H16" t="s">
        <v>93</v>
      </c>
      <c r="I16" t="s">
        <v>95</v>
      </c>
      <c r="J16" t="s">
        <v>98</v>
      </c>
      <c r="L16" s="46" t="s">
        <v>1</v>
      </c>
      <c r="M16" s="54" t="s">
        <v>81</v>
      </c>
      <c r="N16" s="46" t="s">
        <v>79</v>
      </c>
      <c r="O16" s="54" t="s">
        <v>82</v>
      </c>
      <c r="P16" s="54" t="s">
        <v>83</v>
      </c>
      <c r="Q16" s="54" t="s">
        <v>80</v>
      </c>
      <c r="R16" s="65" t="s">
        <v>93</v>
      </c>
    </row>
    <row r="17" spans="1:17">
      <c r="A17" s="46" t="s">
        <v>119</v>
      </c>
      <c r="B17" s="50">
        <f>B5</f>
        <v>0</v>
      </c>
      <c r="C17" s="69">
        <f t="shared" ref="C17:C23" si="0">SUMIF(Q:Q,A17,N:N)</f>
        <v>0</v>
      </c>
      <c r="D17" s="62">
        <f t="shared" ref="D17:D24" si="1">B17-C17</f>
        <v>0</v>
      </c>
      <c r="E17">
        <f>COUNTIF(gacha_settle_tables_2!B:B,input_settle_2!A17)-COUNTIF(Q:Q,A17)</f>
        <v>0</v>
      </c>
      <c r="F17" s="64">
        <f t="shared" ref="F17:F23" si="2">IFERROR(D17/E17,0)</f>
        <v>0</v>
      </c>
      <c r="G17">
        <f t="shared" ref="G17:G23" si="3">A$32*D17</f>
        <v>0</v>
      </c>
      <c r="H17">
        <f t="shared" ref="H17:H23" si="4">IFERROR(ROUND(G17/E17,5),0)</f>
        <v>0</v>
      </c>
      <c r="I17">
        <f t="shared" ref="I17:I23" si="5">MOD(H17,1)</f>
        <v>0</v>
      </c>
      <c r="J17">
        <f t="shared" ref="J17:J23" si="6">IFERROR(1/I17,1)</f>
        <v>1</v>
      </c>
      <c r="L17" s="46"/>
      <c r="M17" s="54"/>
      <c r="N17" s="52"/>
      <c r="O17" s="54"/>
      <c r="P17" s="54"/>
      <c r="Q17" s="54"/>
    </row>
    <row r="18" spans="1:17">
      <c r="A18" s="46" t="s">
        <v>120</v>
      </c>
      <c r="B18" s="56">
        <v>0</v>
      </c>
      <c r="C18" s="69">
        <f t="shared" si="0"/>
        <v>0</v>
      </c>
      <c r="D18" s="62">
        <f t="shared" si="1"/>
        <v>0</v>
      </c>
      <c r="E18">
        <f>COUNTIF(gacha_settle_tables_2!B:B,input_settle_2!A18)-COUNTIF(Q:Q,A18)</f>
        <v>0</v>
      </c>
      <c r="F18" s="64">
        <f t="shared" si="2"/>
        <v>0</v>
      </c>
      <c r="G18">
        <f t="shared" si="3"/>
        <v>0</v>
      </c>
      <c r="H18">
        <f t="shared" si="4"/>
        <v>0</v>
      </c>
      <c r="I18">
        <f t="shared" si="5"/>
        <v>0</v>
      </c>
      <c r="J18">
        <f t="shared" si="6"/>
        <v>1</v>
      </c>
      <c r="L18" s="46"/>
      <c r="M18" s="54"/>
      <c r="N18" s="52"/>
      <c r="O18" s="54"/>
      <c r="P18" s="54"/>
      <c r="Q18" s="54"/>
    </row>
    <row r="19" spans="1:17">
      <c r="A19" s="46" t="s">
        <v>84</v>
      </c>
      <c r="B19" s="79">
        <f>90%</f>
        <v>0.9</v>
      </c>
      <c r="C19" s="69">
        <f t="shared" si="0"/>
        <v>0</v>
      </c>
      <c r="D19" s="62">
        <f t="shared" si="1"/>
        <v>0.9</v>
      </c>
      <c r="E19">
        <f>COUNTIF(gacha_settle_tables_2!B:B,input_settle_2!A19)-COUNTIF(Q:Q,A19)</f>
        <v>26</v>
      </c>
      <c r="F19" s="64">
        <f t="shared" si="2"/>
        <v>3.4615384615384617E-2</v>
      </c>
      <c r="G19">
        <f t="shared" si="3"/>
        <v>234</v>
      </c>
      <c r="H19">
        <f t="shared" si="4"/>
        <v>9</v>
      </c>
      <c r="I19">
        <f t="shared" si="5"/>
        <v>0</v>
      </c>
      <c r="J19">
        <f t="shared" si="6"/>
        <v>1</v>
      </c>
      <c r="L19" s="46"/>
      <c r="M19" s="54"/>
      <c r="N19" s="52"/>
      <c r="O19" s="54"/>
      <c r="P19" s="54"/>
      <c r="Q19" s="54"/>
    </row>
    <row r="20" spans="1:17">
      <c r="A20" s="46" t="s">
        <v>85</v>
      </c>
      <c r="B20" s="57">
        <f>B12*B6/(B6+B7)</f>
        <v>0</v>
      </c>
      <c r="C20" s="69">
        <f t="shared" si="0"/>
        <v>0</v>
      </c>
      <c r="D20" s="62">
        <f t="shared" si="1"/>
        <v>0</v>
      </c>
      <c r="E20">
        <f>COUNTIF(gacha_settle_tables_2!B:B,input_settle_2!A20)-COUNTIF(Q:Q,A20)</f>
        <v>0</v>
      </c>
      <c r="F20" s="64">
        <f t="shared" si="2"/>
        <v>0</v>
      </c>
      <c r="G20">
        <f t="shared" si="3"/>
        <v>0</v>
      </c>
      <c r="H20">
        <f t="shared" si="4"/>
        <v>0</v>
      </c>
      <c r="I20">
        <f t="shared" si="5"/>
        <v>0</v>
      </c>
      <c r="J20">
        <f t="shared" si="6"/>
        <v>1</v>
      </c>
      <c r="L20" s="46"/>
      <c r="M20" s="54"/>
      <c r="N20" s="52"/>
      <c r="O20" s="54"/>
      <c r="P20" s="54"/>
      <c r="Q20" s="54"/>
    </row>
    <row r="21" spans="1:17">
      <c r="A21" s="46" t="s">
        <v>121</v>
      </c>
      <c r="B21" s="58">
        <v>0</v>
      </c>
      <c r="C21" s="69">
        <f t="shared" si="0"/>
        <v>0</v>
      </c>
      <c r="D21" s="62">
        <f t="shared" si="1"/>
        <v>0</v>
      </c>
      <c r="E21">
        <f>COUNTIF(gacha_settle_tables_2!B:B,input_settle_2!A21)-COUNTIF(Q:Q,A21)</f>
        <v>0</v>
      </c>
      <c r="F21" s="64">
        <f t="shared" si="2"/>
        <v>0</v>
      </c>
      <c r="G21">
        <f t="shared" si="3"/>
        <v>0</v>
      </c>
      <c r="H21">
        <f t="shared" si="4"/>
        <v>0</v>
      </c>
      <c r="I21">
        <f t="shared" si="5"/>
        <v>0</v>
      </c>
      <c r="J21">
        <f t="shared" si="6"/>
        <v>1</v>
      </c>
      <c r="L21" s="46"/>
      <c r="M21" s="54"/>
      <c r="N21" s="46"/>
      <c r="O21" s="54"/>
      <c r="P21" s="54"/>
      <c r="Q21" s="54"/>
    </row>
    <row r="22" spans="1:17">
      <c r="A22" s="46" t="s">
        <v>86</v>
      </c>
      <c r="B22" s="79">
        <f>10%</f>
        <v>0.1</v>
      </c>
      <c r="C22" s="69">
        <f t="shared" si="0"/>
        <v>0</v>
      </c>
      <c r="D22" s="62">
        <f t="shared" si="1"/>
        <v>0.1</v>
      </c>
      <c r="E22">
        <f>COUNTIF(gacha_settle_tables_2!B:B,input_settle_2!A22)-COUNTIF(Q:Q,A22)</f>
        <v>26</v>
      </c>
      <c r="F22" s="64">
        <f t="shared" si="2"/>
        <v>3.8461538461538464E-3</v>
      </c>
      <c r="G22">
        <f t="shared" si="3"/>
        <v>26</v>
      </c>
      <c r="H22">
        <f t="shared" si="4"/>
        <v>1</v>
      </c>
      <c r="I22">
        <f t="shared" si="5"/>
        <v>0</v>
      </c>
      <c r="J22">
        <f t="shared" si="6"/>
        <v>1</v>
      </c>
      <c r="L22" s="46"/>
      <c r="M22" s="54"/>
      <c r="N22" s="46"/>
      <c r="O22" s="54"/>
      <c r="P22" s="54"/>
      <c r="Q22" s="54"/>
    </row>
    <row r="23" spans="1:17">
      <c r="A23" s="46" t="s">
        <v>87</v>
      </c>
      <c r="B23" s="51">
        <f>B12*B7/(B7+B6)</f>
        <v>0</v>
      </c>
      <c r="C23" s="69">
        <f t="shared" si="0"/>
        <v>0</v>
      </c>
      <c r="D23" s="62">
        <f t="shared" si="1"/>
        <v>0</v>
      </c>
      <c r="E23">
        <f>COUNTIF(gacha_settle_tables_2!B:B,input_settle_2!A23)-COUNTIF(Q:Q,A23)</f>
        <v>0</v>
      </c>
      <c r="F23" s="64">
        <f t="shared" si="2"/>
        <v>0</v>
      </c>
      <c r="G23">
        <f t="shared" si="3"/>
        <v>0</v>
      </c>
      <c r="H23">
        <f t="shared" si="4"/>
        <v>0</v>
      </c>
      <c r="I23">
        <f t="shared" si="5"/>
        <v>0</v>
      </c>
      <c r="J23">
        <f t="shared" si="6"/>
        <v>1</v>
      </c>
      <c r="L23" s="46"/>
      <c r="M23" s="54"/>
      <c r="N23" s="46"/>
      <c r="O23" s="54"/>
      <c r="P23" s="54"/>
      <c r="Q23" s="54"/>
    </row>
    <row r="24" spans="1:17">
      <c r="A24" s="59" t="s">
        <v>74</v>
      </c>
      <c r="B24" s="60">
        <f>SUM(B17:B23)</f>
        <v>1</v>
      </c>
      <c r="C24" s="61">
        <f>SUM(C17:C23)</f>
        <v>0</v>
      </c>
      <c r="D24" s="63">
        <f t="shared" si="1"/>
        <v>1</v>
      </c>
      <c r="L24" s="46"/>
      <c r="M24" s="54"/>
      <c r="N24" s="46"/>
      <c r="O24" s="54"/>
      <c r="P24" s="54"/>
      <c r="Q24" s="54"/>
    </row>
    <row r="31" spans="1:17">
      <c r="A31" t="s">
        <v>93</v>
      </c>
    </row>
    <row r="32" spans="1:17">
      <c r="A32" s="34">
        <v>260</v>
      </c>
    </row>
    <row r="34" spans="1:6">
      <c r="A34" s="68" t="s">
        <v>97</v>
      </c>
    </row>
    <row r="35" spans="1:6">
      <c r="A35" s="46" t="s">
        <v>75</v>
      </c>
      <c r="B35" t="s">
        <v>94</v>
      </c>
      <c r="C35" t="s">
        <v>123</v>
      </c>
      <c r="E35" t="s">
        <v>124</v>
      </c>
    </row>
    <row r="36" spans="1:6">
      <c r="A36" s="46" t="s">
        <v>119</v>
      </c>
      <c r="B36">
        <f>SUMIF(gacha_settle_tables_2!B:B,input_settle_2!A36,gacha_settle_tables_2!L:L)</f>
        <v>0</v>
      </c>
      <c r="C36" s="77">
        <f>B36/B$43</f>
        <v>0</v>
      </c>
      <c r="E36">
        <v>3</v>
      </c>
      <c r="F36" s="78">
        <f>C36</f>
        <v>0</v>
      </c>
    </row>
    <row r="37" spans="1:6">
      <c r="A37" s="46" t="s">
        <v>120</v>
      </c>
      <c r="B37">
        <f>SUMIF(gacha_settle_tables_2!B:B,input_settle_2!A37,gacha_settle_tables_2!L:L)</f>
        <v>0</v>
      </c>
      <c r="C37" s="77">
        <f t="shared" ref="C37:C42" si="7">B37/B$43</f>
        <v>0</v>
      </c>
      <c r="E37">
        <v>4</v>
      </c>
      <c r="F37" s="78">
        <f>SUM(C37:C39)</f>
        <v>0.9</v>
      </c>
    </row>
    <row r="38" spans="1:6">
      <c r="A38" s="46" t="s">
        <v>84</v>
      </c>
      <c r="B38">
        <f>SUMIF(gacha_settle_tables_2!B:B,input_settle_2!A38,gacha_settle_tables_2!L:L)</f>
        <v>234</v>
      </c>
      <c r="C38" s="77">
        <f t="shared" si="7"/>
        <v>0.9</v>
      </c>
      <c r="E38">
        <v>5</v>
      </c>
      <c r="F38" s="78">
        <f>SUM(C40:C42)</f>
        <v>0.1</v>
      </c>
    </row>
    <row r="39" spans="1:6">
      <c r="A39" s="46" t="s">
        <v>85</v>
      </c>
      <c r="B39">
        <f>SUMIF(gacha_settle_tables_2!B:B,input_settle_2!A39,gacha_settle_tables_2!L:L)</f>
        <v>0</v>
      </c>
      <c r="C39" s="77">
        <f t="shared" si="7"/>
        <v>0</v>
      </c>
    </row>
    <row r="40" spans="1:6">
      <c r="A40" s="46" t="s">
        <v>121</v>
      </c>
      <c r="B40">
        <f>SUMIF(gacha_settle_tables_2!B:B,input_settle_2!A40,gacha_settle_tables_2!L:L)</f>
        <v>0</v>
      </c>
      <c r="C40" s="77">
        <f t="shared" si="7"/>
        <v>0</v>
      </c>
      <c r="E40" t="s">
        <v>69</v>
      </c>
    </row>
    <row r="41" spans="1:6">
      <c r="A41" s="46" t="s">
        <v>86</v>
      </c>
      <c r="B41">
        <f>SUMIF(gacha_settle_tables_2!B:B,input_settle_2!A41,gacha_settle_tables_2!L:L)</f>
        <v>26</v>
      </c>
      <c r="C41" s="77">
        <f t="shared" si="7"/>
        <v>0.1</v>
      </c>
      <c r="E41" t="s">
        <v>126</v>
      </c>
      <c r="F41" s="78">
        <f>C36+C37+C40</f>
        <v>0</v>
      </c>
    </row>
    <row r="42" spans="1:6">
      <c r="A42" s="46" t="s">
        <v>87</v>
      </c>
      <c r="B42">
        <f>SUMIF(gacha_settle_tables_2!B:B,input_settle_2!A42,gacha_settle_tables_2!L:L)</f>
        <v>0</v>
      </c>
      <c r="C42" s="77">
        <f t="shared" si="7"/>
        <v>0</v>
      </c>
      <c r="E42" t="s">
        <v>71</v>
      </c>
      <c r="F42" s="78">
        <f>C38+C41</f>
        <v>1</v>
      </c>
    </row>
    <row r="43" spans="1:6">
      <c r="A43" s="59" t="s">
        <v>74</v>
      </c>
      <c r="B43">
        <f>SUM(B36:B42)</f>
        <v>260</v>
      </c>
      <c r="E43" t="s">
        <v>70</v>
      </c>
      <c r="F43" s="78">
        <f>C39+C42</f>
        <v>0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S53"/>
  <sheetViews>
    <sheetView showGridLines="0" zoomScale="75" zoomScaleNormal="75" zoomScalePageLayoutView="75" workbookViewId="0">
      <pane ySplit="1" topLeftCell="A18" activePane="bottomLeft" state="frozen"/>
      <selection activeCell="A32" sqref="A32"/>
      <selection pane="bottomLeft" activeCell="B2" sqref="B2:B53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105</v>
      </c>
      <c r="B1" s="3" t="s">
        <v>31</v>
      </c>
      <c r="C1" s="3" t="s">
        <v>117</v>
      </c>
      <c r="D1" s="16" t="s">
        <v>32</v>
      </c>
      <c r="E1" s="3" t="s">
        <v>33</v>
      </c>
      <c r="F1" s="3" t="s">
        <v>34</v>
      </c>
      <c r="G1" s="3" t="s">
        <v>35</v>
      </c>
      <c r="H1" s="3" t="s">
        <v>55</v>
      </c>
      <c r="I1" s="3" t="s">
        <v>36</v>
      </c>
      <c r="J1" s="3" t="s">
        <v>37</v>
      </c>
      <c r="K1" s="3" t="s">
        <v>73</v>
      </c>
      <c r="L1" s="16" t="s">
        <v>39</v>
      </c>
      <c r="M1" s="3" t="s">
        <v>79</v>
      </c>
      <c r="N1" s="16" t="s">
        <v>38</v>
      </c>
      <c r="O1" s="30" t="s">
        <v>5</v>
      </c>
      <c r="P1" s="30" t="s">
        <v>6</v>
      </c>
      <c r="Q1" s="30" t="s">
        <v>7</v>
      </c>
      <c r="R1" s="30" t="s">
        <v>8</v>
      </c>
      <c r="S1" s="30" t="s">
        <v>9</v>
      </c>
    </row>
    <row r="2" spans="1:19" ht="21" customHeight="1">
      <c r="A2" s="2">
        <v>3128</v>
      </c>
      <c r="B2" s="7" t="str">
        <f>C2&amp;G2</f>
        <v>PremiumSS4</v>
      </c>
      <c r="C2" s="7" t="s">
        <v>134</v>
      </c>
      <c r="D2" s="6">
        <v>320</v>
      </c>
      <c r="E2" s="7" t="str">
        <f>VLOOKUP(D2,[1]characters!$A:$C,3,FALSE)</f>
        <v>烈志士 近藤勇</v>
      </c>
      <c r="F2" s="7" t="str">
        <f>VLOOKUP(D2,[1]characters!$A:$J,10,FALSE)</f>
        <v>PremiumSS</v>
      </c>
      <c r="G2" s="7">
        <f>VLOOKUP(D2,[1]characters!$A:$I,9,FALSE)</f>
        <v>4</v>
      </c>
      <c r="H2" s="7" t="str">
        <f>VLOOKUP(D2,[1]characters!$A:$H,8,FALSE)</f>
        <v>red</v>
      </c>
      <c r="I2" s="7" t="str">
        <f>VLOOKUP(D2,[1]characters!$A:$K,11,FALSE)</f>
        <v>hp</v>
      </c>
      <c r="J2" s="7" t="str">
        <f>VLOOKUP(D2,[1]characters!$A:$M,13,FALSE)</f>
        <v>human</v>
      </c>
      <c r="K2" s="7" t="str">
        <f>VLOOKUP(D2,[1]characters!$A:$G,7,FALSE)</f>
        <v>男性</v>
      </c>
      <c r="L2" s="66">
        <f>IFERROR(VLOOKUP(D2,input_settle_2!L:R,7,FALSE),VLOOKUP(gacha_settle_tables_2!B2,input_settle_2!A:H,8,FALSE))</f>
        <v>9</v>
      </c>
      <c r="M2" s="67">
        <f t="shared" ref="M2:M33" si="0">L2/SUM(L:L)</f>
        <v>3.4615384615384617E-2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customHeight="1">
      <c r="A3" s="2">
        <v>3128</v>
      </c>
      <c r="B3" s="7" t="str">
        <f t="shared" ref="B3:B53" si="1">C3&amp;G3</f>
        <v>PremiumSS5</v>
      </c>
      <c r="C3" s="7" t="s">
        <v>134</v>
      </c>
      <c r="D3" s="6">
        <v>321</v>
      </c>
      <c r="E3" s="7" t="str">
        <f>VLOOKUP(D3,[1]characters!$A:$C,3,FALSE)</f>
        <v>巌鉄の烈志士 近藤勇</v>
      </c>
      <c r="F3" s="7" t="str">
        <f>VLOOKUP(D3,[1]characters!$A:$J,10,FALSE)</f>
        <v>PremiumSS</v>
      </c>
      <c r="G3" s="7">
        <f>VLOOKUP(D3,[1]characters!$A:$I,9,FALSE)</f>
        <v>5</v>
      </c>
      <c r="H3" s="7" t="str">
        <f>VLOOKUP(D3,[1]characters!$A:$H,8,FALSE)</f>
        <v>red</v>
      </c>
      <c r="I3" s="7" t="str">
        <f>VLOOKUP(D3,[1]characters!$A:$K,11,FALSE)</f>
        <v>hp</v>
      </c>
      <c r="J3" s="7" t="str">
        <f>VLOOKUP(D3,[1]characters!$A:$M,13,FALSE)</f>
        <v>human</v>
      </c>
      <c r="K3" s="7" t="str">
        <f>VLOOKUP(D3,[1]characters!$A:$G,7,FALSE)</f>
        <v>男性</v>
      </c>
      <c r="L3" s="66">
        <f>IFERROR(VLOOKUP(D3,input_settle_2!L:R,7,FALSE),VLOOKUP(gacha_settle_tables_2!B3,input_settle_2!A:H,8,FALSE))</f>
        <v>1</v>
      </c>
      <c r="M3" s="67">
        <f t="shared" si="0"/>
        <v>3.8461538461538464E-3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customHeight="1">
      <c r="A4" s="2">
        <v>3128</v>
      </c>
      <c r="B4" s="7" t="str">
        <f t="shared" si="1"/>
        <v>PremiumSS4</v>
      </c>
      <c r="C4" s="7" t="s">
        <v>134</v>
      </c>
      <c r="D4" s="6">
        <v>322</v>
      </c>
      <c r="E4" s="7" t="str">
        <f>VLOOKUP(D4,[1]characters!$A:$C,3,FALSE)</f>
        <v>愛志士 土方歳三</v>
      </c>
      <c r="F4" s="7" t="str">
        <f>VLOOKUP(D4,[1]characters!$A:$J,10,FALSE)</f>
        <v>PremiumSS</v>
      </c>
      <c r="G4" s="7">
        <f>VLOOKUP(D4,[1]characters!$A:$I,9,FALSE)</f>
        <v>4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66">
        <f>IFERROR(VLOOKUP(D4,input_settle_2!L:R,7,FALSE),VLOOKUP(gacha_settle_tables_2!B4,input_settle_2!A:H,8,FALSE))</f>
        <v>9</v>
      </c>
      <c r="M4" s="67">
        <f t="shared" si="0"/>
        <v>3.4615384615384617E-2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customHeight="1">
      <c r="A5" s="2">
        <v>3128</v>
      </c>
      <c r="B5" s="7" t="str">
        <f t="shared" si="1"/>
        <v>PremiumSS5</v>
      </c>
      <c r="C5" s="7" t="s">
        <v>134</v>
      </c>
      <c r="D5" s="6">
        <v>323</v>
      </c>
      <c r="E5" s="7" t="str">
        <f>VLOOKUP(D5,[1]characters!$A:$C,3,FALSE)</f>
        <v>流麗の愛志士 土方歳三</v>
      </c>
      <c r="F5" s="7" t="str">
        <f>VLOOKUP(D5,[1]characters!$A:$J,10,FALSE)</f>
        <v>PremiumSS</v>
      </c>
      <c r="G5" s="7">
        <f>VLOOKUP(D5,[1]characters!$A:$I,9,FALSE)</f>
        <v>5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66">
        <f>IFERROR(VLOOKUP(D5,input_settle_2!L:R,7,FALSE),VLOOKUP(gacha_settle_tables_2!B5,input_settle_2!A:H,8,FALSE))</f>
        <v>1</v>
      </c>
      <c r="M5" s="67">
        <f t="shared" si="0"/>
        <v>3.8461538461538464E-3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customHeight="1">
      <c r="A6" s="2">
        <v>3128</v>
      </c>
      <c r="B6" s="7" t="str">
        <f t="shared" si="1"/>
        <v>PremiumSS4</v>
      </c>
      <c r="C6" s="7" t="s">
        <v>134</v>
      </c>
      <c r="D6" s="6">
        <v>324</v>
      </c>
      <c r="E6" s="7" t="str">
        <f>VLOOKUP(D6,[1]characters!$A:$C,3,FALSE)</f>
        <v>凛志士 沖田総司</v>
      </c>
      <c r="F6" s="7" t="str">
        <f>VLOOKUP(D6,[1]characters!$A:$J,10,FALSE)</f>
        <v>PremiumSS</v>
      </c>
      <c r="G6" s="7">
        <f>VLOOKUP(D6,[1]characters!$A:$I,9,FALSE)</f>
        <v>4</v>
      </c>
      <c r="H6" s="7" t="str">
        <f>VLOOKUP(D6,[1]characters!$A:$H,8,FALSE)</f>
        <v>blue</v>
      </c>
      <c r="I6" s="7" t="str">
        <f>VLOOKUP(D6,[1]characters!$A:$K,11,FALSE)</f>
        <v>balance</v>
      </c>
      <c r="J6" s="7" t="str">
        <f>VLOOKUP(D6,[1]characters!$A:$M,13,FALSE)</f>
        <v>human</v>
      </c>
      <c r="K6" s="7" t="str">
        <f>VLOOKUP(D6,[1]characters!$A:$G,7,FALSE)</f>
        <v>女性</v>
      </c>
      <c r="L6" s="66">
        <f>IFERROR(VLOOKUP(D6,input_settle_2!L:R,7,FALSE),VLOOKUP(gacha_settle_tables_2!B6,input_settle_2!A:H,8,FALSE))</f>
        <v>9</v>
      </c>
      <c r="M6" s="67">
        <f t="shared" si="0"/>
        <v>3.4615384615384617E-2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s="12" customFormat="1" ht="21" customHeight="1" thickBot="1">
      <c r="A7" s="2">
        <v>3128</v>
      </c>
      <c r="B7" s="7" t="str">
        <f t="shared" si="1"/>
        <v>PremiumSS5</v>
      </c>
      <c r="C7" s="7" t="s">
        <v>134</v>
      </c>
      <c r="D7" s="6">
        <v>325</v>
      </c>
      <c r="E7" s="7" t="str">
        <f>VLOOKUP(D7,[1]characters!$A:$C,3,FALSE)</f>
        <v>天賦の凛志士 沖田総司</v>
      </c>
      <c r="F7" s="7" t="str">
        <f>VLOOKUP(D7,[1]characters!$A:$J,10,FALSE)</f>
        <v>PremiumSS</v>
      </c>
      <c r="G7" s="7">
        <f>VLOOKUP(D7,[1]characters!$A:$I,9,FALSE)</f>
        <v>5</v>
      </c>
      <c r="H7" s="7" t="str">
        <f>VLOOKUP(D7,[1]characters!$A:$H,8,FALSE)</f>
        <v>blue</v>
      </c>
      <c r="I7" s="7" t="str">
        <f>VLOOKUP(D7,[1]characters!$A:$K,11,FALSE)</f>
        <v>balance</v>
      </c>
      <c r="J7" s="7" t="str">
        <f>VLOOKUP(D7,[1]characters!$A:$M,13,FALSE)</f>
        <v>human</v>
      </c>
      <c r="K7" s="7" t="str">
        <f>VLOOKUP(D7,[1]characters!$A:$G,7,FALSE)</f>
        <v>女性</v>
      </c>
      <c r="L7" s="66">
        <f>IFERROR(VLOOKUP(D7,input_settle_2!L:R,7,FALSE),VLOOKUP(gacha_settle_tables_2!B7,input_settle_2!A:H,8,FALSE))</f>
        <v>1</v>
      </c>
      <c r="M7" s="67">
        <f t="shared" si="0"/>
        <v>3.8461538461538464E-3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customHeight="1">
      <c r="A8" s="2">
        <v>3128</v>
      </c>
      <c r="B8" s="7" t="str">
        <f t="shared" si="1"/>
        <v>PremiumSS4</v>
      </c>
      <c r="C8" s="7" t="s">
        <v>134</v>
      </c>
      <c r="D8" s="6">
        <v>326</v>
      </c>
      <c r="E8" s="7" t="str">
        <f>VLOOKUP(D8,[1]characters!$A:$C,3,FALSE)</f>
        <v>妖志士 斎藤一</v>
      </c>
      <c r="F8" s="7" t="str">
        <f>VLOOKUP(D8,[1]characters!$A:$J,10,FALSE)</f>
        <v>PremiumSS</v>
      </c>
      <c r="G8" s="7">
        <f>VLOOKUP(D8,[1]characters!$A:$I,9,FALSE)</f>
        <v>4</v>
      </c>
      <c r="H8" s="7" t="str">
        <f>VLOOKUP(D8,[1]characters!$A:$H,8,FALSE)</f>
        <v>yellow</v>
      </c>
      <c r="I8" s="7" t="str">
        <f>VLOOKUP(D8,[1]characters!$A:$K,11,FALSE)</f>
        <v>technical</v>
      </c>
      <c r="J8" s="7" t="str">
        <f>VLOOKUP(D8,[1]characters!$A:$M,13,FALSE)</f>
        <v>human</v>
      </c>
      <c r="K8" s="7" t="str">
        <f>VLOOKUP(D8,[1]characters!$A:$G,7,FALSE)</f>
        <v>女性</v>
      </c>
      <c r="L8" s="66">
        <f>IFERROR(VLOOKUP(D8,input_settle_2!L:R,7,FALSE),VLOOKUP(gacha_settle_tables_2!B8,input_settle_2!A:H,8,FALSE))</f>
        <v>9</v>
      </c>
      <c r="M8" s="67">
        <f t="shared" si="0"/>
        <v>3.4615384615384617E-2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customHeight="1">
      <c r="A9" s="2">
        <v>3128</v>
      </c>
      <c r="B9" s="7" t="str">
        <f t="shared" si="1"/>
        <v>PremiumSS5</v>
      </c>
      <c r="C9" s="7" t="s">
        <v>134</v>
      </c>
      <c r="D9" s="6">
        <v>327</v>
      </c>
      <c r="E9" s="7" t="str">
        <f>VLOOKUP(D9,[1]characters!$A:$C,3,FALSE)</f>
        <v>千殺の妖志士 斎藤一</v>
      </c>
      <c r="F9" s="7" t="str">
        <f>VLOOKUP(D9,[1]characters!$A:$J,10,FALSE)</f>
        <v>PremiumSS</v>
      </c>
      <c r="G9" s="7">
        <f>VLOOKUP(D9,[1]characters!$A:$I,9,FALSE)</f>
        <v>5</v>
      </c>
      <c r="H9" s="7" t="str">
        <f>VLOOKUP(D9,[1]characters!$A:$H,8,FALSE)</f>
        <v>yellow</v>
      </c>
      <c r="I9" s="7" t="str">
        <f>VLOOKUP(D9,[1]characters!$A:$K,11,FALSE)</f>
        <v>technical</v>
      </c>
      <c r="J9" s="7" t="str">
        <f>VLOOKUP(D9,[1]characters!$A:$M,13,FALSE)</f>
        <v>human</v>
      </c>
      <c r="K9" s="7" t="str">
        <f>VLOOKUP(D9,[1]characters!$A:$G,7,FALSE)</f>
        <v>女性</v>
      </c>
      <c r="L9" s="66">
        <f>IFERROR(VLOOKUP(D9,input_settle_2!L:R,7,FALSE),VLOOKUP(gacha_settle_tables_2!B9,input_settle_2!A:H,8,FALSE))</f>
        <v>1</v>
      </c>
      <c r="M9" s="67">
        <f t="shared" si="0"/>
        <v>3.8461538461538464E-3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customHeight="1">
      <c r="A10" s="2">
        <v>3128</v>
      </c>
      <c r="B10" s="7" t="str">
        <f t="shared" si="1"/>
        <v>PremiumSS4</v>
      </c>
      <c r="C10" s="7" t="s">
        <v>134</v>
      </c>
      <c r="D10" s="6">
        <v>383</v>
      </c>
      <c r="E10" s="7" t="str">
        <f>VLOOKUP(D10,[1]characters!$A:$C,3,FALSE)</f>
        <v>酒宴の蟒蛇 ヤマタノオロチ</v>
      </c>
      <c r="F10" s="7" t="str">
        <f>VLOOKUP(D10,[1]characters!$A:$J,10,FALSE)</f>
        <v>PremiumSS</v>
      </c>
      <c r="G10" s="7">
        <f>VLOOKUP(D10,[1]characters!$A:$I,9,FALSE)</f>
        <v>4</v>
      </c>
      <c r="H10" s="7" t="str">
        <f>VLOOKUP(D10,[1]characters!$A:$H,8,FALSE)</f>
        <v>green</v>
      </c>
      <c r="I10" s="7" t="str">
        <f>VLOOKUP(D10,[1]characters!$A:$K,11,FALSE)</f>
        <v>hp</v>
      </c>
      <c r="J10" s="7" t="str">
        <f>VLOOKUP(D10,[1]characters!$A:$M,13,FALSE)</f>
        <v>dragon</v>
      </c>
      <c r="K10" s="7" t="str">
        <f>VLOOKUP(D10,[1]characters!$A:$G,7,FALSE)</f>
        <v>女性</v>
      </c>
      <c r="L10" s="66">
        <f>IFERROR(VLOOKUP(D10,input_settle_2!L:R,7,FALSE),VLOOKUP(gacha_settle_tables_2!B10,input_settle_2!A:H,8,FALSE))</f>
        <v>9</v>
      </c>
      <c r="M10" s="67">
        <f t="shared" si="0"/>
        <v>3.4615384615384617E-2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customHeight="1">
      <c r="A11" s="2">
        <v>3128</v>
      </c>
      <c r="B11" s="7" t="str">
        <f t="shared" si="1"/>
        <v>PremiumSS5</v>
      </c>
      <c r="C11" s="7" t="s">
        <v>134</v>
      </c>
      <c r="D11" s="6">
        <v>384</v>
      </c>
      <c r="E11" s="7" t="str">
        <f>VLOOKUP(D11,[1]characters!$A:$C,3,FALSE)</f>
        <v>破国の呑龍 ヤマタノオロチ</v>
      </c>
      <c r="F11" s="7" t="str">
        <f>VLOOKUP(D11,[1]characters!$A:$J,10,FALSE)</f>
        <v>PremiumSS</v>
      </c>
      <c r="G11" s="7">
        <f>VLOOKUP(D11,[1]characters!$A:$I,9,FALSE)</f>
        <v>5</v>
      </c>
      <c r="H11" s="7" t="str">
        <f>VLOOKUP(D11,[1]characters!$A:$H,8,FALSE)</f>
        <v>green</v>
      </c>
      <c r="I11" s="7" t="str">
        <f>VLOOKUP(D11,[1]characters!$A:$K,11,FALSE)</f>
        <v>hp</v>
      </c>
      <c r="J11" s="7" t="str">
        <f>VLOOKUP(D11,[1]characters!$A:$M,13,FALSE)</f>
        <v>dragon</v>
      </c>
      <c r="K11" s="7" t="str">
        <f>VLOOKUP(D11,[1]characters!$A:$G,7,FALSE)</f>
        <v>女性</v>
      </c>
      <c r="L11" s="66">
        <f>IFERROR(VLOOKUP(D11,input_settle_2!L:R,7,FALSE),VLOOKUP(gacha_settle_tables_2!B11,input_settle_2!A:H,8,FALSE))</f>
        <v>1</v>
      </c>
      <c r="M11" s="67">
        <f t="shared" si="0"/>
        <v>3.8461538461538464E-3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customHeight="1">
      <c r="A12" s="2">
        <v>3128</v>
      </c>
      <c r="B12" s="7" t="str">
        <f t="shared" si="1"/>
        <v>PremiumSS4</v>
      </c>
      <c r="C12" s="7" t="s">
        <v>134</v>
      </c>
      <c r="D12" s="6">
        <v>385</v>
      </c>
      <c r="E12" s="7" t="str">
        <f>VLOOKUP(D12,[1]characters!$A:$C,3,FALSE)</f>
        <v>波烈の出奔 リヴァイアサン</v>
      </c>
      <c r="F12" s="7" t="str">
        <f>VLOOKUP(D12,[1]characters!$A:$J,10,FALSE)</f>
        <v>PremiumSS</v>
      </c>
      <c r="G12" s="7">
        <f>VLOOKUP(D12,[1]characters!$A:$I,9,FALSE)</f>
        <v>4</v>
      </c>
      <c r="H12" s="7" t="str">
        <f>VLOOKUP(D12,[1]characters!$A:$H,8,FALSE)</f>
        <v>blue</v>
      </c>
      <c r="I12" s="7" t="str">
        <f>VLOOKUP(D12,[1]characters!$A:$K,11,FALSE)</f>
        <v>balance</v>
      </c>
      <c r="J12" s="7" t="str">
        <f>VLOOKUP(D12,[1]characters!$A:$M,13,FALSE)</f>
        <v>dragon</v>
      </c>
      <c r="K12" s="7" t="str">
        <f>VLOOKUP(D12,[1]characters!$A:$G,7,FALSE)</f>
        <v>女性</v>
      </c>
      <c r="L12" s="66">
        <f>IFERROR(VLOOKUP(D12,input_settle_2!L:R,7,FALSE),VLOOKUP(gacha_settle_tables_2!B12,input_settle_2!A:H,8,FALSE))</f>
        <v>9</v>
      </c>
      <c r="M12" s="67">
        <f t="shared" si="0"/>
        <v>3.4615384615384617E-2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customHeight="1">
      <c r="A13" s="2">
        <v>3128</v>
      </c>
      <c r="B13" s="7" t="str">
        <f t="shared" si="1"/>
        <v>PremiumSS5</v>
      </c>
      <c r="C13" s="7" t="s">
        <v>134</v>
      </c>
      <c r="D13" s="6">
        <v>386</v>
      </c>
      <c r="E13" s="7" t="str">
        <f>VLOOKUP(D13,[1]characters!$A:$C,3,FALSE)</f>
        <v>氾乱の海龍 リヴァイアサン</v>
      </c>
      <c r="F13" s="7" t="str">
        <f>VLOOKUP(D13,[1]characters!$A:$J,10,FALSE)</f>
        <v>PremiumSS</v>
      </c>
      <c r="G13" s="7">
        <f>VLOOKUP(D13,[1]characters!$A:$I,9,FALSE)</f>
        <v>5</v>
      </c>
      <c r="H13" s="7" t="str">
        <f>VLOOKUP(D13,[1]characters!$A:$H,8,FALSE)</f>
        <v>blue</v>
      </c>
      <c r="I13" s="7" t="str">
        <f>VLOOKUP(D13,[1]characters!$A:$K,11,FALSE)</f>
        <v>balance</v>
      </c>
      <c r="J13" s="7" t="str">
        <f>VLOOKUP(D13,[1]characters!$A:$M,13,FALSE)</f>
        <v>dragon</v>
      </c>
      <c r="K13" s="7" t="str">
        <f>VLOOKUP(D13,[1]characters!$A:$G,7,FALSE)</f>
        <v>女性</v>
      </c>
      <c r="L13" s="66">
        <f>IFERROR(VLOOKUP(D13,input_settle_2!L:R,7,FALSE),VLOOKUP(gacha_settle_tables_2!B13,input_settle_2!A:H,8,FALSE))</f>
        <v>1</v>
      </c>
      <c r="M13" s="67">
        <f t="shared" si="0"/>
        <v>3.8461538461538464E-3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customHeight="1">
      <c r="A14" s="2">
        <v>3128</v>
      </c>
      <c r="B14" s="7" t="str">
        <f t="shared" si="1"/>
        <v>PremiumSS4</v>
      </c>
      <c r="C14" s="7" t="s">
        <v>134</v>
      </c>
      <c r="D14" s="6">
        <v>390</v>
      </c>
      <c r="E14" s="7" t="str">
        <f>VLOOKUP(D14,[1]characters!$A:$C,3,FALSE)</f>
        <v>華環の旅客 親指姫</v>
      </c>
      <c r="F14" s="7" t="str">
        <f>VLOOKUP(D14,[1]characters!$A:$J,10,FALSE)</f>
        <v>PremiumSS</v>
      </c>
      <c r="G14" s="7">
        <f>VLOOKUP(D14,[1]characters!$A:$I,9,FALSE)</f>
        <v>4</v>
      </c>
      <c r="H14" s="7" t="str">
        <f>VLOOKUP(D14,[1]characters!$A:$H,8,FALSE)</f>
        <v>red</v>
      </c>
      <c r="I14" s="7" t="str">
        <f>VLOOKUP(D14,[1]characters!$A:$K,11,FALSE)</f>
        <v>heal</v>
      </c>
      <c r="J14" s="7" t="str">
        <f>VLOOKUP(D14,[1]characters!$A:$M,13,FALSE)</f>
        <v>human</v>
      </c>
      <c r="K14" s="7" t="str">
        <f>VLOOKUP(D14,[1]characters!$A:$G,7,FALSE)</f>
        <v>女性</v>
      </c>
      <c r="L14" s="66">
        <f>IFERROR(VLOOKUP(D14,input_settle_2!L:R,7,FALSE),VLOOKUP(gacha_settle_tables_2!B14,input_settle_2!A:H,8,FALSE))</f>
        <v>9</v>
      </c>
      <c r="M14" s="67">
        <f t="shared" si="0"/>
        <v>3.4615384615384617E-2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customHeight="1">
      <c r="A15" s="2">
        <v>3128</v>
      </c>
      <c r="B15" s="7" t="str">
        <f t="shared" si="1"/>
        <v>PremiumSS5</v>
      </c>
      <c r="C15" s="7" t="s">
        <v>134</v>
      </c>
      <c r="D15" s="6">
        <v>391</v>
      </c>
      <c r="E15" s="7" t="str">
        <f>VLOOKUP(D15,[1]characters!$A:$C,3,FALSE)</f>
        <v>燕翼の旅人 親指姫</v>
      </c>
      <c r="F15" s="7" t="str">
        <f>VLOOKUP(D15,[1]characters!$A:$J,10,FALSE)</f>
        <v>PremiumSS</v>
      </c>
      <c r="G15" s="7">
        <f>VLOOKUP(D15,[1]characters!$A:$I,9,FALSE)</f>
        <v>5</v>
      </c>
      <c r="H15" s="7" t="str">
        <f>VLOOKUP(D15,[1]characters!$A:$H,8,FALSE)</f>
        <v>red</v>
      </c>
      <c r="I15" s="7" t="str">
        <f>VLOOKUP(D15,[1]characters!$A:$K,11,FALSE)</f>
        <v>heal</v>
      </c>
      <c r="J15" s="7" t="str">
        <f>VLOOKUP(D15,[1]characters!$A:$M,13,FALSE)</f>
        <v>human</v>
      </c>
      <c r="K15" s="7" t="str">
        <f>VLOOKUP(D15,[1]characters!$A:$G,7,FALSE)</f>
        <v>女性</v>
      </c>
      <c r="L15" s="66">
        <f>IFERROR(VLOOKUP(D15,input_settle_2!L:R,7,FALSE),VLOOKUP(gacha_settle_tables_2!B15,input_settle_2!A:H,8,FALSE))</f>
        <v>1</v>
      </c>
      <c r="M15" s="67">
        <f t="shared" si="0"/>
        <v>3.8461538461538464E-3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customHeight="1">
      <c r="A16" s="2">
        <v>3128</v>
      </c>
      <c r="B16" s="7" t="str">
        <f t="shared" si="1"/>
        <v>PremiumSS4</v>
      </c>
      <c r="C16" s="7" t="s">
        <v>134</v>
      </c>
      <c r="D16" s="6">
        <v>398</v>
      </c>
      <c r="E16" s="7" t="str">
        <f>VLOOKUP(D16,[1]characters!$A:$C,3,FALSE)</f>
        <v>ヘンゼル＆グレーテル</v>
      </c>
      <c r="F16" s="7" t="str">
        <f>VLOOKUP(D16,[1]characters!$A:$J,10,FALSE)</f>
        <v>PremiumSS</v>
      </c>
      <c r="G16" s="7">
        <f>VLOOKUP(D16,[1]characters!$A:$I,9,FALSE)</f>
        <v>4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human</v>
      </c>
      <c r="K16" s="7" t="str">
        <f>VLOOKUP(D16,[1]characters!$A:$G,7,FALSE)</f>
        <v>女性</v>
      </c>
      <c r="L16" s="66">
        <f>IFERROR(VLOOKUP(D16,input_settle_2!L:R,7,FALSE),VLOOKUP(gacha_settle_tables_2!B16,input_settle_2!A:H,8,FALSE))</f>
        <v>9</v>
      </c>
      <c r="M16" s="67">
        <f t="shared" si="0"/>
        <v>3.4615384615384617E-2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customHeight="1">
      <c r="A17" s="2">
        <v>3128</v>
      </c>
      <c r="B17" s="7" t="str">
        <f t="shared" si="1"/>
        <v>PremiumSS5</v>
      </c>
      <c r="C17" s="7" t="s">
        <v>134</v>
      </c>
      <c r="D17" s="6">
        <v>399</v>
      </c>
      <c r="E17" s="7" t="str">
        <f>VLOOKUP(D17,[1]characters!$A:$C,3,FALSE)</f>
        <v>信愛の兄妹 ヘンゼル＆グレーテル</v>
      </c>
      <c r="F17" s="7" t="str">
        <f>VLOOKUP(D17,[1]characters!$A:$J,10,FALSE)</f>
        <v>PremiumSS</v>
      </c>
      <c r="G17" s="7">
        <f>VLOOKUP(D17,[1]characters!$A:$I,9,FALSE)</f>
        <v>5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human</v>
      </c>
      <c r="K17" s="7" t="str">
        <f>VLOOKUP(D17,[1]characters!$A:$G,7,FALSE)</f>
        <v>女性</v>
      </c>
      <c r="L17" s="66">
        <f>IFERROR(VLOOKUP(D17,input_settle_2!L:R,7,FALSE),VLOOKUP(gacha_settle_tables_2!B17,input_settle_2!A:H,8,FALSE))</f>
        <v>1</v>
      </c>
      <c r="M17" s="67">
        <f t="shared" si="0"/>
        <v>3.8461538461538464E-3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customHeight="1">
      <c r="A18" s="2">
        <v>3128</v>
      </c>
      <c r="B18" s="7" t="str">
        <f t="shared" si="1"/>
        <v>PremiumSS4</v>
      </c>
      <c r="C18" s="7" t="s">
        <v>134</v>
      </c>
      <c r="D18" s="6">
        <v>403</v>
      </c>
      <c r="E18" s="7" t="str">
        <f>VLOOKUP(D18,[1]characters!$A:$C,3,FALSE)</f>
        <v>静撃の翠眼 八咫烏</v>
      </c>
      <c r="F18" s="7" t="str">
        <f>VLOOKUP(D18,[1]characters!$A:$J,10,FALSE)</f>
        <v>PremiumSS</v>
      </c>
      <c r="G18" s="7">
        <f>VLOOKUP(D18,[1]characters!$A:$I,9,FALSE)</f>
        <v>4</v>
      </c>
      <c r="H18" s="7" t="str">
        <f>VLOOKUP(D18,[1]characters!$A:$H,8,FALSE)</f>
        <v>green</v>
      </c>
      <c r="I18" s="7" t="str">
        <f>VLOOKUP(D18,[1]characters!$A:$K,11,FALSE)</f>
        <v>balance</v>
      </c>
      <c r="J18" s="7" t="str">
        <f>VLOOKUP(D18,[1]characters!$A:$M,13,FALSE)</f>
        <v>animal</v>
      </c>
      <c r="K18" s="7" t="str">
        <f>VLOOKUP(D18,[1]characters!$A:$G,7,FALSE)</f>
        <v>女性</v>
      </c>
      <c r="L18" s="66">
        <f>IFERROR(VLOOKUP(D18,input_settle_2!L:R,7,FALSE),VLOOKUP(gacha_settle_tables_2!B18,input_settle_2!A:H,8,FALSE))</f>
        <v>9</v>
      </c>
      <c r="M18" s="67">
        <f t="shared" si="0"/>
        <v>3.4615384615384617E-2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ht="21" customHeight="1">
      <c r="A19" s="2">
        <v>3128</v>
      </c>
      <c r="B19" s="7" t="str">
        <f t="shared" si="1"/>
        <v>PremiumSS5</v>
      </c>
      <c r="C19" s="7" t="s">
        <v>134</v>
      </c>
      <c r="D19" s="6">
        <v>404</v>
      </c>
      <c r="E19" s="7" t="str">
        <f>VLOOKUP(D19,[1]characters!$A:$C,3,FALSE)</f>
        <v>空襲の神眼 八咫烏</v>
      </c>
      <c r="F19" s="7" t="str">
        <f>VLOOKUP(D19,[1]characters!$A:$J,10,FALSE)</f>
        <v>PremiumSS</v>
      </c>
      <c r="G19" s="7">
        <f>VLOOKUP(D19,[1]characters!$A:$I,9,FALSE)</f>
        <v>5</v>
      </c>
      <c r="H19" s="7" t="str">
        <f>VLOOKUP(D19,[1]characters!$A:$H,8,FALSE)</f>
        <v>green</v>
      </c>
      <c r="I19" s="7" t="str">
        <f>VLOOKUP(D19,[1]characters!$A:$K,11,FALSE)</f>
        <v>balance</v>
      </c>
      <c r="J19" s="7" t="str">
        <f>VLOOKUP(D19,[1]characters!$A:$M,13,FALSE)</f>
        <v>animal</v>
      </c>
      <c r="K19" s="7" t="str">
        <f>VLOOKUP(D19,[1]characters!$A:$G,7,FALSE)</f>
        <v>女性</v>
      </c>
      <c r="L19" s="66">
        <f>IFERROR(VLOOKUP(D19,input_settle_2!L:R,7,FALSE),VLOOKUP(gacha_settle_tables_2!B19,input_settle_2!A:H,8,FALSE))</f>
        <v>1</v>
      </c>
      <c r="M19" s="67">
        <f t="shared" si="0"/>
        <v>3.8461538461538464E-3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customHeight="1">
      <c r="A20" s="2">
        <v>3128</v>
      </c>
      <c r="B20" s="7" t="str">
        <f t="shared" si="1"/>
        <v>PremiumSS4</v>
      </c>
      <c r="C20" s="7" t="s">
        <v>134</v>
      </c>
      <c r="D20" s="6">
        <v>408</v>
      </c>
      <c r="E20" s="7" t="str">
        <f>VLOOKUP(D20,[1]characters!$A:$C,3,FALSE)</f>
        <v>皇魔 アスタロト</v>
      </c>
      <c r="F20" s="7" t="str">
        <f>VLOOKUP(D20,[1]characters!$A:$J,10,FALSE)</f>
        <v>PremiumSS</v>
      </c>
      <c r="G20" s="7">
        <f>VLOOKUP(D20,[1]characters!$A:$I,9,FALSE)</f>
        <v>4</v>
      </c>
      <c r="H20" s="7" t="str">
        <f>VLOOKUP(D20,[1]characters!$A:$H,8,FALSE)</f>
        <v>yellow</v>
      </c>
      <c r="I20" s="7" t="str">
        <f>VLOOKUP(D20,[1]characters!$A:$K,11,FALSE)</f>
        <v>attack</v>
      </c>
      <c r="J20" s="7" t="str">
        <f>VLOOKUP(D20,[1]characters!$A:$M,13,FALSE)</f>
        <v>god</v>
      </c>
      <c r="K20" s="7" t="str">
        <f>VLOOKUP(D20,[1]characters!$A:$G,7,FALSE)</f>
        <v>男性</v>
      </c>
      <c r="L20" s="66">
        <f>IFERROR(VLOOKUP(D20,input_settle_2!L:R,7,FALSE),VLOOKUP(gacha_settle_tables_2!B20,input_settle_2!A:H,8,FALSE))</f>
        <v>9</v>
      </c>
      <c r="M20" s="67">
        <f t="shared" si="0"/>
        <v>3.4615384615384617E-2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customHeight="1">
      <c r="A21" s="2">
        <v>3128</v>
      </c>
      <c r="B21" s="7" t="str">
        <f t="shared" si="1"/>
        <v>PremiumSS5</v>
      </c>
      <c r="C21" s="7" t="s">
        <v>134</v>
      </c>
      <c r="D21" s="6">
        <v>409</v>
      </c>
      <c r="E21" s="7" t="str">
        <f>VLOOKUP(D21,[1]characters!$A:$C,3,FALSE)</f>
        <v>天眼の皇貴魔 アスタロト</v>
      </c>
      <c r="F21" s="7" t="str">
        <f>VLOOKUP(D21,[1]characters!$A:$J,10,FALSE)</f>
        <v>PremiumSS</v>
      </c>
      <c r="G21" s="7">
        <f>VLOOKUP(D21,[1]characters!$A:$I,9,FALSE)</f>
        <v>5</v>
      </c>
      <c r="H21" s="7" t="str">
        <f>VLOOKUP(D21,[1]characters!$A:$H,8,FALSE)</f>
        <v>yellow</v>
      </c>
      <c r="I21" s="7" t="str">
        <f>VLOOKUP(D21,[1]characters!$A:$K,11,FALSE)</f>
        <v>attack</v>
      </c>
      <c r="J21" s="7" t="str">
        <f>VLOOKUP(D21,[1]characters!$A:$M,13,FALSE)</f>
        <v>god</v>
      </c>
      <c r="K21" s="7" t="str">
        <f>VLOOKUP(D21,[1]characters!$A:$G,7,FALSE)</f>
        <v>男性</v>
      </c>
      <c r="L21" s="66">
        <f>IFERROR(VLOOKUP(D21,input_settle_2!L:R,7,FALSE),VLOOKUP(gacha_settle_tables_2!B21,input_settle_2!A:H,8,FALSE))</f>
        <v>1</v>
      </c>
      <c r="M21" s="67">
        <f t="shared" si="0"/>
        <v>3.8461538461538464E-3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customHeight="1">
      <c r="A22" s="2">
        <v>3128</v>
      </c>
      <c r="B22" s="7" t="str">
        <f t="shared" si="1"/>
        <v>PremiumSS4</v>
      </c>
      <c r="C22" s="7" t="s">
        <v>134</v>
      </c>
      <c r="D22" s="6">
        <v>434</v>
      </c>
      <c r="E22" s="7" t="str">
        <f>VLOOKUP(D22,[1]characters!$A:$C,3,FALSE)</f>
        <v>D.R.T.H.</v>
      </c>
      <c r="F22" s="7" t="str">
        <f>VLOOKUP(D22,[1]characters!$A:$J,10,FALSE)</f>
        <v>PremiumSS</v>
      </c>
      <c r="G22" s="7">
        <f>VLOOKUP(D22,[1]characters!$A:$I,9,FALSE)</f>
        <v>4</v>
      </c>
      <c r="H22" s="7" t="str">
        <f>VLOOKUP(D22,[1]characters!$A:$H,8,FALSE)</f>
        <v>red</v>
      </c>
      <c r="I22" s="7" t="str">
        <f>VLOOKUP(D22,[1]characters!$A:$K,11,FALSE)</f>
        <v>balance</v>
      </c>
      <c r="J22" s="7" t="str">
        <f>VLOOKUP(D22,[1]characters!$A:$M,13,FALSE)</f>
        <v>human</v>
      </c>
      <c r="K22" s="7" t="str">
        <f>VLOOKUP(D22,[1]characters!$A:$G,7,FALSE)</f>
        <v>女性</v>
      </c>
      <c r="L22" s="66">
        <f>IFERROR(VLOOKUP(D22,input_settle_2!L:R,7,FALSE),VLOOKUP(gacha_settle_tables_2!B22,input_settle_2!A:H,8,FALSE))</f>
        <v>9</v>
      </c>
      <c r="M22" s="67">
        <f t="shared" si="0"/>
        <v>3.4615384615384617E-2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customHeight="1">
      <c r="A23" s="2">
        <v>3128</v>
      </c>
      <c r="B23" s="7" t="str">
        <f t="shared" si="1"/>
        <v>PremiumSS5</v>
      </c>
      <c r="C23" s="7" t="s">
        <v>134</v>
      </c>
      <c r="D23" s="6">
        <v>435</v>
      </c>
      <c r="E23" s="7" t="str">
        <f>VLOOKUP(D23,[1]characters!$A:$C,3,FALSE)</f>
        <v>曝弾の密偵 D.R.T.H.</v>
      </c>
      <c r="F23" s="7" t="str">
        <f>VLOOKUP(D23,[1]characters!$A:$J,10,FALSE)</f>
        <v>PremiumSS</v>
      </c>
      <c r="G23" s="7">
        <f>VLOOKUP(D23,[1]characters!$A:$I,9,FALSE)</f>
        <v>5</v>
      </c>
      <c r="H23" s="7" t="str">
        <f>VLOOKUP(D23,[1]characters!$A:$H,8,FALSE)</f>
        <v>red</v>
      </c>
      <c r="I23" s="7" t="str">
        <f>VLOOKUP(D23,[1]characters!$A:$K,11,FALSE)</f>
        <v>balance</v>
      </c>
      <c r="J23" s="7" t="str">
        <f>VLOOKUP(D23,[1]characters!$A:$M,13,FALSE)</f>
        <v>human</v>
      </c>
      <c r="K23" s="7" t="str">
        <f>VLOOKUP(D23,[1]characters!$A:$G,7,FALSE)</f>
        <v>女性</v>
      </c>
      <c r="L23" s="66">
        <f>IFERROR(VLOOKUP(D23,input_settle_2!L:R,7,FALSE),VLOOKUP(gacha_settle_tables_2!B23,input_settle_2!A:H,8,FALSE))</f>
        <v>1</v>
      </c>
      <c r="M23" s="67">
        <f t="shared" si="0"/>
        <v>3.8461538461538464E-3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customHeight="1">
      <c r="A24" s="2">
        <v>3128</v>
      </c>
      <c r="B24" s="7" t="str">
        <f t="shared" si="1"/>
        <v>PremiumSS4</v>
      </c>
      <c r="C24" s="7" t="s">
        <v>134</v>
      </c>
      <c r="D24" s="6">
        <v>442</v>
      </c>
      <c r="E24" s="7" t="str">
        <f>VLOOKUP(D24,[1]characters!$A:$C,3,FALSE)</f>
        <v>ブレイブリー・ライオン</v>
      </c>
      <c r="F24" s="7" t="str">
        <f>VLOOKUP(D24,[1]characters!$A:$J,10,FALSE)</f>
        <v>PremiumSS</v>
      </c>
      <c r="G24" s="7">
        <f>VLOOKUP(D24,[1]characters!$A:$I,9,FALSE)</f>
        <v>4</v>
      </c>
      <c r="H24" s="7" t="str">
        <f>VLOOKUP(D24,[1]characters!$A:$H,8,FALSE)</f>
        <v>yellow</v>
      </c>
      <c r="I24" s="7" t="str">
        <f>VLOOKUP(D24,[1]characters!$A:$K,11,FALSE)</f>
        <v>hp</v>
      </c>
      <c r="J24" s="7" t="str">
        <f>VLOOKUP(D24,[1]characters!$A:$M,13,FALSE)</f>
        <v>animal</v>
      </c>
      <c r="K24" s="7" t="str">
        <f>VLOOKUP(D24,[1]characters!$A:$G,7,FALSE)</f>
        <v>不明</v>
      </c>
      <c r="L24" s="66">
        <f>IFERROR(VLOOKUP(D24,input_settle_2!L:R,7,FALSE),VLOOKUP(gacha_settle_tables_2!B24,input_settle_2!A:H,8,FALSE))</f>
        <v>9</v>
      </c>
      <c r="M24" s="67">
        <f t="shared" si="0"/>
        <v>3.4615384615384617E-2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customHeight="1">
      <c r="A25" s="2">
        <v>3128</v>
      </c>
      <c r="B25" s="7" t="str">
        <f t="shared" si="1"/>
        <v>PremiumSS5</v>
      </c>
      <c r="C25" s="7" t="s">
        <v>134</v>
      </c>
      <c r="D25" s="6">
        <v>443</v>
      </c>
      <c r="E25" s="7" t="str">
        <f>VLOOKUP(D25,[1]characters!$A:$C,3,FALSE)</f>
        <v>勇機結集 ブレイブリー・ライオン</v>
      </c>
      <c r="F25" s="7" t="str">
        <f>VLOOKUP(D25,[1]characters!$A:$J,10,FALSE)</f>
        <v>PremiumSS</v>
      </c>
      <c r="G25" s="7">
        <f>VLOOKUP(D25,[1]characters!$A:$I,9,FALSE)</f>
        <v>5</v>
      </c>
      <c r="H25" s="7" t="str">
        <f>VLOOKUP(D25,[1]characters!$A:$H,8,FALSE)</f>
        <v>yellow</v>
      </c>
      <c r="I25" s="7" t="str">
        <f>VLOOKUP(D25,[1]characters!$A:$K,11,FALSE)</f>
        <v>hp</v>
      </c>
      <c r="J25" s="7" t="str">
        <f>VLOOKUP(D25,[1]characters!$A:$M,13,FALSE)</f>
        <v>animal</v>
      </c>
      <c r="K25" s="7" t="str">
        <f>VLOOKUP(D25,[1]characters!$A:$G,7,FALSE)</f>
        <v>不明</v>
      </c>
      <c r="L25" s="66">
        <f>IFERROR(VLOOKUP(D25,input_settle_2!L:R,7,FALSE),VLOOKUP(gacha_settle_tables_2!B25,input_settle_2!A:H,8,FALSE))</f>
        <v>1</v>
      </c>
      <c r="M25" s="67">
        <f t="shared" si="0"/>
        <v>3.8461538461538464E-3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customHeight="1">
      <c r="A26" s="2">
        <v>3128</v>
      </c>
      <c r="B26" s="7" t="str">
        <f t="shared" si="1"/>
        <v>PremiumSS4</v>
      </c>
      <c r="C26" s="7" t="s">
        <v>134</v>
      </c>
      <c r="D26" s="8">
        <v>465</v>
      </c>
      <c r="E26" s="7" t="str">
        <f>VLOOKUP(D26,[1]characters!$A:$C,3,FALSE)</f>
        <v>真撃 ランスロット</v>
      </c>
      <c r="F26" s="7" t="str">
        <f>VLOOKUP(D26,[1]characters!$A:$J,10,FALSE)</f>
        <v>PremiumSS</v>
      </c>
      <c r="G26" s="7">
        <f>VLOOKUP(D26,[1]characters!$A:$I,9,FALSE)</f>
        <v>4</v>
      </c>
      <c r="H26" s="7" t="str">
        <f>VLOOKUP(D26,[1]characters!$A:$H,8,FALSE)</f>
        <v>green</v>
      </c>
      <c r="I26" s="7" t="str">
        <f>VLOOKUP(D26,[1]characters!$A:$K,11,FALSE)</f>
        <v>balance</v>
      </c>
      <c r="J26" s="7" t="str">
        <f>VLOOKUP(D26,[1]characters!$A:$M,13,FALSE)</f>
        <v>human</v>
      </c>
      <c r="K26" s="7" t="str">
        <f>VLOOKUP(D26,[1]characters!$A:$G,7,FALSE)</f>
        <v>男性</v>
      </c>
      <c r="L26" s="66">
        <f>IFERROR(VLOOKUP(D26,input_settle_2!L:R,7,FALSE),VLOOKUP(gacha_settle_tables_2!B26,input_settle_2!A:H,8,FALSE))</f>
        <v>9</v>
      </c>
      <c r="M26" s="67">
        <f t="shared" si="0"/>
        <v>3.4615384615384617E-2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s="9" customFormat="1" ht="21" customHeight="1" thickBot="1">
      <c r="A27" s="2">
        <v>3128</v>
      </c>
      <c r="B27" s="7" t="str">
        <f t="shared" si="1"/>
        <v>PremiumSS5</v>
      </c>
      <c r="C27" s="7" t="s">
        <v>134</v>
      </c>
      <c r="D27" s="6">
        <v>466</v>
      </c>
      <c r="E27" s="7" t="str">
        <f>VLOOKUP(D27,[1]characters!$A:$C,3,FALSE)</f>
        <v>真断の勇覇 ランスロット</v>
      </c>
      <c r="F27" s="7" t="str">
        <f>VLOOKUP(D27,[1]characters!$A:$J,10,FALSE)</f>
        <v>PremiumSS</v>
      </c>
      <c r="G27" s="7">
        <f>VLOOKUP(D27,[1]characters!$A:$I,9,FALSE)</f>
        <v>5</v>
      </c>
      <c r="H27" s="7" t="str">
        <f>VLOOKUP(D27,[1]characters!$A:$H,8,FALSE)</f>
        <v>green</v>
      </c>
      <c r="I27" s="7" t="str">
        <f>VLOOKUP(D27,[1]characters!$A:$K,11,FALSE)</f>
        <v>balance</v>
      </c>
      <c r="J27" s="7" t="str">
        <f>VLOOKUP(D27,[1]characters!$A:$M,13,FALSE)</f>
        <v>human</v>
      </c>
      <c r="K27" s="7" t="str">
        <f>VLOOKUP(D27,[1]characters!$A:$G,7,FALSE)</f>
        <v>男性</v>
      </c>
      <c r="L27" s="66">
        <f>IFERROR(VLOOKUP(D27,input_settle_2!L:R,7,FALSE),VLOOKUP(gacha_settle_tables_2!B27,input_settle_2!A:H,8,FALSE))</f>
        <v>1</v>
      </c>
      <c r="M27" s="67">
        <f t="shared" si="0"/>
        <v>3.8461538461538464E-3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customHeight="1">
      <c r="A28" s="2">
        <v>3128</v>
      </c>
      <c r="B28" s="7" t="str">
        <f t="shared" si="1"/>
        <v>PremiumSS4</v>
      </c>
      <c r="C28" s="7" t="s">
        <v>134</v>
      </c>
      <c r="D28" s="6">
        <v>467</v>
      </c>
      <c r="E28" s="7" t="str">
        <f>VLOOKUP(D28,[1]characters!$A:$C,3,FALSE)</f>
        <v>報復 モルドレッド</v>
      </c>
      <c r="F28" s="7" t="str">
        <f>VLOOKUP(D28,[1]characters!$A:$J,10,FALSE)</f>
        <v>PremiumSS</v>
      </c>
      <c r="G28" s="7">
        <f>VLOOKUP(D28,[1]characters!$A:$I,9,FALSE)</f>
        <v>4</v>
      </c>
      <c r="H28" s="7" t="str">
        <f>VLOOKUP(D28,[1]characters!$A:$H,8,FALSE)</f>
        <v>blue</v>
      </c>
      <c r="I28" s="7" t="str">
        <f>VLOOKUP(D28,[1]characters!$A:$K,11,FALSE)</f>
        <v>technical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66">
        <f>IFERROR(VLOOKUP(D28,input_settle_2!L:R,7,FALSE),VLOOKUP(gacha_settle_tables_2!B28,input_settle_2!A:H,8,FALSE))</f>
        <v>9</v>
      </c>
      <c r="M28" s="67">
        <f t="shared" si="0"/>
        <v>3.4615384615384617E-2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customHeight="1">
      <c r="A29" s="2">
        <v>3128</v>
      </c>
      <c r="B29" s="7" t="str">
        <f t="shared" si="1"/>
        <v>PremiumSS5</v>
      </c>
      <c r="C29" s="7" t="s">
        <v>134</v>
      </c>
      <c r="D29" s="6">
        <v>468</v>
      </c>
      <c r="E29" s="7" t="str">
        <f>VLOOKUP(D29,[1]characters!$A:$C,3,FALSE)</f>
        <v>憎愛の尖鋒 モルドレッド</v>
      </c>
      <c r="F29" s="7" t="str">
        <f>VLOOKUP(D29,[1]characters!$A:$J,10,FALSE)</f>
        <v>PremiumSS</v>
      </c>
      <c r="G29" s="7">
        <f>VLOOKUP(D29,[1]characters!$A:$I,9,FALSE)</f>
        <v>5</v>
      </c>
      <c r="H29" s="7" t="str">
        <f>VLOOKUP(D29,[1]characters!$A:$H,8,FALSE)</f>
        <v>blue</v>
      </c>
      <c r="I29" s="7" t="str">
        <f>VLOOKUP(D29,[1]characters!$A:$K,11,FALSE)</f>
        <v>technical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66">
        <f>IFERROR(VLOOKUP(D29,input_settle_2!L:R,7,FALSE),VLOOKUP(gacha_settle_tables_2!B29,input_settle_2!A:H,8,FALSE))</f>
        <v>1</v>
      </c>
      <c r="M29" s="67">
        <f t="shared" si="0"/>
        <v>3.8461538461538464E-3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customHeight="1">
      <c r="A30" s="2">
        <v>3128</v>
      </c>
      <c r="B30" s="7" t="str">
        <f t="shared" si="1"/>
        <v>PremiumSS4</v>
      </c>
      <c r="C30" s="7" t="s">
        <v>134</v>
      </c>
      <c r="D30" s="6">
        <v>474</v>
      </c>
      <c r="E30" s="7" t="str">
        <f>VLOOKUP(D30,[1]characters!$A:$C,3,FALSE)</f>
        <v>キング・ドライグ</v>
      </c>
      <c r="F30" s="7" t="str">
        <f>VLOOKUP(D30,[1]characters!$A:$J,10,FALSE)</f>
        <v>PremiumSS</v>
      </c>
      <c r="G30" s="7">
        <f>VLOOKUP(D30,[1]characters!$A:$I,9,FALSE)</f>
        <v>4</v>
      </c>
      <c r="H30" s="7" t="str">
        <f>VLOOKUP(D30,[1]characters!$A:$H,8,FALSE)</f>
        <v>red</v>
      </c>
      <c r="I30" s="7" t="str">
        <f>VLOOKUP(D30,[1]characters!$A:$K,11,FALSE)</f>
        <v>attack</v>
      </c>
      <c r="J30" s="7" t="str">
        <f>VLOOKUP(D30,[1]characters!$A:$M,13,FALSE)</f>
        <v>dragon</v>
      </c>
      <c r="K30" s="7" t="str">
        <f>VLOOKUP(D30,[1]characters!$A:$G,7,FALSE)</f>
        <v>不明</v>
      </c>
      <c r="L30" s="66">
        <f>IFERROR(VLOOKUP(D30,input_settle_2!L:R,7,FALSE),VLOOKUP(gacha_settle_tables_2!B30,input_settle_2!A:H,8,FALSE))</f>
        <v>9</v>
      </c>
      <c r="M30" s="67">
        <f t="shared" si="0"/>
        <v>3.4615384615384617E-2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customHeight="1">
      <c r="A31" s="2">
        <v>3128</v>
      </c>
      <c r="B31" s="7" t="str">
        <f t="shared" si="1"/>
        <v>PremiumSS5</v>
      </c>
      <c r="C31" s="7" t="s">
        <v>134</v>
      </c>
      <c r="D31" s="6">
        <v>475</v>
      </c>
      <c r="E31" s="7" t="str">
        <f>VLOOKUP(D31,[1]characters!$A:$C,3,FALSE)</f>
        <v>緋王 キング・ドライグ</v>
      </c>
      <c r="F31" s="7" t="str">
        <f>VLOOKUP(D31,[1]characters!$A:$J,10,FALSE)</f>
        <v>PremiumSS</v>
      </c>
      <c r="G31" s="7">
        <f>VLOOKUP(D31,[1]characters!$A:$I,9,FALSE)</f>
        <v>5</v>
      </c>
      <c r="H31" s="7" t="str">
        <f>VLOOKUP(D31,[1]characters!$A:$H,8,FALSE)</f>
        <v>red</v>
      </c>
      <c r="I31" s="7" t="str">
        <f>VLOOKUP(D31,[1]characters!$A:$K,11,FALSE)</f>
        <v>attack</v>
      </c>
      <c r="J31" s="7" t="str">
        <f>VLOOKUP(D31,[1]characters!$A:$M,13,FALSE)</f>
        <v>dragon</v>
      </c>
      <c r="K31" s="7" t="str">
        <f>VLOOKUP(D31,[1]characters!$A:$G,7,FALSE)</f>
        <v>不明</v>
      </c>
      <c r="L31" s="66">
        <f>IFERROR(VLOOKUP(D31,input_settle_2!L:R,7,FALSE),VLOOKUP(gacha_settle_tables_2!B31,input_settle_2!A:H,8,FALSE))</f>
        <v>1</v>
      </c>
      <c r="M31" s="67">
        <f t="shared" si="0"/>
        <v>3.8461538461538464E-3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customHeight="1">
      <c r="A32" s="2">
        <v>3128</v>
      </c>
      <c r="B32" s="7" t="str">
        <f t="shared" si="1"/>
        <v>PremiumSS4</v>
      </c>
      <c r="C32" s="7" t="s">
        <v>134</v>
      </c>
      <c r="D32" s="6">
        <v>479</v>
      </c>
      <c r="E32" s="7" t="str">
        <f>VLOOKUP(D32,[1]characters!$A:$C,3,FALSE)</f>
        <v>フール</v>
      </c>
      <c r="F32" s="7" t="str">
        <f>VLOOKUP(D32,[1]characters!$A:$J,10,FALSE)</f>
        <v>PremiumSS</v>
      </c>
      <c r="G32" s="7">
        <f>VLOOKUP(D32,[1]characters!$A:$I,9,FALSE)</f>
        <v>4</v>
      </c>
      <c r="H32" s="7" t="str">
        <f>VLOOKUP(D32,[1]characters!$A:$H,8,FALSE)</f>
        <v>blue</v>
      </c>
      <c r="I32" s="7" t="str">
        <f>VLOOKUP(D32,[1]characters!$A:$K,11,FALSE)</f>
        <v>technical</v>
      </c>
      <c r="J32" s="7" t="str">
        <f>VLOOKUP(D32,[1]characters!$A:$M,13,FALSE)</f>
        <v>god</v>
      </c>
      <c r="K32" s="7" t="str">
        <f>VLOOKUP(D32,[1]characters!$A:$G,7,FALSE)</f>
        <v>男性</v>
      </c>
      <c r="L32" s="66">
        <f>IFERROR(VLOOKUP(D32,input_settle_2!L:R,7,FALSE),VLOOKUP(gacha_settle_tables_2!B32,input_settle_2!A:H,8,FALSE))</f>
        <v>9</v>
      </c>
      <c r="M32" s="67">
        <f t="shared" si="0"/>
        <v>3.4615384615384617E-2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customHeight="1">
      <c r="A33" s="2">
        <v>3128</v>
      </c>
      <c r="B33" s="7" t="str">
        <f t="shared" si="1"/>
        <v>PremiumSS5</v>
      </c>
      <c r="C33" s="7" t="s">
        <v>134</v>
      </c>
      <c r="D33" s="6">
        <v>480</v>
      </c>
      <c r="E33" s="7" t="str">
        <f>VLOOKUP(D33,[1]characters!$A:$C,3,FALSE)</f>
        <v>夢幻の愚者フール</v>
      </c>
      <c r="F33" s="7" t="str">
        <f>VLOOKUP(D33,[1]characters!$A:$J,10,FALSE)</f>
        <v>PremiumSS</v>
      </c>
      <c r="G33" s="7">
        <f>VLOOKUP(D33,[1]characters!$A:$I,9,FALSE)</f>
        <v>5</v>
      </c>
      <c r="H33" s="7" t="str">
        <f>VLOOKUP(D33,[1]characters!$A:$H,8,FALSE)</f>
        <v>blue</v>
      </c>
      <c r="I33" s="7" t="str">
        <f>VLOOKUP(D33,[1]characters!$A:$K,11,FALSE)</f>
        <v>technical</v>
      </c>
      <c r="J33" s="7" t="str">
        <f>VLOOKUP(D33,[1]characters!$A:$M,13,FALSE)</f>
        <v>god</v>
      </c>
      <c r="K33" s="7" t="str">
        <f>VLOOKUP(D33,[1]characters!$A:$G,7,FALSE)</f>
        <v>男性</v>
      </c>
      <c r="L33" s="66">
        <f>IFERROR(VLOOKUP(D33,input_settle_2!L:R,7,FALSE),VLOOKUP(gacha_settle_tables_2!B33,input_settle_2!A:H,8,FALSE))</f>
        <v>1</v>
      </c>
      <c r="M33" s="67">
        <f t="shared" si="0"/>
        <v>3.8461538461538464E-3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customHeight="1">
      <c r="A34" s="2">
        <v>3128</v>
      </c>
      <c r="B34" s="7" t="str">
        <f t="shared" si="1"/>
        <v>PremiumSS4</v>
      </c>
      <c r="C34" s="7" t="s">
        <v>134</v>
      </c>
      <c r="D34" s="6">
        <v>492</v>
      </c>
      <c r="E34" s="7" t="str">
        <f>VLOOKUP(D34,[1]characters!$A:$C,3,FALSE)</f>
        <v>ブートレグ・ペロー</v>
      </c>
      <c r="F34" s="7" t="str">
        <f>VLOOKUP(D34,[1]characters!$A:$J,10,FALSE)</f>
        <v>PremiumSS</v>
      </c>
      <c r="G34" s="7">
        <f>VLOOKUP(D34,[1]characters!$A:$I,9,FALSE)</f>
        <v>4</v>
      </c>
      <c r="H34" s="7" t="str">
        <f>VLOOKUP(D34,[1]characters!$A:$H,8,FALSE)</f>
        <v>red</v>
      </c>
      <c r="I34" s="7" t="str">
        <f>VLOOKUP(D34,[1]characters!$A:$K,11,FALSE)</f>
        <v>hp</v>
      </c>
      <c r="J34" s="7" t="str">
        <f>VLOOKUP(D34,[1]characters!$A:$M,13,FALSE)</f>
        <v>animal</v>
      </c>
      <c r="K34" s="7" t="str">
        <f>VLOOKUP(D34,[1]characters!$A:$G,7,FALSE)</f>
        <v>不明</v>
      </c>
      <c r="L34" s="66">
        <f>IFERROR(VLOOKUP(D34,input_settle_2!L:R,7,FALSE),VLOOKUP(gacha_settle_tables_2!B34,input_settle_2!A:H,8,FALSE))</f>
        <v>9</v>
      </c>
      <c r="M34" s="67">
        <f t="shared" ref="M34:M53" si="2">L34/SUM(L:L)</f>
        <v>3.4615384615384617E-2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customHeight="1">
      <c r="A35" s="2">
        <v>3128</v>
      </c>
      <c r="B35" s="7" t="str">
        <f t="shared" si="1"/>
        <v>PremiumSS5</v>
      </c>
      <c r="C35" s="7" t="s">
        <v>134</v>
      </c>
      <c r="D35" s="6">
        <v>493</v>
      </c>
      <c r="E35" s="7" t="str">
        <f>VLOOKUP(D35,[1]characters!$A:$C,3,FALSE)</f>
        <v>跋扈の機脚 ブートレグ・ペロー</v>
      </c>
      <c r="F35" s="7" t="str">
        <f>VLOOKUP(D35,[1]characters!$A:$J,10,FALSE)</f>
        <v>PremiumSS</v>
      </c>
      <c r="G35" s="7">
        <f>VLOOKUP(D35,[1]characters!$A:$I,9,FALSE)</f>
        <v>5</v>
      </c>
      <c r="H35" s="7" t="str">
        <f>VLOOKUP(D35,[1]characters!$A:$H,8,FALSE)</f>
        <v>red</v>
      </c>
      <c r="I35" s="7" t="str">
        <f>VLOOKUP(D35,[1]characters!$A:$K,11,FALSE)</f>
        <v>hp</v>
      </c>
      <c r="J35" s="7" t="str">
        <f>VLOOKUP(D35,[1]characters!$A:$M,13,FALSE)</f>
        <v>animal</v>
      </c>
      <c r="K35" s="7" t="str">
        <f>VLOOKUP(D35,[1]characters!$A:$G,7,FALSE)</f>
        <v>不明</v>
      </c>
      <c r="L35" s="66">
        <f>IFERROR(VLOOKUP(D35,input_settle_2!L:R,7,FALSE),VLOOKUP(gacha_settle_tables_2!B35,input_settle_2!A:H,8,FALSE))</f>
        <v>1</v>
      </c>
      <c r="M35" s="67">
        <f t="shared" si="2"/>
        <v>3.8461538461538464E-3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customHeight="1">
      <c r="A36" s="2">
        <v>3128</v>
      </c>
      <c r="B36" s="7" t="str">
        <f t="shared" si="1"/>
        <v>PremiumSS4</v>
      </c>
      <c r="C36" s="7" t="s">
        <v>134</v>
      </c>
      <c r="D36" s="6">
        <v>494</v>
      </c>
      <c r="E36" s="7" t="str">
        <f>VLOOKUP(D36,[1]characters!$A:$C,3,FALSE)</f>
        <v>ハーメルン</v>
      </c>
      <c r="F36" s="7" t="str">
        <f>VLOOKUP(D36,[1]characters!$A:$J,10,FALSE)</f>
        <v>PremiumSS</v>
      </c>
      <c r="G36" s="7">
        <f>VLOOKUP(D36,[1]characters!$A:$I,9,FALSE)</f>
        <v>4</v>
      </c>
      <c r="H36" s="7" t="str">
        <f>VLOOKUP(D36,[1]characters!$A:$H,8,FALSE)</f>
        <v>green</v>
      </c>
      <c r="I36" s="7" t="str">
        <f>VLOOKUP(D36,[1]characters!$A:$K,11,FALSE)</f>
        <v>technical</v>
      </c>
      <c r="J36" s="7" t="str">
        <f>VLOOKUP(D36,[1]characters!$A:$M,13,FALSE)</f>
        <v>human</v>
      </c>
      <c r="K36" s="7" t="str">
        <f>VLOOKUP(D36,[1]characters!$A:$G,7,FALSE)</f>
        <v>男性</v>
      </c>
      <c r="L36" s="66">
        <f>IFERROR(VLOOKUP(D36,input_settle_2!L:R,7,FALSE),VLOOKUP(gacha_settle_tables_2!B36,input_settle_2!A:H,8,FALSE))</f>
        <v>9</v>
      </c>
      <c r="M36" s="67">
        <f t="shared" si="2"/>
        <v>3.4615384615384617E-2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customHeight="1">
      <c r="A37" s="2">
        <v>3128</v>
      </c>
      <c r="B37" s="7" t="str">
        <f t="shared" si="1"/>
        <v>PremiumSS5</v>
      </c>
      <c r="C37" s="7" t="s">
        <v>134</v>
      </c>
      <c r="D37" s="6">
        <v>495</v>
      </c>
      <c r="E37" s="7" t="str">
        <f>VLOOKUP(D37,[1]characters!$A:$C,3,FALSE)</f>
        <v>鼠災呼ぶ笛音 ハーメルン</v>
      </c>
      <c r="F37" s="7" t="str">
        <f>VLOOKUP(D37,[1]characters!$A:$J,10,FALSE)</f>
        <v>PremiumSS</v>
      </c>
      <c r="G37" s="7">
        <f>VLOOKUP(D37,[1]characters!$A:$I,9,FALSE)</f>
        <v>5</v>
      </c>
      <c r="H37" s="7" t="str">
        <f>VLOOKUP(D37,[1]characters!$A:$H,8,FALSE)</f>
        <v>green</v>
      </c>
      <c r="I37" s="7" t="str">
        <f>VLOOKUP(D37,[1]characters!$A:$K,11,FALSE)</f>
        <v>technical</v>
      </c>
      <c r="J37" s="7" t="str">
        <f>VLOOKUP(D37,[1]characters!$A:$M,13,FALSE)</f>
        <v>human</v>
      </c>
      <c r="K37" s="7" t="str">
        <f>VLOOKUP(D37,[1]characters!$A:$G,7,FALSE)</f>
        <v>男性</v>
      </c>
      <c r="L37" s="66">
        <f>IFERROR(VLOOKUP(D37,input_settle_2!L:R,7,FALSE),VLOOKUP(gacha_settle_tables_2!B37,input_settle_2!A:H,8,FALSE))</f>
        <v>1</v>
      </c>
      <c r="M37" s="67">
        <f t="shared" si="2"/>
        <v>3.8461538461538464E-3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customHeight="1">
      <c r="A38" s="2">
        <v>3128</v>
      </c>
      <c r="B38" s="7" t="str">
        <f t="shared" si="1"/>
        <v>PremiumSS4</v>
      </c>
      <c r="C38" s="7" t="s">
        <v>134</v>
      </c>
      <c r="D38" s="6">
        <v>499</v>
      </c>
      <c r="E38" s="7" t="str">
        <f>VLOOKUP(D38,[1]characters!$A:$C,3,FALSE)</f>
        <v>ラプンツェル</v>
      </c>
      <c r="F38" s="7" t="str">
        <f>VLOOKUP(D38,[1]characters!$A:$J,10,FALSE)</f>
        <v>PremiumSS</v>
      </c>
      <c r="G38" s="7">
        <f>VLOOKUP(D38,[1]characters!$A:$I,9,FALSE)</f>
        <v>4</v>
      </c>
      <c r="H38" s="7" t="str">
        <f>VLOOKUP(D38,[1]characters!$A:$H,8,FALSE)</f>
        <v>yellow</v>
      </c>
      <c r="I38" s="7" t="str">
        <f>VLOOKUP(D38,[1]characters!$A:$K,11,FALSE)</f>
        <v>balance</v>
      </c>
      <c r="J38" s="7" t="str">
        <f>VLOOKUP(D38,[1]characters!$A:$M,13,FALSE)</f>
        <v>human</v>
      </c>
      <c r="K38" s="7" t="str">
        <f>VLOOKUP(D38,[1]characters!$A:$G,7,FALSE)</f>
        <v>女性</v>
      </c>
      <c r="L38" s="66">
        <f>IFERROR(VLOOKUP(D38,input_settle_2!L:R,7,FALSE),VLOOKUP(gacha_settle_tables_2!B38,input_settle_2!A:H,8,FALSE))</f>
        <v>9</v>
      </c>
      <c r="M38" s="67">
        <f t="shared" si="2"/>
        <v>3.4615384615384617E-2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customHeight="1">
      <c r="A39" s="2">
        <v>3128</v>
      </c>
      <c r="B39" s="7" t="str">
        <f t="shared" si="1"/>
        <v>PremiumSS5</v>
      </c>
      <c r="C39" s="7" t="s">
        <v>134</v>
      </c>
      <c r="D39" s="6">
        <v>500</v>
      </c>
      <c r="E39" s="7" t="str">
        <f>VLOOKUP(D39,[1]characters!$A:$C,3,FALSE)</f>
        <v>脈動の禁髪 ラプンツェル</v>
      </c>
      <c r="F39" s="7" t="str">
        <f>VLOOKUP(D39,[1]characters!$A:$J,10,FALSE)</f>
        <v>PremiumSS</v>
      </c>
      <c r="G39" s="7">
        <f>VLOOKUP(D39,[1]characters!$A:$I,9,FALSE)</f>
        <v>5</v>
      </c>
      <c r="H39" s="7" t="str">
        <f>VLOOKUP(D39,[1]characters!$A:$H,8,FALSE)</f>
        <v>yellow</v>
      </c>
      <c r="I39" s="7" t="str">
        <f>VLOOKUP(D39,[1]characters!$A:$K,11,FALSE)</f>
        <v>balance</v>
      </c>
      <c r="J39" s="7" t="str">
        <f>VLOOKUP(D39,[1]characters!$A:$M,13,FALSE)</f>
        <v>human</v>
      </c>
      <c r="K39" s="7" t="str">
        <f>VLOOKUP(D39,[1]characters!$A:$G,7,FALSE)</f>
        <v>女性</v>
      </c>
      <c r="L39" s="66">
        <f>IFERROR(VLOOKUP(D39,input_settle_2!L:R,7,FALSE),VLOOKUP(gacha_settle_tables_2!B39,input_settle_2!A:H,8,FALSE))</f>
        <v>1</v>
      </c>
      <c r="M39" s="67">
        <f t="shared" si="2"/>
        <v>3.8461538461538464E-3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customHeight="1">
      <c r="A40" s="2">
        <v>3128</v>
      </c>
      <c r="B40" s="7" t="str">
        <f t="shared" si="1"/>
        <v>PremiumSS4</v>
      </c>
      <c r="C40" s="7" t="s">
        <v>134</v>
      </c>
      <c r="D40" s="6">
        <v>586</v>
      </c>
      <c r="E40" s="7" t="str">
        <f>VLOOKUP(D40,[1]characters!$A:$C,3,FALSE)</f>
        <v>ユミル</v>
      </c>
      <c r="F40" s="7" t="str">
        <f>VLOOKUP(D40,[1]characters!$A:$J,10,FALSE)</f>
        <v>PremiumSS</v>
      </c>
      <c r="G40" s="7">
        <f>VLOOKUP(D40,[1]characters!$A:$I,9,FALSE)</f>
        <v>4</v>
      </c>
      <c r="H40" s="7" t="str">
        <f>VLOOKUP(D40,[1]characters!$A:$H,8,FALSE)</f>
        <v>red</v>
      </c>
      <c r="I40" s="7" t="str">
        <f>VLOOKUP(D40,[1]characters!$A:$K,11,FALSE)</f>
        <v>hp</v>
      </c>
      <c r="J40" s="7" t="str">
        <f>VLOOKUP(D40,[1]characters!$A:$M,13,FALSE)</f>
        <v>machine</v>
      </c>
      <c r="K40" s="7" t="str">
        <f>VLOOKUP(D40,[1]characters!$A:$G,7,FALSE)</f>
        <v>不明</v>
      </c>
      <c r="L40" s="66">
        <f>IFERROR(VLOOKUP(D40,input_settle_2!L:R,7,FALSE),VLOOKUP(gacha_settle_tables_2!B40,input_settle_2!A:H,8,FALSE))</f>
        <v>9</v>
      </c>
      <c r="M40" s="67">
        <f t="shared" si="2"/>
        <v>3.4615384615384617E-2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customHeight="1">
      <c r="A41" s="2">
        <v>3128</v>
      </c>
      <c r="B41" s="7" t="str">
        <f t="shared" si="1"/>
        <v>PremiumSS5</v>
      </c>
      <c r="C41" s="7" t="s">
        <v>134</v>
      </c>
      <c r="D41" s="6">
        <v>587</v>
      </c>
      <c r="E41" s="7" t="str">
        <f>VLOOKUP(D41,[1]characters!$A:$C,3,FALSE)</f>
        <v>原初の煉鋼巨刃 ユミル</v>
      </c>
      <c r="F41" s="7" t="str">
        <f>VLOOKUP(D41,[1]characters!$A:$J,10,FALSE)</f>
        <v>PremiumSS</v>
      </c>
      <c r="G41" s="7">
        <f>VLOOKUP(D41,[1]characters!$A:$I,9,FALSE)</f>
        <v>5</v>
      </c>
      <c r="H41" s="7" t="str">
        <f>VLOOKUP(D41,[1]characters!$A:$H,8,FALSE)</f>
        <v>red</v>
      </c>
      <c r="I41" s="7" t="str">
        <f>VLOOKUP(D41,[1]characters!$A:$K,11,FALSE)</f>
        <v>hp</v>
      </c>
      <c r="J41" s="7" t="str">
        <f>VLOOKUP(D41,[1]characters!$A:$M,13,FALSE)</f>
        <v>machine</v>
      </c>
      <c r="K41" s="7" t="str">
        <f>VLOOKUP(D41,[1]characters!$A:$G,7,FALSE)</f>
        <v>不明</v>
      </c>
      <c r="L41" s="66">
        <f>IFERROR(VLOOKUP(D41,input_settle_2!L:R,7,FALSE),VLOOKUP(gacha_settle_tables_2!B41,input_settle_2!A:H,8,FALSE))</f>
        <v>1</v>
      </c>
      <c r="M41" s="67">
        <f t="shared" si="2"/>
        <v>3.8461538461538464E-3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customHeight="1">
      <c r="A42" s="2">
        <v>3128</v>
      </c>
      <c r="B42" s="7" t="str">
        <f t="shared" si="1"/>
        <v>PremiumSS4</v>
      </c>
      <c r="C42" s="7" t="s">
        <v>134</v>
      </c>
      <c r="D42" s="6">
        <v>594</v>
      </c>
      <c r="E42" s="7" t="str">
        <f>VLOOKUP(D42,[1]characters!$A:$C,3,FALSE)</f>
        <v>アルフヘイム</v>
      </c>
      <c r="F42" s="7" t="str">
        <f>VLOOKUP(D42,[1]characters!$A:$J,10,FALSE)</f>
        <v>PremiumSS</v>
      </c>
      <c r="G42" s="7">
        <f>VLOOKUP(D42,[1]characters!$A:$I,9,FALSE)</f>
        <v>4</v>
      </c>
      <c r="H42" s="7" t="str">
        <f>VLOOKUP(D42,[1]characters!$A:$H,8,FALSE)</f>
        <v>yellow</v>
      </c>
      <c r="I42" s="7" t="str">
        <f>VLOOKUP(D42,[1]characters!$A:$K,11,FALSE)</f>
        <v>attack</v>
      </c>
      <c r="J42" s="7" t="str">
        <f>VLOOKUP(D42,[1]characters!$A:$M,13,FALSE)</f>
        <v>dragon</v>
      </c>
      <c r="K42" s="7" t="str">
        <f>VLOOKUP(D42,[1]characters!$A:$G,7,FALSE)</f>
        <v>不明</v>
      </c>
      <c r="L42" s="66">
        <f>IFERROR(VLOOKUP(D42,input_settle_2!L:R,7,FALSE),VLOOKUP(gacha_settle_tables_2!B42,input_settle_2!A:H,8,FALSE))</f>
        <v>9</v>
      </c>
      <c r="M42" s="67">
        <f t="shared" si="2"/>
        <v>3.4615384615384617E-2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customHeight="1">
      <c r="A43" s="2">
        <v>3128</v>
      </c>
      <c r="B43" s="7" t="str">
        <f t="shared" si="1"/>
        <v>PremiumSS5</v>
      </c>
      <c r="C43" s="7" t="s">
        <v>134</v>
      </c>
      <c r="D43" s="6">
        <v>595</v>
      </c>
      <c r="E43" s="7" t="str">
        <f>VLOOKUP(D43,[1]characters!$A:$C,3,FALSE)</f>
        <v>光華なる神域 アルフヘイム</v>
      </c>
      <c r="F43" s="7" t="str">
        <f>VLOOKUP(D43,[1]characters!$A:$J,10,FALSE)</f>
        <v>PremiumSS</v>
      </c>
      <c r="G43" s="7">
        <f>VLOOKUP(D43,[1]characters!$A:$I,9,FALSE)</f>
        <v>5</v>
      </c>
      <c r="H43" s="7" t="str">
        <f>VLOOKUP(D43,[1]characters!$A:$H,8,FALSE)</f>
        <v>yellow</v>
      </c>
      <c r="I43" s="7" t="str">
        <f>VLOOKUP(D43,[1]characters!$A:$K,11,FALSE)</f>
        <v>attack</v>
      </c>
      <c r="J43" s="7" t="str">
        <f>VLOOKUP(D43,[1]characters!$A:$M,13,FALSE)</f>
        <v>dragon</v>
      </c>
      <c r="K43" s="7" t="str">
        <f>VLOOKUP(D43,[1]characters!$A:$G,7,FALSE)</f>
        <v>不明</v>
      </c>
      <c r="L43" s="66">
        <f>IFERROR(VLOOKUP(D43,input_settle_2!L:R,7,FALSE),VLOOKUP(gacha_settle_tables_2!B43,input_settle_2!A:H,8,FALSE))</f>
        <v>1</v>
      </c>
      <c r="M43" s="67">
        <f t="shared" si="2"/>
        <v>3.8461538461538464E-3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customHeight="1">
      <c r="A44" s="2">
        <v>3128</v>
      </c>
      <c r="B44" s="7" t="str">
        <f t="shared" si="1"/>
        <v>PremiumSS4</v>
      </c>
      <c r="C44" s="7" t="s">
        <v>134</v>
      </c>
      <c r="D44" s="6">
        <v>602</v>
      </c>
      <c r="E44" s="7" t="str">
        <f>VLOOKUP(D44,[1]characters!$A:$C,3,FALSE)</f>
        <v>フレイヤ</v>
      </c>
      <c r="F44" s="7" t="str">
        <f>VLOOKUP(D44,[1]characters!$A:$J,10,FALSE)</f>
        <v>PremiumSS</v>
      </c>
      <c r="G44" s="7">
        <f>VLOOKUP(D44,[1]characters!$A:$I,9,FALSE)</f>
        <v>4</v>
      </c>
      <c r="H44" s="7" t="str">
        <f>VLOOKUP(D44,[1]characters!$A:$H,8,FALSE)</f>
        <v>blue</v>
      </c>
      <c r="I44" s="7" t="str">
        <f>VLOOKUP(D44,[1]characters!$A:$K,11,FALSE)</f>
        <v>heal</v>
      </c>
      <c r="J44" s="7" t="str">
        <f>VLOOKUP(D44,[1]characters!$A:$M,13,FALSE)</f>
        <v>animal</v>
      </c>
      <c r="K44" s="7" t="str">
        <f>VLOOKUP(D44,[1]characters!$A:$G,7,FALSE)</f>
        <v>女性</v>
      </c>
      <c r="L44" s="66">
        <f>IFERROR(VLOOKUP(D44,input_settle_2!L:R,7,FALSE),VLOOKUP(gacha_settle_tables_2!B44,input_settle_2!A:H,8,FALSE))</f>
        <v>9</v>
      </c>
      <c r="M44" s="67">
        <f t="shared" si="2"/>
        <v>3.4615384615384617E-2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customHeight="1">
      <c r="A45" s="2">
        <v>3128</v>
      </c>
      <c r="B45" s="7" t="str">
        <f t="shared" si="1"/>
        <v>PremiumSS5</v>
      </c>
      <c r="C45" s="7" t="s">
        <v>134</v>
      </c>
      <c r="D45" s="6">
        <v>603</v>
      </c>
      <c r="E45" s="7" t="str">
        <f>VLOOKUP(D45,[1]characters!$A:$C,3,FALSE)</f>
        <v>掌愛の豊穣女神 フレイヤ</v>
      </c>
      <c r="F45" s="7" t="str">
        <f>VLOOKUP(D45,[1]characters!$A:$J,10,FALSE)</f>
        <v>PremiumSS</v>
      </c>
      <c r="G45" s="7">
        <f>VLOOKUP(D45,[1]characters!$A:$I,9,FALSE)</f>
        <v>5</v>
      </c>
      <c r="H45" s="7" t="str">
        <f>VLOOKUP(D45,[1]characters!$A:$H,8,FALSE)</f>
        <v>blue</v>
      </c>
      <c r="I45" s="7" t="str">
        <f>VLOOKUP(D45,[1]characters!$A:$K,11,FALSE)</f>
        <v>heal</v>
      </c>
      <c r="J45" s="7" t="str">
        <f>VLOOKUP(D45,[1]characters!$A:$M,13,FALSE)</f>
        <v>animal</v>
      </c>
      <c r="K45" s="7" t="str">
        <f>VLOOKUP(D45,[1]characters!$A:$G,7,FALSE)</f>
        <v>女性</v>
      </c>
      <c r="L45" s="66">
        <f>IFERROR(VLOOKUP(D45,input_settle_2!L:R,7,FALSE),VLOOKUP(gacha_settle_tables_2!B45,input_settle_2!A:H,8,FALSE))</f>
        <v>1</v>
      </c>
      <c r="M45" s="67">
        <f t="shared" si="2"/>
        <v>3.8461538461538464E-3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customHeight="1">
      <c r="A46" s="2">
        <v>3128</v>
      </c>
      <c r="B46" s="7" t="str">
        <f t="shared" si="1"/>
        <v>PremiumSS4</v>
      </c>
      <c r="C46" s="7" t="s">
        <v>134</v>
      </c>
      <c r="D46" s="6">
        <v>658</v>
      </c>
      <c r="E46" s="7" t="str">
        <f>VLOOKUP(D46,[1]characters!$A:$C,3,FALSE)</f>
        <v>猫又 クルミ</v>
      </c>
      <c r="F46" s="7" t="str">
        <f>VLOOKUP(D46,[1]characters!$A:$J,10,FALSE)</f>
        <v>PremiumSS</v>
      </c>
      <c r="G46" s="7">
        <f>VLOOKUP(D46,[1]characters!$A:$I,9,FALSE)</f>
        <v>4</v>
      </c>
      <c r="H46" s="7" t="str">
        <f>VLOOKUP(D46,[1]characters!$A:$H,8,FALSE)</f>
        <v>red</v>
      </c>
      <c r="I46" s="7" t="str">
        <f>VLOOKUP(D46,[1]characters!$A:$K,11,FALSE)</f>
        <v>attack</v>
      </c>
      <c r="J46" s="7" t="str">
        <f>VLOOKUP(D46,[1]characters!$A:$M,13,FALSE)</f>
        <v>animal</v>
      </c>
      <c r="K46" s="7" t="str">
        <f>VLOOKUP(D46,[1]characters!$A:$G,7,FALSE)</f>
        <v>女性</v>
      </c>
      <c r="L46" s="66">
        <f>IFERROR(VLOOKUP(D46,input_settle_2!L:R,7,FALSE),VLOOKUP(gacha_settle_tables_2!B46,input_settle_2!A:H,8,FALSE))</f>
        <v>9</v>
      </c>
      <c r="M46" s="67">
        <f t="shared" si="2"/>
        <v>3.4615384615384617E-2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customHeight="1">
      <c r="A47" s="2">
        <v>3128</v>
      </c>
      <c r="B47" s="7" t="str">
        <f t="shared" si="1"/>
        <v>PremiumSS5</v>
      </c>
      <c r="C47" s="7" t="s">
        <v>134</v>
      </c>
      <c r="D47" s="6">
        <v>659</v>
      </c>
      <c r="E47" s="7" t="str">
        <f>VLOOKUP(D47,[1]characters!$A:$C,3,FALSE)</f>
        <v>跳梁する化猫 クルミ</v>
      </c>
      <c r="F47" s="7" t="str">
        <f>VLOOKUP(D47,[1]characters!$A:$J,10,FALSE)</f>
        <v>PremiumSS</v>
      </c>
      <c r="G47" s="7">
        <f>VLOOKUP(D47,[1]characters!$A:$I,9,FALSE)</f>
        <v>5</v>
      </c>
      <c r="H47" s="7" t="str">
        <f>VLOOKUP(D47,[1]characters!$A:$H,8,FALSE)</f>
        <v>red</v>
      </c>
      <c r="I47" s="7" t="str">
        <f>VLOOKUP(D47,[1]characters!$A:$K,11,FALSE)</f>
        <v>attack</v>
      </c>
      <c r="J47" s="7" t="str">
        <f>VLOOKUP(D47,[1]characters!$A:$M,13,FALSE)</f>
        <v>animal</v>
      </c>
      <c r="K47" s="7" t="str">
        <f>VLOOKUP(D47,[1]characters!$A:$G,7,FALSE)</f>
        <v>女性</v>
      </c>
      <c r="L47" s="66">
        <f>IFERROR(VLOOKUP(D47,input_settle_2!L:R,7,FALSE),VLOOKUP(gacha_settle_tables_2!B47,input_settle_2!A:H,8,FALSE))</f>
        <v>1</v>
      </c>
      <c r="M47" s="67">
        <f t="shared" si="2"/>
        <v>3.8461538461538464E-3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customHeight="1">
      <c r="A48" s="2">
        <v>3128</v>
      </c>
      <c r="B48" s="7" t="str">
        <f t="shared" si="1"/>
        <v>PremiumSS4</v>
      </c>
      <c r="C48" s="7" t="s">
        <v>134</v>
      </c>
      <c r="D48" s="6">
        <v>660</v>
      </c>
      <c r="E48" s="7" t="str">
        <f>VLOOKUP(D48,[1]characters!$A:$C,3,FALSE)</f>
        <v>烏天狗 フウガ</v>
      </c>
      <c r="F48" s="7" t="str">
        <f>VLOOKUP(D48,[1]characters!$A:$J,10,FALSE)</f>
        <v>PremiumSS</v>
      </c>
      <c r="G48" s="7">
        <f>VLOOKUP(D48,[1]characters!$A:$I,9,FALSE)</f>
        <v>4</v>
      </c>
      <c r="H48" s="7" t="str">
        <f>VLOOKUP(D48,[1]characters!$A:$H,8,FALSE)</f>
        <v>green</v>
      </c>
      <c r="I48" s="7" t="str">
        <f>VLOOKUP(D48,[1]characters!$A:$K,11,FALSE)</f>
        <v>balance</v>
      </c>
      <c r="J48" s="7" t="str">
        <f>VLOOKUP(D48,[1]characters!$A:$M,13,FALSE)</f>
        <v>animal</v>
      </c>
      <c r="K48" s="7" t="str">
        <f>VLOOKUP(D48,[1]characters!$A:$G,7,FALSE)</f>
        <v>男性</v>
      </c>
      <c r="L48" s="66">
        <f>IFERROR(VLOOKUP(D48,input_settle_2!L:R,7,FALSE),VLOOKUP(gacha_settle_tables_2!B48,input_settle_2!A:H,8,FALSE))</f>
        <v>9</v>
      </c>
      <c r="M48" s="67">
        <f t="shared" si="2"/>
        <v>3.4615384615384617E-2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customHeight="1">
      <c r="A49" s="2">
        <v>3128</v>
      </c>
      <c r="B49" s="7" t="str">
        <f t="shared" si="1"/>
        <v>PremiumSS5</v>
      </c>
      <c r="C49" s="7" t="s">
        <v>134</v>
      </c>
      <c r="D49" s="6">
        <v>661</v>
      </c>
      <c r="E49" s="7" t="str">
        <f>VLOOKUP(D49,[1]characters!$A:$C,3,FALSE)</f>
        <v>疾風の天狗礫 フウガ</v>
      </c>
      <c r="F49" s="7" t="str">
        <f>VLOOKUP(D49,[1]characters!$A:$J,10,FALSE)</f>
        <v>PremiumSS</v>
      </c>
      <c r="G49" s="7">
        <f>VLOOKUP(D49,[1]characters!$A:$I,9,FALSE)</f>
        <v>5</v>
      </c>
      <c r="H49" s="7" t="str">
        <f>VLOOKUP(D49,[1]characters!$A:$H,8,FALSE)</f>
        <v>green</v>
      </c>
      <c r="I49" s="7" t="str">
        <f>VLOOKUP(D49,[1]characters!$A:$K,11,FALSE)</f>
        <v>balance</v>
      </c>
      <c r="J49" s="7" t="str">
        <f>VLOOKUP(D49,[1]characters!$A:$M,13,FALSE)</f>
        <v>animal</v>
      </c>
      <c r="K49" s="7" t="str">
        <f>VLOOKUP(D49,[1]characters!$A:$G,7,FALSE)</f>
        <v>男性</v>
      </c>
      <c r="L49" s="66">
        <f>IFERROR(VLOOKUP(D49,input_settle_2!L:R,7,FALSE),VLOOKUP(gacha_settle_tables_2!B49,input_settle_2!A:H,8,FALSE))</f>
        <v>1</v>
      </c>
      <c r="M49" s="67">
        <f t="shared" si="2"/>
        <v>3.8461538461538464E-3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customHeight="1">
      <c r="A50" s="2">
        <v>3128</v>
      </c>
      <c r="B50" s="7" t="str">
        <f t="shared" si="1"/>
        <v>PremiumSS4</v>
      </c>
      <c r="C50" s="7" t="s">
        <v>134</v>
      </c>
      <c r="D50" s="6">
        <v>674</v>
      </c>
      <c r="E50" s="7" t="str">
        <f>VLOOKUP(D50,[1]characters!$A:$C,3,FALSE)</f>
        <v>サラスヴァティ</v>
      </c>
      <c r="F50" s="7" t="str">
        <f>VLOOKUP(D50,[1]characters!$A:$J,10,FALSE)</f>
        <v>PremiumSS</v>
      </c>
      <c r="G50" s="7">
        <f>VLOOKUP(D50,[1]characters!$A:$I,9,FALSE)</f>
        <v>4</v>
      </c>
      <c r="H50" s="7" t="str">
        <f>VLOOKUP(D50,[1]characters!$A:$H,8,FALSE)</f>
        <v>blue</v>
      </c>
      <c r="I50" s="7" t="str">
        <f>VLOOKUP(D50,[1]characters!$A:$K,11,FALSE)</f>
        <v>balance</v>
      </c>
      <c r="J50" s="7" t="str">
        <f>VLOOKUP(D50,[1]characters!$A:$M,13,FALSE)</f>
        <v>god</v>
      </c>
      <c r="K50" s="7" t="str">
        <f>VLOOKUP(D50,[1]characters!$A:$G,7,FALSE)</f>
        <v>女性</v>
      </c>
      <c r="L50" s="66">
        <f>IFERROR(VLOOKUP(D50,input_settle_2!L:R,7,FALSE),VLOOKUP(gacha_settle_tables_2!B50,input_settle_2!A:H,8,FALSE))</f>
        <v>9</v>
      </c>
      <c r="M50" s="67">
        <f t="shared" si="2"/>
        <v>3.4615384615384617E-2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customHeight="1">
      <c r="A51" s="2">
        <v>3128</v>
      </c>
      <c r="B51" s="7" t="str">
        <f t="shared" si="1"/>
        <v>PremiumSS5</v>
      </c>
      <c r="C51" s="7" t="s">
        <v>134</v>
      </c>
      <c r="D51" s="6">
        <v>675</v>
      </c>
      <c r="E51" s="7" t="str">
        <f>VLOOKUP(D51,[1]characters!$A:$C,3,FALSE)</f>
        <v>芸楽の奔流 サラスヴァティ</v>
      </c>
      <c r="F51" s="7" t="str">
        <f>VLOOKUP(D51,[1]characters!$A:$J,10,FALSE)</f>
        <v>PremiumSS</v>
      </c>
      <c r="G51" s="7">
        <f>VLOOKUP(D51,[1]characters!$A:$I,9,FALSE)</f>
        <v>5</v>
      </c>
      <c r="H51" s="7" t="str">
        <f>VLOOKUP(D51,[1]characters!$A:$H,8,FALSE)</f>
        <v>blue</v>
      </c>
      <c r="I51" s="7" t="str">
        <f>VLOOKUP(D51,[1]characters!$A:$K,11,FALSE)</f>
        <v>balance</v>
      </c>
      <c r="J51" s="7" t="str">
        <f>VLOOKUP(D51,[1]characters!$A:$M,13,FALSE)</f>
        <v>god</v>
      </c>
      <c r="K51" s="7" t="str">
        <f>VLOOKUP(D51,[1]characters!$A:$G,7,FALSE)</f>
        <v>女性</v>
      </c>
      <c r="L51" s="66">
        <f>IFERROR(VLOOKUP(D51,input_settle_2!L:R,7,FALSE),VLOOKUP(gacha_settle_tables_2!B51,input_settle_2!A:H,8,FALSE))</f>
        <v>1</v>
      </c>
      <c r="M51" s="67">
        <f t="shared" si="2"/>
        <v>3.8461538461538464E-3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customHeight="1">
      <c r="A52" s="2">
        <v>3128</v>
      </c>
      <c r="B52" s="7" t="str">
        <f t="shared" si="1"/>
        <v>PremiumSS4</v>
      </c>
      <c r="C52" s="7" t="s">
        <v>134</v>
      </c>
      <c r="D52" s="6">
        <v>676</v>
      </c>
      <c r="E52" s="7" t="str">
        <f>VLOOKUP(D52,[1]characters!$A:$C,3,FALSE)</f>
        <v>ヴィシュヌ</v>
      </c>
      <c r="F52" s="7" t="str">
        <f>VLOOKUP(D52,[1]characters!$A:$J,10,FALSE)</f>
        <v>PremiumSS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66">
        <f>IFERROR(VLOOKUP(D52,input_settle_2!L:R,7,FALSE),VLOOKUP(gacha_settle_tables_2!B52,input_settle_2!A:H,8,FALSE))</f>
        <v>9</v>
      </c>
      <c r="M52" s="67">
        <f t="shared" si="2"/>
        <v>3.4615384615384617E-2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customHeight="1">
      <c r="A53" s="2">
        <v>3128</v>
      </c>
      <c r="B53" s="7" t="str">
        <f t="shared" si="1"/>
        <v>PremiumSS5</v>
      </c>
      <c r="C53" s="7" t="s">
        <v>134</v>
      </c>
      <c r="D53" s="6">
        <v>677</v>
      </c>
      <c r="E53" s="7" t="str">
        <f>VLOOKUP(D53,[1]characters!$A:$C,3,FALSE)</f>
        <v>武遊闊歩 ヴィシュヌ</v>
      </c>
      <c r="F53" s="7" t="str">
        <f>VLOOKUP(D53,[1]characters!$A:$J,10,FALSE)</f>
        <v>PremiumSS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66">
        <f>IFERROR(VLOOKUP(D53,input_settle_2!L:R,7,FALSE),VLOOKUP(gacha_settle_tables_2!B53,input_settle_2!A:H,8,FALSE))</f>
        <v>1</v>
      </c>
      <c r="M53" s="67">
        <f t="shared" si="2"/>
        <v>3.8461538461538464E-3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</sheetData>
  <autoFilter ref="A1:S18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topLeftCell="C1" workbookViewId="0">
      <pane ySplit="1" topLeftCell="A2" activePane="bottomLeft" state="frozen"/>
      <selection activeCell="M24" sqref="M24"/>
      <selection pane="bottomLeft" activeCell="M27" sqref="M27"/>
    </sheetView>
  </sheetViews>
  <sheetFormatPr baseColWidth="12" defaultRowHeight="21" customHeight="1" x14ac:dyDescent="0"/>
  <cols>
    <col min="1" max="1" width="14.6640625" style="1" bestFit="1" customWidth="1"/>
    <col min="2" max="2" width="14.1640625" style="1" bestFit="1" customWidth="1"/>
    <col min="3" max="4" width="14.1640625" style="1" customWidth="1"/>
    <col min="5" max="5" width="16.5" style="1" customWidth="1"/>
    <col min="6" max="6" width="8.6640625" style="1" bestFit="1" customWidth="1"/>
    <col min="14" max="14" width="8.6640625" style="1" bestFit="1" customWidth="1"/>
    <col min="15" max="16" width="12.83203125" style="1"/>
    <col min="17" max="17" width="18.83203125" style="1" bestFit="1" customWidth="1"/>
    <col min="18" max="16384" width="12.83203125" style="1"/>
  </cols>
  <sheetData>
    <row r="1" spans="1:17" ht="21" customHeight="1">
      <c r="A1" s="14" t="s">
        <v>10</v>
      </c>
      <c r="B1" s="24" t="s">
        <v>13</v>
      </c>
      <c r="C1" s="15" t="s">
        <v>15</v>
      </c>
      <c r="D1" s="15" t="s">
        <v>16</v>
      </c>
      <c r="E1" s="15" t="s">
        <v>17</v>
      </c>
      <c r="F1" s="14" t="s">
        <v>2</v>
      </c>
      <c r="G1" s="75" t="s">
        <v>109</v>
      </c>
      <c r="H1" s="75" t="s">
        <v>110</v>
      </c>
      <c r="I1" s="76" t="s">
        <v>111</v>
      </c>
      <c r="J1" s="76" t="s">
        <v>112</v>
      </c>
      <c r="K1" s="76" t="s">
        <v>113</v>
      </c>
      <c r="L1" s="76" t="s">
        <v>114</v>
      </c>
      <c r="M1" s="76" t="s">
        <v>115</v>
      </c>
      <c r="N1" s="14" t="s">
        <v>18</v>
      </c>
      <c r="O1" s="14" t="s">
        <v>19</v>
      </c>
      <c r="P1" s="14" t="s">
        <v>20</v>
      </c>
      <c r="Q1" s="14" t="s">
        <v>21</v>
      </c>
    </row>
    <row r="2" spans="1:17" ht="21" customHeight="1">
      <c r="A2" s="1">
        <v>3121</v>
      </c>
      <c r="B2" s="1">
        <v>31211</v>
      </c>
      <c r="C2" s="1" t="s">
        <v>129</v>
      </c>
      <c r="D2" s="1">
        <v>1</v>
      </c>
      <c r="E2" s="1">
        <v>3</v>
      </c>
      <c r="F2" s="1">
        <v>10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116</v>
      </c>
      <c r="O2" s="1" t="s">
        <v>130</v>
      </c>
      <c r="P2" s="1" t="s">
        <v>131</v>
      </c>
      <c r="Q2" s="80" t="s">
        <v>132</v>
      </c>
    </row>
  </sheetData>
  <autoFilter ref="A1:F1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3" t="s">
        <v>1</v>
      </c>
      <c r="B1" s="42" t="s">
        <v>56</v>
      </c>
      <c r="C1" s="32" t="s">
        <v>59</v>
      </c>
      <c r="D1" s="33" t="s">
        <v>5</v>
      </c>
      <c r="E1" s="33" t="s">
        <v>6</v>
      </c>
      <c r="F1" s="33" t="s">
        <v>7</v>
      </c>
      <c r="G1" s="33" t="s">
        <v>8</v>
      </c>
      <c r="H1" s="33" t="s">
        <v>9</v>
      </c>
    </row>
    <row r="2" spans="1:8">
      <c r="A2" s="6"/>
      <c r="B2" s="44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>
      <c r="A3" s="6"/>
      <c r="B3" s="44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>
      <c r="A4" s="6"/>
      <c r="B4" s="44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>
      <c r="A5" s="6"/>
      <c r="B5" s="44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>
      <c r="A6" s="6"/>
      <c r="B6" s="44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>
      <c r="A7" s="6"/>
      <c r="B7" s="44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>
      <c r="A8" s="6"/>
      <c r="B8" s="44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>
      <c r="A9" s="6"/>
      <c r="B9" s="44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>
      <c r="A10" s="6"/>
      <c r="B10" s="44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>
      <c r="A11" s="6"/>
      <c r="B11" s="44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>
      <c r="A12" s="6"/>
      <c r="B12" s="7"/>
      <c r="C12" s="5"/>
      <c r="D12" s="5"/>
      <c r="E12" s="5"/>
      <c r="F12" s="5"/>
      <c r="G12" s="5"/>
      <c r="H12" s="13"/>
    </row>
    <row r="13" spans="1:8">
      <c r="A13" s="13" t="s">
        <v>64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"/>
  <cols>
    <col min="1" max="3" width="12.83203125" customWidth="1"/>
  </cols>
  <sheetData>
    <row r="2" spans="1:8">
      <c r="A2" t="s">
        <v>63</v>
      </c>
    </row>
    <row r="3" spans="1:8">
      <c r="A3" s="34">
        <v>300</v>
      </c>
    </row>
    <row r="5" spans="1:8">
      <c r="A5" s="35" t="s">
        <v>58</v>
      </c>
      <c r="B5" s="36" t="str">
        <f>$A$3 &amp; "1"</f>
        <v>3001</v>
      </c>
      <c r="C5" s="43"/>
      <c r="D5" s="35" t="s">
        <v>61</v>
      </c>
      <c r="E5" s="36" t="str">
        <f>$A$3 &amp; "0"</f>
        <v>3000</v>
      </c>
      <c r="F5" s="43"/>
      <c r="G5" s="35" t="s">
        <v>62</v>
      </c>
      <c r="H5" s="36" t="str">
        <f>$A$3 &amp; "3"</f>
        <v>3003</v>
      </c>
    </row>
    <row r="6" spans="1:8">
      <c r="A6" s="37" t="s">
        <v>60</v>
      </c>
      <c r="B6" s="38"/>
      <c r="C6" s="43"/>
      <c r="D6" s="37" t="s">
        <v>60</v>
      </c>
      <c r="E6" s="38"/>
      <c r="F6" s="43"/>
      <c r="G6" s="37" t="s">
        <v>60</v>
      </c>
      <c r="H6" s="38"/>
    </row>
    <row r="7" spans="1:8">
      <c r="A7" s="40">
        <f>COUNTIFS(tables_1!$F:$F,"PremiumSSS",tables_1!$A:$A,B5)</f>
        <v>0</v>
      </c>
      <c r="B7" s="38"/>
      <c r="C7" s="43"/>
      <c r="D7" s="40">
        <f>COUNTIFS(tables_1!$F:$F,"PremiumSSS",tables_1!$A:$A,E5)</f>
        <v>0</v>
      </c>
      <c r="E7" s="38"/>
      <c r="F7" s="43"/>
      <c r="G7" s="40" t="e">
        <f>COUNTIF(#REF!,"PremiumSSS")</f>
        <v>#REF!</v>
      </c>
      <c r="H7" s="38"/>
    </row>
    <row r="8" spans="1:8">
      <c r="A8" s="37"/>
      <c r="B8" s="38"/>
      <c r="C8" s="43"/>
      <c r="D8" s="37"/>
      <c r="E8" s="38"/>
      <c r="F8" s="43"/>
      <c r="G8" s="37"/>
      <c r="H8" s="38"/>
    </row>
    <row r="9" spans="1:8">
      <c r="A9" s="37" t="s">
        <v>57</v>
      </c>
      <c r="B9" s="38"/>
      <c r="C9" s="43"/>
      <c r="D9" s="37" t="s">
        <v>57</v>
      </c>
      <c r="E9" s="38"/>
      <c r="F9" s="43"/>
      <c r="G9" s="37" t="s">
        <v>57</v>
      </c>
      <c r="H9" s="38"/>
    </row>
    <row r="10" spans="1:8">
      <c r="A10" s="40">
        <f>COUNTIFS(tables_1!$S:$S,"&gt;1",tables_1!$A:$A,B5)</f>
        <v>0</v>
      </c>
      <c r="B10" s="38"/>
      <c r="C10" s="43"/>
      <c r="D10" s="40">
        <f>COUNTIFS(tables_1!$S:$S,"&gt;1", tables_1!$A:$A,E5)</f>
        <v>0</v>
      </c>
      <c r="E10" s="38"/>
      <c r="F10" s="43"/>
      <c r="G10" s="40" t="e">
        <f>COUNTIF(#REF!,"&gt;1")</f>
        <v>#REF!</v>
      </c>
      <c r="H10" s="38"/>
    </row>
    <row r="11" spans="1:8">
      <c r="A11" s="37"/>
      <c r="B11" s="38"/>
      <c r="C11" s="43"/>
      <c r="D11" s="37"/>
      <c r="E11" s="38"/>
      <c r="F11" s="43"/>
      <c r="G11" s="37"/>
      <c r="H11" s="38"/>
    </row>
    <row r="12" spans="1:8">
      <c r="A12" s="37" t="s">
        <v>67</v>
      </c>
      <c r="B12" s="38"/>
      <c r="C12" s="43"/>
      <c r="D12" s="37" t="s">
        <v>67</v>
      </c>
      <c r="E12" s="38"/>
      <c r="F12" s="43"/>
      <c r="G12" s="37" t="s">
        <v>67</v>
      </c>
      <c r="H12" s="38"/>
    </row>
    <row r="13" spans="1:8">
      <c r="A13" s="40">
        <f>COUNTIFS(tables_1!$N:$N,"&gt;1",tables_1!$A:$A,B5)</f>
        <v>0</v>
      </c>
      <c r="B13" s="38"/>
      <c r="C13" s="43"/>
      <c r="D13" s="40">
        <f>COUNTIFS(tables_1!$N:$N,"&gt;1", tables_1!$A:$A,E5)</f>
        <v>0</v>
      </c>
      <c r="E13" s="38"/>
      <c r="F13" s="43"/>
      <c r="G13" s="40" t="e">
        <f>COUNTIF(#REF!,"&gt;1")</f>
        <v>#REF!</v>
      </c>
      <c r="H13" s="38"/>
    </row>
    <row r="14" spans="1:8">
      <c r="A14" s="37"/>
      <c r="B14" s="38"/>
      <c r="C14" s="43"/>
      <c r="D14" s="37"/>
      <c r="E14" s="38"/>
      <c r="F14" s="43"/>
      <c r="G14" s="37"/>
      <c r="H14" s="38"/>
    </row>
    <row r="15" spans="1:8">
      <c r="A15" s="37" t="s">
        <v>65</v>
      </c>
      <c r="B15" s="38"/>
      <c r="C15" s="43"/>
      <c r="D15" s="37" t="s">
        <v>66</v>
      </c>
      <c r="E15" s="38"/>
      <c r="F15" s="43"/>
      <c r="G15" s="37" t="s">
        <v>66</v>
      </c>
      <c r="H15" s="38"/>
    </row>
    <row r="16" spans="1:8">
      <c r="A16" s="41">
        <f>COUNTIF(tables_1!$A:$A,B5)</f>
        <v>0</v>
      </c>
      <c r="B16" s="39"/>
      <c r="C16" s="43"/>
      <c r="D16" s="41">
        <f>COUNTIF(tables_1!$A:$A,E5)</f>
        <v>0</v>
      </c>
      <c r="E16" s="39"/>
      <c r="F16" s="43"/>
      <c r="G16" s="41" t="e">
        <f>COUNTIF(#REF!,H5)</f>
        <v>#REF!</v>
      </c>
      <c r="H16" s="39"/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Sheet1</vt:lpstr>
      <vt:lpstr>output</vt:lpstr>
      <vt:lpstr>input_1</vt:lpstr>
      <vt:lpstr>tables_1</vt:lpstr>
      <vt:lpstr>input_2</vt:lpstr>
      <vt:lpstr>tables_2</vt:lpstr>
      <vt:lpstr>input_3</vt:lpstr>
      <vt:lpstr>tables_3</vt:lpstr>
      <vt:lpstr>input_4</vt:lpstr>
      <vt:lpstr>tables_4</vt:lpstr>
      <vt:lpstr>input_5</vt:lpstr>
      <vt:lpstr>tables_5</vt:lpstr>
      <vt:lpstr>input_6</vt:lpstr>
      <vt:lpstr>tables_6</vt:lpstr>
      <vt:lpstr>input_0</vt:lpstr>
      <vt:lpstr>tables_0</vt:lpstr>
      <vt:lpstr>input_settle_1</vt:lpstr>
      <vt:lpstr>gacha_settle_tables_1</vt:lpstr>
      <vt:lpstr>input_settle_2</vt:lpstr>
      <vt:lpstr>gacha_settle_tables_2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2016-03-24T07:46:18Z</dcterms:modified>
</cp:coreProperties>
</file>