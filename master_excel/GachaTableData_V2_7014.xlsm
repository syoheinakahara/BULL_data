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tables_7014100" sheetId="131" r:id="rId4"/>
    <sheet name="tables_7014101" sheetId="132" r:id="rId5"/>
    <sheet name="tables_7014102" sheetId="133" r:id="rId6"/>
    <sheet name="tables_7014103" sheetId="134" r:id="rId7"/>
    <sheet name="tables_7014104" sheetId="135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3" hidden="1">tables_7014100!$A$1:$V$61</definedName>
    <definedName name="_xlnm._FilterDatabase" localSheetId="4" hidden="1">tables_7014101!$A$1:$V$134</definedName>
    <definedName name="_xlnm._FilterDatabase" localSheetId="5" hidden="1">tables_7014102!$A$1:$V$134</definedName>
    <definedName name="_xlnm._FilterDatabase" localSheetId="6" hidden="1">tables_7014103!$A$1:$V$133</definedName>
    <definedName name="_xlnm._FilterDatabase" localSheetId="7" hidden="1">tables_7014104!$A$1:$V$133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7" i="135" l="1"/>
  <c r="D37" i="135"/>
  <c r="O37" i="135"/>
  <c r="I36" i="135"/>
  <c r="D36" i="135"/>
  <c r="O36" i="135"/>
  <c r="I35" i="135"/>
  <c r="D35" i="135"/>
  <c r="O35" i="135"/>
  <c r="I34" i="135"/>
  <c r="D34" i="135"/>
  <c r="O34" i="135"/>
  <c r="I33" i="135"/>
  <c r="D33" i="135"/>
  <c r="O33" i="135"/>
  <c r="I32" i="135"/>
  <c r="D32" i="135"/>
  <c r="O32" i="135"/>
  <c r="I31" i="135"/>
  <c r="D31" i="135"/>
  <c r="O31" i="135"/>
  <c r="I30" i="135"/>
  <c r="D30" i="135"/>
  <c r="O30" i="135"/>
  <c r="I29" i="135"/>
  <c r="D29" i="135"/>
  <c r="O29" i="135"/>
  <c r="I28" i="135"/>
  <c r="D28" i="135"/>
  <c r="O28" i="135"/>
  <c r="I27" i="135"/>
  <c r="D27" i="135"/>
  <c r="O27" i="135"/>
  <c r="I26" i="135"/>
  <c r="D26" i="135"/>
  <c r="O26" i="135"/>
  <c r="I25" i="135"/>
  <c r="D25" i="135"/>
  <c r="O25" i="135"/>
  <c r="I24" i="135"/>
  <c r="D24" i="135"/>
  <c r="O24" i="135"/>
  <c r="I23" i="135"/>
  <c r="D23" i="135"/>
  <c r="O23" i="135"/>
  <c r="I22" i="135"/>
  <c r="D22" i="135"/>
  <c r="O22" i="135"/>
  <c r="I21" i="135"/>
  <c r="D21" i="135"/>
  <c r="O21" i="135"/>
  <c r="I20" i="135"/>
  <c r="D20" i="135"/>
  <c r="O20" i="135"/>
  <c r="I19" i="135"/>
  <c r="J19" i="135"/>
  <c r="D19" i="135"/>
  <c r="O19" i="135"/>
  <c r="I18" i="135"/>
  <c r="J18" i="135"/>
  <c r="D18" i="135"/>
  <c r="O18" i="135"/>
  <c r="I17" i="135"/>
  <c r="D17" i="135"/>
  <c r="O17" i="135"/>
  <c r="I16" i="135"/>
  <c r="D16" i="135"/>
  <c r="O16" i="135"/>
  <c r="I15" i="135"/>
  <c r="D15" i="135"/>
  <c r="O15" i="135"/>
  <c r="I14" i="135"/>
  <c r="D14" i="135"/>
  <c r="O14" i="135"/>
  <c r="I13" i="135"/>
  <c r="D13" i="135"/>
  <c r="O13" i="135"/>
  <c r="I12" i="135"/>
  <c r="D12" i="135"/>
  <c r="O12" i="135"/>
  <c r="I11" i="135"/>
  <c r="D11" i="135"/>
  <c r="O11" i="135"/>
  <c r="I10" i="135"/>
  <c r="D10" i="135"/>
  <c r="O10" i="135"/>
  <c r="I9" i="135"/>
  <c r="D9" i="135"/>
  <c r="O9" i="135"/>
  <c r="I8" i="135"/>
  <c r="D8" i="135"/>
  <c r="O8" i="135"/>
  <c r="I7" i="135"/>
  <c r="D7" i="135"/>
  <c r="O7" i="135"/>
  <c r="I6" i="135"/>
  <c r="D6" i="135"/>
  <c r="O6" i="135"/>
  <c r="I5" i="135"/>
  <c r="D5" i="135"/>
  <c r="O5" i="135"/>
  <c r="I4" i="135"/>
  <c r="D4" i="135"/>
  <c r="O4" i="135"/>
  <c r="I3" i="135"/>
  <c r="D3" i="135"/>
  <c r="O3" i="135"/>
  <c r="I2" i="135"/>
  <c r="D2" i="135"/>
  <c r="E38" i="135"/>
  <c r="E39" i="135"/>
  <c r="E40" i="135"/>
  <c r="F38" i="135"/>
  <c r="F39" i="135"/>
  <c r="F40" i="135"/>
  <c r="I2" i="134"/>
  <c r="D2" i="134"/>
  <c r="I3" i="134"/>
  <c r="D3" i="134"/>
  <c r="I4" i="134"/>
  <c r="D4" i="134"/>
  <c r="I5" i="134"/>
  <c r="D5" i="134"/>
  <c r="I6" i="134"/>
  <c r="D6" i="134"/>
  <c r="I7" i="134"/>
  <c r="D7" i="134"/>
  <c r="I8" i="134"/>
  <c r="D8" i="134"/>
  <c r="I9" i="134"/>
  <c r="D9" i="134"/>
  <c r="I10" i="134"/>
  <c r="D10" i="134"/>
  <c r="I11" i="134"/>
  <c r="D11" i="134"/>
  <c r="I12" i="134"/>
  <c r="D12" i="134"/>
  <c r="I13" i="134"/>
  <c r="D13" i="134"/>
  <c r="I14" i="134"/>
  <c r="D14" i="134"/>
  <c r="I15" i="134"/>
  <c r="D15" i="134"/>
  <c r="I16" i="134"/>
  <c r="D16" i="134"/>
  <c r="I17" i="134"/>
  <c r="D17" i="134"/>
  <c r="I18" i="134"/>
  <c r="J18" i="134"/>
  <c r="D18" i="134"/>
  <c r="I19" i="134"/>
  <c r="D19" i="134"/>
  <c r="I20" i="134"/>
  <c r="D20" i="134"/>
  <c r="I21" i="134"/>
  <c r="D21" i="134"/>
  <c r="I22" i="134"/>
  <c r="D22" i="134"/>
  <c r="I23" i="134"/>
  <c r="D23" i="134"/>
  <c r="I24" i="134"/>
  <c r="D24" i="134"/>
  <c r="I25" i="134"/>
  <c r="D25" i="134"/>
  <c r="I26" i="134"/>
  <c r="D26" i="134"/>
  <c r="I27" i="134"/>
  <c r="D27" i="134"/>
  <c r="I28" i="134"/>
  <c r="D28" i="134"/>
  <c r="I29" i="134"/>
  <c r="D29" i="134"/>
  <c r="I30" i="134"/>
  <c r="D30" i="134"/>
  <c r="I31" i="134"/>
  <c r="D31" i="134"/>
  <c r="I32" i="134"/>
  <c r="D32" i="134"/>
  <c r="I33" i="134"/>
  <c r="D33" i="134"/>
  <c r="I34" i="134"/>
  <c r="D34" i="134"/>
  <c r="I35" i="134"/>
  <c r="D35" i="134"/>
  <c r="I36" i="134"/>
  <c r="D36" i="134"/>
  <c r="E37" i="134"/>
  <c r="E38" i="134"/>
  <c r="E39" i="134"/>
  <c r="F37" i="134"/>
  <c r="F38" i="134"/>
  <c r="F39" i="134"/>
  <c r="I3" i="133"/>
  <c r="D3" i="133"/>
  <c r="O3" i="133"/>
  <c r="I4" i="133"/>
  <c r="D4" i="133"/>
  <c r="O4" i="133"/>
  <c r="I5" i="133"/>
  <c r="D5" i="133"/>
  <c r="O5" i="133"/>
  <c r="I6" i="133"/>
  <c r="D6" i="133"/>
  <c r="O6" i="133"/>
  <c r="I7" i="133"/>
  <c r="D7" i="133"/>
  <c r="O7" i="133"/>
  <c r="I8" i="133"/>
  <c r="D8" i="133"/>
  <c r="O8" i="133"/>
  <c r="I9" i="133"/>
  <c r="D9" i="133"/>
  <c r="O9" i="133"/>
  <c r="I10" i="133"/>
  <c r="D10" i="133"/>
  <c r="O10" i="133"/>
  <c r="I11" i="133"/>
  <c r="D11" i="133"/>
  <c r="O11" i="133"/>
  <c r="I12" i="133"/>
  <c r="D12" i="133"/>
  <c r="O12" i="133"/>
  <c r="I13" i="133"/>
  <c r="D13" i="133"/>
  <c r="O13" i="133"/>
  <c r="I14" i="133"/>
  <c r="D14" i="133"/>
  <c r="O14" i="133"/>
  <c r="I15" i="133"/>
  <c r="D15" i="133"/>
  <c r="O15" i="133"/>
  <c r="I16" i="133"/>
  <c r="D16" i="133"/>
  <c r="O16" i="133"/>
  <c r="I17" i="133"/>
  <c r="D17" i="133"/>
  <c r="O17" i="133"/>
  <c r="I18" i="133"/>
  <c r="J18" i="133"/>
  <c r="D18" i="133"/>
  <c r="O18" i="133"/>
  <c r="I19" i="133"/>
  <c r="J19" i="133"/>
  <c r="D19" i="133"/>
  <c r="O19" i="133"/>
  <c r="I20" i="133"/>
  <c r="D20" i="133"/>
  <c r="O20" i="133"/>
  <c r="I21" i="133"/>
  <c r="D21" i="133"/>
  <c r="O21" i="133"/>
  <c r="I22" i="133"/>
  <c r="D22" i="133"/>
  <c r="O22" i="133"/>
  <c r="I23" i="133"/>
  <c r="D23" i="133"/>
  <c r="O23" i="133"/>
  <c r="I24" i="133"/>
  <c r="D24" i="133"/>
  <c r="O24" i="133"/>
  <c r="I25" i="133"/>
  <c r="D25" i="133"/>
  <c r="O25" i="133"/>
  <c r="I26" i="133"/>
  <c r="D26" i="133"/>
  <c r="O26" i="133"/>
  <c r="I27" i="133"/>
  <c r="D27" i="133"/>
  <c r="O27" i="133"/>
  <c r="I28" i="133"/>
  <c r="D28" i="133"/>
  <c r="O28" i="133"/>
  <c r="I29" i="133"/>
  <c r="D29" i="133"/>
  <c r="O29" i="133"/>
  <c r="I30" i="133"/>
  <c r="D30" i="133"/>
  <c r="O30" i="133"/>
  <c r="I31" i="133"/>
  <c r="D31" i="133"/>
  <c r="O31" i="133"/>
  <c r="I32" i="133"/>
  <c r="D32" i="133"/>
  <c r="O32" i="133"/>
  <c r="I33" i="133"/>
  <c r="D33" i="133"/>
  <c r="O33" i="133"/>
  <c r="I34" i="133"/>
  <c r="D34" i="133"/>
  <c r="O34" i="133"/>
  <c r="I35" i="133"/>
  <c r="D35" i="133"/>
  <c r="O35" i="133"/>
  <c r="I36" i="133"/>
  <c r="D36" i="133"/>
  <c r="O36" i="133"/>
  <c r="I37" i="133"/>
  <c r="D37" i="133"/>
  <c r="O37" i="133"/>
  <c r="I2" i="133"/>
  <c r="D2" i="133"/>
  <c r="O2" i="133"/>
  <c r="E38" i="133"/>
  <c r="E39" i="133"/>
  <c r="E40" i="133"/>
  <c r="F38" i="133"/>
  <c r="F39" i="133"/>
  <c r="F40" i="133"/>
  <c r="I3" i="132"/>
  <c r="D3" i="132"/>
  <c r="O3" i="132"/>
  <c r="I4" i="132"/>
  <c r="D4" i="132"/>
  <c r="O4" i="132"/>
  <c r="I5" i="132"/>
  <c r="D5" i="132"/>
  <c r="O5" i="132"/>
  <c r="I6" i="132"/>
  <c r="D6" i="132"/>
  <c r="O6" i="132"/>
  <c r="I7" i="132"/>
  <c r="D7" i="132"/>
  <c r="O7" i="132"/>
  <c r="I8" i="132"/>
  <c r="D8" i="132"/>
  <c r="O8" i="132"/>
  <c r="I9" i="132"/>
  <c r="D9" i="132"/>
  <c r="O9" i="132"/>
  <c r="I10" i="132"/>
  <c r="D10" i="132"/>
  <c r="O10" i="132"/>
  <c r="I11" i="132"/>
  <c r="D11" i="132"/>
  <c r="O11" i="132"/>
  <c r="I12" i="132"/>
  <c r="D12" i="132"/>
  <c r="O12" i="132"/>
  <c r="I13" i="132"/>
  <c r="D13" i="132"/>
  <c r="O13" i="132"/>
  <c r="I14" i="132"/>
  <c r="D14" i="132"/>
  <c r="O14" i="132"/>
  <c r="I15" i="132"/>
  <c r="D15" i="132"/>
  <c r="O15" i="132"/>
  <c r="I16" i="132"/>
  <c r="D16" i="132"/>
  <c r="O16" i="132"/>
  <c r="I17" i="132"/>
  <c r="D17" i="132"/>
  <c r="O17" i="132"/>
  <c r="I18" i="132"/>
  <c r="J18" i="132"/>
  <c r="D18" i="132"/>
  <c r="O18" i="132"/>
  <c r="I19" i="132"/>
  <c r="D19" i="132"/>
  <c r="O19" i="132"/>
  <c r="I20" i="132"/>
  <c r="D20" i="132"/>
  <c r="O20" i="132"/>
  <c r="I21" i="132"/>
  <c r="D21" i="132"/>
  <c r="O21" i="132"/>
  <c r="I22" i="132"/>
  <c r="D22" i="132"/>
  <c r="O22" i="132"/>
  <c r="I23" i="132"/>
  <c r="D23" i="132"/>
  <c r="O23" i="132"/>
  <c r="I24" i="132"/>
  <c r="D24" i="132"/>
  <c r="O24" i="132"/>
  <c r="I25" i="132"/>
  <c r="D25" i="132"/>
  <c r="O25" i="132"/>
  <c r="I26" i="132"/>
  <c r="D26" i="132"/>
  <c r="O26" i="132"/>
  <c r="I27" i="132"/>
  <c r="D27" i="132"/>
  <c r="O27" i="132"/>
  <c r="I28" i="132"/>
  <c r="D28" i="132"/>
  <c r="O28" i="132"/>
  <c r="I29" i="132"/>
  <c r="D29" i="132"/>
  <c r="O29" i="132"/>
  <c r="I30" i="132"/>
  <c r="D30" i="132"/>
  <c r="O30" i="132"/>
  <c r="I31" i="132"/>
  <c r="D31" i="132"/>
  <c r="O31" i="132"/>
  <c r="I32" i="132"/>
  <c r="D32" i="132"/>
  <c r="O32" i="132"/>
  <c r="I33" i="132"/>
  <c r="D33" i="132"/>
  <c r="O33" i="132"/>
  <c r="I34" i="132"/>
  <c r="D34" i="132"/>
  <c r="O34" i="132"/>
  <c r="I35" i="132"/>
  <c r="D35" i="132"/>
  <c r="O35" i="132"/>
  <c r="I36" i="132"/>
  <c r="D36" i="132"/>
  <c r="O36" i="132"/>
  <c r="I2" i="132"/>
  <c r="D2" i="132"/>
  <c r="O2" i="132"/>
  <c r="J37" i="135"/>
  <c r="E37" i="135"/>
  <c r="F37" i="135"/>
  <c r="C37" i="135"/>
  <c r="H37" i="135"/>
  <c r="K37" i="135"/>
  <c r="L37" i="135"/>
  <c r="M37" i="135"/>
  <c r="N37" i="135"/>
  <c r="P37" i="135"/>
  <c r="J36" i="134"/>
  <c r="E36" i="134"/>
  <c r="F36" i="134"/>
  <c r="C36" i="134"/>
  <c r="H36" i="134"/>
  <c r="K36" i="134"/>
  <c r="L36" i="134"/>
  <c r="M36" i="134"/>
  <c r="N36" i="134"/>
  <c r="P36" i="134"/>
  <c r="J36" i="132"/>
  <c r="E36" i="132"/>
  <c r="F36" i="132"/>
  <c r="C36" i="132"/>
  <c r="H36" i="132"/>
  <c r="K36" i="132"/>
  <c r="L36" i="132"/>
  <c r="M36" i="132"/>
  <c r="N36" i="132"/>
  <c r="P36" i="132"/>
  <c r="J37" i="133"/>
  <c r="E37" i="133"/>
  <c r="F37" i="133"/>
  <c r="C37" i="133"/>
  <c r="H37" i="133"/>
  <c r="K37" i="133"/>
  <c r="L37" i="133"/>
  <c r="M37" i="133"/>
  <c r="N37" i="133"/>
  <c r="P37" i="133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7" i="131"/>
  <c r="D57" i="131"/>
  <c r="J57" i="131"/>
  <c r="E57" i="131"/>
  <c r="F57" i="131"/>
  <c r="C57" i="131"/>
  <c r="H57" i="131"/>
  <c r="K57" i="131"/>
  <c r="L57" i="131"/>
  <c r="M57" i="131"/>
  <c r="N57" i="131"/>
  <c r="P57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" i="131"/>
  <c r="D6" i="131"/>
  <c r="J6" i="131"/>
  <c r="E6" i="131"/>
  <c r="F6" i="131"/>
  <c r="C6" i="131"/>
  <c r="H6" i="131"/>
  <c r="K6" i="131"/>
  <c r="L6" i="131"/>
  <c r="M6" i="131"/>
  <c r="N6" i="131"/>
  <c r="P6" i="131"/>
  <c r="I7" i="131"/>
  <c r="D7" i="131"/>
  <c r="J7" i="131"/>
  <c r="E7" i="131"/>
  <c r="F7" i="131"/>
  <c r="C7" i="131"/>
  <c r="H7" i="131"/>
  <c r="K7" i="131"/>
  <c r="L7" i="131"/>
  <c r="M7" i="131"/>
  <c r="N7" i="131"/>
  <c r="P7" i="131"/>
  <c r="I8" i="131"/>
  <c r="D8" i="131"/>
  <c r="J8" i="131"/>
  <c r="E8" i="131"/>
  <c r="F8" i="131"/>
  <c r="C8" i="131"/>
  <c r="H8" i="131"/>
  <c r="K8" i="131"/>
  <c r="L8" i="131"/>
  <c r="M8" i="131"/>
  <c r="N8" i="131"/>
  <c r="P8" i="131"/>
  <c r="I9" i="131"/>
  <c r="D9" i="131"/>
  <c r="J9" i="131"/>
  <c r="E9" i="131"/>
  <c r="F9" i="131"/>
  <c r="C9" i="131"/>
  <c r="H9" i="131"/>
  <c r="K9" i="131"/>
  <c r="L9" i="131"/>
  <c r="M9" i="131"/>
  <c r="N9" i="131"/>
  <c r="P9" i="131"/>
  <c r="I10" i="131"/>
  <c r="D10" i="131"/>
  <c r="J10" i="131"/>
  <c r="E10" i="131"/>
  <c r="F10" i="131"/>
  <c r="C10" i="131"/>
  <c r="H10" i="131"/>
  <c r="K10" i="131"/>
  <c r="L10" i="131"/>
  <c r="M10" i="131"/>
  <c r="N10" i="131"/>
  <c r="P1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I12" i="131"/>
  <c r="D12" i="131"/>
  <c r="J12" i="131"/>
  <c r="E12" i="131"/>
  <c r="F12" i="131"/>
  <c r="C12" i="131"/>
  <c r="H12" i="131"/>
  <c r="K12" i="131"/>
  <c r="L12" i="131"/>
  <c r="M12" i="131"/>
  <c r="N12" i="131"/>
  <c r="P12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14" i="131"/>
  <c r="D14" i="131"/>
  <c r="J14" i="131"/>
  <c r="E14" i="131"/>
  <c r="F14" i="131"/>
  <c r="C14" i="131"/>
  <c r="H14" i="131"/>
  <c r="K14" i="131"/>
  <c r="L14" i="131"/>
  <c r="M14" i="131"/>
  <c r="N14" i="131"/>
  <c r="P14" i="131"/>
  <c r="I15" i="131"/>
  <c r="D15" i="131"/>
  <c r="J15" i="131"/>
  <c r="E15" i="131"/>
  <c r="F15" i="131"/>
  <c r="C15" i="131"/>
  <c r="H15" i="131"/>
  <c r="K15" i="131"/>
  <c r="L15" i="131"/>
  <c r="M15" i="131"/>
  <c r="N15" i="131"/>
  <c r="P15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I20" i="131"/>
  <c r="D20" i="131"/>
  <c r="J20" i="131"/>
  <c r="E20" i="131"/>
  <c r="F20" i="131"/>
  <c r="C20" i="131"/>
  <c r="H20" i="131"/>
  <c r="K20" i="131"/>
  <c r="L20" i="131"/>
  <c r="M20" i="131"/>
  <c r="N20" i="131"/>
  <c r="P20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I24" i="131"/>
  <c r="D24" i="131"/>
  <c r="J24" i="131"/>
  <c r="E24" i="131"/>
  <c r="F24" i="131"/>
  <c r="C24" i="131"/>
  <c r="H24" i="131"/>
  <c r="K24" i="131"/>
  <c r="L24" i="131"/>
  <c r="M24" i="131"/>
  <c r="N24" i="131"/>
  <c r="P24" i="131"/>
  <c r="I25" i="131"/>
  <c r="D25" i="131"/>
  <c r="J25" i="131"/>
  <c r="E25" i="131"/>
  <c r="F25" i="131"/>
  <c r="C25" i="131"/>
  <c r="H25" i="131"/>
  <c r="K25" i="131"/>
  <c r="L25" i="131"/>
  <c r="M25" i="131"/>
  <c r="N25" i="131"/>
  <c r="P25" i="131"/>
  <c r="I26" i="131"/>
  <c r="D26" i="131"/>
  <c r="J26" i="131"/>
  <c r="E26" i="131"/>
  <c r="F26" i="131"/>
  <c r="C26" i="131"/>
  <c r="H26" i="131"/>
  <c r="K26" i="131"/>
  <c r="L26" i="131"/>
  <c r="M26" i="131"/>
  <c r="N26" i="131"/>
  <c r="P26" i="131"/>
  <c r="I27" i="131"/>
  <c r="D27" i="131"/>
  <c r="J27" i="131"/>
  <c r="E27" i="131"/>
  <c r="F27" i="131"/>
  <c r="C27" i="131"/>
  <c r="H27" i="131"/>
  <c r="K27" i="131"/>
  <c r="L27" i="131"/>
  <c r="M27" i="131"/>
  <c r="N27" i="131"/>
  <c r="P27" i="131"/>
  <c r="I28" i="131"/>
  <c r="D28" i="131"/>
  <c r="J28" i="131"/>
  <c r="E28" i="131"/>
  <c r="F28" i="131"/>
  <c r="C28" i="131"/>
  <c r="H28" i="131"/>
  <c r="K28" i="131"/>
  <c r="L28" i="131"/>
  <c r="M28" i="131"/>
  <c r="N28" i="131"/>
  <c r="P28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I31" i="131"/>
  <c r="D31" i="131"/>
  <c r="J31" i="131"/>
  <c r="E31" i="131"/>
  <c r="F31" i="131"/>
  <c r="C31" i="131"/>
  <c r="H31" i="131"/>
  <c r="K31" i="131"/>
  <c r="L31" i="131"/>
  <c r="M31" i="131"/>
  <c r="N31" i="131"/>
  <c r="P31" i="131"/>
  <c r="I32" i="131"/>
  <c r="D32" i="131"/>
  <c r="J32" i="131"/>
  <c r="E32" i="131"/>
  <c r="F32" i="131"/>
  <c r="C32" i="131"/>
  <c r="H32" i="131"/>
  <c r="K32" i="131"/>
  <c r="L32" i="131"/>
  <c r="M32" i="131"/>
  <c r="N32" i="131"/>
  <c r="P32" i="131"/>
  <c r="I33" i="131"/>
  <c r="D33" i="131"/>
  <c r="J33" i="131"/>
  <c r="E33" i="131"/>
  <c r="F33" i="131"/>
  <c r="C33" i="131"/>
  <c r="H33" i="131"/>
  <c r="K33" i="131"/>
  <c r="L33" i="131"/>
  <c r="M33" i="131"/>
  <c r="N33" i="131"/>
  <c r="P33" i="131"/>
  <c r="I34" i="131"/>
  <c r="D34" i="131"/>
  <c r="J34" i="131"/>
  <c r="E34" i="131"/>
  <c r="F34" i="131"/>
  <c r="C34" i="131"/>
  <c r="H34" i="131"/>
  <c r="K34" i="131"/>
  <c r="L34" i="131"/>
  <c r="M34" i="131"/>
  <c r="N34" i="131"/>
  <c r="P34" i="131"/>
  <c r="I35" i="131"/>
  <c r="D35" i="131"/>
  <c r="J35" i="131"/>
  <c r="E35" i="131"/>
  <c r="F35" i="131"/>
  <c r="C35" i="131"/>
  <c r="H35" i="131"/>
  <c r="K35" i="131"/>
  <c r="L35" i="131"/>
  <c r="M35" i="131"/>
  <c r="N35" i="131"/>
  <c r="P35" i="131"/>
  <c r="I36" i="131"/>
  <c r="D36" i="131"/>
  <c r="J36" i="131"/>
  <c r="E36" i="131"/>
  <c r="F36" i="131"/>
  <c r="C36" i="131"/>
  <c r="H36" i="131"/>
  <c r="K36" i="131"/>
  <c r="L36" i="131"/>
  <c r="M36" i="131"/>
  <c r="N36" i="131"/>
  <c r="P36" i="131"/>
  <c r="I37" i="131"/>
  <c r="D37" i="131"/>
  <c r="J37" i="131"/>
  <c r="E37" i="131"/>
  <c r="F37" i="131"/>
  <c r="C37" i="131"/>
  <c r="H37" i="131"/>
  <c r="K37" i="131"/>
  <c r="L37" i="131"/>
  <c r="M37" i="131"/>
  <c r="N37" i="131"/>
  <c r="P37" i="131"/>
  <c r="I38" i="131"/>
  <c r="D38" i="131"/>
  <c r="J38" i="131"/>
  <c r="E38" i="131"/>
  <c r="F38" i="131"/>
  <c r="C38" i="131"/>
  <c r="H38" i="131"/>
  <c r="K38" i="131"/>
  <c r="L38" i="131"/>
  <c r="M38" i="131"/>
  <c r="N38" i="131"/>
  <c r="P38" i="131"/>
  <c r="I39" i="131"/>
  <c r="D39" i="131"/>
  <c r="J39" i="131"/>
  <c r="E39" i="131"/>
  <c r="F39" i="131"/>
  <c r="C39" i="131"/>
  <c r="H39" i="131"/>
  <c r="K39" i="131"/>
  <c r="L39" i="131"/>
  <c r="M39" i="131"/>
  <c r="N39" i="131"/>
  <c r="P39" i="131"/>
  <c r="I40" i="131"/>
  <c r="D40" i="131"/>
  <c r="J40" i="131"/>
  <c r="E40" i="131"/>
  <c r="F40" i="131"/>
  <c r="C40" i="131"/>
  <c r="H40" i="131"/>
  <c r="K40" i="131"/>
  <c r="L40" i="131"/>
  <c r="M40" i="131"/>
  <c r="N40" i="131"/>
  <c r="P40" i="131"/>
  <c r="I41" i="131"/>
  <c r="D41" i="131"/>
  <c r="J41" i="131"/>
  <c r="E41" i="131"/>
  <c r="F41" i="131"/>
  <c r="C41" i="131"/>
  <c r="H41" i="131"/>
  <c r="K41" i="131"/>
  <c r="L41" i="131"/>
  <c r="M41" i="131"/>
  <c r="N41" i="131"/>
  <c r="P41" i="131"/>
  <c r="I42" i="131"/>
  <c r="D42" i="131"/>
  <c r="J42" i="131"/>
  <c r="E42" i="131"/>
  <c r="F42" i="131"/>
  <c r="C42" i="131"/>
  <c r="H42" i="131"/>
  <c r="K42" i="131"/>
  <c r="L42" i="131"/>
  <c r="M42" i="131"/>
  <c r="N42" i="131"/>
  <c r="P42" i="131"/>
  <c r="I43" i="131"/>
  <c r="D43" i="131"/>
  <c r="J43" i="131"/>
  <c r="E43" i="131"/>
  <c r="F43" i="131"/>
  <c r="C43" i="131"/>
  <c r="H43" i="131"/>
  <c r="K43" i="131"/>
  <c r="L43" i="131"/>
  <c r="M43" i="131"/>
  <c r="N43" i="131"/>
  <c r="P43" i="131"/>
  <c r="I44" i="131"/>
  <c r="D44" i="131"/>
  <c r="J44" i="131"/>
  <c r="E44" i="131"/>
  <c r="F44" i="131"/>
  <c r="C44" i="131"/>
  <c r="H44" i="131"/>
  <c r="K44" i="131"/>
  <c r="L44" i="131"/>
  <c r="M44" i="131"/>
  <c r="N44" i="131"/>
  <c r="P44" i="131"/>
  <c r="I45" i="131"/>
  <c r="D45" i="131"/>
  <c r="J45" i="131"/>
  <c r="E45" i="131"/>
  <c r="F45" i="131"/>
  <c r="C45" i="131"/>
  <c r="H45" i="131"/>
  <c r="K45" i="131"/>
  <c r="L45" i="131"/>
  <c r="M45" i="131"/>
  <c r="N45" i="131"/>
  <c r="P45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54" i="131"/>
  <c r="D54" i="131"/>
  <c r="J54" i="131"/>
  <c r="E54" i="131"/>
  <c r="F54" i="131"/>
  <c r="C54" i="131"/>
  <c r="H54" i="131"/>
  <c r="K54" i="131"/>
  <c r="L54" i="131"/>
  <c r="M54" i="131"/>
  <c r="N54" i="131"/>
  <c r="P54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C6" i="103"/>
  <c r="E6" i="103"/>
  <c r="C5" i="103"/>
  <c r="E5" i="103"/>
  <c r="C4" i="103"/>
  <c r="E4" i="103"/>
  <c r="J36" i="135"/>
  <c r="E36" i="135"/>
  <c r="F36" i="135"/>
  <c r="C36" i="135"/>
  <c r="H36" i="135"/>
  <c r="K36" i="135"/>
  <c r="L36" i="135"/>
  <c r="M36" i="135"/>
  <c r="N36" i="135"/>
  <c r="P36" i="135"/>
  <c r="P35" i="135"/>
  <c r="N35" i="135"/>
  <c r="M35" i="135"/>
  <c r="L35" i="135"/>
  <c r="K35" i="135"/>
  <c r="J35" i="135"/>
  <c r="H35" i="135"/>
  <c r="F35" i="135"/>
  <c r="E35" i="135"/>
  <c r="C35" i="135"/>
  <c r="P34" i="135"/>
  <c r="N34" i="135"/>
  <c r="M34" i="135"/>
  <c r="L34" i="135"/>
  <c r="K34" i="135"/>
  <c r="J34" i="135"/>
  <c r="H34" i="135"/>
  <c r="F34" i="135"/>
  <c r="E34" i="135"/>
  <c r="C34" i="135"/>
  <c r="P33" i="135"/>
  <c r="N33" i="135"/>
  <c r="M33" i="135"/>
  <c r="L33" i="135"/>
  <c r="K33" i="135"/>
  <c r="J33" i="135"/>
  <c r="H33" i="135"/>
  <c r="F33" i="135"/>
  <c r="E33" i="135"/>
  <c r="C33" i="135"/>
  <c r="P32" i="135"/>
  <c r="N32" i="135"/>
  <c r="M32" i="135"/>
  <c r="L32" i="135"/>
  <c r="K32" i="135"/>
  <c r="J32" i="135"/>
  <c r="H32" i="135"/>
  <c r="F32" i="135"/>
  <c r="E32" i="135"/>
  <c r="C32" i="135"/>
  <c r="P31" i="135"/>
  <c r="N31" i="135"/>
  <c r="M31" i="135"/>
  <c r="L31" i="135"/>
  <c r="K31" i="135"/>
  <c r="J31" i="135"/>
  <c r="H31" i="135"/>
  <c r="F31" i="135"/>
  <c r="E31" i="135"/>
  <c r="C31" i="135"/>
  <c r="P30" i="135"/>
  <c r="N30" i="135"/>
  <c r="M30" i="135"/>
  <c r="L30" i="135"/>
  <c r="K30" i="135"/>
  <c r="J30" i="135"/>
  <c r="H30" i="135"/>
  <c r="F30" i="135"/>
  <c r="E30" i="135"/>
  <c r="C30" i="135"/>
  <c r="P29" i="135"/>
  <c r="N29" i="135"/>
  <c r="M29" i="135"/>
  <c r="L29" i="135"/>
  <c r="K29" i="135"/>
  <c r="J29" i="135"/>
  <c r="H29" i="135"/>
  <c r="F29" i="135"/>
  <c r="E29" i="135"/>
  <c r="C29" i="135"/>
  <c r="P28" i="135"/>
  <c r="N28" i="135"/>
  <c r="M28" i="135"/>
  <c r="L28" i="135"/>
  <c r="K28" i="135"/>
  <c r="J28" i="135"/>
  <c r="H28" i="135"/>
  <c r="F28" i="135"/>
  <c r="E28" i="135"/>
  <c r="C28" i="135"/>
  <c r="P27" i="135"/>
  <c r="N27" i="135"/>
  <c r="M27" i="135"/>
  <c r="L27" i="135"/>
  <c r="K27" i="135"/>
  <c r="J27" i="135"/>
  <c r="H27" i="135"/>
  <c r="F27" i="135"/>
  <c r="E27" i="135"/>
  <c r="C27" i="135"/>
  <c r="P26" i="135"/>
  <c r="N26" i="135"/>
  <c r="M26" i="135"/>
  <c r="L26" i="135"/>
  <c r="K26" i="135"/>
  <c r="J26" i="135"/>
  <c r="H26" i="135"/>
  <c r="F26" i="135"/>
  <c r="E26" i="135"/>
  <c r="C26" i="135"/>
  <c r="P25" i="135"/>
  <c r="N25" i="135"/>
  <c r="M25" i="135"/>
  <c r="L25" i="135"/>
  <c r="K25" i="135"/>
  <c r="J25" i="135"/>
  <c r="H25" i="135"/>
  <c r="F25" i="135"/>
  <c r="E25" i="135"/>
  <c r="C25" i="135"/>
  <c r="P24" i="135"/>
  <c r="N24" i="135"/>
  <c r="M24" i="135"/>
  <c r="L24" i="135"/>
  <c r="K24" i="135"/>
  <c r="J24" i="135"/>
  <c r="H24" i="135"/>
  <c r="F24" i="135"/>
  <c r="E24" i="135"/>
  <c r="C24" i="135"/>
  <c r="P23" i="135"/>
  <c r="N23" i="135"/>
  <c r="M23" i="135"/>
  <c r="L23" i="135"/>
  <c r="K23" i="135"/>
  <c r="J23" i="135"/>
  <c r="H23" i="135"/>
  <c r="F23" i="135"/>
  <c r="E23" i="135"/>
  <c r="C23" i="135"/>
  <c r="P22" i="135"/>
  <c r="N22" i="135"/>
  <c r="M22" i="135"/>
  <c r="L22" i="135"/>
  <c r="K22" i="135"/>
  <c r="J22" i="135"/>
  <c r="H22" i="135"/>
  <c r="F22" i="135"/>
  <c r="E22" i="135"/>
  <c r="C22" i="135"/>
  <c r="P21" i="135"/>
  <c r="N21" i="135"/>
  <c r="M21" i="135"/>
  <c r="L21" i="135"/>
  <c r="K21" i="135"/>
  <c r="J21" i="135"/>
  <c r="H21" i="135"/>
  <c r="F21" i="135"/>
  <c r="E21" i="135"/>
  <c r="C21" i="135"/>
  <c r="P20" i="135"/>
  <c r="N20" i="135"/>
  <c r="M20" i="135"/>
  <c r="L20" i="135"/>
  <c r="K20" i="135"/>
  <c r="J20" i="135"/>
  <c r="H20" i="135"/>
  <c r="F20" i="135"/>
  <c r="E20" i="135"/>
  <c r="C20" i="135"/>
  <c r="P19" i="135"/>
  <c r="N19" i="135"/>
  <c r="M19" i="135"/>
  <c r="L19" i="135"/>
  <c r="K19" i="135"/>
  <c r="H19" i="135"/>
  <c r="F19" i="135"/>
  <c r="E19" i="135"/>
  <c r="C19" i="135"/>
  <c r="P18" i="135"/>
  <c r="N18" i="135"/>
  <c r="M18" i="135"/>
  <c r="L18" i="135"/>
  <c r="K18" i="135"/>
  <c r="H18" i="135"/>
  <c r="F18" i="135"/>
  <c r="E18" i="135"/>
  <c r="C18" i="135"/>
  <c r="P17" i="135"/>
  <c r="N17" i="135"/>
  <c r="M17" i="135"/>
  <c r="L17" i="135"/>
  <c r="K17" i="135"/>
  <c r="J17" i="135"/>
  <c r="H17" i="135"/>
  <c r="F17" i="135"/>
  <c r="E17" i="135"/>
  <c r="C17" i="135"/>
  <c r="P16" i="135"/>
  <c r="N16" i="135"/>
  <c r="M16" i="135"/>
  <c r="L16" i="135"/>
  <c r="K16" i="135"/>
  <c r="J16" i="135"/>
  <c r="H16" i="135"/>
  <c r="F16" i="135"/>
  <c r="E16" i="135"/>
  <c r="C16" i="135"/>
  <c r="P15" i="135"/>
  <c r="N15" i="135"/>
  <c r="M15" i="135"/>
  <c r="L15" i="135"/>
  <c r="K15" i="135"/>
  <c r="J15" i="135"/>
  <c r="H15" i="135"/>
  <c r="F15" i="135"/>
  <c r="E15" i="135"/>
  <c r="C15" i="135"/>
  <c r="P14" i="135"/>
  <c r="N14" i="135"/>
  <c r="M14" i="135"/>
  <c r="L14" i="135"/>
  <c r="K14" i="135"/>
  <c r="J14" i="135"/>
  <c r="H14" i="135"/>
  <c r="F14" i="135"/>
  <c r="E14" i="135"/>
  <c r="C14" i="135"/>
  <c r="P13" i="135"/>
  <c r="N13" i="135"/>
  <c r="M13" i="135"/>
  <c r="L13" i="135"/>
  <c r="K13" i="135"/>
  <c r="J13" i="135"/>
  <c r="H13" i="135"/>
  <c r="F13" i="135"/>
  <c r="E13" i="135"/>
  <c r="C13" i="135"/>
  <c r="P12" i="135"/>
  <c r="N12" i="135"/>
  <c r="M12" i="135"/>
  <c r="L12" i="135"/>
  <c r="K12" i="135"/>
  <c r="J12" i="135"/>
  <c r="H12" i="135"/>
  <c r="F12" i="135"/>
  <c r="E12" i="135"/>
  <c r="C12" i="135"/>
  <c r="P11" i="135"/>
  <c r="N11" i="135"/>
  <c r="M11" i="135"/>
  <c r="L11" i="135"/>
  <c r="K11" i="135"/>
  <c r="J11" i="135"/>
  <c r="H11" i="135"/>
  <c r="F11" i="135"/>
  <c r="E11" i="135"/>
  <c r="C11" i="135"/>
  <c r="P10" i="135"/>
  <c r="N10" i="135"/>
  <c r="M10" i="135"/>
  <c r="L10" i="135"/>
  <c r="K10" i="135"/>
  <c r="J10" i="135"/>
  <c r="H10" i="135"/>
  <c r="F10" i="135"/>
  <c r="E10" i="135"/>
  <c r="C10" i="135"/>
  <c r="P9" i="135"/>
  <c r="N9" i="135"/>
  <c r="M9" i="135"/>
  <c r="L9" i="135"/>
  <c r="K9" i="135"/>
  <c r="J9" i="135"/>
  <c r="H9" i="135"/>
  <c r="F9" i="135"/>
  <c r="E9" i="135"/>
  <c r="C9" i="135"/>
  <c r="P8" i="135"/>
  <c r="N8" i="135"/>
  <c r="M8" i="135"/>
  <c r="L8" i="135"/>
  <c r="K8" i="135"/>
  <c r="J8" i="135"/>
  <c r="H8" i="135"/>
  <c r="F8" i="135"/>
  <c r="E8" i="135"/>
  <c r="C8" i="135"/>
  <c r="P7" i="135"/>
  <c r="N7" i="135"/>
  <c r="M7" i="135"/>
  <c r="L7" i="135"/>
  <c r="K7" i="135"/>
  <c r="J7" i="135"/>
  <c r="H7" i="135"/>
  <c r="F7" i="135"/>
  <c r="E7" i="135"/>
  <c r="C7" i="135"/>
  <c r="P6" i="135"/>
  <c r="N6" i="135"/>
  <c r="M6" i="135"/>
  <c r="L6" i="135"/>
  <c r="K6" i="135"/>
  <c r="J6" i="135"/>
  <c r="H6" i="135"/>
  <c r="F6" i="135"/>
  <c r="E6" i="135"/>
  <c r="C6" i="135"/>
  <c r="P5" i="135"/>
  <c r="N5" i="135"/>
  <c r="M5" i="135"/>
  <c r="L5" i="135"/>
  <c r="K5" i="135"/>
  <c r="J5" i="135"/>
  <c r="H5" i="135"/>
  <c r="F5" i="135"/>
  <c r="E5" i="135"/>
  <c r="C5" i="135"/>
  <c r="P4" i="135"/>
  <c r="N4" i="135"/>
  <c r="M4" i="135"/>
  <c r="L4" i="135"/>
  <c r="K4" i="135"/>
  <c r="J4" i="135"/>
  <c r="H4" i="135"/>
  <c r="F4" i="135"/>
  <c r="E4" i="135"/>
  <c r="C4" i="135"/>
  <c r="P3" i="135"/>
  <c r="N3" i="135"/>
  <c r="M3" i="135"/>
  <c r="L3" i="135"/>
  <c r="K3" i="135"/>
  <c r="J3" i="135"/>
  <c r="H3" i="135"/>
  <c r="F3" i="135"/>
  <c r="E3" i="135"/>
  <c r="C3" i="135"/>
  <c r="P2" i="135"/>
  <c r="N2" i="135"/>
  <c r="M2" i="135"/>
  <c r="L2" i="135"/>
  <c r="K2" i="135"/>
  <c r="J2" i="135"/>
  <c r="H2" i="135"/>
  <c r="F2" i="135"/>
  <c r="E2" i="135"/>
  <c r="C2" i="135"/>
  <c r="J19" i="134"/>
  <c r="P35" i="134"/>
  <c r="N35" i="134"/>
  <c r="M35" i="134"/>
  <c r="L35" i="134"/>
  <c r="K35" i="134"/>
  <c r="J35" i="134"/>
  <c r="H35" i="134"/>
  <c r="F35" i="134"/>
  <c r="E35" i="134"/>
  <c r="C35" i="134"/>
  <c r="P34" i="134"/>
  <c r="N34" i="134"/>
  <c r="M34" i="134"/>
  <c r="L34" i="134"/>
  <c r="K34" i="134"/>
  <c r="J34" i="134"/>
  <c r="H34" i="134"/>
  <c r="F34" i="134"/>
  <c r="E34" i="134"/>
  <c r="C34" i="134"/>
  <c r="P33" i="134"/>
  <c r="N33" i="134"/>
  <c r="M33" i="134"/>
  <c r="L33" i="134"/>
  <c r="K33" i="134"/>
  <c r="J33" i="134"/>
  <c r="H33" i="134"/>
  <c r="F33" i="134"/>
  <c r="E33" i="134"/>
  <c r="C33" i="134"/>
  <c r="P32" i="134"/>
  <c r="N32" i="134"/>
  <c r="M32" i="134"/>
  <c r="L32" i="134"/>
  <c r="K32" i="134"/>
  <c r="J32" i="134"/>
  <c r="H32" i="134"/>
  <c r="F32" i="134"/>
  <c r="E32" i="134"/>
  <c r="C32" i="134"/>
  <c r="P31" i="134"/>
  <c r="N31" i="134"/>
  <c r="M31" i="134"/>
  <c r="L31" i="134"/>
  <c r="K31" i="134"/>
  <c r="J31" i="134"/>
  <c r="H31" i="134"/>
  <c r="F31" i="134"/>
  <c r="E31" i="134"/>
  <c r="C31" i="134"/>
  <c r="P30" i="134"/>
  <c r="N30" i="134"/>
  <c r="M30" i="134"/>
  <c r="L30" i="134"/>
  <c r="K30" i="134"/>
  <c r="J30" i="134"/>
  <c r="H30" i="134"/>
  <c r="F30" i="134"/>
  <c r="E30" i="134"/>
  <c r="C30" i="134"/>
  <c r="P29" i="134"/>
  <c r="N29" i="134"/>
  <c r="M29" i="134"/>
  <c r="L29" i="134"/>
  <c r="K29" i="134"/>
  <c r="J29" i="134"/>
  <c r="H29" i="134"/>
  <c r="F29" i="134"/>
  <c r="E29" i="134"/>
  <c r="C29" i="134"/>
  <c r="P28" i="134"/>
  <c r="N28" i="134"/>
  <c r="M28" i="134"/>
  <c r="L28" i="134"/>
  <c r="K28" i="134"/>
  <c r="J28" i="134"/>
  <c r="H28" i="134"/>
  <c r="F28" i="134"/>
  <c r="E28" i="134"/>
  <c r="C28" i="134"/>
  <c r="P27" i="134"/>
  <c r="N27" i="134"/>
  <c r="M27" i="134"/>
  <c r="L27" i="134"/>
  <c r="K27" i="134"/>
  <c r="J27" i="134"/>
  <c r="H27" i="134"/>
  <c r="F27" i="134"/>
  <c r="E27" i="134"/>
  <c r="C27" i="134"/>
  <c r="P26" i="134"/>
  <c r="N26" i="134"/>
  <c r="M26" i="134"/>
  <c r="L26" i="134"/>
  <c r="K26" i="134"/>
  <c r="J26" i="134"/>
  <c r="H26" i="134"/>
  <c r="F26" i="134"/>
  <c r="E26" i="134"/>
  <c r="C26" i="134"/>
  <c r="P25" i="134"/>
  <c r="N25" i="134"/>
  <c r="M25" i="134"/>
  <c r="L25" i="134"/>
  <c r="K25" i="134"/>
  <c r="J25" i="134"/>
  <c r="H25" i="134"/>
  <c r="F25" i="134"/>
  <c r="E25" i="134"/>
  <c r="C25" i="134"/>
  <c r="P24" i="134"/>
  <c r="N24" i="134"/>
  <c r="M24" i="134"/>
  <c r="L24" i="134"/>
  <c r="K24" i="134"/>
  <c r="J24" i="134"/>
  <c r="H24" i="134"/>
  <c r="F24" i="134"/>
  <c r="E24" i="134"/>
  <c r="C24" i="134"/>
  <c r="P23" i="134"/>
  <c r="N23" i="134"/>
  <c r="M23" i="134"/>
  <c r="L23" i="134"/>
  <c r="K23" i="134"/>
  <c r="J23" i="134"/>
  <c r="H23" i="134"/>
  <c r="F23" i="134"/>
  <c r="E23" i="134"/>
  <c r="C23" i="134"/>
  <c r="P22" i="134"/>
  <c r="N22" i="134"/>
  <c r="M22" i="134"/>
  <c r="L22" i="134"/>
  <c r="K22" i="134"/>
  <c r="J22" i="134"/>
  <c r="H22" i="134"/>
  <c r="F22" i="134"/>
  <c r="E22" i="134"/>
  <c r="C22" i="134"/>
  <c r="P21" i="134"/>
  <c r="N21" i="134"/>
  <c r="M21" i="134"/>
  <c r="L21" i="134"/>
  <c r="K21" i="134"/>
  <c r="J21" i="134"/>
  <c r="H21" i="134"/>
  <c r="F21" i="134"/>
  <c r="E21" i="134"/>
  <c r="C21" i="134"/>
  <c r="P20" i="134"/>
  <c r="N20" i="134"/>
  <c r="M20" i="134"/>
  <c r="L20" i="134"/>
  <c r="K20" i="134"/>
  <c r="J20" i="134"/>
  <c r="H20" i="134"/>
  <c r="F20" i="134"/>
  <c r="E20" i="134"/>
  <c r="C20" i="134"/>
  <c r="P19" i="134"/>
  <c r="N19" i="134"/>
  <c r="M19" i="134"/>
  <c r="L19" i="134"/>
  <c r="K19" i="134"/>
  <c r="H19" i="134"/>
  <c r="F19" i="134"/>
  <c r="E19" i="134"/>
  <c r="C19" i="134"/>
  <c r="P18" i="134"/>
  <c r="N18" i="134"/>
  <c r="M18" i="134"/>
  <c r="L18" i="134"/>
  <c r="K18" i="134"/>
  <c r="H18" i="134"/>
  <c r="F18" i="134"/>
  <c r="E18" i="134"/>
  <c r="C18" i="134"/>
  <c r="P17" i="134"/>
  <c r="N17" i="134"/>
  <c r="M17" i="134"/>
  <c r="L17" i="134"/>
  <c r="K17" i="134"/>
  <c r="J17" i="134"/>
  <c r="H17" i="134"/>
  <c r="F17" i="134"/>
  <c r="E17" i="134"/>
  <c r="C17" i="134"/>
  <c r="P16" i="134"/>
  <c r="N16" i="134"/>
  <c r="M16" i="134"/>
  <c r="L16" i="134"/>
  <c r="K16" i="134"/>
  <c r="J16" i="134"/>
  <c r="H16" i="134"/>
  <c r="F16" i="134"/>
  <c r="E16" i="134"/>
  <c r="C16" i="134"/>
  <c r="P15" i="134"/>
  <c r="N15" i="134"/>
  <c r="M15" i="134"/>
  <c r="L15" i="134"/>
  <c r="K15" i="134"/>
  <c r="J15" i="134"/>
  <c r="H15" i="134"/>
  <c r="F15" i="134"/>
  <c r="E15" i="134"/>
  <c r="C15" i="134"/>
  <c r="P14" i="134"/>
  <c r="N14" i="134"/>
  <c r="M14" i="134"/>
  <c r="L14" i="134"/>
  <c r="K14" i="134"/>
  <c r="J14" i="134"/>
  <c r="H14" i="134"/>
  <c r="F14" i="134"/>
  <c r="E14" i="134"/>
  <c r="C14" i="134"/>
  <c r="P13" i="134"/>
  <c r="N13" i="134"/>
  <c r="M13" i="134"/>
  <c r="L13" i="134"/>
  <c r="K13" i="134"/>
  <c r="J13" i="134"/>
  <c r="H13" i="134"/>
  <c r="F13" i="134"/>
  <c r="E13" i="134"/>
  <c r="C13" i="134"/>
  <c r="P12" i="134"/>
  <c r="N12" i="134"/>
  <c r="M12" i="134"/>
  <c r="L12" i="134"/>
  <c r="K12" i="134"/>
  <c r="J12" i="134"/>
  <c r="H12" i="134"/>
  <c r="F12" i="134"/>
  <c r="E12" i="134"/>
  <c r="C12" i="134"/>
  <c r="P11" i="134"/>
  <c r="N11" i="134"/>
  <c r="M11" i="134"/>
  <c r="L11" i="134"/>
  <c r="K11" i="134"/>
  <c r="J11" i="134"/>
  <c r="H11" i="134"/>
  <c r="F11" i="134"/>
  <c r="E11" i="134"/>
  <c r="C11" i="134"/>
  <c r="P10" i="134"/>
  <c r="N10" i="134"/>
  <c r="M10" i="134"/>
  <c r="L10" i="134"/>
  <c r="K10" i="134"/>
  <c r="J10" i="134"/>
  <c r="H10" i="134"/>
  <c r="F10" i="134"/>
  <c r="E10" i="134"/>
  <c r="C10" i="134"/>
  <c r="P9" i="134"/>
  <c r="N9" i="134"/>
  <c r="M9" i="134"/>
  <c r="L9" i="134"/>
  <c r="K9" i="134"/>
  <c r="J9" i="134"/>
  <c r="H9" i="134"/>
  <c r="F9" i="134"/>
  <c r="E9" i="134"/>
  <c r="C9" i="134"/>
  <c r="P8" i="134"/>
  <c r="N8" i="134"/>
  <c r="M8" i="134"/>
  <c r="L8" i="134"/>
  <c r="K8" i="134"/>
  <c r="J8" i="134"/>
  <c r="H8" i="134"/>
  <c r="F8" i="134"/>
  <c r="E8" i="134"/>
  <c r="C8" i="134"/>
  <c r="P7" i="134"/>
  <c r="N7" i="134"/>
  <c r="M7" i="134"/>
  <c r="L7" i="134"/>
  <c r="K7" i="134"/>
  <c r="J7" i="134"/>
  <c r="H7" i="134"/>
  <c r="F7" i="134"/>
  <c r="E7" i="134"/>
  <c r="C7" i="134"/>
  <c r="P6" i="134"/>
  <c r="N6" i="134"/>
  <c r="M6" i="134"/>
  <c r="L6" i="134"/>
  <c r="K6" i="134"/>
  <c r="J6" i="134"/>
  <c r="H6" i="134"/>
  <c r="F6" i="134"/>
  <c r="E6" i="134"/>
  <c r="C6" i="134"/>
  <c r="P5" i="134"/>
  <c r="N5" i="134"/>
  <c r="M5" i="134"/>
  <c r="L5" i="134"/>
  <c r="K5" i="134"/>
  <c r="J5" i="134"/>
  <c r="H5" i="134"/>
  <c r="F5" i="134"/>
  <c r="E5" i="134"/>
  <c r="C5" i="134"/>
  <c r="P4" i="134"/>
  <c r="N4" i="134"/>
  <c r="M4" i="134"/>
  <c r="L4" i="134"/>
  <c r="K4" i="134"/>
  <c r="J4" i="134"/>
  <c r="H4" i="134"/>
  <c r="F4" i="134"/>
  <c r="E4" i="134"/>
  <c r="C4" i="134"/>
  <c r="P3" i="134"/>
  <c r="N3" i="134"/>
  <c r="M3" i="134"/>
  <c r="L3" i="134"/>
  <c r="K3" i="134"/>
  <c r="J3" i="134"/>
  <c r="H3" i="134"/>
  <c r="F3" i="134"/>
  <c r="E3" i="134"/>
  <c r="C3" i="134"/>
  <c r="P2" i="134"/>
  <c r="N2" i="134"/>
  <c r="M2" i="134"/>
  <c r="L2" i="134"/>
  <c r="K2" i="134"/>
  <c r="J2" i="134"/>
  <c r="H2" i="134"/>
  <c r="F2" i="134"/>
  <c r="E2" i="134"/>
  <c r="C2" i="134"/>
  <c r="J36" i="133"/>
  <c r="E36" i="133"/>
  <c r="F36" i="133"/>
  <c r="C36" i="133"/>
  <c r="H36" i="133"/>
  <c r="K36" i="133"/>
  <c r="L36" i="133"/>
  <c r="M36" i="133"/>
  <c r="N36" i="133"/>
  <c r="P36" i="133"/>
  <c r="P35" i="133"/>
  <c r="N35" i="133"/>
  <c r="M35" i="133"/>
  <c r="L35" i="133"/>
  <c r="K35" i="133"/>
  <c r="J35" i="133"/>
  <c r="H35" i="133"/>
  <c r="F35" i="133"/>
  <c r="E35" i="133"/>
  <c r="C35" i="133"/>
  <c r="P34" i="133"/>
  <c r="N34" i="133"/>
  <c r="M34" i="133"/>
  <c r="L34" i="133"/>
  <c r="K34" i="133"/>
  <c r="J34" i="133"/>
  <c r="H34" i="133"/>
  <c r="F34" i="133"/>
  <c r="E34" i="133"/>
  <c r="C34" i="133"/>
  <c r="P33" i="133"/>
  <c r="N33" i="133"/>
  <c r="M33" i="133"/>
  <c r="L33" i="133"/>
  <c r="K33" i="133"/>
  <c r="J33" i="133"/>
  <c r="H33" i="133"/>
  <c r="F33" i="133"/>
  <c r="E33" i="133"/>
  <c r="C33" i="133"/>
  <c r="P32" i="133"/>
  <c r="N32" i="133"/>
  <c r="M32" i="133"/>
  <c r="L32" i="133"/>
  <c r="K32" i="133"/>
  <c r="J32" i="133"/>
  <c r="H32" i="133"/>
  <c r="F32" i="133"/>
  <c r="E32" i="133"/>
  <c r="C32" i="133"/>
  <c r="P31" i="133"/>
  <c r="N31" i="133"/>
  <c r="M31" i="133"/>
  <c r="L31" i="133"/>
  <c r="K31" i="133"/>
  <c r="J31" i="133"/>
  <c r="H31" i="133"/>
  <c r="F31" i="133"/>
  <c r="E31" i="133"/>
  <c r="C31" i="133"/>
  <c r="P30" i="133"/>
  <c r="N30" i="133"/>
  <c r="M30" i="133"/>
  <c r="L30" i="133"/>
  <c r="K30" i="133"/>
  <c r="J30" i="133"/>
  <c r="H30" i="133"/>
  <c r="F30" i="133"/>
  <c r="E30" i="133"/>
  <c r="C30" i="133"/>
  <c r="P29" i="133"/>
  <c r="N29" i="133"/>
  <c r="M29" i="133"/>
  <c r="L29" i="133"/>
  <c r="K29" i="133"/>
  <c r="J29" i="133"/>
  <c r="H29" i="133"/>
  <c r="F29" i="133"/>
  <c r="E29" i="133"/>
  <c r="C29" i="133"/>
  <c r="P28" i="133"/>
  <c r="N28" i="133"/>
  <c r="M28" i="133"/>
  <c r="L28" i="133"/>
  <c r="K28" i="133"/>
  <c r="J28" i="133"/>
  <c r="H28" i="133"/>
  <c r="F28" i="133"/>
  <c r="E28" i="133"/>
  <c r="C28" i="133"/>
  <c r="P27" i="133"/>
  <c r="N27" i="133"/>
  <c r="M27" i="133"/>
  <c r="L27" i="133"/>
  <c r="K27" i="133"/>
  <c r="J27" i="133"/>
  <c r="H27" i="133"/>
  <c r="F27" i="133"/>
  <c r="E27" i="133"/>
  <c r="C27" i="133"/>
  <c r="P26" i="133"/>
  <c r="N26" i="133"/>
  <c r="M26" i="133"/>
  <c r="L26" i="133"/>
  <c r="K26" i="133"/>
  <c r="J26" i="133"/>
  <c r="H26" i="133"/>
  <c r="F26" i="133"/>
  <c r="E26" i="133"/>
  <c r="C26" i="133"/>
  <c r="P25" i="133"/>
  <c r="N25" i="133"/>
  <c r="M25" i="133"/>
  <c r="L25" i="133"/>
  <c r="K25" i="133"/>
  <c r="J25" i="133"/>
  <c r="H25" i="133"/>
  <c r="F25" i="133"/>
  <c r="E25" i="133"/>
  <c r="C25" i="133"/>
  <c r="P24" i="133"/>
  <c r="N24" i="133"/>
  <c r="M24" i="133"/>
  <c r="L24" i="133"/>
  <c r="K24" i="133"/>
  <c r="J24" i="133"/>
  <c r="H24" i="133"/>
  <c r="F24" i="133"/>
  <c r="E24" i="133"/>
  <c r="C24" i="133"/>
  <c r="P23" i="133"/>
  <c r="N23" i="133"/>
  <c r="M23" i="133"/>
  <c r="L23" i="133"/>
  <c r="K23" i="133"/>
  <c r="J23" i="133"/>
  <c r="H23" i="133"/>
  <c r="F23" i="133"/>
  <c r="E23" i="133"/>
  <c r="C23" i="133"/>
  <c r="P22" i="133"/>
  <c r="N22" i="133"/>
  <c r="M22" i="133"/>
  <c r="L22" i="133"/>
  <c r="K22" i="133"/>
  <c r="J22" i="133"/>
  <c r="H22" i="133"/>
  <c r="F22" i="133"/>
  <c r="E22" i="133"/>
  <c r="C22" i="133"/>
  <c r="P21" i="133"/>
  <c r="N21" i="133"/>
  <c r="M21" i="133"/>
  <c r="L21" i="133"/>
  <c r="K21" i="133"/>
  <c r="J21" i="133"/>
  <c r="H21" i="133"/>
  <c r="F21" i="133"/>
  <c r="E21" i="133"/>
  <c r="C21" i="133"/>
  <c r="P20" i="133"/>
  <c r="N20" i="133"/>
  <c r="M20" i="133"/>
  <c r="L20" i="133"/>
  <c r="K20" i="133"/>
  <c r="J20" i="133"/>
  <c r="H20" i="133"/>
  <c r="F20" i="133"/>
  <c r="E20" i="133"/>
  <c r="C20" i="133"/>
  <c r="P19" i="133"/>
  <c r="N19" i="133"/>
  <c r="M19" i="133"/>
  <c r="L19" i="133"/>
  <c r="K19" i="133"/>
  <c r="H19" i="133"/>
  <c r="F19" i="133"/>
  <c r="E19" i="133"/>
  <c r="C19" i="133"/>
  <c r="P18" i="133"/>
  <c r="N18" i="133"/>
  <c r="M18" i="133"/>
  <c r="L18" i="133"/>
  <c r="K18" i="133"/>
  <c r="H18" i="133"/>
  <c r="F18" i="133"/>
  <c r="E18" i="133"/>
  <c r="C18" i="133"/>
  <c r="P17" i="133"/>
  <c r="N17" i="133"/>
  <c r="M17" i="133"/>
  <c r="L17" i="133"/>
  <c r="K17" i="133"/>
  <c r="J17" i="133"/>
  <c r="H17" i="133"/>
  <c r="F17" i="133"/>
  <c r="E17" i="133"/>
  <c r="C17" i="133"/>
  <c r="P16" i="133"/>
  <c r="N16" i="133"/>
  <c r="M16" i="133"/>
  <c r="L16" i="133"/>
  <c r="K16" i="133"/>
  <c r="J16" i="133"/>
  <c r="H16" i="133"/>
  <c r="F16" i="133"/>
  <c r="E16" i="133"/>
  <c r="C16" i="133"/>
  <c r="P15" i="133"/>
  <c r="N15" i="133"/>
  <c r="M15" i="133"/>
  <c r="L15" i="133"/>
  <c r="K15" i="133"/>
  <c r="J15" i="133"/>
  <c r="H15" i="133"/>
  <c r="F15" i="133"/>
  <c r="E15" i="133"/>
  <c r="C15" i="133"/>
  <c r="P14" i="133"/>
  <c r="N14" i="133"/>
  <c r="M14" i="133"/>
  <c r="L14" i="133"/>
  <c r="K14" i="133"/>
  <c r="J14" i="133"/>
  <c r="H14" i="133"/>
  <c r="F14" i="133"/>
  <c r="E14" i="133"/>
  <c r="C14" i="133"/>
  <c r="P13" i="133"/>
  <c r="N13" i="133"/>
  <c r="M13" i="133"/>
  <c r="L13" i="133"/>
  <c r="K13" i="133"/>
  <c r="J13" i="133"/>
  <c r="H13" i="133"/>
  <c r="F13" i="133"/>
  <c r="E13" i="133"/>
  <c r="C13" i="133"/>
  <c r="P12" i="133"/>
  <c r="N12" i="133"/>
  <c r="M12" i="133"/>
  <c r="L12" i="133"/>
  <c r="K12" i="133"/>
  <c r="J12" i="133"/>
  <c r="H12" i="133"/>
  <c r="F12" i="133"/>
  <c r="E12" i="133"/>
  <c r="C12" i="133"/>
  <c r="P11" i="133"/>
  <c r="N11" i="133"/>
  <c r="M11" i="133"/>
  <c r="L11" i="133"/>
  <c r="K11" i="133"/>
  <c r="J11" i="133"/>
  <c r="H11" i="133"/>
  <c r="F11" i="133"/>
  <c r="E11" i="133"/>
  <c r="C11" i="133"/>
  <c r="P10" i="133"/>
  <c r="N10" i="133"/>
  <c r="M10" i="133"/>
  <c r="L10" i="133"/>
  <c r="K10" i="133"/>
  <c r="J10" i="133"/>
  <c r="H10" i="133"/>
  <c r="F10" i="133"/>
  <c r="E10" i="133"/>
  <c r="C10" i="133"/>
  <c r="P9" i="133"/>
  <c r="N9" i="133"/>
  <c r="M9" i="133"/>
  <c r="L9" i="133"/>
  <c r="K9" i="133"/>
  <c r="J9" i="133"/>
  <c r="H9" i="133"/>
  <c r="F9" i="133"/>
  <c r="E9" i="133"/>
  <c r="C9" i="133"/>
  <c r="P8" i="133"/>
  <c r="N8" i="133"/>
  <c r="M8" i="133"/>
  <c r="L8" i="133"/>
  <c r="K8" i="133"/>
  <c r="J8" i="133"/>
  <c r="H8" i="133"/>
  <c r="F8" i="133"/>
  <c r="E8" i="133"/>
  <c r="C8" i="133"/>
  <c r="P7" i="133"/>
  <c r="N7" i="133"/>
  <c r="M7" i="133"/>
  <c r="L7" i="133"/>
  <c r="K7" i="133"/>
  <c r="J7" i="133"/>
  <c r="H7" i="133"/>
  <c r="F7" i="133"/>
  <c r="E7" i="133"/>
  <c r="C7" i="133"/>
  <c r="P6" i="133"/>
  <c r="N6" i="133"/>
  <c r="M6" i="133"/>
  <c r="L6" i="133"/>
  <c r="K6" i="133"/>
  <c r="J6" i="133"/>
  <c r="H6" i="133"/>
  <c r="F6" i="133"/>
  <c r="E6" i="133"/>
  <c r="C6" i="133"/>
  <c r="P5" i="133"/>
  <c r="N5" i="133"/>
  <c r="M5" i="133"/>
  <c r="L5" i="133"/>
  <c r="K5" i="133"/>
  <c r="J5" i="133"/>
  <c r="H5" i="133"/>
  <c r="F5" i="133"/>
  <c r="E5" i="133"/>
  <c r="C5" i="133"/>
  <c r="P4" i="133"/>
  <c r="N4" i="133"/>
  <c r="M4" i="133"/>
  <c r="L4" i="133"/>
  <c r="K4" i="133"/>
  <c r="J4" i="133"/>
  <c r="H4" i="133"/>
  <c r="F4" i="133"/>
  <c r="E4" i="133"/>
  <c r="C4" i="133"/>
  <c r="P3" i="133"/>
  <c r="N3" i="133"/>
  <c r="M3" i="133"/>
  <c r="L3" i="133"/>
  <c r="K3" i="133"/>
  <c r="J3" i="133"/>
  <c r="H3" i="133"/>
  <c r="F3" i="133"/>
  <c r="E3" i="133"/>
  <c r="C3" i="133"/>
  <c r="P2" i="133"/>
  <c r="N2" i="133"/>
  <c r="M2" i="133"/>
  <c r="L2" i="133"/>
  <c r="K2" i="133"/>
  <c r="J2" i="133"/>
  <c r="H2" i="133"/>
  <c r="F2" i="133"/>
  <c r="E2" i="133"/>
  <c r="C2" i="133"/>
  <c r="C2" i="103"/>
  <c r="E2" i="103"/>
  <c r="J2" i="132"/>
  <c r="J3" i="132"/>
  <c r="J4" i="132"/>
  <c r="J5" i="132"/>
  <c r="J6" i="132"/>
  <c r="J7" i="132"/>
  <c r="J8" i="132"/>
  <c r="J9" i="132"/>
  <c r="J10" i="132"/>
  <c r="J11" i="132"/>
  <c r="J12" i="132"/>
  <c r="J13" i="132"/>
  <c r="J14" i="132"/>
  <c r="J15" i="132"/>
  <c r="J16" i="132"/>
  <c r="J17" i="132"/>
  <c r="J19" i="132"/>
  <c r="J20" i="132"/>
  <c r="J21" i="132"/>
  <c r="J22" i="132"/>
  <c r="J23" i="132"/>
  <c r="J24" i="132"/>
  <c r="J25" i="132"/>
  <c r="J26" i="132"/>
  <c r="J27" i="132"/>
  <c r="J28" i="132"/>
  <c r="J29" i="132"/>
  <c r="J30" i="132"/>
  <c r="J31" i="132"/>
  <c r="J32" i="132"/>
  <c r="J33" i="132"/>
  <c r="J34" i="132"/>
  <c r="J35" i="132"/>
  <c r="P35" i="132"/>
  <c r="N35" i="132"/>
  <c r="M35" i="132"/>
  <c r="L35" i="132"/>
  <c r="K35" i="132"/>
  <c r="H35" i="132"/>
  <c r="F35" i="132"/>
  <c r="E35" i="132"/>
  <c r="C35" i="132"/>
  <c r="P34" i="132"/>
  <c r="N34" i="132"/>
  <c r="M34" i="132"/>
  <c r="L34" i="132"/>
  <c r="K34" i="132"/>
  <c r="H34" i="132"/>
  <c r="F34" i="132"/>
  <c r="E34" i="132"/>
  <c r="C34" i="132"/>
  <c r="P33" i="132"/>
  <c r="N33" i="132"/>
  <c r="M33" i="132"/>
  <c r="L33" i="132"/>
  <c r="K33" i="132"/>
  <c r="H33" i="132"/>
  <c r="F33" i="132"/>
  <c r="E33" i="132"/>
  <c r="C33" i="132"/>
  <c r="P32" i="132"/>
  <c r="N32" i="132"/>
  <c r="M32" i="132"/>
  <c r="L32" i="132"/>
  <c r="K32" i="132"/>
  <c r="H32" i="132"/>
  <c r="F32" i="132"/>
  <c r="E32" i="132"/>
  <c r="C32" i="132"/>
  <c r="P31" i="132"/>
  <c r="N31" i="132"/>
  <c r="M31" i="132"/>
  <c r="L31" i="132"/>
  <c r="K31" i="132"/>
  <c r="H31" i="132"/>
  <c r="F31" i="132"/>
  <c r="E31" i="132"/>
  <c r="C31" i="132"/>
  <c r="P30" i="132"/>
  <c r="N30" i="132"/>
  <c r="M30" i="132"/>
  <c r="L30" i="132"/>
  <c r="K30" i="132"/>
  <c r="H30" i="132"/>
  <c r="F30" i="132"/>
  <c r="E30" i="132"/>
  <c r="C30" i="132"/>
  <c r="P29" i="132"/>
  <c r="N29" i="132"/>
  <c r="M29" i="132"/>
  <c r="L29" i="132"/>
  <c r="K29" i="132"/>
  <c r="H29" i="132"/>
  <c r="F29" i="132"/>
  <c r="E29" i="132"/>
  <c r="C29" i="132"/>
  <c r="P28" i="132"/>
  <c r="N28" i="132"/>
  <c r="M28" i="132"/>
  <c r="L28" i="132"/>
  <c r="K28" i="132"/>
  <c r="H28" i="132"/>
  <c r="F28" i="132"/>
  <c r="E28" i="132"/>
  <c r="C28" i="132"/>
  <c r="P27" i="132"/>
  <c r="N27" i="132"/>
  <c r="M27" i="132"/>
  <c r="L27" i="132"/>
  <c r="K27" i="132"/>
  <c r="H27" i="132"/>
  <c r="F27" i="132"/>
  <c r="E27" i="132"/>
  <c r="C27" i="132"/>
  <c r="P26" i="132"/>
  <c r="N26" i="132"/>
  <c r="M26" i="132"/>
  <c r="L26" i="132"/>
  <c r="K26" i="132"/>
  <c r="H26" i="132"/>
  <c r="F26" i="132"/>
  <c r="E26" i="132"/>
  <c r="C26" i="132"/>
  <c r="P25" i="132"/>
  <c r="N25" i="132"/>
  <c r="M25" i="132"/>
  <c r="L25" i="132"/>
  <c r="K25" i="132"/>
  <c r="H25" i="132"/>
  <c r="F25" i="132"/>
  <c r="E25" i="132"/>
  <c r="C25" i="132"/>
  <c r="P24" i="132"/>
  <c r="N24" i="132"/>
  <c r="M24" i="132"/>
  <c r="L24" i="132"/>
  <c r="K24" i="132"/>
  <c r="H24" i="132"/>
  <c r="F24" i="132"/>
  <c r="E24" i="132"/>
  <c r="C24" i="132"/>
  <c r="P23" i="132"/>
  <c r="N23" i="132"/>
  <c r="M23" i="132"/>
  <c r="L23" i="132"/>
  <c r="K23" i="132"/>
  <c r="H23" i="132"/>
  <c r="F23" i="132"/>
  <c r="E23" i="132"/>
  <c r="C23" i="132"/>
  <c r="P22" i="132"/>
  <c r="N22" i="132"/>
  <c r="M22" i="132"/>
  <c r="L22" i="132"/>
  <c r="K22" i="132"/>
  <c r="H22" i="132"/>
  <c r="F22" i="132"/>
  <c r="E22" i="132"/>
  <c r="C22" i="132"/>
  <c r="P21" i="132"/>
  <c r="N21" i="132"/>
  <c r="M21" i="132"/>
  <c r="L21" i="132"/>
  <c r="K21" i="132"/>
  <c r="H21" i="132"/>
  <c r="F21" i="132"/>
  <c r="E21" i="132"/>
  <c r="C21" i="132"/>
  <c r="P20" i="132"/>
  <c r="N20" i="132"/>
  <c r="M20" i="132"/>
  <c r="L20" i="132"/>
  <c r="K20" i="132"/>
  <c r="H20" i="132"/>
  <c r="F20" i="132"/>
  <c r="E20" i="132"/>
  <c r="C20" i="132"/>
  <c r="P19" i="132"/>
  <c r="N19" i="132"/>
  <c r="M19" i="132"/>
  <c r="L19" i="132"/>
  <c r="K19" i="132"/>
  <c r="H19" i="132"/>
  <c r="F19" i="132"/>
  <c r="E19" i="132"/>
  <c r="C19" i="132"/>
  <c r="P18" i="132"/>
  <c r="N18" i="132"/>
  <c r="M18" i="132"/>
  <c r="L18" i="132"/>
  <c r="K18" i="132"/>
  <c r="H18" i="132"/>
  <c r="F18" i="132"/>
  <c r="E18" i="132"/>
  <c r="C18" i="132"/>
  <c r="P17" i="132"/>
  <c r="N17" i="132"/>
  <c r="M17" i="132"/>
  <c r="L17" i="132"/>
  <c r="K17" i="132"/>
  <c r="H17" i="132"/>
  <c r="F17" i="132"/>
  <c r="E17" i="132"/>
  <c r="C17" i="132"/>
  <c r="P16" i="132"/>
  <c r="N16" i="132"/>
  <c r="M16" i="132"/>
  <c r="L16" i="132"/>
  <c r="K16" i="132"/>
  <c r="H16" i="132"/>
  <c r="F16" i="132"/>
  <c r="E16" i="132"/>
  <c r="C16" i="132"/>
  <c r="P15" i="132"/>
  <c r="N15" i="132"/>
  <c r="M15" i="132"/>
  <c r="L15" i="132"/>
  <c r="K15" i="132"/>
  <c r="H15" i="132"/>
  <c r="F15" i="132"/>
  <c r="E15" i="132"/>
  <c r="C15" i="132"/>
  <c r="P14" i="132"/>
  <c r="N14" i="132"/>
  <c r="M14" i="132"/>
  <c r="L14" i="132"/>
  <c r="K14" i="132"/>
  <c r="H14" i="132"/>
  <c r="F14" i="132"/>
  <c r="E14" i="132"/>
  <c r="C14" i="132"/>
  <c r="P13" i="132"/>
  <c r="N13" i="132"/>
  <c r="M13" i="132"/>
  <c r="L13" i="132"/>
  <c r="K13" i="132"/>
  <c r="H13" i="132"/>
  <c r="F13" i="132"/>
  <c r="E13" i="132"/>
  <c r="C13" i="132"/>
  <c r="P12" i="132"/>
  <c r="N12" i="132"/>
  <c r="M12" i="132"/>
  <c r="L12" i="132"/>
  <c r="K12" i="132"/>
  <c r="H12" i="132"/>
  <c r="F12" i="132"/>
  <c r="E12" i="132"/>
  <c r="C12" i="132"/>
  <c r="P11" i="132"/>
  <c r="N11" i="132"/>
  <c r="M11" i="132"/>
  <c r="L11" i="132"/>
  <c r="K11" i="132"/>
  <c r="H11" i="132"/>
  <c r="F11" i="132"/>
  <c r="E11" i="132"/>
  <c r="C11" i="132"/>
  <c r="P10" i="132"/>
  <c r="N10" i="132"/>
  <c r="M10" i="132"/>
  <c r="L10" i="132"/>
  <c r="K10" i="132"/>
  <c r="H10" i="132"/>
  <c r="F10" i="132"/>
  <c r="E10" i="132"/>
  <c r="C10" i="132"/>
  <c r="P9" i="132"/>
  <c r="N9" i="132"/>
  <c r="M9" i="132"/>
  <c r="L9" i="132"/>
  <c r="K9" i="132"/>
  <c r="H9" i="132"/>
  <c r="F9" i="132"/>
  <c r="E9" i="132"/>
  <c r="C9" i="132"/>
  <c r="P8" i="132"/>
  <c r="N8" i="132"/>
  <c r="M8" i="132"/>
  <c r="L8" i="132"/>
  <c r="K8" i="132"/>
  <c r="H8" i="132"/>
  <c r="F8" i="132"/>
  <c r="E8" i="132"/>
  <c r="C8" i="132"/>
  <c r="P7" i="132"/>
  <c r="N7" i="132"/>
  <c r="M7" i="132"/>
  <c r="L7" i="132"/>
  <c r="K7" i="132"/>
  <c r="H7" i="132"/>
  <c r="F7" i="132"/>
  <c r="E7" i="132"/>
  <c r="C7" i="132"/>
  <c r="P6" i="132"/>
  <c r="N6" i="132"/>
  <c r="M6" i="132"/>
  <c r="L6" i="132"/>
  <c r="K6" i="132"/>
  <c r="H6" i="132"/>
  <c r="F6" i="132"/>
  <c r="E6" i="132"/>
  <c r="C6" i="132"/>
  <c r="P5" i="132"/>
  <c r="N5" i="132"/>
  <c r="M5" i="132"/>
  <c r="L5" i="132"/>
  <c r="K5" i="132"/>
  <c r="H5" i="132"/>
  <c r="F5" i="132"/>
  <c r="E5" i="132"/>
  <c r="C5" i="132"/>
  <c r="P4" i="132"/>
  <c r="N4" i="132"/>
  <c r="M4" i="132"/>
  <c r="L4" i="132"/>
  <c r="K4" i="132"/>
  <c r="H4" i="132"/>
  <c r="F4" i="132"/>
  <c r="E4" i="132"/>
  <c r="C4" i="132"/>
  <c r="P3" i="132"/>
  <c r="N3" i="132"/>
  <c r="M3" i="132"/>
  <c r="L3" i="132"/>
  <c r="K3" i="132"/>
  <c r="H3" i="132"/>
  <c r="F3" i="132"/>
  <c r="E3" i="132"/>
  <c r="C3" i="132"/>
  <c r="P2" i="132"/>
  <c r="N2" i="132"/>
  <c r="M2" i="132"/>
  <c r="L2" i="132"/>
  <c r="K2" i="132"/>
  <c r="H2" i="132"/>
  <c r="F2" i="132"/>
  <c r="E2" i="132"/>
  <c r="C2" i="132"/>
  <c r="I2" i="131"/>
  <c r="D2" i="131"/>
  <c r="J2" i="131"/>
  <c r="E2" i="131"/>
  <c r="F2" i="131"/>
  <c r="C2" i="131"/>
  <c r="H2" i="131"/>
  <c r="K2" i="131"/>
  <c r="L2" i="131"/>
  <c r="M2" i="131"/>
  <c r="N2" i="131"/>
  <c r="P2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I4" i="131"/>
  <c r="D4" i="131"/>
  <c r="J4" i="131"/>
  <c r="E4" i="131"/>
  <c r="F4" i="131"/>
  <c r="C4" i="131"/>
  <c r="H4" i="131"/>
  <c r="K4" i="131"/>
  <c r="L4" i="131"/>
  <c r="M4" i="131"/>
  <c r="N4" i="131"/>
  <c r="P4" i="131"/>
  <c r="C3" i="103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<sst xmlns="http://schemas.openxmlformats.org/spreadsheetml/2006/main" count="302" uniqueCount="127">
  <si>
    <t>character_id</t>
  </si>
  <si>
    <t>character_id</t>
    <phoneticPr fontId="9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</si>
  <si>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</si>
  <si>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</si>
  <si>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</si>
  <si>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</si>
  <si>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</si>
  <si>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</si>
  <si>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</si>
  <si>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9"/>
  </si>
  <si>
    <t>character_id</t>
    <phoneticPr fontId="9"/>
  </si>
  <si>
    <t>name</t>
    <phoneticPr fontId="9"/>
  </si>
  <si>
    <t>接頭語</t>
    <rPh sb="0" eb="3">
      <t>セットウゴ</t>
    </rPh>
    <phoneticPr fontId="42"/>
  </si>
  <si>
    <t>識別子</t>
    <rPh sb="0" eb="3">
      <t>シキベツシ</t>
    </rPh>
    <phoneticPr fontId="42"/>
  </si>
  <si>
    <t>形式</t>
    <rPh sb="0" eb="2">
      <t>ケイシキ</t>
    </rPh>
    <phoneticPr fontId="42"/>
  </si>
  <si>
    <t>出力ファイル名</t>
    <rPh sb="0" eb="2">
      <t>シュツリョク</t>
    </rPh>
    <rPh sb="6" eb="7">
      <t>メイ</t>
    </rPh>
    <phoneticPr fontId="42"/>
  </si>
  <si>
    <t>入力シート名</t>
    <rPh sb="0" eb="2">
      <t>ニュウリョク</t>
    </rPh>
    <rPh sb="5" eb="6">
      <t>メイ</t>
    </rPh>
    <phoneticPr fontId="42"/>
  </si>
  <si>
    <t>出力データ</t>
    <rPh sb="0" eb="2">
      <t>シュツリョク</t>
    </rPh>
    <phoneticPr fontId="42"/>
  </si>
  <si>
    <t>.tmp</t>
    <phoneticPr fontId="42"/>
  </si>
  <si>
    <t>出力flg</t>
    <rPh sb="0" eb="2">
      <t>シュツリョク</t>
    </rPh>
    <phoneticPr fontId="42"/>
  </si>
  <si>
    <t>性別</t>
    <rPh sb="0" eb="2">
      <t>セイベツ</t>
    </rPh>
    <phoneticPr fontId="9"/>
  </si>
  <si>
    <t>ピックアップ確率</t>
    <rPh sb="6" eb="8">
      <t>カクリツ</t>
    </rPh>
    <phoneticPr fontId="9"/>
  </si>
  <si>
    <t>確率</t>
    <rPh sb="0" eb="2">
      <t>カクリツ</t>
    </rPh>
    <phoneticPr fontId="9"/>
  </si>
  <si>
    <t>名前</t>
    <rPh sb="0" eb="2">
      <t>ナマエ</t>
    </rPh>
    <phoneticPr fontId="9"/>
  </si>
  <si>
    <t>テーブルを増やしたい場合</t>
    <rPh sb="5" eb="6">
      <t>フ</t>
    </rPh>
    <rPh sb="10" eb="12">
      <t>バアイ</t>
    </rPh>
    <phoneticPr fontId="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</si>
  <si>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</si>
  <si>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9"/>
  </si>
  <si>
    <t>３．outputシートで２で作ったtablesを指定する</t>
    <rPh sb="14" eb="15">
      <t>ツク</t>
    </rPh>
    <rPh sb="24" eb="26">
      <t>シテイ</t>
    </rPh>
    <phoneticPr fontId="9"/>
  </si>
  <si>
    <t>table_no</t>
    <phoneticPr fontId="9"/>
  </si>
  <si>
    <t>ラベル確率で考えましょう</t>
    <rPh sb="6" eb="7">
      <t>カンガエマショウ</t>
    </rPh>
    <phoneticPr fontId="42"/>
  </si>
  <si>
    <t>ラベル</t>
    <phoneticPr fontId="42"/>
  </si>
  <si>
    <t>レアリティ</t>
    <phoneticPr fontId="42"/>
  </si>
  <si>
    <t>{W}</t>
    <phoneticPr fontId="42"/>
  </si>
  <si>
    <t>{N,S}</t>
    <phoneticPr fontId="42"/>
  </si>
  <si>
    <t>{N,S}R3less</t>
    <phoneticPr fontId="42"/>
  </si>
  <si>
    <t>{N,S}R6release</t>
    <phoneticPr fontId="42"/>
  </si>
  <si>
    <t>{SS}</t>
    <phoneticPr fontId="42"/>
  </si>
  <si>
    <t>{SS}R6only</t>
    <phoneticPr fontId="42"/>
  </si>
  <si>
    <t>小計</t>
    <rPh sb="0" eb="2">
      <t>ショウケイ</t>
    </rPh>
    <phoneticPr fontId="42"/>
  </si>
  <si>
    <t>A</t>
    <phoneticPr fontId="42"/>
  </si>
  <si>
    <t>C</t>
    <phoneticPr fontId="42"/>
  </si>
  <si>
    <t>H</t>
    <phoneticPr fontId="42"/>
  </si>
  <si>
    <t>B</t>
    <phoneticPr fontId="42"/>
  </si>
  <si>
    <t>D</t>
    <phoneticPr fontId="42"/>
  </si>
  <si>
    <t>F</t>
    <phoneticPr fontId="42"/>
  </si>
  <si>
    <t>I</t>
    <phoneticPr fontId="42"/>
  </si>
  <si>
    <t>K</t>
    <phoneticPr fontId="42"/>
  </si>
  <si>
    <t>E</t>
    <phoneticPr fontId="42"/>
  </si>
  <si>
    <t>G</t>
    <phoneticPr fontId="42"/>
  </si>
  <si>
    <t>J</t>
    <phoneticPr fontId="42"/>
  </si>
  <si>
    <t>L</t>
    <phoneticPr fontId="42"/>
  </si>
  <si>
    <t>M</t>
    <phoneticPr fontId="42"/>
  </si>
  <si>
    <t>→</t>
    <phoneticPr fontId="42"/>
  </si>
  <si>
    <t>1-SS率</t>
    <rPh sb="4" eb="5">
      <t>リツ</t>
    </rPh>
    <phoneticPr fontId="42"/>
  </si>
  <si>
    <t>SS率</t>
    <rPh sb="2" eb="3">
      <t>リツ</t>
    </rPh>
    <phoneticPr fontId="42"/>
  </si>
  <si>
    <t>考え方を変える</t>
    <rPh sb="0" eb="1">
      <t>カンガエカタ</t>
    </rPh>
    <rPh sb="4" eb="5">
      <t>カエル</t>
    </rPh>
    <phoneticPr fontId="42"/>
  </si>
  <si>
    <t>SS4%は確定事項</t>
    <rPh sb="5" eb="7">
      <t>カクテイ</t>
    </rPh>
    <rPh sb="7" eb="9">
      <t>ジコウ</t>
    </rPh>
    <phoneticPr fontId="42"/>
  </si>
  <si>
    <t>当たりは分配</t>
    <rPh sb="0" eb="1">
      <t>アタリ</t>
    </rPh>
    <rPh sb="4" eb="6">
      <t>ブンパイ</t>
    </rPh>
    <phoneticPr fontId="4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</si>
  <si>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2"/>
  </si>
  <si>
    <t>=</t>
    <phoneticPr fontId="42"/>
  </si>
  <si>
    <t>X*{SS R5only}</t>
    <phoneticPr fontId="42"/>
  </si>
  <si>
    <t>K</t>
    <phoneticPr fontId="42"/>
  </si>
  <si>
    <t>=</t>
    <phoneticPr fontId="42"/>
  </si>
  <si>
    <t>X*{SS}*(R3率+R4率)</t>
    <rPh sb="10" eb="11">
      <t>リツ</t>
    </rPh>
    <rPh sb="14" eb="15">
      <t>リツ</t>
    </rPh>
    <phoneticPr fontId="42"/>
  </si>
  <si>
    <t>L</t>
    <phoneticPr fontId="42"/>
  </si>
  <si>
    <t>X*{SS}*R5率</t>
    <rPh sb="9" eb="10">
      <t>リツ</t>
    </rPh>
    <phoneticPr fontId="42"/>
  </si>
  <si>
    <t>X*{R6release}*R3率</t>
    <rPh sb="16" eb="17">
      <t>リツ</t>
    </rPh>
    <phoneticPr fontId="42"/>
  </si>
  <si>
    <t>X*{R6release}*R4率</t>
    <rPh sb="16" eb="17">
      <t>リツ</t>
    </rPh>
    <phoneticPr fontId="42"/>
  </si>
  <si>
    <t>J</t>
    <phoneticPr fontId="42"/>
  </si>
  <si>
    <t>X*{R6release}*R5率</t>
    <rPh sb="16" eb="17">
      <t>リツ</t>
    </rPh>
    <phoneticPr fontId="42"/>
  </si>
  <si>
    <t>ハズレで確率を整える</t>
    <rPh sb="4" eb="6">
      <t>カクリツ</t>
    </rPh>
    <rPh sb="7" eb="8">
      <t>トトノエル</t>
    </rPh>
    <phoneticPr fontId="4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</si>
  <si>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2"/>
  </si>
  <si>
    <t>A + C</t>
    <phoneticPr fontId="42"/>
  </si>
  <si>
    <t>=</t>
    <phoneticPr fontId="42"/>
  </si>
  <si>
    <t>50%-H</t>
    <phoneticPr fontId="42"/>
  </si>
  <si>
    <t>①</t>
    <phoneticPr fontId="42"/>
  </si>
  <si>
    <t>B + D + F</t>
    <phoneticPr fontId="42"/>
  </si>
  <si>
    <t>45%-I-K</t>
    <phoneticPr fontId="42"/>
  </si>
  <si>
    <t>②</t>
    <phoneticPr fontId="42"/>
  </si>
  <si>
    <t>E+G</t>
    <phoneticPr fontId="42"/>
  </si>
  <si>
    <t>5%-J-L-M</t>
    <phoneticPr fontId="42"/>
  </si>
  <si>
    <t>③</t>
    <phoneticPr fontId="42"/>
  </si>
  <si>
    <t>A+B</t>
    <phoneticPr fontId="42"/>
  </si>
  <si>
    <t>Y*{W}</t>
    <phoneticPr fontId="42"/>
  </si>
  <si>
    <t>④</t>
    <phoneticPr fontId="42"/>
  </si>
  <si>
    <t>C+D+E</t>
    <phoneticPr fontId="42"/>
  </si>
  <si>
    <t>Y*{N,S}</t>
    <phoneticPr fontId="42"/>
  </si>
  <si>
    <t>⑤</t>
    <phoneticPr fontId="42"/>
  </si>
  <si>
    <t>F+G</t>
    <phoneticPr fontId="42"/>
  </si>
  <si>
    <t>Y*{N,S R3less}</t>
    <phoneticPr fontId="42"/>
  </si>
  <si>
    <t>⑥</t>
    <phoneticPr fontId="42"/>
  </si>
  <si>
    <t>A+B+C+D+E+F+G</t>
    <phoneticPr fontId="42"/>
  </si>
  <si>
    <t>⑦</t>
    <phoneticPr fontId="42"/>
  </si>
  <si>
    <t>←これは4,5,6で作れるのでダメだわ</t>
    <rPh sb="10" eb="11">
      <t>ツクレル</t>
    </rPh>
    <phoneticPr fontId="42"/>
  </si>
  <si>
    <t>E*R3率/R5率</t>
    <rPh sb="4" eb="5">
      <t>リツ</t>
    </rPh>
    <rPh sb="8" eb="9">
      <t>リツ</t>
    </rPh>
    <phoneticPr fontId="4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</si>
  <si>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2"/>
  </si>
  <si>
    <t>E*R4率/R5率</t>
    <rPh sb="4" eb="5">
      <t>リツ</t>
    </rPh>
    <rPh sb="8" eb="9">
      <t>リツ</t>
    </rPh>
    <phoneticPr fontId="42"/>
  </si>
  <si>
    <t>∴</t>
    <phoneticPr fontId="42"/>
  </si>
  <si>
    <t>E</t>
    <phoneticPr fontId="42"/>
  </si>
  <si>
    <t>Y*{N,S}*R5率</t>
    <rPh sb="10" eb="11">
      <t>リツ</t>
    </rPh>
    <phoneticPr fontId="42"/>
  </si>
  <si>
    <t>Y*{N,S}*R4率</t>
    <rPh sb="10" eb="11">
      <t>リツ</t>
    </rPh>
    <phoneticPr fontId="42"/>
  </si>
  <si>
    <t>Y*{N,S}*R3率</t>
    <rPh sb="10" eb="11">
      <t>リツ</t>
    </rPh>
    <phoneticPr fontId="42"/>
  </si>
  <si>
    <t>50%-H-C</t>
    <phoneticPr fontId="42"/>
  </si>
  <si>
    <t>Y*{W}-A</t>
    <phoneticPr fontId="42"/>
  </si>
  <si>
    <t>5%-J-L-M-E</t>
    <phoneticPr fontId="42"/>
  </si>
  <si>
    <t>Y*{N,S R3less} - G</t>
    <phoneticPr fontId="42"/>
  </si>
  <si>
    <t>R6境界前後</t>
    <rPh sb="2" eb="4">
      <t>キョウカイ</t>
    </rPh>
    <rPh sb="4" eb="6">
      <t>ゼンゴ</t>
    </rPh>
    <phoneticPr fontId="9"/>
  </si>
  <si>
    <t>R6事後開放N,S</t>
    <rPh sb="2" eb="6">
      <t>ジゴカイホウ</t>
    </rPh>
    <phoneticPr fontId="9"/>
  </si>
  <si>
    <t>table_no</t>
    <phoneticPr fontId="9"/>
  </si>
  <si>
    <t>character_id</t>
    <phoneticPr fontId="9"/>
  </si>
  <si>
    <t>drop_label2</t>
    <phoneticPr fontId="9"/>
  </si>
  <si>
    <t>color2</t>
    <phoneticPr fontId="9"/>
  </si>
  <si>
    <t>name</t>
    <phoneticPr fontId="9"/>
  </si>
  <si>
    <t>drop_label</t>
    <phoneticPr fontId="9"/>
  </si>
  <si>
    <t>rare</t>
    <phoneticPr fontId="9"/>
  </si>
  <si>
    <t>color</t>
    <phoneticPr fontId="9"/>
  </si>
  <si>
    <t>character_type_id</t>
    <phoneticPr fontId="9"/>
  </si>
  <si>
    <t>character_tribe_id</t>
    <phoneticPr fontId="9"/>
  </si>
  <si>
    <t>weight</t>
    <phoneticPr fontId="9"/>
  </si>
  <si>
    <t>unit_level</t>
    <phoneticPr fontId="9"/>
  </si>
  <si>
    <t>old</t>
    <phoneticPr fontId="9"/>
  </si>
  <si>
    <t>gacha_select_tables_</t>
    <phoneticPr fontId="9"/>
  </si>
  <si>
    <t>tables_7014100</t>
    <phoneticPr fontId="9"/>
  </si>
  <si>
    <t>tables_7014101</t>
    <phoneticPr fontId="9"/>
  </si>
  <si>
    <t>tables_7014102</t>
    <phoneticPr fontId="9"/>
  </si>
  <si>
    <t>tables_7014103</t>
    <phoneticPr fontId="9"/>
  </si>
  <si>
    <t>tables_7014104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</si>
</sst>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8" fillId="0" borderId="0"/>
    <xf numFmtId="0" fontId="12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0"/>
    <xf numFmtId="0" fontId="19" fillId="5" borderId="2" applyNumberFormat="0" applyAlignment="0" applyProtection="0"/>
    <xf numFmtId="0" fontId="20" fillId="6" borderId="0" applyNumberFormat="0" applyBorder="0" applyAlignment="0" applyProtection="0"/>
    <xf numFmtId="0" fontId="21" fillId="7" borderId="3" applyNumberFormat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0" fontId="24" fillId="9" borderId="4" applyNumberFormat="0" applyAlignment="0" applyProtection="0"/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7" borderId="0" applyNumberFormat="0" applyBorder="0" applyAlignment="0" applyProtection="0"/>
    <xf numFmtId="0" fontId="29" fillId="6" borderId="0" applyNumberFormat="0" applyBorder="0" applyAlignment="0" applyProtection="0"/>
    <xf numFmtId="0" fontId="29" fillId="10" borderId="0" applyNumberFormat="0" applyBorder="0" applyAlignment="0" applyProtection="0"/>
    <xf numFmtId="0" fontId="29" fillId="7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7" borderId="0" applyNumberFormat="0" applyBorder="0" applyAlignment="0" applyProtection="0"/>
    <xf numFmtId="0" fontId="29" fillId="12" borderId="0" applyNumberFormat="0" applyBorder="0" applyAlignment="0" applyProtection="0"/>
    <xf numFmtId="0" fontId="29" fillId="10" borderId="0" applyNumberFormat="0" applyBorder="0" applyAlignment="0" applyProtection="0"/>
    <xf numFmtId="0" fontId="29" fillId="7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4" borderId="0" applyNumberFormat="0" applyBorder="0" applyAlignment="0" applyProtection="0"/>
    <xf numFmtId="0" fontId="30" fillId="6" borderId="0" applyNumberFormat="0" applyBorder="0" applyAlignment="0" applyProtection="0"/>
    <xf numFmtId="0" fontId="22" fillId="0" borderId="0" applyNumberFormat="0" applyFill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0" borderId="0" applyNumberFormat="0" applyBorder="0" applyAlignment="0" applyProtection="0"/>
    <xf numFmtId="0" fontId="30" fillId="16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1" fillId="17" borderId="0" applyNumberFormat="0" applyBorder="0" applyAlignment="0" applyProtection="0"/>
    <xf numFmtId="0" fontId="20" fillId="6" borderId="0" applyNumberFormat="0" applyBorder="0" applyAlignment="0" applyProtection="0"/>
    <xf numFmtId="0" fontId="32" fillId="0" borderId="8" applyNumberFormat="0" applyFill="0" applyAlignment="0" applyProtection="0"/>
    <xf numFmtId="0" fontId="33" fillId="7" borderId="9" applyNumberFormat="0" applyAlignment="0" applyProtection="0"/>
    <xf numFmtId="0" fontId="33" fillId="18" borderId="9" applyNumberFormat="0" applyAlignment="0" applyProtection="0"/>
    <xf numFmtId="0" fontId="21" fillId="6" borderId="3" applyNumberFormat="0" applyAlignment="0" applyProtection="0"/>
    <xf numFmtId="0" fontId="34" fillId="0" borderId="10" applyNumberFormat="0" applyFill="0" applyAlignment="0" applyProtection="0"/>
    <xf numFmtId="0" fontId="35" fillId="18" borderId="3" applyNumberFormat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1" applyNumberFormat="0" applyFill="0" applyAlignment="0" applyProtection="0"/>
    <xf numFmtId="38" fontId="7" fillId="0" borderId="0" applyFont="0" applyFill="0" applyBorder="0" applyAlignment="0" applyProtection="0">
      <alignment vertical="center"/>
    </xf>
    <xf numFmtId="0" fontId="38" fillId="19" borderId="0" applyNumberFormat="0" applyBorder="0" applyAlignment="0" applyProtection="0"/>
    <xf numFmtId="0" fontId="39" fillId="20" borderId="0" applyNumberFormat="0" applyBorder="0" applyAlignment="0" applyProtection="0"/>
    <xf numFmtId="0" fontId="7" fillId="0" borderId="0"/>
    <xf numFmtId="0" fontId="40" fillId="20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6" fillId="0" borderId="0"/>
    <xf numFmtId="0" fontId="43" fillId="0" borderId="0">
      <alignment vertical="center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5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9" fontId="4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55">
    <xf numFmtId="0" fontId="0" fillId="0" borderId="0" xfId="0"/>
    <xf numFmtId="0" fontId="14" fillId="0" borderId="0" xfId="2" applyFont="1" applyAlignment="1">
      <alignment vertical="center"/>
    </xf>
    <xf numFmtId="0" fontId="14" fillId="0" borderId="1" xfId="2" applyFont="1" applyBorder="1" applyAlignment="1">
      <alignment vertical="center"/>
    </xf>
    <xf numFmtId="0" fontId="14" fillId="3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4" fillId="4" borderId="1" xfId="2" applyFont="1" applyFill="1" applyBorder="1" applyAlignment="1">
      <alignment vertical="center"/>
    </xf>
    <xf numFmtId="0" fontId="13" fillId="4" borderId="1" xfId="0" applyFont="1" applyFill="1" applyBorder="1" applyAlignment="1">
      <alignment horizontal="right" vertical="center"/>
    </xf>
    <xf numFmtId="0" fontId="14" fillId="3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vertical="center"/>
    </xf>
    <xf numFmtId="0" fontId="14" fillId="0" borderId="13" xfId="2" applyFont="1" applyBorder="1" applyAlignment="1">
      <alignment vertical="center"/>
    </xf>
    <xf numFmtId="0" fontId="13" fillId="4" borderId="12" xfId="0" applyFont="1" applyFill="1" applyBorder="1" applyAlignment="1">
      <alignment horizontal="right" vertical="center"/>
    </xf>
    <xf numFmtId="0" fontId="13" fillId="4" borderId="14" xfId="0" applyFont="1" applyFill="1" applyBorder="1" applyAlignment="1">
      <alignment horizontal="right" vertical="center"/>
    </xf>
    <xf numFmtId="0" fontId="14" fillId="0" borderId="15" xfId="2" applyFont="1" applyBorder="1" applyAlignment="1">
      <alignment vertical="center"/>
    </xf>
    <xf numFmtId="0" fontId="14" fillId="2" borderId="1" xfId="2" applyFont="1" applyFill="1" applyBorder="1" applyAlignment="1">
      <alignment horizontal="left" vertical="center"/>
    </xf>
    <xf numFmtId="0" fontId="14" fillId="2" borderId="1" xfId="2" applyFont="1" applyFill="1" applyBorder="1" applyAlignment="1">
      <alignment horizontal="center" vertical="center"/>
    </xf>
    <xf numFmtId="0" fontId="16" fillId="21" borderId="1" xfId="2978" applyFont="1" applyFill="1" applyBorder="1"/>
    <xf numFmtId="0" fontId="6" fillId="21" borderId="1" xfId="2978" applyFill="1" applyBorder="1"/>
    <xf numFmtId="0" fontId="6" fillId="0" borderId="0" xfId="2978"/>
    <xf numFmtId="0" fontId="6" fillId="0" borderId="1" xfId="2978" applyBorder="1"/>
    <xf numFmtId="0" fontId="7" fillId="2" borderId="1" xfId="19" applyFill="1" applyBorder="1"/>
    <xf numFmtId="0" fontId="16" fillId="21" borderId="1" xfId="0" applyFont="1" applyFill="1" applyBorder="1"/>
    <xf numFmtId="0" fontId="41" fillId="22" borderId="1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13" fillId="23" borderId="1" xfId="0" applyFont="1" applyFill="1" applyBorder="1" applyAlignment="1">
      <alignment horizontal="right" vertical="center"/>
    </xf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0" fontId="2" fillId="0" borderId="1" xfId="3036" applyFont="1" applyBorder="1"/>
    <xf numFmtId="0" fontId="14" fillId="0" borderId="0" xfId="2" applyFont="1" applyFill="1" applyBorder="1" applyAlignment="1">
      <alignment vertical="center"/>
    </xf>
    <xf numFmtId="0" fontId="1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1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4" fillId="0" borderId="0" xfId="2" applyFont="1" applyBorder="1" applyAlignment="1">
      <alignment vertical="center"/>
    </xf>
    <xf numFmtId="0" fontId="14" fillId="0" borderId="1" xfId="2" applyFont="1" applyFill="1" applyBorder="1" applyAlignment="1">
      <alignment vertical="center"/>
    </xf>
    <xf numFmtId="0" fontId="13" fillId="0" borderId="1" xfId="0" applyFont="1" applyFill="1" applyBorder="1" applyAlignment="1">
      <alignment horizontal="right" vertical="center"/>
    </xf>
    <xf numFmtId="0" fontId="0" fillId="0" borderId="1" xfId="0" applyFill="1" applyBorder="1"/>
    <xf numFmtId="176" fontId="0" fillId="0" borderId="1" xfId="3575" applyNumberFormat="1" applyFont="1" applyFill="1" applyBorder="1"/>
    <xf numFmtId="0" fontId="41" fillId="0" borderId="1" xfId="0" applyFont="1" applyFill="1" applyBorder="1" applyAlignment="1">
      <alignment vertical="center"/>
    </xf>
    <xf numFmtId="0" fontId="14" fillId="0" borderId="0" xfId="2" applyFont="1" applyFill="1" applyAlignment="1">
      <alignment vertical="center"/>
    </xf>
    <xf numFmtId="0" fontId="15" fillId="0" borderId="1" xfId="0" applyFont="1" applyFill="1" applyBorder="1" applyAlignment="1">
      <alignment vertical="center"/>
    </xf>
    <xf numFmtId="0" fontId="1" fillId="0" borderId="1" xfId="2978" applyFont="1" applyBorder="1"/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飛衛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human</v>
          </cell>
        </row>
        <row r="1427">
          <cell r="A1427">
            <v>8036</v>
          </cell>
          <cell r="B1427" t="str">
            <v>ja</v>
          </cell>
          <cell r="C1427" t="str">
            <v>レア６飛衛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6</v>
          </cell>
          <cell r="J1427" t="str">
            <v>PremiumSS</v>
          </cell>
          <cell r="K1427" t="str">
            <v>heal</v>
          </cell>
          <cell r="L1427" t="str">
            <v>回復タイプ</v>
          </cell>
          <cell r="M1427" t="str">
            <v>human</v>
          </cell>
        </row>
        <row r="1428">
          <cell r="A1428">
            <v>8037</v>
          </cell>
          <cell r="B1428" t="str">
            <v>ja</v>
          </cell>
          <cell r="C1428" t="str">
            <v>紀昌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8038</v>
          </cell>
          <cell r="B1429" t="str">
            <v>ja</v>
          </cell>
          <cell r="C1429" t="str">
            <v>レア６紀昌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red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hp</v>
          </cell>
          <cell r="L1430" t="str">
            <v>体力タイプ</v>
          </cell>
          <cell r="M1430" t="str">
            <v>god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hp</v>
          </cell>
          <cell r="L1431" t="str">
            <v>体力タイプ</v>
          </cell>
          <cell r="M1431" t="str">
            <v>god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god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C11" sqref="C11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38" t="s">
        <v>120</v>
      </c>
      <c r="B2" s="53" t="s">
        <v>121</v>
      </c>
      <c r="C2" s="29" t="str">
        <f>RIGHT(F2,7)</f>
        <v>7014100</v>
      </c>
      <c r="D2" s="18" t="s">
        <v>18</v>
      </c>
      <c r="E2" s="16" t="str">
        <f t="shared" ref="E2" si="0">B2&amp;C2&amp;D2</f>
        <v>gacha_select_tables_7014100.tmp</v>
      </c>
      <c r="F2" s="54" t="s">
        <v>122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53" t="s">
        <v>121</v>
      </c>
      <c r="C3" s="29" t="str">
        <f>RIGHT(F3,7)</f>
        <v>7014101</v>
      </c>
      <c r="D3" s="18" t="s">
        <v>18</v>
      </c>
      <c r="E3" s="16" t="str">
        <f t="shared" ref="E3:E4" si="1">B3&amp;C3&amp;D3</f>
        <v>gacha_select_tables_7014101.tmp</v>
      </c>
      <c r="F3" s="54" t="s">
        <v>123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38" t="s">
        <v>120</v>
      </c>
      <c r="B4" s="53" t="s">
        <v>121</v>
      </c>
      <c r="C4" s="29" t="str">
        <f>RIGHT(F4,7)</f>
        <v>7014102</v>
      </c>
      <c r="D4" s="18" t="s">
        <v>18</v>
      </c>
      <c r="E4" s="16" t="str">
        <f t="shared" si="1"/>
        <v>gacha_select_tables_7014102.tmp</v>
      </c>
      <c r="F4" s="54" t="s">
        <v>124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38" t="s">
        <v>120</v>
      </c>
      <c r="B5" s="53" t="s">
        <v>121</v>
      </c>
      <c r="C5" s="29" t="str">
        <f>RIGHT(F5,7)</f>
        <v>7014103</v>
      </c>
      <c r="D5" s="18" t="s">
        <v>18</v>
      </c>
      <c r="E5" s="16" t="str">
        <f t="shared" ref="E5" si="2">B5&amp;C5&amp;D5</f>
        <v>gacha_select_tables_7014103.tmp</v>
      </c>
      <c r="F5" s="54" t="s">
        <v>125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  <row r="6" spans="1:21" x14ac:dyDescent="0.15">
      <c r="A6" s="38" t="s">
        <v>120</v>
      </c>
      <c r="B6" s="53" t="s">
        <v>121</v>
      </c>
      <c r="C6" s="29" t="str">
        <f>RIGHT(F6,7)</f>
        <v>7014104</v>
      </c>
      <c r="D6" s="18" t="s">
        <v>18</v>
      </c>
      <c r="E6" s="16" t="str">
        <f t="shared" ref="E6" si="3">B6&amp;C6&amp;D6</f>
        <v>gacha_select_tables_7014104.tmp</v>
      </c>
      <c r="F6" s="54" t="s">
        <v>126</v>
      </c>
      <c r="G6" s="28" t="s">
        <v>28</v>
      </c>
      <c r="H6" s="19" t="s">
        <v>0</v>
      </c>
      <c r="I6" s="19" t="s">
        <v>2</v>
      </c>
      <c r="J6" s="19" t="s">
        <v>3</v>
      </c>
      <c r="K6" s="19" t="s">
        <v>4</v>
      </c>
      <c r="L6" s="19" t="s">
        <v>5</v>
      </c>
      <c r="M6" s="19" t="s">
        <v>6</v>
      </c>
      <c r="N6" s="19" t="s">
        <v>7</v>
      </c>
      <c r="O6" s="19" t="s">
        <v>8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AJ262"/>
  <sheetViews>
    <sheetView showGridLines="0" tabSelected="1" zoomScale="75" zoomScaleNormal="75" zoomScalePageLayoutView="75" workbookViewId="0">
      <pane ySplit="1" topLeftCell="A14" activePane="bottomLeft" state="frozen"/>
      <selection activeCell="E6" sqref="E6"/>
      <selection pane="bottomLeft" activeCell="B59" sqref="B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51" customFormat="1" ht="21" customHeight="1" x14ac:dyDescent="0.15">
      <c r="A2" s="2">
        <v>7014100</v>
      </c>
      <c r="B2" s="47">
        <v>733</v>
      </c>
      <c r="C2" s="7" t="str">
        <f t="shared" ref="C2:C4" si="0">D2&amp;J2&amp;E2&amp;F2&amp;G2</f>
        <v>PremiumSS6R5only</v>
      </c>
      <c r="D2" s="7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26">
        <v>20</v>
      </c>
      <c r="P2" s="27">
        <f>O2/SUM(O:O)</f>
        <v>1.7543859649122806E-2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51" customFormat="1" ht="21" customHeight="1" x14ac:dyDescent="0.15">
      <c r="A3" s="2">
        <v>7014100</v>
      </c>
      <c r="B3" s="47">
        <v>735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破天の隻眼 伊達政宗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26">
        <v>20</v>
      </c>
      <c r="P3" s="27">
        <f>O3/SUM(O:O)</f>
        <v>1.7543859649122806E-2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51" customFormat="1" ht="21" customHeight="1" x14ac:dyDescent="0.15">
      <c r="A4" s="2">
        <v>7014100</v>
      </c>
      <c r="B4" s="46">
        <v>743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弩級の洸源 アポロン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26">
        <v>20</v>
      </c>
      <c r="P4" s="27">
        <f>O4/SUM(O:O)</f>
        <v>1.7543859649122806E-2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51" customFormat="1" ht="21" customHeight="1" x14ac:dyDescent="0.15">
      <c r="A5" s="2">
        <v>7014100</v>
      </c>
      <c r="B5" s="46">
        <v>745</v>
      </c>
      <c r="C5" s="7" t="str">
        <f t="shared" ref="C5:C55" si="2">D5&amp;J5&amp;E5&amp;F5&amp;G5</f>
        <v>PremiumSS6R5only</v>
      </c>
      <c r="D5" s="7" t="str">
        <f t="shared" ref="D5:D55" si="3"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望羅の発神 ヘルメス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technical</v>
      </c>
      <c r="M5" s="7" t="str">
        <f>VLOOKUP(B5,[1]characters!$A:$M,13,FALSE)</f>
        <v>god</v>
      </c>
      <c r="N5" s="7" t="str">
        <f>VLOOKUP(B5,[1]characters!$A:$G,7,FALSE)</f>
        <v>男性</v>
      </c>
      <c r="O5" s="26">
        <v>20</v>
      </c>
      <c r="P5" s="27">
        <f t="shared" ref="P5:P55" si="4">O5/SUM(O:O)</f>
        <v>1.7543859649122806E-2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51" customFormat="1" ht="21" customHeight="1" x14ac:dyDescent="0.15">
      <c r="A6" s="2">
        <v>7014100</v>
      </c>
      <c r="B6" s="46">
        <v>809</v>
      </c>
      <c r="C6" s="7" t="str">
        <f t="shared" si="2"/>
        <v>PremiumSS6R5only</v>
      </c>
      <c r="D6" s="7" t="str">
        <f t="shared" si="3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天然理心の激凛 沖田総司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26">
        <v>20</v>
      </c>
      <c r="P6" s="27">
        <f t="shared" si="4"/>
        <v>1.7543859649122806E-2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51" customFormat="1" ht="21" customHeight="1" x14ac:dyDescent="0.15">
      <c r="A7" s="2">
        <v>7014100</v>
      </c>
      <c r="B7" s="46">
        <v>811</v>
      </c>
      <c r="C7" s="7" t="str">
        <f t="shared" si="2"/>
        <v>PremiumSS6R5only</v>
      </c>
      <c r="D7" s="7" t="str">
        <f t="shared" si="3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咲き誇る旅航者 親指姫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 t="shared" si="4"/>
        <v>1.7543859649122806E-2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51" customFormat="1" ht="21" customHeight="1" x14ac:dyDescent="0.15">
      <c r="A8" s="2">
        <v>7014100</v>
      </c>
      <c r="B8" s="46">
        <v>813</v>
      </c>
      <c r="C8" s="7" t="str">
        <f t="shared" si="2"/>
        <v>PremiumSS6R5only</v>
      </c>
      <c r="D8" s="7" t="str">
        <f t="shared" si="3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絆の大冒険 ヘンゼル＆グレーテル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男性</v>
      </c>
      <c r="O8" s="26">
        <v>20</v>
      </c>
      <c r="P8" s="27">
        <f t="shared" si="4"/>
        <v>1.7543859649122806E-2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51" customFormat="1" ht="21" customHeight="1" x14ac:dyDescent="0.15">
      <c r="A9" s="2">
        <v>7014100</v>
      </c>
      <c r="B9" s="46">
        <v>815</v>
      </c>
      <c r="C9" s="7" t="str">
        <f t="shared" si="2"/>
        <v>PremiumSS6R5only</v>
      </c>
      <c r="D9" s="7" t="str">
        <f t="shared" si="3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解砲の鴉眼 八咫烏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26">
        <v>20</v>
      </c>
      <c r="P9" s="27">
        <f t="shared" si="4"/>
        <v>1.7543859649122806E-2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51" customFormat="1" ht="21" customHeight="1" x14ac:dyDescent="0.15">
      <c r="A10" s="2">
        <v>7014100</v>
      </c>
      <c r="B10" s="46">
        <v>817</v>
      </c>
      <c r="C10" s="7" t="str">
        <f t="shared" si="2"/>
        <v>PremiumSS6R5only</v>
      </c>
      <c r="D10" s="7" t="str">
        <f t="shared" si="3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決戦の抗弾 D.R.T.H.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 t="shared" si="4"/>
        <v>1.7543859649122806E-2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51" customFormat="1" ht="21" customHeight="1" x14ac:dyDescent="0.15">
      <c r="A11" s="2">
        <v>7014100</v>
      </c>
      <c r="B11" s="46">
        <v>819</v>
      </c>
      <c r="C11" s="7" t="str">
        <f t="shared" si="2"/>
        <v>PremiumSS6R5only</v>
      </c>
      <c r="D11" s="7" t="str">
        <f t="shared" si="3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讐命の我突 モルドレッド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26">
        <v>20</v>
      </c>
      <c r="P11" s="27">
        <f t="shared" si="4"/>
        <v>1.7543859649122806E-2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51" customFormat="1" ht="21" customHeight="1" x14ac:dyDescent="0.15">
      <c r="A12" s="2">
        <v>7014100</v>
      </c>
      <c r="B12" s="46">
        <v>821</v>
      </c>
      <c r="C12" s="7" t="str">
        <f t="shared" si="2"/>
        <v>PremiumSS6R5only</v>
      </c>
      <c r="D12" s="7" t="str">
        <f t="shared" si="3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急蹴の硬機脚 ブートレグ・ペロー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animal</v>
      </c>
      <c r="N12" s="7" t="str">
        <f>VLOOKUP(B12,[1]characters!$A:$G,7,FALSE)</f>
        <v>男性</v>
      </c>
      <c r="O12" s="26">
        <v>20</v>
      </c>
      <c r="P12" s="27">
        <f t="shared" si="4"/>
        <v>1.7543859649122806E-2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51" customFormat="1" ht="21" customHeight="1" x14ac:dyDescent="0.15">
      <c r="A13" s="2">
        <v>7014100</v>
      </c>
      <c r="B13" s="46">
        <v>823</v>
      </c>
      <c r="C13" s="7" t="str">
        <f t="shared" si="2"/>
        <v>PremiumSS6R5only</v>
      </c>
      <c r="D13" s="7" t="str">
        <f t="shared" si="3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跳鼠の睡奏楽 ハーメルン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26">
        <v>20</v>
      </c>
      <c r="P13" s="27">
        <f t="shared" si="4"/>
        <v>1.7543859649122806E-2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51" customFormat="1" ht="21" customHeight="1" x14ac:dyDescent="0.15">
      <c r="A14" s="2">
        <v>7014100</v>
      </c>
      <c r="B14" s="46">
        <v>825</v>
      </c>
      <c r="C14" s="7" t="str">
        <f t="shared" si="2"/>
        <v>PremiumSS6R5only</v>
      </c>
      <c r="D14" s="7" t="str">
        <f t="shared" si="3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彩愛なる豊穣妃神 フレイヤ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heal</v>
      </c>
      <c r="M14" s="7" t="str">
        <f>VLOOKUP(B14,[1]characters!$A:$M,13,FALSE)</f>
        <v>animal</v>
      </c>
      <c r="N14" s="7" t="str">
        <f>VLOOKUP(B14,[1]characters!$A:$G,7,FALSE)</f>
        <v>男性</v>
      </c>
      <c r="O14" s="26">
        <v>20</v>
      </c>
      <c r="P14" s="27">
        <f t="shared" si="4"/>
        <v>1.7543859649122806E-2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51" customFormat="1" ht="21" customHeight="1" x14ac:dyDescent="0.15">
      <c r="A15" s="2">
        <v>7014100</v>
      </c>
      <c r="B15" s="46">
        <v>827</v>
      </c>
      <c r="C15" s="7" t="str">
        <f t="shared" si="2"/>
        <v>PremiumSS6R5only</v>
      </c>
      <c r="D15" s="7" t="str">
        <f t="shared" si="3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光神しき彩雲龍 アルフヘイム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dragon</v>
      </c>
      <c r="N15" s="7" t="str">
        <f>VLOOKUP(B15,[1]characters!$A:$G,7,FALSE)</f>
        <v>男性</v>
      </c>
      <c r="O15" s="26">
        <v>20</v>
      </c>
      <c r="P15" s="27">
        <f t="shared" si="4"/>
        <v>1.7543859649122806E-2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51" customFormat="1" ht="21" customHeight="1" x14ac:dyDescent="0.15">
      <c r="A16" s="2">
        <v>7014100</v>
      </c>
      <c r="B16" s="46">
        <v>829</v>
      </c>
      <c r="C16" s="7" t="str">
        <f t="shared" si="2"/>
        <v>PremiumSS6R5only</v>
      </c>
      <c r="D16" s="7" t="str">
        <f t="shared" si="3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銃刃乱舞の怪猫 クルミ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unknown</v>
      </c>
      <c r="N16" s="7" t="str">
        <f>VLOOKUP(B16,[1]characters!$A:$G,7,FALSE)</f>
        <v>男性</v>
      </c>
      <c r="O16" s="26">
        <v>20</v>
      </c>
      <c r="P16" s="27">
        <f t="shared" si="4"/>
        <v>1.7543859649122806E-2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51" customFormat="1" ht="21" customHeight="1" x14ac:dyDescent="0.15">
      <c r="A17" s="2">
        <v>7014100</v>
      </c>
      <c r="B17" s="46">
        <v>830</v>
      </c>
      <c r="C17" s="7" t="str">
        <f t="shared" si="2"/>
        <v>PremiumSS6R5only</v>
      </c>
      <c r="D17" s="7" t="str">
        <f t="shared" si="3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清兆の天狗礫 フウガ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green</v>
      </c>
      <c r="L17" s="7" t="str">
        <f>VLOOKUP(B17,[1]characters!$A:$K,11,FALSE)</f>
        <v>balance</v>
      </c>
      <c r="M17" s="7" t="str">
        <f>VLOOKUP(B17,[1]characters!$A:$M,13,FALSE)</f>
        <v>unknown</v>
      </c>
      <c r="N17" s="7" t="str">
        <f>VLOOKUP(B17,[1]characters!$A:$G,7,FALSE)</f>
        <v>男性</v>
      </c>
      <c r="O17" s="26">
        <v>20</v>
      </c>
      <c r="P17" s="27">
        <f t="shared" si="4"/>
        <v>1.7543859649122806E-2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51" customFormat="1" ht="21" customHeight="1" x14ac:dyDescent="0.15">
      <c r="A18" s="2">
        <v>7014100</v>
      </c>
      <c r="B18" s="46">
        <v>833</v>
      </c>
      <c r="C18" s="7" t="str">
        <f t="shared" si="2"/>
        <v>PremiumSS6R5only</v>
      </c>
      <c r="D18" s="7" t="str">
        <f t="shared" si="3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維界の復世神 ヴィシュヌ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男性</v>
      </c>
      <c r="O18" s="26">
        <v>20</v>
      </c>
      <c r="P18" s="27">
        <f t="shared" si="4"/>
        <v>1.7543859649122806E-2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51" customFormat="1" ht="21" customHeight="1" x14ac:dyDescent="0.15">
      <c r="A19" s="2">
        <v>7014100</v>
      </c>
      <c r="B19" s="46">
        <v>835</v>
      </c>
      <c r="C19" s="7" t="str">
        <f t="shared" si="2"/>
        <v>PremiumSS6R5only</v>
      </c>
      <c r="D19" s="7" t="str">
        <f t="shared" si="3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流奏の鳳楽神 サラスヴァティ</v>
      </c>
      <c r="I19" s="7" t="str">
        <f>VLOOKUP(B19,[1]characters!$A:$J,10,FALSE)</f>
        <v>PremiumSS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god</v>
      </c>
      <c r="N19" s="7" t="str">
        <f>VLOOKUP(B19,[1]characters!$A:$G,7,FALSE)</f>
        <v>男性</v>
      </c>
      <c r="O19" s="26">
        <v>20</v>
      </c>
      <c r="P19" s="27">
        <f t="shared" si="4"/>
        <v>1.7543859649122806E-2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51" customFormat="1" ht="21" customHeight="1" x14ac:dyDescent="0.15">
      <c r="A20" s="2">
        <v>7014100</v>
      </c>
      <c r="B20" s="46">
        <v>838</v>
      </c>
      <c r="C20" s="7" t="str">
        <f t="shared" si="2"/>
        <v>PremiumSS6R5only</v>
      </c>
      <c r="D20" s="7" t="str">
        <f t="shared" si="3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巌鋼の爆烈志士 近藤勇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red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男性</v>
      </c>
      <c r="O20" s="26">
        <v>20</v>
      </c>
      <c r="P20" s="27">
        <f t="shared" si="4"/>
        <v>1.7543859649122806E-2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</row>
    <row r="21" spans="1:36" s="51" customFormat="1" ht="21" customHeight="1" x14ac:dyDescent="0.15">
      <c r="A21" s="2">
        <v>7014100</v>
      </c>
      <c r="B21" s="46">
        <v>839</v>
      </c>
      <c r="C21" s="7" t="str">
        <f t="shared" si="2"/>
        <v>PremiumSS6R5only</v>
      </c>
      <c r="D21" s="7" t="str">
        <f t="shared" si="3"/>
        <v>PremiumSS</v>
      </c>
      <c r="E21" s="7" t="str">
        <f>IF(COUNTIF('R6追加前'!A:A,B21)=0,IF(OR(I21="PremiumSS",I21="PremiumSSw"),"R5only","R3less"),"")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真覇の勇魔剣 ランスロット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26">
        <v>20</v>
      </c>
      <c r="P21" s="27">
        <f t="shared" si="4"/>
        <v>1.7543859649122806E-2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</row>
    <row r="22" spans="1:36" s="51" customFormat="1" ht="21" customHeight="1" x14ac:dyDescent="0.15">
      <c r="A22" s="2">
        <v>7014100</v>
      </c>
      <c r="B22" s="46">
        <v>849</v>
      </c>
      <c r="C22" s="7" t="str">
        <f t="shared" si="2"/>
        <v>PremiumSS6R5only</v>
      </c>
      <c r="D22" s="7" t="str">
        <f t="shared" si="3"/>
        <v>PremiumSS</v>
      </c>
      <c r="E22" s="7" t="str">
        <f>IF(COUNTIF('R6追加前'!A:A,B22)=0,IF(OR(I22="PremiumSS",I22="PremiumSSw"),"R5only","R3less"),"")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燦然たる天使 メタトロン・ラヴァ</v>
      </c>
      <c r="I22" s="7" t="str">
        <f>VLOOKUP(B22,[1]characters!$A:$J,10,FALSE)</f>
        <v>PremiumSS</v>
      </c>
      <c r="J22" s="7">
        <f>VLOOKUP(B22,[1]characters!$A:$I,9,FALSE)</f>
        <v>6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god</v>
      </c>
      <c r="N22" s="7" t="str">
        <f>VLOOKUP(B22,[1]characters!$A:$G,7,FALSE)</f>
        <v>男性</v>
      </c>
      <c r="O22" s="26">
        <v>20</v>
      </c>
      <c r="P22" s="27">
        <f t="shared" si="4"/>
        <v>1.7543859649122806E-2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</row>
    <row r="23" spans="1:36" s="51" customFormat="1" ht="21" customHeight="1" x14ac:dyDescent="0.15">
      <c r="A23" s="2">
        <v>7014100</v>
      </c>
      <c r="B23" s="46">
        <v>851</v>
      </c>
      <c r="C23" s="7" t="str">
        <f t="shared" si="2"/>
        <v>PremiumSS6R5only</v>
      </c>
      <c r="D23" s="7" t="str">
        <f t="shared" si="3"/>
        <v>PremiumSS</v>
      </c>
      <c r="E23" s="7" t="str">
        <f>IF(COUNTIF('R6追加前'!A:A,B23)=0,IF(OR(I23="PremiumSS",I23="PremiumSSw"),"R5only","R3less"),"")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寡黙なる凶王 バアル</v>
      </c>
      <c r="I23" s="7" t="str">
        <f>VLOOKUP(B23,[1]characters!$A:$J,10,FALSE)</f>
        <v>PremiumSS</v>
      </c>
      <c r="J23" s="7">
        <f>VLOOKUP(B23,[1]characters!$A:$I,9,FALSE)</f>
        <v>6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god</v>
      </c>
      <c r="N23" s="7" t="str">
        <f>VLOOKUP(B23,[1]characters!$A:$G,7,FALSE)</f>
        <v>男性</v>
      </c>
      <c r="O23" s="26">
        <v>20</v>
      </c>
      <c r="P23" s="27">
        <f t="shared" si="4"/>
        <v>1.7543859649122806E-2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</row>
    <row r="24" spans="1:36" s="51" customFormat="1" ht="21" customHeight="1" x14ac:dyDescent="0.15">
      <c r="A24" s="2">
        <v>7014100</v>
      </c>
      <c r="B24" s="46">
        <v>867</v>
      </c>
      <c r="C24" s="7" t="str">
        <f t="shared" si="2"/>
        <v>PremiumSS6R5only</v>
      </c>
      <c r="D24" s="7" t="str">
        <f t="shared" si="3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華麗なる作戦 白雪姫</v>
      </c>
      <c r="I24" s="7" t="str">
        <f>VLOOKUP(B24,[1]characters!$A:$J,10,FALSE)</f>
        <v>PremiumSS</v>
      </c>
      <c r="J24" s="7">
        <f>VLOOKUP(B24,[1]characters!$A:$I,9,FALSE)</f>
        <v>6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26">
        <v>20</v>
      </c>
      <c r="P24" s="27">
        <f t="shared" si="4"/>
        <v>1.7543859649122806E-2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</row>
    <row r="25" spans="1:36" s="51" customFormat="1" ht="21" customHeight="1" x14ac:dyDescent="0.15">
      <c r="A25" s="2">
        <v>7014100</v>
      </c>
      <c r="B25" s="46">
        <v>869</v>
      </c>
      <c r="C25" s="7" t="str">
        <f t="shared" si="2"/>
        <v>PremiumSS6R5only</v>
      </c>
      <c r="D25" s="7" t="str">
        <f t="shared" si="3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 xml:space="preserve">マスター･アラジンと殲滅機兵LAMP </v>
      </c>
      <c r="I25" s="7" t="str">
        <f>VLOOKUP(B25,[1]characters!$A:$J,10,FALSE)</f>
        <v>PremiumSS</v>
      </c>
      <c r="J25" s="7">
        <f>VLOOKUP(B25,[1]characters!$A:$I,9,FALSE)</f>
        <v>6</v>
      </c>
      <c r="K25" s="7" t="str">
        <f>VLOOKUP(B25,[1]characters!$A:$H,8,FALSE)</f>
        <v>yellow</v>
      </c>
      <c r="L25" s="7" t="str">
        <f>VLOOKUP(B25,[1]characters!$A:$K,11,FALSE)</f>
        <v>hp</v>
      </c>
      <c r="M25" s="7" t="str">
        <f>VLOOKUP(B25,[1]characters!$A:$M,13,FALSE)</f>
        <v>human</v>
      </c>
      <c r="N25" s="7" t="str">
        <f>VLOOKUP(B25,[1]characters!$A:$G,7,FALSE)</f>
        <v>男性</v>
      </c>
      <c r="O25" s="26">
        <v>20</v>
      </c>
      <c r="P25" s="27">
        <f t="shared" si="4"/>
        <v>1.7543859649122806E-2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</row>
    <row r="26" spans="1:36" s="51" customFormat="1" ht="21" customHeight="1" x14ac:dyDescent="0.15">
      <c r="A26" s="2">
        <v>7014100</v>
      </c>
      <c r="B26" s="46">
        <v>896</v>
      </c>
      <c r="C26" s="7" t="str">
        <f t="shared" si="2"/>
        <v>PremiumSS6R5only</v>
      </c>
      <c r="D26" s="7" t="str">
        <f t="shared" si="3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天衣紡ぐ麗鶴 ハヅル</v>
      </c>
      <c r="I26" s="7" t="str">
        <f>VLOOKUP(B26,[1]characters!$A:$J,10,FALSE)</f>
        <v>PremiumSS</v>
      </c>
      <c r="J26" s="7">
        <f>VLOOKUP(B26,[1]characters!$A:$I,9,FALSE)</f>
        <v>6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animal</v>
      </c>
      <c r="N26" s="7" t="str">
        <f>VLOOKUP(B26,[1]characters!$A:$G,7,FALSE)</f>
        <v>男性</v>
      </c>
      <c r="O26" s="26">
        <v>20</v>
      </c>
      <c r="P26" s="27">
        <f t="shared" si="4"/>
        <v>1.7543859649122806E-2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</row>
    <row r="27" spans="1:36" s="51" customFormat="1" ht="21" customHeight="1" x14ac:dyDescent="0.15">
      <c r="A27" s="2">
        <v>7014100</v>
      </c>
      <c r="B27" s="46">
        <v>897</v>
      </c>
      <c r="C27" s="7" t="str">
        <f t="shared" si="2"/>
        <v>PremiumSS6R5only</v>
      </c>
      <c r="D27" s="7" t="str">
        <f t="shared" si="3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天跳兎破 イナバ</v>
      </c>
      <c r="I27" s="7" t="str">
        <f>VLOOKUP(B27,[1]characters!$A:$J,10,FALSE)</f>
        <v>PremiumSS</v>
      </c>
      <c r="J27" s="7">
        <f>VLOOKUP(B27,[1]characters!$A:$I,9,FALSE)</f>
        <v>6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26">
        <v>20</v>
      </c>
      <c r="P27" s="27">
        <f t="shared" si="4"/>
        <v>1.7543859649122806E-2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</row>
    <row r="28" spans="1:36" s="51" customFormat="1" ht="21" customHeight="1" x14ac:dyDescent="0.15">
      <c r="A28" s="2">
        <v>7014100</v>
      </c>
      <c r="B28" s="46">
        <v>938</v>
      </c>
      <c r="C28" s="7" t="str">
        <f t="shared" si="2"/>
        <v>PremiumSS6R5only</v>
      </c>
      <c r="D28" s="7" t="str">
        <f t="shared" si="3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炎焔宿す革命皇 ナポレオン</v>
      </c>
      <c r="I28" s="7" t="str">
        <f>VLOOKUP(B28,[1]characters!$A:$J,10,FALSE)</f>
        <v>PremiumSS</v>
      </c>
      <c r="J28" s="7">
        <f>VLOOKUP(B28,[1]characters!$A:$I,9,FALSE)</f>
        <v>6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26">
        <v>20</v>
      </c>
      <c r="P28" s="27">
        <f t="shared" si="4"/>
        <v>1.7543859649122806E-2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</row>
    <row r="29" spans="1:36" s="51" customFormat="1" ht="21" customHeight="1" x14ac:dyDescent="0.15">
      <c r="A29" s="2">
        <v>7014100</v>
      </c>
      <c r="B29" s="46">
        <v>942</v>
      </c>
      <c r="C29" s="7" t="str">
        <f t="shared" si="2"/>
        <v>PremiumSS6R5only</v>
      </c>
      <c r="D29" s="7" t="str">
        <f t="shared" si="3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華戯たる傲妃 アントワネット</v>
      </c>
      <c r="I29" s="7" t="str">
        <f>VLOOKUP(B29,[1]characters!$A:$J,10,FALSE)</f>
        <v>PremiumSS</v>
      </c>
      <c r="J29" s="7">
        <f>VLOOKUP(B29,[1]characters!$A:$I,9,FALSE)</f>
        <v>6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26">
        <v>20</v>
      </c>
      <c r="P29" s="27">
        <f t="shared" si="4"/>
        <v>1.7543859649122806E-2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</row>
    <row r="30" spans="1:36" s="51" customFormat="1" ht="21" customHeight="1" x14ac:dyDescent="0.15">
      <c r="A30" s="2">
        <v>7014100</v>
      </c>
      <c r="B30" s="46">
        <v>944</v>
      </c>
      <c r="C30" s="7" t="str">
        <f t="shared" si="2"/>
        <v>PremiumSS6R5only</v>
      </c>
      <c r="D30" s="7" t="str">
        <f t="shared" si="3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王敬の執行者 サンソン</v>
      </c>
      <c r="I30" s="7" t="str">
        <f>VLOOKUP(B30,[1]characters!$A:$J,10,FALSE)</f>
        <v>PremiumSS</v>
      </c>
      <c r="J30" s="7">
        <f>VLOOKUP(B30,[1]characters!$A:$I,9,FALSE)</f>
        <v>6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26">
        <v>20</v>
      </c>
      <c r="P30" s="27">
        <f t="shared" si="4"/>
        <v>1.7543859649122806E-2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</row>
    <row r="31" spans="1:36" s="51" customFormat="1" ht="21" customHeight="1" x14ac:dyDescent="0.15">
      <c r="A31" s="2">
        <v>7014100</v>
      </c>
      <c r="B31" s="46">
        <v>962</v>
      </c>
      <c r="C31" s="7" t="str">
        <f t="shared" si="2"/>
        <v>PremiumSS6R5only</v>
      </c>
      <c r="D31" s="7" t="str">
        <f t="shared" si="3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酩酊する大宴龍 ヤマタノオロチ</v>
      </c>
      <c r="I31" s="7" t="str">
        <f>VLOOKUP(B31,[1]characters!$A:$J,10,FALSE)</f>
        <v>PremiumSS</v>
      </c>
      <c r="J31" s="7">
        <f>VLOOKUP(B31,[1]characters!$A:$I,9,FALSE)</f>
        <v>6</v>
      </c>
      <c r="K31" s="7" t="str">
        <f>VLOOKUP(B31,[1]characters!$A:$H,8,FALSE)</f>
        <v>green</v>
      </c>
      <c r="L31" s="7" t="str">
        <f>VLOOKUP(B31,[1]characters!$A:$K,11,FALSE)</f>
        <v>hp</v>
      </c>
      <c r="M31" s="7" t="str">
        <f>VLOOKUP(B31,[1]characters!$A:$M,13,FALSE)</f>
        <v>dragon</v>
      </c>
      <c r="N31" s="7" t="str">
        <f>VLOOKUP(B31,[1]characters!$A:$G,7,FALSE)</f>
        <v>男性</v>
      </c>
      <c r="O31" s="26">
        <v>20</v>
      </c>
      <c r="P31" s="27">
        <f t="shared" si="4"/>
        <v>1.7543859649122806E-2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</row>
    <row r="32" spans="1:36" s="51" customFormat="1" ht="21" customHeight="1" x14ac:dyDescent="0.15">
      <c r="A32" s="2">
        <v>7014100</v>
      </c>
      <c r="B32" s="46">
        <v>964</v>
      </c>
      <c r="C32" s="7" t="str">
        <f t="shared" si="2"/>
        <v>PremiumSS6R5only</v>
      </c>
      <c r="D32" s="7" t="str">
        <f t="shared" si="3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海破雨散の海龍 リヴァイアサン</v>
      </c>
      <c r="I32" s="7" t="str">
        <f>VLOOKUP(B32,[1]characters!$A:$J,10,FALSE)</f>
        <v>PremiumSS</v>
      </c>
      <c r="J32" s="7">
        <f>VLOOKUP(B32,[1]characters!$A:$I,9,FALSE)</f>
        <v>6</v>
      </c>
      <c r="K32" s="7" t="str">
        <f>VLOOKUP(B32,[1]characters!$A:$H,8,FALSE)</f>
        <v>blue</v>
      </c>
      <c r="L32" s="7" t="str">
        <f>VLOOKUP(B32,[1]characters!$A:$K,11,FALSE)</f>
        <v>balance</v>
      </c>
      <c r="M32" s="7" t="str">
        <f>VLOOKUP(B32,[1]characters!$A:$M,13,FALSE)</f>
        <v>dragon</v>
      </c>
      <c r="N32" s="7" t="str">
        <f>VLOOKUP(B32,[1]characters!$A:$G,7,FALSE)</f>
        <v>男性</v>
      </c>
      <c r="O32" s="26">
        <v>20</v>
      </c>
      <c r="P32" s="27">
        <f t="shared" si="4"/>
        <v>1.7543859649122806E-2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</row>
    <row r="33" spans="1:36" s="51" customFormat="1" ht="21" customHeight="1" x14ac:dyDescent="0.15">
      <c r="A33" s="2">
        <v>7014100</v>
      </c>
      <c r="B33" s="46">
        <v>965</v>
      </c>
      <c r="C33" s="7" t="str">
        <f t="shared" si="2"/>
        <v>PremiumSS6R5only</v>
      </c>
      <c r="D33" s="7" t="str">
        <f t="shared" si="3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穿熱の緋龍王 キング・ドライグ</v>
      </c>
      <c r="I33" s="7" t="str">
        <f>VLOOKUP(B33,[1]characters!$A:$J,10,FALSE)</f>
        <v>PremiumSS</v>
      </c>
      <c r="J33" s="7">
        <f>VLOOKUP(B33,[1]characters!$A:$I,9,FALSE)</f>
        <v>6</v>
      </c>
      <c r="K33" s="7" t="str">
        <f>VLOOKUP(B33,[1]characters!$A:$H,8,FALSE)</f>
        <v>red</v>
      </c>
      <c r="L33" s="7" t="str">
        <f>VLOOKUP(B33,[1]characters!$A:$K,11,FALSE)</f>
        <v>attack</v>
      </c>
      <c r="M33" s="7" t="str">
        <f>VLOOKUP(B33,[1]characters!$A:$M,13,FALSE)</f>
        <v>dragon</v>
      </c>
      <c r="N33" s="7" t="str">
        <f>VLOOKUP(B33,[1]characters!$A:$G,7,FALSE)</f>
        <v>男性</v>
      </c>
      <c r="O33" s="26">
        <v>20</v>
      </c>
      <c r="P33" s="27">
        <f t="shared" si="4"/>
        <v>1.7543859649122806E-2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</row>
    <row r="34" spans="1:36" s="51" customFormat="1" ht="21" customHeight="1" x14ac:dyDescent="0.15">
      <c r="A34" s="2">
        <v>7014100</v>
      </c>
      <c r="B34" s="46">
        <v>970</v>
      </c>
      <c r="C34" s="7" t="str">
        <f t="shared" si="2"/>
        <v>PremiumSS6R5only</v>
      </c>
      <c r="D34" s="7" t="str">
        <f t="shared" si="3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目醒の鋏牙 ラプンツェル</v>
      </c>
      <c r="I34" s="7" t="str">
        <f>VLOOKUP(B34,[1]characters!$A:$J,10,FALSE)</f>
        <v>PremiumSS</v>
      </c>
      <c r="J34" s="7">
        <f>VLOOKUP(B34,[1]characters!$A:$I,9,FALSE)</f>
        <v>6</v>
      </c>
      <c r="K34" s="7" t="str">
        <f>VLOOKUP(B34,[1]characters!$A:$H,8,FALSE)</f>
        <v>yellow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男性</v>
      </c>
      <c r="O34" s="26">
        <v>20</v>
      </c>
      <c r="P34" s="27">
        <f t="shared" si="4"/>
        <v>1.7543859649122806E-2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</row>
    <row r="35" spans="1:36" s="51" customFormat="1" ht="21" customHeight="1" x14ac:dyDescent="0.15">
      <c r="A35" s="2">
        <v>7014100</v>
      </c>
      <c r="B35" s="46">
        <v>1013</v>
      </c>
      <c r="C35" s="7" t="str">
        <f t="shared" si="2"/>
        <v>PremiumSS6R5only</v>
      </c>
      <c r="D35" s="7" t="str">
        <f t="shared" si="3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聖陽昇る緋洸神 ラー</v>
      </c>
      <c r="I35" s="7" t="str">
        <f>VLOOKUP(B35,[1]characters!$A:$J,10,FALSE)</f>
        <v>PremiumSS</v>
      </c>
      <c r="J35" s="7">
        <f>VLOOKUP(B35,[1]characters!$A:$I,9,FALSE)</f>
        <v>6</v>
      </c>
      <c r="K35" s="7" t="str">
        <f>VLOOKUP(B35,[1]characters!$A:$H,8,FALSE)</f>
        <v>red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男性</v>
      </c>
      <c r="O35" s="26">
        <v>20</v>
      </c>
      <c r="P35" s="27">
        <f t="shared" si="4"/>
        <v>1.7543859649122806E-2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</row>
    <row r="36" spans="1:36" s="51" customFormat="1" ht="21" customHeight="1" x14ac:dyDescent="0.15">
      <c r="A36" s="2">
        <v>7014100</v>
      </c>
      <c r="B36" s="46">
        <v>1015</v>
      </c>
      <c r="C36" s="7" t="str">
        <f t="shared" si="2"/>
        <v>PremiumSS6R5only</v>
      </c>
      <c r="D36" s="7" t="str">
        <f t="shared" si="3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繁翠なる蘇聖神 イシス</v>
      </c>
      <c r="I36" s="7" t="str">
        <f>VLOOKUP(B36,[1]characters!$A:$J,10,FALSE)</f>
        <v>PremiumSS</v>
      </c>
      <c r="J36" s="7">
        <f>VLOOKUP(B36,[1]characters!$A:$I,9,FALSE)</f>
        <v>6</v>
      </c>
      <c r="K36" s="7" t="str">
        <f>VLOOKUP(B36,[1]characters!$A:$H,8,FALSE)</f>
        <v>green</v>
      </c>
      <c r="L36" s="7" t="str">
        <f>VLOOKUP(B36,[1]characters!$A:$K,11,FALSE)</f>
        <v>hp</v>
      </c>
      <c r="M36" s="7" t="str">
        <f>VLOOKUP(B36,[1]characters!$A:$M,13,FALSE)</f>
        <v>god</v>
      </c>
      <c r="N36" s="7" t="str">
        <f>VLOOKUP(B36,[1]characters!$A:$G,7,FALSE)</f>
        <v>男性</v>
      </c>
      <c r="O36" s="26">
        <v>20</v>
      </c>
      <c r="P36" s="27">
        <f t="shared" si="4"/>
        <v>1.7543859649122806E-2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</row>
    <row r="37" spans="1:36" s="51" customFormat="1" ht="21" customHeight="1" x14ac:dyDescent="0.15">
      <c r="A37" s="2">
        <v>7014100</v>
      </c>
      <c r="B37" s="46">
        <v>1019</v>
      </c>
      <c r="C37" s="7" t="str">
        <f t="shared" si="2"/>
        <v>PremiumSS6R5only</v>
      </c>
      <c r="D37" s="7" t="str">
        <f t="shared" si="3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愛鈴鳴る寵猫神 バステト</v>
      </c>
      <c r="I37" s="7" t="str">
        <f>VLOOKUP(B37,[1]characters!$A:$J,10,FALSE)</f>
        <v>PremiumSS</v>
      </c>
      <c r="J37" s="7">
        <f>VLOOKUP(B37,[1]characters!$A:$I,9,FALSE)</f>
        <v>6</v>
      </c>
      <c r="K37" s="7" t="str">
        <f>VLOOKUP(B37,[1]characters!$A:$H,8,FALSE)</f>
        <v>yellow</v>
      </c>
      <c r="L37" s="7" t="str">
        <f>VLOOKUP(B37,[1]characters!$A:$K,11,FALSE)</f>
        <v>attack</v>
      </c>
      <c r="M37" s="7" t="str">
        <f>VLOOKUP(B37,[1]characters!$A:$M,13,FALSE)</f>
        <v>god</v>
      </c>
      <c r="N37" s="7" t="str">
        <f>VLOOKUP(B37,[1]characters!$A:$G,7,FALSE)</f>
        <v>男性</v>
      </c>
      <c r="O37" s="26">
        <v>20</v>
      </c>
      <c r="P37" s="27">
        <f t="shared" si="4"/>
        <v>1.7543859649122806E-2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</row>
    <row r="38" spans="1:36" s="51" customFormat="1" ht="21" customHeight="1" x14ac:dyDescent="0.15">
      <c r="A38" s="2">
        <v>7014100</v>
      </c>
      <c r="B38" s="46">
        <v>1029</v>
      </c>
      <c r="C38" s="7" t="str">
        <f t="shared" si="2"/>
        <v>PremiumSS6R5only</v>
      </c>
      <c r="D38" s="7" t="str">
        <f t="shared" si="3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天賦の軍才 牛若丸</v>
      </c>
      <c r="I38" s="7" t="str">
        <f>VLOOKUP(B38,[1]characters!$A:$J,10,FALSE)</f>
        <v>PremiumSS</v>
      </c>
      <c r="J38" s="7">
        <f>VLOOKUP(B38,[1]characters!$A:$I,9,FALSE)</f>
        <v>6</v>
      </c>
      <c r="K38" s="7" t="str">
        <f>VLOOKUP(B38,[1]characters!$A:$H,8,FALSE)</f>
        <v>green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26">
        <v>20</v>
      </c>
      <c r="P38" s="27">
        <f t="shared" si="4"/>
        <v>1.7543859649122806E-2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</row>
    <row r="39" spans="1:36" s="51" customFormat="1" ht="21" customHeight="1" x14ac:dyDescent="0.15">
      <c r="A39" s="2">
        <v>7014100</v>
      </c>
      <c r="B39" s="46">
        <v>1032</v>
      </c>
      <c r="C39" s="7" t="str">
        <f t="shared" si="2"/>
        <v>PremiumSS6R5only</v>
      </c>
      <c r="D39" s="7" t="str">
        <f t="shared" si="3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彩気煥発の創作人 紫式部</v>
      </c>
      <c r="I39" s="7" t="str">
        <f>VLOOKUP(B39,[1]characters!$A:$J,10,FALSE)</f>
        <v>PremiumSS</v>
      </c>
      <c r="J39" s="7">
        <f>VLOOKUP(B39,[1]characters!$A:$I,9,FALSE)</f>
        <v>6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26">
        <v>20</v>
      </c>
      <c r="P39" s="27">
        <f t="shared" si="4"/>
        <v>1.7543859649122806E-2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</row>
    <row r="40" spans="1:36" s="51" customFormat="1" ht="21" customHeight="1" x14ac:dyDescent="0.15">
      <c r="A40" s="2">
        <v>7014100</v>
      </c>
      <c r="B40" s="46">
        <v>1034</v>
      </c>
      <c r="C40" s="7" t="str">
        <f t="shared" si="2"/>
        <v>PremiumSS6R5only</v>
      </c>
      <c r="D40" s="7" t="str">
        <f t="shared" si="3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爛漫なる随筆家 清少納言</v>
      </c>
      <c r="I40" s="7" t="str">
        <f>VLOOKUP(B40,[1]characters!$A:$J,10,FALSE)</f>
        <v>PremiumSS</v>
      </c>
      <c r="J40" s="7">
        <f>VLOOKUP(B40,[1]characters!$A:$I,9,FALSE)</f>
        <v>6</v>
      </c>
      <c r="K40" s="7" t="str">
        <f>VLOOKUP(B40,[1]characters!$A:$H,8,FALSE)</f>
        <v>yellow</v>
      </c>
      <c r="L40" s="7" t="str">
        <f>VLOOKUP(B40,[1]characters!$A:$K,11,FALSE)</f>
        <v>heal</v>
      </c>
      <c r="M40" s="7" t="str">
        <f>VLOOKUP(B40,[1]characters!$A:$M,13,FALSE)</f>
        <v>human</v>
      </c>
      <c r="N40" s="7" t="str">
        <f>VLOOKUP(B40,[1]characters!$A:$G,7,FALSE)</f>
        <v>男性</v>
      </c>
      <c r="O40" s="26">
        <v>20</v>
      </c>
      <c r="P40" s="27">
        <f t="shared" si="4"/>
        <v>1.7543859649122806E-2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</row>
    <row r="41" spans="1:36" s="51" customFormat="1" ht="21" customHeight="1" x14ac:dyDescent="0.15">
      <c r="A41" s="2">
        <v>7014100</v>
      </c>
      <c r="B41" s="46">
        <v>1070</v>
      </c>
      <c r="C41" s="7" t="str">
        <f t="shared" si="2"/>
        <v>PremiumSS6R5only</v>
      </c>
      <c r="D41" s="7" t="str">
        <f t="shared" si="3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駆脳する造愛 イシュタル</v>
      </c>
      <c r="I41" s="7" t="str">
        <f>VLOOKUP(B41,[1]characters!$A:$J,10,FALSE)</f>
        <v>PremiumSS</v>
      </c>
      <c r="J41" s="7">
        <f>VLOOKUP(B41,[1]characters!$A:$I,9,FALSE)</f>
        <v>6</v>
      </c>
      <c r="K41" s="7" t="str">
        <f>VLOOKUP(B41,[1]characters!$A:$H,8,FALSE)</f>
        <v>green</v>
      </c>
      <c r="L41" s="7" t="str">
        <f>VLOOKUP(B41,[1]characters!$A:$K,11,FALSE)</f>
        <v>technical</v>
      </c>
      <c r="M41" s="7" t="str">
        <f>VLOOKUP(B41,[1]characters!$A:$M,13,FALSE)</f>
        <v>god</v>
      </c>
      <c r="N41" s="7" t="str">
        <f>VLOOKUP(B41,[1]characters!$A:$G,7,FALSE)</f>
        <v>男性</v>
      </c>
      <c r="O41" s="26">
        <v>20</v>
      </c>
      <c r="P41" s="27">
        <f t="shared" si="4"/>
        <v>1.7543859649122806E-2</v>
      </c>
      <c r="Q41" s="22">
        <v>1</v>
      </c>
      <c r="R41" s="22">
        <v>0</v>
      </c>
      <c r="S41" s="22">
        <v>0</v>
      </c>
      <c r="T41" s="22">
        <v>0</v>
      </c>
      <c r="U41" s="22">
        <v>0</v>
      </c>
      <c r="V41" s="22">
        <v>1</v>
      </c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</row>
    <row r="42" spans="1:36" s="51" customFormat="1" ht="21" customHeight="1" x14ac:dyDescent="0.15">
      <c r="A42" s="2">
        <v>7014100</v>
      </c>
      <c r="B42" s="46">
        <v>1073</v>
      </c>
      <c r="C42" s="7" t="str">
        <f t="shared" si="2"/>
        <v>PremiumSS6R5only</v>
      </c>
      <c r="D42" s="7" t="str">
        <f t="shared" si="3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静穏なる獣勇 エンキドゥ</v>
      </c>
      <c r="I42" s="7" t="str">
        <f>VLOOKUP(B42,[1]characters!$A:$J,10,FALSE)</f>
        <v>PremiumSSw</v>
      </c>
      <c r="J42" s="7">
        <f>VLOOKUP(B42,[1]characters!$A:$I,9,FALSE)</f>
        <v>6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26">
        <v>20</v>
      </c>
      <c r="P42" s="27">
        <f t="shared" si="4"/>
        <v>1.7543859649122806E-2</v>
      </c>
      <c r="Q42" s="22">
        <v>1</v>
      </c>
      <c r="R42" s="22">
        <v>0</v>
      </c>
      <c r="S42" s="22">
        <v>0</v>
      </c>
      <c r="T42" s="22">
        <v>0</v>
      </c>
      <c r="U42" s="22">
        <v>0</v>
      </c>
      <c r="V42" s="22">
        <v>1</v>
      </c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1:36" s="51" customFormat="1" ht="21" customHeight="1" x14ac:dyDescent="0.15">
      <c r="A43" s="2">
        <v>7014100</v>
      </c>
      <c r="B43" s="46">
        <v>1075</v>
      </c>
      <c r="C43" s="7" t="str">
        <f t="shared" si="2"/>
        <v>PremiumSS6R5only</v>
      </c>
      <c r="D43" s="7" t="str">
        <f t="shared" si="3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虚塔の神王 マルドゥク</v>
      </c>
      <c r="I43" s="7" t="str">
        <f>VLOOKUP(B43,[1]characters!$A:$J,10,FALSE)</f>
        <v>PremiumSS</v>
      </c>
      <c r="J43" s="7">
        <f>VLOOKUP(B43,[1]characters!$A:$I,9,FALSE)</f>
        <v>6</v>
      </c>
      <c r="K43" s="7" t="str">
        <f>VLOOKUP(B43,[1]characters!$A:$H,8,FALSE)</f>
        <v>yellow</v>
      </c>
      <c r="L43" s="7" t="str">
        <f>VLOOKUP(B43,[1]characters!$A:$K,11,FALSE)</f>
        <v>technical</v>
      </c>
      <c r="M43" s="7" t="str">
        <f>VLOOKUP(B43,[1]characters!$A:$M,13,FALSE)</f>
        <v>god</v>
      </c>
      <c r="N43" s="7" t="str">
        <f>VLOOKUP(B43,[1]characters!$A:$G,7,FALSE)</f>
        <v>男性</v>
      </c>
      <c r="O43" s="26">
        <v>20</v>
      </c>
      <c r="P43" s="27">
        <f t="shared" si="4"/>
        <v>1.7543859649122806E-2</v>
      </c>
      <c r="Q43" s="22">
        <v>1</v>
      </c>
      <c r="R43" s="22">
        <v>0</v>
      </c>
      <c r="S43" s="22">
        <v>0</v>
      </c>
      <c r="T43" s="22">
        <v>0</v>
      </c>
      <c r="U43" s="22">
        <v>0</v>
      </c>
      <c r="V43" s="22">
        <v>1</v>
      </c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</row>
    <row r="44" spans="1:36" s="51" customFormat="1" ht="21" customHeight="1" x14ac:dyDescent="0.15">
      <c r="A44" s="2">
        <v>7014100</v>
      </c>
      <c r="B44" s="46">
        <v>1101</v>
      </c>
      <c r="C44" s="7" t="str">
        <f t="shared" si="2"/>
        <v>PremiumSS6R5only</v>
      </c>
      <c r="D44" s="7" t="str">
        <f t="shared" si="3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浮世万物の筆刻者 北斎</v>
      </c>
      <c r="I44" s="7" t="str">
        <f>VLOOKUP(B44,[1]characters!$A:$J,10,FALSE)</f>
        <v>PremiumSS</v>
      </c>
      <c r="J44" s="7">
        <f>VLOOKUP(B44,[1]characters!$A:$I,9,FALSE)</f>
        <v>6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human</v>
      </c>
      <c r="N44" s="7" t="str">
        <f>VLOOKUP(B44,[1]characters!$A:$G,7,FALSE)</f>
        <v>不明</v>
      </c>
      <c r="O44" s="26">
        <v>20</v>
      </c>
      <c r="P44" s="27">
        <f t="shared" si="4"/>
        <v>1.7543859649122806E-2</v>
      </c>
      <c r="Q44" s="22">
        <v>1</v>
      </c>
      <c r="R44" s="22">
        <v>0</v>
      </c>
      <c r="S44" s="22">
        <v>0</v>
      </c>
      <c r="T44" s="22">
        <v>0</v>
      </c>
      <c r="U44" s="22">
        <v>0</v>
      </c>
      <c r="V44" s="22">
        <v>1</v>
      </c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</row>
    <row r="45" spans="1:36" s="51" customFormat="1" ht="21" customHeight="1" x14ac:dyDescent="0.15">
      <c r="A45" s="2">
        <v>7014100</v>
      </c>
      <c r="B45" s="46">
        <v>1103</v>
      </c>
      <c r="C45" s="7" t="str">
        <f t="shared" si="2"/>
        <v>PremiumSS6R5only</v>
      </c>
      <c r="D45" s="7" t="str">
        <f t="shared" si="3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舞台裏の鼠展 ドガ</v>
      </c>
      <c r="I45" s="7" t="str">
        <f>VLOOKUP(B45,[1]characters!$A:$J,10,FALSE)</f>
        <v>PremiumSSW</v>
      </c>
      <c r="J45" s="7">
        <f>VLOOKUP(B45,[1]characters!$A:$I,9,FALSE)</f>
        <v>6</v>
      </c>
      <c r="K45" s="7" t="str">
        <f>VLOOKUP(B45,[1]characters!$A:$H,8,FALSE)</f>
        <v>green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不明</v>
      </c>
      <c r="O45" s="26">
        <v>20</v>
      </c>
      <c r="P45" s="27">
        <f t="shared" si="4"/>
        <v>1.7543859649122806E-2</v>
      </c>
      <c r="Q45" s="22">
        <v>1</v>
      </c>
      <c r="R45" s="22">
        <v>0</v>
      </c>
      <c r="S45" s="22">
        <v>0</v>
      </c>
      <c r="T45" s="22">
        <v>0</v>
      </c>
      <c r="U45" s="22">
        <v>0</v>
      </c>
      <c r="V45" s="22">
        <v>1</v>
      </c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</row>
    <row r="46" spans="1:36" s="51" customFormat="1" ht="21" customHeight="1" x14ac:dyDescent="0.15">
      <c r="A46" s="2">
        <v>7014100</v>
      </c>
      <c r="B46" s="46">
        <v>1107</v>
      </c>
      <c r="C46" s="7" t="str">
        <f t="shared" si="2"/>
        <v>PremiumSS6R5only</v>
      </c>
      <c r="D46" s="7" t="str">
        <f t="shared" si="3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天浄の鮮風 ラファエロ</v>
      </c>
      <c r="I46" s="7" t="str">
        <f>VLOOKUP(B46,[1]characters!$A:$J,10,FALSE)</f>
        <v>PremiumSS</v>
      </c>
      <c r="J46" s="7">
        <f>VLOOKUP(B46,[1]characters!$A:$I,9,FALSE)</f>
        <v>6</v>
      </c>
      <c r="K46" s="7" t="str">
        <f>VLOOKUP(B46,[1]characters!$A:$H,8,FALSE)</f>
        <v>yellow</v>
      </c>
      <c r="L46" s="7" t="str">
        <f>VLOOKUP(B46,[1]characters!$A:$K,11,FALSE)</f>
        <v>attack</v>
      </c>
      <c r="M46" s="7" t="str">
        <f>VLOOKUP(B46,[1]characters!$A:$M,13,FALSE)</f>
        <v>human</v>
      </c>
      <c r="N46" s="7" t="str">
        <f>VLOOKUP(B46,[1]characters!$A:$G,7,FALSE)</f>
        <v>不明</v>
      </c>
      <c r="O46" s="26">
        <v>20</v>
      </c>
      <c r="P46" s="27">
        <f t="shared" si="4"/>
        <v>1.7543859649122806E-2</v>
      </c>
      <c r="Q46" s="22">
        <v>1</v>
      </c>
      <c r="R46" s="22">
        <v>0</v>
      </c>
      <c r="S46" s="22">
        <v>0</v>
      </c>
      <c r="T46" s="22">
        <v>0</v>
      </c>
      <c r="U46" s="22">
        <v>0</v>
      </c>
      <c r="V46" s="22">
        <v>1</v>
      </c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</row>
    <row r="47" spans="1:36" s="51" customFormat="1" ht="21" customHeight="1" x14ac:dyDescent="0.15">
      <c r="A47" s="2">
        <v>7014100</v>
      </c>
      <c r="B47" s="46">
        <v>1138</v>
      </c>
      <c r="C47" s="7" t="str">
        <f t="shared" si="2"/>
        <v>PremiumSS6R5only</v>
      </c>
      <c r="D47" s="7" t="str">
        <f t="shared" si="3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神算鬼謀の宰相 諸葛亮</v>
      </c>
      <c r="I47" s="7" t="str">
        <f>VLOOKUP(B47,[1]characters!$A:$J,10,FALSE)</f>
        <v>PremiumSSW</v>
      </c>
      <c r="J47" s="7">
        <f>VLOOKUP(B47,[1]characters!$A:$I,9,FALSE)</f>
        <v>6</v>
      </c>
      <c r="K47" s="7" t="str">
        <f>VLOOKUP(B47,[1]characters!$A:$H,8,FALSE)</f>
        <v>red</v>
      </c>
      <c r="L47" s="7" t="str">
        <f>VLOOKUP(B47,[1]characters!$A:$K,11,FALSE)</f>
        <v>technical</v>
      </c>
      <c r="M47" s="7" t="str">
        <f>VLOOKUP(B47,[1]characters!$A:$M,13,FALSE)</f>
        <v>samurai</v>
      </c>
      <c r="N47" s="7" t="str">
        <f>VLOOKUP(B47,[1]characters!$A:$G,7,FALSE)</f>
        <v>不明</v>
      </c>
      <c r="O47" s="26">
        <v>20</v>
      </c>
      <c r="P47" s="27">
        <f t="shared" si="4"/>
        <v>1.7543859649122806E-2</v>
      </c>
      <c r="Q47" s="22">
        <v>1</v>
      </c>
      <c r="R47" s="22">
        <v>0</v>
      </c>
      <c r="S47" s="22">
        <v>0</v>
      </c>
      <c r="T47" s="22">
        <v>0</v>
      </c>
      <c r="U47" s="22">
        <v>0</v>
      </c>
      <c r="V47" s="22">
        <v>1</v>
      </c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</row>
    <row r="48" spans="1:36" s="51" customFormat="1" ht="21" customHeight="1" x14ac:dyDescent="0.15">
      <c r="A48" s="2">
        <v>7014100</v>
      </c>
      <c r="B48" s="46">
        <v>1140</v>
      </c>
      <c r="C48" s="7" t="str">
        <f t="shared" si="2"/>
        <v>PremiumSS6R5only</v>
      </c>
      <c r="D48" s="7" t="str">
        <f t="shared" si="3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綱紀粛正の傑璧 趙雲</v>
      </c>
      <c r="I48" s="7" t="str">
        <f>VLOOKUP(B48,[1]characters!$A:$J,10,FALSE)</f>
        <v>PremiumSS</v>
      </c>
      <c r="J48" s="7">
        <f>VLOOKUP(B48,[1]characters!$A:$I,9,FALSE)</f>
        <v>6</v>
      </c>
      <c r="K48" s="7" t="str">
        <f>VLOOKUP(B48,[1]characters!$A:$H,8,FALSE)</f>
        <v>green</v>
      </c>
      <c r="L48" s="7" t="str">
        <f>VLOOKUP(B48,[1]characters!$A:$K,11,FALSE)</f>
        <v>balance</v>
      </c>
      <c r="M48" s="7" t="str">
        <f>VLOOKUP(B48,[1]characters!$A:$M,13,FALSE)</f>
        <v>samurai</v>
      </c>
      <c r="N48" s="7" t="str">
        <f>VLOOKUP(B48,[1]characters!$A:$G,7,FALSE)</f>
        <v>不明</v>
      </c>
      <c r="O48" s="26">
        <v>20</v>
      </c>
      <c r="P48" s="27">
        <f t="shared" si="4"/>
        <v>1.7543859649122806E-2</v>
      </c>
      <c r="Q48" s="22">
        <v>1</v>
      </c>
      <c r="R48" s="22">
        <v>0</v>
      </c>
      <c r="S48" s="22">
        <v>0</v>
      </c>
      <c r="T48" s="22">
        <v>0</v>
      </c>
      <c r="U48" s="22">
        <v>0</v>
      </c>
      <c r="V48" s="22">
        <v>1</v>
      </c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</row>
    <row r="49" spans="1:36" s="51" customFormat="1" ht="21" customHeight="1" x14ac:dyDescent="0.15">
      <c r="A49" s="2">
        <v>7014100</v>
      </c>
      <c r="B49" s="46">
        <v>1142</v>
      </c>
      <c r="C49" s="7" t="str">
        <f t="shared" si="2"/>
        <v>PremiumSS6R5only</v>
      </c>
      <c r="D49" s="7" t="str">
        <f t="shared" si="3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蒼明な機鋼士 月英</v>
      </c>
      <c r="I49" s="7" t="str">
        <f>VLOOKUP(B49,[1]characters!$A:$J,10,FALSE)</f>
        <v>PremiumSS</v>
      </c>
      <c r="J49" s="7">
        <f>VLOOKUP(B49,[1]characters!$A:$I,9,FALSE)</f>
        <v>6</v>
      </c>
      <c r="K49" s="7" t="str">
        <f>VLOOKUP(B49,[1]characters!$A:$H,8,FALSE)</f>
        <v>blue</v>
      </c>
      <c r="L49" s="7" t="str">
        <f>VLOOKUP(B49,[1]characters!$A:$K,11,FALSE)</f>
        <v>balance</v>
      </c>
      <c r="M49" s="7" t="str">
        <f>VLOOKUP(B49,[1]characters!$A:$M,13,FALSE)</f>
        <v>human</v>
      </c>
      <c r="N49" s="7" t="str">
        <f>VLOOKUP(B49,[1]characters!$A:$G,7,FALSE)</f>
        <v>不明</v>
      </c>
      <c r="O49" s="26">
        <v>20</v>
      </c>
      <c r="P49" s="27">
        <f t="shared" si="4"/>
        <v>1.7543859649122806E-2</v>
      </c>
      <c r="Q49" s="22">
        <v>1</v>
      </c>
      <c r="R49" s="22">
        <v>0</v>
      </c>
      <c r="S49" s="22">
        <v>0</v>
      </c>
      <c r="T49" s="22">
        <v>0</v>
      </c>
      <c r="U49" s="22">
        <v>0</v>
      </c>
      <c r="V49" s="22">
        <v>1</v>
      </c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</row>
    <row r="50" spans="1:36" s="51" customFormat="1" ht="21" customHeight="1" x14ac:dyDescent="0.15">
      <c r="A50" s="2">
        <v>7014100</v>
      </c>
      <c r="B50" s="46">
        <v>1154</v>
      </c>
      <c r="C50" s="7" t="str">
        <f t="shared" si="2"/>
        <v>PremiumSS6R5only</v>
      </c>
      <c r="D50" s="7" t="str">
        <f t="shared" si="3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幸吹の蓮華粧 ラクシュミー</v>
      </c>
      <c r="I50" s="7" t="str">
        <f>VLOOKUP(B50,[1]characters!$A:$J,10,FALSE)</f>
        <v>PremiumSSW</v>
      </c>
      <c r="J50" s="7">
        <f>VLOOKUP(B50,[1]characters!$A:$I,9,FALSE)</f>
        <v>6</v>
      </c>
      <c r="K50" s="7" t="str">
        <f>VLOOKUP(B50,[1]characters!$A:$H,8,FALSE)</f>
        <v>green</v>
      </c>
      <c r="L50" s="7" t="str">
        <f>VLOOKUP(B50,[1]characters!$A:$K,11,FALSE)</f>
        <v>hp</v>
      </c>
      <c r="M50" s="7" t="str">
        <f>VLOOKUP(B50,[1]characters!$A:$M,13,FALSE)</f>
        <v>god</v>
      </c>
      <c r="N50" s="7" t="str">
        <f>VLOOKUP(B50,[1]characters!$A:$G,7,FALSE)</f>
        <v>不明</v>
      </c>
      <c r="O50" s="26">
        <v>20</v>
      </c>
      <c r="P50" s="27">
        <f t="shared" si="4"/>
        <v>1.7543859649122806E-2</v>
      </c>
      <c r="Q50" s="22">
        <v>1</v>
      </c>
      <c r="R50" s="22">
        <v>0</v>
      </c>
      <c r="S50" s="22">
        <v>0</v>
      </c>
      <c r="T50" s="22">
        <v>0</v>
      </c>
      <c r="U50" s="22">
        <v>0</v>
      </c>
      <c r="V50" s="22">
        <v>1</v>
      </c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</row>
    <row r="51" spans="1:36" s="51" customFormat="1" ht="21" customHeight="1" x14ac:dyDescent="0.15">
      <c r="A51" s="2">
        <v>7014100</v>
      </c>
      <c r="B51" s="46">
        <v>1156</v>
      </c>
      <c r="C51" s="7" t="str">
        <f t="shared" si="2"/>
        <v>PremiumSS6R5only</v>
      </c>
      <c r="D51" s="7" t="str">
        <f t="shared" si="3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麗逆の武操神 ドゥルガー</v>
      </c>
      <c r="I51" s="7" t="str">
        <f>VLOOKUP(B51,[1]characters!$A:$J,10,FALSE)</f>
        <v>PremiumSS</v>
      </c>
      <c r="J51" s="7">
        <f>VLOOKUP(B51,[1]characters!$A:$I,9,FALSE)</f>
        <v>6</v>
      </c>
      <c r="K51" s="7" t="str">
        <f>VLOOKUP(B51,[1]characters!$A:$H,8,FALSE)</f>
        <v>blue</v>
      </c>
      <c r="L51" s="7" t="str">
        <f>VLOOKUP(B51,[1]characters!$A:$K,11,FALSE)</f>
        <v>balance</v>
      </c>
      <c r="M51" s="7" t="str">
        <f>VLOOKUP(B51,[1]characters!$A:$M,13,FALSE)</f>
        <v>god</v>
      </c>
      <c r="N51" s="7" t="str">
        <f>VLOOKUP(B51,[1]characters!$A:$G,7,FALSE)</f>
        <v>不明</v>
      </c>
      <c r="O51" s="26">
        <v>20</v>
      </c>
      <c r="P51" s="27">
        <f t="shared" si="4"/>
        <v>1.7543859649122806E-2</v>
      </c>
      <c r="Q51" s="22">
        <v>1</v>
      </c>
      <c r="R51" s="22">
        <v>0</v>
      </c>
      <c r="S51" s="22">
        <v>0</v>
      </c>
      <c r="T51" s="22">
        <v>0</v>
      </c>
      <c r="U51" s="22">
        <v>0</v>
      </c>
      <c r="V51" s="22">
        <v>1</v>
      </c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</row>
    <row r="52" spans="1:36" s="51" customFormat="1" ht="21" customHeight="1" x14ac:dyDescent="0.15">
      <c r="A52" s="2">
        <v>7014100</v>
      </c>
      <c r="B52" s="47">
        <v>1158</v>
      </c>
      <c r="C52" s="7" t="str">
        <f t="shared" si="2"/>
        <v>PremiumSS6R5only</v>
      </c>
      <c r="D52" s="7" t="str">
        <f t="shared" si="3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天英の雷霆神 インドラ</v>
      </c>
      <c r="I52" s="7" t="str">
        <f>VLOOKUP(B52,[1]characters!$A:$J,10,FALSE)</f>
        <v>PremiumSS</v>
      </c>
      <c r="J52" s="7">
        <f>VLOOKUP(B52,[1]characters!$A:$I,9,FALSE)</f>
        <v>6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不明</v>
      </c>
      <c r="O52" s="26">
        <v>20</v>
      </c>
      <c r="P52" s="27">
        <f t="shared" si="4"/>
        <v>1.7543859649122806E-2</v>
      </c>
      <c r="Q52" s="22">
        <v>1</v>
      </c>
      <c r="R52" s="22">
        <v>0</v>
      </c>
      <c r="S52" s="22">
        <v>0</v>
      </c>
      <c r="T52" s="22">
        <v>0</v>
      </c>
      <c r="U52" s="22">
        <v>0</v>
      </c>
      <c r="V52" s="22">
        <v>1</v>
      </c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</row>
    <row r="53" spans="1:36" s="51" customFormat="1" ht="21" customHeight="1" x14ac:dyDescent="0.15">
      <c r="A53" s="2">
        <v>7014100</v>
      </c>
      <c r="B53" s="47">
        <v>1209</v>
      </c>
      <c r="C53" s="7" t="str">
        <f t="shared" si="2"/>
        <v>PremiumSS6R5only</v>
      </c>
      <c r="D53" s="7" t="str">
        <f t="shared" si="3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刹那の過罰神 ネメシス</v>
      </c>
      <c r="I53" s="7" t="str">
        <f>VLOOKUP(B53,[1]characters!$A:$J,10,FALSE)</f>
        <v>PremiumSS</v>
      </c>
      <c r="J53" s="7">
        <f>VLOOKUP(B53,[1]characters!$A:$I,9,FALSE)</f>
        <v>6</v>
      </c>
      <c r="K53" s="7" t="str">
        <f>VLOOKUP(B53,[1]characters!$A:$H,8,FALSE)</f>
        <v>red</v>
      </c>
      <c r="L53" s="7" t="str">
        <f>VLOOKUP(B53,[1]characters!$A:$K,11,FALSE)</f>
        <v>hp</v>
      </c>
      <c r="M53" s="7" t="str">
        <f>VLOOKUP(B53,[1]characters!$A:$M,13,FALSE)</f>
        <v>god</v>
      </c>
      <c r="N53" s="7">
        <f>VLOOKUP(B53,[1]characters!$A:$G,7,FALSE)</f>
        <v>0</v>
      </c>
      <c r="O53" s="26">
        <v>20</v>
      </c>
      <c r="P53" s="27">
        <f t="shared" si="4"/>
        <v>1.7543859649122806E-2</v>
      </c>
      <c r="Q53" s="22">
        <v>1</v>
      </c>
      <c r="R53" s="22">
        <v>0</v>
      </c>
      <c r="S53" s="22">
        <v>0</v>
      </c>
      <c r="T53" s="22">
        <v>0</v>
      </c>
      <c r="U53" s="22">
        <v>0</v>
      </c>
      <c r="V53" s="22">
        <v>1</v>
      </c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</row>
    <row r="54" spans="1:36" s="51" customFormat="1" ht="21" customHeight="1" x14ac:dyDescent="0.15">
      <c r="A54" s="2">
        <v>7014100</v>
      </c>
      <c r="B54" s="47">
        <v>1213</v>
      </c>
      <c r="C54" s="7" t="str">
        <f t="shared" si="2"/>
        <v>PremiumSS6R5only</v>
      </c>
      <c r="D54" s="7" t="str">
        <f t="shared" si="3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能洪の永地神 クロノス</v>
      </c>
      <c r="I54" s="7" t="str">
        <f>VLOOKUP(B54,[1]characters!$A:$J,10,FALSE)</f>
        <v>PremiumSS</v>
      </c>
      <c r="J54" s="7">
        <f>VLOOKUP(B54,[1]characters!$A:$I,9,FALSE)</f>
        <v>6</v>
      </c>
      <c r="K54" s="7" t="str">
        <f>VLOOKUP(B54,[1]characters!$A:$H,8,FALSE)</f>
        <v>blue</v>
      </c>
      <c r="L54" s="7" t="str">
        <f>VLOOKUP(B54,[1]characters!$A:$K,11,FALSE)</f>
        <v>technical</v>
      </c>
      <c r="M54" s="7" t="str">
        <f>VLOOKUP(B54,[1]characters!$A:$M,13,FALSE)</f>
        <v>god</v>
      </c>
      <c r="N54" s="7">
        <f>VLOOKUP(B54,[1]characters!$A:$G,7,FALSE)</f>
        <v>0</v>
      </c>
      <c r="O54" s="26">
        <v>20</v>
      </c>
      <c r="P54" s="27">
        <f t="shared" si="4"/>
        <v>1.7543859649122806E-2</v>
      </c>
      <c r="Q54" s="22">
        <v>1</v>
      </c>
      <c r="R54" s="22">
        <v>0</v>
      </c>
      <c r="S54" s="22">
        <v>0</v>
      </c>
      <c r="T54" s="22">
        <v>0</v>
      </c>
      <c r="U54" s="22">
        <v>0</v>
      </c>
      <c r="V54" s="22">
        <v>1</v>
      </c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</row>
    <row r="55" spans="1:36" s="51" customFormat="1" ht="21" customHeight="1" x14ac:dyDescent="0.15">
      <c r="A55" s="2">
        <v>7014100</v>
      </c>
      <c r="B55" s="47">
        <v>1215</v>
      </c>
      <c r="C55" s="7" t="str">
        <f t="shared" si="2"/>
        <v>PremiumSS6R5only</v>
      </c>
      <c r="D55" s="7" t="str">
        <f t="shared" si="3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穿潮の雷月神 アルテミス</v>
      </c>
      <c r="I55" s="7" t="str">
        <f>VLOOKUP(B55,[1]characters!$A:$J,10,FALSE)</f>
        <v>PremiumSSw</v>
      </c>
      <c r="J55" s="7">
        <f>VLOOKUP(B55,[1]characters!$A:$I,9,FALSE)</f>
        <v>6</v>
      </c>
      <c r="K55" s="7" t="str">
        <f>VLOOKUP(B55,[1]characters!$A:$H,8,FALSE)</f>
        <v>yellow</v>
      </c>
      <c r="L55" s="7" t="str">
        <f>VLOOKUP(B55,[1]characters!$A:$K,11,FALSE)</f>
        <v>balance</v>
      </c>
      <c r="M55" s="7" t="str">
        <f>VLOOKUP(B55,[1]characters!$A:$M,13,FALSE)</f>
        <v>god</v>
      </c>
      <c r="N55" s="7">
        <f>VLOOKUP(B55,[1]characters!$A:$G,7,FALSE)</f>
        <v>0</v>
      </c>
      <c r="O55" s="26">
        <v>20</v>
      </c>
      <c r="P55" s="27">
        <f t="shared" si="4"/>
        <v>1.7543859649122806E-2</v>
      </c>
      <c r="Q55" s="22">
        <v>1</v>
      </c>
      <c r="R55" s="22">
        <v>0</v>
      </c>
      <c r="S55" s="22">
        <v>0</v>
      </c>
      <c r="T55" s="22">
        <v>0</v>
      </c>
      <c r="U55" s="22">
        <v>0</v>
      </c>
      <c r="V55" s="22">
        <v>1</v>
      </c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</row>
    <row r="56" spans="1:36" s="51" customFormat="1" ht="21" customHeight="1" x14ac:dyDescent="0.15">
      <c r="A56" s="2">
        <v>7014100</v>
      </c>
      <c r="B56" s="47">
        <v>1227</v>
      </c>
      <c r="C56" s="7" t="str">
        <f t="shared" ref="C56:C58" si="5">D56&amp;J56&amp;E56&amp;F56&amp;G56</f>
        <v>PremiumSS6R5only</v>
      </c>
      <c r="D56" s="7" t="str">
        <f t="shared" ref="D56:D58" si="6">IF(OR(I56="PremiumSS",I56="PremiumSSw"),"PremiumSS",IF(I56="PremiumSSS",I56,IF(I56="PremiumW",IF(J56=5,"premium",I56),"Premium")))</f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欲望の占猟者 トルストイ</v>
      </c>
      <c r="I56" s="7" t="str">
        <f>VLOOKUP(B56,[1]characters!$A:$J,10,FALSE)</f>
        <v>PremiumSS</v>
      </c>
      <c r="J56" s="7">
        <f>VLOOKUP(B56,[1]characters!$A:$I,9,FALSE)</f>
        <v>6</v>
      </c>
      <c r="K56" s="7" t="str">
        <f>VLOOKUP(B56,[1]characters!$A:$H,8,FALSE)</f>
        <v>green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>
        <f>VLOOKUP(B56,[1]characters!$A:$G,7,FALSE)</f>
        <v>0</v>
      </c>
      <c r="O56" s="26">
        <v>20</v>
      </c>
      <c r="P56" s="27">
        <f t="shared" ref="P56:P58" si="7">O56/SUM(O:O)</f>
        <v>1.7543859649122806E-2</v>
      </c>
      <c r="Q56" s="22">
        <v>1</v>
      </c>
      <c r="R56" s="22">
        <v>0</v>
      </c>
      <c r="S56" s="22">
        <v>0</v>
      </c>
      <c r="T56" s="22">
        <v>0</v>
      </c>
      <c r="U56" s="22">
        <v>0</v>
      </c>
      <c r="V56" s="22">
        <v>1</v>
      </c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</row>
    <row r="57" spans="1:36" s="51" customFormat="1" ht="21" customHeight="1" x14ac:dyDescent="0.15">
      <c r="A57" s="2">
        <v>7014100</v>
      </c>
      <c r="B57" s="47">
        <v>1229</v>
      </c>
      <c r="C57" s="7" t="str">
        <f t="shared" si="5"/>
        <v>PremiumSS6R5only</v>
      </c>
      <c r="D57" s="7" t="str">
        <f t="shared" si="6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羅生の鬼我 芥川龍之介</v>
      </c>
      <c r="I57" s="7" t="str">
        <f>VLOOKUP(B57,[1]characters!$A:$J,10,FALSE)</f>
        <v>PremiumSSw</v>
      </c>
      <c r="J57" s="7">
        <f>VLOOKUP(B57,[1]characters!$A:$I,9,FALSE)</f>
        <v>6</v>
      </c>
      <c r="K57" s="7" t="str">
        <f>VLOOKUP(B57,[1]characters!$A:$H,8,FALSE)</f>
        <v>blue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>
        <f>VLOOKUP(B57,[1]characters!$A:$G,7,FALSE)</f>
        <v>0</v>
      </c>
      <c r="O57" s="26">
        <v>20</v>
      </c>
      <c r="P57" s="27">
        <f t="shared" si="7"/>
        <v>1.7543859649122806E-2</v>
      </c>
      <c r="Q57" s="22">
        <v>1</v>
      </c>
      <c r="R57" s="22">
        <v>0</v>
      </c>
      <c r="S57" s="22">
        <v>0</v>
      </c>
      <c r="T57" s="22">
        <v>0</v>
      </c>
      <c r="U57" s="22">
        <v>0</v>
      </c>
      <c r="V57" s="22">
        <v>1</v>
      </c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</row>
    <row r="58" spans="1:36" s="51" customFormat="1" ht="21" customHeight="1" x14ac:dyDescent="0.15">
      <c r="A58" s="2">
        <v>7014100</v>
      </c>
      <c r="B58" s="47">
        <v>1231</v>
      </c>
      <c r="C58" s="7" t="str">
        <f t="shared" si="5"/>
        <v>PremiumSS6R5only</v>
      </c>
      <c r="D58" s="7" t="str">
        <f t="shared" si="6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思索する愛猫 夏目漱石</v>
      </c>
      <c r="I58" s="7" t="str">
        <f>VLOOKUP(B58,[1]characters!$A:$J,10,FALSE)</f>
        <v>PremiumSS</v>
      </c>
      <c r="J58" s="7">
        <f>VLOOKUP(B58,[1]characters!$A:$I,9,FALSE)</f>
        <v>6</v>
      </c>
      <c r="K58" s="7" t="str">
        <f>VLOOKUP(B58,[1]characters!$A:$H,8,FALSE)</f>
        <v>yellow</v>
      </c>
      <c r="L58" s="7" t="str">
        <f>VLOOKUP(B58,[1]characters!$A:$K,11,FALSE)</f>
        <v>heal</v>
      </c>
      <c r="M58" s="7" t="str">
        <f>VLOOKUP(B58,[1]characters!$A:$M,13,FALSE)</f>
        <v>animal</v>
      </c>
      <c r="N58" s="7">
        <f>VLOOKUP(B58,[1]characters!$A:$G,7,FALSE)</f>
        <v>0</v>
      </c>
      <c r="O58" s="26">
        <v>20</v>
      </c>
      <c r="P58" s="27">
        <f t="shared" si="7"/>
        <v>1.7543859649122806E-2</v>
      </c>
      <c r="Q58" s="22">
        <v>1</v>
      </c>
      <c r="R58" s="22">
        <v>0</v>
      </c>
      <c r="S58" s="22">
        <v>0</v>
      </c>
      <c r="T58" s="22">
        <v>0</v>
      </c>
      <c r="U58" s="22">
        <v>0</v>
      </c>
      <c r="V58" s="22">
        <v>1</v>
      </c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</row>
    <row r="59" spans="1:36" s="51" customFormat="1" ht="21" customHeight="1" x14ac:dyDescent="0.15">
      <c r="A59" s="46"/>
      <c r="B59" s="47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8"/>
      <c r="P59" s="49"/>
      <c r="Q59" s="50"/>
      <c r="R59" s="50"/>
      <c r="S59" s="50"/>
      <c r="T59" s="50"/>
      <c r="U59" s="50"/>
      <c r="V59" s="50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</row>
    <row r="60" spans="1:36" s="51" customFormat="1" ht="21" customHeight="1" x14ac:dyDescent="0.15">
      <c r="A60" s="46"/>
      <c r="B60" s="47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8"/>
      <c r="P60" s="49"/>
      <c r="Q60" s="50"/>
      <c r="R60" s="50"/>
      <c r="S60" s="50"/>
      <c r="T60" s="50"/>
      <c r="U60" s="50"/>
      <c r="V60" s="50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</row>
    <row r="61" spans="1:36" s="51" customFormat="1" ht="21" customHeight="1" x14ac:dyDescent="0.15">
      <c r="A61" s="46"/>
      <c r="B61" s="47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8"/>
      <c r="P61" s="49"/>
      <c r="Q61" s="50"/>
      <c r="R61" s="50"/>
      <c r="S61" s="50"/>
      <c r="T61" s="50"/>
      <c r="U61" s="50"/>
      <c r="V61" s="50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</row>
    <row r="62" spans="1:36" s="51" customFormat="1" ht="21" customHeight="1" x14ac:dyDescent="0.15">
      <c r="A62" s="46"/>
      <c r="B62" s="47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8"/>
      <c r="P62" s="49"/>
      <c r="Q62" s="50"/>
      <c r="R62" s="50"/>
      <c r="S62" s="50"/>
      <c r="T62" s="50"/>
      <c r="U62" s="50"/>
      <c r="V62" s="50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</row>
    <row r="63" spans="1:36" s="51" customFormat="1" ht="21" customHeight="1" x14ac:dyDescent="0.15">
      <c r="A63" s="46"/>
      <c r="B63" s="52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8"/>
      <c r="P63" s="49"/>
      <c r="Q63" s="50"/>
      <c r="R63" s="50"/>
      <c r="S63" s="50"/>
      <c r="T63" s="50"/>
      <c r="U63" s="50"/>
      <c r="V63" s="50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</row>
    <row r="64" spans="1:36" s="51" customFormat="1" ht="21" customHeight="1" x14ac:dyDescent="0.15">
      <c r="A64" s="46"/>
      <c r="B64" s="52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8"/>
      <c r="P64" s="49"/>
      <c r="Q64" s="50"/>
      <c r="R64" s="50"/>
      <c r="S64" s="50"/>
      <c r="T64" s="50"/>
      <c r="U64" s="50"/>
      <c r="V64" s="50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</row>
    <row r="65" spans="1:36" s="51" customFormat="1" ht="21" customHeight="1" x14ac:dyDescent="0.15">
      <c r="A65" s="46"/>
      <c r="B65" s="47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8"/>
      <c r="P65" s="49"/>
      <c r="Q65" s="50"/>
      <c r="R65" s="50"/>
      <c r="S65" s="50"/>
      <c r="T65" s="50"/>
      <c r="U65" s="50"/>
      <c r="V65" s="50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</row>
    <row r="66" spans="1:36" s="51" customFormat="1" ht="21" customHeight="1" x14ac:dyDescent="0.15">
      <c r="A66" s="46"/>
      <c r="B66" s="47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8"/>
      <c r="P66" s="49"/>
      <c r="Q66" s="50"/>
      <c r="R66" s="50"/>
      <c r="S66" s="50"/>
      <c r="T66" s="50"/>
      <c r="U66" s="50"/>
      <c r="V66" s="50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</row>
    <row r="67" spans="1:36" ht="21" customHeight="1" x14ac:dyDescent="0.15">
      <c r="A67" s="39"/>
      <c r="B67" s="40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41"/>
      <c r="P67" s="42"/>
      <c r="Q67" s="43"/>
      <c r="R67" s="43"/>
      <c r="S67" s="43"/>
      <c r="T67" s="43"/>
      <c r="U67" s="43"/>
      <c r="V67" s="43"/>
    </row>
    <row r="68" spans="1:36" ht="21" customHeight="1" x14ac:dyDescent="0.15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41"/>
      <c r="P68" s="42"/>
      <c r="Q68" s="43"/>
      <c r="R68" s="43"/>
      <c r="S68" s="43"/>
      <c r="T68" s="43"/>
      <c r="U68" s="43"/>
      <c r="V68" s="43"/>
    </row>
    <row r="69" spans="1:36" ht="21" customHeight="1" x14ac:dyDescent="0.1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41"/>
      <c r="P69" s="42"/>
      <c r="Q69" s="43"/>
      <c r="R69" s="43"/>
      <c r="S69" s="43"/>
      <c r="T69" s="43"/>
      <c r="U69" s="43"/>
      <c r="V69" s="43"/>
    </row>
    <row r="70" spans="1:36" s="12" customFormat="1" ht="21" customHeight="1" thickBot="1" x14ac:dyDescent="0.2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41"/>
      <c r="P70" s="42"/>
      <c r="Q70" s="43"/>
      <c r="R70" s="43"/>
      <c r="S70" s="43"/>
      <c r="T70" s="43"/>
      <c r="U70" s="43"/>
      <c r="V70" s="43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</row>
    <row r="71" spans="1:36" ht="21" customHeight="1" x14ac:dyDescent="0.1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41"/>
      <c r="P71" s="42"/>
      <c r="Q71" s="43"/>
      <c r="R71" s="43"/>
      <c r="S71" s="43"/>
      <c r="T71" s="43"/>
      <c r="U71" s="43"/>
      <c r="V71" s="43"/>
    </row>
    <row r="72" spans="1:36" ht="21" customHeight="1" x14ac:dyDescent="0.1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41"/>
      <c r="P72" s="42"/>
      <c r="Q72" s="43"/>
      <c r="R72" s="43"/>
      <c r="S72" s="43"/>
      <c r="T72" s="43"/>
      <c r="U72" s="43"/>
      <c r="V72" s="43"/>
    </row>
    <row r="73" spans="1:36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ht="21" customHeight="1" x14ac:dyDescent="0.1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</row>
    <row r="77" spans="1:36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36" ht="21" customHeight="1" x14ac:dyDescent="0.15">
      <c r="A113" s="39"/>
      <c r="B113" s="44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36" ht="21" customHeight="1" x14ac:dyDescent="0.15">
      <c r="A114" s="39"/>
      <c r="B114" s="44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36" ht="21" customHeight="1" x14ac:dyDescent="0.15">
      <c r="A115" s="39"/>
      <c r="B115" s="44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36" ht="21" customHeight="1" x14ac:dyDescent="0.15">
      <c r="A116" s="39"/>
      <c r="B116" s="44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36" s="9" customFormat="1" ht="21" customHeight="1" thickBot="1" x14ac:dyDescent="0.2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</row>
    <row r="118" spans="1:36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36" ht="21" customHeight="1" x14ac:dyDescent="0.1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36" ht="21" customHeight="1" x14ac:dyDescent="0.1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36" ht="21" customHeight="1" x14ac:dyDescent="0.1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36" ht="21" customHeight="1" x14ac:dyDescent="0.1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36" ht="21" customHeight="1" x14ac:dyDescent="0.1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</row>
    <row r="124" spans="1:36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36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36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36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36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ht="21" customHeight="1" x14ac:dyDescent="0.1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ht="21" customHeight="1" x14ac:dyDescent="0.15">
      <c r="A187" s="39"/>
      <c r="B187" s="40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ht="21" customHeight="1" x14ac:dyDescent="0.15">
      <c r="A188" s="39"/>
      <c r="B188" s="40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ht="21" customHeight="1" x14ac:dyDescent="0.15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335"/>
  <sheetViews>
    <sheetView showGridLines="0" workbookViewId="0">
      <pane ySplit="1" topLeftCell="A8" activePane="bottomLeft" state="frozen"/>
      <selection activeCell="E6" sqref="E6"/>
      <selection pane="bottomLeft" activeCell="H39" sqref="H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7014101</v>
      </c>
      <c r="B2" s="6">
        <v>168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7">
        <f>((IF(D2="premium",57,4)))</f>
        <v>57</v>
      </c>
      <c r="P2" s="27">
        <f t="shared" ref="P2:P35" si="1">O2/SUM(O:O)</f>
        <v>4.7500000000000001E-2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7014101</v>
      </c>
      <c r="B3" s="6">
        <v>180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地獄の大門番 ケルベロス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6" si="3">((IF(D3="premium",57,4)))</f>
        <v>57</v>
      </c>
      <c r="P3" s="27">
        <f t="shared" si="1"/>
        <v>4.7500000000000001E-2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7014101</v>
      </c>
      <c r="B4" s="6">
        <v>192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荘厳なる始祖帝 卑弥呼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57</v>
      </c>
      <c r="P4" s="27">
        <f t="shared" si="1"/>
        <v>4.7500000000000001E-2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7014101</v>
      </c>
      <c r="B5" s="6">
        <v>204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慟哭の巨焔 プロメテウス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男性</v>
      </c>
      <c r="O5" s="7">
        <f t="shared" si="3"/>
        <v>57</v>
      </c>
      <c r="P5" s="27">
        <f t="shared" si="1"/>
        <v>4.7500000000000001E-2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7014101</v>
      </c>
      <c r="B6" s="6">
        <v>216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百読の死導司書 アズラエル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57</v>
      </c>
      <c r="P6" s="27">
        <f t="shared" si="1"/>
        <v>4.7500000000000001E-2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7014101</v>
      </c>
      <c r="B7" s="6">
        <v>228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殲滅の掃射砲 アレス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男性</v>
      </c>
      <c r="O7" s="7">
        <f t="shared" si="3"/>
        <v>57</v>
      </c>
      <c r="P7" s="27">
        <f t="shared" si="1"/>
        <v>4.7500000000000001E-2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7014101</v>
      </c>
      <c r="B8" s="6">
        <v>240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轟炎の天使 ウリエル・スレイヤー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hp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57</v>
      </c>
      <c r="P8" s="27">
        <f t="shared" si="1"/>
        <v>4.7500000000000001E-2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7014101</v>
      </c>
      <c r="B9" s="6">
        <v>252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強欲の沸騰 マンモン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57</v>
      </c>
      <c r="P9" s="27">
        <f t="shared" si="1"/>
        <v>4.7500000000000001E-2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7014101</v>
      </c>
      <c r="B10" s="6">
        <v>321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巌鉄の烈志士 近藤勇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hp</v>
      </c>
      <c r="M10" s="7" t="str">
        <f>VLOOKUP(B10,[1]characters!$A:$M,13,FALSE)</f>
        <v>human</v>
      </c>
      <c r="N10" s="7" t="str">
        <f>VLOOKUP(B10,[1]characters!$A:$G,7,FALSE)</f>
        <v>男性</v>
      </c>
      <c r="O10" s="7">
        <f t="shared" si="3"/>
        <v>4</v>
      </c>
      <c r="P10" s="27">
        <f t="shared" si="1"/>
        <v>3.3333333333333335E-3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7014101</v>
      </c>
      <c r="B11" s="6">
        <v>382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激情の愛炎 バハムート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technical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57</v>
      </c>
      <c r="P11" s="27">
        <f t="shared" si="1"/>
        <v>4.7500000000000001E-2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7014101</v>
      </c>
      <c r="B12" s="8">
        <v>391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燕翼の旅人 親指姫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heal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4</v>
      </c>
      <c r="P12" s="27">
        <f t="shared" si="1"/>
        <v>3.3333333333333335E-3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7014101</v>
      </c>
      <c r="B13" s="8">
        <v>402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天災の神狼 フェンリル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red</v>
      </c>
      <c r="L13" s="7" t="str">
        <f>VLOOKUP(B13,[1]characters!$A:$K,11,FALSE)</f>
        <v>attack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57</v>
      </c>
      <c r="P13" s="27">
        <f t="shared" si="1"/>
        <v>4.7500000000000001E-2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7014101</v>
      </c>
      <c r="B14" s="6">
        <v>435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曝弾の密偵 D.R.T.H.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7">
        <f t="shared" si="3"/>
        <v>4</v>
      </c>
      <c r="P14" s="27">
        <f t="shared" si="1"/>
        <v>3.3333333333333335E-3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7014101</v>
      </c>
      <c r="B15" s="6">
        <v>464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円熟の弾導 ガウェイン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red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57</v>
      </c>
      <c r="P15" s="27">
        <f t="shared" si="1"/>
        <v>4.7500000000000001E-2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7014101</v>
      </c>
      <c r="B16" s="6">
        <v>475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7">
        <f t="shared" si="3"/>
        <v>4</v>
      </c>
      <c r="P16" s="27">
        <f t="shared" si="1"/>
        <v>3.3333333333333335E-3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7014101</v>
      </c>
      <c r="B17" s="6">
        <v>493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跋扈の機脚 ブートレグ・ペロー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不明</v>
      </c>
      <c r="O17" s="7">
        <f t="shared" si="3"/>
        <v>4</v>
      </c>
      <c r="P17" s="27">
        <f t="shared" si="1"/>
        <v>3.3333333333333335E-3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7014101</v>
      </c>
      <c r="B18" s="6">
        <v>560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暴骨炎舞の狂賢者 ユノ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f t="shared" si="3"/>
        <v>57</v>
      </c>
      <c r="P18" s="27">
        <f t="shared" si="1"/>
        <v>4.7500000000000001E-2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7014101</v>
      </c>
      <c r="B19" s="6">
        <v>587</v>
      </c>
      <c r="C19" s="7" t="str">
        <f t="shared" si="0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原初の煉鋼巨刃 ユミル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machine</v>
      </c>
      <c r="N19" s="7" t="str">
        <f>VLOOKUP(B19,[1]characters!$A:$G,7,FALSE)</f>
        <v>不明</v>
      </c>
      <c r="O19" s="7">
        <f t="shared" si="3"/>
        <v>4</v>
      </c>
      <c r="P19" s="27">
        <f t="shared" si="1"/>
        <v>3.3333333333333335E-3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7014101</v>
      </c>
      <c r="B20" s="6">
        <v>598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焼燃の情熱 ムスペルヘイム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男性</v>
      </c>
      <c r="O20" s="7">
        <f t="shared" si="3"/>
        <v>57</v>
      </c>
      <c r="P20" s="27">
        <f t="shared" si="1"/>
        <v>4.7500000000000001E-2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7014101</v>
      </c>
      <c r="B21" s="6">
        <v>659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跳梁する化猫 クルミ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attack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4</v>
      </c>
      <c r="P21" s="27">
        <f t="shared" si="1"/>
        <v>3.3333333333333335E-3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7014101</v>
      </c>
      <c r="B22" s="6">
        <v>670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陽天の噴煙 アグニ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hp</v>
      </c>
      <c r="M22" s="7" t="str">
        <f>VLOOKUP(B22,[1]characters!$A:$M,13,FALSE)</f>
        <v>god</v>
      </c>
      <c r="N22" s="7" t="str">
        <f>VLOOKUP(B22,[1]characters!$A:$G,7,FALSE)</f>
        <v>男性</v>
      </c>
      <c r="O22" s="7">
        <f t="shared" si="3"/>
        <v>57</v>
      </c>
      <c r="P22" s="27">
        <f t="shared" si="1"/>
        <v>4.7500000000000001E-2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7014101</v>
      </c>
      <c r="B23" s="6">
        <v>729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暗厄の双刀 井伊直虎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f t="shared" si="3"/>
        <v>57</v>
      </c>
      <c r="P23" s="27">
        <f t="shared" si="1"/>
        <v>4.7500000000000001E-2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7014101</v>
      </c>
      <c r="B24" s="6">
        <v>742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f t="shared" si="3"/>
        <v>4</v>
      </c>
      <c r="P24" s="27">
        <f t="shared" si="1"/>
        <v>3.3333333333333335E-3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7014101</v>
      </c>
      <c r="B25" s="6">
        <v>771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天織羽鶴 ハヅル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f t="shared" si="3"/>
        <v>4</v>
      </c>
      <c r="P25" s="27">
        <f t="shared" si="1"/>
        <v>3.3333333333333335E-3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7014101</v>
      </c>
      <c r="B26" s="6">
        <v>848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メタトロン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f t="shared" si="3"/>
        <v>4</v>
      </c>
      <c r="P26" s="27">
        <f t="shared" si="1"/>
        <v>3.3333333333333335E-3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7014101</v>
      </c>
      <c r="B27" s="6">
        <v>863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歓揮の楽団長 ブレーメン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57</v>
      </c>
      <c r="P27" s="27">
        <f t="shared" si="1"/>
        <v>4.7500000000000001E-2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7014101</v>
      </c>
      <c r="B28" s="6">
        <v>937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ナポレオン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4</v>
      </c>
      <c r="P28" s="27">
        <f t="shared" si="1"/>
        <v>3.3333333333333335E-3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7014101</v>
      </c>
      <c r="B29" s="6">
        <v>1012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ラー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balance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f t="shared" si="3"/>
        <v>4</v>
      </c>
      <c r="P29" s="27">
        <f t="shared" si="1"/>
        <v>3.3333333333333335E-3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7014101</v>
      </c>
      <c r="B30" s="6">
        <v>1027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弾丸多重奏 蝉丸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f t="shared" si="3"/>
        <v>57</v>
      </c>
      <c r="P30" s="27">
        <f t="shared" si="1"/>
        <v>4.7500000000000001E-2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7014101</v>
      </c>
      <c r="B31" s="6">
        <v>1068</v>
      </c>
      <c r="C31" s="7" t="str">
        <f t="shared" si="0"/>
        <v>Premium5R3less</v>
      </c>
      <c r="D31" s="7" t="str">
        <f t="shared" si="2"/>
        <v>Premium</v>
      </c>
      <c r="E31" s="7" t="str">
        <f>IF(COUNTIF('R6追加前'!A:A,B31)=0,IF(OR(I31="PremiumSS",I31="PremiumSSw"),"R5only","R3less"),"")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想母の羽龍 ウシュムガル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dragon</v>
      </c>
      <c r="N31" s="7" t="str">
        <f>VLOOKUP(B31,[1]characters!$A:$G,7,FALSE)</f>
        <v>男性</v>
      </c>
      <c r="O31" s="7">
        <f t="shared" si="3"/>
        <v>57</v>
      </c>
      <c r="P31" s="27">
        <f t="shared" si="1"/>
        <v>4.7500000000000001E-2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7014101</v>
      </c>
      <c r="B32" s="6">
        <v>1100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北斎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不明</v>
      </c>
      <c r="O32" s="7">
        <f t="shared" si="3"/>
        <v>4</v>
      </c>
      <c r="P32" s="27">
        <f t="shared" si="1"/>
        <v>3.3333333333333335E-3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7014101</v>
      </c>
      <c r="B33" s="6">
        <v>1137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諸葛亮</v>
      </c>
      <c r="I33" s="7" t="str">
        <f>VLOOKUP(B33,[1]characters!$A:$J,10,FALSE)</f>
        <v>PremiumSSW</v>
      </c>
      <c r="J33" s="7">
        <f>VLOOKUP(B33,[1]characters!$A:$I,9,FALSE)</f>
        <v>5</v>
      </c>
      <c r="K33" s="7" t="str">
        <f>VLOOKUP(B33,[1]characters!$A:$H,8,FALSE)</f>
        <v>red</v>
      </c>
      <c r="L33" s="7" t="str">
        <f>VLOOKUP(B33,[1]characters!$A:$K,11,FALSE)</f>
        <v>technical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f t="shared" si="3"/>
        <v>4</v>
      </c>
      <c r="P33" s="27">
        <f t="shared" si="1"/>
        <v>3.3333333333333335E-3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7014101</v>
      </c>
      <c r="B34" s="6">
        <v>1152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衆知の富益神 ガネーシャ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f t="shared" si="3"/>
        <v>57</v>
      </c>
      <c r="P34" s="27">
        <f t="shared" si="1"/>
        <v>4.7500000000000001E-2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7014101</v>
      </c>
      <c r="B35" s="6">
        <v>1208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ネメシス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hp</v>
      </c>
      <c r="M35" s="7" t="str">
        <f>VLOOKUP(B35,[1]characters!$A:$M,13,FALSE)</f>
        <v>god</v>
      </c>
      <c r="N35" s="7">
        <f>VLOOKUP(B35,[1]characters!$A:$G,7,FALSE)</f>
        <v>0</v>
      </c>
      <c r="O35" s="7">
        <f t="shared" si="3"/>
        <v>4</v>
      </c>
      <c r="P35" s="27">
        <f t="shared" si="1"/>
        <v>3.3333333333333335E-3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7014101</v>
      </c>
      <c r="B36" s="6">
        <v>1225</v>
      </c>
      <c r="C36" s="7" t="str">
        <f t="shared" ref="C36" si="4">D36&amp;J36&amp;E36&amp;F36&amp;G36</f>
        <v>Premium5R3less</v>
      </c>
      <c r="D36" s="7" t="str">
        <f t="shared" ref="D36" si="5">IF(OR(I36="PremiumSS",I36="PremiumSSw"),"PremiumSS",IF(I36="PremiumSSS",I36,IF(I36="PremiumW",IF(J36=5,"premium",I36),"Premium")))</f>
        <v>Premium</v>
      </c>
      <c r="E36" s="7" t="str">
        <f>IF(COUNTIF('R6追加前'!A:A,B36)=0,IF(OR(I36="PremiumSS",I36="PremiumSSw"),"R5only","R3less"),"")</f>
        <v>R3less</v>
      </c>
      <c r="F36" s="7" t="str">
        <f>IF(COUNTIF('R6開放'!A:A,B36)&gt;0,"R6release","")</f>
        <v/>
      </c>
      <c r="G36" s="7"/>
      <c r="H36" s="7" t="str">
        <f>VLOOKUP(B36,[1]characters!$A:$C,3,FALSE)</f>
        <v>優柔なる風断者 セルバンテス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f t="shared" si="3"/>
        <v>57</v>
      </c>
      <c r="P36" s="27">
        <f t="shared" ref="P36" si="6">O36/SUM(O:O)</f>
        <v>4.7500000000000001E-2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AJ335"/>
  <sheetViews>
    <sheetView showGridLines="0" workbookViewId="0">
      <pane ySplit="1" topLeftCell="A13" activePane="bottomLeft" state="frozen"/>
      <selection activeCell="E6" sqref="E6"/>
      <selection pane="bottomLeft" activeCell="O2" sqref="O2:O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7014102</v>
      </c>
      <c r="B2" s="6">
        <v>174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f>IF(D2="Premium",95,7)</f>
        <v>95</v>
      </c>
      <c r="P2" s="27">
        <f t="shared" ref="P2:P35" si="1">O2/SUM(O:O)</f>
        <v>4.5238095238095237E-2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7014102</v>
      </c>
      <c r="B3" s="6">
        <v>186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7" si="3">IF(D3="Premium",95,7)</f>
        <v>95</v>
      </c>
      <c r="P3" s="27">
        <f t="shared" si="1"/>
        <v>4.5238095238095237E-2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7014102</v>
      </c>
      <c r="B4" s="6">
        <v>201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7">
        <f t="shared" si="3"/>
        <v>95</v>
      </c>
      <c r="P4" s="27">
        <f t="shared" si="1"/>
        <v>4.5238095238095237E-2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7014102</v>
      </c>
      <c r="B5" s="6">
        <v>210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95</v>
      </c>
      <c r="P5" s="27">
        <f t="shared" si="1"/>
        <v>4.5238095238095237E-2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7014102</v>
      </c>
      <c r="B6" s="6">
        <v>222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95</v>
      </c>
      <c r="P6" s="27">
        <f t="shared" si="1"/>
        <v>4.5238095238095237E-2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7014102</v>
      </c>
      <c r="B7" s="6">
        <v>234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7">
        <f t="shared" si="3"/>
        <v>95</v>
      </c>
      <c r="P7" s="27">
        <f t="shared" si="1"/>
        <v>4.5238095238095237E-2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7014102</v>
      </c>
      <c r="B8" s="6">
        <v>246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95</v>
      </c>
      <c r="P8" s="27">
        <f t="shared" si="1"/>
        <v>4.5238095238095237E-2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7014102</v>
      </c>
      <c r="B9" s="6">
        <v>258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95</v>
      </c>
      <c r="P9" s="27">
        <f t="shared" si="1"/>
        <v>4.5238095238095237E-2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7014102</v>
      </c>
      <c r="B10" s="6">
        <v>325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7</v>
      </c>
      <c r="P10" s="27">
        <f t="shared" si="1"/>
        <v>3.3333333333333335E-3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7014102</v>
      </c>
      <c r="B11" s="6">
        <v>386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7</v>
      </c>
      <c r="P11" s="27">
        <f t="shared" si="1"/>
        <v>3.3333333333333335E-3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7014102</v>
      </c>
      <c r="B12" s="8">
        <v>397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95</v>
      </c>
      <c r="P12" s="27">
        <f t="shared" si="1"/>
        <v>4.5238095238095237E-2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7014102</v>
      </c>
      <c r="B13" s="8">
        <v>407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95</v>
      </c>
      <c r="P13" s="27">
        <f t="shared" si="1"/>
        <v>4.5238095238095237E-2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7014102</v>
      </c>
      <c r="B14" s="6">
        <v>441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7">
        <f t="shared" si="3"/>
        <v>95</v>
      </c>
      <c r="P14" s="27">
        <f t="shared" si="1"/>
        <v>4.5238095238095237E-2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7014102</v>
      </c>
      <c r="B15" s="6">
        <v>468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7">
        <f t="shared" si="3"/>
        <v>7</v>
      </c>
      <c r="P15" s="27">
        <f t="shared" si="1"/>
        <v>3.3333333333333335E-3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7014102</v>
      </c>
      <c r="B16" s="6">
        <v>480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7">
        <f t="shared" si="3"/>
        <v>7</v>
      </c>
      <c r="P16" s="27">
        <f t="shared" si="1"/>
        <v>3.3333333333333335E-3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7014102</v>
      </c>
      <c r="B17" s="6">
        <v>498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f t="shared" si="3"/>
        <v>95</v>
      </c>
      <c r="P17" s="27">
        <f t="shared" si="1"/>
        <v>4.5238095238095237E-2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7014102</v>
      </c>
      <c r="B18" s="6">
        <v>562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月夜砕く蒼狂狼 ローレンス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attack</v>
      </c>
      <c r="M18" s="7" t="str">
        <f>VLOOKUP(B18,[1]characters!$A:$M,13,FALSE)</f>
        <v>animal</v>
      </c>
      <c r="N18" s="7" t="str">
        <f>VLOOKUP(B18,[1]characters!$A:$G,7,FALSE)</f>
        <v>不明</v>
      </c>
      <c r="O18" s="7">
        <f t="shared" si="3"/>
        <v>95</v>
      </c>
      <c r="P18" s="27">
        <f t="shared" si="1"/>
        <v>4.5238095238095237E-2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7014102</v>
      </c>
      <c r="B19" s="6">
        <v>566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遊歩遊泳プリンセス マーメイド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不明</v>
      </c>
      <c r="O19" s="7">
        <f t="shared" si="3"/>
        <v>95</v>
      </c>
      <c r="P19" s="27">
        <f t="shared" si="1"/>
        <v>4.5238095238095237E-2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7014102</v>
      </c>
      <c r="B20" s="6">
        <v>593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妄執する邪毒龍 ファフニール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95</v>
      </c>
      <c r="P20" s="27">
        <f t="shared" si="1"/>
        <v>4.5238095238095237E-2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7014102</v>
      </c>
      <c r="B21" s="6">
        <v>603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掌愛の豊穣女神 フレイヤ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heal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7</v>
      </c>
      <c r="P21" s="27">
        <f t="shared" si="1"/>
        <v>3.3333333333333335E-3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7014102</v>
      </c>
      <c r="B22" s="6">
        <v>664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山掴み国造り ダイダラ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7">
        <f t="shared" si="3"/>
        <v>95</v>
      </c>
      <c r="P22" s="27">
        <f t="shared" si="1"/>
        <v>4.5238095238095237E-2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7014102</v>
      </c>
      <c r="B23" s="6">
        <v>675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芸楽の奔流 サラスヴァティ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7</v>
      </c>
      <c r="P23" s="27">
        <f t="shared" si="1"/>
        <v>3.3333333333333335E-3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7014102</v>
      </c>
      <c r="B24" s="6">
        <v>732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上杉謙信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女性</v>
      </c>
      <c r="O24" s="7">
        <f t="shared" si="3"/>
        <v>7</v>
      </c>
      <c r="P24" s="27">
        <f t="shared" si="1"/>
        <v>3.3333333333333335E-3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7014102</v>
      </c>
      <c r="B25" s="6">
        <v>747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潔碧の巡励神 ノルン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god</v>
      </c>
      <c r="N25" s="7" t="str">
        <f>VLOOKUP(B25,[1]characters!$A:$G,7,FALSE)</f>
        <v>男性</v>
      </c>
      <c r="O25" s="7">
        <f t="shared" si="3"/>
        <v>95</v>
      </c>
      <c r="P25" s="27">
        <f t="shared" si="1"/>
        <v>4.5238095238095237E-2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7014102</v>
      </c>
      <c r="B26" s="6">
        <v>776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水竜底主 ミズチ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heal</v>
      </c>
      <c r="M26" s="7" t="str">
        <f>VLOOKUP(B26,[1]characters!$A:$M,13,FALSE)</f>
        <v>dragon</v>
      </c>
      <c r="N26" s="7" t="str">
        <f>VLOOKUP(B26,[1]characters!$A:$G,7,FALSE)</f>
        <v>不明</v>
      </c>
      <c r="O26" s="7">
        <f t="shared" si="3"/>
        <v>95</v>
      </c>
      <c r="P26" s="27">
        <f t="shared" si="1"/>
        <v>4.5238095238095237E-2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7014102</v>
      </c>
      <c r="B27" s="6">
        <v>853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裂爪の天使 サキエル・ティア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hp</v>
      </c>
      <c r="M27" s="7" t="str">
        <f>VLOOKUP(B27,[1]characters!$A:$M,13,FALSE)</f>
        <v>god</v>
      </c>
      <c r="N27" s="7" t="str">
        <f>VLOOKUP(B27,[1]characters!$A:$G,7,FALSE)</f>
        <v>男性</v>
      </c>
      <c r="O27" s="7">
        <f t="shared" si="3"/>
        <v>95</v>
      </c>
      <c r="P27" s="27">
        <f t="shared" si="1"/>
        <v>4.5238095238095237E-2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7014102</v>
      </c>
      <c r="B28" s="6">
        <v>866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無敗の司令姫 白雪姫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7</v>
      </c>
      <c r="P28" s="27">
        <f t="shared" si="1"/>
        <v>3.3333333333333335E-3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7014102</v>
      </c>
      <c r="B29" s="6">
        <v>941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アントワネット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7</v>
      </c>
      <c r="P29" s="27">
        <f t="shared" si="1"/>
        <v>3.3333333333333335E-3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7014102</v>
      </c>
      <c r="B30" s="6">
        <v>1017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命瞳の慈母神 ハトホル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95</v>
      </c>
      <c r="P30" s="27">
        <f t="shared" si="1"/>
        <v>4.5238095238095237E-2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7014102</v>
      </c>
      <c r="B31" s="6">
        <v>1031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紫式部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blue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7</v>
      </c>
      <c r="P31" s="27">
        <f t="shared" si="1"/>
        <v>3.3333333333333335E-3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7014102</v>
      </c>
      <c r="B32" s="6">
        <v>1072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エンキドゥ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男性</v>
      </c>
      <c r="O32" s="7">
        <f t="shared" si="3"/>
        <v>7</v>
      </c>
      <c r="P32" s="27">
        <f t="shared" si="1"/>
        <v>3.3333333333333335E-3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7014102</v>
      </c>
      <c r="B33" s="6">
        <v>1105</v>
      </c>
      <c r="C33" s="7" t="str">
        <f t="shared" si="0"/>
        <v>Premium5R3less</v>
      </c>
      <c r="D33" s="7" t="str">
        <f t="shared" si="2"/>
        <v>Premium</v>
      </c>
      <c r="E33" s="7" t="str">
        <f>IF(COUNTIF('R6追加前'!A:A,B33)=0,IF(OR(I33="PremiumSS",I33="PremiumSSw"),"R5only","R3less"),"")</f>
        <v>R3less</v>
      </c>
      <c r="F33" s="7" t="str">
        <f>IF(COUNTIF('R6開放'!A:A,B33)&gt;0,"R6release","")</f>
        <v/>
      </c>
      <c r="G33" s="7"/>
      <c r="H33" s="7" t="str">
        <f>VLOOKUP(B33,[1]characters!$A:$C,3,FALSE)</f>
        <v>甘美なる背徳 クリムト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95</v>
      </c>
      <c r="P33" s="27">
        <f t="shared" si="1"/>
        <v>4.5238095238095237E-2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7014102</v>
      </c>
      <c r="B34" s="6">
        <v>1141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月英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不明</v>
      </c>
      <c r="O34" s="7">
        <f t="shared" si="3"/>
        <v>7</v>
      </c>
      <c r="P34" s="27">
        <f t="shared" si="1"/>
        <v>3.3333333333333335E-3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7014102</v>
      </c>
      <c r="B35" s="6">
        <v>1155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ドゥルガー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7</v>
      </c>
      <c r="P35" s="27">
        <f t="shared" si="1"/>
        <v>3.3333333333333335E-3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7014102</v>
      </c>
      <c r="B36" s="6">
        <v>1212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クロノス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technical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7</v>
      </c>
      <c r="P36" s="27">
        <f t="shared" ref="P36" si="6">O36/SUM(O:O)</f>
        <v>3.3333333333333335E-3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>
        <v>7014102</v>
      </c>
      <c r="B37" s="6">
        <v>1228</v>
      </c>
      <c r="C37" s="7" t="str">
        <f t="shared" ref="C37" si="7">D37&amp;J37&amp;E37&amp;F37&amp;G37</f>
        <v>PremiumSS5R5only</v>
      </c>
      <c r="D37" s="7" t="str">
        <f t="shared" ref="D37" si="8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芥川龍之介</v>
      </c>
      <c r="I37" s="7" t="str">
        <f>VLOOKUP(B37,[1]characters!$A:$J,10,FALSE)</f>
        <v>PremiumSSw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7">
        <f t="shared" si="3"/>
        <v>7</v>
      </c>
      <c r="P37" s="27">
        <f t="shared" ref="P37" si="9">O37/SUM(O:O)</f>
        <v>3.3333333333333335E-3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ht="21" customHeight="1" x14ac:dyDescent="0.15">
      <c r="A38" s="2"/>
      <c r="B38" s="6"/>
      <c r="C38" s="7"/>
      <c r="D38" s="7"/>
      <c r="E38" s="7">
        <f>COUNTIF(D:D,"Premium")</f>
        <v>21</v>
      </c>
      <c r="F38" s="7">
        <f>E40*0.95/E38</f>
        <v>95</v>
      </c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ht="21" customHeight="1" x14ac:dyDescent="0.15">
      <c r="A39" s="2"/>
      <c r="B39" s="6"/>
      <c r="C39" s="7"/>
      <c r="D39" s="7"/>
      <c r="E39" s="7">
        <f>COUNTIF(D:D,"PremiumSS")</f>
        <v>15</v>
      </c>
      <c r="F39" s="7">
        <f>E40*0.05/E39</f>
        <v>7</v>
      </c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>
        <f>E38*E39*95*5*4/285</f>
        <v>2100</v>
      </c>
      <c r="F40" s="7">
        <f>GCD(F38,F39)</f>
        <v>1</v>
      </c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AJ334"/>
  <sheetViews>
    <sheetView showGridLines="0" workbookViewId="0">
      <pane ySplit="1" topLeftCell="A6" activePane="bottomLeft" state="frozen"/>
      <selection activeCell="E6" sqref="E6"/>
      <selection pane="bottomLeft" activeCell="O37" sqref="O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7014103</v>
      </c>
      <c r="B2" s="6">
        <v>171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精解の預知者 オセ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v>160</v>
      </c>
      <c r="P2" s="27">
        <f t="shared" ref="P2:P35" si="1">O2/SUM(O:O)</f>
        <v>0.05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7014103</v>
      </c>
      <c r="B3" s="6">
        <v>183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鈍重な彷徨者 ベヒモス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v>160</v>
      </c>
      <c r="P3" s="27">
        <f t="shared" si="1"/>
        <v>0.05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7014103</v>
      </c>
      <c r="B4" s="6">
        <v>195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グランドハンター ロビンフッド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v>160</v>
      </c>
      <c r="P4" s="27">
        <f t="shared" si="1"/>
        <v>0.05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7014103</v>
      </c>
      <c r="B5" s="6">
        <v>207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豊穣の麗神・アフロディーテ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v>160</v>
      </c>
      <c r="P5" s="27">
        <f t="shared" si="1"/>
        <v>0.05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7014103</v>
      </c>
      <c r="B6" s="6">
        <v>219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覇翼の聖蛇竜 ケツァクアトル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7">
        <v>160</v>
      </c>
      <c r="P6" s="27">
        <f t="shared" si="1"/>
        <v>0.05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7014103</v>
      </c>
      <c r="B7" s="6">
        <v>231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必中の咬銃 ヨルムンガンド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technical</v>
      </c>
      <c r="M7" s="7" t="str">
        <f>VLOOKUP(B7,[1]characters!$A:$M,13,FALSE)</f>
        <v>dragon</v>
      </c>
      <c r="N7" s="7" t="str">
        <f>VLOOKUP(B7,[1]characters!$A:$G,7,FALSE)</f>
        <v>女性</v>
      </c>
      <c r="O7" s="7">
        <v>160</v>
      </c>
      <c r="P7" s="27">
        <f t="shared" si="1"/>
        <v>0.05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7014103</v>
      </c>
      <c r="B8" s="6">
        <v>243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万花の天使 ガブリエル・ブルーム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v>160</v>
      </c>
      <c r="P8" s="27">
        <f t="shared" si="1"/>
        <v>0.05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7014103</v>
      </c>
      <c r="B9" s="6">
        <v>255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怠惰の頂点 ベルフェゴール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technical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v>160</v>
      </c>
      <c r="P9" s="27">
        <f t="shared" si="1"/>
        <v>0.05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7014103</v>
      </c>
      <c r="B10" s="6">
        <v>323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流麗の愛志士 土方歳三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v>10</v>
      </c>
      <c r="P10" s="27">
        <f t="shared" si="1"/>
        <v>3.1250000000000002E-3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7014103</v>
      </c>
      <c r="B11" s="6">
        <v>384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破国の呑龍 ヤマタノオロチ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v>10</v>
      </c>
      <c r="P11" s="27">
        <f t="shared" si="1"/>
        <v>3.1250000000000002E-3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7014103</v>
      </c>
      <c r="B12" s="8">
        <v>394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影求の悪童 ピーターパン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attack</v>
      </c>
      <c r="M12" s="7" t="str">
        <f>VLOOKUP(B12,[1]characters!$A:$M,13,FALSE)</f>
        <v>human</v>
      </c>
      <c r="N12" s="7" t="str">
        <f>VLOOKUP(B12,[1]characters!$A:$G,7,FALSE)</f>
        <v>男性</v>
      </c>
      <c r="O12" s="7">
        <v>160</v>
      </c>
      <c r="P12" s="27">
        <f t="shared" si="1"/>
        <v>0.05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7014103</v>
      </c>
      <c r="B13" s="8">
        <v>404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空襲の神眼 八咫烏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v>10</v>
      </c>
      <c r="P13" s="27">
        <f t="shared" si="1"/>
        <v>3.1250000000000002E-3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7014103</v>
      </c>
      <c r="B14" s="6">
        <v>438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記憶の奪還 カカシ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technical</v>
      </c>
      <c r="M14" s="7" t="str">
        <f>VLOOKUP(B14,[1]characters!$A:$M,13,FALSE)</f>
        <v>human</v>
      </c>
      <c r="N14" s="7" t="str">
        <f>VLOOKUP(B14,[1]characters!$A:$G,7,FALSE)</f>
        <v>男性</v>
      </c>
      <c r="O14" s="7">
        <v>160</v>
      </c>
      <c r="P14" s="27">
        <f t="shared" si="1"/>
        <v>0.05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7014103</v>
      </c>
      <c r="B15" s="6">
        <v>466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真断の勇覇 ランスロット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v>10</v>
      </c>
      <c r="P15" s="27">
        <f t="shared" si="1"/>
        <v>3.1250000000000002E-3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7014103</v>
      </c>
      <c r="B16" s="6">
        <v>478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時計仕掛けの愛羽妖精 ファータ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7">
        <v>160</v>
      </c>
      <c r="P16" s="27">
        <f t="shared" si="1"/>
        <v>0.05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7014103</v>
      </c>
      <c r="B17" s="6">
        <v>495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鼠災呼ぶ笛音 ハーメルン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v>10</v>
      </c>
      <c r="P17" s="27">
        <f t="shared" si="1"/>
        <v>3.1250000000000002E-3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7014103</v>
      </c>
      <c r="B18" s="6">
        <v>561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森翠統べる獣姫 アマラ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v>160</v>
      </c>
      <c r="P18" s="27">
        <f t="shared" si="1"/>
        <v>0.05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7014103</v>
      </c>
      <c r="B19" s="6">
        <v>590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永遠を廻る呪い ニーベルゲン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女性</v>
      </c>
      <c r="O19" s="7">
        <v>160</v>
      </c>
      <c r="P19" s="27">
        <f t="shared" si="1"/>
        <v>0.05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7014103</v>
      </c>
      <c r="B20" s="6">
        <v>601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界根蝕む悪食 ニーズヘッグ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v>160</v>
      </c>
      <c r="P20" s="27">
        <f t="shared" si="1"/>
        <v>0.05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7014103</v>
      </c>
      <c r="B21" s="6">
        <v>661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7">
        <v>10</v>
      </c>
      <c r="P21" s="27">
        <f t="shared" si="1"/>
        <v>3.1250000000000002E-3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7014103</v>
      </c>
      <c r="B22" s="6">
        <v>673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変幻自在の猿王 ハヌマーン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attack</v>
      </c>
      <c r="M22" s="7" t="str">
        <f>VLOOKUP(B22,[1]characters!$A:$M,13,FALSE)</f>
        <v>animal</v>
      </c>
      <c r="N22" s="7" t="str">
        <f>VLOOKUP(B22,[1]characters!$A:$G,7,FALSE)</f>
        <v>男性</v>
      </c>
      <c r="O22" s="7">
        <v>160</v>
      </c>
      <c r="P22" s="27">
        <f t="shared" si="1"/>
        <v>0.05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7014103</v>
      </c>
      <c r="B23" s="6">
        <v>731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敬虔なる追銃 ガラシャ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heal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v>160</v>
      </c>
      <c r="P23" s="27">
        <f t="shared" si="1"/>
        <v>0.05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7014103</v>
      </c>
      <c r="B24" s="6">
        <v>744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ヘルメス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green</v>
      </c>
      <c r="L24" s="7" t="str">
        <f>VLOOKUP(B24,[1]characters!$A:$K,11,FALSE)</f>
        <v>technical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v>10</v>
      </c>
      <c r="P24" s="27">
        <f t="shared" si="1"/>
        <v>3.1250000000000002E-3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7014103</v>
      </c>
      <c r="B25" s="6">
        <v>773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浮跳天兎 イナバ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v>10</v>
      </c>
      <c r="P25" s="27">
        <f t="shared" si="1"/>
        <v>3.1250000000000002E-3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7014103</v>
      </c>
      <c r="B26" s="6">
        <v>850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バアル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v>10</v>
      </c>
      <c r="P26" s="27">
        <f t="shared" si="1"/>
        <v>3.1250000000000002E-3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7014103</v>
      </c>
      <c r="B27" s="6">
        <v>865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無情の感線 ピノキオ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machine</v>
      </c>
      <c r="N27" s="7" t="str">
        <f>VLOOKUP(B27,[1]characters!$A:$G,7,FALSE)</f>
        <v>男性</v>
      </c>
      <c r="O27" s="7">
        <v>160</v>
      </c>
      <c r="P27" s="27">
        <f t="shared" si="1"/>
        <v>0.05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7014103</v>
      </c>
      <c r="B28" s="6">
        <v>940</v>
      </c>
      <c r="C28" s="7" t="str">
        <f t="shared" si="0"/>
        <v>Premium5R3less</v>
      </c>
      <c r="D28" s="7" t="str">
        <f t="shared" si="2"/>
        <v>Premium</v>
      </c>
      <c r="E28" s="7" t="str">
        <f>IF(COUNTIF('R6追加前'!A:A,B28)=0,IF(OR(I28="PremiumSS",I28="PremiumSSw"),"R5only","R3less"),"")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不壊の大要塞 バスティーユ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green</v>
      </c>
      <c r="L28" s="7" t="str">
        <f>VLOOKUP(B28,[1]characters!$A:$K,11,FALSE)</f>
        <v>hp</v>
      </c>
      <c r="M28" s="7" t="str">
        <f>VLOOKUP(B28,[1]characters!$A:$M,13,FALSE)</f>
        <v>unknown</v>
      </c>
      <c r="N28" s="7" t="str">
        <f>VLOOKUP(B28,[1]characters!$A:$G,7,FALSE)</f>
        <v>男性</v>
      </c>
      <c r="O28" s="7">
        <v>160</v>
      </c>
      <c r="P28" s="27">
        <f t="shared" si="1"/>
        <v>0.05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7014103</v>
      </c>
      <c r="B29" s="6">
        <v>1014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イシス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hp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v>10</v>
      </c>
      <c r="P29" s="27">
        <f t="shared" si="1"/>
        <v>3.1250000000000002E-3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7014103</v>
      </c>
      <c r="B30" s="6">
        <v>1028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牛若丸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v>10</v>
      </c>
      <c r="P30" s="27">
        <f t="shared" si="1"/>
        <v>3.1250000000000002E-3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7014103</v>
      </c>
      <c r="B31" s="6">
        <v>1069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イシュタル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7">
        <v>10</v>
      </c>
      <c r="P31" s="27">
        <f t="shared" si="1"/>
        <v>3.1250000000000002E-3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7014103</v>
      </c>
      <c r="B32" s="6">
        <v>1102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ドガ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不明</v>
      </c>
      <c r="O32" s="7">
        <v>10</v>
      </c>
      <c r="P32" s="27">
        <f t="shared" si="1"/>
        <v>3.1250000000000002E-3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7014103</v>
      </c>
      <c r="B33" s="6">
        <v>1139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趙雲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v>10</v>
      </c>
      <c r="P33" s="27">
        <f t="shared" si="1"/>
        <v>3.1250000000000002E-3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7014103</v>
      </c>
      <c r="B34" s="6">
        <v>1153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ラクシュミー</v>
      </c>
      <c r="I34" s="7" t="str">
        <f>VLOOKUP(B34,[1]characters!$A:$J,10,FALSE)</f>
        <v>PremiumSSW</v>
      </c>
      <c r="J34" s="7">
        <f>VLOOKUP(B34,[1]characters!$A:$I,9,FALSE)</f>
        <v>5</v>
      </c>
      <c r="K34" s="7" t="str">
        <f>VLOOKUP(B34,[1]characters!$A:$H,8,FALSE)</f>
        <v>green</v>
      </c>
      <c r="L34" s="7" t="str">
        <f>VLOOKUP(B34,[1]characters!$A:$K,11,FALSE)</f>
        <v>hp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v>10</v>
      </c>
      <c r="P34" s="27">
        <f t="shared" si="1"/>
        <v>3.1250000000000002E-3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7014103</v>
      </c>
      <c r="B35" s="6">
        <v>1211</v>
      </c>
      <c r="C35" s="7" t="str">
        <f t="shared" si="0"/>
        <v>Premium5R3less</v>
      </c>
      <c r="D35" s="7" t="str">
        <f t="shared" si="2"/>
        <v>Premium</v>
      </c>
      <c r="E35" s="7" t="str">
        <f>IF(COUNTIF('R6追加前'!A:A,B35)=0,IF(OR(I35="PremiumSS",I35="PremiumSSw"),"R5only","R3less"),"")</f>
        <v>R3less</v>
      </c>
      <c r="F35" s="7" t="str">
        <f>IF(COUNTIF('R6開放'!A:A,B35)&gt;0,"R6release","")</f>
        <v/>
      </c>
      <c r="G35" s="7"/>
      <c r="H35" s="7" t="str">
        <f>VLOOKUP(B35,[1]characters!$A:$C,3,FALSE)</f>
        <v>奏駆の翻騎 ケンタウロス</v>
      </c>
      <c r="I35" s="7" t="str">
        <f>VLOOKUP(B35,[1]characters!$A:$J,10,FALSE)</f>
        <v>PremiumS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god</v>
      </c>
      <c r="N35" s="7">
        <f>VLOOKUP(B35,[1]characters!$A:$G,7,FALSE)</f>
        <v>0</v>
      </c>
      <c r="O35" s="7">
        <v>160</v>
      </c>
      <c r="P35" s="27">
        <f t="shared" si="1"/>
        <v>0.05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7014103</v>
      </c>
      <c r="B36" s="6">
        <v>1226</v>
      </c>
      <c r="C36" s="7" t="str">
        <f t="shared" ref="C36" si="3">D36&amp;J36&amp;E36&amp;F36&amp;G36</f>
        <v>PremiumSS5R5only</v>
      </c>
      <c r="D36" s="7" t="str">
        <f t="shared" ref="D36" si="4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トルストイ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green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v>10</v>
      </c>
      <c r="P36" s="27">
        <f t="shared" ref="P36" si="5">O36/SUM(O:O)</f>
        <v>3.1250000000000002E-3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/>
      <c r="B37" s="6"/>
      <c r="C37" s="7"/>
      <c r="D37" s="7"/>
      <c r="E37" s="7">
        <f>COUNTIF(D:D,"Premium")</f>
        <v>19</v>
      </c>
      <c r="F37" s="7">
        <f>E39*0.95/E37</f>
        <v>160</v>
      </c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s="45" customFormat="1" ht="21" customHeight="1" x14ac:dyDescent="0.15">
      <c r="A38" s="2"/>
      <c r="B38" s="6"/>
      <c r="C38" s="7"/>
      <c r="D38" s="7"/>
      <c r="E38" s="7">
        <f>COUNTIF(D:D,"PremiumSS")</f>
        <v>16</v>
      </c>
      <c r="F38" s="7">
        <f>E39*0.05/E38</f>
        <v>10</v>
      </c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s="45" customFormat="1" ht="21" customHeight="1" x14ac:dyDescent="0.15">
      <c r="A39" s="2"/>
      <c r="B39" s="6"/>
      <c r="C39" s="7"/>
      <c r="D39" s="7"/>
      <c r="E39" s="7">
        <f>E37*E38*95*5*4/1805*10</f>
        <v>3200</v>
      </c>
      <c r="F39" s="7">
        <f>GCD(F37,F38)</f>
        <v>10</v>
      </c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s="45" customFormat="1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s="9" customFormat="1" ht="21" customHeight="1" thickBot="1" x14ac:dyDescent="0.2">
      <c r="A65" s="2"/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</row>
    <row r="66" spans="1:36" ht="21" customHeight="1" x14ac:dyDescent="0.15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s="51" customFormat="1" ht="21" customHeight="1" x14ac:dyDescent="0.15">
      <c r="A74" s="2"/>
      <c r="B74" s="4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8"/>
      <c r="P77" s="49"/>
      <c r="Q77" s="50"/>
      <c r="R77" s="50"/>
      <c r="S77" s="50"/>
      <c r="T77" s="50"/>
      <c r="U77" s="50"/>
      <c r="V77" s="50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52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4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s="12" customFormat="1" ht="21" customHeight="1" thickBot="1" x14ac:dyDescent="0.2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4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s="9" customFormat="1" ht="21" customHeight="1" thickBot="1" x14ac:dyDescent="0.2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</row>
    <row r="190" spans="1:36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s="45" customFormat="1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AJ334"/>
  <sheetViews>
    <sheetView showGridLines="0" workbookViewId="0">
      <pane ySplit="1" topLeftCell="A14" activePane="bottomLeft" state="frozen"/>
      <selection activeCell="E6" sqref="E6"/>
      <selection pane="bottomLeft" activeCell="H38" sqref="H3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7014104</v>
      </c>
      <c r="B2" s="6">
        <v>177</v>
      </c>
      <c r="C2" s="7" t="str">
        <f t="shared" ref="C2:C35" si="0">D2&amp;J2&amp;E2&amp;F2&amp;G2</f>
        <v>Premium5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v>170</v>
      </c>
      <c r="P2" s="27">
        <f t="shared" ref="P2:P36" si="1">O2/SUM(O:O)</f>
        <v>0.05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7014104</v>
      </c>
      <c r="B3" s="6">
        <v>189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7" si="3">IF(D3="Premium",170,10)</f>
        <v>170</v>
      </c>
      <c r="P3" s="27">
        <f t="shared" si="1"/>
        <v>0.05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7014104</v>
      </c>
      <c r="B4" s="6">
        <v>198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170</v>
      </c>
      <c r="P4" s="27">
        <f t="shared" si="1"/>
        <v>0.05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7014104</v>
      </c>
      <c r="B5" s="6">
        <v>213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170</v>
      </c>
      <c r="P5" s="27">
        <f t="shared" si="1"/>
        <v>0.05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7014104</v>
      </c>
      <c r="B6" s="6">
        <v>225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7">
        <f t="shared" si="3"/>
        <v>170</v>
      </c>
      <c r="P6" s="27">
        <f t="shared" si="1"/>
        <v>0.05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7014104</v>
      </c>
      <c r="B7" s="6">
        <v>237</v>
      </c>
      <c r="C7" s="7" t="str">
        <f t="shared" si="0"/>
        <v>Premium5R6release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7">
        <f t="shared" si="3"/>
        <v>170</v>
      </c>
      <c r="P7" s="27">
        <f t="shared" si="1"/>
        <v>0.05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7014104</v>
      </c>
      <c r="B8" s="6">
        <v>249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170</v>
      </c>
      <c r="P8" s="27">
        <f t="shared" si="1"/>
        <v>0.05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7014104</v>
      </c>
      <c r="B9" s="6">
        <v>261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7">
        <f t="shared" si="3"/>
        <v>170</v>
      </c>
      <c r="P9" s="27">
        <f t="shared" si="1"/>
        <v>0.05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7014104</v>
      </c>
      <c r="B10" s="6">
        <v>327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10</v>
      </c>
      <c r="P10" s="27">
        <f t="shared" si="1"/>
        <v>2.9411764705882353E-3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7014104</v>
      </c>
      <c r="B11" s="6">
        <v>389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7">
        <f t="shared" si="3"/>
        <v>170</v>
      </c>
      <c r="P11" s="27">
        <f t="shared" si="1"/>
        <v>0.05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7014104</v>
      </c>
      <c r="B12" s="8">
        <v>399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10</v>
      </c>
      <c r="P12" s="27">
        <f t="shared" si="1"/>
        <v>2.9411764705882353E-3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7014104</v>
      </c>
      <c r="B13" s="8">
        <v>409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7">
        <f t="shared" si="3"/>
        <v>10</v>
      </c>
      <c r="P13" s="27">
        <f t="shared" si="1"/>
        <v>2.9411764705882353E-3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7014104</v>
      </c>
      <c r="B14" s="6">
        <v>443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7">
        <f t="shared" si="3"/>
        <v>10</v>
      </c>
      <c r="P14" s="27">
        <f t="shared" si="1"/>
        <v>2.9411764705882353E-3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7014104</v>
      </c>
      <c r="B15" s="6">
        <v>471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170</v>
      </c>
      <c r="P15" s="27">
        <f t="shared" si="1"/>
        <v>0.05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7014104</v>
      </c>
      <c r="B16" s="6">
        <v>483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7">
        <f t="shared" si="3"/>
        <v>170</v>
      </c>
      <c r="P16" s="27">
        <f t="shared" si="1"/>
        <v>0.05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7014104</v>
      </c>
      <c r="B17" s="6">
        <v>500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7">
        <f t="shared" si="3"/>
        <v>10</v>
      </c>
      <c r="P17" s="27">
        <f t="shared" si="1"/>
        <v>2.9411764705882353E-3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7014104</v>
      </c>
      <c r="B18" s="6">
        <v>563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電翔紫閃の雷刃 ハヤト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男性</v>
      </c>
      <c r="O18" s="7">
        <f t="shared" si="3"/>
        <v>170</v>
      </c>
      <c r="P18" s="27">
        <f t="shared" si="1"/>
        <v>0.05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7014104</v>
      </c>
      <c r="B19" s="6">
        <v>567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紅揚の祭狐宴舞 タマモ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不明</v>
      </c>
      <c r="O19" s="7">
        <f t="shared" si="3"/>
        <v>170</v>
      </c>
      <c r="P19" s="27">
        <f t="shared" si="1"/>
        <v>0.05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7014104</v>
      </c>
      <c r="B20" s="6">
        <v>595</v>
      </c>
      <c r="C20" s="7" t="str">
        <f t="shared" si="0"/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10</v>
      </c>
      <c r="P20" s="27">
        <f t="shared" si="1"/>
        <v>2.9411764705882353E-3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7014104</v>
      </c>
      <c r="B21" s="6">
        <v>606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冀望の光芒 バルドル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heal</v>
      </c>
      <c r="M21" s="7" t="str">
        <f>VLOOKUP(B21,[1]characters!$A:$M,13,FALSE)</f>
        <v>god</v>
      </c>
      <c r="N21" s="7" t="str">
        <f>VLOOKUP(B21,[1]characters!$A:$G,7,FALSE)</f>
        <v>男性</v>
      </c>
      <c r="O21" s="7">
        <f t="shared" si="3"/>
        <v>170</v>
      </c>
      <c r="P21" s="27">
        <f t="shared" si="1"/>
        <v>0.05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7014104</v>
      </c>
      <c r="B22" s="6">
        <v>667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最幸運の妖童 テマリ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unknown</v>
      </c>
      <c r="N22" s="7" t="str">
        <f>VLOOKUP(B22,[1]characters!$A:$G,7,FALSE)</f>
        <v>女性</v>
      </c>
      <c r="O22" s="7">
        <f t="shared" si="3"/>
        <v>170</v>
      </c>
      <c r="P22" s="27">
        <f t="shared" si="1"/>
        <v>0.05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7014104</v>
      </c>
      <c r="B23" s="6">
        <v>677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武遊闊歩 ヴィシュヌ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attack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10</v>
      </c>
      <c r="P23" s="27">
        <f t="shared" si="1"/>
        <v>2.9411764705882353E-3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7014104</v>
      </c>
      <c r="B24" s="6">
        <v>734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伊達政宗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7">
        <f t="shared" si="3"/>
        <v>10</v>
      </c>
      <c r="P24" s="27">
        <f t="shared" si="1"/>
        <v>2.9411764705882353E-3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7014104</v>
      </c>
      <c r="B25" s="6">
        <v>749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光喜の牧童 パーン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男性</v>
      </c>
      <c r="O25" s="7">
        <f t="shared" si="3"/>
        <v>170</v>
      </c>
      <c r="P25" s="27">
        <f t="shared" si="1"/>
        <v>0.05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7014104</v>
      </c>
      <c r="B26" s="6">
        <v>779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頑堅咬亀 ガメック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hp</v>
      </c>
      <c r="M26" s="7" t="str">
        <f>VLOOKUP(B26,[1]characters!$A:$M,13,FALSE)</f>
        <v>animal</v>
      </c>
      <c r="N26" s="7" t="str">
        <f>VLOOKUP(B26,[1]characters!$A:$G,7,FALSE)</f>
        <v>不明</v>
      </c>
      <c r="O26" s="7">
        <f t="shared" si="3"/>
        <v>170</v>
      </c>
      <c r="P26" s="27">
        <f t="shared" si="1"/>
        <v>0.05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7014104</v>
      </c>
      <c r="B27" s="6">
        <v>855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豹魔の侠客 フラウロス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170</v>
      </c>
      <c r="P27" s="27">
        <f t="shared" si="1"/>
        <v>0.05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7014104</v>
      </c>
      <c r="B28" s="6">
        <v>868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アラジンと殲滅機兵LAMP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10</v>
      </c>
      <c r="P28" s="27">
        <f t="shared" si="1"/>
        <v>2.9411764705882353E-3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7014104</v>
      </c>
      <c r="B29" s="6">
        <v>943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サンソン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10</v>
      </c>
      <c r="P29" s="27">
        <f t="shared" si="1"/>
        <v>2.9411764705882353E-3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7014104</v>
      </c>
      <c r="B30" s="6">
        <v>1018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バステト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10</v>
      </c>
      <c r="P30" s="27">
        <f t="shared" si="1"/>
        <v>2.9411764705882353E-3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7014104</v>
      </c>
      <c r="B31" s="6">
        <v>1033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清少納言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10</v>
      </c>
      <c r="P31" s="27">
        <f t="shared" si="1"/>
        <v>2.9411764705882353E-3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7014104</v>
      </c>
      <c r="B32" s="6">
        <v>1074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マルドゥク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technical</v>
      </c>
      <c r="M32" s="7" t="str">
        <f>VLOOKUP(B32,[1]characters!$A:$M,13,FALSE)</f>
        <v>god</v>
      </c>
      <c r="N32" s="7" t="str">
        <f>VLOOKUP(B32,[1]characters!$A:$G,7,FALSE)</f>
        <v>男性</v>
      </c>
      <c r="O32" s="7">
        <f t="shared" si="3"/>
        <v>10</v>
      </c>
      <c r="P32" s="27">
        <f t="shared" si="1"/>
        <v>2.9411764705882353E-3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7014104</v>
      </c>
      <c r="B33" s="6">
        <v>1106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ラファエロ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10</v>
      </c>
      <c r="P33" s="27">
        <f t="shared" si="1"/>
        <v>2.9411764705882353E-3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7014104</v>
      </c>
      <c r="B34" s="6">
        <v>1144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白星を射る老将 黄忠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technical</v>
      </c>
      <c r="M34" s="7" t="str">
        <f>VLOOKUP(B34,[1]characters!$A:$M,13,FALSE)</f>
        <v>samurai</v>
      </c>
      <c r="N34" s="7" t="str">
        <f>VLOOKUP(B34,[1]characters!$A:$G,7,FALSE)</f>
        <v>不明</v>
      </c>
      <c r="O34" s="7">
        <f t="shared" si="3"/>
        <v>170</v>
      </c>
      <c r="P34" s="27">
        <f t="shared" si="1"/>
        <v>0.05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7014104</v>
      </c>
      <c r="B35" s="6">
        <v>1157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インドラ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10</v>
      </c>
      <c r="P35" s="27">
        <f t="shared" si="1"/>
        <v>2.9411764705882353E-3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7014104</v>
      </c>
      <c r="B36" s="6">
        <v>1214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アルテミス</v>
      </c>
      <c r="I36" s="7" t="str">
        <f>VLOOKUP(B36,[1]characters!$A:$J,10,FALSE)</f>
        <v>PremiumSSw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balance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10</v>
      </c>
      <c r="P36" s="27">
        <f t="shared" si="1"/>
        <v>2.9411764705882353E-3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>
        <v>7014104</v>
      </c>
      <c r="B37" s="6">
        <v>1230</v>
      </c>
      <c r="C37" s="7" t="str">
        <f t="shared" ref="C37" si="6">D37&amp;J37&amp;E37&amp;F37&amp;G37</f>
        <v>PremiumSS5R5only</v>
      </c>
      <c r="D37" s="7" t="str">
        <f t="shared" ref="D37" si="7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夏目漱石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>
        <f>VLOOKUP(B37,[1]characters!$A:$G,7,FALSE)</f>
        <v>0</v>
      </c>
      <c r="O37" s="7">
        <f t="shared" si="3"/>
        <v>10</v>
      </c>
      <c r="P37" s="27">
        <f t="shared" ref="P37" si="8">O37/SUM(O:O)</f>
        <v>2.9411764705882353E-3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s="45" customFormat="1" ht="21" customHeight="1" x14ac:dyDescent="0.15">
      <c r="A38" s="2"/>
      <c r="B38" s="6"/>
      <c r="C38" s="7"/>
      <c r="D38" s="7"/>
      <c r="E38" s="7">
        <f>COUNTIF(D:D,"Premium")</f>
        <v>19</v>
      </c>
      <c r="F38" s="7">
        <f>E40*0.95/E38</f>
        <v>170</v>
      </c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s="45" customFormat="1" ht="21" customHeight="1" x14ac:dyDescent="0.15">
      <c r="A39" s="2"/>
      <c r="B39" s="6"/>
      <c r="C39" s="7"/>
      <c r="D39" s="7"/>
      <c r="E39" s="7">
        <f>COUNTIF(D:D,"PremiumSS")</f>
        <v>17</v>
      </c>
      <c r="F39" s="7">
        <f>E40*0.05/E39</f>
        <v>10</v>
      </c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s="45" customFormat="1" ht="21" customHeight="1" x14ac:dyDescent="0.15">
      <c r="A40" s="2"/>
      <c r="B40" s="6"/>
      <c r="C40" s="7"/>
      <c r="D40" s="7"/>
      <c r="E40" s="7">
        <f>E38*E39*95*20/1805*10</f>
        <v>3400</v>
      </c>
      <c r="F40" s="7">
        <f>GCD(F38,F39)</f>
        <v>10</v>
      </c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s="9" customFormat="1" ht="21" customHeight="1" thickBot="1" x14ac:dyDescent="0.2">
      <c r="A65" s="2"/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</row>
    <row r="66" spans="1:36" ht="21" customHeight="1" x14ac:dyDescent="0.15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s="51" customFormat="1" ht="21" customHeight="1" x14ac:dyDescent="0.15">
      <c r="A74" s="2"/>
      <c r="B74" s="4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8"/>
      <c r="P77" s="49"/>
      <c r="Q77" s="50"/>
      <c r="R77" s="50"/>
      <c r="S77" s="50"/>
      <c r="T77" s="50"/>
      <c r="U77" s="50"/>
      <c r="V77" s="50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52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4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s="12" customFormat="1" ht="21" customHeight="1" thickBot="1" x14ac:dyDescent="0.2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4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s="9" customFormat="1" ht="21" customHeight="1" thickBot="1" x14ac:dyDescent="0.2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</row>
    <row r="190" spans="1:36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s="45" customFormat="1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9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tables_7014100</vt:lpstr>
      <vt:lpstr>tables_7014101</vt:lpstr>
      <vt:lpstr>tables_7014102</vt:lpstr>
      <vt:lpstr>tables_7014103</vt:lpstr>
      <vt:lpstr>tables_7014104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2016-11-16T08:10:37Z</dcterms:modified>
</cp:coreProperties>
</file>