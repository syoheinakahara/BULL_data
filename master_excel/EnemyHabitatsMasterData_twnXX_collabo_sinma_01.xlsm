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9040" yWindow="3400" windowWidth="33520" windowHeight="1740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8" l="1"/>
  <c r="D33" i="18"/>
  <c r="C32" i="18"/>
  <c r="D3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2" i="18"/>
  <c r="D22" i="18"/>
  <c r="C21" i="18"/>
  <c r="D21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O22" i="21"/>
  <c r="B22" i="21"/>
  <c r="I22" i="21"/>
  <c r="J22" i="21"/>
  <c r="G22" i="21"/>
  <c r="F22" i="21"/>
  <c r="D22" i="21"/>
  <c r="C22" i="21"/>
  <c r="O21" i="21"/>
  <c r="B21" i="21"/>
  <c r="I21" i="21"/>
  <c r="J21" i="21"/>
  <c r="G21" i="21"/>
  <c r="F21" i="21"/>
  <c r="D21" i="21"/>
  <c r="C21" i="21"/>
  <c r="O20" i="21"/>
  <c r="B20" i="21"/>
  <c r="I20" i="21"/>
  <c r="J20" i="21"/>
  <c r="G20" i="21"/>
  <c r="F20" i="21"/>
  <c r="D20" i="21"/>
  <c r="C20" i="21"/>
  <c r="O19" i="21"/>
  <c r="B19" i="21"/>
  <c r="I19" i="21"/>
  <c r="J19" i="21"/>
  <c r="G19" i="21"/>
  <c r="F19" i="21"/>
  <c r="D19" i="21"/>
  <c r="C19" i="21"/>
  <c r="O18" i="21"/>
  <c r="B18" i="21"/>
  <c r="I18" i="21"/>
  <c r="J18" i="21"/>
  <c r="G18" i="21"/>
  <c r="F18" i="21"/>
  <c r="D18" i="21"/>
  <c r="C18" i="21"/>
  <c r="O17" i="21"/>
  <c r="B17" i="21"/>
  <c r="I17" i="21"/>
  <c r="J17" i="21"/>
  <c r="G17" i="21"/>
  <c r="F17" i="21"/>
  <c r="D17" i="21"/>
  <c r="C17" i="21"/>
  <c r="O16" i="21"/>
  <c r="B16" i="21"/>
  <c r="I16" i="21"/>
  <c r="J16" i="21"/>
  <c r="G16" i="21"/>
  <c r="F16" i="21"/>
  <c r="D16" i="21"/>
  <c r="C16" i="21"/>
  <c r="O15" i="21"/>
  <c r="B15" i="21"/>
  <c r="I15" i="21"/>
  <c r="J15" i="21"/>
  <c r="G15" i="21"/>
  <c r="F15" i="21"/>
  <c r="D15" i="21"/>
  <c r="C15" i="21"/>
  <c r="O14" i="21"/>
  <c r="B14" i="21"/>
  <c r="I14" i="21"/>
  <c r="J14" i="21"/>
  <c r="G14" i="21"/>
  <c r="F14" i="21"/>
  <c r="D14" i="21"/>
  <c r="C14" i="21"/>
  <c r="O13" i="21"/>
  <c r="B13" i="21"/>
  <c r="I13" i="21"/>
  <c r="J13" i="21"/>
  <c r="G13" i="21"/>
  <c r="F13" i="21"/>
  <c r="D13" i="21"/>
  <c r="C13" i="21"/>
  <c r="O12" i="21"/>
  <c r="B12" i="21"/>
  <c r="I12" i="21"/>
  <c r="J12" i="21"/>
  <c r="G12" i="21"/>
  <c r="F12" i="21"/>
  <c r="D12" i="21"/>
  <c r="C12" i="21"/>
  <c r="O11" i="21"/>
  <c r="B11" i="21"/>
  <c r="I11" i="21"/>
  <c r="J11" i="21"/>
  <c r="G11" i="21"/>
  <c r="F11" i="21"/>
  <c r="D11" i="21"/>
  <c r="C11" i="21"/>
  <c r="O10" i="21"/>
  <c r="B10" i="21"/>
  <c r="I10" i="21"/>
  <c r="J10" i="21"/>
  <c r="G10" i="21"/>
  <c r="F10" i="21"/>
  <c r="D10" i="21"/>
  <c r="C10" i="21"/>
  <c r="O9" i="21"/>
  <c r="B9" i="21"/>
  <c r="I9" i="21"/>
  <c r="J9" i="21"/>
  <c r="G9" i="21"/>
  <c r="F9" i="21"/>
  <c r="D9" i="21"/>
  <c r="C9" i="21"/>
  <c r="O8" i="21"/>
  <c r="B8" i="21"/>
  <c r="I8" i="21"/>
  <c r="J8" i="21"/>
  <c r="G8" i="21"/>
  <c r="F8" i="21"/>
  <c r="D8" i="21"/>
  <c r="C8" i="21"/>
  <c r="O7" i="21"/>
  <c r="B7" i="21"/>
  <c r="I7" i="21"/>
  <c r="J7" i="21"/>
  <c r="G7" i="21"/>
  <c r="F7" i="21"/>
  <c r="D7" i="21"/>
  <c r="C7" i="21"/>
  <c r="O6" i="21"/>
  <c r="B6" i="21"/>
  <c r="I6" i="21"/>
  <c r="J6" i="21"/>
  <c r="G6" i="21"/>
  <c r="F6" i="21"/>
  <c r="D6" i="21"/>
  <c r="C6" i="21"/>
  <c r="O5" i="21"/>
  <c r="B5" i="21"/>
  <c r="I5" i="21"/>
  <c r="J5" i="21"/>
  <c r="G5" i="21"/>
  <c r="F5" i="21"/>
  <c r="D5" i="21"/>
  <c r="C5" i="21"/>
  <c r="O4" i="21"/>
  <c r="B4" i="21"/>
  <c r="I4" i="21"/>
  <c r="J4" i="21"/>
  <c r="G4" i="21"/>
  <c r="F4" i="21"/>
  <c r="D4" i="21"/>
  <c r="C4" i="21"/>
  <c r="O3" i="21"/>
  <c r="B3" i="21"/>
  <c r="I3" i="21"/>
  <c r="J3" i="21"/>
  <c r="G3" i="21"/>
  <c r="F3" i="21"/>
  <c r="D3" i="21"/>
  <c r="C3" i="21"/>
  <c r="O2" i="21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M23" i="10"/>
  <c r="T23" i="10"/>
  <c r="W23" i="10"/>
  <c r="V23" i="10"/>
  <c r="X23" i="10"/>
  <c r="U23" i="10"/>
  <c r="Y23" i="10"/>
  <c r="M31" i="10"/>
  <c r="N31" i="10"/>
  <c r="Q31" i="10"/>
  <c r="P31" i="10"/>
  <c r="R31" i="10"/>
  <c r="O31" i="10"/>
  <c r="S31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M30" i="10"/>
  <c r="N30" i="10"/>
  <c r="Q30" i="10"/>
  <c r="P30" i="10"/>
  <c r="R30" i="10"/>
  <c r="O30" i="10"/>
  <c r="S30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29" i="11"/>
  <c r="T31" i="10"/>
  <c r="W31" i="10"/>
  <c r="V31" i="10"/>
  <c r="X31" i="10"/>
  <c r="U31" i="10"/>
  <c r="Y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V16" i="1"/>
  <c r="V15" i="1"/>
  <c r="V14" i="1"/>
  <c r="V13" i="1"/>
  <c r="V12" i="1"/>
  <c r="T16" i="1"/>
  <c r="T15" i="1"/>
  <c r="T14" i="1"/>
  <c r="T13" i="1"/>
  <c r="T12" i="1"/>
  <c r="E2" i="9"/>
  <c r="E4" i="9"/>
  <c r="X12" i="1"/>
  <c r="E21" i="9"/>
  <c r="X7" i="1"/>
  <c r="X2" i="1"/>
  <c r="J28" i="11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7" i="11"/>
  <c r="O29" i="9"/>
  <c r="N29" i="9"/>
  <c r="M29" i="9"/>
  <c r="L29" i="9"/>
  <c r="K29" i="9"/>
  <c r="J29" i="9"/>
  <c r="I29" i="9"/>
  <c r="H29" i="9"/>
  <c r="G29" i="9"/>
  <c r="E29" i="9"/>
  <c r="D29" i="9"/>
  <c r="A29" i="9"/>
  <c r="J26" i="11"/>
  <c r="O28" i="9"/>
  <c r="N28" i="9"/>
  <c r="M28" i="9"/>
  <c r="L28" i="9"/>
  <c r="K28" i="9"/>
  <c r="J28" i="9"/>
  <c r="I28" i="9"/>
  <c r="H28" i="9"/>
  <c r="G28" i="9"/>
  <c r="E28" i="9"/>
  <c r="D28" i="9"/>
  <c r="A28" i="9"/>
  <c r="J25" i="11"/>
  <c r="O27" i="9"/>
  <c r="N27" i="9"/>
  <c r="M27" i="9"/>
  <c r="L27" i="9"/>
  <c r="K27" i="9"/>
  <c r="J27" i="9"/>
  <c r="I27" i="9"/>
  <c r="H27" i="9"/>
  <c r="G27" i="9"/>
  <c r="E27" i="9"/>
  <c r="D27" i="9"/>
  <c r="A27" i="9"/>
  <c r="J24" i="11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J21" i="11"/>
  <c r="O21" i="9"/>
  <c r="N21" i="9"/>
  <c r="M21" i="9"/>
  <c r="L21" i="9"/>
  <c r="K21" i="9"/>
  <c r="J21" i="9"/>
  <c r="I21" i="9"/>
  <c r="H21" i="9"/>
  <c r="G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3" i="9"/>
  <c r="N3" i="9"/>
  <c r="M3" i="9"/>
  <c r="L3" i="9"/>
  <c r="K3" i="9"/>
  <c r="J3" i="9"/>
  <c r="I3" i="9"/>
  <c r="H3" i="9"/>
  <c r="G3" i="9"/>
  <c r="E3" i="9"/>
  <c r="D3" i="9"/>
  <c r="A3" i="9"/>
  <c r="J3" i="11"/>
  <c r="O2" i="9"/>
  <c r="N2" i="9"/>
  <c r="M2" i="9"/>
  <c r="L2" i="9"/>
  <c r="K2" i="9"/>
  <c r="J2" i="9"/>
  <c r="I2" i="9"/>
  <c r="H2" i="9"/>
  <c r="G2" i="9"/>
  <c r="D2" i="9"/>
  <c r="A2" i="9"/>
  <c r="J2" i="11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16" i="1"/>
  <c r="AF16" i="1"/>
  <c r="AI16" i="1"/>
  <c r="AG16" i="1"/>
  <c r="AE16" i="1"/>
  <c r="X16" i="1"/>
  <c r="Q16" i="1"/>
  <c r="P16" i="1"/>
  <c r="O16" i="1"/>
  <c r="N16" i="1"/>
  <c r="M16" i="1"/>
  <c r="H16" i="1"/>
  <c r="J16" i="1"/>
  <c r="I16" i="1"/>
  <c r="D16" i="1"/>
  <c r="F16" i="1"/>
  <c r="E16" i="1"/>
  <c r="A16" i="1"/>
  <c r="AD15" i="1"/>
  <c r="AF15" i="1"/>
  <c r="AI15" i="1"/>
  <c r="AG15" i="1"/>
  <c r="AE15" i="1"/>
  <c r="X15" i="1"/>
  <c r="Q15" i="1"/>
  <c r="P15" i="1"/>
  <c r="O15" i="1"/>
  <c r="N15" i="1"/>
  <c r="M15" i="1"/>
  <c r="H15" i="1"/>
  <c r="J15" i="1"/>
  <c r="I15" i="1"/>
  <c r="D15" i="1"/>
  <c r="F15" i="1"/>
  <c r="E15" i="1"/>
  <c r="A15" i="1"/>
  <c r="AD14" i="1"/>
  <c r="AF14" i="1"/>
  <c r="AI14" i="1"/>
  <c r="AG14" i="1"/>
  <c r="AE14" i="1"/>
  <c r="X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X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10" i="2"/>
  <c r="E10" i="2"/>
  <c r="D10" i="2"/>
  <c r="H2" i="1"/>
  <c r="H3" i="1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E13" i="16"/>
  <c r="N2" i="22"/>
  <c r="G2" i="22"/>
  <c r="F2" i="22"/>
  <c r="D2" i="22"/>
  <c r="C2" i="22"/>
  <c r="A2" i="22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O4" i="9"/>
  <c r="N4" i="9"/>
  <c r="M4" i="9"/>
  <c r="L4" i="9"/>
  <c r="K4" i="9"/>
  <c r="J4" i="9"/>
  <c r="I4" i="9"/>
  <c r="H4" i="9"/>
  <c r="G4" i="9"/>
  <c r="D4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4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<sst xmlns="http://schemas.openxmlformats.org/spreadsheetml/2006/main" count="1245" uniqueCount="364">
  <si>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</si>
  <si>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</si>
  <si>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</si>
  <si>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</si>
  <si>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</si>
  <si>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</si>
  <si>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</si>
  <si>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</si>
  <si>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</si>
  <si>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</si>
  <si>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</si>
  <si>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</si>
  <si>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</si>
  <si>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</si>
  <si>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</si>
  <si>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</si>
  <si>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</si>
  <si>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</si>
  <si>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</si>
  <si>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</si>
  <si>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</si>
  <si>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</si>
  <si>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</si>
  <si>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</si>
  <si>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</si>
  <si>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</si>
  <si>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</si>
  <si>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</si>
  <si>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</si>
  <si>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</si>
  <si>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</si>
  <si>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</si>
  <si>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</si>
  <si>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</si>
  <si>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</si>
  <si>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</si>
  <si>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</si>
  <si>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</si>
  <si>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</si>
  <si>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</si>
  <si>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</si>
  <si>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</si>
  <si>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</si>
  <si>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</si>
  <si>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</si>
  <si>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</si>
  <si>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</si>
  <si>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</si>
  <si>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</si>
  <si>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</si>
  <si>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</si>
  <si>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</si>
  <si>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</si>
  <si>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</si>
  <si>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</si>
  <si>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</si>
  <si>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</si>
  <si>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</si>
  <si>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</si>
  <si>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</si>
  <si>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</si>
  <si>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</si>
  <si>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</si>
  <si>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</si>
  <si>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</si>
  <si>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</si>
  <si>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</si>
  <si>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</si>
  <si>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</si>
  <si>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</si>
  <si>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</si>
  <si>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</si>
  <si>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</si>
  <si>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</si>
  <si>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</si>
  <si>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</si>
  <si>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</si>
  <si>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</si>
  <si>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</si>
  <si>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</si>
  <si>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</si>
  <si>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</si>
  <si>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</si>
  <si>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</si>
  <si>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</si>
  <si>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</si>
  <si>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</si>
  <si>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</si>
  <si>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</si>
  <si>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</si>
  <si>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</si>
  <si>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</si>
  <si>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</si>
  <si>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</si>
  <si>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</si>
  <si>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</si>
  <si>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</si>
  <si>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</si>
  <si>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</si>
  <si>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</si>
  <si>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</si>
  <si>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</si>
  <si>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</si>
  <si>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</si>
  <si>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</si>
  <si>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</si>
  <si>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</si>
  <si>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</si>
  <si>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</si>
  <si>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</si>
  <si>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</si>
  <si>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</si>
  <si>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</si>
  <si>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</si>
  <si>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</si>
  <si>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</si>
  <si>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</si>
  <si>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</si>
  <si>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</si>
  <si>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</si>
  <si>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</si>
  <si>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</si>
  <si>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</si>
  <si>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</si>
  <si>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</si>
  <si>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</si>
  <si>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</si>
  <si>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</si>
  <si>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</si>
  <si>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</si>
  <si>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</si>
  <si>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</si>
  <si>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</si>
  <si>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</si>
  <si>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</si>
  <si>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</si>
  <si>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</si>
  <si>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</si>
  <si>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</si>
  <si>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</si>
  <si>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</si>
  <si>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</si>
  <si>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</si>
  <si>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</si>
  <si>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</si>
  <si>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</si>
  <si>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</si>
  <si>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</si>
  <si>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</si>
  <si>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</si>
  <si>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</si>
  <si>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</si>
  <si>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</si>
  <si>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</si>
  <si>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</si>
  <si>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</si>
  <si>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</si>
  <si>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</si>
  <si>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</si>
  <si>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</si>
  <si>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</si>
  <si>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</si>
  <si>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</si>
  <si>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</si>
  <si>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</si>
  <si>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</si>
  <si>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</si>
  <si>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</si>
  <si>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</si>
  <si>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</si>
  <si>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</si>
  <si>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</si>
  <si>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</si>
  <si>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</si>
  <si>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</si>
  <si>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</si>
  <si>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</si>
  <si>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</si>
  <si>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</si>
  <si>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</si>
  <si>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</si>
  <si>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</si>
  <si>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</si>
  <si>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</si>
  <si>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</si>
  <si>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</si>
  <si>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</si>
  <si>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</si>
  <si>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</si>
  <si>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</si>
  <si>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</si>
  <si>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</si>
  <si>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</si>
  <si>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</si>
  <si>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</si>
  <si>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</si>
  <si>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</si>
  <si>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</si>
  <si>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</si>
  <si>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</si>
  <si>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</si>
  <si>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</si>
  <si>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</si>
  <si>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</si>
  <si>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</si>
  <si>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</si>
  <si>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</si>
  <si>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</si>
  <si>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</si>
  <si>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</si>
  <si>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</si>
  <si>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</si>
  <si>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</si>
  <si>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</si>
  <si>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</si>
  <si>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</si>
  <si>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</si>
  <si>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</si>
  <si>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</si>
  <si>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</si>
  <si>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</si>
  <si>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</si>
  <si>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</si>
  <si>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</si>
  <si>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</si>
  <si>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</si>
  <si>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</si>
  <si>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</si>
  <si>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</si>
  <si>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</si>
  <si>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</si>
  <si>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</si>
  <si>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</si>
  <si>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</si>
  <si>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</si>
  <si>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</si>
  <si>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</si>
  <si>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</si>
  <si>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</si>
  <si>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</si>
  <si>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</si>
  <si>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</si>
  <si>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</si>
  <si>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</si>
  <si>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</si>
  <si>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</si>
  <si>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</si>
  <si>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</si>
  <si>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</si>
  <si>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</si>
  <si>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</si>
  <si>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</si>
  <si>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</si>
  <si>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</si>
  <si>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</si>
  <si>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</si>
  <si>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</si>
  <si>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</si>
  <si>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</si>
  <si>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</si>
  <si>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</si>
  <si>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クリティカル！</t>
    <phoneticPr fontId="5"/>
  </si>
  <si>
    <t>3回連続攻撃</t>
    <phoneticPr fontId="5"/>
  </si>
  <si>
    <t>緑パネルをお邪魔パネル2個に変換</t>
    <phoneticPr fontId="5"/>
  </si>
  <si>
    <t>お邪魔パネルを吸収して全体攻撃</t>
    <rPh sb="11" eb="13">
      <t>ゼンタイ</t>
    </rPh>
    <phoneticPr fontId="5"/>
  </si>
  <si>
    <t>1ターン暗闇</t>
    <phoneticPr fontId="5"/>
  </si>
  <si>
    <t>全体攻撃</t>
    <phoneticPr fontId="5"/>
  </si>
  <si>
    <t>単体攻撃+
黄パネルを青パネルに変換</t>
    <phoneticPr fontId="5"/>
  </si>
  <si>
    <t>3回連続攻撃+
緑パネルを赤パネルに変換</t>
    <phoneticPr fontId="5"/>
  </si>
  <si>
    <t>old</t>
  </si>
  <si>
    <t>緑パネルを緑の時限式ダメージパネルに2個変換</t>
    <rPh sb="5" eb="6">
      <t>ミドリノ</t>
    </rPh>
    <phoneticPr fontId="5"/>
  </si>
  <si>
    <t>赤パネルを赤の時限式ダメージパネルに6個変換</t>
    <rPh sb="5" eb="6">
      <t>アカノ</t>
    </rPh>
    <phoneticPr fontId="5"/>
  </si>
  <si>
    <t>ヒダルマダ！</t>
    <phoneticPr fontId="5"/>
  </si>
  <si>
    <t>セメルゾ！</t>
    <phoneticPr fontId="5"/>
  </si>
  <si>
    <t>貧弱だね！</t>
    <rPh sb="0" eb="2">
      <t>ヒンジャク</t>
    </rPh>
    <phoneticPr fontId="5"/>
  </si>
  <si>
    <t>ここは通さないよ！</t>
    <rPh sb="3" eb="4">
      <t>トオサナイヨ</t>
    </rPh>
    <phoneticPr fontId="5"/>
  </si>
  <si>
    <t>さっさと帰んな！</t>
    <rPh sb="4" eb="5">
      <t>カエンナ</t>
    </rPh>
    <phoneticPr fontId="5"/>
  </si>
  <si>
    <t>噴炎熱破の乱舞</t>
    <phoneticPr fontId="5"/>
  </si>
  <si>
    <t>ソウルリープ</t>
    <phoneticPr fontId="5"/>
  </si>
  <si>
    <t>忠告は聞くもんだよ！</t>
    <rPh sb="0" eb="2">
      <t>チュウコク</t>
    </rPh>
    <rPh sb="3" eb="4">
      <t>キクモンダヨ</t>
    </rPh>
    <phoneticPr fontId="5"/>
  </si>
  <si>
    <t>わかってください！
君たちを巻き込みたくないのです！</t>
    <phoneticPr fontId="5"/>
  </si>
  <si>
    <t>死霊の腕</t>
    <phoneticPr fontId="5"/>
  </si>
  <si>
    <t>ダーク・ボム</t>
    <phoneticPr fontId="5"/>
  </si>
  <si>
    <t>ダーク・ディストーション</t>
    <phoneticPr fontId="5"/>
  </si>
  <si>
    <t>死への誘い</t>
    <rPh sb="0" eb="1">
      <t>シ</t>
    </rPh>
    <rPh sb="3" eb="4">
      <t>イザナイ</t>
    </rPh>
    <phoneticPr fontId="5"/>
  </si>
  <si>
    <t>ダーク・ミスト</t>
    <phoneticPr fontId="5"/>
  </si>
  <si>
    <t>犠牲は少ない方が良いのです！</t>
    <rPh sb="0" eb="2">
      <t>ギセイハ</t>
    </rPh>
    <rPh sb="3" eb="4">
      <t>スクナイホウ</t>
    </rPh>
    <rPh sb="8" eb="9">
      <t>ヨイノデス</t>
    </rPh>
    <phoneticPr fontId="5"/>
  </si>
  <si>
    <t>もうっ！どうしてわかってくれないんですか！</t>
    <phoneticPr fontId="5"/>
  </si>
  <si>
    <t>覚悟が揺らいでしまうじゃないですか…</t>
    <rPh sb="0" eb="2">
      <t>カクゴ</t>
    </rPh>
    <rPh sb="3" eb="4">
      <t>ユライデ</t>
    </rPh>
    <phoneticPr fontId="5"/>
  </si>
  <si>
    <t>負けてしまいましたか…</t>
    <rPh sb="0" eb="1">
      <t>マケテ</t>
    </rPh>
    <phoneticPr fontId="5"/>
  </si>
  <si>
    <t>そんな所が…いえ、何でもありません…</t>
    <rPh sb="9" eb="10">
      <t>ナンデモ</t>
    </rPh>
    <phoneticPr fontId="5"/>
  </si>
  <si>
    <t>仕方ないですね…一緒に戦いましょう</t>
    <rPh sb="0" eb="2">
      <t>シカタナイデス</t>
    </rPh>
    <rPh sb="8" eb="10">
      <t>イッショニ</t>
    </rPh>
    <rPh sb="11" eb="12">
      <t>タタカイマショウ</t>
    </rPh>
    <phoneticPr fontId="5"/>
  </si>
  <si>
    <t>惑いなさい</t>
    <rPh sb="0" eb="1">
      <t>madoiナサイ</t>
    </rPh>
    <phoneticPr fontId="5"/>
  </si>
  <si>
    <t>赤パネルを赤の時限式ダメージパネルに4個変換</t>
    <rPh sb="5" eb="6">
      <t>アカノ</t>
    </rPh>
    <phoneticPr fontId="5"/>
  </si>
  <si>
    <t>(表示しない)</t>
    <rPh sb="1" eb="3">
      <t>ヒョウジ</t>
    </rPh>
    <phoneticPr fontId="5"/>
  </si>
  <si>
    <t>(表示しない)</t>
    <phoneticPr fontId="5"/>
  </si>
  <si>
    <t>(表示しない)</t>
    <phoneticPr fontId="5"/>
  </si>
  <si>
    <t>旋風</t>
    <rPh sb="0" eb="2">
      <t>ツムジカゼ</t>
    </rPh>
    <phoneticPr fontId="5"/>
  </si>
  <si>
    <t>あの野郎に狙われたくないならね！
【1ターン全ユニットのタップ回数を1DOWN】</t>
    <rPh sb="5" eb="6">
      <t>ネラワレルヨ</t>
    </rPh>
    <rPh sb="22" eb="23">
      <t>ゼンユニット</t>
    </rPh>
    <phoneticPr fontId="5"/>
  </si>
  <si>
    <t>あいつの覚悟を揺るがせるわけにはいかないよ！
【1ターン全ユニットのタップ回数を1DOWN】</t>
    <rPh sb="7" eb="8">
      <t>ユルガ</t>
    </rPh>
    <rPh sb="28" eb="29">
      <t>ゼンユニット</t>
    </rPh>
    <phoneticPr fontId="5"/>
  </si>
  <si>
    <t>2ターン暗闇</t>
    <phoneticPr fontId="5"/>
  </si>
  <si>
    <t>単体攻撃+
5ターン全ユニットのタップ回数を1DOWN</t>
    <rPh sb="10" eb="11">
      <t>ゼンユニット</t>
    </rPh>
    <phoneticPr fontId="5"/>
  </si>
  <si>
    <t>単体攻撃
+3ターン全ユニットのタップ回数を1DOWN</t>
    <rPh sb="10" eb="11">
      <t>ゼンユニット</t>
    </rPh>
    <phoneticPr fontId="5"/>
  </si>
  <si>
    <t>こうなったら最後まで付き合ってもらいますよ！</t>
    <rPh sb="6" eb="8">
      <t>サイゴ</t>
    </rPh>
    <rPh sb="10" eb="11">
      <t>ツキアッテ</t>
    </rPh>
    <phoneticPr fontId="5"/>
  </si>
  <si>
    <t>帰って！
私の邪魔をしないでください！</t>
    <rPh sb="0" eb="1">
      <t>カエッテ</t>
    </rPh>
    <rPh sb="5" eb="6">
      <t>ワタシノジャマヲ</t>
    </rPh>
    <phoneticPr fontId="5"/>
  </si>
  <si>
    <t>親友の頼みでも聞けません！
私がやらなければならないのです！</t>
    <rPh sb="0" eb="2">
      <t>シンユウ</t>
    </rPh>
    <rPh sb="3" eb="4">
      <t>タノミデモ</t>
    </rPh>
    <rPh sb="7" eb="8">
      <t>キケマセン</t>
    </rPh>
    <rPh sb="14" eb="15">
      <t>ワタシ</t>
    </rPh>
    <phoneticPr fontId="5"/>
  </si>
  <si>
    <t>君には幸せになって欲しいのです…</t>
    <rPh sb="0" eb="1">
      <t>キミニハ</t>
    </rPh>
    <rPh sb="3" eb="4">
      <t>シアワセ</t>
    </rPh>
    <rPh sb="9" eb="10">
      <t>ホシイノデス</t>
    </rPh>
    <phoneticPr fontId="5"/>
  </si>
  <si>
    <t>私の意志は変わりません！君は大人しくしていてください！</t>
    <rPh sb="0" eb="1">
      <t>ワタシ</t>
    </rPh>
    <rPh sb="2" eb="4">
      <t>イシハ</t>
    </rPh>
    <rPh sb="5" eb="6">
      <t>カワリマセン</t>
    </rPh>
    <rPh sb="12" eb="13">
      <t>キミハ</t>
    </rPh>
    <rPh sb="14" eb="16">
      <t>オトナシク</t>
    </rPh>
    <phoneticPr fontId="5"/>
  </si>
  <si>
    <t>3回連続攻撃</t>
    <phoneticPr fontId="5"/>
  </si>
  <si>
    <t>やっぱり君はしょうがない人です…だからこそ…！</t>
    <phoneticPr fontId="5"/>
  </si>
  <si>
    <t>[effect:enemy_message, val1:1.2, val2:1.2],[effect:critical, val:1.1, animation:enemy_critical]</t>
  </si>
  <si>
    <t>[effect:enemy_message, val1:1.2, val2:1.2],[effect:rush, count:3, val:0.4]</t>
  </si>
  <si>
    <t>[effect:enemy_message, val1:1.2, val2:3.9],[effect:degrade_unit, target:unit_all, turn:1, status:action, val:1, calc:add, animation:enemy_tap_down]</t>
  </si>
  <si>
    <t>[effect:enemy_message, val1:1.2, val2:4.5],[effect:degrade_unit, target:unit_all, turn:1, status:action, val:1, calc:add, animation:enemy_tap_down]</t>
  </si>
  <si>
    <t>[effect:enemy_message, val1:1.2, val2:1.2],[effect:critical, val:1.2, animation:enemy_critical]</t>
  </si>
  <si>
    <t>[effect:enemy_message, val1:1.2, val2:1.6],[effect:force_change_block, new_block:jammer, target:block_green, count:2, val:0, animation:change_block]</t>
  </si>
  <si>
    <t>[effect:enemy_message, val1:1.2, val2:1.7],[effect:rush, count:1, val:1],[effect:force_change_block, new_block:block_blue, target:block_yellow, count:0, val:0, animation:change_block]</t>
  </si>
  <si>
    <t>[effect:enemy_message, val1:1.2, val2:1.2],[effect:dark, target:unit_all, turn:1, animation:enemy_dark]</t>
  </si>
  <si>
    <t>[effect:enemy_message, val1:1.8, val2:0.0]</t>
  </si>
  <si>
    <t>[effect:enemy_message, val1:1.2, val2:1.2],[effect:spread, val:0.25]</t>
  </si>
  <si>
    <t>[effect:enemy_message, val1:1.2, val2:2.2],[effect:force_change_block, new_block:time_bomb, target:block_red, color:block_red, count:4, val:0.15, animation:change_block]</t>
  </si>
  <si>
    <t>[effect:enemy_message, val1:1.5, val2:2.6],[effect:rush, count:1, val:1],[effect:degrade_unit, target:unit_all, turn:3, status:action, val:1, calc:add, animation:enemy_tap_down]</t>
  </si>
  <si>
    <t>[effect:enemy_message, val1:1.4, val2:1.9],[effect:rush, count:3, val:0.4],[effect:force_change_block, new_block:block_red, target:block_green, count:0, val:0,  animation:change_block]</t>
  </si>
  <si>
    <t>[effect:enemy_message, val1:2.5, val2:0.0]</t>
  </si>
  <si>
    <t>[effect:enemy_message, val1:2.3, val2:0.0]</t>
  </si>
  <si>
    <t>[effect:enemy_message, val1:1.2, val2:2.2],[effect:force_change_block, new_block:time_bomb, target:block_red, color:block_red, count:6, val:0.1, min_time_count:2, max_time_count:3, animation:change_block]</t>
  </si>
  <si>
    <t>[effect:enemy_message, val1:1.2, val2:1.2],[effect:dark, target:unit_all, turn:2, animation:enemy_dark]</t>
  </si>
  <si>
    <t>[effect:enemy_message, val1:2.1, val2:2.6],[effect:rush, count:1, val:1],[effect:degrade_unit, target:unit_all, turn:5, status:action, val:1, calc:add, animation:enemy_tap_down]</t>
  </si>
  <si>
    <t>[effect:enemy_message, val1:1.7, val2:2.2]</t>
  </si>
  <si>
    <t>あの者は私がなんとかします！</t>
    <rPh sb="2" eb="3">
      <t>mono</t>
    </rPh>
    <rPh sb="4" eb="5">
      <t>ワタシガ</t>
    </rPh>
    <phoneticPr fontId="5"/>
  </si>
  <si>
    <t>[effect:enemy_message, val1:1.2, val2:2.2],[effect:force_change_block, new_block:time_bomb, target:block_green, color:block_green, count:2, val:0.1, animation:change_block]</t>
    <phoneticPr fontId="5"/>
  </si>
  <si>
    <t>団結</t>
    <phoneticPr fontId="5"/>
  </si>
  <si>
    <t>ミールは変換によって
時限式ダメージパネルを作ります
時限式ダメージパネルは同色のパネルを
繋げる事で解除できます</t>
    <phoneticPr fontId="5"/>
  </si>
  <si>
    <t>ユノはお邪魔パネルを作るスキルを
使用します
お邪魔パネルは特定のアビリティや
フィーバーで消す事ができます</t>
    <phoneticPr fontId="5"/>
  </si>
  <si>
    <t>complete</t>
    <phoneticPr fontId="5"/>
  </si>
  <si>
    <t>old</t>
    <phoneticPr fontId="5"/>
  </si>
  <si>
    <t>安多のお仲間かい…</t>
  </si>
  <si>
    <t>安多の覚悟</t>
  </si>
  <si>
    <t>安多の真意</t>
  </si>
  <si>
    <t>安多はALICE内に平和を脅かす
「強大な存在」が現れたことを知り
仲間の元を離れて行動していました</t>
  </si>
  <si>
    <t>「強大な存在」に勝つために安多は
自分の命を犠牲にして戦うつもりでいました
大事な仲間の命を
危険に晒したくなかったのでしょう</t>
  </si>
  <si>
    <t>安多はタップ回数をDOWNさせるスキルを
使用します
回復や攻撃が難しくなるので注意しましょう</t>
  </si>
  <si>
    <t>安多は赤の時限式ダメージパネルを
頻繁に作ります
赤パネルへ変換するスキルが有ると
対処しやすいでしょう</t>
  </si>
  <si>
    <t>莫莉、お願いです…引いてください…</t>
    <rPh sb="9" eb="10">
      <t>ヒイテ</t>
    </rPh>
    <phoneticPr fontId="5"/>
  </si>
  <si>
    <t>やっぱり莫莉には敵いませんね…</t>
    <rPh sb="8" eb="9">
      <t>カナイマセン</t>
    </rPh>
    <phoneticPr fontId="5"/>
  </si>
  <si>
    <t>莫莉、どうして来てしまうのです…</t>
    <rPh sb="7" eb="8">
      <t>キテシマウノデス</t>
    </rPh>
    <phoneticPr fontId="5"/>
  </si>
  <si>
    <t>肖恩、君には何を言っても無駄みたいですね</t>
    <rPh sb="3" eb="4">
      <t>キミハ</t>
    </rPh>
    <rPh sb="6" eb="7">
      <t>ナニヲ</t>
    </rPh>
    <rPh sb="8" eb="9">
      <t>イッテモ</t>
    </rPh>
    <rPh sb="12" eb="14">
      <t>ムダ</t>
    </rPh>
    <phoneticPr fontId="5"/>
  </si>
  <si>
    <t>肖恩、来てしまいましたか…</t>
    <rPh sb="3" eb="4">
      <t>キテシマイマシタ</t>
    </rPh>
    <phoneticPr fontId="5"/>
  </si>
  <si>
    <t>莫莉と肖恩に止められた安多は
考えを改め二人と共に「強大な存在」を倒し
三人無事に神魔世界へ帰ると誓いました</t>
  </si>
  <si>
    <t>[effect:enemy_message, val1:1.2, val2:1.5],[effect:break_attack, target:unit_all, val:0.02, lowest_val:800, count:-1, block01:jammer]</t>
    <phoneticPr fontId="5"/>
  </si>
  <si>
    <t>link</t>
  </si>
  <si>
    <t>unit</t>
  </si>
  <si>
    <t>full_member</t>
    <phoneticPr fontId="5"/>
  </si>
  <si>
    <t>old</t>
    <phoneticPr fontId="5"/>
  </si>
  <si>
    <t>old</t>
    <phoneticPr fontId="7"/>
  </si>
  <si>
    <t>次のターンお邪魔パネルを吸収して強力な全体攻撃</t>
    <rPh sb="12" eb="14">
      <t>キュウシュウ</t>
    </rPh>
    <rPh sb="16" eb="18">
      <t>キョウリョクナ</t>
    </rPh>
    <rPh sb="19" eb="21">
      <t>ゼンタイ</t>
    </rPh>
    <rPh sb="21" eb="23">
      <t>コウゲキ</t>
    </rPh>
    <phoneticPr fontId="5"/>
  </si>
  <si>
    <t>4回連続攻撃+
黄パネルをハートパネルに変換</t>
    <phoneticPr fontId="5"/>
  </si>
  <si>
    <t>[effect:enemy_message, val1:2.5, val2:2.3]</t>
    <phoneticPr fontId="5"/>
  </si>
  <si>
    <t>[effect:enemy_message, val1:2.0, val2:2.7]</t>
    <phoneticPr fontId="5"/>
  </si>
  <si>
    <t>[effect:enemy_message, val1:1.2, val2:2.3]</t>
    <phoneticPr fontId="5"/>
  </si>
  <si>
    <t>[effect:enemy_message, val1:1.8, val2:2.1],[effect:rush, count:4, val:0.3],[effect:force_change_block, new_block:block_heart, target:block_yellow, count:0, val:0, animation:change_block]</t>
    <phoneticPr fontId="5"/>
  </si>
  <si>
    <t>[effect:enemy_message, val1:1.3, val2:2.7]</t>
    <phoneticPr fontId="5"/>
  </si>
  <si>
    <t>[effect:enemy_message, val1:1.6, val2:2.9]</t>
    <phoneticPr fontId="5"/>
  </si>
  <si>
    <t>[effect:enemy_message, val1:1.7, val2:1.6]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</si>
</sst>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</fills>
  <borders count="4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indexed="8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71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9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0" fontId="12" fillId="7" borderId="2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8" fillId="0" borderId="26" xfId="0" applyFont="1" applyBorder="1" applyAlignment="1">
      <alignment vertical="center"/>
    </xf>
    <xf numFmtId="1" fontId="32" fillId="31" borderId="2" xfId="0" applyNumberFormat="1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176" fontId="4" fillId="0" borderId="29" xfId="0" applyNumberFormat="1" applyFont="1" applyFill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30" xfId="0" applyFont="1" applyFill="1" applyBorder="1" applyAlignment="1">
      <alignment vertical="center"/>
    </xf>
    <xf numFmtId="0" fontId="8" fillId="0" borderId="31" xfId="0" applyFont="1" applyBorder="1" applyAlignment="1">
      <alignment vertical="center"/>
    </xf>
    <xf numFmtId="177" fontId="8" fillId="0" borderId="31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4" fillId="0" borderId="29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23" xfId="0" applyFont="1" applyBorder="1" applyAlignment="1">
      <alignment vertical="center"/>
    </xf>
    <xf numFmtId="176" fontId="4" fillId="0" borderId="33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35" xfId="0" applyFont="1" applyBorder="1" applyAlignment="1">
      <alignment vertical="center"/>
    </xf>
    <xf numFmtId="177" fontId="8" fillId="0" borderId="35" xfId="0" applyNumberFormat="1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12" fillId="7" borderId="37" xfId="0" applyFont="1" applyFill="1" applyBorder="1" applyAlignment="1">
      <alignment vertical="center"/>
    </xf>
    <xf numFmtId="176" fontId="4" fillId="0" borderId="38" xfId="0" applyNumberFormat="1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3" borderId="39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vertical="center"/>
    </xf>
    <xf numFmtId="0" fontId="6" fillId="0" borderId="39" xfId="0" applyFont="1" applyFill="1" applyBorder="1" applyAlignment="1">
      <alignment vertical="center"/>
    </xf>
    <xf numFmtId="0" fontId="4" fillId="0" borderId="39" xfId="0" applyFont="1" applyBorder="1" applyAlignment="1">
      <alignment horizontal="center" vertical="center"/>
    </xf>
    <xf numFmtId="0" fontId="6" fillId="5" borderId="40" xfId="0" applyFont="1" applyFill="1" applyBorder="1" applyAlignment="1">
      <alignment vertical="center"/>
    </xf>
    <xf numFmtId="0" fontId="8" fillId="0" borderId="38" xfId="0" applyFont="1" applyBorder="1" applyAlignment="1">
      <alignment vertical="center"/>
    </xf>
    <xf numFmtId="1" fontId="32" fillId="31" borderId="39" xfId="0" applyNumberFormat="1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6" fillId="0" borderId="33" xfId="0" applyFont="1" applyFill="1" applyBorder="1" applyAlignment="1">
      <alignment vertical="center"/>
    </xf>
    <xf numFmtId="0" fontId="6" fillId="0" borderId="36" xfId="0" applyFont="1" applyFill="1" applyBorder="1" applyAlignment="1">
      <alignment vertical="center"/>
    </xf>
    <xf numFmtId="0" fontId="6" fillId="5" borderId="43" xfId="0" applyFont="1" applyFill="1" applyBorder="1" applyAlignment="1">
      <alignment vertical="center"/>
    </xf>
    <xf numFmtId="0" fontId="6" fillId="5" borderId="44" xfId="0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6" fillId="0" borderId="41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0" borderId="7" xfId="0" applyFont="1" applyFill="1" applyBorder="1" applyAlignment="1">
      <alignment horizontal="left" vertical="center" wrapText="1"/>
    </xf>
    <xf numFmtId="0" fontId="52" fillId="0" borderId="0" xfId="0" applyFont="1" applyFill="1" applyBorder="1" applyAlignment="1">
      <alignment horizontal="left" vertical="center" wrapText="1"/>
    </xf>
    <xf numFmtId="0" fontId="52" fillId="0" borderId="7" xfId="0" applyFont="1" applyFill="1" applyBorder="1" applyAlignment="1">
      <alignment horizontal="left" vertical="center"/>
    </xf>
    <xf numFmtId="14" fontId="52" fillId="0" borderId="7" xfId="0" applyNumberFormat="1" applyFont="1" applyFill="1" applyBorder="1" applyAlignment="1">
      <alignment horizontal="left" vertical="center"/>
    </xf>
    <xf numFmtId="0" fontId="52" fillId="0" borderId="0" xfId="0" applyFont="1" applyFill="1" applyAlignment="1">
      <alignment vertical="center"/>
    </xf>
    <xf numFmtId="0" fontId="52" fillId="13" borderId="7" xfId="0" applyFont="1" applyFill="1" applyBorder="1" applyAlignment="1">
      <alignment vertical="center"/>
    </xf>
    <xf numFmtId="0" fontId="52" fillId="13" borderId="42" xfId="0" applyFont="1" applyFill="1" applyBorder="1" applyAlignment="1">
      <alignment vertical="center"/>
    </xf>
    <xf numFmtId="0" fontId="52" fillId="13" borderId="11" xfId="0" applyFont="1" applyFill="1" applyBorder="1" applyAlignment="1">
      <alignment vertical="center"/>
    </xf>
    <xf numFmtId="0" fontId="4" fillId="0" borderId="45" xfId="0" applyFont="1" applyBorder="1" applyAlignment="1">
      <alignment vertical="center"/>
    </xf>
    <xf numFmtId="0" fontId="6" fillId="0" borderId="46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6" fillId="32" borderId="7" xfId="0" applyFont="1" applyFill="1" applyBorder="1" applyAlignment="1">
      <alignment vertical="center"/>
    </xf>
    <xf numFmtId="0" fontId="53" fillId="6" borderId="7" xfId="0" applyFont="1" applyFill="1" applyBorder="1"/>
    <xf numFmtId="0" fontId="0" fillId="6" borderId="47" xfId="0" applyFill="1" applyBorder="1"/>
    <xf numFmtId="0" fontId="6" fillId="32" borderId="47" xfId="0" applyFont="1" applyFill="1" applyBorder="1" applyAlignment="1">
      <alignment vertical="center"/>
    </xf>
    <xf numFmtId="0" fontId="53" fillId="6" borderId="47" xfId="0" applyFont="1" applyFill="1" applyBorder="1"/>
    <xf numFmtId="0" fontId="0" fillId="33" borderId="11" xfId="0" applyFill="1" applyBorder="1"/>
    <xf numFmtId="0" fontId="6" fillId="34" borderId="11" xfId="0" applyFont="1" applyFill="1" applyBorder="1" applyAlignment="1">
      <alignment vertical="center"/>
    </xf>
    <xf numFmtId="0" fontId="0" fillId="33" borderId="7" xfId="0" applyFill="1" applyBorder="1"/>
    <xf numFmtId="0" fontId="6" fillId="34" borderId="7" xfId="0" applyFont="1" applyFill="1" applyBorder="1" applyAlignment="1">
      <alignment vertical="center"/>
    </xf>
    <xf numFmtId="0" fontId="53" fillId="33" borderId="7" xfId="0" applyFont="1" applyFill="1" applyBorder="1"/>
    <xf numFmtId="0" fontId="0" fillId="33" borderId="47" xfId="0" applyFill="1" applyBorder="1"/>
    <xf numFmtId="0" fontId="6" fillId="34" borderId="47" xfId="0" applyFont="1" applyFill="1" applyBorder="1" applyAlignment="1">
      <alignment vertical="center"/>
    </xf>
    <xf numFmtId="0" fontId="53" fillId="33" borderId="47" xfId="0" applyFont="1" applyFill="1" applyBorder="1"/>
    <xf numFmtId="0" fontId="0" fillId="6" borderId="11" xfId="0" applyFill="1" applyBorder="1"/>
    <xf numFmtId="0" fontId="6" fillId="32" borderId="11" xfId="0" applyFont="1" applyFill="1" applyBorder="1" applyAlignment="1">
      <alignment vertical="center"/>
    </xf>
  </cellXfs>
  <cellStyles count="71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赤字強調" xfId="431"/>
    <cellStyle name="青字強調" xfId="43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47015</v>
          </cell>
        </row>
        <row r="293">
          <cell r="A293">
            <v>47016</v>
          </cell>
        </row>
        <row r="294">
          <cell r="A294">
            <v>49001</v>
          </cell>
        </row>
        <row r="295">
          <cell r="A295">
            <v>49002</v>
          </cell>
        </row>
        <row r="296">
          <cell r="A296">
            <v>49003</v>
          </cell>
        </row>
        <row r="297">
          <cell r="A297">
            <v>49004</v>
          </cell>
        </row>
        <row r="298">
          <cell r="A298">
            <v>49005</v>
          </cell>
        </row>
        <row r="299">
          <cell r="A299">
            <v>49006</v>
          </cell>
        </row>
        <row r="300">
          <cell r="A300">
            <v>49007</v>
          </cell>
        </row>
        <row r="301">
          <cell r="A301">
            <v>49008</v>
          </cell>
        </row>
        <row r="302">
          <cell r="A302">
            <v>49009</v>
          </cell>
        </row>
        <row r="303">
          <cell r="A303">
            <v>49010</v>
          </cell>
        </row>
        <row r="304">
          <cell r="A304">
            <v>49011</v>
          </cell>
        </row>
        <row r="305">
          <cell r="A305">
            <v>49012</v>
          </cell>
        </row>
        <row r="306">
          <cell r="A306">
            <v>49013</v>
          </cell>
        </row>
        <row r="307">
          <cell r="A307">
            <v>49014</v>
          </cell>
        </row>
        <row r="308">
          <cell r="A308">
            <v>49015</v>
          </cell>
        </row>
        <row r="309">
          <cell r="A309">
            <v>49016</v>
          </cell>
        </row>
        <row r="310">
          <cell r="A310">
            <v>50001</v>
          </cell>
        </row>
        <row r="311">
          <cell r="A311">
            <v>50002</v>
          </cell>
        </row>
        <row r="312">
          <cell r="A312">
            <v>50003</v>
          </cell>
        </row>
        <row r="313">
          <cell r="A313">
            <v>50004</v>
          </cell>
        </row>
        <row r="314">
          <cell r="A314">
            <v>50005</v>
          </cell>
        </row>
        <row r="315">
          <cell r="A315">
            <v>50006</v>
          </cell>
        </row>
        <row r="316">
          <cell r="A316">
            <v>50007</v>
          </cell>
        </row>
        <row r="317">
          <cell r="A317">
            <v>50008</v>
          </cell>
        </row>
        <row r="318">
          <cell r="A318">
            <v>50009</v>
          </cell>
        </row>
        <row r="319">
          <cell r="A319">
            <v>50010</v>
          </cell>
        </row>
        <row r="320">
          <cell r="A320">
            <v>50011</v>
          </cell>
        </row>
        <row r="321">
          <cell r="A321">
            <v>50012</v>
          </cell>
        </row>
        <row r="322">
          <cell r="A322">
            <v>50013</v>
          </cell>
        </row>
        <row r="323">
          <cell r="A323">
            <v>50014</v>
          </cell>
        </row>
        <row r="324">
          <cell r="A324">
            <v>50015</v>
          </cell>
        </row>
        <row r="325">
          <cell r="A325">
            <v>50016</v>
          </cell>
        </row>
        <row r="326">
          <cell r="A326">
            <v>51001</v>
          </cell>
        </row>
        <row r="327">
          <cell r="A327">
            <v>51002</v>
          </cell>
        </row>
        <row r="328">
          <cell r="A328">
            <v>58001</v>
          </cell>
        </row>
        <row r="329">
          <cell r="A329">
            <v>58002</v>
          </cell>
        </row>
        <row r="330">
          <cell r="A330">
            <v>58003</v>
          </cell>
        </row>
        <row r="331">
          <cell r="A331">
            <v>58101</v>
          </cell>
        </row>
        <row r="332">
          <cell r="A332">
            <v>59001</v>
          </cell>
        </row>
        <row r="333">
          <cell r="A333">
            <v>59002</v>
          </cell>
        </row>
        <row r="334">
          <cell r="A334">
            <v>59003</v>
          </cell>
        </row>
        <row r="335">
          <cell r="A335">
            <v>60001</v>
          </cell>
        </row>
        <row r="336">
          <cell r="A336">
            <v>60002</v>
          </cell>
        </row>
        <row r="337">
          <cell r="A337">
            <v>60003</v>
          </cell>
        </row>
        <row r="338">
          <cell r="A338">
            <v>60004</v>
          </cell>
        </row>
        <row r="339">
          <cell r="A339">
            <v>60005</v>
          </cell>
        </row>
        <row r="340">
          <cell r="A340">
            <v>60006</v>
          </cell>
        </row>
        <row r="341">
          <cell r="A341">
            <v>60007</v>
          </cell>
        </row>
        <row r="342">
          <cell r="A342">
            <v>60010</v>
          </cell>
        </row>
        <row r="343">
          <cell r="A343">
            <v>60011</v>
          </cell>
        </row>
        <row r="344">
          <cell r="A344">
            <v>61011</v>
          </cell>
        </row>
        <row r="345">
          <cell r="A345">
            <v>60012</v>
          </cell>
        </row>
        <row r="346">
          <cell r="A346">
            <v>60013</v>
          </cell>
        </row>
        <row r="347">
          <cell r="A347">
            <v>60014</v>
          </cell>
        </row>
        <row r="348">
          <cell r="A348">
            <v>60015</v>
          </cell>
        </row>
        <row r="349">
          <cell r="A349">
            <v>60016</v>
          </cell>
        </row>
        <row r="350">
          <cell r="A350">
            <v>60017</v>
          </cell>
        </row>
        <row r="351">
          <cell r="A351">
            <v>60018</v>
          </cell>
        </row>
        <row r="352">
          <cell r="A352">
            <v>60019</v>
          </cell>
        </row>
        <row r="353">
          <cell r="A353">
            <v>60020</v>
          </cell>
        </row>
        <row r="354">
          <cell r="A354">
            <v>60025</v>
          </cell>
        </row>
        <row r="355">
          <cell r="A355">
            <v>60026</v>
          </cell>
        </row>
        <row r="356">
          <cell r="A356">
            <v>60027</v>
          </cell>
        </row>
        <row r="357">
          <cell r="A357">
            <v>60028</v>
          </cell>
        </row>
        <row r="358">
          <cell r="A358">
            <v>60029</v>
          </cell>
        </row>
        <row r="359">
          <cell r="A359">
            <v>60030</v>
          </cell>
        </row>
        <row r="360">
          <cell r="A360">
            <v>60031</v>
          </cell>
        </row>
        <row r="361">
          <cell r="A361">
            <v>65523</v>
          </cell>
        </row>
        <row r="362">
          <cell r="A362">
            <v>65524</v>
          </cell>
        </row>
        <row r="363">
          <cell r="A363">
            <v>65525</v>
          </cell>
        </row>
        <row r="364">
          <cell r="A364">
            <v>65526</v>
          </cell>
        </row>
        <row r="365">
          <cell r="A365">
            <v>65527</v>
          </cell>
        </row>
        <row r="366">
          <cell r="A366">
            <v>65528</v>
          </cell>
        </row>
        <row r="367">
          <cell r="A367">
            <v>65529</v>
          </cell>
        </row>
        <row r="368">
          <cell r="A368">
            <v>65530</v>
          </cell>
        </row>
        <row r="369">
          <cell r="A369">
            <v>65531</v>
          </cell>
        </row>
        <row r="370">
          <cell r="A370">
            <v>65532</v>
          </cell>
        </row>
        <row r="371">
          <cell r="A371">
            <v>65533</v>
          </cell>
        </row>
        <row r="372">
          <cell r="A372">
            <v>65534</v>
          </cell>
        </row>
        <row r="373">
          <cell r="A373">
            <v>65535</v>
          </cell>
        </row>
        <row r="374">
          <cell r="A374">
            <v>60021</v>
          </cell>
        </row>
        <row r="375">
          <cell r="A375">
            <v>60022</v>
          </cell>
        </row>
        <row r="376">
          <cell r="A376">
            <v>60023</v>
          </cell>
        </row>
        <row r="377">
          <cell r="A37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47015_1</v>
          </cell>
        </row>
        <row r="883">
          <cell r="A883" t="str">
            <v>47015_2</v>
          </cell>
        </row>
        <row r="884">
          <cell r="A884" t="str">
            <v>47015_3</v>
          </cell>
        </row>
        <row r="885">
          <cell r="A885" t="str">
            <v>47016_1</v>
          </cell>
        </row>
        <row r="886">
          <cell r="A886" t="str">
            <v>47016_2</v>
          </cell>
        </row>
        <row r="887">
          <cell r="A887" t="str">
            <v>47016_3</v>
          </cell>
        </row>
        <row r="888">
          <cell r="A888" t="str">
            <v>48001_1</v>
          </cell>
        </row>
        <row r="889">
          <cell r="A889" t="str">
            <v>48002_1</v>
          </cell>
        </row>
        <row r="890">
          <cell r="A890" t="str">
            <v>48002_2</v>
          </cell>
        </row>
        <row r="891">
          <cell r="A891" t="str">
            <v>48002_3</v>
          </cell>
        </row>
        <row r="892">
          <cell r="A892" t="str">
            <v>48003_1</v>
          </cell>
        </row>
        <row r="893">
          <cell r="A893" t="str">
            <v>48003_2</v>
          </cell>
        </row>
        <row r="894">
          <cell r="A894" t="str">
            <v>48004_1</v>
          </cell>
        </row>
        <row r="895">
          <cell r="A895" t="str">
            <v>48004_2</v>
          </cell>
        </row>
        <row r="896">
          <cell r="A896" t="str">
            <v>48005_1</v>
          </cell>
        </row>
        <row r="897">
          <cell r="A897" t="str">
            <v>48005_2</v>
          </cell>
        </row>
        <row r="898">
          <cell r="A898" t="str">
            <v>48006_1</v>
          </cell>
        </row>
        <row r="899">
          <cell r="A899" t="str">
            <v>48006_2</v>
          </cell>
        </row>
        <row r="900">
          <cell r="A900" t="str">
            <v>48007_1</v>
          </cell>
        </row>
        <row r="901">
          <cell r="A901" t="str">
            <v>48007_2</v>
          </cell>
        </row>
        <row r="902">
          <cell r="A902" t="str">
            <v>48008_1</v>
          </cell>
        </row>
        <row r="903">
          <cell r="A903" t="str">
            <v>48008_2</v>
          </cell>
        </row>
        <row r="904">
          <cell r="A904" t="str">
            <v>48009_1</v>
          </cell>
        </row>
        <row r="905">
          <cell r="A905" t="str">
            <v>48009_2</v>
          </cell>
        </row>
        <row r="906">
          <cell r="A906" t="str">
            <v>48010_1</v>
          </cell>
        </row>
        <row r="907">
          <cell r="A907" t="str">
            <v>48011_1</v>
          </cell>
        </row>
        <row r="908">
          <cell r="A908" t="str">
            <v>48011_2</v>
          </cell>
        </row>
        <row r="909">
          <cell r="A909" t="str">
            <v>48012_1</v>
          </cell>
        </row>
        <row r="910">
          <cell r="A910" t="str">
            <v>48012_2</v>
          </cell>
        </row>
        <row r="911">
          <cell r="A911" t="str">
            <v>48013_1</v>
          </cell>
        </row>
        <row r="912">
          <cell r="A912" t="str">
            <v>48013_2</v>
          </cell>
        </row>
        <row r="913">
          <cell r="A913" t="str">
            <v>48014_1</v>
          </cell>
        </row>
        <row r="914">
          <cell r="A914" t="str">
            <v>48014_2</v>
          </cell>
        </row>
        <row r="915">
          <cell r="A915" t="str">
            <v>48101_1</v>
          </cell>
        </row>
        <row r="916">
          <cell r="A916" t="str">
            <v>48101_2</v>
          </cell>
        </row>
        <row r="917">
          <cell r="A917" t="str">
            <v>48501_1</v>
          </cell>
        </row>
        <row r="918">
          <cell r="A918" t="str">
            <v>48501_2</v>
          </cell>
        </row>
        <row r="919">
          <cell r="A919" t="str">
            <v>48502_1</v>
          </cell>
        </row>
        <row r="920">
          <cell r="A920" t="str">
            <v>48502_2</v>
          </cell>
        </row>
        <row r="921">
          <cell r="A921" t="str">
            <v>48503_1</v>
          </cell>
        </row>
        <row r="922">
          <cell r="A922" t="str">
            <v>48503_2</v>
          </cell>
        </row>
        <row r="923">
          <cell r="A923" t="str">
            <v>48701_1</v>
          </cell>
        </row>
        <row r="924">
          <cell r="A924" t="str">
            <v>48701_2</v>
          </cell>
        </row>
        <row r="925">
          <cell r="A925" t="str">
            <v>48702_1</v>
          </cell>
        </row>
        <row r="926">
          <cell r="A926" t="str">
            <v>48702_2</v>
          </cell>
        </row>
        <row r="927">
          <cell r="A927" t="str">
            <v>49001_1</v>
          </cell>
        </row>
        <row r="928">
          <cell r="A928" t="str">
            <v>49002_1</v>
          </cell>
        </row>
        <row r="929">
          <cell r="A929" t="str">
            <v>49002_2</v>
          </cell>
        </row>
        <row r="930">
          <cell r="A930" t="str">
            <v>49003_1</v>
          </cell>
        </row>
        <row r="931">
          <cell r="A931" t="str">
            <v>49003_2</v>
          </cell>
        </row>
        <row r="932">
          <cell r="A932" t="str">
            <v>49004_1</v>
          </cell>
        </row>
        <row r="933">
          <cell r="A933" t="str">
            <v>49004_2</v>
          </cell>
        </row>
        <row r="934">
          <cell r="A934" t="str">
            <v>49004_3</v>
          </cell>
        </row>
        <row r="935">
          <cell r="A935" t="str">
            <v>49005_1</v>
          </cell>
        </row>
        <row r="936">
          <cell r="A936" t="str">
            <v>49006_1</v>
          </cell>
        </row>
        <row r="937">
          <cell r="A937" t="str">
            <v>49006_2</v>
          </cell>
        </row>
        <row r="938">
          <cell r="A938" t="str">
            <v>49007_1</v>
          </cell>
        </row>
        <row r="939">
          <cell r="A939" t="str">
            <v>49007_2</v>
          </cell>
        </row>
        <row r="940">
          <cell r="A940" t="str">
            <v>49007_3</v>
          </cell>
        </row>
        <row r="941">
          <cell r="A941" t="str">
            <v>49008_1</v>
          </cell>
        </row>
        <row r="942">
          <cell r="A942" t="str">
            <v>49009_1</v>
          </cell>
        </row>
        <row r="943">
          <cell r="A943" t="str">
            <v>49010_1</v>
          </cell>
        </row>
        <row r="944">
          <cell r="A944" t="str">
            <v>49011_1</v>
          </cell>
        </row>
        <row r="945">
          <cell r="A945" t="str">
            <v>49012_1</v>
          </cell>
        </row>
        <row r="946">
          <cell r="A946" t="str">
            <v>49013_1</v>
          </cell>
        </row>
        <row r="947">
          <cell r="A947" t="str">
            <v>49014_1</v>
          </cell>
        </row>
        <row r="948">
          <cell r="A948" t="str">
            <v>49014_2</v>
          </cell>
        </row>
        <row r="949">
          <cell r="A949" t="str">
            <v>49015_1</v>
          </cell>
        </row>
        <row r="950">
          <cell r="A950" t="str">
            <v>49015_2</v>
          </cell>
        </row>
        <row r="951">
          <cell r="A951" t="str">
            <v>49015_3</v>
          </cell>
        </row>
        <row r="952">
          <cell r="A952" t="str">
            <v>49016_1</v>
          </cell>
        </row>
        <row r="953">
          <cell r="A953" t="str">
            <v>49016_2</v>
          </cell>
        </row>
        <row r="954">
          <cell r="A954" t="str">
            <v>50001_1</v>
          </cell>
        </row>
        <row r="955">
          <cell r="A955" t="str">
            <v>50002_1</v>
          </cell>
        </row>
        <row r="956">
          <cell r="A956" t="str">
            <v>50003_1</v>
          </cell>
        </row>
        <row r="957">
          <cell r="A957" t="str">
            <v>50004_1</v>
          </cell>
        </row>
        <row r="958">
          <cell r="A958" t="str">
            <v>50005_1</v>
          </cell>
        </row>
        <row r="959">
          <cell r="A959" t="str">
            <v>50006_1</v>
          </cell>
        </row>
        <row r="960">
          <cell r="A960" t="str">
            <v>50007_1</v>
          </cell>
        </row>
        <row r="961">
          <cell r="A961" t="str">
            <v>50008_1</v>
          </cell>
        </row>
        <row r="962">
          <cell r="A962" t="str">
            <v>50009_1</v>
          </cell>
        </row>
        <row r="963">
          <cell r="A963" t="str">
            <v>50010_1</v>
          </cell>
        </row>
        <row r="964">
          <cell r="A964" t="str">
            <v>50011_1</v>
          </cell>
        </row>
        <row r="965">
          <cell r="A965" t="str">
            <v>50012_1</v>
          </cell>
        </row>
        <row r="966">
          <cell r="A966" t="str">
            <v>50013_1</v>
          </cell>
        </row>
        <row r="967">
          <cell r="A967" t="str">
            <v>50014_1</v>
          </cell>
        </row>
        <row r="968">
          <cell r="A968" t="str">
            <v>50015_1</v>
          </cell>
        </row>
        <row r="969">
          <cell r="A969" t="str">
            <v>50016_1</v>
          </cell>
        </row>
        <row r="970">
          <cell r="A970" t="str">
            <v>51001_1</v>
          </cell>
        </row>
        <row r="971">
          <cell r="A971" t="str">
            <v>51002_1</v>
          </cell>
        </row>
        <row r="972">
          <cell r="A972" t="str">
            <v>58001_1</v>
          </cell>
        </row>
        <row r="973">
          <cell r="A973" t="str">
            <v>58002_1</v>
          </cell>
        </row>
        <row r="974">
          <cell r="A974" t="str">
            <v>58003_1</v>
          </cell>
        </row>
        <row r="975">
          <cell r="A975" t="str">
            <v>58101_1</v>
          </cell>
        </row>
        <row r="976">
          <cell r="A976" t="str">
            <v>59001_1</v>
          </cell>
        </row>
        <row r="977">
          <cell r="A977" t="str">
            <v>59002_1</v>
          </cell>
        </row>
        <row r="978">
          <cell r="A978" t="str">
            <v>59003_1</v>
          </cell>
        </row>
        <row r="979">
          <cell r="A979" t="str">
            <v>59003_2</v>
          </cell>
        </row>
        <row r="980">
          <cell r="A980" t="str">
            <v>60001_1</v>
          </cell>
        </row>
        <row r="981">
          <cell r="A981" t="str">
            <v>60002_1</v>
          </cell>
        </row>
        <row r="982">
          <cell r="A982" t="str">
            <v>60002_2</v>
          </cell>
        </row>
        <row r="983">
          <cell r="A983" t="str">
            <v>60003_1</v>
          </cell>
        </row>
        <row r="984">
          <cell r="A984" t="str">
            <v>60003_2</v>
          </cell>
        </row>
        <row r="985">
          <cell r="A985" t="str">
            <v>60003_3</v>
          </cell>
        </row>
        <row r="986">
          <cell r="A986" t="str">
            <v>60004_1</v>
          </cell>
        </row>
        <row r="987">
          <cell r="A987" t="str">
            <v>60005_1</v>
          </cell>
        </row>
        <row r="988">
          <cell r="A988" t="str">
            <v>60006_1</v>
          </cell>
        </row>
        <row r="989">
          <cell r="A989" t="str">
            <v>60006_2</v>
          </cell>
        </row>
        <row r="990">
          <cell r="A990" t="str">
            <v>60006_3</v>
          </cell>
        </row>
        <row r="991">
          <cell r="A991" t="str">
            <v>60007_1</v>
          </cell>
        </row>
        <row r="992">
          <cell r="A992" t="str">
            <v>60007_2</v>
          </cell>
        </row>
        <row r="993">
          <cell r="A993" t="str">
            <v>60007_3</v>
          </cell>
        </row>
        <row r="994">
          <cell r="A994" t="str">
            <v>60010_1</v>
          </cell>
        </row>
        <row r="995">
          <cell r="A995" t="str">
            <v>60011_1</v>
          </cell>
        </row>
        <row r="996">
          <cell r="A996" t="str">
            <v>60011_2</v>
          </cell>
        </row>
        <row r="997">
          <cell r="A997" t="str">
            <v>60012_1</v>
          </cell>
        </row>
        <row r="998">
          <cell r="A998" t="str">
            <v>60013_1</v>
          </cell>
        </row>
        <row r="999">
          <cell r="A999" t="str">
            <v>60013_2</v>
          </cell>
        </row>
        <row r="1000">
          <cell r="A1000" t="str">
            <v>60013_3</v>
          </cell>
        </row>
        <row r="1001">
          <cell r="A1001" t="str">
            <v>60014_1</v>
          </cell>
        </row>
        <row r="1002">
          <cell r="A1002" t="str">
            <v>60015_1</v>
          </cell>
        </row>
        <row r="1003">
          <cell r="A1003" t="str">
            <v>60016_1</v>
          </cell>
        </row>
        <row r="1004">
          <cell r="A1004" t="str">
            <v>60017_1</v>
          </cell>
        </row>
        <row r="1005">
          <cell r="A1005" t="str">
            <v>60018_1</v>
          </cell>
        </row>
        <row r="1006">
          <cell r="A1006" t="str">
            <v>60019_1</v>
          </cell>
        </row>
        <row r="1007">
          <cell r="A1007" t="str">
            <v>60020_1</v>
          </cell>
        </row>
        <row r="1008">
          <cell r="A1008" t="str">
            <v>60021_3</v>
          </cell>
        </row>
        <row r="1009">
          <cell r="A1009" t="str">
            <v>60022_3</v>
          </cell>
        </row>
        <row r="1010">
          <cell r="A1010" t="str">
            <v>60023_3</v>
          </cell>
        </row>
        <row r="1011">
          <cell r="A1011" t="str">
            <v>60024_3</v>
          </cell>
        </row>
        <row r="1012">
          <cell r="A1012" t="str">
            <v>60025_1</v>
          </cell>
        </row>
        <row r="1013">
          <cell r="A1013" t="str">
            <v>60026_1</v>
          </cell>
        </row>
        <row r="1014">
          <cell r="A1014" t="str">
            <v>61011_1</v>
          </cell>
        </row>
        <row r="1015">
          <cell r="A1015" t="str">
            <v>60027_1</v>
          </cell>
        </row>
        <row r="1016">
          <cell r="A1016" t="str">
            <v>60028_1</v>
          </cell>
        </row>
        <row r="1017">
          <cell r="A1017" t="str">
            <v>60029_1</v>
          </cell>
        </row>
        <row r="1018">
          <cell r="A1018" t="str">
            <v>60030_1</v>
          </cell>
        </row>
        <row r="1019">
          <cell r="A1019" t="str">
            <v>60031_1</v>
          </cell>
        </row>
        <row r="1020">
          <cell r="A1020" t="str">
            <v>65523_1</v>
          </cell>
        </row>
        <row r="1021">
          <cell r="A1021" t="str">
            <v>65523_2</v>
          </cell>
        </row>
        <row r="1022">
          <cell r="A1022" t="str">
            <v>65523_3</v>
          </cell>
        </row>
        <row r="1023">
          <cell r="A1023" t="str">
            <v>65524_1</v>
          </cell>
        </row>
        <row r="1024">
          <cell r="A1024" t="str">
            <v>65524_2</v>
          </cell>
        </row>
        <row r="1025">
          <cell r="A1025" t="str">
            <v>65525_1</v>
          </cell>
        </row>
        <row r="1026">
          <cell r="A1026" t="str">
            <v>65526_1</v>
          </cell>
        </row>
        <row r="1027">
          <cell r="A1027" t="str">
            <v>65526_2</v>
          </cell>
        </row>
        <row r="1028">
          <cell r="A1028" t="str">
            <v>65527_1</v>
          </cell>
        </row>
        <row r="1029">
          <cell r="A1029" t="str">
            <v>65528_1</v>
          </cell>
        </row>
        <row r="1030">
          <cell r="A1030" t="str">
            <v>65529_1</v>
          </cell>
        </row>
        <row r="1031">
          <cell r="A1031" t="str">
            <v>65530_1</v>
          </cell>
        </row>
        <row r="1032">
          <cell r="A1032" t="str">
            <v>65531_1</v>
          </cell>
        </row>
        <row r="1033">
          <cell r="A1033" t="str">
            <v>65531_2</v>
          </cell>
        </row>
        <row r="1034">
          <cell r="A1034" t="str">
            <v>65532_1</v>
          </cell>
        </row>
        <row r="1035">
          <cell r="A1035" t="str">
            <v>65532_2</v>
          </cell>
        </row>
        <row r="1036">
          <cell r="A1036" t="str">
            <v>65533_1</v>
          </cell>
        </row>
        <row r="1037">
          <cell r="A1037" t="str">
            <v>65533_2</v>
          </cell>
        </row>
        <row r="1038">
          <cell r="A1038" t="str">
            <v>65534_1</v>
          </cell>
        </row>
        <row r="1039">
          <cell r="A1039" t="str">
            <v>65535_1</v>
          </cell>
        </row>
        <row r="1040">
          <cell r="A1040" t="str">
            <v>65535_2</v>
          </cell>
        </row>
        <row r="1041">
          <cell r="A1041" t="str">
            <v>65535_3</v>
          </cell>
        </row>
        <row r="1042">
          <cell r="A1042" t="str">
            <v>65535_4</v>
          </cell>
        </row>
        <row r="1043">
          <cell r="A1043" t="str">
            <v>65535_5</v>
          </cell>
        </row>
        <row r="1044">
          <cell r="A1044" t="str">
            <v>65535_6</v>
          </cell>
        </row>
        <row r="1045">
          <cell r="A1045" t="str">
            <v>65535_7</v>
          </cell>
        </row>
        <row r="1046">
          <cell r="A1046" t="str">
            <v>65535_8</v>
          </cell>
        </row>
        <row r="1047">
          <cell r="A1047" t="str">
            <v>65535_9</v>
          </cell>
        </row>
        <row r="1048">
          <cell r="A1048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5001</v>
          </cell>
        </row>
        <row r="1587">
          <cell r="A1587">
            <v>5002</v>
          </cell>
        </row>
        <row r="1588">
          <cell r="A1588">
            <v>5003</v>
          </cell>
        </row>
        <row r="1589">
          <cell r="A1589">
            <v>5004</v>
          </cell>
        </row>
        <row r="1590">
          <cell r="A1590">
            <v>5005</v>
          </cell>
        </row>
        <row r="1591">
          <cell r="A1591">
            <v>5006</v>
          </cell>
        </row>
        <row r="1592">
          <cell r="A1592">
            <v>5007</v>
          </cell>
        </row>
        <row r="1593">
          <cell r="A1593">
            <v>5008</v>
          </cell>
        </row>
        <row r="1594">
          <cell r="A1594">
            <v>5009</v>
          </cell>
        </row>
        <row r="1595">
          <cell r="A1595">
            <v>5010</v>
          </cell>
        </row>
        <row r="1596">
          <cell r="A1596">
            <v>6001</v>
          </cell>
        </row>
        <row r="1597">
          <cell r="A1597">
            <v>6002</v>
          </cell>
        </row>
        <row r="1598">
          <cell r="A1598">
            <v>6003</v>
          </cell>
        </row>
        <row r="1599">
          <cell r="A1599">
            <v>6004</v>
          </cell>
        </row>
        <row r="1600">
          <cell r="A1600">
            <v>6005</v>
          </cell>
        </row>
        <row r="1601">
          <cell r="A1601">
            <v>6006</v>
          </cell>
        </row>
        <row r="1602">
          <cell r="A1602">
            <v>6007</v>
          </cell>
        </row>
        <row r="1603">
          <cell r="A1603">
            <v>6008</v>
          </cell>
        </row>
        <row r="1604">
          <cell r="A1604">
            <v>6009</v>
          </cell>
        </row>
        <row r="1605">
          <cell r="A1605">
            <v>6010</v>
          </cell>
        </row>
        <row r="1606">
          <cell r="A1606">
            <v>6011</v>
          </cell>
        </row>
        <row r="1607">
          <cell r="A1607">
            <v>6012</v>
          </cell>
        </row>
        <row r="1608">
          <cell r="A1608">
            <v>6013</v>
          </cell>
        </row>
        <row r="1609">
          <cell r="A1609">
            <v>6014</v>
          </cell>
        </row>
        <row r="1610">
          <cell r="A1610">
            <v>6015</v>
          </cell>
        </row>
        <row r="1611">
          <cell r="A1611">
            <v>6016</v>
          </cell>
        </row>
        <row r="1612">
          <cell r="A1612">
            <v>6017</v>
          </cell>
        </row>
        <row r="1613">
          <cell r="A1613">
            <v>6018</v>
          </cell>
        </row>
        <row r="1614">
          <cell r="A1614">
            <v>6019</v>
          </cell>
        </row>
        <row r="1615">
          <cell r="A1615">
            <v>6020</v>
          </cell>
        </row>
        <row r="1616">
          <cell r="A1616">
            <v>8001</v>
          </cell>
        </row>
        <row r="1617">
          <cell r="A1617">
            <v>8002</v>
          </cell>
        </row>
        <row r="1618">
          <cell r="A1618">
            <v>8003</v>
          </cell>
        </row>
        <row r="1619">
          <cell r="A1619">
            <v>8004</v>
          </cell>
        </row>
        <row r="1620">
          <cell r="A1620">
            <v>8005</v>
          </cell>
        </row>
        <row r="1621">
          <cell r="A1621">
            <v>8006</v>
          </cell>
        </row>
        <row r="1622">
          <cell r="A1622">
            <v>8007</v>
          </cell>
        </row>
        <row r="1623">
          <cell r="A1623">
            <v>8008</v>
          </cell>
        </row>
        <row r="1624">
          <cell r="A1624">
            <v>8009</v>
          </cell>
        </row>
        <row r="1625">
          <cell r="A1625">
            <v>8010</v>
          </cell>
        </row>
        <row r="1626">
          <cell r="A1626">
            <v>8011</v>
          </cell>
        </row>
        <row r="1627">
          <cell r="A1627">
            <v>8012</v>
          </cell>
        </row>
        <row r="1628">
          <cell r="A1628">
            <v>8013</v>
          </cell>
        </row>
        <row r="1629">
          <cell r="A1629">
            <v>8014</v>
          </cell>
        </row>
        <row r="1630">
          <cell r="A1630">
            <v>8015</v>
          </cell>
        </row>
        <row r="1631">
          <cell r="A1631">
            <v>8016</v>
          </cell>
        </row>
        <row r="1632">
          <cell r="A1632">
            <v>8017</v>
          </cell>
        </row>
        <row r="1633">
          <cell r="A1633">
            <v>8018</v>
          </cell>
        </row>
        <row r="1634">
          <cell r="A1634">
            <v>8019</v>
          </cell>
        </row>
        <row r="1635">
          <cell r="A1635">
            <v>8020</v>
          </cell>
        </row>
        <row r="1636">
          <cell r="A1636">
            <v>8021</v>
          </cell>
        </row>
        <row r="1637">
          <cell r="A1637">
            <v>8022</v>
          </cell>
        </row>
        <row r="1638">
          <cell r="A1638">
            <v>8023</v>
          </cell>
        </row>
        <row r="1639">
          <cell r="A1639">
            <v>8024</v>
          </cell>
        </row>
        <row r="1640">
          <cell r="A1640">
            <v>8025</v>
          </cell>
        </row>
        <row r="1641">
          <cell r="A1641">
            <v>8026</v>
          </cell>
        </row>
        <row r="1642">
          <cell r="A1642">
            <v>8027</v>
          </cell>
        </row>
        <row r="1643">
          <cell r="A1643">
            <v>8028</v>
          </cell>
        </row>
        <row r="1644">
          <cell r="A1644">
            <v>8029</v>
          </cell>
        </row>
        <row r="1645">
          <cell r="A1645">
            <v>8030</v>
          </cell>
        </row>
        <row r="1646">
          <cell r="A1646">
            <v>8031</v>
          </cell>
        </row>
        <row r="1647">
          <cell r="A1647">
            <v>8032</v>
          </cell>
        </row>
        <row r="1648">
          <cell r="A1648">
            <v>8033</v>
          </cell>
        </row>
        <row r="1649">
          <cell r="A1649">
            <v>8034</v>
          </cell>
        </row>
        <row r="1650">
          <cell r="A1650">
            <v>8035</v>
          </cell>
        </row>
        <row r="1651">
          <cell r="A1651">
            <v>8036</v>
          </cell>
        </row>
        <row r="1652">
          <cell r="A1652">
            <v>8037</v>
          </cell>
        </row>
        <row r="1653">
          <cell r="A1653">
            <v>8038</v>
          </cell>
        </row>
        <row r="1654">
          <cell r="A1654">
            <v>8039</v>
          </cell>
        </row>
        <row r="1655">
          <cell r="A1655">
            <v>8040</v>
          </cell>
        </row>
        <row r="1656">
          <cell r="A1656">
            <v>8041</v>
          </cell>
        </row>
        <row r="1657">
          <cell r="A1657">
            <v>8042</v>
          </cell>
        </row>
        <row r="1658">
          <cell r="A1658">
            <v>8043</v>
          </cell>
        </row>
        <row r="1659">
          <cell r="A1659">
            <v>8044</v>
          </cell>
        </row>
        <row r="1660">
          <cell r="A1660">
            <v>8045</v>
          </cell>
        </row>
        <row r="1661">
          <cell r="A1661">
            <v>8046</v>
          </cell>
        </row>
        <row r="1662">
          <cell r="A1662">
            <v>8047</v>
          </cell>
        </row>
        <row r="1663">
          <cell r="A1663">
            <v>8048</v>
          </cell>
        </row>
        <row r="1664">
          <cell r="A1664">
            <v>8049</v>
          </cell>
        </row>
        <row r="1665">
          <cell r="A1665">
            <v>8050</v>
          </cell>
        </row>
        <row r="1666">
          <cell r="A1666">
            <v>8051</v>
          </cell>
        </row>
        <row r="1667">
          <cell r="A1667">
            <v>8052</v>
          </cell>
        </row>
        <row r="1668">
          <cell r="A1668">
            <v>8053</v>
          </cell>
        </row>
        <row r="1669">
          <cell r="A1669">
            <v>8054</v>
          </cell>
        </row>
        <row r="1670">
          <cell r="A1670">
            <v>8055</v>
          </cell>
        </row>
        <row r="1671">
          <cell r="A1671">
            <v>8056</v>
          </cell>
        </row>
        <row r="1672">
          <cell r="A1672">
            <v>8057</v>
          </cell>
        </row>
        <row r="1673">
          <cell r="A1673">
            <v>8058</v>
          </cell>
        </row>
        <row r="1674">
          <cell r="A1674">
            <v>8059</v>
          </cell>
        </row>
        <row r="1675">
          <cell r="A1675">
            <v>8060</v>
          </cell>
        </row>
        <row r="1676">
          <cell r="A1676">
            <v>8061</v>
          </cell>
        </row>
        <row r="1677">
          <cell r="A1677">
            <v>8062</v>
          </cell>
        </row>
        <row r="1678">
          <cell r="A1678">
            <v>8063</v>
          </cell>
        </row>
        <row r="1679">
          <cell r="A1679">
            <v>8064</v>
          </cell>
        </row>
        <row r="1680">
          <cell r="A1680">
            <v>8065</v>
          </cell>
        </row>
        <row r="1681">
          <cell r="A1681">
            <v>8066</v>
          </cell>
        </row>
        <row r="1682">
          <cell r="A1682">
            <v>8067</v>
          </cell>
        </row>
        <row r="1683">
          <cell r="A1683">
            <v>8068</v>
          </cell>
        </row>
        <row r="1684">
          <cell r="A1684">
            <v>8069</v>
          </cell>
        </row>
        <row r="1685">
          <cell r="A1685">
            <v>8070</v>
          </cell>
        </row>
        <row r="1686">
          <cell r="A1686">
            <v>8071</v>
          </cell>
        </row>
        <row r="1687">
          <cell r="A1687">
            <v>8072</v>
          </cell>
        </row>
        <row r="1688">
          <cell r="A1688">
            <v>8073</v>
          </cell>
        </row>
        <row r="1689">
          <cell r="A1689">
            <v>8074</v>
          </cell>
        </row>
        <row r="1690">
          <cell r="A1690">
            <v>8075</v>
          </cell>
        </row>
        <row r="1691">
          <cell r="A1691">
            <v>8076</v>
          </cell>
        </row>
        <row r="1692">
          <cell r="A1692">
            <v>8077</v>
          </cell>
        </row>
        <row r="1693">
          <cell r="A1693">
            <v>8078</v>
          </cell>
        </row>
        <row r="1694">
          <cell r="A1694">
            <v>8079</v>
          </cell>
        </row>
        <row r="1695">
          <cell r="A1695">
            <v>8080</v>
          </cell>
        </row>
        <row r="1696">
          <cell r="A1696">
            <v>8081</v>
          </cell>
        </row>
        <row r="1697">
          <cell r="A1697">
            <v>8082</v>
          </cell>
        </row>
        <row r="1698">
          <cell r="A1698">
            <v>8083</v>
          </cell>
        </row>
        <row r="1699">
          <cell r="A1699">
            <v>8084</v>
          </cell>
        </row>
        <row r="1700">
          <cell r="A1700">
            <v>8085</v>
          </cell>
        </row>
        <row r="1701">
          <cell r="A1701">
            <v>8086</v>
          </cell>
        </row>
        <row r="1702">
          <cell r="A1702">
            <v>8087</v>
          </cell>
        </row>
        <row r="1703">
          <cell r="A1703">
            <v>8088</v>
          </cell>
        </row>
        <row r="1704">
          <cell r="A1704">
            <v>8089</v>
          </cell>
        </row>
        <row r="1705">
          <cell r="A1705">
            <v>8090</v>
          </cell>
        </row>
        <row r="1706">
          <cell r="A1706">
            <v>8095</v>
          </cell>
        </row>
        <row r="1707">
          <cell r="A1707">
            <v>8096</v>
          </cell>
        </row>
        <row r="1708">
          <cell r="A1708">
            <v>8097</v>
          </cell>
        </row>
        <row r="1709">
          <cell r="A1709">
            <v>8098</v>
          </cell>
        </row>
        <row r="1710">
          <cell r="A1710">
            <v>8099</v>
          </cell>
        </row>
        <row r="1711">
          <cell r="A1711">
            <v>8100</v>
          </cell>
        </row>
        <row r="1712">
          <cell r="A1712">
            <v>8101</v>
          </cell>
        </row>
        <row r="1713">
          <cell r="A1713">
            <v>8102</v>
          </cell>
        </row>
        <row r="1714">
          <cell r="A1714">
            <v>8103</v>
          </cell>
        </row>
        <row r="1715">
          <cell r="A1715">
            <v>8104</v>
          </cell>
        </row>
        <row r="1716">
          <cell r="A1716">
            <v>8105</v>
          </cell>
        </row>
        <row r="1717">
          <cell r="A1717">
            <v>8106</v>
          </cell>
        </row>
        <row r="1718">
          <cell r="A1718">
            <v>8111</v>
          </cell>
        </row>
        <row r="1719">
          <cell r="A1719">
            <v>8112</v>
          </cell>
        </row>
        <row r="1720">
          <cell r="A1720">
            <v>8113</v>
          </cell>
        </row>
        <row r="1721">
          <cell r="A1721">
            <v>8114</v>
          </cell>
        </row>
        <row r="1722">
          <cell r="A1722">
            <v>8115</v>
          </cell>
        </row>
        <row r="1723">
          <cell r="A1723">
            <v>8116</v>
          </cell>
        </row>
        <row r="1724">
          <cell r="A1724">
            <v>8117</v>
          </cell>
        </row>
        <row r="1725">
          <cell r="A1725">
            <v>8118</v>
          </cell>
        </row>
        <row r="1726">
          <cell r="A1726">
            <v>8119</v>
          </cell>
        </row>
        <row r="1727">
          <cell r="A1727">
            <v>8120</v>
          </cell>
        </row>
        <row r="1728">
          <cell r="A1728">
            <v>8121</v>
          </cell>
        </row>
        <row r="1729">
          <cell r="A1729">
            <v>8122</v>
          </cell>
        </row>
        <row r="1730">
          <cell r="A1730">
            <v>8123</v>
          </cell>
        </row>
        <row r="1731">
          <cell r="A1731">
            <v>8124</v>
          </cell>
        </row>
        <row r="1732">
          <cell r="A1732">
            <v>8125</v>
          </cell>
        </row>
        <row r="1733">
          <cell r="A1733">
            <v>8126</v>
          </cell>
        </row>
        <row r="1734">
          <cell r="A1734">
            <v>8127</v>
          </cell>
        </row>
        <row r="1735">
          <cell r="A1735">
            <v>8128</v>
          </cell>
        </row>
        <row r="1736">
          <cell r="A1736">
            <v>8129</v>
          </cell>
        </row>
        <row r="1737">
          <cell r="A1737">
            <v>8130</v>
          </cell>
        </row>
        <row r="1738">
          <cell r="A1738">
            <v>8131</v>
          </cell>
        </row>
        <row r="1739">
          <cell r="A1739">
            <v>8132</v>
          </cell>
        </row>
        <row r="1740">
          <cell r="A1740">
            <v>8133</v>
          </cell>
        </row>
        <row r="1741">
          <cell r="A1741">
            <v>8134</v>
          </cell>
        </row>
        <row r="1742">
          <cell r="A1742">
            <v>8135</v>
          </cell>
        </row>
        <row r="1743">
          <cell r="A1743">
            <v>8136</v>
          </cell>
        </row>
        <row r="1744">
          <cell r="A1744">
            <v>8137</v>
          </cell>
        </row>
        <row r="1745">
          <cell r="A1745">
            <v>8138</v>
          </cell>
        </row>
        <row r="1746">
          <cell r="A1746">
            <v>9001</v>
          </cell>
        </row>
        <row r="1747">
          <cell r="A1747">
            <v>9002</v>
          </cell>
        </row>
        <row r="1748">
          <cell r="A1748">
            <v>9003</v>
          </cell>
        </row>
        <row r="1749">
          <cell r="A1749">
            <v>9004</v>
          </cell>
        </row>
        <row r="1750">
          <cell r="A1750">
            <v>9005</v>
          </cell>
        </row>
        <row r="1751">
          <cell r="A1751">
            <v>9006</v>
          </cell>
        </row>
        <row r="1752">
          <cell r="A1752">
            <v>9007</v>
          </cell>
        </row>
        <row r="1753">
          <cell r="A1753">
            <v>9008</v>
          </cell>
        </row>
        <row r="1754">
          <cell r="A1754">
            <v>9009</v>
          </cell>
        </row>
        <row r="1755">
          <cell r="A1755">
            <v>9010</v>
          </cell>
        </row>
        <row r="1756">
          <cell r="A1756">
            <v>10001</v>
          </cell>
        </row>
        <row r="1757">
          <cell r="A1757">
            <v>10002</v>
          </cell>
        </row>
        <row r="1758">
          <cell r="A1758">
            <v>10003</v>
          </cell>
        </row>
        <row r="1759">
          <cell r="A1759">
            <v>10004</v>
          </cell>
        </row>
        <row r="1760">
          <cell r="A1760">
            <v>10005</v>
          </cell>
        </row>
        <row r="1761">
          <cell r="A1761">
            <v>10006</v>
          </cell>
        </row>
        <row r="1762">
          <cell r="A1762">
            <v>10007</v>
          </cell>
        </row>
        <row r="1763">
          <cell r="A1763">
            <v>10008</v>
          </cell>
        </row>
        <row r="1764">
          <cell r="A1764">
            <v>10009</v>
          </cell>
        </row>
        <row r="1765">
          <cell r="A1765">
            <v>10010</v>
          </cell>
        </row>
        <row r="1766">
          <cell r="A1766">
            <v>10011</v>
          </cell>
        </row>
        <row r="1767">
          <cell r="A1767">
            <v>10012</v>
          </cell>
        </row>
        <row r="1768">
          <cell r="A1768">
            <v>10013</v>
          </cell>
        </row>
        <row r="1769">
          <cell r="A1769">
            <v>10014</v>
          </cell>
        </row>
        <row r="1770">
          <cell r="A1770">
            <v>10015</v>
          </cell>
        </row>
        <row r="1771">
          <cell r="A1771">
            <v>10016</v>
          </cell>
        </row>
        <row r="1772">
          <cell r="A1772">
            <v>10017</v>
          </cell>
        </row>
        <row r="1773">
          <cell r="A1773">
            <v>10018</v>
          </cell>
        </row>
        <row r="1774">
          <cell r="A1774">
            <v>10019</v>
          </cell>
        </row>
        <row r="1775">
          <cell r="A1775">
            <v>10020</v>
          </cell>
        </row>
        <row r="1776">
          <cell r="A1776">
            <v>10021</v>
          </cell>
        </row>
        <row r="1777">
          <cell r="A1777">
            <v>10022</v>
          </cell>
        </row>
        <row r="1778">
          <cell r="A1778">
            <v>10023</v>
          </cell>
        </row>
        <row r="1779">
          <cell r="A1779">
            <v>10024</v>
          </cell>
        </row>
        <row r="1780">
          <cell r="A1780">
            <v>10025</v>
          </cell>
        </row>
        <row r="1781">
          <cell r="A1781">
            <v>10026</v>
          </cell>
        </row>
        <row r="1782">
          <cell r="A1782">
            <v>10027</v>
          </cell>
        </row>
        <row r="1783">
          <cell r="A1783">
            <v>10028</v>
          </cell>
        </row>
        <row r="1784">
          <cell r="A1784">
            <v>10029</v>
          </cell>
        </row>
        <row r="1785">
          <cell r="A1785">
            <v>10030</v>
          </cell>
        </row>
        <row r="1786">
          <cell r="A1786">
            <v>10031</v>
          </cell>
        </row>
        <row r="1787">
          <cell r="A1787">
            <v>10032</v>
          </cell>
        </row>
        <row r="1788">
          <cell r="A1788">
            <v>10033</v>
          </cell>
        </row>
        <row r="1789">
          <cell r="A1789">
            <v>10034</v>
          </cell>
        </row>
        <row r="1790">
          <cell r="A1790">
            <v>10035</v>
          </cell>
        </row>
        <row r="1791">
          <cell r="A1791">
            <v>10036</v>
          </cell>
        </row>
        <row r="1792">
          <cell r="A1792">
            <v>10037</v>
          </cell>
        </row>
        <row r="1793">
          <cell r="A1793">
            <v>10038</v>
          </cell>
        </row>
        <row r="1794">
          <cell r="A1794">
            <v>10039</v>
          </cell>
        </row>
        <row r="1795">
          <cell r="A1795">
            <v>10040</v>
          </cell>
        </row>
        <row r="1796">
          <cell r="A1796">
            <v>10041</v>
          </cell>
        </row>
        <row r="1797">
          <cell r="A1797">
            <v>10042</v>
          </cell>
        </row>
        <row r="1798">
          <cell r="A1798">
            <v>10043</v>
          </cell>
        </row>
        <row r="1799">
          <cell r="A1799">
            <v>10044</v>
          </cell>
        </row>
        <row r="1800">
          <cell r="A1800">
            <v>10045</v>
          </cell>
        </row>
        <row r="1801">
          <cell r="A1801">
            <v>10046</v>
          </cell>
        </row>
        <row r="1802">
          <cell r="A1802">
            <v>10047</v>
          </cell>
        </row>
        <row r="1803">
          <cell r="A1803">
            <v>10048</v>
          </cell>
        </row>
        <row r="1804">
          <cell r="A1804">
            <v>10049</v>
          </cell>
        </row>
        <row r="1805">
          <cell r="A1805">
            <v>10050</v>
          </cell>
        </row>
        <row r="1806">
          <cell r="A1806">
            <v>10051</v>
          </cell>
        </row>
        <row r="1807">
          <cell r="A1807">
            <v>10052</v>
          </cell>
        </row>
        <row r="1808">
          <cell r="A1808">
            <v>10053</v>
          </cell>
        </row>
        <row r="1809">
          <cell r="A1809">
            <v>10054</v>
          </cell>
        </row>
        <row r="1810">
          <cell r="A1810">
            <v>10055</v>
          </cell>
        </row>
        <row r="1811">
          <cell r="A1811">
            <v>10056</v>
          </cell>
        </row>
        <row r="1812">
          <cell r="A1812">
            <v>10057</v>
          </cell>
        </row>
        <row r="1813">
          <cell r="A1813">
            <v>10058</v>
          </cell>
        </row>
        <row r="1814">
          <cell r="A1814">
            <v>10059</v>
          </cell>
        </row>
        <row r="1815">
          <cell r="A1815">
            <v>10060</v>
          </cell>
        </row>
        <row r="1816">
          <cell r="A1816">
            <v>10061</v>
          </cell>
        </row>
        <row r="1817">
          <cell r="A1817">
            <v>10062</v>
          </cell>
        </row>
        <row r="1818">
          <cell r="A1818">
            <v>10063</v>
          </cell>
        </row>
        <row r="1819">
          <cell r="A1819">
            <v>10064</v>
          </cell>
        </row>
        <row r="1820">
          <cell r="A1820">
            <v>10065</v>
          </cell>
        </row>
        <row r="1821">
          <cell r="A1821">
            <v>10066</v>
          </cell>
        </row>
        <row r="1822">
          <cell r="A1822">
            <v>10067</v>
          </cell>
        </row>
        <row r="1823">
          <cell r="A1823">
            <v>10068</v>
          </cell>
        </row>
        <row r="1824">
          <cell r="A1824">
            <v>10069</v>
          </cell>
        </row>
        <row r="1825">
          <cell r="A1825">
            <v>10070</v>
          </cell>
        </row>
        <row r="1826">
          <cell r="A1826">
            <v>10071</v>
          </cell>
        </row>
        <row r="1827">
          <cell r="A1827">
            <v>10072</v>
          </cell>
        </row>
        <row r="1828">
          <cell r="A1828">
            <v>10073</v>
          </cell>
        </row>
        <row r="1829">
          <cell r="A1829">
            <v>10074</v>
          </cell>
        </row>
        <row r="1830">
          <cell r="A1830">
            <v>10075</v>
          </cell>
        </row>
        <row r="1831">
          <cell r="A1831">
            <v>10076</v>
          </cell>
        </row>
        <row r="1832">
          <cell r="A1832">
            <v>10077</v>
          </cell>
        </row>
        <row r="1833">
          <cell r="A1833">
            <v>10078</v>
          </cell>
        </row>
        <row r="1834">
          <cell r="A1834">
            <v>10079</v>
          </cell>
        </row>
        <row r="1835">
          <cell r="A1835">
            <v>10080</v>
          </cell>
        </row>
        <row r="1836">
          <cell r="A1836">
            <v>10081</v>
          </cell>
        </row>
        <row r="1837">
          <cell r="A1837">
            <v>10082</v>
          </cell>
        </row>
        <row r="1838">
          <cell r="A1838">
            <v>10083</v>
          </cell>
        </row>
        <row r="1839">
          <cell r="A1839">
            <v>10084</v>
          </cell>
        </row>
        <row r="1840">
          <cell r="A1840">
            <v>10085</v>
          </cell>
        </row>
        <row r="1841">
          <cell r="A1841">
            <v>10086</v>
          </cell>
        </row>
        <row r="1842">
          <cell r="A1842">
            <v>10087</v>
          </cell>
        </row>
        <row r="1843">
          <cell r="A1843">
            <v>10088</v>
          </cell>
        </row>
        <row r="1844">
          <cell r="A1844">
            <v>10089</v>
          </cell>
        </row>
        <row r="1845">
          <cell r="A1845">
            <v>10090</v>
          </cell>
        </row>
        <row r="1846">
          <cell r="A1846">
            <v>10101</v>
          </cell>
        </row>
        <row r="1847">
          <cell r="A1847">
            <v>10102</v>
          </cell>
        </row>
        <row r="1848">
          <cell r="A1848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4" sqref="A14"/>
    </sheetView>
  </sheetViews>
  <sheetFormatPr baseColWidth="12" defaultRowHeight="15" x14ac:dyDescent="0.15"/>
  <cols>
    <col min="2" max="2" width="17.5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131</v>
      </c>
      <c r="B1" s="52" t="s">
        <v>101</v>
      </c>
      <c r="C1" s="52" t="s">
        <v>102</v>
      </c>
      <c r="D1" s="52" t="s">
        <v>103</v>
      </c>
      <c r="E1" s="52" t="s">
        <v>104</v>
      </c>
      <c r="F1" s="52" t="s">
        <v>105</v>
      </c>
      <c r="G1" s="52" t="s">
        <v>106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269</v>
      </c>
      <c r="B2" s="54" t="s">
        <v>107</v>
      </c>
      <c r="C2" s="59">
        <v>38101</v>
      </c>
      <c r="D2" s="54" t="s">
        <v>108</v>
      </c>
      <c r="E2" s="53" t="str">
        <f>B2&amp;C2&amp;D2</f>
        <v>floors_38101.tmp</v>
      </c>
      <c r="F2" s="54" t="s">
        <v>109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269</v>
      </c>
      <c r="B3" s="54" t="s">
        <v>110</v>
      </c>
      <c r="C3" s="59">
        <v>38101</v>
      </c>
      <c r="D3" s="54" t="s">
        <v>108</v>
      </c>
      <c r="E3" s="53" t="str">
        <f>B3&amp;C3&amp;D3</f>
        <v>enemy_habitats_38101.tmp</v>
      </c>
      <c r="F3" s="54" t="s">
        <v>111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179</v>
      </c>
    </row>
    <row r="4" spans="1:30" x14ac:dyDescent="0.15">
      <c r="A4" s="58" t="s">
        <v>269</v>
      </c>
      <c r="B4" s="54" t="s">
        <v>112</v>
      </c>
      <c r="C4" s="59">
        <v>38101</v>
      </c>
      <c r="D4" s="54" t="s">
        <v>108</v>
      </c>
      <c r="E4" s="53" t="str">
        <f>B4&amp;C4&amp;D4</f>
        <v>enemy_habitat_S_38101.tmp</v>
      </c>
      <c r="F4" s="54" t="s">
        <v>113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269</v>
      </c>
      <c r="B5" s="54" t="s">
        <v>114</v>
      </c>
      <c r="C5" s="59">
        <v>38101</v>
      </c>
      <c r="D5" s="54" t="s">
        <v>108</v>
      </c>
      <c r="E5" s="53" t="str">
        <f>B5&amp;C5&amp;D5</f>
        <v>enemy_skill_sets_38101.tmp</v>
      </c>
      <c r="F5" s="54" t="s">
        <v>115</v>
      </c>
      <c r="G5" s="56" t="s">
        <v>22</v>
      </c>
      <c r="H5" s="56" t="s">
        <v>100</v>
      </c>
      <c r="I5" s="56" t="s">
        <v>95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269</v>
      </c>
      <c r="B6" s="54" t="s">
        <v>116</v>
      </c>
      <c r="C6" s="59">
        <v>38101</v>
      </c>
      <c r="D6" s="54" t="s">
        <v>117</v>
      </c>
      <c r="E6" s="53" t="str">
        <f t="shared" ref="E6:E10" si="0">B6&amp;C6&amp;D6</f>
        <v>enemy_skills_tmp_38101.tmp</v>
      </c>
      <c r="F6" s="54" t="s">
        <v>91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269</v>
      </c>
      <c r="B7" s="54" t="s">
        <v>118</v>
      </c>
      <c r="C7" s="59">
        <v>38101</v>
      </c>
      <c r="D7" s="54" t="s">
        <v>108</v>
      </c>
      <c r="E7" s="53" t="str">
        <f>B7&amp;C7&amp;D7</f>
        <v>enemy_skills_i18n_38101.tmp</v>
      </c>
      <c r="F7" s="54" t="s">
        <v>119</v>
      </c>
      <c r="G7" s="55" t="s">
        <v>79</v>
      </c>
      <c r="H7" s="55" t="s">
        <v>92</v>
      </c>
      <c r="I7" s="55" t="s">
        <v>93</v>
      </c>
      <c r="J7" s="55" t="s">
        <v>94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269</v>
      </c>
      <c r="B8" s="54" t="s">
        <v>120</v>
      </c>
      <c r="C8" s="59">
        <v>38101</v>
      </c>
      <c r="D8" s="54" t="s">
        <v>121</v>
      </c>
      <c r="E8" s="53" t="str">
        <f t="shared" si="0"/>
        <v>enemy_skill_triggers_38101.tmp</v>
      </c>
      <c r="F8" s="54" t="s">
        <v>122</v>
      </c>
      <c r="G8" s="55" t="s">
        <v>95</v>
      </c>
      <c r="H8" s="55" t="s">
        <v>96</v>
      </c>
      <c r="I8" s="55" t="s">
        <v>97</v>
      </c>
      <c r="J8" s="55" t="s">
        <v>98</v>
      </c>
      <c r="K8" s="55" t="s">
        <v>123</v>
      </c>
      <c r="L8" s="55" t="s">
        <v>99</v>
      </c>
      <c r="M8" s="55" t="s">
        <v>124</v>
      </c>
      <c r="N8" s="55" t="s">
        <v>125</v>
      </c>
      <c r="O8" s="55" t="s">
        <v>126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353</v>
      </c>
      <c r="B9" s="63" t="s">
        <v>178</v>
      </c>
      <c r="C9" s="59">
        <v>38101</v>
      </c>
      <c r="D9" s="63" t="s">
        <v>172</v>
      </c>
      <c r="E9" s="64" t="str">
        <f t="shared" si="0"/>
        <v>stage_bug_bonuses_38101.tmp</v>
      </c>
      <c r="F9" s="63" t="s">
        <v>173</v>
      </c>
      <c r="G9" s="60" t="s">
        <v>151</v>
      </c>
      <c r="H9" s="60" t="s">
        <v>174</v>
      </c>
      <c r="I9" s="60" t="s">
        <v>175</v>
      </c>
      <c r="J9" s="62" t="s">
        <v>176</v>
      </c>
      <c r="K9" s="60" t="s">
        <v>177</v>
      </c>
      <c r="L9" s="60" t="s">
        <v>157</v>
      </c>
      <c r="M9" s="60" t="s">
        <v>158</v>
      </c>
      <c r="N9" s="60" t="s">
        <v>159</v>
      </c>
      <c r="O9" s="60" t="s">
        <v>160</v>
      </c>
      <c r="P9" s="60" t="s">
        <v>161</v>
      </c>
      <c r="Q9" s="60" t="s">
        <v>162</v>
      </c>
      <c r="R9" s="60" t="s">
        <v>163</v>
      </c>
      <c r="S9" s="60" t="s">
        <v>164</v>
      </c>
      <c r="T9" s="60" t="s">
        <v>165</v>
      </c>
      <c r="U9" s="60" t="s">
        <v>166</v>
      </c>
      <c r="V9" s="60" t="s">
        <v>167</v>
      </c>
      <c r="W9" s="60" t="s">
        <v>168</v>
      </c>
      <c r="X9" s="54"/>
      <c r="Y9" s="54"/>
      <c r="Z9" s="54"/>
      <c r="AA9" s="54"/>
      <c r="AB9" s="54"/>
      <c r="AC9" s="54"/>
      <c r="AD9" s="54"/>
    </row>
    <row r="10" spans="1:30" s="69" customFormat="1" x14ac:dyDescent="0.15">
      <c r="A10" s="58" t="s">
        <v>188</v>
      </c>
      <c r="B10" s="63" t="s">
        <v>202</v>
      </c>
      <c r="C10" s="59">
        <v>38101</v>
      </c>
      <c r="D10" s="63" t="s">
        <v>181</v>
      </c>
      <c r="E10" s="64" t="str">
        <f t="shared" si="0"/>
        <v>stage_hints_data_c_38101.tmp</v>
      </c>
      <c r="F10" s="63" t="s">
        <v>210</v>
      </c>
      <c r="G10" s="67" t="s">
        <v>182</v>
      </c>
      <c r="H10" s="67" t="s">
        <v>174</v>
      </c>
      <c r="I10" s="68" t="s">
        <v>183</v>
      </c>
      <c r="J10" s="62" t="s">
        <v>184</v>
      </c>
      <c r="K10" s="62" t="s">
        <v>185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69" customFormat="1" x14ac:dyDescent="0.15">
      <c r="A11" s="58" t="s">
        <v>335</v>
      </c>
      <c r="B11" s="63" t="s">
        <v>203</v>
      </c>
      <c r="C11" s="59">
        <v>38101</v>
      </c>
      <c r="D11" s="63" t="s">
        <v>172</v>
      </c>
      <c r="E11" s="64" t="str">
        <f t="shared" ref="E11:E13" si="1">B11&amp;C11&amp;D11</f>
        <v>stage_hints_data_f_38101.tmp</v>
      </c>
      <c r="F11" s="63" t="s">
        <v>212</v>
      </c>
      <c r="G11" s="67" t="s">
        <v>182</v>
      </c>
      <c r="H11" s="67" t="s">
        <v>174</v>
      </c>
      <c r="I11" s="68" t="s">
        <v>183</v>
      </c>
      <c r="J11" s="62" t="s">
        <v>184</v>
      </c>
      <c r="K11" s="62" t="s">
        <v>185</v>
      </c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69" customFormat="1" x14ac:dyDescent="0.15">
      <c r="A12" s="174" t="s">
        <v>335</v>
      </c>
      <c r="B12" s="63" t="s">
        <v>204</v>
      </c>
      <c r="C12" s="59">
        <v>38101</v>
      </c>
      <c r="D12" s="63" t="s">
        <v>172</v>
      </c>
      <c r="E12" s="64" t="str">
        <f t="shared" si="1"/>
        <v>stage_hints_i18n_38101.tmp</v>
      </c>
      <c r="F12" s="63" t="s">
        <v>213</v>
      </c>
      <c r="G12" s="68" t="s">
        <v>205</v>
      </c>
      <c r="H12" s="89" t="s">
        <v>206</v>
      </c>
      <c r="I12" s="67" t="s">
        <v>207</v>
      </c>
      <c r="J12" s="98" t="s">
        <v>208</v>
      </c>
      <c r="K12" s="62" t="s">
        <v>209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69" customFormat="1" x14ac:dyDescent="0.15">
      <c r="A13" s="63" t="s">
        <v>354</v>
      </c>
      <c r="B13" s="63" t="s">
        <v>256</v>
      </c>
      <c r="C13" s="59">
        <v>38101</v>
      </c>
      <c r="D13" s="63" t="s">
        <v>237</v>
      </c>
      <c r="E13" s="64" t="str">
        <f t="shared" si="1"/>
        <v>stage_bonuses_38101.tmp</v>
      </c>
      <c r="F13" s="63" t="s">
        <v>236</v>
      </c>
      <c r="G13" s="67" t="s">
        <v>238</v>
      </c>
      <c r="H13" s="67" t="s">
        <v>239</v>
      </c>
      <c r="I13" s="67" t="s">
        <v>240</v>
      </c>
      <c r="J13" s="67" t="s">
        <v>241</v>
      </c>
      <c r="K13" s="67" t="s">
        <v>242</v>
      </c>
      <c r="L13" s="67" t="s">
        <v>243</v>
      </c>
      <c r="M13" s="67" t="s">
        <v>244</v>
      </c>
      <c r="N13" s="67" t="s">
        <v>245</v>
      </c>
      <c r="O13" s="67" t="s">
        <v>246</v>
      </c>
      <c r="P13" s="67" t="s">
        <v>247</v>
      </c>
      <c r="Q13" s="67" t="s">
        <v>248</v>
      </c>
      <c r="R13" s="67" t="s">
        <v>249</v>
      </c>
      <c r="S13" s="67" t="s">
        <v>250</v>
      </c>
      <c r="T13" s="67" t="s">
        <v>251</v>
      </c>
      <c r="U13" s="67" t="s">
        <v>252</v>
      </c>
      <c r="V13" s="67" t="s">
        <v>253</v>
      </c>
      <c r="W13" s="67" t="s">
        <v>254</v>
      </c>
      <c r="X13" s="67" t="s">
        <v>255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"/>
  <sheetViews>
    <sheetView showGridLines="0" workbookViewId="0">
      <pane ySplit="1" topLeftCell="A2" activePane="bottomLeft" state="frozen"/>
      <selection activeCell="V2" sqref="V2:X34"/>
      <selection pane="bottomLeft" activeCell="K11" sqref="K11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0" si="0">G2&amp;"-"&amp;I2</f>
        <v>38101_1-1</v>
      </c>
      <c r="B2" s="16" t="str">
        <f>IF(COUNTIF(enemy_habitats!$H:$H,A2),"OK","NG")</f>
        <v>OK</v>
      </c>
      <c r="C2" s="7">
        <v>38101</v>
      </c>
      <c r="D2" s="11" t="str">
        <f ca="1">VLOOKUP($C2,OFFSET([2]quests!$A$1,0,0,COUNTA([2]quests!$A:$A),MATCH(D$1,[2]quests!$1:$1,0)-MATCH($C$1,[2]quests!$1:$1,0)+1),MATCH(D$1,[2]quests!$1:$1,0)-MATCH($C$1,[2]quests!$1:$1,0)+1,FALSE)</f>
        <v>安多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台湾版コラボ降臨1　超級</v>
      </c>
      <c r="F2" s="21">
        <v>1</v>
      </c>
      <c r="G2" s="23" t="str">
        <f t="shared" ref="G2:G10" si="1">C2&amp;"_"&amp;F2</f>
        <v>38101_1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【中級】安多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si="0"/>
        <v>38101_1-2</v>
      </c>
      <c r="B3" s="16" t="str">
        <f>IF(COUNTIF(enemy_habitats!$H:$H,A3),"OK","NG")</f>
        <v>OK</v>
      </c>
      <c r="C3" s="7">
        <v>38101</v>
      </c>
      <c r="D3" s="11" t="str">
        <f ca="1">VLOOKUP($C3,OFFSET([2]quests!$A$1,0,0,COUNTA([2]quests!$A:$A),MATCH(D$1,[2]quests!$1:$1,0)-MATCH($C$1,[2]quests!$1:$1,0)+1),MATCH(D$1,[2]quests!$1:$1,0)-MATCH($C$1,[2]quests!$1:$1,0)+1,FALSE)</f>
        <v>安多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台湾版コラボ降臨1　超級</v>
      </c>
      <c r="F3" s="21">
        <v>1</v>
      </c>
      <c r="G3" s="23" t="str">
        <f t="shared" si="1"/>
        <v>38101_1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【中級】安多</v>
      </c>
      <c r="I3" s="21">
        <v>2</v>
      </c>
      <c r="J3" s="12">
        <v>60</v>
      </c>
      <c r="K3" s="12">
        <v>60</v>
      </c>
    </row>
    <row r="4" spans="1:11" ht="21" customHeight="1" thickBot="1" x14ac:dyDescent="0.2">
      <c r="A4" s="16" t="str">
        <f t="shared" si="0"/>
        <v>38101_1-3</v>
      </c>
      <c r="B4" s="16" t="str">
        <f>IF(COUNTIF(enemy_habitats!$H:$H,A4),"OK","NG")</f>
        <v>OK</v>
      </c>
      <c r="C4" s="102">
        <v>38101</v>
      </c>
      <c r="D4" s="103" t="str">
        <f ca="1">VLOOKUP($C4,OFFSET([2]quests!$A$1,0,0,COUNTA([2]quests!$A:$A),MATCH(D$1,[2]quests!$1:$1,0)-MATCH($C$1,[2]quests!$1:$1,0)+1),MATCH(D$1,[2]quests!$1:$1,0)-MATCH($C$1,[2]quests!$1:$1,0)+1,FALSE)</f>
        <v>安多</v>
      </c>
      <c r="E4" s="103" t="str">
        <f ca="1">VLOOKUP($C4,OFFSET([2]quests!$A$1,0,0,COUNTA([2]quests!$A:$A),MATCH(E$1,[2]quests!$1:$1,0)-MATCH($C$1,[2]quests!$1:$1,0)+1),MATCH(E$1,[2]quests!$1:$1,0)-MATCH($C$1,[2]quests!$1:$1,0)+1,FALSE)</f>
        <v>台湾版コラボ降臨1　超級</v>
      </c>
      <c r="F4" s="104">
        <v>1</v>
      </c>
      <c r="G4" s="105" t="str">
        <f t="shared" si="1"/>
        <v>38101_1</v>
      </c>
      <c r="H4" s="106" t="str">
        <f ca="1">VLOOKUP($G4,OFFSET([2]stages!$A$1,0,0,COUNTA([2]stages!$A:$A),MATCH(H$1,[2]stages!$2:$2,0)-MATCH($G$1,[2]stages!$2:$2,0)+1),MATCH(H$1,[2]stages!$2:$2,0)-MATCH($G$1,[2]stages!$2:$2,0)+1,FALSE)</f>
        <v>【中級】安多</v>
      </c>
      <c r="I4" s="104">
        <v>3</v>
      </c>
      <c r="J4" s="107">
        <v>60</v>
      </c>
      <c r="K4" s="107">
        <v>60</v>
      </c>
    </row>
    <row r="5" spans="1:11" ht="21" customHeight="1" x14ac:dyDescent="0.15">
      <c r="A5" s="108" t="str">
        <f t="shared" si="0"/>
        <v>38101_2-1</v>
      </c>
      <c r="B5" s="108" t="str">
        <f>IF(COUNTIF(enemy_habitats!$H:$H,A5),"OK","NG")</f>
        <v>OK</v>
      </c>
      <c r="C5" s="109">
        <v>38101</v>
      </c>
      <c r="D5" s="110" t="str">
        <f ca="1">VLOOKUP($C5,OFFSET([2]quests!$A$1,0,0,COUNTA([2]quests!$A:$A),MATCH(D$1,[2]quests!$1:$1,0)-MATCH($C$1,[2]quests!$1:$1,0)+1),MATCH(D$1,[2]quests!$1:$1,0)-MATCH($C$1,[2]quests!$1:$1,0)+1,FALSE)</f>
        <v>安多</v>
      </c>
      <c r="E5" s="110" t="str">
        <f ca="1">VLOOKUP($C5,OFFSET([2]quests!$A$1,0,0,COUNTA([2]quests!$A:$A),MATCH(E$1,[2]quests!$1:$1,0)-MATCH($C$1,[2]quests!$1:$1,0)+1),MATCH(E$1,[2]quests!$1:$1,0)-MATCH($C$1,[2]quests!$1:$1,0)+1,FALSE)</f>
        <v>台湾版コラボ降臨1　超級</v>
      </c>
      <c r="F5" s="111">
        <v>2</v>
      </c>
      <c r="G5" s="112" t="str">
        <f t="shared" si="1"/>
        <v>38101_2</v>
      </c>
      <c r="H5" s="113" t="str">
        <f ca="1">VLOOKUP($G5,OFFSET([2]stages!$A$1,0,0,COUNTA([2]stages!$A:$A),MATCH(H$1,[2]stages!$2:$2,0)-MATCH($G$1,[2]stages!$2:$2,0)+1),MATCH(H$1,[2]stages!$2:$2,0)-MATCH($G$1,[2]stages!$2:$2,0)+1,FALSE)</f>
        <v>【上級】安多</v>
      </c>
      <c r="I5" s="111">
        <v>1</v>
      </c>
      <c r="J5" s="114">
        <v>45</v>
      </c>
      <c r="K5" s="114">
        <v>45</v>
      </c>
    </row>
    <row r="6" spans="1:11" ht="21" customHeight="1" x14ac:dyDescent="0.15">
      <c r="A6" s="16" t="str">
        <f t="shared" si="0"/>
        <v>38101_2-2</v>
      </c>
      <c r="B6" s="16" t="str">
        <f>IF(COUNTIF(enemy_habitats!$H:$H,A6),"OK","NG")</f>
        <v>OK</v>
      </c>
      <c r="C6" s="7">
        <v>38101</v>
      </c>
      <c r="D6" s="11" t="str">
        <f ca="1">VLOOKUP($C6,OFFSET([2]quests!$A$1,0,0,COUNTA([2]quests!$A:$A),MATCH(D$1,[2]quests!$1:$1,0)-MATCH($C$1,[2]quests!$1:$1,0)+1),MATCH(D$1,[2]quests!$1:$1,0)-MATCH($C$1,[2]quests!$1:$1,0)+1,FALSE)</f>
        <v>安多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台湾版コラボ降臨1　超級</v>
      </c>
      <c r="F6" s="21">
        <v>2</v>
      </c>
      <c r="G6" s="23" t="str">
        <f t="shared" si="1"/>
        <v>38101_2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【上級】安多</v>
      </c>
      <c r="I6" s="21">
        <v>2</v>
      </c>
      <c r="J6" s="12">
        <v>60</v>
      </c>
      <c r="K6" s="12">
        <v>60</v>
      </c>
    </row>
    <row r="7" spans="1:11" ht="21" customHeight="1" thickBot="1" x14ac:dyDescent="0.2">
      <c r="A7" s="16" t="str">
        <f t="shared" si="0"/>
        <v>38101_2-3</v>
      </c>
      <c r="B7" s="16" t="str">
        <f>IF(COUNTIF(enemy_habitats!$H:$H,A7),"OK","NG")</f>
        <v>OK</v>
      </c>
      <c r="C7" s="102">
        <v>38101</v>
      </c>
      <c r="D7" s="103" t="str">
        <f ca="1">VLOOKUP($C7,OFFSET([2]quests!$A$1,0,0,COUNTA([2]quests!$A:$A),MATCH(D$1,[2]quests!$1:$1,0)-MATCH($C$1,[2]quests!$1:$1,0)+1),MATCH(D$1,[2]quests!$1:$1,0)-MATCH($C$1,[2]quests!$1:$1,0)+1,FALSE)</f>
        <v>安多</v>
      </c>
      <c r="E7" s="103" t="str">
        <f ca="1">VLOOKUP($C7,OFFSET([2]quests!$A$1,0,0,COUNTA([2]quests!$A:$A),MATCH(E$1,[2]quests!$1:$1,0)-MATCH($C$1,[2]quests!$1:$1,0)+1),MATCH(E$1,[2]quests!$1:$1,0)-MATCH($C$1,[2]quests!$1:$1,0)+1,FALSE)</f>
        <v>台湾版コラボ降臨1　超級</v>
      </c>
      <c r="F7" s="104">
        <v>2</v>
      </c>
      <c r="G7" s="105" t="str">
        <f t="shared" si="1"/>
        <v>38101_2</v>
      </c>
      <c r="H7" s="106" t="str">
        <f ca="1">VLOOKUP($G7,OFFSET([2]stages!$A$1,0,0,COUNTA([2]stages!$A:$A),MATCH(H$1,[2]stages!$2:$2,0)-MATCH($G$1,[2]stages!$2:$2,0)+1),MATCH(H$1,[2]stages!$2:$2,0)-MATCH($G$1,[2]stages!$2:$2,0)+1,FALSE)</f>
        <v>【上級】安多</v>
      </c>
      <c r="I7" s="104">
        <v>3</v>
      </c>
      <c r="J7" s="107">
        <v>60</v>
      </c>
      <c r="K7" s="107">
        <v>60</v>
      </c>
    </row>
    <row r="8" spans="1:11" ht="21" customHeight="1" x14ac:dyDescent="0.15">
      <c r="A8" s="108" t="str">
        <f t="shared" si="0"/>
        <v>38101_3-1</v>
      </c>
      <c r="B8" s="108" t="str">
        <f>IF(COUNTIF(enemy_habitats!$H:$H,A8),"OK","NG")</f>
        <v>OK</v>
      </c>
      <c r="C8" s="109">
        <v>38101</v>
      </c>
      <c r="D8" s="110" t="str">
        <f ca="1">VLOOKUP($C8,OFFSET([2]quests!$A$1,0,0,COUNTA([2]quests!$A:$A),MATCH(D$1,[2]quests!$1:$1,0)-MATCH($C$1,[2]quests!$1:$1,0)+1),MATCH(D$1,[2]quests!$1:$1,0)-MATCH($C$1,[2]quests!$1:$1,0)+1,FALSE)</f>
        <v>安多</v>
      </c>
      <c r="E8" s="110" t="str">
        <f ca="1">VLOOKUP($C8,OFFSET([2]quests!$A$1,0,0,COUNTA([2]quests!$A:$A),MATCH(E$1,[2]quests!$1:$1,0)-MATCH($C$1,[2]quests!$1:$1,0)+1),MATCH(E$1,[2]quests!$1:$1,0)-MATCH($C$1,[2]quests!$1:$1,0)+1,FALSE)</f>
        <v>台湾版コラボ降臨1　超級</v>
      </c>
      <c r="F8" s="111">
        <v>3</v>
      </c>
      <c r="G8" s="112" t="str">
        <f t="shared" si="1"/>
        <v>38101_3</v>
      </c>
      <c r="H8" s="113" t="str">
        <f ca="1">VLOOKUP($G8,OFFSET([2]stages!$A$1,0,0,COUNTA([2]stages!$A:$A),MATCH(H$1,[2]stages!$2:$2,0)-MATCH($G$1,[2]stages!$2:$2,0)+1),MATCH(H$1,[2]stages!$2:$2,0)-MATCH($G$1,[2]stages!$2:$2,0)+1,FALSE)</f>
        <v>【超級】安多</v>
      </c>
      <c r="I8" s="111">
        <v>1</v>
      </c>
      <c r="J8" s="114">
        <v>45</v>
      </c>
      <c r="K8" s="114">
        <v>45</v>
      </c>
    </row>
    <row r="9" spans="1:11" ht="21" customHeight="1" x14ac:dyDescent="0.15">
      <c r="A9" s="16" t="str">
        <f t="shared" si="0"/>
        <v>38101_3-2</v>
      </c>
      <c r="B9" s="16" t="str">
        <f>IF(COUNTIF(enemy_habitats!$H:$H,A9),"OK","NG")</f>
        <v>OK</v>
      </c>
      <c r="C9" s="7">
        <v>38101</v>
      </c>
      <c r="D9" s="11" t="str">
        <f ca="1">VLOOKUP($C9,OFFSET([2]quests!$A$1,0,0,COUNTA([2]quests!$A:$A),MATCH(D$1,[2]quests!$1:$1,0)-MATCH($C$1,[2]quests!$1:$1,0)+1),MATCH(D$1,[2]quests!$1:$1,0)-MATCH($C$1,[2]quests!$1:$1,0)+1,FALSE)</f>
        <v>安多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台湾版コラボ降臨1　超級</v>
      </c>
      <c r="F9" s="21">
        <v>3</v>
      </c>
      <c r="G9" s="23" t="str">
        <f t="shared" si="1"/>
        <v>38101_3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【超級】安多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38101_3-3</v>
      </c>
      <c r="B10" s="16" t="str">
        <f>IF(COUNTIF(enemy_habitats!$H:$H,A10),"OK","NG")</f>
        <v>OK</v>
      </c>
      <c r="C10" s="7">
        <v>38101</v>
      </c>
      <c r="D10" s="11" t="str">
        <f ca="1">VLOOKUP($C10,OFFSET([2]quests!$A$1,0,0,COUNTA([2]quests!$A:$A),MATCH(D$1,[2]quests!$1:$1,0)-MATCH($C$1,[2]quests!$1:$1,0)+1),MATCH(D$1,[2]quests!$1:$1,0)-MATCH($C$1,[2]quests!$1:$1,0)+1,FALSE)</f>
        <v>安多</v>
      </c>
      <c r="E10" s="18" t="str">
        <f ca="1">VLOOKUP($C10,OFFSET([2]quests!$A$1,0,0,COUNTA([2]quests!$A:$A),MATCH(E$1,[2]quests!$1:$1,0)-MATCH($C$1,[2]quests!$1:$1,0)+1),MATCH(E$1,[2]quests!$1:$1,0)-MATCH($C$1,[2]quests!$1:$1,0)+1,FALSE)</f>
        <v>台湾版コラボ降臨1　超級</v>
      </c>
      <c r="F10" s="21">
        <v>3</v>
      </c>
      <c r="G10" s="23" t="str">
        <f t="shared" si="1"/>
        <v>38101_3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【超級】安多</v>
      </c>
      <c r="I10" s="21">
        <v>3</v>
      </c>
      <c r="J10" s="12">
        <v>60</v>
      </c>
      <c r="K10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6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J7" sqref="AJ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0" style="3" customWidth="1" outlineLevel="1"/>
    <col min="14" max="14" width="8.6640625" style="3" customWidth="1" outlineLevel="1"/>
    <col min="15" max="15" width="12" style="3" hidden="1" customWidth="1" outlineLevel="1"/>
    <col min="16" max="16" width="21" style="3" hidden="1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thickBot="1" x14ac:dyDescent="0.2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9" t="s">
        <v>257</v>
      </c>
      <c r="U1" s="26" t="s">
        <v>50</v>
      </c>
      <c r="V1" s="99" t="s">
        <v>258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16" si="0">B2&amp;"_"&amp;C2&amp;"-"&amp;G2&amp;"/"&amp;L2&amp;"&lt;lv"&amp;R2&amp;"&gt;s"&amp;AC2</f>
        <v>38101_1-1/370&lt;lv30&gt;s2</v>
      </c>
      <c r="B2" s="22">
        <v>38101</v>
      </c>
      <c r="C2" s="21">
        <v>1</v>
      </c>
      <c r="D2" s="2" t="str">
        <f t="shared" ref="D2:D16" si="1">B2&amp;"_"&amp;C2</f>
        <v>38101_1</v>
      </c>
      <c r="E2" s="4" t="str">
        <f ca="1">VLOOKUP($B2,OFFSET([2]quests!$A$1,0,0,COUNTA([2]quests!$A:$A),MATCH(E$1,[2]quests!$1:$1,0)-MATCH($B$1,[2]quests!$1:$1,0)+1),MATCH(E$1,[2]quests!$1:$1,0)-MATCH($B$1,[2]quests!$1:$1,0)+1,FALSE)</f>
        <v>安多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【中級】安多</v>
      </c>
      <c r="G2" s="21">
        <v>1</v>
      </c>
      <c r="H2" s="15" t="str">
        <f t="shared" ref="H2:H16" si="2">B2&amp;"_"&amp;C2&amp;"-"&amp;G2</f>
        <v>38101_1-1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 t="s">
        <v>53</v>
      </c>
      <c r="L2" s="20">
        <v>370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タイチ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30</v>
      </c>
      <c r="S2" s="130">
        <v>1.2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7560</v>
      </c>
      <c r="U2" s="130">
        <v>0.5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1282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2" s="169">
        <v>38101001</v>
      </c>
      <c r="Z2" s="6">
        <v>1</v>
      </c>
      <c r="AA2" s="6">
        <v>100</v>
      </c>
      <c r="AB2" s="6">
        <v>1</v>
      </c>
      <c r="AC2" s="154">
        <v>2</v>
      </c>
      <c r="AD2" s="24">
        <f t="shared" ref="AD2:AD16" si="3">L2</f>
        <v>370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t="shared" ref="AI2:AI16" ca="1" si="4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5">
        <v>1</v>
      </c>
    </row>
    <row r="3" spans="1:42" ht="21" customHeight="1" x14ac:dyDescent="0.15">
      <c r="A3" s="16" t="str">
        <f t="shared" si="0"/>
        <v>38101_1-1/23&lt;lv30&gt;s1</v>
      </c>
      <c r="B3" s="22">
        <v>38101</v>
      </c>
      <c r="C3" s="21">
        <v>1</v>
      </c>
      <c r="D3" s="2" t="str">
        <f t="shared" si="1"/>
        <v>38101_1</v>
      </c>
      <c r="E3" s="4" t="str">
        <f ca="1">VLOOKUP($B3,OFFSET([2]quests!$A$1,0,0,COUNTA([2]quests!$A:$A),MATCH(E$1,[2]quests!$1:$1,0)-MATCH($B$1,[2]quests!$1:$1,0)+1),MATCH(E$1,[2]quests!$1:$1,0)-MATCH($B$1,[2]quests!$1:$1,0)+1,FALSE)</f>
        <v>安多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【中級】安多</v>
      </c>
      <c r="G3" s="21">
        <v>1</v>
      </c>
      <c r="H3" s="15" t="str">
        <f t="shared" si="2"/>
        <v>38101_1-1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23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ミール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30</v>
      </c>
      <c r="S3" s="25">
        <v>0.6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5590.8</v>
      </c>
      <c r="U3" s="25">
        <v>0.4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692.80000000000007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緑パネルを緑の時限式ダメージパネルに2個変換</v>
      </c>
      <c r="Y3" s="168">
        <v>38101002</v>
      </c>
      <c r="Z3" s="6">
        <v>2</v>
      </c>
      <c r="AA3" s="6">
        <v>100</v>
      </c>
      <c r="AB3" s="6">
        <v>0</v>
      </c>
      <c r="AC3" s="154">
        <v>1</v>
      </c>
      <c r="AD3" s="24">
        <f t="shared" si="3"/>
        <v>23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1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1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5">
        <v>1</v>
      </c>
    </row>
    <row r="4" spans="1:42" ht="21" customHeight="1" x14ac:dyDescent="0.15">
      <c r="A4" s="16" t="str">
        <f t="shared" si="0"/>
        <v>38101_1-2/127&lt;lv30&gt;s2</v>
      </c>
      <c r="B4" s="22">
        <v>38101</v>
      </c>
      <c r="C4" s="21">
        <v>1</v>
      </c>
      <c r="D4" s="2" t="str">
        <f t="shared" si="1"/>
        <v>38101_1</v>
      </c>
      <c r="E4" s="4" t="str">
        <f ca="1">VLOOKUP($B4,OFFSET([2]quests!$A$1,0,0,COUNTA([2]quests!$A:$A),MATCH(E$1,[2]quests!$1:$1,0)-MATCH($B$1,[2]quests!$1:$1,0)+1),MATCH(E$1,[2]quests!$1:$1,0)-MATCH($B$1,[2]quests!$1:$1,0)+1,FALSE)</f>
        <v>安多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【中級】安多</v>
      </c>
      <c r="G4" s="21">
        <v>2</v>
      </c>
      <c r="H4" s="15" t="str">
        <f t="shared" si="2"/>
        <v>38101_1-2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127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狂喜の賢者 ユノ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30</v>
      </c>
      <c r="S4" s="25">
        <v>0.5</v>
      </c>
      <c r="T4" s="100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19246.5</v>
      </c>
      <c r="U4" s="25">
        <v>0.6</v>
      </c>
      <c r="V4" s="100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2574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あの野郎に狙われたくないならね！_x000D_【1ターン全ユニットのタップ回数を1DOWN】</v>
      </c>
      <c r="Y4" s="168">
        <v>38101003</v>
      </c>
      <c r="Z4" s="6">
        <v>1</v>
      </c>
      <c r="AA4" s="6">
        <v>100</v>
      </c>
      <c r="AB4" s="6">
        <v>0</v>
      </c>
      <c r="AC4" s="154">
        <v>2</v>
      </c>
      <c r="AD4" s="24">
        <f t="shared" si="3"/>
        <v>127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狂喜の賢者 ユノ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5">
        <v>1</v>
      </c>
    </row>
    <row r="5" spans="1:42" ht="21" customHeight="1" x14ac:dyDescent="0.15">
      <c r="A5" s="16" t="str">
        <f t="shared" si="0"/>
        <v>38101_1-2/159&lt;lv30&gt;s1</v>
      </c>
      <c r="B5" s="22">
        <v>38101</v>
      </c>
      <c r="C5" s="21">
        <v>1</v>
      </c>
      <c r="D5" s="2" t="str">
        <f t="shared" si="1"/>
        <v>38101_1</v>
      </c>
      <c r="E5" s="4" t="str">
        <f ca="1">VLOOKUP($B5,OFFSET([2]quests!$A$1,0,0,COUNTA([2]quests!$A:$A),MATCH(E$1,[2]quests!$1:$1,0)-MATCH($B$1,[2]quests!$1:$1,0)+1),MATCH(E$1,[2]quests!$1:$1,0)-MATCH($B$1,[2]quests!$1:$1,0)+1,FALSE)</f>
        <v>安多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【中級】安多</v>
      </c>
      <c r="G5" s="21">
        <v>2</v>
      </c>
      <c r="H5" s="15" t="str">
        <f t="shared" si="2"/>
        <v>38101_1-2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159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邪を狩りし者 シャルロッテ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30</v>
      </c>
      <c r="S5" s="25">
        <v>0.5</v>
      </c>
      <c r="T5" s="100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15397</v>
      </c>
      <c r="U5" s="25">
        <v>0.6</v>
      </c>
      <c r="V5" s="100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1509.6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単体攻撃+_x000D_黄パネルを青パネルに変換</v>
      </c>
      <c r="Y5" s="168">
        <v>38101004</v>
      </c>
      <c r="Z5" s="6">
        <v>1</v>
      </c>
      <c r="AA5" s="6">
        <v>100</v>
      </c>
      <c r="AB5" s="6">
        <v>1</v>
      </c>
      <c r="AC5" s="154">
        <v>1</v>
      </c>
      <c r="AD5" s="24">
        <f t="shared" si="3"/>
        <v>159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邪を狩りし者 シャルロッテ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5">
        <v>1</v>
      </c>
    </row>
    <row r="6" spans="1:42" ht="21" customHeight="1" thickBot="1" x14ac:dyDescent="0.2">
      <c r="A6" s="16" t="str">
        <f t="shared" si="0"/>
        <v>38101_1-3/8138&lt;lv30&gt;s2</v>
      </c>
      <c r="B6" s="115">
        <v>38101</v>
      </c>
      <c r="C6" s="104">
        <v>1</v>
      </c>
      <c r="D6" s="106" t="str">
        <f t="shared" si="1"/>
        <v>38101_1</v>
      </c>
      <c r="E6" s="116" t="str">
        <f ca="1">VLOOKUP($B6,OFFSET([2]quests!$A$1,0,0,COUNTA([2]quests!$A:$A),MATCH(E$1,[2]quests!$1:$1,0)-MATCH($B$1,[2]quests!$1:$1,0)+1),MATCH(E$1,[2]quests!$1:$1,0)-MATCH($B$1,[2]quests!$1:$1,0)+1,FALSE)</f>
        <v>安多</v>
      </c>
      <c r="F6" s="116" t="str">
        <f ca="1">VLOOKUP($D6,OFFSET([2]stages!$A$1,0,0,COUNTA([2]stages!$A:$A),MATCH(F$1,[2]stages!$2:$2,0)-MATCH($D$1,[2]stages!$2:$2,0)+1),MATCH(F$1,[2]stages!$2:$2,0)-MATCH($D$1,[2]stages!$2:$2,0)+1,FALSE)</f>
        <v>【中級】安多</v>
      </c>
      <c r="G6" s="104">
        <v>3</v>
      </c>
      <c r="H6" s="106" t="str">
        <f t="shared" si="2"/>
        <v>38101_1-3</v>
      </c>
      <c r="I6" s="116">
        <f ca="1">VLOOKUP($H6,OFFSET(floors!$A$1,0,0,COUNTA(floors!$A:$A),MATCH(I$1,floors!$1:$1,0)-MATCH($H$1,floors!$1:$1,0)+1),MATCH(I$1,floors!$1:$1,0)-MATCH($H$1,floors!$1:$1,0)+1,FALSE)</f>
        <v>60</v>
      </c>
      <c r="J6" s="116">
        <f ca="1">VLOOKUP($H6,OFFSET(floors!$A$1,0,0,COUNTA(floors!$A:$A),MATCH(J$1,floors!$1:$1,0)-MATCH($H$1,floors!$1:$1,0)+1),MATCH(J$1,floors!$1:$1,0)-MATCH($H$1,floors!$1:$1,0)+1,FALSE)</f>
        <v>60</v>
      </c>
      <c r="K6" s="107">
        <v>1</v>
      </c>
      <c r="L6" s="117">
        <v>8138</v>
      </c>
      <c r="M6" s="118" t="str">
        <f ca="1">VLOOKUP($L6,OFFSET([3]enemies!$A$1,0,0,COUNTA([3]enemies!$A:$A),MATCH(M$1,[3]enemies!$1:$1,0)-MATCH($L$1,[3]enemies!$1:$1,0)+1),MATCH(M$1,[3]enemies!$1:$1,0)-MATCH($L$1,[3]enemies!$1:$1,0)+1,FALSE)</f>
        <v>死靈魔導 ‧ 安多</v>
      </c>
      <c r="N6" s="118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18" t="str">
        <f ca="1">VLOOKUP($L6,OFFSET([4]characters!$A$1,0,0,COUNTA([4]characters!$A:$A),MATCH(O$1,[4]characters!$1:$1,0)-MATCH($L$1,[4]characters!$1:$1,0)+1),MATCH(O$1,[4]characters!$1:$1,0)-MATCH($L$1,[4]characters!$1:$1,0)+1,FALSE)</f>
        <v>Drop2N</v>
      </c>
      <c r="P6" s="118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18">
        <f ca="1">VLOOKUP($L6,OFFSET([3]enemies!$A$1,0,0,COUNTA([3]enemies!$A:$A),MATCH(Q$1,[3]enemies!$1:$1,0)-MATCH($L$1,[3]enemies!$1:$1,0)+1),MATCH(Q$1,[3]enemies!$1:$1,0)-MATCH($L$1,[3]enemies!$1:$1,0)+1,FALSE)</f>
        <v>60</v>
      </c>
      <c r="R6" s="119">
        <v>30</v>
      </c>
      <c r="S6" s="25">
        <v>1</v>
      </c>
      <c r="T6" s="12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25">
        <v>0.4</v>
      </c>
      <c r="V6" s="12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119">
        <v>0</v>
      </c>
      <c r="X6" s="116" t="str">
        <f ca="1">VLOOKUP($Y6,OFFSET(enemy_skill_sets!$B$1,0,0,COUNTA(enemy_skill_sets!$B:$B),MATCH(M$1,enemy_skill_sets!$1:$1,0)-MATCH($Y$1,enemy_skill_sets!$1:$1,0)+2),MATCH(M$1,enemy_skill_sets!$1:$1,0)-MATCH($Y$1,enemy_skill_sets!$1:$1,0)+2,FALSE)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6" s="168">
        <v>38101005</v>
      </c>
      <c r="Z6" s="121">
        <v>1</v>
      </c>
      <c r="AA6" s="121">
        <v>100</v>
      </c>
      <c r="AB6" s="121">
        <v>1</v>
      </c>
      <c r="AC6" s="155">
        <v>2</v>
      </c>
      <c r="AD6" s="122">
        <f t="shared" si="3"/>
        <v>8138</v>
      </c>
      <c r="AE6" s="116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死靈魔導 ‧ 安多</v>
      </c>
      <c r="AF6" s="116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16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Drop2N</v>
      </c>
      <c r="AH6" s="102">
        <v>1</v>
      </c>
      <c r="AI6" s="122">
        <f t="shared" ca="1" si="4"/>
        <v>5</v>
      </c>
      <c r="AJ6" s="123">
        <v>25</v>
      </c>
      <c r="AK6" s="102">
        <v>0</v>
      </c>
      <c r="AL6" s="102">
        <v>0</v>
      </c>
      <c r="AM6" s="102">
        <v>0</v>
      </c>
      <c r="AN6" s="102">
        <v>0</v>
      </c>
      <c r="AO6" s="102">
        <v>1</v>
      </c>
      <c r="AP6" s="124">
        <v>1</v>
      </c>
    </row>
    <row r="7" spans="1:42" ht="21" customHeight="1" x14ac:dyDescent="0.15">
      <c r="A7" s="108" t="str">
        <f t="shared" si="0"/>
        <v>38101_2-1/370&lt;lv40&gt;s2</v>
      </c>
      <c r="B7" s="136">
        <v>38101</v>
      </c>
      <c r="C7" s="111">
        <v>2</v>
      </c>
      <c r="D7" s="113" t="str">
        <f t="shared" si="1"/>
        <v>38101_2</v>
      </c>
      <c r="E7" s="126" t="str">
        <f ca="1">VLOOKUP($B7,OFFSET([2]quests!$A$1,0,0,COUNTA([2]quests!$A:$A),MATCH(E$1,[2]quests!$1:$1,0)-MATCH($B$1,[2]quests!$1:$1,0)+1),MATCH(E$1,[2]quests!$1:$1,0)-MATCH($B$1,[2]quests!$1:$1,0)+1,FALSE)</f>
        <v>安多</v>
      </c>
      <c r="F7" s="126" t="str">
        <f ca="1">VLOOKUP($D7,OFFSET([2]stages!$A$1,0,0,COUNTA([2]stages!$A:$A),MATCH(F$1,[2]stages!$2:$2,0)-MATCH($D$1,[2]stages!$2:$2,0)+1),MATCH(F$1,[2]stages!$2:$2,0)-MATCH($D$1,[2]stages!$2:$2,0)+1,FALSE)</f>
        <v>【上級】安多</v>
      </c>
      <c r="G7" s="111">
        <v>1</v>
      </c>
      <c r="H7" s="113" t="str">
        <f t="shared" si="2"/>
        <v>38101_2-1</v>
      </c>
      <c r="I7" s="126">
        <f ca="1">VLOOKUP($H7,OFFSET(floors!$A$1,0,0,COUNTA(floors!$A:$A),MATCH(I$1,floors!$1:$1,0)-MATCH($H$1,floors!$1:$1,0)+1),MATCH(I$1,floors!$1:$1,0)-MATCH($H$1,floors!$1:$1,0)+1,FALSE)</f>
        <v>45</v>
      </c>
      <c r="J7" s="126">
        <f ca="1">VLOOKUP($H7,OFFSET(floors!$A$1,0,0,COUNTA(floors!$A:$A),MATCH(J$1,floors!$1:$1,0)-MATCH($H$1,floors!$1:$1,0)+1),MATCH(J$1,floors!$1:$1,0)-MATCH($H$1,floors!$1:$1,0)+1,FALSE)</f>
        <v>45</v>
      </c>
      <c r="K7" s="114" t="s">
        <v>53</v>
      </c>
      <c r="L7" s="127">
        <v>370</v>
      </c>
      <c r="M7" s="128" t="str">
        <f ca="1">VLOOKUP($L7,OFFSET([3]enemies!$A$1,0,0,COUNTA([3]enemies!$A:$A),MATCH(M$1,[3]enemies!$1:$1,0)-MATCH($L$1,[3]enemies!$1:$1,0)+1),MATCH(M$1,[3]enemies!$1:$1,0)-MATCH($L$1,[3]enemies!$1:$1,0)+1,FALSE)</f>
        <v>タイチ</v>
      </c>
      <c r="N7" s="128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28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28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28">
        <f ca="1">VLOOKUP($L7,OFFSET([3]enemies!$A$1,0,0,COUNTA([3]enemies!$A:$A),MATCH(Q$1,[3]enemies!$1:$1,0)-MATCH($L$1,[3]enemies!$1:$1,0)+1),MATCH(Q$1,[3]enemies!$1:$1,0)-MATCH($L$1,[3]enemies!$1:$1,0)+1,FALSE)</f>
        <v>15</v>
      </c>
      <c r="R7" s="129">
        <v>40</v>
      </c>
      <c r="S7" s="130">
        <v>1.2</v>
      </c>
      <c r="T7" s="13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9960</v>
      </c>
      <c r="U7" s="130">
        <v>0.5</v>
      </c>
      <c r="V7" s="13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1689</v>
      </c>
      <c r="W7" s="129">
        <v>0</v>
      </c>
      <c r="X7" s="158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7" s="169">
        <v>38101001</v>
      </c>
      <c r="Z7" s="132">
        <v>1</v>
      </c>
      <c r="AA7" s="132">
        <v>100</v>
      </c>
      <c r="AB7" s="132">
        <v>1</v>
      </c>
      <c r="AC7" s="156">
        <v>2</v>
      </c>
      <c r="AD7" s="133">
        <f t="shared" si="3"/>
        <v>370</v>
      </c>
      <c r="AE7" s="126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7" s="126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126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109">
        <v>1</v>
      </c>
      <c r="AI7" s="133">
        <f t="shared" ca="1" si="4"/>
        <v>2</v>
      </c>
      <c r="AJ7" s="134">
        <v>0</v>
      </c>
      <c r="AK7" s="109">
        <v>0</v>
      </c>
      <c r="AL7" s="109">
        <v>0</v>
      </c>
      <c r="AM7" s="109">
        <v>0</v>
      </c>
      <c r="AN7" s="109">
        <v>0</v>
      </c>
      <c r="AO7" s="109">
        <v>1</v>
      </c>
      <c r="AP7" s="135">
        <v>1</v>
      </c>
    </row>
    <row r="8" spans="1:42" ht="21" customHeight="1" x14ac:dyDescent="0.15">
      <c r="A8" s="16" t="str">
        <f t="shared" si="0"/>
        <v>38101_2-1/23&lt;lv40&gt;s1</v>
      </c>
      <c r="B8" s="22">
        <v>38101</v>
      </c>
      <c r="C8" s="21">
        <v>2</v>
      </c>
      <c r="D8" s="2" t="str">
        <f t="shared" si="1"/>
        <v>38101_2</v>
      </c>
      <c r="E8" s="4" t="str">
        <f ca="1">VLOOKUP($B8,OFFSET([2]quests!$A$1,0,0,COUNTA([2]quests!$A:$A),MATCH(E$1,[2]quests!$1:$1,0)-MATCH($B$1,[2]quests!$1:$1,0)+1),MATCH(E$1,[2]quests!$1:$1,0)-MATCH($B$1,[2]quests!$1:$1,0)+1,FALSE)</f>
        <v>安多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【上級】安多</v>
      </c>
      <c r="G8" s="21">
        <v>1</v>
      </c>
      <c r="H8" s="15" t="str">
        <f t="shared" si="2"/>
        <v>38101_2-1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8" t="s">
        <v>53</v>
      </c>
      <c r="L8" s="20">
        <v>23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ミール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40</v>
      </c>
      <c r="S8" s="25">
        <v>0.6</v>
      </c>
      <c r="T8" s="100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7365.5999999999995</v>
      </c>
      <c r="U8" s="25">
        <v>0.4</v>
      </c>
      <c r="V8" s="100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912.80000000000007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緑パネルを緑の時限式ダメージパネルに2個変換</v>
      </c>
      <c r="Y8" s="168">
        <v>38101002</v>
      </c>
      <c r="Z8" s="6">
        <v>2</v>
      </c>
      <c r="AA8" s="6">
        <v>100</v>
      </c>
      <c r="AB8" s="6">
        <v>0</v>
      </c>
      <c r="AC8" s="154">
        <v>1</v>
      </c>
      <c r="AD8" s="24">
        <f t="shared" si="3"/>
        <v>23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Drop1N</v>
      </c>
      <c r="AH8" s="7">
        <v>1</v>
      </c>
      <c r="AI8" s="24">
        <f t="shared" ca="1" si="4"/>
        <v>1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5">
        <v>1</v>
      </c>
    </row>
    <row r="9" spans="1:42" ht="21" customHeight="1" x14ac:dyDescent="0.15">
      <c r="A9" s="16" t="str">
        <f t="shared" si="0"/>
        <v>38101_2-2/127&lt;lv40&gt;s2</v>
      </c>
      <c r="B9" s="22">
        <v>38101</v>
      </c>
      <c r="C9" s="21">
        <v>2</v>
      </c>
      <c r="D9" s="2" t="str">
        <f t="shared" si="1"/>
        <v>38101_2</v>
      </c>
      <c r="E9" s="4" t="str">
        <f ca="1">VLOOKUP($B9,OFFSET([2]quests!$A$1,0,0,COUNTA([2]quests!$A:$A),MATCH(E$1,[2]quests!$1:$1,0)-MATCH($B$1,[2]quests!$1:$1,0)+1),MATCH(E$1,[2]quests!$1:$1,0)-MATCH($B$1,[2]quests!$1:$1,0)+1,FALSE)</f>
        <v>安多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【上級】安多</v>
      </c>
      <c r="G9" s="21">
        <v>2</v>
      </c>
      <c r="H9" s="15" t="str">
        <f t="shared" si="2"/>
        <v>38101_2-2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127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狂喜の賢者 ユノ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40</v>
      </c>
      <c r="S9" s="25">
        <v>0.5</v>
      </c>
      <c r="T9" s="100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25356.5</v>
      </c>
      <c r="U9" s="25">
        <v>0.6</v>
      </c>
      <c r="V9" s="100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3391.2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あの野郎に狙われたくないならね！_x000D_【1ターン全ユニットのタップ回数を1DOWN】</v>
      </c>
      <c r="Y9" s="168">
        <v>38101003</v>
      </c>
      <c r="Z9" s="6">
        <v>1</v>
      </c>
      <c r="AA9" s="6">
        <v>100</v>
      </c>
      <c r="AB9" s="6">
        <v>0</v>
      </c>
      <c r="AC9" s="154">
        <v>2</v>
      </c>
      <c r="AD9" s="24">
        <f t="shared" si="3"/>
        <v>127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狂喜の賢者 ユノ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5">
        <v>1</v>
      </c>
    </row>
    <row r="10" spans="1:42" ht="21" customHeight="1" x14ac:dyDescent="0.15">
      <c r="A10" s="16" t="str">
        <f t="shared" si="0"/>
        <v>38101_2-2/159&lt;lv40&gt;s1</v>
      </c>
      <c r="B10" s="22">
        <v>38101</v>
      </c>
      <c r="C10" s="21">
        <v>2</v>
      </c>
      <c r="D10" s="2" t="str">
        <f t="shared" si="1"/>
        <v>38101_2</v>
      </c>
      <c r="E10" s="4" t="str">
        <f ca="1">VLOOKUP($B10,OFFSET([2]quests!$A$1,0,0,COUNTA([2]quests!$A:$A),MATCH(E$1,[2]quests!$1:$1,0)-MATCH($B$1,[2]quests!$1:$1,0)+1),MATCH(E$1,[2]quests!$1:$1,0)-MATCH($B$1,[2]quests!$1:$1,0)+1,FALSE)</f>
        <v>安多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【上級】安多</v>
      </c>
      <c r="G10" s="21">
        <v>2</v>
      </c>
      <c r="H10" s="15" t="str">
        <f t="shared" si="2"/>
        <v>38101_2-2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159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邪を狩りし者 シャルロッテ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40</v>
      </c>
      <c r="S10" s="25">
        <v>0.5</v>
      </c>
      <c r="T10" s="100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20285</v>
      </c>
      <c r="U10" s="25">
        <v>0.6</v>
      </c>
      <c r="V10" s="100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1988.3999999999999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単体攻撃+_x000D_黄パネルを青パネルに変換</v>
      </c>
      <c r="Y10" s="168">
        <v>38101004</v>
      </c>
      <c r="Z10" s="6">
        <v>1</v>
      </c>
      <c r="AA10" s="6">
        <v>100</v>
      </c>
      <c r="AB10" s="6">
        <v>1</v>
      </c>
      <c r="AC10" s="154">
        <v>1</v>
      </c>
      <c r="AD10" s="24">
        <f t="shared" si="3"/>
        <v>159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邪を狩りし者 シャルロッテ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0" s="7">
        <v>1</v>
      </c>
      <c r="AI10" s="24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5">
        <v>1</v>
      </c>
    </row>
    <row r="11" spans="1:42" ht="21" customHeight="1" thickBot="1" x14ac:dyDescent="0.2">
      <c r="A11" s="16" t="str">
        <f t="shared" si="0"/>
        <v>38101_2-3/8138&lt;lv40&gt;s2</v>
      </c>
      <c r="B11" s="22">
        <v>38101</v>
      </c>
      <c r="C11" s="104">
        <v>2</v>
      </c>
      <c r="D11" s="106" t="str">
        <f t="shared" si="1"/>
        <v>38101_2</v>
      </c>
      <c r="E11" s="116" t="str">
        <f ca="1">VLOOKUP($B11,OFFSET([2]quests!$A$1,0,0,COUNTA([2]quests!$A:$A),MATCH(E$1,[2]quests!$1:$1,0)-MATCH($B$1,[2]quests!$1:$1,0)+1),MATCH(E$1,[2]quests!$1:$1,0)-MATCH($B$1,[2]quests!$1:$1,0)+1,FALSE)</f>
        <v>安多</v>
      </c>
      <c r="F11" s="116" t="str">
        <f ca="1">VLOOKUP($D11,OFFSET([2]stages!$A$1,0,0,COUNTA([2]stages!$A:$A),MATCH(F$1,[2]stages!$2:$2,0)-MATCH($D$1,[2]stages!$2:$2,0)+1),MATCH(F$1,[2]stages!$2:$2,0)-MATCH($D$1,[2]stages!$2:$2,0)+1,FALSE)</f>
        <v>【上級】安多</v>
      </c>
      <c r="G11" s="104">
        <v>3</v>
      </c>
      <c r="H11" s="106" t="str">
        <f t="shared" si="2"/>
        <v>38101_2-3</v>
      </c>
      <c r="I11" s="116">
        <f ca="1">VLOOKUP($H11,OFFSET(floors!$A$1,0,0,COUNTA(floors!$A:$A),MATCH(I$1,floors!$1:$1,0)-MATCH($H$1,floors!$1:$1,0)+1),MATCH(I$1,floors!$1:$1,0)-MATCH($H$1,floors!$1:$1,0)+1,FALSE)</f>
        <v>60</v>
      </c>
      <c r="J11" s="116">
        <f ca="1">VLOOKUP($H11,OFFSET(floors!$A$1,0,0,COUNTA(floors!$A:$A),MATCH(J$1,floors!$1:$1,0)-MATCH($H$1,floors!$1:$1,0)+1),MATCH(J$1,floors!$1:$1,0)-MATCH($H$1,floors!$1:$1,0)+1,FALSE)</f>
        <v>60</v>
      </c>
      <c r="K11" s="107">
        <v>1</v>
      </c>
      <c r="L11" s="117">
        <v>8138</v>
      </c>
      <c r="M11" s="118" t="str">
        <f ca="1">VLOOKUP($L11,OFFSET([3]enemies!$A$1,0,0,COUNTA([3]enemies!$A:$A),MATCH(M$1,[3]enemies!$1:$1,0)-MATCH($L$1,[3]enemies!$1:$1,0)+1),MATCH(M$1,[3]enemies!$1:$1,0)-MATCH($L$1,[3]enemies!$1:$1,0)+1,FALSE)</f>
        <v>死靈魔導 ‧ 安多</v>
      </c>
      <c r="N11" s="118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18" t="str">
        <f ca="1">VLOOKUP($L11,OFFSET([4]characters!$A$1,0,0,COUNTA([4]characters!$A:$A),MATCH(O$1,[4]characters!$1:$1,0)-MATCH($L$1,[4]characters!$1:$1,0)+1),MATCH(O$1,[4]characters!$1:$1,0)-MATCH($L$1,[4]characters!$1:$1,0)+1,FALSE)</f>
        <v>Drop2N</v>
      </c>
      <c r="P11" s="118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18">
        <f ca="1">VLOOKUP($L11,OFFSET([3]enemies!$A$1,0,0,COUNTA([3]enemies!$A:$A),MATCH(Q$1,[3]enemies!$1:$1,0)-MATCH($L$1,[3]enemies!$1:$1,0)+1),MATCH(Q$1,[3]enemies!$1:$1,0)-MATCH($L$1,[3]enemies!$1:$1,0)+1,FALSE)</f>
        <v>60</v>
      </c>
      <c r="R11" s="119">
        <v>40</v>
      </c>
      <c r="S11" s="25">
        <v>1</v>
      </c>
      <c r="T11" s="120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0</v>
      </c>
      <c r="U11" s="25">
        <v>0.4</v>
      </c>
      <c r="V11" s="120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0</v>
      </c>
      <c r="W11" s="119">
        <v>0</v>
      </c>
      <c r="X11" s="159" t="str">
        <f ca="1">VLOOKUP($Y11,OFFSET(enemy_skill_sets!$B$1,0,0,COUNTA(enemy_skill_sets!$B:$B),MATCH(M$1,enemy_skill_sets!$1:$1,0)-MATCH($Y$1,enemy_skill_sets!$1:$1,0)+2),MATCH(M$1,enemy_skill_sets!$1:$1,0)-MATCH($Y$1,enemy_skill_sets!$1:$1,0)+2,FALSE)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1" s="168">
        <v>38101005</v>
      </c>
      <c r="Z11" s="121">
        <v>1</v>
      </c>
      <c r="AA11" s="121">
        <v>100</v>
      </c>
      <c r="AB11" s="121">
        <v>1</v>
      </c>
      <c r="AC11" s="155">
        <v>2</v>
      </c>
      <c r="AD11" s="122">
        <f t="shared" si="3"/>
        <v>8138</v>
      </c>
      <c r="AE11" s="116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死靈魔導 ‧ 安多</v>
      </c>
      <c r="AF11" s="116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116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Drop2N</v>
      </c>
      <c r="AH11" s="102">
        <v>1</v>
      </c>
      <c r="AI11" s="122">
        <f t="shared" ca="1" si="4"/>
        <v>5</v>
      </c>
      <c r="AJ11" s="123">
        <v>50</v>
      </c>
      <c r="AK11" s="102">
        <v>0</v>
      </c>
      <c r="AL11" s="102">
        <v>0</v>
      </c>
      <c r="AM11" s="102">
        <v>0</v>
      </c>
      <c r="AN11" s="102">
        <v>0</v>
      </c>
      <c r="AO11" s="102">
        <v>1</v>
      </c>
      <c r="AP11" s="124">
        <v>1</v>
      </c>
    </row>
    <row r="12" spans="1:42" ht="21" customHeight="1" x14ac:dyDescent="0.15">
      <c r="A12" s="108" t="str">
        <f t="shared" si="0"/>
        <v>38101_3-1/370&lt;lv60&gt;s2</v>
      </c>
      <c r="B12" s="125">
        <v>38101</v>
      </c>
      <c r="C12" s="111">
        <v>3</v>
      </c>
      <c r="D12" s="113" t="str">
        <f t="shared" si="1"/>
        <v>38101_3</v>
      </c>
      <c r="E12" s="126" t="str">
        <f ca="1">VLOOKUP($B12,OFFSET([2]quests!$A$1,0,0,COUNTA([2]quests!$A:$A),MATCH(E$1,[2]quests!$1:$1,0)-MATCH($B$1,[2]quests!$1:$1,0)+1),MATCH(E$1,[2]quests!$1:$1,0)-MATCH($B$1,[2]quests!$1:$1,0)+1,FALSE)</f>
        <v>安多</v>
      </c>
      <c r="F12" s="126" t="str">
        <f ca="1">VLOOKUP($D12,OFFSET([2]stages!$A$1,0,0,COUNTA([2]stages!$A:$A),MATCH(F$1,[2]stages!$2:$2,0)-MATCH($D$1,[2]stages!$2:$2,0)+1),MATCH(F$1,[2]stages!$2:$2,0)-MATCH($D$1,[2]stages!$2:$2,0)+1,FALSE)</f>
        <v>【超級】安多</v>
      </c>
      <c r="G12" s="111">
        <v>1</v>
      </c>
      <c r="H12" s="113" t="str">
        <f t="shared" si="2"/>
        <v>38101_3-1</v>
      </c>
      <c r="I12" s="126">
        <f ca="1">VLOOKUP($H12,OFFSET(floors!$A$1,0,0,COUNTA(floors!$A:$A),MATCH(I$1,floors!$1:$1,0)-MATCH($H$1,floors!$1:$1,0)+1),MATCH(I$1,floors!$1:$1,0)-MATCH($H$1,floors!$1:$1,0)+1,FALSE)</f>
        <v>45</v>
      </c>
      <c r="J12" s="126">
        <f ca="1">VLOOKUP($H12,OFFSET(floors!$A$1,0,0,COUNTA(floors!$A:$A),MATCH(J$1,floors!$1:$1,0)-MATCH($H$1,floors!$1:$1,0)+1),MATCH(J$1,floors!$1:$1,0)-MATCH($H$1,floors!$1:$1,0)+1,FALSE)</f>
        <v>45</v>
      </c>
      <c r="K12" s="114" t="s">
        <v>53</v>
      </c>
      <c r="L12" s="127">
        <v>370</v>
      </c>
      <c r="M12" s="128" t="str">
        <f ca="1">VLOOKUP($L12,OFFSET([3]enemies!$A$1,0,0,COUNTA([3]enemies!$A:$A),MATCH(M$1,[3]enemies!$1:$1,0)-MATCH($L$1,[3]enemies!$1:$1,0)+1),MATCH(M$1,[3]enemies!$1:$1,0)-MATCH($L$1,[3]enemies!$1:$1,0)+1,FALSE)</f>
        <v>タイチ</v>
      </c>
      <c r="N12" s="128" t="str">
        <f ca="1">VLOOKUP($L12,OFFSET([3]enemies!$A$1,0,0,COUNTA([3]enemies!$A:$A),MATCH(N$1,[3]enemies!$1:$1,0)-MATCH($L$1,[3]enemies!$1:$1,0)+1),MATCH(N$1,[3]enemies!$1:$1,0)-MATCH($L$1,[3]enemies!$1:$1,0)+1,FALSE)</f>
        <v>red</v>
      </c>
      <c r="O12" s="128" t="str">
        <f ca="1">VLOOKUP($L12,OFFSET([4]characters!$A$1,0,0,COUNTA([4]characters!$A:$A),MATCH(O$1,[4]characters!$1:$1,0)-MATCH($L$1,[4]characters!$1:$1,0)+1),MATCH(O$1,[4]characters!$1:$1,0)-MATCH($L$1,[4]characters!$1:$1,0)+1,FALSE)</f>
        <v>Drop1S</v>
      </c>
      <c r="P12" s="128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28">
        <f ca="1">VLOOKUP($L12,OFFSET([3]enemies!$A$1,0,0,COUNTA([3]enemies!$A:$A),MATCH(Q$1,[3]enemies!$1:$1,0)-MATCH($L$1,[3]enemies!$1:$1,0)+1),MATCH(Q$1,[3]enemies!$1:$1,0)-MATCH($L$1,[3]enemies!$1:$1,0)+1,FALSE)</f>
        <v>15</v>
      </c>
      <c r="R12" s="129">
        <v>60</v>
      </c>
      <c r="S12" s="130">
        <v>1.2</v>
      </c>
      <c r="T12" s="131">
        <f>12300*S12</f>
        <v>14760</v>
      </c>
      <c r="U12" s="130">
        <v>0.5</v>
      </c>
      <c r="V12" s="131">
        <f>3755*U12</f>
        <v>1877.5</v>
      </c>
      <c r="W12" s="129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2" s="169">
        <v>38101001</v>
      </c>
      <c r="Z12" s="132">
        <v>1</v>
      </c>
      <c r="AA12" s="132">
        <v>100</v>
      </c>
      <c r="AB12" s="132">
        <v>1</v>
      </c>
      <c r="AC12" s="156">
        <v>2</v>
      </c>
      <c r="AD12" s="133">
        <f t="shared" si="3"/>
        <v>370</v>
      </c>
      <c r="AE12" s="126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2" s="126">
        <f ca="1">VLOOKUP($AD12,OFFSET([4]characters!$A$1,0,0,COUNTA([4]characters!$A:$A),MATCH(AF$1,[4]characters!$1:$1,0)-MATCH("character_id",[4]characters!$1:$1,0)+1),MATCH(AF$1,[4]characters!$1:$1,0)-MATCH("character_id",[4]characters!$1:$1,0)+1,FALSE)</f>
        <v>2</v>
      </c>
      <c r="AG12" s="126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Drop1S</v>
      </c>
      <c r="AH12" s="109">
        <v>1</v>
      </c>
      <c r="AI12" s="133">
        <f t="shared" ca="1" si="4"/>
        <v>2</v>
      </c>
      <c r="AJ12" s="134">
        <v>0</v>
      </c>
      <c r="AK12" s="109">
        <v>0</v>
      </c>
      <c r="AL12" s="109">
        <v>0</v>
      </c>
      <c r="AM12" s="109">
        <v>0</v>
      </c>
      <c r="AN12" s="109">
        <v>0</v>
      </c>
      <c r="AO12" s="109">
        <v>1</v>
      </c>
      <c r="AP12" s="135">
        <v>1</v>
      </c>
    </row>
    <row r="13" spans="1:42" ht="21" customHeight="1" x14ac:dyDescent="0.15">
      <c r="A13" s="16" t="str">
        <f t="shared" si="0"/>
        <v>38101_3-1/23&lt;lv60&gt;s1</v>
      </c>
      <c r="B13" s="22">
        <v>38101</v>
      </c>
      <c r="C13" s="21">
        <v>3</v>
      </c>
      <c r="D13" s="2" t="str">
        <f t="shared" si="1"/>
        <v>38101_3</v>
      </c>
      <c r="E13" s="4" t="str">
        <f ca="1">VLOOKUP($B13,OFFSET([2]quests!$A$1,0,0,COUNTA([2]quests!$A:$A),MATCH(E$1,[2]quests!$1:$1,0)-MATCH($B$1,[2]quests!$1:$1,0)+1),MATCH(E$1,[2]quests!$1:$1,0)-MATCH($B$1,[2]quests!$1:$1,0)+1,FALSE)</f>
        <v>安多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【超級】安多</v>
      </c>
      <c r="G13" s="21">
        <v>1</v>
      </c>
      <c r="H13" s="15" t="str">
        <f t="shared" si="2"/>
        <v>38101_3-1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23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ミール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25">
        <v>0.6</v>
      </c>
      <c r="T13" s="100">
        <f>18193*S13</f>
        <v>10915.8</v>
      </c>
      <c r="U13" s="25">
        <v>0.4</v>
      </c>
      <c r="V13" s="100">
        <f>4058*U13</f>
        <v>1623.2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緑パネルを緑の時限式ダメージパネルに2個変換</v>
      </c>
      <c r="Y13" s="168">
        <v>38101002</v>
      </c>
      <c r="Z13" s="6">
        <v>2</v>
      </c>
      <c r="AA13" s="6">
        <v>100</v>
      </c>
      <c r="AB13" s="6">
        <v>0</v>
      </c>
      <c r="AC13" s="157">
        <v>1</v>
      </c>
      <c r="AD13" s="24">
        <f t="shared" si="3"/>
        <v>23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ミール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1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4">
        <f t="shared" ca="1" si="4"/>
        <v>1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5">
        <v>1</v>
      </c>
    </row>
    <row r="14" spans="1:42" ht="21" customHeight="1" x14ac:dyDescent="0.15">
      <c r="A14" s="16" t="str">
        <f t="shared" si="0"/>
        <v>38101_3-2/127&lt;lv60&gt;s2</v>
      </c>
      <c r="B14" s="22">
        <v>38101</v>
      </c>
      <c r="C14" s="21">
        <v>3</v>
      </c>
      <c r="D14" s="2" t="str">
        <f t="shared" si="1"/>
        <v>38101_3</v>
      </c>
      <c r="E14" s="4" t="str">
        <f ca="1">VLOOKUP($B14,OFFSET([2]quests!$A$1,0,0,COUNTA([2]quests!$A:$A),MATCH(E$1,[2]quests!$1:$1,0)-MATCH($B$1,[2]quests!$1:$1,0)+1),MATCH(E$1,[2]quests!$1:$1,0)-MATCH($B$1,[2]quests!$1:$1,0)+1,FALSE)</f>
        <v>安多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【超級】安多</v>
      </c>
      <c r="G14" s="21">
        <v>2</v>
      </c>
      <c r="H14" s="15" t="str">
        <f t="shared" si="2"/>
        <v>38101_3-2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38" t="s">
        <v>53</v>
      </c>
      <c r="L14" s="20">
        <v>127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狂喜の賢者 ユノ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human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60</v>
      </c>
      <c r="S14" s="25">
        <v>0.5</v>
      </c>
      <c r="T14" s="100">
        <f>75153*S14</f>
        <v>37576.5</v>
      </c>
      <c r="U14" s="25">
        <v>0.6</v>
      </c>
      <c r="V14" s="100">
        <f xml:space="preserve"> 4607*U14</f>
        <v>2764.2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あの野郎に狙われたくないならね！_x000D_【1ターン全ユニットのタップ回数を1DOWN】</v>
      </c>
      <c r="Y14" s="168">
        <v>38101003</v>
      </c>
      <c r="Z14" s="6">
        <v>1</v>
      </c>
      <c r="AA14" s="6">
        <v>100</v>
      </c>
      <c r="AB14" s="6">
        <v>0</v>
      </c>
      <c r="AC14" s="157">
        <v>2</v>
      </c>
      <c r="AD14" s="24">
        <f t="shared" si="3"/>
        <v>127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狂喜の賢者 ユノ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4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4" s="7">
        <v>1</v>
      </c>
      <c r="AI14" s="24">
        <f t="shared" ca="1" si="4"/>
        <v>4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5">
        <v>1</v>
      </c>
    </row>
    <row r="15" spans="1:42" ht="21" customHeight="1" x14ac:dyDescent="0.15">
      <c r="A15" s="16" t="str">
        <f t="shared" si="0"/>
        <v>38101_3-2/159&lt;lv60&gt;s1</v>
      </c>
      <c r="B15" s="22">
        <v>38101</v>
      </c>
      <c r="C15" s="21">
        <v>3</v>
      </c>
      <c r="D15" s="2" t="str">
        <f t="shared" si="1"/>
        <v>38101_3</v>
      </c>
      <c r="E15" s="4" t="str">
        <f ca="1">VLOOKUP($B15,OFFSET([2]quests!$A$1,0,0,COUNTA([2]quests!$A:$A),MATCH(E$1,[2]quests!$1:$1,0)-MATCH($B$1,[2]quests!$1:$1,0)+1),MATCH(E$1,[2]quests!$1:$1,0)-MATCH($B$1,[2]quests!$1:$1,0)+1,FALSE)</f>
        <v>安多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【超級】安多</v>
      </c>
      <c r="G15" s="21">
        <v>2</v>
      </c>
      <c r="H15" s="15" t="str">
        <f t="shared" si="2"/>
        <v>38101_3-2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159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邪を狩りし者 シャルロッテ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5">
        <v>0.5</v>
      </c>
      <c r="T15" s="100">
        <f>60123*S15</f>
        <v>30061.5</v>
      </c>
      <c r="U15" s="25">
        <v>0.6</v>
      </c>
      <c r="V15" s="100">
        <f>3685*U15</f>
        <v>2211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単体攻撃+_x000D_黄パネルを青パネルに変換</v>
      </c>
      <c r="Y15" s="168">
        <v>38101004</v>
      </c>
      <c r="Z15" s="6">
        <v>1</v>
      </c>
      <c r="AA15" s="6">
        <v>100</v>
      </c>
      <c r="AB15" s="6">
        <v>1</v>
      </c>
      <c r="AC15" s="172">
        <v>1</v>
      </c>
      <c r="AD15" s="24">
        <f t="shared" si="3"/>
        <v>159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邪を狩りし者 シャルロッテ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4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5" s="7">
        <v>1</v>
      </c>
      <c r="AI15" s="24">
        <f t="shared" ca="1" si="4"/>
        <v>4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5">
        <v>1</v>
      </c>
    </row>
    <row r="16" spans="1:42" ht="21" customHeight="1" x14ac:dyDescent="0.15">
      <c r="A16" s="16" t="str">
        <f t="shared" si="0"/>
        <v>38101_3-3/8138&lt;lv60&gt;s1</v>
      </c>
      <c r="B16" s="22">
        <v>38101</v>
      </c>
      <c r="C16" s="21">
        <v>3</v>
      </c>
      <c r="D16" s="2" t="str">
        <f t="shared" si="1"/>
        <v>38101_3</v>
      </c>
      <c r="E16" s="4" t="str">
        <f ca="1">VLOOKUP($B16,OFFSET([2]quests!$A$1,0,0,COUNTA([2]quests!$A:$A),MATCH(E$1,[2]quests!$1:$1,0)-MATCH($B$1,[2]quests!$1:$1,0)+1),MATCH(E$1,[2]quests!$1:$1,0)-MATCH($B$1,[2]quests!$1:$1,0)+1,FALSE)</f>
        <v>安多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【超級】安多</v>
      </c>
      <c r="G16" s="21">
        <v>3</v>
      </c>
      <c r="H16" s="15" t="str">
        <f t="shared" si="2"/>
        <v>38101_3-3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>
        <v>1</v>
      </c>
      <c r="L16" s="20">
        <v>8138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死靈魔導 ‧ 安多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60</v>
      </c>
      <c r="R16" s="5">
        <v>60</v>
      </c>
      <c r="S16" s="25">
        <v>1</v>
      </c>
      <c r="T16" s="100">
        <f>98277*S16</f>
        <v>98277</v>
      </c>
      <c r="U16" s="25">
        <v>0.4</v>
      </c>
      <c r="V16" s="100">
        <f xml:space="preserve"> 9020*U16</f>
        <v>3608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(表示しない)</v>
      </c>
      <c r="Y16" s="168">
        <v>38101005</v>
      </c>
      <c r="Z16" s="6">
        <v>1</v>
      </c>
      <c r="AA16" s="6">
        <v>100</v>
      </c>
      <c r="AB16" s="171">
        <v>1</v>
      </c>
      <c r="AC16" s="38">
        <v>1</v>
      </c>
      <c r="AD16" s="24">
        <f t="shared" si="3"/>
        <v>8138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死靈魔導 ‧ 安多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5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7">
        <v>1</v>
      </c>
      <c r="AI16" s="24">
        <f t="shared" ca="1" si="4"/>
        <v>5</v>
      </c>
      <c r="AJ16" s="8">
        <v>100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5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K33" sqref="K3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7.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9" t="s">
        <v>257</v>
      </c>
      <c r="V1" s="26" t="s">
        <v>50</v>
      </c>
      <c r="W1" s="99" t="s">
        <v>258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thickBot="1" x14ac:dyDescent="0.2">
      <c r="A2" s="16" t="str">
        <f>B2&amp;"_"&amp;C2&amp;"-"&amp;G2&amp;"/"&amp;M2&amp;"&lt;lv"&amp;S2&amp;"&gt;sq"&amp;K2&amp;"st"&amp;L2</f>
        <v>38101_1-3/8138&lt;lv30&gt;sq1st2</v>
      </c>
      <c r="B2" s="115">
        <v>38101</v>
      </c>
      <c r="C2" s="104">
        <v>1</v>
      </c>
      <c r="D2" s="106" t="str">
        <f>B2&amp;"_"&amp;C2</f>
        <v>38101_1</v>
      </c>
      <c r="E2" s="116" t="str">
        <f ca="1">VLOOKUP($B2,OFFSET([2]quests!$A$1,0,0,COUNTA([2]quests!$A:$A),MATCH(E$1,[2]quests!$1:$1,0)-MATCH($B$1,[2]quests!$1:$1,0)+1),MATCH(E$1,[2]quests!$1:$1,0)-MATCH($B$1,[2]quests!$1:$1,0)+1,FALSE)</f>
        <v>安多</v>
      </c>
      <c r="F2" s="116" t="str">
        <f ca="1">VLOOKUP($D2,OFFSET([2]stages!$A$1,0,0,COUNTA([2]stages!$A:$A),MATCH(F$1,[2]stages!$2:$2,0)-MATCH($D$1,[2]stages!$2:$2,0)+1),MATCH(F$1,[2]stages!$2:$2,0)-MATCH($D$1,[2]stages!$2:$2,0)+1,FALSE)</f>
        <v>【中級】安多</v>
      </c>
      <c r="G2" s="104">
        <v>3</v>
      </c>
      <c r="H2" s="106" t="str">
        <f>B2&amp;"_"&amp;C2&amp;"-"&amp;G2</f>
        <v>38101_1-3</v>
      </c>
      <c r="I2" s="116">
        <f ca="1">VLOOKUP($H2,OFFSET(floors!$A$1,0,0,COUNTA(floors!$A:$A),MATCH(I$1,floors!$1:$1,0)-MATCH($H$1,floors!$1:$1,0)+1),MATCH(I$1,floors!$1:$1,0)-MATCH($H$1,floors!$1:$1,0)+1,FALSE)</f>
        <v>60</v>
      </c>
      <c r="J2" s="116">
        <f ca="1">VLOOKUP($H2,OFFSET(floors!$A$1,0,0,COUNTA(floors!$A:$A),MATCH(J$1,floors!$1:$1,0)-MATCH($H$1,floors!$1:$1,0)+1),MATCH(J$1,floors!$1:$1,0)-MATCH($H$1,floors!$1:$1,0)+1,FALSE)</f>
        <v>60</v>
      </c>
      <c r="K2" s="107">
        <v>1</v>
      </c>
      <c r="L2" s="107">
        <v>2</v>
      </c>
      <c r="M2" s="117">
        <v>8138</v>
      </c>
      <c r="N2" s="118" t="str">
        <f ca="1">VLOOKUP($M2,OFFSET([3]enemies!$A$1,0,0,COUNTA([3]enemies!$A:$A),MATCH(N$1,[3]enemies!$1:$1,0)-MATCH($M$1,[3]enemies!$1:$1,0)+1),MATCH(N$1,[3]enemies!$1:$1,0)-MATCH($M$1,[3]enemies!$1:$1,0)+1,FALSE)</f>
        <v>死靈魔導 ‧ 安多</v>
      </c>
      <c r="O2" s="118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18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18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18">
        <f ca="1">VLOOKUP($M2,OFFSET([3]enemies!$A$1,0,0,COUNTA([3]enemies!$A:$A),MATCH(R$1,[3]enemies!$1:$1,0)-MATCH($M$1,[3]enemies!$1:$1,0)+1),MATCH(R$1,[3]enemies!$1:$1,0)-MATCH($M$1,[3]enemies!$1:$1,0)+1,FALSE)</f>
        <v>60</v>
      </c>
      <c r="S2" s="119">
        <v>30</v>
      </c>
      <c r="T2" s="142">
        <v>1.2</v>
      </c>
      <c r="U2" s="12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142">
        <v>0.4</v>
      </c>
      <c r="W2" s="12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119">
        <v>0</v>
      </c>
      <c r="Y2" s="116" t="e">
        <v>#N/A</v>
      </c>
      <c r="Z2" s="170">
        <v>38101006</v>
      </c>
      <c r="AA2" s="160">
        <v>1</v>
      </c>
    </row>
    <row r="3" spans="1:27" ht="21" customHeight="1" thickBot="1" x14ac:dyDescent="0.2">
      <c r="A3" s="144" t="str">
        <f>B3&amp;"_"&amp;C3&amp;"-"&amp;G3&amp;"/"&amp;M3&amp;"&lt;lv"&amp;S3&amp;"&gt;sq"&amp;K3&amp;"st"&amp;L3</f>
        <v>38101_2-3/8138&lt;lv40&gt;sq1st2</v>
      </c>
      <c r="B3" s="145">
        <v>38101</v>
      </c>
      <c r="C3" s="146">
        <v>2</v>
      </c>
      <c r="D3" s="147" t="str">
        <f>B3&amp;"_"&amp;C3</f>
        <v>38101_2</v>
      </c>
      <c r="E3" s="148" t="str">
        <f ca="1">VLOOKUP($B3,OFFSET([2]quests!$A$1,0,0,COUNTA([2]quests!$A:$A),MATCH(E$1,[2]quests!$1:$1,0)-MATCH($B$1,[2]quests!$1:$1,0)+1),MATCH(E$1,[2]quests!$1:$1,0)-MATCH($B$1,[2]quests!$1:$1,0)+1,FALSE)</f>
        <v>安多</v>
      </c>
      <c r="F3" s="148" t="str">
        <f ca="1">VLOOKUP($D3,OFFSET([2]stages!$A$1,0,0,COUNTA([2]stages!$A:$A),MATCH(F$1,[2]stages!$2:$2,0)-MATCH($D$1,[2]stages!$2:$2,0)+1),MATCH(F$1,[2]stages!$2:$2,0)-MATCH($D$1,[2]stages!$2:$2,0)+1,FALSE)</f>
        <v>【上級】安多</v>
      </c>
      <c r="G3" s="146">
        <v>3</v>
      </c>
      <c r="H3" s="147" t="str">
        <f>B3&amp;"_"&amp;C3&amp;"-"&amp;G3</f>
        <v>38101_2-3</v>
      </c>
      <c r="I3" s="148">
        <f ca="1">VLOOKUP($H3,OFFSET(floors!$A$1,0,0,COUNTA(floors!$A:$A),MATCH(I$1,floors!$1:$1,0)-MATCH($H$1,floors!$1:$1,0)+1),MATCH(I$1,floors!$1:$1,0)-MATCH($H$1,floors!$1:$1,0)+1,FALSE)</f>
        <v>60</v>
      </c>
      <c r="J3" s="148">
        <f ca="1">VLOOKUP($H3,OFFSET(floors!$A$1,0,0,COUNTA(floors!$A:$A),MATCH(J$1,floors!$1:$1,0)-MATCH($H$1,floors!$1:$1,0)+1),MATCH(J$1,floors!$1:$1,0)-MATCH($H$1,floors!$1:$1,0)+1,FALSE)</f>
        <v>60</v>
      </c>
      <c r="K3" s="149">
        <v>1</v>
      </c>
      <c r="L3" s="149">
        <v>2</v>
      </c>
      <c r="M3" s="150">
        <v>8138</v>
      </c>
      <c r="N3" s="151" t="str">
        <f ca="1">VLOOKUP($M3,OFFSET([3]enemies!$A$1,0,0,COUNTA([3]enemies!$A:$A),MATCH(N$1,[3]enemies!$1:$1,0)-MATCH($M$1,[3]enemies!$1:$1,0)+1),MATCH(N$1,[3]enemies!$1:$1,0)-MATCH($M$1,[3]enemies!$1:$1,0)+1,FALSE)</f>
        <v>死靈魔導 ‧ 安多</v>
      </c>
      <c r="O3" s="151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51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51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51">
        <f ca="1">VLOOKUP($M3,OFFSET([3]enemies!$A$1,0,0,COUNTA([3]enemies!$A:$A),MATCH(R$1,[3]enemies!$1:$1,0)-MATCH($M$1,[3]enemies!$1:$1,0)+1),MATCH(R$1,[3]enemies!$1:$1,0)-MATCH($M$1,[3]enemies!$1:$1,0)+1,FALSE)</f>
        <v>60</v>
      </c>
      <c r="S3" s="152">
        <v>40</v>
      </c>
      <c r="T3" s="142">
        <v>1.2</v>
      </c>
      <c r="U3" s="15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142">
        <v>0.4</v>
      </c>
      <c r="W3" s="15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152">
        <v>0</v>
      </c>
      <c r="Y3" s="148" t="e">
        <v>#N/A</v>
      </c>
      <c r="Z3" s="170">
        <v>38101006</v>
      </c>
      <c r="AA3" s="16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38101_3-3/8138&lt;lv60&gt;sq1st2</v>
      </c>
      <c r="B4" s="22">
        <v>38101</v>
      </c>
      <c r="C4" s="137">
        <v>3</v>
      </c>
      <c r="D4" s="138" t="str">
        <f>B4&amp;"_"&amp;C4</f>
        <v>38101_3</v>
      </c>
      <c r="E4" s="4" t="str">
        <f ca="1">VLOOKUP($B4,OFFSET([2]quests!$A$1,0,0,COUNTA([2]quests!$A:$A),MATCH(E$1,[2]quests!$1:$1,0)-MATCH($B$1,[2]quests!$1:$1,0)+1),MATCH(E$1,[2]quests!$1:$1,0)-MATCH($B$1,[2]quests!$1:$1,0)+1,FALSE)</f>
        <v>安多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【超級】安多</v>
      </c>
      <c r="G4" s="137">
        <v>3</v>
      </c>
      <c r="H4" s="138" t="str">
        <f>B4&amp;"_"&amp;C4&amp;"-"&amp;G4</f>
        <v>38101_3-3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39">
        <v>1</v>
      </c>
      <c r="L4" s="139">
        <v>2</v>
      </c>
      <c r="M4" s="140">
        <v>8138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死靈魔導 ‧ 安多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41">
        <v>60</v>
      </c>
      <c r="T4" s="142">
        <v>1.2</v>
      </c>
      <c r="U4" s="14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142">
        <v>0.4</v>
      </c>
      <c r="W4" s="14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141">
        <v>0</v>
      </c>
      <c r="Y4" s="4" t="e">
        <v>#N/A</v>
      </c>
      <c r="Z4" s="170">
        <v>38101006</v>
      </c>
      <c r="AA4" s="157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1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F16" sqref="F16:F3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>B2&amp;"_"&amp;C2</f>
        <v>38101001_38101002</v>
      </c>
      <c r="B2" s="162">
        <v>38101001</v>
      </c>
      <c r="C2" s="162">
        <v>38101002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ヒダルマダ！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162">
        <v>38101002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>B3&amp;"_"&amp;C3</f>
        <v>38101001_38101003</v>
      </c>
      <c r="B3" s="162">
        <v>38101001</v>
      </c>
      <c r="C3" s="162">
        <v>38101003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セメルゾ！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" s="162">
        <v>38101003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ref="A4" si="0">B4&amp;"_"&amp;C4</f>
        <v>38101002_38101001</v>
      </c>
      <c r="B4" s="162">
        <v>38101002</v>
      </c>
      <c r="C4" s="162">
        <v>38101001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旋風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緑パネルを緑の時限式ダメージパネルに2個変換</v>
      </c>
      <c r="F4" s="162">
        <v>38101001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47"/>
      <c r="Q4" s="47"/>
      <c r="R4" s="47"/>
    </row>
    <row r="5" spans="1:18" ht="21" customHeight="1" x14ac:dyDescent="0.15">
      <c r="A5" s="39" t="str">
        <f t="shared" ref="A5:A20" si="1">B5&amp;"_"&amp;C5</f>
        <v>38101003_38101004</v>
      </c>
      <c r="B5" s="162">
        <v>38101003</v>
      </c>
      <c r="C5" s="162">
        <v>38101004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さっさと帰んな！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あの野郎に狙われたくないならね！_x000D_【1ターン全ユニットのタップ回数を1DOWN】</v>
      </c>
      <c r="F5" s="162">
        <v>38101004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38101003_38101005</v>
      </c>
      <c r="B6" s="162">
        <v>38101003</v>
      </c>
      <c r="C6" s="162">
        <v>38101005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安多のお仲間かい…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あいつの覚悟を揺るがせるわけにはいかないよ！_x000D_【1ターン全ユニットのタップ回数を1DOWN】</v>
      </c>
      <c r="F6" s="162">
        <v>38101005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38101003_38101006</v>
      </c>
      <c r="B7" s="162">
        <v>38101003</v>
      </c>
      <c r="C7" s="162">
        <v>38101006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安多のお仲間かい…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あいつの覚悟を揺るがせるわけにはいかないよ！_x000D_【1ターン全ユニットのタップ回数を1DOWN】</v>
      </c>
      <c r="F7" s="162">
        <v>38101006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38101003_38101007</v>
      </c>
      <c r="B8" s="162">
        <v>38101003</v>
      </c>
      <c r="C8" s="162">
        <v>38101007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貧弱だね！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" s="162">
        <v>38101007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1"/>
        <v>38101003_38101008</v>
      </c>
      <c r="B9" s="162">
        <v>38101003</v>
      </c>
      <c r="C9" s="162">
        <v>38101008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ここは通さないよ！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緑パネルをお邪魔パネル2個に変換</v>
      </c>
      <c r="F9" s="162">
        <v>38101008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38101003_38101009</v>
      </c>
      <c r="B10" s="162">
        <v>38101003</v>
      </c>
      <c r="C10" s="162">
        <v>38101009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忠告は聞くもんだよ！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次のターンお邪魔パネルを吸収して強力な全体攻撃</v>
      </c>
      <c r="F10" s="162">
        <v>38101009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38101003_38101010</v>
      </c>
      <c r="B11" s="162">
        <v>38101003</v>
      </c>
      <c r="C11" s="162">
        <v>38101010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噴炎熱破の乱舞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1" s="162">
        <v>38101010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38101004_38101011</v>
      </c>
      <c r="B12" s="162">
        <v>38101004</v>
      </c>
      <c r="C12" s="162">
        <v>38101011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ソウルリープ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単体攻撃+_x000D_黄パネルを青パネルに変換</v>
      </c>
      <c r="F12" s="162">
        <v>38101011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38101004_38101012</v>
      </c>
      <c r="B13" s="162">
        <v>38101004</v>
      </c>
      <c r="C13" s="162">
        <v>38101012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惑いなさい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1ターン暗闇</v>
      </c>
      <c r="F13" s="162">
        <v>38101012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38101005_38101013</v>
      </c>
      <c r="B14" s="162">
        <v>38101005</v>
      </c>
      <c r="C14" s="162">
        <v>38101013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帰って！_x000D_私の邪魔をしないでください！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4" s="162">
        <v>38101013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38101005_38101014</v>
      </c>
      <c r="B15" s="162">
        <v>38101005</v>
      </c>
      <c r="C15" s="162">
        <v>38101014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肖恩、来てしまいましたか…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私の意志は変わりません！君は大人しくしていてください！</v>
      </c>
      <c r="F15" s="162">
        <v>38101014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38101005_38101015</v>
      </c>
      <c r="B16" s="162">
        <v>38101005</v>
      </c>
      <c r="C16" s="162">
        <v>38101015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莫莉、どうして来てしまうのです…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親友の頼みでも聞けません！_x000D_私がやらなければならないのです！</v>
      </c>
      <c r="F16" s="162">
        <v>38101015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38101005_38101016</v>
      </c>
      <c r="B17" s="162">
        <v>38101005</v>
      </c>
      <c r="C17" s="162">
        <v>38101016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ダーク・ボム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" s="162">
        <v>38101016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38101005_38101017</v>
      </c>
      <c r="B18" s="162">
        <v>38101005</v>
      </c>
      <c r="C18" s="162">
        <v>38101017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死霊の腕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赤パネルを赤の時限式ダメージパネルに4個変換</v>
      </c>
      <c r="F18" s="162">
        <v>38101017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38101005_38101018</v>
      </c>
      <c r="B19" s="162">
        <v>38101005</v>
      </c>
      <c r="C19" s="162">
        <v>38101018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あの者は私がなんとかします！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単体攻撃_x000D_+3ターン全ユニットのタップ回数を1DOWN</v>
      </c>
      <c r="F19" s="162">
        <v>38101018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1"/>
        <v>38101005_38101019</v>
      </c>
      <c r="B20" s="162">
        <v>38101005</v>
      </c>
      <c r="C20" s="162">
        <v>38101019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犠牲は少ない方が良いのです！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3回連続攻撃+_x000D_緑パネルを赤パネルに変換</v>
      </c>
      <c r="F20" s="162">
        <v>38101019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27" si="2">B21&amp;"_"&amp;C21</f>
        <v>38101006_38101020</v>
      </c>
      <c r="B21" s="162">
        <v>38101006</v>
      </c>
      <c r="C21" s="162">
        <v>38101020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わかってください！_x000D_君たちを巻き込みたくないのです！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1" s="162">
        <v>38101020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3">B22&amp;"_"&amp;C22</f>
        <v>38101006_38101021</v>
      </c>
      <c r="B22" s="162">
        <v>38101006</v>
      </c>
      <c r="C22" s="162">
        <v>38101021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やっぱり君はしょうがない人です…だからこそ…！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22" s="162">
        <v>38101021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ref="A23" si="4">B23&amp;"_"&amp;C23</f>
        <v>38101006_38101022</v>
      </c>
      <c r="B23" s="162">
        <v>38101006</v>
      </c>
      <c r="C23" s="162">
        <v>38101022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莫莉、お願いです…引いてください…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君には幸せになって欲しいのです…</v>
      </c>
      <c r="F23" s="162">
        <v>38101022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38101006_38101023</v>
      </c>
      <c r="B24" s="162">
        <v>38101006</v>
      </c>
      <c r="C24" s="162">
        <v>38101023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ダーク・ディストーション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4" s="162">
        <v>38101023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38101006_38101024</v>
      </c>
      <c r="B25" s="162">
        <v>38101006</v>
      </c>
      <c r="C25" s="162">
        <v>38101024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死への誘い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赤パネルを赤の時限式ダメージパネルに6個変換</v>
      </c>
      <c r="F25" s="162">
        <v>38101024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2"/>
        <v>38101006_38101025</v>
      </c>
      <c r="B26" s="162">
        <v>38101006</v>
      </c>
      <c r="C26" s="162">
        <v>38101025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ダーク・ミスト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2ターン暗闇</v>
      </c>
      <c r="F26" s="162">
        <v>38101025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38101006_38101026</v>
      </c>
      <c r="B27" s="162">
        <v>38101006</v>
      </c>
      <c r="C27" s="162">
        <v>38101026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もうっ！どうしてわかってくれないんですか！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単体攻撃+_x000D_5ターン全ユニットのタップ回数を1DOWN</v>
      </c>
      <c r="F27" s="162">
        <v>38101026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0" si="5">B28&amp;"_"&amp;C28</f>
        <v>38101006_38101027</v>
      </c>
      <c r="B28" s="162">
        <v>38101006</v>
      </c>
      <c r="C28" s="162">
        <v>38101027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覚悟が揺らいでしまうじゃないですか…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4回連続攻撃+_x000D_黄パネルをハートパネルに変換</v>
      </c>
      <c r="F28" s="162">
        <v>38101027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5"/>
        <v>38101006_38101028</v>
      </c>
      <c r="B29" s="162">
        <v>38101006</v>
      </c>
      <c r="C29" s="162">
        <v>38101028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負けてしまいましたか…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仕方ないですね…一緒に戦いましょう</v>
      </c>
      <c r="F29" s="162">
        <v>38101028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5"/>
        <v>38101006_38101029</v>
      </c>
      <c r="B30" s="162">
        <v>38101006</v>
      </c>
      <c r="C30" s="162">
        <v>38101029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肖恩、君には何を言っても無駄みたいですね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そんな所が…いえ、何でもありません…</v>
      </c>
      <c r="F30" s="162">
        <v>38101029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8134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" si="6">B31&amp;"_"&amp;C31</f>
        <v>38101006_38101030</v>
      </c>
      <c r="B31" s="162">
        <v>38101006</v>
      </c>
      <c r="C31" s="162">
        <v>38101030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やっぱり莫莉には敵いませんね…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こうなったら最後まで付き合ってもらいますよ！</v>
      </c>
      <c r="F31" s="162">
        <v>38101030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8133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1"/>
  <sheetViews>
    <sheetView showGridLines="0" tabSelected="1" workbookViewId="0">
      <pane ySplit="1" topLeftCell="A2" activePane="bottomLeft" state="frozenSplit"/>
      <selection pane="bottomLeft" activeCell="B1" sqref="B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hidden="1" customWidth="1" collapsed="1"/>
    <col min="13" max="18" width="23.6640625" style="49" hidden="1" customWidth="1" outlineLevel="1"/>
    <col min="19" max="19" width="23.6640625" style="49" hidden="1" customWidth="1" collapsed="1"/>
    <col min="20" max="22" width="23.6640625" style="49" hidden="1" customWidth="1" outlineLevel="1"/>
    <col min="23" max="23" width="48" style="49" hidden="1" customWidth="1" outlineLevel="1"/>
    <col min="24" max="24" width="23.6640625" style="49" hidden="1" customWidth="1" outlineLevel="1"/>
    <col min="25" max="25" width="23.6640625" style="49" hidden="1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s="167" customFormat="1" ht="21" customHeight="1" x14ac:dyDescent="0.15">
      <c r="A2" s="162">
        <v>38101001</v>
      </c>
      <c r="B2" s="162" t="s">
        <v>330</v>
      </c>
      <c r="C2" s="165">
        <v>1</v>
      </c>
      <c r="D2" s="165" t="s">
        <v>128</v>
      </c>
      <c r="E2" s="163" t="s">
        <v>297</v>
      </c>
      <c r="F2" s="163" t="s">
        <v>270</v>
      </c>
      <c r="G2" s="163" t="str">
        <f t="shared" ref="G2:G15" si="0">IFERROR(LEFT(B2,FIND("],",B2)),B2)</f>
        <v>[effect:enemy_message, val1:1.2, val2:2.2]</v>
      </c>
      <c r="H2" s="163">
        <f t="shared" ref="H2:H15" si="1">FIND("effect:",G2)+7</f>
        <v>9</v>
      </c>
      <c r="I2" s="163">
        <f t="shared" ref="I2:I15" si="2">IFERROR(FIND(",",G2),LEN(G2))</f>
        <v>22</v>
      </c>
      <c r="J2" s="163" t="e">
        <f t="shared" ref="J2:J15" si="3">FIND("target:",G2)+7</f>
        <v>#VALUE!</v>
      </c>
      <c r="K2" s="163">
        <f t="shared" ref="K2:K15" si="4">FIND(",",G2,I2+1)</f>
        <v>32</v>
      </c>
      <c r="L2" s="163" t="str">
        <f>IFERROR(VLOOKUP(MID(G2,J2,K2-J2),[5]skilldef!$C:$D,2,FALSE),"-") &amp; " / " &amp; IFERROR(VLOOKUP(MID(G2,H2,I2-H2),[5]skilldef!$A:$B,2,FALSE),"-")</f>
        <v>- / -</v>
      </c>
      <c r="M2" s="163" t="str">
        <f t="shared" ref="M2:M15" si="5">IFERROR(RIGHT(B2,LEN(B2)-FIND("],",B2)-1),"none")</f>
        <v>[effect:force_change_block, new_block:time_bomb, target:block_green, color:block_green, count:2, val:0.1, animation:change_block]</v>
      </c>
      <c r="N2" s="162" t="str">
        <f>IFERROR(LEFT(M2,FIND("],",M2)+S5),M2)</f>
        <v>[effect:force_change_block, new_block:time_bomb, target:block_green, color:block_green, count:2, val:0.1, animation:change_block]</v>
      </c>
      <c r="O2" s="163">
        <f t="shared" ref="O2:O15" si="6">FIND("effect:",N2)+7</f>
        <v>9</v>
      </c>
      <c r="P2" s="163">
        <f t="shared" ref="P2:P15" si="7">IFERROR(FIND(",",N2),LEN(N2))</f>
        <v>27</v>
      </c>
      <c r="Q2" s="163">
        <f t="shared" ref="Q2:Q15" si="8">FIND("target:",N2)+7</f>
        <v>57</v>
      </c>
      <c r="R2" s="163">
        <f t="shared" ref="R2:R15" si="9">FIND(",",N2,P2+1)</f>
        <v>48</v>
      </c>
      <c r="S2" s="163" t="str">
        <f>IFERROR(VLOOKUP(MID(N2,Q2,R2-Q2),[5]skilldef!$C:$D,2,FALSE),"-") &amp; " / " &amp; IFERROR(VLOOKUP(MID(N2,O2,P2-O2),[5]skilldef!$A:$B,2,FALSE),"-")</f>
        <v>- / -</v>
      </c>
      <c r="T2" s="162" t="str">
        <f t="shared" ref="T2:T15" si="10">IFERROR(RIGHT(M2,LEN(M2)-FIND("],",M2)-1),"none")</f>
        <v>none</v>
      </c>
      <c r="U2" s="163" t="e">
        <f t="shared" ref="U2:U15" si="11">FIND("effect:",T2)+7</f>
        <v>#VALUE!</v>
      </c>
      <c r="V2" s="163">
        <f t="shared" ref="V2:V15" si="12">IFERROR(FIND(",",T2),LEN(T2))</f>
        <v>4</v>
      </c>
      <c r="W2" s="163" t="e">
        <f t="shared" ref="W2:W15" si="13">FIND("target:",T2)+7</f>
        <v>#VALUE!</v>
      </c>
      <c r="X2" s="163" t="e">
        <f t="shared" ref="X2:X15" si="14">FIND(",",T2,V2+1)</f>
        <v>#VALUE!</v>
      </c>
      <c r="Y2" s="163" t="str">
        <f>IFERROR(VLOOKUP(MID(T2,W2,X2-W2),[5]skilldef!$C:$D,2,FALSE),"-") &amp; " / " &amp; IFERROR(VLOOKUP(MID(T2,U2,V2-U2),[5]skilldef!$A:$B,2,FALSE),"-")</f>
        <v>- / -</v>
      </c>
      <c r="Z2" s="165"/>
      <c r="AA2" s="166"/>
      <c r="AB2" s="165"/>
    </row>
    <row r="3" spans="1:28" s="167" customFormat="1" ht="21" customHeight="1" x14ac:dyDescent="0.15">
      <c r="A3" s="162">
        <v>38101002</v>
      </c>
      <c r="B3" s="162" t="s">
        <v>310</v>
      </c>
      <c r="C3" s="165">
        <v>1</v>
      </c>
      <c r="D3" s="165" t="s">
        <v>128</v>
      </c>
      <c r="E3" s="163" t="s">
        <v>272</v>
      </c>
      <c r="F3" s="163" t="s">
        <v>261</v>
      </c>
      <c r="G3" s="163" t="str">
        <f t="shared" si="0"/>
        <v>[effect:enemy_message, val1:1.2, val2:1.2]</v>
      </c>
      <c r="H3" s="163">
        <f t="shared" si="1"/>
        <v>9</v>
      </c>
      <c r="I3" s="163">
        <f t="shared" si="2"/>
        <v>22</v>
      </c>
      <c r="J3" s="163" t="e">
        <f t="shared" si="3"/>
        <v>#VALUE!</v>
      </c>
      <c r="K3" s="163">
        <f t="shared" si="4"/>
        <v>32</v>
      </c>
      <c r="L3" s="163" t="str">
        <f>IFERROR(VLOOKUP(MID(G3,J3,K3-J3),[5]skilldef!$C:$D,2,FALSE),"-") &amp; " / " &amp; IFERROR(VLOOKUP(MID(G3,H3,I3-H3),[5]skilldef!$A:$B,2,FALSE),"-")</f>
        <v>- / -</v>
      </c>
      <c r="M3" s="163" t="str">
        <f t="shared" si="5"/>
        <v>[effect:critical, val:1.1, animation:enemy_critical]</v>
      </c>
      <c r="N3" s="162" t="str">
        <f>IFERROR(LEFT(M3,FIND("],",M3)+S10),M3)</f>
        <v>[effect:critical, val:1.1, animation:enemy_critical]</v>
      </c>
      <c r="O3" s="163">
        <f t="shared" si="6"/>
        <v>9</v>
      </c>
      <c r="P3" s="163">
        <f t="shared" si="7"/>
        <v>17</v>
      </c>
      <c r="Q3" s="163" t="e">
        <f t="shared" si="8"/>
        <v>#VALUE!</v>
      </c>
      <c r="R3" s="163">
        <f t="shared" si="9"/>
        <v>26</v>
      </c>
      <c r="S3" s="163" t="str">
        <f>IFERROR(VLOOKUP(MID(N3,Q3,R3-Q3),[5]skilldef!$C:$D,2,FALSE),"-") &amp; " / " &amp; IFERROR(VLOOKUP(MID(N3,O3,P3-O3),[5]skilldef!$A:$B,2,FALSE),"-")</f>
        <v>- / 大攻撃</v>
      </c>
      <c r="T3" s="162" t="str">
        <f t="shared" si="10"/>
        <v>none</v>
      </c>
      <c r="U3" s="163" t="e">
        <f t="shared" si="11"/>
        <v>#VALUE!</v>
      </c>
      <c r="V3" s="163">
        <f t="shared" si="12"/>
        <v>4</v>
      </c>
      <c r="W3" s="163" t="e">
        <f t="shared" si="13"/>
        <v>#VALUE!</v>
      </c>
      <c r="X3" s="163" t="e">
        <f t="shared" si="14"/>
        <v>#VALUE!</v>
      </c>
      <c r="Y3" s="163" t="str">
        <f>IFERROR(VLOOKUP(MID(T3,W3,X3-W3),[5]skilldef!$C:$D,2,FALSE),"-") &amp; " / " &amp; IFERROR(VLOOKUP(MID(T3,U3,V3-U3),[5]skilldef!$A:$B,2,FALSE),"-")</f>
        <v>- / -</v>
      </c>
      <c r="Z3" s="165"/>
      <c r="AA3" s="166"/>
      <c r="AB3" s="165"/>
    </row>
    <row r="4" spans="1:28" s="167" customFormat="1" ht="21" customHeight="1" x14ac:dyDescent="0.15">
      <c r="A4" s="162">
        <v>38101003</v>
      </c>
      <c r="B4" s="162" t="s">
        <v>311</v>
      </c>
      <c r="C4" s="165">
        <v>1</v>
      </c>
      <c r="D4" s="165" t="s">
        <v>128</v>
      </c>
      <c r="E4" s="163" t="s">
        <v>273</v>
      </c>
      <c r="F4" s="163" t="s">
        <v>262</v>
      </c>
      <c r="G4" s="163" t="str">
        <f t="shared" si="0"/>
        <v>[effect:enemy_message, val1:1.2, val2:1.2]</v>
      </c>
      <c r="H4" s="163">
        <f t="shared" si="1"/>
        <v>9</v>
      </c>
      <c r="I4" s="163">
        <f t="shared" si="2"/>
        <v>22</v>
      </c>
      <c r="J4" s="163" t="e">
        <f t="shared" si="3"/>
        <v>#VALUE!</v>
      </c>
      <c r="K4" s="163">
        <f t="shared" si="4"/>
        <v>32</v>
      </c>
      <c r="L4" s="163" t="str">
        <f>IFERROR(VLOOKUP(MID(G4,J4,K4-J4),[5]skilldef!$C:$D,2,FALSE),"-") &amp; " / " &amp; IFERROR(VLOOKUP(MID(G4,H4,I4-H4),[5]skilldef!$A:$B,2,FALSE),"-")</f>
        <v>- / -</v>
      </c>
      <c r="M4" s="163" t="str">
        <f t="shared" si="5"/>
        <v>[effect:rush, count:3, val:0.4]</v>
      </c>
      <c r="N4" s="162" t="str">
        <f>IFERROR(LEFT(M4,FIND("],",M4)+S11),M4)</f>
        <v>[effect:rush, count:3, val:0.4]</v>
      </c>
      <c r="O4" s="163">
        <f t="shared" si="6"/>
        <v>9</v>
      </c>
      <c r="P4" s="163">
        <f t="shared" si="7"/>
        <v>13</v>
      </c>
      <c r="Q4" s="163" t="e">
        <f t="shared" si="8"/>
        <v>#VALUE!</v>
      </c>
      <c r="R4" s="163">
        <f t="shared" si="9"/>
        <v>22</v>
      </c>
      <c r="S4" s="163" t="str">
        <f>IFERROR(VLOOKUP(MID(N4,Q4,R4-Q4),[5]skilldef!$C:$D,2,FALSE),"-") &amp; " / " &amp; IFERROR(VLOOKUP(MID(N4,O4,P4-O4),[5]skilldef!$A:$B,2,FALSE),"-")</f>
        <v>- / 連続攻撃</v>
      </c>
      <c r="T4" s="162" t="str">
        <f t="shared" si="10"/>
        <v>none</v>
      </c>
      <c r="U4" s="163" t="e">
        <f t="shared" si="11"/>
        <v>#VALUE!</v>
      </c>
      <c r="V4" s="163">
        <f t="shared" si="12"/>
        <v>4</v>
      </c>
      <c r="W4" s="163" t="e">
        <f t="shared" si="13"/>
        <v>#VALUE!</v>
      </c>
      <c r="X4" s="163" t="e">
        <f t="shared" si="14"/>
        <v>#VALUE!</v>
      </c>
      <c r="Y4" s="163" t="str">
        <f>IFERROR(VLOOKUP(MID(T4,W4,X4-W4),[5]skilldef!$C:$D,2,FALSE),"-") &amp; " / " &amp; IFERROR(VLOOKUP(MID(T4,U4,V4-U4),[5]skilldef!$A:$B,2,FALSE),"-")</f>
        <v>- / -</v>
      </c>
      <c r="Z4" s="165"/>
      <c r="AA4" s="166"/>
      <c r="AB4" s="165"/>
    </row>
    <row r="5" spans="1:28" s="167" customFormat="1" ht="29" customHeight="1" x14ac:dyDescent="0.15">
      <c r="A5" s="162">
        <v>38101004</v>
      </c>
      <c r="B5" s="162" t="s">
        <v>312</v>
      </c>
      <c r="C5" s="165">
        <v>1</v>
      </c>
      <c r="D5" s="165" t="s">
        <v>128</v>
      </c>
      <c r="E5" s="163" t="s">
        <v>276</v>
      </c>
      <c r="F5" s="163" t="s">
        <v>298</v>
      </c>
      <c r="G5" s="163" t="str">
        <f t="shared" si="0"/>
        <v>[effect:enemy_message, val1:1.2, val2:3.9]</v>
      </c>
      <c r="H5" s="163">
        <f t="shared" si="1"/>
        <v>9</v>
      </c>
      <c r="I5" s="163">
        <f t="shared" si="2"/>
        <v>22</v>
      </c>
      <c r="J5" s="163" t="e">
        <f t="shared" si="3"/>
        <v>#VALUE!</v>
      </c>
      <c r="K5" s="163">
        <f t="shared" si="4"/>
        <v>32</v>
      </c>
      <c r="L5" s="163" t="str">
        <f>IFERROR(VLOOKUP(MID(G5,J5,K5-J5),[5]skilldef!$C:$D,2,FALSE),"-") &amp; " / " &amp; IFERROR(VLOOKUP(MID(G5,H5,I5-H5),[5]skilldef!$A:$B,2,FALSE),"-")</f>
        <v>- / -</v>
      </c>
      <c r="M5" s="163" t="str">
        <f t="shared" si="5"/>
        <v>[effect:degrade_unit, target:unit_all, turn:1, status:action, val:1, calc:add, animation:enemy_tap_down]</v>
      </c>
      <c r="N5" s="162" t="str">
        <f>IFERROR(LEFT(M5,FIND("],",M5)+S12),M5)</f>
        <v>[effect:degrade_unit, target:unit_all, turn:1, status:action, val:1, calc:add, animation:enemy_tap_down]</v>
      </c>
      <c r="O5" s="163">
        <f t="shared" si="6"/>
        <v>9</v>
      </c>
      <c r="P5" s="163">
        <f t="shared" si="7"/>
        <v>21</v>
      </c>
      <c r="Q5" s="163">
        <f t="shared" si="8"/>
        <v>30</v>
      </c>
      <c r="R5" s="163">
        <f t="shared" si="9"/>
        <v>38</v>
      </c>
      <c r="S5" s="163" t="str">
        <f>IFERROR(VLOOKUP(MID(N5,Q5,R5-Q5),[5]skilldef!$C:$D,2,FALSE),"-") &amp; " / " &amp; IFERROR(VLOOKUP(MID(N5,O5,P5-O5),[5]skilldef!$A:$B,2,FALSE),"-")</f>
        <v>味方全体に / ステータスDOWN</v>
      </c>
      <c r="T5" s="162" t="str">
        <f t="shared" si="10"/>
        <v>none</v>
      </c>
      <c r="U5" s="163" t="e">
        <f t="shared" si="11"/>
        <v>#VALUE!</v>
      </c>
      <c r="V5" s="163">
        <f t="shared" si="12"/>
        <v>4</v>
      </c>
      <c r="W5" s="163" t="e">
        <f t="shared" si="13"/>
        <v>#VALUE!</v>
      </c>
      <c r="X5" s="163" t="e">
        <f t="shared" si="14"/>
        <v>#VALUE!</v>
      </c>
      <c r="Y5" s="163" t="str">
        <f>IFERROR(VLOOKUP(MID(T5,W5,X5-W5),[5]skilldef!$C:$D,2,FALSE),"-") &amp; " / " &amp; IFERROR(VLOOKUP(MID(T5,U5,V5-U5),[5]skilldef!$A:$B,2,FALSE),"-")</f>
        <v>- / -</v>
      </c>
      <c r="Z5" s="165"/>
      <c r="AA5" s="166"/>
      <c r="AB5" s="165"/>
    </row>
    <row r="6" spans="1:28" s="167" customFormat="1" ht="34" customHeight="1" x14ac:dyDescent="0.15">
      <c r="A6" s="162">
        <v>38101005</v>
      </c>
      <c r="B6" s="162" t="s">
        <v>313</v>
      </c>
      <c r="C6" s="165">
        <v>1</v>
      </c>
      <c r="D6" s="165" t="s">
        <v>128</v>
      </c>
      <c r="E6" s="163" t="s">
        <v>336</v>
      </c>
      <c r="F6" s="163" t="s">
        <v>299</v>
      </c>
      <c r="G6" s="163" t="str">
        <f t="shared" si="0"/>
        <v>[effect:enemy_message, val1:1.2, val2:4.5]</v>
      </c>
      <c r="H6" s="163">
        <f t="shared" si="1"/>
        <v>9</v>
      </c>
      <c r="I6" s="163">
        <f t="shared" si="2"/>
        <v>22</v>
      </c>
      <c r="J6" s="163" t="e">
        <f t="shared" si="3"/>
        <v>#VALUE!</v>
      </c>
      <c r="K6" s="163">
        <f t="shared" si="4"/>
        <v>32</v>
      </c>
      <c r="L6" s="163" t="str">
        <f>IFERROR(VLOOKUP(MID(G6,J6,K6-J6),[5]skilldef!$C:$D,2,FALSE),"-") &amp; " / " &amp; IFERROR(VLOOKUP(MID(G6,H6,I6-H6),[5]skilldef!$A:$B,2,FALSE),"-")</f>
        <v>- / -</v>
      </c>
      <c r="M6" s="163" t="str">
        <f t="shared" si="5"/>
        <v>[effect:degrade_unit, target:unit_all, turn:1, status:action, val:1, calc:add, animation:enemy_tap_down]</v>
      </c>
      <c r="N6" s="162" t="str">
        <f>IFERROR(LEFT(M6,FIND("],",M6)+S13),M6)</f>
        <v>[effect:degrade_unit, target:unit_all, turn:1, status:action, val:1, calc:add, animation:enemy_tap_down]</v>
      </c>
      <c r="O6" s="163">
        <f t="shared" si="6"/>
        <v>9</v>
      </c>
      <c r="P6" s="163">
        <f t="shared" si="7"/>
        <v>21</v>
      </c>
      <c r="Q6" s="163">
        <f t="shared" si="8"/>
        <v>30</v>
      </c>
      <c r="R6" s="163">
        <f t="shared" si="9"/>
        <v>38</v>
      </c>
      <c r="S6" s="163" t="str">
        <f>IFERROR(VLOOKUP(MID(N6,Q6,R6-Q6),[5]skilldef!$C:$D,2,FALSE),"-") &amp; " / " &amp; IFERROR(VLOOKUP(MID(N6,O6,P6-O6),[5]skilldef!$A:$B,2,FALSE),"-")</f>
        <v>味方全体に / ステータスDOWN</v>
      </c>
      <c r="T6" s="162" t="str">
        <f t="shared" si="10"/>
        <v>none</v>
      </c>
      <c r="U6" s="163" t="e">
        <f t="shared" si="11"/>
        <v>#VALUE!</v>
      </c>
      <c r="V6" s="163">
        <f t="shared" si="12"/>
        <v>4</v>
      </c>
      <c r="W6" s="163" t="e">
        <f t="shared" si="13"/>
        <v>#VALUE!</v>
      </c>
      <c r="X6" s="163" t="e">
        <f t="shared" si="14"/>
        <v>#VALUE!</v>
      </c>
      <c r="Y6" s="163" t="str">
        <f>IFERROR(VLOOKUP(MID(T6,W6,X6-W6),[5]skilldef!$C:$D,2,FALSE),"-") &amp; " / " &amp; IFERROR(VLOOKUP(MID(T6,U6,V6-U6),[5]skilldef!$A:$B,2,FALSE),"-")</f>
        <v>- / -</v>
      </c>
      <c r="Z6" s="165"/>
      <c r="AA6" s="166"/>
      <c r="AB6" s="165"/>
    </row>
    <row r="7" spans="1:28" s="167" customFormat="1" ht="56" x14ac:dyDescent="0.15">
      <c r="A7" s="162">
        <v>38101006</v>
      </c>
      <c r="B7" s="162" t="s">
        <v>313</v>
      </c>
      <c r="C7" s="165">
        <v>1</v>
      </c>
      <c r="D7" s="165" t="s">
        <v>128</v>
      </c>
      <c r="E7" s="163" t="s">
        <v>336</v>
      </c>
      <c r="F7" s="163" t="s">
        <v>299</v>
      </c>
      <c r="G7" s="163" t="str">
        <f t="shared" si="0"/>
        <v>[effect:enemy_message, val1:1.2, val2:4.5]</v>
      </c>
      <c r="H7" s="163">
        <f t="shared" si="1"/>
        <v>9</v>
      </c>
      <c r="I7" s="163">
        <f t="shared" si="2"/>
        <v>22</v>
      </c>
      <c r="J7" s="163" t="e">
        <f t="shared" si="3"/>
        <v>#VALUE!</v>
      </c>
      <c r="K7" s="163">
        <f t="shared" si="4"/>
        <v>32</v>
      </c>
      <c r="L7" s="163" t="str">
        <f>IFERROR(VLOOKUP(MID(G7,J7,K7-J7),[5]skilldef!$C:$D,2,FALSE),"-") &amp; " / " &amp; IFERROR(VLOOKUP(MID(G7,H7,I7-H7),[5]skilldef!$A:$B,2,FALSE),"-")</f>
        <v>- / -</v>
      </c>
      <c r="M7" s="163" t="str">
        <f t="shared" si="5"/>
        <v>[effect:degrade_unit, target:unit_all, turn:1, status:action, val:1, calc:add, animation:enemy_tap_down]</v>
      </c>
      <c r="N7" s="162" t="str">
        <f>IFERROR(LEFT(M7,FIND("],",M7)+#REF!),M7)</f>
        <v>[effect:degrade_unit, target:unit_all, turn:1, status:action, val:1, calc:add, animation:enemy_tap_down]</v>
      </c>
      <c r="O7" s="163">
        <f t="shared" si="6"/>
        <v>9</v>
      </c>
      <c r="P7" s="163">
        <f t="shared" si="7"/>
        <v>21</v>
      </c>
      <c r="Q7" s="163">
        <f t="shared" si="8"/>
        <v>30</v>
      </c>
      <c r="R7" s="163">
        <f t="shared" si="9"/>
        <v>38</v>
      </c>
      <c r="S7" s="163" t="str">
        <f>IFERROR(VLOOKUP(MID(N7,Q7,R7-Q7),[5]skilldef!$C:$D,2,FALSE),"-") &amp; " / " &amp; IFERROR(VLOOKUP(MID(N7,O7,P7-O7),[5]skilldef!$A:$B,2,FALSE),"-")</f>
        <v>味方全体に / ステータスDOWN</v>
      </c>
      <c r="T7" s="162" t="str">
        <f t="shared" si="10"/>
        <v>none</v>
      </c>
      <c r="U7" s="163" t="e">
        <f t="shared" si="11"/>
        <v>#VALUE!</v>
      </c>
      <c r="V7" s="163">
        <f t="shared" si="12"/>
        <v>4</v>
      </c>
      <c r="W7" s="163" t="e">
        <f t="shared" si="13"/>
        <v>#VALUE!</v>
      </c>
      <c r="X7" s="163" t="e">
        <f t="shared" si="14"/>
        <v>#VALUE!</v>
      </c>
      <c r="Y7" s="163" t="str">
        <f>IFERROR(VLOOKUP(MID(T7,W7,X7-W7),[5]skilldef!$C:$D,2,FALSE),"-") &amp; " / " &amp; IFERROR(VLOOKUP(MID(T7,U7,V7-U7),[5]skilldef!$A:$B,2,FALSE),"-")</f>
        <v>- / -</v>
      </c>
      <c r="Z7" s="165"/>
      <c r="AA7" s="166"/>
      <c r="AB7" s="165"/>
    </row>
    <row r="8" spans="1:28" s="167" customFormat="1" ht="21" customHeight="1" x14ac:dyDescent="0.15">
      <c r="A8" s="162">
        <v>38101007</v>
      </c>
      <c r="B8" s="162" t="s">
        <v>314</v>
      </c>
      <c r="C8" s="165">
        <v>1</v>
      </c>
      <c r="D8" s="165" t="s">
        <v>128</v>
      </c>
      <c r="E8" s="163" t="s">
        <v>274</v>
      </c>
      <c r="F8" s="163" t="s">
        <v>261</v>
      </c>
      <c r="G8" s="163" t="str">
        <f t="shared" si="0"/>
        <v>[effect:enemy_message, val1:1.2, val2:1.2]</v>
      </c>
      <c r="H8" s="163">
        <f t="shared" si="1"/>
        <v>9</v>
      </c>
      <c r="I8" s="163">
        <f t="shared" si="2"/>
        <v>22</v>
      </c>
      <c r="J8" s="163" t="e">
        <f t="shared" si="3"/>
        <v>#VALUE!</v>
      </c>
      <c r="K8" s="163">
        <f t="shared" si="4"/>
        <v>32</v>
      </c>
      <c r="L8" s="163" t="str">
        <f>IFERROR(VLOOKUP(MID(G8,J8,K8-J8),[5]skilldef!$C:$D,2,FALSE),"-") &amp; " / " &amp; IFERROR(VLOOKUP(MID(G8,H8,I8-H8),[5]skilldef!$A:$B,2,FALSE),"-")</f>
        <v>- / -</v>
      </c>
      <c r="M8" s="163" t="str">
        <f t="shared" si="5"/>
        <v>[effect:critical, val:1.2, animation:enemy_critical]</v>
      </c>
      <c r="N8" s="162" t="str">
        <f>IFERROR(LEFT(M8,FIND("],",M8)+#REF!),M8)</f>
        <v>[effect:critical, val:1.2, animation:enemy_critical]</v>
      </c>
      <c r="O8" s="163">
        <f t="shared" si="6"/>
        <v>9</v>
      </c>
      <c r="P8" s="163">
        <f t="shared" si="7"/>
        <v>17</v>
      </c>
      <c r="Q8" s="163" t="e">
        <f t="shared" si="8"/>
        <v>#VALUE!</v>
      </c>
      <c r="R8" s="163">
        <f t="shared" si="9"/>
        <v>26</v>
      </c>
      <c r="S8" s="163" t="str">
        <f>IFERROR(VLOOKUP(MID(N8,Q8,R8-Q8),[5]skilldef!$C:$D,2,FALSE),"-") &amp; " / " &amp; IFERROR(VLOOKUP(MID(N8,O8,P8-O8),[5]skilldef!$A:$B,2,FALSE),"-")</f>
        <v>- / 大攻撃</v>
      </c>
      <c r="T8" s="162" t="str">
        <f t="shared" si="10"/>
        <v>none</v>
      </c>
      <c r="U8" s="163" t="e">
        <f t="shared" si="11"/>
        <v>#VALUE!</v>
      </c>
      <c r="V8" s="163">
        <f t="shared" si="12"/>
        <v>4</v>
      </c>
      <c r="W8" s="163" t="e">
        <f t="shared" si="13"/>
        <v>#VALUE!</v>
      </c>
      <c r="X8" s="163" t="e">
        <f t="shared" si="14"/>
        <v>#VALUE!</v>
      </c>
      <c r="Y8" s="163" t="str">
        <f>IFERROR(VLOOKUP(MID(T8,W8,X8-W8),[5]skilldef!$C:$D,2,FALSE),"-") &amp; " / " &amp; IFERROR(VLOOKUP(MID(T8,U8,V8-U8),[5]skilldef!$A:$B,2,FALSE),"-")</f>
        <v>- / -</v>
      </c>
      <c r="Z8" s="165"/>
      <c r="AA8" s="166"/>
      <c r="AB8" s="165"/>
    </row>
    <row r="9" spans="1:28" s="167" customFormat="1" ht="21" customHeight="1" x14ac:dyDescent="0.15">
      <c r="A9" s="162">
        <v>38101008</v>
      </c>
      <c r="B9" s="162" t="s">
        <v>315</v>
      </c>
      <c r="C9" s="165">
        <v>1</v>
      </c>
      <c r="D9" s="165" t="s">
        <v>128</v>
      </c>
      <c r="E9" s="163" t="s">
        <v>275</v>
      </c>
      <c r="F9" s="163" t="s">
        <v>263</v>
      </c>
      <c r="G9" s="163" t="str">
        <f t="shared" si="0"/>
        <v>[effect:enemy_message, val1:1.2, val2:1.6]</v>
      </c>
      <c r="H9" s="163">
        <f t="shared" si="1"/>
        <v>9</v>
      </c>
      <c r="I9" s="163">
        <f t="shared" si="2"/>
        <v>22</v>
      </c>
      <c r="J9" s="163" t="e">
        <f t="shared" si="3"/>
        <v>#VALUE!</v>
      </c>
      <c r="K9" s="163">
        <f t="shared" si="4"/>
        <v>32</v>
      </c>
      <c r="L9" s="163" t="str">
        <f>IFERROR(VLOOKUP(MID(G9,J9,K9-J9),[5]skilldef!$C:$D,2,FALSE),"-") &amp; " / " &amp; IFERROR(VLOOKUP(MID(G9,H9,I9-H9),[5]skilldef!$A:$B,2,FALSE),"-")</f>
        <v>- / -</v>
      </c>
      <c r="M9" s="163" t="str">
        <f t="shared" si="5"/>
        <v>[effect:force_change_block, new_block:jammer, target:block_green, count:2, val:0, animation:change_block]</v>
      </c>
      <c r="N9" s="162" t="str">
        <f>IFERROR(LEFT(M9,FIND("],",M9)+#REF!),M9)</f>
        <v>[effect:force_change_block, new_block:jammer, target:block_green, count:2, val:0, animation:change_block]</v>
      </c>
      <c r="O9" s="163">
        <f t="shared" si="6"/>
        <v>9</v>
      </c>
      <c r="P9" s="163">
        <f t="shared" si="7"/>
        <v>27</v>
      </c>
      <c r="Q9" s="163">
        <f t="shared" si="8"/>
        <v>54</v>
      </c>
      <c r="R9" s="163">
        <f t="shared" si="9"/>
        <v>45</v>
      </c>
      <c r="S9" s="163" t="str">
        <f>IFERROR(VLOOKUP(MID(N9,Q9,R9-Q9),[5]skilldef!$C:$D,2,FALSE),"-") &amp; " / " &amp; IFERROR(VLOOKUP(MID(N9,O9,P9-O9),[5]skilldef!$A:$B,2,FALSE),"-")</f>
        <v>- / -</v>
      </c>
      <c r="T9" s="162" t="str">
        <f t="shared" si="10"/>
        <v>none</v>
      </c>
      <c r="U9" s="163" t="e">
        <f t="shared" si="11"/>
        <v>#VALUE!</v>
      </c>
      <c r="V9" s="163">
        <f t="shared" si="12"/>
        <v>4</v>
      </c>
      <c r="W9" s="163" t="e">
        <f t="shared" si="13"/>
        <v>#VALUE!</v>
      </c>
      <c r="X9" s="163" t="e">
        <f t="shared" si="14"/>
        <v>#VALUE!</v>
      </c>
      <c r="Y9" s="163" t="str">
        <f>IFERROR(VLOOKUP(MID(T9,W9,X9-W9),[5]skilldef!$C:$D,2,FALSE),"-") &amp; " / " &amp; IFERROR(VLOOKUP(MID(T9,U9,V9-U9),[5]skilldef!$A:$B,2,FALSE),"-")</f>
        <v>- / -</v>
      </c>
      <c r="Z9" s="165"/>
      <c r="AA9" s="166"/>
      <c r="AB9" s="165"/>
    </row>
    <row r="10" spans="1:28" s="167" customFormat="1" ht="21" customHeight="1" x14ac:dyDescent="0.15">
      <c r="A10" s="162">
        <v>38101009</v>
      </c>
      <c r="B10" s="162" t="s">
        <v>359</v>
      </c>
      <c r="C10" s="165">
        <v>1</v>
      </c>
      <c r="D10" s="165" t="s">
        <v>128</v>
      </c>
      <c r="E10" s="163" t="s">
        <v>279</v>
      </c>
      <c r="F10" s="163" t="s">
        <v>355</v>
      </c>
      <c r="G10" s="163" t="str">
        <f t="shared" si="0"/>
        <v>[effect:enemy_message, val1:1.2, val2:2.3]</v>
      </c>
      <c r="H10" s="163">
        <f t="shared" si="1"/>
        <v>9</v>
      </c>
      <c r="I10" s="163">
        <f t="shared" si="2"/>
        <v>22</v>
      </c>
      <c r="J10" s="163" t="e">
        <f t="shared" si="3"/>
        <v>#VALUE!</v>
      </c>
      <c r="K10" s="163">
        <f t="shared" si="4"/>
        <v>32</v>
      </c>
      <c r="L10" s="163" t="str">
        <f>IFERROR(VLOOKUP(MID(G10,J10,K10-J10),[5]skilldef!$C:$D,2,FALSE),"-") &amp; " / " &amp; IFERROR(VLOOKUP(MID(G10,H10,I10-H10),[5]skilldef!$A:$B,2,FALSE),"-")</f>
        <v>- / -</v>
      </c>
      <c r="M10" s="163" t="str">
        <f t="shared" si="5"/>
        <v>none</v>
      </c>
      <c r="N10" s="162" t="str">
        <f>IFERROR(LEFT(M10,FIND("],",M10)+#REF!),M10)</f>
        <v>none</v>
      </c>
      <c r="O10" s="163" t="e">
        <f t="shared" si="6"/>
        <v>#VALUE!</v>
      </c>
      <c r="P10" s="163">
        <f t="shared" si="7"/>
        <v>4</v>
      </c>
      <c r="Q10" s="163" t="e">
        <f t="shared" si="8"/>
        <v>#VALUE!</v>
      </c>
      <c r="R10" s="163" t="e">
        <f t="shared" si="9"/>
        <v>#VALUE!</v>
      </c>
      <c r="S10" s="163" t="str">
        <f>IFERROR(VLOOKUP(MID(N10,Q10,R10-Q10),[5]skilldef!$C:$D,2,FALSE),"-") &amp; " / " &amp; IFERROR(VLOOKUP(MID(N10,O10,P10-O10),[5]skilldef!$A:$B,2,FALSE),"-")</f>
        <v>- / -</v>
      </c>
      <c r="T10" s="162" t="str">
        <f t="shared" si="10"/>
        <v>none</v>
      </c>
      <c r="U10" s="163" t="e">
        <f t="shared" si="11"/>
        <v>#VALUE!</v>
      </c>
      <c r="V10" s="163">
        <f t="shared" si="12"/>
        <v>4</v>
      </c>
      <c r="W10" s="163" t="e">
        <f t="shared" si="13"/>
        <v>#VALUE!</v>
      </c>
      <c r="X10" s="163" t="e">
        <f t="shared" si="14"/>
        <v>#VALUE!</v>
      </c>
      <c r="Y10" s="163" t="str">
        <f>IFERROR(VLOOKUP(MID(T10,W10,X10-W10),[5]skilldef!$C:$D,2,FALSE),"-") &amp; " / " &amp; IFERROR(VLOOKUP(MID(T10,U10,V10-U10),[5]skilldef!$A:$B,2,FALSE),"-")</f>
        <v>- / -</v>
      </c>
      <c r="Z10" s="165"/>
      <c r="AA10" s="166"/>
      <c r="AB10" s="165"/>
    </row>
    <row r="11" spans="1:28" s="167" customFormat="1" ht="21" customHeight="1" x14ac:dyDescent="0.15">
      <c r="A11" s="162">
        <v>38101010</v>
      </c>
      <c r="B11" s="162" t="s">
        <v>349</v>
      </c>
      <c r="C11" s="165">
        <v>1</v>
      </c>
      <c r="D11" s="165" t="s">
        <v>128</v>
      </c>
      <c r="E11" s="163" t="s">
        <v>277</v>
      </c>
      <c r="F11" s="163" t="s">
        <v>264</v>
      </c>
      <c r="G11" s="163" t="str">
        <f t="shared" si="0"/>
        <v>[effect:enemy_message, val1:1.2, val2:1.5]</v>
      </c>
      <c r="H11" s="163">
        <f t="shared" si="1"/>
        <v>9</v>
      </c>
      <c r="I11" s="163">
        <f t="shared" si="2"/>
        <v>22</v>
      </c>
      <c r="J11" s="163" t="e">
        <f t="shared" si="3"/>
        <v>#VALUE!</v>
      </c>
      <c r="K11" s="163">
        <f t="shared" si="4"/>
        <v>32</v>
      </c>
      <c r="L11" s="163" t="str">
        <f>IFERROR(VLOOKUP(MID(G11,J11,K11-J11),[5]skilldef!$C:$D,2,FALSE),"-") &amp; " / " &amp; IFERROR(VLOOKUP(MID(G11,H11,I11-H11),[5]skilldef!$A:$B,2,FALSE),"-")</f>
        <v>- / -</v>
      </c>
      <c r="M11" s="163" t="str">
        <f t="shared" si="5"/>
        <v>[effect:break_attack, target:unit_all, val:0.02, lowest_val:800, count:-1, block01:jammer]</v>
      </c>
      <c r="N11" s="162" t="str">
        <f>IFERROR(LEFT(M11,FIND("],",M11)+#REF!),M11)</f>
        <v>[effect:break_attack, target:unit_all, val:0.02, lowest_val:800, count:-1, block01:jammer]</v>
      </c>
      <c r="O11" s="163">
        <f t="shared" si="6"/>
        <v>9</v>
      </c>
      <c r="P11" s="163">
        <f t="shared" si="7"/>
        <v>21</v>
      </c>
      <c r="Q11" s="163">
        <f t="shared" si="8"/>
        <v>30</v>
      </c>
      <c r="R11" s="163">
        <f t="shared" si="9"/>
        <v>38</v>
      </c>
      <c r="S11" s="163" t="str">
        <f>IFERROR(VLOOKUP(MID(N11,Q11,R11-Q11),[5]skilldef!$C:$D,2,FALSE),"-") &amp; " / " &amp; IFERROR(VLOOKUP(MID(N11,O11,P11-O11),[5]skilldef!$A:$B,2,FALSE),"-")</f>
        <v>味方全体に / -</v>
      </c>
      <c r="T11" s="162" t="str">
        <f t="shared" si="10"/>
        <v>none</v>
      </c>
      <c r="U11" s="163" t="e">
        <f t="shared" si="11"/>
        <v>#VALUE!</v>
      </c>
      <c r="V11" s="163">
        <f t="shared" si="12"/>
        <v>4</v>
      </c>
      <c r="W11" s="163" t="e">
        <f t="shared" si="13"/>
        <v>#VALUE!</v>
      </c>
      <c r="X11" s="163" t="e">
        <f t="shared" si="14"/>
        <v>#VALUE!</v>
      </c>
      <c r="Y11" s="163" t="str">
        <f>IFERROR(VLOOKUP(MID(T11,W11,X11-W11),[5]skilldef!$C:$D,2,FALSE),"-") &amp; " / " &amp; IFERROR(VLOOKUP(MID(T11,U11,V11-U11),[5]skilldef!$A:$B,2,FALSE),"-")</f>
        <v>- / -</v>
      </c>
      <c r="Z11" s="165"/>
      <c r="AA11" s="166"/>
      <c r="AB11" s="165"/>
    </row>
    <row r="12" spans="1:28" s="167" customFormat="1" ht="70" x14ac:dyDescent="0.15">
      <c r="A12" s="162">
        <v>38101011</v>
      </c>
      <c r="B12" s="162" t="s">
        <v>316</v>
      </c>
      <c r="C12" s="165">
        <v>1</v>
      </c>
      <c r="D12" s="165" t="s">
        <v>128</v>
      </c>
      <c r="E12" s="163" t="s">
        <v>278</v>
      </c>
      <c r="F12" s="163" t="s">
        <v>267</v>
      </c>
      <c r="G12" s="163" t="str">
        <f t="shared" si="0"/>
        <v>[effect:enemy_message, val1:1.2, val2:1.7]</v>
      </c>
      <c r="H12" s="163">
        <f t="shared" si="1"/>
        <v>9</v>
      </c>
      <c r="I12" s="163">
        <f t="shared" si="2"/>
        <v>22</v>
      </c>
      <c r="J12" s="163" t="e">
        <f t="shared" si="3"/>
        <v>#VALUE!</v>
      </c>
      <c r="K12" s="163">
        <f t="shared" si="4"/>
        <v>32</v>
      </c>
      <c r="L12" s="163" t="str">
        <f>IFERROR(VLOOKUP(MID(G12,J12,K12-J12),[5]skilldef!$C:$D,2,FALSE),"-") &amp; " / " &amp; IFERROR(VLOOKUP(MID(G12,H12,I12-H12),[5]skilldef!$A:$B,2,FALSE),"-")</f>
        <v>- / -</v>
      </c>
      <c r="M12" s="163" t="str">
        <f t="shared" si="5"/>
        <v>[effect:rush, count:1, val:1],[effect:force_change_block, new_block:block_blue, target:block_yellow, count:0, val:0, animation:change_block]</v>
      </c>
      <c r="N12" s="162" t="str">
        <f>IFERROR(LEFT(M12,FIND("],",M12)+S14),M12)</f>
        <v>[effect:rush, count:1, val:1],[effect:force_change_block, new_block:block_blue, target:block_yellow, count:0, val:0, animation:change_block]</v>
      </c>
      <c r="O12" s="163">
        <f t="shared" si="6"/>
        <v>9</v>
      </c>
      <c r="P12" s="163">
        <f t="shared" si="7"/>
        <v>13</v>
      </c>
      <c r="Q12" s="163">
        <f t="shared" si="8"/>
        <v>88</v>
      </c>
      <c r="R12" s="163">
        <f t="shared" si="9"/>
        <v>22</v>
      </c>
      <c r="S12" s="163" t="str">
        <f>IFERROR(VLOOKUP(MID(N12,Q12,R12-Q12),[5]skilldef!$C:$D,2,FALSE),"-") &amp; " / " &amp; IFERROR(VLOOKUP(MID(N12,O12,P12-O12),[5]skilldef!$A:$B,2,FALSE),"-")</f>
        <v>- / 連続攻撃</v>
      </c>
      <c r="T12" s="162" t="str">
        <f t="shared" si="10"/>
        <v>[effect:force_change_block, new_block:block_blue, target:block_yellow, count:0, val:0, animation:change_block]</v>
      </c>
      <c r="U12" s="163">
        <f t="shared" si="11"/>
        <v>9</v>
      </c>
      <c r="V12" s="163">
        <f t="shared" si="12"/>
        <v>27</v>
      </c>
      <c r="W12" s="163">
        <f t="shared" si="13"/>
        <v>58</v>
      </c>
      <c r="X12" s="163">
        <f t="shared" si="14"/>
        <v>49</v>
      </c>
      <c r="Y12" s="163" t="str">
        <f>IFERROR(VLOOKUP(MID(T12,W12,X12-W12),[5]skilldef!$C:$D,2,FALSE),"-") &amp; " / " &amp; IFERROR(VLOOKUP(MID(T12,U12,V12-U12),[5]skilldef!$A:$B,2,FALSE),"-")</f>
        <v>- / -</v>
      </c>
      <c r="Z12" s="165"/>
      <c r="AA12" s="166"/>
      <c r="AB12" s="165"/>
    </row>
    <row r="13" spans="1:28" s="167" customFormat="1" ht="21" customHeight="1" x14ac:dyDescent="0.15">
      <c r="A13" s="162">
        <v>38101012</v>
      </c>
      <c r="B13" s="162" t="s">
        <v>317</v>
      </c>
      <c r="C13" s="165">
        <v>1</v>
      </c>
      <c r="D13" s="165" t="s">
        <v>128</v>
      </c>
      <c r="E13" s="163" t="s">
        <v>292</v>
      </c>
      <c r="F13" s="163" t="s">
        <v>265</v>
      </c>
      <c r="G13" s="163" t="str">
        <f t="shared" si="0"/>
        <v>[effect:enemy_message, val1:1.2, val2:1.2]</v>
      </c>
      <c r="H13" s="163">
        <f t="shared" si="1"/>
        <v>9</v>
      </c>
      <c r="I13" s="163">
        <f t="shared" si="2"/>
        <v>22</v>
      </c>
      <c r="J13" s="163" t="e">
        <f t="shared" si="3"/>
        <v>#VALUE!</v>
      </c>
      <c r="K13" s="163">
        <f t="shared" si="4"/>
        <v>32</v>
      </c>
      <c r="L13" s="163" t="str">
        <f>IFERROR(VLOOKUP(MID(G13,J13,K13-J13),[5]skilldef!$C:$D,2,FALSE),"-") &amp; " / " &amp; IFERROR(VLOOKUP(MID(G13,H13,I13-H13),[5]skilldef!$A:$B,2,FALSE),"-")</f>
        <v>- / -</v>
      </c>
      <c r="M13" s="163" t="str">
        <f t="shared" si="5"/>
        <v>[effect:dark, target:unit_all, turn:1, animation:enemy_dark]</v>
      </c>
      <c r="N13" s="162" t="str">
        <f>IFERROR(LEFT(M13,FIND("],",M13)+S15),M13)</f>
        <v>[effect:dark, target:unit_all, turn:1, animation:enemy_dark]</v>
      </c>
      <c r="O13" s="163">
        <f t="shared" si="6"/>
        <v>9</v>
      </c>
      <c r="P13" s="163">
        <f t="shared" si="7"/>
        <v>13</v>
      </c>
      <c r="Q13" s="163">
        <f t="shared" si="8"/>
        <v>22</v>
      </c>
      <c r="R13" s="163">
        <f t="shared" si="9"/>
        <v>30</v>
      </c>
      <c r="S13" s="163" t="str">
        <f>IFERROR(VLOOKUP(MID(N13,Q13,R13-Q13),[5]skilldef!$C:$D,2,FALSE),"-") &amp; " / " &amp; IFERROR(VLOOKUP(MID(N13,O13,P13-O13),[5]skilldef!$A:$B,2,FALSE),"-")</f>
        <v>味方全体に / 暗黒</v>
      </c>
      <c r="T13" s="162" t="str">
        <f t="shared" si="10"/>
        <v>none</v>
      </c>
      <c r="U13" s="163" t="e">
        <f t="shared" si="11"/>
        <v>#VALUE!</v>
      </c>
      <c r="V13" s="163">
        <f t="shared" si="12"/>
        <v>4</v>
      </c>
      <c r="W13" s="163" t="e">
        <f t="shared" si="13"/>
        <v>#VALUE!</v>
      </c>
      <c r="X13" s="163" t="e">
        <f t="shared" si="14"/>
        <v>#VALUE!</v>
      </c>
      <c r="Y13" s="163" t="str">
        <f>IFERROR(VLOOKUP(MID(T13,W13,X13-W13),[5]skilldef!$C:$D,2,FALSE),"-") &amp; " / " &amp; IFERROR(VLOOKUP(MID(T13,U13,V13-U13),[5]skilldef!$A:$B,2,FALSE),"-")</f>
        <v>- / -</v>
      </c>
      <c r="Z13" s="165"/>
      <c r="AA13" s="166"/>
      <c r="AB13" s="165"/>
    </row>
    <row r="14" spans="1:28" s="167" customFormat="1" ht="39" customHeight="1" x14ac:dyDescent="0.15">
      <c r="A14" s="162">
        <v>38101013</v>
      </c>
      <c r="B14" s="162" t="s">
        <v>318</v>
      </c>
      <c r="C14" s="165">
        <v>1</v>
      </c>
      <c r="D14" s="165" t="s">
        <v>128</v>
      </c>
      <c r="E14" s="163" t="s">
        <v>304</v>
      </c>
      <c r="F14" s="163" t="s">
        <v>294</v>
      </c>
      <c r="G14" s="163" t="str">
        <f t="shared" si="0"/>
        <v>[effect:enemy_message, val1:1.8, val2:0.0]</v>
      </c>
      <c r="H14" s="163">
        <f t="shared" si="1"/>
        <v>9</v>
      </c>
      <c r="I14" s="163">
        <f t="shared" si="2"/>
        <v>22</v>
      </c>
      <c r="J14" s="163" t="e">
        <f t="shared" si="3"/>
        <v>#VALUE!</v>
      </c>
      <c r="K14" s="163">
        <f t="shared" si="4"/>
        <v>32</v>
      </c>
      <c r="L14" s="163" t="str">
        <f>IFERROR(VLOOKUP(MID(G14,J14,K14-J14),[5]skilldef!$C:$D,2,FALSE),"-") &amp; " / " &amp; IFERROR(VLOOKUP(MID(G14,H14,I14-H14),[5]skilldef!$A:$B,2,FALSE),"-")</f>
        <v>- / -</v>
      </c>
      <c r="M14" s="163" t="str">
        <f t="shared" si="5"/>
        <v>none</v>
      </c>
      <c r="N14" s="162" t="str">
        <f t="shared" ref="N14" si="15">IFERROR(LEFT(M14,FIND("],",M14)+S21),M14)</f>
        <v>none</v>
      </c>
      <c r="O14" s="163" t="e">
        <f t="shared" si="6"/>
        <v>#VALUE!</v>
      </c>
      <c r="P14" s="163">
        <f t="shared" si="7"/>
        <v>4</v>
      </c>
      <c r="Q14" s="163" t="e">
        <f t="shared" si="8"/>
        <v>#VALUE!</v>
      </c>
      <c r="R14" s="163" t="e">
        <f t="shared" si="9"/>
        <v>#VALUE!</v>
      </c>
      <c r="S14" s="163" t="str">
        <f>IFERROR(VLOOKUP(MID(N14,Q14,R14-Q14),[5]skilldef!$C:$D,2,FALSE),"-") &amp; " / " &amp; IFERROR(VLOOKUP(MID(N14,O14,P14-O14),[5]skilldef!$A:$B,2,FALSE),"-")</f>
        <v>- / -</v>
      </c>
      <c r="T14" s="162" t="str">
        <f t="shared" si="10"/>
        <v>none</v>
      </c>
      <c r="U14" s="163" t="e">
        <f t="shared" si="11"/>
        <v>#VALUE!</v>
      </c>
      <c r="V14" s="163">
        <f t="shared" si="12"/>
        <v>4</v>
      </c>
      <c r="W14" s="163" t="e">
        <f t="shared" si="13"/>
        <v>#VALUE!</v>
      </c>
      <c r="X14" s="163" t="e">
        <f t="shared" si="14"/>
        <v>#VALUE!</v>
      </c>
      <c r="Y14" s="163" t="str">
        <f>IFERROR(VLOOKUP(MID(T14,W14,X14-W14),[5]skilldef!$C:$D,2,FALSE),"-") &amp; " / " &amp; IFERROR(VLOOKUP(MID(T14,U14,V14-U14),[5]skilldef!$A:$B,2,FALSE),"-")</f>
        <v>- / -</v>
      </c>
      <c r="Z14" s="165"/>
      <c r="AA14" s="166"/>
      <c r="AB14" s="165"/>
    </row>
    <row r="15" spans="1:28" s="167" customFormat="1" ht="43" customHeight="1" x14ac:dyDescent="0.15">
      <c r="A15" s="162">
        <v>38101014</v>
      </c>
      <c r="B15" s="162" t="s">
        <v>361</v>
      </c>
      <c r="C15" s="165">
        <v>1</v>
      </c>
      <c r="D15" s="165" t="s">
        <v>128</v>
      </c>
      <c r="E15" s="163" t="s">
        <v>347</v>
      </c>
      <c r="F15" s="163" t="s">
        <v>307</v>
      </c>
      <c r="G15" s="163" t="str">
        <f t="shared" si="0"/>
        <v>[effect:enemy_message, val1:1.3, val2:2.7]</v>
      </c>
      <c r="H15" s="163">
        <f t="shared" si="1"/>
        <v>9</v>
      </c>
      <c r="I15" s="163">
        <f t="shared" si="2"/>
        <v>22</v>
      </c>
      <c r="J15" s="163" t="e">
        <f t="shared" si="3"/>
        <v>#VALUE!</v>
      </c>
      <c r="K15" s="163">
        <f t="shared" si="4"/>
        <v>32</v>
      </c>
      <c r="L15" s="163" t="str">
        <f>IFERROR(VLOOKUP(MID(G15,J15,K15-J15),[5]skilldef!$C:$D,2,FALSE),"-") &amp; " / " &amp; IFERROR(VLOOKUP(MID(G15,H15,I15-H15),[5]skilldef!$A:$B,2,FALSE),"-")</f>
        <v>- / -</v>
      </c>
      <c r="M15" s="163" t="str">
        <f t="shared" si="5"/>
        <v>none</v>
      </c>
      <c r="N15" s="162" t="str">
        <f>IFERROR(LEFT(M15,FIND("],",M15)+#REF!),M15)</f>
        <v>none</v>
      </c>
      <c r="O15" s="163" t="e">
        <f t="shared" si="6"/>
        <v>#VALUE!</v>
      </c>
      <c r="P15" s="163">
        <f t="shared" si="7"/>
        <v>4</v>
      </c>
      <c r="Q15" s="163" t="e">
        <f t="shared" si="8"/>
        <v>#VALUE!</v>
      </c>
      <c r="R15" s="163" t="e">
        <f t="shared" si="9"/>
        <v>#VALUE!</v>
      </c>
      <c r="S15" s="163" t="str">
        <f>IFERROR(VLOOKUP(MID(N15,Q15,R15-Q15),[5]skilldef!$C:$D,2,FALSE),"-") &amp; " / " &amp; IFERROR(VLOOKUP(MID(N15,O15,P15-O15),[5]skilldef!$A:$B,2,FALSE),"-")</f>
        <v>- / -</v>
      </c>
      <c r="T15" s="162" t="str">
        <f t="shared" si="10"/>
        <v>none</v>
      </c>
      <c r="U15" s="163" t="e">
        <f t="shared" si="11"/>
        <v>#VALUE!</v>
      </c>
      <c r="V15" s="163">
        <f t="shared" si="12"/>
        <v>4</v>
      </c>
      <c r="W15" s="163" t="e">
        <f t="shared" si="13"/>
        <v>#VALUE!</v>
      </c>
      <c r="X15" s="163" t="e">
        <f t="shared" si="14"/>
        <v>#VALUE!</v>
      </c>
      <c r="Y15" s="163" t="str">
        <f>IFERROR(VLOOKUP(MID(T15,W15,X15-W15),[5]skilldef!$C:$D,2,FALSE),"-") &amp; " / " &amp; IFERROR(VLOOKUP(MID(T15,U15,V15-U15),[5]skilldef!$A:$B,2,FALSE),"-")</f>
        <v>- / -</v>
      </c>
      <c r="Z15" s="165"/>
      <c r="AA15" s="166"/>
      <c r="AB15" s="165"/>
    </row>
    <row r="16" spans="1:28" s="167" customFormat="1" ht="59" customHeight="1" x14ac:dyDescent="0.15">
      <c r="A16" s="162">
        <v>38101015</v>
      </c>
      <c r="B16" s="162" t="s">
        <v>362</v>
      </c>
      <c r="C16" s="165">
        <v>1</v>
      </c>
      <c r="D16" s="165" t="s">
        <v>128</v>
      </c>
      <c r="E16" s="163" t="s">
        <v>345</v>
      </c>
      <c r="F16" s="163" t="s">
        <v>305</v>
      </c>
      <c r="G16" s="163" t="str">
        <f t="shared" ref="G16:G28" si="16">IFERROR(LEFT(B16,FIND("],",B16)),B16)</f>
        <v>[effect:enemy_message, val1:1.6, val2:2.9]</v>
      </c>
      <c r="H16" s="163">
        <f t="shared" ref="H16:H28" si="17">FIND("effect:",G16)+7</f>
        <v>9</v>
      </c>
      <c r="I16" s="163">
        <f t="shared" ref="I16:I28" si="18">IFERROR(FIND(",",G16),LEN(G16))</f>
        <v>22</v>
      </c>
      <c r="J16" s="163" t="e">
        <f t="shared" ref="J16:J28" si="19">FIND("target:",G16)+7</f>
        <v>#VALUE!</v>
      </c>
      <c r="K16" s="163">
        <f t="shared" ref="K16:K28" si="20">FIND(",",G16,I16+1)</f>
        <v>32</v>
      </c>
      <c r="L16" s="163" t="str">
        <f>IFERROR(VLOOKUP(MID(G16,J16,K16-J16),[5]skilldef!$C:$D,2,FALSE),"-") &amp; " / " &amp; IFERROR(VLOOKUP(MID(G16,H16,I16-H16),[5]skilldef!$A:$B,2,FALSE),"-")</f>
        <v>- / -</v>
      </c>
      <c r="M16" s="163" t="str">
        <f t="shared" ref="M16:M28" si="21">IFERROR(RIGHT(B16,LEN(B16)-FIND("],",B16)-1),"none")</f>
        <v>none</v>
      </c>
      <c r="N16" s="162" t="str">
        <f>IFERROR(LEFT(M16,FIND("],",M16)+#REF!),M16)</f>
        <v>none</v>
      </c>
      <c r="O16" s="163" t="e">
        <f t="shared" ref="O16:O28" si="22">FIND("effect:",N16)+7</f>
        <v>#VALUE!</v>
      </c>
      <c r="P16" s="163">
        <f t="shared" ref="P16:P28" si="23">IFERROR(FIND(",",N16),LEN(N16))</f>
        <v>4</v>
      </c>
      <c r="Q16" s="163" t="e">
        <f t="shared" ref="Q16:Q28" si="24">FIND("target:",N16)+7</f>
        <v>#VALUE!</v>
      </c>
      <c r="R16" s="163" t="e">
        <f t="shared" ref="R16:R28" si="25">FIND(",",N16,P16+1)</f>
        <v>#VALUE!</v>
      </c>
      <c r="S16" s="163" t="str">
        <f>IFERROR(VLOOKUP(MID(N16,Q16,R16-Q16),[5]skilldef!$C:$D,2,FALSE),"-") &amp; " / " &amp; IFERROR(VLOOKUP(MID(N16,O16,P16-O16),[5]skilldef!$A:$B,2,FALSE),"-")</f>
        <v>- / -</v>
      </c>
      <c r="T16" s="162" t="str">
        <f t="shared" ref="T16:T28" si="26">IFERROR(RIGHT(M16,LEN(M16)-FIND("],",M16)-1),"none")</f>
        <v>none</v>
      </c>
      <c r="U16" s="163" t="e">
        <f t="shared" ref="U16:U28" si="27">FIND("effect:",T16)+7</f>
        <v>#VALUE!</v>
      </c>
      <c r="V16" s="163">
        <f t="shared" ref="V16:V28" si="28">IFERROR(FIND(",",T16),LEN(T16))</f>
        <v>4</v>
      </c>
      <c r="W16" s="163" t="e">
        <f t="shared" ref="W16:W28" si="29">FIND("target:",T16)+7</f>
        <v>#VALUE!</v>
      </c>
      <c r="X16" s="163" t="e">
        <f t="shared" ref="X16:X28" si="30">FIND(",",T16,V16+1)</f>
        <v>#VALUE!</v>
      </c>
      <c r="Y16" s="163" t="str">
        <f>IFERROR(VLOOKUP(MID(T16,W16,X16-W16),[5]skilldef!$C:$D,2,FALSE),"-") &amp; " / " &amp; IFERROR(VLOOKUP(MID(T16,U16,V16-U16),[5]skilldef!$A:$B,2,FALSE),"-")</f>
        <v>- / -</v>
      </c>
      <c r="Z16" s="165"/>
      <c r="AA16" s="166"/>
      <c r="AB16" s="165"/>
    </row>
    <row r="17" spans="1:28" s="167" customFormat="1" ht="34" customHeight="1" x14ac:dyDescent="0.15">
      <c r="A17" s="162">
        <v>38101016</v>
      </c>
      <c r="B17" s="162" t="s">
        <v>319</v>
      </c>
      <c r="C17" s="165">
        <v>1</v>
      </c>
      <c r="D17" s="165" t="s">
        <v>128</v>
      </c>
      <c r="E17" s="163" t="s">
        <v>282</v>
      </c>
      <c r="F17" s="163" t="s">
        <v>266</v>
      </c>
      <c r="G17" s="163" t="str">
        <f t="shared" si="16"/>
        <v>[effect:enemy_message, val1:1.2, val2:1.2]</v>
      </c>
      <c r="H17" s="163">
        <f t="shared" si="17"/>
        <v>9</v>
      </c>
      <c r="I17" s="163">
        <f t="shared" si="18"/>
        <v>22</v>
      </c>
      <c r="J17" s="163" t="e">
        <f t="shared" si="19"/>
        <v>#VALUE!</v>
      </c>
      <c r="K17" s="163">
        <f t="shared" si="20"/>
        <v>32</v>
      </c>
      <c r="L17" s="163" t="str">
        <f>IFERROR(VLOOKUP(MID(G17,J17,K17-J17),[5]skilldef!$C:$D,2,FALSE),"-") &amp; " / " &amp; IFERROR(VLOOKUP(MID(G17,H17,I17-H17),[5]skilldef!$A:$B,2,FALSE),"-")</f>
        <v>- / -</v>
      </c>
      <c r="M17" s="163" t="str">
        <f t="shared" si="21"/>
        <v>[effect:spread, val:0.25]</v>
      </c>
      <c r="N17" s="162" t="str">
        <f>IFERROR(LEFT(M17,FIND("],",M17)+S24),M17)</f>
        <v>[effect:spread, val:0.25]</v>
      </c>
      <c r="O17" s="163">
        <f t="shared" si="22"/>
        <v>9</v>
      </c>
      <c r="P17" s="163">
        <f t="shared" si="23"/>
        <v>15</v>
      </c>
      <c r="Q17" s="163" t="e">
        <f t="shared" si="24"/>
        <v>#VALUE!</v>
      </c>
      <c r="R17" s="163" t="e">
        <f t="shared" si="25"/>
        <v>#VALUE!</v>
      </c>
      <c r="S17" s="163" t="str">
        <f>IFERROR(VLOOKUP(MID(N17,Q17,R17-Q17),[5]skilldef!$C:$D,2,FALSE),"-") &amp; " / " &amp; IFERROR(VLOOKUP(MID(N17,O17,P17-O17),[5]skilldef!$A:$B,2,FALSE),"-")</f>
        <v>- / 全体攻撃</v>
      </c>
      <c r="T17" s="162" t="str">
        <f t="shared" si="26"/>
        <v>none</v>
      </c>
      <c r="U17" s="163" t="e">
        <f t="shared" si="27"/>
        <v>#VALUE!</v>
      </c>
      <c r="V17" s="163">
        <f t="shared" si="28"/>
        <v>4</v>
      </c>
      <c r="W17" s="163" t="e">
        <f t="shared" si="29"/>
        <v>#VALUE!</v>
      </c>
      <c r="X17" s="163" t="e">
        <f t="shared" si="30"/>
        <v>#VALUE!</v>
      </c>
      <c r="Y17" s="163" t="str">
        <f>IFERROR(VLOOKUP(MID(T17,W17,X17-W17),[5]skilldef!$C:$D,2,FALSE),"-") &amp; " / " &amp; IFERROR(VLOOKUP(MID(T17,U17,V17-U17),[5]skilldef!$A:$B,2,FALSE),"-")</f>
        <v>- / -</v>
      </c>
      <c r="Z17" s="165"/>
      <c r="AA17" s="166"/>
      <c r="AB17" s="165"/>
    </row>
    <row r="18" spans="1:28" s="167" customFormat="1" ht="40" customHeight="1" x14ac:dyDescent="0.15">
      <c r="A18" s="162">
        <v>38101017</v>
      </c>
      <c r="B18" s="162" t="s">
        <v>320</v>
      </c>
      <c r="C18" s="165">
        <v>1</v>
      </c>
      <c r="D18" s="165" t="s">
        <v>128</v>
      </c>
      <c r="E18" s="163" t="s">
        <v>281</v>
      </c>
      <c r="F18" s="163" t="s">
        <v>293</v>
      </c>
      <c r="G18" s="163" t="str">
        <f t="shared" si="16"/>
        <v>[effect:enemy_message, val1:1.2, val2:2.2]</v>
      </c>
      <c r="H18" s="163">
        <f t="shared" si="17"/>
        <v>9</v>
      </c>
      <c r="I18" s="163">
        <f t="shared" si="18"/>
        <v>22</v>
      </c>
      <c r="J18" s="163" t="e">
        <f t="shared" si="19"/>
        <v>#VALUE!</v>
      </c>
      <c r="K18" s="163">
        <f t="shared" si="20"/>
        <v>32</v>
      </c>
      <c r="L18" s="163" t="str">
        <f>IFERROR(VLOOKUP(MID(G18,J18,K18-J18),[5]skilldef!$C:$D,2,FALSE),"-") &amp; " / " &amp; IFERROR(VLOOKUP(MID(G18,H18,I18-H18),[5]skilldef!$A:$B,2,FALSE),"-")</f>
        <v>- / -</v>
      </c>
      <c r="M18" s="163" t="str">
        <f t="shared" si="21"/>
        <v>[effect:force_change_block, new_block:time_bomb, target:block_red, color:block_red, count:4, val:0.15, animation:change_block]</v>
      </c>
      <c r="N18" s="162" t="str">
        <f>IFERROR(LEFT(M18,FIND("],",M18)+S25),M18)</f>
        <v>[effect:force_change_block, new_block:time_bomb, target:block_red, color:block_red, count:4, val:0.15, animation:change_block]</v>
      </c>
      <c r="O18" s="163">
        <f t="shared" si="22"/>
        <v>9</v>
      </c>
      <c r="P18" s="163">
        <f t="shared" si="23"/>
        <v>27</v>
      </c>
      <c r="Q18" s="163">
        <f t="shared" si="24"/>
        <v>57</v>
      </c>
      <c r="R18" s="163">
        <f t="shared" si="25"/>
        <v>48</v>
      </c>
      <c r="S18" s="163" t="str">
        <f>IFERROR(VLOOKUP(MID(N18,Q18,R18-Q18),[5]skilldef!$C:$D,2,FALSE),"-") &amp; " / " &amp; IFERROR(VLOOKUP(MID(N18,O18,P18-O18),[5]skilldef!$A:$B,2,FALSE),"-")</f>
        <v>- / -</v>
      </c>
      <c r="T18" s="162" t="str">
        <f t="shared" si="26"/>
        <v>none</v>
      </c>
      <c r="U18" s="163" t="e">
        <f t="shared" si="27"/>
        <v>#VALUE!</v>
      </c>
      <c r="V18" s="163">
        <f t="shared" si="28"/>
        <v>4</v>
      </c>
      <c r="W18" s="163" t="e">
        <f t="shared" si="29"/>
        <v>#VALUE!</v>
      </c>
      <c r="X18" s="163" t="e">
        <f t="shared" si="30"/>
        <v>#VALUE!</v>
      </c>
      <c r="Y18" s="163" t="str">
        <f>IFERROR(VLOOKUP(MID(T18,W18,X18-W18),[5]skilldef!$C:$D,2,FALSE),"-") &amp; " / " &amp; IFERROR(VLOOKUP(MID(T18,U18,V18-U18),[5]skilldef!$A:$B,2,FALSE),"-")</f>
        <v>- / -</v>
      </c>
      <c r="Z18" s="165"/>
      <c r="AA18" s="166"/>
      <c r="AB18" s="165"/>
    </row>
    <row r="19" spans="1:28" s="167" customFormat="1" ht="70" x14ac:dyDescent="0.15">
      <c r="A19" s="162">
        <v>38101018</v>
      </c>
      <c r="B19" s="162" t="s">
        <v>321</v>
      </c>
      <c r="C19" s="165">
        <v>1</v>
      </c>
      <c r="D19" s="165" t="s">
        <v>128</v>
      </c>
      <c r="E19" s="163" t="s">
        <v>329</v>
      </c>
      <c r="F19" s="163" t="s">
        <v>302</v>
      </c>
      <c r="G19" s="163" t="str">
        <f t="shared" si="16"/>
        <v>[effect:enemy_message, val1:1.5, val2:2.6]</v>
      </c>
      <c r="H19" s="163">
        <f t="shared" si="17"/>
        <v>9</v>
      </c>
      <c r="I19" s="163">
        <f t="shared" si="18"/>
        <v>22</v>
      </c>
      <c r="J19" s="163" t="e">
        <f t="shared" si="19"/>
        <v>#VALUE!</v>
      </c>
      <c r="K19" s="163">
        <f t="shared" si="20"/>
        <v>32</v>
      </c>
      <c r="L19" s="163" t="str">
        <f>IFERROR(VLOOKUP(MID(G19,J19,K19-J19),[5]skilldef!$C:$D,2,FALSE),"-") &amp; " / " &amp; IFERROR(VLOOKUP(MID(G19,H19,I19-H19),[5]skilldef!$A:$B,2,FALSE),"-")</f>
        <v>- / -</v>
      </c>
      <c r="M19" s="163" t="str">
        <f t="shared" si="21"/>
        <v>[effect:rush, count:1, val:1],[effect:degrade_unit, target:unit_all, turn:3, status:action, val:1, calc:add, animation:enemy_tap_down]</v>
      </c>
      <c r="N19" s="162" t="str">
        <f>IFERROR(LEFT(M19,FIND("],",M19)+S26),M19)</f>
        <v>[effect:rush, count:1, val:1],[effect:degrade_unit, target:unit_all, turn:3, status:action, val:1, calc:add, animation:enemy_tap_down]</v>
      </c>
      <c r="O19" s="163">
        <f t="shared" si="22"/>
        <v>9</v>
      </c>
      <c r="P19" s="163">
        <f t="shared" si="23"/>
        <v>13</v>
      </c>
      <c r="Q19" s="163">
        <f t="shared" si="24"/>
        <v>60</v>
      </c>
      <c r="R19" s="163">
        <f t="shared" si="25"/>
        <v>22</v>
      </c>
      <c r="S19" s="163" t="str">
        <f>IFERROR(VLOOKUP(MID(N19,Q19,R19-Q19),[5]skilldef!$C:$D,2,FALSE),"-") &amp; " / " &amp; IFERROR(VLOOKUP(MID(N19,O19,P19-O19),[5]skilldef!$A:$B,2,FALSE),"-")</f>
        <v>- / 連続攻撃</v>
      </c>
      <c r="T19" s="162" t="str">
        <f t="shared" si="26"/>
        <v>[effect:degrade_unit, target:unit_all, turn:3, status:action, val:1, calc:add, animation:enemy_tap_down]</v>
      </c>
      <c r="U19" s="163">
        <f t="shared" si="27"/>
        <v>9</v>
      </c>
      <c r="V19" s="163">
        <f t="shared" si="28"/>
        <v>21</v>
      </c>
      <c r="W19" s="163">
        <f t="shared" si="29"/>
        <v>30</v>
      </c>
      <c r="X19" s="163">
        <f t="shared" si="30"/>
        <v>38</v>
      </c>
      <c r="Y19" s="163" t="str">
        <f>IFERROR(VLOOKUP(MID(T19,W19,X19-W19),[5]skilldef!$C:$D,2,FALSE),"-") &amp; " / " &amp; IFERROR(VLOOKUP(MID(T19,U19,V19-U19),[5]skilldef!$A:$B,2,FALSE),"-")</f>
        <v>味方全体に / ステータスDOWN</v>
      </c>
      <c r="Z19" s="165"/>
      <c r="AA19" s="166"/>
      <c r="AB19" s="165"/>
    </row>
    <row r="20" spans="1:28" s="167" customFormat="1" ht="70" x14ac:dyDescent="0.15">
      <c r="A20" s="162">
        <v>38101019</v>
      </c>
      <c r="B20" s="162" t="s">
        <v>322</v>
      </c>
      <c r="C20" s="165">
        <v>1</v>
      </c>
      <c r="D20" s="165" t="s">
        <v>128</v>
      </c>
      <c r="E20" s="163" t="s">
        <v>286</v>
      </c>
      <c r="F20" s="163" t="s">
        <v>268</v>
      </c>
      <c r="G20" s="163" t="str">
        <f t="shared" si="16"/>
        <v>[effect:enemy_message, val1:1.4, val2:1.9]</v>
      </c>
      <c r="H20" s="163">
        <f t="shared" si="17"/>
        <v>9</v>
      </c>
      <c r="I20" s="163">
        <f t="shared" si="18"/>
        <v>22</v>
      </c>
      <c r="J20" s="163" t="e">
        <f t="shared" si="19"/>
        <v>#VALUE!</v>
      </c>
      <c r="K20" s="163">
        <f t="shared" si="20"/>
        <v>32</v>
      </c>
      <c r="L20" s="163" t="str">
        <f>IFERROR(VLOOKUP(MID(G20,J20,K20-J20),[5]skilldef!$C:$D,2,FALSE),"-") &amp; " / " &amp; IFERROR(VLOOKUP(MID(G20,H20,I20-H20),[5]skilldef!$A:$B,2,FALSE),"-")</f>
        <v>- / -</v>
      </c>
      <c r="M20" s="163" t="str">
        <f t="shared" si="21"/>
        <v>[effect:rush, count:3, val:0.4],[effect:force_change_block, new_block:block_red, target:block_green, count:0, val:0,  animation:change_block]</v>
      </c>
      <c r="N20" s="162" t="str">
        <f>IFERROR(LEFT(M20,FIND("],",M20)+S27),M20)</f>
        <v>[effect:rush, count:3, val:0.4],[effect:force_change_block, new_block:block_red, target:block_green, count:0, val:0,  animation:change_block]</v>
      </c>
      <c r="O20" s="163">
        <f t="shared" si="22"/>
        <v>9</v>
      </c>
      <c r="P20" s="163">
        <f t="shared" si="23"/>
        <v>13</v>
      </c>
      <c r="Q20" s="163">
        <f t="shared" si="24"/>
        <v>89</v>
      </c>
      <c r="R20" s="163">
        <f t="shared" si="25"/>
        <v>22</v>
      </c>
      <c r="S20" s="163" t="str">
        <f>IFERROR(VLOOKUP(MID(N20,Q20,R20-Q20),[5]skilldef!$C:$D,2,FALSE),"-") &amp; " / " &amp; IFERROR(VLOOKUP(MID(N20,O20,P20-O20),[5]skilldef!$A:$B,2,FALSE),"-")</f>
        <v>- / 連続攻撃</v>
      </c>
      <c r="T20" s="162" t="str">
        <f t="shared" si="26"/>
        <v>[effect:force_change_block, new_block:block_red, target:block_green, count:0, val:0,  animation:change_block]</v>
      </c>
      <c r="U20" s="163">
        <f t="shared" si="27"/>
        <v>9</v>
      </c>
      <c r="V20" s="163">
        <f t="shared" si="28"/>
        <v>27</v>
      </c>
      <c r="W20" s="163">
        <f t="shared" si="29"/>
        <v>57</v>
      </c>
      <c r="X20" s="163">
        <f t="shared" si="30"/>
        <v>48</v>
      </c>
      <c r="Y20" s="163" t="str">
        <f>IFERROR(VLOOKUP(MID(T20,W20,X20-W20),[5]skilldef!$C:$D,2,FALSE),"-") &amp; " / " &amp; IFERROR(VLOOKUP(MID(T20,U20,V20-U20),[5]skilldef!$A:$B,2,FALSE),"-")</f>
        <v>- / -</v>
      </c>
      <c r="Z20" s="165"/>
      <c r="AA20" s="166"/>
      <c r="AB20" s="165"/>
    </row>
    <row r="21" spans="1:28" s="167" customFormat="1" ht="42" x14ac:dyDescent="0.15">
      <c r="A21" s="162">
        <v>38101020</v>
      </c>
      <c r="B21" s="162" t="s">
        <v>323</v>
      </c>
      <c r="C21" s="165">
        <v>1</v>
      </c>
      <c r="D21" s="165" t="s">
        <v>128</v>
      </c>
      <c r="E21" s="163" t="s">
        <v>280</v>
      </c>
      <c r="F21" s="163" t="s">
        <v>296</v>
      </c>
      <c r="G21" s="163" t="str">
        <f t="shared" si="16"/>
        <v>[effect:enemy_message, val1:2.5, val2:0.0]</v>
      </c>
      <c r="H21" s="163">
        <f t="shared" si="17"/>
        <v>9</v>
      </c>
      <c r="I21" s="163">
        <f t="shared" si="18"/>
        <v>22</v>
      </c>
      <c r="J21" s="163" t="e">
        <f t="shared" si="19"/>
        <v>#VALUE!</v>
      </c>
      <c r="K21" s="163">
        <f t="shared" si="20"/>
        <v>32</v>
      </c>
      <c r="L21" s="163" t="str">
        <f>IFERROR(VLOOKUP(MID(G21,J21,K21-J21),[5]skilldef!$C:$D,2,FALSE),"-") &amp; " / " &amp; IFERROR(VLOOKUP(MID(G21,H21,I21-H21),[5]skilldef!$A:$B,2,FALSE),"-")</f>
        <v>- / -</v>
      </c>
      <c r="M21" s="163" t="str">
        <f t="shared" si="21"/>
        <v>none</v>
      </c>
      <c r="N21" s="162" t="str">
        <f>IFERROR(LEFT(M21,FIND("],",M21)+S29),M21)</f>
        <v>none</v>
      </c>
      <c r="O21" s="163" t="e">
        <f t="shared" si="22"/>
        <v>#VALUE!</v>
      </c>
      <c r="P21" s="163">
        <f t="shared" si="23"/>
        <v>4</v>
      </c>
      <c r="Q21" s="163" t="e">
        <f t="shared" si="24"/>
        <v>#VALUE!</v>
      </c>
      <c r="R21" s="163" t="e">
        <f t="shared" si="25"/>
        <v>#VALUE!</v>
      </c>
      <c r="S21" s="163" t="str">
        <f>IFERROR(VLOOKUP(MID(N21,Q21,R21-Q21),[5]skilldef!$C:$D,2,FALSE),"-") &amp; " / " &amp; IFERROR(VLOOKUP(MID(N21,O21,P21-O21),[5]skilldef!$A:$B,2,FALSE),"-")</f>
        <v>- / -</v>
      </c>
      <c r="T21" s="162" t="str">
        <f t="shared" si="26"/>
        <v>none</v>
      </c>
      <c r="U21" s="163" t="e">
        <f t="shared" si="27"/>
        <v>#VALUE!</v>
      </c>
      <c r="V21" s="163">
        <f t="shared" si="28"/>
        <v>4</v>
      </c>
      <c r="W21" s="163" t="e">
        <f t="shared" si="29"/>
        <v>#VALUE!</v>
      </c>
      <c r="X21" s="163" t="e">
        <f t="shared" si="30"/>
        <v>#VALUE!</v>
      </c>
      <c r="Y21" s="163" t="str">
        <f>IFERROR(VLOOKUP(MID(T21,W21,X21-W21),[5]skilldef!$C:$D,2,FALSE),"-") &amp; " / " &amp; IFERROR(VLOOKUP(MID(T21,U21,V21-U21),[5]skilldef!$A:$B,2,FALSE),"-")</f>
        <v>- / -</v>
      </c>
      <c r="Z21" s="165"/>
      <c r="AA21" s="166"/>
      <c r="AB21" s="165"/>
    </row>
    <row r="22" spans="1:28" s="167" customFormat="1" ht="62" customHeight="1" x14ac:dyDescent="0.15">
      <c r="A22" s="162">
        <v>38101021</v>
      </c>
      <c r="B22" s="162" t="s">
        <v>324</v>
      </c>
      <c r="C22" s="165">
        <v>1</v>
      </c>
      <c r="D22" s="165" t="s">
        <v>128</v>
      </c>
      <c r="E22" s="163" t="s">
        <v>309</v>
      </c>
      <c r="F22" s="163" t="s">
        <v>295</v>
      </c>
      <c r="G22" s="163" t="str">
        <f t="shared" ref="G22" si="31">IFERROR(LEFT(B22,FIND("],",B22)),B22)</f>
        <v>[effect:enemy_message, val1:2.3, val2:0.0]</v>
      </c>
      <c r="H22" s="163">
        <f t="shared" ref="H22" si="32">FIND("effect:",G22)+7</f>
        <v>9</v>
      </c>
      <c r="I22" s="163">
        <f t="shared" ref="I22" si="33">IFERROR(FIND(",",G22),LEN(G22))</f>
        <v>22</v>
      </c>
      <c r="J22" s="163" t="e">
        <f t="shared" ref="J22" si="34">FIND("target:",G22)+7</f>
        <v>#VALUE!</v>
      </c>
      <c r="K22" s="163">
        <f t="shared" ref="K22" si="35">FIND(",",G22,I22+1)</f>
        <v>32</v>
      </c>
      <c r="L22" s="163" t="str">
        <f>IFERROR(VLOOKUP(MID(G22,J22,K22-J22),[5]skilldef!$C:$D,2,FALSE),"-") &amp; " / " &amp; IFERROR(VLOOKUP(MID(G22,H22,I22-H22),[5]skilldef!$A:$B,2,FALSE),"-")</f>
        <v>- / -</v>
      </c>
      <c r="M22" s="163" t="str">
        <f t="shared" ref="M22" si="36">IFERROR(RIGHT(B22,LEN(B22)-FIND("],",B22)-1),"none")</f>
        <v>none</v>
      </c>
      <c r="N22" s="162" t="str">
        <f>IFERROR(LEFT(M22,FIND("],",M22)+S30),M22)</f>
        <v>none</v>
      </c>
      <c r="O22" s="163" t="e">
        <f t="shared" ref="O22" si="37">FIND("effect:",N22)+7</f>
        <v>#VALUE!</v>
      </c>
      <c r="P22" s="163">
        <f t="shared" ref="P22" si="38">IFERROR(FIND(",",N22),LEN(N22))</f>
        <v>4</v>
      </c>
      <c r="Q22" s="163" t="e">
        <f t="shared" ref="Q22" si="39">FIND("target:",N22)+7</f>
        <v>#VALUE!</v>
      </c>
      <c r="R22" s="163" t="e">
        <f t="shared" ref="R22" si="40">FIND(",",N22,P22+1)</f>
        <v>#VALUE!</v>
      </c>
      <c r="S22" s="163" t="str">
        <f>IFERROR(VLOOKUP(MID(N22,Q22,R22-Q22),[5]skilldef!$C:$D,2,FALSE),"-") &amp; " / " &amp; IFERROR(VLOOKUP(MID(N22,O22,P22-O22),[5]skilldef!$A:$B,2,FALSE),"-")</f>
        <v>- / -</v>
      </c>
      <c r="T22" s="162" t="str">
        <f t="shared" ref="T22" si="41">IFERROR(RIGHT(M22,LEN(M22)-FIND("],",M22)-1),"none")</f>
        <v>none</v>
      </c>
      <c r="U22" s="163" t="e">
        <f t="shared" ref="U22" si="42">FIND("effect:",T22)+7</f>
        <v>#VALUE!</v>
      </c>
      <c r="V22" s="163">
        <f t="shared" ref="V22" si="43">IFERROR(FIND(",",T22),LEN(T22))</f>
        <v>4</v>
      </c>
      <c r="W22" s="163" t="e">
        <f t="shared" ref="W22" si="44">FIND("target:",T22)+7</f>
        <v>#VALUE!</v>
      </c>
      <c r="X22" s="163" t="e">
        <f t="shared" ref="X22" si="45">FIND(",",T22,V22+1)</f>
        <v>#VALUE!</v>
      </c>
      <c r="Y22" s="163" t="str">
        <f>IFERROR(VLOOKUP(MID(T22,W22,X22-W22),[5]skilldef!$C:$D,2,FALSE),"-") &amp; " / " &amp; IFERROR(VLOOKUP(MID(T22,U22,V22-U22),[5]skilldef!$A:$B,2,FALSE),"-")</f>
        <v>- / -</v>
      </c>
      <c r="Z22" s="165"/>
      <c r="AA22" s="166"/>
      <c r="AB22" s="165"/>
    </row>
    <row r="23" spans="1:28" s="167" customFormat="1" ht="45" customHeight="1" x14ac:dyDescent="0.15">
      <c r="A23" s="162">
        <v>38101022</v>
      </c>
      <c r="B23" s="162" t="s">
        <v>363</v>
      </c>
      <c r="C23" s="165">
        <v>1</v>
      </c>
      <c r="D23" s="165" t="s">
        <v>128</v>
      </c>
      <c r="E23" s="163" t="s">
        <v>343</v>
      </c>
      <c r="F23" s="163" t="s">
        <v>306</v>
      </c>
      <c r="G23" s="163" t="str">
        <f t="shared" ref="G23" si="46">IFERROR(LEFT(B23,FIND("],",B23)),B23)</f>
        <v>[effect:enemy_message, val1:1.7, val2:1.6]</v>
      </c>
      <c r="H23" s="163">
        <f t="shared" ref="H23" si="47">FIND("effect:",G23)+7</f>
        <v>9</v>
      </c>
      <c r="I23" s="163">
        <f t="shared" ref="I23" si="48">IFERROR(FIND(",",G23),LEN(G23))</f>
        <v>22</v>
      </c>
      <c r="J23" s="163" t="e">
        <f t="shared" ref="J23" si="49">FIND("target:",G23)+7</f>
        <v>#VALUE!</v>
      </c>
      <c r="K23" s="163">
        <f t="shared" ref="K23" si="50">FIND(",",G23,I23+1)</f>
        <v>32</v>
      </c>
      <c r="L23" s="163" t="str">
        <f>IFERROR(VLOOKUP(MID(G23,J23,K23-J23),[5]skilldef!$C:$D,2,FALSE),"-") &amp; " / " &amp; IFERROR(VLOOKUP(MID(G23,H23,I23-H23),[5]skilldef!$A:$B,2,FALSE),"-")</f>
        <v>- / -</v>
      </c>
      <c r="M23" s="163" t="str">
        <f t="shared" ref="M23" si="51">IFERROR(RIGHT(B23,LEN(B23)-FIND("],",B23)-1),"none")</f>
        <v>none</v>
      </c>
      <c r="N23" s="162" t="str">
        <f>IFERROR(LEFT(M23,FIND("],",M23)+S31),M23)</f>
        <v>none</v>
      </c>
      <c r="O23" s="163" t="e">
        <f t="shared" ref="O23" si="52">FIND("effect:",N23)+7</f>
        <v>#VALUE!</v>
      </c>
      <c r="P23" s="163">
        <f t="shared" ref="P23" si="53">IFERROR(FIND(",",N23),LEN(N23))</f>
        <v>4</v>
      </c>
      <c r="Q23" s="163" t="e">
        <f t="shared" ref="Q23" si="54">FIND("target:",N23)+7</f>
        <v>#VALUE!</v>
      </c>
      <c r="R23" s="163" t="e">
        <f t="shared" ref="R23" si="55">FIND(",",N23,P23+1)</f>
        <v>#VALUE!</v>
      </c>
      <c r="S23" s="163" t="str">
        <f>IFERROR(VLOOKUP(MID(N23,Q23,R23-Q23),[5]skilldef!$C:$D,2,FALSE),"-") &amp; " / " &amp; IFERROR(VLOOKUP(MID(N23,O23,P23-O23),[5]skilldef!$A:$B,2,FALSE),"-")</f>
        <v>- / -</v>
      </c>
      <c r="T23" s="162" t="str">
        <f t="shared" ref="T23" si="56">IFERROR(RIGHT(M23,LEN(M23)-FIND("],",M23)-1),"none")</f>
        <v>none</v>
      </c>
      <c r="U23" s="163" t="e">
        <f t="shared" ref="U23" si="57">FIND("effect:",T23)+7</f>
        <v>#VALUE!</v>
      </c>
      <c r="V23" s="163">
        <f t="shared" ref="V23" si="58">IFERROR(FIND(",",T23),LEN(T23))</f>
        <v>4</v>
      </c>
      <c r="W23" s="163" t="e">
        <f t="shared" ref="W23" si="59">FIND("target:",T23)+7</f>
        <v>#VALUE!</v>
      </c>
      <c r="X23" s="163" t="e">
        <f t="shared" ref="X23" si="60">FIND(",",T23,V23+1)</f>
        <v>#VALUE!</v>
      </c>
      <c r="Y23" s="163" t="str">
        <f>IFERROR(VLOOKUP(MID(T23,W23,X23-W23),[5]skilldef!$C:$D,2,FALSE),"-") &amp; " / " &amp; IFERROR(VLOOKUP(MID(T23,U23,V23-U23),[5]skilldef!$A:$B,2,FALSE),"-")</f>
        <v>- / -</v>
      </c>
      <c r="Z23" s="165"/>
      <c r="AA23" s="166"/>
      <c r="AB23" s="165"/>
    </row>
    <row r="24" spans="1:28" s="167" customFormat="1" ht="21" customHeight="1" x14ac:dyDescent="0.15">
      <c r="A24" s="162">
        <v>38101023</v>
      </c>
      <c r="B24" s="162" t="s">
        <v>311</v>
      </c>
      <c r="C24" s="165">
        <v>1</v>
      </c>
      <c r="D24" s="165" t="s">
        <v>128</v>
      </c>
      <c r="E24" s="163" t="s">
        <v>283</v>
      </c>
      <c r="F24" s="163" t="s">
        <v>308</v>
      </c>
      <c r="G24" s="163" t="str">
        <f t="shared" si="16"/>
        <v>[effect:enemy_message, val1:1.2, val2:1.2]</v>
      </c>
      <c r="H24" s="163">
        <f t="shared" si="17"/>
        <v>9</v>
      </c>
      <c r="I24" s="163">
        <f t="shared" si="18"/>
        <v>22</v>
      </c>
      <c r="J24" s="163" t="e">
        <f t="shared" si="19"/>
        <v>#VALUE!</v>
      </c>
      <c r="K24" s="163">
        <f t="shared" si="20"/>
        <v>32</v>
      </c>
      <c r="L24" s="163" t="str">
        <f>IFERROR(VLOOKUP(MID(G24,J24,K24-J24),[5]skilldef!$C:$D,2,FALSE),"-") &amp; " / " &amp; IFERROR(VLOOKUP(MID(G24,H24,I24-H24),[5]skilldef!$A:$B,2,FALSE),"-")</f>
        <v>- / -</v>
      </c>
      <c r="M24" s="163" t="str">
        <f t="shared" si="21"/>
        <v>[effect:rush, count:3, val:0.4]</v>
      </c>
      <c r="N24" s="162" t="str">
        <f t="shared" ref="N24:N28" si="61">IFERROR(LEFT(M24,FIND("],",M24)+S32),M24)</f>
        <v>[effect:rush, count:3, val:0.4]</v>
      </c>
      <c r="O24" s="163">
        <f t="shared" si="22"/>
        <v>9</v>
      </c>
      <c r="P24" s="163">
        <f t="shared" si="23"/>
        <v>13</v>
      </c>
      <c r="Q24" s="163" t="e">
        <f t="shared" si="24"/>
        <v>#VALUE!</v>
      </c>
      <c r="R24" s="163">
        <f t="shared" si="25"/>
        <v>22</v>
      </c>
      <c r="S24" s="163" t="str">
        <f>IFERROR(VLOOKUP(MID(N24,Q24,R24-Q24),[5]skilldef!$C:$D,2,FALSE),"-") &amp; " / " &amp; IFERROR(VLOOKUP(MID(N24,O24,P24-O24),[5]skilldef!$A:$B,2,FALSE),"-")</f>
        <v>- / 連続攻撃</v>
      </c>
      <c r="T24" s="162" t="str">
        <f t="shared" si="26"/>
        <v>none</v>
      </c>
      <c r="U24" s="163" t="e">
        <f t="shared" si="27"/>
        <v>#VALUE!</v>
      </c>
      <c r="V24" s="163">
        <f t="shared" si="28"/>
        <v>4</v>
      </c>
      <c r="W24" s="163" t="e">
        <f t="shared" si="29"/>
        <v>#VALUE!</v>
      </c>
      <c r="X24" s="163" t="e">
        <f t="shared" si="30"/>
        <v>#VALUE!</v>
      </c>
      <c r="Y24" s="163" t="str">
        <f>IFERROR(VLOOKUP(MID(T24,W24,X24-W24),[5]skilldef!$C:$D,2,FALSE),"-") &amp; " / " &amp; IFERROR(VLOOKUP(MID(T24,U24,V24-U24),[5]skilldef!$A:$B,2,FALSE),"-")</f>
        <v>- / -</v>
      </c>
      <c r="Z24" s="165"/>
      <c r="AA24" s="166"/>
      <c r="AB24" s="165"/>
    </row>
    <row r="25" spans="1:28" s="167" customFormat="1" ht="40" customHeight="1" x14ac:dyDescent="0.15">
      <c r="A25" s="162">
        <v>38101024</v>
      </c>
      <c r="B25" s="162" t="s">
        <v>325</v>
      </c>
      <c r="C25" s="165">
        <v>1</v>
      </c>
      <c r="D25" s="165" t="s">
        <v>128</v>
      </c>
      <c r="E25" s="163" t="s">
        <v>284</v>
      </c>
      <c r="F25" s="163" t="s">
        <v>271</v>
      </c>
      <c r="G25" s="163" t="str">
        <f t="shared" si="16"/>
        <v>[effect:enemy_message, val1:1.2, val2:2.2]</v>
      </c>
      <c r="H25" s="163">
        <f t="shared" si="17"/>
        <v>9</v>
      </c>
      <c r="I25" s="163">
        <f t="shared" si="18"/>
        <v>22</v>
      </c>
      <c r="J25" s="163" t="e">
        <f t="shared" si="19"/>
        <v>#VALUE!</v>
      </c>
      <c r="K25" s="163">
        <f t="shared" si="20"/>
        <v>32</v>
      </c>
      <c r="L25" s="163" t="str">
        <f>IFERROR(VLOOKUP(MID(G25,J25,K25-J25),[5]skilldef!$C:$D,2,FALSE),"-") &amp; " / " &amp; IFERROR(VLOOKUP(MID(G25,H25,I25-H25),[5]skilldef!$A:$B,2,FALSE),"-")</f>
        <v>- / -</v>
      </c>
      <c r="M25" s="163" t="str">
        <f t="shared" si="21"/>
        <v>[effect:force_change_block, new_block:time_bomb, target:block_red, color:block_red, count:6, val:0.1, min_time_count:2, max_time_count:3, animation:change_block]</v>
      </c>
      <c r="N25" s="162" t="str">
        <f t="shared" si="61"/>
        <v>[effect:force_change_block, new_block:time_bomb, target:block_red, color:block_red, count:6, val:0.1, min_time_count:2, max_time_count:3, animation:change_block]</v>
      </c>
      <c r="O25" s="163">
        <f t="shared" si="22"/>
        <v>9</v>
      </c>
      <c r="P25" s="163">
        <f t="shared" si="23"/>
        <v>27</v>
      </c>
      <c r="Q25" s="163">
        <f t="shared" si="24"/>
        <v>57</v>
      </c>
      <c r="R25" s="163">
        <f t="shared" si="25"/>
        <v>48</v>
      </c>
      <c r="S25" s="163" t="str">
        <f>IFERROR(VLOOKUP(MID(N25,Q25,R25-Q25),[5]skilldef!$C:$D,2,FALSE),"-") &amp; " / " &amp; IFERROR(VLOOKUP(MID(N25,O25,P25-O25),[5]skilldef!$A:$B,2,FALSE),"-")</f>
        <v>- / -</v>
      </c>
      <c r="T25" s="162" t="str">
        <f t="shared" si="26"/>
        <v>none</v>
      </c>
      <c r="U25" s="163" t="e">
        <f t="shared" si="27"/>
        <v>#VALUE!</v>
      </c>
      <c r="V25" s="163">
        <f t="shared" si="28"/>
        <v>4</v>
      </c>
      <c r="W25" s="163" t="e">
        <f t="shared" si="29"/>
        <v>#VALUE!</v>
      </c>
      <c r="X25" s="163" t="e">
        <f t="shared" si="30"/>
        <v>#VALUE!</v>
      </c>
      <c r="Y25" s="163" t="str">
        <f>IFERROR(VLOOKUP(MID(T25,W25,X25-W25),[5]skilldef!$C:$D,2,FALSE),"-") &amp; " / " &amp; IFERROR(VLOOKUP(MID(T25,U25,V25-U25),[5]skilldef!$A:$B,2,FALSE),"-")</f>
        <v>- / -</v>
      </c>
      <c r="Z25" s="165"/>
      <c r="AA25" s="166"/>
      <c r="AB25" s="165"/>
    </row>
    <row r="26" spans="1:28" s="167" customFormat="1" ht="28" x14ac:dyDescent="0.15">
      <c r="A26" s="162">
        <v>38101025</v>
      </c>
      <c r="B26" s="162" t="s">
        <v>326</v>
      </c>
      <c r="C26" s="165">
        <v>1</v>
      </c>
      <c r="D26" s="165" t="s">
        <v>128</v>
      </c>
      <c r="E26" s="163" t="s">
        <v>285</v>
      </c>
      <c r="F26" s="163" t="s">
        <v>300</v>
      </c>
      <c r="G26" s="163" t="str">
        <f t="shared" si="16"/>
        <v>[effect:enemy_message, val1:1.2, val2:1.2]</v>
      </c>
      <c r="H26" s="163">
        <f t="shared" si="17"/>
        <v>9</v>
      </c>
      <c r="I26" s="163">
        <f t="shared" si="18"/>
        <v>22</v>
      </c>
      <c r="J26" s="163" t="e">
        <f t="shared" si="19"/>
        <v>#VALUE!</v>
      </c>
      <c r="K26" s="163">
        <f t="shared" si="20"/>
        <v>32</v>
      </c>
      <c r="L26" s="163" t="str">
        <f>IFERROR(VLOOKUP(MID(G26,J26,K26-J26),[5]skilldef!$C:$D,2,FALSE),"-") &amp; " / " &amp; IFERROR(VLOOKUP(MID(G26,H26,I26-H26),[5]skilldef!$A:$B,2,FALSE),"-")</f>
        <v>- / -</v>
      </c>
      <c r="M26" s="163" t="str">
        <f t="shared" si="21"/>
        <v>[effect:dark, target:unit_all, turn:2, animation:enemy_dark]</v>
      </c>
      <c r="N26" s="162" t="str">
        <f t="shared" si="61"/>
        <v>[effect:dark, target:unit_all, turn:2, animation:enemy_dark]</v>
      </c>
      <c r="O26" s="163">
        <f t="shared" si="22"/>
        <v>9</v>
      </c>
      <c r="P26" s="163">
        <f t="shared" si="23"/>
        <v>13</v>
      </c>
      <c r="Q26" s="163">
        <f t="shared" si="24"/>
        <v>22</v>
      </c>
      <c r="R26" s="163">
        <f t="shared" si="25"/>
        <v>30</v>
      </c>
      <c r="S26" s="163" t="str">
        <f>IFERROR(VLOOKUP(MID(N26,Q26,R26-Q26),[5]skilldef!$C:$D,2,FALSE),"-") &amp; " / " &amp; IFERROR(VLOOKUP(MID(N26,O26,P26-O26),[5]skilldef!$A:$B,2,FALSE),"-")</f>
        <v>味方全体に / 暗黒</v>
      </c>
      <c r="T26" s="162" t="str">
        <f t="shared" si="26"/>
        <v>none</v>
      </c>
      <c r="U26" s="163" t="e">
        <f t="shared" si="27"/>
        <v>#VALUE!</v>
      </c>
      <c r="V26" s="163">
        <f t="shared" si="28"/>
        <v>4</v>
      </c>
      <c r="W26" s="163" t="e">
        <f t="shared" si="29"/>
        <v>#VALUE!</v>
      </c>
      <c r="X26" s="163" t="e">
        <f t="shared" si="30"/>
        <v>#VALUE!</v>
      </c>
      <c r="Y26" s="163" t="str">
        <f>IFERROR(VLOOKUP(MID(T26,W26,X26-W26),[5]skilldef!$C:$D,2,FALSE),"-") &amp; " / " &amp; IFERROR(VLOOKUP(MID(T26,U26,V26-U26),[5]skilldef!$A:$B,2,FALSE),"-")</f>
        <v>- / -</v>
      </c>
      <c r="Z26" s="165"/>
      <c r="AA26" s="166"/>
      <c r="AB26" s="165"/>
    </row>
    <row r="27" spans="1:28" s="167" customFormat="1" ht="70" x14ac:dyDescent="0.15">
      <c r="A27" s="162">
        <v>38101026</v>
      </c>
      <c r="B27" s="162" t="s">
        <v>327</v>
      </c>
      <c r="C27" s="165">
        <v>1</v>
      </c>
      <c r="D27" s="165" t="s">
        <v>128</v>
      </c>
      <c r="E27" s="163" t="s">
        <v>287</v>
      </c>
      <c r="F27" s="163" t="s">
        <v>301</v>
      </c>
      <c r="G27" s="163" t="str">
        <f t="shared" si="16"/>
        <v>[effect:enemy_message, val1:2.1, val2:2.6]</v>
      </c>
      <c r="H27" s="163">
        <f t="shared" si="17"/>
        <v>9</v>
      </c>
      <c r="I27" s="163">
        <f t="shared" si="18"/>
        <v>22</v>
      </c>
      <c r="J27" s="163" t="e">
        <f t="shared" si="19"/>
        <v>#VALUE!</v>
      </c>
      <c r="K27" s="163">
        <f t="shared" si="20"/>
        <v>32</v>
      </c>
      <c r="L27" s="163" t="str">
        <f>IFERROR(VLOOKUP(MID(G27,J27,K27-J27),[5]skilldef!$C:$D,2,FALSE),"-") &amp; " / " &amp; IFERROR(VLOOKUP(MID(G27,H27,I27-H27),[5]skilldef!$A:$B,2,FALSE),"-")</f>
        <v>- / -</v>
      </c>
      <c r="M27" s="163" t="str">
        <f t="shared" si="21"/>
        <v>[effect:rush, count:1, val:1],[effect:degrade_unit, target:unit_all, turn:5, status:action, val:1, calc:add, animation:enemy_tap_down]</v>
      </c>
      <c r="N27" s="162" t="str">
        <f t="shared" si="61"/>
        <v>[effect:rush, count:1, val:1]</v>
      </c>
      <c r="O27" s="163">
        <f t="shared" si="22"/>
        <v>9</v>
      </c>
      <c r="P27" s="163">
        <f t="shared" si="23"/>
        <v>13</v>
      </c>
      <c r="Q27" s="163" t="e">
        <f t="shared" si="24"/>
        <v>#VALUE!</v>
      </c>
      <c r="R27" s="163">
        <f t="shared" si="25"/>
        <v>22</v>
      </c>
      <c r="S27" s="163" t="str">
        <f>IFERROR(VLOOKUP(MID(N27,Q27,R27-Q27),[5]skilldef!$C:$D,2,FALSE),"-") &amp; " / " &amp; IFERROR(VLOOKUP(MID(N27,O27,P27-O27),[5]skilldef!$A:$B,2,FALSE),"-")</f>
        <v>- / 連続攻撃</v>
      </c>
      <c r="T27" s="162" t="str">
        <f t="shared" si="26"/>
        <v>[effect:degrade_unit, target:unit_all, turn:5, status:action, val:1, calc:add, animation:enemy_tap_down]</v>
      </c>
      <c r="U27" s="163">
        <f t="shared" si="27"/>
        <v>9</v>
      </c>
      <c r="V27" s="163">
        <f t="shared" si="28"/>
        <v>21</v>
      </c>
      <c r="W27" s="163">
        <f t="shared" si="29"/>
        <v>30</v>
      </c>
      <c r="X27" s="163">
        <f t="shared" si="30"/>
        <v>38</v>
      </c>
      <c r="Y27" s="163" t="str">
        <f>IFERROR(VLOOKUP(MID(T27,W27,X27-W27),[5]skilldef!$C:$D,2,FALSE),"-") &amp; " / " &amp; IFERROR(VLOOKUP(MID(T27,U27,V27-U27),[5]skilldef!$A:$B,2,FALSE),"-")</f>
        <v>味方全体に / ステータスDOWN</v>
      </c>
      <c r="Z27" s="165"/>
      <c r="AA27" s="166"/>
      <c r="AB27" s="165"/>
    </row>
    <row r="28" spans="1:28" s="167" customFormat="1" ht="70" x14ac:dyDescent="0.15">
      <c r="A28" s="162">
        <v>38101027</v>
      </c>
      <c r="B28" s="162" t="s">
        <v>360</v>
      </c>
      <c r="C28" s="165">
        <v>1</v>
      </c>
      <c r="D28" s="165" t="s">
        <v>128</v>
      </c>
      <c r="E28" s="163" t="s">
        <v>288</v>
      </c>
      <c r="F28" s="163" t="s">
        <v>356</v>
      </c>
      <c r="G28" s="163" t="str">
        <f t="shared" si="16"/>
        <v>[effect:enemy_message, val1:1.8, val2:2.1]</v>
      </c>
      <c r="H28" s="163">
        <f t="shared" si="17"/>
        <v>9</v>
      </c>
      <c r="I28" s="163">
        <f t="shared" si="18"/>
        <v>22</v>
      </c>
      <c r="J28" s="163" t="e">
        <f t="shared" si="19"/>
        <v>#VALUE!</v>
      </c>
      <c r="K28" s="163">
        <f t="shared" si="20"/>
        <v>32</v>
      </c>
      <c r="L28" s="163" t="str">
        <f>IFERROR(VLOOKUP(MID(G28,J28,K28-J28),[5]skilldef!$C:$D,2,FALSE),"-") &amp; " / " &amp; IFERROR(VLOOKUP(MID(G28,H28,I28-H28),[5]skilldef!$A:$B,2,FALSE),"-")</f>
        <v>- / -</v>
      </c>
      <c r="M28" s="163" t="str">
        <f t="shared" si="21"/>
        <v>[effect:rush, count:4, val:0.3],[effect:force_change_block, new_block:block_heart, target:block_yellow, count:0, val:0, animation:change_block]</v>
      </c>
      <c r="N28" s="162" t="str">
        <f t="shared" si="61"/>
        <v>[effect:rush, count:4, val:0.3]</v>
      </c>
      <c r="O28" s="163">
        <f t="shared" si="22"/>
        <v>9</v>
      </c>
      <c r="P28" s="163">
        <f t="shared" si="23"/>
        <v>13</v>
      </c>
      <c r="Q28" s="163" t="e">
        <f t="shared" si="24"/>
        <v>#VALUE!</v>
      </c>
      <c r="R28" s="163">
        <f t="shared" si="25"/>
        <v>22</v>
      </c>
      <c r="S28" s="163" t="str">
        <f>IFERROR(VLOOKUP(MID(N28,Q28,R28-Q28),[5]skilldef!$C:$D,2,FALSE),"-") &amp; " / " &amp; IFERROR(VLOOKUP(MID(N28,O28,P28-O28),[5]skilldef!$A:$B,2,FALSE),"-")</f>
        <v>- / 連続攻撃</v>
      </c>
      <c r="T28" s="162" t="str">
        <f t="shared" si="26"/>
        <v>[effect:force_change_block, new_block:block_heart, target:block_yellow, count:0, val:0, animation:change_block]</v>
      </c>
      <c r="U28" s="163">
        <f t="shared" si="27"/>
        <v>9</v>
      </c>
      <c r="V28" s="163">
        <f t="shared" si="28"/>
        <v>27</v>
      </c>
      <c r="W28" s="163">
        <f t="shared" si="29"/>
        <v>59</v>
      </c>
      <c r="X28" s="163">
        <f t="shared" si="30"/>
        <v>50</v>
      </c>
      <c r="Y28" s="163" t="str">
        <f>IFERROR(VLOOKUP(MID(T28,W28,X28-W28),[5]skilldef!$C:$D,2,FALSE),"-") &amp; " / " &amp; IFERROR(VLOOKUP(MID(T28,U28,V28-U28),[5]skilldef!$A:$B,2,FALSE),"-")</f>
        <v>- / -</v>
      </c>
      <c r="Z28" s="165"/>
      <c r="AA28" s="166"/>
      <c r="AB28" s="165"/>
    </row>
    <row r="29" spans="1:28" s="167" customFormat="1" ht="21" customHeight="1" x14ac:dyDescent="0.15">
      <c r="A29" s="162">
        <v>38101028</v>
      </c>
      <c r="B29" s="162" t="s">
        <v>328</v>
      </c>
      <c r="C29" s="165">
        <v>1</v>
      </c>
      <c r="D29" s="165" t="s">
        <v>128</v>
      </c>
      <c r="E29" s="163" t="s">
        <v>289</v>
      </c>
      <c r="F29" s="163" t="s">
        <v>291</v>
      </c>
      <c r="G29" s="163" t="str">
        <f t="shared" ref="G29:G30" si="62">IFERROR(LEFT(B29,FIND("],",B29)),B29)</f>
        <v>[effect:enemy_message, val1:1.7, val2:2.2]</v>
      </c>
      <c r="H29" s="163">
        <f t="shared" ref="H29:H30" si="63">FIND("effect:",G29)+7</f>
        <v>9</v>
      </c>
      <c r="I29" s="163">
        <f t="shared" ref="I29:I30" si="64">IFERROR(FIND(",",G29),LEN(G29))</f>
        <v>22</v>
      </c>
      <c r="J29" s="163" t="e">
        <f t="shared" ref="J29:J30" si="65">FIND("target:",G29)+7</f>
        <v>#VALUE!</v>
      </c>
      <c r="K29" s="163">
        <f t="shared" ref="K29:K30" si="66">FIND(",",G29,I29+1)</f>
        <v>32</v>
      </c>
      <c r="L29" s="163" t="str">
        <f>IFERROR(VLOOKUP(MID(G29,J29,K29-J29),[5]skilldef!$C:$D,2,FALSE),"-") &amp; " / " &amp; IFERROR(VLOOKUP(MID(G29,H29,I29-H29),[5]skilldef!$A:$B,2,FALSE),"-")</f>
        <v>- / -</v>
      </c>
      <c r="M29" s="163" t="str">
        <f t="shared" ref="M29:M30" si="67">IFERROR(RIGHT(B29,LEN(B29)-FIND("],",B29)-1),"none")</f>
        <v>none</v>
      </c>
      <c r="N29" s="162" t="str">
        <f t="shared" ref="N29:N30" si="68">IFERROR(LEFT(M29,FIND("],",M29)+S37),M29)</f>
        <v>none</v>
      </c>
      <c r="O29" s="163" t="e">
        <f t="shared" ref="O29:O30" si="69">FIND("effect:",N29)+7</f>
        <v>#VALUE!</v>
      </c>
      <c r="P29" s="163">
        <f t="shared" ref="P29:P30" si="70">IFERROR(FIND(",",N29),LEN(N29))</f>
        <v>4</v>
      </c>
      <c r="Q29" s="163" t="e">
        <f t="shared" ref="Q29:Q30" si="71">FIND("target:",N29)+7</f>
        <v>#VALUE!</v>
      </c>
      <c r="R29" s="163" t="e">
        <f t="shared" ref="R29:R30" si="72">FIND(",",N29,P29+1)</f>
        <v>#VALUE!</v>
      </c>
      <c r="S29" s="163" t="str">
        <f>IFERROR(VLOOKUP(MID(N29,Q29,R29-Q29),[5]skilldef!$C:$D,2,FALSE),"-") &amp; " / " &amp; IFERROR(VLOOKUP(MID(N29,O29,P29-O29),[5]skilldef!$A:$B,2,FALSE),"-")</f>
        <v>- / -</v>
      </c>
      <c r="T29" s="162" t="str">
        <f t="shared" ref="T29:T30" si="73">IFERROR(RIGHT(M29,LEN(M29)-FIND("],",M29)-1),"none")</f>
        <v>none</v>
      </c>
      <c r="U29" s="163" t="e">
        <f t="shared" ref="U29:U30" si="74">FIND("effect:",T29)+7</f>
        <v>#VALUE!</v>
      </c>
      <c r="V29" s="163">
        <f t="shared" ref="V29:V30" si="75">IFERROR(FIND(",",T29),LEN(T29))</f>
        <v>4</v>
      </c>
      <c r="W29" s="163" t="e">
        <f t="shared" ref="W29:W30" si="76">FIND("target:",T29)+7</f>
        <v>#VALUE!</v>
      </c>
      <c r="X29" s="163" t="e">
        <f t="shared" ref="X29:X30" si="77">FIND(",",T29,V29+1)</f>
        <v>#VALUE!</v>
      </c>
      <c r="Y29" s="163" t="str">
        <f>IFERROR(VLOOKUP(MID(T29,W29,X29-W29),[5]skilldef!$C:$D,2,FALSE),"-") &amp; " / " &amp; IFERROR(VLOOKUP(MID(T29,U29,V29-U29),[5]skilldef!$A:$B,2,FALSE),"-")</f>
        <v>- / -</v>
      </c>
      <c r="Z29" s="165"/>
      <c r="AA29" s="166"/>
      <c r="AB29" s="165"/>
    </row>
    <row r="30" spans="1:28" s="167" customFormat="1" ht="39" customHeight="1" x14ac:dyDescent="0.15">
      <c r="A30" s="162">
        <v>38101029</v>
      </c>
      <c r="B30" s="162" t="s">
        <v>357</v>
      </c>
      <c r="C30" s="165">
        <v>1</v>
      </c>
      <c r="D30" s="165" t="s">
        <v>128</v>
      </c>
      <c r="E30" s="163" t="s">
        <v>346</v>
      </c>
      <c r="F30" s="163" t="s">
        <v>290</v>
      </c>
      <c r="G30" s="163" t="str">
        <f t="shared" si="62"/>
        <v>[effect:enemy_message, val1:2.5, val2:2.3]</v>
      </c>
      <c r="H30" s="163">
        <f t="shared" si="63"/>
        <v>9</v>
      </c>
      <c r="I30" s="163">
        <f t="shared" si="64"/>
        <v>22</v>
      </c>
      <c r="J30" s="163" t="e">
        <f t="shared" si="65"/>
        <v>#VALUE!</v>
      </c>
      <c r="K30" s="163">
        <f t="shared" si="66"/>
        <v>32</v>
      </c>
      <c r="L30" s="163" t="str">
        <f>IFERROR(VLOOKUP(MID(G30,J30,K30-J30),[5]skilldef!$C:$D,2,FALSE),"-") &amp; " / " &amp; IFERROR(VLOOKUP(MID(G30,H30,I30-H30),[5]skilldef!$A:$B,2,FALSE),"-")</f>
        <v>- / -</v>
      </c>
      <c r="M30" s="163" t="str">
        <f t="shared" si="67"/>
        <v>none</v>
      </c>
      <c r="N30" s="162" t="str">
        <f t="shared" si="68"/>
        <v>none</v>
      </c>
      <c r="O30" s="163" t="e">
        <f t="shared" si="69"/>
        <v>#VALUE!</v>
      </c>
      <c r="P30" s="163">
        <f t="shared" si="70"/>
        <v>4</v>
      </c>
      <c r="Q30" s="163" t="e">
        <f t="shared" si="71"/>
        <v>#VALUE!</v>
      </c>
      <c r="R30" s="163" t="e">
        <f t="shared" si="72"/>
        <v>#VALUE!</v>
      </c>
      <c r="S30" s="163" t="str">
        <f>IFERROR(VLOOKUP(MID(N30,Q30,R30-Q30),[5]skilldef!$C:$D,2,FALSE),"-") &amp; " / " &amp; IFERROR(VLOOKUP(MID(N30,O30,P30-O30),[5]skilldef!$A:$B,2,FALSE),"-")</f>
        <v>- / -</v>
      </c>
      <c r="T30" s="162" t="str">
        <f t="shared" si="73"/>
        <v>none</v>
      </c>
      <c r="U30" s="163" t="e">
        <f t="shared" si="74"/>
        <v>#VALUE!</v>
      </c>
      <c r="V30" s="163">
        <f t="shared" si="75"/>
        <v>4</v>
      </c>
      <c r="W30" s="163" t="e">
        <f t="shared" si="76"/>
        <v>#VALUE!</v>
      </c>
      <c r="X30" s="163" t="e">
        <f t="shared" si="77"/>
        <v>#VALUE!</v>
      </c>
      <c r="Y30" s="163" t="str">
        <f>IFERROR(VLOOKUP(MID(T30,W30,X30-W30),[5]skilldef!$C:$D,2,FALSE),"-") &amp; " / " &amp; IFERROR(VLOOKUP(MID(T30,U30,V30-U30),[5]skilldef!$A:$B,2,FALSE),"-")</f>
        <v>- / -</v>
      </c>
      <c r="Z30" s="165"/>
      <c r="AA30" s="166"/>
      <c r="AB30" s="165"/>
    </row>
    <row r="31" spans="1:28" s="167" customFormat="1" ht="45" customHeight="1" x14ac:dyDescent="0.15">
      <c r="A31" s="162">
        <v>38101030</v>
      </c>
      <c r="B31" s="162" t="s">
        <v>358</v>
      </c>
      <c r="C31" s="165">
        <v>1</v>
      </c>
      <c r="D31" s="165" t="s">
        <v>128</v>
      </c>
      <c r="E31" s="163" t="s">
        <v>344</v>
      </c>
      <c r="F31" s="163" t="s">
        <v>303</v>
      </c>
      <c r="G31" s="163" t="str">
        <f t="shared" ref="G31" si="78">IFERROR(LEFT(B31,FIND("],",B31)),B31)</f>
        <v>[effect:enemy_message, val1:2.0, val2:2.7]</v>
      </c>
      <c r="H31" s="163">
        <f t="shared" ref="H31" si="79">FIND("effect:",G31)+7</f>
        <v>9</v>
      </c>
      <c r="I31" s="163">
        <f t="shared" ref="I31" si="80">IFERROR(FIND(",",G31),LEN(G31))</f>
        <v>22</v>
      </c>
      <c r="J31" s="163" t="e">
        <f t="shared" ref="J31" si="81">FIND("target:",G31)+7</f>
        <v>#VALUE!</v>
      </c>
      <c r="K31" s="163">
        <f t="shared" ref="K31" si="82">FIND(",",G31,I31+1)</f>
        <v>32</v>
      </c>
      <c r="L31" s="163" t="str">
        <f>IFERROR(VLOOKUP(MID(G31,J31,K31-J31),[5]skilldef!$C:$D,2,FALSE),"-") &amp; " / " &amp; IFERROR(VLOOKUP(MID(G31,H31,I31-H31),[5]skilldef!$A:$B,2,FALSE),"-")</f>
        <v>- / -</v>
      </c>
      <c r="M31" s="163" t="str">
        <f t="shared" ref="M31" si="83">IFERROR(RIGHT(B31,LEN(B31)-FIND("],",B31)-1),"none")</f>
        <v>none</v>
      </c>
      <c r="N31" s="162" t="str">
        <f t="shared" ref="N31" si="84">IFERROR(LEFT(M31,FIND("],",M31)+S39),M31)</f>
        <v>none</v>
      </c>
      <c r="O31" s="163" t="e">
        <f t="shared" ref="O31" si="85">FIND("effect:",N31)+7</f>
        <v>#VALUE!</v>
      </c>
      <c r="P31" s="163">
        <f t="shared" ref="P31" si="86">IFERROR(FIND(",",N31),LEN(N31))</f>
        <v>4</v>
      </c>
      <c r="Q31" s="163" t="e">
        <f t="shared" ref="Q31" si="87">FIND("target:",N31)+7</f>
        <v>#VALUE!</v>
      </c>
      <c r="R31" s="163" t="e">
        <f t="shared" ref="R31" si="88">FIND(",",N31,P31+1)</f>
        <v>#VALUE!</v>
      </c>
      <c r="S31" s="163" t="str">
        <f>IFERROR(VLOOKUP(MID(N31,Q31,R31-Q31),[5]skilldef!$C:$D,2,FALSE),"-") &amp; " / " &amp; IFERROR(VLOOKUP(MID(N31,O31,P31-O31),[5]skilldef!$A:$B,2,FALSE),"-")</f>
        <v>- / -</v>
      </c>
      <c r="T31" s="162" t="str">
        <f t="shared" ref="T31" si="89">IFERROR(RIGHT(M31,LEN(M31)-FIND("],",M31)-1),"none")</f>
        <v>none</v>
      </c>
      <c r="U31" s="163" t="e">
        <f t="shared" ref="U31" si="90">FIND("effect:",T31)+7</f>
        <v>#VALUE!</v>
      </c>
      <c r="V31" s="163">
        <f t="shared" ref="V31" si="91">IFERROR(FIND(",",T31),LEN(T31))</f>
        <v>4</v>
      </c>
      <c r="W31" s="163" t="e">
        <f t="shared" ref="W31" si="92">FIND("target:",T31)+7</f>
        <v>#VALUE!</v>
      </c>
      <c r="X31" s="163" t="e">
        <f t="shared" ref="X31" si="93">FIND(",",T31,V31+1)</f>
        <v>#VALUE!</v>
      </c>
      <c r="Y31" s="163" t="str">
        <f>IFERROR(VLOOKUP(MID(T31,W31,X31-W31),[5]skilldef!$C:$D,2,FALSE),"-") &amp; " / " &amp; IFERROR(VLOOKUP(MID(T31,U31,V31-U31),[5]skilldef!$A:$B,2,FALSE),"-")</f>
        <v>- / -</v>
      </c>
      <c r="Z31" s="165"/>
      <c r="AA31" s="166"/>
      <c r="AB31" s="165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31"/>
  <sheetViews>
    <sheetView showGridLines="0" workbookViewId="0">
      <pane ySplit="1" topLeftCell="A2" activePane="bottomLeft" state="frozenSplit"/>
      <selection pane="bottomLeft" activeCell="C32" sqref="C3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3" width="18.83203125" style="45" customWidth="1"/>
    <col min="14" max="16384" width="12.83203125" style="45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0" t="s">
        <v>71</v>
      </c>
      <c r="G1" s="50" t="s">
        <v>72</v>
      </c>
      <c r="H1" s="42" t="s">
        <v>73</v>
      </c>
      <c r="I1" s="42" t="s">
        <v>74</v>
      </c>
      <c r="J1" s="42" t="s">
        <v>75</v>
      </c>
      <c r="K1" s="51" t="s">
        <v>88</v>
      </c>
    </row>
    <row r="2" spans="1:13" ht="21" customHeight="1" x14ac:dyDescent="0.15">
      <c r="A2" s="162">
        <v>38101001</v>
      </c>
      <c r="B2" s="162">
        <v>0</v>
      </c>
      <c r="C2" s="162" t="s">
        <v>89</v>
      </c>
      <c r="D2" s="162">
        <v>30</v>
      </c>
      <c r="E2" s="162" t="s">
        <v>260</v>
      </c>
      <c r="F2" s="162" t="s">
        <v>90</v>
      </c>
      <c r="G2" s="162" t="s">
        <v>260</v>
      </c>
      <c r="H2" s="162" t="s">
        <v>90</v>
      </c>
      <c r="I2" s="162" t="s">
        <v>90</v>
      </c>
      <c r="J2" s="48">
        <f t="shared" ref="J2" si="0">D2</f>
        <v>30</v>
      </c>
      <c r="L2" s="164"/>
      <c r="M2" s="164"/>
    </row>
    <row r="3" spans="1:13" ht="21" customHeight="1" x14ac:dyDescent="0.15">
      <c r="A3" s="162">
        <v>38101002</v>
      </c>
      <c r="B3" s="47">
        <v>0</v>
      </c>
      <c r="C3" s="47">
        <v>40</v>
      </c>
      <c r="D3" s="47">
        <v>100</v>
      </c>
      <c r="E3" s="47" t="s">
        <v>53</v>
      </c>
      <c r="F3" s="47" t="s">
        <v>90</v>
      </c>
      <c r="G3" s="47" t="s">
        <v>53</v>
      </c>
      <c r="H3" s="47" t="s">
        <v>90</v>
      </c>
      <c r="I3" s="47" t="s">
        <v>90</v>
      </c>
      <c r="J3" s="48">
        <f t="shared" ref="J3:J13" si="1">D3</f>
        <v>100</v>
      </c>
      <c r="L3" s="164"/>
      <c r="M3" s="164"/>
    </row>
    <row r="4" spans="1:13" ht="21" customHeight="1" x14ac:dyDescent="0.15">
      <c r="A4" s="162">
        <v>38101003</v>
      </c>
      <c r="B4" s="47">
        <v>0</v>
      </c>
      <c r="C4" s="47">
        <v>50</v>
      </c>
      <c r="D4" s="47">
        <v>100</v>
      </c>
      <c r="E4" s="47" t="s">
        <v>53</v>
      </c>
      <c r="F4" s="47" t="s">
        <v>90</v>
      </c>
      <c r="G4" s="47" t="s">
        <v>53</v>
      </c>
      <c r="H4" s="47">
        <v>2</v>
      </c>
      <c r="I4" s="47" t="s">
        <v>90</v>
      </c>
      <c r="J4" s="48">
        <f t="shared" si="1"/>
        <v>100</v>
      </c>
      <c r="L4" s="164"/>
      <c r="M4" s="164"/>
    </row>
    <row r="5" spans="1:13" ht="21" customHeight="1" x14ac:dyDescent="0.15">
      <c r="A5" s="162">
        <v>38101004</v>
      </c>
      <c r="B5" s="47">
        <v>1</v>
      </c>
      <c r="C5" s="47">
        <v>50</v>
      </c>
      <c r="D5" s="47">
        <v>100</v>
      </c>
      <c r="E5" s="47" t="s">
        <v>53</v>
      </c>
      <c r="F5" s="47" t="s">
        <v>90</v>
      </c>
      <c r="G5" s="47">
        <v>1</v>
      </c>
      <c r="H5" s="47" t="s">
        <v>90</v>
      </c>
      <c r="I5" s="47" t="s">
        <v>90</v>
      </c>
      <c r="J5" s="48">
        <f t="shared" si="1"/>
        <v>100</v>
      </c>
      <c r="L5" s="164"/>
      <c r="M5" s="164"/>
    </row>
    <row r="6" spans="1:13" ht="21" customHeight="1" x14ac:dyDescent="0.15">
      <c r="A6" s="162">
        <v>38101005</v>
      </c>
      <c r="B6" s="47">
        <v>1</v>
      </c>
      <c r="C6" s="47">
        <v>100</v>
      </c>
      <c r="D6" s="47">
        <v>100</v>
      </c>
      <c r="E6" s="47" t="s">
        <v>53</v>
      </c>
      <c r="F6" s="47" t="s">
        <v>90</v>
      </c>
      <c r="G6" s="47">
        <v>1</v>
      </c>
      <c r="H6" s="47" t="s">
        <v>90</v>
      </c>
      <c r="I6" s="47">
        <v>8134</v>
      </c>
      <c r="J6" s="48">
        <f t="shared" si="1"/>
        <v>100</v>
      </c>
      <c r="L6" s="164"/>
      <c r="M6" s="164"/>
    </row>
    <row r="7" spans="1:13" ht="21" customHeight="1" x14ac:dyDescent="0.15">
      <c r="A7" s="162">
        <v>38101006</v>
      </c>
      <c r="B7" s="47">
        <v>1</v>
      </c>
      <c r="C7" s="47">
        <v>90</v>
      </c>
      <c r="D7" s="47">
        <v>100</v>
      </c>
      <c r="E7" s="47" t="s">
        <v>53</v>
      </c>
      <c r="F7" s="47" t="s">
        <v>90</v>
      </c>
      <c r="G7" s="47">
        <v>1</v>
      </c>
      <c r="H7" s="47" t="s">
        <v>90</v>
      </c>
      <c r="I7" s="47">
        <v>8133</v>
      </c>
      <c r="J7" s="48">
        <f t="shared" si="1"/>
        <v>100</v>
      </c>
      <c r="L7" s="164"/>
      <c r="M7" s="164"/>
    </row>
    <row r="8" spans="1:13" ht="21" customHeight="1" x14ac:dyDescent="0.15">
      <c r="A8" s="162">
        <v>38101007</v>
      </c>
      <c r="B8" s="47">
        <v>0</v>
      </c>
      <c r="C8" s="47">
        <v>50</v>
      </c>
      <c r="D8" s="47">
        <v>100</v>
      </c>
      <c r="E8" s="47" t="s">
        <v>53</v>
      </c>
      <c r="F8" s="47" t="s">
        <v>90</v>
      </c>
      <c r="G8" s="47" t="s">
        <v>53</v>
      </c>
      <c r="H8" s="47" t="s">
        <v>90</v>
      </c>
      <c r="I8" s="47" t="s">
        <v>90</v>
      </c>
      <c r="J8" s="48">
        <f t="shared" si="1"/>
        <v>100</v>
      </c>
      <c r="L8" s="164"/>
      <c r="M8" s="164"/>
    </row>
    <row r="9" spans="1:13" ht="21" customHeight="1" x14ac:dyDescent="0.15">
      <c r="A9" s="162">
        <v>38101008</v>
      </c>
      <c r="B9" s="47">
        <v>0</v>
      </c>
      <c r="C9" s="47">
        <v>60</v>
      </c>
      <c r="D9" s="47">
        <v>100</v>
      </c>
      <c r="E9" s="47" t="s">
        <v>53</v>
      </c>
      <c r="F9" s="47" t="s">
        <v>90</v>
      </c>
      <c r="G9" s="47" t="s">
        <v>53</v>
      </c>
      <c r="H9" s="47">
        <v>2</v>
      </c>
      <c r="I9" s="47" t="s">
        <v>90</v>
      </c>
      <c r="J9" s="48">
        <f t="shared" si="1"/>
        <v>100</v>
      </c>
      <c r="L9" s="164"/>
      <c r="M9" s="164"/>
    </row>
    <row r="10" spans="1:13" ht="21" customHeight="1" x14ac:dyDescent="0.15">
      <c r="A10" s="162">
        <v>38101009</v>
      </c>
      <c r="B10" s="47">
        <v>0</v>
      </c>
      <c r="C10" s="47">
        <v>80</v>
      </c>
      <c r="D10" s="47">
        <v>100</v>
      </c>
      <c r="E10" s="47">
        <v>30</v>
      </c>
      <c r="F10" s="47" t="s">
        <v>90</v>
      </c>
      <c r="G10" s="47">
        <v>1</v>
      </c>
      <c r="H10" s="47">
        <v>1</v>
      </c>
      <c r="I10" s="47" t="s">
        <v>90</v>
      </c>
      <c r="J10" s="48">
        <f t="shared" si="1"/>
        <v>100</v>
      </c>
      <c r="L10" s="164"/>
      <c r="M10" s="164"/>
    </row>
    <row r="11" spans="1:13" ht="21" customHeight="1" x14ac:dyDescent="0.15">
      <c r="A11" s="162">
        <v>38101010</v>
      </c>
      <c r="B11" s="47">
        <v>0</v>
      </c>
      <c r="C11" s="47">
        <v>70</v>
      </c>
      <c r="D11" s="47">
        <v>100</v>
      </c>
      <c r="E11" s="47">
        <v>30</v>
      </c>
      <c r="F11" s="47" t="s">
        <v>90</v>
      </c>
      <c r="G11" s="47">
        <v>1</v>
      </c>
      <c r="H11" s="47">
        <v>1</v>
      </c>
      <c r="I11" s="47" t="s">
        <v>90</v>
      </c>
      <c r="J11" s="48">
        <f t="shared" si="1"/>
        <v>100</v>
      </c>
      <c r="L11" s="164"/>
      <c r="M11" s="164"/>
    </row>
    <row r="12" spans="1:13" ht="21" customHeight="1" x14ac:dyDescent="0.15">
      <c r="A12" s="162">
        <v>38101011</v>
      </c>
      <c r="B12" s="47">
        <v>0</v>
      </c>
      <c r="C12" s="47">
        <v>90</v>
      </c>
      <c r="D12" s="47">
        <v>100</v>
      </c>
      <c r="E12" s="47" t="s">
        <v>53</v>
      </c>
      <c r="F12" s="47" t="s">
        <v>90</v>
      </c>
      <c r="G12" s="47" t="s">
        <v>53</v>
      </c>
      <c r="H12" s="47">
        <v>2</v>
      </c>
      <c r="I12" s="47" t="s">
        <v>90</v>
      </c>
      <c r="J12" s="48">
        <f t="shared" si="1"/>
        <v>100</v>
      </c>
      <c r="L12" s="164"/>
      <c r="M12" s="164"/>
    </row>
    <row r="13" spans="1:13" ht="21" customHeight="1" x14ac:dyDescent="0.15">
      <c r="A13" s="162">
        <v>38101012</v>
      </c>
      <c r="B13" s="47">
        <v>0</v>
      </c>
      <c r="C13" s="47">
        <v>100</v>
      </c>
      <c r="D13" s="47">
        <v>100</v>
      </c>
      <c r="E13" s="47">
        <v>30</v>
      </c>
      <c r="F13" s="47" t="s">
        <v>90</v>
      </c>
      <c r="G13" s="47">
        <v>1</v>
      </c>
      <c r="H13" s="47">
        <v>1</v>
      </c>
      <c r="I13" s="47" t="s">
        <v>90</v>
      </c>
      <c r="J13" s="48">
        <f t="shared" si="1"/>
        <v>100</v>
      </c>
      <c r="L13" s="164"/>
      <c r="M13" s="164"/>
    </row>
    <row r="14" spans="1:13" ht="21" customHeight="1" x14ac:dyDescent="0.15">
      <c r="A14" s="162">
        <v>38101013</v>
      </c>
      <c r="B14" s="162">
        <v>1</v>
      </c>
      <c r="C14" s="162">
        <v>50</v>
      </c>
      <c r="D14" s="162">
        <v>100</v>
      </c>
      <c r="E14" s="162" t="s">
        <v>53</v>
      </c>
      <c r="F14" s="162" t="s">
        <v>90</v>
      </c>
      <c r="G14" s="162">
        <v>1</v>
      </c>
      <c r="H14" s="162" t="s">
        <v>90</v>
      </c>
      <c r="I14" s="162" t="s">
        <v>90</v>
      </c>
      <c r="J14" s="48">
        <f t="shared" ref="J14:J28" si="2">D14</f>
        <v>100</v>
      </c>
      <c r="L14" s="164"/>
      <c r="M14" s="164"/>
    </row>
    <row r="15" spans="1:13" ht="21" customHeight="1" x14ac:dyDescent="0.15">
      <c r="A15" s="162">
        <v>38101014</v>
      </c>
      <c r="B15" s="162">
        <v>1</v>
      </c>
      <c r="C15" s="162">
        <v>100</v>
      </c>
      <c r="D15" s="162">
        <v>100</v>
      </c>
      <c r="E15" s="162" t="s">
        <v>53</v>
      </c>
      <c r="F15" s="162" t="s">
        <v>90</v>
      </c>
      <c r="G15" s="162">
        <v>1</v>
      </c>
      <c r="H15" s="162" t="s">
        <v>90</v>
      </c>
      <c r="I15" s="162">
        <v>8134</v>
      </c>
      <c r="J15" s="48">
        <f t="shared" si="2"/>
        <v>100</v>
      </c>
      <c r="L15" s="164"/>
      <c r="M15" s="164"/>
    </row>
    <row r="16" spans="1:13" ht="21" customHeight="1" x14ac:dyDescent="0.15">
      <c r="A16" s="162">
        <v>38101015</v>
      </c>
      <c r="B16" s="162">
        <v>1</v>
      </c>
      <c r="C16" s="162">
        <v>90</v>
      </c>
      <c r="D16" s="162">
        <v>100</v>
      </c>
      <c r="E16" s="162" t="s">
        <v>53</v>
      </c>
      <c r="F16" s="162" t="s">
        <v>90</v>
      </c>
      <c r="G16" s="162">
        <v>1</v>
      </c>
      <c r="H16" s="162" t="s">
        <v>90</v>
      </c>
      <c r="I16" s="162">
        <v>8133</v>
      </c>
      <c r="J16" s="48">
        <f t="shared" si="2"/>
        <v>100</v>
      </c>
      <c r="L16" s="164"/>
      <c r="M16" s="164"/>
    </row>
    <row r="17" spans="1:13" ht="21" customHeight="1" x14ac:dyDescent="0.15">
      <c r="A17" s="162">
        <v>38101016</v>
      </c>
      <c r="B17" s="162">
        <v>0</v>
      </c>
      <c r="C17" s="162">
        <v>50</v>
      </c>
      <c r="D17" s="162">
        <v>100</v>
      </c>
      <c r="E17" s="162" t="s">
        <v>53</v>
      </c>
      <c r="F17" s="162" t="s">
        <v>90</v>
      </c>
      <c r="G17" s="162" t="s">
        <v>53</v>
      </c>
      <c r="H17" s="162" t="s">
        <v>90</v>
      </c>
      <c r="I17" s="162" t="s">
        <v>90</v>
      </c>
      <c r="J17" s="48">
        <f t="shared" si="2"/>
        <v>100</v>
      </c>
      <c r="L17" s="164"/>
      <c r="M17" s="164"/>
    </row>
    <row r="18" spans="1:13" ht="21" customHeight="1" x14ac:dyDescent="0.15">
      <c r="A18" s="162">
        <v>38101017</v>
      </c>
      <c r="B18" s="162">
        <v>0</v>
      </c>
      <c r="C18" s="162">
        <v>60</v>
      </c>
      <c r="D18" s="162">
        <v>100</v>
      </c>
      <c r="E18" s="162" t="s">
        <v>53</v>
      </c>
      <c r="F18" s="162" t="s">
        <v>90</v>
      </c>
      <c r="G18" s="162" t="s">
        <v>53</v>
      </c>
      <c r="H18" s="162">
        <v>2</v>
      </c>
      <c r="I18" s="162" t="s">
        <v>90</v>
      </c>
      <c r="J18" s="48">
        <f t="shared" si="2"/>
        <v>100</v>
      </c>
      <c r="L18" s="164"/>
      <c r="M18" s="164"/>
    </row>
    <row r="19" spans="1:13" ht="21" customHeight="1" x14ac:dyDescent="0.15">
      <c r="A19" s="162">
        <v>38101018</v>
      </c>
      <c r="B19" s="162">
        <v>0</v>
      </c>
      <c r="C19" s="162">
        <v>70</v>
      </c>
      <c r="D19" s="162">
        <v>100</v>
      </c>
      <c r="E19" s="162">
        <v>70</v>
      </c>
      <c r="F19" s="162" t="s">
        <v>90</v>
      </c>
      <c r="G19" s="162">
        <v>1</v>
      </c>
      <c r="H19" s="162">
        <v>1</v>
      </c>
      <c r="I19" s="162" t="s">
        <v>90</v>
      </c>
      <c r="J19" s="48">
        <f t="shared" si="2"/>
        <v>100</v>
      </c>
      <c r="L19" s="164"/>
      <c r="M19" s="164"/>
    </row>
    <row r="20" spans="1:13" ht="21" customHeight="1" x14ac:dyDescent="0.15">
      <c r="A20" s="162">
        <v>38101019</v>
      </c>
      <c r="B20" s="162">
        <v>0</v>
      </c>
      <c r="C20" s="162">
        <v>80</v>
      </c>
      <c r="D20" s="162">
        <v>100</v>
      </c>
      <c r="E20" s="162">
        <v>50</v>
      </c>
      <c r="F20" s="162" t="s">
        <v>90</v>
      </c>
      <c r="G20" s="162">
        <v>1</v>
      </c>
      <c r="H20" s="162">
        <v>1</v>
      </c>
      <c r="I20" s="162" t="s">
        <v>90</v>
      </c>
      <c r="J20" s="48">
        <f t="shared" si="2"/>
        <v>100</v>
      </c>
      <c r="L20" s="164"/>
      <c r="M20" s="164"/>
    </row>
    <row r="21" spans="1:13" ht="21" customHeight="1" x14ac:dyDescent="0.15">
      <c r="A21" s="162">
        <v>38101020</v>
      </c>
      <c r="B21" s="47">
        <v>1</v>
      </c>
      <c r="C21" s="47">
        <v>100</v>
      </c>
      <c r="D21" s="47">
        <v>100</v>
      </c>
      <c r="E21" s="47" t="s">
        <v>53</v>
      </c>
      <c r="F21" s="47" t="s">
        <v>90</v>
      </c>
      <c r="G21" s="47">
        <v>1</v>
      </c>
      <c r="H21" s="47" t="s">
        <v>90</v>
      </c>
      <c r="I21" s="47" t="s">
        <v>90</v>
      </c>
      <c r="J21" s="48">
        <f t="shared" si="2"/>
        <v>100</v>
      </c>
      <c r="L21" s="164"/>
      <c r="M21" s="164"/>
    </row>
    <row r="22" spans="1:13" ht="21" customHeight="1" x14ac:dyDescent="0.15">
      <c r="A22" s="162">
        <v>38101021</v>
      </c>
      <c r="B22" s="47">
        <v>1</v>
      </c>
      <c r="C22" s="47">
        <v>120</v>
      </c>
      <c r="D22" s="47">
        <v>100</v>
      </c>
      <c r="E22" s="47" t="s">
        <v>53</v>
      </c>
      <c r="F22" s="47" t="s">
        <v>90</v>
      </c>
      <c r="G22" s="47">
        <v>1</v>
      </c>
      <c r="H22" s="47" t="s">
        <v>90</v>
      </c>
      <c r="I22" s="47">
        <v>8134</v>
      </c>
      <c r="J22" s="48">
        <f t="shared" ref="J22" si="3">D22</f>
        <v>100</v>
      </c>
      <c r="L22" s="164"/>
      <c r="M22" s="164"/>
    </row>
    <row r="23" spans="1:13" ht="21" customHeight="1" x14ac:dyDescent="0.15">
      <c r="A23" s="162">
        <v>38101022</v>
      </c>
      <c r="B23" s="47">
        <v>1</v>
      </c>
      <c r="C23" s="47">
        <v>110</v>
      </c>
      <c r="D23" s="47">
        <v>100</v>
      </c>
      <c r="E23" s="47" t="s">
        <v>53</v>
      </c>
      <c r="F23" s="47" t="s">
        <v>90</v>
      </c>
      <c r="G23" s="47">
        <v>1</v>
      </c>
      <c r="H23" s="47" t="s">
        <v>90</v>
      </c>
      <c r="I23" s="47">
        <v>8133</v>
      </c>
      <c r="J23" s="48">
        <f t="shared" ref="J23" si="4">D23</f>
        <v>100</v>
      </c>
      <c r="L23" s="164"/>
      <c r="M23" s="164"/>
    </row>
    <row r="24" spans="1:13" ht="21" customHeight="1" x14ac:dyDescent="0.15">
      <c r="A24" s="162">
        <v>38101023</v>
      </c>
      <c r="B24" s="47">
        <v>0</v>
      </c>
      <c r="C24" s="47">
        <v>50</v>
      </c>
      <c r="D24" s="47">
        <v>100</v>
      </c>
      <c r="E24" s="47" t="s">
        <v>53</v>
      </c>
      <c r="F24" s="47" t="s">
        <v>90</v>
      </c>
      <c r="G24" s="47" t="s">
        <v>53</v>
      </c>
      <c r="H24" s="47" t="s">
        <v>90</v>
      </c>
      <c r="I24" s="47" t="s">
        <v>90</v>
      </c>
      <c r="J24" s="48">
        <f t="shared" si="2"/>
        <v>100</v>
      </c>
      <c r="L24" s="164"/>
      <c r="M24" s="164"/>
    </row>
    <row r="25" spans="1:13" ht="21" customHeight="1" x14ac:dyDescent="0.15">
      <c r="A25" s="162">
        <v>38101024</v>
      </c>
      <c r="B25" s="47">
        <v>0</v>
      </c>
      <c r="C25" s="47">
        <v>50</v>
      </c>
      <c r="D25" s="47">
        <v>100</v>
      </c>
      <c r="E25" s="47" t="s">
        <v>53</v>
      </c>
      <c r="F25" s="47" t="s">
        <v>90</v>
      </c>
      <c r="G25" s="47" t="s">
        <v>53</v>
      </c>
      <c r="H25" s="47">
        <v>2</v>
      </c>
      <c r="I25" s="47" t="s">
        <v>90</v>
      </c>
      <c r="J25" s="48">
        <f t="shared" si="2"/>
        <v>100</v>
      </c>
      <c r="L25" s="164"/>
      <c r="M25" s="164"/>
    </row>
    <row r="26" spans="1:13" ht="21" customHeight="1" x14ac:dyDescent="0.15">
      <c r="A26" s="162">
        <v>38101025</v>
      </c>
      <c r="B26" s="47">
        <v>0</v>
      </c>
      <c r="C26" s="47">
        <v>60</v>
      </c>
      <c r="D26" s="47">
        <v>100</v>
      </c>
      <c r="E26" s="47">
        <v>70</v>
      </c>
      <c r="F26" s="47" t="s">
        <v>90</v>
      </c>
      <c r="G26" s="47">
        <v>1</v>
      </c>
      <c r="H26" s="47">
        <v>1</v>
      </c>
      <c r="I26" s="47" t="s">
        <v>90</v>
      </c>
      <c r="J26" s="48">
        <f t="shared" si="2"/>
        <v>100</v>
      </c>
      <c r="L26" s="164"/>
      <c r="M26" s="164"/>
    </row>
    <row r="27" spans="1:13" ht="21" customHeight="1" x14ac:dyDescent="0.15">
      <c r="A27" s="162">
        <v>38101026</v>
      </c>
      <c r="B27" s="47">
        <v>0</v>
      </c>
      <c r="C27" s="47">
        <v>70</v>
      </c>
      <c r="D27" s="47">
        <v>100</v>
      </c>
      <c r="E27" s="47">
        <v>50</v>
      </c>
      <c r="F27" s="47" t="s">
        <v>90</v>
      </c>
      <c r="G27" s="47">
        <v>1</v>
      </c>
      <c r="H27" s="47">
        <v>1</v>
      </c>
      <c r="I27" s="47" t="s">
        <v>90</v>
      </c>
      <c r="J27" s="48">
        <f t="shared" si="2"/>
        <v>100</v>
      </c>
      <c r="L27" s="164"/>
      <c r="M27" s="164"/>
    </row>
    <row r="28" spans="1:13" ht="21" customHeight="1" x14ac:dyDescent="0.15">
      <c r="A28" s="162">
        <v>38101027</v>
      </c>
      <c r="B28" s="47">
        <v>0</v>
      </c>
      <c r="C28" s="47">
        <v>80</v>
      </c>
      <c r="D28" s="47">
        <v>100</v>
      </c>
      <c r="E28" s="47">
        <v>30</v>
      </c>
      <c r="F28" s="47" t="s">
        <v>90</v>
      </c>
      <c r="G28" s="47">
        <v>1</v>
      </c>
      <c r="H28" s="47">
        <v>1</v>
      </c>
      <c r="I28" s="47" t="s">
        <v>90</v>
      </c>
      <c r="J28" s="48">
        <f t="shared" si="2"/>
        <v>100</v>
      </c>
      <c r="L28" s="164"/>
      <c r="M28" s="164"/>
    </row>
    <row r="29" spans="1:13" ht="21" customHeight="1" x14ac:dyDescent="0.15">
      <c r="A29" s="162">
        <v>38101028</v>
      </c>
      <c r="B29" s="47">
        <v>0</v>
      </c>
      <c r="C29" s="47">
        <v>150</v>
      </c>
      <c r="D29" s="47">
        <v>100</v>
      </c>
      <c r="E29" s="47" t="s">
        <v>53</v>
      </c>
      <c r="F29" s="47" t="s">
        <v>90</v>
      </c>
      <c r="G29" s="47">
        <v>0</v>
      </c>
      <c r="H29" s="47" t="s">
        <v>90</v>
      </c>
      <c r="I29" s="47">
        <v>0</v>
      </c>
      <c r="J29" s="48">
        <f t="shared" ref="J29" si="5">D29</f>
        <v>100</v>
      </c>
      <c r="L29" s="164"/>
      <c r="M29" s="164"/>
    </row>
    <row r="30" spans="1:13" ht="21" customHeight="1" x14ac:dyDescent="0.15">
      <c r="A30" s="162">
        <v>38101029</v>
      </c>
      <c r="B30" s="47">
        <v>0</v>
      </c>
      <c r="C30" s="47">
        <v>350</v>
      </c>
      <c r="D30" s="47">
        <v>100</v>
      </c>
      <c r="E30" s="47" t="s">
        <v>53</v>
      </c>
      <c r="F30" s="47" t="s">
        <v>90</v>
      </c>
      <c r="G30" s="47">
        <v>0</v>
      </c>
      <c r="H30" s="47" t="s">
        <v>90</v>
      </c>
      <c r="I30" s="47">
        <v>8134</v>
      </c>
      <c r="J30" s="48">
        <f>D30</f>
        <v>100</v>
      </c>
      <c r="L30" s="164"/>
      <c r="M30" s="164"/>
    </row>
    <row r="31" spans="1:13" ht="21" customHeight="1" x14ac:dyDescent="0.15">
      <c r="A31" s="162">
        <v>38101030</v>
      </c>
      <c r="B31" s="47">
        <v>0</v>
      </c>
      <c r="C31" s="47">
        <v>250</v>
      </c>
      <c r="D31" s="47">
        <v>100</v>
      </c>
      <c r="E31" s="47" t="s">
        <v>53</v>
      </c>
      <c r="F31" s="47" t="s">
        <v>90</v>
      </c>
      <c r="G31" s="47">
        <v>0</v>
      </c>
      <c r="H31" s="47" t="s">
        <v>90</v>
      </c>
      <c r="I31" s="47">
        <v>8133</v>
      </c>
      <c r="J31" s="48">
        <f>D31</f>
        <v>100</v>
      </c>
      <c r="L31" s="164"/>
      <c r="M31" s="164"/>
    </row>
  </sheetData>
  <autoFilter ref="A1:G1"/>
  <phoneticPr fontId="5"/>
  <conditionalFormatting sqref="K30:K1048576 K1:K21 K24:K28">
    <cfRule type="duplicateValues" dxfId="3" priority="4"/>
  </conditionalFormatting>
  <conditionalFormatting sqref="K29">
    <cfRule type="duplicateValues" dxfId="2" priority="3"/>
  </conditionalFormatting>
  <conditionalFormatting sqref="K22">
    <cfRule type="duplicateValues" dxfId="1" priority="2"/>
  </conditionalFormatting>
  <conditionalFormatting sqref="K2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P12" sqref="P1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0" t="s">
        <v>151</v>
      </c>
      <c r="B1" s="60" t="s">
        <v>152</v>
      </c>
      <c r="C1" s="61" t="s">
        <v>153</v>
      </c>
      <c r="D1" s="66" t="s">
        <v>154</v>
      </c>
      <c r="E1" s="62" t="s">
        <v>155</v>
      </c>
      <c r="F1" s="60" t="s">
        <v>156</v>
      </c>
      <c r="G1" s="60" t="s">
        <v>157</v>
      </c>
      <c r="H1" s="60" t="s">
        <v>158</v>
      </c>
      <c r="I1" s="60" t="s">
        <v>159</v>
      </c>
      <c r="J1" s="60" t="s">
        <v>160</v>
      </c>
      <c r="K1" s="60" t="s">
        <v>161</v>
      </c>
      <c r="L1" s="60" t="s">
        <v>162</v>
      </c>
      <c r="M1" s="60" t="s">
        <v>163</v>
      </c>
      <c r="N1" s="60" t="s">
        <v>164</v>
      </c>
      <c r="O1" s="60" t="s">
        <v>165</v>
      </c>
      <c r="P1" s="60" t="s">
        <v>166</v>
      </c>
      <c r="Q1" s="60" t="s">
        <v>167</v>
      </c>
      <c r="R1" s="60" t="s">
        <v>168</v>
      </c>
    </row>
    <row r="2" spans="1:18" x14ac:dyDescent="0.15">
      <c r="A2" s="55">
        <v>38101</v>
      </c>
      <c r="B2" s="55">
        <v>1</v>
      </c>
      <c r="C2" s="55" t="str">
        <f>A2&amp; "_"&amp;B2</f>
        <v>38101_1</v>
      </c>
      <c r="D2" s="175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169</v>
      </c>
      <c r="G2" s="55">
        <v>3200</v>
      </c>
      <c r="H2" s="55" t="s">
        <v>53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200</v>
      </c>
      <c r="Q2" s="55" t="s">
        <v>170</v>
      </c>
      <c r="R2" s="55" t="s">
        <v>171</v>
      </c>
    </row>
    <row r="3" spans="1:18" x14ac:dyDescent="0.15">
      <c r="A3" s="55">
        <v>38101</v>
      </c>
      <c r="B3" s="55">
        <v>1</v>
      </c>
      <c r="C3" s="55" t="str">
        <f t="shared" ref="C3:C33" si="0">A3&amp; "_"&amp;B3</f>
        <v>38101_1</v>
      </c>
      <c r="D3" s="175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2</v>
      </c>
      <c r="F3" s="55" t="s">
        <v>350</v>
      </c>
      <c r="G3" s="55">
        <v>20</v>
      </c>
      <c r="H3" s="55" t="s">
        <v>53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200</v>
      </c>
      <c r="Q3" s="55" t="s">
        <v>170</v>
      </c>
      <c r="R3" s="55" t="s">
        <v>171</v>
      </c>
    </row>
    <row r="4" spans="1:18" x14ac:dyDescent="0.15">
      <c r="A4" s="55">
        <v>38101</v>
      </c>
      <c r="B4" s="55">
        <v>1</v>
      </c>
      <c r="C4" s="55" t="str">
        <f t="shared" si="0"/>
        <v>38101_1</v>
      </c>
      <c r="D4" s="175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3</v>
      </c>
      <c r="F4" s="55" t="s">
        <v>351</v>
      </c>
      <c r="G4" s="176">
        <v>332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70</v>
      </c>
      <c r="Q4" s="55" t="s">
        <v>170</v>
      </c>
      <c r="R4" s="55" t="s">
        <v>171</v>
      </c>
    </row>
    <row r="5" spans="1:18" x14ac:dyDescent="0.15">
      <c r="A5" s="55">
        <v>38101</v>
      </c>
      <c r="B5" s="55">
        <v>1</v>
      </c>
      <c r="C5" s="55" t="str">
        <f t="shared" si="0"/>
        <v>38101_1</v>
      </c>
      <c r="D5" s="175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4</v>
      </c>
      <c r="F5" s="55" t="s">
        <v>351</v>
      </c>
      <c r="G5" s="176">
        <v>333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70</v>
      </c>
      <c r="Q5" s="55" t="s">
        <v>170</v>
      </c>
      <c r="R5" s="55" t="s">
        <v>171</v>
      </c>
    </row>
    <row r="6" spans="1:18" x14ac:dyDescent="0.15">
      <c r="A6" s="55">
        <v>38101</v>
      </c>
      <c r="B6" s="55">
        <v>1</v>
      </c>
      <c r="C6" s="55" t="str">
        <f t="shared" si="0"/>
        <v>38101_1</v>
      </c>
      <c r="D6" s="175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5</v>
      </c>
      <c r="F6" s="55" t="s">
        <v>351</v>
      </c>
      <c r="G6" s="55">
        <v>121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50</v>
      </c>
      <c r="Q6" s="55" t="s">
        <v>170</v>
      </c>
      <c r="R6" s="55" t="s">
        <v>171</v>
      </c>
    </row>
    <row r="7" spans="1:18" x14ac:dyDescent="0.15">
      <c r="A7" s="55">
        <v>38101</v>
      </c>
      <c r="B7" s="55">
        <v>1</v>
      </c>
      <c r="C7" s="55" t="str">
        <f t="shared" si="0"/>
        <v>38101_1</v>
      </c>
      <c r="D7" s="175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6</v>
      </c>
      <c r="F7" s="55" t="s">
        <v>351</v>
      </c>
      <c r="G7" s="55">
        <v>122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50</v>
      </c>
      <c r="Q7" s="55" t="s">
        <v>170</v>
      </c>
      <c r="R7" s="55" t="s">
        <v>171</v>
      </c>
    </row>
    <row r="8" spans="1:18" x14ac:dyDescent="0.15">
      <c r="A8" s="55">
        <v>38101</v>
      </c>
      <c r="B8" s="55">
        <v>1</v>
      </c>
      <c r="C8" s="55" t="str">
        <f t="shared" si="0"/>
        <v>38101_1</v>
      </c>
      <c r="D8" s="175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5">
        <v>7</v>
      </c>
      <c r="F8" s="55" t="s">
        <v>351</v>
      </c>
      <c r="G8" s="55">
        <v>123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50</v>
      </c>
      <c r="Q8" s="55" t="s">
        <v>170</v>
      </c>
      <c r="R8" s="55" t="s">
        <v>171</v>
      </c>
    </row>
    <row r="9" spans="1:18" x14ac:dyDescent="0.15">
      <c r="A9" s="55">
        <v>38101</v>
      </c>
      <c r="B9" s="55">
        <v>1</v>
      </c>
      <c r="C9" s="55" t="str">
        <f t="shared" si="0"/>
        <v>38101_1</v>
      </c>
      <c r="D9" s="175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5">
        <v>8</v>
      </c>
      <c r="F9" s="55" t="s">
        <v>351</v>
      </c>
      <c r="G9" s="55">
        <v>125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10</v>
      </c>
      <c r="Q9" s="55" t="s">
        <v>170</v>
      </c>
      <c r="R9" s="55" t="s">
        <v>171</v>
      </c>
    </row>
    <row r="10" spans="1:18" x14ac:dyDescent="0.15">
      <c r="A10" s="55">
        <v>38101</v>
      </c>
      <c r="B10" s="55">
        <v>1</v>
      </c>
      <c r="C10" s="55" t="str">
        <f t="shared" si="0"/>
        <v>38101_1</v>
      </c>
      <c r="D10" s="175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5">
        <v>9</v>
      </c>
      <c r="F10" s="55" t="s">
        <v>351</v>
      </c>
      <c r="G10" s="59">
        <v>8138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176">
        <v>150</v>
      </c>
      <c r="Q10" s="55" t="s">
        <v>170</v>
      </c>
      <c r="R10" s="55" t="s">
        <v>171</v>
      </c>
    </row>
    <row r="11" spans="1:18" ht="16" thickBot="1" x14ac:dyDescent="0.2">
      <c r="A11" s="177">
        <v>38101</v>
      </c>
      <c r="B11" s="177">
        <v>1</v>
      </c>
      <c r="C11" s="177" t="str">
        <f t="shared" si="0"/>
        <v>38101_1</v>
      </c>
      <c r="D11" s="17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77">
        <v>10</v>
      </c>
      <c r="F11" s="177" t="s">
        <v>351</v>
      </c>
      <c r="G11" s="179">
        <v>348</v>
      </c>
      <c r="H11" s="177">
        <v>1</v>
      </c>
      <c r="I11" s="177">
        <v>1</v>
      </c>
      <c r="J11" s="177">
        <v>1</v>
      </c>
      <c r="K11" s="177">
        <v>0</v>
      </c>
      <c r="L11" s="177">
        <v>0</v>
      </c>
      <c r="M11" s="177">
        <v>0</v>
      </c>
      <c r="N11" s="177">
        <v>0</v>
      </c>
      <c r="O11" s="177">
        <v>1</v>
      </c>
      <c r="P11" s="177">
        <v>150</v>
      </c>
      <c r="Q11" s="177" t="s">
        <v>170</v>
      </c>
      <c r="R11" s="177" t="s">
        <v>171</v>
      </c>
    </row>
    <row r="12" spans="1:18" ht="16" thickTop="1" x14ac:dyDescent="0.15">
      <c r="A12" s="180">
        <v>38101</v>
      </c>
      <c r="B12" s="180">
        <v>2</v>
      </c>
      <c r="C12" s="180" t="str">
        <f t="shared" si="0"/>
        <v>38101_2</v>
      </c>
      <c r="D12" s="18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80">
        <v>11</v>
      </c>
      <c r="F12" s="180" t="s">
        <v>169</v>
      </c>
      <c r="G12" s="180">
        <v>5000</v>
      </c>
      <c r="H12" s="180" t="s">
        <v>53</v>
      </c>
      <c r="I12" s="180">
        <v>1</v>
      </c>
      <c r="J12" s="180">
        <v>1</v>
      </c>
      <c r="K12" s="180">
        <v>0</v>
      </c>
      <c r="L12" s="180">
        <v>0</v>
      </c>
      <c r="M12" s="180">
        <v>0</v>
      </c>
      <c r="N12" s="180">
        <v>0</v>
      </c>
      <c r="O12" s="180">
        <v>1</v>
      </c>
      <c r="P12" s="180">
        <v>150</v>
      </c>
      <c r="Q12" s="180" t="s">
        <v>170</v>
      </c>
      <c r="R12" s="180" t="s">
        <v>171</v>
      </c>
    </row>
    <row r="13" spans="1:18" x14ac:dyDescent="0.15">
      <c r="A13" s="182">
        <v>38101</v>
      </c>
      <c r="B13" s="182">
        <v>2</v>
      </c>
      <c r="C13" s="182" t="str">
        <f t="shared" si="0"/>
        <v>38101_2</v>
      </c>
      <c r="D13" s="183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82">
        <v>12</v>
      </c>
      <c r="F13" s="182" t="s">
        <v>350</v>
      </c>
      <c r="G13" s="182">
        <v>25</v>
      </c>
      <c r="H13" s="182" t="s">
        <v>53</v>
      </c>
      <c r="I13" s="182">
        <v>1</v>
      </c>
      <c r="J13" s="182">
        <v>1</v>
      </c>
      <c r="K13" s="182">
        <v>0</v>
      </c>
      <c r="L13" s="182">
        <v>0</v>
      </c>
      <c r="M13" s="182">
        <v>0</v>
      </c>
      <c r="N13" s="182">
        <v>0</v>
      </c>
      <c r="O13" s="182">
        <v>1</v>
      </c>
      <c r="P13" s="182">
        <v>150</v>
      </c>
      <c r="Q13" s="182" t="s">
        <v>170</v>
      </c>
      <c r="R13" s="182" t="s">
        <v>171</v>
      </c>
    </row>
    <row r="14" spans="1:18" x14ac:dyDescent="0.15">
      <c r="A14" s="182">
        <v>38101</v>
      </c>
      <c r="B14" s="182">
        <v>2</v>
      </c>
      <c r="C14" s="182" t="str">
        <f t="shared" si="0"/>
        <v>38101_2</v>
      </c>
      <c r="D14" s="183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82">
        <v>13</v>
      </c>
      <c r="F14" s="182" t="s">
        <v>351</v>
      </c>
      <c r="G14" s="184">
        <v>332</v>
      </c>
      <c r="H14" s="182">
        <v>1</v>
      </c>
      <c r="I14" s="182">
        <v>1</v>
      </c>
      <c r="J14" s="182">
        <v>1</v>
      </c>
      <c r="K14" s="182">
        <v>0</v>
      </c>
      <c r="L14" s="182">
        <v>0</v>
      </c>
      <c r="M14" s="182">
        <v>0</v>
      </c>
      <c r="N14" s="182">
        <v>0</v>
      </c>
      <c r="O14" s="182">
        <v>1</v>
      </c>
      <c r="P14" s="182">
        <v>56</v>
      </c>
      <c r="Q14" s="182" t="s">
        <v>170</v>
      </c>
      <c r="R14" s="182" t="s">
        <v>171</v>
      </c>
    </row>
    <row r="15" spans="1:18" x14ac:dyDescent="0.15">
      <c r="A15" s="182">
        <v>38101</v>
      </c>
      <c r="B15" s="182">
        <v>2</v>
      </c>
      <c r="C15" s="182" t="str">
        <f t="shared" si="0"/>
        <v>38101_2</v>
      </c>
      <c r="D15" s="183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82">
        <v>14</v>
      </c>
      <c r="F15" s="182" t="s">
        <v>351</v>
      </c>
      <c r="G15" s="184">
        <v>333</v>
      </c>
      <c r="H15" s="182">
        <v>1</v>
      </c>
      <c r="I15" s="182">
        <v>1</v>
      </c>
      <c r="J15" s="182">
        <v>1</v>
      </c>
      <c r="K15" s="182">
        <v>0</v>
      </c>
      <c r="L15" s="182">
        <v>0</v>
      </c>
      <c r="M15" s="182">
        <v>0</v>
      </c>
      <c r="N15" s="182">
        <v>0</v>
      </c>
      <c r="O15" s="182">
        <v>1</v>
      </c>
      <c r="P15" s="182">
        <v>56</v>
      </c>
      <c r="Q15" s="182" t="s">
        <v>170</v>
      </c>
      <c r="R15" s="182" t="s">
        <v>171</v>
      </c>
    </row>
    <row r="16" spans="1:18" x14ac:dyDescent="0.15">
      <c r="A16" s="182">
        <v>38101</v>
      </c>
      <c r="B16" s="182">
        <v>2</v>
      </c>
      <c r="C16" s="182" t="str">
        <f t="shared" si="0"/>
        <v>38101_2</v>
      </c>
      <c r="D16" s="183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82">
        <v>15</v>
      </c>
      <c r="F16" s="182" t="s">
        <v>351</v>
      </c>
      <c r="G16" s="184">
        <v>334</v>
      </c>
      <c r="H16" s="182">
        <v>1</v>
      </c>
      <c r="I16" s="182">
        <v>1</v>
      </c>
      <c r="J16" s="182">
        <v>1</v>
      </c>
      <c r="K16" s="182">
        <v>0</v>
      </c>
      <c r="L16" s="182">
        <v>0</v>
      </c>
      <c r="M16" s="182">
        <v>0</v>
      </c>
      <c r="N16" s="182">
        <v>0</v>
      </c>
      <c r="O16" s="182">
        <v>1</v>
      </c>
      <c r="P16" s="182">
        <v>28</v>
      </c>
      <c r="Q16" s="182" t="s">
        <v>170</v>
      </c>
      <c r="R16" s="182" t="s">
        <v>171</v>
      </c>
    </row>
    <row r="17" spans="1:18" x14ac:dyDescent="0.15">
      <c r="A17" s="182">
        <v>38101</v>
      </c>
      <c r="B17" s="182">
        <v>2</v>
      </c>
      <c r="C17" s="182" t="str">
        <f t="shared" si="0"/>
        <v>38101_2</v>
      </c>
      <c r="D17" s="183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82">
        <v>16</v>
      </c>
      <c r="F17" s="182" t="s">
        <v>351</v>
      </c>
      <c r="G17" s="182">
        <v>121</v>
      </c>
      <c r="H17" s="182">
        <v>1</v>
      </c>
      <c r="I17" s="182">
        <v>1</v>
      </c>
      <c r="J17" s="182">
        <v>1</v>
      </c>
      <c r="K17" s="182">
        <v>0</v>
      </c>
      <c r="L17" s="182">
        <v>0</v>
      </c>
      <c r="M17" s="182">
        <v>0</v>
      </c>
      <c r="N17" s="182">
        <v>0</v>
      </c>
      <c r="O17" s="182">
        <v>1</v>
      </c>
      <c r="P17" s="182">
        <v>50</v>
      </c>
      <c r="Q17" s="182" t="s">
        <v>170</v>
      </c>
      <c r="R17" s="182" t="s">
        <v>171</v>
      </c>
    </row>
    <row r="18" spans="1:18" x14ac:dyDescent="0.15">
      <c r="A18" s="182">
        <v>38101</v>
      </c>
      <c r="B18" s="182">
        <v>2</v>
      </c>
      <c r="C18" s="182" t="str">
        <f t="shared" si="0"/>
        <v>38101_2</v>
      </c>
      <c r="D18" s="183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82">
        <v>17</v>
      </c>
      <c r="F18" s="182" t="s">
        <v>351</v>
      </c>
      <c r="G18" s="182">
        <v>122</v>
      </c>
      <c r="H18" s="182">
        <v>1</v>
      </c>
      <c r="I18" s="182">
        <v>1</v>
      </c>
      <c r="J18" s="182">
        <v>1</v>
      </c>
      <c r="K18" s="182">
        <v>0</v>
      </c>
      <c r="L18" s="182">
        <v>0</v>
      </c>
      <c r="M18" s="182">
        <v>0</v>
      </c>
      <c r="N18" s="182">
        <v>0</v>
      </c>
      <c r="O18" s="182">
        <v>1</v>
      </c>
      <c r="P18" s="182">
        <v>50</v>
      </c>
      <c r="Q18" s="182" t="s">
        <v>170</v>
      </c>
      <c r="R18" s="182" t="s">
        <v>171</v>
      </c>
    </row>
    <row r="19" spans="1:18" x14ac:dyDescent="0.15">
      <c r="A19" s="182">
        <v>38101</v>
      </c>
      <c r="B19" s="182">
        <v>2</v>
      </c>
      <c r="C19" s="182" t="str">
        <f t="shared" si="0"/>
        <v>38101_2</v>
      </c>
      <c r="D19" s="183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82">
        <v>18</v>
      </c>
      <c r="F19" s="182" t="s">
        <v>351</v>
      </c>
      <c r="G19" s="182">
        <v>123</v>
      </c>
      <c r="H19" s="182">
        <v>1</v>
      </c>
      <c r="I19" s="182">
        <v>1</v>
      </c>
      <c r="J19" s="182">
        <v>1</v>
      </c>
      <c r="K19" s="182">
        <v>0</v>
      </c>
      <c r="L19" s="182">
        <v>0</v>
      </c>
      <c r="M19" s="182">
        <v>0</v>
      </c>
      <c r="N19" s="182">
        <v>0</v>
      </c>
      <c r="O19" s="182">
        <v>1</v>
      </c>
      <c r="P19" s="182">
        <v>50</v>
      </c>
      <c r="Q19" s="182" t="s">
        <v>170</v>
      </c>
      <c r="R19" s="182" t="s">
        <v>171</v>
      </c>
    </row>
    <row r="20" spans="1:18" x14ac:dyDescent="0.15">
      <c r="A20" s="182">
        <v>38101</v>
      </c>
      <c r="B20" s="182">
        <v>2</v>
      </c>
      <c r="C20" s="182" t="str">
        <f t="shared" si="0"/>
        <v>38101_2</v>
      </c>
      <c r="D20" s="183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82">
        <v>19</v>
      </c>
      <c r="F20" s="182" t="s">
        <v>351</v>
      </c>
      <c r="G20" s="182">
        <v>125</v>
      </c>
      <c r="H20" s="182">
        <v>1</v>
      </c>
      <c r="I20" s="182">
        <v>1</v>
      </c>
      <c r="J20" s="182">
        <v>1</v>
      </c>
      <c r="K20" s="182">
        <v>0</v>
      </c>
      <c r="L20" s="182">
        <v>0</v>
      </c>
      <c r="M20" s="182">
        <v>0</v>
      </c>
      <c r="N20" s="182">
        <v>0</v>
      </c>
      <c r="O20" s="182">
        <v>1</v>
      </c>
      <c r="P20" s="182">
        <v>10</v>
      </c>
      <c r="Q20" s="182" t="s">
        <v>170</v>
      </c>
      <c r="R20" s="182" t="s">
        <v>171</v>
      </c>
    </row>
    <row r="21" spans="1:18" x14ac:dyDescent="0.15">
      <c r="A21" s="182">
        <v>38101</v>
      </c>
      <c r="B21" s="182">
        <v>2</v>
      </c>
      <c r="C21" s="182" t="str">
        <f t="shared" si="0"/>
        <v>38101_2</v>
      </c>
      <c r="D21" s="183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82">
        <v>20</v>
      </c>
      <c r="F21" s="182" t="s">
        <v>351</v>
      </c>
      <c r="G21" s="59">
        <v>8138</v>
      </c>
      <c r="H21" s="182">
        <v>1</v>
      </c>
      <c r="I21" s="182">
        <v>1</v>
      </c>
      <c r="J21" s="182">
        <v>1</v>
      </c>
      <c r="K21" s="182">
        <v>0</v>
      </c>
      <c r="L21" s="182">
        <v>0</v>
      </c>
      <c r="M21" s="182">
        <v>0</v>
      </c>
      <c r="N21" s="182">
        <v>0</v>
      </c>
      <c r="O21" s="182">
        <v>1</v>
      </c>
      <c r="P21" s="184">
        <v>250</v>
      </c>
      <c r="Q21" s="182" t="s">
        <v>170</v>
      </c>
      <c r="R21" s="182" t="s">
        <v>171</v>
      </c>
    </row>
    <row r="22" spans="1:18" ht="16" thickBot="1" x14ac:dyDescent="0.2">
      <c r="A22" s="185">
        <v>38101</v>
      </c>
      <c r="B22" s="185">
        <v>2</v>
      </c>
      <c r="C22" s="185" t="str">
        <f t="shared" si="0"/>
        <v>38101_2</v>
      </c>
      <c r="D22" s="186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85">
        <v>21</v>
      </c>
      <c r="F22" s="185" t="s">
        <v>351</v>
      </c>
      <c r="G22" s="187">
        <v>348</v>
      </c>
      <c r="H22" s="185">
        <v>1</v>
      </c>
      <c r="I22" s="185">
        <v>1</v>
      </c>
      <c r="J22" s="185">
        <v>1</v>
      </c>
      <c r="K22" s="185">
        <v>0</v>
      </c>
      <c r="L22" s="185">
        <v>0</v>
      </c>
      <c r="M22" s="185">
        <v>0</v>
      </c>
      <c r="N22" s="185">
        <v>0</v>
      </c>
      <c r="O22" s="185">
        <v>1</v>
      </c>
      <c r="P22" s="185">
        <v>150</v>
      </c>
      <c r="Q22" s="185" t="s">
        <v>170</v>
      </c>
      <c r="R22" s="185" t="s">
        <v>171</v>
      </c>
    </row>
    <row r="23" spans="1:18" ht="16" thickTop="1" x14ac:dyDescent="0.15">
      <c r="A23" s="188">
        <v>38101</v>
      </c>
      <c r="B23" s="188">
        <v>3</v>
      </c>
      <c r="C23" s="188" t="str">
        <f t="shared" si="0"/>
        <v>38101_3</v>
      </c>
      <c r="D23" s="189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88">
        <v>22</v>
      </c>
      <c r="F23" s="188" t="s">
        <v>169</v>
      </c>
      <c r="G23" s="188">
        <v>6500</v>
      </c>
      <c r="H23" s="188" t="s">
        <v>53</v>
      </c>
      <c r="I23" s="188">
        <v>1</v>
      </c>
      <c r="J23" s="188">
        <v>1</v>
      </c>
      <c r="K23" s="188">
        <v>0</v>
      </c>
      <c r="L23" s="188">
        <v>0</v>
      </c>
      <c r="M23" s="188">
        <v>0</v>
      </c>
      <c r="N23" s="188">
        <v>0</v>
      </c>
      <c r="O23" s="188">
        <v>1</v>
      </c>
      <c r="P23" s="188">
        <v>50</v>
      </c>
      <c r="Q23" s="188" t="s">
        <v>170</v>
      </c>
      <c r="R23" s="188" t="s">
        <v>171</v>
      </c>
    </row>
    <row r="24" spans="1:18" x14ac:dyDescent="0.15">
      <c r="A24" s="55">
        <v>38101</v>
      </c>
      <c r="B24" s="55">
        <v>3</v>
      </c>
      <c r="C24" s="55" t="str">
        <f t="shared" si="0"/>
        <v>38101_3</v>
      </c>
      <c r="D24" s="175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5">
        <v>23</v>
      </c>
      <c r="F24" s="55" t="s">
        <v>350</v>
      </c>
      <c r="G24" s="55">
        <v>25</v>
      </c>
      <c r="H24" s="55" t="s">
        <v>53</v>
      </c>
      <c r="I24" s="55">
        <v>1</v>
      </c>
      <c r="J24" s="55">
        <v>1</v>
      </c>
      <c r="K24" s="55">
        <v>0</v>
      </c>
      <c r="L24" s="55">
        <v>0</v>
      </c>
      <c r="M24" s="55">
        <v>0</v>
      </c>
      <c r="N24" s="55">
        <v>0</v>
      </c>
      <c r="O24" s="55">
        <v>1</v>
      </c>
      <c r="P24" s="55">
        <v>50</v>
      </c>
      <c r="Q24" s="55" t="s">
        <v>170</v>
      </c>
      <c r="R24" s="55" t="s">
        <v>171</v>
      </c>
    </row>
    <row r="25" spans="1:18" x14ac:dyDescent="0.15">
      <c r="A25" s="55">
        <v>38101</v>
      </c>
      <c r="B25" s="55">
        <v>3</v>
      </c>
      <c r="C25" s="55" t="str">
        <f t="shared" si="0"/>
        <v>38101_3</v>
      </c>
      <c r="D25" s="175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5">
        <v>24</v>
      </c>
      <c r="F25" s="55" t="s">
        <v>351</v>
      </c>
      <c r="G25" s="176">
        <v>332</v>
      </c>
      <c r="H25" s="55">
        <v>1</v>
      </c>
      <c r="I25" s="55">
        <v>1</v>
      </c>
      <c r="J25" s="55">
        <v>1</v>
      </c>
      <c r="K25" s="55">
        <v>0</v>
      </c>
      <c r="L25" s="55">
        <v>0</v>
      </c>
      <c r="M25" s="55">
        <v>0</v>
      </c>
      <c r="N25" s="55">
        <v>0</v>
      </c>
      <c r="O25" s="55">
        <v>1</v>
      </c>
      <c r="P25" s="55">
        <v>28</v>
      </c>
      <c r="Q25" s="55" t="s">
        <v>170</v>
      </c>
      <c r="R25" s="55" t="s">
        <v>171</v>
      </c>
    </row>
    <row r="26" spans="1:18" x14ac:dyDescent="0.15">
      <c r="A26" s="55">
        <v>38101</v>
      </c>
      <c r="B26" s="55">
        <v>3</v>
      </c>
      <c r="C26" s="55" t="str">
        <f t="shared" si="0"/>
        <v>38101_3</v>
      </c>
      <c r="D26" s="175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5">
        <v>25</v>
      </c>
      <c r="F26" s="55" t="s">
        <v>351</v>
      </c>
      <c r="G26" s="176">
        <v>333</v>
      </c>
      <c r="H26" s="55">
        <v>1</v>
      </c>
      <c r="I26" s="55">
        <v>1</v>
      </c>
      <c r="J26" s="55">
        <v>1</v>
      </c>
      <c r="K26" s="55">
        <v>0</v>
      </c>
      <c r="L26" s="55">
        <v>0</v>
      </c>
      <c r="M26" s="55">
        <v>0</v>
      </c>
      <c r="N26" s="55">
        <v>0</v>
      </c>
      <c r="O26" s="55">
        <v>1</v>
      </c>
      <c r="P26" s="55">
        <v>56</v>
      </c>
      <c r="Q26" s="55" t="s">
        <v>170</v>
      </c>
      <c r="R26" s="55" t="s">
        <v>171</v>
      </c>
    </row>
    <row r="27" spans="1:18" x14ac:dyDescent="0.15">
      <c r="A27" s="55">
        <v>38101</v>
      </c>
      <c r="B27" s="55">
        <v>3</v>
      </c>
      <c r="C27" s="55" t="str">
        <f t="shared" si="0"/>
        <v>38101_3</v>
      </c>
      <c r="D27" s="175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5">
        <v>26</v>
      </c>
      <c r="F27" s="55" t="s">
        <v>351</v>
      </c>
      <c r="G27" s="176">
        <v>334</v>
      </c>
      <c r="H27" s="55">
        <v>1</v>
      </c>
      <c r="I27" s="55">
        <v>1</v>
      </c>
      <c r="J27" s="55">
        <v>1</v>
      </c>
      <c r="K27" s="55">
        <v>0</v>
      </c>
      <c r="L27" s="55">
        <v>0</v>
      </c>
      <c r="M27" s="55">
        <v>0</v>
      </c>
      <c r="N27" s="55">
        <v>0</v>
      </c>
      <c r="O27" s="55">
        <v>1</v>
      </c>
      <c r="P27" s="55">
        <v>56</v>
      </c>
      <c r="Q27" s="55" t="s">
        <v>170</v>
      </c>
      <c r="R27" s="55" t="s">
        <v>171</v>
      </c>
    </row>
    <row r="28" spans="1:18" x14ac:dyDescent="0.15">
      <c r="A28" s="55">
        <v>38101</v>
      </c>
      <c r="B28" s="55">
        <v>3</v>
      </c>
      <c r="C28" s="55" t="str">
        <f t="shared" si="0"/>
        <v>38101_3</v>
      </c>
      <c r="D28" s="175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5">
        <v>27</v>
      </c>
      <c r="F28" s="55" t="s">
        <v>351</v>
      </c>
      <c r="G28" s="55">
        <v>121</v>
      </c>
      <c r="H28" s="55">
        <v>1</v>
      </c>
      <c r="I28" s="55">
        <v>1</v>
      </c>
      <c r="J28" s="55">
        <v>1</v>
      </c>
      <c r="K28" s="55">
        <v>0</v>
      </c>
      <c r="L28" s="55">
        <v>0</v>
      </c>
      <c r="M28" s="55">
        <v>0</v>
      </c>
      <c r="N28" s="55">
        <v>0</v>
      </c>
      <c r="O28" s="55">
        <v>1</v>
      </c>
      <c r="P28" s="55">
        <v>50</v>
      </c>
      <c r="Q28" s="55" t="s">
        <v>170</v>
      </c>
      <c r="R28" s="55" t="s">
        <v>171</v>
      </c>
    </row>
    <row r="29" spans="1:18" x14ac:dyDescent="0.15">
      <c r="A29" s="55">
        <v>38101</v>
      </c>
      <c r="B29" s="55">
        <v>3</v>
      </c>
      <c r="C29" s="55" t="str">
        <f t="shared" si="0"/>
        <v>38101_3</v>
      </c>
      <c r="D29" s="175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5">
        <v>28</v>
      </c>
      <c r="F29" s="55" t="s">
        <v>351</v>
      </c>
      <c r="G29" s="55">
        <v>122</v>
      </c>
      <c r="H29" s="55">
        <v>1</v>
      </c>
      <c r="I29" s="55">
        <v>1</v>
      </c>
      <c r="J29" s="55">
        <v>1</v>
      </c>
      <c r="K29" s="55">
        <v>0</v>
      </c>
      <c r="L29" s="55">
        <v>0</v>
      </c>
      <c r="M29" s="55">
        <v>0</v>
      </c>
      <c r="N29" s="55">
        <v>0</v>
      </c>
      <c r="O29" s="55">
        <v>1</v>
      </c>
      <c r="P29" s="55">
        <v>50</v>
      </c>
      <c r="Q29" s="55" t="s">
        <v>170</v>
      </c>
      <c r="R29" s="55" t="s">
        <v>171</v>
      </c>
    </row>
    <row r="30" spans="1:18" x14ac:dyDescent="0.15">
      <c r="A30" s="55">
        <v>38101</v>
      </c>
      <c r="B30" s="55">
        <v>3</v>
      </c>
      <c r="C30" s="55" t="str">
        <f t="shared" si="0"/>
        <v>38101_3</v>
      </c>
      <c r="D30" s="175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5">
        <v>29</v>
      </c>
      <c r="F30" s="55" t="s">
        <v>351</v>
      </c>
      <c r="G30" s="55">
        <v>123</v>
      </c>
      <c r="H30" s="55">
        <v>1</v>
      </c>
      <c r="I30" s="55">
        <v>1</v>
      </c>
      <c r="J30" s="55">
        <v>1</v>
      </c>
      <c r="K30" s="55">
        <v>0</v>
      </c>
      <c r="L30" s="55">
        <v>0</v>
      </c>
      <c r="M30" s="55">
        <v>0</v>
      </c>
      <c r="N30" s="55">
        <v>0</v>
      </c>
      <c r="O30" s="55">
        <v>1</v>
      </c>
      <c r="P30" s="55">
        <v>50</v>
      </c>
      <c r="Q30" s="55" t="s">
        <v>170</v>
      </c>
      <c r="R30" s="55" t="s">
        <v>171</v>
      </c>
    </row>
    <row r="31" spans="1:18" x14ac:dyDescent="0.15">
      <c r="A31" s="55">
        <v>38101</v>
      </c>
      <c r="B31" s="55">
        <v>3</v>
      </c>
      <c r="C31" s="55" t="str">
        <f t="shared" si="0"/>
        <v>38101_3</v>
      </c>
      <c r="D31" s="175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5">
        <v>30</v>
      </c>
      <c r="F31" s="55" t="s">
        <v>351</v>
      </c>
      <c r="G31" s="55">
        <v>125</v>
      </c>
      <c r="H31" s="55">
        <v>1</v>
      </c>
      <c r="I31" s="55">
        <v>1</v>
      </c>
      <c r="J31" s="55">
        <v>1</v>
      </c>
      <c r="K31" s="55">
        <v>0</v>
      </c>
      <c r="L31" s="55">
        <v>0</v>
      </c>
      <c r="M31" s="55">
        <v>0</v>
      </c>
      <c r="N31" s="55">
        <v>0</v>
      </c>
      <c r="O31" s="55">
        <v>1</v>
      </c>
      <c r="P31" s="55">
        <v>10</v>
      </c>
      <c r="Q31" s="55" t="s">
        <v>170</v>
      </c>
      <c r="R31" s="55" t="s">
        <v>171</v>
      </c>
    </row>
    <row r="32" spans="1:18" x14ac:dyDescent="0.15">
      <c r="A32" s="55">
        <v>38101</v>
      </c>
      <c r="B32" s="55">
        <v>3</v>
      </c>
      <c r="C32" s="55" t="str">
        <f t="shared" si="0"/>
        <v>38101_3</v>
      </c>
      <c r="D32" s="175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5">
        <v>31</v>
      </c>
      <c r="F32" s="55" t="s">
        <v>351</v>
      </c>
      <c r="G32" s="59">
        <v>8138</v>
      </c>
      <c r="H32" s="55">
        <v>1</v>
      </c>
      <c r="I32" s="55">
        <v>1</v>
      </c>
      <c r="J32" s="55">
        <v>1</v>
      </c>
      <c r="K32" s="55">
        <v>0</v>
      </c>
      <c r="L32" s="55">
        <v>0</v>
      </c>
      <c r="M32" s="55">
        <v>0</v>
      </c>
      <c r="N32" s="55">
        <v>0</v>
      </c>
      <c r="O32" s="55">
        <v>1</v>
      </c>
      <c r="P32" s="176">
        <v>500</v>
      </c>
      <c r="Q32" s="55" t="s">
        <v>170</v>
      </c>
      <c r="R32" s="55" t="s">
        <v>171</v>
      </c>
    </row>
    <row r="33" spans="1:18" x14ac:dyDescent="0.15">
      <c r="A33" s="55">
        <v>38101</v>
      </c>
      <c r="B33" s="55">
        <v>3</v>
      </c>
      <c r="C33" s="55" t="str">
        <f t="shared" si="0"/>
        <v>38101_3</v>
      </c>
      <c r="D33" s="175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55">
        <v>32</v>
      </c>
      <c r="F33" s="55" t="s">
        <v>351</v>
      </c>
      <c r="G33" s="176">
        <v>348</v>
      </c>
      <c r="H33" s="55">
        <v>1</v>
      </c>
      <c r="I33" s="55">
        <v>1</v>
      </c>
      <c r="J33" s="55">
        <v>1</v>
      </c>
      <c r="K33" s="55">
        <v>0</v>
      </c>
      <c r="L33" s="55">
        <v>0</v>
      </c>
      <c r="M33" s="55">
        <v>0</v>
      </c>
      <c r="N33" s="55">
        <v>0</v>
      </c>
      <c r="O33" s="55">
        <v>1</v>
      </c>
      <c r="P33" s="55">
        <v>100</v>
      </c>
      <c r="Q33" s="55" t="s">
        <v>170</v>
      </c>
      <c r="R33" s="55" t="s">
        <v>171</v>
      </c>
    </row>
  </sheetData>
  <phoneticPr fontId="5"/>
  <dataValidations disablePrompts="1"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08"/>
  <sheetViews>
    <sheetView showGridLines="0" workbookViewId="0">
      <pane ySplit="1" topLeftCell="A2" activePane="bottomLeft" state="frozen"/>
      <selection pane="bottomLeft" activeCell="H112" sqref="H112"/>
    </sheetView>
  </sheetViews>
  <sheetFormatPr baseColWidth="12" defaultColWidth="13" defaultRowHeight="15" outlineLevelCol="1" x14ac:dyDescent="0.15"/>
  <cols>
    <col min="1" max="1" width="13" style="8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0" t="s">
        <v>189</v>
      </c>
      <c r="B1" s="67" t="s">
        <v>190</v>
      </c>
      <c r="C1" s="71" t="s">
        <v>191</v>
      </c>
      <c r="D1" s="71" t="s">
        <v>33</v>
      </c>
      <c r="E1" s="67" t="s">
        <v>192</v>
      </c>
      <c r="F1" s="71" t="s">
        <v>193</v>
      </c>
      <c r="G1" s="71" t="s">
        <v>33</v>
      </c>
      <c r="H1" s="67" t="s">
        <v>194</v>
      </c>
      <c r="I1" s="85" t="s">
        <v>196</v>
      </c>
      <c r="J1" s="73" t="s">
        <v>127</v>
      </c>
      <c r="K1" s="72" t="s">
        <v>187</v>
      </c>
      <c r="L1" s="86" t="s">
        <v>186</v>
      </c>
      <c r="M1" s="74" t="s">
        <v>197</v>
      </c>
    </row>
    <row r="2" spans="1:13" x14ac:dyDescent="0.15">
      <c r="A2" s="75" t="s">
        <v>201</v>
      </c>
      <c r="B2" s="76">
        <f>floors!$C$2</f>
        <v>38101</v>
      </c>
      <c r="C2" s="77" t="str">
        <f ca="1">VLOOKUP($B2,OFFSET([2]quests!$A$1,0,0,COUNTA([2]quests!$A:$A),MATCH(C$1,[2]quests!$1:$1,0)-MATCH($B$1,[2]quests!$1:$1,0)+1),MATCH(C$1,[2]quests!$1:$1,0)-MATCH($B$1,[2]quests!$1:$1,0)+1,FALSE)</f>
        <v>安多</v>
      </c>
      <c r="D2" s="77" t="str">
        <f ca="1">VLOOKUP($B2,OFFSET([2]quests!$A$1,0,0,COUNTA([2]quests!$A:$A),MATCH(D$1,[2]quests!$1:$1,0)-MATCH($B$1,[2]quests!$1:$1,0)+1),MATCH(D$1,[2]quests!$1:$1,0)-MATCH($B$1,[2]quests!$1:$1,0)+1,FALSE)</f>
        <v>台湾版コラボ降臨1　超級</v>
      </c>
      <c r="E2" s="81" t="s">
        <v>214</v>
      </c>
      <c r="F2" s="77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77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79">
        <v>0</v>
      </c>
      <c r="I2">
        <v>1</v>
      </c>
      <c r="J2" s="78" t="s">
        <v>199</v>
      </c>
      <c r="K2" s="87" t="str">
        <f>VLOOKUP(I2,[6]stage_hints!$A:$C,3,FALSE)</f>
        <v>長くつなげて大ダメージ</v>
      </c>
      <c r="L2" s="88" t="str">
        <f>VLOOKUP(I2,[6]stage_hints!$A:$D,4,FALSE)</f>
        <v>パネルを長くつなげるほど_x000D_大ダメージを与えることができます</v>
      </c>
      <c r="M2" s="54" t="s">
        <v>211</v>
      </c>
    </row>
    <row r="3" spans="1:13" x14ac:dyDescent="0.15">
      <c r="A3" s="75" t="s">
        <v>201</v>
      </c>
      <c r="B3" s="76">
        <f>floors!$C$2</f>
        <v>38101</v>
      </c>
      <c r="C3" s="77" t="str">
        <f ca="1">VLOOKUP($B3,OFFSET([2]quests!$A$1,0,0,COUNTA([2]quests!$A:$A),MATCH(C$1,[2]quests!$1:$1,0)-MATCH($B$1,[2]quests!$1:$1,0)+1),MATCH(C$1,[2]quests!$1:$1,0)-MATCH($B$1,[2]quests!$1:$1,0)+1,FALSE)</f>
        <v>安多</v>
      </c>
      <c r="D3" s="77" t="str">
        <f ca="1">VLOOKUP($B3,OFFSET([2]quests!$A$1,0,0,COUNTA([2]quests!$A:$A),MATCH(D$1,[2]quests!$1:$1,0)-MATCH($B$1,[2]quests!$1:$1,0)+1),MATCH(D$1,[2]quests!$1:$1,0)-MATCH($B$1,[2]quests!$1:$1,0)+1,FALSE)</f>
        <v>台湾版コラボ降臨1　超級</v>
      </c>
      <c r="E3" s="81" t="s">
        <v>214</v>
      </c>
      <c r="F3" s="77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77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79">
        <v>0</v>
      </c>
      <c r="I3">
        <v>2</v>
      </c>
      <c r="J3" s="78" t="s">
        <v>199</v>
      </c>
      <c r="K3" s="87" t="str">
        <f>VLOOKUP(I3,[6]stage_hints!$A:$C,3,FALSE)</f>
        <v>属性の相性</v>
      </c>
      <c r="L3" s="88" t="str">
        <f>VLOOKUP(I3,[6]stage_hints!$A:$D,4,FALSE)</f>
        <v>赤＞青　青＞黄　黄＞緑　緑＞赤_x000D_敵属性に最適なパーティがオススメです</v>
      </c>
      <c r="M3" s="54" t="s">
        <v>211</v>
      </c>
    </row>
    <row r="4" spans="1:13" x14ac:dyDescent="0.15">
      <c r="A4" s="75" t="s">
        <v>201</v>
      </c>
      <c r="B4" s="76">
        <f>floors!$C$2</f>
        <v>38101</v>
      </c>
      <c r="C4" s="77" t="str">
        <f ca="1">VLOOKUP($B4,OFFSET([2]quests!$A$1,0,0,COUNTA([2]quests!$A:$A),MATCH(C$1,[2]quests!$1:$1,0)-MATCH($B$1,[2]quests!$1:$1,0)+1),MATCH(C$1,[2]quests!$1:$1,0)-MATCH($B$1,[2]quests!$1:$1,0)+1,FALSE)</f>
        <v>安多</v>
      </c>
      <c r="D4" s="77" t="str">
        <f ca="1">VLOOKUP($B4,OFFSET([2]quests!$A$1,0,0,COUNTA([2]quests!$A:$A),MATCH(D$1,[2]quests!$1:$1,0)-MATCH($B$1,[2]quests!$1:$1,0)+1),MATCH(D$1,[2]quests!$1:$1,0)-MATCH($B$1,[2]quests!$1:$1,0)+1,FALSE)</f>
        <v>台湾版コラボ降臨1　超級</v>
      </c>
      <c r="E4" s="81" t="s">
        <v>214</v>
      </c>
      <c r="F4" s="77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77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79">
        <v>0</v>
      </c>
      <c r="I4">
        <v>3</v>
      </c>
      <c r="J4" s="78" t="s">
        <v>199</v>
      </c>
      <c r="K4" s="87" t="str">
        <f>VLOOKUP(I4,[6]stage_hints!$A:$C,3,FALSE)</f>
        <v>ターゲット</v>
      </c>
      <c r="L4" s="88" t="str">
        <f>VLOOKUP(I4,[6]stage_hints!$A:$D,4,FALSE)</f>
        <v>敵ユニットをタップすると_x000D_その敵を狙い撃ちできます</v>
      </c>
      <c r="M4" s="54" t="s">
        <v>211</v>
      </c>
    </row>
    <row r="5" spans="1:13" x14ac:dyDescent="0.15">
      <c r="A5" s="75" t="s">
        <v>201</v>
      </c>
      <c r="B5" s="76">
        <f>floors!$C$2</f>
        <v>38101</v>
      </c>
      <c r="C5" s="77" t="str">
        <f ca="1">VLOOKUP($B5,OFFSET([2]quests!$A$1,0,0,COUNTA([2]quests!$A:$A),MATCH(C$1,[2]quests!$1:$1,0)-MATCH($B$1,[2]quests!$1:$1,0)+1),MATCH(C$1,[2]quests!$1:$1,0)-MATCH($B$1,[2]quests!$1:$1,0)+1,FALSE)</f>
        <v>安多</v>
      </c>
      <c r="D5" s="77" t="str">
        <f ca="1">VLOOKUP($B5,OFFSET([2]quests!$A$1,0,0,COUNTA([2]quests!$A:$A),MATCH(D$1,[2]quests!$1:$1,0)-MATCH($B$1,[2]quests!$1:$1,0)+1),MATCH(D$1,[2]quests!$1:$1,0)-MATCH($B$1,[2]quests!$1:$1,0)+1,FALSE)</f>
        <v>台湾版コラボ降臨1　超級</v>
      </c>
      <c r="E5" s="81" t="s">
        <v>214</v>
      </c>
      <c r="F5" s="77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77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79">
        <v>0</v>
      </c>
      <c r="I5">
        <v>5</v>
      </c>
      <c r="J5" s="78" t="s">
        <v>199</v>
      </c>
      <c r="K5" s="87" t="str">
        <f>VLOOKUP(I5,[6]stage_hints!$A:$C,3,FALSE)</f>
        <v>ユニット強化でレベルアップ</v>
      </c>
      <c r="L5" s="88" t="str">
        <f>VLOOKUP(I5,[6]stage_hints!$A:$D,4,FALSE)</f>
        <v>「ユニット強化」でレベルアップすると_x000D_勝てない敵にも勝てるようになります</v>
      </c>
      <c r="M5" s="54" t="s">
        <v>211</v>
      </c>
    </row>
    <row r="6" spans="1:13" x14ac:dyDescent="0.15">
      <c r="A6" s="75" t="s">
        <v>201</v>
      </c>
      <c r="B6" s="76">
        <f>floors!$C$2</f>
        <v>38101</v>
      </c>
      <c r="C6" s="77" t="str">
        <f ca="1">VLOOKUP($B6,OFFSET([2]quests!$A$1,0,0,COUNTA([2]quests!$A:$A),MATCH(C$1,[2]quests!$1:$1,0)-MATCH($B$1,[2]quests!$1:$1,0)+1),MATCH(C$1,[2]quests!$1:$1,0)-MATCH($B$1,[2]quests!$1:$1,0)+1,FALSE)</f>
        <v>安多</v>
      </c>
      <c r="D6" s="77" t="str">
        <f ca="1">VLOOKUP($B6,OFFSET([2]quests!$A$1,0,0,COUNTA([2]quests!$A:$A),MATCH(D$1,[2]quests!$1:$1,0)-MATCH($B$1,[2]quests!$1:$1,0)+1),MATCH(D$1,[2]quests!$1:$1,0)-MATCH($B$1,[2]quests!$1:$1,0)+1,FALSE)</f>
        <v>台湾版コラボ降臨1　超級</v>
      </c>
      <c r="E6" s="81" t="s">
        <v>214</v>
      </c>
      <c r="F6" s="77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77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79">
        <v>0</v>
      </c>
      <c r="I6">
        <v>6</v>
      </c>
      <c r="J6" s="78" t="s">
        <v>199</v>
      </c>
      <c r="K6" s="87" t="str">
        <f>VLOOKUP(I6,[6]stage_hints!$A:$C,3,FALSE)</f>
        <v>ユニット強化の属性ボーナス</v>
      </c>
      <c r="L6" s="88" t="str">
        <f>VLOOKUP(I6,[6]stage_hints!$A:$D,4,FALSE)</f>
        <v>同属性ユニットを強化素材にすると_x000D_経験値が多くもらえます</v>
      </c>
      <c r="M6" s="54" t="s">
        <v>211</v>
      </c>
    </row>
    <row r="7" spans="1:13" x14ac:dyDescent="0.15">
      <c r="A7" s="75" t="s">
        <v>201</v>
      </c>
      <c r="B7" s="76">
        <f>floors!$C$2</f>
        <v>38101</v>
      </c>
      <c r="C7" s="77" t="str">
        <f ca="1">VLOOKUP($B7,OFFSET([2]quests!$A$1,0,0,COUNTA([2]quests!$A:$A),MATCH(C$1,[2]quests!$1:$1,0)-MATCH($B$1,[2]quests!$1:$1,0)+1),MATCH(C$1,[2]quests!$1:$1,0)-MATCH($B$1,[2]quests!$1:$1,0)+1,FALSE)</f>
        <v>安多</v>
      </c>
      <c r="D7" s="77" t="str">
        <f ca="1">VLOOKUP($B7,OFFSET([2]quests!$A$1,0,0,COUNTA([2]quests!$A:$A),MATCH(D$1,[2]quests!$1:$1,0)-MATCH($B$1,[2]quests!$1:$1,0)+1),MATCH(D$1,[2]quests!$1:$1,0)-MATCH($B$1,[2]quests!$1:$1,0)+1,FALSE)</f>
        <v>台湾版コラボ降臨1　超級</v>
      </c>
      <c r="E7" s="81" t="s">
        <v>214</v>
      </c>
      <c r="F7" s="77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77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79">
        <v>0</v>
      </c>
      <c r="I7">
        <v>7</v>
      </c>
      <c r="J7" s="78" t="s">
        <v>199</v>
      </c>
      <c r="K7" s="87" t="str">
        <f>VLOOKUP(I7,[6]stage_hints!$A:$C,3,FALSE)</f>
        <v>メタルダックで経験値を獲得</v>
      </c>
      <c r="L7" s="88" t="str">
        <f>VLOOKUP(I7,[6]stage_hints!$A:$D,4,FALSE)</f>
        <v>「メタルなアヒル」を強化素材にすると_x000D_大量の経験値がもらえます</v>
      </c>
      <c r="M7" s="54" t="s">
        <v>211</v>
      </c>
    </row>
    <row r="8" spans="1:13" x14ac:dyDescent="0.15">
      <c r="A8" s="75" t="s">
        <v>201</v>
      </c>
      <c r="B8" s="76">
        <f>floors!$C$2</f>
        <v>38101</v>
      </c>
      <c r="C8" s="77" t="str">
        <f ca="1">VLOOKUP($B8,OFFSET([2]quests!$A$1,0,0,COUNTA([2]quests!$A:$A),MATCH(C$1,[2]quests!$1:$1,0)-MATCH($B$1,[2]quests!$1:$1,0)+1),MATCH(C$1,[2]quests!$1:$1,0)-MATCH($B$1,[2]quests!$1:$1,0)+1,FALSE)</f>
        <v>安多</v>
      </c>
      <c r="D8" s="77" t="str">
        <f ca="1">VLOOKUP($B8,OFFSET([2]quests!$A$1,0,0,COUNTA([2]quests!$A:$A),MATCH(D$1,[2]quests!$1:$1,0)-MATCH($B$1,[2]quests!$1:$1,0)+1),MATCH(D$1,[2]quests!$1:$1,0)-MATCH($B$1,[2]quests!$1:$1,0)+1,FALSE)</f>
        <v>台湾版コラボ降臨1　超級</v>
      </c>
      <c r="E8" s="81" t="s">
        <v>214</v>
      </c>
      <c r="F8" s="77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77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79">
        <v>0</v>
      </c>
      <c r="I8">
        <v>8</v>
      </c>
      <c r="J8" s="78" t="s">
        <v>199</v>
      </c>
      <c r="K8" s="87" t="str">
        <f>VLOOKUP(I8,[6]stage_hints!$A:$C,3,FALSE)</f>
        <v>ゲリラクエストは要チェック</v>
      </c>
      <c r="L8" s="88" t="str">
        <f>VLOOKUP(I8,[6]stage_hints!$A:$D,4,FALSE)</f>
        <v>時間限定の「アヒル捕獲作戦」では_x000D_経験値素材ユニットが多く手に入ります</v>
      </c>
      <c r="M8" s="54" t="s">
        <v>211</v>
      </c>
    </row>
    <row r="9" spans="1:13" x14ac:dyDescent="0.15">
      <c r="A9" s="75" t="s">
        <v>201</v>
      </c>
      <c r="B9" s="76">
        <f>floors!$C$2</f>
        <v>38101</v>
      </c>
      <c r="C9" s="77" t="str">
        <f ca="1">VLOOKUP($B9,OFFSET([2]quests!$A$1,0,0,COUNTA([2]quests!$A:$A),MATCH(C$1,[2]quests!$1:$1,0)-MATCH($B$1,[2]quests!$1:$1,0)+1),MATCH(C$1,[2]quests!$1:$1,0)-MATCH($B$1,[2]quests!$1:$1,0)+1,FALSE)</f>
        <v>安多</v>
      </c>
      <c r="D9" s="77" t="str">
        <f ca="1">VLOOKUP($B9,OFFSET([2]quests!$A$1,0,0,COUNTA([2]quests!$A:$A),MATCH(D$1,[2]quests!$1:$1,0)-MATCH($B$1,[2]quests!$1:$1,0)+1),MATCH(D$1,[2]quests!$1:$1,0)-MATCH($B$1,[2]quests!$1:$1,0)+1,FALSE)</f>
        <v>台湾版コラボ降臨1　超級</v>
      </c>
      <c r="E9" s="81" t="s">
        <v>214</v>
      </c>
      <c r="F9" s="77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77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79">
        <v>0</v>
      </c>
      <c r="I9">
        <v>9</v>
      </c>
      <c r="J9" s="78" t="s">
        <v>199</v>
      </c>
      <c r="K9" s="87" t="str">
        <f>VLOOKUP(I9,[6]stage_hints!$A:$C,3,FALSE)</f>
        <v>ゴールドダックでビットを獲得</v>
      </c>
      <c r="L9" s="88" t="str">
        <f>VLOOKUP(I9,[6]stage_hints!$A:$D,4,FALSE)</f>
        <v>「ゴールドなアヒル」を売却すると_x000D_大量のビットがもらえます</v>
      </c>
      <c r="M9" s="54" t="s">
        <v>211</v>
      </c>
    </row>
    <row r="10" spans="1:13" x14ac:dyDescent="0.15">
      <c r="A10" s="75" t="s">
        <v>201</v>
      </c>
      <c r="B10" s="76">
        <f>floors!$C$2</f>
        <v>38101</v>
      </c>
      <c r="C10" s="77" t="str">
        <f ca="1">VLOOKUP($B10,OFFSET([2]quests!$A$1,0,0,COUNTA([2]quests!$A:$A),MATCH(C$1,[2]quests!$1:$1,0)-MATCH($B$1,[2]quests!$1:$1,0)+1),MATCH(C$1,[2]quests!$1:$1,0)-MATCH($B$1,[2]quests!$1:$1,0)+1,FALSE)</f>
        <v>安多</v>
      </c>
      <c r="D10" s="77" t="str">
        <f ca="1">VLOOKUP($B10,OFFSET([2]quests!$A$1,0,0,COUNTA([2]quests!$A:$A),MATCH(D$1,[2]quests!$1:$1,0)-MATCH($B$1,[2]quests!$1:$1,0)+1),MATCH(D$1,[2]quests!$1:$1,0)-MATCH($B$1,[2]quests!$1:$1,0)+1,FALSE)</f>
        <v>台湾版コラボ降臨1　超級</v>
      </c>
      <c r="E10" s="81" t="s">
        <v>214</v>
      </c>
      <c r="F10" s="77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77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79">
        <v>0</v>
      </c>
      <c r="I10">
        <v>10</v>
      </c>
      <c r="J10" s="78" t="s">
        <v>199</v>
      </c>
      <c r="K10" s="87" t="str">
        <f>VLOOKUP(I10,[6]stage_hints!$A:$C,3,FALSE)</f>
        <v>土日に大量のビットを獲得</v>
      </c>
      <c r="L10" s="88" t="str">
        <f>VLOOKUP(I10,[6]stage_hints!$A:$D,4,FALSE)</f>
        <v>土日限定の「ゴールドカジノ」では_x000D_売却素材ユニットが多く手に入ります</v>
      </c>
      <c r="M10" s="54" t="s">
        <v>211</v>
      </c>
    </row>
    <row r="11" spans="1:13" x14ac:dyDescent="0.15">
      <c r="A11" s="75" t="s">
        <v>201</v>
      </c>
      <c r="B11" s="76">
        <f>floors!$C$2</f>
        <v>38101</v>
      </c>
      <c r="C11" s="77" t="str">
        <f ca="1">VLOOKUP($B11,OFFSET([2]quests!$A$1,0,0,COUNTA([2]quests!$A:$A),MATCH(C$1,[2]quests!$1:$1,0)-MATCH($B$1,[2]quests!$1:$1,0)+1),MATCH(C$1,[2]quests!$1:$1,0)-MATCH($B$1,[2]quests!$1:$1,0)+1,FALSE)</f>
        <v>安多</v>
      </c>
      <c r="D11" s="77" t="str">
        <f ca="1">VLOOKUP($B11,OFFSET([2]quests!$A$1,0,0,COUNTA([2]quests!$A:$A),MATCH(D$1,[2]quests!$1:$1,0)-MATCH($B$1,[2]quests!$1:$1,0)+1),MATCH(D$1,[2]quests!$1:$1,0)-MATCH($B$1,[2]quests!$1:$1,0)+1,FALSE)</f>
        <v>台湾版コラボ降臨1　超級</v>
      </c>
      <c r="E11" s="81" t="s">
        <v>214</v>
      </c>
      <c r="F11" s="77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77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79">
        <v>0</v>
      </c>
      <c r="I11">
        <v>11</v>
      </c>
      <c r="J11" s="78" t="s">
        <v>199</v>
      </c>
      <c r="K11" s="87" t="str">
        <f>VLOOKUP(I11,[6]stage_hints!$A:$C,3,FALSE)</f>
        <v>ゲリラクエストは要チェック</v>
      </c>
      <c r="L11" s="88" t="str">
        <f>VLOOKUP(I11,[6]stage_hints!$A:$D,4,FALSE)</f>
        <v>時間限定の「アヒル捕獲作戦」では_x000D_経験値素材ユニットが多く手に入ります</v>
      </c>
      <c r="M11" s="54" t="s">
        <v>211</v>
      </c>
    </row>
    <row r="12" spans="1:13" x14ac:dyDescent="0.15">
      <c r="A12" s="75" t="s">
        <v>201</v>
      </c>
      <c r="B12" s="76">
        <f>floors!$C$2</f>
        <v>38101</v>
      </c>
      <c r="C12" s="77" t="str">
        <f ca="1">VLOOKUP($B12,OFFSET([2]quests!$A$1,0,0,COUNTA([2]quests!$A:$A),MATCH(C$1,[2]quests!$1:$1,0)-MATCH($B$1,[2]quests!$1:$1,0)+1),MATCH(C$1,[2]quests!$1:$1,0)-MATCH($B$1,[2]quests!$1:$1,0)+1,FALSE)</f>
        <v>安多</v>
      </c>
      <c r="D12" s="77" t="str">
        <f ca="1">VLOOKUP($B12,OFFSET([2]quests!$A$1,0,0,COUNTA([2]quests!$A:$A),MATCH(D$1,[2]quests!$1:$1,0)-MATCH($B$1,[2]quests!$1:$1,0)+1),MATCH(D$1,[2]quests!$1:$1,0)-MATCH($B$1,[2]quests!$1:$1,0)+1,FALSE)</f>
        <v>台湾版コラボ降臨1　超級</v>
      </c>
      <c r="E12" s="81" t="s">
        <v>214</v>
      </c>
      <c r="F12" s="77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77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79">
        <v>0</v>
      </c>
      <c r="I12">
        <v>12</v>
      </c>
      <c r="J12" s="78" t="s">
        <v>199</v>
      </c>
      <c r="K12" s="87" t="str">
        <f>VLOOKUP(I12,[6]stage_hints!$A:$C,3,FALSE)</f>
        <v>ユニットのお気に入り登録</v>
      </c>
      <c r="L12" s="88" t="str">
        <f>VLOOKUP(I12,[6]stage_hints!$A:$D,4,FALSE)</f>
        <v>大事なユニットを誤って消さないように_x000D_フォルダから「お気に入り登録」しましょう</v>
      </c>
      <c r="M12" s="54" t="s">
        <v>211</v>
      </c>
    </row>
    <row r="13" spans="1:13" x14ac:dyDescent="0.15">
      <c r="A13" s="75" t="s">
        <v>201</v>
      </c>
      <c r="B13" s="76">
        <f>floors!$C$2</f>
        <v>38101</v>
      </c>
      <c r="C13" s="77" t="str">
        <f ca="1">VLOOKUP($B13,OFFSET([2]quests!$A$1,0,0,COUNTA([2]quests!$A:$A),MATCH(C$1,[2]quests!$1:$1,0)-MATCH($B$1,[2]quests!$1:$1,0)+1),MATCH(C$1,[2]quests!$1:$1,0)-MATCH($B$1,[2]quests!$1:$1,0)+1,FALSE)</f>
        <v>安多</v>
      </c>
      <c r="D13" s="77" t="str">
        <f ca="1">VLOOKUP($B13,OFFSET([2]quests!$A$1,0,0,COUNTA([2]quests!$A:$A),MATCH(D$1,[2]quests!$1:$1,0)-MATCH($B$1,[2]quests!$1:$1,0)+1),MATCH(D$1,[2]quests!$1:$1,0)-MATCH($B$1,[2]quests!$1:$1,0)+1,FALSE)</f>
        <v>台湾版コラボ降臨1　超級</v>
      </c>
      <c r="E13" s="81" t="s">
        <v>214</v>
      </c>
      <c r="F13" s="77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77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79">
        <v>0</v>
      </c>
      <c r="I13">
        <v>13</v>
      </c>
      <c r="J13" s="78" t="s">
        <v>199</v>
      </c>
      <c r="K13" s="87" t="str">
        <f>VLOOKUP(I13,[6]stage_hints!$A:$C,3,FALSE)</f>
        <v>ユニットの覚醒</v>
      </c>
      <c r="L13" s="88" t="str">
        <f>VLOOKUP(I13,[6]stage_hints!$A:$D,4,FALSE)</f>
        <v>ユニットを覚醒させると_x000D_比べものにならない強さが手に入ります</v>
      </c>
      <c r="M13" s="54" t="s">
        <v>211</v>
      </c>
    </row>
    <row r="14" spans="1:13" x14ac:dyDescent="0.15">
      <c r="A14" s="75" t="s">
        <v>201</v>
      </c>
      <c r="B14" s="76">
        <f>floors!$C$2</f>
        <v>38101</v>
      </c>
      <c r="C14" s="77" t="str">
        <f ca="1">VLOOKUP($B14,OFFSET([2]quests!$A$1,0,0,COUNTA([2]quests!$A:$A),MATCH(C$1,[2]quests!$1:$1,0)-MATCH($B$1,[2]quests!$1:$1,0)+1),MATCH(C$1,[2]quests!$1:$1,0)-MATCH($B$1,[2]quests!$1:$1,0)+1,FALSE)</f>
        <v>安多</v>
      </c>
      <c r="D14" s="77" t="str">
        <f ca="1">VLOOKUP($B14,OFFSET([2]quests!$A$1,0,0,COUNTA([2]quests!$A:$A),MATCH(D$1,[2]quests!$1:$1,0)-MATCH($B$1,[2]quests!$1:$1,0)+1),MATCH(D$1,[2]quests!$1:$1,0)-MATCH($B$1,[2]quests!$1:$1,0)+1,FALSE)</f>
        <v>台湾版コラボ降臨1　超級</v>
      </c>
      <c r="E14" s="81" t="s">
        <v>214</v>
      </c>
      <c r="F14" s="77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77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79">
        <v>0</v>
      </c>
      <c r="I14">
        <v>14</v>
      </c>
      <c r="J14" s="78" t="s">
        <v>199</v>
      </c>
      <c r="K14" s="87" t="str">
        <f>VLOOKUP(I14,[6]stage_hints!$A:$C,3,FALSE)</f>
        <v>覚醒するにはレベルを最大に</v>
      </c>
      <c r="L14" s="88" t="str">
        <f>VLOOKUP(I14,[6]stage_hints!$A:$D,4,FALSE)</f>
        <v>覚醒するにはユニットのレベルを_x000D_最大まで上げる必要があります</v>
      </c>
      <c r="M14" s="54" t="s">
        <v>211</v>
      </c>
    </row>
    <row r="15" spans="1:13" x14ac:dyDescent="0.15">
      <c r="A15" s="75" t="s">
        <v>201</v>
      </c>
      <c r="B15" s="76">
        <f>floors!$C$2</f>
        <v>38101</v>
      </c>
      <c r="C15" s="77" t="str">
        <f ca="1">VLOOKUP($B15,OFFSET([2]quests!$A$1,0,0,COUNTA([2]quests!$A:$A),MATCH(C$1,[2]quests!$1:$1,0)-MATCH($B$1,[2]quests!$1:$1,0)+1),MATCH(C$1,[2]quests!$1:$1,0)-MATCH($B$1,[2]quests!$1:$1,0)+1,FALSE)</f>
        <v>安多</v>
      </c>
      <c r="D15" s="77" t="str">
        <f ca="1">VLOOKUP($B15,OFFSET([2]quests!$A$1,0,0,COUNTA([2]quests!$A:$A),MATCH(D$1,[2]quests!$1:$1,0)-MATCH($B$1,[2]quests!$1:$1,0)+1),MATCH(D$1,[2]quests!$1:$1,0)-MATCH($B$1,[2]quests!$1:$1,0)+1,FALSE)</f>
        <v>台湾版コラボ降臨1　超級</v>
      </c>
      <c r="E15" s="81" t="s">
        <v>214</v>
      </c>
      <c r="F15" s="77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77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79">
        <v>0</v>
      </c>
      <c r="I15">
        <v>15</v>
      </c>
      <c r="J15" s="78" t="s">
        <v>199</v>
      </c>
      <c r="K15" s="87" t="str">
        <f>VLOOKUP(I15,[6]stage_hints!$A:$C,3,FALSE)</f>
        <v>覚醒素材を獲得</v>
      </c>
      <c r="L15" s="88" t="str">
        <f>VLOOKUP(I15,[6]stage_hints!$A:$D,4,FALSE)</f>
        <v>「曜日クエスト」では_x000D_ユニットの覚醒に必要な素材が手に入ります</v>
      </c>
      <c r="M15" s="54" t="s">
        <v>211</v>
      </c>
    </row>
    <row r="16" spans="1:13" x14ac:dyDescent="0.15">
      <c r="A16" s="75" t="s">
        <v>201</v>
      </c>
      <c r="B16" s="76">
        <f>floors!$C$2</f>
        <v>38101</v>
      </c>
      <c r="C16" s="77" t="str">
        <f ca="1">VLOOKUP($B16,OFFSET([2]quests!$A$1,0,0,COUNTA([2]quests!$A:$A),MATCH(C$1,[2]quests!$1:$1,0)-MATCH($B$1,[2]quests!$1:$1,0)+1),MATCH(C$1,[2]quests!$1:$1,0)-MATCH($B$1,[2]quests!$1:$1,0)+1,FALSE)</f>
        <v>安多</v>
      </c>
      <c r="D16" s="77" t="str">
        <f ca="1">VLOOKUP($B16,OFFSET([2]quests!$A$1,0,0,COUNTA([2]quests!$A:$A),MATCH(D$1,[2]quests!$1:$1,0)-MATCH($B$1,[2]quests!$1:$1,0)+1),MATCH(D$1,[2]quests!$1:$1,0)-MATCH($B$1,[2]quests!$1:$1,0)+1,FALSE)</f>
        <v>台湾版コラボ降臨1　超級</v>
      </c>
      <c r="E16" s="81" t="s">
        <v>214</v>
      </c>
      <c r="F16" s="77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77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79">
        <v>0</v>
      </c>
      <c r="I16">
        <v>16</v>
      </c>
      <c r="J16" s="78" t="s">
        <v>199</v>
      </c>
      <c r="K16" s="87" t="str">
        <f>VLOOKUP(I16,[6]stage_hints!$A:$C,3,FALSE)</f>
        <v>マルチプレイのメリット（その1）</v>
      </c>
      <c r="L16" s="88" t="str">
        <f>VLOOKUP(I16,[6]stage_hints!$A:$D,4,FALSE)</f>
        <v>他のプレイヤーとマルチプレイで遊ぶと_x000D_ポリゴンがもらえます（100人まで）</v>
      </c>
      <c r="M16" s="54" t="s">
        <v>211</v>
      </c>
    </row>
    <row r="17" spans="1:13" x14ac:dyDescent="0.15">
      <c r="A17" s="75" t="s">
        <v>201</v>
      </c>
      <c r="B17" s="76">
        <f>floors!$C$2</f>
        <v>38101</v>
      </c>
      <c r="C17" s="77" t="str">
        <f ca="1">VLOOKUP($B17,OFFSET([2]quests!$A$1,0,0,COUNTA([2]quests!$A:$A),MATCH(C$1,[2]quests!$1:$1,0)-MATCH($B$1,[2]quests!$1:$1,0)+1),MATCH(C$1,[2]quests!$1:$1,0)-MATCH($B$1,[2]quests!$1:$1,0)+1,FALSE)</f>
        <v>安多</v>
      </c>
      <c r="D17" s="77" t="str">
        <f ca="1">VLOOKUP($B17,OFFSET([2]quests!$A$1,0,0,COUNTA([2]quests!$A:$A),MATCH(D$1,[2]quests!$1:$1,0)-MATCH($B$1,[2]quests!$1:$1,0)+1),MATCH(D$1,[2]quests!$1:$1,0)-MATCH($B$1,[2]quests!$1:$1,0)+1,FALSE)</f>
        <v>台湾版コラボ降臨1　超級</v>
      </c>
      <c r="E17" s="81" t="s">
        <v>214</v>
      </c>
      <c r="F17" s="77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77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79">
        <v>0</v>
      </c>
      <c r="I17">
        <v>17</v>
      </c>
      <c r="J17" s="78" t="s">
        <v>199</v>
      </c>
      <c r="K17" s="87" t="str">
        <f>VLOOKUP(I17,[6]stage_hints!$A:$C,3,FALSE)</f>
        <v>リンクガチャ</v>
      </c>
      <c r="L17" s="88" t="str">
        <f>VLOOKUP(I17,[6]stage_hints!$A:$D,4,FALSE)</f>
        <v>無料のリンクガチャを回して_x000D_経験値素材や売却素材を獲得しましょう</v>
      </c>
      <c r="M17" s="54" t="s">
        <v>211</v>
      </c>
    </row>
    <row r="18" spans="1:13" x14ac:dyDescent="0.15">
      <c r="A18" s="75" t="s">
        <v>201</v>
      </c>
      <c r="B18" s="76">
        <f>floors!$C$2</f>
        <v>38101</v>
      </c>
      <c r="C18" s="77" t="str">
        <f ca="1">VLOOKUP($B18,OFFSET([2]quests!$A$1,0,0,COUNTA([2]quests!$A:$A),MATCH(C$1,[2]quests!$1:$1,0)-MATCH($B$1,[2]quests!$1:$1,0)+1),MATCH(C$1,[2]quests!$1:$1,0)-MATCH($B$1,[2]quests!$1:$1,0)+1,FALSE)</f>
        <v>安多</v>
      </c>
      <c r="D18" s="77" t="str">
        <f ca="1">VLOOKUP($B18,OFFSET([2]quests!$A$1,0,0,COUNTA([2]quests!$A:$A),MATCH(D$1,[2]quests!$1:$1,0)-MATCH($B$1,[2]quests!$1:$1,0)+1),MATCH(D$1,[2]quests!$1:$1,0)-MATCH($B$1,[2]quests!$1:$1,0)+1,FALSE)</f>
        <v>台湾版コラボ降臨1　超級</v>
      </c>
      <c r="E18" s="81" t="s">
        <v>214</v>
      </c>
      <c r="F18" s="77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77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79">
        <v>0</v>
      </c>
      <c r="I18">
        <v>18</v>
      </c>
      <c r="J18" s="78" t="s">
        <v>199</v>
      </c>
      <c r="K18" s="87" t="str">
        <f>VLOOKUP(I18,[6]stage_hints!$A:$C,3,FALSE)</f>
        <v>マルチプレイのメリット（その2）</v>
      </c>
      <c r="L18" s="88" t="str">
        <f>VLOOKUP(I18,[6]stage_hints!$A:$D,4,FALSE)</f>
        <v>マルチプレイならリンクが2倍もらえます_x000D_リンクガチャをたくさん回しましょう</v>
      </c>
      <c r="M18" s="54" t="s">
        <v>211</v>
      </c>
    </row>
    <row r="19" spans="1:13" x14ac:dyDescent="0.15">
      <c r="A19" s="75" t="s">
        <v>201</v>
      </c>
      <c r="B19" s="76">
        <f>floors!$C$2</f>
        <v>38101</v>
      </c>
      <c r="C19" s="77" t="str">
        <f ca="1">VLOOKUP($B19,OFFSET([2]quests!$A$1,0,0,COUNTA([2]quests!$A:$A),MATCH(C$1,[2]quests!$1:$1,0)-MATCH($B$1,[2]quests!$1:$1,0)+1),MATCH(C$1,[2]quests!$1:$1,0)-MATCH($B$1,[2]quests!$1:$1,0)+1,FALSE)</f>
        <v>安多</v>
      </c>
      <c r="D19" s="77" t="str">
        <f ca="1">VLOOKUP($B19,OFFSET([2]quests!$A$1,0,0,COUNTA([2]quests!$A:$A),MATCH(D$1,[2]quests!$1:$1,0)-MATCH($B$1,[2]quests!$1:$1,0)+1),MATCH(D$1,[2]quests!$1:$1,0)-MATCH($B$1,[2]quests!$1:$1,0)+1,FALSE)</f>
        <v>台湾版コラボ降臨1　超級</v>
      </c>
      <c r="E19" s="81" t="s">
        <v>214</v>
      </c>
      <c r="F19" s="77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77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79">
        <v>0</v>
      </c>
      <c r="I19">
        <v>19</v>
      </c>
      <c r="J19" s="78" t="s">
        <v>199</v>
      </c>
      <c r="K19" s="87" t="str">
        <f>VLOOKUP(I19,[6]stage_hints!$A:$C,3,FALSE)</f>
        <v>ソロ専用タワーオブザクイーン</v>
      </c>
      <c r="L19" s="88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4" t="s">
        <v>211</v>
      </c>
    </row>
    <row r="20" spans="1:13" x14ac:dyDescent="0.15">
      <c r="A20" s="75" t="s">
        <v>201</v>
      </c>
      <c r="B20" s="76">
        <f>floors!$C$2</f>
        <v>38101</v>
      </c>
      <c r="C20" s="77" t="str">
        <f ca="1">VLOOKUP($B20,OFFSET([2]quests!$A$1,0,0,COUNTA([2]quests!$A:$A),MATCH(C$1,[2]quests!$1:$1,0)-MATCH($B$1,[2]quests!$1:$1,0)+1),MATCH(C$1,[2]quests!$1:$1,0)-MATCH($B$1,[2]quests!$1:$1,0)+1,FALSE)</f>
        <v>安多</v>
      </c>
      <c r="D20" s="77" t="str">
        <f ca="1">VLOOKUP($B20,OFFSET([2]quests!$A$1,0,0,COUNTA([2]quests!$A:$A),MATCH(D$1,[2]quests!$1:$1,0)-MATCH($B$1,[2]quests!$1:$1,0)+1),MATCH(D$1,[2]quests!$1:$1,0)-MATCH($B$1,[2]quests!$1:$1,0)+1,FALSE)</f>
        <v>台湾版コラボ降臨1　超級</v>
      </c>
      <c r="E20" s="81" t="s">
        <v>214</v>
      </c>
      <c r="F20" s="77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77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79">
        <v>0</v>
      </c>
      <c r="I20">
        <v>20</v>
      </c>
      <c r="J20" s="78" t="s">
        <v>199</v>
      </c>
      <c r="K20" s="87" t="str">
        <f>VLOOKUP(I20,[6]stage_hints!$A:$C,3,FALSE)</f>
        <v>マルチプレイのメリット（その3）</v>
      </c>
      <c r="L20" s="88" t="str">
        <f>VLOOKUP(I20,[6]stage_hints!$A:$D,4,FALSE)</f>
        <v>マルチプレイへの参加はエナジー消費ゼロ_x000D_いつでも好きなだけ遊ぶことができます</v>
      </c>
      <c r="M20" s="54" t="s">
        <v>211</v>
      </c>
    </row>
    <row r="21" spans="1:13" x14ac:dyDescent="0.15">
      <c r="A21" s="75" t="s">
        <v>201</v>
      </c>
      <c r="B21" s="76">
        <f>floors!$C$2</f>
        <v>38101</v>
      </c>
      <c r="C21" s="77" t="str">
        <f ca="1">VLOOKUP($B21,OFFSET([2]quests!$A$1,0,0,COUNTA([2]quests!$A:$A),MATCH(C$1,[2]quests!$1:$1,0)-MATCH($B$1,[2]quests!$1:$1,0)+1),MATCH(C$1,[2]quests!$1:$1,0)-MATCH($B$1,[2]quests!$1:$1,0)+1,FALSE)</f>
        <v>安多</v>
      </c>
      <c r="D21" s="77" t="str">
        <f ca="1">VLOOKUP($B21,OFFSET([2]quests!$A$1,0,0,COUNTA([2]quests!$A:$A),MATCH(D$1,[2]quests!$1:$1,0)-MATCH($B$1,[2]quests!$1:$1,0)+1),MATCH(D$1,[2]quests!$1:$1,0)-MATCH($B$1,[2]quests!$1:$1,0)+1,FALSE)</f>
        <v>台湾版コラボ降臨1　超級</v>
      </c>
      <c r="E21" s="81" t="s">
        <v>214</v>
      </c>
      <c r="F21" s="77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77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79">
        <v>0</v>
      </c>
      <c r="I21">
        <v>21</v>
      </c>
      <c r="J21" s="78" t="s">
        <v>199</v>
      </c>
      <c r="K21" s="87" t="str">
        <f>VLOOKUP(I21,[6]stage_hints!$A:$C,3,FALSE)</f>
        <v>スキルを有効に</v>
      </c>
      <c r="L21" s="88" t="str">
        <f>VLOOKUP(I21,[6]stage_hints!$A:$D,4,FALSE)</f>
        <v>ターン経過でユニットのスキルが使えます_x000D_強力スキルでバトルを有利に進めましょう</v>
      </c>
      <c r="M21" s="54" t="s">
        <v>211</v>
      </c>
    </row>
    <row r="22" spans="1:13" x14ac:dyDescent="0.15">
      <c r="A22" s="75" t="s">
        <v>201</v>
      </c>
      <c r="B22" s="76">
        <f>floors!$C$2</f>
        <v>38101</v>
      </c>
      <c r="C22" s="77" t="str">
        <f ca="1">VLOOKUP($B22,OFFSET([2]quests!$A$1,0,0,COUNTA([2]quests!$A:$A),MATCH(C$1,[2]quests!$1:$1,0)-MATCH($B$1,[2]quests!$1:$1,0)+1),MATCH(C$1,[2]quests!$1:$1,0)-MATCH($B$1,[2]quests!$1:$1,0)+1,FALSE)</f>
        <v>安多</v>
      </c>
      <c r="D22" s="77" t="str">
        <f ca="1">VLOOKUP($B22,OFFSET([2]quests!$A$1,0,0,COUNTA([2]quests!$A:$A),MATCH(D$1,[2]quests!$1:$1,0)-MATCH($B$1,[2]quests!$1:$1,0)+1),MATCH(D$1,[2]quests!$1:$1,0)-MATCH($B$1,[2]quests!$1:$1,0)+1,FALSE)</f>
        <v>台湾版コラボ降臨1　超級</v>
      </c>
      <c r="E22" s="81" t="s">
        <v>214</v>
      </c>
      <c r="F22" s="77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77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79">
        <v>0</v>
      </c>
      <c r="I22">
        <v>22</v>
      </c>
      <c r="J22" s="78" t="s">
        <v>199</v>
      </c>
      <c r="K22" s="87" t="str">
        <f>VLOOKUP(I22,[6]stage_hints!$A:$C,3,FALSE)</f>
        <v>フィーバーで一発逆転（その1）</v>
      </c>
      <c r="L22" s="88" t="str">
        <f>VLOOKUP(I22,[6]stage_hints!$A:$D,4,FALSE)</f>
        <v>フィーバーは攻撃と回復を兼ね備えます_x000D_ピンチからの一発逆転を狙いましょう</v>
      </c>
      <c r="M22" s="54" t="s">
        <v>211</v>
      </c>
    </row>
    <row r="23" spans="1:13" x14ac:dyDescent="0.15">
      <c r="A23" s="75" t="s">
        <v>201</v>
      </c>
      <c r="B23" s="76">
        <f>floors!$C$2</f>
        <v>38101</v>
      </c>
      <c r="C23" s="77" t="str">
        <f ca="1">VLOOKUP($B23,OFFSET([2]quests!$A$1,0,0,COUNTA([2]quests!$A:$A),MATCH(C$1,[2]quests!$1:$1,0)-MATCH($B$1,[2]quests!$1:$1,0)+1),MATCH(C$1,[2]quests!$1:$1,0)-MATCH($B$1,[2]quests!$1:$1,0)+1,FALSE)</f>
        <v>安多</v>
      </c>
      <c r="D23" s="77" t="str">
        <f ca="1">VLOOKUP($B23,OFFSET([2]quests!$A$1,0,0,COUNTA([2]quests!$A:$A),MATCH(D$1,[2]quests!$1:$1,0)-MATCH($B$1,[2]quests!$1:$1,0)+1),MATCH(D$1,[2]quests!$1:$1,0)-MATCH($B$1,[2]quests!$1:$1,0)+1,FALSE)</f>
        <v>台湾版コラボ降臨1　超級</v>
      </c>
      <c r="E23" s="81" t="s">
        <v>214</v>
      </c>
      <c r="F23" s="77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77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79">
        <v>0</v>
      </c>
      <c r="I23">
        <v>23</v>
      </c>
      <c r="J23" s="78" t="s">
        <v>199</v>
      </c>
      <c r="K23" s="87" t="str">
        <f>VLOOKUP(I23,[6]stage_hints!$A:$C,3,FALSE)</f>
        <v>フィーバーで一発逆転（その2）</v>
      </c>
      <c r="L23" s="88" t="str">
        <f>VLOOKUP(I23,[6]stage_hints!$A:$D,4,FALSE)</f>
        <v>フィーバー中は虹色のボムパネルを狙って_x000D_画面上のパネルを一気に破壊しましょう</v>
      </c>
      <c r="M23" s="54" t="s">
        <v>211</v>
      </c>
    </row>
    <row r="24" spans="1:13" x14ac:dyDescent="0.15">
      <c r="A24" s="75" t="s">
        <v>201</v>
      </c>
      <c r="B24" s="76">
        <f>floors!$C$2</f>
        <v>38101</v>
      </c>
      <c r="C24" s="77" t="str">
        <f ca="1">VLOOKUP($B24,OFFSET([2]quests!$A$1,0,0,COUNTA([2]quests!$A:$A),MATCH(C$1,[2]quests!$1:$1,0)-MATCH($B$1,[2]quests!$1:$1,0)+1),MATCH(C$1,[2]quests!$1:$1,0)-MATCH($B$1,[2]quests!$1:$1,0)+1,FALSE)</f>
        <v>安多</v>
      </c>
      <c r="D24" s="77" t="str">
        <f ca="1">VLOOKUP($B24,OFFSET([2]quests!$A$1,0,0,COUNTA([2]quests!$A:$A),MATCH(D$1,[2]quests!$1:$1,0)-MATCH($B$1,[2]quests!$1:$1,0)+1),MATCH(D$1,[2]quests!$1:$1,0)-MATCH($B$1,[2]quests!$1:$1,0)+1,FALSE)</f>
        <v>台湾版コラボ降臨1　超級</v>
      </c>
      <c r="E24" s="81" t="s">
        <v>214</v>
      </c>
      <c r="F24" s="77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77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79">
        <v>0</v>
      </c>
      <c r="I24">
        <v>24</v>
      </c>
      <c r="J24" s="78" t="s">
        <v>199</v>
      </c>
      <c r="K24" s="87" t="str">
        <f>VLOOKUP(I24,[6]stage_hints!$A:$C,3,FALSE)</f>
        <v>果実を使って限界突破</v>
      </c>
      <c r="L24" s="88" t="str">
        <f>VLOOKUP(I24,[6]stage_hints!$A:$D,4,FALSE)</f>
        <v>攻めの果実 癒しの果実_x000D_生命の果実をユニット強化に使うと_x000D_ステータスが限界突破します（計99個迄）</v>
      </c>
      <c r="M24" s="54" t="s">
        <v>211</v>
      </c>
    </row>
    <row r="25" spans="1:13" x14ac:dyDescent="0.15">
      <c r="A25" s="75" t="s">
        <v>201</v>
      </c>
      <c r="B25" s="76">
        <f>floors!$C$2</f>
        <v>38101</v>
      </c>
      <c r="C25" s="77" t="str">
        <f ca="1">VLOOKUP($B25,OFFSET([2]quests!$A$1,0,0,COUNTA([2]quests!$A:$A),MATCH(C$1,[2]quests!$1:$1,0)-MATCH($B$1,[2]quests!$1:$1,0)+1),MATCH(C$1,[2]quests!$1:$1,0)-MATCH($B$1,[2]quests!$1:$1,0)+1,FALSE)</f>
        <v>安多</v>
      </c>
      <c r="D25" s="77" t="str">
        <f ca="1">VLOOKUP($B25,OFFSET([2]quests!$A$1,0,0,COUNTA([2]quests!$A:$A),MATCH(D$1,[2]quests!$1:$1,0)-MATCH($B$1,[2]quests!$1:$1,0)+1),MATCH(D$1,[2]quests!$1:$1,0)-MATCH($B$1,[2]quests!$1:$1,0)+1,FALSE)</f>
        <v>台湾版コラボ降臨1　超級</v>
      </c>
      <c r="E25" s="81" t="s">
        <v>214</v>
      </c>
      <c r="F25" s="77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77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79">
        <v>0</v>
      </c>
      <c r="I25">
        <v>25</v>
      </c>
      <c r="J25" s="78" t="s">
        <v>199</v>
      </c>
      <c r="K25" s="87" t="str">
        <f>VLOOKUP(I25,[6]stage_hints!$A:$C,3,FALSE)</f>
        <v>スキルレベルアップ</v>
      </c>
      <c r="L25" s="88" t="str">
        <f>VLOOKUP(I25,[6]stage_hints!$A:$D,4,FALSE)</f>
        <v>「秘術の果実」を強化に使うと_x000D_スキルレベルを上げることができます</v>
      </c>
      <c r="M25" s="54" t="s">
        <v>211</v>
      </c>
    </row>
    <row r="26" spans="1:13" x14ac:dyDescent="0.15">
      <c r="A26" s="75" t="s">
        <v>201</v>
      </c>
      <c r="B26" s="76">
        <f>floors!$C$2</f>
        <v>38101</v>
      </c>
      <c r="C26" s="77" t="str">
        <f ca="1">VLOOKUP($B26,OFFSET([2]quests!$A$1,0,0,COUNTA([2]quests!$A:$A),MATCH(C$1,[2]quests!$1:$1,0)-MATCH($B$1,[2]quests!$1:$1,0)+1),MATCH(C$1,[2]quests!$1:$1,0)-MATCH($B$1,[2]quests!$1:$1,0)+1,FALSE)</f>
        <v>安多</v>
      </c>
      <c r="D26" s="77" t="str">
        <f ca="1">VLOOKUP($B26,OFFSET([2]quests!$A$1,0,0,COUNTA([2]quests!$A:$A),MATCH(D$1,[2]quests!$1:$1,0)-MATCH($B$1,[2]quests!$1:$1,0)+1),MATCH(D$1,[2]quests!$1:$1,0)-MATCH($B$1,[2]quests!$1:$1,0)+1,FALSE)</f>
        <v>台湾版コラボ降臨1　超級</v>
      </c>
      <c r="E26" s="81" t="s">
        <v>214</v>
      </c>
      <c r="F26" s="77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77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79">
        <v>0</v>
      </c>
      <c r="I26">
        <v>26</v>
      </c>
      <c r="J26" s="78" t="s">
        <v>199</v>
      </c>
      <c r="K26" s="87" t="str">
        <f>VLOOKUP(I26,[6]stage_hints!$A:$C,3,FALSE)</f>
        <v>スキルレベルの効果</v>
      </c>
      <c r="L26" s="88" t="str">
        <f>VLOOKUP(I26,[6]stage_hints!$A:$D,4,FALSE)</f>
        <v>スキルレベルが上がると_x000D_短いターンでスキルを使うことができます</v>
      </c>
      <c r="M26" s="54" t="s">
        <v>211</v>
      </c>
    </row>
    <row r="27" spans="1:13" x14ac:dyDescent="0.15">
      <c r="A27" s="75" t="s">
        <v>201</v>
      </c>
      <c r="B27" s="76">
        <f>floors!$C$2</f>
        <v>38101</v>
      </c>
      <c r="C27" s="77" t="str">
        <f ca="1">VLOOKUP($B27,OFFSET([2]quests!$A$1,0,0,COUNTA([2]quests!$A:$A),MATCH(C$1,[2]quests!$1:$1,0)-MATCH($B$1,[2]quests!$1:$1,0)+1),MATCH(C$1,[2]quests!$1:$1,0)-MATCH($B$1,[2]quests!$1:$1,0)+1,FALSE)</f>
        <v>安多</v>
      </c>
      <c r="D27" s="77" t="str">
        <f ca="1">VLOOKUP($B27,OFFSET([2]quests!$A$1,0,0,COUNTA([2]quests!$A:$A),MATCH(D$1,[2]quests!$1:$1,0)-MATCH($B$1,[2]quests!$1:$1,0)+1),MATCH(D$1,[2]quests!$1:$1,0)-MATCH($B$1,[2]quests!$1:$1,0)+1,FALSE)</f>
        <v>台湾版コラボ降臨1　超級</v>
      </c>
      <c r="E27" s="81" t="s">
        <v>214</v>
      </c>
      <c r="F27" s="77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77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79">
        <v>0</v>
      </c>
      <c r="I27">
        <v>39</v>
      </c>
      <c r="J27" s="78" t="s">
        <v>199</v>
      </c>
      <c r="K27" s="87" t="str">
        <f>VLOOKUP(I27,[6]stage_hints!$A:$C,3,FALSE)</f>
        <v>システム適合者を確認</v>
      </c>
      <c r="L27" s="88" t="str">
        <f>VLOOKUP(I27,[6]stage_hints!$A:$D,4,FALSE)</f>
        <v>ALICEが 「アナタ」を呼んでいます</v>
      </c>
      <c r="M27" s="54" t="s">
        <v>211</v>
      </c>
    </row>
    <row r="28" spans="1:13" x14ac:dyDescent="0.15">
      <c r="A28" s="75" t="s">
        <v>201</v>
      </c>
      <c r="B28" s="76">
        <f>floors!$C$2</f>
        <v>38101</v>
      </c>
      <c r="C28" s="77" t="str">
        <f ca="1">VLOOKUP($B28,OFFSET([2]quests!$A$1,0,0,COUNTA([2]quests!$A:$A),MATCH(C$1,[2]quests!$1:$1,0)-MATCH($B$1,[2]quests!$1:$1,0)+1),MATCH(C$1,[2]quests!$1:$1,0)-MATCH($B$1,[2]quests!$1:$1,0)+1,FALSE)</f>
        <v>安多</v>
      </c>
      <c r="D28" s="77" t="str">
        <f ca="1">VLOOKUP($B28,OFFSET([2]quests!$A$1,0,0,COUNTA([2]quests!$A:$A),MATCH(D$1,[2]quests!$1:$1,0)-MATCH($B$1,[2]quests!$1:$1,0)+1),MATCH(D$1,[2]quests!$1:$1,0)-MATCH($B$1,[2]quests!$1:$1,0)+1,FALSE)</f>
        <v>台湾版コラボ降臨1　超級</v>
      </c>
      <c r="E28" s="81" t="s">
        <v>215</v>
      </c>
      <c r="F28" s="77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77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79">
        <v>0</v>
      </c>
      <c r="I28">
        <v>3</v>
      </c>
      <c r="J28" s="78" t="s">
        <v>199</v>
      </c>
      <c r="K28" s="87" t="str">
        <f>VLOOKUP(I28,[6]stage_hints!$A:$C,3,FALSE)</f>
        <v>ターゲット</v>
      </c>
      <c r="L28" s="88" t="str">
        <f>VLOOKUP(I28,[6]stage_hints!$A:$D,4,FALSE)</f>
        <v>敵ユニットをタップすると_x000D_その敵を狙い撃ちできます</v>
      </c>
      <c r="M28" s="54" t="s">
        <v>211</v>
      </c>
    </row>
    <row r="29" spans="1:13" x14ac:dyDescent="0.15">
      <c r="A29" s="75" t="s">
        <v>201</v>
      </c>
      <c r="B29" s="76">
        <f>floors!$C$2</f>
        <v>38101</v>
      </c>
      <c r="C29" s="77" t="str">
        <f ca="1">VLOOKUP($B29,OFFSET([2]quests!$A$1,0,0,COUNTA([2]quests!$A:$A),MATCH(C$1,[2]quests!$1:$1,0)-MATCH($B$1,[2]quests!$1:$1,0)+1),MATCH(C$1,[2]quests!$1:$1,0)-MATCH($B$1,[2]quests!$1:$1,0)+1,FALSE)</f>
        <v>安多</v>
      </c>
      <c r="D29" s="77" t="str">
        <f ca="1">VLOOKUP($B29,OFFSET([2]quests!$A$1,0,0,COUNTA([2]quests!$A:$A),MATCH(D$1,[2]quests!$1:$1,0)-MATCH($B$1,[2]quests!$1:$1,0)+1),MATCH(D$1,[2]quests!$1:$1,0)-MATCH($B$1,[2]quests!$1:$1,0)+1,FALSE)</f>
        <v>台湾版コラボ降臨1　超級</v>
      </c>
      <c r="E29" s="81" t="s">
        <v>215</v>
      </c>
      <c r="F29" s="77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77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79">
        <v>0</v>
      </c>
      <c r="I29">
        <v>6</v>
      </c>
      <c r="J29" s="78" t="s">
        <v>199</v>
      </c>
      <c r="K29" s="87" t="str">
        <f>VLOOKUP(I29,[6]stage_hints!$A:$C,3,FALSE)</f>
        <v>ユニット強化の属性ボーナス</v>
      </c>
      <c r="L29" s="88" t="str">
        <f>VLOOKUP(I29,[6]stage_hints!$A:$D,4,FALSE)</f>
        <v>同属性ユニットを強化素材にすると_x000D_経験値が多くもらえます</v>
      </c>
      <c r="M29" s="54" t="s">
        <v>211</v>
      </c>
    </row>
    <row r="30" spans="1:13" x14ac:dyDescent="0.15">
      <c r="A30" s="75" t="s">
        <v>201</v>
      </c>
      <c r="B30" s="76">
        <f>floors!$C$2</f>
        <v>38101</v>
      </c>
      <c r="C30" s="77" t="str">
        <f ca="1">VLOOKUP($B30,OFFSET([2]quests!$A$1,0,0,COUNTA([2]quests!$A:$A),MATCH(C$1,[2]quests!$1:$1,0)-MATCH($B$1,[2]quests!$1:$1,0)+1),MATCH(C$1,[2]quests!$1:$1,0)-MATCH($B$1,[2]quests!$1:$1,0)+1,FALSE)</f>
        <v>安多</v>
      </c>
      <c r="D30" s="77" t="str">
        <f ca="1">VLOOKUP($B30,OFFSET([2]quests!$A$1,0,0,COUNTA([2]quests!$A:$A),MATCH(D$1,[2]quests!$1:$1,0)-MATCH($B$1,[2]quests!$1:$1,0)+1),MATCH(D$1,[2]quests!$1:$1,0)-MATCH($B$1,[2]quests!$1:$1,0)+1,FALSE)</f>
        <v>台湾版コラボ降臨1　超級</v>
      </c>
      <c r="E30" s="81" t="s">
        <v>215</v>
      </c>
      <c r="F30" s="77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77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79">
        <v>0</v>
      </c>
      <c r="I30">
        <v>7</v>
      </c>
      <c r="J30" s="78" t="s">
        <v>199</v>
      </c>
      <c r="K30" s="87" t="str">
        <f>VLOOKUP(I30,[6]stage_hints!$A:$C,3,FALSE)</f>
        <v>メタルダックで経験値を獲得</v>
      </c>
      <c r="L30" s="88" t="str">
        <f>VLOOKUP(I30,[6]stage_hints!$A:$D,4,FALSE)</f>
        <v>「メタルなアヒル」を強化素材にすると_x000D_大量の経験値がもらえます</v>
      </c>
      <c r="M30" s="54" t="s">
        <v>211</v>
      </c>
    </row>
    <row r="31" spans="1:13" x14ac:dyDescent="0.15">
      <c r="A31" s="75" t="s">
        <v>201</v>
      </c>
      <c r="B31" s="76">
        <f>floors!$C$2</f>
        <v>38101</v>
      </c>
      <c r="C31" s="77" t="str">
        <f ca="1">VLOOKUP($B31,OFFSET([2]quests!$A$1,0,0,COUNTA([2]quests!$A:$A),MATCH(C$1,[2]quests!$1:$1,0)-MATCH($B$1,[2]quests!$1:$1,0)+1),MATCH(C$1,[2]quests!$1:$1,0)-MATCH($B$1,[2]quests!$1:$1,0)+1,FALSE)</f>
        <v>安多</v>
      </c>
      <c r="D31" s="77" t="str">
        <f ca="1">VLOOKUP($B31,OFFSET([2]quests!$A$1,0,0,COUNTA([2]quests!$A:$A),MATCH(D$1,[2]quests!$1:$1,0)-MATCH($B$1,[2]quests!$1:$1,0)+1),MATCH(D$1,[2]quests!$1:$1,0)-MATCH($B$1,[2]quests!$1:$1,0)+1,FALSE)</f>
        <v>台湾版コラボ降臨1　超級</v>
      </c>
      <c r="E31" s="81" t="s">
        <v>215</v>
      </c>
      <c r="F31" s="77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77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79">
        <v>0</v>
      </c>
      <c r="I31">
        <v>8</v>
      </c>
      <c r="J31" s="78" t="s">
        <v>199</v>
      </c>
      <c r="K31" s="87" t="str">
        <f>VLOOKUP(I31,[6]stage_hints!$A:$C,3,FALSE)</f>
        <v>ゲリラクエストは要チェック</v>
      </c>
      <c r="L31" s="88" t="str">
        <f>VLOOKUP(I31,[6]stage_hints!$A:$D,4,FALSE)</f>
        <v>時間限定の「アヒル捕獲作戦」では_x000D_経験値素材ユニットが多く手に入ります</v>
      </c>
      <c r="M31" s="54" t="s">
        <v>211</v>
      </c>
    </row>
    <row r="32" spans="1:13" x14ac:dyDescent="0.15">
      <c r="A32" s="75" t="s">
        <v>201</v>
      </c>
      <c r="B32" s="76">
        <f>floors!$C$2</f>
        <v>38101</v>
      </c>
      <c r="C32" s="77" t="str">
        <f ca="1">VLOOKUP($B32,OFFSET([2]quests!$A$1,0,0,COUNTA([2]quests!$A:$A),MATCH(C$1,[2]quests!$1:$1,0)-MATCH($B$1,[2]quests!$1:$1,0)+1),MATCH(C$1,[2]quests!$1:$1,0)-MATCH($B$1,[2]quests!$1:$1,0)+1,FALSE)</f>
        <v>安多</v>
      </c>
      <c r="D32" s="77" t="str">
        <f ca="1">VLOOKUP($B32,OFFSET([2]quests!$A$1,0,0,COUNTA([2]quests!$A:$A),MATCH(D$1,[2]quests!$1:$1,0)-MATCH($B$1,[2]quests!$1:$1,0)+1),MATCH(D$1,[2]quests!$1:$1,0)-MATCH($B$1,[2]quests!$1:$1,0)+1,FALSE)</f>
        <v>台湾版コラボ降臨1　超級</v>
      </c>
      <c r="E32" s="81" t="s">
        <v>215</v>
      </c>
      <c r="F32" s="77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77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79">
        <v>0</v>
      </c>
      <c r="I32">
        <v>9</v>
      </c>
      <c r="J32" s="78" t="s">
        <v>199</v>
      </c>
      <c r="K32" s="87" t="str">
        <f>VLOOKUP(I32,[6]stage_hints!$A:$C,3,FALSE)</f>
        <v>ゴールドダックでビットを獲得</v>
      </c>
      <c r="L32" s="88" t="str">
        <f>VLOOKUP(I32,[6]stage_hints!$A:$D,4,FALSE)</f>
        <v>「ゴールドなアヒル」を売却すると_x000D_大量のビットがもらえます</v>
      </c>
      <c r="M32" s="54" t="s">
        <v>211</v>
      </c>
    </row>
    <row r="33" spans="1:13" x14ac:dyDescent="0.15">
      <c r="A33" s="75" t="s">
        <v>201</v>
      </c>
      <c r="B33" s="76">
        <f>floors!$C$2</f>
        <v>38101</v>
      </c>
      <c r="C33" s="77" t="str">
        <f ca="1">VLOOKUP($B33,OFFSET([2]quests!$A$1,0,0,COUNTA([2]quests!$A:$A),MATCH(C$1,[2]quests!$1:$1,0)-MATCH($B$1,[2]quests!$1:$1,0)+1),MATCH(C$1,[2]quests!$1:$1,0)-MATCH($B$1,[2]quests!$1:$1,0)+1,FALSE)</f>
        <v>安多</v>
      </c>
      <c r="D33" s="77" t="str">
        <f ca="1">VLOOKUP($B33,OFFSET([2]quests!$A$1,0,0,COUNTA([2]quests!$A:$A),MATCH(D$1,[2]quests!$1:$1,0)-MATCH($B$1,[2]quests!$1:$1,0)+1),MATCH(D$1,[2]quests!$1:$1,0)-MATCH($B$1,[2]quests!$1:$1,0)+1,FALSE)</f>
        <v>台湾版コラボ降臨1　超級</v>
      </c>
      <c r="E33" s="81" t="s">
        <v>215</v>
      </c>
      <c r="F33" s="77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77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79">
        <v>0</v>
      </c>
      <c r="I33">
        <v>10</v>
      </c>
      <c r="J33" s="78" t="s">
        <v>199</v>
      </c>
      <c r="K33" s="87" t="str">
        <f>VLOOKUP(I33,[6]stage_hints!$A:$C,3,FALSE)</f>
        <v>土日に大量のビットを獲得</v>
      </c>
      <c r="L33" s="88" t="str">
        <f>VLOOKUP(I33,[6]stage_hints!$A:$D,4,FALSE)</f>
        <v>土日限定の「ゴールドカジノ」では_x000D_売却素材ユニットが多く手に入ります</v>
      </c>
      <c r="M33" s="54" t="s">
        <v>211</v>
      </c>
    </row>
    <row r="34" spans="1:13" x14ac:dyDescent="0.15">
      <c r="A34" s="75" t="s">
        <v>201</v>
      </c>
      <c r="B34" s="76">
        <f>floors!$C$2</f>
        <v>38101</v>
      </c>
      <c r="C34" s="77" t="str">
        <f ca="1">VLOOKUP($B34,OFFSET([2]quests!$A$1,0,0,COUNTA([2]quests!$A:$A),MATCH(C$1,[2]quests!$1:$1,0)-MATCH($B$1,[2]quests!$1:$1,0)+1),MATCH(C$1,[2]quests!$1:$1,0)-MATCH($B$1,[2]quests!$1:$1,0)+1,FALSE)</f>
        <v>安多</v>
      </c>
      <c r="D34" s="77" t="str">
        <f ca="1">VLOOKUP($B34,OFFSET([2]quests!$A$1,0,0,COUNTA([2]quests!$A:$A),MATCH(D$1,[2]quests!$1:$1,0)-MATCH($B$1,[2]quests!$1:$1,0)+1),MATCH(D$1,[2]quests!$1:$1,0)-MATCH($B$1,[2]quests!$1:$1,0)+1,FALSE)</f>
        <v>台湾版コラボ降臨1　超級</v>
      </c>
      <c r="E34" s="81" t="s">
        <v>215</v>
      </c>
      <c r="F34" s="77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77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79">
        <v>0</v>
      </c>
      <c r="I34">
        <v>11</v>
      </c>
      <c r="J34" s="78" t="s">
        <v>199</v>
      </c>
      <c r="K34" s="87" t="str">
        <f>VLOOKUP(I34,[6]stage_hints!$A:$C,3,FALSE)</f>
        <v>ゲリラクエストは要チェック</v>
      </c>
      <c r="L34" s="88" t="str">
        <f>VLOOKUP(I34,[6]stage_hints!$A:$D,4,FALSE)</f>
        <v>時間限定の「アヒル捕獲作戦」では_x000D_経験値素材ユニットが多く手に入ります</v>
      </c>
      <c r="M34" s="54" t="s">
        <v>211</v>
      </c>
    </row>
    <row r="35" spans="1:13" x14ac:dyDescent="0.15">
      <c r="A35" s="75" t="s">
        <v>201</v>
      </c>
      <c r="B35" s="76">
        <f>floors!$C$2</f>
        <v>38101</v>
      </c>
      <c r="C35" s="77" t="str">
        <f ca="1">VLOOKUP($B35,OFFSET([2]quests!$A$1,0,0,COUNTA([2]quests!$A:$A),MATCH(C$1,[2]quests!$1:$1,0)-MATCH($B$1,[2]quests!$1:$1,0)+1),MATCH(C$1,[2]quests!$1:$1,0)-MATCH($B$1,[2]quests!$1:$1,0)+1,FALSE)</f>
        <v>安多</v>
      </c>
      <c r="D35" s="77" t="str">
        <f ca="1">VLOOKUP($B35,OFFSET([2]quests!$A$1,0,0,COUNTA([2]quests!$A:$A),MATCH(D$1,[2]quests!$1:$1,0)-MATCH($B$1,[2]quests!$1:$1,0)+1),MATCH(D$1,[2]quests!$1:$1,0)-MATCH($B$1,[2]quests!$1:$1,0)+1,FALSE)</f>
        <v>台湾版コラボ降臨1　超級</v>
      </c>
      <c r="E35" s="81" t="s">
        <v>215</v>
      </c>
      <c r="F35" s="77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77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79">
        <v>0</v>
      </c>
      <c r="I35">
        <v>12</v>
      </c>
      <c r="J35" s="78" t="s">
        <v>199</v>
      </c>
      <c r="K35" s="87" t="str">
        <f>VLOOKUP(I35,[6]stage_hints!$A:$C,3,FALSE)</f>
        <v>ユニットのお気に入り登録</v>
      </c>
      <c r="L35" s="88" t="str">
        <f>VLOOKUP(I35,[6]stage_hints!$A:$D,4,FALSE)</f>
        <v>大事なユニットを誤って消さないように_x000D_フォルダから「お気に入り登録」しましょう</v>
      </c>
      <c r="M35" s="54" t="s">
        <v>211</v>
      </c>
    </row>
    <row r="36" spans="1:13" x14ac:dyDescent="0.15">
      <c r="A36" s="75" t="s">
        <v>201</v>
      </c>
      <c r="B36" s="76">
        <f>floors!$C$2</f>
        <v>38101</v>
      </c>
      <c r="C36" s="77" t="str">
        <f ca="1">VLOOKUP($B36,OFFSET([2]quests!$A$1,0,0,COUNTA([2]quests!$A:$A),MATCH(C$1,[2]quests!$1:$1,0)-MATCH($B$1,[2]quests!$1:$1,0)+1),MATCH(C$1,[2]quests!$1:$1,0)-MATCH($B$1,[2]quests!$1:$1,0)+1,FALSE)</f>
        <v>安多</v>
      </c>
      <c r="D36" s="77" t="str">
        <f ca="1">VLOOKUP($B36,OFFSET([2]quests!$A$1,0,0,COUNTA([2]quests!$A:$A),MATCH(D$1,[2]quests!$1:$1,0)-MATCH($B$1,[2]quests!$1:$1,0)+1),MATCH(D$1,[2]quests!$1:$1,0)-MATCH($B$1,[2]quests!$1:$1,0)+1,FALSE)</f>
        <v>台湾版コラボ降臨1　超級</v>
      </c>
      <c r="E36" s="81" t="s">
        <v>215</v>
      </c>
      <c r="F36" s="77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77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79">
        <v>0</v>
      </c>
      <c r="I36">
        <v>13</v>
      </c>
      <c r="J36" s="78" t="s">
        <v>199</v>
      </c>
      <c r="K36" s="87" t="str">
        <f>VLOOKUP(I36,[6]stage_hints!$A:$C,3,FALSE)</f>
        <v>ユニットの覚醒</v>
      </c>
      <c r="L36" s="88" t="str">
        <f>VLOOKUP(I36,[6]stage_hints!$A:$D,4,FALSE)</f>
        <v>ユニットを覚醒させると_x000D_比べものにならない強さが手に入ります</v>
      </c>
      <c r="M36" s="54" t="s">
        <v>211</v>
      </c>
    </row>
    <row r="37" spans="1:13" x14ac:dyDescent="0.15">
      <c r="A37" s="75" t="s">
        <v>201</v>
      </c>
      <c r="B37" s="76">
        <f>floors!$C$2</f>
        <v>38101</v>
      </c>
      <c r="C37" s="77" t="str">
        <f ca="1">VLOOKUP($B37,OFFSET([2]quests!$A$1,0,0,COUNTA([2]quests!$A:$A),MATCH(C$1,[2]quests!$1:$1,0)-MATCH($B$1,[2]quests!$1:$1,0)+1),MATCH(C$1,[2]quests!$1:$1,0)-MATCH($B$1,[2]quests!$1:$1,0)+1,FALSE)</f>
        <v>安多</v>
      </c>
      <c r="D37" s="77" t="str">
        <f ca="1">VLOOKUP($B37,OFFSET([2]quests!$A$1,0,0,COUNTA([2]quests!$A:$A),MATCH(D$1,[2]quests!$1:$1,0)-MATCH($B$1,[2]quests!$1:$1,0)+1),MATCH(D$1,[2]quests!$1:$1,0)-MATCH($B$1,[2]quests!$1:$1,0)+1,FALSE)</f>
        <v>台湾版コラボ降臨1　超級</v>
      </c>
      <c r="E37" s="81" t="s">
        <v>215</v>
      </c>
      <c r="F37" s="77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77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79">
        <v>0</v>
      </c>
      <c r="I37">
        <v>14</v>
      </c>
      <c r="J37" s="78" t="s">
        <v>199</v>
      </c>
      <c r="K37" s="87" t="str">
        <f>VLOOKUP(I37,[6]stage_hints!$A:$C,3,FALSE)</f>
        <v>覚醒するにはレベルを最大に</v>
      </c>
      <c r="L37" s="88" t="str">
        <f>VLOOKUP(I37,[6]stage_hints!$A:$D,4,FALSE)</f>
        <v>覚醒するにはユニットのレベルを_x000D_最大まで上げる必要があります</v>
      </c>
      <c r="M37" s="54" t="s">
        <v>211</v>
      </c>
    </row>
    <row r="38" spans="1:13" x14ac:dyDescent="0.15">
      <c r="A38" s="75" t="s">
        <v>201</v>
      </c>
      <c r="B38" s="76">
        <f>floors!$C$2</f>
        <v>38101</v>
      </c>
      <c r="C38" s="77" t="str">
        <f ca="1">VLOOKUP($B38,OFFSET([2]quests!$A$1,0,0,COUNTA([2]quests!$A:$A),MATCH(C$1,[2]quests!$1:$1,0)-MATCH($B$1,[2]quests!$1:$1,0)+1),MATCH(C$1,[2]quests!$1:$1,0)-MATCH($B$1,[2]quests!$1:$1,0)+1,FALSE)</f>
        <v>安多</v>
      </c>
      <c r="D38" s="77" t="str">
        <f ca="1">VLOOKUP($B38,OFFSET([2]quests!$A$1,0,0,COUNTA([2]quests!$A:$A),MATCH(D$1,[2]quests!$1:$1,0)-MATCH($B$1,[2]quests!$1:$1,0)+1),MATCH(D$1,[2]quests!$1:$1,0)-MATCH($B$1,[2]quests!$1:$1,0)+1,FALSE)</f>
        <v>台湾版コラボ降臨1　超級</v>
      </c>
      <c r="E38" s="81" t="s">
        <v>215</v>
      </c>
      <c r="F38" s="77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77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79">
        <v>0</v>
      </c>
      <c r="I38">
        <v>15</v>
      </c>
      <c r="J38" s="78" t="s">
        <v>199</v>
      </c>
      <c r="K38" s="87" t="str">
        <f>VLOOKUP(I38,[6]stage_hints!$A:$C,3,FALSE)</f>
        <v>覚醒素材を獲得</v>
      </c>
      <c r="L38" s="88" t="str">
        <f>VLOOKUP(I38,[6]stage_hints!$A:$D,4,FALSE)</f>
        <v>「曜日クエスト」では_x000D_ユニットの覚醒に必要な素材が手に入ります</v>
      </c>
      <c r="M38" s="54" t="s">
        <v>211</v>
      </c>
    </row>
    <row r="39" spans="1:13" x14ac:dyDescent="0.15">
      <c r="A39" s="75" t="s">
        <v>201</v>
      </c>
      <c r="B39" s="76">
        <f>floors!$C$2</f>
        <v>38101</v>
      </c>
      <c r="C39" s="77" t="str">
        <f ca="1">VLOOKUP($B39,OFFSET([2]quests!$A$1,0,0,COUNTA([2]quests!$A:$A),MATCH(C$1,[2]quests!$1:$1,0)-MATCH($B$1,[2]quests!$1:$1,0)+1),MATCH(C$1,[2]quests!$1:$1,0)-MATCH($B$1,[2]quests!$1:$1,0)+1,FALSE)</f>
        <v>安多</v>
      </c>
      <c r="D39" s="77" t="str">
        <f ca="1">VLOOKUP($B39,OFFSET([2]quests!$A$1,0,0,COUNTA([2]quests!$A:$A),MATCH(D$1,[2]quests!$1:$1,0)-MATCH($B$1,[2]quests!$1:$1,0)+1),MATCH(D$1,[2]quests!$1:$1,0)-MATCH($B$1,[2]quests!$1:$1,0)+1,FALSE)</f>
        <v>台湾版コラボ降臨1　超級</v>
      </c>
      <c r="E39" s="81" t="s">
        <v>215</v>
      </c>
      <c r="F39" s="77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77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79">
        <v>0</v>
      </c>
      <c r="I39">
        <v>16</v>
      </c>
      <c r="J39" s="78" t="s">
        <v>199</v>
      </c>
      <c r="K39" s="87" t="str">
        <f>VLOOKUP(I39,[6]stage_hints!$A:$C,3,FALSE)</f>
        <v>マルチプレイのメリット（その1）</v>
      </c>
      <c r="L39" s="88" t="str">
        <f>VLOOKUP(I39,[6]stage_hints!$A:$D,4,FALSE)</f>
        <v>他のプレイヤーとマルチプレイで遊ぶと_x000D_ポリゴンがもらえます（100人まで）</v>
      </c>
      <c r="M39" s="54" t="s">
        <v>211</v>
      </c>
    </row>
    <row r="40" spans="1:13" x14ac:dyDescent="0.15">
      <c r="A40" s="75" t="s">
        <v>201</v>
      </c>
      <c r="B40" s="76">
        <f>floors!$C$2</f>
        <v>38101</v>
      </c>
      <c r="C40" s="77" t="str">
        <f ca="1">VLOOKUP($B40,OFFSET([2]quests!$A$1,0,0,COUNTA([2]quests!$A:$A),MATCH(C$1,[2]quests!$1:$1,0)-MATCH($B$1,[2]quests!$1:$1,0)+1),MATCH(C$1,[2]quests!$1:$1,0)-MATCH($B$1,[2]quests!$1:$1,0)+1,FALSE)</f>
        <v>安多</v>
      </c>
      <c r="D40" s="77" t="str">
        <f ca="1">VLOOKUP($B40,OFFSET([2]quests!$A$1,0,0,COUNTA([2]quests!$A:$A),MATCH(D$1,[2]quests!$1:$1,0)-MATCH($B$1,[2]quests!$1:$1,0)+1),MATCH(D$1,[2]quests!$1:$1,0)-MATCH($B$1,[2]quests!$1:$1,0)+1,FALSE)</f>
        <v>台湾版コラボ降臨1　超級</v>
      </c>
      <c r="E40" s="81" t="s">
        <v>215</v>
      </c>
      <c r="F40" s="77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77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79">
        <v>0</v>
      </c>
      <c r="I40">
        <v>17</v>
      </c>
      <c r="J40" s="78" t="s">
        <v>199</v>
      </c>
      <c r="K40" s="87" t="str">
        <f>VLOOKUP(I40,[6]stage_hints!$A:$C,3,FALSE)</f>
        <v>リンクガチャ</v>
      </c>
      <c r="L40" s="88" t="str">
        <f>VLOOKUP(I40,[6]stage_hints!$A:$D,4,FALSE)</f>
        <v>無料のリンクガチャを回して_x000D_経験値素材や売却素材を獲得しましょう</v>
      </c>
      <c r="M40" s="54" t="s">
        <v>211</v>
      </c>
    </row>
    <row r="41" spans="1:13" x14ac:dyDescent="0.15">
      <c r="A41" s="75" t="s">
        <v>201</v>
      </c>
      <c r="B41" s="76">
        <f>floors!$C$2</f>
        <v>38101</v>
      </c>
      <c r="C41" s="77" t="str">
        <f ca="1">VLOOKUP($B41,OFFSET([2]quests!$A$1,0,0,COUNTA([2]quests!$A:$A),MATCH(C$1,[2]quests!$1:$1,0)-MATCH($B$1,[2]quests!$1:$1,0)+1),MATCH(C$1,[2]quests!$1:$1,0)-MATCH($B$1,[2]quests!$1:$1,0)+1,FALSE)</f>
        <v>安多</v>
      </c>
      <c r="D41" s="77" t="str">
        <f ca="1">VLOOKUP($B41,OFFSET([2]quests!$A$1,0,0,COUNTA([2]quests!$A:$A),MATCH(D$1,[2]quests!$1:$1,0)-MATCH($B$1,[2]quests!$1:$1,0)+1),MATCH(D$1,[2]quests!$1:$1,0)-MATCH($B$1,[2]quests!$1:$1,0)+1,FALSE)</f>
        <v>台湾版コラボ降臨1　超級</v>
      </c>
      <c r="E41" s="81" t="s">
        <v>215</v>
      </c>
      <c r="F41" s="77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77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79">
        <v>0</v>
      </c>
      <c r="I41">
        <v>18</v>
      </c>
      <c r="J41" s="78" t="s">
        <v>199</v>
      </c>
      <c r="K41" s="87" t="str">
        <f>VLOOKUP(I41,[6]stage_hints!$A:$C,3,FALSE)</f>
        <v>マルチプレイのメリット（その2）</v>
      </c>
      <c r="L41" s="88" t="str">
        <f>VLOOKUP(I41,[6]stage_hints!$A:$D,4,FALSE)</f>
        <v>マルチプレイならリンクが2倍もらえます_x000D_リンクガチャをたくさん回しましょう</v>
      </c>
      <c r="M41" s="54" t="s">
        <v>211</v>
      </c>
    </row>
    <row r="42" spans="1:13" x14ac:dyDescent="0.15">
      <c r="A42" s="75" t="s">
        <v>201</v>
      </c>
      <c r="B42" s="76">
        <f>floors!$C$2</f>
        <v>38101</v>
      </c>
      <c r="C42" s="77" t="str">
        <f ca="1">VLOOKUP($B42,OFFSET([2]quests!$A$1,0,0,COUNTA([2]quests!$A:$A),MATCH(C$1,[2]quests!$1:$1,0)-MATCH($B$1,[2]quests!$1:$1,0)+1),MATCH(C$1,[2]quests!$1:$1,0)-MATCH($B$1,[2]quests!$1:$1,0)+1,FALSE)</f>
        <v>安多</v>
      </c>
      <c r="D42" s="77" t="str">
        <f ca="1">VLOOKUP($B42,OFFSET([2]quests!$A$1,0,0,COUNTA([2]quests!$A:$A),MATCH(D$1,[2]quests!$1:$1,0)-MATCH($B$1,[2]quests!$1:$1,0)+1),MATCH(D$1,[2]quests!$1:$1,0)-MATCH($B$1,[2]quests!$1:$1,0)+1,FALSE)</f>
        <v>台湾版コラボ降臨1　超級</v>
      </c>
      <c r="E42" s="81" t="s">
        <v>215</v>
      </c>
      <c r="F42" s="77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77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79">
        <v>0</v>
      </c>
      <c r="I42">
        <v>19</v>
      </c>
      <c r="J42" s="78" t="s">
        <v>199</v>
      </c>
      <c r="K42" s="87" t="str">
        <f>VLOOKUP(I42,[6]stage_hints!$A:$C,3,FALSE)</f>
        <v>ソロ専用タワーオブザクイーン</v>
      </c>
      <c r="L42" s="88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4" t="s">
        <v>211</v>
      </c>
    </row>
    <row r="43" spans="1:13" x14ac:dyDescent="0.15">
      <c r="A43" s="75" t="s">
        <v>201</v>
      </c>
      <c r="B43" s="76">
        <f>floors!$C$2</f>
        <v>38101</v>
      </c>
      <c r="C43" s="77" t="str">
        <f ca="1">VLOOKUP($B43,OFFSET([2]quests!$A$1,0,0,COUNTA([2]quests!$A:$A),MATCH(C$1,[2]quests!$1:$1,0)-MATCH($B$1,[2]quests!$1:$1,0)+1),MATCH(C$1,[2]quests!$1:$1,0)-MATCH($B$1,[2]quests!$1:$1,0)+1,FALSE)</f>
        <v>安多</v>
      </c>
      <c r="D43" s="77" t="str">
        <f ca="1">VLOOKUP($B43,OFFSET([2]quests!$A$1,0,0,COUNTA([2]quests!$A:$A),MATCH(D$1,[2]quests!$1:$1,0)-MATCH($B$1,[2]quests!$1:$1,0)+1),MATCH(D$1,[2]quests!$1:$1,0)-MATCH($B$1,[2]quests!$1:$1,0)+1,FALSE)</f>
        <v>台湾版コラボ降臨1　超級</v>
      </c>
      <c r="E43" s="81" t="s">
        <v>215</v>
      </c>
      <c r="F43" s="77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77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79">
        <v>0</v>
      </c>
      <c r="I43">
        <v>20</v>
      </c>
      <c r="J43" s="78" t="s">
        <v>199</v>
      </c>
      <c r="K43" s="87" t="str">
        <f>VLOOKUP(I43,[6]stage_hints!$A:$C,3,FALSE)</f>
        <v>マルチプレイのメリット（その3）</v>
      </c>
      <c r="L43" s="88" t="str">
        <f>VLOOKUP(I43,[6]stage_hints!$A:$D,4,FALSE)</f>
        <v>マルチプレイへの参加はエナジー消費ゼロ_x000D_いつでも好きなだけ遊ぶことができます</v>
      </c>
      <c r="M43" s="54" t="s">
        <v>211</v>
      </c>
    </row>
    <row r="44" spans="1:13" x14ac:dyDescent="0.15">
      <c r="A44" s="75" t="s">
        <v>201</v>
      </c>
      <c r="B44" s="76">
        <f>floors!$C$2</f>
        <v>38101</v>
      </c>
      <c r="C44" s="77" t="str">
        <f ca="1">VLOOKUP($B44,OFFSET([2]quests!$A$1,0,0,COUNTA([2]quests!$A:$A),MATCH(C$1,[2]quests!$1:$1,0)-MATCH($B$1,[2]quests!$1:$1,0)+1),MATCH(C$1,[2]quests!$1:$1,0)-MATCH($B$1,[2]quests!$1:$1,0)+1,FALSE)</f>
        <v>安多</v>
      </c>
      <c r="D44" s="77" t="str">
        <f ca="1">VLOOKUP($B44,OFFSET([2]quests!$A$1,0,0,COUNTA([2]quests!$A:$A),MATCH(D$1,[2]quests!$1:$1,0)-MATCH($B$1,[2]quests!$1:$1,0)+1),MATCH(D$1,[2]quests!$1:$1,0)-MATCH($B$1,[2]quests!$1:$1,0)+1,FALSE)</f>
        <v>台湾版コラボ降臨1　超級</v>
      </c>
      <c r="E44" s="81" t="s">
        <v>215</v>
      </c>
      <c r="F44" s="77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77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79">
        <v>0</v>
      </c>
      <c r="I44">
        <v>21</v>
      </c>
      <c r="J44" s="78" t="s">
        <v>199</v>
      </c>
      <c r="K44" s="87" t="str">
        <f>VLOOKUP(I44,[6]stage_hints!$A:$C,3,FALSE)</f>
        <v>スキルを有効に</v>
      </c>
      <c r="L44" s="88" t="str">
        <f>VLOOKUP(I44,[6]stage_hints!$A:$D,4,FALSE)</f>
        <v>ターン経過でユニットのスキルが使えます_x000D_強力スキルでバトルを有利に進めましょう</v>
      </c>
      <c r="M44" s="54" t="s">
        <v>211</v>
      </c>
    </row>
    <row r="45" spans="1:13" x14ac:dyDescent="0.15">
      <c r="A45" s="75" t="s">
        <v>201</v>
      </c>
      <c r="B45" s="76">
        <f>floors!$C$2</f>
        <v>38101</v>
      </c>
      <c r="C45" s="77" t="str">
        <f ca="1">VLOOKUP($B45,OFFSET([2]quests!$A$1,0,0,COUNTA([2]quests!$A:$A),MATCH(C$1,[2]quests!$1:$1,0)-MATCH($B$1,[2]quests!$1:$1,0)+1),MATCH(C$1,[2]quests!$1:$1,0)-MATCH($B$1,[2]quests!$1:$1,0)+1,FALSE)</f>
        <v>安多</v>
      </c>
      <c r="D45" s="77" t="str">
        <f ca="1">VLOOKUP($B45,OFFSET([2]quests!$A$1,0,0,COUNTA([2]quests!$A:$A),MATCH(D$1,[2]quests!$1:$1,0)-MATCH($B$1,[2]quests!$1:$1,0)+1),MATCH(D$1,[2]quests!$1:$1,0)-MATCH($B$1,[2]quests!$1:$1,0)+1,FALSE)</f>
        <v>台湾版コラボ降臨1　超級</v>
      </c>
      <c r="E45" s="81" t="s">
        <v>215</v>
      </c>
      <c r="F45" s="77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77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79">
        <v>0</v>
      </c>
      <c r="I45">
        <v>22</v>
      </c>
      <c r="J45" s="78" t="s">
        <v>199</v>
      </c>
      <c r="K45" s="87" t="str">
        <f>VLOOKUP(I45,[6]stage_hints!$A:$C,3,FALSE)</f>
        <v>フィーバーで一発逆転（その1）</v>
      </c>
      <c r="L45" s="88" t="str">
        <f>VLOOKUP(I45,[6]stage_hints!$A:$D,4,FALSE)</f>
        <v>フィーバーは攻撃と回復を兼ね備えます_x000D_ピンチからの一発逆転を狙いましょう</v>
      </c>
      <c r="M45" s="54" t="s">
        <v>211</v>
      </c>
    </row>
    <row r="46" spans="1:13" x14ac:dyDescent="0.15">
      <c r="A46" s="75" t="s">
        <v>201</v>
      </c>
      <c r="B46" s="76">
        <f>floors!$C$2</f>
        <v>38101</v>
      </c>
      <c r="C46" s="77" t="str">
        <f ca="1">VLOOKUP($B46,OFFSET([2]quests!$A$1,0,0,COUNTA([2]quests!$A:$A),MATCH(C$1,[2]quests!$1:$1,0)-MATCH($B$1,[2]quests!$1:$1,0)+1),MATCH(C$1,[2]quests!$1:$1,0)-MATCH($B$1,[2]quests!$1:$1,0)+1,FALSE)</f>
        <v>安多</v>
      </c>
      <c r="D46" s="77" t="str">
        <f ca="1">VLOOKUP($B46,OFFSET([2]quests!$A$1,0,0,COUNTA([2]quests!$A:$A),MATCH(D$1,[2]quests!$1:$1,0)-MATCH($B$1,[2]quests!$1:$1,0)+1),MATCH(D$1,[2]quests!$1:$1,0)-MATCH($B$1,[2]quests!$1:$1,0)+1,FALSE)</f>
        <v>台湾版コラボ降臨1　超級</v>
      </c>
      <c r="E46" s="81" t="s">
        <v>215</v>
      </c>
      <c r="F46" s="77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77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79">
        <v>0</v>
      </c>
      <c r="I46">
        <v>23</v>
      </c>
      <c r="J46" s="78" t="s">
        <v>199</v>
      </c>
      <c r="K46" s="87" t="str">
        <f>VLOOKUP(I46,[6]stage_hints!$A:$C,3,FALSE)</f>
        <v>フィーバーで一発逆転（その2）</v>
      </c>
      <c r="L46" s="88" t="str">
        <f>VLOOKUP(I46,[6]stage_hints!$A:$D,4,FALSE)</f>
        <v>フィーバー中は虹色のボムパネルを狙って_x000D_画面上のパネルを一気に破壊しましょう</v>
      </c>
      <c r="M46" s="54" t="s">
        <v>211</v>
      </c>
    </row>
    <row r="47" spans="1:13" x14ac:dyDescent="0.15">
      <c r="A47" s="75" t="s">
        <v>201</v>
      </c>
      <c r="B47" s="76">
        <f>floors!$C$2</f>
        <v>38101</v>
      </c>
      <c r="C47" s="77" t="str">
        <f ca="1">VLOOKUP($B47,OFFSET([2]quests!$A$1,0,0,COUNTA([2]quests!$A:$A),MATCH(C$1,[2]quests!$1:$1,0)-MATCH($B$1,[2]quests!$1:$1,0)+1),MATCH(C$1,[2]quests!$1:$1,0)-MATCH($B$1,[2]quests!$1:$1,0)+1,FALSE)</f>
        <v>安多</v>
      </c>
      <c r="D47" s="77" t="str">
        <f ca="1">VLOOKUP($B47,OFFSET([2]quests!$A$1,0,0,COUNTA([2]quests!$A:$A),MATCH(D$1,[2]quests!$1:$1,0)-MATCH($B$1,[2]quests!$1:$1,0)+1),MATCH(D$1,[2]quests!$1:$1,0)-MATCH($B$1,[2]quests!$1:$1,0)+1,FALSE)</f>
        <v>台湾版コラボ降臨1　超級</v>
      </c>
      <c r="E47" s="81" t="s">
        <v>215</v>
      </c>
      <c r="F47" s="77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77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79">
        <v>0</v>
      </c>
      <c r="I47">
        <v>24</v>
      </c>
      <c r="J47" s="78" t="s">
        <v>199</v>
      </c>
      <c r="K47" s="87" t="str">
        <f>VLOOKUP(I47,[6]stage_hints!$A:$C,3,FALSE)</f>
        <v>果実を使って限界突破</v>
      </c>
      <c r="L47" s="88" t="str">
        <f>VLOOKUP(I47,[6]stage_hints!$A:$D,4,FALSE)</f>
        <v>攻めの果実 癒しの果実_x000D_生命の果実をユニット強化に使うと_x000D_ステータスが限界突破します（計99個迄）</v>
      </c>
      <c r="M47" s="54" t="s">
        <v>211</v>
      </c>
    </row>
    <row r="48" spans="1:13" x14ac:dyDescent="0.15">
      <c r="A48" s="75" t="s">
        <v>201</v>
      </c>
      <c r="B48" s="76">
        <f>floors!$C$2</f>
        <v>38101</v>
      </c>
      <c r="C48" s="77" t="str">
        <f ca="1">VLOOKUP($B48,OFFSET([2]quests!$A$1,0,0,COUNTA([2]quests!$A:$A),MATCH(C$1,[2]quests!$1:$1,0)-MATCH($B$1,[2]quests!$1:$1,0)+1),MATCH(C$1,[2]quests!$1:$1,0)-MATCH($B$1,[2]quests!$1:$1,0)+1,FALSE)</f>
        <v>安多</v>
      </c>
      <c r="D48" s="77" t="str">
        <f ca="1">VLOOKUP($B48,OFFSET([2]quests!$A$1,0,0,COUNTA([2]quests!$A:$A),MATCH(D$1,[2]quests!$1:$1,0)-MATCH($B$1,[2]quests!$1:$1,0)+1),MATCH(D$1,[2]quests!$1:$1,0)-MATCH($B$1,[2]quests!$1:$1,0)+1,FALSE)</f>
        <v>台湾版コラボ降臨1　超級</v>
      </c>
      <c r="E48" s="81" t="s">
        <v>215</v>
      </c>
      <c r="F48" s="77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77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79">
        <v>0</v>
      </c>
      <c r="I48">
        <v>25</v>
      </c>
      <c r="J48" s="78" t="s">
        <v>199</v>
      </c>
      <c r="K48" s="87" t="str">
        <f>VLOOKUP(I48,[6]stage_hints!$A:$C,3,FALSE)</f>
        <v>スキルレベルアップ</v>
      </c>
      <c r="L48" s="88" t="str">
        <f>VLOOKUP(I48,[6]stage_hints!$A:$D,4,FALSE)</f>
        <v>「秘術の果実」を強化に使うと_x000D_スキルレベルを上げることができます</v>
      </c>
      <c r="M48" s="54" t="s">
        <v>211</v>
      </c>
    </row>
    <row r="49" spans="1:13" x14ac:dyDescent="0.15">
      <c r="A49" s="75" t="s">
        <v>201</v>
      </c>
      <c r="B49" s="76">
        <f>floors!$C$2</f>
        <v>38101</v>
      </c>
      <c r="C49" s="77" t="str">
        <f ca="1">VLOOKUP($B49,OFFSET([2]quests!$A$1,0,0,COUNTA([2]quests!$A:$A),MATCH(C$1,[2]quests!$1:$1,0)-MATCH($B$1,[2]quests!$1:$1,0)+1),MATCH(C$1,[2]quests!$1:$1,0)-MATCH($B$1,[2]quests!$1:$1,0)+1,FALSE)</f>
        <v>安多</v>
      </c>
      <c r="D49" s="77" t="str">
        <f ca="1">VLOOKUP($B49,OFFSET([2]quests!$A$1,0,0,COUNTA([2]quests!$A:$A),MATCH(D$1,[2]quests!$1:$1,0)-MATCH($B$1,[2]quests!$1:$1,0)+1),MATCH(D$1,[2]quests!$1:$1,0)-MATCH($B$1,[2]quests!$1:$1,0)+1,FALSE)</f>
        <v>台湾版コラボ降臨1　超級</v>
      </c>
      <c r="E49" s="81" t="s">
        <v>215</v>
      </c>
      <c r="F49" s="77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77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79">
        <v>0</v>
      </c>
      <c r="I49">
        <v>26</v>
      </c>
      <c r="J49" s="78" t="s">
        <v>199</v>
      </c>
      <c r="K49" s="87" t="str">
        <f>VLOOKUP(I49,[6]stage_hints!$A:$C,3,FALSE)</f>
        <v>スキルレベルの効果</v>
      </c>
      <c r="L49" s="88" t="str">
        <f>VLOOKUP(I49,[6]stage_hints!$A:$D,4,FALSE)</f>
        <v>スキルレベルが上がると_x000D_短いターンでスキルを使うことができます</v>
      </c>
      <c r="M49" s="54" t="s">
        <v>211</v>
      </c>
    </row>
    <row r="50" spans="1:13" x14ac:dyDescent="0.15">
      <c r="A50" s="75" t="s">
        <v>201</v>
      </c>
      <c r="B50" s="76">
        <f>floors!$C$2</f>
        <v>38101</v>
      </c>
      <c r="C50" s="77" t="str">
        <f ca="1">VLOOKUP($B50,OFFSET([2]quests!$A$1,0,0,COUNTA([2]quests!$A:$A),MATCH(C$1,[2]quests!$1:$1,0)-MATCH($B$1,[2]quests!$1:$1,0)+1),MATCH(C$1,[2]quests!$1:$1,0)-MATCH($B$1,[2]quests!$1:$1,0)+1,FALSE)</f>
        <v>安多</v>
      </c>
      <c r="D50" s="77" t="str">
        <f ca="1">VLOOKUP($B50,OFFSET([2]quests!$A$1,0,0,COUNTA([2]quests!$A:$A),MATCH(D$1,[2]quests!$1:$1,0)-MATCH($B$1,[2]quests!$1:$1,0)+1),MATCH(D$1,[2]quests!$1:$1,0)-MATCH($B$1,[2]quests!$1:$1,0)+1,FALSE)</f>
        <v>台湾版コラボ降臨1　超級</v>
      </c>
      <c r="E50" s="81" t="s">
        <v>215</v>
      </c>
      <c r="F50" s="77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77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79">
        <v>0</v>
      </c>
      <c r="I50">
        <v>27</v>
      </c>
      <c r="J50" s="78" t="s">
        <v>199</v>
      </c>
      <c r="K50" s="87" t="str">
        <f>VLOOKUP(I50,[6]stage_hints!$A:$C,3,FALSE)</f>
        <v>ホーム画面からデッキを編成</v>
      </c>
      <c r="L50" s="88" t="str">
        <f>VLOOKUP(I50,[6]stage_hints!$A:$D,4,FALSE)</f>
        <v>ホーム画面でユニットを長押しすると_x000D_すぐにパーティ編成に移動できます</v>
      </c>
      <c r="M50" s="54" t="s">
        <v>211</v>
      </c>
    </row>
    <row r="51" spans="1:13" x14ac:dyDescent="0.15">
      <c r="A51" s="75" t="s">
        <v>201</v>
      </c>
      <c r="B51" s="76">
        <f>floors!$C$2</f>
        <v>38101</v>
      </c>
      <c r="C51" s="77" t="str">
        <f ca="1">VLOOKUP($B51,OFFSET([2]quests!$A$1,0,0,COUNTA([2]quests!$A:$A),MATCH(C$1,[2]quests!$1:$1,0)-MATCH($B$1,[2]quests!$1:$1,0)+1),MATCH(C$1,[2]quests!$1:$1,0)-MATCH($B$1,[2]quests!$1:$1,0)+1,FALSE)</f>
        <v>安多</v>
      </c>
      <c r="D51" s="77" t="str">
        <f ca="1">VLOOKUP($B51,OFFSET([2]quests!$A$1,0,0,COUNTA([2]quests!$A:$A),MATCH(D$1,[2]quests!$1:$1,0)-MATCH($B$1,[2]quests!$1:$1,0)+1),MATCH(D$1,[2]quests!$1:$1,0)-MATCH($B$1,[2]quests!$1:$1,0)+1,FALSE)</f>
        <v>台湾版コラボ降臨1　超級</v>
      </c>
      <c r="E51" s="81" t="s">
        <v>215</v>
      </c>
      <c r="F51" s="77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77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79">
        <v>0</v>
      </c>
      <c r="I51">
        <v>28</v>
      </c>
      <c r="J51" s="78" t="s">
        <v>199</v>
      </c>
      <c r="K51" s="87" t="str">
        <f>VLOOKUP(I51,[6]stage_hints!$A:$C,3,FALSE)</f>
        <v>ステータス情報は長押しで</v>
      </c>
      <c r="L51" s="88" t="str">
        <f>VLOOKUP(I51,[6]stage_hints!$A:$D,4,FALSE)</f>
        <v>ユニットのアイコンを長押しすると_x000D_ステータス情報を確認することができます</v>
      </c>
      <c r="M51" s="54" t="s">
        <v>211</v>
      </c>
    </row>
    <row r="52" spans="1:13" x14ac:dyDescent="0.15">
      <c r="A52" s="75" t="s">
        <v>201</v>
      </c>
      <c r="B52" s="76">
        <f>floors!$C$2</f>
        <v>38101</v>
      </c>
      <c r="C52" s="77" t="str">
        <f ca="1">VLOOKUP($B52,OFFSET([2]quests!$A$1,0,0,COUNTA([2]quests!$A:$A),MATCH(C$1,[2]quests!$1:$1,0)-MATCH($B$1,[2]quests!$1:$1,0)+1),MATCH(C$1,[2]quests!$1:$1,0)-MATCH($B$1,[2]quests!$1:$1,0)+1,FALSE)</f>
        <v>安多</v>
      </c>
      <c r="D52" s="77" t="str">
        <f ca="1">VLOOKUP($B52,OFFSET([2]quests!$A$1,0,0,COUNTA([2]quests!$A:$A),MATCH(D$1,[2]quests!$1:$1,0)-MATCH($B$1,[2]quests!$1:$1,0)+1),MATCH(D$1,[2]quests!$1:$1,0)-MATCH($B$1,[2]quests!$1:$1,0)+1,FALSE)</f>
        <v>台湾版コラボ降臨1　超級</v>
      </c>
      <c r="E52" s="81" t="s">
        <v>215</v>
      </c>
      <c r="F52" s="77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77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79">
        <v>0</v>
      </c>
      <c r="I52">
        <v>29</v>
      </c>
      <c r="J52" s="78" t="s">
        <v>199</v>
      </c>
      <c r="K52" s="87" t="str">
        <f>VLOOKUP(I52,[6]stage_hints!$A:$C,3,FALSE)</f>
        <v>「バグ」のメリット</v>
      </c>
      <c r="L52" s="88" t="str">
        <f>VLOOKUP(I52,[6]stage_hints!$A:$D,4,FALSE)</f>
        <v>ユニットの「バグ」を増やすと_x000D_報酬をもらえる確率がアップします</v>
      </c>
      <c r="M52" s="54" t="s">
        <v>211</v>
      </c>
    </row>
    <row r="53" spans="1:13" x14ac:dyDescent="0.15">
      <c r="A53" s="75" t="s">
        <v>201</v>
      </c>
      <c r="B53" s="76">
        <f>floors!$C$2</f>
        <v>38101</v>
      </c>
      <c r="C53" s="77" t="str">
        <f ca="1">VLOOKUP($B53,OFFSET([2]quests!$A$1,0,0,COUNTA([2]quests!$A:$A),MATCH(C$1,[2]quests!$1:$1,0)-MATCH($B$1,[2]quests!$1:$1,0)+1),MATCH(C$1,[2]quests!$1:$1,0)-MATCH($B$1,[2]quests!$1:$1,0)+1,FALSE)</f>
        <v>安多</v>
      </c>
      <c r="D53" s="77" t="str">
        <f ca="1">VLOOKUP($B53,OFFSET([2]quests!$A$1,0,0,COUNTA([2]quests!$A:$A),MATCH(D$1,[2]quests!$1:$1,0)-MATCH($B$1,[2]quests!$1:$1,0)+1),MATCH(D$1,[2]quests!$1:$1,0)-MATCH($B$1,[2]quests!$1:$1,0)+1,FALSE)</f>
        <v>台湾版コラボ降臨1　超級</v>
      </c>
      <c r="E53" s="81" t="s">
        <v>215</v>
      </c>
      <c r="F53" s="77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77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79">
        <v>0</v>
      </c>
      <c r="I53">
        <v>30</v>
      </c>
      <c r="J53" s="78" t="s">
        <v>199</v>
      </c>
      <c r="K53" s="87" t="str">
        <f>VLOOKUP(I53,[6]stage_hints!$A:$C,3,FALSE)</f>
        <v>「バグ」の増やし方</v>
      </c>
      <c r="L53" s="88" t="str">
        <f>VLOOKUP(I53,[6]stage_hints!$A:$D,4,FALSE)</f>
        <v>同じユニット同士を強化で合成すると_x000D_「バグ」を増やすことができます</v>
      </c>
      <c r="M53" s="54" t="s">
        <v>211</v>
      </c>
    </row>
    <row r="54" spans="1:13" x14ac:dyDescent="0.15">
      <c r="A54" s="75" t="s">
        <v>201</v>
      </c>
      <c r="B54" s="76">
        <f>floors!$C$2</f>
        <v>38101</v>
      </c>
      <c r="C54" s="77" t="str">
        <f ca="1">VLOOKUP($B54,OFFSET([2]quests!$A$1,0,0,COUNTA([2]quests!$A:$A),MATCH(C$1,[2]quests!$1:$1,0)-MATCH($B$1,[2]quests!$1:$1,0)+1),MATCH(C$1,[2]quests!$1:$1,0)-MATCH($B$1,[2]quests!$1:$1,0)+1,FALSE)</f>
        <v>安多</v>
      </c>
      <c r="D54" s="77" t="str">
        <f ca="1">VLOOKUP($B54,OFFSET([2]quests!$A$1,0,0,COUNTA([2]quests!$A:$A),MATCH(D$1,[2]quests!$1:$1,0)-MATCH($B$1,[2]quests!$1:$1,0)+1),MATCH(D$1,[2]quests!$1:$1,0)-MATCH($B$1,[2]quests!$1:$1,0)+1,FALSE)</f>
        <v>台湾版コラボ降臨1　超級</v>
      </c>
      <c r="E54" s="81" t="s">
        <v>215</v>
      </c>
      <c r="F54" s="77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77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79">
        <v>0</v>
      </c>
      <c r="I54">
        <v>31</v>
      </c>
      <c r="J54" s="78" t="s">
        <v>199</v>
      </c>
      <c r="K54" s="87" t="str">
        <f>VLOOKUP(I54,[6]stage_hints!$A:$C,3,FALSE)</f>
        <v>イベントはお知らせでチェック</v>
      </c>
      <c r="L54" s="88" t="str">
        <f>VLOOKUP(I54,[6]stage_hints!$A:$D,4,FALSE)</f>
        <v>イベント限定ユニットを取り忘れないように_x000D_お知らせをこまめにチェックしましょう</v>
      </c>
      <c r="M54" s="54" t="s">
        <v>211</v>
      </c>
    </row>
    <row r="55" spans="1:13" x14ac:dyDescent="0.15">
      <c r="A55" s="75" t="s">
        <v>201</v>
      </c>
      <c r="B55" s="76">
        <f>floors!$C$2</f>
        <v>38101</v>
      </c>
      <c r="C55" s="77" t="str">
        <f ca="1">VLOOKUP($B55,OFFSET([2]quests!$A$1,0,0,COUNTA([2]quests!$A:$A),MATCH(C$1,[2]quests!$1:$1,0)-MATCH($B$1,[2]quests!$1:$1,0)+1),MATCH(C$1,[2]quests!$1:$1,0)-MATCH($B$1,[2]quests!$1:$1,0)+1,FALSE)</f>
        <v>安多</v>
      </c>
      <c r="D55" s="77" t="str">
        <f ca="1">VLOOKUP($B55,OFFSET([2]quests!$A$1,0,0,COUNTA([2]quests!$A:$A),MATCH(D$1,[2]quests!$1:$1,0)-MATCH($B$1,[2]quests!$1:$1,0)+1),MATCH(D$1,[2]quests!$1:$1,0)-MATCH($B$1,[2]quests!$1:$1,0)+1,FALSE)</f>
        <v>台湾版コラボ降臨1　超級</v>
      </c>
      <c r="E55" s="81" t="s">
        <v>215</v>
      </c>
      <c r="F55" s="77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77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79">
        <v>0</v>
      </c>
      <c r="I55">
        <v>32</v>
      </c>
      <c r="J55" s="78" t="s">
        <v>199</v>
      </c>
      <c r="K55" s="87" t="str">
        <f>VLOOKUP(I55,[6]stage_hints!$A:$C,3,FALSE)</f>
        <v>敵の連続攻撃には</v>
      </c>
      <c r="L55" s="88" t="str">
        <f>VLOOKUP(I55,[6]stage_hints!$A:$D,4,FALSE)</f>
        <v>カウンタースキルを持つユニットがいれば_x000D_ダメージ回数分の反撃ができます</v>
      </c>
      <c r="M55" s="54" t="s">
        <v>211</v>
      </c>
    </row>
    <row r="56" spans="1:13" x14ac:dyDescent="0.15">
      <c r="A56" s="75" t="s">
        <v>201</v>
      </c>
      <c r="B56" s="76">
        <f>floors!$C$2</f>
        <v>38101</v>
      </c>
      <c r="C56" s="77" t="str">
        <f ca="1">VLOOKUP($B56,OFFSET([2]quests!$A$1,0,0,COUNTA([2]quests!$A:$A),MATCH(C$1,[2]quests!$1:$1,0)-MATCH($B$1,[2]quests!$1:$1,0)+1),MATCH(C$1,[2]quests!$1:$1,0)-MATCH($B$1,[2]quests!$1:$1,0)+1,FALSE)</f>
        <v>安多</v>
      </c>
      <c r="D56" s="77" t="str">
        <f ca="1">VLOOKUP($B56,OFFSET([2]quests!$A$1,0,0,COUNTA([2]quests!$A:$A),MATCH(D$1,[2]quests!$1:$1,0)-MATCH($B$1,[2]quests!$1:$1,0)+1),MATCH(D$1,[2]quests!$1:$1,0)-MATCH($B$1,[2]quests!$1:$1,0)+1,FALSE)</f>
        <v>台湾版コラボ降臨1　超級</v>
      </c>
      <c r="E56" s="81" t="s">
        <v>215</v>
      </c>
      <c r="F56" s="77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77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79">
        <v>0</v>
      </c>
      <c r="I56">
        <v>33</v>
      </c>
      <c r="J56" s="78" t="s">
        <v>199</v>
      </c>
      <c r="K56" s="87" t="str">
        <f>VLOOKUP(I56,[6]stage_hints!$A:$C,3,FALSE)</f>
        <v>敵のカウンター攻撃には</v>
      </c>
      <c r="L56" s="88" t="str">
        <f>VLOOKUP(I56,[6]stage_hints!$A:$D,4,FALSE)</f>
        <v>カウンターブレイクスキルを持っていれば_x000D_敵のカウンターを解除して攻撃ができます</v>
      </c>
      <c r="M56" s="54" t="s">
        <v>211</v>
      </c>
    </row>
    <row r="57" spans="1:13" x14ac:dyDescent="0.15">
      <c r="A57" s="75" t="s">
        <v>201</v>
      </c>
      <c r="B57" s="76">
        <f>floors!$C$2</f>
        <v>38101</v>
      </c>
      <c r="C57" s="77" t="str">
        <f ca="1">VLOOKUP($B57,OFFSET([2]quests!$A$1,0,0,COUNTA([2]quests!$A:$A),MATCH(C$1,[2]quests!$1:$1,0)-MATCH($B$1,[2]quests!$1:$1,0)+1),MATCH(C$1,[2]quests!$1:$1,0)-MATCH($B$1,[2]quests!$1:$1,0)+1,FALSE)</f>
        <v>安多</v>
      </c>
      <c r="D57" s="77" t="str">
        <f ca="1">VLOOKUP($B57,OFFSET([2]quests!$A$1,0,0,COUNTA([2]quests!$A:$A),MATCH(D$1,[2]quests!$1:$1,0)-MATCH($B$1,[2]quests!$1:$1,0)+1),MATCH(D$1,[2]quests!$1:$1,0)-MATCH($B$1,[2]quests!$1:$1,0)+1,FALSE)</f>
        <v>台湾版コラボ降臨1　超級</v>
      </c>
      <c r="E57" s="81" t="s">
        <v>215</v>
      </c>
      <c r="F57" s="77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77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79">
        <v>0</v>
      </c>
      <c r="I57">
        <v>34</v>
      </c>
      <c r="J57" s="78" t="s">
        <v>199</v>
      </c>
      <c r="K57" s="87" t="str">
        <f>VLOOKUP(I57,[6]stage_hints!$A:$C,3,FALSE)</f>
        <v>ステータスをスキルで下げられたら</v>
      </c>
      <c r="L57" s="88" t="str">
        <f>VLOOKUP(I57,[6]stage_hints!$A:$D,4,FALSE)</f>
        <v>ステータスダウンのスキルを受けたら_x000D_ステータスアップスキルで上書きしましょう</v>
      </c>
      <c r="M57" s="54" t="s">
        <v>211</v>
      </c>
    </row>
    <row r="58" spans="1:13" x14ac:dyDescent="0.15">
      <c r="A58" s="75" t="s">
        <v>201</v>
      </c>
      <c r="B58" s="76">
        <f>floors!$C$2</f>
        <v>38101</v>
      </c>
      <c r="C58" s="77" t="str">
        <f ca="1">VLOOKUP($B58,OFFSET([2]quests!$A$1,0,0,COUNTA([2]quests!$A:$A),MATCH(C$1,[2]quests!$1:$1,0)-MATCH($B$1,[2]quests!$1:$1,0)+1),MATCH(C$1,[2]quests!$1:$1,0)-MATCH($B$1,[2]quests!$1:$1,0)+1,FALSE)</f>
        <v>安多</v>
      </c>
      <c r="D58" s="77" t="str">
        <f ca="1">VLOOKUP($B58,OFFSET([2]quests!$A$1,0,0,COUNTA([2]quests!$A:$A),MATCH(D$1,[2]quests!$1:$1,0)-MATCH($B$1,[2]quests!$1:$1,0)+1),MATCH(D$1,[2]quests!$1:$1,0)-MATCH($B$1,[2]quests!$1:$1,0)+1,FALSE)</f>
        <v>台湾版コラボ降臨1　超級</v>
      </c>
      <c r="E58" s="81" t="s">
        <v>215</v>
      </c>
      <c r="F58" s="77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77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79">
        <v>0</v>
      </c>
      <c r="I58">
        <v>35</v>
      </c>
      <c r="J58" s="78" t="s">
        <v>199</v>
      </c>
      <c r="K58" s="87" t="str">
        <f>VLOOKUP(I58,[6]stage_hints!$A:$C,3,FALSE)</f>
        <v>敵のステータスがスキルで上がったら</v>
      </c>
      <c r="L58" s="88" t="str">
        <f>VLOOKUP(I58,[6]stage_hints!$A:$D,4,FALSE)</f>
        <v>敵のステータスがスキルでアップしたときは_x000D_ステータスダウンスキルで上書きしましょう</v>
      </c>
      <c r="M58" s="54" t="s">
        <v>211</v>
      </c>
    </row>
    <row r="59" spans="1:13" x14ac:dyDescent="0.15">
      <c r="A59" s="75" t="s">
        <v>201</v>
      </c>
      <c r="B59" s="76">
        <f>floors!$C$2</f>
        <v>38101</v>
      </c>
      <c r="C59" s="77" t="str">
        <f ca="1">VLOOKUP($B59,OFFSET([2]quests!$A$1,0,0,COUNTA([2]quests!$A:$A),MATCH(C$1,[2]quests!$1:$1,0)-MATCH($B$1,[2]quests!$1:$1,0)+1),MATCH(C$1,[2]quests!$1:$1,0)-MATCH($B$1,[2]quests!$1:$1,0)+1,FALSE)</f>
        <v>安多</v>
      </c>
      <c r="D59" s="77" t="str">
        <f ca="1">VLOOKUP($B59,OFFSET([2]quests!$A$1,0,0,COUNTA([2]quests!$A:$A),MATCH(D$1,[2]quests!$1:$1,0)-MATCH($B$1,[2]quests!$1:$1,0)+1),MATCH(D$1,[2]quests!$1:$1,0)-MATCH($B$1,[2]quests!$1:$1,0)+1,FALSE)</f>
        <v>台湾版コラボ降臨1　超級</v>
      </c>
      <c r="E59" s="81" t="s">
        <v>215</v>
      </c>
      <c r="F59" s="77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77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79">
        <v>0</v>
      </c>
      <c r="I59">
        <v>39</v>
      </c>
      <c r="J59" s="78" t="s">
        <v>199</v>
      </c>
      <c r="K59" s="87" t="str">
        <f>VLOOKUP(I59,[6]stage_hints!$A:$C,3,FALSE)</f>
        <v>システム適合者を確認</v>
      </c>
      <c r="L59" s="88" t="str">
        <f>VLOOKUP(I59,[6]stage_hints!$A:$D,4,FALSE)</f>
        <v>ALICEが 「アナタ」を呼んでいます</v>
      </c>
      <c r="M59" s="54" t="s">
        <v>211</v>
      </c>
    </row>
    <row r="60" spans="1:13" x14ac:dyDescent="0.15">
      <c r="A60" s="75" t="s">
        <v>201</v>
      </c>
      <c r="B60" s="76">
        <f>floors!$C$2</f>
        <v>38101</v>
      </c>
      <c r="C60" s="77" t="str">
        <f ca="1">VLOOKUP($B60,OFFSET([2]quests!$A$1,0,0,COUNTA([2]quests!$A:$A),MATCH(C$1,[2]quests!$1:$1,0)-MATCH($B$1,[2]quests!$1:$1,0)+1),MATCH(C$1,[2]quests!$1:$1,0)-MATCH($B$1,[2]quests!$1:$1,0)+1,FALSE)</f>
        <v>安多</v>
      </c>
      <c r="D60" s="77" t="str">
        <f ca="1">VLOOKUP($B60,OFFSET([2]quests!$A$1,0,0,COUNTA([2]quests!$A:$A),MATCH(D$1,[2]quests!$1:$1,0)-MATCH($B$1,[2]quests!$1:$1,0)+1),MATCH(D$1,[2]quests!$1:$1,0)-MATCH($B$1,[2]quests!$1:$1,0)+1,FALSE)</f>
        <v>台湾版コラボ降臨1　超級</v>
      </c>
      <c r="E60" s="81" t="s">
        <v>216</v>
      </c>
      <c r="F60" s="77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77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79">
        <v>0</v>
      </c>
      <c r="I60" s="90">
        <v>3</v>
      </c>
      <c r="J60" s="78" t="s">
        <v>199</v>
      </c>
      <c r="K60" s="87" t="str">
        <f>VLOOKUP(I60,[6]stage_hints!$A:$C,3,FALSE)</f>
        <v>ターゲット</v>
      </c>
      <c r="L60" s="88" t="str">
        <f>VLOOKUP(I60,[6]stage_hints!$A:$D,4,FALSE)</f>
        <v>敵ユニットをタップすると_x000D_その敵を狙い撃ちできます</v>
      </c>
      <c r="M60" s="54" t="s">
        <v>211</v>
      </c>
    </row>
    <row r="61" spans="1:13" x14ac:dyDescent="0.15">
      <c r="A61" s="75" t="s">
        <v>201</v>
      </c>
      <c r="B61" s="76">
        <f>floors!$C$2</f>
        <v>38101</v>
      </c>
      <c r="C61" s="77" t="str">
        <f ca="1">VLOOKUP($B61,OFFSET([2]quests!$A$1,0,0,COUNTA([2]quests!$A:$A),MATCH(C$1,[2]quests!$1:$1,0)-MATCH($B$1,[2]quests!$1:$1,0)+1),MATCH(C$1,[2]quests!$1:$1,0)-MATCH($B$1,[2]quests!$1:$1,0)+1,FALSE)</f>
        <v>安多</v>
      </c>
      <c r="D61" s="77" t="str">
        <f ca="1">VLOOKUP($B61,OFFSET([2]quests!$A$1,0,0,COUNTA([2]quests!$A:$A),MATCH(D$1,[2]quests!$1:$1,0)-MATCH($B$1,[2]quests!$1:$1,0)+1),MATCH(D$1,[2]quests!$1:$1,0)-MATCH($B$1,[2]quests!$1:$1,0)+1,FALSE)</f>
        <v>台湾版コラボ降臨1　超級</v>
      </c>
      <c r="E61" s="81" t="s">
        <v>216</v>
      </c>
      <c r="F61" s="77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77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79">
        <v>0</v>
      </c>
      <c r="I61" s="90">
        <v>6</v>
      </c>
      <c r="J61" s="78" t="s">
        <v>199</v>
      </c>
      <c r="K61" s="87" t="str">
        <f>VLOOKUP(I61,[6]stage_hints!$A:$C,3,FALSE)</f>
        <v>ユニット強化の属性ボーナス</v>
      </c>
      <c r="L61" s="88" t="str">
        <f>VLOOKUP(I61,[6]stage_hints!$A:$D,4,FALSE)</f>
        <v>同属性ユニットを強化素材にすると_x000D_経験値が多くもらえます</v>
      </c>
      <c r="M61" s="54" t="s">
        <v>211</v>
      </c>
    </row>
    <row r="62" spans="1:13" x14ac:dyDescent="0.15">
      <c r="A62" s="75" t="s">
        <v>201</v>
      </c>
      <c r="B62" s="76">
        <f>floors!$C$2</f>
        <v>38101</v>
      </c>
      <c r="C62" s="77" t="str">
        <f ca="1">VLOOKUP($B62,OFFSET([2]quests!$A$1,0,0,COUNTA([2]quests!$A:$A),MATCH(C$1,[2]quests!$1:$1,0)-MATCH($B$1,[2]quests!$1:$1,0)+1),MATCH(C$1,[2]quests!$1:$1,0)-MATCH($B$1,[2]quests!$1:$1,0)+1,FALSE)</f>
        <v>安多</v>
      </c>
      <c r="D62" s="77" t="str">
        <f ca="1">VLOOKUP($B62,OFFSET([2]quests!$A$1,0,0,COUNTA([2]quests!$A:$A),MATCH(D$1,[2]quests!$1:$1,0)-MATCH($B$1,[2]quests!$1:$1,0)+1),MATCH(D$1,[2]quests!$1:$1,0)-MATCH($B$1,[2]quests!$1:$1,0)+1,FALSE)</f>
        <v>台湾版コラボ降臨1　超級</v>
      </c>
      <c r="E62" s="81" t="s">
        <v>216</v>
      </c>
      <c r="F62" s="77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77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79">
        <v>0</v>
      </c>
      <c r="I62" s="90">
        <v>7</v>
      </c>
      <c r="J62" s="78" t="s">
        <v>199</v>
      </c>
      <c r="K62" s="87" t="str">
        <f>VLOOKUP(I62,[6]stage_hints!$A:$C,3,FALSE)</f>
        <v>メタルダックで経験値を獲得</v>
      </c>
      <c r="L62" s="88" t="str">
        <f>VLOOKUP(I62,[6]stage_hints!$A:$D,4,FALSE)</f>
        <v>「メタルなアヒル」を強化素材にすると_x000D_大量の経験値がもらえます</v>
      </c>
      <c r="M62" s="54" t="s">
        <v>211</v>
      </c>
    </row>
    <row r="63" spans="1:13" x14ac:dyDescent="0.15">
      <c r="A63" s="75" t="s">
        <v>201</v>
      </c>
      <c r="B63" s="76">
        <f>floors!$C$2</f>
        <v>38101</v>
      </c>
      <c r="C63" s="77" t="str">
        <f ca="1">VLOOKUP($B63,OFFSET([2]quests!$A$1,0,0,COUNTA([2]quests!$A:$A),MATCH(C$1,[2]quests!$1:$1,0)-MATCH($B$1,[2]quests!$1:$1,0)+1),MATCH(C$1,[2]quests!$1:$1,0)-MATCH($B$1,[2]quests!$1:$1,0)+1,FALSE)</f>
        <v>安多</v>
      </c>
      <c r="D63" s="77" t="str">
        <f ca="1">VLOOKUP($B63,OFFSET([2]quests!$A$1,0,0,COUNTA([2]quests!$A:$A),MATCH(D$1,[2]quests!$1:$1,0)-MATCH($B$1,[2]quests!$1:$1,0)+1),MATCH(D$1,[2]quests!$1:$1,0)-MATCH($B$1,[2]quests!$1:$1,0)+1,FALSE)</f>
        <v>台湾版コラボ降臨1　超級</v>
      </c>
      <c r="E63" s="81" t="s">
        <v>216</v>
      </c>
      <c r="F63" s="77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77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79">
        <v>0</v>
      </c>
      <c r="I63" s="90">
        <v>8</v>
      </c>
      <c r="J63" s="78" t="s">
        <v>199</v>
      </c>
      <c r="K63" s="87" t="str">
        <f>VLOOKUP(I63,[6]stage_hints!$A:$C,3,FALSE)</f>
        <v>ゲリラクエストは要チェック</v>
      </c>
      <c r="L63" s="88" t="str">
        <f>VLOOKUP(I63,[6]stage_hints!$A:$D,4,FALSE)</f>
        <v>時間限定の「アヒル捕獲作戦」では_x000D_経験値素材ユニットが多く手に入ります</v>
      </c>
      <c r="M63" s="54" t="s">
        <v>211</v>
      </c>
    </row>
    <row r="64" spans="1:13" x14ac:dyDescent="0.15">
      <c r="A64" s="75" t="s">
        <v>201</v>
      </c>
      <c r="B64" s="76">
        <f>floors!$C$2</f>
        <v>38101</v>
      </c>
      <c r="C64" s="77" t="str">
        <f ca="1">VLOOKUP($B64,OFFSET([2]quests!$A$1,0,0,COUNTA([2]quests!$A:$A),MATCH(C$1,[2]quests!$1:$1,0)-MATCH($B$1,[2]quests!$1:$1,0)+1),MATCH(C$1,[2]quests!$1:$1,0)-MATCH($B$1,[2]quests!$1:$1,0)+1,FALSE)</f>
        <v>安多</v>
      </c>
      <c r="D64" s="77" t="str">
        <f ca="1">VLOOKUP($B64,OFFSET([2]quests!$A$1,0,0,COUNTA([2]quests!$A:$A),MATCH(D$1,[2]quests!$1:$1,0)-MATCH($B$1,[2]quests!$1:$1,0)+1),MATCH(D$1,[2]quests!$1:$1,0)-MATCH($B$1,[2]quests!$1:$1,0)+1,FALSE)</f>
        <v>台湾版コラボ降臨1　超級</v>
      </c>
      <c r="E64" s="81" t="s">
        <v>216</v>
      </c>
      <c r="F64" s="77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77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79">
        <v>0</v>
      </c>
      <c r="I64" s="90">
        <v>9</v>
      </c>
      <c r="J64" s="78" t="s">
        <v>199</v>
      </c>
      <c r="K64" s="87" t="str">
        <f>VLOOKUP(I64,[6]stage_hints!$A:$C,3,FALSE)</f>
        <v>ゴールドダックでビットを獲得</v>
      </c>
      <c r="L64" s="88" t="str">
        <f>VLOOKUP(I64,[6]stage_hints!$A:$D,4,FALSE)</f>
        <v>「ゴールドなアヒル」を売却すると_x000D_大量のビットがもらえます</v>
      </c>
      <c r="M64" s="54" t="s">
        <v>211</v>
      </c>
    </row>
    <row r="65" spans="1:13" x14ac:dyDescent="0.15">
      <c r="A65" s="75" t="s">
        <v>201</v>
      </c>
      <c r="B65" s="76">
        <f>floors!$C$2</f>
        <v>38101</v>
      </c>
      <c r="C65" s="77" t="str">
        <f ca="1">VLOOKUP($B65,OFFSET([2]quests!$A$1,0,0,COUNTA([2]quests!$A:$A),MATCH(C$1,[2]quests!$1:$1,0)-MATCH($B$1,[2]quests!$1:$1,0)+1),MATCH(C$1,[2]quests!$1:$1,0)-MATCH($B$1,[2]quests!$1:$1,0)+1,FALSE)</f>
        <v>安多</v>
      </c>
      <c r="D65" s="77" t="str">
        <f ca="1">VLOOKUP($B65,OFFSET([2]quests!$A$1,0,0,COUNTA([2]quests!$A:$A),MATCH(D$1,[2]quests!$1:$1,0)-MATCH($B$1,[2]quests!$1:$1,0)+1),MATCH(D$1,[2]quests!$1:$1,0)-MATCH($B$1,[2]quests!$1:$1,0)+1,FALSE)</f>
        <v>台湾版コラボ降臨1　超級</v>
      </c>
      <c r="E65" s="81" t="s">
        <v>216</v>
      </c>
      <c r="F65" s="77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77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79">
        <v>0</v>
      </c>
      <c r="I65" s="90">
        <v>10</v>
      </c>
      <c r="J65" s="78" t="s">
        <v>199</v>
      </c>
      <c r="K65" s="87" t="str">
        <f>VLOOKUP(I65,[6]stage_hints!$A:$C,3,FALSE)</f>
        <v>土日に大量のビットを獲得</v>
      </c>
      <c r="L65" s="88" t="str">
        <f>VLOOKUP(I65,[6]stage_hints!$A:$D,4,FALSE)</f>
        <v>土日限定の「ゴールドカジノ」では_x000D_売却素材ユニットが多く手に入ります</v>
      </c>
      <c r="M65" s="54" t="s">
        <v>211</v>
      </c>
    </row>
    <row r="66" spans="1:13" x14ac:dyDescent="0.15">
      <c r="A66" s="75" t="s">
        <v>201</v>
      </c>
      <c r="B66" s="76">
        <f>floors!$C$2</f>
        <v>38101</v>
      </c>
      <c r="C66" s="77" t="str">
        <f ca="1">VLOOKUP($B66,OFFSET([2]quests!$A$1,0,0,COUNTA([2]quests!$A:$A),MATCH(C$1,[2]quests!$1:$1,0)-MATCH($B$1,[2]quests!$1:$1,0)+1),MATCH(C$1,[2]quests!$1:$1,0)-MATCH($B$1,[2]quests!$1:$1,0)+1,FALSE)</f>
        <v>安多</v>
      </c>
      <c r="D66" s="77" t="str">
        <f ca="1">VLOOKUP($B66,OFFSET([2]quests!$A$1,0,0,COUNTA([2]quests!$A:$A),MATCH(D$1,[2]quests!$1:$1,0)-MATCH($B$1,[2]quests!$1:$1,0)+1),MATCH(D$1,[2]quests!$1:$1,0)-MATCH($B$1,[2]quests!$1:$1,0)+1,FALSE)</f>
        <v>台湾版コラボ降臨1　超級</v>
      </c>
      <c r="E66" s="81" t="s">
        <v>216</v>
      </c>
      <c r="F66" s="77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77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79">
        <v>0</v>
      </c>
      <c r="I66" s="90">
        <v>11</v>
      </c>
      <c r="J66" s="78" t="s">
        <v>199</v>
      </c>
      <c r="K66" s="87" t="str">
        <f>VLOOKUP(I66,[6]stage_hints!$A:$C,3,FALSE)</f>
        <v>ゲリラクエストは要チェック</v>
      </c>
      <c r="L66" s="88" t="str">
        <f>VLOOKUP(I66,[6]stage_hints!$A:$D,4,FALSE)</f>
        <v>時間限定の「アヒル捕獲作戦」では_x000D_経験値素材ユニットが多く手に入ります</v>
      </c>
      <c r="M66" s="54" t="s">
        <v>211</v>
      </c>
    </row>
    <row r="67" spans="1:13" x14ac:dyDescent="0.15">
      <c r="A67" s="75" t="s">
        <v>201</v>
      </c>
      <c r="B67" s="76">
        <f>floors!$C$2</f>
        <v>38101</v>
      </c>
      <c r="C67" s="77" t="str">
        <f ca="1">VLOOKUP($B67,OFFSET([2]quests!$A$1,0,0,COUNTA([2]quests!$A:$A),MATCH(C$1,[2]quests!$1:$1,0)-MATCH($B$1,[2]quests!$1:$1,0)+1),MATCH(C$1,[2]quests!$1:$1,0)-MATCH($B$1,[2]quests!$1:$1,0)+1,FALSE)</f>
        <v>安多</v>
      </c>
      <c r="D67" s="77" t="str">
        <f ca="1">VLOOKUP($B67,OFFSET([2]quests!$A$1,0,0,COUNTA([2]quests!$A:$A),MATCH(D$1,[2]quests!$1:$1,0)-MATCH($B$1,[2]quests!$1:$1,0)+1),MATCH(D$1,[2]quests!$1:$1,0)-MATCH($B$1,[2]quests!$1:$1,0)+1,FALSE)</f>
        <v>台湾版コラボ降臨1　超級</v>
      </c>
      <c r="E67" s="81" t="s">
        <v>216</v>
      </c>
      <c r="F67" s="77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77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79">
        <v>0</v>
      </c>
      <c r="I67" s="90">
        <v>12</v>
      </c>
      <c r="J67" s="78" t="s">
        <v>199</v>
      </c>
      <c r="K67" s="87" t="str">
        <f>VLOOKUP(I67,[6]stage_hints!$A:$C,3,FALSE)</f>
        <v>ユニットのお気に入り登録</v>
      </c>
      <c r="L67" s="88" t="str">
        <f>VLOOKUP(I67,[6]stage_hints!$A:$D,4,FALSE)</f>
        <v>大事なユニットを誤って消さないように_x000D_フォルダから「お気に入り登録」しましょう</v>
      </c>
      <c r="M67" s="54" t="s">
        <v>211</v>
      </c>
    </row>
    <row r="68" spans="1:13" x14ac:dyDescent="0.15">
      <c r="A68" s="75" t="s">
        <v>201</v>
      </c>
      <c r="B68" s="76">
        <f>floors!$C$2</f>
        <v>38101</v>
      </c>
      <c r="C68" s="77" t="str">
        <f ca="1">VLOOKUP($B68,OFFSET([2]quests!$A$1,0,0,COUNTA([2]quests!$A:$A),MATCH(C$1,[2]quests!$1:$1,0)-MATCH($B$1,[2]quests!$1:$1,0)+1),MATCH(C$1,[2]quests!$1:$1,0)-MATCH($B$1,[2]quests!$1:$1,0)+1,FALSE)</f>
        <v>安多</v>
      </c>
      <c r="D68" s="77" t="str">
        <f ca="1">VLOOKUP($B68,OFFSET([2]quests!$A$1,0,0,COUNTA([2]quests!$A:$A),MATCH(D$1,[2]quests!$1:$1,0)-MATCH($B$1,[2]quests!$1:$1,0)+1),MATCH(D$1,[2]quests!$1:$1,0)-MATCH($B$1,[2]quests!$1:$1,0)+1,FALSE)</f>
        <v>台湾版コラボ降臨1　超級</v>
      </c>
      <c r="E68" s="81" t="s">
        <v>216</v>
      </c>
      <c r="F68" s="77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77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79">
        <v>0</v>
      </c>
      <c r="I68" s="90">
        <v>13</v>
      </c>
      <c r="J68" s="78" t="s">
        <v>199</v>
      </c>
      <c r="K68" s="87" t="str">
        <f>VLOOKUP(I68,[6]stage_hints!$A:$C,3,FALSE)</f>
        <v>ユニットの覚醒</v>
      </c>
      <c r="L68" s="88" t="str">
        <f>VLOOKUP(I68,[6]stage_hints!$A:$D,4,FALSE)</f>
        <v>ユニットを覚醒させると_x000D_比べものにならない強さが手に入ります</v>
      </c>
      <c r="M68" s="54" t="s">
        <v>211</v>
      </c>
    </row>
    <row r="69" spans="1:13" x14ac:dyDescent="0.15">
      <c r="A69" s="75" t="s">
        <v>201</v>
      </c>
      <c r="B69" s="76">
        <f>floors!$C$2</f>
        <v>38101</v>
      </c>
      <c r="C69" s="77" t="str">
        <f ca="1">VLOOKUP($B69,OFFSET([2]quests!$A$1,0,0,COUNTA([2]quests!$A:$A),MATCH(C$1,[2]quests!$1:$1,0)-MATCH($B$1,[2]quests!$1:$1,0)+1),MATCH(C$1,[2]quests!$1:$1,0)-MATCH($B$1,[2]quests!$1:$1,0)+1,FALSE)</f>
        <v>安多</v>
      </c>
      <c r="D69" s="77" t="str">
        <f ca="1">VLOOKUP($B69,OFFSET([2]quests!$A$1,0,0,COUNTA([2]quests!$A:$A),MATCH(D$1,[2]quests!$1:$1,0)-MATCH($B$1,[2]quests!$1:$1,0)+1),MATCH(D$1,[2]quests!$1:$1,0)-MATCH($B$1,[2]quests!$1:$1,0)+1,FALSE)</f>
        <v>台湾版コラボ降臨1　超級</v>
      </c>
      <c r="E69" s="81" t="s">
        <v>216</v>
      </c>
      <c r="F69" s="77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77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79">
        <v>0</v>
      </c>
      <c r="I69" s="90">
        <v>14</v>
      </c>
      <c r="J69" s="78" t="s">
        <v>199</v>
      </c>
      <c r="K69" s="87" t="str">
        <f>VLOOKUP(I69,[6]stage_hints!$A:$C,3,FALSE)</f>
        <v>覚醒するにはレベルを最大に</v>
      </c>
      <c r="L69" s="88" t="str">
        <f>VLOOKUP(I69,[6]stage_hints!$A:$D,4,FALSE)</f>
        <v>覚醒するにはユニットのレベルを_x000D_最大まで上げる必要があります</v>
      </c>
      <c r="M69" s="54" t="s">
        <v>211</v>
      </c>
    </row>
    <row r="70" spans="1:13" x14ac:dyDescent="0.15">
      <c r="A70" s="75" t="s">
        <v>201</v>
      </c>
      <c r="B70" s="76">
        <f>floors!$C$2</f>
        <v>38101</v>
      </c>
      <c r="C70" s="77" t="str">
        <f ca="1">VLOOKUP($B70,OFFSET([2]quests!$A$1,0,0,COUNTA([2]quests!$A:$A),MATCH(C$1,[2]quests!$1:$1,0)-MATCH($B$1,[2]quests!$1:$1,0)+1),MATCH(C$1,[2]quests!$1:$1,0)-MATCH($B$1,[2]quests!$1:$1,0)+1,FALSE)</f>
        <v>安多</v>
      </c>
      <c r="D70" s="77" t="str">
        <f ca="1">VLOOKUP($B70,OFFSET([2]quests!$A$1,0,0,COUNTA([2]quests!$A:$A),MATCH(D$1,[2]quests!$1:$1,0)-MATCH($B$1,[2]quests!$1:$1,0)+1),MATCH(D$1,[2]quests!$1:$1,0)-MATCH($B$1,[2]quests!$1:$1,0)+1,FALSE)</f>
        <v>台湾版コラボ降臨1　超級</v>
      </c>
      <c r="E70" s="81" t="s">
        <v>216</v>
      </c>
      <c r="F70" s="77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77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79">
        <v>0</v>
      </c>
      <c r="I70" s="90">
        <v>15</v>
      </c>
      <c r="J70" s="78" t="s">
        <v>199</v>
      </c>
      <c r="K70" s="87" t="str">
        <f>VLOOKUP(I70,[6]stage_hints!$A:$C,3,FALSE)</f>
        <v>覚醒素材を獲得</v>
      </c>
      <c r="L70" s="88" t="str">
        <f>VLOOKUP(I70,[6]stage_hints!$A:$D,4,FALSE)</f>
        <v>「曜日クエスト」では_x000D_ユニットの覚醒に必要な素材が手に入ります</v>
      </c>
      <c r="M70" s="54" t="s">
        <v>211</v>
      </c>
    </row>
    <row r="71" spans="1:13" x14ac:dyDescent="0.15">
      <c r="A71" s="75" t="s">
        <v>201</v>
      </c>
      <c r="B71" s="76">
        <f>floors!$C$2</f>
        <v>38101</v>
      </c>
      <c r="C71" s="77" t="str">
        <f ca="1">VLOOKUP($B71,OFFSET([2]quests!$A$1,0,0,COUNTA([2]quests!$A:$A),MATCH(C$1,[2]quests!$1:$1,0)-MATCH($B$1,[2]quests!$1:$1,0)+1),MATCH(C$1,[2]quests!$1:$1,0)-MATCH($B$1,[2]quests!$1:$1,0)+1,FALSE)</f>
        <v>安多</v>
      </c>
      <c r="D71" s="77" t="str">
        <f ca="1">VLOOKUP($B71,OFFSET([2]quests!$A$1,0,0,COUNTA([2]quests!$A:$A),MATCH(D$1,[2]quests!$1:$1,0)-MATCH($B$1,[2]quests!$1:$1,0)+1),MATCH(D$1,[2]quests!$1:$1,0)-MATCH($B$1,[2]quests!$1:$1,0)+1,FALSE)</f>
        <v>台湾版コラボ降臨1　超級</v>
      </c>
      <c r="E71" s="81" t="s">
        <v>216</v>
      </c>
      <c r="F71" s="77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77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79">
        <v>0</v>
      </c>
      <c r="I71" s="90">
        <v>16</v>
      </c>
      <c r="J71" s="78" t="s">
        <v>199</v>
      </c>
      <c r="K71" s="87" t="str">
        <f>VLOOKUP(I71,[6]stage_hints!$A:$C,3,FALSE)</f>
        <v>マルチプレイのメリット（その1）</v>
      </c>
      <c r="L71" s="88" t="str">
        <f>VLOOKUP(I71,[6]stage_hints!$A:$D,4,FALSE)</f>
        <v>他のプレイヤーとマルチプレイで遊ぶと_x000D_ポリゴンがもらえます（100人まで）</v>
      </c>
      <c r="M71" s="54" t="s">
        <v>211</v>
      </c>
    </row>
    <row r="72" spans="1:13" x14ac:dyDescent="0.15">
      <c r="A72" s="75" t="s">
        <v>201</v>
      </c>
      <c r="B72" s="76">
        <f>floors!$C$2</f>
        <v>38101</v>
      </c>
      <c r="C72" s="77" t="str">
        <f ca="1">VLOOKUP($B72,OFFSET([2]quests!$A$1,0,0,COUNTA([2]quests!$A:$A),MATCH(C$1,[2]quests!$1:$1,0)-MATCH($B$1,[2]quests!$1:$1,0)+1),MATCH(C$1,[2]quests!$1:$1,0)-MATCH($B$1,[2]quests!$1:$1,0)+1,FALSE)</f>
        <v>安多</v>
      </c>
      <c r="D72" s="77" t="str">
        <f ca="1">VLOOKUP($B72,OFFSET([2]quests!$A$1,0,0,COUNTA([2]quests!$A:$A),MATCH(D$1,[2]quests!$1:$1,0)-MATCH($B$1,[2]quests!$1:$1,0)+1),MATCH(D$1,[2]quests!$1:$1,0)-MATCH($B$1,[2]quests!$1:$1,0)+1,FALSE)</f>
        <v>台湾版コラボ降臨1　超級</v>
      </c>
      <c r="E72" s="81" t="s">
        <v>216</v>
      </c>
      <c r="F72" s="77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77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79">
        <v>0</v>
      </c>
      <c r="I72" s="90">
        <v>17</v>
      </c>
      <c r="J72" s="78" t="s">
        <v>199</v>
      </c>
      <c r="K72" s="87" t="str">
        <f>VLOOKUP(I72,[6]stage_hints!$A:$C,3,FALSE)</f>
        <v>リンクガチャ</v>
      </c>
      <c r="L72" s="88" t="str">
        <f>VLOOKUP(I72,[6]stage_hints!$A:$D,4,FALSE)</f>
        <v>無料のリンクガチャを回して_x000D_経験値素材や売却素材を獲得しましょう</v>
      </c>
      <c r="M72" s="54" t="s">
        <v>211</v>
      </c>
    </row>
    <row r="73" spans="1:13" x14ac:dyDescent="0.15">
      <c r="A73" s="75" t="s">
        <v>201</v>
      </c>
      <c r="B73" s="76">
        <f>floors!$C$2</f>
        <v>38101</v>
      </c>
      <c r="C73" s="77" t="str">
        <f ca="1">VLOOKUP($B73,OFFSET([2]quests!$A$1,0,0,COUNTA([2]quests!$A:$A),MATCH(C$1,[2]quests!$1:$1,0)-MATCH($B$1,[2]quests!$1:$1,0)+1),MATCH(C$1,[2]quests!$1:$1,0)-MATCH($B$1,[2]quests!$1:$1,0)+1,FALSE)</f>
        <v>安多</v>
      </c>
      <c r="D73" s="77" t="str">
        <f ca="1">VLOOKUP($B73,OFFSET([2]quests!$A$1,0,0,COUNTA([2]quests!$A:$A),MATCH(D$1,[2]quests!$1:$1,0)-MATCH($B$1,[2]quests!$1:$1,0)+1),MATCH(D$1,[2]quests!$1:$1,0)-MATCH($B$1,[2]quests!$1:$1,0)+1,FALSE)</f>
        <v>台湾版コラボ降臨1　超級</v>
      </c>
      <c r="E73" s="81" t="s">
        <v>216</v>
      </c>
      <c r="F73" s="77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77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79">
        <v>0</v>
      </c>
      <c r="I73" s="90">
        <v>18</v>
      </c>
      <c r="J73" s="78" t="s">
        <v>199</v>
      </c>
      <c r="K73" s="87" t="str">
        <f>VLOOKUP(I73,[6]stage_hints!$A:$C,3,FALSE)</f>
        <v>マルチプレイのメリット（その2）</v>
      </c>
      <c r="L73" s="88" t="str">
        <f>VLOOKUP(I73,[6]stage_hints!$A:$D,4,FALSE)</f>
        <v>マルチプレイならリンクが2倍もらえます_x000D_リンクガチャをたくさん回しましょう</v>
      </c>
      <c r="M73" s="54" t="s">
        <v>211</v>
      </c>
    </row>
    <row r="74" spans="1:13" x14ac:dyDescent="0.15">
      <c r="A74" s="75" t="s">
        <v>201</v>
      </c>
      <c r="B74" s="76">
        <f>floors!$C$2</f>
        <v>38101</v>
      </c>
      <c r="C74" s="77" t="str">
        <f ca="1">VLOOKUP($B74,OFFSET([2]quests!$A$1,0,0,COUNTA([2]quests!$A:$A),MATCH(C$1,[2]quests!$1:$1,0)-MATCH($B$1,[2]quests!$1:$1,0)+1),MATCH(C$1,[2]quests!$1:$1,0)-MATCH($B$1,[2]quests!$1:$1,0)+1,FALSE)</f>
        <v>安多</v>
      </c>
      <c r="D74" s="77" t="str">
        <f ca="1">VLOOKUP($B74,OFFSET([2]quests!$A$1,0,0,COUNTA([2]quests!$A:$A),MATCH(D$1,[2]quests!$1:$1,0)-MATCH($B$1,[2]quests!$1:$1,0)+1),MATCH(D$1,[2]quests!$1:$1,0)-MATCH($B$1,[2]quests!$1:$1,0)+1,FALSE)</f>
        <v>台湾版コラボ降臨1　超級</v>
      </c>
      <c r="E74" s="81" t="s">
        <v>216</v>
      </c>
      <c r="F74" s="77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77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79">
        <v>0</v>
      </c>
      <c r="I74" s="90">
        <v>19</v>
      </c>
      <c r="J74" s="78" t="s">
        <v>199</v>
      </c>
      <c r="K74" s="87" t="str">
        <f>VLOOKUP(I74,[6]stage_hints!$A:$C,3,FALSE)</f>
        <v>ソロ専用タワーオブザクイーン</v>
      </c>
      <c r="L74" s="88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4" t="s">
        <v>211</v>
      </c>
    </row>
    <row r="75" spans="1:13" x14ac:dyDescent="0.15">
      <c r="A75" s="75" t="s">
        <v>201</v>
      </c>
      <c r="B75" s="76">
        <f>floors!$C$2</f>
        <v>38101</v>
      </c>
      <c r="C75" s="77" t="str">
        <f ca="1">VLOOKUP($B75,OFFSET([2]quests!$A$1,0,0,COUNTA([2]quests!$A:$A),MATCH(C$1,[2]quests!$1:$1,0)-MATCH($B$1,[2]quests!$1:$1,0)+1),MATCH(C$1,[2]quests!$1:$1,0)-MATCH($B$1,[2]quests!$1:$1,0)+1,FALSE)</f>
        <v>安多</v>
      </c>
      <c r="D75" s="77" t="str">
        <f ca="1">VLOOKUP($B75,OFFSET([2]quests!$A$1,0,0,COUNTA([2]quests!$A:$A),MATCH(D$1,[2]quests!$1:$1,0)-MATCH($B$1,[2]quests!$1:$1,0)+1),MATCH(D$1,[2]quests!$1:$1,0)-MATCH($B$1,[2]quests!$1:$1,0)+1,FALSE)</f>
        <v>台湾版コラボ降臨1　超級</v>
      </c>
      <c r="E75" s="81" t="s">
        <v>216</v>
      </c>
      <c r="F75" s="77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77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79">
        <v>0</v>
      </c>
      <c r="I75" s="90">
        <v>20</v>
      </c>
      <c r="J75" s="78" t="s">
        <v>199</v>
      </c>
      <c r="K75" s="87" t="str">
        <f>VLOOKUP(I75,[6]stage_hints!$A:$C,3,FALSE)</f>
        <v>マルチプレイのメリット（その3）</v>
      </c>
      <c r="L75" s="88" t="str">
        <f>VLOOKUP(I75,[6]stage_hints!$A:$D,4,FALSE)</f>
        <v>マルチプレイへの参加はエナジー消費ゼロ_x000D_いつでも好きなだけ遊ぶことができます</v>
      </c>
      <c r="M75" s="54" t="s">
        <v>211</v>
      </c>
    </row>
    <row r="76" spans="1:13" x14ac:dyDescent="0.15">
      <c r="A76" s="75" t="s">
        <v>201</v>
      </c>
      <c r="B76" s="76">
        <f>floors!$C$2</f>
        <v>38101</v>
      </c>
      <c r="C76" s="77" t="str">
        <f ca="1">VLOOKUP($B76,OFFSET([2]quests!$A$1,0,0,COUNTA([2]quests!$A:$A),MATCH(C$1,[2]quests!$1:$1,0)-MATCH($B$1,[2]quests!$1:$1,0)+1),MATCH(C$1,[2]quests!$1:$1,0)-MATCH($B$1,[2]quests!$1:$1,0)+1,FALSE)</f>
        <v>安多</v>
      </c>
      <c r="D76" s="77" t="str">
        <f ca="1">VLOOKUP($B76,OFFSET([2]quests!$A$1,0,0,COUNTA([2]quests!$A:$A),MATCH(D$1,[2]quests!$1:$1,0)-MATCH($B$1,[2]quests!$1:$1,0)+1),MATCH(D$1,[2]quests!$1:$1,0)-MATCH($B$1,[2]quests!$1:$1,0)+1,FALSE)</f>
        <v>台湾版コラボ降臨1　超級</v>
      </c>
      <c r="E76" s="81" t="s">
        <v>216</v>
      </c>
      <c r="F76" s="77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77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79">
        <v>0</v>
      </c>
      <c r="I76" s="90">
        <v>21</v>
      </c>
      <c r="J76" s="78" t="s">
        <v>199</v>
      </c>
      <c r="K76" s="87" t="str">
        <f>VLOOKUP(I76,[6]stage_hints!$A:$C,3,FALSE)</f>
        <v>スキルを有効に</v>
      </c>
      <c r="L76" s="88" t="str">
        <f>VLOOKUP(I76,[6]stage_hints!$A:$D,4,FALSE)</f>
        <v>ターン経過でユニットのスキルが使えます_x000D_強力スキルでバトルを有利に進めましょう</v>
      </c>
      <c r="M76" s="54" t="s">
        <v>211</v>
      </c>
    </row>
    <row r="77" spans="1:13" x14ac:dyDescent="0.15">
      <c r="A77" s="75" t="s">
        <v>201</v>
      </c>
      <c r="B77" s="76">
        <f>floors!$C$2</f>
        <v>38101</v>
      </c>
      <c r="C77" s="77" t="str">
        <f ca="1">VLOOKUP($B77,OFFSET([2]quests!$A$1,0,0,COUNTA([2]quests!$A:$A),MATCH(C$1,[2]quests!$1:$1,0)-MATCH($B$1,[2]quests!$1:$1,0)+1),MATCH(C$1,[2]quests!$1:$1,0)-MATCH($B$1,[2]quests!$1:$1,0)+1,FALSE)</f>
        <v>安多</v>
      </c>
      <c r="D77" s="77" t="str">
        <f ca="1">VLOOKUP($B77,OFFSET([2]quests!$A$1,0,0,COUNTA([2]quests!$A:$A),MATCH(D$1,[2]quests!$1:$1,0)-MATCH($B$1,[2]quests!$1:$1,0)+1),MATCH(D$1,[2]quests!$1:$1,0)-MATCH($B$1,[2]quests!$1:$1,0)+1,FALSE)</f>
        <v>台湾版コラボ降臨1　超級</v>
      </c>
      <c r="E77" s="81" t="s">
        <v>216</v>
      </c>
      <c r="F77" s="77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77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79">
        <v>0</v>
      </c>
      <c r="I77" s="90">
        <v>22</v>
      </c>
      <c r="J77" s="78" t="s">
        <v>199</v>
      </c>
      <c r="K77" s="87" t="str">
        <f>VLOOKUP(I77,[6]stage_hints!$A:$C,3,FALSE)</f>
        <v>フィーバーで一発逆転（その1）</v>
      </c>
      <c r="L77" s="88" t="str">
        <f>VLOOKUP(I77,[6]stage_hints!$A:$D,4,FALSE)</f>
        <v>フィーバーは攻撃と回復を兼ね備えます_x000D_ピンチからの一発逆転を狙いましょう</v>
      </c>
      <c r="M77" s="54" t="s">
        <v>211</v>
      </c>
    </row>
    <row r="78" spans="1:13" x14ac:dyDescent="0.15">
      <c r="A78" s="75" t="s">
        <v>201</v>
      </c>
      <c r="B78" s="76">
        <f>floors!$C$2</f>
        <v>38101</v>
      </c>
      <c r="C78" s="77" t="str">
        <f ca="1">VLOOKUP($B78,OFFSET([2]quests!$A$1,0,0,COUNTA([2]quests!$A:$A),MATCH(C$1,[2]quests!$1:$1,0)-MATCH($B$1,[2]quests!$1:$1,0)+1),MATCH(C$1,[2]quests!$1:$1,0)-MATCH($B$1,[2]quests!$1:$1,0)+1,FALSE)</f>
        <v>安多</v>
      </c>
      <c r="D78" s="77" t="str">
        <f ca="1">VLOOKUP($B78,OFFSET([2]quests!$A$1,0,0,COUNTA([2]quests!$A:$A),MATCH(D$1,[2]quests!$1:$1,0)-MATCH($B$1,[2]quests!$1:$1,0)+1),MATCH(D$1,[2]quests!$1:$1,0)-MATCH($B$1,[2]quests!$1:$1,0)+1,FALSE)</f>
        <v>台湾版コラボ降臨1　超級</v>
      </c>
      <c r="E78" s="81" t="s">
        <v>216</v>
      </c>
      <c r="F78" s="77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77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79">
        <v>0</v>
      </c>
      <c r="I78" s="90">
        <v>23</v>
      </c>
      <c r="J78" s="78" t="s">
        <v>199</v>
      </c>
      <c r="K78" s="87" t="str">
        <f>VLOOKUP(I78,[6]stage_hints!$A:$C,3,FALSE)</f>
        <v>フィーバーで一発逆転（その2）</v>
      </c>
      <c r="L78" s="88" t="str">
        <f>VLOOKUP(I78,[6]stage_hints!$A:$D,4,FALSE)</f>
        <v>フィーバー中は虹色のボムパネルを狙って_x000D_画面上のパネルを一気に破壊しましょう</v>
      </c>
      <c r="M78" s="54" t="s">
        <v>211</v>
      </c>
    </row>
    <row r="79" spans="1:13" x14ac:dyDescent="0.15">
      <c r="A79" s="75" t="s">
        <v>201</v>
      </c>
      <c r="B79" s="76">
        <f>floors!$C$2</f>
        <v>38101</v>
      </c>
      <c r="C79" s="77" t="str">
        <f ca="1">VLOOKUP($B79,OFFSET([2]quests!$A$1,0,0,COUNTA([2]quests!$A:$A),MATCH(C$1,[2]quests!$1:$1,0)-MATCH($B$1,[2]quests!$1:$1,0)+1),MATCH(C$1,[2]quests!$1:$1,0)-MATCH($B$1,[2]quests!$1:$1,0)+1,FALSE)</f>
        <v>安多</v>
      </c>
      <c r="D79" s="77" t="str">
        <f ca="1">VLOOKUP($B79,OFFSET([2]quests!$A$1,0,0,COUNTA([2]quests!$A:$A),MATCH(D$1,[2]quests!$1:$1,0)-MATCH($B$1,[2]quests!$1:$1,0)+1),MATCH(D$1,[2]quests!$1:$1,0)-MATCH($B$1,[2]quests!$1:$1,0)+1,FALSE)</f>
        <v>台湾版コラボ降臨1　超級</v>
      </c>
      <c r="E79" s="81" t="s">
        <v>216</v>
      </c>
      <c r="F79" s="77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77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79">
        <v>0</v>
      </c>
      <c r="I79" s="90">
        <v>24</v>
      </c>
      <c r="J79" s="78" t="s">
        <v>199</v>
      </c>
      <c r="K79" s="87" t="str">
        <f>VLOOKUP(I79,[6]stage_hints!$A:$C,3,FALSE)</f>
        <v>果実を使って限界突破</v>
      </c>
      <c r="L79" s="88" t="str">
        <f>VLOOKUP(I79,[6]stage_hints!$A:$D,4,FALSE)</f>
        <v>攻めの果実 癒しの果実_x000D_生命の果実をユニット強化に使うと_x000D_ステータスが限界突破します（計99個迄）</v>
      </c>
      <c r="M79" s="54" t="s">
        <v>211</v>
      </c>
    </row>
    <row r="80" spans="1:13" x14ac:dyDescent="0.15">
      <c r="A80" s="75" t="s">
        <v>201</v>
      </c>
      <c r="B80" s="76">
        <f>floors!$C$2</f>
        <v>38101</v>
      </c>
      <c r="C80" s="77" t="str">
        <f ca="1">VLOOKUP($B80,OFFSET([2]quests!$A$1,0,0,COUNTA([2]quests!$A:$A),MATCH(C$1,[2]quests!$1:$1,0)-MATCH($B$1,[2]quests!$1:$1,0)+1),MATCH(C$1,[2]quests!$1:$1,0)-MATCH($B$1,[2]quests!$1:$1,0)+1,FALSE)</f>
        <v>安多</v>
      </c>
      <c r="D80" s="77" t="str">
        <f ca="1">VLOOKUP($B80,OFFSET([2]quests!$A$1,0,0,COUNTA([2]quests!$A:$A),MATCH(D$1,[2]quests!$1:$1,0)-MATCH($B$1,[2]quests!$1:$1,0)+1),MATCH(D$1,[2]quests!$1:$1,0)-MATCH($B$1,[2]quests!$1:$1,0)+1,FALSE)</f>
        <v>台湾版コラボ降臨1　超級</v>
      </c>
      <c r="E80" s="81" t="s">
        <v>216</v>
      </c>
      <c r="F80" s="77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77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79">
        <v>0</v>
      </c>
      <c r="I80" s="90">
        <v>25</v>
      </c>
      <c r="J80" s="78" t="s">
        <v>199</v>
      </c>
      <c r="K80" s="87" t="str">
        <f>VLOOKUP(I80,[6]stage_hints!$A:$C,3,FALSE)</f>
        <v>スキルレベルアップ</v>
      </c>
      <c r="L80" s="88" t="str">
        <f>VLOOKUP(I80,[6]stage_hints!$A:$D,4,FALSE)</f>
        <v>「秘術の果実」を強化に使うと_x000D_スキルレベルを上げることができます</v>
      </c>
      <c r="M80" s="54" t="s">
        <v>211</v>
      </c>
    </row>
    <row r="81" spans="1:13" x14ac:dyDescent="0.15">
      <c r="A81" s="75" t="s">
        <v>201</v>
      </c>
      <c r="B81" s="76">
        <f>floors!$C$2</f>
        <v>38101</v>
      </c>
      <c r="C81" s="77" t="str">
        <f ca="1">VLOOKUP($B81,OFFSET([2]quests!$A$1,0,0,COUNTA([2]quests!$A:$A),MATCH(C$1,[2]quests!$1:$1,0)-MATCH($B$1,[2]quests!$1:$1,0)+1),MATCH(C$1,[2]quests!$1:$1,0)-MATCH($B$1,[2]quests!$1:$1,0)+1,FALSE)</f>
        <v>安多</v>
      </c>
      <c r="D81" s="77" t="str">
        <f ca="1">VLOOKUP($B81,OFFSET([2]quests!$A$1,0,0,COUNTA([2]quests!$A:$A),MATCH(D$1,[2]quests!$1:$1,0)-MATCH($B$1,[2]quests!$1:$1,0)+1),MATCH(D$1,[2]quests!$1:$1,0)-MATCH($B$1,[2]quests!$1:$1,0)+1,FALSE)</f>
        <v>台湾版コラボ降臨1　超級</v>
      </c>
      <c r="E81" s="81" t="s">
        <v>216</v>
      </c>
      <c r="F81" s="77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77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79">
        <v>0</v>
      </c>
      <c r="I81" s="90">
        <v>26</v>
      </c>
      <c r="J81" s="78" t="s">
        <v>199</v>
      </c>
      <c r="K81" s="87" t="str">
        <f>VLOOKUP(I81,[6]stage_hints!$A:$C,3,FALSE)</f>
        <v>スキルレベルの効果</v>
      </c>
      <c r="L81" s="88" t="str">
        <f>VLOOKUP(I81,[6]stage_hints!$A:$D,4,FALSE)</f>
        <v>スキルレベルが上がると_x000D_短いターンでスキルを使うことができます</v>
      </c>
      <c r="M81" s="54" t="s">
        <v>211</v>
      </c>
    </row>
    <row r="82" spans="1:13" x14ac:dyDescent="0.15">
      <c r="A82" s="75" t="s">
        <v>201</v>
      </c>
      <c r="B82" s="76">
        <f>floors!$C$2</f>
        <v>38101</v>
      </c>
      <c r="C82" s="77" t="str">
        <f ca="1">VLOOKUP($B82,OFFSET([2]quests!$A$1,0,0,COUNTA([2]quests!$A:$A),MATCH(C$1,[2]quests!$1:$1,0)-MATCH($B$1,[2]quests!$1:$1,0)+1),MATCH(C$1,[2]quests!$1:$1,0)-MATCH($B$1,[2]quests!$1:$1,0)+1,FALSE)</f>
        <v>安多</v>
      </c>
      <c r="D82" s="77" t="str">
        <f ca="1">VLOOKUP($B82,OFFSET([2]quests!$A$1,0,0,COUNTA([2]quests!$A:$A),MATCH(D$1,[2]quests!$1:$1,0)-MATCH($B$1,[2]quests!$1:$1,0)+1),MATCH(D$1,[2]quests!$1:$1,0)-MATCH($B$1,[2]quests!$1:$1,0)+1,FALSE)</f>
        <v>台湾版コラボ降臨1　超級</v>
      </c>
      <c r="E82" s="81" t="s">
        <v>216</v>
      </c>
      <c r="F82" s="77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77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79">
        <v>0</v>
      </c>
      <c r="I82" s="90">
        <v>27</v>
      </c>
      <c r="J82" s="78" t="s">
        <v>199</v>
      </c>
      <c r="K82" s="87" t="str">
        <f>VLOOKUP(I82,[6]stage_hints!$A:$C,3,FALSE)</f>
        <v>ホーム画面からデッキを編成</v>
      </c>
      <c r="L82" s="88" t="str">
        <f>VLOOKUP(I82,[6]stage_hints!$A:$D,4,FALSE)</f>
        <v>ホーム画面でユニットを長押しすると_x000D_すぐにパーティ編成に移動できます</v>
      </c>
      <c r="M82" s="54" t="s">
        <v>211</v>
      </c>
    </row>
    <row r="83" spans="1:13" x14ac:dyDescent="0.15">
      <c r="A83" s="75" t="s">
        <v>201</v>
      </c>
      <c r="B83" s="76">
        <f>floors!$C$2</f>
        <v>38101</v>
      </c>
      <c r="C83" s="77" t="str">
        <f ca="1">VLOOKUP($B83,OFFSET([2]quests!$A$1,0,0,COUNTA([2]quests!$A:$A),MATCH(C$1,[2]quests!$1:$1,0)-MATCH($B$1,[2]quests!$1:$1,0)+1),MATCH(C$1,[2]quests!$1:$1,0)-MATCH($B$1,[2]quests!$1:$1,0)+1,FALSE)</f>
        <v>安多</v>
      </c>
      <c r="D83" s="77" t="str">
        <f ca="1">VLOOKUP($B83,OFFSET([2]quests!$A$1,0,0,COUNTA([2]quests!$A:$A),MATCH(D$1,[2]quests!$1:$1,0)-MATCH($B$1,[2]quests!$1:$1,0)+1),MATCH(D$1,[2]quests!$1:$1,0)-MATCH($B$1,[2]quests!$1:$1,0)+1,FALSE)</f>
        <v>台湾版コラボ降臨1　超級</v>
      </c>
      <c r="E83" s="81" t="s">
        <v>216</v>
      </c>
      <c r="F83" s="77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77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79">
        <v>0</v>
      </c>
      <c r="I83" s="90">
        <v>28</v>
      </c>
      <c r="J83" s="78" t="s">
        <v>199</v>
      </c>
      <c r="K83" s="87" t="str">
        <f>VLOOKUP(I83,[6]stage_hints!$A:$C,3,FALSE)</f>
        <v>ステータス情報は長押しで</v>
      </c>
      <c r="L83" s="88" t="str">
        <f>VLOOKUP(I83,[6]stage_hints!$A:$D,4,FALSE)</f>
        <v>ユニットのアイコンを長押しすると_x000D_ステータス情報を確認することができます</v>
      </c>
      <c r="M83" s="54" t="s">
        <v>211</v>
      </c>
    </row>
    <row r="84" spans="1:13" x14ac:dyDescent="0.15">
      <c r="A84" s="75" t="s">
        <v>201</v>
      </c>
      <c r="B84" s="76">
        <f>floors!$C$2</f>
        <v>38101</v>
      </c>
      <c r="C84" s="77" t="str">
        <f ca="1">VLOOKUP($B84,OFFSET([2]quests!$A$1,0,0,COUNTA([2]quests!$A:$A),MATCH(C$1,[2]quests!$1:$1,0)-MATCH($B$1,[2]quests!$1:$1,0)+1),MATCH(C$1,[2]quests!$1:$1,0)-MATCH($B$1,[2]quests!$1:$1,0)+1,FALSE)</f>
        <v>安多</v>
      </c>
      <c r="D84" s="77" t="str">
        <f ca="1">VLOOKUP($B84,OFFSET([2]quests!$A$1,0,0,COUNTA([2]quests!$A:$A),MATCH(D$1,[2]quests!$1:$1,0)-MATCH($B$1,[2]quests!$1:$1,0)+1),MATCH(D$1,[2]quests!$1:$1,0)-MATCH($B$1,[2]quests!$1:$1,0)+1,FALSE)</f>
        <v>台湾版コラボ降臨1　超級</v>
      </c>
      <c r="E84" s="81" t="s">
        <v>216</v>
      </c>
      <c r="F84" s="77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77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79">
        <v>0</v>
      </c>
      <c r="I84" s="90">
        <v>29</v>
      </c>
      <c r="J84" s="78" t="s">
        <v>199</v>
      </c>
      <c r="K84" s="87" t="str">
        <f>VLOOKUP(I84,[6]stage_hints!$A:$C,3,FALSE)</f>
        <v>「バグ」のメリット</v>
      </c>
      <c r="L84" s="88" t="str">
        <f>VLOOKUP(I84,[6]stage_hints!$A:$D,4,FALSE)</f>
        <v>ユニットの「バグ」を増やすと_x000D_報酬をもらえる確率がアップします</v>
      </c>
      <c r="M84" s="54" t="s">
        <v>211</v>
      </c>
    </row>
    <row r="85" spans="1:13" x14ac:dyDescent="0.15">
      <c r="A85" s="75" t="s">
        <v>201</v>
      </c>
      <c r="B85" s="76">
        <f>floors!$C$2</f>
        <v>38101</v>
      </c>
      <c r="C85" s="77" t="str">
        <f ca="1">VLOOKUP($B85,OFFSET([2]quests!$A$1,0,0,COUNTA([2]quests!$A:$A),MATCH(C$1,[2]quests!$1:$1,0)-MATCH($B$1,[2]quests!$1:$1,0)+1),MATCH(C$1,[2]quests!$1:$1,0)-MATCH($B$1,[2]quests!$1:$1,0)+1,FALSE)</f>
        <v>安多</v>
      </c>
      <c r="D85" s="77" t="str">
        <f ca="1">VLOOKUP($B85,OFFSET([2]quests!$A$1,0,0,COUNTA([2]quests!$A:$A),MATCH(D$1,[2]quests!$1:$1,0)-MATCH($B$1,[2]quests!$1:$1,0)+1),MATCH(D$1,[2]quests!$1:$1,0)-MATCH($B$1,[2]quests!$1:$1,0)+1,FALSE)</f>
        <v>台湾版コラボ降臨1　超級</v>
      </c>
      <c r="E85" s="81" t="s">
        <v>216</v>
      </c>
      <c r="F85" s="77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77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79">
        <v>0</v>
      </c>
      <c r="I85" s="90">
        <v>30</v>
      </c>
      <c r="J85" s="78" t="s">
        <v>199</v>
      </c>
      <c r="K85" s="87" t="str">
        <f>VLOOKUP(I85,[6]stage_hints!$A:$C,3,FALSE)</f>
        <v>「バグ」の増やし方</v>
      </c>
      <c r="L85" s="88" t="str">
        <f>VLOOKUP(I85,[6]stage_hints!$A:$D,4,FALSE)</f>
        <v>同じユニット同士を強化で合成すると_x000D_「バグ」を増やすことができます</v>
      </c>
      <c r="M85" s="54" t="s">
        <v>211</v>
      </c>
    </row>
    <row r="86" spans="1:13" x14ac:dyDescent="0.15">
      <c r="A86" s="75" t="s">
        <v>201</v>
      </c>
      <c r="B86" s="76">
        <f>floors!$C$2</f>
        <v>38101</v>
      </c>
      <c r="C86" s="77" t="str">
        <f ca="1">VLOOKUP($B86,OFFSET([2]quests!$A$1,0,0,COUNTA([2]quests!$A:$A),MATCH(C$1,[2]quests!$1:$1,0)-MATCH($B$1,[2]quests!$1:$1,0)+1),MATCH(C$1,[2]quests!$1:$1,0)-MATCH($B$1,[2]quests!$1:$1,0)+1,FALSE)</f>
        <v>安多</v>
      </c>
      <c r="D86" s="77" t="str">
        <f ca="1">VLOOKUP($B86,OFFSET([2]quests!$A$1,0,0,COUNTA([2]quests!$A:$A),MATCH(D$1,[2]quests!$1:$1,0)-MATCH($B$1,[2]quests!$1:$1,0)+1),MATCH(D$1,[2]quests!$1:$1,0)-MATCH($B$1,[2]quests!$1:$1,0)+1,FALSE)</f>
        <v>台湾版コラボ降臨1　超級</v>
      </c>
      <c r="E86" s="81" t="s">
        <v>216</v>
      </c>
      <c r="F86" s="77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77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79">
        <v>0</v>
      </c>
      <c r="I86" s="90">
        <v>31</v>
      </c>
      <c r="J86" s="78" t="s">
        <v>199</v>
      </c>
      <c r="K86" s="87" t="str">
        <f>VLOOKUP(I86,[6]stage_hints!$A:$C,3,FALSE)</f>
        <v>イベントはお知らせでチェック</v>
      </c>
      <c r="L86" s="88" t="str">
        <f>VLOOKUP(I86,[6]stage_hints!$A:$D,4,FALSE)</f>
        <v>イベント限定ユニットを取り忘れないように_x000D_お知らせをこまめにチェックしましょう</v>
      </c>
      <c r="M86" s="54" t="s">
        <v>211</v>
      </c>
    </row>
    <row r="87" spans="1:13" x14ac:dyDescent="0.15">
      <c r="A87" s="75" t="s">
        <v>201</v>
      </c>
      <c r="B87" s="76">
        <f>floors!$C$2</f>
        <v>38101</v>
      </c>
      <c r="C87" s="77" t="str">
        <f ca="1">VLOOKUP($B87,OFFSET([2]quests!$A$1,0,0,COUNTA([2]quests!$A:$A),MATCH(C$1,[2]quests!$1:$1,0)-MATCH($B$1,[2]quests!$1:$1,0)+1),MATCH(C$1,[2]quests!$1:$1,0)-MATCH($B$1,[2]quests!$1:$1,0)+1,FALSE)</f>
        <v>安多</v>
      </c>
      <c r="D87" s="77" t="str">
        <f ca="1">VLOOKUP($B87,OFFSET([2]quests!$A$1,0,0,COUNTA([2]quests!$A:$A),MATCH(D$1,[2]quests!$1:$1,0)-MATCH($B$1,[2]quests!$1:$1,0)+1),MATCH(D$1,[2]quests!$1:$1,0)-MATCH($B$1,[2]quests!$1:$1,0)+1,FALSE)</f>
        <v>台湾版コラボ降臨1　超級</v>
      </c>
      <c r="E87" s="81" t="s">
        <v>216</v>
      </c>
      <c r="F87" s="77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77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79">
        <v>0</v>
      </c>
      <c r="I87" s="90">
        <v>32</v>
      </c>
      <c r="J87" s="78" t="s">
        <v>199</v>
      </c>
      <c r="K87" s="87" t="str">
        <f>VLOOKUP(I87,[6]stage_hints!$A:$C,3,FALSE)</f>
        <v>敵の連続攻撃には</v>
      </c>
      <c r="L87" s="88" t="str">
        <f>VLOOKUP(I87,[6]stage_hints!$A:$D,4,FALSE)</f>
        <v>カウンタースキルを持つユニットがいれば_x000D_ダメージ回数分の反撃ができます</v>
      </c>
      <c r="M87" s="54" t="s">
        <v>211</v>
      </c>
    </row>
    <row r="88" spans="1:13" x14ac:dyDescent="0.15">
      <c r="A88" s="75" t="s">
        <v>201</v>
      </c>
      <c r="B88" s="76">
        <f>floors!$C$2</f>
        <v>38101</v>
      </c>
      <c r="C88" s="77" t="str">
        <f ca="1">VLOOKUP($B88,OFFSET([2]quests!$A$1,0,0,COUNTA([2]quests!$A:$A),MATCH(C$1,[2]quests!$1:$1,0)-MATCH($B$1,[2]quests!$1:$1,0)+1),MATCH(C$1,[2]quests!$1:$1,0)-MATCH($B$1,[2]quests!$1:$1,0)+1,FALSE)</f>
        <v>安多</v>
      </c>
      <c r="D88" s="77" t="str">
        <f ca="1">VLOOKUP($B88,OFFSET([2]quests!$A$1,0,0,COUNTA([2]quests!$A:$A),MATCH(D$1,[2]quests!$1:$1,0)-MATCH($B$1,[2]quests!$1:$1,0)+1),MATCH(D$1,[2]quests!$1:$1,0)-MATCH($B$1,[2]quests!$1:$1,0)+1,FALSE)</f>
        <v>台湾版コラボ降臨1　超級</v>
      </c>
      <c r="E88" s="81" t="s">
        <v>216</v>
      </c>
      <c r="F88" s="77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77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79">
        <v>0</v>
      </c>
      <c r="I88" s="90">
        <v>33</v>
      </c>
      <c r="J88" s="78" t="s">
        <v>199</v>
      </c>
      <c r="K88" s="87" t="str">
        <f>VLOOKUP(I88,[6]stage_hints!$A:$C,3,FALSE)</f>
        <v>敵のカウンター攻撃には</v>
      </c>
      <c r="L88" s="88" t="str">
        <f>VLOOKUP(I88,[6]stage_hints!$A:$D,4,FALSE)</f>
        <v>カウンターブレイクスキルを持っていれば_x000D_敵のカウンターを解除して攻撃ができます</v>
      </c>
      <c r="M88" s="54" t="s">
        <v>211</v>
      </c>
    </row>
    <row r="89" spans="1:13" x14ac:dyDescent="0.15">
      <c r="A89" s="75" t="s">
        <v>201</v>
      </c>
      <c r="B89" s="76">
        <f>floors!$C$2</f>
        <v>38101</v>
      </c>
      <c r="C89" s="77" t="str">
        <f ca="1">VLOOKUP($B89,OFFSET([2]quests!$A$1,0,0,COUNTA([2]quests!$A:$A),MATCH(C$1,[2]quests!$1:$1,0)-MATCH($B$1,[2]quests!$1:$1,0)+1),MATCH(C$1,[2]quests!$1:$1,0)-MATCH($B$1,[2]quests!$1:$1,0)+1,FALSE)</f>
        <v>安多</v>
      </c>
      <c r="D89" s="77" t="str">
        <f ca="1">VLOOKUP($B89,OFFSET([2]quests!$A$1,0,0,COUNTA([2]quests!$A:$A),MATCH(D$1,[2]quests!$1:$1,0)-MATCH($B$1,[2]quests!$1:$1,0)+1),MATCH(D$1,[2]quests!$1:$1,0)-MATCH($B$1,[2]quests!$1:$1,0)+1,FALSE)</f>
        <v>台湾版コラボ降臨1　超級</v>
      </c>
      <c r="E89" s="81" t="s">
        <v>216</v>
      </c>
      <c r="F89" s="77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77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79">
        <v>0</v>
      </c>
      <c r="I89" s="90">
        <v>34</v>
      </c>
      <c r="J89" s="78" t="s">
        <v>199</v>
      </c>
      <c r="K89" s="87" t="str">
        <f>VLOOKUP(I89,[6]stage_hints!$A:$C,3,FALSE)</f>
        <v>ステータスをスキルで下げられたら</v>
      </c>
      <c r="L89" s="88" t="str">
        <f>VLOOKUP(I89,[6]stage_hints!$A:$D,4,FALSE)</f>
        <v>ステータスダウンのスキルを受けたら_x000D_ステータスアップスキルで上書きしましょう</v>
      </c>
      <c r="M89" s="54" t="s">
        <v>211</v>
      </c>
    </row>
    <row r="90" spans="1:13" x14ac:dyDescent="0.15">
      <c r="A90" s="75" t="s">
        <v>201</v>
      </c>
      <c r="B90" s="76">
        <f>floors!$C$2</f>
        <v>38101</v>
      </c>
      <c r="C90" s="77" t="str">
        <f ca="1">VLOOKUP($B90,OFFSET([2]quests!$A$1,0,0,COUNTA([2]quests!$A:$A),MATCH(C$1,[2]quests!$1:$1,0)-MATCH($B$1,[2]quests!$1:$1,0)+1),MATCH(C$1,[2]quests!$1:$1,0)-MATCH($B$1,[2]quests!$1:$1,0)+1,FALSE)</f>
        <v>安多</v>
      </c>
      <c r="D90" s="77" t="str">
        <f ca="1">VLOOKUP($B90,OFFSET([2]quests!$A$1,0,0,COUNTA([2]quests!$A:$A),MATCH(D$1,[2]quests!$1:$1,0)-MATCH($B$1,[2]quests!$1:$1,0)+1),MATCH(D$1,[2]quests!$1:$1,0)-MATCH($B$1,[2]quests!$1:$1,0)+1,FALSE)</f>
        <v>台湾版コラボ降臨1　超級</v>
      </c>
      <c r="E90" s="81" t="s">
        <v>216</v>
      </c>
      <c r="F90" s="77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77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79">
        <v>0</v>
      </c>
      <c r="I90" s="90">
        <v>35</v>
      </c>
      <c r="J90" s="78" t="s">
        <v>199</v>
      </c>
      <c r="K90" s="87" t="str">
        <f>VLOOKUP(I90,[6]stage_hints!$A:$C,3,FALSE)</f>
        <v>敵のステータスがスキルで上がったら</v>
      </c>
      <c r="L90" s="88" t="str">
        <f>VLOOKUP(I90,[6]stage_hints!$A:$D,4,FALSE)</f>
        <v>敵のステータスがスキルでアップしたときは_x000D_ステータスダウンスキルで上書きしましょう</v>
      </c>
      <c r="M90" s="54" t="s">
        <v>211</v>
      </c>
    </row>
    <row r="91" spans="1:13" x14ac:dyDescent="0.15">
      <c r="A91" s="75" t="s">
        <v>201</v>
      </c>
      <c r="B91" s="76">
        <f>floors!$C$2</f>
        <v>38101</v>
      </c>
      <c r="C91" s="77" t="str">
        <f ca="1">VLOOKUP($B91,OFFSET([2]quests!$A$1,0,0,COUNTA([2]quests!$A:$A),MATCH(C$1,[2]quests!$1:$1,0)-MATCH($B$1,[2]quests!$1:$1,0)+1),MATCH(C$1,[2]quests!$1:$1,0)-MATCH($B$1,[2]quests!$1:$1,0)+1,FALSE)</f>
        <v>安多</v>
      </c>
      <c r="D91" s="77" t="str">
        <f ca="1">VLOOKUP($B91,OFFSET([2]quests!$A$1,0,0,COUNTA([2]quests!$A:$A),MATCH(D$1,[2]quests!$1:$1,0)-MATCH($B$1,[2]quests!$1:$1,0)+1),MATCH(D$1,[2]quests!$1:$1,0)-MATCH($B$1,[2]quests!$1:$1,0)+1,FALSE)</f>
        <v>台湾版コラボ降臨1　超級</v>
      </c>
      <c r="E91" s="81" t="s">
        <v>216</v>
      </c>
      <c r="F91" s="77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77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79">
        <v>0</v>
      </c>
      <c r="I91" s="90">
        <v>36</v>
      </c>
      <c r="J91" s="78" t="s">
        <v>199</v>
      </c>
      <c r="K91" s="87" t="str">
        <f>VLOOKUP(I91,[6]stage_hints!$A:$C,3,FALSE)</f>
        <v>タワーオブザクイーンのボス</v>
      </c>
      <c r="L91" s="88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4" t="s">
        <v>211</v>
      </c>
    </row>
    <row r="92" spans="1:13" x14ac:dyDescent="0.15">
      <c r="A92" s="75" t="s">
        <v>201</v>
      </c>
      <c r="B92" s="76">
        <f>floors!$C$2</f>
        <v>38101</v>
      </c>
      <c r="C92" s="77" t="str">
        <f ca="1">VLOOKUP($B92,OFFSET([2]quests!$A$1,0,0,COUNTA([2]quests!$A:$A),MATCH(C$1,[2]quests!$1:$1,0)-MATCH($B$1,[2]quests!$1:$1,0)+1),MATCH(C$1,[2]quests!$1:$1,0)-MATCH($B$1,[2]quests!$1:$1,0)+1,FALSE)</f>
        <v>安多</v>
      </c>
      <c r="D92" s="77" t="str">
        <f ca="1">VLOOKUP($B92,OFFSET([2]quests!$A$1,0,0,COUNTA([2]quests!$A:$A),MATCH(D$1,[2]quests!$1:$1,0)-MATCH($B$1,[2]quests!$1:$1,0)+1),MATCH(D$1,[2]quests!$1:$1,0)-MATCH($B$1,[2]quests!$1:$1,0)+1,FALSE)</f>
        <v>台湾版コラボ降臨1　超級</v>
      </c>
      <c r="E92" s="81" t="s">
        <v>216</v>
      </c>
      <c r="F92" s="77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77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79">
        <v>0</v>
      </c>
      <c r="I92" s="90">
        <v>37</v>
      </c>
      <c r="J92" s="78" t="s">
        <v>199</v>
      </c>
      <c r="K92" s="87" t="str">
        <f>VLOOKUP(I92,[6]stage_hints!$A:$C,3,FALSE)</f>
        <v>限界突破値の引き継ぎ</v>
      </c>
      <c r="L92" s="88" t="str">
        <f>VLOOKUP(I92,[6]stage_hints!$A:$D,4,FALSE)</f>
        <v>同じユニットを強化で合成すると_x000D_限界突破値を引き継げます（覚醒前後も可）</v>
      </c>
      <c r="M92" s="54" t="s">
        <v>211</v>
      </c>
    </row>
    <row r="93" spans="1:13" x14ac:dyDescent="0.15">
      <c r="A93" s="75" t="s">
        <v>201</v>
      </c>
      <c r="B93" s="76">
        <f>floors!$C$2</f>
        <v>38101</v>
      </c>
      <c r="C93" s="77" t="str">
        <f ca="1">VLOOKUP($B93,OFFSET([2]quests!$A$1,0,0,COUNTA([2]quests!$A:$A),MATCH(C$1,[2]quests!$1:$1,0)-MATCH($B$1,[2]quests!$1:$1,0)+1),MATCH(C$1,[2]quests!$1:$1,0)-MATCH($B$1,[2]quests!$1:$1,0)+1,FALSE)</f>
        <v>安多</v>
      </c>
      <c r="D93" s="77" t="str">
        <f ca="1">VLOOKUP($B93,OFFSET([2]quests!$A$1,0,0,COUNTA([2]quests!$A:$A),MATCH(D$1,[2]quests!$1:$1,0)-MATCH($B$1,[2]quests!$1:$1,0)+1),MATCH(D$1,[2]quests!$1:$1,0)-MATCH($B$1,[2]quests!$1:$1,0)+1,FALSE)</f>
        <v>台湾版コラボ降臨1　超級</v>
      </c>
      <c r="E93" s="81" t="s">
        <v>216</v>
      </c>
      <c r="F93" s="77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77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79">
        <v>0</v>
      </c>
      <c r="I93" s="90">
        <v>39</v>
      </c>
      <c r="J93" s="78" t="s">
        <v>199</v>
      </c>
      <c r="K93" s="87" t="str">
        <f>VLOOKUP(I93,[6]stage_hints!$A:$C,3,FALSE)</f>
        <v>システム適合者を確認</v>
      </c>
      <c r="L93" s="88" t="str">
        <f>VLOOKUP(I93,[6]stage_hints!$A:$D,4,FALSE)</f>
        <v>ALICEが 「アナタ」を呼んでいます</v>
      </c>
      <c r="M93" s="54" t="s">
        <v>211</v>
      </c>
    </row>
    <row r="94" spans="1:13" x14ac:dyDescent="0.15">
      <c r="A94" s="75" t="s">
        <v>201</v>
      </c>
      <c r="B94" s="76">
        <f>floors!$C$2</f>
        <v>38101</v>
      </c>
      <c r="C94" s="77" t="str">
        <f ca="1">VLOOKUP($B94,OFFSET([2]quests!$A$1,0,0,COUNTA([2]quests!$A:$A),MATCH(C$1,[2]quests!$1:$1,0)-MATCH($B$1,[2]quests!$1:$1,0)+1),MATCH(C$1,[2]quests!$1:$1,0)-MATCH($B$1,[2]quests!$1:$1,0)+1,FALSE)</f>
        <v>安多</v>
      </c>
      <c r="D94" s="77" t="str">
        <f ca="1">VLOOKUP($B94,OFFSET([2]quests!$A$1,0,0,COUNTA([2]quests!$A:$A),MATCH(D$1,[2]quests!$1:$1,0)-MATCH($B$1,[2]quests!$1:$1,0)+1),MATCH(D$1,[2]quests!$1:$1,0)-MATCH($B$1,[2]quests!$1:$1,0)+1,FALSE)</f>
        <v>台湾版コラボ降臨1　超級</v>
      </c>
      <c r="E94" s="81" t="s">
        <v>217</v>
      </c>
      <c r="F94" s="77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77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79">
        <v>0</v>
      </c>
      <c r="I94">
        <v>12</v>
      </c>
      <c r="J94" s="78" t="s">
        <v>199</v>
      </c>
      <c r="K94" s="87" t="str">
        <f>VLOOKUP(I94,[6]stage_hints!$A:$C,3,FALSE)</f>
        <v>ユニットのお気に入り登録</v>
      </c>
      <c r="L94" s="88" t="str">
        <f>VLOOKUP(I94,[6]stage_hints!$A:$D,4,FALSE)</f>
        <v>大事なユニットを誤って消さないように_x000D_フォルダから「お気に入り登録」しましょう</v>
      </c>
      <c r="M94" s="54" t="s">
        <v>211</v>
      </c>
    </row>
    <row r="95" spans="1:13" x14ac:dyDescent="0.15">
      <c r="A95" s="75" t="s">
        <v>201</v>
      </c>
      <c r="B95" s="76">
        <f>floors!$C$2</f>
        <v>38101</v>
      </c>
      <c r="C95" s="77" t="str">
        <f ca="1">VLOOKUP($B95,OFFSET([2]quests!$A$1,0,0,COUNTA([2]quests!$A:$A),MATCH(C$1,[2]quests!$1:$1,0)-MATCH($B$1,[2]quests!$1:$1,0)+1),MATCH(C$1,[2]quests!$1:$1,0)-MATCH($B$1,[2]quests!$1:$1,0)+1,FALSE)</f>
        <v>安多</v>
      </c>
      <c r="D95" s="77" t="str">
        <f ca="1">VLOOKUP($B95,OFFSET([2]quests!$A$1,0,0,COUNTA([2]quests!$A:$A),MATCH(D$1,[2]quests!$1:$1,0)-MATCH($B$1,[2]quests!$1:$1,0)+1),MATCH(D$1,[2]quests!$1:$1,0)-MATCH($B$1,[2]quests!$1:$1,0)+1,FALSE)</f>
        <v>台湾版コラボ降臨1　超級</v>
      </c>
      <c r="E95" s="81" t="s">
        <v>217</v>
      </c>
      <c r="F95" s="77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77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79">
        <v>0</v>
      </c>
      <c r="I95">
        <v>17</v>
      </c>
      <c r="J95" s="78" t="s">
        <v>199</v>
      </c>
      <c r="K95" s="87" t="str">
        <f>VLOOKUP(I95,[6]stage_hints!$A:$C,3,FALSE)</f>
        <v>リンクガチャ</v>
      </c>
      <c r="L95" s="88" t="str">
        <f>VLOOKUP(I95,[6]stage_hints!$A:$D,4,FALSE)</f>
        <v>無料のリンクガチャを回して_x000D_経験値素材や売却素材を獲得しましょう</v>
      </c>
      <c r="M95" s="54" t="s">
        <v>211</v>
      </c>
    </row>
    <row r="96" spans="1:13" x14ac:dyDescent="0.15">
      <c r="A96" s="75" t="s">
        <v>201</v>
      </c>
      <c r="B96" s="76">
        <f>floors!$C$2</f>
        <v>38101</v>
      </c>
      <c r="C96" s="77" t="str">
        <f ca="1">VLOOKUP($B96,OFFSET([2]quests!$A$1,0,0,COUNTA([2]quests!$A:$A),MATCH(C$1,[2]quests!$1:$1,0)-MATCH($B$1,[2]quests!$1:$1,0)+1),MATCH(C$1,[2]quests!$1:$1,0)-MATCH($B$1,[2]quests!$1:$1,0)+1,FALSE)</f>
        <v>安多</v>
      </c>
      <c r="D96" s="77" t="str">
        <f ca="1">VLOOKUP($B96,OFFSET([2]quests!$A$1,0,0,COUNTA([2]quests!$A:$A),MATCH(D$1,[2]quests!$1:$1,0)-MATCH($B$1,[2]quests!$1:$1,0)+1),MATCH(D$1,[2]quests!$1:$1,0)-MATCH($B$1,[2]quests!$1:$1,0)+1,FALSE)</f>
        <v>台湾版コラボ降臨1　超級</v>
      </c>
      <c r="E96" s="81" t="s">
        <v>217</v>
      </c>
      <c r="F96" s="77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77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79">
        <v>0</v>
      </c>
      <c r="I96">
        <v>19</v>
      </c>
      <c r="J96" s="78" t="s">
        <v>199</v>
      </c>
      <c r="K96" s="87" t="str">
        <f>VLOOKUP(I96,[6]stage_hints!$A:$C,3,FALSE)</f>
        <v>ソロ専用タワーオブザクイーン</v>
      </c>
      <c r="L96" s="88" t="str">
        <f>VLOOKUP(I96,[6]stage_hints!$A:$D,4,FALSE)</f>
        <v>ソロ専用の「タワーオブザクイーン」は_x000D_期間限定で定期的に開催されます_x000D_ここでしか獲得できない報酬もあるようです</v>
      </c>
      <c r="M96" s="54" t="s">
        <v>211</v>
      </c>
    </row>
    <row r="97" spans="1:13" x14ac:dyDescent="0.15">
      <c r="A97" s="75" t="s">
        <v>201</v>
      </c>
      <c r="B97" s="76">
        <f>floors!$C$2</f>
        <v>38101</v>
      </c>
      <c r="C97" s="77" t="str">
        <f ca="1">VLOOKUP($B97,OFFSET([2]quests!$A$1,0,0,COUNTA([2]quests!$A:$A),MATCH(C$1,[2]quests!$1:$1,0)-MATCH($B$1,[2]quests!$1:$1,0)+1),MATCH(C$1,[2]quests!$1:$1,0)-MATCH($B$1,[2]quests!$1:$1,0)+1,FALSE)</f>
        <v>安多</v>
      </c>
      <c r="D97" s="77" t="str">
        <f ca="1">VLOOKUP($B97,OFFSET([2]quests!$A$1,0,0,COUNTA([2]quests!$A:$A),MATCH(D$1,[2]quests!$1:$1,0)-MATCH($B$1,[2]quests!$1:$1,0)+1),MATCH(D$1,[2]quests!$1:$1,0)-MATCH($B$1,[2]quests!$1:$1,0)+1,FALSE)</f>
        <v>台湾版コラボ降臨1　超級</v>
      </c>
      <c r="E97" s="81" t="s">
        <v>217</v>
      </c>
      <c r="F97" s="77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77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79">
        <v>0</v>
      </c>
      <c r="I97">
        <v>21</v>
      </c>
      <c r="J97" s="78" t="s">
        <v>199</v>
      </c>
      <c r="K97" s="87" t="str">
        <f>VLOOKUP(I97,[6]stage_hints!$A:$C,3,FALSE)</f>
        <v>スキルを有効に</v>
      </c>
      <c r="L97" s="88" t="str">
        <f>VLOOKUP(I97,[6]stage_hints!$A:$D,4,FALSE)</f>
        <v>ターン経過でユニットのスキルが使えます_x000D_強力スキルでバトルを有利に進めましょう</v>
      </c>
      <c r="M97" s="54" t="s">
        <v>211</v>
      </c>
    </row>
    <row r="98" spans="1:13" x14ac:dyDescent="0.15">
      <c r="A98" s="75" t="s">
        <v>201</v>
      </c>
      <c r="B98" s="76">
        <f>floors!$C$2</f>
        <v>38101</v>
      </c>
      <c r="C98" s="77" t="str">
        <f ca="1">VLOOKUP($B98,OFFSET([2]quests!$A$1,0,0,COUNTA([2]quests!$A:$A),MATCH(C$1,[2]quests!$1:$1,0)-MATCH($B$1,[2]quests!$1:$1,0)+1),MATCH(C$1,[2]quests!$1:$1,0)-MATCH($B$1,[2]quests!$1:$1,0)+1,FALSE)</f>
        <v>安多</v>
      </c>
      <c r="D98" s="77" t="str">
        <f ca="1">VLOOKUP($B98,OFFSET([2]quests!$A$1,0,0,COUNTA([2]quests!$A:$A),MATCH(D$1,[2]quests!$1:$1,0)-MATCH($B$1,[2]quests!$1:$1,0)+1),MATCH(D$1,[2]quests!$1:$1,0)-MATCH($B$1,[2]quests!$1:$1,0)+1,FALSE)</f>
        <v>台湾版コラボ降臨1　超級</v>
      </c>
      <c r="E98" s="81" t="s">
        <v>217</v>
      </c>
      <c r="F98" s="77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77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79">
        <v>0</v>
      </c>
      <c r="I98">
        <v>27</v>
      </c>
      <c r="J98" s="78" t="s">
        <v>199</v>
      </c>
      <c r="K98" s="87" t="str">
        <f>VLOOKUP(I98,[6]stage_hints!$A:$C,3,FALSE)</f>
        <v>ホーム画面からデッキを編成</v>
      </c>
      <c r="L98" s="88" t="str">
        <f>VLOOKUP(I98,[6]stage_hints!$A:$D,4,FALSE)</f>
        <v>ホーム画面でユニットを長押しすると_x000D_すぐにパーティ編成に移動できます</v>
      </c>
      <c r="M98" s="54" t="s">
        <v>211</v>
      </c>
    </row>
    <row r="99" spans="1:13" x14ac:dyDescent="0.15">
      <c r="A99" s="75" t="s">
        <v>201</v>
      </c>
      <c r="B99" s="76">
        <f>floors!$C$2</f>
        <v>38101</v>
      </c>
      <c r="C99" s="77" t="str">
        <f ca="1">VLOOKUP($B99,OFFSET([2]quests!$A$1,0,0,COUNTA([2]quests!$A:$A),MATCH(C$1,[2]quests!$1:$1,0)-MATCH($B$1,[2]quests!$1:$1,0)+1),MATCH(C$1,[2]quests!$1:$1,0)-MATCH($B$1,[2]quests!$1:$1,0)+1,FALSE)</f>
        <v>安多</v>
      </c>
      <c r="D99" s="77" t="str">
        <f ca="1">VLOOKUP($B99,OFFSET([2]quests!$A$1,0,0,COUNTA([2]quests!$A:$A),MATCH(D$1,[2]quests!$1:$1,0)-MATCH($B$1,[2]quests!$1:$1,0)+1),MATCH(D$1,[2]quests!$1:$1,0)-MATCH($B$1,[2]quests!$1:$1,0)+1,FALSE)</f>
        <v>台湾版コラボ降臨1　超級</v>
      </c>
      <c r="E99" s="81" t="s">
        <v>217</v>
      </c>
      <c r="F99" s="77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77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79">
        <v>0</v>
      </c>
      <c r="I99">
        <v>28</v>
      </c>
      <c r="J99" s="78" t="s">
        <v>199</v>
      </c>
      <c r="K99" s="87" t="str">
        <f>VLOOKUP(I99,[6]stage_hints!$A:$C,3,FALSE)</f>
        <v>ステータス情報は長押しで</v>
      </c>
      <c r="L99" s="88" t="str">
        <f>VLOOKUP(I99,[6]stage_hints!$A:$D,4,FALSE)</f>
        <v>ユニットのアイコンを長押しすると_x000D_ステータス情報を確認することができます</v>
      </c>
      <c r="M99" s="54" t="s">
        <v>211</v>
      </c>
    </row>
    <row r="100" spans="1:13" x14ac:dyDescent="0.15">
      <c r="A100" s="75" t="s">
        <v>201</v>
      </c>
      <c r="B100" s="76">
        <f>floors!$C$2</f>
        <v>38101</v>
      </c>
      <c r="C100" s="77" t="str">
        <f ca="1">VLOOKUP($B100,OFFSET([2]quests!$A$1,0,0,COUNTA([2]quests!$A:$A),MATCH(C$1,[2]quests!$1:$1,0)-MATCH($B$1,[2]quests!$1:$1,0)+1),MATCH(C$1,[2]quests!$1:$1,0)-MATCH($B$1,[2]quests!$1:$1,0)+1,FALSE)</f>
        <v>安多</v>
      </c>
      <c r="D100" s="77" t="str">
        <f ca="1">VLOOKUP($B100,OFFSET([2]quests!$A$1,0,0,COUNTA([2]quests!$A:$A),MATCH(D$1,[2]quests!$1:$1,0)-MATCH($B$1,[2]quests!$1:$1,0)+1),MATCH(D$1,[2]quests!$1:$1,0)-MATCH($B$1,[2]quests!$1:$1,0)+1,FALSE)</f>
        <v>台湾版コラボ降臨1　超級</v>
      </c>
      <c r="E100" s="81" t="s">
        <v>217</v>
      </c>
      <c r="F100" s="77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77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79">
        <v>0</v>
      </c>
      <c r="I100">
        <v>29</v>
      </c>
      <c r="J100" s="78" t="s">
        <v>199</v>
      </c>
      <c r="K100" s="87" t="str">
        <f>VLOOKUP(I100,[6]stage_hints!$A:$C,3,FALSE)</f>
        <v>「バグ」のメリット</v>
      </c>
      <c r="L100" s="88" t="str">
        <f>VLOOKUP(I100,[6]stage_hints!$A:$D,4,FALSE)</f>
        <v>ユニットの「バグ」を増やすと_x000D_報酬をもらえる確率がアップします</v>
      </c>
      <c r="M100" s="54" t="s">
        <v>211</v>
      </c>
    </row>
    <row r="101" spans="1:13" x14ac:dyDescent="0.15">
      <c r="A101" s="75" t="s">
        <v>201</v>
      </c>
      <c r="B101" s="76">
        <f>floors!$C$2</f>
        <v>38101</v>
      </c>
      <c r="C101" s="77" t="str">
        <f ca="1">VLOOKUP($B101,OFFSET([2]quests!$A$1,0,0,COUNTA([2]quests!$A:$A),MATCH(C$1,[2]quests!$1:$1,0)-MATCH($B$1,[2]quests!$1:$1,0)+1),MATCH(C$1,[2]quests!$1:$1,0)-MATCH($B$1,[2]quests!$1:$1,0)+1,FALSE)</f>
        <v>安多</v>
      </c>
      <c r="D101" s="77" t="str">
        <f ca="1">VLOOKUP($B101,OFFSET([2]quests!$A$1,0,0,COUNTA([2]quests!$A:$A),MATCH(D$1,[2]quests!$1:$1,0)-MATCH($B$1,[2]quests!$1:$1,0)+1),MATCH(D$1,[2]quests!$1:$1,0)-MATCH($B$1,[2]quests!$1:$1,0)+1,FALSE)</f>
        <v>台湾版コラボ降臨1　超級</v>
      </c>
      <c r="E101" s="81" t="s">
        <v>217</v>
      </c>
      <c r="F101" s="77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77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79">
        <v>0</v>
      </c>
      <c r="I101">
        <v>30</v>
      </c>
      <c r="J101" s="78" t="s">
        <v>199</v>
      </c>
      <c r="K101" s="87" t="str">
        <f>VLOOKUP(I101,[6]stage_hints!$A:$C,3,FALSE)</f>
        <v>「バグ」の増やし方</v>
      </c>
      <c r="L101" s="88" t="str">
        <f>VLOOKUP(I101,[6]stage_hints!$A:$D,4,FALSE)</f>
        <v>同じユニット同士を強化で合成すると_x000D_「バグ」を増やすことができます</v>
      </c>
      <c r="M101" s="54" t="s">
        <v>211</v>
      </c>
    </row>
    <row r="102" spans="1:13" x14ac:dyDescent="0.15">
      <c r="A102" s="75" t="s">
        <v>201</v>
      </c>
      <c r="B102" s="76">
        <f>floors!$C$2</f>
        <v>38101</v>
      </c>
      <c r="C102" s="77" t="str">
        <f ca="1">VLOOKUP($B102,OFFSET([2]quests!$A$1,0,0,COUNTA([2]quests!$A:$A),MATCH(C$1,[2]quests!$1:$1,0)-MATCH($B$1,[2]quests!$1:$1,0)+1),MATCH(C$1,[2]quests!$1:$1,0)-MATCH($B$1,[2]quests!$1:$1,0)+1,FALSE)</f>
        <v>安多</v>
      </c>
      <c r="D102" s="77" t="str">
        <f ca="1">VLOOKUP($B102,OFFSET([2]quests!$A$1,0,0,COUNTA([2]quests!$A:$A),MATCH(D$1,[2]quests!$1:$1,0)-MATCH($B$1,[2]quests!$1:$1,0)+1),MATCH(D$1,[2]quests!$1:$1,0)-MATCH($B$1,[2]quests!$1:$1,0)+1,FALSE)</f>
        <v>台湾版コラボ降臨1　超級</v>
      </c>
      <c r="E102" s="81" t="s">
        <v>217</v>
      </c>
      <c r="F102" s="77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77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79">
        <v>0</v>
      </c>
      <c r="I102">
        <v>32</v>
      </c>
      <c r="J102" s="78" t="s">
        <v>199</v>
      </c>
      <c r="K102" s="87" t="str">
        <f>VLOOKUP(I102,[6]stage_hints!$A:$C,3,FALSE)</f>
        <v>敵の連続攻撃には</v>
      </c>
      <c r="L102" s="88" t="str">
        <f>VLOOKUP(I102,[6]stage_hints!$A:$D,4,FALSE)</f>
        <v>カウンタースキルを持つユニットがいれば_x000D_ダメージ回数分の反撃ができます</v>
      </c>
      <c r="M102" s="54" t="s">
        <v>211</v>
      </c>
    </row>
    <row r="103" spans="1:13" x14ac:dyDescent="0.15">
      <c r="A103" s="75" t="s">
        <v>201</v>
      </c>
      <c r="B103" s="76">
        <f>floors!$C$2</f>
        <v>38101</v>
      </c>
      <c r="C103" s="77" t="str">
        <f ca="1">VLOOKUP($B103,OFFSET([2]quests!$A$1,0,0,COUNTA([2]quests!$A:$A),MATCH(C$1,[2]quests!$1:$1,0)-MATCH($B$1,[2]quests!$1:$1,0)+1),MATCH(C$1,[2]quests!$1:$1,0)-MATCH($B$1,[2]quests!$1:$1,0)+1,FALSE)</f>
        <v>安多</v>
      </c>
      <c r="D103" s="77" t="str">
        <f ca="1">VLOOKUP($B103,OFFSET([2]quests!$A$1,0,0,COUNTA([2]quests!$A:$A),MATCH(D$1,[2]quests!$1:$1,0)-MATCH($B$1,[2]quests!$1:$1,0)+1),MATCH(D$1,[2]quests!$1:$1,0)-MATCH($B$1,[2]quests!$1:$1,0)+1,FALSE)</f>
        <v>台湾版コラボ降臨1　超級</v>
      </c>
      <c r="E103" s="81" t="s">
        <v>217</v>
      </c>
      <c r="F103" s="77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77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79">
        <v>0</v>
      </c>
      <c r="I103">
        <v>33</v>
      </c>
      <c r="J103" s="78" t="s">
        <v>199</v>
      </c>
      <c r="K103" s="87" t="str">
        <f>VLOOKUP(I103,[6]stage_hints!$A:$C,3,FALSE)</f>
        <v>敵のカウンター攻撃には</v>
      </c>
      <c r="L103" s="88" t="str">
        <f>VLOOKUP(I103,[6]stage_hints!$A:$D,4,FALSE)</f>
        <v>カウンターブレイクスキルを持っていれば_x000D_敵のカウンターを解除して攻撃ができます</v>
      </c>
      <c r="M103" s="54" t="s">
        <v>211</v>
      </c>
    </row>
    <row r="104" spans="1:13" x14ac:dyDescent="0.15">
      <c r="A104" s="75" t="s">
        <v>201</v>
      </c>
      <c r="B104" s="76">
        <f>floors!$C$2</f>
        <v>38101</v>
      </c>
      <c r="C104" s="77" t="str">
        <f ca="1">VLOOKUP($B104,OFFSET([2]quests!$A$1,0,0,COUNTA([2]quests!$A:$A),MATCH(C$1,[2]quests!$1:$1,0)-MATCH($B$1,[2]quests!$1:$1,0)+1),MATCH(C$1,[2]quests!$1:$1,0)-MATCH($B$1,[2]quests!$1:$1,0)+1,FALSE)</f>
        <v>安多</v>
      </c>
      <c r="D104" s="77" t="str">
        <f ca="1">VLOOKUP($B104,OFFSET([2]quests!$A$1,0,0,COUNTA([2]quests!$A:$A),MATCH(D$1,[2]quests!$1:$1,0)-MATCH($B$1,[2]quests!$1:$1,0)+1),MATCH(D$1,[2]quests!$1:$1,0)-MATCH($B$1,[2]quests!$1:$1,0)+1,FALSE)</f>
        <v>台湾版コラボ降臨1　超級</v>
      </c>
      <c r="E104" s="81" t="s">
        <v>217</v>
      </c>
      <c r="F104" s="77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77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79">
        <v>0</v>
      </c>
      <c r="I104">
        <v>34</v>
      </c>
      <c r="J104" s="78" t="s">
        <v>199</v>
      </c>
      <c r="K104" s="87" t="str">
        <f>VLOOKUP(I104,[6]stage_hints!$A:$C,3,FALSE)</f>
        <v>ステータスをスキルで下げられたら</v>
      </c>
      <c r="L104" s="88" t="str">
        <f>VLOOKUP(I104,[6]stage_hints!$A:$D,4,FALSE)</f>
        <v>ステータスダウンのスキルを受けたら_x000D_ステータスアップスキルで上書きしましょう</v>
      </c>
      <c r="M104" s="54" t="s">
        <v>211</v>
      </c>
    </row>
    <row r="105" spans="1:13" x14ac:dyDescent="0.15">
      <c r="A105" s="75" t="s">
        <v>201</v>
      </c>
      <c r="B105" s="76">
        <f>floors!$C$2</f>
        <v>38101</v>
      </c>
      <c r="C105" s="77" t="str">
        <f ca="1">VLOOKUP($B105,OFFSET([2]quests!$A$1,0,0,COUNTA([2]quests!$A:$A),MATCH(C$1,[2]quests!$1:$1,0)-MATCH($B$1,[2]quests!$1:$1,0)+1),MATCH(C$1,[2]quests!$1:$1,0)-MATCH($B$1,[2]quests!$1:$1,0)+1,FALSE)</f>
        <v>安多</v>
      </c>
      <c r="D105" s="77" t="str">
        <f ca="1">VLOOKUP($B105,OFFSET([2]quests!$A$1,0,0,COUNTA([2]quests!$A:$A),MATCH(D$1,[2]quests!$1:$1,0)-MATCH($B$1,[2]quests!$1:$1,0)+1),MATCH(D$1,[2]quests!$1:$1,0)-MATCH($B$1,[2]quests!$1:$1,0)+1,FALSE)</f>
        <v>台湾版コラボ降臨1　超級</v>
      </c>
      <c r="E105" s="81" t="s">
        <v>217</v>
      </c>
      <c r="F105" s="77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77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79">
        <v>0</v>
      </c>
      <c r="I105">
        <v>35</v>
      </c>
      <c r="J105" s="78" t="s">
        <v>199</v>
      </c>
      <c r="K105" s="87" t="str">
        <f>VLOOKUP(I105,[6]stage_hints!$A:$C,3,FALSE)</f>
        <v>敵のステータスがスキルで上がったら</v>
      </c>
      <c r="L105" s="88" t="str">
        <f>VLOOKUP(I105,[6]stage_hints!$A:$D,4,FALSE)</f>
        <v>敵のステータスがスキルでアップしたときは_x000D_ステータスダウンスキルで上書きしましょう</v>
      </c>
      <c r="M105" s="54" t="s">
        <v>211</v>
      </c>
    </row>
    <row r="106" spans="1:13" x14ac:dyDescent="0.15">
      <c r="A106" s="75" t="s">
        <v>201</v>
      </c>
      <c r="B106" s="76">
        <f>floors!$C$2</f>
        <v>38101</v>
      </c>
      <c r="C106" s="77" t="str">
        <f ca="1">VLOOKUP($B106,OFFSET([2]quests!$A$1,0,0,COUNTA([2]quests!$A:$A),MATCH(C$1,[2]quests!$1:$1,0)-MATCH($B$1,[2]quests!$1:$1,0)+1),MATCH(C$1,[2]quests!$1:$1,0)-MATCH($B$1,[2]quests!$1:$1,0)+1,FALSE)</f>
        <v>安多</v>
      </c>
      <c r="D106" s="77" t="str">
        <f ca="1">VLOOKUP($B106,OFFSET([2]quests!$A$1,0,0,COUNTA([2]quests!$A:$A),MATCH(D$1,[2]quests!$1:$1,0)-MATCH($B$1,[2]quests!$1:$1,0)+1),MATCH(D$1,[2]quests!$1:$1,0)-MATCH($B$1,[2]quests!$1:$1,0)+1,FALSE)</f>
        <v>台湾版コラボ降臨1　超級</v>
      </c>
      <c r="E106" s="81" t="s">
        <v>217</v>
      </c>
      <c r="F106" s="77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77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79">
        <v>0</v>
      </c>
      <c r="I106">
        <v>36</v>
      </c>
      <c r="J106" s="78" t="s">
        <v>199</v>
      </c>
      <c r="K106" s="87" t="str">
        <f>VLOOKUP(I106,[6]stage_hints!$A:$C,3,FALSE)</f>
        <v>タワーオブザクイーンのボス</v>
      </c>
      <c r="L106" s="88" t="str">
        <f>VLOOKUP(I106,[6]stage_hints!$A:$D,4,FALSE)</f>
        <v>「タワーオブザクイーン」最上階のボスは_x000D_15階の初回クリア報酬で獲得できるほか_x000D_その階にて低確率でドロップもします</v>
      </c>
      <c r="M106" s="54" t="s">
        <v>211</v>
      </c>
    </row>
    <row r="107" spans="1:13" x14ac:dyDescent="0.15">
      <c r="A107" s="75" t="s">
        <v>201</v>
      </c>
      <c r="B107" s="76">
        <f>floors!$C$2</f>
        <v>38101</v>
      </c>
      <c r="C107" s="77" t="str">
        <f ca="1">VLOOKUP($B107,OFFSET([2]quests!$A$1,0,0,COUNTA([2]quests!$A:$A),MATCH(C$1,[2]quests!$1:$1,0)-MATCH($B$1,[2]quests!$1:$1,0)+1),MATCH(C$1,[2]quests!$1:$1,0)-MATCH($B$1,[2]quests!$1:$1,0)+1,FALSE)</f>
        <v>安多</v>
      </c>
      <c r="D107" s="77" t="str">
        <f ca="1">VLOOKUP($B107,OFFSET([2]quests!$A$1,0,0,COUNTA([2]quests!$A:$A),MATCH(D$1,[2]quests!$1:$1,0)-MATCH($B$1,[2]quests!$1:$1,0)+1),MATCH(D$1,[2]quests!$1:$1,0)-MATCH($B$1,[2]quests!$1:$1,0)+1,FALSE)</f>
        <v>台湾版コラボ降臨1　超級</v>
      </c>
      <c r="E107" s="81" t="s">
        <v>217</v>
      </c>
      <c r="F107" s="77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77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79">
        <v>0</v>
      </c>
      <c r="I107">
        <v>37</v>
      </c>
      <c r="J107" s="78" t="s">
        <v>199</v>
      </c>
      <c r="K107" s="87" t="str">
        <f>VLOOKUP(I107,[6]stage_hints!$A:$C,3,FALSE)</f>
        <v>限界突破値の引き継ぎ</v>
      </c>
      <c r="L107" s="88" t="str">
        <f>VLOOKUP(I107,[6]stage_hints!$A:$D,4,FALSE)</f>
        <v>同じユニットを強化で合成すると_x000D_限界突破値を引き継げます（覚醒前後も可）</v>
      </c>
      <c r="M107" s="54" t="s">
        <v>211</v>
      </c>
    </row>
    <row r="108" spans="1:13" x14ac:dyDescent="0.15">
      <c r="A108" s="75" t="s">
        <v>201</v>
      </c>
      <c r="B108" s="76">
        <f>floors!$C$2</f>
        <v>38101</v>
      </c>
      <c r="C108" s="77" t="str">
        <f ca="1">VLOOKUP($B108,OFFSET([2]quests!$A$1,0,0,COUNTA([2]quests!$A:$A),MATCH(C$1,[2]quests!$1:$1,0)-MATCH($B$1,[2]quests!$1:$1,0)+1),MATCH(C$1,[2]quests!$1:$1,0)-MATCH($B$1,[2]quests!$1:$1,0)+1,FALSE)</f>
        <v>安多</v>
      </c>
      <c r="D108" s="77" t="str">
        <f ca="1">VLOOKUP($B108,OFFSET([2]quests!$A$1,0,0,COUNTA([2]quests!$A:$A),MATCH(D$1,[2]quests!$1:$1,0)-MATCH($B$1,[2]quests!$1:$1,0)+1),MATCH(D$1,[2]quests!$1:$1,0)-MATCH($B$1,[2]quests!$1:$1,0)+1,FALSE)</f>
        <v>台湾版コラボ降臨1　超級</v>
      </c>
      <c r="E108" s="81" t="s">
        <v>217</v>
      </c>
      <c r="F108" s="77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77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79">
        <v>0</v>
      </c>
      <c r="I108">
        <v>39</v>
      </c>
      <c r="J108" s="78" t="s">
        <v>199</v>
      </c>
      <c r="K108" s="87" t="str">
        <f>VLOOKUP(I108,[6]stage_hints!$A:$C,3,FALSE)</f>
        <v>システム適合者を確認</v>
      </c>
      <c r="L108" s="88" t="str">
        <f>VLOOKUP(I108,[6]stage_hints!$A:$D,4,FALSE)</f>
        <v>ALICEが 「アナタ」を呼んでいます</v>
      </c>
      <c r="M108" s="54" t="s">
        <v>211</v>
      </c>
    </row>
  </sheetData>
  <phoneticPr fontId="5"/>
  <dataValidations count="1">
    <dataValidation type="list" allowBlank="1" showInputMessage="1" showErrorMessage="1" sqref="A2:A10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2"/>
  <sheetViews>
    <sheetView showGridLines="0" workbookViewId="0">
      <pane ySplit="1" topLeftCell="A2" activePane="bottomLeft" state="frozen"/>
      <selection pane="bottomLeft" activeCell="M5" sqref="M5:M11"/>
    </sheetView>
  </sheetViews>
  <sheetFormatPr baseColWidth="12" defaultColWidth="13" defaultRowHeight="15" outlineLevelCol="1" x14ac:dyDescent="0.15"/>
  <cols>
    <col min="1" max="1" width="13" style="82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0" t="s">
        <v>189</v>
      </c>
      <c r="B1" s="67" t="s">
        <v>151</v>
      </c>
      <c r="C1" s="71" t="s">
        <v>191</v>
      </c>
      <c r="D1" s="71" t="s">
        <v>33</v>
      </c>
      <c r="E1" s="67" t="s">
        <v>192</v>
      </c>
      <c r="F1" s="71" t="s">
        <v>18</v>
      </c>
      <c r="G1" s="71" t="s">
        <v>33</v>
      </c>
      <c r="H1" s="67" t="s">
        <v>194</v>
      </c>
      <c r="I1" s="83" t="s">
        <v>195</v>
      </c>
      <c r="J1" s="85" t="s">
        <v>196</v>
      </c>
      <c r="K1" s="73" t="s">
        <v>127</v>
      </c>
      <c r="L1" s="72" t="s">
        <v>187</v>
      </c>
      <c r="M1" s="86" t="s">
        <v>186</v>
      </c>
      <c r="N1" s="74" t="s">
        <v>197</v>
      </c>
    </row>
    <row r="2" spans="1:15" ht="42" x14ac:dyDescent="0.15">
      <c r="A2" s="75" t="s">
        <v>201</v>
      </c>
      <c r="B2" s="76">
        <f>floors!$C$2</f>
        <v>38101</v>
      </c>
      <c r="C2" s="77" t="str">
        <f ca="1">VLOOKUP($B2,OFFSET([2]quests!$A$1,0,0,COUNTA([2]quests!$A:$A),MATCH(C$1,[2]quests!$1:$1,0)-MATCH($B$1,[2]quests!$1:$1,0)+1),MATCH(C$1,[2]quests!$1:$1,0)-MATCH($B$1,[2]quests!$1:$1,0)+1,FALSE)</f>
        <v>安多</v>
      </c>
      <c r="D2" s="77" t="str">
        <f ca="1">VLOOKUP($B2,OFFSET([2]quests!$A$1,0,0,COUNTA([2]quests!$A:$A),MATCH(D$1,[2]quests!$1:$1,0)-MATCH($B$1,[2]quests!$1:$1,0)+1),MATCH(D$1,[2]quests!$1:$1,0)-MATCH($B$1,[2]quests!$1:$1,0)+1,FALSE)</f>
        <v>台湾版コラボ降臨1　超級</v>
      </c>
      <c r="E2" s="78">
        <v>3</v>
      </c>
      <c r="F2" s="77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【超級】安多</v>
      </c>
      <c r="G2" s="77" t="str">
        <f ca="1">VLOOKUP($B2&amp;"_"&amp;$E2,OFFSET([2]stages!$A$1,0,0,COUNTA([2]stages!$A:$A),MATCH(G$1,[2]stages!$2:$2,0)-MATCH("temp_stage",[2]stages!$2:$2,0)+1),MATCH(G$1,[2]stages!$2:$2,0)-MATCH("temp_stage",[2]stages!$2:$2,0)+1,FALSE)</f>
        <v>台湾版コラボ降臨1　超級</v>
      </c>
      <c r="H2" s="79">
        <v>0</v>
      </c>
      <c r="I2" s="84">
        <f t="shared" ref="I2:I22" si="0">ROW()-1</f>
        <v>1</v>
      </c>
      <c r="J2" s="80" t="str">
        <f t="shared" ref="J2:J22" si="1">B2&amp;TEXT(I2,"00")</f>
        <v>3810101</v>
      </c>
      <c r="K2" s="78" t="s">
        <v>199</v>
      </c>
      <c r="L2" s="81" t="s">
        <v>338</v>
      </c>
      <c r="M2" s="173" t="s">
        <v>339</v>
      </c>
      <c r="N2" s="54" t="s">
        <v>200</v>
      </c>
      <c r="O2">
        <f t="shared" ref="O2:O22" si="2">LEN(M2)</f>
        <v>50</v>
      </c>
    </row>
    <row r="3" spans="1:15" ht="56" x14ac:dyDescent="0.15">
      <c r="A3" s="75" t="s">
        <v>334</v>
      </c>
      <c r="B3" s="76">
        <f>floors!$C$2</f>
        <v>38101</v>
      </c>
      <c r="C3" s="77" t="str">
        <f ca="1">VLOOKUP($B3,OFFSET([2]quests!$A$1,0,0,COUNTA([2]quests!$A:$A),MATCH(C$1,[2]quests!$1:$1,0)-MATCH($B$1,[2]quests!$1:$1,0)+1),MATCH(C$1,[2]quests!$1:$1,0)-MATCH($B$1,[2]quests!$1:$1,0)+1,FALSE)</f>
        <v>安多</v>
      </c>
      <c r="D3" s="77" t="str">
        <f ca="1">VLOOKUP($B3,OFFSET([2]quests!$A$1,0,0,COUNTA([2]quests!$A:$A),MATCH(D$1,[2]quests!$1:$1,0)-MATCH($B$1,[2]quests!$1:$1,0)+1),MATCH(D$1,[2]quests!$1:$1,0)-MATCH($B$1,[2]quests!$1:$1,0)+1,FALSE)</f>
        <v>台湾版コラボ降臨1　超級</v>
      </c>
      <c r="E3" s="78">
        <v>3</v>
      </c>
      <c r="F3" s="77" t="str">
        <f ca="1">VLOOKUP($B3&amp;"_"&amp;$E3,OFFSET([2]stages!$A$1,0,0,COUNTA([2]stages!$A:$A),MATCH(F$1,[2]stages!$2:$2,0)-MATCH("temp_stage",[2]stages!$2:$2,0)+1),MATCH(F$1,[2]stages!$2:$2,0)-MATCH("temp_stage",[2]stages!$2:$2,0)+1,FALSE)</f>
        <v>【超級】安多</v>
      </c>
      <c r="G3" s="77" t="str">
        <f ca="1">VLOOKUP($B3&amp;"_"&amp;$E3,OFFSET([2]stages!$A$1,0,0,COUNTA([2]stages!$A:$A),MATCH(G$1,[2]stages!$2:$2,0)-MATCH("temp_stage",[2]stages!$2:$2,0)+1),MATCH(G$1,[2]stages!$2:$2,0)-MATCH("temp_stage",[2]stages!$2:$2,0)+1,FALSE)</f>
        <v>台湾版コラボ降臨1　超級</v>
      </c>
      <c r="H3" s="79">
        <v>0</v>
      </c>
      <c r="I3" s="84">
        <f t="shared" si="0"/>
        <v>2</v>
      </c>
      <c r="J3" s="80" t="str">
        <f t="shared" si="1"/>
        <v>3810102</v>
      </c>
      <c r="K3" s="78" t="s">
        <v>199</v>
      </c>
      <c r="L3" s="81" t="s">
        <v>337</v>
      </c>
      <c r="M3" s="173" t="s">
        <v>340</v>
      </c>
      <c r="N3" s="54" t="s">
        <v>200</v>
      </c>
      <c r="O3">
        <f t="shared" si="2"/>
        <v>63</v>
      </c>
    </row>
    <row r="4" spans="1:15" ht="42" x14ac:dyDescent="0.15">
      <c r="A4" s="75" t="s">
        <v>201</v>
      </c>
      <c r="B4" s="76">
        <f>floors!$C$2</f>
        <v>38101</v>
      </c>
      <c r="C4" s="77" t="str">
        <f ca="1">VLOOKUP($B4,OFFSET([2]quests!$A$1,0,0,COUNTA([2]quests!$A:$A),MATCH(C$1,[2]quests!$1:$1,0)-MATCH($B$1,[2]quests!$1:$1,0)+1),MATCH(C$1,[2]quests!$1:$1,0)-MATCH($B$1,[2]quests!$1:$1,0)+1,FALSE)</f>
        <v>安多</v>
      </c>
      <c r="D4" s="77" t="str">
        <f ca="1">VLOOKUP($B4,OFFSET([2]quests!$A$1,0,0,COUNTA([2]quests!$A:$A),MATCH(D$1,[2]quests!$1:$1,0)-MATCH($B$1,[2]quests!$1:$1,0)+1),MATCH(D$1,[2]quests!$1:$1,0)-MATCH($B$1,[2]quests!$1:$1,0)+1,FALSE)</f>
        <v>台湾版コラボ降臨1　超級</v>
      </c>
      <c r="E4" s="78">
        <v>3</v>
      </c>
      <c r="F4" s="77" t="str">
        <f ca="1">VLOOKUP($B4&amp;"_"&amp;$E4,OFFSET([2]stages!$A$1,0,0,COUNTA([2]stages!$A:$A),MATCH(F$1,[2]stages!$2:$2,0)-MATCH("temp_stage",[2]stages!$2:$2,0)+1),MATCH(F$1,[2]stages!$2:$2,0)-MATCH("temp_stage",[2]stages!$2:$2,0)+1,FALSE)</f>
        <v>【超級】安多</v>
      </c>
      <c r="G4" s="77" t="str">
        <f ca="1">VLOOKUP($B4&amp;"_"&amp;$E4,OFFSET([2]stages!$A$1,0,0,COUNTA([2]stages!$A:$A),MATCH(G$1,[2]stages!$2:$2,0)-MATCH("temp_stage",[2]stages!$2:$2,0)+1),MATCH(G$1,[2]stages!$2:$2,0)-MATCH("temp_stage",[2]stages!$2:$2,0)+1,FALSE)</f>
        <v>台湾版コラボ降臨1　超級</v>
      </c>
      <c r="H4" s="79">
        <v>0</v>
      </c>
      <c r="I4" s="84">
        <f t="shared" si="0"/>
        <v>3</v>
      </c>
      <c r="J4" s="80" t="str">
        <f t="shared" si="1"/>
        <v>3810103</v>
      </c>
      <c r="K4" s="78" t="s">
        <v>199</v>
      </c>
      <c r="L4" s="81" t="s">
        <v>331</v>
      </c>
      <c r="M4" s="173" t="s">
        <v>348</v>
      </c>
      <c r="N4" s="54" t="s">
        <v>200</v>
      </c>
      <c r="O4">
        <f t="shared" si="2"/>
        <v>54</v>
      </c>
    </row>
    <row r="5" spans="1:15" ht="70" x14ac:dyDescent="0.15">
      <c r="A5" s="75" t="s">
        <v>198</v>
      </c>
      <c r="B5" s="76">
        <f>floors!$C$2</f>
        <v>38101</v>
      </c>
      <c r="C5" s="77" t="str">
        <f ca="1">VLOOKUP($B5,OFFSET([2]quests!$A$1,0,0,COUNTA([2]quests!$A:$A),MATCH(C$1,[2]quests!$1:$1,0)-MATCH($B$1,[2]quests!$1:$1,0)+1),MATCH(C$1,[2]quests!$1:$1,0)-MATCH($B$1,[2]quests!$1:$1,0)+1,FALSE)</f>
        <v>安多</v>
      </c>
      <c r="D5" s="77" t="str">
        <f ca="1">VLOOKUP($B5,OFFSET([2]quests!$A$1,0,0,COUNTA([2]quests!$A:$A),MATCH(D$1,[2]quests!$1:$1,0)-MATCH($B$1,[2]quests!$1:$1,0)+1),MATCH(D$1,[2]quests!$1:$1,0)-MATCH($B$1,[2]quests!$1:$1,0)+1,FALSE)</f>
        <v>台湾版コラボ降臨1　超級</v>
      </c>
      <c r="E5" s="78">
        <v>3</v>
      </c>
      <c r="F5" s="77" t="str">
        <f ca="1">VLOOKUP($B5&amp;"_"&amp;$E5,OFFSET([2]stages!$A$1,0,0,COUNTA([2]stages!$A:$A),MATCH(F$1,[2]stages!$2:$2,0)-MATCH("temp_stage",[2]stages!$2:$2,0)+1),MATCH(F$1,[2]stages!$2:$2,0)-MATCH("temp_stage",[2]stages!$2:$2,0)+1,FALSE)</f>
        <v>【超級】安多</v>
      </c>
      <c r="G5" s="77" t="str">
        <f ca="1">VLOOKUP($B5&amp;"_"&amp;$E5,OFFSET([2]stages!$A$1,0,0,COUNTA([2]stages!$A:$A),MATCH(G$1,[2]stages!$2:$2,0)-MATCH("temp_stage",[2]stages!$2:$2,0)+1),MATCH(G$1,[2]stages!$2:$2,0)-MATCH("temp_stage",[2]stages!$2:$2,0)+1,FALSE)</f>
        <v>台湾版コラボ降臨1　超級</v>
      </c>
      <c r="H5" s="79">
        <v>1</v>
      </c>
      <c r="I5" s="84">
        <f t="shared" si="0"/>
        <v>4</v>
      </c>
      <c r="J5" s="80" t="str">
        <f t="shared" si="1"/>
        <v>3810104</v>
      </c>
      <c r="K5" s="78" t="s">
        <v>199</v>
      </c>
      <c r="L5" s="81" t="s">
        <v>259</v>
      </c>
      <c r="M5" s="173" t="s">
        <v>332</v>
      </c>
      <c r="N5" s="54" t="s">
        <v>200</v>
      </c>
      <c r="O5">
        <f t="shared" si="2"/>
        <v>58</v>
      </c>
    </row>
    <row r="6" spans="1:15" ht="70" x14ac:dyDescent="0.15">
      <c r="A6" s="75" t="s">
        <v>198</v>
      </c>
      <c r="B6" s="76">
        <f>floors!$C$2</f>
        <v>38101</v>
      </c>
      <c r="C6" s="77" t="str">
        <f ca="1">VLOOKUP($B6,OFFSET([2]quests!$A$1,0,0,COUNTA([2]quests!$A:$A),MATCH(C$1,[2]quests!$1:$1,0)-MATCH($B$1,[2]quests!$1:$1,0)+1),MATCH(C$1,[2]quests!$1:$1,0)-MATCH($B$1,[2]quests!$1:$1,0)+1,FALSE)</f>
        <v>安多</v>
      </c>
      <c r="D6" s="77" t="str">
        <f ca="1">VLOOKUP($B6,OFFSET([2]quests!$A$1,0,0,COUNTA([2]quests!$A:$A),MATCH(D$1,[2]quests!$1:$1,0)-MATCH($B$1,[2]quests!$1:$1,0)+1),MATCH(D$1,[2]quests!$1:$1,0)-MATCH($B$1,[2]quests!$1:$1,0)+1,FALSE)</f>
        <v>台湾版コラボ降臨1　超級</v>
      </c>
      <c r="E6" s="78">
        <v>3</v>
      </c>
      <c r="F6" s="77" t="str">
        <f ca="1">VLOOKUP($B6&amp;"_"&amp;$E6,OFFSET([2]stages!$A$1,0,0,COUNTA([2]stages!$A:$A),MATCH(F$1,[2]stages!$2:$2,0)-MATCH("temp_stage",[2]stages!$2:$2,0)+1),MATCH(F$1,[2]stages!$2:$2,0)-MATCH("temp_stage",[2]stages!$2:$2,0)+1,FALSE)</f>
        <v>【超級】安多</v>
      </c>
      <c r="G6" s="77" t="str">
        <f ca="1">VLOOKUP($B6&amp;"_"&amp;$E6,OFFSET([2]stages!$A$1,0,0,COUNTA([2]stages!$A:$A),MATCH(G$1,[2]stages!$2:$2,0)-MATCH("temp_stage",[2]stages!$2:$2,0)+1),MATCH(G$1,[2]stages!$2:$2,0)-MATCH("temp_stage",[2]stages!$2:$2,0)+1,FALSE)</f>
        <v>台湾版コラボ降臨1　超級</v>
      </c>
      <c r="H6" s="79">
        <v>2</v>
      </c>
      <c r="I6" s="84">
        <f t="shared" si="0"/>
        <v>5</v>
      </c>
      <c r="J6" s="80" t="str">
        <f t="shared" si="1"/>
        <v>3810105</v>
      </c>
      <c r="K6" s="78" t="s">
        <v>199</v>
      </c>
      <c r="L6" s="81" t="s">
        <v>259</v>
      </c>
      <c r="M6" s="173" t="s">
        <v>333</v>
      </c>
      <c r="N6" s="54" t="s">
        <v>200</v>
      </c>
      <c r="O6">
        <f t="shared" si="2"/>
        <v>55</v>
      </c>
    </row>
    <row r="7" spans="1:15" ht="56" x14ac:dyDescent="0.15">
      <c r="A7" s="75" t="s">
        <v>198</v>
      </c>
      <c r="B7" s="76">
        <f>floors!$C$2</f>
        <v>38101</v>
      </c>
      <c r="C7" s="77" t="str">
        <f ca="1">VLOOKUP($B7,OFFSET([2]quests!$A$1,0,0,COUNTA([2]quests!$A:$A),MATCH(C$1,[2]quests!$1:$1,0)-MATCH($B$1,[2]quests!$1:$1,0)+1),MATCH(C$1,[2]quests!$1:$1,0)-MATCH($B$1,[2]quests!$1:$1,0)+1,FALSE)</f>
        <v>安多</v>
      </c>
      <c r="D7" s="77" t="str">
        <f ca="1">VLOOKUP($B7,OFFSET([2]quests!$A$1,0,0,COUNTA([2]quests!$A:$A),MATCH(D$1,[2]quests!$1:$1,0)-MATCH($B$1,[2]quests!$1:$1,0)+1),MATCH(D$1,[2]quests!$1:$1,0)-MATCH($B$1,[2]quests!$1:$1,0)+1,FALSE)</f>
        <v>台湾版コラボ降臨1　超級</v>
      </c>
      <c r="E7" s="78">
        <v>3</v>
      </c>
      <c r="F7" s="77" t="str">
        <f ca="1">VLOOKUP($B7&amp;"_"&amp;$E7,OFFSET([2]stages!$A$1,0,0,COUNTA([2]stages!$A:$A),MATCH(F$1,[2]stages!$2:$2,0)-MATCH("temp_stage",[2]stages!$2:$2,0)+1),MATCH(F$1,[2]stages!$2:$2,0)-MATCH("temp_stage",[2]stages!$2:$2,0)+1,FALSE)</f>
        <v>【超級】安多</v>
      </c>
      <c r="G7" s="77" t="str">
        <f ca="1">VLOOKUP($B7&amp;"_"&amp;$E7,OFFSET([2]stages!$A$1,0,0,COUNTA([2]stages!$A:$A),MATCH(G$1,[2]stages!$2:$2,0)-MATCH("temp_stage",[2]stages!$2:$2,0)+1),MATCH(G$1,[2]stages!$2:$2,0)-MATCH("temp_stage",[2]stages!$2:$2,0)+1,FALSE)</f>
        <v>台湾版コラボ降臨1　超級</v>
      </c>
      <c r="H7" s="79">
        <v>3</v>
      </c>
      <c r="I7" s="84">
        <f t="shared" si="0"/>
        <v>6</v>
      </c>
      <c r="J7" s="80" t="str">
        <f t="shared" si="1"/>
        <v>3810106</v>
      </c>
      <c r="K7" s="78" t="s">
        <v>199</v>
      </c>
      <c r="L7" s="81" t="s">
        <v>259</v>
      </c>
      <c r="M7" s="173" t="s">
        <v>341</v>
      </c>
      <c r="N7" s="54" t="s">
        <v>200</v>
      </c>
      <c r="O7">
        <f t="shared" si="2"/>
        <v>48</v>
      </c>
    </row>
    <row r="8" spans="1:15" ht="70" x14ac:dyDescent="0.15">
      <c r="A8" s="75" t="s">
        <v>198</v>
      </c>
      <c r="B8" s="76">
        <f>floors!$C$2</f>
        <v>38101</v>
      </c>
      <c r="C8" s="77" t="str">
        <f ca="1">VLOOKUP($B8,OFFSET([2]quests!$A$1,0,0,COUNTA([2]quests!$A:$A),MATCH(C$1,[2]quests!$1:$1,0)-MATCH($B$1,[2]quests!$1:$1,0)+1),MATCH(C$1,[2]quests!$1:$1,0)-MATCH($B$1,[2]quests!$1:$1,0)+1,FALSE)</f>
        <v>安多</v>
      </c>
      <c r="D8" s="77" t="str">
        <f ca="1">VLOOKUP($B8,OFFSET([2]quests!$A$1,0,0,COUNTA([2]quests!$A:$A),MATCH(D$1,[2]quests!$1:$1,0)-MATCH($B$1,[2]quests!$1:$1,0)+1),MATCH(D$1,[2]quests!$1:$1,0)-MATCH($B$1,[2]quests!$1:$1,0)+1,FALSE)</f>
        <v>台湾版コラボ降臨1　超級</v>
      </c>
      <c r="E8" s="78">
        <v>3</v>
      </c>
      <c r="F8" s="77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【超級】安多</v>
      </c>
      <c r="G8" s="77" t="str">
        <f ca="1">VLOOKUP($B8&amp;"_"&amp;$E8,OFFSET([2]stages!$A$1,0,0,COUNTA([2]stages!$A:$A),MATCH(G$1,[2]stages!$2:$2,0)-MATCH("temp_stage",[2]stages!$2:$2,0)+1),MATCH(G$1,[2]stages!$2:$2,0)-MATCH("temp_stage",[2]stages!$2:$2,0)+1,FALSE)</f>
        <v>台湾版コラボ降臨1　超級</v>
      </c>
      <c r="H8" s="79">
        <v>3</v>
      </c>
      <c r="I8" s="84">
        <f t="shared" si="0"/>
        <v>7</v>
      </c>
      <c r="J8" s="80" t="str">
        <f t="shared" si="1"/>
        <v>3810107</v>
      </c>
      <c r="K8" s="78" t="s">
        <v>199</v>
      </c>
      <c r="L8" s="81" t="s">
        <v>259</v>
      </c>
      <c r="M8" s="173" t="s">
        <v>342</v>
      </c>
      <c r="N8" s="54" t="s">
        <v>200</v>
      </c>
      <c r="O8">
        <f t="shared" si="2"/>
        <v>53</v>
      </c>
    </row>
    <row r="9" spans="1:15" ht="42" x14ac:dyDescent="0.15">
      <c r="A9" s="75" t="s">
        <v>201</v>
      </c>
      <c r="B9" s="76">
        <f>floors!$C$2</f>
        <v>38101</v>
      </c>
      <c r="C9" s="77" t="str">
        <f ca="1">VLOOKUP($B9,OFFSET([2]quests!$A$1,0,0,COUNTA([2]quests!$A:$A),MATCH(C$1,[2]quests!$1:$1,0)-MATCH($B$1,[2]quests!$1:$1,0)+1),MATCH(C$1,[2]quests!$1:$1,0)-MATCH($B$1,[2]quests!$1:$1,0)+1,FALSE)</f>
        <v>安多</v>
      </c>
      <c r="D9" s="77" t="str">
        <f ca="1">VLOOKUP($B9,OFFSET([2]quests!$A$1,0,0,COUNTA([2]quests!$A:$A),MATCH(D$1,[2]quests!$1:$1,0)-MATCH($B$1,[2]quests!$1:$1,0)+1),MATCH(D$1,[2]quests!$1:$1,0)-MATCH($B$1,[2]quests!$1:$1,0)+1,FALSE)</f>
        <v>台湾版コラボ降臨1　超級</v>
      </c>
      <c r="E9" s="78">
        <v>2</v>
      </c>
      <c r="F9" s="77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【上級】安多</v>
      </c>
      <c r="G9" s="77" t="str">
        <f ca="1">VLOOKUP($B9&amp;"_"&amp;$E9,OFFSET([2]stages!$A$1,0,0,COUNTA([2]stages!$A:$A),MATCH(G$1,[2]stages!$2:$2,0)-MATCH("temp_stage",[2]stages!$2:$2,0)+1),MATCH(G$1,[2]stages!$2:$2,0)-MATCH("temp_stage",[2]stages!$2:$2,0)+1,FALSE)</f>
        <v>台湾版コラボ降臨1　超級</v>
      </c>
      <c r="H9" s="79">
        <v>0</v>
      </c>
      <c r="I9" s="84">
        <f t="shared" si="0"/>
        <v>8</v>
      </c>
      <c r="J9" s="80" t="str">
        <f t="shared" si="1"/>
        <v>3810108</v>
      </c>
      <c r="K9" s="78" t="s">
        <v>199</v>
      </c>
      <c r="L9" s="81" t="s">
        <v>338</v>
      </c>
      <c r="M9" s="173" t="s">
        <v>339</v>
      </c>
      <c r="N9" s="54" t="s">
        <v>200</v>
      </c>
      <c r="O9">
        <f t="shared" si="2"/>
        <v>50</v>
      </c>
    </row>
    <row r="10" spans="1:15" ht="56" x14ac:dyDescent="0.15">
      <c r="A10" s="75" t="s">
        <v>334</v>
      </c>
      <c r="B10" s="76">
        <f>floors!$C$2</f>
        <v>38101</v>
      </c>
      <c r="C10" s="77" t="str">
        <f ca="1">VLOOKUP($B10,OFFSET([2]quests!$A$1,0,0,COUNTA([2]quests!$A:$A),MATCH(C$1,[2]quests!$1:$1,0)-MATCH($B$1,[2]quests!$1:$1,0)+1),MATCH(C$1,[2]quests!$1:$1,0)-MATCH($B$1,[2]quests!$1:$1,0)+1,FALSE)</f>
        <v>安多</v>
      </c>
      <c r="D10" s="77" t="str">
        <f ca="1">VLOOKUP($B10,OFFSET([2]quests!$A$1,0,0,COUNTA([2]quests!$A:$A),MATCH(D$1,[2]quests!$1:$1,0)-MATCH($B$1,[2]quests!$1:$1,0)+1),MATCH(D$1,[2]quests!$1:$1,0)-MATCH($B$1,[2]quests!$1:$1,0)+1,FALSE)</f>
        <v>台湾版コラボ降臨1　超級</v>
      </c>
      <c r="E10" s="78">
        <v>2</v>
      </c>
      <c r="F10" s="77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【上級】安多</v>
      </c>
      <c r="G10" s="77" t="str">
        <f ca="1">VLOOKUP($B10&amp;"_"&amp;$E10,OFFSET([2]stages!$A$1,0,0,COUNTA([2]stages!$A:$A),MATCH(G$1,[2]stages!$2:$2,0)-MATCH("temp_stage",[2]stages!$2:$2,0)+1),MATCH(G$1,[2]stages!$2:$2,0)-MATCH("temp_stage",[2]stages!$2:$2,0)+1,FALSE)</f>
        <v>台湾版コラボ降臨1　超級</v>
      </c>
      <c r="H10" s="79">
        <v>0</v>
      </c>
      <c r="I10" s="84">
        <f t="shared" si="0"/>
        <v>9</v>
      </c>
      <c r="J10" s="80" t="str">
        <f t="shared" si="1"/>
        <v>3810109</v>
      </c>
      <c r="K10" s="78" t="s">
        <v>199</v>
      </c>
      <c r="L10" s="81" t="s">
        <v>337</v>
      </c>
      <c r="M10" s="173" t="s">
        <v>340</v>
      </c>
      <c r="N10" s="54" t="s">
        <v>200</v>
      </c>
      <c r="O10">
        <f t="shared" si="2"/>
        <v>63</v>
      </c>
    </row>
    <row r="11" spans="1:15" ht="42" x14ac:dyDescent="0.15">
      <c r="A11" s="75" t="s">
        <v>201</v>
      </c>
      <c r="B11" s="76">
        <f>floors!$C$2</f>
        <v>38101</v>
      </c>
      <c r="C11" s="77" t="str">
        <f ca="1">VLOOKUP($B11,OFFSET([2]quests!$A$1,0,0,COUNTA([2]quests!$A:$A),MATCH(C$1,[2]quests!$1:$1,0)-MATCH($B$1,[2]quests!$1:$1,0)+1),MATCH(C$1,[2]quests!$1:$1,0)-MATCH($B$1,[2]quests!$1:$1,0)+1,FALSE)</f>
        <v>安多</v>
      </c>
      <c r="D11" s="77" t="str">
        <f ca="1">VLOOKUP($B11,OFFSET([2]quests!$A$1,0,0,COUNTA([2]quests!$A:$A),MATCH(D$1,[2]quests!$1:$1,0)-MATCH($B$1,[2]quests!$1:$1,0)+1),MATCH(D$1,[2]quests!$1:$1,0)-MATCH($B$1,[2]quests!$1:$1,0)+1,FALSE)</f>
        <v>台湾版コラボ降臨1　超級</v>
      </c>
      <c r="E11" s="78">
        <v>2</v>
      </c>
      <c r="F11" s="77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【上級】安多</v>
      </c>
      <c r="G11" s="77" t="str">
        <f ca="1">VLOOKUP($B11&amp;"_"&amp;$E11,OFFSET([2]stages!$A$1,0,0,COUNTA([2]stages!$A:$A),MATCH(G$1,[2]stages!$2:$2,0)-MATCH("temp_stage",[2]stages!$2:$2,0)+1),MATCH(G$1,[2]stages!$2:$2,0)-MATCH("temp_stage",[2]stages!$2:$2,0)+1,FALSE)</f>
        <v>台湾版コラボ降臨1　超級</v>
      </c>
      <c r="H11" s="79">
        <v>0</v>
      </c>
      <c r="I11" s="84">
        <f t="shared" si="0"/>
        <v>10</v>
      </c>
      <c r="J11" s="80" t="str">
        <f t="shared" si="1"/>
        <v>3810110</v>
      </c>
      <c r="K11" s="78" t="s">
        <v>199</v>
      </c>
      <c r="L11" s="81" t="s">
        <v>331</v>
      </c>
      <c r="M11" s="173" t="s">
        <v>348</v>
      </c>
      <c r="N11" s="54" t="s">
        <v>200</v>
      </c>
      <c r="O11">
        <f t="shared" si="2"/>
        <v>54</v>
      </c>
    </row>
    <row r="12" spans="1:15" ht="70" x14ac:dyDescent="0.15">
      <c r="A12" s="75" t="s">
        <v>198</v>
      </c>
      <c r="B12" s="76">
        <f>floors!$C$2</f>
        <v>38101</v>
      </c>
      <c r="C12" s="77" t="str">
        <f ca="1">VLOOKUP($B12,OFFSET([2]quests!$A$1,0,0,COUNTA([2]quests!$A:$A),MATCH(C$1,[2]quests!$1:$1,0)-MATCH($B$1,[2]quests!$1:$1,0)+1),MATCH(C$1,[2]quests!$1:$1,0)-MATCH($B$1,[2]quests!$1:$1,0)+1,FALSE)</f>
        <v>安多</v>
      </c>
      <c r="D12" s="77" t="str">
        <f ca="1">VLOOKUP($B12,OFFSET([2]quests!$A$1,0,0,COUNTA([2]quests!$A:$A),MATCH(D$1,[2]quests!$1:$1,0)-MATCH($B$1,[2]quests!$1:$1,0)+1),MATCH(D$1,[2]quests!$1:$1,0)-MATCH($B$1,[2]quests!$1:$1,0)+1,FALSE)</f>
        <v>台湾版コラボ降臨1　超級</v>
      </c>
      <c r="E12" s="78">
        <v>2</v>
      </c>
      <c r="F12" s="77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【上級】安多</v>
      </c>
      <c r="G12" s="77" t="str">
        <f ca="1">VLOOKUP($B12&amp;"_"&amp;$E12,OFFSET([2]stages!$A$1,0,0,COUNTA([2]stages!$A:$A),MATCH(G$1,[2]stages!$2:$2,0)-MATCH("temp_stage",[2]stages!$2:$2,0)+1),MATCH(G$1,[2]stages!$2:$2,0)-MATCH("temp_stage",[2]stages!$2:$2,0)+1,FALSE)</f>
        <v>台湾版コラボ降臨1　超級</v>
      </c>
      <c r="H12" s="79">
        <v>1</v>
      </c>
      <c r="I12" s="84">
        <f t="shared" si="0"/>
        <v>11</v>
      </c>
      <c r="J12" s="80" t="str">
        <f t="shared" si="1"/>
        <v>3810111</v>
      </c>
      <c r="K12" s="78" t="s">
        <v>199</v>
      </c>
      <c r="L12" s="81" t="s">
        <v>259</v>
      </c>
      <c r="M12" s="173" t="s">
        <v>332</v>
      </c>
      <c r="N12" s="54" t="s">
        <v>200</v>
      </c>
      <c r="O12">
        <f t="shared" si="2"/>
        <v>58</v>
      </c>
    </row>
    <row r="13" spans="1:15" ht="70" x14ac:dyDescent="0.15">
      <c r="A13" s="75" t="s">
        <v>198</v>
      </c>
      <c r="B13" s="76">
        <f>floors!$C$2</f>
        <v>38101</v>
      </c>
      <c r="C13" s="77" t="str">
        <f ca="1">VLOOKUP($B13,OFFSET([2]quests!$A$1,0,0,COUNTA([2]quests!$A:$A),MATCH(C$1,[2]quests!$1:$1,0)-MATCH($B$1,[2]quests!$1:$1,0)+1),MATCH(C$1,[2]quests!$1:$1,0)-MATCH($B$1,[2]quests!$1:$1,0)+1,FALSE)</f>
        <v>安多</v>
      </c>
      <c r="D13" s="77" t="str">
        <f ca="1">VLOOKUP($B13,OFFSET([2]quests!$A$1,0,0,COUNTA([2]quests!$A:$A),MATCH(D$1,[2]quests!$1:$1,0)-MATCH($B$1,[2]quests!$1:$1,0)+1),MATCH(D$1,[2]quests!$1:$1,0)-MATCH($B$1,[2]quests!$1:$1,0)+1,FALSE)</f>
        <v>台湾版コラボ降臨1　超級</v>
      </c>
      <c r="E13" s="78">
        <v>2</v>
      </c>
      <c r="F13" s="77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【上級】安多</v>
      </c>
      <c r="G13" s="77" t="str">
        <f ca="1">VLOOKUP($B13&amp;"_"&amp;$E13,OFFSET([2]stages!$A$1,0,0,COUNTA([2]stages!$A:$A),MATCH(G$1,[2]stages!$2:$2,0)-MATCH("temp_stage",[2]stages!$2:$2,0)+1),MATCH(G$1,[2]stages!$2:$2,0)-MATCH("temp_stage",[2]stages!$2:$2,0)+1,FALSE)</f>
        <v>台湾版コラボ降臨1　超級</v>
      </c>
      <c r="H13" s="79">
        <v>2</v>
      </c>
      <c r="I13" s="84">
        <f t="shared" si="0"/>
        <v>12</v>
      </c>
      <c r="J13" s="80" t="str">
        <f t="shared" si="1"/>
        <v>3810112</v>
      </c>
      <c r="K13" s="78" t="s">
        <v>199</v>
      </c>
      <c r="L13" s="81" t="s">
        <v>259</v>
      </c>
      <c r="M13" s="173" t="s">
        <v>333</v>
      </c>
      <c r="N13" s="54" t="s">
        <v>200</v>
      </c>
      <c r="O13">
        <f t="shared" si="2"/>
        <v>55</v>
      </c>
    </row>
    <row r="14" spans="1:15" ht="56" x14ac:dyDescent="0.15">
      <c r="A14" s="75" t="s">
        <v>198</v>
      </c>
      <c r="B14" s="76">
        <f>floors!$C$2</f>
        <v>38101</v>
      </c>
      <c r="C14" s="77" t="str">
        <f ca="1">VLOOKUP($B14,OFFSET([2]quests!$A$1,0,0,COUNTA([2]quests!$A:$A),MATCH(C$1,[2]quests!$1:$1,0)-MATCH($B$1,[2]quests!$1:$1,0)+1),MATCH(C$1,[2]quests!$1:$1,0)-MATCH($B$1,[2]quests!$1:$1,0)+1,FALSE)</f>
        <v>安多</v>
      </c>
      <c r="D14" s="77" t="str">
        <f ca="1">VLOOKUP($B14,OFFSET([2]quests!$A$1,0,0,COUNTA([2]quests!$A:$A),MATCH(D$1,[2]quests!$1:$1,0)-MATCH($B$1,[2]quests!$1:$1,0)+1),MATCH(D$1,[2]quests!$1:$1,0)-MATCH($B$1,[2]quests!$1:$1,0)+1,FALSE)</f>
        <v>台湾版コラボ降臨1　超級</v>
      </c>
      <c r="E14" s="78">
        <v>2</v>
      </c>
      <c r="F14" s="77" t="str">
        <f ca="1">VLOOKUP($B14&amp;"_"&amp;$E14,OFFSET([2]stages!$A$1,0,0,COUNTA([2]stages!$A:$A),MATCH(F$1,[2]stages!$2:$2,0)-MATCH("temp_stage",[2]stages!$2:$2,0)+1),MATCH(F$1,[2]stages!$2:$2,0)-MATCH("temp_stage",[2]stages!$2:$2,0)+1,FALSE)</f>
        <v>【上級】安多</v>
      </c>
      <c r="G14" s="77" t="str">
        <f ca="1">VLOOKUP($B14&amp;"_"&amp;$E14,OFFSET([2]stages!$A$1,0,0,COUNTA([2]stages!$A:$A),MATCH(G$1,[2]stages!$2:$2,0)-MATCH("temp_stage",[2]stages!$2:$2,0)+1),MATCH(G$1,[2]stages!$2:$2,0)-MATCH("temp_stage",[2]stages!$2:$2,0)+1,FALSE)</f>
        <v>台湾版コラボ降臨1　超級</v>
      </c>
      <c r="H14" s="79">
        <v>3</v>
      </c>
      <c r="I14" s="84">
        <f t="shared" si="0"/>
        <v>13</v>
      </c>
      <c r="J14" s="80" t="str">
        <f t="shared" si="1"/>
        <v>3810113</v>
      </c>
      <c r="K14" s="78" t="s">
        <v>199</v>
      </c>
      <c r="L14" s="81" t="s">
        <v>259</v>
      </c>
      <c r="M14" s="173" t="s">
        <v>341</v>
      </c>
      <c r="N14" s="54" t="s">
        <v>200</v>
      </c>
      <c r="O14">
        <f t="shared" si="2"/>
        <v>48</v>
      </c>
    </row>
    <row r="15" spans="1:15" ht="70" x14ac:dyDescent="0.15">
      <c r="A15" s="75" t="s">
        <v>198</v>
      </c>
      <c r="B15" s="76">
        <f>floors!$C$2</f>
        <v>38101</v>
      </c>
      <c r="C15" s="77" t="str">
        <f ca="1">VLOOKUP($B15,OFFSET([2]quests!$A$1,0,0,COUNTA([2]quests!$A:$A),MATCH(C$1,[2]quests!$1:$1,0)-MATCH($B$1,[2]quests!$1:$1,0)+1),MATCH(C$1,[2]quests!$1:$1,0)-MATCH($B$1,[2]quests!$1:$1,0)+1,FALSE)</f>
        <v>安多</v>
      </c>
      <c r="D15" s="77" t="str">
        <f ca="1">VLOOKUP($B15,OFFSET([2]quests!$A$1,0,0,COUNTA([2]quests!$A:$A),MATCH(D$1,[2]quests!$1:$1,0)-MATCH($B$1,[2]quests!$1:$1,0)+1),MATCH(D$1,[2]quests!$1:$1,0)-MATCH($B$1,[2]quests!$1:$1,0)+1,FALSE)</f>
        <v>台湾版コラボ降臨1　超級</v>
      </c>
      <c r="E15" s="78">
        <v>2</v>
      </c>
      <c r="F15" s="77" t="str">
        <f ca="1">VLOOKUP($B15&amp;"_"&amp;$E15,OFFSET([2]stages!$A$1,0,0,COUNTA([2]stages!$A:$A),MATCH(F$1,[2]stages!$2:$2,0)-MATCH("temp_stage",[2]stages!$2:$2,0)+1),MATCH(F$1,[2]stages!$2:$2,0)-MATCH("temp_stage",[2]stages!$2:$2,0)+1,FALSE)</f>
        <v>【上級】安多</v>
      </c>
      <c r="G15" s="77" t="str">
        <f ca="1">VLOOKUP($B15&amp;"_"&amp;$E15,OFFSET([2]stages!$A$1,0,0,COUNTA([2]stages!$A:$A),MATCH(G$1,[2]stages!$2:$2,0)-MATCH("temp_stage",[2]stages!$2:$2,0)+1),MATCH(G$1,[2]stages!$2:$2,0)-MATCH("temp_stage",[2]stages!$2:$2,0)+1,FALSE)</f>
        <v>台湾版コラボ降臨1　超級</v>
      </c>
      <c r="H15" s="79">
        <v>3</v>
      </c>
      <c r="I15" s="84">
        <f t="shared" si="0"/>
        <v>14</v>
      </c>
      <c r="J15" s="80" t="str">
        <f t="shared" si="1"/>
        <v>3810114</v>
      </c>
      <c r="K15" s="78" t="s">
        <v>199</v>
      </c>
      <c r="L15" s="81" t="s">
        <v>259</v>
      </c>
      <c r="M15" s="173" t="s">
        <v>342</v>
      </c>
      <c r="N15" s="54" t="s">
        <v>200</v>
      </c>
      <c r="O15">
        <f t="shared" si="2"/>
        <v>53</v>
      </c>
    </row>
    <row r="16" spans="1:15" ht="42" x14ac:dyDescent="0.15">
      <c r="A16" s="75" t="s">
        <v>201</v>
      </c>
      <c r="B16" s="76">
        <f>floors!$C$2</f>
        <v>38101</v>
      </c>
      <c r="C16" s="77" t="str">
        <f ca="1">VLOOKUP($B16,OFFSET([2]quests!$A$1,0,0,COUNTA([2]quests!$A:$A),MATCH(C$1,[2]quests!$1:$1,0)-MATCH($B$1,[2]quests!$1:$1,0)+1),MATCH(C$1,[2]quests!$1:$1,0)-MATCH($B$1,[2]quests!$1:$1,0)+1,FALSE)</f>
        <v>安多</v>
      </c>
      <c r="D16" s="77" t="str">
        <f ca="1">VLOOKUP($B16,OFFSET([2]quests!$A$1,0,0,COUNTA([2]quests!$A:$A),MATCH(D$1,[2]quests!$1:$1,0)-MATCH($B$1,[2]quests!$1:$1,0)+1),MATCH(D$1,[2]quests!$1:$1,0)-MATCH($B$1,[2]quests!$1:$1,0)+1,FALSE)</f>
        <v>台湾版コラボ降臨1　超級</v>
      </c>
      <c r="E16" s="78">
        <v>1</v>
      </c>
      <c r="F16" s="77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【中級】安多</v>
      </c>
      <c r="G16" s="77" t="str">
        <f ca="1">VLOOKUP($B16&amp;"_"&amp;$E16,OFFSET([2]stages!$A$1,0,0,COUNTA([2]stages!$A:$A),MATCH(G$1,[2]stages!$2:$2,0)-MATCH("temp_stage",[2]stages!$2:$2,0)+1),MATCH(G$1,[2]stages!$2:$2,0)-MATCH("temp_stage",[2]stages!$2:$2,0)+1,FALSE)</f>
        <v>台湾版コラボ降臨1　超級</v>
      </c>
      <c r="H16" s="79">
        <v>0</v>
      </c>
      <c r="I16" s="84">
        <f t="shared" si="0"/>
        <v>15</v>
      </c>
      <c r="J16" s="80" t="str">
        <f t="shared" si="1"/>
        <v>3810115</v>
      </c>
      <c r="K16" s="78" t="s">
        <v>199</v>
      </c>
      <c r="L16" s="81" t="s">
        <v>338</v>
      </c>
      <c r="M16" s="173" t="s">
        <v>339</v>
      </c>
      <c r="N16" s="54" t="s">
        <v>200</v>
      </c>
      <c r="O16">
        <f t="shared" si="2"/>
        <v>50</v>
      </c>
    </row>
    <row r="17" spans="1:15" ht="56" x14ac:dyDescent="0.15">
      <c r="A17" s="75" t="s">
        <v>334</v>
      </c>
      <c r="B17" s="76">
        <f>floors!$C$2</f>
        <v>38101</v>
      </c>
      <c r="C17" s="77" t="str">
        <f ca="1">VLOOKUP($B17,OFFSET([2]quests!$A$1,0,0,COUNTA([2]quests!$A:$A),MATCH(C$1,[2]quests!$1:$1,0)-MATCH($B$1,[2]quests!$1:$1,0)+1),MATCH(C$1,[2]quests!$1:$1,0)-MATCH($B$1,[2]quests!$1:$1,0)+1,FALSE)</f>
        <v>安多</v>
      </c>
      <c r="D17" s="77" t="str">
        <f ca="1">VLOOKUP($B17,OFFSET([2]quests!$A$1,0,0,COUNTA([2]quests!$A:$A),MATCH(D$1,[2]quests!$1:$1,0)-MATCH($B$1,[2]quests!$1:$1,0)+1),MATCH(D$1,[2]quests!$1:$1,0)-MATCH($B$1,[2]quests!$1:$1,0)+1,FALSE)</f>
        <v>台湾版コラボ降臨1　超級</v>
      </c>
      <c r="E17" s="78">
        <v>1</v>
      </c>
      <c r="F17" s="77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【中級】安多</v>
      </c>
      <c r="G17" s="77" t="str">
        <f ca="1">VLOOKUP($B17&amp;"_"&amp;$E17,OFFSET([2]stages!$A$1,0,0,COUNTA([2]stages!$A:$A),MATCH(G$1,[2]stages!$2:$2,0)-MATCH("temp_stage",[2]stages!$2:$2,0)+1),MATCH(G$1,[2]stages!$2:$2,0)-MATCH("temp_stage",[2]stages!$2:$2,0)+1,FALSE)</f>
        <v>台湾版コラボ降臨1　超級</v>
      </c>
      <c r="H17" s="79">
        <v>0</v>
      </c>
      <c r="I17" s="84">
        <f t="shared" si="0"/>
        <v>16</v>
      </c>
      <c r="J17" s="80" t="str">
        <f t="shared" si="1"/>
        <v>3810116</v>
      </c>
      <c r="K17" s="78" t="s">
        <v>199</v>
      </c>
      <c r="L17" s="81" t="s">
        <v>337</v>
      </c>
      <c r="M17" s="173" t="s">
        <v>340</v>
      </c>
      <c r="N17" s="54" t="s">
        <v>200</v>
      </c>
      <c r="O17">
        <f t="shared" si="2"/>
        <v>63</v>
      </c>
    </row>
    <row r="18" spans="1:15" ht="42" x14ac:dyDescent="0.15">
      <c r="A18" s="75" t="s">
        <v>201</v>
      </c>
      <c r="B18" s="76">
        <f>floors!$C$2</f>
        <v>38101</v>
      </c>
      <c r="C18" s="77" t="str">
        <f ca="1">VLOOKUP($B18,OFFSET([2]quests!$A$1,0,0,COUNTA([2]quests!$A:$A),MATCH(C$1,[2]quests!$1:$1,0)-MATCH($B$1,[2]quests!$1:$1,0)+1),MATCH(C$1,[2]quests!$1:$1,0)-MATCH($B$1,[2]quests!$1:$1,0)+1,FALSE)</f>
        <v>安多</v>
      </c>
      <c r="D18" s="77" t="str">
        <f ca="1">VLOOKUP($B18,OFFSET([2]quests!$A$1,0,0,COUNTA([2]quests!$A:$A),MATCH(D$1,[2]quests!$1:$1,0)-MATCH($B$1,[2]quests!$1:$1,0)+1),MATCH(D$1,[2]quests!$1:$1,0)-MATCH($B$1,[2]quests!$1:$1,0)+1,FALSE)</f>
        <v>台湾版コラボ降臨1　超級</v>
      </c>
      <c r="E18" s="78">
        <v>1</v>
      </c>
      <c r="F18" s="77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【中級】安多</v>
      </c>
      <c r="G18" s="77" t="str">
        <f ca="1">VLOOKUP($B18&amp;"_"&amp;$E18,OFFSET([2]stages!$A$1,0,0,COUNTA([2]stages!$A:$A),MATCH(G$1,[2]stages!$2:$2,0)-MATCH("temp_stage",[2]stages!$2:$2,0)+1),MATCH(G$1,[2]stages!$2:$2,0)-MATCH("temp_stage",[2]stages!$2:$2,0)+1,FALSE)</f>
        <v>台湾版コラボ降臨1　超級</v>
      </c>
      <c r="H18" s="79">
        <v>0</v>
      </c>
      <c r="I18" s="84">
        <f t="shared" si="0"/>
        <v>17</v>
      </c>
      <c r="J18" s="80" t="str">
        <f t="shared" si="1"/>
        <v>3810117</v>
      </c>
      <c r="K18" s="78" t="s">
        <v>199</v>
      </c>
      <c r="L18" s="81" t="s">
        <v>331</v>
      </c>
      <c r="M18" s="173" t="s">
        <v>348</v>
      </c>
      <c r="N18" s="54" t="s">
        <v>200</v>
      </c>
      <c r="O18">
        <f t="shared" si="2"/>
        <v>54</v>
      </c>
    </row>
    <row r="19" spans="1:15" ht="70" x14ac:dyDescent="0.15">
      <c r="A19" s="75" t="s">
        <v>198</v>
      </c>
      <c r="B19" s="76">
        <f>floors!$C$2</f>
        <v>38101</v>
      </c>
      <c r="C19" s="77" t="str">
        <f ca="1">VLOOKUP($B19,OFFSET([2]quests!$A$1,0,0,COUNTA([2]quests!$A:$A),MATCH(C$1,[2]quests!$1:$1,0)-MATCH($B$1,[2]quests!$1:$1,0)+1),MATCH(C$1,[2]quests!$1:$1,0)-MATCH($B$1,[2]quests!$1:$1,0)+1,FALSE)</f>
        <v>安多</v>
      </c>
      <c r="D19" s="77" t="str">
        <f ca="1">VLOOKUP($B19,OFFSET([2]quests!$A$1,0,0,COUNTA([2]quests!$A:$A),MATCH(D$1,[2]quests!$1:$1,0)-MATCH($B$1,[2]quests!$1:$1,0)+1),MATCH(D$1,[2]quests!$1:$1,0)-MATCH($B$1,[2]quests!$1:$1,0)+1,FALSE)</f>
        <v>台湾版コラボ降臨1　超級</v>
      </c>
      <c r="E19" s="78">
        <v>1</v>
      </c>
      <c r="F19" s="77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【中級】安多</v>
      </c>
      <c r="G19" s="77" t="str">
        <f ca="1">VLOOKUP($B19&amp;"_"&amp;$E19,OFFSET([2]stages!$A$1,0,0,COUNTA([2]stages!$A:$A),MATCH(G$1,[2]stages!$2:$2,0)-MATCH("temp_stage",[2]stages!$2:$2,0)+1),MATCH(G$1,[2]stages!$2:$2,0)-MATCH("temp_stage",[2]stages!$2:$2,0)+1,FALSE)</f>
        <v>台湾版コラボ降臨1　超級</v>
      </c>
      <c r="H19" s="79">
        <v>1</v>
      </c>
      <c r="I19" s="84">
        <f t="shared" si="0"/>
        <v>18</v>
      </c>
      <c r="J19" s="80" t="str">
        <f t="shared" si="1"/>
        <v>3810118</v>
      </c>
      <c r="K19" s="78" t="s">
        <v>199</v>
      </c>
      <c r="L19" s="81" t="s">
        <v>259</v>
      </c>
      <c r="M19" s="173" t="s">
        <v>332</v>
      </c>
      <c r="N19" s="54" t="s">
        <v>200</v>
      </c>
      <c r="O19">
        <f t="shared" si="2"/>
        <v>58</v>
      </c>
    </row>
    <row r="20" spans="1:15" ht="70" x14ac:dyDescent="0.15">
      <c r="A20" s="75" t="s">
        <v>198</v>
      </c>
      <c r="B20" s="76">
        <f>floors!$C$2</f>
        <v>38101</v>
      </c>
      <c r="C20" s="77" t="str">
        <f ca="1">VLOOKUP($B20,OFFSET([2]quests!$A$1,0,0,COUNTA([2]quests!$A:$A),MATCH(C$1,[2]quests!$1:$1,0)-MATCH($B$1,[2]quests!$1:$1,0)+1),MATCH(C$1,[2]quests!$1:$1,0)-MATCH($B$1,[2]quests!$1:$1,0)+1,FALSE)</f>
        <v>安多</v>
      </c>
      <c r="D20" s="77" t="str">
        <f ca="1">VLOOKUP($B20,OFFSET([2]quests!$A$1,0,0,COUNTA([2]quests!$A:$A),MATCH(D$1,[2]quests!$1:$1,0)-MATCH($B$1,[2]quests!$1:$1,0)+1),MATCH(D$1,[2]quests!$1:$1,0)-MATCH($B$1,[2]quests!$1:$1,0)+1,FALSE)</f>
        <v>台湾版コラボ降臨1　超級</v>
      </c>
      <c r="E20" s="78">
        <v>1</v>
      </c>
      <c r="F20" s="77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【中級】安多</v>
      </c>
      <c r="G20" s="77" t="str">
        <f ca="1">VLOOKUP($B20&amp;"_"&amp;$E20,OFFSET([2]stages!$A$1,0,0,COUNTA([2]stages!$A:$A),MATCH(G$1,[2]stages!$2:$2,0)-MATCH("temp_stage",[2]stages!$2:$2,0)+1),MATCH(G$1,[2]stages!$2:$2,0)-MATCH("temp_stage",[2]stages!$2:$2,0)+1,FALSE)</f>
        <v>台湾版コラボ降臨1　超級</v>
      </c>
      <c r="H20" s="79">
        <v>2</v>
      </c>
      <c r="I20" s="84">
        <f t="shared" si="0"/>
        <v>19</v>
      </c>
      <c r="J20" s="80" t="str">
        <f t="shared" si="1"/>
        <v>3810119</v>
      </c>
      <c r="K20" s="78" t="s">
        <v>199</v>
      </c>
      <c r="L20" s="81" t="s">
        <v>259</v>
      </c>
      <c r="M20" s="173" t="s">
        <v>333</v>
      </c>
      <c r="N20" s="54" t="s">
        <v>200</v>
      </c>
      <c r="O20">
        <f t="shared" si="2"/>
        <v>55</v>
      </c>
    </row>
    <row r="21" spans="1:15" ht="56" x14ac:dyDescent="0.15">
      <c r="A21" s="75" t="s">
        <v>198</v>
      </c>
      <c r="B21" s="76">
        <f>floors!$C$2</f>
        <v>38101</v>
      </c>
      <c r="C21" s="77" t="str">
        <f ca="1">VLOOKUP($B21,OFFSET([2]quests!$A$1,0,0,COUNTA([2]quests!$A:$A),MATCH(C$1,[2]quests!$1:$1,0)-MATCH($B$1,[2]quests!$1:$1,0)+1),MATCH(C$1,[2]quests!$1:$1,0)-MATCH($B$1,[2]quests!$1:$1,0)+1,FALSE)</f>
        <v>安多</v>
      </c>
      <c r="D21" s="77" t="str">
        <f ca="1">VLOOKUP($B21,OFFSET([2]quests!$A$1,0,0,COUNTA([2]quests!$A:$A),MATCH(D$1,[2]quests!$1:$1,0)-MATCH($B$1,[2]quests!$1:$1,0)+1),MATCH(D$1,[2]quests!$1:$1,0)-MATCH($B$1,[2]quests!$1:$1,0)+1,FALSE)</f>
        <v>台湾版コラボ降臨1　超級</v>
      </c>
      <c r="E21" s="78">
        <v>1</v>
      </c>
      <c r="F21" s="77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【中級】安多</v>
      </c>
      <c r="G21" s="77" t="str">
        <f ca="1">VLOOKUP($B21&amp;"_"&amp;$E21,OFFSET([2]stages!$A$1,0,0,COUNTA([2]stages!$A:$A),MATCH(G$1,[2]stages!$2:$2,0)-MATCH("temp_stage",[2]stages!$2:$2,0)+1),MATCH(G$1,[2]stages!$2:$2,0)-MATCH("temp_stage",[2]stages!$2:$2,0)+1,FALSE)</f>
        <v>台湾版コラボ降臨1　超級</v>
      </c>
      <c r="H21" s="79">
        <v>3</v>
      </c>
      <c r="I21" s="84">
        <f t="shared" si="0"/>
        <v>20</v>
      </c>
      <c r="J21" s="80" t="str">
        <f t="shared" si="1"/>
        <v>3810120</v>
      </c>
      <c r="K21" s="78" t="s">
        <v>199</v>
      </c>
      <c r="L21" s="81" t="s">
        <v>259</v>
      </c>
      <c r="M21" s="173" t="s">
        <v>341</v>
      </c>
      <c r="N21" s="54" t="s">
        <v>200</v>
      </c>
      <c r="O21">
        <f t="shared" si="2"/>
        <v>48</v>
      </c>
    </row>
    <row r="22" spans="1:15" ht="70" x14ac:dyDescent="0.15">
      <c r="A22" s="75" t="s">
        <v>198</v>
      </c>
      <c r="B22" s="76">
        <f>floors!$C$2</f>
        <v>38101</v>
      </c>
      <c r="C22" s="77" t="str">
        <f ca="1">VLOOKUP($B22,OFFSET([2]quests!$A$1,0,0,COUNTA([2]quests!$A:$A),MATCH(C$1,[2]quests!$1:$1,0)-MATCH($B$1,[2]quests!$1:$1,0)+1),MATCH(C$1,[2]quests!$1:$1,0)-MATCH($B$1,[2]quests!$1:$1,0)+1,FALSE)</f>
        <v>安多</v>
      </c>
      <c r="D22" s="77" t="str">
        <f ca="1">VLOOKUP($B22,OFFSET([2]quests!$A$1,0,0,COUNTA([2]quests!$A:$A),MATCH(D$1,[2]quests!$1:$1,0)-MATCH($B$1,[2]quests!$1:$1,0)+1),MATCH(D$1,[2]quests!$1:$1,0)-MATCH($B$1,[2]quests!$1:$1,0)+1,FALSE)</f>
        <v>台湾版コラボ降臨1　超級</v>
      </c>
      <c r="E22" s="78">
        <v>1</v>
      </c>
      <c r="F22" s="77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【中級】安多</v>
      </c>
      <c r="G22" s="77" t="str">
        <f ca="1">VLOOKUP($B22&amp;"_"&amp;$E22,OFFSET([2]stages!$A$1,0,0,COUNTA([2]stages!$A:$A),MATCH(G$1,[2]stages!$2:$2,0)-MATCH("temp_stage",[2]stages!$2:$2,0)+1),MATCH(G$1,[2]stages!$2:$2,0)-MATCH("temp_stage",[2]stages!$2:$2,0)+1,FALSE)</f>
        <v>台湾版コラボ降臨1　超級</v>
      </c>
      <c r="H22" s="79">
        <v>3</v>
      </c>
      <c r="I22" s="84">
        <f t="shared" si="0"/>
        <v>21</v>
      </c>
      <c r="J22" s="80" t="str">
        <f t="shared" si="1"/>
        <v>3810121</v>
      </c>
      <c r="K22" s="78" t="s">
        <v>199</v>
      </c>
      <c r="L22" s="81" t="s">
        <v>259</v>
      </c>
      <c r="M22" s="173" t="s">
        <v>342</v>
      </c>
      <c r="N22" s="54" t="s">
        <v>200</v>
      </c>
      <c r="O22">
        <f t="shared" si="2"/>
        <v>53</v>
      </c>
    </row>
  </sheetData>
  <phoneticPr fontId="5"/>
  <dataValidations count="1">
    <dataValidation type="list" allowBlank="1" showInputMessage="1" showErrorMessage="1" sqref="A2:A2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A3" sqref="A3:XFD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218</v>
      </c>
      <c r="B1" s="92" t="s">
        <v>219</v>
      </c>
      <c r="C1" s="71" t="s">
        <v>220</v>
      </c>
      <c r="D1" s="71" t="s">
        <v>33</v>
      </c>
      <c r="E1" s="92" t="s">
        <v>221</v>
      </c>
      <c r="F1" s="71" t="s">
        <v>222</v>
      </c>
      <c r="G1" s="71" t="s">
        <v>33</v>
      </c>
      <c r="H1" s="92" t="s">
        <v>223</v>
      </c>
      <c r="I1" s="92" t="s">
        <v>224</v>
      </c>
      <c r="J1" s="92" t="s">
        <v>225</v>
      </c>
      <c r="K1" s="67" t="s">
        <v>226</v>
      </c>
      <c r="L1" s="67" t="s">
        <v>227</v>
      </c>
      <c r="M1" s="67" t="s">
        <v>157</v>
      </c>
      <c r="N1" s="71" t="s">
        <v>16</v>
      </c>
      <c r="O1" s="67" t="s">
        <v>228</v>
      </c>
      <c r="P1" s="67" t="s">
        <v>57</v>
      </c>
      <c r="Q1" s="67" t="s">
        <v>229</v>
      </c>
      <c r="R1" s="67" t="s">
        <v>38</v>
      </c>
      <c r="S1" s="67" t="s">
        <v>40</v>
      </c>
      <c r="T1" s="67" t="s">
        <v>42</v>
      </c>
      <c r="U1" s="67" t="s">
        <v>44</v>
      </c>
      <c r="V1" s="67" t="s">
        <v>46</v>
      </c>
      <c r="W1" s="67" t="s">
        <v>230</v>
      </c>
      <c r="X1" s="67" t="s">
        <v>231</v>
      </c>
    </row>
    <row r="2" spans="1:24" x14ac:dyDescent="0.15">
      <c r="A2" s="93" t="str">
        <f>B2&amp;"_"&amp;E2&amp;"_"&amp;H2&amp;"_"&amp;I2&amp;"_"&amp;J2</f>
        <v>38101_3_everyone_full_member_1</v>
      </c>
      <c r="B2" s="76">
        <v>38101</v>
      </c>
      <c r="C2" s="77" t="str">
        <f ca="1">VLOOKUP($B2,OFFSET([2]quests!$A$1,0,0,COUNTA([2]quests!$A:$A),MATCH(C$1,[2]quests!$1:$1,0)-MATCH($B$1,[2]quests!$1:$1,0)+1),MATCH(C$1,[2]quests!$1:$1,0)-MATCH($B$1,[2]quests!$1:$1,0)+1,FALSE)</f>
        <v>安多</v>
      </c>
      <c r="D2" s="77" t="str">
        <f ca="1">VLOOKUP($B2,OFFSET([2]quests!$A$1,0,0,COUNTA([2]quests!$A:$A),MATCH(D$1,[2]quests!$1:$1,0)-MATCH($B$1,[2]quests!$1:$1,0)+1),MATCH(D$1,[2]quests!$1:$1,0)-MATCH($B$1,[2]quests!$1:$1,0)+1,FALSE)</f>
        <v>台湾版コラボ降臨1　超級</v>
      </c>
      <c r="E2" s="78">
        <v>3</v>
      </c>
      <c r="F2" s="77" t="str">
        <f ca="1">VLOOKUP($B2&amp;"_"&amp;$E2,OFFSET([2]stages!$A$1,0,0,COUNTA([2]stages!$A:$A),MATCH(F$1,[2]stages!$2:$2,0)-MATCH("temp_stage",[2]stages!$2:$2,0)+1),MATCH(F$1,[2]stages!$2:$2,0)-MATCH("temp_stage",[2]stages!$2:$2,0)+1,FALSE)</f>
        <v>【超級】安多</v>
      </c>
      <c r="G2" s="77" t="str">
        <f ca="1">VLOOKUP($B2&amp;"_"&amp;$E2,OFFSET([2]stages!$A$1,0,0,COUNTA([2]stages!$A:$A),MATCH(G$1,[2]stages!$2:$2,0)-MATCH("temp_stage",[2]stages!$2:$2,0)+1),MATCH(G$1,[2]stages!$2:$2,0)-MATCH("temp_stage",[2]stages!$2:$2,0)+1,FALSE)</f>
        <v>台湾版コラボ降臨1　超級</v>
      </c>
      <c r="H2" s="79" t="s">
        <v>232</v>
      </c>
      <c r="I2" s="78" t="s">
        <v>352</v>
      </c>
      <c r="J2" s="78">
        <v>1</v>
      </c>
      <c r="K2" s="78">
        <v>1000</v>
      </c>
      <c r="L2" s="78" t="s">
        <v>233</v>
      </c>
      <c r="M2" s="78">
        <v>8138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死靈魔導 ‧ 安多</v>
      </c>
      <c r="O2" s="78">
        <v>1</v>
      </c>
      <c r="P2" s="78">
        <v>1</v>
      </c>
      <c r="Q2" s="78">
        <v>1</v>
      </c>
      <c r="R2" s="78">
        <v>0</v>
      </c>
      <c r="S2" s="78">
        <v>0</v>
      </c>
      <c r="T2" s="78">
        <v>0</v>
      </c>
      <c r="U2" s="78">
        <v>0</v>
      </c>
      <c r="V2" s="78">
        <v>1</v>
      </c>
      <c r="W2" s="95" t="s">
        <v>234</v>
      </c>
      <c r="X2" s="96" t="s">
        <v>235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2017-05-26T07:58:16Z</dcterms:modified>
</cp:coreProperties>
</file>