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4180" yWindow="480" windowWidth="32320" windowHeight="1696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6" i="11" l="1"/>
  <c r="O166" i="9"/>
  <c r="N166" i="9"/>
  <c r="M166" i="9"/>
  <c r="L166" i="9"/>
  <c r="K166" i="9"/>
  <c r="J166" i="9"/>
  <c r="I166" i="9"/>
  <c r="H166" i="9"/>
  <c r="G166" i="9"/>
  <c r="E166" i="9"/>
  <c r="D166" i="9"/>
  <c r="A166" i="9"/>
  <c r="M134" i="10"/>
  <c r="T134" i="10"/>
  <c r="W134" i="10"/>
  <c r="V134" i="10"/>
  <c r="X134" i="10"/>
  <c r="U134" i="10"/>
  <c r="Y134" i="10"/>
  <c r="N134" i="10"/>
  <c r="Q134" i="10"/>
  <c r="P134" i="10"/>
  <c r="R134" i="10"/>
  <c r="O134" i="10"/>
  <c r="S134" i="10"/>
  <c r="G134" i="10"/>
  <c r="J134" i="10"/>
  <c r="I134" i="10"/>
  <c r="K134" i="10"/>
  <c r="H134" i="10"/>
  <c r="L134" i="10"/>
  <c r="A5" i="18"/>
  <c r="C5" i="18"/>
  <c r="D5" i="18"/>
  <c r="N5" i="22"/>
  <c r="G5" i="22"/>
  <c r="F5" i="22"/>
  <c r="D5" i="22"/>
  <c r="C5" i="22"/>
  <c r="A5" i="22"/>
  <c r="N4" i="22"/>
  <c r="G4" i="22"/>
  <c r="F4" i="22"/>
  <c r="D4" i="22"/>
  <c r="C4" i="22"/>
  <c r="A4" i="22"/>
  <c r="N3" i="22"/>
  <c r="G3" i="22"/>
  <c r="F3" i="22"/>
  <c r="D3" i="22"/>
  <c r="C3" i="22"/>
  <c r="A3" i="22"/>
  <c r="O11" i="21"/>
  <c r="J42" i="11"/>
  <c r="J41" i="11"/>
  <c r="J40" i="11"/>
  <c r="M42" i="10"/>
  <c r="T42" i="10"/>
  <c r="W42" i="10"/>
  <c r="V42" i="10"/>
  <c r="X42" i="10"/>
  <c r="U42" i="10"/>
  <c r="Y42" i="10"/>
  <c r="M59" i="10"/>
  <c r="M73" i="10"/>
  <c r="M99" i="10"/>
  <c r="N99" i="10"/>
  <c r="Q99" i="10"/>
  <c r="P99" i="10"/>
  <c r="R99" i="10"/>
  <c r="O99" i="10"/>
  <c r="S99" i="10"/>
  <c r="N73" i="10"/>
  <c r="Q73" i="10"/>
  <c r="P73" i="10"/>
  <c r="R73" i="10"/>
  <c r="O73" i="10"/>
  <c r="S73" i="10"/>
  <c r="N59" i="10"/>
  <c r="Q59" i="10"/>
  <c r="P59" i="10"/>
  <c r="R59" i="10"/>
  <c r="O59" i="10"/>
  <c r="S59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36" i="10"/>
  <c r="T36" i="10"/>
  <c r="W36" i="10"/>
  <c r="V36" i="10"/>
  <c r="X36" i="10"/>
  <c r="U36" i="10"/>
  <c r="Y36" i="10"/>
  <c r="M48" i="10"/>
  <c r="M65" i="10"/>
  <c r="M75" i="10"/>
  <c r="M104" i="10"/>
  <c r="N104" i="10"/>
  <c r="Q104" i="10"/>
  <c r="P104" i="10"/>
  <c r="R104" i="10"/>
  <c r="O104" i="10"/>
  <c r="S104" i="10"/>
  <c r="N75" i="10"/>
  <c r="Q75" i="10"/>
  <c r="P75" i="10"/>
  <c r="R75" i="10"/>
  <c r="O75" i="10"/>
  <c r="S75" i="10"/>
  <c r="N65" i="10"/>
  <c r="Q65" i="10"/>
  <c r="P65" i="10"/>
  <c r="R65" i="10"/>
  <c r="O65" i="10"/>
  <c r="S65" i="10"/>
  <c r="N48" i="10"/>
  <c r="Q48" i="10"/>
  <c r="P48" i="10"/>
  <c r="R48" i="10"/>
  <c r="O48" i="10"/>
  <c r="S48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2" i="10"/>
  <c r="T32" i="10"/>
  <c r="W32" i="10"/>
  <c r="V32" i="10"/>
  <c r="X32" i="10"/>
  <c r="U32" i="10"/>
  <c r="Y32" i="10"/>
  <c r="M98" i="10"/>
  <c r="N98" i="10"/>
  <c r="Q98" i="10"/>
  <c r="P98" i="10"/>
  <c r="R98" i="10"/>
  <c r="O98" i="10"/>
  <c r="S98" i="10"/>
  <c r="M72" i="10"/>
  <c r="N72" i="10"/>
  <c r="Q72" i="10"/>
  <c r="P72" i="10"/>
  <c r="R72" i="10"/>
  <c r="O72" i="10"/>
  <c r="S72" i="10"/>
  <c r="M62" i="10"/>
  <c r="N62" i="10"/>
  <c r="Q62" i="10"/>
  <c r="P62" i="10"/>
  <c r="R62" i="10"/>
  <c r="O62" i="10"/>
  <c r="S62" i="10"/>
  <c r="M45" i="10"/>
  <c r="N45" i="10"/>
  <c r="Q45" i="10"/>
  <c r="P45" i="10"/>
  <c r="R45" i="10"/>
  <c r="O45" i="10"/>
  <c r="S45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O119" i="9"/>
  <c r="N119" i="9"/>
  <c r="M119" i="9"/>
  <c r="L119" i="9"/>
  <c r="K119" i="9"/>
  <c r="J119" i="9"/>
  <c r="I119" i="9"/>
  <c r="H119" i="9"/>
  <c r="G119" i="9"/>
  <c r="E119" i="9"/>
  <c r="D119" i="9"/>
  <c r="A119" i="9"/>
  <c r="M129" i="10"/>
  <c r="T129" i="10"/>
  <c r="W129" i="10"/>
  <c r="V129" i="10"/>
  <c r="X129" i="10"/>
  <c r="U129" i="10"/>
  <c r="Y129" i="10"/>
  <c r="N129" i="10"/>
  <c r="Q129" i="10"/>
  <c r="P129" i="10"/>
  <c r="R129" i="10"/>
  <c r="O129" i="10"/>
  <c r="S129" i="10"/>
  <c r="G129" i="10"/>
  <c r="J129" i="10"/>
  <c r="I129" i="10"/>
  <c r="K129" i="10"/>
  <c r="H129" i="10"/>
  <c r="L129" i="10"/>
  <c r="M128" i="10"/>
  <c r="T128" i="10"/>
  <c r="W128" i="10"/>
  <c r="V128" i="10"/>
  <c r="X128" i="10"/>
  <c r="U128" i="10"/>
  <c r="Y128" i="10"/>
  <c r="N128" i="10"/>
  <c r="Q128" i="10"/>
  <c r="P128" i="10"/>
  <c r="R128" i="10"/>
  <c r="O128" i="10"/>
  <c r="S128" i="10"/>
  <c r="G128" i="10"/>
  <c r="J128" i="10"/>
  <c r="I128" i="10"/>
  <c r="K128" i="10"/>
  <c r="H128" i="10"/>
  <c r="L128" i="10"/>
  <c r="M126" i="10"/>
  <c r="T126" i="10"/>
  <c r="W126" i="10"/>
  <c r="V126" i="10"/>
  <c r="X126" i="10"/>
  <c r="U126" i="10"/>
  <c r="Y126" i="10"/>
  <c r="N126" i="10"/>
  <c r="Q126" i="10"/>
  <c r="P126" i="10"/>
  <c r="R126" i="10"/>
  <c r="O126" i="10"/>
  <c r="S126" i="10"/>
  <c r="G126" i="10"/>
  <c r="J126" i="10"/>
  <c r="I126" i="10"/>
  <c r="K126" i="10"/>
  <c r="H126" i="10"/>
  <c r="L126" i="10"/>
  <c r="M122" i="10"/>
  <c r="T122" i="10"/>
  <c r="W122" i="10"/>
  <c r="V122" i="10"/>
  <c r="X122" i="10"/>
  <c r="U122" i="10"/>
  <c r="Y122" i="10"/>
  <c r="N122" i="10"/>
  <c r="Q122" i="10"/>
  <c r="P122" i="10"/>
  <c r="R122" i="10"/>
  <c r="O122" i="10"/>
  <c r="S122" i="10"/>
  <c r="G122" i="10"/>
  <c r="J122" i="10"/>
  <c r="I122" i="10"/>
  <c r="K122" i="10"/>
  <c r="H122" i="10"/>
  <c r="L122" i="10"/>
  <c r="M121" i="10"/>
  <c r="T121" i="10"/>
  <c r="W121" i="10"/>
  <c r="V121" i="10"/>
  <c r="X121" i="10"/>
  <c r="U121" i="10"/>
  <c r="Y12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O121" i="9"/>
  <c r="N121" i="9"/>
  <c r="M121" i="9"/>
  <c r="L121" i="9"/>
  <c r="K121" i="9"/>
  <c r="J121" i="9"/>
  <c r="I121" i="9"/>
  <c r="H121" i="9"/>
  <c r="G121" i="9"/>
  <c r="E121" i="9"/>
  <c r="D121" i="9"/>
  <c r="A121" i="9"/>
  <c r="M132" i="10"/>
  <c r="T132" i="10"/>
  <c r="W132" i="10"/>
  <c r="V132" i="10"/>
  <c r="X132" i="10"/>
  <c r="U132" i="10"/>
  <c r="Y132" i="10"/>
  <c r="N132" i="10"/>
  <c r="Q132" i="10"/>
  <c r="P132" i="10"/>
  <c r="R132" i="10"/>
  <c r="O132" i="10"/>
  <c r="S132" i="10"/>
  <c r="G132" i="10"/>
  <c r="J132" i="10"/>
  <c r="I132" i="10"/>
  <c r="K132" i="10"/>
  <c r="H132" i="10"/>
  <c r="L132" i="10"/>
  <c r="M131" i="10"/>
  <c r="T131" i="10"/>
  <c r="W131" i="10"/>
  <c r="V131" i="10"/>
  <c r="X131" i="10"/>
  <c r="U131" i="10"/>
  <c r="Y131" i="10"/>
  <c r="N131" i="10"/>
  <c r="Q131" i="10"/>
  <c r="P131" i="10"/>
  <c r="R131" i="10"/>
  <c r="O131" i="10"/>
  <c r="S131" i="10"/>
  <c r="G131" i="10"/>
  <c r="J131" i="10"/>
  <c r="I131" i="10"/>
  <c r="K131" i="10"/>
  <c r="H131" i="10"/>
  <c r="L131" i="10"/>
  <c r="M130" i="10"/>
  <c r="T130" i="10"/>
  <c r="W130" i="10"/>
  <c r="V130" i="10"/>
  <c r="X130" i="10"/>
  <c r="U130" i="10"/>
  <c r="Y130" i="10"/>
  <c r="N130" i="10"/>
  <c r="Q130" i="10"/>
  <c r="P130" i="10"/>
  <c r="R130" i="10"/>
  <c r="O130" i="10"/>
  <c r="S130" i="10"/>
  <c r="G130" i="10"/>
  <c r="J130" i="10"/>
  <c r="I130" i="10"/>
  <c r="K130" i="10"/>
  <c r="H130" i="10"/>
  <c r="L130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J105" i="11"/>
  <c r="O165" i="9"/>
  <c r="N165" i="9"/>
  <c r="M165" i="9"/>
  <c r="L165" i="9"/>
  <c r="K165" i="9"/>
  <c r="J165" i="9"/>
  <c r="I165" i="9"/>
  <c r="H165" i="9"/>
  <c r="G165" i="9"/>
  <c r="E165" i="9"/>
  <c r="D165" i="9"/>
  <c r="A165" i="9"/>
  <c r="M133" i="10"/>
  <c r="T133" i="10"/>
  <c r="W133" i="10"/>
  <c r="V133" i="10"/>
  <c r="X133" i="10"/>
  <c r="U133" i="10"/>
  <c r="Y133" i="10"/>
  <c r="N133" i="10"/>
  <c r="Q133" i="10"/>
  <c r="P133" i="10"/>
  <c r="R133" i="10"/>
  <c r="O133" i="10"/>
  <c r="S133" i="10"/>
  <c r="G133" i="10"/>
  <c r="J133" i="10"/>
  <c r="I133" i="10"/>
  <c r="K133" i="10"/>
  <c r="H133" i="10"/>
  <c r="L133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AD13" i="1"/>
  <c r="AF13" i="1"/>
  <c r="AI13" i="1"/>
  <c r="AG13" i="1"/>
  <c r="AE13" i="1"/>
  <c r="E97" i="9"/>
  <c r="E4" i="9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M125" i="10"/>
  <c r="T125" i="10"/>
  <c r="W125" i="10"/>
  <c r="V125" i="10"/>
  <c r="X125" i="10"/>
  <c r="U125" i="10"/>
  <c r="Y125" i="10"/>
  <c r="N125" i="10"/>
  <c r="Q125" i="10"/>
  <c r="P125" i="10"/>
  <c r="R125" i="10"/>
  <c r="O125" i="10"/>
  <c r="S125" i="10"/>
  <c r="G125" i="10"/>
  <c r="J125" i="10"/>
  <c r="I125" i="10"/>
  <c r="K125" i="10"/>
  <c r="H125" i="10"/>
  <c r="L125" i="10"/>
  <c r="M124" i="10"/>
  <c r="T124" i="10"/>
  <c r="W124" i="10"/>
  <c r="V124" i="10"/>
  <c r="X124" i="10"/>
  <c r="U124" i="10"/>
  <c r="Y124" i="10"/>
  <c r="N124" i="10"/>
  <c r="Q124" i="10"/>
  <c r="P124" i="10"/>
  <c r="R124" i="10"/>
  <c r="O124" i="10"/>
  <c r="S124" i="10"/>
  <c r="G124" i="10"/>
  <c r="J124" i="10"/>
  <c r="I124" i="10"/>
  <c r="K124" i="10"/>
  <c r="H124" i="10"/>
  <c r="L124" i="10"/>
  <c r="M123" i="10"/>
  <c r="T123" i="10"/>
  <c r="W123" i="10"/>
  <c r="V123" i="10"/>
  <c r="X123" i="10"/>
  <c r="U123" i="10"/>
  <c r="Y123" i="10"/>
  <c r="N123" i="10"/>
  <c r="Q123" i="10"/>
  <c r="P123" i="10"/>
  <c r="R123" i="10"/>
  <c r="O123" i="10"/>
  <c r="S123" i="10"/>
  <c r="G123" i="10"/>
  <c r="J123" i="10"/>
  <c r="I123" i="10"/>
  <c r="K123" i="10"/>
  <c r="H123" i="10"/>
  <c r="L123" i="10"/>
  <c r="M120" i="10"/>
  <c r="T120" i="10"/>
  <c r="W120" i="10"/>
  <c r="V120" i="10"/>
  <c r="X120" i="10"/>
  <c r="U120" i="10"/>
  <c r="Y120" i="10"/>
  <c r="N120" i="10"/>
  <c r="Q120" i="10"/>
  <c r="P120" i="10"/>
  <c r="R120" i="10"/>
  <c r="O120" i="10"/>
  <c r="S120" i="10"/>
  <c r="G120" i="10"/>
  <c r="J120" i="10"/>
  <c r="I120" i="10"/>
  <c r="K120" i="10"/>
  <c r="H120" i="10"/>
  <c r="L120" i="10"/>
  <c r="O164" i="9"/>
  <c r="N164" i="9"/>
  <c r="M164" i="9"/>
  <c r="L164" i="9"/>
  <c r="K164" i="9"/>
  <c r="J164" i="9"/>
  <c r="I164" i="9"/>
  <c r="H164" i="9"/>
  <c r="G164" i="9"/>
  <c r="E164" i="9"/>
  <c r="D164" i="9"/>
  <c r="A164" i="9"/>
  <c r="O163" i="9"/>
  <c r="N163" i="9"/>
  <c r="M163" i="9"/>
  <c r="L163" i="9"/>
  <c r="K163" i="9"/>
  <c r="J163" i="9"/>
  <c r="I163" i="9"/>
  <c r="H163" i="9"/>
  <c r="G163" i="9"/>
  <c r="E163" i="9"/>
  <c r="D163" i="9"/>
  <c r="A163" i="9"/>
  <c r="O162" i="9"/>
  <c r="N162" i="9"/>
  <c r="M162" i="9"/>
  <c r="L162" i="9"/>
  <c r="K162" i="9"/>
  <c r="J162" i="9"/>
  <c r="I162" i="9"/>
  <c r="H162" i="9"/>
  <c r="G162" i="9"/>
  <c r="E162" i="9"/>
  <c r="D162" i="9"/>
  <c r="A162" i="9"/>
  <c r="O161" i="9"/>
  <c r="N161" i="9"/>
  <c r="M161" i="9"/>
  <c r="L161" i="9"/>
  <c r="K161" i="9"/>
  <c r="J161" i="9"/>
  <c r="I161" i="9"/>
  <c r="H161" i="9"/>
  <c r="G161" i="9"/>
  <c r="E161" i="9"/>
  <c r="D161" i="9"/>
  <c r="A161" i="9"/>
  <c r="O160" i="9"/>
  <c r="N160" i="9"/>
  <c r="M160" i="9"/>
  <c r="L160" i="9"/>
  <c r="K160" i="9"/>
  <c r="J160" i="9"/>
  <c r="I160" i="9"/>
  <c r="H160" i="9"/>
  <c r="G160" i="9"/>
  <c r="E160" i="9"/>
  <c r="D160" i="9"/>
  <c r="A160" i="9"/>
  <c r="O159" i="9"/>
  <c r="N159" i="9"/>
  <c r="M159" i="9"/>
  <c r="L159" i="9"/>
  <c r="K159" i="9"/>
  <c r="J159" i="9"/>
  <c r="I159" i="9"/>
  <c r="H159" i="9"/>
  <c r="G159" i="9"/>
  <c r="E159" i="9"/>
  <c r="D159" i="9"/>
  <c r="A159" i="9"/>
  <c r="O158" i="9"/>
  <c r="N158" i="9"/>
  <c r="M158" i="9"/>
  <c r="L158" i="9"/>
  <c r="K158" i="9"/>
  <c r="J158" i="9"/>
  <c r="I158" i="9"/>
  <c r="H158" i="9"/>
  <c r="G158" i="9"/>
  <c r="E158" i="9"/>
  <c r="D158" i="9"/>
  <c r="A158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M127" i="10"/>
  <c r="T127" i="10"/>
  <c r="W127" i="10"/>
  <c r="V127" i="10"/>
  <c r="X127" i="10"/>
  <c r="U127" i="10"/>
  <c r="Y127" i="10"/>
  <c r="N127" i="10"/>
  <c r="Q127" i="10"/>
  <c r="P127" i="10"/>
  <c r="R127" i="10"/>
  <c r="O127" i="10"/>
  <c r="S127" i="10"/>
  <c r="G127" i="10"/>
  <c r="J127" i="10"/>
  <c r="I127" i="10"/>
  <c r="K127" i="10"/>
  <c r="H127" i="10"/>
  <c r="L127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O105" i="9"/>
  <c r="N105" i="9"/>
  <c r="M105" i="9"/>
  <c r="L105" i="9"/>
  <c r="K105" i="9"/>
  <c r="J105" i="9"/>
  <c r="I105" i="9"/>
  <c r="H105" i="9"/>
  <c r="G105" i="9"/>
  <c r="E105" i="9"/>
  <c r="D105" i="9"/>
  <c r="A105" i="9"/>
  <c r="J96" i="11"/>
  <c r="J48" i="11"/>
  <c r="J20" i="11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O15" i="21"/>
  <c r="B15" i="21"/>
  <c r="I15" i="21"/>
  <c r="J15" i="21"/>
  <c r="G15" i="21"/>
  <c r="F15" i="21"/>
  <c r="D15" i="21"/>
  <c r="C15" i="21"/>
  <c r="O3" i="21"/>
  <c r="O4" i="21"/>
  <c r="O5" i="21"/>
  <c r="O6" i="21"/>
  <c r="O7" i="21"/>
  <c r="O8" i="21"/>
  <c r="O9" i="21"/>
  <c r="O10" i="21"/>
  <c r="O12" i="21"/>
  <c r="O13" i="21"/>
  <c r="O14" i="21"/>
  <c r="O2" i="21"/>
  <c r="J50" i="11"/>
  <c r="J49" i="11"/>
  <c r="M50" i="10"/>
  <c r="T50" i="10"/>
  <c r="W50" i="10"/>
  <c r="V50" i="10"/>
  <c r="X50" i="10"/>
  <c r="U50" i="10"/>
  <c r="Y50" i="10"/>
  <c r="M76" i="10"/>
  <c r="N76" i="10"/>
  <c r="Q76" i="10"/>
  <c r="P76" i="10"/>
  <c r="R76" i="10"/>
  <c r="O76" i="10"/>
  <c r="S76" i="10"/>
  <c r="M66" i="10"/>
  <c r="N66" i="10"/>
  <c r="Q66" i="10"/>
  <c r="P66" i="10"/>
  <c r="R66" i="10"/>
  <c r="O66" i="10"/>
  <c r="S66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AD11" i="1"/>
  <c r="AF11" i="1"/>
  <c r="AI11" i="1"/>
  <c r="AG11" i="1"/>
  <c r="AE11" i="1"/>
  <c r="E30" i="9"/>
  <c r="E47" i="9"/>
  <c r="E49" i="9"/>
  <c r="X11" i="1"/>
  <c r="V11" i="1"/>
  <c r="T11" i="1"/>
  <c r="Q11" i="1"/>
  <c r="P11" i="1"/>
  <c r="O11" i="1"/>
  <c r="N11" i="1"/>
  <c r="M11" i="1"/>
  <c r="H11" i="1"/>
  <c r="G8" i="2"/>
  <c r="A8" i="2"/>
  <c r="G9" i="2"/>
  <c r="A9" i="2"/>
  <c r="G10" i="2"/>
  <c r="A10" i="2"/>
  <c r="G2" i="2"/>
  <c r="A2" i="2"/>
  <c r="G3" i="2"/>
  <c r="A3" i="2"/>
  <c r="G4" i="2"/>
  <c r="A4" i="2"/>
  <c r="G5" i="2"/>
  <c r="A5" i="2"/>
  <c r="G6" i="2"/>
  <c r="A6" i="2"/>
  <c r="G7" i="2"/>
  <c r="A7" i="2"/>
  <c r="J11" i="1"/>
  <c r="I11" i="1"/>
  <c r="D11" i="1"/>
  <c r="F11" i="1"/>
  <c r="E11" i="1"/>
  <c r="A11" i="1"/>
  <c r="H8" i="2"/>
  <c r="E8" i="2"/>
  <c r="D8" i="2"/>
  <c r="H12" i="1"/>
  <c r="H14" i="1"/>
  <c r="H2" i="1"/>
  <c r="H3" i="1"/>
  <c r="H4" i="1"/>
  <c r="H5" i="1"/>
  <c r="H6" i="1"/>
  <c r="H7" i="1"/>
  <c r="H8" i="1"/>
  <c r="H9" i="1"/>
  <c r="H10" i="1"/>
  <c r="B8" i="2"/>
  <c r="J93" i="11"/>
  <c r="J92" i="11"/>
  <c r="J91" i="11"/>
  <c r="J90" i="11"/>
  <c r="J89" i="11"/>
  <c r="J88" i="11"/>
  <c r="J87" i="11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J104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103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102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101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100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99" i="11"/>
  <c r="O99" i="9"/>
  <c r="N99" i="9"/>
  <c r="M99" i="9"/>
  <c r="L99" i="9"/>
  <c r="K99" i="9"/>
  <c r="J99" i="9"/>
  <c r="I99" i="9"/>
  <c r="H99" i="9"/>
  <c r="G99" i="9"/>
  <c r="E99" i="9"/>
  <c r="D99" i="9"/>
  <c r="A99" i="9"/>
  <c r="J98" i="11"/>
  <c r="J97" i="11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E2" i="9"/>
  <c r="A4" i="18"/>
  <c r="A3" i="18"/>
  <c r="A2" i="18"/>
  <c r="C4" i="18"/>
  <c r="D4" i="18"/>
  <c r="C3" i="18"/>
  <c r="D3" i="18"/>
  <c r="C2" i="18"/>
  <c r="D2" i="18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11" i="21"/>
  <c r="C11" i="21"/>
  <c r="D11" i="21"/>
  <c r="F11" i="21"/>
  <c r="G11" i="21"/>
  <c r="I11" i="21"/>
  <c r="J11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J95" i="11"/>
  <c r="O95" i="9"/>
  <c r="N95" i="9"/>
  <c r="M95" i="9"/>
  <c r="L95" i="9"/>
  <c r="K95" i="9"/>
  <c r="J95" i="9"/>
  <c r="I95" i="9"/>
  <c r="H95" i="9"/>
  <c r="G95" i="9"/>
  <c r="E95" i="9"/>
  <c r="D95" i="9"/>
  <c r="A95" i="9"/>
  <c r="J94" i="11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J83" i="11"/>
  <c r="J82" i="11"/>
  <c r="J81" i="11"/>
  <c r="J80" i="11"/>
  <c r="J79" i="11"/>
  <c r="J78" i="11"/>
  <c r="J77" i="11"/>
  <c r="J59" i="11"/>
  <c r="J58" i="11"/>
  <c r="J57" i="11"/>
  <c r="J56" i="11"/>
  <c r="T59" i="10"/>
  <c r="W59" i="10"/>
  <c r="V59" i="10"/>
  <c r="X59" i="10"/>
  <c r="U59" i="10"/>
  <c r="Y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M95" i="10"/>
  <c r="N95" i="10"/>
  <c r="Q95" i="10"/>
  <c r="P95" i="10"/>
  <c r="R95" i="10"/>
  <c r="O95" i="10"/>
  <c r="S95" i="10"/>
  <c r="M71" i="10"/>
  <c r="N71" i="10"/>
  <c r="Q71" i="10"/>
  <c r="P71" i="10"/>
  <c r="R71" i="10"/>
  <c r="O71" i="10"/>
  <c r="S71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M94" i="10"/>
  <c r="N94" i="10"/>
  <c r="Q94" i="10"/>
  <c r="P94" i="10"/>
  <c r="R94" i="10"/>
  <c r="O94" i="10"/>
  <c r="S94" i="10"/>
  <c r="M70" i="10"/>
  <c r="N70" i="10"/>
  <c r="Q70" i="10"/>
  <c r="P70" i="10"/>
  <c r="R70" i="10"/>
  <c r="O70" i="10"/>
  <c r="S70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O87" i="9"/>
  <c r="N87" i="9"/>
  <c r="M87" i="9"/>
  <c r="L87" i="9"/>
  <c r="K87" i="9"/>
  <c r="J87" i="9"/>
  <c r="I87" i="9"/>
  <c r="H87" i="9"/>
  <c r="G87" i="9"/>
  <c r="E87" i="9"/>
  <c r="D87" i="9"/>
  <c r="A87" i="9"/>
  <c r="J86" i="11"/>
  <c r="O86" i="9"/>
  <c r="N86" i="9"/>
  <c r="M86" i="9"/>
  <c r="L86" i="9"/>
  <c r="K86" i="9"/>
  <c r="J86" i="9"/>
  <c r="I86" i="9"/>
  <c r="H86" i="9"/>
  <c r="G86" i="9"/>
  <c r="E86" i="9"/>
  <c r="D86" i="9"/>
  <c r="A86" i="9"/>
  <c r="J85" i="11"/>
  <c r="O85" i="9"/>
  <c r="N85" i="9"/>
  <c r="M85" i="9"/>
  <c r="L85" i="9"/>
  <c r="K85" i="9"/>
  <c r="J85" i="9"/>
  <c r="I85" i="9"/>
  <c r="H85" i="9"/>
  <c r="G85" i="9"/>
  <c r="E85" i="9"/>
  <c r="D85" i="9"/>
  <c r="A85" i="9"/>
  <c r="J84" i="11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J76" i="11"/>
  <c r="O76" i="9"/>
  <c r="N76" i="9"/>
  <c r="M76" i="9"/>
  <c r="L76" i="9"/>
  <c r="K76" i="9"/>
  <c r="J76" i="9"/>
  <c r="I76" i="9"/>
  <c r="H76" i="9"/>
  <c r="G76" i="9"/>
  <c r="E76" i="9"/>
  <c r="D76" i="9"/>
  <c r="A76" i="9"/>
  <c r="J75" i="11"/>
  <c r="O75" i="9"/>
  <c r="N75" i="9"/>
  <c r="M75" i="9"/>
  <c r="L75" i="9"/>
  <c r="K75" i="9"/>
  <c r="J75" i="9"/>
  <c r="I75" i="9"/>
  <c r="H75" i="9"/>
  <c r="G75" i="9"/>
  <c r="E75" i="9"/>
  <c r="D75" i="9"/>
  <c r="A75" i="9"/>
  <c r="J74" i="11"/>
  <c r="O74" i="9"/>
  <c r="N74" i="9"/>
  <c r="M74" i="9"/>
  <c r="L74" i="9"/>
  <c r="K74" i="9"/>
  <c r="J74" i="9"/>
  <c r="I74" i="9"/>
  <c r="H74" i="9"/>
  <c r="G74" i="9"/>
  <c r="E74" i="9"/>
  <c r="D74" i="9"/>
  <c r="A74" i="9"/>
  <c r="J73" i="11"/>
  <c r="O73" i="9"/>
  <c r="N73" i="9"/>
  <c r="M73" i="9"/>
  <c r="L73" i="9"/>
  <c r="K73" i="9"/>
  <c r="J73" i="9"/>
  <c r="I73" i="9"/>
  <c r="H73" i="9"/>
  <c r="G73" i="9"/>
  <c r="E73" i="9"/>
  <c r="D73" i="9"/>
  <c r="A73" i="9"/>
  <c r="J72" i="11"/>
  <c r="O72" i="9"/>
  <c r="N72" i="9"/>
  <c r="M72" i="9"/>
  <c r="L72" i="9"/>
  <c r="K72" i="9"/>
  <c r="J72" i="9"/>
  <c r="I72" i="9"/>
  <c r="H72" i="9"/>
  <c r="G72" i="9"/>
  <c r="E72" i="9"/>
  <c r="D72" i="9"/>
  <c r="A72" i="9"/>
  <c r="J71" i="11"/>
  <c r="O71" i="9"/>
  <c r="N71" i="9"/>
  <c r="M71" i="9"/>
  <c r="L71" i="9"/>
  <c r="K71" i="9"/>
  <c r="J71" i="9"/>
  <c r="I71" i="9"/>
  <c r="H71" i="9"/>
  <c r="G71" i="9"/>
  <c r="E71" i="9"/>
  <c r="D71" i="9"/>
  <c r="A71" i="9"/>
  <c r="J70" i="11"/>
  <c r="O70" i="9"/>
  <c r="N70" i="9"/>
  <c r="M70" i="9"/>
  <c r="L70" i="9"/>
  <c r="K70" i="9"/>
  <c r="J70" i="9"/>
  <c r="I70" i="9"/>
  <c r="H70" i="9"/>
  <c r="G70" i="9"/>
  <c r="E70" i="9"/>
  <c r="D70" i="9"/>
  <c r="A70" i="9"/>
  <c r="J69" i="11"/>
  <c r="O69" i="9"/>
  <c r="N69" i="9"/>
  <c r="M69" i="9"/>
  <c r="L69" i="9"/>
  <c r="K69" i="9"/>
  <c r="J69" i="9"/>
  <c r="I69" i="9"/>
  <c r="H69" i="9"/>
  <c r="G69" i="9"/>
  <c r="E69" i="9"/>
  <c r="D69" i="9"/>
  <c r="A69" i="9"/>
  <c r="J68" i="11"/>
  <c r="O68" i="9"/>
  <c r="N68" i="9"/>
  <c r="M68" i="9"/>
  <c r="L68" i="9"/>
  <c r="K68" i="9"/>
  <c r="J68" i="9"/>
  <c r="I68" i="9"/>
  <c r="H68" i="9"/>
  <c r="G68" i="9"/>
  <c r="E68" i="9"/>
  <c r="D68" i="9"/>
  <c r="A68" i="9"/>
  <c r="J67" i="11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101" i="10"/>
  <c r="N101" i="10"/>
  <c r="Q101" i="10"/>
  <c r="P101" i="10"/>
  <c r="R101" i="10"/>
  <c r="O101" i="10"/>
  <c r="S101" i="10"/>
  <c r="M74" i="10"/>
  <c r="N74" i="10"/>
  <c r="Q74" i="10"/>
  <c r="P74" i="10"/>
  <c r="R74" i="10"/>
  <c r="O74" i="10"/>
  <c r="S74" i="10"/>
  <c r="M64" i="10"/>
  <c r="N64" i="10"/>
  <c r="Q64" i="10"/>
  <c r="P64" i="10"/>
  <c r="R64" i="10"/>
  <c r="O64" i="10"/>
  <c r="S64" i="10"/>
  <c r="M63" i="10"/>
  <c r="N63" i="10"/>
  <c r="Q63" i="10"/>
  <c r="P63" i="10"/>
  <c r="R63" i="10"/>
  <c r="O63" i="10"/>
  <c r="S63" i="10"/>
  <c r="M39" i="10"/>
  <c r="T39" i="10"/>
  <c r="W39" i="10"/>
  <c r="V39" i="10"/>
  <c r="X39" i="10"/>
  <c r="U39" i="10"/>
  <c r="Y39" i="10"/>
  <c r="M61" i="10"/>
  <c r="N61" i="10"/>
  <c r="Q61" i="10"/>
  <c r="P61" i="10"/>
  <c r="R61" i="10"/>
  <c r="O61" i="10"/>
  <c r="S61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M60" i="10"/>
  <c r="N60" i="10"/>
  <c r="Q60" i="10"/>
  <c r="P60" i="10"/>
  <c r="R60" i="10"/>
  <c r="O60" i="10"/>
  <c r="S60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M86" i="10"/>
  <c r="N86" i="10"/>
  <c r="Q86" i="10"/>
  <c r="P86" i="10"/>
  <c r="R86" i="10"/>
  <c r="O86" i="10"/>
  <c r="S86" i="10"/>
  <c r="M69" i="10"/>
  <c r="N69" i="10"/>
  <c r="Q69" i="10"/>
  <c r="P69" i="10"/>
  <c r="R69" i="10"/>
  <c r="O69" i="10"/>
  <c r="S69" i="10"/>
  <c r="M55" i="10"/>
  <c r="N55" i="10"/>
  <c r="Q55" i="10"/>
  <c r="P55" i="10"/>
  <c r="R55" i="10"/>
  <c r="O55" i="10"/>
  <c r="S55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19" i="10"/>
  <c r="T19" i="10"/>
  <c r="W19" i="10"/>
  <c r="V19" i="10"/>
  <c r="X19" i="10"/>
  <c r="U19" i="10"/>
  <c r="Y19" i="10"/>
  <c r="M44" i="10"/>
  <c r="N44" i="10"/>
  <c r="Q44" i="10"/>
  <c r="P44" i="10"/>
  <c r="R44" i="10"/>
  <c r="O44" i="10"/>
  <c r="S44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M43" i="10"/>
  <c r="N43" i="10"/>
  <c r="Q43" i="10"/>
  <c r="P43" i="10"/>
  <c r="R43" i="10"/>
  <c r="O43" i="10"/>
  <c r="S43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M85" i="10"/>
  <c r="N85" i="10"/>
  <c r="Q85" i="10"/>
  <c r="P85" i="10"/>
  <c r="R85" i="10"/>
  <c r="O85" i="10"/>
  <c r="S85" i="10"/>
  <c r="M68" i="10"/>
  <c r="N68" i="10"/>
  <c r="Q68" i="10"/>
  <c r="P68" i="10"/>
  <c r="R68" i="10"/>
  <c r="O68" i="10"/>
  <c r="S68" i="10"/>
  <c r="M54" i="10"/>
  <c r="N54" i="10"/>
  <c r="Q54" i="10"/>
  <c r="P54" i="10"/>
  <c r="R54" i="10"/>
  <c r="O54" i="10"/>
  <c r="S54" i="10"/>
  <c r="M35" i="10"/>
  <c r="N35" i="10"/>
  <c r="Q35" i="10"/>
  <c r="P35" i="10"/>
  <c r="R35" i="10"/>
  <c r="O35" i="10"/>
  <c r="S35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M84" i="10"/>
  <c r="N84" i="10"/>
  <c r="Q84" i="10"/>
  <c r="P84" i="10"/>
  <c r="R84" i="10"/>
  <c r="O84" i="10"/>
  <c r="S84" i="10"/>
  <c r="M67" i="10"/>
  <c r="N67" i="10"/>
  <c r="Q67" i="10"/>
  <c r="P67" i="10"/>
  <c r="R67" i="10"/>
  <c r="O67" i="10"/>
  <c r="S67" i="10"/>
  <c r="M53" i="10"/>
  <c r="N53" i="10"/>
  <c r="Q53" i="10"/>
  <c r="P53" i="10"/>
  <c r="R53" i="10"/>
  <c r="O53" i="10"/>
  <c r="S53" i="10"/>
  <c r="M34" i="10"/>
  <c r="N34" i="10"/>
  <c r="Q34" i="10"/>
  <c r="P34" i="10"/>
  <c r="R34" i="10"/>
  <c r="O34" i="10"/>
  <c r="S34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M52" i="10"/>
  <c r="N52" i="10"/>
  <c r="Q52" i="10"/>
  <c r="P52" i="10"/>
  <c r="R52" i="10"/>
  <c r="O52" i="10"/>
  <c r="S52" i="10"/>
  <c r="M33" i="10"/>
  <c r="N33" i="10"/>
  <c r="Q33" i="10"/>
  <c r="P33" i="10"/>
  <c r="R33" i="10"/>
  <c r="O33" i="10"/>
  <c r="S33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M51" i="10"/>
  <c r="N51" i="10"/>
  <c r="Q51" i="10"/>
  <c r="P51" i="10"/>
  <c r="R51" i="10"/>
  <c r="O51" i="10"/>
  <c r="S51" i="10"/>
  <c r="M31" i="10"/>
  <c r="N31" i="10"/>
  <c r="Q31" i="10"/>
  <c r="P31" i="10"/>
  <c r="R31" i="10"/>
  <c r="O31" i="10"/>
  <c r="S31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47" i="10"/>
  <c r="N47" i="10"/>
  <c r="Q47" i="10"/>
  <c r="P47" i="10"/>
  <c r="R47" i="10"/>
  <c r="O47" i="10"/>
  <c r="S47" i="10"/>
  <c r="M30" i="10"/>
  <c r="N30" i="10"/>
  <c r="Q30" i="10"/>
  <c r="P30" i="10"/>
  <c r="R30" i="10"/>
  <c r="O30" i="10"/>
  <c r="S30" i="10"/>
  <c r="M46" i="10"/>
  <c r="N46" i="10"/>
  <c r="Q46" i="10"/>
  <c r="P46" i="10"/>
  <c r="R46" i="10"/>
  <c r="O46" i="10"/>
  <c r="S46" i="10"/>
  <c r="M29" i="10"/>
  <c r="N29" i="10"/>
  <c r="Q29" i="10"/>
  <c r="P29" i="10"/>
  <c r="R29" i="10"/>
  <c r="O29" i="10"/>
  <c r="S29" i="10"/>
  <c r="M28" i="10"/>
  <c r="N28" i="10"/>
  <c r="Q28" i="10"/>
  <c r="P28" i="10"/>
  <c r="R28" i="10"/>
  <c r="O28" i="10"/>
  <c r="S28" i="10"/>
  <c r="M27" i="10"/>
  <c r="N27" i="10"/>
  <c r="Q27" i="10"/>
  <c r="P27" i="10"/>
  <c r="R27" i="10"/>
  <c r="O27" i="10"/>
  <c r="S27" i="10"/>
  <c r="M26" i="10"/>
  <c r="N26" i="10"/>
  <c r="Q26" i="10"/>
  <c r="P26" i="10"/>
  <c r="R26" i="10"/>
  <c r="O26" i="10"/>
  <c r="S26" i="10"/>
  <c r="T10" i="1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T104" i="10"/>
  <c r="W104" i="10"/>
  <c r="V104" i="10"/>
  <c r="X104" i="10"/>
  <c r="U104" i="10"/>
  <c r="Y104" i="10"/>
  <c r="G104" i="10"/>
  <c r="J104" i="10"/>
  <c r="I104" i="10"/>
  <c r="K104" i="10"/>
  <c r="H104" i="10"/>
  <c r="L104" i="10"/>
  <c r="T101" i="10"/>
  <c r="W101" i="10"/>
  <c r="V101" i="10"/>
  <c r="X101" i="10"/>
  <c r="U101" i="10"/>
  <c r="Y101" i="10"/>
  <c r="G101" i="10"/>
  <c r="J101" i="10"/>
  <c r="I101" i="10"/>
  <c r="K101" i="10"/>
  <c r="H101" i="10"/>
  <c r="L101" i="10"/>
  <c r="T99" i="10"/>
  <c r="W99" i="10"/>
  <c r="V99" i="10"/>
  <c r="X99" i="10"/>
  <c r="U99" i="10"/>
  <c r="Y99" i="10"/>
  <c r="G99" i="10"/>
  <c r="J99" i="10"/>
  <c r="I99" i="10"/>
  <c r="K99" i="10"/>
  <c r="H99" i="10"/>
  <c r="L99" i="10"/>
  <c r="T98" i="10"/>
  <c r="W98" i="10"/>
  <c r="V98" i="10"/>
  <c r="X98" i="10"/>
  <c r="U98" i="10"/>
  <c r="Y98" i="10"/>
  <c r="G98" i="10"/>
  <c r="J98" i="10"/>
  <c r="I98" i="10"/>
  <c r="K98" i="10"/>
  <c r="H98" i="10"/>
  <c r="L98" i="10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H10" i="2"/>
  <c r="E10" i="2"/>
  <c r="D10" i="2"/>
  <c r="B10" i="2"/>
  <c r="Y3" i="7"/>
  <c r="Y2" i="7"/>
  <c r="T95" i="10"/>
  <c r="W95" i="10"/>
  <c r="V95" i="10"/>
  <c r="X95" i="10"/>
  <c r="U95" i="10"/>
  <c r="Y95" i="10"/>
  <c r="G95" i="10"/>
  <c r="J95" i="10"/>
  <c r="I95" i="10"/>
  <c r="K95" i="10"/>
  <c r="H95" i="10"/>
  <c r="L95" i="10"/>
  <c r="T94" i="10"/>
  <c r="W94" i="10"/>
  <c r="V94" i="10"/>
  <c r="X94" i="10"/>
  <c r="U94" i="10"/>
  <c r="Y94" i="10"/>
  <c r="G94" i="10"/>
  <c r="J94" i="10"/>
  <c r="I94" i="10"/>
  <c r="K94" i="10"/>
  <c r="H94" i="10"/>
  <c r="L94" i="10"/>
  <c r="T86" i="10"/>
  <c r="W86" i="10"/>
  <c r="V86" i="10"/>
  <c r="X86" i="10"/>
  <c r="U86" i="10"/>
  <c r="Y86" i="10"/>
  <c r="G86" i="10"/>
  <c r="J86" i="10"/>
  <c r="I86" i="10"/>
  <c r="K86" i="10"/>
  <c r="H86" i="10"/>
  <c r="L86" i="10"/>
  <c r="T85" i="10"/>
  <c r="W85" i="10"/>
  <c r="V85" i="10"/>
  <c r="X85" i="10"/>
  <c r="U85" i="10"/>
  <c r="Y85" i="10"/>
  <c r="G85" i="10"/>
  <c r="J85" i="10"/>
  <c r="I85" i="10"/>
  <c r="K85" i="10"/>
  <c r="H85" i="10"/>
  <c r="L85" i="10"/>
  <c r="T84" i="10"/>
  <c r="W84" i="10"/>
  <c r="V84" i="10"/>
  <c r="X84" i="10"/>
  <c r="U84" i="10"/>
  <c r="Y84" i="10"/>
  <c r="G84" i="10"/>
  <c r="J84" i="10"/>
  <c r="I84" i="10"/>
  <c r="K84" i="10"/>
  <c r="H84" i="10"/>
  <c r="L84" i="10"/>
  <c r="T76" i="10"/>
  <c r="W76" i="10"/>
  <c r="V76" i="10"/>
  <c r="X76" i="10"/>
  <c r="U76" i="10"/>
  <c r="Y76" i="10"/>
  <c r="G76" i="10"/>
  <c r="J76" i="10"/>
  <c r="I76" i="10"/>
  <c r="K76" i="10"/>
  <c r="H76" i="10"/>
  <c r="L76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T74" i="10"/>
  <c r="W74" i="10"/>
  <c r="V74" i="10"/>
  <c r="X74" i="10"/>
  <c r="U74" i="10"/>
  <c r="Y74" i="10"/>
  <c r="G74" i="10"/>
  <c r="J74" i="10"/>
  <c r="I74" i="10"/>
  <c r="K74" i="10"/>
  <c r="H74" i="10"/>
  <c r="L74" i="10"/>
  <c r="T73" i="10"/>
  <c r="W73" i="10"/>
  <c r="V73" i="10"/>
  <c r="X73" i="10"/>
  <c r="U73" i="10"/>
  <c r="Y73" i="10"/>
  <c r="G73" i="10"/>
  <c r="J73" i="10"/>
  <c r="I73" i="10"/>
  <c r="K73" i="10"/>
  <c r="H73" i="10"/>
  <c r="L73" i="10"/>
  <c r="T72" i="10"/>
  <c r="W72" i="10"/>
  <c r="V72" i="10"/>
  <c r="X72" i="10"/>
  <c r="U72" i="10"/>
  <c r="Y72" i="10"/>
  <c r="G72" i="10"/>
  <c r="J72" i="10"/>
  <c r="I72" i="10"/>
  <c r="K72" i="10"/>
  <c r="H72" i="10"/>
  <c r="L72" i="10"/>
  <c r="T71" i="10"/>
  <c r="W71" i="10"/>
  <c r="V71" i="10"/>
  <c r="X71" i="10"/>
  <c r="U71" i="10"/>
  <c r="Y71" i="10"/>
  <c r="G71" i="10"/>
  <c r="J71" i="10"/>
  <c r="I71" i="10"/>
  <c r="K71" i="10"/>
  <c r="H71" i="10"/>
  <c r="L71" i="10"/>
  <c r="T70" i="10"/>
  <c r="W70" i="10"/>
  <c r="V70" i="10"/>
  <c r="X70" i="10"/>
  <c r="U70" i="10"/>
  <c r="Y70" i="10"/>
  <c r="G70" i="10"/>
  <c r="J70" i="10"/>
  <c r="I70" i="10"/>
  <c r="K70" i="10"/>
  <c r="H70" i="10"/>
  <c r="L70" i="10"/>
  <c r="T69" i="10"/>
  <c r="W69" i="10"/>
  <c r="V69" i="10"/>
  <c r="X69" i="10"/>
  <c r="U69" i="10"/>
  <c r="Y69" i="10"/>
  <c r="G69" i="10"/>
  <c r="J69" i="10"/>
  <c r="I69" i="10"/>
  <c r="K69" i="10"/>
  <c r="H69" i="10"/>
  <c r="L69" i="10"/>
  <c r="T68" i="10"/>
  <c r="W68" i="10"/>
  <c r="V68" i="10"/>
  <c r="X68" i="10"/>
  <c r="U68" i="10"/>
  <c r="Y68" i="10"/>
  <c r="G68" i="10"/>
  <c r="J68" i="10"/>
  <c r="I68" i="10"/>
  <c r="K68" i="10"/>
  <c r="H68" i="10"/>
  <c r="L68" i="10"/>
  <c r="T67" i="10"/>
  <c r="W67" i="10"/>
  <c r="V67" i="10"/>
  <c r="X67" i="10"/>
  <c r="U67" i="10"/>
  <c r="Y67" i="10"/>
  <c r="G67" i="10"/>
  <c r="J67" i="10"/>
  <c r="I67" i="10"/>
  <c r="K67" i="10"/>
  <c r="H67" i="10"/>
  <c r="L67" i="10"/>
  <c r="T66" i="10"/>
  <c r="W66" i="10"/>
  <c r="V66" i="10"/>
  <c r="X66" i="10"/>
  <c r="U66" i="10"/>
  <c r="Y66" i="10"/>
  <c r="G66" i="10"/>
  <c r="J66" i="10"/>
  <c r="I66" i="10"/>
  <c r="K66" i="10"/>
  <c r="H66" i="10"/>
  <c r="L66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T64" i="10"/>
  <c r="W64" i="10"/>
  <c r="V64" i="10"/>
  <c r="X64" i="10"/>
  <c r="U64" i="10"/>
  <c r="Y64" i="10"/>
  <c r="G64" i="10"/>
  <c r="J64" i="10"/>
  <c r="I64" i="10"/>
  <c r="K64" i="10"/>
  <c r="H64" i="10"/>
  <c r="L64" i="10"/>
  <c r="T63" i="10"/>
  <c r="W63" i="10"/>
  <c r="V63" i="10"/>
  <c r="X63" i="10"/>
  <c r="U63" i="10"/>
  <c r="Y63" i="10"/>
  <c r="G63" i="10"/>
  <c r="J63" i="10"/>
  <c r="I63" i="10"/>
  <c r="K63" i="10"/>
  <c r="H63" i="10"/>
  <c r="L63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T61" i="10"/>
  <c r="W61" i="10"/>
  <c r="V61" i="10"/>
  <c r="X61" i="10"/>
  <c r="U61" i="10"/>
  <c r="Y61" i="10"/>
  <c r="G61" i="10"/>
  <c r="J61" i="10"/>
  <c r="I61" i="10"/>
  <c r="K61" i="10"/>
  <c r="H61" i="10"/>
  <c r="L61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T54" i="10"/>
  <c r="W54" i="10"/>
  <c r="V54" i="10"/>
  <c r="X54" i="10"/>
  <c r="U54" i="10"/>
  <c r="Y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T33" i="10"/>
  <c r="W33" i="10"/>
  <c r="V33" i="10"/>
  <c r="X33" i="10"/>
  <c r="U33" i="10"/>
  <c r="Y33" i="10"/>
  <c r="G33" i="10"/>
  <c r="J33" i="10"/>
  <c r="I33" i="10"/>
  <c r="K33" i="10"/>
  <c r="H33" i="10"/>
  <c r="L33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0" i="1"/>
  <c r="AF10" i="1"/>
  <c r="AI10" i="1"/>
  <c r="AG10" i="1"/>
  <c r="AE10" i="1"/>
  <c r="X10" i="1"/>
  <c r="V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H9" i="2"/>
  <c r="E9" i="2"/>
  <c r="D9" i="2"/>
  <c r="B9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V2" i="1"/>
  <c r="T2" i="1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<sst xmlns="http://schemas.openxmlformats.org/spreadsheetml/2006/main" count="1718" uniqueCount="607">
  <si>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</si>
  <si>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</si>
  <si>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</si>
  <si>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</si>
  <si>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</si>
  <si>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</si>
  <si>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</si>
  <si>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</si>
  <si>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</si>
  <si>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</si>
  <si>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</si>
  <si>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</si>
  <si>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</si>
  <si>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</si>
  <si>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</si>
  <si>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</si>
  <si>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</si>
  <si>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</si>
  <si>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</si>
  <si>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</si>
  <si>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</si>
  <si>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</si>
  <si>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</si>
  <si>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</si>
  <si>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</si>
  <si>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</si>
  <si>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</si>
  <si>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</si>
  <si>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</si>
  <si>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</si>
  <si>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</si>
  <si>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</si>
  <si>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</si>
  <si>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</si>
  <si>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</si>
  <si>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</si>
  <si>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</si>
  <si>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</si>
  <si>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</si>
  <si>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</si>
  <si>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</si>
  <si>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</si>
  <si>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</si>
  <si>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</si>
  <si>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</si>
  <si>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</si>
  <si>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</si>
  <si>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</si>
  <si>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</si>
  <si>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</si>
  <si>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</si>
  <si>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</si>
  <si>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</si>
  <si>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</si>
  <si>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</si>
  <si>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</si>
  <si>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</si>
  <si>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</si>
  <si>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</si>
  <si>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</si>
  <si>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</si>
  <si>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</si>
  <si>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</si>
  <si>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</si>
  <si>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</si>
  <si>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</si>
  <si>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</si>
  <si>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</si>
  <si>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</si>
  <si>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</si>
  <si>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</si>
  <si>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</si>
  <si>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</si>
  <si>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</si>
  <si>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</si>
  <si>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</si>
  <si>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</si>
  <si>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</si>
  <si>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</si>
  <si>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</si>
  <si>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</si>
  <si>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</si>
  <si>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</si>
  <si>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</si>
  <si>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</si>
  <si>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</si>
  <si>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</si>
  <si>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</si>
  <si>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</si>
  <si>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</si>
  <si>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</si>
  <si>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</si>
  <si>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</si>
  <si>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</si>
  <si>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</si>
  <si>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</si>
  <si>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</si>
  <si>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</si>
  <si>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</si>
  <si>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</si>
  <si>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</si>
  <si>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</si>
  <si>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</si>
  <si>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</si>
  <si>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</si>
  <si>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</si>
  <si>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</si>
  <si>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</si>
  <si>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</si>
  <si>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</si>
  <si>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</si>
  <si>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</si>
  <si>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</si>
  <si>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</si>
  <si>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</si>
  <si>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</si>
  <si>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</si>
  <si>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</si>
  <si>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</si>
  <si>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</si>
  <si>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</si>
  <si>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</si>
  <si>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</si>
  <si>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</si>
  <si>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</si>
  <si>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</si>
  <si>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</si>
  <si>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</si>
  <si>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</si>
  <si>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</si>
  <si>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</si>
  <si>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</si>
  <si>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</si>
  <si>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</si>
  <si>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</si>
  <si>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</si>
  <si>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</si>
  <si>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</si>
  <si>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</si>
  <si>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</si>
  <si>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</si>
  <si>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</si>
  <si>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</si>
  <si>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</si>
  <si>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</si>
  <si>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</si>
  <si>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</si>
  <si>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</si>
  <si>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</si>
  <si>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</si>
  <si>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</si>
  <si>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</si>
  <si>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</si>
  <si>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</si>
  <si>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</si>
  <si>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</si>
  <si>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</si>
  <si>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</si>
  <si>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</si>
  <si>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</si>
  <si>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</si>
  <si>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</si>
  <si>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</si>
  <si>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</si>
  <si>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</si>
  <si>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</si>
  <si>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</si>
  <si>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</si>
  <si>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</si>
  <si>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</si>
  <si>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</si>
  <si>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</si>
  <si>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</si>
  <si>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</si>
  <si>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</si>
  <si>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</si>
  <si>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</si>
  <si>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</si>
  <si>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</si>
  <si>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</si>
  <si>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</si>
  <si>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</si>
  <si>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</si>
  <si>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</si>
  <si>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</si>
  <si>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</si>
  <si>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</si>
  <si>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</si>
  <si>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</si>
  <si>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</si>
  <si>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</si>
  <si>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</si>
  <si>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</si>
  <si>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</si>
  <si>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</si>
  <si>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</si>
  <si>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</si>
  <si>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</si>
  <si>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</si>
  <si>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</si>
  <si>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</si>
  <si>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</si>
  <si>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</si>
  <si>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</si>
  <si>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</si>
  <si>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</si>
  <si>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</si>
  <si>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</si>
  <si>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</si>
  <si>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</si>
  <si>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</si>
  <si>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</si>
  <si>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</si>
  <si>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</si>
  <si>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</si>
  <si>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</si>
  <si>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</si>
  <si>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</si>
  <si>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</si>
  <si>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</si>
  <si>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</si>
  <si>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</si>
  <si>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</si>
  <si>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</si>
  <si>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</si>
  <si>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</si>
  <si>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</si>
  <si>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</si>
  <si>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</si>
  <si>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</si>
  <si>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</si>
  <si>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</si>
  <si>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</si>
  <si>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</si>
  <si>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</si>
  <si>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</si>
  <si>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</si>
  <si>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</si>
  <si>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</si>
  <si>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</si>
  <si>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</si>
  <si>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</si>
  <si>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</si>
  <si>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</si>
  <si>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</si>
  <si>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</si>
  <si>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</si>
  <si>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</si>
  <si>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</si>
  <si>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</si>
  <si>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</si>
  <si>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</si>
  <si>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</si>
  <si>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</si>
  <si>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null</t>
    <phoneticPr fontId="5"/>
  </si>
  <si>
    <t>old</t>
  </si>
  <si>
    <t>2ターン赤パネル無効</t>
    <rPh sb="4" eb="5">
      <t>アカパネル</t>
    </rPh>
    <rPh sb="8" eb="10">
      <t>ムコウ</t>
    </rPh>
    <phoneticPr fontId="5"/>
  </si>
  <si>
    <t>自身の防御力DOWN</t>
    <rPh sb="0" eb="2">
      <t>ジシンノ</t>
    </rPh>
    <rPh sb="3" eb="6">
      <t>ボウギョリョク</t>
    </rPh>
    <phoneticPr fontId="5"/>
  </si>
  <si>
    <t>全体攻撃</t>
    <rPh sb="0" eb="4">
      <t>ゼンタイコウゲキ</t>
    </rPh>
    <phoneticPr fontId="5"/>
  </si>
  <si>
    <t>緑パネルプロテクト(最大5個)+
単体攻撃</t>
    <rPh sb="0" eb="1">
      <t>ミドリパネルプロテクト</t>
    </rPh>
    <rPh sb="10" eb="12">
      <t>サイダイ</t>
    </rPh>
    <rPh sb="17" eb="21">
      <t>タンタイコウゲキ</t>
    </rPh>
    <phoneticPr fontId="5"/>
  </si>
  <si>
    <t>黄パネルプロテクト(最大5個)+
単体攻撃</t>
    <rPh sb="0" eb="1">
      <t>キイロ</t>
    </rPh>
    <rPh sb="10" eb="12">
      <t>サイダイ</t>
    </rPh>
    <rPh sb="17" eb="21">
      <t>タンタイコウゲキ</t>
    </rPh>
    <phoneticPr fontId="5"/>
  </si>
  <si>
    <t>4ターン全ユニットの回復力50%DOWN</t>
    <rPh sb="4" eb="5">
      <t>ゼンユニットノ</t>
    </rPh>
    <rPh sb="10" eb="13">
      <t>カイフクリョク</t>
    </rPh>
    <phoneticPr fontId="5"/>
  </si>
  <si>
    <t>4ターン全ユニットの攻撃力50%DOWN</t>
    <rPh sb="4" eb="5">
      <t>ゼンユニットノ</t>
    </rPh>
    <rPh sb="10" eb="12">
      <t>コウゲキ</t>
    </rPh>
    <rPh sb="12" eb="13">
      <t>カイフクリョク</t>
    </rPh>
    <phoneticPr fontId="5"/>
  </si>
  <si>
    <t>解除するまで全ユニットの攻撃力80%DOWN</t>
    <rPh sb="0" eb="2">
      <t>カイジョスルマデ</t>
    </rPh>
    <rPh sb="6" eb="7">
      <t>ゼンユニットノ</t>
    </rPh>
    <rPh sb="12" eb="14">
      <t>コウゲキ</t>
    </rPh>
    <rPh sb="14" eb="15">
      <t>カイフクリョク</t>
    </rPh>
    <phoneticPr fontId="5"/>
  </si>
  <si>
    <t>自身の防御力UP</t>
    <rPh sb="0" eb="2">
      <t>ジシンノ</t>
    </rPh>
    <rPh sb="3" eb="6">
      <t>ボウギョリョク</t>
    </rPh>
    <phoneticPr fontId="5"/>
  </si>
  <si>
    <t>ダメージパネルを吸収して全体攻撃</t>
    <rPh sb="8" eb="10">
      <t>キュウシュウシテ</t>
    </rPh>
    <rPh sb="12" eb="16">
      <t>ゼンタイコウゲキ</t>
    </rPh>
    <phoneticPr fontId="5"/>
  </si>
  <si>
    <t>緑属性に変更</t>
    <rPh sb="0" eb="3">
      <t>ミドリゾクセイニ</t>
    </rPh>
    <rPh sb="4" eb="6">
      <t>ヘンコウ</t>
    </rPh>
    <phoneticPr fontId="5"/>
  </si>
  <si>
    <t>黄パネルを吸収して全体攻撃</t>
    <rPh sb="0" eb="1">
      <t>キイロ</t>
    </rPh>
    <rPh sb="5" eb="7">
      <t>キュウシュウ</t>
    </rPh>
    <rPh sb="9" eb="11">
      <t>ゼンタイ</t>
    </rPh>
    <rPh sb="11" eb="13">
      <t>コウゲキ</t>
    </rPh>
    <phoneticPr fontId="5"/>
  </si>
  <si>
    <t>黄&amp;緑パネルを吸収して全体攻撃</t>
    <rPh sb="0" eb="1">
      <t>キイロ</t>
    </rPh>
    <rPh sb="2" eb="3">
      <t>ミドリ</t>
    </rPh>
    <rPh sb="7" eb="9">
      <t>キュウシュウシテ</t>
    </rPh>
    <rPh sb="11" eb="15">
      <t>ゼンタイコウゲキ</t>
    </rPh>
    <phoneticPr fontId="5"/>
  </si>
  <si>
    <t>緑パネルを吸収して全体攻撃</t>
    <rPh sb="0" eb="1">
      <t>ミドリパネル</t>
    </rPh>
    <rPh sb="5" eb="7">
      <t>キュウシュウシテ</t>
    </rPh>
    <rPh sb="9" eb="13">
      <t>ゼンタイコウゲキ</t>
    </rPh>
    <phoneticPr fontId="5"/>
  </si>
  <si>
    <t>8回連続攻撃</t>
    <phoneticPr fontId="5"/>
  </si>
  <si>
    <t>8回連続攻撃</t>
    <rPh sb="2" eb="6">
      <t>レンゾクコウゲキ</t>
    </rPh>
    <phoneticPr fontId="5"/>
  </si>
  <si>
    <t>8回連続攻撃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</si>
  <si>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</si>
  <si>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</si>
  <si>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</si>
  <si>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</si>
  <si>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</si>
  <si>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1ターン全ユニットの回復力80%DOWN+
単体攻撃</t>
    <rPh sb="4" eb="5">
      <t>ゼンユニットノ</t>
    </rPh>
    <rPh sb="10" eb="13">
      <t>カイフクリョク</t>
    </rPh>
    <rPh sb="22" eb="26">
      <t>タンタイコウゲキ</t>
    </rPh>
    <phoneticPr fontId="5"/>
  </si>
  <si>
    <t>状態異常耐性+
緑パネル無効</t>
    <rPh sb="0" eb="4">
      <t>ジョウタイイジョウ</t>
    </rPh>
    <rPh sb="4" eb="6">
      <t>タイセイ</t>
    </rPh>
    <rPh sb="8" eb="9">
      <t>ミドリパネルムコウ</t>
    </rPh>
    <rPh sb="12" eb="14">
      <t>ムコウ</t>
    </rPh>
    <phoneticPr fontId="5"/>
  </si>
  <si>
    <t>状態異常耐性+
緑属性に変更+黄パネル無効</t>
    <rPh sb="0" eb="4">
      <t>ジョウタイイジョウ</t>
    </rPh>
    <rPh sb="4" eb="6">
      <t>タイセイ</t>
    </rPh>
    <rPh sb="8" eb="11">
      <t>ミドリゾクセイニ</t>
    </rPh>
    <rPh sb="12" eb="14">
      <t>ヘンコウ</t>
    </rPh>
    <rPh sb="15" eb="16">
      <t>キイロ</t>
    </rPh>
    <phoneticPr fontId="5"/>
  </si>
  <si>
    <t>状態異常耐性+
赤属性に変更</t>
    <rPh sb="0" eb="4">
      <t>ジョウタイイジョウ</t>
    </rPh>
    <rPh sb="4" eb="6">
      <t>タイセイ</t>
    </rPh>
    <rPh sb="8" eb="11">
      <t>アカゾクセイニ</t>
    </rPh>
    <rPh sb="12" eb="14">
      <t>ヘンコウ</t>
    </rPh>
    <phoneticPr fontId="5"/>
  </si>
  <si>
    <t>full_member</t>
    <phoneticPr fontId="5"/>
  </si>
  <si>
    <t>null</t>
  </si>
  <si>
    <t>null</t>
    <phoneticPr fontId="5"/>
  </si>
  <si>
    <t>キモネコはタンクネコが守ってるにゃ
タンクネコを倒さないといつまでたっても
キモネコに攻撃が通らないにゃ！</t>
    <rPh sb="11" eb="12">
      <t>マモッテルニャ</t>
    </rPh>
    <rPh sb="24" eb="25">
      <t>タオスト</t>
    </rPh>
    <rPh sb="43" eb="45">
      <t>コウゲキガトオルニャ</t>
    </rPh>
    <phoneticPr fontId="5"/>
  </si>
  <si>
    <t>バトルネコはクリティカル攻撃と
赤パネル無効を使うにゃ！
左右のネコよりも早く倒すと楽かもにゃ！</t>
    <rPh sb="12" eb="14">
      <t>コウゲキト</t>
    </rPh>
    <rPh sb="16" eb="17">
      <t>アカパネル</t>
    </rPh>
    <rPh sb="20" eb="22">
      <t>ムコウ</t>
    </rPh>
    <rPh sb="23" eb="24">
      <t>ツカウニャ</t>
    </rPh>
    <rPh sb="29" eb="31">
      <t>サユウ</t>
    </rPh>
    <rPh sb="37" eb="38">
      <t>ハヤク</t>
    </rPh>
    <rPh sb="39" eb="40">
      <t>タオスト</t>
    </rPh>
    <rPh sb="42" eb="43">
      <t>ラクカモニャ</t>
    </rPh>
    <phoneticPr fontId="5"/>
  </si>
  <si>
    <t>巨神ネコはカウンターを使うにゃ！
今までの巨神ネコのカウンターとは
一味違うらしい…にゃ</t>
    <rPh sb="0" eb="2">
      <t>キョジン</t>
    </rPh>
    <rPh sb="11" eb="12">
      <t>ツカウｎｙ</t>
    </rPh>
    <rPh sb="17" eb="18">
      <t>イママデノ</t>
    </rPh>
    <rPh sb="21" eb="23">
      <t>キョジンネコノ</t>
    </rPh>
    <rPh sb="34" eb="36">
      <t>ヒトアジ</t>
    </rPh>
    <rPh sb="36" eb="37">
      <t>チガウラシイ</t>
    </rPh>
    <phoneticPr fontId="5"/>
  </si>
  <si>
    <t>状態異常耐性+
15ターン全ユニットのCパネル生成延長+
緑&amp;黄パネルプロテクト</t>
    <rPh sb="0" eb="4">
      <t>ジョウタイイジョウ</t>
    </rPh>
    <rPh sb="4" eb="6">
      <t>タイセイ</t>
    </rPh>
    <rPh sb="29" eb="30">
      <t>ミドリ</t>
    </rPh>
    <rPh sb="31" eb="32">
      <t>キイロ</t>
    </rPh>
    <phoneticPr fontId="5"/>
  </si>
  <si>
    <t>null</t>
    <phoneticPr fontId="5"/>
  </si>
  <si>
    <t>狂乱のネコ2ゲージ目は緑と黄パネルを
吸収して攻撃してくるにゃ！
噂では長く戦っていると
良くないことが起こるらしいにゃ！</t>
    <rPh sb="0" eb="2">
      <t>キョウランノネコ</t>
    </rPh>
    <rPh sb="11" eb="12">
      <t>ミドリ</t>
    </rPh>
    <rPh sb="13" eb="14">
      <t>キイロ</t>
    </rPh>
    <rPh sb="19" eb="21">
      <t>キュウシュウシテ</t>
    </rPh>
    <rPh sb="23" eb="25">
      <t>コウゲキシテクル</t>
    </rPh>
    <rPh sb="34" eb="35">
      <t>ウワサデハ</t>
    </rPh>
    <rPh sb="37" eb="38">
      <t>ナガクタタカッテイルト</t>
    </rPh>
    <rPh sb="46" eb="47">
      <t>ヨクナイコトガ</t>
    </rPh>
    <rPh sb="53" eb="54">
      <t>オコル</t>
    </rPh>
    <phoneticPr fontId="5"/>
  </si>
  <si>
    <t>ja</t>
  </si>
  <si>
    <t>呼んでないけど神さまがあらわれた！</t>
  </si>
  <si>
    <t>神のチカラ</t>
  </si>
  <si>
    <t>ネコヴァルキリーはパネルプロテクトが
主体の攻撃をするにゃ！
プロテクトは黄と緑のパネルだけみたいにゃ</t>
    <phoneticPr fontId="5"/>
  </si>
  <si>
    <t>ネコノトリは解除するまで攻撃力DOWNを
使ってくるにゃ！
攻撃力UPのスキルがあると良いにゃ！</t>
    <phoneticPr fontId="5"/>
  </si>
  <si>
    <t>狂乱のネコの3ゲージ目はHPの低下で
予告後に即死攻撃を行うにゃ
削りきる準備が整うまで
減らしすぎないように注意にゃ！</t>
    <phoneticPr fontId="5"/>
  </si>
  <si>
    <t>狂乱のネコ</t>
    <rPh sb="0" eb="2">
      <t>キョウランノネコ</t>
    </rPh>
    <phoneticPr fontId="5"/>
  </si>
  <si>
    <t>にゃんこ達のその後</t>
    <rPh sb="4" eb="5">
      <t>タチノ</t>
    </rPh>
    <phoneticPr fontId="5"/>
  </si>
  <si>
    <t>ブラックマは闇の世界で生きてきた
暗殺熊にゃ！
不況で殺しの依頼も少なくなったけど
今回は誰に依頼されたのかにゃ？</t>
    <phoneticPr fontId="5"/>
  </si>
  <si>
    <t>ブラックマ</t>
    <phoneticPr fontId="5"/>
  </si>
  <si>
    <t>ネコが暗黒憑依されて狂乱化したにゃ！
ネコよりも強い速いがウリにゃ
覚醒した腕で攻撃しないのは
チャームポイントだからにゃ！</t>
    <phoneticPr fontId="5"/>
  </si>
  <si>
    <t>みんなの活躍で殆どのネコ達は
自分達の世界へ帰ったにゃ！
一部はALICEが気に入ったのか
皆の力になってくれるようにゃ！</t>
    <phoneticPr fontId="5"/>
  </si>
  <si>
    <t>狂気の眼光</t>
  </si>
  <si>
    <t>溢れ出る漆黒のオーラ</t>
  </si>
  <si>
    <t>漆黒のオーラ</t>
  </si>
  <si>
    <t>ダブルかみつきにゃ！</t>
  </si>
  <si>
    <t>ここまでやるとはにゃ</t>
  </si>
  <si>
    <t>連続かみつきにゃ！</t>
  </si>
  <si>
    <t>おやすみにゃ！</t>
  </si>
  <si>
    <t>とどめにゃ！</t>
  </si>
  <si>
    <t>この戦い…結構楽しかったにゃ！</t>
  </si>
  <si>
    <t>また来ると良いにゃ！</t>
  </si>
  <si>
    <t>ネコヴァルキリーと神さま</t>
    <rPh sb="9" eb="10">
      <t>カミサマ</t>
    </rPh>
    <phoneticPr fontId="5"/>
  </si>
  <si>
    <t>ネコヴァルキリーは神さまから
言い寄られてるにゃ！
今回ネコヴァルキリーを見つけられず
どこかで神の怒りを使ったそうにゃ！</t>
    <phoneticPr fontId="5"/>
  </si>
  <si>
    <t>クリティカル！</t>
    <phoneticPr fontId="5"/>
  </si>
  <si>
    <t>クリティカル！</t>
    <phoneticPr fontId="5"/>
  </si>
  <si>
    <t>1ターン全ユニットにスキルバインド+
単体攻撃</t>
    <rPh sb="19" eb="23">
      <t>タンタイコウゲキ</t>
    </rPh>
    <phoneticPr fontId="5"/>
  </si>
  <si>
    <t>1ターン全ユニットにスキルバインド+
単体攻撃</t>
    <rPh sb="4" eb="5">
      <t>ゼンユニットニ</t>
    </rPh>
    <rPh sb="19" eb="23">
      <t>タンタイコウゲキ</t>
    </rPh>
    <phoneticPr fontId="5"/>
  </si>
  <si>
    <t>ランダムでお邪魔パネルに最大5個変換</t>
    <rPh sb="12" eb="14">
      <t>サイダイ</t>
    </rPh>
    <rPh sb="16" eb="18">
      <t>ヘンカン</t>
    </rPh>
    <phoneticPr fontId="5"/>
  </si>
  <si>
    <t>青パネルを緑のダメージパネルに最大3個変換+
全体攻撃</t>
    <rPh sb="0" eb="1">
      <t>アオパネルヲ</t>
    </rPh>
    <rPh sb="5" eb="6">
      <t>ミドリノダメージパネルニ</t>
    </rPh>
    <rPh sb="15" eb="17">
      <t>サイダイ</t>
    </rPh>
    <rPh sb="19" eb="21">
      <t>ヘンカン</t>
    </rPh>
    <rPh sb="23" eb="27">
      <t>ゼンタイコウゲキ</t>
    </rPh>
    <phoneticPr fontId="5"/>
  </si>
  <si>
    <t>青パネルを赤のダメージパネルに最大3個変換+
全体攻撃</t>
    <rPh sb="0" eb="1">
      <t>アオパネルヲ</t>
    </rPh>
    <rPh sb="5" eb="6">
      <t>アカ</t>
    </rPh>
    <rPh sb="15" eb="17">
      <t>サイダイ</t>
    </rPh>
    <rPh sb="19" eb="21">
      <t>ヘンカン</t>
    </rPh>
    <rPh sb="23" eb="27">
      <t>ゼンタイコウゲキ</t>
    </rPh>
    <phoneticPr fontId="5"/>
  </si>
  <si>
    <t>青パネルを緑のダメージパネルに最大4個変換+
全体攻撃</t>
    <rPh sb="0" eb="1">
      <t>アオパネルヲ</t>
    </rPh>
    <rPh sb="5" eb="6">
      <t>ミドリノダメージパネルニ</t>
    </rPh>
    <rPh sb="15" eb="17">
      <t>サイダイ</t>
    </rPh>
    <rPh sb="19" eb="21">
      <t>ヘンカン</t>
    </rPh>
    <rPh sb="23" eb="27">
      <t>ゼンタイコウゲキ</t>
    </rPh>
    <phoneticPr fontId="5"/>
  </si>
  <si>
    <t>青パネルを赤のダメージパネルに最大5個変換+
全体攻撃</t>
    <rPh sb="0" eb="1">
      <t>アオパネルヲ</t>
    </rPh>
    <rPh sb="5" eb="6">
      <t>アカ</t>
    </rPh>
    <rPh sb="15" eb="17">
      <t>サイダイ</t>
    </rPh>
    <rPh sb="19" eb="21">
      <t>ヘンカン</t>
    </rPh>
    <rPh sb="23" eb="27">
      <t>ゼンタイコウゲキ</t>
    </rPh>
    <phoneticPr fontId="5"/>
  </si>
  <si>
    <t>ランダムで先頭ユニットのSCパネルに最大5個変換</t>
    <phoneticPr fontId="5"/>
  </si>
  <si>
    <t>【！】次のターン超強力な連続攻撃【！】</t>
  </si>
  <si>
    <t>【！】次のターン超強力な連続攻撃【！】</t>
    <rPh sb="3" eb="4">
      <t>ツギノターン</t>
    </rPh>
    <rPh sb="8" eb="11">
      <t>チョウキョウリョクナ</t>
    </rPh>
    <rPh sb="12" eb="14">
      <t>レンゾク</t>
    </rPh>
    <rPh sb="14" eb="16">
      <t>ソクシコウゲキ</t>
    </rPh>
    <phoneticPr fontId="5"/>
  </si>
  <si>
    <t>【！】次のターン超強力な連続攻撃【！】</t>
    <rPh sb="3" eb="4">
      <t>ツギノターン</t>
    </rPh>
    <rPh sb="8" eb="11">
      <t>チョウキョウリョクナ</t>
    </rPh>
    <rPh sb="12" eb="14">
      <t>レンゾク</t>
    </rPh>
    <rPh sb="14" eb="16">
      <t>コウゲキ</t>
    </rPh>
    <phoneticPr fontId="5"/>
  </si>
  <si>
    <t>【！】次のターン超強力な連続攻撃【！】</t>
    <phoneticPr fontId="5"/>
  </si>
  <si>
    <t>ネコヴァルキリー</t>
    <phoneticPr fontId="5"/>
  </si>
  <si>
    <t>ネコムート</t>
    <phoneticPr fontId="5"/>
  </si>
  <si>
    <t>狂乱1</t>
    <rPh sb="0" eb="2">
      <t>キョウラン</t>
    </rPh>
    <phoneticPr fontId="5"/>
  </si>
  <si>
    <t>狂乱3</t>
    <rPh sb="0" eb="2">
      <t>キョウラン</t>
    </rPh>
    <phoneticPr fontId="5"/>
  </si>
  <si>
    <t>かみつく</t>
    <phoneticPr fontId="5"/>
  </si>
  <si>
    <t>種族Unknownのユニットに
大ダメージの全体攻撃</t>
    <rPh sb="0" eb="2">
      <t>シュゾク</t>
    </rPh>
    <rPh sb="16" eb="17">
      <t>ダイダメージ</t>
    </rPh>
    <rPh sb="22" eb="26">
      <t>ゼンタイコウゲキ</t>
    </rPh>
    <phoneticPr fontId="5"/>
  </si>
  <si>
    <t>しなる触腕</t>
    <rPh sb="3" eb="5">
      <t>ショクワン</t>
    </rPh>
    <phoneticPr fontId="5"/>
  </si>
  <si>
    <t>無防備に突っ込んでくる</t>
    <rPh sb="0" eb="3">
      <t>ムボウビニ</t>
    </rPh>
    <rPh sb="4" eb="5">
      <t>ツッコンデクル</t>
    </rPh>
    <phoneticPr fontId="5"/>
  </si>
  <si>
    <t>キモネコの防御力激烈UP</t>
    <rPh sb="5" eb="8">
      <t>ボウギョリョク</t>
    </rPh>
    <rPh sb="8" eb="10">
      <t>ゲキレツ</t>
    </rPh>
    <phoneticPr fontId="5"/>
  </si>
  <si>
    <t>高速頭突き</t>
    <rPh sb="0" eb="2">
      <t>コウソク</t>
    </rPh>
    <rPh sb="2" eb="4">
      <t>ズツキ</t>
    </rPh>
    <phoneticPr fontId="5"/>
  </si>
  <si>
    <t>グリーン・チャーム</t>
    <phoneticPr fontId="5"/>
  </si>
  <si>
    <t>ニャングリル・アイズ</t>
    <phoneticPr fontId="5"/>
  </si>
  <si>
    <t>イエロー・チャーム</t>
    <phoneticPr fontId="5"/>
  </si>
  <si>
    <t>テンション・コントロール</t>
    <phoneticPr fontId="5"/>
  </si>
  <si>
    <t>不思議なダンス</t>
    <rPh sb="0" eb="3">
      <t>フシギナダンス</t>
    </rPh>
    <phoneticPr fontId="5"/>
  </si>
  <si>
    <t>魅惑のダンス</t>
    <rPh sb="0" eb="2">
      <t>ミワクノダンス</t>
    </rPh>
    <phoneticPr fontId="5"/>
  </si>
  <si>
    <t>体当たり</t>
    <rPh sb="0" eb="2">
      <t>タイアタリ</t>
    </rPh>
    <phoneticPr fontId="5"/>
  </si>
  <si>
    <t>防御の構え</t>
    <rPh sb="0" eb="2">
      <t>ボウギョノ</t>
    </rPh>
    <rPh sb="3" eb="4">
      <t>カマエ</t>
    </rPh>
    <phoneticPr fontId="5"/>
  </si>
  <si>
    <t>豪腕の鉄槌</t>
    <rPh sb="0" eb="2">
      <t>ゴウワンノ</t>
    </rPh>
    <rPh sb="3" eb="5">
      <t>テッツイ</t>
    </rPh>
    <phoneticPr fontId="5"/>
  </si>
  <si>
    <t>荒ぶる咆哮</t>
    <rPh sb="0" eb="1">
      <t>アラブルホウコク</t>
    </rPh>
    <rPh sb="3" eb="5">
      <t>ホウコウ</t>
    </rPh>
    <phoneticPr fontId="5"/>
  </si>
  <si>
    <t>強靭な巨体</t>
    <rPh sb="0" eb="2">
      <t>キョウジンナニクタイ</t>
    </rPh>
    <rPh sb="3" eb="5">
      <t>キョタイ</t>
    </rPh>
    <phoneticPr fontId="5"/>
  </si>
  <si>
    <t>グリーンメテオ</t>
  </si>
  <si>
    <t>グリーンメテオ</t>
    <phoneticPr fontId="5"/>
  </si>
  <si>
    <t>レッドメテオ</t>
  </si>
  <si>
    <t>レッドメテオ</t>
    <phoneticPr fontId="5"/>
  </si>
  <si>
    <t>フォースブラスター</t>
    <phoneticPr fontId="5"/>
  </si>
  <si>
    <t>オールレンジデストロイ</t>
    <phoneticPr fontId="5"/>
  </si>
  <si>
    <t>『呼んだ？ボク、神さまだけど。』</t>
    <phoneticPr fontId="5"/>
  </si>
  <si>
    <t>まずは小手調べにゃ…</t>
    <phoneticPr fontId="5"/>
  </si>
  <si>
    <t>闇に飲まれるにゃ…</t>
    <phoneticPr fontId="5"/>
  </si>
  <si>
    <t>力を削ぐにゃ…</t>
    <phoneticPr fontId="5"/>
  </si>
  <si>
    <t>狂気の眼光</t>
    <rPh sb="0" eb="2">
      <t>キョウキ</t>
    </rPh>
    <rPh sb="3" eb="5">
      <t>ガンコウ</t>
    </rPh>
    <phoneticPr fontId="5"/>
  </si>
  <si>
    <t>これは耐えられるかにゃ…？</t>
    <phoneticPr fontId="5"/>
  </si>
  <si>
    <t>闇に飲まれるにゃ…</t>
    <phoneticPr fontId="5"/>
  </si>
  <si>
    <t>お前も狂気に染まるにゃ…</t>
    <phoneticPr fontId="5"/>
  </si>
  <si>
    <t>ここに来るのは
まだ早かったようにゃ…</t>
    <phoneticPr fontId="5"/>
  </si>
  <si>
    <t>出直して来るにゃ…</t>
    <phoneticPr fontId="5"/>
  </si>
  <si>
    <t>なかなかやるにゃ…</t>
    <phoneticPr fontId="5"/>
  </si>
  <si>
    <t>輝きは苦手にゃ！</t>
    <rPh sb="0" eb="1">
      <t>カガヤキハ</t>
    </rPh>
    <rPh sb="3" eb="5">
      <t>ニガテ</t>
    </rPh>
    <phoneticPr fontId="5"/>
  </si>
  <si>
    <t>マタタビは良いものにゃ…</t>
    <phoneticPr fontId="5"/>
  </si>
  <si>
    <t>闇に飲まれるにゃ…</t>
    <rPh sb="0" eb="1">
      <t>ヤミニ</t>
    </rPh>
    <rPh sb="2" eb="3">
      <t>ノマレルニャ</t>
    </rPh>
    <phoneticPr fontId="5"/>
  </si>
  <si>
    <t>これならどうにゃ…！</t>
    <phoneticPr fontId="5"/>
  </si>
  <si>
    <t>良くここまで頑張ったにゃ…</t>
    <phoneticPr fontId="5"/>
  </si>
  <si>
    <t>真の姿に震えるにゃ…！</t>
    <phoneticPr fontId="5"/>
  </si>
  <si>
    <t>狂気が…抜けていくにゃ…</t>
    <rPh sb="0" eb="2">
      <t>キョウキガ</t>
    </rPh>
    <rPh sb="4" eb="5">
      <t>ヌケテ</t>
    </rPh>
    <phoneticPr fontId="5"/>
  </si>
  <si>
    <t>目潰しにゃ…！</t>
    <rPh sb="0" eb="2">
      <t>メツブシ</t>
    </rPh>
    <phoneticPr fontId="5"/>
  </si>
  <si>
    <t>かみつきにゃ…！</t>
    <phoneticPr fontId="5"/>
  </si>
  <si>
    <t>[effect:enemy_message, val1:1.8, val2:1.9]</t>
  </si>
  <si>
    <t>[effect:enemy_message, val1:1.2, val2:1.2],[effect:rush, count:8, val:3]</t>
  </si>
  <si>
    <t>[effect:enemy_message, val1:1.2, val2:1.3],[effect:break_attack_fix, target:unit_all, val:100, lowest_val:2500, count:-1, color:green, block01:block_yellow]</t>
  </si>
  <si>
    <t>[effect:enemy_message, val1:1.2, val2:1.3],[effect:break_attack_fix, target:unit_all, val:100, lowest_val:2500, count:-1, color:green, block01:block_green]</t>
  </si>
  <si>
    <t>[effect:enemy_message, val1:1.2, val2:1.5],[effect:break_attack_fix, target:unit_all, val:100, lowest_val:2500, count:-1, color:green, block01:block_yellow, block02:block_green]</t>
  </si>
  <si>
    <t>[effect:enemy_message, val1:1.3, val2:1.9]</t>
  </si>
  <si>
    <t>[effect:enemy_message, val1:1.2, val2:1.2],[effect:dark, target:unit_all, turn:2, animation:enemy_dark]</t>
  </si>
  <si>
    <t>[effect:enemy_message, val1:1.2, val2:1.3],[effect:break_attack_fix, target:unit_all, val:60, lowest_val:4000, count:-1, color:red, block01:block_yellow]</t>
  </si>
  <si>
    <t>[effect:enemy_message, val1:1.2, val2:1.3],[effect:break_attack_fix, target:unit_all, val:60, lowest_val:4000, count:-1, color:red, block01:block_green]</t>
  </si>
  <si>
    <t>[effect:enemy_message, val1:1.2, val2:1.5],[effect:break_attack_fix, target:unit_all, val:40, lowest_val:4000, count:-1, color:red, block01:block_yellow, block02:block_green]</t>
  </si>
  <si>
    <t>[effect:enemy_message, val1:1.2, val2:1.2],[effect:dark, target:unit_all, turn:1, animation:enemy_dark]</t>
  </si>
  <si>
    <t>[effect:enemy_message, val1:1.5, val2:1.9]</t>
  </si>
  <si>
    <t>[effect:enemy_message, val1:1.2, val2:1.2],[effect:fix_speed, target:myself, turn:2],[effect:critical, val:1.1, animation:enemy_critical]</t>
  </si>
  <si>
    <t>[effect:enemy_message, val1:1.2, val2:2.5],[effect:fix_speed, target:myself, turn:2],[effect:damage_anti_tribe, target:unit_all, tribe:unknown, val1:0.5, val2:0.25]</t>
  </si>
  <si>
    <t>[effect:enemy_message, val1:1.2, val2:1.2],[effect:guard_break, target:myself, turn:-1, val:1, calc:add, animation:guard_break01]</t>
  </si>
  <si>
    <t>[effect:enemy_message, val1:1.2, val2:1.2],[effect:spread, val:0.25]</t>
  </si>
  <si>
    <t>[effect:enemy_message, val1:1.2, val2:2.0],[effect:panel_freeze, target:normal, color:block_green, count:5],[effect:rush, count:1, val:1]</t>
  </si>
  <si>
    <t>[effect:enemy_message, val1:1.2, val2:2.2],[effect:hungup, target:unit_all, turn:1, rate:1, animation:hungup01],[effect:rush, count:1, val:1]</t>
  </si>
  <si>
    <t>[effect:enemy_message, val1:1.2, val2:2.0],[effect:panel_freeze, target:normal, color:block_yellow, count:5],[effect:rush, count:1, val:1]</t>
  </si>
  <si>
    <t>[effect:enemy_message, val1:1.2, val2:2.5],[effect:degrade_unit, target:unit_all, turn:1, status:heal, val:0.8, calc:mul, animation:degrade_unit_all_heal],[effect:rush, count:1, val:1]</t>
  </si>
  <si>
    <t>[effect:enemy_message, val1:1.2, val2:2.0],[effect:fix_speed, target:myself, turn:2],[effect:degrade_unit, target:unit_all, turn:4, status:heal, val:0.5, calc:mul, animation:degrade_unit_all_heal]</t>
  </si>
  <si>
    <t>[effect:enemy_message, val1:1.2, val2:2.0],[effect:degrade_unit, target:unit_all, turn:4, status:heal, val:0.5, calc:mul, animation:degrade_unit_all_heal]</t>
  </si>
  <si>
    <t>[effect:enemy_message, val1:1.2, val2:1.8],[effect:force_change_block, new_block:jammer, target:block_all, ignore01:crash, ignore02:crack_bomb, ignore03:color_break, ignore04:magnet, ignore05:jammer, count:5, val:0, animation:change_block]</t>
  </si>
  <si>
    <t>[effect:enemy_message, val1:1.2, val2:2.6],[effect:force_change_block, new_block:damage, target:block_blue, ignore01:crash, ignore02:crack_bomb, ignore03:color_break, ignore04:magnet, ignore05:damage, color:block_green, count:3, val:0.2, animation:change_block],[effect:spread, val:0.25]</t>
  </si>
  <si>
    <t>[effect:enemy_message, val1:1.2, val2:2.6],[effect:force_change_block, new_block:damage, target:block_blue, ignore01:crash, ignore02:crack_bomb, ignore03:color_break, ignore04:magnet, ignore05:damage, color:block_red, count:3, val:0.2, animation:change_block],[effect:spread, val:0.25]</t>
  </si>
  <si>
    <t>[effect:enemy_message, val1:1.2, val2:2.6],[effect:force_change_block, new_block:damage, target:block_blue, ignore01:crash, ignore02:crack_bomb, ignore03:color_break, ignore04:magnet, ignore05:damage, color:block_green, count:4, val:0.2, animation:change_block],[effect:spread, val:0.25]</t>
  </si>
  <si>
    <t>[effect:enemy_message, val1:1.2, val2:2.6],[effect:force_change_block, new_block:damage, target:block_blue, ignore01:crash, ignore02:crack_bomb, ignore03:color_break, ignore04:magnet, ignore05:damage, color:block_red, count:5, val:0.2, animation:change_block],[effect:spread, val:0.25]</t>
  </si>
  <si>
    <t>[effect:enemy_message, val1:1.2, val2:1.9],[effect:charge, status:attack, val:1]</t>
  </si>
  <si>
    <t>人生どうなるか分からないものにゃ</t>
    <phoneticPr fontId="5"/>
  </si>
  <si>
    <t>状態異常耐性+
確率で赤パネルを青パネル変換してドロップ</t>
    <rPh sb="0" eb="4">
      <t>ジョウタイイジョウ</t>
    </rPh>
    <rPh sb="4" eb="6">
      <t>タイセイ</t>
    </rPh>
    <rPh sb="8" eb="10">
      <t>テイカクリツデ</t>
    </rPh>
    <rPh sb="11" eb="12">
      <t>アカパネルヲ</t>
    </rPh>
    <rPh sb="16" eb="17">
      <t>アオパネル</t>
    </rPh>
    <rPh sb="20" eb="22">
      <t>ヘンカンシテ</t>
    </rPh>
    <phoneticPr fontId="5"/>
  </si>
  <si>
    <t>漆黒のオーラ</t>
    <phoneticPr fontId="5"/>
  </si>
  <si>
    <t>かみつきにゃ…！</t>
    <phoneticPr fontId="5"/>
  </si>
  <si>
    <t>目潰しにゃ…！</t>
    <rPh sb="0" eb="2">
      <t>メツブシニャ</t>
    </rPh>
    <phoneticPr fontId="5"/>
  </si>
  <si>
    <t>まだ…まだ終わりじゃないにゃ！</t>
    <phoneticPr fontId="5"/>
  </si>
  <si>
    <t>苦しくなってきたかにゃ…？</t>
    <phoneticPr fontId="5"/>
  </si>
  <si>
    <t>これで終わりにゃ…！</t>
    <phoneticPr fontId="5"/>
  </si>
  <si>
    <t>我輩は狂乱のネコ…
誰も我輩を止められんにゃ…</t>
    <phoneticPr fontId="5"/>
  </si>
  <si>
    <t>萌え萌えナースめ…
お前も狂気に飲まれるにゃ…</t>
    <phoneticPr fontId="5"/>
  </si>
  <si>
    <t>フォースブラスター</t>
    <phoneticPr fontId="5"/>
  </si>
  <si>
    <t>危険な力を感知した…
お前の力がそれに足るか試してやろう</t>
    <phoneticPr fontId="5"/>
  </si>
  <si>
    <t>もう遅い…全てが飲み込まれる…</t>
    <phoneticPr fontId="5"/>
  </si>
  <si>
    <t>砦は悠然と佇んでいる</t>
    <rPh sb="0" eb="1">
      <t>トリデハ</t>
    </rPh>
    <rPh sb="2" eb="4">
      <t>ユウゼント</t>
    </rPh>
    <rPh sb="5" eb="6">
      <t>タタズンデイル</t>
    </rPh>
    <phoneticPr fontId="5"/>
  </si>
  <si>
    <t>確率</t>
    <rPh sb="0" eb="2">
      <t>カクリツ</t>
    </rPh>
    <phoneticPr fontId="5"/>
  </si>
  <si>
    <t>通常</t>
    <rPh sb="0" eb="2">
      <t>ツウジョウ</t>
    </rPh>
    <phoneticPr fontId="5"/>
  </si>
  <si>
    <t>開幕</t>
    <rPh sb="0" eb="2">
      <t>カイマク</t>
    </rPh>
    <phoneticPr fontId="5"/>
  </si>
  <si>
    <t>優先度高</t>
    <rPh sb="0" eb="3">
      <t>ユウセンド</t>
    </rPh>
    <rPh sb="3" eb="4">
      <t>コウ</t>
    </rPh>
    <phoneticPr fontId="5"/>
  </si>
  <si>
    <t>優先度中</t>
    <rPh sb="0" eb="3">
      <t>ユウセンド</t>
    </rPh>
    <rPh sb="3" eb="4">
      <t>チュウ</t>
    </rPh>
    <phoneticPr fontId="5"/>
  </si>
  <si>
    <t>優先度低</t>
    <rPh sb="0" eb="3">
      <t>ユウセンド</t>
    </rPh>
    <rPh sb="3" eb="4">
      <t>テイ</t>
    </rPh>
    <phoneticPr fontId="5"/>
  </si>
  <si>
    <t>ターン</t>
    <phoneticPr fontId="5"/>
  </si>
  <si>
    <t>10ターン経過</t>
    <rPh sb="5" eb="7">
      <t>ケイカ</t>
    </rPh>
    <phoneticPr fontId="5"/>
  </si>
  <si>
    <t>即死</t>
    <rPh sb="0" eb="2">
      <t>ソクシ</t>
    </rPh>
    <phoneticPr fontId="5"/>
  </si>
  <si>
    <t>9ターン経過</t>
    <rPh sb="4" eb="6">
      <t>ケイカ</t>
    </rPh>
    <phoneticPr fontId="5"/>
  </si>
  <si>
    <t>即死予告</t>
    <rPh sb="0" eb="4">
      <t>ソクシヨコク</t>
    </rPh>
    <phoneticPr fontId="5"/>
  </si>
  <si>
    <t>バトルネコ</t>
    <phoneticPr fontId="5"/>
  </si>
  <si>
    <t>死亡時セリフ</t>
    <rPh sb="2" eb="3">
      <t>ジ</t>
    </rPh>
    <phoneticPr fontId="5"/>
  </si>
  <si>
    <t>[effect:enemy_message, val1:1.2, val2:1.6],[effect:break_attack_fix, target:unit_all, val:500, lowest_val:1000, count:-1, color:blue, block01:damage]</t>
  </si>
  <si>
    <t>2ターン全ユニットに暗闇+
全体攻撃</t>
    <rPh sb="4" eb="5">
      <t>ゼンユニットニ</t>
    </rPh>
    <rPh sb="10" eb="12">
      <t>クラヤミ</t>
    </rPh>
    <rPh sb="14" eb="18">
      <t>ゼンタイコウゲキ</t>
    </rPh>
    <phoneticPr fontId="5"/>
  </si>
  <si>
    <t>2ターン全ユニットにスキルバインド+
全体攻撃</t>
    <rPh sb="4" eb="5">
      <t>ゼンユニットニ</t>
    </rPh>
    <rPh sb="19" eb="23">
      <t>ゼンタイコウゲキ</t>
    </rPh>
    <phoneticPr fontId="5"/>
  </si>
  <si>
    <t>2ターン全ユニットにスキルバインド+
全体攻撃</t>
    <rPh sb="4" eb="5">
      <t>ゼンユニットニ</t>
    </rPh>
    <phoneticPr fontId="5"/>
  </si>
  <si>
    <t>2ターン全ユニットに暗闇</t>
    <rPh sb="4" eb="5">
      <t>ゼンユニットニ</t>
    </rPh>
    <rPh sb="10" eb="12">
      <t>クラヤミ</t>
    </rPh>
    <phoneticPr fontId="5"/>
  </si>
  <si>
    <t>1ターン全ユニットにスキルバインド</t>
    <rPh sb="4" eb="5">
      <t>ゼンユニットニ</t>
    </rPh>
    <phoneticPr fontId="5"/>
  </si>
  <si>
    <t>1ターン全ユニットに暗闇</t>
    <rPh sb="4" eb="5">
      <t>ゼンユニットニ</t>
    </rPh>
    <rPh sb="10" eb="12">
      <t>クラヤミ</t>
    </rPh>
    <phoneticPr fontId="5"/>
  </si>
  <si>
    <t>[effect:enemy_message, val1:1.2, val2:2.0],[effect:attack_break, target:unit_all, turn:4, val:0.5, calc:mul, animation:attack_break01]</t>
  </si>
  <si>
    <t>[effect:enemy_message, val1:1.2, val2:2.2],[effect:attack_break, target:unit_all, turn:-1, val:0.8, calc:mul, animation:attack_break01]</t>
  </si>
  <si>
    <t>[effect:enemy_message, val1:1.2, val2:1.2],[effect:fix_speed, target:myself, turn:2],[effect:enhance_enemy, target:myself, turn:-1, status:defense, val:2000, calc:add, animation:enemy_enhance_defense]</t>
  </si>
  <si>
    <t>[effect:enemy_message, val1:1.2, val2:2.4],[effect:force_change_block, new_block:crash, target:block_all, ignore01:crash, ignore02:crack_bomb, ignore03:color_break, ignore04:magnet, count:5, val:12],[effect:suicide, val:1, dead_type:escape, target:myself]</t>
  </si>
  <si>
    <t>[effect:enemy_message, val1:1.2, val2:1.7],[effect:dark, target:unit_all, turn:2, animation:enemy_dark],[effect:spread, val:0.25]</t>
  </si>
  <si>
    <t>[effect:enemy_message, val1:1.2, val2:1.7],[effect:hungup, target:unit_all, turn:1, rate:1, animation:hungup01]</t>
  </si>
  <si>
    <t>[effect:enemy_message, val1:1.2, val2:1.3],[effect:break_attack_fix, target:unit_all, val:60, lowest_val:4000, count:-1, color:green, block01:block_yellow]</t>
  </si>
  <si>
    <t>[effect:enemy_message, val1:1.2, val2:1.3],[effect:break_attack_fix, target:unit_all, val:60, lowest_val:4000, count:-1, color:green, block01:block_green]</t>
  </si>
  <si>
    <t>[effect:enemy_message, val1:1.2, val2:1.5],[effect:break_attack_fix, target:unit_all, val:40, lowest_val:4000, count:-1, color:green, block01:block_yellow, block02:block_green]</t>
  </si>
  <si>
    <t>[effect:enemy_message, val1:1.2, val2:1.8],[effect:hungup, target:unit_one, turn:2, rate:1, animation:hungup01]</t>
  </si>
  <si>
    <t>[effect:enemy_message, val1:1.2, val2:1.2],[effect:spread, val:0.3]</t>
  </si>
  <si>
    <t>[effect:enemy_message, val1:1.2, val2:1.9]</t>
  </si>
  <si>
    <t>[effect:enemy_message, val1:1.2, val2:1.2],[effect:spread, val:8]</t>
  </si>
  <si>
    <t>[effect:enemy_message, val1:1.9, val2:1.5, dead_type:suicide]</t>
  </si>
  <si>
    <t>表示しない</t>
    <rPh sb="0" eb="2">
      <t>ヒョウジナシ</t>
    </rPh>
    <phoneticPr fontId="5"/>
  </si>
  <si>
    <t>[effect:enemy_message, val1:1.5, val2:0.0, dead_type:suicide]</t>
  </si>
  <si>
    <t>次で終わりにする…</t>
    <rPh sb="0" eb="1">
      <t>ツギデ</t>
    </rPh>
    <rPh sb="2" eb="3">
      <t>オワリ</t>
    </rPh>
    <phoneticPr fontId="5"/>
  </si>
  <si>
    <t>この先はとても危険です…</t>
    <rPh sb="7" eb="9">
      <t>キケンデス</t>
    </rPh>
    <phoneticPr fontId="5"/>
  </si>
  <si>
    <t>あなた達で…狂乱のネコを止めるというの？</t>
    <rPh sb="3" eb="4">
      <t>タチ</t>
    </rPh>
    <phoneticPr fontId="5"/>
  </si>
  <si>
    <t>表示しない</t>
  </si>
  <si>
    <t>表示しない</t>
    <rPh sb="0" eb="2">
      <t>ヒョウジシナイ</t>
    </rPh>
    <phoneticPr fontId="5"/>
  </si>
  <si>
    <t>[effect:enemy_message, val1:2.0, val2:0.0, dead_type:suicide]</t>
  </si>
  <si>
    <t>[effect:enemy_message, val1:1.2, val2:3.8],[effect:fix_speed, target:myself, turn:1],[effect:tolerance, target:myself, turn:-1, count:-1, tolerance_effect:all, animation:enemy_tolerance],[effect:crash_condition, target:unit_all, turn:15, val:4, animation:enemy_crash_extend],[effect:panel_freeze, target:normal, color:block_green, count:-1],[effect:panel_freeze, target:normal, color:block_yellow, count:-1]</t>
  </si>
  <si>
    <t>コラボユニット以外</t>
  </si>
  <si>
    <t>コラボユニット以外</t>
    <rPh sb="7" eb="9">
      <t>イガイ</t>
    </rPh>
    <phoneticPr fontId="5"/>
  </si>
  <si>
    <t>コラボユニット以外</t>
    <phoneticPr fontId="5"/>
  </si>
  <si>
    <t>撃破セリフ（キャットマン系統あり）</t>
  </si>
  <si>
    <t>撃破セリフ（メガロディーテ系統あり）</t>
  </si>
  <si>
    <t>撃破セリフ（サンディア系統あり）</t>
  </si>
  <si>
    <t>撃破セリフ（ネコエステ系統あり）</t>
  </si>
  <si>
    <t>撃破セリフ（ネコヴァルキリー系統あり）</t>
  </si>
  <si>
    <t>撃破セリフ（ネコムート系統あり）</t>
  </si>
  <si>
    <t>撃破セリフ（ねこナース系統あり）</t>
  </si>
  <si>
    <t>そのヒーローの力で…
狂乱のネコを止めるというの？</t>
    <phoneticPr fontId="5"/>
  </si>
  <si>
    <t>あなたの黄金の弓で…
狂乱のネコを止めるというの？</t>
    <phoneticPr fontId="5"/>
  </si>
  <si>
    <t>圧倒的な雷神の力で…
狂乱のネコを止めるというの？</t>
    <phoneticPr fontId="5"/>
  </si>
  <si>
    <t>その力で…狂乱のネコを止めるというの？</t>
    <phoneticPr fontId="5"/>
  </si>
  <si>
    <t>まさか…狂乱のネコを止めるというの？</t>
    <phoneticPr fontId="5"/>
  </si>
  <si>
    <t>まさか超古代兵器の力で…
狂乱のネコを止めるというの？</t>
    <phoneticPr fontId="5"/>
  </si>
  <si>
    <t>その癒しの力で…
狂乱のネコを止めるというの？</t>
    <phoneticPr fontId="5"/>
  </si>
  <si>
    <t>開幕セリフ（キャットマン系統あり）</t>
  </si>
  <si>
    <t>開幕セリフ（メガロディーテ系統あり）</t>
  </si>
  <si>
    <t>開幕セリフ（サンディア系統あり）</t>
  </si>
  <si>
    <t>開幕セリフ（ネコエステ系統あり）</t>
  </si>
  <si>
    <t>開幕セリフ（ネコヴァルキリー系統あり）</t>
  </si>
  <si>
    <t>開幕セリフ（ネコムート系統あり）</t>
  </si>
  <si>
    <t>開幕セリフ（ねこナース系統あり）</t>
  </si>
  <si>
    <t>現状全ユニット共通</t>
    <rPh sb="0" eb="2">
      <t>ゲンジョウ</t>
    </rPh>
    <rPh sb="2" eb="3">
      <t>ゼンユニット</t>
    </rPh>
    <rPh sb="7" eb="9">
      <t>キョウツウ</t>
    </rPh>
    <phoneticPr fontId="5"/>
  </si>
  <si>
    <t>狂気が…抜けていくにゃ…</t>
    <phoneticPr fontId="5"/>
  </si>
  <si>
    <t>闇に生きる怪人め…
お前も狂気に飲みこんでやるにゃ…</t>
    <phoneticPr fontId="5"/>
  </si>
  <si>
    <t>美女神だと…
その美貌も狂気に飲みこんでやるにゃ…</t>
    <phoneticPr fontId="5"/>
  </si>
  <si>
    <t>雷神の乙女よ…
お前も狂気に飲まれるにゃ…</t>
    <phoneticPr fontId="5"/>
  </si>
  <si>
    <t>その見た目、お前自身が狂気にゃ…</t>
    <phoneticPr fontId="5"/>
  </si>
  <si>
    <t>戦女神め…お前も狂気に飲まれるにゃ…</t>
    <phoneticPr fontId="5"/>
  </si>
  <si>
    <t>きぐるみごときが…
お前も狂気に飲まれるにゃ…</t>
    <phoneticPr fontId="5"/>
  </si>
  <si>
    <t>闇に生きる…狂気よりも断然かっこいいにゃ！</t>
    <phoneticPr fontId="5"/>
  </si>
  <si>
    <t>やっぱり女神様は美しいにゃ！</t>
    <phoneticPr fontId="5"/>
  </si>
  <si>
    <t>ビリビリするにゃ…これが恋なのかにゃ！</t>
    <phoneticPr fontId="5"/>
  </si>
  <si>
    <t>魅惑のボディがうらやましいにゃ！</t>
    <phoneticPr fontId="5"/>
  </si>
  <si>
    <t>神秘的な魅力にメロメロにゃ！</t>
    <phoneticPr fontId="5"/>
  </si>
  <si>
    <t>きぐるみでも強いとはさすがにゃ！</t>
    <phoneticPr fontId="5"/>
  </si>
  <si>
    <t>強くてかわいいにゃ！最高にゃ！</t>
    <phoneticPr fontId="5"/>
  </si>
  <si>
    <t>[effect:enemy_message, val1:2.4, val2:0.0, dead_type:suicide]</t>
  </si>
  <si>
    <t>[effect:enemy_message, val1:1.9, val2:0.0, dead_type:suicide]</t>
  </si>
  <si>
    <t>[effect:enemy_message, val1:1.8, val2:0.0, dead_type:suicide]</t>
  </si>
  <si>
    <t>[effect:enemy_message, val1:2.6, val2:0.0, dead_type:suicide]</t>
  </si>
  <si>
    <t>[effect:enemy_message, val1:2.2, val2:0.0, dead_type:suicide]</t>
  </si>
  <si>
    <t>危険な力を感知した…闇の住人よ
お前の力を試してやろう</t>
    <phoneticPr fontId="5"/>
  </si>
  <si>
    <t>危険な力を感知した…癒しの使者よ
お前の力を試してやろう</t>
    <phoneticPr fontId="5"/>
  </si>
  <si>
    <t>危険な力を感知した…我と同等の者よ
お前の力を試してやろう</t>
    <phoneticPr fontId="5"/>
  </si>
  <si>
    <t>危険な力を感知した…雷神の使者よ
お前の力を試してやろう</t>
    <phoneticPr fontId="5"/>
  </si>
  <si>
    <t>危険な力を感知した…美の探求者よ
お前の力を試してやろう</t>
    <phoneticPr fontId="5"/>
  </si>
  <si>
    <t>危険な力を感知した…神槍の使い手よ
お前の力を試してやろう</t>
    <phoneticPr fontId="5"/>
  </si>
  <si>
    <t>危険な力を感知した…美の女神よ
お前の力を試してやろう</t>
    <phoneticPr fontId="5"/>
  </si>
  <si>
    <t>バトルアクス</t>
    <phoneticPr fontId="5"/>
  </si>
  <si>
    <t>こちらを見ている！</t>
  </si>
  <si>
    <t>右手を振り下ろした！</t>
  </si>
  <si>
    <t>全体攻撃</t>
  </si>
  <si>
    <t>鋭い眼光を感じる！</t>
  </si>
  <si>
    <t>2ターンユニット単体にスキルバインド</t>
  </si>
  <si>
    <t>左手を振り下ろした！</t>
  </si>
  <si>
    <t>両手の爪が光っている！</t>
  </si>
  <si>
    <t>【！】次のターン超強力な全体攻撃【！】</t>
  </si>
  <si>
    <t>両手を振り下ろした！</t>
  </si>
  <si>
    <t>バランスタイプのユニットに大ダメージの全体攻撃</t>
    <rPh sb="13" eb="14">
      <t>ダイダメージノゼンタイコウゲキ</t>
    </rPh>
    <phoneticPr fontId="5"/>
  </si>
  <si>
    <t>2ターン全ユニットの回復力90%DOWN+
バランスタイプのユニットに大ダメージの全体攻撃</t>
    <rPh sb="4" eb="5">
      <t>ゼンユニットノ</t>
    </rPh>
    <rPh sb="10" eb="13">
      <t>カイフクリョク</t>
    </rPh>
    <phoneticPr fontId="5"/>
  </si>
  <si>
    <t>2ターン全ユニットの攻撃力90%DOWN+
ボムパネルを吸収して全体攻撃</t>
    <rPh sb="4" eb="5">
      <t>ゼンユニットノ</t>
    </rPh>
    <rPh sb="10" eb="13">
      <t>コウゲキリョク</t>
    </rPh>
    <rPh sb="28" eb="30">
      <t>キュウシュウ</t>
    </rPh>
    <rPh sb="32" eb="36">
      <t>ゼンタイコウゲキ</t>
    </rPh>
    <phoneticPr fontId="5"/>
  </si>
  <si>
    <t>2ターン全ユニットに暗闇+
ボムパネルを吸収して全体攻撃</t>
    <rPh sb="4" eb="5">
      <t>ゼンユニットニ</t>
    </rPh>
    <rPh sb="10" eb="12">
      <t>クラヤミ</t>
    </rPh>
    <phoneticPr fontId="5"/>
  </si>
  <si>
    <t>バランスブレイカー</t>
    <phoneticPr fontId="5"/>
  </si>
  <si>
    <t>ボムブレイカー</t>
    <phoneticPr fontId="5"/>
  </si>
  <si>
    <t>ボムパネルを吸収して全体攻撃</t>
    <rPh sb="6" eb="8">
      <t>キュウシュウ</t>
    </rPh>
    <rPh sb="10" eb="14">
      <t>ゼンタイコウゲキ</t>
    </rPh>
    <phoneticPr fontId="5"/>
  </si>
  <si>
    <t>バランスボムブレイカー</t>
    <phoneticPr fontId="5"/>
  </si>
  <si>
    <t>バランスタイプのユニットに大ダメージの全体攻撃</t>
    <phoneticPr fontId="5"/>
  </si>
  <si>
    <t>バランスタイプのユニットに大ダメージの全体攻撃+
ボムパネルを吸収して全体攻撃</t>
    <phoneticPr fontId="5"/>
  </si>
  <si>
    <t>属性パネルを緑パネルに15個変換+
全体攻撃</t>
    <rPh sb="0" eb="2">
      <t>ゾクセイパネルヲ</t>
    </rPh>
    <phoneticPr fontId="5"/>
  </si>
  <si>
    <t>属性パネルを青パネルに15個変換+
全体攻撃</t>
    <rPh sb="0" eb="2">
      <t>ゾクセイパネルヲ</t>
    </rPh>
    <rPh sb="6" eb="7">
      <t>アオ</t>
    </rPh>
    <phoneticPr fontId="5"/>
  </si>
  <si>
    <t>狂乱のネコの1ゲージ目は戦闘開始から
緑パネルを無効にされるにゃ！
パネル変換や吸収スキルがあると良いにゃ！</t>
    <phoneticPr fontId="5"/>
  </si>
  <si>
    <t>ja</t>
    <phoneticPr fontId="5"/>
  </si>
  <si>
    <t>バランスタイプのユニットに大ダメージの全体攻撃</t>
    <phoneticPr fontId="5"/>
  </si>
  <si>
    <t>[effect:enemy_message, val1:1.2, val2:2.3],[effect:damage_anti_type, target:unit_all, type:balance, val1:1.6, val2:0.27]</t>
  </si>
  <si>
    <t>[effect:enemy_message, val1:1.2, val2:3.5],[effect:attack_break, target:unit_all, turn:2, val:0.9, calc:mul, animation:attack_break01],[effect:break_attack_fix, target:unit_all, val:10000, lowest_val:2800, count:-1, block01:crack_bomb]</t>
  </si>
  <si>
    <t>[effect:enemy_message, val1:1.2, val2:2.2],[effect:hungup, target:unit_all, turn:2, rate:1, animation:hungup01],[effect:spread, val:0.25]</t>
  </si>
  <si>
    <t>valid_flg</t>
    <phoneticPr fontId="5"/>
  </si>
  <si>
    <t>[effect:enemy_message, val1:1.3, val2:2.3],[effect:damage_anti_type, target:unit_all, type:balance, val1:1.6, val2:0.27]</t>
  </si>
  <si>
    <t>[effect:enemy_message, val1:1.3, val2:4.4],[effect:degrade_unit, target:unit_all, turn:2, status:heal, val:0.9, calc:mul, animation:degrade_unit_all_heal],[effect:damage_anti_type, target:unit_all, type:balance, val1:1.33, val2:0.26]</t>
  </si>
  <si>
    <t>[effect:enemy_message, val1:1.2, val2:2.7],[effect:dark, target:unit_all, turn:2, animation:enemy_dark],[effect:break_attack_fix, target:unit_all, val:10000, lowest_val:3000, count:-1, block01:crack_bomb]</t>
  </si>
  <si>
    <t>[effect:enemy_message, val1:1.2, val2:2.1],[effect:force_change_block, new_block:block_green, target:normal, count:15, val:0, animation:change_block],[effect:spread, val:0.25]</t>
  </si>
  <si>
    <t>[effect:enemy_message, val1:1.6, val2:2.1],[effect:force_change_block, new_block:block_blue, target:normal, count:15, val:0, animation:change_block],[effect:spread, val:0.25]</t>
  </si>
  <si>
    <t>[effect:enemy_message, val1:1.2, val2:2.3],[effect:damage_anti_type, target:unit_all, type:balance, val1:1.6, val2:0.25]</t>
  </si>
  <si>
    <t>[effect:enemy_message, val1:1.2, val2:1.4],[effect:break_attack_fix, target:unit_all, val:10000, lowest_val:2100, count:-1, block01:crack_bomb]</t>
  </si>
  <si>
    <t>[effect:enemy_message, val1:1.2, val2:3.8],[effect:damage_anti_type, target:unit_all, type:balance, val1:1.6, val2:0.25],[effect:break_attack_fix, target:unit_all, val:10000, lowest_val:0, count:-1, block01:crack_bomb]</t>
  </si>
  <si>
    <t>みんなを正気に戻してくれにゃ！</t>
  </si>
  <si>
    <t>狂気から解き放たれて我に返ったようだ…</t>
    <phoneticPr fontId="5"/>
  </si>
  <si>
    <t>ディスレッド</t>
    <phoneticPr fontId="5"/>
  </si>
  <si>
    <t>守っている</t>
    <rPh sb="0" eb="1">
      <t>マモッテイル</t>
    </rPh>
    <phoneticPr fontId="5"/>
  </si>
  <si>
    <t>ブラックマは砦があるとずっと出現するにゃ
ターン経過で即死攻撃も行うにゃ！
一も二もなく砦を先に倒すのがベストにゃ！</t>
    <rPh sb="6" eb="7">
      <t>トリデ</t>
    </rPh>
    <rPh sb="45" eb="46">
      <t>トリデ</t>
    </rPh>
    <phoneticPr fontId="5"/>
  </si>
  <si>
    <t>お邪魔パネルを吸収して防御力UP+
1ターン全ユニットの攻撃をカウンター</t>
    <rPh sb="11" eb="14">
      <t>ボウギョリョク</t>
    </rPh>
    <rPh sb="22" eb="23">
      <t>ゼンユニットノ</t>
    </rPh>
    <rPh sb="28" eb="30">
      <t>コウゲキヲ</t>
    </rPh>
    <phoneticPr fontId="5"/>
  </si>
  <si>
    <t>状態異常耐性+
確率で赤パネルを青パネルに変換してドロップ</t>
    <rPh sb="0" eb="4">
      <t>ジョウタイイジョウ</t>
    </rPh>
    <rPh sb="4" eb="6">
      <t>タイセイ</t>
    </rPh>
    <rPh sb="8" eb="10">
      <t>テイカクリツデ</t>
    </rPh>
    <rPh sb="11" eb="12">
      <t>アカパネルヲ</t>
    </rPh>
    <rPh sb="16" eb="17">
      <t>アオパネル</t>
    </rPh>
    <rPh sb="21" eb="23">
      <t>ヘンカンシテ</t>
    </rPh>
    <phoneticPr fontId="5"/>
  </si>
  <si>
    <t>状態異常耐性+
確率で赤パネルを青パネルに変換してドロップ</t>
    <phoneticPr fontId="5"/>
  </si>
  <si>
    <t>[effect:enemy_message, val1:1.2, val2:3.5],[effect:break_enchance_enemy, target:myself, val:300, lowest_val:2000, count:-1, status:defense, turn:-1, block01:jammer, calc:add, animation:enemy_enhance_defense],[effect:enemy_counter, target:myself, invoke_condition:unit_all, counter_target:attacker, turn:1, val:1.5, animation:enemy_counter]</t>
  </si>
  <si>
    <t xml:space="preserve">[effect:enemy_message, val1:2.7, val2:2.8],[effect:fix_speed, target:myself, turn:1],[effect:tolerance, target:myself, turn:-1, count:-1, tolerance_effect:all, animation:enemy_tolerance],[effect:drop_block, block_type:normal, block_color:block_blue, color:block_red, val:0, rate:0.25, turn:-1]    </t>
  </si>
  <si>
    <t xml:space="preserve">[effect:enemy_message, val1:2.6, val2:2.8],[effect:fix_speed, target:myself, turn:1],[effect:tolerance, target:myself, turn:-1, count:-1, tolerance_effect:all, animation:enemy_tolerance],[effect:drop_block, block_type:normal, block_color:block_blue, color:block_red, val:0, rate:0.25, turn:-1]    </t>
  </si>
  <si>
    <t xml:space="preserve">[effect:enemy_message, val1:2.8, val2:2.8],[effect:fix_speed, target:myself, turn:1],[effect:tolerance, target:myself, turn:-1, count:-1, tolerance_effect:all, animation:enemy_tolerance],[effect:drop_block, block_type:normal, block_color:block_blue, color:block_red, val:0, rate:0.25, turn:-1]    </t>
  </si>
  <si>
    <t>ネコムートはダメージパネルを使うにゃ
1個あたりのダメージが凄いから
割る時は残りHPに注意するにゃ！</t>
    <rPh sb="14" eb="15">
      <t>ツカウニャ</t>
    </rPh>
    <rPh sb="20" eb="21">
      <t>コ</t>
    </rPh>
    <rPh sb="30" eb="31">
      <t>スゴイ</t>
    </rPh>
    <rPh sb="35" eb="36">
      <t>ワルトキハ</t>
    </rPh>
    <rPh sb="39" eb="40">
      <t>ノコリ</t>
    </rPh>
    <rPh sb="44" eb="46">
      <t>チュウイ</t>
    </rPh>
    <phoneticPr fontId="5"/>
  </si>
  <si>
    <t>砦からブラックマが
出てきた！</t>
    <phoneticPr fontId="5"/>
  </si>
  <si>
    <t>状態異常耐性+全ての効果を解除</t>
    <rPh sb="0" eb="4">
      <t>ジョウタイイジョウ</t>
    </rPh>
    <rPh sb="4" eb="6">
      <t>タイセイ</t>
    </rPh>
    <phoneticPr fontId="5"/>
  </si>
  <si>
    <t>強力な全体攻撃</t>
    <rPh sb="0" eb="2">
      <t>キョウリョクナ</t>
    </rPh>
    <phoneticPr fontId="5"/>
  </si>
  <si>
    <t>[effect:enemy_message, val1:1.7, val2:1.9, dead_type:suicide]</t>
    <phoneticPr fontId="5"/>
  </si>
  <si>
    <t>[effect:enemy_message, val1:1.7, val2:2.6, dead_type:suicide]</t>
    <phoneticPr fontId="5"/>
  </si>
  <si>
    <t>[effect:enemy_message, val1:1.7, val2:2.0, dead_type:suicide]</t>
    <phoneticPr fontId="5"/>
  </si>
  <si>
    <t>[effect:enemy_message, val1:1.7, val2:2.1, dead_type:suicide]</t>
    <phoneticPr fontId="5"/>
  </si>
  <si>
    <t>[effect:enemy_message, val1:1.7, val2:2.4, dead_type:suicide]</t>
    <phoneticPr fontId="5"/>
  </si>
  <si>
    <t>[effect:enemy_message, val1:1.7, val2:2.1, dead_type:suicide]</t>
    <phoneticPr fontId="5"/>
  </si>
  <si>
    <t>[effect:enemy_message, val1:1.7, val2:1.9, dead_type:suicide]</t>
    <phoneticPr fontId="5"/>
  </si>
  <si>
    <t>item</t>
    <phoneticPr fontId="5"/>
  </si>
  <si>
    <t>clear</t>
    <phoneticPr fontId="5"/>
  </si>
  <si>
    <t>unit</t>
    <phoneticPr fontId="5"/>
  </si>
  <si>
    <t>item</t>
    <phoneticPr fontId="5"/>
  </si>
  <si>
    <t>トルネードディザスター</t>
    <phoneticPr fontId="5"/>
  </si>
  <si>
    <t>エクスプロージョン</t>
    <phoneticPr fontId="5"/>
  </si>
  <si>
    <t>アンチマター</t>
    <phoneticPr fontId="5"/>
  </si>
  <si>
    <t>開幕時セリフ</t>
    <rPh sb="0" eb="2">
      <t>カイマク</t>
    </rPh>
    <rPh sb="2" eb="3">
      <t>ジ</t>
    </rPh>
    <phoneticPr fontId="5"/>
  </si>
  <si>
    <t>狂気にあてられて怒り狂っている！</t>
    <phoneticPr fontId="5"/>
  </si>
  <si>
    <t>null</t>
    <phoneticPr fontId="5"/>
  </si>
  <si>
    <t>砦は悠然と佇んでいる</t>
    <phoneticPr fontId="5"/>
  </si>
  <si>
    <t>砦からブラックマが出てきた！</t>
    <phoneticPr fontId="5"/>
  </si>
  <si>
    <t>[effect:enemy_message, val1:1.2, val2:1.5],[effect:fix_speed, target:myself, turn:1],[effect:tolerance, target:myself, turn:-1, count:-1, tolerance_effect:all, animation:enemy_tolerance],[effect:remove_enhancement, target:unit_all, target_effect:all, animation:frozen_wave]</t>
  </si>
  <si>
    <t>[effect:enemy_message, val1:0.0, val2:1.2],[effect:fix_speed, target:myself, turn:3]</t>
  </si>
  <si>
    <t>[effect:enemy_message, val1:0.0, val2:1.4],[effect:enemy_resurrection, target:id_640, val:1, rate:1, animation:enemy_resurrection]</t>
  </si>
  <si>
    <t>[effect:enemy_message, val1:1.2, val2:1.2],[effect:critical, val:1.1, animation:enemy_critical]</t>
    <phoneticPr fontId="5"/>
  </si>
  <si>
    <t>[effect:enemy_message, val1:1.2, val2:1.2],[effect:dis_panel, target:block_red, turn:2, animation:enemy_dis_red]</t>
    <phoneticPr fontId="5"/>
  </si>
  <si>
    <t>[effect:enemy_message, val1:0.0, val2:1.6],[effect:fix_speed, target:myself, turn:2]</t>
    <phoneticPr fontId="5"/>
  </si>
  <si>
    <t>状態異常耐性+
15ターン全ユニットのCパネル生成延長(効果特大)+
緑&amp;黄パネルプロテクト</t>
    <rPh sb="0" eb="4">
      <t>ジョウタイイジョウ</t>
    </rPh>
    <rPh sb="4" eb="6">
      <t>タイセイ</t>
    </rPh>
    <rPh sb="28" eb="30">
      <t>コウカ</t>
    </rPh>
    <rPh sb="30" eb="32">
      <t>トクダイ</t>
    </rPh>
    <rPh sb="35" eb="36">
      <t>ミドリ</t>
    </rPh>
    <rPh sb="37" eb="38">
      <t>キイロ</t>
    </rPh>
    <phoneticPr fontId="5"/>
  </si>
  <si>
    <t>[effect:enemy_message, val1:1.7, val2:0.0, dead_type:suicide]</t>
    <phoneticPr fontId="5"/>
  </si>
  <si>
    <t>別に呼んでないけど神さまがあらわれた！</t>
    <rPh sb="0" eb="1">
      <t>ベツニ</t>
    </rPh>
    <phoneticPr fontId="5"/>
  </si>
  <si>
    <t>[effect:enemy_message, val1:1.6, val2:1.9],[effect:ability_lock, target:unit_all, turn:1],[effect:sleep, target:unit_all, turn:1, rate:1, calc_type:target_all],[effect:fix_speed, target:myself, turn:1]</t>
    <phoneticPr fontId="5"/>
  </si>
  <si>
    <t>[effect:enemy_message, val1:2.2, val2:1.3],[effect:play_bgm, turn:-1, bgm_path:BGM/BattleNormal2225],[effect:fix_speed, target:myself, turn:1],[effect:tolerance, target:myself, turn:-1, count:-1, tolerance_effect:all, animation:enemy_tolerance],[effect:dis_panel, target:block_green, turn:-1, animation:enemy_dis_green]</t>
    <phoneticPr fontId="5"/>
  </si>
  <si>
    <t>[effect:enemy_message, val1:2.4, val2:1.3],[effect:play_bgm, turn:-1, bgm_path:BGM/BattleNormal2225],[effect:fix_speed, target:myself, turn:1],[effect:tolerance, target:myself, turn:-1, count:-1, tolerance_effect:all, animation:enemy_tolerance],[effect:dis_panel, target:block_green, turn:-1, animation:enemy_dis_green]</t>
    <phoneticPr fontId="5"/>
  </si>
  <si>
    <t>[effect:enemy_message, val1:2.5, val2:1.3],[effect:play_bgm, turn:-1, bgm_path:BGM/BattleNormal2225],[effect:fix_speed, target:myself, turn:1],[effect:tolerance, target:myself, turn:-1, count:-1, tolerance_effect:all, animation:enemy_tolerance],[effect:dis_panel, target:block_green, turn:-1, animation:enemy_dis_green]</t>
    <phoneticPr fontId="5"/>
  </si>
  <si>
    <t>[effect:enemy_message, val1:2.2, val2:1.3],[effect:play_bgm, turn:-1, bgm_path:BGM/BattleNormal2225],[effect:fix_speed, target:myself, turn:1],[effect:tolerance, target:myself, turn:-1, count:-1, tolerance_effect:all, animation:enemy_tolerance],[effect:dis_panel, target:block_green, turn:-1, animation:enemy_dis_green]</t>
    <phoneticPr fontId="5"/>
  </si>
  <si>
    <t>[effect:enemy_message, val1:2.2, val2:1.3],[effect:play_bgm, turn:-1, bgm_path:BGM/BattleNormal2225],[effect:fix_speed, target:myself, turn:1],[effect:tolerance, target:myself, turn:-1, count:-1, tolerance_effect:all, animation:enemy_tolerance],[effect:dis_panel, target:block_green, turn:-1, animation:enemy_dis_green]</t>
    <phoneticPr fontId="5"/>
  </si>
  <si>
    <t>[effect:enemy_message, val1:2.0, val2:1.3],[effect:play_bgm, turn:-1, bgm_path:BGM/BattleNormal2225],[effect:fix_speed, target:myself, turn:1],[effect:tolerance, target:myself, turn:-1, count:-1, tolerance_effect:all, animation:enemy_tolerance],[effect:dis_panel, target:block_green, turn:-1, animation:enemy_dis_green]</t>
    <phoneticPr fontId="5"/>
  </si>
  <si>
    <t>[effect:enemy_message, val1:1.6, val2:1.3],[effect:play_bgm, turn:-1, bgm_path:BGM/BattleNormal2225],[effect:fix_speed, target:myself, turn:1],[effect:tolerance, target:myself, turn:-1, count:-1, tolerance_effect:all, animation:enemy_tolerance],[effect:dis_panel, target:block_green, turn:-1, animation:enemy_dis_green]</t>
    <phoneticPr fontId="5"/>
  </si>
  <si>
    <t>[effect:enemy_message, val1:1.8, val2:1.3],[effect:play_bgm, turn:-1, bgm_path:BGM/BattleNormal2225],[effect:fix_speed, target:myself, turn:1],[effect:tolerance, target:myself, turn:-1, count:-1, tolerance_effect:all, animation:enemy_tolerance],[effect:dis_panel, target:block_green, turn:-1, animation:enemy_dis_green]</t>
    <phoneticPr fontId="5"/>
  </si>
  <si>
    <t>敵全体に状態異常耐性+
キモネコの防御力激烈UP</t>
    <rPh sb="0" eb="3">
      <t>テキゼンタイニ</t>
    </rPh>
    <rPh sb="4" eb="10">
      <t>ジョウタイイジョウタイセイ</t>
    </rPh>
    <rPh sb="17" eb="20">
      <t>ボウギョリョク</t>
    </rPh>
    <rPh sb="20" eb="22">
      <t>ゲキレツ</t>
    </rPh>
    <phoneticPr fontId="5"/>
  </si>
  <si>
    <t>[effect:enemy_message, val1:1.2, val2:2.3],[effect:fix_speed, target:myself, turn:3],[effect:tolerance, target:enemy_all, turn:-1, count:-1, tolerance_effect:all, animation:enemy_tolerance],[effect:enhance_enemy, target:enemy_blue, turn:-1, status:defense, val:1000000, calc:add, animation:enemy_enhance_defense]</t>
    <phoneticPr fontId="5"/>
  </si>
  <si>
    <t>[effect:enemy_message, val1:1.2, val2:2.0],[effect:fix_speed, target:myself, turn:1],[effect:tolerance, target:myself, turn:-1, count:-1, tolerance_effect:all, animation:enemy_tolerance],[effect:change_attribute, target:myself, turn:-1, color:green],[effect:dis_panel, target:block_yellow, turn:-1, animation:enemy_dis_yellow]</t>
    <phoneticPr fontId="5"/>
  </si>
  <si>
    <t>[effect:enemy_message, val1:1.2, val2:1.3],[effect:fix_speed, target:myself, turn:1],[effect:tolerance, target:myself, turn:-1, count:-1, tolerance_effect:all, animation:enemy_tolerance],[effect:change_attribute, target:myself, turn:-1, color:red]</t>
    <phoneticPr fontId="5"/>
  </si>
  <si>
    <t>[effect:enemy_message, val1:1.5, val2:1.2],[effect:change_attribute, target:myself, turn:-1, color:green]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</si>
</sst>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A7D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72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0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3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14" fontId="16" fillId="32" borderId="7" xfId="0" applyNumberFormat="1" applyFont="1" applyFill="1" applyBorder="1" applyAlignment="1">
      <alignment horizontal="left" vertical="center"/>
    </xf>
    <xf numFmtId="0" fontId="16" fillId="32" borderId="0" xfId="0" applyFont="1" applyFill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14" fontId="16" fillId="33" borderId="7" xfId="0" applyNumberFormat="1" applyFont="1" applyFill="1" applyBorder="1" applyAlignment="1">
      <alignment horizontal="left" vertical="center"/>
    </xf>
    <xf numFmtId="0" fontId="16" fillId="33" borderId="0" xfId="0" applyFont="1" applyFill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 wrapText="1"/>
    </xf>
    <xf numFmtId="0" fontId="14" fillId="0" borderId="0" xfId="0" applyFont="1" applyFill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14" fontId="16" fillId="34" borderId="7" xfId="0" applyNumberFormat="1" applyFont="1" applyFill="1" applyBorder="1" applyAlignment="1">
      <alignment horizontal="left" vertical="center"/>
    </xf>
    <xf numFmtId="0" fontId="16" fillId="34" borderId="0" xfId="0" applyFont="1" applyFill="1" applyAlignment="1">
      <alignment vertical="center"/>
    </xf>
    <xf numFmtId="0" fontId="16" fillId="2" borderId="7" xfId="0" applyFont="1" applyFill="1" applyBorder="1" applyAlignment="1">
      <alignment vertical="center"/>
    </xf>
    <xf numFmtId="0" fontId="16" fillId="2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15" borderId="7" xfId="0" applyFont="1" applyFill="1" applyBorder="1" applyAlignment="1">
      <alignment vertical="center"/>
    </xf>
    <xf numFmtId="0" fontId="16" fillId="15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horizontal="left" vertical="center" wrapText="1"/>
    </xf>
    <xf numFmtId="0" fontId="16" fillId="39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horizontal="left" vertical="center" wrapText="1"/>
    </xf>
    <xf numFmtId="0" fontId="16" fillId="40" borderId="7" xfId="0" applyFont="1" applyFill="1" applyBorder="1" applyAlignment="1">
      <alignment vertical="center"/>
    </xf>
    <xf numFmtId="0" fontId="16" fillId="40" borderId="7" xfId="0" applyFont="1" applyFill="1" applyBorder="1" applyAlignment="1">
      <alignment horizontal="left" vertical="center" wrapText="1"/>
    </xf>
    <xf numFmtId="0" fontId="16" fillId="2" borderId="7" xfId="0" applyFont="1" applyFill="1" applyBorder="1" applyAlignment="1">
      <alignment horizontal="left" vertical="center"/>
    </xf>
    <xf numFmtId="14" fontId="16" fillId="2" borderId="7" xfId="0" applyNumberFormat="1" applyFont="1" applyFill="1" applyBorder="1" applyAlignment="1">
      <alignment horizontal="left" vertical="center"/>
    </xf>
    <xf numFmtId="0" fontId="16" fillId="2" borderId="0" xfId="0" applyFont="1" applyFill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14" fontId="16" fillId="35" borderId="7" xfId="0" applyNumberFormat="1" applyFont="1" applyFill="1" applyBorder="1" applyAlignment="1">
      <alignment horizontal="left" vertical="center"/>
    </xf>
    <xf numFmtId="0" fontId="16" fillId="35" borderId="0" xfId="0" applyFont="1" applyFill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14" fontId="16" fillId="6" borderId="7" xfId="0" applyNumberFormat="1" applyFont="1" applyFill="1" applyBorder="1" applyAlignment="1">
      <alignment horizontal="left" vertical="center"/>
    </xf>
    <xf numFmtId="0" fontId="16" fillId="6" borderId="0" xfId="0" applyFont="1" applyFill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14" fontId="16" fillId="36" borderId="7" xfId="0" applyNumberFormat="1" applyFont="1" applyFill="1" applyBorder="1" applyAlignment="1">
      <alignment horizontal="left" vertical="center"/>
    </xf>
    <xf numFmtId="0" fontId="16" fillId="36" borderId="0" xfId="0" applyFont="1" applyFill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14" fontId="16" fillId="37" borderId="7" xfId="0" applyNumberFormat="1" applyFont="1" applyFill="1" applyBorder="1" applyAlignment="1">
      <alignment horizontal="left" vertical="center"/>
    </xf>
    <xf numFmtId="0" fontId="16" fillId="37" borderId="0" xfId="0" applyFont="1" applyFill="1" applyAlignment="1">
      <alignment vertical="center"/>
    </xf>
    <xf numFmtId="0" fontId="16" fillId="15" borderId="7" xfId="0" applyFont="1" applyFill="1" applyBorder="1" applyAlignment="1">
      <alignment horizontal="left" vertical="center"/>
    </xf>
    <xf numFmtId="14" fontId="16" fillId="15" borderId="7" xfId="0" applyNumberFormat="1" applyFont="1" applyFill="1" applyBorder="1" applyAlignment="1">
      <alignment horizontal="left" vertical="center"/>
    </xf>
    <xf numFmtId="0" fontId="16" fillId="15" borderId="0" xfId="0" applyFont="1" applyFill="1" applyAlignment="1">
      <alignment vertical="center"/>
    </xf>
    <xf numFmtId="0" fontId="16" fillId="38" borderId="7" xfId="0" applyFont="1" applyFill="1" applyBorder="1" applyAlignment="1">
      <alignment horizontal="left" vertical="center"/>
    </xf>
    <xf numFmtId="14" fontId="16" fillId="38" borderId="7" xfId="0" applyNumberFormat="1" applyFont="1" applyFill="1" applyBorder="1" applyAlignment="1">
      <alignment horizontal="left" vertical="center"/>
    </xf>
    <xf numFmtId="0" fontId="16" fillId="38" borderId="0" xfId="0" applyFont="1" applyFill="1" applyAlignment="1">
      <alignment vertical="center"/>
    </xf>
    <xf numFmtId="0" fontId="16" fillId="39" borderId="7" xfId="0" applyFont="1" applyFill="1" applyBorder="1" applyAlignment="1">
      <alignment horizontal="left" vertical="center"/>
    </xf>
    <xf numFmtId="14" fontId="16" fillId="39" borderId="7" xfId="0" applyNumberFormat="1" applyFont="1" applyFill="1" applyBorder="1" applyAlignment="1">
      <alignment horizontal="left" vertical="center"/>
    </xf>
    <xf numFmtId="0" fontId="16" fillId="39" borderId="0" xfId="0" applyFont="1" applyFill="1" applyAlignment="1">
      <alignment vertical="center"/>
    </xf>
    <xf numFmtId="0" fontId="16" fillId="40" borderId="7" xfId="0" applyFont="1" applyFill="1" applyBorder="1" applyAlignment="1">
      <alignment horizontal="left" vertical="center"/>
    </xf>
    <xf numFmtId="14" fontId="16" fillId="40" borderId="7" xfId="0" applyNumberFormat="1" applyFont="1" applyFill="1" applyBorder="1" applyAlignment="1">
      <alignment horizontal="left" vertical="center"/>
    </xf>
    <xf numFmtId="0" fontId="16" fillId="40" borderId="0" xfId="0" applyFont="1" applyFill="1" applyAlignment="1">
      <alignment vertical="center"/>
    </xf>
    <xf numFmtId="0" fontId="16" fillId="41" borderId="7" xfId="0" applyFont="1" applyFill="1" applyBorder="1" applyAlignment="1">
      <alignment vertical="center"/>
    </xf>
    <xf numFmtId="0" fontId="16" fillId="41" borderId="7" xfId="0" applyFont="1" applyFill="1" applyBorder="1" applyAlignment="1">
      <alignment horizontal="left" vertical="center"/>
    </xf>
    <xf numFmtId="0" fontId="16" fillId="41" borderId="7" xfId="0" applyFont="1" applyFill="1" applyBorder="1" applyAlignment="1">
      <alignment horizontal="left" vertical="center" wrapText="1"/>
    </xf>
    <xf numFmtId="14" fontId="16" fillId="41" borderId="7" xfId="0" applyNumberFormat="1" applyFont="1" applyFill="1" applyBorder="1" applyAlignment="1">
      <alignment horizontal="left" vertical="center"/>
    </xf>
    <xf numFmtId="0" fontId="16" fillId="4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42" borderId="7" xfId="0" applyFont="1" applyFill="1" applyBorder="1" applyAlignment="1">
      <alignment vertical="center"/>
    </xf>
    <xf numFmtId="0" fontId="16" fillId="42" borderId="7" xfId="0" applyFont="1" applyFill="1" applyBorder="1" applyAlignment="1">
      <alignment horizontal="left" vertical="center"/>
    </xf>
    <xf numFmtId="0" fontId="16" fillId="42" borderId="7" xfId="0" applyFont="1" applyFill="1" applyBorder="1" applyAlignment="1">
      <alignment horizontal="left" vertical="center" wrapText="1"/>
    </xf>
    <xf numFmtId="14" fontId="16" fillId="42" borderId="7" xfId="0" applyNumberFormat="1" applyFont="1" applyFill="1" applyBorder="1" applyAlignment="1">
      <alignment horizontal="left" vertical="center"/>
    </xf>
    <xf numFmtId="0" fontId="16" fillId="42" borderId="0" xfId="0" applyFont="1" applyFill="1" applyAlignment="1">
      <alignment vertical="center"/>
    </xf>
    <xf numFmtId="0" fontId="16" fillId="43" borderId="7" xfId="0" applyFont="1" applyFill="1" applyBorder="1" applyAlignment="1">
      <alignment vertical="center"/>
    </xf>
    <xf numFmtId="0" fontId="16" fillId="44" borderId="7" xfId="0" applyFont="1" applyFill="1" applyBorder="1" applyAlignment="1">
      <alignment vertical="center"/>
    </xf>
    <xf numFmtId="0" fontId="16" fillId="45" borderId="7" xfId="0" applyFont="1" applyFill="1" applyBorder="1" applyAlignment="1">
      <alignment vertical="center"/>
    </xf>
    <xf numFmtId="0" fontId="16" fillId="45" borderId="7" xfId="0" applyFont="1" applyFill="1" applyBorder="1" applyAlignment="1">
      <alignment horizontal="left" vertical="center"/>
    </xf>
    <xf numFmtId="0" fontId="16" fillId="45" borderId="7" xfId="0" applyFont="1" applyFill="1" applyBorder="1" applyAlignment="1">
      <alignment horizontal="left" vertical="center" wrapText="1"/>
    </xf>
    <xf numFmtId="14" fontId="16" fillId="45" borderId="7" xfId="0" applyNumberFormat="1" applyFont="1" applyFill="1" applyBorder="1" applyAlignment="1">
      <alignment horizontal="left" vertical="center"/>
    </xf>
    <xf numFmtId="0" fontId="16" fillId="45" borderId="0" xfId="0" applyFont="1" applyFill="1" applyAlignment="1">
      <alignment vertical="center"/>
    </xf>
    <xf numFmtId="0" fontId="30" fillId="0" borderId="12" xfId="0" applyFont="1" applyFill="1" applyBorder="1"/>
    <xf numFmtId="0" fontId="28" fillId="0" borderId="2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" xfId="0" applyFont="1" applyFill="1" applyBorder="1"/>
    <xf numFmtId="0" fontId="29" fillId="0" borderId="23" xfId="0" applyFont="1" applyFill="1" applyBorder="1" applyAlignment="1">
      <alignment vertical="center"/>
    </xf>
    <xf numFmtId="0" fontId="30" fillId="3" borderId="2" xfId="0" applyFont="1" applyFill="1" applyBorder="1"/>
    <xf numFmtId="22" fontId="30" fillId="0" borderId="2" xfId="0" quotePrefix="1" applyNumberFormat="1" applyFont="1" applyFill="1" applyBorder="1"/>
    <xf numFmtId="0" fontId="30" fillId="0" borderId="2" xfId="0" quotePrefix="1" applyFont="1" applyFill="1" applyBorder="1"/>
    <xf numFmtId="0" fontId="28" fillId="0" borderId="12" xfId="0" applyFont="1" applyFill="1" applyBorder="1"/>
    <xf numFmtId="0" fontId="30" fillId="3" borderId="12" xfId="0" applyFont="1" applyFill="1" applyBorder="1"/>
    <xf numFmtId="22" fontId="30" fillId="0" borderId="12" xfId="0" quotePrefix="1" applyNumberFormat="1" applyFont="1" applyFill="1" applyBorder="1"/>
    <xf numFmtId="0" fontId="30" fillId="0" borderId="12" xfId="0" quotePrefix="1" applyFont="1" applyFill="1" applyBorder="1"/>
    <xf numFmtId="0" fontId="13" fillId="7" borderId="24" xfId="0" applyFont="1" applyFill="1" applyBorder="1" applyAlignment="1">
      <alignment horizontal="left" indent="1"/>
    </xf>
    <xf numFmtId="0" fontId="28" fillId="0" borderId="25" xfId="0" applyFont="1" applyFill="1" applyBorder="1"/>
    <xf numFmtId="0" fontId="29" fillId="3" borderId="25" xfId="0" applyFont="1" applyFill="1" applyBorder="1" applyAlignment="1">
      <alignment vertical="center"/>
    </xf>
    <xf numFmtId="0" fontId="30" fillId="0" borderId="25" xfId="0" applyFont="1" applyFill="1" applyBorder="1"/>
    <xf numFmtId="0" fontId="29" fillId="0" borderId="25" xfId="0" applyFont="1" applyFill="1" applyBorder="1" applyAlignment="1">
      <alignment vertical="center"/>
    </xf>
    <xf numFmtId="0" fontId="30" fillId="3" borderId="25" xfId="0" applyFont="1" applyFill="1" applyBorder="1"/>
    <xf numFmtId="22" fontId="30" fillId="0" borderId="25" xfId="0" quotePrefix="1" applyNumberFormat="1" applyFont="1" applyFill="1" applyBorder="1"/>
    <xf numFmtId="0" fontId="30" fillId="0" borderId="25" xfId="0" quotePrefix="1" applyFont="1" applyFill="1" applyBorder="1"/>
  </cellXfs>
  <cellStyles count="72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赤字強調" xfId="431"/>
    <cellStyle name="青字強調" xfId="43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4A7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65525</v>
          </cell>
        </row>
        <row r="341">
          <cell r="A341">
            <v>65526</v>
          </cell>
        </row>
        <row r="342">
          <cell r="A342">
            <v>65527</v>
          </cell>
        </row>
        <row r="343">
          <cell r="A343">
            <v>65528</v>
          </cell>
        </row>
        <row r="344">
          <cell r="A344">
            <v>65529</v>
          </cell>
        </row>
        <row r="345">
          <cell r="A345">
            <v>65530</v>
          </cell>
        </row>
        <row r="346">
          <cell r="A346">
            <v>65531</v>
          </cell>
        </row>
        <row r="347">
          <cell r="A347">
            <v>65532</v>
          </cell>
        </row>
        <row r="348">
          <cell r="A348">
            <v>65533</v>
          </cell>
        </row>
        <row r="349">
          <cell r="A349">
            <v>65534</v>
          </cell>
        </row>
        <row r="350">
          <cell r="A350">
            <v>65535</v>
          </cell>
        </row>
        <row r="351">
          <cell r="A351">
            <v>60021</v>
          </cell>
        </row>
        <row r="352">
          <cell r="A352">
            <v>60022</v>
          </cell>
        </row>
        <row r="353">
          <cell r="A353">
            <v>60023</v>
          </cell>
        </row>
        <row r="354">
          <cell r="A35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65525_1</v>
          </cell>
        </row>
        <row r="976">
          <cell r="A976" t="str">
            <v>65526_1</v>
          </cell>
        </row>
        <row r="977">
          <cell r="A977" t="str">
            <v>65526_2</v>
          </cell>
        </row>
        <row r="978">
          <cell r="A978" t="str">
            <v>65527_1</v>
          </cell>
        </row>
        <row r="979">
          <cell r="A979" t="str">
            <v>65528_1</v>
          </cell>
        </row>
        <row r="980">
          <cell r="A980" t="str">
            <v>65529_1</v>
          </cell>
        </row>
        <row r="981">
          <cell r="A981" t="str">
            <v>65530_1</v>
          </cell>
        </row>
        <row r="982">
          <cell r="A982" t="str">
            <v>65531_1</v>
          </cell>
        </row>
        <row r="983">
          <cell r="A983" t="str">
            <v>65531_2</v>
          </cell>
        </row>
        <row r="984">
          <cell r="A984" t="str">
            <v>65532_1</v>
          </cell>
        </row>
        <row r="985">
          <cell r="A985" t="str">
            <v>65532_2</v>
          </cell>
        </row>
        <row r="986">
          <cell r="A986" t="str">
            <v>65533_1</v>
          </cell>
        </row>
        <row r="987">
          <cell r="A987" t="str">
            <v>65533_2</v>
          </cell>
        </row>
        <row r="988">
          <cell r="A988" t="str">
            <v>65534_1</v>
          </cell>
        </row>
        <row r="989">
          <cell r="A989" t="str">
            <v>65534_2</v>
          </cell>
        </row>
        <row r="990">
          <cell r="A990" t="str">
            <v>65535_1</v>
          </cell>
        </row>
        <row r="991">
          <cell r="A991" t="str">
            <v>65535_2</v>
          </cell>
        </row>
        <row r="992">
          <cell r="A992" t="str">
            <v>65535_3</v>
          </cell>
        </row>
        <row r="993">
          <cell r="A993" t="str">
            <v>65535_4</v>
          </cell>
        </row>
        <row r="994">
          <cell r="A994" t="str">
            <v>65535_5</v>
          </cell>
        </row>
        <row r="995">
          <cell r="A995" t="str">
            <v>65535_6</v>
          </cell>
        </row>
        <row r="996">
          <cell r="A996" t="str">
            <v>65535_7</v>
          </cell>
        </row>
        <row r="997">
          <cell r="A997" t="str">
            <v>65535_8</v>
          </cell>
        </row>
        <row r="998">
          <cell r="A998" t="str">
            <v>65535_9</v>
          </cell>
        </row>
        <row r="999">
          <cell r="A999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8087</v>
          </cell>
        </row>
        <row r="1487">
          <cell r="A1487">
            <v>8088</v>
          </cell>
        </row>
        <row r="1488">
          <cell r="A1488">
            <v>8089</v>
          </cell>
        </row>
        <row r="1489">
          <cell r="A1489">
            <v>8090</v>
          </cell>
        </row>
        <row r="1490">
          <cell r="A1490">
            <v>8095</v>
          </cell>
        </row>
        <row r="1491">
          <cell r="A1491">
            <v>8096</v>
          </cell>
        </row>
        <row r="1492">
          <cell r="A1492">
            <v>8097</v>
          </cell>
        </row>
        <row r="1493">
          <cell r="A1493">
            <v>8098</v>
          </cell>
        </row>
        <row r="1494">
          <cell r="A1494">
            <v>8099</v>
          </cell>
        </row>
        <row r="1495">
          <cell r="A1495">
            <v>8100</v>
          </cell>
        </row>
        <row r="1496">
          <cell r="A1496">
            <v>8101</v>
          </cell>
        </row>
        <row r="1497">
          <cell r="A1497">
            <v>8102</v>
          </cell>
        </row>
        <row r="1498">
          <cell r="A1498">
            <v>9001</v>
          </cell>
        </row>
        <row r="1499">
          <cell r="A1499">
            <v>9002</v>
          </cell>
        </row>
        <row r="1500">
          <cell r="A1500">
            <v>9003</v>
          </cell>
        </row>
        <row r="1501">
          <cell r="A1501">
            <v>9004</v>
          </cell>
        </row>
        <row r="1502">
          <cell r="A1502">
            <v>9005</v>
          </cell>
        </row>
        <row r="1503">
          <cell r="A1503">
            <v>9006</v>
          </cell>
        </row>
        <row r="1504">
          <cell r="A1504">
            <v>9007</v>
          </cell>
        </row>
        <row r="1505">
          <cell r="A1505">
            <v>9008</v>
          </cell>
        </row>
        <row r="1506">
          <cell r="A1506">
            <v>10101</v>
          </cell>
        </row>
        <row r="1507">
          <cell r="A1507">
            <v>10102</v>
          </cell>
        </row>
        <row r="1508">
          <cell r="A1508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19" sqref="I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130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255</v>
      </c>
      <c r="B2" s="54" t="s">
        <v>106</v>
      </c>
      <c r="C2" s="60">
        <v>59002</v>
      </c>
      <c r="D2" s="54" t="s">
        <v>107</v>
      </c>
      <c r="E2" s="53" t="str">
        <f>B2&amp;C2&amp;D2</f>
        <v>floors_59002.tmp</v>
      </c>
      <c r="F2" s="54" t="s">
        <v>108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255</v>
      </c>
      <c r="B3" s="54" t="s">
        <v>109</v>
      </c>
      <c r="C3" s="60">
        <v>59002</v>
      </c>
      <c r="D3" s="54" t="s">
        <v>107</v>
      </c>
      <c r="E3" s="53" t="str">
        <f>B3&amp;C3&amp;D3</f>
        <v>enemy_habitats_59002.tmp</v>
      </c>
      <c r="F3" s="54" t="s">
        <v>110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53</v>
      </c>
      <c r="AD3" s="55" t="s">
        <v>177</v>
      </c>
    </row>
    <row r="4" spans="1:30" x14ac:dyDescent="0.15">
      <c r="A4" s="58" t="s">
        <v>255</v>
      </c>
      <c r="B4" s="54" t="s">
        <v>111</v>
      </c>
      <c r="C4" s="60">
        <v>59002</v>
      </c>
      <c r="D4" s="54" t="s">
        <v>107</v>
      </c>
      <c r="E4" s="53" t="str">
        <f>B4&amp;C4&amp;D4</f>
        <v>enemy_habitat_S_59002.tmp</v>
      </c>
      <c r="F4" s="54" t="s">
        <v>112</v>
      </c>
      <c r="G4" s="55" t="s">
        <v>0</v>
      </c>
      <c r="H4" s="55" t="s">
        <v>1</v>
      </c>
      <c r="I4" s="55" t="s">
        <v>13</v>
      </c>
      <c r="J4" s="55" t="s">
        <v>53</v>
      </c>
      <c r="K4" s="55" t="s">
        <v>54</v>
      </c>
      <c r="L4" s="55" t="s">
        <v>55</v>
      </c>
      <c r="M4" s="55" t="s">
        <v>56</v>
      </c>
      <c r="N4" s="55" t="s">
        <v>57</v>
      </c>
      <c r="O4" s="55" t="s">
        <v>58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255</v>
      </c>
      <c r="B5" s="54" t="s">
        <v>113</v>
      </c>
      <c r="C5" s="60">
        <v>59002</v>
      </c>
      <c r="D5" s="54" t="s">
        <v>107</v>
      </c>
      <c r="E5" s="53" t="str">
        <f>B5&amp;C5&amp;D5</f>
        <v>enemy_skill_sets_59002.tmp</v>
      </c>
      <c r="F5" s="54" t="s">
        <v>114</v>
      </c>
      <c r="G5" s="56" t="s">
        <v>22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255</v>
      </c>
      <c r="B6" s="54" t="s">
        <v>115</v>
      </c>
      <c r="C6" s="60">
        <v>59002</v>
      </c>
      <c r="D6" s="54" t="s">
        <v>116</v>
      </c>
      <c r="E6" s="53" t="str">
        <f t="shared" ref="E6:E10" si="0">B6&amp;C6&amp;D6</f>
        <v>enemy_skills_tmp_59002.tmp</v>
      </c>
      <c r="F6" s="54" t="s">
        <v>90</v>
      </c>
      <c r="G6" s="55" t="s">
        <v>78</v>
      </c>
      <c r="H6" s="55" t="s">
        <v>79</v>
      </c>
      <c r="I6" s="55" t="s">
        <v>80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255</v>
      </c>
      <c r="B7" s="54" t="s">
        <v>117</v>
      </c>
      <c r="C7" s="60">
        <v>59002</v>
      </c>
      <c r="D7" s="54" t="s">
        <v>107</v>
      </c>
      <c r="E7" s="53" t="str">
        <f>B7&amp;C7&amp;D7</f>
        <v>enemy_skills_i18n_59002.tmp</v>
      </c>
      <c r="F7" s="54" t="s">
        <v>118</v>
      </c>
      <c r="G7" s="55" t="s">
        <v>78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255</v>
      </c>
      <c r="B8" s="54" t="s">
        <v>119</v>
      </c>
      <c r="C8" s="60">
        <v>59002</v>
      </c>
      <c r="D8" s="54" t="s">
        <v>120</v>
      </c>
      <c r="E8" s="53" t="str">
        <f t="shared" si="0"/>
        <v>enemy_skill_triggers_59002.tmp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66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255</v>
      </c>
      <c r="B9" s="64" t="s">
        <v>176</v>
      </c>
      <c r="C9" s="60">
        <v>59002</v>
      </c>
      <c r="D9" s="64" t="s">
        <v>170</v>
      </c>
      <c r="E9" s="65" t="str">
        <f t="shared" si="0"/>
        <v>stage_bug_bonuses_59002.tmp</v>
      </c>
      <c r="F9" s="64" t="s">
        <v>171</v>
      </c>
      <c r="G9" s="61" t="s">
        <v>150</v>
      </c>
      <c r="H9" s="61" t="s">
        <v>172</v>
      </c>
      <c r="I9" s="61" t="s">
        <v>173</v>
      </c>
      <c r="J9" s="63" t="s">
        <v>174</v>
      </c>
      <c r="K9" s="61" t="s">
        <v>175</v>
      </c>
      <c r="L9" s="61" t="s">
        <v>156</v>
      </c>
      <c r="M9" s="61" t="s">
        <v>157</v>
      </c>
      <c r="N9" s="61" t="s">
        <v>158</v>
      </c>
      <c r="O9" s="61" t="s">
        <v>159</v>
      </c>
      <c r="P9" s="61" t="s">
        <v>160</v>
      </c>
      <c r="Q9" s="61" t="s">
        <v>161</v>
      </c>
      <c r="R9" s="61" t="s">
        <v>162</v>
      </c>
      <c r="S9" s="61" t="s">
        <v>163</v>
      </c>
      <c r="T9" s="61" t="s">
        <v>164</v>
      </c>
      <c r="U9" s="61" t="s">
        <v>165</v>
      </c>
      <c r="V9" s="61" t="s">
        <v>166</v>
      </c>
      <c r="W9" s="61" t="s">
        <v>167</v>
      </c>
      <c r="X9" s="54"/>
      <c r="Y9" s="54"/>
      <c r="Z9" s="54"/>
      <c r="AA9" s="54"/>
      <c r="AB9" s="54"/>
      <c r="AC9" s="54"/>
      <c r="AD9" s="54"/>
    </row>
    <row r="10" spans="1:30" s="71" customFormat="1" x14ac:dyDescent="0.15">
      <c r="A10" s="58" t="s">
        <v>186</v>
      </c>
      <c r="B10" s="64" t="s">
        <v>200</v>
      </c>
      <c r="C10" s="60">
        <v>59002</v>
      </c>
      <c r="D10" s="64" t="s">
        <v>179</v>
      </c>
      <c r="E10" s="65" t="str">
        <f t="shared" si="0"/>
        <v>stage_hints_data_c_59002.tmp</v>
      </c>
      <c r="F10" s="64" t="s">
        <v>208</v>
      </c>
      <c r="G10" s="69" t="s">
        <v>180</v>
      </c>
      <c r="H10" s="69" t="s">
        <v>172</v>
      </c>
      <c r="I10" s="70" t="s">
        <v>181</v>
      </c>
      <c r="J10" s="63" t="s">
        <v>182</v>
      </c>
      <c r="K10" s="63" t="s">
        <v>183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1" customFormat="1" x14ac:dyDescent="0.15">
      <c r="A11" s="58" t="s">
        <v>255</v>
      </c>
      <c r="B11" s="64" t="s">
        <v>201</v>
      </c>
      <c r="C11" s="60">
        <v>59002</v>
      </c>
      <c r="D11" s="64" t="s">
        <v>170</v>
      </c>
      <c r="E11" s="65" t="str">
        <f t="shared" ref="E11:E13" si="1">B11&amp;C11&amp;D11</f>
        <v>stage_hints_data_f_59002.tmp</v>
      </c>
      <c r="F11" s="64" t="s">
        <v>209</v>
      </c>
      <c r="G11" s="69" t="s">
        <v>180</v>
      </c>
      <c r="H11" s="69" t="s">
        <v>172</v>
      </c>
      <c r="I11" s="70" t="s">
        <v>181</v>
      </c>
      <c r="J11" s="63" t="s">
        <v>182</v>
      </c>
      <c r="K11" s="63" t="s">
        <v>183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1" customFormat="1" x14ac:dyDescent="0.15">
      <c r="A12" s="58" t="s">
        <v>255</v>
      </c>
      <c r="B12" s="64" t="s">
        <v>202</v>
      </c>
      <c r="C12" s="60">
        <v>59002</v>
      </c>
      <c r="D12" s="64" t="s">
        <v>170</v>
      </c>
      <c r="E12" s="65" t="str">
        <f t="shared" si="1"/>
        <v>stage_hints_i18n_59002.tmp</v>
      </c>
      <c r="F12" s="64" t="s">
        <v>210</v>
      </c>
      <c r="G12" s="70" t="s">
        <v>203</v>
      </c>
      <c r="H12" s="89" t="s">
        <v>204</v>
      </c>
      <c r="I12" s="69" t="s">
        <v>205</v>
      </c>
      <c r="J12" s="97" t="s">
        <v>206</v>
      </c>
      <c r="K12" s="63" t="s">
        <v>207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1" customFormat="1" x14ac:dyDescent="0.15">
      <c r="A13" s="58" t="s">
        <v>255</v>
      </c>
      <c r="B13" s="64" t="s">
        <v>249</v>
      </c>
      <c r="C13" s="60">
        <v>59002</v>
      </c>
      <c r="D13" s="64" t="s">
        <v>230</v>
      </c>
      <c r="E13" s="65" t="str">
        <f t="shared" si="1"/>
        <v>stage_bonuses_59002.tmp</v>
      </c>
      <c r="F13" s="64" t="s">
        <v>229</v>
      </c>
      <c r="G13" s="69" t="s">
        <v>231</v>
      </c>
      <c r="H13" s="69" t="s">
        <v>232</v>
      </c>
      <c r="I13" s="69" t="s">
        <v>233</v>
      </c>
      <c r="J13" s="69" t="s">
        <v>234</v>
      </c>
      <c r="K13" s="69" t="s">
        <v>235</v>
      </c>
      <c r="L13" s="69" t="s">
        <v>236</v>
      </c>
      <c r="M13" s="69" t="s">
        <v>237</v>
      </c>
      <c r="N13" s="69" t="s">
        <v>238</v>
      </c>
      <c r="O13" s="69" t="s">
        <v>239</v>
      </c>
      <c r="P13" s="69" t="s">
        <v>240</v>
      </c>
      <c r="Q13" s="69" t="s">
        <v>241</v>
      </c>
      <c r="R13" s="69" t="s">
        <v>242</v>
      </c>
      <c r="S13" s="69" t="s">
        <v>243</v>
      </c>
      <c r="T13" s="69" t="s">
        <v>244</v>
      </c>
      <c r="U13" s="69" t="s">
        <v>245</v>
      </c>
      <c r="V13" s="69" t="s">
        <v>246</v>
      </c>
      <c r="W13" s="69" t="s">
        <v>247</v>
      </c>
      <c r="X13" s="69" t="s">
        <v>248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H20" sqref="H2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59002_1-1</v>
      </c>
      <c r="B2" s="16" t="str">
        <f>IF(COUNTIF(enemy_habitats!$H:$H,A2),"OK","NG")</f>
        <v>OK</v>
      </c>
      <c r="C2" s="7">
        <v>59002</v>
      </c>
      <c r="D2" s="11" t="str">
        <f ca="1">VLOOKUP($C2,OFFSET([2]quests!$A$1,0,0,COUNTA([2]quests!$A:$A),MATCH(D$1,[2]quests!$1:$1,0)-MATCH($C$1,[2]quests!$1:$1,0)+1),MATCH(D$1,[2]quests!$1:$1,0)-MATCH($C$1,[2]quests!$1:$1,0)+1,FALSE)</f>
        <v>狂乱のネコ降臨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コラボ超降臨2</v>
      </c>
      <c r="F2" s="21">
        <v>1</v>
      </c>
      <c r="G2" s="23" t="str">
        <f>C2&amp;"_"&amp;F2</f>
        <v>59002_1</v>
      </c>
      <c r="H2" s="15" t="str">
        <f ca="1">VLOOKUP($G2,OFFSET([2]stages!$A$1,0,0,COUNTA([2]stages!$A:$A),MATCH(H$1,[2]stages!$2:$2,0)-MATCH($G$1,[2]stages!$2:$2,0)+1),MATCH(H$1,[2]stages!$2:$2,0)-MATCH($G$1,[2]stages!$2:$2,0)+1,FALSE)</f>
        <v>【極ムズ】狂乱のネコ降臨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ref="A3:A9" si="0">G3&amp;"-"&amp;I3</f>
        <v>59002_1-2</v>
      </c>
      <c r="B3" s="16" t="str">
        <f>IF(COUNTIF(enemy_habitats!$H:$H,A3),"OK","NG")</f>
        <v>OK</v>
      </c>
      <c r="C3" s="7">
        <v>59002</v>
      </c>
      <c r="D3" s="11" t="str">
        <f ca="1">VLOOKUP($C3,OFFSET([2]quests!$A$1,0,0,COUNTA([2]quests!$A:$A),MATCH(D$1,[2]quests!$1:$1,0)-MATCH($C$1,[2]quests!$1:$1,0)+1),MATCH(D$1,[2]quests!$1:$1,0)-MATCH($C$1,[2]quests!$1:$1,0)+1,FALSE)</f>
        <v>狂乱のネコ降臨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コラボ超降臨2</v>
      </c>
      <c r="F3" s="21">
        <v>1</v>
      </c>
      <c r="G3" s="23" t="str">
        <f t="shared" ref="G3:G9" si="1">C3&amp;"_"&amp;F3</f>
        <v>59002_1</v>
      </c>
      <c r="H3" s="15" t="str">
        <f ca="1">VLOOKUP($G3,OFFSET([2]stages!$A$1,0,0,COUNTA([2]stages!$A:$A),MATCH(H$1,[2]stages!$2:$2,0)-MATCH($G$1,[2]stages!$2:$2,0)+1),MATCH(H$1,[2]stages!$2:$2,0)-MATCH($G$1,[2]stages!$2:$2,0)+1,FALSE)</f>
        <v>【極ムズ】狂乱のネコ降臨</v>
      </c>
      <c r="I3" s="21">
        <v>2</v>
      </c>
      <c r="J3" s="12">
        <v>55</v>
      </c>
      <c r="K3" s="12">
        <v>55</v>
      </c>
    </row>
    <row r="4" spans="1:11" ht="21" customHeight="1" x14ac:dyDescent="0.15">
      <c r="A4" s="16" t="str">
        <f t="shared" si="0"/>
        <v>59002_1-3</v>
      </c>
      <c r="B4" s="16" t="str">
        <f>IF(COUNTIF(enemy_habitats!$H:$H,A4),"OK","NG")</f>
        <v>OK</v>
      </c>
      <c r="C4" s="7">
        <v>59002</v>
      </c>
      <c r="D4" s="11" t="str">
        <f ca="1">VLOOKUP($C4,OFFSET([2]quests!$A$1,0,0,COUNTA([2]quests!$A:$A),MATCH(D$1,[2]quests!$1:$1,0)-MATCH($C$1,[2]quests!$1:$1,0)+1),MATCH(D$1,[2]quests!$1:$1,0)-MATCH($C$1,[2]quests!$1:$1,0)+1,FALSE)</f>
        <v>狂乱のネコ降臨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コラボ超降臨2</v>
      </c>
      <c r="F4" s="21">
        <v>1</v>
      </c>
      <c r="G4" s="23" t="str">
        <f t="shared" si="1"/>
        <v>59002_1</v>
      </c>
      <c r="H4" s="15" t="str">
        <f ca="1">VLOOKUP($G4,OFFSET([2]stages!$A$1,0,0,COUNTA([2]stages!$A:$A),MATCH(H$1,[2]stages!$2:$2,0)-MATCH($G$1,[2]stages!$2:$2,0)+1),MATCH(H$1,[2]stages!$2:$2,0)-MATCH($G$1,[2]stages!$2:$2,0)+1,FALSE)</f>
        <v>【極ムズ】狂乱のネコ降臨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59002_1-4</v>
      </c>
      <c r="B5" s="16" t="str">
        <f>IF(COUNTIF(enemy_habitats!$H:$H,A5),"OK","NG")</f>
        <v>OK</v>
      </c>
      <c r="C5" s="7">
        <v>59002</v>
      </c>
      <c r="D5" s="11" t="str">
        <f ca="1">VLOOKUP($C5,OFFSET([2]quests!$A$1,0,0,COUNTA([2]quests!$A:$A),MATCH(D$1,[2]quests!$1:$1,0)-MATCH($C$1,[2]quests!$1:$1,0)+1),MATCH(D$1,[2]quests!$1:$1,0)-MATCH($C$1,[2]quests!$1:$1,0)+1,FALSE)</f>
        <v>狂乱のネコ降臨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コラボ超降臨2</v>
      </c>
      <c r="F5" s="21">
        <v>1</v>
      </c>
      <c r="G5" s="23" t="str">
        <f t="shared" si="1"/>
        <v>59002_1</v>
      </c>
      <c r="H5" s="15" t="str">
        <f ca="1">VLOOKUP($G5,OFFSET([2]stages!$A$1,0,0,COUNTA([2]stages!$A:$A),MATCH(H$1,[2]stages!$2:$2,0)-MATCH($G$1,[2]stages!$2:$2,0)+1),MATCH(H$1,[2]stages!$2:$2,0)-MATCH($G$1,[2]stages!$2:$2,0)+1,FALSE)</f>
        <v>【極ムズ】狂乱のネコ降臨</v>
      </c>
      <c r="I5" s="21">
        <v>4</v>
      </c>
      <c r="J5" s="12">
        <v>30</v>
      </c>
      <c r="K5" s="12">
        <v>30</v>
      </c>
    </row>
    <row r="6" spans="1:11" ht="21" customHeight="1" x14ac:dyDescent="0.15">
      <c r="A6" s="16" t="str">
        <f t="shared" si="0"/>
        <v>59002_1-5</v>
      </c>
      <c r="B6" s="16" t="str">
        <f>IF(COUNTIF(enemy_habitats!$H:$H,A6),"OK","NG")</f>
        <v>OK</v>
      </c>
      <c r="C6" s="7">
        <v>59002</v>
      </c>
      <c r="D6" s="11" t="str">
        <f ca="1">VLOOKUP($C6,OFFSET([2]quests!$A$1,0,0,COUNTA([2]quests!$A:$A),MATCH(D$1,[2]quests!$1:$1,0)-MATCH($C$1,[2]quests!$1:$1,0)+1),MATCH(D$1,[2]quests!$1:$1,0)-MATCH($C$1,[2]quests!$1:$1,0)+1,FALSE)</f>
        <v>狂乱のネコ降臨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コラボ超降臨2</v>
      </c>
      <c r="F6" s="21">
        <v>1</v>
      </c>
      <c r="G6" s="23" t="str">
        <f t="shared" si="1"/>
        <v>59002_1</v>
      </c>
      <c r="H6" s="15" t="str">
        <f ca="1">VLOOKUP($G6,OFFSET([2]stages!$A$1,0,0,COUNTA([2]stages!$A:$A),MATCH(H$1,[2]stages!$2:$2,0)-MATCH($G$1,[2]stages!$2:$2,0)+1),MATCH(H$1,[2]stages!$2:$2,0)-MATCH($G$1,[2]stages!$2:$2,0)+1,FALSE)</f>
        <v>【極ムズ】狂乱のネコ降臨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59002_1-6</v>
      </c>
      <c r="B7" s="16" t="str">
        <f>IF(COUNTIF(enemy_habitats!$H:$H,A7),"OK","NG")</f>
        <v>OK</v>
      </c>
      <c r="C7" s="7">
        <v>59002</v>
      </c>
      <c r="D7" s="11" t="str">
        <f ca="1">VLOOKUP($C7,OFFSET([2]quests!$A$1,0,0,COUNTA([2]quests!$A:$A),MATCH(D$1,[2]quests!$1:$1,0)-MATCH($C$1,[2]quests!$1:$1,0)+1),MATCH(D$1,[2]quests!$1:$1,0)-MATCH($C$1,[2]quests!$1:$1,0)+1,FALSE)</f>
        <v>狂乱のネコ降臨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コラボ超降臨2</v>
      </c>
      <c r="F7" s="21">
        <v>1</v>
      </c>
      <c r="G7" s="23" t="str">
        <f t="shared" si="1"/>
        <v>59002_1</v>
      </c>
      <c r="H7" s="15" t="str">
        <f ca="1">VLOOKUP($G7,OFFSET([2]stages!$A$1,0,0,COUNTA([2]stages!$A:$A),MATCH(H$1,[2]stages!$2:$2,0)-MATCH($G$1,[2]stages!$2:$2,0)+1),MATCH(H$1,[2]stages!$2:$2,0)-MATCH($G$1,[2]stages!$2:$2,0)+1,FALSE)</f>
        <v>【極ムズ】狂乱のネコ降臨</v>
      </c>
      <c r="I7" s="21">
        <v>6</v>
      </c>
      <c r="J7" s="12">
        <v>60</v>
      </c>
      <c r="K7" s="12">
        <v>60</v>
      </c>
    </row>
    <row r="8" spans="1:11" ht="21" customHeight="1" x14ac:dyDescent="0.15">
      <c r="A8" s="16" t="str">
        <f t="shared" ref="A8" si="2">G8&amp;"-"&amp;I8</f>
        <v>59002_1-7</v>
      </c>
      <c r="B8" s="16" t="str">
        <f>IF(COUNTIF(enemy_habitats!$H:$H,A8),"OK","NG")</f>
        <v>OK</v>
      </c>
      <c r="C8" s="7">
        <v>59002</v>
      </c>
      <c r="D8" s="11" t="str">
        <f ca="1">VLOOKUP($C8,OFFSET([2]quests!$A$1,0,0,COUNTA([2]quests!$A:$A),MATCH(D$1,[2]quests!$1:$1,0)-MATCH($C$1,[2]quests!$1:$1,0)+1),MATCH(D$1,[2]quests!$1:$1,0)-MATCH($C$1,[2]quests!$1:$1,0)+1,FALSE)</f>
        <v>狂乱のネコ降臨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コラボ超降臨2</v>
      </c>
      <c r="F8" s="21">
        <v>1</v>
      </c>
      <c r="G8" s="23" t="str">
        <f t="shared" ref="G8" si="3">C8&amp;"_"&amp;F8</f>
        <v>59002_1</v>
      </c>
      <c r="H8" s="15" t="str">
        <f ca="1">VLOOKUP($G8,OFFSET([2]stages!$A$1,0,0,COUNTA([2]stages!$A:$A),MATCH(H$1,[2]stages!$2:$2,0)-MATCH($G$1,[2]stages!$2:$2,0)+1),MATCH(H$1,[2]stages!$2:$2,0)-MATCH($G$1,[2]stages!$2:$2,0)+1,FALSE)</f>
        <v>【極ムズ】狂乱のネコ降臨</v>
      </c>
      <c r="I8" s="21">
        <v>7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59002_1-8</v>
      </c>
      <c r="B9" s="16" t="str">
        <f>IF(COUNTIF(enemy_habitats!$H:$H,A9),"OK","NG")</f>
        <v>OK</v>
      </c>
      <c r="C9" s="7">
        <v>59002</v>
      </c>
      <c r="D9" s="11" t="str">
        <f ca="1">VLOOKUP($C9,OFFSET([2]quests!$A$1,0,0,COUNTA([2]quests!$A:$A),MATCH(D$1,[2]quests!$1:$1,0)-MATCH($C$1,[2]quests!$1:$1,0)+1),MATCH(D$1,[2]quests!$1:$1,0)-MATCH($C$1,[2]quests!$1:$1,0)+1,FALSE)</f>
        <v>狂乱のネコ降臨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コラボ超降臨2</v>
      </c>
      <c r="F9" s="21">
        <v>1</v>
      </c>
      <c r="G9" s="23" t="str">
        <f t="shared" si="1"/>
        <v>59002_1</v>
      </c>
      <c r="H9" s="15" t="str">
        <f ca="1">VLOOKUP($G9,OFFSET([2]stages!$A$1,0,0,COUNTA([2]stages!$A:$A),MATCH(H$1,[2]stages!$2:$2,0)-MATCH($G$1,[2]stages!$2:$2,0)+1),MATCH(H$1,[2]stages!$2:$2,0)-MATCH($G$1,[2]stages!$2:$2,0)+1,FALSE)</f>
        <v>【極ムズ】狂乱のネコ降臨</v>
      </c>
      <c r="I9" s="21">
        <v>8</v>
      </c>
      <c r="J9" s="12">
        <v>60</v>
      </c>
      <c r="K9" s="12">
        <v>60</v>
      </c>
    </row>
    <row r="10" spans="1:11" ht="21" customHeight="1" x14ac:dyDescent="0.15">
      <c r="A10" s="16" t="str">
        <f t="shared" ref="A10" si="4">G10&amp;"-"&amp;I10</f>
        <v>59002_1-9</v>
      </c>
      <c r="B10" s="16" t="str">
        <f>IF(COUNTIF(enemy_habitats!$H:$H,A10),"OK","NG")</f>
        <v>OK</v>
      </c>
      <c r="C10" s="7">
        <v>59002</v>
      </c>
      <c r="D10" s="11" t="str">
        <f ca="1">VLOOKUP($C10,OFFSET([2]quests!$A$1,0,0,COUNTA([2]quests!$A:$A),MATCH(D$1,[2]quests!$1:$1,0)-MATCH($C$1,[2]quests!$1:$1,0)+1),MATCH(D$1,[2]quests!$1:$1,0)-MATCH($C$1,[2]quests!$1:$1,0)+1,FALSE)</f>
        <v>狂乱のネコ降臨</v>
      </c>
      <c r="E10" s="18" t="str">
        <f ca="1">VLOOKUP($C10,OFFSET([2]quests!$A$1,0,0,COUNTA([2]quests!$A:$A),MATCH(E$1,[2]quests!$1:$1,0)-MATCH($C$1,[2]quests!$1:$1,0)+1),MATCH(E$1,[2]quests!$1:$1,0)-MATCH($C$1,[2]quests!$1:$1,0)+1,FALSE)</f>
        <v>コラボ超降臨2</v>
      </c>
      <c r="F10" s="21">
        <v>1</v>
      </c>
      <c r="G10" s="23" t="str">
        <f t="shared" ref="G10" si="5">C10&amp;"_"&amp;F10</f>
        <v>59002_1</v>
      </c>
      <c r="H10" s="15" t="str">
        <f ca="1">VLOOKUP($G10,OFFSET([2]stages!$A$1,0,0,COUNTA([2]stages!$A:$A),MATCH(H$1,[2]stages!$2:$2,0)-MATCH($G$1,[2]stages!$2:$2,0)+1),MATCH(H$1,[2]stages!$2:$2,0)-MATCH($G$1,[2]stages!$2:$2,0)+1,FALSE)</f>
        <v>【極ムズ】狂乱のネコ降臨</v>
      </c>
      <c r="I10" s="21">
        <v>9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workbookViewId="0">
      <pane xSplit="17" ySplit="1" topLeftCell="AJ2" activePane="bottomRight" state="frozen"/>
      <selection pane="topRight" activeCell="N1" sqref="N1"/>
      <selection pane="bottomLeft" activeCell="A2" sqref="A2"/>
      <selection pane="bottomRight" activeCell="M20" sqref="M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0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8.1640625" style="3" customWidth="1"/>
    <col min="25" max="25" width="12.1640625" style="3" customWidth="1" outlineLevel="1"/>
    <col min="26" max="26" width="11.33203125" style="3" customWidth="1"/>
    <col min="27" max="27" width="11.6640625" style="3" customWidth="1"/>
    <col min="28" max="28" width="10.6640625" style="3" customWidth="1"/>
    <col min="29" max="29" width="9.33203125" style="3" customWidth="1"/>
    <col min="30" max="30" width="13" style="3" customWidth="1"/>
    <col min="31" max="31" width="13.66406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8" t="s">
        <v>250</v>
      </c>
      <c r="U1" s="26" t="s">
        <v>50</v>
      </c>
      <c r="V1" s="98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59002_1-1/1506&lt;lv80&gt;s2</v>
      </c>
      <c r="B2" s="22">
        <v>59002</v>
      </c>
      <c r="C2" s="21">
        <v>1</v>
      </c>
      <c r="D2" s="2" t="str">
        <f>B2&amp;"_"&amp;C2</f>
        <v>59002_1</v>
      </c>
      <c r="E2" s="4" t="str">
        <f ca="1">VLOOKUP($B2,OFFSET([2]quests!$A$1,0,0,COUNTA([2]quests!$A:$A),MATCH(E$1,[2]quests!$1:$1,0)-MATCH($B$1,[2]quests!$1:$1,0)+1),MATCH(E$1,[2]quests!$1:$1,0)-MATCH($B$1,[2]quests!$1:$1,0)+1,FALSE)</f>
        <v>狂乱のネコ降臨</v>
      </c>
      <c r="F2" s="4" t="str">
        <f ca="1">VLOOKUP($D2,OFFSET([2]stages!$A$1,0,0,COUNTA([2]stages!$A:$A),MATCH(F$1,[2]stages!$2:$2,0)-MATCH($D$1,[2]stages!$2:$2,0)+1),MATCH(F$1,[2]stages!$2:$2,0)-MATCH($D$1,[2]stages!$2:$2,0)+1,FALSE)</f>
        <v>【極ムズ】狂乱のネコ降臨</v>
      </c>
      <c r="G2" s="21">
        <v>1</v>
      </c>
      <c r="H2" s="15" t="str">
        <f>B2&amp;"_"&amp;C2&amp;"-"&amp;G2</f>
        <v>59002_1-1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254</v>
      </c>
      <c r="L2" s="20">
        <v>1506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バトルネコ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0.5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48900</v>
      </c>
      <c r="U2" s="25">
        <v>0.4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4312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" s="59">
        <v>59002001</v>
      </c>
      <c r="Z2" s="6">
        <v>0</v>
      </c>
      <c r="AA2" s="6">
        <v>100</v>
      </c>
      <c r="AB2" s="6">
        <v>1</v>
      </c>
      <c r="AC2" s="103">
        <v>2</v>
      </c>
      <c r="AD2" s="24">
        <f>L2</f>
        <v>1506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ca="1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6">
        <v>1</v>
      </c>
    </row>
    <row r="3" spans="1:42" ht="21" customHeight="1" x14ac:dyDescent="0.15">
      <c r="A3" s="16" t="str">
        <f>B3&amp;"_"&amp;C3&amp;"-"&amp;G3&amp;"/"&amp;L3&amp;"&lt;lv"&amp;R3&amp;"&gt;s"&amp;AC3</f>
        <v>59002_1-1/1504&lt;lv80&gt;s2</v>
      </c>
      <c r="B3" s="22">
        <v>59002</v>
      </c>
      <c r="C3" s="21">
        <v>1</v>
      </c>
      <c r="D3" s="2" t="str">
        <f>B3&amp;"_"&amp;C3</f>
        <v>59002_1</v>
      </c>
      <c r="E3" s="4" t="str">
        <f ca="1">VLOOKUP($B3,OFFSET([2]quests!$A$1,0,0,COUNTA([2]quests!$A:$A),MATCH(E$1,[2]quests!$1:$1,0)-MATCH($B$1,[2]quests!$1:$1,0)+1),MATCH(E$1,[2]quests!$1:$1,0)-MATCH($B$1,[2]quests!$1:$1,0)+1,FALSE)</f>
        <v>狂乱のネコ降臨</v>
      </c>
      <c r="F3" s="4" t="str">
        <f ca="1">VLOOKUP($D3,OFFSET([2]stages!$A$1,0,0,COUNTA([2]stages!$A:$A),MATCH(F$1,[2]stages!$2:$2,0)-MATCH($D$1,[2]stages!$2:$2,0)+1),MATCH(F$1,[2]stages!$2:$2,0)-MATCH($D$1,[2]stages!$2:$2,0)+1,FALSE)</f>
        <v>【極ムズ】狂乱のネコ降臨</v>
      </c>
      <c r="G3" s="21">
        <v>1</v>
      </c>
      <c r="H3" s="15" t="str">
        <f>B3&amp;"_"&amp;C3&amp;"-"&amp;G3</f>
        <v>59002_1-1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254</v>
      </c>
      <c r="L3" s="20">
        <v>1504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ネコ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0.2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24939</v>
      </c>
      <c r="U3" s="25">
        <v>0.4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3268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" s="59">
        <v>59002002</v>
      </c>
      <c r="Z3" s="6">
        <v>2</v>
      </c>
      <c r="AA3" s="6">
        <v>100</v>
      </c>
      <c r="AB3" s="6">
        <v>0</v>
      </c>
      <c r="AC3" s="103">
        <v>2</v>
      </c>
      <c r="AD3" s="24">
        <f>L3</f>
        <v>1504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ネコ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4">
        <f ca="1">AF3</f>
        <v>1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6">
        <v>1</v>
      </c>
    </row>
    <row r="4" spans="1:42" ht="21" customHeight="1" x14ac:dyDescent="0.15">
      <c r="A4" s="16" t="str">
        <f t="shared" ref="A4:A5" si="0">B4&amp;"_"&amp;C4&amp;"-"&amp;G4&amp;"/"&amp;L4&amp;"&lt;lv"&amp;R4&amp;"&gt;s"&amp;AC4</f>
        <v>59002_1-2/1507&lt;lv80&gt;s3</v>
      </c>
      <c r="B4" s="22">
        <v>59002</v>
      </c>
      <c r="C4" s="21">
        <v>1</v>
      </c>
      <c r="D4" s="2" t="str">
        <f t="shared" ref="D4:D5" si="1">B4&amp;"_"&amp;C4</f>
        <v>59002_1</v>
      </c>
      <c r="E4" s="4" t="str">
        <f ca="1">VLOOKUP($B4,OFFSET([2]quests!$A$1,0,0,COUNTA([2]quests!$A:$A),MATCH(E$1,[2]quests!$1:$1,0)-MATCH($B$1,[2]quests!$1:$1,0)+1),MATCH(E$1,[2]quests!$1:$1,0)-MATCH($B$1,[2]quests!$1:$1,0)+1,FALSE)</f>
        <v>狂乱のネコ降臨</v>
      </c>
      <c r="F4" s="4" t="str">
        <f ca="1">VLOOKUP($D4,OFFSET([2]stages!$A$1,0,0,COUNTA([2]stages!$A:$A),MATCH(F$1,[2]stages!$2:$2,0)-MATCH($D$1,[2]stages!$2:$2,0)+1),MATCH(F$1,[2]stages!$2:$2,0)-MATCH($D$1,[2]stages!$2:$2,0)+1,FALSE)</f>
        <v>【極ムズ】狂乱のネコ降臨</v>
      </c>
      <c r="G4" s="21">
        <v>2</v>
      </c>
      <c r="H4" s="15" t="str">
        <f t="shared" ref="H4:H5" si="2">B4&amp;"_"&amp;C4&amp;"-"&amp;G4</f>
        <v>59002_1-2</v>
      </c>
      <c r="I4" s="4">
        <f ca="1">VLOOKUP($H4,OFFSET(floors!$A$1,0,0,COUNTA(floors!$A:$A),MATCH(I$1,floors!$1:$1,0)-MATCH($H$1,floors!$1:$1,0)+1),MATCH(I$1,floors!$1:$1,0)-MATCH($H$1,floors!$1:$1,0)+1,FALSE)</f>
        <v>55</v>
      </c>
      <c r="J4" s="4">
        <f ca="1">VLOOKUP($H4,OFFSET(floors!$A$1,0,0,COUNTA(floors!$A:$A),MATCH(J$1,floors!$1:$1,0)-MATCH($H$1,floors!$1:$1,0)+1),MATCH(J$1,floors!$1:$1,0)-MATCH($H$1,floors!$1:$1,0)+1,FALSE)</f>
        <v>55</v>
      </c>
      <c r="K4" s="38" t="s">
        <v>254</v>
      </c>
      <c r="L4" s="20">
        <v>1507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キモネコ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25</v>
      </c>
      <c r="R4" s="5">
        <v>80</v>
      </c>
      <c r="S4" s="25">
        <v>0.3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31785</v>
      </c>
      <c r="U4" s="25">
        <v>0.9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10089.9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種族Unknownのユニットに_x000D_大ダメージの全体攻撃</v>
      </c>
      <c r="Y4" s="59">
        <v>59002003</v>
      </c>
      <c r="Z4" s="6">
        <v>1</v>
      </c>
      <c r="AA4" s="6">
        <v>100</v>
      </c>
      <c r="AB4" s="6">
        <v>1</v>
      </c>
      <c r="AC4" s="103">
        <v>3</v>
      </c>
      <c r="AD4" s="24">
        <f t="shared" ref="AD4:AD5" si="3">L4</f>
        <v>1507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キモネコ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ref="AI4:AI5" ca="1" si="4">AF4</f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6">
        <v>1</v>
      </c>
    </row>
    <row r="5" spans="1:42" ht="21" customHeight="1" x14ac:dyDescent="0.15">
      <c r="A5" s="16" t="str">
        <f t="shared" si="0"/>
        <v>59002_1-2/1505&lt;lv80&gt;s3</v>
      </c>
      <c r="B5" s="22">
        <v>59002</v>
      </c>
      <c r="C5" s="21">
        <v>1</v>
      </c>
      <c r="D5" s="2" t="str">
        <f t="shared" si="1"/>
        <v>59002_1</v>
      </c>
      <c r="E5" s="4" t="str">
        <f ca="1">VLOOKUP($B5,OFFSET([2]quests!$A$1,0,0,COUNTA([2]quests!$A:$A),MATCH(E$1,[2]quests!$1:$1,0)-MATCH($B$1,[2]quests!$1:$1,0)+1),MATCH(E$1,[2]quests!$1:$1,0)-MATCH($B$1,[2]quests!$1:$1,0)+1,FALSE)</f>
        <v>狂乱のネコ降臨</v>
      </c>
      <c r="F5" s="4" t="str">
        <f ca="1">VLOOKUP($D5,OFFSET([2]stages!$A$1,0,0,COUNTA([2]stages!$A:$A),MATCH(F$1,[2]stages!$2:$2,0)-MATCH($D$1,[2]stages!$2:$2,0)+1),MATCH(F$1,[2]stages!$2:$2,0)-MATCH($D$1,[2]stages!$2:$2,0)+1,FALSE)</f>
        <v>【極ムズ】狂乱のネコ降臨</v>
      </c>
      <c r="G5" s="21">
        <v>2</v>
      </c>
      <c r="H5" s="15" t="str">
        <f t="shared" si="2"/>
        <v>59002_1-2</v>
      </c>
      <c r="I5" s="4">
        <f ca="1">VLOOKUP($H5,OFFSET(floors!$A$1,0,0,COUNTA(floors!$A:$A),MATCH(I$1,floors!$1:$1,0)-MATCH($H$1,floors!$1:$1,0)+1),MATCH(I$1,floors!$1:$1,0)-MATCH($H$1,floors!$1:$1,0)+1,FALSE)</f>
        <v>55</v>
      </c>
      <c r="J5" s="4">
        <f ca="1">VLOOKUP($H5,OFFSET(floors!$A$1,0,0,COUNTA(floors!$A:$A),MATCH(J$1,floors!$1:$1,0)-MATCH($H$1,floors!$1:$1,0)+1),MATCH(J$1,floors!$1:$1,0)-MATCH($H$1,floors!$1:$1,0)+1,FALSE)</f>
        <v>55</v>
      </c>
      <c r="K5" s="38" t="s">
        <v>254</v>
      </c>
      <c r="L5" s="20">
        <v>1505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タンクネコ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80</v>
      </c>
      <c r="S5" s="25">
        <v>0.3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41565</v>
      </c>
      <c r="U5" s="25">
        <v>0.5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4361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敵全体に状態異常耐性+_x000D_キモネコの防御力激烈UP</v>
      </c>
      <c r="Y5" s="59">
        <v>59002004</v>
      </c>
      <c r="Z5" s="6">
        <v>1</v>
      </c>
      <c r="AA5" s="6">
        <v>100</v>
      </c>
      <c r="AB5" s="6">
        <v>0</v>
      </c>
      <c r="AC5" s="103">
        <v>3</v>
      </c>
      <c r="AD5" s="24">
        <f t="shared" si="3"/>
        <v>1505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Drop1T</v>
      </c>
      <c r="AH5" s="7">
        <v>1</v>
      </c>
      <c r="AI5" s="24">
        <f t="shared" ca="1" si="4"/>
        <v>1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6">
        <v>1</v>
      </c>
    </row>
    <row r="6" spans="1:42" ht="21" customHeight="1" x14ac:dyDescent="0.15">
      <c r="A6" s="16" t="str">
        <f>B6&amp;"_"&amp;C6&amp;"-"&amp;G6&amp;"/"&amp;L6&amp;"&lt;lv"&amp;R6&amp;"&gt;s"&amp;AC6</f>
        <v>59002_1-2/1504&lt;lv80&gt;s2</v>
      </c>
      <c r="B6" s="22">
        <v>59002</v>
      </c>
      <c r="C6" s="21">
        <v>1</v>
      </c>
      <c r="D6" s="2" t="str">
        <f>B6&amp;"_"&amp;C6</f>
        <v>59002_1</v>
      </c>
      <c r="E6" s="4" t="str">
        <f ca="1">VLOOKUP($B6,OFFSET([2]quests!$A$1,0,0,COUNTA([2]quests!$A:$A),MATCH(E$1,[2]quests!$1:$1,0)-MATCH($B$1,[2]quests!$1:$1,0)+1),MATCH(E$1,[2]quests!$1:$1,0)-MATCH($B$1,[2]quests!$1:$1,0)+1,FALSE)</f>
        <v>狂乱のネコ降臨</v>
      </c>
      <c r="F6" s="4" t="str">
        <f ca="1">VLOOKUP($D6,OFFSET([2]stages!$A$1,0,0,COUNTA([2]stages!$A:$A),MATCH(F$1,[2]stages!$2:$2,0)-MATCH($D$1,[2]stages!$2:$2,0)+1),MATCH(F$1,[2]stages!$2:$2,0)-MATCH($D$1,[2]stages!$2:$2,0)+1,FALSE)</f>
        <v>【極ムズ】狂乱のネコ降臨</v>
      </c>
      <c r="G6" s="21">
        <v>2</v>
      </c>
      <c r="H6" s="15" t="str">
        <f>B6&amp;"_"&amp;C6&amp;"-"&amp;G6</f>
        <v>59002_1-2</v>
      </c>
      <c r="I6" s="4">
        <f ca="1">VLOOKUP($H6,OFFSET(floors!$A$1,0,0,COUNTA(floors!$A:$A),MATCH(I$1,floors!$1:$1,0)-MATCH($H$1,floors!$1:$1,0)+1),MATCH(I$1,floors!$1:$1,0)-MATCH($H$1,floors!$1:$1,0)+1,FALSE)</f>
        <v>55</v>
      </c>
      <c r="J6" s="4">
        <f ca="1">VLOOKUP($H6,OFFSET(floors!$A$1,0,0,COUNTA(floors!$A:$A),MATCH(J$1,floors!$1:$1,0)-MATCH($H$1,floors!$1:$1,0)+1),MATCH(J$1,floors!$1:$1,0)-MATCH($H$1,floors!$1:$1,0)+1,FALSE)</f>
        <v>55</v>
      </c>
      <c r="K6" s="38" t="s">
        <v>289</v>
      </c>
      <c r="L6" s="20">
        <v>1504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ネコ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25">
        <v>0.2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24939</v>
      </c>
      <c r="U6" s="25">
        <v>0.4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3268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6" s="59">
        <v>59002002</v>
      </c>
      <c r="Z6" s="6">
        <v>1</v>
      </c>
      <c r="AA6" s="6">
        <v>100</v>
      </c>
      <c r="AB6" s="6">
        <v>0</v>
      </c>
      <c r="AC6" s="103">
        <v>2</v>
      </c>
      <c r="AD6" s="24">
        <f>L6</f>
        <v>1504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ネコ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" s="7">
        <v>1</v>
      </c>
      <c r="AI6" s="24">
        <f ca="1">AF6</f>
        <v>1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6">
        <v>1</v>
      </c>
    </row>
    <row r="7" spans="1:42" ht="21" customHeight="1" x14ac:dyDescent="0.15">
      <c r="A7" s="16" t="str">
        <f t="shared" ref="A7" si="5">B7&amp;"_"&amp;C7&amp;"-"&amp;G7&amp;"/"&amp;L7&amp;"&lt;lv"&amp;R7&amp;"&gt;s"&amp;AC7</f>
        <v>59002_1-3/1512&lt;lv80&gt;s1</v>
      </c>
      <c r="B7" s="22">
        <v>59002</v>
      </c>
      <c r="C7" s="21">
        <v>1</v>
      </c>
      <c r="D7" s="2" t="str">
        <f t="shared" ref="D7" si="6">B7&amp;"_"&amp;C7</f>
        <v>59002_1</v>
      </c>
      <c r="E7" s="4" t="str">
        <f ca="1">VLOOKUP($B7,OFFSET([2]quests!$A$1,0,0,COUNTA([2]quests!$A:$A),MATCH(E$1,[2]quests!$1:$1,0)-MATCH($B$1,[2]quests!$1:$1,0)+1),MATCH(E$1,[2]quests!$1:$1,0)-MATCH($B$1,[2]quests!$1:$1,0)+1,FALSE)</f>
        <v>狂乱のネコ降臨</v>
      </c>
      <c r="F7" s="4" t="str">
        <f ca="1">VLOOKUP($D7,OFFSET([2]stages!$A$1,0,0,COUNTA([2]stages!$A:$A),MATCH(F$1,[2]stages!$2:$2,0)-MATCH($D$1,[2]stages!$2:$2,0)+1),MATCH(F$1,[2]stages!$2:$2,0)-MATCH($D$1,[2]stages!$2:$2,0)+1,FALSE)</f>
        <v>【極ムズ】狂乱のネコ降臨</v>
      </c>
      <c r="G7" s="21">
        <v>3</v>
      </c>
      <c r="H7" s="15" t="str">
        <f t="shared" ref="H7" si="7">B7&amp;"_"&amp;C7&amp;"-"&amp;G7</f>
        <v>59002_1-3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88</v>
      </c>
      <c r="L7" s="20">
        <v>1512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ネコヴァルキリー･聖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3.5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25">
        <v>0.8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状態異常耐性+_x000D_15ターン全ユニットのCパネル生成延長(効果特大)+_x000D_緑&amp;黄パネルプロテクト</v>
      </c>
      <c r="Y7" s="59">
        <v>59002005</v>
      </c>
      <c r="Z7" s="6">
        <v>0</v>
      </c>
      <c r="AA7" s="6">
        <v>100</v>
      </c>
      <c r="AB7" s="6">
        <v>1</v>
      </c>
      <c r="AC7" s="103">
        <v>1</v>
      </c>
      <c r="AD7" s="24">
        <f t="shared" ref="AD7" si="8">L7</f>
        <v>1512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ネコヴァルキリー･聖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6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ref="AI7" ca="1" si="9">AF7</f>
        <v>6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6">
        <v>1</v>
      </c>
    </row>
    <row r="8" spans="1:42" ht="21" customHeight="1" x14ac:dyDescent="0.15">
      <c r="A8" s="16" t="str">
        <f t="shared" ref="A8" si="10">B8&amp;"_"&amp;C8&amp;"-"&amp;G8&amp;"/"&amp;L8&amp;"&lt;lv"&amp;R8&amp;"&gt;s"&amp;AC8</f>
        <v>59002_1-4/1508&lt;lv80&gt;s2</v>
      </c>
      <c r="B8" s="22">
        <v>59002</v>
      </c>
      <c r="C8" s="21">
        <v>1</v>
      </c>
      <c r="D8" s="2" t="str">
        <f t="shared" ref="D8" si="11">B8&amp;"_"&amp;C8</f>
        <v>59002_1</v>
      </c>
      <c r="E8" s="4" t="str">
        <f ca="1">VLOOKUP($B8,OFFSET([2]quests!$A$1,0,0,COUNTA([2]quests!$A:$A),MATCH(E$1,[2]quests!$1:$1,0)-MATCH($B$1,[2]quests!$1:$1,0)+1),MATCH(E$1,[2]quests!$1:$1,0)-MATCH($B$1,[2]quests!$1:$1,0)+1,FALSE)</f>
        <v>狂乱のネコ降臨</v>
      </c>
      <c r="F8" s="4" t="str">
        <f ca="1">VLOOKUP($D8,OFFSET([2]stages!$A$1,0,0,COUNTA([2]stages!$A:$A),MATCH(F$1,[2]stages!$2:$2,0)-MATCH($D$1,[2]stages!$2:$2,0)+1),MATCH(F$1,[2]stages!$2:$2,0)-MATCH($D$1,[2]stages!$2:$2,0)+1,FALSE)</f>
        <v>【極ムズ】狂乱のネコ降臨</v>
      </c>
      <c r="G8" s="21">
        <v>4</v>
      </c>
      <c r="H8" s="15" t="str">
        <f t="shared" ref="H8" si="12">B8&amp;"_"&amp;C8&amp;"-"&amp;G8</f>
        <v>59002_1-4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8" t="s">
        <v>254</v>
      </c>
      <c r="L8" s="20">
        <v>1508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ネコノトリ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25">
        <v>1</v>
      </c>
      <c r="T8" s="9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25">
        <v>0.6</v>
      </c>
      <c r="V8" s="9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4ターン全ユニットの回復力50%DOWN</v>
      </c>
      <c r="Y8" s="59">
        <v>59002006</v>
      </c>
      <c r="Z8" s="6">
        <v>0</v>
      </c>
      <c r="AA8" s="6">
        <v>100</v>
      </c>
      <c r="AB8" s="6">
        <v>1</v>
      </c>
      <c r="AC8" s="103">
        <v>2</v>
      </c>
      <c r="AD8" s="24">
        <f t="shared" ref="AD8" si="13">L8</f>
        <v>1508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ネコノトリ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7">
        <v>1</v>
      </c>
      <c r="AI8" s="24">
        <f t="shared" ref="AI8" ca="1" si="14">AF8</f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6">
        <v>1</v>
      </c>
    </row>
    <row r="9" spans="1:42" ht="21" customHeight="1" x14ac:dyDescent="0.15">
      <c r="A9" s="16" t="str">
        <f t="shared" ref="A9:A12" si="15">B9&amp;"_"&amp;C9&amp;"-"&amp;G9&amp;"/"&amp;L9&amp;"&lt;lv"&amp;R9&amp;"&gt;s"&amp;AC9</f>
        <v>59002_1-5/1509&lt;lv80&gt;s2</v>
      </c>
      <c r="B9" s="22">
        <v>59002</v>
      </c>
      <c r="C9" s="21">
        <v>1</v>
      </c>
      <c r="D9" s="2" t="str">
        <f t="shared" ref="D9:D12" si="16">B9&amp;"_"&amp;C9</f>
        <v>59002_1</v>
      </c>
      <c r="E9" s="4" t="str">
        <f ca="1">VLOOKUP($B9,OFFSET([2]quests!$A$1,0,0,COUNTA([2]quests!$A:$A),MATCH(E$1,[2]quests!$1:$1,0)-MATCH($B$1,[2]quests!$1:$1,0)+1),MATCH(E$1,[2]quests!$1:$1,0)-MATCH($B$1,[2]quests!$1:$1,0)+1,FALSE)</f>
        <v>狂乱のネコ降臨</v>
      </c>
      <c r="F9" s="4" t="str">
        <f ca="1">VLOOKUP($D9,OFFSET([2]stages!$A$1,0,0,COUNTA([2]stages!$A:$A),MATCH(F$1,[2]stages!$2:$2,0)-MATCH($D$1,[2]stages!$2:$2,0)+1),MATCH(F$1,[2]stages!$2:$2,0)-MATCH($D$1,[2]stages!$2:$2,0)+1,FALSE)</f>
        <v>【極ムズ】狂乱のネコ降臨</v>
      </c>
      <c r="G9" s="21">
        <v>5</v>
      </c>
      <c r="H9" s="15" t="str">
        <f t="shared" ref="H9:H12" si="17">B9&amp;"_"&amp;C9&amp;"-"&amp;G9</f>
        <v>59002_1-5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254</v>
      </c>
      <c r="L9" s="20">
        <v>1509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巨神ネコ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5">
        <v>0.7</v>
      </c>
      <c r="T9" s="9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0</v>
      </c>
      <c r="U9" s="25">
        <v>0.8</v>
      </c>
      <c r="V9" s="9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0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自身の防御力UP</v>
      </c>
      <c r="Y9" s="59">
        <v>59002007</v>
      </c>
      <c r="Z9" s="6">
        <v>0</v>
      </c>
      <c r="AA9" s="6">
        <v>100</v>
      </c>
      <c r="AB9" s="6">
        <v>1</v>
      </c>
      <c r="AC9" s="103">
        <v>2</v>
      </c>
      <c r="AD9" s="24">
        <f t="shared" ref="AD9:AD12" si="18">L9</f>
        <v>1509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巨神ネコ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7">
        <v>1</v>
      </c>
      <c r="AI9" s="24">
        <f t="shared" ref="AI9:AI12" ca="1" si="19">AF9</f>
        <v>5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6">
        <v>1</v>
      </c>
    </row>
    <row r="10" spans="1:42" ht="21" customHeight="1" x14ac:dyDescent="0.15">
      <c r="A10" s="16" t="str">
        <f t="shared" si="15"/>
        <v>59002_1-6/1524&lt;lv80&gt;s1</v>
      </c>
      <c r="B10" s="22">
        <v>59002</v>
      </c>
      <c r="C10" s="21">
        <v>1</v>
      </c>
      <c r="D10" s="2" t="str">
        <f t="shared" si="16"/>
        <v>59002_1</v>
      </c>
      <c r="E10" s="4" t="str">
        <f ca="1">VLOOKUP($B10,OFFSET([2]quests!$A$1,0,0,COUNTA([2]quests!$A:$A),MATCH(E$1,[2]quests!$1:$1,0)-MATCH($B$1,[2]quests!$1:$1,0)+1),MATCH(E$1,[2]quests!$1:$1,0)-MATCH($B$1,[2]quests!$1:$1,0)+1,FALSE)</f>
        <v>狂乱のネコ降臨</v>
      </c>
      <c r="F10" s="4" t="str">
        <f ca="1">VLOOKUP($D10,OFFSET([2]stages!$A$1,0,0,COUNTA([2]stages!$A:$A),MATCH(F$1,[2]stages!$2:$2,0)-MATCH($D$1,[2]stages!$2:$2,0)+1),MATCH(F$1,[2]stages!$2:$2,0)-MATCH($D$1,[2]stages!$2:$2,0)+1,FALSE)</f>
        <v>【極ムズ】狂乱のネコ降臨</v>
      </c>
      <c r="G10" s="21">
        <v>6</v>
      </c>
      <c r="H10" s="15" t="str">
        <f t="shared" si="17"/>
        <v>59002_1-6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254</v>
      </c>
      <c r="L10" s="20">
        <v>1524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狂乱のネコムート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80</v>
      </c>
      <c r="S10" s="25">
        <v>5.8</v>
      </c>
      <c r="T10" s="99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0</v>
      </c>
      <c r="U10" s="25">
        <v>0.9</v>
      </c>
      <c r="V10" s="99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0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状態異常耐性+_x000D_確率で赤パネルを青パネルに変換してドロップ</v>
      </c>
      <c r="Y10" s="59">
        <v>59002008</v>
      </c>
      <c r="Z10" s="6">
        <v>0</v>
      </c>
      <c r="AA10" s="6">
        <v>100</v>
      </c>
      <c r="AB10" s="6">
        <v>1</v>
      </c>
      <c r="AC10" s="103">
        <v>1</v>
      </c>
      <c r="AD10" s="24">
        <f t="shared" si="18"/>
        <v>1524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狂乱のネコムート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6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4">
        <f t="shared" ca="1" si="19"/>
        <v>6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6">
        <v>1</v>
      </c>
    </row>
    <row r="11" spans="1:42" ht="21" customHeight="1" x14ac:dyDescent="0.15">
      <c r="A11" s="16" t="str">
        <f t="shared" ref="A11" si="20">B11&amp;"_"&amp;C11&amp;"-"&amp;G11&amp;"/"&amp;L11&amp;"&lt;lv"&amp;R11&amp;"&gt;s"&amp;AC11</f>
        <v>59002_1-7/638&lt;lv80&gt;s1</v>
      </c>
      <c r="B11" s="22">
        <v>59002</v>
      </c>
      <c r="C11" s="21">
        <v>1</v>
      </c>
      <c r="D11" s="2" t="str">
        <f t="shared" ref="D11" si="21">B11&amp;"_"&amp;C11</f>
        <v>59002_1</v>
      </c>
      <c r="E11" s="4" t="str">
        <f ca="1">VLOOKUP($B11,OFFSET([2]quests!$A$1,0,0,COUNTA([2]quests!$A:$A),MATCH(E$1,[2]quests!$1:$1,0)-MATCH($B$1,[2]quests!$1:$1,0)+1),MATCH(E$1,[2]quests!$1:$1,0)-MATCH($B$1,[2]quests!$1:$1,0)+1,FALSE)</f>
        <v>狂乱のネコ降臨</v>
      </c>
      <c r="F11" s="4" t="str">
        <f ca="1">VLOOKUP($D11,OFFSET([2]stages!$A$1,0,0,COUNTA([2]stages!$A:$A),MATCH(F$1,[2]stages!$2:$2,0)-MATCH($D$1,[2]stages!$2:$2,0)+1),MATCH(F$1,[2]stages!$2:$2,0)-MATCH($D$1,[2]stages!$2:$2,0)+1,FALSE)</f>
        <v>【極ムズ】狂乱のネコ降臨</v>
      </c>
      <c r="G11" s="21">
        <v>7</v>
      </c>
      <c r="H11" s="15" t="str">
        <f t="shared" ref="H11" si="22">B11&amp;"_"&amp;C11&amp;"-"&amp;G11</f>
        <v>59002_1-7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88</v>
      </c>
      <c r="L11" s="20">
        <v>638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神さま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80</v>
      </c>
      <c r="S11" s="25">
        <v>5.8</v>
      </c>
      <c r="T11" s="99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756018.4</v>
      </c>
      <c r="U11" s="25">
        <v>0.9</v>
      </c>
      <c r="V11" s="99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8252.1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別に呼んでないけど神さまがあらわれた！</v>
      </c>
      <c r="Y11" s="59">
        <v>59002009</v>
      </c>
      <c r="Z11" s="6">
        <v>0</v>
      </c>
      <c r="AA11" s="6">
        <v>100</v>
      </c>
      <c r="AB11" s="6">
        <v>1</v>
      </c>
      <c r="AC11" s="103">
        <v>1</v>
      </c>
      <c r="AD11" s="24">
        <f t="shared" ref="AD11" si="23">L11</f>
        <v>638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神さま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6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ref="AI11" ca="1" si="24">AF11</f>
        <v>6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6">
        <v>1</v>
      </c>
    </row>
    <row r="12" spans="1:42" ht="21" customHeight="1" x14ac:dyDescent="0.15">
      <c r="A12" s="16" t="str">
        <f t="shared" si="15"/>
        <v>59002_1-8/1525&lt;lv80&gt;s1</v>
      </c>
      <c r="B12" s="22">
        <v>59002</v>
      </c>
      <c r="C12" s="21">
        <v>1</v>
      </c>
      <c r="D12" s="2" t="str">
        <f t="shared" si="16"/>
        <v>59002_1</v>
      </c>
      <c r="E12" s="4" t="str">
        <f ca="1">VLOOKUP($B12,OFFSET([2]quests!$A$1,0,0,COUNTA([2]quests!$A:$A),MATCH(E$1,[2]quests!$1:$1,0)-MATCH($B$1,[2]quests!$1:$1,0)+1),MATCH(E$1,[2]quests!$1:$1,0)-MATCH($B$1,[2]quests!$1:$1,0)+1,FALSE)</f>
        <v>狂乱のネコ降臨</v>
      </c>
      <c r="F12" s="4" t="str">
        <f ca="1">VLOOKUP($D12,OFFSET([2]stages!$A$1,0,0,COUNTA([2]stages!$A:$A),MATCH(F$1,[2]stages!$2:$2,0)-MATCH($D$1,[2]stages!$2:$2,0)+1),MATCH(F$1,[2]stages!$2:$2,0)-MATCH($D$1,[2]stages!$2:$2,0)+1,FALSE)</f>
        <v>【極ムズ】狂乱のネコ降臨</v>
      </c>
      <c r="G12" s="21">
        <v>8</v>
      </c>
      <c r="H12" s="15" t="str">
        <f t="shared" si="17"/>
        <v>59002_1-8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20">
        <v>1525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狂乱のネコ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DropWizSS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80</v>
      </c>
      <c r="S12" s="25">
        <v>5.8</v>
      </c>
      <c r="T12" s="99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0</v>
      </c>
      <c r="U12" s="25">
        <v>1.1000000000000001</v>
      </c>
      <c r="V12" s="99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0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状態異常耐性+_x000D_緑パネル無効</v>
      </c>
      <c r="Y12" s="59">
        <v>59002010</v>
      </c>
      <c r="Z12" s="6">
        <v>0</v>
      </c>
      <c r="AA12" s="6">
        <v>100</v>
      </c>
      <c r="AB12" s="6">
        <v>1</v>
      </c>
      <c r="AC12" s="103">
        <v>1</v>
      </c>
      <c r="AD12" s="24">
        <f t="shared" si="18"/>
        <v>1525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狂乱のネコ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12" s="7">
        <v>1</v>
      </c>
      <c r="AI12" s="24">
        <f t="shared" ca="1" si="19"/>
        <v>5</v>
      </c>
      <c r="AJ12" s="8">
        <v>100</v>
      </c>
      <c r="AK12" s="7">
        <v>0</v>
      </c>
      <c r="AL12" s="7">
        <v>0</v>
      </c>
      <c r="AM12" s="7">
        <v>0</v>
      </c>
      <c r="AN12" s="7">
        <v>0</v>
      </c>
      <c r="AO12" s="7">
        <v>2</v>
      </c>
      <c r="AP12" s="66">
        <v>1</v>
      </c>
    </row>
    <row r="13" spans="1:42" ht="21" customHeight="1" x14ac:dyDescent="0.15">
      <c r="A13" s="16" t="str">
        <f t="shared" ref="A13" si="25">B13&amp;"_"&amp;C13&amp;"-"&amp;G13&amp;"/"&amp;L13&amp;"&lt;lv"&amp;R13&amp;"&gt;s"&amp;AC13</f>
        <v>59002_1-9/640&lt;lv80&gt;s1</v>
      </c>
      <c r="B13" s="22">
        <v>59002</v>
      </c>
      <c r="C13" s="21">
        <v>1</v>
      </c>
      <c r="D13" s="2" t="str">
        <f t="shared" ref="D13" si="26">B13&amp;"_"&amp;C13</f>
        <v>59002_1</v>
      </c>
      <c r="E13" s="4" t="str">
        <f ca="1">VLOOKUP($B13,OFFSET([2]quests!$A$1,0,0,COUNTA([2]quests!$A:$A),MATCH(E$1,[2]quests!$1:$1,0)-MATCH($B$1,[2]quests!$1:$1,0)+1),MATCH(E$1,[2]quests!$1:$1,0)-MATCH($B$1,[2]quests!$1:$1,0)+1,FALSE)</f>
        <v>狂乱のネコ降臨</v>
      </c>
      <c r="F13" s="4" t="str">
        <f ca="1">VLOOKUP($D13,OFFSET([2]stages!$A$1,0,0,COUNTA([2]stages!$A:$A),MATCH(F$1,[2]stages!$2:$2,0)-MATCH($D$1,[2]stages!$2:$2,0)+1),MATCH(F$1,[2]stages!$2:$2,0)-MATCH($D$1,[2]stages!$2:$2,0)+1,FALSE)</f>
        <v>【極ムズ】狂乱のネコ降臨</v>
      </c>
      <c r="G13" s="21">
        <v>9</v>
      </c>
      <c r="H13" s="15" t="str">
        <f t="shared" ref="H13" si="27">B13&amp;"_"&amp;C13&amp;"-"&amp;G13</f>
        <v>59002_1-9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88</v>
      </c>
      <c r="L13" s="20">
        <v>640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ブラックマ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80</v>
      </c>
      <c r="S13" s="25">
        <v>1</v>
      </c>
      <c r="T13" s="99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108069</v>
      </c>
      <c r="U13" s="25">
        <v>0.8</v>
      </c>
      <c r="V13" s="99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7127.2000000000007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状態異常耐性+全ての効果を解除</v>
      </c>
      <c r="Y13" s="59">
        <v>59002013</v>
      </c>
      <c r="Z13" s="6">
        <v>1</v>
      </c>
      <c r="AA13" s="6">
        <v>100</v>
      </c>
      <c r="AB13" s="6">
        <v>0</v>
      </c>
      <c r="AC13" s="103">
        <v>1</v>
      </c>
      <c r="AD13" s="24">
        <f t="shared" ref="AD13" si="28">L13</f>
        <v>640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ブラックマ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7">
        <v>1</v>
      </c>
      <c r="AI13" s="24">
        <f t="shared" ref="AI13" ca="1" si="29">AF13</f>
        <v>5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6">
        <v>1</v>
      </c>
    </row>
    <row r="14" spans="1:42" ht="21" customHeight="1" x14ac:dyDescent="0.15">
      <c r="A14" s="16" t="str">
        <f t="shared" ref="A14" si="30">B14&amp;"_"&amp;C14&amp;"-"&amp;G14&amp;"/"&amp;L14&amp;"&lt;lv"&amp;R14&amp;"&gt;s"&amp;AC14</f>
        <v>59002_1-9/641&lt;lv80&gt;s1</v>
      </c>
      <c r="B14" s="22">
        <v>59002</v>
      </c>
      <c r="C14" s="21">
        <v>1</v>
      </c>
      <c r="D14" s="2" t="str">
        <f t="shared" ref="D14" si="31">B14&amp;"_"&amp;C14</f>
        <v>59002_1</v>
      </c>
      <c r="E14" s="4" t="str">
        <f ca="1">VLOOKUP($B14,OFFSET([2]quests!$A$1,0,0,COUNTA([2]quests!$A:$A),MATCH(E$1,[2]quests!$1:$1,0)-MATCH($B$1,[2]quests!$1:$1,0)+1),MATCH(E$1,[2]quests!$1:$1,0)-MATCH($B$1,[2]quests!$1:$1,0)+1,FALSE)</f>
        <v>狂乱のネコ降臨</v>
      </c>
      <c r="F14" s="4" t="str">
        <f ca="1">VLOOKUP($D14,OFFSET([2]stages!$A$1,0,0,COUNTA([2]stages!$A:$A),MATCH(F$1,[2]stages!$2:$2,0)-MATCH($D$1,[2]stages!$2:$2,0)+1),MATCH(F$1,[2]stages!$2:$2,0)-MATCH($D$1,[2]stages!$2:$2,0)+1,FALSE)</f>
        <v>【極ムズ】狂乱のネコ降臨</v>
      </c>
      <c r="G14" s="21">
        <v>9</v>
      </c>
      <c r="H14" s="15" t="str">
        <f t="shared" ref="H14" si="32">B14&amp;"_"&amp;C14&amp;"-"&amp;G14</f>
        <v>59002_1-9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88</v>
      </c>
      <c r="L14" s="20">
        <v>641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砦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80</v>
      </c>
      <c r="S14" s="25">
        <v>4</v>
      </c>
      <c r="T14" s="99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423800</v>
      </c>
      <c r="U14" s="25">
        <v>0</v>
      </c>
      <c r="V14" s="99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0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砦は悠然と佇んでいる</v>
      </c>
      <c r="Y14" s="59">
        <v>59002014</v>
      </c>
      <c r="Z14" s="6">
        <v>1</v>
      </c>
      <c r="AA14" s="6">
        <v>100</v>
      </c>
      <c r="AB14" s="6">
        <v>0</v>
      </c>
      <c r="AC14" s="103">
        <v>1</v>
      </c>
      <c r="AD14" s="24">
        <f t="shared" ref="AD14" si="33">L14</f>
        <v>641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砦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5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Drop2N</v>
      </c>
      <c r="AH14" s="7">
        <v>1</v>
      </c>
      <c r="AI14" s="24">
        <f t="shared" ref="AI14" ca="1" si="34">AF14</f>
        <v>5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6">
        <v>1</v>
      </c>
    </row>
    <row r="15" spans="1:42" ht="21" customHeight="1" x14ac:dyDescent="0.15">
      <c r="AI15" s="10"/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L11" sqref="L1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7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8" t="s">
        <v>250</v>
      </c>
      <c r="V1" s="26" t="s">
        <v>50</v>
      </c>
      <c r="W1" s="98" t="s">
        <v>251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59002_1-8/1525&lt;lv80&gt;sq1st2</v>
      </c>
      <c r="B2" s="22">
        <v>59002</v>
      </c>
      <c r="C2" s="21">
        <v>1</v>
      </c>
      <c r="D2" s="2" t="str">
        <f>B2&amp;"_"&amp;C2</f>
        <v>59002_1</v>
      </c>
      <c r="E2" s="4" t="str">
        <f ca="1">VLOOKUP($B2,OFFSET([2]quests!$A$1,0,0,COUNTA([2]quests!$A:$A),MATCH(E$1,[2]quests!$1:$1,0)-MATCH($B$1,[2]quests!$1:$1,0)+1),MATCH(E$1,[2]quests!$1:$1,0)-MATCH($B$1,[2]quests!$1:$1,0)+1,FALSE)</f>
        <v>狂乱のネコ降臨</v>
      </c>
      <c r="F2" s="4" t="str">
        <f ca="1">VLOOKUP($D2,OFFSET([2]stages!$A$1,0,0,COUNTA([2]stages!$A:$A),MATCH(F$1,[2]stages!$2:$2,0)-MATCH($D$1,[2]stages!$2:$2,0)+1),MATCH(F$1,[2]stages!$2:$2,0)-MATCH($D$1,[2]stages!$2:$2,0)+1,FALSE)</f>
        <v>【極ムズ】狂乱のネコ降臨</v>
      </c>
      <c r="G2" s="21">
        <v>8</v>
      </c>
      <c r="H2" s="15" t="str">
        <f>B2&amp;"_"&amp;C2&amp;"-"&amp;G2</f>
        <v>59002_1-8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1525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狂乱のネコ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5.8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5">
        <v>1.2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状態異常耐性+_x000D_緑属性に変更+黄パネル無効</v>
      </c>
      <c r="Z2" s="101">
        <v>59002011</v>
      </c>
      <c r="AA2" s="102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59002_1-8/1526&lt;lv80&gt;sq1st3</v>
      </c>
      <c r="B3" s="22">
        <v>59002</v>
      </c>
      <c r="C3" s="21">
        <v>1</v>
      </c>
      <c r="D3" s="2" t="str">
        <f>B3&amp;"_"&amp;C3</f>
        <v>59002_1</v>
      </c>
      <c r="E3" s="4" t="str">
        <f ca="1">VLOOKUP($B3,OFFSET([2]quests!$A$1,0,0,COUNTA([2]quests!$A:$A),MATCH(E$1,[2]quests!$1:$1,0)-MATCH($B$1,[2]quests!$1:$1,0)+1),MATCH(E$1,[2]quests!$1:$1,0)-MATCH($B$1,[2]quests!$1:$1,0)+1,FALSE)</f>
        <v>狂乱のネコ降臨</v>
      </c>
      <c r="F3" s="4" t="str">
        <f ca="1">VLOOKUP($D3,OFFSET([2]stages!$A$1,0,0,COUNTA([2]stages!$A:$A),MATCH(F$1,[2]stages!$2:$2,0)-MATCH($D$1,[2]stages!$2:$2,0)+1),MATCH(F$1,[2]stages!$2:$2,0)-MATCH($D$1,[2]stages!$2:$2,0)+1,FALSE)</f>
        <v>【極ムズ】狂乱のネコ降臨</v>
      </c>
      <c r="G3" s="21">
        <v>8</v>
      </c>
      <c r="H3" s="15" t="str">
        <f>B3&amp;"_"&amp;C3&amp;"-"&amp;G3</f>
        <v>59002_1-8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1526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狂乱のネコビルダー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7.3</v>
      </c>
      <c r="U3" s="9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5">
        <v>1.3</v>
      </c>
      <c r="W3" s="9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状態異常耐性+_x000D_赤属性に変更</v>
      </c>
      <c r="Z3" s="101">
        <v>59002012</v>
      </c>
      <c r="AA3" s="102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34"/>
  <sheetViews>
    <sheetView showGridLines="0" tabSelected="1" workbookViewId="0">
      <pane ySplit="1" topLeftCell="A71" activePane="bottomLeft" state="frozenSplit"/>
      <selection pane="bottomLeft" activeCell="B85" sqref="B8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91.33203125" style="49" customWidth="1"/>
    <col min="3" max="4" width="12.83203125" style="49"/>
    <col min="5" max="5" width="32.16406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hidden="1" customWidth="1"/>
    <col min="13" max="18" width="23.6640625" style="49" hidden="1" customWidth="1" outlineLevel="1"/>
    <col min="19" max="19" width="23.6640625" style="49" hidden="1" customWidth="1"/>
    <col min="20" max="24" width="23.6640625" style="49" hidden="1" customWidth="1" outlineLevel="1"/>
    <col min="25" max="25" width="23.6640625" style="49" hidden="1" customWidth="1"/>
    <col min="26" max="26" width="14.5" style="49" bestFit="1" customWidth="1"/>
    <col min="27" max="27" width="28.5" style="49" bestFit="1" customWidth="1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540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s="140" customFormat="1" ht="21" customHeight="1" x14ac:dyDescent="0.15">
      <c r="A2" s="122">
        <v>59002001</v>
      </c>
      <c r="B2" s="122" t="s">
        <v>587</v>
      </c>
      <c r="C2" s="138">
        <v>3</v>
      </c>
      <c r="D2" s="138" t="s">
        <v>127</v>
      </c>
      <c r="E2" s="123" t="s">
        <v>512</v>
      </c>
      <c r="F2" s="123" t="s">
        <v>315</v>
      </c>
      <c r="G2" s="123" t="str">
        <f t="shared" ref="G2:G33" si="0">IFERROR(LEFT(B2,FIND("],",B2)),B2)</f>
        <v>[effect:enemy_message, val1:1.2, val2:1.2]</v>
      </c>
      <c r="H2" s="123">
        <f t="shared" ref="H2:H8" si="1">FIND("effect:",G2)+7</f>
        <v>9</v>
      </c>
      <c r="I2" s="123">
        <f t="shared" ref="I2:I8" si="2">IFERROR(FIND(",",G2),LEN(G2))</f>
        <v>22</v>
      </c>
      <c r="J2" s="123" t="e">
        <f t="shared" ref="J2:J8" si="3">FIND("target:",G2)+7</f>
        <v>#VALUE!</v>
      </c>
      <c r="K2" s="123">
        <f t="shared" ref="K2:K8" si="4">FIND(",",G2,I2+1)</f>
        <v>32</v>
      </c>
      <c r="L2" s="123" t="str">
        <f>IFERROR(VLOOKUP(MID(G2,J2,K2-J2),[5]skilldef!$C:$D,2,FALSE),"-") &amp; " / " &amp; IFERROR(VLOOKUP(MID(G2,H2,I2-H2),[5]skilldef!$A:$B,2,FALSE),"-")</f>
        <v>- / -</v>
      </c>
      <c r="M2" s="123" t="str">
        <f t="shared" ref="M2:M33" si="5">IFERROR(RIGHT(B2,LEN(B2)-FIND("],",B2)-1),"none")</f>
        <v>[effect:critical, val:1.1, animation:enemy_critical]</v>
      </c>
      <c r="N2" s="122" t="str">
        <f>IFERROR(LEFT(M2,FIND("],",M2)+#REF!),M2)</f>
        <v>[effect:critical, val:1.1, animation:enemy_critical]</v>
      </c>
      <c r="O2" s="123">
        <f t="shared" ref="O2:O8" si="6">FIND("effect:",N2)+7</f>
        <v>9</v>
      </c>
      <c r="P2" s="123">
        <f t="shared" ref="P2:P8" si="7">IFERROR(FIND(",",N2),LEN(N2))</f>
        <v>17</v>
      </c>
      <c r="Q2" s="123" t="e">
        <f t="shared" ref="Q2:Q8" si="8">FIND("target:",N2)+7</f>
        <v>#VALUE!</v>
      </c>
      <c r="R2" s="123">
        <f t="shared" ref="R2:R8" si="9">FIND(",",N2,P2+1)</f>
        <v>26</v>
      </c>
      <c r="S2" s="123" t="str">
        <f>IFERROR(VLOOKUP(MID(N2,Q2,R2-Q2),[5]skilldef!$C:$D,2,FALSE),"-") &amp; " / " &amp; IFERROR(VLOOKUP(MID(N2,O2,P2-O2),[5]skilldef!$A:$B,2,FALSE),"-")</f>
        <v>- / 大攻撃</v>
      </c>
      <c r="T2" s="122" t="str">
        <f t="shared" ref="T2:T8" si="10">IFERROR(RIGHT(M2,LEN(M2)-FIND("],",M2)-1),"none")</f>
        <v>none</v>
      </c>
      <c r="U2" s="123" t="e">
        <f t="shared" ref="U2:U8" si="11">FIND("effect:",T2)+7</f>
        <v>#VALUE!</v>
      </c>
      <c r="V2" s="123">
        <f t="shared" ref="V2:V8" si="12">IFERROR(FIND(",",T2),LEN(T2))</f>
        <v>4</v>
      </c>
      <c r="W2" s="123" t="e">
        <f t="shared" ref="W2:W8" si="13">FIND("target:",T2)+7</f>
        <v>#VALUE!</v>
      </c>
      <c r="X2" s="123" t="e">
        <f t="shared" ref="X2:X8" si="14">FIND(",",T2,V2+1)</f>
        <v>#VALUE!</v>
      </c>
      <c r="Y2" s="123" t="str">
        <f>IFERROR(VLOOKUP(MID(T2,W2,X2-W2),[5]skilldef!$C:$D,2,FALSE),"-") &amp; " / " &amp; IFERROR(VLOOKUP(MID(T2,U2,V2-U2),[5]skilldef!$A:$B,2,FALSE),"-")</f>
        <v>- / -</v>
      </c>
      <c r="Z2" s="138"/>
      <c r="AA2" s="139"/>
      <c r="AB2" s="138"/>
    </row>
    <row r="3" spans="1:28" s="140" customFormat="1" ht="21" customHeight="1" x14ac:dyDescent="0.15">
      <c r="A3" s="122">
        <v>59002002</v>
      </c>
      <c r="B3" s="122" t="s">
        <v>588</v>
      </c>
      <c r="C3" s="138">
        <v>3</v>
      </c>
      <c r="D3" s="138" t="s">
        <v>127</v>
      </c>
      <c r="E3" s="123" t="s">
        <v>551</v>
      </c>
      <c r="F3" s="123" t="s">
        <v>256</v>
      </c>
      <c r="G3" s="123" t="str">
        <f t="shared" si="0"/>
        <v>[effect:enemy_message, val1:1.2, val2:1.2]</v>
      </c>
      <c r="H3" s="123">
        <f t="shared" si="1"/>
        <v>9</v>
      </c>
      <c r="I3" s="123">
        <f t="shared" si="2"/>
        <v>22</v>
      </c>
      <c r="J3" s="123" t="e">
        <f t="shared" si="3"/>
        <v>#VALUE!</v>
      </c>
      <c r="K3" s="123">
        <f t="shared" si="4"/>
        <v>32</v>
      </c>
      <c r="L3" s="123" t="str">
        <f>IFERROR(VLOOKUP(MID(G3,J3,K3-J3),[5]skilldef!$C:$D,2,FALSE),"-") &amp; " / " &amp; IFERROR(VLOOKUP(MID(G3,H3,I3-H3),[5]skilldef!$A:$B,2,FALSE),"-")</f>
        <v>- / -</v>
      </c>
      <c r="M3" s="123" t="str">
        <f t="shared" si="5"/>
        <v>[effect:dis_panel, target:block_red, turn:2, animation:enemy_dis_red]</v>
      </c>
      <c r="N3" s="122" t="str">
        <f>IFERROR(LEFT(M3,FIND("],",M3)+#REF!),M3)</f>
        <v>[effect:dis_panel, target:block_red, turn:2, animation:enemy_dis_red]</v>
      </c>
      <c r="O3" s="123">
        <f t="shared" si="6"/>
        <v>9</v>
      </c>
      <c r="P3" s="123">
        <f t="shared" si="7"/>
        <v>18</v>
      </c>
      <c r="Q3" s="123">
        <f t="shared" si="8"/>
        <v>27</v>
      </c>
      <c r="R3" s="123">
        <f t="shared" si="9"/>
        <v>36</v>
      </c>
      <c r="S3" s="123" t="str">
        <f>IFERROR(VLOOKUP(MID(N3,Q3,R3-Q3),[5]skilldef!$C:$D,2,FALSE),"-") &amp; " / " &amp; IFERROR(VLOOKUP(MID(N3,O3,P3-O3),[5]skilldef!$A:$B,2,FALSE),"-")</f>
        <v>赤パネルを / ディスパネル</v>
      </c>
      <c r="T3" s="122" t="str">
        <f t="shared" si="10"/>
        <v>none</v>
      </c>
      <c r="U3" s="123" t="e">
        <f t="shared" si="11"/>
        <v>#VALUE!</v>
      </c>
      <c r="V3" s="123">
        <f t="shared" si="12"/>
        <v>4</v>
      </c>
      <c r="W3" s="123" t="e">
        <f t="shared" si="13"/>
        <v>#VALUE!</v>
      </c>
      <c r="X3" s="123" t="e">
        <f t="shared" si="14"/>
        <v>#VALUE!</v>
      </c>
      <c r="Y3" s="123" t="str">
        <f>IFERROR(VLOOKUP(MID(T3,W3,X3-W3),[5]skilldef!$C:$D,2,FALSE),"-") &amp; " / " &amp; IFERROR(VLOOKUP(MID(T3,U3,V3-U3),[5]skilldef!$A:$B,2,FALSE),"-")</f>
        <v>- / -</v>
      </c>
      <c r="Z3" s="138"/>
      <c r="AA3" s="139"/>
      <c r="AB3" s="138"/>
    </row>
    <row r="4" spans="1:28" s="143" customFormat="1" ht="21" customHeight="1" x14ac:dyDescent="0.15">
      <c r="A4" s="124">
        <v>59002003</v>
      </c>
      <c r="B4" s="124" t="s">
        <v>388</v>
      </c>
      <c r="C4" s="141">
        <v>3</v>
      </c>
      <c r="D4" s="141" t="s">
        <v>127</v>
      </c>
      <c r="E4" s="125" t="s">
        <v>333</v>
      </c>
      <c r="F4" s="125" t="s">
        <v>316</v>
      </c>
      <c r="G4" s="125" t="str">
        <f t="shared" si="0"/>
        <v>[effect:enemy_message, val1:1.2, val2:1.2]</v>
      </c>
      <c r="H4" s="125">
        <f t="shared" si="1"/>
        <v>9</v>
      </c>
      <c r="I4" s="125">
        <f t="shared" si="2"/>
        <v>22</v>
      </c>
      <c r="J4" s="125" t="e">
        <f t="shared" si="3"/>
        <v>#VALUE!</v>
      </c>
      <c r="K4" s="125">
        <f t="shared" si="4"/>
        <v>32</v>
      </c>
      <c r="L4" s="125" t="str">
        <f>IFERROR(VLOOKUP(MID(G4,J4,K4-J4),[5]skilldef!$C:$D,2,FALSE),"-") &amp; " / " &amp; IFERROR(VLOOKUP(MID(G4,H4,I4-H4),[5]skilldef!$A:$B,2,FALSE),"-")</f>
        <v>- / -</v>
      </c>
      <c r="M4" s="125" t="str">
        <f t="shared" si="5"/>
        <v>[effect:fix_speed, target:myself, turn:2],[effect:critical, val:1.1, animation:enemy_critical]</v>
      </c>
      <c r="N4" s="124" t="str">
        <f>IFERROR(LEFT(M4,FIND("],",M4)+S9),M4)</f>
        <v>[effect:fix_speed, target:myself, turn:2],[effect:critical, val:1.1, animation:enemy_critical]</v>
      </c>
      <c r="O4" s="125">
        <f t="shared" si="6"/>
        <v>9</v>
      </c>
      <c r="P4" s="125">
        <f t="shared" si="7"/>
        <v>18</v>
      </c>
      <c r="Q4" s="125">
        <f t="shared" si="8"/>
        <v>27</v>
      </c>
      <c r="R4" s="125">
        <f t="shared" si="9"/>
        <v>33</v>
      </c>
      <c r="S4" s="125" t="str">
        <f>IFERROR(VLOOKUP(MID(N4,Q4,R4-Q4),[5]skilldef!$C:$D,2,FALSE),"-") &amp; " / " &amp; IFERROR(VLOOKUP(MID(N4,O4,P4-O4),[5]skilldef!$A:$B,2,FALSE),"-")</f>
        <v>自分自身に / 行動値設定</v>
      </c>
      <c r="T4" s="124" t="str">
        <f t="shared" si="10"/>
        <v>[effect:critical, val:1.1, animation:enemy_critical]</v>
      </c>
      <c r="U4" s="125">
        <f t="shared" si="11"/>
        <v>9</v>
      </c>
      <c r="V4" s="125">
        <f t="shared" si="12"/>
        <v>17</v>
      </c>
      <c r="W4" s="125" t="e">
        <f t="shared" si="13"/>
        <v>#VALUE!</v>
      </c>
      <c r="X4" s="125">
        <f t="shared" si="14"/>
        <v>26</v>
      </c>
      <c r="Y4" s="125" t="str">
        <f>IFERROR(VLOOKUP(MID(T4,W4,X4-W4),[5]skilldef!$C:$D,2,FALSE),"-") &amp; " / " &amp; IFERROR(VLOOKUP(MID(T4,U4,V4-U4),[5]skilldef!$A:$B,2,FALSE),"-")</f>
        <v>- / 大攻撃</v>
      </c>
      <c r="Z4" s="141"/>
      <c r="AA4" s="142"/>
      <c r="AB4" s="141"/>
    </row>
    <row r="5" spans="1:28" s="146" customFormat="1" ht="30" customHeight="1" x14ac:dyDescent="0.15">
      <c r="A5" s="114">
        <v>59002004</v>
      </c>
      <c r="B5" s="114" t="s">
        <v>389</v>
      </c>
      <c r="C5" s="144">
        <v>3</v>
      </c>
      <c r="D5" s="144" t="s">
        <v>127</v>
      </c>
      <c r="E5" s="115" t="s">
        <v>335</v>
      </c>
      <c r="F5" s="115" t="s">
        <v>334</v>
      </c>
      <c r="G5" s="115" t="str">
        <f t="shared" si="0"/>
        <v>[effect:enemy_message, val1:1.2, val2:2.5]</v>
      </c>
      <c r="H5" s="115">
        <f t="shared" si="1"/>
        <v>9</v>
      </c>
      <c r="I5" s="115">
        <f t="shared" si="2"/>
        <v>22</v>
      </c>
      <c r="J5" s="115" t="e">
        <f t="shared" si="3"/>
        <v>#VALUE!</v>
      </c>
      <c r="K5" s="115">
        <f t="shared" si="4"/>
        <v>32</v>
      </c>
      <c r="L5" s="115" t="str">
        <f>IFERROR(VLOOKUP(MID(G5,J5,K5-J5),[5]skilldef!$C:$D,2,FALSE),"-") &amp; " / " &amp; IFERROR(VLOOKUP(MID(G5,H5,I5-H5),[5]skilldef!$A:$B,2,FALSE),"-")</f>
        <v>- / -</v>
      </c>
      <c r="M5" s="115" t="str">
        <f t="shared" si="5"/>
        <v>[effect:fix_speed, target:myself, turn:2],[effect:damage_anti_tribe, target:unit_all, tribe:unknown, val1:0.5, val2:0.25]</v>
      </c>
      <c r="N5" s="114" t="str">
        <f>IFERROR(LEFT(M5,FIND("],",M5)+S10),M5)</f>
        <v>[effect:fix_speed, target:myself, turn:2],[effect:damage_anti_tribe, target:unit_all, tribe:unknown, val1:0.5, val2:0.25]</v>
      </c>
      <c r="O5" s="115">
        <f t="shared" si="6"/>
        <v>9</v>
      </c>
      <c r="P5" s="115">
        <f t="shared" si="7"/>
        <v>18</v>
      </c>
      <c r="Q5" s="115">
        <f t="shared" si="8"/>
        <v>27</v>
      </c>
      <c r="R5" s="115">
        <f t="shared" si="9"/>
        <v>33</v>
      </c>
      <c r="S5" s="115" t="str">
        <f>IFERROR(VLOOKUP(MID(N5,Q5,R5-Q5),[5]skilldef!$C:$D,2,FALSE),"-") &amp; " / " &amp; IFERROR(VLOOKUP(MID(N5,O5,P5-O5),[5]skilldef!$A:$B,2,FALSE),"-")</f>
        <v>自分自身に / 行動値設定</v>
      </c>
      <c r="T5" s="114" t="str">
        <f t="shared" si="10"/>
        <v>[effect:damage_anti_tribe, target:unit_all, tribe:unknown, val1:0.5, val2:0.25]</v>
      </c>
      <c r="U5" s="115">
        <f t="shared" si="11"/>
        <v>9</v>
      </c>
      <c r="V5" s="115">
        <f t="shared" si="12"/>
        <v>26</v>
      </c>
      <c r="W5" s="115">
        <f t="shared" si="13"/>
        <v>35</v>
      </c>
      <c r="X5" s="115">
        <f t="shared" si="14"/>
        <v>43</v>
      </c>
      <c r="Y5" s="115" t="str">
        <f>IFERROR(VLOOKUP(MID(T5,W5,X5-W5),[5]skilldef!$C:$D,2,FALSE),"-") &amp; " / " &amp; IFERROR(VLOOKUP(MID(T5,U5,V5-U5),[5]skilldef!$A:$B,2,FALSE),"-")</f>
        <v>味方全体に / 種族キラー</v>
      </c>
      <c r="Z5" s="144"/>
      <c r="AA5" s="145"/>
      <c r="AB5" s="144"/>
    </row>
    <row r="6" spans="1:28" s="146" customFormat="1" ht="21" customHeight="1" x14ac:dyDescent="0.15">
      <c r="A6" s="114">
        <v>59002005</v>
      </c>
      <c r="B6" s="114" t="s">
        <v>390</v>
      </c>
      <c r="C6" s="144">
        <v>3</v>
      </c>
      <c r="D6" s="144" t="s">
        <v>127</v>
      </c>
      <c r="E6" s="115" t="s">
        <v>336</v>
      </c>
      <c r="F6" s="115" t="s">
        <v>257</v>
      </c>
      <c r="G6" s="115" t="str">
        <f t="shared" si="0"/>
        <v>[effect:enemy_message, val1:1.2, val2:1.2]</v>
      </c>
      <c r="H6" s="115">
        <f t="shared" si="1"/>
        <v>9</v>
      </c>
      <c r="I6" s="115">
        <f t="shared" si="2"/>
        <v>22</v>
      </c>
      <c r="J6" s="115" t="e">
        <f t="shared" si="3"/>
        <v>#VALUE!</v>
      </c>
      <c r="K6" s="115">
        <f t="shared" si="4"/>
        <v>32</v>
      </c>
      <c r="L6" s="115" t="str">
        <f>IFERROR(VLOOKUP(MID(G6,J6,K6-J6),[5]skilldef!$C:$D,2,FALSE),"-") &amp; " / " &amp; IFERROR(VLOOKUP(MID(G6,H6,I6-H6),[5]skilldef!$A:$B,2,FALSE),"-")</f>
        <v>- / -</v>
      </c>
      <c r="M6" s="115" t="str">
        <f t="shared" si="5"/>
        <v>[effect:guard_break, target:myself, turn:-1, val:1, calc:add, animation:guard_break01]</v>
      </c>
      <c r="N6" s="114" t="str">
        <f>IFERROR(LEFT(M6,FIND("],",M6)+S11),M6)</f>
        <v>[effect:guard_break, target:myself, turn:-1, val:1, calc:add, animation:guard_break01]</v>
      </c>
      <c r="O6" s="115">
        <f t="shared" si="6"/>
        <v>9</v>
      </c>
      <c r="P6" s="115">
        <f t="shared" si="7"/>
        <v>20</v>
      </c>
      <c r="Q6" s="115">
        <f t="shared" si="8"/>
        <v>29</v>
      </c>
      <c r="R6" s="115">
        <f t="shared" si="9"/>
        <v>35</v>
      </c>
      <c r="S6" s="115" t="str">
        <f>IFERROR(VLOOKUP(MID(N6,Q6,R6-Q6),[5]skilldef!$C:$D,2,FALSE),"-") &amp; " / " &amp; IFERROR(VLOOKUP(MID(N6,O6,P6-O6),[5]skilldef!$A:$B,2,FALSE),"-")</f>
        <v>自分自身に / -</v>
      </c>
      <c r="T6" s="114" t="str">
        <f t="shared" si="10"/>
        <v>none</v>
      </c>
      <c r="U6" s="115" t="e">
        <f t="shared" si="11"/>
        <v>#VALUE!</v>
      </c>
      <c r="V6" s="115">
        <f t="shared" si="12"/>
        <v>4</v>
      </c>
      <c r="W6" s="115" t="e">
        <f t="shared" si="13"/>
        <v>#VALUE!</v>
      </c>
      <c r="X6" s="115" t="e">
        <f t="shared" si="14"/>
        <v>#VALUE!</v>
      </c>
      <c r="Y6" s="115" t="str">
        <f>IFERROR(VLOOKUP(MID(T6,W6,X6-W6),[5]skilldef!$C:$D,2,FALSE),"-") &amp; " / " &amp; IFERROR(VLOOKUP(MID(T6,U6,V6-U6),[5]skilldef!$A:$B,2,FALSE),"-")</f>
        <v>- / -</v>
      </c>
      <c r="Z6" s="144"/>
      <c r="AA6" s="145"/>
      <c r="AB6" s="144"/>
    </row>
    <row r="7" spans="1:28" s="149" customFormat="1" ht="21" customHeight="1" x14ac:dyDescent="0.15">
      <c r="A7" s="126">
        <v>59002006</v>
      </c>
      <c r="B7" s="126" t="s">
        <v>603</v>
      </c>
      <c r="C7" s="147">
        <v>3</v>
      </c>
      <c r="D7" s="147" t="s">
        <v>127</v>
      </c>
      <c r="E7" s="127" t="s">
        <v>552</v>
      </c>
      <c r="F7" s="127" t="s">
        <v>602</v>
      </c>
      <c r="G7" s="127" t="str">
        <f t="shared" si="0"/>
        <v>[effect:enemy_message, val1:1.2, val2:2.3]</v>
      </c>
      <c r="H7" s="127">
        <f t="shared" si="1"/>
        <v>9</v>
      </c>
      <c r="I7" s="127">
        <f t="shared" si="2"/>
        <v>22</v>
      </c>
      <c r="J7" s="127" t="e">
        <f t="shared" si="3"/>
        <v>#VALUE!</v>
      </c>
      <c r="K7" s="127">
        <f t="shared" si="4"/>
        <v>32</v>
      </c>
      <c r="L7" s="127" t="str">
        <f>IFERROR(VLOOKUP(MID(G7,J7,K7-J7),[5]skilldef!$C:$D,2,FALSE),"-") &amp; " / " &amp; IFERROR(VLOOKUP(MID(G7,H7,I7-H7),[5]skilldef!$A:$B,2,FALSE),"-")</f>
        <v>- / -</v>
      </c>
      <c r="M7" s="127" t="str">
        <f t="shared" si="5"/>
        <v>[effect:fix_speed, target:myself, turn:3],[effect:tolerance, target:enemy_all, turn:-1, count:-1, tolerance_effect:all, animation:enemy_tolerance],[effect:enhance_enemy, target:enemy_blue, turn:-1, status:defense, val:1000000, calc:add, animation:enemy_enhance_defense]</v>
      </c>
      <c r="N7" s="126" t="str">
        <f>IFERROR(LEFT(M7,FIND("],",M7)+S12),M7)</f>
        <v>[effect:fix_speed, target:myself, turn:3],[effect:tolerance, target:enemy_all, turn:-1, count:-1, tolerance_effect:all, animation:enemy_tolerance],[effect:enhance_enemy, target:enemy_blue, turn:-1, status:defense, val:1000000, calc:add, animation:enemy_enhance_defense]</v>
      </c>
      <c r="O7" s="127">
        <f t="shared" si="6"/>
        <v>9</v>
      </c>
      <c r="P7" s="127">
        <f t="shared" si="7"/>
        <v>18</v>
      </c>
      <c r="Q7" s="127">
        <f t="shared" si="8"/>
        <v>27</v>
      </c>
      <c r="R7" s="127">
        <f t="shared" si="9"/>
        <v>33</v>
      </c>
      <c r="S7" s="127" t="str">
        <f>IFERROR(VLOOKUP(MID(N7,Q7,R7-Q7),[5]skilldef!$C:$D,2,FALSE),"-") &amp; " / " &amp; IFERROR(VLOOKUP(MID(N7,O7,P7-O7),[5]skilldef!$A:$B,2,FALSE),"-")</f>
        <v>自分自身に / 行動値設定</v>
      </c>
      <c r="T7" s="126" t="str">
        <f t="shared" si="10"/>
        <v>[effect:tolerance, target:enemy_all, turn:-1, count:-1, tolerance_effect:all, animation:enemy_tolerance],[effect:enhance_enemy, target:enemy_blue, turn:-1, status:defense, val:1000000, calc:add, animation:enemy_enhance_defense]</v>
      </c>
      <c r="U7" s="127">
        <f t="shared" si="11"/>
        <v>9</v>
      </c>
      <c r="V7" s="127">
        <f t="shared" si="12"/>
        <v>18</v>
      </c>
      <c r="W7" s="127">
        <f t="shared" si="13"/>
        <v>27</v>
      </c>
      <c r="X7" s="127">
        <f t="shared" si="14"/>
        <v>36</v>
      </c>
      <c r="Y7" s="127" t="str">
        <f>IFERROR(VLOOKUP(MID(T7,W7,X7-W7),[5]skilldef!$C:$D,2,FALSE),"-") &amp; " / " &amp; IFERROR(VLOOKUP(MID(T7,U7,V7-U7),[5]skilldef!$A:$B,2,FALSE),"-")</f>
        <v>敵全体に / 状態異常耐性</v>
      </c>
      <c r="Z7" s="147"/>
      <c r="AA7" s="148"/>
      <c r="AB7" s="147"/>
    </row>
    <row r="8" spans="1:28" s="149" customFormat="1" ht="21" customHeight="1" x14ac:dyDescent="0.15">
      <c r="A8" s="126">
        <v>59002007</v>
      </c>
      <c r="B8" s="126" t="s">
        <v>391</v>
      </c>
      <c r="C8" s="147">
        <v>3</v>
      </c>
      <c r="D8" s="147" t="s">
        <v>127</v>
      </c>
      <c r="E8" s="127" t="s">
        <v>338</v>
      </c>
      <c r="F8" s="127" t="s">
        <v>258</v>
      </c>
      <c r="G8" s="127" t="str">
        <f t="shared" si="0"/>
        <v>[effect:enemy_message, val1:1.2, val2:1.2]</v>
      </c>
      <c r="H8" s="127">
        <f t="shared" si="1"/>
        <v>9</v>
      </c>
      <c r="I8" s="127">
        <f t="shared" si="2"/>
        <v>22</v>
      </c>
      <c r="J8" s="127" t="e">
        <f t="shared" si="3"/>
        <v>#VALUE!</v>
      </c>
      <c r="K8" s="127">
        <f t="shared" si="4"/>
        <v>32</v>
      </c>
      <c r="L8" s="127" t="str">
        <f>IFERROR(VLOOKUP(MID(G8,J8,K8-J8),[5]skilldef!$C:$D,2,FALSE),"-") &amp; " / " &amp; IFERROR(VLOOKUP(MID(G8,H8,I8-H8),[5]skilldef!$A:$B,2,FALSE),"-")</f>
        <v>- / -</v>
      </c>
      <c r="M8" s="127" t="str">
        <f t="shared" si="5"/>
        <v>[effect:spread, val:0.25]</v>
      </c>
      <c r="N8" s="126" t="str">
        <f>IFERROR(LEFT(M8,FIND("],",M8)+S13),M8)</f>
        <v>[effect:spread, val:0.25]</v>
      </c>
      <c r="O8" s="127">
        <f t="shared" si="6"/>
        <v>9</v>
      </c>
      <c r="P8" s="127">
        <f t="shared" si="7"/>
        <v>15</v>
      </c>
      <c r="Q8" s="127" t="e">
        <f t="shared" si="8"/>
        <v>#VALUE!</v>
      </c>
      <c r="R8" s="127" t="e">
        <f t="shared" si="9"/>
        <v>#VALUE!</v>
      </c>
      <c r="S8" s="127" t="str">
        <f>IFERROR(VLOOKUP(MID(N8,Q8,R8-Q8),[5]skilldef!$C:$D,2,FALSE),"-") &amp; " / " &amp; IFERROR(VLOOKUP(MID(N8,O8,P8-O8),[5]skilldef!$A:$B,2,FALSE),"-")</f>
        <v>- / 全体攻撃</v>
      </c>
      <c r="T8" s="126" t="str">
        <f t="shared" si="10"/>
        <v>none</v>
      </c>
      <c r="U8" s="127" t="e">
        <f t="shared" si="11"/>
        <v>#VALUE!</v>
      </c>
      <c r="V8" s="127">
        <f t="shared" si="12"/>
        <v>4</v>
      </c>
      <c r="W8" s="127" t="e">
        <f t="shared" si="13"/>
        <v>#VALUE!</v>
      </c>
      <c r="X8" s="127" t="e">
        <f t="shared" si="14"/>
        <v>#VALUE!</v>
      </c>
      <c r="Y8" s="127" t="str">
        <f>IFERROR(VLOOKUP(MID(T8,W8,X8-W8),[5]skilldef!$C:$D,2,FALSE),"-") &amp; " / " &amp; IFERROR(VLOOKUP(MID(T8,U8,V8-U8),[5]skilldef!$A:$B,2,FALSE),"-")</f>
        <v>- / -</v>
      </c>
      <c r="Z8" s="147"/>
      <c r="AA8" s="148"/>
      <c r="AB8" s="147"/>
    </row>
    <row r="9" spans="1:28" s="152" customFormat="1" ht="43" customHeight="1" x14ac:dyDescent="0.15">
      <c r="A9" s="128">
        <v>59002008</v>
      </c>
      <c r="B9" s="128" t="s">
        <v>460</v>
      </c>
      <c r="C9" s="150">
        <v>3</v>
      </c>
      <c r="D9" s="150" t="s">
        <v>127</v>
      </c>
      <c r="E9" s="129" t="s">
        <v>455</v>
      </c>
      <c r="F9" s="129" t="s">
        <v>590</v>
      </c>
      <c r="G9" s="129" t="str">
        <f t="shared" si="0"/>
        <v>[effect:enemy_message, val1:1.2, val2:3.8]</v>
      </c>
      <c r="H9" s="129">
        <f t="shared" ref="H9:H97" si="15">FIND("effect:",G9)+7</f>
        <v>9</v>
      </c>
      <c r="I9" s="129">
        <f t="shared" ref="I9:I13" si="16">IFERROR(FIND(",",G9),LEN(G9))</f>
        <v>22</v>
      </c>
      <c r="J9" s="129" t="e">
        <f t="shared" ref="J9:J13" si="17">FIND("target:",G9)+7</f>
        <v>#VALUE!</v>
      </c>
      <c r="K9" s="129">
        <f t="shared" ref="K9:K13" si="18">FIND(",",G9,I9+1)</f>
        <v>32</v>
      </c>
      <c r="L9" s="129" t="str">
        <f>IFERROR(VLOOKUP(MID(G9,J9,K9-J9),[5]skilldef!$C:$D,2,FALSE),"-") &amp; " / " &amp; IFERROR(VLOOKUP(MID(G9,H9,I9-H9),[5]skilldef!$A:$B,2,FALSE),"-")</f>
        <v>- / -</v>
      </c>
      <c r="M9" s="129" t="str">
        <f t="shared" si="5"/>
        <v>[effect:fix_speed, target:myself, turn:1],[effect:tolerance, target:myself, turn:-1, count:-1, tolerance_effect:all, animation:enemy_tolerance],[effect:crash_condition, target:unit_all, turn:15, val:4, animation:enemy_crash_extend],[effect:panel_freeze, target:normal, color:block_green, count:-1],[effect:panel_freeze, target:normal, color:block_yellow, count:-1]</v>
      </c>
      <c r="N9" s="128" t="str">
        <f t="shared" ref="N9:N14" si="19">IFERROR(LEFT(M9,FIND("],",M9)+S26),M9)</f>
        <v>[effect:fix_speed, target:myself, turn:1],[effect:tolerance, target:myself, turn:-1, count:-1, tolerance_effect:all, animation:enemy_tolerance],[effect:crash_condition, target:unit_all, turn:15, val:4, animation:enemy_crash_extend],[effect:panel_freeze, target:normal, color:block_green, count:-1],[effect:panel_freeze, target:normal, color:block_yellow, count:-1]</v>
      </c>
      <c r="O9" s="129">
        <f t="shared" ref="O9:O97" si="20">FIND("effect:",N9)+7</f>
        <v>9</v>
      </c>
      <c r="P9" s="129">
        <f t="shared" ref="P9:P13" si="21">IFERROR(FIND(",",N9),LEN(N9))</f>
        <v>18</v>
      </c>
      <c r="Q9" s="129">
        <f t="shared" ref="Q9:Q13" si="22">FIND("target:",N9)+7</f>
        <v>27</v>
      </c>
      <c r="R9" s="129">
        <f t="shared" ref="R9:R13" si="23">FIND(",",N9,P9+1)</f>
        <v>33</v>
      </c>
      <c r="S9" s="129" t="str">
        <f>IFERROR(VLOOKUP(MID(N9,Q9,R9-Q9),[5]skilldef!$C:$D,2,FALSE),"-") &amp; " / " &amp; IFERROR(VLOOKUP(MID(N9,O9,P9-O9),[5]skilldef!$A:$B,2,FALSE),"-")</f>
        <v>自分自身に / 行動値設定</v>
      </c>
      <c r="T9" s="128" t="str">
        <f t="shared" ref="T9:T13" si="24">IFERROR(RIGHT(M9,LEN(M9)-FIND("],",M9)-1),"none")</f>
        <v>[effect:tolerance, target:myself, turn:-1, count:-1, tolerance_effect:all, animation:enemy_tolerance],[effect:crash_condition, target:unit_all, turn:15, val:4, animation:enemy_crash_extend],[effect:panel_freeze, target:normal, color:block_green, count:-1],[effect:panel_freeze, target:normal, color:block_yellow, count:-1]</v>
      </c>
      <c r="U9" s="129">
        <f t="shared" ref="U9:U97" si="25">FIND("effect:",T9)+7</f>
        <v>9</v>
      </c>
      <c r="V9" s="129">
        <f t="shared" ref="V9:V13" si="26">IFERROR(FIND(",",T9),LEN(T9))</f>
        <v>18</v>
      </c>
      <c r="W9" s="129">
        <f t="shared" ref="W9:W13" si="27">FIND("target:",T9)+7</f>
        <v>27</v>
      </c>
      <c r="X9" s="129">
        <f t="shared" ref="X9:X13" si="28">FIND(",",T9,V9+1)</f>
        <v>33</v>
      </c>
      <c r="Y9" s="129" t="str">
        <f>IFERROR(VLOOKUP(MID(T9,W9,X9-W9),[5]skilldef!$C:$D,2,FALSE),"-") &amp; " / " &amp; IFERROR(VLOOKUP(MID(T9,U9,V9-U9),[5]skilldef!$A:$B,2,FALSE),"-")</f>
        <v>自分自身に / 状態異常耐性</v>
      </c>
      <c r="Z9" s="150" t="s">
        <v>463</v>
      </c>
      <c r="AA9" s="151" t="s">
        <v>485</v>
      </c>
      <c r="AB9" s="150"/>
    </row>
    <row r="10" spans="1:28" s="152" customFormat="1" ht="56" x14ac:dyDescent="0.15">
      <c r="A10" s="128">
        <v>59002009</v>
      </c>
      <c r="B10" s="128" t="s">
        <v>392</v>
      </c>
      <c r="C10" s="150">
        <v>3</v>
      </c>
      <c r="D10" s="150" t="s">
        <v>127</v>
      </c>
      <c r="E10" s="129" t="s">
        <v>339</v>
      </c>
      <c r="F10" s="129" t="s">
        <v>259</v>
      </c>
      <c r="G10" s="129" t="str">
        <f t="shared" si="0"/>
        <v>[effect:enemy_message, val1:1.2, val2:2.0]</v>
      </c>
      <c r="H10" s="129">
        <f t="shared" si="15"/>
        <v>9</v>
      </c>
      <c r="I10" s="129">
        <f t="shared" si="16"/>
        <v>22</v>
      </c>
      <c r="J10" s="129" t="e">
        <f t="shared" si="17"/>
        <v>#VALUE!</v>
      </c>
      <c r="K10" s="129">
        <f t="shared" si="18"/>
        <v>32</v>
      </c>
      <c r="L10" s="129" t="str">
        <f>IFERROR(VLOOKUP(MID(G10,J10,K10-J10),[5]skilldef!$C:$D,2,FALSE),"-") &amp; " / " &amp; IFERROR(VLOOKUP(MID(G10,H10,I10-H10),[5]skilldef!$A:$B,2,FALSE),"-")</f>
        <v>- / -</v>
      </c>
      <c r="M10" s="129" t="str">
        <f t="shared" si="5"/>
        <v>[effect:panel_freeze, target:normal, color:block_green, count:5],[effect:rush, count:1, val:1]</v>
      </c>
      <c r="N10" s="128" t="str">
        <f t="shared" si="19"/>
        <v>[effect:panel_freeze, target:normal, color:block_green, count:5],[effect:rush, count:1, val:1]</v>
      </c>
      <c r="O10" s="129">
        <f t="shared" si="20"/>
        <v>9</v>
      </c>
      <c r="P10" s="129">
        <f t="shared" si="21"/>
        <v>21</v>
      </c>
      <c r="Q10" s="129">
        <f t="shared" si="22"/>
        <v>30</v>
      </c>
      <c r="R10" s="129">
        <f t="shared" si="23"/>
        <v>36</v>
      </c>
      <c r="S10" s="129" t="str">
        <f>IFERROR(VLOOKUP(MID(N10,Q10,R10-Q10),[5]skilldef!$C:$D,2,FALSE),"-") &amp; " / " &amp; IFERROR(VLOOKUP(MID(N10,O10,P10-O10),[5]skilldef!$A:$B,2,FALSE),"-")</f>
        <v>- / -</v>
      </c>
      <c r="T10" s="128" t="str">
        <f t="shared" si="24"/>
        <v>[effect:rush, count:1, val:1]</v>
      </c>
      <c r="U10" s="129">
        <f t="shared" si="25"/>
        <v>9</v>
      </c>
      <c r="V10" s="129">
        <f t="shared" si="26"/>
        <v>13</v>
      </c>
      <c r="W10" s="129" t="e">
        <f t="shared" si="27"/>
        <v>#VALUE!</v>
      </c>
      <c r="X10" s="129">
        <f t="shared" si="28"/>
        <v>22</v>
      </c>
      <c r="Y10" s="129" t="str">
        <f>IFERROR(VLOOKUP(MID(T10,W10,X10-W10),[5]skilldef!$C:$D,2,FALSE),"-") &amp; " / " &amp; IFERROR(VLOOKUP(MID(T10,U10,V10-U10),[5]skilldef!$A:$B,2,FALSE),"-")</f>
        <v>- / 連続攻撃</v>
      </c>
      <c r="Z10" s="150"/>
      <c r="AA10" s="151"/>
      <c r="AB10" s="150"/>
    </row>
    <row r="11" spans="1:28" s="152" customFormat="1" ht="21" customHeight="1" x14ac:dyDescent="0.15">
      <c r="A11" s="128">
        <v>59002010</v>
      </c>
      <c r="B11" s="128" t="s">
        <v>393</v>
      </c>
      <c r="C11" s="150">
        <v>3</v>
      </c>
      <c r="D11" s="150" t="s">
        <v>127</v>
      </c>
      <c r="E11" s="129" t="s">
        <v>340</v>
      </c>
      <c r="F11" s="129" t="s">
        <v>317</v>
      </c>
      <c r="G11" s="129" t="str">
        <f t="shared" si="0"/>
        <v>[effect:enemy_message, val1:1.2, val2:2.2]</v>
      </c>
      <c r="H11" s="129">
        <f t="shared" si="15"/>
        <v>9</v>
      </c>
      <c r="I11" s="129">
        <f t="shared" si="16"/>
        <v>22</v>
      </c>
      <c r="J11" s="129" t="e">
        <f t="shared" si="17"/>
        <v>#VALUE!</v>
      </c>
      <c r="K11" s="129">
        <f t="shared" si="18"/>
        <v>32</v>
      </c>
      <c r="L11" s="129" t="str">
        <f>IFERROR(VLOOKUP(MID(G11,J11,K11-J11),[5]skilldef!$C:$D,2,FALSE),"-") &amp; " / " &amp; IFERROR(VLOOKUP(MID(G11,H11,I11-H11),[5]skilldef!$A:$B,2,FALSE),"-")</f>
        <v>- / -</v>
      </c>
      <c r="M11" s="129" t="str">
        <f t="shared" si="5"/>
        <v>[effect:hungup, target:unit_all, turn:1, rate:1, animation:hungup01],[effect:rush, count:1, val:1]</v>
      </c>
      <c r="N11" s="128" t="str">
        <f t="shared" si="19"/>
        <v>[effect:hungup, target:unit_all, turn:1, rate:1, animation:hungup01],[effect:rush, count:1, val:1]</v>
      </c>
      <c r="O11" s="129">
        <f t="shared" si="20"/>
        <v>9</v>
      </c>
      <c r="P11" s="129">
        <f t="shared" si="21"/>
        <v>15</v>
      </c>
      <c r="Q11" s="129">
        <f t="shared" si="22"/>
        <v>24</v>
      </c>
      <c r="R11" s="129">
        <f t="shared" si="23"/>
        <v>32</v>
      </c>
      <c r="S11" s="129" t="str">
        <f>IFERROR(VLOOKUP(MID(N11,Q11,R11-Q11),[5]skilldef!$C:$D,2,FALSE),"-") &amp; " / " &amp; IFERROR(VLOOKUP(MID(N11,O11,P11-O11),[5]skilldef!$A:$B,2,FALSE),"-")</f>
        <v>味方全体に / ハングアップ</v>
      </c>
      <c r="T11" s="128" t="str">
        <f t="shared" si="24"/>
        <v>[effect:rush, count:1, val:1]</v>
      </c>
      <c r="U11" s="129">
        <f t="shared" si="25"/>
        <v>9</v>
      </c>
      <c r="V11" s="129">
        <f t="shared" si="26"/>
        <v>13</v>
      </c>
      <c r="W11" s="129" t="e">
        <f t="shared" si="27"/>
        <v>#VALUE!</v>
      </c>
      <c r="X11" s="129">
        <f t="shared" si="28"/>
        <v>22</v>
      </c>
      <c r="Y11" s="129" t="str">
        <f>IFERROR(VLOOKUP(MID(T11,W11,X11-W11),[5]skilldef!$C:$D,2,FALSE),"-") &amp; " / " &amp; IFERROR(VLOOKUP(MID(T11,U11,V11-U11),[5]skilldef!$A:$B,2,FALSE),"-")</f>
        <v>- / 連続攻撃</v>
      </c>
      <c r="Z11" s="150"/>
      <c r="AA11" s="151"/>
      <c r="AB11" s="150"/>
    </row>
    <row r="12" spans="1:28" s="152" customFormat="1" ht="56" x14ac:dyDescent="0.15">
      <c r="A12" s="128">
        <v>59002011</v>
      </c>
      <c r="B12" s="128" t="s">
        <v>394</v>
      </c>
      <c r="C12" s="150">
        <v>3</v>
      </c>
      <c r="D12" s="150" t="s">
        <v>127</v>
      </c>
      <c r="E12" s="129" t="s">
        <v>341</v>
      </c>
      <c r="F12" s="129" t="s">
        <v>260</v>
      </c>
      <c r="G12" s="129" t="str">
        <f t="shared" si="0"/>
        <v>[effect:enemy_message, val1:1.2, val2:2.0]</v>
      </c>
      <c r="H12" s="129">
        <f t="shared" si="15"/>
        <v>9</v>
      </c>
      <c r="I12" s="129">
        <f t="shared" si="16"/>
        <v>22</v>
      </c>
      <c r="J12" s="129" t="e">
        <f t="shared" si="17"/>
        <v>#VALUE!</v>
      </c>
      <c r="K12" s="129">
        <f t="shared" si="18"/>
        <v>32</v>
      </c>
      <c r="L12" s="129" t="str">
        <f>IFERROR(VLOOKUP(MID(G12,J12,K12-J12),[5]skilldef!$C:$D,2,FALSE),"-") &amp; " / " &amp; IFERROR(VLOOKUP(MID(G12,H12,I12-H12),[5]skilldef!$A:$B,2,FALSE),"-")</f>
        <v>- / -</v>
      </c>
      <c r="M12" s="129" t="str">
        <f t="shared" si="5"/>
        <v>[effect:panel_freeze, target:normal, color:block_yellow, count:5],[effect:rush, count:1, val:1]</v>
      </c>
      <c r="N12" s="128" t="str">
        <f t="shared" si="19"/>
        <v>[effect:panel_freeze, target:normal, color:block_yellow, count:5],[effect:rush, count:1, val:1]</v>
      </c>
      <c r="O12" s="129">
        <f t="shared" si="20"/>
        <v>9</v>
      </c>
      <c r="P12" s="129">
        <f t="shared" si="21"/>
        <v>21</v>
      </c>
      <c r="Q12" s="129">
        <f t="shared" si="22"/>
        <v>30</v>
      </c>
      <c r="R12" s="129">
        <f t="shared" si="23"/>
        <v>36</v>
      </c>
      <c r="S12" s="129" t="str">
        <f>IFERROR(VLOOKUP(MID(N12,Q12,R12-Q12),[5]skilldef!$C:$D,2,FALSE),"-") &amp; " / " &amp; IFERROR(VLOOKUP(MID(N12,O12,P12-O12),[5]skilldef!$A:$B,2,FALSE),"-")</f>
        <v>- / -</v>
      </c>
      <c r="T12" s="128" t="str">
        <f t="shared" si="24"/>
        <v>[effect:rush, count:1, val:1]</v>
      </c>
      <c r="U12" s="129">
        <f t="shared" si="25"/>
        <v>9</v>
      </c>
      <c r="V12" s="129">
        <f t="shared" si="26"/>
        <v>13</v>
      </c>
      <c r="W12" s="129" t="e">
        <f t="shared" si="27"/>
        <v>#VALUE!</v>
      </c>
      <c r="X12" s="129">
        <f t="shared" si="28"/>
        <v>22</v>
      </c>
      <c r="Y12" s="129" t="str">
        <f>IFERROR(VLOOKUP(MID(T12,W12,X12-W12),[5]skilldef!$C:$D,2,FALSE),"-") &amp; " / " &amp; IFERROR(VLOOKUP(MID(T12,U12,V12-U12),[5]skilldef!$A:$B,2,FALSE),"-")</f>
        <v>- / 連続攻撃</v>
      </c>
      <c r="Z12" s="150"/>
      <c r="AA12" s="151"/>
      <c r="AB12" s="150"/>
    </row>
    <row r="13" spans="1:28" s="152" customFormat="1" ht="21" customHeight="1" x14ac:dyDescent="0.15">
      <c r="A13" s="128">
        <v>59002012</v>
      </c>
      <c r="B13" s="128" t="s">
        <v>395</v>
      </c>
      <c r="C13" s="150">
        <v>3</v>
      </c>
      <c r="D13" s="150" t="s">
        <v>127</v>
      </c>
      <c r="E13" s="129" t="s">
        <v>342</v>
      </c>
      <c r="F13" s="129" t="s">
        <v>278</v>
      </c>
      <c r="G13" s="129" t="str">
        <f t="shared" si="0"/>
        <v>[effect:enemy_message, val1:1.2, val2:2.5]</v>
      </c>
      <c r="H13" s="129">
        <f t="shared" si="15"/>
        <v>9</v>
      </c>
      <c r="I13" s="129">
        <f t="shared" si="16"/>
        <v>22</v>
      </c>
      <c r="J13" s="129" t="e">
        <f t="shared" si="17"/>
        <v>#VALUE!</v>
      </c>
      <c r="K13" s="129">
        <f t="shared" si="18"/>
        <v>32</v>
      </c>
      <c r="L13" s="129" t="str">
        <f>IFERROR(VLOOKUP(MID(G13,J13,K13-J13),[5]skilldef!$C:$D,2,FALSE),"-") &amp; " / " &amp; IFERROR(VLOOKUP(MID(G13,H13,I13-H13),[5]skilldef!$A:$B,2,FALSE),"-")</f>
        <v>- / -</v>
      </c>
      <c r="M13" s="129" t="str">
        <f t="shared" si="5"/>
        <v>[effect:degrade_unit, target:unit_all, turn:1, status:heal, val:0.8, calc:mul, animation:degrade_unit_all_heal],[effect:rush, count:1, val:1]</v>
      </c>
      <c r="N13" s="128" t="str">
        <f t="shared" si="19"/>
        <v>[effect:degrade_unit, target:unit_all, turn:1, status:heal, val:0.8, calc:mul, animation:degrade_unit_all_heal],[effect:rush, count:1, val:1]</v>
      </c>
      <c r="O13" s="129">
        <f t="shared" si="20"/>
        <v>9</v>
      </c>
      <c r="P13" s="129">
        <f t="shared" si="21"/>
        <v>21</v>
      </c>
      <c r="Q13" s="129">
        <f t="shared" si="22"/>
        <v>30</v>
      </c>
      <c r="R13" s="129">
        <f t="shared" si="23"/>
        <v>38</v>
      </c>
      <c r="S13" s="129" t="str">
        <f>IFERROR(VLOOKUP(MID(N13,Q13,R13-Q13),[5]skilldef!$C:$D,2,FALSE),"-") &amp; " / " &amp; IFERROR(VLOOKUP(MID(N13,O13,P13-O13),[5]skilldef!$A:$B,2,FALSE),"-")</f>
        <v>味方全体に / ステータスDOWN</v>
      </c>
      <c r="T13" s="128" t="str">
        <f t="shared" si="24"/>
        <v>[effect:rush, count:1, val:1]</v>
      </c>
      <c r="U13" s="129">
        <f t="shared" si="25"/>
        <v>9</v>
      </c>
      <c r="V13" s="129">
        <f t="shared" si="26"/>
        <v>13</v>
      </c>
      <c r="W13" s="129" t="e">
        <f t="shared" si="27"/>
        <v>#VALUE!</v>
      </c>
      <c r="X13" s="129">
        <f t="shared" si="28"/>
        <v>22</v>
      </c>
      <c r="Y13" s="129" t="str">
        <f>IFERROR(VLOOKUP(MID(T13,W13,X13-W13),[5]skilldef!$C:$D,2,FALSE),"-") &amp; " / " &amp; IFERROR(VLOOKUP(MID(T13,U13,V13-U13),[5]skilldef!$A:$B,2,FALSE),"-")</f>
        <v>- / 連続攻撃</v>
      </c>
      <c r="Z13" s="150"/>
      <c r="AA13" s="151"/>
      <c r="AB13" s="150"/>
    </row>
    <row r="14" spans="1:28" s="152" customFormat="1" ht="56" x14ac:dyDescent="0.15">
      <c r="A14" s="128">
        <v>59002013</v>
      </c>
      <c r="B14" s="128" t="s">
        <v>392</v>
      </c>
      <c r="C14" s="150">
        <v>3</v>
      </c>
      <c r="D14" s="150" t="s">
        <v>127</v>
      </c>
      <c r="E14" s="129" t="s">
        <v>339</v>
      </c>
      <c r="F14" s="129" t="s">
        <v>259</v>
      </c>
      <c r="G14" s="129" t="str">
        <f t="shared" si="0"/>
        <v>[effect:enemy_message, val1:1.2, val2:2.0]</v>
      </c>
      <c r="H14" s="129">
        <f t="shared" ref="H14:H17" si="29">FIND("effect:",G14)+7</f>
        <v>9</v>
      </c>
      <c r="I14" s="129">
        <f t="shared" ref="I14:I17" si="30">IFERROR(FIND(",",G14),LEN(G14))</f>
        <v>22</v>
      </c>
      <c r="J14" s="129" t="e">
        <f t="shared" ref="J14:J17" si="31">FIND("target:",G14)+7</f>
        <v>#VALUE!</v>
      </c>
      <c r="K14" s="129">
        <f t="shared" ref="K14:K17" si="32">FIND(",",G14,I14+1)</f>
        <v>32</v>
      </c>
      <c r="L14" s="129" t="str">
        <f>IFERROR(VLOOKUP(MID(G14,J14,K14-J14),[5]skilldef!$C:$D,2,FALSE),"-") &amp; " / " &amp; IFERROR(VLOOKUP(MID(G14,H14,I14-H14),[5]skilldef!$A:$B,2,FALSE),"-")</f>
        <v>- / -</v>
      </c>
      <c r="M14" s="129" t="str">
        <f t="shared" si="5"/>
        <v>[effect:panel_freeze, target:normal, color:block_green, count:5],[effect:rush, count:1, val:1]</v>
      </c>
      <c r="N14" s="128" t="str">
        <f t="shared" si="19"/>
        <v>[effect:panel_freeze, target:normal, color:block_green, count:5],[effect:rush, count:1, val:1]</v>
      </c>
      <c r="O14" s="129">
        <f t="shared" ref="O14:O17" si="33">FIND("effect:",N14)+7</f>
        <v>9</v>
      </c>
      <c r="P14" s="129">
        <f t="shared" ref="P14:P17" si="34">IFERROR(FIND(",",N14),LEN(N14))</f>
        <v>21</v>
      </c>
      <c r="Q14" s="129">
        <f t="shared" ref="Q14:Q17" si="35">FIND("target:",N14)+7</f>
        <v>30</v>
      </c>
      <c r="R14" s="129">
        <f t="shared" ref="R14:R17" si="36">FIND(",",N14,P14+1)</f>
        <v>36</v>
      </c>
      <c r="S14" s="129" t="str">
        <f>IFERROR(VLOOKUP(MID(N14,Q14,R14-Q14),[5]skilldef!$C:$D,2,FALSE),"-") &amp; " / " &amp; IFERROR(VLOOKUP(MID(N14,O14,P14-O14),[5]skilldef!$A:$B,2,FALSE),"-")</f>
        <v>- / -</v>
      </c>
      <c r="T14" s="128" t="str">
        <f t="shared" ref="T14:T17" si="37">IFERROR(RIGHT(M14,LEN(M14)-FIND("],",M14)-1),"none")</f>
        <v>[effect:rush, count:1, val:1]</v>
      </c>
      <c r="U14" s="129">
        <f t="shared" ref="U14:U17" si="38">FIND("effect:",T14)+7</f>
        <v>9</v>
      </c>
      <c r="V14" s="129">
        <f t="shared" ref="V14:V17" si="39">IFERROR(FIND(",",T14),LEN(T14))</f>
        <v>13</v>
      </c>
      <c r="W14" s="129" t="e">
        <f t="shared" ref="W14:W17" si="40">FIND("target:",T14)+7</f>
        <v>#VALUE!</v>
      </c>
      <c r="X14" s="129">
        <f t="shared" ref="X14:X17" si="41">FIND(",",T14,V14+1)</f>
        <v>22</v>
      </c>
      <c r="Y14" s="129" t="str">
        <f>IFERROR(VLOOKUP(MID(T14,W14,X14-W14),[5]skilldef!$C:$D,2,FALSE),"-") &amp; " / " &amp; IFERROR(VLOOKUP(MID(T14,U14,V14-U14),[5]skilldef!$A:$B,2,FALSE),"-")</f>
        <v>- / 連続攻撃</v>
      </c>
      <c r="Z14" s="150"/>
      <c r="AA14" s="151"/>
      <c r="AB14" s="150"/>
    </row>
    <row r="15" spans="1:28" s="152" customFormat="1" ht="21" customHeight="1" x14ac:dyDescent="0.15">
      <c r="A15" s="128">
        <v>59002014</v>
      </c>
      <c r="B15" s="128" t="s">
        <v>393</v>
      </c>
      <c r="C15" s="150">
        <v>3</v>
      </c>
      <c r="D15" s="150" t="s">
        <v>127</v>
      </c>
      <c r="E15" s="129" t="s">
        <v>340</v>
      </c>
      <c r="F15" s="129" t="s">
        <v>318</v>
      </c>
      <c r="G15" s="129" t="str">
        <f t="shared" si="0"/>
        <v>[effect:enemy_message, val1:1.2, val2:2.2]</v>
      </c>
      <c r="H15" s="129">
        <f t="shared" si="29"/>
        <v>9</v>
      </c>
      <c r="I15" s="129">
        <f t="shared" si="30"/>
        <v>22</v>
      </c>
      <c r="J15" s="129" t="e">
        <f t="shared" si="31"/>
        <v>#VALUE!</v>
      </c>
      <c r="K15" s="129">
        <f t="shared" si="32"/>
        <v>32</v>
      </c>
      <c r="L15" s="129" t="str">
        <f>IFERROR(VLOOKUP(MID(G15,J15,K15-J15),[5]skilldef!$C:$D,2,FALSE),"-") &amp; " / " &amp; IFERROR(VLOOKUP(MID(G15,H15,I15-H15),[5]skilldef!$A:$B,2,FALSE),"-")</f>
        <v>- / -</v>
      </c>
      <c r="M15" s="129" t="str">
        <f t="shared" si="5"/>
        <v>[effect:hungup, target:unit_all, turn:1, rate:1, animation:hungup01],[effect:rush, count:1, val:1]</v>
      </c>
      <c r="N15" s="128" t="str">
        <f>IFERROR(LEFT(M15,FIND("],",M15)+S33),M15)</f>
        <v>[effect:hungup, target:unit_all, turn:1, rate:1, animation:hungup01],[effect:rush, count:1, val:1]</v>
      </c>
      <c r="O15" s="129">
        <f t="shared" si="33"/>
        <v>9</v>
      </c>
      <c r="P15" s="129">
        <f t="shared" si="34"/>
        <v>15</v>
      </c>
      <c r="Q15" s="129">
        <f t="shared" si="35"/>
        <v>24</v>
      </c>
      <c r="R15" s="129">
        <f t="shared" si="36"/>
        <v>32</v>
      </c>
      <c r="S15" s="129" t="str">
        <f>IFERROR(VLOOKUP(MID(N15,Q15,R15-Q15),[5]skilldef!$C:$D,2,FALSE),"-") &amp; " / " &amp; IFERROR(VLOOKUP(MID(N15,O15,P15-O15),[5]skilldef!$A:$B,2,FALSE),"-")</f>
        <v>味方全体に / ハングアップ</v>
      </c>
      <c r="T15" s="128" t="str">
        <f t="shared" si="37"/>
        <v>[effect:rush, count:1, val:1]</v>
      </c>
      <c r="U15" s="129">
        <f t="shared" si="38"/>
        <v>9</v>
      </c>
      <c r="V15" s="129">
        <f t="shared" si="39"/>
        <v>13</v>
      </c>
      <c r="W15" s="129" t="e">
        <f t="shared" si="40"/>
        <v>#VALUE!</v>
      </c>
      <c r="X15" s="129">
        <f t="shared" si="41"/>
        <v>22</v>
      </c>
      <c r="Y15" s="129" t="str">
        <f>IFERROR(VLOOKUP(MID(T15,W15,X15-W15),[5]skilldef!$C:$D,2,FALSE),"-") &amp; " / " &amp; IFERROR(VLOOKUP(MID(T15,U15,V15-U15),[5]skilldef!$A:$B,2,FALSE),"-")</f>
        <v>- / 連続攻撃</v>
      </c>
      <c r="Z15" s="150"/>
      <c r="AA15" s="151"/>
      <c r="AB15" s="150"/>
    </row>
    <row r="16" spans="1:28" s="152" customFormat="1" ht="56" x14ac:dyDescent="0.15">
      <c r="A16" s="128">
        <v>59002015</v>
      </c>
      <c r="B16" s="128" t="s">
        <v>394</v>
      </c>
      <c r="C16" s="150">
        <v>3</v>
      </c>
      <c r="D16" s="150" t="s">
        <v>127</v>
      </c>
      <c r="E16" s="129" t="s">
        <v>341</v>
      </c>
      <c r="F16" s="129" t="s">
        <v>260</v>
      </c>
      <c r="G16" s="129" t="str">
        <f t="shared" si="0"/>
        <v>[effect:enemy_message, val1:1.2, val2:2.0]</v>
      </c>
      <c r="H16" s="129">
        <f t="shared" si="29"/>
        <v>9</v>
      </c>
      <c r="I16" s="129">
        <f t="shared" si="30"/>
        <v>22</v>
      </c>
      <c r="J16" s="129" t="e">
        <f t="shared" si="31"/>
        <v>#VALUE!</v>
      </c>
      <c r="K16" s="129">
        <f t="shared" si="32"/>
        <v>32</v>
      </c>
      <c r="L16" s="129" t="str">
        <f>IFERROR(VLOOKUP(MID(G16,J16,K16-J16),[5]skilldef!$C:$D,2,FALSE),"-") &amp; " / " &amp; IFERROR(VLOOKUP(MID(G16,H16,I16-H16),[5]skilldef!$A:$B,2,FALSE),"-")</f>
        <v>- / -</v>
      </c>
      <c r="M16" s="129" t="str">
        <f t="shared" si="5"/>
        <v>[effect:panel_freeze, target:normal, color:block_yellow, count:5],[effect:rush, count:1, val:1]</v>
      </c>
      <c r="N16" s="128" t="str">
        <f>IFERROR(LEFT(M16,FIND("],",M16)+S34),M16)</f>
        <v>[effect:panel_freeze, target:normal, color:block_yellow, count:5],[effect:rush, count:1, val:1]</v>
      </c>
      <c r="O16" s="129">
        <f t="shared" si="33"/>
        <v>9</v>
      </c>
      <c r="P16" s="129">
        <f t="shared" si="34"/>
        <v>21</v>
      </c>
      <c r="Q16" s="129">
        <f t="shared" si="35"/>
        <v>30</v>
      </c>
      <c r="R16" s="129">
        <f t="shared" si="36"/>
        <v>36</v>
      </c>
      <c r="S16" s="129" t="str">
        <f>IFERROR(VLOOKUP(MID(N16,Q16,R16-Q16),[5]skilldef!$C:$D,2,FALSE),"-") &amp; " / " &amp; IFERROR(VLOOKUP(MID(N16,O16,P16-O16),[5]skilldef!$A:$B,2,FALSE),"-")</f>
        <v>- / -</v>
      </c>
      <c r="T16" s="128" t="str">
        <f t="shared" si="37"/>
        <v>[effect:rush, count:1, val:1]</v>
      </c>
      <c r="U16" s="129">
        <f t="shared" si="38"/>
        <v>9</v>
      </c>
      <c r="V16" s="129">
        <f t="shared" si="39"/>
        <v>13</v>
      </c>
      <c r="W16" s="129" t="e">
        <f t="shared" si="40"/>
        <v>#VALUE!</v>
      </c>
      <c r="X16" s="129">
        <f t="shared" si="41"/>
        <v>22</v>
      </c>
      <c r="Y16" s="129" t="str">
        <f>IFERROR(VLOOKUP(MID(T16,W16,X16-W16),[5]skilldef!$C:$D,2,FALSE),"-") &amp; " / " &amp; IFERROR(VLOOKUP(MID(T16,U16,V16-U16),[5]skilldef!$A:$B,2,FALSE),"-")</f>
        <v>- / 連続攻撃</v>
      </c>
      <c r="Z16" s="150"/>
      <c r="AA16" s="151"/>
      <c r="AB16" s="150"/>
    </row>
    <row r="17" spans="1:28" s="152" customFormat="1" ht="21" customHeight="1" x14ac:dyDescent="0.15">
      <c r="A17" s="128">
        <v>59002016</v>
      </c>
      <c r="B17" s="128" t="s">
        <v>395</v>
      </c>
      <c r="C17" s="150">
        <v>3</v>
      </c>
      <c r="D17" s="150" t="s">
        <v>127</v>
      </c>
      <c r="E17" s="129" t="s">
        <v>342</v>
      </c>
      <c r="F17" s="129" t="s">
        <v>278</v>
      </c>
      <c r="G17" s="129" t="str">
        <f t="shared" si="0"/>
        <v>[effect:enemy_message, val1:1.2, val2:2.5]</v>
      </c>
      <c r="H17" s="129">
        <f t="shared" si="29"/>
        <v>9</v>
      </c>
      <c r="I17" s="129">
        <f t="shared" si="30"/>
        <v>22</v>
      </c>
      <c r="J17" s="129" t="e">
        <f t="shared" si="31"/>
        <v>#VALUE!</v>
      </c>
      <c r="K17" s="129">
        <f t="shared" si="32"/>
        <v>32</v>
      </c>
      <c r="L17" s="129" t="str">
        <f>IFERROR(VLOOKUP(MID(G17,J17,K17-J17),[5]skilldef!$C:$D,2,FALSE),"-") &amp; " / " &amp; IFERROR(VLOOKUP(MID(G17,H17,I17-H17),[5]skilldef!$A:$B,2,FALSE),"-")</f>
        <v>- / -</v>
      </c>
      <c r="M17" s="129" t="str">
        <f t="shared" si="5"/>
        <v>[effect:degrade_unit, target:unit_all, turn:1, status:heal, val:0.8, calc:mul, animation:degrade_unit_all_heal],[effect:rush, count:1, val:1]</v>
      </c>
      <c r="N17" s="128" t="str">
        <f>IFERROR(LEFT(M17,FIND("],",M17)+S35),M17)</f>
        <v>[effect:degrade_unit, target:unit_all, turn:1, status:heal, val:0.8, calc:mul, animation:degrade_unit_all_heal],[effect:rush, count:1, val:1]</v>
      </c>
      <c r="O17" s="129">
        <f t="shared" si="33"/>
        <v>9</v>
      </c>
      <c r="P17" s="129">
        <f t="shared" si="34"/>
        <v>21</v>
      </c>
      <c r="Q17" s="129">
        <f t="shared" si="35"/>
        <v>30</v>
      </c>
      <c r="R17" s="129">
        <f t="shared" si="36"/>
        <v>38</v>
      </c>
      <c r="S17" s="129" t="str">
        <f>IFERROR(VLOOKUP(MID(N17,Q17,R17-Q17),[5]skilldef!$C:$D,2,FALSE),"-") &amp; " / " &amp; IFERROR(VLOOKUP(MID(N17,O17,P17-O17),[5]skilldef!$A:$B,2,FALSE),"-")</f>
        <v>味方全体に / ステータスDOWN</v>
      </c>
      <c r="T17" s="128" t="str">
        <f t="shared" si="37"/>
        <v>[effect:rush, count:1, val:1]</v>
      </c>
      <c r="U17" s="129">
        <f t="shared" si="38"/>
        <v>9</v>
      </c>
      <c r="V17" s="129">
        <f t="shared" si="39"/>
        <v>13</v>
      </c>
      <c r="W17" s="129" t="e">
        <f t="shared" si="40"/>
        <v>#VALUE!</v>
      </c>
      <c r="X17" s="129">
        <f t="shared" si="41"/>
        <v>22</v>
      </c>
      <c r="Y17" s="129" t="str">
        <f>IFERROR(VLOOKUP(MID(T17,W17,X17-W17),[5]skilldef!$C:$D,2,FALSE),"-") &amp; " / " &amp; IFERROR(VLOOKUP(MID(T17,U17,V17-U17),[5]skilldef!$A:$B,2,FALSE),"-")</f>
        <v>- / 連続攻撃</v>
      </c>
      <c r="Z17" s="150"/>
      <c r="AA17" s="151"/>
      <c r="AB17" s="150"/>
    </row>
    <row r="18" spans="1:28" s="152" customFormat="1" ht="56" x14ac:dyDescent="0.15">
      <c r="A18" s="128">
        <v>59002017</v>
      </c>
      <c r="B18" s="128" t="s">
        <v>392</v>
      </c>
      <c r="C18" s="150">
        <v>3</v>
      </c>
      <c r="D18" s="150" t="s">
        <v>127</v>
      </c>
      <c r="E18" s="129" t="s">
        <v>339</v>
      </c>
      <c r="F18" s="129" t="s">
        <v>259</v>
      </c>
      <c r="G18" s="129" t="str">
        <f t="shared" si="0"/>
        <v>[effect:enemy_message, val1:1.2, val2:2.0]</v>
      </c>
      <c r="H18" s="129">
        <f t="shared" ref="H18:H19" si="42">FIND("effect:",G18)+7</f>
        <v>9</v>
      </c>
      <c r="I18" s="129">
        <f t="shared" ref="I18:I19" si="43">IFERROR(FIND(",",G18),LEN(G18))</f>
        <v>22</v>
      </c>
      <c r="J18" s="129" t="e">
        <f t="shared" ref="J18:J19" si="44">FIND("target:",G18)+7</f>
        <v>#VALUE!</v>
      </c>
      <c r="K18" s="129">
        <f t="shared" ref="K18:K19" si="45">FIND(",",G18,I18+1)</f>
        <v>32</v>
      </c>
      <c r="L18" s="129" t="str">
        <f>IFERROR(VLOOKUP(MID(G18,J18,K18-J18),[5]skilldef!$C:$D,2,FALSE),"-") &amp; " / " &amp; IFERROR(VLOOKUP(MID(G18,H18,I18-H18),[5]skilldef!$A:$B,2,FALSE),"-")</f>
        <v>- / -</v>
      </c>
      <c r="M18" s="129" t="str">
        <f t="shared" si="5"/>
        <v>[effect:panel_freeze, target:normal, color:block_green, count:5],[effect:rush, count:1, val:1]</v>
      </c>
      <c r="N18" s="128" t="str">
        <f>IFERROR(LEFT(M18,FIND("],",M18)+S43),M18)</f>
        <v>[effect:panel_freeze, target:normal, color:block_green, count:5],[effect:rush, count:1, val:1]</v>
      </c>
      <c r="O18" s="129">
        <f t="shared" ref="O18:O19" si="46">FIND("effect:",N18)+7</f>
        <v>9</v>
      </c>
      <c r="P18" s="129">
        <f t="shared" ref="P18:P19" si="47">IFERROR(FIND(",",N18),LEN(N18))</f>
        <v>21</v>
      </c>
      <c r="Q18" s="129">
        <f t="shared" ref="Q18:Q19" si="48">FIND("target:",N18)+7</f>
        <v>30</v>
      </c>
      <c r="R18" s="129">
        <f t="shared" ref="R18:R19" si="49">FIND(",",N18,P18+1)</f>
        <v>36</v>
      </c>
      <c r="S18" s="129" t="str">
        <f>IFERROR(VLOOKUP(MID(N18,Q18,R18-Q18),[5]skilldef!$C:$D,2,FALSE),"-") &amp; " / " &amp; IFERROR(VLOOKUP(MID(N18,O18,P18-O18),[5]skilldef!$A:$B,2,FALSE),"-")</f>
        <v>- / -</v>
      </c>
      <c r="T18" s="128" t="str">
        <f t="shared" ref="T18:T19" si="50">IFERROR(RIGHT(M18,LEN(M18)-FIND("],",M18)-1),"none")</f>
        <v>[effect:rush, count:1, val:1]</v>
      </c>
      <c r="U18" s="129">
        <f t="shared" ref="U18:U19" si="51">FIND("effect:",T18)+7</f>
        <v>9</v>
      </c>
      <c r="V18" s="129">
        <f t="shared" ref="V18:V19" si="52">IFERROR(FIND(",",T18),LEN(T18))</f>
        <v>13</v>
      </c>
      <c r="W18" s="129" t="e">
        <f t="shared" ref="W18:W19" si="53">FIND("target:",T18)+7</f>
        <v>#VALUE!</v>
      </c>
      <c r="X18" s="129">
        <f t="shared" ref="X18:X19" si="54">FIND(",",T18,V18+1)</f>
        <v>22</v>
      </c>
      <c r="Y18" s="129" t="str">
        <f>IFERROR(VLOOKUP(MID(T18,W18,X18-W18),[5]skilldef!$C:$D,2,FALSE),"-") &amp; " / " &amp; IFERROR(VLOOKUP(MID(T18,U18,V18-U18),[5]skilldef!$A:$B,2,FALSE),"-")</f>
        <v>- / 連続攻撃</v>
      </c>
      <c r="Z18" s="150"/>
      <c r="AA18" s="151"/>
      <c r="AB18" s="150"/>
    </row>
    <row r="19" spans="1:28" s="152" customFormat="1" ht="56" x14ac:dyDescent="0.15">
      <c r="A19" s="128">
        <v>59002018</v>
      </c>
      <c r="B19" s="128" t="s">
        <v>394</v>
      </c>
      <c r="C19" s="150">
        <v>3</v>
      </c>
      <c r="D19" s="150" t="s">
        <v>127</v>
      </c>
      <c r="E19" s="129" t="s">
        <v>341</v>
      </c>
      <c r="F19" s="129" t="s">
        <v>260</v>
      </c>
      <c r="G19" s="129" t="str">
        <f t="shared" si="0"/>
        <v>[effect:enemy_message, val1:1.2, val2:2.0]</v>
      </c>
      <c r="H19" s="129">
        <f t="shared" si="42"/>
        <v>9</v>
      </c>
      <c r="I19" s="129">
        <f t="shared" si="43"/>
        <v>22</v>
      </c>
      <c r="J19" s="129" t="e">
        <f t="shared" si="44"/>
        <v>#VALUE!</v>
      </c>
      <c r="K19" s="129">
        <f t="shared" si="45"/>
        <v>32</v>
      </c>
      <c r="L19" s="129" t="str">
        <f>IFERROR(VLOOKUP(MID(G19,J19,K19-J19),[5]skilldef!$C:$D,2,FALSE),"-") &amp; " / " &amp; IFERROR(VLOOKUP(MID(G19,H19,I19-H19),[5]skilldef!$A:$B,2,FALSE),"-")</f>
        <v>- / -</v>
      </c>
      <c r="M19" s="129" t="str">
        <f t="shared" si="5"/>
        <v>[effect:panel_freeze, target:normal, color:block_yellow, count:5],[effect:rush, count:1, val:1]</v>
      </c>
      <c r="N19" s="128" t="str">
        <f>IFERROR(LEFT(M19,FIND("],",M19)+S44),M19)</f>
        <v>[effect:panel_freeze, target:normal, color:block_yellow, count:5],[effect:rush, count:1, val:1]</v>
      </c>
      <c r="O19" s="129">
        <f t="shared" si="46"/>
        <v>9</v>
      </c>
      <c r="P19" s="129">
        <f t="shared" si="47"/>
        <v>21</v>
      </c>
      <c r="Q19" s="129">
        <f t="shared" si="48"/>
        <v>30</v>
      </c>
      <c r="R19" s="129">
        <f t="shared" si="49"/>
        <v>36</v>
      </c>
      <c r="S19" s="129" t="str">
        <f>IFERROR(VLOOKUP(MID(N19,Q19,R19-Q19),[5]skilldef!$C:$D,2,FALSE),"-") &amp; " / " &amp; IFERROR(VLOOKUP(MID(N19,O19,P19-O19),[5]skilldef!$A:$B,2,FALSE),"-")</f>
        <v>- / -</v>
      </c>
      <c r="T19" s="128" t="str">
        <f t="shared" si="50"/>
        <v>[effect:rush, count:1, val:1]</v>
      </c>
      <c r="U19" s="129">
        <f t="shared" si="51"/>
        <v>9</v>
      </c>
      <c r="V19" s="129">
        <f t="shared" si="52"/>
        <v>13</v>
      </c>
      <c r="W19" s="129" t="e">
        <f t="shared" si="53"/>
        <v>#VALUE!</v>
      </c>
      <c r="X19" s="129">
        <f t="shared" si="54"/>
        <v>22</v>
      </c>
      <c r="Y19" s="129" t="str">
        <f>IFERROR(VLOOKUP(MID(T19,W19,X19-W19),[5]skilldef!$C:$D,2,FALSE),"-") &amp; " / " &amp; IFERROR(VLOOKUP(MID(T19,U19,V19-U19),[5]skilldef!$A:$B,2,FALSE),"-")</f>
        <v>- / 連続攻撃</v>
      </c>
      <c r="Z19" s="150"/>
      <c r="AA19" s="151"/>
      <c r="AB19" s="150"/>
    </row>
    <row r="20" spans="1:28" s="152" customFormat="1" ht="14" x14ac:dyDescent="0.15">
      <c r="A20" s="128">
        <v>59002019</v>
      </c>
      <c r="B20" s="128" t="s">
        <v>459</v>
      </c>
      <c r="C20" s="150">
        <v>3</v>
      </c>
      <c r="D20" s="150" t="s">
        <v>127</v>
      </c>
      <c r="E20" s="129" t="s">
        <v>456</v>
      </c>
      <c r="F20" s="129" t="s">
        <v>458</v>
      </c>
      <c r="G20" s="129" t="str">
        <f t="shared" si="0"/>
        <v>[effect:enemy_message, val1:2.0, val2:0.0, dead_type:suicide]</v>
      </c>
      <c r="H20" s="129">
        <f t="shared" ref="H20" si="55">FIND("effect:",G20)+7</f>
        <v>9</v>
      </c>
      <c r="I20" s="129">
        <f t="shared" ref="I20" si="56">IFERROR(FIND(",",G20),LEN(G20))</f>
        <v>22</v>
      </c>
      <c r="J20" s="129" t="e">
        <f t="shared" ref="J20" si="57">FIND("target:",G20)+7</f>
        <v>#VALUE!</v>
      </c>
      <c r="K20" s="129">
        <f t="shared" ref="K20" si="58">FIND(",",G20,I20+1)</f>
        <v>32</v>
      </c>
      <c r="L20" s="129" t="str">
        <f>IFERROR(VLOOKUP(MID(G20,J20,K20-J20),[5]skilldef!$C:$D,2,FALSE),"-") &amp; " / " &amp; IFERROR(VLOOKUP(MID(G20,H20,I20-H20),[5]skilldef!$A:$B,2,FALSE),"-")</f>
        <v>- / -</v>
      </c>
      <c r="M20" s="129" t="str">
        <f t="shared" si="5"/>
        <v>none</v>
      </c>
      <c r="N20" s="128" t="str">
        <f>IFERROR(LEFT(M20,FIND("],",M20)+S45),M20)</f>
        <v>none</v>
      </c>
      <c r="O20" s="129" t="e">
        <f t="shared" ref="O20" si="59">FIND("effect:",N20)+7</f>
        <v>#VALUE!</v>
      </c>
      <c r="P20" s="129">
        <f t="shared" ref="P20" si="60">IFERROR(FIND(",",N20),LEN(N20))</f>
        <v>4</v>
      </c>
      <c r="Q20" s="129" t="e">
        <f t="shared" ref="Q20" si="61">FIND("target:",N20)+7</f>
        <v>#VALUE!</v>
      </c>
      <c r="R20" s="129" t="e">
        <f t="shared" ref="R20" si="62">FIND(",",N20,P20+1)</f>
        <v>#VALUE!</v>
      </c>
      <c r="S20" s="129" t="str">
        <f>IFERROR(VLOOKUP(MID(N20,Q20,R20-Q20),[5]skilldef!$C:$D,2,FALSE),"-") &amp; " / " &amp; IFERROR(VLOOKUP(MID(N20,O20,P20-O20),[5]skilldef!$A:$B,2,FALSE),"-")</f>
        <v>- / -</v>
      </c>
      <c r="T20" s="128" t="str">
        <f t="shared" ref="T20" si="63">IFERROR(RIGHT(M20,LEN(M20)-FIND("],",M20)-1),"none")</f>
        <v>none</v>
      </c>
      <c r="U20" s="129" t="e">
        <f t="shared" ref="U20" si="64">FIND("effect:",T20)+7</f>
        <v>#VALUE!</v>
      </c>
      <c r="V20" s="129">
        <f t="shared" ref="V20" si="65">IFERROR(FIND(",",T20),LEN(T20))</f>
        <v>4</v>
      </c>
      <c r="W20" s="129" t="e">
        <f t="shared" ref="W20" si="66">FIND("target:",T20)+7</f>
        <v>#VALUE!</v>
      </c>
      <c r="X20" s="129" t="e">
        <f t="shared" ref="X20" si="67">FIND(",",T20,V20+1)</f>
        <v>#VALUE!</v>
      </c>
      <c r="Y20" s="129" t="str">
        <f>IFERROR(VLOOKUP(MID(T20,W20,X20-W20),[5]skilldef!$C:$D,2,FALSE),"-") &amp; " / " &amp; IFERROR(VLOOKUP(MID(T20,U20,V20-U20),[5]skilldef!$A:$B,2,FALSE),"-")</f>
        <v>- / -</v>
      </c>
      <c r="Z20" s="150" t="s">
        <v>462</v>
      </c>
      <c r="AA20" s="151"/>
      <c r="AB20" s="150"/>
    </row>
    <row r="21" spans="1:28" s="155" customFormat="1" ht="21" customHeight="1" x14ac:dyDescent="0.15">
      <c r="A21" s="130">
        <v>59002020</v>
      </c>
      <c r="B21" s="130" t="s">
        <v>396</v>
      </c>
      <c r="C21" s="153">
        <v>3</v>
      </c>
      <c r="D21" s="153" t="s">
        <v>127</v>
      </c>
      <c r="E21" s="131" t="s">
        <v>343</v>
      </c>
      <c r="F21" s="131" t="s">
        <v>261</v>
      </c>
      <c r="G21" s="131" t="str">
        <f t="shared" si="0"/>
        <v>[effect:enemy_message, val1:1.2, val2:2.0]</v>
      </c>
      <c r="H21" s="131">
        <f t="shared" si="15"/>
        <v>9</v>
      </c>
      <c r="I21" s="131">
        <f t="shared" ref="I21" si="68">IFERROR(FIND(",",G21),LEN(G21))</f>
        <v>22</v>
      </c>
      <c r="J21" s="131" t="e">
        <f t="shared" ref="J21" si="69">FIND("target:",G21)+7</f>
        <v>#VALUE!</v>
      </c>
      <c r="K21" s="131">
        <f t="shared" ref="K21" si="70">FIND(",",G21,I21+1)</f>
        <v>32</v>
      </c>
      <c r="L21" s="131" t="str">
        <f>IFERROR(VLOOKUP(MID(G21,J21,K21-J21),[5]skilldef!$C:$D,2,FALSE),"-") &amp; " / " &amp; IFERROR(VLOOKUP(MID(G21,H21,I21-H21),[5]skilldef!$A:$B,2,FALSE),"-")</f>
        <v>- / -</v>
      </c>
      <c r="M21" s="131" t="str">
        <f t="shared" si="5"/>
        <v>[effect:fix_speed, target:myself, turn:2],[effect:degrade_unit, target:unit_all, turn:4, status:heal, val:0.5, calc:mul, animation:degrade_unit_all_heal]</v>
      </c>
      <c r="N21" s="130" t="str">
        <f t="shared" ref="N21" si="71">IFERROR(LEFT(M21,FIND("],",M21)+S31),M21)</f>
        <v>[effect:fix_speed, target:myself, turn:2],[effect:degrade_unit, target:unit_all, turn:4, status:heal, val:0.5, calc:mul, animation:degrade_unit_all_heal]</v>
      </c>
      <c r="O21" s="131">
        <f t="shared" si="20"/>
        <v>9</v>
      </c>
      <c r="P21" s="131">
        <f t="shared" ref="P21" si="72">IFERROR(FIND(",",N21),LEN(N21))</f>
        <v>18</v>
      </c>
      <c r="Q21" s="131">
        <f t="shared" ref="Q21" si="73">FIND("target:",N21)+7</f>
        <v>27</v>
      </c>
      <c r="R21" s="131">
        <f t="shared" ref="R21" si="74">FIND(",",N21,P21+1)</f>
        <v>33</v>
      </c>
      <c r="S21" s="131" t="str">
        <f>IFERROR(VLOOKUP(MID(N21,Q21,R21-Q21),[5]skilldef!$C:$D,2,FALSE),"-") &amp; " / " &amp; IFERROR(VLOOKUP(MID(N21,O21,P21-O21),[5]skilldef!$A:$B,2,FALSE),"-")</f>
        <v>自分自身に / 行動値設定</v>
      </c>
      <c r="T21" s="130" t="str">
        <f t="shared" ref="T21" si="75">IFERROR(RIGHT(M21,LEN(M21)-FIND("],",M21)-1),"none")</f>
        <v>[effect:degrade_unit, target:unit_all, turn:4, status:heal, val:0.5, calc:mul, animation:degrade_unit_all_heal]</v>
      </c>
      <c r="U21" s="131">
        <f t="shared" si="25"/>
        <v>9</v>
      </c>
      <c r="V21" s="131">
        <f t="shared" ref="V21" si="76">IFERROR(FIND(",",T21),LEN(T21))</f>
        <v>21</v>
      </c>
      <c r="W21" s="131">
        <f t="shared" ref="W21" si="77">FIND("target:",T21)+7</f>
        <v>30</v>
      </c>
      <c r="X21" s="131">
        <f t="shared" ref="X21" si="78">FIND(",",T21,V21+1)</f>
        <v>38</v>
      </c>
      <c r="Y21" s="131" t="str">
        <f>IFERROR(VLOOKUP(MID(T21,W21,X21-W21),[5]skilldef!$C:$D,2,FALSE),"-") &amp; " / " &amp; IFERROR(VLOOKUP(MID(T21,U21,V21-U21),[5]skilldef!$A:$B,2,FALSE),"-")</f>
        <v>味方全体に / ステータスDOWN</v>
      </c>
      <c r="Z21" s="153"/>
      <c r="AA21" s="154"/>
      <c r="AB21" s="153"/>
    </row>
    <row r="22" spans="1:28" s="155" customFormat="1" ht="21" customHeight="1" x14ac:dyDescent="0.15">
      <c r="A22" s="130">
        <v>59002021</v>
      </c>
      <c r="B22" s="130" t="s">
        <v>438</v>
      </c>
      <c r="C22" s="153">
        <v>3</v>
      </c>
      <c r="D22" s="153" t="s">
        <v>127</v>
      </c>
      <c r="E22" s="131" t="s">
        <v>344</v>
      </c>
      <c r="F22" s="131" t="s">
        <v>262</v>
      </c>
      <c r="G22" s="131" t="str">
        <f t="shared" si="0"/>
        <v>[effect:enemy_message, val1:1.2, val2:2.0]</v>
      </c>
      <c r="H22" s="131">
        <f t="shared" si="15"/>
        <v>9</v>
      </c>
      <c r="I22" s="131">
        <f t="shared" ref="I22:I26" si="79">IFERROR(FIND(",",G22),LEN(G22))</f>
        <v>22</v>
      </c>
      <c r="J22" s="131" t="e">
        <f t="shared" ref="J22:J26" si="80">FIND("target:",G22)+7</f>
        <v>#VALUE!</v>
      </c>
      <c r="K22" s="131">
        <f t="shared" ref="K22:K26" si="81">FIND(",",G22,I22+1)</f>
        <v>32</v>
      </c>
      <c r="L22" s="131" t="str">
        <f>IFERROR(VLOOKUP(MID(G22,J22,K22-J22),[5]skilldef!$C:$D,2,FALSE),"-") &amp; " / " &amp; IFERROR(VLOOKUP(MID(G22,H22,I22-H22),[5]skilldef!$A:$B,2,FALSE),"-")</f>
        <v>- / -</v>
      </c>
      <c r="M22" s="131" t="str">
        <f t="shared" si="5"/>
        <v>[effect:attack_break, target:unit_all, turn:4, val:0.5, calc:mul, animation:attack_break01]</v>
      </c>
      <c r="N22" s="130" t="str">
        <f>IFERROR(LEFT(M22,FIND("],",M22)+S33),M22)</f>
        <v>[effect:attack_break, target:unit_all, turn:4, val:0.5, calc:mul, animation:attack_break01]</v>
      </c>
      <c r="O22" s="131">
        <f t="shared" si="20"/>
        <v>9</v>
      </c>
      <c r="P22" s="131">
        <f t="shared" ref="P22:P26" si="82">IFERROR(FIND(",",N22),LEN(N22))</f>
        <v>21</v>
      </c>
      <c r="Q22" s="131">
        <f t="shared" ref="Q22:Q26" si="83">FIND("target:",N22)+7</f>
        <v>30</v>
      </c>
      <c r="R22" s="131">
        <f t="shared" ref="R22:R26" si="84">FIND(",",N22,P22+1)</f>
        <v>38</v>
      </c>
      <c r="S22" s="131" t="str">
        <f>IFERROR(VLOOKUP(MID(N22,Q22,R22-Q22),[5]skilldef!$C:$D,2,FALSE),"-") &amp; " / " &amp; IFERROR(VLOOKUP(MID(N22,O22,P22-O22),[5]skilldef!$A:$B,2,FALSE),"-")</f>
        <v>味方全体に / -</v>
      </c>
      <c r="T22" s="130" t="str">
        <f t="shared" ref="T22:T26" si="85">IFERROR(RIGHT(M22,LEN(M22)-FIND("],",M22)-1),"none")</f>
        <v>none</v>
      </c>
      <c r="U22" s="131" t="e">
        <f t="shared" si="25"/>
        <v>#VALUE!</v>
      </c>
      <c r="V22" s="131">
        <f t="shared" ref="V22:V26" si="86">IFERROR(FIND(",",T22),LEN(T22))</f>
        <v>4</v>
      </c>
      <c r="W22" s="131" t="e">
        <f t="shared" ref="W22:W26" si="87">FIND("target:",T22)+7</f>
        <v>#VALUE!</v>
      </c>
      <c r="X22" s="131" t="e">
        <f t="shared" ref="X22:X26" si="88">FIND(",",T22,V22+1)</f>
        <v>#VALUE!</v>
      </c>
      <c r="Y22" s="131" t="str">
        <f>IFERROR(VLOOKUP(MID(T22,W22,X22-W22),[5]skilldef!$C:$D,2,FALSE),"-") &amp; " / " &amp; IFERROR(VLOOKUP(MID(T22,U22,V22-U22),[5]skilldef!$A:$B,2,FALSE),"-")</f>
        <v>- / -</v>
      </c>
      <c r="Z22" s="153"/>
      <c r="AA22" s="154"/>
      <c r="AB22" s="153"/>
    </row>
    <row r="23" spans="1:28" s="155" customFormat="1" ht="21" customHeight="1" x14ac:dyDescent="0.15">
      <c r="A23" s="130">
        <v>59002022</v>
      </c>
      <c r="B23" s="130" t="s">
        <v>391</v>
      </c>
      <c r="C23" s="153">
        <v>3</v>
      </c>
      <c r="D23" s="153" t="s">
        <v>127</v>
      </c>
      <c r="E23" s="131" t="s">
        <v>345</v>
      </c>
      <c r="F23" s="131" t="s">
        <v>258</v>
      </c>
      <c r="G23" s="131" t="str">
        <f t="shared" si="0"/>
        <v>[effect:enemy_message, val1:1.2, val2:1.2]</v>
      </c>
      <c r="H23" s="131">
        <f t="shared" si="15"/>
        <v>9</v>
      </c>
      <c r="I23" s="131">
        <f t="shared" si="79"/>
        <v>22</v>
      </c>
      <c r="J23" s="131" t="e">
        <f t="shared" si="80"/>
        <v>#VALUE!</v>
      </c>
      <c r="K23" s="131">
        <f t="shared" si="81"/>
        <v>32</v>
      </c>
      <c r="L23" s="131" t="str">
        <f>IFERROR(VLOOKUP(MID(G23,J23,K23-J23),[5]skilldef!$C:$D,2,FALSE),"-") &amp; " / " &amp; IFERROR(VLOOKUP(MID(G23,H23,I23-H23),[5]skilldef!$A:$B,2,FALSE),"-")</f>
        <v>- / -</v>
      </c>
      <c r="M23" s="131" t="str">
        <f t="shared" si="5"/>
        <v>[effect:spread, val:0.25]</v>
      </c>
      <c r="N23" s="130" t="str">
        <f>IFERROR(LEFT(M23,FIND("],",M23)+S34),M23)</f>
        <v>[effect:spread, val:0.25]</v>
      </c>
      <c r="O23" s="131">
        <f t="shared" si="20"/>
        <v>9</v>
      </c>
      <c r="P23" s="131">
        <f t="shared" si="82"/>
        <v>15</v>
      </c>
      <c r="Q23" s="131" t="e">
        <f t="shared" si="83"/>
        <v>#VALUE!</v>
      </c>
      <c r="R23" s="131" t="e">
        <f t="shared" si="84"/>
        <v>#VALUE!</v>
      </c>
      <c r="S23" s="131" t="str">
        <f>IFERROR(VLOOKUP(MID(N23,Q23,R23-Q23),[5]skilldef!$C:$D,2,FALSE),"-") &amp; " / " &amp; IFERROR(VLOOKUP(MID(N23,O23,P23-O23),[5]skilldef!$A:$B,2,FALSE),"-")</f>
        <v>- / 全体攻撃</v>
      </c>
      <c r="T23" s="130" t="str">
        <f t="shared" si="85"/>
        <v>none</v>
      </c>
      <c r="U23" s="131" t="e">
        <f t="shared" si="25"/>
        <v>#VALUE!</v>
      </c>
      <c r="V23" s="131">
        <f t="shared" si="86"/>
        <v>4</v>
      </c>
      <c r="W23" s="131" t="e">
        <f t="shared" si="87"/>
        <v>#VALUE!</v>
      </c>
      <c r="X23" s="131" t="e">
        <f t="shared" si="88"/>
        <v>#VALUE!</v>
      </c>
      <c r="Y23" s="131" t="str">
        <f>IFERROR(VLOOKUP(MID(T23,W23,X23-W23),[5]skilldef!$C:$D,2,FALSE),"-") &amp; " / " &amp; IFERROR(VLOOKUP(MID(T23,U23,V23-U23),[5]skilldef!$A:$B,2,FALSE),"-")</f>
        <v>- / -</v>
      </c>
      <c r="Z23" s="153"/>
      <c r="AA23" s="154"/>
      <c r="AB23" s="153"/>
    </row>
    <row r="24" spans="1:28" s="155" customFormat="1" ht="21" customHeight="1" x14ac:dyDescent="0.15">
      <c r="A24" s="130">
        <v>59002023</v>
      </c>
      <c r="B24" s="130" t="s">
        <v>439</v>
      </c>
      <c r="C24" s="153">
        <v>3</v>
      </c>
      <c r="D24" s="153" t="s">
        <v>127</v>
      </c>
      <c r="E24" s="131" t="s">
        <v>344</v>
      </c>
      <c r="F24" s="131" t="s">
        <v>263</v>
      </c>
      <c r="G24" s="131" t="str">
        <f t="shared" si="0"/>
        <v>[effect:enemy_message, val1:1.2, val2:2.2]</v>
      </c>
      <c r="H24" s="131">
        <f t="shared" si="15"/>
        <v>9</v>
      </c>
      <c r="I24" s="131">
        <f t="shared" si="79"/>
        <v>22</v>
      </c>
      <c r="J24" s="131" t="e">
        <f t="shared" si="80"/>
        <v>#VALUE!</v>
      </c>
      <c r="K24" s="131">
        <f t="shared" si="81"/>
        <v>32</v>
      </c>
      <c r="L24" s="131" t="str">
        <f>IFERROR(VLOOKUP(MID(G24,J24,K24-J24),[5]skilldef!$C:$D,2,FALSE),"-") &amp; " / " &amp; IFERROR(VLOOKUP(MID(G24,H24,I24-H24),[5]skilldef!$A:$B,2,FALSE),"-")</f>
        <v>- / -</v>
      </c>
      <c r="M24" s="131" t="str">
        <f t="shared" si="5"/>
        <v>[effect:attack_break, target:unit_all, turn:-1, val:0.8, calc:mul, animation:attack_break01]</v>
      </c>
      <c r="N24" s="130" t="str">
        <f>IFERROR(LEFT(M24,FIND("],",M24)+S35),M24)</f>
        <v>[effect:attack_break, target:unit_all, turn:-1, val:0.8, calc:mul, animation:attack_break01]</v>
      </c>
      <c r="O24" s="131">
        <f t="shared" si="20"/>
        <v>9</v>
      </c>
      <c r="P24" s="131">
        <f t="shared" si="82"/>
        <v>21</v>
      </c>
      <c r="Q24" s="131">
        <f t="shared" si="83"/>
        <v>30</v>
      </c>
      <c r="R24" s="131">
        <f t="shared" si="84"/>
        <v>38</v>
      </c>
      <c r="S24" s="131" t="str">
        <f>IFERROR(VLOOKUP(MID(N24,Q24,R24-Q24),[5]skilldef!$C:$D,2,FALSE),"-") &amp; " / " &amp; IFERROR(VLOOKUP(MID(N24,O24,P24-O24),[5]skilldef!$A:$B,2,FALSE),"-")</f>
        <v>味方全体に / -</v>
      </c>
      <c r="T24" s="130" t="str">
        <f t="shared" si="85"/>
        <v>none</v>
      </c>
      <c r="U24" s="131" t="e">
        <f t="shared" si="25"/>
        <v>#VALUE!</v>
      </c>
      <c r="V24" s="131">
        <f t="shared" si="86"/>
        <v>4</v>
      </c>
      <c r="W24" s="131" t="e">
        <f t="shared" si="87"/>
        <v>#VALUE!</v>
      </c>
      <c r="X24" s="131" t="e">
        <f t="shared" si="88"/>
        <v>#VALUE!</v>
      </c>
      <c r="Y24" s="131" t="str">
        <f>IFERROR(VLOOKUP(MID(T24,W24,X24-W24),[5]skilldef!$C:$D,2,FALSE),"-") &amp; " / " &amp; IFERROR(VLOOKUP(MID(T24,U24,V24-U24),[5]skilldef!$A:$B,2,FALSE),"-")</f>
        <v>- / -</v>
      </c>
      <c r="Z24" s="153"/>
      <c r="AA24" s="154"/>
      <c r="AB24" s="153"/>
    </row>
    <row r="25" spans="1:28" s="155" customFormat="1" ht="21" customHeight="1" x14ac:dyDescent="0.15">
      <c r="A25" s="130">
        <v>59002024</v>
      </c>
      <c r="B25" s="130" t="s">
        <v>397</v>
      </c>
      <c r="C25" s="153">
        <v>3</v>
      </c>
      <c r="D25" s="153" t="s">
        <v>127</v>
      </c>
      <c r="E25" s="131" t="s">
        <v>343</v>
      </c>
      <c r="F25" s="131" t="s">
        <v>261</v>
      </c>
      <c r="G25" s="131" t="str">
        <f t="shared" si="0"/>
        <v>[effect:enemy_message, val1:1.2, val2:2.0]</v>
      </c>
      <c r="H25" s="131">
        <f t="shared" si="15"/>
        <v>9</v>
      </c>
      <c r="I25" s="131">
        <f t="shared" si="79"/>
        <v>22</v>
      </c>
      <c r="J25" s="131" t="e">
        <f t="shared" si="80"/>
        <v>#VALUE!</v>
      </c>
      <c r="K25" s="131">
        <f t="shared" si="81"/>
        <v>32</v>
      </c>
      <c r="L25" s="131" t="str">
        <f>IFERROR(VLOOKUP(MID(G25,J25,K25-J25),[5]skilldef!$C:$D,2,FALSE),"-") &amp; " / " &amp; IFERROR(VLOOKUP(MID(G25,H25,I25-H25),[5]skilldef!$A:$B,2,FALSE),"-")</f>
        <v>- / -</v>
      </c>
      <c r="M25" s="131" t="str">
        <f t="shared" si="5"/>
        <v>[effect:degrade_unit, target:unit_all, turn:4, status:heal, val:0.5, calc:mul, animation:degrade_unit_all_heal]</v>
      </c>
      <c r="N25" s="130" t="str">
        <f>IFERROR(LEFT(M25,FIND("],",M25)+#REF!),M25)</f>
        <v>[effect:degrade_unit, target:unit_all, turn:4, status:heal, val:0.5, calc:mul, animation:degrade_unit_all_heal]</v>
      </c>
      <c r="O25" s="131">
        <f t="shared" si="20"/>
        <v>9</v>
      </c>
      <c r="P25" s="131">
        <f t="shared" si="82"/>
        <v>21</v>
      </c>
      <c r="Q25" s="131">
        <f t="shared" si="83"/>
        <v>30</v>
      </c>
      <c r="R25" s="131">
        <f t="shared" si="84"/>
        <v>38</v>
      </c>
      <c r="S25" s="131" t="str">
        <f>IFERROR(VLOOKUP(MID(N25,Q25,R25-Q25),[5]skilldef!$C:$D,2,FALSE),"-") &amp; " / " &amp; IFERROR(VLOOKUP(MID(N25,O25,P25-O25),[5]skilldef!$A:$B,2,FALSE),"-")</f>
        <v>味方全体に / ステータスDOWN</v>
      </c>
      <c r="T25" s="130" t="str">
        <f t="shared" si="85"/>
        <v>none</v>
      </c>
      <c r="U25" s="131" t="e">
        <f t="shared" si="25"/>
        <v>#VALUE!</v>
      </c>
      <c r="V25" s="131">
        <f t="shared" si="86"/>
        <v>4</v>
      </c>
      <c r="W25" s="131" t="e">
        <f t="shared" si="87"/>
        <v>#VALUE!</v>
      </c>
      <c r="X25" s="131" t="e">
        <f t="shared" si="88"/>
        <v>#VALUE!</v>
      </c>
      <c r="Y25" s="131" t="str">
        <f>IFERROR(VLOOKUP(MID(T25,W25,X25-W25),[5]skilldef!$C:$D,2,FALSE),"-") &amp; " / " &amp; IFERROR(VLOOKUP(MID(T25,U25,V25-U25),[5]skilldef!$A:$B,2,FALSE),"-")</f>
        <v>- / -</v>
      </c>
      <c r="Z25" s="153"/>
      <c r="AA25" s="154"/>
      <c r="AB25" s="153"/>
    </row>
    <row r="26" spans="1:28" s="155" customFormat="1" ht="21" customHeight="1" x14ac:dyDescent="0.15">
      <c r="A26" s="130">
        <v>59002025</v>
      </c>
      <c r="B26" s="130" t="s">
        <v>391</v>
      </c>
      <c r="C26" s="153">
        <v>3</v>
      </c>
      <c r="D26" s="153" t="s">
        <v>127</v>
      </c>
      <c r="E26" s="131" t="s">
        <v>345</v>
      </c>
      <c r="F26" s="131" t="s">
        <v>258</v>
      </c>
      <c r="G26" s="131" t="str">
        <f t="shared" si="0"/>
        <v>[effect:enemy_message, val1:1.2, val2:1.2]</v>
      </c>
      <c r="H26" s="131">
        <f t="shared" si="15"/>
        <v>9</v>
      </c>
      <c r="I26" s="131">
        <f t="shared" si="79"/>
        <v>22</v>
      </c>
      <c r="J26" s="131" t="e">
        <f t="shared" si="80"/>
        <v>#VALUE!</v>
      </c>
      <c r="K26" s="131">
        <f t="shared" si="81"/>
        <v>32</v>
      </c>
      <c r="L26" s="131" t="str">
        <f>IFERROR(VLOOKUP(MID(G26,J26,K26-J26),[5]skilldef!$C:$D,2,FALSE),"-") &amp; " / " &amp; IFERROR(VLOOKUP(MID(G26,H26,I26-H26),[5]skilldef!$A:$B,2,FALSE),"-")</f>
        <v>- / -</v>
      </c>
      <c r="M26" s="131" t="str">
        <f t="shared" si="5"/>
        <v>[effect:spread, val:0.25]</v>
      </c>
      <c r="N26" s="130" t="str">
        <f>IFERROR(LEFT(M26,FIND("],",M26)+S43),M26)</f>
        <v>[effect:spread, val:0.25]</v>
      </c>
      <c r="O26" s="131">
        <f t="shared" si="20"/>
        <v>9</v>
      </c>
      <c r="P26" s="131">
        <f t="shared" si="82"/>
        <v>15</v>
      </c>
      <c r="Q26" s="131" t="e">
        <f t="shared" si="83"/>
        <v>#VALUE!</v>
      </c>
      <c r="R26" s="131" t="e">
        <f t="shared" si="84"/>
        <v>#VALUE!</v>
      </c>
      <c r="S26" s="131" t="str">
        <f>IFERROR(VLOOKUP(MID(N26,Q26,R26-Q26),[5]skilldef!$C:$D,2,FALSE),"-") &amp; " / " &amp; IFERROR(VLOOKUP(MID(N26,O26,P26-O26),[5]skilldef!$A:$B,2,FALSE),"-")</f>
        <v>- / 全体攻撃</v>
      </c>
      <c r="T26" s="130" t="str">
        <f t="shared" si="85"/>
        <v>none</v>
      </c>
      <c r="U26" s="131" t="e">
        <f t="shared" si="25"/>
        <v>#VALUE!</v>
      </c>
      <c r="V26" s="131">
        <f t="shared" si="86"/>
        <v>4</v>
      </c>
      <c r="W26" s="131" t="e">
        <f t="shared" si="87"/>
        <v>#VALUE!</v>
      </c>
      <c r="X26" s="131" t="e">
        <f t="shared" si="88"/>
        <v>#VALUE!</v>
      </c>
      <c r="Y26" s="131" t="str">
        <f>IFERROR(VLOOKUP(MID(T26,W26,X26-W26),[5]skilldef!$C:$D,2,FALSE),"-") &amp; " / " &amp; IFERROR(VLOOKUP(MID(T26,U26,V26-U26),[5]skilldef!$A:$B,2,FALSE),"-")</f>
        <v>- / -</v>
      </c>
      <c r="Z26" s="153"/>
      <c r="AA26" s="154"/>
      <c r="AB26" s="153"/>
    </row>
    <row r="27" spans="1:28" s="108" customFormat="1" ht="21" customHeight="1" x14ac:dyDescent="0.15">
      <c r="A27" s="104">
        <v>59002026</v>
      </c>
      <c r="B27" s="104" t="s">
        <v>440</v>
      </c>
      <c r="C27" s="105">
        <v>3</v>
      </c>
      <c r="D27" s="105" t="s">
        <v>127</v>
      </c>
      <c r="E27" s="106" t="s">
        <v>346</v>
      </c>
      <c r="F27" s="106" t="s">
        <v>264</v>
      </c>
      <c r="G27" s="106" t="str">
        <f t="shared" si="0"/>
        <v>[effect:enemy_message, val1:1.2, val2:1.2]</v>
      </c>
      <c r="H27" s="106">
        <f t="shared" si="15"/>
        <v>9</v>
      </c>
      <c r="I27" s="106">
        <f t="shared" ref="I27" si="89">IFERROR(FIND(",",G27),LEN(G27))</f>
        <v>22</v>
      </c>
      <c r="J27" s="106" t="e">
        <f t="shared" ref="J27" si="90">FIND("target:",G27)+7</f>
        <v>#VALUE!</v>
      </c>
      <c r="K27" s="106">
        <f t="shared" ref="K27" si="91">FIND(",",G27,I27+1)</f>
        <v>32</v>
      </c>
      <c r="L27" s="106" t="str">
        <f>IFERROR(VLOOKUP(MID(G27,J27,K27-J27),[5]skilldef!$C:$D,2,FALSE),"-") &amp; " / " &amp; IFERROR(VLOOKUP(MID(G27,H27,I27-H27),[5]skilldef!$A:$B,2,FALSE),"-")</f>
        <v>- / -</v>
      </c>
      <c r="M27" s="106" t="str">
        <f t="shared" si="5"/>
        <v>[effect:fix_speed, target:myself, turn:2],[effect:enhance_enemy, target:myself, turn:-1, status:defense, val:2000, calc:add, animation:enemy_enhance_defense]</v>
      </c>
      <c r="N27" s="104" t="str">
        <f>IFERROR(LEFT(M27,FIND("],",M27)+S44),M27)</f>
        <v>[effect:fix_speed, target:myself, turn:2],[effect:enhance_enemy, target:myself, turn:-1, status:defense, val:2000, calc:add, animation:enemy_enhance_defense]</v>
      </c>
      <c r="O27" s="106">
        <f t="shared" si="20"/>
        <v>9</v>
      </c>
      <c r="P27" s="106">
        <f t="shared" ref="P27" si="92">IFERROR(FIND(",",N27),LEN(N27))</f>
        <v>18</v>
      </c>
      <c r="Q27" s="106">
        <f t="shared" ref="Q27" si="93">FIND("target:",N27)+7</f>
        <v>27</v>
      </c>
      <c r="R27" s="106">
        <f t="shared" ref="R27" si="94">FIND(",",N27,P27+1)</f>
        <v>33</v>
      </c>
      <c r="S27" s="106" t="str">
        <f>IFERROR(VLOOKUP(MID(N27,Q27,R27-Q27),[5]skilldef!$C:$D,2,FALSE),"-") &amp; " / " &amp; IFERROR(VLOOKUP(MID(N27,O27,P27-O27),[5]skilldef!$A:$B,2,FALSE),"-")</f>
        <v>自分自身に / 行動値設定</v>
      </c>
      <c r="T27" s="104" t="str">
        <f t="shared" ref="T27" si="95">IFERROR(RIGHT(M27,LEN(M27)-FIND("],",M27)-1),"none")</f>
        <v>[effect:enhance_enemy, target:myself, turn:-1, status:defense, val:2000, calc:add, animation:enemy_enhance_defense]</v>
      </c>
      <c r="U27" s="106">
        <f t="shared" si="25"/>
        <v>9</v>
      </c>
      <c r="V27" s="106">
        <f t="shared" ref="V27" si="96">IFERROR(FIND(",",T27),LEN(T27))</f>
        <v>22</v>
      </c>
      <c r="W27" s="106">
        <f t="shared" ref="W27" si="97">FIND("target:",T27)+7</f>
        <v>31</v>
      </c>
      <c r="X27" s="106">
        <f t="shared" ref="X27" si="98">FIND(",",T27,V27+1)</f>
        <v>37</v>
      </c>
      <c r="Y27" s="106" t="str">
        <f>IFERROR(VLOOKUP(MID(T27,W27,X27-W27),[5]skilldef!$C:$D,2,FALSE),"-") &amp; " / " &amp; IFERROR(VLOOKUP(MID(T27,U27,V27-U27),[5]skilldef!$A:$B,2,FALSE),"-")</f>
        <v>自分自身に / ステータス強化</v>
      </c>
      <c r="Z27" s="105"/>
      <c r="AA27" s="107"/>
      <c r="AB27" s="105"/>
    </row>
    <row r="28" spans="1:28" s="108" customFormat="1" ht="21" customHeight="1" x14ac:dyDescent="0.15">
      <c r="A28" s="104">
        <v>59002027</v>
      </c>
      <c r="B28" s="104" t="s">
        <v>391</v>
      </c>
      <c r="C28" s="105">
        <v>3</v>
      </c>
      <c r="D28" s="105" t="s">
        <v>127</v>
      </c>
      <c r="E28" s="106" t="s">
        <v>347</v>
      </c>
      <c r="F28" s="106" t="s">
        <v>258</v>
      </c>
      <c r="G28" s="106" t="str">
        <f t="shared" si="0"/>
        <v>[effect:enemy_message, val1:1.2, val2:1.2]</v>
      </c>
      <c r="H28" s="106">
        <f t="shared" si="15"/>
        <v>9</v>
      </c>
      <c r="I28" s="106">
        <f t="shared" ref="I28:I30" si="99">IFERROR(FIND(",",G28),LEN(G28))</f>
        <v>22</v>
      </c>
      <c r="J28" s="106" t="e">
        <f t="shared" ref="J28:J30" si="100">FIND("target:",G28)+7</f>
        <v>#VALUE!</v>
      </c>
      <c r="K28" s="106">
        <f t="shared" ref="K28:K30" si="101">FIND(",",G28,I28+1)</f>
        <v>32</v>
      </c>
      <c r="L28" s="106" t="str">
        <f>IFERROR(VLOOKUP(MID(G28,J28,K28-J28),[5]skilldef!$C:$D,2,FALSE),"-") &amp; " / " &amp; IFERROR(VLOOKUP(MID(G28,H28,I28-H28),[5]skilldef!$A:$B,2,FALSE),"-")</f>
        <v>- / -</v>
      </c>
      <c r="M28" s="106" t="str">
        <f t="shared" si="5"/>
        <v>[effect:spread, val:0.25]</v>
      </c>
      <c r="N28" s="104" t="str">
        <f>IFERROR(LEFT(M28,FIND("],",M28)+S45),M28)</f>
        <v>[effect:spread, val:0.25]</v>
      </c>
      <c r="O28" s="106">
        <f t="shared" si="20"/>
        <v>9</v>
      </c>
      <c r="P28" s="106">
        <f t="shared" ref="P28:P30" si="102">IFERROR(FIND(",",N28),LEN(N28))</f>
        <v>15</v>
      </c>
      <c r="Q28" s="106" t="e">
        <f t="shared" ref="Q28:Q30" si="103">FIND("target:",N28)+7</f>
        <v>#VALUE!</v>
      </c>
      <c r="R28" s="106" t="e">
        <f t="shared" ref="R28:R30" si="104">FIND(",",N28,P28+1)</f>
        <v>#VALUE!</v>
      </c>
      <c r="S28" s="106" t="str">
        <f>IFERROR(VLOOKUP(MID(N28,Q28,R28-Q28),[5]skilldef!$C:$D,2,FALSE),"-") &amp; " / " &amp; IFERROR(VLOOKUP(MID(N28,O28,P28-O28),[5]skilldef!$A:$B,2,FALSE),"-")</f>
        <v>- / 全体攻撃</v>
      </c>
      <c r="T28" s="104" t="str">
        <f t="shared" ref="T28:T30" si="105">IFERROR(RIGHT(M28,LEN(M28)-FIND("],",M28)-1),"none")</f>
        <v>none</v>
      </c>
      <c r="U28" s="106" t="e">
        <f t="shared" si="25"/>
        <v>#VALUE!</v>
      </c>
      <c r="V28" s="106">
        <f t="shared" ref="V28:V30" si="106">IFERROR(FIND(",",T28),LEN(T28))</f>
        <v>4</v>
      </c>
      <c r="W28" s="106" t="e">
        <f t="shared" ref="W28:W30" si="107">FIND("target:",T28)+7</f>
        <v>#VALUE!</v>
      </c>
      <c r="X28" s="106" t="e">
        <f t="shared" ref="X28:X30" si="108">FIND(",",T28,V28+1)</f>
        <v>#VALUE!</v>
      </c>
      <c r="Y28" s="106" t="str">
        <f>IFERROR(VLOOKUP(MID(T28,W28,X28-W28),[5]skilldef!$C:$D,2,FALSE),"-") &amp; " / " &amp; IFERROR(VLOOKUP(MID(T28,U28,V28-U28),[5]skilldef!$A:$B,2,FALSE),"-")</f>
        <v>- / -</v>
      </c>
      <c r="Z28" s="105"/>
      <c r="AA28" s="107"/>
      <c r="AB28" s="105"/>
    </row>
    <row r="29" spans="1:28" s="108" customFormat="1" ht="21" customHeight="1" x14ac:dyDescent="0.15">
      <c r="A29" s="104">
        <v>59002028</v>
      </c>
      <c r="B29" s="104" t="s">
        <v>398</v>
      </c>
      <c r="C29" s="105">
        <v>3</v>
      </c>
      <c r="D29" s="105" t="s">
        <v>127</v>
      </c>
      <c r="E29" s="106" t="s">
        <v>348</v>
      </c>
      <c r="F29" s="106" t="s">
        <v>319</v>
      </c>
      <c r="G29" s="106" t="str">
        <f t="shared" si="0"/>
        <v>[effect:enemy_message, val1:1.2, val2:1.8]</v>
      </c>
      <c r="H29" s="106">
        <f t="shared" si="15"/>
        <v>9</v>
      </c>
      <c r="I29" s="106">
        <f t="shared" si="99"/>
        <v>22</v>
      </c>
      <c r="J29" s="106" t="e">
        <f t="shared" si="100"/>
        <v>#VALUE!</v>
      </c>
      <c r="K29" s="106">
        <f t="shared" si="101"/>
        <v>32</v>
      </c>
      <c r="L29" s="106" t="str">
        <f>IFERROR(VLOOKUP(MID(G29,J29,K29-J29),[5]skilldef!$C:$D,2,FALSE),"-") &amp; " / " &amp; IFERROR(VLOOKUP(MID(G29,H29,I29-H29),[5]skilldef!$A:$B,2,FALSE),"-")</f>
        <v>- / -</v>
      </c>
      <c r="M29" s="106" t="str">
        <f t="shared" si="5"/>
        <v>[effect:force_change_block, new_block:jammer, target:block_all, ignore01:crash, ignore02:crack_bomb, ignore03:color_break, ignore04:magnet, ignore05:jammer, count:5, val:0, animation:change_block]</v>
      </c>
      <c r="N29" s="104" t="str">
        <f>IFERROR(LEFT(M29,FIND("],",M29)+S46),M29)</f>
        <v>[effect:force_change_block, new_block:jammer, target:block_all, ignore01:crash, ignore02:crack_bomb, ignore03:color_break, ignore04:magnet, ignore05:jammer, count:5, val:0, animation:change_block]</v>
      </c>
      <c r="O29" s="106">
        <f t="shared" si="20"/>
        <v>9</v>
      </c>
      <c r="P29" s="106">
        <f t="shared" si="102"/>
        <v>27</v>
      </c>
      <c r="Q29" s="106">
        <f t="shared" si="103"/>
        <v>54</v>
      </c>
      <c r="R29" s="106">
        <f t="shared" si="104"/>
        <v>45</v>
      </c>
      <c r="S29" s="106" t="str">
        <f>IFERROR(VLOOKUP(MID(N29,Q29,R29-Q29),[5]skilldef!$C:$D,2,FALSE),"-") &amp; " / " &amp; IFERROR(VLOOKUP(MID(N29,O29,P29-O29),[5]skilldef!$A:$B,2,FALSE),"-")</f>
        <v>- / -</v>
      </c>
      <c r="T29" s="104" t="str">
        <f t="shared" si="105"/>
        <v>none</v>
      </c>
      <c r="U29" s="106" t="e">
        <f t="shared" si="25"/>
        <v>#VALUE!</v>
      </c>
      <c r="V29" s="106">
        <f t="shared" si="106"/>
        <v>4</v>
      </c>
      <c r="W29" s="106" t="e">
        <f t="shared" si="107"/>
        <v>#VALUE!</v>
      </c>
      <c r="X29" s="106" t="e">
        <f t="shared" si="108"/>
        <v>#VALUE!</v>
      </c>
      <c r="Y29" s="106" t="str">
        <f>IFERROR(VLOOKUP(MID(T29,W29,X29-W29),[5]skilldef!$C:$D,2,FALSE),"-") &amp; " / " &amp; IFERROR(VLOOKUP(MID(T29,U29,V29-U29),[5]skilldef!$A:$B,2,FALSE),"-")</f>
        <v>- / -</v>
      </c>
      <c r="Z29" s="105"/>
      <c r="AA29" s="107"/>
      <c r="AB29" s="105"/>
    </row>
    <row r="30" spans="1:28" s="108" customFormat="1" ht="38" customHeight="1" x14ac:dyDescent="0.15">
      <c r="A30" s="104">
        <v>59002029</v>
      </c>
      <c r="B30" s="104" t="s">
        <v>557</v>
      </c>
      <c r="C30" s="105">
        <v>3</v>
      </c>
      <c r="D30" s="105" t="s">
        <v>127</v>
      </c>
      <c r="E30" s="106" t="s">
        <v>349</v>
      </c>
      <c r="F30" s="106" t="s">
        <v>554</v>
      </c>
      <c r="G30" s="106" t="str">
        <f t="shared" si="0"/>
        <v>[effect:enemy_message, val1:1.2, val2:3.5]</v>
      </c>
      <c r="H30" s="106">
        <f t="shared" si="15"/>
        <v>9</v>
      </c>
      <c r="I30" s="106">
        <f t="shared" si="99"/>
        <v>22</v>
      </c>
      <c r="J30" s="106" t="e">
        <f t="shared" si="100"/>
        <v>#VALUE!</v>
      </c>
      <c r="K30" s="106">
        <f t="shared" si="101"/>
        <v>32</v>
      </c>
      <c r="L30" s="106" t="str">
        <f>IFERROR(VLOOKUP(MID(G30,J30,K30-J30),[5]skilldef!$C:$D,2,FALSE),"-") &amp; " / " &amp; IFERROR(VLOOKUP(MID(G30,H30,I30-H30),[5]skilldef!$A:$B,2,FALSE),"-")</f>
        <v>- / -</v>
      </c>
      <c r="M30" s="106" t="str">
        <f t="shared" si="5"/>
        <v>[effect:break_enchance_enemy, target:myself, val:300, lowest_val:2000, count:-1, status:defense, turn:-1, block01:jammer, calc:add, animation:enemy_enhance_defense],[effect:enemy_counter, target:myself, invoke_condition:unit_all, counter_target:attacker, turn:1, val:1.5, animation:enemy_counter]</v>
      </c>
      <c r="N30" s="104" t="str">
        <f>IFERROR(LEFT(M30,FIND("],",M30)+S47),M30)</f>
        <v>[effect:break_enchance_enemy, target:myself, val:300, lowest_val:2000, count:-1, status:defense, turn:-1, block01:jammer, calc:add, animation:enemy_enhance_defense],[effect:enemy_counter, target:myself, invoke_condition:unit_all, counter_target:attacker, turn:1, val:1.5, animation:enemy_counter]</v>
      </c>
      <c r="O30" s="106">
        <f t="shared" si="20"/>
        <v>9</v>
      </c>
      <c r="P30" s="106">
        <f t="shared" si="102"/>
        <v>29</v>
      </c>
      <c r="Q30" s="106">
        <f t="shared" si="103"/>
        <v>38</v>
      </c>
      <c r="R30" s="106">
        <f t="shared" si="104"/>
        <v>44</v>
      </c>
      <c r="S30" s="106" t="str">
        <f>IFERROR(VLOOKUP(MID(N30,Q30,R30-Q30),[5]skilldef!$C:$D,2,FALSE),"-") &amp; " / " &amp; IFERROR(VLOOKUP(MID(N30,O30,P30-O30),[5]skilldef!$A:$B,2,FALSE),"-")</f>
        <v>自分自身に / -</v>
      </c>
      <c r="T30" s="104" t="str">
        <f t="shared" si="105"/>
        <v>[effect:enemy_counter, target:myself, invoke_condition:unit_all, counter_target:attacker, turn:1, val:1.5, animation:enemy_counter]</v>
      </c>
      <c r="U30" s="106">
        <f t="shared" si="25"/>
        <v>9</v>
      </c>
      <c r="V30" s="106">
        <f t="shared" si="106"/>
        <v>22</v>
      </c>
      <c r="W30" s="106">
        <f t="shared" si="107"/>
        <v>31</v>
      </c>
      <c r="X30" s="106">
        <f t="shared" si="108"/>
        <v>37</v>
      </c>
      <c r="Y30" s="106" t="str">
        <f>IFERROR(VLOOKUP(MID(T30,W30,X30-W30),[5]skilldef!$C:$D,2,FALSE),"-") &amp; " / " &amp; IFERROR(VLOOKUP(MID(T30,U30,V30-U30),[5]skilldef!$A:$B,2,FALSE),"-")</f>
        <v>自分自身に / カウンター</v>
      </c>
      <c r="Z30" s="105"/>
      <c r="AA30" s="107"/>
      <c r="AB30" s="105"/>
    </row>
    <row r="31" spans="1:28" s="121" customFormat="1" ht="30" customHeight="1" x14ac:dyDescent="0.15">
      <c r="A31" s="117">
        <v>59002030</v>
      </c>
      <c r="B31" s="117" t="s">
        <v>558</v>
      </c>
      <c r="C31" s="118">
        <v>3</v>
      </c>
      <c r="D31" s="118" t="s">
        <v>127</v>
      </c>
      <c r="E31" s="119" t="s">
        <v>415</v>
      </c>
      <c r="F31" s="119" t="s">
        <v>555</v>
      </c>
      <c r="G31" s="119" t="str">
        <f t="shared" si="0"/>
        <v>[effect:enemy_message, val1:2.7, val2:2.8]</v>
      </c>
      <c r="H31" s="119">
        <f t="shared" si="15"/>
        <v>9</v>
      </c>
      <c r="I31" s="119">
        <f t="shared" ref="I31:I32" si="109">IFERROR(FIND(",",G31),LEN(G31))</f>
        <v>22</v>
      </c>
      <c r="J31" s="119" t="e">
        <f t="shared" ref="J31:J32" si="110">FIND("target:",G31)+7</f>
        <v>#VALUE!</v>
      </c>
      <c r="K31" s="119">
        <f t="shared" ref="K31:K32" si="111">FIND(",",G31,I31+1)</f>
        <v>32</v>
      </c>
      <c r="L31" s="119" t="str">
        <f>IFERROR(VLOOKUP(MID(G31,J31,K31-J31),[5]skilldef!$C:$D,2,FALSE),"-") &amp; " / " &amp; IFERROR(VLOOKUP(MID(G31,H31,I31-H31),[5]skilldef!$A:$B,2,FALSE),"-")</f>
        <v>- / -</v>
      </c>
      <c r="M31" s="119" t="str">
        <f t="shared" si="5"/>
        <v xml:space="preserve">[effect:fix_speed, target:myself, turn:1],[effect:tolerance, target:myself, turn:-1, count:-1, tolerance_effect:all, animation:enemy_tolerance],[effect:drop_block, block_type:normal, block_color:block_blue, color:block_red, val:0, rate:0.25, turn:-1]    </v>
      </c>
      <c r="N31" s="117" t="str">
        <f>IFERROR(LEFT(M31,FIND("],",M31)+S51),M31)</f>
        <v xml:space="preserve">[effect:fix_speed, target:myself, turn:1],[effect:tolerance, target:myself, turn:-1, count:-1, tolerance_effect:all, animation:enemy_tolerance],[effect:drop_block, block_type:normal, block_color:block_blue, color:block_red, val:0, rate:0.25, turn:-1]    </v>
      </c>
      <c r="O31" s="119">
        <f t="shared" si="20"/>
        <v>9</v>
      </c>
      <c r="P31" s="119">
        <f t="shared" ref="P31:P32" si="112">IFERROR(FIND(",",N31),LEN(N31))</f>
        <v>18</v>
      </c>
      <c r="Q31" s="119">
        <f t="shared" ref="Q31:Q32" si="113">FIND("target:",N31)+7</f>
        <v>27</v>
      </c>
      <c r="R31" s="119">
        <f t="shared" ref="R31:R32" si="114">FIND(",",N31,P31+1)</f>
        <v>33</v>
      </c>
      <c r="S31" s="119" t="str">
        <f>IFERROR(VLOOKUP(MID(N31,Q31,R31-Q31),[5]skilldef!$C:$D,2,FALSE),"-") &amp; " / " &amp; IFERROR(VLOOKUP(MID(N31,O31,P31-O31),[5]skilldef!$A:$B,2,FALSE),"-")</f>
        <v>自分自身に / 行動値設定</v>
      </c>
      <c r="T31" s="117" t="str">
        <f t="shared" ref="T31:T32" si="115">IFERROR(RIGHT(M31,LEN(M31)-FIND("],",M31)-1),"none")</f>
        <v xml:space="preserve">[effect:tolerance, target:myself, turn:-1, count:-1, tolerance_effect:all, animation:enemy_tolerance],[effect:drop_block, block_type:normal, block_color:block_blue, color:block_red, val:0, rate:0.25, turn:-1]    </v>
      </c>
      <c r="U31" s="119">
        <f t="shared" si="25"/>
        <v>9</v>
      </c>
      <c r="V31" s="119">
        <f t="shared" ref="V31:V32" si="116">IFERROR(FIND(",",T31),LEN(T31))</f>
        <v>18</v>
      </c>
      <c r="W31" s="119">
        <f t="shared" ref="W31:W32" si="117">FIND("target:",T31)+7</f>
        <v>27</v>
      </c>
      <c r="X31" s="119">
        <f t="shared" ref="X31:X32" si="118">FIND(",",T31,V31+1)</f>
        <v>33</v>
      </c>
      <c r="Y31" s="119" t="str">
        <f>IFERROR(VLOOKUP(MID(T31,W31,X31-W31),[5]skilldef!$C:$D,2,FALSE),"-") &amp; " / " &amp; IFERROR(VLOOKUP(MID(T31,U31,V31-U31),[5]skilldef!$A:$B,2,FALSE),"-")</f>
        <v>自分自身に / 状態異常耐性</v>
      </c>
      <c r="Z31" s="118" t="s">
        <v>462</v>
      </c>
      <c r="AA31" s="120"/>
      <c r="AB31" s="118"/>
    </row>
    <row r="32" spans="1:28" s="121" customFormat="1" ht="23" customHeight="1" x14ac:dyDescent="0.15">
      <c r="A32" s="117">
        <v>59002031</v>
      </c>
      <c r="B32" s="117" t="s">
        <v>546</v>
      </c>
      <c r="C32" s="118">
        <v>3</v>
      </c>
      <c r="D32" s="118" t="s">
        <v>127</v>
      </c>
      <c r="E32" s="119" t="s">
        <v>576</v>
      </c>
      <c r="F32" s="119" t="s">
        <v>530</v>
      </c>
      <c r="G32" s="119" t="str">
        <f t="shared" si="0"/>
        <v>[effect:enemy_message, val1:1.2, val2:2.3]</v>
      </c>
      <c r="H32" s="119">
        <f t="shared" ref="H32" si="119">FIND("effect:",G32)+7</f>
        <v>9</v>
      </c>
      <c r="I32" s="119">
        <f t="shared" si="109"/>
        <v>22</v>
      </c>
      <c r="J32" s="119" t="e">
        <f t="shared" si="110"/>
        <v>#VALUE!</v>
      </c>
      <c r="K32" s="119">
        <f t="shared" si="111"/>
        <v>32</v>
      </c>
      <c r="L32" s="119" t="str">
        <f>IFERROR(VLOOKUP(MID(G32,J32,K32-J32),[5]skilldef!$C:$D,2,FALSE),"-") &amp; " / " &amp; IFERROR(VLOOKUP(MID(G32,H32,I32-H32),[5]skilldef!$A:$B,2,FALSE),"-")</f>
        <v>- / -</v>
      </c>
      <c r="M32" s="119" t="str">
        <f t="shared" si="5"/>
        <v>[effect:damage_anti_type, target:unit_all, type:balance, val1:1.6, val2:0.25]</v>
      </c>
      <c r="N32" s="117" t="str">
        <f>IFERROR(LEFT(M32,FIND("],",M32)+S45),M32)</f>
        <v>[effect:damage_anti_type, target:unit_all, type:balance, val1:1.6, val2:0.25]</v>
      </c>
      <c r="O32" s="119">
        <f t="shared" ref="O32" si="120">FIND("effect:",N32)+7</f>
        <v>9</v>
      </c>
      <c r="P32" s="119">
        <f t="shared" si="112"/>
        <v>25</v>
      </c>
      <c r="Q32" s="119">
        <f t="shared" si="113"/>
        <v>34</v>
      </c>
      <c r="R32" s="119">
        <f t="shared" si="114"/>
        <v>42</v>
      </c>
      <c r="S32" s="119" t="str">
        <f>IFERROR(VLOOKUP(MID(N32,Q32,R32-Q32),[5]skilldef!$C:$D,2,FALSE),"-") &amp; " / " &amp; IFERROR(VLOOKUP(MID(N32,O32,P32-O32),[5]skilldef!$A:$B,2,FALSE),"-")</f>
        <v>味方全体に / タイプキラー</v>
      </c>
      <c r="T32" s="117" t="str">
        <f t="shared" si="115"/>
        <v>none</v>
      </c>
      <c r="U32" s="119" t="e">
        <f t="shared" ref="U32" si="121">FIND("effect:",T32)+7</f>
        <v>#VALUE!</v>
      </c>
      <c r="V32" s="119">
        <f t="shared" si="116"/>
        <v>4</v>
      </c>
      <c r="W32" s="119" t="e">
        <f t="shared" si="117"/>
        <v>#VALUE!</v>
      </c>
      <c r="X32" s="119" t="e">
        <f t="shared" si="118"/>
        <v>#VALUE!</v>
      </c>
      <c r="Y32" s="119" t="str">
        <f>IFERROR(VLOOKUP(MID(T32,W32,X32-W32),[5]skilldef!$C:$D,2,FALSE),"-") &amp; " / " &amp; IFERROR(VLOOKUP(MID(T32,U32,V32-U32),[5]skilldef!$A:$B,2,FALSE),"-")</f>
        <v>- / -</v>
      </c>
      <c r="Z32" s="118"/>
      <c r="AA32" s="120"/>
      <c r="AB32" s="118"/>
    </row>
    <row r="33" spans="1:28" s="121" customFormat="1" ht="30" customHeight="1" x14ac:dyDescent="0.15">
      <c r="A33" s="117">
        <v>59002032</v>
      </c>
      <c r="B33" s="117" t="s">
        <v>399</v>
      </c>
      <c r="C33" s="118">
        <v>3</v>
      </c>
      <c r="D33" s="118" t="s">
        <v>127</v>
      </c>
      <c r="E33" s="119" t="s">
        <v>351</v>
      </c>
      <c r="F33" s="119" t="s">
        <v>320</v>
      </c>
      <c r="G33" s="119" t="str">
        <f t="shared" si="0"/>
        <v>[effect:enemy_message, val1:1.2, val2:2.6]</v>
      </c>
      <c r="H33" s="119">
        <f t="shared" si="15"/>
        <v>9</v>
      </c>
      <c r="I33" s="119">
        <f t="shared" ref="I33:I46" si="122">IFERROR(FIND(",",G33),LEN(G33))</f>
        <v>22</v>
      </c>
      <c r="J33" s="119" t="e">
        <f t="shared" ref="J33:J46" si="123">FIND("target:",G33)+7</f>
        <v>#VALUE!</v>
      </c>
      <c r="K33" s="119">
        <f t="shared" ref="K33:K46" si="124">FIND(",",G33,I33+1)</f>
        <v>32</v>
      </c>
      <c r="L33" s="119" t="str">
        <f>IFERROR(VLOOKUP(MID(G33,J33,K33-J33),[5]skilldef!$C:$D,2,FALSE),"-") &amp; " / " &amp; IFERROR(VLOOKUP(MID(G33,H33,I33-H33),[5]skilldef!$A:$B,2,FALSE),"-")</f>
        <v>- / -</v>
      </c>
      <c r="M33" s="119" t="str">
        <f t="shared" si="5"/>
        <v>[effect:force_change_block, new_block:damage, target:block_blue, ignore01:crash, ignore02:crack_bomb, ignore03:color_break, ignore04:magnet, ignore05:damage, color:block_green, count:3, val:0.2, animation:change_block],[effect:spread, val:0.25]</v>
      </c>
      <c r="N33" s="117" t="str">
        <f>IFERROR(LEFT(M33,FIND("],",M33)+S52),M33)</f>
        <v>[effect:force_change_block, new_block:damage, target:block_blue, ignore01:crash, ignore02:crack_bomb, ignore03:color_break, ignore04:magnet, ignore05:damage, color:block_green, count:3, val:0.2, animation:change_block],[effect:spread, val:0.25]</v>
      </c>
      <c r="O33" s="119">
        <f t="shared" si="20"/>
        <v>9</v>
      </c>
      <c r="P33" s="119">
        <f t="shared" ref="P33:P46" si="125">IFERROR(FIND(",",N33),LEN(N33))</f>
        <v>27</v>
      </c>
      <c r="Q33" s="119">
        <f t="shared" ref="Q33:Q46" si="126">FIND("target:",N33)+7</f>
        <v>54</v>
      </c>
      <c r="R33" s="119">
        <f t="shared" ref="R33:R46" si="127">FIND(",",N33,P33+1)</f>
        <v>45</v>
      </c>
      <c r="S33" s="119" t="str">
        <f>IFERROR(VLOOKUP(MID(N33,Q33,R33-Q33),[5]skilldef!$C:$D,2,FALSE),"-") &amp; " / " &amp; IFERROR(VLOOKUP(MID(N33,O33,P33-O33),[5]skilldef!$A:$B,2,FALSE),"-")</f>
        <v>- / -</v>
      </c>
      <c r="T33" s="117" t="str">
        <f t="shared" ref="T33:T46" si="128">IFERROR(RIGHT(M33,LEN(M33)-FIND("],",M33)-1),"none")</f>
        <v>[effect:spread, val:0.25]</v>
      </c>
      <c r="U33" s="119">
        <f t="shared" si="25"/>
        <v>9</v>
      </c>
      <c r="V33" s="119">
        <f t="shared" ref="V33:V46" si="129">IFERROR(FIND(",",T33),LEN(T33))</f>
        <v>15</v>
      </c>
      <c r="W33" s="119" t="e">
        <f t="shared" ref="W33:W46" si="130">FIND("target:",T33)+7</f>
        <v>#VALUE!</v>
      </c>
      <c r="X33" s="119" t="e">
        <f t="shared" ref="X33:X46" si="131">FIND(",",T33,V33+1)</f>
        <v>#VALUE!</v>
      </c>
      <c r="Y33" s="119" t="str">
        <f>IFERROR(VLOOKUP(MID(T33,W33,X33-W33),[5]skilldef!$C:$D,2,FALSE),"-") &amp; " / " &amp; IFERROR(VLOOKUP(MID(T33,U33,V33-U33),[5]skilldef!$A:$B,2,FALSE),"-")</f>
        <v>- / 全体攻撃</v>
      </c>
      <c r="Z33" s="118"/>
      <c r="AA33" s="120"/>
      <c r="AB33" s="118"/>
    </row>
    <row r="34" spans="1:28" s="121" customFormat="1" ht="33" customHeight="1" x14ac:dyDescent="0.15">
      <c r="A34" s="117">
        <v>59002033</v>
      </c>
      <c r="B34" s="117" t="s">
        <v>400</v>
      </c>
      <c r="C34" s="118">
        <v>3</v>
      </c>
      <c r="D34" s="118" t="s">
        <v>127</v>
      </c>
      <c r="E34" s="119" t="s">
        <v>353</v>
      </c>
      <c r="F34" s="119" t="s">
        <v>321</v>
      </c>
      <c r="G34" s="119" t="str">
        <f t="shared" ref="G34:G65" si="132">IFERROR(LEFT(B34,FIND("],",B34)),B34)</f>
        <v>[effect:enemy_message, val1:1.2, val2:2.6]</v>
      </c>
      <c r="H34" s="119">
        <f t="shared" si="15"/>
        <v>9</v>
      </c>
      <c r="I34" s="119">
        <f t="shared" si="122"/>
        <v>22</v>
      </c>
      <c r="J34" s="119" t="e">
        <f t="shared" si="123"/>
        <v>#VALUE!</v>
      </c>
      <c r="K34" s="119">
        <f t="shared" si="124"/>
        <v>32</v>
      </c>
      <c r="L34" s="119" t="str">
        <f>IFERROR(VLOOKUP(MID(G34,J34,K34-J34),[5]skilldef!$C:$D,2,FALSE),"-") &amp; " / " &amp; IFERROR(VLOOKUP(MID(G34,H34,I34-H34),[5]skilldef!$A:$B,2,FALSE),"-")</f>
        <v>- / -</v>
      </c>
      <c r="M34" s="119" t="str">
        <f t="shared" ref="M34:M65" si="133">IFERROR(RIGHT(B34,LEN(B34)-FIND("],",B34)-1),"none")</f>
        <v>[effect:force_change_block, new_block:damage, target:block_blue, ignore01:crash, ignore02:crack_bomb, ignore03:color_break, ignore04:magnet, ignore05:damage, color:block_red, count:3, val:0.2, animation:change_block],[effect:spread, val:0.25]</v>
      </c>
      <c r="N34" s="117" t="str">
        <f>IFERROR(LEFT(M34,FIND("],",M34)+S53),M34)</f>
        <v>[effect:force_change_block, new_block:damage, target:block_blue, ignore01:crash, ignore02:crack_bomb, ignore03:color_break, ignore04:magnet, ignore05:damage, color:block_red, count:3, val:0.2, animation:change_block],[effect:spread, val:0.25]</v>
      </c>
      <c r="O34" s="119">
        <f t="shared" si="20"/>
        <v>9</v>
      </c>
      <c r="P34" s="119">
        <f t="shared" si="125"/>
        <v>27</v>
      </c>
      <c r="Q34" s="119">
        <f t="shared" si="126"/>
        <v>54</v>
      </c>
      <c r="R34" s="119">
        <f t="shared" si="127"/>
        <v>45</v>
      </c>
      <c r="S34" s="119" t="str">
        <f>IFERROR(VLOOKUP(MID(N34,Q34,R34-Q34),[5]skilldef!$C:$D,2,FALSE),"-") &amp; " / " &amp; IFERROR(VLOOKUP(MID(N34,O34,P34-O34),[5]skilldef!$A:$B,2,FALSE),"-")</f>
        <v>- / -</v>
      </c>
      <c r="T34" s="117" t="str">
        <f t="shared" si="128"/>
        <v>[effect:spread, val:0.25]</v>
      </c>
      <c r="U34" s="119">
        <f t="shared" si="25"/>
        <v>9</v>
      </c>
      <c r="V34" s="119">
        <f t="shared" si="129"/>
        <v>15</v>
      </c>
      <c r="W34" s="119" t="e">
        <f t="shared" si="130"/>
        <v>#VALUE!</v>
      </c>
      <c r="X34" s="119" t="e">
        <f t="shared" si="131"/>
        <v>#VALUE!</v>
      </c>
      <c r="Y34" s="119" t="str">
        <f>IFERROR(VLOOKUP(MID(T34,W34,X34-W34),[5]skilldef!$C:$D,2,FALSE),"-") &amp; " / " &amp; IFERROR(VLOOKUP(MID(T34,U34,V34-U34),[5]skilldef!$A:$B,2,FALSE),"-")</f>
        <v>- / 全体攻撃</v>
      </c>
      <c r="Z34" s="118"/>
      <c r="AA34" s="120"/>
      <c r="AB34" s="118"/>
    </row>
    <row r="35" spans="1:28" s="121" customFormat="1" ht="33" customHeight="1" x14ac:dyDescent="0.15">
      <c r="A35" s="117">
        <v>59002034</v>
      </c>
      <c r="B35" s="117" t="s">
        <v>431</v>
      </c>
      <c r="C35" s="118">
        <v>3</v>
      </c>
      <c r="D35" s="118" t="s">
        <v>127</v>
      </c>
      <c r="E35" s="119" t="s">
        <v>354</v>
      </c>
      <c r="F35" s="119" t="s">
        <v>265</v>
      </c>
      <c r="G35" s="119" t="str">
        <f t="shared" si="132"/>
        <v>[effect:enemy_message, val1:1.2, val2:1.6]</v>
      </c>
      <c r="H35" s="119">
        <f t="shared" si="15"/>
        <v>9</v>
      </c>
      <c r="I35" s="119">
        <f t="shared" si="122"/>
        <v>22</v>
      </c>
      <c r="J35" s="119" t="e">
        <f t="shared" si="123"/>
        <v>#VALUE!</v>
      </c>
      <c r="K35" s="119">
        <f t="shared" si="124"/>
        <v>32</v>
      </c>
      <c r="L35" s="119" t="str">
        <f>IFERROR(VLOOKUP(MID(G35,J35,K35-J35),[5]skilldef!$C:$D,2,FALSE),"-") &amp; " / " &amp; IFERROR(VLOOKUP(MID(G35,H35,I35-H35),[5]skilldef!$A:$B,2,FALSE),"-")</f>
        <v>- / -</v>
      </c>
      <c r="M35" s="119" t="str">
        <f t="shared" si="133"/>
        <v>[effect:break_attack_fix, target:unit_all, val:500, lowest_val:1000, count:-1, color:blue, block01:damage]</v>
      </c>
      <c r="N35" s="117" t="str">
        <f>IFERROR(LEFT(M35,FIND("],",M35)+S54),M35)</f>
        <v>[effect:break_attack_fix, target:unit_all, val:500, lowest_val:1000, count:-1, color:blue, block01:damage]</v>
      </c>
      <c r="O35" s="119">
        <f t="shared" si="20"/>
        <v>9</v>
      </c>
      <c r="P35" s="119">
        <f t="shared" si="125"/>
        <v>25</v>
      </c>
      <c r="Q35" s="119">
        <f t="shared" si="126"/>
        <v>34</v>
      </c>
      <c r="R35" s="119">
        <f t="shared" si="127"/>
        <v>42</v>
      </c>
      <c r="S35" s="119" t="str">
        <f>IFERROR(VLOOKUP(MID(N35,Q35,R35-Q35),[5]skilldef!$C:$D,2,FALSE),"-") &amp; " / " &amp; IFERROR(VLOOKUP(MID(N35,O35,P35-O35),[5]skilldef!$A:$B,2,FALSE),"-")</f>
        <v>味方全体に / -</v>
      </c>
      <c r="T35" s="117" t="str">
        <f t="shared" si="128"/>
        <v>none</v>
      </c>
      <c r="U35" s="119" t="e">
        <f t="shared" si="25"/>
        <v>#VALUE!</v>
      </c>
      <c r="V35" s="119">
        <f t="shared" si="129"/>
        <v>4</v>
      </c>
      <c r="W35" s="119" t="e">
        <f t="shared" si="130"/>
        <v>#VALUE!</v>
      </c>
      <c r="X35" s="119" t="e">
        <f t="shared" si="131"/>
        <v>#VALUE!</v>
      </c>
      <c r="Y35" s="119" t="str">
        <f>IFERROR(VLOOKUP(MID(T35,W35,X35-W35),[5]skilldef!$C:$D,2,FALSE),"-") &amp; " / " &amp; IFERROR(VLOOKUP(MID(T35,U35,V35-U35),[5]skilldef!$A:$B,2,FALSE),"-")</f>
        <v>- / -</v>
      </c>
      <c r="Z35" s="118"/>
      <c r="AA35" s="120"/>
      <c r="AB35" s="118"/>
    </row>
    <row r="36" spans="1:28" s="121" customFormat="1" ht="23" customHeight="1" x14ac:dyDescent="0.15">
      <c r="A36" s="117">
        <v>59002035</v>
      </c>
      <c r="B36" s="117" t="s">
        <v>547</v>
      </c>
      <c r="C36" s="118">
        <v>3</v>
      </c>
      <c r="D36" s="118" t="s">
        <v>127</v>
      </c>
      <c r="E36" s="119" t="s">
        <v>577</v>
      </c>
      <c r="F36" s="119" t="s">
        <v>528</v>
      </c>
      <c r="G36" s="119" t="str">
        <f t="shared" si="132"/>
        <v>[effect:enemy_message, val1:1.2, val2:1.4]</v>
      </c>
      <c r="H36" s="119">
        <f t="shared" si="15"/>
        <v>9</v>
      </c>
      <c r="I36" s="119">
        <f t="shared" si="122"/>
        <v>22</v>
      </c>
      <c r="J36" s="119" t="e">
        <f t="shared" si="123"/>
        <v>#VALUE!</v>
      </c>
      <c r="K36" s="119">
        <f t="shared" si="124"/>
        <v>32</v>
      </c>
      <c r="L36" s="119" t="str">
        <f>IFERROR(VLOOKUP(MID(G36,J36,K36-J36),[5]skilldef!$C:$D,2,FALSE),"-") &amp; " / " &amp; IFERROR(VLOOKUP(MID(G36,H36,I36-H36),[5]skilldef!$A:$B,2,FALSE),"-")</f>
        <v>- / -</v>
      </c>
      <c r="M36" s="119" t="str">
        <f t="shared" si="133"/>
        <v>[effect:break_attack_fix, target:unit_all, val:10000, lowest_val:2100, count:-1, block01:crack_bomb]</v>
      </c>
      <c r="N36" s="117" t="str">
        <f>IFERROR(LEFT(M36,FIND("],",M36)+S48),M36)</f>
        <v>[effect:break_attack_fix, target:unit_all, val:10000, lowest_val:2100, count:-1, block01:crack_bomb]</v>
      </c>
      <c r="O36" s="119">
        <f t="shared" si="20"/>
        <v>9</v>
      </c>
      <c r="P36" s="119">
        <f t="shared" si="125"/>
        <v>25</v>
      </c>
      <c r="Q36" s="119">
        <f t="shared" si="126"/>
        <v>34</v>
      </c>
      <c r="R36" s="119">
        <f t="shared" si="127"/>
        <v>42</v>
      </c>
      <c r="S36" s="119" t="str">
        <f>IFERROR(VLOOKUP(MID(N36,Q36,R36-Q36),[5]skilldef!$C:$D,2,FALSE),"-") &amp; " / " &amp; IFERROR(VLOOKUP(MID(N36,O36,P36-O36),[5]skilldef!$A:$B,2,FALSE),"-")</f>
        <v>味方全体に / -</v>
      </c>
      <c r="T36" s="117" t="str">
        <f t="shared" si="128"/>
        <v>none</v>
      </c>
      <c r="U36" s="119" t="e">
        <f t="shared" si="25"/>
        <v>#VALUE!</v>
      </c>
      <c r="V36" s="119">
        <f t="shared" si="129"/>
        <v>4</v>
      </c>
      <c r="W36" s="119" t="e">
        <f t="shared" si="130"/>
        <v>#VALUE!</v>
      </c>
      <c r="X36" s="119" t="e">
        <f t="shared" si="131"/>
        <v>#VALUE!</v>
      </c>
      <c r="Y36" s="119" t="str">
        <f>IFERROR(VLOOKUP(MID(T36,W36,X36-W36),[5]skilldef!$C:$D,2,FALSE),"-") &amp; " / " &amp; IFERROR(VLOOKUP(MID(T36,U36,V36-U36),[5]skilldef!$A:$B,2,FALSE),"-")</f>
        <v>- / -</v>
      </c>
      <c r="Z36" s="118"/>
      <c r="AA36" s="120"/>
      <c r="AB36" s="118"/>
    </row>
    <row r="37" spans="1:28" s="121" customFormat="1" ht="30" customHeight="1" x14ac:dyDescent="0.15">
      <c r="A37" s="117">
        <v>59002036</v>
      </c>
      <c r="B37" s="117" t="s">
        <v>399</v>
      </c>
      <c r="C37" s="118">
        <v>3</v>
      </c>
      <c r="D37" s="118" t="s">
        <v>127</v>
      </c>
      <c r="E37" s="119" t="s">
        <v>351</v>
      </c>
      <c r="F37" s="119" t="s">
        <v>320</v>
      </c>
      <c r="G37" s="119" t="str">
        <f t="shared" si="132"/>
        <v>[effect:enemy_message, val1:1.2, val2:2.6]</v>
      </c>
      <c r="H37" s="119">
        <f t="shared" ref="H37:H39" si="134">FIND("effect:",G37)+7</f>
        <v>9</v>
      </c>
      <c r="I37" s="119">
        <f t="shared" ref="I37:I39" si="135">IFERROR(FIND(",",G37),LEN(G37))</f>
        <v>22</v>
      </c>
      <c r="J37" s="119" t="e">
        <f t="shared" ref="J37:J39" si="136">FIND("target:",G37)+7</f>
        <v>#VALUE!</v>
      </c>
      <c r="K37" s="119">
        <f t="shared" ref="K37:K39" si="137">FIND(",",G37,I37+1)</f>
        <v>32</v>
      </c>
      <c r="L37" s="119" t="str">
        <f>IFERROR(VLOOKUP(MID(G37,J37,K37-J37),[5]skilldef!$C:$D,2,FALSE),"-") &amp; " / " &amp; IFERROR(VLOOKUP(MID(G37,H37,I37-H37),[5]skilldef!$A:$B,2,FALSE),"-")</f>
        <v>- / -</v>
      </c>
      <c r="M37" s="119" t="str">
        <f t="shared" si="133"/>
        <v>[effect:force_change_block, new_block:damage, target:block_blue, ignore01:crash, ignore02:crack_bomb, ignore03:color_break, ignore04:magnet, ignore05:damage, color:block_green, count:3, val:0.2, animation:change_block],[effect:spread, val:0.25]</v>
      </c>
      <c r="N37" s="117" t="str">
        <f>IFERROR(LEFT(M37,FIND("],",M37)+S55),M37)</f>
        <v>[effect:force_change_block, new_block:damage, target:block_blue, ignore01:crash, ignore02:crack_bomb, ignore03:color_break, ignore04:magnet, ignore05:damage, color:block_green, count:3, val:0.2, animation:change_block],[effect:spread, val:0.25]</v>
      </c>
      <c r="O37" s="119">
        <f t="shared" ref="O37:O39" si="138">FIND("effect:",N37)+7</f>
        <v>9</v>
      </c>
      <c r="P37" s="119">
        <f t="shared" ref="P37:P39" si="139">IFERROR(FIND(",",N37),LEN(N37))</f>
        <v>27</v>
      </c>
      <c r="Q37" s="119">
        <f t="shared" ref="Q37:Q39" si="140">FIND("target:",N37)+7</f>
        <v>54</v>
      </c>
      <c r="R37" s="119">
        <f t="shared" ref="R37:R39" si="141">FIND(",",N37,P37+1)</f>
        <v>45</v>
      </c>
      <c r="S37" s="119" t="str">
        <f>IFERROR(VLOOKUP(MID(N37,Q37,R37-Q37),[5]skilldef!$C:$D,2,FALSE),"-") &amp; " / " &amp; IFERROR(VLOOKUP(MID(N37,O37,P37-O37),[5]skilldef!$A:$B,2,FALSE),"-")</f>
        <v>- / -</v>
      </c>
      <c r="T37" s="117" t="str">
        <f t="shared" ref="T37:T39" si="142">IFERROR(RIGHT(M37,LEN(M37)-FIND("],",M37)-1),"none")</f>
        <v>[effect:spread, val:0.25]</v>
      </c>
      <c r="U37" s="119">
        <f t="shared" ref="U37:U39" si="143">FIND("effect:",T37)+7</f>
        <v>9</v>
      </c>
      <c r="V37" s="119">
        <f t="shared" ref="V37:V39" si="144">IFERROR(FIND(",",T37),LEN(T37))</f>
        <v>15</v>
      </c>
      <c r="W37" s="119" t="e">
        <f t="shared" ref="W37:W39" si="145">FIND("target:",T37)+7</f>
        <v>#VALUE!</v>
      </c>
      <c r="X37" s="119" t="e">
        <f t="shared" ref="X37:X39" si="146">FIND(",",T37,V37+1)</f>
        <v>#VALUE!</v>
      </c>
      <c r="Y37" s="119" t="str">
        <f>IFERROR(VLOOKUP(MID(T37,W37,X37-W37),[5]skilldef!$C:$D,2,FALSE),"-") &amp; " / " &amp; IFERROR(VLOOKUP(MID(T37,U37,V37-U37),[5]skilldef!$A:$B,2,FALSE),"-")</f>
        <v>- / 全体攻撃</v>
      </c>
      <c r="Z37" s="118"/>
      <c r="AA37" s="120"/>
      <c r="AB37" s="118"/>
    </row>
    <row r="38" spans="1:28" s="121" customFormat="1" ht="33" customHeight="1" x14ac:dyDescent="0.15">
      <c r="A38" s="117">
        <v>59002037</v>
      </c>
      <c r="B38" s="117" t="s">
        <v>400</v>
      </c>
      <c r="C38" s="118">
        <v>3</v>
      </c>
      <c r="D38" s="118" t="s">
        <v>127</v>
      </c>
      <c r="E38" s="119" t="s">
        <v>353</v>
      </c>
      <c r="F38" s="119" t="s">
        <v>321</v>
      </c>
      <c r="G38" s="119" t="str">
        <f t="shared" si="132"/>
        <v>[effect:enemy_message, val1:1.2, val2:2.6]</v>
      </c>
      <c r="H38" s="119">
        <f t="shared" si="134"/>
        <v>9</v>
      </c>
      <c r="I38" s="119">
        <f t="shared" si="135"/>
        <v>22</v>
      </c>
      <c r="J38" s="119" t="e">
        <f t="shared" si="136"/>
        <v>#VALUE!</v>
      </c>
      <c r="K38" s="119">
        <f t="shared" si="137"/>
        <v>32</v>
      </c>
      <c r="L38" s="119" t="str">
        <f>IFERROR(VLOOKUP(MID(G38,J38,K38-J38),[5]skilldef!$C:$D,2,FALSE),"-") &amp; " / " &amp; IFERROR(VLOOKUP(MID(G38,H38,I38-H38),[5]skilldef!$A:$B,2,FALSE),"-")</f>
        <v>- / -</v>
      </c>
      <c r="M38" s="119" t="str">
        <f t="shared" si="133"/>
        <v>[effect:force_change_block, new_block:damage, target:block_blue, ignore01:crash, ignore02:crack_bomb, ignore03:color_break, ignore04:magnet, ignore05:damage, color:block_red, count:3, val:0.2, animation:change_block],[effect:spread, val:0.25]</v>
      </c>
      <c r="N38" s="117" t="str">
        <f>IFERROR(LEFT(M38,FIND("],",M38)+S60),M38)</f>
        <v>[effect:force_change_block, new_block:damage, target:block_blue, ignore01:crash, ignore02:crack_bomb, ignore03:color_break, ignore04:magnet, ignore05:damage, color:block_red, count:3, val:0.2, animation:change_block],[effect:spread, val:0.25]</v>
      </c>
      <c r="O38" s="119">
        <f t="shared" si="138"/>
        <v>9</v>
      </c>
      <c r="P38" s="119">
        <f t="shared" si="139"/>
        <v>27</v>
      </c>
      <c r="Q38" s="119">
        <f t="shared" si="140"/>
        <v>54</v>
      </c>
      <c r="R38" s="119">
        <f t="shared" si="141"/>
        <v>45</v>
      </c>
      <c r="S38" s="119" t="str">
        <f>IFERROR(VLOOKUP(MID(N38,Q38,R38-Q38),[5]skilldef!$C:$D,2,FALSE),"-") &amp; " / " &amp; IFERROR(VLOOKUP(MID(N38,O38,P38-O38),[5]skilldef!$A:$B,2,FALSE),"-")</f>
        <v>- / -</v>
      </c>
      <c r="T38" s="117" t="str">
        <f t="shared" si="142"/>
        <v>[effect:spread, val:0.25]</v>
      </c>
      <c r="U38" s="119">
        <f t="shared" si="143"/>
        <v>9</v>
      </c>
      <c r="V38" s="119">
        <f t="shared" si="144"/>
        <v>15</v>
      </c>
      <c r="W38" s="119" t="e">
        <f t="shared" si="145"/>
        <v>#VALUE!</v>
      </c>
      <c r="X38" s="119" t="e">
        <f t="shared" si="146"/>
        <v>#VALUE!</v>
      </c>
      <c r="Y38" s="119" t="str">
        <f>IFERROR(VLOOKUP(MID(T38,W38,X38-W38),[5]skilldef!$C:$D,2,FALSE),"-") &amp; " / " &amp; IFERROR(VLOOKUP(MID(T38,U38,V38-U38),[5]skilldef!$A:$B,2,FALSE),"-")</f>
        <v>- / 全体攻撃</v>
      </c>
      <c r="Z38" s="118"/>
      <c r="AA38" s="120"/>
      <c r="AB38" s="118"/>
    </row>
    <row r="39" spans="1:28" s="121" customFormat="1" ht="33" customHeight="1" x14ac:dyDescent="0.15">
      <c r="A39" s="117">
        <v>59002038</v>
      </c>
      <c r="B39" s="117" t="s">
        <v>431</v>
      </c>
      <c r="C39" s="118">
        <v>3</v>
      </c>
      <c r="D39" s="118" t="s">
        <v>127</v>
      </c>
      <c r="E39" s="119" t="s">
        <v>354</v>
      </c>
      <c r="F39" s="119" t="s">
        <v>265</v>
      </c>
      <c r="G39" s="119" t="str">
        <f t="shared" si="132"/>
        <v>[effect:enemy_message, val1:1.2, val2:1.6]</v>
      </c>
      <c r="H39" s="119">
        <f t="shared" si="134"/>
        <v>9</v>
      </c>
      <c r="I39" s="119">
        <f t="shared" si="135"/>
        <v>22</v>
      </c>
      <c r="J39" s="119" t="e">
        <f t="shared" si="136"/>
        <v>#VALUE!</v>
      </c>
      <c r="K39" s="119">
        <f t="shared" si="137"/>
        <v>32</v>
      </c>
      <c r="L39" s="119" t="str">
        <f>IFERROR(VLOOKUP(MID(G39,J39,K39-J39),[5]skilldef!$C:$D,2,FALSE),"-") &amp; " / " &amp; IFERROR(VLOOKUP(MID(G39,H39,I39-H39),[5]skilldef!$A:$B,2,FALSE),"-")</f>
        <v>- / -</v>
      </c>
      <c r="M39" s="119" t="str">
        <f t="shared" si="133"/>
        <v>[effect:break_attack_fix, target:unit_all, val:500, lowest_val:1000, count:-1, color:blue, block01:damage]</v>
      </c>
      <c r="N39" s="117" t="str">
        <f>IFERROR(LEFT(M39,FIND("],",M39)+S61),M39)</f>
        <v>[effect:break_attack_fix, target:unit_all, val:500, lowest_val:1000, count:-1, color:blue, block01:damage]</v>
      </c>
      <c r="O39" s="119">
        <f t="shared" si="138"/>
        <v>9</v>
      </c>
      <c r="P39" s="119">
        <f t="shared" si="139"/>
        <v>25</v>
      </c>
      <c r="Q39" s="119">
        <f t="shared" si="140"/>
        <v>34</v>
      </c>
      <c r="R39" s="119">
        <f t="shared" si="141"/>
        <v>42</v>
      </c>
      <c r="S39" s="119" t="str">
        <f>IFERROR(VLOOKUP(MID(N39,Q39,R39-Q39),[5]skilldef!$C:$D,2,FALSE),"-") &amp; " / " &amp; IFERROR(VLOOKUP(MID(N39,O39,P39-O39),[5]skilldef!$A:$B,2,FALSE),"-")</f>
        <v>味方全体に / -</v>
      </c>
      <c r="T39" s="117" t="str">
        <f t="shared" si="142"/>
        <v>none</v>
      </c>
      <c r="U39" s="119" t="e">
        <f t="shared" si="143"/>
        <v>#VALUE!</v>
      </c>
      <c r="V39" s="119">
        <f t="shared" si="144"/>
        <v>4</v>
      </c>
      <c r="W39" s="119" t="e">
        <f t="shared" si="145"/>
        <v>#VALUE!</v>
      </c>
      <c r="X39" s="119" t="e">
        <f t="shared" si="146"/>
        <v>#VALUE!</v>
      </c>
      <c r="Y39" s="119" t="str">
        <f>IFERROR(VLOOKUP(MID(T39,W39,X39-W39),[5]skilldef!$C:$D,2,FALSE),"-") &amp; " / " &amp; IFERROR(VLOOKUP(MID(T39,U39,V39-U39),[5]skilldef!$A:$B,2,FALSE),"-")</f>
        <v>- / -</v>
      </c>
      <c r="Z39" s="118"/>
      <c r="AA39" s="120"/>
      <c r="AB39" s="118"/>
    </row>
    <row r="40" spans="1:28" s="121" customFormat="1" ht="30" customHeight="1" x14ac:dyDescent="0.15">
      <c r="A40" s="117">
        <v>59002039</v>
      </c>
      <c r="B40" s="117" t="s">
        <v>399</v>
      </c>
      <c r="C40" s="118">
        <v>3</v>
      </c>
      <c r="D40" s="118" t="s">
        <v>127</v>
      </c>
      <c r="E40" s="119" t="s">
        <v>351</v>
      </c>
      <c r="F40" s="119" t="s">
        <v>320</v>
      </c>
      <c r="G40" s="119" t="str">
        <f t="shared" si="132"/>
        <v>[effect:enemy_message, val1:1.2, val2:2.6]</v>
      </c>
      <c r="H40" s="119">
        <f t="shared" ref="H40:H42" si="147">FIND("effect:",G40)+7</f>
        <v>9</v>
      </c>
      <c r="I40" s="119">
        <f t="shared" ref="I40:I42" si="148">IFERROR(FIND(",",G40),LEN(G40))</f>
        <v>22</v>
      </c>
      <c r="J40" s="119" t="e">
        <f t="shared" ref="J40:J42" si="149">FIND("target:",G40)+7</f>
        <v>#VALUE!</v>
      </c>
      <c r="K40" s="119">
        <f t="shared" ref="K40:K42" si="150">FIND(",",G40,I40+1)</f>
        <v>32</v>
      </c>
      <c r="L40" s="119" t="str">
        <f>IFERROR(VLOOKUP(MID(G40,J40,K40-J40),[5]skilldef!$C:$D,2,FALSE),"-") &amp; " / " &amp; IFERROR(VLOOKUP(MID(G40,H40,I40-H40),[5]skilldef!$A:$B,2,FALSE),"-")</f>
        <v>- / -</v>
      </c>
      <c r="M40" s="119" t="str">
        <f t="shared" si="133"/>
        <v>[effect:force_change_block, new_block:damage, target:block_blue, ignore01:crash, ignore02:crack_bomb, ignore03:color_break, ignore04:magnet, ignore05:damage, color:block_green, count:3, val:0.2, animation:change_block],[effect:spread, val:0.25]</v>
      </c>
      <c r="N40" s="117" t="str">
        <f>IFERROR(LEFT(M40,FIND("],",M40)+S65),M40)</f>
        <v>[effect:force_change_block, new_block:damage, target:block_blue, ignore01:crash, ignore02:crack_bomb, ignore03:color_break, ignore04:magnet, ignore05:damage, color:block_green, count:3, val:0.2, animation:change_block],[effect:spread, val:0.25]</v>
      </c>
      <c r="O40" s="119">
        <f t="shared" ref="O40:O42" si="151">FIND("effect:",N40)+7</f>
        <v>9</v>
      </c>
      <c r="P40" s="119">
        <f t="shared" ref="P40:P42" si="152">IFERROR(FIND(",",N40),LEN(N40))</f>
        <v>27</v>
      </c>
      <c r="Q40" s="119">
        <f t="shared" ref="Q40:Q42" si="153">FIND("target:",N40)+7</f>
        <v>54</v>
      </c>
      <c r="R40" s="119">
        <f t="shared" ref="R40:R42" si="154">FIND(",",N40,P40+1)</f>
        <v>45</v>
      </c>
      <c r="S40" s="119" t="str">
        <f>IFERROR(VLOOKUP(MID(N40,Q40,R40-Q40),[5]skilldef!$C:$D,2,FALSE),"-") &amp; " / " &amp; IFERROR(VLOOKUP(MID(N40,O40,P40-O40),[5]skilldef!$A:$B,2,FALSE),"-")</f>
        <v>- / -</v>
      </c>
      <c r="T40" s="117" t="str">
        <f t="shared" ref="T40:T42" si="155">IFERROR(RIGHT(M40,LEN(M40)-FIND("],",M40)-1),"none")</f>
        <v>[effect:spread, val:0.25]</v>
      </c>
      <c r="U40" s="119">
        <f t="shared" ref="U40:U42" si="156">FIND("effect:",T40)+7</f>
        <v>9</v>
      </c>
      <c r="V40" s="119">
        <f t="shared" ref="V40:V42" si="157">IFERROR(FIND(",",T40),LEN(T40))</f>
        <v>15</v>
      </c>
      <c r="W40" s="119" t="e">
        <f t="shared" ref="W40:W42" si="158">FIND("target:",T40)+7</f>
        <v>#VALUE!</v>
      </c>
      <c r="X40" s="119" t="e">
        <f t="shared" ref="X40:X42" si="159">FIND(",",T40,V40+1)</f>
        <v>#VALUE!</v>
      </c>
      <c r="Y40" s="119" t="str">
        <f>IFERROR(VLOOKUP(MID(T40,W40,X40-W40),[5]skilldef!$C:$D,2,FALSE),"-") &amp; " / " &amp; IFERROR(VLOOKUP(MID(T40,U40,V40-U40),[5]skilldef!$A:$B,2,FALSE),"-")</f>
        <v>- / 全体攻撃</v>
      </c>
      <c r="Z40" s="118"/>
      <c r="AA40" s="120"/>
      <c r="AB40" s="118"/>
    </row>
    <row r="41" spans="1:28" s="121" customFormat="1" ht="33" customHeight="1" x14ac:dyDescent="0.15">
      <c r="A41" s="117">
        <v>59002040</v>
      </c>
      <c r="B41" s="117" t="s">
        <v>400</v>
      </c>
      <c r="C41" s="118">
        <v>3</v>
      </c>
      <c r="D41" s="118" t="s">
        <v>127</v>
      </c>
      <c r="E41" s="119" t="s">
        <v>353</v>
      </c>
      <c r="F41" s="119" t="s">
        <v>321</v>
      </c>
      <c r="G41" s="119" t="str">
        <f t="shared" si="132"/>
        <v>[effect:enemy_message, val1:1.2, val2:2.6]</v>
      </c>
      <c r="H41" s="119">
        <f t="shared" si="147"/>
        <v>9</v>
      </c>
      <c r="I41" s="119">
        <f t="shared" si="148"/>
        <v>22</v>
      </c>
      <c r="J41" s="119" t="e">
        <f t="shared" si="149"/>
        <v>#VALUE!</v>
      </c>
      <c r="K41" s="119">
        <f t="shared" si="150"/>
        <v>32</v>
      </c>
      <c r="L41" s="119" t="str">
        <f>IFERROR(VLOOKUP(MID(G41,J41,K41-J41),[5]skilldef!$C:$D,2,FALSE),"-") &amp; " / " &amp; IFERROR(VLOOKUP(MID(G41,H41,I41-H41),[5]skilldef!$A:$B,2,FALSE),"-")</f>
        <v>- / -</v>
      </c>
      <c r="M41" s="119" t="str">
        <f t="shared" si="133"/>
        <v>[effect:force_change_block, new_block:damage, target:block_blue, ignore01:crash, ignore02:crack_bomb, ignore03:color_break, ignore04:magnet, ignore05:damage, color:block_red, count:3, val:0.2, animation:change_block],[effect:spread, val:0.25]</v>
      </c>
      <c r="N41" s="117" t="str">
        <f>IFERROR(LEFT(M41,FIND("],",M41)+S66),M41)</f>
        <v>[effect:force_change_block, new_block:damage, target:block_blue, ignore01:crash, ignore02:crack_bomb, ignore03:color_break, ignore04:magnet, ignore05:damage, color:block_red, count:3, val:0.2, animation:change_block],[effect:spread, val:0.25]</v>
      </c>
      <c r="O41" s="119">
        <f t="shared" si="151"/>
        <v>9</v>
      </c>
      <c r="P41" s="119">
        <f t="shared" si="152"/>
        <v>27</v>
      </c>
      <c r="Q41" s="119">
        <f t="shared" si="153"/>
        <v>54</v>
      </c>
      <c r="R41" s="119">
        <f t="shared" si="154"/>
        <v>45</v>
      </c>
      <c r="S41" s="119" t="str">
        <f>IFERROR(VLOOKUP(MID(N41,Q41,R41-Q41),[5]skilldef!$C:$D,2,FALSE),"-") &amp; " / " &amp; IFERROR(VLOOKUP(MID(N41,O41,P41-O41),[5]skilldef!$A:$B,2,FALSE),"-")</f>
        <v>- / -</v>
      </c>
      <c r="T41" s="117" t="str">
        <f t="shared" si="155"/>
        <v>[effect:spread, val:0.25]</v>
      </c>
      <c r="U41" s="119">
        <f t="shared" si="156"/>
        <v>9</v>
      </c>
      <c r="V41" s="119">
        <f t="shared" si="157"/>
        <v>15</v>
      </c>
      <c r="W41" s="119" t="e">
        <f t="shared" si="158"/>
        <v>#VALUE!</v>
      </c>
      <c r="X41" s="119" t="e">
        <f t="shared" si="159"/>
        <v>#VALUE!</v>
      </c>
      <c r="Y41" s="119" t="str">
        <f>IFERROR(VLOOKUP(MID(T41,W41,X41-W41),[5]skilldef!$C:$D,2,FALSE),"-") &amp; " / " &amp; IFERROR(VLOOKUP(MID(T41,U41,V41-U41),[5]skilldef!$A:$B,2,FALSE),"-")</f>
        <v>- / 全体攻撃</v>
      </c>
      <c r="Z41" s="118"/>
      <c r="AA41" s="120"/>
      <c r="AB41" s="118"/>
    </row>
    <row r="42" spans="1:28" s="158" customFormat="1" ht="33" customHeight="1" x14ac:dyDescent="0.15">
      <c r="A42" s="132">
        <v>59002041</v>
      </c>
      <c r="B42" s="132" t="s">
        <v>548</v>
      </c>
      <c r="C42" s="156">
        <v>3</v>
      </c>
      <c r="D42" s="156" t="s">
        <v>127</v>
      </c>
      <c r="E42" s="133" t="s">
        <v>578</v>
      </c>
      <c r="F42" s="133" t="s">
        <v>531</v>
      </c>
      <c r="G42" s="133" t="str">
        <f t="shared" si="132"/>
        <v>[effect:enemy_message, val1:1.2, val2:3.8]</v>
      </c>
      <c r="H42" s="133">
        <f t="shared" si="147"/>
        <v>9</v>
      </c>
      <c r="I42" s="133">
        <f t="shared" si="148"/>
        <v>22</v>
      </c>
      <c r="J42" s="133" t="e">
        <f t="shared" si="149"/>
        <v>#VALUE!</v>
      </c>
      <c r="K42" s="133">
        <f t="shared" si="150"/>
        <v>32</v>
      </c>
      <c r="L42" s="133" t="str">
        <f>IFERROR(VLOOKUP(MID(G42,J42,K42-J42),[5]skilldef!$C:$D,2,FALSE),"-") &amp; " / " &amp; IFERROR(VLOOKUP(MID(G42,H42,I42-H42),[5]skilldef!$A:$B,2,FALSE),"-")</f>
        <v>- / -</v>
      </c>
      <c r="M42" s="133" t="str">
        <f t="shared" si="133"/>
        <v>[effect:damage_anti_type, target:unit_all, type:balance, val1:1.6, val2:0.25],[effect:break_attack_fix, target:unit_all, val:10000, lowest_val:0, count:-1, block01:crack_bomb]</v>
      </c>
      <c r="N42" s="132" t="str">
        <f>IFERROR(LEFT(M42,FIND("],",M42)+S59),M42)</f>
        <v>[effect:damage_anti_type, target:unit_all, type:balance, val1:1.6, val2:0.25],[effect:break_attack_fix, target:unit_all, val:10000, lowest_val:0, count:-1, block01:crack_bomb]</v>
      </c>
      <c r="O42" s="133">
        <f t="shared" si="151"/>
        <v>9</v>
      </c>
      <c r="P42" s="133">
        <f t="shared" si="152"/>
        <v>25</v>
      </c>
      <c r="Q42" s="133">
        <f t="shared" si="153"/>
        <v>34</v>
      </c>
      <c r="R42" s="133">
        <f t="shared" si="154"/>
        <v>42</v>
      </c>
      <c r="S42" s="133" t="str">
        <f>IFERROR(VLOOKUP(MID(N42,Q42,R42-Q42),[5]skilldef!$C:$D,2,FALSE),"-") &amp; " / " &amp; IFERROR(VLOOKUP(MID(N42,O42,P42-O42),[5]skilldef!$A:$B,2,FALSE),"-")</f>
        <v>味方全体に / タイプキラー</v>
      </c>
      <c r="T42" s="132" t="str">
        <f t="shared" si="155"/>
        <v>[effect:break_attack_fix, target:unit_all, val:10000, lowest_val:0, count:-1, block01:crack_bomb]</v>
      </c>
      <c r="U42" s="133">
        <f t="shared" si="156"/>
        <v>9</v>
      </c>
      <c r="V42" s="133">
        <f t="shared" si="157"/>
        <v>25</v>
      </c>
      <c r="W42" s="133">
        <f t="shared" si="158"/>
        <v>34</v>
      </c>
      <c r="X42" s="133">
        <f t="shared" si="159"/>
        <v>42</v>
      </c>
      <c r="Y42" s="133" t="str">
        <f>IFERROR(VLOOKUP(MID(T42,W42,X42-W42),[5]skilldef!$C:$D,2,FALSE),"-") &amp; " / " &amp; IFERROR(VLOOKUP(MID(T42,U42,V42-U42),[5]skilldef!$A:$B,2,FALSE),"-")</f>
        <v>味方全体に / -</v>
      </c>
      <c r="Z42" s="156"/>
      <c r="AA42" s="157"/>
      <c r="AB42" s="156"/>
    </row>
    <row r="43" spans="1:28" s="158" customFormat="1" ht="33" customHeight="1" x14ac:dyDescent="0.15">
      <c r="A43" s="132">
        <v>59002042</v>
      </c>
      <c r="B43" s="132" t="s">
        <v>401</v>
      </c>
      <c r="C43" s="156">
        <v>3</v>
      </c>
      <c r="D43" s="156" t="s">
        <v>127</v>
      </c>
      <c r="E43" s="133" t="s">
        <v>350</v>
      </c>
      <c r="F43" s="133" t="s">
        <v>322</v>
      </c>
      <c r="G43" s="133" t="str">
        <f t="shared" si="132"/>
        <v>[effect:enemy_message, val1:1.2, val2:2.6]</v>
      </c>
      <c r="H43" s="133">
        <f t="shared" si="15"/>
        <v>9</v>
      </c>
      <c r="I43" s="133">
        <f t="shared" si="122"/>
        <v>22</v>
      </c>
      <c r="J43" s="133" t="e">
        <f t="shared" si="123"/>
        <v>#VALUE!</v>
      </c>
      <c r="K43" s="133">
        <f t="shared" si="124"/>
        <v>32</v>
      </c>
      <c r="L43" s="133" t="str">
        <f>IFERROR(VLOOKUP(MID(G43,J43,K43-J43),[5]skilldef!$C:$D,2,FALSE),"-") &amp; " / " &amp; IFERROR(VLOOKUP(MID(G43,H43,I43-H43),[5]skilldef!$A:$B,2,FALSE),"-")</f>
        <v>- / -</v>
      </c>
      <c r="M43" s="133" t="str">
        <f t="shared" si="133"/>
        <v>[effect:force_change_block, new_block:damage, target:block_blue, ignore01:crash, ignore02:crack_bomb, ignore03:color_break, ignore04:magnet, ignore05:damage, color:block_green, count:4, val:0.2, animation:change_block],[effect:spread, val:0.25]</v>
      </c>
      <c r="N43" s="132" t="str">
        <f>IFERROR(LEFT(M43,FIND("],",M43)+S60),M43)</f>
        <v>[effect:force_change_block, new_block:damage, target:block_blue, ignore01:crash, ignore02:crack_bomb, ignore03:color_break, ignore04:magnet, ignore05:damage, color:block_green, count:4, val:0.2, animation:change_block],[effect:spread, val:0.25]</v>
      </c>
      <c r="O43" s="133">
        <f t="shared" si="20"/>
        <v>9</v>
      </c>
      <c r="P43" s="133">
        <f t="shared" si="125"/>
        <v>27</v>
      </c>
      <c r="Q43" s="133">
        <f t="shared" si="126"/>
        <v>54</v>
      </c>
      <c r="R43" s="133">
        <f t="shared" si="127"/>
        <v>45</v>
      </c>
      <c r="S43" s="133" t="str">
        <f>IFERROR(VLOOKUP(MID(N43,Q43,R43-Q43),[5]skilldef!$C:$D,2,FALSE),"-") &amp; " / " &amp; IFERROR(VLOOKUP(MID(N43,O43,P43-O43),[5]skilldef!$A:$B,2,FALSE),"-")</f>
        <v>- / -</v>
      </c>
      <c r="T43" s="132" t="str">
        <f t="shared" si="128"/>
        <v>[effect:spread, val:0.25]</v>
      </c>
      <c r="U43" s="133">
        <f t="shared" si="25"/>
        <v>9</v>
      </c>
      <c r="V43" s="133">
        <f t="shared" si="129"/>
        <v>15</v>
      </c>
      <c r="W43" s="133" t="e">
        <f t="shared" si="130"/>
        <v>#VALUE!</v>
      </c>
      <c r="X43" s="133" t="e">
        <f t="shared" si="131"/>
        <v>#VALUE!</v>
      </c>
      <c r="Y43" s="133" t="str">
        <f>IFERROR(VLOOKUP(MID(T43,W43,X43-W43),[5]skilldef!$C:$D,2,FALSE),"-") &amp; " / " &amp; IFERROR(VLOOKUP(MID(T43,U43,V43-U43),[5]skilldef!$A:$B,2,FALSE),"-")</f>
        <v>- / 全体攻撃</v>
      </c>
      <c r="Z43" s="156"/>
      <c r="AA43" s="157"/>
      <c r="AB43" s="156"/>
    </row>
    <row r="44" spans="1:28" s="158" customFormat="1" ht="33" customHeight="1" x14ac:dyDescent="0.15">
      <c r="A44" s="132">
        <v>59002043</v>
      </c>
      <c r="B44" s="132" t="s">
        <v>402</v>
      </c>
      <c r="C44" s="156">
        <v>3</v>
      </c>
      <c r="D44" s="156" t="s">
        <v>127</v>
      </c>
      <c r="E44" s="133" t="s">
        <v>352</v>
      </c>
      <c r="F44" s="133" t="s">
        <v>323</v>
      </c>
      <c r="G44" s="133" t="str">
        <f t="shared" si="132"/>
        <v>[effect:enemy_message, val1:1.2, val2:2.6]</v>
      </c>
      <c r="H44" s="133">
        <f t="shared" si="15"/>
        <v>9</v>
      </c>
      <c r="I44" s="133">
        <f t="shared" si="122"/>
        <v>22</v>
      </c>
      <c r="J44" s="133" t="e">
        <f t="shared" si="123"/>
        <v>#VALUE!</v>
      </c>
      <c r="K44" s="133">
        <f t="shared" si="124"/>
        <v>32</v>
      </c>
      <c r="L44" s="133" t="str">
        <f>IFERROR(VLOOKUP(MID(G44,J44,K44-J44),[5]skilldef!$C:$D,2,FALSE),"-") &amp; " / " &amp; IFERROR(VLOOKUP(MID(G44,H44,I44-H44),[5]skilldef!$A:$B,2,FALSE),"-")</f>
        <v>- / -</v>
      </c>
      <c r="M44" s="133" t="str">
        <f t="shared" si="133"/>
        <v>[effect:force_change_block, new_block:damage, target:block_blue, ignore01:crash, ignore02:crack_bomb, ignore03:color_break, ignore04:magnet, ignore05:damage, color:block_red, count:5, val:0.2, animation:change_block],[effect:spread, val:0.25]</v>
      </c>
      <c r="N44" s="132" t="str">
        <f>IFERROR(LEFT(M44,FIND("],",M44)+S61),M44)</f>
        <v>[effect:force_change_block, new_block:damage, target:block_blue, ignore01:crash, ignore02:crack_bomb, ignore03:color_break, ignore04:magnet, ignore05:damage, color:block_red, count:5, val:0.2, animation:change_block],[effect:spread, val:0.25]</v>
      </c>
      <c r="O44" s="133">
        <f t="shared" si="20"/>
        <v>9</v>
      </c>
      <c r="P44" s="133">
        <f t="shared" si="125"/>
        <v>27</v>
      </c>
      <c r="Q44" s="133">
        <f t="shared" si="126"/>
        <v>54</v>
      </c>
      <c r="R44" s="133">
        <f t="shared" si="127"/>
        <v>45</v>
      </c>
      <c r="S44" s="133" t="str">
        <f>IFERROR(VLOOKUP(MID(N44,Q44,R44-Q44),[5]skilldef!$C:$D,2,FALSE),"-") &amp; " / " &amp; IFERROR(VLOOKUP(MID(N44,O44,P44-O44),[5]skilldef!$A:$B,2,FALSE),"-")</f>
        <v>- / -</v>
      </c>
      <c r="T44" s="132" t="str">
        <f t="shared" si="128"/>
        <v>[effect:spread, val:0.25]</v>
      </c>
      <c r="U44" s="133">
        <f t="shared" si="25"/>
        <v>9</v>
      </c>
      <c r="V44" s="133">
        <f t="shared" si="129"/>
        <v>15</v>
      </c>
      <c r="W44" s="133" t="e">
        <f t="shared" si="130"/>
        <v>#VALUE!</v>
      </c>
      <c r="X44" s="133" t="e">
        <f t="shared" si="131"/>
        <v>#VALUE!</v>
      </c>
      <c r="Y44" s="133" t="str">
        <f>IFERROR(VLOOKUP(MID(T44,W44,X44-W44),[5]skilldef!$C:$D,2,FALSE),"-") &amp; " / " &amp; IFERROR(VLOOKUP(MID(T44,U44,V44-U44),[5]skilldef!$A:$B,2,FALSE),"-")</f>
        <v>- / 全体攻撃</v>
      </c>
      <c r="Z44" s="156"/>
      <c r="AA44" s="157"/>
      <c r="AB44" s="156"/>
    </row>
    <row r="45" spans="1:28" s="158" customFormat="1" ht="33" customHeight="1" x14ac:dyDescent="0.15">
      <c r="A45" s="132">
        <v>59002044</v>
      </c>
      <c r="B45" s="132" t="s">
        <v>431</v>
      </c>
      <c r="C45" s="156">
        <v>3</v>
      </c>
      <c r="D45" s="156" t="s">
        <v>127</v>
      </c>
      <c r="E45" s="133" t="s">
        <v>414</v>
      </c>
      <c r="F45" s="133" t="s">
        <v>265</v>
      </c>
      <c r="G45" s="133" t="str">
        <f t="shared" si="132"/>
        <v>[effect:enemy_message, val1:1.2, val2:1.6]</v>
      </c>
      <c r="H45" s="133">
        <f t="shared" si="15"/>
        <v>9</v>
      </c>
      <c r="I45" s="133">
        <f t="shared" si="122"/>
        <v>22</v>
      </c>
      <c r="J45" s="133" t="e">
        <f t="shared" si="123"/>
        <v>#VALUE!</v>
      </c>
      <c r="K45" s="133">
        <f t="shared" si="124"/>
        <v>32</v>
      </c>
      <c r="L45" s="133" t="str">
        <f>IFERROR(VLOOKUP(MID(G45,J45,K45-J45),[5]skilldef!$C:$D,2,FALSE),"-") &amp; " / " &amp; IFERROR(VLOOKUP(MID(G45,H45,I45-H45),[5]skilldef!$A:$B,2,FALSE),"-")</f>
        <v>- / -</v>
      </c>
      <c r="M45" s="133" t="str">
        <f t="shared" si="133"/>
        <v>[effect:break_attack_fix, target:unit_all, val:500, lowest_val:1000, count:-1, color:blue, block01:damage]</v>
      </c>
      <c r="N45" s="132" t="str">
        <f>IFERROR(LEFT(M45,FIND("],",M45)+S62),M45)</f>
        <v>[effect:break_attack_fix, target:unit_all, val:500, lowest_val:1000, count:-1, color:blue, block01:damage]</v>
      </c>
      <c r="O45" s="133">
        <f t="shared" si="20"/>
        <v>9</v>
      </c>
      <c r="P45" s="133">
        <f t="shared" si="125"/>
        <v>25</v>
      </c>
      <c r="Q45" s="133">
        <f t="shared" si="126"/>
        <v>34</v>
      </c>
      <c r="R45" s="133">
        <f t="shared" si="127"/>
        <v>42</v>
      </c>
      <c r="S45" s="133" t="str">
        <f>IFERROR(VLOOKUP(MID(N45,Q45,R45-Q45),[5]skilldef!$C:$D,2,FALSE),"-") &amp; " / " &amp; IFERROR(VLOOKUP(MID(N45,O45,P45-O45),[5]skilldef!$A:$B,2,FALSE),"-")</f>
        <v>味方全体に / -</v>
      </c>
      <c r="T45" s="132" t="str">
        <f t="shared" si="128"/>
        <v>none</v>
      </c>
      <c r="U45" s="133" t="e">
        <f t="shared" si="25"/>
        <v>#VALUE!</v>
      </c>
      <c r="V45" s="133">
        <f t="shared" si="129"/>
        <v>4</v>
      </c>
      <c r="W45" s="133" t="e">
        <f t="shared" si="130"/>
        <v>#VALUE!</v>
      </c>
      <c r="X45" s="133" t="e">
        <f t="shared" si="131"/>
        <v>#VALUE!</v>
      </c>
      <c r="Y45" s="133" t="str">
        <f>IFERROR(VLOOKUP(MID(T45,W45,X45-W45),[5]skilldef!$C:$D,2,FALSE),"-") &amp; " / " &amp; IFERROR(VLOOKUP(MID(T45,U45,V45-U45),[5]skilldef!$A:$B,2,FALSE),"-")</f>
        <v>- / -</v>
      </c>
      <c r="Z45" s="156"/>
      <c r="AA45" s="157"/>
      <c r="AB45" s="156"/>
    </row>
    <row r="46" spans="1:28" s="158" customFormat="1" ht="28" x14ac:dyDescent="0.15">
      <c r="A46" s="132">
        <v>59002045</v>
      </c>
      <c r="B46" s="132" t="s">
        <v>403</v>
      </c>
      <c r="C46" s="156">
        <v>3</v>
      </c>
      <c r="D46" s="156" t="s">
        <v>127</v>
      </c>
      <c r="E46" s="133" t="s">
        <v>454</v>
      </c>
      <c r="F46" s="133" t="s">
        <v>326</v>
      </c>
      <c r="G46" s="133" t="str">
        <f t="shared" si="132"/>
        <v>[effect:enemy_message, val1:1.2, val2:1.9]</v>
      </c>
      <c r="H46" s="133">
        <f t="shared" si="15"/>
        <v>9</v>
      </c>
      <c r="I46" s="133">
        <f t="shared" si="122"/>
        <v>22</v>
      </c>
      <c r="J46" s="133" t="e">
        <f t="shared" si="123"/>
        <v>#VALUE!</v>
      </c>
      <c r="K46" s="133">
        <f t="shared" si="124"/>
        <v>32</v>
      </c>
      <c r="L46" s="133" t="str">
        <f>IFERROR(VLOOKUP(MID(G46,J46,K46-J46),[5]skilldef!$C:$D,2,FALSE),"-") &amp; " / " &amp; IFERROR(VLOOKUP(MID(G46,H46,I46-H46),[5]skilldef!$A:$B,2,FALSE),"-")</f>
        <v>- / -</v>
      </c>
      <c r="M46" s="133" t="str">
        <f t="shared" si="133"/>
        <v>[effect:charge, status:attack, val:1]</v>
      </c>
      <c r="N46" s="132" t="str">
        <f>IFERROR(LEFT(M46,FIND("],",M46)+S63),M46)</f>
        <v>[effect:charge, status:attack, val:1]</v>
      </c>
      <c r="O46" s="133">
        <f t="shared" si="20"/>
        <v>9</v>
      </c>
      <c r="P46" s="133">
        <f t="shared" si="125"/>
        <v>15</v>
      </c>
      <c r="Q46" s="133" t="e">
        <f t="shared" si="126"/>
        <v>#VALUE!</v>
      </c>
      <c r="R46" s="133">
        <f t="shared" si="127"/>
        <v>30</v>
      </c>
      <c r="S46" s="133" t="str">
        <f>IFERROR(VLOOKUP(MID(N46,Q46,R46-Q46),[5]skilldef!$C:$D,2,FALSE),"-") &amp; " / " &amp; IFERROR(VLOOKUP(MID(N46,O46,P46-O46),[5]skilldef!$A:$B,2,FALSE),"-")</f>
        <v>- / 溜め</v>
      </c>
      <c r="T46" s="132" t="str">
        <f t="shared" si="128"/>
        <v>none</v>
      </c>
      <c r="U46" s="133" t="e">
        <f t="shared" si="25"/>
        <v>#VALUE!</v>
      </c>
      <c r="V46" s="133">
        <f t="shared" si="129"/>
        <v>4</v>
      </c>
      <c r="W46" s="133" t="e">
        <f t="shared" si="130"/>
        <v>#VALUE!</v>
      </c>
      <c r="X46" s="133" t="e">
        <f t="shared" si="131"/>
        <v>#VALUE!</v>
      </c>
      <c r="Y46" s="133" t="str">
        <f>IFERROR(VLOOKUP(MID(T46,W46,X46-W46),[5]skilldef!$C:$D,2,FALSE),"-") &amp; " / " &amp; IFERROR(VLOOKUP(MID(T46,U46,V46-U46),[5]skilldef!$A:$B,2,FALSE),"-")</f>
        <v>- / -</v>
      </c>
      <c r="Z46" s="156"/>
      <c r="AA46" s="157"/>
      <c r="AB46" s="156"/>
    </row>
    <row r="47" spans="1:28" s="158" customFormat="1" ht="23" customHeight="1" x14ac:dyDescent="0.15">
      <c r="A47" s="132">
        <v>59002046</v>
      </c>
      <c r="B47" s="132" t="s">
        <v>377</v>
      </c>
      <c r="C47" s="156">
        <v>3</v>
      </c>
      <c r="D47" s="156" t="s">
        <v>127</v>
      </c>
      <c r="E47" s="133" t="s">
        <v>355</v>
      </c>
      <c r="F47" s="133" t="s">
        <v>270</v>
      </c>
      <c r="G47" s="133" t="str">
        <f t="shared" si="132"/>
        <v>[effect:enemy_message, val1:1.2, val2:1.2]</v>
      </c>
      <c r="H47" s="133">
        <f t="shared" si="15"/>
        <v>9</v>
      </c>
      <c r="I47" s="133">
        <f t="shared" ref="I47" si="160">IFERROR(FIND(",",G47),LEN(G47))</f>
        <v>22</v>
      </c>
      <c r="J47" s="133" t="e">
        <f t="shared" ref="J47" si="161">FIND("target:",G47)+7</f>
        <v>#VALUE!</v>
      </c>
      <c r="K47" s="133">
        <f t="shared" ref="K47" si="162">FIND(",",G47,I47+1)</f>
        <v>32</v>
      </c>
      <c r="L47" s="133" t="str">
        <f>IFERROR(VLOOKUP(MID(G47,J47,K47-J47),[5]skilldef!$C:$D,2,FALSE),"-") &amp; " / " &amp; IFERROR(VLOOKUP(MID(G47,H47,I47-H47),[5]skilldef!$A:$B,2,FALSE),"-")</f>
        <v>- / -</v>
      </c>
      <c r="M47" s="133" t="str">
        <f t="shared" si="133"/>
        <v>[effect:rush, count:8, val:3]</v>
      </c>
      <c r="N47" s="132" t="str">
        <f t="shared" ref="N47" si="163">IFERROR(LEFT(M47,FIND("],",M47)+S64),M47)</f>
        <v>[effect:rush, count:8, val:3]</v>
      </c>
      <c r="O47" s="133">
        <f t="shared" si="20"/>
        <v>9</v>
      </c>
      <c r="P47" s="133">
        <f t="shared" ref="P47" si="164">IFERROR(FIND(",",N47),LEN(N47))</f>
        <v>13</v>
      </c>
      <c r="Q47" s="133" t="e">
        <f t="shared" ref="Q47" si="165">FIND("target:",N47)+7</f>
        <v>#VALUE!</v>
      </c>
      <c r="R47" s="133">
        <f t="shared" ref="R47" si="166">FIND(",",N47,P47+1)</f>
        <v>22</v>
      </c>
      <c r="S47" s="133" t="str">
        <f>IFERROR(VLOOKUP(MID(N47,Q47,R47-Q47),[5]skilldef!$C:$D,2,FALSE),"-") &amp; " / " &amp; IFERROR(VLOOKUP(MID(N47,O47,P47-O47),[5]skilldef!$A:$B,2,FALSE),"-")</f>
        <v>- / 連続攻撃</v>
      </c>
      <c r="T47" s="132" t="str">
        <f t="shared" ref="T47" si="167">IFERROR(RIGHT(M47,LEN(M47)-FIND("],",M47)-1),"none")</f>
        <v>none</v>
      </c>
      <c r="U47" s="133" t="e">
        <f t="shared" si="25"/>
        <v>#VALUE!</v>
      </c>
      <c r="V47" s="133">
        <f t="shared" ref="V47" si="168">IFERROR(FIND(",",T47),LEN(T47))</f>
        <v>4</v>
      </c>
      <c r="W47" s="133" t="e">
        <f t="shared" ref="W47" si="169">FIND("target:",T47)+7</f>
        <v>#VALUE!</v>
      </c>
      <c r="X47" s="133" t="e">
        <f t="shared" ref="X47" si="170">FIND(",",T47,V47+1)</f>
        <v>#VALUE!</v>
      </c>
      <c r="Y47" s="133" t="str">
        <f>IFERROR(VLOOKUP(MID(T47,W47,X47-W47),[5]skilldef!$C:$D,2,FALSE),"-") &amp; " / " &amp; IFERROR(VLOOKUP(MID(T47,U47,V47-U47),[5]skilldef!$A:$B,2,FALSE),"-")</f>
        <v>- / -</v>
      </c>
      <c r="Z47" s="156"/>
      <c r="AA47" s="157"/>
      <c r="AB47" s="156"/>
    </row>
    <row r="48" spans="1:28" s="158" customFormat="1" ht="28" customHeight="1" x14ac:dyDescent="0.15">
      <c r="A48" s="132">
        <v>59002047</v>
      </c>
      <c r="B48" s="132" t="s">
        <v>453</v>
      </c>
      <c r="C48" s="156">
        <v>3</v>
      </c>
      <c r="D48" s="156" t="s">
        <v>127</v>
      </c>
      <c r="E48" s="133" t="s">
        <v>416</v>
      </c>
      <c r="F48" s="133" t="s">
        <v>452</v>
      </c>
      <c r="G48" s="133" t="str">
        <f t="shared" si="132"/>
        <v>[effect:enemy_message, val1:1.5, val2:0.0, dead_type:suicide]</v>
      </c>
      <c r="H48" s="133">
        <f t="shared" ref="H48" si="171">FIND("effect:",G48)+7</f>
        <v>9</v>
      </c>
      <c r="I48" s="133">
        <f t="shared" ref="I48" si="172">IFERROR(FIND(",",G48),LEN(G48))</f>
        <v>22</v>
      </c>
      <c r="J48" s="133" t="e">
        <f t="shared" ref="J48" si="173">FIND("target:",G48)+7</f>
        <v>#VALUE!</v>
      </c>
      <c r="K48" s="133">
        <f t="shared" ref="K48" si="174">FIND(",",G48,I48+1)</f>
        <v>32</v>
      </c>
      <c r="L48" s="133" t="str">
        <f>IFERROR(VLOOKUP(MID(G48,J48,K48-J48),[5]skilldef!$C:$D,2,FALSE),"-") &amp; " / " &amp; IFERROR(VLOOKUP(MID(G48,H48,I48-H48),[5]skilldef!$A:$B,2,FALSE),"-")</f>
        <v>- / -</v>
      </c>
      <c r="M48" s="133" t="str">
        <f t="shared" si="133"/>
        <v>none</v>
      </c>
      <c r="N48" s="132" t="str">
        <f t="shared" ref="N48" si="175">IFERROR(LEFT(M48,FIND("],",M48)+S65),M48)</f>
        <v>none</v>
      </c>
      <c r="O48" s="133" t="e">
        <f t="shared" ref="O48" si="176">FIND("effect:",N48)+7</f>
        <v>#VALUE!</v>
      </c>
      <c r="P48" s="133">
        <f t="shared" ref="P48" si="177">IFERROR(FIND(",",N48),LEN(N48))</f>
        <v>4</v>
      </c>
      <c r="Q48" s="133" t="e">
        <f t="shared" ref="Q48" si="178">FIND("target:",N48)+7</f>
        <v>#VALUE!</v>
      </c>
      <c r="R48" s="133" t="e">
        <f t="shared" ref="R48" si="179">FIND(",",N48,P48+1)</f>
        <v>#VALUE!</v>
      </c>
      <c r="S48" s="133" t="str">
        <f>IFERROR(VLOOKUP(MID(N48,Q48,R48-Q48),[5]skilldef!$C:$D,2,FALSE),"-") &amp; " / " &amp; IFERROR(VLOOKUP(MID(N48,O48,P48-O48),[5]skilldef!$A:$B,2,FALSE),"-")</f>
        <v>- / -</v>
      </c>
      <c r="T48" s="132" t="str">
        <f t="shared" ref="T48" si="180">IFERROR(RIGHT(M48,LEN(M48)-FIND("],",M48)-1),"none")</f>
        <v>none</v>
      </c>
      <c r="U48" s="133" t="e">
        <f t="shared" ref="U48" si="181">FIND("effect:",T48)+7</f>
        <v>#VALUE!</v>
      </c>
      <c r="V48" s="133">
        <f t="shared" ref="V48" si="182">IFERROR(FIND(",",T48),LEN(T48))</f>
        <v>4</v>
      </c>
      <c r="W48" s="133" t="e">
        <f t="shared" ref="W48" si="183">FIND("target:",T48)+7</f>
        <v>#VALUE!</v>
      </c>
      <c r="X48" s="133" t="e">
        <f t="shared" ref="X48" si="184">FIND(",",T48,V48+1)</f>
        <v>#VALUE!</v>
      </c>
      <c r="Y48" s="133" t="str">
        <f>IFERROR(VLOOKUP(MID(T48,W48,X48-W48),[5]skilldef!$C:$D,2,FALSE),"-") &amp; " / " &amp; IFERROR(VLOOKUP(MID(T48,U48,V48-U48),[5]skilldef!$A:$B,2,FALSE),"-")</f>
        <v>- / -</v>
      </c>
      <c r="Z48" s="156" t="s">
        <v>461</v>
      </c>
      <c r="AA48" s="157" t="s">
        <v>485</v>
      </c>
      <c r="AB48" s="156"/>
    </row>
    <row r="49" spans="1:28" s="175" customFormat="1" ht="23" customHeight="1" x14ac:dyDescent="0.15">
      <c r="A49" s="171">
        <v>59002048</v>
      </c>
      <c r="B49" s="171" t="s">
        <v>593</v>
      </c>
      <c r="C49" s="172">
        <v>3</v>
      </c>
      <c r="D49" s="172" t="s">
        <v>291</v>
      </c>
      <c r="E49" s="173" t="s">
        <v>356</v>
      </c>
      <c r="F49" s="173" t="s">
        <v>592</v>
      </c>
      <c r="G49" s="173" t="str">
        <f t="shared" si="132"/>
        <v>[effect:enemy_message, val1:1.6, val2:1.9]</v>
      </c>
      <c r="H49" s="173">
        <f t="shared" ref="H49" si="185">FIND("effect:",G49)+7</f>
        <v>9</v>
      </c>
      <c r="I49" s="173">
        <f t="shared" ref="I49" si="186">IFERROR(FIND(",",G49),LEN(G49))</f>
        <v>22</v>
      </c>
      <c r="J49" s="173" t="e">
        <f t="shared" ref="J49" si="187">FIND("target:",G49)+7</f>
        <v>#VALUE!</v>
      </c>
      <c r="K49" s="173">
        <f t="shared" ref="K49" si="188">FIND(",",G49,I49+1)</f>
        <v>32</v>
      </c>
      <c r="L49" s="173" t="str">
        <f>IFERROR(VLOOKUP(MID(G49,J49,K49-J49),[5]skilldef!$C:$D,2,FALSE),"-") &amp; " / " &amp; IFERROR(VLOOKUP(MID(G49,H49,I49-H49),[5]skilldef!$A:$B,2,FALSE),"-")</f>
        <v>- / -</v>
      </c>
      <c r="M49" s="173" t="str">
        <f t="shared" si="133"/>
        <v>[effect:ability_lock, target:unit_all, turn:1],[effect:sleep, target:unit_all, turn:1, rate:1, calc_type:target_all],[effect:fix_speed, target:myself, turn:1]</v>
      </c>
      <c r="N49" s="171" t="str">
        <f t="shared" ref="N49" si="189">IFERROR(LEFT(M49,FIND("],",M49)+S65),M49)</f>
        <v>[effect:ability_lock, target:unit_all, turn:1],[effect:sleep, target:unit_all, turn:1, rate:1, calc_type:target_all],[effect:fix_speed, target:myself, turn:1]</v>
      </c>
      <c r="O49" s="173">
        <f t="shared" ref="O49" si="190">FIND("effect:",N49)+7</f>
        <v>9</v>
      </c>
      <c r="P49" s="173">
        <f t="shared" ref="P49" si="191">IFERROR(FIND(",",N49),LEN(N49))</f>
        <v>21</v>
      </c>
      <c r="Q49" s="173">
        <f t="shared" ref="Q49" si="192">FIND("target:",N49)+7</f>
        <v>30</v>
      </c>
      <c r="R49" s="173">
        <f t="shared" ref="R49" si="193">FIND(",",N49,P49+1)</f>
        <v>38</v>
      </c>
      <c r="S49" s="173" t="str">
        <f>IFERROR(VLOOKUP(MID(N49,Q49,R49-Q49),[5]skilldef!$C:$D,2,FALSE),"-") &amp; " / " &amp; IFERROR(VLOOKUP(MID(N49,O49,P49-O49),[5]skilldef!$A:$B,2,FALSE),"-")</f>
        <v>味方全体に / -</v>
      </c>
      <c r="T49" s="171" t="str">
        <f t="shared" ref="T49" si="194">IFERROR(RIGHT(M49,LEN(M49)-FIND("],",M49)-1),"none")</f>
        <v>[effect:sleep, target:unit_all, turn:1, rate:1, calc_type:target_all],[effect:fix_speed, target:myself, turn:1]</v>
      </c>
      <c r="U49" s="173">
        <f t="shared" ref="U49" si="195">FIND("effect:",T49)+7</f>
        <v>9</v>
      </c>
      <c r="V49" s="173">
        <f t="shared" ref="V49" si="196">IFERROR(FIND(",",T49),LEN(T49))</f>
        <v>14</v>
      </c>
      <c r="W49" s="173">
        <f t="shared" ref="W49" si="197">FIND("target:",T49)+7</f>
        <v>23</v>
      </c>
      <c r="X49" s="173">
        <f t="shared" ref="X49" si="198">FIND(",",T49,V49+1)</f>
        <v>31</v>
      </c>
      <c r="Y49" s="173" t="str">
        <f>IFERROR(VLOOKUP(MID(T49,W49,X49-W49),[5]skilldef!$C:$D,2,FALSE),"-") &amp; " / " &amp; IFERROR(VLOOKUP(MID(T49,U49,V49-U49),[5]skilldef!$A:$B,2,FALSE),"-")</f>
        <v>味方全体に / スリープ</v>
      </c>
      <c r="Z49" s="172"/>
      <c r="AA49" s="174"/>
      <c r="AB49" s="172"/>
    </row>
    <row r="50" spans="1:28" s="175" customFormat="1" ht="23" customHeight="1" x14ac:dyDescent="0.15">
      <c r="A50" s="171">
        <v>59002049</v>
      </c>
      <c r="B50" s="171" t="s">
        <v>441</v>
      </c>
      <c r="C50" s="172">
        <v>3</v>
      </c>
      <c r="D50" s="172" t="s">
        <v>291</v>
      </c>
      <c r="E50" s="173" t="s">
        <v>293</v>
      </c>
      <c r="F50" s="173" t="s">
        <v>324</v>
      </c>
      <c r="G50" s="173" t="str">
        <f t="shared" si="132"/>
        <v>[effect:enemy_message, val1:1.2, val2:2.4]</v>
      </c>
      <c r="H50" s="173">
        <f t="shared" ref="H50" si="199">FIND("effect:",G50)+7</f>
        <v>9</v>
      </c>
      <c r="I50" s="173">
        <f t="shared" ref="I50" si="200">IFERROR(FIND(",",G50),LEN(G50))</f>
        <v>22</v>
      </c>
      <c r="J50" s="173" t="e">
        <f t="shared" ref="J50" si="201">FIND("target:",G50)+7</f>
        <v>#VALUE!</v>
      </c>
      <c r="K50" s="173">
        <f t="shared" ref="K50" si="202">FIND(",",G50,I50+1)</f>
        <v>32</v>
      </c>
      <c r="L50" s="173" t="str">
        <f>IFERROR(VLOOKUP(MID(G50,J50,K50-J50),[5]skilldef!$C:$D,2,FALSE),"-") &amp; " / " &amp; IFERROR(VLOOKUP(MID(G50,H50,I50-H50),[5]skilldef!$A:$B,2,FALSE),"-")</f>
        <v>- / -</v>
      </c>
      <c r="M50" s="173" t="str">
        <f t="shared" si="133"/>
        <v>[effect:force_change_block, new_block:crash, target:block_all, ignore01:crash, ignore02:crack_bomb, ignore03:color_break, ignore04:magnet, count:5, val:12],[effect:suicide, val:1, dead_type:escape, target:myself]</v>
      </c>
      <c r="N50" s="171" t="str">
        <f t="shared" ref="N50" si="203">IFERROR(LEFT(M50,FIND("],",M50)+S66),M50)</f>
        <v>[effect:force_change_block, new_block:crash, target:block_all, ignore01:crash, ignore02:crack_bomb, ignore03:color_break, ignore04:magnet, count:5, val:12],[effect:suicide, val:1, dead_type:escape, target:myself]</v>
      </c>
      <c r="O50" s="173">
        <f t="shared" ref="O50" si="204">FIND("effect:",N50)+7</f>
        <v>9</v>
      </c>
      <c r="P50" s="173">
        <f t="shared" ref="P50" si="205">IFERROR(FIND(",",N50),LEN(N50))</f>
        <v>27</v>
      </c>
      <c r="Q50" s="173">
        <f t="shared" ref="Q50" si="206">FIND("target:",N50)+7</f>
        <v>53</v>
      </c>
      <c r="R50" s="173">
        <f t="shared" ref="R50" si="207">FIND(",",N50,P50+1)</f>
        <v>44</v>
      </c>
      <c r="S50" s="173" t="str">
        <f>IFERROR(VLOOKUP(MID(N50,Q50,R50-Q50),[5]skilldef!$C:$D,2,FALSE),"-") &amp; " / " &amp; IFERROR(VLOOKUP(MID(N50,O50,P50-O50),[5]skilldef!$A:$B,2,FALSE),"-")</f>
        <v>- / -</v>
      </c>
      <c r="T50" s="171" t="str">
        <f t="shared" ref="T50" si="208">IFERROR(RIGHT(M50,LEN(M50)-FIND("],",M50)-1),"none")</f>
        <v>[effect:suicide, val:1, dead_type:escape, target:myself]</v>
      </c>
      <c r="U50" s="173">
        <f t="shared" ref="U50" si="209">FIND("effect:",T50)+7</f>
        <v>9</v>
      </c>
      <c r="V50" s="173">
        <f t="shared" ref="V50" si="210">IFERROR(FIND(",",T50),LEN(T50))</f>
        <v>16</v>
      </c>
      <c r="W50" s="173">
        <f t="shared" ref="W50" si="211">FIND("target:",T50)+7</f>
        <v>50</v>
      </c>
      <c r="X50" s="173">
        <f t="shared" ref="X50" si="212">FIND(",",T50,V50+1)</f>
        <v>23</v>
      </c>
      <c r="Y50" s="173" t="str">
        <f>IFERROR(VLOOKUP(MID(T50,W50,X50-W50),[5]skilldef!$C:$D,2,FALSE),"-") &amp; " / " &amp; IFERROR(VLOOKUP(MID(T50,U50,V50-U50),[5]skilldef!$A:$B,2,FALSE),"-")</f>
        <v>- / -</v>
      </c>
      <c r="Z50" s="172"/>
      <c r="AA50" s="174"/>
      <c r="AB50" s="172"/>
    </row>
    <row r="51" spans="1:28" s="113" customFormat="1" ht="37" customHeight="1" x14ac:dyDescent="0.15">
      <c r="A51" s="109">
        <v>59002050</v>
      </c>
      <c r="B51" s="109" t="s">
        <v>594</v>
      </c>
      <c r="C51" s="110">
        <v>3</v>
      </c>
      <c r="D51" s="110" t="s">
        <v>127</v>
      </c>
      <c r="E51" s="111" t="s">
        <v>412</v>
      </c>
      <c r="F51" s="111" t="s">
        <v>279</v>
      </c>
      <c r="G51" s="111" t="str">
        <f t="shared" si="132"/>
        <v>[effect:enemy_message, val1:2.2, val2:1.3]</v>
      </c>
      <c r="H51" s="111">
        <f t="shared" si="15"/>
        <v>9</v>
      </c>
      <c r="I51" s="111">
        <f t="shared" ref="I51" si="213">IFERROR(FIND(",",G51),LEN(G51))</f>
        <v>22</v>
      </c>
      <c r="J51" s="111" t="e">
        <f t="shared" ref="J51" si="214">FIND("target:",G51)+7</f>
        <v>#VALUE!</v>
      </c>
      <c r="K51" s="111">
        <f t="shared" ref="K51" si="215">FIND(",",G51,I51+1)</f>
        <v>32</v>
      </c>
      <c r="L51" s="111" t="str">
        <f>IFERROR(VLOOKUP(MID(G51,J51,K51-J51),[5]skilldef!$C:$D,2,FALSE),"-") &amp; " / " &amp; IFERROR(VLOOKUP(MID(G51,H51,I51-H51),[5]skilldef!$A:$B,2,FALSE),"-")</f>
        <v>- / -</v>
      </c>
      <c r="M51" s="111" t="str">
        <f t="shared" si="133"/>
        <v>[effect:play_bgm, turn:-1, bgm_path:BGM/BattleNormal2225],[effect:fix_speed, target:myself, turn:1],[effect:tolerance, target:myself, turn:-1, count:-1, tolerance_effect:all, animation:enemy_tolerance],[effect:dis_panel, target:block_green, turn:-1, animation:enemy_dis_green]</v>
      </c>
      <c r="N51" s="109" t="str">
        <f t="shared" ref="N51" si="216">IFERROR(LEFT(M51,FIND("],",M51)+S65),M51)</f>
        <v>[effect:play_bgm, turn:-1, bgm_path:BGM/BattleNormal2225],[effect:fix_speed, target:myself, turn:1],[effect:tolerance, target:myself, turn:-1, count:-1, tolerance_effect:all, animation:enemy_tolerance],[effect:dis_panel, target:block_green, turn:-1, animation:enemy_dis_green]</v>
      </c>
      <c r="O51" s="111">
        <f t="shared" si="20"/>
        <v>9</v>
      </c>
      <c r="P51" s="111">
        <f t="shared" ref="P51" si="217">IFERROR(FIND(",",N51),LEN(N51))</f>
        <v>17</v>
      </c>
      <c r="Q51" s="111">
        <f t="shared" ref="Q51" si="218">FIND("target:",N51)+7</f>
        <v>85</v>
      </c>
      <c r="R51" s="111">
        <f t="shared" ref="R51" si="219">FIND(",",N51,P51+1)</f>
        <v>26</v>
      </c>
      <c r="S51" s="111" t="str">
        <f>IFERROR(VLOOKUP(MID(N51,Q51,R51-Q51),[5]skilldef!$C:$D,2,FALSE),"-") &amp; " / " &amp; IFERROR(VLOOKUP(MID(N51,O51,P51-O51),[5]skilldef!$A:$B,2,FALSE),"-")</f>
        <v>- / -</v>
      </c>
      <c r="T51" s="109" t="str">
        <f t="shared" ref="T51" si="220">IFERROR(RIGHT(M51,LEN(M51)-FIND("],",M51)-1),"none")</f>
        <v>[effect:fix_speed, target:myself, turn:1],[effect:tolerance, target:myself, turn:-1, count:-1, tolerance_effect:all, animation:enemy_tolerance],[effect:dis_panel, target:block_green, turn:-1, animation:enemy_dis_green]</v>
      </c>
      <c r="U51" s="111">
        <f t="shared" si="25"/>
        <v>9</v>
      </c>
      <c r="V51" s="111">
        <f t="shared" ref="V51" si="221">IFERROR(FIND(",",T51),LEN(T51))</f>
        <v>18</v>
      </c>
      <c r="W51" s="111">
        <f t="shared" ref="W51" si="222">FIND("target:",T51)+7</f>
        <v>27</v>
      </c>
      <c r="X51" s="111">
        <f t="shared" ref="X51" si="223">FIND(",",T51,V51+1)</f>
        <v>33</v>
      </c>
      <c r="Y51" s="111" t="str">
        <f>IFERROR(VLOOKUP(MID(T51,W51,X51-W51),[5]skilldef!$C:$D,2,FALSE),"-") &amp; " / " &amp; IFERROR(VLOOKUP(MID(T51,U51,V51-U51),[5]skilldef!$A:$B,2,FALSE),"-")</f>
        <v>自分自身に / 行動値設定</v>
      </c>
      <c r="Z51" s="110" t="s">
        <v>461</v>
      </c>
      <c r="AA51" s="112"/>
      <c r="AB51" s="110"/>
    </row>
    <row r="52" spans="1:28" s="113" customFormat="1" ht="23" customHeight="1" x14ac:dyDescent="0.15">
      <c r="A52" s="109">
        <v>59002051</v>
      </c>
      <c r="B52" s="109" t="s">
        <v>537</v>
      </c>
      <c r="C52" s="110">
        <v>3</v>
      </c>
      <c r="D52" s="110" t="s">
        <v>127</v>
      </c>
      <c r="E52" s="111" t="s">
        <v>357</v>
      </c>
      <c r="F52" s="111" t="s">
        <v>536</v>
      </c>
      <c r="G52" s="111" t="str">
        <f t="shared" si="132"/>
        <v>[effect:enemy_message, val1:1.2, val2:2.3]</v>
      </c>
      <c r="H52" s="111">
        <f t="shared" si="15"/>
        <v>9</v>
      </c>
      <c r="I52" s="111">
        <f t="shared" ref="I52" si="224">IFERROR(FIND(",",G52),LEN(G52))</f>
        <v>22</v>
      </c>
      <c r="J52" s="111" t="e">
        <f t="shared" ref="J52" si="225">FIND("target:",G52)+7</f>
        <v>#VALUE!</v>
      </c>
      <c r="K52" s="111">
        <f t="shared" ref="K52" si="226">FIND(",",G52,I52+1)</f>
        <v>32</v>
      </c>
      <c r="L52" s="111" t="str">
        <f>IFERROR(VLOOKUP(MID(G52,J52,K52-J52),[5]skilldef!$C:$D,2,FALSE),"-") &amp; " / " &amp; IFERROR(VLOOKUP(MID(G52,H52,I52-H52),[5]skilldef!$A:$B,2,FALSE),"-")</f>
        <v>- / -</v>
      </c>
      <c r="M52" s="111" t="str">
        <f t="shared" si="133"/>
        <v>[effect:damage_anti_type, target:unit_all, type:balance, val1:1.6, val2:0.27]</v>
      </c>
      <c r="N52" s="109" t="str">
        <f t="shared" ref="N52" si="227">IFERROR(LEFT(M52,FIND("],",M52)+S66),M52)</f>
        <v>[effect:damage_anti_type, target:unit_all, type:balance, val1:1.6, val2:0.27]</v>
      </c>
      <c r="O52" s="111">
        <f t="shared" si="20"/>
        <v>9</v>
      </c>
      <c r="P52" s="111">
        <f t="shared" ref="P52" si="228">IFERROR(FIND(",",N52),LEN(N52))</f>
        <v>25</v>
      </c>
      <c r="Q52" s="111">
        <f t="shared" ref="Q52" si="229">FIND("target:",N52)+7</f>
        <v>34</v>
      </c>
      <c r="R52" s="111">
        <f t="shared" ref="R52" si="230">FIND(",",N52,P52+1)</f>
        <v>42</v>
      </c>
      <c r="S52" s="111" t="str">
        <f>IFERROR(VLOOKUP(MID(N52,Q52,R52-Q52),[5]skilldef!$C:$D,2,FALSE),"-") &amp; " / " &amp; IFERROR(VLOOKUP(MID(N52,O52,P52-O52),[5]skilldef!$A:$B,2,FALSE),"-")</f>
        <v>味方全体に / タイプキラー</v>
      </c>
      <c r="T52" s="109" t="str">
        <f t="shared" ref="T52" si="231">IFERROR(RIGHT(M52,LEN(M52)-FIND("],",M52)-1),"none")</f>
        <v>none</v>
      </c>
      <c r="U52" s="111" t="e">
        <f t="shared" si="25"/>
        <v>#VALUE!</v>
      </c>
      <c r="V52" s="111">
        <f t="shared" ref="V52" si="232">IFERROR(FIND(",",T52),LEN(T52))</f>
        <v>4</v>
      </c>
      <c r="W52" s="111" t="e">
        <f t="shared" ref="W52" si="233">FIND("target:",T52)+7</f>
        <v>#VALUE!</v>
      </c>
      <c r="X52" s="111" t="e">
        <f t="shared" ref="X52" si="234">FIND(",",T52,V52+1)</f>
        <v>#VALUE!</v>
      </c>
      <c r="Y52" s="111" t="str">
        <f>IFERROR(VLOOKUP(MID(T52,W52,X52-W52),[5]skilldef!$C:$D,2,FALSE),"-") &amp; " / " &amp; IFERROR(VLOOKUP(MID(T52,U52,V52-U52),[5]skilldef!$A:$B,2,FALSE),"-")</f>
        <v>- / -</v>
      </c>
      <c r="Z52" s="110"/>
      <c r="AA52" s="112"/>
      <c r="AB52" s="110"/>
    </row>
    <row r="53" spans="1:28" s="113" customFormat="1" ht="23" customHeight="1" x14ac:dyDescent="0.15">
      <c r="A53" s="109">
        <v>59002052</v>
      </c>
      <c r="B53" s="109" t="s">
        <v>442</v>
      </c>
      <c r="C53" s="110">
        <v>3</v>
      </c>
      <c r="D53" s="110" t="s">
        <v>127</v>
      </c>
      <c r="E53" s="111" t="s">
        <v>358</v>
      </c>
      <c r="F53" s="111" t="s">
        <v>432</v>
      </c>
      <c r="G53" s="111" t="str">
        <f t="shared" si="132"/>
        <v>[effect:enemy_message, val1:1.2, val2:1.7]</v>
      </c>
      <c r="H53" s="111">
        <f t="shared" si="15"/>
        <v>9</v>
      </c>
      <c r="I53" s="111">
        <f t="shared" ref="I53:I56" si="235">IFERROR(FIND(",",G53),LEN(G53))</f>
        <v>22</v>
      </c>
      <c r="J53" s="111" t="e">
        <f t="shared" ref="J53:J56" si="236">FIND("target:",G53)+7</f>
        <v>#VALUE!</v>
      </c>
      <c r="K53" s="111">
        <f t="shared" ref="K53:K56" si="237">FIND(",",G53,I53+1)</f>
        <v>32</v>
      </c>
      <c r="L53" s="111" t="str">
        <f>IFERROR(VLOOKUP(MID(G53,J53,K53-J53),[5]skilldef!$C:$D,2,FALSE),"-") &amp; " / " &amp; IFERROR(VLOOKUP(MID(G53,H53,I53-H53),[5]skilldef!$A:$B,2,FALSE),"-")</f>
        <v>- / -</v>
      </c>
      <c r="M53" s="111" t="str">
        <f t="shared" si="133"/>
        <v>[effect:dark, target:unit_all, turn:2, animation:enemy_dark],[effect:spread, val:0.25]</v>
      </c>
      <c r="N53" s="109" t="str">
        <f>IFERROR(LEFT(M53,FIND("],",M53)+S67),M53)</f>
        <v>[effect:dark, target:unit_all, turn:2, animation:enemy_dark],[effect:spread, val:0.25]</v>
      </c>
      <c r="O53" s="111">
        <f t="shared" si="20"/>
        <v>9</v>
      </c>
      <c r="P53" s="111">
        <f t="shared" ref="P53:P56" si="238">IFERROR(FIND(",",N53),LEN(N53))</f>
        <v>13</v>
      </c>
      <c r="Q53" s="111">
        <f t="shared" ref="Q53:Q56" si="239">FIND("target:",N53)+7</f>
        <v>22</v>
      </c>
      <c r="R53" s="111">
        <f t="shared" ref="R53:R56" si="240">FIND(",",N53,P53+1)</f>
        <v>30</v>
      </c>
      <c r="S53" s="111" t="str">
        <f>IFERROR(VLOOKUP(MID(N53,Q53,R53-Q53),[5]skilldef!$C:$D,2,FALSE),"-") &amp; " / " &amp; IFERROR(VLOOKUP(MID(N53,O53,P53-O53),[5]skilldef!$A:$B,2,FALSE),"-")</f>
        <v>味方全体に / 暗黒</v>
      </c>
      <c r="T53" s="109" t="str">
        <f t="shared" ref="T53:T56" si="241">IFERROR(RIGHT(M53,LEN(M53)-FIND("],",M53)-1),"none")</f>
        <v>[effect:spread, val:0.25]</v>
      </c>
      <c r="U53" s="111">
        <f t="shared" si="25"/>
        <v>9</v>
      </c>
      <c r="V53" s="111">
        <f t="shared" ref="V53:V56" si="242">IFERROR(FIND(",",T53),LEN(T53))</f>
        <v>15</v>
      </c>
      <c r="W53" s="111" t="e">
        <f t="shared" ref="W53:W56" si="243">FIND("target:",T53)+7</f>
        <v>#VALUE!</v>
      </c>
      <c r="X53" s="111" t="e">
        <f t="shared" ref="X53:X56" si="244">FIND(",",T53,V53+1)</f>
        <v>#VALUE!</v>
      </c>
      <c r="Y53" s="111" t="str">
        <f>IFERROR(VLOOKUP(MID(T53,W53,X53-W53),[5]skilldef!$C:$D,2,FALSE),"-") &amp; " / " &amp; IFERROR(VLOOKUP(MID(T53,U53,V53-U53),[5]skilldef!$A:$B,2,FALSE),"-")</f>
        <v>- / 全体攻撃</v>
      </c>
      <c r="Z53" s="110"/>
      <c r="AA53" s="112"/>
      <c r="AB53" s="110"/>
    </row>
    <row r="54" spans="1:28" s="113" customFormat="1" ht="23" customHeight="1" x14ac:dyDescent="0.15">
      <c r="A54" s="109">
        <v>59002053</v>
      </c>
      <c r="B54" s="109" t="s">
        <v>538</v>
      </c>
      <c r="C54" s="110">
        <v>3</v>
      </c>
      <c r="D54" s="110" t="s">
        <v>127</v>
      </c>
      <c r="E54" s="111" t="s">
        <v>359</v>
      </c>
      <c r="F54" s="111" t="s">
        <v>524</v>
      </c>
      <c r="G54" s="111" t="str">
        <f t="shared" si="132"/>
        <v>[effect:enemy_message, val1:1.2, val2:3.5]</v>
      </c>
      <c r="H54" s="111">
        <f t="shared" si="15"/>
        <v>9</v>
      </c>
      <c r="I54" s="111">
        <f t="shared" si="235"/>
        <v>22</v>
      </c>
      <c r="J54" s="111" t="e">
        <f t="shared" si="236"/>
        <v>#VALUE!</v>
      </c>
      <c r="K54" s="111">
        <f t="shared" si="237"/>
        <v>32</v>
      </c>
      <c r="L54" s="111" t="str">
        <f>IFERROR(VLOOKUP(MID(G54,J54,K54-J54),[5]skilldef!$C:$D,2,FALSE),"-") &amp; " / " &amp; IFERROR(VLOOKUP(MID(G54,H54,I54-H54),[5]skilldef!$A:$B,2,FALSE),"-")</f>
        <v>- / -</v>
      </c>
      <c r="M54" s="111" t="str">
        <f t="shared" si="133"/>
        <v>[effect:attack_break, target:unit_all, turn:2, val:0.9, calc:mul, animation:attack_break01],[effect:break_attack_fix, target:unit_all, val:10000, lowest_val:2800, count:-1, block01:crack_bomb]</v>
      </c>
      <c r="N54" s="109" t="str">
        <f>IFERROR(LEFT(M54,FIND("],",M54)+S68),M54)</f>
        <v>[effect:attack_break, target:unit_all, turn:2, val:0.9, calc:mul, animation:attack_break01],[effect:break_attack_fix, target:unit_all, val:10000, lowest_val:2800, count:-1, block01:crack_bomb]</v>
      </c>
      <c r="O54" s="111">
        <f t="shared" si="20"/>
        <v>9</v>
      </c>
      <c r="P54" s="111">
        <f t="shared" si="238"/>
        <v>21</v>
      </c>
      <c r="Q54" s="111">
        <f t="shared" si="239"/>
        <v>30</v>
      </c>
      <c r="R54" s="111">
        <f t="shared" si="240"/>
        <v>38</v>
      </c>
      <c r="S54" s="111" t="str">
        <f>IFERROR(VLOOKUP(MID(N54,Q54,R54-Q54),[5]skilldef!$C:$D,2,FALSE),"-") &amp; " / " &amp; IFERROR(VLOOKUP(MID(N54,O54,P54-O54),[5]skilldef!$A:$B,2,FALSE),"-")</f>
        <v>味方全体に / -</v>
      </c>
      <c r="T54" s="109" t="str">
        <f t="shared" si="241"/>
        <v>[effect:break_attack_fix, target:unit_all, val:10000, lowest_val:2800, count:-1, block01:crack_bomb]</v>
      </c>
      <c r="U54" s="111">
        <f t="shared" si="25"/>
        <v>9</v>
      </c>
      <c r="V54" s="111">
        <f t="shared" si="242"/>
        <v>25</v>
      </c>
      <c r="W54" s="111">
        <f t="shared" si="243"/>
        <v>34</v>
      </c>
      <c r="X54" s="111">
        <f t="shared" si="244"/>
        <v>42</v>
      </c>
      <c r="Y54" s="111" t="str">
        <f>IFERROR(VLOOKUP(MID(T54,W54,X54-W54),[5]skilldef!$C:$D,2,FALSE),"-") &amp; " / " &amp; IFERROR(VLOOKUP(MID(T54,U54,V54-U54),[5]skilldef!$A:$B,2,FALSE),"-")</f>
        <v>味方全体に / -</v>
      </c>
      <c r="Z54" s="110"/>
      <c r="AA54" s="112"/>
      <c r="AB54" s="110"/>
    </row>
    <row r="55" spans="1:28" s="113" customFormat="1" ht="23" customHeight="1" x14ac:dyDescent="0.15">
      <c r="A55" s="109">
        <v>59002054</v>
      </c>
      <c r="B55" s="109" t="s">
        <v>539</v>
      </c>
      <c r="C55" s="110">
        <v>3</v>
      </c>
      <c r="D55" s="110" t="s">
        <v>127</v>
      </c>
      <c r="E55" s="111" t="s">
        <v>360</v>
      </c>
      <c r="F55" s="111" t="s">
        <v>433</v>
      </c>
      <c r="G55" s="111" t="str">
        <f t="shared" si="132"/>
        <v>[effect:enemy_message, val1:1.2, val2:2.2]</v>
      </c>
      <c r="H55" s="111">
        <f t="shared" si="15"/>
        <v>9</v>
      </c>
      <c r="I55" s="111">
        <f t="shared" si="235"/>
        <v>22</v>
      </c>
      <c r="J55" s="111" t="e">
        <f t="shared" si="236"/>
        <v>#VALUE!</v>
      </c>
      <c r="K55" s="111">
        <f t="shared" si="237"/>
        <v>32</v>
      </c>
      <c r="L55" s="111" t="str">
        <f>IFERROR(VLOOKUP(MID(G55,J55,K55-J55),[5]skilldef!$C:$D,2,FALSE),"-") &amp; " / " &amp; IFERROR(VLOOKUP(MID(G55,H55,I55-H55),[5]skilldef!$A:$B,2,FALSE),"-")</f>
        <v>- / -</v>
      </c>
      <c r="M55" s="111" t="str">
        <f t="shared" si="133"/>
        <v>[effect:hungup, target:unit_all, turn:2, rate:1, animation:hungup01],[effect:spread, val:0.25]</v>
      </c>
      <c r="N55" s="109" t="str">
        <f>IFERROR(LEFT(M55,FIND("],",M55)+S69),M55)</f>
        <v>[effect:hungup, target:unit_all, turn:2, rate:1, animation:hungup01],[effect:spread, val:0.25]</v>
      </c>
      <c r="O55" s="111">
        <f t="shared" si="20"/>
        <v>9</v>
      </c>
      <c r="P55" s="111">
        <f t="shared" si="238"/>
        <v>15</v>
      </c>
      <c r="Q55" s="111">
        <f t="shared" si="239"/>
        <v>24</v>
      </c>
      <c r="R55" s="111">
        <f t="shared" si="240"/>
        <v>32</v>
      </c>
      <c r="S55" s="111" t="str">
        <f>IFERROR(VLOOKUP(MID(N55,Q55,R55-Q55),[5]skilldef!$C:$D,2,FALSE),"-") &amp; " / " &amp; IFERROR(VLOOKUP(MID(N55,O55,P55-O55),[5]skilldef!$A:$B,2,FALSE),"-")</f>
        <v>味方全体に / ハングアップ</v>
      </c>
      <c r="T55" s="109" t="str">
        <f t="shared" si="241"/>
        <v>[effect:spread, val:0.25]</v>
      </c>
      <c r="U55" s="111">
        <f t="shared" si="25"/>
        <v>9</v>
      </c>
      <c r="V55" s="111">
        <f t="shared" si="242"/>
        <v>15</v>
      </c>
      <c r="W55" s="111" t="e">
        <f t="shared" si="243"/>
        <v>#VALUE!</v>
      </c>
      <c r="X55" s="111" t="e">
        <f t="shared" si="244"/>
        <v>#VALUE!</v>
      </c>
      <c r="Y55" s="111" t="str">
        <f>IFERROR(VLOOKUP(MID(T55,W55,X55-W55),[5]skilldef!$C:$D,2,FALSE),"-") &amp; " / " &amp; IFERROR(VLOOKUP(MID(T55,U55,V55-U55),[5]skilldef!$A:$B,2,FALSE),"-")</f>
        <v>- / 全体攻撃</v>
      </c>
      <c r="Z55" s="110"/>
      <c r="AA55" s="112"/>
      <c r="AB55" s="110"/>
    </row>
    <row r="56" spans="1:28" s="113" customFormat="1" ht="23" customHeight="1" x14ac:dyDescent="0.15">
      <c r="A56" s="109">
        <v>59002055</v>
      </c>
      <c r="B56" s="109" t="s">
        <v>541</v>
      </c>
      <c r="C56" s="110">
        <v>3</v>
      </c>
      <c r="D56" s="110" t="s">
        <v>127</v>
      </c>
      <c r="E56" s="111" t="s">
        <v>361</v>
      </c>
      <c r="F56" s="111" t="s">
        <v>522</v>
      </c>
      <c r="G56" s="111" t="str">
        <f t="shared" si="132"/>
        <v>[effect:enemy_message, val1:1.3, val2:2.3]</v>
      </c>
      <c r="H56" s="111">
        <f t="shared" ref="H56:H59" si="245">FIND("effect:",G56)+7</f>
        <v>9</v>
      </c>
      <c r="I56" s="111">
        <f t="shared" si="235"/>
        <v>22</v>
      </c>
      <c r="J56" s="111" t="e">
        <f t="shared" si="236"/>
        <v>#VALUE!</v>
      </c>
      <c r="K56" s="111">
        <f t="shared" si="237"/>
        <v>32</v>
      </c>
      <c r="L56" s="111" t="str">
        <f>IFERROR(VLOOKUP(MID(G56,J56,K56-J56),[5]skilldef!$C:$D,2,FALSE),"-") &amp; " / " &amp; IFERROR(VLOOKUP(MID(G56,H56,I56-H56),[5]skilldef!$A:$B,2,FALSE),"-")</f>
        <v>- / -</v>
      </c>
      <c r="M56" s="111" t="str">
        <f t="shared" si="133"/>
        <v>[effect:damage_anti_type, target:unit_all, type:balance, val1:1.6, val2:0.27]</v>
      </c>
      <c r="N56" s="109" t="str">
        <f t="shared" ref="N56" si="246">IFERROR(LEFT(M56,FIND("],",M56)+S70),M56)</f>
        <v>[effect:damage_anti_type, target:unit_all, type:balance, val1:1.6, val2:0.27]</v>
      </c>
      <c r="O56" s="111">
        <f t="shared" ref="O56:O59" si="247">FIND("effect:",N56)+7</f>
        <v>9</v>
      </c>
      <c r="P56" s="111">
        <f t="shared" si="238"/>
        <v>25</v>
      </c>
      <c r="Q56" s="111">
        <f t="shared" si="239"/>
        <v>34</v>
      </c>
      <c r="R56" s="111">
        <f t="shared" si="240"/>
        <v>42</v>
      </c>
      <c r="S56" s="111" t="str">
        <f>IFERROR(VLOOKUP(MID(N56,Q56,R56-Q56),[5]skilldef!$C:$D,2,FALSE),"-") &amp; " / " &amp; IFERROR(VLOOKUP(MID(N56,O56,P56-O56),[5]skilldef!$A:$B,2,FALSE),"-")</f>
        <v>味方全体に / タイプキラー</v>
      </c>
      <c r="T56" s="109" t="str">
        <f t="shared" si="241"/>
        <v>none</v>
      </c>
      <c r="U56" s="111" t="e">
        <f t="shared" ref="U56:U59" si="248">FIND("effect:",T56)+7</f>
        <v>#VALUE!</v>
      </c>
      <c r="V56" s="111">
        <f t="shared" si="242"/>
        <v>4</v>
      </c>
      <c r="W56" s="111" t="e">
        <f t="shared" si="243"/>
        <v>#VALUE!</v>
      </c>
      <c r="X56" s="111" t="e">
        <f t="shared" si="244"/>
        <v>#VALUE!</v>
      </c>
      <c r="Y56" s="111" t="str">
        <f>IFERROR(VLOOKUP(MID(T56,W56,X56-W56),[5]skilldef!$C:$D,2,FALSE),"-") &amp; " / " &amp; IFERROR(VLOOKUP(MID(T56,U56,V56-U56),[5]skilldef!$A:$B,2,FALSE),"-")</f>
        <v>- / -</v>
      </c>
      <c r="Z56" s="110"/>
      <c r="AA56" s="112"/>
      <c r="AB56" s="110"/>
    </row>
    <row r="57" spans="1:28" s="113" customFormat="1" ht="23" customHeight="1" x14ac:dyDescent="0.15">
      <c r="A57" s="109">
        <v>59002056</v>
      </c>
      <c r="B57" s="109" t="s">
        <v>442</v>
      </c>
      <c r="C57" s="110">
        <v>3</v>
      </c>
      <c r="D57" s="110" t="s">
        <v>127</v>
      </c>
      <c r="E57" s="111" t="s">
        <v>362</v>
      </c>
      <c r="F57" s="111" t="s">
        <v>432</v>
      </c>
      <c r="G57" s="111" t="str">
        <f t="shared" si="132"/>
        <v>[effect:enemy_message, val1:1.2, val2:1.7]</v>
      </c>
      <c r="H57" s="111">
        <f t="shared" si="245"/>
        <v>9</v>
      </c>
      <c r="I57" s="111">
        <f t="shared" ref="I57:I59" si="249">IFERROR(FIND(",",G57),LEN(G57))</f>
        <v>22</v>
      </c>
      <c r="J57" s="111" t="e">
        <f t="shared" ref="J57:J59" si="250">FIND("target:",G57)+7</f>
        <v>#VALUE!</v>
      </c>
      <c r="K57" s="111">
        <f t="shared" ref="K57:K59" si="251">FIND(",",G57,I57+1)</f>
        <v>32</v>
      </c>
      <c r="L57" s="111" t="str">
        <f>IFERROR(VLOOKUP(MID(G57,J57,K57-J57),[5]skilldef!$C:$D,2,FALSE),"-") &amp; " / " &amp; IFERROR(VLOOKUP(MID(G57,H57,I57-H57),[5]skilldef!$A:$B,2,FALSE),"-")</f>
        <v>- / -</v>
      </c>
      <c r="M57" s="111" t="str">
        <f t="shared" si="133"/>
        <v>[effect:dark, target:unit_all, turn:2, animation:enemy_dark],[effect:spread, val:0.25]</v>
      </c>
      <c r="N57" s="109" t="str">
        <f>IFERROR(LEFT(M57,FIND("],",M57)+S71),M57)</f>
        <v>[effect:dark, target:unit_all, turn:2, animation:enemy_dark],[effect:spread, val:0.25]</v>
      </c>
      <c r="O57" s="111">
        <f t="shared" si="247"/>
        <v>9</v>
      </c>
      <c r="P57" s="111">
        <f t="shared" ref="P57:P59" si="252">IFERROR(FIND(",",N57),LEN(N57))</f>
        <v>13</v>
      </c>
      <c r="Q57" s="111">
        <f t="shared" ref="Q57:Q59" si="253">FIND("target:",N57)+7</f>
        <v>22</v>
      </c>
      <c r="R57" s="111">
        <f t="shared" ref="R57:R59" si="254">FIND(",",N57,P57+1)</f>
        <v>30</v>
      </c>
      <c r="S57" s="111" t="str">
        <f>IFERROR(VLOOKUP(MID(N57,Q57,R57-Q57),[5]skilldef!$C:$D,2,FALSE),"-") &amp; " / " &amp; IFERROR(VLOOKUP(MID(N57,O57,P57-O57),[5]skilldef!$A:$B,2,FALSE),"-")</f>
        <v>味方全体に / 暗黒</v>
      </c>
      <c r="T57" s="109" t="str">
        <f t="shared" ref="T57:T59" si="255">IFERROR(RIGHT(M57,LEN(M57)-FIND("],",M57)-1),"none")</f>
        <v>[effect:spread, val:0.25]</v>
      </c>
      <c r="U57" s="111">
        <f t="shared" si="248"/>
        <v>9</v>
      </c>
      <c r="V57" s="111">
        <f t="shared" ref="V57:V59" si="256">IFERROR(FIND(",",T57),LEN(T57))</f>
        <v>15</v>
      </c>
      <c r="W57" s="111" t="e">
        <f t="shared" ref="W57:W59" si="257">FIND("target:",T57)+7</f>
        <v>#VALUE!</v>
      </c>
      <c r="X57" s="111" t="e">
        <f t="shared" ref="X57:X59" si="258">FIND(",",T57,V57+1)</f>
        <v>#VALUE!</v>
      </c>
      <c r="Y57" s="111" t="str">
        <f>IFERROR(VLOOKUP(MID(T57,W57,X57-W57),[5]skilldef!$C:$D,2,FALSE),"-") &amp; " / " &amp; IFERROR(VLOOKUP(MID(T57,U57,V57-U57),[5]skilldef!$A:$B,2,FALSE),"-")</f>
        <v>- / 全体攻撃</v>
      </c>
      <c r="Z57" s="110"/>
      <c r="AA57" s="112"/>
      <c r="AB57" s="110"/>
    </row>
    <row r="58" spans="1:28" s="113" customFormat="1" ht="23" customHeight="1" x14ac:dyDescent="0.15">
      <c r="A58" s="109">
        <v>59002057</v>
      </c>
      <c r="B58" s="109" t="s">
        <v>538</v>
      </c>
      <c r="C58" s="110">
        <v>3</v>
      </c>
      <c r="D58" s="110" t="s">
        <v>127</v>
      </c>
      <c r="E58" s="111" t="s">
        <v>363</v>
      </c>
      <c r="F58" s="111" t="s">
        <v>524</v>
      </c>
      <c r="G58" s="111" t="str">
        <f t="shared" si="132"/>
        <v>[effect:enemy_message, val1:1.2, val2:3.5]</v>
      </c>
      <c r="H58" s="111">
        <f t="shared" si="245"/>
        <v>9</v>
      </c>
      <c r="I58" s="111">
        <f t="shared" si="249"/>
        <v>22</v>
      </c>
      <c r="J58" s="111" t="e">
        <f t="shared" si="250"/>
        <v>#VALUE!</v>
      </c>
      <c r="K58" s="111">
        <f t="shared" si="251"/>
        <v>32</v>
      </c>
      <c r="L58" s="111" t="str">
        <f>IFERROR(VLOOKUP(MID(G58,J58,K58-J58),[5]skilldef!$C:$D,2,FALSE),"-") &amp; " / " &amp; IFERROR(VLOOKUP(MID(G58,H58,I58-H58),[5]skilldef!$A:$B,2,FALSE),"-")</f>
        <v>- / -</v>
      </c>
      <c r="M58" s="111" t="str">
        <f t="shared" si="133"/>
        <v>[effect:attack_break, target:unit_all, turn:2, val:0.9, calc:mul, animation:attack_break01],[effect:break_attack_fix, target:unit_all, val:10000, lowest_val:2800, count:-1, block01:crack_bomb]</v>
      </c>
      <c r="N58" s="109" t="str">
        <f>IFERROR(LEFT(M58,FIND("],",M58)+S72),M58)</f>
        <v>[effect:attack_break, target:unit_all, turn:2, val:0.9, calc:mul, animation:attack_break01],[effect:break_attack_fix, target:unit_all, val:10000, lowest_val:2800, count:-1, block01:crack_bomb]</v>
      </c>
      <c r="O58" s="111">
        <f t="shared" si="247"/>
        <v>9</v>
      </c>
      <c r="P58" s="111">
        <f t="shared" si="252"/>
        <v>21</v>
      </c>
      <c r="Q58" s="111">
        <f t="shared" si="253"/>
        <v>30</v>
      </c>
      <c r="R58" s="111">
        <f t="shared" si="254"/>
        <v>38</v>
      </c>
      <c r="S58" s="111" t="str">
        <f>IFERROR(VLOOKUP(MID(N58,Q58,R58-Q58),[5]skilldef!$C:$D,2,FALSE),"-") &amp; " / " &amp; IFERROR(VLOOKUP(MID(N58,O58,P58-O58),[5]skilldef!$A:$B,2,FALSE),"-")</f>
        <v>味方全体に / -</v>
      </c>
      <c r="T58" s="109" t="str">
        <f t="shared" si="255"/>
        <v>[effect:break_attack_fix, target:unit_all, val:10000, lowest_val:2800, count:-1, block01:crack_bomb]</v>
      </c>
      <c r="U58" s="111">
        <f t="shared" si="248"/>
        <v>9</v>
      </c>
      <c r="V58" s="111">
        <f t="shared" si="256"/>
        <v>25</v>
      </c>
      <c r="W58" s="111">
        <f t="shared" si="257"/>
        <v>34</v>
      </c>
      <c r="X58" s="111">
        <f t="shared" si="258"/>
        <v>42</v>
      </c>
      <c r="Y58" s="111" t="str">
        <f>IFERROR(VLOOKUP(MID(T58,W58,X58-W58),[5]skilldef!$C:$D,2,FALSE),"-") &amp; " / " &amp; IFERROR(VLOOKUP(MID(T58,U58,V58-U58),[5]skilldef!$A:$B,2,FALSE),"-")</f>
        <v>味方全体に / -</v>
      </c>
      <c r="Z58" s="110"/>
      <c r="AA58" s="112"/>
      <c r="AB58" s="110"/>
    </row>
    <row r="59" spans="1:28" s="113" customFormat="1" ht="23" customHeight="1" x14ac:dyDescent="0.15">
      <c r="A59" s="109">
        <v>59002058</v>
      </c>
      <c r="B59" s="109" t="s">
        <v>539</v>
      </c>
      <c r="C59" s="110">
        <v>3</v>
      </c>
      <c r="D59" s="110" t="s">
        <v>535</v>
      </c>
      <c r="E59" s="111" t="s">
        <v>303</v>
      </c>
      <c r="F59" s="111" t="s">
        <v>433</v>
      </c>
      <c r="G59" s="111" t="str">
        <f t="shared" si="132"/>
        <v>[effect:enemy_message, val1:1.2, val2:2.2]</v>
      </c>
      <c r="H59" s="111">
        <f t="shared" si="245"/>
        <v>9</v>
      </c>
      <c r="I59" s="111">
        <f t="shared" si="249"/>
        <v>22</v>
      </c>
      <c r="J59" s="111" t="e">
        <f t="shared" si="250"/>
        <v>#VALUE!</v>
      </c>
      <c r="K59" s="111">
        <f t="shared" si="251"/>
        <v>32</v>
      </c>
      <c r="L59" s="111" t="str">
        <f>IFERROR(VLOOKUP(MID(G59,J59,K59-J59),[5]skilldef!$C:$D,2,FALSE),"-") &amp; " / " &amp; IFERROR(VLOOKUP(MID(G59,H59,I59-H59),[5]skilldef!$A:$B,2,FALSE),"-")</f>
        <v>- / -</v>
      </c>
      <c r="M59" s="111" t="str">
        <f t="shared" si="133"/>
        <v>[effect:hungup, target:unit_all, turn:2, rate:1, animation:hungup01],[effect:spread, val:0.25]</v>
      </c>
      <c r="N59" s="109" t="str">
        <f>IFERROR(LEFT(M59,FIND("],",M59)+S73),M59)</f>
        <v>[effect:hungup, target:unit_all, turn:2, rate:1, animation:hungup01],[effect:spread, val:0.25]</v>
      </c>
      <c r="O59" s="111">
        <f t="shared" si="247"/>
        <v>9</v>
      </c>
      <c r="P59" s="111">
        <f t="shared" si="252"/>
        <v>15</v>
      </c>
      <c r="Q59" s="111">
        <f t="shared" si="253"/>
        <v>24</v>
      </c>
      <c r="R59" s="111">
        <f t="shared" si="254"/>
        <v>32</v>
      </c>
      <c r="S59" s="111" t="str">
        <f>IFERROR(VLOOKUP(MID(N59,Q59,R59-Q59),[5]skilldef!$C:$D,2,FALSE),"-") &amp; " / " &amp; IFERROR(VLOOKUP(MID(N59,O59,P59-O59),[5]skilldef!$A:$B,2,FALSE),"-")</f>
        <v>味方全体に / ハングアップ</v>
      </c>
      <c r="T59" s="109" t="str">
        <f t="shared" si="255"/>
        <v>[effect:spread, val:0.25]</v>
      </c>
      <c r="U59" s="111">
        <f t="shared" si="248"/>
        <v>9</v>
      </c>
      <c r="V59" s="111">
        <f t="shared" si="256"/>
        <v>15</v>
      </c>
      <c r="W59" s="111" t="e">
        <f t="shared" si="257"/>
        <v>#VALUE!</v>
      </c>
      <c r="X59" s="111" t="e">
        <f t="shared" si="258"/>
        <v>#VALUE!</v>
      </c>
      <c r="Y59" s="111" t="str">
        <f>IFERROR(VLOOKUP(MID(T59,W59,X59-W59),[5]skilldef!$C:$D,2,FALSE),"-") &amp; " / " &amp; IFERROR(VLOOKUP(MID(T59,U59,V59-U59),[5]skilldef!$A:$B,2,FALSE),"-")</f>
        <v>- / 全体攻撃</v>
      </c>
      <c r="Z59" s="110"/>
      <c r="AA59" s="112"/>
      <c r="AB59" s="110"/>
    </row>
    <row r="60" spans="1:28" s="113" customFormat="1" ht="31" customHeight="1" x14ac:dyDescent="0.15">
      <c r="A60" s="109">
        <v>59002059</v>
      </c>
      <c r="B60" s="109" t="s">
        <v>376</v>
      </c>
      <c r="C60" s="110">
        <v>3</v>
      </c>
      <c r="D60" s="110" t="s">
        <v>127</v>
      </c>
      <c r="E60" s="111" t="s">
        <v>364</v>
      </c>
      <c r="F60" s="111" t="s">
        <v>327</v>
      </c>
      <c r="G60" s="111" t="str">
        <f t="shared" si="132"/>
        <v>[effect:enemy_message, val1:1.8, val2:1.9]</v>
      </c>
      <c r="H60" s="111">
        <f t="shared" si="15"/>
        <v>9</v>
      </c>
      <c r="I60" s="111">
        <f t="shared" ref="I60:I61" si="259">IFERROR(FIND(",",G60),LEN(G60))</f>
        <v>22</v>
      </c>
      <c r="J60" s="111" t="e">
        <f t="shared" ref="J60:J61" si="260">FIND("target:",G60)+7</f>
        <v>#VALUE!</v>
      </c>
      <c r="K60" s="111">
        <f t="shared" ref="K60:K61" si="261">FIND(",",G60,I60+1)</f>
        <v>32</v>
      </c>
      <c r="L60" s="111" t="str">
        <f>IFERROR(VLOOKUP(MID(G60,J60,K60-J60),[5]skilldef!$C:$D,2,FALSE),"-") &amp; " / " &amp; IFERROR(VLOOKUP(MID(G60,H60,I60-H60),[5]skilldef!$A:$B,2,FALSE),"-")</f>
        <v>- / -</v>
      </c>
      <c r="M60" s="111" t="str">
        <f t="shared" si="133"/>
        <v>none</v>
      </c>
      <c r="N60" s="109" t="str">
        <f t="shared" ref="N60:N61" si="262">IFERROR(LEFT(M60,FIND("],",M60)+S70),M60)</f>
        <v>none</v>
      </c>
      <c r="O60" s="111" t="e">
        <f t="shared" si="20"/>
        <v>#VALUE!</v>
      </c>
      <c r="P60" s="111">
        <f t="shared" ref="P60:P61" si="263">IFERROR(FIND(",",N60),LEN(N60))</f>
        <v>4</v>
      </c>
      <c r="Q60" s="111" t="e">
        <f t="shared" ref="Q60:Q61" si="264">FIND("target:",N60)+7</f>
        <v>#VALUE!</v>
      </c>
      <c r="R60" s="111" t="e">
        <f t="shared" ref="R60:R61" si="265">FIND(",",N60,P60+1)</f>
        <v>#VALUE!</v>
      </c>
      <c r="S60" s="111" t="str">
        <f>IFERROR(VLOOKUP(MID(N60,Q60,R60-Q60),[5]skilldef!$C:$D,2,FALSE),"-") &amp; " / " &amp; IFERROR(VLOOKUP(MID(N60,O60,P60-O60),[5]skilldef!$A:$B,2,FALSE),"-")</f>
        <v>- / -</v>
      </c>
      <c r="T60" s="109" t="str">
        <f t="shared" ref="T60:T61" si="266">IFERROR(RIGHT(M60,LEN(M60)-FIND("],",M60)-1),"none")</f>
        <v>none</v>
      </c>
      <c r="U60" s="111" t="e">
        <f t="shared" si="25"/>
        <v>#VALUE!</v>
      </c>
      <c r="V60" s="111">
        <f t="shared" ref="V60:V61" si="267">IFERROR(FIND(",",T60),LEN(T60))</f>
        <v>4</v>
      </c>
      <c r="W60" s="111" t="e">
        <f t="shared" ref="W60:W61" si="268">FIND("target:",T60)+7</f>
        <v>#VALUE!</v>
      </c>
      <c r="X60" s="111" t="e">
        <f t="shared" ref="X60:X61" si="269">FIND(",",T60,V60+1)</f>
        <v>#VALUE!</v>
      </c>
      <c r="Y60" s="111" t="str">
        <f>IFERROR(VLOOKUP(MID(T60,W60,X60-W60),[5]skilldef!$C:$D,2,FALSE),"-") &amp; " / " &amp; IFERROR(VLOOKUP(MID(T60,U60,V60-U60),[5]skilldef!$A:$B,2,FALSE),"-")</f>
        <v>- / -</v>
      </c>
      <c r="Z60" s="110"/>
      <c r="AA60" s="112"/>
      <c r="AB60" s="110"/>
    </row>
    <row r="61" spans="1:28" s="113" customFormat="1" ht="23" customHeight="1" x14ac:dyDescent="0.15">
      <c r="A61" s="109">
        <v>59002060</v>
      </c>
      <c r="B61" s="109" t="s">
        <v>377</v>
      </c>
      <c r="C61" s="110">
        <v>3</v>
      </c>
      <c r="D61" s="110" t="s">
        <v>127</v>
      </c>
      <c r="E61" s="111" t="s">
        <v>365</v>
      </c>
      <c r="F61" s="111" t="s">
        <v>272</v>
      </c>
      <c r="G61" s="111" t="str">
        <f t="shared" si="132"/>
        <v>[effect:enemy_message, val1:1.2, val2:1.2]</v>
      </c>
      <c r="H61" s="111">
        <f t="shared" si="15"/>
        <v>9</v>
      </c>
      <c r="I61" s="111">
        <f t="shared" si="259"/>
        <v>22</v>
      </c>
      <c r="J61" s="111" t="e">
        <f t="shared" si="260"/>
        <v>#VALUE!</v>
      </c>
      <c r="K61" s="111">
        <f t="shared" si="261"/>
        <v>32</v>
      </c>
      <c r="L61" s="111" t="str">
        <f>IFERROR(VLOOKUP(MID(G61,J61,K61-J61),[5]skilldef!$C:$D,2,FALSE),"-") &amp; " / " &amp; IFERROR(VLOOKUP(MID(G61,H61,I61-H61),[5]skilldef!$A:$B,2,FALSE),"-")</f>
        <v>- / -</v>
      </c>
      <c r="M61" s="111" t="str">
        <f t="shared" si="133"/>
        <v>[effect:rush, count:8, val:3]</v>
      </c>
      <c r="N61" s="109" t="str">
        <f t="shared" si="262"/>
        <v>[effect:rush, count:8, val:3]</v>
      </c>
      <c r="O61" s="111">
        <f t="shared" si="20"/>
        <v>9</v>
      </c>
      <c r="P61" s="111">
        <f t="shared" si="263"/>
        <v>13</v>
      </c>
      <c r="Q61" s="111" t="e">
        <f t="shared" si="264"/>
        <v>#VALUE!</v>
      </c>
      <c r="R61" s="111">
        <f t="shared" si="265"/>
        <v>22</v>
      </c>
      <c r="S61" s="111" t="str">
        <f>IFERROR(VLOOKUP(MID(N61,Q61,R61-Q61),[5]skilldef!$C:$D,2,FALSE),"-") &amp; " / " &amp; IFERROR(VLOOKUP(MID(N61,O61,P61-O61),[5]skilldef!$A:$B,2,FALSE),"-")</f>
        <v>- / 連続攻撃</v>
      </c>
      <c r="T61" s="109" t="str">
        <f t="shared" si="266"/>
        <v>none</v>
      </c>
      <c r="U61" s="111" t="e">
        <f t="shared" si="25"/>
        <v>#VALUE!</v>
      </c>
      <c r="V61" s="111">
        <f t="shared" si="267"/>
        <v>4</v>
      </c>
      <c r="W61" s="111" t="e">
        <f t="shared" si="268"/>
        <v>#VALUE!</v>
      </c>
      <c r="X61" s="111" t="e">
        <f t="shared" si="269"/>
        <v>#VALUE!</v>
      </c>
      <c r="Y61" s="111" t="str">
        <f>IFERROR(VLOOKUP(MID(T61,W61,X61-W61),[5]skilldef!$C:$D,2,FALSE),"-") &amp; " / " &amp; IFERROR(VLOOKUP(MID(T61,U61,V61-U61),[5]skilldef!$A:$B,2,FALSE),"-")</f>
        <v>- / -</v>
      </c>
      <c r="Z61" s="110"/>
      <c r="AA61" s="112"/>
      <c r="AB61" s="110"/>
    </row>
    <row r="62" spans="1:28" s="161" customFormat="1" ht="23" customHeight="1" x14ac:dyDescent="0.15">
      <c r="A62" s="134">
        <v>59002061</v>
      </c>
      <c r="B62" s="134" t="s">
        <v>604</v>
      </c>
      <c r="C62" s="159">
        <v>3</v>
      </c>
      <c r="D62" s="159" t="s">
        <v>127</v>
      </c>
      <c r="E62" s="135" t="s">
        <v>366</v>
      </c>
      <c r="F62" s="135" t="s">
        <v>280</v>
      </c>
      <c r="G62" s="135" t="str">
        <f t="shared" si="132"/>
        <v>[effect:enemy_message, val1:1.2, val2:2.0]</v>
      </c>
      <c r="H62" s="135">
        <f t="shared" si="15"/>
        <v>9</v>
      </c>
      <c r="I62" s="135">
        <f t="shared" ref="I62" si="270">IFERROR(FIND(",",G62),LEN(G62))</f>
        <v>22</v>
      </c>
      <c r="J62" s="135" t="e">
        <f t="shared" ref="J62" si="271">FIND("target:",G62)+7</f>
        <v>#VALUE!</v>
      </c>
      <c r="K62" s="135">
        <f t="shared" ref="K62" si="272">FIND(",",G62,I62+1)</f>
        <v>32</v>
      </c>
      <c r="L62" s="135" t="str">
        <f>IFERROR(VLOOKUP(MID(G62,J62,K62-J62),[5]skilldef!$C:$D,2,FALSE),"-") &amp; " / " &amp; IFERROR(VLOOKUP(MID(G62,H62,I62-H62),[5]skilldef!$A:$B,2,FALSE),"-")</f>
        <v>- / -</v>
      </c>
      <c r="M62" s="135" t="str">
        <f t="shared" si="133"/>
        <v>[effect:fix_speed, target:myself, turn:1],[effect:tolerance, target:myself, turn:-1, count:-1, tolerance_effect:all, animation:enemy_tolerance],[effect:change_attribute, target:myself, turn:-1, color:green],[effect:dis_panel, target:block_yellow, turn:-1, animation:enemy_dis_yellow]</v>
      </c>
      <c r="N62" s="134" t="str">
        <f t="shared" ref="N62" si="273">IFERROR(LEFT(M62,FIND("],",M62)+S72),M62)</f>
        <v>[effect:fix_speed, target:myself, turn:1],[effect:tolerance, target:myself, turn:-1, count:-1, tolerance_effect:all, animation:enemy_tolerance],[effect:change_attribute, target:myself, turn:-1, color:green],[effect:dis_panel, target:block_yellow, turn:-1, animation:enemy_dis_yellow]</v>
      </c>
      <c r="O62" s="135">
        <f t="shared" si="20"/>
        <v>9</v>
      </c>
      <c r="P62" s="135">
        <f t="shared" ref="P62" si="274">IFERROR(FIND(",",N62),LEN(N62))</f>
        <v>18</v>
      </c>
      <c r="Q62" s="135">
        <f t="shared" ref="Q62" si="275">FIND("target:",N62)+7</f>
        <v>27</v>
      </c>
      <c r="R62" s="135">
        <f t="shared" ref="R62" si="276">FIND(",",N62,P62+1)</f>
        <v>33</v>
      </c>
      <c r="S62" s="135" t="str">
        <f>IFERROR(VLOOKUP(MID(N62,Q62,R62-Q62),[5]skilldef!$C:$D,2,FALSE),"-") &amp; " / " &amp; IFERROR(VLOOKUP(MID(N62,O62,P62-O62),[5]skilldef!$A:$B,2,FALSE),"-")</f>
        <v>自分自身に / 行動値設定</v>
      </c>
      <c r="T62" s="134" t="str">
        <f t="shared" ref="T62" si="277">IFERROR(RIGHT(M62,LEN(M62)-FIND("],",M62)-1),"none")</f>
        <v>[effect:tolerance, target:myself, turn:-1, count:-1, tolerance_effect:all, animation:enemy_tolerance],[effect:change_attribute, target:myself, turn:-1, color:green],[effect:dis_panel, target:block_yellow, turn:-1, animation:enemy_dis_yellow]</v>
      </c>
      <c r="U62" s="135">
        <f t="shared" si="25"/>
        <v>9</v>
      </c>
      <c r="V62" s="135">
        <f t="shared" ref="V62" si="278">IFERROR(FIND(",",T62),LEN(T62))</f>
        <v>18</v>
      </c>
      <c r="W62" s="135">
        <f t="shared" ref="W62" si="279">FIND("target:",T62)+7</f>
        <v>27</v>
      </c>
      <c r="X62" s="135">
        <f t="shared" ref="X62" si="280">FIND(",",T62,V62+1)</f>
        <v>33</v>
      </c>
      <c r="Y62" s="135" t="str">
        <f>IFERROR(VLOOKUP(MID(T62,W62,X62-W62),[5]skilldef!$C:$D,2,FALSE),"-") &amp; " / " &amp; IFERROR(VLOOKUP(MID(T62,U62,V62-U62),[5]skilldef!$A:$B,2,FALSE),"-")</f>
        <v>自分自身に / 状態異常耐性</v>
      </c>
      <c r="Z62" s="159"/>
      <c r="AA62" s="160"/>
      <c r="AB62" s="159"/>
    </row>
    <row r="63" spans="1:28" s="161" customFormat="1" ht="23" customHeight="1" x14ac:dyDescent="0.15">
      <c r="A63" s="134">
        <v>59002062</v>
      </c>
      <c r="B63" s="134" t="s">
        <v>378</v>
      </c>
      <c r="C63" s="159">
        <v>3</v>
      </c>
      <c r="D63" s="159" t="s">
        <v>127</v>
      </c>
      <c r="E63" s="135" t="s">
        <v>367</v>
      </c>
      <c r="F63" s="135" t="s">
        <v>267</v>
      </c>
      <c r="G63" s="135" t="str">
        <f t="shared" si="132"/>
        <v>[effect:enemy_message, val1:1.2, val2:1.3]</v>
      </c>
      <c r="H63" s="135">
        <f t="shared" si="15"/>
        <v>9</v>
      </c>
      <c r="I63" s="135">
        <f t="shared" ref="I63" si="281">IFERROR(FIND(",",G63),LEN(G63))</f>
        <v>22</v>
      </c>
      <c r="J63" s="135" t="e">
        <f t="shared" ref="J63" si="282">FIND("target:",G63)+7</f>
        <v>#VALUE!</v>
      </c>
      <c r="K63" s="135">
        <f t="shared" ref="K63" si="283">FIND(",",G63,I63+1)</f>
        <v>32</v>
      </c>
      <c r="L63" s="135" t="str">
        <f>IFERROR(VLOOKUP(MID(G63,J63,K63-J63),[5]skilldef!$C:$D,2,FALSE),"-") &amp; " / " &amp; IFERROR(VLOOKUP(MID(G63,H63,I63-H63),[5]skilldef!$A:$B,2,FALSE),"-")</f>
        <v>- / -</v>
      </c>
      <c r="M63" s="135" t="str">
        <f t="shared" si="133"/>
        <v>[effect:break_attack_fix, target:unit_all, val:100, lowest_val:2500, count:-1, color:green, block01:block_yellow]</v>
      </c>
      <c r="N63" s="134" t="str">
        <f t="shared" ref="N63" si="284">IFERROR(LEFT(M63,FIND("],",M63)+S73),M63)</f>
        <v>[effect:break_attack_fix, target:unit_all, val:100, lowest_val:2500, count:-1, color:green, block01:block_yellow]</v>
      </c>
      <c r="O63" s="135">
        <f t="shared" si="20"/>
        <v>9</v>
      </c>
      <c r="P63" s="135">
        <f t="shared" ref="P63" si="285">IFERROR(FIND(",",N63),LEN(N63))</f>
        <v>25</v>
      </c>
      <c r="Q63" s="135">
        <f t="shared" ref="Q63" si="286">FIND("target:",N63)+7</f>
        <v>34</v>
      </c>
      <c r="R63" s="135">
        <f t="shared" ref="R63" si="287">FIND(",",N63,P63+1)</f>
        <v>42</v>
      </c>
      <c r="S63" s="135" t="str">
        <f>IFERROR(VLOOKUP(MID(N63,Q63,R63-Q63),[5]skilldef!$C:$D,2,FALSE),"-") &amp; " / " &amp; IFERROR(VLOOKUP(MID(N63,O63,P63-O63),[5]skilldef!$A:$B,2,FALSE),"-")</f>
        <v>味方全体に / -</v>
      </c>
      <c r="T63" s="134" t="str">
        <f t="shared" ref="T63" si="288">IFERROR(RIGHT(M63,LEN(M63)-FIND("],",M63)-1),"none")</f>
        <v>none</v>
      </c>
      <c r="U63" s="135" t="e">
        <f t="shared" si="25"/>
        <v>#VALUE!</v>
      </c>
      <c r="V63" s="135">
        <f t="shared" ref="V63" si="289">IFERROR(FIND(",",T63),LEN(T63))</f>
        <v>4</v>
      </c>
      <c r="W63" s="135" t="e">
        <f t="shared" ref="W63" si="290">FIND("target:",T63)+7</f>
        <v>#VALUE!</v>
      </c>
      <c r="X63" s="135" t="e">
        <f t="shared" ref="X63" si="291">FIND(",",T63,V63+1)</f>
        <v>#VALUE!</v>
      </c>
      <c r="Y63" s="135" t="str">
        <f>IFERROR(VLOOKUP(MID(T63,W63,X63-W63),[5]skilldef!$C:$D,2,FALSE),"-") &amp; " / " &amp; IFERROR(VLOOKUP(MID(T63,U63,V63-U63),[5]skilldef!$A:$B,2,FALSE),"-")</f>
        <v>- / -</v>
      </c>
      <c r="Z63" s="159"/>
      <c r="AA63" s="160"/>
      <c r="AB63" s="159"/>
    </row>
    <row r="64" spans="1:28" s="161" customFormat="1" ht="23" customHeight="1" x14ac:dyDescent="0.15">
      <c r="A64" s="134">
        <v>59002063</v>
      </c>
      <c r="B64" s="134" t="s">
        <v>542</v>
      </c>
      <c r="C64" s="159">
        <v>3</v>
      </c>
      <c r="D64" s="159" t="s">
        <v>127</v>
      </c>
      <c r="E64" s="135" t="s">
        <v>410</v>
      </c>
      <c r="F64" s="135" t="s">
        <v>523</v>
      </c>
      <c r="G64" s="135" t="str">
        <f t="shared" si="132"/>
        <v>[effect:enemy_message, val1:1.3, val2:4.4]</v>
      </c>
      <c r="H64" s="135">
        <f t="shared" si="15"/>
        <v>9</v>
      </c>
      <c r="I64" s="135">
        <f t="shared" ref="I64:I67" si="292">IFERROR(FIND(",",G64),LEN(G64))</f>
        <v>22</v>
      </c>
      <c r="J64" s="135" t="e">
        <f t="shared" ref="J64:J67" si="293">FIND("target:",G64)+7</f>
        <v>#VALUE!</v>
      </c>
      <c r="K64" s="135">
        <f t="shared" ref="K64:K67" si="294">FIND(",",G64,I64+1)</f>
        <v>32</v>
      </c>
      <c r="L64" s="135" t="str">
        <f>IFERROR(VLOOKUP(MID(G64,J64,K64-J64),[5]skilldef!$C:$D,2,FALSE),"-") &amp; " / " &amp; IFERROR(VLOOKUP(MID(G64,H64,I64-H64),[5]skilldef!$A:$B,2,FALSE),"-")</f>
        <v>- / -</v>
      </c>
      <c r="M64" s="135" t="str">
        <f t="shared" si="133"/>
        <v>[effect:degrade_unit, target:unit_all, turn:2, status:heal, val:0.9, calc:mul, animation:degrade_unit_all_heal],[effect:damage_anti_type, target:unit_all, type:balance, val1:1.33, val2:0.26]</v>
      </c>
      <c r="N64" s="134" t="str">
        <f t="shared" ref="N64:N66" si="295">IFERROR(LEFT(M64,FIND("],",M64)+S74),M64)</f>
        <v>[effect:degrade_unit, target:unit_all, turn:2, status:heal, val:0.9, calc:mul, animation:degrade_unit_all_heal],[effect:damage_anti_type, target:unit_all, type:balance, val1:1.33, val2:0.26]</v>
      </c>
      <c r="O64" s="135">
        <f t="shared" si="20"/>
        <v>9</v>
      </c>
      <c r="P64" s="135">
        <f t="shared" ref="P64:P67" si="296">IFERROR(FIND(",",N64),LEN(N64))</f>
        <v>21</v>
      </c>
      <c r="Q64" s="135">
        <f t="shared" ref="Q64:Q67" si="297">FIND("target:",N64)+7</f>
        <v>30</v>
      </c>
      <c r="R64" s="135">
        <f t="shared" ref="R64:R67" si="298">FIND(",",N64,P64+1)</f>
        <v>38</v>
      </c>
      <c r="S64" s="135" t="str">
        <f>IFERROR(VLOOKUP(MID(N64,Q64,R64-Q64),[5]skilldef!$C:$D,2,FALSE),"-") &amp; " / " &amp; IFERROR(VLOOKUP(MID(N64,O64,P64-O64),[5]skilldef!$A:$B,2,FALSE),"-")</f>
        <v>味方全体に / ステータスDOWN</v>
      </c>
      <c r="T64" s="134" t="str">
        <f t="shared" ref="T64:T67" si="299">IFERROR(RIGHT(M64,LEN(M64)-FIND("],",M64)-1),"none")</f>
        <v>[effect:damage_anti_type, target:unit_all, type:balance, val1:1.33, val2:0.26]</v>
      </c>
      <c r="U64" s="135">
        <f t="shared" si="25"/>
        <v>9</v>
      </c>
      <c r="V64" s="135">
        <f t="shared" ref="V64:V67" si="300">IFERROR(FIND(",",T64),LEN(T64))</f>
        <v>25</v>
      </c>
      <c r="W64" s="135">
        <f t="shared" ref="W64:W67" si="301">FIND("target:",T64)+7</f>
        <v>34</v>
      </c>
      <c r="X64" s="135">
        <f t="shared" ref="X64:X67" si="302">FIND(",",T64,V64+1)</f>
        <v>42</v>
      </c>
      <c r="Y64" s="135" t="str">
        <f>IFERROR(VLOOKUP(MID(T64,W64,X64-W64),[5]skilldef!$C:$D,2,FALSE),"-") &amp; " / " &amp; IFERROR(VLOOKUP(MID(T64,U64,V64-U64),[5]skilldef!$A:$B,2,FALSE),"-")</f>
        <v>味方全体に / タイプキラー</v>
      </c>
      <c r="Z64" s="159"/>
      <c r="AA64" s="160"/>
      <c r="AB64" s="159"/>
    </row>
    <row r="65" spans="1:28" s="161" customFormat="1" ht="23" customHeight="1" x14ac:dyDescent="0.15">
      <c r="A65" s="134">
        <v>59002064</v>
      </c>
      <c r="B65" s="134" t="s">
        <v>379</v>
      </c>
      <c r="C65" s="159">
        <v>3</v>
      </c>
      <c r="D65" s="159" t="s">
        <v>127</v>
      </c>
      <c r="E65" s="135" t="s">
        <v>368</v>
      </c>
      <c r="F65" s="135" t="s">
        <v>269</v>
      </c>
      <c r="G65" s="135" t="str">
        <f t="shared" si="132"/>
        <v>[effect:enemy_message, val1:1.2, val2:1.3]</v>
      </c>
      <c r="H65" s="135">
        <f t="shared" si="15"/>
        <v>9</v>
      </c>
      <c r="I65" s="135">
        <f t="shared" si="292"/>
        <v>22</v>
      </c>
      <c r="J65" s="135" t="e">
        <f t="shared" si="293"/>
        <v>#VALUE!</v>
      </c>
      <c r="K65" s="135">
        <f t="shared" si="294"/>
        <v>32</v>
      </c>
      <c r="L65" s="135" t="str">
        <f>IFERROR(VLOOKUP(MID(G65,J65,K65-J65),[5]skilldef!$C:$D,2,FALSE),"-") &amp; " / " &amp; IFERROR(VLOOKUP(MID(G65,H65,I65-H65),[5]skilldef!$A:$B,2,FALSE),"-")</f>
        <v>- / -</v>
      </c>
      <c r="M65" s="135" t="str">
        <f t="shared" si="133"/>
        <v>[effect:break_attack_fix, target:unit_all, val:100, lowest_val:2500, count:-1, color:green, block01:block_green]</v>
      </c>
      <c r="N65" s="134" t="str">
        <f t="shared" si="295"/>
        <v>[effect:break_attack_fix, target:unit_all, val:100, lowest_val:2500, count:-1, color:green, block01:block_green]</v>
      </c>
      <c r="O65" s="135">
        <f t="shared" si="20"/>
        <v>9</v>
      </c>
      <c r="P65" s="135">
        <f t="shared" si="296"/>
        <v>25</v>
      </c>
      <c r="Q65" s="135">
        <f t="shared" si="297"/>
        <v>34</v>
      </c>
      <c r="R65" s="135">
        <f t="shared" si="298"/>
        <v>42</v>
      </c>
      <c r="S65" s="135" t="str">
        <f>IFERROR(VLOOKUP(MID(N65,Q65,R65-Q65),[5]skilldef!$C:$D,2,FALSE),"-") &amp; " / " &amp; IFERROR(VLOOKUP(MID(N65,O65,P65-O65),[5]skilldef!$A:$B,2,FALSE),"-")</f>
        <v>味方全体に / -</v>
      </c>
      <c r="T65" s="134" t="str">
        <f t="shared" si="299"/>
        <v>none</v>
      </c>
      <c r="U65" s="135" t="e">
        <f t="shared" si="25"/>
        <v>#VALUE!</v>
      </c>
      <c r="V65" s="135">
        <f t="shared" si="300"/>
        <v>4</v>
      </c>
      <c r="W65" s="135" t="e">
        <f t="shared" si="301"/>
        <v>#VALUE!</v>
      </c>
      <c r="X65" s="135" t="e">
        <f t="shared" si="302"/>
        <v>#VALUE!</v>
      </c>
      <c r="Y65" s="135" t="str">
        <f>IFERROR(VLOOKUP(MID(T65,W65,X65-W65),[5]skilldef!$C:$D,2,FALSE),"-") &amp; " / " &amp; IFERROR(VLOOKUP(MID(T65,U65,V65-U65),[5]skilldef!$A:$B,2,FALSE),"-")</f>
        <v>- / -</v>
      </c>
      <c r="Z65" s="159"/>
      <c r="AA65" s="160"/>
      <c r="AB65" s="159"/>
    </row>
    <row r="66" spans="1:28" s="161" customFormat="1" ht="23" customHeight="1" x14ac:dyDescent="0.15">
      <c r="A66" s="134">
        <v>59002065</v>
      </c>
      <c r="B66" s="134" t="s">
        <v>543</v>
      </c>
      <c r="C66" s="159">
        <v>3</v>
      </c>
      <c r="D66" s="159" t="s">
        <v>127</v>
      </c>
      <c r="E66" s="135" t="s">
        <v>369</v>
      </c>
      <c r="F66" s="135" t="s">
        <v>525</v>
      </c>
      <c r="G66" s="135" t="str">
        <f t="shared" ref="G66:G97" si="303">IFERROR(LEFT(B66,FIND("],",B66)),B66)</f>
        <v>[effect:enemy_message, val1:1.2, val2:2.7]</v>
      </c>
      <c r="H66" s="135">
        <f t="shared" si="15"/>
        <v>9</v>
      </c>
      <c r="I66" s="135">
        <f t="shared" si="292"/>
        <v>22</v>
      </c>
      <c r="J66" s="135" t="e">
        <f t="shared" si="293"/>
        <v>#VALUE!</v>
      </c>
      <c r="K66" s="135">
        <f t="shared" si="294"/>
        <v>32</v>
      </c>
      <c r="L66" s="135" t="str">
        <f>IFERROR(VLOOKUP(MID(G66,J66,K66-J66),[5]skilldef!$C:$D,2,FALSE),"-") &amp; " / " &amp; IFERROR(VLOOKUP(MID(G66,H66,I66-H66),[5]skilldef!$A:$B,2,FALSE),"-")</f>
        <v>- / -</v>
      </c>
      <c r="M66" s="135" t="str">
        <f t="shared" ref="M66:M97" si="304">IFERROR(RIGHT(B66,LEN(B66)-FIND("],",B66)-1),"none")</f>
        <v>[effect:dark, target:unit_all, turn:2, animation:enemy_dark],[effect:break_attack_fix, target:unit_all, val:10000, lowest_val:3000, count:-1, block01:crack_bomb]</v>
      </c>
      <c r="N66" s="134" t="str">
        <f t="shared" si="295"/>
        <v>[effect:dark, target:unit_all, turn:2, animation:enemy_dark],[effect:break_attack_fix, target:unit_all, val:10000, lowest_val:3000, count:-1, block01:crack_bomb]</v>
      </c>
      <c r="O66" s="135">
        <f t="shared" si="20"/>
        <v>9</v>
      </c>
      <c r="P66" s="135">
        <f t="shared" si="296"/>
        <v>13</v>
      </c>
      <c r="Q66" s="135">
        <f t="shared" si="297"/>
        <v>22</v>
      </c>
      <c r="R66" s="135">
        <f t="shared" si="298"/>
        <v>30</v>
      </c>
      <c r="S66" s="135" t="str">
        <f>IFERROR(VLOOKUP(MID(N66,Q66,R66-Q66),[5]skilldef!$C:$D,2,FALSE),"-") &amp; " / " &amp; IFERROR(VLOOKUP(MID(N66,O66,P66-O66),[5]skilldef!$A:$B,2,FALSE),"-")</f>
        <v>味方全体に / 暗黒</v>
      </c>
      <c r="T66" s="134" t="str">
        <f t="shared" si="299"/>
        <v>[effect:break_attack_fix, target:unit_all, val:10000, lowest_val:3000, count:-1, block01:crack_bomb]</v>
      </c>
      <c r="U66" s="135">
        <f t="shared" si="25"/>
        <v>9</v>
      </c>
      <c r="V66" s="135">
        <f t="shared" si="300"/>
        <v>25</v>
      </c>
      <c r="W66" s="135">
        <f t="shared" si="301"/>
        <v>34</v>
      </c>
      <c r="X66" s="135">
        <f t="shared" si="302"/>
        <v>42</v>
      </c>
      <c r="Y66" s="135" t="str">
        <f>IFERROR(VLOOKUP(MID(T66,W66,X66-W66),[5]skilldef!$C:$D,2,FALSE),"-") &amp; " / " &amp; IFERROR(VLOOKUP(MID(T66,U66,V66-U66),[5]skilldef!$A:$B,2,FALSE),"-")</f>
        <v>味方全体に / -</v>
      </c>
      <c r="Z66" s="159"/>
      <c r="AA66" s="160"/>
      <c r="AB66" s="159"/>
    </row>
    <row r="67" spans="1:28" s="161" customFormat="1" ht="23" customHeight="1" x14ac:dyDescent="0.15">
      <c r="A67" s="134">
        <v>59002066</v>
      </c>
      <c r="B67" s="134" t="s">
        <v>380</v>
      </c>
      <c r="C67" s="159">
        <v>3</v>
      </c>
      <c r="D67" s="159" t="s">
        <v>127</v>
      </c>
      <c r="E67" s="135" t="s">
        <v>370</v>
      </c>
      <c r="F67" s="135" t="s">
        <v>268</v>
      </c>
      <c r="G67" s="135" t="str">
        <f t="shared" si="303"/>
        <v>[effect:enemy_message, val1:1.2, val2:1.5]</v>
      </c>
      <c r="H67" s="135">
        <f t="shared" si="15"/>
        <v>9</v>
      </c>
      <c r="I67" s="135">
        <f t="shared" si="292"/>
        <v>22</v>
      </c>
      <c r="J67" s="135" t="e">
        <f t="shared" si="293"/>
        <v>#VALUE!</v>
      </c>
      <c r="K67" s="135">
        <f t="shared" si="294"/>
        <v>32</v>
      </c>
      <c r="L67" s="135" t="str">
        <f>IFERROR(VLOOKUP(MID(G67,J67,K67-J67),[5]skilldef!$C:$D,2,FALSE),"-") &amp; " / " &amp; IFERROR(VLOOKUP(MID(G67,H67,I67-H67),[5]skilldef!$A:$B,2,FALSE),"-")</f>
        <v>- / -</v>
      </c>
      <c r="M67" s="135" t="str">
        <f t="shared" si="304"/>
        <v>[effect:break_attack_fix, target:unit_all, val:100, lowest_val:2500, count:-1, color:green, block01:block_yellow, block02:block_green]</v>
      </c>
      <c r="N67" s="134" t="str">
        <f>IFERROR(LEFT(M67,FIND("],",M67)+S84),M67)</f>
        <v>[effect:break_attack_fix, target:unit_all, val:100, lowest_val:2500, count:-1, color:green, block01:block_yellow, block02:block_green]</v>
      </c>
      <c r="O67" s="135">
        <f t="shared" si="20"/>
        <v>9</v>
      </c>
      <c r="P67" s="135">
        <f t="shared" si="296"/>
        <v>25</v>
      </c>
      <c r="Q67" s="135">
        <f t="shared" si="297"/>
        <v>34</v>
      </c>
      <c r="R67" s="135">
        <f t="shared" si="298"/>
        <v>42</v>
      </c>
      <c r="S67" s="135" t="str">
        <f>IFERROR(VLOOKUP(MID(N67,Q67,R67-Q67),[5]skilldef!$C:$D,2,FALSE),"-") &amp; " / " &amp; IFERROR(VLOOKUP(MID(N67,O67,P67-O67),[5]skilldef!$A:$B,2,FALSE),"-")</f>
        <v>味方全体に / -</v>
      </c>
      <c r="T67" s="134" t="str">
        <f t="shared" si="299"/>
        <v>none</v>
      </c>
      <c r="U67" s="135" t="e">
        <f t="shared" si="25"/>
        <v>#VALUE!</v>
      </c>
      <c r="V67" s="135">
        <f t="shared" si="300"/>
        <v>4</v>
      </c>
      <c r="W67" s="135" t="e">
        <f t="shared" si="301"/>
        <v>#VALUE!</v>
      </c>
      <c r="X67" s="135" t="e">
        <f t="shared" si="302"/>
        <v>#VALUE!</v>
      </c>
      <c r="Y67" s="135" t="str">
        <f>IFERROR(VLOOKUP(MID(T67,W67,X67-W67),[5]skilldef!$C:$D,2,FALSE),"-") &amp; " / " &amp; IFERROR(VLOOKUP(MID(T67,U67,V67-U67),[5]skilldef!$A:$B,2,FALSE),"-")</f>
        <v>- / -</v>
      </c>
      <c r="Z67" s="159"/>
      <c r="AA67" s="160"/>
      <c r="AB67" s="159"/>
    </row>
    <row r="68" spans="1:28" s="161" customFormat="1" ht="23" customHeight="1" x14ac:dyDescent="0.15">
      <c r="A68" s="134">
        <v>59002067</v>
      </c>
      <c r="B68" s="134" t="s">
        <v>539</v>
      </c>
      <c r="C68" s="159">
        <v>3</v>
      </c>
      <c r="D68" s="159" t="s">
        <v>127</v>
      </c>
      <c r="E68" s="135" t="s">
        <v>304</v>
      </c>
      <c r="F68" s="135" t="s">
        <v>434</v>
      </c>
      <c r="G68" s="135" t="str">
        <f t="shared" si="303"/>
        <v>[effect:enemy_message, val1:1.2, val2:2.2]</v>
      </c>
      <c r="H68" s="135">
        <f t="shared" si="15"/>
        <v>9</v>
      </c>
      <c r="I68" s="135">
        <f t="shared" ref="I68:I70" si="305">IFERROR(FIND(",",G68),LEN(G68))</f>
        <v>22</v>
      </c>
      <c r="J68" s="135" t="e">
        <f t="shared" ref="J68:J70" si="306">FIND("target:",G68)+7</f>
        <v>#VALUE!</v>
      </c>
      <c r="K68" s="135">
        <f t="shared" ref="K68:K70" si="307">FIND(",",G68,I68+1)</f>
        <v>32</v>
      </c>
      <c r="L68" s="135" t="str">
        <f>IFERROR(VLOOKUP(MID(G68,J68,K68-J68),[5]skilldef!$C:$D,2,FALSE),"-") &amp; " / " &amp; IFERROR(VLOOKUP(MID(G68,H68,I68-H68),[5]skilldef!$A:$B,2,FALSE),"-")</f>
        <v>- / -</v>
      </c>
      <c r="M68" s="135" t="str">
        <f t="shared" si="304"/>
        <v>[effect:hungup, target:unit_all, turn:2, rate:1, animation:hungup01],[effect:spread, val:0.25]</v>
      </c>
      <c r="N68" s="134" t="str">
        <f>IFERROR(LEFT(M68,FIND("],",M68)+S85),M68)</f>
        <v>[effect:hungup, target:unit_all, turn:2, rate:1, animation:hungup01],[effect:spread, val:0.25]</v>
      </c>
      <c r="O68" s="135">
        <f t="shared" si="20"/>
        <v>9</v>
      </c>
      <c r="P68" s="135">
        <f t="shared" ref="P68:P70" si="308">IFERROR(FIND(",",N68),LEN(N68))</f>
        <v>15</v>
      </c>
      <c r="Q68" s="135">
        <f t="shared" ref="Q68:Q70" si="309">FIND("target:",N68)+7</f>
        <v>24</v>
      </c>
      <c r="R68" s="135">
        <f t="shared" ref="R68:R70" si="310">FIND(",",N68,P68+1)</f>
        <v>32</v>
      </c>
      <c r="S68" s="135" t="str">
        <f>IFERROR(VLOOKUP(MID(N68,Q68,R68-Q68),[5]skilldef!$C:$D,2,FALSE),"-") &amp; " / " &amp; IFERROR(VLOOKUP(MID(N68,O68,P68-O68),[5]skilldef!$A:$B,2,FALSE),"-")</f>
        <v>味方全体に / ハングアップ</v>
      </c>
      <c r="T68" s="134" t="str">
        <f t="shared" ref="T68:T70" si="311">IFERROR(RIGHT(M68,LEN(M68)-FIND("],",M68)-1),"none")</f>
        <v>[effect:spread, val:0.25]</v>
      </c>
      <c r="U68" s="135">
        <f t="shared" si="25"/>
        <v>9</v>
      </c>
      <c r="V68" s="135">
        <f t="shared" ref="V68:V70" si="312">IFERROR(FIND(",",T68),LEN(T68))</f>
        <v>15</v>
      </c>
      <c r="W68" s="135" t="e">
        <f t="shared" ref="W68:W70" si="313">FIND("target:",T68)+7</f>
        <v>#VALUE!</v>
      </c>
      <c r="X68" s="135" t="e">
        <f t="shared" ref="X68:X70" si="314">FIND(",",T68,V68+1)</f>
        <v>#VALUE!</v>
      </c>
      <c r="Y68" s="135" t="str">
        <f>IFERROR(VLOOKUP(MID(T68,W68,X68-W68),[5]skilldef!$C:$D,2,FALSE),"-") &amp; " / " &amp; IFERROR(VLOOKUP(MID(T68,U68,V68-U68),[5]skilldef!$A:$B,2,FALSE),"-")</f>
        <v>- / 全体攻撃</v>
      </c>
      <c r="Z68" s="159"/>
      <c r="AA68" s="160"/>
      <c r="AB68" s="159"/>
    </row>
    <row r="69" spans="1:28" s="161" customFormat="1" ht="23" customHeight="1" x14ac:dyDescent="0.15">
      <c r="A69" s="134">
        <v>59002068</v>
      </c>
      <c r="B69" s="134" t="s">
        <v>381</v>
      </c>
      <c r="C69" s="159">
        <v>3</v>
      </c>
      <c r="D69" s="159" t="s">
        <v>127</v>
      </c>
      <c r="E69" s="135" t="s">
        <v>371</v>
      </c>
      <c r="F69" s="135" t="s">
        <v>325</v>
      </c>
      <c r="G69" s="135" t="str">
        <f t="shared" si="303"/>
        <v>[effect:enemy_message, val1:1.3, val2:1.9]</v>
      </c>
      <c r="H69" s="135">
        <f t="shared" si="15"/>
        <v>9</v>
      </c>
      <c r="I69" s="135">
        <f t="shared" si="305"/>
        <v>22</v>
      </c>
      <c r="J69" s="135" t="e">
        <f t="shared" si="306"/>
        <v>#VALUE!</v>
      </c>
      <c r="K69" s="135">
        <f t="shared" si="307"/>
        <v>32</v>
      </c>
      <c r="L69" s="135" t="str">
        <f>IFERROR(VLOOKUP(MID(G69,J69,K69-J69),[5]skilldef!$C:$D,2,FALSE),"-") &amp; " / " &amp; IFERROR(VLOOKUP(MID(G69,H69,I69-H69),[5]skilldef!$A:$B,2,FALSE),"-")</f>
        <v>- / -</v>
      </c>
      <c r="M69" s="135" t="str">
        <f t="shared" si="304"/>
        <v>none</v>
      </c>
      <c r="N69" s="134" t="str">
        <f>IFERROR(LEFT(M69,FIND("],",M69)+S86),M69)</f>
        <v>none</v>
      </c>
      <c r="O69" s="135" t="e">
        <f t="shared" si="20"/>
        <v>#VALUE!</v>
      </c>
      <c r="P69" s="135">
        <f t="shared" si="308"/>
        <v>4</v>
      </c>
      <c r="Q69" s="135" t="e">
        <f t="shared" si="309"/>
        <v>#VALUE!</v>
      </c>
      <c r="R69" s="135" t="e">
        <f t="shared" si="310"/>
        <v>#VALUE!</v>
      </c>
      <c r="S69" s="135" t="str">
        <f>IFERROR(VLOOKUP(MID(N69,Q69,R69-Q69),[5]skilldef!$C:$D,2,FALSE),"-") &amp; " / " &amp; IFERROR(VLOOKUP(MID(N69,O69,P69-O69),[5]skilldef!$A:$B,2,FALSE),"-")</f>
        <v>- / -</v>
      </c>
      <c r="T69" s="134" t="str">
        <f t="shared" si="311"/>
        <v>none</v>
      </c>
      <c r="U69" s="135" t="e">
        <f t="shared" si="25"/>
        <v>#VALUE!</v>
      </c>
      <c r="V69" s="135">
        <f t="shared" si="312"/>
        <v>4</v>
      </c>
      <c r="W69" s="135" t="e">
        <f t="shared" si="313"/>
        <v>#VALUE!</v>
      </c>
      <c r="X69" s="135" t="e">
        <f t="shared" si="314"/>
        <v>#VALUE!</v>
      </c>
      <c r="Y69" s="135" t="str">
        <f>IFERROR(VLOOKUP(MID(T69,W69,X69-W69),[5]skilldef!$C:$D,2,FALSE),"-") &amp; " / " &amp; IFERROR(VLOOKUP(MID(T69,U69,V69-U69),[5]skilldef!$A:$B,2,FALSE),"-")</f>
        <v>- / -</v>
      </c>
      <c r="Z69" s="159"/>
      <c r="AA69" s="160"/>
      <c r="AB69" s="159"/>
    </row>
    <row r="70" spans="1:28" s="161" customFormat="1" ht="23" customHeight="1" x14ac:dyDescent="0.15">
      <c r="A70" s="134">
        <v>59002069</v>
      </c>
      <c r="B70" s="134" t="s">
        <v>377</v>
      </c>
      <c r="C70" s="159">
        <v>3</v>
      </c>
      <c r="D70" s="159" t="s">
        <v>127</v>
      </c>
      <c r="E70" s="135" t="s">
        <v>411</v>
      </c>
      <c r="F70" s="135" t="s">
        <v>271</v>
      </c>
      <c r="G70" s="135" t="str">
        <f t="shared" si="303"/>
        <v>[effect:enemy_message, val1:1.2, val2:1.2]</v>
      </c>
      <c r="H70" s="135">
        <f t="shared" si="15"/>
        <v>9</v>
      </c>
      <c r="I70" s="135">
        <f t="shared" si="305"/>
        <v>22</v>
      </c>
      <c r="J70" s="135" t="e">
        <f t="shared" si="306"/>
        <v>#VALUE!</v>
      </c>
      <c r="K70" s="135">
        <f t="shared" si="307"/>
        <v>32</v>
      </c>
      <c r="L70" s="135" t="str">
        <f>IFERROR(VLOOKUP(MID(G70,J70,K70-J70),[5]skilldef!$C:$D,2,FALSE),"-") &amp; " / " &amp; IFERROR(VLOOKUP(MID(G70,H70,I70-H70),[5]skilldef!$A:$B,2,FALSE),"-")</f>
        <v>- / -</v>
      </c>
      <c r="M70" s="135" t="str">
        <f t="shared" si="304"/>
        <v>[effect:rush, count:8, val:3]</v>
      </c>
      <c r="N70" s="134" t="str">
        <f>IFERROR(LEFT(M70,FIND("],",M70)+S94),M70)</f>
        <v>[effect:rush, count:8, val:3]</v>
      </c>
      <c r="O70" s="135">
        <f t="shared" si="20"/>
        <v>9</v>
      </c>
      <c r="P70" s="135">
        <f t="shared" si="308"/>
        <v>13</v>
      </c>
      <c r="Q70" s="135" t="e">
        <f t="shared" si="309"/>
        <v>#VALUE!</v>
      </c>
      <c r="R70" s="135">
        <f t="shared" si="310"/>
        <v>22</v>
      </c>
      <c r="S70" s="135" t="str">
        <f>IFERROR(VLOOKUP(MID(N70,Q70,R70-Q70),[5]skilldef!$C:$D,2,FALSE),"-") &amp; " / " &amp; IFERROR(VLOOKUP(MID(N70,O70,P70-O70),[5]skilldef!$A:$B,2,FALSE),"-")</f>
        <v>- / 連続攻撃</v>
      </c>
      <c r="T70" s="134" t="str">
        <f t="shared" si="311"/>
        <v>none</v>
      </c>
      <c r="U70" s="135" t="e">
        <f t="shared" si="25"/>
        <v>#VALUE!</v>
      </c>
      <c r="V70" s="135">
        <f t="shared" si="312"/>
        <v>4</v>
      </c>
      <c r="W70" s="135" t="e">
        <f t="shared" si="313"/>
        <v>#VALUE!</v>
      </c>
      <c r="X70" s="135" t="e">
        <f t="shared" si="314"/>
        <v>#VALUE!</v>
      </c>
      <c r="Y70" s="135" t="str">
        <f>IFERROR(VLOOKUP(MID(T70,W70,X70-W70),[5]skilldef!$C:$D,2,FALSE),"-") &amp; " / " &amp; IFERROR(VLOOKUP(MID(T70,U70,V70-U70),[5]skilldef!$A:$B,2,FALSE),"-")</f>
        <v>- / -</v>
      </c>
      <c r="Z70" s="159"/>
      <c r="AA70" s="160"/>
      <c r="AB70" s="159"/>
    </row>
    <row r="71" spans="1:28" s="164" customFormat="1" ht="23" customHeight="1" x14ac:dyDescent="0.15">
      <c r="A71" s="136">
        <v>59002070</v>
      </c>
      <c r="B71" s="136" t="s">
        <v>605</v>
      </c>
      <c r="C71" s="162">
        <v>3</v>
      </c>
      <c r="D71" s="162" t="s">
        <v>127</v>
      </c>
      <c r="E71" s="137" t="s">
        <v>372</v>
      </c>
      <c r="F71" s="137" t="s">
        <v>281</v>
      </c>
      <c r="G71" s="137" t="str">
        <f t="shared" si="303"/>
        <v>[effect:enemy_message, val1:1.2, val2:1.3]</v>
      </c>
      <c r="H71" s="137">
        <f t="shared" si="15"/>
        <v>9</v>
      </c>
      <c r="I71" s="137">
        <f t="shared" ref="I71:I76" si="315">IFERROR(FIND(",",G71),LEN(G71))</f>
        <v>22</v>
      </c>
      <c r="J71" s="137" t="e">
        <f t="shared" ref="J71:J76" si="316">FIND("target:",G71)+7</f>
        <v>#VALUE!</v>
      </c>
      <c r="K71" s="137">
        <f t="shared" ref="K71:K76" si="317">FIND(",",G71,I71+1)</f>
        <v>32</v>
      </c>
      <c r="L71" s="137" t="str">
        <f>IFERROR(VLOOKUP(MID(G71,J71,K71-J71),[5]skilldef!$C:$D,2,FALSE),"-") &amp; " / " &amp; IFERROR(VLOOKUP(MID(G71,H71,I71-H71),[5]skilldef!$A:$B,2,FALSE),"-")</f>
        <v>- / -</v>
      </c>
      <c r="M71" s="137" t="str">
        <f t="shared" si="304"/>
        <v>[effect:fix_speed, target:myself, turn:1],[effect:tolerance, target:myself, turn:-1, count:-1, tolerance_effect:all, animation:enemy_tolerance],[effect:change_attribute, target:myself, turn:-1, color:red]</v>
      </c>
      <c r="N71" s="136" t="str">
        <f t="shared" ref="N71" si="318">IFERROR(LEFT(M71,FIND("],",M71)+S95),M71)</f>
        <v>[effect:fix_speed, target:myself, turn:1],[effect:tolerance, target:myself, turn:-1, count:-1, tolerance_effect:all, animation:enemy_tolerance],[effect:change_attribute, target:myself, turn:-1, color:red]</v>
      </c>
      <c r="O71" s="137">
        <f t="shared" si="20"/>
        <v>9</v>
      </c>
      <c r="P71" s="137">
        <f t="shared" ref="P71:P76" si="319">IFERROR(FIND(",",N71),LEN(N71))</f>
        <v>18</v>
      </c>
      <c r="Q71" s="137">
        <f t="shared" ref="Q71:Q76" si="320">FIND("target:",N71)+7</f>
        <v>27</v>
      </c>
      <c r="R71" s="137">
        <f t="shared" ref="R71:R76" si="321">FIND(",",N71,P71+1)</f>
        <v>33</v>
      </c>
      <c r="S71" s="137" t="str">
        <f>IFERROR(VLOOKUP(MID(N71,Q71,R71-Q71),[5]skilldef!$C:$D,2,FALSE),"-") &amp; " / " &amp; IFERROR(VLOOKUP(MID(N71,O71,P71-O71),[5]skilldef!$A:$B,2,FALSE),"-")</f>
        <v>自分自身に / 行動値設定</v>
      </c>
      <c r="T71" s="136" t="str">
        <f t="shared" ref="T71:T76" si="322">IFERROR(RIGHT(M71,LEN(M71)-FIND("],",M71)-1),"none")</f>
        <v>[effect:tolerance, target:myself, turn:-1, count:-1, tolerance_effect:all, animation:enemy_tolerance],[effect:change_attribute, target:myself, turn:-1, color:red]</v>
      </c>
      <c r="U71" s="137">
        <f t="shared" si="25"/>
        <v>9</v>
      </c>
      <c r="V71" s="137">
        <f t="shared" ref="V71:V76" si="323">IFERROR(FIND(",",T71),LEN(T71))</f>
        <v>18</v>
      </c>
      <c r="W71" s="137">
        <f t="shared" ref="W71:W76" si="324">FIND("target:",T71)+7</f>
        <v>27</v>
      </c>
      <c r="X71" s="137">
        <f t="shared" ref="X71:X76" si="325">FIND(",",T71,V71+1)</f>
        <v>33</v>
      </c>
      <c r="Y71" s="137" t="str">
        <f>IFERROR(VLOOKUP(MID(T71,W71,X71-W71),[5]skilldef!$C:$D,2,FALSE),"-") &amp; " / " &amp; IFERROR(VLOOKUP(MID(T71,U71,V71-U71),[5]skilldef!$A:$B,2,FALSE),"-")</f>
        <v>自分自身に / 状態異常耐性</v>
      </c>
      <c r="Z71" s="162"/>
      <c r="AA71" s="163"/>
      <c r="AB71" s="162"/>
    </row>
    <row r="72" spans="1:28" s="164" customFormat="1" ht="23" customHeight="1" x14ac:dyDescent="0.15">
      <c r="A72" s="136">
        <v>59002071</v>
      </c>
      <c r="B72" s="136" t="s">
        <v>382</v>
      </c>
      <c r="C72" s="162">
        <v>3</v>
      </c>
      <c r="D72" s="162" t="s">
        <v>127</v>
      </c>
      <c r="E72" s="137" t="s">
        <v>374</v>
      </c>
      <c r="F72" s="137" t="s">
        <v>435</v>
      </c>
      <c r="G72" s="137" t="str">
        <f t="shared" si="303"/>
        <v>[effect:enemy_message, val1:1.2, val2:1.2]</v>
      </c>
      <c r="H72" s="137">
        <f t="shared" si="15"/>
        <v>9</v>
      </c>
      <c r="I72" s="137">
        <f t="shared" si="315"/>
        <v>22</v>
      </c>
      <c r="J72" s="137" t="e">
        <f t="shared" si="316"/>
        <v>#VALUE!</v>
      </c>
      <c r="K72" s="137">
        <f t="shared" si="317"/>
        <v>32</v>
      </c>
      <c r="L72" s="137" t="str">
        <f>IFERROR(VLOOKUP(MID(G72,J72,K72-J72),[5]skilldef!$C:$D,2,FALSE),"-") &amp; " / " &amp; IFERROR(VLOOKUP(MID(G72,H72,I72-H72),[5]skilldef!$A:$B,2,FALSE),"-")</f>
        <v>- / -</v>
      </c>
      <c r="M72" s="137" t="str">
        <f t="shared" si="304"/>
        <v>[effect:dark, target:unit_all, turn:2, animation:enemy_dark]</v>
      </c>
      <c r="N72" s="136" t="str">
        <f>IFERROR(LEFT(M72,FIND("],",M72)+S98),M72)</f>
        <v>[effect:dark, target:unit_all, turn:2, animation:enemy_dark]</v>
      </c>
      <c r="O72" s="137">
        <f t="shared" si="20"/>
        <v>9</v>
      </c>
      <c r="P72" s="137">
        <f t="shared" si="319"/>
        <v>13</v>
      </c>
      <c r="Q72" s="137">
        <f t="shared" si="320"/>
        <v>22</v>
      </c>
      <c r="R72" s="137">
        <f t="shared" si="321"/>
        <v>30</v>
      </c>
      <c r="S72" s="137" t="str">
        <f>IFERROR(VLOOKUP(MID(N72,Q72,R72-Q72),[5]skilldef!$C:$D,2,FALSE),"-") &amp; " / " &amp; IFERROR(VLOOKUP(MID(N72,O72,P72-O72),[5]skilldef!$A:$B,2,FALSE),"-")</f>
        <v>味方全体に / 暗黒</v>
      </c>
      <c r="T72" s="136" t="str">
        <f t="shared" si="322"/>
        <v>none</v>
      </c>
      <c r="U72" s="137" t="e">
        <f t="shared" si="25"/>
        <v>#VALUE!</v>
      </c>
      <c r="V72" s="137">
        <f t="shared" si="323"/>
        <v>4</v>
      </c>
      <c r="W72" s="137" t="e">
        <f t="shared" si="324"/>
        <v>#VALUE!</v>
      </c>
      <c r="X72" s="137" t="e">
        <f t="shared" si="325"/>
        <v>#VALUE!</v>
      </c>
      <c r="Y72" s="137" t="str">
        <f>IFERROR(VLOOKUP(MID(T72,W72,X72-W72),[5]skilldef!$C:$D,2,FALSE),"-") &amp; " / " &amp; IFERROR(VLOOKUP(MID(T72,U72,V72-U72),[5]skilldef!$A:$B,2,FALSE),"-")</f>
        <v>- / -</v>
      </c>
      <c r="Z72" s="162"/>
      <c r="AA72" s="163"/>
      <c r="AB72" s="162"/>
    </row>
    <row r="73" spans="1:28" s="164" customFormat="1" ht="23" customHeight="1" x14ac:dyDescent="0.15">
      <c r="A73" s="136">
        <v>59002072</v>
      </c>
      <c r="B73" s="136" t="s">
        <v>383</v>
      </c>
      <c r="C73" s="162">
        <v>3</v>
      </c>
      <c r="D73" s="162" t="s">
        <v>127</v>
      </c>
      <c r="E73" s="137" t="s">
        <v>375</v>
      </c>
      <c r="F73" s="137" t="s">
        <v>267</v>
      </c>
      <c r="G73" s="137" t="str">
        <f t="shared" si="303"/>
        <v>[effect:enemy_message, val1:1.2, val2:1.3]</v>
      </c>
      <c r="H73" s="137">
        <f t="shared" si="15"/>
        <v>9</v>
      </c>
      <c r="I73" s="137">
        <f t="shared" si="315"/>
        <v>22</v>
      </c>
      <c r="J73" s="137" t="e">
        <f t="shared" si="316"/>
        <v>#VALUE!</v>
      </c>
      <c r="K73" s="137">
        <f t="shared" si="317"/>
        <v>32</v>
      </c>
      <c r="L73" s="137" t="str">
        <f>IFERROR(VLOOKUP(MID(G73,J73,K73-J73),[5]skilldef!$C:$D,2,FALSE),"-") &amp; " / " &amp; IFERROR(VLOOKUP(MID(G73,H73,I73-H73),[5]skilldef!$A:$B,2,FALSE),"-")</f>
        <v>- / -</v>
      </c>
      <c r="M73" s="137" t="str">
        <f t="shared" si="304"/>
        <v>[effect:break_attack_fix, target:unit_all, val:60, lowest_val:4000, count:-1, color:red, block01:block_yellow]</v>
      </c>
      <c r="N73" s="136" t="str">
        <f>IFERROR(LEFT(M73,FIND("],",M73)+S99),M73)</f>
        <v>[effect:break_attack_fix, target:unit_all, val:60, lowest_val:4000, count:-1, color:red, block01:block_yellow]</v>
      </c>
      <c r="O73" s="137">
        <f t="shared" si="20"/>
        <v>9</v>
      </c>
      <c r="P73" s="137">
        <f t="shared" si="319"/>
        <v>25</v>
      </c>
      <c r="Q73" s="137">
        <f t="shared" si="320"/>
        <v>34</v>
      </c>
      <c r="R73" s="137">
        <f t="shared" si="321"/>
        <v>42</v>
      </c>
      <c r="S73" s="137" t="str">
        <f>IFERROR(VLOOKUP(MID(N73,Q73,R73-Q73),[5]skilldef!$C:$D,2,FALSE),"-") &amp; " / " &amp; IFERROR(VLOOKUP(MID(N73,O73,P73-O73),[5]skilldef!$A:$B,2,FALSE),"-")</f>
        <v>味方全体に / -</v>
      </c>
      <c r="T73" s="136" t="str">
        <f t="shared" si="322"/>
        <v>none</v>
      </c>
      <c r="U73" s="137" t="e">
        <f t="shared" si="25"/>
        <v>#VALUE!</v>
      </c>
      <c r="V73" s="137">
        <f t="shared" si="323"/>
        <v>4</v>
      </c>
      <c r="W73" s="137" t="e">
        <f t="shared" si="324"/>
        <v>#VALUE!</v>
      </c>
      <c r="X73" s="137" t="e">
        <f t="shared" si="325"/>
        <v>#VALUE!</v>
      </c>
      <c r="Y73" s="137" t="str">
        <f>IFERROR(VLOOKUP(MID(T73,W73,X73-W73),[5]skilldef!$C:$D,2,FALSE),"-") &amp; " / " &amp; IFERROR(VLOOKUP(MID(T73,U73,V73-U73),[5]skilldef!$A:$B,2,FALSE),"-")</f>
        <v>- / -</v>
      </c>
      <c r="Z73" s="162"/>
      <c r="AA73" s="163"/>
      <c r="AB73" s="162"/>
    </row>
    <row r="74" spans="1:28" s="164" customFormat="1" ht="23" customHeight="1" x14ac:dyDescent="0.15">
      <c r="A74" s="136">
        <v>59002073</v>
      </c>
      <c r="B74" s="136" t="s">
        <v>384</v>
      </c>
      <c r="C74" s="162">
        <v>3</v>
      </c>
      <c r="D74" s="162" t="s">
        <v>127</v>
      </c>
      <c r="E74" s="137" t="s">
        <v>375</v>
      </c>
      <c r="F74" s="137" t="s">
        <v>269</v>
      </c>
      <c r="G74" s="137" t="str">
        <f t="shared" si="303"/>
        <v>[effect:enemy_message, val1:1.2, val2:1.3]</v>
      </c>
      <c r="H74" s="137">
        <f t="shared" si="15"/>
        <v>9</v>
      </c>
      <c r="I74" s="137">
        <f t="shared" si="315"/>
        <v>22</v>
      </c>
      <c r="J74" s="137" t="e">
        <f t="shared" si="316"/>
        <v>#VALUE!</v>
      </c>
      <c r="K74" s="137">
        <f t="shared" si="317"/>
        <v>32</v>
      </c>
      <c r="L74" s="137" t="str">
        <f>IFERROR(VLOOKUP(MID(G74,J74,K74-J74),[5]skilldef!$C:$D,2,FALSE),"-") &amp; " / " &amp; IFERROR(VLOOKUP(MID(G74,H74,I74-H74),[5]skilldef!$A:$B,2,FALSE),"-")</f>
        <v>- / -</v>
      </c>
      <c r="M74" s="137" t="str">
        <f t="shared" si="304"/>
        <v>[effect:break_attack_fix, target:unit_all, val:60, lowest_val:4000, count:-1, color:red, block01:block_green]</v>
      </c>
      <c r="N74" s="136" t="str">
        <f>IFERROR(LEFT(M74,FIND("],",M74)+S101),M74)</f>
        <v>[effect:break_attack_fix, target:unit_all, val:60, lowest_val:4000, count:-1, color:red, block01:block_green]</v>
      </c>
      <c r="O74" s="137">
        <f t="shared" si="20"/>
        <v>9</v>
      </c>
      <c r="P74" s="137">
        <f t="shared" si="319"/>
        <v>25</v>
      </c>
      <c r="Q74" s="137">
        <f t="shared" si="320"/>
        <v>34</v>
      </c>
      <c r="R74" s="137">
        <f t="shared" si="321"/>
        <v>42</v>
      </c>
      <c r="S74" s="137" t="str">
        <f>IFERROR(VLOOKUP(MID(N74,Q74,R74-Q74),[5]skilldef!$C:$D,2,FALSE),"-") &amp; " / " &amp; IFERROR(VLOOKUP(MID(N74,O74,P74-O74),[5]skilldef!$A:$B,2,FALSE),"-")</f>
        <v>味方全体に / -</v>
      </c>
      <c r="T74" s="136" t="str">
        <f t="shared" si="322"/>
        <v>none</v>
      </c>
      <c r="U74" s="137" t="e">
        <f t="shared" si="25"/>
        <v>#VALUE!</v>
      </c>
      <c r="V74" s="137">
        <f t="shared" si="323"/>
        <v>4</v>
      </c>
      <c r="W74" s="137" t="e">
        <f t="shared" si="324"/>
        <v>#VALUE!</v>
      </c>
      <c r="X74" s="137" t="e">
        <f t="shared" si="325"/>
        <v>#VALUE!</v>
      </c>
      <c r="Y74" s="137" t="str">
        <f>IFERROR(VLOOKUP(MID(T74,W74,X74-W74),[5]skilldef!$C:$D,2,FALSE),"-") &amp; " / " &amp; IFERROR(VLOOKUP(MID(T74,U74,V74-U74),[5]skilldef!$A:$B,2,FALSE),"-")</f>
        <v>- / -</v>
      </c>
      <c r="Z74" s="162"/>
      <c r="AA74" s="163"/>
      <c r="AB74" s="162"/>
    </row>
    <row r="75" spans="1:28" s="164" customFormat="1" ht="23" customHeight="1" x14ac:dyDescent="0.15">
      <c r="A75" s="136">
        <v>59002074</v>
      </c>
      <c r="B75" s="136" t="s">
        <v>443</v>
      </c>
      <c r="C75" s="162">
        <v>3</v>
      </c>
      <c r="D75" s="162" t="s">
        <v>127</v>
      </c>
      <c r="E75" s="137" t="s">
        <v>305</v>
      </c>
      <c r="F75" s="137" t="s">
        <v>436</v>
      </c>
      <c r="G75" s="137" t="str">
        <f t="shared" si="303"/>
        <v>[effect:enemy_message, val1:1.2, val2:1.7]</v>
      </c>
      <c r="H75" s="137">
        <f t="shared" si="15"/>
        <v>9</v>
      </c>
      <c r="I75" s="137">
        <f t="shared" si="315"/>
        <v>22</v>
      </c>
      <c r="J75" s="137" t="e">
        <f t="shared" si="316"/>
        <v>#VALUE!</v>
      </c>
      <c r="K75" s="137">
        <f t="shared" si="317"/>
        <v>32</v>
      </c>
      <c r="L75" s="137" t="str">
        <f>IFERROR(VLOOKUP(MID(G75,J75,K75-J75),[5]skilldef!$C:$D,2,FALSE),"-") &amp; " / " &amp; IFERROR(VLOOKUP(MID(G75,H75,I75-H75),[5]skilldef!$A:$B,2,FALSE),"-")</f>
        <v>- / -</v>
      </c>
      <c r="M75" s="137" t="str">
        <f t="shared" si="304"/>
        <v>[effect:hungup, target:unit_all, turn:1, rate:1, animation:hungup01]</v>
      </c>
      <c r="N75" s="136" t="str">
        <f t="shared" ref="N75" si="326">IFERROR(LEFT(M75,FIND("],",M75)+S104),M75)</f>
        <v>[effect:hungup, target:unit_all, turn:1, rate:1, animation:hungup01]</v>
      </c>
      <c r="O75" s="137">
        <f t="shared" si="20"/>
        <v>9</v>
      </c>
      <c r="P75" s="137">
        <f t="shared" si="319"/>
        <v>15</v>
      </c>
      <c r="Q75" s="137">
        <f t="shared" si="320"/>
        <v>24</v>
      </c>
      <c r="R75" s="137">
        <f t="shared" si="321"/>
        <v>32</v>
      </c>
      <c r="S75" s="137" t="str">
        <f>IFERROR(VLOOKUP(MID(N75,Q75,R75-Q75),[5]skilldef!$C:$D,2,FALSE),"-") &amp; " / " &amp; IFERROR(VLOOKUP(MID(N75,O75,P75-O75),[5]skilldef!$A:$B,2,FALSE),"-")</f>
        <v>味方全体に / ハングアップ</v>
      </c>
      <c r="T75" s="136" t="str">
        <f t="shared" si="322"/>
        <v>none</v>
      </c>
      <c r="U75" s="137" t="e">
        <f t="shared" si="25"/>
        <v>#VALUE!</v>
      </c>
      <c r="V75" s="137">
        <f t="shared" si="323"/>
        <v>4</v>
      </c>
      <c r="W75" s="137" t="e">
        <f t="shared" si="324"/>
        <v>#VALUE!</v>
      </c>
      <c r="X75" s="137" t="e">
        <f t="shared" si="325"/>
        <v>#VALUE!</v>
      </c>
      <c r="Y75" s="137" t="str">
        <f>IFERROR(VLOOKUP(MID(T75,W75,X75-W75),[5]skilldef!$C:$D,2,FALSE),"-") &amp; " / " &amp; IFERROR(VLOOKUP(MID(T75,U75,V75-U75),[5]skilldef!$A:$B,2,FALSE),"-")</f>
        <v>- / -</v>
      </c>
      <c r="Z75" s="162"/>
      <c r="AA75" s="163"/>
      <c r="AB75" s="162"/>
    </row>
    <row r="76" spans="1:28" s="164" customFormat="1" ht="23" customHeight="1" x14ac:dyDescent="0.15">
      <c r="A76" s="136">
        <v>59002075</v>
      </c>
      <c r="B76" s="136" t="s">
        <v>385</v>
      </c>
      <c r="C76" s="162">
        <v>3</v>
      </c>
      <c r="D76" s="162" t="s">
        <v>127</v>
      </c>
      <c r="E76" s="137" t="s">
        <v>306</v>
      </c>
      <c r="F76" s="137" t="s">
        <v>268</v>
      </c>
      <c r="G76" s="137" t="str">
        <f t="shared" si="303"/>
        <v>[effect:enemy_message, val1:1.2, val2:1.5]</v>
      </c>
      <c r="H76" s="137">
        <f t="shared" si="15"/>
        <v>9</v>
      </c>
      <c r="I76" s="137">
        <f t="shared" si="315"/>
        <v>22</v>
      </c>
      <c r="J76" s="137" t="e">
        <f t="shared" si="316"/>
        <v>#VALUE!</v>
      </c>
      <c r="K76" s="137">
        <f t="shared" si="317"/>
        <v>32</v>
      </c>
      <c r="L76" s="137" t="str">
        <f>IFERROR(VLOOKUP(MID(G76,J76,K76-J76),[5]skilldef!$C:$D,2,FALSE),"-") &amp; " / " &amp; IFERROR(VLOOKUP(MID(G76,H76,I76-H76),[5]skilldef!$A:$B,2,FALSE),"-")</f>
        <v>- / -</v>
      </c>
      <c r="M76" s="137" t="str">
        <f t="shared" si="304"/>
        <v>[effect:break_attack_fix, target:unit_all, val:40, lowest_val:4000, count:-1, color:red, block01:block_yellow, block02:block_green]</v>
      </c>
      <c r="N76" s="136" t="str">
        <f>IFERROR(LEFT(M76,FIND("],",M76)+#REF!),M76)</f>
        <v>[effect:break_attack_fix, target:unit_all, val:40, lowest_val:4000, count:-1, color:red, block01:block_yellow, block02:block_green]</v>
      </c>
      <c r="O76" s="137">
        <f t="shared" si="20"/>
        <v>9</v>
      </c>
      <c r="P76" s="137">
        <f t="shared" si="319"/>
        <v>25</v>
      </c>
      <c r="Q76" s="137">
        <f t="shared" si="320"/>
        <v>34</v>
      </c>
      <c r="R76" s="137">
        <f t="shared" si="321"/>
        <v>42</v>
      </c>
      <c r="S76" s="137" t="str">
        <f>IFERROR(VLOOKUP(MID(N76,Q76,R76-Q76),[5]skilldef!$C:$D,2,FALSE),"-") &amp; " / " &amp; IFERROR(VLOOKUP(MID(N76,O76,P76-O76),[5]skilldef!$A:$B,2,FALSE),"-")</f>
        <v>味方全体に / -</v>
      </c>
      <c r="T76" s="136" t="str">
        <f t="shared" si="322"/>
        <v>none</v>
      </c>
      <c r="U76" s="137" t="e">
        <f t="shared" si="25"/>
        <v>#VALUE!</v>
      </c>
      <c r="V76" s="137">
        <f t="shared" si="323"/>
        <v>4</v>
      </c>
      <c r="W76" s="137" t="e">
        <f t="shared" si="324"/>
        <v>#VALUE!</v>
      </c>
      <c r="X76" s="137" t="e">
        <f t="shared" si="325"/>
        <v>#VALUE!</v>
      </c>
      <c r="Y76" s="137" t="str">
        <f>IFERROR(VLOOKUP(MID(T76,W76,X76-W76),[5]skilldef!$C:$D,2,FALSE),"-") &amp; " / " &amp; IFERROR(VLOOKUP(MID(T76,U76,V76-U76),[5]skilldef!$A:$B,2,FALSE),"-")</f>
        <v>- / -</v>
      </c>
      <c r="Z76" s="162"/>
      <c r="AA76" s="163"/>
      <c r="AB76" s="162"/>
    </row>
    <row r="77" spans="1:28" s="164" customFormat="1" ht="23" customHeight="1" x14ac:dyDescent="0.15">
      <c r="A77" s="136">
        <v>59002076</v>
      </c>
      <c r="B77" s="136" t="s">
        <v>382</v>
      </c>
      <c r="C77" s="162">
        <v>3</v>
      </c>
      <c r="D77" s="162" t="s">
        <v>127</v>
      </c>
      <c r="E77" s="137" t="s">
        <v>374</v>
      </c>
      <c r="F77" s="137" t="s">
        <v>435</v>
      </c>
      <c r="G77" s="137" t="str">
        <f t="shared" si="303"/>
        <v>[effect:enemy_message, val1:1.2, val2:1.2]</v>
      </c>
      <c r="H77" s="137">
        <f t="shared" ref="H77:H81" si="327">FIND("effect:",G77)+7</f>
        <v>9</v>
      </c>
      <c r="I77" s="137">
        <f t="shared" ref="I77:I81" si="328">IFERROR(FIND(",",G77),LEN(G77))</f>
        <v>22</v>
      </c>
      <c r="J77" s="137" t="e">
        <f t="shared" ref="J77:J81" si="329">FIND("target:",G77)+7</f>
        <v>#VALUE!</v>
      </c>
      <c r="K77" s="137">
        <f t="shared" ref="K77:K81" si="330">FIND(",",G77,I77+1)</f>
        <v>32</v>
      </c>
      <c r="L77" s="137" t="str">
        <f>IFERROR(VLOOKUP(MID(G77,J77,K77-J77),[5]skilldef!$C:$D,2,FALSE),"-") &amp; " / " &amp; IFERROR(VLOOKUP(MID(G77,H77,I77-H77),[5]skilldef!$A:$B,2,FALSE),"-")</f>
        <v>- / -</v>
      </c>
      <c r="M77" s="137" t="str">
        <f t="shared" si="304"/>
        <v>[effect:dark, target:unit_all, turn:2, animation:enemy_dark]</v>
      </c>
      <c r="N77" s="136" t="str">
        <f>IFERROR(LEFT(M77,FIND("],",M77)+#REF!),M77)</f>
        <v>[effect:dark, target:unit_all, turn:2, animation:enemy_dark]</v>
      </c>
      <c r="O77" s="137">
        <f t="shared" ref="O77:O81" si="331">FIND("effect:",N77)+7</f>
        <v>9</v>
      </c>
      <c r="P77" s="137">
        <f t="shared" ref="P77:P81" si="332">IFERROR(FIND(",",N77),LEN(N77))</f>
        <v>13</v>
      </c>
      <c r="Q77" s="137">
        <f t="shared" ref="Q77:Q81" si="333">FIND("target:",N77)+7</f>
        <v>22</v>
      </c>
      <c r="R77" s="137">
        <f t="shared" ref="R77:R81" si="334">FIND(",",N77,P77+1)</f>
        <v>30</v>
      </c>
      <c r="S77" s="137" t="str">
        <f>IFERROR(VLOOKUP(MID(N77,Q77,R77-Q77),[5]skilldef!$C:$D,2,FALSE),"-") &amp; " / " &amp; IFERROR(VLOOKUP(MID(N77,O77,P77-O77),[5]skilldef!$A:$B,2,FALSE),"-")</f>
        <v>味方全体に / 暗黒</v>
      </c>
      <c r="T77" s="136" t="str">
        <f t="shared" ref="T77:T81" si="335">IFERROR(RIGHT(M77,LEN(M77)-FIND("],",M77)-1),"none")</f>
        <v>none</v>
      </c>
      <c r="U77" s="137" t="e">
        <f t="shared" ref="U77:U81" si="336">FIND("effect:",T77)+7</f>
        <v>#VALUE!</v>
      </c>
      <c r="V77" s="137">
        <f t="shared" ref="V77:V81" si="337">IFERROR(FIND(",",T77),LEN(T77))</f>
        <v>4</v>
      </c>
      <c r="W77" s="137" t="e">
        <f t="shared" ref="W77:W81" si="338">FIND("target:",T77)+7</f>
        <v>#VALUE!</v>
      </c>
      <c r="X77" s="137" t="e">
        <f t="shared" ref="X77:X81" si="339">FIND(",",T77,V77+1)</f>
        <v>#VALUE!</v>
      </c>
      <c r="Y77" s="137" t="str">
        <f>IFERROR(VLOOKUP(MID(T77,W77,X77-W77),[5]skilldef!$C:$D,2,FALSE),"-") &amp; " / " &amp; IFERROR(VLOOKUP(MID(T77,U77,V77-U77),[5]skilldef!$A:$B,2,FALSE),"-")</f>
        <v>- / -</v>
      </c>
      <c r="Z77" s="162"/>
      <c r="AA77" s="163"/>
      <c r="AB77" s="162"/>
    </row>
    <row r="78" spans="1:28" s="164" customFormat="1" ht="23" customHeight="1" x14ac:dyDescent="0.15">
      <c r="A78" s="136">
        <v>59002077</v>
      </c>
      <c r="B78" s="136" t="s">
        <v>383</v>
      </c>
      <c r="C78" s="162">
        <v>3</v>
      </c>
      <c r="D78" s="162" t="s">
        <v>127</v>
      </c>
      <c r="E78" s="137" t="s">
        <v>375</v>
      </c>
      <c r="F78" s="137" t="s">
        <v>267</v>
      </c>
      <c r="G78" s="137" t="str">
        <f t="shared" si="303"/>
        <v>[effect:enemy_message, val1:1.2, val2:1.3]</v>
      </c>
      <c r="H78" s="137">
        <f t="shared" si="327"/>
        <v>9</v>
      </c>
      <c r="I78" s="137">
        <f t="shared" si="328"/>
        <v>22</v>
      </c>
      <c r="J78" s="137" t="e">
        <f t="shared" si="329"/>
        <v>#VALUE!</v>
      </c>
      <c r="K78" s="137">
        <f t="shared" si="330"/>
        <v>32</v>
      </c>
      <c r="L78" s="137" t="str">
        <f>IFERROR(VLOOKUP(MID(G78,J78,K78-J78),[5]skilldef!$C:$D,2,FALSE),"-") &amp; " / " &amp; IFERROR(VLOOKUP(MID(G78,H78,I78-H78),[5]skilldef!$A:$B,2,FALSE),"-")</f>
        <v>- / -</v>
      </c>
      <c r="M78" s="137" t="str">
        <f t="shared" si="304"/>
        <v>[effect:break_attack_fix, target:unit_all, val:60, lowest_val:4000, count:-1, color:red, block01:block_yellow]</v>
      </c>
      <c r="N78" s="136" t="str">
        <f>IFERROR(LEFT(M78,FIND("],",M78)+#REF!),M78)</f>
        <v>[effect:break_attack_fix, target:unit_all, val:60, lowest_val:4000, count:-1, color:red, block01:block_yellow]</v>
      </c>
      <c r="O78" s="137">
        <f t="shared" si="331"/>
        <v>9</v>
      </c>
      <c r="P78" s="137">
        <f t="shared" si="332"/>
        <v>25</v>
      </c>
      <c r="Q78" s="137">
        <f t="shared" si="333"/>
        <v>34</v>
      </c>
      <c r="R78" s="137">
        <f t="shared" si="334"/>
        <v>42</v>
      </c>
      <c r="S78" s="137" t="str">
        <f>IFERROR(VLOOKUP(MID(N78,Q78,R78-Q78),[5]skilldef!$C:$D,2,FALSE),"-") &amp; " / " &amp; IFERROR(VLOOKUP(MID(N78,O78,P78-O78),[5]skilldef!$A:$B,2,FALSE),"-")</f>
        <v>味方全体に / -</v>
      </c>
      <c r="T78" s="136" t="str">
        <f t="shared" si="335"/>
        <v>none</v>
      </c>
      <c r="U78" s="137" t="e">
        <f t="shared" si="336"/>
        <v>#VALUE!</v>
      </c>
      <c r="V78" s="137">
        <f t="shared" si="337"/>
        <v>4</v>
      </c>
      <c r="W78" s="137" t="e">
        <f t="shared" si="338"/>
        <v>#VALUE!</v>
      </c>
      <c r="X78" s="137" t="e">
        <f t="shared" si="339"/>
        <v>#VALUE!</v>
      </c>
      <c r="Y78" s="137" t="str">
        <f>IFERROR(VLOOKUP(MID(T78,W78,X78-W78),[5]skilldef!$C:$D,2,FALSE),"-") &amp; " / " &amp; IFERROR(VLOOKUP(MID(T78,U78,V78-U78),[5]skilldef!$A:$B,2,FALSE),"-")</f>
        <v>- / -</v>
      </c>
      <c r="Z78" s="162"/>
      <c r="AA78" s="163"/>
      <c r="AB78" s="162"/>
    </row>
    <row r="79" spans="1:28" s="164" customFormat="1" ht="23" customHeight="1" x14ac:dyDescent="0.15">
      <c r="A79" s="136">
        <v>59002078</v>
      </c>
      <c r="B79" s="136" t="s">
        <v>384</v>
      </c>
      <c r="C79" s="162">
        <v>3</v>
      </c>
      <c r="D79" s="162" t="s">
        <v>127</v>
      </c>
      <c r="E79" s="137" t="s">
        <v>375</v>
      </c>
      <c r="F79" s="137" t="s">
        <v>269</v>
      </c>
      <c r="G79" s="137" t="str">
        <f t="shared" si="303"/>
        <v>[effect:enemy_message, val1:1.2, val2:1.3]</v>
      </c>
      <c r="H79" s="137">
        <f t="shared" si="327"/>
        <v>9</v>
      </c>
      <c r="I79" s="137">
        <f t="shared" si="328"/>
        <v>22</v>
      </c>
      <c r="J79" s="137" t="e">
        <f t="shared" si="329"/>
        <v>#VALUE!</v>
      </c>
      <c r="K79" s="137">
        <f t="shared" si="330"/>
        <v>32</v>
      </c>
      <c r="L79" s="137" t="str">
        <f>IFERROR(VLOOKUP(MID(G79,J79,K79-J79),[5]skilldef!$C:$D,2,FALSE),"-") &amp; " / " &amp; IFERROR(VLOOKUP(MID(G79,H79,I79-H79),[5]skilldef!$A:$B,2,FALSE),"-")</f>
        <v>- / -</v>
      </c>
      <c r="M79" s="137" t="str">
        <f t="shared" si="304"/>
        <v>[effect:break_attack_fix, target:unit_all, val:60, lowest_val:4000, count:-1, color:red, block01:block_green]</v>
      </c>
      <c r="N79" s="136" t="str">
        <f>IFERROR(LEFT(M79,FIND("],",M79)+#REF!),M79)</f>
        <v>[effect:break_attack_fix, target:unit_all, val:60, lowest_val:4000, count:-1, color:red, block01:block_green]</v>
      </c>
      <c r="O79" s="137">
        <f t="shared" si="331"/>
        <v>9</v>
      </c>
      <c r="P79" s="137">
        <f t="shared" si="332"/>
        <v>25</v>
      </c>
      <c r="Q79" s="137">
        <f t="shared" si="333"/>
        <v>34</v>
      </c>
      <c r="R79" s="137">
        <f t="shared" si="334"/>
        <v>42</v>
      </c>
      <c r="S79" s="137" t="str">
        <f>IFERROR(VLOOKUP(MID(N79,Q79,R79-Q79),[5]skilldef!$C:$D,2,FALSE),"-") &amp; " / " &amp; IFERROR(VLOOKUP(MID(N79,O79,P79-O79),[5]skilldef!$A:$B,2,FALSE),"-")</f>
        <v>味方全体に / -</v>
      </c>
      <c r="T79" s="136" t="str">
        <f t="shared" si="335"/>
        <v>none</v>
      </c>
      <c r="U79" s="137" t="e">
        <f t="shared" si="336"/>
        <v>#VALUE!</v>
      </c>
      <c r="V79" s="137">
        <f t="shared" si="337"/>
        <v>4</v>
      </c>
      <c r="W79" s="137" t="e">
        <f t="shared" si="338"/>
        <v>#VALUE!</v>
      </c>
      <c r="X79" s="137" t="e">
        <f t="shared" si="339"/>
        <v>#VALUE!</v>
      </c>
      <c r="Y79" s="137" t="str">
        <f>IFERROR(VLOOKUP(MID(T79,W79,X79-W79),[5]skilldef!$C:$D,2,FALSE),"-") &amp; " / " &amp; IFERROR(VLOOKUP(MID(T79,U79,V79-U79),[5]skilldef!$A:$B,2,FALSE),"-")</f>
        <v>- / -</v>
      </c>
      <c r="Z79" s="162"/>
      <c r="AA79" s="163"/>
      <c r="AB79" s="162"/>
    </row>
    <row r="80" spans="1:28" s="164" customFormat="1" ht="23" customHeight="1" x14ac:dyDescent="0.15">
      <c r="A80" s="136">
        <v>59002079</v>
      </c>
      <c r="B80" s="136" t="s">
        <v>443</v>
      </c>
      <c r="C80" s="162">
        <v>3</v>
      </c>
      <c r="D80" s="162" t="s">
        <v>127</v>
      </c>
      <c r="E80" s="137" t="s">
        <v>305</v>
      </c>
      <c r="F80" s="137" t="s">
        <v>436</v>
      </c>
      <c r="G80" s="137" t="str">
        <f t="shared" si="303"/>
        <v>[effect:enemy_message, val1:1.2, val2:1.7]</v>
      </c>
      <c r="H80" s="137">
        <f t="shared" si="327"/>
        <v>9</v>
      </c>
      <c r="I80" s="137">
        <f t="shared" si="328"/>
        <v>22</v>
      </c>
      <c r="J80" s="137" t="e">
        <f t="shared" si="329"/>
        <v>#VALUE!</v>
      </c>
      <c r="K80" s="137">
        <f t="shared" si="330"/>
        <v>32</v>
      </c>
      <c r="L80" s="137" t="str">
        <f>IFERROR(VLOOKUP(MID(G80,J80,K80-J80),[5]skilldef!$C:$D,2,FALSE),"-") &amp; " / " &amp; IFERROR(VLOOKUP(MID(G80,H80,I80-H80),[5]skilldef!$A:$B,2,FALSE),"-")</f>
        <v>- / -</v>
      </c>
      <c r="M80" s="137" t="str">
        <f t="shared" si="304"/>
        <v>[effect:hungup, target:unit_all, turn:1, rate:1, animation:hungup01]</v>
      </c>
      <c r="N80" s="136" t="str">
        <f>IFERROR(LEFT(M80,FIND("],",M80)+#REF!),M80)</f>
        <v>[effect:hungup, target:unit_all, turn:1, rate:1, animation:hungup01]</v>
      </c>
      <c r="O80" s="137">
        <f t="shared" si="331"/>
        <v>9</v>
      </c>
      <c r="P80" s="137">
        <f t="shared" si="332"/>
        <v>15</v>
      </c>
      <c r="Q80" s="137">
        <f t="shared" si="333"/>
        <v>24</v>
      </c>
      <c r="R80" s="137">
        <f t="shared" si="334"/>
        <v>32</v>
      </c>
      <c r="S80" s="137" t="str">
        <f>IFERROR(VLOOKUP(MID(N80,Q80,R80-Q80),[5]skilldef!$C:$D,2,FALSE),"-") &amp; " / " &amp; IFERROR(VLOOKUP(MID(N80,O80,P80-O80),[5]skilldef!$A:$B,2,FALSE),"-")</f>
        <v>味方全体に / ハングアップ</v>
      </c>
      <c r="T80" s="136" t="str">
        <f t="shared" si="335"/>
        <v>none</v>
      </c>
      <c r="U80" s="137" t="e">
        <f t="shared" si="336"/>
        <v>#VALUE!</v>
      </c>
      <c r="V80" s="137">
        <f t="shared" si="337"/>
        <v>4</v>
      </c>
      <c r="W80" s="137" t="e">
        <f t="shared" si="338"/>
        <v>#VALUE!</v>
      </c>
      <c r="X80" s="137" t="e">
        <f t="shared" si="339"/>
        <v>#VALUE!</v>
      </c>
      <c r="Y80" s="137" t="str">
        <f>IFERROR(VLOOKUP(MID(T80,W80,X80-W80),[5]skilldef!$C:$D,2,FALSE),"-") &amp; " / " &amp; IFERROR(VLOOKUP(MID(T80,U80,V80-U80),[5]skilldef!$A:$B,2,FALSE),"-")</f>
        <v>- / -</v>
      </c>
      <c r="Z80" s="162"/>
      <c r="AA80" s="163"/>
      <c r="AB80" s="162"/>
    </row>
    <row r="81" spans="1:28" s="164" customFormat="1" ht="23" customHeight="1" x14ac:dyDescent="0.15">
      <c r="A81" s="136">
        <v>59002080</v>
      </c>
      <c r="B81" s="136" t="s">
        <v>385</v>
      </c>
      <c r="C81" s="162">
        <v>3</v>
      </c>
      <c r="D81" s="162" t="s">
        <v>127</v>
      </c>
      <c r="E81" s="137" t="s">
        <v>306</v>
      </c>
      <c r="F81" s="137" t="s">
        <v>268</v>
      </c>
      <c r="G81" s="137" t="str">
        <f t="shared" si="303"/>
        <v>[effect:enemy_message, val1:1.2, val2:1.5]</v>
      </c>
      <c r="H81" s="137">
        <f t="shared" si="327"/>
        <v>9</v>
      </c>
      <c r="I81" s="137">
        <f t="shared" si="328"/>
        <v>22</v>
      </c>
      <c r="J81" s="137" t="e">
        <f t="shared" si="329"/>
        <v>#VALUE!</v>
      </c>
      <c r="K81" s="137">
        <f t="shared" si="330"/>
        <v>32</v>
      </c>
      <c r="L81" s="137" t="str">
        <f>IFERROR(VLOOKUP(MID(G81,J81,K81-J81),[5]skilldef!$C:$D,2,FALSE),"-") &amp; " / " &amp; IFERROR(VLOOKUP(MID(G81,H81,I81-H81),[5]skilldef!$A:$B,2,FALSE),"-")</f>
        <v>- / -</v>
      </c>
      <c r="M81" s="137" t="str">
        <f t="shared" si="304"/>
        <v>[effect:break_attack_fix, target:unit_all, val:40, lowest_val:4000, count:-1, color:red, block01:block_yellow, block02:block_green]</v>
      </c>
      <c r="N81" s="136" t="str">
        <f>IFERROR(LEFT(M81,FIND("],",M81)+#REF!),M81)</f>
        <v>[effect:break_attack_fix, target:unit_all, val:40, lowest_val:4000, count:-1, color:red, block01:block_yellow, block02:block_green]</v>
      </c>
      <c r="O81" s="137">
        <f t="shared" si="331"/>
        <v>9</v>
      </c>
      <c r="P81" s="137">
        <f t="shared" si="332"/>
        <v>25</v>
      </c>
      <c r="Q81" s="137">
        <f t="shared" si="333"/>
        <v>34</v>
      </c>
      <c r="R81" s="137">
        <f t="shared" si="334"/>
        <v>42</v>
      </c>
      <c r="S81" s="137" t="str">
        <f>IFERROR(VLOOKUP(MID(N81,Q81,R81-Q81),[5]skilldef!$C:$D,2,FALSE),"-") &amp; " / " &amp; IFERROR(VLOOKUP(MID(N81,O81,P81-O81),[5]skilldef!$A:$B,2,FALSE),"-")</f>
        <v>味方全体に / -</v>
      </c>
      <c r="T81" s="136" t="str">
        <f t="shared" si="335"/>
        <v>none</v>
      </c>
      <c r="U81" s="137" t="e">
        <f t="shared" si="336"/>
        <v>#VALUE!</v>
      </c>
      <c r="V81" s="137">
        <f t="shared" si="337"/>
        <v>4</v>
      </c>
      <c r="W81" s="137" t="e">
        <f t="shared" si="338"/>
        <v>#VALUE!</v>
      </c>
      <c r="X81" s="137" t="e">
        <f t="shared" si="339"/>
        <v>#VALUE!</v>
      </c>
      <c r="Y81" s="137" t="str">
        <f>IFERROR(VLOOKUP(MID(T81,W81,X81-W81),[5]skilldef!$C:$D,2,FALSE),"-") &amp; " / " &amp; IFERROR(VLOOKUP(MID(T81,U81,V81-U81),[5]skilldef!$A:$B,2,FALSE),"-")</f>
        <v>- / -</v>
      </c>
      <c r="Z81" s="162"/>
      <c r="AA81" s="163"/>
      <c r="AB81" s="162"/>
    </row>
    <row r="82" spans="1:28" s="164" customFormat="1" ht="23" customHeight="1" x14ac:dyDescent="0.15">
      <c r="A82" s="136">
        <v>59002081</v>
      </c>
      <c r="B82" s="136" t="s">
        <v>386</v>
      </c>
      <c r="C82" s="162">
        <v>3</v>
      </c>
      <c r="D82" s="162" t="s">
        <v>127</v>
      </c>
      <c r="E82" s="137" t="s">
        <v>408</v>
      </c>
      <c r="F82" s="137" t="s">
        <v>437</v>
      </c>
      <c r="G82" s="137" t="str">
        <f t="shared" si="303"/>
        <v>[effect:enemy_message, val1:1.2, val2:1.2]</v>
      </c>
      <c r="H82" s="137">
        <f t="shared" ref="H82:H83" si="340">FIND("effect:",G82)+7</f>
        <v>9</v>
      </c>
      <c r="I82" s="137">
        <f t="shared" ref="I82:I83" si="341">IFERROR(FIND(",",G82),LEN(G82))</f>
        <v>22</v>
      </c>
      <c r="J82" s="137" t="e">
        <f t="shared" ref="J82:J83" si="342">FIND("target:",G82)+7</f>
        <v>#VALUE!</v>
      </c>
      <c r="K82" s="137">
        <f t="shared" ref="K82:K83" si="343">FIND(",",G82,I82+1)</f>
        <v>32</v>
      </c>
      <c r="L82" s="137" t="str">
        <f>IFERROR(VLOOKUP(MID(G82,J82,K82-J82),[5]skilldef!$C:$D,2,FALSE),"-") &amp; " / " &amp; IFERROR(VLOOKUP(MID(G82,H82,I82-H82),[5]skilldef!$A:$B,2,FALSE),"-")</f>
        <v>- / -</v>
      </c>
      <c r="M82" s="137" t="str">
        <f t="shared" si="304"/>
        <v>[effect:dark, target:unit_all, turn:1, animation:enemy_dark]</v>
      </c>
      <c r="N82" s="136" t="str">
        <f>IFERROR(LEFT(M82,FIND("],",M82)+#REF!),M82)</f>
        <v>[effect:dark, target:unit_all, turn:1, animation:enemy_dark]</v>
      </c>
      <c r="O82" s="137">
        <f t="shared" ref="O82:O83" si="344">FIND("effect:",N82)+7</f>
        <v>9</v>
      </c>
      <c r="P82" s="137">
        <f t="shared" ref="P82:P83" si="345">IFERROR(FIND(",",N82),LEN(N82))</f>
        <v>13</v>
      </c>
      <c r="Q82" s="137">
        <f t="shared" ref="Q82:Q83" si="346">FIND("target:",N82)+7</f>
        <v>22</v>
      </c>
      <c r="R82" s="137">
        <f t="shared" ref="R82:R83" si="347">FIND(",",N82,P82+1)</f>
        <v>30</v>
      </c>
      <c r="S82" s="137" t="str">
        <f>IFERROR(VLOOKUP(MID(N82,Q82,R82-Q82),[5]skilldef!$C:$D,2,FALSE),"-") &amp; " / " &amp; IFERROR(VLOOKUP(MID(N82,O82,P82-O82),[5]skilldef!$A:$B,2,FALSE),"-")</f>
        <v>味方全体に / 暗黒</v>
      </c>
      <c r="T82" s="136" t="str">
        <f t="shared" ref="T82:T83" si="348">IFERROR(RIGHT(M82,LEN(M82)-FIND("],",M82)-1),"none")</f>
        <v>none</v>
      </c>
      <c r="U82" s="137" t="e">
        <f t="shared" ref="U82:U83" si="349">FIND("effect:",T82)+7</f>
        <v>#VALUE!</v>
      </c>
      <c r="V82" s="137">
        <f t="shared" ref="V82:V83" si="350">IFERROR(FIND(",",T82),LEN(T82))</f>
        <v>4</v>
      </c>
      <c r="W82" s="137" t="e">
        <f t="shared" ref="W82:W83" si="351">FIND("target:",T82)+7</f>
        <v>#VALUE!</v>
      </c>
      <c r="X82" s="137" t="e">
        <f t="shared" ref="X82:X83" si="352">FIND(",",T82,V82+1)</f>
        <v>#VALUE!</v>
      </c>
      <c r="Y82" s="137" t="str">
        <f>IFERROR(VLOOKUP(MID(T82,W82,X82-W82),[5]skilldef!$C:$D,2,FALSE),"-") &amp; " / " &amp; IFERROR(VLOOKUP(MID(T82,U82,V82-U82),[5]skilldef!$A:$B,2,FALSE),"-")</f>
        <v>- / -</v>
      </c>
      <c r="Z82" s="162"/>
      <c r="AA82" s="163"/>
      <c r="AB82" s="162"/>
    </row>
    <row r="83" spans="1:28" s="164" customFormat="1" ht="23" customHeight="1" x14ac:dyDescent="0.15">
      <c r="A83" s="136">
        <v>59002082</v>
      </c>
      <c r="B83" s="136" t="s">
        <v>385</v>
      </c>
      <c r="C83" s="162">
        <v>3</v>
      </c>
      <c r="D83" s="162" t="s">
        <v>127</v>
      </c>
      <c r="E83" s="137" t="s">
        <v>306</v>
      </c>
      <c r="F83" s="137" t="s">
        <v>268</v>
      </c>
      <c r="G83" s="137" t="str">
        <f t="shared" si="303"/>
        <v>[effect:enemy_message, val1:1.2, val2:1.5]</v>
      </c>
      <c r="H83" s="137">
        <f t="shared" si="340"/>
        <v>9</v>
      </c>
      <c r="I83" s="137">
        <f t="shared" si="341"/>
        <v>22</v>
      </c>
      <c r="J83" s="137" t="e">
        <f t="shared" si="342"/>
        <v>#VALUE!</v>
      </c>
      <c r="K83" s="137">
        <f t="shared" si="343"/>
        <v>32</v>
      </c>
      <c r="L83" s="137" t="str">
        <f>IFERROR(VLOOKUP(MID(G83,J83,K83-J83),[5]skilldef!$C:$D,2,FALSE),"-") &amp; " / " &amp; IFERROR(VLOOKUP(MID(G83,H83,I83-H83),[5]skilldef!$A:$B,2,FALSE),"-")</f>
        <v>- / -</v>
      </c>
      <c r="M83" s="137" t="str">
        <f t="shared" si="304"/>
        <v>[effect:break_attack_fix, target:unit_all, val:40, lowest_val:4000, count:-1, color:red, block01:block_yellow, block02:block_green]</v>
      </c>
      <c r="N83" s="136" t="str">
        <f>IFERROR(LEFT(M83,FIND("],",M83)+#REF!),M83)</f>
        <v>[effect:break_attack_fix, target:unit_all, val:40, lowest_val:4000, count:-1, color:red, block01:block_yellow, block02:block_green]</v>
      </c>
      <c r="O83" s="137">
        <f t="shared" si="344"/>
        <v>9</v>
      </c>
      <c r="P83" s="137">
        <f t="shared" si="345"/>
        <v>25</v>
      </c>
      <c r="Q83" s="137">
        <f t="shared" si="346"/>
        <v>34</v>
      </c>
      <c r="R83" s="137">
        <f t="shared" si="347"/>
        <v>42</v>
      </c>
      <c r="S83" s="137" t="str">
        <f>IFERROR(VLOOKUP(MID(N83,Q83,R83-Q83),[5]skilldef!$C:$D,2,FALSE),"-") &amp; " / " &amp; IFERROR(VLOOKUP(MID(N83,O83,P83-O83),[5]skilldef!$A:$B,2,FALSE),"-")</f>
        <v>味方全体に / -</v>
      </c>
      <c r="T83" s="136" t="str">
        <f t="shared" si="348"/>
        <v>none</v>
      </c>
      <c r="U83" s="137" t="e">
        <f t="shared" si="349"/>
        <v>#VALUE!</v>
      </c>
      <c r="V83" s="137">
        <f t="shared" si="350"/>
        <v>4</v>
      </c>
      <c r="W83" s="137" t="e">
        <f t="shared" si="351"/>
        <v>#VALUE!</v>
      </c>
      <c r="X83" s="137" t="e">
        <f t="shared" si="352"/>
        <v>#VALUE!</v>
      </c>
      <c r="Y83" s="137" t="str">
        <f>IFERROR(VLOOKUP(MID(T83,W83,X83-W83),[5]skilldef!$C:$D,2,FALSE),"-") &amp; " / " &amp; IFERROR(VLOOKUP(MID(T83,U83,V83-U83),[5]skilldef!$A:$B,2,FALSE),"-")</f>
        <v>- / -</v>
      </c>
      <c r="Z83" s="162"/>
      <c r="AA83" s="163"/>
      <c r="AB83" s="162"/>
    </row>
    <row r="84" spans="1:28" s="164" customFormat="1" ht="23" customHeight="1" x14ac:dyDescent="0.15">
      <c r="A84" s="136">
        <v>59002083</v>
      </c>
      <c r="B84" s="136" t="s">
        <v>606</v>
      </c>
      <c r="C84" s="162">
        <v>3</v>
      </c>
      <c r="D84" s="162" t="s">
        <v>127</v>
      </c>
      <c r="E84" s="137" t="s">
        <v>409</v>
      </c>
      <c r="F84" s="137" t="s">
        <v>266</v>
      </c>
      <c r="G84" s="137" t="str">
        <f t="shared" si="303"/>
        <v>[effect:enemy_message, val1:1.5, val2:1.2]</v>
      </c>
      <c r="H84" s="137">
        <f t="shared" si="15"/>
        <v>9</v>
      </c>
      <c r="I84" s="137">
        <f t="shared" ref="I84:I93" si="353">IFERROR(FIND(",",G84),LEN(G84))</f>
        <v>22</v>
      </c>
      <c r="J84" s="137" t="e">
        <f t="shared" ref="J84:J93" si="354">FIND("target:",G84)+7</f>
        <v>#VALUE!</v>
      </c>
      <c r="K84" s="137">
        <f t="shared" ref="K84:K93" si="355">FIND(",",G84,I84+1)</f>
        <v>32</v>
      </c>
      <c r="L84" s="137" t="str">
        <f>IFERROR(VLOOKUP(MID(G84,J84,K84-J84),[5]skilldef!$C:$D,2,FALSE),"-") &amp; " / " &amp; IFERROR(VLOOKUP(MID(G84,H84,I84-H84),[5]skilldef!$A:$B,2,FALSE),"-")</f>
        <v>- / -</v>
      </c>
      <c r="M84" s="137" t="str">
        <f t="shared" si="304"/>
        <v>[effect:change_attribute, target:myself, turn:-1, color:green]</v>
      </c>
      <c r="N84" s="136" t="str">
        <f>IFERROR(LEFT(M84,FIND("],",M84)+#REF!),M84)</f>
        <v>[effect:change_attribute, target:myself, turn:-1, color:green]</v>
      </c>
      <c r="O84" s="137">
        <f t="shared" si="20"/>
        <v>9</v>
      </c>
      <c r="P84" s="137">
        <f t="shared" ref="P84:P93" si="356">IFERROR(FIND(",",N84),LEN(N84))</f>
        <v>25</v>
      </c>
      <c r="Q84" s="137">
        <f t="shared" ref="Q84:Q93" si="357">FIND("target:",N84)+7</f>
        <v>34</v>
      </c>
      <c r="R84" s="137">
        <f t="shared" ref="R84:R93" si="358">FIND(",",N84,P84+1)</f>
        <v>40</v>
      </c>
      <c r="S84" s="137" t="str">
        <f>IFERROR(VLOOKUP(MID(N84,Q84,R84-Q84),[5]skilldef!$C:$D,2,FALSE),"-") &amp; " / " &amp; IFERROR(VLOOKUP(MID(N84,O84,P84-O84),[5]skilldef!$A:$B,2,FALSE),"-")</f>
        <v>自分自身に / -</v>
      </c>
      <c r="T84" s="136" t="str">
        <f t="shared" ref="T84:T93" si="359">IFERROR(RIGHT(M84,LEN(M84)-FIND("],",M84)-1),"none")</f>
        <v>none</v>
      </c>
      <c r="U84" s="137" t="e">
        <f t="shared" si="25"/>
        <v>#VALUE!</v>
      </c>
      <c r="V84" s="137">
        <f t="shared" ref="V84:V93" si="360">IFERROR(FIND(",",T84),LEN(T84))</f>
        <v>4</v>
      </c>
      <c r="W84" s="137" t="e">
        <f t="shared" ref="W84:W93" si="361">FIND("target:",T84)+7</f>
        <v>#VALUE!</v>
      </c>
      <c r="X84" s="137" t="e">
        <f t="shared" ref="X84:X93" si="362">FIND(",",T84,V84+1)</f>
        <v>#VALUE!</v>
      </c>
      <c r="Y84" s="137" t="str">
        <f>IFERROR(VLOOKUP(MID(T84,W84,X84-W84),[5]skilldef!$C:$D,2,FALSE),"-") &amp; " / " &amp; IFERROR(VLOOKUP(MID(T84,U84,V84-U84),[5]skilldef!$A:$B,2,FALSE),"-")</f>
        <v>- / -</v>
      </c>
      <c r="Z84" s="162"/>
      <c r="AA84" s="163"/>
      <c r="AB84" s="162"/>
    </row>
    <row r="85" spans="1:28" s="164" customFormat="1" ht="23" customHeight="1" x14ac:dyDescent="0.15">
      <c r="A85" s="136">
        <v>59002084</v>
      </c>
      <c r="B85" s="136" t="s">
        <v>544</v>
      </c>
      <c r="C85" s="162">
        <v>3</v>
      </c>
      <c r="D85" s="162" t="s">
        <v>127</v>
      </c>
      <c r="E85" s="137" t="s">
        <v>307</v>
      </c>
      <c r="F85" s="137" t="s">
        <v>532</v>
      </c>
      <c r="G85" s="137" t="str">
        <f t="shared" si="303"/>
        <v>[effect:enemy_message, val1:1.2, val2:2.1]</v>
      </c>
      <c r="H85" s="137">
        <f t="shared" si="15"/>
        <v>9</v>
      </c>
      <c r="I85" s="137">
        <f t="shared" si="353"/>
        <v>22</v>
      </c>
      <c r="J85" s="137" t="e">
        <f t="shared" si="354"/>
        <v>#VALUE!</v>
      </c>
      <c r="K85" s="137">
        <f t="shared" si="355"/>
        <v>32</v>
      </c>
      <c r="L85" s="137" t="str">
        <f>IFERROR(VLOOKUP(MID(G85,J85,K85-J85),[5]skilldef!$C:$D,2,FALSE),"-") &amp; " / " &amp; IFERROR(VLOOKUP(MID(G85,H85,I85-H85),[5]skilldef!$A:$B,2,FALSE),"-")</f>
        <v>- / -</v>
      </c>
      <c r="M85" s="137" t="str">
        <f t="shared" si="304"/>
        <v>[effect:force_change_block, new_block:block_green, target:normal, count:15, val:0, animation:change_block],[effect:spread, val:0.25]</v>
      </c>
      <c r="N85" s="136" t="str">
        <f>IFERROR(LEFT(M85,FIND("],",M85)+#REF!),M85)</f>
        <v>[effect:force_change_block, new_block:block_green, target:normal, count:15, val:0, animation:change_block],[effect:spread, val:0.25]</v>
      </c>
      <c r="O85" s="137">
        <f t="shared" si="20"/>
        <v>9</v>
      </c>
      <c r="P85" s="137">
        <f t="shared" si="356"/>
        <v>27</v>
      </c>
      <c r="Q85" s="137">
        <f t="shared" si="357"/>
        <v>59</v>
      </c>
      <c r="R85" s="137">
        <f t="shared" si="358"/>
        <v>50</v>
      </c>
      <c r="S85" s="137" t="str">
        <f>IFERROR(VLOOKUP(MID(N85,Q85,R85-Q85),[5]skilldef!$C:$D,2,FALSE),"-") &amp; " / " &amp; IFERROR(VLOOKUP(MID(N85,O85,P85-O85),[5]skilldef!$A:$B,2,FALSE),"-")</f>
        <v>- / -</v>
      </c>
      <c r="T85" s="136" t="str">
        <f t="shared" si="359"/>
        <v>[effect:spread, val:0.25]</v>
      </c>
      <c r="U85" s="137">
        <f t="shared" si="25"/>
        <v>9</v>
      </c>
      <c r="V85" s="137">
        <f t="shared" si="360"/>
        <v>15</v>
      </c>
      <c r="W85" s="137" t="e">
        <f t="shared" si="361"/>
        <v>#VALUE!</v>
      </c>
      <c r="X85" s="137" t="e">
        <f t="shared" si="362"/>
        <v>#VALUE!</v>
      </c>
      <c r="Y85" s="137" t="str">
        <f>IFERROR(VLOOKUP(MID(T85,W85,X85-W85),[5]skilldef!$C:$D,2,FALSE),"-") &amp; " / " &amp; IFERROR(VLOOKUP(MID(T85,U85,V85-U85),[5]skilldef!$A:$B,2,FALSE),"-")</f>
        <v>- / 全体攻撃</v>
      </c>
      <c r="Z85" s="162"/>
      <c r="AA85" s="163"/>
      <c r="AB85" s="162"/>
    </row>
    <row r="86" spans="1:28" s="164" customFormat="1" ht="23" customHeight="1" x14ac:dyDescent="0.15">
      <c r="A86" s="136">
        <v>59002085</v>
      </c>
      <c r="B86" s="136" t="s">
        <v>545</v>
      </c>
      <c r="C86" s="162">
        <v>3</v>
      </c>
      <c r="D86" s="162" t="s">
        <v>127</v>
      </c>
      <c r="E86" s="137" t="s">
        <v>404</v>
      </c>
      <c r="F86" s="137" t="s">
        <v>533</v>
      </c>
      <c r="G86" s="137" t="str">
        <f t="shared" si="303"/>
        <v>[effect:enemy_message, val1:1.6, val2:2.1]</v>
      </c>
      <c r="H86" s="137">
        <f t="shared" si="15"/>
        <v>9</v>
      </c>
      <c r="I86" s="137">
        <f t="shared" si="353"/>
        <v>22</v>
      </c>
      <c r="J86" s="137" t="e">
        <f t="shared" si="354"/>
        <v>#VALUE!</v>
      </c>
      <c r="K86" s="137">
        <f t="shared" si="355"/>
        <v>32</v>
      </c>
      <c r="L86" s="137" t="str">
        <f>IFERROR(VLOOKUP(MID(G86,J86,K86-J86),[5]skilldef!$C:$D,2,FALSE),"-") &amp; " / " &amp; IFERROR(VLOOKUP(MID(G86,H86,I86-H86),[5]skilldef!$A:$B,2,FALSE),"-")</f>
        <v>- / -</v>
      </c>
      <c r="M86" s="137" t="str">
        <f t="shared" si="304"/>
        <v>[effect:force_change_block, new_block:block_blue, target:normal, count:15, val:0, animation:change_block],[effect:spread, val:0.25]</v>
      </c>
      <c r="N86" s="136" t="str">
        <f>IFERROR(LEFT(M86,FIND("],",M86)+#REF!),M86)</f>
        <v>[effect:force_change_block, new_block:block_blue, target:normal, count:15, val:0, animation:change_block],[effect:spread, val:0.25]</v>
      </c>
      <c r="O86" s="137">
        <f t="shared" si="20"/>
        <v>9</v>
      </c>
      <c r="P86" s="137">
        <f t="shared" si="356"/>
        <v>27</v>
      </c>
      <c r="Q86" s="137">
        <f t="shared" si="357"/>
        <v>58</v>
      </c>
      <c r="R86" s="137">
        <f t="shared" si="358"/>
        <v>49</v>
      </c>
      <c r="S86" s="137" t="str">
        <f>IFERROR(VLOOKUP(MID(N86,Q86,R86-Q86),[5]skilldef!$C:$D,2,FALSE),"-") &amp; " / " &amp; IFERROR(VLOOKUP(MID(N86,O86,P86-O86),[5]skilldef!$A:$B,2,FALSE),"-")</f>
        <v>- / -</v>
      </c>
      <c r="T86" s="136" t="str">
        <f t="shared" si="359"/>
        <v>[effect:spread, val:0.25]</v>
      </c>
      <c r="U86" s="137">
        <f t="shared" si="25"/>
        <v>9</v>
      </c>
      <c r="V86" s="137">
        <f t="shared" si="360"/>
        <v>15</v>
      </c>
      <c r="W86" s="137" t="e">
        <f t="shared" si="361"/>
        <v>#VALUE!</v>
      </c>
      <c r="X86" s="137" t="e">
        <f t="shared" si="362"/>
        <v>#VALUE!</v>
      </c>
      <c r="Y86" s="137" t="str">
        <f>IFERROR(VLOOKUP(MID(T86,W86,X86-W86),[5]skilldef!$C:$D,2,FALSE),"-") &amp; " / " &amp; IFERROR(VLOOKUP(MID(T86,U86,V86-U86),[5]skilldef!$A:$B,2,FALSE),"-")</f>
        <v>- / 全体攻撃</v>
      </c>
      <c r="Z86" s="162"/>
      <c r="AA86" s="163"/>
      <c r="AB86" s="162"/>
    </row>
    <row r="87" spans="1:28" s="164" customFormat="1" ht="23" customHeight="1" x14ac:dyDescent="0.15">
      <c r="A87" s="136">
        <v>59002086</v>
      </c>
      <c r="B87" s="136" t="s">
        <v>382</v>
      </c>
      <c r="C87" s="162">
        <v>3</v>
      </c>
      <c r="D87" s="162" t="s">
        <v>127</v>
      </c>
      <c r="E87" s="137" t="s">
        <v>408</v>
      </c>
      <c r="F87" s="137" t="s">
        <v>435</v>
      </c>
      <c r="G87" s="137" t="str">
        <f t="shared" si="303"/>
        <v>[effect:enemy_message, val1:1.2, val2:1.2]</v>
      </c>
      <c r="H87" s="137">
        <f t="shared" ref="H87:H93" si="363">FIND("effect:",G87)+7</f>
        <v>9</v>
      </c>
      <c r="I87" s="137">
        <f t="shared" si="353"/>
        <v>22</v>
      </c>
      <c r="J87" s="137" t="e">
        <f t="shared" si="354"/>
        <v>#VALUE!</v>
      </c>
      <c r="K87" s="137">
        <f t="shared" si="355"/>
        <v>32</v>
      </c>
      <c r="L87" s="137" t="str">
        <f>IFERROR(VLOOKUP(MID(G87,J87,K87-J87),[5]skilldef!$C:$D,2,FALSE),"-") &amp; " / " &amp; IFERROR(VLOOKUP(MID(G87,H87,I87-H87),[5]skilldef!$A:$B,2,FALSE),"-")</f>
        <v>- / -</v>
      </c>
      <c r="M87" s="137" t="str">
        <f t="shared" si="304"/>
        <v>[effect:dark, target:unit_all, turn:2, animation:enemy_dark]</v>
      </c>
      <c r="N87" s="136" t="str">
        <f>IFERROR(LEFT(M87,FIND("],",M87)+#REF!),M87)</f>
        <v>[effect:dark, target:unit_all, turn:2, animation:enemy_dark]</v>
      </c>
      <c r="O87" s="137">
        <f t="shared" ref="O87:O93" si="364">FIND("effect:",N87)+7</f>
        <v>9</v>
      </c>
      <c r="P87" s="137">
        <f t="shared" si="356"/>
        <v>13</v>
      </c>
      <c r="Q87" s="137">
        <f t="shared" si="357"/>
        <v>22</v>
      </c>
      <c r="R87" s="137">
        <f t="shared" si="358"/>
        <v>30</v>
      </c>
      <c r="S87" s="137" t="str">
        <f>IFERROR(VLOOKUP(MID(N87,Q87,R87-Q87),[5]skilldef!$C:$D,2,FALSE),"-") &amp; " / " &amp; IFERROR(VLOOKUP(MID(N87,O87,P87-O87),[5]skilldef!$A:$B,2,FALSE),"-")</f>
        <v>味方全体に / 暗黒</v>
      </c>
      <c r="T87" s="136" t="str">
        <f t="shared" si="359"/>
        <v>none</v>
      </c>
      <c r="U87" s="137" t="e">
        <f t="shared" ref="U87:U93" si="365">FIND("effect:",T87)+7</f>
        <v>#VALUE!</v>
      </c>
      <c r="V87" s="137">
        <f t="shared" si="360"/>
        <v>4</v>
      </c>
      <c r="W87" s="137" t="e">
        <f t="shared" si="361"/>
        <v>#VALUE!</v>
      </c>
      <c r="X87" s="137" t="e">
        <f t="shared" si="362"/>
        <v>#VALUE!</v>
      </c>
      <c r="Y87" s="137" t="str">
        <f>IFERROR(VLOOKUP(MID(T87,W87,X87-W87),[5]skilldef!$C:$D,2,FALSE),"-") &amp; " / " &amp; IFERROR(VLOOKUP(MID(T87,U87,V87-U87),[5]skilldef!$A:$B,2,FALSE),"-")</f>
        <v>- / -</v>
      </c>
      <c r="Z87" s="162"/>
      <c r="AA87" s="163"/>
      <c r="AB87" s="162"/>
    </row>
    <row r="88" spans="1:28" s="164" customFormat="1" ht="23" customHeight="1" x14ac:dyDescent="0.15">
      <c r="A88" s="136">
        <v>59002087</v>
      </c>
      <c r="B88" s="136" t="s">
        <v>444</v>
      </c>
      <c r="C88" s="162">
        <v>3</v>
      </c>
      <c r="D88" s="162" t="s">
        <v>127</v>
      </c>
      <c r="E88" s="137" t="s">
        <v>407</v>
      </c>
      <c r="F88" s="137" t="s">
        <v>267</v>
      </c>
      <c r="G88" s="137" t="str">
        <f t="shared" si="303"/>
        <v>[effect:enemy_message, val1:1.2, val2:1.3]</v>
      </c>
      <c r="H88" s="137">
        <f t="shared" si="363"/>
        <v>9</v>
      </c>
      <c r="I88" s="137">
        <f t="shared" si="353"/>
        <v>22</v>
      </c>
      <c r="J88" s="137" t="e">
        <f t="shared" si="354"/>
        <v>#VALUE!</v>
      </c>
      <c r="K88" s="137">
        <f t="shared" si="355"/>
        <v>32</v>
      </c>
      <c r="L88" s="137" t="str">
        <f>IFERROR(VLOOKUP(MID(G88,J88,K88-J88),[5]skilldef!$C:$D,2,FALSE),"-") &amp; " / " &amp; IFERROR(VLOOKUP(MID(G88,H88,I88-H88),[5]skilldef!$A:$B,2,FALSE),"-")</f>
        <v>- / -</v>
      </c>
      <c r="M88" s="137" t="str">
        <f t="shared" si="304"/>
        <v>[effect:break_attack_fix, target:unit_all, val:60, lowest_val:4000, count:-1, color:green, block01:block_yellow]</v>
      </c>
      <c r="N88" s="136" t="str">
        <f>IFERROR(LEFT(M88,FIND("],",M88)+#REF!),M88)</f>
        <v>[effect:break_attack_fix, target:unit_all, val:60, lowest_val:4000, count:-1, color:green, block01:block_yellow]</v>
      </c>
      <c r="O88" s="137">
        <f t="shared" si="364"/>
        <v>9</v>
      </c>
      <c r="P88" s="137">
        <f t="shared" si="356"/>
        <v>25</v>
      </c>
      <c r="Q88" s="137">
        <f t="shared" si="357"/>
        <v>34</v>
      </c>
      <c r="R88" s="137">
        <f t="shared" si="358"/>
        <v>42</v>
      </c>
      <c r="S88" s="137" t="str">
        <f>IFERROR(VLOOKUP(MID(N88,Q88,R88-Q88),[5]skilldef!$C:$D,2,FALSE),"-") &amp; " / " &amp; IFERROR(VLOOKUP(MID(N88,O88,P88-O88),[5]skilldef!$A:$B,2,FALSE),"-")</f>
        <v>味方全体に / -</v>
      </c>
      <c r="T88" s="136" t="str">
        <f t="shared" si="359"/>
        <v>none</v>
      </c>
      <c r="U88" s="137" t="e">
        <f t="shared" si="365"/>
        <v>#VALUE!</v>
      </c>
      <c r="V88" s="137">
        <f t="shared" si="360"/>
        <v>4</v>
      </c>
      <c r="W88" s="137" t="e">
        <f t="shared" si="361"/>
        <v>#VALUE!</v>
      </c>
      <c r="X88" s="137" t="e">
        <f t="shared" si="362"/>
        <v>#VALUE!</v>
      </c>
      <c r="Y88" s="137" t="str">
        <f>IFERROR(VLOOKUP(MID(T88,W88,X88-W88),[5]skilldef!$C:$D,2,FALSE),"-") &amp; " / " &amp; IFERROR(VLOOKUP(MID(T88,U88,V88-U88),[5]skilldef!$A:$B,2,FALSE),"-")</f>
        <v>- / -</v>
      </c>
      <c r="Z88" s="162"/>
      <c r="AA88" s="163"/>
      <c r="AB88" s="162"/>
    </row>
    <row r="89" spans="1:28" s="164" customFormat="1" ht="23" customHeight="1" x14ac:dyDescent="0.15">
      <c r="A89" s="136">
        <v>59002088</v>
      </c>
      <c r="B89" s="136" t="s">
        <v>445</v>
      </c>
      <c r="C89" s="162">
        <v>3</v>
      </c>
      <c r="D89" s="162" t="s">
        <v>127</v>
      </c>
      <c r="E89" s="137" t="s">
        <v>407</v>
      </c>
      <c r="F89" s="137" t="s">
        <v>269</v>
      </c>
      <c r="G89" s="137" t="str">
        <f t="shared" si="303"/>
        <v>[effect:enemy_message, val1:1.2, val2:1.3]</v>
      </c>
      <c r="H89" s="137">
        <f t="shared" si="363"/>
        <v>9</v>
      </c>
      <c r="I89" s="137">
        <f t="shared" si="353"/>
        <v>22</v>
      </c>
      <c r="J89" s="137" t="e">
        <f t="shared" si="354"/>
        <v>#VALUE!</v>
      </c>
      <c r="K89" s="137">
        <f t="shared" si="355"/>
        <v>32</v>
      </c>
      <c r="L89" s="137" t="str">
        <f>IFERROR(VLOOKUP(MID(G89,J89,K89-J89),[5]skilldef!$C:$D,2,FALSE),"-") &amp; " / " &amp; IFERROR(VLOOKUP(MID(G89,H89,I89-H89),[5]skilldef!$A:$B,2,FALSE),"-")</f>
        <v>- / -</v>
      </c>
      <c r="M89" s="137" t="str">
        <f t="shared" si="304"/>
        <v>[effect:break_attack_fix, target:unit_all, val:60, lowest_val:4000, count:-1, color:green, block01:block_green]</v>
      </c>
      <c r="N89" s="136" t="str">
        <f>IFERROR(LEFT(M89,FIND("],",M89)+#REF!),M89)</f>
        <v>[effect:break_attack_fix, target:unit_all, val:60, lowest_val:4000, count:-1, color:green, block01:block_green]</v>
      </c>
      <c r="O89" s="137">
        <f t="shared" si="364"/>
        <v>9</v>
      </c>
      <c r="P89" s="137">
        <f t="shared" si="356"/>
        <v>25</v>
      </c>
      <c r="Q89" s="137">
        <f t="shared" si="357"/>
        <v>34</v>
      </c>
      <c r="R89" s="137">
        <f t="shared" si="358"/>
        <v>42</v>
      </c>
      <c r="S89" s="137" t="str">
        <f>IFERROR(VLOOKUP(MID(N89,Q89,R89-Q89),[5]skilldef!$C:$D,2,FALSE),"-") &amp; " / " &amp; IFERROR(VLOOKUP(MID(N89,O89,P89-O89),[5]skilldef!$A:$B,2,FALSE),"-")</f>
        <v>味方全体に / -</v>
      </c>
      <c r="T89" s="136" t="str">
        <f t="shared" si="359"/>
        <v>none</v>
      </c>
      <c r="U89" s="137" t="e">
        <f t="shared" si="365"/>
        <v>#VALUE!</v>
      </c>
      <c r="V89" s="137">
        <f t="shared" si="360"/>
        <v>4</v>
      </c>
      <c r="W89" s="137" t="e">
        <f t="shared" si="361"/>
        <v>#VALUE!</v>
      </c>
      <c r="X89" s="137" t="e">
        <f t="shared" si="362"/>
        <v>#VALUE!</v>
      </c>
      <c r="Y89" s="137" t="str">
        <f>IFERROR(VLOOKUP(MID(T89,W89,X89-W89),[5]skilldef!$C:$D,2,FALSE),"-") &amp; " / " &amp; IFERROR(VLOOKUP(MID(T89,U89,V89-U89),[5]skilldef!$A:$B,2,FALSE),"-")</f>
        <v>- / -</v>
      </c>
      <c r="Z89" s="162"/>
      <c r="AA89" s="163"/>
      <c r="AB89" s="162"/>
    </row>
    <row r="90" spans="1:28" s="164" customFormat="1" ht="23" customHeight="1" x14ac:dyDescent="0.15">
      <c r="A90" s="136">
        <v>59002089</v>
      </c>
      <c r="B90" s="136" t="s">
        <v>443</v>
      </c>
      <c r="C90" s="162">
        <v>3</v>
      </c>
      <c r="D90" s="162" t="s">
        <v>127</v>
      </c>
      <c r="E90" s="137" t="s">
        <v>406</v>
      </c>
      <c r="F90" s="137" t="s">
        <v>436</v>
      </c>
      <c r="G90" s="137" t="str">
        <f t="shared" si="303"/>
        <v>[effect:enemy_message, val1:1.2, val2:1.7]</v>
      </c>
      <c r="H90" s="137">
        <f t="shared" si="363"/>
        <v>9</v>
      </c>
      <c r="I90" s="137">
        <f t="shared" si="353"/>
        <v>22</v>
      </c>
      <c r="J90" s="137" t="e">
        <f t="shared" si="354"/>
        <v>#VALUE!</v>
      </c>
      <c r="K90" s="137">
        <f t="shared" si="355"/>
        <v>32</v>
      </c>
      <c r="L90" s="137" t="str">
        <f>IFERROR(VLOOKUP(MID(G90,J90,K90-J90),[5]skilldef!$C:$D,2,FALSE),"-") &amp; " / " &amp; IFERROR(VLOOKUP(MID(G90,H90,I90-H90),[5]skilldef!$A:$B,2,FALSE),"-")</f>
        <v>- / -</v>
      </c>
      <c r="M90" s="137" t="str">
        <f t="shared" si="304"/>
        <v>[effect:hungup, target:unit_all, turn:1, rate:1, animation:hungup01]</v>
      </c>
      <c r="N90" s="136" t="str">
        <f>IFERROR(LEFT(M90,FIND("],",M90)+#REF!),M90)</f>
        <v>[effect:hungup, target:unit_all, turn:1, rate:1, animation:hungup01]</v>
      </c>
      <c r="O90" s="137">
        <f t="shared" si="364"/>
        <v>9</v>
      </c>
      <c r="P90" s="137">
        <f t="shared" si="356"/>
        <v>15</v>
      </c>
      <c r="Q90" s="137">
        <f t="shared" si="357"/>
        <v>24</v>
      </c>
      <c r="R90" s="137">
        <f t="shared" si="358"/>
        <v>32</v>
      </c>
      <c r="S90" s="137" t="str">
        <f>IFERROR(VLOOKUP(MID(N90,Q90,R90-Q90),[5]skilldef!$C:$D,2,FALSE),"-") &amp; " / " &amp; IFERROR(VLOOKUP(MID(N90,O90,P90-O90),[5]skilldef!$A:$B,2,FALSE),"-")</f>
        <v>味方全体に / ハングアップ</v>
      </c>
      <c r="T90" s="136" t="str">
        <f t="shared" si="359"/>
        <v>none</v>
      </c>
      <c r="U90" s="137" t="e">
        <f t="shared" si="365"/>
        <v>#VALUE!</v>
      </c>
      <c r="V90" s="137">
        <f t="shared" si="360"/>
        <v>4</v>
      </c>
      <c r="W90" s="137" t="e">
        <f t="shared" si="361"/>
        <v>#VALUE!</v>
      </c>
      <c r="X90" s="137" t="e">
        <f t="shared" si="362"/>
        <v>#VALUE!</v>
      </c>
      <c r="Y90" s="137" t="str">
        <f>IFERROR(VLOOKUP(MID(T90,W90,X90-W90),[5]skilldef!$C:$D,2,FALSE),"-") &amp; " / " &amp; IFERROR(VLOOKUP(MID(T90,U90,V90-U90),[5]skilldef!$A:$B,2,FALSE),"-")</f>
        <v>- / -</v>
      </c>
      <c r="Z90" s="162"/>
      <c r="AA90" s="163"/>
      <c r="AB90" s="162"/>
    </row>
    <row r="91" spans="1:28" s="164" customFormat="1" ht="23" customHeight="1" x14ac:dyDescent="0.15">
      <c r="A91" s="136">
        <v>59002090</v>
      </c>
      <c r="B91" s="136" t="s">
        <v>446</v>
      </c>
      <c r="C91" s="162">
        <v>3</v>
      </c>
      <c r="D91" s="162" t="s">
        <v>127</v>
      </c>
      <c r="E91" s="137" t="s">
        <v>308</v>
      </c>
      <c r="F91" s="137" t="s">
        <v>268</v>
      </c>
      <c r="G91" s="137" t="str">
        <f t="shared" si="303"/>
        <v>[effect:enemy_message, val1:1.2, val2:1.5]</v>
      </c>
      <c r="H91" s="137">
        <f t="shared" si="363"/>
        <v>9</v>
      </c>
      <c r="I91" s="137">
        <f t="shared" si="353"/>
        <v>22</v>
      </c>
      <c r="J91" s="137" t="e">
        <f t="shared" si="354"/>
        <v>#VALUE!</v>
      </c>
      <c r="K91" s="137">
        <f t="shared" si="355"/>
        <v>32</v>
      </c>
      <c r="L91" s="137" t="str">
        <f>IFERROR(VLOOKUP(MID(G91,J91,K91-J91),[5]skilldef!$C:$D,2,FALSE),"-") &amp; " / " &amp; IFERROR(VLOOKUP(MID(G91,H91,I91-H91),[5]skilldef!$A:$B,2,FALSE),"-")</f>
        <v>- / -</v>
      </c>
      <c r="M91" s="137" t="str">
        <f t="shared" si="304"/>
        <v>[effect:break_attack_fix, target:unit_all, val:40, lowest_val:4000, count:-1, color:green, block01:block_yellow, block02:block_green]</v>
      </c>
      <c r="N91" s="136" t="str">
        <f>IFERROR(LEFT(M91,FIND("],",M91)+#REF!),M91)</f>
        <v>[effect:break_attack_fix, target:unit_all, val:40, lowest_val:4000, count:-1, color:green, block01:block_yellow, block02:block_green]</v>
      </c>
      <c r="O91" s="137">
        <f t="shared" si="364"/>
        <v>9</v>
      </c>
      <c r="P91" s="137">
        <f t="shared" si="356"/>
        <v>25</v>
      </c>
      <c r="Q91" s="137">
        <f t="shared" si="357"/>
        <v>34</v>
      </c>
      <c r="R91" s="137">
        <f t="shared" si="358"/>
        <v>42</v>
      </c>
      <c r="S91" s="137" t="str">
        <f>IFERROR(VLOOKUP(MID(N91,Q91,R91-Q91),[5]skilldef!$C:$D,2,FALSE),"-") &amp; " / " &amp; IFERROR(VLOOKUP(MID(N91,O91,P91-O91),[5]skilldef!$A:$B,2,FALSE),"-")</f>
        <v>味方全体に / -</v>
      </c>
      <c r="T91" s="136" t="str">
        <f t="shared" si="359"/>
        <v>none</v>
      </c>
      <c r="U91" s="137" t="e">
        <f t="shared" si="365"/>
        <v>#VALUE!</v>
      </c>
      <c r="V91" s="137">
        <f t="shared" si="360"/>
        <v>4</v>
      </c>
      <c r="W91" s="137" t="e">
        <f t="shared" si="361"/>
        <v>#VALUE!</v>
      </c>
      <c r="X91" s="137" t="e">
        <f t="shared" si="362"/>
        <v>#VALUE!</v>
      </c>
      <c r="Y91" s="137" t="str">
        <f>IFERROR(VLOOKUP(MID(T91,W91,X91-W91),[5]skilldef!$C:$D,2,FALSE),"-") &amp; " / " &amp; IFERROR(VLOOKUP(MID(T91,U91,V91-U91),[5]skilldef!$A:$B,2,FALSE),"-")</f>
        <v>- / -</v>
      </c>
      <c r="Z91" s="162"/>
      <c r="AA91" s="163"/>
      <c r="AB91" s="162"/>
    </row>
    <row r="92" spans="1:28" s="164" customFormat="1" ht="23" customHeight="1" x14ac:dyDescent="0.15">
      <c r="A92" s="136">
        <v>59002091</v>
      </c>
      <c r="B92" s="136" t="s">
        <v>386</v>
      </c>
      <c r="C92" s="162">
        <v>3</v>
      </c>
      <c r="D92" s="162" t="s">
        <v>127</v>
      </c>
      <c r="E92" s="137" t="s">
        <v>309</v>
      </c>
      <c r="F92" s="137" t="s">
        <v>437</v>
      </c>
      <c r="G92" s="137" t="str">
        <f t="shared" si="303"/>
        <v>[effect:enemy_message, val1:1.2, val2:1.2]</v>
      </c>
      <c r="H92" s="137">
        <f t="shared" si="363"/>
        <v>9</v>
      </c>
      <c r="I92" s="137">
        <f t="shared" si="353"/>
        <v>22</v>
      </c>
      <c r="J92" s="137" t="e">
        <f t="shared" si="354"/>
        <v>#VALUE!</v>
      </c>
      <c r="K92" s="137">
        <f t="shared" si="355"/>
        <v>32</v>
      </c>
      <c r="L92" s="137" t="str">
        <f>IFERROR(VLOOKUP(MID(G92,J92,K92-J92),[5]skilldef!$C:$D,2,FALSE),"-") &amp; " / " &amp; IFERROR(VLOOKUP(MID(G92,H92,I92-H92),[5]skilldef!$A:$B,2,FALSE),"-")</f>
        <v>- / -</v>
      </c>
      <c r="M92" s="137" t="str">
        <f t="shared" si="304"/>
        <v>[effect:dark, target:unit_all, turn:1, animation:enemy_dark]</v>
      </c>
      <c r="N92" s="136" t="str">
        <f>IFERROR(LEFT(M92,FIND("],",M92)+#REF!),M92)</f>
        <v>[effect:dark, target:unit_all, turn:1, animation:enemy_dark]</v>
      </c>
      <c r="O92" s="137">
        <f t="shared" si="364"/>
        <v>9</v>
      </c>
      <c r="P92" s="137">
        <f t="shared" si="356"/>
        <v>13</v>
      </c>
      <c r="Q92" s="137">
        <f t="shared" si="357"/>
        <v>22</v>
      </c>
      <c r="R92" s="137">
        <f t="shared" si="358"/>
        <v>30</v>
      </c>
      <c r="S92" s="137" t="str">
        <f>IFERROR(VLOOKUP(MID(N92,Q92,R92-Q92),[5]skilldef!$C:$D,2,FALSE),"-") &amp; " / " &amp; IFERROR(VLOOKUP(MID(N92,O92,P92-O92),[5]skilldef!$A:$B,2,FALSE),"-")</f>
        <v>味方全体に / 暗黒</v>
      </c>
      <c r="T92" s="136" t="str">
        <f t="shared" si="359"/>
        <v>none</v>
      </c>
      <c r="U92" s="137" t="e">
        <f t="shared" si="365"/>
        <v>#VALUE!</v>
      </c>
      <c r="V92" s="137">
        <f t="shared" si="360"/>
        <v>4</v>
      </c>
      <c r="W92" s="137" t="e">
        <f t="shared" si="361"/>
        <v>#VALUE!</v>
      </c>
      <c r="X92" s="137" t="e">
        <f t="shared" si="362"/>
        <v>#VALUE!</v>
      </c>
      <c r="Y92" s="137" t="str">
        <f>IFERROR(VLOOKUP(MID(T92,W92,X92-W92),[5]skilldef!$C:$D,2,FALSE),"-") &amp; " / " &amp; IFERROR(VLOOKUP(MID(T92,U92,V92-U92),[5]skilldef!$A:$B,2,FALSE),"-")</f>
        <v>- / -</v>
      </c>
      <c r="Z92" s="162"/>
      <c r="AA92" s="163"/>
      <c r="AB92" s="162"/>
    </row>
    <row r="93" spans="1:28" s="164" customFormat="1" ht="23" customHeight="1" x14ac:dyDescent="0.15">
      <c r="A93" s="136">
        <v>59002092</v>
      </c>
      <c r="B93" s="136" t="s">
        <v>446</v>
      </c>
      <c r="C93" s="162">
        <v>3</v>
      </c>
      <c r="D93" s="162" t="s">
        <v>127</v>
      </c>
      <c r="E93" s="137" t="s">
        <v>310</v>
      </c>
      <c r="F93" s="137" t="s">
        <v>268</v>
      </c>
      <c r="G93" s="137" t="str">
        <f t="shared" si="303"/>
        <v>[effect:enemy_message, val1:1.2, val2:1.5]</v>
      </c>
      <c r="H93" s="137">
        <f t="shared" si="363"/>
        <v>9</v>
      </c>
      <c r="I93" s="137">
        <f t="shared" si="353"/>
        <v>22</v>
      </c>
      <c r="J93" s="137" t="e">
        <f t="shared" si="354"/>
        <v>#VALUE!</v>
      </c>
      <c r="K93" s="137">
        <f t="shared" si="355"/>
        <v>32</v>
      </c>
      <c r="L93" s="137" t="str">
        <f>IFERROR(VLOOKUP(MID(G93,J93,K93-J93),[5]skilldef!$C:$D,2,FALSE),"-") &amp; " / " &amp; IFERROR(VLOOKUP(MID(G93,H93,I93-H93),[5]skilldef!$A:$B,2,FALSE),"-")</f>
        <v>- / -</v>
      </c>
      <c r="M93" s="137" t="str">
        <f t="shared" si="304"/>
        <v>[effect:break_attack_fix, target:unit_all, val:40, lowest_val:4000, count:-1, color:green, block01:block_yellow, block02:block_green]</v>
      </c>
      <c r="N93" s="136" t="str">
        <f>IFERROR(LEFT(M93,FIND("],",M93)+S113),M93)</f>
        <v>[effect:break_attack_fix, target:unit_all, val:40, lowest_val:4000, count:-1, color:green, block01:block_yellow, block02:block_green]</v>
      </c>
      <c r="O93" s="137">
        <f t="shared" si="364"/>
        <v>9</v>
      </c>
      <c r="P93" s="137">
        <f t="shared" si="356"/>
        <v>25</v>
      </c>
      <c r="Q93" s="137">
        <f t="shared" si="357"/>
        <v>34</v>
      </c>
      <c r="R93" s="137">
        <f t="shared" si="358"/>
        <v>42</v>
      </c>
      <c r="S93" s="137" t="str">
        <f>IFERROR(VLOOKUP(MID(N93,Q93,R93-Q93),[5]skilldef!$C:$D,2,FALSE),"-") &amp; " / " &amp; IFERROR(VLOOKUP(MID(N93,O93,P93-O93),[5]skilldef!$A:$B,2,FALSE),"-")</f>
        <v>味方全体に / -</v>
      </c>
      <c r="T93" s="136" t="str">
        <f t="shared" si="359"/>
        <v>none</v>
      </c>
      <c r="U93" s="137" t="e">
        <f t="shared" si="365"/>
        <v>#VALUE!</v>
      </c>
      <c r="V93" s="137">
        <f t="shared" si="360"/>
        <v>4</v>
      </c>
      <c r="W93" s="137" t="e">
        <f t="shared" si="361"/>
        <v>#VALUE!</v>
      </c>
      <c r="X93" s="137" t="e">
        <f t="shared" si="362"/>
        <v>#VALUE!</v>
      </c>
      <c r="Y93" s="137" t="str">
        <f>IFERROR(VLOOKUP(MID(T93,W93,X93-W93),[5]skilldef!$C:$D,2,FALSE),"-") &amp; " / " &amp; IFERROR(VLOOKUP(MID(T93,U93,V93-U93),[5]skilldef!$A:$B,2,FALSE),"-")</f>
        <v>- / -</v>
      </c>
      <c r="Z93" s="162"/>
      <c r="AA93" s="163"/>
      <c r="AB93" s="162"/>
    </row>
    <row r="94" spans="1:28" s="164" customFormat="1" ht="23" customHeight="1" x14ac:dyDescent="0.15">
      <c r="A94" s="136">
        <v>59002093</v>
      </c>
      <c r="B94" s="136" t="s">
        <v>387</v>
      </c>
      <c r="C94" s="162">
        <v>3</v>
      </c>
      <c r="D94" s="162" t="s">
        <v>127</v>
      </c>
      <c r="E94" s="137" t="s">
        <v>311</v>
      </c>
      <c r="F94" s="137" t="s">
        <v>328</v>
      </c>
      <c r="G94" s="137" t="str">
        <f t="shared" si="303"/>
        <v>[effect:enemy_message, val1:1.5, val2:1.9]</v>
      </c>
      <c r="H94" s="137">
        <f t="shared" si="15"/>
        <v>9</v>
      </c>
      <c r="I94" s="137">
        <f t="shared" ref="I94:I97" si="366">IFERROR(FIND(",",G94),LEN(G94))</f>
        <v>22</v>
      </c>
      <c r="J94" s="137" t="e">
        <f t="shared" ref="J94:J97" si="367">FIND("target:",G94)+7</f>
        <v>#VALUE!</v>
      </c>
      <c r="K94" s="137">
        <f t="shared" ref="K94:K97" si="368">FIND(",",G94,I94+1)</f>
        <v>32</v>
      </c>
      <c r="L94" s="137" t="str">
        <f>IFERROR(VLOOKUP(MID(G94,J94,K94-J94),[5]skilldef!$C:$D,2,FALSE),"-") &amp; " / " &amp; IFERROR(VLOOKUP(MID(G94,H94,I94-H94),[5]skilldef!$A:$B,2,FALSE),"-")</f>
        <v>- / -</v>
      </c>
      <c r="M94" s="137" t="str">
        <f t="shared" si="304"/>
        <v>none</v>
      </c>
      <c r="N94" s="136" t="str">
        <f>IFERROR(LEFT(M94,FIND("],",M94)+#REF!),M94)</f>
        <v>none</v>
      </c>
      <c r="O94" s="137" t="e">
        <f t="shared" si="20"/>
        <v>#VALUE!</v>
      </c>
      <c r="P94" s="137">
        <f t="shared" ref="P94:P97" si="369">IFERROR(FIND(",",N94),LEN(N94))</f>
        <v>4</v>
      </c>
      <c r="Q94" s="137" t="e">
        <f t="shared" ref="Q94:Q97" si="370">FIND("target:",N94)+7</f>
        <v>#VALUE!</v>
      </c>
      <c r="R94" s="137" t="e">
        <f t="shared" ref="R94:R97" si="371">FIND(",",N94,P94+1)</f>
        <v>#VALUE!</v>
      </c>
      <c r="S94" s="137" t="str">
        <f>IFERROR(VLOOKUP(MID(N94,Q94,R94-Q94),[5]skilldef!$C:$D,2,FALSE),"-") &amp; " / " &amp; IFERROR(VLOOKUP(MID(N94,O94,P94-O94),[5]skilldef!$A:$B,2,FALSE),"-")</f>
        <v>- / -</v>
      </c>
      <c r="T94" s="136" t="str">
        <f t="shared" ref="T94:T97" si="372">IFERROR(RIGHT(M94,LEN(M94)-FIND("],",M94)-1),"none")</f>
        <v>none</v>
      </c>
      <c r="U94" s="137" t="e">
        <f t="shared" si="25"/>
        <v>#VALUE!</v>
      </c>
      <c r="V94" s="137">
        <f t="shared" ref="V94:V97" si="373">IFERROR(FIND(",",T94),LEN(T94))</f>
        <v>4</v>
      </c>
      <c r="W94" s="137" t="e">
        <f t="shared" ref="W94:W97" si="374">FIND("target:",T94)+7</f>
        <v>#VALUE!</v>
      </c>
      <c r="X94" s="137" t="e">
        <f t="shared" ref="X94:X97" si="375">FIND(",",T94,V94+1)</f>
        <v>#VALUE!</v>
      </c>
      <c r="Y94" s="137" t="str">
        <f>IFERROR(VLOOKUP(MID(T94,W94,X94-W94),[5]skilldef!$C:$D,2,FALSE),"-") &amp; " / " &amp; IFERROR(VLOOKUP(MID(T94,U94,V94-U94),[5]skilldef!$A:$B,2,FALSE),"-")</f>
        <v>- / -</v>
      </c>
      <c r="Z94" s="162"/>
      <c r="AA94" s="163"/>
      <c r="AB94" s="162"/>
    </row>
    <row r="95" spans="1:28" s="164" customFormat="1" ht="23" customHeight="1" x14ac:dyDescent="0.15">
      <c r="A95" s="136">
        <v>59002094</v>
      </c>
      <c r="B95" s="136" t="s">
        <v>377</v>
      </c>
      <c r="C95" s="162">
        <v>3</v>
      </c>
      <c r="D95" s="162" t="s">
        <v>127</v>
      </c>
      <c r="E95" s="137" t="s">
        <v>312</v>
      </c>
      <c r="F95" s="137" t="s">
        <v>271</v>
      </c>
      <c r="G95" s="137" t="str">
        <f t="shared" si="303"/>
        <v>[effect:enemy_message, val1:1.2, val2:1.2]</v>
      </c>
      <c r="H95" s="137">
        <f t="shared" si="15"/>
        <v>9</v>
      </c>
      <c r="I95" s="137">
        <f t="shared" si="366"/>
        <v>22</v>
      </c>
      <c r="J95" s="137" t="e">
        <f t="shared" si="367"/>
        <v>#VALUE!</v>
      </c>
      <c r="K95" s="137">
        <f t="shared" si="368"/>
        <v>32</v>
      </c>
      <c r="L95" s="137" t="str">
        <f>IFERROR(VLOOKUP(MID(G95,J95,K95-J95),[5]skilldef!$C:$D,2,FALSE),"-") &amp; " / " &amp; IFERROR(VLOOKUP(MID(G95,H95,I95-H95),[5]skilldef!$A:$B,2,FALSE),"-")</f>
        <v>- / -</v>
      </c>
      <c r="M95" s="137" t="str">
        <f t="shared" si="304"/>
        <v>[effect:rush, count:8, val:3]</v>
      </c>
      <c r="N95" s="136" t="str">
        <f>IFERROR(LEFT(M95,FIND("],",M95)+#REF!),M95)</f>
        <v>[effect:rush, count:8, val:3]</v>
      </c>
      <c r="O95" s="137">
        <f t="shared" si="20"/>
        <v>9</v>
      </c>
      <c r="P95" s="137">
        <f t="shared" si="369"/>
        <v>13</v>
      </c>
      <c r="Q95" s="137" t="e">
        <f t="shared" si="370"/>
        <v>#VALUE!</v>
      </c>
      <c r="R95" s="137">
        <f t="shared" si="371"/>
        <v>22</v>
      </c>
      <c r="S95" s="137" t="str">
        <f>IFERROR(VLOOKUP(MID(N95,Q95,R95-Q95),[5]skilldef!$C:$D,2,FALSE),"-") &amp; " / " &amp; IFERROR(VLOOKUP(MID(N95,O95,P95-O95),[5]skilldef!$A:$B,2,FALSE),"-")</f>
        <v>- / 連続攻撃</v>
      </c>
      <c r="T95" s="136" t="str">
        <f t="shared" si="372"/>
        <v>none</v>
      </c>
      <c r="U95" s="137" t="e">
        <f t="shared" si="25"/>
        <v>#VALUE!</v>
      </c>
      <c r="V95" s="137">
        <f t="shared" si="373"/>
        <v>4</v>
      </c>
      <c r="W95" s="137" t="e">
        <f t="shared" si="374"/>
        <v>#VALUE!</v>
      </c>
      <c r="X95" s="137" t="e">
        <f t="shared" si="375"/>
        <v>#VALUE!</v>
      </c>
      <c r="Y95" s="137" t="str">
        <f>IFERROR(VLOOKUP(MID(T95,W95,X95-W95),[5]skilldef!$C:$D,2,FALSE),"-") &amp; " / " &amp; IFERROR(VLOOKUP(MID(T95,U95,V95-U95),[5]skilldef!$A:$B,2,FALSE),"-")</f>
        <v>- / -</v>
      </c>
      <c r="Z95" s="162"/>
      <c r="AA95" s="163"/>
      <c r="AB95" s="162"/>
    </row>
    <row r="96" spans="1:28" s="164" customFormat="1" ht="30" customHeight="1" x14ac:dyDescent="0.15">
      <c r="A96" s="136">
        <v>59002095</v>
      </c>
      <c r="B96" s="136" t="s">
        <v>591</v>
      </c>
      <c r="C96" s="162">
        <v>3</v>
      </c>
      <c r="D96" s="162" t="s">
        <v>127</v>
      </c>
      <c r="E96" s="137" t="s">
        <v>486</v>
      </c>
      <c r="F96" s="137" t="s">
        <v>452</v>
      </c>
      <c r="G96" s="137" t="str">
        <f t="shared" si="303"/>
        <v>[effect:enemy_message, val1:1.7, val2:0.0, dead_type:suicide]</v>
      </c>
      <c r="H96" s="137">
        <f t="shared" ref="H96" si="376">FIND("effect:",G96)+7</f>
        <v>9</v>
      </c>
      <c r="I96" s="137">
        <f t="shared" ref="I96" si="377">IFERROR(FIND(",",G96),LEN(G96))</f>
        <v>22</v>
      </c>
      <c r="J96" s="137" t="e">
        <f t="shared" ref="J96" si="378">FIND("target:",G96)+7</f>
        <v>#VALUE!</v>
      </c>
      <c r="K96" s="137">
        <f t="shared" ref="K96" si="379">FIND(",",G96,I96+1)</f>
        <v>32</v>
      </c>
      <c r="L96" s="137" t="str">
        <f>IFERROR(VLOOKUP(MID(G96,J96,K96-J96),[5]skilldef!$C:$D,2,FALSE),"-") &amp; " / " &amp; IFERROR(VLOOKUP(MID(G96,H96,I96-H96),[5]skilldef!$A:$B,2,FALSE),"-")</f>
        <v>- / -</v>
      </c>
      <c r="M96" s="137" t="str">
        <f t="shared" si="304"/>
        <v>none</v>
      </c>
      <c r="N96" s="136" t="str">
        <f>IFERROR(LEFT(M96,FIND("],",M96)+#REF!),M96)</f>
        <v>none</v>
      </c>
      <c r="O96" s="137" t="e">
        <f t="shared" ref="O96" si="380">FIND("effect:",N96)+7</f>
        <v>#VALUE!</v>
      </c>
      <c r="P96" s="137">
        <f t="shared" ref="P96" si="381">IFERROR(FIND(",",N96),LEN(N96))</f>
        <v>4</v>
      </c>
      <c r="Q96" s="137" t="e">
        <f t="shared" ref="Q96" si="382">FIND("target:",N96)+7</f>
        <v>#VALUE!</v>
      </c>
      <c r="R96" s="137" t="e">
        <f t="shared" ref="R96" si="383">FIND(",",N96,P96+1)</f>
        <v>#VALUE!</v>
      </c>
      <c r="S96" s="137" t="str">
        <f>IFERROR(VLOOKUP(MID(N96,Q96,R96-Q96),[5]skilldef!$C:$D,2,FALSE),"-") &amp; " / " &amp; IFERROR(VLOOKUP(MID(N96,O96,P96-O96),[5]skilldef!$A:$B,2,FALSE),"-")</f>
        <v>- / -</v>
      </c>
      <c r="T96" s="136" t="str">
        <f t="shared" ref="T96" si="384">IFERROR(RIGHT(M96,LEN(M96)-FIND("],",M96)-1),"none")</f>
        <v>none</v>
      </c>
      <c r="U96" s="137" t="e">
        <f t="shared" ref="U96" si="385">FIND("effect:",T96)+7</f>
        <v>#VALUE!</v>
      </c>
      <c r="V96" s="137">
        <f t="shared" ref="V96" si="386">IFERROR(FIND(",",T96),LEN(T96))</f>
        <v>4</v>
      </c>
      <c r="W96" s="137" t="e">
        <f t="shared" ref="W96" si="387">FIND("target:",T96)+7</f>
        <v>#VALUE!</v>
      </c>
      <c r="X96" s="137" t="e">
        <f t="shared" ref="X96" si="388">FIND(",",T96,V96+1)</f>
        <v>#VALUE!</v>
      </c>
      <c r="Y96" s="137" t="str">
        <f>IFERROR(VLOOKUP(MID(T96,W96,X96-W96),[5]skilldef!$C:$D,2,FALSE),"-") &amp; " / " &amp; IFERROR(VLOOKUP(MID(T96,U96,V96-U96),[5]skilldef!$A:$B,2,FALSE),"-")</f>
        <v>- / -</v>
      </c>
      <c r="Z96" s="162"/>
      <c r="AA96" s="163"/>
      <c r="AB96" s="162"/>
    </row>
    <row r="97" spans="1:28" s="149" customFormat="1" ht="30" customHeight="1" x14ac:dyDescent="0.15">
      <c r="A97" s="126">
        <v>59002096</v>
      </c>
      <c r="B97" s="126" t="s">
        <v>584</v>
      </c>
      <c r="C97" s="147">
        <v>3</v>
      </c>
      <c r="D97" s="147" t="s">
        <v>127</v>
      </c>
      <c r="E97" s="127" t="s">
        <v>513</v>
      </c>
      <c r="F97" s="127" t="s">
        <v>563</v>
      </c>
      <c r="G97" s="127" t="str">
        <f t="shared" si="303"/>
        <v>[effect:enemy_message, val1:1.2, val2:1.5]</v>
      </c>
      <c r="H97" s="127">
        <f t="shared" si="15"/>
        <v>9</v>
      </c>
      <c r="I97" s="127">
        <f t="shared" si="366"/>
        <v>22</v>
      </c>
      <c r="J97" s="127" t="e">
        <f t="shared" si="367"/>
        <v>#VALUE!</v>
      </c>
      <c r="K97" s="127">
        <f t="shared" si="368"/>
        <v>32</v>
      </c>
      <c r="L97" s="127" t="str">
        <f>IFERROR(VLOOKUP(MID(G97,J97,K97-J97),[5]skilldef!$C:$D,2,FALSE),"-") &amp; " / " &amp; IFERROR(VLOOKUP(MID(G97,H97,I97-H97),[5]skilldef!$A:$B,2,FALSE),"-")</f>
        <v>- / -</v>
      </c>
      <c r="M97" s="127" t="str">
        <f t="shared" si="304"/>
        <v>[effect:fix_speed, target:myself, turn:1],[effect:tolerance, target:myself, turn:-1, count:-1, tolerance_effect:all, animation:enemy_tolerance],[effect:remove_enhancement, target:unit_all, target_effect:all, animation:frozen_wave]</v>
      </c>
      <c r="N97" s="126" t="str">
        <f>IFERROR(LEFT(M97,FIND("],",M97)+#REF!),M97)</f>
        <v>[effect:fix_speed, target:myself, turn:1],[effect:tolerance, target:myself, turn:-1, count:-1, tolerance_effect:all, animation:enemy_tolerance],[effect:remove_enhancement, target:unit_all, target_effect:all, animation:frozen_wave]</v>
      </c>
      <c r="O97" s="127">
        <f t="shared" si="20"/>
        <v>9</v>
      </c>
      <c r="P97" s="127">
        <f t="shared" si="369"/>
        <v>18</v>
      </c>
      <c r="Q97" s="127">
        <f t="shared" si="370"/>
        <v>27</v>
      </c>
      <c r="R97" s="127">
        <f t="shared" si="371"/>
        <v>33</v>
      </c>
      <c r="S97" s="127" t="str">
        <f>IFERROR(VLOOKUP(MID(N97,Q97,R97-Q97),[5]skilldef!$C:$D,2,FALSE),"-") &amp; " / " &amp; IFERROR(VLOOKUP(MID(N97,O97,P97-O97),[5]skilldef!$A:$B,2,FALSE),"-")</f>
        <v>自分自身に / 行動値設定</v>
      </c>
      <c r="T97" s="126" t="str">
        <f t="shared" si="372"/>
        <v>[effect:tolerance, target:myself, turn:-1, count:-1, tolerance_effect:all, animation:enemy_tolerance],[effect:remove_enhancement, target:unit_all, target_effect:all, animation:frozen_wave]</v>
      </c>
      <c r="U97" s="127">
        <f t="shared" si="25"/>
        <v>9</v>
      </c>
      <c r="V97" s="127">
        <f t="shared" si="373"/>
        <v>18</v>
      </c>
      <c r="W97" s="127">
        <f t="shared" si="374"/>
        <v>27</v>
      </c>
      <c r="X97" s="127">
        <f t="shared" si="375"/>
        <v>33</v>
      </c>
      <c r="Y97" s="127" t="str">
        <f>IFERROR(VLOOKUP(MID(T97,W97,X97-W97),[5]skilldef!$C:$D,2,FALSE),"-") &amp; " / " &amp; IFERROR(VLOOKUP(MID(T97,U97,V97-U97),[5]skilldef!$A:$B,2,FALSE),"-")</f>
        <v>自分自身に / 状態異常耐性</v>
      </c>
      <c r="Z97" s="127" t="s">
        <v>420</v>
      </c>
      <c r="AA97" s="148"/>
      <c r="AB97" s="147"/>
    </row>
    <row r="98" spans="1:28" s="149" customFormat="1" ht="23" customHeight="1" x14ac:dyDescent="0.15">
      <c r="A98" s="126">
        <v>59002097</v>
      </c>
      <c r="B98" s="126" t="s">
        <v>391</v>
      </c>
      <c r="C98" s="147">
        <v>3</v>
      </c>
      <c r="D98" s="147" t="s">
        <v>127</v>
      </c>
      <c r="E98" s="127" t="s">
        <v>514</v>
      </c>
      <c r="F98" s="127" t="s">
        <v>515</v>
      </c>
      <c r="G98" s="127" t="str">
        <f t="shared" ref="G98:G133" si="389">IFERROR(LEFT(B98,FIND("],",B98)),B98)</f>
        <v>[effect:enemy_message, val1:1.2, val2:1.2]</v>
      </c>
      <c r="H98" s="127">
        <f t="shared" ref="H98:H104" si="390">FIND("effect:",G98)+7</f>
        <v>9</v>
      </c>
      <c r="I98" s="127">
        <f t="shared" ref="I98:I104" si="391">IFERROR(FIND(",",G98),LEN(G98))</f>
        <v>22</v>
      </c>
      <c r="J98" s="127" t="e">
        <f t="shared" ref="J98:J104" si="392">FIND("target:",G98)+7</f>
        <v>#VALUE!</v>
      </c>
      <c r="K98" s="127">
        <f t="shared" ref="K98:K104" si="393">FIND(",",G98,I98+1)</f>
        <v>32</v>
      </c>
      <c r="L98" s="127" t="str">
        <f>IFERROR(VLOOKUP(MID(G98,J98,K98-J98),[5]skilldef!$C:$D,2,FALSE),"-") &amp; " / " &amp; IFERROR(VLOOKUP(MID(G98,H98,I98-H98),[5]skilldef!$A:$B,2,FALSE),"-")</f>
        <v>- / -</v>
      </c>
      <c r="M98" s="127" t="str">
        <f t="shared" ref="M98:M133" si="394">IFERROR(RIGHT(B98,LEN(B98)-FIND("],",B98)-1),"none")</f>
        <v>[effect:spread, val:0.25]</v>
      </c>
      <c r="N98" s="126" t="str">
        <f>IFERROR(LEFT(M98,FIND("],",M98)+#REF!),M98)</f>
        <v>[effect:spread, val:0.25]</v>
      </c>
      <c r="O98" s="127">
        <f t="shared" ref="O98:O104" si="395">FIND("effect:",N98)+7</f>
        <v>9</v>
      </c>
      <c r="P98" s="127">
        <f t="shared" ref="P98:P104" si="396">IFERROR(FIND(",",N98),LEN(N98))</f>
        <v>15</v>
      </c>
      <c r="Q98" s="127" t="e">
        <f t="shared" ref="Q98:Q104" si="397">FIND("target:",N98)+7</f>
        <v>#VALUE!</v>
      </c>
      <c r="R98" s="127" t="e">
        <f t="shared" ref="R98:R104" si="398">FIND(",",N98,P98+1)</f>
        <v>#VALUE!</v>
      </c>
      <c r="S98" s="127" t="str">
        <f>IFERROR(VLOOKUP(MID(N98,Q98,R98-Q98),[5]skilldef!$C:$D,2,FALSE),"-") &amp; " / " &amp; IFERROR(VLOOKUP(MID(N98,O98,P98-O98),[5]skilldef!$A:$B,2,FALSE),"-")</f>
        <v>- / 全体攻撃</v>
      </c>
      <c r="T98" s="126" t="str">
        <f t="shared" ref="T98:T104" si="399">IFERROR(RIGHT(M98,LEN(M98)-FIND("],",M98)-1),"none")</f>
        <v>none</v>
      </c>
      <c r="U98" s="127" t="e">
        <f t="shared" ref="U98:U104" si="400">FIND("effect:",T98)+7</f>
        <v>#VALUE!</v>
      </c>
      <c r="V98" s="127">
        <f t="shared" ref="V98:V104" si="401">IFERROR(FIND(",",T98),LEN(T98))</f>
        <v>4</v>
      </c>
      <c r="W98" s="127" t="e">
        <f t="shared" ref="W98:W104" si="402">FIND("target:",T98)+7</f>
        <v>#VALUE!</v>
      </c>
      <c r="X98" s="127" t="e">
        <f t="shared" ref="X98:X104" si="403">FIND(",",T98,V98+1)</f>
        <v>#VALUE!</v>
      </c>
      <c r="Y98" s="127" t="str">
        <f>IFERROR(VLOOKUP(MID(T98,W98,X98-W98),[5]skilldef!$C:$D,2,FALSE),"-") &amp; " / " &amp; IFERROR(VLOOKUP(MID(T98,U98,V98-U98),[5]skilldef!$A:$B,2,FALSE),"-")</f>
        <v>- / -</v>
      </c>
      <c r="Z98" s="127" t="s">
        <v>418</v>
      </c>
      <c r="AA98" s="148" t="s">
        <v>421</v>
      </c>
      <c r="AB98" s="147">
        <v>50</v>
      </c>
    </row>
    <row r="99" spans="1:28" s="149" customFormat="1" ht="23" customHeight="1" x14ac:dyDescent="0.15">
      <c r="A99" s="126">
        <v>59002098</v>
      </c>
      <c r="B99" s="126" t="s">
        <v>447</v>
      </c>
      <c r="C99" s="147">
        <v>3</v>
      </c>
      <c r="D99" s="147" t="s">
        <v>127</v>
      </c>
      <c r="E99" s="127" t="s">
        <v>516</v>
      </c>
      <c r="F99" s="127" t="s">
        <v>517</v>
      </c>
      <c r="G99" s="127" t="str">
        <f t="shared" si="389"/>
        <v>[effect:enemy_message, val1:1.2, val2:1.8]</v>
      </c>
      <c r="H99" s="127">
        <f t="shared" si="390"/>
        <v>9</v>
      </c>
      <c r="I99" s="127">
        <f t="shared" si="391"/>
        <v>22</v>
      </c>
      <c r="J99" s="127" t="e">
        <f t="shared" si="392"/>
        <v>#VALUE!</v>
      </c>
      <c r="K99" s="127">
        <f t="shared" si="393"/>
        <v>32</v>
      </c>
      <c r="L99" s="127" t="str">
        <f>IFERROR(VLOOKUP(MID(G99,J99,K99-J99),[5]skilldef!$C:$D,2,FALSE),"-") &amp; " / " &amp; IFERROR(VLOOKUP(MID(G99,H99,I99-H99),[5]skilldef!$A:$B,2,FALSE),"-")</f>
        <v>- / -</v>
      </c>
      <c r="M99" s="127" t="str">
        <f t="shared" si="394"/>
        <v>[effect:hungup, target:unit_one, turn:2, rate:1, animation:hungup01]</v>
      </c>
      <c r="N99" s="126" t="str">
        <f>IFERROR(LEFT(M99,FIND("],",M99)+#REF!),M99)</f>
        <v>[effect:hungup, target:unit_one, turn:2, rate:1, animation:hungup01]</v>
      </c>
      <c r="O99" s="127">
        <f t="shared" si="395"/>
        <v>9</v>
      </c>
      <c r="P99" s="127">
        <f t="shared" si="396"/>
        <v>15</v>
      </c>
      <c r="Q99" s="127">
        <f t="shared" si="397"/>
        <v>24</v>
      </c>
      <c r="R99" s="127">
        <f t="shared" si="398"/>
        <v>32</v>
      </c>
      <c r="S99" s="127" t="str">
        <f>IFERROR(VLOOKUP(MID(N99,Q99,R99-Q99),[5]skilldef!$C:$D,2,FALSE),"-") &amp; " / " &amp; IFERROR(VLOOKUP(MID(N99,O99,P99-O99),[5]skilldef!$A:$B,2,FALSE),"-")</f>
        <v>味方単体に / ハングアップ</v>
      </c>
      <c r="T99" s="126" t="str">
        <f t="shared" si="399"/>
        <v>none</v>
      </c>
      <c r="U99" s="127" t="e">
        <f t="shared" si="400"/>
        <v>#VALUE!</v>
      </c>
      <c r="V99" s="127">
        <f t="shared" si="401"/>
        <v>4</v>
      </c>
      <c r="W99" s="127" t="e">
        <f t="shared" si="402"/>
        <v>#VALUE!</v>
      </c>
      <c r="X99" s="127" t="e">
        <f t="shared" si="403"/>
        <v>#VALUE!</v>
      </c>
      <c r="Y99" s="127" t="str">
        <f>IFERROR(VLOOKUP(MID(T99,W99,X99-W99),[5]skilldef!$C:$D,2,FALSE),"-") &amp; " / " &amp; IFERROR(VLOOKUP(MID(T99,U99,V99-U99),[5]skilldef!$A:$B,2,FALSE),"-")</f>
        <v>- / -</v>
      </c>
      <c r="Z99" s="127" t="s">
        <v>418</v>
      </c>
      <c r="AA99" s="148" t="s">
        <v>422</v>
      </c>
      <c r="AB99" s="147">
        <v>50</v>
      </c>
    </row>
    <row r="100" spans="1:28" s="149" customFormat="1" ht="23" customHeight="1" x14ac:dyDescent="0.15">
      <c r="A100" s="126">
        <v>59002099</v>
      </c>
      <c r="B100" s="126" t="s">
        <v>448</v>
      </c>
      <c r="C100" s="147">
        <v>3</v>
      </c>
      <c r="D100" s="147" t="s">
        <v>127</v>
      </c>
      <c r="E100" s="127" t="s">
        <v>518</v>
      </c>
      <c r="F100" s="127" t="s">
        <v>564</v>
      </c>
      <c r="G100" s="127" t="str">
        <f t="shared" si="389"/>
        <v>[effect:enemy_message, val1:1.2, val2:1.2]</v>
      </c>
      <c r="H100" s="127">
        <f t="shared" si="390"/>
        <v>9</v>
      </c>
      <c r="I100" s="127">
        <f t="shared" si="391"/>
        <v>22</v>
      </c>
      <c r="J100" s="127" t="e">
        <f t="shared" si="392"/>
        <v>#VALUE!</v>
      </c>
      <c r="K100" s="127">
        <f t="shared" si="393"/>
        <v>32</v>
      </c>
      <c r="L100" s="127" t="str">
        <f>IFERROR(VLOOKUP(MID(G100,J100,K100-J100),[5]skilldef!$C:$D,2,FALSE),"-") &amp; " / " &amp; IFERROR(VLOOKUP(MID(G100,H100,I100-H100),[5]skilldef!$A:$B,2,FALSE),"-")</f>
        <v>- / -</v>
      </c>
      <c r="M100" s="127" t="str">
        <f t="shared" si="394"/>
        <v>[effect:spread, val:0.3]</v>
      </c>
      <c r="N100" s="126" t="str">
        <f>IFERROR(LEFT(M100,FIND("],",M100)+#REF!),M100)</f>
        <v>[effect:spread, val:0.3]</v>
      </c>
      <c r="O100" s="127">
        <f t="shared" si="395"/>
        <v>9</v>
      </c>
      <c r="P100" s="127">
        <f t="shared" si="396"/>
        <v>15</v>
      </c>
      <c r="Q100" s="127" t="e">
        <f t="shared" si="397"/>
        <v>#VALUE!</v>
      </c>
      <c r="R100" s="127" t="e">
        <f t="shared" si="398"/>
        <v>#VALUE!</v>
      </c>
      <c r="S100" s="127" t="str">
        <f>IFERROR(VLOOKUP(MID(N100,Q100,R100-Q100),[5]skilldef!$C:$D,2,FALSE),"-") &amp; " / " &amp; IFERROR(VLOOKUP(MID(N100,O100,P100-O100),[5]skilldef!$A:$B,2,FALSE),"-")</f>
        <v>- / 全体攻撃</v>
      </c>
      <c r="T100" s="126" t="str">
        <f t="shared" si="399"/>
        <v>none</v>
      </c>
      <c r="U100" s="127" t="e">
        <f t="shared" si="400"/>
        <v>#VALUE!</v>
      </c>
      <c r="V100" s="127">
        <f t="shared" si="401"/>
        <v>4</v>
      </c>
      <c r="W100" s="127" t="e">
        <f t="shared" si="402"/>
        <v>#VALUE!</v>
      </c>
      <c r="X100" s="127" t="e">
        <f t="shared" si="403"/>
        <v>#VALUE!</v>
      </c>
      <c r="Y100" s="127" t="str">
        <f>IFERROR(VLOOKUP(MID(T100,W100,X100-W100),[5]skilldef!$C:$D,2,FALSE),"-") &amp; " / " &amp; IFERROR(VLOOKUP(MID(T100,U100,V100-U100),[5]skilldef!$A:$B,2,FALSE),"-")</f>
        <v>- / -</v>
      </c>
      <c r="Z100" s="127" t="s">
        <v>418</v>
      </c>
      <c r="AA100" s="148" t="s">
        <v>423</v>
      </c>
      <c r="AB100" s="147">
        <v>50</v>
      </c>
    </row>
    <row r="101" spans="1:28" s="149" customFormat="1" ht="23" customHeight="1" x14ac:dyDescent="0.15">
      <c r="A101" s="126">
        <v>59002100</v>
      </c>
      <c r="B101" s="126" t="s">
        <v>449</v>
      </c>
      <c r="C101" s="147">
        <v>3</v>
      </c>
      <c r="D101" s="147" t="s">
        <v>127</v>
      </c>
      <c r="E101" s="127" t="s">
        <v>519</v>
      </c>
      <c r="F101" s="127" t="s">
        <v>520</v>
      </c>
      <c r="G101" s="127" t="str">
        <f t="shared" si="389"/>
        <v>[effect:enemy_message, val1:1.2, val2:1.9]</v>
      </c>
      <c r="H101" s="127">
        <f t="shared" si="390"/>
        <v>9</v>
      </c>
      <c r="I101" s="127">
        <f t="shared" si="391"/>
        <v>22</v>
      </c>
      <c r="J101" s="127" t="e">
        <f t="shared" si="392"/>
        <v>#VALUE!</v>
      </c>
      <c r="K101" s="127">
        <f t="shared" si="393"/>
        <v>32</v>
      </c>
      <c r="L101" s="127" t="str">
        <f>IFERROR(VLOOKUP(MID(G101,J101,K101-J101),[5]skilldef!$C:$D,2,FALSE),"-") &amp; " / " &amp; IFERROR(VLOOKUP(MID(G101,H101,I101-H101),[5]skilldef!$A:$B,2,FALSE),"-")</f>
        <v>- / -</v>
      </c>
      <c r="M101" s="127" t="str">
        <f t="shared" si="394"/>
        <v>none</v>
      </c>
      <c r="N101" s="126" t="str">
        <f>IFERROR(LEFT(M101,FIND("],",M101)+#REF!),M101)</f>
        <v>none</v>
      </c>
      <c r="O101" s="127" t="e">
        <f t="shared" si="395"/>
        <v>#VALUE!</v>
      </c>
      <c r="P101" s="127">
        <f t="shared" si="396"/>
        <v>4</v>
      </c>
      <c r="Q101" s="127" t="e">
        <f t="shared" si="397"/>
        <v>#VALUE!</v>
      </c>
      <c r="R101" s="127" t="e">
        <f t="shared" si="398"/>
        <v>#VALUE!</v>
      </c>
      <c r="S101" s="127" t="str">
        <f>IFERROR(VLOOKUP(MID(N101,Q101,R101-Q101),[5]skilldef!$C:$D,2,FALSE),"-") &amp; " / " &amp; IFERROR(VLOOKUP(MID(N101,O101,P101-O101),[5]skilldef!$A:$B,2,FALSE),"-")</f>
        <v>- / -</v>
      </c>
      <c r="T101" s="126" t="str">
        <f t="shared" si="399"/>
        <v>none</v>
      </c>
      <c r="U101" s="127" t="e">
        <f t="shared" si="400"/>
        <v>#VALUE!</v>
      </c>
      <c r="V101" s="127">
        <f t="shared" si="401"/>
        <v>4</v>
      </c>
      <c r="W101" s="127" t="e">
        <f t="shared" si="402"/>
        <v>#VALUE!</v>
      </c>
      <c r="X101" s="127" t="e">
        <f t="shared" si="403"/>
        <v>#VALUE!</v>
      </c>
      <c r="Y101" s="127" t="str">
        <f>IFERROR(VLOOKUP(MID(T101,W101,X101-W101),[5]skilldef!$C:$D,2,FALSE),"-") &amp; " / " &amp; IFERROR(VLOOKUP(MID(T101,U101,V101-U101),[5]skilldef!$A:$B,2,FALSE),"-")</f>
        <v>- / -</v>
      </c>
      <c r="Z101" s="127" t="s">
        <v>424</v>
      </c>
      <c r="AA101" s="148" t="s">
        <v>427</v>
      </c>
      <c r="AB101" s="147" t="s">
        <v>428</v>
      </c>
    </row>
    <row r="102" spans="1:28" s="149" customFormat="1" ht="23" customHeight="1" x14ac:dyDescent="0.15">
      <c r="A102" s="126">
        <v>59002101</v>
      </c>
      <c r="B102" s="126" t="s">
        <v>450</v>
      </c>
      <c r="C102" s="147">
        <v>3</v>
      </c>
      <c r="D102" s="147" t="s">
        <v>127</v>
      </c>
      <c r="E102" s="127" t="s">
        <v>521</v>
      </c>
      <c r="F102" s="127" t="s">
        <v>515</v>
      </c>
      <c r="G102" s="127" t="str">
        <f t="shared" si="389"/>
        <v>[effect:enemy_message, val1:1.2, val2:1.2]</v>
      </c>
      <c r="H102" s="127">
        <f t="shared" ref="H102" si="404">FIND("effect:",G102)+7</f>
        <v>9</v>
      </c>
      <c r="I102" s="127">
        <f t="shared" ref="I102" si="405">IFERROR(FIND(",",G102),LEN(G102))</f>
        <v>22</v>
      </c>
      <c r="J102" s="127" t="e">
        <f t="shared" ref="J102" si="406">FIND("target:",G102)+7</f>
        <v>#VALUE!</v>
      </c>
      <c r="K102" s="127">
        <f t="shared" ref="K102" si="407">FIND(",",G102,I102+1)</f>
        <v>32</v>
      </c>
      <c r="L102" s="127" t="str">
        <f>IFERROR(VLOOKUP(MID(G102,J102,K102-J102),[5]skilldef!$C:$D,2,FALSE),"-") &amp; " / " &amp; IFERROR(VLOOKUP(MID(G102,H102,I102-H102),[5]skilldef!$A:$B,2,FALSE),"-")</f>
        <v>- / -</v>
      </c>
      <c r="M102" s="127" t="str">
        <f t="shared" si="394"/>
        <v>[effect:spread, val:8]</v>
      </c>
      <c r="N102" s="126" t="str">
        <f>IFERROR(LEFT(M102,FIND("],",M102)+#REF!),M102)</f>
        <v>[effect:spread, val:8]</v>
      </c>
      <c r="O102" s="127">
        <f t="shared" ref="O102" si="408">FIND("effect:",N102)+7</f>
        <v>9</v>
      </c>
      <c r="P102" s="127">
        <f t="shared" ref="P102" si="409">IFERROR(FIND(",",N102),LEN(N102))</f>
        <v>15</v>
      </c>
      <c r="Q102" s="127" t="e">
        <f t="shared" ref="Q102" si="410">FIND("target:",N102)+7</f>
        <v>#VALUE!</v>
      </c>
      <c r="R102" s="127" t="e">
        <f t="shared" ref="R102" si="411">FIND(",",N102,P102+1)</f>
        <v>#VALUE!</v>
      </c>
      <c r="S102" s="127" t="str">
        <f>IFERROR(VLOOKUP(MID(N102,Q102,R102-Q102),[5]skilldef!$C:$D,2,FALSE),"-") &amp; " / " &amp; IFERROR(VLOOKUP(MID(N102,O102,P102-O102),[5]skilldef!$A:$B,2,FALSE),"-")</f>
        <v>- / 全体攻撃</v>
      </c>
      <c r="T102" s="126" t="str">
        <f t="shared" ref="T102" si="412">IFERROR(RIGHT(M102,LEN(M102)-FIND("],",M102)-1),"none")</f>
        <v>none</v>
      </c>
      <c r="U102" s="127" t="e">
        <f t="shared" ref="U102" si="413">FIND("effect:",T102)+7</f>
        <v>#VALUE!</v>
      </c>
      <c r="V102" s="127">
        <f t="shared" ref="V102" si="414">IFERROR(FIND(",",T102),LEN(T102))</f>
        <v>4</v>
      </c>
      <c r="W102" s="127" t="e">
        <f t="shared" ref="W102" si="415">FIND("target:",T102)+7</f>
        <v>#VALUE!</v>
      </c>
      <c r="X102" s="127" t="e">
        <f t="shared" ref="X102" si="416">FIND(",",T102,V102+1)</f>
        <v>#VALUE!</v>
      </c>
      <c r="Y102" s="127" t="str">
        <f>IFERROR(VLOOKUP(MID(T102,W102,X102-W102),[5]skilldef!$C:$D,2,FALSE),"-") &amp; " / " &amp; IFERROR(VLOOKUP(MID(T102,U102,V102-U102),[5]skilldef!$A:$B,2,FALSE),"-")</f>
        <v>- / -</v>
      </c>
      <c r="Z102" s="127" t="s">
        <v>424</v>
      </c>
      <c r="AA102" s="148" t="s">
        <v>425</v>
      </c>
      <c r="AB102" s="147" t="s">
        <v>426</v>
      </c>
    </row>
    <row r="103" spans="1:28" s="169" customFormat="1" ht="28" customHeight="1" x14ac:dyDescent="0.15">
      <c r="A103" s="165">
        <v>59002102</v>
      </c>
      <c r="B103" s="165" t="s">
        <v>585</v>
      </c>
      <c r="C103" s="166">
        <v>3</v>
      </c>
      <c r="D103" s="166" t="s">
        <v>127</v>
      </c>
      <c r="E103" s="167" t="s">
        <v>458</v>
      </c>
      <c r="F103" s="167" t="s">
        <v>582</v>
      </c>
      <c r="G103" s="167" t="str">
        <f t="shared" si="389"/>
        <v>[effect:enemy_message, val1:0.0, val2:1.2]</v>
      </c>
      <c r="H103" s="167">
        <f t="shared" ref="H103" si="417">FIND("effect:",G103)+7</f>
        <v>9</v>
      </c>
      <c r="I103" s="167">
        <f t="shared" ref="I103" si="418">IFERROR(FIND(",",G103),LEN(G103))</f>
        <v>22</v>
      </c>
      <c r="J103" s="167" t="e">
        <f t="shared" ref="J103" si="419">FIND("target:",G103)+7</f>
        <v>#VALUE!</v>
      </c>
      <c r="K103" s="167">
        <f t="shared" ref="K103" si="420">FIND(",",G103,I103+1)</f>
        <v>32</v>
      </c>
      <c r="L103" s="167" t="str">
        <f>IFERROR(VLOOKUP(MID(G103,J103,K103-J103),[5]skilldef!$C:$D,2,FALSE),"-") &amp; " / " &amp; IFERROR(VLOOKUP(MID(G103,H103,I103-H103),[5]skilldef!$A:$B,2,FALSE),"-")</f>
        <v>- / -</v>
      </c>
      <c r="M103" s="167" t="str">
        <f t="shared" si="394"/>
        <v>[effect:fix_speed, target:myself, turn:3]</v>
      </c>
      <c r="N103" s="165" t="str">
        <f>IFERROR(LEFT(M103,FIND("],",M103)+#REF!),M103)</f>
        <v>[effect:fix_speed, target:myself, turn:3]</v>
      </c>
      <c r="O103" s="167">
        <f t="shared" ref="O103" si="421">FIND("effect:",N103)+7</f>
        <v>9</v>
      </c>
      <c r="P103" s="167">
        <f t="shared" ref="P103" si="422">IFERROR(FIND(",",N103),LEN(N103))</f>
        <v>18</v>
      </c>
      <c r="Q103" s="167">
        <f t="shared" ref="Q103" si="423">FIND("target:",N103)+7</f>
        <v>27</v>
      </c>
      <c r="R103" s="167">
        <f t="shared" ref="R103" si="424">FIND(",",N103,P103+1)</f>
        <v>33</v>
      </c>
      <c r="S103" s="167" t="str">
        <f>IFERROR(VLOOKUP(MID(N103,Q103,R103-Q103),[5]skilldef!$C:$D,2,FALSE),"-") &amp; " / " &amp; IFERROR(VLOOKUP(MID(N103,O103,P103-O103),[5]skilldef!$A:$B,2,FALSE),"-")</f>
        <v>自分自身に / 行動値設定</v>
      </c>
      <c r="T103" s="165" t="str">
        <f t="shared" ref="T103" si="425">IFERROR(RIGHT(M103,LEN(M103)-FIND("],",M103)-1),"none")</f>
        <v>none</v>
      </c>
      <c r="U103" s="167" t="e">
        <f t="shared" ref="U103" si="426">FIND("effect:",T103)+7</f>
        <v>#VALUE!</v>
      </c>
      <c r="V103" s="167">
        <f t="shared" ref="V103" si="427">IFERROR(FIND(",",T103),LEN(T103))</f>
        <v>4</v>
      </c>
      <c r="W103" s="167" t="e">
        <f t="shared" ref="W103" si="428">FIND("target:",T103)+7</f>
        <v>#VALUE!</v>
      </c>
      <c r="X103" s="167" t="e">
        <f t="shared" ref="X103" si="429">FIND(",",T103,V103+1)</f>
        <v>#VALUE!</v>
      </c>
      <c r="Y103" s="167" t="str">
        <f>IFERROR(VLOOKUP(MID(T103,W103,X103-W103),[5]skilldef!$C:$D,2,FALSE),"-") &amp; " / " &amp; IFERROR(VLOOKUP(MID(T103,U103,V103-U103),[5]skilldef!$A:$B,2,FALSE),"-")</f>
        <v>- / -</v>
      </c>
      <c r="Z103" s="167" t="s">
        <v>419</v>
      </c>
      <c r="AA103" s="168"/>
      <c r="AB103" s="166"/>
    </row>
    <row r="104" spans="1:28" s="169" customFormat="1" ht="23" customHeight="1" x14ac:dyDescent="0.15">
      <c r="A104" s="165">
        <v>59002103</v>
      </c>
      <c r="B104" s="165" t="s">
        <v>586</v>
      </c>
      <c r="C104" s="166">
        <v>3</v>
      </c>
      <c r="D104" s="166" t="s">
        <v>127</v>
      </c>
      <c r="E104" s="167" t="s">
        <v>458</v>
      </c>
      <c r="F104" s="167" t="s">
        <v>583</v>
      </c>
      <c r="G104" s="167" t="str">
        <f t="shared" si="389"/>
        <v>[effect:enemy_message, val1:0.0, val2:1.4]</v>
      </c>
      <c r="H104" s="167">
        <f t="shared" si="390"/>
        <v>9</v>
      </c>
      <c r="I104" s="167">
        <f t="shared" si="391"/>
        <v>22</v>
      </c>
      <c r="J104" s="167" t="e">
        <f t="shared" si="392"/>
        <v>#VALUE!</v>
      </c>
      <c r="K104" s="167">
        <f t="shared" si="393"/>
        <v>32</v>
      </c>
      <c r="L104" s="167" t="str">
        <f>IFERROR(VLOOKUP(MID(G104,J104,K104-J104),[5]skilldef!$C:$D,2,FALSE),"-") &amp; " / " &amp; IFERROR(VLOOKUP(MID(G104,H104,I104-H104),[5]skilldef!$A:$B,2,FALSE),"-")</f>
        <v>- / -</v>
      </c>
      <c r="M104" s="167" t="str">
        <f t="shared" si="394"/>
        <v>[effect:enemy_resurrection, target:id_640, val:1, rate:1, animation:enemy_resurrection]</v>
      </c>
      <c r="N104" s="165" t="str">
        <f>IFERROR(LEFT(M104,FIND("],",M104)+#REF!),M104)</f>
        <v>[effect:enemy_resurrection, target:id_640, val:1, rate:1, animation:enemy_resurrection]</v>
      </c>
      <c r="O104" s="167">
        <f t="shared" si="395"/>
        <v>9</v>
      </c>
      <c r="P104" s="167">
        <f t="shared" si="396"/>
        <v>27</v>
      </c>
      <c r="Q104" s="167">
        <f t="shared" si="397"/>
        <v>36</v>
      </c>
      <c r="R104" s="167">
        <f t="shared" si="398"/>
        <v>42</v>
      </c>
      <c r="S104" s="167" t="str">
        <f>IFERROR(VLOOKUP(MID(N104,Q104,R104-Q104),[5]skilldef!$C:$D,2,FALSE),"-") &amp; " / " &amp; IFERROR(VLOOKUP(MID(N104,O104,P104-O104),[5]skilldef!$A:$B,2,FALSE),"-")</f>
        <v>- / -</v>
      </c>
      <c r="T104" s="165" t="str">
        <f t="shared" si="399"/>
        <v>none</v>
      </c>
      <c r="U104" s="167" t="e">
        <f t="shared" si="400"/>
        <v>#VALUE!</v>
      </c>
      <c r="V104" s="167">
        <f t="shared" si="401"/>
        <v>4</v>
      </c>
      <c r="W104" s="167" t="e">
        <f t="shared" si="402"/>
        <v>#VALUE!</v>
      </c>
      <c r="X104" s="167" t="e">
        <f t="shared" si="403"/>
        <v>#VALUE!</v>
      </c>
      <c r="Y104" s="167" t="str">
        <f>IFERROR(VLOOKUP(MID(T104,W104,X104-W104),[5]skilldef!$C:$D,2,FALSE),"-") &amp; " / " &amp; IFERROR(VLOOKUP(MID(T104,U104,V104-U104),[5]skilldef!$A:$B,2,FALSE),"-")</f>
        <v>- / -</v>
      </c>
      <c r="Z104" s="167" t="s">
        <v>418</v>
      </c>
      <c r="AA104" s="168"/>
      <c r="AB104" s="166"/>
    </row>
    <row r="105" spans="1:28" s="152" customFormat="1" ht="28" x14ac:dyDescent="0.15">
      <c r="A105" s="128">
        <v>59002104</v>
      </c>
      <c r="B105" s="128" t="s">
        <v>500</v>
      </c>
      <c r="C105" s="150">
        <v>3</v>
      </c>
      <c r="D105" s="150" t="s">
        <v>127</v>
      </c>
      <c r="E105" s="129" t="s">
        <v>472</v>
      </c>
      <c r="F105" s="129" t="s">
        <v>457</v>
      </c>
      <c r="G105" s="129" t="str">
        <f t="shared" si="389"/>
        <v>[effect:enemy_message, val1:2.4, val2:0.0, dead_type:suicide]</v>
      </c>
      <c r="H105" s="129">
        <f t="shared" ref="H105:H109" si="430">FIND("effect:",G105)+7</f>
        <v>9</v>
      </c>
      <c r="I105" s="129">
        <f t="shared" ref="I105:I109" si="431">IFERROR(FIND(",",G105),LEN(G105))</f>
        <v>22</v>
      </c>
      <c r="J105" s="129" t="e">
        <f t="shared" ref="J105:J109" si="432">FIND("target:",G105)+7</f>
        <v>#VALUE!</v>
      </c>
      <c r="K105" s="129">
        <f t="shared" ref="K105:K109" si="433">FIND(",",G105,I105+1)</f>
        <v>32</v>
      </c>
      <c r="L105" s="129" t="str">
        <f>IFERROR(VLOOKUP(MID(G105,J105,K105-J105),[5]skilldef!$C:$D,2,FALSE),"-") &amp; " / " &amp; IFERROR(VLOOKUP(MID(G105,H105,I105-H105),[5]skilldef!$A:$B,2,FALSE),"-")</f>
        <v>- / -</v>
      </c>
      <c r="M105" s="129" t="str">
        <f t="shared" si="394"/>
        <v>none</v>
      </c>
      <c r="N105" s="128" t="str">
        <f>IFERROR(LEFT(M105,FIND("],",M105)+S144),M105)</f>
        <v>none</v>
      </c>
      <c r="O105" s="129" t="e">
        <f t="shared" ref="O105:O109" si="434">FIND("effect:",N105)+7</f>
        <v>#VALUE!</v>
      </c>
      <c r="P105" s="129">
        <f t="shared" ref="P105:P109" si="435">IFERROR(FIND(",",N105),LEN(N105))</f>
        <v>4</v>
      </c>
      <c r="Q105" s="129" t="e">
        <f t="shared" ref="Q105:Q109" si="436">FIND("target:",N105)+7</f>
        <v>#VALUE!</v>
      </c>
      <c r="R105" s="129" t="e">
        <f t="shared" ref="R105:R109" si="437">FIND(",",N105,P105+1)</f>
        <v>#VALUE!</v>
      </c>
      <c r="S105" s="129" t="str">
        <f>IFERROR(VLOOKUP(MID(N105,Q105,R105-Q105),[5]skilldef!$C:$D,2,FALSE),"-") &amp; " / " &amp; IFERROR(VLOOKUP(MID(N105,O105,P105-O105),[5]skilldef!$A:$B,2,FALSE),"-")</f>
        <v>- / -</v>
      </c>
      <c r="T105" s="128" t="str">
        <f t="shared" ref="T105:T109" si="438">IFERROR(RIGHT(M105,LEN(M105)-FIND("],",M105)-1),"none")</f>
        <v>none</v>
      </c>
      <c r="U105" s="129" t="e">
        <f t="shared" ref="U105:U109" si="439">FIND("effect:",T105)+7</f>
        <v>#VALUE!</v>
      </c>
      <c r="V105" s="129">
        <f t="shared" ref="V105:V109" si="440">IFERROR(FIND(",",T105),LEN(T105))</f>
        <v>4</v>
      </c>
      <c r="W105" s="129" t="e">
        <f t="shared" ref="W105:W109" si="441">FIND("target:",T105)+7</f>
        <v>#VALUE!</v>
      </c>
      <c r="X105" s="129" t="e">
        <f t="shared" ref="X105:X109" si="442">FIND(",",T105,V105+1)</f>
        <v>#VALUE!</v>
      </c>
      <c r="Y105" s="129" t="str">
        <f>IFERROR(VLOOKUP(MID(T105,W105,X105-W105),[5]skilldef!$C:$D,2,FALSE),"-") &amp; " / " &amp; IFERROR(VLOOKUP(MID(T105,U105,V105-U105),[5]skilldef!$A:$B,2,FALSE),"-")</f>
        <v>- / -</v>
      </c>
      <c r="Z105" s="150" t="s">
        <v>329</v>
      </c>
      <c r="AA105" s="150" t="s">
        <v>465</v>
      </c>
      <c r="AB105" s="150"/>
    </row>
    <row r="106" spans="1:28" s="152" customFormat="1" ht="28" x14ac:dyDescent="0.15">
      <c r="A106" s="128">
        <v>59002105</v>
      </c>
      <c r="B106" s="128" t="s">
        <v>500</v>
      </c>
      <c r="C106" s="150">
        <v>3</v>
      </c>
      <c r="D106" s="150" t="s">
        <v>127</v>
      </c>
      <c r="E106" s="129" t="s">
        <v>471</v>
      </c>
      <c r="F106" s="129" t="s">
        <v>457</v>
      </c>
      <c r="G106" s="129" t="str">
        <f t="shared" si="389"/>
        <v>[effect:enemy_message, val1:2.4, val2:0.0, dead_type:suicide]</v>
      </c>
      <c r="H106" s="129">
        <f t="shared" si="430"/>
        <v>9</v>
      </c>
      <c r="I106" s="129">
        <f t="shared" si="431"/>
        <v>22</v>
      </c>
      <c r="J106" s="129" t="e">
        <f t="shared" si="432"/>
        <v>#VALUE!</v>
      </c>
      <c r="K106" s="129">
        <f t="shared" si="433"/>
        <v>32</v>
      </c>
      <c r="L106" s="129" t="str">
        <f>IFERROR(VLOOKUP(MID(G106,J106,K106-J106),[5]skilldef!$C:$D,2,FALSE),"-") &amp; " / " &amp; IFERROR(VLOOKUP(MID(G106,H106,I106-H106),[5]skilldef!$A:$B,2,FALSE),"-")</f>
        <v>- / -</v>
      </c>
      <c r="M106" s="129" t="str">
        <f t="shared" si="394"/>
        <v>none</v>
      </c>
      <c r="N106" s="128" t="str">
        <f>IFERROR(LEFT(M106,FIND("],",M106)+S145),M106)</f>
        <v>none</v>
      </c>
      <c r="O106" s="129" t="e">
        <f t="shared" si="434"/>
        <v>#VALUE!</v>
      </c>
      <c r="P106" s="129">
        <f t="shared" si="435"/>
        <v>4</v>
      </c>
      <c r="Q106" s="129" t="e">
        <f t="shared" si="436"/>
        <v>#VALUE!</v>
      </c>
      <c r="R106" s="129" t="e">
        <f t="shared" si="437"/>
        <v>#VALUE!</v>
      </c>
      <c r="S106" s="129" t="str">
        <f>IFERROR(VLOOKUP(MID(N106,Q106,R106-Q106),[5]skilldef!$C:$D,2,FALSE),"-") &amp; " / " &amp; IFERROR(VLOOKUP(MID(N106,O106,P106-O106),[5]skilldef!$A:$B,2,FALSE),"-")</f>
        <v>- / -</v>
      </c>
      <c r="T106" s="128" t="str">
        <f t="shared" si="438"/>
        <v>none</v>
      </c>
      <c r="U106" s="129" t="e">
        <f t="shared" si="439"/>
        <v>#VALUE!</v>
      </c>
      <c r="V106" s="129">
        <f t="shared" si="440"/>
        <v>4</v>
      </c>
      <c r="W106" s="129" t="e">
        <f t="shared" si="441"/>
        <v>#VALUE!</v>
      </c>
      <c r="X106" s="129" t="e">
        <f t="shared" si="442"/>
        <v>#VALUE!</v>
      </c>
      <c r="Y106" s="129" t="str">
        <f>IFERROR(VLOOKUP(MID(T106,W106,X106-W106),[5]skilldef!$C:$D,2,FALSE),"-") &amp; " / " &amp; IFERROR(VLOOKUP(MID(T106,U106,V106-U106),[5]skilldef!$A:$B,2,FALSE),"-")</f>
        <v>- / -</v>
      </c>
      <c r="Z106" s="150" t="s">
        <v>329</v>
      </c>
      <c r="AA106" s="150" t="s">
        <v>464</v>
      </c>
      <c r="AB106" s="150"/>
    </row>
    <row r="107" spans="1:28" s="152" customFormat="1" ht="28" x14ac:dyDescent="0.15">
      <c r="A107" s="128">
        <v>59002106</v>
      </c>
      <c r="B107" s="128" t="s">
        <v>504</v>
      </c>
      <c r="C107" s="150">
        <v>3</v>
      </c>
      <c r="D107" s="150" t="s">
        <v>127</v>
      </c>
      <c r="E107" s="129" t="s">
        <v>477</v>
      </c>
      <c r="F107" s="129" t="s">
        <v>457</v>
      </c>
      <c r="G107" s="129" t="str">
        <f t="shared" si="389"/>
        <v>[effect:enemy_message, val1:2.2, val2:0.0, dead_type:suicide]</v>
      </c>
      <c r="H107" s="129">
        <f t="shared" si="430"/>
        <v>9</v>
      </c>
      <c r="I107" s="129">
        <f t="shared" si="431"/>
        <v>22</v>
      </c>
      <c r="J107" s="129" t="e">
        <f t="shared" si="432"/>
        <v>#VALUE!</v>
      </c>
      <c r="K107" s="129">
        <f t="shared" si="433"/>
        <v>32</v>
      </c>
      <c r="L107" s="129" t="str">
        <f>IFERROR(VLOOKUP(MID(G107,J107,K107-J107),[5]skilldef!$C:$D,2,FALSE),"-") &amp; " / " &amp; IFERROR(VLOOKUP(MID(G107,H107,I107-H107),[5]skilldef!$A:$B,2,FALSE),"-")</f>
        <v>- / -</v>
      </c>
      <c r="M107" s="129" t="str">
        <f t="shared" si="394"/>
        <v>none</v>
      </c>
      <c r="N107" s="128" t="str">
        <f>IFERROR(LEFT(M107,FIND("],",M107)+S144),M107)</f>
        <v>none</v>
      </c>
      <c r="O107" s="129" t="e">
        <f t="shared" si="434"/>
        <v>#VALUE!</v>
      </c>
      <c r="P107" s="129">
        <f t="shared" si="435"/>
        <v>4</v>
      </c>
      <c r="Q107" s="129" t="e">
        <f t="shared" si="436"/>
        <v>#VALUE!</v>
      </c>
      <c r="R107" s="129" t="e">
        <f t="shared" si="437"/>
        <v>#VALUE!</v>
      </c>
      <c r="S107" s="129" t="str">
        <f>IFERROR(VLOOKUP(MID(N107,Q107,R107-Q107),[5]skilldef!$C:$D,2,FALSE),"-") &amp; " / " &amp; IFERROR(VLOOKUP(MID(N107,O107,P107-O107),[5]skilldef!$A:$B,2,FALSE),"-")</f>
        <v>- / -</v>
      </c>
      <c r="T107" s="128" t="str">
        <f t="shared" si="438"/>
        <v>none</v>
      </c>
      <c r="U107" s="129" t="e">
        <f t="shared" si="439"/>
        <v>#VALUE!</v>
      </c>
      <c r="V107" s="129">
        <f t="shared" si="440"/>
        <v>4</v>
      </c>
      <c r="W107" s="129" t="e">
        <f t="shared" si="441"/>
        <v>#VALUE!</v>
      </c>
      <c r="X107" s="129" t="e">
        <f t="shared" si="442"/>
        <v>#VALUE!</v>
      </c>
      <c r="Y107" s="129" t="str">
        <f>IFERROR(VLOOKUP(MID(T107,W107,X107-W107),[5]skilldef!$C:$D,2,FALSE),"-") &amp; " / " &amp; IFERROR(VLOOKUP(MID(T107,U107,V107-U107),[5]skilldef!$A:$B,2,FALSE),"-")</f>
        <v>- / -</v>
      </c>
      <c r="Z107" s="150" t="s">
        <v>329</v>
      </c>
      <c r="AA107" s="150" t="s">
        <v>470</v>
      </c>
      <c r="AB107" s="150"/>
    </row>
    <row r="108" spans="1:28" s="152" customFormat="1" ht="28" x14ac:dyDescent="0.15">
      <c r="A108" s="128">
        <v>59002107</v>
      </c>
      <c r="B108" s="128" t="s">
        <v>503</v>
      </c>
      <c r="C108" s="150">
        <v>3</v>
      </c>
      <c r="D108" s="150" t="s">
        <v>127</v>
      </c>
      <c r="E108" s="129" t="s">
        <v>476</v>
      </c>
      <c r="F108" s="129" t="s">
        <v>457</v>
      </c>
      <c r="G108" s="129" t="str">
        <f t="shared" si="389"/>
        <v>[effect:enemy_message, val1:2.6, val2:0.0, dead_type:suicide]</v>
      </c>
      <c r="H108" s="129">
        <f t="shared" si="430"/>
        <v>9</v>
      </c>
      <c r="I108" s="129">
        <f t="shared" si="431"/>
        <v>22</v>
      </c>
      <c r="J108" s="129" t="e">
        <f t="shared" si="432"/>
        <v>#VALUE!</v>
      </c>
      <c r="K108" s="129">
        <f t="shared" si="433"/>
        <v>32</v>
      </c>
      <c r="L108" s="129" t="str">
        <f>IFERROR(VLOOKUP(MID(G108,J108,K108-J108),[5]skilldef!$C:$D,2,FALSE),"-") &amp; " / " &amp; IFERROR(VLOOKUP(MID(G108,H108,I108-H108),[5]skilldef!$A:$B,2,FALSE),"-")</f>
        <v>- / -</v>
      </c>
      <c r="M108" s="129" t="str">
        <f t="shared" si="394"/>
        <v>none</v>
      </c>
      <c r="N108" s="128" t="str">
        <f>IFERROR(LEFT(M108,FIND("],",M108)+S144),M108)</f>
        <v>none</v>
      </c>
      <c r="O108" s="129" t="e">
        <f t="shared" si="434"/>
        <v>#VALUE!</v>
      </c>
      <c r="P108" s="129">
        <f t="shared" si="435"/>
        <v>4</v>
      </c>
      <c r="Q108" s="129" t="e">
        <f t="shared" si="436"/>
        <v>#VALUE!</v>
      </c>
      <c r="R108" s="129" t="e">
        <f t="shared" si="437"/>
        <v>#VALUE!</v>
      </c>
      <c r="S108" s="129" t="str">
        <f>IFERROR(VLOOKUP(MID(N108,Q108,R108-Q108),[5]skilldef!$C:$D,2,FALSE),"-") &amp; " / " &amp; IFERROR(VLOOKUP(MID(N108,O108,P108-O108),[5]skilldef!$A:$B,2,FALSE),"-")</f>
        <v>- / -</v>
      </c>
      <c r="T108" s="128" t="str">
        <f t="shared" si="438"/>
        <v>none</v>
      </c>
      <c r="U108" s="129" t="e">
        <f t="shared" si="439"/>
        <v>#VALUE!</v>
      </c>
      <c r="V108" s="129">
        <f t="shared" si="440"/>
        <v>4</v>
      </c>
      <c r="W108" s="129" t="e">
        <f t="shared" si="441"/>
        <v>#VALUE!</v>
      </c>
      <c r="X108" s="129" t="e">
        <f t="shared" si="442"/>
        <v>#VALUE!</v>
      </c>
      <c r="Y108" s="129" t="str">
        <f>IFERROR(VLOOKUP(MID(T108,W108,X108-W108),[5]skilldef!$C:$D,2,FALSE),"-") &amp; " / " &amp; IFERROR(VLOOKUP(MID(T108,U108,V108-U108),[5]skilldef!$A:$B,2,FALSE),"-")</f>
        <v>- / -</v>
      </c>
      <c r="Z108" s="150" t="s">
        <v>329</v>
      </c>
      <c r="AA108" s="150" t="s">
        <v>469</v>
      </c>
      <c r="AB108" s="150"/>
    </row>
    <row r="109" spans="1:28" s="152" customFormat="1" ht="28" x14ac:dyDescent="0.15">
      <c r="A109" s="128">
        <v>59002108</v>
      </c>
      <c r="B109" s="128" t="s">
        <v>500</v>
      </c>
      <c r="C109" s="150">
        <v>3</v>
      </c>
      <c r="D109" s="150" t="s">
        <v>127</v>
      </c>
      <c r="E109" s="129" t="s">
        <v>473</v>
      </c>
      <c r="F109" s="129" t="s">
        <v>457</v>
      </c>
      <c r="G109" s="129" t="str">
        <f t="shared" si="389"/>
        <v>[effect:enemy_message, val1:2.4, val2:0.0, dead_type:suicide]</v>
      </c>
      <c r="H109" s="129">
        <f t="shared" si="430"/>
        <v>9</v>
      </c>
      <c r="I109" s="129">
        <f t="shared" si="431"/>
        <v>22</v>
      </c>
      <c r="J109" s="129" t="e">
        <f t="shared" si="432"/>
        <v>#VALUE!</v>
      </c>
      <c r="K109" s="129">
        <f t="shared" si="433"/>
        <v>32</v>
      </c>
      <c r="L109" s="129" t="str">
        <f>IFERROR(VLOOKUP(MID(G109,J109,K109-J109),[5]skilldef!$C:$D,2,FALSE),"-") &amp; " / " &amp; IFERROR(VLOOKUP(MID(G109,H109,I109-H109),[5]skilldef!$A:$B,2,FALSE),"-")</f>
        <v>- / -</v>
      </c>
      <c r="M109" s="129" t="str">
        <f t="shared" si="394"/>
        <v>none</v>
      </c>
      <c r="N109" s="128" t="str">
        <f>IFERROR(LEFT(M109,FIND("],",M109)+S145),M109)</f>
        <v>none</v>
      </c>
      <c r="O109" s="129" t="e">
        <f t="shared" si="434"/>
        <v>#VALUE!</v>
      </c>
      <c r="P109" s="129">
        <f t="shared" si="435"/>
        <v>4</v>
      </c>
      <c r="Q109" s="129" t="e">
        <f t="shared" si="436"/>
        <v>#VALUE!</v>
      </c>
      <c r="R109" s="129" t="e">
        <f t="shared" si="437"/>
        <v>#VALUE!</v>
      </c>
      <c r="S109" s="129" t="str">
        <f>IFERROR(VLOOKUP(MID(N109,Q109,R109-Q109),[5]skilldef!$C:$D,2,FALSE),"-") &amp; " / " &amp; IFERROR(VLOOKUP(MID(N109,O109,P109-O109),[5]skilldef!$A:$B,2,FALSE),"-")</f>
        <v>- / -</v>
      </c>
      <c r="T109" s="128" t="str">
        <f t="shared" si="438"/>
        <v>none</v>
      </c>
      <c r="U109" s="129" t="e">
        <f t="shared" si="439"/>
        <v>#VALUE!</v>
      </c>
      <c r="V109" s="129">
        <f t="shared" si="440"/>
        <v>4</v>
      </c>
      <c r="W109" s="129" t="e">
        <f t="shared" si="441"/>
        <v>#VALUE!</v>
      </c>
      <c r="X109" s="129" t="e">
        <f t="shared" si="442"/>
        <v>#VALUE!</v>
      </c>
      <c r="Y109" s="129" t="str">
        <f>IFERROR(VLOOKUP(MID(T109,W109,X109-W109),[5]skilldef!$C:$D,2,FALSE),"-") &amp; " / " &amp; IFERROR(VLOOKUP(MID(T109,U109,V109-U109),[5]skilldef!$A:$B,2,FALSE),"-")</f>
        <v>- / -</v>
      </c>
      <c r="Z109" s="150" t="s">
        <v>329</v>
      </c>
      <c r="AA109" s="150" t="s">
        <v>466</v>
      </c>
      <c r="AB109" s="150"/>
    </row>
    <row r="110" spans="1:28" s="152" customFormat="1" ht="23" customHeight="1" x14ac:dyDescent="0.15">
      <c r="A110" s="128">
        <v>59002109</v>
      </c>
      <c r="B110" s="128" t="s">
        <v>501</v>
      </c>
      <c r="C110" s="150">
        <v>3</v>
      </c>
      <c r="D110" s="150" t="s">
        <v>127</v>
      </c>
      <c r="E110" s="129" t="s">
        <v>474</v>
      </c>
      <c r="F110" s="129" t="s">
        <v>457</v>
      </c>
      <c r="G110" s="129" t="str">
        <f t="shared" si="389"/>
        <v>[effect:enemy_message, val1:1.9, val2:0.0, dead_type:suicide]</v>
      </c>
      <c r="H110" s="129">
        <f t="shared" ref="H110:H112" si="443">FIND("effect:",G110)+7</f>
        <v>9</v>
      </c>
      <c r="I110" s="129">
        <f t="shared" ref="I110:I112" si="444">IFERROR(FIND(",",G110),LEN(G110))</f>
        <v>22</v>
      </c>
      <c r="J110" s="129" t="e">
        <f t="shared" ref="J110:J112" si="445">FIND("target:",G110)+7</f>
        <v>#VALUE!</v>
      </c>
      <c r="K110" s="129">
        <f t="shared" ref="K110:K112" si="446">FIND(",",G110,I110+1)</f>
        <v>32</v>
      </c>
      <c r="L110" s="129" t="str">
        <f>IFERROR(VLOOKUP(MID(G110,J110,K110-J110),[5]skilldef!$C:$D,2,FALSE),"-") &amp; " / " &amp; IFERROR(VLOOKUP(MID(G110,H110,I110-H110),[5]skilldef!$A:$B,2,FALSE),"-")</f>
        <v>- / -</v>
      </c>
      <c r="M110" s="129" t="str">
        <f t="shared" si="394"/>
        <v>none</v>
      </c>
      <c r="N110" s="128" t="str">
        <f>IFERROR(LEFT(M110,FIND("],",M110)+S146),M110)</f>
        <v>none</v>
      </c>
      <c r="O110" s="129" t="e">
        <f t="shared" ref="O110:O112" si="447">FIND("effect:",N110)+7</f>
        <v>#VALUE!</v>
      </c>
      <c r="P110" s="129">
        <f t="shared" ref="P110:P112" si="448">IFERROR(FIND(",",N110),LEN(N110))</f>
        <v>4</v>
      </c>
      <c r="Q110" s="129" t="e">
        <f t="shared" ref="Q110:Q112" si="449">FIND("target:",N110)+7</f>
        <v>#VALUE!</v>
      </c>
      <c r="R110" s="129" t="e">
        <f t="shared" ref="R110:R112" si="450">FIND(",",N110,P110+1)</f>
        <v>#VALUE!</v>
      </c>
      <c r="S110" s="129" t="str">
        <f>IFERROR(VLOOKUP(MID(N110,Q110,R110-Q110),[5]skilldef!$C:$D,2,FALSE),"-") &amp; " / " &amp; IFERROR(VLOOKUP(MID(N110,O110,P110-O110),[5]skilldef!$A:$B,2,FALSE),"-")</f>
        <v>- / -</v>
      </c>
      <c r="T110" s="128" t="str">
        <f t="shared" ref="T110:T112" si="451">IFERROR(RIGHT(M110,LEN(M110)-FIND("],",M110)-1),"none")</f>
        <v>none</v>
      </c>
      <c r="U110" s="129" t="e">
        <f t="shared" ref="U110:U112" si="452">FIND("effect:",T110)+7</f>
        <v>#VALUE!</v>
      </c>
      <c r="V110" s="129">
        <f t="shared" ref="V110:V112" si="453">IFERROR(FIND(",",T110),LEN(T110))</f>
        <v>4</v>
      </c>
      <c r="W110" s="129" t="e">
        <f t="shared" ref="W110:W112" si="454">FIND("target:",T110)+7</f>
        <v>#VALUE!</v>
      </c>
      <c r="X110" s="129" t="e">
        <f t="shared" ref="X110:X112" si="455">FIND(",",T110,V110+1)</f>
        <v>#VALUE!</v>
      </c>
      <c r="Y110" s="129" t="str">
        <f>IFERROR(VLOOKUP(MID(T110,W110,X110-W110),[5]skilldef!$C:$D,2,FALSE),"-") &amp; " / " &amp; IFERROR(VLOOKUP(MID(T110,U110,V110-U110),[5]skilldef!$A:$B,2,FALSE),"-")</f>
        <v>- / -</v>
      </c>
      <c r="Z110" s="150" t="s">
        <v>329</v>
      </c>
      <c r="AA110" s="150" t="s">
        <v>467</v>
      </c>
      <c r="AB110" s="150"/>
    </row>
    <row r="111" spans="1:28" s="152" customFormat="1" ht="21" customHeight="1" x14ac:dyDescent="0.15">
      <c r="A111" s="128">
        <v>59002110</v>
      </c>
      <c r="B111" s="128" t="s">
        <v>502</v>
      </c>
      <c r="C111" s="150">
        <v>3</v>
      </c>
      <c r="D111" s="150" t="s">
        <v>127</v>
      </c>
      <c r="E111" s="129" t="s">
        <v>475</v>
      </c>
      <c r="F111" s="129" t="s">
        <v>457</v>
      </c>
      <c r="G111" s="129" t="str">
        <f t="shared" si="389"/>
        <v>[effect:enemy_message, val1:1.8, val2:0.0, dead_type:suicide]</v>
      </c>
      <c r="H111" s="129">
        <f t="shared" si="443"/>
        <v>9</v>
      </c>
      <c r="I111" s="129">
        <f t="shared" si="444"/>
        <v>22</v>
      </c>
      <c r="J111" s="129" t="e">
        <f t="shared" si="445"/>
        <v>#VALUE!</v>
      </c>
      <c r="K111" s="129">
        <f t="shared" si="446"/>
        <v>32</v>
      </c>
      <c r="L111" s="129" t="str">
        <f>IFERROR(VLOOKUP(MID(G111,J111,K111-J111),[5]skilldef!$C:$D,2,FALSE),"-") &amp; " / " &amp; IFERROR(VLOOKUP(MID(G111,H111,I111-H111),[5]skilldef!$A:$B,2,FALSE),"-")</f>
        <v>- / -</v>
      </c>
      <c r="M111" s="129" t="str">
        <f t="shared" si="394"/>
        <v>none</v>
      </c>
      <c r="N111" s="128" t="str">
        <f>IFERROR(LEFT(M111,FIND("],",M111)+S147),M111)</f>
        <v>none</v>
      </c>
      <c r="O111" s="129" t="e">
        <f t="shared" si="447"/>
        <v>#VALUE!</v>
      </c>
      <c r="P111" s="129">
        <f t="shared" si="448"/>
        <v>4</v>
      </c>
      <c r="Q111" s="129" t="e">
        <f t="shared" si="449"/>
        <v>#VALUE!</v>
      </c>
      <c r="R111" s="129" t="e">
        <f t="shared" si="450"/>
        <v>#VALUE!</v>
      </c>
      <c r="S111" s="129" t="str">
        <f>IFERROR(VLOOKUP(MID(N111,Q111,R111-Q111),[5]skilldef!$C:$D,2,FALSE),"-") &amp; " / " &amp; IFERROR(VLOOKUP(MID(N111,O111,P111-O111),[5]skilldef!$A:$B,2,FALSE),"-")</f>
        <v>- / -</v>
      </c>
      <c r="T111" s="128" t="str">
        <f t="shared" si="451"/>
        <v>none</v>
      </c>
      <c r="U111" s="129" t="e">
        <f t="shared" si="452"/>
        <v>#VALUE!</v>
      </c>
      <c r="V111" s="129">
        <f t="shared" si="453"/>
        <v>4</v>
      </c>
      <c r="W111" s="129" t="e">
        <f t="shared" si="454"/>
        <v>#VALUE!</v>
      </c>
      <c r="X111" s="129" t="e">
        <f t="shared" si="455"/>
        <v>#VALUE!</v>
      </c>
      <c r="Y111" s="129" t="str">
        <f>IFERROR(VLOOKUP(MID(T111,W111,X111-W111),[5]skilldef!$C:$D,2,FALSE),"-") &amp; " / " &amp; IFERROR(VLOOKUP(MID(T111,U111,V111-U111),[5]skilldef!$A:$B,2,FALSE),"-")</f>
        <v>- / -</v>
      </c>
      <c r="Z111" s="150" t="s">
        <v>329</v>
      </c>
      <c r="AA111" s="150" t="s">
        <v>468</v>
      </c>
      <c r="AB111" s="150"/>
    </row>
    <row r="112" spans="1:28" s="121" customFormat="1" ht="30" customHeight="1" x14ac:dyDescent="0.15">
      <c r="A112" s="117">
        <v>59002111</v>
      </c>
      <c r="B112" s="117" t="s">
        <v>559</v>
      </c>
      <c r="C112" s="118">
        <v>3</v>
      </c>
      <c r="D112" s="118" t="s">
        <v>127</v>
      </c>
      <c r="E112" s="119" t="s">
        <v>511</v>
      </c>
      <c r="F112" s="119" t="s">
        <v>556</v>
      </c>
      <c r="G112" s="119" t="str">
        <f t="shared" si="389"/>
        <v>[effect:enemy_message, val1:2.6, val2:2.8]</v>
      </c>
      <c r="H112" s="119">
        <f t="shared" si="443"/>
        <v>9</v>
      </c>
      <c r="I112" s="119">
        <f t="shared" si="444"/>
        <v>22</v>
      </c>
      <c r="J112" s="119" t="e">
        <f t="shared" si="445"/>
        <v>#VALUE!</v>
      </c>
      <c r="K112" s="119">
        <f t="shared" si="446"/>
        <v>32</v>
      </c>
      <c r="L112" s="119" t="str">
        <f>IFERROR(VLOOKUP(MID(G112,J112,K112-J112),[5]skilldef!$C:$D,2,FALSE),"-") &amp; " / " &amp; IFERROR(VLOOKUP(MID(G112,H112,I112-H112),[5]skilldef!$A:$B,2,FALSE),"-")</f>
        <v>- / -</v>
      </c>
      <c r="M112" s="119" t="str">
        <f t="shared" si="394"/>
        <v xml:space="preserve">[effect:fix_speed, target:myself, turn:1],[effect:tolerance, target:myself, turn:-1, count:-1, tolerance_effect:all, animation:enemy_tolerance],[effect:drop_block, block_type:normal, block_color:block_blue, color:block_red, val:0, rate:0.25, turn:-1]    </v>
      </c>
      <c r="N112" s="117" t="str">
        <f>IFERROR(LEFT(M112,FIND("],",M112)+S138),M112)</f>
        <v>[effect:fix_speed, target:myself, turn:1]</v>
      </c>
      <c r="O112" s="119">
        <f t="shared" si="447"/>
        <v>9</v>
      </c>
      <c r="P112" s="119">
        <f t="shared" si="448"/>
        <v>18</v>
      </c>
      <c r="Q112" s="119">
        <f t="shared" si="449"/>
        <v>27</v>
      </c>
      <c r="R112" s="119">
        <f t="shared" si="450"/>
        <v>33</v>
      </c>
      <c r="S112" s="119" t="str">
        <f>IFERROR(VLOOKUP(MID(N112,Q112,R112-Q112),[5]skilldef!$C:$D,2,FALSE),"-") &amp; " / " &amp; IFERROR(VLOOKUP(MID(N112,O112,P112-O112),[5]skilldef!$A:$B,2,FALSE),"-")</f>
        <v>自分自身に / 行動値設定</v>
      </c>
      <c r="T112" s="117" t="str">
        <f t="shared" si="451"/>
        <v xml:space="preserve">[effect:tolerance, target:myself, turn:-1, count:-1, tolerance_effect:all, animation:enemy_tolerance],[effect:drop_block, block_type:normal, block_color:block_blue, color:block_red, val:0, rate:0.25, turn:-1]    </v>
      </c>
      <c r="U112" s="119">
        <f t="shared" si="452"/>
        <v>9</v>
      </c>
      <c r="V112" s="119">
        <f t="shared" si="453"/>
        <v>18</v>
      </c>
      <c r="W112" s="119">
        <f t="shared" si="454"/>
        <v>27</v>
      </c>
      <c r="X112" s="119">
        <f t="shared" si="455"/>
        <v>33</v>
      </c>
      <c r="Y112" s="119" t="str">
        <f>IFERROR(VLOOKUP(MID(T112,W112,X112-W112),[5]skilldef!$C:$D,2,FALSE),"-") &amp; " / " &amp; IFERROR(VLOOKUP(MID(T112,U112,V112-U112),[5]skilldef!$A:$B,2,FALSE),"-")</f>
        <v>自分自身に / 状態異常耐性</v>
      </c>
      <c r="Z112" s="118" t="s">
        <v>330</v>
      </c>
      <c r="AA112" s="120" t="s">
        <v>479</v>
      </c>
      <c r="AB112" s="118"/>
    </row>
    <row r="113" spans="1:28" s="121" customFormat="1" ht="30" customHeight="1" x14ac:dyDescent="0.15">
      <c r="A113" s="117">
        <v>59002112</v>
      </c>
      <c r="B113" s="117" t="s">
        <v>559</v>
      </c>
      <c r="C113" s="118">
        <v>3</v>
      </c>
      <c r="D113" s="118" t="s">
        <v>127</v>
      </c>
      <c r="E113" s="119" t="s">
        <v>505</v>
      </c>
      <c r="F113" s="119" t="s">
        <v>556</v>
      </c>
      <c r="G113" s="119" t="str">
        <f t="shared" si="389"/>
        <v>[effect:enemy_message, val1:2.6, val2:2.8]</v>
      </c>
      <c r="H113" s="119">
        <f t="shared" ref="H113:H115" si="456">FIND("effect:",G113)+7</f>
        <v>9</v>
      </c>
      <c r="I113" s="119">
        <f t="shared" ref="I113:I115" si="457">IFERROR(FIND(",",G113),LEN(G113))</f>
        <v>22</v>
      </c>
      <c r="J113" s="119" t="e">
        <f t="shared" ref="J113:J115" si="458">FIND("target:",G113)+7</f>
        <v>#VALUE!</v>
      </c>
      <c r="K113" s="119">
        <f t="shared" ref="K113:K115" si="459">FIND(",",G113,I113+1)</f>
        <v>32</v>
      </c>
      <c r="L113" s="119" t="str">
        <f>IFERROR(VLOOKUP(MID(G113,J113,K113-J113),[5]skilldef!$C:$D,2,FALSE),"-") &amp; " / " &amp; IFERROR(VLOOKUP(MID(G113,H113,I113-H113),[5]skilldef!$A:$B,2,FALSE),"-")</f>
        <v>- / -</v>
      </c>
      <c r="M113" s="119" t="str">
        <f t="shared" si="394"/>
        <v xml:space="preserve">[effect:fix_speed, target:myself, turn:1],[effect:tolerance, target:myself, turn:-1, count:-1, tolerance_effect:all, animation:enemy_tolerance],[effect:drop_block, block_type:normal, block_color:block_blue, color:block_red, val:0, rate:0.25, turn:-1]    </v>
      </c>
      <c r="N113" s="117" t="str">
        <f>IFERROR(LEFT(M113,FIND("],",M113)+S139),M113)</f>
        <v>[effect:fix_speed, target:myself, turn:1]</v>
      </c>
      <c r="O113" s="119">
        <f t="shared" ref="O113:O115" si="460">FIND("effect:",N113)+7</f>
        <v>9</v>
      </c>
      <c r="P113" s="119">
        <f t="shared" ref="P113:P115" si="461">IFERROR(FIND(",",N113),LEN(N113))</f>
        <v>18</v>
      </c>
      <c r="Q113" s="119">
        <f t="shared" ref="Q113:Q115" si="462">FIND("target:",N113)+7</f>
        <v>27</v>
      </c>
      <c r="R113" s="119">
        <f t="shared" ref="R113:R115" si="463">FIND(",",N113,P113+1)</f>
        <v>33</v>
      </c>
      <c r="S113" s="119" t="str">
        <f>IFERROR(VLOOKUP(MID(N113,Q113,R113-Q113),[5]skilldef!$C:$D,2,FALSE),"-") &amp; " / " &amp; IFERROR(VLOOKUP(MID(N113,O113,P113-O113),[5]skilldef!$A:$B,2,FALSE),"-")</f>
        <v>自分自身に / 行動値設定</v>
      </c>
      <c r="T113" s="117" t="str">
        <f t="shared" ref="T113:T115" si="464">IFERROR(RIGHT(M113,LEN(M113)-FIND("],",M113)-1),"none")</f>
        <v xml:space="preserve">[effect:tolerance, target:myself, turn:-1, count:-1, tolerance_effect:all, animation:enemy_tolerance],[effect:drop_block, block_type:normal, block_color:block_blue, color:block_red, val:0, rate:0.25, turn:-1]    </v>
      </c>
      <c r="U113" s="119">
        <f t="shared" ref="U113:U115" si="465">FIND("effect:",T113)+7</f>
        <v>9</v>
      </c>
      <c r="V113" s="119">
        <f t="shared" ref="V113:V115" si="466">IFERROR(FIND(",",T113),LEN(T113))</f>
        <v>18</v>
      </c>
      <c r="W113" s="119">
        <f t="shared" ref="W113:W115" si="467">FIND("target:",T113)+7</f>
        <v>27</v>
      </c>
      <c r="X113" s="119">
        <f t="shared" ref="X113:X115" si="468">FIND(",",T113,V113+1)</f>
        <v>33</v>
      </c>
      <c r="Y113" s="119" t="str">
        <f>IFERROR(VLOOKUP(MID(T113,W113,X113-W113),[5]skilldef!$C:$D,2,FALSE),"-") &amp; " / " &amp; IFERROR(VLOOKUP(MID(T113,U113,V113-U113),[5]skilldef!$A:$B,2,FALSE),"-")</f>
        <v>自分自身に / 状態異常耐性</v>
      </c>
      <c r="Z113" s="118" t="s">
        <v>330</v>
      </c>
      <c r="AA113" s="120" t="s">
        <v>478</v>
      </c>
      <c r="AB113" s="118"/>
    </row>
    <row r="114" spans="1:28" s="121" customFormat="1" ht="30" customHeight="1" x14ac:dyDescent="0.15">
      <c r="A114" s="117">
        <v>59002113</v>
      </c>
      <c r="B114" s="117" t="s">
        <v>558</v>
      </c>
      <c r="C114" s="118">
        <v>3</v>
      </c>
      <c r="D114" s="118" t="s">
        <v>127</v>
      </c>
      <c r="E114" s="119" t="s">
        <v>506</v>
      </c>
      <c r="F114" s="119" t="s">
        <v>556</v>
      </c>
      <c r="G114" s="119" t="str">
        <f t="shared" si="389"/>
        <v>[effect:enemy_message, val1:2.7, val2:2.8]</v>
      </c>
      <c r="H114" s="119">
        <f t="shared" si="456"/>
        <v>9</v>
      </c>
      <c r="I114" s="119">
        <f t="shared" si="457"/>
        <v>22</v>
      </c>
      <c r="J114" s="119" t="e">
        <f t="shared" si="458"/>
        <v>#VALUE!</v>
      </c>
      <c r="K114" s="119">
        <f t="shared" si="459"/>
        <v>32</v>
      </c>
      <c r="L114" s="119" t="str">
        <f>IFERROR(VLOOKUP(MID(G114,J114,K114-J114),[5]skilldef!$C:$D,2,FALSE),"-") &amp; " / " &amp; IFERROR(VLOOKUP(MID(G114,H114,I114-H114),[5]skilldef!$A:$B,2,FALSE),"-")</f>
        <v>- / -</v>
      </c>
      <c r="M114" s="119" t="str">
        <f t="shared" si="394"/>
        <v xml:space="preserve">[effect:fix_speed, target:myself, turn:1],[effect:tolerance, target:myself, turn:-1, count:-1, tolerance_effect:all, animation:enemy_tolerance],[effect:drop_block, block_type:normal, block_color:block_blue, color:block_red, val:0, rate:0.25, turn:-1]    </v>
      </c>
      <c r="N114" s="117" t="str">
        <f>IFERROR(LEFT(M114,FIND("],",M114)+S140),M114)</f>
        <v>[effect:fix_speed, target:myself, turn:1]</v>
      </c>
      <c r="O114" s="119">
        <f t="shared" si="460"/>
        <v>9</v>
      </c>
      <c r="P114" s="119">
        <f t="shared" si="461"/>
        <v>18</v>
      </c>
      <c r="Q114" s="119">
        <f t="shared" si="462"/>
        <v>27</v>
      </c>
      <c r="R114" s="119">
        <f t="shared" si="463"/>
        <v>33</v>
      </c>
      <c r="S114" s="119" t="str">
        <f>IFERROR(VLOOKUP(MID(N114,Q114,R114-Q114),[5]skilldef!$C:$D,2,FALSE),"-") &amp; " / " &amp; IFERROR(VLOOKUP(MID(N114,O114,P114-O114),[5]skilldef!$A:$B,2,FALSE),"-")</f>
        <v>自分自身に / 行動値設定</v>
      </c>
      <c r="T114" s="117" t="str">
        <f t="shared" si="464"/>
        <v xml:space="preserve">[effect:tolerance, target:myself, turn:-1, count:-1, tolerance_effect:all, animation:enemy_tolerance],[effect:drop_block, block_type:normal, block_color:block_blue, color:block_red, val:0, rate:0.25, turn:-1]    </v>
      </c>
      <c r="U114" s="119">
        <f t="shared" si="465"/>
        <v>9</v>
      </c>
      <c r="V114" s="119">
        <f t="shared" si="466"/>
        <v>18</v>
      </c>
      <c r="W114" s="119">
        <f t="shared" si="467"/>
        <v>27</v>
      </c>
      <c r="X114" s="119">
        <f t="shared" si="468"/>
        <v>33</v>
      </c>
      <c r="Y114" s="119" t="str">
        <f>IFERROR(VLOOKUP(MID(T114,W114,X114-W114),[5]skilldef!$C:$D,2,FALSE),"-") &amp; " / " &amp; IFERROR(VLOOKUP(MID(T114,U114,V114-U114),[5]skilldef!$A:$B,2,FALSE),"-")</f>
        <v>自分自身に / 状態異常耐性</v>
      </c>
      <c r="Z114" s="118" t="s">
        <v>330</v>
      </c>
      <c r="AA114" s="120" t="s">
        <v>484</v>
      </c>
      <c r="AB114" s="118"/>
    </row>
    <row r="115" spans="1:28" s="121" customFormat="1" ht="30" customHeight="1" x14ac:dyDescent="0.15">
      <c r="A115" s="117">
        <v>59002114</v>
      </c>
      <c r="B115" s="117" t="s">
        <v>560</v>
      </c>
      <c r="C115" s="118">
        <v>3</v>
      </c>
      <c r="D115" s="118" t="s">
        <v>127</v>
      </c>
      <c r="E115" s="119" t="s">
        <v>507</v>
      </c>
      <c r="F115" s="119" t="s">
        <v>556</v>
      </c>
      <c r="G115" s="119" t="str">
        <f t="shared" si="389"/>
        <v>[effect:enemy_message, val1:2.8, val2:2.8]</v>
      </c>
      <c r="H115" s="119">
        <f t="shared" si="456"/>
        <v>9</v>
      </c>
      <c r="I115" s="119">
        <f t="shared" si="457"/>
        <v>22</v>
      </c>
      <c r="J115" s="119" t="e">
        <f t="shared" si="458"/>
        <v>#VALUE!</v>
      </c>
      <c r="K115" s="119">
        <f t="shared" si="459"/>
        <v>32</v>
      </c>
      <c r="L115" s="119" t="str">
        <f>IFERROR(VLOOKUP(MID(G115,J115,K115-J115),[5]skilldef!$C:$D,2,FALSE),"-") &amp; " / " &amp; IFERROR(VLOOKUP(MID(G115,H115,I115-H115),[5]skilldef!$A:$B,2,FALSE),"-")</f>
        <v>- / -</v>
      </c>
      <c r="M115" s="119" t="str">
        <f t="shared" si="394"/>
        <v xml:space="preserve">[effect:fix_speed, target:myself, turn:1],[effect:tolerance, target:myself, turn:-1, count:-1, tolerance_effect:all, animation:enemy_tolerance],[effect:drop_block, block_type:normal, block_color:block_blue, color:block_red, val:0, rate:0.25, turn:-1]    </v>
      </c>
      <c r="N115" s="117" t="str">
        <f>IFERROR(LEFT(M115,FIND("],",M115)+S140),M115)</f>
        <v>[effect:fix_speed, target:myself, turn:1]</v>
      </c>
      <c r="O115" s="119">
        <f t="shared" si="460"/>
        <v>9</v>
      </c>
      <c r="P115" s="119">
        <f t="shared" si="461"/>
        <v>18</v>
      </c>
      <c r="Q115" s="119">
        <f t="shared" si="462"/>
        <v>27</v>
      </c>
      <c r="R115" s="119">
        <f t="shared" si="463"/>
        <v>33</v>
      </c>
      <c r="S115" s="119" t="str">
        <f>IFERROR(VLOOKUP(MID(N115,Q115,R115-Q115),[5]skilldef!$C:$D,2,FALSE),"-") &amp; " / " &amp; IFERROR(VLOOKUP(MID(N115,O115,P115-O115),[5]skilldef!$A:$B,2,FALSE),"-")</f>
        <v>自分自身に / 行動値設定</v>
      </c>
      <c r="T115" s="117" t="str">
        <f t="shared" si="464"/>
        <v xml:space="preserve">[effect:tolerance, target:myself, turn:-1, count:-1, tolerance_effect:all, animation:enemy_tolerance],[effect:drop_block, block_type:normal, block_color:block_blue, color:block_red, val:0, rate:0.25, turn:-1]    </v>
      </c>
      <c r="U115" s="119">
        <f t="shared" si="465"/>
        <v>9</v>
      </c>
      <c r="V115" s="119">
        <f t="shared" si="466"/>
        <v>18</v>
      </c>
      <c r="W115" s="119">
        <f t="shared" si="467"/>
        <v>27</v>
      </c>
      <c r="X115" s="119">
        <f t="shared" si="468"/>
        <v>33</v>
      </c>
      <c r="Y115" s="119" t="str">
        <f>IFERROR(VLOOKUP(MID(T115,W115,X115-W115),[5]skilldef!$C:$D,2,FALSE),"-") &amp; " / " &amp; IFERROR(VLOOKUP(MID(T115,U115,V115-U115),[5]skilldef!$A:$B,2,FALSE),"-")</f>
        <v>自分自身に / 状態異常耐性</v>
      </c>
      <c r="Z115" s="118" t="s">
        <v>330</v>
      </c>
      <c r="AA115" s="120" t="s">
        <v>483</v>
      </c>
      <c r="AB115" s="118"/>
    </row>
    <row r="116" spans="1:28" s="121" customFormat="1" ht="30" customHeight="1" x14ac:dyDescent="0.15">
      <c r="A116" s="117">
        <v>59002115</v>
      </c>
      <c r="B116" s="117" t="s">
        <v>558</v>
      </c>
      <c r="C116" s="118">
        <v>3</v>
      </c>
      <c r="D116" s="118" t="s">
        <v>127</v>
      </c>
      <c r="E116" s="119" t="s">
        <v>508</v>
      </c>
      <c r="F116" s="119" t="s">
        <v>556</v>
      </c>
      <c r="G116" s="119" t="str">
        <f t="shared" si="389"/>
        <v>[effect:enemy_message, val1:2.7, val2:2.8]</v>
      </c>
      <c r="H116" s="119">
        <f t="shared" ref="H116" si="469">FIND("effect:",G116)+7</f>
        <v>9</v>
      </c>
      <c r="I116" s="119">
        <f t="shared" ref="I116" si="470">IFERROR(FIND(",",G116),LEN(G116))</f>
        <v>22</v>
      </c>
      <c r="J116" s="119" t="e">
        <f t="shared" ref="J116" si="471">FIND("target:",G116)+7</f>
        <v>#VALUE!</v>
      </c>
      <c r="K116" s="119">
        <f t="shared" ref="K116" si="472">FIND(",",G116,I116+1)</f>
        <v>32</v>
      </c>
      <c r="L116" s="119" t="str">
        <f>IFERROR(VLOOKUP(MID(G116,J116,K116-J116),[5]skilldef!$C:$D,2,FALSE),"-") &amp; " / " &amp; IFERROR(VLOOKUP(MID(G116,H116,I116-H116),[5]skilldef!$A:$B,2,FALSE),"-")</f>
        <v>- / -</v>
      </c>
      <c r="M116" s="119" t="str">
        <f t="shared" si="394"/>
        <v xml:space="preserve">[effect:fix_speed, target:myself, turn:1],[effect:tolerance, target:myself, turn:-1, count:-1, tolerance_effect:all, animation:enemy_tolerance],[effect:drop_block, block_type:normal, block_color:block_blue, color:block_red, val:0, rate:0.25, turn:-1]    </v>
      </c>
      <c r="N116" s="117" t="str">
        <f>IFERROR(LEFT(M116,FIND("],",M116)+S141),M116)</f>
        <v>[effect:fix_speed, target:myself, turn:1]</v>
      </c>
      <c r="O116" s="119">
        <f t="shared" ref="O116" si="473">FIND("effect:",N116)+7</f>
        <v>9</v>
      </c>
      <c r="P116" s="119">
        <f t="shared" ref="P116" si="474">IFERROR(FIND(",",N116),LEN(N116))</f>
        <v>18</v>
      </c>
      <c r="Q116" s="119">
        <f t="shared" ref="Q116" si="475">FIND("target:",N116)+7</f>
        <v>27</v>
      </c>
      <c r="R116" s="119">
        <f t="shared" ref="R116" si="476">FIND(",",N116,P116+1)</f>
        <v>33</v>
      </c>
      <c r="S116" s="119" t="str">
        <f>IFERROR(VLOOKUP(MID(N116,Q116,R116-Q116),[5]skilldef!$C:$D,2,FALSE),"-") &amp; " / " &amp; IFERROR(VLOOKUP(MID(N116,O116,P116-O116),[5]skilldef!$A:$B,2,FALSE),"-")</f>
        <v>自分自身に / 行動値設定</v>
      </c>
      <c r="T116" s="117" t="str">
        <f t="shared" ref="T116" si="477">IFERROR(RIGHT(M116,LEN(M116)-FIND("],",M116)-1),"none")</f>
        <v xml:space="preserve">[effect:tolerance, target:myself, turn:-1, count:-1, tolerance_effect:all, animation:enemy_tolerance],[effect:drop_block, block_type:normal, block_color:block_blue, color:block_red, val:0, rate:0.25, turn:-1]    </v>
      </c>
      <c r="U116" s="119">
        <f t="shared" ref="U116" si="478">FIND("effect:",T116)+7</f>
        <v>9</v>
      </c>
      <c r="V116" s="119">
        <f t="shared" ref="V116" si="479">IFERROR(FIND(",",T116),LEN(T116))</f>
        <v>18</v>
      </c>
      <c r="W116" s="119">
        <f t="shared" ref="W116" si="480">FIND("target:",T116)+7</f>
        <v>27</v>
      </c>
      <c r="X116" s="119">
        <f t="shared" ref="X116" si="481">FIND(",",T116,V116+1)</f>
        <v>33</v>
      </c>
      <c r="Y116" s="119" t="str">
        <f>IFERROR(VLOOKUP(MID(T116,W116,X116-W116),[5]skilldef!$C:$D,2,FALSE),"-") &amp; " / " &amp; IFERROR(VLOOKUP(MID(T116,U116,V116-U116),[5]skilldef!$A:$B,2,FALSE),"-")</f>
        <v>自分自身に / 状態異常耐性</v>
      </c>
      <c r="Z116" s="118" t="s">
        <v>330</v>
      </c>
      <c r="AA116" s="120" t="s">
        <v>480</v>
      </c>
      <c r="AB116" s="118"/>
    </row>
    <row r="117" spans="1:28" s="121" customFormat="1" ht="30" customHeight="1" x14ac:dyDescent="0.15">
      <c r="A117" s="117">
        <v>59002116</v>
      </c>
      <c r="B117" s="117" t="s">
        <v>558</v>
      </c>
      <c r="C117" s="118">
        <v>3</v>
      </c>
      <c r="D117" s="118" t="s">
        <v>127</v>
      </c>
      <c r="E117" s="119" t="s">
        <v>509</v>
      </c>
      <c r="F117" s="119" t="s">
        <v>556</v>
      </c>
      <c r="G117" s="119" t="str">
        <f t="shared" si="389"/>
        <v>[effect:enemy_message, val1:2.7, val2:2.8]</v>
      </c>
      <c r="H117" s="119">
        <f t="shared" ref="H117:H119" si="482">FIND("effect:",G117)+7</f>
        <v>9</v>
      </c>
      <c r="I117" s="119">
        <f t="shared" ref="I117:I119" si="483">IFERROR(FIND(",",G117),LEN(G117))</f>
        <v>22</v>
      </c>
      <c r="J117" s="119" t="e">
        <f t="shared" ref="J117:J119" si="484">FIND("target:",G117)+7</f>
        <v>#VALUE!</v>
      </c>
      <c r="K117" s="119">
        <f t="shared" ref="K117:K119" si="485">FIND(",",G117,I117+1)</f>
        <v>32</v>
      </c>
      <c r="L117" s="119" t="str">
        <f>IFERROR(VLOOKUP(MID(G117,J117,K117-J117),[5]skilldef!$C:$D,2,FALSE),"-") &amp; " / " &amp; IFERROR(VLOOKUP(MID(G117,H117,I117-H117),[5]skilldef!$A:$B,2,FALSE),"-")</f>
        <v>- / -</v>
      </c>
      <c r="M117" s="119" t="str">
        <f t="shared" si="394"/>
        <v xml:space="preserve">[effect:fix_speed, target:myself, turn:1],[effect:tolerance, target:myself, turn:-1, count:-1, tolerance_effect:all, animation:enemy_tolerance],[effect:drop_block, block_type:normal, block_color:block_blue, color:block_red, val:0, rate:0.25, turn:-1]    </v>
      </c>
      <c r="N117" s="117" t="str">
        <f>IFERROR(LEFT(M117,FIND("],",M117)+S142),M117)</f>
        <v>[effect:fix_speed, target:myself, turn:1]</v>
      </c>
      <c r="O117" s="119">
        <f t="shared" ref="O117:O119" si="486">FIND("effect:",N117)+7</f>
        <v>9</v>
      </c>
      <c r="P117" s="119">
        <f t="shared" ref="P117:P119" si="487">IFERROR(FIND(",",N117),LEN(N117))</f>
        <v>18</v>
      </c>
      <c r="Q117" s="119">
        <f t="shared" ref="Q117:Q119" si="488">FIND("target:",N117)+7</f>
        <v>27</v>
      </c>
      <c r="R117" s="119">
        <f t="shared" ref="R117:R119" si="489">FIND(",",N117,P117+1)</f>
        <v>33</v>
      </c>
      <c r="S117" s="119" t="str">
        <f>IFERROR(VLOOKUP(MID(N117,Q117,R117-Q117),[5]skilldef!$C:$D,2,FALSE),"-") &amp; " / " &amp; IFERROR(VLOOKUP(MID(N117,O117,P117-O117),[5]skilldef!$A:$B,2,FALSE),"-")</f>
        <v>自分自身に / 行動値設定</v>
      </c>
      <c r="T117" s="117" t="str">
        <f t="shared" ref="T117:T119" si="490">IFERROR(RIGHT(M117,LEN(M117)-FIND("],",M117)-1),"none")</f>
        <v xml:space="preserve">[effect:tolerance, target:myself, turn:-1, count:-1, tolerance_effect:all, animation:enemy_tolerance],[effect:drop_block, block_type:normal, block_color:block_blue, color:block_red, val:0, rate:0.25, turn:-1]    </v>
      </c>
      <c r="U117" s="119">
        <f t="shared" ref="U117:U119" si="491">FIND("effect:",T117)+7</f>
        <v>9</v>
      </c>
      <c r="V117" s="119">
        <f t="shared" ref="V117:V119" si="492">IFERROR(FIND(",",T117),LEN(T117))</f>
        <v>18</v>
      </c>
      <c r="W117" s="119">
        <f t="shared" ref="W117:W119" si="493">FIND("target:",T117)+7</f>
        <v>27</v>
      </c>
      <c r="X117" s="119">
        <f t="shared" ref="X117:X119" si="494">FIND(",",T117,V117+1)</f>
        <v>33</v>
      </c>
      <c r="Y117" s="119" t="str">
        <f>IFERROR(VLOOKUP(MID(T117,W117,X117-W117),[5]skilldef!$C:$D,2,FALSE),"-") &amp; " / " &amp; IFERROR(VLOOKUP(MID(T117,U117,V117-U117),[5]skilldef!$A:$B,2,FALSE),"-")</f>
        <v>自分自身に / 状態異常耐性</v>
      </c>
      <c r="Z117" s="118" t="s">
        <v>330</v>
      </c>
      <c r="AA117" s="120" t="s">
        <v>481</v>
      </c>
      <c r="AB117" s="118"/>
    </row>
    <row r="118" spans="1:28" s="121" customFormat="1" ht="30" customHeight="1" x14ac:dyDescent="0.15">
      <c r="A118" s="117">
        <v>59002117</v>
      </c>
      <c r="B118" s="117" t="s">
        <v>560</v>
      </c>
      <c r="C118" s="118">
        <v>3</v>
      </c>
      <c r="D118" s="118" t="s">
        <v>127</v>
      </c>
      <c r="E118" s="119" t="s">
        <v>510</v>
      </c>
      <c r="F118" s="119" t="s">
        <v>556</v>
      </c>
      <c r="G118" s="119" t="str">
        <f t="shared" si="389"/>
        <v>[effect:enemy_message, val1:2.8, val2:2.8]</v>
      </c>
      <c r="H118" s="119">
        <f t="shared" si="482"/>
        <v>9</v>
      </c>
      <c r="I118" s="119">
        <f t="shared" si="483"/>
        <v>22</v>
      </c>
      <c r="J118" s="119" t="e">
        <f t="shared" si="484"/>
        <v>#VALUE!</v>
      </c>
      <c r="K118" s="119">
        <f t="shared" si="485"/>
        <v>32</v>
      </c>
      <c r="L118" s="119" t="str">
        <f>IFERROR(VLOOKUP(MID(G118,J118,K118-J118),[5]skilldef!$C:$D,2,FALSE),"-") &amp; " / " &amp; IFERROR(VLOOKUP(MID(G118,H118,I118-H118),[5]skilldef!$A:$B,2,FALSE),"-")</f>
        <v>- / -</v>
      </c>
      <c r="M118" s="119" t="str">
        <f t="shared" si="394"/>
        <v xml:space="preserve">[effect:fix_speed, target:myself, turn:1],[effect:tolerance, target:myself, turn:-1, count:-1, tolerance_effect:all, animation:enemy_tolerance],[effect:drop_block, block_type:normal, block_color:block_blue, color:block_red, val:0, rate:0.25, turn:-1]    </v>
      </c>
      <c r="N118" s="117" t="str">
        <f>IFERROR(LEFT(M118,FIND("],",M118)+S143),M118)</f>
        <v>[effect:fix_speed, target:myself, turn:1]</v>
      </c>
      <c r="O118" s="119">
        <f t="shared" si="486"/>
        <v>9</v>
      </c>
      <c r="P118" s="119">
        <f t="shared" si="487"/>
        <v>18</v>
      </c>
      <c r="Q118" s="119">
        <f t="shared" si="488"/>
        <v>27</v>
      </c>
      <c r="R118" s="119">
        <f t="shared" si="489"/>
        <v>33</v>
      </c>
      <c r="S118" s="119" t="str">
        <f>IFERROR(VLOOKUP(MID(N118,Q118,R118-Q118),[5]skilldef!$C:$D,2,FALSE),"-") &amp; " / " &amp; IFERROR(VLOOKUP(MID(N118,O118,P118-O118),[5]skilldef!$A:$B,2,FALSE),"-")</f>
        <v>自分自身に / 行動値設定</v>
      </c>
      <c r="T118" s="117" t="str">
        <f t="shared" si="490"/>
        <v xml:space="preserve">[effect:tolerance, target:myself, turn:-1, count:-1, tolerance_effect:all, animation:enemy_tolerance],[effect:drop_block, block_type:normal, block_color:block_blue, color:block_red, val:0, rate:0.25, turn:-1]    </v>
      </c>
      <c r="U118" s="119">
        <f t="shared" si="491"/>
        <v>9</v>
      </c>
      <c r="V118" s="119">
        <f t="shared" si="492"/>
        <v>18</v>
      </c>
      <c r="W118" s="119">
        <f t="shared" si="493"/>
        <v>27</v>
      </c>
      <c r="X118" s="119">
        <f t="shared" si="494"/>
        <v>33</v>
      </c>
      <c r="Y118" s="119" t="str">
        <f>IFERROR(VLOOKUP(MID(T118,W118,X118-W118),[5]skilldef!$C:$D,2,FALSE),"-") &amp; " / " &amp; IFERROR(VLOOKUP(MID(T118,U118,V118-U118),[5]skilldef!$A:$B,2,FALSE),"-")</f>
        <v>自分自身に / 状態異常耐性</v>
      </c>
      <c r="Z118" s="118" t="s">
        <v>330</v>
      </c>
      <c r="AA118" s="120" t="s">
        <v>482</v>
      </c>
      <c r="AB118" s="118"/>
    </row>
    <row r="119" spans="1:28" s="113" customFormat="1" ht="43" customHeight="1" x14ac:dyDescent="0.15">
      <c r="A119" s="109">
        <v>59002118</v>
      </c>
      <c r="B119" s="109" t="s">
        <v>595</v>
      </c>
      <c r="C119" s="110">
        <v>3</v>
      </c>
      <c r="D119" s="110" t="s">
        <v>127</v>
      </c>
      <c r="E119" s="111" t="s">
        <v>488</v>
      </c>
      <c r="F119" s="111" t="s">
        <v>279</v>
      </c>
      <c r="G119" s="111" t="str">
        <f t="shared" si="389"/>
        <v>[effect:enemy_message, val1:2.4, val2:1.3]</v>
      </c>
      <c r="H119" s="111">
        <f t="shared" si="482"/>
        <v>9</v>
      </c>
      <c r="I119" s="111">
        <f t="shared" si="483"/>
        <v>22</v>
      </c>
      <c r="J119" s="111" t="e">
        <f t="shared" si="484"/>
        <v>#VALUE!</v>
      </c>
      <c r="K119" s="111">
        <f t="shared" si="485"/>
        <v>32</v>
      </c>
      <c r="L119" s="111" t="str">
        <f>IFERROR(VLOOKUP(MID(G119,J119,K119-J119),[5]skilldef!$C:$D,2,FALSE),"-") &amp; " / " &amp; IFERROR(VLOOKUP(MID(G119,H119,I119-H119),[5]skilldef!$A:$B,2,FALSE),"-")</f>
        <v>- / -</v>
      </c>
      <c r="M119" s="111" t="str">
        <f t="shared" si="394"/>
        <v>[effect:play_bgm, turn:-1, bgm_path:BGM/BattleNormal2225],[effect:fix_speed, target:myself, turn:1],[effect:tolerance, target:myself, turn:-1, count:-1, tolerance_effect:all, animation:enemy_tolerance],[effect:dis_panel, target:block_green, turn:-1, animation:enemy_dis_green]</v>
      </c>
      <c r="N119" s="109" t="str">
        <f>IFERROR(LEFT(M119,FIND("],",M119)+S153),M119)</f>
        <v>[effect:play_bgm, turn:-1, bgm_path:BGM/BattleNormal2225]</v>
      </c>
      <c r="O119" s="111">
        <f t="shared" si="486"/>
        <v>9</v>
      </c>
      <c r="P119" s="111">
        <f t="shared" si="487"/>
        <v>17</v>
      </c>
      <c r="Q119" s="111" t="e">
        <f t="shared" si="488"/>
        <v>#VALUE!</v>
      </c>
      <c r="R119" s="111">
        <f t="shared" si="489"/>
        <v>26</v>
      </c>
      <c r="S119" s="111" t="str">
        <f>IFERROR(VLOOKUP(MID(N119,Q119,R119-Q119),[5]skilldef!$C:$D,2,FALSE),"-") &amp; " / " &amp; IFERROR(VLOOKUP(MID(N119,O119,P119-O119),[5]skilldef!$A:$B,2,FALSE),"-")</f>
        <v>- / -</v>
      </c>
      <c r="T119" s="109" t="str">
        <f t="shared" si="490"/>
        <v>[effect:fix_speed, target:myself, turn:1],[effect:tolerance, target:myself, turn:-1, count:-1, tolerance_effect:all, animation:enemy_tolerance],[effect:dis_panel, target:block_green, turn:-1, animation:enemy_dis_green]</v>
      </c>
      <c r="U119" s="111">
        <f t="shared" si="491"/>
        <v>9</v>
      </c>
      <c r="V119" s="111">
        <f t="shared" si="492"/>
        <v>18</v>
      </c>
      <c r="W119" s="111">
        <f t="shared" si="493"/>
        <v>27</v>
      </c>
      <c r="X119" s="111">
        <f t="shared" si="494"/>
        <v>33</v>
      </c>
      <c r="Y119" s="111" t="str">
        <f>IFERROR(VLOOKUP(MID(T119,W119,X119-W119),[5]skilldef!$C:$D,2,FALSE),"-") &amp; " / " &amp; IFERROR(VLOOKUP(MID(T119,U119,V119-U119),[5]skilldef!$A:$B,2,FALSE),"-")</f>
        <v>自分自身に / 行動値設定</v>
      </c>
      <c r="Z119" s="110" t="s">
        <v>331</v>
      </c>
      <c r="AA119" s="110" t="s">
        <v>479</v>
      </c>
      <c r="AB119" s="110"/>
    </row>
    <row r="120" spans="1:28" s="113" customFormat="1" ht="43" customHeight="1" x14ac:dyDescent="0.15">
      <c r="A120" s="109">
        <v>59002119</v>
      </c>
      <c r="B120" s="109" t="s">
        <v>596</v>
      </c>
      <c r="C120" s="110">
        <v>3</v>
      </c>
      <c r="D120" s="110" t="s">
        <v>127</v>
      </c>
      <c r="E120" s="111" t="s">
        <v>487</v>
      </c>
      <c r="F120" s="111" t="s">
        <v>279</v>
      </c>
      <c r="G120" s="111" t="str">
        <f t="shared" si="389"/>
        <v>[effect:enemy_message, val1:2.5, val2:1.3]</v>
      </c>
      <c r="H120" s="111">
        <f t="shared" ref="H120:H129" si="495">FIND("effect:",G120)+7</f>
        <v>9</v>
      </c>
      <c r="I120" s="111">
        <f t="shared" ref="I120:I129" si="496">IFERROR(FIND(",",G120),LEN(G120))</f>
        <v>22</v>
      </c>
      <c r="J120" s="111" t="e">
        <f t="shared" ref="J120:J129" si="497">FIND("target:",G120)+7</f>
        <v>#VALUE!</v>
      </c>
      <c r="K120" s="111">
        <f t="shared" ref="K120:K129" si="498">FIND(",",G120,I120+1)</f>
        <v>32</v>
      </c>
      <c r="L120" s="111" t="str">
        <f>IFERROR(VLOOKUP(MID(G120,J120,K120-J120),[5]skilldef!$C:$D,2,FALSE),"-") &amp; " / " &amp; IFERROR(VLOOKUP(MID(G120,H120,I120-H120),[5]skilldef!$A:$B,2,FALSE),"-")</f>
        <v>- / -</v>
      </c>
      <c r="M120" s="111" t="str">
        <f t="shared" si="394"/>
        <v>[effect:play_bgm, turn:-1, bgm_path:BGM/BattleNormal2225],[effect:fix_speed, target:myself, turn:1],[effect:tolerance, target:myself, turn:-1, count:-1, tolerance_effect:all, animation:enemy_tolerance],[effect:dis_panel, target:block_green, turn:-1, animation:enemy_dis_green]</v>
      </c>
      <c r="N120" s="109" t="str">
        <f>IFERROR(LEFT(M120,FIND("],",M120)+S154),M120)</f>
        <v>[effect:play_bgm, turn:-1, bgm_path:BGM/BattleNormal2225]</v>
      </c>
      <c r="O120" s="111">
        <f t="shared" ref="O120:O129" si="499">FIND("effect:",N120)+7</f>
        <v>9</v>
      </c>
      <c r="P120" s="111">
        <f t="shared" ref="P120:P129" si="500">IFERROR(FIND(",",N120),LEN(N120))</f>
        <v>17</v>
      </c>
      <c r="Q120" s="111" t="e">
        <f t="shared" ref="Q120:Q129" si="501">FIND("target:",N120)+7</f>
        <v>#VALUE!</v>
      </c>
      <c r="R120" s="111">
        <f t="shared" ref="R120:R129" si="502">FIND(",",N120,P120+1)</f>
        <v>26</v>
      </c>
      <c r="S120" s="111" t="str">
        <f>IFERROR(VLOOKUP(MID(N120,Q120,R120-Q120),[5]skilldef!$C:$D,2,FALSE),"-") &amp; " / " &amp; IFERROR(VLOOKUP(MID(N120,O120,P120-O120),[5]skilldef!$A:$B,2,FALSE),"-")</f>
        <v>- / -</v>
      </c>
      <c r="T120" s="109" t="str">
        <f t="shared" ref="T120:T129" si="503">IFERROR(RIGHT(M120,LEN(M120)-FIND("],",M120)-1),"none")</f>
        <v>[effect:fix_speed, target:myself, turn:1],[effect:tolerance, target:myself, turn:-1, count:-1, tolerance_effect:all, animation:enemy_tolerance],[effect:dis_panel, target:block_green, turn:-1, animation:enemy_dis_green]</v>
      </c>
      <c r="U120" s="111">
        <f t="shared" ref="U120:U129" si="504">FIND("effect:",T120)+7</f>
        <v>9</v>
      </c>
      <c r="V120" s="111">
        <f t="shared" ref="V120:V129" si="505">IFERROR(FIND(",",T120),LEN(T120))</f>
        <v>18</v>
      </c>
      <c r="W120" s="111">
        <f t="shared" ref="W120:W129" si="506">FIND("target:",T120)+7</f>
        <v>27</v>
      </c>
      <c r="X120" s="111">
        <f t="shared" ref="X120:X129" si="507">FIND(",",T120,V120+1)</f>
        <v>33</v>
      </c>
      <c r="Y120" s="111" t="str">
        <f>IFERROR(VLOOKUP(MID(T120,W120,X120-W120),[5]skilldef!$C:$D,2,FALSE),"-") &amp; " / " &amp; IFERROR(VLOOKUP(MID(T120,U120,V120-U120),[5]skilldef!$A:$B,2,FALSE),"-")</f>
        <v>自分自身に / 行動値設定</v>
      </c>
      <c r="Z120" s="110" t="s">
        <v>331</v>
      </c>
      <c r="AA120" s="110" t="s">
        <v>478</v>
      </c>
      <c r="AB120" s="110"/>
    </row>
    <row r="121" spans="1:28" s="113" customFormat="1" ht="43" customHeight="1" x14ac:dyDescent="0.15">
      <c r="A121" s="109">
        <v>59002120</v>
      </c>
      <c r="B121" s="109" t="s">
        <v>597</v>
      </c>
      <c r="C121" s="110">
        <v>3</v>
      </c>
      <c r="D121" s="110" t="s">
        <v>127</v>
      </c>
      <c r="E121" s="111" t="s">
        <v>413</v>
      </c>
      <c r="F121" s="111" t="s">
        <v>279</v>
      </c>
      <c r="G121" s="111" t="str">
        <f t="shared" si="389"/>
        <v>[effect:enemy_message, val1:2.2, val2:1.3]</v>
      </c>
      <c r="H121" s="111">
        <f t="shared" ref="H121:H122" si="508">FIND("effect:",G121)+7</f>
        <v>9</v>
      </c>
      <c r="I121" s="111">
        <f t="shared" ref="I121:I122" si="509">IFERROR(FIND(",",G121),LEN(G121))</f>
        <v>22</v>
      </c>
      <c r="J121" s="111" t="e">
        <f t="shared" ref="J121:J122" si="510">FIND("target:",G121)+7</f>
        <v>#VALUE!</v>
      </c>
      <c r="K121" s="111">
        <f t="shared" ref="K121:K122" si="511">FIND(",",G121,I121+1)</f>
        <v>32</v>
      </c>
      <c r="L121" s="111" t="str">
        <f>IFERROR(VLOOKUP(MID(G121,J121,K121-J121),[5]skilldef!$C:$D,2,FALSE),"-") &amp; " / " &amp; IFERROR(VLOOKUP(MID(G121,H121,I121-H121),[5]skilldef!$A:$B,2,FALSE),"-")</f>
        <v>- / -</v>
      </c>
      <c r="M121" s="111" t="str">
        <f t="shared" si="394"/>
        <v>[effect:play_bgm, turn:-1, bgm_path:BGM/BattleNormal2225],[effect:fix_speed, target:myself, turn:1],[effect:tolerance, target:myself, turn:-1, count:-1, tolerance_effect:all, animation:enemy_tolerance],[effect:dis_panel, target:block_green, turn:-1, animation:enemy_dis_green]</v>
      </c>
      <c r="N121" s="109" t="str">
        <f>IFERROR(LEFT(M121,FIND("],",M121)+S155),M121)</f>
        <v>[effect:play_bgm, turn:-1, bgm_path:BGM/BattleNormal2225]</v>
      </c>
      <c r="O121" s="111">
        <f t="shared" ref="O121:O122" si="512">FIND("effect:",N121)+7</f>
        <v>9</v>
      </c>
      <c r="P121" s="111">
        <f t="shared" ref="P121:P122" si="513">IFERROR(FIND(",",N121),LEN(N121))</f>
        <v>17</v>
      </c>
      <c r="Q121" s="111" t="e">
        <f t="shared" ref="Q121:Q122" si="514">FIND("target:",N121)+7</f>
        <v>#VALUE!</v>
      </c>
      <c r="R121" s="111">
        <f t="shared" ref="R121:R122" si="515">FIND(",",N121,P121+1)</f>
        <v>26</v>
      </c>
      <c r="S121" s="111" t="str">
        <f>IFERROR(VLOOKUP(MID(N121,Q121,R121-Q121),[5]skilldef!$C:$D,2,FALSE),"-") &amp; " / " &amp; IFERROR(VLOOKUP(MID(N121,O121,P121-O121),[5]skilldef!$A:$B,2,FALSE),"-")</f>
        <v>- / -</v>
      </c>
      <c r="T121" s="109" t="str">
        <f t="shared" ref="T121:T122" si="516">IFERROR(RIGHT(M121,LEN(M121)-FIND("],",M121)-1),"none")</f>
        <v>[effect:fix_speed, target:myself, turn:1],[effect:tolerance, target:myself, turn:-1, count:-1, tolerance_effect:all, animation:enemy_tolerance],[effect:dis_panel, target:block_green, turn:-1, animation:enemy_dis_green]</v>
      </c>
      <c r="U121" s="111">
        <f t="shared" ref="U121:U122" si="517">FIND("effect:",T121)+7</f>
        <v>9</v>
      </c>
      <c r="V121" s="111">
        <f t="shared" ref="V121:V122" si="518">IFERROR(FIND(",",T121),LEN(T121))</f>
        <v>18</v>
      </c>
      <c r="W121" s="111">
        <f t="shared" ref="W121:W122" si="519">FIND("target:",T121)+7</f>
        <v>27</v>
      </c>
      <c r="X121" s="111">
        <f t="shared" ref="X121:X122" si="520">FIND(",",T121,V121+1)</f>
        <v>33</v>
      </c>
      <c r="Y121" s="111" t="str">
        <f>IFERROR(VLOOKUP(MID(T121,W121,X121-W121),[5]skilldef!$C:$D,2,FALSE),"-") &amp; " / " &amp; IFERROR(VLOOKUP(MID(T121,U121,V121-U121),[5]skilldef!$A:$B,2,FALSE),"-")</f>
        <v>自分自身に / 行動値設定</v>
      </c>
      <c r="Z121" s="110" t="s">
        <v>331</v>
      </c>
      <c r="AA121" s="110" t="s">
        <v>484</v>
      </c>
      <c r="AB121" s="110"/>
    </row>
    <row r="122" spans="1:28" s="113" customFormat="1" ht="43" customHeight="1" x14ac:dyDescent="0.15">
      <c r="A122" s="109">
        <v>59002121</v>
      </c>
      <c r="B122" s="109" t="s">
        <v>598</v>
      </c>
      <c r="C122" s="110">
        <v>3</v>
      </c>
      <c r="D122" s="110" t="s">
        <v>127</v>
      </c>
      <c r="E122" s="111" t="s">
        <v>492</v>
      </c>
      <c r="F122" s="111" t="s">
        <v>279</v>
      </c>
      <c r="G122" s="111" t="str">
        <f t="shared" si="389"/>
        <v>[effect:enemy_message, val1:2.2, val2:1.3]</v>
      </c>
      <c r="H122" s="111">
        <f t="shared" si="508"/>
        <v>9</v>
      </c>
      <c r="I122" s="111">
        <f t="shared" si="509"/>
        <v>22</v>
      </c>
      <c r="J122" s="111" t="e">
        <f t="shared" si="510"/>
        <v>#VALUE!</v>
      </c>
      <c r="K122" s="111">
        <f t="shared" si="511"/>
        <v>32</v>
      </c>
      <c r="L122" s="111" t="str">
        <f>IFERROR(VLOOKUP(MID(G122,J122,K122-J122),[5]skilldef!$C:$D,2,FALSE),"-") &amp; " / " &amp; IFERROR(VLOOKUP(MID(G122,H122,I122-H122),[5]skilldef!$A:$B,2,FALSE),"-")</f>
        <v>- / -</v>
      </c>
      <c r="M122" s="111" t="str">
        <f t="shared" si="394"/>
        <v>[effect:play_bgm, turn:-1, bgm_path:BGM/BattleNormal2225],[effect:fix_speed, target:myself, turn:1],[effect:tolerance, target:myself, turn:-1, count:-1, tolerance_effect:all, animation:enemy_tolerance],[effect:dis_panel, target:block_green, turn:-1, animation:enemy_dis_green]</v>
      </c>
      <c r="N122" s="109" t="str">
        <f>IFERROR(LEFT(M122,FIND("],",M122)+S155),M122)</f>
        <v>[effect:play_bgm, turn:-1, bgm_path:BGM/BattleNormal2225]</v>
      </c>
      <c r="O122" s="111">
        <f t="shared" si="512"/>
        <v>9</v>
      </c>
      <c r="P122" s="111">
        <f t="shared" si="513"/>
        <v>17</v>
      </c>
      <c r="Q122" s="111" t="e">
        <f t="shared" si="514"/>
        <v>#VALUE!</v>
      </c>
      <c r="R122" s="111">
        <f t="shared" si="515"/>
        <v>26</v>
      </c>
      <c r="S122" s="111" t="str">
        <f>IFERROR(VLOOKUP(MID(N122,Q122,R122-Q122),[5]skilldef!$C:$D,2,FALSE),"-") &amp; " / " &amp; IFERROR(VLOOKUP(MID(N122,O122,P122-O122),[5]skilldef!$A:$B,2,FALSE),"-")</f>
        <v>- / -</v>
      </c>
      <c r="T122" s="109" t="str">
        <f t="shared" si="516"/>
        <v>[effect:fix_speed, target:myself, turn:1],[effect:tolerance, target:myself, turn:-1, count:-1, tolerance_effect:all, animation:enemy_tolerance],[effect:dis_panel, target:block_green, turn:-1, animation:enemy_dis_green]</v>
      </c>
      <c r="U122" s="111">
        <f t="shared" si="517"/>
        <v>9</v>
      </c>
      <c r="V122" s="111">
        <f t="shared" si="518"/>
        <v>18</v>
      </c>
      <c r="W122" s="111">
        <f t="shared" si="519"/>
        <v>27</v>
      </c>
      <c r="X122" s="111">
        <f t="shared" si="520"/>
        <v>33</v>
      </c>
      <c r="Y122" s="111" t="str">
        <f>IFERROR(VLOOKUP(MID(T122,W122,X122-W122),[5]skilldef!$C:$D,2,FALSE),"-") &amp; " / " &amp; IFERROR(VLOOKUP(MID(T122,U122,V122-U122),[5]skilldef!$A:$B,2,FALSE),"-")</f>
        <v>自分自身に / 行動値設定</v>
      </c>
      <c r="Z122" s="110" t="s">
        <v>331</v>
      </c>
      <c r="AA122" s="110" t="s">
        <v>483</v>
      </c>
      <c r="AB122" s="110"/>
    </row>
    <row r="123" spans="1:28" s="113" customFormat="1" ht="43" customHeight="1" x14ac:dyDescent="0.15">
      <c r="A123" s="109">
        <v>59002122</v>
      </c>
      <c r="B123" s="109" t="s">
        <v>599</v>
      </c>
      <c r="C123" s="110">
        <v>3</v>
      </c>
      <c r="D123" s="110" t="s">
        <v>127</v>
      </c>
      <c r="E123" s="111" t="s">
        <v>489</v>
      </c>
      <c r="F123" s="111" t="s">
        <v>279</v>
      </c>
      <c r="G123" s="111" t="str">
        <f t="shared" si="389"/>
        <v>[effect:enemy_message, val1:2.0, val2:1.3]</v>
      </c>
      <c r="H123" s="111">
        <f t="shared" si="495"/>
        <v>9</v>
      </c>
      <c r="I123" s="111">
        <f t="shared" si="496"/>
        <v>22</v>
      </c>
      <c r="J123" s="111" t="e">
        <f t="shared" si="497"/>
        <v>#VALUE!</v>
      </c>
      <c r="K123" s="111">
        <f t="shared" si="498"/>
        <v>32</v>
      </c>
      <c r="L123" s="111" t="str">
        <f>IFERROR(VLOOKUP(MID(G123,J123,K123-J123),[5]skilldef!$C:$D,2,FALSE),"-") &amp; " / " &amp; IFERROR(VLOOKUP(MID(G123,H123,I123-H123),[5]skilldef!$A:$B,2,FALSE),"-")</f>
        <v>- / -</v>
      </c>
      <c r="M123" s="111" t="str">
        <f t="shared" si="394"/>
        <v>[effect:play_bgm, turn:-1, bgm_path:BGM/BattleNormal2225],[effect:fix_speed, target:myself, turn:1],[effect:tolerance, target:myself, turn:-1, count:-1, tolerance_effect:all, animation:enemy_tolerance],[effect:dis_panel, target:block_green, turn:-1, animation:enemy_dis_green]</v>
      </c>
      <c r="N123" s="109" t="str">
        <f>IFERROR(LEFT(M123,FIND("],",M123)+S156),M123)</f>
        <v>[effect:play_bgm, turn:-1, bgm_path:BGM/BattleNormal2225]</v>
      </c>
      <c r="O123" s="111">
        <f t="shared" si="499"/>
        <v>9</v>
      </c>
      <c r="P123" s="111">
        <f t="shared" si="500"/>
        <v>17</v>
      </c>
      <c r="Q123" s="111" t="e">
        <f t="shared" si="501"/>
        <v>#VALUE!</v>
      </c>
      <c r="R123" s="111">
        <f t="shared" si="502"/>
        <v>26</v>
      </c>
      <c r="S123" s="111" t="str">
        <f>IFERROR(VLOOKUP(MID(N123,Q123,R123-Q123),[5]skilldef!$C:$D,2,FALSE),"-") &amp; " / " &amp; IFERROR(VLOOKUP(MID(N123,O123,P123-O123),[5]skilldef!$A:$B,2,FALSE),"-")</f>
        <v>- / -</v>
      </c>
      <c r="T123" s="109" t="str">
        <f t="shared" si="503"/>
        <v>[effect:fix_speed, target:myself, turn:1],[effect:tolerance, target:myself, turn:-1, count:-1, tolerance_effect:all, animation:enemy_tolerance],[effect:dis_panel, target:block_green, turn:-1, animation:enemy_dis_green]</v>
      </c>
      <c r="U123" s="111">
        <f t="shared" si="504"/>
        <v>9</v>
      </c>
      <c r="V123" s="111">
        <f t="shared" si="505"/>
        <v>18</v>
      </c>
      <c r="W123" s="111">
        <f t="shared" si="506"/>
        <v>27</v>
      </c>
      <c r="X123" s="111">
        <f t="shared" si="507"/>
        <v>33</v>
      </c>
      <c r="Y123" s="111" t="str">
        <f>IFERROR(VLOOKUP(MID(T123,W123,X123-W123),[5]skilldef!$C:$D,2,FALSE),"-") &amp; " / " &amp; IFERROR(VLOOKUP(MID(T123,U123,V123-U123),[5]skilldef!$A:$B,2,FALSE),"-")</f>
        <v>自分自身に / 行動値設定</v>
      </c>
      <c r="Z123" s="110" t="s">
        <v>331</v>
      </c>
      <c r="AA123" s="110" t="s">
        <v>480</v>
      </c>
      <c r="AB123" s="110"/>
    </row>
    <row r="124" spans="1:28" s="113" customFormat="1" ht="43" customHeight="1" x14ac:dyDescent="0.15">
      <c r="A124" s="109">
        <v>59002123</v>
      </c>
      <c r="B124" s="109" t="s">
        <v>600</v>
      </c>
      <c r="C124" s="110">
        <v>3</v>
      </c>
      <c r="D124" s="110" t="s">
        <v>127</v>
      </c>
      <c r="E124" s="111" t="s">
        <v>490</v>
      </c>
      <c r="F124" s="111" t="s">
        <v>279</v>
      </c>
      <c r="G124" s="111" t="str">
        <f t="shared" si="389"/>
        <v>[effect:enemy_message, val1:1.6, val2:1.3]</v>
      </c>
      <c r="H124" s="111">
        <f t="shared" si="495"/>
        <v>9</v>
      </c>
      <c r="I124" s="111">
        <f t="shared" si="496"/>
        <v>22</v>
      </c>
      <c r="J124" s="111" t="e">
        <f t="shared" si="497"/>
        <v>#VALUE!</v>
      </c>
      <c r="K124" s="111">
        <f t="shared" si="498"/>
        <v>32</v>
      </c>
      <c r="L124" s="111" t="str">
        <f>IFERROR(VLOOKUP(MID(G124,J124,K124-J124),[5]skilldef!$C:$D,2,FALSE),"-") &amp; " / " &amp; IFERROR(VLOOKUP(MID(G124,H124,I124-H124),[5]skilldef!$A:$B,2,FALSE),"-")</f>
        <v>- / -</v>
      </c>
      <c r="M124" s="111" t="str">
        <f t="shared" si="394"/>
        <v>[effect:play_bgm, turn:-1, bgm_path:BGM/BattleNormal2225],[effect:fix_speed, target:myself, turn:1],[effect:tolerance, target:myself, turn:-1, count:-1, tolerance_effect:all, animation:enemy_tolerance],[effect:dis_panel, target:block_green, turn:-1, animation:enemy_dis_green]</v>
      </c>
      <c r="N124" s="109" t="str">
        <f>IFERROR(LEFT(M124,FIND("],",M124)+S157),M124)</f>
        <v>[effect:play_bgm, turn:-1, bgm_path:BGM/BattleNormal2225]</v>
      </c>
      <c r="O124" s="111">
        <f t="shared" si="499"/>
        <v>9</v>
      </c>
      <c r="P124" s="111">
        <f t="shared" si="500"/>
        <v>17</v>
      </c>
      <c r="Q124" s="111" t="e">
        <f t="shared" si="501"/>
        <v>#VALUE!</v>
      </c>
      <c r="R124" s="111">
        <f t="shared" si="502"/>
        <v>26</v>
      </c>
      <c r="S124" s="111" t="str">
        <f>IFERROR(VLOOKUP(MID(N124,Q124,R124-Q124),[5]skilldef!$C:$D,2,FALSE),"-") &amp; " / " &amp; IFERROR(VLOOKUP(MID(N124,O124,P124-O124),[5]skilldef!$A:$B,2,FALSE),"-")</f>
        <v>- / -</v>
      </c>
      <c r="T124" s="109" t="str">
        <f t="shared" si="503"/>
        <v>[effect:fix_speed, target:myself, turn:1],[effect:tolerance, target:myself, turn:-1, count:-1, tolerance_effect:all, animation:enemy_tolerance],[effect:dis_panel, target:block_green, turn:-1, animation:enemy_dis_green]</v>
      </c>
      <c r="U124" s="111">
        <f t="shared" si="504"/>
        <v>9</v>
      </c>
      <c r="V124" s="111">
        <f t="shared" si="505"/>
        <v>18</v>
      </c>
      <c r="W124" s="111">
        <f t="shared" si="506"/>
        <v>27</v>
      </c>
      <c r="X124" s="111">
        <f t="shared" si="507"/>
        <v>33</v>
      </c>
      <c r="Y124" s="111" t="str">
        <f>IFERROR(VLOOKUP(MID(T124,W124,X124-W124),[5]skilldef!$C:$D,2,FALSE),"-") &amp; " / " &amp; IFERROR(VLOOKUP(MID(T124,U124,V124-U124),[5]skilldef!$A:$B,2,FALSE),"-")</f>
        <v>自分自身に / 行動値設定</v>
      </c>
      <c r="Z124" s="110" t="s">
        <v>331</v>
      </c>
      <c r="AA124" s="110" t="s">
        <v>481</v>
      </c>
      <c r="AB124" s="110"/>
    </row>
    <row r="125" spans="1:28" s="113" customFormat="1" ht="43" customHeight="1" x14ac:dyDescent="0.15">
      <c r="A125" s="109">
        <v>59002124</v>
      </c>
      <c r="B125" s="109" t="s">
        <v>601</v>
      </c>
      <c r="C125" s="110">
        <v>3</v>
      </c>
      <c r="D125" s="110" t="s">
        <v>127</v>
      </c>
      <c r="E125" s="111" t="s">
        <v>491</v>
      </c>
      <c r="F125" s="111" t="s">
        <v>279</v>
      </c>
      <c r="G125" s="111" t="str">
        <f t="shared" si="389"/>
        <v>[effect:enemy_message, val1:1.8, val2:1.3]</v>
      </c>
      <c r="H125" s="111">
        <f t="shared" si="495"/>
        <v>9</v>
      </c>
      <c r="I125" s="111">
        <f t="shared" si="496"/>
        <v>22</v>
      </c>
      <c r="J125" s="111" t="e">
        <f t="shared" si="497"/>
        <v>#VALUE!</v>
      </c>
      <c r="K125" s="111">
        <f t="shared" si="498"/>
        <v>32</v>
      </c>
      <c r="L125" s="111" t="str">
        <f>IFERROR(VLOOKUP(MID(G125,J125,K125-J125),[5]skilldef!$C:$D,2,FALSE),"-") &amp; " / " &amp; IFERROR(VLOOKUP(MID(G125,H125,I125-H125),[5]skilldef!$A:$B,2,FALSE),"-")</f>
        <v>- / -</v>
      </c>
      <c r="M125" s="111" t="str">
        <f t="shared" si="394"/>
        <v>[effect:play_bgm, turn:-1, bgm_path:BGM/BattleNormal2225],[effect:fix_speed, target:myself, turn:1],[effect:tolerance, target:myself, turn:-1, count:-1, tolerance_effect:all, animation:enemy_tolerance],[effect:dis_panel, target:block_green, turn:-1, animation:enemy_dis_green]</v>
      </c>
      <c r="N125" s="109" t="str">
        <f>IFERROR(LEFT(M125,FIND("],",M125)+S158),M125)</f>
        <v>[effect:play_bgm, turn:-1, bgm_path:BGM/BattleNormal2225]</v>
      </c>
      <c r="O125" s="111">
        <f t="shared" si="499"/>
        <v>9</v>
      </c>
      <c r="P125" s="111">
        <f t="shared" si="500"/>
        <v>17</v>
      </c>
      <c r="Q125" s="111" t="e">
        <f t="shared" si="501"/>
        <v>#VALUE!</v>
      </c>
      <c r="R125" s="111">
        <f t="shared" si="502"/>
        <v>26</v>
      </c>
      <c r="S125" s="111" t="str">
        <f>IFERROR(VLOOKUP(MID(N125,Q125,R125-Q125),[5]skilldef!$C:$D,2,FALSE),"-") &amp; " / " &amp; IFERROR(VLOOKUP(MID(N125,O125,P125-O125),[5]skilldef!$A:$B,2,FALSE),"-")</f>
        <v>- / -</v>
      </c>
      <c r="T125" s="109" t="str">
        <f t="shared" si="503"/>
        <v>[effect:fix_speed, target:myself, turn:1],[effect:tolerance, target:myself, turn:-1, count:-1, tolerance_effect:all, animation:enemy_tolerance],[effect:dis_panel, target:block_green, turn:-1, animation:enemy_dis_green]</v>
      </c>
      <c r="U125" s="111">
        <f t="shared" si="504"/>
        <v>9</v>
      </c>
      <c r="V125" s="111">
        <f t="shared" si="505"/>
        <v>18</v>
      </c>
      <c r="W125" s="111">
        <f t="shared" si="506"/>
        <v>27</v>
      </c>
      <c r="X125" s="111">
        <f t="shared" si="507"/>
        <v>33</v>
      </c>
      <c r="Y125" s="111" t="str">
        <f>IFERROR(VLOOKUP(MID(T125,W125,X125-W125),[5]skilldef!$C:$D,2,FALSE),"-") &amp; " / " &amp; IFERROR(VLOOKUP(MID(T125,U125,V125-U125),[5]skilldef!$A:$B,2,FALSE),"-")</f>
        <v>自分自身に / 行動値設定</v>
      </c>
      <c r="Z125" s="110" t="s">
        <v>331</v>
      </c>
      <c r="AA125" s="110" t="s">
        <v>482</v>
      </c>
      <c r="AB125" s="110"/>
    </row>
    <row r="126" spans="1:28" s="164" customFormat="1" ht="30" customHeight="1" x14ac:dyDescent="0.15">
      <c r="A126" s="136">
        <v>59002125</v>
      </c>
      <c r="B126" s="136" t="s">
        <v>565</v>
      </c>
      <c r="C126" s="162">
        <v>3</v>
      </c>
      <c r="D126" s="162" t="s">
        <v>127</v>
      </c>
      <c r="E126" s="137" t="s">
        <v>373</v>
      </c>
      <c r="F126" s="137" t="s">
        <v>494</v>
      </c>
      <c r="G126" s="137" t="str">
        <f t="shared" si="389"/>
        <v>[effect:enemy_message, val1:1.7, val2:1.9, dead_type:suicide]</v>
      </c>
      <c r="H126" s="137">
        <f t="shared" si="495"/>
        <v>9</v>
      </c>
      <c r="I126" s="137">
        <f t="shared" si="496"/>
        <v>22</v>
      </c>
      <c r="J126" s="137" t="e">
        <f t="shared" si="497"/>
        <v>#VALUE!</v>
      </c>
      <c r="K126" s="137">
        <f t="shared" si="498"/>
        <v>32</v>
      </c>
      <c r="L126" s="137" t="str">
        <f>IFERROR(VLOOKUP(MID(G126,J126,K126-J126),[5]skilldef!$C:$D,2,FALSE),"-") &amp; " / " &amp; IFERROR(VLOOKUP(MID(G126,H126,I126-H126),[5]skilldef!$A:$B,2,FALSE),"-")</f>
        <v>- / -</v>
      </c>
      <c r="M126" s="137" t="str">
        <f t="shared" si="394"/>
        <v>none</v>
      </c>
      <c r="N126" s="136" t="str">
        <f>IFERROR(LEFT(M126,FIND("],",M126)+S137),M126)</f>
        <v>none</v>
      </c>
      <c r="O126" s="137" t="e">
        <f t="shared" si="499"/>
        <v>#VALUE!</v>
      </c>
      <c r="P126" s="137">
        <f t="shared" si="500"/>
        <v>4</v>
      </c>
      <c r="Q126" s="137" t="e">
        <f t="shared" si="501"/>
        <v>#VALUE!</v>
      </c>
      <c r="R126" s="137" t="e">
        <f t="shared" si="502"/>
        <v>#VALUE!</v>
      </c>
      <c r="S126" s="137" t="str">
        <f>IFERROR(VLOOKUP(MID(N126,Q126,R126-Q126),[5]skilldef!$C:$D,2,FALSE),"-") &amp; " / " &amp; IFERROR(VLOOKUP(MID(N126,O126,P126-O126),[5]skilldef!$A:$B,2,FALSE),"-")</f>
        <v>- / -</v>
      </c>
      <c r="T126" s="136" t="str">
        <f t="shared" si="503"/>
        <v>none</v>
      </c>
      <c r="U126" s="137" t="e">
        <f t="shared" si="504"/>
        <v>#VALUE!</v>
      </c>
      <c r="V126" s="137">
        <f t="shared" si="505"/>
        <v>4</v>
      </c>
      <c r="W126" s="137" t="e">
        <f t="shared" si="506"/>
        <v>#VALUE!</v>
      </c>
      <c r="X126" s="137" t="e">
        <f t="shared" si="507"/>
        <v>#VALUE!</v>
      </c>
      <c r="Y126" s="137" t="str">
        <f>IFERROR(VLOOKUP(MID(T126,W126,X126-W126),[5]skilldef!$C:$D,2,FALSE),"-") &amp; " / " &amp; IFERROR(VLOOKUP(MID(T126,U126,V126-U126),[5]skilldef!$A:$B,2,FALSE),"-")</f>
        <v>- / -</v>
      </c>
      <c r="Z126" s="162" t="s">
        <v>332</v>
      </c>
      <c r="AA126" s="163" t="s">
        <v>465</v>
      </c>
      <c r="AB126" s="162"/>
    </row>
    <row r="127" spans="1:28" s="164" customFormat="1" ht="30" customHeight="1" x14ac:dyDescent="0.15">
      <c r="A127" s="136">
        <v>59002126</v>
      </c>
      <c r="B127" s="136" t="s">
        <v>566</v>
      </c>
      <c r="C127" s="162">
        <v>3</v>
      </c>
      <c r="D127" s="162" t="s">
        <v>127</v>
      </c>
      <c r="E127" s="137" t="s">
        <v>373</v>
      </c>
      <c r="F127" s="137" t="s">
        <v>493</v>
      </c>
      <c r="G127" s="137" t="str">
        <f t="shared" si="389"/>
        <v>[effect:enemy_message, val1:1.7, val2:2.6, dead_type:suicide]</v>
      </c>
      <c r="H127" s="137">
        <f t="shared" si="495"/>
        <v>9</v>
      </c>
      <c r="I127" s="137">
        <f t="shared" si="496"/>
        <v>22</v>
      </c>
      <c r="J127" s="137" t="e">
        <f t="shared" si="497"/>
        <v>#VALUE!</v>
      </c>
      <c r="K127" s="137">
        <f t="shared" si="498"/>
        <v>32</v>
      </c>
      <c r="L127" s="137" t="str">
        <f>IFERROR(VLOOKUP(MID(G127,J127,K127-J127),[5]skilldef!$C:$D,2,FALSE),"-") &amp; " / " &amp; IFERROR(VLOOKUP(MID(G127,H127,I127-H127),[5]skilldef!$A:$B,2,FALSE),"-")</f>
        <v>- / -</v>
      </c>
      <c r="M127" s="137" t="str">
        <f t="shared" si="394"/>
        <v>none</v>
      </c>
      <c r="N127" s="136" t="str">
        <f>IFERROR(LEFT(M127,FIND("],",M127)+S138),M127)</f>
        <v>none</v>
      </c>
      <c r="O127" s="137" t="e">
        <f t="shared" si="499"/>
        <v>#VALUE!</v>
      </c>
      <c r="P127" s="137">
        <f t="shared" si="500"/>
        <v>4</v>
      </c>
      <c r="Q127" s="137" t="e">
        <f t="shared" si="501"/>
        <v>#VALUE!</v>
      </c>
      <c r="R127" s="137" t="e">
        <f t="shared" si="502"/>
        <v>#VALUE!</v>
      </c>
      <c r="S127" s="137" t="str">
        <f>IFERROR(VLOOKUP(MID(N127,Q127,R127-Q127),[5]skilldef!$C:$D,2,FALSE),"-") &amp; " / " &amp; IFERROR(VLOOKUP(MID(N127,O127,P127-O127),[5]skilldef!$A:$B,2,FALSE),"-")</f>
        <v>- / -</v>
      </c>
      <c r="T127" s="136" t="str">
        <f t="shared" si="503"/>
        <v>none</v>
      </c>
      <c r="U127" s="137" t="e">
        <f t="shared" si="504"/>
        <v>#VALUE!</v>
      </c>
      <c r="V127" s="137">
        <f t="shared" si="505"/>
        <v>4</v>
      </c>
      <c r="W127" s="137" t="e">
        <f t="shared" si="506"/>
        <v>#VALUE!</v>
      </c>
      <c r="X127" s="137" t="e">
        <f t="shared" si="507"/>
        <v>#VALUE!</v>
      </c>
      <c r="Y127" s="137" t="str">
        <f>IFERROR(VLOOKUP(MID(T127,W127,X127-W127),[5]skilldef!$C:$D,2,FALSE),"-") &amp; " / " &amp; IFERROR(VLOOKUP(MID(T127,U127,V127-U127),[5]skilldef!$A:$B,2,FALSE),"-")</f>
        <v>- / -</v>
      </c>
      <c r="Z127" s="162" t="s">
        <v>332</v>
      </c>
      <c r="AA127" s="163" t="s">
        <v>464</v>
      </c>
      <c r="AB127" s="162"/>
    </row>
    <row r="128" spans="1:28" s="164" customFormat="1" ht="30" customHeight="1" x14ac:dyDescent="0.15">
      <c r="A128" s="136">
        <v>59002127</v>
      </c>
      <c r="B128" s="136" t="s">
        <v>567</v>
      </c>
      <c r="C128" s="162">
        <v>3</v>
      </c>
      <c r="D128" s="162" t="s">
        <v>127</v>
      </c>
      <c r="E128" s="137" t="s">
        <v>373</v>
      </c>
      <c r="F128" s="137" t="s">
        <v>499</v>
      </c>
      <c r="G128" s="137" t="str">
        <f t="shared" si="389"/>
        <v>[effect:enemy_message, val1:1.7, val2:2.0, dead_type:suicide]</v>
      </c>
      <c r="H128" s="137">
        <f t="shared" si="495"/>
        <v>9</v>
      </c>
      <c r="I128" s="137">
        <f t="shared" si="496"/>
        <v>22</v>
      </c>
      <c r="J128" s="137" t="e">
        <f t="shared" si="497"/>
        <v>#VALUE!</v>
      </c>
      <c r="K128" s="137">
        <f t="shared" si="498"/>
        <v>32</v>
      </c>
      <c r="L128" s="137" t="str">
        <f>IFERROR(VLOOKUP(MID(G128,J128,K128-J128),[5]skilldef!$C:$D,2,FALSE),"-") &amp; " / " &amp; IFERROR(VLOOKUP(MID(G128,H128,I128-H128),[5]skilldef!$A:$B,2,FALSE),"-")</f>
        <v>- / -</v>
      </c>
      <c r="M128" s="137" t="str">
        <f t="shared" si="394"/>
        <v>none</v>
      </c>
      <c r="N128" s="136" t="str">
        <f>IFERROR(LEFT(M128,FIND("],",M128)+S139),M128)</f>
        <v>none</v>
      </c>
      <c r="O128" s="137" t="e">
        <f t="shared" si="499"/>
        <v>#VALUE!</v>
      </c>
      <c r="P128" s="137">
        <f t="shared" si="500"/>
        <v>4</v>
      </c>
      <c r="Q128" s="137" t="e">
        <f t="shared" si="501"/>
        <v>#VALUE!</v>
      </c>
      <c r="R128" s="137" t="e">
        <f t="shared" si="502"/>
        <v>#VALUE!</v>
      </c>
      <c r="S128" s="137" t="str">
        <f>IFERROR(VLOOKUP(MID(N128,Q128,R128-Q128),[5]skilldef!$C:$D,2,FALSE),"-") &amp; " / " &amp; IFERROR(VLOOKUP(MID(N128,O128,P128-O128),[5]skilldef!$A:$B,2,FALSE),"-")</f>
        <v>- / -</v>
      </c>
      <c r="T128" s="136" t="str">
        <f t="shared" si="503"/>
        <v>none</v>
      </c>
      <c r="U128" s="137" t="e">
        <f t="shared" si="504"/>
        <v>#VALUE!</v>
      </c>
      <c r="V128" s="137">
        <f t="shared" si="505"/>
        <v>4</v>
      </c>
      <c r="W128" s="137" t="e">
        <f t="shared" si="506"/>
        <v>#VALUE!</v>
      </c>
      <c r="X128" s="137" t="e">
        <f t="shared" si="507"/>
        <v>#VALUE!</v>
      </c>
      <c r="Y128" s="137" t="str">
        <f>IFERROR(VLOOKUP(MID(T128,W128,X128-W128),[5]skilldef!$C:$D,2,FALSE),"-") &amp; " / " &amp; IFERROR(VLOOKUP(MID(T128,U128,V128-U128),[5]skilldef!$A:$B,2,FALSE),"-")</f>
        <v>- / -</v>
      </c>
      <c r="Z128" s="162" t="s">
        <v>332</v>
      </c>
      <c r="AA128" s="163" t="s">
        <v>470</v>
      </c>
      <c r="AB128" s="162"/>
    </row>
    <row r="129" spans="1:28" s="164" customFormat="1" ht="30" customHeight="1" x14ac:dyDescent="0.15">
      <c r="A129" s="136">
        <v>59002128</v>
      </c>
      <c r="B129" s="136" t="s">
        <v>568</v>
      </c>
      <c r="C129" s="162">
        <v>3</v>
      </c>
      <c r="D129" s="162" t="s">
        <v>127</v>
      </c>
      <c r="E129" s="137" t="s">
        <v>373</v>
      </c>
      <c r="F129" s="137" t="s">
        <v>498</v>
      </c>
      <c r="G129" s="137" t="str">
        <f t="shared" si="389"/>
        <v>[effect:enemy_message, val1:1.7, val2:2.1, dead_type:suicide]</v>
      </c>
      <c r="H129" s="137">
        <f t="shared" si="495"/>
        <v>9</v>
      </c>
      <c r="I129" s="137">
        <f t="shared" si="496"/>
        <v>22</v>
      </c>
      <c r="J129" s="137" t="e">
        <f t="shared" si="497"/>
        <v>#VALUE!</v>
      </c>
      <c r="K129" s="137">
        <f t="shared" si="498"/>
        <v>32</v>
      </c>
      <c r="L129" s="137" t="str">
        <f>IFERROR(VLOOKUP(MID(G129,J129,K129-J129),[5]skilldef!$C:$D,2,FALSE),"-") &amp; " / " &amp; IFERROR(VLOOKUP(MID(G129,H129,I129-H129),[5]skilldef!$A:$B,2,FALSE),"-")</f>
        <v>- / -</v>
      </c>
      <c r="M129" s="137" t="str">
        <f t="shared" si="394"/>
        <v>none</v>
      </c>
      <c r="N129" s="136" t="str">
        <f>IFERROR(LEFT(M129,FIND("],",M129)+S139),M129)</f>
        <v>none</v>
      </c>
      <c r="O129" s="137" t="e">
        <f t="shared" si="499"/>
        <v>#VALUE!</v>
      </c>
      <c r="P129" s="137">
        <f t="shared" si="500"/>
        <v>4</v>
      </c>
      <c r="Q129" s="137" t="e">
        <f t="shared" si="501"/>
        <v>#VALUE!</v>
      </c>
      <c r="R129" s="137" t="e">
        <f t="shared" si="502"/>
        <v>#VALUE!</v>
      </c>
      <c r="S129" s="137" t="str">
        <f>IFERROR(VLOOKUP(MID(N129,Q129,R129-Q129),[5]skilldef!$C:$D,2,FALSE),"-") &amp; " / " &amp; IFERROR(VLOOKUP(MID(N129,O129,P129-O129),[5]skilldef!$A:$B,2,FALSE),"-")</f>
        <v>- / -</v>
      </c>
      <c r="T129" s="136" t="str">
        <f t="shared" si="503"/>
        <v>none</v>
      </c>
      <c r="U129" s="137" t="e">
        <f t="shared" si="504"/>
        <v>#VALUE!</v>
      </c>
      <c r="V129" s="137">
        <f t="shared" si="505"/>
        <v>4</v>
      </c>
      <c r="W129" s="137" t="e">
        <f t="shared" si="506"/>
        <v>#VALUE!</v>
      </c>
      <c r="X129" s="137" t="e">
        <f t="shared" si="507"/>
        <v>#VALUE!</v>
      </c>
      <c r="Y129" s="137" t="str">
        <f>IFERROR(VLOOKUP(MID(T129,W129,X129-W129),[5]skilldef!$C:$D,2,FALSE),"-") &amp; " / " &amp; IFERROR(VLOOKUP(MID(T129,U129,V129-U129),[5]skilldef!$A:$B,2,FALSE),"-")</f>
        <v>- / -</v>
      </c>
      <c r="Z129" s="162" t="s">
        <v>332</v>
      </c>
      <c r="AA129" s="163" t="s">
        <v>469</v>
      </c>
      <c r="AB129" s="162"/>
    </row>
    <row r="130" spans="1:28" s="164" customFormat="1" ht="30" customHeight="1" x14ac:dyDescent="0.15">
      <c r="A130" s="136">
        <v>59002129</v>
      </c>
      <c r="B130" s="136" t="s">
        <v>569</v>
      </c>
      <c r="C130" s="162">
        <v>3</v>
      </c>
      <c r="D130" s="162" t="s">
        <v>127</v>
      </c>
      <c r="E130" s="137" t="s">
        <v>373</v>
      </c>
      <c r="F130" s="137" t="s">
        <v>495</v>
      </c>
      <c r="G130" s="137" t="str">
        <f t="shared" si="389"/>
        <v>[effect:enemy_message, val1:1.7, val2:2.4, dead_type:suicide]</v>
      </c>
      <c r="H130" s="137">
        <f t="shared" ref="H130" si="521">FIND("effect:",G130)+7</f>
        <v>9</v>
      </c>
      <c r="I130" s="137">
        <f t="shared" ref="I130" si="522">IFERROR(FIND(",",G130),LEN(G130))</f>
        <v>22</v>
      </c>
      <c r="J130" s="137" t="e">
        <f t="shared" ref="J130" si="523">FIND("target:",G130)+7</f>
        <v>#VALUE!</v>
      </c>
      <c r="K130" s="137">
        <f t="shared" ref="K130" si="524">FIND(",",G130,I130+1)</f>
        <v>32</v>
      </c>
      <c r="L130" s="137" t="str">
        <f>IFERROR(VLOOKUP(MID(G130,J130,K130-J130),[5]skilldef!$C:$D,2,FALSE),"-") &amp; " / " &amp; IFERROR(VLOOKUP(MID(G130,H130,I130-H130),[5]skilldef!$A:$B,2,FALSE),"-")</f>
        <v>- / -</v>
      </c>
      <c r="M130" s="137" t="str">
        <f t="shared" si="394"/>
        <v>none</v>
      </c>
      <c r="N130" s="136" t="str">
        <f>IFERROR(LEFT(M130,FIND("],",M130)+S140),M130)</f>
        <v>none</v>
      </c>
      <c r="O130" s="137" t="e">
        <f t="shared" ref="O130" si="525">FIND("effect:",N130)+7</f>
        <v>#VALUE!</v>
      </c>
      <c r="P130" s="137">
        <f t="shared" ref="P130" si="526">IFERROR(FIND(",",N130),LEN(N130))</f>
        <v>4</v>
      </c>
      <c r="Q130" s="137" t="e">
        <f t="shared" ref="Q130" si="527">FIND("target:",N130)+7</f>
        <v>#VALUE!</v>
      </c>
      <c r="R130" s="137" t="e">
        <f t="shared" ref="R130" si="528">FIND(",",N130,P130+1)</f>
        <v>#VALUE!</v>
      </c>
      <c r="S130" s="137" t="str">
        <f>IFERROR(VLOOKUP(MID(N130,Q130,R130-Q130),[5]skilldef!$C:$D,2,FALSE),"-") &amp; " / " &amp; IFERROR(VLOOKUP(MID(N130,O130,P130-O130),[5]skilldef!$A:$B,2,FALSE),"-")</f>
        <v>- / -</v>
      </c>
      <c r="T130" s="136" t="str">
        <f t="shared" ref="T130" si="529">IFERROR(RIGHT(M130,LEN(M130)-FIND("],",M130)-1),"none")</f>
        <v>none</v>
      </c>
      <c r="U130" s="137" t="e">
        <f t="shared" ref="U130" si="530">FIND("effect:",T130)+7</f>
        <v>#VALUE!</v>
      </c>
      <c r="V130" s="137">
        <f t="shared" ref="V130" si="531">IFERROR(FIND(",",T130),LEN(T130))</f>
        <v>4</v>
      </c>
      <c r="W130" s="137" t="e">
        <f t="shared" ref="W130" si="532">FIND("target:",T130)+7</f>
        <v>#VALUE!</v>
      </c>
      <c r="X130" s="137" t="e">
        <f t="shared" ref="X130" si="533">FIND(",",T130,V130+1)</f>
        <v>#VALUE!</v>
      </c>
      <c r="Y130" s="137" t="str">
        <f>IFERROR(VLOOKUP(MID(T130,W130,X130-W130),[5]skilldef!$C:$D,2,FALSE),"-") &amp; " / " &amp; IFERROR(VLOOKUP(MID(T130,U130,V130-U130),[5]skilldef!$A:$B,2,FALSE),"-")</f>
        <v>- / -</v>
      </c>
      <c r="Z130" s="162" t="s">
        <v>332</v>
      </c>
      <c r="AA130" s="163" t="s">
        <v>466</v>
      </c>
      <c r="AB130" s="162"/>
    </row>
    <row r="131" spans="1:28" s="164" customFormat="1" ht="30" customHeight="1" x14ac:dyDescent="0.15">
      <c r="A131" s="136">
        <v>59002130</v>
      </c>
      <c r="B131" s="136" t="s">
        <v>570</v>
      </c>
      <c r="C131" s="162">
        <v>3</v>
      </c>
      <c r="D131" s="162" t="s">
        <v>127</v>
      </c>
      <c r="E131" s="137" t="s">
        <v>373</v>
      </c>
      <c r="F131" s="137" t="s">
        <v>496</v>
      </c>
      <c r="G131" s="137" t="str">
        <f t="shared" si="389"/>
        <v>[effect:enemy_message, val1:1.7, val2:2.1, dead_type:suicide]</v>
      </c>
      <c r="H131" s="137">
        <f t="shared" ref="H131:H132" si="534">FIND("effect:",G131)+7</f>
        <v>9</v>
      </c>
      <c r="I131" s="137">
        <f t="shared" ref="I131:I132" si="535">IFERROR(FIND(",",G131),LEN(G131))</f>
        <v>22</v>
      </c>
      <c r="J131" s="137" t="e">
        <f t="shared" ref="J131:J132" si="536">FIND("target:",G131)+7</f>
        <v>#VALUE!</v>
      </c>
      <c r="K131" s="137">
        <f t="shared" ref="K131:K132" si="537">FIND(",",G131,I131+1)</f>
        <v>32</v>
      </c>
      <c r="L131" s="137" t="str">
        <f>IFERROR(VLOOKUP(MID(G131,J131,K131-J131),[5]skilldef!$C:$D,2,FALSE),"-") &amp; " / " &amp; IFERROR(VLOOKUP(MID(G131,H131,I131-H131),[5]skilldef!$A:$B,2,FALSE),"-")</f>
        <v>- / -</v>
      </c>
      <c r="M131" s="137" t="str">
        <f t="shared" si="394"/>
        <v>none</v>
      </c>
      <c r="N131" s="136" t="str">
        <f>IFERROR(LEFT(M131,FIND("],",M131)+S141),M131)</f>
        <v>none</v>
      </c>
      <c r="O131" s="137" t="e">
        <f t="shared" ref="O131:O132" si="538">FIND("effect:",N131)+7</f>
        <v>#VALUE!</v>
      </c>
      <c r="P131" s="137">
        <f t="shared" ref="P131:P132" si="539">IFERROR(FIND(",",N131),LEN(N131))</f>
        <v>4</v>
      </c>
      <c r="Q131" s="137" t="e">
        <f t="shared" ref="Q131:Q132" si="540">FIND("target:",N131)+7</f>
        <v>#VALUE!</v>
      </c>
      <c r="R131" s="137" t="e">
        <f t="shared" ref="R131:R132" si="541">FIND(",",N131,P131+1)</f>
        <v>#VALUE!</v>
      </c>
      <c r="S131" s="137" t="str">
        <f>IFERROR(VLOOKUP(MID(N131,Q131,R131-Q131),[5]skilldef!$C:$D,2,FALSE),"-") &amp; " / " &amp; IFERROR(VLOOKUP(MID(N131,O131,P131-O131),[5]skilldef!$A:$B,2,FALSE),"-")</f>
        <v>- / -</v>
      </c>
      <c r="T131" s="136" t="str">
        <f t="shared" ref="T131:T132" si="542">IFERROR(RIGHT(M131,LEN(M131)-FIND("],",M131)-1),"none")</f>
        <v>none</v>
      </c>
      <c r="U131" s="137" t="e">
        <f t="shared" ref="U131:U132" si="543">FIND("effect:",T131)+7</f>
        <v>#VALUE!</v>
      </c>
      <c r="V131" s="137">
        <f t="shared" ref="V131:V132" si="544">IFERROR(FIND(",",T131),LEN(T131))</f>
        <v>4</v>
      </c>
      <c r="W131" s="137" t="e">
        <f t="shared" ref="W131:W132" si="545">FIND("target:",T131)+7</f>
        <v>#VALUE!</v>
      </c>
      <c r="X131" s="137" t="e">
        <f t="shared" ref="X131:X132" si="546">FIND(",",T131,V131+1)</f>
        <v>#VALUE!</v>
      </c>
      <c r="Y131" s="137" t="str">
        <f>IFERROR(VLOOKUP(MID(T131,W131,X131-W131),[5]skilldef!$C:$D,2,FALSE),"-") &amp; " / " &amp; IFERROR(VLOOKUP(MID(T131,U131,V131-U131),[5]skilldef!$A:$B,2,FALSE),"-")</f>
        <v>- / -</v>
      </c>
      <c r="Z131" s="162" t="s">
        <v>332</v>
      </c>
      <c r="AA131" s="163" t="s">
        <v>467</v>
      </c>
      <c r="AB131" s="162"/>
    </row>
    <row r="132" spans="1:28" s="164" customFormat="1" ht="30" customHeight="1" x14ac:dyDescent="0.15">
      <c r="A132" s="136">
        <v>59002131</v>
      </c>
      <c r="B132" s="136" t="s">
        <v>571</v>
      </c>
      <c r="C132" s="162">
        <v>3</v>
      </c>
      <c r="D132" s="162" t="s">
        <v>127</v>
      </c>
      <c r="E132" s="137" t="s">
        <v>373</v>
      </c>
      <c r="F132" s="137" t="s">
        <v>497</v>
      </c>
      <c r="G132" s="137" t="str">
        <f t="shared" si="389"/>
        <v>[effect:enemy_message, val1:1.7, val2:1.9, dead_type:suicide]</v>
      </c>
      <c r="H132" s="137">
        <f t="shared" si="534"/>
        <v>9</v>
      </c>
      <c r="I132" s="137">
        <f t="shared" si="535"/>
        <v>22</v>
      </c>
      <c r="J132" s="137" t="e">
        <f t="shared" si="536"/>
        <v>#VALUE!</v>
      </c>
      <c r="K132" s="137">
        <f t="shared" si="537"/>
        <v>32</v>
      </c>
      <c r="L132" s="137" t="str">
        <f>IFERROR(VLOOKUP(MID(G132,J132,K132-J132),[5]skilldef!$C:$D,2,FALSE),"-") &amp; " / " &amp; IFERROR(VLOOKUP(MID(G132,H132,I132-H132),[5]skilldef!$A:$B,2,FALSE),"-")</f>
        <v>- / -</v>
      </c>
      <c r="M132" s="137" t="str">
        <f t="shared" si="394"/>
        <v>none</v>
      </c>
      <c r="N132" s="136" t="str">
        <f>IFERROR(LEFT(M132,FIND("],",M132)+S142),M132)</f>
        <v>none</v>
      </c>
      <c r="O132" s="137" t="e">
        <f t="shared" si="538"/>
        <v>#VALUE!</v>
      </c>
      <c r="P132" s="137">
        <f t="shared" si="539"/>
        <v>4</v>
      </c>
      <c r="Q132" s="137" t="e">
        <f t="shared" si="540"/>
        <v>#VALUE!</v>
      </c>
      <c r="R132" s="137" t="e">
        <f t="shared" si="541"/>
        <v>#VALUE!</v>
      </c>
      <c r="S132" s="137" t="str">
        <f>IFERROR(VLOOKUP(MID(N132,Q132,R132-Q132),[5]skilldef!$C:$D,2,FALSE),"-") &amp; " / " &amp; IFERROR(VLOOKUP(MID(N132,O132,P132-O132),[5]skilldef!$A:$B,2,FALSE),"-")</f>
        <v>- / -</v>
      </c>
      <c r="T132" s="136" t="str">
        <f t="shared" si="542"/>
        <v>none</v>
      </c>
      <c r="U132" s="137" t="e">
        <f t="shared" si="543"/>
        <v>#VALUE!</v>
      </c>
      <c r="V132" s="137">
        <f t="shared" si="544"/>
        <v>4</v>
      </c>
      <c r="W132" s="137" t="e">
        <f t="shared" si="545"/>
        <v>#VALUE!</v>
      </c>
      <c r="X132" s="137" t="e">
        <f t="shared" si="546"/>
        <v>#VALUE!</v>
      </c>
      <c r="Y132" s="137" t="str">
        <f>IFERROR(VLOOKUP(MID(T132,W132,X132-W132),[5]skilldef!$C:$D,2,FALSE),"-") &amp; " / " &amp; IFERROR(VLOOKUP(MID(T132,U132,V132-U132),[5]skilldef!$A:$B,2,FALSE),"-")</f>
        <v>- / -</v>
      </c>
      <c r="Z132" s="162" t="s">
        <v>332</v>
      </c>
      <c r="AA132" s="163" t="s">
        <v>468</v>
      </c>
      <c r="AB132" s="162"/>
    </row>
    <row r="133" spans="1:28" s="182" customFormat="1" ht="30" customHeight="1" x14ac:dyDescent="0.15">
      <c r="A133" s="178">
        <v>59002132</v>
      </c>
      <c r="B133" s="178" t="s">
        <v>451</v>
      </c>
      <c r="C133" s="179">
        <v>3</v>
      </c>
      <c r="D133" s="179" t="s">
        <v>127</v>
      </c>
      <c r="E133" s="180" t="s">
        <v>550</v>
      </c>
      <c r="F133" s="180" t="s">
        <v>549</v>
      </c>
      <c r="G133" s="180" t="str">
        <f t="shared" si="389"/>
        <v>[effect:enemy_message, val1:1.9, val2:1.5, dead_type:suicide]</v>
      </c>
      <c r="H133" s="180">
        <f t="shared" ref="H133" si="547">FIND("effect:",G133)+7</f>
        <v>9</v>
      </c>
      <c r="I133" s="180">
        <f t="shared" ref="I133" si="548">IFERROR(FIND(",",G133),LEN(G133))</f>
        <v>22</v>
      </c>
      <c r="J133" s="180" t="e">
        <f t="shared" ref="J133" si="549">FIND("target:",G133)+7</f>
        <v>#VALUE!</v>
      </c>
      <c r="K133" s="180">
        <f t="shared" ref="K133" si="550">FIND(",",G133,I133+1)</f>
        <v>32</v>
      </c>
      <c r="L133" s="180" t="str">
        <f>IFERROR(VLOOKUP(MID(G133,J133,K133-J133),[5]skilldef!$C:$D,2,FALSE),"-") &amp; " / " &amp; IFERROR(VLOOKUP(MID(G133,H133,I133-H133),[5]skilldef!$A:$B,2,FALSE),"-")</f>
        <v>- / -</v>
      </c>
      <c r="M133" s="180" t="str">
        <f t="shared" si="394"/>
        <v>none</v>
      </c>
      <c r="N133" s="178" t="str">
        <f>IFERROR(LEFT(M133,FIND("],",M133)+S139),M133)</f>
        <v>none</v>
      </c>
      <c r="O133" s="180" t="e">
        <f t="shared" ref="O133" si="551">FIND("effect:",N133)+7</f>
        <v>#VALUE!</v>
      </c>
      <c r="P133" s="180">
        <f t="shared" ref="P133" si="552">IFERROR(FIND(",",N133),LEN(N133))</f>
        <v>4</v>
      </c>
      <c r="Q133" s="180" t="e">
        <f t="shared" ref="Q133" si="553">FIND("target:",N133)+7</f>
        <v>#VALUE!</v>
      </c>
      <c r="R133" s="180" t="e">
        <f t="shared" ref="R133" si="554">FIND(",",N133,P133+1)</f>
        <v>#VALUE!</v>
      </c>
      <c r="S133" s="180" t="str">
        <f>IFERROR(VLOOKUP(MID(N133,Q133,R133-Q133),[5]skilldef!$C:$D,2,FALSE),"-") &amp; " / " &amp; IFERROR(VLOOKUP(MID(N133,O133,P133-O133),[5]skilldef!$A:$B,2,FALSE),"-")</f>
        <v>- / -</v>
      </c>
      <c r="T133" s="178" t="str">
        <f t="shared" ref="T133" si="555">IFERROR(RIGHT(M133,LEN(M133)-FIND("],",M133)-1),"none")</f>
        <v>none</v>
      </c>
      <c r="U133" s="180" t="e">
        <f t="shared" ref="U133" si="556">FIND("effect:",T133)+7</f>
        <v>#VALUE!</v>
      </c>
      <c r="V133" s="180">
        <f t="shared" ref="V133" si="557">IFERROR(FIND(",",T133),LEN(T133))</f>
        <v>4</v>
      </c>
      <c r="W133" s="180" t="e">
        <f t="shared" ref="W133" si="558">FIND("target:",T133)+7</f>
        <v>#VALUE!</v>
      </c>
      <c r="X133" s="180" t="e">
        <f t="shared" ref="X133" si="559">FIND(",",T133,V133+1)</f>
        <v>#VALUE!</v>
      </c>
      <c r="Y133" s="180" t="str">
        <f>IFERROR(VLOOKUP(MID(T133,W133,X133-W133),[5]skilldef!$C:$D,2,FALSE),"-") &amp; " / " &amp; IFERROR(VLOOKUP(MID(T133,U133,V133-U133),[5]skilldef!$A:$B,2,FALSE),"-")</f>
        <v>- / -</v>
      </c>
      <c r="Z133" s="179" t="s">
        <v>429</v>
      </c>
      <c r="AA133" s="181" t="s">
        <v>430</v>
      </c>
      <c r="AB133" s="179"/>
    </row>
    <row r="134" spans="1:28" s="182" customFormat="1" ht="30" customHeight="1" x14ac:dyDescent="0.15">
      <c r="A134" s="178">
        <v>59002133</v>
      </c>
      <c r="B134" s="178" t="s">
        <v>589</v>
      </c>
      <c r="C134" s="179">
        <v>3</v>
      </c>
      <c r="D134" s="179" t="s">
        <v>127</v>
      </c>
      <c r="E134" s="180" t="s">
        <v>452</v>
      </c>
      <c r="F134" s="180" t="s">
        <v>580</v>
      </c>
      <c r="G134" s="180" t="str">
        <f t="shared" ref="G134" si="560">IFERROR(LEFT(B134,FIND("],",B134)),B134)</f>
        <v>[effect:enemy_message, val1:0.0, val2:1.6]</v>
      </c>
      <c r="H134" s="180">
        <f t="shared" ref="H134" si="561">FIND("effect:",G134)+7</f>
        <v>9</v>
      </c>
      <c r="I134" s="180">
        <f t="shared" ref="I134" si="562">IFERROR(FIND(",",G134),LEN(G134))</f>
        <v>22</v>
      </c>
      <c r="J134" s="180" t="e">
        <f t="shared" ref="J134" si="563">FIND("target:",G134)+7</f>
        <v>#VALUE!</v>
      </c>
      <c r="K134" s="180">
        <f t="shared" ref="K134" si="564">FIND(",",G134,I134+1)</f>
        <v>32</v>
      </c>
      <c r="L134" s="180" t="str">
        <f>IFERROR(VLOOKUP(MID(G134,J134,K134-J134),[5]skilldef!$C:$D,2,FALSE),"-") &amp; " / " &amp; IFERROR(VLOOKUP(MID(G134,H134,I134-H134),[5]skilldef!$A:$B,2,FALSE),"-")</f>
        <v>- / -</v>
      </c>
      <c r="M134" s="180" t="str">
        <f t="shared" ref="M134" si="565">IFERROR(RIGHT(B134,LEN(B134)-FIND("],",B134)-1),"none")</f>
        <v>[effect:fix_speed, target:myself, turn:2]</v>
      </c>
      <c r="N134" s="178" t="str">
        <f>IFERROR(LEFT(M134,FIND("],",M134)+S140),M134)</f>
        <v>[effect:fix_speed, target:myself, turn:2]</v>
      </c>
      <c r="O134" s="180">
        <f t="shared" ref="O134" si="566">FIND("effect:",N134)+7</f>
        <v>9</v>
      </c>
      <c r="P134" s="180">
        <f t="shared" ref="P134" si="567">IFERROR(FIND(",",N134),LEN(N134))</f>
        <v>18</v>
      </c>
      <c r="Q134" s="180">
        <f t="shared" ref="Q134" si="568">FIND("target:",N134)+7</f>
        <v>27</v>
      </c>
      <c r="R134" s="180">
        <f t="shared" ref="R134" si="569">FIND(",",N134,P134+1)</f>
        <v>33</v>
      </c>
      <c r="S134" s="180" t="str">
        <f>IFERROR(VLOOKUP(MID(N134,Q134,R134-Q134),[5]skilldef!$C:$D,2,FALSE),"-") &amp; " / " &amp; IFERROR(VLOOKUP(MID(N134,O134,P134-O134),[5]skilldef!$A:$B,2,FALSE),"-")</f>
        <v>自分自身に / 行動値設定</v>
      </c>
      <c r="T134" s="178" t="str">
        <f t="shared" ref="T134" si="570">IFERROR(RIGHT(M134,LEN(M134)-FIND("],",M134)-1),"none")</f>
        <v>none</v>
      </c>
      <c r="U134" s="180" t="e">
        <f t="shared" ref="U134" si="571">FIND("effect:",T134)+7</f>
        <v>#VALUE!</v>
      </c>
      <c r="V134" s="180">
        <f t="shared" ref="V134" si="572">IFERROR(FIND(",",T134),LEN(T134))</f>
        <v>4</v>
      </c>
      <c r="W134" s="180" t="e">
        <f t="shared" ref="W134" si="573">FIND("target:",T134)+7</f>
        <v>#VALUE!</v>
      </c>
      <c r="X134" s="180" t="e">
        <f t="shared" ref="X134" si="574">FIND(",",T134,V134+1)</f>
        <v>#VALUE!</v>
      </c>
      <c r="Y134" s="180" t="str">
        <f>IFERROR(VLOOKUP(MID(T134,W134,X134-W134),[5]skilldef!$C:$D,2,FALSE),"-") &amp; " / " &amp; IFERROR(VLOOKUP(MID(T134,U134,V134-U134),[5]skilldef!$A:$B,2,FALSE),"-")</f>
        <v>- / -</v>
      </c>
      <c r="Z134" s="179" t="s">
        <v>429</v>
      </c>
      <c r="AA134" s="181" t="s">
        <v>579</v>
      </c>
      <c r="AB134" s="17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O106"/>
  <sheetViews>
    <sheetView showGridLines="0" workbookViewId="0">
      <pane ySplit="1" topLeftCell="A91" activePane="bottomLeft" state="frozenSplit"/>
      <selection pane="bottomLeft" activeCell="I110" sqref="I110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116" bestFit="1" customWidth="1"/>
    <col min="12" max="12" width="23" style="45" customWidth="1"/>
    <col min="13" max="13" width="22.5" style="45" customWidth="1"/>
    <col min="14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0" t="s">
        <v>70</v>
      </c>
      <c r="G1" s="50" t="s">
        <v>71</v>
      </c>
      <c r="H1" s="42" t="s">
        <v>72</v>
      </c>
      <c r="I1" s="42" t="s">
        <v>73</v>
      </c>
      <c r="J1" s="42" t="s">
        <v>74</v>
      </c>
      <c r="K1" s="51" t="s">
        <v>87</v>
      </c>
    </row>
    <row r="2" spans="1:13" ht="21" customHeight="1" x14ac:dyDescent="0.15">
      <c r="A2" s="122">
        <v>59002001</v>
      </c>
      <c r="B2" s="122">
        <v>0</v>
      </c>
      <c r="C2" s="122">
        <v>1</v>
      </c>
      <c r="D2" s="122">
        <v>50</v>
      </c>
      <c r="E2" s="122" t="s">
        <v>253</v>
      </c>
      <c r="F2" s="122" t="s">
        <v>89</v>
      </c>
      <c r="G2" s="122" t="s">
        <v>253</v>
      </c>
      <c r="H2" s="122" t="s">
        <v>89</v>
      </c>
      <c r="I2" s="122" t="s">
        <v>89</v>
      </c>
      <c r="J2" s="122">
        <f t="shared" ref="J2" si="0">D2</f>
        <v>50</v>
      </c>
      <c r="K2" s="39"/>
      <c r="L2" s="123" t="s">
        <v>512</v>
      </c>
      <c r="M2" s="123" t="s">
        <v>315</v>
      </c>
    </row>
    <row r="3" spans="1:13" ht="21" customHeight="1" x14ac:dyDescent="0.15">
      <c r="A3" s="122">
        <v>59002002</v>
      </c>
      <c r="B3" s="122">
        <v>0</v>
      </c>
      <c r="C3" s="122">
        <v>2</v>
      </c>
      <c r="D3" s="122">
        <v>40</v>
      </c>
      <c r="E3" s="122" t="s">
        <v>253</v>
      </c>
      <c r="F3" s="122" t="s">
        <v>89</v>
      </c>
      <c r="G3" s="122" t="s">
        <v>253</v>
      </c>
      <c r="H3" s="122" t="s">
        <v>89</v>
      </c>
      <c r="I3" s="122" t="s">
        <v>89</v>
      </c>
      <c r="J3" s="122">
        <f t="shared" ref="J3:J19" si="1">D3</f>
        <v>40</v>
      </c>
      <c r="K3" s="39"/>
      <c r="L3" s="123" t="s">
        <v>551</v>
      </c>
      <c r="M3" s="123" t="s">
        <v>256</v>
      </c>
    </row>
    <row r="4" spans="1:13" ht="21" customHeight="1" x14ac:dyDescent="0.15">
      <c r="A4" s="124">
        <v>59002003</v>
      </c>
      <c r="B4" s="124">
        <v>0</v>
      </c>
      <c r="C4" s="124" t="s">
        <v>88</v>
      </c>
      <c r="D4" s="124">
        <v>40</v>
      </c>
      <c r="E4" s="124" t="s">
        <v>253</v>
      </c>
      <c r="F4" s="124" t="s">
        <v>89</v>
      </c>
      <c r="G4" s="124" t="s">
        <v>253</v>
      </c>
      <c r="H4" s="124" t="s">
        <v>89</v>
      </c>
      <c r="I4" s="124" t="s">
        <v>89</v>
      </c>
      <c r="J4" s="124">
        <f t="shared" si="1"/>
        <v>40</v>
      </c>
      <c r="K4" s="39"/>
      <c r="L4" s="125" t="s">
        <v>333</v>
      </c>
      <c r="M4" s="125" t="s">
        <v>316</v>
      </c>
    </row>
    <row r="5" spans="1:13" ht="21" customHeight="1" x14ac:dyDescent="0.15">
      <c r="A5" s="114">
        <v>59002004</v>
      </c>
      <c r="B5" s="114">
        <v>0</v>
      </c>
      <c r="C5" s="114" t="s">
        <v>274</v>
      </c>
      <c r="D5" s="114">
        <v>50</v>
      </c>
      <c r="E5" s="114" t="s">
        <v>253</v>
      </c>
      <c r="F5" s="114" t="s">
        <v>89</v>
      </c>
      <c r="G5" s="114" t="s">
        <v>253</v>
      </c>
      <c r="H5" s="114" t="s">
        <v>89</v>
      </c>
      <c r="I5" s="114" t="s">
        <v>89</v>
      </c>
      <c r="J5" s="114">
        <f t="shared" si="1"/>
        <v>50</v>
      </c>
      <c r="K5" s="39"/>
      <c r="L5" s="115" t="s">
        <v>335</v>
      </c>
      <c r="M5" s="115" t="s">
        <v>334</v>
      </c>
    </row>
    <row r="6" spans="1:13" ht="21" customHeight="1" x14ac:dyDescent="0.15">
      <c r="A6" s="114">
        <v>59002005</v>
      </c>
      <c r="B6" s="114">
        <v>0</v>
      </c>
      <c r="C6" s="114">
        <v>3</v>
      </c>
      <c r="D6" s="114">
        <v>100</v>
      </c>
      <c r="E6" s="114" t="s">
        <v>253</v>
      </c>
      <c r="F6" s="114" t="s">
        <v>89</v>
      </c>
      <c r="G6" s="114">
        <v>1</v>
      </c>
      <c r="H6" s="114" t="s">
        <v>89</v>
      </c>
      <c r="I6" s="114">
        <v>1505</v>
      </c>
      <c r="J6" s="114">
        <f t="shared" si="1"/>
        <v>100</v>
      </c>
      <c r="K6" s="39"/>
      <c r="L6" s="115" t="s">
        <v>336</v>
      </c>
      <c r="M6" s="115" t="s">
        <v>257</v>
      </c>
    </row>
    <row r="7" spans="1:13" ht="21" customHeight="1" x14ac:dyDescent="0.15">
      <c r="A7" s="126">
        <v>59002006</v>
      </c>
      <c r="B7" s="126">
        <v>1</v>
      </c>
      <c r="C7" s="126">
        <v>4</v>
      </c>
      <c r="D7" s="126">
        <v>100</v>
      </c>
      <c r="E7" s="126" t="s">
        <v>253</v>
      </c>
      <c r="F7" s="126" t="s">
        <v>89</v>
      </c>
      <c r="G7" s="126">
        <v>1</v>
      </c>
      <c r="H7" s="126" t="s">
        <v>89</v>
      </c>
      <c r="I7" s="126" t="s">
        <v>89</v>
      </c>
      <c r="J7" s="126">
        <f t="shared" si="1"/>
        <v>100</v>
      </c>
      <c r="K7" s="39"/>
      <c r="L7" s="127" t="s">
        <v>552</v>
      </c>
      <c r="M7" s="127" t="s">
        <v>337</v>
      </c>
    </row>
    <row r="8" spans="1:13" s="49" customFormat="1" ht="21" customHeight="1" x14ac:dyDescent="0.15">
      <c r="A8" s="126">
        <v>59002007</v>
      </c>
      <c r="B8" s="126">
        <v>0</v>
      </c>
      <c r="C8" s="126" t="s">
        <v>88</v>
      </c>
      <c r="D8" s="126">
        <v>100</v>
      </c>
      <c r="E8" s="126" t="s">
        <v>253</v>
      </c>
      <c r="F8" s="126" t="s">
        <v>89</v>
      </c>
      <c r="G8" s="126" t="s">
        <v>253</v>
      </c>
      <c r="H8" s="126" t="s">
        <v>89</v>
      </c>
      <c r="I8" s="126" t="s">
        <v>89</v>
      </c>
      <c r="J8" s="126">
        <f t="shared" si="1"/>
        <v>100</v>
      </c>
      <c r="K8" s="39"/>
      <c r="L8" s="127" t="s">
        <v>338</v>
      </c>
      <c r="M8" s="127" t="s">
        <v>258</v>
      </c>
    </row>
    <row r="9" spans="1:13" s="49" customFormat="1" ht="21" customHeight="1" x14ac:dyDescent="0.15">
      <c r="A9" s="128">
        <v>59002008</v>
      </c>
      <c r="B9" s="128">
        <v>1</v>
      </c>
      <c r="C9" s="128" t="s">
        <v>273</v>
      </c>
      <c r="D9" s="128">
        <v>100</v>
      </c>
      <c r="E9" s="128" t="s">
        <v>253</v>
      </c>
      <c r="F9" s="128" t="s">
        <v>89</v>
      </c>
      <c r="G9" s="128">
        <v>1</v>
      </c>
      <c r="H9" s="128" t="s">
        <v>88</v>
      </c>
      <c r="I9" s="128" t="s">
        <v>89</v>
      </c>
      <c r="J9" s="128">
        <f t="shared" si="1"/>
        <v>100</v>
      </c>
      <c r="K9" s="39"/>
      <c r="L9" s="129" t="s">
        <v>455</v>
      </c>
      <c r="M9" s="129" t="s">
        <v>288</v>
      </c>
    </row>
    <row r="10" spans="1:13" ht="21" customHeight="1" x14ac:dyDescent="0.15">
      <c r="A10" s="128">
        <v>59002009</v>
      </c>
      <c r="B10" s="128">
        <v>0</v>
      </c>
      <c r="C10" s="128">
        <v>24</v>
      </c>
      <c r="D10" s="128">
        <v>100</v>
      </c>
      <c r="E10" s="128" t="s">
        <v>253</v>
      </c>
      <c r="F10" s="128" t="s">
        <v>89</v>
      </c>
      <c r="G10" s="128">
        <v>1</v>
      </c>
      <c r="H10" s="128">
        <v>1</v>
      </c>
      <c r="I10" s="128" t="s">
        <v>89</v>
      </c>
      <c r="J10" s="128">
        <f t="shared" si="1"/>
        <v>100</v>
      </c>
      <c r="K10" s="39"/>
      <c r="L10" s="129" t="s">
        <v>339</v>
      </c>
      <c r="M10" s="129" t="s">
        <v>259</v>
      </c>
    </row>
    <row r="11" spans="1:13" ht="21" customHeight="1" x14ac:dyDescent="0.15">
      <c r="A11" s="128">
        <v>59002010</v>
      </c>
      <c r="B11" s="128">
        <v>0</v>
      </c>
      <c r="C11" s="128">
        <v>23</v>
      </c>
      <c r="D11" s="128">
        <v>100</v>
      </c>
      <c r="E11" s="128" t="s">
        <v>88</v>
      </c>
      <c r="F11" s="128" t="s">
        <v>89</v>
      </c>
      <c r="G11" s="128">
        <v>1</v>
      </c>
      <c r="H11" s="128">
        <v>1</v>
      </c>
      <c r="I11" s="128" t="s">
        <v>89</v>
      </c>
      <c r="J11" s="128">
        <f t="shared" si="1"/>
        <v>100</v>
      </c>
      <c r="K11" s="39"/>
      <c r="L11" s="129" t="s">
        <v>340</v>
      </c>
      <c r="M11" s="129" t="s">
        <v>317</v>
      </c>
    </row>
    <row r="12" spans="1:13" ht="21" customHeight="1" x14ac:dyDescent="0.15">
      <c r="A12" s="128">
        <v>59002011</v>
      </c>
      <c r="B12" s="128">
        <v>0</v>
      </c>
      <c r="C12" s="128">
        <v>22</v>
      </c>
      <c r="D12" s="128">
        <v>100</v>
      </c>
      <c r="E12" s="128" t="s">
        <v>88</v>
      </c>
      <c r="F12" s="128" t="s">
        <v>89</v>
      </c>
      <c r="G12" s="128">
        <v>1</v>
      </c>
      <c r="H12" s="128">
        <v>1</v>
      </c>
      <c r="I12" s="128" t="s">
        <v>89</v>
      </c>
      <c r="J12" s="128">
        <f t="shared" si="1"/>
        <v>100</v>
      </c>
      <c r="K12" s="39"/>
      <c r="L12" s="129" t="s">
        <v>341</v>
      </c>
      <c r="M12" s="129" t="s">
        <v>260</v>
      </c>
    </row>
    <row r="13" spans="1:13" ht="21" customHeight="1" x14ac:dyDescent="0.15">
      <c r="A13" s="128">
        <v>59002012</v>
      </c>
      <c r="B13" s="128">
        <v>0</v>
      </c>
      <c r="C13" s="128">
        <v>21</v>
      </c>
      <c r="D13" s="128">
        <v>100</v>
      </c>
      <c r="E13" s="128" t="s">
        <v>88</v>
      </c>
      <c r="F13" s="128" t="s">
        <v>89</v>
      </c>
      <c r="G13" s="128">
        <v>1</v>
      </c>
      <c r="H13" s="128">
        <v>1</v>
      </c>
      <c r="I13" s="128" t="s">
        <v>89</v>
      </c>
      <c r="J13" s="128">
        <f t="shared" si="1"/>
        <v>100</v>
      </c>
      <c r="K13" s="39"/>
      <c r="L13" s="129" t="s">
        <v>342</v>
      </c>
      <c r="M13" s="129" t="s">
        <v>278</v>
      </c>
    </row>
    <row r="14" spans="1:13" ht="21" customHeight="1" x14ac:dyDescent="0.15">
      <c r="A14" s="128">
        <v>59002013</v>
      </c>
      <c r="B14" s="128">
        <v>0</v>
      </c>
      <c r="C14" s="128">
        <v>20</v>
      </c>
      <c r="D14" s="128">
        <v>100</v>
      </c>
      <c r="E14" s="128" t="s">
        <v>253</v>
      </c>
      <c r="F14" s="128" t="s">
        <v>89</v>
      </c>
      <c r="G14" s="128">
        <v>1</v>
      </c>
      <c r="H14" s="128">
        <v>1</v>
      </c>
      <c r="I14" s="128" t="s">
        <v>89</v>
      </c>
      <c r="J14" s="128">
        <f t="shared" si="1"/>
        <v>100</v>
      </c>
      <c r="K14" s="39"/>
      <c r="L14" s="129" t="s">
        <v>339</v>
      </c>
      <c r="M14" s="129" t="s">
        <v>259</v>
      </c>
    </row>
    <row r="15" spans="1:13" ht="21" customHeight="1" x14ac:dyDescent="0.15">
      <c r="A15" s="128">
        <v>59002014</v>
      </c>
      <c r="B15" s="128">
        <v>0</v>
      </c>
      <c r="C15" s="128">
        <v>19</v>
      </c>
      <c r="D15" s="128">
        <v>100</v>
      </c>
      <c r="E15" s="128" t="s">
        <v>253</v>
      </c>
      <c r="F15" s="128" t="s">
        <v>89</v>
      </c>
      <c r="G15" s="128">
        <v>1</v>
      </c>
      <c r="H15" s="128">
        <v>1</v>
      </c>
      <c r="I15" s="128" t="s">
        <v>89</v>
      </c>
      <c r="J15" s="128">
        <f t="shared" si="1"/>
        <v>100</v>
      </c>
      <c r="K15" s="39"/>
      <c r="L15" s="129" t="s">
        <v>340</v>
      </c>
      <c r="M15" s="129" t="s">
        <v>318</v>
      </c>
    </row>
    <row r="16" spans="1:13" ht="21" customHeight="1" x14ac:dyDescent="0.15">
      <c r="A16" s="128">
        <v>59002015</v>
      </c>
      <c r="B16" s="128">
        <v>0</v>
      </c>
      <c r="C16" s="128">
        <v>18</v>
      </c>
      <c r="D16" s="128">
        <v>100</v>
      </c>
      <c r="E16" s="128" t="s">
        <v>253</v>
      </c>
      <c r="F16" s="128" t="s">
        <v>89</v>
      </c>
      <c r="G16" s="128">
        <v>1</v>
      </c>
      <c r="H16" s="128">
        <v>1</v>
      </c>
      <c r="I16" s="128" t="s">
        <v>89</v>
      </c>
      <c r="J16" s="128">
        <f t="shared" si="1"/>
        <v>100</v>
      </c>
      <c r="K16" s="39"/>
      <c r="L16" s="129" t="s">
        <v>341</v>
      </c>
      <c r="M16" s="129" t="s">
        <v>260</v>
      </c>
    </row>
    <row r="17" spans="1:15" ht="21" customHeight="1" x14ac:dyDescent="0.15">
      <c r="A17" s="128">
        <v>59002016</v>
      </c>
      <c r="B17" s="128">
        <v>0</v>
      </c>
      <c r="C17" s="128">
        <v>17</v>
      </c>
      <c r="D17" s="128">
        <v>100</v>
      </c>
      <c r="E17" s="128" t="s">
        <v>253</v>
      </c>
      <c r="F17" s="128" t="s">
        <v>89</v>
      </c>
      <c r="G17" s="128">
        <v>1</v>
      </c>
      <c r="H17" s="128">
        <v>1</v>
      </c>
      <c r="I17" s="128" t="s">
        <v>89</v>
      </c>
      <c r="J17" s="128">
        <f t="shared" si="1"/>
        <v>100</v>
      </c>
      <c r="K17" s="39"/>
      <c r="L17" s="129" t="s">
        <v>342</v>
      </c>
      <c r="M17" s="129" t="s">
        <v>278</v>
      </c>
    </row>
    <row r="18" spans="1:15" ht="21" customHeight="1" x14ac:dyDescent="0.15">
      <c r="A18" s="128">
        <v>59002017</v>
      </c>
      <c r="B18" s="128">
        <v>0</v>
      </c>
      <c r="C18" s="128">
        <v>15</v>
      </c>
      <c r="D18" s="128">
        <v>100</v>
      </c>
      <c r="E18" s="128" t="s">
        <v>253</v>
      </c>
      <c r="F18" s="128" t="s">
        <v>89</v>
      </c>
      <c r="G18" s="128" t="s">
        <v>275</v>
      </c>
      <c r="H18" s="128">
        <v>1</v>
      </c>
      <c r="I18" s="128" t="s">
        <v>89</v>
      </c>
      <c r="J18" s="128">
        <f t="shared" si="1"/>
        <v>100</v>
      </c>
      <c r="K18" s="39"/>
      <c r="L18" s="129" t="s">
        <v>339</v>
      </c>
      <c r="M18" s="129" t="s">
        <v>259</v>
      </c>
    </row>
    <row r="19" spans="1:15" ht="21" customHeight="1" x14ac:dyDescent="0.15">
      <c r="A19" s="128">
        <v>59002018</v>
      </c>
      <c r="B19" s="128">
        <v>0</v>
      </c>
      <c r="C19" s="128">
        <v>16</v>
      </c>
      <c r="D19" s="128">
        <v>100</v>
      </c>
      <c r="E19" s="128" t="s">
        <v>253</v>
      </c>
      <c r="F19" s="128" t="s">
        <v>88</v>
      </c>
      <c r="G19" s="128" t="s">
        <v>253</v>
      </c>
      <c r="H19" s="128">
        <v>2</v>
      </c>
      <c r="I19" s="128" t="s">
        <v>89</v>
      </c>
      <c r="J19" s="128">
        <f t="shared" si="1"/>
        <v>100</v>
      </c>
      <c r="K19" s="39"/>
      <c r="L19" s="129" t="s">
        <v>341</v>
      </c>
      <c r="M19" s="129" t="s">
        <v>260</v>
      </c>
    </row>
    <row r="20" spans="1:15" ht="21" customHeight="1" x14ac:dyDescent="0.15">
      <c r="A20" s="128">
        <v>59002019</v>
      </c>
      <c r="B20" s="128">
        <v>0</v>
      </c>
      <c r="C20" s="128" t="s">
        <v>88</v>
      </c>
      <c r="D20" s="128">
        <v>100</v>
      </c>
      <c r="E20" s="128" t="s">
        <v>88</v>
      </c>
      <c r="F20" s="128" t="s">
        <v>88</v>
      </c>
      <c r="G20" s="128">
        <v>0</v>
      </c>
      <c r="H20" s="128" t="s">
        <v>88</v>
      </c>
      <c r="I20" s="128">
        <v>0</v>
      </c>
      <c r="J20" s="128">
        <f t="shared" ref="J20" si="2">D20</f>
        <v>100</v>
      </c>
      <c r="K20" s="39"/>
      <c r="L20" s="129" t="s">
        <v>456</v>
      </c>
      <c r="M20" s="129" t="s">
        <v>458</v>
      </c>
    </row>
    <row r="21" spans="1:15" s="49" customFormat="1" ht="21" customHeight="1" x14ac:dyDescent="0.15">
      <c r="A21" s="130">
        <v>59002020</v>
      </c>
      <c r="B21" s="130">
        <v>1</v>
      </c>
      <c r="C21" s="130" t="s">
        <v>88</v>
      </c>
      <c r="D21" s="130">
        <v>100</v>
      </c>
      <c r="E21" s="130" t="s">
        <v>88</v>
      </c>
      <c r="F21" s="130" t="s">
        <v>88</v>
      </c>
      <c r="G21" s="130">
        <v>1</v>
      </c>
      <c r="H21" s="130" t="s">
        <v>88</v>
      </c>
      <c r="I21" s="130" t="s">
        <v>88</v>
      </c>
      <c r="J21" s="130">
        <f t="shared" ref="J21:J95" si="3">D21</f>
        <v>100</v>
      </c>
      <c r="K21" s="39"/>
      <c r="L21" s="131" t="s">
        <v>343</v>
      </c>
      <c r="M21" s="131" t="s">
        <v>261</v>
      </c>
    </row>
    <row r="22" spans="1:15" s="49" customFormat="1" ht="21" customHeight="1" x14ac:dyDescent="0.15">
      <c r="A22" s="130">
        <v>59002021</v>
      </c>
      <c r="B22" s="130">
        <v>0</v>
      </c>
      <c r="C22" s="130">
        <v>26</v>
      </c>
      <c r="D22" s="130">
        <v>50</v>
      </c>
      <c r="E22" s="130" t="s">
        <v>88</v>
      </c>
      <c r="F22" s="130" t="s">
        <v>88</v>
      </c>
      <c r="G22" s="130" t="s">
        <v>88</v>
      </c>
      <c r="H22" s="130" t="s">
        <v>88</v>
      </c>
      <c r="I22" s="130" t="s">
        <v>88</v>
      </c>
      <c r="J22" s="130">
        <f t="shared" si="3"/>
        <v>50</v>
      </c>
      <c r="K22" s="39"/>
      <c r="L22" s="131" t="s">
        <v>344</v>
      </c>
      <c r="M22" s="131" t="s">
        <v>262</v>
      </c>
    </row>
    <row r="23" spans="1:15" s="49" customFormat="1" ht="21" customHeight="1" x14ac:dyDescent="0.15">
      <c r="A23" s="130">
        <v>59002022</v>
      </c>
      <c r="B23" s="130">
        <v>0</v>
      </c>
      <c r="C23" s="130">
        <v>25</v>
      </c>
      <c r="D23" s="130">
        <v>100</v>
      </c>
      <c r="E23" s="130" t="s">
        <v>88</v>
      </c>
      <c r="F23" s="130" t="s">
        <v>88</v>
      </c>
      <c r="G23" s="130" t="s">
        <v>88</v>
      </c>
      <c r="H23" s="130" t="s">
        <v>88</v>
      </c>
      <c r="I23" s="130" t="s">
        <v>88</v>
      </c>
      <c r="J23" s="130">
        <f t="shared" si="3"/>
        <v>100</v>
      </c>
      <c r="K23" s="39"/>
      <c r="L23" s="131" t="s">
        <v>345</v>
      </c>
      <c r="M23" s="131" t="s">
        <v>258</v>
      </c>
    </row>
    <row r="24" spans="1:15" s="49" customFormat="1" ht="21" customHeight="1" x14ac:dyDescent="0.15">
      <c r="A24" s="130">
        <v>59002023</v>
      </c>
      <c r="B24" s="130">
        <v>0</v>
      </c>
      <c r="C24" s="130">
        <v>29</v>
      </c>
      <c r="D24" s="130">
        <v>100</v>
      </c>
      <c r="E24" s="130">
        <v>30</v>
      </c>
      <c r="F24" s="130" t="s">
        <v>88</v>
      </c>
      <c r="G24" s="130">
        <v>1</v>
      </c>
      <c r="H24" s="130" t="s">
        <v>88</v>
      </c>
      <c r="I24" s="130" t="s">
        <v>88</v>
      </c>
      <c r="J24" s="130">
        <f t="shared" si="3"/>
        <v>100</v>
      </c>
      <c r="K24" s="39"/>
      <c r="L24" s="131" t="s">
        <v>344</v>
      </c>
      <c r="M24" s="131" t="s">
        <v>263</v>
      </c>
    </row>
    <row r="25" spans="1:15" s="49" customFormat="1" ht="21" customHeight="1" x14ac:dyDescent="0.15">
      <c r="A25" s="130">
        <v>59002024</v>
      </c>
      <c r="B25" s="130">
        <v>0</v>
      </c>
      <c r="C25" s="130">
        <v>28</v>
      </c>
      <c r="D25" s="130">
        <v>50</v>
      </c>
      <c r="E25" s="130">
        <v>30</v>
      </c>
      <c r="F25" s="130" t="s">
        <v>88</v>
      </c>
      <c r="G25" s="130" t="s">
        <v>88</v>
      </c>
      <c r="H25" s="130" t="s">
        <v>88</v>
      </c>
      <c r="I25" s="130" t="s">
        <v>88</v>
      </c>
      <c r="J25" s="130">
        <f t="shared" si="3"/>
        <v>50</v>
      </c>
      <c r="K25" s="39"/>
      <c r="L25" s="131" t="s">
        <v>343</v>
      </c>
      <c r="M25" s="131" t="s">
        <v>261</v>
      </c>
    </row>
    <row r="26" spans="1:15" s="49" customFormat="1" ht="21" customHeight="1" x14ac:dyDescent="0.15">
      <c r="A26" s="130">
        <v>59002025</v>
      </c>
      <c r="B26" s="130">
        <v>0</v>
      </c>
      <c r="C26" s="130">
        <v>27</v>
      </c>
      <c r="D26" s="130">
        <v>100</v>
      </c>
      <c r="E26" s="130">
        <v>30</v>
      </c>
      <c r="F26" s="130" t="s">
        <v>88</v>
      </c>
      <c r="G26" s="130" t="s">
        <v>88</v>
      </c>
      <c r="H26" s="130" t="s">
        <v>88</v>
      </c>
      <c r="I26" s="130" t="s">
        <v>88</v>
      </c>
      <c r="J26" s="130">
        <f t="shared" si="3"/>
        <v>100</v>
      </c>
      <c r="K26" s="39"/>
      <c r="L26" s="131" t="s">
        <v>345</v>
      </c>
      <c r="M26" s="131" t="s">
        <v>258</v>
      </c>
    </row>
    <row r="27" spans="1:15" s="49" customFormat="1" ht="21" customHeight="1" x14ac:dyDescent="0.15">
      <c r="A27" s="104">
        <v>59002026</v>
      </c>
      <c r="B27" s="104">
        <v>1</v>
      </c>
      <c r="C27" s="104" t="s">
        <v>88</v>
      </c>
      <c r="D27" s="104">
        <v>100</v>
      </c>
      <c r="E27" s="104" t="s">
        <v>88</v>
      </c>
      <c r="F27" s="104" t="s">
        <v>88</v>
      </c>
      <c r="G27" s="104">
        <v>1</v>
      </c>
      <c r="H27" s="104" t="s">
        <v>88</v>
      </c>
      <c r="I27" s="104" t="s">
        <v>88</v>
      </c>
      <c r="J27" s="104">
        <f t="shared" si="3"/>
        <v>100</v>
      </c>
      <c r="K27" s="39"/>
      <c r="L27" s="106" t="s">
        <v>346</v>
      </c>
      <c r="M27" s="106" t="s">
        <v>264</v>
      </c>
    </row>
    <row r="28" spans="1:15" s="49" customFormat="1" ht="21" customHeight="1" x14ac:dyDescent="0.15">
      <c r="A28" s="104">
        <v>59002027</v>
      </c>
      <c r="B28" s="104">
        <v>0</v>
      </c>
      <c r="C28" s="104" t="s">
        <v>88</v>
      </c>
      <c r="D28" s="104">
        <v>50</v>
      </c>
      <c r="E28" s="104" t="s">
        <v>88</v>
      </c>
      <c r="F28" s="104" t="s">
        <v>88</v>
      </c>
      <c r="G28" s="104" t="s">
        <v>88</v>
      </c>
      <c r="H28" s="104" t="s">
        <v>88</v>
      </c>
      <c r="I28" s="104" t="s">
        <v>88</v>
      </c>
      <c r="J28" s="104">
        <f t="shared" si="3"/>
        <v>50</v>
      </c>
      <c r="K28" s="39"/>
      <c r="L28" s="106" t="s">
        <v>347</v>
      </c>
      <c r="M28" s="106" t="s">
        <v>258</v>
      </c>
    </row>
    <row r="29" spans="1:15" s="49" customFormat="1" ht="21" customHeight="1" x14ac:dyDescent="0.15">
      <c r="A29" s="104">
        <v>59002028</v>
      </c>
      <c r="B29" s="104">
        <v>0</v>
      </c>
      <c r="C29" s="104">
        <v>30</v>
      </c>
      <c r="D29" s="104">
        <v>100</v>
      </c>
      <c r="E29" s="104" t="s">
        <v>88</v>
      </c>
      <c r="F29" s="104" t="s">
        <v>88</v>
      </c>
      <c r="G29" s="104" t="s">
        <v>88</v>
      </c>
      <c r="H29" s="104">
        <v>2</v>
      </c>
      <c r="I29" s="104" t="s">
        <v>88</v>
      </c>
      <c r="J29" s="104">
        <f t="shared" si="3"/>
        <v>100</v>
      </c>
      <c r="K29" s="39"/>
      <c r="L29" s="106" t="s">
        <v>348</v>
      </c>
      <c r="M29" s="106" t="s">
        <v>319</v>
      </c>
    </row>
    <row r="30" spans="1:15" s="49" customFormat="1" ht="21" customHeight="1" x14ac:dyDescent="0.15">
      <c r="A30" s="104">
        <v>59002029</v>
      </c>
      <c r="B30" s="104">
        <v>0</v>
      </c>
      <c r="C30" s="104">
        <v>31</v>
      </c>
      <c r="D30" s="104">
        <v>100</v>
      </c>
      <c r="E30" s="104" t="s">
        <v>88</v>
      </c>
      <c r="F30" s="104" t="s">
        <v>88</v>
      </c>
      <c r="G30" s="104" t="s">
        <v>88</v>
      </c>
      <c r="H30" s="104">
        <v>4</v>
      </c>
      <c r="I30" s="104" t="s">
        <v>88</v>
      </c>
      <c r="J30" s="104">
        <f t="shared" si="3"/>
        <v>100</v>
      </c>
      <c r="K30" s="39"/>
      <c r="L30" s="106" t="s">
        <v>349</v>
      </c>
      <c r="M30" s="106" t="s">
        <v>554</v>
      </c>
    </row>
    <row r="31" spans="1:15" ht="21" customHeight="1" x14ac:dyDescent="0.15">
      <c r="A31" s="117">
        <v>59002030</v>
      </c>
      <c r="B31" s="117">
        <v>1</v>
      </c>
      <c r="C31" s="117" t="s">
        <v>88</v>
      </c>
      <c r="D31" s="117">
        <v>100</v>
      </c>
      <c r="E31" s="117" t="s">
        <v>88</v>
      </c>
      <c r="F31" s="117" t="s">
        <v>88</v>
      </c>
      <c r="G31" s="117">
        <v>1</v>
      </c>
      <c r="H31" s="117" t="s">
        <v>88</v>
      </c>
      <c r="I31" s="117" t="s">
        <v>88</v>
      </c>
      <c r="J31" s="117">
        <f t="shared" si="3"/>
        <v>100</v>
      </c>
      <c r="K31" s="39"/>
      <c r="L31" s="119" t="s">
        <v>415</v>
      </c>
      <c r="M31" s="119" t="s">
        <v>555</v>
      </c>
      <c r="N31" s="119" t="s">
        <v>415</v>
      </c>
      <c r="O31" s="119" t="s">
        <v>405</v>
      </c>
    </row>
    <row r="32" spans="1:15" ht="21" customHeight="1" x14ac:dyDescent="0.15">
      <c r="A32" s="117">
        <v>59002031</v>
      </c>
      <c r="B32" s="117">
        <v>0</v>
      </c>
      <c r="C32" s="117">
        <v>49</v>
      </c>
      <c r="D32" s="117">
        <v>100</v>
      </c>
      <c r="E32" s="117" t="s">
        <v>88</v>
      </c>
      <c r="F32" s="117">
        <v>50</v>
      </c>
      <c r="G32" s="117">
        <v>1</v>
      </c>
      <c r="H32" s="117">
        <v>1</v>
      </c>
      <c r="I32" s="117" t="s">
        <v>88</v>
      </c>
      <c r="J32" s="117">
        <f t="shared" si="3"/>
        <v>100</v>
      </c>
      <c r="K32" s="39"/>
      <c r="L32" s="119" t="s">
        <v>576</v>
      </c>
      <c r="M32" s="119" t="s">
        <v>530</v>
      </c>
      <c r="N32" s="119" t="s">
        <v>526</v>
      </c>
      <c r="O32" s="119" t="s">
        <v>530</v>
      </c>
    </row>
    <row r="33" spans="1:15" ht="21" customHeight="1" x14ac:dyDescent="0.15">
      <c r="A33" s="117">
        <v>59002032</v>
      </c>
      <c r="B33" s="117">
        <v>0</v>
      </c>
      <c r="C33" s="117">
        <v>48</v>
      </c>
      <c r="D33" s="117">
        <v>100</v>
      </c>
      <c r="E33" s="117" t="s">
        <v>88</v>
      </c>
      <c r="F33" s="117">
        <v>50</v>
      </c>
      <c r="G33" s="117">
        <v>1</v>
      </c>
      <c r="H33" s="117">
        <v>1</v>
      </c>
      <c r="I33" s="117" t="s">
        <v>88</v>
      </c>
      <c r="J33" s="117">
        <f t="shared" si="3"/>
        <v>100</v>
      </c>
      <c r="K33" s="39"/>
      <c r="L33" s="119" t="s">
        <v>351</v>
      </c>
      <c r="M33" s="119" t="s">
        <v>320</v>
      </c>
      <c r="N33" s="119" t="s">
        <v>351</v>
      </c>
      <c r="O33" s="119" t="s">
        <v>320</v>
      </c>
    </row>
    <row r="34" spans="1:15" ht="21" customHeight="1" x14ac:dyDescent="0.15">
      <c r="A34" s="117">
        <v>59002033</v>
      </c>
      <c r="B34" s="117">
        <v>0</v>
      </c>
      <c r="C34" s="117">
        <v>47</v>
      </c>
      <c r="D34" s="117">
        <v>100</v>
      </c>
      <c r="E34" s="117" t="s">
        <v>88</v>
      </c>
      <c r="F34" s="117">
        <v>50</v>
      </c>
      <c r="G34" s="117">
        <v>1</v>
      </c>
      <c r="H34" s="117">
        <v>1</v>
      </c>
      <c r="I34" s="117" t="s">
        <v>88</v>
      </c>
      <c r="J34" s="117">
        <f t="shared" si="3"/>
        <v>100</v>
      </c>
      <c r="K34" s="39"/>
      <c r="L34" s="119" t="s">
        <v>353</v>
      </c>
      <c r="M34" s="119" t="s">
        <v>321</v>
      </c>
      <c r="N34" s="119" t="s">
        <v>353</v>
      </c>
      <c r="O34" s="119" t="s">
        <v>321</v>
      </c>
    </row>
    <row r="35" spans="1:15" ht="21" customHeight="1" x14ac:dyDescent="0.15">
      <c r="A35" s="117">
        <v>59002034</v>
      </c>
      <c r="B35" s="117">
        <v>0</v>
      </c>
      <c r="C35" s="117">
        <v>46</v>
      </c>
      <c r="D35" s="117">
        <v>100</v>
      </c>
      <c r="E35" s="117" t="s">
        <v>88</v>
      </c>
      <c r="F35" s="117">
        <v>50</v>
      </c>
      <c r="G35" s="117">
        <v>1</v>
      </c>
      <c r="H35" s="117">
        <v>1</v>
      </c>
      <c r="I35" s="117" t="s">
        <v>88</v>
      </c>
      <c r="J35" s="117">
        <f t="shared" ref="J35:J37" si="4">D35</f>
        <v>100</v>
      </c>
      <c r="K35" s="39"/>
      <c r="L35" s="119" t="s">
        <v>354</v>
      </c>
      <c r="M35" s="119" t="s">
        <v>265</v>
      </c>
      <c r="N35" s="119" t="s">
        <v>354</v>
      </c>
      <c r="O35" s="119" t="s">
        <v>265</v>
      </c>
    </row>
    <row r="36" spans="1:15" ht="21" customHeight="1" x14ac:dyDescent="0.15">
      <c r="A36" s="117">
        <v>59002035</v>
      </c>
      <c r="B36" s="117">
        <v>0</v>
      </c>
      <c r="C36" s="117">
        <v>45</v>
      </c>
      <c r="D36" s="117">
        <v>100</v>
      </c>
      <c r="E36" s="117" t="s">
        <v>88</v>
      </c>
      <c r="F36" s="117">
        <v>50</v>
      </c>
      <c r="G36" s="117">
        <v>1</v>
      </c>
      <c r="H36" s="117">
        <v>1</v>
      </c>
      <c r="I36" s="117" t="s">
        <v>88</v>
      </c>
      <c r="J36" s="117">
        <f t="shared" si="4"/>
        <v>100</v>
      </c>
      <c r="K36" s="39"/>
      <c r="L36" s="119" t="s">
        <v>577</v>
      </c>
      <c r="M36" s="119" t="s">
        <v>528</v>
      </c>
      <c r="N36" s="119" t="s">
        <v>527</v>
      </c>
      <c r="O36" s="119" t="s">
        <v>528</v>
      </c>
    </row>
    <row r="37" spans="1:15" ht="21" customHeight="1" x14ac:dyDescent="0.15">
      <c r="A37" s="117">
        <v>59002036</v>
      </c>
      <c r="B37" s="117">
        <v>0</v>
      </c>
      <c r="C37" s="117">
        <v>44</v>
      </c>
      <c r="D37" s="117">
        <v>100</v>
      </c>
      <c r="E37" s="117" t="s">
        <v>88</v>
      </c>
      <c r="F37" s="117">
        <v>50</v>
      </c>
      <c r="G37" s="117">
        <v>1</v>
      </c>
      <c r="H37" s="117">
        <v>1</v>
      </c>
      <c r="I37" s="117" t="s">
        <v>88</v>
      </c>
      <c r="J37" s="117">
        <f t="shared" si="4"/>
        <v>100</v>
      </c>
      <c r="K37" s="39"/>
      <c r="L37" s="119" t="s">
        <v>351</v>
      </c>
      <c r="M37" s="119" t="s">
        <v>320</v>
      </c>
      <c r="N37" s="119" t="s">
        <v>351</v>
      </c>
      <c r="O37" s="119" t="s">
        <v>320</v>
      </c>
    </row>
    <row r="38" spans="1:15" ht="21" customHeight="1" x14ac:dyDescent="0.15">
      <c r="A38" s="117">
        <v>59002037</v>
      </c>
      <c r="B38" s="117">
        <v>0</v>
      </c>
      <c r="C38" s="117">
        <v>43</v>
      </c>
      <c r="D38" s="117">
        <v>100</v>
      </c>
      <c r="E38" s="117" t="s">
        <v>88</v>
      </c>
      <c r="F38" s="117">
        <v>50</v>
      </c>
      <c r="G38" s="117">
        <v>1</v>
      </c>
      <c r="H38" s="117">
        <v>1</v>
      </c>
      <c r="I38" s="117" t="s">
        <v>88</v>
      </c>
      <c r="J38" s="117">
        <f t="shared" ref="J38:J42" si="5">D38</f>
        <v>100</v>
      </c>
      <c r="K38" s="39"/>
      <c r="L38" s="119" t="s">
        <v>353</v>
      </c>
      <c r="M38" s="119" t="s">
        <v>321</v>
      </c>
      <c r="N38" s="119" t="s">
        <v>353</v>
      </c>
      <c r="O38" s="119" t="s">
        <v>321</v>
      </c>
    </row>
    <row r="39" spans="1:15" ht="21" customHeight="1" x14ac:dyDescent="0.15">
      <c r="A39" s="117">
        <v>59002038</v>
      </c>
      <c r="B39" s="117">
        <v>0</v>
      </c>
      <c r="C39" s="117">
        <v>42</v>
      </c>
      <c r="D39" s="117">
        <v>100</v>
      </c>
      <c r="E39" s="117" t="s">
        <v>88</v>
      </c>
      <c r="F39" s="117">
        <v>50</v>
      </c>
      <c r="G39" s="117">
        <v>1</v>
      </c>
      <c r="H39" s="117">
        <v>1</v>
      </c>
      <c r="I39" s="117" t="s">
        <v>88</v>
      </c>
      <c r="J39" s="117">
        <f t="shared" si="5"/>
        <v>100</v>
      </c>
      <c r="K39" s="39"/>
      <c r="L39" s="119" t="s">
        <v>354</v>
      </c>
      <c r="M39" s="119" t="s">
        <v>265</v>
      </c>
      <c r="N39" s="119" t="s">
        <v>354</v>
      </c>
      <c r="O39" s="119" t="s">
        <v>265</v>
      </c>
    </row>
    <row r="40" spans="1:15" ht="21" customHeight="1" x14ac:dyDescent="0.15">
      <c r="A40" s="117">
        <v>59002039</v>
      </c>
      <c r="B40" s="117">
        <v>0</v>
      </c>
      <c r="C40" s="117">
        <v>40</v>
      </c>
      <c r="D40" s="117">
        <v>100</v>
      </c>
      <c r="E40" s="117" t="s">
        <v>88</v>
      </c>
      <c r="F40" s="117">
        <v>50</v>
      </c>
      <c r="G40" s="117" t="s">
        <v>276</v>
      </c>
      <c r="H40" s="117">
        <v>1</v>
      </c>
      <c r="I40" s="117" t="s">
        <v>88</v>
      </c>
      <c r="J40" s="117">
        <f t="shared" si="5"/>
        <v>100</v>
      </c>
      <c r="K40" s="39"/>
      <c r="L40" s="119" t="s">
        <v>351</v>
      </c>
      <c r="M40" s="119" t="s">
        <v>320</v>
      </c>
      <c r="N40" s="119" t="s">
        <v>351</v>
      </c>
      <c r="O40" s="119" t="s">
        <v>320</v>
      </c>
    </row>
    <row r="41" spans="1:15" ht="21" customHeight="1" x14ac:dyDescent="0.15">
      <c r="A41" s="117">
        <v>59002040</v>
      </c>
      <c r="B41" s="117">
        <v>0</v>
      </c>
      <c r="C41" s="117">
        <v>41</v>
      </c>
      <c r="D41" s="117">
        <v>100</v>
      </c>
      <c r="E41" s="117" t="s">
        <v>88</v>
      </c>
      <c r="F41" s="117">
        <v>50</v>
      </c>
      <c r="G41" s="117" t="s">
        <v>276</v>
      </c>
      <c r="H41" s="117">
        <v>2</v>
      </c>
      <c r="I41" s="117" t="s">
        <v>88</v>
      </c>
      <c r="J41" s="117">
        <f t="shared" si="5"/>
        <v>100</v>
      </c>
      <c r="K41" s="39"/>
      <c r="L41" s="119" t="s">
        <v>353</v>
      </c>
      <c r="M41" s="119" t="s">
        <v>321</v>
      </c>
      <c r="N41" s="119" t="s">
        <v>353</v>
      </c>
      <c r="O41" s="119" t="s">
        <v>321</v>
      </c>
    </row>
    <row r="42" spans="1:15" ht="21" customHeight="1" x14ac:dyDescent="0.15">
      <c r="A42" s="132">
        <v>59002041</v>
      </c>
      <c r="B42" s="132">
        <v>0</v>
      </c>
      <c r="C42" s="132">
        <v>55</v>
      </c>
      <c r="D42" s="132">
        <v>100</v>
      </c>
      <c r="E42" s="132">
        <v>50</v>
      </c>
      <c r="F42" s="132" t="s">
        <v>88</v>
      </c>
      <c r="G42" s="132">
        <v>1</v>
      </c>
      <c r="H42" s="132">
        <v>1</v>
      </c>
      <c r="I42" s="132" t="s">
        <v>88</v>
      </c>
      <c r="J42" s="132">
        <f t="shared" si="5"/>
        <v>100</v>
      </c>
      <c r="K42" s="39"/>
      <c r="L42" s="133" t="s">
        <v>578</v>
      </c>
      <c r="M42" s="133" t="s">
        <v>531</v>
      </c>
      <c r="N42" s="133" t="s">
        <v>529</v>
      </c>
      <c r="O42" s="133" t="s">
        <v>531</v>
      </c>
    </row>
    <row r="43" spans="1:15" ht="21" customHeight="1" x14ac:dyDescent="0.15">
      <c r="A43" s="132">
        <v>59002042</v>
      </c>
      <c r="B43" s="132">
        <v>0</v>
      </c>
      <c r="C43" s="132">
        <v>54</v>
      </c>
      <c r="D43" s="132">
        <v>100</v>
      </c>
      <c r="E43" s="132">
        <v>50</v>
      </c>
      <c r="F43" s="132" t="s">
        <v>88</v>
      </c>
      <c r="G43" s="132">
        <v>1</v>
      </c>
      <c r="H43" s="132">
        <v>1</v>
      </c>
      <c r="I43" s="132" t="s">
        <v>88</v>
      </c>
      <c r="J43" s="132">
        <f t="shared" si="3"/>
        <v>100</v>
      </c>
      <c r="K43" s="39"/>
      <c r="L43" s="133" t="s">
        <v>350</v>
      </c>
      <c r="M43" s="133" t="s">
        <v>322</v>
      </c>
      <c r="N43" s="133" t="s">
        <v>350</v>
      </c>
      <c r="O43" s="133" t="s">
        <v>322</v>
      </c>
    </row>
    <row r="44" spans="1:15" ht="21" customHeight="1" x14ac:dyDescent="0.15">
      <c r="A44" s="132">
        <v>59002043</v>
      </c>
      <c r="B44" s="132">
        <v>0</v>
      </c>
      <c r="C44" s="132">
        <v>53</v>
      </c>
      <c r="D44" s="132">
        <v>100</v>
      </c>
      <c r="E44" s="132">
        <v>50</v>
      </c>
      <c r="F44" s="132" t="s">
        <v>88</v>
      </c>
      <c r="G44" s="132">
        <v>1</v>
      </c>
      <c r="H44" s="132">
        <v>1</v>
      </c>
      <c r="I44" s="132" t="s">
        <v>88</v>
      </c>
      <c r="J44" s="132">
        <f t="shared" si="3"/>
        <v>100</v>
      </c>
      <c r="K44" s="39"/>
      <c r="L44" s="133" t="s">
        <v>352</v>
      </c>
      <c r="M44" s="133" t="s">
        <v>323</v>
      </c>
      <c r="N44" s="133" t="s">
        <v>352</v>
      </c>
      <c r="O44" s="133" t="s">
        <v>323</v>
      </c>
    </row>
    <row r="45" spans="1:15" ht="21" customHeight="1" x14ac:dyDescent="0.15">
      <c r="A45" s="132">
        <v>59002044</v>
      </c>
      <c r="B45" s="132">
        <v>0</v>
      </c>
      <c r="C45" s="132">
        <v>52</v>
      </c>
      <c r="D45" s="132">
        <v>100</v>
      </c>
      <c r="E45" s="132">
        <v>50</v>
      </c>
      <c r="F45" s="132" t="s">
        <v>88</v>
      </c>
      <c r="G45" s="132">
        <v>1</v>
      </c>
      <c r="H45" s="132">
        <v>1</v>
      </c>
      <c r="I45" s="132" t="s">
        <v>88</v>
      </c>
      <c r="J45" s="132">
        <f t="shared" si="3"/>
        <v>100</v>
      </c>
      <c r="K45" s="39"/>
      <c r="L45" s="133" t="s">
        <v>354</v>
      </c>
      <c r="M45" s="133" t="s">
        <v>265</v>
      </c>
      <c r="N45" s="133" t="s">
        <v>414</v>
      </c>
      <c r="O45" s="133" t="s">
        <v>265</v>
      </c>
    </row>
    <row r="46" spans="1:15" ht="21" customHeight="1" x14ac:dyDescent="0.15">
      <c r="A46" s="132">
        <v>59002045</v>
      </c>
      <c r="B46" s="132">
        <v>0</v>
      </c>
      <c r="C46" s="132">
        <v>51</v>
      </c>
      <c r="D46" s="132">
        <v>100</v>
      </c>
      <c r="E46" s="132">
        <v>50</v>
      </c>
      <c r="F46" s="132" t="s">
        <v>88</v>
      </c>
      <c r="G46" s="132">
        <v>1</v>
      </c>
      <c r="H46" s="132">
        <v>1</v>
      </c>
      <c r="I46" s="132" t="s">
        <v>88</v>
      </c>
      <c r="J46" s="132">
        <f t="shared" si="3"/>
        <v>100</v>
      </c>
      <c r="K46" s="39"/>
      <c r="L46" s="133" t="s">
        <v>454</v>
      </c>
      <c r="M46" s="133" t="s">
        <v>326</v>
      </c>
      <c r="N46" s="133" t="s">
        <v>454</v>
      </c>
      <c r="O46" s="133" t="s">
        <v>326</v>
      </c>
    </row>
    <row r="47" spans="1:15" ht="21" customHeight="1" x14ac:dyDescent="0.15">
      <c r="A47" s="132">
        <v>59002046</v>
      </c>
      <c r="B47" s="132">
        <v>0</v>
      </c>
      <c r="C47" s="132">
        <v>50</v>
      </c>
      <c r="D47" s="132">
        <v>100</v>
      </c>
      <c r="E47" s="132">
        <v>50</v>
      </c>
      <c r="F47" s="132" t="s">
        <v>88</v>
      </c>
      <c r="G47" s="132">
        <v>1</v>
      </c>
      <c r="H47" s="132">
        <v>1</v>
      </c>
      <c r="I47" s="132" t="s">
        <v>88</v>
      </c>
      <c r="J47" s="132">
        <f t="shared" si="3"/>
        <v>100</v>
      </c>
      <c r="K47" s="39"/>
      <c r="L47" s="133" t="s">
        <v>355</v>
      </c>
      <c r="M47" s="133" t="s">
        <v>270</v>
      </c>
      <c r="N47" s="133" t="s">
        <v>355</v>
      </c>
      <c r="O47" s="133" t="s">
        <v>270</v>
      </c>
    </row>
    <row r="48" spans="1:15" ht="21" customHeight="1" x14ac:dyDescent="0.15">
      <c r="A48" s="132">
        <v>59002047</v>
      </c>
      <c r="B48" s="132">
        <v>0</v>
      </c>
      <c r="C48" s="132" t="s">
        <v>283</v>
      </c>
      <c r="D48" s="132">
        <v>100</v>
      </c>
      <c r="E48" s="132" t="s">
        <v>283</v>
      </c>
      <c r="F48" s="132" t="s">
        <v>283</v>
      </c>
      <c r="G48" s="132">
        <v>0</v>
      </c>
      <c r="H48" s="132" t="s">
        <v>283</v>
      </c>
      <c r="I48" s="132">
        <v>0</v>
      </c>
      <c r="J48" s="132">
        <f t="shared" si="3"/>
        <v>100</v>
      </c>
      <c r="K48" s="39"/>
      <c r="L48" s="133" t="s">
        <v>416</v>
      </c>
      <c r="M48" s="133" t="s">
        <v>452</v>
      </c>
      <c r="N48" s="133" t="s">
        <v>416</v>
      </c>
      <c r="O48" s="133" t="s">
        <v>452</v>
      </c>
    </row>
    <row r="49" spans="1:13" ht="21" customHeight="1" x14ac:dyDescent="0.15">
      <c r="A49" s="171">
        <v>59002048</v>
      </c>
      <c r="B49" s="171">
        <v>1</v>
      </c>
      <c r="C49" s="171" t="s">
        <v>283</v>
      </c>
      <c r="D49" s="171">
        <v>100</v>
      </c>
      <c r="E49" s="171" t="s">
        <v>88</v>
      </c>
      <c r="F49" s="171" t="s">
        <v>88</v>
      </c>
      <c r="G49" s="171">
        <v>1</v>
      </c>
      <c r="H49" s="171" t="s">
        <v>283</v>
      </c>
      <c r="I49" s="171" t="s">
        <v>88</v>
      </c>
      <c r="J49" s="171">
        <f t="shared" ref="J49" si="6">D49</f>
        <v>100</v>
      </c>
      <c r="K49" s="39"/>
      <c r="L49" s="173" t="s">
        <v>356</v>
      </c>
      <c r="M49" s="173" t="s">
        <v>292</v>
      </c>
    </row>
    <row r="50" spans="1:13" ht="21" customHeight="1" x14ac:dyDescent="0.15">
      <c r="A50" s="171">
        <v>59002049</v>
      </c>
      <c r="B50" s="171">
        <v>0</v>
      </c>
      <c r="C50" s="171">
        <v>71</v>
      </c>
      <c r="D50" s="171">
        <v>100</v>
      </c>
      <c r="E50" s="171" t="s">
        <v>88</v>
      </c>
      <c r="F50" s="171" t="s">
        <v>88</v>
      </c>
      <c r="G50" s="171">
        <v>1</v>
      </c>
      <c r="H50" s="171">
        <v>1</v>
      </c>
      <c r="I50" s="171" t="s">
        <v>88</v>
      </c>
      <c r="J50" s="171">
        <f t="shared" ref="J50" si="7">D50</f>
        <v>100</v>
      </c>
      <c r="K50" s="39"/>
      <c r="L50" s="173" t="s">
        <v>293</v>
      </c>
      <c r="M50" s="173" t="s">
        <v>324</v>
      </c>
    </row>
    <row r="51" spans="1:13" s="49" customFormat="1" ht="21" customHeight="1" x14ac:dyDescent="0.15">
      <c r="A51" s="109">
        <v>59002050</v>
      </c>
      <c r="B51" s="109">
        <v>1</v>
      </c>
      <c r="C51" s="109" t="s">
        <v>88</v>
      </c>
      <c r="D51" s="109">
        <v>100</v>
      </c>
      <c r="E51" s="109" t="s">
        <v>88</v>
      </c>
      <c r="F51" s="109" t="s">
        <v>88</v>
      </c>
      <c r="G51" s="109">
        <v>1</v>
      </c>
      <c r="H51" s="109" t="s">
        <v>88</v>
      </c>
      <c r="I51" s="109" t="s">
        <v>88</v>
      </c>
      <c r="J51" s="109">
        <f t="shared" si="3"/>
        <v>100</v>
      </c>
      <c r="K51" s="39"/>
      <c r="L51" s="111" t="s">
        <v>412</v>
      </c>
      <c r="M51" s="111" t="s">
        <v>279</v>
      </c>
    </row>
    <row r="52" spans="1:13" ht="21" customHeight="1" x14ac:dyDescent="0.15">
      <c r="A52" s="109">
        <v>59002051</v>
      </c>
      <c r="B52" s="109">
        <v>0</v>
      </c>
      <c r="C52" s="109">
        <v>110</v>
      </c>
      <c r="D52" s="109">
        <v>100</v>
      </c>
      <c r="E52" s="109" t="s">
        <v>88</v>
      </c>
      <c r="F52" s="109" t="s">
        <v>88</v>
      </c>
      <c r="G52" s="109">
        <v>1</v>
      </c>
      <c r="H52" s="109" t="s">
        <v>88</v>
      </c>
      <c r="I52" s="109" t="s">
        <v>88</v>
      </c>
      <c r="J52" s="109">
        <f t="shared" si="3"/>
        <v>100</v>
      </c>
      <c r="K52" s="39"/>
      <c r="L52" s="111" t="s">
        <v>357</v>
      </c>
      <c r="M52" s="111" t="s">
        <v>536</v>
      </c>
    </row>
    <row r="53" spans="1:13" ht="21" customHeight="1" x14ac:dyDescent="0.15">
      <c r="A53" s="109">
        <v>59002052</v>
      </c>
      <c r="B53" s="109">
        <v>0</v>
      </c>
      <c r="C53" s="109">
        <v>109</v>
      </c>
      <c r="D53" s="109">
        <v>100</v>
      </c>
      <c r="E53" s="109" t="s">
        <v>88</v>
      </c>
      <c r="F53" s="109" t="s">
        <v>88</v>
      </c>
      <c r="G53" s="109">
        <v>1</v>
      </c>
      <c r="H53" s="109" t="s">
        <v>88</v>
      </c>
      <c r="I53" s="109" t="s">
        <v>88</v>
      </c>
      <c r="J53" s="109">
        <f t="shared" si="3"/>
        <v>100</v>
      </c>
      <c r="K53" s="39"/>
      <c r="L53" s="111" t="s">
        <v>358</v>
      </c>
      <c r="M53" s="111" t="s">
        <v>432</v>
      </c>
    </row>
    <row r="54" spans="1:13" ht="21" customHeight="1" x14ac:dyDescent="0.15">
      <c r="A54" s="109">
        <v>59002053</v>
      </c>
      <c r="B54" s="109">
        <v>0</v>
      </c>
      <c r="C54" s="109">
        <v>108</v>
      </c>
      <c r="D54" s="109">
        <v>100</v>
      </c>
      <c r="E54" s="109" t="s">
        <v>88</v>
      </c>
      <c r="F54" s="109" t="s">
        <v>88</v>
      </c>
      <c r="G54" s="109">
        <v>1</v>
      </c>
      <c r="H54" s="109" t="s">
        <v>88</v>
      </c>
      <c r="I54" s="109" t="s">
        <v>88</v>
      </c>
      <c r="J54" s="109">
        <f t="shared" si="3"/>
        <v>100</v>
      </c>
      <c r="K54" s="39"/>
      <c r="L54" s="111" t="s">
        <v>359</v>
      </c>
      <c r="M54" s="111" t="s">
        <v>524</v>
      </c>
    </row>
    <row r="55" spans="1:13" ht="21" customHeight="1" x14ac:dyDescent="0.15">
      <c r="A55" s="109">
        <v>59002054</v>
      </c>
      <c r="B55" s="109">
        <v>0</v>
      </c>
      <c r="C55" s="109">
        <v>107</v>
      </c>
      <c r="D55" s="109">
        <v>100</v>
      </c>
      <c r="E55" s="109" t="s">
        <v>88</v>
      </c>
      <c r="F55" s="109" t="s">
        <v>88</v>
      </c>
      <c r="G55" s="109">
        <v>1</v>
      </c>
      <c r="H55" s="109" t="s">
        <v>88</v>
      </c>
      <c r="I55" s="109" t="s">
        <v>88</v>
      </c>
      <c r="J55" s="109">
        <f t="shared" si="3"/>
        <v>100</v>
      </c>
      <c r="K55" s="39"/>
      <c r="L55" s="111" t="s">
        <v>360</v>
      </c>
      <c r="M55" s="111" t="s">
        <v>433</v>
      </c>
    </row>
    <row r="56" spans="1:13" ht="21" customHeight="1" x14ac:dyDescent="0.15">
      <c r="A56" s="109">
        <v>59002055</v>
      </c>
      <c r="B56" s="109">
        <v>0</v>
      </c>
      <c r="C56" s="109">
        <v>106</v>
      </c>
      <c r="D56" s="109">
        <v>100</v>
      </c>
      <c r="E56" s="109" t="s">
        <v>88</v>
      </c>
      <c r="F56" s="109" t="s">
        <v>88</v>
      </c>
      <c r="G56" s="109">
        <v>1</v>
      </c>
      <c r="H56" s="109" t="s">
        <v>88</v>
      </c>
      <c r="I56" s="109" t="s">
        <v>88</v>
      </c>
      <c r="J56" s="109">
        <f t="shared" ref="J56:J59" si="8">D56</f>
        <v>100</v>
      </c>
      <c r="K56" s="39"/>
      <c r="L56" s="111" t="s">
        <v>361</v>
      </c>
      <c r="M56" s="111" t="s">
        <v>522</v>
      </c>
    </row>
    <row r="57" spans="1:13" ht="21" customHeight="1" x14ac:dyDescent="0.15">
      <c r="A57" s="109">
        <v>59002056</v>
      </c>
      <c r="B57" s="109">
        <v>0</v>
      </c>
      <c r="C57" s="109">
        <v>105</v>
      </c>
      <c r="D57" s="109">
        <v>100</v>
      </c>
      <c r="E57" s="109" t="s">
        <v>88</v>
      </c>
      <c r="F57" s="109" t="s">
        <v>88</v>
      </c>
      <c r="G57" s="109">
        <v>1</v>
      </c>
      <c r="H57" s="109" t="s">
        <v>88</v>
      </c>
      <c r="I57" s="109" t="s">
        <v>88</v>
      </c>
      <c r="J57" s="109">
        <f t="shared" si="8"/>
        <v>100</v>
      </c>
      <c r="K57" s="39"/>
      <c r="L57" s="111" t="s">
        <v>362</v>
      </c>
      <c r="M57" s="111" t="s">
        <v>432</v>
      </c>
    </row>
    <row r="58" spans="1:13" ht="21" customHeight="1" x14ac:dyDescent="0.15">
      <c r="A58" s="109">
        <v>59002057</v>
      </c>
      <c r="B58" s="109">
        <v>0</v>
      </c>
      <c r="C58" s="109">
        <v>104</v>
      </c>
      <c r="D58" s="109">
        <v>100</v>
      </c>
      <c r="E58" s="109" t="s">
        <v>88</v>
      </c>
      <c r="F58" s="109" t="s">
        <v>88</v>
      </c>
      <c r="G58" s="109">
        <v>1</v>
      </c>
      <c r="H58" s="109" t="s">
        <v>88</v>
      </c>
      <c r="I58" s="109" t="s">
        <v>88</v>
      </c>
      <c r="J58" s="109">
        <f t="shared" si="8"/>
        <v>100</v>
      </c>
      <c r="K58" s="39"/>
      <c r="L58" s="111" t="s">
        <v>363</v>
      </c>
      <c r="M58" s="111" t="s">
        <v>524</v>
      </c>
    </row>
    <row r="59" spans="1:13" ht="21" customHeight="1" x14ac:dyDescent="0.15">
      <c r="A59" s="109">
        <v>59002058</v>
      </c>
      <c r="B59" s="109">
        <v>0</v>
      </c>
      <c r="C59" s="109">
        <v>103</v>
      </c>
      <c r="D59" s="109">
        <v>100</v>
      </c>
      <c r="E59" s="109" t="s">
        <v>88</v>
      </c>
      <c r="F59" s="109" t="s">
        <v>88</v>
      </c>
      <c r="G59" s="109">
        <v>1</v>
      </c>
      <c r="H59" s="109" t="s">
        <v>88</v>
      </c>
      <c r="I59" s="109" t="s">
        <v>88</v>
      </c>
      <c r="J59" s="109">
        <f t="shared" si="8"/>
        <v>100</v>
      </c>
      <c r="K59" s="39"/>
      <c r="L59" s="111" t="s">
        <v>303</v>
      </c>
      <c r="M59" s="111" t="s">
        <v>433</v>
      </c>
    </row>
    <row r="60" spans="1:13" ht="21" customHeight="1" x14ac:dyDescent="0.15">
      <c r="A60" s="109">
        <v>59002059</v>
      </c>
      <c r="B60" s="109">
        <v>0</v>
      </c>
      <c r="C60" s="109">
        <v>102</v>
      </c>
      <c r="D60" s="109">
        <v>100</v>
      </c>
      <c r="E60" s="109" t="s">
        <v>88</v>
      </c>
      <c r="F60" s="109" t="s">
        <v>88</v>
      </c>
      <c r="G60" s="109">
        <v>1</v>
      </c>
      <c r="H60" s="109" t="s">
        <v>88</v>
      </c>
      <c r="I60" s="109" t="s">
        <v>88</v>
      </c>
      <c r="J60" s="109">
        <f t="shared" si="3"/>
        <v>100</v>
      </c>
      <c r="K60" s="39"/>
      <c r="L60" s="111" t="s">
        <v>364</v>
      </c>
      <c r="M60" s="111" t="s">
        <v>327</v>
      </c>
    </row>
    <row r="61" spans="1:13" ht="21" customHeight="1" x14ac:dyDescent="0.15">
      <c r="A61" s="109">
        <v>59002060</v>
      </c>
      <c r="B61" s="109">
        <v>0</v>
      </c>
      <c r="C61" s="109">
        <v>101</v>
      </c>
      <c r="D61" s="109">
        <v>100</v>
      </c>
      <c r="E61" s="109" t="s">
        <v>88</v>
      </c>
      <c r="F61" s="109" t="s">
        <v>88</v>
      </c>
      <c r="G61" s="109">
        <v>1</v>
      </c>
      <c r="H61" s="109" t="s">
        <v>88</v>
      </c>
      <c r="I61" s="109" t="s">
        <v>88</v>
      </c>
      <c r="J61" s="109">
        <f t="shared" si="3"/>
        <v>100</v>
      </c>
      <c r="K61" s="39"/>
      <c r="L61" s="111" t="s">
        <v>365</v>
      </c>
      <c r="M61" s="111" t="s">
        <v>270</v>
      </c>
    </row>
    <row r="62" spans="1:13" ht="21" customHeight="1" x14ac:dyDescent="0.15">
      <c r="A62" s="134">
        <v>59002061</v>
      </c>
      <c r="B62" s="134">
        <v>1</v>
      </c>
      <c r="C62" s="134" t="s">
        <v>88</v>
      </c>
      <c r="D62" s="134">
        <v>100</v>
      </c>
      <c r="E62" s="134" t="s">
        <v>88</v>
      </c>
      <c r="F62" s="134" t="s">
        <v>88</v>
      </c>
      <c r="G62" s="134">
        <v>1</v>
      </c>
      <c r="H62" s="134" t="s">
        <v>88</v>
      </c>
      <c r="I62" s="134" t="s">
        <v>88</v>
      </c>
      <c r="J62" s="134">
        <f t="shared" si="3"/>
        <v>100</v>
      </c>
      <c r="K62" s="39"/>
      <c r="L62" s="135" t="s">
        <v>366</v>
      </c>
      <c r="M62" s="135" t="s">
        <v>280</v>
      </c>
    </row>
    <row r="63" spans="1:13" ht="21" customHeight="1" x14ac:dyDescent="0.15">
      <c r="A63" s="134">
        <v>59002062</v>
      </c>
      <c r="B63" s="134">
        <v>0</v>
      </c>
      <c r="C63" s="134">
        <v>138</v>
      </c>
      <c r="D63" s="134">
        <v>100</v>
      </c>
      <c r="E63" s="134" t="s">
        <v>88</v>
      </c>
      <c r="F63" s="134" t="s">
        <v>88</v>
      </c>
      <c r="G63" s="134">
        <v>1</v>
      </c>
      <c r="H63" s="134" t="s">
        <v>88</v>
      </c>
      <c r="I63" s="134" t="s">
        <v>88</v>
      </c>
      <c r="J63" s="134">
        <f t="shared" si="3"/>
        <v>100</v>
      </c>
      <c r="K63" s="39"/>
      <c r="L63" s="135" t="s">
        <v>367</v>
      </c>
      <c r="M63" s="135" t="s">
        <v>267</v>
      </c>
    </row>
    <row r="64" spans="1:13" ht="21" customHeight="1" x14ac:dyDescent="0.15">
      <c r="A64" s="134">
        <v>59002063</v>
      </c>
      <c r="B64" s="134">
        <v>0</v>
      </c>
      <c r="C64" s="134">
        <v>137</v>
      </c>
      <c r="D64" s="134">
        <v>100</v>
      </c>
      <c r="E64" s="134" t="s">
        <v>88</v>
      </c>
      <c r="F64" s="134" t="s">
        <v>88</v>
      </c>
      <c r="G64" s="134">
        <v>1</v>
      </c>
      <c r="H64" s="134" t="s">
        <v>88</v>
      </c>
      <c r="I64" s="134" t="s">
        <v>88</v>
      </c>
      <c r="J64" s="134">
        <f t="shared" si="3"/>
        <v>100</v>
      </c>
      <c r="K64" s="39"/>
      <c r="L64" s="135" t="s">
        <v>410</v>
      </c>
      <c r="M64" s="135" t="s">
        <v>523</v>
      </c>
    </row>
    <row r="65" spans="1:13" ht="21" customHeight="1" x14ac:dyDescent="0.15">
      <c r="A65" s="134">
        <v>59002064</v>
      </c>
      <c r="B65" s="134">
        <v>0</v>
      </c>
      <c r="C65" s="134">
        <v>136</v>
      </c>
      <c r="D65" s="134">
        <v>100</v>
      </c>
      <c r="E65" s="134" t="s">
        <v>88</v>
      </c>
      <c r="F65" s="134" t="s">
        <v>88</v>
      </c>
      <c r="G65" s="134">
        <v>1</v>
      </c>
      <c r="H65" s="134" t="s">
        <v>88</v>
      </c>
      <c r="I65" s="134" t="s">
        <v>88</v>
      </c>
      <c r="J65" s="134">
        <f t="shared" si="3"/>
        <v>100</v>
      </c>
      <c r="K65" s="39"/>
      <c r="L65" s="135" t="s">
        <v>368</v>
      </c>
      <c r="M65" s="135" t="s">
        <v>269</v>
      </c>
    </row>
    <row r="66" spans="1:13" ht="21" customHeight="1" x14ac:dyDescent="0.15">
      <c r="A66" s="134">
        <v>59002065</v>
      </c>
      <c r="B66" s="134">
        <v>0</v>
      </c>
      <c r="C66" s="134">
        <v>135</v>
      </c>
      <c r="D66" s="134">
        <v>100</v>
      </c>
      <c r="E66" s="134" t="s">
        <v>88</v>
      </c>
      <c r="F66" s="134" t="s">
        <v>88</v>
      </c>
      <c r="G66" s="134">
        <v>1</v>
      </c>
      <c r="H66" s="134" t="s">
        <v>88</v>
      </c>
      <c r="I66" s="134" t="s">
        <v>88</v>
      </c>
      <c r="J66" s="134">
        <f t="shared" si="3"/>
        <v>100</v>
      </c>
      <c r="K66" s="39"/>
      <c r="L66" s="135" t="s">
        <v>369</v>
      </c>
      <c r="M66" s="135" t="s">
        <v>525</v>
      </c>
    </row>
    <row r="67" spans="1:13" ht="21" customHeight="1" x14ac:dyDescent="0.15">
      <c r="A67" s="134">
        <v>59002066</v>
      </c>
      <c r="B67" s="134">
        <v>0</v>
      </c>
      <c r="C67" s="134">
        <v>134</v>
      </c>
      <c r="D67" s="134">
        <v>100</v>
      </c>
      <c r="E67" s="134" t="s">
        <v>88</v>
      </c>
      <c r="F67" s="134" t="s">
        <v>88</v>
      </c>
      <c r="G67" s="134">
        <v>1</v>
      </c>
      <c r="H67" s="134" t="s">
        <v>88</v>
      </c>
      <c r="I67" s="134" t="s">
        <v>88</v>
      </c>
      <c r="J67" s="134">
        <f t="shared" si="3"/>
        <v>100</v>
      </c>
      <c r="K67" s="39"/>
      <c r="L67" s="135" t="s">
        <v>370</v>
      </c>
      <c r="M67" s="135" t="s">
        <v>268</v>
      </c>
    </row>
    <row r="68" spans="1:13" ht="21" customHeight="1" x14ac:dyDescent="0.15">
      <c r="A68" s="134">
        <v>59002067</v>
      </c>
      <c r="B68" s="134">
        <v>0</v>
      </c>
      <c r="C68" s="134">
        <v>133</v>
      </c>
      <c r="D68" s="134">
        <v>100</v>
      </c>
      <c r="E68" s="134" t="s">
        <v>88</v>
      </c>
      <c r="F68" s="134" t="s">
        <v>88</v>
      </c>
      <c r="G68" s="134">
        <v>1</v>
      </c>
      <c r="H68" s="134" t="s">
        <v>88</v>
      </c>
      <c r="I68" s="134" t="s">
        <v>88</v>
      </c>
      <c r="J68" s="134">
        <f t="shared" si="3"/>
        <v>100</v>
      </c>
      <c r="K68" s="39"/>
      <c r="L68" s="135" t="s">
        <v>304</v>
      </c>
      <c r="M68" s="135" t="s">
        <v>434</v>
      </c>
    </row>
    <row r="69" spans="1:13" ht="21" customHeight="1" x14ac:dyDescent="0.15">
      <c r="A69" s="134">
        <v>59002068</v>
      </c>
      <c r="B69" s="134">
        <v>0</v>
      </c>
      <c r="C69" s="134">
        <v>132</v>
      </c>
      <c r="D69" s="134">
        <v>100</v>
      </c>
      <c r="E69" s="134" t="s">
        <v>88</v>
      </c>
      <c r="F69" s="134" t="s">
        <v>88</v>
      </c>
      <c r="G69" s="134">
        <v>1</v>
      </c>
      <c r="H69" s="134" t="s">
        <v>88</v>
      </c>
      <c r="I69" s="134" t="s">
        <v>88</v>
      </c>
      <c r="J69" s="134">
        <f t="shared" si="3"/>
        <v>100</v>
      </c>
      <c r="K69" s="39"/>
      <c r="L69" s="135" t="s">
        <v>371</v>
      </c>
      <c r="M69" s="135" t="s">
        <v>325</v>
      </c>
    </row>
    <row r="70" spans="1:13" ht="21" customHeight="1" x14ac:dyDescent="0.15">
      <c r="A70" s="134">
        <v>59002069</v>
      </c>
      <c r="B70" s="134">
        <v>0</v>
      </c>
      <c r="C70" s="134">
        <v>131</v>
      </c>
      <c r="D70" s="134">
        <v>100</v>
      </c>
      <c r="E70" s="134" t="s">
        <v>88</v>
      </c>
      <c r="F70" s="134" t="s">
        <v>88</v>
      </c>
      <c r="G70" s="134">
        <v>1</v>
      </c>
      <c r="H70" s="134" t="s">
        <v>88</v>
      </c>
      <c r="I70" s="134" t="s">
        <v>88</v>
      </c>
      <c r="J70" s="134">
        <f t="shared" si="3"/>
        <v>100</v>
      </c>
      <c r="K70" s="39"/>
      <c r="L70" s="135" t="s">
        <v>411</v>
      </c>
      <c r="M70" s="135" t="s">
        <v>271</v>
      </c>
    </row>
    <row r="71" spans="1:13" ht="21" customHeight="1" x14ac:dyDescent="0.15">
      <c r="A71" s="136">
        <v>59002070</v>
      </c>
      <c r="B71" s="136">
        <v>1</v>
      </c>
      <c r="C71" s="136" t="s">
        <v>88</v>
      </c>
      <c r="D71" s="136">
        <v>100</v>
      </c>
      <c r="E71" s="136" t="s">
        <v>88</v>
      </c>
      <c r="F71" s="136" t="s">
        <v>88</v>
      </c>
      <c r="G71" s="136">
        <v>1</v>
      </c>
      <c r="H71" s="136" t="s">
        <v>88</v>
      </c>
      <c r="I71" s="136" t="s">
        <v>88</v>
      </c>
      <c r="J71" s="136">
        <f t="shared" si="3"/>
        <v>100</v>
      </c>
      <c r="K71" s="39"/>
      <c r="L71" s="137" t="s">
        <v>372</v>
      </c>
      <c r="M71" s="137" t="s">
        <v>281</v>
      </c>
    </row>
    <row r="72" spans="1:13" s="49" customFormat="1" ht="21" customHeight="1" x14ac:dyDescent="0.15">
      <c r="A72" s="136">
        <v>59002071</v>
      </c>
      <c r="B72" s="136">
        <v>0</v>
      </c>
      <c r="C72" s="136">
        <v>162</v>
      </c>
      <c r="D72" s="136">
        <v>100</v>
      </c>
      <c r="E72" s="136" t="s">
        <v>88</v>
      </c>
      <c r="F72" s="136" t="s">
        <v>88</v>
      </c>
      <c r="G72" s="136">
        <v>1</v>
      </c>
      <c r="H72" s="136">
        <v>1</v>
      </c>
      <c r="I72" s="136" t="s">
        <v>88</v>
      </c>
      <c r="J72" s="136">
        <f t="shared" si="3"/>
        <v>100</v>
      </c>
      <c r="K72" s="39"/>
      <c r="L72" s="137" t="s">
        <v>374</v>
      </c>
      <c r="M72" s="137" t="s">
        <v>435</v>
      </c>
    </row>
    <row r="73" spans="1:13" ht="21" customHeight="1" x14ac:dyDescent="0.15">
      <c r="A73" s="136">
        <v>59002072</v>
      </c>
      <c r="B73" s="136">
        <v>0</v>
      </c>
      <c r="C73" s="136">
        <v>161</v>
      </c>
      <c r="D73" s="136">
        <v>100</v>
      </c>
      <c r="E73" s="136" t="s">
        <v>88</v>
      </c>
      <c r="F73" s="136" t="s">
        <v>88</v>
      </c>
      <c r="G73" s="136">
        <v>1</v>
      </c>
      <c r="H73" s="136">
        <v>1</v>
      </c>
      <c r="I73" s="136" t="s">
        <v>88</v>
      </c>
      <c r="J73" s="136">
        <f t="shared" si="3"/>
        <v>100</v>
      </c>
      <c r="K73" s="39"/>
      <c r="L73" s="137" t="s">
        <v>375</v>
      </c>
      <c r="M73" s="137" t="s">
        <v>267</v>
      </c>
    </row>
    <row r="74" spans="1:13" ht="21" customHeight="1" x14ac:dyDescent="0.15">
      <c r="A74" s="136">
        <v>59002073</v>
      </c>
      <c r="B74" s="136">
        <v>0</v>
      </c>
      <c r="C74" s="136">
        <v>160</v>
      </c>
      <c r="D74" s="136">
        <v>100</v>
      </c>
      <c r="E74" s="136" t="s">
        <v>88</v>
      </c>
      <c r="F74" s="136" t="s">
        <v>88</v>
      </c>
      <c r="G74" s="136">
        <v>1</v>
      </c>
      <c r="H74" s="136">
        <v>1</v>
      </c>
      <c r="I74" s="136" t="s">
        <v>88</v>
      </c>
      <c r="J74" s="136">
        <f t="shared" si="3"/>
        <v>100</v>
      </c>
      <c r="K74" s="39"/>
      <c r="L74" s="137" t="s">
        <v>375</v>
      </c>
      <c r="M74" s="137" t="s">
        <v>269</v>
      </c>
    </row>
    <row r="75" spans="1:13" ht="21" customHeight="1" x14ac:dyDescent="0.15">
      <c r="A75" s="136">
        <v>59002074</v>
      </c>
      <c r="B75" s="136">
        <v>0</v>
      </c>
      <c r="C75" s="136">
        <v>159</v>
      </c>
      <c r="D75" s="136">
        <v>100</v>
      </c>
      <c r="E75" s="136" t="s">
        <v>88</v>
      </c>
      <c r="F75" s="136" t="s">
        <v>88</v>
      </c>
      <c r="G75" s="136">
        <v>1</v>
      </c>
      <c r="H75" s="136">
        <v>1</v>
      </c>
      <c r="I75" s="136" t="s">
        <v>88</v>
      </c>
      <c r="J75" s="136">
        <f t="shared" si="3"/>
        <v>100</v>
      </c>
      <c r="K75" s="39"/>
      <c r="L75" s="137" t="s">
        <v>305</v>
      </c>
      <c r="M75" s="137" t="s">
        <v>436</v>
      </c>
    </row>
    <row r="76" spans="1:13" ht="21" customHeight="1" x14ac:dyDescent="0.15">
      <c r="A76" s="136">
        <v>59002075</v>
      </c>
      <c r="B76" s="136">
        <v>0</v>
      </c>
      <c r="C76" s="136">
        <v>158</v>
      </c>
      <c r="D76" s="136">
        <v>100</v>
      </c>
      <c r="E76" s="136" t="s">
        <v>88</v>
      </c>
      <c r="F76" s="136" t="s">
        <v>88</v>
      </c>
      <c r="G76" s="136">
        <v>1</v>
      </c>
      <c r="H76" s="136">
        <v>1</v>
      </c>
      <c r="I76" s="136" t="s">
        <v>88</v>
      </c>
      <c r="J76" s="136">
        <f t="shared" si="3"/>
        <v>100</v>
      </c>
      <c r="K76" s="39"/>
      <c r="L76" s="137" t="s">
        <v>306</v>
      </c>
      <c r="M76" s="137" t="s">
        <v>268</v>
      </c>
    </row>
    <row r="77" spans="1:13" s="49" customFormat="1" ht="21" customHeight="1" x14ac:dyDescent="0.15">
      <c r="A77" s="136">
        <v>59002076</v>
      </c>
      <c r="B77" s="136">
        <v>0</v>
      </c>
      <c r="C77" s="136">
        <v>157</v>
      </c>
      <c r="D77" s="136">
        <v>100</v>
      </c>
      <c r="E77" s="136" t="s">
        <v>88</v>
      </c>
      <c r="F77" s="136" t="s">
        <v>88</v>
      </c>
      <c r="G77" s="136">
        <v>1</v>
      </c>
      <c r="H77" s="136">
        <v>1</v>
      </c>
      <c r="I77" s="136" t="s">
        <v>88</v>
      </c>
      <c r="J77" s="136">
        <f t="shared" ref="J77:J81" si="9">D77</f>
        <v>100</v>
      </c>
      <c r="K77" s="39"/>
      <c r="L77" s="137" t="s">
        <v>374</v>
      </c>
      <c r="M77" s="137" t="s">
        <v>435</v>
      </c>
    </row>
    <row r="78" spans="1:13" ht="21" customHeight="1" x14ac:dyDescent="0.15">
      <c r="A78" s="136">
        <v>59002077</v>
      </c>
      <c r="B78" s="136">
        <v>0</v>
      </c>
      <c r="C78" s="136">
        <v>156</v>
      </c>
      <c r="D78" s="136">
        <v>100</v>
      </c>
      <c r="E78" s="136" t="s">
        <v>88</v>
      </c>
      <c r="F78" s="136" t="s">
        <v>88</v>
      </c>
      <c r="G78" s="136">
        <v>1</v>
      </c>
      <c r="H78" s="136">
        <v>1</v>
      </c>
      <c r="I78" s="136" t="s">
        <v>88</v>
      </c>
      <c r="J78" s="136">
        <f t="shared" si="9"/>
        <v>100</v>
      </c>
      <c r="K78" s="39"/>
      <c r="L78" s="137" t="s">
        <v>375</v>
      </c>
      <c r="M78" s="137" t="s">
        <v>267</v>
      </c>
    </row>
    <row r="79" spans="1:13" ht="21" customHeight="1" x14ac:dyDescent="0.15">
      <c r="A79" s="136">
        <v>59002078</v>
      </c>
      <c r="B79" s="136">
        <v>0</v>
      </c>
      <c r="C79" s="136">
        <v>155</v>
      </c>
      <c r="D79" s="136">
        <v>100</v>
      </c>
      <c r="E79" s="136" t="s">
        <v>88</v>
      </c>
      <c r="F79" s="136" t="s">
        <v>88</v>
      </c>
      <c r="G79" s="136">
        <v>1</v>
      </c>
      <c r="H79" s="136">
        <v>1</v>
      </c>
      <c r="I79" s="136" t="s">
        <v>88</v>
      </c>
      <c r="J79" s="136">
        <f t="shared" si="9"/>
        <v>100</v>
      </c>
      <c r="K79" s="39"/>
      <c r="L79" s="137" t="s">
        <v>375</v>
      </c>
      <c r="M79" s="137" t="s">
        <v>269</v>
      </c>
    </row>
    <row r="80" spans="1:13" ht="21" customHeight="1" x14ac:dyDescent="0.15">
      <c r="A80" s="136">
        <v>59002079</v>
      </c>
      <c r="B80" s="136">
        <v>0</v>
      </c>
      <c r="C80" s="136">
        <v>154</v>
      </c>
      <c r="D80" s="136">
        <v>100</v>
      </c>
      <c r="E80" s="136" t="s">
        <v>88</v>
      </c>
      <c r="F80" s="136" t="s">
        <v>88</v>
      </c>
      <c r="G80" s="136">
        <v>1</v>
      </c>
      <c r="H80" s="136">
        <v>1</v>
      </c>
      <c r="I80" s="136" t="s">
        <v>88</v>
      </c>
      <c r="J80" s="136">
        <f t="shared" si="9"/>
        <v>100</v>
      </c>
      <c r="K80" s="39"/>
      <c r="L80" s="137" t="s">
        <v>305</v>
      </c>
      <c r="M80" s="137" t="s">
        <v>436</v>
      </c>
    </row>
    <row r="81" spans="1:13" ht="21" customHeight="1" x14ac:dyDescent="0.15">
      <c r="A81" s="136">
        <v>59002080</v>
      </c>
      <c r="B81" s="136">
        <v>0</v>
      </c>
      <c r="C81" s="136">
        <v>153</v>
      </c>
      <c r="D81" s="136">
        <v>100</v>
      </c>
      <c r="E81" s="136" t="s">
        <v>88</v>
      </c>
      <c r="F81" s="136" t="s">
        <v>88</v>
      </c>
      <c r="G81" s="136">
        <v>1</v>
      </c>
      <c r="H81" s="136">
        <v>1</v>
      </c>
      <c r="I81" s="136" t="s">
        <v>88</v>
      </c>
      <c r="J81" s="136">
        <f t="shared" si="9"/>
        <v>100</v>
      </c>
      <c r="K81" s="39"/>
      <c r="L81" s="137" t="s">
        <v>306</v>
      </c>
      <c r="M81" s="137" t="s">
        <v>268</v>
      </c>
    </row>
    <row r="82" spans="1:13" ht="21" customHeight="1" x14ac:dyDescent="0.15">
      <c r="A82" s="136">
        <v>59002081</v>
      </c>
      <c r="B82" s="136">
        <v>0</v>
      </c>
      <c r="C82" s="136">
        <v>151</v>
      </c>
      <c r="D82" s="136">
        <v>100</v>
      </c>
      <c r="E82" s="136" t="s">
        <v>88</v>
      </c>
      <c r="F82" s="136" t="s">
        <v>88</v>
      </c>
      <c r="G82" s="136" t="s">
        <v>277</v>
      </c>
      <c r="H82" s="136">
        <v>1</v>
      </c>
      <c r="I82" s="136" t="s">
        <v>88</v>
      </c>
      <c r="J82" s="136">
        <f t="shared" ref="J82:J83" si="10">D82</f>
        <v>100</v>
      </c>
      <c r="K82" s="39"/>
      <c r="L82" s="137" t="s">
        <v>408</v>
      </c>
      <c r="M82" s="137" t="s">
        <v>437</v>
      </c>
    </row>
    <row r="83" spans="1:13" ht="21" customHeight="1" x14ac:dyDescent="0.15">
      <c r="A83" s="136">
        <v>59002082</v>
      </c>
      <c r="B83" s="136">
        <v>0</v>
      </c>
      <c r="C83" s="136">
        <v>152</v>
      </c>
      <c r="D83" s="136">
        <v>100</v>
      </c>
      <c r="E83" s="136" t="s">
        <v>88</v>
      </c>
      <c r="F83" s="136" t="s">
        <v>88</v>
      </c>
      <c r="G83" s="136" t="s">
        <v>277</v>
      </c>
      <c r="H83" s="136">
        <v>2</v>
      </c>
      <c r="I83" s="136" t="s">
        <v>88</v>
      </c>
      <c r="J83" s="136">
        <f t="shared" si="10"/>
        <v>100</v>
      </c>
      <c r="K83" s="39"/>
      <c r="L83" s="137" t="s">
        <v>306</v>
      </c>
      <c r="M83" s="137" t="s">
        <v>268</v>
      </c>
    </row>
    <row r="84" spans="1:13" ht="21" customHeight="1" x14ac:dyDescent="0.15">
      <c r="A84" s="136">
        <v>59002083</v>
      </c>
      <c r="B84" s="136">
        <v>0</v>
      </c>
      <c r="C84" s="136">
        <v>172</v>
      </c>
      <c r="D84" s="136">
        <v>100</v>
      </c>
      <c r="E84" s="136">
        <v>50</v>
      </c>
      <c r="F84" s="136" t="s">
        <v>88</v>
      </c>
      <c r="G84" s="136">
        <v>1</v>
      </c>
      <c r="H84" s="136">
        <v>1</v>
      </c>
      <c r="I84" s="136" t="s">
        <v>88</v>
      </c>
      <c r="J84" s="136">
        <f t="shared" si="3"/>
        <v>100</v>
      </c>
      <c r="K84" s="39"/>
      <c r="L84" s="137" t="s">
        <v>409</v>
      </c>
      <c r="M84" s="137" t="s">
        <v>266</v>
      </c>
    </row>
    <row r="85" spans="1:13" ht="21" customHeight="1" x14ac:dyDescent="0.15">
      <c r="A85" s="136">
        <v>59002084</v>
      </c>
      <c r="B85" s="136">
        <v>0</v>
      </c>
      <c r="C85" s="136">
        <v>171</v>
      </c>
      <c r="D85" s="136">
        <v>100</v>
      </c>
      <c r="E85" s="136">
        <v>50</v>
      </c>
      <c r="F85" s="136" t="s">
        <v>88</v>
      </c>
      <c r="G85" s="136">
        <v>1</v>
      </c>
      <c r="H85" s="136">
        <v>1</v>
      </c>
      <c r="I85" s="136" t="s">
        <v>88</v>
      </c>
      <c r="J85" s="136">
        <f t="shared" si="3"/>
        <v>100</v>
      </c>
      <c r="K85" s="39"/>
      <c r="L85" s="137" t="s">
        <v>307</v>
      </c>
      <c r="M85" s="137" t="s">
        <v>532</v>
      </c>
    </row>
    <row r="86" spans="1:13" ht="21" customHeight="1" x14ac:dyDescent="0.15">
      <c r="A86" s="136">
        <v>59002085</v>
      </c>
      <c r="B86" s="136">
        <v>0</v>
      </c>
      <c r="C86" s="136">
        <v>170</v>
      </c>
      <c r="D86" s="136">
        <v>100</v>
      </c>
      <c r="E86" s="136">
        <v>50</v>
      </c>
      <c r="F86" s="136" t="s">
        <v>88</v>
      </c>
      <c r="G86" s="136">
        <v>1</v>
      </c>
      <c r="H86" s="136">
        <v>1</v>
      </c>
      <c r="I86" s="136" t="s">
        <v>88</v>
      </c>
      <c r="J86" s="136">
        <f t="shared" si="3"/>
        <v>100</v>
      </c>
      <c r="K86" s="39"/>
      <c r="L86" s="137" t="s">
        <v>404</v>
      </c>
      <c r="M86" s="137" t="s">
        <v>533</v>
      </c>
    </row>
    <row r="87" spans="1:13" s="49" customFormat="1" ht="21" customHeight="1" x14ac:dyDescent="0.15">
      <c r="A87" s="136">
        <v>59002086</v>
      </c>
      <c r="B87" s="136">
        <v>0</v>
      </c>
      <c r="C87" s="136">
        <v>169</v>
      </c>
      <c r="D87" s="136">
        <v>100</v>
      </c>
      <c r="E87" s="136">
        <v>50</v>
      </c>
      <c r="F87" s="136" t="s">
        <v>88</v>
      </c>
      <c r="G87" s="136">
        <v>1</v>
      </c>
      <c r="H87" s="136">
        <v>1</v>
      </c>
      <c r="I87" s="136" t="s">
        <v>88</v>
      </c>
      <c r="J87" s="136">
        <f t="shared" ref="J87:J93" si="11">D87</f>
        <v>100</v>
      </c>
      <c r="K87" s="39"/>
      <c r="L87" s="137" t="s">
        <v>408</v>
      </c>
      <c r="M87" s="137" t="s">
        <v>435</v>
      </c>
    </row>
    <row r="88" spans="1:13" ht="21" customHeight="1" x14ac:dyDescent="0.15">
      <c r="A88" s="136">
        <v>59002087</v>
      </c>
      <c r="B88" s="136">
        <v>0</v>
      </c>
      <c r="C88" s="136">
        <v>168</v>
      </c>
      <c r="D88" s="136">
        <v>100</v>
      </c>
      <c r="E88" s="136">
        <v>50</v>
      </c>
      <c r="F88" s="136" t="s">
        <v>88</v>
      </c>
      <c r="G88" s="136">
        <v>1</v>
      </c>
      <c r="H88" s="136">
        <v>1</v>
      </c>
      <c r="I88" s="136" t="s">
        <v>88</v>
      </c>
      <c r="J88" s="136">
        <f t="shared" si="11"/>
        <v>100</v>
      </c>
      <c r="K88" s="39"/>
      <c r="L88" s="137" t="s">
        <v>407</v>
      </c>
      <c r="M88" s="137" t="s">
        <v>267</v>
      </c>
    </row>
    <row r="89" spans="1:13" ht="21" customHeight="1" x14ac:dyDescent="0.15">
      <c r="A89" s="136">
        <v>59002088</v>
      </c>
      <c r="B89" s="136">
        <v>0</v>
      </c>
      <c r="C89" s="136">
        <v>167</v>
      </c>
      <c r="D89" s="136">
        <v>100</v>
      </c>
      <c r="E89" s="136">
        <v>50</v>
      </c>
      <c r="F89" s="136" t="s">
        <v>88</v>
      </c>
      <c r="G89" s="136">
        <v>1</v>
      </c>
      <c r="H89" s="136">
        <v>1</v>
      </c>
      <c r="I89" s="136" t="s">
        <v>88</v>
      </c>
      <c r="J89" s="136">
        <f t="shared" si="11"/>
        <v>100</v>
      </c>
      <c r="K89" s="39"/>
      <c r="L89" s="137" t="s">
        <v>407</v>
      </c>
      <c r="M89" s="137" t="s">
        <v>269</v>
      </c>
    </row>
    <row r="90" spans="1:13" ht="21" customHeight="1" x14ac:dyDescent="0.15">
      <c r="A90" s="136">
        <v>59002089</v>
      </c>
      <c r="B90" s="136">
        <v>0</v>
      </c>
      <c r="C90" s="136">
        <v>166</v>
      </c>
      <c r="D90" s="136">
        <v>100</v>
      </c>
      <c r="E90" s="136">
        <v>50</v>
      </c>
      <c r="F90" s="136" t="s">
        <v>88</v>
      </c>
      <c r="G90" s="136">
        <v>1</v>
      </c>
      <c r="H90" s="136">
        <v>1</v>
      </c>
      <c r="I90" s="136" t="s">
        <v>88</v>
      </c>
      <c r="J90" s="136">
        <f t="shared" si="11"/>
        <v>100</v>
      </c>
      <c r="K90" s="39"/>
      <c r="L90" s="137" t="s">
        <v>406</v>
      </c>
      <c r="M90" s="137" t="s">
        <v>436</v>
      </c>
    </row>
    <row r="91" spans="1:13" ht="21" customHeight="1" x14ac:dyDescent="0.15">
      <c r="A91" s="136">
        <v>59002090</v>
      </c>
      <c r="B91" s="136">
        <v>0</v>
      </c>
      <c r="C91" s="136">
        <v>165</v>
      </c>
      <c r="D91" s="136">
        <v>100</v>
      </c>
      <c r="E91" s="136">
        <v>50</v>
      </c>
      <c r="F91" s="136" t="s">
        <v>88</v>
      </c>
      <c r="G91" s="136">
        <v>1</v>
      </c>
      <c r="H91" s="136">
        <v>1</v>
      </c>
      <c r="I91" s="136" t="s">
        <v>88</v>
      </c>
      <c r="J91" s="136">
        <f t="shared" si="11"/>
        <v>100</v>
      </c>
      <c r="K91" s="39"/>
      <c r="L91" s="137" t="s">
        <v>308</v>
      </c>
      <c r="M91" s="137" t="s">
        <v>268</v>
      </c>
    </row>
    <row r="92" spans="1:13" ht="21" customHeight="1" x14ac:dyDescent="0.15">
      <c r="A92" s="136">
        <v>59002091</v>
      </c>
      <c r="B92" s="136">
        <v>0</v>
      </c>
      <c r="C92" s="136">
        <v>163</v>
      </c>
      <c r="D92" s="136">
        <v>100</v>
      </c>
      <c r="E92" s="136">
        <v>50</v>
      </c>
      <c r="F92" s="136" t="s">
        <v>88</v>
      </c>
      <c r="G92" s="136" t="s">
        <v>88</v>
      </c>
      <c r="H92" s="136">
        <v>1</v>
      </c>
      <c r="I92" s="136" t="s">
        <v>88</v>
      </c>
      <c r="J92" s="136">
        <f t="shared" si="11"/>
        <v>100</v>
      </c>
      <c r="K92" s="39"/>
      <c r="L92" s="137" t="s">
        <v>309</v>
      </c>
      <c r="M92" s="137" t="s">
        <v>437</v>
      </c>
    </row>
    <row r="93" spans="1:13" ht="21" customHeight="1" x14ac:dyDescent="0.15">
      <c r="A93" s="136">
        <v>59002092</v>
      </c>
      <c r="B93" s="136">
        <v>0</v>
      </c>
      <c r="C93" s="136">
        <v>164</v>
      </c>
      <c r="D93" s="136">
        <v>100</v>
      </c>
      <c r="E93" s="136">
        <v>50</v>
      </c>
      <c r="F93" s="136" t="s">
        <v>88</v>
      </c>
      <c r="G93" s="136" t="s">
        <v>88</v>
      </c>
      <c r="H93" s="136">
        <v>2</v>
      </c>
      <c r="I93" s="136" t="s">
        <v>88</v>
      </c>
      <c r="J93" s="136">
        <f t="shared" si="11"/>
        <v>100</v>
      </c>
      <c r="K93" s="39"/>
      <c r="L93" s="137" t="s">
        <v>310</v>
      </c>
      <c r="M93" s="137" t="s">
        <v>268</v>
      </c>
    </row>
    <row r="94" spans="1:13" ht="21" customHeight="1" x14ac:dyDescent="0.15">
      <c r="A94" s="136">
        <v>59002093</v>
      </c>
      <c r="B94" s="136">
        <v>0</v>
      </c>
      <c r="C94" s="136">
        <v>174</v>
      </c>
      <c r="D94" s="136">
        <v>100</v>
      </c>
      <c r="E94" s="136">
        <v>20</v>
      </c>
      <c r="F94" s="136" t="s">
        <v>88</v>
      </c>
      <c r="G94" s="136">
        <v>1</v>
      </c>
      <c r="H94" s="136">
        <v>1</v>
      </c>
      <c r="I94" s="136" t="s">
        <v>88</v>
      </c>
      <c r="J94" s="136">
        <f t="shared" si="3"/>
        <v>100</v>
      </c>
      <c r="K94" s="39"/>
      <c r="L94" s="137" t="s">
        <v>311</v>
      </c>
      <c r="M94" s="137" t="s">
        <v>328</v>
      </c>
    </row>
    <row r="95" spans="1:13" ht="21" customHeight="1" x14ac:dyDescent="0.15">
      <c r="A95" s="136">
        <v>59002094</v>
      </c>
      <c r="B95" s="136">
        <v>0</v>
      </c>
      <c r="C95" s="136">
        <v>173</v>
      </c>
      <c r="D95" s="136">
        <v>100</v>
      </c>
      <c r="E95" s="136">
        <v>20</v>
      </c>
      <c r="F95" s="136" t="s">
        <v>88</v>
      </c>
      <c r="G95" s="136">
        <v>1</v>
      </c>
      <c r="H95" s="136">
        <v>1</v>
      </c>
      <c r="I95" s="136" t="s">
        <v>88</v>
      </c>
      <c r="J95" s="136">
        <f t="shared" si="3"/>
        <v>100</v>
      </c>
      <c r="K95" s="39"/>
      <c r="L95" s="137" t="s">
        <v>312</v>
      </c>
      <c r="M95" s="137" t="s">
        <v>271</v>
      </c>
    </row>
    <row r="96" spans="1:13" ht="21" customHeight="1" x14ac:dyDescent="0.15">
      <c r="A96" s="136">
        <v>59002095</v>
      </c>
      <c r="B96" s="136">
        <v>0</v>
      </c>
      <c r="C96" s="136" t="s">
        <v>283</v>
      </c>
      <c r="D96" s="136">
        <v>100</v>
      </c>
      <c r="E96" s="136" t="s">
        <v>283</v>
      </c>
      <c r="F96" s="136" t="s">
        <v>283</v>
      </c>
      <c r="G96" s="136">
        <v>0</v>
      </c>
      <c r="H96" s="136" t="s">
        <v>283</v>
      </c>
      <c r="I96" s="136">
        <v>0</v>
      </c>
      <c r="J96" s="136">
        <f t="shared" ref="J96" si="12">D96</f>
        <v>100</v>
      </c>
      <c r="K96" s="39"/>
      <c r="L96" s="137" t="s">
        <v>486</v>
      </c>
      <c r="M96" s="137" t="s">
        <v>452</v>
      </c>
    </row>
    <row r="97" spans="1:13" s="49" customFormat="1" ht="21" customHeight="1" x14ac:dyDescent="0.15">
      <c r="A97" s="126">
        <v>59002096</v>
      </c>
      <c r="B97" s="126">
        <v>1</v>
      </c>
      <c r="C97" s="126" t="s">
        <v>283</v>
      </c>
      <c r="D97" s="126">
        <v>100</v>
      </c>
      <c r="E97" s="126" t="s">
        <v>283</v>
      </c>
      <c r="F97" s="126" t="s">
        <v>88</v>
      </c>
      <c r="G97" s="126">
        <v>1</v>
      </c>
      <c r="H97" s="126" t="s">
        <v>283</v>
      </c>
      <c r="I97" s="126" t="s">
        <v>88</v>
      </c>
      <c r="J97" s="126">
        <f t="shared" ref="J97:J104" si="13">D97</f>
        <v>100</v>
      </c>
      <c r="K97" s="39"/>
      <c r="L97" s="127" t="s">
        <v>513</v>
      </c>
      <c r="M97" s="127" t="s">
        <v>563</v>
      </c>
    </row>
    <row r="98" spans="1:13" s="49" customFormat="1" ht="21" customHeight="1" x14ac:dyDescent="0.15">
      <c r="A98" s="126">
        <v>59002097</v>
      </c>
      <c r="B98" s="126">
        <v>0</v>
      </c>
      <c r="C98" s="126">
        <v>202</v>
      </c>
      <c r="D98" s="126">
        <v>50</v>
      </c>
      <c r="E98" s="126" t="s">
        <v>283</v>
      </c>
      <c r="F98" s="126" t="s">
        <v>88</v>
      </c>
      <c r="G98" s="126" t="s">
        <v>283</v>
      </c>
      <c r="H98" s="126" t="s">
        <v>283</v>
      </c>
      <c r="I98" s="126" t="s">
        <v>88</v>
      </c>
      <c r="J98" s="126">
        <f t="shared" si="13"/>
        <v>50</v>
      </c>
      <c r="K98" s="39"/>
      <c r="L98" s="127" t="s">
        <v>514</v>
      </c>
      <c r="M98" s="127" t="s">
        <v>515</v>
      </c>
    </row>
    <row r="99" spans="1:13" s="49" customFormat="1" ht="21" customHeight="1" x14ac:dyDescent="0.15">
      <c r="A99" s="126">
        <v>59002098</v>
      </c>
      <c r="B99" s="126">
        <v>0</v>
      </c>
      <c r="C99" s="126">
        <v>201</v>
      </c>
      <c r="D99" s="126">
        <v>50</v>
      </c>
      <c r="E99" s="126" t="s">
        <v>283</v>
      </c>
      <c r="F99" s="126" t="s">
        <v>88</v>
      </c>
      <c r="G99" s="126" t="s">
        <v>283</v>
      </c>
      <c r="H99" s="126" t="s">
        <v>283</v>
      </c>
      <c r="I99" s="126" t="s">
        <v>88</v>
      </c>
      <c r="J99" s="126">
        <f t="shared" si="13"/>
        <v>50</v>
      </c>
      <c r="K99" s="39"/>
      <c r="L99" s="127" t="s">
        <v>516</v>
      </c>
      <c r="M99" s="127" t="s">
        <v>517</v>
      </c>
    </row>
    <row r="100" spans="1:13" s="49" customFormat="1" ht="21" customHeight="1" x14ac:dyDescent="0.15">
      <c r="A100" s="126">
        <v>59002099</v>
      </c>
      <c r="B100" s="126">
        <v>0</v>
      </c>
      <c r="C100" s="126">
        <v>200</v>
      </c>
      <c r="D100" s="126">
        <v>50</v>
      </c>
      <c r="E100" s="126" t="s">
        <v>283</v>
      </c>
      <c r="F100" s="126" t="s">
        <v>88</v>
      </c>
      <c r="G100" s="126" t="s">
        <v>283</v>
      </c>
      <c r="H100" s="126" t="s">
        <v>283</v>
      </c>
      <c r="I100" s="126" t="s">
        <v>88</v>
      </c>
      <c r="J100" s="126">
        <f t="shared" si="13"/>
        <v>50</v>
      </c>
      <c r="K100" s="39"/>
      <c r="L100" s="127" t="s">
        <v>518</v>
      </c>
      <c r="M100" s="127" t="s">
        <v>564</v>
      </c>
    </row>
    <row r="101" spans="1:13" s="49" customFormat="1" ht="21" customHeight="1" x14ac:dyDescent="0.15">
      <c r="A101" s="126">
        <v>59002100</v>
      </c>
      <c r="B101" s="126">
        <v>0</v>
      </c>
      <c r="C101" s="126">
        <v>204</v>
      </c>
      <c r="D101" s="126">
        <v>100</v>
      </c>
      <c r="E101" s="126" t="s">
        <v>283</v>
      </c>
      <c r="F101" s="126" t="s">
        <v>88</v>
      </c>
      <c r="G101" s="126">
        <v>1</v>
      </c>
      <c r="H101" s="126">
        <v>9</v>
      </c>
      <c r="I101" s="126" t="s">
        <v>88</v>
      </c>
      <c r="J101" s="126">
        <f t="shared" si="13"/>
        <v>100</v>
      </c>
      <c r="K101" s="39"/>
      <c r="L101" s="127" t="s">
        <v>519</v>
      </c>
      <c r="M101" s="127" t="s">
        <v>520</v>
      </c>
    </row>
    <row r="102" spans="1:13" s="49" customFormat="1" ht="21" customHeight="1" x14ac:dyDescent="0.15">
      <c r="A102" s="126">
        <v>59002101</v>
      </c>
      <c r="B102" s="126">
        <v>0</v>
      </c>
      <c r="C102" s="126">
        <v>205</v>
      </c>
      <c r="D102" s="126">
        <v>100</v>
      </c>
      <c r="E102" s="126" t="s">
        <v>283</v>
      </c>
      <c r="F102" s="126" t="s">
        <v>88</v>
      </c>
      <c r="G102" s="126">
        <v>1</v>
      </c>
      <c r="H102" s="126">
        <v>10</v>
      </c>
      <c r="I102" s="126" t="s">
        <v>88</v>
      </c>
      <c r="J102" s="126">
        <f t="shared" si="13"/>
        <v>100</v>
      </c>
      <c r="K102" s="39"/>
      <c r="L102" s="127" t="s">
        <v>521</v>
      </c>
      <c r="M102" s="127" t="s">
        <v>515</v>
      </c>
    </row>
    <row r="103" spans="1:13" s="49" customFormat="1" ht="21" customHeight="1" x14ac:dyDescent="0.15">
      <c r="A103" s="165">
        <v>59002102</v>
      </c>
      <c r="B103" s="165">
        <v>0</v>
      </c>
      <c r="C103" s="165">
        <v>206</v>
      </c>
      <c r="D103" s="165">
        <v>100</v>
      </c>
      <c r="E103" s="165" t="s">
        <v>283</v>
      </c>
      <c r="F103" s="165" t="s">
        <v>88</v>
      </c>
      <c r="G103" s="165" t="s">
        <v>284</v>
      </c>
      <c r="H103" s="165" t="s">
        <v>284</v>
      </c>
      <c r="I103" s="165" t="s">
        <v>283</v>
      </c>
      <c r="J103" s="165">
        <f t="shared" si="13"/>
        <v>100</v>
      </c>
      <c r="K103" s="39"/>
      <c r="L103" s="167" t="s">
        <v>417</v>
      </c>
      <c r="M103" s="167" t="s">
        <v>452</v>
      </c>
    </row>
    <row r="104" spans="1:13" s="49" customFormat="1" ht="21" customHeight="1" x14ac:dyDescent="0.15">
      <c r="A104" s="165">
        <v>59002103</v>
      </c>
      <c r="B104" s="165">
        <v>0</v>
      </c>
      <c r="C104" s="165">
        <v>207</v>
      </c>
      <c r="D104" s="165">
        <v>100</v>
      </c>
      <c r="E104" s="165" t="s">
        <v>283</v>
      </c>
      <c r="F104" s="165" t="s">
        <v>88</v>
      </c>
      <c r="G104" s="165" t="s">
        <v>284</v>
      </c>
      <c r="H104" s="165" t="s">
        <v>284</v>
      </c>
      <c r="I104" s="165" t="s">
        <v>283</v>
      </c>
      <c r="J104" s="165">
        <f t="shared" si="13"/>
        <v>100</v>
      </c>
      <c r="K104" s="39"/>
      <c r="L104" s="167" t="s">
        <v>562</v>
      </c>
      <c r="M104" s="167" t="s">
        <v>452</v>
      </c>
    </row>
    <row r="105" spans="1:13" s="49" customFormat="1" ht="42" customHeight="1" x14ac:dyDescent="0.15">
      <c r="A105" s="178">
        <v>59002104</v>
      </c>
      <c r="B105" s="178">
        <v>0</v>
      </c>
      <c r="C105" s="178" t="s">
        <v>283</v>
      </c>
      <c r="D105" s="178">
        <v>100</v>
      </c>
      <c r="E105" s="178" t="s">
        <v>283</v>
      </c>
      <c r="F105" s="178" t="s">
        <v>88</v>
      </c>
      <c r="G105" s="178">
        <v>0</v>
      </c>
      <c r="H105" s="178" t="s">
        <v>88</v>
      </c>
      <c r="I105" s="178">
        <v>0</v>
      </c>
      <c r="J105" s="178">
        <f t="shared" ref="J105" si="14">D105</f>
        <v>100</v>
      </c>
      <c r="K105" s="39"/>
      <c r="L105" s="180" t="s">
        <v>550</v>
      </c>
      <c r="M105" s="180" t="s">
        <v>549</v>
      </c>
    </row>
    <row r="106" spans="1:13" s="49" customFormat="1" ht="42" customHeight="1" x14ac:dyDescent="0.15">
      <c r="A106" s="178">
        <v>59002105</v>
      </c>
      <c r="B106" s="178">
        <v>1</v>
      </c>
      <c r="C106" s="178" t="s">
        <v>283</v>
      </c>
      <c r="D106" s="178">
        <v>100</v>
      </c>
      <c r="E106" s="178" t="s">
        <v>283</v>
      </c>
      <c r="F106" s="178" t="s">
        <v>88</v>
      </c>
      <c r="G106" s="178">
        <v>1</v>
      </c>
      <c r="H106" s="178" t="s">
        <v>88</v>
      </c>
      <c r="I106" s="178" t="s">
        <v>581</v>
      </c>
      <c r="J106" s="178">
        <f t="shared" ref="J106" si="15">D106</f>
        <v>100</v>
      </c>
      <c r="K106" s="39"/>
      <c r="L106" s="180" t="s">
        <v>452</v>
      </c>
      <c r="M106" s="180" t="s">
        <v>580</v>
      </c>
    </row>
  </sheetData>
  <autoFilter ref="A1:G1"/>
  <phoneticPr fontId="5"/>
  <conditionalFormatting sqref="K107:K1048576 K1:K2">
    <cfRule type="duplicateValues" dxfId="19" priority="23"/>
  </conditionalFormatting>
  <conditionalFormatting sqref="K43:K47 K3:K19 K60:K69 K51:K55 K21:K34">
    <cfRule type="duplicateValues" dxfId="18" priority="22"/>
  </conditionalFormatting>
  <conditionalFormatting sqref="K35:K37">
    <cfRule type="duplicateValues" dxfId="17" priority="20"/>
  </conditionalFormatting>
  <conditionalFormatting sqref="K38:K40">
    <cfRule type="duplicateValues" dxfId="16" priority="19"/>
  </conditionalFormatting>
  <conditionalFormatting sqref="K40:K41">
    <cfRule type="duplicateValues" dxfId="15" priority="18"/>
  </conditionalFormatting>
  <conditionalFormatting sqref="K56:K59">
    <cfRule type="duplicateValues" dxfId="14" priority="17"/>
  </conditionalFormatting>
  <conditionalFormatting sqref="K77:K81">
    <cfRule type="duplicateValues" dxfId="13" priority="16"/>
  </conditionalFormatting>
  <conditionalFormatting sqref="K82:K83">
    <cfRule type="duplicateValues" dxfId="12" priority="15"/>
  </conditionalFormatting>
  <conditionalFormatting sqref="K87:K91">
    <cfRule type="duplicateValues" dxfId="11" priority="13"/>
  </conditionalFormatting>
  <conditionalFormatting sqref="K92:K93">
    <cfRule type="duplicateValues" dxfId="10" priority="11"/>
  </conditionalFormatting>
  <conditionalFormatting sqref="K94:K95 K70:K76 K84:K86">
    <cfRule type="duplicateValues" dxfId="9" priority="27"/>
  </conditionalFormatting>
  <conditionalFormatting sqref="K49">
    <cfRule type="duplicateValues" dxfId="8" priority="10"/>
  </conditionalFormatting>
  <conditionalFormatting sqref="K50">
    <cfRule type="duplicateValues" dxfId="7" priority="9"/>
  </conditionalFormatting>
  <conditionalFormatting sqref="K20">
    <cfRule type="duplicateValues" dxfId="6" priority="8"/>
  </conditionalFormatting>
  <conditionalFormatting sqref="K48">
    <cfRule type="duplicateValues" dxfId="5" priority="7"/>
  </conditionalFormatting>
  <conditionalFormatting sqref="K96">
    <cfRule type="duplicateValues" dxfId="4" priority="6"/>
  </conditionalFormatting>
  <conditionalFormatting sqref="K97:K104">
    <cfRule type="duplicateValues" dxfId="3" priority="32"/>
  </conditionalFormatting>
  <conditionalFormatting sqref="K105">
    <cfRule type="duplicateValues" dxfId="2" priority="3"/>
  </conditionalFormatting>
  <conditionalFormatting sqref="K42">
    <cfRule type="duplicateValues" dxfId="1" priority="2"/>
  </conditionalFormatting>
  <conditionalFormatting sqref="K10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66"/>
  <sheetViews>
    <sheetView showGridLines="0" workbookViewId="0">
      <pane xSplit="5" ySplit="1" topLeftCell="F141" activePane="bottomRight" state="frozen"/>
      <selection pane="topRight"/>
      <selection pane="bottomLeft"/>
      <selection pane="bottomRight" activeCell="E162" sqref="E16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36.66406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59002001_59002001</v>
      </c>
      <c r="B2" s="122">
        <v>59002001</v>
      </c>
      <c r="C2" s="47">
        <v>59002001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47">
        <v>59002001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 t="shared" ref="A3:A55" si="1">B3&amp;"_"&amp;C3</f>
        <v>59002001_59002002</v>
      </c>
      <c r="B3" s="122">
        <v>59002001</v>
      </c>
      <c r="C3" s="47">
        <v>59002002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ディスレッド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2ターン赤パネル無効</v>
      </c>
      <c r="F3" s="47">
        <v>59002002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7"/>
      <c r="Q3" s="47"/>
      <c r="R3" s="47"/>
    </row>
    <row r="4" spans="1:18" ht="21" customHeight="1" x14ac:dyDescent="0.15">
      <c r="A4" s="39" t="str">
        <f t="shared" si="1"/>
        <v>59002002_59002003</v>
      </c>
      <c r="B4" s="124">
        <v>59002002</v>
      </c>
      <c r="C4" s="47">
        <v>59002003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かみつく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47">
        <v>59002003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" s="47"/>
      <c r="Q4" s="47"/>
      <c r="R4" s="47"/>
    </row>
    <row r="5" spans="1:18" ht="21" customHeight="1" x14ac:dyDescent="0.15">
      <c r="A5" s="39" t="str">
        <f t="shared" si="1"/>
        <v>59002003_59002004</v>
      </c>
      <c r="B5" s="114">
        <v>59002003</v>
      </c>
      <c r="C5" s="47">
        <v>59002004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しなる触腕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種族Unknownのユニットに_x000D_大ダメージの全体攻撃</v>
      </c>
      <c r="F5" s="47">
        <v>59002004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si="1"/>
        <v>59002003_59002005</v>
      </c>
      <c r="B6" s="114">
        <v>59002003</v>
      </c>
      <c r="C6" s="47">
        <v>59002005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無防備に突っ込んでくる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自身の防御力DOWN</v>
      </c>
      <c r="F6" s="47">
        <v>59002005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1505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59002004_59002006</v>
      </c>
      <c r="B7" s="126">
        <v>59002004</v>
      </c>
      <c r="C7" s="47">
        <v>59002006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守っている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敵全体に状態異常耐性+_x000D_キモネコの防御力激烈UP</v>
      </c>
      <c r="F7" s="47">
        <v>59002006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59002004_59002007</v>
      </c>
      <c r="B8" s="126">
        <v>59002004</v>
      </c>
      <c r="C8" s="47">
        <v>59002007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高速頭突き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" s="47">
        <v>59002007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59002005_59002008</v>
      </c>
      <c r="B9" s="176">
        <v>59002005</v>
      </c>
      <c r="C9" s="47">
        <v>59002008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この先はとても危険です…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状態異常耐性+_x000D_15ターン全ユニットのCパネル生成延長(効果特大)+_x000D_緑&amp;黄パネルプロテクト</v>
      </c>
      <c r="F9" s="47">
        <v>59002008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59002005_59002009</v>
      </c>
      <c r="B10" s="176">
        <v>59002005</v>
      </c>
      <c r="C10" s="47">
        <v>59002009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グリーン・チャーム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緑パネルプロテクト(最大5個)+_x000D_単体攻撃</v>
      </c>
      <c r="F10" s="47">
        <v>59002009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59002005_59002010</v>
      </c>
      <c r="B11" s="176">
        <v>59002005</v>
      </c>
      <c r="C11" s="47">
        <v>59002010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ニャングリル・アイズ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1ターン全ユニットにスキルバインド+_x000D_単体攻撃</v>
      </c>
      <c r="F11" s="47">
        <v>59002010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59002005_59002011</v>
      </c>
      <c r="B12" s="176">
        <v>59002005</v>
      </c>
      <c r="C12" s="47">
        <v>59002011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イエロー・チャーム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黄パネルプロテクト(最大5個)+_x000D_単体攻撃</v>
      </c>
      <c r="F12" s="47">
        <v>59002011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59002005_59002012</v>
      </c>
      <c r="B13" s="176">
        <v>59002005</v>
      </c>
      <c r="C13" s="47">
        <v>59002012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テンション・コントロール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1ターン全ユニットの回復力80%DOWN+_x000D_単体攻撃</v>
      </c>
      <c r="F13" s="47">
        <v>59002012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59002005_59002013</v>
      </c>
      <c r="B14" s="176">
        <v>59002005</v>
      </c>
      <c r="C14" s="47">
        <v>59002013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グリーン・チャーム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緑パネルプロテクト(最大5個)+_x000D_単体攻撃</v>
      </c>
      <c r="F14" s="47">
        <v>59002013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59002005_59002014</v>
      </c>
      <c r="B15" s="176">
        <v>59002005</v>
      </c>
      <c r="C15" s="47">
        <v>59002014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ニャングリル・アイズ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1ターン全ユニットにスキルバインド+_x000D_単体攻撃</v>
      </c>
      <c r="F15" s="47">
        <v>59002014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59002005_59002015</v>
      </c>
      <c r="B16" s="176">
        <v>59002005</v>
      </c>
      <c r="C16" s="47">
        <v>59002015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イエロー・チャーム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黄パネルプロテクト(最大5個)+_x000D_単体攻撃</v>
      </c>
      <c r="F16" s="47">
        <v>59002015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59002005_59002016</v>
      </c>
      <c r="B17" s="176">
        <v>59002005</v>
      </c>
      <c r="C17" s="47">
        <v>59002016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テンション・コントロール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1ターン全ユニットの回復力80%DOWN+_x000D_単体攻撃</v>
      </c>
      <c r="F17" s="47">
        <v>59002016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59002005_59002017</v>
      </c>
      <c r="B18" s="176">
        <v>59002005</v>
      </c>
      <c r="C18" s="47">
        <v>59002017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グリーン・チャーム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緑パネルプロテクト(最大5個)+_x000D_単体攻撃</v>
      </c>
      <c r="F18" s="47">
        <v>59002017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59002005_59002018</v>
      </c>
      <c r="B19" s="176">
        <v>59002005</v>
      </c>
      <c r="C19" s="47">
        <v>59002018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イエロー・チャーム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黄パネルプロテクト(最大5個)+_x000D_単体攻撃</v>
      </c>
      <c r="F19" s="47">
        <v>59002018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59002005_59002019</v>
      </c>
      <c r="B20" s="176">
        <v>59002005</v>
      </c>
      <c r="C20" s="47">
        <v>59002019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あなた達で…狂乱のネコを止めるというの？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0" s="47">
        <v>59002019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59002006_59002020</v>
      </c>
      <c r="B21" s="130">
        <v>59002006</v>
      </c>
      <c r="C21" s="47">
        <v>59002020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不思議なダンス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4ターン全ユニットの回復力50%DOWN</v>
      </c>
      <c r="F21" s="47">
        <v>59002020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59002006_59002021</v>
      </c>
      <c r="B22" s="130">
        <v>59002006</v>
      </c>
      <c r="C22" s="47">
        <v>59002021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魅惑のダンス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4ターン全ユニットの攻撃力50%DOWN</v>
      </c>
      <c r="F22" s="47">
        <v>59002021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1"/>
        <v>59002006_59002022</v>
      </c>
      <c r="B23" s="130">
        <v>59002006</v>
      </c>
      <c r="C23" s="47">
        <v>59002022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体当たり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59002022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59002006_59002023</v>
      </c>
      <c r="B24" s="130">
        <v>59002006</v>
      </c>
      <c r="C24" s="47">
        <v>59002023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魅惑のダンス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解除するまで全ユニットの攻撃力80%DOWN</v>
      </c>
      <c r="F24" s="47">
        <v>59002023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59002006_59002024</v>
      </c>
      <c r="B25" s="130">
        <v>59002006</v>
      </c>
      <c r="C25" s="47">
        <v>59002024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不思議なダンス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4ターン全ユニットの回復力50%DOWN</v>
      </c>
      <c r="F25" s="47">
        <v>59002024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28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7"/>
      <c r="Q25" s="47"/>
      <c r="R25" s="47"/>
    </row>
    <row r="26" spans="1:18" ht="21" customHeight="1" x14ac:dyDescent="0.15">
      <c r="A26" s="39" t="str">
        <f t="shared" si="1"/>
        <v>59002006_59002025</v>
      </c>
      <c r="B26" s="130">
        <v>59002006</v>
      </c>
      <c r="C26" s="47">
        <v>59002025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体当たり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47">
        <v>59002025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27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59002007_59002026</v>
      </c>
      <c r="B27" s="104">
        <v>59002007</v>
      </c>
      <c r="C27" s="47">
        <v>59002026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防御の構え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自身の防御力UP</v>
      </c>
      <c r="F27" s="47">
        <v>59002026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59002007_59002027</v>
      </c>
      <c r="B28" s="104">
        <v>59002007</v>
      </c>
      <c r="C28" s="47">
        <v>59002027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豪腕の鉄槌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8" s="47">
        <v>59002027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 x14ac:dyDescent="0.15">
      <c r="A29" s="39" t="str">
        <f t="shared" si="1"/>
        <v>59002007_59002028</v>
      </c>
      <c r="B29" s="104">
        <v>59002007</v>
      </c>
      <c r="C29" s="47">
        <v>59002028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荒ぶる咆哮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</v>
      </c>
      <c r="F29" s="47">
        <v>59002028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59002007_59002029</v>
      </c>
      <c r="B30" s="104">
        <v>59002007</v>
      </c>
      <c r="C30" s="47">
        <v>59002029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強靭な巨体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お邪魔パネルを吸収して防御力UP+_x000D_1ターン全ユニットの攻撃をカウンター</v>
      </c>
      <c r="F30" s="47">
        <v>59002029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59002008_59002030</v>
      </c>
      <c r="B31" s="117">
        <v>59002008</v>
      </c>
      <c r="C31" s="47">
        <v>59002030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危険な力を感知した…_x000D_お前の力がそれに足るか試してやろう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31" s="47">
        <v>59002030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59002008_59002031</v>
      </c>
      <c r="B32" s="117">
        <v>59002008</v>
      </c>
      <c r="C32" s="47">
        <v>59002031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トルネードディザスター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32" s="47">
        <v>59002031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59002008_59002032</v>
      </c>
      <c r="B33" s="117">
        <v>59002008</v>
      </c>
      <c r="C33" s="47">
        <v>59002032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グリーンメテオ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青パネルを緑のダメージパネルに最大3個変換+_x000D_全体攻撃</v>
      </c>
      <c r="F33" s="47">
        <v>59002032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59002008_59002033</v>
      </c>
      <c r="B34" s="117">
        <v>59002008</v>
      </c>
      <c r="C34" s="47">
        <v>59002033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レッドメテオ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青パネルを赤のダメージパネルに最大3個変換+_x000D_全体攻撃</v>
      </c>
      <c r="F34" s="47">
        <v>59002033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"/>
        <v>59002008_59002034</v>
      </c>
      <c r="B35" s="117">
        <v>59002008</v>
      </c>
      <c r="C35" s="47">
        <v>59002034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フォースブラスター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35" s="47">
        <v>59002034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"/>
        <v>59002008_59002035</v>
      </c>
      <c r="B36" s="117">
        <v>59002008</v>
      </c>
      <c r="C36" s="47">
        <v>59002035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エクスプロージョン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ボムパネルを吸収して全体攻撃</v>
      </c>
      <c r="F36" s="47">
        <v>59002035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"/>
        <v>59002008_59002036</v>
      </c>
      <c r="B37" s="117">
        <v>59002008</v>
      </c>
      <c r="C37" s="47">
        <v>59002036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グリーンメテオ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青パネルを緑のダメージパネルに最大3個変換+_x000D_全体攻撃</v>
      </c>
      <c r="F37" s="47">
        <v>59002036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"/>
        <v>59002008_59002037</v>
      </c>
      <c r="B38" s="117">
        <v>59002008</v>
      </c>
      <c r="C38" s="47">
        <v>59002037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レッドメテオ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青パネルを赤のダメージパネルに最大3個変換+_x000D_全体攻撃</v>
      </c>
      <c r="F38" s="47">
        <v>59002037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43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"/>
        <v>59002008_59002038</v>
      </c>
      <c r="B39" s="117">
        <v>59002008</v>
      </c>
      <c r="C39" s="47">
        <v>59002038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フォースブラスター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39" s="47">
        <v>59002038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"/>
        <v>59002008_59002039</v>
      </c>
      <c r="B40" s="117">
        <v>59002008</v>
      </c>
      <c r="C40" s="47">
        <v>59002039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グリーンメテオ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青パネルを緑のダメージパネルに最大3個変換+_x000D_全体攻撃</v>
      </c>
      <c r="F40" s="47">
        <v>59002039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"/>
        <v>59002008_59002040</v>
      </c>
      <c r="B41" s="117">
        <v>59002008</v>
      </c>
      <c r="C41" s="47">
        <v>59002040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レッドメテオ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青パネルを赤のダメージパネルに最大3個変換+_x000D_全体攻撃</v>
      </c>
      <c r="F41" s="47">
        <v>59002040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"/>
        <v>59002008_59002041</v>
      </c>
      <c r="B42" s="117">
        <v>59002008</v>
      </c>
      <c r="C42" s="47">
        <v>59002041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アンチマター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バランスタイプのユニットに大ダメージの全体攻撃+_x000D_ボムパネルを吸収して全体攻撃</v>
      </c>
      <c r="F42" s="47">
        <v>59002041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"/>
        <v>59002008_59002042</v>
      </c>
      <c r="B43" s="117">
        <v>59002008</v>
      </c>
      <c r="C43" s="47">
        <v>59002042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グリーンメテオ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青パネルを緑のダメージパネルに最大4個変換+_x000D_全体攻撃</v>
      </c>
      <c r="F43" s="47">
        <v>59002042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54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"/>
        <v>59002008_59002043</v>
      </c>
      <c r="B44" s="117">
        <v>59002008</v>
      </c>
      <c r="C44" s="47">
        <v>59002043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レッドメテオ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青パネルを赤のダメージパネルに最大5個変換+_x000D_全体攻撃</v>
      </c>
      <c r="F44" s="47">
        <v>59002043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53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"/>
        <v>59002008_59002044</v>
      </c>
      <c r="B45" s="117">
        <v>59002008</v>
      </c>
      <c r="C45" s="47">
        <v>59002044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フォースブラスター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45" s="47">
        <v>59002044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"/>
        <v>59002008_59002045</v>
      </c>
      <c r="B46" s="117">
        <v>59002008</v>
      </c>
      <c r="C46" s="47">
        <v>59002045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次で終わりにする…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【！】次のターン超強力な連続攻撃【！】</v>
      </c>
      <c r="F46" s="47">
        <v>59002045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"/>
        <v>59002008_59002046</v>
      </c>
      <c r="B47" s="117">
        <v>59002008</v>
      </c>
      <c r="C47" s="47">
        <v>59002046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オールレンジデストロイ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47" s="47">
        <v>59002046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"/>
        <v>59002008_59002047</v>
      </c>
      <c r="B48" s="117">
        <v>59002008</v>
      </c>
      <c r="C48" s="47">
        <v>59002047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もう遅い…全てが飲み込まれる…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8" s="47">
        <v>59002047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"/>
        <v>59002009_59002048</v>
      </c>
      <c r="B49" s="171">
        <v>59002009</v>
      </c>
      <c r="C49" s="47">
        <v>59002048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『呼んだ？ボク、神さまだけど。』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別に呼んでないけど神さまがあらわれた！</v>
      </c>
      <c r="F49" s="47">
        <v>59002048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"/>
        <v>59002009_59002049</v>
      </c>
      <c r="B50" s="171">
        <v>59002009</v>
      </c>
      <c r="C50" s="47">
        <v>59002049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神のチカラ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ランダムで先頭ユニットのSCパネルに最大5個変換</v>
      </c>
      <c r="F50" s="47">
        <v>59002049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"/>
        <v>59002010_59002050</v>
      </c>
      <c r="B51" s="109">
        <v>59002010</v>
      </c>
      <c r="C51" s="47">
        <v>59002050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我輩は狂乱のネコ…_x000D_誰も我輩を止められんにゃ…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51" s="47">
        <v>59002050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"/>
        <v>59002010_59002051</v>
      </c>
      <c r="B52" s="109">
        <v>59002010</v>
      </c>
      <c r="C52" s="47">
        <v>59002051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まずは小手調べにゃ…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52" s="47">
        <v>59002051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"/>
        <v>59002010_59002052</v>
      </c>
      <c r="B53" s="109">
        <v>59002010</v>
      </c>
      <c r="C53" s="47">
        <v>59002052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闇に飲まれるにゃ…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2ターン全ユニットに暗闇+_x000D_全体攻撃</v>
      </c>
      <c r="F53" s="47">
        <v>59002052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"/>
        <v>59002010_59002053</v>
      </c>
      <c r="B54" s="109">
        <v>59002010</v>
      </c>
      <c r="C54" s="47">
        <v>59002053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力を削ぐにゃ…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2ターン全ユニットの攻撃力90%DOWN+_x000D_ボムパネルを吸収して全体攻撃</v>
      </c>
      <c r="F54" s="47">
        <v>59002053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"/>
        <v>59002010_59002054</v>
      </c>
      <c r="B55" s="109">
        <v>59002010</v>
      </c>
      <c r="C55" s="47">
        <v>59002054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狂気の眼光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2ターン全ユニットにスキルバインド+_x000D_全体攻撃</v>
      </c>
      <c r="F55" s="47">
        <v>59002054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ref="A56:A87" si="2">B56&amp;"_"&amp;C56</f>
        <v>59002010_59002055</v>
      </c>
      <c r="B56" s="109">
        <v>59002010</v>
      </c>
      <c r="C56" s="47">
        <v>59002055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これは耐えられるかにゃ…？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56" s="47">
        <v>59002055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2"/>
        <v>59002010_59002056</v>
      </c>
      <c r="B57" s="109">
        <v>59002010</v>
      </c>
      <c r="C57" s="47">
        <v>59002056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闇に飲まれるにゃ…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2ターン全ユニットに暗闇+_x000D_全体攻撃</v>
      </c>
      <c r="F57" s="47">
        <v>59002056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2"/>
        <v>59002010_59002057</v>
      </c>
      <c r="B58" s="109">
        <v>59002010</v>
      </c>
      <c r="C58" s="47">
        <v>59002057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お前も狂気に染まるにゃ…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2ターン全ユニットの攻撃力90%DOWN+_x000D_ボムパネルを吸収して全体攻撃</v>
      </c>
      <c r="F58" s="47">
        <v>59002057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2"/>
        <v>59002010_59002058</v>
      </c>
      <c r="B59" s="109">
        <v>59002010</v>
      </c>
      <c r="C59" s="47">
        <v>59002058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狂気の眼光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2ターン全ユニットにスキルバインド+_x000D_全体攻撃</v>
      </c>
      <c r="F59" s="47">
        <v>59002058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2"/>
        <v>59002010_59002059</v>
      </c>
      <c r="B60" s="109">
        <v>59002010</v>
      </c>
      <c r="C60" s="47">
        <v>59002059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ここに来るのは_x000D_まだ早かったようにゃ…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【！】次のターン超強力な連続攻撃【！】</v>
      </c>
      <c r="F60" s="47">
        <v>59002059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2"/>
        <v>59002010_59002060</v>
      </c>
      <c r="B61" s="109">
        <v>59002010</v>
      </c>
      <c r="C61" s="47">
        <v>59002060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出直して来るにゃ…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61" s="47">
        <v>59002060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2"/>
        <v>59002011_59002061</v>
      </c>
      <c r="B62" s="134">
        <v>59002011</v>
      </c>
      <c r="C62" s="47">
        <v>59002061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なかなかやるにゃ…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状態異常耐性+_x000D_緑属性に変更+黄パネル無効</v>
      </c>
      <c r="F62" s="47">
        <v>59002061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2"/>
        <v>59002011_59002062</v>
      </c>
      <c r="B63" s="134">
        <v>59002011</v>
      </c>
      <c r="C63" s="47">
        <v>59002062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輝きは苦手にゃ！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63" s="47">
        <v>59002062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138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2"/>
        <v>59002011_59002063</v>
      </c>
      <c r="B64" s="134">
        <v>59002011</v>
      </c>
      <c r="C64" s="47">
        <v>59002063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苦しくなってきたかにゃ…？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2ターン全ユニットの回復力90%DOWN+_x000D_バランスタイプのユニットに大ダメージの全体攻撃</v>
      </c>
      <c r="F64" s="47">
        <v>59002063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137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2"/>
        <v>59002011_59002064</v>
      </c>
      <c r="B65" s="134">
        <v>59002011</v>
      </c>
      <c r="C65" s="47">
        <v>59002064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マタタビは良いものにゃ…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65" s="47">
        <v>59002064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136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2"/>
        <v>59002011_59002065</v>
      </c>
      <c r="B66" s="134">
        <v>59002011</v>
      </c>
      <c r="C66" s="47">
        <v>59002065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闇に飲まれるにゃ…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2ターン全ユニットに暗闇+_x000D_ボムパネルを吸収して全体攻撃</v>
      </c>
      <c r="F66" s="47">
        <v>59002065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135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2"/>
        <v>59002011_59002066</v>
      </c>
      <c r="B67" s="134">
        <v>59002011</v>
      </c>
      <c r="C67" s="47">
        <v>59002066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これならどうにゃ…！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黄&amp;緑パネルを吸収して全体攻撃</v>
      </c>
      <c r="F67" s="47">
        <v>59002066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134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2"/>
        <v>59002011_59002067</v>
      </c>
      <c r="B68" s="134">
        <v>59002011</v>
      </c>
      <c r="C68" s="47">
        <v>59002067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溢れ出る漆黒のオーラ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2ターン全ユニットにスキルバインド+_x000D_全体攻撃</v>
      </c>
      <c r="F68" s="47">
        <v>59002067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133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2"/>
        <v>59002011_59002068</v>
      </c>
      <c r="B69" s="134">
        <v>59002011</v>
      </c>
      <c r="C69" s="47">
        <v>59002068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良くここまで頑張ったにゃ…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【！】次のターン超強力な連続攻撃【！】</v>
      </c>
      <c r="F69" s="47">
        <v>59002068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132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2"/>
        <v>59002011_59002069</v>
      </c>
      <c r="B70" s="134">
        <v>59002011</v>
      </c>
      <c r="C70" s="47">
        <v>59002069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これで終わりにゃ…！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70" s="47">
        <v>59002069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131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2"/>
        <v>59002012_59002070</v>
      </c>
      <c r="B71" s="136">
        <v>59002012</v>
      </c>
      <c r="C71" s="47">
        <v>59002070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真の姿に震えるにゃ…！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状態異常耐性+_x000D_赤属性に変更</v>
      </c>
      <c r="F71" s="47">
        <v>59002070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 t="str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2"/>
        <v>59002012_59002071</v>
      </c>
      <c r="B72" s="136">
        <v>59002012</v>
      </c>
      <c r="C72" s="47">
        <v>59002071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目潰しにゃ…！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2ターン全ユニットに暗闇</v>
      </c>
      <c r="F72" s="47">
        <v>59002071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162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2"/>
        <v>59002012_59002072</v>
      </c>
      <c r="B73" s="136">
        <v>59002012</v>
      </c>
      <c r="C73" s="47">
        <v>59002072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かみつきにゃ…！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73" s="47">
        <v>59002072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161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2"/>
        <v>59002012_59002073</v>
      </c>
      <c r="B74" s="136">
        <v>59002012</v>
      </c>
      <c r="C74" s="47">
        <v>59002073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かみつきにゃ…！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74" s="47">
        <v>59002073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2"/>
        <v>59002012_59002074</v>
      </c>
      <c r="B75" s="136">
        <v>59002012</v>
      </c>
      <c r="C75" s="47">
        <v>59002074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漆黒のオーラ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1ターン全ユニットにスキルバインド</v>
      </c>
      <c r="F75" s="47">
        <v>59002074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159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2"/>
        <v>59002012_59002075</v>
      </c>
      <c r="B76" s="136">
        <v>59002012</v>
      </c>
      <c r="C76" s="47">
        <v>59002075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ダブルかみつきにゃ！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黄&amp;緑パネルを吸収して全体攻撃</v>
      </c>
      <c r="F76" s="47">
        <v>59002075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158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2"/>
        <v>59002012_59002076</v>
      </c>
      <c r="B77" s="136">
        <v>59002012</v>
      </c>
      <c r="C77" s="47">
        <v>59002076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目潰しにゃ…！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2ターン全ユニットに暗闇</v>
      </c>
      <c r="F77" s="47">
        <v>59002076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157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2"/>
        <v>59002012_59002077</v>
      </c>
      <c r="B78" s="136">
        <v>59002012</v>
      </c>
      <c r="C78" s="47">
        <v>59002077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かみつきにゃ…！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78" s="47">
        <v>59002077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156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2"/>
        <v>59002012_59002078</v>
      </c>
      <c r="B79" s="136">
        <v>59002012</v>
      </c>
      <c r="C79" s="47">
        <v>59002078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かみつきにゃ…！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79" s="47">
        <v>59002078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155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2"/>
        <v>59002012_59002079</v>
      </c>
      <c r="B80" s="136">
        <v>59002012</v>
      </c>
      <c r="C80" s="47">
        <v>59002079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漆黒のオーラ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1ターン全ユニットにスキルバインド</v>
      </c>
      <c r="F80" s="47">
        <v>59002079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154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2"/>
        <v>59002012_59002080</v>
      </c>
      <c r="B81" s="136">
        <v>59002012</v>
      </c>
      <c r="C81" s="47">
        <v>59002080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ダブルかみつきにゃ！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黄&amp;緑パネルを吸収して全体攻撃</v>
      </c>
      <c r="F81" s="47">
        <v>59002080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153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2"/>
        <v>59002012_59002081</v>
      </c>
      <c r="B82" s="136">
        <v>59002012</v>
      </c>
      <c r="C82" s="47">
        <v>59002081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目潰しにゃ…！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1ターン全ユニットに暗闇</v>
      </c>
      <c r="F82" s="47">
        <v>59002081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151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2"/>
        <v>59002012_59002082</v>
      </c>
      <c r="B83" s="136">
        <v>59002012</v>
      </c>
      <c r="C83" s="47">
        <v>59002082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ダブルかみつきにゃ！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黄&amp;緑パネルを吸収して全体攻撃</v>
      </c>
      <c r="F83" s="47">
        <v>59002082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152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2"/>
        <v>59002012_59002083</v>
      </c>
      <c r="B84" s="136">
        <v>59002012</v>
      </c>
      <c r="C84" s="47">
        <v>59002083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まだ…まだ終わりじゃないにゃ！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緑属性に変更</v>
      </c>
      <c r="F84" s="47">
        <v>59002083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172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2"/>
        <v>59002012_59002084</v>
      </c>
      <c r="B85" s="136">
        <v>59002012</v>
      </c>
      <c r="C85" s="47">
        <v>59002084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ここまでやるとはにゃ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属性パネルを緑パネルに15個変換+_x000D_全体攻撃</v>
      </c>
      <c r="F85" s="47">
        <v>59002084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171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2"/>
        <v>59002012_59002085</v>
      </c>
      <c r="B86" s="136">
        <v>59002012</v>
      </c>
      <c r="C86" s="47">
        <v>59002085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人生どうなるか分からないものにゃ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属性パネルを青パネルに15個変換+_x000D_全体攻撃</v>
      </c>
      <c r="F86" s="47">
        <v>59002085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2"/>
        <v>59002012_59002086</v>
      </c>
      <c r="B87" s="136">
        <v>59002012</v>
      </c>
      <c r="C87" s="47">
        <v>59002086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目潰しにゃ…！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2ターン全ユニットに暗闇</v>
      </c>
      <c r="F87" s="47">
        <v>59002086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169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ref="A88:A94" si="3">B88&amp;"_"&amp;C88</f>
        <v>59002012_59002087</v>
      </c>
      <c r="B88" s="136">
        <v>59002012</v>
      </c>
      <c r="C88" s="47">
        <v>59002087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かみつきにゃ…！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88" s="47">
        <v>59002087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168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3"/>
        <v>59002012_59002088</v>
      </c>
      <c r="B89" s="136">
        <v>59002012</v>
      </c>
      <c r="C89" s="47">
        <v>59002088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かみつきにゃ…！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89" s="47">
        <v>59002088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167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3"/>
        <v>59002012_59002089</v>
      </c>
      <c r="B90" s="136">
        <v>59002012</v>
      </c>
      <c r="C90" s="47">
        <v>59002089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漆黒のオーラ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1ターン全ユニットにスキルバインド</v>
      </c>
      <c r="F90" s="47">
        <v>59002089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166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3"/>
        <v>59002012_59002090</v>
      </c>
      <c r="B91" s="136">
        <v>59002012</v>
      </c>
      <c r="C91" s="47">
        <v>59002090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連続かみつきにゃ！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黄&amp;緑パネルを吸収して全体攻撃</v>
      </c>
      <c r="F91" s="47">
        <v>59002090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165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3"/>
        <v>59002012_59002091</v>
      </c>
      <c r="B92" s="136">
        <v>59002012</v>
      </c>
      <c r="C92" s="47">
        <v>59002091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おやすみにゃ！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1ターン全ユニットに暗闇</v>
      </c>
      <c r="F92" s="47">
        <v>59002091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163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 t="str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2" s="48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3"/>
        <v>59002012_59002092</v>
      </c>
      <c r="B93" s="136">
        <v>59002012</v>
      </c>
      <c r="C93" s="47">
        <v>59002092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とどめにゃ！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黄&amp;緑パネルを吸収して全体攻撃</v>
      </c>
      <c r="F93" s="47">
        <v>59002092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164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 t="str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3"/>
        <v>59002012_59002093</v>
      </c>
      <c r="B94" s="136">
        <v>59002012</v>
      </c>
      <c r="C94" s="47">
        <v>59002093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この戦い…結構楽しかったにゃ！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【！】次のターン超強力な連続攻撃【！】</v>
      </c>
      <c r="F94" s="47">
        <v>59002093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174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ref="A95:A98" si="4">B95&amp;"_"&amp;C95</f>
        <v>59002012_59002094</v>
      </c>
      <c r="B95" s="136">
        <v>59002012</v>
      </c>
      <c r="C95" s="47">
        <v>59002094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また来ると良いにゃ！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95" s="47">
        <v>59002094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173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4"/>
        <v>59002012_59002095</v>
      </c>
      <c r="B96" s="136">
        <v>59002012</v>
      </c>
      <c r="C96" s="47">
        <v>59002095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6" s="47">
        <v>59002095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 t="str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4"/>
        <v>59002013_59002096</v>
      </c>
      <c r="B97" s="126">
        <v>59002013</v>
      </c>
      <c r="C97" s="47">
        <v>59002096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こちらを見ている！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97" s="47">
        <v>59002096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8" t="str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4"/>
        <v>59002013_59002097</v>
      </c>
      <c r="B98" s="126">
        <v>59002013</v>
      </c>
      <c r="C98" s="47">
        <v>59002097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右手を振り下ろした！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8" s="47">
        <v>59002097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8" s="47"/>
      <c r="Q98" s="47"/>
      <c r="R98" s="47"/>
    </row>
    <row r="99" spans="1:18" ht="21" customHeight="1" x14ac:dyDescent="0.15">
      <c r="A99" s="39" t="str">
        <f t="shared" ref="A99:A104" si="5">B99&amp;"_"&amp;C99</f>
        <v>59002013_59002098</v>
      </c>
      <c r="B99" s="126">
        <v>59002013</v>
      </c>
      <c r="C99" s="47">
        <v>59002098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鋭い眼光を感じる！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2ターンユニット単体にスキルバインド</v>
      </c>
      <c r="F99" s="47">
        <v>59002098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9" s="47"/>
      <c r="Q99" s="47"/>
      <c r="R99" s="47"/>
    </row>
    <row r="100" spans="1:18" ht="21" customHeight="1" x14ac:dyDescent="0.15">
      <c r="A100" s="39" t="str">
        <f t="shared" si="5"/>
        <v>59002013_59002099</v>
      </c>
      <c r="B100" s="126">
        <v>59002013</v>
      </c>
      <c r="C100" s="47">
        <v>59002099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左手を振り下ろした！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100" s="47">
        <v>59002099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0" s="47"/>
      <c r="Q100" s="47"/>
      <c r="R100" s="47"/>
    </row>
    <row r="101" spans="1:18" ht="21" customHeight="1" x14ac:dyDescent="0.15">
      <c r="A101" s="39" t="str">
        <f t="shared" si="5"/>
        <v>59002013_59002100</v>
      </c>
      <c r="B101" s="126">
        <v>59002013</v>
      </c>
      <c r="C101" s="47">
        <v>59002100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両手の爪が光っている！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【！】次のターン超強力な全体攻撃【！】</v>
      </c>
      <c r="F101" s="47">
        <v>59002100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204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5"/>
        <v>59002013_59002101</v>
      </c>
      <c r="B102" s="126">
        <v>59002013</v>
      </c>
      <c r="C102" s="47">
        <v>59002101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両手を振り下ろした！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2" s="47">
        <v>59002101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205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5"/>
        <v>59002014_59002102</v>
      </c>
      <c r="B103" s="177">
        <v>59002014</v>
      </c>
      <c r="C103" s="47">
        <v>59002102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砦は悠然と佇んでいる</v>
      </c>
      <c r="F103" s="47">
        <v>59002102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206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5"/>
        <v>59002014_59002103</v>
      </c>
      <c r="B104" s="177">
        <v>59002014</v>
      </c>
      <c r="C104" s="47">
        <v>59002103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砦からブラックマが出てきた！</v>
      </c>
      <c r="F104" s="47">
        <v>59002103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207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ref="A105" si="6">B105&amp;"_"&amp;C105</f>
        <v>59002005_59002104</v>
      </c>
      <c r="B105" s="176">
        <v>59002005</v>
      </c>
      <c r="C105" s="47">
        <v>59002104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あなたの黄金の弓で…_x000D_狂乱のネコを止めるというの？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5" s="47">
        <v>39012675</v>
      </c>
      <c r="G105" s="48" t="e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5" s="48" t="e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5" s="48" t="e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5" s="48" t="e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5" s="48" t="e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5" s="48" t="e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5" s="48" t="e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5" s="48" t="e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5" s="48" t="e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5" s="47"/>
      <c r="Q105" s="47"/>
      <c r="R105" s="47"/>
    </row>
    <row r="106" spans="1:18" ht="21" customHeight="1" x14ac:dyDescent="0.15">
      <c r="A106" s="39" t="str">
        <f t="shared" ref="A106:A120" si="7">B106&amp;"_"&amp;C106</f>
        <v>59002005_59002104</v>
      </c>
      <c r="B106" s="176">
        <v>59002005</v>
      </c>
      <c r="C106" s="47">
        <v>59002104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あなたの黄金の弓で…_x000D_狂乱のネコを止めるというの？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6" s="47">
        <v>39012676</v>
      </c>
      <c r="G106" s="48" t="e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6" s="48" t="e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6" s="48" t="e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6" s="48" t="e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6" s="48" t="e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6" s="48" t="e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6" s="48" t="e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6" s="48" t="e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6" s="48" t="e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6" s="47"/>
      <c r="Q106" s="47"/>
      <c r="R106" s="47"/>
    </row>
    <row r="107" spans="1:18" ht="21" customHeight="1" x14ac:dyDescent="0.15">
      <c r="A107" s="39" t="str">
        <f t="shared" si="7"/>
        <v>59002005_59002105</v>
      </c>
      <c r="B107" s="176">
        <v>59002005</v>
      </c>
      <c r="C107" s="47">
        <v>59002105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そのヒーローの力で…_x000D_狂乱のネコを止めるというの？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7" s="47">
        <v>39012677</v>
      </c>
      <c r="G107" s="48" t="e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7" s="48" t="e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7" s="48" t="e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7" s="48" t="e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7" s="48" t="e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7" s="48" t="e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7" s="48" t="e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7" s="48" t="e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7" s="48" t="e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7" s="47"/>
      <c r="Q107" s="47"/>
      <c r="R107" s="47"/>
    </row>
    <row r="108" spans="1:18" ht="21" customHeight="1" x14ac:dyDescent="0.15">
      <c r="A108" s="39" t="str">
        <f t="shared" si="7"/>
        <v>59002005_59002105</v>
      </c>
      <c r="B108" s="176">
        <v>59002005</v>
      </c>
      <c r="C108" s="47">
        <v>59002105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そのヒーローの力で…_x000D_狂乱のネコを止めるというの？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8" s="47">
        <v>39012678</v>
      </c>
      <c r="G108" s="48" t="e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8" s="48" t="e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8" s="48" t="e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8" s="48" t="e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8" s="48" t="e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8" s="48" t="e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8" s="48" t="e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8" s="48" t="e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8" s="48" t="e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8" s="47"/>
      <c r="Q108" s="47"/>
      <c r="R108" s="47"/>
    </row>
    <row r="109" spans="1:18" ht="21" customHeight="1" x14ac:dyDescent="0.15">
      <c r="A109" s="39" t="str">
        <f t="shared" si="7"/>
        <v>59002005_59002106</v>
      </c>
      <c r="B109" s="176">
        <v>59002005</v>
      </c>
      <c r="C109" s="47">
        <v>59002106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その癒しの力で…_x000D_狂乱のネコを止めるというの？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9" s="47">
        <v>39012679</v>
      </c>
      <c r="G109" s="48" t="e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9" s="48" t="e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9" s="48" t="e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9" s="48" t="e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9" s="48" t="e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9" s="48" t="e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9" s="48" t="e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9" s="48" t="e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9" s="48" t="e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9" s="47"/>
      <c r="Q109" s="47"/>
      <c r="R109" s="47"/>
    </row>
    <row r="110" spans="1:18" ht="21" customHeight="1" x14ac:dyDescent="0.15">
      <c r="A110" s="39" t="str">
        <f t="shared" si="7"/>
        <v>59002005_59002106</v>
      </c>
      <c r="B110" s="176">
        <v>59002005</v>
      </c>
      <c r="C110" s="47">
        <v>59002106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その癒しの力で…_x000D_狂乱のネコを止めるというの？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0" s="47">
        <v>39012680</v>
      </c>
      <c r="G110" s="48" t="e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0" s="48" t="e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0" s="48" t="e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0" s="48" t="e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0" s="48" t="e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0" s="48" t="e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0" s="48" t="e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0" s="48" t="e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0" s="48" t="e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0" s="47"/>
      <c r="Q110" s="47"/>
      <c r="R110" s="47"/>
    </row>
    <row r="111" spans="1:18" ht="21" customHeight="1" x14ac:dyDescent="0.15">
      <c r="A111" s="39" t="str">
        <f t="shared" si="7"/>
        <v>59002005_59002107</v>
      </c>
      <c r="B111" s="176">
        <v>59002005</v>
      </c>
      <c r="C111" s="47">
        <v>59002107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まさか超古代兵器の力で…_x000D_狂乱のネコを止めるというの？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1" s="47">
        <v>39012681</v>
      </c>
      <c r="G111" s="48" t="e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1" s="48" t="e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1" s="48" t="e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1" s="48" t="e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1" s="48" t="e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1" s="48" t="e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1" s="48" t="e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1" s="48" t="e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1" s="48" t="e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1" s="47"/>
      <c r="Q111" s="47"/>
      <c r="R111" s="47"/>
    </row>
    <row r="112" spans="1:18" ht="21" customHeight="1" x14ac:dyDescent="0.15">
      <c r="A112" s="39" t="str">
        <f t="shared" si="7"/>
        <v>59002005_59002107</v>
      </c>
      <c r="B112" s="176">
        <v>59002005</v>
      </c>
      <c r="C112" s="47">
        <v>59002107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まさか超古代兵器の力で…_x000D_狂乱のネコを止めるというの？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2" s="47">
        <v>39012682</v>
      </c>
      <c r="G112" s="48" t="e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2" s="48" t="e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2" s="48" t="e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2" s="48" t="e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2" s="48" t="e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2" s="48" t="e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2" s="48" t="e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2" s="48" t="e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2" s="48" t="e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2" s="47"/>
      <c r="Q112" s="47"/>
      <c r="R112" s="47"/>
    </row>
    <row r="113" spans="1:18" ht="21" customHeight="1" x14ac:dyDescent="0.15">
      <c r="A113" s="39" t="str">
        <f t="shared" si="7"/>
        <v>59002005_59002108</v>
      </c>
      <c r="B113" s="176">
        <v>59002005</v>
      </c>
      <c r="C113" s="47">
        <v>59002108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圧倒的な雷神の力で…_x000D_狂乱のネコを止めるというの？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3" s="47">
        <v>39012683</v>
      </c>
      <c r="G113" s="48" t="e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3" s="48" t="e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3" s="48" t="e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3" s="48" t="e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3" s="48" t="e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3" s="48" t="e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3" s="48" t="e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3" s="48" t="e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3" s="48" t="e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3" s="47"/>
      <c r="Q113" s="47"/>
      <c r="R113" s="47"/>
    </row>
    <row r="114" spans="1:18" ht="21" customHeight="1" x14ac:dyDescent="0.15">
      <c r="A114" s="39" t="str">
        <f t="shared" si="7"/>
        <v>59002005_59002108</v>
      </c>
      <c r="B114" s="176">
        <v>59002005</v>
      </c>
      <c r="C114" s="47">
        <v>59002108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圧倒的な雷神の力で…_x000D_狂乱のネコを止めるというの？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4" s="47">
        <v>39012684</v>
      </c>
      <c r="G114" s="48" t="e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4" s="48" t="e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4" s="48" t="e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4" s="48" t="e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4" s="48" t="e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4" s="48" t="e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4" s="48" t="e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4" s="48" t="e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4" s="48" t="e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4" s="47"/>
      <c r="Q114" s="47"/>
      <c r="R114" s="47"/>
    </row>
    <row r="115" spans="1:18" ht="21" customHeight="1" x14ac:dyDescent="0.15">
      <c r="A115" s="39" t="str">
        <f t="shared" si="7"/>
        <v>59002005_59002109</v>
      </c>
      <c r="B115" s="176">
        <v>59002005</v>
      </c>
      <c r="C115" s="47">
        <v>59002109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その力で…狂乱のネコを止めるというの？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5" s="47">
        <v>39012685</v>
      </c>
      <c r="G115" s="48" t="e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5" s="48" t="e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5" s="48" t="e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5" s="48" t="e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5" s="48" t="e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5" s="48" t="e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5" s="48" t="e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5" s="48" t="e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5" s="48" t="e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5" s="47"/>
      <c r="Q115" s="47"/>
      <c r="R115" s="47"/>
    </row>
    <row r="116" spans="1:18" ht="21" customHeight="1" x14ac:dyDescent="0.15">
      <c r="A116" s="39" t="str">
        <f t="shared" si="7"/>
        <v>59002005_59002109</v>
      </c>
      <c r="B116" s="176">
        <v>59002005</v>
      </c>
      <c r="C116" s="47">
        <v>59002109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その力で…狂乱のネコを止めるというの？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6" s="47">
        <v>39012686</v>
      </c>
      <c r="G116" s="48" t="e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6" s="48" t="e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6" s="48" t="e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6" s="48" t="e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6" s="48" t="e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6" s="48" t="e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6" s="48" t="e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6" s="48" t="e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6" s="48" t="e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6" s="47"/>
      <c r="Q116" s="47"/>
      <c r="R116" s="47"/>
    </row>
    <row r="117" spans="1:18" ht="21" customHeight="1" x14ac:dyDescent="0.15">
      <c r="A117" s="39" t="str">
        <f t="shared" si="7"/>
        <v>59002005_59002110</v>
      </c>
      <c r="B117" s="176">
        <v>59002005</v>
      </c>
      <c r="C117" s="47">
        <v>59002110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まさか…狂乱のネコを止めるというの？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7" s="47">
        <v>39012687</v>
      </c>
      <c r="G117" s="48" t="e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7" s="48" t="e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7" s="48" t="e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7" s="48" t="e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7" s="48" t="e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7" s="48" t="e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7" s="48" t="e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7" s="48" t="e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7" s="48" t="e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7" s="47"/>
      <c r="Q117" s="47"/>
      <c r="R117" s="47"/>
    </row>
    <row r="118" spans="1:18" ht="21" customHeight="1" x14ac:dyDescent="0.15">
      <c r="A118" s="39" t="str">
        <f t="shared" si="7"/>
        <v>59002005_59002110</v>
      </c>
      <c r="B118" s="176">
        <v>59002005</v>
      </c>
      <c r="C118" s="47">
        <v>59002110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まさか…狂乱のネコを止めるというの？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8" s="47">
        <v>39012688</v>
      </c>
      <c r="G118" s="48" t="e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8" s="48" t="e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8" s="48" t="e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8" s="48" t="e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8" s="48" t="e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8" s="48" t="e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8" s="48" t="e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8" s="48" t="e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8" s="48" t="e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8" s="47"/>
      <c r="Q118" s="47"/>
      <c r="R118" s="47"/>
    </row>
    <row r="119" spans="1:18" ht="21" customHeight="1" x14ac:dyDescent="0.15">
      <c r="A119" s="39" t="str">
        <f t="shared" ref="A119" si="8">B119&amp;"_"&amp;C119</f>
        <v>59002005_59002110</v>
      </c>
      <c r="B119" s="176">
        <v>59002005</v>
      </c>
      <c r="C119" s="47">
        <v>59002110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まさか…狂乱のネコを止めるというの？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9" s="47">
        <v>39012689</v>
      </c>
      <c r="G119" s="48" t="e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9" s="48" t="e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9" s="48" t="e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9" s="48" t="e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9" s="48" t="e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9" s="48" t="e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9" s="48" t="e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9" s="48" t="e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9" s="48" t="e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9" s="47"/>
      <c r="Q119" s="47"/>
      <c r="R119" s="47"/>
    </row>
    <row r="120" spans="1:18" ht="21" customHeight="1" x14ac:dyDescent="0.15">
      <c r="A120" s="39" t="str">
        <f t="shared" si="7"/>
        <v>59002008_59002111</v>
      </c>
      <c r="B120" s="117">
        <v>59002008</v>
      </c>
      <c r="C120" s="47">
        <v>59002111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危険な力を感知した…美の女神よ_x000D_お前の力を試してやろう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0" s="47">
        <v>39012630</v>
      </c>
      <c r="G120" s="48" t="e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0" s="48" t="e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0" s="48" t="e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0" s="48" t="e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0" s="48" t="e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0" s="48" t="e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0" s="48" t="e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0" s="48" t="e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0" s="48" t="e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0" s="47"/>
      <c r="Q120" s="47"/>
      <c r="R120" s="47"/>
    </row>
    <row r="121" spans="1:18" ht="21" customHeight="1" x14ac:dyDescent="0.15">
      <c r="A121" s="39" t="str">
        <f t="shared" ref="A121" si="9">B121&amp;"_"&amp;C121</f>
        <v>59002008_59002111</v>
      </c>
      <c r="B121" s="117">
        <v>59002008</v>
      </c>
      <c r="C121" s="47">
        <v>59002111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危険な力を感知した…美の女神よ_x000D_お前の力を試してやろう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1" s="47">
        <v>39012631</v>
      </c>
      <c r="G121" s="48" t="e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1" s="48" t="e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1" s="48" t="e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1" s="48" t="e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1" s="48" t="e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1" s="48" t="e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1" s="48" t="e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1" s="48" t="e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1" s="48" t="e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1" s="47"/>
      <c r="Q121" s="47"/>
      <c r="R121" s="47"/>
    </row>
    <row r="122" spans="1:18" ht="21" customHeight="1" x14ac:dyDescent="0.15">
      <c r="A122" s="39" t="str">
        <f t="shared" ref="A122" si="10">B122&amp;"_"&amp;C122</f>
        <v>59002008_59002112</v>
      </c>
      <c r="B122" s="117">
        <v>59002008</v>
      </c>
      <c r="C122" s="47">
        <v>59002112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危険な力を感知した…闇の住人よ_x000D_お前の力を試してやろう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2" s="47">
        <v>39012632</v>
      </c>
      <c r="G122" s="48" t="e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2" s="48" t="e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2" s="48" t="e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2" s="48" t="e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2" s="48" t="e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2" s="48" t="e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2" s="48" t="e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2" s="48" t="e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2" s="48" t="e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2" s="47"/>
      <c r="Q122" s="47"/>
      <c r="R122" s="47"/>
    </row>
    <row r="123" spans="1:18" ht="21" customHeight="1" x14ac:dyDescent="0.15">
      <c r="A123" s="39" t="str">
        <f t="shared" ref="A123:A134" si="11">B123&amp;"_"&amp;C123</f>
        <v>59002008_59002112</v>
      </c>
      <c r="B123" s="117">
        <v>59002008</v>
      </c>
      <c r="C123" s="47">
        <v>59002112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危険な力を感知した…闇の住人よ_x000D_お前の力を試してやろう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3" s="47">
        <v>39012633</v>
      </c>
      <c r="G123" s="48" t="e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3" s="48" t="e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3" s="48" t="e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3" s="48" t="e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3" s="48" t="e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3" s="48" t="e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3" s="48" t="e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3" s="48" t="e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3" s="48" t="e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3" s="47"/>
      <c r="Q123" s="47"/>
      <c r="R123" s="47"/>
    </row>
    <row r="124" spans="1:18" ht="21" customHeight="1" x14ac:dyDescent="0.15">
      <c r="A124" s="39" t="str">
        <f t="shared" si="11"/>
        <v>59002008_59002113</v>
      </c>
      <c r="B124" s="117">
        <v>59002008</v>
      </c>
      <c r="C124" s="47">
        <v>59002113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危険な力を感知した…癒しの使者よ_x000D_お前の力を試してやろう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4" s="47">
        <v>39012634</v>
      </c>
      <c r="G124" s="48" t="e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4" s="48" t="e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4" s="48" t="e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4" s="48" t="e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4" s="48" t="e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4" s="48" t="e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4" s="48" t="e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4" s="48" t="e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4" s="48" t="e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4" s="47"/>
      <c r="Q124" s="47"/>
      <c r="R124" s="47"/>
    </row>
    <row r="125" spans="1:18" ht="21" customHeight="1" x14ac:dyDescent="0.15">
      <c r="A125" s="39" t="str">
        <f t="shared" si="11"/>
        <v>59002008_59002113</v>
      </c>
      <c r="B125" s="117">
        <v>59002008</v>
      </c>
      <c r="C125" s="47">
        <v>59002113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危険な力を感知した…癒しの使者よ_x000D_お前の力を試してやろう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5" s="47">
        <v>39012635</v>
      </c>
      <c r="G125" s="48" t="e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5" s="48" t="e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5" s="48" t="e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5" s="48" t="e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5" s="48" t="e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5" s="48" t="e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5" s="48" t="e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5" s="48" t="e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5" s="48" t="e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5" s="47"/>
      <c r="Q125" s="47"/>
      <c r="R125" s="47"/>
    </row>
    <row r="126" spans="1:18" ht="21" customHeight="1" x14ac:dyDescent="0.15">
      <c r="A126" s="39" t="str">
        <f t="shared" si="11"/>
        <v>59002008_59002114</v>
      </c>
      <c r="B126" s="117">
        <v>59002008</v>
      </c>
      <c r="C126" s="47">
        <v>59002114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危険な力を感知した…我と同等の者よ_x000D_お前の力を試してやろう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6" s="47">
        <v>39012636</v>
      </c>
      <c r="G126" s="48" t="e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6" s="48" t="e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6" s="48" t="e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6" s="48" t="e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6" s="48" t="e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6" s="48" t="e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6" s="48" t="e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6" s="48" t="e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6" s="48" t="e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6" s="47"/>
      <c r="Q126" s="47"/>
      <c r="R126" s="47"/>
    </row>
    <row r="127" spans="1:18" ht="21" customHeight="1" x14ac:dyDescent="0.15">
      <c r="A127" s="39" t="str">
        <f t="shared" si="11"/>
        <v>59002008_59002114</v>
      </c>
      <c r="B127" s="117">
        <v>59002008</v>
      </c>
      <c r="C127" s="47">
        <v>59002114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危険な力を感知した…我と同等の者よ_x000D_お前の力を試してやろう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7" s="47">
        <v>39012637</v>
      </c>
      <c r="G127" s="48" t="e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7" s="48" t="e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7" s="48" t="e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7" s="48" t="e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7" s="48" t="e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7" s="48" t="e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7" s="48" t="e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7" s="48" t="e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7" s="48" t="e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7" s="47"/>
      <c r="Q127" s="47"/>
      <c r="R127" s="47"/>
    </row>
    <row r="128" spans="1:18" ht="21" customHeight="1" x14ac:dyDescent="0.15">
      <c r="A128" s="39" t="str">
        <f t="shared" si="11"/>
        <v>59002008_59002115</v>
      </c>
      <c r="B128" s="117">
        <v>59002008</v>
      </c>
      <c r="C128" s="47">
        <v>59002115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危険な力を感知した…雷神の使者よ_x000D_お前の力を試してやろう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8" s="47">
        <v>39012638</v>
      </c>
      <c r="G128" s="48" t="e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8" s="48" t="e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8" s="48" t="e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8" s="48" t="e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8" s="48" t="e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8" s="48" t="e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8" s="48" t="e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8" s="48" t="e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8" s="48" t="e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8" s="47"/>
      <c r="Q128" s="47"/>
      <c r="R128" s="47"/>
    </row>
    <row r="129" spans="1:18" ht="21" customHeight="1" x14ac:dyDescent="0.15">
      <c r="A129" s="39" t="str">
        <f t="shared" si="11"/>
        <v>59002008_59002115</v>
      </c>
      <c r="B129" s="117">
        <v>59002008</v>
      </c>
      <c r="C129" s="47">
        <v>59002115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危険な力を感知した…雷神の使者よ_x000D_お前の力を試してやろう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29" s="47">
        <v>39012639</v>
      </c>
      <c r="G129" s="48" t="e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9" s="48" t="e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9" s="48" t="e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9" s="48" t="e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9" s="48" t="e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9" s="48" t="e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9" s="48" t="e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9" s="48" t="e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9" s="48" t="e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9" s="47"/>
      <c r="Q129" s="47"/>
      <c r="R129" s="47"/>
    </row>
    <row r="130" spans="1:18" ht="21" customHeight="1" x14ac:dyDescent="0.15">
      <c r="A130" s="39" t="str">
        <f t="shared" si="11"/>
        <v>59002008_59002116</v>
      </c>
      <c r="B130" s="117">
        <v>59002008</v>
      </c>
      <c r="C130" s="47">
        <v>59002116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危険な力を感知した…美の探求者よ_x000D_お前の力を試してやろう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30" s="47">
        <v>39012640</v>
      </c>
      <c r="G130" s="48" t="e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0" s="48" t="e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0" s="48" t="e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0" s="48" t="e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0" s="48" t="e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0" s="48" t="e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0" s="48" t="e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0" s="48" t="e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0" s="48" t="e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0" s="47"/>
      <c r="Q130" s="47"/>
      <c r="R130" s="47"/>
    </row>
    <row r="131" spans="1:18" ht="21" customHeight="1" x14ac:dyDescent="0.15">
      <c r="A131" s="39" t="str">
        <f t="shared" si="11"/>
        <v>59002008_59002116</v>
      </c>
      <c r="B131" s="117">
        <v>59002008</v>
      </c>
      <c r="C131" s="47">
        <v>59002116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危険な力を感知した…美の探求者よ_x000D_お前の力を試してやろう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31" s="47">
        <v>39012641</v>
      </c>
      <c r="G131" s="48" t="e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1" s="48" t="e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1" s="48" t="e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1" s="48" t="e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1" s="48" t="e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1" s="48" t="e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1" s="48" t="e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1" s="48" t="e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1" s="48" t="e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1" s="47"/>
      <c r="Q131" s="47"/>
      <c r="R131" s="47"/>
    </row>
    <row r="132" spans="1:18" ht="21" customHeight="1" x14ac:dyDescent="0.15">
      <c r="A132" s="39" t="str">
        <f t="shared" si="11"/>
        <v>59002008_59002117</v>
      </c>
      <c r="B132" s="117">
        <v>59002008</v>
      </c>
      <c r="C132" s="47">
        <v>59002117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危険な力を感知した…神槍の使い手よ_x000D_お前の力を試してやろう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32" s="47">
        <v>39012642</v>
      </c>
      <c r="G132" s="48" t="e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2" s="48" t="e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2" s="48" t="e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2" s="48" t="e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2" s="48" t="e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2" s="48" t="e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2" s="48" t="e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2" s="48" t="e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2" s="48" t="e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2" s="47"/>
      <c r="Q132" s="47"/>
      <c r="R132" s="47"/>
    </row>
    <row r="133" spans="1:18" ht="21" customHeight="1" x14ac:dyDescent="0.15">
      <c r="A133" s="39" t="str">
        <f t="shared" si="11"/>
        <v>59002008_59002117</v>
      </c>
      <c r="B133" s="117">
        <v>59002008</v>
      </c>
      <c r="C133" s="47">
        <v>59002117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危険な力を感知した…神槍の使い手よ_x000D_お前の力を試してやろう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33" s="47">
        <v>39012643</v>
      </c>
      <c r="G133" s="48" t="e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3" s="48" t="e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3" s="48" t="e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3" s="48" t="e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3" s="48" t="e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3" s="48" t="e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3" s="48" t="e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3" s="48" t="e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3" s="48" t="e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3" s="47"/>
      <c r="Q133" s="47"/>
      <c r="R133" s="47"/>
    </row>
    <row r="134" spans="1:18" ht="21" customHeight="1" x14ac:dyDescent="0.15">
      <c r="A134" s="39" t="str">
        <f t="shared" si="11"/>
        <v>59002008_59002117</v>
      </c>
      <c r="B134" s="117">
        <v>59002008</v>
      </c>
      <c r="C134" s="47">
        <v>59002117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危険な力を感知した…神槍の使い手よ_x000D_お前の力を試してやろう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状態異常耐性+_x000D_確率で赤パネルを青パネルに変換してドロップ</v>
      </c>
      <c r="F134" s="47">
        <v>39012644</v>
      </c>
      <c r="G134" s="48" t="e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4" s="48" t="e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4" s="48" t="e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4" s="48" t="e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4" s="48" t="e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4" s="48" t="e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4" s="48" t="e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4" s="48" t="e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4" s="48" t="e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4" s="47"/>
      <c r="Q134" s="47"/>
      <c r="R134" s="47"/>
    </row>
    <row r="135" spans="1:18" ht="21" customHeight="1" x14ac:dyDescent="0.15">
      <c r="A135" s="39" t="str">
        <f t="shared" ref="A135" si="12">B135&amp;"_"&amp;C135</f>
        <v>59002010_59002118</v>
      </c>
      <c r="B135" s="109">
        <v>59002010</v>
      </c>
      <c r="C135" s="47">
        <v>59002118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美女神だと…_x000D_その美貌も狂気に飲みこんでやるにゃ…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35" s="47">
        <v>39012630</v>
      </c>
      <c r="G135" s="48" t="e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5" s="48" t="e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5" s="48" t="e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5" s="48" t="e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5" s="48" t="e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5" s="48" t="e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5" s="48" t="e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5" s="48" t="e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5" s="48" t="e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5" s="47"/>
      <c r="Q135" s="47"/>
      <c r="R135" s="47"/>
    </row>
    <row r="136" spans="1:18" ht="21" customHeight="1" x14ac:dyDescent="0.15">
      <c r="A136" s="39" t="str">
        <f t="shared" ref="A136:A149" si="13">B136&amp;"_"&amp;C136</f>
        <v>59002010_59002118</v>
      </c>
      <c r="B136" s="109">
        <v>59002010</v>
      </c>
      <c r="C136" s="47">
        <v>59002118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美女神だと…_x000D_その美貌も狂気に飲みこんでやるにゃ…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36" s="47">
        <v>39012631</v>
      </c>
      <c r="G136" s="48" t="e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6" s="48" t="e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6" s="48" t="e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6" s="48" t="e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6" s="48" t="e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6" s="48" t="e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6" s="48" t="e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6" s="48" t="e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6" s="48" t="e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6" s="47"/>
      <c r="Q136" s="47"/>
      <c r="R136" s="47"/>
    </row>
    <row r="137" spans="1:18" ht="21" customHeight="1" x14ac:dyDescent="0.15">
      <c r="A137" s="39" t="str">
        <f t="shared" si="13"/>
        <v>59002010_59002119</v>
      </c>
      <c r="B137" s="109">
        <v>59002010</v>
      </c>
      <c r="C137" s="47">
        <v>59002119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闇に生きる怪人め…_x000D_お前も狂気に飲みこんでやるにゃ…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37" s="47">
        <v>39012632</v>
      </c>
      <c r="G137" s="48" t="e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7" s="48" t="e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7" s="48" t="e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7" s="48" t="e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7" s="48" t="e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7" s="48" t="e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7" s="48" t="e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7" s="48" t="e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7" s="48" t="e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7" s="47"/>
      <c r="Q137" s="47"/>
      <c r="R137" s="47"/>
    </row>
    <row r="138" spans="1:18" ht="21" customHeight="1" x14ac:dyDescent="0.15">
      <c r="A138" s="39" t="str">
        <f t="shared" si="13"/>
        <v>59002010_59002119</v>
      </c>
      <c r="B138" s="109">
        <v>59002010</v>
      </c>
      <c r="C138" s="47">
        <v>59002119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闇に生きる怪人め…_x000D_お前も狂気に飲みこんでやるにゃ…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38" s="47">
        <v>39012633</v>
      </c>
      <c r="G138" s="48" t="e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8" s="48" t="e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8" s="48" t="e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8" s="48" t="e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8" s="48" t="e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8" s="48" t="e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8" s="48" t="e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8" s="48" t="e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8" s="48" t="e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8" s="47"/>
      <c r="Q138" s="47"/>
      <c r="R138" s="47"/>
    </row>
    <row r="139" spans="1:18" ht="21" customHeight="1" x14ac:dyDescent="0.15">
      <c r="A139" s="39" t="str">
        <f t="shared" si="13"/>
        <v>59002010_59002120</v>
      </c>
      <c r="B139" s="109">
        <v>59002010</v>
      </c>
      <c r="C139" s="47">
        <v>59002120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萌え萌えナースめ…_x000D_お前も狂気に飲まれるにゃ…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39" s="47">
        <v>39012634</v>
      </c>
      <c r="G139" s="48" t="e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9" s="48" t="e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9" s="48" t="e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9" s="48" t="e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9" s="48" t="e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9" s="48" t="e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9" s="48" t="e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9" s="48" t="e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9" s="48" t="e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9" s="47"/>
      <c r="Q139" s="47"/>
      <c r="R139" s="47"/>
    </row>
    <row r="140" spans="1:18" ht="21" customHeight="1" x14ac:dyDescent="0.15">
      <c r="A140" s="39" t="str">
        <f t="shared" si="13"/>
        <v>59002010_59002120</v>
      </c>
      <c r="B140" s="109">
        <v>59002010</v>
      </c>
      <c r="C140" s="47">
        <v>59002120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萌え萌えナースめ…_x000D_お前も狂気に飲まれるにゃ…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0" s="47">
        <v>39012635</v>
      </c>
      <c r="G140" s="48" t="e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0" s="48" t="e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0" s="48" t="e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0" s="48" t="e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0" s="48" t="e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0" s="48" t="e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0" s="48" t="e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0" s="48" t="e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0" s="48" t="e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0" s="47"/>
      <c r="Q140" s="47"/>
      <c r="R140" s="47"/>
    </row>
    <row r="141" spans="1:18" ht="21" customHeight="1" x14ac:dyDescent="0.15">
      <c r="A141" s="39" t="str">
        <f t="shared" si="13"/>
        <v>59002010_59002121</v>
      </c>
      <c r="B141" s="109">
        <v>59002010</v>
      </c>
      <c r="C141" s="47">
        <v>59002121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きぐるみごときが…_x000D_お前も狂気に飲まれるにゃ…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1" s="47">
        <v>39012636</v>
      </c>
      <c r="G141" s="48" t="e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1" s="48" t="e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1" s="48" t="e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1" s="48" t="e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1" s="48" t="e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1" s="48" t="e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1" s="48" t="e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1" s="48" t="e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1" s="48" t="e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1" s="47"/>
      <c r="Q141" s="47"/>
      <c r="R141" s="47"/>
    </row>
    <row r="142" spans="1:18" ht="21" customHeight="1" x14ac:dyDescent="0.15">
      <c r="A142" s="39" t="str">
        <f t="shared" si="13"/>
        <v>59002010_59002121</v>
      </c>
      <c r="B142" s="109">
        <v>59002010</v>
      </c>
      <c r="C142" s="47">
        <v>59002121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きぐるみごときが…_x000D_お前も狂気に飲まれるにゃ…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2" s="47">
        <v>39012637</v>
      </c>
      <c r="G142" s="48" t="e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2" s="48" t="e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2" s="48" t="e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2" s="48" t="e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2" s="48" t="e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2" s="48" t="e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2" s="48" t="e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2" s="48" t="e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2" s="48" t="e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2" s="47"/>
      <c r="Q142" s="47"/>
      <c r="R142" s="47"/>
    </row>
    <row r="143" spans="1:18" ht="21" customHeight="1" x14ac:dyDescent="0.15">
      <c r="A143" s="39" t="str">
        <f t="shared" si="13"/>
        <v>59002010_59002122</v>
      </c>
      <c r="B143" s="109">
        <v>59002010</v>
      </c>
      <c r="C143" s="47">
        <v>59002122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雷神の乙女よ…_x000D_お前も狂気に飲まれるにゃ…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3" s="47">
        <v>39012638</v>
      </c>
      <c r="G143" s="48" t="e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3" s="48" t="e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3" s="48" t="e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3" s="48" t="e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3" s="48" t="e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3" s="48" t="e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3" s="48" t="e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3" s="48" t="e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3" s="48" t="e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3" s="47"/>
      <c r="Q143" s="47"/>
      <c r="R143" s="47"/>
    </row>
    <row r="144" spans="1:18" ht="21" customHeight="1" x14ac:dyDescent="0.15">
      <c r="A144" s="39" t="str">
        <f t="shared" si="13"/>
        <v>59002010_59002122</v>
      </c>
      <c r="B144" s="109">
        <v>59002010</v>
      </c>
      <c r="C144" s="47">
        <v>59002122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雷神の乙女よ…_x000D_お前も狂気に飲まれるにゃ…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4" s="47">
        <v>39012639</v>
      </c>
      <c r="G144" s="48" t="e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4" s="48" t="e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4" s="48" t="e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4" s="48" t="e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4" s="48" t="e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4" s="48" t="e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4" s="48" t="e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4" s="48" t="e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4" s="48" t="e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4" s="47"/>
      <c r="Q144" s="47"/>
      <c r="R144" s="47"/>
    </row>
    <row r="145" spans="1:18" ht="21" customHeight="1" x14ac:dyDescent="0.15">
      <c r="A145" s="39" t="str">
        <f t="shared" si="13"/>
        <v>59002010_59002123</v>
      </c>
      <c r="B145" s="109">
        <v>59002010</v>
      </c>
      <c r="C145" s="47">
        <v>59002123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その見た目、お前自身が狂気にゃ…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5" s="47">
        <v>39012640</v>
      </c>
      <c r="G145" s="48" t="e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5" s="48" t="e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5" s="48" t="e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5" s="48" t="e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5" s="48" t="e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5" s="48" t="e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5" s="48" t="e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5" s="48" t="e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5" s="48" t="e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5" s="47"/>
      <c r="Q145" s="47"/>
      <c r="R145" s="47"/>
    </row>
    <row r="146" spans="1:18" ht="21" customHeight="1" x14ac:dyDescent="0.15">
      <c r="A146" s="39" t="str">
        <f t="shared" si="13"/>
        <v>59002010_59002123</v>
      </c>
      <c r="B146" s="109">
        <v>59002010</v>
      </c>
      <c r="C146" s="47">
        <v>59002123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その見た目、お前自身が狂気にゃ…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6" s="47">
        <v>39012641</v>
      </c>
      <c r="G146" s="48" t="e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6" s="48" t="e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6" s="48" t="e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6" s="48" t="e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6" s="48" t="e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6" s="48" t="e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6" s="48" t="e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6" s="48" t="e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6" s="48" t="e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6" s="47"/>
      <c r="Q146" s="47"/>
      <c r="R146" s="47"/>
    </row>
    <row r="147" spans="1:18" ht="21" customHeight="1" x14ac:dyDescent="0.15">
      <c r="A147" s="39" t="str">
        <f t="shared" si="13"/>
        <v>59002010_59002124</v>
      </c>
      <c r="B147" s="109">
        <v>59002010</v>
      </c>
      <c r="C147" s="47">
        <v>59002124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戦女神め…お前も狂気に飲まれるにゃ…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7" s="47">
        <v>39012642</v>
      </c>
      <c r="G147" s="48" t="e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7" s="48" t="e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7" s="48" t="e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7" s="48" t="e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7" s="48" t="e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7" s="48" t="e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7" s="48" t="e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7" s="48" t="e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7" s="48" t="e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7" s="47"/>
      <c r="Q147" s="47"/>
      <c r="R147" s="47"/>
    </row>
    <row r="148" spans="1:18" ht="21" customHeight="1" x14ac:dyDescent="0.15">
      <c r="A148" s="39" t="str">
        <f t="shared" si="13"/>
        <v>59002010_59002124</v>
      </c>
      <c r="B148" s="109">
        <v>59002010</v>
      </c>
      <c r="C148" s="47">
        <v>59002124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戦女神め…お前も狂気に飲まれるにゃ…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8" s="47">
        <v>39012643</v>
      </c>
      <c r="G148" s="48" t="e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8" s="48" t="e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8" s="48" t="e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8" s="48" t="e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8" s="48" t="e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8" s="48" t="e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8" s="48" t="e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8" s="48" t="e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8" s="48" t="e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8" s="47"/>
      <c r="Q148" s="47"/>
      <c r="R148" s="47"/>
    </row>
    <row r="149" spans="1:18" ht="21" customHeight="1" x14ac:dyDescent="0.15">
      <c r="A149" s="39" t="str">
        <f t="shared" si="13"/>
        <v>59002010_59002124</v>
      </c>
      <c r="B149" s="109">
        <v>59002010</v>
      </c>
      <c r="C149" s="47">
        <v>59002124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戦女神め…お前も狂気に飲まれるにゃ…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状態異常耐性+_x000D_緑パネル無効</v>
      </c>
      <c r="F149" s="47">
        <v>39012644</v>
      </c>
      <c r="G149" s="48" t="e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9" s="48" t="e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9" s="48" t="e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9" s="48" t="e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9" s="48" t="e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9" s="48" t="e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9" s="48" t="e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9" s="48" t="e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9" s="48" t="e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9" s="47"/>
      <c r="Q149" s="47"/>
      <c r="R149" s="47"/>
    </row>
    <row r="150" spans="1:18" ht="21" customHeight="1" x14ac:dyDescent="0.15">
      <c r="A150" s="39" t="str">
        <f t="shared" ref="A150" si="14">B150&amp;"_"&amp;C150</f>
        <v>59002012_59002125</v>
      </c>
      <c r="B150" s="136">
        <v>59002012</v>
      </c>
      <c r="C150" s="47">
        <v>59002125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やっぱり女神様は美しいにゃ！</v>
      </c>
      <c r="F150" s="47">
        <v>39012675</v>
      </c>
      <c r="G150" s="48" t="e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0" s="48" t="e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0" s="48" t="e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0" s="48" t="e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0" s="48" t="e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0" s="48" t="e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0" s="48" t="e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0" s="48" t="e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0" s="48" t="e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0" s="47"/>
      <c r="Q150" s="47"/>
      <c r="R150" s="47"/>
    </row>
    <row r="151" spans="1:18" ht="21" customHeight="1" x14ac:dyDescent="0.15">
      <c r="A151" s="39" t="str">
        <f t="shared" ref="A151:A164" si="15">B151&amp;"_"&amp;C151</f>
        <v>59002012_59002125</v>
      </c>
      <c r="B151" s="136">
        <v>59002012</v>
      </c>
      <c r="C151" s="47">
        <v>59002125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やっぱり女神様は美しいにゃ！</v>
      </c>
      <c r="F151" s="47">
        <v>39012676</v>
      </c>
      <c r="G151" s="48" t="e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1" s="48" t="e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1" s="48" t="e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1" s="48" t="e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1" s="48" t="e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1" s="48" t="e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1" s="48" t="e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1" s="48" t="e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1" s="48" t="e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1" s="47"/>
      <c r="Q151" s="47"/>
      <c r="R151" s="47"/>
    </row>
    <row r="152" spans="1:18" ht="21" customHeight="1" x14ac:dyDescent="0.15">
      <c r="A152" s="39" t="str">
        <f t="shared" si="15"/>
        <v>59002012_59002126</v>
      </c>
      <c r="B152" s="136">
        <v>59002012</v>
      </c>
      <c r="C152" s="47">
        <v>59002126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闇に生きる…狂気よりも断然かっこいいにゃ！</v>
      </c>
      <c r="F152" s="47">
        <v>39012677</v>
      </c>
      <c r="G152" s="48" t="e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2" s="48" t="e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2" s="48" t="e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2" s="48" t="e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2" s="48" t="e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2" s="48" t="e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2" s="48" t="e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2" s="48" t="e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2" s="48" t="e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2" s="47"/>
      <c r="Q152" s="47"/>
      <c r="R152" s="47"/>
    </row>
    <row r="153" spans="1:18" ht="21" customHeight="1" x14ac:dyDescent="0.15">
      <c r="A153" s="39" t="str">
        <f t="shared" si="15"/>
        <v>59002012_59002126</v>
      </c>
      <c r="B153" s="136">
        <v>59002012</v>
      </c>
      <c r="C153" s="47">
        <v>59002126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闇に生きる…狂気よりも断然かっこいいにゃ！</v>
      </c>
      <c r="F153" s="47">
        <v>39012678</v>
      </c>
      <c r="G153" s="48" t="e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3" s="48" t="e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3" s="48" t="e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3" s="48" t="e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3" s="48" t="e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3" s="48" t="e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3" s="48" t="e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3" s="48" t="e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3" s="48" t="e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3" s="47"/>
      <c r="Q153" s="47"/>
      <c r="R153" s="47"/>
    </row>
    <row r="154" spans="1:18" ht="21" customHeight="1" x14ac:dyDescent="0.15">
      <c r="A154" s="39" t="str">
        <f t="shared" si="15"/>
        <v>59002012_59002127</v>
      </c>
      <c r="B154" s="136">
        <v>59002012</v>
      </c>
      <c r="C154" s="47">
        <v>59002127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強くてかわいいにゃ！最高にゃ！</v>
      </c>
      <c r="F154" s="47">
        <v>39012679</v>
      </c>
      <c r="G154" s="48" t="e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4" s="48" t="e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4" s="48" t="e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4" s="48" t="e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4" s="48" t="e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4" s="48" t="e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4" s="48" t="e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4" s="48" t="e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4" s="48" t="e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4" s="47"/>
      <c r="Q154" s="47"/>
      <c r="R154" s="47"/>
    </row>
    <row r="155" spans="1:18" ht="21" customHeight="1" x14ac:dyDescent="0.15">
      <c r="A155" s="39" t="str">
        <f t="shared" si="15"/>
        <v>59002012_59002127</v>
      </c>
      <c r="B155" s="136">
        <v>59002012</v>
      </c>
      <c r="C155" s="47">
        <v>59002127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強くてかわいいにゃ！最高にゃ！</v>
      </c>
      <c r="F155" s="47">
        <v>39012680</v>
      </c>
      <c r="G155" s="48" t="e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5" s="48" t="e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5" s="48" t="e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5" s="48" t="e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5" s="48" t="e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5" s="48" t="e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5" s="48" t="e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5" s="48" t="e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5" s="48" t="e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5" s="47"/>
      <c r="Q155" s="47"/>
      <c r="R155" s="47"/>
    </row>
    <row r="156" spans="1:18" ht="21" customHeight="1" x14ac:dyDescent="0.15">
      <c r="A156" s="39" t="str">
        <f t="shared" si="15"/>
        <v>59002012_59002128</v>
      </c>
      <c r="B156" s="136">
        <v>59002012</v>
      </c>
      <c r="C156" s="47">
        <v>59002128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きぐるみでも強いとはさすがにゃ！</v>
      </c>
      <c r="F156" s="47">
        <v>39012681</v>
      </c>
      <c r="G156" s="48" t="e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6" s="48" t="e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6" s="48" t="e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6" s="48" t="e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6" s="48" t="e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6" s="48" t="e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6" s="48" t="e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6" s="48" t="e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6" s="48" t="e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6" s="47"/>
      <c r="Q156" s="47"/>
      <c r="R156" s="47"/>
    </row>
    <row r="157" spans="1:18" ht="21" customHeight="1" x14ac:dyDescent="0.15">
      <c r="A157" s="39" t="str">
        <f t="shared" si="15"/>
        <v>59002012_59002128</v>
      </c>
      <c r="B157" s="136">
        <v>59002012</v>
      </c>
      <c r="C157" s="47">
        <v>59002128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きぐるみでも強いとはさすがにゃ！</v>
      </c>
      <c r="F157" s="47">
        <v>39012682</v>
      </c>
      <c r="G157" s="48" t="e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7" s="48" t="e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7" s="48" t="e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7" s="48" t="e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7" s="48" t="e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7" s="48" t="e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7" s="48" t="e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7" s="48" t="e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7" s="48" t="e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7" s="47"/>
      <c r="Q157" s="47"/>
      <c r="R157" s="47"/>
    </row>
    <row r="158" spans="1:18" ht="21" customHeight="1" x14ac:dyDescent="0.15">
      <c r="A158" s="39" t="str">
        <f t="shared" si="15"/>
        <v>59002012_59002129</v>
      </c>
      <c r="B158" s="136">
        <v>59002012</v>
      </c>
      <c r="C158" s="47">
        <v>59002129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ビリビリするにゃ…これが恋なのかにゃ！</v>
      </c>
      <c r="F158" s="47">
        <v>39012683</v>
      </c>
      <c r="G158" s="48" t="e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8" s="48" t="e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8" s="48" t="e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8" s="48" t="e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8" s="48" t="e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8" s="48" t="e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8" s="48" t="e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8" s="48" t="e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8" s="48" t="e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8" s="47"/>
      <c r="Q158" s="47"/>
      <c r="R158" s="47"/>
    </row>
    <row r="159" spans="1:18" ht="21" customHeight="1" x14ac:dyDescent="0.15">
      <c r="A159" s="39" t="str">
        <f t="shared" si="15"/>
        <v>59002012_59002129</v>
      </c>
      <c r="B159" s="136">
        <v>59002012</v>
      </c>
      <c r="C159" s="47">
        <v>59002129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ビリビリするにゃ…これが恋なのかにゃ！</v>
      </c>
      <c r="F159" s="47">
        <v>39012684</v>
      </c>
      <c r="G159" s="48" t="e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9" s="48" t="e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9" s="48" t="e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9" s="48" t="e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9" s="48" t="e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9" s="48" t="e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9" s="48" t="e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9" s="48" t="e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9" s="48" t="e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9" s="47"/>
      <c r="Q159" s="47"/>
      <c r="R159" s="47"/>
    </row>
    <row r="160" spans="1:18" ht="21" customHeight="1" x14ac:dyDescent="0.15">
      <c r="A160" s="39" t="str">
        <f t="shared" si="15"/>
        <v>59002012_59002130</v>
      </c>
      <c r="B160" s="136">
        <v>59002012</v>
      </c>
      <c r="C160" s="47">
        <v>59002130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魅惑のボディがうらやましいにゃ！</v>
      </c>
      <c r="F160" s="47">
        <v>39012685</v>
      </c>
      <c r="G160" s="48" t="e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0" s="48" t="e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0" s="48" t="e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0" s="48" t="e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0" s="48" t="e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0" s="48" t="e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0" s="48" t="e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0" s="48" t="e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0" s="48" t="e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0" s="47"/>
      <c r="Q160" s="47"/>
      <c r="R160" s="47"/>
    </row>
    <row r="161" spans="1:18" ht="21" customHeight="1" x14ac:dyDescent="0.15">
      <c r="A161" s="39" t="str">
        <f t="shared" si="15"/>
        <v>59002012_59002130</v>
      </c>
      <c r="B161" s="136">
        <v>59002012</v>
      </c>
      <c r="C161" s="47">
        <v>59002130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魅惑のボディがうらやましいにゃ！</v>
      </c>
      <c r="F161" s="47">
        <v>39012686</v>
      </c>
      <c r="G161" s="48" t="e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1" s="48" t="e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1" s="48" t="e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1" s="48" t="e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1" s="48" t="e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1" s="48" t="e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1" s="48" t="e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1" s="48" t="e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1" s="48" t="e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1" s="47"/>
      <c r="Q161" s="47"/>
      <c r="R161" s="47"/>
    </row>
    <row r="162" spans="1:18" ht="21" customHeight="1" x14ac:dyDescent="0.15">
      <c r="A162" s="39" t="str">
        <f t="shared" si="15"/>
        <v>59002012_59002131</v>
      </c>
      <c r="B162" s="136">
        <v>59002012</v>
      </c>
      <c r="C162" s="47">
        <v>59002131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神秘的な魅力にメロメロにゃ！</v>
      </c>
      <c r="F162" s="47">
        <v>39012687</v>
      </c>
      <c r="G162" s="48" t="e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2" s="48" t="e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2" s="48" t="e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2" s="48" t="e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2" s="48" t="e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2" s="48" t="e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2" s="48" t="e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2" s="48" t="e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2" s="48" t="e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2" s="47"/>
      <c r="Q162" s="47"/>
      <c r="R162" s="47"/>
    </row>
    <row r="163" spans="1:18" ht="21" customHeight="1" x14ac:dyDescent="0.15">
      <c r="A163" s="39" t="str">
        <f t="shared" si="15"/>
        <v>59002012_59002131</v>
      </c>
      <c r="B163" s="136">
        <v>59002012</v>
      </c>
      <c r="C163" s="47">
        <v>59002131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神秘的な魅力にメロメロにゃ！</v>
      </c>
      <c r="F163" s="47">
        <v>39012688</v>
      </c>
      <c r="G163" s="48" t="e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3" s="48" t="e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3" s="48" t="e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3" s="48" t="e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3" s="48" t="e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3" s="48" t="e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3" s="48" t="e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3" s="48" t="e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3" s="48" t="e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3" s="47"/>
      <c r="Q163" s="47"/>
      <c r="R163" s="47"/>
    </row>
    <row r="164" spans="1:18" ht="21" customHeight="1" x14ac:dyDescent="0.15">
      <c r="A164" s="39" t="str">
        <f t="shared" si="15"/>
        <v>59002012_59002131</v>
      </c>
      <c r="B164" s="136">
        <v>59002012</v>
      </c>
      <c r="C164" s="47">
        <v>59002131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狂気が…抜けていくにゃ…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神秘的な魅力にメロメロにゃ！</v>
      </c>
      <c r="F164" s="47">
        <v>39012689</v>
      </c>
      <c r="G164" s="48" t="e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4" s="48" t="e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4" s="48" t="e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4" s="48" t="e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4" s="48" t="e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4" s="48" t="e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4" s="48" t="e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4" s="48" t="e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4" s="48" t="e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4" s="47"/>
      <c r="Q164" s="47"/>
      <c r="R164" s="47"/>
    </row>
    <row r="165" spans="1:18" ht="21" customHeight="1" x14ac:dyDescent="0.15">
      <c r="A165" s="39" t="str">
        <f t="shared" ref="A165" si="16">B165&amp;"_"&amp;C165</f>
        <v>59002001_59002132</v>
      </c>
      <c r="B165" s="178">
        <v>59002001</v>
      </c>
      <c r="C165" s="47">
        <v>59002132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狂気から解き放たれて我に返ったようだ…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みんなを正気に戻してくれにゃ！</v>
      </c>
      <c r="F165" s="47">
        <v>59002104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8" t="str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5" s="48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8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/>
    </row>
    <row r="166" spans="1:18" ht="21" customHeight="1" x14ac:dyDescent="0.15">
      <c r="A166" s="39" t="str">
        <f t="shared" ref="A166" si="17">B166&amp;"_"&amp;C166</f>
        <v>59002001_59002133</v>
      </c>
      <c r="B166" s="178">
        <v>59002001</v>
      </c>
      <c r="C166" s="47">
        <v>59002133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狂気にあてられて怒り狂っている！</v>
      </c>
      <c r="F166" s="47">
        <v>59002105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6" s="48" t="str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6" s="48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48" t="str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D13" sqref="D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150</v>
      </c>
      <c r="B1" s="61" t="s">
        <v>151</v>
      </c>
      <c r="C1" s="62" t="s">
        <v>152</v>
      </c>
      <c r="D1" s="68" t="s">
        <v>153</v>
      </c>
      <c r="E1" s="63" t="s">
        <v>154</v>
      </c>
      <c r="F1" s="61" t="s">
        <v>155</v>
      </c>
      <c r="G1" s="61" t="s">
        <v>156</v>
      </c>
      <c r="H1" s="61" t="s">
        <v>157</v>
      </c>
      <c r="I1" s="61" t="s">
        <v>158</v>
      </c>
      <c r="J1" s="61" t="s">
        <v>159</v>
      </c>
      <c r="K1" s="61" t="s">
        <v>160</v>
      </c>
      <c r="L1" s="61" t="s">
        <v>161</v>
      </c>
      <c r="M1" s="61" t="s">
        <v>162</v>
      </c>
      <c r="N1" s="61" t="s">
        <v>163</v>
      </c>
      <c r="O1" s="61" t="s">
        <v>164</v>
      </c>
      <c r="P1" s="61" t="s">
        <v>165</v>
      </c>
      <c r="Q1" s="61" t="s">
        <v>166</v>
      </c>
      <c r="R1" s="61" t="s">
        <v>167</v>
      </c>
    </row>
    <row r="2" spans="1:18" x14ac:dyDescent="0.15">
      <c r="A2" s="54">
        <f>floors!$C$2</f>
        <v>59002</v>
      </c>
      <c r="B2" s="54">
        <v>1</v>
      </c>
      <c r="C2" s="67" t="str">
        <f>A2&amp; "_"&amp;B2</f>
        <v>59002_1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4">
        <v>1</v>
      </c>
      <c r="F2" s="54" t="s">
        <v>574</v>
      </c>
      <c r="G2" s="54">
        <v>1525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150</v>
      </c>
      <c r="Q2" s="54" t="s">
        <v>168</v>
      </c>
      <c r="R2" s="54" t="s">
        <v>169</v>
      </c>
    </row>
    <row r="3" spans="1:18" x14ac:dyDescent="0.15">
      <c r="A3" s="54">
        <f>floors!$C$2</f>
        <v>59002</v>
      </c>
      <c r="B3" s="54">
        <v>1</v>
      </c>
      <c r="C3" s="67" t="str">
        <f>A3&amp; "_"&amp;B3</f>
        <v>59002_1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4">
        <v>2</v>
      </c>
      <c r="F3" s="54" t="s">
        <v>575</v>
      </c>
      <c r="G3" s="54">
        <v>704</v>
      </c>
      <c r="H3" s="54">
        <v>3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280</v>
      </c>
      <c r="Q3" s="54" t="s">
        <v>168</v>
      </c>
      <c r="R3" s="54" t="s">
        <v>169</v>
      </c>
    </row>
    <row r="4" spans="1:18" x14ac:dyDescent="0.15">
      <c r="A4" s="54">
        <f>floors!$C$2</f>
        <v>59002</v>
      </c>
      <c r="B4" s="54">
        <v>1</v>
      </c>
      <c r="C4" s="67" t="str">
        <f>A4&amp; "_"&amp;B4</f>
        <v>59002_1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4">
        <v>3</v>
      </c>
      <c r="F4" s="54" t="s">
        <v>575</v>
      </c>
      <c r="G4" s="54">
        <v>704</v>
      </c>
      <c r="H4" s="54">
        <v>2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290</v>
      </c>
      <c r="Q4" s="54" t="s">
        <v>168</v>
      </c>
      <c r="R4" s="54" t="s">
        <v>169</v>
      </c>
    </row>
    <row r="5" spans="1:18" x14ac:dyDescent="0.15">
      <c r="A5" s="54">
        <f>floors!$C$2</f>
        <v>59002</v>
      </c>
      <c r="B5" s="54">
        <v>1</v>
      </c>
      <c r="C5" s="67" t="str">
        <f>A5&amp; "_"&amp;B5</f>
        <v>59002_1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4">
        <v>4</v>
      </c>
      <c r="F5" s="54" t="s">
        <v>575</v>
      </c>
      <c r="G5" s="54">
        <v>704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280</v>
      </c>
      <c r="Q5" s="54" t="s">
        <v>168</v>
      </c>
      <c r="R5" s="54" t="s">
        <v>169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24" sqref="L24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187</v>
      </c>
      <c r="B1" s="69" t="s">
        <v>188</v>
      </c>
      <c r="C1" s="73" t="s">
        <v>189</v>
      </c>
      <c r="D1" s="73" t="s">
        <v>33</v>
      </c>
      <c r="E1" s="69" t="s">
        <v>190</v>
      </c>
      <c r="F1" s="73" t="s">
        <v>191</v>
      </c>
      <c r="G1" s="73" t="s">
        <v>33</v>
      </c>
      <c r="H1" s="69" t="s">
        <v>192</v>
      </c>
      <c r="I1" s="87" t="s">
        <v>194</v>
      </c>
      <c r="J1" s="75" t="s">
        <v>126</v>
      </c>
      <c r="K1" s="74" t="s">
        <v>185</v>
      </c>
      <c r="L1" s="88" t="s">
        <v>184</v>
      </c>
      <c r="M1" s="76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5"/>
  <sheetViews>
    <sheetView showGridLines="0" workbookViewId="0">
      <pane ySplit="1" topLeftCell="A9" activePane="bottomLeft" state="frozen"/>
      <selection pane="bottomLeft" activeCell="I20" sqref="I20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22.33203125" customWidth="1"/>
    <col min="13" max="13" width="42.6640625" customWidth="1"/>
  </cols>
  <sheetData>
    <row r="1" spans="1:15" x14ac:dyDescent="0.15">
      <c r="A1" s="72" t="s">
        <v>187</v>
      </c>
      <c r="B1" s="69" t="s">
        <v>150</v>
      </c>
      <c r="C1" s="73" t="s">
        <v>189</v>
      </c>
      <c r="D1" s="73" t="s">
        <v>33</v>
      </c>
      <c r="E1" s="69" t="s">
        <v>190</v>
      </c>
      <c r="F1" s="73" t="s">
        <v>18</v>
      </c>
      <c r="G1" s="73" t="s">
        <v>33</v>
      </c>
      <c r="H1" s="69" t="s">
        <v>192</v>
      </c>
      <c r="I1" s="85" t="s">
        <v>193</v>
      </c>
      <c r="J1" s="87" t="s">
        <v>194</v>
      </c>
      <c r="K1" s="75" t="s">
        <v>126</v>
      </c>
      <c r="L1" s="74" t="s">
        <v>185</v>
      </c>
      <c r="M1" s="88" t="s">
        <v>184</v>
      </c>
      <c r="N1" s="76" t="s">
        <v>195</v>
      </c>
    </row>
    <row r="2" spans="1:15" ht="42" x14ac:dyDescent="0.15">
      <c r="A2" s="77" t="s">
        <v>196</v>
      </c>
      <c r="B2" s="78">
        <f>floors!$C$2</f>
        <v>59002</v>
      </c>
      <c r="C2" s="79" t="str">
        <f ca="1">VLOOKUP($B2,OFFSET([2]quests!$A$1,0,0,COUNTA([2]quests!$A:$A),MATCH(C$1,[2]quests!$1:$1,0)-MATCH($B$1,[2]quests!$1:$1,0)+1),MATCH(C$1,[2]quests!$1:$1,0)-MATCH($B$1,[2]quests!$1:$1,0)+1,FALSE)</f>
        <v>狂乱のネコ降臨</v>
      </c>
      <c r="D2" s="79" t="str">
        <f ca="1">VLOOKUP($B2,OFFSET([2]quests!$A$1,0,0,COUNTA([2]quests!$A:$A),MATCH(D$1,[2]quests!$1:$1,0)-MATCH($B$1,[2]quests!$1:$1,0)+1),MATCH(D$1,[2]quests!$1:$1,0)-MATCH($B$1,[2]quests!$1:$1,0)+1,FALSE)</f>
        <v>コラボ超降臨2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【極ムズ】狂乱のネコ降臨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コラボ超降臨2</v>
      </c>
      <c r="H2" s="81">
        <v>1</v>
      </c>
      <c r="I2" s="86">
        <f>ROW()-1</f>
        <v>1</v>
      </c>
      <c r="J2" s="82" t="str">
        <f>B2&amp;TEXT(I2,"00")</f>
        <v>5900201</v>
      </c>
      <c r="K2" s="80" t="s">
        <v>197</v>
      </c>
      <c r="L2" s="83" t="s">
        <v>252</v>
      </c>
      <c r="M2" s="170" t="s">
        <v>286</v>
      </c>
      <c r="N2" s="54" t="s">
        <v>198</v>
      </c>
      <c r="O2">
        <f>LEN(M2)</f>
        <v>48</v>
      </c>
    </row>
    <row r="3" spans="1:15" ht="42" x14ac:dyDescent="0.15">
      <c r="A3" s="77" t="s">
        <v>196</v>
      </c>
      <c r="B3" s="78">
        <f>floors!$C$2</f>
        <v>59002</v>
      </c>
      <c r="C3" s="79" t="str">
        <f ca="1">VLOOKUP($B3,OFFSET([2]quests!$A$1,0,0,COUNTA([2]quests!$A:$A),MATCH(C$1,[2]quests!$1:$1,0)-MATCH($B$1,[2]quests!$1:$1,0)+1),MATCH(C$1,[2]quests!$1:$1,0)-MATCH($B$1,[2]quests!$1:$1,0)+1,FALSE)</f>
        <v>狂乱のネコ降臨</v>
      </c>
      <c r="D3" s="79" t="str">
        <f ca="1">VLOOKUP($B3,OFFSET([2]quests!$A$1,0,0,COUNTA([2]quests!$A:$A),MATCH(D$1,[2]quests!$1:$1,0)-MATCH($B$1,[2]quests!$1:$1,0)+1),MATCH(D$1,[2]quests!$1:$1,0)-MATCH($B$1,[2]quests!$1:$1,0)+1,FALSE)</f>
        <v>コラボ超降臨2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【極ムズ】狂乱のネコ降臨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コラボ超降臨2</v>
      </c>
      <c r="H3" s="81">
        <v>2</v>
      </c>
      <c r="I3" s="86">
        <f t="shared" ref="I3:I15" si="0">ROW()-1</f>
        <v>2</v>
      </c>
      <c r="J3" s="82" t="str">
        <f t="shared" ref="J3:J8" si="1">B3&amp;TEXT(I3,"00")</f>
        <v>5900202</v>
      </c>
      <c r="K3" s="80" t="s">
        <v>127</v>
      </c>
      <c r="L3" s="83" t="s">
        <v>252</v>
      </c>
      <c r="M3" s="170" t="s">
        <v>285</v>
      </c>
      <c r="N3" s="54" t="s">
        <v>198</v>
      </c>
      <c r="O3">
        <f t="shared" ref="O3:O14" si="2">LEN(M3)</f>
        <v>53</v>
      </c>
    </row>
    <row r="4" spans="1:15" ht="42" x14ac:dyDescent="0.15">
      <c r="A4" s="77" t="s">
        <v>196</v>
      </c>
      <c r="B4" s="78">
        <f>floors!$C$2</f>
        <v>59002</v>
      </c>
      <c r="C4" s="79" t="str">
        <f ca="1">VLOOKUP($B4,OFFSET([2]quests!$A$1,0,0,COUNTA([2]quests!$A:$A),MATCH(C$1,[2]quests!$1:$1,0)-MATCH($B$1,[2]quests!$1:$1,0)+1),MATCH(C$1,[2]quests!$1:$1,0)-MATCH($B$1,[2]quests!$1:$1,0)+1,FALSE)</f>
        <v>狂乱のネコ降臨</v>
      </c>
      <c r="D4" s="79" t="str">
        <f ca="1">VLOOKUP($B4,OFFSET([2]quests!$A$1,0,0,COUNTA([2]quests!$A:$A),MATCH(D$1,[2]quests!$1:$1,0)-MATCH($B$1,[2]quests!$1:$1,0)+1),MATCH(D$1,[2]quests!$1:$1,0)-MATCH($B$1,[2]quests!$1:$1,0)+1,FALSE)</f>
        <v>コラボ超降臨2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【極ムズ】狂乱のネコ降臨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コラボ超降臨2</v>
      </c>
      <c r="H4" s="81">
        <v>3</v>
      </c>
      <c r="I4" s="86">
        <f t="shared" si="0"/>
        <v>3</v>
      </c>
      <c r="J4" s="82" t="str">
        <f t="shared" si="1"/>
        <v>5900203</v>
      </c>
      <c r="K4" s="80" t="s">
        <v>127</v>
      </c>
      <c r="L4" s="83" t="s">
        <v>252</v>
      </c>
      <c r="M4" s="170" t="s">
        <v>294</v>
      </c>
      <c r="N4" s="54" t="s">
        <v>198</v>
      </c>
      <c r="O4">
        <f t="shared" si="2"/>
        <v>51</v>
      </c>
    </row>
    <row r="5" spans="1:15" ht="42" x14ac:dyDescent="0.15">
      <c r="A5" s="77" t="s">
        <v>196</v>
      </c>
      <c r="B5" s="78">
        <f>floors!$C$2</f>
        <v>59002</v>
      </c>
      <c r="C5" s="79" t="str">
        <f ca="1">VLOOKUP($B5,OFFSET([2]quests!$A$1,0,0,COUNTA([2]quests!$A:$A),MATCH(C$1,[2]quests!$1:$1,0)-MATCH($B$1,[2]quests!$1:$1,0)+1),MATCH(C$1,[2]quests!$1:$1,0)-MATCH($B$1,[2]quests!$1:$1,0)+1,FALSE)</f>
        <v>狂乱のネコ降臨</v>
      </c>
      <c r="D5" s="79" t="str">
        <f ca="1">VLOOKUP($B5,OFFSET([2]quests!$A$1,0,0,COUNTA([2]quests!$A:$A),MATCH(D$1,[2]quests!$1:$1,0)-MATCH($B$1,[2]quests!$1:$1,0)+1),MATCH(D$1,[2]quests!$1:$1,0)-MATCH($B$1,[2]quests!$1:$1,0)+1,FALSE)</f>
        <v>コラボ超降臨2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【極ムズ】狂乱のネコ降臨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コラボ超降臨2</v>
      </c>
      <c r="H5" s="81">
        <v>4</v>
      </c>
      <c r="I5" s="86">
        <f t="shared" si="0"/>
        <v>4</v>
      </c>
      <c r="J5" s="82" t="str">
        <f t="shared" si="1"/>
        <v>5900204</v>
      </c>
      <c r="K5" s="80" t="s">
        <v>127</v>
      </c>
      <c r="L5" s="83" t="s">
        <v>252</v>
      </c>
      <c r="M5" s="170" t="s">
        <v>295</v>
      </c>
      <c r="N5" s="54" t="s">
        <v>198</v>
      </c>
      <c r="O5">
        <f t="shared" si="2"/>
        <v>48</v>
      </c>
    </row>
    <row r="6" spans="1:15" ht="42" x14ac:dyDescent="0.15">
      <c r="A6" s="77" t="s">
        <v>196</v>
      </c>
      <c r="B6" s="78">
        <f>floors!$C$2</f>
        <v>59002</v>
      </c>
      <c r="C6" s="79" t="str">
        <f ca="1">VLOOKUP($B6,OFFSET([2]quests!$A$1,0,0,COUNTA([2]quests!$A:$A),MATCH(C$1,[2]quests!$1:$1,0)-MATCH($B$1,[2]quests!$1:$1,0)+1),MATCH(C$1,[2]quests!$1:$1,0)-MATCH($B$1,[2]quests!$1:$1,0)+1,FALSE)</f>
        <v>狂乱のネコ降臨</v>
      </c>
      <c r="D6" s="79" t="str">
        <f ca="1">VLOOKUP($B6,OFFSET([2]quests!$A$1,0,0,COUNTA([2]quests!$A:$A),MATCH(D$1,[2]quests!$1:$1,0)-MATCH($B$1,[2]quests!$1:$1,0)+1),MATCH(D$1,[2]quests!$1:$1,0)-MATCH($B$1,[2]quests!$1:$1,0)+1,FALSE)</f>
        <v>コラボ超降臨2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【極ムズ】狂乱のネコ降臨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コラボ超降臨2</v>
      </c>
      <c r="H6" s="81">
        <v>5</v>
      </c>
      <c r="I6" s="86">
        <f t="shared" si="0"/>
        <v>5</v>
      </c>
      <c r="J6" s="82" t="str">
        <f t="shared" si="1"/>
        <v>5900205</v>
      </c>
      <c r="K6" s="80" t="s">
        <v>127</v>
      </c>
      <c r="L6" s="83" t="s">
        <v>252</v>
      </c>
      <c r="M6" s="170" t="s">
        <v>287</v>
      </c>
      <c r="N6" s="54" t="s">
        <v>198</v>
      </c>
      <c r="O6">
        <f t="shared" si="2"/>
        <v>44</v>
      </c>
    </row>
    <row r="7" spans="1:15" ht="42" x14ac:dyDescent="0.15">
      <c r="A7" s="77" t="s">
        <v>196</v>
      </c>
      <c r="B7" s="78">
        <f>floors!$C$2</f>
        <v>59002</v>
      </c>
      <c r="C7" s="79" t="str">
        <f ca="1">VLOOKUP($B7,OFFSET([2]quests!$A$1,0,0,COUNTA([2]quests!$A:$A),MATCH(C$1,[2]quests!$1:$1,0)-MATCH($B$1,[2]quests!$1:$1,0)+1),MATCH(C$1,[2]quests!$1:$1,0)-MATCH($B$1,[2]quests!$1:$1,0)+1,FALSE)</f>
        <v>狂乱のネコ降臨</v>
      </c>
      <c r="D7" s="79" t="str">
        <f ca="1">VLOOKUP($B7,OFFSET([2]quests!$A$1,0,0,COUNTA([2]quests!$A:$A),MATCH(D$1,[2]quests!$1:$1,0)-MATCH($B$1,[2]quests!$1:$1,0)+1),MATCH(D$1,[2]quests!$1:$1,0)-MATCH($B$1,[2]quests!$1:$1,0)+1,FALSE)</f>
        <v>コラボ超降臨2</v>
      </c>
      <c r="E7" s="80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【極ムズ】狂乱のネコ降臨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コラボ超降臨2</v>
      </c>
      <c r="H7" s="81">
        <v>6</v>
      </c>
      <c r="I7" s="86">
        <f t="shared" si="0"/>
        <v>6</v>
      </c>
      <c r="J7" s="82" t="str">
        <f t="shared" si="1"/>
        <v>5900206</v>
      </c>
      <c r="K7" s="80" t="s">
        <v>127</v>
      </c>
      <c r="L7" s="83" t="s">
        <v>252</v>
      </c>
      <c r="M7" s="170" t="s">
        <v>561</v>
      </c>
      <c r="N7" s="54" t="s">
        <v>198</v>
      </c>
      <c r="O7">
        <f t="shared" si="2"/>
        <v>51</v>
      </c>
    </row>
    <row r="8" spans="1:15" ht="56" x14ac:dyDescent="0.15">
      <c r="A8" s="77" t="s">
        <v>196</v>
      </c>
      <c r="B8" s="78">
        <f>floors!$C$2</f>
        <v>59002</v>
      </c>
      <c r="C8" s="79" t="str">
        <f ca="1">VLOOKUP($B8,OFFSET([2]quests!$A$1,0,0,COUNTA([2]quests!$A:$A),MATCH(C$1,[2]quests!$1:$1,0)-MATCH($B$1,[2]quests!$1:$1,0)+1),MATCH(C$1,[2]quests!$1:$1,0)-MATCH($B$1,[2]quests!$1:$1,0)+1,FALSE)</f>
        <v>狂乱のネコ降臨</v>
      </c>
      <c r="D8" s="79" t="str">
        <f ca="1">VLOOKUP($B8,OFFSET([2]quests!$A$1,0,0,COUNTA([2]quests!$A:$A),MATCH(D$1,[2]quests!$1:$1,0)-MATCH($B$1,[2]quests!$1:$1,0)+1),MATCH(D$1,[2]quests!$1:$1,0)-MATCH($B$1,[2]quests!$1:$1,0)+1,FALSE)</f>
        <v>コラボ超降臨2</v>
      </c>
      <c r="E8" s="80">
        <v>1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【極ムズ】狂乱のネコ降臨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コラボ超降臨2</v>
      </c>
      <c r="H8" s="81">
        <v>8</v>
      </c>
      <c r="I8" s="86">
        <f t="shared" si="0"/>
        <v>7</v>
      </c>
      <c r="J8" s="82" t="str">
        <f t="shared" si="1"/>
        <v>5900207</v>
      </c>
      <c r="K8" s="80" t="s">
        <v>127</v>
      </c>
      <c r="L8" s="83" t="s">
        <v>252</v>
      </c>
      <c r="M8" s="170" t="s">
        <v>534</v>
      </c>
      <c r="N8" s="54" t="s">
        <v>198</v>
      </c>
      <c r="O8">
        <f t="shared" si="2"/>
        <v>55</v>
      </c>
    </row>
    <row r="9" spans="1:15" ht="70" x14ac:dyDescent="0.15">
      <c r="A9" s="77" t="s">
        <v>196</v>
      </c>
      <c r="B9" s="78">
        <f>floors!$C$2</f>
        <v>59002</v>
      </c>
      <c r="C9" s="79" t="str">
        <f ca="1">VLOOKUP($B9,OFFSET([2]quests!$A$1,0,0,COUNTA([2]quests!$A:$A),MATCH(C$1,[2]quests!$1:$1,0)-MATCH($B$1,[2]quests!$1:$1,0)+1),MATCH(C$1,[2]quests!$1:$1,0)-MATCH($B$1,[2]quests!$1:$1,0)+1,FALSE)</f>
        <v>狂乱のネコ降臨</v>
      </c>
      <c r="D9" s="79" t="str">
        <f ca="1">VLOOKUP($B9,OFFSET([2]quests!$A$1,0,0,COUNTA([2]quests!$A:$A),MATCH(D$1,[2]quests!$1:$1,0)-MATCH($B$1,[2]quests!$1:$1,0)+1),MATCH(D$1,[2]quests!$1:$1,0)-MATCH($B$1,[2]quests!$1:$1,0)+1,FALSE)</f>
        <v>コラボ超降臨2</v>
      </c>
      <c r="E9" s="80">
        <v>1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【極ムズ】狂乱のネコ降臨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コラボ超降臨2</v>
      </c>
      <c r="H9" s="81">
        <v>8</v>
      </c>
      <c r="I9" s="86">
        <f t="shared" si="0"/>
        <v>8</v>
      </c>
      <c r="J9" s="82" t="str">
        <f t="shared" ref="J9" si="3">B9&amp;TEXT(I9,"00")</f>
        <v>5900208</v>
      </c>
      <c r="K9" s="80" t="s">
        <v>127</v>
      </c>
      <c r="L9" s="83" t="s">
        <v>252</v>
      </c>
      <c r="M9" s="170" t="s">
        <v>290</v>
      </c>
      <c r="N9" s="54" t="s">
        <v>198</v>
      </c>
      <c r="O9">
        <f t="shared" si="2"/>
        <v>62</v>
      </c>
    </row>
    <row r="10" spans="1:15" ht="70" x14ac:dyDescent="0.15">
      <c r="A10" s="77" t="s">
        <v>196</v>
      </c>
      <c r="B10" s="78">
        <f>floors!$C$2</f>
        <v>59002</v>
      </c>
      <c r="C10" s="79" t="str">
        <f ca="1">VLOOKUP($B10,OFFSET([2]quests!$A$1,0,0,COUNTA([2]quests!$A:$A),MATCH(C$1,[2]quests!$1:$1,0)-MATCH($B$1,[2]quests!$1:$1,0)+1),MATCH(C$1,[2]quests!$1:$1,0)-MATCH($B$1,[2]quests!$1:$1,0)+1,FALSE)</f>
        <v>狂乱のネコ降臨</v>
      </c>
      <c r="D10" s="79" t="str">
        <f ca="1">VLOOKUP($B10,OFFSET([2]quests!$A$1,0,0,COUNTA([2]quests!$A:$A),MATCH(D$1,[2]quests!$1:$1,0)-MATCH($B$1,[2]quests!$1:$1,0)+1),MATCH(D$1,[2]quests!$1:$1,0)-MATCH($B$1,[2]quests!$1:$1,0)+1,FALSE)</f>
        <v>コラボ超降臨2</v>
      </c>
      <c r="E10" s="80">
        <v>1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【極ムズ】狂乱のネコ降臨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コラボ超降臨2</v>
      </c>
      <c r="H10" s="81">
        <v>8</v>
      </c>
      <c r="I10" s="86">
        <f t="shared" si="0"/>
        <v>9</v>
      </c>
      <c r="J10" s="82" t="str">
        <f t="shared" ref="J10" si="4">B10&amp;TEXT(I10,"00")</f>
        <v>5900209</v>
      </c>
      <c r="K10" s="80" t="s">
        <v>127</v>
      </c>
      <c r="L10" s="83" t="s">
        <v>252</v>
      </c>
      <c r="M10" s="170" t="s">
        <v>296</v>
      </c>
      <c r="N10" s="54" t="s">
        <v>198</v>
      </c>
      <c r="O10">
        <f t="shared" si="2"/>
        <v>61</v>
      </c>
    </row>
    <row r="11" spans="1:15" ht="56" x14ac:dyDescent="0.15">
      <c r="A11" s="77" t="s">
        <v>196</v>
      </c>
      <c r="B11" s="78">
        <f>floors!$C$2</f>
        <v>59002</v>
      </c>
      <c r="C11" s="79" t="str">
        <f ca="1">VLOOKUP($B11,OFFSET([2]quests!$A$1,0,0,COUNTA([2]quests!$A:$A),MATCH(C$1,[2]quests!$1:$1,0)-MATCH($B$1,[2]quests!$1:$1,0)+1),MATCH(C$1,[2]quests!$1:$1,0)-MATCH($B$1,[2]quests!$1:$1,0)+1,FALSE)</f>
        <v>狂乱のネコ降臨</v>
      </c>
      <c r="D11" s="79" t="str">
        <f ca="1">VLOOKUP($B11,OFFSET([2]quests!$A$1,0,0,COUNTA([2]quests!$A:$A),MATCH(D$1,[2]quests!$1:$1,0)-MATCH($B$1,[2]quests!$1:$1,0)+1),MATCH(D$1,[2]quests!$1:$1,0)-MATCH($B$1,[2]quests!$1:$1,0)+1,FALSE)</f>
        <v>コラボ超降臨2</v>
      </c>
      <c r="E11" s="80">
        <v>1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【極ムズ】狂乱のネコ降臨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コラボ超降臨2</v>
      </c>
      <c r="H11" s="81">
        <v>9</v>
      </c>
      <c r="I11" s="86">
        <f t="shared" si="0"/>
        <v>10</v>
      </c>
      <c r="J11" s="82" t="str">
        <f t="shared" ref="J11" si="5">B11&amp;TEXT(I11,"00")</f>
        <v>5900210</v>
      </c>
      <c r="K11" s="80" t="s">
        <v>127</v>
      </c>
      <c r="L11" s="83" t="s">
        <v>252</v>
      </c>
      <c r="M11" s="170" t="s">
        <v>553</v>
      </c>
      <c r="N11" s="54" t="s">
        <v>198</v>
      </c>
      <c r="O11">
        <f t="shared" si="2"/>
        <v>59</v>
      </c>
    </row>
    <row r="12" spans="1:15" ht="70" x14ac:dyDescent="0.15">
      <c r="A12" s="77" t="s">
        <v>199</v>
      </c>
      <c r="B12" s="78">
        <f>floors!$C$2</f>
        <v>59002</v>
      </c>
      <c r="C12" s="79" t="str">
        <f ca="1">VLOOKUP($B12,OFFSET([2]quests!$A$1,0,0,COUNTA([2]quests!$A:$A),MATCH(C$1,[2]quests!$1:$1,0)-MATCH($B$1,[2]quests!$1:$1,0)+1),MATCH(C$1,[2]quests!$1:$1,0)-MATCH($B$1,[2]quests!$1:$1,0)+1,FALSE)</f>
        <v>狂乱のネコ降臨</v>
      </c>
      <c r="D12" s="79" t="str">
        <f ca="1">VLOOKUP($B12,OFFSET([2]quests!$A$1,0,0,COUNTA([2]quests!$A:$A),MATCH(D$1,[2]quests!$1:$1,0)-MATCH($B$1,[2]quests!$1:$1,0)+1),MATCH(D$1,[2]quests!$1:$1,0)-MATCH($B$1,[2]quests!$1:$1,0)+1,FALSE)</f>
        <v>コラボ超降臨2</v>
      </c>
      <c r="E12" s="80">
        <v>1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【極ムズ】狂乱のネコ降臨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コラボ超降臨2</v>
      </c>
      <c r="H12" s="81">
        <v>0</v>
      </c>
      <c r="I12" s="86">
        <f t="shared" si="0"/>
        <v>11</v>
      </c>
      <c r="J12" s="82" t="str">
        <f t="shared" ref="J12" si="6">B12&amp;TEXT(I12,"00")</f>
        <v>5900211</v>
      </c>
      <c r="K12" s="80" t="s">
        <v>127</v>
      </c>
      <c r="L12" s="83" t="s">
        <v>297</v>
      </c>
      <c r="M12" s="170" t="s">
        <v>301</v>
      </c>
      <c r="N12" s="54" t="s">
        <v>198</v>
      </c>
      <c r="O12">
        <f t="shared" si="2"/>
        <v>63</v>
      </c>
    </row>
    <row r="13" spans="1:15" ht="70" x14ac:dyDescent="0.15">
      <c r="A13" s="77" t="s">
        <v>199</v>
      </c>
      <c r="B13" s="78">
        <f>floors!$C$2</f>
        <v>59002</v>
      </c>
      <c r="C13" s="79" t="str">
        <f ca="1">VLOOKUP($B13,OFFSET([2]quests!$A$1,0,0,COUNTA([2]quests!$A:$A),MATCH(C$1,[2]quests!$1:$1,0)-MATCH($B$1,[2]quests!$1:$1,0)+1),MATCH(C$1,[2]quests!$1:$1,0)-MATCH($B$1,[2]quests!$1:$1,0)+1,FALSE)</f>
        <v>狂乱のネコ降臨</v>
      </c>
      <c r="D13" s="79" t="str">
        <f ca="1">VLOOKUP($B13,OFFSET([2]quests!$A$1,0,0,COUNTA([2]quests!$A:$A),MATCH(D$1,[2]quests!$1:$1,0)-MATCH($B$1,[2]quests!$1:$1,0)+1),MATCH(D$1,[2]quests!$1:$1,0)-MATCH($B$1,[2]quests!$1:$1,0)+1,FALSE)</f>
        <v>コラボ超降臨2</v>
      </c>
      <c r="E13" s="80">
        <v>1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【極ムズ】狂乱のネコ降臨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コラボ超降臨2</v>
      </c>
      <c r="H13" s="81">
        <v>0</v>
      </c>
      <c r="I13" s="86">
        <f t="shared" si="0"/>
        <v>12</v>
      </c>
      <c r="J13" s="82" t="str">
        <f t="shared" ref="J13" si="7">B13&amp;TEXT(I13,"00")</f>
        <v>5900212</v>
      </c>
      <c r="K13" s="80" t="s">
        <v>127</v>
      </c>
      <c r="L13" s="83" t="s">
        <v>298</v>
      </c>
      <c r="M13" s="170" t="s">
        <v>302</v>
      </c>
      <c r="N13" s="54" t="s">
        <v>198</v>
      </c>
      <c r="O13">
        <f t="shared" si="2"/>
        <v>62</v>
      </c>
    </row>
    <row r="14" spans="1:15" ht="70" x14ac:dyDescent="0.15">
      <c r="A14" s="77" t="s">
        <v>199</v>
      </c>
      <c r="B14" s="78">
        <f>floors!$C$2</f>
        <v>59002</v>
      </c>
      <c r="C14" s="79" t="str">
        <f ca="1">VLOOKUP($B14,OFFSET([2]quests!$A$1,0,0,COUNTA([2]quests!$A:$A),MATCH(C$1,[2]quests!$1:$1,0)-MATCH($B$1,[2]quests!$1:$1,0)+1),MATCH(C$1,[2]quests!$1:$1,0)-MATCH($B$1,[2]quests!$1:$1,0)+1,FALSE)</f>
        <v>狂乱のネコ降臨</v>
      </c>
      <c r="D14" s="79" t="str">
        <f ca="1">VLOOKUP($B14,OFFSET([2]quests!$A$1,0,0,COUNTA([2]quests!$A:$A),MATCH(D$1,[2]quests!$1:$1,0)-MATCH($B$1,[2]quests!$1:$1,0)+1),MATCH(D$1,[2]quests!$1:$1,0)-MATCH($B$1,[2]quests!$1:$1,0)+1,FALSE)</f>
        <v>コラボ超降臨2</v>
      </c>
      <c r="E14" s="80">
        <v>1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【極ムズ】狂乱のネコ降臨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コラボ超降臨2</v>
      </c>
      <c r="H14" s="81">
        <v>0</v>
      </c>
      <c r="I14" s="86">
        <f t="shared" si="0"/>
        <v>13</v>
      </c>
      <c r="J14" s="82" t="str">
        <f t="shared" ref="J14" si="8">B14&amp;TEXT(I14,"00")</f>
        <v>5900213</v>
      </c>
      <c r="K14" s="80" t="s">
        <v>127</v>
      </c>
      <c r="L14" s="83" t="s">
        <v>300</v>
      </c>
      <c r="M14" s="170" t="s">
        <v>299</v>
      </c>
      <c r="N14" s="54" t="s">
        <v>198</v>
      </c>
      <c r="O14">
        <f t="shared" si="2"/>
        <v>58</v>
      </c>
    </row>
    <row r="15" spans="1:15" ht="70" x14ac:dyDescent="0.15">
      <c r="A15" s="77" t="s">
        <v>199</v>
      </c>
      <c r="B15" s="78">
        <f>floors!$C$2</f>
        <v>59002</v>
      </c>
      <c r="C15" s="79" t="str">
        <f ca="1">VLOOKUP($B15,OFFSET([2]quests!$A$1,0,0,COUNTA([2]quests!$A:$A),MATCH(C$1,[2]quests!$1:$1,0)-MATCH($B$1,[2]quests!$1:$1,0)+1),MATCH(C$1,[2]quests!$1:$1,0)-MATCH($B$1,[2]quests!$1:$1,0)+1,FALSE)</f>
        <v>狂乱のネコ降臨</v>
      </c>
      <c r="D15" s="79" t="str">
        <f ca="1">VLOOKUP($B15,OFFSET([2]quests!$A$1,0,0,COUNTA([2]quests!$A:$A),MATCH(D$1,[2]quests!$1:$1,0)-MATCH($B$1,[2]quests!$1:$1,0)+1),MATCH(D$1,[2]quests!$1:$1,0)-MATCH($B$1,[2]quests!$1:$1,0)+1,FALSE)</f>
        <v>コラボ超降臨2</v>
      </c>
      <c r="E15" s="80">
        <v>1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【極ムズ】狂乱のネコ降臨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コラボ超降臨2</v>
      </c>
      <c r="H15" s="81">
        <v>0</v>
      </c>
      <c r="I15" s="86">
        <f t="shared" si="0"/>
        <v>14</v>
      </c>
      <c r="J15" s="82" t="str">
        <f t="shared" ref="J15" si="9">B15&amp;TEXT(I15,"00")</f>
        <v>5900214</v>
      </c>
      <c r="K15" s="80" t="s">
        <v>127</v>
      </c>
      <c r="L15" s="83" t="s">
        <v>313</v>
      </c>
      <c r="M15" s="170" t="s">
        <v>314</v>
      </c>
      <c r="N15" s="54" t="s">
        <v>198</v>
      </c>
      <c r="O15">
        <f t="shared" ref="O15" si="10">LEN(M15)</f>
        <v>62</v>
      </c>
    </row>
  </sheetData>
  <phoneticPr fontId="5"/>
  <dataValidations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5"/>
  <sheetViews>
    <sheetView showGridLines="0" workbookViewId="0">
      <pane ySplit="1" topLeftCell="A2" activePane="bottomLeft" state="frozen"/>
      <selection pane="bottomLeft" activeCell="K12" sqref="K1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211</v>
      </c>
      <c r="B1" s="91" t="s">
        <v>212</v>
      </c>
      <c r="C1" s="73" t="s">
        <v>213</v>
      </c>
      <c r="D1" s="73" t="s">
        <v>33</v>
      </c>
      <c r="E1" s="91" t="s">
        <v>214</v>
      </c>
      <c r="F1" s="73" t="s">
        <v>215</v>
      </c>
      <c r="G1" s="73" t="s">
        <v>33</v>
      </c>
      <c r="H1" s="91" t="s">
        <v>216</v>
      </c>
      <c r="I1" s="91" t="s">
        <v>217</v>
      </c>
      <c r="J1" s="91" t="s">
        <v>218</v>
      </c>
      <c r="K1" s="69" t="s">
        <v>219</v>
      </c>
      <c r="L1" s="69" t="s">
        <v>220</v>
      </c>
      <c r="M1" s="69" t="s">
        <v>156</v>
      </c>
      <c r="N1" s="73" t="s">
        <v>16</v>
      </c>
      <c r="O1" s="69" t="s">
        <v>221</v>
      </c>
      <c r="P1" s="69" t="s">
        <v>56</v>
      </c>
      <c r="Q1" s="69" t="s">
        <v>222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223</v>
      </c>
      <c r="X1" s="69" t="s">
        <v>224</v>
      </c>
    </row>
    <row r="2" spans="1:24" x14ac:dyDescent="0.15">
      <c r="A2" s="92" t="str">
        <f>B2&amp;"_"&amp;E2&amp;"_"&amp;H2&amp;"_"&amp;I2&amp;"_"&amp;J2</f>
        <v>59002_1_everyone_full_member_1</v>
      </c>
      <c r="B2" s="184">
        <v>59002</v>
      </c>
      <c r="C2" s="185" t="str">
        <f ca="1">VLOOKUP($B2,OFFSET([2]quests!$A$1,0,0,COUNTA([2]quests!$A:$A),MATCH(C$1,[2]quests!$1:$1,0)-MATCH($B$1,[2]quests!$1:$1,0)+1),MATCH(C$1,[2]quests!$1:$1,0)-MATCH($B$1,[2]quests!$1:$1,0)+1,FALSE)</f>
        <v>狂乱のネコ降臨</v>
      </c>
      <c r="D2" s="185" t="str">
        <f ca="1">VLOOKUP($B2,OFFSET([2]quests!$A$1,0,0,COUNTA([2]quests!$A:$A),MATCH(D$1,[2]quests!$1:$1,0)-MATCH($B$1,[2]quests!$1:$1,0)+1),MATCH(D$1,[2]quests!$1:$1,0)-MATCH($B$1,[2]quests!$1:$1,0)+1,FALSE)</f>
        <v>コラボ超降臨2</v>
      </c>
      <c r="E2" s="186">
        <v>1</v>
      </c>
      <c r="F2" s="185" t="str">
        <f ca="1">VLOOKUP($B2&amp;"_"&amp;$E2,OFFSET([2]stages!$A$1,0,0,COUNTA([2]stages!$A:$A),MATCH(F$1,[2]stages!$2:$2,0)-MATCH("temp_stage",[2]stages!$2:$2,0)+1),MATCH(F$1,[2]stages!$2:$2,0)-MATCH("temp_stage",[2]stages!$2:$2,0)+1,FALSE)</f>
        <v>【極ムズ】狂乱のネコ降臨</v>
      </c>
      <c r="G2" s="185" t="str">
        <f ca="1">VLOOKUP($B2&amp;"_"&amp;$E2,OFFSET([2]stages!$A$1,0,0,COUNTA([2]stages!$A:$A),MATCH(G$1,[2]stages!$2:$2,0)-MATCH("temp_stage",[2]stages!$2:$2,0)+1),MATCH(G$1,[2]stages!$2:$2,0)-MATCH("temp_stage",[2]stages!$2:$2,0)+1,FALSE)</f>
        <v>コラボ超降臨2</v>
      </c>
      <c r="H2" s="187" t="s">
        <v>225</v>
      </c>
      <c r="I2" s="186" t="s">
        <v>282</v>
      </c>
      <c r="J2" s="186">
        <v>1</v>
      </c>
      <c r="K2" s="186">
        <v>30</v>
      </c>
      <c r="L2" s="186" t="s">
        <v>226</v>
      </c>
      <c r="M2" s="186">
        <v>1525</v>
      </c>
      <c r="N2" s="18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狂乱のネコ</v>
      </c>
      <c r="O2" s="186">
        <v>1</v>
      </c>
      <c r="P2" s="186">
        <v>1</v>
      </c>
      <c r="Q2" s="186">
        <v>1</v>
      </c>
      <c r="R2" s="186">
        <v>0</v>
      </c>
      <c r="S2" s="186">
        <v>0</v>
      </c>
      <c r="T2" s="186">
        <v>0</v>
      </c>
      <c r="U2" s="186">
        <v>0</v>
      </c>
      <c r="V2" s="186">
        <v>1</v>
      </c>
      <c r="W2" s="189" t="s">
        <v>227</v>
      </c>
      <c r="X2" s="190" t="s">
        <v>228</v>
      </c>
    </row>
    <row r="3" spans="1:24" ht="16" thickBot="1" x14ac:dyDescent="0.2">
      <c r="A3" s="195" t="str">
        <f>B3&amp;"_"&amp;E3&amp;"_"&amp;H3&amp;"_"&amp;I3&amp;"_"&amp;J3</f>
        <v>59002_1_everyone_full_member_2</v>
      </c>
      <c r="B3" s="196">
        <v>59002</v>
      </c>
      <c r="C3" s="197" t="str">
        <f ca="1">VLOOKUP($B3,OFFSET([2]quests!$A$1,0,0,COUNTA([2]quests!$A:$A),MATCH(C$1,[2]quests!$1:$1,0)-MATCH($B$1,[2]quests!$1:$1,0)+1),MATCH(C$1,[2]quests!$1:$1,0)-MATCH($B$1,[2]quests!$1:$1,0)+1,FALSE)</f>
        <v>狂乱のネコ降臨</v>
      </c>
      <c r="D3" s="197" t="str">
        <f ca="1">VLOOKUP($B3,OFFSET([2]quests!$A$1,0,0,COUNTA([2]quests!$A:$A),MATCH(D$1,[2]quests!$1:$1,0)-MATCH($B$1,[2]quests!$1:$1,0)+1),MATCH(D$1,[2]quests!$1:$1,0)-MATCH($B$1,[2]quests!$1:$1,0)+1,FALSE)</f>
        <v>コラボ超降臨2</v>
      </c>
      <c r="E3" s="198">
        <v>1</v>
      </c>
      <c r="F3" s="197" t="str">
        <f ca="1">VLOOKUP($B3&amp;"_"&amp;$E3,OFFSET([2]stages!$A$1,0,0,COUNTA([2]stages!$A:$A),MATCH(F$1,[2]stages!$2:$2,0)-MATCH("temp_stage",[2]stages!$2:$2,0)+1),MATCH(F$1,[2]stages!$2:$2,0)-MATCH("temp_stage",[2]stages!$2:$2,0)+1,FALSE)</f>
        <v>【極ムズ】狂乱のネコ降臨</v>
      </c>
      <c r="G3" s="197" t="str">
        <f ca="1">VLOOKUP($B3&amp;"_"&amp;$E3,OFFSET([2]stages!$A$1,0,0,COUNTA([2]stages!$A:$A),MATCH(G$1,[2]stages!$2:$2,0)-MATCH("temp_stage",[2]stages!$2:$2,0)+1),MATCH(G$1,[2]stages!$2:$2,0)-MATCH("temp_stage",[2]stages!$2:$2,0)+1,FALSE)</f>
        <v>コラボ超降臨2</v>
      </c>
      <c r="H3" s="199" t="s">
        <v>225</v>
      </c>
      <c r="I3" s="198" t="s">
        <v>282</v>
      </c>
      <c r="J3" s="198">
        <v>2</v>
      </c>
      <c r="K3" s="198">
        <v>70</v>
      </c>
      <c r="L3" s="198" t="s">
        <v>572</v>
      </c>
      <c r="M3" s="198">
        <v>704</v>
      </c>
      <c r="N3" s="200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198">
        <v>3</v>
      </c>
      <c r="P3" s="198">
        <v>1</v>
      </c>
      <c r="Q3" s="198">
        <v>1</v>
      </c>
      <c r="R3" s="198">
        <v>0</v>
      </c>
      <c r="S3" s="198">
        <v>0</v>
      </c>
      <c r="T3" s="198">
        <v>0</v>
      </c>
      <c r="U3" s="198">
        <v>0</v>
      </c>
      <c r="V3" s="198">
        <v>1</v>
      </c>
      <c r="W3" s="201" t="s">
        <v>227</v>
      </c>
      <c r="X3" s="202" t="s">
        <v>228</v>
      </c>
    </row>
    <row r="4" spans="1:24" ht="16" thickTop="1" x14ac:dyDescent="0.15">
      <c r="A4" s="92" t="str">
        <f>B4&amp;"_"&amp;E4&amp;"_"&amp;H4&amp;"_"&amp;I4&amp;"_"&amp;J4</f>
        <v>59002_1_everyone_clear_3</v>
      </c>
      <c r="B4" s="191">
        <v>59002</v>
      </c>
      <c r="C4" s="79" t="str">
        <f ca="1">VLOOKUP($B4,OFFSET([2]quests!$A$1,0,0,COUNTA([2]quests!$A:$A),MATCH(C$1,[2]quests!$1:$1,0)-MATCH($B$1,[2]quests!$1:$1,0)+1),MATCH(C$1,[2]quests!$1:$1,0)-MATCH($B$1,[2]quests!$1:$1,0)+1,FALSE)</f>
        <v>狂乱のネコ降臨</v>
      </c>
      <c r="D4" s="79" t="str">
        <f ca="1">VLOOKUP($B4,OFFSET([2]quests!$A$1,0,0,COUNTA([2]quests!$A:$A),MATCH(D$1,[2]quests!$1:$1,0)-MATCH($B$1,[2]quests!$1:$1,0)+1),MATCH(D$1,[2]quests!$1:$1,0)-MATCH($B$1,[2]quests!$1:$1,0)+1,FALSE)</f>
        <v>コラボ超降臨2</v>
      </c>
      <c r="E4" s="183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【極ムズ】狂乱のネコ降臨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コラボ超降臨2</v>
      </c>
      <c r="H4" s="81" t="s">
        <v>225</v>
      </c>
      <c r="I4" s="183" t="s">
        <v>573</v>
      </c>
      <c r="J4" s="183">
        <v>3</v>
      </c>
      <c r="K4" s="183">
        <v>50</v>
      </c>
      <c r="L4" s="183" t="s">
        <v>226</v>
      </c>
      <c r="M4" s="183">
        <v>1525</v>
      </c>
      <c r="N4" s="192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狂乱のネコ</v>
      </c>
      <c r="O4" s="183">
        <v>1</v>
      </c>
      <c r="P4" s="183">
        <v>1</v>
      </c>
      <c r="Q4" s="183">
        <v>1</v>
      </c>
      <c r="R4" s="183">
        <v>0</v>
      </c>
      <c r="S4" s="183">
        <v>0</v>
      </c>
      <c r="T4" s="183">
        <v>0</v>
      </c>
      <c r="U4" s="183">
        <v>0</v>
      </c>
      <c r="V4" s="183">
        <v>1</v>
      </c>
      <c r="W4" s="193" t="s">
        <v>227</v>
      </c>
      <c r="X4" s="194" t="s">
        <v>228</v>
      </c>
    </row>
    <row r="5" spans="1:24" x14ac:dyDescent="0.15">
      <c r="A5" s="92" t="str">
        <f>B5&amp;"_"&amp;E5&amp;"_"&amp;H5&amp;"_"&amp;I5&amp;"_"&amp;J5</f>
        <v>59002_1_everyone_clear_4</v>
      </c>
      <c r="B5" s="78">
        <v>59002</v>
      </c>
      <c r="C5" s="79" t="str">
        <f ca="1">VLOOKUP($B5,OFFSET([2]quests!$A$1,0,0,COUNTA([2]quests!$A:$A),MATCH(C$1,[2]quests!$1:$1,0)-MATCH($B$1,[2]quests!$1:$1,0)+1),MATCH(C$1,[2]quests!$1:$1,0)-MATCH($B$1,[2]quests!$1:$1,0)+1,FALSE)</f>
        <v>狂乱のネコ降臨</v>
      </c>
      <c r="D5" s="79" t="str">
        <f ca="1">VLOOKUP($B5,OFFSET([2]quests!$A$1,0,0,COUNTA([2]quests!$A:$A),MATCH(D$1,[2]quests!$1:$1,0)-MATCH($B$1,[2]quests!$1:$1,0)+1),MATCH(D$1,[2]quests!$1:$1,0)-MATCH($B$1,[2]quests!$1:$1,0)+1,FALSE)</f>
        <v>コラボ超降臨2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【極ムズ】狂乱のネコ降臨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コラボ超降臨2</v>
      </c>
      <c r="H5" s="81" t="s">
        <v>225</v>
      </c>
      <c r="I5" s="183" t="s">
        <v>573</v>
      </c>
      <c r="J5" s="80">
        <v>4</v>
      </c>
      <c r="K5" s="80">
        <v>50</v>
      </c>
      <c r="L5" s="80" t="s">
        <v>572</v>
      </c>
      <c r="M5" s="80">
        <v>704</v>
      </c>
      <c r="N5" s="93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/>
      </c>
      <c r="O5" s="80">
        <v>3</v>
      </c>
      <c r="P5" s="80">
        <v>1</v>
      </c>
      <c r="Q5" s="80">
        <v>1</v>
      </c>
      <c r="R5" s="80">
        <v>0</v>
      </c>
      <c r="S5" s="80">
        <v>0</v>
      </c>
      <c r="T5" s="80">
        <v>0</v>
      </c>
      <c r="U5" s="80">
        <v>0</v>
      </c>
      <c r="V5" s="80">
        <v>1</v>
      </c>
      <c r="W5" s="94" t="s">
        <v>227</v>
      </c>
      <c r="X5" s="95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2017-03-31T01:39:06Z</dcterms:modified>
</cp:coreProperties>
</file>