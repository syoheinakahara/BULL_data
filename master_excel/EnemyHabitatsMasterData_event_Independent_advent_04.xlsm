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940" yWindow="540" windowWidth="28660" windowHeight="143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1" l="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4" i="11"/>
  <c r="O36" i="9"/>
  <c r="N36" i="9"/>
  <c r="M36" i="9"/>
  <c r="L36" i="9"/>
  <c r="K36" i="9"/>
  <c r="J36" i="9"/>
  <c r="I36" i="9"/>
  <c r="H36" i="9"/>
  <c r="G36" i="9"/>
  <c r="E36" i="9"/>
  <c r="D36" i="9"/>
  <c r="A36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J17" i="11"/>
  <c r="O43" i="9"/>
  <c r="N43" i="9"/>
  <c r="M43" i="9"/>
  <c r="L43" i="9"/>
  <c r="K43" i="9"/>
  <c r="J43" i="9"/>
  <c r="I43" i="9"/>
  <c r="H43" i="9"/>
  <c r="G43" i="9"/>
  <c r="E43" i="9"/>
  <c r="D43" i="9"/>
  <c r="A43" i="9"/>
  <c r="J13" i="11"/>
  <c r="O39" i="9"/>
  <c r="N39" i="9"/>
  <c r="M39" i="9"/>
  <c r="L39" i="9"/>
  <c r="K39" i="9"/>
  <c r="J39" i="9"/>
  <c r="I39" i="9"/>
  <c r="H39" i="9"/>
  <c r="G39" i="9"/>
  <c r="E39" i="9"/>
  <c r="D39" i="9"/>
  <c r="A39" i="9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O4" i="9"/>
  <c r="N4" i="9"/>
  <c r="M4" i="9"/>
  <c r="L4" i="9"/>
  <c r="K4" i="9"/>
  <c r="J4" i="9"/>
  <c r="I4" i="9"/>
  <c r="H4" i="9"/>
  <c r="G4" i="9"/>
  <c r="E4" i="9"/>
  <c r="D4" i="9"/>
  <c r="A4" i="9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O17" i="9"/>
  <c r="N17" i="9"/>
  <c r="M17" i="9"/>
  <c r="L17" i="9"/>
  <c r="K17" i="9"/>
  <c r="J17" i="9"/>
  <c r="I17" i="9"/>
  <c r="H17" i="9"/>
  <c r="G17" i="9"/>
  <c r="E17" i="9"/>
  <c r="D17" i="9"/>
  <c r="A17" i="9"/>
  <c r="O13" i="9"/>
  <c r="N13" i="9"/>
  <c r="M13" i="9"/>
  <c r="L13" i="9"/>
  <c r="K13" i="9"/>
  <c r="J13" i="9"/>
  <c r="I13" i="9"/>
  <c r="H13" i="9"/>
  <c r="G13" i="9"/>
  <c r="E13" i="9"/>
  <c r="D13" i="9"/>
  <c r="A13" i="9"/>
  <c r="M17" i="10"/>
  <c r="T17" i="10"/>
  <c r="W17" i="10"/>
  <c r="V17" i="10"/>
  <c r="X17" i="10"/>
  <c r="U17" i="10"/>
  <c r="Y17" i="10"/>
  <c r="M26" i="10"/>
  <c r="N26" i="10"/>
  <c r="Q26" i="10"/>
  <c r="P26" i="10"/>
  <c r="R26" i="10"/>
  <c r="O26" i="10"/>
  <c r="S26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3" i="10"/>
  <c r="T13" i="10"/>
  <c r="W13" i="10"/>
  <c r="V13" i="10"/>
  <c r="X13" i="10"/>
  <c r="U13" i="10"/>
  <c r="Y13" i="10"/>
  <c r="M22" i="10"/>
  <c r="M30" i="10"/>
  <c r="N30" i="10"/>
  <c r="Q30" i="10"/>
  <c r="P30" i="10"/>
  <c r="R30" i="10"/>
  <c r="O30" i="10"/>
  <c r="S30" i="10"/>
  <c r="N22" i="10"/>
  <c r="Q22" i="10"/>
  <c r="P22" i="10"/>
  <c r="R22" i="10"/>
  <c r="O22" i="10"/>
  <c r="S22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29" i="10"/>
  <c r="N29" i="10"/>
  <c r="Q29" i="10"/>
  <c r="P29" i="10"/>
  <c r="R29" i="10"/>
  <c r="O29" i="10"/>
  <c r="S29" i="10"/>
  <c r="M25" i="10"/>
  <c r="N25" i="10"/>
  <c r="Q25" i="10"/>
  <c r="P25" i="10"/>
  <c r="R25" i="10"/>
  <c r="O25" i="10"/>
  <c r="S25" i="10"/>
  <c r="D53" i="9"/>
  <c r="J27" i="11"/>
  <c r="O53" i="9"/>
  <c r="N53" i="9"/>
  <c r="M53" i="9"/>
  <c r="L53" i="9"/>
  <c r="K53" i="9"/>
  <c r="J53" i="9"/>
  <c r="I53" i="9"/>
  <c r="H53" i="9"/>
  <c r="G53" i="9"/>
  <c r="E53" i="9"/>
  <c r="A53" i="9"/>
  <c r="J26" i="11"/>
  <c r="O52" i="9"/>
  <c r="N52" i="9"/>
  <c r="M52" i="9"/>
  <c r="L52" i="9"/>
  <c r="K52" i="9"/>
  <c r="J52" i="9"/>
  <c r="I52" i="9"/>
  <c r="H52" i="9"/>
  <c r="G52" i="9"/>
  <c r="E52" i="9"/>
  <c r="D52" i="9"/>
  <c r="A52" i="9"/>
  <c r="J25" i="11"/>
  <c r="O51" i="9"/>
  <c r="N51" i="9"/>
  <c r="M51" i="9"/>
  <c r="L51" i="9"/>
  <c r="K51" i="9"/>
  <c r="J51" i="9"/>
  <c r="I51" i="9"/>
  <c r="H51" i="9"/>
  <c r="G51" i="9"/>
  <c r="E51" i="9"/>
  <c r="D51" i="9"/>
  <c r="A51" i="9"/>
  <c r="J24" i="11"/>
  <c r="O50" i="9"/>
  <c r="N50" i="9"/>
  <c r="M50" i="9"/>
  <c r="L50" i="9"/>
  <c r="K50" i="9"/>
  <c r="J50" i="9"/>
  <c r="I50" i="9"/>
  <c r="H50" i="9"/>
  <c r="G50" i="9"/>
  <c r="E50" i="9"/>
  <c r="D50" i="9"/>
  <c r="A50" i="9"/>
  <c r="J23" i="11"/>
  <c r="O49" i="9"/>
  <c r="N49" i="9"/>
  <c r="M49" i="9"/>
  <c r="L49" i="9"/>
  <c r="K49" i="9"/>
  <c r="J49" i="9"/>
  <c r="I49" i="9"/>
  <c r="H49" i="9"/>
  <c r="G49" i="9"/>
  <c r="E49" i="9"/>
  <c r="D49" i="9"/>
  <c r="A49" i="9"/>
  <c r="J22" i="11"/>
  <c r="O48" i="9"/>
  <c r="N48" i="9"/>
  <c r="M48" i="9"/>
  <c r="L48" i="9"/>
  <c r="K48" i="9"/>
  <c r="J48" i="9"/>
  <c r="I48" i="9"/>
  <c r="H48" i="9"/>
  <c r="G48" i="9"/>
  <c r="E48" i="9"/>
  <c r="D48" i="9"/>
  <c r="A48" i="9"/>
  <c r="J21" i="11"/>
  <c r="O47" i="9"/>
  <c r="N47" i="9"/>
  <c r="M47" i="9"/>
  <c r="L47" i="9"/>
  <c r="K47" i="9"/>
  <c r="J47" i="9"/>
  <c r="I47" i="9"/>
  <c r="H47" i="9"/>
  <c r="G47" i="9"/>
  <c r="E47" i="9"/>
  <c r="D47" i="9"/>
  <c r="A47" i="9"/>
  <c r="J20" i="11"/>
  <c r="O46" i="9"/>
  <c r="N46" i="9"/>
  <c r="M46" i="9"/>
  <c r="L46" i="9"/>
  <c r="K46" i="9"/>
  <c r="J46" i="9"/>
  <c r="I46" i="9"/>
  <c r="H46" i="9"/>
  <c r="G46" i="9"/>
  <c r="E46" i="9"/>
  <c r="D46" i="9"/>
  <c r="A46" i="9"/>
  <c r="J19" i="11"/>
  <c r="O45" i="9"/>
  <c r="N45" i="9"/>
  <c r="M45" i="9"/>
  <c r="L45" i="9"/>
  <c r="K45" i="9"/>
  <c r="J45" i="9"/>
  <c r="I45" i="9"/>
  <c r="H45" i="9"/>
  <c r="G45" i="9"/>
  <c r="E45" i="9"/>
  <c r="D45" i="9"/>
  <c r="A45" i="9"/>
  <c r="J18" i="11"/>
  <c r="O44" i="9"/>
  <c r="N44" i="9"/>
  <c r="M44" i="9"/>
  <c r="L44" i="9"/>
  <c r="K44" i="9"/>
  <c r="J44" i="9"/>
  <c r="I44" i="9"/>
  <c r="H44" i="9"/>
  <c r="G44" i="9"/>
  <c r="E44" i="9"/>
  <c r="D44" i="9"/>
  <c r="A44" i="9"/>
  <c r="J16" i="11"/>
  <c r="O42" i="9"/>
  <c r="N42" i="9"/>
  <c r="M42" i="9"/>
  <c r="L42" i="9"/>
  <c r="K42" i="9"/>
  <c r="J42" i="9"/>
  <c r="I42" i="9"/>
  <c r="H42" i="9"/>
  <c r="G42" i="9"/>
  <c r="E42" i="9"/>
  <c r="D42" i="9"/>
  <c r="A42" i="9"/>
  <c r="J15" i="11"/>
  <c r="O41" i="9"/>
  <c r="N41" i="9"/>
  <c r="M41" i="9"/>
  <c r="L41" i="9"/>
  <c r="K41" i="9"/>
  <c r="J41" i="9"/>
  <c r="I41" i="9"/>
  <c r="H41" i="9"/>
  <c r="G41" i="9"/>
  <c r="E41" i="9"/>
  <c r="D41" i="9"/>
  <c r="A41" i="9"/>
  <c r="J14" i="11"/>
  <c r="O40" i="9"/>
  <c r="N40" i="9"/>
  <c r="M40" i="9"/>
  <c r="L40" i="9"/>
  <c r="K40" i="9"/>
  <c r="J40" i="9"/>
  <c r="I40" i="9"/>
  <c r="H40" i="9"/>
  <c r="G40" i="9"/>
  <c r="E40" i="9"/>
  <c r="D40" i="9"/>
  <c r="A40" i="9"/>
  <c r="J12" i="11"/>
  <c r="O38" i="9"/>
  <c r="N38" i="9"/>
  <c r="M38" i="9"/>
  <c r="L38" i="9"/>
  <c r="K38" i="9"/>
  <c r="J38" i="9"/>
  <c r="I38" i="9"/>
  <c r="H38" i="9"/>
  <c r="G38" i="9"/>
  <c r="E38" i="9"/>
  <c r="D38" i="9"/>
  <c r="A38" i="9"/>
  <c r="J11" i="11"/>
  <c r="O37" i="9"/>
  <c r="N37" i="9"/>
  <c r="M37" i="9"/>
  <c r="L37" i="9"/>
  <c r="K37" i="9"/>
  <c r="J37" i="9"/>
  <c r="I37" i="9"/>
  <c r="H37" i="9"/>
  <c r="G37" i="9"/>
  <c r="E37" i="9"/>
  <c r="D37" i="9"/>
  <c r="A37" i="9"/>
  <c r="J3" i="11"/>
  <c r="O35" i="9"/>
  <c r="N35" i="9"/>
  <c r="M35" i="9"/>
  <c r="L35" i="9"/>
  <c r="K35" i="9"/>
  <c r="J35" i="9"/>
  <c r="I35" i="9"/>
  <c r="H35" i="9"/>
  <c r="G35" i="9"/>
  <c r="E35" i="9"/>
  <c r="D35" i="9"/>
  <c r="A35" i="9"/>
  <c r="J2" i="11"/>
  <c r="O34" i="9"/>
  <c r="N34" i="9"/>
  <c r="M34" i="9"/>
  <c r="L34" i="9"/>
  <c r="K34" i="9"/>
  <c r="J34" i="9"/>
  <c r="I34" i="9"/>
  <c r="H34" i="9"/>
  <c r="G34" i="9"/>
  <c r="E34" i="9"/>
  <c r="D34" i="9"/>
  <c r="A34" i="9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A3" i="18"/>
  <c r="C3" i="18"/>
  <c r="D3" i="18"/>
  <c r="A4" i="18"/>
  <c r="C4" i="18"/>
  <c r="D4" i="18"/>
  <c r="A5" i="18"/>
  <c r="C5" i="18"/>
  <c r="D5" i="18"/>
  <c r="A6" i="18"/>
  <c r="C6" i="18"/>
  <c r="D6" i="18"/>
  <c r="A7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G3" i="9"/>
  <c r="H3" i="9"/>
  <c r="I3" i="9"/>
  <c r="J3" i="9"/>
  <c r="K3" i="9"/>
  <c r="L3" i="9"/>
  <c r="M3" i="9"/>
  <c r="N3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J32" i="11"/>
  <c r="A32" i="9"/>
  <c r="D32" i="9"/>
  <c r="E32" i="9"/>
  <c r="O32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J5" i="11"/>
  <c r="J6" i="11"/>
  <c r="J7" i="11"/>
  <c r="J8" i="11"/>
  <c r="J9" i="11"/>
  <c r="J10" i="11"/>
  <c r="J28" i="11"/>
  <c r="J29" i="11"/>
  <c r="J30" i="11"/>
  <c r="J31" i="11"/>
  <c r="O31" i="9"/>
  <c r="E31" i="9"/>
  <c r="D31" i="9"/>
  <c r="A31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6" i="9"/>
  <c r="E26" i="9"/>
  <c r="D26" i="9"/>
  <c r="A26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20" i="9"/>
  <c r="E20" i="9"/>
  <c r="D20" i="9"/>
  <c r="A20" i="9"/>
  <c r="O19" i="9"/>
  <c r="E19" i="9"/>
  <c r="D19" i="9"/>
  <c r="A19" i="9"/>
  <c r="O18" i="9"/>
  <c r="E18" i="9"/>
  <c r="D18" i="9"/>
  <c r="A18" i="9"/>
  <c r="O16" i="9"/>
  <c r="E16" i="9"/>
  <c r="D16" i="9"/>
  <c r="A16" i="9"/>
  <c r="O15" i="9"/>
  <c r="E15" i="9"/>
  <c r="D15" i="9"/>
  <c r="A15" i="9"/>
  <c r="O14" i="9"/>
  <c r="E14" i="9"/>
  <c r="D14" i="9"/>
  <c r="A14" i="9"/>
  <c r="O12" i="9"/>
  <c r="E12" i="9"/>
  <c r="D12" i="9"/>
  <c r="A12" i="9"/>
  <c r="O11" i="9"/>
  <c r="E11" i="9"/>
  <c r="D11" i="9"/>
  <c r="A11" i="9"/>
  <c r="O10" i="9"/>
  <c r="E10" i="9"/>
  <c r="D10" i="9"/>
  <c r="A10" i="9"/>
  <c r="O9" i="9"/>
  <c r="E9" i="9"/>
  <c r="D9" i="9"/>
  <c r="A9" i="9"/>
  <c r="O8" i="9"/>
  <c r="E8" i="9"/>
  <c r="D8" i="9"/>
  <c r="A8" i="9"/>
  <c r="O7" i="9"/>
  <c r="E7" i="9"/>
  <c r="D7" i="9"/>
  <c r="A7" i="9"/>
  <c r="O6" i="9"/>
  <c r="E6" i="9"/>
  <c r="D6" i="9"/>
  <c r="A6" i="9"/>
  <c r="O5" i="9"/>
  <c r="E5" i="9"/>
  <c r="D5" i="9"/>
  <c r="A5" i="9"/>
  <c r="O3" i="9"/>
  <c r="E3" i="9"/>
  <c r="D3" i="9"/>
  <c r="A3" i="9"/>
  <c r="M16" i="10"/>
  <c r="T16" i="10"/>
  <c r="W16" i="10"/>
  <c r="V16" i="10"/>
  <c r="X16" i="10"/>
  <c r="U16" i="10"/>
  <c r="Y16" i="10"/>
  <c r="M27" i="10"/>
  <c r="N27" i="10"/>
  <c r="Q27" i="10"/>
  <c r="P27" i="10"/>
  <c r="R27" i="10"/>
  <c r="O27" i="10"/>
  <c r="S27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Y8" i="7"/>
  <c r="W8" i="7"/>
  <c r="U8" i="7"/>
  <c r="R8" i="7"/>
  <c r="Q8" i="7"/>
  <c r="P8" i="7"/>
  <c r="O8" i="7"/>
  <c r="N8" i="7"/>
  <c r="H8" i="7"/>
  <c r="G2" i="2"/>
  <c r="A2" i="2"/>
  <c r="G3" i="2"/>
  <c r="A3" i="2"/>
  <c r="G4" i="2"/>
  <c r="A4" i="2"/>
  <c r="G5" i="2"/>
  <c r="A5" i="2"/>
  <c r="G6" i="2"/>
  <c r="A6" i="2"/>
  <c r="G7" i="2"/>
  <c r="A7" i="2"/>
  <c r="J8" i="7"/>
  <c r="I8" i="7"/>
  <c r="D8" i="7"/>
  <c r="F8" i="7"/>
  <c r="E8" i="7"/>
  <c r="A8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E2" i="9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7" i="2"/>
  <c r="E7" i="2"/>
  <c r="D7" i="2"/>
  <c r="H2" i="1"/>
  <c r="H3" i="1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T22" i="10"/>
  <c r="W22" i="10"/>
  <c r="V22" i="10"/>
  <c r="X22" i="10"/>
  <c r="U22" i="10"/>
  <c r="Y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2" i="7"/>
  <c r="U2" i="7"/>
  <c r="V3" i="1"/>
  <c r="V2" i="1"/>
  <c r="T3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A2" i="18"/>
  <c r="C2" i="18"/>
  <c r="D2" i="18"/>
  <c r="O2" i="9"/>
  <c r="N2" i="9"/>
  <c r="M2" i="9"/>
  <c r="L2" i="9"/>
  <c r="K2" i="9"/>
  <c r="J2" i="9"/>
  <c r="I2" i="9"/>
  <c r="H2" i="9"/>
  <c r="G2" i="9"/>
  <c r="D2" i="9"/>
  <c r="E9" i="16"/>
  <c r="Y2" i="7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<sst xmlns="http://schemas.openxmlformats.org/spreadsheetml/2006/main" count="795" uniqueCount="386">
  <si>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</si>
  <si>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</si>
  <si>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</si>
  <si>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</si>
  <si>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</si>
  <si>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</si>
  <si>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</si>
  <si>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</si>
  <si>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</si>
  <si>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</si>
  <si>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</si>
  <si>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</si>
  <si>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</si>
  <si>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</si>
  <si>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</si>
  <si>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</si>
  <si>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</si>
  <si>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</si>
  <si>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</si>
  <si>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</si>
  <si>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</si>
  <si>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</si>
  <si>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</si>
  <si>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</si>
  <si>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</si>
  <si>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</si>
  <si>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</si>
  <si>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</si>
  <si>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</si>
  <si>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</si>
  <si>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</si>
  <si>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</si>
  <si>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</si>
  <si>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</si>
  <si>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</si>
  <si>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</si>
  <si>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</si>
  <si>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</si>
  <si>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</si>
  <si>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</si>
  <si>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</si>
  <si>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</si>
  <si>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</si>
  <si>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</si>
  <si>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</si>
  <si>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</si>
  <si>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</si>
  <si>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</si>
  <si>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</si>
  <si>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</si>
  <si>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</si>
  <si>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</si>
  <si>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</si>
  <si>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</si>
  <si>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</si>
  <si>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</si>
  <si>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</si>
  <si>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</si>
  <si>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</si>
  <si>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</si>
  <si>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</si>
  <si>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</si>
  <si>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</si>
  <si>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</si>
  <si>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</si>
  <si>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</si>
  <si>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</si>
  <si>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</si>
  <si>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</si>
  <si>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</si>
  <si>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</si>
  <si>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</si>
  <si>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</si>
  <si>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</si>
  <si>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</si>
  <si>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</si>
  <si>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</si>
  <si>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</si>
  <si>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</si>
  <si>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</si>
  <si>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</si>
  <si>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</si>
  <si>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</si>
  <si>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</si>
  <si>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</si>
  <si>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</si>
  <si>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</si>
  <si>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</si>
  <si>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</si>
  <si>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</si>
  <si>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</si>
  <si>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</si>
  <si>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</si>
  <si>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</si>
  <si>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</si>
  <si>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</si>
  <si>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</si>
  <si>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</si>
  <si>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</si>
  <si>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</si>
  <si>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</si>
  <si>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</si>
  <si>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</si>
  <si>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</si>
  <si>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</si>
  <si>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</si>
  <si>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</si>
  <si>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</si>
  <si>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</si>
  <si>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</si>
  <si>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</si>
  <si>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</si>
  <si>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</si>
  <si>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</si>
  <si>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</si>
  <si>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</si>
  <si>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</si>
  <si>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</si>
  <si>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</si>
  <si>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</si>
  <si>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</si>
  <si>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</si>
  <si>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</si>
  <si>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</si>
  <si>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</si>
  <si>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</si>
  <si>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</si>
  <si>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</si>
  <si>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</si>
  <si>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</si>
  <si>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</si>
  <si>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</si>
  <si>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</si>
  <si>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</si>
  <si>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</si>
  <si>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</si>
  <si>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</si>
  <si>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</si>
  <si>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</si>
  <si>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</si>
  <si>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</si>
  <si>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</si>
  <si>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</si>
  <si>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</si>
  <si>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</si>
  <si>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</si>
  <si>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</si>
  <si>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</si>
  <si>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</si>
  <si>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</si>
  <si>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</si>
  <si>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</si>
  <si>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</si>
  <si>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</si>
  <si>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</si>
  <si>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</si>
  <si>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</si>
  <si>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</si>
  <si>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</si>
  <si>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</si>
  <si>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</si>
  <si>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</si>
  <si>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</si>
  <si>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</si>
  <si>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</si>
  <si>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</si>
  <si>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</si>
  <si>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</si>
  <si>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</si>
  <si>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</si>
  <si>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</si>
  <si>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</si>
  <si>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</si>
  <si>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</si>
  <si>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</si>
  <si>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</si>
  <si>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</si>
  <si>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</si>
  <si>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</si>
  <si>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</si>
  <si>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</si>
  <si>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</si>
  <si>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</si>
  <si>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</si>
  <si>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</si>
  <si>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</si>
  <si>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</si>
  <si>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</si>
  <si>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</si>
  <si>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</si>
  <si>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</si>
  <si>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</si>
  <si>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</si>
  <si>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</si>
  <si>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</si>
  <si>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</si>
  <si>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</si>
  <si>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</si>
  <si>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</si>
  <si>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</si>
  <si>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</si>
  <si>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</si>
  <si>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</si>
  <si>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</si>
  <si>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</si>
  <si>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</si>
  <si>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</si>
  <si>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</si>
  <si>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</si>
  <si>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</si>
  <si>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</si>
  <si>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</si>
  <si>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</si>
  <si>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</si>
  <si>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</si>
  <si>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</si>
  <si>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</si>
  <si>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</si>
  <si>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</si>
  <si>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</si>
  <si>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</si>
  <si>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</si>
  <si>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</si>
  <si>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</si>
  <si>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</si>
  <si>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</si>
  <si>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</si>
  <si>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</si>
  <si>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</si>
  <si>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</si>
  <si>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</si>
  <si>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</si>
  <si>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</si>
  <si>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</si>
  <si>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</si>
  <si>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</si>
  <si>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</si>
  <si>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</si>
  <si>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</si>
  <si>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</si>
  <si>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</si>
  <si>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</si>
  <si>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</si>
  <si>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</si>
  <si>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</si>
  <si>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</si>
  <si>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</si>
  <si>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</si>
  <si>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</si>
  <si>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</si>
  <si>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</si>
  <si>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</si>
  <si>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</si>
  <si>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</si>
  <si>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</si>
  <si>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全体攻撃</t>
    <rPh sb="0" eb="4">
      <t>ゼンタイコウゲキ</t>
    </rPh>
    <phoneticPr fontId="5"/>
  </si>
  <si>
    <t>種族アニマルのユニットに大ダメージ</t>
    <rPh sb="0" eb="2">
      <t>シュゾクアニマル</t>
    </rPh>
    <rPh sb="12" eb="13">
      <t>ダイダメージ</t>
    </rPh>
    <phoneticPr fontId="5"/>
  </si>
  <si>
    <t>青パネルが黄時限式ダメージパネルとしてドロップ</t>
    <rPh sb="0" eb="1">
      <t>アオパネル</t>
    </rPh>
    <rPh sb="5" eb="6">
      <t>キ</t>
    </rPh>
    <rPh sb="6" eb="9">
      <t>ジゲ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</si>
  <si>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</si>
  <si>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</si>
  <si>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</si>
  <si>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</si>
  <si>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</si>
  <si>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</si>
  <si>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</si>
  <si>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</si>
  <si>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</si>
  <si>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</si>
  <si>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  <phoneticPr fontId="5"/>
  </si>
  <si>
    <t>緑パネルがお邪魔パネルとしてドロップ</t>
    <rPh sb="0" eb="1">
      <t>ミドリ</t>
    </rPh>
    <phoneticPr fontId="5"/>
  </si>
  <si>
    <t>[effect:spread, val:0.3]</t>
    <phoneticPr fontId="5"/>
  </si>
  <si>
    <t>[effect:spread, val:0.3]</t>
    <phoneticPr fontId="5"/>
  </si>
  <si>
    <t>全体攻撃</t>
    <phoneticPr fontId="5"/>
  </si>
  <si>
    <t>null</t>
  </si>
  <si>
    <t>link</t>
  </si>
  <si>
    <t>unit</t>
  </si>
  <si>
    <t>full_member</t>
    <phoneticPr fontId="5"/>
  </si>
  <si>
    <t>岩砕崩撃</t>
    <rPh sb="0" eb="1">
      <t>イワ</t>
    </rPh>
    <rPh sb="1" eb="2">
      <t>クダキ</t>
    </rPh>
    <rPh sb="2" eb="3">
      <t>ナダレ</t>
    </rPh>
    <rPh sb="3" eb="4">
      <t>ゲキ</t>
    </rPh>
    <phoneticPr fontId="5"/>
  </si>
  <si>
    <t>石化の鈴</t>
    <rPh sb="0" eb="2">
      <t>セキカノ</t>
    </rPh>
    <rPh sb="3" eb="4">
      <t>スズ</t>
    </rPh>
    <phoneticPr fontId="5"/>
  </si>
  <si>
    <t>破壊の誕生</t>
    <rPh sb="0" eb="2">
      <t>ハカイノタンジョウ</t>
    </rPh>
    <phoneticPr fontId="5"/>
  </si>
  <si>
    <t>old</t>
  </si>
  <si>
    <t>old</t>
    <phoneticPr fontId="5"/>
  </si>
  <si>
    <t>時限式連弾</t>
    <rPh sb="0" eb="3">
      <t>ジゲンシキ</t>
    </rPh>
    <rPh sb="3" eb="5">
      <t>レンダン</t>
    </rPh>
    <phoneticPr fontId="5"/>
  </si>
  <si>
    <t>星涙の癒し</t>
    <rPh sb="0" eb="1">
      <t>ホシ</t>
    </rPh>
    <rPh sb="1" eb="2">
      <t>ナミダ</t>
    </rPh>
    <rPh sb="3" eb="4">
      <t>イヤシ</t>
    </rPh>
    <phoneticPr fontId="5"/>
  </si>
  <si>
    <t>星嵐</t>
    <rPh sb="0" eb="2">
      <t>ホシアラシ</t>
    </rPh>
    <phoneticPr fontId="5"/>
  </si>
  <si>
    <t>流星の贈り物</t>
    <phoneticPr fontId="5"/>
  </si>
  <si>
    <t>怒りの墜星</t>
    <phoneticPr fontId="5"/>
  </si>
  <si>
    <t>対獣格闘</t>
    <rPh sb="0" eb="1">
      <t>タイ</t>
    </rPh>
    <rPh sb="1" eb="2">
      <t>ケモノ</t>
    </rPh>
    <rPh sb="2" eb="4">
      <t>カクトウジュツ</t>
    </rPh>
    <phoneticPr fontId="5"/>
  </si>
  <si>
    <t>星の瞬き</t>
    <rPh sb="2" eb="3">
      <t>マタ</t>
    </rPh>
    <phoneticPr fontId="5"/>
  </si>
  <si>
    <t>お邪魔パネルを5個生成</t>
    <phoneticPr fontId="5"/>
  </si>
  <si>
    <t>4回連続攻撃</t>
    <phoneticPr fontId="5"/>
  </si>
  <si>
    <t>黄時限式ダメージパネルを8個生成</t>
    <rPh sb="0" eb="1">
      <t>キ</t>
    </rPh>
    <rPh sb="1" eb="4">
      <t>ジゲンシ</t>
    </rPh>
    <phoneticPr fontId="5"/>
  </si>
  <si>
    <t>解除されるまで攻撃タイプのタップ回数を2DOWN</t>
    <rPh sb="0" eb="2">
      <t>カイジョ</t>
    </rPh>
    <rPh sb="7" eb="9">
      <t>コウゲキ</t>
    </rPh>
    <phoneticPr fontId="5"/>
  </si>
  <si>
    <t>1ターン全属性の攻撃を100％軽減</t>
    <rPh sb="4" eb="7">
      <t>ゼンゾクセイノ</t>
    </rPh>
    <rPh sb="8" eb="10">
      <t>コウゲキ</t>
    </rPh>
    <rPh sb="15" eb="17">
      <t>ケイゲン</t>
    </rPh>
    <phoneticPr fontId="5"/>
  </si>
  <si>
    <t>5ターン攻撃＆バランスタイプのユニットにスキルバインド</t>
    <rPh sb="4" eb="6">
      <t>コウゲキ</t>
    </rPh>
    <phoneticPr fontId="5"/>
  </si>
  <si>
    <t>6回連続攻撃</t>
    <phoneticPr fontId="5"/>
  </si>
  <si>
    <t>強者への羨望</t>
    <rPh sb="0" eb="2">
      <t>キョウ</t>
    </rPh>
    <rPh sb="4" eb="6">
      <t>センボウ</t>
    </rPh>
    <phoneticPr fontId="5"/>
  </si>
  <si>
    <t>黄パネルを吸収して全体攻撃</t>
    <rPh sb="0" eb="1">
      <t>キパネルヲ</t>
    </rPh>
    <rPh sb="5" eb="7">
      <t>キュウシュウシテ</t>
    </rPh>
    <rPh sb="9" eb="11">
      <t>ゼンタイ</t>
    </rPh>
    <rPh sb="11" eb="13">
      <t>コウゲキ</t>
    </rPh>
    <phoneticPr fontId="5"/>
  </si>
  <si>
    <t>黄パネルを吸収して回復</t>
    <rPh sb="0" eb="1">
      <t>キパネルヲ</t>
    </rPh>
    <rPh sb="5" eb="7">
      <t>キュウシュウシテ</t>
    </rPh>
    <rPh sb="9" eb="11">
      <t>カイフク</t>
    </rPh>
    <phoneticPr fontId="5"/>
  </si>
  <si>
    <t>お邪魔パネルを吸収して全体攻撃</t>
    <rPh sb="7" eb="9">
      <t>キュウシュウシテ</t>
    </rPh>
    <rPh sb="11" eb="13">
      <t>ゼンタイ</t>
    </rPh>
    <rPh sb="13" eb="15">
      <t>コウゲキ</t>
    </rPh>
    <phoneticPr fontId="5"/>
  </si>
  <si>
    <t>お邪魔パネルを吸収して全体攻撃</t>
    <phoneticPr fontId="5"/>
  </si>
  <si>
    <t>お邪魔パネルを吸収して攻撃</t>
    <rPh sb="7" eb="9">
      <t>キュウシュウシテ</t>
    </rPh>
    <rPh sb="11" eb="13">
      <t>コウゲキ</t>
    </rPh>
    <phoneticPr fontId="5"/>
  </si>
  <si>
    <t>お邪魔パネルを吸収して全体攻撃</t>
    <phoneticPr fontId="5"/>
  </si>
  <si>
    <t>お邪魔パネルを吸収して攻撃</t>
    <phoneticPr fontId="5"/>
  </si>
  <si>
    <t>お邪魔パネルを吸収して攻撃力UP</t>
    <rPh sb="7" eb="9">
      <t>キュウ</t>
    </rPh>
    <rPh sb="11" eb="14">
      <t>コウゲキリョク</t>
    </rPh>
    <phoneticPr fontId="5"/>
  </si>
  <si>
    <t>黄パネルを吸収して全体攻撃</t>
    <phoneticPr fontId="5"/>
  </si>
  <si>
    <t>お邪魔パネルを10個生成</t>
    <phoneticPr fontId="5"/>
  </si>
  <si>
    <t>お邪魔パネルを10個生成</t>
    <phoneticPr fontId="5"/>
  </si>
  <si>
    <t>お邪魔パネルを15個生成</t>
    <rPh sb="10" eb="12">
      <t>セイセイ</t>
    </rPh>
    <phoneticPr fontId="5"/>
  </si>
  <si>
    <t>星の瞬き</t>
    <phoneticPr fontId="5"/>
  </si>
  <si>
    <t>これで終わりよ！</t>
    <rPh sb="3" eb="4">
      <t>オワリヨ</t>
    </rPh>
    <phoneticPr fontId="5"/>
  </si>
  <si>
    <t>止まりなさい！悪者！</t>
    <rPh sb="0" eb="1">
      <t>トマリナサイ</t>
    </rPh>
    <rPh sb="7" eb="9">
      <t>ワルモノ</t>
    </rPh>
    <phoneticPr fontId="5"/>
  </si>
  <si>
    <t>固まっちゃいなさい！</t>
    <rPh sb="0" eb="1">
      <t>カタマリナサイ</t>
    </rPh>
    <phoneticPr fontId="5"/>
  </si>
  <si>
    <t>わたしだってお父様の役に立てるんだから！</t>
    <phoneticPr fontId="5"/>
  </si>
  <si>
    <t>おとなしく捕まりなさい！</t>
    <rPh sb="5" eb="6">
      <t>ツカマリナサイ</t>
    </rPh>
    <phoneticPr fontId="5"/>
  </si>
  <si>
    <t>これで終わりよ！</t>
    <phoneticPr fontId="5"/>
  </si>
  <si>
    <t>おとなしく捕まりなさい！</t>
    <phoneticPr fontId="5"/>
  </si>
  <si>
    <t>ガトリング</t>
    <phoneticPr fontId="5"/>
  </si>
  <si>
    <t>ハイ・ガトリング</t>
    <phoneticPr fontId="5"/>
  </si>
  <si>
    <t>逃げ場なんて無いわよ！</t>
    <rPh sb="0" eb="1">
      <t>ニゲミチ</t>
    </rPh>
    <rPh sb="2" eb="3">
      <t>バショ</t>
    </rPh>
    <rPh sb="6" eb="7">
      <t>ナイワヨ</t>
    </rPh>
    <phoneticPr fontId="5"/>
  </si>
  <si>
    <t>あなたみたいな悪者、許さないんだから！</t>
    <phoneticPr fontId="5"/>
  </si>
  <si>
    <t>この盾は何も通さないのよ！</t>
    <rPh sb="2" eb="3">
      <t>タテ</t>
    </rPh>
    <rPh sb="4" eb="5">
      <t>ナニモ</t>
    </rPh>
    <rPh sb="6" eb="7">
      <t>トオサナイ</t>
    </rPh>
    <phoneticPr fontId="5"/>
  </si>
  <si>
    <t>グラウクス・エクリクシス</t>
    <phoneticPr fontId="5"/>
  </si>
  <si>
    <t>ケラウノス・ロンヒ</t>
    <phoneticPr fontId="5"/>
  </si>
  <si>
    <t>ケラウノス・ロンヒ</t>
    <phoneticPr fontId="5"/>
  </si>
  <si>
    <t>いい加減、あきらめなさいよ！</t>
    <phoneticPr fontId="5"/>
  </si>
  <si>
    <t>お邪魔パネルを吸収して全体攻撃</t>
    <phoneticPr fontId="5"/>
  </si>
  <si>
    <t>null</t>
    <phoneticPr fontId="5"/>
  </si>
  <si>
    <t>…え？本当に？悪者じゃないの？</t>
    <rPh sb="3" eb="5">
      <t>ホントウ</t>
    </rPh>
    <rPh sb="7" eb="9">
      <t>ワルモノ</t>
    </rPh>
    <phoneticPr fontId="5"/>
  </si>
  <si>
    <t>悪者じゃないなら証拠を見せなさいよ！</t>
    <rPh sb="0" eb="2">
      <t>ワルモノ</t>
    </rPh>
    <phoneticPr fontId="5"/>
  </si>
  <si>
    <t>だ…騙されないんだから！</t>
    <phoneticPr fontId="5"/>
  </si>
  <si>
    <t>お父様直伝の技、受けなさい！</t>
    <rPh sb="3" eb="5">
      <t>ジキデン</t>
    </rPh>
    <rPh sb="6" eb="7">
      <t>ワザヨ</t>
    </rPh>
    <rPh sb="8" eb="9">
      <t>ウケナサイ</t>
    </rPh>
    <phoneticPr fontId="5"/>
  </si>
  <si>
    <t>…わ…悪かったわよ！……ごめんなさい</t>
    <rPh sb="3" eb="4">
      <t>ワルカ</t>
    </rPh>
    <phoneticPr fontId="5"/>
  </si>
  <si>
    <t>コスト55以上のユニットに大ダメージ</t>
    <rPh sb="5" eb="7">
      <t>イジョウ</t>
    </rPh>
    <rPh sb="13" eb="14">
      <t>ダイ</t>
    </rPh>
    <phoneticPr fontId="5"/>
  </si>
  <si>
    <t>[effect:rush, count:6, val:0.2] ,[effect:enemy_message, val1:1.1, val2:1.5]</t>
    <phoneticPr fontId="5"/>
  </si>
  <si>
    <t>[effect:rush, count:4, val:0.25] ,[effect:enemy_message, val1:1.0, val2:1.5]</t>
    <phoneticPr fontId="5"/>
  </si>
  <si>
    <t>[effect:spread, val:0.3],[effect:enemy_message, val1:1.5, val2:1.5]</t>
    <phoneticPr fontId="5"/>
  </si>
  <si>
    <t>怒りの墜星</t>
    <phoneticPr fontId="5"/>
  </si>
  <si>
    <t>怒りの墜星</t>
    <phoneticPr fontId="5"/>
  </si>
  <si>
    <t>アキレスはアニマルに大ダメージを与える
全体攻撃を使用します
連れて行くユニットに注意しましょう</t>
    <phoneticPr fontId="5"/>
  </si>
  <si>
    <t>イザナミは強力な連続攻撃と
時限式ダメージパネル生成を
交互に使用します
優先的に狙うと良いでしょう</t>
    <phoneticPr fontId="5"/>
  </si>
  <si>
    <t>アテナは時限式ダメージパネルと
お邪魔パネルを巧みに利用して
攻撃を行ってきます
十分に気をつけましょう</t>
    <phoneticPr fontId="5"/>
  </si>
  <si>
    <t>アテナは強力な全体攻撃を多用します
ハートパネルでの回復が難しい場合は
スキルを使用して攻撃を凌ぎましょう</t>
    <phoneticPr fontId="5"/>
  </si>
  <si>
    <t>アテナは3ゲージ目になると
緑時限式ダメージパネルを生成します
対処が難しくなるので気をつけましょう</t>
    <phoneticPr fontId="5"/>
  </si>
  <si>
    <t>アテナとの和解</t>
    <phoneticPr fontId="5"/>
  </si>
  <si>
    <t>あなたを敵と認識して襲ってきたアテナを
退け、誤解を解くことに成功しました</t>
    <phoneticPr fontId="5"/>
  </si>
  <si>
    <t>アテナとゼウス</t>
    <phoneticPr fontId="5"/>
  </si>
  <si>
    <t>アテナはゼウスの娘のような存在です
彼の信頼を得たプレイヤーたちには
少し疑問を感じているようです</t>
    <phoneticPr fontId="5"/>
  </si>
  <si>
    <t>アテナの性格</t>
    <phoneticPr fontId="5"/>
  </si>
  <si>
    <t>フェイタル・バラドクスのサブAIである
アテナは正義感と責任感に満ちた性格です</t>
    <phoneticPr fontId="5"/>
  </si>
  <si>
    <t>old</t>
    <phoneticPr fontId="7"/>
  </si>
  <si>
    <t>[effect:damage_anti_tribe, target:unit_all, tribe:animal, val1:2, val2:0.25],[effect:enemy_message, val1:1.0, val2:2.0]</t>
    <phoneticPr fontId="5"/>
  </si>
  <si>
    <t>[effect:break_attack_fix, target:unit_one, val:1000, lowest_val:4000, count:-1, color:yellow, block01:jammer] ,[effect:enemy_message, val1:1.0, val2:1.6]</t>
    <phoneticPr fontId="5"/>
  </si>
  <si>
    <t>[effect:break_heal_fix, target:myself, val:3000, lowest_val:1000, count:-1, block01:block_yellow, animation:enemy_heal],[effect:enemy_message, val1:1.0, val2:1.4]</t>
    <phoneticPr fontId="5"/>
  </si>
  <si>
    <t>[effect:break_attack_fix, target:unit_all, val:350, lowest_val:1000, count:-1, color:yellow, block01:jammer] ,[effect:enemy_message, val1:1.0, val2:1.8]</t>
    <phoneticPr fontId="5"/>
  </si>
  <si>
    <t>[effect:break_attack_fix, target:unit_all, val:350, lowest_val:1000, count:-1, color:yellow, block01:block_yellow],[effect:enemy_message, val1:1.0, val2:1.6]</t>
    <phoneticPr fontId="5"/>
  </si>
  <si>
    <t>[effect:drop_block, block_type:time_bomb, block_color:block_yellow, color:block_blue, val:0.2, rate:1, turn:-1, min_time_count:3, max_time_count:3, animation:time_bomb_influence04],[effect:fix_speed, target:myself, turn:1],[effect:enemy_message, val1:1.5, val2:2.6]</t>
    <phoneticPr fontId="5"/>
  </si>
  <si>
    <t>[effect:break_attack_fix, target:unit_all, val:400, lowest_val:1500, count:-1, color:yellow, block01:jammer] ,[effect:enemy_message, val1:1.0, val2:1.8]</t>
    <phoneticPr fontId="5"/>
  </si>
  <si>
    <t>[effect:break_attack_fix, target:unit_one, val:500, lowest_val:3000, count:-1, color:yellow, block01:jammer]  ,[effect:enemy_message, val1:1.0, val2:1.6]</t>
    <phoneticPr fontId="5"/>
  </si>
  <si>
    <t>[effect:break_heal_fix, target:myself, val:1500, lowest_val:1000, count:-1, block01:block_yellow, animation:enemy_heal],[effect:enemy_message, val1:1.0, val2:1.4]</t>
    <phoneticPr fontId="5"/>
  </si>
  <si>
    <t>[effect:break_attack_fix, target:unit_all, val:150, lowest_val:500, count:-1, color:yellow, block01:jammer] ,[effect:enemy_message, val1:1.0, val2:1.8]</t>
    <phoneticPr fontId="5"/>
  </si>
  <si>
    <t>[effect:break_attack_fix, target:unit_all, val:150, lowest_val:500, count:-1, color:yellow, block01:block_yellow],[effect:enemy_message, val1:1.0, val2:1.6]</t>
    <phoneticPr fontId="5"/>
  </si>
  <si>
    <t>[effect:break_attack_fix, target:unit_all, val:150, lowest_val:500, count:-1, color:yellow, block01:jammer] ,[effect:enemy_message, val1:1.0, val2:1.8]</t>
    <phoneticPr fontId="5"/>
  </si>
  <si>
    <t>[effect:break_attack_fix, target:unit_all, val:200, lowest_val:500, count:-1, color:yellow, block01:jammer] ,[effect:enemy_message, val1:1.0, val2:2.1.8]</t>
    <phoneticPr fontId="5"/>
  </si>
  <si>
    <t>[effect:degrade_unit, target:unit_attack, turn:-1, status:action, val:2, calc:add, animation:enemy_tap_down],[effect:enemy_message, val1:2.1, val2:2.6]</t>
    <phoneticPr fontId="5"/>
  </si>
  <si>
    <t>[effect:drop_block, block_type:jammer, color:block_green, val:0, rate:1, turn:-1, animation:jammer_influence04],[effect:fix_speed, target:myself, turn:2],[effect:enemy_message, val1:2.0, val2:2.1]</t>
    <phoneticPr fontId="5"/>
  </si>
  <si>
    <t>[effect:break_enchance_enemy, target:myself, val:0.03, lowest_val:0.1, count :-1, status:attack, turn:-1, block01:jammer, calc:mul, animation:enemy_enhance_attack],[effect:enemy_message, val1:2.2, val2:1.8]</t>
    <phoneticPr fontId="5"/>
  </si>
  <si>
    <t>[effect:reduction, target:myself, turn:1, color:all, val:1, animation:reduction_one01],[effect:enemy_message, val1:1.5, val2:1.8]</t>
    <phoneticPr fontId="5"/>
  </si>
  <si>
    <t>[effect:break_attack_fix, target:unit_all, val:400, lowest_val:1500, count:-1, color:yellow, block01:jammer] ,[effect:enemy_message, val1:1.4, val2:1.8]</t>
    <phoneticPr fontId="5"/>
  </si>
  <si>
    <t>[effect:hungup, target:unit_attack/unit_balance, turn:5, rate:1, animation:hungup01],[effect:fix_speed, target:myself, turn:1],[effect:enemy_message, val1:1.6, val2:3.0]</t>
    <phoneticPr fontId="5"/>
  </si>
  <si>
    <t>[effect:break_attack_fix, target:unit_all, val:400, lowest_val:1500, count:-1, color:yellow, block01:block_yellow],[effect:enemy_message, val1:1.3, val2:1.6]</t>
    <phoneticPr fontId="5"/>
  </si>
  <si>
    <t>[effect:break_attack_fix, target:unit_all, val:400, lowest_val:1500, count:-1, color:yellow, block01:jammer] ,[effect:enemy_message, val1:1.6, val2:1.8]</t>
    <phoneticPr fontId="5"/>
  </si>
  <si>
    <t>[effect:enemy_message, val1:2.0, val2:2.1]</t>
    <phoneticPr fontId="5"/>
  </si>
  <si>
    <t>[effect:break_attack_fix, target:unit_all, val:200, lowest_val:500, count:-1, color:yellow, block01:jammer] ,[effect:enemy_message, val1:1.5, val2:1.8]</t>
    <phoneticPr fontId="5"/>
  </si>
  <si>
    <t>緑時限式ダメージパネルを5個生成+8連続攻撃</t>
    <rPh sb="0" eb="1">
      <t>ミドリ</t>
    </rPh>
    <rPh sb="1" eb="4">
      <t>ジゲンシ</t>
    </rPh>
    <phoneticPr fontId="5"/>
  </si>
  <si>
    <t>5ターン自身の攻撃力UP
+黄時限式パネルを10個生成</t>
    <rPh sb="4" eb="6">
      <t>ジシンノ</t>
    </rPh>
    <rPh sb="7" eb="10">
      <t>コウゲキリョク</t>
    </rPh>
    <rPh sb="14" eb="15">
      <t>キ</t>
    </rPh>
    <rPh sb="15" eb="18">
      <t>ジゲンシキパネル</t>
    </rPh>
    <rPh sb="25" eb="27">
      <t>セイセイ</t>
    </rPh>
    <phoneticPr fontId="5"/>
  </si>
  <si>
    <t>テクニカルタイプのユニットに大ダメージ
+お邪魔パネルを１5個生成</t>
    <rPh sb="31" eb="33">
      <t>セイセイ</t>
    </rPh>
    <phoneticPr fontId="5"/>
  </si>
  <si>
    <t>[effect:damage_anti_cost, target:unit_all, lower:55, val1:99.9, val2:0.01, cost_type:unit],[effect:damage_anti_cost, target:unit_all, lower:55, val1:99.9, val2:0.01, cost_type:unit],[effect:enemy_message, val1:1.2, val2:2.0]</t>
    <phoneticPr fontId="5"/>
  </si>
  <si>
    <t>[effect:force_change_block, new_block:jammer, target:block_all, ignore01:block_positive, ignore02:block_negative, count:5, val:0, animation:change_block],[effect:enemy_message, val1:1.0, val2:1.4]</t>
  </si>
  <si>
    <t>[effect:force_change_block, new_block:time_bomb, target:block_all, ignore01:block_positive, ignore02:block_negative, count:8, val:0.2, min_time_count:3, max_time_count:3, animation:change_block] ,[effect:enemy_message, val1:1.0, val2:1.9]</t>
  </si>
  <si>
    <t>[effect:enhance_enemy, target:myself, turn:5, status:attack, val:0.2, calc:mul, animation:enemy_enhance_attack],[effect:force_change_block, new_block:time_bomb, target:block_all, ignore01:block_positive, ignore02:block_negative, count:10, val:0.2, min_time_count:3, max_time_count:3, animation:change_block],[effect:fix_speed, target:myself, turn:1],[effect:enemy_message, val1:1.0, val2:2.6]</t>
  </si>
  <si>
    <t>[effect:force_change_block, new_block:time_bomb, target:block_all, ignore01:block_positive, ignore02:block_negative, count:8, val:0.2, min_time_count:3, max_time_count:3, animation:change_block],[effect:enemy_message, val1:1.0, val2:1.8]</t>
  </si>
  <si>
    <t>[effect:force_change_block, new_block:jammer, target:block_all, ignore01:block_positive, ignore02:block_negative, count:10, val:0, animation:change_block],[effect:enemy_message, val1:1.0, val2:1.4]</t>
  </si>
  <si>
    <t>[effect:damage_anti_type, target:unit_all, type:technical, val1:1.9, val2:0.1],[effect:force_change_block, new_block:jammer, target:block_all, ignore01:block_positive, ignore02:block_negative, count:15, val:0, animation:change_block],[effect:fix_speed, target:myself, turn:1],[effect:enemy_message, val1:1.0, val2:3.3]</t>
  </si>
  <si>
    <t>[effect:force_change_block, new_block:jammer, target:block_all, ignore01:block_positive, ignore02:block_negative, count:15, val:0, animation:change_block],[effect:enemy_message, val1:1.2, val2:1.4]</t>
  </si>
  <si>
    <t>[effect:force_change_block, new_block:time_bomb, target:block_all, ignore01:block_positive, ignore02:block_negative, color:block_green, count:5, val:0.2, min_time_count:3, max_time_count:3, animation:change_block] ,[effect:rush, count:8, val:0.2],[effect:enemy_message, val1:1.5, val2:2.5]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</si>
</sst>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horizontal="left" vertical="center"/>
    </xf>
    <xf numFmtId="0" fontId="16" fillId="38" borderId="7" xfId="0" applyFont="1" applyFill="1" applyBorder="1" applyAlignment="1">
      <alignment horizontal="left" vertical="center" wrapText="1"/>
    </xf>
    <xf numFmtId="0" fontId="16" fillId="39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horizontal="left" vertical="center"/>
    </xf>
    <xf numFmtId="0" fontId="16" fillId="39" borderId="7" xfId="0" applyFont="1" applyFill="1" applyBorder="1" applyAlignment="1">
      <alignment horizontal="left" vertical="center" wrapText="1"/>
    </xf>
    <xf numFmtId="0" fontId="16" fillId="40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48001</v>
          </cell>
        </row>
        <row r="238">
          <cell r="A238">
            <v>48002</v>
          </cell>
        </row>
        <row r="239">
          <cell r="A239">
            <v>48003</v>
          </cell>
        </row>
        <row r="240">
          <cell r="A240">
            <v>48004</v>
          </cell>
        </row>
        <row r="241">
          <cell r="A241">
            <v>48005</v>
          </cell>
        </row>
        <row r="242">
          <cell r="A242">
            <v>48006</v>
          </cell>
        </row>
        <row r="243">
          <cell r="A243">
            <v>48007</v>
          </cell>
        </row>
        <row r="244">
          <cell r="A244">
            <v>48008</v>
          </cell>
        </row>
        <row r="245">
          <cell r="A245">
            <v>48009</v>
          </cell>
        </row>
        <row r="246">
          <cell r="A246">
            <v>48010</v>
          </cell>
        </row>
        <row r="247">
          <cell r="A247">
            <v>48011</v>
          </cell>
        </row>
        <row r="248">
          <cell r="A248">
            <v>48012</v>
          </cell>
        </row>
        <row r="249">
          <cell r="A249">
            <v>48501</v>
          </cell>
        </row>
        <row r="250">
          <cell r="A250">
            <v>48502</v>
          </cell>
        </row>
        <row r="251">
          <cell r="A251">
            <v>48701</v>
          </cell>
        </row>
        <row r="252">
          <cell r="A252">
            <v>41001</v>
          </cell>
        </row>
        <row r="253">
          <cell r="A253">
            <v>41002</v>
          </cell>
        </row>
        <row r="254">
          <cell r="A254">
            <v>41003</v>
          </cell>
        </row>
        <row r="255">
          <cell r="A255">
            <v>41004</v>
          </cell>
        </row>
        <row r="256">
          <cell r="A256">
            <v>41005</v>
          </cell>
        </row>
        <row r="257">
          <cell r="A257">
            <v>41006</v>
          </cell>
        </row>
        <row r="258">
          <cell r="A258">
            <v>41007</v>
          </cell>
        </row>
        <row r="259">
          <cell r="A259">
            <v>41008</v>
          </cell>
        </row>
        <row r="260">
          <cell r="A260">
            <v>41009</v>
          </cell>
        </row>
        <row r="261">
          <cell r="A261">
            <v>41010</v>
          </cell>
        </row>
        <row r="262">
          <cell r="A262">
            <v>41011</v>
          </cell>
        </row>
        <row r="263">
          <cell r="A263">
            <v>41012</v>
          </cell>
        </row>
        <row r="264">
          <cell r="A264">
            <v>41013</v>
          </cell>
        </row>
        <row r="265">
          <cell r="A265">
            <v>41014</v>
          </cell>
        </row>
        <row r="266">
          <cell r="A266">
            <v>41015</v>
          </cell>
        </row>
        <row r="267">
          <cell r="A267">
            <v>47001</v>
          </cell>
        </row>
        <row r="268">
          <cell r="A268">
            <v>47002</v>
          </cell>
        </row>
        <row r="269">
          <cell r="A269">
            <v>47003</v>
          </cell>
        </row>
        <row r="270">
          <cell r="A270">
            <v>47004</v>
          </cell>
        </row>
        <row r="271">
          <cell r="A271">
            <v>47005</v>
          </cell>
        </row>
        <row r="272">
          <cell r="A272">
            <v>47006</v>
          </cell>
        </row>
        <row r="273">
          <cell r="A273">
            <v>47007</v>
          </cell>
        </row>
        <row r="274">
          <cell r="A274">
            <v>47008</v>
          </cell>
        </row>
        <row r="275">
          <cell r="A275">
            <v>47009</v>
          </cell>
        </row>
        <row r="276">
          <cell r="A276">
            <v>47010</v>
          </cell>
        </row>
        <row r="277">
          <cell r="A277">
            <v>47011</v>
          </cell>
        </row>
        <row r="278">
          <cell r="A278">
            <v>47012</v>
          </cell>
        </row>
        <row r="279">
          <cell r="A279">
            <v>49001</v>
          </cell>
        </row>
        <row r="280">
          <cell r="A280">
            <v>49002</v>
          </cell>
        </row>
        <row r="281">
          <cell r="A281">
            <v>49003</v>
          </cell>
        </row>
        <row r="282">
          <cell r="A282">
            <v>49004</v>
          </cell>
        </row>
        <row r="283">
          <cell r="A283">
            <v>49005</v>
          </cell>
        </row>
        <row r="284">
          <cell r="A284">
            <v>49006</v>
          </cell>
        </row>
        <row r="285">
          <cell r="A285">
            <v>49007</v>
          </cell>
        </row>
        <row r="286">
          <cell r="A286">
            <v>49008</v>
          </cell>
        </row>
        <row r="287">
          <cell r="A287">
            <v>49009</v>
          </cell>
        </row>
        <row r="288">
          <cell r="A288">
            <v>49010</v>
          </cell>
        </row>
        <row r="289">
          <cell r="A289">
            <v>49011</v>
          </cell>
        </row>
        <row r="290">
          <cell r="A290">
            <v>49012</v>
          </cell>
        </row>
        <row r="291">
          <cell r="A291">
            <v>49013</v>
          </cell>
        </row>
        <row r="292">
          <cell r="A292">
            <v>49014</v>
          </cell>
        </row>
        <row r="293">
          <cell r="A293">
            <v>49015</v>
          </cell>
        </row>
        <row r="294">
          <cell r="A294">
            <v>50001</v>
          </cell>
        </row>
        <row r="295">
          <cell r="A295">
            <v>50002</v>
          </cell>
        </row>
        <row r="296">
          <cell r="A296">
            <v>50003</v>
          </cell>
        </row>
        <row r="297">
          <cell r="A297">
            <v>50004</v>
          </cell>
        </row>
        <row r="298">
          <cell r="A298">
            <v>50005</v>
          </cell>
        </row>
        <row r="299">
          <cell r="A299">
            <v>50006</v>
          </cell>
        </row>
        <row r="300">
          <cell r="A300">
            <v>50007</v>
          </cell>
        </row>
        <row r="301">
          <cell r="A301">
            <v>50008</v>
          </cell>
        </row>
        <row r="302">
          <cell r="A302">
            <v>50009</v>
          </cell>
        </row>
        <row r="303">
          <cell r="A303">
            <v>50010</v>
          </cell>
        </row>
        <row r="304">
          <cell r="A304">
            <v>50011</v>
          </cell>
        </row>
        <row r="305">
          <cell r="A305">
            <v>50012</v>
          </cell>
        </row>
        <row r="306">
          <cell r="A306">
            <v>50013</v>
          </cell>
        </row>
        <row r="307">
          <cell r="A307">
            <v>50014</v>
          </cell>
        </row>
        <row r="308">
          <cell r="A308">
            <v>50015</v>
          </cell>
        </row>
        <row r="309">
          <cell r="A309">
            <v>51001</v>
          </cell>
        </row>
        <row r="310">
          <cell r="A310">
            <v>51002</v>
          </cell>
        </row>
        <row r="311">
          <cell r="A311">
            <v>58001</v>
          </cell>
        </row>
        <row r="312">
          <cell r="A312">
            <v>59001</v>
          </cell>
        </row>
        <row r="313">
          <cell r="A313">
            <v>59002</v>
          </cell>
        </row>
        <row r="314">
          <cell r="A314">
            <v>60001</v>
          </cell>
        </row>
        <row r="315">
          <cell r="A315">
            <v>60002</v>
          </cell>
        </row>
        <row r="316">
          <cell r="A316">
            <v>60003</v>
          </cell>
        </row>
        <row r="317">
          <cell r="A317">
            <v>60004</v>
          </cell>
        </row>
        <row r="318">
          <cell r="A318">
            <v>60005</v>
          </cell>
        </row>
        <row r="319">
          <cell r="A319">
            <v>60006</v>
          </cell>
        </row>
        <row r="320">
          <cell r="A320">
            <v>60007</v>
          </cell>
        </row>
        <row r="321">
          <cell r="A321">
            <v>60010</v>
          </cell>
        </row>
        <row r="322">
          <cell r="A322">
            <v>60011</v>
          </cell>
        </row>
        <row r="323">
          <cell r="A323">
            <v>61011</v>
          </cell>
        </row>
        <row r="324">
          <cell r="A324">
            <v>60012</v>
          </cell>
        </row>
        <row r="325">
          <cell r="A325">
            <v>60013</v>
          </cell>
        </row>
        <row r="326">
          <cell r="A326">
            <v>60014</v>
          </cell>
        </row>
        <row r="327">
          <cell r="A327">
            <v>60015</v>
          </cell>
        </row>
        <row r="328">
          <cell r="A328">
            <v>60016</v>
          </cell>
        </row>
        <row r="329">
          <cell r="A329">
            <v>60017</v>
          </cell>
        </row>
        <row r="330">
          <cell r="A330">
            <v>60018</v>
          </cell>
        </row>
        <row r="331">
          <cell r="A331">
            <v>60019</v>
          </cell>
        </row>
        <row r="332">
          <cell r="A332">
            <v>60020</v>
          </cell>
        </row>
        <row r="333">
          <cell r="A333">
            <v>60025</v>
          </cell>
        </row>
        <row r="334">
          <cell r="A334">
            <v>60026</v>
          </cell>
        </row>
        <row r="335">
          <cell r="A335">
            <v>60027</v>
          </cell>
        </row>
        <row r="336">
          <cell r="A336">
            <v>60028</v>
          </cell>
        </row>
        <row r="337">
          <cell r="A337">
            <v>65525</v>
          </cell>
        </row>
        <row r="338">
          <cell r="A338">
            <v>65526</v>
          </cell>
        </row>
        <row r="339">
          <cell r="A339">
            <v>65527</v>
          </cell>
        </row>
        <row r="340">
          <cell r="A340">
            <v>65528</v>
          </cell>
        </row>
        <row r="341">
          <cell r="A341">
            <v>65529</v>
          </cell>
        </row>
        <row r="342">
          <cell r="A342">
            <v>65530</v>
          </cell>
        </row>
        <row r="343">
          <cell r="A343">
            <v>65531</v>
          </cell>
        </row>
        <row r="344">
          <cell r="A344">
            <v>65532</v>
          </cell>
        </row>
        <row r="345">
          <cell r="A345">
            <v>65533</v>
          </cell>
        </row>
        <row r="346">
          <cell r="A346">
            <v>65534</v>
          </cell>
        </row>
        <row r="347">
          <cell r="A347">
            <v>65535</v>
          </cell>
        </row>
        <row r="348">
          <cell r="A348">
            <v>60021</v>
          </cell>
        </row>
        <row r="349">
          <cell r="A349">
            <v>60022</v>
          </cell>
        </row>
        <row r="350">
          <cell r="A350">
            <v>60023</v>
          </cell>
        </row>
        <row r="351">
          <cell r="A35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41001_1</v>
          </cell>
        </row>
        <row r="794">
          <cell r="A794" t="str">
            <v>41001_2</v>
          </cell>
        </row>
        <row r="795">
          <cell r="A795" t="str">
            <v>41001_3</v>
          </cell>
        </row>
        <row r="796">
          <cell r="A796" t="str">
            <v>41002_1</v>
          </cell>
        </row>
        <row r="797">
          <cell r="A797" t="str">
            <v>41002_2</v>
          </cell>
        </row>
        <row r="798">
          <cell r="A798" t="str">
            <v>41002_3</v>
          </cell>
        </row>
        <row r="799">
          <cell r="A799" t="str">
            <v>41003_1</v>
          </cell>
        </row>
        <row r="800">
          <cell r="A800" t="str">
            <v>41003_2</v>
          </cell>
        </row>
        <row r="801">
          <cell r="A801" t="str">
            <v>41003_3</v>
          </cell>
        </row>
        <row r="802">
          <cell r="A802" t="str">
            <v>41004_1</v>
          </cell>
        </row>
        <row r="803">
          <cell r="A803" t="str">
            <v>41004_2</v>
          </cell>
        </row>
        <row r="804">
          <cell r="A804" t="str">
            <v>41004_3</v>
          </cell>
        </row>
        <row r="805">
          <cell r="A805" t="str">
            <v>41005_1</v>
          </cell>
        </row>
        <row r="806">
          <cell r="A806" t="str">
            <v>41005_2</v>
          </cell>
        </row>
        <row r="807">
          <cell r="A807" t="str">
            <v>41005_3</v>
          </cell>
        </row>
        <row r="808">
          <cell r="A808" t="str">
            <v>41006_1</v>
          </cell>
        </row>
        <row r="809">
          <cell r="A809" t="str">
            <v>41006_2</v>
          </cell>
        </row>
        <row r="810">
          <cell r="A810" t="str">
            <v>41006_3</v>
          </cell>
        </row>
        <row r="811">
          <cell r="A811" t="str">
            <v>41007_1</v>
          </cell>
        </row>
        <row r="812">
          <cell r="A812" t="str">
            <v>41007_2</v>
          </cell>
        </row>
        <row r="813">
          <cell r="A813" t="str">
            <v>41007_3</v>
          </cell>
        </row>
        <row r="814">
          <cell r="A814" t="str">
            <v>41008_1</v>
          </cell>
        </row>
        <row r="815">
          <cell r="A815" t="str">
            <v>41008_2</v>
          </cell>
        </row>
        <row r="816">
          <cell r="A816" t="str">
            <v>41008_3</v>
          </cell>
        </row>
        <row r="817">
          <cell r="A817" t="str">
            <v>41009_1</v>
          </cell>
        </row>
        <row r="818">
          <cell r="A818" t="str">
            <v>41009_2</v>
          </cell>
        </row>
        <row r="819">
          <cell r="A819" t="str">
            <v>41009_3</v>
          </cell>
        </row>
        <row r="820">
          <cell r="A820" t="str">
            <v>41010_1</v>
          </cell>
        </row>
        <row r="821">
          <cell r="A821" t="str">
            <v>41010_2</v>
          </cell>
        </row>
        <row r="822">
          <cell r="A822" t="str">
            <v>41010_3</v>
          </cell>
        </row>
        <row r="823">
          <cell r="A823" t="str">
            <v>41011_1</v>
          </cell>
        </row>
        <row r="824">
          <cell r="A824" t="str">
            <v>41011_2</v>
          </cell>
        </row>
        <row r="825">
          <cell r="A825" t="str">
            <v>41012_1</v>
          </cell>
        </row>
        <row r="826">
          <cell r="A826" t="str">
            <v>41012_2</v>
          </cell>
        </row>
        <row r="827">
          <cell r="A827" t="str">
            <v>41013_1</v>
          </cell>
        </row>
        <row r="828">
          <cell r="A828" t="str">
            <v>41013_2</v>
          </cell>
        </row>
        <row r="829">
          <cell r="A829" t="str">
            <v>41014_1</v>
          </cell>
        </row>
        <row r="830">
          <cell r="A830" t="str">
            <v>41014_2</v>
          </cell>
        </row>
        <row r="831">
          <cell r="A831" t="str">
            <v>41015_1</v>
          </cell>
        </row>
        <row r="832">
          <cell r="A832" t="str">
            <v>41015_2</v>
          </cell>
        </row>
        <row r="833">
          <cell r="A833" t="str">
            <v>47001_1</v>
          </cell>
        </row>
        <row r="834">
          <cell r="A834" t="str">
            <v>47001_2</v>
          </cell>
        </row>
        <row r="835">
          <cell r="A835" t="str">
            <v>47002_1</v>
          </cell>
        </row>
        <row r="836">
          <cell r="A836" t="str">
            <v>47002_2</v>
          </cell>
        </row>
        <row r="837">
          <cell r="A837" t="str">
            <v>47003_1</v>
          </cell>
        </row>
        <row r="838">
          <cell r="A838" t="str">
            <v>47003_2</v>
          </cell>
        </row>
        <row r="839">
          <cell r="A839" t="str">
            <v>47003_3</v>
          </cell>
        </row>
        <row r="840">
          <cell r="A840" t="str">
            <v>47003_4</v>
          </cell>
        </row>
        <row r="841">
          <cell r="A841" t="str">
            <v>47004_1</v>
          </cell>
        </row>
        <row r="842">
          <cell r="A842" t="str">
            <v>47004_2</v>
          </cell>
        </row>
        <row r="843">
          <cell r="A843" t="str">
            <v>47004_3</v>
          </cell>
        </row>
        <row r="844">
          <cell r="A844" t="str">
            <v>47004_4</v>
          </cell>
        </row>
        <row r="845">
          <cell r="A845" t="str">
            <v>47005_1</v>
          </cell>
        </row>
        <row r="846">
          <cell r="A846" t="str">
            <v>47006_1</v>
          </cell>
        </row>
        <row r="847">
          <cell r="A847" t="str">
            <v>47006_2</v>
          </cell>
        </row>
        <row r="848">
          <cell r="A848" t="str">
            <v>47007_1</v>
          </cell>
        </row>
        <row r="849">
          <cell r="A849" t="str">
            <v>47007_2</v>
          </cell>
        </row>
        <row r="850">
          <cell r="A850" t="str">
            <v>47008_1</v>
          </cell>
        </row>
        <row r="851">
          <cell r="A851" t="str">
            <v>47008_2</v>
          </cell>
        </row>
        <row r="852">
          <cell r="A852" t="str">
            <v>47009_1</v>
          </cell>
        </row>
        <row r="853">
          <cell r="A853" t="str">
            <v>47009_2</v>
          </cell>
        </row>
        <row r="854">
          <cell r="A854" t="str">
            <v>47010_1</v>
          </cell>
        </row>
        <row r="855">
          <cell r="A855" t="str">
            <v>47010_2</v>
          </cell>
        </row>
        <row r="856">
          <cell r="A856" t="str">
            <v>47011_1</v>
          </cell>
        </row>
        <row r="857">
          <cell r="A857" t="str">
            <v>47012_1</v>
          </cell>
        </row>
        <row r="858">
          <cell r="A858" t="str">
            <v>47012_2</v>
          </cell>
        </row>
        <row r="859">
          <cell r="A859" t="str">
            <v>48001_1</v>
          </cell>
        </row>
        <row r="860">
          <cell r="A860" t="str">
            <v>48002_1</v>
          </cell>
        </row>
        <row r="861">
          <cell r="A861" t="str">
            <v>48002_2</v>
          </cell>
        </row>
        <row r="862">
          <cell r="A862" t="str">
            <v>48002_3</v>
          </cell>
        </row>
        <row r="863">
          <cell r="A863" t="str">
            <v>48003_1</v>
          </cell>
        </row>
        <row r="864">
          <cell r="A864" t="str">
            <v>48003_2</v>
          </cell>
        </row>
        <row r="865">
          <cell r="A865" t="str">
            <v>48004_1</v>
          </cell>
        </row>
        <row r="866">
          <cell r="A866" t="str">
            <v>48004_2</v>
          </cell>
        </row>
        <row r="867">
          <cell r="A867" t="str">
            <v>48005_1</v>
          </cell>
        </row>
        <row r="868">
          <cell r="A868" t="str">
            <v>48005_2</v>
          </cell>
        </row>
        <row r="869">
          <cell r="A869" t="str">
            <v>48006_1</v>
          </cell>
        </row>
        <row r="870">
          <cell r="A870" t="str">
            <v>48006_2</v>
          </cell>
        </row>
        <row r="871">
          <cell r="A871" t="str">
            <v>48007_1</v>
          </cell>
        </row>
        <row r="872">
          <cell r="A872" t="str">
            <v>48007_2</v>
          </cell>
        </row>
        <row r="873">
          <cell r="A873" t="str">
            <v>48008_1</v>
          </cell>
        </row>
        <row r="874">
          <cell r="A874" t="str">
            <v>48008_2</v>
          </cell>
        </row>
        <row r="875">
          <cell r="A875" t="str">
            <v>48009_1</v>
          </cell>
        </row>
        <row r="876">
          <cell r="A876" t="str">
            <v>48009_2</v>
          </cell>
        </row>
        <row r="877">
          <cell r="A877" t="str">
            <v>48010_1</v>
          </cell>
        </row>
        <row r="878">
          <cell r="A878" t="str">
            <v>48011_1</v>
          </cell>
        </row>
        <row r="879">
          <cell r="A879" t="str">
            <v>48011_2</v>
          </cell>
        </row>
        <row r="880">
          <cell r="A880" t="str">
            <v>48012_1</v>
          </cell>
        </row>
        <row r="881">
          <cell r="A881" t="str">
            <v>48012_2</v>
          </cell>
        </row>
        <row r="882">
          <cell r="A882" t="str">
            <v>48501_1</v>
          </cell>
        </row>
        <row r="883">
          <cell r="A883" t="str">
            <v>48501_2</v>
          </cell>
        </row>
        <row r="884">
          <cell r="A884" t="str">
            <v>48502_1</v>
          </cell>
        </row>
        <row r="885">
          <cell r="A885" t="str">
            <v>48502_2</v>
          </cell>
        </row>
        <row r="886">
          <cell r="A886" t="str">
            <v>48701_1</v>
          </cell>
        </row>
        <row r="887">
          <cell r="A887" t="str">
            <v>48701_2</v>
          </cell>
        </row>
        <row r="888">
          <cell r="A888" t="str">
            <v>49001_1</v>
          </cell>
        </row>
        <row r="889">
          <cell r="A889" t="str">
            <v>49002_1</v>
          </cell>
        </row>
        <row r="890">
          <cell r="A890" t="str">
            <v>49002_2</v>
          </cell>
        </row>
        <row r="891">
          <cell r="A891" t="str">
            <v>49003_1</v>
          </cell>
        </row>
        <row r="892">
          <cell r="A892" t="str">
            <v>49003_2</v>
          </cell>
        </row>
        <row r="893">
          <cell r="A893" t="str">
            <v>49004_1</v>
          </cell>
        </row>
        <row r="894">
          <cell r="A894" t="str">
            <v>49004_2</v>
          </cell>
        </row>
        <row r="895">
          <cell r="A895" t="str">
            <v>49004_3</v>
          </cell>
        </row>
        <row r="896">
          <cell r="A896" t="str">
            <v>49005_1</v>
          </cell>
        </row>
        <row r="897">
          <cell r="A897" t="str">
            <v>49006_1</v>
          </cell>
        </row>
        <row r="898">
          <cell r="A898" t="str">
            <v>49006_2</v>
          </cell>
        </row>
        <row r="899">
          <cell r="A899" t="str">
            <v>49007_1</v>
          </cell>
        </row>
        <row r="900">
          <cell r="A900" t="str">
            <v>49007_2</v>
          </cell>
        </row>
        <row r="901">
          <cell r="A901" t="str">
            <v>49007_3</v>
          </cell>
        </row>
        <row r="902">
          <cell r="A902" t="str">
            <v>49008_1</v>
          </cell>
        </row>
        <row r="903">
          <cell r="A903" t="str">
            <v>49009_1</v>
          </cell>
        </row>
        <row r="904">
          <cell r="A904" t="str">
            <v>49010_1</v>
          </cell>
        </row>
        <row r="905">
          <cell r="A905" t="str">
            <v>49011_1</v>
          </cell>
        </row>
        <row r="906">
          <cell r="A906" t="str">
            <v>49012_1</v>
          </cell>
        </row>
        <row r="907">
          <cell r="A907" t="str">
            <v>49013_1</v>
          </cell>
        </row>
        <row r="908">
          <cell r="A908" t="str">
            <v>49014_1</v>
          </cell>
        </row>
        <row r="909">
          <cell r="A909" t="str">
            <v>49014_2</v>
          </cell>
        </row>
        <row r="910">
          <cell r="A910" t="str">
            <v>49015_1</v>
          </cell>
        </row>
        <row r="911">
          <cell r="A911" t="str">
            <v>49015_2</v>
          </cell>
        </row>
        <row r="912">
          <cell r="A912" t="str">
            <v>49015_3</v>
          </cell>
        </row>
        <row r="913">
          <cell r="A913" t="str">
            <v>50001_1</v>
          </cell>
        </row>
        <row r="914">
          <cell r="A914" t="str">
            <v>50002_1</v>
          </cell>
        </row>
        <row r="915">
          <cell r="A915" t="str">
            <v>50003_1</v>
          </cell>
        </row>
        <row r="916">
          <cell r="A916" t="str">
            <v>50004_1</v>
          </cell>
        </row>
        <row r="917">
          <cell r="A917" t="str">
            <v>50005_1</v>
          </cell>
        </row>
        <row r="918">
          <cell r="A918" t="str">
            <v>50006_1</v>
          </cell>
        </row>
        <row r="919">
          <cell r="A919" t="str">
            <v>50007_1</v>
          </cell>
        </row>
        <row r="920">
          <cell r="A920" t="str">
            <v>50008_1</v>
          </cell>
        </row>
        <row r="921">
          <cell r="A921" t="str">
            <v>50009_1</v>
          </cell>
        </row>
        <row r="922">
          <cell r="A922" t="str">
            <v>50010_1</v>
          </cell>
        </row>
        <row r="923">
          <cell r="A923" t="str">
            <v>50011_1</v>
          </cell>
        </row>
        <row r="924">
          <cell r="A924" t="str">
            <v>50012_1</v>
          </cell>
        </row>
        <row r="925">
          <cell r="A925" t="str">
            <v>50013_1</v>
          </cell>
        </row>
        <row r="926">
          <cell r="A926" t="str">
            <v>50014_1</v>
          </cell>
        </row>
        <row r="927">
          <cell r="A927" t="str">
            <v>50015_1</v>
          </cell>
        </row>
        <row r="928">
          <cell r="A928" t="str">
            <v>51001_1</v>
          </cell>
        </row>
        <row r="929">
          <cell r="A929" t="str">
            <v>51002_1</v>
          </cell>
        </row>
        <row r="930">
          <cell r="A930" t="str">
            <v>58001_1</v>
          </cell>
        </row>
        <row r="931">
          <cell r="A931" t="str">
            <v>59001_1</v>
          </cell>
        </row>
        <row r="932">
          <cell r="A932" t="str">
            <v>59002_1</v>
          </cell>
        </row>
        <row r="933">
          <cell r="A933" t="str">
            <v>60001_1</v>
          </cell>
        </row>
        <row r="934">
          <cell r="A934" t="str">
            <v>60002_1</v>
          </cell>
        </row>
        <row r="935">
          <cell r="A935" t="str">
            <v>60002_2</v>
          </cell>
        </row>
        <row r="936">
          <cell r="A936" t="str">
            <v>60003_1</v>
          </cell>
        </row>
        <row r="937">
          <cell r="A937" t="str">
            <v>60003_2</v>
          </cell>
        </row>
        <row r="938">
          <cell r="A938" t="str">
            <v>60003_3</v>
          </cell>
        </row>
        <row r="939">
          <cell r="A939" t="str">
            <v>60004_1</v>
          </cell>
        </row>
        <row r="940">
          <cell r="A940" t="str">
            <v>60005_1</v>
          </cell>
        </row>
        <row r="941">
          <cell r="A941" t="str">
            <v>60006_1</v>
          </cell>
        </row>
        <row r="942">
          <cell r="A942" t="str">
            <v>60006_2</v>
          </cell>
        </row>
        <row r="943">
          <cell r="A943" t="str">
            <v>60006_3</v>
          </cell>
        </row>
        <row r="944">
          <cell r="A944" t="str">
            <v>60007_1</v>
          </cell>
        </row>
        <row r="945">
          <cell r="A945" t="str">
            <v>60007_2</v>
          </cell>
        </row>
        <row r="946">
          <cell r="A946" t="str">
            <v>60007_3</v>
          </cell>
        </row>
        <row r="947">
          <cell r="A947" t="str">
            <v>60010_1</v>
          </cell>
        </row>
        <row r="948">
          <cell r="A948" t="str">
            <v>60011_1</v>
          </cell>
        </row>
        <row r="949">
          <cell r="A949" t="str">
            <v>60011_2</v>
          </cell>
        </row>
        <row r="950">
          <cell r="A950" t="str">
            <v>60012_1</v>
          </cell>
        </row>
        <row r="951">
          <cell r="A951" t="str">
            <v>60013_1</v>
          </cell>
        </row>
        <row r="952">
          <cell r="A952" t="str">
            <v>60013_2</v>
          </cell>
        </row>
        <row r="953">
          <cell r="A953" t="str">
            <v>60013_3</v>
          </cell>
        </row>
        <row r="954">
          <cell r="A954" t="str">
            <v>60014_1</v>
          </cell>
        </row>
        <row r="955">
          <cell r="A955" t="str">
            <v>60015_1</v>
          </cell>
        </row>
        <row r="956">
          <cell r="A956" t="str">
            <v>60016_1</v>
          </cell>
        </row>
        <row r="957">
          <cell r="A957" t="str">
            <v>60017_1</v>
          </cell>
        </row>
        <row r="958">
          <cell r="A958" t="str">
            <v>60018_1</v>
          </cell>
        </row>
        <row r="959">
          <cell r="A959" t="str">
            <v>60019_1</v>
          </cell>
        </row>
        <row r="960">
          <cell r="A960" t="str">
            <v>60020_1</v>
          </cell>
        </row>
        <row r="961">
          <cell r="A961" t="str">
            <v>60021_3</v>
          </cell>
        </row>
        <row r="962">
          <cell r="A962" t="str">
            <v>60022_3</v>
          </cell>
        </row>
        <row r="963">
          <cell r="A963" t="str">
            <v>60023_3</v>
          </cell>
        </row>
        <row r="964">
          <cell r="A964" t="str">
            <v>60024_3</v>
          </cell>
        </row>
        <row r="965">
          <cell r="A965" t="str">
            <v>60025_1</v>
          </cell>
        </row>
        <row r="966">
          <cell r="A966" t="str">
            <v>60026_1</v>
          </cell>
        </row>
        <row r="967">
          <cell r="A967" t="str">
            <v>61011_1</v>
          </cell>
        </row>
        <row r="968">
          <cell r="A968" t="str">
            <v>60027_1</v>
          </cell>
        </row>
        <row r="969">
          <cell r="A969" t="str">
            <v>60028_1</v>
          </cell>
        </row>
        <row r="970">
          <cell r="A970" t="str">
            <v>65525_1</v>
          </cell>
        </row>
        <row r="971">
          <cell r="A971" t="str">
            <v>65526_1</v>
          </cell>
        </row>
        <row r="972">
          <cell r="A972" t="str">
            <v>65526_2</v>
          </cell>
        </row>
        <row r="973">
          <cell r="A973" t="str">
            <v>65527_1</v>
          </cell>
        </row>
        <row r="974">
          <cell r="A974" t="str">
            <v>65528_1</v>
          </cell>
        </row>
        <row r="975">
          <cell r="A975" t="str">
            <v>65529_1</v>
          </cell>
        </row>
        <row r="976">
          <cell r="A976" t="str">
            <v>65530_1</v>
          </cell>
        </row>
        <row r="977">
          <cell r="A977" t="str">
            <v>65531_1</v>
          </cell>
        </row>
        <row r="978">
          <cell r="A978" t="str">
            <v>65531_2</v>
          </cell>
        </row>
        <row r="979">
          <cell r="A979" t="str">
            <v>65532_1</v>
          </cell>
        </row>
        <row r="980">
          <cell r="A980" t="str">
            <v>65532_2</v>
          </cell>
        </row>
        <row r="981">
          <cell r="A981" t="str">
            <v>65533_1</v>
          </cell>
        </row>
        <row r="982">
          <cell r="A982" t="str">
            <v>65533_2</v>
          </cell>
        </row>
        <row r="983">
          <cell r="A983" t="str">
            <v>65534_1</v>
          </cell>
        </row>
        <row r="984">
          <cell r="A984" t="str">
            <v>65534_2</v>
          </cell>
        </row>
        <row r="985">
          <cell r="A985" t="str">
            <v>65535_1</v>
          </cell>
        </row>
        <row r="986">
          <cell r="A986" t="str">
            <v>65535_2</v>
          </cell>
        </row>
        <row r="987">
          <cell r="A987" t="str">
            <v>65535_3</v>
          </cell>
        </row>
        <row r="988">
          <cell r="A988" t="str">
            <v>65535_4</v>
          </cell>
        </row>
        <row r="989">
          <cell r="A989" t="str">
            <v>65535_5</v>
          </cell>
        </row>
        <row r="990">
          <cell r="A990" t="str">
            <v>65535_6</v>
          </cell>
        </row>
        <row r="991">
          <cell r="A991" t="str">
            <v>65535_7</v>
          </cell>
        </row>
        <row r="992">
          <cell r="A992" t="str">
            <v>65535_8</v>
          </cell>
        </row>
        <row r="993">
          <cell r="A993" t="str">
            <v>65535_9</v>
          </cell>
        </row>
        <row r="994">
          <cell r="A99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3" sqref="A13"/>
    </sheetView>
  </sheetViews>
  <sheetFormatPr baseColWidth="12" defaultRowHeight="15" x14ac:dyDescent="0.15"/>
  <cols>
    <col min="2" max="2" width="17.6640625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268</v>
      </c>
      <c r="B2" s="56" t="s">
        <v>106</v>
      </c>
      <c r="C2" s="61">
        <v>40033</v>
      </c>
      <c r="D2" s="56" t="s">
        <v>107</v>
      </c>
      <c r="E2" s="55" t="str">
        <f>B2&amp;C2&amp;D2</f>
        <v>floors_40033.tmp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268</v>
      </c>
      <c r="B3" s="56" t="s">
        <v>109</v>
      </c>
      <c r="C3" s="61">
        <v>40033</v>
      </c>
      <c r="D3" s="56" t="s">
        <v>107</v>
      </c>
      <c r="E3" s="55" t="str">
        <f>B3&amp;C3&amp;D3</f>
        <v>enemy_habitats_40033.tmp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178</v>
      </c>
    </row>
    <row r="4" spans="1:30" x14ac:dyDescent="0.15">
      <c r="A4" s="60" t="s">
        <v>268</v>
      </c>
      <c r="B4" s="56" t="s">
        <v>111</v>
      </c>
      <c r="C4" s="61">
        <v>40033</v>
      </c>
      <c r="D4" s="56" t="s">
        <v>107</v>
      </c>
      <c r="E4" s="55" t="str">
        <f>B4&amp;C4&amp;D4</f>
        <v>enemy_habitat_S_40033.tmp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268</v>
      </c>
      <c r="B5" s="56" t="s">
        <v>113</v>
      </c>
      <c r="C5" s="61">
        <v>40033</v>
      </c>
      <c r="D5" s="56" t="s">
        <v>107</v>
      </c>
      <c r="E5" s="55" t="str">
        <f>B5&amp;C5&amp;D5</f>
        <v>enemy_skill_sets_40033.tmp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268</v>
      </c>
      <c r="B6" s="56" t="s">
        <v>115</v>
      </c>
      <c r="C6" s="61">
        <v>40033</v>
      </c>
      <c r="D6" s="56" t="s">
        <v>116</v>
      </c>
      <c r="E6" s="55" t="str">
        <f t="shared" ref="E6:E10" si="0">B6&amp;C6&amp;D6</f>
        <v>enemy_skills_tmp_40033.tmp</v>
      </c>
      <c r="F6" s="56" t="s">
        <v>90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268</v>
      </c>
      <c r="B7" s="56" t="s">
        <v>117</v>
      </c>
      <c r="C7" s="61">
        <v>40033</v>
      </c>
      <c r="D7" s="56" t="s">
        <v>107</v>
      </c>
      <c r="E7" s="55" t="str">
        <f>B7&amp;C7&amp;D7</f>
        <v>enemy_skills_i18n_40033.tmp</v>
      </c>
      <c r="F7" s="56" t="s">
        <v>118</v>
      </c>
      <c r="G7" s="57" t="s">
        <v>79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268</v>
      </c>
      <c r="B8" s="56" t="s">
        <v>119</v>
      </c>
      <c r="C8" s="61">
        <v>40033</v>
      </c>
      <c r="D8" s="56" t="s">
        <v>120</v>
      </c>
      <c r="E8" s="55" t="str">
        <f t="shared" si="0"/>
        <v>enemy_skill_triggers_40033.tmp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280</v>
      </c>
      <c r="B9" s="66" t="s">
        <v>177</v>
      </c>
      <c r="C9" s="61">
        <v>40033</v>
      </c>
      <c r="D9" s="66" t="s">
        <v>171</v>
      </c>
      <c r="E9" s="67" t="str">
        <f t="shared" si="0"/>
        <v>stage_bug_bonuses_40033.tmp</v>
      </c>
      <c r="F9" s="66" t="s">
        <v>172</v>
      </c>
      <c r="G9" s="63" t="s">
        <v>150</v>
      </c>
      <c r="H9" s="63" t="s">
        <v>173</v>
      </c>
      <c r="I9" s="63" t="s">
        <v>174</v>
      </c>
      <c r="J9" s="65" t="s">
        <v>175</v>
      </c>
      <c r="K9" s="63" t="s">
        <v>176</v>
      </c>
      <c r="L9" s="63" t="s">
        <v>156</v>
      </c>
      <c r="M9" s="63" t="s">
        <v>157</v>
      </c>
      <c r="N9" s="63" t="s">
        <v>158</v>
      </c>
      <c r="O9" s="63" t="s">
        <v>159</v>
      </c>
      <c r="P9" s="63" t="s">
        <v>160</v>
      </c>
      <c r="Q9" s="63" t="s">
        <v>161</v>
      </c>
      <c r="R9" s="63" t="s">
        <v>162</v>
      </c>
      <c r="S9" s="63" t="s">
        <v>163</v>
      </c>
      <c r="T9" s="63" t="s">
        <v>164</v>
      </c>
      <c r="U9" s="63" t="s">
        <v>165</v>
      </c>
      <c r="V9" s="63" t="s">
        <v>166</v>
      </c>
      <c r="W9" s="63" t="s">
        <v>167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187</v>
      </c>
      <c r="B10" s="66" t="s">
        <v>202</v>
      </c>
      <c r="C10" s="61">
        <v>40033</v>
      </c>
      <c r="D10" s="66" t="s">
        <v>180</v>
      </c>
      <c r="E10" s="67" t="str">
        <f t="shared" si="0"/>
        <v>stage_hints_data_c_40033.tmp</v>
      </c>
      <c r="F10" s="66" t="s">
        <v>210</v>
      </c>
      <c r="G10" s="72" t="s">
        <v>181</v>
      </c>
      <c r="H10" s="72" t="s">
        <v>173</v>
      </c>
      <c r="I10" s="73" t="s">
        <v>182</v>
      </c>
      <c r="J10" s="65" t="s">
        <v>183</v>
      </c>
      <c r="K10" s="65" t="s">
        <v>184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0" t="s">
        <v>280</v>
      </c>
      <c r="B11" s="66" t="s">
        <v>203</v>
      </c>
      <c r="C11" s="61">
        <v>40033</v>
      </c>
      <c r="D11" s="66" t="s">
        <v>171</v>
      </c>
      <c r="E11" s="67" t="str">
        <f t="shared" ref="E11:E13" si="1">B11&amp;C11&amp;D11</f>
        <v>stage_hints_data_f_40033.tmp</v>
      </c>
      <c r="F11" s="66" t="s">
        <v>211</v>
      </c>
      <c r="G11" s="72" t="s">
        <v>181</v>
      </c>
      <c r="H11" s="72" t="s">
        <v>173</v>
      </c>
      <c r="I11" s="73" t="s">
        <v>182</v>
      </c>
      <c r="J11" s="65" t="s">
        <v>183</v>
      </c>
      <c r="K11" s="65" t="s">
        <v>184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6" t="s">
        <v>350</v>
      </c>
      <c r="B12" s="66" t="s">
        <v>204</v>
      </c>
      <c r="C12" s="61">
        <v>40033</v>
      </c>
      <c r="D12" s="66" t="s">
        <v>171</v>
      </c>
      <c r="E12" s="67" t="str">
        <f t="shared" si="1"/>
        <v>stage_hints_i18n_40033.tmp</v>
      </c>
      <c r="F12" s="66" t="s">
        <v>212</v>
      </c>
      <c r="G12" s="73" t="s">
        <v>205</v>
      </c>
      <c r="H12" s="92" t="s">
        <v>206</v>
      </c>
      <c r="I12" s="72" t="s">
        <v>207</v>
      </c>
      <c r="J12" s="100" t="s">
        <v>208</v>
      </c>
      <c r="K12" s="65" t="s">
        <v>209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6" t="s">
        <v>281</v>
      </c>
      <c r="B13" s="66" t="s">
        <v>252</v>
      </c>
      <c r="C13" s="61">
        <v>40033</v>
      </c>
      <c r="D13" s="66" t="s">
        <v>233</v>
      </c>
      <c r="E13" s="67" t="str">
        <f t="shared" si="1"/>
        <v>stage_bonuses_40033.tmp</v>
      </c>
      <c r="F13" s="66" t="s">
        <v>232</v>
      </c>
      <c r="G13" s="72" t="s">
        <v>234</v>
      </c>
      <c r="H13" s="72" t="s">
        <v>235</v>
      </c>
      <c r="I13" s="72" t="s">
        <v>236</v>
      </c>
      <c r="J13" s="72" t="s">
        <v>237</v>
      </c>
      <c r="K13" s="72" t="s">
        <v>238</v>
      </c>
      <c r="L13" s="72" t="s">
        <v>239</v>
      </c>
      <c r="M13" s="72" t="s">
        <v>240</v>
      </c>
      <c r="N13" s="72" t="s">
        <v>241</v>
      </c>
      <c r="O13" s="72" t="s">
        <v>242</v>
      </c>
      <c r="P13" s="72" t="s">
        <v>243</v>
      </c>
      <c r="Q13" s="72" t="s">
        <v>244</v>
      </c>
      <c r="R13" s="72" t="s">
        <v>245</v>
      </c>
      <c r="S13" s="72" t="s">
        <v>246</v>
      </c>
      <c r="T13" s="72" t="s">
        <v>247</v>
      </c>
      <c r="U13" s="72" t="s">
        <v>248</v>
      </c>
      <c r="V13" s="72" t="s">
        <v>249</v>
      </c>
      <c r="W13" s="72" t="s">
        <v>250</v>
      </c>
      <c r="X13" s="72" t="s">
        <v>251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K3" sqref="K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7" si="0">G2&amp;"-"&amp;I2</f>
        <v>40033_1-1</v>
      </c>
      <c r="B2" s="16" t="str">
        <f>IF(COUNTIF(enemy_habitats!$H:$H,A2),"OK","NG")</f>
        <v>OK</v>
      </c>
      <c r="C2" s="7">
        <v>40033</v>
      </c>
      <c r="D2" s="11" t="str">
        <f ca="1">VLOOKUP($C2,OFFSET([2]quests!$A$1,0,0,COUNTA([2]quests!$A:$A),MATCH(D$1,[2]quests!$1:$1,0)-MATCH($C$1,[2]quests!$1:$1,0)+1),MATCH(D$1,[2]quests!$1:$1,0)-MATCH($C$1,[2]quests!$1:$1,0)+1,FALSE)</f>
        <v>アテナ襲来！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降臨33</v>
      </c>
      <c r="F2" s="21">
        <v>1</v>
      </c>
      <c r="G2" s="23" t="str">
        <f t="shared" ref="G2:G7" si="1">C2&amp;"_"&amp;F2</f>
        <v>40033_1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【超絶級】アテナ襲来</v>
      </c>
      <c r="I2" s="21">
        <v>1</v>
      </c>
      <c r="J2" s="12">
        <v>50</v>
      </c>
      <c r="K2" s="12">
        <v>50</v>
      </c>
    </row>
    <row r="3" spans="1:11" ht="21" customHeight="1" x14ac:dyDescent="0.15">
      <c r="A3" s="16" t="str">
        <f t="shared" si="0"/>
        <v>40033_1-2</v>
      </c>
      <c r="B3" s="16" t="str">
        <f>IF(COUNTIF(enemy_habitats!$H:$H,A3),"OK","NG")</f>
        <v>OK</v>
      </c>
      <c r="C3" s="7">
        <v>40033</v>
      </c>
      <c r="D3" s="11" t="str">
        <f ca="1">VLOOKUP($C3,OFFSET([2]quests!$A$1,0,0,COUNTA([2]quests!$A:$A),MATCH(D$1,[2]quests!$1:$1,0)-MATCH($C$1,[2]quests!$1:$1,0)+1),MATCH(D$1,[2]quests!$1:$1,0)-MATCH($C$1,[2]quests!$1:$1,0)+1,FALSE)</f>
        <v>アテナ襲来！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降臨33</v>
      </c>
      <c r="F3" s="21">
        <v>1</v>
      </c>
      <c r="G3" s="23" t="str">
        <f t="shared" si="1"/>
        <v>40033_1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【超絶級】アテナ襲来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40033_1-3</v>
      </c>
      <c r="B4" s="16" t="str">
        <f>IF(COUNTIF(enemy_habitats!$H:$H,A4),"OK","NG")</f>
        <v>OK</v>
      </c>
      <c r="C4" s="7">
        <v>40033</v>
      </c>
      <c r="D4" s="11" t="str">
        <f ca="1">VLOOKUP($C4,OFFSET([2]quests!$A$1,0,0,COUNTA([2]quests!$A:$A),MATCH(D$1,[2]quests!$1:$1,0)-MATCH($C$1,[2]quests!$1:$1,0)+1),MATCH(D$1,[2]quests!$1:$1,0)-MATCH($C$1,[2]quests!$1:$1,0)+1,FALSE)</f>
        <v>アテナ襲来！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降臨33</v>
      </c>
      <c r="F4" s="21">
        <v>1</v>
      </c>
      <c r="G4" s="23" t="str">
        <f t="shared" si="1"/>
        <v>40033_1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【超絶級】アテナ襲来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40033_2-1</v>
      </c>
      <c r="B5" s="16" t="str">
        <f>IF(COUNTIF(enemy_habitats!$H:$H,A5),"OK","NG")</f>
        <v>OK</v>
      </c>
      <c r="C5" s="7">
        <v>40033</v>
      </c>
      <c r="D5" s="11" t="str">
        <f ca="1">VLOOKUP($C5,OFFSET([2]quests!$A$1,0,0,COUNTA([2]quests!$A:$A),MATCH(D$1,[2]quests!$1:$1,0)-MATCH($C$1,[2]quests!$1:$1,0)+1),MATCH(D$1,[2]quests!$1:$1,0)-MATCH($C$1,[2]quests!$1:$1,0)+1,FALSE)</f>
        <v>アテナ襲来！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降臨33</v>
      </c>
      <c r="F5" s="21">
        <v>2</v>
      </c>
      <c r="G5" s="23" t="str">
        <f t="shared" si="1"/>
        <v>40033_2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【ウィザード級】アテナ襲来</v>
      </c>
      <c r="I5" s="21">
        <v>1</v>
      </c>
      <c r="J5" s="12">
        <v>50</v>
      </c>
      <c r="K5" s="12">
        <v>50</v>
      </c>
    </row>
    <row r="6" spans="1:11" ht="21" customHeight="1" x14ac:dyDescent="0.15">
      <c r="A6" s="16" t="str">
        <f t="shared" si="0"/>
        <v>40033_2-2</v>
      </c>
      <c r="B6" s="16" t="str">
        <f>IF(COUNTIF(enemy_habitats!$H:$H,A6),"OK","NG")</f>
        <v>OK</v>
      </c>
      <c r="C6" s="7">
        <v>40033</v>
      </c>
      <c r="D6" s="11" t="str">
        <f ca="1">VLOOKUP($C6,OFFSET([2]quests!$A$1,0,0,COUNTA([2]quests!$A:$A),MATCH(D$1,[2]quests!$1:$1,0)-MATCH($C$1,[2]quests!$1:$1,0)+1),MATCH(D$1,[2]quests!$1:$1,0)-MATCH($C$1,[2]quests!$1:$1,0)+1,FALSE)</f>
        <v>アテナ襲来！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降臨33</v>
      </c>
      <c r="F6" s="21">
        <v>2</v>
      </c>
      <c r="G6" s="23" t="str">
        <f t="shared" si="1"/>
        <v>40033_2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【ウィザード級】アテナ襲来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40033_2-3</v>
      </c>
      <c r="B7" s="16" t="str">
        <f>IF(COUNTIF(enemy_habitats!$H:$H,A7),"OK","NG")</f>
        <v>OK</v>
      </c>
      <c r="C7" s="7">
        <v>40033</v>
      </c>
      <c r="D7" s="11" t="str">
        <f ca="1">VLOOKUP($C7,OFFSET([2]quests!$A$1,0,0,COUNTA([2]quests!$A:$A),MATCH(D$1,[2]quests!$1:$1,0)-MATCH($C$1,[2]quests!$1:$1,0)+1),MATCH(D$1,[2]quests!$1:$1,0)-MATCH($C$1,[2]quests!$1:$1,0)+1,FALSE)</f>
        <v>アテナ襲来！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降臨33</v>
      </c>
      <c r="F7" s="21">
        <v>2</v>
      </c>
      <c r="G7" s="23" t="str">
        <f t="shared" si="1"/>
        <v>40033_2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【ウィザード級】アテナ襲来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5" sqref="L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253</v>
      </c>
      <c r="U1" s="26" t="s">
        <v>50</v>
      </c>
      <c r="V1" s="101" t="s">
        <v>254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11" si="0">B2&amp;"_"&amp;C2&amp;"-"&amp;G2&amp;"/"&amp;L2&amp;"&lt;lv"&amp;R2&amp;"&gt;s"&amp;AC2</f>
        <v>40033_1-1/196&lt;lv30&gt;s2</v>
      </c>
      <c r="B2" s="22">
        <v>40033</v>
      </c>
      <c r="C2" s="21">
        <v>1</v>
      </c>
      <c r="D2" s="2" t="str">
        <f t="shared" ref="D2:D11" si="1">B2&amp;"_"&amp;C2</f>
        <v>40033_1</v>
      </c>
      <c r="E2" s="4" t="str">
        <f ca="1">VLOOKUP($B2,OFFSET([2]quests!$A$1,0,0,COUNTA([2]quests!$A:$A),MATCH(E$1,[2]quests!$1:$1,0)-MATCH($B$1,[2]quests!$1:$1,0)+1),MATCH(E$1,[2]quests!$1:$1,0)-MATCH($B$1,[2]quests!$1:$1,0)+1,FALSE)</f>
        <v>アテナ襲来！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【超絶級】アテナ襲来</v>
      </c>
      <c r="G2" s="21">
        <v>1</v>
      </c>
      <c r="H2" s="15" t="str">
        <f t="shared" ref="H2:H11" si="2">B2&amp;"_"&amp;C2&amp;"-"&amp;G2</f>
        <v>40033_1-1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 t="s">
        <v>53</v>
      </c>
      <c r="L2" s="20">
        <v>196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アキレス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30</v>
      </c>
      <c r="S2" s="25">
        <v>2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63840</v>
      </c>
      <c r="U2" s="25">
        <v>2.5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7370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7">
        <v>40033001</v>
      </c>
      <c r="Z2" s="6">
        <v>1</v>
      </c>
      <c r="AA2" s="6">
        <v>100</v>
      </c>
      <c r="AB2" s="6">
        <v>1</v>
      </c>
      <c r="AC2" s="17">
        <v>2</v>
      </c>
      <c r="AD2" s="24">
        <f t="shared" ref="AD2:AD11" si="3">L2</f>
        <v>196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アキレス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2" s="7">
        <v>1</v>
      </c>
      <c r="AI2" s="24">
        <f t="shared" ref="AI2:AI11" ca="1" si="4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si="0"/>
        <v>40033_1-1/39&lt;lv30&gt;s1</v>
      </c>
      <c r="B3" s="22">
        <v>40033</v>
      </c>
      <c r="C3" s="21">
        <v>1</v>
      </c>
      <c r="D3" s="2" t="str">
        <f t="shared" si="1"/>
        <v>40033_1</v>
      </c>
      <c r="E3" s="4" t="str">
        <f ca="1">VLOOKUP($B3,OFFSET([2]quests!$A$1,0,0,COUNTA([2]quests!$A:$A),MATCH(E$1,[2]quests!$1:$1,0)-MATCH($B$1,[2]quests!$1:$1,0)+1),MATCH(E$1,[2]quests!$1:$1,0)-MATCH($B$1,[2]quests!$1:$1,0)+1,FALSE)</f>
        <v>アテナ襲来！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【超絶級】アテナ襲来</v>
      </c>
      <c r="G3" s="21">
        <v>1</v>
      </c>
      <c r="H3" s="15" t="str">
        <f t="shared" si="2"/>
        <v>40033_1-1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258</v>
      </c>
      <c r="L3" s="20">
        <v>39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マーロン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30</v>
      </c>
      <c r="S3" s="25">
        <v>5.5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31922</v>
      </c>
      <c r="U3" s="25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1890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お邪魔パネルを5個生成</v>
      </c>
      <c r="Y3" s="47">
        <v>40033100</v>
      </c>
      <c r="Z3" s="6">
        <v>2</v>
      </c>
      <c r="AA3" s="6">
        <v>100</v>
      </c>
      <c r="AB3" s="6">
        <v>0</v>
      </c>
      <c r="AC3" s="17">
        <v>1</v>
      </c>
      <c r="AD3" s="24">
        <f t="shared" si="3"/>
        <v>39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マーロン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40033_1-2/236&lt;lv30&gt;s1</v>
      </c>
      <c r="B4" s="22">
        <v>40033</v>
      </c>
      <c r="C4" s="21">
        <v>1</v>
      </c>
      <c r="D4" s="2" t="str">
        <f t="shared" si="1"/>
        <v>40033_1</v>
      </c>
      <c r="E4" s="4" t="str">
        <f ca="1">VLOOKUP($B4,OFFSET([2]quests!$A$1,0,0,COUNTA([2]quests!$A:$A),MATCH(E$1,[2]quests!$1:$1,0)-MATCH($B$1,[2]quests!$1:$1,0)+1),MATCH(E$1,[2]quests!$1:$1,0)-MATCH($B$1,[2]quests!$1:$1,0)+1,FALSE)</f>
        <v>アテナ襲来！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【超絶級】アテナ襲来</v>
      </c>
      <c r="G4" s="21">
        <v>2</v>
      </c>
      <c r="H4" s="15" t="str">
        <f t="shared" si="2"/>
        <v>40033_1-2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236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神産 イザナミ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30</v>
      </c>
      <c r="S4" s="25">
        <v>2.5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96315</v>
      </c>
      <c r="U4" s="25">
        <v>2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8752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7">
        <v>40033200</v>
      </c>
      <c r="Z4" s="6">
        <v>1</v>
      </c>
      <c r="AA4" s="6">
        <v>100</v>
      </c>
      <c r="AB4" s="6">
        <v>0</v>
      </c>
      <c r="AC4" s="17">
        <v>1</v>
      </c>
      <c r="AD4" s="24">
        <f t="shared" si="3"/>
        <v>236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神産 イザナミ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40033_1-2/212&lt;lv30&gt;s2</v>
      </c>
      <c r="B5" s="22">
        <v>40033</v>
      </c>
      <c r="C5" s="21">
        <v>1</v>
      </c>
      <c r="D5" s="2" t="str">
        <f t="shared" si="1"/>
        <v>40033_1</v>
      </c>
      <c r="E5" s="4" t="str">
        <f ca="1">VLOOKUP($B5,OFFSET([2]quests!$A$1,0,0,COUNTA([2]quests!$A:$A),MATCH(E$1,[2]quests!$1:$1,0)-MATCH($B$1,[2]quests!$1:$1,0)+1),MATCH(E$1,[2]quests!$1:$1,0)-MATCH($B$1,[2]quests!$1:$1,0)+1,FALSE)</f>
        <v>アテナ襲来！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【超絶級】アテナ襲来</v>
      </c>
      <c r="G5" s="21">
        <v>2</v>
      </c>
      <c r="H5" s="15" t="str">
        <f t="shared" si="2"/>
        <v>40033_1-2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212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星神 アストライアー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30</v>
      </c>
      <c r="S5" s="25">
        <v>2.5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96315</v>
      </c>
      <c r="U5" s="25">
        <v>3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9873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お邪魔パネルを10個生成</v>
      </c>
      <c r="Y5" s="47">
        <v>40033401</v>
      </c>
      <c r="Z5" s="6">
        <v>1</v>
      </c>
      <c r="AA5" s="6">
        <v>100</v>
      </c>
      <c r="AB5" s="6">
        <v>1</v>
      </c>
      <c r="AC5" s="17">
        <v>2</v>
      </c>
      <c r="AD5" s="24">
        <f t="shared" si="3"/>
        <v>212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星神 アストライアー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40033_1-3/893&lt;lv30&gt;s2</v>
      </c>
      <c r="B6" s="22">
        <v>40033</v>
      </c>
      <c r="C6" s="21">
        <v>1</v>
      </c>
      <c r="D6" s="2" t="str">
        <f t="shared" si="1"/>
        <v>40033_1</v>
      </c>
      <c r="E6" s="4" t="str">
        <f ca="1">VLOOKUP($B6,OFFSET([2]quests!$A$1,0,0,COUNTA([2]quests!$A:$A),MATCH(E$1,[2]quests!$1:$1,0)-MATCH($B$1,[2]quests!$1:$1,0)+1),MATCH(E$1,[2]quests!$1:$1,0)-MATCH($B$1,[2]quests!$1:$1,0)+1,FALSE)</f>
        <v>アテナ襲来！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【超絶級】アテナ襲来</v>
      </c>
      <c r="G6" s="21">
        <v>3</v>
      </c>
      <c r="H6" s="15" t="str">
        <f t="shared" si="2"/>
        <v>40033_1-3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20">
        <v>893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アテナ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30</v>
      </c>
      <c r="S6" s="25">
        <v>5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251900</v>
      </c>
      <c r="U6" s="25">
        <v>2.5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8860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7">
        <v>40033601</v>
      </c>
      <c r="Z6" s="6">
        <v>1</v>
      </c>
      <c r="AA6" s="6">
        <v>100</v>
      </c>
      <c r="AB6" s="6">
        <v>1</v>
      </c>
      <c r="AC6" s="17">
        <v>2</v>
      </c>
      <c r="AD6" s="24">
        <f t="shared" si="3"/>
        <v>893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アテナ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ca="1" si="4"/>
        <v>5</v>
      </c>
      <c r="AJ6" s="8">
        <v>15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40033_2-1/196&lt;lv50&gt;s2</v>
      </c>
      <c r="B7" s="22">
        <v>40033</v>
      </c>
      <c r="C7" s="21">
        <v>2</v>
      </c>
      <c r="D7" s="2" t="str">
        <f t="shared" si="1"/>
        <v>40033_2</v>
      </c>
      <c r="E7" s="4" t="str">
        <f ca="1">VLOOKUP($B7,OFFSET([2]quests!$A$1,0,0,COUNTA([2]quests!$A:$A),MATCH(E$1,[2]quests!$1:$1,0)-MATCH($B$1,[2]quests!$1:$1,0)+1),MATCH(E$1,[2]quests!$1:$1,0)-MATCH($B$1,[2]quests!$1:$1,0)+1,FALSE)</f>
        <v>アテナ襲来！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【ウィザード級】アテナ襲来</v>
      </c>
      <c r="G7" s="21">
        <v>1</v>
      </c>
      <c r="H7" s="15" t="str">
        <f t="shared" si="2"/>
        <v>40033_2-1</v>
      </c>
      <c r="I7" s="4">
        <f ca="1">VLOOKUP($H7,OFFSET(floors!$A$1,0,0,COUNTA(floors!$A:$A),MATCH(I$1,floors!$1:$1,0)-MATCH($H$1,floors!$1:$1,0)+1),MATCH(I$1,floors!$1:$1,0)-MATCH($H$1,floors!$1:$1,0)+1,FALSE)</f>
        <v>50</v>
      </c>
      <c r="J7" s="4">
        <f ca="1">VLOOKUP($H7,OFFSET(floors!$A$1,0,0,COUNTA(floors!$A:$A),MATCH(J$1,floors!$1:$1,0)-MATCH($H$1,floors!$1:$1,0)+1),MATCH(J$1,floors!$1:$1,0)-MATCH($H$1,floors!$1:$1,0)+1,FALSE)</f>
        <v>50</v>
      </c>
      <c r="K7" s="38" t="s">
        <v>259</v>
      </c>
      <c r="L7" s="20">
        <v>196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アキレス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50</v>
      </c>
      <c r="S7" s="25">
        <v>2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104372</v>
      </c>
      <c r="U7" s="25">
        <v>2.5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12050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種族アニマルのユニットに大ダメージ</v>
      </c>
      <c r="Y7" s="47">
        <v>40033000</v>
      </c>
      <c r="Z7" s="6">
        <v>1</v>
      </c>
      <c r="AA7" s="6">
        <v>100</v>
      </c>
      <c r="AB7" s="6">
        <v>1</v>
      </c>
      <c r="AC7" s="17">
        <v>2</v>
      </c>
      <c r="AD7" s="24">
        <f t="shared" si="3"/>
        <v>196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アキレス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7" s="7">
        <v>1</v>
      </c>
      <c r="AI7" s="24">
        <f t="shared" ca="1" si="4"/>
        <v>3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t="shared" si="0"/>
        <v>40033_2-1/39&lt;lv50&gt;s1</v>
      </c>
      <c r="B8" s="22">
        <v>40033</v>
      </c>
      <c r="C8" s="21">
        <v>2</v>
      </c>
      <c r="D8" s="2" t="str">
        <f t="shared" si="1"/>
        <v>40033_2</v>
      </c>
      <c r="E8" s="4" t="str">
        <f ca="1">VLOOKUP($B8,OFFSET([2]quests!$A$1,0,0,COUNTA([2]quests!$A:$A),MATCH(E$1,[2]quests!$1:$1,0)-MATCH($B$1,[2]quests!$1:$1,0)+1),MATCH(E$1,[2]quests!$1:$1,0)-MATCH($B$1,[2]quests!$1:$1,0)+1,FALSE)</f>
        <v>アテナ襲来！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【ウィザード級】アテナ襲来</v>
      </c>
      <c r="G8" s="21">
        <v>1</v>
      </c>
      <c r="H8" s="15" t="str">
        <f t="shared" si="2"/>
        <v>40033_2-1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8" t="s">
        <v>53</v>
      </c>
      <c r="L8" s="20">
        <v>39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マーロン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50</v>
      </c>
      <c r="S8" s="25">
        <v>5.5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52184</v>
      </c>
      <c r="U8" s="25">
        <v>1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3090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7">
        <v>40033100</v>
      </c>
      <c r="Z8" s="6">
        <v>2</v>
      </c>
      <c r="AA8" s="6">
        <v>100</v>
      </c>
      <c r="AB8" s="6">
        <v>0</v>
      </c>
      <c r="AC8" s="17">
        <v>1</v>
      </c>
      <c r="AD8" s="24">
        <f t="shared" si="3"/>
        <v>39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マーロン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t="shared" ca="1" si="4"/>
        <v>2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6" t="str">
        <f t="shared" si="0"/>
        <v>40033_2-2/236&lt;lv50&gt;s1</v>
      </c>
      <c r="B9" s="22">
        <v>40033</v>
      </c>
      <c r="C9" s="21">
        <v>2</v>
      </c>
      <c r="D9" s="2" t="str">
        <f t="shared" si="1"/>
        <v>40033_2</v>
      </c>
      <c r="E9" s="4" t="str">
        <f ca="1">VLOOKUP($B9,OFFSET([2]quests!$A$1,0,0,COUNTA([2]quests!$A:$A),MATCH(E$1,[2]quests!$1:$1,0)-MATCH($B$1,[2]quests!$1:$1,0)+1),MATCH(E$1,[2]quests!$1:$1,0)-MATCH($B$1,[2]quests!$1:$1,0)+1,FALSE)</f>
        <v>アテナ襲来！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【ウィザード級】アテナ襲来</v>
      </c>
      <c r="G9" s="21">
        <v>2</v>
      </c>
      <c r="H9" s="15" t="str">
        <f t="shared" si="2"/>
        <v>40033_2-2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236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神産 イザナミ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50</v>
      </c>
      <c r="S9" s="25">
        <v>2.5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157467.5</v>
      </c>
      <c r="U9" s="25">
        <v>2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14310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4回連続攻撃</v>
      </c>
      <c r="Y9" s="47">
        <v>40033200</v>
      </c>
      <c r="Z9" s="6">
        <v>1</v>
      </c>
      <c r="AA9" s="6">
        <v>100</v>
      </c>
      <c r="AB9" s="6">
        <v>0</v>
      </c>
      <c r="AC9" s="17">
        <v>1</v>
      </c>
      <c r="AD9" s="24">
        <f t="shared" si="3"/>
        <v>236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神産 イザナミ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7">
        <v>1</v>
      </c>
      <c r="AI9" s="24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6" t="str">
        <f t="shared" si="0"/>
        <v>40033_2-2/212&lt;lv50&gt;s2</v>
      </c>
      <c r="B10" s="22">
        <v>40033</v>
      </c>
      <c r="C10" s="21">
        <v>2</v>
      </c>
      <c r="D10" s="2" t="str">
        <f t="shared" si="1"/>
        <v>40033_2</v>
      </c>
      <c r="E10" s="4" t="str">
        <f ca="1">VLOOKUP($B10,OFFSET([2]quests!$A$1,0,0,COUNTA([2]quests!$A:$A),MATCH(E$1,[2]quests!$1:$1,0)-MATCH($B$1,[2]quests!$1:$1,0)+1),MATCH(E$1,[2]quests!$1:$1,0)-MATCH($B$1,[2]quests!$1:$1,0)+1,FALSE)</f>
        <v>アテナ襲来！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【ウィザード級】アテナ襲来</v>
      </c>
      <c r="G10" s="21">
        <v>2</v>
      </c>
      <c r="H10" s="15" t="str">
        <f t="shared" si="2"/>
        <v>40033_2-2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2</v>
      </c>
      <c r="L10" s="20">
        <v>212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星神 アストライアー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50</v>
      </c>
      <c r="S10" s="25">
        <v>2.5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157467.5</v>
      </c>
      <c r="U10" s="25">
        <v>3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16140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7">
        <v>40033400</v>
      </c>
      <c r="Z10" s="6">
        <v>1</v>
      </c>
      <c r="AA10" s="6">
        <v>100</v>
      </c>
      <c r="AB10" s="6">
        <v>1</v>
      </c>
      <c r="AC10" s="17">
        <v>2</v>
      </c>
      <c r="AD10" s="24">
        <f t="shared" si="3"/>
        <v>212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星神 アストライアー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0" s="7">
        <v>1</v>
      </c>
      <c r="AI10" s="24">
        <f t="shared" ca="1" si="4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x14ac:dyDescent="0.15">
      <c r="A11" s="16" t="str">
        <f t="shared" si="0"/>
        <v>40033_2-3/893&lt;lv50&gt;s1</v>
      </c>
      <c r="B11" s="22">
        <v>40033</v>
      </c>
      <c r="C11" s="21">
        <v>2</v>
      </c>
      <c r="D11" s="2" t="str">
        <f t="shared" si="1"/>
        <v>40033_2</v>
      </c>
      <c r="E11" s="4" t="str">
        <f ca="1">VLOOKUP($B11,OFFSET([2]quests!$A$1,0,0,COUNTA([2]quests!$A:$A),MATCH(E$1,[2]quests!$1:$1,0)-MATCH($B$1,[2]quests!$1:$1,0)+1),MATCH(E$1,[2]quests!$1:$1,0)-MATCH($B$1,[2]quests!$1:$1,0)+1,FALSE)</f>
        <v>アテナ襲来！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【ウィザード級】アテナ襲来</v>
      </c>
      <c r="G11" s="21">
        <v>3</v>
      </c>
      <c r="H11" s="15" t="str">
        <f t="shared" si="2"/>
        <v>40033_2-3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3</v>
      </c>
      <c r="L11" s="20">
        <v>893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アテナ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50</v>
      </c>
      <c r="S11" s="25">
        <v>5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411835</v>
      </c>
      <c r="U11" s="25">
        <v>2.5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14485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青パネルが黄時限式ダメージパネルとしてドロップ</v>
      </c>
      <c r="Y11" s="47">
        <v>40033600</v>
      </c>
      <c r="Z11" s="6">
        <v>1</v>
      </c>
      <c r="AA11" s="6">
        <v>100</v>
      </c>
      <c r="AB11" s="6">
        <v>1</v>
      </c>
      <c r="AC11" s="17">
        <v>1</v>
      </c>
      <c r="AD11" s="24">
        <f t="shared" si="3"/>
        <v>893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アテナ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ca="1" si="4"/>
        <v>5</v>
      </c>
      <c r="AJ11" s="8">
        <v>30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8"/>
  <sheetViews>
    <sheetView showGridLines="0" zoomScale="75" zoomScaleNormal="75" zoomScalePageLayoutView="75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V2" sqref="V2:V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253</v>
      </c>
      <c r="V1" s="26" t="s">
        <v>50</v>
      </c>
      <c r="W1" s="101" t="s">
        <v>254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8" si="0">B2&amp;"_"&amp;C2&amp;"-"&amp;G2&amp;"/"&amp;M2&amp;"&lt;lv"&amp;S2&amp;"&gt;sq"&amp;K2&amp;"st"&amp;L2</f>
        <v>40033_1-2/236&lt;lv30&gt;sq1st2</v>
      </c>
      <c r="B2" s="22">
        <v>40033</v>
      </c>
      <c r="C2" s="21">
        <v>1</v>
      </c>
      <c r="D2" s="2" t="str">
        <f t="shared" ref="D2:D8" si="1">B2&amp;"_"&amp;C2</f>
        <v>40033_1</v>
      </c>
      <c r="E2" s="4" t="str">
        <f ca="1">VLOOKUP($B2,OFFSET([2]quests!$A$1,0,0,COUNTA([2]quests!$A:$A),MATCH(E$1,[2]quests!$1:$1,0)-MATCH($B$1,[2]quests!$1:$1,0)+1),MATCH(E$1,[2]quests!$1:$1,0)-MATCH($B$1,[2]quests!$1:$1,0)+1,FALSE)</f>
        <v>アテナ襲来！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【超絶級】アテナ襲来</v>
      </c>
      <c r="G2" s="21">
        <v>2</v>
      </c>
      <c r="H2" s="15" t="str">
        <f t="shared" ref="H2:H8" si="2">B2&amp;"_"&amp;C2&amp;"-"&amp;G2</f>
        <v>40033_1-2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236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神産 イザナミ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30</v>
      </c>
      <c r="T2" s="25">
        <v>4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154104</v>
      </c>
      <c r="V2" s="25">
        <v>2.2000000000000002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9627.2000000000007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7">
        <v>40033300</v>
      </c>
      <c r="AA2" s="69">
        <v>1</v>
      </c>
    </row>
    <row r="3" spans="1:27" ht="21" customHeight="1" x14ac:dyDescent="0.15">
      <c r="A3" s="16" t="str">
        <f t="shared" si="0"/>
        <v>40033_1-2/212&lt;lv30&gt;sq2st2</v>
      </c>
      <c r="B3" s="22">
        <v>40033</v>
      </c>
      <c r="C3" s="21">
        <v>1</v>
      </c>
      <c r="D3" s="2" t="str">
        <f t="shared" si="1"/>
        <v>40033_1</v>
      </c>
      <c r="E3" s="4" t="str">
        <f ca="1">VLOOKUP($B3,OFFSET([2]quests!$A$1,0,0,COUNTA([2]quests!$A:$A),MATCH(E$1,[2]quests!$1:$1,0)-MATCH($B$1,[2]quests!$1:$1,0)+1),MATCH(E$1,[2]quests!$1:$1,0)-MATCH($B$1,[2]quests!$1:$1,0)+1,FALSE)</f>
        <v>アテナ襲来！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【超絶級】アテナ襲来</v>
      </c>
      <c r="G3" s="21">
        <v>2</v>
      </c>
      <c r="H3" s="15" t="str">
        <f t="shared" si="2"/>
        <v>40033_1-2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212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星神 アストライアー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30</v>
      </c>
      <c r="T3" s="25">
        <v>4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154104</v>
      </c>
      <c r="V3" s="25">
        <v>3.8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12505.8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7">
        <v>40033501</v>
      </c>
      <c r="AA3" s="69">
        <v>2</v>
      </c>
    </row>
    <row r="4" spans="1:27" ht="21" customHeight="1" x14ac:dyDescent="0.15">
      <c r="A4" s="16" t="str">
        <f t="shared" si="0"/>
        <v>40033_1-3/893&lt;lv30&gt;sq3st2</v>
      </c>
      <c r="B4" s="22">
        <v>40033</v>
      </c>
      <c r="C4" s="21">
        <v>1</v>
      </c>
      <c r="D4" s="2" t="str">
        <f t="shared" si="1"/>
        <v>40033_1</v>
      </c>
      <c r="E4" s="4" t="str">
        <f ca="1">VLOOKUP($B4,OFFSET([2]quests!$A$1,0,0,COUNTA([2]quests!$A:$A),MATCH(E$1,[2]quests!$1:$1,0)-MATCH($B$1,[2]quests!$1:$1,0)+1),MATCH(E$1,[2]quests!$1:$1,0)-MATCH($B$1,[2]quests!$1:$1,0)+1,FALSE)</f>
        <v>アテナ襲来！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【超絶級】アテナ襲来</v>
      </c>
      <c r="G4" s="21">
        <v>3</v>
      </c>
      <c r="H4" s="15" t="str">
        <f t="shared" si="2"/>
        <v>40033_1-3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893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アテナ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30</v>
      </c>
      <c r="T4" s="25">
        <v>6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302280</v>
      </c>
      <c r="V4" s="25">
        <v>3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10632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7">
        <v>40033701</v>
      </c>
      <c r="AA4" s="69">
        <v>2</v>
      </c>
    </row>
    <row r="5" spans="1:27" ht="21" customHeight="1" x14ac:dyDescent="0.15">
      <c r="A5" s="16" t="str">
        <f t="shared" si="0"/>
        <v>40033_2-2/236&lt;lv50&gt;sq1st2</v>
      </c>
      <c r="B5" s="22">
        <v>40033</v>
      </c>
      <c r="C5" s="21">
        <v>2</v>
      </c>
      <c r="D5" s="2" t="str">
        <f t="shared" si="1"/>
        <v>40033_2</v>
      </c>
      <c r="E5" s="4" t="str">
        <f ca="1">VLOOKUP($B5,OFFSET([2]quests!$A$1,0,0,COUNTA([2]quests!$A:$A),MATCH(E$1,[2]quests!$1:$1,0)-MATCH($B$1,[2]quests!$1:$1,0)+1),MATCH(E$1,[2]quests!$1:$1,0)-MATCH($B$1,[2]quests!$1:$1,0)+1,FALSE)</f>
        <v>アテナ襲来！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【ウィザード級】アテナ襲来</v>
      </c>
      <c r="G5" s="21">
        <v>2</v>
      </c>
      <c r="H5" s="15" t="str">
        <f t="shared" si="2"/>
        <v>40033_2-2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2</v>
      </c>
      <c r="M5" s="20">
        <v>236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神産 イザナミ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50</v>
      </c>
      <c r="T5" s="25">
        <v>4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251948</v>
      </c>
      <c r="V5" s="25">
        <v>2.2000000000000002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15741.000000000002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7">
        <v>40033300</v>
      </c>
      <c r="AA5" s="69">
        <v>1</v>
      </c>
    </row>
    <row r="6" spans="1:27" ht="21" customHeight="1" x14ac:dyDescent="0.15">
      <c r="A6" s="16" t="str">
        <f t="shared" si="0"/>
        <v>40033_2-2/212&lt;lv50&gt;sq2st2</v>
      </c>
      <c r="B6" s="22">
        <v>40033</v>
      </c>
      <c r="C6" s="21">
        <v>2</v>
      </c>
      <c r="D6" s="2" t="str">
        <f t="shared" si="1"/>
        <v>40033_2</v>
      </c>
      <c r="E6" s="4" t="str">
        <f ca="1">VLOOKUP($B6,OFFSET([2]quests!$A$1,0,0,COUNTA([2]quests!$A:$A),MATCH(E$1,[2]quests!$1:$1,0)-MATCH($B$1,[2]quests!$1:$1,0)+1),MATCH(E$1,[2]quests!$1:$1,0)-MATCH($B$1,[2]quests!$1:$1,0)+1,FALSE)</f>
        <v>アテナ襲来！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【ウィザード級】アテナ襲来</v>
      </c>
      <c r="G6" s="21">
        <v>2</v>
      </c>
      <c r="H6" s="15" t="str">
        <f t="shared" si="2"/>
        <v>40033_2-2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2</v>
      </c>
      <c r="L6" s="38">
        <v>2</v>
      </c>
      <c r="M6" s="20">
        <v>212</v>
      </c>
      <c r="N6" s="17" t="str">
        <f ca="1">VLOOKUP($M6,OFFSET([3]enemies!$A$1,0,0,COUNTA([3]enemies!$A:$A),MATCH(N$1,[3]enemies!$1:$1,0)-MATCH($M$1,[3]enemies!$1:$1,0)+1),MATCH(N$1,[3]enemies!$1:$1,0)-MATCH($M$1,[3]enemies!$1:$1,0)+1,FALSE)</f>
        <v>星神 アストライアー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PremiumN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30</v>
      </c>
      <c r="S6" s="5">
        <v>50</v>
      </c>
      <c r="T6" s="25">
        <v>4</v>
      </c>
      <c r="U6" s="102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251948</v>
      </c>
      <c r="V6" s="25">
        <v>3.8</v>
      </c>
      <c r="W6" s="102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20444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7">
        <v>40033500</v>
      </c>
      <c r="AA6" s="69">
        <v>1</v>
      </c>
    </row>
    <row r="7" spans="1:27" ht="21" customHeight="1" x14ac:dyDescent="0.15">
      <c r="A7" s="16" t="str">
        <f t="shared" si="0"/>
        <v>40033_2-3/893&lt;lv50&gt;sq3st2</v>
      </c>
      <c r="B7" s="22">
        <v>40033</v>
      </c>
      <c r="C7" s="21">
        <v>2</v>
      </c>
      <c r="D7" s="2" t="str">
        <f t="shared" si="1"/>
        <v>40033_2</v>
      </c>
      <c r="E7" s="4" t="str">
        <f ca="1">VLOOKUP($B7,OFFSET([2]quests!$A$1,0,0,COUNTA([2]quests!$A:$A),MATCH(E$1,[2]quests!$1:$1,0)-MATCH($B$1,[2]quests!$1:$1,0)+1),MATCH(E$1,[2]quests!$1:$1,0)-MATCH($B$1,[2]quests!$1:$1,0)+1,FALSE)</f>
        <v>アテナ襲来！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【ウィザード級】アテナ襲来</v>
      </c>
      <c r="G7" s="21">
        <v>3</v>
      </c>
      <c r="H7" s="15" t="str">
        <f t="shared" si="2"/>
        <v>40033_2-3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3</v>
      </c>
      <c r="L7" s="38">
        <v>2</v>
      </c>
      <c r="M7" s="20">
        <v>893</v>
      </c>
      <c r="N7" s="17" t="str">
        <f ca="1">VLOOKUP($M7,OFFSET([3]enemies!$A$1,0,0,COUNTA([3]enemies!$A:$A),MATCH(N$1,[3]enemies!$1:$1,0)-MATCH($M$1,[3]enemies!$1:$1,0)+1),MATCH(N$1,[3]enemies!$1:$1,0)-MATCH($M$1,[3]enemies!$1:$1,0)+1,FALSE)</f>
        <v>アテナ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50</v>
      </c>
      <c r="T7" s="25">
        <v>6</v>
      </c>
      <c r="U7" s="102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494202</v>
      </c>
      <c r="V7" s="25">
        <v>3</v>
      </c>
      <c r="W7" s="102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17382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7">
        <v>40033700</v>
      </c>
      <c r="AA7" s="69">
        <v>2</v>
      </c>
    </row>
    <row r="8" spans="1:27" ht="21" customHeight="1" x14ac:dyDescent="0.15">
      <c r="A8" s="16" t="str">
        <f t="shared" si="0"/>
        <v>40033_2-3/894&lt;lv50&gt;sq3st3</v>
      </c>
      <c r="B8" s="22">
        <v>40033</v>
      </c>
      <c r="C8" s="21">
        <v>2</v>
      </c>
      <c r="D8" s="2" t="str">
        <f t="shared" si="1"/>
        <v>40033_2</v>
      </c>
      <c r="E8" s="4" t="str">
        <f ca="1">VLOOKUP($B8,OFFSET([2]quests!$A$1,0,0,COUNTA([2]quests!$A:$A),MATCH(E$1,[2]quests!$1:$1,0)-MATCH($B$1,[2]quests!$1:$1,0)+1),MATCH(E$1,[2]quests!$1:$1,0)-MATCH($B$1,[2]quests!$1:$1,0)+1,FALSE)</f>
        <v>アテナ襲来！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【ウィザード級】アテナ襲来</v>
      </c>
      <c r="G8" s="21">
        <v>3</v>
      </c>
      <c r="H8" s="15" t="str">
        <f t="shared" si="2"/>
        <v>40033_2-3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3</v>
      </c>
      <c r="L8" s="38">
        <v>3</v>
      </c>
      <c r="M8" s="20">
        <v>894</v>
      </c>
      <c r="N8" s="17" t="str">
        <f ca="1">VLOOKUP($M8,OFFSET([3]enemies!$A$1,0,0,COUNTA([3]enemies!$A:$A),MATCH(N$1,[3]enemies!$1:$1,0)-MATCH($M$1,[3]enemies!$1:$1,0)+1),MATCH(N$1,[3]enemies!$1:$1,0)-MATCH($M$1,[3]enemies!$1:$1,0)+1,FALSE)</f>
        <v>聖澄の戦慧神 アテナ</v>
      </c>
      <c r="O8" s="17" t="str">
        <f ca="1">VLOOKUP($M8,OFFSET([3]enemies!$A$1,0,0,COUNTA([3]enemies!$A:$A),MATCH(O$1,[3]enemies!$1:$1,0)-MATCH($M$1,[3]enemies!$1:$1,0)+1),MATCH(O$1,[3]enemies!$1:$1,0)-MATCH($M$1,[3]enemies!$1:$1,0)+1,FALSE)</f>
        <v>yellow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god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50</v>
      </c>
      <c r="T8" s="25">
        <v>6</v>
      </c>
      <c r="U8" s="102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494202</v>
      </c>
      <c r="V8" s="25">
        <v>1.7</v>
      </c>
      <c r="W8" s="102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9849.7999999999993</v>
      </c>
      <c r="X8" s="5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47">
        <v>40033800</v>
      </c>
      <c r="AA8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3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37" sqref="F3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40033000_40033000</v>
      </c>
      <c r="B2" s="47">
        <v>40033000</v>
      </c>
      <c r="C2" s="104">
        <v>40033000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対獣格闘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</v>
      </c>
      <c r="F2" s="104">
        <v>40033000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" si="1">B3&amp;"_"&amp;C3</f>
        <v>40033000_40033001</v>
      </c>
      <c r="B3" s="47">
        <v>40033000</v>
      </c>
      <c r="C3" s="104">
        <v>40033001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岩砕崩撃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3" s="104">
        <v>40033001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2">B4&amp;"_"&amp;C4</f>
        <v>40033000_40033003</v>
      </c>
      <c r="B4" s="47">
        <v>40033000</v>
      </c>
      <c r="C4" s="104">
        <v>40033003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強者への羨望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コスト55以上のユニットに大ダメージ</v>
      </c>
      <c r="F4" s="104">
        <v>40033003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40033100_40033100</v>
      </c>
      <c r="B5" s="47">
        <v>40033100</v>
      </c>
      <c r="C5" s="107">
        <v>40033100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石化の鈴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お邪魔パネルを5個生成</v>
      </c>
      <c r="F5" s="107">
        <v>40033100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:A9" si="3">B6&amp;"_"&amp;C6</f>
        <v>40033200_40033200</v>
      </c>
      <c r="B6" s="47">
        <v>40033200</v>
      </c>
      <c r="C6" s="110">
        <v>40033200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ガトリング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6" s="110">
        <v>40033200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3"/>
        <v>40033200_40033201</v>
      </c>
      <c r="B7" s="47">
        <v>40033200</v>
      </c>
      <c r="C7" s="110">
        <v>40033201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時限式連弾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黄時限式ダメージパネルを8個生成</v>
      </c>
      <c r="F7" s="110">
        <v>40033201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3"/>
        <v>40033300_40033300</v>
      </c>
      <c r="B8" s="47">
        <v>40033300</v>
      </c>
      <c r="C8" s="113">
        <v>40033300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破壊の誕生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5ターン自身の攻撃力UP_x000D_+黄時限式パネルを10個生成</v>
      </c>
      <c r="F8" s="113">
        <v>40033300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3"/>
        <v>40033300_40033301</v>
      </c>
      <c r="B9" s="47">
        <v>40033300</v>
      </c>
      <c r="C9" s="113">
        <v>40033301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ハイ・ガトリング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9" s="113">
        <v>40033301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19" si="4">B10&amp;"_"&amp;C10</f>
        <v>40033300_40033302</v>
      </c>
      <c r="B10" s="47">
        <v>40033300</v>
      </c>
      <c r="C10" s="113">
        <v>40033302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時限式連弾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黄時限式ダメージパネルを8個生成</v>
      </c>
      <c r="F10" s="113">
        <v>40033302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4"/>
        <v>40033400_40033400</v>
      </c>
      <c r="B11" s="47">
        <v>40033400</v>
      </c>
      <c r="C11" s="116">
        <v>40033400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星嵐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お邪魔パネルを10個生成</v>
      </c>
      <c r="F11" s="116">
        <v>40033400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4"/>
        <v>40033400_40033401</v>
      </c>
      <c r="B12" s="47">
        <v>40033400</v>
      </c>
      <c r="C12" s="116">
        <v>40033401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星涙の癒し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黄パネルを吸収して回復</v>
      </c>
      <c r="F12" s="116">
        <v>40033401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" si="5">B13&amp;"_"&amp;C13</f>
        <v>40033400_40033403</v>
      </c>
      <c r="B13" s="47">
        <v>40033400</v>
      </c>
      <c r="C13" s="116">
        <v>40033403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怒りの墜星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3" s="116">
        <v>40033403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4"/>
        <v>40033500_40033500</v>
      </c>
      <c r="B14" s="47">
        <v>40033500</v>
      </c>
      <c r="C14" s="119">
        <v>40033500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星の瞬き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14" s="119">
        <v>40033500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4"/>
        <v>40033500_40033501</v>
      </c>
      <c r="B15" s="47">
        <v>40033500</v>
      </c>
      <c r="C15" s="119">
        <v>40033501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流星の贈り物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テクニカルタイプのユニットに大ダメージ_x000D_+お邪魔パネルを１5個生成</v>
      </c>
      <c r="F15" s="119">
        <v>40033501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4"/>
        <v>40033500_40033502</v>
      </c>
      <c r="B16" s="47">
        <v>40033500</v>
      </c>
      <c r="C16" s="119">
        <v>40033502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星嵐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お邪魔パネルを10個生成</v>
      </c>
      <c r="F16" s="119">
        <v>40033502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" si="6">B17&amp;"_"&amp;C17</f>
        <v>40033500_40033504</v>
      </c>
      <c r="B17" s="47">
        <v>40033500</v>
      </c>
      <c r="C17" s="119">
        <v>40033504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怒りの墜星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7" s="119">
        <v>40033504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4"/>
        <v>40033600_40033600</v>
      </c>
      <c r="B18" s="47">
        <v>40033600</v>
      </c>
      <c r="C18" s="122">
        <v>40033600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止まりなさい！悪者！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青パネルが黄時限式ダメージパネルとしてドロップ</v>
      </c>
      <c r="F18" s="122">
        <v>40033600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4"/>
        <v>40033600_40033601</v>
      </c>
      <c r="B19" s="47">
        <v>40033600</v>
      </c>
      <c r="C19" s="122">
        <v>40033601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ケラウノス・ロンヒ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122">
        <v>40033601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:A31" si="7">B20&amp;"_"&amp;C20</f>
        <v>40033600_40033602</v>
      </c>
      <c r="B20" s="47">
        <v>40033600</v>
      </c>
      <c r="C20" s="122">
        <v>40033602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固まっちゃいなさい！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お邪魔パネルを15個生成</v>
      </c>
      <c r="F20" s="122">
        <v>40033602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7"/>
        <v>40033600_40033603</v>
      </c>
      <c r="B21" s="47">
        <v>40033600</v>
      </c>
      <c r="C21" s="122">
        <v>40033603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これで終わりよ！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1" s="122">
        <v>40033603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7"/>
        <v>40033600_40033604</v>
      </c>
      <c r="B22" s="47">
        <v>40033600</v>
      </c>
      <c r="C22" s="122">
        <v>40033604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あなたみたいな悪者、許さないんだから！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解除されるまで攻撃タイプのタップ回数を2DOWN</v>
      </c>
      <c r="F22" s="122">
        <v>40033604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7"/>
        <v>40033700_40033701</v>
      </c>
      <c r="B23" s="47">
        <v>40033700</v>
      </c>
      <c r="C23" s="125">
        <v>40033701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悪者じゃないなら証拠を見せなさいよ！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緑パネルがお邪魔パネルとしてドロップ</v>
      </c>
      <c r="F23" s="125">
        <v>40033701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7"/>
        <v>40033700_40033702</v>
      </c>
      <c r="B24" s="47">
        <v>40033700</v>
      </c>
      <c r="C24" s="125">
        <v>40033702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ケラウノス・ロンヒ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4" s="125">
        <v>40033702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7"/>
        <v>40033700_40033703</v>
      </c>
      <c r="B25" s="47">
        <v>40033700</v>
      </c>
      <c r="C25" s="125">
        <v>40033703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わたしだってお父様の役に立てるんだから！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25" s="125">
        <v>40033703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7"/>
        <v>40033700_40033704</v>
      </c>
      <c r="B26" s="47">
        <v>40033700</v>
      </c>
      <c r="C26" s="125">
        <v>40033704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この盾は何も通さないのよ！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1ターン全属性の攻撃を100％軽減</v>
      </c>
      <c r="F26" s="125">
        <v>40033704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7"/>
        <v>40033700_40033705</v>
      </c>
      <c r="B27" s="47">
        <v>40033700</v>
      </c>
      <c r="C27" s="125">
        <v>40033705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おとなしく捕まりなさい！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7" s="125">
        <v>40033705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7"/>
        <v>40033800_40033800</v>
      </c>
      <c r="B28" s="47">
        <v>40033800</v>
      </c>
      <c r="C28" s="128">
        <v>40033800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お父様直伝の技、受けなさい！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5ターン攻撃＆バランスタイプのユニットにスキルバインド</v>
      </c>
      <c r="F28" s="128">
        <v>40033800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7"/>
        <v>40033800_40033801</v>
      </c>
      <c r="B29" s="47">
        <v>40033800</v>
      </c>
      <c r="C29" s="128">
        <v>40033801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逃げ場なんて無いわよ！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29" s="128">
        <v>40033801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7"/>
        <v>40033800_40033802</v>
      </c>
      <c r="B30" s="47">
        <v>40033800</v>
      </c>
      <c r="C30" s="128">
        <v>40033802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グラウクス・エクリクシス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緑時限式ダメージパネルを5個生成+8連続攻撃</v>
      </c>
      <c r="F30" s="128">
        <v>40033802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7"/>
        <v>40033800_40033803</v>
      </c>
      <c r="B31" s="47">
        <v>40033800</v>
      </c>
      <c r="C31" s="128">
        <v>40033803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だ…騙されないんだから！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1" s="128">
        <v>40033803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:A53" si="8">B32&amp;"_"&amp;C32</f>
        <v>40033800_40033804</v>
      </c>
      <c r="B32" s="47">
        <v>40033800</v>
      </c>
      <c r="C32" s="128">
        <v>40033804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いい加減、あきらめなさいよ！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32" s="128">
        <v>40033804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" si="9">B33&amp;"_"&amp;C33</f>
        <v>40033800_40033805</v>
      </c>
      <c r="B33" s="47">
        <v>40033800</v>
      </c>
      <c r="C33" s="128">
        <v>40033805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…え？本当に？悪者じゃないの？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…わ…悪かったわよ！……ごめんなさい</v>
      </c>
      <c r="F33" s="128">
        <v>40033805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8"/>
        <v>40033001_40033000</v>
      </c>
      <c r="B34" s="47">
        <v>40033001</v>
      </c>
      <c r="C34" s="104">
        <v>40033000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対獣格闘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</v>
      </c>
      <c r="F34" s="104">
        <v>40033000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8"/>
        <v>40033001_40033002</v>
      </c>
      <c r="B35" s="47">
        <v>40033001</v>
      </c>
      <c r="C35" s="104">
        <v>40033002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岩砕崩撃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35" s="104">
        <v>40033001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" si="10">B36&amp;"_"&amp;C36</f>
        <v>40033001_40033003</v>
      </c>
      <c r="B36" s="47">
        <v>40033001</v>
      </c>
      <c r="C36" s="104">
        <v>40033003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強者への羨望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コスト55以上のユニットに大ダメージ</v>
      </c>
      <c r="F36" s="104">
        <v>40033003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8"/>
        <v>40033401_40033400</v>
      </c>
      <c r="B37" s="47">
        <v>40033401</v>
      </c>
      <c r="C37" s="116">
        <v>40033400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星嵐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お邪魔パネルを10個生成</v>
      </c>
      <c r="F37" s="116">
        <v>40033400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8"/>
        <v>40033401_40033402</v>
      </c>
      <c r="B38" s="47">
        <v>40033401</v>
      </c>
      <c r="C38" s="116">
        <v>40033402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星涙の癒し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黄パネルを吸収して回復</v>
      </c>
      <c r="F38" s="116">
        <v>40033401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8"/>
        <v>40033401_40033404</v>
      </c>
      <c r="B39" s="47">
        <v>40033401</v>
      </c>
      <c r="C39" s="116">
        <v>40033404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怒りの墜星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39" s="116">
        <v>40033403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8"/>
        <v>40033501_40033503</v>
      </c>
      <c r="B40" s="47">
        <v>40033501</v>
      </c>
      <c r="C40" s="119">
        <v>40033503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星の瞬き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40" s="119">
        <v>40033500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8"/>
        <v>40033501_40033501</v>
      </c>
      <c r="B41" s="47">
        <v>40033501</v>
      </c>
      <c r="C41" s="119">
        <v>40033501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流星の贈り物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テクニカルタイプのユニットに大ダメージ_x000D_+お邪魔パネルを１5個生成</v>
      </c>
      <c r="F41" s="119">
        <v>40033501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8"/>
        <v>40033501_40033502</v>
      </c>
      <c r="B42" s="47">
        <v>40033501</v>
      </c>
      <c r="C42" s="119">
        <v>40033502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星嵐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お邪魔パネルを10個生成</v>
      </c>
      <c r="F42" s="119">
        <v>40033502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8"/>
        <v>40033501_40033505</v>
      </c>
      <c r="B43" s="47">
        <v>40033501</v>
      </c>
      <c r="C43" s="119">
        <v>40033505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怒りの墜星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43" s="119">
        <v>40033504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8"/>
        <v>40033601_40033600</v>
      </c>
      <c r="B44" s="47">
        <v>40033601</v>
      </c>
      <c r="C44" s="122">
        <v>40033600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止まりなさい！悪者！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青パネルが黄時限式ダメージパネルとしてドロップ</v>
      </c>
      <c r="F44" s="122">
        <v>40033600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8"/>
        <v>40033601_40033601</v>
      </c>
      <c r="B45" s="47">
        <v>40033601</v>
      </c>
      <c r="C45" s="122">
        <v>40033601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ケラウノス・ロンヒ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5" s="122">
        <v>40033601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8"/>
        <v>40033601_40033602</v>
      </c>
      <c r="B46" s="47">
        <v>40033601</v>
      </c>
      <c r="C46" s="122">
        <v>40033602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固まっちゃいなさい！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お邪魔パネルを15個生成</v>
      </c>
      <c r="F46" s="122">
        <v>40033602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8"/>
        <v>40033601_40033605</v>
      </c>
      <c r="B47" s="47">
        <v>40033601</v>
      </c>
      <c r="C47" s="122">
        <v>40033605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これで終わりよ！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47" s="122">
        <v>40033603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8"/>
        <v>40033601_40033604</v>
      </c>
      <c r="B48" s="47">
        <v>40033601</v>
      </c>
      <c r="C48" s="122">
        <v>40033604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あなたみたいな悪者、許さないんだから！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解除されるまで攻撃タイプのタップ回数を2DOWN</v>
      </c>
      <c r="F48" s="122">
        <v>40033604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8"/>
        <v>40033701_40033701</v>
      </c>
      <c r="B49" s="47">
        <v>40033701</v>
      </c>
      <c r="C49" s="125">
        <v>40033701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悪者じゃないなら証拠を見せなさいよ！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緑パネルがお邪魔パネルとしてドロップ</v>
      </c>
      <c r="F49" s="125">
        <v>40033701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8"/>
        <v>40033701_40033702</v>
      </c>
      <c r="B50" s="47">
        <v>40033701</v>
      </c>
      <c r="C50" s="125">
        <v>40033702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ケラウノス・ロンヒ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0" s="125">
        <v>40033702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8"/>
        <v>40033701_40033703</v>
      </c>
      <c r="B51" s="47">
        <v>40033701</v>
      </c>
      <c r="C51" s="125">
        <v>40033703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わたしだってお父様の役に立てるんだから！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51" s="125">
        <v>40033703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8"/>
        <v>40033701_40033704</v>
      </c>
      <c r="B52" s="47">
        <v>40033701</v>
      </c>
      <c r="C52" s="125">
        <v>40033704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この盾は何も通さないのよ！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1ターン全属性の攻撃を100％軽減</v>
      </c>
      <c r="F52" s="125">
        <v>40033704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8"/>
        <v>40033701_40033706</v>
      </c>
      <c r="B53" s="47">
        <v>40033701</v>
      </c>
      <c r="C53" s="125">
        <v>40033706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おとなしく捕まりなさい！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53" s="125">
        <v>40033705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0"/>
  <sheetViews>
    <sheetView showGridLines="0" tabSelected="1" zoomScale="75" zoomScaleNormal="75" zoomScalePageLayoutView="75" workbookViewId="0">
      <pane ySplit="1" topLeftCell="A14" activePane="bottomLeft" state="frozenSplit"/>
      <selection pane="bottomLeft" activeCell="B18" sqref="B18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04">
        <v>40033000</v>
      </c>
      <c r="B2" s="104" t="s">
        <v>351</v>
      </c>
      <c r="C2" s="105">
        <v>3</v>
      </c>
      <c r="D2" s="105" t="s">
        <v>127</v>
      </c>
      <c r="E2" s="106" t="s">
        <v>287</v>
      </c>
      <c r="F2" s="106" t="s">
        <v>256</v>
      </c>
      <c r="G2" s="62" t="str">
        <f t="shared" ref="G2:G31" si="0">IFERROR(LEFT(B2,FIND("],",B2)),B2)</f>
        <v>[effect:damage_anti_tribe, target:unit_all, tribe:animal, val1:2, val2:0.25]</v>
      </c>
      <c r="H2" s="62">
        <f t="shared" ref="H2:H31" si="1">FIND("effect:",G2)+7</f>
        <v>9</v>
      </c>
      <c r="I2" s="62">
        <f t="shared" ref="I2:I31" si="2">IFERROR(FIND(",",G2),LEN(G2))</f>
        <v>26</v>
      </c>
      <c r="J2" s="62">
        <f t="shared" ref="J2:J31" si="3">FIND("target:",G2)+7</f>
        <v>35</v>
      </c>
      <c r="K2" s="62">
        <f t="shared" ref="K2:K31" si="4">FIND(",",G2,I2+1)</f>
        <v>43</v>
      </c>
      <c r="L2" s="62" t="str">
        <f>IFERROR(VLOOKUP(MID(G2,J2,K2-J2),[6]skilldef!$C:$D,2,FALSE),"-") &amp; " / " &amp; IFERROR(VLOOKUP(MID(G2,H2,I2-H2),[6]skilldef!$A:$B,2,FALSE),"-")</f>
        <v>味方全体に / 種族キラー</v>
      </c>
      <c r="M2" s="62" t="str">
        <f t="shared" ref="M2:M31" si="5">IFERROR(RIGHT(B2,LEN(B2)-FIND("],",B2)-1),"none")</f>
        <v>[effect:enemy_message, val1:1.0, val2:2.0]</v>
      </c>
      <c r="N2" s="48" t="str">
        <f>IFERROR(LEFT(M2,FIND("],",M2)+S14),M2)</f>
        <v>[effect:enemy_message, val1:1.0, val2:2.0]</v>
      </c>
      <c r="O2" s="62">
        <f t="shared" ref="O2:O31" si="6">FIND("effect:",N2)+7</f>
        <v>9</v>
      </c>
      <c r="P2" s="62">
        <f t="shared" ref="P2:P31" si="7">IFERROR(FIND(",",N2),LEN(N2))</f>
        <v>22</v>
      </c>
      <c r="Q2" s="62" t="e">
        <f t="shared" ref="Q2:Q31" si="8">FIND("target:",N2)+7</f>
        <v>#VALUE!</v>
      </c>
      <c r="R2" s="62">
        <f t="shared" ref="R2:R31" si="9">FIND(",",N2,P2+1)</f>
        <v>32</v>
      </c>
      <c r="S2" s="62" t="str">
        <f>IFERROR(VLOOKUP(MID(N2,Q2,R2-Q2),[6]skilldef!$C:$D,2,FALSE),"-") &amp; " / " &amp; IFERROR(VLOOKUP(MID(N2,O2,P2-O2),[6]skilldef!$A:$B,2,FALSE),"-")</f>
        <v>- / -</v>
      </c>
      <c r="T2" s="48" t="str">
        <f t="shared" ref="T2:T31" si="10">IFERROR(RIGHT(M2,LEN(M2)-FIND("],",M2)-1),"none")</f>
        <v>none</v>
      </c>
      <c r="U2" s="62" t="e">
        <f t="shared" ref="U2:U31" si="11">FIND("effect:",T2)+7</f>
        <v>#VALUE!</v>
      </c>
      <c r="V2" s="62">
        <f t="shared" ref="V2:V31" si="12">IFERROR(FIND(",",T2),LEN(T2))</f>
        <v>4</v>
      </c>
      <c r="W2" s="62" t="e">
        <f t="shared" ref="W2:W31" si="13">FIND("target:",T2)+7</f>
        <v>#VALUE!</v>
      </c>
      <c r="X2" s="62" t="e">
        <f t="shared" ref="X2:X31" si="14"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</row>
    <row r="3" spans="1:28" ht="21" customHeight="1" x14ac:dyDescent="0.15">
      <c r="A3" s="104">
        <v>40033001</v>
      </c>
      <c r="B3" s="104" t="s">
        <v>352</v>
      </c>
      <c r="C3" s="105">
        <v>3</v>
      </c>
      <c r="D3" s="105" t="s">
        <v>127</v>
      </c>
      <c r="E3" s="106" t="s">
        <v>277</v>
      </c>
      <c r="F3" s="106" t="s">
        <v>301</v>
      </c>
      <c r="G3" s="62" t="str">
        <f t="shared" si="0"/>
        <v>[effect:break_attack_fix, target:unit_one, val:1000, lowest_val:4000, count:-1, color:yellow, block01:jammer] ,[effect:enemy_message, val1:1.0, val2:1.6]</v>
      </c>
      <c r="H3" s="62">
        <f t="shared" si="1"/>
        <v>9</v>
      </c>
      <c r="I3" s="62">
        <f t="shared" si="2"/>
        <v>25</v>
      </c>
      <c r="J3" s="62">
        <f t="shared" si="3"/>
        <v>34</v>
      </c>
      <c r="K3" s="62">
        <f t="shared" si="4"/>
        <v>42</v>
      </c>
      <c r="L3" s="62" t="str">
        <f>IFERROR(VLOOKUP(MID(G3,J3,K3-J3),[6]skilldef!$C:$D,2,FALSE),"-") &amp; " / " &amp; IFERROR(VLOOKUP(MID(G3,H3,I3-H3),[6]skilldef!$A:$B,2,FALSE),"-")</f>
        <v>味方単体に / -</v>
      </c>
      <c r="M3" s="62" t="str">
        <f t="shared" si="5"/>
        <v>none</v>
      </c>
      <c r="N3" s="48" t="str">
        <f>IFERROR(LEFT(M3,FIND("],",M3)+#REF!),M3)</f>
        <v>none</v>
      </c>
      <c r="O3" s="62" t="e">
        <f t="shared" si="6"/>
        <v>#VALUE!</v>
      </c>
      <c r="P3" s="62">
        <f t="shared" si="7"/>
        <v>4</v>
      </c>
      <c r="Q3" s="62" t="e">
        <f t="shared" si="8"/>
        <v>#VALUE!</v>
      </c>
      <c r="R3" s="62" t="e">
        <f t="shared" si="9"/>
        <v>#VALUE!</v>
      </c>
      <c r="S3" s="62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2" t="e">
        <f t="shared" si="11"/>
        <v>#VALUE!</v>
      </c>
      <c r="V3" s="62">
        <f t="shared" si="12"/>
        <v>4</v>
      </c>
      <c r="W3" s="62" t="e">
        <f t="shared" si="13"/>
        <v>#VALUE!</v>
      </c>
      <c r="X3" s="62" t="e">
        <f t="shared" si="14"/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21" customHeight="1" x14ac:dyDescent="0.15">
      <c r="A4" s="104">
        <v>40033003</v>
      </c>
      <c r="B4" s="104" t="s">
        <v>377</v>
      </c>
      <c r="C4" s="105">
        <v>3</v>
      </c>
      <c r="D4" s="105" t="s">
        <v>127</v>
      </c>
      <c r="E4" s="106" t="s">
        <v>296</v>
      </c>
      <c r="F4" s="106" t="s">
        <v>333</v>
      </c>
      <c r="G4" s="62" t="str">
        <f t="shared" ref="G4" si="15">IFERROR(LEFT(B4,FIND("],",B4)),B4)</f>
        <v>[effect:damage_anti_cost, target:unit_all, lower:55, val1:99.9, val2:0.01, cost_type:unit]</v>
      </c>
      <c r="H4" s="62">
        <f t="shared" ref="H4" si="16">FIND("effect:",G4)+7</f>
        <v>9</v>
      </c>
      <c r="I4" s="62">
        <f t="shared" ref="I4" si="17">IFERROR(FIND(",",G4),LEN(G4))</f>
        <v>25</v>
      </c>
      <c r="J4" s="62">
        <f t="shared" ref="J4" si="18">FIND("target:",G4)+7</f>
        <v>34</v>
      </c>
      <c r="K4" s="62">
        <f t="shared" ref="K4" si="19">FIND(",",G4,I4+1)</f>
        <v>42</v>
      </c>
      <c r="L4" s="62" t="str">
        <f>IFERROR(VLOOKUP(MID(G4,J4,K4-J4),[6]skilldef!$C:$D,2,FALSE),"-") &amp; " / " &amp; IFERROR(VLOOKUP(MID(G4,H4,I4-H4),[6]skilldef!$A:$B,2,FALSE),"-")</f>
        <v>味方全体に / -</v>
      </c>
      <c r="M4" s="62" t="str">
        <f t="shared" ref="M4" si="20">IFERROR(RIGHT(B4,LEN(B4)-FIND("],",B4)-1),"none")</f>
        <v>[effect:damage_anti_cost, target:unit_all, lower:55, val1:99.9, val2:0.01, cost_type:unit],[effect:enemy_message, val1:1.2, val2:2.0]</v>
      </c>
      <c r="N4" s="48" t="str">
        <f>IFERROR(LEFT(M4,FIND("],",M4)+#REF!),M4)</f>
        <v>[effect:damage_anti_cost, target:unit_all, lower:55, val1:99.9, val2:0.01, cost_type:unit],[effect:enemy_message, val1:1.2, val2:2.0]</v>
      </c>
      <c r="O4" s="62">
        <f t="shared" ref="O4" si="21">FIND("effect:",N4)+7</f>
        <v>9</v>
      </c>
      <c r="P4" s="62">
        <f t="shared" ref="P4" si="22">IFERROR(FIND(",",N4),LEN(N4))</f>
        <v>25</v>
      </c>
      <c r="Q4" s="62">
        <f t="shared" ref="Q4" si="23">FIND("target:",N4)+7</f>
        <v>34</v>
      </c>
      <c r="R4" s="62">
        <f t="shared" ref="R4" si="24">FIND(",",N4,P4+1)</f>
        <v>42</v>
      </c>
      <c r="S4" s="62" t="str">
        <f>IFERROR(VLOOKUP(MID(N4,Q4,R4-Q4),[6]skilldef!$C:$D,2,FALSE),"-") &amp; " / " &amp; IFERROR(VLOOKUP(MID(N4,O4,P4-O4),[6]skilldef!$A:$B,2,FALSE),"-")</f>
        <v>味方全体に / -</v>
      </c>
      <c r="T4" s="48" t="str">
        <f t="shared" ref="T4" si="25">IFERROR(RIGHT(M4,LEN(M4)-FIND("],",M4)-1),"none")</f>
        <v>[effect:enemy_message, val1:1.2, val2:2.0]</v>
      </c>
      <c r="U4" s="62">
        <f t="shared" ref="U4" si="26">FIND("effect:",T4)+7</f>
        <v>9</v>
      </c>
      <c r="V4" s="62">
        <f t="shared" ref="V4" si="27">IFERROR(FIND(",",T4),LEN(T4))</f>
        <v>22</v>
      </c>
      <c r="W4" s="62" t="e">
        <f t="shared" ref="W4" si="28">FIND("target:",T4)+7</f>
        <v>#VALUE!</v>
      </c>
      <c r="X4" s="62">
        <f t="shared" ref="X4" si="29">FIND(",",T4,V4+1)</f>
        <v>32</v>
      </c>
      <c r="Y4" s="62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</row>
    <row r="5" spans="1:28" ht="40" customHeight="1" x14ac:dyDescent="0.15">
      <c r="A5" s="107">
        <v>40033100</v>
      </c>
      <c r="B5" s="107" t="s">
        <v>378</v>
      </c>
      <c r="C5" s="108">
        <v>3</v>
      </c>
      <c r="D5" s="108" t="s">
        <v>127</v>
      </c>
      <c r="E5" s="109" t="s">
        <v>278</v>
      </c>
      <c r="F5" s="109" t="s">
        <v>289</v>
      </c>
      <c r="G5" s="62" t="str">
        <f t="shared" si="0"/>
        <v>[effect:force_change_block, new_block:jammer, target:block_all, ignore01:block_positive, ignore02:block_negative, count:5, val:0, animation:change_block]</v>
      </c>
      <c r="H5" s="62">
        <f t="shared" si="1"/>
        <v>9</v>
      </c>
      <c r="I5" s="62">
        <f t="shared" si="2"/>
        <v>27</v>
      </c>
      <c r="J5" s="62">
        <f t="shared" si="3"/>
        <v>54</v>
      </c>
      <c r="K5" s="62">
        <f t="shared" si="4"/>
        <v>45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[effect:enemy_message, val1:1.0, val2:1.4]</v>
      </c>
      <c r="N5" s="48" t="str">
        <f>IFERROR(LEFT(M5,FIND("],",M5)+S15),M5)</f>
        <v>[effect:enemy_message, val1:1.0, val2:1.4]</v>
      </c>
      <c r="O5" s="62">
        <f t="shared" si="6"/>
        <v>9</v>
      </c>
      <c r="P5" s="62">
        <f t="shared" si="7"/>
        <v>22</v>
      </c>
      <c r="Q5" s="62" t="e">
        <f t="shared" si="8"/>
        <v>#VALUE!</v>
      </c>
      <c r="R5" s="62">
        <f t="shared" si="9"/>
        <v>32</v>
      </c>
      <c r="S5" s="62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2" t="e">
        <f t="shared" si="11"/>
        <v>#VALUE!</v>
      </c>
      <c r="V5" s="62">
        <f t="shared" si="12"/>
        <v>4</v>
      </c>
      <c r="W5" s="62" t="e">
        <f t="shared" si="13"/>
        <v>#VALUE!</v>
      </c>
      <c r="X5" s="62" t="e">
        <f t="shared" si="14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21" customHeight="1" x14ac:dyDescent="0.15">
      <c r="A6" s="110">
        <v>40033200</v>
      </c>
      <c r="B6" s="110" t="s">
        <v>335</v>
      </c>
      <c r="C6" s="111">
        <v>3</v>
      </c>
      <c r="D6" s="111" t="s">
        <v>127</v>
      </c>
      <c r="E6" s="112" t="s">
        <v>317</v>
      </c>
      <c r="F6" s="112" t="s">
        <v>290</v>
      </c>
      <c r="G6" s="62" t="str">
        <f t="shared" si="0"/>
        <v>[effect:rush, count:4, val:0.25] ,[effect:enemy_message, val1:1.0, val2:1.5]</v>
      </c>
      <c r="H6" s="62">
        <f t="shared" si="1"/>
        <v>9</v>
      </c>
      <c r="I6" s="62">
        <f t="shared" si="2"/>
        <v>13</v>
      </c>
      <c r="J6" s="62" t="e">
        <f t="shared" si="3"/>
        <v>#VALUE!</v>
      </c>
      <c r="K6" s="62">
        <f t="shared" si="4"/>
        <v>22</v>
      </c>
      <c r="L6" s="62" t="str">
        <f>IFERROR(VLOOKUP(MID(G6,J6,K6-J6),[6]skilldef!$C:$D,2,FALSE),"-") &amp; " / " &amp; IFERROR(VLOOKUP(MID(G6,H6,I6-H6),[6]skilldef!$A:$B,2,FALSE),"-")</f>
        <v>- / 連続攻撃</v>
      </c>
      <c r="M6" s="62" t="str">
        <f t="shared" si="5"/>
        <v>none</v>
      </c>
      <c r="N6" s="48" t="str">
        <f t="shared" ref="N6:N12" si="30">IFERROR(LEFT(M6,FIND("],",M6)+S18),M6)</f>
        <v>none</v>
      </c>
      <c r="O6" s="62" t="e">
        <f t="shared" si="6"/>
        <v>#VALUE!</v>
      </c>
      <c r="P6" s="62">
        <f t="shared" si="7"/>
        <v>4</v>
      </c>
      <c r="Q6" s="62" t="e">
        <f t="shared" si="8"/>
        <v>#VALUE!</v>
      </c>
      <c r="R6" s="62" t="e">
        <f t="shared" si="9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2" t="e">
        <f t="shared" si="11"/>
        <v>#VALUE!</v>
      </c>
      <c r="V6" s="62">
        <f t="shared" si="12"/>
        <v>4</v>
      </c>
      <c r="W6" s="62" t="e">
        <f t="shared" si="13"/>
        <v>#VALUE!</v>
      </c>
      <c r="X6" s="62" t="e">
        <f t="shared" si="14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</row>
    <row r="7" spans="1:28" ht="21" customHeight="1" x14ac:dyDescent="0.15">
      <c r="A7" s="110">
        <v>40033201</v>
      </c>
      <c r="B7" s="110" t="s">
        <v>379</v>
      </c>
      <c r="C7" s="111">
        <v>3</v>
      </c>
      <c r="D7" s="111" t="s">
        <v>127</v>
      </c>
      <c r="E7" s="112" t="s">
        <v>282</v>
      </c>
      <c r="F7" s="112" t="s">
        <v>291</v>
      </c>
      <c r="G7" s="62" t="str">
        <f t="shared" si="0"/>
        <v>[effect:force_change_block, new_block:time_bomb, target:block_all, ignore01:block_positive, ignore02:block_negative, count:8, val:0.2, min_time_count:3, max_time_count:3, animation:change_block] ,[effect:enemy_message, val1:1.0, val2:1.9]</v>
      </c>
      <c r="H7" s="62">
        <f t="shared" si="1"/>
        <v>9</v>
      </c>
      <c r="I7" s="62">
        <f t="shared" si="2"/>
        <v>27</v>
      </c>
      <c r="J7" s="62">
        <f t="shared" si="3"/>
        <v>57</v>
      </c>
      <c r="K7" s="62">
        <f t="shared" si="4"/>
        <v>48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none</v>
      </c>
      <c r="N7" s="48" t="str">
        <f t="shared" si="30"/>
        <v>none</v>
      </c>
      <c r="O7" s="62" t="e">
        <f t="shared" si="6"/>
        <v>#VALUE!</v>
      </c>
      <c r="P7" s="62">
        <f t="shared" si="7"/>
        <v>4</v>
      </c>
      <c r="Q7" s="62" t="e">
        <f t="shared" si="8"/>
        <v>#VALUE!</v>
      </c>
      <c r="R7" s="62" t="e">
        <f t="shared" si="9"/>
        <v>#VALUE!</v>
      </c>
      <c r="S7" s="62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2" t="e">
        <f t="shared" si="11"/>
        <v>#VALUE!</v>
      </c>
      <c r="V7" s="62">
        <f t="shared" si="12"/>
        <v>4</v>
      </c>
      <c r="W7" s="62" t="e">
        <f t="shared" si="13"/>
        <v>#VALUE!</v>
      </c>
      <c r="X7" s="62" t="e">
        <f t="shared" si="14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62" customHeight="1" x14ac:dyDescent="0.15">
      <c r="A8" s="113">
        <v>40033300</v>
      </c>
      <c r="B8" s="113" t="s">
        <v>380</v>
      </c>
      <c r="C8" s="114">
        <v>3</v>
      </c>
      <c r="D8" s="114" t="s">
        <v>127</v>
      </c>
      <c r="E8" s="115" t="s">
        <v>279</v>
      </c>
      <c r="F8" s="115" t="s">
        <v>375</v>
      </c>
      <c r="G8" s="62" t="str">
        <f t="shared" si="0"/>
        <v>[effect:enhance_enemy, target:myself, turn:5, status:attack, val:0.2, calc:mul, animation:enemy_enhance_attack]</v>
      </c>
      <c r="H8" s="62">
        <f t="shared" si="1"/>
        <v>9</v>
      </c>
      <c r="I8" s="62">
        <f t="shared" si="2"/>
        <v>22</v>
      </c>
      <c r="J8" s="62">
        <f t="shared" si="3"/>
        <v>31</v>
      </c>
      <c r="K8" s="62">
        <f t="shared" si="4"/>
        <v>37</v>
      </c>
      <c r="L8" s="62" t="str">
        <f>IFERROR(VLOOKUP(MID(G8,J8,K8-J8),[6]skilldef!$C:$D,2,FALSE),"-") &amp; " / " &amp; IFERROR(VLOOKUP(MID(G8,H8,I8-H8),[6]skilldef!$A:$B,2,FALSE),"-")</f>
        <v>自分自身に / ステータス強化</v>
      </c>
      <c r="M8" s="62" t="str">
        <f t="shared" si="5"/>
        <v>[effect:force_change_block, new_block:time_bomb, target:block_all, ignore01:block_positive, ignore02:block_negative, count:10, val:0.2, min_time_count:3, max_time_count:3, animation:change_block],[effect:fix_speed, target:myself, turn:1],[effect:enemy_message, val1:1.0, val2:2.6]</v>
      </c>
      <c r="N8" s="48" t="str">
        <f t="shared" si="30"/>
        <v>[effect:force_change_block, new_block:time_bomb, target:block_all, ignore01:block_positive, ignore02:block_negative, count:10, val:0.2, min_time_count:3, max_time_count:3, animation:change_block],[effect:fix_speed, target:myself, turn:1],[effect:enemy_message, val1:1.0, val2:2.6]</v>
      </c>
      <c r="O8" s="62">
        <f t="shared" si="6"/>
        <v>9</v>
      </c>
      <c r="P8" s="62">
        <f t="shared" si="7"/>
        <v>27</v>
      </c>
      <c r="Q8" s="62">
        <f t="shared" si="8"/>
        <v>57</v>
      </c>
      <c r="R8" s="62">
        <f t="shared" si="9"/>
        <v>48</v>
      </c>
      <c r="S8" s="62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[effect:fix_speed, target:myself, turn:1],[effect:enemy_message, val1:1.0, val2:2.6]</v>
      </c>
      <c r="U8" s="62">
        <f t="shared" si="11"/>
        <v>9</v>
      </c>
      <c r="V8" s="62">
        <f t="shared" si="12"/>
        <v>18</v>
      </c>
      <c r="W8" s="62">
        <f t="shared" si="13"/>
        <v>27</v>
      </c>
      <c r="X8" s="62">
        <f t="shared" si="14"/>
        <v>33</v>
      </c>
      <c r="Y8" s="62" t="str">
        <f>IFERROR(VLOOKUP(MID(T8,W8,X8-W8),[6]skilldef!$C:$D,2,FALSE),"-") &amp; " / " &amp; IFERROR(VLOOKUP(MID(T8,U8,V8-U8),[6]skilldef!$A:$B,2,FALSE),"-")</f>
        <v>自分自身に / 行動値設定</v>
      </c>
      <c r="Z8" s="50"/>
      <c r="AA8" s="51"/>
      <c r="AB8" s="50"/>
    </row>
    <row r="9" spans="1:28" ht="21" customHeight="1" x14ac:dyDescent="0.15">
      <c r="A9" s="113">
        <v>40033301</v>
      </c>
      <c r="B9" s="113" t="s">
        <v>334</v>
      </c>
      <c r="C9" s="114">
        <v>3</v>
      </c>
      <c r="D9" s="114" t="s">
        <v>127</v>
      </c>
      <c r="E9" s="115" t="s">
        <v>318</v>
      </c>
      <c r="F9" s="115" t="s">
        <v>295</v>
      </c>
      <c r="G9" s="62" t="str">
        <f t="shared" si="0"/>
        <v>[effect:rush, count:6, val:0.2] ,[effect:enemy_message, val1:1.1, val2:1.5]</v>
      </c>
      <c r="H9" s="62">
        <f t="shared" si="1"/>
        <v>9</v>
      </c>
      <c r="I9" s="62">
        <f t="shared" si="2"/>
        <v>13</v>
      </c>
      <c r="J9" s="62" t="e">
        <f t="shared" si="3"/>
        <v>#VALUE!</v>
      </c>
      <c r="K9" s="62">
        <f t="shared" si="4"/>
        <v>22</v>
      </c>
      <c r="L9" s="62" t="str">
        <f>IFERROR(VLOOKUP(MID(G9,J9,K9-J9),[6]skilldef!$C:$D,2,FALSE),"-") &amp; " / " &amp; IFERROR(VLOOKUP(MID(G9,H9,I9-H9),[6]skilldef!$A:$B,2,FALSE),"-")</f>
        <v>- / 連続攻撃</v>
      </c>
      <c r="M9" s="62" t="str">
        <f t="shared" si="5"/>
        <v>none</v>
      </c>
      <c r="N9" s="48" t="str">
        <f t="shared" si="30"/>
        <v>none</v>
      </c>
      <c r="O9" s="62" t="e">
        <f t="shared" si="6"/>
        <v>#VALUE!</v>
      </c>
      <c r="P9" s="62">
        <f t="shared" si="7"/>
        <v>4</v>
      </c>
      <c r="Q9" s="62" t="e">
        <f t="shared" si="8"/>
        <v>#VALUE!</v>
      </c>
      <c r="R9" s="62" t="e">
        <f t="shared" si="9"/>
        <v>#VALUE!</v>
      </c>
      <c r="S9" s="62" t="str">
        <f>IFERROR(VLOOKUP(MID(N9,Q9,R9-Q9),[6]skilldef!$C:$D,2,FALSE),"-") &amp; " / " &amp; IFERROR(VLOOKUP(MID(N9,O9,P9-O9),[6]skilldef!$A:$B,2,FALSE),"-")</f>
        <v>- / -</v>
      </c>
      <c r="T9" s="48" t="str">
        <f t="shared" si="10"/>
        <v>none</v>
      </c>
      <c r="U9" s="62" t="e">
        <f t="shared" si="11"/>
        <v>#VALUE!</v>
      </c>
      <c r="V9" s="62">
        <f t="shared" si="12"/>
        <v>4</v>
      </c>
      <c r="W9" s="62" t="e">
        <f t="shared" si="13"/>
        <v>#VALUE!</v>
      </c>
      <c r="X9" s="62" t="e">
        <f t="shared" si="14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</row>
    <row r="10" spans="1:28" ht="38" customHeight="1" x14ac:dyDescent="0.15">
      <c r="A10" s="113">
        <v>40033302</v>
      </c>
      <c r="B10" s="113" t="s">
        <v>381</v>
      </c>
      <c r="C10" s="114">
        <v>3</v>
      </c>
      <c r="D10" s="114" t="s">
        <v>127</v>
      </c>
      <c r="E10" s="115" t="s">
        <v>282</v>
      </c>
      <c r="F10" s="115" t="s">
        <v>291</v>
      </c>
      <c r="G10" s="62" t="str">
        <f t="shared" si="0"/>
        <v>[effect:force_change_block, new_block:time_bomb, target:block_all, ignore01:block_positive, ignore02:block_negative, count:8, val:0.2, min_time_count:3, max_time_count:3, animation:change_block]</v>
      </c>
      <c r="H10" s="62">
        <f t="shared" si="1"/>
        <v>9</v>
      </c>
      <c r="I10" s="62">
        <f t="shared" si="2"/>
        <v>27</v>
      </c>
      <c r="J10" s="62">
        <f t="shared" si="3"/>
        <v>57</v>
      </c>
      <c r="K10" s="62">
        <f t="shared" si="4"/>
        <v>48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5"/>
        <v>[effect:enemy_message, val1:1.0, val2:1.8]</v>
      </c>
      <c r="N10" s="48" t="str">
        <f t="shared" si="30"/>
        <v>[effect:enemy_message, val1:1.0, val2:1.8]</v>
      </c>
      <c r="O10" s="62">
        <f t="shared" si="6"/>
        <v>9</v>
      </c>
      <c r="P10" s="62">
        <f t="shared" si="7"/>
        <v>22</v>
      </c>
      <c r="Q10" s="62" t="e">
        <f t="shared" si="8"/>
        <v>#VALUE!</v>
      </c>
      <c r="R10" s="62">
        <f t="shared" si="9"/>
        <v>32</v>
      </c>
      <c r="S10" s="62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2" t="e">
        <f t="shared" si="11"/>
        <v>#VALUE!</v>
      </c>
      <c r="V10" s="62">
        <f t="shared" si="12"/>
        <v>4</v>
      </c>
      <c r="W10" s="62" t="e">
        <f t="shared" si="13"/>
        <v>#VALUE!</v>
      </c>
      <c r="X10" s="62" t="e">
        <f t="shared" si="14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50"/>
      <c r="AA10" s="51"/>
      <c r="AB10" s="50"/>
    </row>
    <row r="11" spans="1:28" ht="21" customHeight="1" x14ac:dyDescent="0.15">
      <c r="A11" s="116">
        <v>40033400</v>
      </c>
      <c r="B11" s="116" t="s">
        <v>382</v>
      </c>
      <c r="C11" s="117">
        <v>3</v>
      </c>
      <c r="D11" s="117" t="s">
        <v>127</v>
      </c>
      <c r="E11" s="118" t="s">
        <v>284</v>
      </c>
      <c r="F11" s="118" t="s">
        <v>306</v>
      </c>
      <c r="G11" s="62" t="str">
        <f t="shared" si="0"/>
        <v>[effect:force_change_block, new_block:jammer, target:block_all, ignore01:block_positive, ignore02:block_negative, count:10, val:0, animation:change_block]</v>
      </c>
      <c r="H11" s="62">
        <f t="shared" si="1"/>
        <v>9</v>
      </c>
      <c r="I11" s="62">
        <f t="shared" si="2"/>
        <v>27</v>
      </c>
      <c r="J11" s="62">
        <f t="shared" si="3"/>
        <v>54</v>
      </c>
      <c r="K11" s="62">
        <f t="shared" si="4"/>
        <v>45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5"/>
        <v>[effect:enemy_message, val1:1.0, val2:1.4]</v>
      </c>
      <c r="N11" s="48" t="str">
        <f t="shared" si="30"/>
        <v>[effect:enemy_message, val1:1.0, val2:1.4]</v>
      </c>
      <c r="O11" s="62">
        <f t="shared" si="6"/>
        <v>9</v>
      </c>
      <c r="P11" s="62">
        <f t="shared" si="7"/>
        <v>22</v>
      </c>
      <c r="Q11" s="62" t="e">
        <f t="shared" si="8"/>
        <v>#VALUE!</v>
      </c>
      <c r="R11" s="62">
        <f t="shared" si="9"/>
        <v>32</v>
      </c>
      <c r="S11" s="62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none</v>
      </c>
      <c r="U11" s="62" t="e">
        <f t="shared" si="11"/>
        <v>#VALUE!</v>
      </c>
      <c r="V11" s="62">
        <f t="shared" si="12"/>
        <v>4</v>
      </c>
      <c r="W11" s="62" t="e">
        <f t="shared" si="13"/>
        <v>#VALUE!</v>
      </c>
      <c r="X11" s="62" t="e">
        <f t="shared" si="14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</row>
    <row r="12" spans="1:28" ht="21" customHeight="1" x14ac:dyDescent="0.15">
      <c r="A12" s="116">
        <v>40033401</v>
      </c>
      <c r="B12" s="116" t="s">
        <v>353</v>
      </c>
      <c r="C12" s="117">
        <v>3</v>
      </c>
      <c r="D12" s="117" t="s">
        <v>127</v>
      </c>
      <c r="E12" s="118" t="s">
        <v>283</v>
      </c>
      <c r="F12" s="118" t="s">
        <v>298</v>
      </c>
      <c r="G12" s="62" t="str">
        <f t="shared" si="0"/>
        <v>[effect:break_heal_fix, target:myself, val:3000, lowest_val:1000, count:-1, block01:block_yellow, animation:enemy_heal]</v>
      </c>
      <c r="H12" s="62">
        <f t="shared" si="1"/>
        <v>9</v>
      </c>
      <c r="I12" s="62">
        <f t="shared" si="2"/>
        <v>23</v>
      </c>
      <c r="J12" s="62">
        <f t="shared" si="3"/>
        <v>32</v>
      </c>
      <c r="K12" s="62">
        <f t="shared" si="4"/>
        <v>38</v>
      </c>
      <c r="L12" s="62" t="str">
        <f>IFERROR(VLOOKUP(MID(G12,J12,K12-J12),[6]skilldef!$C:$D,2,FALSE),"-") &amp; " / " &amp; IFERROR(VLOOKUP(MID(G12,H12,I12-H12),[6]skilldef!$A:$B,2,FALSE),"-")</f>
        <v>自分自身に / -</v>
      </c>
      <c r="M12" s="62" t="str">
        <f t="shared" si="5"/>
        <v>[effect:enemy_message, val1:1.0, val2:1.4]</v>
      </c>
      <c r="N12" s="48" t="str">
        <f t="shared" si="30"/>
        <v>[effect:enemy_message, val1:1.0, val2:1.4]</v>
      </c>
      <c r="O12" s="62">
        <f t="shared" si="6"/>
        <v>9</v>
      </c>
      <c r="P12" s="62">
        <f t="shared" si="7"/>
        <v>22</v>
      </c>
      <c r="Q12" s="62" t="e">
        <f t="shared" si="8"/>
        <v>#VALUE!</v>
      </c>
      <c r="R12" s="62">
        <f t="shared" si="9"/>
        <v>32</v>
      </c>
      <c r="S12" s="62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2" t="e">
        <f t="shared" si="11"/>
        <v>#VALUE!</v>
      </c>
      <c r="V12" s="62">
        <f t="shared" si="12"/>
        <v>4</v>
      </c>
      <c r="W12" s="62" t="e">
        <f t="shared" si="13"/>
        <v>#VALUE!</v>
      </c>
      <c r="X12" s="62" t="e">
        <f t="shared" si="14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</row>
    <row r="13" spans="1:28" ht="21" customHeight="1" x14ac:dyDescent="0.15">
      <c r="A13" s="116">
        <v>40033403</v>
      </c>
      <c r="B13" s="116" t="s">
        <v>354</v>
      </c>
      <c r="C13" s="117">
        <v>3</v>
      </c>
      <c r="D13" s="117" t="s">
        <v>127</v>
      </c>
      <c r="E13" s="118" t="s">
        <v>337</v>
      </c>
      <c r="F13" s="118" t="s">
        <v>299</v>
      </c>
      <c r="G13" s="62" t="str">
        <f t="shared" ref="G13" si="31">IFERROR(LEFT(B13,FIND("],",B13)),B13)</f>
        <v>[effect:break_attack_fix, target:unit_all, val:350, lowest_val:1000, count:-1, color:yellow, block01:jammer] ,[effect:enemy_message, val1:1.0, val2:1.8]</v>
      </c>
      <c r="H13" s="62">
        <f t="shared" ref="H13" si="32">FIND("effect:",G13)+7</f>
        <v>9</v>
      </c>
      <c r="I13" s="62">
        <f t="shared" ref="I13" si="33">IFERROR(FIND(",",G13),LEN(G13))</f>
        <v>25</v>
      </c>
      <c r="J13" s="62">
        <f t="shared" ref="J13" si="34">FIND("target:",G13)+7</f>
        <v>34</v>
      </c>
      <c r="K13" s="62">
        <f t="shared" ref="K13" si="35">FIND(",",G13,I13+1)</f>
        <v>42</v>
      </c>
      <c r="L13" s="62" t="str">
        <f>IFERROR(VLOOKUP(MID(G13,J13,K13-J13),[6]skilldef!$C:$D,2,FALSE),"-") &amp; " / " &amp; IFERROR(VLOOKUP(MID(G13,H13,I13-H13),[6]skilldef!$A:$B,2,FALSE),"-")</f>
        <v>味方全体に / -</v>
      </c>
      <c r="M13" s="62" t="str">
        <f t="shared" ref="M13" si="36">IFERROR(RIGHT(B13,LEN(B13)-FIND("],",B13)-1),"none")</f>
        <v>none</v>
      </c>
      <c r="N13" s="48" t="str">
        <f t="shared" ref="N13" si="37">IFERROR(LEFT(M13,FIND("],",M13)+S22),M13)</f>
        <v>none</v>
      </c>
      <c r="O13" s="62" t="e">
        <f t="shared" ref="O13" si="38">FIND("effect:",N13)+7</f>
        <v>#VALUE!</v>
      </c>
      <c r="P13" s="62">
        <f t="shared" ref="P13" si="39">IFERROR(FIND(",",N13),LEN(N13))</f>
        <v>4</v>
      </c>
      <c r="Q13" s="62" t="e">
        <f t="shared" ref="Q13" si="40">FIND("target:",N13)+7</f>
        <v>#VALUE!</v>
      </c>
      <c r="R13" s="62" t="e">
        <f t="shared" ref="R13" si="41">FIND(",",N13,P13+1)</f>
        <v>#VALUE!</v>
      </c>
      <c r="S13" s="62" t="str">
        <f>IFERROR(VLOOKUP(MID(N13,Q13,R13-Q13),[6]skilldef!$C:$D,2,FALSE),"-") &amp; " / " &amp; IFERROR(VLOOKUP(MID(N13,O13,P13-O13),[6]skilldef!$A:$B,2,FALSE),"-")</f>
        <v>- / -</v>
      </c>
      <c r="T13" s="48" t="str">
        <f t="shared" ref="T13" si="42">IFERROR(RIGHT(M13,LEN(M13)-FIND("],",M13)-1),"none")</f>
        <v>none</v>
      </c>
      <c r="U13" s="62" t="e">
        <f t="shared" ref="U13" si="43">FIND("effect:",T13)+7</f>
        <v>#VALUE!</v>
      </c>
      <c r="V13" s="62">
        <f t="shared" ref="V13" si="44">IFERROR(FIND(",",T13),LEN(T13))</f>
        <v>4</v>
      </c>
      <c r="W13" s="62" t="e">
        <f t="shared" ref="W13" si="45">FIND("target:",T13)+7</f>
        <v>#VALUE!</v>
      </c>
      <c r="X13" s="62" t="e">
        <f t="shared" ref="X13" si="46">FIND(",",T13,V13+1)</f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</row>
    <row r="14" spans="1:28" ht="40" customHeight="1" x14ac:dyDescent="0.15">
      <c r="A14" s="119">
        <v>40033500</v>
      </c>
      <c r="B14" s="119" t="s">
        <v>355</v>
      </c>
      <c r="C14" s="120">
        <v>3</v>
      </c>
      <c r="D14" s="120" t="s">
        <v>127</v>
      </c>
      <c r="E14" s="121" t="s">
        <v>288</v>
      </c>
      <c r="F14" s="121" t="s">
        <v>297</v>
      </c>
      <c r="G14" s="62" t="str">
        <f t="shared" si="0"/>
        <v>[effect:break_attack_fix, target:unit_all, val:350, lowest_val:1000, count:-1, color:yellow, block01:block_yellow]</v>
      </c>
      <c r="H14" s="62">
        <f t="shared" si="1"/>
        <v>9</v>
      </c>
      <c r="I14" s="62">
        <f t="shared" si="2"/>
        <v>25</v>
      </c>
      <c r="J14" s="62">
        <f t="shared" si="3"/>
        <v>34</v>
      </c>
      <c r="K14" s="62">
        <f t="shared" si="4"/>
        <v>42</v>
      </c>
      <c r="L14" s="62" t="str">
        <f>IFERROR(VLOOKUP(MID(G14,J14,K14-J14),[6]skilldef!$C:$D,2,FALSE),"-") &amp; " / " &amp; IFERROR(VLOOKUP(MID(G14,H14,I14-H14),[6]skilldef!$A:$B,2,FALSE),"-")</f>
        <v>味方全体に / -</v>
      </c>
      <c r="M14" s="62" t="str">
        <f t="shared" si="5"/>
        <v>[effect:enemy_message, val1:1.0, val2:1.6]</v>
      </c>
      <c r="N14" s="48" t="str">
        <f>IFERROR(LEFT(M14,FIND("],",M14)+S25),M14)</f>
        <v>[effect:enemy_message, val1:1.0, val2:1.6]</v>
      </c>
      <c r="O14" s="62">
        <f t="shared" si="6"/>
        <v>9</v>
      </c>
      <c r="P14" s="62">
        <f t="shared" si="7"/>
        <v>22</v>
      </c>
      <c r="Q14" s="62" t="e">
        <f t="shared" si="8"/>
        <v>#VALUE!</v>
      </c>
      <c r="R14" s="62">
        <f t="shared" si="9"/>
        <v>32</v>
      </c>
      <c r="S14" s="62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2" t="e">
        <f t="shared" si="11"/>
        <v>#VALUE!</v>
      </c>
      <c r="V14" s="62">
        <f t="shared" si="12"/>
        <v>4</v>
      </c>
      <c r="W14" s="62" t="e">
        <f t="shared" si="13"/>
        <v>#VALUE!</v>
      </c>
      <c r="X14" s="62" t="e">
        <f t="shared" si="14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</row>
    <row r="15" spans="1:28" ht="48" customHeight="1" x14ac:dyDescent="0.15">
      <c r="A15" s="119">
        <v>40033501</v>
      </c>
      <c r="B15" s="119" t="s">
        <v>383</v>
      </c>
      <c r="C15" s="120">
        <v>3</v>
      </c>
      <c r="D15" s="120" t="s">
        <v>127</v>
      </c>
      <c r="E15" s="121" t="s">
        <v>285</v>
      </c>
      <c r="F15" s="121" t="s">
        <v>376</v>
      </c>
      <c r="G15" s="62" t="str">
        <f t="shared" si="0"/>
        <v>[effect:damage_anti_type, target:unit_all, type:technical, val1:1.9, val2:0.1]</v>
      </c>
      <c r="H15" s="62">
        <f t="shared" si="1"/>
        <v>9</v>
      </c>
      <c r="I15" s="62">
        <f t="shared" si="2"/>
        <v>25</v>
      </c>
      <c r="J15" s="62">
        <f t="shared" si="3"/>
        <v>34</v>
      </c>
      <c r="K15" s="62">
        <f t="shared" si="4"/>
        <v>42</v>
      </c>
      <c r="L15" s="62" t="str">
        <f>IFERROR(VLOOKUP(MID(G15,J15,K15-J15),[6]skilldef!$C:$D,2,FALSE),"-") &amp; " / " &amp; IFERROR(VLOOKUP(MID(G15,H15,I15-H15),[6]skilldef!$A:$B,2,FALSE),"-")</f>
        <v>味方全体に / タイプキラー</v>
      </c>
      <c r="M15" s="62" t="str">
        <f t="shared" si="5"/>
        <v>[effect:force_change_block, new_block:jammer, target:block_all, ignore01:block_positive, ignore02:block_negative, count:15, val:0, animation:change_block],[effect:fix_speed, target:myself, turn:1],[effect:enemy_message, val1:1.0, val2:3.3]</v>
      </c>
      <c r="N15" s="48" t="str">
        <f>IFERROR(LEFT(M15,FIND("],",M15)+S27),M15)</f>
        <v>[effect:force_change_block, new_block:jammer, target:block_all, ignore01:block_positive, ignore02:block_negative, count:15, val:0, animation:change_block],[effect:fix_speed, target:myself, turn:1],[effect:enemy_message, val1:1.0, val2:3.3]</v>
      </c>
      <c r="O15" s="62">
        <f t="shared" si="6"/>
        <v>9</v>
      </c>
      <c r="P15" s="62">
        <f t="shared" si="7"/>
        <v>27</v>
      </c>
      <c r="Q15" s="62">
        <f t="shared" si="8"/>
        <v>54</v>
      </c>
      <c r="R15" s="62">
        <f t="shared" si="9"/>
        <v>45</v>
      </c>
      <c r="S15" s="62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[effect:fix_speed, target:myself, turn:1],[effect:enemy_message, val1:1.0, val2:3.3]</v>
      </c>
      <c r="U15" s="62">
        <f t="shared" si="11"/>
        <v>9</v>
      </c>
      <c r="V15" s="62">
        <f t="shared" si="12"/>
        <v>18</v>
      </c>
      <c r="W15" s="62">
        <f t="shared" si="13"/>
        <v>27</v>
      </c>
      <c r="X15" s="62">
        <f t="shared" si="14"/>
        <v>33</v>
      </c>
      <c r="Y15" s="62" t="str">
        <f>IFERROR(VLOOKUP(MID(T15,W15,X15-W15),[6]skilldef!$C:$D,2,FALSE),"-") &amp; " / " &amp; IFERROR(VLOOKUP(MID(T15,U15,V15-U15),[6]skilldef!$A:$B,2,FALSE),"-")</f>
        <v>自分自身に / 行動値設定</v>
      </c>
      <c r="Z15" s="50"/>
      <c r="AA15" s="51"/>
      <c r="AB15" s="50"/>
    </row>
    <row r="16" spans="1:28" ht="21" customHeight="1" x14ac:dyDescent="0.15">
      <c r="A16" s="119">
        <v>40033502</v>
      </c>
      <c r="B16" s="119" t="s">
        <v>382</v>
      </c>
      <c r="C16" s="120">
        <v>3</v>
      </c>
      <c r="D16" s="120" t="s">
        <v>127</v>
      </c>
      <c r="E16" s="121" t="s">
        <v>284</v>
      </c>
      <c r="F16" s="121" t="s">
        <v>307</v>
      </c>
      <c r="G16" s="62" t="str">
        <f t="shared" ref="G16:G17" si="47">IFERROR(LEFT(B16,FIND("],",B16)),B16)</f>
        <v>[effect:force_change_block, new_block:jammer, target:block_all, ignore01:block_positive, ignore02:block_negative, count:10, val:0, animation:change_block]</v>
      </c>
      <c r="H16" s="62">
        <f t="shared" ref="H16:H17" si="48">FIND("effect:",G16)+7</f>
        <v>9</v>
      </c>
      <c r="I16" s="62">
        <f t="shared" ref="I16:I17" si="49">IFERROR(FIND(",",G16),LEN(G16))</f>
        <v>27</v>
      </c>
      <c r="J16" s="62">
        <f t="shared" ref="J16:J17" si="50">FIND("target:",G16)+7</f>
        <v>54</v>
      </c>
      <c r="K16" s="62">
        <f t="shared" ref="K16:K17" si="51">FIND(",",G16,I16+1)</f>
        <v>45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ref="M16:M17" si="52">IFERROR(RIGHT(B16,LEN(B16)-FIND("],",B16)-1),"none")</f>
        <v>[effect:enemy_message, val1:1.0, val2:1.4]</v>
      </c>
      <c r="N16" s="48" t="str">
        <f>IFERROR(LEFT(M16,FIND("],",M16)+S27),M16)</f>
        <v>[effect:enemy_message, val1:1.0, val2:1.4]</v>
      </c>
      <c r="O16" s="62">
        <f t="shared" ref="O16:O17" si="53">FIND("effect:",N16)+7</f>
        <v>9</v>
      </c>
      <c r="P16" s="62">
        <f t="shared" ref="P16:P17" si="54">IFERROR(FIND(",",N16),LEN(N16))</f>
        <v>22</v>
      </c>
      <c r="Q16" s="62" t="e">
        <f t="shared" ref="Q16:Q17" si="55">FIND("target:",N16)+7</f>
        <v>#VALUE!</v>
      </c>
      <c r="R16" s="62">
        <f t="shared" ref="R16:R17" si="56">FIND(",",N16,P16+1)</f>
        <v>32</v>
      </c>
      <c r="S16" s="62" t="str">
        <f>IFERROR(VLOOKUP(MID(N16,Q16,R16-Q16),[6]skilldef!$C:$D,2,FALSE),"-") &amp; " / " &amp; IFERROR(VLOOKUP(MID(N16,O16,P16-O16),[6]skilldef!$A:$B,2,FALSE),"-")</f>
        <v>- / -</v>
      </c>
      <c r="T16" s="48" t="str">
        <f t="shared" ref="T16:T17" si="57">IFERROR(RIGHT(M16,LEN(M16)-FIND("],",M16)-1),"none")</f>
        <v>none</v>
      </c>
      <c r="U16" s="62" t="e">
        <f t="shared" ref="U16:U17" si="58">FIND("effect:",T16)+7</f>
        <v>#VALUE!</v>
      </c>
      <c r="V16" s="62">
        <f t="shared" ref="V16:V17" si="59">IFERROR(FIND(",",T16),LEN(T16))</f>
        <v>4</v>
      </c>
      <c r="W16" s="62" t="e">
        <f t="shared" ref="W16:W17" si="60">FIND("target:",T16)+7</f>
        <v>#VALUE!</v>
      </c>
      <c r="X16" s="62" t="e">
        <f t="shared" ref="X16:X17" si="61">FIND(",",T16,V16+1)</f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</row>
    <row r="17" spans="1:28" ht="21" customHeight="1" x14ac:dyDescent="0.15">
      <c r="A17" s="119">
        <v>40033504</v>
      </c>
      <c r="B17" s="119" t="s">
        <v>354</v>
      </c>
      <c r="C17" s="120">
        <v>3</v>
      </c>
      <c r="D17" s="120" t="s">
        <v>127</v>
      </c>
      <c r="E17" s="121" t="s">
        <v>286</v>
      </c>
      <c r="F17" s="121" t="s">
        <v>300</v>
      </c>
      <c r="G17" s="62" t="str">
        <f t="shared" si="47"/>
        <v>[effect:break_attack_fix, target:unit_all, val:350, lowest_val:1000, count:-1, color:yellow, block01:jammer] ,[effect:enemy_message, val1:1.0, val2:1.8]</v>
      </c>
      <c r="H17" s="62">
        <f t="shared" si="48"/>
        <v>9</v>
      </c>
      <c r="I17" s="62">
        <f t="shared" si="49"/>
        <v>25</v>
      </c>
      <c r="J17" s="62">
        <f t="shared" si="50"/>
        <v>34</v>
      </c>
      <c r="K17" s="62">
        <f t="shared" si="51"/>
        <v>42</v>
      </c>
      <c r="L17" s="62" t="str">
        <f>IFERROR(VLOOKUP(MID(G17,J17,K17-J17),[6]skilldef!$C:$D,2,FALSE),"-") &amp; " / " &amp; IFERROR(VLOOKUP(MID(G17,H17,I17-H17),[6]skilldef!$A:$B,2,FALSE),"-")</f>
        <v>味方全体に / -</v>
      </c>
      <c r="M17" s="62" t="str">
        <f t="shared" si="52"/>
        <v>none</v>
      </c>
      <c r="N17" s="48" t="str">
        <f t="shared" ref="N17" si="62">IFERROR(LEFT(M17,FIND("],",M17)+S26),M17)</f>
        <v>none</v>
      </c>
      <c r="O17" s="62" t="e">
        <f t="shared" si="53"/>
        <v>#VALUE!</v>
      </c>
      <c r="P17" s="62">
        <f t="shared" si="54"/>
        <v>4</v>
      </c>
      <c r="Q17" s="62" t="e">
        <f t="shared" si="55"/>
        <v>#VALUE!</v>
      </c>
      <c r="R17" s="62" t="e">
        <f t="shared" si="56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8" t="str">
        <f t="shared" si="57"/>
        <v>none</v>
      </c>
      <c r="U17" s="62" t="e">
        <f t="shared" si="58"/>
        <v>#VALUE!</v>
      </c>
      <c r="V17" s="62">
        <f t="shared" si="59"/>
        <v>4</v>
      </c>
      <c r="W17" s="62" t="e">
        <f t="shared" si="60"/>
        <v>#VALUE!</v>
      </c>
      <c r="X17" s="62" t="e">
        <f t="shared" si="61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21" customHeight="1" x14ac:dyDescent="0.15">
      <c r="A18" s="122">
        <v>40033600</v>
      </c>
      <c r="B18" s="122" t="s">
        <v>356</v>
      </c>
      <c r="C18" s="123">
        <v>3</v>
      </c>
      <c r="D18" s="123" t="s">
        <v>127</v>
      </c>
      <c r="E18" s="124" t="s">
        <v>311</v>
      </c>
      <c r="F18" s="124" t="s">
        <v>257</v>
      </c>
      <c r="G18" s="62" t="str">
        <f t="shared" si="0"/>
        <v>[effect:drop_block, block_type:time_bomb, block_color:block_yellow, color:block_blue, val:0.2, rate:1, turn:-1, min_time_count:3, max_time_count:3, animation:time_bomb_influence04]</v>
      </c>
      <c r="H18" s="62">
        <f t="shared" si="1"/>
        <v>9</v>
      </c>
      <c r="I18" s="62">
        <f t="shared" si="2"/>
        <v>19</v>
      </c>
      <c r="J18" s="62" t="e">
        <f t="shared" si="3"/>
        <v>#VALUE!</v>
      </c>
      <c r="K18" s="62">
        <f t="shared" si="4"/>
        <v>41</v>
      </c>
      <c r="L18" s="62" t="str">
        <f>IFERROR(VLOOKUP(MID(G18,J18,K18-J18),[6]skilldef!$C:$D,2,FALSE),"-") &amp; " / " &amp; IFERROR(VLOOKUP(MID(G18,H18,I18-H18),[6]skilldef!$A:$B,2,FALSE),"-")</f>
        <v>- / 特定ブロックの割合ドロップ</v>
      </c>
      <c r="M18" s="62" t="str">
        <f t="shared" si="5"/>
        <v>[effect:fix_speed, target:myself, turn:1],[effect:enemy_message, val1:1.5, val2:2.6]</v>
      </c>
      <c r="N18" s="48" t="str">
        <f>IFERROR(LEFT(M18,FIND("],",M18)+#REF!),M18)</f>
        <v>[effect:fix_speed, target:myself, turn:1],[effect:enemy_message, val1:1.5, val2:2.6]</v>
      </c>
      <c r="O18" s="62">
        <f t="shared" si="6"/>
        <v>9</v>
      </c>
      <c r="P18" s="62">
        <f t="shared" si="7"/>
        <v>18</v>
      </c>
      <c r="Q18" s="62">
        <f t="shared" si="8"/>
        <v>27</v>
      </c>
      <c r="R18" s="62">
        <f t="shared" si="9"/>
        <v>33</v>
      </c>
      <c r="S18" s="62" t="str">
        <f>IFERROR(VLOOKUP(MID(N18,Q18,R18-Q18),[6]skilldef!$C:$D,2,FALSE),"-") &amp; " / " &amp; IFERROR(VLOOKUP(MID(N18,O18,P18-O18),[6]skilldef!$A:$B,2,FALSE),"-")</f>
        <v>自分自身に / 行動値設定</v>
      </c>
      <c r="T18" s="48" t="str">
        <f t="shared" si="10"/>
        <v>[effect:enemy_message, val1:1.5, val2:2.6]</v>
      </c>
      <c r="U18" s="62">
        <f t="shared" si="11"/>
        <v>9</v>
      </c>
      <c r="V18" s="62">
        <f t="shared" si="12"/>
        <v>22</v>
      </c>
      <c r="W18" s="62" t="e">
        <f t="shared" si="13"/>
        <v>#VALUE!</v>
      </c>
      <c r="X18" s="62">
        <f t="shared" si="14"/>
        <v>32</v>
      </c>
      <c r="Y18" s="62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</row>
    <row r="19" spans="1:28" ht="21" customHeight="1" x14ac:dyDescent="0.15">
      <c r="A19" s="122">
        <v>40033601</v>
      </c>
      <c r="B19" s="122" t="s">
        <v>271</v>
      </c>
      <c r="C19" s="123">
        <v>3</v>
      </c>
      <c r="D19" s="123" t="s">
        <v>127</v>
      </c>
      <c r="E19" s="124" t="s">
        <v>324</v>
      </c>
      <c r="F19" s="124" t="s">
        <v>272</v>
      </c>
      <c r="G19" s="62" t="str">
        <f t="shared" si="0"/>
        <v>[effect:spread, val:0.3]</v>
      </c>
      <c r="H19" s="62">
        <f t="shared" si="1"/>
        <v>9</v>
      </c>
      <c r="I19" s="62">
        <f t="shared" si="2"/>
        <v>15</v>
      </c>
      <c r="J19" s="62" t="e">
        <f t="shared" si="3"/>
        <v>#VALUE!</v>
      </c>
      <c r="K19" s="62" t="e">
        <f t="shared" si="4"/>
        <v>#VALUE!</v>
      </c>
      <c r="L19" s="62" t="str">
        <f>IFERROR(VLOOKUP(MID(G19,J19,K19-J19),[6]skilldef!$C:$D,2,FALSE),"-") &amp; " / " &amp; IFERROR(VLOOKUP(MID(G19,H19,I19-H19),[6]skilldef!$A:$B,2,FALSE),"-")</f>
        <v>- / 全体攻撃</v>
      </c>
      <c r="M19" s="62" t="str">
        <f t="shared" si="5"/>
        <v>none</v>
      </c>
      <c r="N19" s="48" t="str">
        <f>IFERROR(LEFT(M19,FIND("],",M19)+#REF!),M19)</f>
        <v>none</v>
      </c>
      <c r="O19" s="62" t="e">
        <f t="shared" si="6"/>
        <v>#VALUE!</v>
      </c>
      <c r="P19" s="62">
        <f t="shared" si="7"/>
        <v>4</v>
      </c>
      <c r="Q19" s="62" t="e">
        <f t="shared" si="8"/>
        <v>#VALUE!</v>
      </c>
      <c r="R19" s="62" t="e">
        <f t="shared" si="9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2" t="e">
        <f t="shared" si="11"/>
        <v>#VALUE!</v>
      </c>
      <c r="V19" s="62">
        <f t="shared" si="12"/>
        <v>4</v>
      </c>
      <c r="W19" s="62" t="e">
        <f t="shared" si="13"/>
        <v>#VALUE!</v>
      </c>
      <c r="X19" s="62" t="e">
        <f t="shared" si="14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21" customHeight="1" x14ac:dyDescent="0.15">
      <c r="A20" s="122">
        <v>40033602</v>
      </c>
      <c r="B20" s="122" t="s">
        <v>384</v>
      </c>
      <c r="C20" s="123">
        <v>3</v>
      </c>
      <c r="D20" s="123" t="s">
        <v>127</v>
      </c>
      <c r="E20" s="124" t="s">
        <v>312</v>
      </c>
      <c r="F20" s="124" t="s">
        <v>308</v>
      </c>
      <c r="G20" s="62" t="str">
        <f t="shared" si="0"/>
        <v>[effect:force_change_block, new_block:jammer, target:block_all, ignore01:block_positive, ignore02:block_negative, count:15, val:0, animation:change_block]</v>
      </c>
      <c r="H20" s="62">
        <f t="shared" si="1"/>
        <v>9</v>
      </c>
      <c r="I20" s="62">
        <f t="shared" si="2"/>
        <v>27</v>
      </c>
      <c r="J20" s="62">
        <f t="shared" si="3"/>
        <v>54</v>
      </c>
      <c r="K20" s="62">
        <f t="shared" si="4"/>
        <v>45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si="5"/>
        <v>[effect:enemy_message, val1:1.2, val2:1.4]</v>
      </c>
      <c r="N20" s="48" t="str">
        <f t="shared" ref="N20:N23" si="63">IFERROR(LEFT(M20,FIND("],",M20)+S28),M20)</f>
        <v>[effect:enemy_message, val1:1.2, val2:1.4]</v>
      </c>
      <c r="O20" s="62">
        <f t="shared" si="6"/>
        <v>9</v>
      </c>
      <c r="P20" s="62">
        <f t="shared" si="7"/>
        <v>22</v>
      </c>
      <c r="Q20" s="62" t="e">
        <f t="shared" si="8"/>
        <v>#VALUE!</v>
      </c>
      <c r="R20" s="62">
        <f t="shared" si="9"/>
        <v>32</v>
      </c>
      <c r="S20" s="62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2" t="e">
        <f t="shared" si="11"/>
        <v>#VALUE!</v>
      </c>
      <c r="V20" s="62">
        <f t="shared" si="12"/>
        <v>4</v>
      </c>
      <c r="W20" s="62" t="e">
        <f t="shared" si="13"/>
        <v>#VALUE!</v>
      </c>
      <c r="X20" s="62" t="e">
        <f t="shared" si="14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</row>
    <row r="21" spans="1:28" ht="21" customHeight="1" x14ac:dyDescent="0.15">
      <c r="A21" s="122">
        <v>40033603</v>
      </c>
      <c r="B21" s="122" t="s">
        <v>357</v>
      </c>
      <c r="C21" s="123">
        <v>3</v>
      </c>
      <c r="D21" s="123" t="s">
        <v>127</v>
      </c>
      <c r="E21" s="124" t="s">
        <v>310</v>
      </c>
      <c r="F21" s="124" t="s">
        <v>300</v>
      </c>
      <c r="G21" s="62" t="str">
        <f t="shared" si="0"/>
        <v>[effect:break_attack_fix, target:unit_all, val:400, lowest_val:1500, count:-1, color:yellow, block01:jammer] ,[effect:enemy_message, val1:1.0, val2:1.8]</v>
      </c>
      <c r="H21" s="62">
        <f t="shared" si="1"/>
        <v>9</v>
      </c>
      <c r="I21" s="62">
        <f t="shared" si="2"/>
        <v>25</v>
      </c>
      <c r="J21" s="62">
        <f t="shared" si="3"/>
        <v>34</v>
      </c>
      <c r="K21" s="62">
        <f t="shared" si="4"/>
        <v>42</v>
      </c>
      <c r="L21" s="62" t="str">
        <f>IFERROR(VLOOKUP(MID(G21,J21,K21-J21),[6]skilldef!$C:$D,2,FALSE),"-") &amp; " / " &amp; IFERROR(VLOOKUP(MID(G21,H21,I21-H21),[6]skilldef!$A:$B,2,FALSE),"-")</f>
        <v>味方全体に / -</v>
      </c>
      <c r="M21" s="62" t="str">
        <f t="shared" si="5"/>
        <v>none</v>
      </c>
      <c r="N21" s="48" t="str">
        <f t="shared" si="63"/>
        <v>none</v>
      </c>
      <c r="O21" s="62" t="e">
        <f t="shared" si="6"/>
        <v>#VALUE!</v>
      </c>
      <c r="P21" s="62">
        <f t="shared" si="7"/>
        <v>4</v>
      </c>
      <c r="Q21" s="62" t="e">
        <f t="shared" si="8"/>
        <v>#VALUE!</v>
      </c>
      <c r="R21" s="62" t="e">
        <f t="shared" si="9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2" t="e">
        <f t="shared" si="11"/>
        <v>#VALUE!</v>
      </c>
      <c r="V21" s="62">
        <f t="shared" si="12"/>
        <v>4</v>
      </c>
      <c r="W21" s="62" t="e">
        <f t="shared" si="13"/>
        <v>#VALUE!</v>
      </c>
      <c r="X21" s="62" t="e">
        <f t="shared" si="14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</row>
    <row r="22" spans="1:28" ht="34" customHeight="1" x14ac:dyDescent="0.15">
      <c r="A22" s="122">
        <v>40033604</v>
      </c>
      <c r="B22" s="122" t="s">
        <v>364</v>
      </c>
      <c r="C22" s="123">
        <v>3</v>
      </c>
      <c r="D22" s="123" t="s">
        <v>127</v>
      </c>
      <c r="E22" s="124" t="s">
        <v>320</v>
      </c>
      <c r="F22" s="124" t="s">
        <v>292</v>
      </c>
      <c r="G22" s="62" t="str">
        <f t="shared" si="0"/>
        <v>[effect:degrade_unit, target:unit_attack, turn:-1, status:action, val:2, calc:add, animation:enemy_tap_down]</v>
      </c>
      <c r="H22" s="62">
        <f t="shared" si="1"/>
        <v>9</v>
      </c>
      <c r="I22" s="62">
        <f t="shared" si="2"/>
        <v>21</v>
      </c>
      <c r="J22" s="62">
        <f t="shared" si="3"/>
        <v>30</v>
      </c>
      <c r="K22" s="62">
        <f t="shared" si="4"/>
        <v>41</v>
      </c>
      <c r="L22" s="62" t="str">
        <f>IFERROR(VLOOKUP(MID(G22,J22,K22-J22),[6]skilldef!$C:$D,2,FALSE),"-") &amp; " / " &amp; IFERROR(VLOOKUP(MID(G22,H22,I22-H22),[6]skilldef!$A:$B,2,FALSE),"-")</f>
        <v>攻撃タイプの味方に / ステータスDOWN</v>
      </c>
      <c r="M22" s="62" t="str">
        <f t="shared" si="5"/>
        <v>[effect:enemy_message, val1:2.1, val2:2.6]</v>
      </c>
      <c r="N22" s="48" t="str">
        <f t="shared" si="63"/>
        <v>[effect:enemy_message, val1:2.1, val2:2.6]</v>
      </c>
      <c r="O22" s="62">
        <f t="shared" si="6"/>
        <v>9</v>
      </c>
      <c r="P22" s="62">
        <f t="shared" si="7"/>
        <v>22</v>
      </c>
      <c r="Q22" s="62" t="e">
        <f t="shared" si="8"/>
        <v>#VALUE!</v>
      </c>
      <c r="R22" s="62">
        <f t="shared" si="9"/>
        <v>32</v>
      </c>
      <c r="S22" s="62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none</v>
      </c>
      <c r="U22" s="62" t="e">
        <f t="shared" si="11"/>
        <v>#VALUE!</v>
      </c>
      <c r="V22" s="62">
        <f t="shared" si="12"/>
        <v>4</v>
      </c>
      <c r="W22" s="62" t="e">
        <f t="shared" si="13"/>
        <v>#VALUE!</v>
      </c>
      <c r="X22" s="62" t="e">
        <f t="shared" si="14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41" customHeight="1" x14ac:dyDescent="0.15">
      <c r="A23" s="125">
        <v>40033701</v>
      </c>
      <c r="B23" s="125" t="s">
        <v>365</v>
      </c>
      <c r="C23" s="126">
        <v>3</v>
      </c>
      <c r="D23" s="126" t="s">
        <v>127</v>
      </c>
      <c r="E23" s="127" t="s">
        <v>329</v>
      </c>
      <c r="F23" s="127" t="s">
        <v>269</v>
      </c>
      <c r="G23" s="62" t="str">
        <f t="shared" si="0"/>
        <v>[effect:drop_block, block_type:jammer, color:block_green, val:0, rate:1, turn:-1, animation:jammer_influence04]</v>
      </c>
      <c r="H23" s="62">
        <f t="shared" si="1"/>
        <v>9</v>
      </c>
      <c r="I23" s="62">
        <f t="shared" si="2"/>
        <v>19</v>
      </c>
      <c r="J23" s="62" t="e">
        <f t="shared" si="3"/>
        <v>#VALUE!</v>
      </c>
      <c r="K23" s="62">
        <f t="shared" si="4"/>
        <v>38</v>
      </c>
      <c r="L23" s="62" t="str">
        <f>IFERROR(VLOOKUP(MID(G23,J23,K23-J23),[6]skilldef!$C:$D,2,FALSE),"-") &amp; " / " &amp; IFERROR(VLOOKUP(MID(G23,H23,I23-H23),[6]skilldef!$A:$B,2,FALSE),"-")</f>
        <v>- / 特定ブロックの割合ドロップ</v>
      </c>
      <c r="M23" s="62" t="str">
        <f t="shared" si="5"/>
        <v>[effect:fix_speed, target:myself, turn:2],[effect:enemy_message, val1:2.0, val2:2.1]</v>
      </c>
      <c r="N23" s="48" t="str">
        <f t="shared" si="63"/>
        <v>[effect:fix_speed, target:myself, turn:2],[effect:enemy_message, val1:2.0, val2:2.1]</v>
      </c>
      <c r="O23" s="62">
        <f t="shared" si="6"/>
        <v>9</v>
      </c>
      <c r="P23" s="62">
        <f t="shared" si="7"/>
        <v>18</v>
      </c>
      <c r="Q23" s="62">
        <f t="shared" si="8"/>
        <v>27</v>
      </c>
      <c r="R23" s="62">
        <f t="shared" si="9"/>
        <v>33</v>
      </c>
      <c r="S23" s="62" t="str">
        <f>IFERROR(VLOOKUP(MID(N23,Q23,R23-Q23),[6]skilldef!$C:$D,2,FALSE),"-") &amp; " / " &amp; IFERROR(VLOOKUP(MID(N23,O23,P23-O23),[6]skilldef!$A:$B,2,FALSE),"-")</f>
        <v>自分自身に / 行動値設定</v>
      </c>
      <c r="T23" s="48" t="str">
        <f t="shared" si="10"/>
        <v>[effect:enemy_message, val1:2.0, val2:2.1]</v>
      </c>
      <c r="U23" s="62">
        <f t="shared" si="11"/>
        <v>9</v>
      </c>
      <c r="V23" s="62">
        <f t="shared" si="12"/>
        <v>22</v>
      </c>
      <c r="W23" s="62" t="e">
        <f t="shared" si="13"/>
        <v>#VALUE!</v>
      </c>
      <c r="X23" s="62">
        <f t="shared" si="14"/>
        <v>32</v>
      </c>
      <c r="Y23" s="62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</row>
    <row r="24" spans="1:28" ht="21" customHeight="1" x14ac:dyDescent="0.15">
      <c r="A24" s="125">
        <v>40033702</v>
      </c>
      <c r="B24" s="125" t="s">
        <v>270</v>
      </c>
      <c r="C24" s="126">
        <v>3</v>
      </c>
      <c r="D24" s="126" t="s">
        <v>127</v>
      </c>
      <c r="E24" s="127" t="s">
        <v>323</v>
      </c>
      <c r="F24" s="127" t="s">
        <v>255</v>
      </c>
      <c r="G24" s="62" t="str">
        <f t="shared" si="0"/>
        <v>[effect:spread, val:0.3]</v>
      </c>
      <c r="H24" s="62">
        <f t="shared" si="1"/>
        <v>9</v>
      </c>
      <c r="I24" s="62">
        <f t="shared" si="2"/>
        <v>15</v>
      </c>
      <c r="J24" s="62" t="e">
        <f t="shared" si="3"/>
        <v>#VALUE!</v>
      </c>
      <c r="K24" s="62" t="e">
        <f t="shared" si="4"/>
        <v>#VALUE!</v>
      </c>
      <c r="L24" s="62" t="str">
        <f>IFERROR(VLOOKUP(MID(G24,J24,K24-J24),[6]skilldef!$C:$D,2,FALSE),"-") &amp; " / " &amp; IFERROR(VLOOKUP(MID(G24,H24,I24-H24),[6]skilldef!$A:$B,2,FALSE),"-")</f>
        <v>- / 全体攻撃</v>
      </c>
      <c r="M24" s="62" t="str">
        <f t="shared" si="5"/>
        <v>none</v>
      </c>
      <c r="N24" s="48" t="str">
        <f>IFERROR(LEFT(M24,FIND("],",M24)+#REF!),M24)</f>
        <v>none</v>
      </c>
      <c r="O24" s="62" t="e">
        <f t="shared" si="6"/>
        <v>#VALUE!</v>
      </c>
      <c r="P24" s="62">
        <f t="shared" si="7"/>
        <v>4</v>
      </c>
      <c r="Q24" s="62" t="e">
        <f t="shared" si="8"/>
        <v>#VALUE!</v>
      </c>
      <c r="R24" s="62" t="e">
        <f t="shared" si="9"/>
        <v>#VALUE!</v>
      </c>
      <c r="S24" s="62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>none</v>
      </c>
      <c r="U24" s="62" t="e">
        <f t="shared" si="11"/>
        <v>#VALUE!</v>
      </c>
      <c r="V24" s="62">
        <f t="shared" si="12"/>
        <v>4</v>
      </c>
      <c r="W24" s="62" t="e">
        <f t="shared" si="13"/>
        <v>#VALUE!</v>
      </c>
      <c r="X24" s="62" t="e">
        <f t="shared" si="14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48" customHeight="1" x14ac:dyDescent="0.15">
      <c r="A25" s="125">
        <v>40033703</v>
      </c>
      <c r="B25" s="125" t="s">
        <v>366</v>
      </c>
      <c r="C25" s="126">
        <v>3</v>
      </c>
      <c r="D25" s="126" t="s">
        <v>127</v>
      </c>
      <c r="E25" s="127" t="s">
        <v>313</v>
      </c>
      <c r="F25" s="127" t="s">
        <v>304</v>
      </c>
      <c r="G25" s="62" t="str">
        <f t="shared" si="0"/>
        <v>[effect:break_enchance_enemy, target:myself, val:0.03, lowest_val:0.1, count :-1, status:attack, turn:-1, block01:jammer, calc:mul, animation:enemy_enhance_attack]</v>
      </c>
      <c r="H25" s="62">
        <f t="shared" si="1"/>
        <v>9</v>
      </c>
      <c r="I25" s="62">
        <f t="shared" si="2"/>
        <v>29</v>
      </c>
      <c r="J25" s="62">
        <f t="shared" si="3"/>
        <v>38</v>
      </c>
      <c r="K25" s="62">
        <f t="shared" si="4"/>
        <v>44</v>
      </c>
      <c r="L25" s="62" t="str">
        <f>IFERROR(VLOOKUP(MID(G25,J25,K25-J25),[6]skilldef!$C:$D,2,FALSE),"-") &amp; " / " &amp; IFERROR(VLOOKUP(MID(G25,H25,I25-H25),[6]skilldef!$A:$B,2,FALSE),"-")</f>
        <v>自分自身に / -</v>
      </c>
      <c r="M25" s="62" t="str">
        <f t="shared" si="5"/>
        <v>[effect:enemy_message, val1:2.2, val2:1.8]</v>
      </c>
      <c r="N25" s="48" t="str">
        <f>IFERROR(LEFT(M25,FIND("],",M25)+#REF!),M25)</f>
        <v>[effect:enemy_message, val1:2.2, val2:1.8]</v>
      </c>
      <c r="O25" s="62">
        <f t="shared" si="6"/>
        <v>9</v>
      </c>
      <c r="P25" s="62">
        <f t="shared" si="7"/>
        <v>22</v>
      </c>
      <c r="Q25" s="62" t="e">
        <f t="shared" si="8"/>
        <v>#VALUE!</v>
      </c>
      <c r="R25" s="62">
        <f t="shared" si="9"/>
        <v>32</v>
      </c>
      <c r="S25" s="62" t="str">
        <f>IFERROR(VLOOKUP(MID(N25,Q25,R25-Q25),[6]skilldef!$C:$D,2,FALSE),"-") &amp; " / " &amp; IFERROR(VLOOKUP(MID(N25,O25,P25-O25),[6]skilldef!$A:$B,2,FALSE),"-")</f>
        <v>- / -</v>
      </c>
      <c r="T25" s="48" t="str">
        <f t="shared" si="10"/>
        <v>none</v>
      </c>
      <c r="U25" s="62" t="e">
        <f t="shared" si="11"/>
        <v>#VALUE!</v>
      </c>
      <c r="V25" s="62">
        <f t="shared" si="12"/>
        <v>4</v>
      </c>
      <c r="W25" s="62" t="e">
        <f t="shared" si="13"/>
        <v>#VALUE!</v>
      </c>
      <c r="X25" s="62" t="e">
        <f t="shared" si="14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</row>
    <row r="26" spans="1:28" ht="21" customHeight="1" x14ac:dyDescent="0.15">
      <c r="A26" s="125">
        <v>40033704</v>
      </c>
      <c r="B26" s="125" t="s">
        <v>367</v>
      </c>
      <c r="C26" s="126">
        <v>3</v>
      </c>
      <c r="D26" s="126" t="s">
        <v>127</v>
      </c>
      <c r="E26" s="127" t="s">
        <v>321</v>
      </c>
      <c r="F26" s="127" t="s">
        <v>293</v>
      </c>
      <c r="G26" s="62" t="str">
        <f t="shared" si="0"/>
        <v>[effect:reduction, target:myself, turn:1, color:all, val:1, animation:reduction_one01]</v>
      </c>
      <c r="H26" s="62">
        <f t="shared" si="1"/>
        <v>9</v>
      </c>
      <c r="I26" s="62">
        <f t="shared" si="2"/>
        <v>18</v>
      </c>
      <c r="J26" s="62">
        <f t="shared" si="3"/>
        <v>27</v>
      </c>
      <c r="K26" s="62">
        <f t="shared" si="4"/>
        <v>33</v>
      </c>
      <c r="L26" s="62" t="str">
        <f>IFERROR(VLOOKUP(MID(G26,J26,K26-J26),[6]skilldef!$C:$D,2,FALSE),"-") &amp; " / " &amp; IFERROR(VLOOKUP(MID(G26,H26,I26-H26),[6]skilldef!$A:$B,2,FALSE),"-")</f>
        <v>自分自身に / -</v>
      </c>
      <c r="M26" s="62" t="str">
        <f t="shared" si="5"/>
        <v>[effect:enemy_message, val1:1.5, val2:1.8]</v>
      </c>
      <c r="N26" s="48" t="str">
        <f>IFERROR(LEFT(M26,FIND("],",M26)+#REF!),M26)</f>
        <v>[effect:enemy_message, val1:1.5, val2:1.8]</v>
      </c>
      <c r="O26" s="62">
        <f t="shared" si="6"/>
        <v>9</v>
      </c>
      <c r="P26" s="62">
        <f t="shared" si="7"/>
        <v>22</v>
      </c>
      <c r="Q26" s="62" t="e">
        <f t="shared" si="8"/>
        <v>#VALUE!</v>
      </c>
      <c r="R26" s="62">
        <f t="shared" si="9"/>
        <v>32</v>
      </c>
      <c r="S26" s="62" t="str">
        <f>IFERROR(VLOOKUP(MID(N26,Q26,R26-Q26),[6]skilldef!$C:$D,2,FALSE),"-") &amp; " / " &amp; IFERROR(VLOOKUP(MID(N26,O26,P26-O26),[6]skilldef!$A:$B,2,FALSE),"-")</f>
        <v>- / -</v>
      </c>
      <c r="T26" s="48" t="str">
        <f t="shared" si="10"/>
        <v>none</v>
      </c>
      <c r="U26" s="62" t="e">
        <f t="shared" si="11"/>
        <v>#VALUE!</v>
      </c>
      <c r="V26" s="62">
        <f t="shared" si="12"/>
        <v>4</v>
      </c>
      <c r="W26" s="62" t="e">
        <f t="shared" si="13"/>
        <v>#VALUE!</v>
      </c>
      <c r="X26" s="62" t="e">
        <f t="shared" si="14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</row>
    <row r="27" spans="1:28" ht="21" customHeight="1" x14ac:dyDescent="0.15">
      <c r="A27" s="125">
        <v>40033705</v>
      </c>
      <c r="B27" s="125" t="s">
        <v>368</v>
      </c>
      <c r="C27" s="126">
        <v>3</v>
      </c>
      <c r="D27" s="126" t="s">
        <v>127</v>
      </c>
      <c r="E27" s="127" t="s">
        <v>314</v>
      </c>
      <c r="F27" s="127" t="s">
        <v>302</v>
      </c>
      <c r="G27" s="62" t="str">
        <f t="shared" si="0"/>
        <v>[effect:break_attack_fix, target:unit_all, val:400, lowest_val:1500, count:-1, color:yellow, block01:jammer] ,[effect:enemy_message, val1:1.4, val2:1.8]</v>
      </c>
      <c r="H27" s="62">
        <f t="shared" si="1"/>
        <v>9</v>
      </c>
      <c r="I27" s="62">
        <f t="shared" si="2"/>
        <v>25</v>
      </c>
      <c r="J27" s="62">
        <f t="shared" si="3"/>
        <v>34</v>
      </c>
      <c r="K27" s="62">
        <f t="shared" si="4"/>
        <v>42</v>
      </c>
      <c r="L27" s="62" t="str">
        <f>IFERROR(VLOOKUP(MID(G27,J27,K27-J27),[6]skilldef!$C:$D,2,FALSE),"-") &amp; " / " &amp; IFERROR(VLOOKUP(MID(G27,H27,I27-H27),[6]skilldef!$A:$B,2,FALSE),"-")</f>
        <v>味方全体に / -</v>
      </c>
      <c r="M27" s="62" t="str">
        <f t="shared" si="5"/>
        <v>none</v>
      </c>
      <c r="N27" s="48" t="str">
        <f>IFERROR(LEFT(M27,FIND("],",M27)+#REF!),M27)</f>
        <v>none</v>
      </c>
      <c r="O27" s="62" t="e">
        <f t="shared" si="6"/>
        <v>#VALUE!</v>
      </c>
      <c r="P27" s="62">
        <f t="shared" si="7"/>
        <v>4</v>
      </c>
      <c r="Q27" s="62" t="e">
        <f t="shared" si="8"/>
        <v>#VALUE!</v>
      </c>
      <c r="R27" s="62" t="e">
        <f t="shared" si="9"/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8" t="str">
        <f t="shared" si="10"/>
        <v>none</v>
      </c>
      <c r="U27" s="62" t="e">
        <f t="shared" si="11"/>
        <v>#VALUE!</v>
      </c>
      <c r="V27" s="62">
        <f t="shared" si="12"/>
        <v>4</v>
      </c>
      <c r="W27" s="62" t="e">
        <f t="shared" si="13"/>
        <v>#VALUE!</v>
      </c>
      <c r="X27" s="62" t="e">
        <f t="shared" si="14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/>
    </row>
    <row r="28" spans="1:28" ht="44" customHeight="1" x14ac:dyDescent="0.15">
      <c r="A28" s="128">
        <v>40033800</v>
      </c>
      <c r="B28" s="128" t="s">
        <v>369</v>
      </c>
      <c r="C28" s="129">
        <v>3</v>
      </c>
      <c r="D28" s="129" t="s">
        <v>127</v>
      </c>
      <c r="E28" s="130" t="s">
        <v>331</v>
      </c>
      <c r="F28" s="130" t="s">
        <v>294</v>
      </c>
      <c r="G28" s="62" t="str">
        <f t="shared" si="0"/>
        <v>[effect:hungup, target:unit_attack/unit_balance, turn:5, rate:1, animation:hungup01]</v>
      </c>
      <c r="H28" s="62">
        <f t="shared" si="1"/>
        <v>9</v>
      </c>
      <c r="I28" s="62">
        <f t="shared" si="2"/>
        <v>15</v>
      </c>
      <c r="J28" s="62">
        <f t="shared" si="3"/>
        <v>24</v>
      </c>
      <c r="K28" s="62">
        <f t="shared" si="4"/>
        <v>48</v>
      </c>
      <c r="L28" s="62" t="str">
        <f>IFERROR(VLOOKUP(MID(G28,J28,K28-J28),[6]skilldef!$C:$D,2,FALSE),"-") &amp; " / " &amp; IFERROR(VLOOKUP(MID(G28,H28,I28-H28),[6]skilldef!$A:$B,2,FALSE),"-")</f>
        <v>- / ハングアップ</v>
      </c>
      <c r="M28" s="62" t="str">
        <f t="shared" si="5"/>
        <v>[effect:fix_speed, target:myself, turn:1],[effect:enemy_message, val1:1.6, val2:3.0]</v>
      </c>
      <c r="N28" s="48" t="str">
        <f>IFERROR(LEFT(M28,FIND("],",M28)+#REF!),M28)</f>
        <v>[effect:fix_speed, target:myself, turn:1],[effect:enemy_message, val1:1.6, val2:3.0]</v>
      </c>
      <c r="O28" s="62">
        <f t="shared" si="6"/>
        <v>9</v>
      </c>
      <c r="P28" s="62">
        <f t="shared" si="7"/>
        <v>18</v>
      </c>
      <c r="Q28" s="62">
        <f t="shared" si="8"/>
        <v>27</v>
      </c>
      <c r="R28" s="62">
        <f t="shared" si="9"/>
        <v>33</v>
      </c>
      <c r="S28" s="62" t="str">
        <f>IFERROR(VLOOKUP(MID(N28,Q28,R28-Q28),[6]skilldef!$C:$D,2,FALSE),"-") &amp; " / " &amp; IFERROR(VLOOKUP(MID(N28,O28,P28-O28),[6]skilldef!$A:$B,2,FALSE),"-")</f>
        <v>自分自身に / 行動値設定</v>
      </c>
      <c r="T28" s="48" t="str">
        <f t="shared" si="10"/>
        <v>[effect:enemy_message, val1:1.6, val2:3.0]</v>
      </c>
      <c r="U28" s="62">
        <f t="shared" si="11"/>
        <v>9</v>
      </c>
      <c r="V28" s="62">
        <f t="shared" si="12"/>
        <v>22</v>
      </c>
      <c r="W28" s="62" t="e">
        <f t="shared" si="13"/>
        <v>#VALUE!</v>
      </c>
      <c r="X28" s="62">
        <f t="shared" si="14"/>
        <v>32</v>
      </c>
      <c r="Y28" s="62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/>
    </row>
    <row r="29" spans="1:28" ht="21" customHeight="1" x14ac:dyDescent="0.15">
      <c r="A29" s="128">
        <v>40033801</v>
      </c>
      <c r="B29" s="128" t="s">
        <v>370</v>
      </c>
      <c r="C29" s="129">
        <v>3</v>
      </c>
      <c r="D29" s="129" t="s">
        <v>127</v>
      </c>
      <c r="E29" s="130" t="s">
        <v>319</v>
      </c>
      <c r="F29" s="130" t="s">
        <v>305</v>
      </c>
      <c r="G29" s="62" t="str">
        <f t="shared" si="0"/>
        <v>[effect:break_attack_fix, target:unit_all, val:400, lowest_val:1500, count:-1, color:yellow, block01:block_yellow]</v>
      </c>
      <c r="H29" s="62">
        <f t="shared" si="1"/>
        <v>9</v>
      </c>
      <c r="I29" s="62">
        <f t="shared" si="2"/>
        <v>25</v>
      </c>
      <c r="J29" s="62">
        <f t="shared" si="3"/>
        <v>34</v>
      </c>
      <c r="K29" s="62">
        <f t="shared" si="4"/>
        <v>42</v>
      </c>
      <c r="L29" s="62" t="str">
        <f>IFERROR(VLOOKUP(MID(G29,J29,K29-J29),[6]skilldef!$C:$D,2,FALSE),"-") &amp; " / " &amp; IFERROR(VLOOKUP(MID(G29,H29,I29-H29),[6]skilldef!$A:$B,2,FALSE),"-")</f>
        <v>味方全体に / -</v>
      </c>
      <c r="M29" s="62" t="str">
        <f t="shared" si="5"/>
        <v>[effect:enemy_message, val1:1.3, val2:1.6]</v>
      </c>
      <c r="N29" s="48" t="str">
        <f>IFERROR(LEFT(M29,FIND("],",M29)+#REF!),M29)</f>
        <v>[effect:enemy_message, val1:1.3, val2:1.6]</v>
      </c>
      <c r="O29" s="62">
        <f t="shared" si="6"/>
        <v>9</v>
      </c>
      <c r="P29" s="62">
        <f t="shared" si="7"/>
        <v>22</v>
      </c>
      <c r="Q29" s="62" t="e">
        <f t="shared" si="8"/>
        <v>#VALUE!</v>
      </c>
      <c r="R29" s="62">
        <f t="shared" si="9"/>
        <v>32</v>
      </c>
      <c r="S29" s="62" t="str">
        <f>IFERROR(VLOOKUP(MID(N29,Q29,R29-Q29),[6]skilldef!$C:$D,2,FALSE),"-") &amp; " / " &amp; IFERROR(VLOOKUP(MID(N29,O29,P29-O29),[6]skilldef!$A:$B,2,FALSE),"-")</f>
        <v>- / -</v>
      </c>
      <c r="T29" s="48" t="str">
        <f t="shared" si="10"/>
        <v>none</v>
      </c>
      <c r="U29" s="62" t="e">
        <f t="shared" si="11"/>
        <v>#VALUE!</v>
      </c>
      <c r="V29" s="62">
        <f t="shared" si="12"/>
        <v>4</v>
      </c>
      <c r="W29" s="62" t="e">
        <f t="shared" si="13"/>
        <v>#VALUE!</v>
      </c>
      <c r="X29" s="62" t="e">
        <f t="shared" si="14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</row>
    <row r="30" spans="1:28" ht="21" customHeight="1" x14ac:dyDescent="0.15">
      <c r="A30" s="128">
        <v>40033802</v>
      </c>
      <c r="B30" s="128" t="s">
        <v>385</v>
      </c>
      <c r="C30" s="129">
        <v>3</v>
      </c>
      <c r="D30" s="129" t="s">
        <v>127</v>
      </c>
      <c r="E30" s="130" t="s">
        <v>322</v>
      </c>
      <c r="F30" s="130" t="s">
        <v>374</v>
      </c>
      <c r="G30" s="62" t="str">
        <f t="shared" si="0"/>
        <v>[effect:force_change_block, new_block:time_bomb, target:block_all, ignore01:block_positive, ignore02:block_negative, color:block_green, count:5, val:0.2, min_time_count:3, max_time_count:3, animation:change_block] ,[effect:rush, count:8, val:0.2]</v>
      </c>
      <c r="H30" s="62">
        <f t="shared" si="1"/>
        <v>9</v>
      </c>
      <c r="I30" s="62">
        <f t="shared" si="2"/>
        <v>27</v>
      </c>
      <c r="J30" s="62">
        <f t="shared" si="3"/>
        <v>57</v>
      </c>
      <c r="K30" s="62">
        <f t="shared" si="4"/>
        <v>48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5"/>
        <v>[effect:enemy_message, val1:1.5, val2:2.5]</v>
      </c>
      <c r="N30" s="48" t="str">
        <f>IFERROR(LEFT(M30,FIND("],",M30)+#REF!),M30)</f>
        <v>[effect:enemy_message, val1:1.5, val2:2.5]</v>
      </c>
      <c r="O30" s="62">
        <f t="shared" si="6"/>
        <v>9</v>
      </c>
      <c r="P30" s="62">
        <f t="shared" si="7"/>
        <v>22</v>
      </c>
      <c r="Q30" s="62" t="e">
        <f t="shared" si="8"/>
        <v>#VALUE!</v>
      </c>
      <c r="R30" s="62">
        <f t="shared" si="9"/>
        <v>32</v>
      </c>
      <c r="S30" s="62" t="str">
        <f>IFERROR(VLOOKUP(MID(N30,Q30,R30-Q30),[6]skilldef!$C:$D,2,FALSE),"-") &amp; " / " &amp; IFERROR(VLOOKUP(MID(N30,O30,P30-O30),[6]skilldef!$A:$B,2,FALSE),"-")</f>
        <v>- / -</v>
      </c>
      <c r="T30" s="48" t="str">
        <f t="shared" si="10"/>
        <v>none</v>
      </c>
      <c r="U30" s="62" t="e">
        <f t="shared" si="11"/>
        <v>#VALUE!</v>
      </c>
      <c r="V30" s="62">
        <f t="shared" si="12"/>
        <v>4</v>
      </c>
      <c r="W30" s="62" t="e">
        <f t="shared" si="13"/>
        <v>#VALUE!</v>
      </c>
      <c r="X30" s="62" t="e">
        <f t="shared" si="14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50"/>
      <c r="AA30" s="51"/>
      <c r="AB30" s="50"/>
    </row>
    <row r="31" spans="1:28" ht="21" customHeight="1" x14ac:dyDescent="0.15">
      <c r="A31" s="128">
        <v>40033803</v>
      </c>
      <c r="B31" s="128" t="s">
        <v>336</v>
      </c>
      <c r="C31" s="129">
        <v>3</v>
      </c>
      <c r="D31" s="129" t="s">
        <v>127</v>
      </c>
      <c r="E31" s="130" t="s">
        <v>330</v>
      </c>
      <c r="F31" s="130" t="s">
        <v>255</v>
      </c>
      <c r="G31" s="62" t="str">
        <f t="shared" si="0"/>
        <v>[effect:spread, val:0.3]</v>
      </c>
      <c r="H31" s="62">
        <f t="shared" si="1"/>
        <v>9</v>
      </c>
      <c r="I31" s="62">
        <f t="shared" si="2"/>
        <v>15</v>
      </c>
      <c r="J31" s="62" t="e">
        <f t="shared" si="3"/>
        <v>#VALUE!</v>
      </c>
      <c r="K31" s="62" t="e">
        <f t="shared" si="4"/>
        <v>#VALUE!</v>
      </c>
      <c r="L31" s="62" t="str">
        <f>IFERROR(VLOOKUP(MID(G31,J31,K31-J31),[6]skilldef!$C:$D,2,FALSE),"-") &amp; " / " &amp; IFERROR(VLOOKUP(MID(G31,H31,I31-H31),[6]skilldef!$A:$B,2,FALSE),"-")</f>
        <v>- / 全体攻撃</v>
      </c>
      <c r="M31" s="62" t="str">
        <f t="shared" si="5"/>
        <v>[effect:enemy_message, val1:1.5, val2:1.5]</v>
      </c>
      <c r="N31" s="48" t="str">
        <f>IFERROR(LEFT(M31,FIND("],",M31)+#REF!),M31)</f>
        <v>[effect:enemy_message, val1:1.5, val2:1.5]</v>
      </c>
      <c r="O31" s="62">
        <f t="shared" si="6"/>
        <v>9</v>
      </c>
      <c r="P31" s="62">
        <f t="shared" si="7"/>
        <v>22</v>
      </c>
      <c r="Q31" s="62" t="e">
        <f t="shared" si="8"/>
        <v>#VALUE!</v>
      </c>
      <c r="R31" s="62">
        <f t="shared" si="9"/>
        <v>32</v>
      </c>
      <c r="S31" s="62" t="str">
        <f>IFERROR(VLOOKUP(MID(N31,Q31,R31-Q31),[6]skilldef!$C:$D,2,FALSE),"-") &amp; " / " &amp; IFERROR(VLOOKUP(MID(N31,O31,P31-O31),[6]skilldef!$A:$B,2,FALSE),"-")</f>
        <v>- / -</v>
      </c>
      <c r="T31" s="48" t="str">
        <f t="shared" si="10"/>
        <v>none</v>
      </c>
      <c r="U31" s="62" t="e">
        <f t="shared" si="11"/>
        <v>#VALUE!</v>
      </c>
      <c r="V31" s="62">
        <f t="shared" si="12"/>
        <v>4</v>
      </c>
      <c r="W31" s="62" t="e">
        <f t="shared" si="13"/>
        <v>#VALUE!</v>
      </c>
      <c r="X31" s="62" t="e">
        <f t="shared" si="14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50"/>
      <c r="AA31" s="51"/>
      <c r="AB31" s="50"/>
    </row>
    <row r="32" spans="1:28" ht="21" customHeight="1" x14ac:dyDescent="0.15">
      <c r="A32" s="128">
        <v>40033804</v>
      </c>
      <c r="B32" s="128" t="s">
        <v>371</v>
      </c>
      <c r="C32" s="129">
        <v>3</v>
      </c>
      <c r="D32" s="129" t="s">
        <v>127</v>
      </c>
      <c r="E32" s="130" t="s">
        <v>325</v>
      </c>
      <c r="F32" s="130" t="s">
        <v>326</v>
      </c>
      <c r="G32" s="62" t="str">
        <f t="shared" ref="G32:G40" si="64">IFERROR(LEFT(B32,FIND("],",B32)),B32)</f>
        <v>[effect:break_attack_fix, target:unit_all, val:400, lowest_val:1500, count:-1, color:yellow, block01:jammer] ,[effect:enemy_message, val1:1.6, val2:1.8]</v>
      </c>
      <c r="H32" s="62">
        <f t="shared" ref="H32:H40" si="65">FIND("effect:",G32)+7</f>
        <v>9</v>
      </c>
      <c r="I32" s="62">
        <f t="shared" ref="I32:I40" si="66">IFERROR(FIND(",",G32),LEN(G32))</f>
        <v>25</v>
      </c>
      <c r="J32" s="62">
        <f t="shared" ref="J32:J40" si="67">FIND("target:",G32)+7</f>
        <v>34</v>
      </c>
      <c r="K32" s="62">
        <f t="shared" ref="K32:K40" si="68">FIND(",",G32,I32+1)</f>
        <v>42</v>
      </c>
      <c r="L32" s="62" t="str">
        <f>IFERROR(VLOOKUP(MID(G32,J32,K32-J32),[6]skilldef!$C:$D,2,FALSE),"-") &amp; " / " &amp; IFERROR(VLOOKUP(MID(G32,H32,I32-H32),[6]skilldef!$A:$B,2,FALSE),"-")</f>
        <v>味方全体に / -</v>
      </c>
      <c r="M32" s="62" t="str">
        <f t="shared" ref="M32:M40" si="69">IFERROR(RIGHT(B32,LEN(B32)-FIND("],",B32)-1),"none")</f>
        <v>none</v>
      </c>
      <c r="N32" s="48" t="str">
        <f>IFERROR(LEFT(M32,FIND("],",M32)+#REF!),M32)</f>
        <v>none</v>
      </c>
      <c r="O32" s="62" t="e">
        <f t="shared" ref="O32:O40" si="70">FIND("effect:",N32)+7</f>
        <v>#VALUE!</v>
      </c>
      <c r="P32" s="62">
        <f t="shared" ref="P32:P40" si="71">IFERROR(FIND(",",N32),LEN(N32))</f>
        <v>4</v>
      </c>
      <c r="Q32" s="62" t="e">
        <f t="shared" ref="Q32:Q40" si="72">FIND("target:",N32)+7</f>
        <v>#VALUE!</v>
      </c>
      <c r="R32" s="62" t="e">
        <f t="shared" ref="R32:R40" si="73">FIND(",",N32,P32+1)</f>
        <v>#VALUE!</v>
      </c>
      <c r="S32" s="62" t="str">
        <f>IFERROR(VLOOKUP(MID(N32,Q32,R32-Q32),[6]skilldef!$C:$D,2,FALSE),"-") &amp; " / " &amp; IFERROR(VLOOKUP(MID(N32,O32,P32-O32),[6]skilldef!$A:$B,2,FALSE),"-")</f>
        <v>- / -</v>
      </c>
      <c r="T32" s="48" t="str">
        <f t="shared" ref="T32:T40" si="74">IFERROR(RIGHT(M32,LEN(M32)-FIND("],",M32)-1),"none")</f>
        <v>none</v>
      </c>
      <c r="U32" s="62" t="e">
        <f t="shared" ref="U32:U40" si="75">FIND("effect:",T32)+7</f>
        <v>#VALUE!</v>
      </c>
      <c r="V32" s="62">
        <f t="shared" ref="V32:V40" si="76">IFERROR(FIND(",",T32),LEN(T32))</f>
        <v>4</v>
      </c>
      <c r="W32" s="62" t="e">
        <f t="shared" ref="W32:W40" si="77">FIND("target:",T32)+7</f>
        <v>#VALUE!</v>
      </c>
      <c r="X32" s="62" t="e">
        <f t="shared" ref="X32:X40" si="78">FIND(",",T32,V32+1)</f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50"/>
      <c r="AA32" s="51"/>
      <c r="AB32" s="50"/>
    </row>
    <row r="33" spans="1:28" ht="36" customHeight="1" x14ac:dyDescent="0.15">
      <c r="A33" s="128">
        <v>40033805</v>
      </c>
      <c r="B33" s="128" t="s">
        <v>372</v>
      </c>
      <c r="C33" s="129">
        <v>3</v>
      </c>
      <c r="D33" s="129" t="s">
        <v>127</v>
      </c>
      <c r="E33" s="130" t="s">
        <v>328</v>
      </c>
      <c r="F33" s="130" t="s">
        <v>332</v>
      </c>
      <c r="G33" s="62" t="str">
        <f t="shared" ref="G33" si="79">IFERROR(LEFT(B33,FIND("],",B33)),B33)</f>
        <v>[effect:enemy_message, val1:2.0, val2:2.1]</v>
      </c>
      <c r="H33" s="62">
        <f t="shared" ref="H33" si="80">FIND("effect:",G33)+7</f>
        <v>9</v>
      </c>
      <c r="I33" s="62">
        <f t="shared" ref="I33" si="81">IFERROR(FIND(",",G33),LEN(G33))</f>
        <v>22</v>
      </c>
      <c r="J33" s="62" t="e">
        <f t="shared" ref="J33" si="82">FIND("target:",G33)+7</f>
        <v>#VALUE!</v>
      </c>
      <c r="K33" s="62">
        <f t="shared" ref="K33" si="83">FIND(",",G33,I33+1)</f>
        <v>32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ref="M33" si="84">IFERROR(RIGHT(B33,LEN(B33)-FIND("],",B33)-1),"none")</f>
        <v>none</v>
      </c>
      <c r="N33" s="48" t="str">
        <f>IFERROR(LEFT(M33,FIND("],",M33)+#REF!),M33)</f>
        <v>none</v>
      </c>
      <c r="O33" s="62" t="e">
        <f t="shared" ref="O33" si="85">FIND("effect:",N33)+7</f>
        <v>#VALUE!</v>
      </c>
      <c r="P33" s="62">
        <f t="shared" ref="P33" si="86">IFERROR(FIND(",",N33),LEN(N33))</f>
        <v>4</v>
      </c>
      <c r="Q33" s="62" t="e">
        <f t="shared" ref="Q33" si="87">FIND("target:",N33)+7</f>
        <v>#VALUE!</v>
      </c>
      <c r="R33" s="62" t="e">
        <f t="shared" ref="R33" si="88">FIND(",",N33,P33+1)</f>
        <v>#VALUE!</v>
      </c>
      <c r="S33" s="62" t="str">
        <f>IFERROR(VLOOKUP(MID(N33,Q33,R33-Q33),[6]skilldef!$C:$D,2,FALSE),"-") &amp; " / " &amp; IFERROR(VLOOKUP(MID(N33,O33,P33-O33),[6]skilldef!$A:$B,2,FALSE),"-")</f>
        <v>- / -</v>
      </c>
      <c r="T33" s="48" t="str">
        <f t="shared" ref="T33" si="89">IFERROR(RIGHT(M33,LEN(M33)-FIND("],",M33)-1),"none")</f>
        <v>none</v>
      </c>
      <c r="U33" s="62" t="e">
        <f t="shared" ref="U33" si="90">FIND("effect:",T33)+7</f>
        <v>#VALUE!</v>
      </c>
      <c r="V33" s="62">
        <f t="shared" ref="V33" si="91">IFERROR(FIND(",",T33),LEN(T33))</f>
        <v>4</v>
      </c>
      <c r="W33" s="62" t="e">
        <f t="shared" ref="W33" si="92">FIND("target:",T33)+7</f>
        <v>#VALUE!</v>
      </c>
      <c r="X33" s="62" t="e">
        <f t="shared" ref="X33" si="93">FIND(",",T33,V33+1)</f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</row>
    <row r="34" spans="1:28" ht="21" customHeight="1" x14ac:dyDescent="0.15">
      <c r="A34" s="104">
        <v>40033002</v>
      </c>
      <c r="B34" s="104" t="s">
        <v>358</v>
      </c>
      <c r="C34" s="105">
        <v>3</v>
      </c>
      <c r="D34" s="105" t="s">
        <v>127</v>
      </c>
      <c r="E34" s="106" t="s">
        <v>277</v>
      </c>
      <c r="F34" s="106" t="s">
        <v>303</v>
      </c>
      <c r="G34" s="62" t="str">
        <f t="shared" si="64"/>
        <v>[effect:break_attack_fix, target:unit_one, val:500, lowest_val:3000, count:-1, color:yellow, block01:jammer]  ,[effect:enemy_message, val1:1.0, val2:1.6]</v>
      </c>
      <c r="H34" s="62">
        <f t="shared" si="65"/>
        <v>9</v>
      </c>
      <c r="I34" s="62">
        <f t="shared" si="66"/>
        <v>25</v>
      </c>
      <c r="J34" s="62">
        <f t="shared" si="67"/>
        <v>34</v>
      </c>
      <c r="K34" s="62">
        <f t="shared" si="68"/>
        <v>42</v>
      </c>
      <c r="L34" s="62" t="str">
        <f>IFERROR(VLOOKUP(MID(G34,J34,K34-J34),[6]skilldef!$C:$D,2,FALSE),"-") &amp; " / " &amp; IFERROR(VLOOKUP(MID(G34,H34,I34-H34),[6]skilldef!$A:$B,2,FALSE),"-")</f>
        <v>味方単体に / -</v>
      </c>
      <c r="M34" s="62" t="str">
        <f t="shared" si="69"/>
        <v>none</v>
      </c>
      <c r="N34" s="48" t="str">
        <f>IFERROR(LEFT(M34,FIND("],",M34)+#REF!),M34)</f>
        <v>none</v>
      </c>
      <c r="O34" s="62" t="e">
        <f t="shared" si="70"/>
        <v>#VALUE!</v>
      </c>
      <c r="P34" s="62">
        <f t="shared" si="71"/>
        <v>4</v>
      </c>
      <c r="Q34" s="62" t="e">
        <f t="shared" si="72"/>
        <v>#VALUE!</v>
      </c>
      <c r="R34" s="62" t="e">
        <f t="shared" si="73"/>
        <v>#VALUE!</v>
      </c>
      <c r="S34" s="62" t="str">
        <f>IFERROR(VLOOKUP(MID(N34,Q34,R34-Q34),[6]skilldef!$C:$D,2,FALSE),"-") &amp; " / " &amp; IFERROR(VLOOKUP(MID(N34,O34,P34-O34),[6]skilldef!$A:$B,2,FALSE),"-")</f>
        <v>- / -</v>
      </c>
      <c r="T34" s="48" t="str">
        <f t="shared" si="74"/>
        <v>none</v>
      </c>
      <c r="U34" s="62" t="e">
        <f t="shared" si="75"/>
        <v>#VALUE!</v>
      </c>
      <c r="V34" s="62">
        <f t="shared" si="76"/>
        <v>4</v>
      </c>
      <c r="W34" s="62" t="e">
        <f t="shared" si="77"/>
        <v>#VALUE!</v>
      </c>
      <c r="X34" s="62" t="e">
        <f t="shared" si="78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50"/>
      <c r="AA34" s="51"/>
      <c r="AB34" s="50"/>
    </row>
    <row r="35" spans="1:28" ht="21" customHeight="1" x14ac:dyDescent="0.15">
      <c r="A35" s="116">
        <v>40033402</v>
      </c>
      <c r="B35" s="116" t="s">
        <v>359</v>
      </c>
      <c r="C35" s="117">
        <v>3</v>
      </c>
      <c r="D35" s="117" t="s">
        <v>127</v>
      </c>
      <c r="E35" s="118" t="s">
        <v>283</v>
      </c>
      <c r="F35" s="118" t="s">
        <v>298</v>
      </c>
      <c r="G35" s="62" t="str">
        <f t="shared" si="64"/>
        <v>[effect:break_heal_fix, target:myself, val:1500, lowest_val:1000, count:-1, block01:block_yellow, animation:enemy_heal]</v>
      </c>
      <c r="H35" s="62">
        <f t="shared" si="65"/>
        <v>9</v>
      </c>
      <c r="I35" s="62">
        <f t="shared" si="66"/>
        <v>23</v>
      </c>
      <c r="J35" s="62">
        <f t="shared" si="67"/>
        <v>32</v>
      </c>
      <c r="K35" s="62">
        <f t="shared" si="68"/>
        <v>38</v>
      </c>
      <c r="L35" s="62" t="str">
        <f>IFERROR(VLOOKUP(MID(G35,J35,K35-J35),[6]skilldef!$C:$D,2,FALSE),"-") &amp; " / " &amp; IFERROR(VLOOKUP(MID(G35,H35,I35-H35),[6]skilldef!$A:$B,2,FALSE),"-")</f>
        <v>自分自身に / -</v>
      </c>
      <c r="M35" s="62" t="str">
        <f t="shared" si="69"/>
        <v>[effect:enemy_message, val1:1.0, val2:1.4]</v>
      </c>
      <c r="N35" s="48" t="str">
        <f>IFERROR(LEFT(M35,FIND("],",M35)+S44),M35)</f>
        <v>[effect:enemy_message, val1:1.0, val2:1.4]</v>
      </c>
      <c r="O35" s="62">
        <f t="shared" si="70"/>
        <v>9</v>
      </c>
      <c r="P35" s="62">
        <f t="shared" si="71"/>
        <v>22</v>
      </c>
      <c r="Q35" s="62" t="e">
        <f t="shared" si="72"/>
        <v>#VALUE!</v>
      </c>
      <c r="R35" s="62">
        <f t="shared" si="73"/>
        <v>32</v>
      </c>
      <c r="S35" s="62" t="str">
        <f>IFERROR(VLOOKUP(MID(N35,Q35,R35-Q35),[6]skilldef!$C:$D,2,FALSE),"-") &amp; " / " &amp; IFERROR(VLOOKUP(MID(N35,O35,P35-O35),[6]skilldef!$A:$B,2,FALSE),"-")</f>
        <v>- / -</v>
      </c>
      <c r="T35" s="48" t="str">
        <f t="shared" si="74"/>
        <v>none</v>
      </c>
      <c r="U35" s="62" t="e">
        <f t="shared" si="75"/>
        <v>#VALUE!</v>
      </c>
      <c r="V35" s="62">
        <f t="shared" si="76"/>
        <v>4</v>
      </c>
      <c r="W35" s="62" t="e">
        <f t="shared" si="77"/>
        <v>#VALUE!</v>
      </c>
      <c r="X35" s="62" t="e">
        <f t="shared" si="78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50"/>
      <c r="AA35" s="51"/>
      <c r="AB35" s="50"/>
    </row>
    <row r="36" spans="1:28" ht="21" customHeight="1" x14ac:dyDescent="0.15">
      <c r="A36" s="116">
        <v>40033404</v>
      </c>
      <c r="B36" s="116" t="s">
        <v>360</v>
      </c>
      <c r="C36" s="117">
        <v>3</v>
      </c>
      <c r="D36" s="117" t="s">
        <v>127</v>
      </c>
      <c r="E36" s="118" t="s">
        <v>338</v>
      </c>
      <c r="F36" s="118" t="s">
        <v>300</v>
      </c>
      <c r="G36" s="62" t="str">
        <f t="shared" si="64"/>
        <v>[effect:break_attack_fix, target:unit_all, val:150, lowest_val:500, count:-1, color:yellow, block01:jammer] ,[effect:enemy_message, val1:1.0, val2:1.8]</v>
      </c>
      <c r="H36" s="62">
        <f t="shared" si="65"/>
        <v>9</v>
      </c>
      <c r="I36" s="62">
        <f t="shared" si="66"/>
        <v>25</v>
      </c>
      <c r="J36" s="62">
        <f t="shared" si="67"/>
        <v>34</v>
      </c>
      <c r="K36" s="62">
        <f t="shared" si="68"/>
        <v>42</v>
      </c>
      <c r="L36" s="62" t="str">
        <f>IFERROR(VLOOKUP(MID(G36,J36,K36-J36),[6]skilldef!$C:$D,2,FALSE),"-") &amp; " / " &amp; IFERROR(VLOOKUP(MID(G36,H36,I36-H36),[6]skilldef!$A:$B,2,FALSE),"-")</f>
        <v>味方全体に / -</v>
      </c>
      <c r="M36" s="62" t="str">
        <f t="shared" si="69"/>
        <v>none</v>
      </c>
      <c r="N36" s="48" t="str">
        <f t="shared" ref="N36" si="94">IFERROR(LEFT(M36,FIND("],",M36)+S46),M36)</f>
        <v>none</v>
      </c>
      <c r="O36" s="62" t="e">
        <f t="shared" si="70"/>
        <v>#VALUE!</v>
      </c>
      <c r="P36" s="62">
        <f t="shared" si="71"/>
        <v>4</v>
      </c>
      <c r="Q36" s="62" t="e">
        <f t="shared" si="72"/>
        <v>#VALUE!</v>
      </c>
      <c r="R36" s="62" t="e">
        <f t="shared" si="73"/>
        <v>#VALUE!</v>
      </c>
      <c r="S36" s="62" t="str">
        <f>IFERROR(VLOOKUP(MID(N36,Q36,R36-Q36),[6]skilldef!$C:$D,2,FALSE),"-") &amp; " / " &amp; IFERROR(VLOOKUP(MID(N36,O36,P36-O36),[6]skilldef!$A:$B,2,FALSE),"-")</f>
        <v>- / -</v>
      </c>
      <c r="T36" s="48" t="str">
        <f t="shared" si="74"/>
        <v>none</v>
      </c>
      <c r="U36" s="62" t="e">
        <f t="shared" si="75"/>
        <v>#VALUE!</v>
      </c>
      <c r="V36" s="62">
        <f t="shared" si="76"/>
        <v>4</v>
      </c>
      <c r="W36" s="62" t="e">
        <f t="shared" si="77"/>
        <v>#VALUE!</v>
      </c>
      <c r="X36" s="62" t="e">
        <f t="shared" si="78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50"/>
      <c r="AA36" s="51"/>
      <c r="AB36" s="50"/>
    </row>
    <row r="37" spans="1:28" ht="40" customHeight="1" x14ac:dyDescent="0.15">
      <c r="A37" s="119">
        <v>40033503</v>
      </c>
      <c r="B37" s="119" t="s">
        <v>361</v>
      </c>
      <c r="C37" s="120">
        <v>3</v>
      </c>
      <c r="D37" s="120" t="s">
        <v>127</v>
      </c>
      <c r="E37" s="121" t="s">
        <v>309</v>
      </c>
      <c r="F37" s="121" t="s">
        <v>297</v>
      </c>
      <c r="G37" s="62" t="str">
        <f t="shared" si="64"/>
        <v>[effect:break_attack_fix, target:unit_all, val:150, lowest_val:500, count:-1, color:yellow, block01:block_yellow]</v>
      </c>
      <c r="H37" s="62">
        <f t="shared" si="65"/>
        <v>9</v>
      </c>
      <c r="I37" s="62">
        <f t="shared" si="66"/>
        <v>25</v>
      </c>
      <c r="J37" s="62">
        <f t="shared" si="67"/>
        <v>34</v>
      </c>
      <c r="K37" s="62">
        <f t="shared" si="68"/>
        <v>42</v>
      </c>
      <c r="L37" s="62" t="str">
        <f>IFERROR(VLOOKUP(MID(G37,J37,K37-J37),[6]skilldef!$C:$D,2,FALSE),"-") &amp; " / " &amp; IFERROR(VLOOKUP(MID(G37,H37,I37-H37),[6]skilldef!$A:$B,2,FALSE),"-")</f>
        <v>味方全体に / -</v>
      </c>
      <c r="M37" s="62" t="str">
        <f t="shared" si="69"/>
        <v>[effect:enemy_message, val1:1.0, val2:1.6]</v>
      </c>
      <c r="N37" s="48" t="str">
        <f>IFERROR(LEFT(M37,FIND("],",M37)+S45),M37)</f>
        <v>[effect:enemy_message, val1:1.0, val2:1.6]</v>
      </c>
      <c r="O37" s="62">
        <f t="shared" si="70"/>
        <v>9</v>
      </c>
      <c r="P37" s="62">
        <f t="shared" si="71"/>
        <v>22</v>
      </c>
      <c r="Q37" s="62" t="e">
        <f t="shared" si="72"/>
        <v>#VALUE!</v>
      </c>
      <c r="R37" s="62">
        <f t="shared" si="73"/>
        <v>32</v>
      </c>
      <c r="S37" s="62" t="str">
        <f>IFERROR(VLOOKUP(MID(N37,Q37,R37-Q37),[6]skilldef!$C:$D,2,FALSE),"-") &amp; " / " &amp; IFERROR(VLOOKUP(MID(N37,O37,P37-O37),[6]skilldef!$A:$B,2,FALSE),"-")</f>
        <v>- / -</v>
      </c>
      <c r="T37" s="48" t="str">
        <f t="shared" si="74"/>
        <v>none</v>
      </c>
      <c r="U37" s="62" t="e">
        <f t="shared" si="75"/>
        <v>#VALUE!</v>
      </c>
      <c r="V37" s="62">
        <f t="shared" si="76"/>
        <v>4</v>
      </c>
      <c r="W37" s="62" t="e">
        <f t="shared" si="77"/>
        <v>#VALUE!</v>
      </c>
      <c r="X37" s="62" t="e">
        <f t="shared" si="78"/>
        <v>#VALUE!</v>
      </c>
      <c r="Y37" s="62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</row>
    <row r="38" spans="1:28" ht="21" customHeight="1" x14ac:dyDescent="0.15">
      <c r="A38" s="119">
        <v>40033505</v>
      </c>
      <c r="B38" s="119" t="s">
        <v>362</v>
      </c>
      <c r="C38" s="120">
        <v>3</v>
      </c>
      <c r="D38" s="120" t="s">
        <v>127</v>
      </c>
      <c r="E38" s="121" t="s">
        <v>286</v>
      </c>
      <c r="F38" s="121" t="s">
        <v>300</v>
      </c>
      <c r="G38" s="62" t="str">
        <f t="shared" si="64"/>
        <v>[effect:break_attack_fix, target:unit_all, val:150, lowest_val:500, count:-1, color:yellow, block01:jammer] ,[effect:enemy_message, val1:1.0, val2:1.8]</v>
      </c>
      <c r="H38" s="62">
        <f t="shared" si="65"/>
        <v>9</v>
      </c>
      <c r="I38" s="62">
        <f t="shared" si="66"/>
        <v>25</v>
      </c>
      <c r="J38" s="62">
        <f t="shared" si="67"/>
        <v>34</v>
      </c>
      <c r="K38" s="62">
        <f t="shared" si="68"/>
        <v>42</v>
      </c>
      <c r="L38" s="62" t="str">
        <f>IFERROR(VLOOKUP(MID(G38,J38,K38-J38),[6]skilldef!$C:$D,2,FALSE),"-") &amp; " / " &amp; IFERROR(VLOOKUP(MID(G38,H38,I38-H38),[6]skilldef!$A:$B,2,FALSE),"-")</f>
        <v>味方全体に / -</v>
      </c>
      <c r="M38" s="62" t="str">
        <f t="shared" si="69"/>
        <v>none</v>
      </c>
      <c r="N38" s="48" t="str">
        <f t="shared" ref="N38" si="95">IFERROR(LEFT(M38,FIND("],",M38)+S47),M38)</f>
        <v>none</v>
      </c>
      <c r="O38" s="62" t="e">
        <f t="shared" si="70"/>
        <v>#VALUE!</v>
      </c>
      <c r="P38" s="62">
        <f t="shared" si="71"/>
        <v>4</v>
      </c>
      <c r="Q38" s="62" t="e">
        <f t="shared" si="72"/>
        <v>#VALUE!</v>
      </c>
      <c r="R38" s="62" t="e">
        <f t="shared" si="73"/>
        <v>#VALUE!</v>
      </c>
      <c r="S38" s="62" t="str">
        <f>IFERROR(VLOOKUP(MID(N38,Q38,R38-Q38),[6]skilldef!$C:$D,2,FALSE),"-") &amp; " / " &amp; IFERROR(VLOOKUP(MID(N38,O38,P38-O38),[6]skilldef!$A:$B,2,FALSE),"-")</f>
        <v>- / -</v>
      </c>
      <c r="T38" s="48" t="str">
        <f t="shared" si="74"/>
        <v>none</v>
      </c>
      <c r="U38" s="62" t="e">
        <f t="shared" si="75"/>
        <v>#VALUE!</v>
      </c>
      <c r="V38" s="62">
        <f t="shared" si="76"/>
        <v>4</v>
      </c>
      <c r="W38" s="62" t="e">
        <f t="shared" si="77"/>
        <v>#VALUE!</v>
      </c>
      <c r="X38" s="62" t="e">
        <f t="shared" si="78"/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</row>
    <row r="39" spans="1:28" ht="21" customHeight="1" x14ac:dyDescent="0.15">
      <c r="A39" s="122">
        <v>40033605</v>
      </c>
      <c r="B39" s="122" t="s">
        <v>363</v>
      </c>
      <c r="C39" s="123">
        <v>3</v>
      </c>
      <c r="D39" s="123" t="s">
        <v>127</v>
      </c>
      <c r="E39" s="124" t="s">
        <v>315</v>
      </c>
      <c r="F39" s="124" t="s">
        <v>302</v>
      </c>
      <c r="G39" s="62" t="str">
        <f t="shared" si="64"/>
        <v>[effect:break_attack_fix, target:unit_all, val:200, lowest_val:500, count:-1, color:yellow, block01:jammer] ,[effect:enemy_message, val1:1.0, val2:2.1.8]</v>
      </c>
      <c r="H39" s="62">
        <f t="shared" si="65"/>
        <v>9</v>
      </c>
      <c r="I39" s="62">
        <f t="shared" si="66"/>
        <v>25</v>
      </c>
      <c r="J39" s="62">
        <f t="shared" si="67"/>
        <v>34</v>
      </c>
      <c r="K39" s="62">
        <f t="shared" si="68"/>
        <v>42</v>
      </c>
      <c r="L39" s="62" t="str">
        <f>IFERROR(VLOOKUP(MID(G39,J39,K39-J39),[6]skilldef!$C:$D,2,FALSE),"-") &amp; " / " &amp; IFERROR(VLOOKUP(MID(G39,H39,I39-H39),[6]skilldef!$A:$B,2,FALSE),"-")</f>
        <v>味方全体に / -</v>
      </c>
      <c r="M39" s="62" t="str">
        <f t="shared" si="69"/>
        <v>none</v>
      </c>
      <c r="N39" s="48" t="str">
        <f>IFERROR(LEFT(M39,FIND("],",M39)+S44),M39)</f>
        <v>none</v>
      </c>
      <c r="O39" s="62" t="e">
        <f t="shared" si="70"/>
        <v>#VALUE!</v>
      </c>
      <c r="P39" s="62">
        <f t="shared" si="71"/>
        <v>4</v>
      </c>
      <c r="Q39" s="62" t="e">
        <f t="shared" si="72"/>
        <v>#VALUE!</v>
      </c>
      <c r="R39" s="62" t="e">
        <f t="shared" si="73"/>
        <v>#VALUE!</v>
      </c>
      <c r="S39" s="62" t="str">
        <f>IFERROR(VLOOKUP(MID(N39,Q39,R39-Q39),[6]skilldef!$C:$D,2,FALSE),"-") &amp; " / " &amp; IFERROR(VLOOKUP(MID(N39,O39,P39-O39),[6]skilldef!$A:$B,2,FALSE),"-")</f>
        <v>- / -</v>
      </c>
      <c r="T39" s="48" t="str">
        <f t="shared" si="74"/>
        <v>none</v>
      </c>
      <c r="U39" s="62" t="e">
        <f t="shared" si="75"/>
        <v>#VALUE!</v>
      </c>
      <c r="V39" s="62">
        <f t="shared" si="76"/>
        <v>4</v>
      </c>
      <c r="W39" s="62" t="e">
        <f t="shared" si="77"/>
        <v>#VALUE!</v>
      </c>
      <c r="X39" s="62" t="e">
        <f t="shared" si="78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50"/>
      <c r="AA39" s="51"/>
      <c r="AB39" s="50"/>
    </row>
    <row r="40" spans="1:28" ht="21" customHeight="1" x14ac:dyDescent="0.15">
      <c r="A40" s="125">
        <v>40033706</v>
      </c>
      <c r="B40" s="125" t="s">
        <v>373</v>
      </c>
      <c r="C40" s="126">
        <v>3</v>
      </c>
      <c r="D40" s="126" t="s">
        <v>127</v>
      </c>
      <c r="E40" s="127" t="s">
        <v>316</v>
      </c>
      <c r="F40" s="127" t="s">
        <v>300</v>
      </c>
      <c r="G40" s="62" t="str">
        <f t="shared" si="64"/>
        <v>[effect:break_attack_fix, target:unit_all, val:200, lowest_val:500, count:-1, color:yellow, block01:jammer] ,[effect:enemy_message, val1:1.5, val2:1.8]</v>
      </c>
      <c r="H40" s="62">
        <f t="shared" si="65"/>
        <v>9</v>
      </c>
      <c r="I40" s="62">
        <f t="shared" si="66"/>
        <v>25</v>
      </c>
      <c r="J40" s="62">
        <f t="shared" si="67"/>
        <v>34</v>
      </c>
      <c r="K40" s="62">
        <f t="shared" si="68"/>
        <v>42</v>
      </c>
      <c r="L40" s="62" t="str">
        <f>IFERROR(VLOOKUP(MID(G40,J40,K40-J40),[6]skilldef!$C:$D,2,FALSE),"-") &amp; " / " &amp; IFERROR(VLOOKUP(MID(G40,H40,I40-H40),[6]skilldef!$A:$B,2,FALSE),"-")</f>
        <v>味方全体に / -</v>
      </c>
      <c r="M40" s="62" t="str">
        <f t="shared" si="69"/>
        <v>none</v>
      </c>
      <c r="N40" s="48" t="str">
        <f>IFERROR(LEFT(M40,FIND("],",M40)+#REF!),M40)</f>
        <v>none</v>
      </c>
      <c r="O40" s="62" t="e">
        <f t="shared" si="70"/>
        <v>#VALUE!</v>
      </c>
      <c r="P40" s="62">
        <f t="shared" si="71"/>
        <v>4</v>
      </c>
      <c r="Q40" s="62" t="e">
        <f t="shared" si="72"/>
        <v>#VALUE!</v>
      </c>
      <c r="R40" s="62" t="e">
        <f t="shared" si="73"/>
        <v>#VALUE!</v>
      </c>
      <c r="S40" s="62" t="str">
        <f>IFERROR(VLOOKUP(MID(N40,Q40,R40-Q40),[6]skilldef!$C:$D,2,FALSE),"-") &amp; " / " &amp; IFERROR(VLOOKUP(MID(N40,O40,P40-O40),[6]skilldef!$A:$B,2,FALSE),"-")</f>
        <v>- / -</v>
      </c>
      <c r="T40" s="48" t="str">
        <f t="shared" si="74"/>
        <v>none</v>
      </c>
      <c r="U40" s="62" t="e">
        <f t="shared" si="75"/>
        <v>#VALUE!</v>
      </c>
      <c r="V40" s="62">
        <f t="shared" si="76"/>
        <v>4</v>
      </c>
      <c r="W40" s="62" t="e">
        <f t="shared" si="77"/>
        <v>#VALUE!</v>
      </c>
      <c r="X40" s="62" t="e">
        <f t="shared" si="78"/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3"/>
  <sheetViews>
    <sheetView showGridLines="0" zoomScale="75" zoomScaleNormal="75" zoomScalePageLayoutView="75" workbookViewId="0">
      <pane ySplit="1" topLeftCell="A8" activePane="bottomLeft" state="frozenSplit"/>
      <selection pane="bottomLeft" activeCell="C34" sqref="C3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104">
        <v>40033000</v>
      </c>
      <c r="B2" s="47">
        <v>0</v>
      </c>
      <c r="C2" s="47">
        <v>20</v>
      </c>
      <c r="D2" s="47">
        <v>100</v>
      </c>
      <c r="E2" s="47" t="s">
        <v>260</v>
      </c>
      <c r="F2" s="47" t="s">
        <v>89</v>
      </c>
      <c r="G2" s="47" t="s">
        <v>261</v>
      </c>
      <c r="H2" s="47">
        <v>2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104">
        <v>40033001</v>
      </c>
      <c r="B3" s="131">
        <v>0</v>
      </c>
      <c r="C3" s="131">
        <v>30</v>
      </c>
      <c r="D3" s="131">
        <v>100</v>
      </c>
      <c r="E3" s="131" t="s">
        <v>262</v>
      </c>
      <c r="F3" s="131" t="s">
        <v>263</v>
      </c>
      <c r="G3" s="131" t="s">
        <v>260</v>
      </c>
      <c r="H3" s="131">
        <v>5</v>
      </c>
      <c r="I3" s="131" t="s">
        <v>260</v>
      </c>
      <c r="J3" s="48">
        <f t="shared" ref="J3:J31" si="1">D3</f>
        <v>100</v>
      </c>
    </row>
    <row r="4" spans="1:11" ht="21" customHeight="1" x14ac:dyDescent="0.15">
      <c r="A4" s="104">
        <v>40033003</v>
      </c>
      <c r="B4" s="131">
        <v>1</v>
      </c>
      <c r="C4" s="131" t="s">
        <v>260</v>
      </c>
      <c r="D4" s="131">
        <v>100</v>
      </c>
      <c r="E4" s="131" t="s">
        <v>89</v>
      </c>
      <c r="F4" s="131" t="s">
        <v>89</v>
      </c>
      <c r="G4" s="131">
        <v>1</v>
      </c>
      <c r="H4" s="131" t="s">
        <v>89</v>
      </c>
      <c r="I4" s="131" t="s">
        <v>260</v>
      </c>
      <c r="J4" s="48">
        <f t="shared" ref="J4" si="2">D4</f>
        <v>100</v>
      </c>
    </row>
    <row r="5" spans="1:11" ht="21" customHeight="1" x14ac:dyDescent="0.15">
      <c r="A5" s="107">
        <v>40033100</v>
      </c>
      <c r="B5" s="131">
        <v>0</v>
      </c>
      <c r="C5" s="131">
        <v>20</v>
      </c>
      <c r="D5" s="131">
        <v>100</v>
      </c>
      <c r="E5" s="131" t="s">
        <v>89</v>
      </c>
      <c r="F5" s="131" t="s">
        <v>264</v>
      </c>
      <c r="G5" s="131" t="s">
        <v>265</v>
      </c>
      <c r="H5" s="131">
        <v>2</v>
      </c>
      <c r="I5" s="131" t="s">
        <v>89</v>
      </c>
      <c r="J5" s="48">
        <f t="shared" si="1"/>
        <v>100</v>
      </c>
    </row>
    <row r="6" spans="1:11" ht="21" customHeight="1" x14ac:dyDescent="0.15">
      <c r="A6" s="110">
        <v>40033200</v>
      </c>
      <c r="B6" s="131">
        <v>0</v>
      </c>
      <c r="C6" s="131">
        <v>20</v>
      </c>
      <c r="D6" s="131">
        <v>100</v>
      </c>
      <c r="E6" s="131" t="s">
        <v>89</v>
      </c>
      <c r="F6" s="131" t="s">
        <v>264</v>
      </c>
      <c r="G6" s="131" t="s">
        <v>265</v>
      </c>
      <c r="H6" s="131">
        <v>2</v>
      </c>
      <c r="I6" s="131" t="s">
        <v>89</v>
      </c>
      <c r="J6" s="48">
        <f t="shared" si="1"/>
        <v>100</v>
      </c>
    </row>
    <row r="7" spans="1:11" ht="21" customHeight="1" x14ac:dyDescent="0.15">
      <c r="A7" s="110">
        <v>40033201</v>
      </c>
      <c r="B7" s="131">
        <v>0</v>
      </c>
      <c r="C7" s="131">
        <v>10</v>
      </c>
      <c r="D7" s="131">
        <v>100</v>
      </c>
      <c r="E7" s="131" t="s">
        <v>89</v>
      </c>
      <c r="F7" s="131" t="s">
        <v>264</v>
      </c>
      <c r="G7" s="131" t="s">
        <v>265</v>
      </c>
      <c r="H7" s="131">
        <v>1</v>
      </c>
      <c r="I7" s="131" t="s">
        <v>89</v>
      </c>
      <c r="J7" s="48">
        <f t="shared" si="1"/>
        <v>100</v>
      </c>
    </row>
    <row r="8" spans="1:11" ht="21" customHeight="1" x14ac:dyDescent="0.15">
      <c r="A8" s="113">
        <v>40033300</v>
      </c>
      <c r="B8" s="131">
        <v>1</v>
      </c>
      <c r="C8" s="131" t="s">
        <v>260</v>
      </c>
      <c r="D8" s="131">
        <v>100</v>
      </c>
      <c r="E8" s="131" t="s">
        <v>89</v>
      </c>
      <c r="F8" s="131" t="s">
        <v>266</v>
      </c>
      <c r="G8" s="131">
        <v>1</v>
      </c>
      <c r="H8" s="131" t="s">
        <v>89</v>
      </c>
      <c r="I8" s="131" t="s">
        <v>260</v>
      </c>
      <c r="J8" s="48">
        <f t="shared" si="1"/>
        <v>100</v>
      </c>
    </row>
    <row r="9" spans="1:11" ht="21" customHeight="1" x14ac:dyDescent="0.15">
      <c r="A9" s="113">
        <v>40033301</v>
      </c>
      <c r="B9" s="131">
        <v>0</v>
      </c>
      <c r="C9" s="131">
        <v>10</v>
      </c>
      <c r="D9" s="131">
        <v>100</v>
      </c>
      <c r="E9" s="131" t="s">
        <v>89</v>
      </c>
      <c r="F9" s="131" t="s">
        <v>264</v>
      </c>
      <c r="G9" s="131" t="s">
        <v>265</v>
      </c>
      <c r="H9" s="131">
        <v>1</v>
      </c>
      <c r="I9" s="131" t="s">
        <v>89</v>
      </c>
      <c r="J9" s="48">
        <f t="shared" si="1"/>
        <v>100</v>
      </c>
    </row>
    <row r="10" spans="1:11" ht="21" customHeight="1" x14ac:dyDescent="0.15">
      <c r="A10" s="113">
        <v>40033302</v>
      </c>
      <c r="B10" s="131">
        <v>0</v>
      </c>
      <c r="C10" s="131">
        <v>20</v>
      </c>
      <c r="D10" s="131">
        <v>100</v>
      </c>
      <c r="E10" s="131" t="s">
        <v>89</v>
      </c>
      <c r="F10" s="131" t="s">
        <v>264</v>
      </c>
      <c r="G10" s="131" t="s">
        <v>265</v>
      </c>
      <c r="H10" s="131">
        <v>2</v>
      </c>
      <c r="I10" s="131" t="s">
        <v>89</v>
      </c>
      <c r="J10" s="48">
        <f t="shared" si="1"/>
        <v>100</v>
      </c>
    </row>
    <row r="11" spans="1:11" ht="21" customHeight="1" x14ac:dyDescent="0.15">
      <c r="A11" s="116">
        <v>40033400</v>
      </c>
      <c r="B11" s="131">
        <v>0</v>
      </c>
      <c r="C11" s="131">
        <v>10</v>
      </c>
      <c r="D11" s="131">
        <v>100</v>
      </c>
      <c r="E11" s="131" t="s">
        <v>89</v>
      </c>
      <c r="F11" s="131" t="s">
        <v>264</v>
      </c>
      <c r="G11" s="131" t="s">
        <v>265</v>
      </c>
      <c r="H11" s="131">
        <v>1</v>
      </c>
      <c r="I11" s="131" t="s">
        <v>89</v>
      </c>
      <c r="J11" s="48">
        <f t="shared" si="1"/>
        <v>100</v>
      </c>
    </row>
    <row r="12" spans="1:11" ht="21" customHeight="1" x14ac:dyDescent="0.15">
      <c r="A12" s="116">
        <v>40033401</v>
      </c>
      <c r="B12" s="131">
        <v>0</v>
      </c>
      <c r="C12" s="131">
        <v>20</v>
      </c>
      <c r="D12" s="131">
        <v>100</v>
      </c>
      <c r="E12" s="131" t="s">
        <v>89</v>
      </c>
      <c r="F12" s="131" t="s">
        <v>264</v>
      </c>
      <c r="G12" s="131" t="s">
        <v>265</v>
      </c>
      <c r="H12" s="131">
        <v>2</v>
      </c>
      <c r="I12" s="131" t="s">
        <v>89</v>
      </c>
      <c r="J12" s="48">
        <f t="shared" si="1"/>
        <v>100</v>
      </c>
    </row>
    <row r="13" spans="1:11" ht="21" customHeight="1" x14ac:dyDescent="0.15">
      <c r="A13" s="116">
        <v>40033403</v>
      </c>
      <c r="B13" s="131">
        <v>0</v>
      </c>
      <c r="C13" s="131">
        <v>30</v>
      </c>
      <c r="D13" s="131">
        <v>100</v>
      </c>
      <c r="E13" s="131" t="s">
        <v>89</v>
      </c>
      <c r="F13" s="131" t="s">
        <v>264</v>
      </c>
      <c r="G13" s="131" t="s">
        <v>265</v>
      </c>
      <c r="H13" s="131">
        <v>5</v>
      </c>
      <c r="I13" s="131" t="s">
        <v>89</v>
      </c>
      <c r="J13" s="48">
        <f t="shared" ref="J13" si="3">D13</f>
        <v>100</v>
      </c>
    </row>
    <row r="14" spans="1:11" ht="21" customHeight="1" x14ac:dyDescent="0.15">
      <c r="A14" s="119">
        <v>40033500</v>
      </c>
      <c r="B14" s="131">
        <v>0</v>
      </c>
      <c r="C14" s="131">
        <v>20</v>
      </c>
      <c r="D14" s="131">
        <v>100</v>
      </c>
      <c r="E14" s="131" t="s">
        <v>89</v>
      </c>
      <c r="F14" s="131" t="s">
        <v>264</v>
      </c>
      <c r="G14" s="131" t="s">
        <v>265</v>
      </c>
      <c r="H14" s="131">
        <v>2</v>
      </c>
      <c r="I14" s="131" t="s">
        <v>89</v>
      </c>
      <c r="J14" s="48">
        <f t="shared" si="1"/>
        <v>100</v>
      </c>
    </row>
    <row r="15" spans="1:11" ht="21" customHeight="1" x14ac:dyDescent="0.15">
      <c r="A15" s="119">
        <v>40033501</v>
      </c>
      <c r="B15" s="131">
        <v>1</v>
      </c>
      <c r="C15" s="131" t="s">
        <v>260</v>
      </c>
      <c r="D15" s="131">
        <v>100</v>
      </c>
      <c r="E15" s="131" t="s">
        <v>89</v>
      </c>
      <c r="F15" s="131" t="s">
        <v>266</v>
      </c>
      <c r="G15" s="131">
        <v>1</v>
      </c>
      <c r="H15" s="131" t="s">
        <v>89</v>
      </c>
      <c r="I15" s="131" t="s">
        <v>260</v>
      </c>
      <c r="J15" s="48">
        <f t="shared" si="1"/>
        <v>100</v>
      </c>
    </row>
    <row r="16" spans="1:11" ht="21" customHeight="1" x14ac:dyDescent="0.15">
      <c r="A16" s="119">
        <v>40033502</v>
      </c>
      <c r="B16" s="131">
        <v>0</v>
      </c>
      <c r="C16" s="131">
        <v>10</v>
      </c>
      <c r="D16" s="131">
        <v>100</v>
      </c>
      <c r="E16" s="131" t="s">
        <v>89</v>
      </c>
      <c r="F16" s="131" t="s">
        <v>264</v>
      </c>
      <c r="G16" s="131" t="s">
        <v>265</v>
      </c>
      <c r="H16" s="131">
        <v>1</v>
      </c>
      <c r="I16" s="131" t="s">
        <v>89</v>
      </c>
      <c r="J16" s="48">
        <f t="shared" si="1"/>
        <v>100</v>
      </c>
    </row>
    <row r="17" spans="1:10" ht="21" customHeight="1" x14ac:dyDescent="0.15">
      <c r="A17" s="119">
        <v>40033504</v>
      </c>
      <c r="B17" s="131">
        <v>0</v>
      </c>
      <c r="C17" s="131">
        <v>30</v>
      </c>
      <c r="D17" s="131">
        <v>100</v>
      </c>
      <c r="E17" s="131" t="s">
        <v>89</v>
      </c>
      <c r="F17" s="131" t="s">
        <v>264</v>
      </c>
      <c r="G17" s="131" t="s">
        <v>265</v>
      </c>
      <c r="H17" s="131">
        <v>5</v>
      </c>
      <c r="I17" s="131" t="s">
        <v>89</v>
      </c>
      <c r="J17" s="48">
        <f t="shared" si="1"/>
        <v>100</v>
      </c>
    </row>
    <row r="18" spans="1:10" ht="21" customHeight="1" x14ac:dyDescent="0.15">
      <c r="A18" s="122">
        <v>40033600</v>
      </c>
      <c r="B18" s="131">
        <v>1</v>
      </c>
      <c r="C18" s="131" t="s">
        <v>260</v>
      </c>
      <c r="D18" s="131">
        <v>100</v>
      </c>
      <c r="E18" s="131" t="s">
        <v>89</v>
      </c>
      <c r="F18" s="131" t="s">
        <v>266</v>
      </c>
      <c r="G18" s="131">
        <v>1</v>
      </c>
      <c r="H18" s="131" t="s">
        <v>89</v>
      </c>
      <c r="I18" s="131" t="s">
        <v>260</v>
      </c>
      <c r="J18" s="48">
        <f t="shared" si="1"/>
        <v>100</v>
      </c>
    </row>
    <row r="19" spans="1:10" ht="21" customHeight="1" x14ac:dyDescent="0.15">
      <c r="A19" s="122">
        <v>40033601</v>
      </c>
      <c r="B19" s="131">
        <v>0</v>
      </c>
      <c r="C19" s="131">
        <v>10</v>
      </c>
      <c r="D19" s="131">
        <v>100</v>
      </c>
      <c r="E19" s="131" t="s">
        <v>89</v>
      </c>
      <c r="F19" s="131" t="s">
        <v>264</v>
      </c>
      <c r="G19" s="131" t="s">
        <v>265</v>
      </c>
      <c r="H19" s="131">
        <v>1</v>
      </c>
      <c r="I19" s="131" t="s">
        <v>89</v>
      </c>
      <c r="J19" s="48">
        <f t="shared" si="1"/>
        <v>100</v>
      </c>
    </row>
    <row r="20" spans="1:10" ht="21" customHeight="1" x14ac:dyDescent="0.15">
      <c r="A20" s="122">
        <v>40033602</v>
      </c>
      <c r="B20" s="131">
        <v>0</v>
      </c>
      <c r="C20" s="131">
        <v>20</v>
      </c>
      <c r="D20" s="131">
        <v>100</v>
      </c>
      <c r="E20" s="131" t="s">
        <v>89</v>
      </c>
      <c r="F20" s="131" t="s">
        <v>264</v>
      </c>
      <c r="G20" s="131" t="s">
        <v>265</v>
      </c>
      <c r="H20" s="131">
        <v>2</v>
      </c>
      <c r="I20" s="131" t="s">
        <v>89</v>
      </c>
      <c r="J20" s="48">
        <f t="shared" si="1"/>
        <v>100</v>
      </c>
    </row>
    <row r="21" spans="1:10" ht="21" customHeight="1" x14ac:dyDescent="0.15">
      <c r="A21" s="122">
        <v>40033603</v>
      </c>
      <c r="B21" s="131">
        <v>0</v>
      </c>
      <c r="C21" s="131">
        <v>30</v>
      </c>
      <c r="D21" s="131">
        <v>100</v>
      </c>
      <c r="E21" s="131" t="s">
        <v>89</v>
      </c>
      <c r="F21" s="131" t="s">
        <v>264</v>
      </c>
      <c r="G21" s="131" t="s">
        <v>265</v>
      </c>
      <c r="H21" s="131">
        <v>5</v>
      </c>
      <c r="I21" s="131" t="s">
        <v>89</v>
      </c>
      <c r="J21" s="48">
        <f t="shared" si="1"/>
        <v>100</v>
      </c>
    </row>
    <row r="22" spans="1:10" ht="21" customHeight="1" x14ac:dyDescent="0.15">
      <c r="A22" s="122">
        <v>40033604</v>
      </c>
      <c r="B22" s="131">
        <v>0</v>
      </c>
      <c r="C22" s="131">
        <v>40</v>
      </c>
      <c r="D22" s="131">
        <v>100</v>
      </c>
      <c r="E22" s="131">
        <v>70</v>
      </c>
      <c r="F22" s="131" t="s">
        <v>261</v>
      </c>
      <c r="G22" s="131">
        <v>1</v>
      </c>
      <c r="H22" s="131">
        <v>1</v>
      </c>
      <c r="I22" s="131" t="s">
        <v>267</v>
      </c>
      <c r="J22" s="48">
        <f t="shared" si="1"/>
        <v>100</v>
      </c>
    </row>
    <row r="23" spans="1:10" ht="21" customHeight="1" x14ac:dyDescent="0.15">
      <c r="A23" s="125">
        <v>40033701</v>
      </c>
      <c r="B23" s="131">
        <v>1</v>
      </c>
      <c r="C23" s="131" t="s">
        <v>260</v>
      </c>
      <c r="D23" s="131">
        <v>100</v>
      </c>
      <c r="E23" s="131" t="s">
        <v>89</v>
      </c>
      <c r="F23" s="131" t="s">
        <v>266</v>
      </c>
      <c r="G23" s="131">
        <v>1</v>
      </c>
      <c r="H23" s="131" t="s">
        <v>89</v>
      </c>
      <c r="I23" s="131" t="s">
        <v>260</v>
      </c>
      <c r="J23" s="48">
        <f t="shared" si="1"/>
        <v>100</v>
      </c>
    </row>
    <row r="24" spans="1:10" ht="21" customHeight="1" x14ac:dyDescent="0.15">
      <c r="A24" s="125">
        <v>40033702</v>
      </c>
      <c r="B24" s="131">
        <v>0</v>
      </c>
      <c r="C24" s="131">
        <v>10</v>
      </c>
      <c r="D24" s="131">
        <v>100</v>
      </c>
      <c r="E24" s="131" t="s">
        <v>89</v>
      </c>
      <c r="F24" s="131" t="s">
        <v>264</v>
      </c>
      <c r="G24" s="131" t="s">
        <v>265</v>
      </c>
      <c r="H24" s="131">
        <v>1</v>
      </c>
      <c r="I24" s="131" t="s">
        <v>89</v>
      </c>
      <c r="J24" s="48">
        <f t="shared" si="1"/>
        <v>100</v>
      </c>
    </row>
    <row r="25" spans="1:10" ht="21" customHeight="1" x14ac:dyDescent="0.15">
      <c r="A25" s="125">
        <v>40033703</v>
      </c>
      <c r="B25" s="131">
        <v>0</v>
      </c>
      <c r="C25" s="131">
        <v>30</v>
      </c>
      <c r="D25" s="131">
        <v>100</v>
      </c>
      <c r="E25" s="131">
        <v>40</v>
      </c>
      <c r="F25" s="131" t="s">
        <v>264</v>
      </c>
      <c r="G25" s="131">
        <v>1</v>
      </c>
      <c r="H25" s="131">
        <v>1</v>
      </c>
      <c r="I25" s="131" t="s">
        <v>89</v>
      </c>
      <c r="J25" s="48">
        <f t="shared" si="1"/>
        <v>100</v>
      </c>
    </row>
    <row r="26" spans="1:10" ht="21" customHeight="1" x14ac:dyDescent="0.15">
      <c r="A26" s="125">
        <v>40033704</v>
      </c>
      <c r="B26" s="131">
        <v>0</v>
      </c>
      <c r="C26" s="131">
        <v>40</v>
      </c>
      <c r="D26" s="131">
        <v>100</v>
      </c>
      <c r="E26" s="131">
        <v>70</v>
      </c>
      <c r="F26" s="131" t="s">
        <v>261</v>
      </c>
      <c r="G26" s="131">
        <v>1</v>
      </c>
      <c r="H26" s="131">
        <v>1</v>
      </c>
      <c r="I26" s="131" t="s">
        <v>267</v>
      </c>
      <c r="J26" s="48">
        <f t="shared" si="1"/>
        <v>100</v>
      </c>
    </row>
    <row r="27" spans="1:10" ht="21" customHeight="1" x14ac:dyDescent="0.15">
      <c r="A27" s="125">
        <v>40033705</v>
      </c>
      <c r="B27" s="131">
        <v>0</v>
      </c>
      <c r="C27" s="131">
        <v>20</v>
      </c>
      <c r="D27" s="131">
        <v>100</v>
      </c>
      <c r="E27" s="131" t="s">
        <v>89</v>
      </c>
      <c r="F27" s="131" t="s">
        <v>264</v>
      </c>
      <c r="G27" s="131" t="s">
        <v>265</v>
      </c>
      <c r="H27" s="131">
        <v>3</v>
      </c>
      <c r="I27" s="131" t="s">
        <v>89</v>
      </c>
      <c r="J27" s="48">
        <f t="shared" si="1"/>
        <v>100</v>
      </c>
    </row>
    <row r="28" spans="1:10" ht="21" customHeight="1" x14ac:dyDescent="0.15">
      <c r="A28" s="128">
        <v>40033800</v>
      </c>
      <c r="B28" s="131">
        <v>1</v>
      </c>
      <c r="C28" s="131" t="s">
        <v>260</v>
      </c>
      <c r="D28" s="131">
        <v>100</v>
      </c>
      <c r="E28" s="131" t="s">
        <v>89</v>
      </c>
      <c r="F28" s="131" t="s">
        <v>266</v>
      </c>
      <c r="G28" s="131">
        <v>1</v>
      </c>
      <c r="H28" s="131" t="s">
        <v>89</v>
      </c>
      <c r="I28" s="131" t="s">
        <v>260</v>
      </c>
      <c r="J28" s="48">
        <f t="shared" si="1"/>
        <v>100</v>
      </c>
    </row>
    <row r="29" spans="1:10" ht="21" customHeight="1" x14ac:dyDescent="0.15">
      <c r="A29" s="128">
        <v>40033801</v>
      </c>
      <c r="B29" s="131">
        <v>0</v>
      </c>
      <c r="C29" s="131">
        <v>40</v>
      </c>
      <c r="D29" s="131">
        <v>100</v>
      </c>
      <c r="E29" s="131">
        <v>50</v>
      </c>
      <c r="F29" s="131" t="s">
        <v>261</v>
      </c>
      <c r="G29" s="131">
        <v>1</v>
      </c>
      <c r="H29" s="131">
        <v>1</v>
      </c>
      <c r="I29" s="131" t="s">
        <v>267</v>
      </c>
      <c r="J29" s="48">
        <f t="shared" si="1"/>
        <v>100</v>
      </c>
    </row>
    <row r="30" spans="1:10" ht="21" customHeight="1" x14ac:dyDescent="0.15">
      <c r="A30" s="128">
        <v>40033802</v>
      </c>
      <c r="B30" s="131">
        <v>0</v>
      </c>
      <c r="C30" s="131">
        <v>10</v>
      </c>
      <c r="D30" s="131">
        <v>100</v>
      </c>
      <c r="E30" s="131" t="s">
        <v>89</v>
      </c>
      <c r="F30" s="131" t="s">
        <v>264</v>
      </c>
      <c r="G30" s="131" t="s">
        <v>265</v>
      </c>
      <c r="H30" s="131">
        <v>1</v>
      </c>
      <c r="I30" s="131" t="s">
        <v>89</v>
      </c>
      <c r="J30" s="48">
        <f t="shared" si="1"/>
        <v>100</v>
      </c>
    </row>
    <row r="31" spans="1:10" ht="21" customHeight="1" x14ac:dyDescent="0.15">
      <c r="A31" s="128">
        <v>40033803</v>
      </c>
      <c r="B31" s="131">
        <v>0</v>
      </c>
      <c r="C31" s="131">
        <v>20</v>
      </c>
      <c r="D31" s="131">
        <v>100</v>
      </c>
      <c r="E31" s="131" t="s">
        <v>89</v>
      </c>
      <c r="F31" s="131" t="s">
        <v>264</v>
      </c>
      <c r="G31" s="131" t="s">
        <v>265</v>
      </c>
      <c r="H31" s="131">
        <v>2</v>
      </c>
      <c r="I31" s="131" t="s">
        <v>89</v>
      </c>
      <c r="J31" s="48">
        <f t="shared" si="1"/>
        <v>100</v>
      </c>
    </row>
    <row r="32" spans="1:10" ht="21" customHeight="1" x14ac:dyDescent="0.15">
      <c r="A32" s="128">
        <v>40033804</v>
      </c>
      <c r="B32" s="131">
        <v>0</v>
      </c>
      <c r="C32" s="131">
        <v>30</v>
      </c>
      <c r="D32" s="131">
        <v>100</v>
      </c>
      <c r="E32" s="131" t="s">
        <v>89</v>
      </c>
      <c r="F32" s="131" t="s">
        <v>264</v>
      </c>
      <c r="G32" s="131" t="s">
        <v>265</v>
      </c>
      <c r="H32" s="131">
        <v>5</v>
      </c>
      <c r="I32" s="131" t="s">
        <v>89</v>
      </c>
      <c r="J32" s="48">
        <f t="shared" ref="J32" si="4">D32</f>
        <v>100</v>
      </c>
    </row>
    <row r="33" spans="1:10" ht="21" customHeight="1" x14ac:dyDescent="0.15">
      <c r="A33" s="128">
        <v>40033805</v>
      </c>
      <c r="B33" s="131">
        <v>0</v>
      </c>
      <c r="C33" s="131">
        <v>50</v>
      </c>
      <c r="D33" s="131">
        <v>100</v>
      </c>
      <c r="E33" s="131" t="s">
        <v>89</v>
      </c>
      <c r="F33" s="131" t="s">
        <v>53</v>
      </c>
      <c r="G33" s="131">
        <v>0</v>
      </c>
      <c r="H33" s="131" t="s">
        <v>327</v>
      </c>
      <c r="I33" s="131">
        <v>0</v>
      </c>
      <c r="J33" s="48">
        <f t="shared" ref="J33" si="5">D33</f>
        <v>100</v>
      </c>
    </row>
  </sheetData>
  <autoFilter ref="A1:G1"/>
  <phoneticPr fontId="5"/>
  <conditionalFormatting sqref="K14:K16 K1:K3 K18:K32 K5:K12 K34:K1048576">
    <cfRule type="duplicateValues" dxfId="4" priority="5"/>
  </conditionalFormatting>
  <conditionalFormatting sqref="K13">
    <cfRule type="duplicateValues" dxfId="3" priority="4"/>
  </conditionalFormatting>
  <conditionalFormatting sqref="K17">
    <cfRule type="duplicateValues" dxfId="2" priority="3"/>
  </conditionalFormatting>
  <conditionalFormatting sqref="K4">
    <cfRule type="duplicateValues" dxfId="1" priority="2"/>
  </conditionalFormatting>
  <conditionalFormatting sqref="K3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G18" sqref="G1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71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56">
        <f>floors!C2</f>
        <v>40033</v>
      </c>
      <c r="B2" s="56">
        <v>1</v>
      </c>
      <c r="C2" s="70" t="str">
        <f>A2&amp; "_"&amp;B2</f>
        <v>40033_1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168</v>
      </c>
      <c r="G2" s="56">
        <v>40000</v>
      </c>
      <c r="H2" s="56" t="s">
        <v>273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150</v>
      </c>
      <c r="Q2" s="56" t="s">
        <v>169</v>
      </c>
      <c r="R2" s="56" t="s">
        <v>170</v>
      </c>
    </row>
    <row r="3" spans="1:18" x14ac:dyDescent="0.15">
      <c r="A3" s="56">
        <f>floors!C3</f>
        <v>40033</v>
      </c>
      <c r="B3" s="56">
        <v>1</v>
      </c>
      <c r="C3" s="70" t="str">
        <f t="shared" ref="C3:C18" si="0">A3&amp; "_"&amp;B3</f>
        <v>40033_1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274</v>
      </c>
      <c r="G3" s="56">
        <v>30</v>
      </c>
      <c r="H3" s="56" t="s">
        <v>273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150</v>
      </c>
      <c r="Q3" s="56" t="s">
        <v>169</v>
      </c>
      <c r="R3" s="56" t="s">
        <v>170</v>
      </c>
    </row>
    <row r="4" spans="1:18" x14ac:dyDescent="0.15">
      <c r="A4" s="56">
        <f>floors!C4</f>
        <v>40033</v>
      </c>
      <c r="B4" s="56">
        <v>1</v>
      </c>
      <c r="C4" s="70" t="str">
        <f t="shared" si="0"/>
        <v>40033_1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275</v>
      </c>
      <c r="G4" s="56">
        <v>345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28</v>
      </c>
      <c r="Q4" s="56" t="s">
        <v>169</v>
      </c>
      <c r="R4" s="56" t="s">
        <v>170</v>
      </c>
    </row>
    <row r="5" spans="1:18" x14ac:dyDescent="0.15">
      <c r="A5" s="56">
        <f>floors!C5</f>
        <v>40033</v>
      </c>
      <c r="B5" s="56">
        <v>1</v>
      </c>
      <c r="C5" s="70" t="str">
        <f t="shared" si="0"/>
        <v>40033_1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275</v>
      </c>
      <c r="G5" s="56">
        <v>346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112</v>
      </c>
      <c r="Q5" s="56" t="s">
        <v>169</v>
      </c>
      <c r="R5" s="56" t="s">
        <v>170</v>
      </c>
    </row>
    <row r="6" spans="1:18" x14ac:dyDescent="0.15">
      <c r="A6" s="56">
        <f>floors!C6</f>
        <v>40033</v>
      </c>
      <c r="B6" s="56">
        <v>1</v>
      </c>
      <c r="C6" s="70" t="str">
        <f t="shared" si="0"/>
        <v>40033_1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275</v>
      </c>
      <c r="G6" s="56">
        <v>121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100</v>
      </c>
      <c r="Q6" s="56" t="s">
        <v>169</v>
      </c>
      <c r="R6" s="56" t="s">
        <v>170</v>
      </c>
    </row>
    <row r="7" spans="1:18" x14ac:dyDescent="0.15">
      <c r="A7" s="56">
        <f>floors!C7</f>
        <v>40033</v>
      </c>
      <c r="B7" s="56">
        <v>1</v>
      </c>
      <c r="C7" s="70" t="str">
        <f t="shared" si="0"/>
        <v>40033_1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275</v>
      </c>
      <c r="G7" s="56">
        <v>122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100</v>
      </c>
      <c r="Q7" s="56" t="s">
        <v>169</v>
      </c>
      <c r="R7" s="56" t="s">
        <v>170</v>
      </c>
    </row>
    <row r="8" spans="1:18" x14ac:dyDescent="0.15">
      <c r="A8" s="56">
        <v>40033</v>
      </c>
      <c r="B8" s="56">
        <v>1</v>
      </c>
      <c r="C8" s="70" t="str">
        <f t="shared" si="0"/>
        <v>40033_1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275</v>
      </c>
      <c r="G8" s="56">
        <v>123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100</v>
      </c>
      <c r="Q8" s="56" t="s">
        <v>169</v>
      </c>
      <c r="R8" s="56" t="s">
        <v>170</v>
      </c>
    </row>
    <row r="9" spans="1:18" x14ac:dyDescent="0.15">
      <c r="A9" s="56">
        <v>40033</v>
      </c>
      <c r="B9" s="56">
        <v>1</v>
      </c>
      <c r="C9" s="70" t="str">
        <f t="shared" si="0"/>
        <v>40033_1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275</v>
      </c>
      <c r="G9" s="56">
        <v>125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10</v>
      </c>
      <c r="Q9" s="56" t="s">
        <v>169</v>
      </c>
      <c r="R9" s="56" t="s">
        <v>170</v>
      </c>
    </row>
    <row r="10" spans="1:18" x14ac:dyDescent="0.15">
      <c r="A10" s="56">
        <v>40033</v>
      </c>
      <c r="B10" s="56">
        <v>1</v>
      </c>
      <c r="C10" s="70" t="str">
        <f t="shared" si="0"/>
        <v>40033_1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275</v>
      </c>
      <c r="G10" s="56">
        <v>893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100</v>
      </c>
      <c r="Q10" s="56" t="s">
        <v>169</v>
      </c>
      <c r="R10" s="56" t="s">
        <v>170</v>
      </c>
    </row>
    <row r="11" spans="1:18" x14ac:dyDescent="0.15">
      <c r="A11" s="56">
        <v>40033</v>
      </c>
      <c r="B11" s="56">
        <v>1</v>
      </c>
      <c r="C11" s="70" t="str">
        <f t="shared" si="0"/>
        <v>40033_1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6">
        <v>10</v>
      </c>
      <c r="F11" s="56" t="s">
        <v>275</v>
      </c>
      <c r="G11" s="56">
        <v>354</v>
      </c>
      <c r="H11" s="56">
        <v>1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150</v>
      </c>
      <c r="Q11" s="56" t="s">
        <v>169</v>
      </c>
      <c r="R11" s="56" t="s">
        <v>170</v>
      </c>
    </row>
    <row r="12" spans="1:18" x14ac:dyDescent="0.15">
      <c r="A12" s="56">
        <v>40033</v>
      </c>
      <c r="B12" s="56">
        <v>2</v>
      </c>
      <c r="C12" s="70" t="str">
        <f t="shared" si="0"/>
        <v>40033_2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</v>
      </c>
      <c r="F12" s="56" t="s">
        <v>275</v>
      </c>
      <c r="G12" s="56">
        <v>346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56">
        <v>50</v>
      </c>
      <c r="Q12" s="56" t="s">
        <v>169</v>
      </c>
      <c r="R12" s="56" t="s">
        <v>170</v>
      </c>
    </row>
    <row r="13" spans="1:18" x14ac:dyDescent="0.15">
      <c r="A13" s="56">
        <v>40033</v>
      </c>
      <c r="B13" s="56">
        <v>2</v>
      </c>
      <c r="C13" s="70" t="str">
        <f t="shared" si="0"/>
        <v>40033_2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2</v>
      </c>
      <c r="F13" s="56" t="s">
        <v>275</v>
      </c>
      <c r="G13" s="56">
        <v>607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100</v>
      </c>
      <c r="Q13" s="56" t="s">
        <v>169</v>
      </c>
      <c r="R13" s="56" t="s">
        <v>170</v>
      </c>
    </row>
    <row r="14" spans="1:18" x14ac:dyDescent="0.15">
      <c r="A14" s="56">
        <v>40033</v>
      </c>
      <c r="B14" s="56">
        <v>2</v>
      </c>
      <c r="C14" s="70" t="str">
        <f t="shared" si="0"/>
        <v>40033_2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3</v>
      </c>
      <c r="F14" s="56" t="s">
        <v>275</v>
      </c>
      <c r="G14" s="56">
        <v>608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100</v>
      </c>
      <c r="Q14" s="56" t="s">
        <v>169</v>
      </c>
      <c r="R14" s="56" t="s">
        <v>170</v>
      </c>
    </row>
    <row r="15" spans="1:18" x14ac:dyDescent="0.15">
      <c r="A15" s="56">
        <v>40033</v>
      </c>
      <c r="B15" s="56">
        <v>2</v>
      </c>
      <c r="C15" s="70" t="str">
        <f t="shared" si="0"/>
        <v>40033_2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4</v>
      </c>
      <c r="F15" s="56" t="s">
        <v>275</v>
      </c>
      <c r="G15" s="56">
        <v>609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100</v>
      </c>
      <c r="Q15" s="56" t="s">
        <v>169</v>
      </c>
      <c r="R15" s="56" t="s">
        <v>170</v>
      </c>
    </row>
    <row r="16" spans="1:18" x14ac:dyDescent="0.15">
      <c r="A16" s="56">
        <v>40033</v>
      </c>
      <c r="B16" s="56">
        <v>2</v>
      </c>
      <c r="C16" s="70" t="str">
        <f t="shared" si="0"/>
        <v>40033_2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5</v>
      </c>
      <c r="F16" s="56" t="s">
        <v>275</v>
      </c>
      <c r="G16" s="56">
        <v>125</v>
      </c>
      <c r="H16" s="56">
        <v>1</v>
      </c>
      <c r="I16" s="56">
        <v>1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30</v>
      </c>
      <c r="Q16" s="56" t="s">
        <v>169</v>
      </c>
      <c r="R16" s="56" t="s">
        <v>170</v>
      </c>
    </row>
    <row r="17" spans="1:18" x14ac:dyDescent="0.15">
      <c r="A17" s="56">
        <v>40033</v>
      </c>
      <c r="B17" s="56">
        <v>2</v>
      </c>
      <c r="C17" s="70" t="str">
        <f t="shared" si="0"/>
        <v>40033_2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6</v>
      </c>
      <c r="F17" s="56" t="s">
        <v>275</v>
      </c>
      <c r="G17" s="56">
        <v>893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500</v>
      </c>
      <c r="Q17" s="56" t="s">
        <v>169</v>
      </c>
      <c r="R17" s="56" t="s">
        <v>170</v>
      </c>
    </row>
    <row r="18" spans="1:18" x14ac:dyDescent="0.15">
      <c r="A18" s="56">
        <v>40033</v>
      </c>
      <c r="B18" s="56">
        <v>2</v>
      </c>
      <c r="C18" s="70" t="str">
        <f t="shared" si="0"/>
        <v>40033_2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6">
        <v>7</v>
      </c>
      <c r="F18" s="56" t="s">
        <v>275</v>
      </c>
      <c r="G18" s="56">
        <v>354</v>
      </c>
      <c r="H18" s="56">
        <v>1</v>
      </c>
      <c r="I18" s="56">
        <v>1</v>
      </c>
      <c r="J18" s="56">
        <v>1</v>
      </c>
      <c r="K18" s="56">
        <v>0</v>
      </c>
      <c r="L18" s="56">
        <v>0</v>
      </c>
      <c r="M18" s="56">
        <v>0</v>
      </c>
      <c r="N18" s="56">
        <v>0</v>
      </c>
      <c r="O18" s="56">
        <v>1</v>
      </c>
      <c r="P18" s="56">
        <v>120</v>
      </c>
      <c r="Q18" s="56" t="s">
        <v>169</v>
      </c>
      <c r="R18" s="56" t="s">
        <v>170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20" sqref="H2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188</v>
      </c>
      <c r="B1" s="72" t="s">
        <v>189</v>
      </c>
      <c r="C1" s="76" t="s">
        <v>190</v>
      </c>
      <c r="D1" s="76" t="s">
        <v>33</v>
      </c>
      <c r="E1" s="72" t="s">
        <v>191</v>
      </c>
      <c r="F1" s="76" t="s">
        <v>192</v>
      </c>
      <c r="G1" s="76" t="s">
        <v>33</v>
      </c>
      <c r="H1" s="72" t="s">
        <v>193</v>
      </c>
      <c r="I1" s="90" t="s">
        <v>195</v>
      </c>
      <c r="J1" s="78" t="s">
        <v>126</v>
      </c>
      <c r="K1" s="77" t="s">
        <v>186</v>
      </c>
      <c r="L1" s="91" t="s">
        <v>185</v>
      </c>
      <c r="M1" s="79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6"/>
  <sheetViews>
    <sheetView showGridLines="0" workbookViewId="0">
      <pane ySplit="1" topLeftCell="A6" activePane="bottomLeft" state="frozen"/>
      <selection pane="bottomLeft" activeCell="E7" sqref="E7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188</v>
      </c>
      <c r="B1" s="72" t="s">
        <v>150</v>
      </c>
      <c r="C1" s="76" t="s">
        <v>190</v>
      </c>
      <c r="D1" s="76" t="s">
        <v>33</v>
      </c>
      <c r="E1" s="72" t="s">
        <v>191</v>
      </c>
      <c r="F1" s="76" t="s">
        <v>18</v>
      </c>
      <c r="G1" s="76" t="s">
        <v>33</v>
      </c>
      <c r="H1" s="72" t="s">
        <v>193</v>
      </c>
      <c r="I1" s="88" t="s">
        <v>194</v>
      </c>
      <c r="J1" s="90" t="s">
        <v>195</v>
      </c>
      <c r="K1" s="78" t="s">
        <v>126</v>
      </c>
      <c r="L1" s="77" t="s">
        <v>186</v>
      </c>
      <c r="M1" s="91" t="s">
        <v>185</v>
      </c>
      <c r="N1" s="79" t="s">
        <v>196</v>
      </c>
    </row>
    <row r="2" spans="1:14" ht="56" x14ac:dyDescent="0.15">
      <c r="A2" s="80" t="s">
        <v>197</v>
      </c>
      <c r="B2" s="81">
        <f>floors!$C$2</f>
        <v>40033</v>
      </c>
      <c r="C2" s="82" t="str">
        <f ca="1">VLOOKUP($B2,OFFSET([2]quests!$A$1,0,0,COUNTA([2]quests!$A:$A),MATCH(C$1,[2]quests!$1:$1,0)-MATCH($B$1,[2]quests!$1:$1,0)+1),MATCH(C$1,[2]quests!$1:$1,0)-MATCH($B$1,[2]quests!$1:$1,0)+1,FALSE)</f>
        <v>アテナ襲来！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降臨33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【超絶級】アテナ襲来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降臨33</v>
      </c>
      <c r="H2" s="84">
        <v>1</v>
      </c>
      <c r="I2" s="89">
        <f t="shared" ref="I2:I16" si="0">ROW()-1</f>
        <v>1</v>
      </c>
      <c r="J2" s="85" t="str">
        <f t="shared" ref="J2:J16" si="1">B2&amp;TEXT(I2,"00")</f>
        <v>4003301</v>
      </c>
      <c r="K2" s="83" t="s">
        <v>198</v>
      </c>
      <c r="L2" s="86" t="s">
        <v>199</v>
      </c>
      <c r="M2" s="132" t="s">
        <v>339</v>
      </c>
      <c r="N2" s="56" t="s">
        <v>200</v>
      </c>
    </row>
    <row r="3" spans="1:14" ht="70" x14ac:dyDescent="0.15">
      <c r="A3" s="80" t="s">
        <v>197</v>
      </c>
      <c r="B3" s="81">
        <f>floors!$C$2</f>
        <v>40033</v>
      </c>
      <c r="C3" s="82" t="str">
        <f ca="1">VLOOKUP($B3,OFFSET([2]quests!$A$1,0,0,COUNTA([2]quests!$A:$A),MATCH(C$1,[2]quests!$1:$1,0)-MATCH($B$1,[2]quests!$1:$1,0)+1),MATCH(C$1,[2]quests!$1:$1,0)-MATCH($B$1,[2]quests!$1:$1,0)+1,FALSE)</f>
        <v>アテナ襲来！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降臨33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【超絶級】アテナ襲来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降臨33</v>
      </c>
      <c r="H3" s="84">
        <v>2</v>
      </c>
      <c r="I3" s="89">
        <f t="shared" si="0"/>
        <v>2</v>
      </c>
      <c r="J3" s="85" t="str">
        <f t="shared" si="1"/>
        <v>4003302</v>
      </c>
      <c r="K3" s="83" t="s">
        <v>127</v>
      </c>
      <c r="L3" s="86" t="s">
        <v>199</v>
      </c>
      <c r="M3" s="132" t="s">
        <v>340</v>
      </c>
      <c r="N3" s="56" t="s">
        <v>200</v>
      </c>
    </row>
    <row r="4" spans="1:14" ht="70" x14ac:dyDescent="0.15">
      <c r="A4" s="80" t="s">
        <v>197</v>
      </c>
      <c r="B4" s="81">
        <f>floors!$C$2</f>
        <v>40033</v>
      </c>
      <c r="C4" s="82" t="str">
        <f ca="1">VLOOKUP($B4,OFFSET([2]quests!$A$1,0,0,COUNTA([2]quests!$A:$A),MATCH(C$1,[2]quests!$1:$1,0)-MATCH($B$1,[2]quests!$1:$1,0)+1),MATCH(C$1,[2]quests!$1:$1,0)-MATCH($B$1,[2]quests!$1:$1,0)+1,FALSE)</f>
        <v>アテナ襲来！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降臨33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【超絶級】アテナ襲来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降臨33</v>
      </c>
      <c r="H4" s="84">
        <v>3</v>
      </c>
      <c r="I4" s="89">
        <f t="shared" si="0"/>
        <v>3</v>
      </c>
      <c r="J4" s="85" t="str">
        <f t="shared" si="1"/>
        <v>4003303</v>
      </c>
      <c r="K4" s="83" t="s">
        <v>127</v>
      </c>
      <c r="L4" s="86" t="s">
        <v>199</v>
      </c>
      <c r="M4" s="132" t="s">
        <v>341</v>
      </c>
      <c r="N4" s="56" t="s">
        <v>200</v>
      </c>
    </row>
    <row r="5" spans="1:14" ht="56" x14ac:dyDescent="0.15">
      <c r="A5" s="80" t="s">
        <v>197</v>
      </c>
      <c r="B5" s="81">
        <f>floors!$C$2</f>
        <v>40033</v>
      </c>
      <c r="C5" s="82" t="str">
        <f ca="1">VLOOKUP($B5,OFFSET([2]quests!$A$1,0,0,COUNTA([2]quests!$A:$A),MATCH(C$1,[2]quests!$1:$1,0)-MATCH($B$1,[2]quests!$1:$1,0)+1),MATCH(C$1,[2]quests!$1:$1,0)-MATCH($B$1,[2]quests!$1:$1,0)+1,FALSE)</f>
        <v>アテナ襲来！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降臨33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【超絶級】アテナ襲来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降臨33</v>
      </c>
      <c r="H5" s="84">
        <v>3</v>
      </c>
      <c r="I5" s="89">
        <f t="shared" si="0"/>
        <v>4</v>
      </c>
      <c r="J5" s="85" t="str">
        <f t="shared" si="1"/>
        <v>4003304</v>
      </c>
      <c r="K5" s="83" t="s">
        <v>127</v>
      </c>
      <c r="L5" s="86" t="s">
        <v>199</v>
      </c>
      <c r="M5" s="132" t="s">
        <v>342</v>
      </c>
      <c r="N5" s="56" t="s">
        <v>200</v>
      </c>
    </row>
    <row r="6" spans="1:14" ht="56" x14ac:dyDescent="0.15">
      <c r="A6" s="80" t="s">
        <v>197</v>
      </c>
      <c r="B6" s="81">
        <f>floors!$C$2</f>
        <v>40033</v>
      </c>
      <c r="C6" s="82" t="str">
        <f ca="1">VLOOKUP($B6,OFFSET([2]quests!$A$1,0,0,COUNTA([2]quests!$A:$A),MATCH(C$1,[2]quests!$1:$1,0)-MATCH($B$1,[2]quests!$1:$1,0)+1),MATCH(C$1,[2]quests!$1:$1,0)-MATCH($B$1,[2]quests!$1:$1,0)+1,FALSE)</f>
        <v>アテナ襲来！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降臨33</v>
      </c>
      <c r="E6" s="83">
        <v>2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【ウィザード級】アテナ襲来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降臨33</v>
      </c>
      <c r="H6" s="84">
        <v>3</v>
      </c>
      <c r="I6" s="89">
        <f t="shared" si="0"/>
        <v>5</v>
      </c>
      <c r="J6" s="85" t="str">
        <f t="shared" si="1"/>
        <v>4003305</v>
      </c>
      <c r="K6" s="83" t="s">
        <v>127</v>
      </c>
      <c r="L6" s="86" t="s">
        <v>199</v>
      </c>
      <c r="M6" s="132" t="s">
        <v>343</v>
      </c>
      <c r="N6" s="56" t="s">
        <v>200</v>
      </c>
    </row>
    <row r="7" spans="1:14" ht="56" x14ac:dyDescent="0.15">
      <c r="A7" s="80" t="s">
        <v>197</v>
      </c>
      <c r="B7" s="81">
        <f>floors!$C$2</f>
        <v>40033</v>
      </c>
      <c r="C7" s="82" t="str">
        <f ca="1">VLOOKUP($B7,OFFSET([2]quests!$A$1,0,0,COUNTA([2]quests!$A:$A),MATCH(C$1,[2]quests!$1:$1,0)-MATCH($B$1,[2]quests!$1:$1,0)+1),MATCH(C$1,[2]quests!$1:$1,0)-MATCH($B$1,[2]quests!$1:$1,0)+1,FALSE)</f>
        <v>アテナ襲来！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降臨33</v>
      </c>
      <c r="E7" s="83">
        <v>2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【ウィザード級】アテナ襲来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降臨33</v>
      </c>
      <c r="H7" s="84">
        <v>1</v>
      </c>
      <c r="I7" s="89">
        <f t="shared" si="0"/>
        <v>6</v>
      </c>
      <c r="J7" s="85" t="str">
        <f t="shared" si="1"/>
        <v>4003306</v>
      </c>
      <c r="K7" s="83" t="s">
        <v>127</v>
      </c>
      <c r="L7" s="86" t="s">
        <v>199</v>
      </c>
      <c r="M7" s="132" t="s">
        <v>339</v>
      </c>
      <c r="N7" s="56" t="s">
        <v>200</v>
      </c>
    </row>
    <row r="8" spans="1:14" ht="70" x14ac:dyDescent="0.15">
      <c r="A8" s="80" t="s">
        <v>197</v>
      </c>
      <c r="B8" s="81">
        <f>floors!$C$2</f>
        <v>40033</v>
      </c>
      <c r="C8" s="82" t="str">
        <f ca="1">VLOOKUP($B8,OFFSET([2]quests!$A$1,0,0,COUNTA([2]quests!$A:$A),MATCH(C$1,[2]quests!$1:$1,0)-MATCH($B$1,[2]quests!$1:$1,0)+1),MATCH(C$1,[2]quests!$1:$1,0)-MATCH($B$1,[2]quests!$1:$1,0)+1,FALSE)</f>
        <v>アテナ襲来！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降臨33</v>
      </c>
      <c r="E8" s="83">
        <v>2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【ウィザード級】アテナ襲来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降臨33</v>
      </c>
      <c r="H8" s="84">
        <v>2</v>
      </c>
      <c r="I8" s="89">
        <f t="shared" si="0"/>
        <v>7</v>
      </c>
      <c r="J8" s="85" t="str">
        <f t="shared" si="1"/>
        <v>4003307</v>
      </c>
      <c r="K8" s="83" t="s">
        <v>127</v>
      </c>
      <c r="L8" s="86" t="s">
        <v>199</v>
      </c>
      <c r="M8" s="132" t="s">
        <v>340</v>
      </c>
      <c r="N8" s="56" t="s">
        <v>200</v>
      </c>
    </row>
    <row r="9" spans="1:14" ht="70" x14ac:dyDescent="0.15">
      <c r="A9" s="80" t="s">
        <v>197</v>
      </c>
      <c r="B9" s="81">
        <f>floors!$C$2</f>
        <v>40033</v>
      </c>
      <c r="C9" s="82" t="str">
        <f ca="1">VLOOKUP($B9,OFFSET([2]quests!$A$1,0,0,COUNTA([2]quests!$A:$A),MATCH(C$1,[2]quests!$1:$1,0)-MATCH($B$1,[2]quests!$1:$1,0)+1),MATCH(C$1,[2]quests!$1:$1,0)-MATCH($B$1,[2]quests!$1:$1,0)+1,FALSE)</f>
        <v>アテナ襲来！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降臨33</v>
      </c>
      <c r="E9" s="83">
        <v>2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【ウィザード級】アテナ襲来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降臨33</v>
      </c>
      <c r="H9" s="84">
        <v>3</v>
      </c>
      <c r="I9" s="89">
        <f t="shared" si="0"/>
        <v>8</v>
      </c>
      <c r="J9" s="85" t="str">
        <f t="shared" si="1"/>
        <v>4003308</v>
      </c>
      <c r="K9" s="83" t="s">
        <v>127</v>
      </c>
      <c r="L9" s="86" t="s">
        <v>199</v>
      </c>
      <c r="M9" s="132" t="s">
        <v>341</v>
      </c>
      <c r="N9" s="56" t="s">
        <v>200</v>
      </c>
    </row>
    <row r="10" spans="1:14" ht="56" x14ac:dyDescent="0.15">
      <c r="A10" s="80" t="s">
        <v>197</v>
      </c>
      <c r="B10" s="81">
        <f>floors!$C$2</f>
        <v>40033</v>
      </c>
      <c r="C10" s="82" t="str">
        <f ca="1">VLOOKUP($B10,OFFSET([2]quests!$A$1,0,0,COUNTA([2]quests!$A:$A),MATCH(C$1,[2]quests!$1:$1,0)-MATCH($B$1,[2]quests!$1:$1,0)+1),MATCH(C$1,[2]quests!$1:$1,0)-MATCH($B$1,[2]quests!$1:$1,0)+1,FALSE)</f>
        <v>アテナ襲来！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降臨33</v>
      </c>
      <c r="E10" s="83">
        <v>2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【ウィザード級】アテナ襲来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降臨33</v>
      </c>
      <c r="H10" s="84">
        <v>3</v>
      </c>
      <c r="I10" s="89">
        <f t="shared" si="0"/>
        <v>9</v>
      </c>
      <c r="J10" s="85" t="str">
        <f t="shared" si="1"/>
        <v>4003309</v>
      </c>
      <c r="K10" s="83" t="s">
        <v>127</v>
      </c>
      <c r="L10" s="86" t="s">
        <v>199</v>
      </c>
      <c r="M10" s="132" t="s">
        <v>342</v>
      </c>
      <c r="N10" s="56" t="s">
        <v>200</v>
      </c>
    </row>
    <row r="11" spans="1:14" ht="28" x14ac:dyDescent="0.15">
      <c r="A11" s="80" t="s">
        <v>201</v>
      </c>
      <c r="B11" s="81">
        <f>floors!$C$2</f>
        <v>40033</v>
      </c>
      <c r="C11" s="82" t="str">
        <f ca="1">VLOOKUP($B11,OFFSET([2]quests!$A$1,0,0,COUNTA([2]quests!$A:$A),MATCH(C$1,[2]quests!$1:$1,0)-MATCH($B$1,[2]quests!$1:$1,0)+1),MATCH(C$1,[2]quests!$1:$1,0)-MATCH($B$1,[2]quests!$1:$1,0)+1,FALSE)</f>
        <v>アテナ襲来！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降臨33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【超絶級】アテナ襲来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降臨33</v>
      </c>
      <c r="H11" s="84">
        <v>0</v>
      </c>
      <c r="I11" s="89">
        <f t="shared" si="0"/>
        <v>10</v>
      </c>
      <c r="J11" s="85" t="str">
        <f t="shared" si="1"/>
        <v>4003310</v>
      </c>
      <c r="K11" s="83" t="s">
        <v>127</v>
      </c>
      <c r="L11" s="86" t="s">
        <v>344</v>
      </c>
      <c r="M11" s="132" t="s">
        <v>345</v>
      </c>
      <c r="N11" s="56" t="s">
        <v>200</v>
      </c>
    </row>
    <row r="12" spans="1:14" ht="42" x14ac:dyDescent="0.15">
      <c r="A12" s="80" t="s">
        <v>201</v>
      </c>
      <c r="B12" s="81">
        <f>floors!$C$2</f>
        <v>40033</v>
      </c>
      <c r="C12" s="82" t="str">
        <f ca="1">VLOOKUP($B12,OFFSET([2]quests!$A$1,0,0,COUNTA([2]quests!$A:$A),MATCH(C$1,[2]quests!$1:$1,0)-MATCH($B$1,[2]quests!$1:$1,0)+1),MATCH(C$1,[2]quests!$1:$1,0)-MATCH($B$1,[2]quests!$1:$1,0)+1,FALSE)</f>
        <v>アテナ襲来！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降臨33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【超絶級】アテナ襲来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降臨33</v>
      </c>
      <c r="H12" s="84">
        <v>0</v>
      </c>
      <c r="I12" s="89">
        <f t="shared" si="0"/>
        <v>11</v>
      </c>
      <c r="J12" s="85" t="str">
        <f t="shared" si="1"/>
        <v>4003311</v>
      </c>
      <c r="K12" s="83" t="s">
        <v>127</v>
      </c>
      <c r="L12" s="86" t="s">
        <v>346</v>
      </c>
      <c r="M12" s="132" t="s">
        <v>347</v>
      </c>
      <c r="N12" s="56" t="s">
        <v>200</v>
      </c>
    </row>
    <row r="13" spans="1:14" ht="28" x14ac:dyDescent="0.15">
      <c r="A13" s="80" t="s">
        <v>201</v>
      </c>
      <c r="B13" s="81">
        <f>floors!$C$2</f>
        <v>40033</v>
      </c>
      <c r="C13" s="82" t="str">
        <f ca="1">VLOOKUP($B13,OFFSET([2]quests!$A$1,0,0,COUNTA([2]quests!$A:$A),MATCH(C$1,[2]quests!$1:$1,0)-MATCH($B$1,[2]quests!$1:$1,0)+1),MATCH(C$1,[2]quests!$1:$1,0)-MATCH($B$1,[2]quests!$1:$1,0)+1,FALSE)</f>
        <v>アテナ襲来！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降臨33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【超絶級】アテナ襲来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降臨33</v>
      </c>
      <c r="H13" s="84">
        <v>0</v>
      </c>
      <c r="I13" s="89">
        <f t="shared" si="0"/>
        <v>12</v>
      </c>
      <c r="J13" s="85" t="str">
        <f t="shared" si="1"/>
        <v>4003312</v>
      </c>
      <c r="K13" s="83" t="s">
        <v>127</v>
      </c>
      <c r="L13" s="86" t="s">
        <v>348</v>
      </c>
      <c r="M13" s="132" t="s">
        <v>349</v>
      </c>
      <c r="N13" s="56" t="s">
        <v>200</v>
      </c>
    </row>
    <row r="14" spans="1:14" ht="28" x14ac:dyDescent="0.15">
      <c r="A14" s="80" t="s">
        <v>201</v>
      </c>
      <c r="B14" s="81">
        <f>floors!$C$2</f>
        <v>40033</v>
      </c>
      <c r="C14" s="82" t="str">
        <f ca="1">VLOOKUP($B14,OFFSET([2]quests!$A$1,0,0,COUNTA([2]quests!$A:$A),MATCH(C$1,[2]quests!$1:$1,0)-MATCH($B$1,[2]quests!$1:$1,0)+1),MATCH(C$1,[2]quests!$1:$1,0)-MATCH($B$1,[2]quests!$1:$1,0)+1,FALSE)</f>
        <v>アテナ襲来！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降臨33</v>
      </c>
      <c r="E14" s="83">
        <v>2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【ウィザード級】アテナ襲来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降臨33</v>
      </c>
      <c r="H14" s="84">
        <v>0</v>
      </c>
      <c r="I14" s="89">
        <f t="shared" si="0"/>
        <v>13</v>
      </c>
      <c r="J14" s="85" t="str">
        <f t="shared" si="1"/>
        <v>4003313</v>
      </c>
      <c r="K14" s="83" t="s">
        <v>127</v>
      </c>
      <c r="L14" s="86" t="s">
        <v>344</v>
      </c>
      <c r="M14" s="132" t="s">
        <v>345</v>
      </c>
      <c r="N14" s="56" t="s">
        <v>200</v>
      </c>
    </row>
    <row r="15" spans="1:14" ht="42" x14ac:dyDescent="0.15">
      <c r="A15" s="80" t="s">
        <v>201</v>
      </c>
      <c r="B15" s="81">
        <f>floors!$C$2</f>
        <v>40033</v>
      </c>
      <c r="C15" s="82" t="str">
        <f ca="1">VLOOKUP($B15,OFFSET([2]quests!$A$1,0,0,COUNTA([2]quests!$A:$A),MATCH(C$1,[2]quests!$1:$1,0)-MATCH($B$1,[2]quests!$1:$1,0)+1),MATCH(C$1,[2]quests!$1:$1,0)-MATCH($B$1,[2]quests!$1:$1,0)+1,FALSE)</f>
        <v>アテナ襲来！</v>
      </c>
      <c r="D15" s="82" t="str">
        <f ca="1">VLOOKUP($B15,OFFSET([2]quests!$A$1,0,0,COUNTA([2]quests!$A:$A),MATCH(D$1,[2]quests!$1:$1,0)-MATCH($B$1,[2]quests!$1:$1,0)+1),MATCH(D$1,[2]quests!$1:$1,0)-MATCH($B$1,[2]quests!$1:$1,0)+1,FALSE)</f>
        <v>降臨33</v>
      </c>
      <c r="E15" s="83">
        <v>2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【ウィザード級】アテナ襲来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降臨33</v>
      </c>
      <c r="H15" s="84">
        <v>0</v>
      </c>
      <c r="I15" s="89">
        <f t="shared" si="0"/>
        <v>14</v>
      </c>
      <c r="J15" s="85" t="str">
        <f t="shared" si="1"/>
        <v>4003314</v>
      </c>
      <c r="K15" s="83" t="s">
        <v>127</v>
      </c>
      <c r="L15" s="86" t="s">
        <v>346</v>
      </c>
      <c r="M15" s="132" t="s">
        <v>347</v>
      </c>
      <c r="N15" s="56" t="s">
        <v>200</v>
      </c>
    </row>
    <row r="16" spans="1:14" ht="28" x14ac:dyDescent="0.15">
      <c r="A16" s="80" t="s">
        <v>201</v>
      </c>
      <c r="B16" s="81">
        <f>floors!$C$2</f>
        <v>40033</v>
      </c>
      <c r="C16" s="82" t="str">
        <f ca="1">VLOOKUP($B16,OFFSET([2]quests!$A$1,0,0,COUNTA([2]quests!$A:$A),MATCH(C$1,[2]quests!$1:$1,0)-MATCH($B$1,[2]quests!$1:$1,0)+1),MATCH(C$1,[2]quests!$1:$1,0)-MATCH($B$1,[2]quests!$1:$1,0)+1,FALSE)</f>
        <v>アテナ襲来！</v>
      </c>
      <c r="D16" s="82" t="str">
        <f ca="1">VLOOKUP($B16,OFFSET([2]quests!$A$1,0,0,COUNTA([2]quests!$A:$A),MATCH(D$1,[2]quests!$1:$1,0)-MATCH($B$1,[2]quests!$1:$1,0)+1),MATCH(D$1,[2]quests!$1:$1,0)-MATCH($B$1,[2]quests!$1:$1,0)+1,FALSE)</f>
        <v>降臨33</v>
      </c>
      <c r="E16" s="83">
        <v>2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【ウィザード級】アテナ襲来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降臨33</v>
      </c>
      <c r="H16" s="84">
        <v>0</v>
      </c>
      <c r="I16" s="89">
        <f t="shared" si="0"/>
        <v>15</v>
      </c>
      <c r="J16" s="85" t="str">
        <f t="shared" si="1"/>
        <v>4003315</v>
      </c>
      <c r="K16" s="83" t="s">
        <v>127</v>
      </c>
      <c r="L16" s="86" t="s">
        <v>348</v>
      </c>
      <c r="M16" s="132" t="s">
        <v>349</v>
      </c>
      <c r="N16" s="56" t="s">
        <v>200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M4" sqref="M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213</v>
      </c>
      <c r="B1" s="94" t="s">
        <v>214</v>
      </c>
      <c r="C1" s="76" t="s">
        <v>215</v>
      </c>
      <c r="D1" s="76" t="s">
        <v>33</v>
      </c>
      <c r="E1" s="94" t="s">
        <v>216</v>
      </c>
      <c r="F1" s="76" t="s">
        <v>217</v>
      </c>
      <c r="G1" s="76" t="s">
        <v>33</v>
      </c>
      <c r="H1" s="94" t="s">
        <v>218</v>
      </c>
      <c r="I1" s="94" t="s">
        <v>219</v>
      </c>
      <c r="J1" s="94" t="s">
        <v>220</v>
      </c>
      <c r="K1" s="72" t="s">
        <v>221</v>
      </c>
      <c r="L1" s="72" t="s">
        <v>222</v>
      </c>
      <c r="M1" s="72" t="s">
        <v>156</v>
      </c>
      <c r="N1" s="76" t="s">
        <v>16</v>
      </c>
      <c r="O1" s="72" t="s">
        <v>223</v>
      </c>
      <c r="P1" s="72" t="s">
        <v>57</v>
      </c>
      <c r="Q1" s="72" t="s">
        <v>224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225</v>
      </c>
      <c r="X1" s="72" t="s">
        <v>226</v>
      </c>
    </row>
    <row r="2" spans="1:24" x14ac:dyDescent="0.15">
      <c r="A2" s="95" t="str">
        <f>B2&amp;"_"&amp;E2&amp;"_"&amp;H2&amp;"_"&amp;I2&amp;"_"&amp;J2</f>
        <v>40033_2_everyone_full_member_1</v>
      </c>
      <c r="B2" s="81">
        <v>40033</v>
      </c>
      <c r="C2" s="82" t="str">
        <f ca="1">VLOOKUP($B2,OFFSET([2]quests!$A$1,0,0,COUNTA([2]quests!$A:$A),MATCH(C$1,[2]quests!$1:$1,0)-MATCH($B$1,[2]quests!$1:$1,0)+1),MATCH(C$1,[2]quests!$1:$1,0)-MATCH($B$1,[2]quests!$1:$1,0)+1,FALSE)</f>
        <v>アテナ襲来！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降臨33</v>
      </c>
      <c r="E2" s="83">
        <v>2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【ウィザード級】アテナ襲来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降臨33</v>
      </c>
      <c r="H2" s="84" t="s">
        <v>227</v>
      </c>
      <c r="I2" s="83" t="s">
        <v>276</v>
      </c>
      <c r="J2" s="83">
        <v>1</v>
      </c>
      <c r="K2" s="83">
        <v>1000</v>
      </c>
      <c r="L2" s="83" t="s">
        <v>228</v>
      </c>
      <c r="M2" s="83">
        <v>893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アテナ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229</v>
      </c>
      <c r="X2" s="98" t="s">
        <v>230</v>
      </c>
    </row>
    <row r="3" spans="1:24" x14ac:dyDescent="0.15">
      <c r="A3" s="95" t="str">
        <f>B3&amp;"_"&amp;E3&amp;"_"&amp;H3&amp;"_"&amp;I3&amp;"_"&amp;J3</f>
        <v>40033_2_everyone_no_continue_1</v>
      </c>
      <c r="B3" s="81">
        <v>40033</v>
      </c>
      <c r="C3" s="82" t="str">
        <f ca="1">VLOOKUP($B3,OFFSET([2]quests!$A$1,0,0,COUNTA([2]quests!$A:$A),MATCH(C$1,[2]quests!$1:$1,0)-MATCH($B$1,[2]quests!$1:$1,0)+1),MATCH(C$1,[2]quests!$1:$1,0)-MATCH($B$1,[2]quests!$1:$1,0)+1,FALSE)</f>
        <v>アテナ襲来！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降臨33</v>
      </c>
      <c r="E3" s="83">
        <v>2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【ウィザード級】アテナ襲来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降臨33</v>
      </c>
      <c r="H3" s="84" t="s">
        <v>227</v>
      </c>
      <c r="I3" s="83" t="s">
        <v>231</v>
      </c>
      <c r="J3" s="83">
        <v>1</v>
      </c>
      <c r="K3" s="83">
        <v>1000</v>
      </c>
      <c r="L3" s="83" t="s">
        <v>228</v>
      </c>
      <c r="M3" s="83">
        <v>893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アテナ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7" t="s">
        <v>229</v>
      </c>
      <c r="X3" s="98" t="s">
        <v>230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2017-03-28T02:16:33Z</dcterms:modified>
</cp:coreProperties>
</file>