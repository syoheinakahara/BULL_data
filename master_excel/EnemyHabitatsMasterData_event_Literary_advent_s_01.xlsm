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640" yWindow="460" windowWidth="25980" windowHeight="1648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enemy_habitat_S!$B$1:$AA$6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5" i="18" l="1"/>
  <c r="C15" i="18"/>
  <c r="D15" i="18"/>
  <c r="A14" i="18"/>
  <c r="C14" i="18"/>
  <c r="D14" i="18"/>
  <c r="A13" i="18"/>
  <c r="C13" i="18"/>
  <c r="D13" i="18"/>
  <c r="J75" i="11"/>
  <c r="O77" i="9"/>
  <c r="N77" i="9"/>
  <c r="M77" i="9"/>
  <c r="L77" i="9"/>
  <c r="K77" i="9"/>
  <c r="J77" i="9"/>
  <c r="I77" i="9"/>
  <c r="H77" i="9"/>
  <c r="G77" i="9"/>
  <c r="E77" i="9"/>
  <c r="D77" i="9"/>
  <c r="A77" i="9"/>
  <c r="J77" i="11"/>
  <c r="J76" i="11"/>
  <c r="J74" i="11"/>
  <c r="O79" i="9"/>
  <c r="N79" i="9"/>
  <c r="M79" i="9"/>
  <c r="L79" i="9"/>
  <c r="K79" i="9"/>
  <c r="J79" i="9"/>
  <c r="I79" i="9"/>
  <c r="H79" i="9"/>
  <c r="G79" i="9"/>
  <c r="E79" i="9"/>
  <c r="D79" i="9"/>
  <c r="A79" i="9"/>
  <c r="O78" i="9"/>
  <c r="N78" i="9"/>
  <c r="M78" i="9"/>
  <c r="L78" i="9"/>
  <c r="K78" i="9"/>
  <c r="J78" i="9"/>
  <c r="I78" i="9"/>
  <c r="H78" i="9"/>
  <c r="G78" i="9"/>
  <c r="E78" i="9"/>
  <c r="D78" i="9"/>
  <c r="A78" i="9"/>
  <c r="O76" i="9"/>
  <c r="N76" i="9"/>
  <c r="M76" i="9"/>
  <c r="L76" i="9"/>
  <c r="K76" i="9"/>
  <c r="J76" i="9"/>
  <c r="I76" i="9"/>
  <c r="H76" i="9"/>
  <c r="G76" i="9"/>
  <c r="E76" i="9"/>
  <c r="D76" i="9"/>
  <c r="A76" i="9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J73" i="11"/>
  <c r="O75" i="9"/>
  <c r="N75" i="9"/>
  <c r="M75" i="9"/>
  <c r="L75" i="9"/>
  <c r="K75" i="9"/>
  <c r="J75" i="9"/>
  <c r="I75" i="9"/>
  <c r="H75" i="9"/>
  <c r="G75" i="9"/>
  <c r="E75" i="9"/>
  <c r="D75" i="9"/>
  <c r="A75" i="9"/>
  <c r="J72" i="11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O74" i="9"/>
  <c r="N74" i="9"/>
  <c r="M74" i="9"/>
  <c r="L74" i="9"/>
  <c r="K74" i="9"/>
  <c r="J74" i="9"/>
  <c r="I74" i="9"/>
  <c r="H74" i="9"/>
  <c r="G74" i="9"/>
  <c r="E74" i="9"/>
  <c r="D74" i="9"/>
  <c r="A74" i="9"/>
  <c r="J71" i="11"/>
  <c r="O73" i="9"/>
  <c r="N73" i="9"/>
  <c r="M73" i="9"/>
  <c r="L73" i="9"/>
  <c r="K73" i="9"/>
  <c r="J73" i="9"/>
  <c r="I73" i="9"/>
  <c r="H73" i="9"/>
  <c r="G73" i="9"/>
  <c r="E73" i="9"/>
  <c r="D73" i="9"/>
  <c r="A73" i="9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J70" i="11"/>
  <c r="J69" i="11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J68" i="11"/>
  <c r="J67" i="11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J66" i="11"/>
  <c r="O46" i="9"/>
  <c r="N46" i="9"/>
  <c r="M46" i="9"/>
  <c r="L46" i="9"/>
  <c r="K46" i="9"/>
  <c r="J46" i="9"/>
  <c r="I46" i="9"/>
  <c r="H46" i="9"/>
  <c r="G46" i="9"/>
  <c r="E46" i="9"/>
  <c r="D46" i="9"/>
  <c r="A46" i="9"/>
  <c r="J65" i="11"/>
  <c r="O45" i="9"/>
  <c r="N45" i="9"/>
  <c r="M45" i="9"/>
  <c r="L45" i="9"/>
  <c r="K45" i="9"/>
  <c r="J45" i="9"/>
  <c r="I45" i="9"/>
  <c r="H45" i="9"/>
  <c r="G45" i="9"/>
  <c r="E45" i="9"/>
  <c r="D45" i="9"/>
  <c r="A45" i="9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O22" i="9"/>
  <c r="N22" i="9"/>
  <c r="M22" i="9"/>
  <c r="L22" i="9"/>
  <c r="K22" i="9"/>
  <c r="J22" i="9"/>
  <c r="I22" i="9"/>
  <c r="H22" i="9"/>
  <c r="G22" i="9"/>
  <c r="E22" i="9"/>
  <c r="D22" i="9"/>
  <c r="A22" i="9"/>
  <c r="O13" i="9"/>
  <c r="N13" i="9"/>
  <c r="M13" i="9"/>
  <c r="L13" i="9"/>
  <c r="K13" i="9"/>
  <c r="J13" i="9"/>
  <c r="I13" i="9"/>
  <c r="H13" i="9"/>
  <c r="G13" i="9"/>
  <c r="E13" i="9"/>
  <c r="D13" i="9"/>
  <c r="A13" i="9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O21" i="9"/>
  <c r="N21" i="9"/>
  <c r="M21" i="9"/>
  <c r="L21" i="9"/>
  <c r="K21" i="9"/>
  <c r="J21" i="9"/>
  <c r="I21" i="9"/>
  <c r="H21" i="9"/>
  <c r="G21" i="9"/>
  <c r="E21" i="9"/>
  <c r="D21" i="9"/>
  <c r="A21" i="9"/>
  <c r="J11" i="11"/>
  <c r="O14" i="9"/>
  <c r="N14" i="9"/>
  <c r="M14" i="9"/>
  <c r="L14" i="9"/>
  <c r="K14" i="9"/>
  <c r="J14" i="9"/>
  <c r="I14" i="9"/>
  <c r="H14" i="9"/>
  <c r="G14" i="9"/>
  <c r="E14" i="9"/>
  <c r="D14" i="9"/>
  <c r="A14" i="9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O8" i="21"/>
  <c r="B8" i="21"/>
  <c r="I8" i="21"/>
  <c r="J8" i="21"/>
  <c r="G8" i="21"/>
  <c r="F8" i="21"/>
  <c r="D8" i="21"/>
  <c r="C8" i="21"/>
  <c r="O12" i="21"/>
  <c r="B12" i="21"/>
  <c r="I12" i="21"/>
  <c r="J12" i="21"/>
  <c r="G12" i="21"/>
  <c r="F12" i="21"/>
  <c r="D12" i="21"/>
  <c r="C12" i="21"/>
  <c r="O11" i="21"/>
  <c r="B11" i="21"/>
  <c r="I11" i="21"/>
  <c r="J11" i="21"/>
  <c r="G11" i="21"/>
  <c r="F11" i="21"/>
  <c r="D11" i="21"/>
  <c r="C11" i="21"/>
  <c r="O10" i="21"/>
  <c r="B10" i="21"/>
  <c r="I10" i="21"/>
  <c r="J10" i="21"/>
  <c r="G10" i="21"/>
  <c r="F10" i="21"/>
  <c r="D10" i="21"/>
  <c r="C10" i="21"/>
  <c r="O7" i="21"/>
  <c r="B7" i="21"/>
  <c r="I7" i="21"/>
  <c r="J7" i="21"/>
  <c r="G7" i="21"/>
  <c r="F7" i="21"/>
  <c r="D7" i="21"/>
  <c r="C7" i="21"/>
  <c r="O6" i="21"/>
  <c r="B6" i="21"/>
  <c r="I6" i="21"/>
  <c r="J6" i="21"/>
  <c r="G6" i="21"/>
  <c r="F6" i="21"/>
  <c r="D6" i="21"/>
  <c r="C6" i="21"/>
  <c r="O4" i="21"/>
  <c r="B4" i="21"/>
  <c r="I4" i="21"/>
  <c r="J4" i="21"/>
  <c r="G4" i="21"/>
  <c r="F4" i="21"/>
  <c r="D4" i="21"/>
  <c r="C4" i="21"/>
  <c r="O3" i="21"/>
  <c r="B3" i="21"/>
  <c r="I3" i="21"/>
  <c r="J3" i="21"/>
  <c r="G3" i="21"/>
  <c r="F3" i="21"/>
  <c r="D3" i="21"/>
  <c r="C3" i="21"/>
  <c r="J64" i="11"/>
  <c r="O32" i="9"/>
  <c r="N32" i="9"/>
  <c r="M32" i="9"/>
  <c r="L32" i="9"/>
  <c r="K32" i="9"/>
  <c r="J32" i="9"/>
  <c r="I32" i="9"/>
  <c r="H32" i="9"/>
  <c r="G32" i="9"/>
  <c r="E32" i="9"/>
  <c r="D32" i="9"/>
  <c r="A32" i="9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O5" i="21"/>
  <c r="O9" i="21"/>
  <c r="O13" i="21"/>
  <c r="O14" i="21"/>
  <c r="O15" i="21"/>
  <c r="O16" i="21"/>
  <c r="O2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9" i="21"/>
  <c r="I9" i="21"/>
  <c r="J9" i="21"/>
  <c r="G9" i="21"/>
  <c r="F9" i="21"/>
  <c r="D9" i="21"/>
  <c r="C9" i="21"/>
  <c r="B5" i="21"/>
  <c r="I5" i="21"/>
  <c r="J5" i="21"/>
  <c r="G5" i="21"/>
  <c r="F5" i="21"/>
  <c r="D5" i="21"/>
  <c r="C5" i="21"/>
  <c r="A3" i="18"/>
  <c r="A4" i="18"/>
  <c r="A5" i="18"/>
  <c r="A6" i="18"/>
  <c r="A7" i="18"/>
  <c r="A8" i="18"/>
  <c r="A9" i="18"/>
  <c r="A10" i="18"/>
  <c r="A11" i="18"/>
  <c r="A12" i="18"/>
  <c r="A2" i="18"/>
  <c r="G3" i="9"/>
  <c r="H3" i="9"/>
  <c r="I3" i="9"/>
  <c r="J3" i="9"/>
  <c r="K3" i="9"/>
  <c r="L3" i="9"/>
  <c r="M3" i="9"/>
  <c r="N3" i="9"/>
  <c r="G4" i="9"/>
  <c r="H4" i="9"/>
  <c r="I4" i="9"/>
  <c r="J4" i="9"/>
  <c r="K4" i="9"/>
  <c r="L4" i="9"/>
  <c r="M4" i="9"/>
  <c r="N4" i="9"/>
  <c r="G5" i="9"/>
  <c r="H5" i="9"/>
  <c r="I5" i="9"/>
  <c r="J5" i="9"/>
  <c r="K5" i="9"/>
  <c r="L5" i="9"/>
  <c r="M5" i="9"/>
  <c r="N5" i="9"/>
  <c r="G6" i="9"/>
  <c r="H6" i="9"/>
  <c r="I6" i="9"/>
  <c r="J6" i="9"/>
  <c r="K6" i="9"/>
  <c r="L6" i="9"/>
  <c r="M6" i="9"/>
  <c r="N6" i="9"/>
  <c r="G7" i="9"/>
  <c r="H7" i="9"/>
  <c r="I7" i="9"/>
  <c r="J7" i="9"/>
  <c r="K7" i="9"/>
  <c r="L7" i="9"/>
  <c r="M7" i="9"/>
  <c r="N7" i="9"/>
  <c r="G8" i="9"/>
  <c r="H8" i="9"/>
  <c r="I8" i="9"/>
  <c r="J8" i="9"/>
  <c r="K8" i="9"/>
  <c r="L8" i="9"/>
  <c r="M8" i="9"/>
  <c r="N8" i="9"/>
  <c r="G9" i="9"/>
  <c r="H9" i="9"/>
  <c r="I9" i="9"/>
  <c r="J9" i="9"/>
  <c r="K9" i="9"/>
  <c r="L9" i="9"/>
  <c r="M9" i="9"/>
  <c r="N9" i="9"/>
  <c r="G10" i="9"/>
  <c r="H10" i="9"/>
  <c r="I10" i="9"/>
  <c r="J10" i="9"/>
  <c r="K10" i="9"/>
  <c r="L10" i="9"/>
  <c r="M10" i="9"/>
  <c r="N10" i="9"/>
  <c r="G11" i="9"/>
  <c r="H11" i="9"/>
  <c r="I11" i="9"/>
  <c r="J11" i="9"/>
  <c r="K11" i="9"/>
  <c r="L11" i="9"/>
  <c r="M11" i="9"/>
  <c r="N11" i="9"/>
  <c r="G12" i="9"/>
  <c r="H12" i="9"/>
  <c r="I12" i="9"/>
  <c r="J12" i="9"/>
  <c r="K12" i="9"/>
  <c r="L12" i="9"/>
  <c r="M12" i="9"/>
  <c r="N12" i="9"/>
  <c r="G15" i="9"/>
  <c r="H15" i="9"/>
  <c r="I15" i="9"/>
  <c r="J15" i="9"/>
  <c r="K15" i="9"/>
  <c r="L15" i="9"/>
  <c r="M15" i="9"/>
  <c r="N15" i="9"/>
  <c r="G16" i="9"/>
  <c r="H16" i="9"/>
  <c r="I16" i="9"/>
  <c r="J16" i="9"/>
  <c r="K16" i="9"/>
  <c r="L16" i="9"/>
  <c r="M16" i="9"/>
  <c r="N16" i="9"/>
  <c r="G17" i="9"/>
  <c r="H17" i="9"/>
  <c r="I17" i="9"/>
  <c r="J17" i="9"/>
  <c r="K17" i="9"/>
  <c r="L17" i="9"/>
  <c r="M17" i="9"/>
  <c r="N17" i="9"/>
  <c r="G18" i="9"/>
  <c r="H18" i="9"/>
  <c r="I18" i="9"/>
  <c r="J18" i="9"/>
  <c r="K18" i="9"/>
  <c r="L18" i="9"/>
  <c r="M18" i="9"/>
  <c r="N18" i="9"/>
  <c r="G19" i="9"/>
  <c r="H19" i="9"/>
  <c r="I19" i="9"/>
  <c r="J19" i="9"/>
  <c r="K19" i="9"/>
  <c r="L19" i="9"/>
  <c r="M19" i="9"/>
  <c r="N19" i="9"/>
  <c r="G20" i="9"/>
  <c r="H20" i="9"/>
  <c r="I20" i="9"/>
  <c r="J20" i="9"/>
  <c r="K20" i="9"/>
  <c r="L20" i="9"/>
  <c r="M20" i="9"/>
  <c r="N20" i="9"/>
  <c r="G23" i="9"/>
  <c r="H23" i="9"/>
  <c r="I23" i="9"/>
  <c r="J23" i="9"/>
  <c r="K23" i="9"/>
  <c r="L23" i="9"/>
  <c r="M23" i="9"/>
  <c r="N23" i="9"/>
  <c r="G24" i="9"/>
  <c r="H24" i="9"/>
  <c r="I24" i="9"/>
  <c r="J24" i="9"/>
  <c r="K24" i="9"/>
  <c r="L24" i="9"/>
  <c r="M24" i="9"/>
  <c r="N24" i="9"/>
  <c r="G25" i="9"/>
  <c r="H25" i="9"/>
  <c r="I25" i="9"/>
  <c r="J25" i="9"/>
  <c r="K25" i="9"/>
  <c r="L25" i="9"/>
  <c r="M25" i="9"/>
  <c r="N25" i="9"/>
  <c r="G26" i="9"/>
  <c r="H26" i="9"/>
  <c r="I26" i="9"/>
  <c r="J26" i="9"/>
  <c r="K26" i="9"/>
  <c r="L26" i="9"/>
  <c r="M26" i="9"/>
  <c r="N26" i="9"/>
  <c r="G27" i="9"/>
  <c r="H27" i="9"/>
  <c r="I27" i="9"/>
  <c r="J27" i="9"/>
  <c r="K27" i="9"/>
  <c r="L27" i="9"/>
  <c r="M27" i="9"/>
  <c r="N27" i="9"/>
  <c r="G28" i="9"/>
  <c r="H28" i="9"/>
  <c r="I28" i="9"/>
  <c r="J28" i="9"/>
  <c r="K28" i="9"/>
  <c r="L28" i="9"/>
  <c r="M28" i="9"/>
  <c r="N28" i="9"/>
  <c r="G29" i="9"/>
  <c r="H29" i="9"/>
  <c r="I29" i="9"/>
  <c r="J29" i="9"/>
  <c r="K29" i="9"/>
  <c r="L29" i="9"/>
  <c r="M29" i="9"/>
  <c r="N29" i="9"/>
  <c r="G30" i="9"/>
  <c r="H30" i="9"/>
  <c r="I30" i="9"/>
  <c r="J30" i="9"/>
  <c r="K30" i="9"/>
  <c r="L30" i="9"/>
  <c r="M30" i="9"/>
  <c r="N30" i="9"/>
  <c r="G31" i="9"/>
  <c r="H31" i="9"/>
  <c r="I31" i="9"/>
  <c r="J31" i="9"/>
  <c r="K31" i="9"/>
  <c r="L31" i="9"/>
  <c r="M31" i="9"/>
  <c r="N31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37" i="9"/>
  <c r="H37" i="9"/>
  <c r="I37" i="9"/>
  <c r="J37" i="9"/>
  <c r="K37" i="9"/>
  <c r="L37" i="9"/>
  <c r="M37" i="9"/>
  <c r="N37" i="9"/>
  <c r="G38" i="9"/>
  <c r="H38" i="9"/>
  <c r="I38" i="9"/>
  <c r="J38" i="9"/>
  <c r="K38" i="9"/>
  <c r="L38" i="9"/>
  <c r="M38" i="9"/>
  <c r="N38" i="9"/>
  <c r="G39" i="9"/>
  <c r="H39" i="9"/>
  <c r="I39" i="9"/>
  <c r="J39" i="9"/>
  <c r="K39" i="9"/>
  <c r="L39" i="9"/>
  <c r="M39" i="9"/>
  <c r="N39" i="9"/>
  <c r="G40" i="9"/>
  <c r="H40" i="9"/>
  <c r="I40" i="9"/>
  <c r="J40" i="9"/>
  <c r="K40" i="9"/>
  <c r="L40" i="9"/>
  <c r="M40" i="9"/>
  <c r="N40" i="9"/>
  <c r="G41" i="9"/>
  <c r="H41" i="9"/>
  <c r="I41" i="9"/>
  <c r="J41" i="9"/>
  <c r="K41" i="9"/>
  <c r="L41" i="9"/>
  <c r="M41" i="9"/>
  <c r="N41" i="9"/>
  <c r="G42" i="9"/>
  <c r="H42" i="9"/>
  <c r="I42" i="9"/>
  <c r="J42" i="9"/>
  <c r="K42" i="9"/>
  <c r="L42" i="9"/>
  <c r="M42" i="9"/>
  <c r="N42" i="9"/>
  <c r="G43" i="9"/>
  <c r="H43" i="9"/>
  <c r="I43" i="9"/>
  <c r="J43" i="9"/>
  <c r="K43" i="9"/>
  <c r="L43" i="9"/>
  <c r="M43" i="9"/>
  <c r="N43" i="9"/>
  <c r="G44" i="9"/>
  <c r="H44" i="9"/>
  <c r="I44" i="9"/>
  <c r="J44" i="9"/>
  <c r="K44" i="9"/>
  <c r="L44" i="9"/>
  <c r="M44" i="9"/>
  <c r="N44" i="9"/>
  <c r="G51" i="9"/>
  <c r="H51" i="9"/>
  <c r="I51" i="9"/>
  <c r="J51" i="9"/>
  <c r="K51" i="9"/>
  <c r="L51" i="9"/>
  <c r="M51" i="9"/>
  <c r="N51" i="9"/>
  <c r="G52" i="9"/>
  <c r="H52" i="9"/>
  <c r="I52" i="9"/>
  <c r="J52" i="9"/>
  <c r="K52" i="9"/>
  <c r="L52" i="9"/>
  <c r="M52" i="9"/>
  <c r="N52" i="9"/>
  <c r="G53" i="9"/>
  <c r="H53" i="9"/>
  <c r="I53" i="9"/>
  <c r="J53" i="9"/>
  <c r="K53" i="9"/>
  <c r="L53" i="9"/>
  <c r="M53" i="9"/>
  <c r="N53" i="9"/>
  <c r="G54" i="9"/>
  <c r="H54" i="9"/>
  <c r="I54" i="9"/>
  <c r="J54" i="9"/>
  <c r="K54" i="9"/>
  <c r="L54" i="9"/>
  <c r="M54" i="9"/>
  <c r="N54" i="9"/>
  <c r="G55" i="9"/>
  <c r="H55" i="9"/>
  <c r="I55" i="9"/>
  <c r="J55" i="9"/>
  <c r="K55" i="9"/>
  <c r="L55" i="9"/>
  <c r="M55" i="9"/>
  <c r="N55" i="9"/>
  <c r="G56" i="9"/>
  <c r="H56" i="9"/>
  <c r="I56" i="9"/>
  <c r="J56" i="9"/>
  <c r="K56" i="9"/>
  <c r="L56" i="9"/>
  <c r="M56" i="9"/>
  <c r="N56" i="9"/>
  <c r="G57" i="9"/>
  <c r="H57" i="9"/>
  <c r="I57" i="9"/>
  <c r="J57" i="9"/>
  <c r="K57" i="9"/>
  <c r="L57" i="9"/>
  <c r="M57" i="9"/>
  <c r="N57" i="9"/>
  <c r="G58" i="9"/>
  <c r="H58" i="9"/>
  <c r="I58" i="9"/>
  <c r="J58" i="9"/>
  <c r="K58" i="9"/>
  <c r="L58" i="9"/>
  <c r="M58" i="9"/>
  <c r="N58" i="9"/>
  <c r="G59" i="9"/>
  <c r="H59" i="9"/>
  <c r="I59" i="9"/>
  <c r="J59" i="9"/>
  <c r="K59" i="9"/>
  <c r="L59" i="9"/>
  <c r="M59" i="9"/>
  <c r="N59" i="9"/>
  <c r="G60" i="9"/>
  <c r="H60" i="9"/>
  <c r="I60" i="9"/>
  <c r="J60" i="9"/>
  <c r="K60" i="9"/>
  <c r="L60" i="9"/>
  <c r="M60" i="9"/>
  <c r="N60" i="9"/>
  <c r="G61" i="9"/>
  <c r="H61" i="9"/>
  <c r="I61" i="9"/>
  <c r="J61" i="9"/>
  <c r="K61" i="9"/>
  <c r="L61" i="9"/>
  <c r="M61" i="9"/>
  <c r="N61" i="9"/>
  <c r="G62" i="9"/>
  <c r="H62" i="9"/>
  <c r="I62" i="9"/>
  <c r="J62" i="9"/>
  <c r="K62" i="9"/>
  <c r="L62" i="9"/>
  <c r="M62" i="9"/>
  <c r="N62" i="9"/>
  <c r="G63" i="9"/>
  <c r="H63" i="9"/>
  <c r="I63" i="9"/>
  <c r="J63" i="9"/>
  <c r="K63" i="9"/>
  <c r="L63" i="9"/>
  <c r="M63" i="9"/>
  <c r="N63" i="9"/>
  <c r="G64" i="9"/>
  <c r="H64" i="9"/>
  <c r="I64" i="9"/>
  <c r="J64" i="9"/>
  <c r="K64" i="9"/>
  <c r="L64" i="9"/>
  <c r="M64" i="9"/>
  <c r="N64" i="9"/>
  <c r="G65" i="9"/>
  <c r="H65" i="9"/>
  <c r="I65" i="9"/>
  <c r="J65" i="9"/>
  <c r="K65" i="9"/>
  <c r="L65" i="9"/>
  <c r="M65" i="9"/>
  <c r="N65" i="9"/>
  <c r="G66" i="9"/>
  <c r="H66" i="9"/>
  <c r="I66" i="9"/>
  <c r="J66" i="9"/>
  <c r="K66" i="9"/>
  <c r="L66" i="9"/>
  <c r="M66" i="9"/>
  <c r="N66" i="9"/>
  <c r="G67" i="9"/>
  <c r="H67" i="9"/>
  <c r="I67" i="9"/>
  <c r="J67" i="9"/>
  <c r="K67" i="9"/>
  <c r="L67" i="9"/>
  <c r="M67" i="9"/>
  <c r="N67" i="9"/>
  <c r="G68" i="9"/>
  <c r="H68" i="9"/>
  <c r="I68" i="9"/>
  <c r="J68" i="9"/>
  <c r="K68" i="9"/>
  <c r="L68" i="9"/>
  <c r="M68" i="9"/>
  <c r="N68" i="9"/>
  <c r="G69" i="9"/>
  <c r="H69" i="9"/>
  <c r="I69" i="9"/>
  <c r="J69" i="9"/>
  <c r="K69" i="9"/>
  <c r="L69" i="9"/>
  <c r="M69" i="9"/>
  <c r="N69" i="9"/>
  <c r="G70" i="9"/>
  <c r="H70" i="9"/>
  <c r="I70" i="9"/>
  <c r="J70" i="9"/>
  <c r="K70" i="9"/>
  <c r="L70" i="9"/>
  <c r="M70" i="9"/>
  <c r="N70" i="9"/>
  <c r="G71" i="9"/>
  <c r="H71" i="9"/>
  <c r="I71" i="9"/>
  <c r="J71" i="9"/>
  <c r="K71" i="9"/>
  <c r="L71" i="9"/>
  <c r="M71" i="9"/>
  <c r="N71" i="9"/>
  <c r="G72" i="9"/>
  <c r="H72" i="9"/>
  <c r="I72" i="9"/>
  <c r="J72" i="9"/>
  <c r="K72" i="9"/>
  <c r="L72" i="9"/>
  <c r="M72" i="9"/>
  <c r="N72" i="9"/>
  <c r="G2" i="9"/>
  <c r="H2" i="9"/>
  <c r="I2" i="9"/>
  <c r="J2" i="9"/>
  <c r="K2" i="9"/>
  <c r="L2" i="9"/>
  <c r="M2" i="9"/>
  <c r="N2" i="9"/>
  <c r="J3" i="11"/>
  <c r="J4" i="11"/>
  <c r="J63" i="11"/>
  <c r="J5" i="11"/>
  <c r="J6" i="11"/>
  <c r="J7" i="11"/>
  <c r="J8" i="11"/>
  <c r="J9" i="11"/>
  <c r="J10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O5" i="9"/>
  <c r="E5" i="9"/>
  <c r="D5" i="9"/>
  <c r="A5" i="9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O72" i="9"/>
  <c r="E72" i="9"/>
  <c r="D72" i="9"/>
  <c r="A72" i="9"/>
  <c r="O71" i="9"/>
  <c r="E71" i="9"/>
  <c r="D71" i="9"/>
  <c r="A71" i="9"/>
  <c r="O70" i="9"/>
  <c r="E70" i="9"/>
  <c r="D70" i="9"/>
  <c r="A70" i="9"/>
  <c r="O69" i="9"/>
  <c r="E69" i="9"/>
  <c r="D69" i="9"/>
  <c r="A69" i="9"/>
  <c r="O68" i="9"/>
  <c r="E68" i="9"/>
  <c r="D68" i="9"/>
  <c r="A68" i="9"/>
  <c r="O67" i="9"/>
  <c r="E67" i="9"/>
  <c r="D67" i="9"/>
  <c r="A67" i="9"/>
  <c r="O66" i="9"/>
  <c r="E66" i="9"/>
  <c r="D66" i="9"/>
  <c r="A66" i="9"/>
  <c r="O65" i="9"/>
  <c r="E65" i="9"/>
  <c r="D65" i="9"/>
  <c r="A65" i="9"/>
  <c r="O64" i="9"/>
  <c r="E64" i="9"/>
  <c r="D64" i="9"/>
  <c r="A64" i="9"/>
  <c r="O63" i="9"/>
  <c r="E63" i="9"/>
  <c r="D63" i="9"/>
  <c r="A63" i="9"/>
  <c r="O62" i="9"/>
  <c r="E62" i="9"/>
  <c r="D62" i="9"/>
  <c r="A62" i="9"/>
  <c r="O61" i="9"/>
  <c r="E61" i="9"/>
  <c r="D61" i="9"/>
  <c r="A61" i="9"/>
  <c r="O60" i="9"/>
  <c r="E60" i="9"/>
  <c r="D60" i="9"/>
  <c r="A60" i="9"/>
  <c r="O59" i="9"/>
  <c r="E59" i="9"/>
  <c r="D59" i="9"/>
  <c r="A59" i="9"/>
  <c r="O58" i="9"/>
  <c r="E58" i="9"/>
  <c r="D58" i="9"/>
  <c r="A58" i="9"/>
  <c r="O57" i="9"/>
  <c r="E57" i="9"/>
  <c r="D57" i="9"/>
  <c r="A57" i="9"/>
  <c r="O56" i="9"/>
  <c r="E56" i="9"/>
  <c r="D56" i="9"/>
  <c r="A56" i="9"/>
  <c r="O55" i="9"/>
  <c r="E55" i="9"/>
  <c r="D55" i="9"/>
  <c r="A55" i="9"/>
  <c r="O54" i="9"/>
  <c r="E54" i="9"/>
  <c r="D54" i="9"/>
  <c r="A54" i="9"/>
  <c r="O53" i="9"/>
  <c r="E53" i="9"/>
  <c r="D53" i="9"/>
  <c r="A53" i="9"/>
  <c r="O52" i="9"/>
  <c r="E52" i="9"/>
  <c r="D52" i="9"/>
  <c r="A52" i="9"/>
  <c r="O51" i="9"/>
  <c r="E51" i="9"/>
  <c r="D51" i="9"/>
  <c r="A51" i="9"/>
  <c r="O44" i="9"/>
  <c r="E44" i="9"/>
  <c r="D44" i="9"/>
  <c r="A44" i="9"/>
  <c r="O43" i="9"/>
  <c r="E43" i="9"/>
  <c r="D43" i="9"/>
  <c r="A43" i="9"/>
  <c r="O42" i="9"/>
  <c r="E42" i="9"/>
  <c r="D42" i="9"/>
  <c r="A42" i="9"/>
  <c r="O41" i="9"/>
  <c r="E41" i="9"/>
  <c r="D41" i="9"/>
  <c r="A41" i="9"/>
  <c r="O40" i="9"/>
  <c r="E40" i="9"/>
  <c r="D40" i="9"/>
  <c r="A40" i="9"/>
  <c r="O39" i="9"/>
  <c r="E39" i="9"/>
  <c r="D39" i="9"/>
  <c r="A39" i="9"/>
  <c r="O38" i="9"/>
  <c r="E38" i="9"/>
  <c r="D38" i="9"/>
  <c r="A38" i="9"/>
  <c r="O37" i="9"/>
  <c r="E37" i="9"/>
  <c r="D37" i="9"/>
  <c r="A37" i="9"/>
  <c r="O36" i="9"/>
  <c r="E36" i="9"/>
  <c r="D36" i="9"/>
  <c r="A36" i="9"/>
  <c r="O35" i="9"/>
  <c r="E35" i="9"/>
  <c r="D35" i="9"/>
  <c r="A35" i="9"/>
  <c r="O34" i="9"/>
  <c r="E34" i="9"/>
  <c r="D34" i="9"/>
  <c r="A34" i="9"/>
  <c r="O33" i="9"/>
  <c r="E33" i="9"/>
  <c r="D33" i="9"/>
  <c r="A33" i="9"/>
  <c r="O31" i="9"/>
  <c r="E31" i="9"/>
  <c r="D31" i="9"/>
  <c r="A31" i="9"/>
  <c r="O30" i="9"/>
  <c r="E30" i="9"/>
  <c r="D30" i="9"/>
  <c r="A30" i="9"/>
  <c r="O29" i="9"/>
  <c r="E29" i="9"/>
  <c r="D29" i="9"/>
  <c r="A29" i="9"/>
  <c r="O28" i="9"/>
  <c r="E28" i="9"/>
  <c r="D28" i="9"/>
  <c r="A28" i="9"/>
  <c r="O27" i="9"/>
  <c r="E27" i="9"/>
  <c r="D27" i="9"/>
  <c r="A27" i="9"/>
  <c r="O26" i="9"/>
  <c r="E26" i="9"/>
  <c r="D26" i="9"/>
  <c r="A26" i="9"/>
  <c r="O25" i="9"/>
  <c r="E25" i="9"/>
  <c r="D25" i="9"/>
  <c r="A25" i="9"/>
  <c r="O24" i="9"/>
  <c r="E24" i="9"/>
  <c r="D24" i="9"/>
  <c r="A24" i="9"/>
  <c r="O23" i="9"/>
  <c r="E23" i="9"/>
  <c r="D23" i="9"/>
  <c r="A23" i="9"/>
  <c r="O20" i="9"/>
  <c r="E20" i="9"/>
  <c r="D20" i="9"/>
  <c r="A20" i="9"/>
  <c r="O19" i="9"/>
  <c r="E19" i="9"/>
  <c r="D19" i="9"/>
  <c r="A19" i="9"/>
  <c r="O18" i="9"/>
  <c r="E18" i="9"/>
  <c r="D18" i="9"/>
  <c r="A18" i="9"/>
  <c r="O17" i="9"/>
  <c r="E17" i="9"/>
  <c r="D17" i="9"/>
  <c r="A17" i="9"/>
  <c r="O16" i="9"/>
  <c r="E16" i="9"/>
  <c r="D16" i="9"/>
  <c r="A16" i="9"/>
  <c r="O15" i="9"/>
  <c r="E15" i="9"/>
  <c r="D15" i="9"/>
  <c r="A15" i="9"/>
  <c r="O12" i="9"/>
  <c r="E12" i="9"/>
  <c r="D12" i="9"/>
  <c r="A12" i="9"/>
  <c r="O11" i="9"/>
  <c r="E11" i="9"/>
  <c r="D11" i="9"/>
  <c r="A11" i="9"/>
  <c r="O10" i="9"/>
  <c r="E10" i="9"/>
  <c r="D10" i="9"/>
  <c r="A10" i="9"/>
  <c r="O9" i="9"/>
  <c r="E9" i="9"/>
  <c r="D9" i="9"/>
  <c r="A9" i="9"/>
  <c r="O8" i="9"/>
  <c r="E8" i="9"/>
  <c r="D8" i="9"/>
  <c r="A8" i="9"/>
  <c r="O7" i="9"/>
  <c r="E7" i="9"/>
  <c r="D7" i="9"/>
  <c r="A7" i="9"/>
  <c r="O6" i="9"/>
  <c r="E6" i="9"/>
  <c r="D6" i="9"/>
  <c r="A6" i="9"/>
  <c r="O4" i="9"/>
  <c r="E4" i="9"/>
  <c r="D4" i="9"/>
  <c r="A4" i="9"/>
  <c r="O3" i="9"/>
  <c r="E3" i="9"/>
  <c r="D3" i="9"/>
  <c r="A3" i="9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3" i="7"/>
  <c r="U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J3" i="7"/>
  <c r="I3" i="7"/>
  <c r="D3" i="7"/>
  <c r="F3" i="7"/>
  <c r="E3" i="7"/>
  <c r="A3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AD8" i="1"/>
  <c r="AF8" i="1"/>
  <c r="AI8" i="1"/>
  <c r="AG8" i="1"/>
  <c r="AE8" i="1"/>
  <c r="E2" i="9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H5" i="2"/>
  <c r="E5" i="2"/>
  <c r="D5" i="2"/>
  <c r="H2" i="1"/>
  <c r="B5" i="2"/>
  <c r="H4" i="2"/>
  <c r="E4" i="2"/>
  <c r="D4" i="2"/>
  <c r="B4" i="2"/>
  <c r="H3" i="2"/>
  <c r="E3" i="2"/>
  <c r="D3" i="2"/>
  <c r="B3" i="2"/>
  <c r="W6" i="7"/>
  <c r="U6" i="7"/>
  <c r="V2" i="1"/>
  <c r="T2" i="1"/>
  <c r="C13" i="16"/>
  <c r="E13" i="16"/>
  <c r="N2" i="22"/>
  <c r="G2" i="22"/>
  <c r="F2" i="22"/>
  <c r="D2" i="22"/>
  <c r="C2" i="22"/>
  <c r="A2" i="22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2" i="18"/>
  <c r="D2" i="18"/>
  <c r="J2" i="11"/>
  <c r="O2" i="9"/>
  <c r="D2" i="9"/>
  <c r="C4" i="16"/>
  <c r="C5" i="16"/>
  <c r="C6" i="16"/>
  <c r="C7" i="16"/>
  <c r="C8" i="16"/>
  <c r="C9" i="16"/>
  <c r="C3" i="16"/>
  <c r="E9" i="16"/>
  <c r="R6" i="7"/>
  <c r="Q6" i="7"/>
  <c r="P6" i="7"/>
  <c r="O6" i="7"/>
  <c r="N6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6" i="7"/>
  <c r="J6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6" i="7"/>
  <c r="I6" i="7"/>
  <c r="D6" i="7"/>
  <c r="F6" i="7"/>
  <c r="E6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<sst xmlns="http://schemas.openxmlformats.org/spreadsheetml/2006/main" count="1098" uniqueCount="479">
  <si>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</si>
  <si>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</si>
  <si>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</si>
  <si>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</si>
  <si>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</si>
  <si>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</si>
  <si>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</si>
  <si>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</si>
  <si>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</si>
  <si>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</si>
  <si>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</si>
  <si>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</si>
  <si>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</si>
  <si>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</si>
  <si>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</si>
  <si>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</si>
  <si>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</si>
  <si>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</si>
  <si>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</si>
  <si>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</si>
  <si>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</si>
  <si>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</si>
  <si>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</si>
  <si>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</si>
  <si>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</si>
  <si>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</si>
  <si>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</si>
  <si>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</si>
  <si>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</si>
  <si>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</si>
  <si>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</si>
  <si>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</si>
  <si>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</si>
  <si>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</si>
  <si>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</si>
  <si>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</si>
  <si>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</si>
  <si>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</si>
  <si>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</si>
  <si>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</si>
  <si>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</si>
  <si>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</si>
  <si>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</si>
  <si>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</si>
  <si>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</si>
  <si>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</si>
  <si>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</si>
  <si>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</si>
  <si>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</si>
  <si>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</si>
  <si>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</si>
  <si>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</si>
  <si>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</si>
  <si>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</si>
  <si>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</si>
  <si>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</si>
  <si>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</si>
  <si>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</si>
  <si>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</si>
  <si>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</si>
  <si>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</si>
  <si>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</si>
  <si>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</si>
  <si>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</si>
  <si>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</si>
  <si>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</si>
  <si>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</si>
  <si>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</si>
  <si>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</si>
  <si>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</si>
  <si>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</si>
  <si>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</si>
  <si>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</si>
  <si>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</si>
  <si>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</si>
  <si>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</si>
  <si>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</si>
  <si>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</si>
  <si>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</si>
  <si>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</si>
  <si>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</si>
  <si>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</si>
  <si>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</si>
  <si>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</si>
  <si>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</si>
  <si>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</si>
  <si>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</si>
  <si>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</si>
  <si>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</si>
  <si>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</si>
  <si>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</si>
  <si>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</si>
  <si>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</si>
  <si>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</si>
  <si>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</si>
  <si>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</si>
  <si>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</si>
  <si>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</si>
  <si>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</si>
  <si>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</si>
  <si>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</si>
  <si>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</si>
  <si>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</si>
  <si>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</si>
  <si>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</si>
  <si>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</si>
  <si>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</si>
  <si>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</si>
  <si>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</si>
  <si>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</si>
  <si>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</si>
  <si>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</si>
  <si>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</si>
  <si>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</si>
  <si>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</si>
  <si>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</si>
  <si>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</si>
  <si>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</si>
  <si>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</si>
  <si>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</si>
  <si>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</si>
  <si>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</si>
  <si>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</si>
  <si>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</si>
  <si>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</si>
  <si>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</si>
  <si>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</si>
  <si>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</si>
  <si>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</si>
  <si>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</si>
  <si>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</si>
  <si>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</si>
  <si>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</si>
  <si>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</si>
  <si>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</si>
  <si>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</si>
  <si>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</si>
  <si>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</si>
  <si>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</si>
  <si>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</si>
  <si>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</si>
  <si>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</si>
  <si>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</si>
  <si>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</si>
  <si>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</si>
  <si>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</si>
  <si>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</si>
  <si>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</si>
  <si>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</si>
  <si>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</si>
  <si>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</si>
  <si>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</si>
  <si>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</si>
  <si>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</si>
  <si>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</si>
  <si>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</si>
  <si>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</si>
  <si>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</si>
  <si>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</si>
  <si>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</si>
  <si>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</si>
  <si>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</si>
  <si>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</si>
  <si>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</si>
  <si>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</si>
  <si>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</si>
  <si>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</si>
  <si>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</si>
  <si>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</si>
  <si>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</si>
  <si>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</si>
  <si>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</si>
  <si>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</si>
  <si>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</si>
  <si>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</si>
  <si>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</si>
  <si>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</si>
  <si>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</si>
  <si>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</si>
  <si>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</si>
  <si>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</si>
  <si>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</si>
  <si>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</si>
  <si>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</si>
  <si>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</si>
  <si>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</si>
  <si>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</si>
  <si>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</si>
  <si>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</si>
  <si>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</si>
  <si>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</si>
  <si>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</si>
  <si>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</si>
  <si>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</si>
  <si>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</si>
  <si>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</si>
  <si>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</si>
  <si>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</si>
  <si>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</si>
  <si>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</si>
  <si>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</si>
  <si>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</si>
  <si>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</si>
  <si>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</si>
  <si>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</si>
  <si>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</si>
  <si>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</si>
  <si>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</si>
  <si>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</si>
  <si>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</si>
  <si>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</si>
  <si>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</si>
  <si>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</si>
  <si>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</si>
  <si>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</si>
  <si>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</si>
  <si>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</si>
  <si>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</si>
  <si>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</si>
  <si>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</si>
  <si>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</si>
  <si>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</si>
  <si>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</si>
  <si>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</si>
  <si>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</si>
  <si>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</si>
  <si>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</si>
  <si>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</si>
  <si>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</si>
  <si>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</si>
  <si>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</si>
  <si>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</si>
  <si>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</si>
  <si>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</si>
  <si>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</si>
  <si>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</si>
  <si>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</si>
  <si>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</si>
  <si>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</si>
  <si>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</si>
  <si>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</si>
  <si>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</si>
  <si>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</si>
  <si>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</si>
  <si>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</si>
  <si>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</si>
  <si>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</si>
  <si>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</si>
  <si>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</si>
  <si>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</si>
  <si>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</si>
  <si>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</si>
  <si>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</si>
  <si>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unit</t>
  </si>
  <si>
    <t>赤パネルを吸収して攻撃</t>
    <rPh sb="0" eb="1">
      <t>アカ</t>
    </rPh>
    <rPh sb="5" eb="7">
      <t>キュウシュウ</t>
    </rPh>
    <rPh sb="9" eb="11">
      <t>コウゲキ</t>
    </rPh>
    <phoneticPr fontId="5"/>
  </si>
  <si>
    <t>自爆攻撃</t>
    <rPh sb="0" eb="2">
      <t>ジバク</t>
    </rPh>
    <rPh sb="2" eb="4">
      <t>コウゲキ</t>
    </rPh>
    <phoneticPr fontId="5"/>
  </si>
  <si>
    <t>全てのプラス効果を解除+クリティカル！</t>
    <rPh sb="0" eb="1">
      <t>スベテノ</t>
    </rPh>
    <rPh sb="6" eb="8">
      <t>コウカ</t>
    </rPh>
    <rPh sb="9" eb="11">
      <t>カイジョ</t>
    </rPh>
    <phoneticPr fontId="5"/>
  </si>
  <si>
    <t>自身の攻撃力UP+
5ターンCパネル生成特大短縮</t>
    <rPh sb="0" eb="2">
      <t>ジシンノ</t>
    </rPh>
    <rPh sb="3" eb="6">
      <t>コウゲキリョク</t>
    </rPh>
    <rPh sb="18" eb="20">
      <t>セイセイ</t>
    </rPh>
    <rPh sb="20" eb="22">
      <t>トクダイ</t>
    </rPh>
    <rPh sb="22" eb="24">
      <t>タンシュク</t>
    </rPh>
    <phoneticPr fontId="5"/>
  </si>
  <si>
    <t>Cパネルを吸収して全体攻撃</t>
    <rPh sb="5" eb="7">
      <t>キュウシュウ</t>
    </rPh>
    <rPh sb="9" eb="11">
      <t>ゼンタイ</t>
    </rPh>
    <rPh sb="11" eb="13">
      <t>コウゲキ</t>
    </rPh>
    <phoneticPr fontId="5"/>
  </si>
  <si>
    <t>単体固定ダメージ</t>
    <rPh sb="0" eb="2">
      <t>タンタイ</t>
    </rPh>
    <rPh sb="2" eb="4">
      <t>コテイ</t>
    </rPh>
    <phoneticPr fontId="5"/>
  </si>
  <si>
    <t>だんだん強くなる固定ダメージ</t>
    <rPh sb="4" eb="5">
      <t>ツヨクナル</t>
    </rPh>
    <rPh sb="8" eb="10">
      <t>コテイ</t>
    </rPh>
    <phoneticPr fontId="5"/>
  </si>
  <si>
    <t>だんだん強くなる固定ダメージ+
1ターン味方全体の回復力50%DOWN</t>
    <rPh sb="4" eb="5">
      <t>ツヨクナル</t>
    </rPh>
    <rPh sb="8" eb="10">
      <t>コテイ</t>
    </rPh>
    <rPh sb="20" eb="24">
      <t>ミカタゼンタイ</t>
    </rPh>
    <rPh sb="25" eb="27">
      <t>カイフク</t>
    </rPh>
    <rPh sb="27" eb="28">
      <t>リョク</t>
    </rPh>
    <phoneticPr fontId="5"/>
  </si>
  <si>
    <t>赤属性のユニットに大ダメージ</t>
    <rPh sb="0" eb="3">
      <t>アカゾクセイ</t>
    </rPh>
    <rPh sb="9" eb="10">
      <t>ダイダメージ</t>
    </rPh>
    <phoneticPr fontId="5"/>
  </si>
  <si>
    <t>2ターン全属性カウンター</t>
    <rPh sb="4" eb="7">
      <t>ゼンゾクセイ</t>
    </rPh>
    <phoneticPr fontId="5"/>
  </si>
  <si>
    <t>強力な全体攻撃</t>
    <rPh sb="0" eb="2">
      <t>キョウリョクナ</t>
    </rPh>
    <rPh sb="3" eb="5">
      <t>ゼンタイ</t>
    </rPh>
    <rPh sb="5" eb="7">
      <t>コウゲキ</t>
    </rPh>
    <phoneticPr fontId="5"/>
  </si>
  <si>
    <t>先制攻撃を仕掛けてきた！</t>
    <rPh sb="0" eb="2">
      <t>センセイ</t>
    </rPh>
    <rPh sb="2" eb="4">
      <t>コウゲキヲ</t>
    </rPh>
    <rPh sb="5" eb="7">
      <t>シカケテキタ</t>
    </rPh>
    <phoneticPr fontId="5"/>
  </si>
  <si>
    <t>9回連続攻撃</t>
    <rPh sb="1" eb="2">
      <t>カイ</t>
    </rPh>
    <rPh sb="2" eb="4">
      <t>レンゾク</t>
    </rPh>
    <rPh sb="4" eb="6">
      <t>コウゲキ</t>
    </rPh>
    <phoneticPr fontId="5"/>
  </si>
  <si>
    <t>全体回復</t>
    <rPh sb="0" eb="2">
      <t>ゼンタイ</t>
    </rPh>
    <rPh sb="2" eb="4">
      <t>カイフク</t>
    </rPh>
    <phoneticPr fontId="5"/>
  </si>
  <si>
    <t>ウィルス状態のユニットに大ダメージの全体攻撃</t>
    <rPh sb="4" eb="6">
      <t>ジョウタイ</t>
    </rPh>
    <rPh sb="12" eb="13">
      <t>ダイダメージ</t>
    </rPh>
    <rPh sb="18" eb="20">
      <t>ゼンタイ</t>
    </rPh>
    <rPh sb="20" eb="22">
      <t>コウゲキ</t>
    </rPh>
    <phoneticPr fontId="5"/>
  </si>
  <si>
    <t>8ターン強力なウィルス+
3ターン味方全体の回復力100%DOWN</t>
    <rPh sb="4" eb="6">
      <t>キョウリョクナ</t>
    </rPh>
    <rPh sb="17" eb="21">
      <t>ミカタゼンタイ</t>
    </rPh>
    <rPh sb="22" eb="25">
      <t>カイフクリョク</t>
    </rPh>
    <phoneticPr fontId="5"/>
  </si>
  <si>
    <t>12回連続攻撃</t>
    <rPh sb="2" eb="3">
      <t>カイ</t>
    </rPh>
    <rPh sb="3" eb="5">
      <t>レンゾク</t>
    </rPh>
    <rPh sb="5" eb="7">
      <t>コウゲキ</t>
    </rPh>
    <phoneticPr fontId="5"/>
  </si>
  <si>
    <t>18回連続攻撃</t>
    <rPh sb="2" eb="3">
      <t>カイ</t>
    </rPh>
    <rPh sb="3" eb="5">
      <t>レンゾク</t>
    </rPh>
    <rPh sb="5" eb="7">
      <t>コウゲキ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</si>
  <si>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</si>
  <si>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</si>
  <si>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</si>
  <si>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</si>
  <si>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</si>
  <si>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old</t>
  </si>
  <si>
    <t>effect_param</t>
    <phoneticPr fontId="5"/>
  </si>
  <si>
    <t>[effect:nothing]</t>
    <phoneticPr fontId="5"/>
  </si>
  <si>
    <t>残りHPの99%ダメージ！+
2ゲージ目に移行する</t>
    <rPh sb="0" eb="1">
      <t>ノコリ</t>
    </rPh>
    <rPh sb="21" eb="23">
      <t>イコウ</t>
    </rPh>
    <phoneticPr fontId="5"/>
  </si>
  <si>
    <t>complete</t>
  </si>
  <si>
    <t>文字数カウント</t>
    <rPh sb="0" eb="3">
      <t>モジスウ</t>
    </rPh>
    <phoneticPr fontId="5"/>
  </si>
  <si>
    <t>full_member</t>
    <phoneticPr fontId="5"/>
  </si>
  <si>
    <t>低確率で先頭ユニットのCパネルをドロップ</t>
    <rPh sb="0" eb="1">
      <t>ヒクイ</t>
    </rPh>
    <phoneticPr fontId="5"/>
  </si>
  <si>
    <t xml:space="preserve">[effect:heal, target:enemy_all, val:0.1, animation:enemy_heal]    </t>
    <phoneticPr fontId="5"/>
  </si>
  <si>
    <t>[effect:fix_speed, target:enemy_red, turn:2],[effect:fix_speed, target:enemy_blue, turn:1],[effect:fix_speed, target:enemy_yellow, turn:3]</t>
    <phoneticPr fontId="5"/>
  </si>
  <si>
    <t xml:space="preserve">[effect:remove_enhancement, target:unit_all, target_effect:all, target_type:buff, animation:frozen_wave],[effect:critical, val:1.2] </t>
    <phoneticPr fontId="5"/>
  </si>
  <si>
    <t>[effect:kamikaze, val:0.4]</t>
    <phoneticPr fontId="5"/>
  </si>
  <si>
    <t>次のターン即死攻撃発動</t>
    <rPh sb="0" eb="1">
      <t>ツギノ</t>
    </rPh>
    <rPh sb="5" eb="9">
      <t>ソクシコウゲキ</t>
    </rPh>
    <rPh sb="9" eb="11">
      <t>ハツドウ</t>
    </rPh>
    <phoneticPr fontId="5"/>
  </si>
  <si>
    <t>残りHPの100%ダメージ！</t>
    <rPh sb="0" eb="1">
      <t>ノコリ</t>
    </rPh>
    <phoneticPr fontId="5"/>
  </si>
  <si>
    <t>HP50%で全体復活+敵全体の攻撃頻度UP</t>
    <rPh sb="6" eb="8">
      <t>テキゼンタイ</t>
    </rPh>
    <rPh sb="8" eb="10">
      <t>フッカツ</t>
    </rPh>
    <rPh sb="11" eb="14">
      <t>テキゼンタイ</t>
    </rPh>
    <rPh sb="15" eb="19">
      <t>コウゲキヒンド</t>
    </rPh>
    <phoneticPr fontId="5"/>
  </si>
  <si>
    <t>HP50%で全体復活+敵全体の攻撃力UP</t>
    <rPh sb="6" eb="8">
      <t>テキゼンタイ</t>
    </rPh>
    <rPh sb="8" eb="10">
      <t>フッカツ</t>
    </rPh>
    <rPh sb="11" eb="14">
      <t>テキゼンタイ</t>
    </rPh>
    <rPh sb="15" eb="18">
      <t>コウゲキリョク</t>
    </rPh>
    <phoneticPr fontId="5"/>
  </si>
  <si>
    <t>[effect:fix_speed, target:myself, turn:1],[effect:spread, val:0.1]</t>
    <phoneticPr fontId="5"/>
  </si>
  <si>
    <t>[effect:enemy_counter, target:myself, invoke_condition:unit_all, counter_target:attacker, turn:2, val:0.5, animation:enemy_counter]</t>
    <phoneticPr fontId="5"/>
  </si>
  <si>
    <t>赤パネルを3個までお邪魔パネルに変換+
クリティカル！</t>
    <rPh sb="0" eb="1">
      <t>アカパネル</t>
    </rPh>
    <rPh sb="6" eb="7">
      <t>コ</t>
    </rPh>
    <rPh sb="16" eb="18">
      <t>ヘンカン</t>
    </rPh>
    <phoneticPr fontId="5"/>
  </si>
  <si>
    <t>赤パネルを赤の時限式ダメージパネルに変換+
クリティカル！</t>
    <rPh sb="0" eb="1">
      <t>アカ</t>
    </rPh>
    <rPh sb="5" eb="6">
      <t>アカノ</t>
    </rPh>
    <rPh sb="7" eb="10">
      <t>ジゲンシキ</t>
    </rPh>
    <rPh sb="18" eb="20">
      <t>ヘンカン</t>
    </rPh>
    <phoneticPr fontId="5"/>
  </si>
  <si>
    <t>仲間との絆の力でエゾは立ち上がった！</t>
    <rPh sb="0" eb="2">
      <t>ナカマトノ</t>
    </rPh>
    <rPh sb="4" eb="5">
      <t>キズナノ</t>
    </rPh>
    <rPh sb="6" eb="7">
      <t>チカラデ</t>
    </rPh>
    <rPh sb="11" eb="12">
      <t>タチアガッタ</t>
    </rPh>
    <phoneticPr fontId="5"/>
  </si>
  <si>
    <t>仲間との絆の力でローレンスは立ち上がった！</t>
    <rPh sb="0" eb="2">
      <t>ナカマトノ</t>
    </rPh>
    <rPh sb="4" eb="5">
      <t>キズナノ</t>
    </rPh>
    <rPh sb="6" eb="7">
      <t>チカラデ</t>
    </rPh>
    <rPh sb="14" eb="15">
      <t>タチアガッタ</t>
    </rPh>
    <phoneticPr fontId="5"/>
  </si>
  <si>
    <t>[effect:enemy_resurrection, target:enemy_all, val:0.5, rate:1, animation:enemy_resurrection],[effect:freq_turn, target:enemy_all, turn:-1, val:1, animation:enemy_freq_turn],[effect:fix_speed, target:enemy_all, turn:1]</t>
    <phoneticPr fontId="5"/>
  </si>
  <si>
    <t>確率で黄の時限式ダメージパネルをドロップ+
全属性ダメージ軽減の軽減率が下がった！</t>
    <rPh sb="0" eb="2">
      <t>カクリツ</t>
    </rPh>
    <rPh sb="3" eb="4">
      <t>キイロ</t>
    </rPh>
    <rPh sb="5" eb="8">
      <t>ジゲンシキ</t>
    </rPh>
    <rPh sb="22" eb="25">
      <t>ゼンゾクセイ</t>
    </rPh>
    <rPh sb="29" eb="31">
      <t>ケイゲn</t>
    </rPh>
    <rPh sb="32" eb="35">
      <t>ケイゲンリツガ</t>
    </rPh>
    <rPh sb="36" eb="37">
      <t>サガッタ</t>
    </rPh>
    <phoneticPr fontId="5"/>
  </si>
  <si>
    <t>黄パネルは全てプロテクトされてドロップ+
全属性ダメージ軽減の軽減率がさらに下がった！</t>
    <rPh sb="0" eb="1">
      <t>キイロ</t>
    </rPh>
    <rPh sb="5" eb="6">
      <t>スベテ</t>
    </rPh>
    <rPh sb="21" eb="24">
      <t>ゼンゾクセイ</t>
    </rPh>
    <rPh sb="28" eb="30">
      <t>ケイゲn</t>
    </rPh>
    <rPh sb="31" eb="34">
      <t>ケイゲンリツガ</t>
    </rPh>
    <rPh sb="38" eb="39">
      <t>サガッタ</t>
    </rPh>
    <phoneticPr fontId="5"/>
  </si>
  <si>
    <t>…………！</t>
    <phoneticPr fontId="5"/>
  </si>
  <si>
    <t>ファイアリング</t>
    <phoneticPr fontId="5"/>
  </si>
  <si>
    <t>ファイアリング</t>
    <phoneticPr fontId="5"/>
  </si>
  <si>
    <t>転生の秘術</t>
    <rPh sb="0" eb="2">
      <t>テンセイノ</t>
    </rPh>
    <rPh sb="3" eb="5">
      <t>ヒジュツ</t>
    </rPh>
    <phoneticPr fontId="5"/>
  </si>
  <si>
    <t>テンメイ</t>
    <phoneticPr fontId="5"/>
  </si>
  <si>
    <t>コンフリクトマインド</t>
    <phoneticPr fontId="5"/>
  </si>
  <si>
    <t>毒撒き</t>
    <rPh sb="0" eb="1">
      <t>ドク</t>
    </rPh>
    <rPh sb="1" eb="2">
      <t>マキ</t>
    </rPh>
    <phoneticPr fontId="5"/>
  </si>
  <si>
    <t>猛毒撒き</t>
    <rPh sb="0" eb="2">
      <t>モウドク</t>
    </rPh>
    <rPh sb="2" eb="3">
      <t>マキ</t>
    </rPh>
    <phoneticPr fontId="5"/>
  </si>
  <si>
    <t>何もかも使い方次第だ…</t>
    <rPh sb="0" eb="1">
      <t>ナニモカモ</t>
    </rPh>
    <rPh sb="4" eb="5">
      <t>ツカイカタ</t>
    </rPh>
    <rPh sb="7" eb="9">
      <t>シダイ</t>
    </rPh>
    <phoneticPr fontId="5"/>
  </si>
  <si>
    <t>間違ってるのはお前だろ…？</t>
    <rPh sb="0" eb="2">
      <t>マチガッテ</t>
    </rPh>
    <phoneticPr fontId="5"/>
  </si>
  <si>
    <t>今にわかるぜ…
力を持つのがどういうことか</t>
    <rPh sb="0" eb="1">
      <t>イマニ</t>
    </rPh>
    <rPh sb="8" eb="9">
      <t>チカラヲ</t>
    </rPh>
    <rPh sb="10" eb="11">
      <t>モツ</t>
    </rPh>
    <phoneticPr fontId="5"/>
  </si>
  <si>
    <t>生きるため…お前を犠牲にする</t>
    <rPh sb="0" eb="1">
      <t>イキル</t>
    </rPh>
    <rPh sb="9" eb="11">
      <t>ギセイニ</t>
    </rPh>
    <phoneticPr fontId="5"/>
  </si>
  <si>
    <t>まだまだ序の口だろう</t>
    <rPh sb="4" eb="5">
      <t>ジョノクチ</t>
    </rPh>
    <phoneticPr fontId="5"/>
  </si>
  <si>
    <t>これならどうだ？</t>
    <phoneticPr fontId="5"/>
  </si>
  <si>
    <t>いいぜ。サイコーだよ…</t>
    <phoneticPr fontId="5"/>
  </si>
  <si>
    <t>気に入ったぜ…もっと見せてくれよ…</t>
    <rPh sb="0" eb="1">
      <t>キニイッタ</t>
    </rPh>
    <rPh sb="10" eb="11">
      <t>ミセテクレヨ</t>
    </rPh>
    <phoneticPr fontId="5"/>
  </si>
  <si>
    <t>だが…足りないようだな</t>
    <rPh sb="3" eb="4">
      <t>タリナイ</t>
    </rPh>
    <phoneticPr fontId="5"/>
  </si>
  <si>
    <t>生への執着は十分。
足りないのは勝利への…渇望だ…</t>
    <rPh sb="0" eb="1">
      <t>セイヘノ</t>
    </rPh>
    <rPh sb="3" eb="5">
      <t>シュウチャクハ</t>
    </rPh>
    <rPh sb="6" eb="8">
      <t>ジュウブン</t>
    </rPh>
    <rPh sb="10" eb="11">
      <t>タリナイノハ</t>
    </rPh>
    <rPh sb="16" eb="18">
      <t>ショウリヘノ</t>
    </rPh>
    <rPh sb="21" eb="23">
      <t>カツボウダ</t>
    </rPh>
    <phoneticPr fontId="5"/>
  </si>
  <si>
    <t>何者かの強い「干渉」を受けているようだ</t>
    <rPh sb="0" eb="2">
      <t>ナニモノ</t>
    </rPh>
    <rPh sb="4" eb="5">
      <t>ツヨイ</t>
    </rPh>
    <rPh sb="7" eb="9">
      <t>カンショウ</t>
    </rPh>
    <rPh sb="11" eb="12">
      <t>ウケテイル</t>
    </rPh>
    <phoneticPr fontId="5"/>
  </si>
  <si>
    <t>忍ぶだけでなく、噛み付くか…！</t>
    <rPh sb="0" eb="1">
      <t>シノブダケ</t>
    </rPh>
    <rPh sb="8" eb="9">
      <t>カミツイテ</t>
    </rPh>
    <phoneticPr fontId="5"/>
  </si>
  <si>
    <t>オレにはあるぜ。その覚悟が</t>
    <rPh sb="10" eb="12">
      <t>カクゴ</t>
    </rPh>
    <phoneticPr fontId="5"/>
  </si>
  <si>
    <t>この力…みすみす手放すわけにはいかねぇ…</t>
    <rPh sb="2" eb="3">
      <t>チカラ</t>
    </rPh>
    <rPh sb="8" eb="10">
      <t>テバナス</t>
    </rPh>
    <phoneticPr fontId="5"/>
  </si>
  <si>
    <t>ふむ…お前に興味が湧いた</t>
    <rPh sb="6" eb="8">
      <t>キョウミガ</t>
    </rPh>
    <rPh sb="9" eb="10">
      <t>ワイタ</t>
    </rPh>
    <phoneticPr fontId="5"/>
  </si>
  <si>
    <t>生への執着を見せてみろ…</t>
    <rPh sb="0" eb="1">
      <t>セイヘノ</t>
    </rPh>
    <rPh sb="3" eb="5">
      <t>シュウチャク</t>
    </rPh>
    <rPh sb="6" eb="7">
      <t>ミセテミロ</t>
    </rPh>
    <phoneticPr fontId="5"/>
  </si>
  <si>
    <t>ハハッ…イカれてんなお前…！</t>
    <phoneticPr fontId="5"/>
  </si>
  <si>
    <t>…その覚悟に免じて、ここは退いてやるよ
【低確率で先頭ユニットのSCパネルをドロップ】</t>
    <rPh sb="3" eb="5">
      <t>カクゴニメンジテ</t>
    </rPh>
    <rPh sb="13" eb="14">
      <t>ヒイテ</t>
    </rPh>
    <rPh sb="21" eb="24">
      <t>テイカクリツ</t>
    </rPh>
    <rPh sb="25" eb="27">
      <t>セントウ</t>
    </rPh>
    <phoneticPr fontId="5"/>
  </si>
  <si>
    <t>だんだん強くなる固定ダメージ+
1ターン味方全体の回復力70%DOWN</t>
    <rPh sb="4" eb="5">
      <t>ツヨクナル</t>
    </rPh>
    <rPh sb="8" eb="10">
      <t>コテイ</t>
    </rPh>
    <rPh sb="20" eb="24">
      <t>ミカタゼンタイ</t>
    </rPh>
    <rPh sb="25" eb="27">
      <t>カイフク</t>
    </rPh>
    <rPh sb="27" eb="28">
      <t>リョク</t>
    </rPh>
    <phoneticPr fontId="5"/>
  </si>
  <si>
    <t>だんだん強くなる固定ダメージ+
1ターン味方全体の回復力90%DOWN</t>
    <rPh sb="4" eb="5">
      <t>ツヨクナル</t>
    </rPh>
    <rPh sb="8" eb="10">
      <t>コテイ</t>
    </rPh>
    <rPh sb="20" eb="24">
      <t>ミカタゼンタイ</t>
    </rPh>
    <rPh sb="25" eb="27">
      <t>カイフク</t>
    </rPh>
    <rPh sb="27" eb="28">
      <t>リョク</t>
    </rPh>
    <phoneticPr fontId="5"/>
  </si>
  <si>
    <t>[effect:force_change_block, new_block:jammer, target:block_red, ignore01:crack_bomb, ignore02:color_break, count:3, val:0, animation:change_block],[effect:rush, val:1, count:1.5]</t>
    <phoneticPr fontId="5"/>
  </si>
  <si>
    <t>[effect:force_change_block, new_block:time_bomb, target:block_red, ignore01:crack_bomb, ignore02:color_break, ignore03:time_bomb, color:block_red, count:-1, val:0.2, min_time_count:2, max_time_count:2, animation:change_block],[effect:rush, val:1, count:1.5]</t>
    <phoneticPr fontId="5"/>
  </si>
  <si>
    <t>火炎旋風</t>
    <rPh sb="0" eb="2">
      <t>カエン</t>
    </rPh>
    <rPh sb="2" eb="4">
      <t>センプウ</t>
    </rPh>
    <phoneticPr fontId="5"/>
  </si>
  <si>
    <t>獣炎の蓄熱</t>
    <rPh sb="0" eb="1">
      <t>ケモノ</t>
    </rPh>
    <rPh sb="1" eb="2">
      <t>ホノオ</t>
    </rPh>
    <rPh sb="3" eb="5">
      <t>チクネツ</t>
    </rPh>
    <phoneticPr fontId="5"/>
  </si>
  <si>
    <t>練武爆炎剣</t>
    <rPh sb="0" eb="2">
      <t>レンブ</t>
    </rPh>
    <rPh sb="2" eb="3">
      <t>バクエン</t>
    </rPh>
    <rPh sb="3" eb="4">
      <t>ホノオ</t>
    </rPh>
    <rPh sb="4" eb="5">
      <t>ケン</t>
    </rPh>
    <phoneticPr fontId="5"/>
  </si>
  <si>
    <t>なぜそれが分からない！</t>
    <rPh sb="5" eb="6">
      <t>ワカラナイ</t>
    </rPh>
    <phoneticPr fontId="5"/>
  </si>
  <si>
    <t>鋼通し</t>
    <rPh sb="0" eb="1">
      <t>ハガネ</t>
    </rPh>
    <rPh sb="1" eb="2">
      <t>トオシ</t>
    </rPh>
    <phoneticPr fontId="5"/>
  </si>
  <si>
    <t>ぶちかまし</t>
    <phoneticPr fontId="5"/>
  </si>
  <si>
    <t>反撃の構え</t>
    <rPh sb="0" eb="2">
      <t>ハンゲキ</t>
    </rPh>
    <rPh sb="3" eb="4">
      <t>カマエ</t>
    </rPh>
    <phoneticPr fontId="5"/>
  </si>
  <si>
    <t>圧壊掌</t>
    <rPh sb="0" eb="1">
      <t>アツリョク</t>
    </rPh>
    <rPh sb="1" eb="2">
      <t>コワス</t>
    </rPh>
    <phoneticPr fontId="5"/>
  </si>
  <si>
    <t>ねぇ、見て…私の繭…
私の大切な子達…</t>
    <phoneticPr fontId="5"/>
  </si>
  <si>
    <t>もっと力が…力が欲しい…！</t>
    <rPh sb="3" eb="4">
      <t>チカラ</t>
    </rPh>
    <rPh sb="6" eb="7">
      <t>チカラガホシイ</t>
    </rPh>
    <phoneticPr fontId="5"/>
  </si>
  <si>
    <t>認めてくれる世界が欲しい…ッ！！</t>
    <phoneticPr fontId="5"/>
  </si>
  <si>
    <t>これなら認めてくれる…？</t>
    <rPh sb="4" eb="5">
      <t>ミトメテ</t>
    </rPh>
    <phoneticPr fontId="5"/>
  </si>
  <si>
    <t>私が欲しいのは世界…</t>
    <rPh sb="0" eb="1">
      <t>ワタシガ</t>
    </rPh>
    <rPh sb="2" eb="3">
      <t>ホシイ</t>
    </rPh>
    <rPh sb="7" eb="9">
      <t>セカイ</t>
    </rPh>
    <phoneticPr fontId="5"/>
  </si>
  <si>
    <t>私を見てくれない世界なんて…！</t>
    <rPh sb="0" eb="1">
      <t>ワタシヲ</t>
    </rPh>
    <rPh sb="2" eb="3">
      <t>ミテ</t>
    </rPh>
    <rPh sb="8" eb="10">
      <t>セカイ</t>
    </rPh>
    <phoneticPr fontId="5"/>
  </si>
  <si>
    <t>[effect:break_attack_fix, target:unit_all, val:3500, lowest_val:1000, count:-1, color:blue, block01:crash]</t>
    <phoneticPr fontId="5"/>
  </si>
  <si>
    <t>身の程はわきまえるに限る…</t>
    <rPh sb="0" eb="1">
      <t>ミノホドハ</t>
    </rPh>
    <rPh sb="10" eb="11">
      <t>カギル</t>
    </rPh>
    <phoneticPr fontId="5"/>
  </si>
  <si>
    <t>[effect:rush, count:12, val:0.1]</t>
    <phoneticPr fontId="5"/>
  </si>
  <si>
    <t>[effect:rush, count:18, val:0.1]</t>
    <phoneticPr fontId="5"/>
  </si>
  <si>
    <t>状態異常耐性+12ターン強力なウィルス+
全属性ダメージ80%軽減</t>
    <rPh sb="0" eb="4">
      <t>ジョウタイイジョウ</t>
    </rPh>
    <rPh sb="4" eb="6">
      <t>タイセイ</t>
    </rPh>
    <rPh sb="12" eb="14">
      <t>キョウリョクナ</t>
    </rPh>
    <rPh sb="21" eb="24">
      <t>ゼンゾクセイ</t>
    </rPh>
    <rPh sb="31" eb="33">
      <t>ケイゲn</t>
    </rPh>
    <phoneticPr fontId="5"/>
  </si>
  <si>
    <t>状態異常耐性+3ターンハート無効+
5ターンハートパネルドロップ率UP</t>
    <rPh sb="0" eb="4">
      <t>ジョウタイイジョウ</t>
    </rPh>
    <rPh sb="4" eb="6">
      <t>タイセイ</t>
    </rPh>
    <rPh sb="14" eb="16">
      <t>ムコウ</t>
    </rPh>
    <phoneticPr fontId="5"/>
  </si>
  <si>
    <t>まだ平気なのか…？</t>
    <rPh sb="2" eb="4">
      <t>ヘイキ</t>
    </rPh>
    <phoneticPr fontId="5"/>
  </si>
  <si>
    <t>[effect:rush, count:24, val:1.0]</t>
    <phoneticPr fontId="5"/>
  </si>
  <si>
    <t>[effect:enemy_message, val1:1.8, val2:1.8],[effect:enhance_enemy, target:myself, turn:-1, status:attack, val:0.3, calc:mul, animation:enemy_enhance_attack],[effect:crash_condition, target:unit_all, turn:5, val:-4, animation:enemy_crash_reduce03]</t>
    <phoneticPr fontId="5"/>
  </si>
  <si>
    <t xml:space="preserve">[effect:enemy_message, val1:1.3, val2:1.8],[effect:damage_gravity, val:1, animation:fevergauge_down]    </t>
    <phoneticPr fontId="5"/>
  </si>
  <si>
    <t>[effect:enemy_message, val1:1.5, val2:1.8],[effect:drop_block, block_type:crash, color:block_all, val:6, rate:0.02, turn:-1, animation:crash_influence04]</t>
    <phoneticPr fontId="5"/>
  </si>
  <si>
    <t xml:space="preserve">[effect:enemy_message, val1:1.3, val2:2.3],[effect:suicide, target:myself, val:1, dead_type:escape]    </t>
    <phoneticPr fontId="5"/>
  </si>
  <si>
    <t>[effect:enemy_message, val1:1.5, val2:2.2],[effect:fix_speed, target:myself, turn:2],[effect:enhance_enemy, target:enemy_all, turn:-1, status:attack, val:0.1, calc:mul, animation:enemy_enhance_attack]</t>
    <phoneticPr fontId="5"/>
  </si>
  <si>
    <t xml:space="preserve">[effect:enemy_message, val1:1.2, val2:2.3],[effect:damage_gravity, val:0.99, animation:fevergauge_down],[effect:suicide, target:myself, val:1, dead_type:escape]    </t>
    <phoneticPr fontId="5"/>
  </si>
  <si>
    <t>[effect:enemy_message, val1:1.3, val2:2.3],[effect:fix_speed, target:myself, turn:1],[effect:tolerance, target:myself, turn:-1, tolerance_effect:all, count:-1, animation:enemy_tolerance],[effect:dis_heart, turn:3, animation:enemy_dis_heart],[effect:change_panel_ratio, turn:5, block_type:heal, val:0.3, animation:block_incidence04]</t>
    <phoneticPr fontId="5"/>
  </si>
  <si>
    <t>effect</t>
    <phoneticPr fontId="3"/>
  </si>
  <si>
    <t>effect</t>
    <phoneticPr fontId="3"/>
  </si>
  <si>
    <t>私に優しい世界…</t>
    <rPh sb="0" eb="1">
      <t>ワタシニ</t>
    </rPh>
    <rPh sb="2" eb="3">
      <t>ヤサシイ</t>
    </rPh>
    <rPh sb="5" eb="7">
      <t>セカイ</t>
    </rPh>
    <phoneticPr fontId="5"/>
  </si>
  <si>
    <t>私を認めてくれる世界…！</t>
    <rPh sb="0" eb="1">
      <t>ワタシニ</t>
    </rPh>
    <rPh sb="2" eb="3">
      <t>ミトメテ</t>
    </rPh>
    <rPh sb="8" eb="10">
      <t>セカイ</t>
    </rPh>
    <phoneticPr fontId="5"/>
  </si>
  <si>
    <t>私が居てもいい世界！！</t>
    <rPh sb="0" eb="1">
      <t>ワタシ</t>
    </rPh>
    <rPh sb="2" eb="3">
      <t>イテモ</t>
    </rPh>
    <rPh sb="7" eb="9">
      <t>セカイ</t>
    </rPh>
    <phoneticPr fontId="5"/>
  </si>
  <si>
    <t>[effect:dis_panel, target:block_red, turn:3, animation:enemy_dis_red],[effect:rush, count:1, val:1]</t>
    <phoneticPr fontId="5"/>
  </si>
  <si>
    <t>[effect:dis_panel, target:block_blue, turn:3, animation:enemy_dis_blue],[effect:rush, count:1, val:1.2]</t>
    <phoneticPr fontId="5"/>
  </si>
  <si>
    <t>[effect:dis_panel, target:block_green, turn:3, animation:enemy_dis_green],[effect:rush, count:1, val:1.4]</t>
    <phoneticPr fontId="5"/>
  </si>
  <si>
    <t>HP50%で全体復活+全体攻撃</t>
    <rPh sb="6" eb="8">
      <t>テキゼンタイ</t>
    </rPh>
    <rPh sb="8" eb="10">
      <t>フッカツ</t>
    </rPh>
    <rPh sb="11" eb="13">
      <t>ゼンタイ</t>
    </rPh>
    <rPh sb="13" eb="15">
      <t>コウゲキ</t>
    </rPh>
    <phoneticPr fontId="5"/>
  </si>
  <si>
    <t>敵全体の攻撃力UP</t>
    <rPh sb="0" eb="3">
      <t>テキゼンタイ</t>
    </rPh>
    <rPh sb="4" eb="7">
      <t>コウゲキリョク</t>
    </rPh>
    <phoneticPr fontId="5"/>
  </si>
  <si>
    <t>状態異常耐性+7ターン青パネル無効+
7ターン青パネルドロップ率UP</t>
    <rPh sb="0" eb="4">
      <t>ジョウタイイジョウ</t>
    </rPh>
    <rPh sb="4" eb="6">
      <t>タイセイ</t>
    </rPh>
    <rPh sb="11" eb="12">
      <t>アオ</t>
    </rPh>
    <rPh sb="15" eb="17">
      <t>ムコウ</t>
    </rPh>
    <rPh sb="23" eb="24">
      <t>アオ</t>
    </rPh>
    <rPh sb="31" eb="32">
      <t>リツ</t>
    </rPh>
    <phoneticPr fontId="5"/>
  </si>
  <si>
    <t>彼女は望まぬ力に
突き動かされているだけだ！</t>
    <rPh sb="0" eb="2">
      <t>カノジョハ</t>
    </rPh>
    <rPh sb="3" eb="4">
      <t>ノゾマヌ</t>
    </rPh>
    <rPh sb="6" eb="7">
      <t>チカラヲ</t>
    </rPh>
    <rPh sb="9" eb="10">
      <t>ツキウゴカサレテ</t>
    </rPh>
    <phoneticPr fontId="5"/>
  </si>
  <si>
    <t>致命的な24回連続攻撃</t>
    <rPh sb="0" eb="3">
      <t>チメイテキ</t>
    </rPh>
    <rPh sb="6" eb="7">
      <t>カイ</t>
    </rPh>
    <rPh sb="7" eb="11">
      <t>レンゾクコウゲキ</t>
    </rPh>
    <phoneticPr fontId="5"/>
  </si>
  <si>
    <t>[effect:enemy_message, val1:1, val2:2],[effect:enemy_resurrection, target:id_452, val:0.3, rate:1, animation:enemy_resurrection]</t>
    <phoneticPr fontId="5"/>
  </si>
  <si>
    <t>[effect:enemy_message, val1:1, val2:2],[effect:enemy_resurrection, target:id_130, val:0.3, rate:1, animation:enemy_resurrection]</t>
    <phoneticPr fontId="5"/>
  </si>
  <si>
    <t xml:space="preserve">[effect:damage_anti_color, target:unit_one, color:red, val1:1.8, val2:1.2]    </t>
    <phoneticPr fontId="5"/>
  </si>
  <si>
    <t>赤パネル無効+クリティカル！</t>
    <rPh sb="0" eb="1">
      <t>アカパネル</t>
    </rPh>
    <rPh sb="4" eb="6">
      <t>ムコウ</t>
    </rPh>
    <phoneticPr fontId="5"/>
  </si>
  <si>
    <t>青パネル無効+クリティカル！</t>
    <rPh sb="0" eb="1">
      <t>アオ</t>
    </rPh>
    <rPh sb="4" eb="6">
      <t>ムコウ</t>
    </rPh>
    <phoneticPr fontId="5"/>
  </si>
  <si>
    <t>緑パネル無効+クリティカル！</t>
    <rPh sb="0" eb="1">
      <t>ミドリ</t>
    </rPh>
    <rPh sb="4" eb="6">
      <t>ムコウ</t>
    </rPh>
    <phoneticPr fontId="5"/>
  </si>
  <si>
    <t>ソウルリザレクション</t>
    <phoneticPr fontId="5"/>
  </si>
  <si>
    <t>時限式ダメージパネルを吸収して全体攻撃</t>
    <rPh sb="0" eb="3">
      <t>ジゲンシキ</t>
    </rPh>
    <rPh sb="11" eb="13">
      <t>キュウシュウシテ</t>
    </rPh>
    <rPh sb="15" eb="19">
      <t>ゼンタイコウゲキ</t>
    </rPh>
    <phoneticPr fontId="5"/>
  </si>
  <si>
    <t>[effect:enemy_message, val1:1.2, val2:2.3],[effect:break_attack_fix, target:unit_all, val:125, lowest_val:2500, count:-1, color:blue, block01:time_bomb]</t>
    <phoneticPr fontId="5"/>
  </si>
  <si>
    <t>このフロアの敵は2ゲージ目に
移行するときに全体復活を発動します
攻撃する順番を考えて挑みましょう</t>
    <rPh sb="6" eb="7">
      <t>テキ</t>
    </rPh>
    <rPh sb="12" eb="13">
      <t>メ</t>
    </rPh>
    <rPh sb="15" eb="17">
      <t>イコウ</t>
    </rPh>
    <rPh sb="22" eb="24">
      <t>テキゼンタイ</t>
    </rPh>
    <rPh sb="24" eb="26">
      <t>フッカツ</t>
    </rPh>
    <rPh sb="27" eb="29">
      <t>ハツドウシマス</t>
    </rPh>
    <rPh sb="34" eb="36">
      <t>コウゲキスル</t>
    </rPh>
    <rPh sb="38" eb="40">
      <t>ジュンバン</t>
    </rPh>
    <rPh sb="41" eb="42">
      <t>カンガエル</t>
    </rPh>
    <rPh sb="44" eb="45">
      <t>イドミマショウ</t>
    </rPh>
    <phoneticPr fontId="5"/>
  </si>
  <si>
    <t>芥川の2ゲージ目はターンが経過すると
自ら立ち去っていきますが
その前に大ダメージを与えると
有利な効果を得ることができます</t>
    <rPh sb="0" eb="2">
      <t>アクタガワ</t>
    </rPh>
    <rPh sb="13" eb="15">
      <t>ケイカ</t>
    </rPh>
    <rPh sb="19" eb="20">
      <t>ミズカラ</t>
    </rPh>
    <rPh sb="21" eb="22">
      <t>タチサッテ</t>
    </rPh>
    <rPh sb="36" eb="37">
      <t>ダイダメージ</t>
    </rPh>
    <rPh sb="42" eb="43">
      <t>アタエルト</t>
    </rPh>
    <rPh sb="47" eb="49">
      <t>ユウリ</t>
    </rPh>
    <rPh sb="50" eb="52">
      <t>コウカヲ</t>
    </rPh>
    <rPh sb="53" eb="54">
      <t>エル</t>
    </rPh>
    <phoneticPr fontId="5"/>
  </si>
  <si>
    <t>芥川はCパネル生成短縮を付与して
直後にCパネル吸収攻撃を使います
盤面にCパネルが残らないよう
工夫する必要があります</t>
    <rPh sb="0" eb="2">
      <t>アクタガワ</t>
    </rPh>
    <rPh sb="7" eb="9">
      <t>セイセイ</t>
    </rPh>
    <rPh sb="9" eb="11">
      <t>タンシュク</t>
    </rPh>
    <rPh sb="12" eb="14">
      <t>フヨ</t>
    </rPh>
    <rPh sb="17" eb="19">
      <t>チョクゴニ</t>
    </rPh>
    <rPh sb="24" eb="26">
      <t>キュウシュウ</t>
    </rPh>
    <rPh sb="26" eb="28">
      <t>コウゲキ</t>
    </rPh>
    <rPh sb="29" eb="30">
      <t>ツカイマス</t>
    </rPh>
    <rPh sb="35" eb="37">
      <t>バンメン</t>
    </rPh>
    <rPh sb="43" eb="44">
      <t>ノコサナイ</t>
    </rPh>
    <rPh sb="50" eb="52">
      <t>クフウ</t>
    </rPh>
    <rPh sb="54" eb="56">
      <t>ヒツヨウガ</t>
    </rPh>
    <phoneticPr fontId="5"/>
  </si>
  <si>
    <t>ローレンスはHPが減ってくると
強力な全体攻撃を使うようになります
防御力UPなどで受け止めましょう</t>
    <rPh sb="9" eb="10">
      <t>ヘッテクルト</t>
    </rPh>
    <rPh sb="16" eb="18">
      <t>キョウリョクナ</t>
    </rPh>
    <rPh sb="19" eb="21">
      <t>ゼンタイ</t>
    </rPh>
    <rPh sb="21" eb="23">
      <t>コウゲキ</t>
    </rPh>
    <rPh sb="24" eb="25">
      <t>ツカウ</t>
    </rPh>
    <rPh sb="35" eb="38">
      <t>ボウギョリョク</t>
    </rPh>
    <rPh sb="43" eb="44">
      <t>ウケトメマショウ</t>
    </rPh>
    <phoneticPr fontId="5"/>
  </si>
  <si>
    <t>エゾはHPが減ってくると
全体回復を使うようになります
その隙にこちらも体勢を立て直して
次のターンに備えましょう</t>
    <rPh sb="6" eb="7">
      <t>ヘッテクルト</t>
    </rPh>
    <rPh sb="13" eb="15">
      <t>ゼンタイ</t>
    </rPh>
    <rPh sb="15" eb="17">
      <t>カイフクヲ</t>
    </rPh>
    <rPh sb="18" eb="19">
      <t>ツカウ</t>
    </rPh>
    <rPh sb="37" eb="39">
      <t>タイセイヲ</t>
    </rPh>
    <rPh sb="40" eb="41">
      <t>タテナオシ</t>
    </rPh>
    <rPh sb="46" eb="47">
      <t>ツギノターn</t>
    </rPh>
    <rPh sb="52" eb="53">
      <t>ソナエマショウ</t>
    </rPh>
    <phoneticPr fontId="5"/>
  </si>
  <si>
    <t>カフカの1ゲージ目は
全属性ダメージ軽減を展開し続けますが
その軽減率はターン経過で減少します
攻め所を見極めましょう</t>
    <rPh sb="11" eb="14">
      <t>ゼンゾクセイ</t>
    </rPh>
    <rPh sb="18" eb="20">
      <t>ケイゲン</t>
    </rPh>
    <rPh sb="21" eb="23">
      <t>テンカイ</t>
    </rPh>
    <rPh sb="24" eb="25">
      <t>ツヅケ</t>
    </rPh>
    <rPh sb="32" eb="35">
      <t>ケイゲンリツ</t>
    </rPh>
    <rPh sb="39" eb="41">
      <t>ケイカ</t>
    </rPh>
    <rPh sb="42" eb="44">
      <t>ゲンショウ</t>
    </rPh>
    <rPh sb="49" eb="50">
      <t>セメトコロ</t>
    </rPh>
    <rPh sb="53" eb="55">
      <t>ミキワメマショウ</t>
    </rPh>
    <phoneticPr fontId="5"/>
  </si>
  <si>
    <t>カフカの2ゲージ目は
定期的にハート無効を使います
Cパネルやスキルで回復できる
ユニットがいると安心です</t>
    <rPh sb="11" eb="14">
      <t>テイキテキニ</t>
    </rPh>
    <rPh sb="18" eb="20">
      <t>ムコウヲ</t>
    </rPh>
    <rPh sb="21" eb="22">
      <t>シヨウ</t>
    </rPh>
    <rPh sb="36" eb="38">
      <t>カイフク</t>
    </rPh>
    <rPh sb="50" eb="52">
      <t>アンシン</t>
    </rPh>
    <phoneticPr fontId="5"/>
  </si>
  <si>
    <t>ローレンスとエゾは撃破時に
もう片方が残っていると何度も復活します
HPを削って同時撃破を狙いましょう</t>
    <rPh sb="9" eb="12">
      <t>ゲキハジ</t>
    </rPh>
    <rPh sb="16" eb="18">
      <t>カタホウガ</t>
    </rPh>
    <rPh sb="19" eb="20">
      <t>ノコッテイルト</t>
    </rPh>
    <rPh sb="25" eb="27">
      <t>ナンドデモ</t>
    </rPh>
    <rPh sb="28" eb="30">
      <t>フッカツシテ</t>
    </rPh>
    <rPh sb="38" eb="39">
      <t>ケズリ</t>
    </rPh>
    <rPh sb="41" eb="45">
      <t>ドウジゲキハ</t>
    </rPh>
    <rPh sb="46" eb="47">
      <t>ネライマショウ</t>
    </rPh>
    <phoneticPr fontId="5"/>
  </si>
  <si>
    <t>カフカの3ゲージ目は
HPが多い状態では非常に強力な
全体攻撃を連発します
なるべく迅速にHPを減らしましょう</t>
    <rPh sb="14" eb="15">
      <t>オオイ</t>
    </rPh>
    <rPh sb="16" eb="18">
      <t>ジョウタイ</t>
    </rPh>
    <rPh sb="20" eb="22">
      <t>ヒジョウニ</t>
    </rPh>
    <rPh sb="23" eb="25">
      <t>キョウリョクナ</t>
    </rPh>
    <rPh sb="27" eb="29">
      <t>ゼンタイ</t>
    </rPh>
    <rPh sb="29" eb="31">
      <t>コウゲキヲ</t>
    </rPh>
    <rPh sb="32" eb="34">
      <t>レンパツ</t>
    </rPh>
    <rPh sb="43" eb="45">
      <t>ジンソクニ</t>
    </rPh>
    <rPh sb="49" eb="50">
      <t>ヘラシマショウ</t>
    </rPh>
    <phoneticPr fontId="5"/>
  </si>
  <si>
    <t>カフカの3ゲージ目は
戦闘が長引くと非常に強力な
連続攻撃を連発します
危険を感じたら一気に撃破しましょう</t>
    <rPh sb="11" eb="13">
      <t>セントウガ</t>
    </rPh>
    <rPh sb="14" eb="16">
      <t>ナガビクト</t>
    </rPh>
    <rPh sb="18" eb="20">
      <t>ヒジョウニ</t>
    </rPh>
    <rPh sb="21" eb="23">
      <t>キョウリョクナ</t>
    </rPh>
    <rPh sb="25" eb="27">
      <t>レンゾク</t>
    </rPh>
    <rPh sb="27" eb="29">
      <t>コウゲキヲ</t>
    </rPh>
    <rPh sb="30" eb="32">
      <t>レンパツ</t>
    </rPh>
    <rPh sb="37" eb="39">
      <t>キケンヲ</t>
    </rPh>
    <rPh sb="40" eb="41">
      <t>カンジタラ</t>
    </rPh>
    <rPh sb="44" eb="46">
      <t>イッキニ</t>
    </rPh>
    <rPh sb="47" eb="49">
      <t>ゲキハ</t>
    </rPh>
    <phoneticPr fontId="5"/>
  </si>
  <si>
    <t>カフカは持続の長いウィルスと
ウィルスキラーを使います
ウィルス無効のユニットを
複数連れてくると有利に戦えます</t>
    <rPh sb="4" eb="6">
      <t>ジゾクノ</t>
    </rPh>
    <rPh sb="7" eb="8">
      <t>ナガイ</t>
    </rPh>
    <rPh sb="23" eb="24">
      <t>ツカイマス</t>
    </rPh>
    <rPh sb="33" eb="35">
      <t>ムコウ</t>
    </rPh>
    <rPh sb="42" eb="44">
      <t>フクスウ</t>
    </rPh>
    <rPh sb="44" eb="45">
      <t>ツレテクルト</t>
    </rPh>
    <rPh sb="50" eb="52">
      <t>ユウリニ</t>
    </rPh>
    <rPh sb="53" eb="54">
      <t>タタカエマス</t>
    </rPh>
    <phoneticPr fontId="5"/>
  </si>
  <si>
    <t>正気を取り戻したカフカは
暴走している間の記憶を失っていました
事の顛末を話すと
恥ずかしそうにアナタにお礼を言いました</t>
    <rPh sb="0" eb="2">
      <t>ショウキヲ</t>
    </rPh>
    <rPh sb="3" eb="4">
      <t>トリモドシタ</t>
    </rPh>
    <rPh sb="13" eb="15">
      <t>ボウソウシテイル</t>
    </rPh>
    <rPh sb="19" eb="20">
      <t>アイダノ</t>
    </rPh>
    <rPh sb="21" eb="23">
      <t>キオク</t>
    </rPh>
    <rPh sb="24" eb="25">
      <t>ウシナッテ</t>
    </rPh>
    <rPh sb="32" eb="33">
      <t>コトノテンマツヲ</t>
    </rPh>
    <rPh sb="34" eb="36">
      <t>テンマツ</t>
    </rPh>
    <rPh sb="37" eb="38">
      <t>ハナスト</t>
    </rPh>
    <rPh sb="41" eb="42">
      <t>ハズカシソウ</t>
    </rPh>
    <rPh sb="55" eb="56">
      <t>イイマシタ</t>
    </rPh>
    <phoneticPr fontId="5"/>
  </si>
  <si>
    <t>止めてくれて……</t>
    <rPh sb="0" eb="1">
      <t>トメテクレテ</t>
    </rPh>
    <phoneticPr fontId="5"/>
  </si>
  <si>
    <t>どうして否定するの…？</t>
    <rPh sb="4" eb="6">
      <t>ヒテイ</t>
    </rPh>
    <phoneticPr fontId="5"/>
  </si>
  <si>
    <t>誰も認めてくれない…どうして…</t>
    <rPh sb="0" eb="1">
      <t>ダレモ</t>
    </rPh>
    <rPh sb="2" eb="3">
      <t>ミトメテ</t>
    </rPh>
    <phoneticPr fontId="5"/>
  </si>
  <si>
    <t>やっぱりまだ足りないの…？</t>
    <rPh sb="6" eb="7">
      <t>タリナイ</t>
    </rPh>
    <phoneticPr fontId="5"/>
  </si>
  <si>
    <t>今までの私とは違う…！</t>
    <rPh sb="0" eb="1">
      <t>イママデノ</t>
    </rPh>
    <rPh sb="4" eb="5">
      <t>ワタシ</t>
    </rPh>
    <rPh sb="7" eb="8">
      <t>チガウヨ</t>
    </rPh>
    <phoneticPr fontId="5"/>
  </si>
  <si>
    <t>私を見て…よそ見しないで！</t>
    <rPh sb="0" eb="1">
      <t>ワタシ</t>
    </rPh>
    <rPh sb="2" eb="3">
      <t>ミテ</t>
    </rPh>
    <phoneticPr fontId="5"/>
  </si>
  <si>
    <t>まだ足りないんだ…もっと…</t>
    <rPh sb="2" eb="3">
      <t>タリナイ</t>
    </rPh>
    <phoneticPr fontId="5"/>
  </si>
  <si>
    <t>要らない！必要ない！</t>
    <rPh sb="0" eb="1">
      <t>イラナイ</t>
    </rPh>
    <rPh sb="5" eb="7">
      <t>ヒツヨウナイ</t>
    </rPh>
    <phoneticPr fontId="5"/>
  </si>
  <si>
    <t>みんな壊してやるーー！！</t>
    <rPh sb="3" eb="4">
      <t>コワシテ</t>
    </rPh>
    <phoneticPr fontId="5"/>
  </si>
  <si>
    <t>カフカは変身願望を抱いた女性でした
アバターが虫のような姿になったのは
作品内容が関わっているのかもしれません</t>
    <rPh sb="38" eb="40">
      <t>ナイヨウ</t>
    </rPh>
    <phoneticPr fontId="5"/>
  </si>
  <si>
    <t>アバターの変身？</t>
    <rPh sb="5" eb="7">
      <t>ヘンシン</t>
    </rPh>
    <phoneticPr fontId="5"/>
  </si>
  <si>
    <t>創作仲間</t>
    <rPh sb="0" eb="2">
      <t>ソウサク</t>
    </rPh>
    <rPh sb="2" eb="4">
      <t>ナカマ</t>
    </rPh>
    <phoneticPr fontId="5"/>
  </si>
  <si>
    <t>普段のカフカは創作で行き詰まった時
よく親友の夏目と作品の相談をしたり
批評をし合ったりしていたようです</t>
    <rPh sb="0" eb="2">
      <t>フダn</t>
    </rPh>
    <rPh sb="7" eb="9">
      <t>ソウサクカツドウ</t>
    </rPh>
    <rPh sb="10" eb="11">
      <t>イキヅマッタ</t>
    </rPh>
    <rPh sb="16" eb="17">
      <t>トキ</t>
    </rPh>
    <rPh sb="20" eb="22">
      <t>シンユウ</t>
    </rPh>
    <rPh sb="23" eb="25">
      <t>ナツメ</t>
    </rPh>
    <rPh sb="26" eb="28">
      <t>サクヒn</t>
    </rPh>
    <rPh sb="29" eb="31">
      <t>ソウダn</t>
    </rPh>
    <rPh sb="36" eb="38">
      <t>ヒヒョウ</t>
    </rPh>
    <phoneticPr fontId="5"/>
  </si>
  <si>
    <t>夏目…お前がいくら動いても
この世は犠牲に溢れている…</t>
    <rPh sb="0" eb="2">
      <t>ナツメ</t>
    </rPh>
    <rPh sb="9" eb="10">
      <t>ウゴイテモ</t>
    </rPh>
    <rPh sb="18" eb="20">
      <t>ギセイ</t>
    </rPh>
    <rPh sb="21" eb="22">
      <t>アフレ</t>
    </rPh>
    <phoneticPr fontId="5"/>
  </si>
  <si>
    <t>案外肝は据わっているらしいな</t>
    <rPh sb="0" eb="2">
      <t>アンガイ</t>
    </rPh>
    <rPh sb="2" eb="3">
      <t>キモガ</t>
    </rPh>
    <rPh sb="4" eb="5">
      <t>スワッテル</t>
    </rPh>
    <phoneticPr fontId="5"/>
  </si>
  <si>
    <t>状態異常耐性+5ターン青パネル無効+
7ターン青パネルドロップ率UP</t>
    <rPh sb="0" eb="4">
      <t>ジョウタイイジョウ</t>
    </rPh>
    <rPh sb="4" eb="6">
      <t>タイセイ</t>
    </rPh>
    <rPh sb="11" eb="12">
      <t>アオ</t>
    </rPh>
    <rPh sb="15" eb="17">
      <t>ムコウ</t>
    </rPh>
    <rPh sb="23" eb="24">
      <t>アオ</t>
    </rPh>
    <rPh sb="31" eb="32">
      <t>リツ</t>
    </rPh>
    <phoneticPr fontId="5"/>
  </si>
  <si>
    <t>状態異常耐性+8ターン強力なウィルス+
全属性ダメージ80%軽減</t>
    <rPh sb="0" eb="4">
      <t>ジョウタイイジョウ</t>
    </rPh>
    <rPh sb="4" eb="6">
      <t>タイセイ</t>
    </rPh>
    <rPh sb="11" eb="13">
      <t>キョウリョクナ</t>
    </rPh>
    <rPh sb="20" eb="23">
      <t>ゼンゾクセイ</t>
    </rPh>
    <rPh sb="30" eb="32">
      <t>ケイゲn</t>
    </rPh>
    <phoneticPr fontId="5"/>
  </si>
  <si>
    <t>ゼウス…環境管理AI…
やっぱり私を歪みと見るのね…</t>
    <rPh sb="4" eb="6">
      <t>カンキョウ</t>
    </rPh>
    <rPh sb="6" eb="8">
      <t>カンリ</t>
    </rPh>
    <rPh sb="16" eb="17">
      <t>ワタシ</t>
    </rPh>
    <rPh sb="18" eb="19">
      <t>ユガミ</t>
    </rPh>
    <rPh sb="21" eb="22">
      <t>ミル</t>
    </rPh>
    <phoneticPr fontId="5"/>
  </si>
  <si>
    <t>ヘラ…環境管理AI…
やっぱり私を歪みと見るのね…</t>
    <rPh sb="3" eb="5">
      <t>カンキョウ</t>
    </rPh>
    <rPh sb="5" eb="7">
      <t>カンリ</t>
    </rPh>
    <rPh sb="15" eb="16">
      <t>ワタシ</t>
    </rPh>
    <rPh sb="17" eb="18">
      <t>ユガミ</t>
    </rPh>
    <rPh sb="20" eb="21">
      <t>ミル</t>
    </rPh>
    <phoneticPr fontId="5"/>
  </si>
  <si>
    <t>夏目くん…見て…
私にもできたの…やっと…</t>
    <rPh sb="0" eb="2">
      <t>ナツメ</t>
    </rPh>
    <rPh sb="5" eb="6">
      <t>ミテ</t>
    </rPh>
    <rPh sb="9" eb="10">
      <t>ワタシ</t>
    </rPh>
    <phoneticPr fontId="5"/>
  </si>
  <si>
    <t>あぁ…「変身」が解けていく…
解け……て……？</t>
    <rPh sb="4" eb="6">
      <t>ヘンシn</t>
    </rPh>
    <rPh sb="8" eb="9">
      <t>トケテ</t>
    </rPh>
    <rPh sb="15" eb="16">
      <t>トケテ</t>
    </rPh>
    <phoneticPr fontId="5"/>
  </si>
  <si>
    <t>……あれ。
私、何をしてたんだっけ……？</t>
    <rPh sb="6" eb="7">
      <t>ワタシ</t>
    </rPh>
    <rPh sb="8" eb="9">
      <t>ナニヲシテタ</t>
    </rPh>
    <phoneticPr fontId="5"/>
  </si>
  <si>
    <t>[effect:enemy_message, val1:2.4, val2:2.6, dead_type:escape]</t>
    <phoneticPr fontId="5"/>
  </si>
  <si>
    <t>あれ？夏目くん…？</t>
    <rPh sb="3" eb="5">
      <t>ナツメ</t>
    </rPh>
    <phoneticPr fontId="5"/>
  </si>
  <si>
    <t>[effect:enemy_message, val1:2, val2:3, dead_type:escape]</t>
    <phoneticPr fontId="5"/>
  </si>
  <si>
    <t>うぅ…なんだか頭が痛いな…
私、こんなところで何をしてたの…？</t>
    <rPh sb="7" eb="8">
      <t>アタマ</t>
    </rPh>
    <rPh sb="9" eb="10">
      <t>イタイナ</t>
    </rPh>
    <rPh sb="14" eb="15">
      <t>ワタシ</t>
    </rPh>
    <rPh sb="23" eb="24">
      <t>ナニ</t>
    </rPh>
    <phoneticPr fontId="5"/>
  </si>
  <si>
    <t>[effect:enemy_message, val1:2.4, val2:1.8],[effect:fix_speed, target:myself, turn:1],[effect:tolerance, target:myself, turn:-1, tolerance_effect:all, count:-1, animation:enemy_tolerance],[effect:enemy_counter, target:myself, invoke_condition:unit_all, counter_target:attacker, turn:3, val:0.2, animation:enemy_counter]</t>
    <phoneticPr fontId="5"/>
  </si>
  <si>
    <t xml:space="preserve">[effect:enemy_message, val1:1, val2:2.6],[effect:drop_block, block_type:crash, color:block_all, val:12, rate:0.02, turn:-1, animation:crash_influence04],[effect:suicide, target:myself, val:1, dead_type:escape]    </t>
    <phoneticPr fontId="5"/>
  </si>
  <si>
    <t>きっとそのために
私は「変身」したの…！</t>
    <rPh sb="9" eb="10">
      <t>ワタシ</t>
    </rPh>
    <rPh sb="12" eb="14">
      <t>ヘンシn</t>
    </rPh>
    <phoneticPr fontId="5"/>
  </si>
  <si>
    <t>あ、あはは！あはははははは！！</t>
    <phoneticPr fontId="5"/>
  </si>
  <si>
    <t>そっか…やっとわかったよ…</t>
    <phoneticPr fontId="5"/>
  </si>
  <si>
    <t>[effect:enemy_message, val1:1, val2:2.6],[effect:spread, val:0.5]</t>
    <phoneticPr fontId="5"/>
  </si>
  <si>
    <t>[effect:enemy_message, val1:1, val2:2.6],[effect:spread, val:0.45]</t>
    <phoneticPr fontId="5"/>
  </si>
  <si>
    <t>[effect:enemy_message, val1:1, val2:2.6],[effect:spread, val:0.4]</t>
    <phoneticPr fontId="5"/>
  </si>
  <si>
    <t>[effect:enemy_message, val1:1.2, val2:2.4],[effect:enhance_enemy, target:myself, turn:-1, status:attack, val:0.5, calc:mul, animation:enemy_enhance_attack],[effect:crash_growth,count:-1, val:6, animation:change_block]</t>
    <phoneticPr fontId="5"/>
  </si>
  <si>
    <t xml:space="preserve">[effect:enemy_message, val1:1.3, val2:2.6],[effect:drop_freeze, turn:-1, block_type:normal, block_color:block_yellow, frozen_count:1, rate:1, animation:drop_protect],[effect:reduction, target:myself, color:all, turn:-1, val:0.2, animation:reduction_one01]    </t>
    <phoneticPr fontId="5"/>
  </si>
  <si>
    <t>うーん…あれ、ここは…？</t>
    <phoneticPr fontId="5"/>
  </si>
  <si>
    <t>えっ！ど、どちら様ですか…？
私…いったい何を…！？</t>
    <rPh sb="15" eb="16">
      <t>ワタシ</t>
    </rPh>
    <rPh sb="21" eb="22">
      <t>ナニヲ</t>
    </rPh>
    <phoneticPr fontId="5"/>
  </si>
  <si>
    <t>[effect:enemy_message, val1:2, val2:2.8, dead_type:escape]</t>
    <phoneticPr fontId="5"/>
  </si>
  <si>
    <t>[effect:enemy_message, val1:1.8, val2:1.8],[effect:fix_speed, target:myself, turn:1],[effect:tolerance, target:myself, turn:-1, tolerance_effect:all, count:-1, animation:enemy_tolerance],[effect:enemy_counter, target:myself, invoke_condition:unit_all, counter_target:attacker, turn:5, val:0.2, animation:enemy_counter]</t>
    <phoneticPr fontId="5"/>
  </si>
  <si>
    <t>[effect:fix_speed, target:myself, turn:3],[effect:enemy_resurrection, target:enemy_all, val:0.5, rate:1, animation:enemy_resurrection],[effect:spread, val:0.2]</t>
    <phoneticPr fontId="5"/>
  </si>
  <si>
    <t>[effect:fix_speed, target:myself, turn:2],[effect:enemy_resurrection, target:enemy_all, val:0.5, rate:1, animation:enemy_resurrection],[effect:enhance_enemy, target:enemy_all, turn:-1, status:attack, val:0.2, calc:mul, animation:enemy_enhance_attack]</t>
    <phoneticPr fontId="5"/>
  </si>
  <si>
    <t>[effect:enemy_message, val1:1, val2:2.3],[effect:fix_speed, target:myself, turn:1],[effect:tolerance, target:myself, turn:-1, tolerance_effect:all, count:-1, animation:enemy_tolerance],[effect:dis_panel, target:block_blue, turn:7, animation:enemy_dis_blue],[effect:change_panel_ratio, turn:7, block_type:blue, val:0.4, animation:block_incidence04]</t>
    <phoneticPr fontId="5"/>
  </si>
  <si>
    <t>[effect:enemy_message, val1:1, val2:2.6],[effect:fix_speed, target:myself, turn:1],[effect:tolerance, target:myself, turn:-1, tolerance_effect:all, count:-1, animation:enemy_tolerance],[effect:dis_panel, target:block_blue, turn:5, animation:enemy_dis_blue],[effect:change_panel_ratio, turn:7, block_type:blue, val:0.4, animation:block_incidence04]</t>
    <phoneticPr fontId="5"/>
  </si>
  <si>
    <t xml:space="preserve">[effect:enemy_message, val1:1.2, val2:2.3],[effect:virus, turn:8, rate:1, val:0.28, animation:enemy_virus],[effect:degrade_unit, target:unit_all, turn:3, status:heal, val:1, calc:mul, animation:degrade_unit_all_heal]    </t>
    <phoneticPr fontId="5"/>
  </si>
  <si>
    <t>全体攻撃+15ターンウィルス</t>
    <rPh sb="0" eb="2">
      <t>ゼンタイ</t>
    </rPh>
    <rPh sb="2" eb="4">
      <t>コウゲキ</t>
    </rPh>
    <phoneticPr fontId="5"/>
  </si>
  <si>
    <t xml:space="preserve">[effect:spread, val:0.25],[effect:virus, turn:15, rate:1, val:0.16, animation:enemy_virus]    </t>
    <phoneticPr fontId="5"/>
  </si>
  <si>
    <t>焼失・灰薙ぎ</t>
    <rPh sb="0" eb="2">
      <t>ショウシツ</t>
    </rPh>
    <rPh sb="3" eb="4">
      <t>high</t>
    </rPh>
    <rPh sb="4" eb="5">
      <t>ナギ</t>
    </rPh>
    <phoneticPr fontId="5"/>
  </si>
  <si>
    <t>4ターン強力なウィルス+
緑属性のユニットに大ダメージの全体攻撃</t>
    <rPh sb="4" eb="6">
      <t>キョウリョクナ</t>
    </rPh>
    <rPh sb="13" eb="16">
      <t>ミドリゾクセイ</t>
    </rPh>
    <rPh sb="22" eb="23">
      <t>ダイダメージ</t>
    </rPh>
    <rPh sb="28" eb="30">
      <t>ゼンタイ</t>
    </rPh>
    <rPh sb="30" eb="32">
      <t>コウゲキ</t>
    </rPh>
    <phoneticPr fontId="5"/>
  </si>
  <si>
    <t xml:space="preserve">[effect:spread, val:0.25],[effect:virus, turn:15, rate:1, val:0.2, animation:enemy_virus]    </t>
    <phoneticPr fontId="5"/>
  </si>
  <si>
    <t>全体攻撃+15ターン強力なウィルス</t>
    <rPh sb="0" eb="2">
      <t>ゼンタイ</t>
    </rPh>
    <rPh sb="2" eb="4">
      <t>コウゲキ</t>
    </rPh>
    <rPh sb="10" eb="12">
      <t>キョウリョクナ</t>
    </rPh>
    <phoneticPr fontId="5"/>
  </si>
  <si>
    <t>3ターン全属性ダメージ50%軽減+
3ターン味方全体のタップ回数を1DOWN</t>
    <rPh sb="4" eb="7">
      <t>ゼンゾクセイ</t>
    </rPh>
    <rPh sb="14" eb="16">
      <t>ケイゲn</t>
    </rPh>
    <rPh sb="22" eb="26">
      <t>ミカタゼンタイ</t>
    </rPh>
    <rPh sb="30" eb="32">
      <t>カイスウ</t>
    </rPh>
    <phoneticPr fontId="5"/>
  </si>
  <si>
    <t>[effect:enemy_message, val1:1, val2:2.6],[effect:reduction, target:myself, color:all, turn:3, val:0.5, animation:reduction_one01],[effect:degrade_unit, target:unit_all, turn:3, status:action, val:1, calc:add, animation:enemy_tap_down]</t>
    <phoneticPr fontId="5"/>
  </si>
  <si>
    <t>[effect:damage_anti_abnormal, target:unit_all, target_effect01:virus, val1:0.6, val2:0.35]</t>
    <phoneticPr fontId="5"/>
  </si>
  <si>
    <t>[effect:damage_anti_abnormal, target:unit_all, target_effect01:virus, val1:0.6, val2:0.35]</t>
    <phoneticPr fontId="5"/>
  </si>
  <si>
    <t xml:space="preserve">[effect:enemy_message, val1:1.8, val2:2.3],[effect:fix_speed, target:myself, turn:2],[effect:tolerance, target:myself, turn:-1, tolerance_effect:all, count:-1, animation:enemy_tolerance],[effect:virus, turn:12, rate:1, val:0.24, animation:enemy_virus],[effect:reduction, target:myself, color:all, turn:-1, val:0.8, animation:reduction_one01]    </t>
    <phoneticPr fontId="5"/>
  </si>
  <si>
    <t xml:space="preserve">[effect:enemy_message, val1:2, val2:2.6],[effect:fix_speed, target:myself, turn:2],[effect:tolerance, target:myself, turn:-1, tolerance_effect:all, count:-1, animation:enemy_tolerance],[effect:virus, turn:8, rate:1, val:0.24, animation:enemy_virus],[effect:reduction, target:myself, color:all, turn:-1, val:0.8, animation:reduction_one01]    </t>
    <phoneticPr fontId="5"/>
  </si>
  <si>
    <t xml:space="preserve">[effect:enemy_message, val1:2.2, val2:2.6],[effect:fix_speed, target:myself, turn:2],[effect:tolerance, target:myself, turn:-1, tolerance_effect:all, count:-1, animation:enemy_tolerance],[effect:virus, turn:12, rate:1, val:0.24, animation:enemy_virus],[effect:reduction, target:myself, color:all, turn:-1, val:0.8, animation:reduction_one01]    </t>
    <phoneticPr fontId="5"/>
  </si>
  <si>
    <t xml:space="preserve">[effect:enemy_message, val1:2.3, val2:2.6],[effect:fix_speed, target:myself, turn:2],[effect:tolerance, target:myself, turn:-1, tolerance_effect:all, count:-1, animation:enemy_tolerance],[effect:virus, turn:12, rate:1, val:0.24, animation:enemy_virus],[effect:reduction, target:myself, color:all, turn:-1, val:0.8, animation:reduction_one01]    </t>
    <phoneticPr fontId="5"/>
  </si>
  <si>
    <t xml:space="preserve">[effect:damage_fix_absolute, target:unit_one, val:7800]    </t>
    <phoneticPr fontId="5"/>
  </si>
  <si>
    <t>[effect:spread, val:0.36]</t>
    <phoneticPr fontId="5"/>
  </si>
  <si>
    <t>[effect:rush, count:9, val:0.11]</t>
    <phoneticPr fontId="5"/>
  </si>
  <si>
    <t>[effect:spread, val:0.36]</t>
    <phoneticPr fontId="5"/>
  </si>
  <si>
    <t xml:space="preserve">[effect:enemy_message, val1:1.3, val2:2.6],[effect:drop_block, block_type:time_bomb, block_color:block_yellow, color:block_all, val:0.44, rate:0.15, turn:-1, min_time_count:2, max_time_count:2, animation:time_bomb_influence04],[effect:reduction, target:myself, color:all, turn:-1, val:0.5, animation:reduction_one01]   </t>
    <phoneticPr fontId="5"/>
  </si>
  <si>
    <t>アバターと作品の融合事件は
カフカが正気を取り戻したことで
縮小化され落ち着いてきました
まもなく完全に収束することでしょう</t>
    <rPh sb="5" eb="7">
      <t>サクヒn</t>
    </rPh>
    <rPh sb="8" eb="12">
      <t>ユウゴウジケン</t>
    </rPh>
    <rPh sb="18" eb="20">
      <t>ショウキヲ</t>
    </rPh>
    <rPh sb="21" eb="22">
      <t>トリモドシタ</t>
    </rPh>
    <rPh sb="30" eb="33">
      <t>シュクショウカ</t>
    </rPh>
    <rPh sb="35" eb="36">
      <t>オチツイテ</t>
    </rPh>
    <rPh sb="50" eb="52">
      <t>カンゼn</t>
    </rPh>
    <rPh sb="53" eb="55">
      <t>シュウソク</t>
    </rPh>
    <phoneticPr fontId="5"/>
  </si>
  <si>
    <t>融合事件の収束</t>
    <rPh sb="0" eb="2">
      <t>ユウゴウ</t>
    </rPh>
    <rPh sb="2" eb="4">
      <t>ジケn</t>
    </rPh>
    <rPh sb="5" eb="7">
      <t>シュウソク</t>
    </rPh>
    <phoneticPr fontId="5"/>
  </si>
  <si>
    <t xml:space="preserve">[effect:break_attack, target:unit_one, val:0.11, lowest_val:1500, count:-1, color:red, block01:block_red]    </t>
    <phoneticPr fontId="5"/>
  </si>
  <si>
    <t xml:space="preserve">[effect:break_attack, target:unit_one, val:0.11, lowest_val:1500, count:-1, color:red, block01:block_red]    </t>
    <phoneticPr fontId="5"/>
  </si>
  <si>
    <t xml:space="preserve">[effect:damage_fix_absolute, target:unit_one, val:11500]    </t>
    <phoneticPr fontId="5"/>
  </si>
  <si>
    <t>[effect:damage_fix_absolute, target:unit_one, val:12000]</t>
    <phoneticPr fontId="5"/>
  </si>
  <si>
    <t>[effect:damage_fix_absolute, target:unit_one, val:12500]</t>
    <phoneticPr fontId="5"/>
  </si>
  <si>
    <t xml:space="preserve">[effect:enemy_message, val1:1.3, val2:2.3],[effect:damage_fix_absolute, target:unit_one, val:13000],[effect:degrade_unit, target:unit_all, turn:1, status:heal, val:0.5, calc:mul, animation:degrade_unit_all_heal]    </t>
    <phoneticPr fontId="5"/>
  </si>
  <si>
    <t xml:space="preserve">[effect:enemy_message, val1:1.3, val2:2.3],[effect:damage_fix_absolute, target:unit_one, val:13500],[effect:degrade_unit, target:unit_all, turn:1, status:heal, val:0.7, calc:mul, animation:degrade_unit_all_heal]    </t>
    <phoneticPr fontId="5"/>
  </si>
  <si>
    <t xml:space="preserve">[effect:enemy_message, val1:1.3, val2:2.3],[effect:damage_fix_absolute, target:unit_one, val:14000],[effect:degrade_unit, target:unit_all, turn:1, status:heal, val:0.9, calc:mul, animation:degrade_unit_all_heal]    </t>
    <phoneticPr fontId="5"/>
  </si>
  <si>
    <t>[effect:enemy_message, val1:1, val2:2.2],[effect:virus, turn:4, rate:1, val:0.2, animation:enemy_virus],[effect:damage_anti_color, target:unit_all, color:green, val1:2.0, val2:0.3]</t>
    <phoneticPr fontId="5"/>
  </si>
  <si>
    <t>状態異常耐性+5ターン全属性カウンター(威力小)</t>
    <rPh sb="0" eb="4">
      <t>ジョウタイイジョウ</t>
    </rPh>
    <rPh sb="4" eb="6">
      <t>タイセイ</t>
    </rPh>
    <rPh sb="11" eb="14">
      <t>ゼンゾクセイ</t>
    </rPh>
    <rPh sb="20" eb="22">
      <t>イリョク</t>
    </rPh>
    <rPh sb="22" eb="23">
      <t>チイサイ</t>
    </rPh>
    <phoneticPr fontId="5"/>
  </si>
  <si>
    <t>状態異常耐性+3ターン全属性カウンター(威力小)</t>
    <rPh sb="0" eb="4">
      <t>ジョウタイイジョウ</t>
    </rPh>
    <rPh sb="4" eb="6">
      <t>タイセイ</t>
    </rPh>
    <rPh sb="11" eb="14">
      <t>ゼンゾクセイ</t>
    </rPh>
    <rPh sb="20" eb="22">
      <t>イリョク</t>
    </rPh>
    <rPh sb="22" eb="23">
      <t>チイサイ</t>
    </rPh>
    <phoneticPr fontId="5"/>
  </si>
  <si>
    <t>状態異常耐性+
敵HPが高いほど強力な全体攻撃を連発する</t>
    <rPh sb="0" eb="4">
      <t>ジョウタイイジョウ</t>
    </rPh>
    <rPh sb="4" eb="6">
      <t>タイセイ</t>
    </rPh>
    <rPh sb="8" eb="9">
      <t>テキ</t>
    </rPh>
    <rPh sb="12" eb="13">
      <t>タカイホド</t>
    </rPh>
    <rPh sb="16" eb="18">
      <t>キョウリョクナ</t>
    </rPh>
    <rPh sb="19" eb="21">
      <t>ゼンタイ</t>
    </rPh>
    <rPh sb="21" eb="23">
      <t>コウゲキ</t>
    </rPh>
    <rPh sb="24" eb="26">
      <t>レンパツ</t>
    </rPh>
    <phoneticPr fontId="5"/>
  </si>
  <si>
    <t>[effect:enemy_message, val1:1, val2:2.6],[effect:fix_speed, target:myself, turn:1],[effect:tolerance, target:myself, turn:-1, tolerance_effect:all, count:-1, animation:enemy_tolerance]</t>
    <phoneticPr fontId="5"/>
  </si>
  <si>
    <t>自身の攻撃力大UP+
出現しているCパネル強化(超大)</t>
    <rPh sb="0" eb="2">
      <t>ジシンノ</t>
    </rPh>
    <rPh sb="3" eb="6">
      <t>コウゲキリョク</t>
    </rPh>
    <rPh sb="6" eb="7">
      <t>ダイ</t>
    </rPh>
    <rPh sb="11" eb="13">
      <t>シュツゲン</t>
    </rPh>
    <rPh sb="21" eb="23">
      <t>キョウカ</t>
    </rPh>
    <rPh sb="24" eb="26">
      <t>チョウダイ</t>
    </rPh>
    <phoneticPr fontId="5"/>
  </si>
  <si>
    <t>ハートパネル以外を最大5個
青のダメージパネルに変換+3ターンハート無効</t>
    <rPh sb="6" eb="8">
      <t>イガイ</t>
    </rPh>
    <rPh sb="9" eb="11">
      <t>サイダイ</t>
    </rPh>
    <rPh sb="12" eb="13">
      <t>コ</t>
    </rPh>
    <rPh sb="14" eb="15">
      <t>アオノ</t>
    </rPh>
    <rPh sb="24" eb="26">
      <t>ヘンカn</t>
    </rPh>
    <rPh sb="34" eb="36">
      <t>ムコウ</t>
    </rPh>
    <phoneticPr fontId="5"/>
  </si>
  <si>
    <t>欲しいものは自分で創るしかないんだ…！
【敵HPが高いほど強力な全体攻撃】</t>
    <rPh sb="0" eb="1">
      <t>ホシイ</t>
    </rPh>
    <rPh sb="6" eb="8">
      <t>ジブン</t>
    </rPh>
    <rPh sb="9" eb="10">
      <t>ツクルヨ</t>
    </rPh>
    <rPh sb="21" eb="22">
      <t>テキ</t>
    </rPh>
    <rPh sb="25" eb="26">
      <t>タカイ</t>
    </rPh>
    <rPh sb="29" eb="31">
      <t>キョウリョクナ</t>
    </rPh>
    <rPh sb="32" eb="34">
      <t>ゼンタイ</t>
    </rPh>
    <rPh sb="34" eb="36">
      <t>コウゲキ</t>
    </rPh>
    <phoneticPr fontId="5"/>
  </si>
  <si>
    <t>[effect:enemy_message, val1:1.2, val2:2.5],[effect:force_change_block, new_block:damage, target:block_all, ignore01:crack_bomb, ignore02:color_break, ignore03:block_heart, ignore04:damage, ignore05:crash, ignore06:magnet, color:block_blue, count:5, val:0.1, animation:change_block],[effect:dis_heart, turn:3, animation:enemy_dis_heart]</t>
    <phoneticPr fontId="5"/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</si>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</sst>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9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3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0" fillId="13" borderId="0" xfId="0" applyFill="1"/>
    <xf numFmtId="0" fontId="0" fillId="3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0" fontId="31" fillId="0" borderId="7" xfId="0" applyFont="1" applyFill="1" applyBorder="1" applyAlignment="1">
      <alignment wrapText="1"/>
    </xf>
    <xf numFmtId="0" fontId="16" fillId="13" borderId="7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53" fillId="13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J25" sqref="J2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128</v>
      </c>
      <c r="B1" s="55" t="s">
        <v>98</v>
      </c>
      <c r="C1" s="55" t="s">
        <v>99</v>
      </c>
      <c r="D1" s="55" t="s">
        <v>100</v>
      </c>
      <c r="E1" s="55" t="s">
        <v>101</v>
      </c>
      <c r="F1" s="55" t="s">
        <v>102</v>
      </c>
      <c r="G1" s="55" t="s">
        <v>103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277</v>
      </c>
      <c r="B2" s="57" t="s">
        <v>104</v>
      </c>
      <c r="C2" s="62">
        <v>50010</v>
      </c>
      <c r="D2" s="57" t="s">
        <v>105</v>
      </c>
      <c r="E2" s="56" t="str">
        <f>B2&amp;C2&amp;D2</f>
        <v>floors_50010.tmp</v>
      </c>
      <c r="F2" s="57" t="s">
        <v>106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277</v>
      </c>
      <c r="B3" s="57" t="s">
        <v>107</v>
      </c>
      <c r="C3" s="62">
        <f>C$2</f>
        <v>50010</v>
      </c>
      <c r="D3" s="57" t="s">
        <v>105</v>
      </c>
      <c r="E3" s="56" t="str">
        <f>B3&amp;C3&amp;D3</f>
        <v>enemy_habitats_50010.tmp</v>
      </c>
      <c r="F3" s="57" t="s">
        <v>108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177</v>
      </c>
    </row>
    <row r="4" spans="1:30" x14ac:dyDescent="0.15">
      <c r="A4" s="61" t="s">
        <v>277</v>
      </c>
      <c r="B4" s="57" t="s">
        <v>109</v>
      </c>
      <c r="C4" s="62">
        <f t="shared" ref="C4:C13" si="0">C$2</f>
        <v>50010</v>
      </c>
      <c r="D4" s="57" t="s">
        <v>105</v>
      </c>
      <c r="E4" s="56" t="str">
        <f>B4&amp;C4&amp;D4</f>
        <v>enemy_habitat_S_50010.tmp</v>
      </c>
      <c r="F4" s="57" t="s">
        <v>110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277</v>
      </c>
      <c r="B5" s="57" t="s">
        <v>111</v>
      </c>
      <c r="C5" s="62">
        <f t="shared" si="0"/>
        <v>50010</v>
      </c>
      <c r="D5" s="57" t="s">
        <v>105</v>
      </c>
      <c r="E5" s="56" t="str">
        <f>B5&amp;C5&amp;D5</f>
        <v>enemy_skill_sets_50010.tmp</v>
      </c>
      <c r="F5" s="57" t="s">
        <v>112</v>
      </c>
      <c r="G5" s="59" t="s">
        <v>22</v>
      </c>
      <c r="H5" s="59" t="s">
        <v>97</v>
      </c>
      <c r="I5" s="59" t="s">
        <v>92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277</v>
      </c>
      <c r="B6" s="57" t="s">
        <v>113</v>
      </c>
      <c r="C6" s="62">
        <f t="shared" si="0"/>
        <v>50010</v>
      </c>
      <c r="D6" s="57" t="s">
        <v>114</v>
      </c>
      <c r="E6" s="56" t="str">
        <f t="shared" ref="E6:E10" si="1">B6&amp;C6&amp;D6</f>
        <v>enemy_skills_tmp_50010.tmp</v>
      </c>
      <c r="F6" s="57" t="s">
        <v>88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277</v>
      </c>
      <c r="B7" s="57" t="s">
        <v>115</v>
      </c>
      <c r="C7" s="62">
        <f t="shared" si="0"/>
        <v>50010</v>
      </c>
      <c r="D7" s="57" t="s">
        <v>105</v>
      </c>
      <c r="E7" s="56" t="str">
        <f>B7&amp;C7&amp;D7</f>
        <v>enemy_skills_i18n_50010.tmp</v>
      </c>
      <c r="F7" s="57" t="s">
        <v>116</v>
      </c>
      <c r="G7" s="58" t="s">
        <v>78</v>
      </c>
      <c r="H7" s="58" t="s">
        <v>89</v>
      </c>
      <c r="I7" s="58" t="s">
        <v>90</v>
      </c>
      <c r="J7" s="58" t="s">
        <v>91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277</v>
      </c>
      <c r="B8" s="57" t="s">
        <v>117</v>
      </c>
      <c r="C8" s="62">
        <f t="shared" si="0"/>
        <v>50010</v>
      </c>
      <c r="D8" s="57" t="s">
        <v>118</v>
      </c>
      <c r="E8" s="56" t="str">
        <f t="shared" si="1"/>
        <v>enemy_skill_triggers_50010.tmp</v>
      </c>
      <c r="F8" s="57" t="s">
        <v>119</v>
      </c>
      <c r="G8" s="58" t="s">
        <v>92</v>
      </c>
      <c r="H8" s="58" t="s">
        <v>93</v>
      </c>
      <c r="I8" s="58" t="s">
        <v>94</v>
      </c>
      <c r="J8" s="58" t="s">
        <v>95</v>
      </c>
      <c r="K8" s="58" t="s">
        <v>120</v>
      </c>
      <c r="L8" s="58" t="s">
        <v>96</v>
      </c>
      <c r="M8" s="58" t="s">
        <v>121</v>
      </c>
      <c r="N8" s="58" t="s">
        <v>122</v>
      </c>
      <c r="O8" s="58" t="s">
        <v>123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277</v>
      </c>
      <c r="B9" s="67" t="s">
        <v>176</v>
      </c>
      <c r="C9" s="62">
        <f t="shared" si="0"/>
        <v>50010</v>
      </c>
      <c r="D9" s="67" t="s">
        <v>170</v>
      </c>
      <c r="E9" s="68" t="str">
        <f t="shared" si="1"/>
        <v>stage_bug_bonuses_50010.tmp</v>
      </c>
      <c r="F9" s="67" t="s">
        <v>171</v>
      </c>
      <c r="G9" s="64" t="s">
        <v>148</v>
      </c>
      <c r="H9" s="64" t="s">
        <v>172</v>
      </c>
      <c r="I9" s="64" t="s">
        <v>173</v>
      </c>
      <c r="J9" s="66" t="s">
        <v>174</v>
      </c>
      <c r="K9" s="64" t="s">
        <v>175</v>
      </c>
      <c r="L9" s="64" t="s">
        <v>154</v>
      </c>
      <c r="M9" s="64" t="s">
        <v>155</v>
      </c>
      <c r="N9" s="64" t="s">
        <v>156</v>
      </c>
      <c r="O9" s="64" t="s">
        <v>157</v>
      </c>
      <c r="P9" s="64" t="s">
        <v>158</v>
      </c>
      <c r="Q9" s="64" t="s">
        <v>159</v>
      </c>
      <c r="R9" s="64" t="s">
        <v>160</v>
      </c>
      <c r="S9" s="64" t="s">
        <v>161</v>
      </c>
      <c r="T9" s="64" t="s">
        <v>162</v>
      </c>
      <c r="U9" s="64" t="s">
        <v>163</v>
      </c>
      <c r="V9" s="64" t="s">
        <v>164</v>
      </c>
      <c r="W9" s="64" t="s">
        <v>165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186</v>
      </c>
      <c r="B10" s="67" t="s">
        <v>200</v>
      </c>
      <c r="C10" s="62">
        <f>C$2</f>
        <v>50010</v>
      </c>
      <c r="D10" s="67" t="s">
        <v>179</v>
      </c>
      <c r="E10" s="68" t="str">
        <f t="shared" si="1"/>
        <v>stage_hints_data_c_50010.tmp</v>
      </c>
      <c r="F10" s="67" t="s">
        <v>208</v>
      </c>
      <c r="G10" s="72" t="s">
        <v>180</v>
      </c>
      <c r="H10" s="72" t="s">
        <v>172</v>
      </c>
      <c r="I10" s="73" t="s">
        <v>181</v>
      </c>
      <c r="J10" s="66" t="s">
        <v>182</v>
      </c>
      <c r="K10" s="66" t="s">
        <v>183</v>
      </c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</row>
    <row r="11" spans="1:30" s="74" customFormat="1" x14ac:dyDescent="0.15">
      <c r="A11" s="61" t="s">
        <v>277</v>
      </c>
      <c r="B11" s="67" t="s">
        <v>201</v>
      </c>
      <c r="C11" s="62">
        <f t="shared" si="0"/>
        <v>50010</v>
      </c>
      <c r="D11" s="67" t="s">
        <v>170</v>
      </c>
      <c r="E11" s="68" t="str">
        <f t="shared" ref="E11:E13" si="2">B11&amp;C11&amp;D11</f>
        <v>stage_hints_data_f_50010.tmp</v>
      </c>
      <c r="F11" s="67" t="s">
        <v>209</v>
      </c>
      <c r="G11" s="72" t="s">
        <v>180</v>
      </c>
      <c r="H11" s="72" t="s">
        <v>172</v>
      </c>
      <c r="I11" s="73" t="s">
        <v>181</v>
      </c>
      <c r="J11" s="66" t="s">
        <v>182</v>
      </c>
      <c r="K11" s="66" t="s">
        <v>183</v>
      </c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</row>
    <row r="12" spans="1:30" s="74" customFormat="1" x14ac:dyDescent="0.15">
      <c r="A12" s="61" t="s">
        <v>277</v>
      </c>
      <c r="B12" s="67" t="s">
        <v>202</v>
      </c>
      <c r="C12" s="62">
        <f t="shared" si="0"/>
        <v>50010</v>
      </c>
      <c r="D12" s="67" t="s">
        <v>170</v>
      </c>
      <c r="E12" s="68" t="str">
        <f t="shared" si="2"/>
        <v>stage_hints_i18n_50010.tmp</v>
      </c>
      <c r="F12" s="67" t="s">
        <v>210</v>
      </c>
      <c r="G12" s="73" t="s">
        <v>203</v>
      </c>
      <c r="H12" s="92" t="s">
        <v>204</v>
      </c>
      <c r="I12" s="72" t="s">
        <v>205</v>
      </c>
      <c r="J12" s="100" t="s">
        <v>206</v>
      </c>
      <c r="K12" s="66" t="s">
        <v>207</v>
      </c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</row>
    <row r="13" spans="1:30" s="74" customFormat="1" x14ac:dyDescent="0.15">
      <c r="A13" s="61" t="s">
        <v>277</v>
      </c>
      <c r="B13" s="67" t="s">
        <v>249</v>
      </c>
      <c r="C13" s="62">
        <f t="shared" si="0"/>
        <v>50010</v>
      </c>
      <c r="D13" s="67" t="s">
        <v>230</v>
      </c>
      <c r="E13" s="68" t="str">
        <f t="shared" si="2"/>
        <v>stage_bonuses_50010.tmp</v>
      </c>
      <c r="F13" s="67" t="s">
        <v>229</v>
      </c>
      <c r="G13" s="72" t="s">
        <v>231</v>
      </c>
      <c r="H13" s="72" t="s">
        <v>232</v>
      </c>
      <c r="I13" s="72" t="s">
        <v>233</v>
      </c>
      <c r="J13" s="72" t="s">
        <v>234</v>
      </c>
      <c r="K13" s="72" t="s">
        <v>235</v>
      </c>
      <c r="L13" s="72" t="s">
        <v>236</v>
      </c>
      <c r="M13" s="72" t="s">
        <v>237</v>
      </c>
      <c r="N13" s="72" t="s">
        <v>238</v>
      </c>
      <c r="O13" s="72" t="s">
        <v>239</v>
      </c>
      <c r="P13" s="72" t="s">
        <v>240</v>
      </c>
      <c r="Q13" s="72" t="s">
        <v>241</v>
      </c>
      <c r="R13" s="72" t="s">
        <v>242</v>
      </c>
      <c r="S13" s="72" t="s">
        <v>243</v>
      </c>
      <c r="T13" s="72" t="s">
        <v>244</v>
      </c>
      <c r="U13" s="72" t="s">
        <v>245</v>
      </c>
      <c r="V13" s="72" t="s">
        <v>246</v>
      </c>
      <c r="W13" s="72" t="s">
        <v>247</v>
      </c>
      <c r="X13" s="72" t="s">
        <v>248</v>
      </c>
      <c r="Y13" s="99"/>
      <c r="Z13" s="99"/>
      <c r="AA13" s="99"/>
      <c r="AB13" s="99"/>
      <c r="AC13" s="99"/>
      <c r="AD13" s="9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O16" sqref="O1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50010_1-1</v>
      </c>
      <c r="B2" s="16" t="str">
        <f>IF(COUNTIF(enemy_habitats!$H:$H,A2),"OK","NG")</f>
        <v>OK</v>
      </c>
      <c r="C2" s="7">
        <v>50010</v>
      </c>
      <c r="D2" s="11" t="str">
        <f ca="1">VLOOKUP($C2,OFFSET([2]quests!$A$1,0,0,COUNTA([2]quests!$A:$A),MATCH(D$1,[2]quests!$1:$1,0)-MATCH($C$1,[2]quests!$1:$1,0)+1),MATCH(D$1,[2]quests!$1:$1,0)-MATCH($C$1,[2]quests!$1:$1,0)+1,FALSE)</f>
        <v>カフカ襲来！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超降臨10</v>
      </c>
      <c r="F2" s="21">
        <v>1</v>
      </c>
      <c r="G2" s="23" t="str">
        <f>C2&amp;"_"&amp;F2</f>
        <v>50010_1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【超ウィザード級】カフカ襲来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>G3&amp;"-"&amp;I3</f>
        <v>50010_1-2</v>
      </c>
      <c r="B3" s="16" t="str">
        <f>IF(COUNTIF(enemy_habitats!$H:$H,A3),"OK","NG")</f>
        <v>OK</v>
      </c>
      <c r="C3" s="7">
        <v>50010</v>
      </c>
      <c r="D3" s="11" t="str">
        <f ca="1">VLOOKUP($C3,OFFSET([2]quests!$A$1,0,0,COUNTA([2]quests!$A:$A),MATCH(D$1,[2]quests!$1:$1,0)-MATCH($C$1,[2]quests!$1:$1,0)+1),MATCH(D$1,[2]quests!$1:$1,0)-MATCH($C$1,[2]quests!$1:$1,0)+1,FALSE)</f>
        <v>カフカ襲来！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超降臨10</v>
      </c>
      <c r="F3" s="21">
        <v>1</v>
      </c>
      <c r="G3" s="23" t="str">
        <f>C3&amp;"_"&amp;F3</f>
        <v>50010_1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【超ウィザード級】カフカ襲来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50010_1-3</v>
      </c>
      <c r="B4" s="16" t="str">
        <f>IF(COUNTIF(enemy_habitats!$H:$H,A4),"OK","NG")</f>
        <v>OK</v>
      </c>
      <c r="C4" s="7">
        <v>50010</v>
      </c>
      <c r="D4" s="11" t="str">
        <f ca="1">VLOOKUP($C4,OFFSET([2]quests!$A$1,0,0,COUNTA([2]quests!$A:$A),MATCH(D$1,[2]quests!$1:$1,0)-MATCH($C$1,[2]quests!$1:$1,0)+1),MATCH(D$1,[2]quests!$1:$1,0)-MATCH($C$1,[2]quests!$1:$1,0)+1,FALSE)</f>
        <v>カフカ襲来！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超降臨10</v>
      </c>
      <c r="F4" s="21">
        <v>1</v>
      </c>
      <c r="G4" s="23" t="str">
        <f>C4&amp;"_"&amp;F4</f>
        <v>50010_1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【超ウィザード級】カフカ襲来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50010_1-4</v>
      </c>
      <c r="B5" s="16" t="str">
        <f>IF(COUNTIF(enemy_habitats!$H:$H,A5),"OK","NG")</f>
        <v>OK</v>
      </c>
      <c r="C5" s="7">
        <v>50010</v>
      </c>
      <c r="D5" s="11" t="str">
        <f ca="1">VLOOKUP($C5,OFFSET([2]quests!$A$1,0,0,COUNTA([2]quests!$A:$A),MATCH(D$1,[2]quests!$1:$1,0)-MATCH($C$1,[2]quests!$1:$1,0)+1),MATCH(D$1,[2]quests!$1:$1,0)-MATCH($C$1,[2]quests!$1:$1,0)+1,FALSE)</f>
        <v>カフカ襲来！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超降臨10</v>
      </c>
      <c r="F5" s="21">
        <v>1</v>
      </c>
      <c r="G5" s="23" t="str">
        <f>C5&amp;"_"&amp;F5</f>
        <v>50010_1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【超ウィザード級】カフカ襲来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8"/>
  <sheetViews>
    <sheetView showGridLines="0" tabSelected="1" workbookViewId="0">
      <pane xSplit="17" ySplit="1" topLeftCell="AG2" activePane="bottomRight" state="frozen"/>
      <selection pane="topRight" activeCell="N1" sqref="N1"/>
      <selection pane="bottomLeft" activeCell="A2" sqref="A2"/>
      <selection pane="bottomRight" activeCell="AG19" sqref="AG1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3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1" t="s">
        <v>250</v>
      </c>
      <c r="U1" s="26" t="s">
        <v>50</v>
      </c>
      <c r="V1" s="101" t="s">
        <v>251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178</v>
      </c>
    </row>
    <row r="2" spans="1:42" ht="21" customHeight="1" x14ac:dyDescent="0.15">
      <c r="A2" s="16" t="str">
        <f t="shared" ref="A2:A8" si="0">B2&amp;"_"&amp;C2&amp;"-"&amp;G2&amp;"/"&amp;L2&amp;"&lt;lv"&amp;R2&amp;"&gt;s"&amp;AC2</f>
        <v>50010_1-1/370&lt;lv80&gt;s2</v>
      </c>
      <c r="B2" s="22">
        <v>50010</v>
      </c>
      <c r="C2" s="21">
        <v>1</v>
      </c>
      <c r="D2" s="2" t="str">
        <f t="shared" ref="D2:D8" si="1">B2&amp;"_"&amp;C2</f>
        <v>50010_1</v>
      </c>
      <c r="E2" s="4" t="str">
        <f ca="1">VLOOKUP($B2,OFFSET([2]quests!$A$1,0,0,COUNTA([2]quests!$A:$A),MATCH(E$1,[2]quests!$1:$1,0)-MATCH($B$1,[2]quests!$1:$1,0)+1),MATCH(E$1,[2]quests!$1:$1,0)-MATCH($B$1,[2]quests!$1:$1,0)+1,FALSE)</f>
        <v>カフカ襲来！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【超ウィザード級】カフカ襲来</v>
      </c>
      <c r="G2" s="21">
        <v>1</v>
      </c>
      <c r="H2" s="15" t="str">
        <f t="shared" ref="H2:H8" si="2">B2&amp;"_"&amp;C2&amp;"-"&amp;G2</f>
        <v>50010_1-1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>
        <v>1</v>
      </c>
      <c r="L2" s="20">
        <v>370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タイチ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4.9000000000000004</v>
      </c>
      <c r="T2" s="10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79870</v>
      </c>
      <c r="U2" s="25">
        <v>1</v>
      </c>
      <c r="V2" s="10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6634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赤パネルを吸収して攻撃</v>
      </c>
      <c r="Y2" s="108">
        <v>50010001</v>
      </c>
      <c r="Z2" s="6">
        <v>0</v>
      </c>
      <c r="AA2" s="6">
        <v>100</v>
      </c>
      <c r="AB2" s="6">
        <v>2</v>
      </c>
      <c r="AC2" s="104">
        <v>2</v>
      </c>
      <c r="AD2" s="24">
        <f t="shared" ref="AD2:AD8" si="3">L2</f>
        <v>370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4">
        <f t="shared" ref="AI2:AI8" ca="1" si="4">AF2</f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t="shared" si="0"/>
        <v>50010_1-1/374&lt;lv80&gt;s1</v>
      </c>
      <c r="B3" s="22">
        <v>50010</v>
      </c>
      <c r="C3" s="21">
        <v>1</v>
      </c>
      <c r="D3" s="2" t="str">
        <f t="shared" si="1"/>
        <v>50010_1</v>
      </c>
      <c r="E3" s="4" t="str">
        <f ca="1">VLOOKUP($B3,OFFSET([2]quests!$A$1,0,0,COUNTA([2]quests!$A:$A),MATCH(E$1,[2]quests!$1:$1,0)-MATCH($B$1,[2]quests!$1:$1,0)+1),MATCH(E$1,[2]quests!$1:$1,0)-MATCH($B$1,[2]quests!$1:$1,0)+1,FALSE)</f>
        <v>カフカ襲来！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【超ウィザード級】カフカ襲来</v>
      </c>
      <c r="G3" s="21">
        <v>1</v>
      </c>
      <c r="H3" s="15" t="str">
        <f t="shared" si="2"/>
        <v>50010_1-1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>
        <v>2</v>
      </c>
      <c r="L3" s="20">
        <v>374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影丸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6.6</v>
      </c>
      <c r="T3" s="10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96822</v>
      </c>
      <c r="U3" s="25">
        <v>1.2</v>
      </c>
      <c r="V3" s="10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5692.8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何者かの強い「干渉」を受けているようだ</v>
      </c>
      <c r="Y3" s="108">
        <v>50010003</v>
      </c>
      <c r="Z3" s="6">
        <v>0</v>
      </c>
      <c r="AA3" s="6">
        <v>100</v>
      </c>
      <c r="AB3" s="6">
        <v>1</v>
      </c>
      <c r="AC3" s="104">
        <v>1</v>
      </c>
      <c r="AD3" s="24">
        <f t="shared" si="3"/>
        <v>374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影丸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4"/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 t="shared" si="0"/>
        <v>50010_1-1/412&lt;lv80&gt;s3</v>
      </c>
      <c r="B4" s="22">
        <v>50010</v>
      </c>
      <c r="C4" s="21">
        <v>1</v>
      </c>
      <c r="D4" s="2" t="str">
        <f t="shared" si="1"/>
        <v>50010_1</v>
      </c>
      <c r="E4" s="4" t="str">
        <f ca="1">VLOOKUP($B4,OFFSET([2]quests!$A$1,0,0,COUNTA([2]quests!$A:$A),MATCH(E$1,[2]quests!$1:$1,0)-MATCH($B$1,[2]quests!$1:$1,0)+1),MATCH(E$1,[2]quests!$1:$1,0)-MATCH($B$1,[2]quests!$1:$1,0)+1,FALSE)</f>
        <v>カフカ襲来！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【超ウィザード級】カフカ襲来</v>
      </c>
      <c r="G4" s="21">
        <v>1</v>
      </c>
      <c r="H4" s="15" t="str">
        <f t="shared" si="2"/>
        <v>50010_1-1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>
        <v>3</v>
      </c>
      <c r="L4" s="20">
        <v>412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コウネン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5">
        <v>2.1</v>
      </c>
      <c r="T4" s="10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48640.200000000004</v>
      </c>
      <c r="U4" s="25">
        <v>1.5</v>
      </c>
      <c r="V4" s="10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6297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全てのプラス効果を解除+クリティカル！</v>
      </c>
      <c r="Y4" s="108">
        <v>50010005</v>
      </c>
      <c r="Z4" s="6">
        <v>0</v>
      </c>
      <c r="AA4" s="6">
        <v>100</v>
      </c>
      <c r="AB4" s="6">
        <v>0</v>
      </c>
      <c r="AC4" s="104">
        <v>3</v>
      </c>
      <c r="AD4" s="24">
        <f t="shared" si="3"/>
        <v>412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コウネン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7">
        <v>1</v>
      </c>
      <c r="AI4" s="24">
        <f t="shared" ca="1" si="4"/>
        <v>2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 t="shared" si="0"/>
        <v>50010_1-2/1228&lt;lv80&gt;s1</v>
      </c>
      <c r="B5" s="22">
        <v>50010</v>
      </c>
      <c r="C5" s="21">
        <v>1</v>
      </c>
      <c r="D5" s="2" t="str">
        <f t="shared" si="1"/>
        <v>50010_1</v>
      </c>
      <c r="E5" s="4" t="str">
        <f ca="1">VLOOKUP($B5,OFFSET([2]quests!$A$1,0,0,COUNTA([2]quests!$A:$A),MATCH(E$1,[2]quests!$1:$1,0)-MATCH($B$1,[2]quests!$1:$1,0)+1),MATCH(E$1,[2]quests!$1:$1,0)-MATCH($B$1,[2]quests!$1:$1,0)+1,FALSE)</f>
        <v>カフカ襲来！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【超ウィザード級】カフカ襲来</v>
      </c>
      <c r="G5" s="21">
        <v>2</v>
      </c>
      <c r="H5" s="15" t="str">
        <f t="shared" si="2"/>
        <v>50010_1-2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20">
        <v>1228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芥川龍之介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PremiumSSw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80</v>
      </c>
      <c r="S5" s="25">
        <v>7.3</v>
      </c>
      <c r="T5" s="10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950730.1</v>
      </c>
      <c r="U5" s="25">
        <v>1.1000000000000001</v>
      </c>
      <c r="V5" s="10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12632.400000000001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状態異常耐性+3ターン全属性カウンター(威力小)</v>
      </c>
      <c r="Y5" s="108">
        <v>50010007</v>
      </c>
      <c r="Z5" s="6">
        <v>0</v>
      </c>
      <c r="AA5" s="6">
        <v>100</v>
      </c>
      <c r="AB5" s="6">
        <v>1</v>
      </c>
      <c r="AC5" s="104">
        <v>1</v>
      </c>
      <c r="AD5" s="24">
        <f t="shared" si="3"/>
        <v>1228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芥川龍之介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PremiumSSw</v>
      </c>
      <c r="AH5" s="7">
        <v>1</v>
      </c>
      <c r="AI5" s="24">
        <f t="shared" ca="1" si="4"/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15">
      <c r="A6" s="16" t="str">
        <f t="shared" si="0"/>
        <v>50010_1-3/130&lt;lv80&gt;s2</v>
      </c>
      <c r="B6" s="22">
        <v>50010</v>
      </c>
      <c r="C6" s="21">
        <v>1</v>
      </c>
      <c r="D6" s="2" t="str">
        <f t="shared" si="1"/>
        <v>50010_1</v>
      </c>
      <c r="E6" s="4" t="str">
        <f ca="1">VLOOKUP($B6,OFFSET([2]quests!$A$1,0,0,COUNTA([2]quests!$A:$A),MATCH(E$1,[2]quests!$1:$1,0)-MATCH($B$1,[2]quests!$1:$1,0)+1),MATCH(E$1,[2]quests!$1:$1,0)-MATCH($B$1,[2]quests!$1:$1,0)+1,FALSE)</f>
        <v>カフカ襲来！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【超ウィザード級】カフカ襲来</v>
      </c>
      <c r="G6" s="21">
        <v>3</v>
      </c>
      <c r="H6" s="15" t="str">
        <f t="shared" si="2"/>
        <v>50010_1-3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252</v>
      </c>
      <c r="L6" s="20">
        <v>130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狼男 ローレンス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80</v>
      </c>
      <c r="S6" s="25">
        <v>6</v>
      </c>
      <c r="T6" s="10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537900</v>
      </c>
      <c r="U6" s="25">
        <v>1</v>
      </c>
      <c r="V6" s="10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10937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敵全体の攻撃力UP</v>
      </c>
      <c r="Y6" s="108">
        <v>50010009</v>
      </c>
      <c r="Z6" s="6">
        <v>0</v>
      </c>
      <c r="AA6" s="6">
        <v>100</v>
      </c>
      <c r="AB6" s="6">
        <v>0</v>
      </c>
      <c r="AC6" s="104">
        <v>2</v>
      </c>
      <c r="AD6" s="24">
        <f t="shared" si="3"/>
        <v>130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狼男 ローレンス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6" s="7">
        <v>1</v>
      </c>
      <c r="AI6" s="24">
        <f t="shared" ca="1" si="4"/>
        <v>3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15">
      <c r="A7" s="16" t="str">
        <f t="shared" si="0"/>
        <v>50010_1-3/452&lt;lv80&gt;s1</v>
      </c>
      <c r="B7" s="22">
        <v>50010</v>
      </c>
      <c r="C7" s="21">
        <v>1</v>
      </c>
      <c r="D7" s="2" t="str">
        <f t="shared" si="1"/>
        <v>50010_1</v>
      </c>
      <c r="E7" s="4" t="str">
        <f ca="1">VLOOKUP($B7,OFFSET([2]quests!$A$1,0,0,COUNTA([2]quests!$A:$A),MATCH(E$1,[2]quests!$1:$1,0)-MATCH($B$1,[2]quests!$1:$1,0)+1),MATCH(E$1,[2]quests!$1:$1,0)-MATCH($B$1,[2]quests!$1:$1,0)+1,FALSE)</f>
        <v>カフカ襲来！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【超ウィザード級】カフカ襲来</v>
      </c>
      <c r="G7" s="21">
        <v>3</v>
      </c>
      <c r="H7" s="15" t="str">
        <f t="shared" si="2"/>
        <v>50010_1-3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252</v>
      </c>
      <c r="L7" s="20">
        <v>452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猛狐 エゾ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4.4000000000000004</v>
      </c>
      <c r="T7" s="102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466180.00000000006</v>
      </c>
      <c r="U7" s="25">
        <v>0.9</v>
      </c>
      <c r="V7" s="102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8344.8000000000011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先制攻撃を仕掛けてきた！</v>
      </c>
      <c r="Y7" s="108">
        <v>50010010</v>
      </c>
      <c r="Z7" s="6">
        <v>0</v>
      </c>
      <c r="AA7" s="6">
        <v>100</v>
      </c>
      <c r="AB7" s="6">
        <v>1</v>
      </c>
      <c r="AC7" s="104">
        <v>1</v>
      </c>
      <c r="AD7" s="24">
        <f t="shared" si="3"/>
        <v>452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猛狐 エゾ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  <row r="8" spans="1:42" ht="21" customHeight="1" x14ac:dyDescent="0.15">
      <c r="A8" s="16" t="str">
        <f t="shared" si="0"/>
        <v>50010_1-4/1222&lt;lv80&gt;s2</v>
      </c>
      <c r="B8" s="22">
        <v>50010</v>
      </c>
      <c r="C8" s="21">
        <v>1</v>
      </c>
      <c r="D8" s="2" t="str">
        <f t="shared" si="1"/>
        <v>50010_1</v>
      </c>
      <c r="E8" s="4" t="str">
        <f ca="1">VLOOKUP($B8,OFFSET([2]quests!$A$1,0,0,COUNTA([2]quests!$A:$A),MATCH(E$1,[2]quests!$1:$1,0)-MATCH($B$1,[2]quests!$1:$1,0)+1),MATCH(E$1,[2]quests!$1:$1,0)-MATCH($B$1,[2]quests!$1:$1,0)+1,FALSE)</f>
        <v>カフカ襲来！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【超ウィザード級】カフカ襲来</v>
      </c>
      <c r="G8" s="21">
        <v>4</v>
      </c>
      <c r="H8" s="15" t="str">
        <f t="shared" si="2"/>
        <v>50010_1-4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5</v>
      </c>
      <c r="L8" s="20">
        <v>1222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カフカ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5">
        <v>5</v>
      </c>
      <c r="T8" s="102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586065</v>
      </c>
      <c r="U8" s="25">
        <v>1.7</v>
      </c>
      <c r="V8" s="102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13210.699999999999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状態異常耐性+8ターン強力なウィルス+_x000D_全属性ダメージ80%軽減</v>
      </c>
      <c r="Y8" s="108">
        <v>50010011</v>
      </c>
      <c r="Z8" s="6">
        <v>0</v>
      </c>
      <c r="AA8" s="6">
        <v>100</v>
      </c>
      <c r="AB8" s="6">
        <v>1</v>
      </c>
      <c r="AC8" s="104">
        <v>2</v>
      </c>
      <c r="AD8" s="24">
        <f t="shared" si="3"/>
        <v>1222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カフカ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8" s="7">
        <v>1</v>
      </c>
      <c r="AI8" s="24">
        <f t="shared" ca="1" si="4"/>
        <v>5</v>
      </c>
      <c r="AJ8" s="8">
        <v>85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9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16" sqref="T1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1" t="s">
        <v>250</v>
      </c>
      <c r="V1" s="26" t="s">
        <v>50</v>
      </c>
      <c r="W1" s="101" t="s">
        <v>251</v>
      </c>
      <c r="X1" s="26" t="s">
        <v>52</v>
      </c>
      <c r="Y1" s="28" t="s">
        <v>127</v>
      </c>
      <c r="Z1" s="29" t="s">
        <v>126</v>
      </c>
      <c r="AA1" s="28" t="s">
        <v>8</v>
      </c>
    </row>
    <row r="2" spans="1:27" ht="21" customHeight="1" x14ac:dyDescent="0.15">
      <c r="A2" s="16" t="str">
        <f t="shared" ref="A2:A7" si="0">B2&amp;"_"&amp;C2&amp;"-"&amp;G2&amp;"/"&amp;M2&amp;"&lt;lv"&amp;S2&amp;"&gt;sq"&amp;K2&amp;"st"&amp;L2</f>
        <v>50010_1-1/371&lt;lv80&gt;sq1st2</v>
      </c>
      <c r="B2" s="22">
        <v>50010</v>
      </c>
      <c r="C2" s="21">
        <v>1</v>
      </c>
      <c r="D2" s="2" t="str">
        <f t="shared" ref="D2:D7" si="1">B2&amp;"_"&amp;C2</f>
        <v>50010_1</v>
      </c>
      <c r="E2" s="4" t="str">
        <f ca="1">VLOOKUP($B2,OFFSET([2]quests!$A$1,0,0,COUNTA([2]quests!$A:$A),MATCH(E$1,[2]quests!$1:$1,0)-MATCH($B$1,[2]quests!$1:$1,0)+1),MATCH(E$1,[2]quests!$1:$1,0)-MATCH($B$1,[2]quests!$1:$1,0)+1,FALSE)</f>
        <v>カフカ襲来！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【超ウィザード級】カフカ襲来</v>
      </c>
      <c r="G2" s="21">
        <v>1</v>
      </c>
      <c r="H2" s="15" t="str">
        <f t="shared" ref="H2:H7" si="2">B2&amp;"_"&amp;C2&amp;"-"&amp;G2</f>
        <v>50010_1-1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8">
        <v>1</v>
      </c>
      <c r="L2" s="38">
        <v>2</v>
      </c>
      <c r="M2" s="20">
        <v>371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行灯達磨 タイチ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Drop1S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7">
        <f ca="1">VLOOKUP($M2,OFFSET([3]enemies!$A$1,0,0,COUNTA([3]enemies!$A:$A),MATCH(R$1,[3]enemies!$1:$1,0)-MATCH($M$1,[3]enemies!$1:$1,0)+1),MATCH(R$1,[3]enemies!$1:$1,0)-MATCH($M$1,[3]enemies!$1:$1,0)+1,FALSE)</f>
        <v>20</v>
      </c>
      <c r="S2" s="5">
        <v>80</v>
      </c>
      <c r="T2" s="25">
        <v>4.5</v>
      </c>
      <c r="U2" s="10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80685</v>
      </c>
      <c r="V2" s="25">
        <v>1.1000000000000001</v>
      </c>
      <c r="W2" s="10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8757.1</v>
      </c>
      <c r="X2" s="5">
        <v>0</v>
      </c>
      <c r="Y2" s="4"/>
      <c r="Z2" s="106">
        <v>50010002</v>
      </c>
      <c r="AA2" s="105">
        <v>2</v>
      </c>
    </row>
    <row r="3" spans="1:27" ht="21" customHeight="1" x14ac:dyDescent="0.15">
      <c r="A3" s="16" t="str">
        <f t="shared" si="0"/>
        <v>50010_1-1/375&lt;lv80&gt;sq2st2</v>
      </c>
      <c r="B3" s="22">
        <v>50010</v>
      </c>
      <c r="C3" s="21">
        <v>1</v>
      </c>
      <c r="D3" s="2" t="str">
        <f t="shared" si="1"/>
        <v>50010_1</v>
      </c>
      <c r="E3" s="4" t="str">
        <f ca="1">VLOOKUP($B3,OFFSET([2]quests!$A$1,0,0,COUNTA([2]quests!$A:$A),MATCH(E$1,[2]quests!$1:$1,0)-MATCH($B$1,[2]quests!$1:$1,0)+1),MATCH(E$1,[2]quests!$1:$1,0)-MATCH($B$1,[2]quests!$1:$1,0)+1,FALSE)</f>
        <v>カフカ襲来！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【超ウィザード級】カフカ襲来</v>
      </c>
      <c r="G3" s="21">
        <v>1</v>
      </c>
      <c r="H3" s="15" t="str">
        <f t="shared" si="2"/>
        <v>50010_1-1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8">
        <v>2</v>
      </c>
      <c r="L3" s="38">
        <v>2</v>
      </c>
      <c r="M3" s="20">
        <v>375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蒼術兎忍 影丸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Drop1S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20</v>
      </c>
      <c r="S3" s="5">
        <v>80</v>
      </c>
      <c r="T3" s="25">
        <v>6.9</v>
      </c>
      <c r="U3" s="102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111345.3</v>
      </c>
      <c r="V3" s="25">
        <v>1.3</v>
      </c>
      <c r="W3" s="102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7400.9000000000005</v>
      </c>
      <c r="X3" s="5">
        <v>0</v>
      </c>
      <c r="Y3" s="4"/>
      <c r="Z3" s="106">
        <v>50010004</v>
      </c>
      <c r="AA3" s="105">
        <v>1</v>
      </c>
    </row>
    <row r="4" spans="1:27" ht="21" customHeight="1" x14ac:dyDescent="0.15">
      <c r="A4" s="16" t="str">
        <f t="shared" si="0"/>
        <v>50010_1-1/413&lt;lv80&gt;sq3st2</v>
      </c>
      <c r="B4" s="22">
        <v>50010</v>
      </c>
      <c r="C4" s="21">
        <v>1</v>
      </c>
      <c r="D4" s="2" t="str">
        <f t="shared" si="1"/>
        <v>50010_1</v>
      </c>
      <c r="E4" s="4" t="str">
        <f ca="1">VLOOKUP($B4,OFFSET([2]quests!$A$1,0,0,COUNTA([2]quests!$A:$A),MATCH(E$1,[2]quests!$1:$1,0)-MATCH($B$1,[2]quests!$1:$1,0)+1),MATCH(E$1,[2]quests!$1:$1,0)-MATCH($B$1,[2]quests!$1:$1,0)+1,FALSE)</f>
        <v>カフカ襲来！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【超ウィザード級】カフカ襲来</v>
      </c>
      <c r="G4" s="21">
        <v>1</v>
      </c>
      <c r="H4" s="15" t="str">
        <f t="shared" si="2"/>
        <v>50010_1-1</v>
      </c>
      <c r="I4" s="4">
        <f ca="1">VLOOKUP($H4,OFFSET(floors!$A$1,0,0,COUNTA(floors!$A:$A),MATCH(I$1,floors!$1:$1,0)-MATCH($H$1,floors!$1:$1,0)+1),MATCH(I$1,floors!$1:$1,0)-MATCH($H$1,floors!$1:$1,0)+1,FALSE)</f>
        <v>45</v>
      </c>
      <c r="J4" s="4">
        <f ca="1">VLOOKUP($H4,OFFSET(floors!$A$1,0,0,COUNTA(floors!$A:$A),MATCH(J$1,floors!$1:$1,0)-MATCH($H$1,floors!$1:$1,0)+1),MATCH(J$1,floors!$1:$1,0)-MATCH($H$1,floors!$1:$1,0)+1,FALSE)</f>
        <v>45</v>
      </c>
      <c r="K4" s="38">
        <v>3</v>
      </c>
      <c r="L4" s="38">
        <v>2</v>
      </c>
      <c r="M4" s="20">
        <v>413</v>
      </c>
      <c r="N4" s="17" t="str">
        <f ca="1">VLOOKUP($M4,OFFSET([3]enemies!$A$1,0,0,COUNTA([3]enemies!$A:$A),MATCH(N$1,[3]enemies!$1:$1,0)-MATCH($M$1,[3]enemies!$1:$1,0)+1),MATCH(N$1,[3]enemies!$1:$1,0)-MATCH($M$1,[3]enemies!$1:$1,0)+1,FALSE)</f>
        <v>狂騒地蔵 コウネン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Drop1S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20</v>
      </c>
      <c r="S4" s="5">
        <v>80</v>
      </c>
      <c r="T4" s="25">
        <v>3.3</v>
      </c>
      <c r="U4" s="10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84080.7</v>
      </c>
      <c r="V4" s="25">
        <v>1.6</v>
      </c>
      <c r="W4" s="10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8060.8</v>
      </c>
      <c r="X4" s="5">
        <v>0</v>
      </c>
      <c r="Y4" s="4"/>
      <c r="Z4" s="106">
        <v>50010006</v>
      </c>
      <c r="AA4" s="105">
        <v>3</v>
      </c>
    </row>
    <row r="5" spans="1:27" ht="21" customHeight="1" x14ac:dyDescent="0.15">
      <c r="A5" s="16" t="str">
        <f t="shared" si="0"/>
        <v>50010_1-2/1229&lt;lv80&gt;sq4st2</v>
      </c>
      <c r="B5" s="22">
        <v>50010</v>
      </c>
      <c r="C5" s="21">
        <v>1</v>
      </c>
      <c r="D5" s="2" t="str">
        <f t="shared" si="1"/>
        <v>50010_1</v>
      </c>
      <c r="E5" s="4" t="str">
        <f ca="1">VLOOKUP($B5,OFFSET([2]quests!$A$1,0,0,COUNTA([2]quests!$A:$A),MATCH(E$1,[2]quests!$1:$1,0)-MATCH($B$1,[2]quests!$1:$1,0)+1),MATCH(E$1,[2]quests!$1:$1,0)-MATCH($B$1,[2]quests!$1:$1,0)+1,FALSE)</f>
        <v>カフカ襲来！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【超ウィザード級】カフカ襲来</v>
      </c>
      <c r="G5" s="21">
        <v>2</v>
      </c>
      <c r="H5" s="15" t="str">
        <f t="shared" si="2"/>
        <v>50010_1-2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38">
        <v>2</v>
      </c>
      <c r="M5" s="20">
        <v>1229</v>
      </c>
      <c r="N5" s="17" t="str">
        <f ca="1">VLOOKUP($M5,OFFSET([3]enemies!$A$1,0,0,COUNTA([3]enemies!$A:$A),MATCH(N$1,[3]enemies!$1:$1,0)-MATCH($M$1,[3]enemies!$1:$1,0)+1),MATCH(N$1,[3]enemies!$1:$1,0)-MATCH($M$1,[3]enemies!$1:$1,0)+1,FALSE)</f>
        <v>羅生の鬼我 芥川龍之介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PremiumSSw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9.3000000000000007</v>
      </c>
      <c r="U5" s="10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1211204.1000000001</v>
      </c>
      <c r="V5" s="25">
        <v>1</v>
      </c>
      <c r="W5" s="10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11484</v>
      </c>
      <c r="X5" s="5">
        <v>0</v>
      </c>
      <c r="Y5" s="4"/>
      <c r="Z5" s="106">
        <v>50010008</v>
      </c>
      <c r="AA5" s="105">
        <v>1</v>
      </c>
    </row>
    <row r="6" spans="1:27" ht="21" customHeight="1" x14ac:dyDescent="0.15">
      <c r="A6" s="16" t="str">
        <f t="shared" si="0"/>
        <v>50010_1-4/1223&lt;lv80&gt;sq5st2</v>
      </c>
      <c r="B6" s="22">
        <v>50010</v>
      </c>
      <c r="C6" s="21">
        <v>1</v>
      </c>
      <c r="D6" s="2" t="str">
        <f t="shared" si="1"/>
        <v>50010_1</v>
      </c>
      <c r="E6" s="4" t="str">
        <f ca="1">VLOOKUP($B6,OFFSET([2]quests!$A$1,0,0,COUNTA([2]quests!$A:$A),MATCH(E$1,[2]quests!$1:$1,0)-MATCH($B$1,[2]quests!$1:$1,0)+1),MATCH(E$1,[2]quests!$1:$1,0)-MATCH($B$1,[2]quests!$1:$1,0)+1,FALSE)</f>
        <v>カフカ襲来！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【超ウィザード級】カフカ襲来</v>
      </c>
      <c r="G6" s="21">
        <v>4</v>
      </c>
      <c r="H6" s="15" t="str">
        <f t="shared" si="2"/>
        <v>50010_1-4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5</v>
      </c>
      <c r="L6" s="38">
        <v>2</v>
      </c>
      <c r="M6" s="20">
        <v>1223</v>
      </c>
      <c r="N6" s="17" t="str">
        <f ca="1">VLOOKUP($M6,OFFSET([3]enemies!$A$1,0,0,COUNTA([3]enemies!$A:$A),MATCH(N$1,[3]enemies!$1:$1,0)-MATCH($M$1,[3]enemies!$1:$1,0)+1),MATCH(N$1,[3]enemies!$1:$1,0)-MATCH($M$1,[3]enemies!$1:$1,0)+1,FALSE)</f>
        <v>凌蛾の変身 カフカ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25">
        <v>8.4</v>
      </c>
      <c r="U6" s="102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984589.20000000007</v>
      </c>
      <c r="V6" s="25">
        <v>1.7</v>
      </c>
      <c r="W6" s="102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13210.699999999999</v>
      </c>
      <c r="X6" s="5">
        <v>0</v>
      </c>
      <c r="Y6" s="4"/>
      <c r="Z6" s="106">
        <v>50010012</v>
      </c>
      <c r="AA6" s="105">
        <v>1</v>
      </c>
    </row>
    <row r="7" spans="1:27" ht="21" customHeight="1" x14ac:dyDescent="0.15">
      <c r="A7" s="16" t="str">
        <f t="shared" si="0"/>
        <v>50010_1-4/1223&lt;lv80&gt;sq5st3</v>
      </c>
      <c r="B7" s="22">
        <v>50010</v>
      </c>
      <c r="C7" s="21">
        <v>1</v>
      </c>
      <c r="D7" s="2" t="str">
        <f t="shared" si="1"/>
        <v>50010_1</v>
      </c>
      <c r="E7" s="4" t="str">
        <f ca="1">VLOOKUP($B7,OFFSET([2]quests!$A$1,0,0,COUNTA([2]quests!$A:$A),MATCH(E$1,[2]quests!$1:$1,0)-MATCH($B$1,[2]quests!$1:$1,0)+1),MATCH(E$1,[2]quests!$1:$1,0)-MATCH($B$1,[2]quests!$1:$1,0)+1,FALSE)</f>
        <v>カフカ襲来！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【超ウィザード級】カフカ襲来</v>
      </c>
      <c r="G7" s="21">
        <v>4</v>
      </c>
      <c r="H7" s="15" t="str">
        <f t="shared" si="2"/>
        <v>50010_1-4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5</v>
      </c>
      <c r="L7" s="38">
        <v>3</v>
      </c>
      <c r="M7" s="20">
        <v>1223</v>
      </c>
      <c r="N7" s="17" t="str">
        <f ca="1">VLOOKUP($M7,OFFSET([3]enemies!$A$1,0,0,COUNTA([3]enemies!$A:$A),MATCH(N$1,[3]enemies!$1:$1,0)-MATCH($M$1,[3]enemies!$1:$1,0)+1),MATCH(N$1,[3]enemies!$1:$1,0)-MATCH($M$1,[3]enemies!$1:$1,0)+1,FALSE)</f>
        <v>凌蛾の変身 カフカ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80</v>
      </c>
      <c r="T7" s="25">
        <v>9</v>
      </c>
      <c r="U7" s="102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1054917</v>
      </c>
      <c r="V7" s="25">
        <v>1.8</v>
      </c>
      <c r="W7" s="102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13987.800000000001</v>
      </c>
      <c r="X7" s="5">
        <v>0</v>
      </c>
      <c r="Y7" s="4"/>
      <c r="Z7" s="106">
        <v>50010013</v>
      </c>
      <c r="AA7" s="105">
        <v>1</v>
      </c>
    </row>
  </sheetData>
  <sheetProtection selectLockedCells="1" selectUnlockedCells="1"/>
  <autoFilter ref="B1:AA6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79"/>
  <sheetViews>
    <sheetView showGridLines="0" zoomScale="120" zoomScaleNormal="120" zoomScalePageLayoutView="120" workbookViewId="0">
      <pane xSplit="5" ySplit="1" topLeftCell="F2" activePane="bottomRight" state="frozen"/>
      <selection pane="topRight"/>
      <selection pane="bottomLeft"/>
      <selection pane="bottomRight" activeCell="E51" sqref="E5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50010001_50010001</v>
      </c>
      <c r="B2" s="47">
        <v>50010001</v>
      </c>
      <c r="C2" s="47">
        <v>50010001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ファイアリング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2" s="47">
        <v>50010001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6" si="1">B3&amp;"_"&amp;C3</f>
        <v>50010002_50010002</v>
      </c>
      <c r="B3" s="47">
        <v>50010002</v>
      </c>
      <c r="C3" s="47">
        <v>50010002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転生の秘術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HP50%で全体復活+敵全体の攻撃力UP</v>
      </c>
      <c r="F3" s="47">
        <v>50010002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50010002_50010003</v>
      </c>
      <c r="B4" s="47">
        <v>50010002</v>
      </c>
      <c r="C4" s="47">
        <v>50010003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ファイアリング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4" s="47">
        <v>50010003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" si="2">B5&amp;"_"&amp;C5</f>
        <v>50010003_50010062</v>
      </c>
      <c r="B5" s="47">
        <v>50010003</v>
      </c>
      <c r="C5" s="107">
        <v>50010062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…………！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何者かの強い「干渉」を受けているようだ</v>
      </c>
      <c r="F5" s="107">
        <v>50010062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50010003_50010004</v>
      </c>
      <c r="B6" s="47">
        <v>50010003</v>
      </c>
      <c r="C6" s="47">
        <v>50010004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毒撒き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全体攻撃+15ターンウィルス</v>
      </c>
      <c r="F6" s="47">
        <v>50010004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ref="A7:A17" si="3">B7&amp;"_"&amp;C7</f>
        <v>50010004_50010005</v>
      </c>
      <c r="B7" s="47">
        <v>50010004</v>
      </c>
      <c r="C7" s="47">
        <v>50010005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転生の秘術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HP50%で全体復活+敵全体の攻撃頻度UP</v>
      </c>
      <c r="F7" s="47">
        <v>50010005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3"/>
        <v>50010004_50010006</v>
      </c>
      <c r="B8" s="47">
        <v>50010004</v>
      </c>
      <c r="C8" s="47">
        <v>50010006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猛毒撒き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全体攻撃+15ターン強力なウィルス</v>
      </c>
      <c r="F8" s="47">
        <v>50010006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3"/>
        <v>50010005_50010007</v>
      </c>
      <c r="B9" s="47">
        <v>50010005</v>
      </c>
      <c r="C9" s="47">
        <v>50010007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コンフリクトマインド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全てのプラス効果を解除+クリティカル！</v>
      </c>
      <c r="F9" s="47">
        <v>50010007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3"/>
        <v>50010006_50010008</v>
      </c>
      <c r="B10" s="47">
        <v>50010006</v>
      </c>
      <c r="C10" s="47">
        <v>50010008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転生の秘術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HP50%で全体復活+全体攻撃</v>
      </c>
      <c r="F10" s="47">
        <v>50010008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3"/>
        <v>50010006_50010009</v>
      </c>
      <c r="B11" s="47">
        <v>50010006</v>
      </c>
      <c r="C11" s="47">
        <v>50010009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テンメイ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自爆攻撃</v>
      </c>
      <c r="F11" s="47">
        <v>50010009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>B12&amp;"_"&amp;C12</f>
        <v>50010007_50010064</v>
      </c>
      <c r="B12" s="47">
        <v>50010007</v>
      </c>
      <c r="C12" s="113">
        <v>50010064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夏目…お前がいくら動いても_x000D_この世は犠牲に溢れている…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状態異常耐性+3ターン全属性カウンター(威力小)</v>
      </c>
      <c r="F12" s="113">
        <v>50010064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1230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ref="A13" si="4">B13&amp;"_"&amp;C13</f>
        <v>50010007_50010065</v>
      </c>
      <c r="B13" s="47">
        <v>50010007</v>
      </c>
      <c r="C13" s="113">
        <v>50010065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夏目…お前がいくら動いても_x000D_この世は犠牲に溢れている…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状態異常耐性+3ターン全属性カウンター(威力小)</v>
      </c>
      <c r="F13" s="113">
        <v>50010065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1231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ref="A14" si="5">B14&amp;"_"&amp;C14</f>
        <v>50010007_50010010</v>
      </c>
      <c r="B14" s="47">
        <v>50010007</v>
      </c>
      <c r="C14" s="47">
        <v>50010010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この力…みすみす手放すわけにはいかねぇ…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状態異常耐性+5ターン全属性カウンター(威力小)</v>
      </c>
      <c r="F14" s="47">
        <v>50010010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3"/>
        <v>50010007_50010011</v>
      </c>
      <c r="B15" s="47">
        <v>50010007</v>
      </c>
      <c r="C15" s="47">
        <v>50010011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何もかも使い方次第だ…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赤パネルを3個までお邪魔パネルに変換+_x000D_クリティカル！</v>
      </c>
      <c r="F15" s="47">
        <v>50010011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5" s="47"/>
      <c r="Q15" s="47"/>
      <c r="R15" s="47"/>
    </row>
    <row r="16" spans="1:18" ht="21" customHeight="1" x14ac:dyDescent="0.15">
      <c r="A16" s="39" t="str">
        <f t="shared" si="3"/>
        <v>50010007_50010012</v>
      </c>
      <c r="B16" s="47">
        <v>50010007</v>
      </c>
      <c r="C16" s="47">
        <v>50010012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間違ってるのはお前だろ…？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赤パネルを赤の時限式ダメージパネルに変換+_x000D_クリティカル！</v>
      </c>
      <c r="F16" s="47">
        <v>50010012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3"/>
        <v>50010007_50010013</v>
      </c>
      <c r="B17" s="47">
        <v>50010007</v>
      </c>
      <c r="C17" s="47">
        <v>50010013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今にわかるぜ…_x000D_力を持つのがどういうことか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自身の攻撃力UP+_x000D_5ターンCパネル生成特大短縮</v>
      </c>
      <c r="F17" s="47">
        <v>50010013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ref="A18:A60" si="6">B18&amp;"_"&amp;C18</f>
        <v>50010007_50010014</v>
      </c>
      <c r="B18" s="47">
        <v>50010007</v>
      </c>
      <c r="C18" s="47">
        <v>50010014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身の程はわきまえるに限る…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Cパネルを吸収して全体攻撃</v>
      </c>
      <c r="F18" s="47">
        <v>50010014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59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6"/>
        <v>50010007_50010015</v>
      </c>
      <c r="B19" s="47">
        <v>50010007</v>
      </c>
      <c r="C19" s="47">
        <v>50010015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オレにはあるぜ。その覚悟が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次のターン即死攻撃発動</v>
      </c>
      <c r="F19" s="47">
        <v>50010015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6"/>
        <v>50010007_50010016</v>
      </c>
      <c r="B20" s="47">
        <v>50010007</v>
      </c>
      <c r="C20" s="47">
        <v>50010016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生きるため…お前を犠牲にする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残りHPの100%ダメージ！</v>
      </c>
      <c r="F20" s="47">
        <v>50010016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69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" si="7">B21&amp;"_"&amp;C21</f>
        <v>50010008_50010066</v>
      </c>
      <c r="B21" s="47">
        <v>50010008</v>
      </c>
      <c r="C21" s="113">
        <v>50010066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案外肝は据わっているらしいな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状態異常耐性+5ターン青パネル無効+_x000D_7ターン青パネルドロップ率UP</v>
      </c>
      <c r="F21" s="113">
        <v>50010064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1230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ref="A22" si="8">B22&amp;"_"&amp;C22</f>
        <v>50010008_50010067</v>
      </c>
      <c r="B22" s="47">
        <v>50010008</v>
      </c>
      <c r="C22" s="113">
        <v>50010067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案外肝は据わっているらしいな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状態異常耐性+5ターン青パネル無効+_x000D_7ターン青パネルドロップ率UP</v>
      </c>
      <c r="F22" s="113">
        <v>50010065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1231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6"/>
        <v>50010008_50010017</v>
      </c>
      <c r="B23" s="47">
        <v>50010008</v>
      </c>
      <c r="C23" s="47">
        <v>50010017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ふむ…お前に興味が湧いた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状態異常耐性+7ターン青パネル無効+_x000D_7ターン青パネルドロップ率UP</v>
      </c>
      <c r="F23" s="47">
        <v>50010017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6"/>
        <v>50010008_50010018</v>
      </c>
      <c r="B24" s="47">
        <v>50010008</v>
      </c>
      <c r="C24" s="47">
        <v>50010018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生への執着を見せてみろ…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だんだん強くなる固定ダメージ</v>
      </c>
      <c r="F24" s="47">
        <v>50010018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6"/>
        <v>50010008_50010019</v>
      </c>
      <c r="B25" s="47">
        <v>50010008</v>
      </c>
      <c r="C25" s="47">
        <v>50010019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まだまだ序の口だろう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だんだん強くなる固定ダメージ</v>
      </c>
      <c r="F25" s="47">
        <v>50010019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6"/>
        <v>50010008_50010020</v>
      </c>
      <c r="B26" s="47">
        <v>50010008</v>
      </c>
      <c r="C26" s="47">
        <v>50010020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これならどうだ？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だんだん強くなる固定ダメージ</v>
      </c>
      <c r="F26" s="47">
        <v>50010020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6"/>
        <v>50010008_50010022</v>
      </c>
      <c r="B27" s="47">
        <v>50010008</v>
      </c>
      <c r="C27" s="47">
        <v>50010022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気に入ったぜ…もっと見せてくれよ…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低確率で先頭ユニットのCパネルをドロップ</v>
      </c>
      <c r="F27" s="47">
        <v>50010022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46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6"/>
        <v>50010008_50010024</v>
      </c>
      <c r="B28" s="47">
        <v>50010008</v>
      </c>
      <c r="C28" s="47">
        <v>50010024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まだ平気なのか…？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だんだん強くなる固定ダメージ+_x000D_1ターン味方全体の回復力50%DOWN</v>
      </c>
      <c r="F28" s="47">
        <v>50010024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44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6"/>
        <v>50010008_50010025</v>
      </c>
      <c r="B29" s="47">
        <v>50010008</v>
      </c>
      <c r="C29" s="47">
        <v>50010025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ハハッ…イカれてんなお前…！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だんだん強くなる固定ダメージ+_x000D_1ターン味方全体の回復力70%DOWN</v>
      </c>
      <c r="F29" s="47">
        <v>50010025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43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6"/>
        <v>50010008_50010026</v>
      </c>
      <c r="B30" s="47">
        <v>50010008</v>
      </c>
      <c r="C30" s="47">
        <v>50010026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いいぜ。サイコーだよ…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だんだん強くなる固定ダメージ+_x000D_1ターン味方全体の回復力90%DOWN</v>
      </c>
      <c r="F30" s="47">
        <v>50010026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42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6"/>
        <v>50010008_50010027</v>
      </c>
      <c r="B31" s="47">
        <v>50010008</v>
      </c>
      <c r="C31" s="47">
        <v>50010027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だが…足りないようだな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生への執着は十分。_x000D_足りないのは勝利への…渇望だ…</v>
      </c>
      <c r="F31" s="47">
        <v>50010027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41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ref="A32" si="9">B32&amp;"_"&amp;C32</f>
        <v>50010008_50010063</v>
      </c>
      <c r="B32" s="47">
        <v>50010008</v>
      </c>
      <c r="C32" s="47">
        <v>50010063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忍ぶだけでなく、噛み付くか…！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…その覚悟に免じて、ここは退いてやるよ_x000D_【低確率で先頭ユニットのSCパネルをドロップ】</v>
      </c>
      <c r="F32" s="47">
        <v>50010063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75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6"/>
        <v>50010009_50010028</v>
      </c>
      <c r="B33" s="47">
        <v>50010009</v>
      </c>
      <c r="C33" s="47">
        <v>50010028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彼女は望まぬ力に_x000D_突き動かされているだけだ！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敵全体の攻撃力UP</v>
      </c>
      <c r="F33" s="47">
        <v>50010028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6"/>
        <v>50010009_50010029</v>
      </c>
      <c r="B34" s="47">
        <v>50010009</v>
      </c>
      <c r="C34" s="47">
        <v>50010029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鋼通し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単体固定ダメージ</v>
      </c>
      <c r="F34" s="47">
        <v>50010029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7"/>
      <c r="Q34" s="47"/>
      <c r="R34" s="47"/>
    </row>
    <row r="35" spans="1:18" ht="21" customHeight="1" x14ac:dyDescent="0.15">
      <c r="A35" s="39" t="str">
        <f t="shared" si="6"/>
        <v>50010009_50010030</v>
      </c>
      <c r="B35" s="47">
        <v>50010009</v>
      </c>
      <c r="C35" s="47">
        <v>50010030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圧壊掌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</v>
      </c>
      <c r="F35" s="47">
        <v>50010030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6"/>
        <v>50010009_50010031</v>
      </c>
      <c r="B36" s="47">
        <v>50010009</v>
      </c>
      <c r="C36" s="47">
        <v>50010031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反撃の構え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2ターン全属性カウンター</v>
      </c>
      <c r="F36" s="47">
        <v>50010031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6"/>
        <v>50010009_50010032</v>
      </c>
      <c r="B37" s="47">
        <v>50010009</v>
      </c>
      <c r="C37" s="47">
        <v>50010032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ぶちかまし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37" s="47">
        <v>50010032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6"/>
        <v>50010009_50010033</v>
      </c>
      <c r="B38" s="47">
        <v>50010009</v>
      </c>
      <c r="C38" s="47">
        <v>50010033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ソウルリザレクション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仲間との絆の力でエゾは立ち上がった！</v>
      </c>
      <c r="F38" s="47">
        <v>50010033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452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6"/>
        <v>50010010_50010034</v>
      </c>
      <c r="B39" s="47">
        <v>50010010</v>
      </c>
      <c r="C39" s="47">
        <v>50010034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なぜそれが分からない！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先制攻撃を仕掛けてきた！</v>
      </c>
      <c r="F39" s="47">
        <v>50010034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6"/>
        <v>50010010_50010035</v>
      </c>
      <c r="B40" s="47">
        <v>50010010</v>
      </c>
      <c r="C40" s="47">
        <v>50010035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練武爆炎剣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9回連続攻撃</v>
      </c>
      <c r="F40" s="47">
        <v>50010035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40" s="47"/>
      <c r="Q40" s="47"/>
      <c r="R40" s="47"/>
    </row>
    <row r="41" spans="1:18" ht="21" customHeight="1" x14ac:dyDescent="0.15">
      <c r="A41" s="39" t="str">
        <f t="shared" si="6"/>
        <v>50010010_50010036</v>
      </c>
      <c r="B41" s="47">
        <v>50010010</v>
      </c>
      <c r="C41" s="47">
        <v>50010036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焼失・灰薙ぎ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4ターン強力なウィルス+_x000D_緑属性のユニットに大ダメージの全体攻撃</v>
      </c>
      <c r="F41" s="47">
        <v>50010036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6"/>
        <v>50010010_50010037</v>
      </c>
      <c r="B42" s="47">
        <v>50010010</v>
      </c>
      <c r="C42" s="47">
        <v>50010037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火炎旋風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強力な全体攻撃</v>
      </c>
      <c r="F42" s="47">
        <v>50010037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6"/>
        <v>50010010_50010038</v>
      </c>
      <c r="B43" s="47">
        <v>50010010</v>
      </c>
      <c r="C43" s="47">
        <v>50010038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獣炎の蓄熱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全体回復</v>
      </c>
      <c r="F43" s="47">
        <v>50010038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6"/>
        <v>50010010_50010039</v>
      </c>
      <c r="B44" s="47">
        <v>50010010</v>
      </c>
      <c r="C44" s="47">
        <v>50010039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ソウルリザレクション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仲間との絆の力でローレンスは立ち上がった！</v>
      </c>
      <c r="F44" s="47">
        <v>50010039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ref="A45" si="10">B45&amp;"_"&amp;C45</f>
        <v>50010011_50010068</v>
      </c>
      <c r="B45" s="47">
        <v>50010011</v>
      </c>
      <c r="C45" s="113">
        <v>50010068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夏目くん…見て…_x000D_私にもできたの…やっと…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状態異常耐性+8ターン強力なウィルス+_x000D_全属性ダメージ80%軽減</v>
      </c>
      <c r="F45" s="113">
        <v>50010064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1230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ref="A46:A47" si="11">B46&amp;"_"&amp;C46</f>
        <v>50010011_50010069</v>
      </c>
      <c r="B46" s="47">
        <v>50010011</v>
      </c>
      <c r="C46" s="113">
        <v>50010069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夏目くん…見て…_x000D_私にもできたの…やっと…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状態異常耐性+8ターン強力なウィルス+_x000D_全属性ダメージ80%軽減</v>
      </c>
      <c r="F46" s="113">
        <v>50010065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1231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11"/>
        <v>50010011_50010070</v>
      </c>
      <c r="B47" s="47">
        <v>50010011</v>
      </c>
      <c r="C47" s="113">
        <v>50010070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ヘラ…環境管理AI…_x000D_やっぱり私を歪みと見るのね…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状態異常耐性+12ターン強力なウィルス+_x000D_全属性ダメージ80%軽減</v>
      </c>
      <c r="F47" s="113">
        <v>50010066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1206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ref="A48:A49" si="12">B48&amp;"_"&amp;C48</f>
        <v>50010011_50010071</v>
      </c>
      <c r="B48" s="47">
        <v>50010011</v>
      </c>
      <c r="C48" s="113">
        <v>50010071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ヘラ…環境管理AI…_x000D_やっぱり私を歪みと見るのね…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状態異常耐性+12ターン強力なウィルス+_x000D_全属性ダメージ80%軽減</v>
      </c>
      <c r="F48" s="113">
        <v>50010067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1207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2"/>
        <v>50010011_50010072</v>
      </c>
      <c r="B49" s="47">
        <v>50010011</v>
      </c>
      <c r="C49" s="113">
        <v>50010072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ゼウス…環境管理AI…_x000D_やっぱり私を歪みと見るのね…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状態異常耐性+12ターン強力なウィルス+_x000D_全属性ダメージ80%軽減</v>
      </c>
      <c r="F49" s="113">
        <v>50010068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929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ref="A50" si="13">B50&amp;"_"&amp;C50</f>
        <v>50010011_50010073</v>
      </c>
      <c r="B50" s="47">
        <v>50010011</v>
      </c>
      <c r="C50" s="113">
        <v>50010073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ゼウス…環境管理AI…_x000D_やっぱり私を歪みと見るのね…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状態異常耐性+12ターン強力なウィルス+_x000D_全属性ダメージ80%軽減</v>
      </c>
      <c r="F50" s="113">
        <v>50010069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930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6"/>
        <v>50010011_50010040</v>
      </c>
      <c r="B51" s="47">
        <v>50010011</v>
      </c>
      <c r="C51" s="47">
        <v>50010040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ねぇ、見て…私の繭…_x000D_私の大切な子達…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状態異常耐性+12ターン強力なウィルス+_x000D_全属性ダメージ80%軽減</v>
      </c>
      <c r="F51" s="47">
        <v>50010040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6"/>
        <v>50010011_50010041</v>
      </c>
      <c r="B52" s="47">
        <v>50010011</v>
      </c>
      <c r="C52" s="47">
        <v>50010041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どうして否定するの…？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52" s="47">
        <v>50010041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6"/>
        <v>50010011_50010042</v>
      </c>
      <c r="B53" s="47">
        <v>50010011</v>
      </c>
      <c r="C53" s="47">
        <v>50010042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誰も認めてくれない…どうして…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確率で黄の時限式ダメージパネルをドロップ+_x000D_全属性ダメージ軽減の軽減率が下がった！</v>
      </c>
      <c r="F53" s="47">
        <v>50010042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51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6"/>
        <v>50010011_50010043</v>
      </c>
      <c r="B54" s="47">
        <v>50010011</v>
      </c>
      <c r="C54" s="47">
        <v>50010043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やっぱりまだ足りないの…？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黄パネルは全てプロテクトされてドロップ+_x000D_全属性ダメージ軽減の軽減率がさらに下がった！</v>
      </c>
      <c r="F54" s="47">
        <v>50010043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52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6"/>
        <v>50010011_50010044</v>
      </c>
      <c r="B55" s="47">
        <v>50010011</v>
      </c>
      <c r="C55" s="47">
        <v>50010044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もっと力が…力が欲しい…！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残りHPの99%ダメージ！+_x000D_2ゲージ目に移行する</v>
      </c>
      <c r="F55" s="47">
        <v>50010044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53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6"/>
        <v>50010012_50010045</v>
      </c>
      <c r="B56" s="47">
        <v>50010012</v>
      </c>
      <c r="C56" s="47">
        <v>50010045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認めてくれる世界が欲しい…ッ！！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状態異常耐性+3ターンハート無効+_x000D_5ターンハートパネルドロップ率UP</v>
      </c>
      <c r="F56" s="47">
        <v>50010045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6"/>
        <v>50010012_50010046</v>
      </c>
      <c r="B57" s="47">
        <v>50010012</v>
      </c>
      <c r="C57" s="47">
        <v>50010046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これなら認めてくれる…？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57" s="47">
        <v>50010046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6"/>
        <v>50010012_50010047</v>
      </c>
      <c r="B58" s="47">
        <v>50010012</v>
      </c>
      <c r="C58" s="47">
        <v>50010047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私を見て…よそ見しないで！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ハートパネル以外を最大5個_x000D_青のダメージパネルに変換+3ターンハート無効</v>
      </c>
      <c r="F58" s="47">
        <v>50010047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6"/>
        <v>50010012_50010048</v>
      </c>
      <c r="B59" s="47">
        <v>50010012</v>
      </c>
      <c r="C59" s="47">
        <v>50010048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今までの私とは違う…！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時限式ダメージパネルを吸収して全体攻撃</v>
      </c>
      <c r="F59" s="47">
        <v>50010048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6"/>
        <v>50010012_50010049</v>
      </c>
      <c r="B60" s="47">
        <v>50010012</v>
      </c>
      <c r="C60" s="47">
        <v>50010049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まだ足りないんだ…もっと…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8ターン強力なウィルス+_x000D_3ターン味方全体の回復力100%DOWN</v>
      </c>
      <c r="F60" s="47">
        <v>50010049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55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ref="A61:A72" si="14">B61&amp;"_"&amp;C61</f>
        <v>50010013_50010050</v>
      </c>
      <c r="B61" s="47">
        <v>50010013</v>
      </c>
      <c r="C61" s="47">
        <v>50010050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あ、あはは！あはははははは！！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状態異常耐性+_x000D_敵HPが高いほど強力な全体攻撃を連発する</v>
      </c>
      <c r="F61" s="47">
        <v>50010050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si="14"/>
        <v>50010013_50010051</v>
      </c>
      <c r="B62" s="47">
        <v>50010013</v>
      </c>
      <c r="C62" s="47">
        <v>50010051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そっか…やっとわかったよ…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欲しいものは自分で創るしかないんだ…！_x000D_【敵HPが高いほど強力な全体攻撃】</v>
      </c>
      <c r="F62" s="47">
        <v>50010051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90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14"/>
        <v>50010013_50010052</v>
      </c>
      <c r="B63" s="47">
        <v>50010013</v>
      </c>
      <c r="C63" s="47">
        <v>50010052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そっか…やっとわかったよ…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欲しいものは自分で創るしかないんだ…！_x000D_【敵HPが高いほど強力な全体攻撃】</v>
      </c>
      <c r="F63" s="47">
        <v>50010052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80</v>
      </c>
      <c r="L63" s="48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8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si="14"/>
        <v>50010013_50010053</v>
      </c>
      <c r="B64" s="47">
        <v>50010013</v>
      </c>
      <c r="C64" s="47">
        <v>50010053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そっか…やっとわかったよ…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欲しいものは自分で創るしかないんだ…！_x000D_【敵HPが高いほど強力な全体攻撃】</v>
      </c>
      <c r="F64" s="47">
        <v>50010053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70</v>
      </c>
      <c r="L64" s="48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8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14"/>
        <v>50010013_50010054</v>
      </c>
      <c r="B65" s="47">
        <v>50010013</v>
      </c>
      <c r="C65" s="47">
        <v>50010054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私が欲しいのは世界…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3ターン全属性ダメージ50%軽減+_x000D_3ターン味方全体のタップ回数を1DOWN</v>
      </c>
      <c r="F65" s="47">
        <v>50010054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14"/>
        <v>50010013_50010055</v>
      </c>
      <c r="B66" s="47">
        <v>50010013</v>
      </c>
      <c r="C66" s="47">
        <v>50010055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私に優しい世界…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赤パネル無効+クリティカル！</v>
      </c>
      <c r="F66" s="47">
        <v>50010055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14"/>
        <v>50010013_50010056</v>
      </c>
      <c r="B67" s="47">
        <v>50010013</v>
      </c>
      <c r="C67" s="47">
        <v>50010056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私を認めてくれる世界…！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青パネル無効+クリティカル！</v>
      </c>
      <c r="F67" s="47">
        <v>50010056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49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14"/>
        <v>50010013_50010057</v>
      </c>
      <c r="B68" s="47">
        <v>50010013</v>
      </c>
      <c r="C68" s="47">
        <v>50010057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私が居てもいい世界！！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緑パネル無効+クリティカル！</v>
      </c>
      <c r="F68" s="47">
        <v>50010057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48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14"/>
        <v>50010013_50010058</v>
      </c>
      <c r="B69" s="47">
        <v>50010013</v>
      </c>
      <c r="C69" s="47">
        <v>50010058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きっとそのために_x000D_私は「変身」したの…！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自身の攻撃力大UP+_x000D_出現しているCパネル強化(超大)</v>
      </c>
      <c r="F69" s="47">
        <v>50010058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21" customHeight="1" x14ac:dyDescent="0.15">
      <c r="A70" s="39" t="str">
        <f t="shared" si="14"/>
        <v>50010013_50010059</v>
      </c>
      <c r="B70" s="47">
        <v>50010013</v>
      </c>
      <c r="C70" s="47">
        <v>50010059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私を見てくれない世界なんて…！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12回連続攻撃</v>
      </c>
      <c r="F70" s="47">
        <v>50010059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39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8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21" customHeight="1" x14ac:dyDescent="0.15">
      <c r="A71" s="39" t="str">
        <f t="shared" si="14"/>
        <v>50010013_50010060</v>
      </c>
      <c r="B71" s="47">
        <v>50010013</v>
      </c>
      <c r="C71" s="47">
        <v>50010060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要らない！必要ない！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18回連続攻撃</v>
      </c>
      <c r="F71" s="47">
        <v>50010060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38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8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14"/>
        <v>50010013_50010061</v>
      </c>
      <c r="B72" s="47">
        <v>50010013</v>
      </c>
      <c r="C72" s="47">
        <v>50010061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みんな壊してやるーー！！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致命的な24回連続攻撃</v>
      </c>
      <c r="F72" s="47">
        <v>50010061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37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8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ref="A73" si="15">B73&amp;"_"&amp;C73</f>
        <v>50010013_50010074</v>
      </c>
      <c r="B73" s="47">
        <v>50010013</v>
      </c>
      <c r="C73" s="47">
        <v>50010074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あぁ…「変身」が解けていく…_x000D_解け……て……？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……あれ。_x000D_私、何をしてたんだっけ……？</v>
      </c>
      <c r="F73" s="47">
        <v>50010070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3" s="48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8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ref="A74" si="16">B74&amp;"_"&amp;C74</f>
        <v>50010013_50010075</v>
      </c>
      <c r="B74" s="47">
        <v>50010013</v>
      </c>
      <c r="C74" s="113">
        <v>50010075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あれ？夏目くん…？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うぅ…なんだか頭が痛いな…_x000D_私、こんなところで何をしてたの…？</v>
      </c>
      <c r="F74" s="113">
        <v>50010071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4" s="48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8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1230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ref="A75" si="17">B75&amp;"_"&amp;C75</f>
        <v>50010013_50010076</v>
      </c>
      <c r="B75" s="47">
        <v>50010013</v>
      </c>
      <c r="C75" s="113">
        <v>50010076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あれ？夏目くん…？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うぅ…なんだか頭が痛いな…_x000D_私、こんなところで何をしてたの…？</v>
      </c>
      <c r="F75" s="113">
        <v>50010072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5" s="48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8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1231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21" customHeight="1" x14ac:dyDescent="0.15">
      <c r="A76" s="39" t="str">
        <f t="shared" ref="A76:A79" si="18">B76&amp;"_"&amp;C76</f>
        <v>50010013_50010077</v>
      </c>
      <c r="B76" s="47">
        <v>50010013</v>
      </c>
      <c r="C76" s="113">
        <v>50010077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うーん…あれ、ここは…？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えっ！ど、どちら様ですか…？_x000D_私…いったい何を…！？</v>
      </c>
      <c r="F76" s="113">
        <v>50010073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" s="48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1206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21" customHeight="1" x14ac:dyDescent="0.15">
      <c r="A77" s="39" t="str">
        <f t="shared" ref="A77" si="19">B77&amp;"_"&amp;C77</f>
        <v>50010013_50010078</v>
      </c>
      <c r="B77" s="47">
        <v>50010013</v>
      </c>
      <c r="C77" s="113">
        <v>50010078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うーん…あれ、ここは…？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えっ！ど、どちら様ですか…？_x000D_私…いったい何を…！？</v>
      </c>
      <c r="F77" s="113">
        <v>50010074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" s="48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1207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21" customHeight="1" x14ac:dyDescent="0.15">
      <c r="A78" s="39" t="str">
        <f t="shared" si="18"/>
        <v>50010013_50010079</v>
      </c>
      <c r="B78" s="47">
        <v>50010013</v>
      </c>
      <c r="C78" s="113">
        <v>50010079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うーん…あれ、ここは…？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えっ！ど、どちら様ですか…？_x000D_私…いったい何を…！？</v>
      </c>
      <c r="F78" s="113">
        <v>50010075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" s="48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929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21" customHeight="1" x14ac:dyDescent="0.15">
      <c r="A79" s="39" t="str">
        <f t="shared" si="18"/>
        <v>50010013_50010080</v>
      </c>
      <c r="B79" s="47">
        <v>50010013</v>
      </c>
      <c r="C79" s="113">
        <v>50010080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うーん…あれ、ここは…？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えっ！ど、どちら様ですか…？_x000D_私…いったい何を…！？</v>
      </c>
      <c r="F79" s="113">
        <v>50010076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105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9" s="48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8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930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9"/>
  <sheetViews>
    <sheetView showGridLines="0" zoomScale="120" zoomScaleNormal="120" zoomScalePageLayoutView="120" workbookViewId="0">
      <pane ySplit="1" topLeftCell="A40" activePane="bottomLeft" state="frozenSplit"/>
      <selection pane="bottomLeft" activeCell="D61" sqref="D61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278</v>
      </c>
      <c r="C1" s="40" t="s">
        <v>80</v>
      </c>
      <c r="D1" s="40" t="s">
        <v>124</v>
      </c>
      <c r="E1" s="40" t="s">
        <v>81</v>
      </c>
      <c r="F1" s="40" t="s">
        <v>82</v>
      </c>
      <c r="G1" s="41" t="s">
        <v>130</v>
      </c>
      <c r="H1" s="41" t="s">
        <v>136</v>
      </c>
      <c r="I1" s="41" t="s">
        <v>138</v>
      </c>
      <c r="J1" s="41" t="s">
        <v>137</v>
      </c>
      <c r="K1" s="41" t="s">
        <v>139</v>
      </c>
      <c r="L1" s="41" t="s">
        <v>131</v>
      </c>
      <c r="M1" s="41" t="s">
        <v>129</v>
      </c>
      <c r="N1" s="41" t="s">
        <v>132</v>
      </c>
      <c r="O1" s="41" t="s">
        <v>140</v>
      </c>
      <c r="P1" s="41" t="s">
        <v>141</v>
      </c>
      <c r="Q1" s="41" t="s">
        <v>142</v>
      </c>
      <c r="R1" s="41" t="s">
        <v>143</v>
      </c>
      <c r="S1" s="41" t="s">
        <v>133</v>
      </c>
      <c r="T1" s="41" t="s">
        <v>134</v>
      </c>
      <c r="U1" s="41" t="s">
        <v>144</v>
      </c>
      <c r="V1" s="41" t="s">
        <v>145</v>
      </c>
      <c r="W1" s="41" t="s">
        <v>146</v>
      </c>
      <c r="X1" s="41" t="s">
        <v>147</v>
      </c>
      <c r="Y1" s="41" t="s">
        <v>135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50010001</v>
      </c>
      <c r="B2" s="47" t="s">
        <v>461</v>
      </c>
      <c r="C2" s="50">
        <v>3</v>
      </c>
      <c r="D2" s="50" t="s">
        <v>125</v>
      </c>
      <c r="E2" s="51" t="s">
        <v>303</v>
      </c>
      <c r="F2" s="51" t="s">
        <v>254</v>
      </c>
      <c r="G2" s="63" t="str">
        <f t="shared" ref="G2:G31" si="0">IFERROR(LEFT(B2,FIND("],",B2)),B2)</f>
        <v xml:space="preserve">[effect:break_attack, target:unit_one, val:0.11, lowest_val:1500, count:-1, color:red, block01:block_red]    </v>
      </c>
      <c r="H2" s="63">
        <f t="shared" ref="H2:H31" si="1">FIND("effect:",G2)+7</f>
        <v>9</v>
      </c>
      <c r="I2" s="63">
        <f t="shared" ref="I2:I31" si="2">IFERROR(FIND(",",G2),LEN(G2))</f>
        <v>21</v>
      </c>
      <c r="J2" s="63">
        <f t="shared" ref="J2:J31" si="3">FIND("target:",G2)+7</f>
        <v>30</v>
      </c>
      <c r="K2" s="63">
        <f t="shared" ref="K2:K31" si="4">FIND(",",G2,I2+1)</f>
        <v>38</v>
      </c>
      <c r="L2" s="63" t="str">
        <f>IFERROR(VLOOKUP(MID(G2,J2,K2-J2),[5]skilldef!$C:$D,2,FALSE),"-") &amp; " / " &amp; IFERROR(VLOOKUP(MID(G2,H2,I2-H2),[5]skilldef!$A:$B,2,FALSE),"-")</f>
        <v>味方単体に / -</v>
      </c>
      <c r="M2" s="63" t="str">
        <f t="shared" ref="M2:M31" si="5">IFERROR(RIGHT(B2,LEN(B2)-FIND("],",B2)-1),"none")</f>
        <v>none</v>
      </c>
      <c r="N2" s="48" t="str">
        <f t="shared" ref="N2:N31" si="6">IFERROR(LEFT(M2,FIND("],",M2)+S12),M2)</f>
        <v>none</v>
      </c>
      <c r="O2" s="63" t="e">
        <f t="shared" ref="O2:O31" si="7">FIND("effect:",N2)+7</f>
        <v>#VALUE!</v>
      </c>
      <c r="P2" s="63">
        <f t="shared" ref="P2:P31" si="8">IFERROR(FIND(",",N2),LEN(N2))</f>
        <v>4</v>
      </c>
      <c r="Q2" s="63" t="e">
        <f t="shared" ref="Q2:Q31" si="9">FIND("target:",N2)+7</f>
        <v>#VALUE!</v>
      </c>
      <c r="R2" s="63" t="e">
        <f t="shared" ref="R2:R31" si="10">FIND(",",N2,P2+1)</f>
        <v>#VALUE!</v>
      </c>
      <c r="S2" s="63" t="str">
        <f>IFERROR(VLOOKUP(MID(N2,Q2,R2-Q2),[5]skilldef!$C:$D,2,FALSE),"-") &amp; " / " &amp; IFERROR(VLOOKUP(MID(N2,O2,P2-O2),[5]skilldef!$A:$B,2,FALSE),"-")</f>
        <v>- / -</v>
      </c>
      <c r="T2" s="48" t="str">
        <f t="shared" ref="T2:T31" si="11">IFERROR(RIGHT(M2,LEN(M2)-FIND("],",M2)-1),"none")</f>
        <v>none</v>
      </c>
      <c r="U2" s="63" t="e">
        <f t="shared" ref="U2:U31" si="12">FIND("effect:",T2)+7</f>
        <v>#VALUE!</v>
      </c>
      <c r="V2" s="63">
        <f t="shared" ref="V2:V31" si="13">IFERROR(FIND(",",T2),LEN(T2))</f>
        <v>4</v>
      </c>
      <c r="W2" s="63" t="e">
        <f t="shared" ref="W2:W31" si="14">FIND("target:",T2)+7</f>
        <v>#VALUE!</v>
      </c>
      <c r="X2" s="63" t="e">
        <f t="shared" ref="X2:X31" si="15"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50010002</v>
      </c>
      <c r="B3" s="47" t="s">
        <v>436</v>
      </c>
      <c r="C3" s="50">
        <v>3</v>
      </c>
      <c r="D3" s="50" t="s">
        <v>125</v>
      </c>
      <c r="E3" s="51" t="s">
        <v>305</v>
      </c>
      <c r="F3" s="51" t="s">
        <v>292</v>
      </c>
      <c r="G3" s="63" t="str">
        <f t="shared" si="0"/>
        <v>[effect:fix_speed, target:myself, turn:2]</v>
      </c>
      <c r="H3" s="63">
        <f t="shared" si="1"/>
        <v>9</v>
      </c>
      <c r="I3" s="63">
        <f t="shared" si="2"/>
        <v>18</v>
      </c>
      <c r="J3" s="63">
        <f t="shared" si="3"/>
        <v>27</v>
      </c>
      <c r="K3" s="63">
        <f t="shared" si="4"/>
        <v>33</v>
      </c>
      <c r="L3" s="63" t="str">
        <f>IFERROR(VLOOKUP(MID(G3,J3,K3-J3),[5]skilldef!$C:$D,2,FALSE),"-") &amp; " / " &amp; IFERROR(VLOOKUP(MID(G3,H3,I3-H3),[5]skilldef!$A:$B,2,FALSE),"-")</f>
        <v>自分自身に / 行動値設定</v>
      </c>
      <c r="M3" s="63" t="str">
        <f t="shared" si="5"/>
        <v>[effect:enemy_resurrection, target:enemy_all, val:0.5, rate:1, animation:enemy_resurrection],[effect:enhance_enemy, target:enemy_all, turn:-1, status:attack, val:0.2, calc:mul, animation:enemy_enhance_attack]</v>
      </c>
      <c r="N3" s="48" t="str">
        <f t="shared" si="6"/>
        <v>[effect:enemy_resurrection, target:enemy_all, val:0.5, rate:1, animation:enemy_resurrection],[effect:enhance_enemy, target:enemy_all, turn:-1, status:attack, val:0.2, calc:mul, animation:enemy_enhance_attack]</v>
      </c>
      <c r="O3" s="63">
        <f t="shared" si="7"/>
        <v>9</v>
      </c>
      <c r="P3" s="63">
        <f t="shared" si="8"/>
        <v>27</v>
      </c>
      <c r="Q3" s="63">
        <f t="shared" si="9"/>
        <v>36</v>
      </c>
      <c r="R3" s="63">
        <f t="shared" si="10"/>
        <v>45</v>
      </c>
      <c r="S3" s="63" t="str">
        <f>IFERROR(VLOOKUP(MID(N3,Q3,R3-Q3),[5]skilldef!$C:$D,2,FALSE),"-") &amp; " / " &amp; IFERROR(VLOOKUP(MID(N3,O3,P3-O3),[5]skilldef!$A:$B,2,FALSE),"-")</f>
        <v>敵全体に / -</v>
      </c>
      <c r="T3" s="48" t="str">
        <f t="shared" si="11"/>
        <v>[effect:enhance_enemy, target:enemy_all, turn:-1, status:attack, val:0.2, calc:mul, animation:enemy_enhance_attack]</v>
      </c>
      <c r="U3" s="63">
        <f t="shared" si="12"/>
        <v>9</v>
      </c>
      <c r="V3" s="63">
        <f t="shared" si="13"/>
        <v>22</v>
      </c>
      <c r="W3" s="63">
        <f t="shared" si="14"/>
        <v>31</v>
      </c>
      <c r="X3" s="63">
        <f t="shared" si="15"/>
        <v>40</v>
      </c>
      <c r="Y3" s="63" t="str">
        <f>IFERROR(VLOOKUP(MID(T3,W3,X3-W3),[5]skilldef!$C:$D,2,FALSE),"-") &amp; " / " &amp; IFERROR(VLOOKUP(MID(T3,U3,V3-U3),[5]skilldef!$A:$B,2,FALSE),"-")</f>
        <v>敵全体に / ステータス強化</v>
      </c>
      <c r="Z3" s="50"/>
      <c r="AA3" s="52"/>
      <c r="AB3" s="50"/>
    </row>
    <row r="4" spans="1:28" ht="21" customHeight="1" x14ac:dyDescent="0.15">
      <c r="A4" s="47">
        <v>50010003</v>
      </c>
      <c r="B4" s="47" t="s">
        <v>462</v>
      </c>
      <c r="C4" s="50">
        <v>3</v>
      </c>
      <c r="D4" s="50" t="s">
        <v>125</v>
      </c>
      <c r="E4" s="51" t="s">
        <v>304</v>
      </c>
      <c r="F4" s="51" t="s">
        <v>254</v>
      </c>
      <c r="G4" s="63" t="str">
        <f t="shared" si="0"/>
        <v xml:space="preserve">[effect:break_attack, target:unit_one, val:0.11, lowest_val:1500, count:-1, color:red, block01:block_red]    </v>
      </c>
      <c r="H4" s="63">
        <f t="shared" si="1"/>
        <v>9</v>
      </c>
      <c r="I4" s="63">
        <f t="shared" si="2"/>
        <v>21</v>
      </c>
      <c r="J4" s="63">
        <f t="shared" si="3"/>
        <v>30</v>
      </c>
      <c r="K4" s="63">
        <f t="shared" si="4"/>
        <v>38</v>
      </c>
      <c r="L4" s="63" t="str">
        <f>IFERROR(VLOOKUP(MID(G4,J4,K4-J4),[5]skilldef!$C:$D,2,FALSE),"-") &amp; " / " &amp; IFERROR(VLOOKUP(MID(G4,H4,I4-H4),[5]skilldef!$A:$B,2,FALSE),"-")</f>
        <v>味方単体に / -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50010004</v>
      </c>
      <c r="B5" s="47" t="s">
        <v>441</v>
      </c>
      <c r="C5" s="50">
        <v>3</v>
      </c>
      <c r="D5" s="50" t="s">
        <v>125</v>
      </c>
      <c r="E5" s="51" t="s">
        <v>308</v>
      </c>
      <c r="F5" s="51" t="s">
        <v>440</v>
      </c>
      <c r="G5" s="63" t="str">
        <f t="shared" si="0"/>
        <v>[effect:spread, val:0.25]</v>
      </c>
      <c r="H5" s="63">
        <f t="shared" si="1"/>
        <v>9</v>
      </c>
      <c r="I5" s="63">
        <f t="shared" si="2"/>
        <v>15</v>
      </c>
      <c r="J5" s="63" t="e">
        <f t="shared" si="3"/>
        <v>#VALUE!</v>
      </c>
      <c r="K5" s="63" t="e">
        <f t="shared" si="4"/>
        <v>#VALUE!</v>
      </c>
      <c r="L5" s="63" t="str">
        <f>IFERROR(VLOOKUP(MID(G5,J5,K5-J5),[5]skilldef!$C:$D,2,FALSE),"-") &amp; " / " &amp; IFERROR(VLOOKUP(MID(G5,H5,I5-H5),[5]skilldef!$A:$B,2,FALSE),"-")</f>
        <v>- / 全体攻撃</v>
      </c>
      <c r="M5" s="63" t="str">
        <f t="shared" si="5"/>
        <v xml:space="preserve">[effect:virus, turn:15, rate:1, val:0.16, animation:enemy_virus]    </v>
      </c>
      <c r="N5" s="48" t="str">
        <f t="shared" si="6"/>
        <v xml:space="preserve">[effect:virus, turn:15, rate:1, val:0.16, animation:enemy_virus]    </v>
      </c>
      <c r="O5" s="63">
        <f t="shared" si="7"/>
        <v>9</v>
      </c>
      <c r="P5" s="63">
        <f t="shared" si="8"/>
        <v>14</v>
      </c>
      <c r="Q5" s="63" t="e">
        <f t="shared" si="9"/>
        <v>#VALUE!</v>
      </c>
      <c r="R5" s="63">
        <f t="shared" si="10"/>
        <v>23</v>
      </c>
      <c r="S5" s="63" t="str">
        <f>IFERROR(VLOOKUP(MID(N5,Q5,R5-Q5),[5]skilldef!$C:$D,2,FALSE),"-") &amp; " / " &amp; IFERROR(VLOOKUP(MID(N5,O5,P5-O5),[5]skilldef!$A:$B,2,FALSE),"-")</f>
        <v>- / ウィルス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50010005</v>
      </c>
      <c r="B6" s="47" t="s">
        <v>299</v>
      </c>
      <c r="C6" s="50">
        <v>3</v>
      </c>
      <c r="D6" s="50" t="s">
        <v>125</v>
      </c>
      <c r="E6" s="51" t="s">
        <v>305</v>
      </c>
      <c r="F6" s="51" t="s">
        <v>291</v>
      </c>
      <c r="G6" s="63" t="str">
        <f t="shared" si="0"/>
        <v>[effect:enemy_resurrection, target:enemy_all, val:0.5, rate:1, animation:enemy_resurrection]</v>
      </c>
      <c r="H6" s="63">
        <f t="shared" si="1"/>
        <v>9</v>
      </c>
      <c r="I6" s="63">
        <f t="shared" si="2"/>
        <v>27</v>
      </c>
      <c r="J6" s="63">
        <f t="shared" si="3"/>
        <v>36</v>
      </c>
      <c r="K6" s="63">
        <f t="shared" si="4"/>
        <v>45</v>
      </c>
      <c r="L6" s="63" t="str">
        <f>IFERROR(VLOOKUP(MID(G6,J6,K6-J6),[5]skilldef!$C:$D,2,FALSE),"-") &amp; " / " &amp; IFERROR(VLOOKUP(MID(G6,H6,I6-H6),[5]skilldef!$A:$B,2,FALSE),"-")</f>
        <v>敵全体に / -</v>
      </c>
      <c r="M6" s="63" t="str">
        <f t="shared" si="5"/>
        <v>[effect:freq_turn, target:enemy_all, turn:-1, val:1, animation:enemy_freq_turn],[effect:fix_speed, target:enemy_all, turn:1]</v>
      </c>
      <c r="N6" s="48" t="str">
        <f t="shared" si="6"/>
        <v>[effect:freq_turn, target:enemy_all, turn:-1, val:1, animation:enemy_freq_turn],[effect:fix_speed, target:enemy_all, turn:1]</v>
      </c>
      <c r="O6" s="63">
        <f t="shared" si="7"/>
        <v>9</v>
      </c>
      <c r="P6" s="63">
        <f t="shared" si="8"/>
        <v>18</v>
      </c>
      <c r="Q6" s="63">
        <f t="shared" si="9"/>
        <v>27</v>
      </c>
      <c r="R6" s="63">
        <f t="shared" si="10"/>
        <v>36</v>
      </c>
      <c r="S6" s="63" t="str">
        <f>IFERROR(VLOOKUP(MID(N6,Q6,R6-Q6),[5]skilldef!$C:$D,2,FALSE),"-") &amp; " / " &amp; IFERROR(VLOOKUP(MID(N6,O6,P6-O6),[5]skilldef!$A:$B,2,FALSE),"-")</f>
        <v>敵全体に / 攻撃頻度がUP</v>
      </c>
      <c r="T6" s="48" t="str">
        <f t="shared" si="11"/>
        <v>[effect:fix_speed, target:enemy_all, turn:1]</v>
      </c>
      <c r="U6" s="63">
        <f t="shared" si="12"/>
        <v>9</v>
      </c>
      <c r="V6" s="63">
        <f t="shared" si="13"/>
        <v>18</v>
      </c>
      <c r="W6" s="63">
        <f t="shared" si="14"/>
        <v>27</v>
      </c>
      <c r="X6" s="63">
        <f t="shared" si="15"/>
        <v>36</v>
      </c>
      <c r="Y6" s="63" t="str">
        <f>IFERROR(VLOOKUP(MID(T6,W6,X6-W6),[5]skilldef!$C:$D,2,FALSE),"-") &amp; " / " &amp; IFERROR(VLOOKUP(MID(T6,U6,V6-U6),[5]skilldef!$A:$B,2,FALSE),"-")</f>
        <v>敵全体に / 行動値設定</v>
      </c>
      <c r="Z6" s="50"/>
      <c r="AA6" s="52"/>
      <c r="AB6" s="50"/>
    </row>
    <row r="7" spans="1:28" ht="21" customHeight="1" x14ac:dyDescent="0.15">
      <c r="A7" s="47">
        <v>50010006</v>
      </c>
      <c r="B7" s="47" t="s">
        <v>444</v>
      </c>
      <c r="C7" s="50">
        <v>3</v>
      </c>
      <c r="D7" s="50" t="s">
        <v>125</v>
      </c>
      <c r="E7" s="51" t="s">
        <v>309</v>
      </c>
      <c r="F7" s="51" t="s">
        <v>445</v>
      </c>
      <c r="G7" s="63" t="str">
        <f t="shared" si="0"/>
        <v>[effect:spread, val:0.25]</v>
      </c>
      <c r="H7" s="63">
        <f t="shared" si="1"/>
        <v>9</v>
      </c>
      <c r="I7" s="63">
        <f t="shared" si="2"/>
        <v>15</v>
      </c>
      <c r="J7" s="63" t="e">
        <f t="shared" si="3"/>
        <v>#VALUE!</v>
      </c>
      <c r="K7" s="63" t="e">
        <f t="shared" si="4"/>
        <v>#VALUE!</v>
      </c>
      <c r="L7" s="63" t="str">
        <f>IFERROR(VLOOKUP(MID(G7,J7,K7-J7),[5]skilldef!$C:$D,2,FALSE),"-") &amp; " / " &amp; IFERROR(VLOOKUP(MID(G7,H7,I7-H7),[5]skilldef!$A:$B,2,FALSE),"-")</f>
        <v>- / 全体攻撃</v>
      </c>
      <c r="M7" s="63" t="str">
        <f t="shared" si="5"/>
        <v xml:space="preserve">[effect:virus, turn:15, rate:1, val:0.2, animation:enemy_virus]    </v>
      </c>
      <c r="N7" s="48" t="str">
        <f t="shared" si="6"/>
        <v xml:space="preserve">[effect:virus, turn:15, rate:1, val:0.2, animation:enemy_virus]    </v>
      </c>
      <c r="O7" s="63">
        <f t="shared" si="7"/>
        <v>9</v>
      </c>
      <c r="P7" s="63">
        <f t="shared" si="8"/>
        <v>14</v>
      </c>
      <c r="Q7" s="63" t="e">
        <f t="shared" si="9"/>
        <v>#VALUE!</v>
      </c>
      <c r="R7" s="63">
        <f t="shared" si="10"/>
        <v>23</v>
      </c>
      <c r="S7" s="63" t="str">
        <f>IFERROR(VLOOKUP(MID(N7,Q7,R7-Q7),[5]skilldef!$C:$D,2,FALSE),"-") &amp; " / " &amp; IFERROR(VLOOKUP(MID(N7,O7,P7-O7),[5]skilldef!$A:$B,2,FALSE),"-")</f>
        <v>- / ウィルス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50010007</v>
      </c>
      <c r="B8" s="47" t="s">
        <v>287</v>
      </c>
      <c r="C8" s="50">
        <v>3</v>
      </c>
      <c r="D8" s="50" t="s">
        <v>125</v>
      </c>
      <c r="E8" s="51" t="s">
        <v>307</v>
      </c>
      <c r="F8" s="51" t="s">
        <v>256</v>
      </c>
      <c r="G8" s="63" t="str">
        <f t="shared" si="0"/>
        <v>[effect:remove_enhancement, target:unit_all, target_effect:all, target_type:buff, animation:frozen_wave]</v>
      </c>
      <c r="H8" s="63">
        <f t="shared" si="1"/>
        <v>9</v>
      </c>
      <c r="I8" s="63">
        <f t="shared" si="2"/>
        <v>27</v>
      </c>
      <c r="J8" s="63">
        <f t="shared" si="3"/>
        <v>36</v>
      </c>
      <c r="K8" s="63">
        <f t="shared" si="4"/>
        <v>44</v>
      </c>
      <c r="L8" s="63" t="str">
        <f>IFERROR(VLOOKUP(MID(G8,J8,K8-J8),[5]skilldef!$C:$D,2,FALSE),"-") &amp; " / " &amp; IFERROR(VLOOKUP(MID(G8,H8,I8-H8),[5]skilldef!$A:$B,2,FALSE),"-")</f>
        <v>味方全体に / -</v>
      </c>
      <c r="M8" s="63" t="str">
        <f t="shared" si="5"/>
        <v xml:space="preserve">[effect:critical, val:1.2] </v>
      </c>
      <c r="N8" s="48" t="str">
        <f t="shared" si="6"/>
        <v xml:space="preserve">[effect:critical, val:1.2] </v>
      </c>
      <c r="O8" s="63">
        <f t="shared" si="7"/>
        <v>9</v>
      </c>
      <c r="P8" s="63">
        <f t="shared" si="8"/>
        <v>17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IFERROR(VLOOKUP(MID(N8,Q8,R8-Q8),[5]skilldef!$C:$D,2,FALSE),"-") &amp; " / " &amp; IFERROR(VLOOKUP(MID(N8,O8,P8-O8),[5]skilldef!$A:$B,2,FALSE),"-")</f>
        <v>- / 大攻撃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50010008</v>
      </c>
      <c r="B9" s="47" t="s">
        <v>435</v>
      </c>
      <c r="C9" s="50">
        <v>3</v>
      </c>
      <c r="D9" s="50" t="s">
        <v>125</v>
      </c>
      <c r="E9" s="51" t="s">
        <v>305</v>
      </c>
      <c r="F9" s="51" t="s">
        <v>369</v>
      </c>
      <c r="G9" s="63" t="str">
        <f t="shared" si="0"/>
        <v>[effect:fix_speed, target:myself, turn:3]</v>
      </c>
      <c r="H9" s="63">
        <f t="shared" si="1"/>
        <v>9</v>
      </c>
      <c r="I9" s="63">
        <f t="shared" si="2"/>
        <v>18</v>
      </c>
      <c r="J9" s="63">
        <f t="shared" si="3"/>
        <v>27</v>
      </c>
      <c r="K9" s="63">
        <f t="shared" si="4"/>
        <v>33</v>
      </c>
      <c r="L9" s="63" t="str">
        <f>IFERROR(VLOOKUP(MID(G9,J9,K9-J9),[5]skilldef!$C:$D,2,FALSE),"-") &amp; " / " &amp; IFERROR(VLOOKUP(MID(G9,H9,I9-H9),[5]skilldef!$A:$B,2,FALSE),"-")</f>
        <v>自分自身に / 行動値設定</v>
      </c>
      <c r="M9" s="63" t="str">
        <f t="shared" si="5"/>
        <v>[effect:enemy_resurrection, target:enemy_all, val:0.5, rate:1, animation:enemy_resurrection],[effect:spread, val:0.2]</v>
      </c>
      <c r="N9" s="48" t="str">
        <f t="shared" si="6"/>
        <v>[effect:enemy_resurrection, target:enemy_all, val:0.5, rate:1, animation:enemy_resurrection],[effect:spread, val:0.2]</v>
      </c>
      <c r="O9" s="63">
        <f t="shared" si="7"/>
        <v>9</v>
      </c>
      <c r="P9" s="63">
        <f t="shared" si="8"/>
        <v>27</v>
      </c>
      <c r="Q9" s="63">
        <f t="shared" si="9"/>
        <v>36</v>
      </c>
      <c r="R9" s="63">
        <f t="shared" si="10"/>
        <v>45</v>
      </c>
      <c r="S9" s="63" t="str">
        <f>IFERROR(VLOOKUP(MID(N9,Q9,R9-Q9),[5]skilldef!$C:$D,2,FALSE),"-") &amp; " / " &amp; IFERROR(VLOOKUP(MID(N9,O9,P9-O9),[5]skilldef!$A:$B,2,FALSE),"-")</f>
        <v>敵全体に / -</v>
      </c>
      <c r="T9" s="48" t="str">
        <f t="shared" si="11"/>
        <v>[effect:spread, val:0.2]</v>
      </c>
      <c r="U9" s="63">
        <f t="shared" si="12"/>
        <v>9</v>
      </c>
      <c r="V9" s="63">
        <f t="shared" si="13"/>
        <v>15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IFERROR(VLOOKUP(MID(T9,W9,X9-W9),[5]skilldef!$C:$D,2,FALSE),"-") &amp; " / " &amp; IFERROR(VLOOKUP(MID(T9,U9,V9-U9),[5]skilldef!$A:$B,2,FALSE),"-")</f>
        <v>- / 全体攻撃</v>
      </c>
      <c r="Z9" s="50"/>
      <c r="AA9" s="52"/>
      <c r="AB9" s="50"/>
    </row>
    <row r="10" spans="1:28" ht="21" customHeight="1" x14ac:dyDescent="0.15">
      <c r="A10" s="47">
        <v>50010009</v>
      </c>
      <c r="B10" s="47" t="s">
        <v>288</v>
      </c>
      <c r="C10" s="50">
        <v>3</v>
      </c>
      <c r="D10" s="50" t="s">
        <v>125</v>
      </c>
      <c r="E10" s="51" t="s">
        <v>306</v>
      </c>
      <c r="F10" s="51" t="s">
        <v>255</v>
      </c>
      <c r="G10" s="63" t="str">
        <f t="shared" si="0"/>
        <v>[effect:kamikaze, val:0.4]</v>
      </c>
      <c r="H10" s="63">
        <f t="shared" si="1"/>
        <v>9</v>
      </c>
      <c r="I10" s="63">
        <f t="shared" si="2"/>
        <v>17</v>
      </c>
      <c r="J10" s="63" t="e">
        <f t="shared" si="3"/>
        <v>#VALUE!</v>
      </c>
      <c r="K10" s="63" t="e">
        <f t="shared" si="4"/>
        <v>#VALUE!</v>
      </c>
      <c r="L10" s="63" t="str">
        <f>IFERROR(VLOOKUP(MID(G10,J10,K10-J10),[5]skilldef!$C:$D,2,FALSE),"-") &amp; " / " &amp; IFERROR(VLOOKUP(MID(G10,H10,I10-H10),[5]skilldef!$A:$B,2,FALSE),"-")</f>
        <v>- / 自爆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IFERROR(VLOOKUP(MID(N10,Q10,R10-Q10),[5]skilldef!$C:$D,2,FALSE),"-") &amp; " / " &amp; IFERROR(VLOOKUP(MID(N10,O10,P10-O10),[5]skilldef!$A:$B,2,FALSE),"-")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50010010</v>
      </c>
      <c r="B11" s="47" t="s">
        <v>434</v>
      </c>
      <c r="C11" s="50">
        <v>3</v>
      </c>
      <c r="D11" s="50" t="s">
        <v>125</v>
      </c>
      <c r="E11" s="51" t="s">
        <v>323</v>
      </c>
      <c r="F11" s="51" t="s">
        <v>470</v>
      </c>
      <c r="G11" s="63" t="str">
        <f t="shared" si="0"/>
        <v>[effect:enemy_message, val1:1.8, val2:1.8]</v>
      </c>
      <c r="H11" s="63">
        <f t="shared" si="1"/>
        <v>9</v>
      </c>
      <c r="I11" s="63">
        <f t="shared" si="2"/>
        <v>22</v>
      </c>
      <c r="J11" s="63" t="e">
        <f t="shared" si="3"/>
        <v>#VALUE!</v>
      </c>
      <c r="K11" s="63">
        <f t="shared" si="4"/>
        <v>32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si="5"/>
        <v>[effect:fix_speed, target:myself, turn:1],[effect:tolerance, target:myself, turn:-1, tolerance_effect:all, count:-1, animation:enemy_tolerance],[effect:enemy_counter, target:myself, invoke_condition:unit_all, counter_target:attacker, turn:5, val:0.2, animation:enemy_counter]</v>
      </c>
      <c r="N11" s="48" t="str">
        <f t="shared" si="6"/>
        <v>[effect:fix_speed, target:myself, turn:1],[effect:tolerance, target:myself, turn:-1, tolerance_effect:all, count:-1, animation:enemy_tolerance],[effect:enemy_counter, target:myself, invoke_condition:unit_all, counter_target:attacker, turn:5, val:0.2, animation:enemy_counter]</v>
      </c>
      <c r="O11" s="63">
        <f t="shared" si="7"/>
        <v>9</v>
      </c>
      <c r="P11" s="63">
        <f t="shared" si="8"/>
        <v>18</v>
      </c>
      <c r="Q11" s="63">
        <f t="shared" si="9"/>
        <v>27</v>
      </c>
      <c r="R11" s="63">
        <f t="shared" si="10"/>
        <v>33</v>
      </c>
      <c r="S11" s="63" t="str">
        <f>IFERROR(VLOOKUP(MID(N11,Q11,R11-Q11),[5]skilldef!$C:$D,2,FALSE),"-") &amp; " / " &amp; IFERROR(VLOOKUP(MID(N11,O11,P11-O11),[5]skilldef!$A:$B,2,FALSE),"-")</f>
        <v>自分自身に / 行動値設定</v>
      </c>
      <c r="T11" s="48" t="str">
        <f t="shared" si="11"/>
        <v>[effect:tolerance, target:myself, turn:-1, tolerance_effect:all, count:-1, animation:enemy_tolerance],[effect:enemy_counter, target:myself, invoke_condition:unit_all, counter_target:attacker, turn:5, val:0.2, animation:enemy_counter]</v>
      </c>
      <c r="U11" s="63">
        <f t="shared" si="12"/>
        <v>9</v>
      </c>
      <c r="V11" s="63">
        <f t="shared" si="13"/>
        <v>18</v>
      </c>
      <c r="W11" s="63">
        <f t="shared" si="14"/>
        <v>27</v>
      </c>
      <c r="X11" s="63">
        <f t="shared" si="15"/>
        <v>33</v>
      </c>
      <c r="Y11" s="63" t="str">
        <f>IFERROR(VLOOKUP(MID(T11,W11,X11-W11),[5]skilldef!$C:$D,2,FALSE),"-") &amp; " / " &amp; IFERROR(VLOOKUP(MID(T11,U11,V11-U11),[5]skilldef!$A:$B,2,FALSE),"-")</f>
        <v>自分自身に / 状態異常耐性</v>
      </c>
      <c r="Z11" s="50"/>
      <c r="AA11" s="52"/>
      <c r="AB11" s="50"/>
    </row>
    <row r="12" spans="1:28" ht="21" customHeight="1" x14ac:dyDescent="0.15">
      <c r="A12" s="47">
        <v>50010011</v>
      </c>
      <c r="B12" s="47" t="s">
        <v>330</v>
      </c>
      <c r="C12" s="50">
        <v>3</v>
      </c>
      <c r="D12" s="50" t="s">
        <v>125</v>
      </c>
      <c r="E12" s="51" t="s">
        <v>310</v>
      </c>
      <c r="F12" s="51" t="s">
        <v>295</v>
      </c>
      <c r="G12" s="63" t="str">
        <f t="shared" si="0"/>
        <v>[effect:force_change_block, new_block:jammer, target:block_red, ignore01:crack_bomb, ignore02:color_break, count:3, val:0, animation:change_block]</v>
      </c>
      <c r="H12" s="63">
        <f t="shared" si="1"/>
        <v>9</v>
      </c>
      <c r="I12" s="63">
        <f t="shared" si="2"/>
        <v>27</v>
      </c>
      <c r="J12" s="63">
        <f t="shared" si="3"/>
        <v>54</v>
      </c>
      <c r="K12" s="63">
        <f t="shared" si="4"/>
        <v>45</v>
      </c>
      <c r="L12" s="63" t="str">
        <f>IFERROR(VLOOKUP(MID(G12,J12,K12-J12),[5]skilldef!$C:$D,2,FALSE),"-") &amp; " / " &amp; IFERROR(VLOOKUP(MID(G12,H12,I12-H12),[5]skilldef!$A:$B,2,FALSE),"-")</f>
        <v>- / -</v>
      </c>
      <c r="M12" s="63" t="str">
        <f t="shared" si="5"/>
        <v>[effect:rush, val:1, count:1.5]</v>
      </c>
      <c r="N12" s="48" t="str">
        <f>IFERROR(LEFT(M12,FIND("],",M12)+#REF!),M12)</f>
        <v>[effect:rush, val:1, count:1.5]</v>
      </c>
      <c r="O12" s="63">
        <f t="shared" si="7"/>
        <v>9</v>
      </c>
      <c r="P12" s="63">
        <f t="shared" si="8"/>
        <v>13</v>
      </c>
      <c r="Q12" s="63" t="e">
        <f t="shared" si="9"/>
        <v>#VALUE!</v>
      </c>
      <c r="R12" s="63">
        <f t="shared" si="10"/>
        <v>20</v>
      </c>
      <c r="S12" s="63" t="str">
        <f>IFERROR(VLOOKUP(MID(N12,Q12,R12-Q12),[5]skilldef!$C:$D,2,FALSE),"-") &amp; " / " &amp; IFERROR(VLOOKUP(MID(N12,O12,P12-O12),[5]skilldef!$A:$B,2,FALSE),"-")</f>
        <v>- / 連続攻撃</v>
      </c>
      <c r="T12" s="48" t="str">
        <f t="shared" si="11"/>
        <v>none</v>
      </c>
      <c r="U12" s="63" t="e">
        <f t="shared" si="12"/>
        <v>#VALUE!</v>
      </c>
      <c r="V12" s="63">
        <f t="shared" si="13"/>
        <v>4</v>
      </c>
      <c r="W12" s="63" t="e">
        <f t="shared" si="14"/>
        <v>#VALUE!</v>
      </c>
      <c r="X12" s="63" t="e">
        <f t="shared" si="15"/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 x14ac:dyDescent="0.15">
      <c r="A13" s="47">
        <v>50010012</v>
      </c>
      <c r="B13" s="47" t="s">
        <v>331</v>
      </c>
      <c r="C13" s="50">
        <v>3</v>
      </c>
      <c r="D13" s="50" t="s">
        <v>125</v>
      </c>
      <c r="E13" s="51" t="s">
        <v>311</v>
      </c>
      <c r="F13" s="51" t="s">
        <v>296</v>
      </c>
      <c r="G13" s="63" t="str">
        <f t="shared" si="0"/>
        <v>[effect:force_change_block, new_block:time_bomb, target:block_red, ignore01:crack_bomb, ignore02:color_break, ignore03:time_bomb, color:block_red, count:-1, val:0.2, min_time_count:2, max_time_count:2, animation:change_block]</v>
      </c>
      <c r="H13" s="63">
        <f t="shared" si="1"/>
        <v>9</v>
      </c>
      <c r="I13" s="63">
        <f t="shared" si="2"/>
        <v>27</v>
      </c>
      <c r="J13" s="63">
        <f t="shared" si="3"/>
        <v>57</v>
      </c>
      <c r="K13" s="63">
        <f t="shared" si="4"/>
        <v>48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 t="shared" si="5"/>
        <v>[effect:rush, val:1, count:1.5]</v>
      </c>
      <c r="N13" s="48" t="str">
        <f>IFERROR(LEFT(M13,FIND("],",M13)+S22),M13)</f>
        <v>[effect:rush, val:1, count:1.5]</v>
      </c>
      <c r="O13" s="63">
        <f t="shared" si="7"/>
        <v>9</v>
      </c>
      <c r="P13" s="63">
        <f t="shared" si="8"/>
        <v>13</v>
      </c>
      <c r="Q13" s="63" t="e">
        <f t="shared" si="9"/>
        <v>#VALUE!</v>
      </c>
      <c r="R13" s="63">
        <f t="shared" si="10"/>
        <v>20</v>
      </c>
      <c r="S13" s="63" t="str">
        <f>IFERROR(VLOOKUP(MID(N13,Q13,R13-Q13),[5]skilldef!$C:$D,2,FALSE),"-") &amp; " / " &amp; IFERROR(VLOOKUP(MID(N13,O13,P13-O13),[5]skilldef!$A:$B,2,FALSE),"-")</f>
        <v>- / 連続攻撃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50010013</v>
      </c>
      <c r="B14" s="47" t="s">
        <v>354</v>
      </c>
      <c r="C14" s="50">
        <v>3</v>
      </c>
      <c r="D14" s="50" t="s">
        <v>125</v>
      </c>
      <c r="E14" s="51" t="s">
        <v>312</v>
      </c>
      <c r="F14" s="51" t="s">
        <v>257</v>
      </c>
      <c r="G14" s="63" t="str">
        <f t="shared" si="0"/>
        <v>[effect:enemy_message, val1:1.8, val2:1.8]</v>
      </c>
      <c r="H14" s="63">
        <f t="shared" si="1"/>
        <v>9</v>
      </c>
      <c r="I14" s="63">
        <f t="shared" si="2"/>
        <v>22</v>
      </c>
      <c r="J14" s="110" t="s">
        <v>362</v>
      </c>
      <c r="K14" s="63">
        <f t="shared" si="4"/>
        <v>32</v>
      </c>
      <c r="L14" s="63" t="str">
        <f>IFERROR(VLOOKUP(MID(G14,J14,K14-J14),[5]skilldef!$C:$D,2,FALSE),"-") &amp; " / " &amp; IFERROR(VLOOKUP(MID(G14,H14,I14-H14),[5]skilldef!$A:$B,2,FALSE),"-")</f>
        <v>- / -</v>
      </c>
      <c r="M14" s="63" t="str">
        <f t="shared" si="5"/>
        <v>[effect:enhance_enemy, target:myself, turn:-1, status:attack, val:0.3, calc:mul, animation:enemy_enhance_attack],[effect:crash_condition, target:unit_all, turn:5, val:-4, animation:enemy_crash_reduce03]</v>
      </c>
      <c r="N14" s="48" t="str">
        <f>IFERROR(LEFT(M14,FIND("],",M14)+#REF!),M14)</f>
        <v>[effect:enhance_enemy, target:myself, turn:-1, status:attack, val:0.3, calc:mul, animation:enemy_enhance_attack],[effect:crash_condition, target:unit_all, turn:5, val:-4, animation:enemy_crash_reduce03]</v>
      </c>
      <c r="O14" s="63">
        <f t="shared" si="7"/>
        <v>9</v>
      </c>
      <c r="P14" s="63">
        <f t="shared" si="8"/>
        <v>22</v>
      </c>
      <c r="Q14" s="63">
        <f t="shared" si="9"/>
        <v>31</v>
      </c>
      <c r="R14" s="63">
        <f t="shared" si="10"/>
        <v>37</v>
      </c>
      <c r="S14" s="63" t="str">
        <f>IFERROR(VLOOKUP(MID(N14,Q14,R14-Q14),[5]skilldef!$C:$D,2,FALSE),"-") &amp; " / " &amp; IFERROR(VLOOKUP(MID(N14,O14,P14-O14),[5]skilldef!$A:$B,2,FALSE),"-")</f>
        <v>自分自身に / ステータス強化</v>
      </c>
      <c r="T14" s="48" t="str">
        <f t="shared" si="11"/>
        <v>[effect:crash_condition, target:unit_all, turn:5, val:-4, animation:enemy_crash_reduce03]</v>
      </c>
      <c r="U14" s="63">
        <f t="shared" si="12"/>
        <v>9</v>
      </c>
      <c r="V14" s="63">
        <f t="shared" si="13"/>
        <v>24</v>
      </c>
      <c r="W14" s="63">
        <f t="shared" si="14"/>
        <v>33</v>
      </c>
      <c r="X14" s="63">
        <f t="shared" si="15"/>
        <v>41</v>
      </c>
      <c r="Y14" s="63" t="str">
        <f>IFERROR(VLOOKUP(MID(T14,W14,X14-W14),[5]skilldef!$C:$D,2,FALSE),"-") &amp; " / " &amp; IFERROR(VLOOKUP(MID(T14,U14,V14-U14),[5]skilldef!$A:$B,2,FALSE),"-")</f>
        <v>味方全体に / -</v>
      </c>
      <c r="Z14" s="50"/>
      <c r="AA14" s="52"/>
      <c r="AB14" s="50"/>
    </row>
    <row r="15" spans="1:28" ht="21" customHeight="1" x14ac:dyDescent="0.15">
      <c r="A15" s="47">
        <v>50010014</v>
      </c>
      <c r="B15" s="47" t="s">
        <v>346</v>
      </c>
      <c r="C15" s="50">
        <v>3</v>
      </c>
      <c r="D15" s="50" t="s">
        <v>125</v>
      </c>
      <c r="E15" s="51" t="s">
        <v>347</v>
      </c>
      <c r="F15" s="51" t="s">
        <v>258</v>
      </c>
      <c r="G15" s="63" t="str">
        <f t="shared" si="0"/>
        <v>[effect:break_attack_fix, target:unit_all, val:3500, lowest_val:1000, count:-1, color:blue, block01:crash]</v>
      </c>
      <c r="H15" s="63">
        <f t="shared" si="1"/>
        <v>9</v>
      </c>
      <c r="I15" s="63">
        <f t="shared" si="2"/>
        <v>25</v>
      </c>
      <c r="J15" s="63">
        <f t="shared" si="3"/>
        <v>34</v>
      </c>
      <c r="K15" s="63">
        <f t="shared" si="4"/>
        <v>42</v>
      </c>
      <c r="L15" s="63" t="str">
        <f>IFERROR(VLOOKUP(MID(G15,J15,K15-J15),[5]skilldef!$C:$D,2,FALSE),"-") &amp; " / " &amp; IFERROR(VLOOKUP(MID(G15,H15,I15-H15),[5]skilldef!$A:$B,2,FALSE),"-")</f>
        <v>味方全体に / -</v>
      </c>
      <c r="M15" s="63" t="str">
        <f t="shared" si="5"/>
        <v>none</v>
      </c>
      <c r="N15" s="48" t="str">
        <f t="shared" ref="N15:N21" si="16">IFERROR(LEFT(M15,FIND("],",M15)+S23),M15)</f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IFERROR(VLOOKUP(MID(N15,Q15,R15-Q15),[5]skilldef!$C:$D,2,FALSE),"-") &amp; " / " &amp; IFERROR(VLOOKUP(MID(N15,O15,P15-O15),[5]skilldef!$A:$B,2,FALSE),"-")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50010015</v>
      </c>
      <c r="B16" s="47" t="s">
        <v>279</v>
      </c>
      <c r="C16" s="50">
        <v>3</v>
      </c>
      <c r="D16" s="50" t="s">
        <v>125</v>
      </c>
      <c r="E16" s="51" t="s">
        <v>322</v>
      </c>
      <c r="F16" s="51" t="s">
        <v>289</v>
      </c>
      <c r="G16" s="63" t="str">
        <f t="shared" si="0"/>
        <v>[effect:nothing]</v>
      </c>
      <c r="H16" s="63">
        <f t="shared" si="1"/>
        <v>9</v>
      </c>
      <c r="I16" s="63">
        <f t="shared" si="2"/>
        <v>16</v>
      </c>
      <c r="J16" s="63" t="e">
        <f t="shared" si="3"/>
        <v>#VALUE!</v>
      </c>
      <c r="K16" s="63" t="e">
        <f t="shared" si="4"/>
        <v>#VALUE!</v>
      </c>
      <c r="L16" s="63" t="str">
        <f>IFERROR(VLOOKUP(MID(G16,J16,K16-J16),[5]skilldef!$C:$D,2,FALSE),"-") &amp; " / " &amp; IFERROR(VLOOKUP(MID(G16,H16,I16-H16),[5]skilldef!$A:$B,2,FALSE),"-")</f>
        <v>- / 何もしない</v>
      </c>
      <c r="M16" s="63" t="str">
        <f t="shared" si="5"/>
        <v>none</v>
      </c>
      <c r="N16" s="48" t="str">
        <f t="shared" si="1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IFERROR(VLOOKUP(MID(N16,Q16,R16-Q16),[5]skilldef!$C:$D,2,FALSE),"-") &amp; " / " &amp; IFERROR(VLOOKUP(MID(N16,O16,P16-O16),[5]skilldef!$A:$B,2,FALSE),"-")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 x14ac:dyDescent="0.15">
      <c r="A17" s="47">
        <v>50010016</v>
      </c>
      <c r="B17" s="47" t="s">
        <v>355</v>
      </c>
      <c r="C17" s="50">
        <v>3</v>
      </c>
      <c r="D17" s="50" t="s">
        <v>125</v>
      </c>
      <c r="E17" s="51" t="s">
        <v>313</v>
      </c>
      <c r="F17" s="51" t="s">
        <v>290</v>
      </c>
      <c r="G17" s="63" t="str">
        <f t="shared" si="0"/>
        <v>[effect:enemy_message, val1:1.3, val2:1.8]</v>
      </c>
      <c r="H17" s="63">
        <f t="shared" si="1"/>
        <v>9</v>
      </c>
      <c r="I17" s="63">
        <f t="shared" si="2"/>
        <v>22</v>
      </c>
      <c r="J17" s="63" t="e">
        <f t="shared" si="3"/>
        <v>#VALUE!</v>
      </c>
      <c r="K17" s="63">
        <f t="shared" si="4"/>
        <v>32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si="5"/>
        <v xml:space="preserve">[effect:damage_gravity, val:1, animation:fevergauge_down]    </v>
      </c>
      <c r="N17" s="48" t="str">
        <f t="shared" si="16"/>
        <v xml:space="preserve">[effect:damage_gravity, val:1, animation:fevergauge_down]    </v>
      </c>
      <c r="O17" s="63">
        <f t="shared" si="7"/>
        <v>9</v>
      </c>
      <c r="P17" s="63">
        <f t="shared" si="8"/>
        <v>23</v>
      </c>
      <c r="Q17" s="63" t="e">
        <f t="shared" si="9"/>
        <v>#VALUE!</v>
      </c>
      <c r="R17" s="63">
        <f t="shared" si="10"/>
        <v>30</v>
      </c>
      <c r="S17" s="63" t="str">
        <f>IFERROR(VLOOKUP(MID(N17,Q17,R17-Q17),[5]skilldef!$C:$D,2,FALSE),"-") &amp; " / " &amp; IFERROR(VLOOKUP(MID(N17,O17,P17-O17),[5]skilldef!$A:$B,2,FALSE),"-")</f>
        <v>- / 割合ダメージ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50010017</v>
      </c>
      <c r="B18" s="47" t="s">
        <v>437</v>
      </c>
      <c r="C18" s="50">
        <v>3</v>
      </c>
      <c r="D18" s="50" t="s">
        <v>125</v>
      </c>
      <c r="E18" s="51" t="s">
        <v>324</v>
      </c>
      <c r="F18" s="51" t="s">
        <v>371</v>
      </c>
      <c r="G18" s="63" t="str">
        <f t="shared" si="0"/>
        <v>[effect:enemy_message, val1:1, val2:2.3]</v>
      </c>
      <c r="H18" s="63">
        <f t="shared" si="1"/>
        <v>9</v>
      </c>
      <c r="I18" s="63">
        <f t="shared" si="2"/>
        <v>22</v>
      </c>
      <c r="J18" s="63" t="e">
        <f t="shared" si="3"/>
        <v>#VALUE!</v>
      </c>
      <c r="K18" s="63">
        <f t="shared" si="4"/>
        <v>30</v>
      </c>
      <c r="L18" s="63" t="str">
        <f>IFERROR(VLOOKUP(MID(G18,J18,K18-J18),[5]skilldef!$C:$D,2,FALSE),"-") &amp; " / " &amp; IFERROR(VLOOKUP(MID(G18,H18,I18-H18),[5]skilldef!$A:$B,2,FALSE),"-")</f>
        <v>- / -</v>
      </c>
      <c r="M18" s="63" t="str">
        <f t="shared" si="5"/>
        <v>[effect:fix_speed, target:myself, turn:1],[effect:tolerance, target:myself, turn:-1, tolerance_effect:all, count:-1, animation:enemy_tolerance],[effect:dis_panel, target:block_blue, turn:7, animation:enemy_dis_blue],[effect:change_panel_ratio, turn:7, block_type:blue, val:0.4, animation:block_incidence04]</v>
      </c>
      <c r="N18" s="48" t="str">
        <f t="shared" si="16"/>
        <v>[effect:fix_speed, target:myself, turn:1],[effect:tolerance, target:myself, turn:-1, tolerance_effect:all, count:-1, animation:enemy_tolerance],[effect:dis_panel, target:block_blue, turn:7, animation:enemy_dis_blue],[effect:change_panel_ratio, turn:7, block_type:blue, val:0.4, animation:block_incidence04]</v>
      </c>
      <c r="O18" s="63">
        <f t="shared" si="7"/>
        <v>9</v>
      </c>
      <c r="P18" s="63">
        <f t="shared" si="8"/>
        <v>18</v>
      </c>
      <c r="Q18" s="63">
        <f t="shared" si="9"/>
        <v>27</v>
      </c>
      <c r="R18" s="63">
        <f t="shared" si="10"/>
        <v>33</v>
      </c>
      <c r="S18" s="63" t="str">
        <f>IFERROR(VLOOKUP(MID(N18,Q18,R18-Q18),[5]skilldef!$C:$D,2,FALSE),"-") &amp; " / " &amp; IFERROR(VLOOKUP(MID(N18,O18,P18-O18),[5]skilldef!$A:$B,2,FALSE),"-")</f>
        <v>自分自身に / 行動値設定</v>
      </c>
      <c r="T18" s="48" t="str">
        <f t="shared" si="11"/>
        <v>[effect:tolerance, target:myself, turn:-1, tolerance_effect:all, count:-1, animation:enemy_tolerance],[effect:dis_panel, target:block_blue, turn:7, animation:enemy_dis_blue],[effect:change_panel_ratio, turn:7, block_type:blue, val:0.4, animation:block_incidence04]</v>
      </c>
      <c r="U18" s="63">
        <f t="shared" si="12"/>
        <v>9</v>
      </c>
      <c r="V18" s="63">
        <f t="shared" si="13"/>
        <v>18</v>
      </c>
      <c r="W18" s="63">
        <f t="shared" si="14"/>
        <v>27</v>
      </c>
      <c r="X18" s="63">
        <f t="shared" si="15"/>
        <v>33</v>
      </c>
      <c r="Y18" s="63" t="str">
        <f>IFERROR(VLOOKUP(MID(T18,W18,X18-W18),[5]skilldef!$C:$D,2,FALSE),"-") &amp; " / " &amp; IFERROR(VLOOKUP(MID(T18,U18,V18-U18),[5]skilldef!$A:$B,2,FALSE),"-")</f>
        <v>自分自身に / 状態異常耐性</v>
      </c>
      <c r="Z18" s="50"/>
      <c r="AA18" s="52"/>
      <c r="AB18" s="50"/>
    </row>
    <row r="19" spans="1:28" ht="21" customHeight="1" x14ac:dyDescent="0.15">
      <c r="A19" s="47">
        <v>50010018</v>
      </c>
      <c r="B19" s="47" t="s">
        <v>463</v>
      </c>
      <c r="C19" s="50">
        <v>3</v>
      </c>
      <c r="D19" s="50" t="s">
        <v>125</v>
      </c>
      <c r="E19" s="51" t="s">
        <v>325</v>
      </c>
      <c r="F19" s="51" t="s">
        <v>260</v>
      </c>
      <c r="G19" s="63" t="str">
        <f t="shared" si="0"/>
        <v xml:space="preserve">[effect:damage_fix_absolute, target:unit_one, val:11500]    </v>
      </c>
      <c r="H19" s="63">
        <f t="shared" si="1"/>
        <v>9</v>
      </c>
      <c r="I19" s="63">
        <f t="shared" si="2"/>
        <v>28</v>
      </c>
      <c r="J19" s="63">
        <f t="shared" si="3"/>
        <v>37</v>
      </c>
      <c r="K19" s="63">
        <f t="shared" si="4"/>
        <v>45</v>
      </c>
      <c r="L19" s="63" t="str">
        <f>IFERROR(VLOOKUP(MID(G19,J19,K19-J19),[5]skilldef!$C:$D,2,FALSE),"-") &amp; " / " &amp; IFERROR(VLOOKUP(MID(G19,H19,I19-H19),[5]skilldef!$A:$B,2,FALSE),"-")</f>
        <v>味方単体に / -</v>
      </c>
      <c r="M19" s="63" t="str">
        <f t="shared" si="5"/>
        <v>none</v>
      </c>
      <c r="N19" s="48" t="str">
        <f t="shared" si="1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 x14ac:dyDescent="0.15">
      <c r="A20" s="47">
        <v>50010019</v>
      </c>
      <c r="B20" s="47" t="s">
        <v>464</v>
      </c>
      <c r="C20" s="50">
        <v>3</v>
      </c>
      <c r="D20" s="50" t="s">
        <v>125</v>
      </c>
      <c r="E20" s="51" t="s">
        <v>314</v>
      </c>
      <c r="F20" s="51" t="s">
        <v>260</v>
      </c>
      <c r="G20" s="63" t="str">
        <f t="shared" si="0"/>
        <v>[effect:damage_fix_absolute, target:unit_one, val:12000]</v>
      </c>
      <c r="H20" s="63">
        <f t="shared" si="1"/>
        <v>9</v>
      </c>
      <c r="I20" s="63">
        <f t="shared" si="2"/>
        <v>28</v>
      </c>
      <c r="J20" s="63">
        <f t="shared" si="3"/>
        <v>37</v>
      </c>
      <c r="K20" s="63">
        <f t="shared" si="4"/>
        <v>45</v>
      </c>
      <c r="L20" s="63" t="str">
        <f>IFERROR(VLOOKUP(MID(G20,J20,K20-J20),[5]skilldef!$C:$D,2,FALSE),"-") &amp; " / " &amp; IFERROR(VLOOKUP(MID(G20,H20,I20-H20),[5]skilldef!$A:$B,2,FALSE),"-")</f>
        <v>味方単体に / -</v>
      </c>
      <c r="M20" s="63" t="str">
        <f t="shared" si="5"/>
        <v>none</v>
      </c>
      <c r="N20" s="48" t="str">
        <f t="shared" si="16"/>
        <v>none</v>
      </c>
      <c r="O20" s="63" t="e">
        <f t="shared" si="7"/>
        <v>#VALUE!</v>
      </c>
      <c r="P20" s="63">
        <f t="shared" si="8"/>
        <v>4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50010020</v>
      </c>
      <c r="B21" s="47" t="s">
        <v>465</v>
      </c>
      <c r="C21" s="50">
        <v>3</v>
      </c>
      <c r="D21" s="50" t="s">
        <v>125</v>
      </c>
      <c r="E21" s="51" t="s">
        <v>315</v>
      </c>
      <c r="F21" s="51" t="s">
        <v>260</v>
      </c>
      <c r="G21" s="63" t="str">
        <f t="shared" si="0"/>
        <v>[effect:damage_fix_absolute, target:unit_one, val:12500]</v>
      </c>
      <c r="H21" s="63">
        <f t="shared" si="1"/>
        <v>9</v>
      </c>
      <c r="I21" s="63">
        <f t="shared" si="2"/>
        <v>28</v>
      </c>
      <c r="J21" s="110" t="s">
        <v>361</v>
      </c>
      <c r="K21" s="63">
        <f t="shared" si="4"/>
        <v>45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si="5"/>
        <v>none</v>
      </c>
      <c r="N21" s="48" t="str">
        <f t="shared" si="1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IFERROR(VLOOKUP(MID(N21,Q21,R21-Q21),[5]skilldef!$C:$D,2,FALSE),"-") &amp; " / " &amp; IFERROR(VLOOKUP(MID(N21,O21,P21-O21),[5]skilldef!$A:$B,2,FALSE),"-")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 x14ac:dyDescent="0.15">
      <c r="A22" s="47">
        <v>50010022</v>
      </c>
      <c r="B22" s="47" t="s">
        <v>356</v>
      </c>
      <c r="C22" s="50">
        <v>3</v>
      </c>
      <c r="D22" s="50" t="s">
        <v>125</v>
      </c>
      <c r="E22" s="51" t="s">
        <v>317</v>
      </c>
      <c r="F22" s="51" t="s">
        <v>284</v>
      </c>
      <c r="G22" s="63" t="str">
        <f t="shared" si="0"/>
        <v>[effect:enemy_message, val1:1.5, val2:1.8]</v>
      </c>
      <c r="H22" s="63">
        <f t="shared" si="1"/>
        <v>9</v>
      </c>
      <c r="I22" s="63">
        <f t="shared" si="2"/>
        <v>22</v>
      </c>
      <c r="J22" s="63" t="e">
        <f t="shared" si="3"/>
        <v>#VALUE!</v>
      </c>
      <c r="K22" s="63">
        <f t="shared" si="4"/>
        <v>32</v>
      </c>
      <c r="L22" s="63" t="str">
        <f>IFERROR(VLOOKUP(MID(G22,J22,K22-J22),[5]skilldef!$C:$D,2,FALSE),"-") &amp; " / " &amp; IFERROR(VLOOKUP(MID(G22,H22,I22-H22),[5]skilldef!$A:$B,2,FALSE),"-")</f>
        <v>- / -</v>
      </c>
      <c r="M22" s="63" t="str">
        <f t="shared" si="5"/>
        <v>[effect:drop_block, block_type:crash, color:block_all, val:6, rate:0.02, turn:-1, animation:crash_influence04]</v>
      </c>
      <c r="N22" s="48" t="str">
        <f>IFERROR(LEFT(M22,FIND("],",M22)+S31),M22)</f>
        <v>[effect:drop_block, block_type:crash, color:block_all, val:6, rate:0.02, turn:-1, animation:crash_influence04]</v>
      </c>
      <c r="O22" s="63">
        <f t="shared" si="7"/>
        <v>9</v>
      </c>
      <c r="P22" s="63">
        <f t="shared" si="8"/>
        <v>19</v>
      </c>
      <c r="Q22" s="63" t="e">
        <f t="shared" si="9"/>
        <v>#VALUE!</v>
      </c>
      <c r="R22" s="63">
        <f t="shared" si="10"/>
        <v>37</v>
      </c>
      <c r="S22" s="63" t="str">
        <f>IFERROR(VLOOKUP(MID(N22,Q22,R22-Q22),[5]skilldef!$C:$D,2,FALSE),"-") &amp; " / " &amp; IFERROR(VLOOKUP(MID(N22,O22,P22-O22),[5]skilldef!$A:$B,2,FALSE),"-")</f>
        <v>- / 特定ブロックの割合ドロップ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50010024</v>
      </c>
      <c r="B23" s="47" t="s">
        <v>466</v>
      </c>
      <c r="C23" s="50">
        <v>3</v>
      </c>
      <c r="D23" s="50" t="s">
        <v>125</v>
      </c>
      <c r="E23" s="51" t="s">
        <v>352</v>
      </c>
      <c r="F23" s="51" t="s">
        <v>261</v>
      </c>
      <c r="G23" s="63" t="str">
        <f t="shared" si="0"/>
        <v>[effect:enemy_message, val1:1.3, val2:2.3]</v>
      </c>
      <c r="H23" s="63">
        <f t="shared" si="1"/>
        <v>9</v>
      </c>
      <c r="I23" s="63">
        <f t="shared" si="2"/>
        <v>22</v>
      </c>
      <c r="J23" s="63" t="e">
        <f t="shared" si="3"/>
        <v>#VALUE!</v>
      </c>
      <c r="K23" s="63">
        <f t="shared" si="4"/>
        <v>32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si="5"/>
        <v xml:space="preserve">[effect:damage_fix_absolute, target:unit_one, val:13000],[effect:degrade_unit, target:unit_all, turn:1, status:heal, val:0.5, calc:mul, animation:degrade_unit_all_heal]    </v>
      </c>
      <c r="N23" s="48" t="str">
        <f t="shared" si="6"/>
        <v xml:space="preserve">[effect:damage_fix_absolute, target:unit_one, val:13000],[effect:degrade_unit, target:unit_all, turn:1, status:heal, val:0.5, calc:mul, animation:degrade_unit_all_heal]    </v>
      </c>
      <c r="O23" s="63">
        <f t="shared" si="7"/>
        <v>9</v>
      </c>
      <c r="P23" s="63">
        <f t="shared" si="8"/>
        <v>28</v>
      </c>
      <c r="Q23" s="63">
        <f t="shared" si="9"/>
        <v>37</v>
      </c>
      <c r="R23" s="63">
        <f t="shared" si="10"/>
        <v>45</v>
      </c>
      <c r="S23" s="63" t="str">
        <f>IFERROR(VLOOKUP(MID(N23,Q23,R23-Q23),[5]skilldef!$C:$D,2,FALSE),"-") &amp; " / " &amp; IFERROR(VLOOKUP(MID(N23,O23,P23-O23),[5]skilldef!$A:$B,2,FALSE),"-")</f>
        <v>味方単体に / -</v>
      </c>
      <c r="T23" s="48" t="str">
        <f t="shared" si="11"/>
        <v xml:space="preserve">[effect:degrade_unit, target:unit_all, turn:1, status:heal, val:0.5, calc:mul, animation:degrade_unit_all_heal]    </v>
      </c>
      <c r="U23" s="63">
        <f t="shared" si="12"/>
        <v>9</v>
      </c>
      <c r="V23" s="63">
        <f t="shared" si="13"/>
        <v>21</v>
      </c>
      <c r="W23" s="63">
        <f t="shared" si="14"/>
        <v>30</v>
      </c>
      <c r="X23" s="63">
        <f t="shared" si="15"/>
        <v>38</v>
      </c>
      <c r="Y23" s="63" t="str">
        <f>IFERROR(VLOOKUP(MID(T23,W23,X23-W23),[5]skilldef!$C:$D,2,FALSE),"-") &amp; " / " &amp; IFERROR(VLOOKUP(MID(T23,U23,V23-U23),[5]skilldef!$A:$B,2,FALSE),"-")</f>
        <v>味方全体に / ステータスDOWN</v>
      </c>
      <c r="Z23" s="50"/>
      <c r="AA23" s="52"/>
      <c r="AB23" s="50"/>
    </row>
    <row r="24" spans="1:28" ht="21" customHeight="1" x14ac:dyDescent="0.15">
      <c r="A24" s="47">
        <v>50010025</v>
      </c>
      <c r="B24" s="47" t="s">
        <v>467</v>
      </c>
      <c r="C24" s="50">
        <v>3</v>
      </c>
      <c r="D24" s="50" t="s">
        <v>125</v>
      </c>
      <c r="E24" s="51" t="s">
        <v>326</v>
      </c>
      <c r="F24" s="51" t="s">
        <v>328</v>
      </c>
      <c r="G24" s="63" t="str">
        <f t="shared" si="0"/>
        <v>[effect:enemy_message, val1:1.3, val2:2.3]</v>
      </c>
      <c r="H24" s="63">
        <f t="shared" si="1"/>
        <v>9</v>
      </c>
      <c r="I24" s="63">
        <f t="shared" si="2"/>
        <v>22</v>
      </c>
      <c r="J24" s="63" t="e">
        <f t="shared" si="3"/>
        <v>#VALUE!</v>
      </c>
      <c r="K24" s="63">
        <f t="shared" si="4"/>
        <v>32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5"/>
        <v xml:space="preserve">[effect:damage_fix_absolute, target:unit_one, val:13500],[effect:degrade_unit, target:unit_all, turn:1, status:heal, val:0.7, calc:mul, animation:degrade_unit_all_heal]    </v>
      </c>
      <c r="N24" s="48" t="str">
        <f t="shared" si="6"/>
        <v xml:space="preserve">[effect:damage_fix_absolute, target:unit_one, val:13500],[effect:degrade_unit, target:unit_all, turn:1, status:heal, val:0.7, calc:mul, animation:degrade_unit_all_heal]    </v>
      </c>
      <c r="O24" s="63">
        <f t="shared" si="7"/>
        <v>9</v>
      </c>
      <c r="P24" s="63">
        <f t="shared" si="8"/>
        <v>28</v>
      </c>
      <c r="Q24" s="63">
        <f t="shared" si="9"/>
        <v>37</v>
      </c>
      <c r="R24" s="63">
        <f t="shared" si="10"/>
        <v>45</v>
      </c>
      <c r="S24" s="63" t="str">
        <f>IFERROR(VLOOKUP(MID(N24,Q24,R24-Q24),[5]skilldef!$C:$D,2,FALSE),"-") &amp; " / " &amp; IFERROR(VLOOKUP(MID(N24,O24,P24-O24),[5]skilldef!$A:$B,2,FALSE),"-")</f>
        <v>味方単体に / -</v>
      </c>
      <c r="T24" s="48" t="str">
        <f t="shared" si="11"/>
        <v xml:space="preserve">[effect:degrade_unit, target:unit_all, turn:1, status:heal, val:0.7, calc:mul, animation:degrade_unit_all_heal]    </v>
      </c>
      <c r="U24" s="63">
        <f t="shared" si="12"/>
        <v>9</v>
      </c>
      <c r="V24" s="63">
        <f t="shared" si="13"/>
        <v>21</v>
      </c>
      <c r="W24" s="63">
        <f t="shared" si="14"/>
        <v>30</v>
      </c>
      <c r="X24" s="63">
        <f t="shared" si="15"/>
        <v>38</v>
      </c>
      <c r="Y24" s="63" t="str">
        <f>IFERROR(VLOOKUP(MID(T24,W24,X24-W24),[5]skilldef!$C:$D,2,FALSE),"-") &amp; " / " &amp; IFERROR(VLOOKUP(MID(T24,U24,V24-U24),[5]skilldef!$A:$B,2,FALSE),"-")</f>
        <v>味方全体に / ステータスDOWN</v>
      </c>
      <c r="Z24" s="50"/>
      <c r="AA24" s="52"/>
      <c r="AB24" s="50"/>
    </row>
    <row r="25" spans="1:28" ht="21" customHeight="1" x14ac:dyDescent="0.15">
      <c r="A25" s="47">
        <v>50010026</v>
      </c>
      <c r="B25" s="47" t="s">
        <v>468</v>
      </c>
      <c r="C25" s="50">
        <v>3</v>
      </c>
      <c r="D25" s="50" t="s">
        <v>125</v>
      </c>
      <c r="E25" s="51" t="s">
        <v>316</v>
      </c>
      <c r="F25" s="51" t="s">
        <v>329</v>
      </c>
      <c r="G25" s="63" t="str">
        <f t="shared" si="0"/>
        <v>[effect:enemy_message, val1:1.3, val2:2.3]</v>
      </c>
      <c r="H25" s="63">
        <f t="shared" si="1"/>
        <v>9</v>
      </c>
      <c r="I25" s="63">
        <f t="shared" si="2"/>
        <v>22</v>
      </c>
      <c r="J25" s="63" t="e">
        <f t="shared" si="3"/>
        <v>#VALUE!</v>
      </c>
      <c r="K25" s="63">
        <f t="shared" si="4"/>
        <v>32</v>
      </c>
      <c r="L25" s="63" t="str">
        <f>IFERROR(VLOOKUP(MID(G25,J25,K25-J25),[5]skilldef!$C:$D,2,FALSE),"-") &amp; " / " &amp; IFERROR(VLOOKUP(MID(G25,H25,I25-H25),[5]skilldef!$A:$B,2,FALSE),"-")</f>
        <v>- / -</v>
      </c>
      <c r="M25" s="63" t="str">
        <f t="shared" si="5"/>
        <v xml:space="preserve">[effect:damage_fix_absolute, target:unit_one, val:14000],[effect:degrade_unit, target:unit_all, turn:1, status:heal, val:0.9, calc:mul, animation:degrade_unit_all_heal]    </v>
      </c>
      <c r="N25" s="48" t="str">
        <f t="shared" si="6"/>
        <v xml:space="preserve">[effect:damage_fix_absolute, target:unit_one, val:14000],[effect:degrade_unit, target:unit_all, turn:1, status:heal, val:0.9, calc:mul, animation:degrade_unit_all_heal]    </v>
      </c>
      <c r="O25" s="63">
        <f t="shared" si="7"/>
        <v>9</v>
      </c>
      <c r="P25" s="63">
        <f t="shared" si="8"/>
        <v>28</v>
      </c>
      <c r="Q25" s="63">
        <f t="shared" si="9"/>
        <v>37</v>
      </c>
      <c r="R25" s="63">
        <f t="shared" si="10"/>
        <v>45</v>
      </c>
      <c r="S25" s="63" t="str">
        <f>IFERROR(VLOOKUP(MID(N25,Q25,R25-Q25),[5]skilldef!$C:$D,2,FALSE),"-") &amp; " / " &amp; IFERROR(VLOOKUP(MID(N25,O25,P25-O25),[5]skilldef!$A:$B,2,FALSE),"-")</f>
        <v>味方単体に / -</v>
      </c>
      <c r="T25" s="48" t="str">
        <f t="shared" si="11"/>
        <v xml:space="preserve">[effect:degrade_unit, target:unit_all, turn:1, status:heal, val:0.9, calc:mul, animation:degrade_unit_all_heal]    </v>
      </c>
      <c r="U25" s="63">
        <f t="shared" si="12"/>
        <v>9</v>
      </c>
      <c r="V25" s="63">
        <f t="shared" si="13"/>
        <v>21</v>
      </c>
      <c r="W25" s="63">
        <f t="shared" si="14"/>
        <v>30</v>
      </c>
      <c r="X25" s="63">
        <f t="shared" si="15"/>
        <v>38</v>
      </c>
      <c r="Y25" s="63" t="str">
        <f>IFERROR(VLOOKUP(MID(T25,W25,X25-W25),[5]skilldef!$C:$D,2,FALSE),"-") &amp; " / " &amp; IFERROR(VLOOKUP(MID(T25,U25,V25-U25),[5]skilldef!$A:$B,2,FALSE),"-")</f>
        <v>味方全体に / ステータスDOWN</v>
      </c>
      <c r="Z25" s="50"/>
      <c r="AA25" s="52"/>
      <c r="AB25" s="50"/>
    </row>
    <row r="26" spans="1:28" ht="21" customHeight="1" x14ac:dyDescent="0.15">
      <c r="A26" s="47">
        <v>50010027</v>
      </c>
      <c r="B26" s="47" t="s">
        <v>357</v>
      </c>
      <c r="C26" s="50">
        <v>3</v>
      </c>
      <c r="D26" s="50" t="s">
        <v>125</v>
      </c>
      <c r="E26" s="51" t="s">
        <v>318</v>
      </c>
      <c r="F26" s="51" t="s">
        <v>319</v>
      </c>
      <c r="G26" s="63" t="str">
        <f t="shared" si="0"/>
        <v>[effect:enemy_message, val1:1.3, val2:2.3]</v>
      </c>
      <c r="H26" s="63">
        <f t="shared" si="1"/>
        <v>9</v>
      </c>
      <c r="I26" s="63">
        <f t="shared" si="2"/>
        <v>22</v>
      </c>
      <c r="J26" s="63" t="e">
        <f t="shared" si="3"/>
        <v>#VALUE!</v>
      </c>
      <c r="K26" s="63">
        <f t="shared" si="4"/>
        <v>32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5"/>
        <v xml:space="preserve">[effect:suicide, target:myself, val:1, dead_type:escape]    </v>
      </c>
      <c r="N26" s="48" t="str">
        <f t="shared" si="6"/>
        <v xml:space="preserve">[effect:suicide, target:myself, val:1, dead_type:escape]    </v>
      </c>
      <c r="O26" s="63">
        <f t="shared" si="7"/>
        <v>9</v>
      </c>
      <c r="P26" s="63">
        <f t="shared" si="8"/>
        <v>16</v>
      </c>
      <c r="Q26" s="63">
        <f t="shared" si="9"/>
        <v>25</v>
      </c>
      <c r="R26" s="63">
        <f t="shared" si="10"/>
        <v>31</v>
      </c>
      <c r="S26" s="63" t="str">
        <f>IFERROR(VLOOKUP(MID(N26,Q26,R26-Q26),[5]skilldef!$C:$D,2,FALSE),"-") &amp; " / " &amp; IFERROR(VLOOKUP(MID(N26,O26,P26-O26),[5]skilldef!$A:$B,2,FALSE),"-")</f>
        <v>自分自身に / -</v>
      </c>
      <c r="T26" s="48" t="str">
        <f t="shared" si="11"/>
        <v>none</v>
      </c>
      <c r="U26" s="63" t="e">
        <f t="shared" si="12"/>
        <v>#VALUE!</v>
      </c>
      <c r="V26" s="63">
        <f t="shared" si="13"/>
        <v>4</v>
      </c>
      <c r="W26" s="63" t="e">
        <f t="shared" si="14"/>
        <v>#VALUE!</v>
      </c>
      <c r="X26" s="63" t="e">
        <f t="shared" si="15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 x14ac:dyDescent="0.15">
      <c r="A27" s="47">
        <v>50010028</v>
      </c>
      <c r="B27" s="47" t="s">
        <v>358</v>
      </c>
      <c r="C27" s="50">
        <v>3</v>
      </c>
      <c r="D27" s="50" t="s">
        <v>125</v>
      </c>
      <c r="E27" s="51" t="s">
        <v>372</v>
      </c>
      <c r="F27" s="51" t="s">
        <v>370</v>
      </c>
      <c r="G27" s="63" t="str">
        <f t="shared" si="0"/>
        <v>[effect:enemy_message, val1:1.5, val2:2.2]</v>
      </c>
      <c r="H27" s="63">
        <f t="shared" si="1"/>
        <v>9</v>
      </c>
      <c r="I27" s="63">
        <f t="shared" si="2"/>
        <v>22</v>
      </c>
      <c r="J27" s="63" t="e">
        <f t="shared" si="3"/>
        <v>#VALUE!</v>
      </c>
      <c r="K27" s="63">
        <f t="shared" si="4"/>
        <v>32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5"/>
        <v>[effect:fix_speed, target:myself, turn:2],[effect:enhance_enemy, target:enemy_all, turn:-1, status:attack, val:0.1, calc:mul, animation:enemy_enhance_attack]</v>
      </c>
      <c r="N27" s="48" t="str">
        <f t="shared" si="6"/>
        <v>[effect:fix_speed, target:myself, turn:2],[effect:enhance_enemy, target:enemy_all, turn:-1, status:attack, val:0.1, calc:mul, animation:enemy_enhance_attack]</v>
      </c>
      <c r="O27" s="63">
        <f t="shared" si="7"/>
        <v>9</v>
      </c>
      <c r="P27" s="63">
        <f t="shared" si="8"/>
        <v>18</v>
      </c>
      <c r="Q27" s="63">
        <f t="shared" si="9"/>
        <v>27</v>
      </c>
      <c r="R27" s="63">
        <f t="shared" si="10"/>
        <v>33</v>
      </c>
      <c r="S27" s="63" t="str">
        <f>IFERROR(VLOOKUP(MID(N27,Q27,R27-Q27),[5]skilldef!$C:$D,2,FALSE),"-") &amp; " / " &amp; IFERROR(VLOOKUP(MID(N27,O27,P27-O27),[5]skilldef!$A:$B,2,FALSE),"-")</f>
        <v>自分自身に / 行動値設定</v>
      </c>
      <c r="T27" s="48" t="str">
        <f t="shared" si="11"/>
        <v>[effect:enhance_enemy, target:enemy_all, turn:-1, status:attack, val:0.1, calc:mul, animation:enemy_enhance_attack]</v>
      </c>
      <c r="U27" s="63">
        <f t="shared" si="12"/>
        <v>9</v>
      </c>
      <c r="V27" s="63">
        <f t="shared" si="13"/>
        <v>22</v>
      </c>
      <c r="W27" s="63">
        <f t="shared" si="14"/>
        <v>31</v>
      </c>
      <c r="X27" s="63">
        <f t="shared" si="15"/>
        <v>40</v>
      </c>
      <c r="Y27" s="63" t="str">
        <f>IFERROR(VLOOKUP(MID(T27,W27,X27-W27),[5]skilldef!$C:$D,2,FALSE),"-") &amp; " / " &amp; IFERROR(VLOOKUP(MID(T27,U27,V27-U27),[5]skilldef!$A:$B,2,FALSE),"-")</f>
        <v>敵全体に / ステータス強化</v>
      </c>
      <c r="Z27" s="50"/>
      <c r="AA27" s="52"/>
      <c r="AB27" s="50"/>
    </row>
    <row r="28" spans="1:28" ht="21" customHeight="1" x14ac:dyDescent="0.15">
      <c r="A28" s="47">
        <v>50010029</v>
      </c>
      <c r="B28" s="47" t="s">
        <v>454</v>
      </c>
      <c r="C28" s="50">
        <v>3</v>
      </c>
      <c r="D28" s="50" t="s">
        <v>125</v>
      </c>
      <c r="E28" s="51" t="s">
        <v>336</v>
      </c>
      <c r="F28" s="51" t="s">
        <v>259</v>
      </c>
      <c r="G28" s="63" t="str">
        <f t="shared" si="0"/>
        <v xml:space="preserve">[effect:damage_fix_absolute, target:unit_one, val:7800]    </v>
      </c>
      <c r="H28" s="63">
        <f t="shared" si="1"/>
        <v>9</v>
      </c>
      <c r="I28" s="63">
        <f t="shared" si="2"/>
        <v>28</v>
      </c>
      <c r="J28" s="63">
        <f t="shared" si="3"/>
        <v>37</v>
      </c>
      <c r="K28" s="63">
        <f t="shared" si="4"/>
        <v>45</v>
      </c>
      <c r="L28" s="63" t="str">
        <f>IFERROR(VLOOKUP(MID(G28,J28,K28-J28),[5]skilldef!$C:$D,2,FALSE),"-") &amp; " / " &amp; IFERROR(VLOOKUP(MID(G28,H28,I28-H28),[5]skilldef!$A:$B,2,FALSE),"-")</f>
        <v>味方単体に / -</v>
      </c>
      <c r="M28" s="63" t="str">
        <f t="shared" si="5"/>
        <v>none</v>
      </c>
      <c r="N28" s="48" t="str">
        <f t="shared" si="6"/>
        <v>none</v>
      </c>
      <c r="O28" s="63" t="e">
        <f t="shared" si="7"/>
        <v>#VALUE!</v>
      </c>
      <c r="P28" s="63">
        <f t="shared" si="8"/>
        <v>4</v>
      </c>
      <c r="Q28" s="63" t="e">
        <f t="shared" si="9"/>
        <v>#VALUE!</v>
      </c>
      <c r="R28" s="63" t="e">
        <f t="shared" si="10"/>
        <v>#VALUE!</v>
      </c>
      <c r="S28" s="63" t="str">
        <f>IFERROR(VLOOKUP(MID(N28,Q28,R28-Q28),[5]skilldef!$C:$D,2,FALSE),"-") &amp; " / " &amp; IFERROR(VLOOKUP(MID(N28,O28,P28-O28),[5]skilldef!$A:$B,2,FALSE),"-")</f>
        <v>- / -</v>
      </c>
      <c r="T28" s="48" t="str">
        <f t="shared" si="11"/>
        <v>none</v>
      </c>
      <c r="U28" s="63" t="e">
        <f t="shared" si="12"/>
        <v>#VALUE!</v>
      </c>
      <c r="V28" s="63">
        <f t="shared" si="13"/>
        <v>4</v>
      </c>
      <c r="W28" s="63" t="e">
        <f t="shared" si="14"/>
        <v>#VALUE!</v>
      </c>
      <c r="X28" s="63" t="e">
        <f t="shared" si="15"/>
        <v>#VALUE!</v>
      </c>
      <c r="Y28" s="63" t="str">
        <f>IFERROR(VLOOKUP(MID(T28,W28,X28-W28),[5]skilldef!$C:$D,2,FALSE),"-") &amp; " / " &amp; IFERROR(VLOOKUP(MID(T28,U28,V28-U28),[5]skilldef!$A:$B,2,FALSE),"-")</f>
        <v>- / -</v>
      </c>
      <c r="Z28" s="50"/>
      <c r="AA28" s="52"/>
      <c r="AB28" s="50"/>
    </row>
    <row r="29" spans="1:28" ht="21" customHeight="1" x14ac:dyDescent="0.15">
      <c r="A29" s="47">
        <v>50010030</v>
      </c>
      <c r="B29" s="47" t="s">
        <v>376</v>
      </c>
      <c r="C29" s="50">
        <v>3</v>
      </c>
      <c r="D29" s="50" t="s">
        <v>125</v>
      </c>
      <c r="E29" s="51" t="s">
        <v>339</v>
      </c>
      <c r="F29" s="51" t="s">
        <v>262</v>
      </c>
      <c r="G29" s="63" t="str">
        <f t="shared" si="0"/>
        <v xml:space="preserve">[effect:damage_anti_color, target:unit_one, color:red, val1:1.8, val2:1.2]    </v>
      </c>
      <c r="H29" s="63">
        <f t="shared" si="1"/>
        <v>9</v>
      </c>
      <c r="I29" s="63">
        <f t="shared" si="2"/>
        <v>26</v>
      </c>
      <c r="J29" s="63">
        <f t="shared" si="3"/>
        <v>35</v>
      </c>
      <c r="K29" s="63">
        <f t="shared" si="4"/>
        <v>43</v>
      </c>
      <c r="L29" s="63" t="str">
        <f>IFERROR(VLOOKUP(MID(G29,J29,K29-J29),[5]skilldef!$C:$D,2,FALSE),"-") &amp; " / " &amp; IFERROR(VLOOKUP(MID(G29,H29,I29-H29),[5]skilldef!$A:$B,2,FALSE),"-")</f>
        <v>味方単体に / 属性キラー</v>
      </c>
      <c r="M29" s="63" t="str">
        <f t="shared" si="5"/>
        <v>none</v>
      </c>
      <c r="N29" s="48" t="str">
        <f t="shared" si="6"/>
        <v>none</v>
      </c>
      <c r="O29" s="63" t="e">
        <f t="shared" si="7"/>
        <v>#VALUE!</v>
      </c>
      <c r="P29" s="63">
        <f t="shared" si="8"/>
        <v>4</v>
      </c>
      <c r="Q29" s="63" t="e">
        <f t="shared" si="9"/>
        <v>#VALUE!</v>
      </c>
      <c r="R29" s="63" t="e">
        <f t="shared" si="10"/>
        <v>#VALUE!</v>
      </c>
      <c r="S29" s="63" t="str">
        <f>IFERROR(VLOOKUP(MID(N29,Q29,R29-Q29),[5]skilldef!$C:$D,2,FALSE),"-") &amp; " / " &amp; IFERROR(VLOOKUP(MID(N29,O29,P29-O29),[5]skilldef!$A:$B,2,FALSE),"-")</f>
        <v>- / -</v>
      </c>
      <c r="T29" s="48" t="str">
        <f t="shared" si="11"/>
        <v>none</v>
      </c>
      <c r="U29" s="63" t="e">
        <f t="shared" si="12"/>
        <v>#VALUE!</v>
      </c>
      <c r="V29" s="63">
        <f t="shared" si="13"/>
        <v>4</v>
      </c>
      <c r="W29" s="63" t="e">
        <f t="shared" si="14"/>
        <v>#VALUE!</v>
      </c>
      <c r="X29" s="63" t="e">
        <f t="shared" si="15"/>
        <v>#VALUE!</v>
      </c>
      <c r="Y29" s="63" t="str">
        <f>IFERROR(VLOOKUP(MID(T29,W29,X29-W29),[5]skilldef!$C:$D,2,FALSE),"-") &amp; " / " &amp; IFERROR(VLOOKUP(MID(T29,U29,V29-U29),[5]skilldef!$A:$B,2,FALSE),"-")</f>
        <v>- / -</v>
      </c>
      <c r="Z29" s="50"/>
      <c r="AA29" s="52"/>
      <c r="AB29" s="50"/>
    </row>
    <row r="30" spans="1:28" ht="21" customHeight="1" x14ac:dyDescent="0.15">
      <c r="A30" s="47">
        <v>50010031</v>
      </c>
      <c r="B30" s="47" t="s">
        <v>294</v>
      </c>
      <c r="C30" s="50">
        <v>3</v>
      </c>
      <c r="D30" s="50" t="s">
        <v>125</v>
      </c>
      <c r="E30" s="51" t="s">
        <v>338</v>
      </c>
      <c r="F30" s="51" t="s">
        <v>263</v>
      </c>
      <c r="G30" s="63" t="str">
        <f t="shared" si="0"/>
        <v>[effect:enemy_counter, target:myself, invoke_condition:unit_all, counter_target:attacker, turn:2, val:0.5, animation:enemy_counter]</v>
      </c>
      <c r="H30" s="63">
        <f t="shared" si="1"/>
        <v>9</v>
      </c>
      <c r="I30" s="63">
        <f t="shared" si="2"/>
        <v>22</v>
      </c>
      <c r="J30" s="63">
        <f t="shared" si="3"/>
        <v>31</v>
      </c>
      <c r="K30" s="63">
        <f t="shared" si="4"/>
        <v>37</v>
      </c>
      <c r="L30" s="63" t="str">
        <f>IFERROR(VLOOKUP(MID(G30,J30,K30-J30),[5]skilldef!$C:$D,2,FALSE),"-") &amp; " / " &amp; IFERROR(VLOOKUP(MID(G30,H30,I30-H30),[5]skilldef!$A:$B,2,FALSE),"-")</f>
        <v>自分自身に / カウンター</v>
      </c>
      <c r="M30" s="63" t="str">
        <f t="shared" si="5"/>
        <v>none</v>
      </c>
      <c r="N30" s="48" t="str">
        <f t="shared" si="6"/>
        <v>none</v>
      </c>
      <c r="O30" s="63" t="e">
        <f t="shared" si="7"/>
        <v>#VALUE!</v>
      </c>
      <c r="P30" s="63">
        <f t="shared" si="8"/>
        <v>4</v>
      </c>
      <c r="Q30" s="63" t="e">
        <f t="shared" si="9"/>
        <v>#VALUE!</v>
      </c>
      <c r="R30" s="63" t="e">
        <f t="shared" si="10"/>
        <v>#VALUE!</v>
      </c>
      <c r="S30" s="63" t="str">
        <f>IFERROR(VLOOKUP(MID(N30,Q30,R30-Q30),[5]skilldef!$C:$D,2,FALSE),"-") &amp; " / " &amp; IFERROR(VLOOKUP(MID(N30,O30,P30-O30),[5]skilldef!$A:$B,2,FALSE),"-")</f>
        <v>- / -</v>
      </c>
      <c r="T30" s="48" t="str">
        <f t="shared" si="11"/>
        <v>none</v>
      </c>
      <c r="U30" s="63" t="e">
        <f t="shared" si="12"/>
        <v>#VALUE!</v>
      </c>
      <c r="V30" s="63">
        <f t="shared" si="13"/>
        <v>4</v>
      </c>
      <c r="W30" s="63" t="e">
        <f t="shared" si="14"/>
        <v>#VALUE!</v>
      </c>
      <c r="X30" s="63" t="e">
        <f t="shared" si="15"/>
        <v>#VALUE!</v>
      </c>
      <c r="Y30" s="63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47">
        <v>50010032</v>
      </c>
      <c r="B31" s="47" t="s">
        <v>455</v>
      </c>
      <c r="C31" s="50">
        <v>3</v>
      </c>
      <c r="D31" s="50" t="s">
        <v>125</v>
      </c>
      <c r="E31" s="51" t="s">
        <v>337</v>
      </c>
      <c r="F31" s="51" t="s">
        <v>264</v>
      </c>
      <c r="G31" s="63" t="str">
        <f t="shared" si="0"/>
        <v>[effect:spread, val:0.36]</v>
      </c>
      <c r="H31" s="63">
        <f t="shared" si="1"/>
        <v>9</v>
      </c>
      <c r="I31" s="63">
        <f t="shared" si="2"/>
        <v>15</v>
      </c>
      <c r="J31" s="63" t="e">
        <f t="shared" si="3"/>
        <v>#VALUE!</v>
      </c>
      <c r="K31" s="63" t="e">
        <f t="shared" si="4"/>
        <v>#VALUE!</v>
      </c>
      <c r="L31" s="63" t="str">
        <f>IFERROR(VLOOKUP(MID(G31,J31,K31-J31),[5]skilldef!$C:$D,2,FALSE),"-") &amp; " / " &amp; IFERROR(VLOOKUP(MID(G31,H31,I31-H31),[5]skilldef!$A:$B,2,FALSE),"-")</f>
        <v>- / 全体攻撃</v>
      </c>
      <c r="M31" s="63" t="str">
        <f t="shared" si="5"/>
        <v>none</v>
      </c>
      <c r="N31" s="48" t="str">
        <f t="shared" si="6"/>
        <v>none</v>
      </c>
      <c r="O31" s="63" t="e">
        <f t="shared" si="7"/>
        <v>#VALUE!</v>
      </c>
      <c r="P31" s="63">
        <f t="shared" si="8"/>
        <v>4</v>
      </c>
      <c r="Q31" s="63" t="e">
        <f t="shared" si="9"/>
        <v>#VALUE!</v>
      </c>
      <c r="R31" s="63" t="e">
        <f t="shared" si="10"/>
        <v>#VALUE!</v>
      </c>
      <c r="S31" s="63" t="str">
        <f>IFERROR(VLOOKUP(MID(N31,Q31,R31-Q31),[5]skilldef!$C:$D,2,FALSE),"-") &amp; " / " &amp; IFERROR(VLOOKUP(MID(N31,O31,P31-O31),[5]skilldef!$A:$B,2,FALSE),"-")</f>
        <v>- / -</v>
      </c>
      <c r="T31" s="48" t="str">
        <f t="shared" si="11"/>
        <v>none</v>
      </c>
      <c r="U31" s="63" t="e">
        <f t="shared" si="12"/>
        <v>#VALUE!</v>
      </c>
      <c r="V31" s="63">
        <f t="shared" si="13"/>
        <v>4</v>
      </c>
      <c r="W31" s="63" t="e">
        <f t="shared" si="14"/>
        <v>#VALUE!</v>
      </c>
      <c r="X31" s="63" t="e">
        <f t="shared" si="15"/>
        <v>#VALUE!</v>
      </c>
      <c r="Y31" s="63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  <row r="32" spans="1:28" ht="21" customHeight="1" x14ac:dyDescent="0.15">
      <c r="A32" s="47">
        <v>50010033</v>
      </c>
      <c r="B32" s="47" t="s">
        <v>374</v>
      </c>
      <c r="C32" s="50">
        <v>3</v>
      </c>
      <c r="D32" s="50" t="s">
        <v>125</v>
      </c>
      <c r="E32" s="51" t="s">
        <v>380</v>
      </c>
      <c r="F32" s="51" t="s">
        <v>297</v>
      </c>
      <c r="G32" s="63" t="str">
        <f t="shared" ref="G32:G62" si="17">IFERROR(LEFT(B32,FIND("],",B32)),B32)</f>
        <v>[effect:enemy_message, val1:1, val2:2]</v>
      </c>
      <c r="H32" s="63">
        <f t="shared" ref="H32:H62" si="18">FIND("effect:",G32)+7</f>
        <v>9</v>
      </c>
      <c r="I32" s="63">
        <f t="shared" ref="I32:I62" si="19">IFERROR(FIND(",",G32),LEN(G32))</f>
        <v>22</v>
      </c>
      <c r="J32" s="63" t="e">
        <f t="shared" ref="J32:J62" si="20">FIND("target:",G32)+7</f>
        <v>#VALUE!</v>
      </c>
      <c r="K32" s="63">
        <f t="shared" ref="K32:K62" si="21">FIND(",",G32,I32+1)</f>
        <v>30</v>
      </c>
      <c r="L32" s="63" t="str">
        <f>IFERROR(VLOOKUP(MID(G32,J32,K32-J32),[5]skilldef!$C:$D,2,FALSE),"-") &amp; " / " &amp; IFERROR(VLOOKUP(MID(G32,H32,I32-H32),[5]skilldef!$A:$B,2,FALSE),"-")</f>
        <v>- / -</v>
      </c>
      <c r="M32" s="63" t="str">
        <f t="shared" ref="M32:M62" si="22">IFERROR(RIGHT(B32,LEN(B32)-FIND("],",B32)-1),"none")</f>
        <v>[effect:enemy_resurrection, target:id_452, val:0.3, rate:1, animation:enemy_resurrection]</v>
      </c>
      <c r="N32" s="48" t="str">
        <f t="shared" ref="N32:N53" si="23">IFERROR(LEFT(M32,FIND("],",M32)+S42),M32)</f>
        <v>[effect:enemy_resurrection, target:id_452, val:0.3, rate:1, animation:enemy_resurrection]</v>
      </c>
      <c r="O32" s="63">
        <f t="shared" ref="O32:O62" si="24">FIND("effect:",N32)+7</f>
        <v>9</v>
      </c>
      <c r="P32" s="63">
        <f t="shared" ref="P32:P62" si="25">IFERROR(FIND(",",N32),LEN(N32))</f>
        <v>27</v>
      </c>
      <c r="Q32" s="63">
        <f t="shared" ref="Q32:Q62" si="26">FIND("target:",N32)+7</f>
        <v>36</v>
      </c>
      <c r="R32" s="63">
        <f t="shared" ref="R32:R62" si="27">FIND(",",N32,P32+1)</f>
        <v>42</v>
      </c>
      <c r="S32" s="63" t="str">
        <f>IFERROR(VLOOKUP(MID(N32,Q32,R32-Q32),[5]skilldef!$C:$D,2,FALSE),"-") &amp; " / " &amp; IFERROR(VLOOKUP(MID(N32,O32,P32-O32),[5]skilldef!$A:$B,2,FALSE),"-")</f>
        <v>- / -</v>
      </c>
      <c r="T32" s="48" t="str">
        <f t="shared" ref="T32:T62" si="28">IFERROR(RIGHT(M32,LEN(M32)-FIND("],",M32)-1),"none")</f>
        <v>none</v>
      </c>
      <c r="U32" s="63" t="e">
        <f t="shared" ref="U32:U62" si="29">FIND("effect:",T32)+7</f>
        <v>#VALUE!</v>
      </c>
      <c r="V32" s="63">
        <f t="shared" ref="V32:V62" si="30">IFERROR(FIND(",",T32),LEN(T32))</f>
        <v>4</v>
      </c>
      <c r="W32" s="63" t="e">
        <f t="shared" ref="W32:W62" si="31">FIND("target:",T32)+7</f>
        <v>#VALUE!</v>
      </c>
      <c r="X32" s="63" t="e">
        <f t="shared" ref="X32:X62" si="32">FIND(",",T32,V32+1)</f>
        <v>#VALUE!</v>
      </c>
      <c r="Y32" s="63" t="str">
        <f>IFERROR(VLOOKUP(MID(T32,W32,X32-W32),[5]skilldef!$C:$D,2,FALSE),"-") &amp; " / " &amp; IFERROR(VLOOKUP(MID(T32,U32,V32-U32),[5]skilldef!$A:$B,2,FALSE),"-")</f>
        <v>- / -</v>
      </c>
      <c r="Z32" s="50"/>
      <c r="AA32" s="52"/>
      <c r="AB32" s="50"/>
    </row>
    <row r="33" spans="1:28" ht="21" customHeight="1" x14ac:dyDescent="0.15">
      <c r="A33" s="47">
        <v>50010034</v>
      </c>
      <c r="B33" s="47" t="s">
        <v>293</v>
      </c>
      <c r="C33" s="50">
        <v>3</v>
      </c>
      <c r="D33" s="50" t="s">
        <v>125</v>
      </c>
      <c r="E33" s="51" t="s">
        <v>335</v>
      </c>
      <c r="F33" s="51" t="s">
        <v>265</v>
      </c>
      <c r="G33" s="63" t="str">
        <f t="shared" si="17"/>
        <v>[effect:fix_speed, target:myself, turn:1]</v>
      </c>
      <c r="H33" s="63">
        <f t="shared" si="18"/>
        <v>9</v>
      </c>
      <c r="I33" s="63">
        <f t="shared" si="19"/>
        <v>18</v>
      </c>
      <c r="J33" s="63">
        <f t="shared" si="20"/>
        <v>27</v>
      </c>
      <c r="K33" s="63">
        <f t="shared" si="21"/>
        <v>33</v>
      </c>
      <c r="L33" s="63" t="str">
        <f>IFERROR(VLOOKUP(MID(G33,J33,K33-J33),[5]skilldef!$C:$D,2,FALSE),"-") &amp; " / " &amp; IFERROR(VLOOKUP(MID(G33,H33,I33-H33),[5]skilldef!$A:$B,2,FALSE),"-")</f>
        <v>自分自身に / 行動値設定</v>
      </c>
      <c r="M33" s="63" t="str">
        <f t="shared" si="22"/>
        <v>[effect:spread, val:0.1]</v>
      </c>
      <c r="N33" s="48" t="str">
        <f t="shared" si="23"/>
        <v>[effect:spread, val:0.1]</v>
      </c>
      <c r="O33" s="63">
        <f t="shared" si="24"/>
        <v>9</v>
      </c>
      <c r="P33" s="63">
        <f t="shared" si="25"/>
        <v>15</v>
      </c>
      <c r="Q33" s="63" t="e">
        <f t="shared" si="26"/>
        <v>#VALUE!</v>
      </c>
      <c r="R33" s="63" t="e">
        <f t="shared" si="27"/>
        <v>#VALUE!</v>
      </c>
      <c r="S33" s="63" t="str">
        <f>IFERROR(VLOOKUP(MID(N33,Q33,R33-Q33),[5]skilldef!$C:$D,2,FALSE),"-") &amp; " / " &amp; IFERROR(VLOOKUP(MID(N33,O33,P33-O33),[5]skilldef!$A:$B,2,FALSE),"-")</f>
        <v>- / 全体攻撃</v>
      </c>
      <c r="T33" s="48" t="str">
        <f t="shared" si="28"/>
        <v>none</v>
      </c>
      <c r="U33" s="63" t="e">
        <f t="shared" si="29"/>
        <v>#VALUE!</v>
      </c>
      <c r="V33" s="63">
        <f t="shared" si="30"/>
        <v>4</v>
      </c>
      <c r="W33" s="63" t="e">
        <f t="shared" si="31"/>
        <v>#VALUE!</v>
      </c>
      <c r="X33" s="63" t="e">
        <f t="shared" si="32"/>
        <v>#VALUE!</v>
      </c>
      <c r="Y33" s="63" t="str">
        <f>IFERROR(VLOOKUP(MID(T33,W33,X33-W33),[5]skilldef!$C:$D,2,FALSE),"-") &amp; " / " &amp; IFERROR(VLOOKUP(MID(T33,U33,V33-U33),[5]skilldef!$A:$B,2,FALSE),"-")</f>
        <v>- / -</v>
      </c>
      <c r="Z33" s="50"/>
      <c r="AA33" s="52"/>
      <c r="AB33" s="50"/>
    </row>
    <row r="34" spans="1:28" ht="21" customHeight="1" x14ac:dyDescent="0.15">
      <c r="A34" s="47">
        <v>50010035</v>
      </c>
      <c r="B34" s="47" t="s">
        <v>456</v>
      </c>
      <c r="C34" s="50">
        <v>3</v>
      </c>
      <c r="D34" s="50" t="s">
        <v>125</v>
      </c>
      <c r="E34" s="51" t="s">
        <v>334</v>
      </c>
      <c r="F34" s="51" t="s">
        <v>266</v>
      </c>
      <c r="G34" s="63" t="str">
        <f t="shared" si="17"/>
        <v>[effect:rush, count:9, val:0.11]</v>
      </c>
      <c r="H34" s="63">
        <f t="shared" si="18"/>
        <v>9</v>
      </c>
      <c r="I34" s="63">
        <f t="shared" si="19"/>
        <v>13</v>
      </c>
      <c r="J34" s="63" t="e">
        <f t="shared" si="20"/>
        <v>#VALUE!</v>
      </c>
      <c r="K34" s="63">
        <f t="shared" si="21"/>
        <v>22</v>
      </c>
      <c r="L34" s="63" t="str">
        <f>IFERROR(VLOOKUP(MID(G34,J34,K34-J34),[5]skilldef!$C:$D,2,FALSE),"-") &amp; " / " &amp; IFERROR(VLOOKUP(MID(G34,H34,I34-H34),[5]skilldef!$A:$B,2,FALSE),"-")</f>
        <v>- / 連続攻撃</v>
      </c>
      <c r="M34" s="63" t="str">
        <f t="shared" si="22"/>
        <v>none</v>
      </c>
      <c r="N34" s="48" t="str">
        <f t="shared" si="23"/>
        <v>none</v>
      </c>
      <c r="O34" s="63" t="e">
        <f t="shared" si="24"/>
        <v>#VALUE!</v>
      </c>
      <c r="P34" s="63">
        <f t="shared" si="25"/>
        <v>4</v>
      </c>
      <c r="Q34" s="63" t="e">
        <f t="shared" si="26"/>
        <v>#VALUE!</v>
      </c>
      <c r="R34" s="63" t="e">
        <f t="shared" si="27"/>
        <v>#VALUE!</v>
      </c>
      <c r="S34" s="63" t="str">
        <f>IFERROR(VLOOKUP(MID(N34,Q34,R34-Q34),[5]skilldef!$C:$D,2,FALSE),"-") &amp; " / " &amp; IFERROR(VLOOKUP(MID(N34,O34,P34-O34),[5]skilldef!$A:$B,2,FALSE),"-")</f>
        <v>- / -</v>
      </c>
      <c r="T34" s="48" t="str">
        <f t="shared" si="28"/>
        <v>none</v>
      </c>
      <c r="U34" s="63" t="e">
        <f t="shared" si="29"/>
        <v>#VALUE!</v>
      </c>
      <c r="V34" s="63">
        <f t="shared" si="30"/>
        <v>4</v>
      </c>
      <c r="W34" s="63" t="e">
        <f t="shared" si="31"/>
        <v>#VALUE!</v>
      </c>
      <c r="X34" s="63" t="e">
        <f t="shared" si="32"/>
        <v>#VALUE!</v>
      </c>
      <c r="Y34" s="63" t="str">
        <f>IFERROR(VLOOKUP(MID(T34,W34,X34-W34),[5]skilldef!$C:$D,2,FALSE),"-") &amp; " / " &amp; IFERROR(VLOOKUP(MID(T34,U34,V34-U34),[5]skilldef!$A:$B,2,FALSE),"-")</f>
        <v>- / -</v>
      </c>
      <c r="Z34" s="50"/>
      <c r="AA34" s="52"/>
      <c r="AB34" s="50"/>
    </row>
    <row r="35" spans="1:28" ht="21" customHeight="1" x14ac:dyDescent="0.15">
      <c r="A35" s="47">
        <v>50010036</v>
      </c>
      <c r="B35" s="47" t="s">
        <v>469</v>
      </c>
      <c r="C35" s="50">
        <v>3</v>
      </c>
      <c r="D35" s="50" t="s">
        <v>125</v>
      </c>
      <c r="E35" s="51" t="s">
        <v>442</v>
      </c>
      <c r="F35" s="51" t="s">
        <v>443</v>
      </c>
      <c r="G35" s="63" t="str">
        <f t="shared" si="17"/>
        <v>[effect:enemy_message, val1:1, val2:2.2]</v>
      </c>
      <c r="H35" s="63">
        <f t="shared" si="18"/>
        <v>9</v>
      </c>
      <c r="I35" s="63">
        <f t="shared" si="19"/>
        <v>22</v>
      </c>
      <c r="J35" s="63" t="e">
        <f t="shared" si="20"/>
        <v>#VALUE!</v>
      </c>
      <c r="K35" s="63">
        <f t="shared" si="21"/>
        <v>30</v>
      </c>
      <c r="L35" s="63" t="str">
        <f>IFERROR(VLOOKUP(MID(G35,J35,K35-J35),[5]skilldef!$C:$D,2,FALSE),"-") &amp; " / " &amp; IFERROR(VLOOKUP(MID(G35,H35,I35-H35),[5]skilldef!$A:$B,2,FALSE),"-")</f>
        <v>- / -</v>
      </c>
      <c r="M35" s="63" t="str">
        <f t="shared" si="22"/>
        <v>[effect:virus, turn:4, rate:1, val:0.2, animation:enemy_virus],[effect:damage_anti_color, target:unit_all, color:green, val1:2.0, val2:0.3]</v>
      </c>
      <c r="N35" s="48" t="str">
        <f t="shared" si="23"/>
        <v>[effect:virus, turn:4, rate:1, val:0.2, animation:enemy_virus],[effect:damage_anti_color, target:unit_all, color:green, val1:2.0, val2:0.3]</v>
      </c>
      <c r="O35" s="63">
        <f t="shared" si="24"/>
        <v>9</v>
      </c>
      <c r="P35" s="63">
        <f t="shared" si="25"/>
        <v>14</v>
      </c>
      <c r="Q35" s="63">
        <f t="shared" si="26"/>
        <v>98</v>
      </c>
      <c r="R35" s="63">
        <f t="shared" si="27"/>
        <v>22</v>
      </c>
      <c r="S35" s="63" t="str">
        <f>IFERROR(VLOOKUP(MID(N35,Q35,R35-Q35),[5]skilldef!$C:$D,2,FALSE),"-") &amp; " / " &amp; IFERROR(VLOOKUP(MID(N35,O35,P35-O35),[5]skilldef!$A:$B,2,FALSE),"-")</f>
        <v>- / ウィルス</v>
      </c>
      <c r="T35" s="48" t="str">
        <f t="shared" si="28"/>
        <v>[effect:damage_anti_color, target:unit_all, color:green, val1:2.0, val2:0.3]</v>
      </c>
      <c r="U35" s="63">
        <f t="shared" si="29"/>
        <v>9</v>
      </c>
      <c r="V35" s="63">
        <f t="shared" si="30"/>
        <v>26</v>
      </c>
      <c r="W35" s="63">
        <f t="shared" si="31"/>
        <v>35</v>
      </c>
      <c r="X35" s="63">
        <f t="shared" si="32"/>
        <v>43</v>
      </c>
      <c r="Y35" s="63" t="str">
        <f>IFERROR(VLOOKUP(MID(T35,W35,X35-W35),[5]skilldef!$C:$D,2,FALSE),"-") &amp; " / " &amp; IFERROR(VLOOKUP(MID(T35,U35,V35-U35),[5]skilldef!$A:$B,2,FALSE),"-")</f>
        <v>味方全体に / 属性キラー</v>
      </c>
      <c r="Z35" s="50"/>
      <c r="AA35" s="52"/>
      <c r="AB35" s="50"/>
    </row>
    <row r="36" spans="1:28" ht="21" customHeight="1" x14ac:dyDescent="0.15">
      <c r="A36" s="47">
        <v>50010037</v>
      </c>
      <c r="B36" s="47" t="s">
        <v>457</v>
      </c>
      <c r="C36" s="50">
        <v>3</v>
      </c>
      <c r="D36" s="50" t="s">
        <v>125</v>
      </c>
      <c r="E36" s="51" t="s">
        <v>332</v>
      </c>
      <c r="F36" s="51" t="s">
        <v>264</v>
      </c>
      <c r="G36" s="63" t="str">
        <f t="shared" si="17"/>
        <v>[effect:spread, val:0.36]</v>
      </c>
      <c r="H36" s="63">
        <f t="shared" si="18"/>
        <v>9</v>
      </c>
      <c r="I36" s="63">
        <f t="shared" si="19"/>
        <v>15</v>
      </c>
      <c r="J36" s="63" t="e">
        <f t="shared" si="20"/>
        <v>#VALUE!</v>
      </c>
      <c r="K36" s="63" t="e">
        <f t="shared" si="21"/>
        <v>#VALUE!</v>
      </c>
      <c r="L36" s="63" t="str">
        <f>IFERROR(VLOOKUP(MID(G36,J36,K36-J36),[5]skilldef!$C:$D,2,FALSE),"-") &amp; " / " &amp; IFERROR(VLOOKUP(MID(G36,H36,I36-H36),[5]skilldef!$A:$B,2,FALSE),"-")</f>
        <v>- / 全体攻撃</v>
      </c>
      <c r="M36" s="63" t="str">
        <f t="shared" si="22"/>
        <v>none</v>
      </c>
      <c r="N36" s="48" t="str">
        <f t="shared" si="23"/>
        <v>none</v>
      </c>
      <c r="O36" s="63" t="e">
        <f t="shared" si="24"/>
        <v>#VALUE!</v>
      </c>
      <c r="P36" s="63">
        <f t="shared" si="25"/>
        <v>4</v>
      </c>
      <c r="Q36" s="63" t="e">
        <f t="shared" si="26"/>
        <v>#VALUE!</v>
      </c>
      <c r="R36" s="63" t="e">
        <f t="shared" si="27"/>
        <v>#VALUE!</v>
      </c>
      <c r="S36" s="63" t="str">
        <f>IFERROR(VLOOKUP(MID(N36,Q36,R36-Q36),[5]skilldef!$C:$D,2,FALSE),"-") &amp; " / " &amp; IFERROR(VLOOKUP(MID(N36,O36,P36-O36),[5]skilldef!$A:$B,2,FALSE),"-")</f>
        <v>- / -</v>
      </c>
      <c r="T36" s="48" t="str">
        <f t="shared" si="28"/>
        <v>none</v>
      </c>
      <c r="U36" s="63" t="e">
        <f t="shared" si="29"/>
        <v>#VALUE!</v>
      </c>
      <c r="V36" s="63">
        <f t="shared" si="30"/>
        <v>4</v>
      </c>
      <c r="W36" s="63" t="e">
        <f t="shared" si="31"/>
        <v>#VALUE!</v>
      </c>
      <c r="X36" s="63" t="e">
        <f t="shared" si="32"/>
        <v>#VALUE!</v>
      </c>
      <c r="Y36" s="63" t="str">
        <f>IFERROR(VLOOKUP(MID(T36,W36,X36-W36),[5]skilldef!$C:$D,2,FALSE),"-") &amp; " / " &amp; IFERROR(VLOOKUP(MID(T36,U36,V36-U36),[5]skilldef!$A:$B,2,FALSE),"-")</f>
        <v>- / -</v>
      </c>
      <c r="Z36" s="50"/>
      <c r="AA36" s="52"/>
      <c r="AB36" s="50"/>
    </row>
    <row r="37" spans="1:28" ht="21" customHeight="1" x14ac:dyDescent="0.15">
      <c r="A37" s="47">
        <v>50010038</v>
      </c>
      <c r="B37" s="47" t="s">
        <v>285</v>
      </c>
      <c r="C37" s="50">
        <v>3</v>
      </c>
      <c r="D37" s="50" t="s">
        <v>125</v>
      </c>
      <c r="E37" s="51" t="s">
        <v>333</v>
      </c>
      <c r="F37" s="51" t="s">
        <v>267</v>
      </c>
      <c r="G37" s="63" t="str">
        <f t="shared" si="17"/>
        <v xml:space="preserve">[effect:heal, target:enemy_all, val:0.1, animation:enemy_heal]    </v>
      </c>
      <c r="H37" s="63">
        <f t="shared" si="18"/>
        <v>9</v>
      </c>
      <c r="I37" s="63">
        <f t="shared" si="19"/>
        <v>13</v>
      </c>
      <c r="J37" s="63">
        <f t="shared" si="20"/>
        <v>22</v>
      </c>
      <c r="K37" s="63">
        <f t="shared" si="21"/>
        <v>31</v>
      </c>
      <c r="L37" s="63" t="str">
        <f>IFERROR(VLOOKUP(MID(G37,J37,K37-J37),[5]skilldef!$C:$D,2,FALSE),"-") &amp; " / " &amp; IFERROR(VLOOKUP(MID(G37,H37,I37-H37),[5]skilldef!$A:$B,2,FALSE),"-")</f>
        <v>敵全体に / 回復</v>
      </c>
      <c r="M37" s="63" t="str">
        <f t="shared" si="22"/>
        <v>none</v>
      </c>
      <c r="N37" s="48" t="str">
        <f t="shared" si="23"/>
        <v>none</v>
      </c>
      <c r="O37" s="63" t="e">
        <f t="shared" si="24"/>
        <v>#VALUE!</v>
      </c>
      <c r="P37" s="63">
        <f t="shared" si="25"/>
        <v>4</v>
      </c>
      <c r="Q37" s="63" t="e">
        <f t="shared" si="26"/>
        <v>#VALUE!</v>
      </c>
      <c r="R37" s="63" t="e">
        <f t="shared" si="27"/>
        <v>#VALUE!</v>
      </c>
      <c r="S37" s="63" t="str">
        <f>IFERROR(VLOOKUP(MID(N37,Q37,R37-Q37),[5]skilldef!$C:$D,2,FALSE),"-") &amp; " / " &amp; IFERROR(VLOOKUP(MID(N37,O37,P37-O37),[5]skilldef!$A:$B,2,FALSE),"-")</f>
        <v>- / -</v>
      </c>
      <c r="T37" s="48" t="str">
        <f t="shared" si="28"/>
        <v>none</v>
      </c>
      <c r="U37" s="63" t="e">
        <f t="shared" si="29"/>
        <v>#VALUE!</v>
      </c>
      <c r="V37" s="63">
        <f t="shared" si="30"/>
        <v>4</v>
      </c>
      <c r="W37" s="63" t="e">
        <f t="shared" si="31"/>
        <v>#VALUE!</v>
      </c>
      <c r="X37" s="63" t="e">
        <f t="shared" si="32"/>
        <v>#VALUE!</v>
      </c>
      <c r="Y37" s="63" t="str">
        <f>IFERROR(VLOOKUP(MID(T37,W37,X37-W37),[5]skilldef!$C:$D,2,FALSE),"-") &amp; " / " &amp; IFERROR(VLOOKUP(MID(T37,U37,V37-U37),[5]skilldef!$A:$B,2,FALSE),"-")</f>
        <v>- / -</v>
      </c>
      <c r="Z37" s="50"/>
      <c r="AA37" s="52"/>
      <c r="AB37" s="50"/>
    </row>
    <row r="38" spans="1:28" ht="21" customHeight="1" x14ac:dyDescent="0.15">
      <c r="A38" s="47">
        <v>50010039</v>
      </c>
      <c r="B38" s="47" t="s">
        <v>375</v>
      </c>
      <c r="C38" s="50">
        <v>3</v>
      </c>
      <c r="D38" s="50" t="s">
        <v>125</v>
      </c>
      <c r="E38" s="51" t="s">
        <v>380</v>
      </c>
      <c r="F38" s="51" t="s">
        <v>298</v>
      </c>
      <c r="G38" s="63" t="str">
        <f t="shared" si="17"/>
        <v>[effect:enemy_message, val1:1, val2:2]</v>
      </c>
      <c r="H38" s="63">
        <f t="shared" si="18"/>
        <v>9</v>
      </c>
      <c r="I38" s="63">
        <f t="shared" si="19"/>
        <v>22</v>
      </c>
      <c r="J38" s="63" t="e">
        <f t="shared" si="20"/>
        <v>#VALUE!</v>
      </c>
      <c r="K38" s="63">
        <f t="shared" si="21"/>
        <v>30</v>
      </c>
      <c r="L38" s="63" t="str">
        <f>IFERROR(VLOOKUP(MID(G38,J38,K38-J38),[5]skilldef!$C:$D,2,FALSE),"-") &amp; " / " &amp; IFERROR(VLOOKUP(MID(G38,H38,I38-H38),[5]skilldef!$A:$B,2,FALSE),"-")</f>
        <v>- / -</v>
      </c>
      <c r="M38" s="63" t="str">
        <f t="shared" si="22"/>
        <v>[effect:enemy_resurrection, target:id_130, val:0.3, rate:1, animation:enemy_resurrection]</v>
      </c>
      <c r="N38" s="48" t="str">
        <f t="shared" si="23"/>
        <v>[effect:enemy_resurrection, target:id_130, val:0.3, rate:1, animation:enemy_resurrection]</v>
      </c>
      <c r="O38" s="63">
        <f t="shared" si="24"/>
        <v>9</v>
      </c>
      <c r="P38" s="63">
        <f t="shared" si="25"/>
        <v>27</v>
      </c>
      <c r="Q38" s="63">
        <f t="shared" si="26"/>
        <v>36</v>
      </c>
      <c r="R38" s="63">
        <f t="shared" si="27"/>
        <v>42</v>
      </c>
      <c r="S38" s="63" t="str">
        <f>IFERROR(VLOOKUP(MID(N38,Q38,R38-Q38),[5]skilldef!$C:$D,2,FALSE),"-") &amp; " / " &amp; IFERROR(VLOOKUP(MID(N38,O38,P38-O38),[5]skilldef!$A:$B,2,FALSE),"-")</f>
        <v>- / -</v>
      </c>
      <c r="T38" s="48" t="str">
        <f t="shared" si="28"/>
        <v>none</v>
      </c>
      <c r="U38" s="63" t="e">
        <f t="shared" si="29"/>
        <v>#VALUE!</v>
      </c>
      <c r="V38" s="63">
        <f t="shared" si="30"/>
        <v>4</v>
      </c>
      <c r="W38" s="63" t="e">
        <f t="shared" si="31"/>
        <v>#VALUE!</v>
      </c>
      <c r="X38" s="63" t="e">
        <f t="shared" si="32"/>
        <v>#VALUE!</v>
      </c>
      <c r="Y38" s="63" t="str">
        <f>IFERROR(VLOOKUP(MID(T38,W38,X38-W38),[5]skilldef!$C:$D,2,FALSE),"-") &amp; " / " &amp; IFERROR(VLOOKUP(MID(T38,U38,V38-U38),[5]skilldef!$A:$B,2,FALSE),"-")</f>
        <v>- / -</v>
      </c>
      <c r="Z38" s="50"/>
      <c r="AA38" s="52"/>
      <c r="AB38" s="50"/>
    </row>
    <row r="39" spans="1:28" ht="21" customHeight="1" x14ac:dyDescent="0.15">
      <c r="A39" s="47">
        <v>50010040</v>
      </c>
      <c r="B39" s="47" t="s">
        <v>450</v>
      </c>
      <c r="C39" s="50">
        <v>3</v>
      </c>
      <c r="D39" s="50" t="s">
        <v>125</v>
      </c>
      <c r="E39" s="51" t="s">
        <v>340</v>
      </c>
      <c r="F39" s="51" t="s">
        <v>350</v>
      </c>
      <c r="G39" s="63" t="str">
        <f t="shared" si="17"/>
        <v>[effect:enemy_message, val1:1.8, val2:2.3]</v>
      </c>
      <c r="H39" s="63">
        <f t="shared" si="18"/>
        <v>9</v>
      </c>
      <c r="I39" s="63">
        <f t="shared" si="19"/>
        <v>22</v>
      </c>
      <c r="J39" s="63" t="e">
        <f t="shared" si="20"/>
        <v>#VALUE!</v>
      </c>
      <c r="K39" s="63">
        <f t="shared" si="21"/>
        <v>32</v>
      </c>
      <c r="L39" s="63" t="str">
        <f>IFERROR(VLOOKUP(MID(G39,J39,K39-J39),[5]skilldef!$C:$D,2,FALSE),"-") &amp; " / " &amp; IFERROR(VLOOKUP(MID(G39,H39,I39-H39),[5]skilldef!$A:$B,2,FALSE),"-")</f>
        <v>- / -</v>
      </c>
      <c r="M39" s="63" t="str">
        <f t="shared" si="22"/>
        <v xml:space="preserve">[effect:fix_speed, target:myself, turn:2],[effect:tolerance, target:myself, turn:-1, tolerance_effect:all, count:-1, animation:enemy_tolerance],[effect:virus, turn:12, rate:1, val:0.24, animation:enemy_virus],[effect:reduction, target:myself, color:all, turn:-1, val:0.8, animation:reduction_one01]    </v>
      </c>
      <c r="N39" s="48" t="str">
        <f t="shared" si="23"/>
        <v xml:space="preserve">[effect:fix_speed, target:myself, turn:2],[effect:tolerance, target:myself, turn:-1, tolerance_effect:all, count:-1, animation:enemy_tolerance],[effect:virus, turn:12, rate:1, val:0.24, animation:enemy_virus],[effect:reduction, target:myself, color:all, turn:-1, val:0.8, animation:reduction_one01]    </v>
      </c>
      <c r="O39" s="63">
        <f t="shared" si="24"/>
        <v>9</v>
      </c>
      <c r="P39" s="63">
        <f t="shared" si="25"/>
        <v>18</v>
      </c>
      <c r="Q39" s="63">
        <f t="shared" si="26"/>
        <v>27</v>
      </c>
      <c r="R39" s="63">
        <f t="shared" si="27"/>
        <v>33</v>
      </c>
      <c r="S39" s="63" t="str">
        <f>IFERROR(VLOOKUP(MID(N39,Q39,R39-Q39),[5]skilldef!$C:$D,2,FALSE),"-") &amp; " / " &amp; IFERROR(VLOOKUP(MID(N39,O39,P39-O39),[5]skilldef!$A:$B,2,FALSE),"-")</f>
        <v>自分自身に / 行動値設定</v>
      </c>
      <c r="T39" s="48" t="str">
        <f t="shared" si="28"/>
        <v xml:space="preserve">[effect:tolerance, target:myself, turn:-1, tolerance_effect:all, count:-1, animation:enemy_tolerance],[effect:virus, turn:12, rate:1, val:0.24, animation:enemy_virus],[effect:reduction, target:myself, color:all, turn:-1, val:0.8, animation:reduction_one01]    </v>
      </c>
      <c r="U39" s="63">
        <f t="shared" si="29"/>
        <v>9</v>
      </c>
      <c r="V39" s="63">
        <f t="shared" si="30"/>
        <v>18</v>
      </c>
      <c r="W39" s="63">
        <f t="shared" si="31"/>
        <v>27</v>
      </c>
      <c r="X39" s="63">
        <f t="shared" si="32"/>
        <v>33</v>
      </c>
      <c r="Y39" s="63" t="str">
        <f>IFERROR(VLOOKUP(MID(T39,W39,X39-W39),[5]skilldef!$C:$D,2,FALSE),"-") &amp; " / " &amp; IFERROR(VLOOKUP(MID(T39,U39,V39-U39),[5]skilldef!$A:$B,2,FALSE),"-")</f>
        <v>自分自身に / 状態異常耐性</v>
      </c>
      <c r="Z39" s="50"/>
      <c r="AA39" s="52"/>
      <c r="AB39" s="50"/>
    </row>
    <row r="40" spans="1:28" ht="21" customHeight="1" x14ac:dyDescent="0.15">
      <c r="A40" s="47">
        <v>50010041</v>
      </c>
      <c r="B40" s="47" t="s">
        <v>449</v>
      </c>
      <c r="C40" s="50">
        <v>3</v>
      </c>
      <c r="D40" s="50" t="s">
        <v>125</v>
      </c>
      <c r="E40" s="51" t="s">
        <v>396</v>
      </c>
      <c r="F40" s="51" t="s">
        <v>268</v>
      </c>
      <c r="G40" s="63" t="str">
        <f t="shared" si="17"/>
        <v>[effect:damage_anti_abnormal, target:unit_all, target_effect01:virus, val1:0.6, val2:0.35]</v>
      </c>
      <c r="H40" s="63">
        <f t="shared" si="18"/>
        <v>9</v>
      </c>
      <c r="I40" s="63">
        <f t="shared" si="19"/>
        <v>29</v>
      </c>
      <c r="J40" s="63">
        <f t="shared" si="20"/>
        <v>38</v>
      </c>
      <c r="K40" s="63">
        <f t="shared" si="21"/>
        <v>46</v>
      </c>
      <c r="L40" s="63" t="str">
        <f>IFERROR(VLOOKUP(MID(G40,J40,K40-J40),[5]skilldef!$C:$D,2,FALSE),"-") &amp; " / " &amp; IFERROR(VLOOKUP(MID(G40,H40,I40-H40),[5]skilldef!$A:$B,2,FALSE),"-")</f>
        <v>味方全体に / -</v>
      </c>
      <c r="M40" s="63" t="str">
        <f t="shared" si="22"/>
        <v>none</v>
      </c>
      <c r="N40" s="48" t="str">
        <f t="shared" si="23"/>
        <v>none</v>
      </c>
      <c r="O40" s="63" t="e">
        <f t="shared" si="24"/>
        <v>#VALUE!</v>
      </c>
      <c r="P40" s="63">
        <f t="shared" si="25"/>
        <v>4</v>
      </c>
      <c r="Q40" s="63" t="e">
        <f t="shared" si="26"/>
        <v>#VALUE!</v>
      </c>
      <c r="R40" s="63" t="e">
        <f t="shared" si="27"/>
        <v>#VALUE!</v>
      </c>
      <c r="S40" s="63" t="str">
        <f>IFERROR(VLOOKUP(MID(N40,Q40,R40-Q40),[5]skilldef!$C:$D,2,FALSE),"-") &amp; " / " &amp; IFERROR(VLOOKUP(MID(N40,O40,P40-O40),[5]skilldef!$A:$B,2,FALSE),"-")</f>
        <v>- / -</v>
      </c>
      <c r="T40" s="48" t="str">
        <f t="shared" si="28"/>
        <v>none</v>
      </c>
      <c r="U40" s="63" t="e">
        <f t="shared" si="29"/>
        <v>#VALUE!</v>
      </c>
      <c r="V40" s="63">
        <f t="shared" si="30"/>
        <v>4</v>
      </c>
      <c r="W40" s="63" t="e">
        <f t="shared" si="31"/>
        <v>#VALUE!</v>
      </c>
      <c r="X40" s="63" t="e">
        <f t="shared" si="32"/>
        <v>#VALUE!</v>
      </c>
      <c r="Y40" s="63" t="str">
        <f>IFERROR(VLOOKUP(MID(T40,W40,X40-W40),[5]skilldef!$C:$D,2,FALSE),"-") &amp; " / " &amp; IFERROR(VLOOKUP(MID(T40,U40,V40-U40),[5]skilldef!$A:$B,2,FALSE),"-")</f>
        <v>- / -</v>
      </c>
      <c r="Z40" s="50"/>
      <c r="AA40" s="52"/>
      <c r="AB40" s="50"/>
    </row>
    <row r="41" spans="1:28" ht="21" customHeight="1" x14ac:dyDescent="0.15">
      <c r="A41" s="47">
        <v>50010042</v>
      </c>
      <c r="B41" s="47" t="s">
        <v>458</v>
      </c>
      <c r="C41" s="50">
        <v>3</v>
      </c>
      <c r="D41" s="50" t="s">
        <v>125</v>
      </c>
      <c r="E41" s="51" t="s">
        <v>397</v>
      </c>
      <c r="F41" s="51" t="s">
        <v>300</v>
      </c>
      <c r="G41" s="63" t="str">
        <f t="shared" si="17"/>
        <v>[effect:enemy_message, val1:1.3, val2:2.6]</v>
      </c>
      <c r="H41" s="63">
        <f t="shared" si="18"/>
        <v>9</v>
      </c>
      <c r="I41" s="63">
        <f t="shared" si="19"/>
        <v>22</v>
      </c>
      <c r="J41" s="63" t="e">
        <f t="shared" si="20"/>
        <v>#VALUE!</v>
      </c>
      <c r="K41" s="63">
        <f t="shared" si="21"/>
        <v>32</v>
      </c>
      <c r="L41" s="63" t="str">
        <f>IFERROR(VLOOKUP(MID(G41,J41,K41-J41),[5]skilldef!$C:$D,2,FALSE),"-") &amp; " / " &amp; IFERROR(VLOOKUP(MID(G41,H41,I41-H41),[5]skilldef!$A:$B,2,FALSE),"-")</f>
        <v>- / -</v>
      </c>
      <c r="M41" s="63" t="str">
        <f t="shared" si="22"/>
        <v xml:space="preserve">[effect:drop_block, block_type:time_bomb, block_color:block_yellow, color:block_all, val:0.44, rate:0.15, turn:-1, min_time_count:2, max_time_count:2, animation:time_bomb_influence04],[effect:reduction, target:myself, color:all, turn:-1, val:0.5, animation:reduction_one01]   </v>
      </c>
      <c r="N41" s="48" t="str">
        <f t="shared" si="23"/>
        <v xml:space="preserve">[effect:drop_block, block_type:time_bomb, block_color:block_yellow, color:block_all, val:0.44, rate:0.15, turn:-1, min_time_count:2, max_time_count:2, animation:time_bomb_influence04],[effect:reduction, target:myself, color:all, turn:-1, val:0.5, animation:reduction_one01]   </v>
      </c>
      <c r="O41" s="63">
        <f t="shared" si="24"/>
        <v>9</v>
      </c>
      <c r="P41" s="63">
        <f t="shared" si="25"/>
        <v>19</v>
      </c>
      <c r="Q41" s="63">
        <f t="shared" si="26"/>
        <v>211</v>
      </c>
      <c r="R41" s="63">
        <f t="shared" si="27"/>
        <v>41</v>
      </c>
      <c r="S41" s="63" t="str">
        <f>IFERROR(VLOOKUP(MID(N41,Q41,R41-Q41),[5]skilldef!$C:$D,2,FALSE),"-") &amp; " / " &amp; IFERROR(VLOOKUP(MID(N41,O41,P41-O41),[5]skilldef!$A:$B,2,FALSE),"-")</f>
        <v>- / 特定ブロックの割合ドロップ</v>
      </c>
      <c r="T41" s="48" t="str">
        <f t="shared" si="28"/>
        <v xml:space="preserve">[effect:reduction, target:myself, color:all, turn:-1, val:0.5, animation:reduction_one01]   </v>
      </c>
      <c r="U41" s="63">
        <f t="shared" si="29"/>
        <v>9</v>
      </c>
      <c r="V41" s="63">
        <f t="shared" si="30"/>
        <v>18</v>
      </c>
      <c r="W41" s="63">
        <f t="shared" si="31"/>
        <v>27</v>
      </c>
      <c r="X41" s="63">
        <f t="shared" si="32"/>
        <v>33</v>
      </c>
      <c r="Y41" s="63" t="str">
        <f>IFERROR(VLOOKUP(MID(T41,W41,X41-W41),[5]skilldef!$C:$D,2,FALSE),"-") &amp; " / " &amp; IFERROR(VLOOKUP(MID(T41,U41,V41-U41),[5]skilldef!$A:$B,2,FALSE),"-")</f>
        <v>自分自身に / -</v>
      </c>
      <c r="Z41" s="50"/>
      <c r="AA41" s="52"/>
      <c r="AB41" s="50"/>
    </row>
    <row r="42" spans="1:28" ht="21" customHeight="1" x14ac:dyDescent="0.15">
      <c r="A42" s="47">
        <v>50010043</v>
      </c>
      <c r="B42" s="47" t="s">
        <v>430</v>
      </c>
      <c r="C42" s="50">
        <v>3</v>
      </c>
      <c r="D42" s="50" t="s">
        <v>125</v>
      </c>
      <c r="E42" s="51" t="s">
        <v>398</v>
      </c>
      <c r="F42" s="51" t="s">
        <v>301</v>
      </c>
      <c r="G42" s="63" t="str">
        <f t="shared" si="17"/>
        <v>[effect:enemy_message, val1:1.3, val2:2.6]</v>
      </c>
      <c r="H42" s="63">
        <f t="shared" si="18"/>
        <v>9</v>
      </c>
      <c r="I42" s="63">
        <f t="shared" si="19"/>
        <v>22</v>
      </c>
      <c r="J42" s="63" t="e">
        <f t="shared" si="20"/>
        <v>#VALUE!</v>
      </c>
      <c r="K42" s="63">
        <f t="shared" si="21"/>
        <v>32</v>
      </c>
      <c r="L42" s="63" t="str">
        <f>IFERROR(VLOOKUP(MID(G42,J42,K42-J42),[5]skilldef!$C:$D,2,FALSE),"-") &amp; " / " &amp; IFERROR(VLOOKUP(MID(G42,H42,I42-H42),[5]skilldef!$A:$B,2,FALSE),"-")</f>
        <v>- / -</v>
      </c>
      <c r="M42" s="63" t="str">
        <f t="shared" si="22"/>
        <v xml:space="preserve">[effect:drop_freeze, turn:-1, block_type:normal, block_color:block_yellow, frozen_count:1, rate:1, animation:drop_protect],[effect:reduction, target:myself, color:all, turn:-1, val:0.2, animation:reduction_one01]    </v>
      </c>
      <c r="N42" s="48" t="str">
        <f t="shared" si="23"/>
        <v xml:space="preserve">[effect:drop_freeze, turn:-1, block_type:normal, block_color:block_yellow, frozen_count:1, rate:1, animation:drop_protect],[effect:reduction, target:myself, color:all, turn:-1, val:0.2, animation:reduction_one01]    </v>
      </c>
      <c r="O42" s="63">
        <f t="shared" si="24"/>
        <v>9</v>
      </c>
      <c r="P42" s="63">
        <f t="shared" si="25"/>
        <v>20</v>
      </c>
      <c r="Q42" s="63">
        <f t="shared" si="26"/>
        <v>150</v>
      </c>
      <c r="R42" s="63">
        <f t="shared" si="27"/>
        <v>29</v>
      </c>
      <c r="S42" s="63" t="str">
        <f>IFERROR(VLOOKUP(MID(N42,Q42,R42-Q42),[5]skilldef!$C:$D,2,FALSE),"-") &amp; " / " &amp; IFERROR(VLOOKUP(MID(N42,O42,P42-O42),[5]skilldef!$A:$B,2,FALSE),"-")</f>
        <v>- / -</v>
      </c>
      <c r="T42" s="48" t="str">
        <f t="shared" si="28"/>
        <v xml:space="preserve">[effect:reduction, target:myself, color:all, turn:-1, val:0.2, animation:reduction_one01]    </v>
      </c>
      <c r="U42" s="63">
        <f t="shared" si="29"/>
        <v>9</v>
      </c>
      <c r="V42" s="63">
        <f t="shared" si="30"/>
        <v>18</v>
      </c>
      <c r="W42" s="63">
        <f t="shared" si="31"/>
        <v>27</v>
      </c>
      <c r="X42" s="63">
        <f t="shared" si="32"/>
        <v>33</v>
      </c>
      <c r="Y42" s="63" t="str">
        <f>IFERROR(VLOOKUP(MID(T42,W42,X42-W42),[5]skilldef!$C:$D,2,FALSE),"-") &amp; " / " &amp; IFERROR(VLOOKUP(MID(T42,U42,V42-U42),[5]skilldef!$A:$B,2,FALSE),"-")</f>
        <v>自分自身に / -</v>
      </c>
      <c r="Z42" s="50"/>
      <c r="AA42" s="52"/>
      <c r="AB42" s="50"/>
    </row>
    <row r="43" spans="1:28" ht="21" customHeight="1" x14ac:dyDescent="0.15">
      <c r="A43" s="47">
        <v>50010044</v>
      </c>
      <c r="B43" s="47" t="s">
        <v>359</v>
      </c>
      <c r="C43" s="50">
        <v>3</v>
      </c>
      <c r="D43" s="50" t="s">
        <v>125</v>
      </c>
      <c r="E43" s="51" t="s">
        <v>341</v>
      </c>
      <c r="F43" s="51" t="s">
        <v>280</v>
      </c>
      <c r="G43" s="63" t="str">
        <f t="shared" si="17"/>
        <v>[effect:enemy_message, val1:1.2, val2:2.3]</v>
      </c>
      <c r="H43" s="63">
        <f t="shared" si="18"/>
        <v>9</v>
      </c>
      <c r="I43" s="63">
        <f t="shared" si="19"/>
        <v>22</v>
      </c>
      <c r="J43" s="63" t="e">
        <f t="shared" si="20"/>
        <v>#VALUE!</v>
      </c>
      <c r="K43" s="63">
        <f t="shared" si="21"/>
        <v>32</v>
      </c>
      <c r="L43" s="63" t="str">
        <f>IFERROR(VLOOKUP(MID(G43,J43,K43-J43),[5]skilldef!$C:$D,2,FALSE),"-") &amp; " / " &amp; IFERROR(VLOOKUP(MID(G43,H43,I43-H43),[5]skilldef!$A:$B,2,FALSE),"-")</f>
        <v>- / -</v>
      </c>
      <c r="M43" s="63" t="str">
        <f t="shared" si="22"/>
        <v xml:space="preserve">[effect:damage_gravity, val:0.99, animation:fevergauge_down],[effect:suicide, target:myself, val:1, dead_type:escape]    </v>
      </c>
      <c r="N43" s="48" t="str">
        <f t="shared" si="23"/>
        <v xml:space="preserve">[effect:damage_gravity, val:0.99, animation:fevergauge_down],[effect:suicide, target:myself, val:1, dead_type:escape]    </v>
      </c>
      <c r="O43" s="63">
        <f t="shared" si="24"/>
        <v>9</v>
      </c>
      <c r="P43" s="63">
        <f t="shared" si="25"/>
        <v>23</v>
      </c>
      <c r="Q43" s="63">
        <f t="shared" si="26"/>
        <v>86</v>
      </c>
      <c r="R43" s="63">
        <f t="shared" si="27"/>
        <v>33</v>
      </c>
      <c r="S43" s="63" t="str">
        <f>IFERROR(VLOOKUP(MID(N43,Q43,R43-Q43),[5]skilldef!$C:$D,2,FALSE),"-") &amp; " / " &amp; IFERROR(VLOOKUP(MID(N43,O43,P43-O43),[5]skilldef!$A:$B,2,FALSE),"-")</f>
        <v>- / 割合ダメージ</v>
      </c>
      <c r="T43" s="48" t="str">
        <f t="shared" si="28"/>
        <v xml:space="preserve">[effect:suicide, target:myself, val:1, dead_type:escape]    </v>
      </c>
      <c r="U43" s="63">
        <f t="shared" si="29"/>
        <v>9</v>
      </c>
      <c r="V43" s="63">
        <f t="shared" si="30"/>
        <v>16</v>
      </c>
      <c r="W43" s="63">
        <f t="shared" si="31"/>
        <v>25</v>
      </c>
      <c r="X43" s="63">
        <f t="shared" si="32"/>
        <v>31</v>
      </c>
      <c r="Y43" s="63" t="str">
        <f>IFERROR(VLOOKUP(MID(T43,W43,X43-W43),[5]skilldef!$C:$D,2,FALSE),"-") &amp; " / " &amp; IFERROR(VLOOKUP(MID(T43,U43,V43-U43),[5]skilldef!$A:$B,2,FALSE),"-")</f>
        <v>自分自身に / -</v>
      </c>
      <c r="Z43" s="50"/>
      <c r="AA43" s="52"/>
      <c r="AB43" s="50"/>
    </row>
    <row r="44" spans="1:28" ht="21" customHeight="1" x14ac:dyDescent="0.15">
      <c r="A44" s="47">
        <v>50010045</v>
      </c>
      <c r="B44" s="47" t="s">
        <v>360</v>
      </c>
      <c r="C44" s="50">
        <v>3</v>
      </c>
      <c r="D44" s="50" t="s">
        <v>125</v>
      </c>
      <c r="E44" s="51" t="s">
        <v>342</v>
      </c>
      <c r="F44" s="51" t="s">
        <v>351</v>
      </c>
      <c r="G44" s="63" t="str">
        <f t="shared" si="17"/>
        <v>[effect:enemy_message, val1:1.3, val2:2.3]</v>
      </c>
      <c r="H44" s="63">
        <f t="shared" si="18"/>
        <v>9</v>
      </c>
      <c r="I44" s="63">
        <f t="shared" si="19"/>
        <v>22</v>
      </c>
      <c r="J44" s="63" t="e">
        <f t="shared" si="20"/>
        <v>#VALUE!</v>
      </c>
      <c r="K44" s="63">
        <f t="shared" si="21"/>
        <v>32</v>
      </c>
      <c r="L44" s="63" t="str">
        <f>IFERROR(VLOOKUP(MID(G44,J44,K44-J44),[5]skilldef!$C:$D,2,FALSE),"-") &amp; " / " &amp; IFERROR(VLOOKUP(MID(G44,H44,I44-H44),[5]skilldef!$A:$B,2,FALSE),"-")</f>
        <v>- / -</v>
      </c>
      <c r="M44" s="63" t="str">
        <f t="shared" si="22"/>
        <v>[effect:fix_speed, target:myself, turn:1],[effect:tolerance, target:myself, turn:-1, tolerance_effect:all, count:-1, animation:enemy_tolerance],[effect:dis_heart, turn:3, animation:enemy_dis_heart],[effect:change_panel_ratio, turn:5, block_type:heal, val:0.3, animation:block_incidence04]</v>
      </c>
      <c r="N44" s="48" t="str">
        <f t="shared" si="23"/>
        <v>[effect:fix_speed, target:myself, turn:1],[effect:tolerance, target:myself, turn:-1, tolerance_effect:all, count:-1, animation:enemy_tolerance],[effect:dis_heart, turn:3, animation:enemy_dis_heart],[effect:change_panel_ratio, turn:5, block_type:heal, val:0.3, animation:block_incidence04]</v>
      </c>
      <c r="O44" s="63">
        <f t="shared" si="24"/>
        <v>9</v>
      </c>
      <c r="P44" s="63">
        <f t="shared" si="25"/>
        <v>18</v>
      </c>
      <c r="Q44" s="63">
        <f t="shared" si="26"/>
        <v>27</v>
      </c>
      <c r="R44" s="63">
        <f t="shared" si="27"/>
        <v>33</v>
      </c>
      <c r="S44" s="63" t="str">
        <f>IFERROR(VLOOKUP(MID(N44,Q44,R44-Q44),[5]skilldef!$C:$D,2,FALSE),"-") &amp; " / " &amp; IFERROR(VLOOKUP(MID(N44,O44,P44-O44),[5]skilldef!$A:$B,2,FALSE),"-")</f>
        <v>自分自身に / 行動値設定</v>
      </c>
      <c r="T44" s="48" t="str">
        <f t="shared" si="28"/>
        <v>[effect:tolerance, target:myself, turn:-1, tolerance_effect:all, count:-1, animation:enemy_tolerance],[effect:dis_heart, turn:3, animation:enemy_dis_heart],[effect:change_panel_ratio, turn:5, block_type:heal, val:0.3, animation:block_incidence04]</v>
      </c>
      <c r="U44" s="63">
        <f t="shared" si="29"/>
        <v>9</v>
      </c>
      <c r="V44" s="63">
        <f t="shared" si="30"/>
        <v>18</v>
      </c>
      <c r="W44" s="63">
        <f t="shared" si="31"/>
        <v>27</v>
      </c>
      <c r="X44" s="63">
        <f t="shared" si="32"/>
        <v>33</v>
      </c>
      <c r="Y44" s="63" t="str">
        <f>IFERROR(VLOOKUP(MID(T44,W44,X44-W44),[5]skilldef!$C:$D,2,FALSE),"-") &amp; " / " &amp; IFERROR(VLOOKUP(MID(T44,U44,V44-U44),[5]skilldef!$A:$B,2,FALSE),"-")</f>
        <v>自分自身に / 状態異常耐性</v>
      </c>
      <c r="Z44" s="50"/>
      <c r="AA44" s="52"/>
      <c r="AB44" s="50"/>
    </row>
    <row r="45" spans="1:28" ht="21" customHeight="1" x14ac:dyDescent="0.15">
      <c r="A45" s="47">
        <v>50010046</v>
      </c>
      <c r="B45" s="47" t="s">
        <v>448</v>
      </c>
      <c r="C45" s="50">
        <v>3</v>
      </c>
      <c r="D45" s="50" t="s">
        <v>125</v>
      </c>
      <c r="E45" s="51" t="s">
        <v>343</v>
      </c>
      <c r="F45" s="51" t="s">
        <v>268</v>
      </c>
      <c r="G45" s="63" t="str">
        <f t="shared" si="17"/>
        <v>[effect:damage_anti_abnormal, target:unit_all, target_effect01:virus, val1:0.6, val2:0.35]</v>
      </c>
      <c r="H45" s="63">
        <f t="shared" si="18"/>
        <v>9</v>
      </c>
      <c r="I45" s="63">
        <f t="shared" si="19"/>
        <v>29</v>
      </c>
      <c r="J45" s="63">
        <f t="shared" si="20"/>
        <v>38</v>
      </c>
      <c r="K45" s="63">
        <f t="shared" si="21"/>
        <v>46</v>
      </c>
      <c r="L45" s="63" t="str">
        <f>IFERROR(VLOOKUP(MID(G45,J45,K45-J45),[5]skilldef!$C:$D,2,FALSE),"-") &amp; " / " &amp; IFERROR(VLOOKUP(MID(G45,H45,I45-H45),[5]skilldef!$A:$B,2,FALSE),"-")</f>
        <v>味方全体に / -</v>
      </c>
      <c r="M45" s="63" t="str">
        <f t="shared" si="22"/>
        <v>none</v>
      </c>
      <c r="N45" s="48" t="str">
        <f t="shared" si="23"/>
        <v>none</v>
      </c>
      <c r="O45" s="63" t="e">
        <f t="shared" si="24"/>
        <v>#VALUE!</v>
      </c>
      <c r="P45" s="63">
        <f t="shared" si="25"/>
        <v>4</v>
      </c>
      <c r="Q45" s="63" t="e">
        <f t="shared" si="26"/>
        <v>#VALUE!</v>
      </c>
      <c r="R45" s="63" t="e">
        <f t="shared" si="27"/>
        <v>#VALUE!</v>
      </c>
      <c r="S45" s="63" t="str">
        <f>IFERROR(VLOOKUP(MID(N45,Q45,R45-Q45),[5]skilldef!$C:$D,2,FALSE),"-") &amp; " / " &amp; IFERROR(VLOOKUP(MID(N45,O45,P45-O45),[5]skilldef!$A:$B,2,FALSE),"-")</f>
        <v>- / -</v>
      </c>
      <c r="T45" s="48" t="str">
        <f t="shared" si="28"/>
        <v>none</v>
      </c>
      <c r="U45" s="63" t="e">
        <f t="shared" si="29"/>
        <v>#VALUE!</v>
      </c>
      <c r="V45" s="63">
        <f t="shared" si="30"/>
        <v>4</v>
      </c>
      <c r="W45" s="63" t="e">
        <f t="shared" si="31"/>
        <v>#VALUE!</v>
      </c>
      <c r="X45" s="63" t="e">
        <f t="shared" si="32"/>
        <v>#VALUE!</v>
      </c>
      <c r="Y45" s="63" t="str">
        <f>IFERROR(VLOOKUP(MID(T45,W45,X45-W45),[5]skilldef!$C:$D,2,FALSE),"-") &amp; " / " &amp; IFERROR(VLOOKUP(MID(T45,U45,V45-U45),[5]skilldef!$A:$B,2,FALSE),"-")</f>
        <v>- / -</v>
      </c>
      <c r="Z45" s="50"/>
      <c r="AA45" s="52"/>
      <c r="AB45" s="50"/>
    </row>
    <row r="46" spans="1:28" ht="21" customHeight="1" x14ac:dyDescent="0.15">
      <c r="A46" s="47">
        <v>50010047</v>
      </c>
      <c r="B46" s="47" t="s">
        <v>477</v>
      </c>
      <c r="C46" s="50">
        <v>3</v>
      </c>
      <c r="D46" s="50" t="s">
        <v>125</v>
      </c>
      <c r="E46" s="51" t="s">
        <v>400</v>
      </c>
      <c r="F46" s="51" t="s">
        <v>475</v>
      </c>
      <c r="G46" s="63" t="str">
        <f t="shared" si="17"/>
        <v>[effect:enemy_message, val1:1.2, val2:2.5]</v>
      </c>
      <c r="H46" s="63">
        <f t="shared" si="18"/>
        <v>9</v>
      </c>
      <c r="I46" s="63">
        <f t="shared" si="19"/>
        <v>22</v>
      </c>
      <c r="J46" s="63" t="e">
        <f t="shared" si="20"/>
        <v>#VALUE!</v>
      </c>
      <c r="K46" s="63">
        <f t="shared" si="21"/>
        <v>32</v>
      </c>
      <c r="L46" s="63" t="str">
        <f>IFERROR(VLOOKUP(MID(G46,J46,K46-J46),[5]skilldef!$C:$D,2,FALSE),"-") &amp; " / " &amp; IFERROR(VLOOKUP(MID(G46,H46,I46-H46),[5]skilldef!$A:$B,2,FALSE),"-")</f>
        <v>- / -</v>
      </c>
      <c r="M46" s="63" t="str">
        <f t="shared" si="22"/>
        <v>[effect:force_change_block, new_block:damage, target:block_all, ignore01:crack_bomb, ignore02:color_break, ignore03:block_heart, ignore04:damage, ignore05:crash, ignore06:magnet, color:block_blue, count:5, val:0.1, animation:change_block],[effect:dis_heart, turn:3, animation:enemy_dis_heart]</v>
      </c>
      <c r="N46" s="48" t="str">
        <f t="shared" si="23"/>
        <v>[effect:force_change_block, new_block:damage, target:block_all, ignore01:crack_bomb, ignore02:color_break, ignore03:block_heart, ignore04:damage, ignore05:crash, ignore06:magnet, color:block_blue, count:5, val:0.1, animation:change_block],[effect:dis_heart, turn:3, animation:enemy_dis_heart]</v>
      </c>
      <c r="O46" s="63">
        <f t="shared" si="24"/>
        <v>9</v>
      </c>
      <c r="P46" s="63">
        <f t="shared" si="25"/>
        <v>27</v>
      </c>
      <c r="Q46" s="63">
        <f t="shared" si="26"/>
        <v>54</v>
      </c>
      <c r="R46" s="63">
        <f t="shared" si="27"/>
        <v>45</v>
      </c>
      <c r="S46" s="63" t="str">
        <f>IFERROR(VLOOKUP(MID(N46,Q46,R46-Q46),[5]skilldef!$C:$D,2,FALSE),"-") &amp; " / " &amp; IFERROR(VLOOKUP(MID(N46,O46,P46-O46),[5]skilldef!$A:$B,2,FALSE),"-")</f>
        <v>- / -</v>
      </c>
      <c r="T46" s="48" t="str">
        <f t="shared" si="28"/>
        <v>[effect:dis_heart, turn:3, animation:enemy_dis_heart]</v>
      </c>
      <c r="U46" s="63">
        <f t="shared" si="29"/>
        <v>9</v>
      </c>
      <c r="V46" s="63">
        <f t="shared" si="30"/>
        <v>18</v>
      </c>
      <c r="W46" s="63" t="e">
        <f t="shared" si="31"/>
        <v>#VALUE!</v>
      </c>
      <c r="X46" s="63">
        <f t="shared" si="32"/>
        <v>26</v>
      </c>
      <c r="Y46" s="63" t="str">
        <f>IFERROR(VLOOKUP(MID(T46,W46,X46-W46),[5]skilldef!$C:$D,2,FALSE),"-") &amp; " / " &amp; IFERROR(VLOOKUP(MID(T46,U46,V46-U46),[5]skilldef!$A:$B,2,FALSE),"-")</f>
        <v>- / ディスハート</v>
      </c>
      <c r="Z46" s="50"/>
      <c r="AA46" s="52"/>
      <c r="AB46" s="50"/>
    </row>
    <row r="47" spans="1:28" ht="21" customHeight="1" x14ac:dyDescent="0.15">
      <c r="A47" s="47">
        <v>50010048</v>
      </c>
      <c r="B47" s="47" t="s">
        <v>382</v>
      </c>
      <c r="C47" s="50">
        <v>3</v>
      </c>
      <c r="D47" s="50" t="s">
        <v>125</v>
      </c>
      <c r="E47" s="51" t="s">
        <v>399</v>
      </c>
      <c r="F47" s="51" t="s">
        <v>381</v>
      </c>
      <c r="G47" s="63" t="str">
        <f t="shared" si="17"/>
        <v>[effect:enemy_message, val1:1.2, val2:2.3]</v>
      </c>
      <c r="H47" s="63">
        <f t="shared" si="18"/>
        <v>9</v>
      </c>
      <c r="I47" s="63">
        <f t="shared" si="19"/>
        <v>22</v>
      </c>
      <c r="J47" s="63" t="e">
        <f t="shared" si="20"/>
        <v>#VALUE!</v>
      </c>
      <c r="K47" s="63">
        <f t="shared" si="21"/>
        <v>32</v>
      </c>
      <c r="L47" s="63" t="str">
        <f>IFERROR(VLOOKUP(MID(G47,J47,K47-J47),[5]skilldef!$C:$D,2,FALSE),"-") &amp; " / " &amp; IFERROR(VLOOKUP(MID(G47,H47,I47-H47),[5]skilldef!$A:$B,2,FALSE),"-")</f>
        <v>- / -</v>
      </c>
      <c r="M47" s="63" t="str">
        <f t="shared" si="22"/>
        <v>[effect:break_attack_fix, target:unit_all, val:125, lowest_val:2500, count:-1, color:blue, block01:time_bomb]</v>
      </c>
      <c r="N47" s="48" t="str">
        <f t="shared" si="23"/>
        <v>[effect:break_attack_fix, target:unit_all, val:125, lowest_val:2500, count:-1, color:blue, block01:time_bomb]</v>
      </c>
      <c r="O47" s="63">
        <f t="shared" si="24"/>
        <v>9</v>
      </c>
      <c r="P47" s="63">
        <f t="shared" si="25"/>
        <v>25</v>
      </c>
      <c r="Q47" s="63">
        <f t="shared" si="26"/>
        <v>34</v>
      </c>
      <c r="R47" s="63">
        <f t="shared" si="27"/>
        <v>42</v>
      </c>
      <c r="S47" s="63" t="str">
        <f>IFERROR(VLOOKUP(MID(N47,Q47,R47-Q47),[5]skilldef!$C:$D,2,FALSE),"-") &amp; " / " &amp; IFERROR(VLOOKUP(MID(N47,O47,P47-O47),[5]skilldef!$A:$B,2,FALSE),"-")</f>
        <v>味方全体に / -</v>
      </c>
      <c r="T47" s="48" t="str">
        <f t="shared" si="28"/>
        <v>none</v>
      </c>
      <c r="U47" s="63" t="e">
        <f t="shared" si="29"/>
        <v>#VALUE!</v>
      </c>
      <c r="V47" s="63">
        <f t="shared" si="30"/>
        <v>4</v>
      </c>
      <c r="W47" s="63" t="e">
        <f t="shared" si="31"/>
        <v>#VALUE!</v>
      </c>
      <c r="X47" s="63" t="e">
        <f t="shared" si="32"/>
        <v>#VALUE!</v>
      </c>
      <c r="Y47" s="63" t="str">
        <f>IFERROR(VLOOKUP(MID(T47,W47,X47-W47),[5]skilldef!$C:$D,2,FALSE),"-") &amp; " / " &amp; IFERROR(VLOOKUP(MID(T47,U47,V47-U47),[5]skilldef!$A:$B,2,FALSE),"-")</f>
        <v>- / -</v>
      </c>
      <c r="Z47" s="50"/>
      <c r="AA47" s="52"/>
      <c r="AB47" s="50"/>
    </row>
    <row r="48" spans="1:28" ht="21" customHeight="1" x14ac:dyDescent="0.15">
      <c r="A48" s="47">
        <v>50010049</v>
      </c>
      <c r="B48" s="47" t="s">
        <v>439</v>
      </c>
      <c r="C48" s="50">
        <v>3</v>
      </c>
      <c r="D48" s="50" t="s">
        <v>125</v>
      </c>
      <c r="E48" s="51" t="s">
        <v>401</v>
      </c>
      <c r="F48" s="51" t="s">
        <v>269</v>
      </c>
      <c r="G48" s="63" t="str">
        <f t="shared" si="17"/>
        <v>[effect:enemy_message, val1:1.2, val2:2.3]</v>
      </c>
      <c r="H48" s="63">
        <f t="shared" si="18"/>
        <v>9</v>
      </c>
      <c r="I48" s="63">
        <f t="shared" si="19"/>
        <v>22</v>
      </c>
      <c r="J48" s="63" t="e">
        <f t="shared" si="20"/>
        <v>#VALUE!</v>
      </c>
      <c r="K48" s="63">
        <f t="shared" si="21"/>
        <v>32</v>
      </c>
      <c r="L48" s="63" t="str">
        <f>IFERROR(VLOOKUP(MID(G48,J48,K48-J48),[5]skilldef!$C:$D,2,FALSE),"-") &amp; " / " &amp; IFERROR(VLOOKUP(MID(G48,H48,I48-H48),[5]skilldef!$A:$B,2,FALSE),"-")</f>
        <v>- / -</v>
      </c>
      <c r="M48" s="63" t="str">
        <f t="shared" si="22"/>
        <v xml:space="preserve">[effect:virus, turn:8, rate:1, val:0.28, animation:enemy_virus],[effect:degrade_unit, target:unit_all, turn:3, status:heal, val:1, calc:mul, animation:degrade_unit_all_heal]    </v>
      </c>
      <c r="N48" s="48" t="str">
        <f t="shared" si="23"/>
        <v xml:space="preserve">[effect:virus, turn:8, rate:1, val:0.28, animation:enemy_virus],[effect:degrade_unit, target:unit_all, turn:3, status:heal, val:1, calc:mul, animation:degrade_unit_all_heal]    </v>
      </c>
      <c r="O48" s="63">
        <f t="shared" si="24"/>
        <v>9</v>
      </c>
      <c r="P48" s="63">
        <f t="shared" si="25"/>
        <v>14</v>
      </c>
      <c r="Q48" s="63">
        <f t="shared" si="26"/>
        <v>94</v>
      </c>
      <c r="R48" s="63">
        <f t="shared" si="27"/>
        <v>22</v>
      </c>
      <c r="S48" s="63" t="str">
        <f>IFERROR(VLOOKUP(MID(N48,Q48,R48-Q48),[5]skilldef!$C:$D,2,FALSE),"-") &amp; " / " &amp; IFERROR(VLOOKUP(MID(N48,O48,P48-O48),[5]skilldef!$A:$B,2,FALSE),"-")</f>
        <v>- / ウィルス</v>
      </c>
      <c r="T48" s="48" t="str">
        <f t="shared" si="28"/>
        <v xml:space="preserve">[effect:degrade_unit, target:unit_all, turn:3, status:heal, val:1, calc:mul, animation:degrade_unit_all_heal]    </v>
      </c>
      <c r="U48" s="63">
        <f t="shared" si="29"/>
        <v>9</v>
      </c>
      <c r="V48" s="63">
        <f t="shared" si="30"/>
        <v>21</v>
      </c>
      <c r="W48" s="63">
        <f t="shared" si="31"/>
        <v>30</v>
      </c>
      <c r="X48" s="63">
        <f t="shared" si="32"/>
        <v>38</v>
      </c>
      <c r="Y48" s="63" t="str">
        <f>IFERROR(VLOOKUP(MID(T48,W48,X48-W48),[5]skilldef!$C:$D,2,FALSE),"-") &amp; " / " &amp; IFERROR(VLOOKUP(MID(T48,U48,V48-U48),[5]skilldef!$A:$B,2,FALSE),"-")</f>
        <v>味方全体に / ステータスDOWN</v>
      </c>
      <c r="Z48" s="50"/>
      <c r="AA48" s="52"/>
      <c r="AB48" s="50"/>
    </row>
    <row r="49" spans="1:28" ht="21" customHeight="1" x14ac:dyDescent="0.15">
      <c r="A49" s="47">
        <v>50010050</v>
      </c>
      <c r="B49" s="47" t="s">
        <v>473</v>
      </c>
      <c r="C49" s="50">
        <v>3</v>
      </c>
      <c r="D49" s="50" t="s">
        <v>125</v>
      </c>
      <c r="E49" s="51" t="s">
        <v>424</v>
      </c>
      <c r="F49" s="51" t="s">
        <v>472</v>
      </c>
      <c r="G49" s="63" t="str">
        <f t="shared" si="17"/>
        <v>[effect:enemy_message, val1:1, val2:2.6]</v>
      </c>
      <c r="H49" s="63">
        <f t="shared" si="18"/>
        <v>9</v>
      </c>
      <c r="I49" s="63">
        <f t="shared" si="19"/>
        <v>22</v>
      </c>
      <c r="J49" s="63" t="e">
        <f t="shared" si="20"/>
        <v>#VALUE!</v>
      </c>
      <c r="K49" s="63">
        <f t="shared" si="21"/>
        <v>30</v>
      </c>
      <c r="L49" s="63" t="str">
        <f>IFERROR(VLOOKUP(MID(G49,J49,K49-J49),[5]skilldef!$C:$D,2,FALSE),"-") &amp; " / " &amp; IFERROR(VLOOKUP(MID(G49,H49,I49-H49),[5]skilldef!$A:$B,2,FALSE),"-")</f>
        <v>- / -</v>
      </c>
      <c r="M49" s="63" t="str">
        <f t="shared" si="22"/>
        <v>[effect:fix_speed, target:myself, turn:1],[effect:tolerance, target:myself, turn:-1, tolerance_effect:all, count:-1, animation:enemy_tolerance]</v>
      </c>
      <c r="N49" s="48" t="str">
        <f t="shared" si="23"/>
        <v>[effect:fix_speed, target:myself, turn:1],[effect:tolerance, target:myself, turn:-1, tolerance_effect:all, count:-1, animation:enemy_tolerance]</v>
      </c>
      <c r="O49" s="63">
        <f t="shared" si="24"/>
        <v>9</v>
      </c>
      <c r="P49" s="63">
        <f t="shared" si="25"/>
        <v>18</v>
      </c>
      <c r="Q49" s="63">
        <f t="shared" si="26"/>
        <v>27</v>
      </c>
      <c r="R49" s="63">
        <f t="shared" si="27"/>
        <v>33</v>
      </c>
      <c r="S49" s="63" t="str">
        <f>IFERROR(VLOOKUP(MID(N49,Q49,R49-Q49),[5]skilldef!$C:$D,2,FALSE),"-") &amp; " / " &amp; IFERROR(VLOOKUP(MID(N49,O49,P49-O49),[5]skilldef!$A:$B,2,FALSE),"-")</f>
        <v>自分自身に / 行動値設定</v>
      </c>
      <c r="T49" s="48" t="str">
        <f t="shared" si="28"/>
        <v>[effect:tolerance, target:myself, turn:-1, tolerance_effect:all, count:-1, animation:enemy_tolerance]</v>
      </c>
      <c r="U49" s="63">
        <f t="shared" si="29"/>
        <v>9</v>
      </c>
      <c r="V49" s="63">
        <f t="shared" si="30"/>
        <v>18</v>
      </c>
      <c r="W49" s="63">
        <f t="shared" si="31"/>
        <v>27</v>
      </c>
      <c r="X49" s="63">
        <f t="shared" si="32"/>
        <v>33</v>
      </c>
      <c r="Y49" s="63" t="str">
        <f>IFERROR(VLOOKUP(MID(T49,W49,X49-W49),[5]skilldef!$C:$D,2,FALSE),"-") &amp; " / " &amp; IFERROR(VLOOKUP(MID(T49,U49,V49-U49),[5]skilldef!$A:$B,2,FALSE),"-")</f>
        <v>自分自身に / 状態異常耐性</v>
      </c>
      <c r="Z49" s="50"/>
      <c r="AA49" s="52"/>
      <c r="AB49" s="50"/>
    </row>
    <row r="50" spans="1:28" ht="21" customHeight="1" x14ac:dyDescent="0.15">
      <c r="A50" s="47">
        <v>50010051</v>
      </c>
      <c r="B50" s="47" t="s">
        <v>426</v>
      </c>
      <c r="C50" s="50">
        <v>3</v>
      </c>
      <c r="D50" s="50" t="s">
        <v>125</v>
      </c>
      <c r="E50" s="51" t="s">
        <v>425</v>
      </c>
      <c r="F50" s="51" t="s">
        <v>476</v>
      </c>
      <c r="G50" s="63" t="str">
        <f t="shared" si="17"/>
        <v>[effect:enemy_message, val1:1, val2:2.6]</v>
      </c>
      <c r="H50" s="63">
        <f t="shared" si="18"/>
        <v>9</v>
      </c>
      <c r="I50" s="63">
        <f t="shared" si="19"/>
        <v>22</v>
      </c>
      <c r="J50" s="63" t="e">
        <f t="shared" si="20"/>
        <v>#VALUE!</v>
      </c>
      <c r="K50" s="63">
        <f t="shared" si="21"/>
        <v>30</v>
      </c>
      <c r="L50" s="63" t="str">
        <f>IFERROR(VLOOKUP(MID(G50,J50,K50-J50),[5]skilldef!$C:$D,2,FALSE),"-") &amp; " / " &amp; IFERROR(VLOOKUP(MID(G50,H50,I50-H50),[5]skilldef!$A:$B,2,FALSE),"-")</f>
        <v>- / -</v>
      </c>
      <c r="M50" s="63" t="str">
        <f t="shared" si="22"/>
        <v>[effect:spread, val:0.5]</v>
      </c>
      <c r="N50" s="48" t="str">
        <f t="shared" si="23"/>
        <v>[effect:spread, val:0.5]</v>
      </c>
      <c r="O50" s="63">
        <f t="shared" si="24"/>
        <v>9</v>
      </c>
      <c r="P50" s="63">
        <f t="shared" si="25"/>
        <v>15</v>
      </c>
      <c r="Q50" s="63" t="e">
        <f t="shared" si="26"/>
        <v>#VALUE!</v>
      </c>
      <c r="R50" s="63" t="e">
        <f t="shared" si="27"/>
        <v>#VALUE!</v>
      </c>
      <c r="S50" s="63" t="str">
        <f>IFERROR(VLOOKUP(MID(N50,Q50,R50-Q50),[5]skilldef!$C:$D,2,FALSE),"-") &amp; " / " &amp; IFERROR(VLOOKUP(MID(N50,O50,P50-O50),[5]skilldef!$A:$B,2,FALSE),"-")</f>
        <v>- / 全体攻撃</v>
      </c>
      <c r="T50" s="48" t="str">
        <f t="shared" si="28"/>
        <v>none</v>
      </c>
      <c r="U50" s="63" t="e">
        <f t="shared" si="29"/>
        <v>#VALUE!</v>
      </c>
      <c r="V50" s="63">
        <f t="shared" si="30"/>
        <v>4</v>
      </c>
      <c r="W50" s="63" t="e">
        <f t="shared" si="31"/>
        <v>#VALUE!</v>
      </c>
      <c r="X50" s="63" t="e">
        <f t="shared" si="32"/>
        <v>#VALUE!</v>
      </c>
      <c r="Y50" s="63" t="str">
        <f>IFERROR(VLOOKUP(MID(T50,W50,X50-W50),[5]skilldef!$C:$D,2,FALSE),"-") &amp; " / " &amp; IFERROR(VLOOKUP(MID(T50,U50,V50-U50),[5]skilldef!$A:$B,2,FALSE),"-")</f>
        <v>- / -</v>
      </c>
      <c r="Z50" s="50"/>
      <c r="AA50" s="52"/>
      <c r="AB50" s="50"/>
    </row>
    <row r="51" spans="1:28" ht="21" customHeight="1" x14ac:dyDescent="0.15">
      <c r="A51" s="47">
        <v>50010052</v>
      </c>
      <c r="B51" s="47" t="s">
        <v>427</v>
      </c>
      <c r="C51" s="50">
        <v>3</v>
      </c>
      <c r="D51" s="50" t="s">
        <v>125</v>
      </c>
      <c r="E51" s="51" t="s">
        <v>425</v>
      </c>
      <c r="F51" s="51" t="s">
        <v>476</v>
      </c>
      <c r="G51" s="63" t="str">
        <f t="shared" si="17"/>
        <v>[effect:enemy_message, val1:1, val2:2.6]</v>
      </c>
      <c r="H51" s="63">
        <f t="shared" si="18"/>
        <v>9</v>
      </c>
      <c r="I51" s="63">
        <f t="shared" si="19"/>
        <v>22</v>
      </c>
      <c r="J51" s="63" t="e">
        <f t="shared" si="20"/>
        <v>#VALUE!</v>
      </c>
      <c r="K51" s="63">
        <f t="shared" si="21"/>
        <v>30</v>
      </c>
      <c r="L51" s="63" t="str">
        <f>IFERROR(VLOOKUP(MID(G51,J51,K51-J51),[5]skilldef!$C:$D,2,FALSE),"-") &amp; " / " &amp; IFERROR(VLOOKUP(MID(G51,H51,I51-H51),[5]skilldef!$A:$B,2,FALSE),"-")</f>
        <v>- / -</v>
      </c>
      <c r="M51" s="63" t="str">
        <f t="shared" si="22"/>
        <v>[effect:spread, val:0.45]</v>
      </c>
      <c r="N51" s="48" t="str">
        <f t="shared" si="23"/>
        <v>[effect:spread, val:0.45]</v>
      </c>
      <c r="O51" s="63">
        <f t="shared" si="24"/>
        <v>9</v>
      </c>
      <c r="P51" s="63">
        <f t="shared" si="25"/>
        <v>15</v>
      </c>
      <c r="Q51" s="63" t="e">
        <f t="shared" si="26"/>
        <v>#VALUE!</v>
      </c>
      <c r="R51" s="63" t="e">
        <f t="shared" si="27"/>
        <v>#VALUE!</v>
      </c>
      <c r="S51" s="63" t="str">
        <f>IFERROR(VLOOKUP(MID(N51,Q51,R51-Q51),[5]skilldef!$C:$D,2,FALSE),"-") &amp; " / " &amp; IFERROR(VLOOKUP(MID(N51,O51,P51-O51),[5]skilldef!$A:$B,2,FALSE),"-")</f>
        <v>- / 全体攻撃</v>
      </c>
      <c r="T51" s="48" t="str">
        <f t="shared" si="28"/>
        <v>none</v>
      </c>
      <c r="U51" s="63" t="e">
        <f t="shared" si="29"/>
        <v>#VALUE!</v>
      </c>
      <c r="V51" s="63">
        <f t="shared" si="30"/>
        <v>4</v>
      </c>
      <c r="W51" s="63" t="e">
        <f t="shared" si="31"/>
        <v>#VALUE!</v>
      </c>
      <c r="X51" s="63" t="e">
        <f t="shared" si="32"/>
        <v>#VALUE!</v>
      </c>
      <c r="Y51" s="63" t="str">
        <f>IFERROR(VLOOKUP(MID(T51,W51,X51-W51),[5]skilldef!$C:$D,2,FALSE),"-") &amp; " / " &amp; IFERROR(VLOOKUP(MID(T51,U51,V51-U51),[5]skilldef!$A:$B,2,FALSE),"-")</f>
        <v>- / -</v>
      </c>
      <c r="Z51" s="50"/>
      <c r="AA51" s="52"/>
      <c r="AB51" s="50"/>
    </row>
    <row r="52" spans="1:28" ht="21" customHeight="1" x14ac:dyDescent="0.15">
      <c r="A52" s="47">
        <v>50010053</v>
      </c>
      <c r="B52" s="47" t="s">
        <v>428</v>
      </c>
      <c r="C52" s="50">
        <v>3</v>
      </c>
      <c r="D52" s="50" t="s">
        <v>125</v>
      </c>
      <c r="E52" s="51" t="s">
        <v>425</v>
      </c>
      <c r="F52" s="51" t="s">
        <v>476</v>
      </c>
      <c r="G52" s="63" t="str">
        <f t="shared" si="17"/>
        <v>[effect:enemy_message, val1:1, val2:2.6]</v>
      </c>
      <c r="H52" s="63">
        <f t="shared" si="18"/>
        <v>9</v>
      </c>
      <c r="I52" s="63">
        <f t="shared" si="19"/>
        <v>22</v>
      </c>
      <c r="J52" s="63" t="e">
        <f t="shared" si="20"/>
        <v>#VALUE!</v>
      </c>
      <c r="K52" s="63">
        <f t="shared" si="21"/>
        <v>30</v>
      </c>
      <c r="L52" s="63" t="str">
        <f>IFERROR(VLOOKUP(MID(G52,J52,K52-J52),[5]skilldef!$C:$D,2,FALSE),"-") &amp; " / " &amp; IFERROR(VLOOKUP(MID(G52,H52,I52-H52),[5]skilldef!$A:$B,2,FALSE),"-")</f>
        <v>- / -</v>
      </c>
      <c r="M52" s="63" t="str">
        <f t="shared" si="22"/>
        <v>[effect:spread, val:0.4]</v>
      </c>
      <c r="N52" s="48" t="str">
        <f t="shared" si="23"/>
        <v>[effect:spread, val:0.4]</v>
      </c>
      <c r="O52" s="63">
        <f t="shared" si="24"/>
        <v>9</v>
      </c>
      <c r="P52" s="63">
        <f t="shared" si="25"/>
        <v>15</v>
      </c>
      <c r="Q52" s="63" t="e">
        <f t="shared" si="26"/>
        <v>#VALUE!</v>
      </c>
      <c r="R52" s="63" t="e">
        <f t="shared" si="27"/>
        <v>#VALUE!</v>
      </c>
      <c r="S52" s="63" t="str">
        <f>IFERROR(VLOOKUP(MID(N52,Q52,R52-Q52),[5]skilldef!$C:$D,2,FALSE),"-") &amp; " / " &amp; IFERROR(VLOOKUP(MID(N52,O52,P52-O52),[5]skilldef!$A:$B,2,FALSE),"-")</f>
        <v>- / 全体攻撃</v>
      </c>
      <c r="T52" s="48" t="str">
        <f t="shared" si="28"/>
        <v>none</v>
      </c>
      <c r="U52" s="63" t="e">
        <f t="shared" si="29"/>
        <v>#VALUE!</v>
      </c>
      <c r="V52" s="63">
        <f t="shared" si="30"/>
        <v>4</v>
      </c>
      <c r="W52" s="63" t="e">
        <f t="shared" si="31"/>
        <v>#VALUE!</v>
      </c>
      <c r="X52" s="63" t="e">
        <f t="shared" si="32"/>
        <v>#VALUE!</v>
      </c>
      <c r="Y52" s="63" t="str">
        <f>IFERROR(VLOOKUP(MID(T52,W52,X52-W52),[5]skilldef!$C:$D,2,FALSE),"-") &amp; " / " &amp; IFERROR(VLOOKUP(MID(T52,U52,V52-U52),[5]skilldef!$A:$B,2,FALSE),"-")</f>
        <v>- / -</v>
      </c>
      <c r="Z52" s="50"/>
      <c r="AA52" s="52"/>
      <c r="AB52" s="50"/>
    </row>
    <row r="53" spans="1:28" ht="21" customHeight="1" x14ac:dyDescent="0.15">
      <c r="A53" s="47">
        <v>50010054</v>
      </c>
      <c r="B53" s="47" t="s">
        <v>447</v>
      </c>
      <c r="C53" s="50">
        <v>3</v>
      </c>
      <c r="D53" s="50" t="s">
        <v>125</v>
      </c>
      <c r="E53" s="51" t="s">
        <v>344</v>
      </c>
      <c r="F53" s="51" t="s">
        <v>446</v>
      </c>
      <c r="G53" s="63" t="str">
        <f t="shared" si="17"/>
        <v>[effect:enemy_message, val1:1, val2:2.6]</v>
      </c>
      <c r="H53" s="63">
        <f t="shared" si="18"/>
        <v>9</v>
      </c>
      <c r="I53" s="63">
        <f t="shared" si="19"/>
        <v>22</v>
      </c>
      <c r="J53" s="63" t="e">
        <f t="shared" si="20"/>
        <v>#VALUE!</v>
      </c>
      <c r="K53" s="63">
        <f t="shared" si="21"/>
        <v>30</v>
      </c>
      <c r="L53" s="63" t="str">
        <f>IFERROR(VLOOKUP(MID(G53,J53,K53-J53),[5]skilldef!$C:$D,2,FALSE),"-") &amp; " / " &amp; IFERROR(VLOOKUP(MID(G53,H53,I53-H53),[5]skilldef!$A:$B,2,FALSE),"-")</f>
        <v>- / -</v>
      </c>
      <c r="M53" s="63" t="str">
        <f t="shared" si="22"/>
        <v>[effect:reduction, target:myself, color:all, turn:3, val:0.5, animation:reduction_one01],[effect:degrade_unit, target:unit_all, turn:3, status:action, val:1, calc:add, animation:enemy_tap_down]</v>
      </c>
      <c r="N53" s="48" t="str">
        <f t="shared" si="23"/>
        <v>[effect:reduction, target:myself, color:all, turn:3, val:0.5, animation:reduction_one01],[effect:degrade_unit, target:unit_all, turn:3, status:action, val:1, calc:add, animation:enemy_tap_down]</v>
      </c>
      <c r="O53" s="63">
        <f t="shared" si="24"/>
        <v>9</v>
      </c>
      <c r="P53" s="63">
        <f t="shared" si="25"/>
        <v>18</v>
      </c>
      <c r="Q53" s="63">
        <f t="shared" si="26"/>
        <v>27</v>
      </c>
      <c r="R53" s="63">
        <f t="shared" si="27"/>
        <v>33</v>
      </c>
      <c r="S53" s="63" t="str">
        <f>IFERROR(VLOOKUP(MID(N53,Q53,R53-Q53),[5]skilldef!$C:$D,2,FALSE),"-") &amp; " / " &amp; IFERROR(VLOOKUP(MID(N53,O53,P53-O53),[5]skilldef!$A:$B,2,FALSE),"-")</f>
        <v>自分自身に / -</v>
      </c>
      <c r="T53" s="48" t="str">
        <f t="shared" si="28"/>
        <v>[effect:degrade_unit, target:unit_all, turn:3, status:action, val:1, calc:add, animation:enemy_tap_down]</v>
      </c>
      <c r="U53" s="63">
        <f t="shared" si="29"/>
        <v>9</v>
      </c>
      <c r="V53" s="63">
        <f t="shared" si="30"/>
        <v>21</v>
      </c>
      <c r="W53" s="63">
        <f t="shared" si="31"/>
        <v>30</v>
      </c>
      <c r="X53" s="63">
        <f t="shared" si="32"/>
        <v>38</v>
      </c>
      <c r="Y53" s="63" t="str">
        <f>IFERROR(VLOOKUP(MID(T53,W53,X53-W53),[5]skilldef!$C:$D,2,FALSE),"-") &amp; " / " &amp; IFERROR(VLOOKUP(MID(T53,U53,V53-U53),[5]skilldef!$A:$B,2,FALSE),"-")</f>
        <v>味方全体に / ステータスDOWN</v>
      </c>
      <c r="Z53" s="50"/>
      <c r="AA53" s="52"/>
      <c r="AB53" s="50"/>
    </row>
    <row r="54" spans="1:28" ht="21" customHeight="1" x14ac:dyDescent="0.15">
      <c r="A54" s="47">
        <v>50010055</v>
      </c>
      <c r="B54" s="47" t="s">
        <v>366</v>
      </c>
      <c r="C54" s="50">
        <v>3</v>
      </c>
      <c r="D54" s="50" t="s">
        <v>125</v>
      </c>
      <c r="E54" s="51" t="s">
        <v>363</v>
      </c>
      <c r="F54" s="51" t="s">
        <v>377</v>
      </c>
      <c r="G54" s="63" t="str">
        <f t="shared" si="17"/>
        <v>[effect:dis_panel, target:block_red, turn:3, animation:enemy_dis_red]</v>
      </c>
      <c r="H54" s="63">
        <f t="shared" si="18"/>
        <v>9</v>
      </c>
      <c r="I54" s="63">
        <f t="shared" si="19"/>
        <v>18</v>
      </c>
      <c r="J54" s="63">
        <f t="shared" si="20"/>
        <v>27</v>
      </c>
      <c r="K54" s="63">
        <f t="shared" si="21"/>
        <v>36</v>
      </c>
      <c r="L54" s="63" t="str">
        <f>IFERROR(VLOOKUP(MID(G54,J54,K54-J54),[5]skilldef!$C:$D,2,FALSE),"-") &amp; " / " &amp; IFERROR(VLOOKUP(MID(G54,H54,I54-H54),[5]skilldef!$A:$B,2,FALSE),"-")</f>
        <v>赤パネルを / ディスパネル</v>
      </c>
      <c r="M54" s="63" t="str">
        <f t="shared" si="22"/>
        <v>[effect:rush, count:1, val:1]</v>
      </c>
      <c r="N54" s="48" t="str">
        <f t="shared" ref="N54:N62" si="33">IFERROR(LEFT(M54,FIND("],",M54)+S65),M54)</f>
        <v>[effect:rush, count:1, val:1]</v>
      </c>
      <c r="O54" s="63">
        <f t="shared" si="24"/>
        <v>9</v>
      </c>
      <c r="P54" s="63">
        <f t="shared" si="25"/>
        <v>13</v>
      </c>
      <c r="Q54" s="63" t="e">
        <f t="shared" si="26"/>
        <v>#VALUE!</v>
      </c>
      <c r="R54" s="63">
        <f t="shared" si="27"/>
        <v>22</v>
      </c>
      <c r="S54" s="63" t="str">
        <f>IFERROR(VLOOKUP(MID(N54,Q54,R54-Q54),[5]skilldef!$C:$D,2,FALSE),"-") &amp; " / " &amp; IFERROR(VLOOKUP(MID(N54,O54,P54-O54),[5]skilldef!$A:$B,2,FALSE),"-")</f>
        <v>- / 連続攻撃</v>
      </c>
      <c r="T54" s="48" t="str">
        <f t="shared" si="28"/>
        <v>none</v>
      </c>
      <c r="U54" s="63" t="e">
        <f t="shared" si="29"/>
        <v>#VALUE!</v>
      </c>
      <c r="V54" s="63">
        <f t="shared" si="30"/>
        <v>4</v>
      </c>
      <c r="W54" s="63" t="e">
        <f t="shared" si="31"/>
        <v>#VALUE!</v>
      </c>
      <c r="X54" s="63" t="e">
        <f t="shared" si="32"/>
        <v>#VALUE!</v>
      </c>
      <c r="Y54" s="63" t="str">
        <f>IFERROR(VLOOKUP(MID(T54,W54,X54-W54),[5]skilldef!$C:$D,2,FALSE),"-") &amp; " / " &amp; IFERROR(VLOOKUP(MID(T54,U54,V54-U54),[5]skilldef!$A:$B,2,FALSE),"-")</f>
        <v>- / -</v>
      </c>
      <c r="Z54" s="50"/>
      <c r="AA54" s="52"/>
      <c r="AB54" s="50"/>
    </row>
    <row r="55" spans="1:28" ht="21" customHeight="1" x14ac:dyDescent="0.15">
      <c r="A55" s="47">
        <v>50010056</v>
      </c>
      <c r="B55" s="47" t="s">
        <v>367</v>
      </c>
      <c r="C55" s="50">
        <v>3</v>
      </c>
      <c r="D55" s="50" t="s">
        <v>125</v>
      </c>
      <c r="E55" s="51" t="s">
        <v>364</v>
      </c>
      <c r="F55" s="51" t="s">
        <v>378</v>
      </c>
      <c r="G55" s="63" t="str">
        <f t="shared" si="17"/>
        <v>[effect:dis_panel, target:block_blue, turn:3, animation:enemy_dis_blue]</v>
      </c>
      <c r="H55" s="63">
        <f t="shared" si="18"/>
        <v>9</v>
      </c>
      <c r="I55" s="63">
        <f t="shared" si="19"/>
        <v>18</v>
      </c>
      <c r="J55" s="63">
        <f t="shared" si="20"/>
        <v>27</v>
      </c>
      <c r="K55" s="63">
        <f t="shared" si="21"/>
        <v>37</v>
      </c>
      <c r="L55" s="63" t="str">
        <f>IFERROR(VLOOKUP(MID(G55,J55,K55-J55),[5]skilldef!$C:$D,2,FALSE),"-") &amp; " / " &amp; IFERROR(VLOOKUP(MID(G55,H55,I55-H55),[5]skilldef!$A:$B,2,FALSE),"-")</f>
        <v>青パネルを / ディスパネル</v>
      </c>
      <c r="M55" s="63" t="str">
        <f t="shared" si="22"/>
        <v>[effect:rush, count:1, val:1.2]</v>
      </c>
      <c r="N55" s="48" t="str">
        <f t="shared" si="33"/>
        <v>[effect:rush, count:1, val:1.2]</v>
      </c>
      <c r="O55" s="63">
        <f t="shared" si="24"/>
        <v>9</v>
      </c>
      <c r="P55" s="63">
        <f t="shared" si="25"/>
        <v>13</v>
      </c>
      <c r="Q55" s="63" t="e">
        <f t="shared" si="26"/>
        <v>#VALUE!</v>
      </c>
      <c r="R55" s="63">
        <f t="shared" si="27"/>
        <v>22</v>
      </c>
      <c r="S55" s="63" t="str">
        <f>IFERROR(VLOOKUP(MID(N55,Q55,R55-Q55),[5]skilldef!$C:$D,2,FALSE),"-") &amp; " / " &amp; IFERROR(VLOOKUP(MID(N55,O55,P55-O55),[5]skilldef!$A:$B,2,FALSE),"-")</f>
        <v>- / 連続攻撃</v>
      </c>
      <c r="T55" s="48" t="str">
        <f t="shared" si="28"/>
        <v>none</v>
      </c>
      <c r="U55" s="63" t="e">
        <f t="shared" si="29"/>
        <v>#VALUE!</v>
      </c>
      <c r="V55" s="63">
        <f t="shared" si="30"/>
        <v>4</v>
      </c>
      <c r="W55" s="63" t="e">
        <f t="shared" si="31"/>
        <v>#VALUE!</v>
      </c>
      <c r="X55" s="63" t="e">
        <f t="shared" si="32"/>
        <v>#VALUE!</v>
      </c>
      <c r="Y55" s="63" t="str">
        <f>IFERROR(VLOOKUP(MID(T55,W55,X55-W55),[5]skilldef!$C:$D,2,FALSE),"-") &amp; " / " &amp; IFERROR(VLOOKUP(MID(T55,U55,V55-U55),[5]skilldef!$A:$B,2,FALSE),"-")</f>
        <v>- / -</v>
      </c>
      <c r="Z55" s="50"/>
      <c r="AA55" s="52"/>
      <c r="AB55" s="50"/>
    </row>
    <row r="56" spans="1:28" ht="21" customHeight="1" x14ac:dyDescent="0.15">
      <c r="A56" s="47">
        <v>50010057</v>
      </c>
      <c r="B56" s="47" t="s">
        <v>368</v>
      </c>
      <c r="C56" s="50">
        <v>3</v>
      </c>
      <c r="D56" s="50" t="s">
        <v>125</v>
      </c>
      <c r="E56" s="51" t="s">
        <v>365</v>
      </c>
      <c r="F56" s="51" t="s">
        <v>379</v>
      </c>
      <c r="G56" s="63" t="str">
        <f t="shared" si="17"/>
        <v>[effect:dis_panel, target:block_green, turn:3, animation:enemy_dis_green]</v>
      </c>
      <c r="H56" s="63">
        <f t="shared" si="18"/>
        <v>9</v>
      </c>
      <c r="I56" s="63">
        <f t="shared" si="19"/>
        <v>18</v>
      </c>
      <c r="J56" s="63">
        <f t="shared" si="20"/>
        <v>27</v>
      </c>
      <c r="K56" s="63">
        <f t="shared" si="21"/>
        <v>38</v>
      </c>
      <c r="L56" s="63" t="str">
        <f>IFERROR(VLOOKUP(MID(G56,J56,K56-J56),[5]skilldef!$C:$D,2,FALSE),"-") &amp; " / " &amp; IFERROR(VLOOKUP(MID(G56,H56,I56-H56),[5]skilldef!$A:$B,2,FALSE),"-")</f>
        <v>緑パネルを / ディスパネル</v>
      </c>
      <c r="M56" s="63" t="str">
        <f t="shared" si="22"/>
        <v>[effect:rush, count:1, val:1.4]</v>
      </c>
      <c r="N56" s="48" t="str">
        <f t="shared" si="33"/>
        <v>[effect:rush, count:1, val:1.4]</v>
      </c>
      <c r="O56" s="63">
        <f t="shared" si="24"/>
        <v>9</v>
      </c>
      <c r="P56" s="63">
        <f t="shared" si="25"/>
        <v>13</v>
      </c>
      <c r="Q56" s="63" t="e">
        <f t="shared" si="26"/>
        <v>#VALUE!</v>
      </c>
      <c r="R56" s="63">
        <f t="shared" si="27"/>
        <v>22</v>
      </c>
      <c r="S56" s="63" t="str">
        <f>IFERROR(VLOOKUP(MID(N56,Q56,R56-Q56),[5]skilldef!$C:$D,2,FALSE),"-") &amp; " / " &amp; IFERROR(VLOOKUP(MID(N56,O56,P56-O56),[5]skilldef!$A:$B,2,FALSE),"-")</f>
        <v>- / 連続攻撃</v>
      </c>
      <c r="T56" s="48" t="str">
        <f t="shared" si="28"/>
        <v>none</v>
      </c>
      <c r="U56" s="63" t="e">
        <f t="shared" si="29"/>
        <v>#VALUE!</v>
      </c>
      <c r="V56" s="63">
        <f t="shared" si="30"/>
        <v>4</v>
      </c>
      <c r="W56" s="63" t="e">
        <f t="shared" si="31"/>
        <v>#VALUE!</v>
      </c>
      <c r="X56" s="63" t="e">
        <f t="shared" si="32"/>
        <v>#VALUE!</v>
      </c>
      <c r="Y56" s="63" t="str">
        <f>IFERROR(VLOOKUP(MID(T56,W56,X56-W56),[5]skilldef!$C:$D,2,FALSE),"-") &amp; " / " &amp; IFERROR(VLOOKUP(MID(T56,U56,V56-U56),[5]skilldef!$A:$B,2,FALSE),"-")</f>
        <v>- / -</v>
      </c>
      <c r="Z56" s="50"/>
      <c r="AA56" s="52"/>
      <c r="AB56" s="50"/>
    </row>
    <row r="57" spans="1:28" ht="21" customHeight="1" x14ac:dyDescent="0.15">
      <c r="A57" s="47">
        <v>50010058</v>
      </c>
      <c r="B57" s="47" t="s">
        <v>429</v>
      </c>
      <c r="C57" s="50">
        <v>3</v>
      </c>
      <c r="D57" s="50" t="s">
        <v>125</v>
      </c>
      <c r="E57" s="51" t="s">
        <v>423</v>
      </c>
      <c r="F57" s="51" t="s">
        <v>474</v>
      </c>
      <c r="G57" s="63" t="str">
        <f t="shared" si="17"/>
        <v>[effect:enemy_message, val1:1.2, val2:2.4]</v>
      </c>
      <c r="H57" s="63">
        <f t="shared" si="18"/>
        <v>9</v>
      </c>
      <c r="I57" s="63">
        <f t="shared" si="19"/>
        <v>22</v>
      </c>
      <c r="J57" s="63" t="e">
        <f t="shared" si="20"/>
        <v>#VALUE!</v>
      </c>
      <c r="K57" s="63">
        <f t="shared" si="21"/>
        <v>32</v>
      </c>
      <c r="L57" s="63" t="str">
        <f>IFERROR(VLOOKUP(MID(G57,J57,K57-J57),[5]skilldef!$C:$D,2,FALSE),"-") &amp; " / " &amp; IFERROR(VLOOKUP(MID(G57,H57,I57-H57),[5]skilldef!$A:$B,2,FALSE),"-")</f>
        <v>- / -</v>
      </c>
      <c r="M57" s="63" t="str">
        <f t="shared" si="22"/>
        <v>[effect:enhance_enemy, target:myself, turn:-1, status:attack, val:0.5, calc:mul, animation:enemy_enhance_attack],[effect:crash_growth,count:-1, val:6, animation:change_block]</v>
      </c>
      <c r="N57" s="48" t="str">
        <f t="shared" si="33"/>
        <v>[effect:enhance_enemy, target:myself, turn:-1, status:attack, val:0.5, calc:mul, animation:enemy_enhance_attack],[effect:crash_growth,count:-1, val:6, animation:change_block]</v>
      </c>
      <c r="O57" s="63">
        <f t="shared" si="24"/>
        <v>9</v>
      </c>
      <c r="P57" s="63">
        <f t="shared" si="25"/>
        <v>22</v>
      </c>
      <c r="Q57" s="63">
        <f t="shared" si="26"/>
        <v>31</v>
      </c>
      <c r="R57" s="63">
        <f t="shared" si="27"/>
        <v>37</v>
      </c>
      <c r="S57" s="63" t="str">
        <f>IFERROR(VLOOKUP(MID(N57,Q57,R57-Q57),[5]skilldef!$C:$D,2,FALSE),"-") &amp; " / " &amp; IFERROR(VLOOKUP(MID(N57,O57,P57-O57),[5]skilldef!$A:$B,2,FALSE),"-")</f>
        <v>自分自身に / ステータス強化</v>
      </c>
      <c r="T57" s="48" t="str">
        <f t="shared" si="28"/>
        <v>[effect:crash_growth,count:-1, val:6, animation:change_block]</v>
      </c>
      <c r="U57" s="63">
        <f t="shared" si="29"/>
        <v>9</v>
      </c>
      <c r="V57" s="63">
        <f t="shared" si="30"/>
        <v>21</v>
      </c>
      <c r="W57" s="63" t="e">
        <f t="shared" si="31"/>
        <v>#VALUE!</v>
      </c>
      <c r="X57" s="63">
        <f t="shared" si="32"/>
        <v>30</v>
      </c>
      <c r="Y57" s="63" t="str">
        <f>IFERROR(VLOOKUP(MID(T57,W57,X57-W57),[5]skilldef!$C:$D,2,FALSE),"-") &amp; " / " &amp; IFERROR(VLOOKUP(MID(T57,U57,V57-U57),[5]skilldef!$A:$B,2,FALSE),"-")</f>
        <v>- / -</v>
      </c>
      <c r="Z57" s="50"/>
      <c r="AA57" s="52"/>
      <c r="AB57" s="50"/>
    </row>
    <row r="58" spans="1:28" ht="21" customHeight="1" x14ac:dyDescent="0.15">
      <c r="A58" s="47">
        <v>50010059</v>
      </c>
      <c r="B58" s="47" t="s">
        <v>348</v>
      </c>
      <c r="C58" s="50">
        <v>3</v>
      </c>
      <c r="D58" s="50" t="s">
        <v>125</v>
      </c>
      <c r="E58" s="51" t="s">
        <v>345</v>
      </c>
      <c r="F58" s="51" t="s">
        <v>270</v>
      </c>
      <c r="G58" s="63" t="str">
        <f t="shared" si="17"/>
        <v>[effect:rush, count:12, val:0.1]</v>
      </c>
      <c r="H58" s="63">
        <f t="shared" si="18"/>
        <v>9</v>
      </c>
      <c r="I58" s="63">
        <f t="shared" si="19"/>
        <v>13</v>
      </c>
      <c r="J58" s="63" t="e">
        <f t="shared" si="20"/>
        <v>#VALUE!</v>
      </c>
      <c r="K58" s="63">
        <f t="shared" si="21"/>
        <v>23</v>
      </c>
      <c r="L58" s="63" t="str">
        <f>IFERROR(VLOOKUP(MID(G58,J58,K58-J58),[5]skilldef!$C:$D,2,FALSE),"-") &amp; " / " &amp; IFERROR(VLOOKUP(MID(G58,H58,I58-H58),[5]skilldef!$A:$B,2,FALSE),"-")</f>
        <v>- / 連続攻撃</v>
      </c>
      <c r="M58" s="63" t="str">
        <f t="shared" si="22"/>
        <v>none</v>
      </c>
      <c r="N58" s="48" t="str">
        <f t="shared" si="33"/>
        <v>none</v>
      </c>
      <c r="O58" s="63" t="e">
        <f t="shared" si="24"/>
        <v>#VALUE!</v>
      </c>
      <c r="P58" s="63">
        <f t="shared" si="25"/>
        <v>4</v>
      </c>
      <c r="Q58" s="63" t="e">
        <f t="shared" si="26"/>
        <v>#VALUE!</v>
      </c>
      <c r="R58" s="63" t="e">
        <f t="shared" si="27"/>
        <v>#VALUE!</v>
      </c>
      <c r="S58" s="63" t="str">
        <f>IFERROR(VLOOKUP(MID(N58,Q58,R58-Q58),[5]skilldef!$C:$D,2,FALSE),"-") &amp; " / " &amp; IFERROR(VLOOKUP(MID(N58,O58,P58-O58),[5]skilldef!$A:$B,2,FALSE),"-")</f>
        <v>- / -</v>
      </c>
      <c r="T58" s="48" t="str">
        <f t="shared" si="28"/>
        <v>none</v>
      </c>
      <c r="U58" s="63" t="e">
        <f t="shared" si="29"/>
        <v>#VALUE!</v>
      </c>
      <c r="V58" s="63">
        <f t="shared" si="30"/>
        <v>4</v>
      </c>
      <c r="W58" s="63" t="e">
        <f t="shared" si="31"/>
        <v>#VALUE!</v>
      </c>
      <c r="X58" s="63" t="e">
        <f t="shared" si="32"/>
        <v>#VALUE!</v>
      </c>
      <c r="Y58" s="63" t="str">
        <f>IFERROR(VLOOKUP(MID(T58,W58,X58-W58),[5]skilldef!$C:$D,2,FALSE),"-") &amp; " / " &amp; IFERROR(VLOOKUP(MID(T58,U58,V58-U58),[5]skilldef!$A:$B,2,FALSE),"-")</f>
        <v>- / -</v>
      </c>
      <c r="Z58" s="50"/>
      <c r="AA58" s="52"/>
      <c r="AB58" s="50"/>
    </row>
    <row r="59" spans="1:28" ht="21" customHeight="1" x14ac:dyDescent="0.15">
      <c r="A59" s="47">
        <v>50010060</v>
      </c>
      <c r="B59" s="47" t="s">
        <v>349</v>
      </c>
      <c r="C59" s="50">
        <v>3</v>
      </c>
      <c r="D59" s="50" t="s">
        <v>125</v>
      </c>
      <c r="E59" s="51" t="s">
        <v>402</v>
      </c>
      <c r="F59" s="51" t="s">
        <v>271</v>
      </c>
      <c r="G59" s="63" t="str">
        <f t="shared" si="17"/>
        <v>[effect:rush, count:18, val:0.1]</v>
      </c>
      <c r="H59" s="63">
        <f t="shared" si="18"/>
        <v>9</v>
      </c>
      <c r="I59" s="63">
        <f t="shared" si="19"/>
        <v>13</v>
      </c>
      <c r="J59" s="63" t="e">
        <f t="shared" si="20"/>
        <v>#VALUE!</v>
      </c>
      <c r="K59" s="63">
        <f t="shared" si="21"/>
        <v>23</v>
      </c>
      <c r="L59" s="63" t="str">
        <f>IFERROR(VLOOKUP(MID(G59,J59,K59-J59),[5]skilldef!$C:$D,2,FALSE),"-") &amp; " / " &amp; IFERROR(VLOOKUP(MID(G59,H59,I59-H59),[5]skilldef!$A:$B,2,FALSE),"-")</f>
        <v>- / 連続攻撃</v>
      </c>
      <c r="M59" s="63" t="str">
        <f t="shared" si="22"/>
        <v>none</v>
      </c>
      <c r="N59" s="48" t="str">
        <f t="shared" si="33"/>
        <v>none</v>
      </c>
      <c r="O59" s="63" t="e">
        <f t="shared" si="24"/>
        <v>#VALUE!</v>
      </c>
      <c r="P59" s="63">
        <f t="shared" si="25"/>
        <v>4</v>
      </c>
      <c r="Q59" s="63" t="e">
        <f t="shared" si="26"/>
        <v>#VALUE!</v>
      </c>
      <c r="R59" s="63" t="e">
        <f t="shared" si="27"/>
        <v>#VALUE!</v>
      </c>
      <c r="S59" s="63" t="str">
        <f>IFERROR(VLOOKUP(MID(N59,Q59,R59-Q59),[5]skilldef!$C:$D,2,FALSE),"-") &amp; " / " &amp; IFERROR(VLOOKUP(MID(N59,O59,P59-O59),[5]skilldef!$A:$B,2,FALSE),"-")</f>
        <v>- / -</v>
      </c>
      <c r="T59" s="48" t="str">
        <f t="shared" si="28"/>
        <v>none</v>
      </c>
      <c r="U59" s="63" t="e">
        <f t="shared" si="29"/>
        <v>#VALUE!</v>
      </c>
      <c r="V59" s="63">
        <f t="shared" si="30"/>
        <v>4</v>
      </c>
      <c r="W59" s="63" t="e">
        <f t="shared" si="31"/>
        <v>#VALUE!</v>
      </c>
      <c r="X59" s="63" t="e">
        <f t="shared" si="32"/>
        <v>#VALUE!</v>
      </c>
      <c r="Y59" s="63" t="str">
        <f>IFERROR(VLOOKUP(MID(T59,W59,X59-W59),[5]skilldef!$C:$D,2,FALSE),"-") &amp; " / " &amp; IFERROR(VLOOKUP(MID(T59,U59,V59-U59),[5]skilldef!$A:$B,2,FALSE),"-")</f>
        <v>- / -</v>
      </c>
      <c r="Z59" s="50"/>
      <c r="AA59" s="52"/>
      <c r="AB59" s="50"/>
    </row>
    <row r="60" spans="1:28" ht="21" customHeight="1" x14ac:dyDescent="0.15">
      <c r="A60" s="47">
        <v>50010061</v>
      </c>
      <c r="B60" s="47" t="s">
        <v>353</v>
      </c>
      <c r="C60" s="50">
        <v>3</v>
      </c>
      <c r="D60" s="50" t="s">
        <v>125</v>
      </c>
      <c r="E60" s="51" t="s">
        <v>403</v>
      </c>
      <c r="F60" s="51" t="s">
        <v>373</v>
      </c>
      <c r="G60" s="63" t="str">
        <f t="shared" si="17"/>
        <v>[effect:rush, count:24, val:1.0]</v>
      </c>
      <c r="H60" s="63">
        <f t="shared" si="18"/>
        <v>9</v>
      </c>
      <c r="I60" s="63">
        <f t="shared" si="19"/>
        <v>13</v>
      </c>
      <c r="J60" s="63" t="e">
        <f t="shared" si="20"/>
        <v>#VALUE!</v>
      </c>
      <c r="K60" s="63">
        <f t="shared" si="21"/>
        <v>23</v>
      </c>
      <c r="L60" s="63" t="str">
        <f>IFERROR(VLOOKUP(MID(G60,J60,K60-J60),[5]skilldef!$C:$D,2,FALSE),"-") &amp; " / " &amp; IFERROR(VLOOKUP(MID(G60,H60,I60-H60),[5]skilldef!$A:$B,2,FALSE),"-")</f>
        <v>- / 連続攻撃</v>
      </c>
      <c r="M60" s="63" t="str">
        <f t="shared" si="22"/>
        <v>none</v>
      </c>
      <c r="N60" s="48" t="str">
        <f t="shared" si="33"/>
        <v>none</v>
      </c>
      <c r="O60" s="63" t="e">
        <f t="shared" si="24"/>
        <v>#VALUE!</v>
      </c>
      <c r="P60" s="63">
        <f t="shared" si="25"/>
        <v>4</v>
      </c>
      <c r="Q60" s="63" t="e">
        <f t="shared" si="26"/>
        <v>#VALUE!</v>
      </c>
      <c r="R60" s="63" t="e">
        <f t="shared" si="27"/>
        <v>#VALUE!</v>
      </c>
      <c r="S60" s="63" t="str">
        <f>IFERROR(VLOOKUP(MID(N60,Q60,R60-Q60),[5]skilldef!$C:$D,2,FALSE),"-") &amp; " / " &amp; IFERROR(VLOOKUP(MID(N60,O60,P60-O60),[5]skilldef!$A:$B,2,FALSE),"-")</f>
        <v>- / -</v>
      </c>
      <c r="T60" s="48" t="str">
        <f t="shared" si="28"/>
        <v>none</v>
      </c>
      <c r="U60" s="63" t="e">
        <f t="shared" si="29"/>
        <v>#VALUE!</v>
      </c>
      <c r="V60" s="63">
        <f t="shared" si="30"/>
        <v>4</v>
      </c>
      <c r="W60" s="63" t="e">
        <f t="shared" si="31"/>
        <v>#VALUE!</v>
      </c>
      <c r="X60" s="63" t="e">
        <f t="shared" si="32"/>
        <v>#VALUE!</v>
      </c>
      <c r="Y60" s="63" t="str">
        <f>IFERROR(VLOOKUP(MID(T60,W60,X60-W60),[5]skilldef!$C:$D,2,FALSE),"-") &amp; " / " &amp; IFERROR(VLOOKUP(MID(T60,U60,V60-U60),[5]skilldef!$A:$B,2,FALSE),"-")</f>
        <v>- / -</v>
      </c>
      <c r="Z60" s="50"/>
      <c r="AA60" s="52"/>
      <c r="AB60" s="50"/>
    </row>
    <row r="61" spans="1:28" ht="21" customHeight="1" x14ac:dyDescent="0.15">
      <c r="A61" s="114">
        <v>50010062</v>
      </c>
      <c r="B61" s="47" t="s">
        <v>286</v>
      </c>
      <c r="C61" s="50">
        <v>3</v>
      </c>
      <c r="D61" s="50" t="s">
        <v>125</v>
      </c>
      <c r="E61" s="51" t="s">
        <v>302</v>
      </c>
      <c r="F61" s="51" t="s">
        <v>320</v>
      </c>
      <c r="G61" s="63" t="str">
        <f t="shared" si="17"/>
        <v>[effect:fix_speed, target:enemy_red, turn:2]</v>
      </c>
      <c r="H61" s="63">
        <f t="shared" si="18"/>
        <v>9</v>
      </c>
      <c r="I61" s="63">
        <f t="shared" si="19"/>
        <v>18</v>
      </c>
      <c r="J61" s="63">
        <f t="shared" si="20"/>
        <v>27</v>
      </c>
      <c r="K61" s="63">
        <f t="shared" si="21"/>
        <v>36</v>
      </c>
      <c r="L61" s="63" t="str">
        <f>IFERROR(VLOOKUP(MID(G61,J61,K61-J61),[5]skilldef!$C:$D,2,FALSE),"-") &amp; " / " &amp; IFERROR(VLOOKUP(MID(G61,H61,I61-H61),[5]skilldef!$A:$B,2,FALSE),"-")</f>
        <v>赤の敵に / 行動値設定</v>
      </c>
      <c r="M61" s="63" t="str">
        <f t="shared" si="22"/>
        <v>[effect:fix_speed, target:enemy_blue, turn:1],[effect:fix_speed, target:enemy_yellow, turn:3]</v>
      </c>
      <c r="N61" s="48" t="str">
        <f t="shared" si="33"/>
        <v>[effect:fix_speed, target:enemy_blue, turn:1],[effect:fix_speed, target:enemy_yellow, turn:3]</v>
      </c>
      <c r="O61" s="63">
        <f t="shared" si="24"/>
        <v>9</v>
      </c>
      <c r="P61" s="63">
        <f t="shared" si="25"/>
        <v>18</v>
      </c>
      <c r="Q61" s="63">
        <f t="shared" si="26"/>
        <v>27</v>
      </c>
      <c r="R61" s="63">
        <f t="shared" si="27"/>
        <v>37</v>
      </c>
      <c r="S61" s="63" t="str">
        <f>IFERROR(VLOOKUP(MID(N61,Q61,R61-Q61),[5]skilldef!$C:$D,2,FALSE),"-") &amp; " / " &amp; IFERROR(VLOOKUP(MID(N61,O61,P61-O61),[5]skilldef!$A:$B,2,FALSE),"-")</f>
        <v>青の敵に / 行動値設定</v>
      </c>
      <c r="T61" s="48" t="str">
        <f t="shared" si="28"/>
        <v>[effect:fix_speed, target:enemy_yellow, turn:3]</v>
      </c>
      <c r="U61" s="63">
        <f t="shared" si="29"/>
        <v>9</v>
      </c>
      <c r="V61" s="63">
        <f t="shared" si="30"/>
        <v>18</v>
      </c>
      <c r="W61" s="63">
        <f t="shared" si="31"/>
        <v>27</v>
      </c>
      <c r="X61" s="63">
        <f t="shared" si="32"/>
        <v>39</v>
      </c>
      <c r="Y61" s="63" t="str">
        <f>IFERROR(VLOOKUP(MID(T61,W61,X61-W61),[5]skilldef!$C:$D,2,FALSE),"-") &amp; " / " &amp; IFERROR(VLOOKUP(MID(T61,U61,V61-U61),[5]skilldef!$A:$B,2,FALSE),"-")</f>
        <v>黄の敵に / 行動値設定</v>
      </c>
      <c r="Z61" s="50"/>
      <c r="AA61" s="52"/>
      <c r="AB61" s="50"/>
    </row>
    <row r="62" spans="1:28" ht="21" customHeight="1" x14ac:dyDescent="0.15">
      <c r="A62" s="114">
        <v>50010063</v>
      </c>
      <c r="B62" s="47" t="s">
        <v>422</v>
      </c>
      <c r="C62" s="50">
        <v>3</v>
      </c>
      <c r="D62" s="50" t="s">
        <v>125</v>
      </c>
      <c r="E62" s="51" t="s">
        <v>321</v>
      </c>
      <c r="F62" s="51" t="s">
        <v>327</v>
      </c>
      <c r="G62" s="63" t="str">
        <f t="shared" si="17"/>
        <v>[effect:enemy_message, val1:1, val2:2.6]</v>
      </c>
      <c r="H62" s="63">
        <f t="shared" si="18"/>
        <v>9</v>
      </c>
      <c r="I62" s="63">
        <f t="shared" si="19"/>
        <v>22</v>
      </c>
      <c r="J62" s="63" t="e">
        <f t="shared" si="20"/>
        <v>#VALUE!</v>
      </c>
      <c r="K62" s="63">
        <f t="shared" si="21"/>
        <v>30</v>
      </c>
      <c r="L62" s="63" t="str">
        <f>IFERROR(VLOOKUP(MID(G62,J62,K62-J62),[5]skilldef!$C:$D,2,FALSE),"-") &amp; " / " &amp; IFERROR(VLOOKUP(MID(G62,H62,I62-H62),[5]skilldef!$A:$B,2,FALSE),"-")</f>
        <v>- / -</v>
      </c>
      <c r="M62" s="63" t="str">
        <f t="shared" si="22"/>
        <v xml:space="preserve">[effect:drop_block, block_type:crash, color:block_all, val:12, rate:0.02, turn:-1, animation:crash_influence04],[effect:suicide, target:myself, val:1, dead_type:escape]    </v>
      </c>
      <c r="N62" s="48" t="str">
        <f t="shared" si="33"/>
        <v xml:space="preserve">[effect:drop_block, block_type:crash, color:block_all, val:12, rate:0.02, turn:-1, animation:crash_influence04],[effect:suicide, target:myself, val:1, dead_type:escape]    </v>
      </c>
      <c r="O62" s="63">
        <f t="shared" si="24"/>
        <v>9</v>
      </c>
      <c r="P62" s="63">
        <f t="shared" si="25"/>
        <v>19</v>
      </c>
      <c r="Q62" s="63">
        <f t="shared" si="26"/>
        <v>137</v>
      </c>
      <c r="R62" s="63">
        <f t="shared" si="27"/>
        <v>37</v>
      </c>
      <c r="S62" s="63" t="str">
        <f>IFERROR(VLOOKUP(MID(N62,Q62,R62-Q62),[5]skilldef!$C:$D,2,FALSE),"-") &amp; " / " &amp; IFERROR(VLOOKUP(MID(N62,O62,P62-O62),[5]skilldef!$A:$B,2,FALSE),"-")</f>
        <v>- / 特定ブロックの割合ドロップ</v>
      </c>
      <c r="T62" s="48" t="str">
        <f t="shared" si="28"/>
        <v xml:space="preserve">[effect:suicide, target:myself, val:1, dead_type:escape]    </v>
      </c>
      <c r="U62" s="63">
        <f t="shared" si="29"/>
        <v>9</v>
      </c>
      <c r="V62" s="63">
        <f t="shared" si="30"/>
        <v>16</v>
      </c>
      <c r="W62" s="63">
        <f t="shared" si="31"/>
        <v>25</v>
      </c>
      <c r="X62" s="63">
        <f t="shared" si="32"/>
        <v>31</v>
      </c>
      <c r="Y62" s="63" t="str">
        <f>IFERROR(VLOOKUP(MID(T62,W62,X62-W62),[5]skilldef!$C:$D,2,FALSE),"-") &amp; " / " &amp; IFERROR(VLOOKUP(MID(T62,U62,V62-U62),[5]skilldef!$A:$B,2,FALSE),"-")</f>
        <v>自分自身に / -</v>
      </c>
      <c r="Z62" s="50"/>
      <c r="AA62" s="52"/>
      <c r="AB62" s="50"/>
    </row>
    <row r="63" spans="1:28" ht="21" customHeight="1" x14ac:dyDescent="0.15">
      <c r="A63" s="113">
        <v>50010064</v>
      </c>
      <c r="B63" s="47" t="s">
        <v>421</v>
      </c>
      <c r="C63" s="50">
        <v>3</v>
      </c>
      <c r="D63" s="50" t="s">
        <v>125</v>
      </c>
      <c r="E63" s="51" t="s">
        <v>408</v>
      </c>
      <c r="F63" s="51" t="s">
        <v>471</v>
      </c>
      <c r="G63" s="63" t="str">
        <f t="shared" ref="G63" si="34">IFERROR(LEFT(B63,FIND("],",B63)),B63)</f>
        <v>[effect:enemy_message, val1:2.4, val2:1.8]</v>
      </c>
      <c r="H63" s="63">
        <f t="shared" ref="H63" si="35">FIND("effect:",G63)+7</f>
        <v>9</v>
      </c>
      <c r="I63" s="63">
        <f t="shared" ref="I63" si="36">IFERROR(FIND(",",G63),LEN(G63))</f>
        <v>22</v>
      </c>
      <c r="J63" s="63" t="e">
        <f t="shared" ref="J63" si="37">FIND("target:",G63)+7</f>
        <v>#VALUE!</v>
      </c>
      <c r="K63" s="63">
        <f t="shared" ref="K63" si="38">FIND(",",G63,I63+1)</f>
        <v>32</v>
      </c>
      <c r="L63" s="63" t="str">
        <f>IFERROR(VLOOKUP(MID(G63,J63,K63-J63),[5]skilldef!$C:$D,2,FALSE),"-") &amp; " / " &amp; IFERROR(VLOOKUP(MID(G63,H63,I63-H63),[5]skilldef!$A:$B,2,FALSE),"-")</f>
        <v>- / -</v>
      </c>
      <c r="M63" s="63" t="str">
        <f t="shared" ref="M63" si="39">IFERROR(RIGHT(B63,LEN(B63)-FIND("],",B63)-1),"none")</f>
        <v>[effect:fix_speed, target:myself, turn:1],[effect:tolerance, target:myself, turn:-1, tolerance_effect:all, count:-1, animation:enemy_tolerance],[effect:enemy_counter, target:myself, invoke_condition:unit_all, counter_target:attacker, turn:3, val:0.2, animation:enemy_counter]</v>
      </c>
      <c r="N63" s="48" t="str">
        <f t="shared" ref="N63" si="40">IFERROR(LEFT(M63,FIND("],",M63)+S74),M63)</f>
        <v>[effect:fix_speed, target:myself, turn:1],[effect:tolerance, target:myself, turn:-1, tolerance_effect:all, count:-1, animation:enemy_tolerance],[effect:enemy_counter, target:myself, invoke_condition:unit_all, counter_target:attacker, turn:3, val:0.2, animation:enemy_counter]</v>
      </c>
      <c r="O63" s="63">
        <f t="shared" ref="O63" si="41">FIND("effect:",N63)+7</f>
        <v>9</v>
      </c>
      <c r="P63" s="63">
        <f t="shared" ref="P63" si="42">IFERROR(FIND(",",N63),LEN(N63))</f>
        <v>18</v>
      </c>
      <c r="Q63" s="63">
        <f t="shared" ref="Q63" si="43">FIND("target:",N63)+7</f>
        <v>27</v>
      </c>
      <c r="R63" s="63">
        <f t="shared" ref="R63" si="44">FIND(",",N63,P63+1)</f>
        <v>33</v>
      </c>
      <c r="S63" s="63" t="str">
        <f>IFERROR(VLOOKUP(MID(N63,Q63,R63-Q63),[5]skilldef!$C:$D,2,FALSE),"-") &amp; " / " &amp; IFERROR(VLOOKUP(MID(N63,O63,P63-O63),[5]skilldef!$A:$B,2,FALSE),"-")</f>
        <v>自分自身に / 行動値設定</v>
      </c>
      <c r="T63" s="48" t="str">
        <f t="shared" ref="T63" si="45">IFERROR(RIGHT(M63,LEN(M63)-FIND("],",M63)-1),"none")</f>
        <v>[effect:tolerance, target:myself, turn:-1, tolerance_effect:all, count:-1, animation:enemy_tolerance],[effect:enemy_counter, target:myself, invoke_condition:unit_all, counter_target:attacker, turn:3, val:0.2, animation:enemy_counter]</v>
      </c>
      <c r="U63" s="63">
        <f t="shared" ref="U63" si="46">FIND("effect:",T63)+7</f>
        <v>9</v>
      </c>
      <c r="V63" s="63">
        <f t="shared" ref="V63" si="47">IFERROR(FIND(",",T63),LEN(T63))</f>
        <v>18</v>
      </c>
      <c r="W63" s="63">
        <f t="shared" ref="W63" si="48">FIND("target:",T63)+7</f>
        <v>27</v>
      </c>
      <c r="X63" s="63">
        <f t="shared" ref="X63" si="49">FIND(",",T63,V63+1)</f>
        <v>33</v>
      </c>
      <c r="Y63" s="63" t="str">
        <f>IFERROR(VLOOKUP(MID(T63,W63,X63-W63),[5]skilldef!$C:$D,2,FALSE),"-") &amp; " / " &amp; IFERROR(VLOOKUP(MID(T63,U63,V63-U63),[5]skilldef!$A:$B,2,FALSE),"-")</f>
        <v>自分自身に / 状態異常耐性</v>
      </c>
      <c r="Z63" s="50"/>
      <c r="AA63" s="52"/>
      <c r="AB63" s="50"/>
    </row>
    <row r="64" spans="1:28" ht="21" customHeight="1" x14ac:dyDescent="0.15">
      <c r="A64" s="113">
        <v>50010065</v>
      </c>
      <c r="B64" s="47" t="s">
        <v>421</v>
      </c>
      <c r="C64" s="50">
        <v>3</v>
      </c>
      <c r="D64" s="50" t="s">
        <v>125</v>
      </c>
      <c r="E64" s="51" t="s">
        <v>408</v>
      </c>
      <c r="F64" s="51" t="s">
        <v>471</v>
      </c>
      <c r="G64" s="63" t="str">
        <f t="shared" ref="G64" si="50">IFERROR(LEFT(B64,FIND("],",B64)),B64)</f>
        <v>[effect:enemy_message, val1:2.4, val2:1.8]</v>
      </c>
      <c r="H64" s="63">
        <f t="shared" ref="H64" si="51">FIND("effect:",G64)+7</f>
        <v>9</v>
      </c>
      <c r="I64" s="63">
        <f t="shared" ref="I64" si="52">IFERROR(FIND(",",G64),LEN(G64))</f>
        <v>22</v>
      </c>
      <c r="J64" s="63" t="e">
        <f t="shared" ref="J64" si="53">FIND("target:",G64)+7</f>
        <v>#VALUE!</v>
      </c>
      <c r="K64" s="63">
        <f t="shared" ref="K64" si="54">FIND(",",G64,I64+1)</f>
        <v>32</v>
      </c>
      <c r="L64" s="63" t="str">
        <f>IFERROR(VLOOKUP(MID(G64,J64,K64-J64),[5]skilldef!$C:$D,2,FALSE),"-") &amp; " / " &amp; IFERROR(VLOOKUP(MID(G64,H64,I64-H64),[5]skilldef!$A:$B,2,FALSE),"-")</f>
        <v>- / -</v>
      </c>
      <c r="M64" s="63" t="str">
        <f t="shared" ref="M64" si="55">IFERROR(RIGHT(B64,LEN(B64)-FIND("],",B64)-1),"none")</f>
        <v>[effect:fix_speed, target:myself, turn:1],[effect:tolerance, target:myself, turn:-1, tolerance_effect:all, count:-1, animation:enemy_tolerance],[effect:enemy_counter, target:myself, invoke_condition:unit_all, counter_target:attacker, turn:3, val:0.2, animation:enemy_counter]</v>
      </c>
      <c r="N64" s="48" t="str">
        <f t="shared" ref="N64" si="56">IFERROR(LEFT(M64,FIND("],",M64)+S75),M64)</f>
        <v>[effect:fix_speed, target:myself, turn:1],[effect:tolerance, target:myself, turn:-1, tolerance_effect:all, count:-1, animation:enemy_tolerance],[effect:enemy_counter, target:myself, invoke_condition:unit_all, counter_target:attacker, turn:3, val:0.2, animation:enemy_counter]</v>
      </c>
      <c r="O64" s="63">
        <f t="shared" ref="O64" si="57">FIND("effect:",N64)+7</f>
        <v>9</v>
      </c>
      <c r="P64" s="63">
        <f t="shared" ref="P64" si="58">IFERROR(FIND(",",N64),LEN(N64))</f>
        <v>18</v>
      </c>
      <c r="Q64" s="63">
        <f t="shared" ref="Q64" si="59">FIND("target:",N64)+7</f>
        <v>27</v>
      </c>
      <c r="R64" s="63">
        <f t="shared" ref="R64" si="60">FIND(",",N64,P64+1)</f>
        <v>33</v>
      </c>
      <c r="S64" s="63" t="str">
        <f>IFERROR(VLOOKUP(MID(N64,Q64,R64-Q64),[5]skilldef!$C:$D,2,FALSE),"-") &amp; " / " &amp; IFERROR(VLOOKUP(MID(N64,O64,P64-O64),[5]skilldef!$A:$B,2,FALSE),"-")</f>
        <v>自分自身に / 行動値設定</v>
      </c>
      <c r="T64" s="48" t="str">
        <f t="shared" ref="T64" si="61">IFERROR(RIGHT(M64,LEN(M64)-FIND("],",M64)-1),"none")</f>
        <v>[effect:tolerance, target:myself, turn:-1, tolerance_effect:all, count:-1, animation:enemy_tolerance],[effect:enemy_counter, target:myself, invoke_condition:unit_all, counter_target:attacker, turn:3, val:0.2, animation:enemy_counter]</v>
      </c>
      <c r="U64" s="63">
        <f t="shared" ref="U64" si="62">FIND("effect:",T64)+7</f>
        <v>9</v>
      </c>
      <c r="V64" s="63">
        <f t="shared" ref="V64" si="63">IFERROR(FIND(",",T64),LEN(T64))</f>
        <v>18</v>
      </c>
      <c r="W64" s="63">
        <f t="shared" ref="W64" si="64">FIND("target:",T64)+7</f>
        <v>27</v>
      </c>
      <c r="X64" s="63">
        <f t="shared" ref="X64" si="65">FIND(",",T64,V64+1)</f>
        <v>33</v>
      </c>
      <c r="Y64" s="63" t="str">
        <f>IFERROR(VLOOKUP(MID(T64,W64,X64-W64),[5]skilldef!$C:$D,2,FALSE),"-") &amp; " / " &amp; IFERROR(VLOOKUP(MID(T64,U64,V64-U64),[5]skilldef!$A:$B,2,FALSE),"-")</f>
        <v>自分自身に / 状態異常耐性</v>
      </c>
      <c r="Z64" s="50"/>
      <c r="AA64" s="52"/>
      <c r="AB64" s="50"/>
    </row>
    <row r="65" spans="1:28" ht="21" customHeight="1" x14ac:dyDescent="0.15">
      <c r="A65" s="113">
        <v>50010066</v>
      </c>
      <c r="B65" s="47" t="s">
        <v>438</v>
      </c>
      <c r="C65" s="50">
        <v>3</v>
      </c>
      <c r="D65" s="50" t="s">
        <v>125</v>
      </c>
      <c r="E65" s="51" t="s">
        <v>409</v>
      </c>
      <c r="F65" s="51" t="s">
        <v>410</v>
      </c>
      <c r="G65" s="63" t="str">
        <f t="shared" ref="G65" si="66">IFERROR(LEFT(B65,FIND("],",B65)),B65)</f>
        <v>[effect:enemy_message, val1:1, val2:2.6]</v>
      </c>
      <c r="H65" s="63">
        <f t="shared" ref="H65" si="67">FIND("effect:",G65)+7</f>
        <v>9</v>
      </c>
      <c r="I65" s="63">
        <f t="shared" ref="I65" si="68">IFERROR(FIND(",",G65),LEN(G65))</f>
        <v>22</v>
      </c>
      <c r="J65" s="63" t="e">
        <f t="shared" ref="J65" si="69">FIND("target:",G65)+7</f>
        <v>#VALUE!</v>
      </c>
      <c r="K65" s="63">
        <f t="shared" ref="K65" si="70">FIND(",",G65,I65+1)</f>
        <v>30</v>
      </c>
      <c r="L65" s="63" t="str">
        <f>IFERROR(VLOOKUP(MID(G65,J65,K65-J65),[5]skilldef!$C:$D,2,FALSE),"-") &amp; " / " &amp; IFERROR(VLOOKUP(MID(G65,H65,I65-H65),[5]skilldef!$A:$B,2,FALSE),"-")</f>
        <v>- / -</v>
      </c>
      <c r="M65" s="63" t="str">
        <f t="shared" ref="M65" si="71">IFERROR(RIGHT(B65,LEN(B65)-FIND("],",B65)-1),"none")</f>
        <v>[effect:fix_speed, target:myself, turn:1],[effect:tolerance, target:myself, turn:-1, tolerance_effect:all, count:-1, animation:enemy_tolerance],[effect:dis_panel, target:block_blue, turn:5, animation:enemy_dis_blue],[effect:change_panel_ratio, turn:7, block_type:blue, val:0.4, animation:block_incidence04]</v>
      </c>
      <c r="N65" s="48" t="str">
        <f t="shared" ref="N65" si="72">IFERROR(LEFT(M65,FIND("],",M65)+S75),M65)</f>
        <v>[effect:fix_speed, target:myself, turn:1],[effect:tolerance, target:myself, turn:-1, tolerance_effect:all, count:-1, animation:enemy_tolerance],[effect:dis_panel, target:block_blue, turn:5, animation:enemy_dis_blue],[effect:change_panel_ratio, turn:7, block_type:blue, val:0.4, animation:block_incidence04]</v>
      </c>
      <c r="O65" s="63">
        <f t="shared" ref="O65" si="73">FIND("effect:",N65)+7</f>
        <v>9</v>
      </c>
      <c r="P65" s="63">
        <f t="shared" ref="P65" si="74">IFERROR(FIND(",",N65),LEN(N65))</f>
        <v>18</v>
      </c>
      <c r="Q65" s="63">
        <f t="shared" ref="Q65" si="75">FIND("target:",N65)+7</f>
        <v>27</v>
      </c>
      <c r="R65" s="63">
        <f t="shared" ref="R65" si="76">FIND(",",N65,P65+1)</f>
        <v>33</v>
      </c>
      <c r="S65" s="63" t="str">
        <f>IFERROR(VLOOKUP(MID(N65,Q65,R65-Q65),[5]skilldef!$C:$D,2,FALSE),"-") &amp; " / " &amp; IFERROR(VLOOKUP(MID(N65,O65,P65-O65),[5]skilldef!$A:$B,2,FALSE),"-")</f>
        <v>自分自身に / 行動値設定</v>
      </c>
      <c r="T65" s="48" t="str">
        <f t="shared" ref="T65" si="77">IFERROR(RIGHT(M65,LEN(M65)-FIND("],",M65)-1),"none")</f>
        <v>[effect:tolerance, target:myself, turn:-1, tolerance_effect:all, count:-1, animation:enemy_tolerance],[effect:dis_panel, target:block_blue, turn:5, animation:enemy_dis_blue],[effect:change_panel_ratio, turn:7, block_type:blue, val:0.4, animation:block_incidence04]</v>
      </c>
      <c r="U65" s="63">
        <f t="shared" ref="U65" si="78">FIND("effect:",T65)+7</f>
        <v>9</v>
      </c>
      <c r="V65" s="63">
        <f t="shared" ref="V65" si="79">IFERROR(FIND(",",T65),LEN(T65))</f>
        <v>18</v>
      </c>
      <c r="W65" s="63">
        <f t="shared" ref="W65" si="80">FIND("target:",T65)+7</f>
        <v>27</v>
      </c>
      <c r="X65" s="63">
        <f t="shared" ref="X65" si="81">FIND(",",T65,V65+1)</f>
        <v>33</v>
      </c>
      <c r="Y65" s="63" t="str">
        <f>IFERROR(VLOOKUP(MID(T65,W65,X65-W65),[5]skilldef!$C:$D,2,FALSE),"-") &amp; " / " &amp; IFERROR(VLOOKUP(MID(T65,U65,V65-U65),[5]skilldef!$A:$B,2,FALSE),"-")</f>
        <v>自分自身に / 状態異常耐性</v>
      </c>
      <c r="Z65" s="50"/>
      <c r="AA65" s="52"/>
      <c r="AB65" s="50"/>
    </row>
    <row r="66" spans="1:28" ht="21" customHeight="1" x14ac:dyDescent="0.15">
      <c r="A66" s="113">
        <v>50010067</v>
      </c>
      <c r="B66" s="47" t="s">
        <v>438</v>
      </c>
      <c r="C66" s="50">
        <v>3</v>
      </c>
      <c r="D66" s="50" t="s">
        <v>125</v>
      </c>
      <c r="E66" s="51" t="s">
        <v>409</v>
      </c>
      <c r="F66" s="51" t="s">
        <v>410</v>
      </c>
      <c r="G66" s="63" t="str">
        <f t="shared" ref="G66:G67" si="82">IFERROR(LEFT(B66,FIND("],",B66)),B66)</f>
        <v>[effect:enemy_message, val1:1, val2:2.6]</v>
      </c>
      <c r="H66" s="63">
        <f t="shared" ref="H66:H67" si="83">FIND("effect:",G66)+7</f>
        <v>9</v>
      </c>
      <c r="I66" s="63">
        <f t="shared" ref="I66:I67" si="84">IFERROR(FIND(",",G66),LEN(G66))</f>
        <v>22</v>
      </c>
      <c r="J66" s="63" t="e">
        <f t="shared" ref="J66:J67" si="85">FIND("target:",G66)+7</f>
        <v>#VALUE!</v>
      </c>
      <c r="K66" s="63">
        <f t="shared" ref="K66:K67" si="86">FIND(",",G66,I66+1)</f>
        <v>30</v>
      </c>
      <c r="L66" s="63" t="str">
        <f>IFERROR(VLOOKUP(MID(G66,J66,K66-J66),[5]skilldef!$C:$D,2,FALSE),"-") &amp; " / " &amp; IFERROR(VLOOKUP(MID(G66,H66,I66-H66),[5]skilldef!$A:$B,2,FALSE),"-")</f>
        <v>- / -</v>
      </c>
      <c r="M66" s="63" t="str">
        <f t="shared" ref="M66:M67" si="87">IFERROR(RIGHT(B66,LEN(B66)-FIND("],",B66)-1),"none")</f>
        <v>[effect:fix_speed, target:myself, turn:1],[effect:tolerance, target:myself, turn:-1, tolerance_effect:all, count:-1, animation:enemy_tolerance],[effect:dis_panel, target:block_blue, turn:5, animation:enemy_dis_blue],[effect:change_panel_ratio, turn:7, block_type:blue, val:0.4, animation:block_incidence04]</v>
      </c>
      <c r="N66" s="48" t="str">
        <f t="shared" ref="N66:N67" si="88">IFERROR(LEFT(M66,FIND("],",M66)+S76),M66)</f>
        <v>[effect:fix_speed, target:myself, turn:1],[effect:tolerance, target:myself, turn:-1, tolerance_effect:all, count:-1, animation:enemy_tolerance],[effect:dis_panel, target:block_blue, turn:5, animation:enemy_dis_blue],[effect:change_panel_ratio, turn:7, block_type:blue, val:0.4, animation:block_incidence04]</v>
      </c>
      <c r="O66" s="63">
        <f t="shared" ref="O66:O67" si="89">FIND("effect:",N66)+7</f>
        <v>9</v>
      </c>
      <c r="P66" s="63">
        <f t="shared" ref="P66:P67" si="90">IFERROR(FIND(",",N66),LEN(N66))</f>
        <v>18</v>
      </c>
      <c r="Q66" s="63">
        <f t="shared" ref="Q66:Q67" si="91">FIND("target:",N66)+7</f>
        <v>27</v>
      </c>
      <c r="R66" s="63">
        <f t="shared" ref="R66:R67" si="92">FIND(",",N66,P66+1)</f>
        <v>33</v>
      </c>
      <c r="S66" s="63" t="str">
        <f>IFERROR(VLOOKUP(MID(N66,Q66,R66-Q66),[5]skilldef!$C:$D,2,FALSE),"-") &amp; " / " &amp; IFERROR(VLOOKUP(MID(N66,O66,P66-O66),[5]skilldef!$A:$B,2,FALSE),"-")</f>
        <v>自分自身に / 行動値設定</v>
      </c>
      <c r="T66" s="48" t="str">
        <f t="shared" ref="T66:T67" si="93">IFERROR(RIGHT(M66,LEN(M66)-FIND("],",M66)-1),"none")</f>
        <v>[effect:tolerance, target:myself, turn:-1, tolerance_effect:all, count:-1, animation:enemy_tolerance],[effect:dis_panel, target:block_blue, turn:5, animation:enemy_dis_blue],[effect:change_panel_ratio, turn:7, block_type:blue, val:0.4, animation:block_incidence04]</v>
      </c>
      <c r="U66" s="63">
        <f t="shared" ref="U66:U67" si="94">FIND("effect:",T66)+7</f>
        <v>9</v>
      </c>
      <c r="V66" s="63">
        <f t="shared" ref="V66:V67" si="95">IFERROR(FIND(",",T66),LEN(T66))</f>
        <v>18</v>
      </c>
      <c r="W66" s="63">
        <f t="shared" ref="W66:W67" si="96">FIND("target:",T66)+7</f>
        <v>27</v>
      </c>
      <c r="X66" s="63">
        <f t="shared" ref="X66:X67" si="97">FIND(",",T66,V66+1)</f>
        <v>33</v>
      </c>
      <c r="Y66" s="63" t="str">
        <f>IFERROR(VLOOKUP(MID(T66,W66,X66-W66),[5]skilldef!$C:$D,2,FALSE),"-") &amp; " / " &amp; IFERROR(VLOOKUP(MID(T66,U66,V66-U66),[5]skilldef!$A:$B,2,FALSE),"-")</f>
        <v>自分自身に / 状態異常耐性</v>
      </c>
      <c r="Z66" s="50"/>
      <c r="AA66" s="52"/>
      <c r="AB66" s="50"/>
    </row>
    <row r="67" spans="1:28" ht="21" customHeight="1" x14ac:dyDescent="0.15">
      <c r="A67" s="113">
        <v>50010068</v>
      </c>
      <c r="B67" s="47" t="s">
        <v>451</v>
      </c>
      <c r="C67" s="50">
        <v>3</v>
      </c>
      <c r="D67" s="50" t="s">
        <v>125</v>
      </c>
      <c r="E67" s="51" t="s">
        <v>414</v>
      </c>
      <c r="F67" s="51" t="s">
        <v>411</v>
      </c>
      <c r="G67" s="63" t="str">
        <f t="shared" si="82"/>
        <v>[effect:enemy_message, val1:2, val2:2.6]</v>
      </c>
      <c r="H67" s="63">
        <f t="shared" si="83"/>
        <v>9</v>
      </c>
      <c r="I67" s="63">
        <f t="shared" si="84"/>
        <v>22</v>
      </c>
      <c r="J67" s="63" t="e">
        <f t="shared" si="85"/>
        <v>#VALUE!</v>
      </c>
      <c r="K67" s="63">
        <f t="shared" si="86"/>
        <v>30</v>
      </c>
      <c r="L67" s="63" t="str">
        <f>IFERROR(VLOOKUP(MID(G67,J67,K67-J67),[5]skilldef!$C:$D,2,FALSE),"-") &amp; " / " &amp; IFERROR(VLOOKUP(MID(G67,H67,I67-H67),[5]skilldef!$A:$B,2,FALSE),"-")</f>
        <v>- / -</v>
      </c>
      <c r="M67" s="63" t="str">
        <f t="shared" si="87"/>
        <v xml:space="preserve">[effect:fix_speed, target:myself, turn:2],[effect:tolerance, target:myself, turn:-1, tolerance_effect:all, count:-1, animation:enemy_tolerance],[effect:virus, turn:8, rate:1, val:0.24, animation:enemy_virus],[effect:reduction, target:myself, color:all, turn:-1, val:0.8, animation:reduction_one01]    </v>
      </c>
      <c r="N67" s="48" t="str">
        <f t="shared" si="88"/>
        <v xml:space="preserve">[effect:fix_speed, target:myself, turn:2],[effect:tolerance, target:myself, turn:-1, tolerance_effect:all, count:-1, animation:enemy_tolerance],[effect:virus, turn:8, rate:1, val:0.24, animation:enemy_virus],[effect:reduction, target:myself, color:all, turn:-1, val:0.8, animation:reduction_one01]    </v>
      </c>
      <c r="O67" s="63">
        <f t="shared" si="89"/>
        <v>9</v>
      </c>
      <c r="P67" s="63">
        <f t="shared" si="90"/>
        <v>18</v>
      </c>
      <c r="Q67" s="63">
        <f t="shared" si="91"/>
        <v>27</v>
      </c>
      <c r="R67" s="63">
        <f t="shared" si="92"/>
        <v>33</v>
      </c>
      <c r="S67" s="63" t="str">
        <f>IFERROR(VLOOKUP(MID(N67,Q67,R67-Q67),[5]skilldef!$C:$D,2,FALSE),"-") &amp; " / " &amp; IFERROR(VLOOKUP(MID(N67,O67,P67-O67),[5]skilldef!$A:$B,2,FALSE),"-")</f>
        <v>自分自身に / 行動値設定</v>
      </c>
      <c r="T67" s="48" t="str">
        <f t="shared" si="93"/>
        <v xml:space="preserve">[effect:tolerance, target:myself, turn:-1, tolerance_effect:all, count:-1, animation:enemy_tolerance],[effect:virus, turn:8, rate:1, val:0.24, animation:enemy_virus],[effect:reduction, target:myself, color:all, turn:-1, val:0.8, animation:reduction_one01]    </v>
      </c>
      <c r="U67" s="63">
        <f t="shared" si="94"/>
        <v>9</v>
      </c>
      <c r="V67" s="63">
        <f t="shared" si="95"/>
        <v>18</v>
      </c>
      <c r="W67" s="63">
        <f t="shared" si="96"/>
        <v>27</v>
      </c>
      <c r="X67" s="63">
        <f t="shared" si="97"/>
        <v>33</v>
      </c>
      <c r="Y67" s="63" t="str">
        <f>IFERROR(VLOOKUP(MID(T67,W67,X67-W67),[5]skilldef!$C:$D,2,FALSE),"-") &amp; " / " &amp; IFERROR(VLOOKUP(MID(T67,U67,V67-U67),[5]skilldef!$A:$B,2,FALSE),"-")</f>
        <v>自分自身に / 状態異常耐性</v>
      </c>
      <c r="Z67" s="50"/>
      <c r="AA67" s="52"/>
      <c r="AB67" s="50"/>
    </row>
    <row r="68" spans="1:28" ht="21" customHeight="1" x14ac:dyDescent="0.15">
      <c r="A68" s="113">
        <v>50010069</v>
      </c>
      <c r="B68" s="47" t="s">
        <v>451</v>
      </c>
      <c r="C68" s="50">
        <v>3</v>
      </c>
      <c r="D68" s="50" t="s">
        <v>125</v>
      </c>
      <c r="E68" s="51" t="s">
        <v>414</v>
      </c>
      <c r="F68" s="51" t="s">
        <v>411</v>
      </c>
      <c r="G68" s="63" t="str">
        <f t="shared" ref="G68:G69" si="98">IFERROR(LEFT(B68,FIND("],",B68)),B68)</f>
        <v>[effect:enemy_message, val1:2, val2:2.6]</v>
      </c>
      <c r="H68" s="63">
        <f t="shared" ref="H68:H69" si="99">FIND("effect:",G68)+7</f>
        <v>9</v>
      </c>
      <c r="I68" s="63">
        <f t="shared" ref="I68:I69" si="100">IFERROR(FIND(",",G68),LEN(G68))</f>
        <v>22</v>
      </c>
      <c r="J68" s="63" t="e">
        <f t="shared" ref="J68:J69" si="101">FIND("target:",G68)+7</f>
        <v>#VALUE!</v>
      </c>
      <c r="K68" s="63">
        <f t="shared" ref="K68:K69" si="102">FIND(",",G68,I68+1)</f>
        <v>30</v>
      </c>
      <c r="L68" s="63" t="str">
        <f>IFERROR(VLOOKUP(MID(G68,J68,K68-J68),[5]skilldef!$C:$D,2,FALSE),"-") &amp; " / " &amp; IFERROR(VLOOKUP(MID(G68,H68,I68-H68),[5]skilldef!$A:$B,2,FALSE),"-")</f>
        <v>- / -</v>
      </c>
      <c r="M68" s="63" t="str">
        <f t="shared" ref="M68:M69" si="103">IFERROR(RIGHT(B68,LEN(B68)-FIND("],",B68)-1),"none")</f>
        <v xml:space="preserve">[effect:fix_speed, target:myself, turn:2],[effect:tolerance, target:myself, turn:-1, tolerance_effect:all, count:-1, animation:enemy_tolerance],[effect:virus, turn:8, rate:1, val:0.24, animation:enemy_virus],[effect:reduction, target:myself, color:all, turn:-1, val:0.8, animation:reduction_one01]    </v>
      </c>
      <c r="N68" s="48" t="str">
        <f t="shared" ref="N68:N69" si="104">IFERROR(LEFT(M68,FIND("],",M68)+S78),M68)</f>
        <v xml:space="preserve">[effect:fix_speed, target:myself, turn:2],[effect:tolerance, target:myself, turn:-1, tolerance_effect:all, count:-1, animation:enemy_tolerance],[effect:virus, turn:8, rate:1, val:0.24, animation:enemy_virus],[effect:reduction, target:myself, color:all, turn:-1, val:0.8, animation:reduction_one01]    </v>
      </c>
      <c r="O68" s="63">
        <f t="shared" ref="O68:O69" si="105">FIND("effect:",N68)+7</f>
        <v>9</v>
      </c>
      <c r="P68" s="63">
        <f t="shared" ref="P68:P69" si="106">IFERROR(FIND(",",N68),LEN(N68))</f>
        <v>18</v>
      </c>
      <c r="Q68" s="63">
        <f t="shared" ref="Q68:Q69" si="107">FIND("target:",N68)+7</f>
        <v>27</v>
      </c>
      <c r="R68" s="63">
        <f t="shared" ref="R68:R69" si="108">FIND(",",N68,P68+1)</f>
        <v>33</v>
      </c>
      <c r="S68" s="63" t="str">
        <f>IFERROR(VLOOKUP(MID(N68,Q68,R68-Q68),[5]skilldef!$C:$D,2,FALSE),"-") &amp; " / " &amp; IFERROR(VLOOKUP(MID(N68,O68,P68-O68),[5]skilldef!$A:$B,2,FALSE),"-")</f>
        <v>自分自身に / 行動値設定</v>
      </c>
      <c r="T68" s="48" t="str">
        <f t="shared" ref="T68:T69" si="109">IFERROR(RIGHT(M68,LEN(M68)-FIND("],",M68)-1),"none")</f>
        <v xml:space="preserve">[effect:tolerance, target:myself, turn:-1, tolerance_effect:all, count:-1, animation:enemy_tolerance],[effect:virus, turn:8, rate:1, val:0.24, animation:enemy_virus],[effect:reduction, target:myself, color:all, turn:-1, val:0.8, animation:reduction_one01]    </v>
      </c>
      <c r="U68" s="63">
        <f t="shared" ref="U68:U69" si="110">FIND("effect:",T68)+7</f>
        <v>9</v>
      </c>
      <c r="V68" s="63">
        <f t="shared" ref="V68:V69" si="111">IFERROR(FIND(",",T68),LEN(T68))</f>
        <v>18</v>
      </c>
      <c r="W68" s="63">
        <f t="shared" ref="W68:W69" si="112">FIND("target:",T68)+7</f>
        <v>27</v>
      </c>
      <c r="X68" s="63">
        <f t="shared" ref="X68:X69" si="113">FIND(",",T68,V68+1)</f>
        <v>33</v>
      </c>
      <c r="Y68" s="63" t="str">
        <f>IFERROR(VLOOKUP(MID(T68,W68,X68-W68),[5]skilldef!$C:$D,2,FALSE),"-") &amp; " / " &amp; IFERROR(VLOOKUP(MID(T68,U68,V68-U68),[5]skilldef!$A:$B,2,FALSE),"-")</f>
        <v>自分自身に / 状態異常耐性</v>
      </c>
      <c r="Z68" s="50"/>
      <c r="AA68" s="52"/>
      <c r="AB68" s="50"/>
    </row>
    <row r="69" spans="1:28" ht="21" customHeight="1" x14ac:dyDescent="0.15">
      <c r="A69" s="113">
        <v>50010070</v>
      </c>
      <c r="B69" s="47" t="s">
        <v>452</v>
      </c>
      <c r="C69" s="50">
        <v>3</v>
      </c>
      <c r="D69" s="50" t="s">
        <v>125</v>
      </c>
      <c r="E69" s="51" t="s">
        <v>413</v>
      </c>
      <c r="F69" s="51" t="s">
        <v>350</v>
      </c>
      <c r="G69" s="63" t="str">
        <f t="shared" si="98"/>
        <v>[effect:enemy_message, val1:2.2, val2:2.6]</v>
      </c>
      <c r="H69" s="63">
        <f t="shared" si="99"/>
        <v>9</v>
      </c>
      <c r="I69" s="63">
        <f t="shared" si="100"/>
        <v>22</v>
      </c>
      <c r="J69" s="63" t="e">
        <f t="shared" si="101"/>
        <v>#VALUE!</v>
      </c>
      <c r="K69" s="63">
        <f t="shared" si="102"/>
        <v>32</v>
      </c>
      <c r="L69" s="63" t="str">
        <f>IFERROR(VLOOKUP(MID(G69,J69,K69-J69),[5]skilldef!$C:$D,2,FALSE),"-") &amp; " / " &amp; IFERROR(VLOOKUP(MID(G69,H69,I69-H69),[5]skilldef!$A:$B,2,FALSE),"-")</f>
        <v>- / -</v>
      </c>
      <c r="M69" s="63" t="str">
        <f t="shared" si="103"/>
        <v xml:space="preserve">[effect:fix_speed, target:myself, turn:2],[effect:tolerance, target:myself, turn:-1, tolerance_effect:all, count:-1, animation:enemy_tolerance],[effect:virus, turn:12, rate:1, val:0.24, animation:enemy_virus],[effect:reduction, target:myself, color:all, turn:-1, val:0.8, animation:reduction_one01]    </v>
      </c>
      <c r="N69" s="48" t="str">
        <f t="shared" si="104"/>
        <v xml:space="preserve">[effect:fix_speed, target:myself, turn:2],[effect:tolerance, target:myself, turn:-1, tolerance_effect:all, count:-1, animation:enemy_tolerance],[effect:virus, turn:12, rate:1, val:0.24, animation:enemy_virus],[effect:reduction, target:myself, color:all, turn:-1, val:0.8, animation:reduction_one01]    </v>
      </c>
      <c r="O69" s="63">
        <f t="shared" si="105"/>
        <v>9</v>
      </c>
      <c r="P69" s="63">
        <f t="shared" si="106"/>
        <v>18</v>
      </c>
      <c r="Q69" s="63">
        <f t="shared" si="107"/>
        <v>27</v>
      </c>
      <c r="R69" s="63">
        <f t="shared" si="108"/>
        <v>33</v>
      </c>
      <c r="S69" s="63" t="str">
        <f>IFERROR(VLOOKUP(MID(N69,Q69,R69-Q69),[5]skilldef!$C:$D,2,FALSE),"-") &amp; " / " &amp; IFERROR(VLOOKUP(MID(N69,O69,P69-O69),[5]skilldef!$A:$B,2,FALSE),"-")</f>
        <v>自分自身に / 行動値設定</v>
      </c>
      <c r="T69" s="48" t="str">
        <f t="shared" si="109"/>
        <v xml:space="preserve">[effect:tolerance, target:myself, turn:-1, tolerance_effect:all, count:-1, animation:enemy_tolerance],[effect:virus, turn:12, rate:1, val:0.24, animation:enemy_virus],[effect:reduction, target:myself, color:all, turn:-1, val:0.8, animation:reduction_one01]    </v>
      </c>
      <c r="U69" s="63">
        <f t="shared" si="110"/>
        <v>9</v>
      </c>
      <c r="V69" s="63">
        <f t="shared" si="111"/>
        <v>18</v>
      </c>
      <c r="W69" s="63">
        <f t="shared" si="112"/>
        <v>27</v>
      </c>
      <c r="X69" s="63">
        <f t="shared" si="113"/>
        <v>33</v>
      </c>
      <c r="Y69" s="63" t="str">
        <f>IFERROR(VLOOKUP(MID(T69,W69,X69-W69),[5]skilldef!$C:$D,2,FALSE),"-") &amp; " / " &amp; IFERROR(VLOOKUP(MID(T69,U69,V69-U69),[5]skilldef!$A:$B,2,FALSE),"-")</f>
        <v>自分自身に / 状態異常耐性</v>
      </c>
      <c r="Z69" s="50"/>
      <c r="AA69" s="52"/>
      <c r="AB69" s="50"/>
    </row>
    <row r="70" spans="1:28" ht="21" customHeight="1" x14ac:dyDescent="0.15">
      <c r="A70" s="113">
        <v>50010071</v>
      </c>
      <c r="B70" s="47" t="s">
        <v>452</v>
      </c>
      <c r="C70" s="50">
        <v>3</v>
      </c>
      <c r="D70" s="50" t="s">
        <v>125</v>
      </c>
      <c r="E70" s="51" t="s">
        <v>413</v>
      </c>
      <c r="F70" s="51" t="s">
        <v>350</v>
      </c>
      <c r="G70" s="63" t="str">
        <f t="shared" ref="G70:G71" si="114">IFERROR(LEFT(B70,FIND("],",B70)),B70)</f>
        <v>[effect:enemy_message, val1:2.2, val2:2.6]</v>
      </c>
      <c r="H70" s="63">
        <f t="shared" ref="H70:H71" si="115">FIND("effect:",G70)+7</f>
        <v>9</v>
      </c>
      <c r="I70" s="63">
        <f t="shared" ref="I70:I71" si="116">IFERROR(FIND(",",G70),LEN(G70))</f>
        <v>22</v>
      </c>
      <c r="J70" s="63" t="e">
        <f t="shared" ref="J70:J71" si="117">FIND("target:",G70)+7</f>
        <v>#VALUE!</v>
      </c>
      <c r="K70" s="63">
        <f t="shared" ref="K70:K71" si="118">FIND(",",G70,I70+1)</f>
        <v>32</v>
      </c>
      <c r="L70" s="63" t="str">
        <f>IFERROR(VLOOKUP(MID(G70,J70,K70-J70),[5]skilldef!$C:$D,2,FALSE),"-") &amp; " / " &amp; IFERROR(VLOOKUP(MID(G70,H70,I70-H70),[5]skilldef!$A:$B,2,FALSE),"-")</f>
        <v>- / -</v>
      </c>
      <c r="M70" s="63" t="str">
        <f t="shared" ref="M70:M71" si="119">IFERROR(RIGHT(B70,LEN(B70)-FIND("],",B70)-1),"none")</f>
        <v xml:space="preserve">[effect:fix_speed, target:myself, turn:2],[effect:tolerance, target:myself, turn:-1, tolerance_effect:all, count:-1, animation:enemy_tolerance],[effect:virus, turn:12, rate:1, val:0.24, animation:enemy_virus],[effect:reduction, target:myself, color:all, turn:-1, val:0.8, animation:reduction_one01]    </v>
      </c>
      <c r="N70" s="48" t="str">
        <f t="shared" ref="N70:N71" si="120">IFERROR(LEFT(M70,FIND("],",M70)+S80),M70)</f>
        <v>[effect:fix_speed, target:myself, turn:2]</v>
      </c>
      <c r="O70" s="63">
        <f t="shared" ref="O70:O71" si="121">FIND("effect:",N70)+7</f>
        <v>9</v>
      </c>
      <c r="P70" s="63">
        <f t="shared" ref="P70:P71" si="122">IFERROR(FIND(",",N70),LEN(N70))</f>
        <v>18</v>
      </c>
      <c r="Q70" s="63">
        <f t="shared" ref="Q70:Q71" si="123">FIND("target:",N70)+7</f>
        <v>27</v>
      </c>
      <c r="R70" s="63">
        <f t="shared" ref="R70:R71" si="124">FIND(",",N70,P70+1)</f>
        <v>33</v>
      </c>
      <c r="S70" s="63" t="str">
        <f>IFERROR(VLOOKUP(MID(N70,Q70,R70-Q70),[5]skilldef!$C:$D,2,FALSE),"-") &amp; " / " &amp; IFERROR(VLOOKUP(MID(N70,O70,P70-O70),[5]skilldef!$A:$B,2,FALSE),"-")</f>
        <v>自分自身に / 行動値設定</v>
      </c>
      <c r="T70" s="48" t="str">
        <f t="shared" ref="T70:T71" si="125">IFERROR(RIGHT(M70,LEN(M70)-FIND("],",M70)-1),"none")</f>
        <v xml:space="preserve">[effect:tolerance, target:myself, turn:-1, tolerance_effect:all, count:-1, animation:enemy_tolerance],[effect:virus, turn:12, rate:1, val:0.24, animation:enemy_virus],[effect:reduction, target:myself, color:all, turn:-1, val:0.8, animation:reduction_one01]    </v>
      </c>
      <c r="U70" s="63">
        <f t="shared" ref="U70:U71" si="126">FIND("effect:",T70)+7</f>
        <v>9</v>
      </c>
      <c r="V70" s="63">
        <f t="shared" ref="V70:V71" si="127">IFERROR(FIND(",",T70),LEN(T70))</f>
        <v>18</v>
      </c>
      <c r="W70" s="63">
        <f t="shared" ref="W70:W71" si="128">FIND("target:",T70)+7</f>
        <v>27</v>
      </c>
      <c r="X70" s="63">
        <f t="shared" ref="X70:X71" si="129">FIND(",",T70,V70+1)</f>
        <v>33</v>
      </c>
      <c r="Y70" s="63" t="str">
        <f>IFERROR(VLOOKUP(MID(T70,W70,X70-W70),[5]skilldef!$C:$D,2,FALSE),"-") &amp; " / " &amp; IFERROR(VLOOKUP(MID(T70,U70,V70-U70),[5]skilldef!$A:$B,2,FALSE),"-")</f>
        <v>自分自身に / 状態異常耐性</v>
      </c>
      <c r="Z70" s="50"/>
      <c r="AA70" s="52"/>
      <c r="AB70" s="50"/>
    </row>
    <row r="71" spans="1:28" ht="21" customHeight="1" x14ac:dyDescent="0.15">
      <c r="A71" s="113">
        <v>50010072</v>
      </c>
      <c r="B71" s="47" t="s">
        <v>453</v>
      </c>
      <c r="C71" s="50">
        <v>3</v>
      </c>
      <c r="D71" s="50" t="s">
        <v>125</v>
      </c>
      <c r="E71" s="51" t="s">
        <v>412</v>
      </c>
      <c r="F71" s="51" t="s">
        <v>350</v>
      </c>
      <c r="G71" s="63" t="str">
        <f t="shared" si="114"/>
        <v>[effect:enemy_message, val1:2.3, val2:2.6]</v>
      </c>
      <c r="H71" s="63">
        <f t="shared" si="115"/>
        <v>9</v>
      </c>
      <c r="I71" s="63">
        <f t="shared" si="116"/>
        <v>22</v>
      </c>
      <c r="J71" s="63" t="e">
        <f t="shared" si="117"/>
        <v>#VALUE!</v>
      </c>
      <c r="K71" s="63">
        <f t="shared" si="118"/>
        <v>32</v>
      </c>
      <c r="L71" s="63" t="str">
        <f>IFERROR(VLOOKUP(MID(G71,J71,K71-J71),[5]skilldef!$C:$D,2,FALSE),"-") &amp; " / " &amp; IFERROR(VLOOKUP(MID(G71,H71,I71-H71),[5]skilldef!$A:$B,2,FALSE),"-")</f>
        <v>- / -</v>
      </c>
      <c r="M71" s="63" t="str">
        <f t="shared" si="119"/>
        <v xml:space="preserve">[effect:fix_speed, target:myself, turn:2],[effect:tolerance, target:myself, turn:-1, tolerance_effect:all, count:-1, animation:enemy_tolerance],[effect:virus, turn:12, rate:1, val:0.24, animation:enemy_virus],[effect:reduction, target:myself, color:all, turn:-1, val:0.8, animation:reduction_one01]    </v>
      </c>
      <c r="N71" s="48" t="str">
        <f t="shared" si="120"/>
        <v>[effect:fix_speed, target:myself, turn:2]</v>
      </c>
      <c r="O71" s="63">
        <f t="shared" si="121"/>
        <v>9</v>
      </c>
      <c r="P71" s="63">
        <f t="shared" si="122"/>
        <v>18</v>
      </c>
      <c r="Q71" s="63">
        <f t="shared" si="123"/>
        <v>27</v>
      </c>
      <c r="R71" s="63">
        <f t="shared" si="124"/>
        <v>33</v>
      </c>
      <c r="S71" s="63" t="str">
        <f>IFERROR(VLOOKUP(MID(N71,Q71,R71-Q71),[5]skilldef!$C:$D,2,FALSE),"-") &amp; " / " &amp; IFERROR(VLOOKUP(MID(N71,O71,P71-O71),[5]skilldef!$A:$B,2,FALSE),"-")</f>
        <v>自分自身に / 行動値設定</v>
      </c>
      <c r="T71" s="48" t="str">
        <f t="shared" si="125"/>
        <v xml:space="preserve">[effect:tolerance, target:myself, turn:-1, tolerance_effect:all, count:-1, animation:enemy_tolerance],[effect:virus, turn:12, rate:1, val:0.24, animation:enemy_virus],[effect:reduction, target:myself, color:all, turn:-1, val:0.8, animation:reduction_one01]    </v>
      </c>
      <c r="U71" s="63">
        <f t="shared" si="126"/>
        <v>9</v>
      </c>
      <c r="V71" s="63">
        <f t="shared" si="127"/>
        <v>18</v>
      </c>
      <c r="W71" s="63">
        <f t="shared" si="128"/>
        <v>27</v>
      </c>
      <c r="X71" s="63">
        <f t="shared" si="129"/>
        <v>33</v>
      </c>
      <c r="Y71" s="63" t="str">
        <f>IFERROR(VLOOKUP(MID(T71,W71,X71-W71),[5]skilldef!$C:$D,2,FALSE),"-") &amp; " / " &amp; IFERROR(VLOOKUP(MID(T71,U71,V71-U71),[5]skilldef!$A:$B,2,FALSE),"-")</f>
        <v>自分自身に / 状態異常耐性</v>
      </c>
      <c r="Z71" s="50"/>
      <c r="AA71" s="52"/>
      <c r="AB71" s="50"/>
    </row>
    <row r="72" spans="1:28" ht="21" customHeight="1" x14ac:dyDescent="0.15">
      <c r="A72" s="113">
        <v>50010073</v>
      </c>
      <c r="B72" s="47" t="s">
        <v>453</v>
      </c>
      <c r="C72" s="50">
        <v>3</v>
      </c>
      <c r="D72" s="50" t="s">
        <v>125</v>
      </c>
      <c r="E72" s="51" t="s">
        <v>412</v>
      </c>
      <c r="F72" s="51" t="s">
        <v>350</v>
      </c>
      <c r="G72" s="63" t="str">
        <f t="shared" ref="G72:G73" si="130">IFERROR(LEFT(B72,FIND("],",B72)),B72)</f>
        <v>[effect:enemy_message, val1:2.3, val2:2.6]</v>
      </c>
      <c r="H72" s="63">
        <f t="shared" ref="H72:H73" si="131">FIND("effect:",G72)+7</f>
        <v>9</v>
      </c>
      <c r="I72" s="63">
        <f t="shared" ref="I72:I73" si="132">IFERROR(FIND(",",G72),LEN(G72))</f>
        <v>22</v>
      </c>
      <c r="J72" s="63" t="e">
        <f t="shared" ref="J72:J73" si="133">FIND("target:",G72)+7</f>
        <v>#VALUE!</v>
      </c>
      <c r="K72" s="63">
        <f t="shared" ref="K72:K73" si="134">FIND(",",G72,I72+1)</f>
        <v>32</v>
      </c>
      <c r="L72" s="63" t="str">
        <f>IFERROR(VLOOKUP(MID(G72,J72,K72-J72),[5]skilldef!$C:$D,2,FALSE),"-") &amp; " / " &amp; IFERROR(VLOOKUP(MID(G72,H72,I72-H72),[5]skilldef!$A:$B,2,FALSE),"-")</f>
        <v>- / -</v>
      </c>
      <c r="M72" s="63" t="str">
        <f t="shared" ref="M72:M73" si="135">IFERROR(RIGHT(B72,LEN(B72)-FIND("],",B72)-1),"none")</f>
        <v xml:space="preserve">[effect:fix_speed, target:myself, turn:2],[effect:tolerance, target:myself, turn:-1, tolerance_effect:all, count:-1, animation:enemy_tolerance],[effect:virus, turn:12, rate:1, val:0.24, animation:enemy_virus],[effect:reduction, target:myself, color:all, turn:-1, val:0.8, animation:reduction_one01]    </v>
      </c>
      <c r="N72" s="48" t="str">
        <f t="shared" ref="N72" si="136">IFERROR(LEFT(M72,FIND("],",M72)+S82),M72)</f>
        <v>[effect:fix_speed, target:myself, turn:2]</v>
      </c>
      <c r="O72" s="63">
        <f t="shared" ref="O72:O73" si="137">FIND("effect:",N72)+7</f>
        <v>9</v>
      </c>
      <c r="P72" s="63">
        <f t="shared" ref="P72:P73" si="138">IFERROR(FIND(",",N72),LEN(N72))</f>
        <v>18</v>
      </c>
      <c r="Q72" s="63">
        <f t="shared" ref="Q72:Q73" si="139">FIND("target:",N72)+7</f>
        <v>27</v>
      </c>
      <c r="R72" s="63">
        <f t="shared" ref="R72:R73" si="140">FIND(",",N72,P72+1)</f>
        <v>33</v>
      </c>
      <c r="S72" s="63" t="str">
        <f>IFERROR(VLOOKUP(MID(N72,Q72,R72-Q72),[5]skilldef!$C:$D,2,FALSE),"-") &amp; " / " &amp; IFERROR(VLOOKUP(MID(N72,O72,P72-O72),[5]skilldef!$A:$B,2,FALSE),"-")</f>
        <v>自分自身に / 行動値設定</v>
      </c>
      <c r="T72" s="48" t="str">
        <f t="shared" ref="T72:T73" si="141">IFERROR(RIGHT(M72,LEN(M72)-FIND("],",M72)-1),"none")</f>
        <v xml:space="preserve">[effect:tolerance, target:myself, turn:-1, tolerance_effect:all, count:-1, animation:enemy_tolerance],[effect:virus, turn:12, rate:1, val:0.24, animation:enemy_virus],[effect:reduction, target:myself, color:all, turn:-1, val:0.8, animation:reduction_one01]    </v>
      </c>
      <c r="U72" s="63">
        <f t="shared" ref="U72:U73" si="142">FIND("effect:",T72)+7</f>
        <v>9</v>
      </c>
      <c r="V72" s="63">
        <f t="shared" ref="V72:V73" si="143">IFERROR(FIND(",",T72),LEN(T72))</f>
        <v>18</v>
      </c>
      <c r="W72" s="63">
        <f t="shared" ref="W72:W73" si="144">FIND("target:",T72)+7</f>
        <v>27</v>
      </c>
      <c r="X72" s="63">
        <f t="shared" ref="X72:X73" si="145">FIND(",",T72,V72+1)</f>
        <v>33</v>
      </c>
      <c r="Y72" s="63" t="str">
        <f>IFERROR(VLOOKUP(MID(T72,W72,X72-W72),[5]skilldef!$C:$D,2,FALSE),"-") &amp; " / " &amp; IFERROR(VLOOKUP(MID(T72,U72,V72-U72),[5]skilldef!$A:$B,2,FALSE),"-")</f>
        <v>自分自身に / 状態異常耐性</v>
      </c>
      <c r="Z72" s="50"/>
      <c r="AA72" s="52"/>
      <c r="AB72" s="50"/>
    </row>
    <row r="73" spans="1:28" ht="21" customHeight="1" x14ac:dyDescent="0.15">
      <c r="A73" s="47">
        <v>50010074</v>
      </c>
      <c r="B73" s="47" t="s">
        <v>417</v>
      </c>
      <c r="C73" s="50">
        <v>3</v>
      </c>
      <c r="D73" s="50" t="s">
        <v>125</v>
      </c>
      <c r="E73" s="51" t="s">
        <v>415</v>
      </c>
      <c r="F73" s="51" t="s">
        <v>416</v>
      </c>
      <c r="G73" s="63" t="str">
        <f t="shared" si="130"/>
        <v>[effect:enemy_message, val1:2.4, val2:2.6, dead_type:escape]</v>
      </c>
      <c r="H73" s="63">
        <f t="shared" si="131"/>
        <v>9</v>
      </c>
      <c r="I73" s="63">
        <f t="shared" si="132"/>
        <v>22</v>
      </c>
      <c r="J73" s="63" t="e">
        <f t="shared" si="133"/>
        <v>#VALUE!</v>
      </c>
      <c r="K73" s="63">
        <f t="shared" si="134"/>
        <v>32</v>
      </c>
      <c r="L73" s="63" t="str">
        <f>IFERROR(VLOOKUP(MID(G73,J73,K73-J73),[5]skilldef!$C:$D,2,FALSE),"-") &amp; " / " &amp; IFERROR(VLOOKUP(MID(G73,H73,I73-H73),[5]skilldef!$A:$B,2,FALSE),"-")</f>
        <v>- / -</v>
      </c>
      <c r="M73" s="63" t="str">
        <f t="shared" si="135"/>
        <v>none</v>
      </c>
      <c r="N73" s="48" t="str">
        <f t="shared" ref="N73:N79" si="146">IFERROR(LEFT(M73,FIND("],",M73)+S84),M73)</f>
        <v>none</v>
      </c>
      <c r="O73" s="63" t="e">
        <f t="shared" si="137"/>
        <v>#VALUE!</v>
      </c>
      <c r="P73" s="63">
        <f t="shared" si="138"/>
        <v>4</v>
      </c>
      <c r="Q73" s="63" t="e">
        <f t="shared" si="139"/>
        <v>#VALUE!</v>
      </c>
      <c r="R73" s="63" t="e">
        <f t="shared" si="140"/>
        <v>#VALUE!</v>
      </c>
      <c r="S73" s="63" t="str">
        <f>IFERROR(VLOOKUP(MID(N73,Q73,R73-Q73),[5]skilldef!$C:$D,2,FALSE),"-") &amp; " / " &amp; IFERROR(VLOOKUP(MID(N73,O73,P73-O73),[5]skilldef!$A:$B,2,FALSE),"-")</f>
        <v>- / -</v>
      </c>
      <c r="T73" s="48" t="str">
        <f t="shared" si="141"/>
        <v>none</v>
      </c>
      <c r="U73" s="63" t="e">
        <f t="shared" si="142"/>
        <v>#VALUE!</v>
      </c>
      <c r="V73" s="63">
        <f t="shared" si="143"/>
        <v>4</v>
      </c>
      <c r="W73" s="63" t="e">
        <f t="shared" si="144"/>
        <v>#VALUE!</v>
      </c>
      <c r="X73" s="63" t="e">
        <f t="shared" si="145"/>
        <v>#VALUE!</v>
      </c>
      <c r="Y73" s="63" t="str">
        <f>IFERROR(VLOOKUP(MID(T73,W73,X73-W73),[5]skilldef!$C:$D,2,FALSE),"-") &amp; " / " &amp; IFERROR(VLOOKUP(MID(T73,U73,V73-U73),[5]skilldef!$A:$B,2,FALSE),"-")</f>
        <v>- / -</v>
      </c>
      <c r="Z73" s="50"/>
      <c r="AA73" s="52"/>
      <c r="AB73" s="50"/>
    </row>
    <row r="74" spans="1:28" ht="21" customHeight="1" x14ac:dyDescent="0.15">
      <c r="A74" s="113">
        <v>50010075</v>
      </c>
      <c r="B74" s="47" t="s">
        <v>419</v>
      </c>
      <c r="C74" s="50">
        <v>3</v>
      </c>
      <c r="D74" s="50" t="s">
        <v>125</v>
      </c>
      <c r="E74" s="51" t="s">
        <v>418</v>
      </c>
      <c r="F74" s="51" t="s">
        <v>420</v>
      </c>
      <c r="G74" s="63" t="str">
        <f t="shared" ref="G74" si="147">IFERROR(LEFT(B74,FIND("],",B74)),B74)</f>
        <v>[effect:enemy_message, val1:2, val2:3, dead_type:escape]</v>
      </c>
      <c r="H74" s="63">
        <f t="shared" ref="H74" si="148">FIND("effect:",G74)+7</f>
        <v>9</v>
      </c>
      <c r="I74" s="63">
        <f t="shared" ref="I74" si="149">IFERROR(FIND(",",G74),LEN(G74))</f>
        <v>22</v>
      </c>
      <c r="J74" s="63" t="e">
        <f t="shared" ref="J74" si="150">FIND("target:",G74)+7</f>
        <v>#VALUE!</v>
      </c>
      <c r="K74" s="63">
        <f t="shared" ref="K74" si="151">FIND(",",G74,I74+1)</f>
        <v>30</v>
      </c>
      <c r="L74" s="63" t="str">
        <f>IFERROR(VLOOKUP(MID(G74,J74,K74-J74),[5]skilldef!$C:$D,2,FALSE),"-") &amp; " / " &amp; IFERROR(VLOOKUP(MID(G74,H74,I74-H74),[5]skilldef!$A:$B,2,FALSE),"-")</f>
        <v>- / -</v>
      </c>
      <c r="M74" s="63" t="str">
        <f t="shared" ref="M74" si="152">IFERROR(RIGHT(B74,LEN(B74)-FIND("],",B74)-1),"none")</f>
        <v>none</v>
      </c>
      <c r="N74" s="48" t="str">
        <f t="shared" si="146"/>
        <v>none</v>
      </c>
      <c r="O74" s="63" t="e">
        <f t="shared" ref="O74" si="153">FIND("effect:",N74)+7</f>
        <v>#VALUE!</v>
      </c>
      <c r="P74" s="63">
        <f t="shared" ref="P74" si="154">IFERROR(FIND(",",N74),LEN(N74))</f>
        <v>4</v>
      </c>
      <c r="Q74" s="63" t="e">
        <f t="shared" ref="Q74" si="155">FIND("target:",N74)+7</f>
        <v>#VALUE!</v>
      </c>
      <c r="R74" s="63" t="e">
        <f t="shared" ref="R74" si="156">FIND(",",N74,P74+1)</f>
        <v>#VALUE!</v>
      </c>
      <c r="S74" s="63" t="str">
        <f>IFERROR(VLOOKUP(MID(N74,Q74,R74-Q74),[5]skilldef!$C:$D,2,FALSE),"-") &amp; " / " &amp; IFERROR(VLOOKUP(MID(N74,O74,P74-O74),[5]skilldef!$A:$B,2,FALSE),"-")</f>
        <v>- / -</v>
      </c>
      <c r="T74" s="48" t="str">
        <f t="shared" ref="T74" si="157">IFERROR(RIGHT(M74,LEN(M74)-FIND("],",M74)-1),"none")</f>
        <v>none</v>
      </c>
      <c r="U74" s="63" t="e">
        <f t="shared" ref="U74" si="158">FIND("effect:",T74)+7</f>
        <v>#VALUE!</v>
      </c>
      <c r="V74" s="63">
        <f t="shared" ref="V74" si="159">IFERROR(FIND(",",T74),LEN(T74))</f>
        <v>4</v>
      </c>
      <c r="W74" s="63" t="e">
        <f t="shared" ref="W74" si="160">FIND("target:",T74)+7</f>
        <v>#VALUE!</v>
      </c>
      <c r="X74" s="63" t="e">
        <f t="shared" ref="X74" si="161">FIND(",",T74,V74+1)</f>
        <v>#VALUE!</v>
      </c>
      <c r="Y74" s="63" t="str">
        <f>IFERROR(VLOOKUP(MID(T74,W74,X74-W74),[5]skilldef!$C:$D,2,FALSE),"-") &amp; " / " &amp; IFERROR(VLOOKUP(MID(T74,U74,V74-U74),[5]skilldef!$A:$B,2,FALSE),"-")</f>
        <v>- / -</v>
      </c>
      <c r="Z74" s="50"/>
      <c r="AA74" s="52"/>
      <c r="AB74" s="50"/>
    </row>
    <row r="75" spans="1:28" ht="21" customHeight="1" x14ac:dyDescent="0.15">
      <c r="A75" s="113">
        <v>50010076</v>
      </c>
      <c r="B75" s="47" t="s">
        <v>419</v>
      </c>
      <c r="C75" s="50">
        <v>3</v>
      </c>
      <c r="D75" s="50" t="s">
        <v>125</v>
      </c>
      <c r="E75" s="51" t="s">
        <v>418</v>
      </c>
      <c r="F75" s="51" t="s">
        <v>420</v>
      </c>
      <c r="G75" s="63" t="str">
        <f t="shared" ref="G75:G76" si="162">IFERROR(LEFT(B75,FIND("],",B75)),B75)</f>
        <v>[effect:enemy_message, val1:2, val2:3, dead_type:escape]</v>
      </c>
      <c r="H75" s="63">
        <f t="shared" ref="H75:H76" si="163">FIND("effect:",G75)+7</f>
        <v>9</v>
      </c>
      <c r="I75" s="63">
        <f t="shared" ref="I75:I76" si="164">IFERROR(FIND(",",G75),LEN(G75))</f>
        <v>22</v>
      </c>
      <c r="J75" s="63" t="e">
        <f t="shared" ref="J75:J76" si="165">FIND("target:",G75)+7</f>
        <v>#VALUE!</v>
      </c>
      <c r="K75" s="63">
        <f t="shared" ref="K75:K76" si="166">FIND(",",G75,I75+1)</f>
        <v>30</v>
      </c>
      <c r="L75" s="63" t="str">
        <f>IFERROR(VLOOKUP(MID(G75,J75,K75-J75),[5]skilldef!$C:$D,2,FALSE),"-") &amp; " / " &amp; IFERROR(VLOOKUP(MID(G75,H75,I75-H75),[5]skilldef!$A:$B,2,FALSE),"-")</f>
        <v>- / -</v>
      </c>
      <c r="M75" s="63" t="str">
        <f t="shared" ref="M75:M76" si="167">IFERROR(RIGHT(B75,LEN(B75)-FIND("],",B75)-1),"none")</f>
        <v>none</v>
      </c>
      <c r="N75" s="48" t="str">
        <f t="shared" si="146"/>
        <v>none</v>
      </c>
      <c r="O75" s="63" t="e">
        <f t="shared" ref="O75:O76" si="168">FIND("effect:",N75)+7</f>
        <v>#VALUE!</v>
      </c>
      <c r="P75" s="63">
        <f t="shared" ref="P75:P76" si="169">IFERROR(FIND(",",N75),LEN(N75))</f>
        <v>4</v>
      </c>
      <c r="Q75" s="63" t="e">
        <f t="shared" ref="Q75:Q76" si="170">FIND("target:",N75)+7</f>
        <v>#VALUE!</v>
      </c>
      <c r="R75" s="63" t="e">
        <f t="shared" ref="R75:R76" si="171">FIND(",",N75,P75+1)</f>
        <v>#VALUE!</v>
      </c>
      <c r="S75" s="63" t="str">
        <f>IFERROR(VLOOKUP(MID(N75,Q75,R75-Q75),[5]skilldef!$C:$D,2,FALSE),"-") &amp; " / " &amp; IFERROR(VLOOKUP(MID(N75,O75,P75-O75),[5]skilldef!$A:$B,2,FALSE),"-")</f>
        <v>- / -</v>
      </c>
      <c r="T75" s="48" t="str">
        <f t="shared" ref="T75:T76" si="172">IFERROR(RIGHT(M75,LEN(M75)-FIND("],",M75)-1),"none")</f>
        <v>none</v>
      </c>
      <c r="U75" s="63" t="e">
        <f t="shared" ref="U75:U76" si="173">FIND("effect:",T75)+7</f>
        <v>#VALUE!</v>
      </c>
      <c r="V75" s="63">
        <f t="shared" ref="V75:V76" si="174">IFERROR(FIND(",",T75),LEN(T75))</f>
        <v>4</v>
      </c>
      <c r="W75" s="63" t="e">
        <f t="shared" ref="W75:W76" si="175">FIND("target:",T75)+7</f>
        <v>#VALUE!</v>
      </c>
      <c r="X75" s="63" t="e">
        <f t="shared" ref="X75:X76" si="176">FIND(",",T75,V75+1)</f>
        <v>#VALUE!</v>
      </c>
      <c r="Y75" s="63" t="str">
        <f>IFERROR(VLOOKUP(MID(T75,W75,X75-W75),[5]skilldef!$C:$D,2,FALSE),"-") &amp; " / " &amp; IFERROR(VLOOKUP(MID(T75,U75,V75-U75),[5]skilldef!$A:$B,2,FALSE),"-")</f>
        <v>- / -</v>
      </c>
      <c r="Z75" s="50"/>
      <c r="AA75" s="52"/>
      <c r="AB75" s="50"/>
    </row>
    <row r="76" spans="1:28" ht="21" customHeight="1" x14ac:dyDescent="0.15">
      <c r="A76" s="113">
        <v>50010077</v>
      </c>
      <c r="B76" s="47" t="s">
        <v>433</v>
      </c>
      <c r="C76" s="50">
        <v>3</v>
      </c>
      <c r="D76" s="50" t="s">
        <v>125</v>
      </c>
      <c r="E76" s="51" t="s">
        <v>431</v>
      </c>
      <c r="F76" s="51" t="s">
        <v>432</v>
      </c>
      <c r="G76" s="63" t="str">
        <f t="shared" si="162"/>
        <v>[effect:enemy_message, val1:2, val2:2.8, dead_type:escape]</v>
      </c>
      <c r="H76" s="63">
        <f t="shared" si="163"/>
        <v>9</v>
      </c>
      <c r="I76" s="63">
        <f t="shared" si="164"/>
        <v>22</v>
      </c>
      <c r="J76" s="63" t="e">
        <f t="shared" si="165"/>
        <v>#VALUE!</v>
      </c>
      <c r="K76" s="63">
        <f t="shared" si="166"/>
        <v>30</v>
      </c>
      <c r="L76" s="63" t="str">
        <f>IFERROR(VLOOKUP(MID(G76,J76,K76-J76),[5]skilldef!$C:$D,2,FALSE),"-") &amp; " / " &amp; IFERROR(VLOOKUP(MID(G76,H76,I76-H76),[5]skilldef!$A:$B,2,FALSE),"-")</f>
        <v>- / -</v>
      </c>
      <c r="M76" s="63" t="str">
        <f t="shared" si="167"/>
        <v>none</v>
      </c>
      <c r="N76" s="48" t="str">
        <f t="shared" si="146"/>
        <v>none</v>
      </c>
      <c r="O76" s="63" t="e">
        <f t="shared" si="168"/>
        <v>#VALUE!</v>
      </c>
      <c r="P76" s="63">
        <f t="shared" si="169"/>
        <v>4</v>
      </c>
      <c r="Q76" s="63" t="e">
        <f t="shared" si="170"/>
        <v>#VALUE!</v>
      </c>
      <c r="R76" s="63" t="e">
        <f t="shared" si="171"/>
        <v>#VALUE!</v>
      </c>
      <c r="S76" s="63" t="str">
        <f>IFERROR(VLOOKUP(MID(N76,Q76,R76-Q76),[5]skilldef!$C:$D,2,FALSE),"-") &amp; " / " &amp; IFERROR(VLOOKUP(MID(N76,O76,P76-O76),[5]skilldef!$A:$B,2,FALSE),"-")</f>
        <v>- / -</v>
      </c>
      <c r="T76" s="48" t="str">
        <f t="shared" si="172"/>
        <v>none</v>
      </c>
      <c r="U76" s="63" t="e">
        <f t="shared" si="173"/>
        <v>#VALUE!</v>
      </c>
      <c r="V76" s="63">
        <f t="shared" si="174"/>
        <v>4</v>
      </c>
      <c r="W76" s="63" t="e">
        <f t="shared" si="175"/>
        <v>#VALUE!</v>
      </c>
      <c r="X76" s="63" t="e">
        <f t="shared" si="176"/>
        <v>#VALUE!</v>
      </c>
      <c r="Y76" s="63" t="str">
        <f>IFERROR(VLOOKUP(MID(T76,W76,X76-W76),[5]skilldef!$C:$D,2,FALSE),"-") &amp; " / " &amp; IFERROR(VLOOKUP(MID(T76,U76,V76-U76),[5]skilldef!$A:$B,2,FALSE),"-")</f>
        <v>- / -</v>
      </c>
      <c r="Z76" s="50"/>
      <c r="AA76" s="52"/>
      <c r="AB76" s="50"/>
    </row>
    <row r="77" spans="1:28" ht="21" customHeight="1" x14ac:dyDescent="0.15">
      <c r="A77" s="113">
        <v>50010078</v>
      </c>
      <c r="B77" s="47" t="s">
        <v>433</v>
      </c>
      <c r="C77" s="50">
        <v>3</v>
      </c>
      <c r="D77" s="50" t="s">
        <v>125</v>
      </c>
      <c r="E77" s="51" t="s">
        <v>431</v>
      </c>
      <c r="F77" s="51" t="s">
        <v>432</v>
      </c>
      <c r="G77" s="63" t="str">
        <f t="shared" ref="G77:G78" si="177">IFERROR(LEFT(B77,FIND("],",B77)),B77)</f>
        <v>[effect:enemy_message, val1:2, val2:2.8, dead_type:escape]</v>
      </c>
      <c r="H77" s="63">
        <f t="shared" ref="H77:H78" si="178">FIND("effect:",G77)+7</f>
        <v>9</v>
      </c>
      <c r="I77" s="63">
        <f t="shared" ref="I77:I78" si="179">IFERROR(FIND(",",G77),LEN(G77))</f>
        <v>22</v>
      </c>
      <c r="J77" s="63" t="e">
        <f t="shared" ref="J77:J78" si="180">FIND("target:",G77)+7</f>
        <v>#VALUE!</v>
      </c>
      <c r="K77" s="63">
        <f t="shared" ref="K77:K78" si="181">FIND(",",G77,I77+1)</f>
        <v>30</v>
      </c>
      <c r="L77" s="63" t="str">
        <f>IFERROR(VLOOKUP(MID(G77,J77,K77-J77),[5]skilldef!$C:$D,2,FALSE),"-") &amp; " / " &amp; IFERROR(VLOOKUP(MID(G77,H77,I77-H77),[5]skilldef!$A:$B,2,FALSE),"-")</f>
        <v>- / -</v>
      </c>
      <c r="M77" s="63" t="str">
        <f t="shared" ref="M77:M78" si="182">IFERROR(RIGHT(B77,LEN(B77)-FIND("],",B77)-1),"none")</f>
        <v>none</v>
      </c>
      <c r="N77" s="48" t="str">
        <f t="shared" si="146"/>
        <v>none</v>
      </c>
      <c r="O77" s="63" t="e">
        <f t="shared" ref="O77:O78" si="183">FIND("effect:",N77)+7</f>
        <v>#VALUE!</v>
      </c>
      <c r="P77" s="63">
        <f t="shared" ref="P77:P78" si="184">IFERROR(FIND(",",N77),LEN(N77))</f>
        <v>4</v>
      </c>
      <c r="Q77" s="63" t="e">
        <f t="shared" ref="Q77:Q78" si="185">FIND("target:",N77)+7</f>
        <v>#VALUE!</v>
      </c>
      <c r="R77" s="63" t="e">
        <f t="shared" ref="R77:R78" si="186">FIND(",",N77,P77+1)</f>
        <v>#VALUE!</v>
      </c>
      <c r="S77" s="63" t="str">
        <f>IFERROR(VLOOKUP(MID(N77,Q77,R77-Q77),[5]skilldef!$C:$D,2,FALSE),"-") &amp; " / " &amp; IFERROR(VLOOKUP(MID(N77,O77,P77-O77),[5]skilldef!$A:$B,2,FALSE),"-")</f>
        <v>- / -</v>
      </c>
      <c r="T77" s="48" t="str">
        <f t="shared" ref="T77:T78" si="187">IFERROR(RIGHT(M77,LEN(M77)-FIND("],",M77)-1),"none")</f>
        <v>none</v>
      </c>
      <c r="U77" s="63" t="e">
        <f t="shared" ref="U77:U78" si="188">FIND("effect:",T77)+7</f>
        <v>#VALUE!</v>
      </c>
      <c r="V77" s="63">
        <f t="shared" ref="V77:V78" si="189">IFERROR(FIND(",",T77),LEN(T77))</f>
        <v>4</v>
      </c>
      <c r="W77" s="63" t="e">
        <f t="shared" ref="W77:W78" si="190">FIND("target:",T77)+7</f>
        <v>#VALUE!</v>
      </c>
      <c r="X77" s="63" t="e">
        <f t="shared" ref="X77:X78" si="191">FIND(",",T77,V77+1)</f>
        <v>#VALUE!</v>
      </c>
      <c r="Y77" s="63" t="str">
        <f>IFERROR(VLOOKUP(MID(T77,W77,X77-W77),[5]skilldef!$C:$D,2,FALSE),"-") &amp; " / " &amp; IFERROR(VLOOKUP(MID(T77,U77,V77-U77),[5]skilldef!$A:$B,2,FALSE),"-")</f>
        <v>- / -</v>
      </c>
      <c r="Z77" s="50"/>
      <c r="AA77" s="52"/>
      <c r="AB77" s="50"/>
    </row>
    <row r="78" spans="1:28" ht="21" customHeight="1" x14ac:dyDescent="0.15">
      <c r="A78" s="113">
        <v>50010079</v>
      </c>
      <c r="B78" s="47" t="s">
        <v>433</v>
      </c>
      <c r="C78" s="50">
        <v>3</v>
      </c>
      <c r="D78" s="50" t="s">
        <v>125</v>
      </c>
      <c r="E78" s="51" t="s">
        <v>431</v>
      </c>
      <c r="F78" s="51" t="s">
        <v>432</v>
      </c>
      <c r="G78" s="63" t="str">
        <f t="shared" si="177"/>
        <v>[effect:enemy_message, val1:2, val2:2.8, dead_type:escape]</v>
      </c>
      <c r="H78" s="63">
        <f t="shared" si="178"/>
        <v>9</v>
      </c>
      <c r="I78" s="63">
        <f t="shared" si="179"/>
        <v>22</v>
      </c>
      <c r="J78" s="63" t="e">
        <f t="shared" si="180"/>
        <v>#VALUE!</v>
      </c>
      <c r="K78" s="63">
        <f t="shared" si="181"/>
        <v>30</v>
      </c>
      <c r="L78" s="63" t="str">
        <f>IFERROR(VLOOKUP(MID(G78,J78,K78-J78),[5]skilldef!$C:$D,2,FALSE),"-") &amp; " / " &amp; IFERROR(VLOOKUP(MID(G78,H78,I78-H78),[5]skilldef!$A:$B,2,FALSE),"-")</f>
        <v>- / -</v>
      </c>
      <c r="M78" s="63" t="str">
        <f t="shared" si="182"/>
        <v>none</v>
      </c>
      <c r="N78" s="48" t="str">
        <f t="shared" si="146"/>
        <v>none</v>
      </c>
      <c r="O78" s="63" t="e">
        <f t="shared" si="183"/>
        <v>#VALUE!</v>
      </c>
      <c r="P78" s="63">
        <f t="shared" si="184"/>
        <v>4</v>
      </c>
      <c r="Q78" s="63" t="e">
        <f t="shared" si="185"/>
        <v>#VALUE!</v>
      </c>
      <c r="R78" s="63" t="e">
        <f t="shared" si="186"/>
        <v>#VALUE!</v>
      </c>
      <c r="S78" s="63" t="str">
        <f>IFERROR(VLOOKUP(MID(N78,Q78,R78-Q78),[5]skilldef!$C:$D,2,FALSE),"-") &amp; " / " &amp; IFERROR(VLOOKUP(MID(N78,O78,P78-O78),[5]skilldef!$A:$B,2,FALSE),"-")</f>
        <v>- / -</v>
      </c>
      <c r="T78" s="48" t="str">
        <f t="shared" si="187"/>
        <v>none</v>
      </c>
      <c r="U78" s="63" t="e">
        <f t="shared" si="188"/>
        <v>#VALUE!</v>
      </c>
      <c r="V78" s="63">
        <f t="shared" si="189"/>
        <v>4</v>
      </c>
      <c r="W78" s="63" t="e">
        <f t="shared" si="190"/>
        <v>#VALUE!</v>
      </c>
      <c r="X78" s="63" t="e">
        <f t="shared" si="191"/>
        <v>#VALUE!</v>
      </c>
      <c r="Y78" s="63" t="str">
        <f>IFERROR(VLOOKUP(MID(T78,W78,X78-W78),[5]skilldef!$C:$D,2,FALSE),"-") &amp; " / " &amp; IFERROR(VLOOKUP(MID(T78,U78,V78-U78),[5]skilldef!$A:$B,2,FALSE),"-")</f>
        <v>- / -</v>
      </c>
      <c r="Z78" s="50"/>
      <c r="AA78" s="52"/>
      <c r="AB78" s="50"/>
    </row>
    <row r="79" spans="1:28" ht="21" customHeight="1" x14ac:dyDescent="0.15">
      <c r="A79" s="113">
        <v>50010080</v>
      </c>
      <c r="B79" s="47" t="s">
        <v>433</v>
      </c>
      <c r="C79" s="50">
        <v>3</v>
      </c>
      <c r="D79" s="50" t="s">
        <v>125</v>
      </c>
      <c r="E79" s="51" t="s">
        <v>431</v>
      </c>
      <c r="F79" s="51" t="s">
        <v>432</v>
      </c>
      <c r="G79" s="63" t="str">
        <f t="shared" ref="G79" si="192">IFERROR(LEFT(B79,FIND("],",B79)),B79)</f>
        <v>[effect:enemy_message, val1:2, val2:2.8, dead_type:escape]</v>
      </c>
      <c r="H79" s="63">
        <f t="shared" ref="H79" si="193">FIND("effect:",G79)+7</f>
        <v>9</v>
      </c>
      <c r="I79" s="63">
        <f t="shared" ref="I79" si="194">IFERROR(FIND(",",G79),LEN(G79))</f>
        <v>22</v>
      </c>
      <c r="J79" s="63" t="e">
        <f t="shared" ref="J79" si="195">FIND("target:",G79)+7</f>
        <v>#VALUE!</v>
      </c>
      <c r="K79" s="63">
        <f t="shared" ref="K79" si="196">FIND(",",G79,I79+1)</f>
        <v>30</v>
      </c>
      <c r="L79" s="63" t="str">
        <f>IFERROR(VLOOKUP(MID(G79,J79,K79-J79),[5]skilldef!$C:$D,2,FALSE),"-") &amp; " / " &amp; IFERROR(VLOOKUP(MID(G79,H79,I79-H79),[5]skilldef!$A:$B,2,FALSE),"-")</f>
        <v>- / -</v>
      </c>
      <c r="M79" s="63" t="str">
        <f t="shared" ref="M79" si="197">IFERROR(RIGHT(B79,LEN(B79)-FIND("],",B79)-1),"none")</f>
        <v>none</v>
      </c>
      <c r="N79" s="48" t="str">
        <f t="shared" si="146"/>
        <v>none</v>
      </c>
      <c r="O79" s="63" t="e">
        <f t="shared" ref="O79" si="198">FIND("effect:",N79)+7</f>
        <v>#VALUE!</v>
      </c>
      <c r="P79" s="63">
        <f t="shared" ref="P79" si="199">IFERROR(FIND(",",N79),LEN(N79))</f>
        <v>4</v>
      </c>
      <c r="Q79" s="63" t="e">
        <f t="shared" ref="Q79" si="200">FIND("target:",N79)+7</f>
        <v>#VALUE!</v>
      </c>
      <c r="R79" s="63" t="e">
        <f t="shared" ref="R79" si="201">FIND(",",N79,P79+1)</f>
        <v>#VALUE!</v>
      </c>
      <c r="S79" s="63" t="str">
        <f>IFERROR(VLOOKUP(MID(N79,Q79,R79-Q79),[5]skilldef!$C:$D,2,FALSE),"-") &amp; " / " &amp; IFERROR(VLOOKUP(MID(N79,O79,P79-O79),[5]skilldef!$A:$B,2,FALSE),"-")</f>
        <v>- / -</v>
      </c>
      <c r="T79" s="48" t="str">
        <f t="shared" ref="T79" si="202">IFERROR(RIGHT(M79,LEN(M79)-FIND("],",M79)-1),"none")</f>
        <v>none</v>
      </c>
      <c r="U79" s="63" t="e">
        <f t="shared" ref="U79" si="203">FIND("effect:",T79)+7</f>
        <v>#VALUE!</v>
      </c>
      <c r="V79" s="63">
        <f t="shared" ref="V79" si="204">IFERROR(FIND(",",T79),LEN(T79))</f>
        <v>4</v>
      </c>
      <c r="W79" s="63" t="e">
        <f t="shared" ref="W79" si="205">FIND("target:",T79)+7</f>
        <v>#VALUE!</v>
      </c>
      <c r="X79" s="63" t="e">
        <f t="shared" ref="X79" si="206">FIND(",",T79,V79+1)</f>
        <v>#VALUE!</v>
      </c>
      <c r="Y79" s="63" t="str">
        <f>IFERROR(VLOOKUP(MID(T79,W79,X79-W79),[5]skilldef!$C:$D,2,FALSE),"-") &amp; " / " &amp; IFERROR(VLOOKUP(MID(T79,U79,V79-U79),[5]skilldef!$A:$B,2,FALSE),"-")</f>
        <v>- / -</v>
      </c>
      <c r="Z79" s="50"/>
      <c r="AA79" s="52"/>
      <c r="AB79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77"/>
  <sheetViews>
    <sheetView showGridLines="0" zoomScale="120" zoomScaleNormal="120" zoomScalePageLayoutView="120" workbookViewId="0">
      <pane ySplit="1" topLeftCell="A27" activePane="bottomLeft" state="frozenSplit"/>
      <selection pane="bottomLeft" activeCell="G40" sqref="G40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1" ht="21" customHeight="1" x14ac:dyDescent="0.15">
      <c r="A2" s="47">
        <v>50010001</v>
      </c>
      <c r="B2" s="47">
        <v>0</v>
      </c>
      <c r="C2" s="47">
        <v>50</v>
      </c>
      <c r="D2" s="47">
        <v>100</v>
      </c>
      <c r="E2" s="47" t="s">
        <v>272</v>
      </c>
      <c r="F2" s="47" t="s">
        <v>273</v>
      </c>
      <c r="G2" s="47" t="s">
        <v>273</v>
      </c>
      <c r="H2" s="47" t="s">
        <v>275</v>
      </c>
      <c r="I2" s="47" t="s">
        <v>276</v>
      </c>
      <c r="J2" s="48">
        <f t="shared" ref="J2:J62" si="0">D2</f>
        <v>100</v>
      </c>
    </row>
    <row r="3" spans="1:11" ht="21" customHeight="1" x14ac:dyDescent="0.15">
      <c r="A3" s="47">
        <v>50010002</v>
      </c>
      <c r="B3" s="47">
        <v>1</v>
      </c>
      <c r="C3" s="47">
        <v>100</v>
      </c>
      <c r="D3" s="47">
        <v>100</v>
      </c>
      <c r="E3" s="47" t="s">
        <v>272</v>
      </c>
      <c r="F3" s="47" t="s">
        <v>273</v>
      </c>
      <c r="G3" s="47">
        <v>1</v>
      </c>
      <c r="H3" s="47" t="s">
        <v>275</v>
      </c>
      <c r="I3" s="47" t="s">
        <v>276</v>
      </c>
      <c r="J3" s="48">
        <f t="shared" si="0"/>
        <v>100</v>
      </c>
    </row>
    <row r="4" spans="1:11" ht="21" customHeight="1" x14ac:dyDescent="0.15">
      <c r="A4" s="47">
        <v>50010003</v>
      </c>
      <c r="B4" s="47">
        <v>0</v>
      </c>
      <c r="C4" s="47">
        <v>50</v>
      </c>
      <c r="D4" s="47">
        <v>100</v>
      </c>
      <c r="E4" s="47" t="s">
        <v>272</v>
      </c>
      <c r="F4" s="47" t="s">
        <v>273</v>
      </c>
      <c r="G4" s="47" t="s">
        <v>274</v>
      </c>
      <c r="H4" s="47" t="s">
        <v>275</v>
      </c>
      <c r="I4" s="47" t="s">
        <v>276</v>
      </c>
      <c r="J4" s="48">
        <f t="shared" si="0"/>
        <v>100</v>
      </c>
    </row>
    <row r="5" spans="1:11" ht="21" customHeight="1" x14ac:dyDescent="0.15">
      <c r="A5" s="47">
        <v>50010004</v>
      </c>
      <c r="B5" s="47">
        <v>0</v>
      </c>
      <c r="C5" s="47">
        <v>50</v>
      </c>
      <c r="D5" s="47">
        <v>100</v>
      </c>
      <c r="E5" s="47" t="s">
        <v>272</v>
      </c>
      <c r="F5" s="47" t="s">
        <v>273</v>
      </c>
      <c r="G5" s="47" t="s">
        <v>274</v>
      </c>
      <c r="H5" s="47" t="s">
        <v>275</v>
      </c>
      <c r="I5" s="47" t="s">
        <v>276</v>
      </c>
      <c r="J5" s="48">
        <f t="shared" si="0"/>
        <v>100</v>
      </c>
    </row>
    <row r="6" spans="1:11" ht="21" customHeight="1" x14ac:dyDescent="0.15">
      <c r="A6" s="47">
        <v>50010005</v>
      </c>
      <c r="B6" s="47">
        <v>1</v>
      </c>
      <c r="C6" s="47">
        <v>100</v>
      </c>
      <c r="D6" s="47">
        <v>100</v>
      </c>
      <c r="E6" s="47" t="s">
        <v>272</v>
      </c>
      <c r="F6" s="47" t="s">
        <v>273</v>
      </c>
      <c r="G6" s="47">
        <v>1</v>
      </c>
      <c r="H6" s="47" t="s">
        <v>275</v>
      </c>
      <c r="I6" s="47" t="s">
        <v>276</v>
      </c>
      <c r="J6" s="48">
        <f t="shared" si="0"/>
        <v>100</v>
      </c>
    </row>
    <row r="7" spans="1:11" ht="21" customHeight="1" x14ac:dyDescent="0.15">
      <c r="A7" s="47">
        <v>50010006</v>
      </c>
      <c r="B7" s="47">
        <v>0</v>
      </c>
      <c r="C7" s="47">
        <v>50</v>
      </c>
      <c r="D7" s="47">
        <v>100</v>
      </c>
      <c r="E7" s="47" t="s">
        <v>272</v>
      </c>
      <c r="F7" s="47" t="s">
        <v>273</v>
      </c>
      <c r="G7" s="47" t="s">
        <v>274</v>
      </c>
      <c r="H7" s="47" t="s">
        <v>275</v>
      </c>
      <c r="I7" s="47" t="s">
        <v>276</v>
      </c>
      <c r="J7" s="48">
        <f t="shared" si="0"/>
        <v>100</v>
      </c>
    </row>
    <row r="8" spans="1:11" ht="21" customHeight="1" x14ac:dyDescent="0.15">
      <c r="A8" s="47">
        <v>50010007</v>
      </c>
      <c r="B8" s="47">
        <v>0</v>
      </c>
      <c r="C8" s="47">
        <v>50</v>
      </c>
      <c r="D8" s="47">
        <v>100</v>
      </c>
      <c r="E8" s="47" t="s">
        <v>272</v>
      </c>
      <c r="F8" s="47" t="s">
        <v>273</v>
      </c>
      <c r="G8" s="47" t="s">
        <v>274</v>
      </c>
      <c r="H8" s="47" t="s">
        <v>275</v>
      </c>
      <c r="I8" s="47" t="s">
        <v>276</v>
      </c>
      <c r="J8" s="48">
        <f t="shared" si="0"/>
        <v>100</v>
      </c>
    </row>
    <row r="9" spans="1:11" ht="21" customHeight="1" x14ac:dyDescent="0.15">
      <c r="A9" s="47">
        <v>50010008</v>
      </c>
      <c r="B9" s="47">
        <v>1</v>
      </c>
      <c r="C9" s="47">
        <v>100</v>
      </c>
      <c r="D9" s="47">
        <v>100</v>
      </c>
      <c r="E9" s="47" t="s">
        <v>272</v>
      </c>
      <c r="F9" s="47" t="s">
        <v>273</v>
      </c>
      <c r="G9" s="47">
        <v>1</v>
      </c>
      <c r="H9" s="47" t="s">
        <v>275</v>
      </c>
      <c r="I9" s="47" t="s">
        <v>276</v>
      </c>
      <c r="J9" s="48">
        <f t="shared" si="0"/>
        <v>100</v>
      </c>
    </row>
    <row r="10" spans="1:11" ht="21" customHeight="1" x14ac:dyDescent="0.15">
      <c r="A10" s="47">
        <v>50010009</v>
      </c>
      <c r="B10" s="47">
        <v>0</v>
      </c>
      <c r="C10" s="47">
        <v>50</v>
      </c>
      <c r="D10" s="47">
        <v>100</v>
      </c>
      <c r="E10" s="47" t="s">
        <v>272</v>
      </c>
      <c r="F10" s="47" t="s">
        <v>273</v>
      </c>
      <c r="G10" s="47" t="s">
        <v>274</v>
      </c>
      <c r="H10" s="47" t="s">
        <v>275</v>
      </c>
      <c r="I10" s="47" t="s">
        <v>276</v>
      </c>
      <c r="J10" s="48">
        <f t="shared" si="0"/>
        <v>100</v>
      </c>
    </row>
    <row r="11" spans="1:11" ht="21" customHeight="1" x14ac:dyDescent="0.15">
      <c r="A11" s="47">
        <v>50010010</v>
      </c>
      <c r="B11" s="47">
        <v>1</v>
      </c>
      <c r="C11" s="47">
        <v>100</v>
      </c>
      <c r="D11" s="47">
        <v>100</v>
      </c>
      <c r="E11" s="47" t="s">
        <v>272</v>
      </c>
      <c r="F11" s="47" t="s">
        <v>273</v>
      </c>
      <c r="G11" s="47">
        <v>1</v>
      </c>
      <c r="H11" s="47" t="s">
        <v>275</v>
      </c>
      <c r="I11" s="47" t="s">
        <v>276</v>
      </c>
      <c r="J11" s="48">
        <f t="shared" si="0"/>
        <v>100</v>
      </c>
    </row>
    <row r="12" spans="1:11" ht="21" customHeight="1" x14ac:dyDescent="0.15">
      <c r="A12" s="47">
        <v>50010011</v>
      </c>
      <c r="B12" s="47">
        <v>0</v>
      </c>
      <c r="C12" s="47">
        <v>50</v>
      </c>
      <c r="D12" s="47">
        <v>50</v>
      </c>
      <c r="E12" s="47" t="s">
        <v>272</v>
      </c>
      <c r="F12" s="47" t="s">
        <v>273</v>
      </c>
      <c r="G12" s="47" t="s">
        <v>274</v>
      </c>
      <c r="H12" s="47" t="s">
        <v>275</v>
      </c>
      <c r="I12" s="47" t="s">
        <v>276</v>
      </c>
      <c r="J12" s="48">
        <f t="shared" si="0"/>
        <v>50</v>
      </c>
    </row>
    <row r="13" spans="1:11" ht="21" customHeight="1" x14ac:dyDescent="0.15">
      <c r="A13" s="47">
        <v>50010012</v>
      </c>
      <c r="B13" s="47">
        <v>0</v>
      </c>
      <c r="C13" s="47">
        <v>49</v>
      </c>
      <c r="D13" s="47">
        <v>100</v>
      </c>
      <c r="E13" s="47" t="s">
        <v>272</v>
      </c>
      <c r="F13" s="47" t="s">
        <v>273</v>
      </c>
      <c r="G13" s="47" t="s">
        <v>274</v>
      </c>
      <c r="H13" s="47" t="s">
        <v>275</v>
      </c>
      <c r="I13" s="47" t="s">
        <v>276</v>
      </c>
      <c r="J13" s="48">
        <f t="shared" si="0"/>
        <v>100</v>
      </c>
    </row>
    <row r="14" spans="1:11" ht="21" customHeight="1" x14ac:dyDescent="0.15">
      <c r="A14" s="47">
        <v>50010013</v>
      </c>
      <c r="B14" s="47">
        <v>0</v>
      </c>
      <c r="C14" s="47">
        <v>60</v>
      </c>
      <c r="D14" s="47">
        <v>100</v>
      </c>
      <c r="E14" s="47">
        <v>75</v>
      </c>
      <c r="F14" s="47" t="s">
        <v>273</v>
      </c>
      <c r="G14" s="47">
        <v>1</v>
      </c>
      <c r="H14" s="47">
        <v>1</v>
      </c>
      <c r="I14" s="47" t="s">
        <v>276</v>
      </c>
      <c r="J14" s="48">
        <f t="shared" si="0"/>
        <v>100</v>
      </c>
    </row>
    <row r="15" spans="1:11" ht="21" customHeight="1" x14ac:dyDescent="0.15">
      <c r="A15" s="47">
        <v>50010014</v>
      </c>
      <c r="B15" s="47">
        <v>0</v>
      </c>
      <c r="C15" s="47">
        <v>59</v>
      </c>
      <c r="D15" s="47">
        <v>100</v>
      </c>
      <c r="E15" s="47">
        <v>75</v>
      </c>
      <c r="F15" s="47" t="s">
        <v>273</v>
      </c>
      <c r="G15" s="47" t="s">
        <v>274</v>
      </c>
      <c r="H15" s="47">
        <v>2</v>
      </c>
      <c r="I15" s="47" t="s">
        <v>276</v>
      </c>
      <c r="J15" s="48">
        <f t="shared" si="0"/>
        <v>100</v>
      </c>
    </row>
    <row r="16" spans="1:11" ht="21" customHeight="1" x14ac:dyDescent="0.15">
      <c r="A16" s="47">
        <v>50010015</v>
      </c>
      <c r="B16" s="47">
        <v>0</v>
      </c>
      <c r="C16" s="47">
        <v>70</v>
      </c>
      <c r="D16" s="47">
        <v>100</v>
      </c>
      <c r="E16" s="47">
        <v>25</v>
      </c>
      <c r="F16" s="47" t="s">
        <v>273</v>
      </c>
      <c r="G16" s="47">
        <v>1</v>
      </c>
      <c r="H16" s="47">
        <v>1</v>
      </c>
      <c r="I16" s="47" t="s">
        <v>276</v>
      </c>
      <c r="J16" s="48">
        <f t="shared" si="0"/>
        <v>100</v>
      </c>
    </row>
    <row r="17" spans="1:10" ht="21" customHeight="1" x14ac:dyDescent="0.15">
      <c r="A17" s="47">
        <v>50010016</v>
      </c>
      <c r="B17" s="47">
        <v>0</v>
      </c>
      <c r="C17" s="47">
        <v>69</v>
      </c>
      <c r="D17" s="47">
        <v>100</v>
      </c>
      <c r="E17" s="47">
        <v>25</v>
      </c>
      <c r="F17" s="47" t="s">
        <v>273</v>
      </c>
      <c r="G17" s="47">
        <v>1</v>
      </c>
      <c r="H17" s="47">
        <v>1</v>
      </c>
      <c r="I17" s="47" t="s">
        <v>276</v>
      </c>
      <c r="J17" s="48">
        <f t="shared" si="0"/>
        <v>100</v>
      </c>
    </row>
    <row r="18" spans="1:10" ht="21" customHeight="1" x14ac:dyDescent="0.15">
      <c r="A18" s="47">
        <v>50010017</v>
      </c>
      <c r="B18" s="47">
        <v>1</v>
      </c>
      <c r="C18" s="47">
        <v>100</v>
      </c>
      <c r="D18" s="47">
        <v>100</v>
      </c>
      <c r="E18" s="47" t="s">
        <v>272</v>
      </c>
      <c r="F18" s="47" t="s">
        <v>273</v>
      </c>
      <c r="G18" s="47">
        <v>1</v>
      </c>
      <c r="H18" s="47" t="s">
        <v>275</v>
      </c>
      <c r="I18" s="47" t="s">
        <v>276</v>
      </c>
      <c r="J18" s="48">
        <f t="shared" si="0"/>
        <v>100</v>
      </c>
    </row>
    <row r="19" spans="1:10" ht="21" customHeight="1" x14ac:dyDescent="0.15">
      <c r="A19" s="47">
        <v>50010018</v>
      </c>
      <c r="B19" s="47">
        <v>0</v>
      </c>
      <c r="C19" s="47">
        <v>50</v>
      </c>
      <c r="D19" s="47">
        <v>100</v>
      </c>
      <c r="E19" s="47" t="s">
        <v>272</v>
      </c>
      <c r="F19" s="47" t="s">
        <v>273</v>
      </c>
      <c r="G19" s="47">
        <v>1</v>
      </c>
      <c r="H19" s="47" t="s">
        <v>275</v>
      </c>
      <c r="I19" s="47" t="s">
        <v>276</v>
      </c>
      <c r="J19" s="48">
        <f t="shared" si="0"/>
        <v>100</v>
      </c>
    </row>
    <row r="20" spans="1:10" ht="21" customHeight="1" x14ac:dyDescent="0.15">
      <c r="A20" s="47">
        <v>50010019</v>
      </c>
      <c r="B20" s="47">
        <v>0</v>
      </c>
      <c r="C20" s="47">
        <v>49</v>
      </c>
      <c r="D20" s="47">
        <v>100</v>
      </c>
      <c r="E20" s="47" t="s">
        <v>272</v>
      </c>
      <c r="F20" s="47" t="s">
        <v>273</v>
      </c>
      <c r="G20" s="47">
        <v>1</v>
      </c>
      <c r="H20" s="47" t="s">
        <v>275</v>
      </c>
      <c r="I20" s="47" t="s">
        <v>276</v>
      </c>
      <c r="J20" s="48">
        <f t="shared" si="0"/>
        <v>100</v>
      </c>
    </row>
    <row r="21" spans="1:10" ht="21" customHeight="1" x14ac:dyDescent="0.15">
      <c r="A21" s="47">
        <v>50010020</v>
      </c>
      <c r="B21" s="47">
        <v>0</v>
      </c>
      <c r="C21" s="47">
        <v>48</v>
      </c>
      <c r="D21" s="47">
        <v>100</v>
      </c>
      <c r="E21" s="47" t="s">
        <v>272</v>
      </c>
      <c r="F21" s="47" t="s">
        <v>273</v>
      </c>
      <c r="G21" s="47">
        <v>1</v>
      </c>
      <c r="H21" s="47" t="s">
        <v>275</v>
      </c>
      <c r="I21" s="47" t="s">
        <v>276</v>
      </c>
      <c r="J21" s="48">
        <f t="shared" si="0"/>
        <v>100</v>
      </c>
    </row>
    <row r="22" spans="1:10" ht="21" customHeight="1" x14ac:dyDescent="0.15">
      <c r="A22" s="47">
        <v>50010021</v>
      </c>
      <c r="B22" s="47">
        <v>0</v>
      </c>
      <c r="C22" s="47">
        <v>47</v>
      </c>
      <c r="D22" s="47">
        <v>100</v>
      </c>
      <c r="E22" s="47" t="s">
        <v>272</v>
      </c>
      <c r="F22" s="47" t="s">
        <v>273</v>
      </c>
      <c r="G22" s="47">
        <v>1</v>
      </c>
      <c r="H22" s="47" t="s">
        <v>275</v>
      </c>
      <c r="I22" s="47" t="s">
        <v>276</v>
      </c>
      <c r="J22" s="48">
        <f t="shared" si="0"/>
        <v>100</v>
      </c>
    </row>
    <row r="23" spans="1:10" ht="21" customHeight="1" x14ac:dyDescent="0.15">
      <c r="A23" s="47">
        <v>50010022</v>
      </c>
      <c r="B23" s="47">
        <v>0</v>
      </c>
      <c r="C23" s="47">
        <v>46</v>
      </c>
      <c r="D23" s="47">
        <v>100</v>
      </c>
      <c r="E23" s="47" t="s">
        <v>272</v>
      </c>
      <c r="F23" s="47" t="s">
        <v>273</v>
      </c>
      <c r="G23" s="47">
        <v>1</v>
      </c>
      <c r="H23" s="47" t="s">
        <v>275</v>
      </c>
      <c r="I23" s="47" t="s">
        <v>276</v>
      </c>
      <c r="J23" s="48">
        <f t="shared" si="0"/>
        <v>100</v>
      </c>
    </row>
    <row r="24" spans="1:10" ht="21" customHeight="1" x14ac:dyDescent="0.15">
      <c r="A24" s="47">
        <v>50010023</v>
      </c>
      <c r="B24" s="47">
        <v>0</v>
      </c>
      <c r="C24" s="47">
        <v>45</v>
      </c>
      <c r="D24" s="47">
        <v>100</v>
      </c>
      <c r="E24" s="47" t="s">
        <v>272</v>
      </c>
      <c r="F24" s="47" t="s">
        <v>273</v>
      </c>
      <c r="G24" s="47">
        <v>1</v>
      </c>
      <c r="H24" s="47" t="s">
        <v>275</v>
      </c>
      <c r="I24" s="47" t="s">
        <v>276</v>
      </c>
      <c r="J24" s="48">
        <f t="shared" si="0"/>
        <v>100</v>
      </c>
    </row>
    <row r="25" spans="1:10" ht="21" customHeight="1" x14ac:dyDescent="0.15">
      <c r="A25" s="47">
        <v>50010024</v>
      </c>
      <c r="B25" s="47">
        <v>0</v>
      </c>
      <c r="C25" s="47">
        <v>44</v>
      </c>
      <c r="D25" s="47">
        <v>100</v>
      </c>
      <c r="E25" s="47" t="s">
        <v>272</v>
      </c>
      <c r="F25" s="47" t="s">
        <v>273</v>
      </c>
      <c r="G25" s="47">
        <v>1</v>
      </c>
      <c r="H25" s="47" t="s">
        <v>275</v>
      </c>
      <c r="I25" s="47" t="s">
        <v>276</v>
      </c>
      <c r="J25" s="48">
        <f t="shared" si="0"/>
        <v>100</v>
      </c>
    </row>
    <row r="26" spans="1:10" ht="21" customHeight="1" x14ac:dyDescent="0.15">
      <c r="A26" s="47">
        <v>50010025</v>
      </c>
      <c r="B26" s="47">
        <v>0</v>
      </c>
      <c r="C26" s="47">
        <v>43</v>
      </c>
      <c r="D26" s="47">
        <v>100</v>
      </c>
      <c r="E26" s="47" t="s">
        <v>272</v>
      </c>
      <c r="F26" s="47" t="s">
        <v>273</v>
      </c>
      <c r="G26" s="47">
        <v>1</v>
      </c>
      <c r="H26" s="47" t="s">
        <v>275</v>
      </c>
      <c r="I26" s="47" t="s">
        <v>276</v>
      </c>
      <c r="J26" s="48">
        <f t="shared" si="0"/>
        <v>100</v>
      </c>
    </row>
    <row r="27" spans="1:10" ht="21" customHeight="1" x14ac:dyDescent="0.15">
      <c r="A27" s="47">
        <v>50010026</v>
      </c>
      <c r="B27" s="47">
        <v>0</v>
      </c>
      <c r="C27" s="47">
        <v>42</v>
      </c>
      <c r="D27" s="47">
        <v>100</v>
      </c>
      <c r="E27" s="47" t="s">
        <v>272</v>
      </c>
      <c r="F27" s="47" t="s">
        <v>273</v>
      </c>
      <c r="G27" s="47">
        <v>1</v>
      </c>
      <c r="H27" s="47" t="s">
        <v>275</v>
      </c>
      <c r="I27" s="47" t="s">
        <v>276</v>
      </c>
      <c r="J27" s="48">
        <f t="shared" si="0"/>
        <v>100</v>
      </c>
    </row>
    <row r="28" spans="1:10" ht="21" customHeight="1" x14ac:dyDescent="0.15">
      <c r="A28" s="47">
        <v>50010027</v>
      </c>
      <c r="B28" s="47">
        <v>0</v>
      </c>
      <c r="C28" s="47">
        <v>41</v>
      </c>
      <c r="D28" s="47">
        <v>100</v>
      </c>
      <c r="E28" s="47" t="s">
        <v>272</v>
      </c>
      <c r="F28" s="47" t="s">
        <v>273</v>
      </c>
      <c r="G28" s="47">
        <v>1</v>
      </c>
      <c r="H28" s="47" t="s">
        <v>275</v>
      </c>
      <c r="I28" s="47" t="s">
        <v>276</v>
      </c>
      <c r="J28" s="48">
        <f t="shared" si="0"/>
        <v>100</v>
      </c>
    </row>
    <row r="29" spans="1:10" ht="21" customHeight="1" x14ac:dyDescent="0.15">
      <c r="A29" s="47">
        <v>50010028</v>
      </c>
      <c r="B29" s="47">
        <v>1</v>
      </c>
      <c r="C29" s="47">
        <v>100</v>
      </c>
      <c r="D29" s="47">
        <v>100</v>
      </c>
      <c r="E29" s="47" t="s">
        <v>272</v>
      </c>
      <c r="F29" s="47" t="s">
        <v>273</v>
      </c>
      <c r="G29" s="47">
        <v>1</v>
      </c>
      <c r="H29" s="47" t="s">
        <v>275</v>
      </c>
      <c r="I29" s="47" t="s">
        <v>276</v>
      </c>
      <c r="J29" s="48">
        <f t="shared" si="0"/>
        <v>100</v>
      </c>
    </row>
    <row r="30" spans="1:10" ht="21" customHeight="1" x14ac:dyDescent="0.15">
      <c r="A30" s="47">
        <v>50010029</v>
      </c>
      <c r="B30" s="47">
        <v>0</v>
      </c>
      <c r="C30" s="47">
        <v>50</v>
      </c>
      <c r="D30" s="47">
        <v>50</v>
      </c>
      <c r="E30" s="47" t="s">
        <v>272</v>
      </c>
      <c r="F30" s="47" t="s">
        <v>273</v>
      </c>
      <c r="G30" s="47" t="s">
        <v>274</v>
      </c>
      <c r="H30" s="47" t="s">
        <v>275</v>
      </c>
      <c r="I30" s="47" t="s">
        <v>276</v>
      </c>
      <c r="J30" s="48">
        <f t="shared" si="0"/>
        <v>50</v>
      </c>
    </row>
    <row r="31" spans="1:10" ht="21" customHeight="1" x14ac:dyDescent="0.15">
      <c r="A31" s="47">
        <v>50010030</v>
      </c>
      <c r="B31" s="47">
        <v>0</v>
      </c>
      <c r="C31" s="47">
        <v>49</v>
      </c>
      <c r="D31" s="47">
        <v>100</v>
      </c>
      <c r="E31" s="47" t="s">
        <v>272</v>
      </c>
      <c r="F31" s="47" t="s">
        <v>273</v>
      </c>
      <c r="G31" s="47" t="s">
        <v>274</v>
      </c>
      <c r="H31" s="47" t="s">
        <v>275</v>
      </c>
      <c r="I31" s="47" t="s">
        <v>276</v>
      </c>
      <c r="J31" s="48">
        <f t="shared" si="0"/>
        <v>100</v>
      </c>
    </row>
    <row r="32" spans="1:10" ht="21" customHeight="1" x14ac:dyDescent="0.15">
      <c r="A32" s="47">
        <v>50010031</v>
      </c>
      <c r="B32" s="47">
        <v>0</v>
      </c>
      <c r="C32" s="47">
        <v>60</v>
      </c>
      <c r="D32" s="47">
        <v>100</v>
      </c>
      <c r="E32" s="47" t="s">
        <v>272</v>
      </c>
      <c r="F32" s="47">
        <v>50</v>
      </c>
      <c r="G32" s="47" t="s">
        <v>274</v>
      </c>
      <c r="H32" s="47">
        <v>3</v>
      </c>
      <c r="I32" s="47" t="s">
        <v>276</v>
      </c>
      <c r="J32" s="48">
        <f t="shared" si="0"/>
        <v>100</v>
      </c>
    </row>
    <row r="33" spans="1:10" ht="21" customHeight="1" x14ac:dyDescent="0.15">
      <c r="A33" s="47">
        <v>50010032</v>
      </c>
      <c r="B33" s="47">
        <v>0</v>
      </c>
      <c r="C33" s="47">
        <v>60</v>
      </c>
      <c r="D33" s="47">
        <v>100</v>
      </c>
      <c r="E33" s="47">
        <v>50</v>
      </c>
      <c r="F33" s="47" t="s">
        <v>273</v>
      </c>
      <c r="G33" s="47" t="s">
        <v>274</v>
      </c>
      <c r="H33" s="47">
        <v>3</v>
      </c>
      <c r="I33" s="47" t="s">
        <v>276</v>
      </c>
      <c r="J33" s="48">
        <f t="shared" si="0"/>
        <v>100</v>
      </c>
    </row>
    <row r="34" spans="1:10" ht="21" customHeight="1" x14ac:dyDescent="0.15">
      <c r="A34" s="47">
        <v>50010033</v>
      </c>
      <c r="B34" s="47">
        <v>0</v>
      </c>
      <c r="C34" s="47">
        <v>99</v>
      </c>
      <c r="D34" s="47">
        <v>100</v>
      </c>
      <c r="E34" s="47" t="s">
        <v>272</v>
      </c>
      <c r="F34" s="47" t="s">
        <v>273</v>
      </c>
      <c r="G34" s="47">
        <v>3</v>
      </c>
      <c r="H34" s="47" t="s">
        <v>275</v>
      </c>
      <c r="I34" s="47">
        <v>452</v>
      </c>
      <c r="J34" s="48">
        <f t="shared" si="0"/>
        <v>100</v>
      </c>
    </row>
    <row r="35" spans="1:10" ht="21" customHeight="1" x14ac:dyDescent="0.15">
      <c r="A35" s="47">
        <v>50010034</v>
      </c>
      <c r="B35" s="47">
        <v>1</v>
      </c>
      <c r="C35" s="47">
        <v>100</v>
      </c>
      <c r="D35" s="47">
        <v>100</v>
      </c>
      <c r="E35" s="47" t="s">
        <v>272</v>
      </c>
      <c r="F35" s="47" t="s">
        <v>273</v>
      </c>
      <c r="G35" s="47">
        <v>1</v>
      </c>
      <c r="H35" s="47" t="s">
        <v>275</v>
      </c>
      <c r="I35" s="47" t="s">
        <v>276</v>
      </c>
      <c r="J35" s="48">
        <f t="shared" si="0"/>
        <v>100</v>
      </c>
    </row>
    <row r="36" spans="1:10" ht="21" customHeight="1" x14ac:dyDescent="0.15">
      <c r="A36" s="47">
        <v>50010035</v>
      </c>
      <c r="B36" s="47">
        <v>0</v>
      </c>
      <c r="C36" s="47">
        <v>50</v>
      </c>
      <c r="D36" s="47">
        <v>75</v>
      </c>
      <c r="E36" s="47" t="s">
        <v>272</v>
      </c>
      <c r="F36" s="47" t="s">
        <v>273</v>
      </c>
      <c r="G36" s="47" t="s">
        <v>274</v>
      </c>
      <c r="H36" s="47" t="s">
        <v>275</v>
      </c>
      <c r="I36" s="47" t="s">
        <v>276</v>
      </c>
      <c r="J36" s="48">
        <f t="shared" si="0"/>
        <v>75</v>
      </c>
    </row>
    <row r="37" spans="1:10" ht="21" customHeight="1" x14ac:dyDescent="0.15">
      <c r="A37" s="47">
        <v>50010036</v>
      </c>
      <c r="B37" s="47">
        <v>0</v>
      </c>
      <c r="C37" s="47">
        <v>60</v>
      </c>
      <c r="D37" s="47">
        <v>100</v>
      </c>
      <c r="E37" s="47" t="s">
        <v>272</v>
      </c>
      <c r="F37" s="47" t="s">
        <v>273</v>
      </c>
      <c r="G37" s="47" t="s">
        <v>274</v>
      </c>
      <c r="H37" s="47">
        <v>2</v>
      </c>
      <c r="I37" s="47" t="s">
        <v>276</v>
      </c>
      <c r="J37" s="48">
        <f t="shared" si="0"/>
        <v>100</v>
      </c>
    </row>
    <row r="38" spans="1:10" ht="21" customHeight="1" x14ac:dyDescent="0.15">
      <c r="A38" s="47">
        <v>50010037</v>
      </c>
      <c r="B38" s="47">
        <v>0</v>
      </c>
      <c r="C38" s="47">
        <v>70</v>
      </c>
      <c r="D38" s="47">
        <v>100</v>
      </c>
      <c r="E38" s="47" t="s">
        <v>272</v>
      </c>
      <c r="F38" s="47">
        <v>50</v>
      </c>
      <c r="G38" s="47" t="s">
        <v>274</v>
      </c>
      <c r="H38" s="47">
        <v>3</v>
      </c>
      <c r="I38" s="47" t="s">
        <v>276</v>
      </c>
      <c r="J38" s="48">
        <f t="shared" si="0"/>
        <v>100</v>
      </c>
    </row>
    <row r="39" spans="1:10" ht="21" customHeight="1" x14ac:dyDescent="0.15">
      <c r="A39" s="47">
        <v>50010038</v>
      </c>
      <c r="B39" s="47">
        <v>0</v>
      </c>
      <c r="C39" s="47">
        <v>70</v>
      </c>
      <c r="D39" s="47">
        <v>100</v>
      </c>
      <c r="E39" s="47">
        <v>50</v>
      </c>
      <c r="F39" s="47" t="s">
        <v>273</v>
      </c>
      <c r="G39" s="47">
        <v>3</v>
      </c>
      <c r="H39" s="47">
        <v>3</v>
      </c>
      <c r="I39" s="47" t="s">
        <v>276</v>
      </c>
      <c r="J39" s="48">
        <f t="shared" si="0"/>
        <v>100</v>
      </c>
    </row>
    <row r="40" spans="1:10" ht="21" customHeight="1" x14ac:dyDescent="0.15">
      <c r="A40" s="47">
        <v>50010039</v>
      </c>
      <c r="B40" s="47">
        <v>0</v>
      </c>
      <c r="C40" s="47">
        <v>99</v>
      </c>
      <c r="D40" s="47">
        <v>100</v>
      </c>
      <c r="E40" s="47" t="s">
        <v>272</v>
      </c>
      <c r="F40" s="47" t="s">
        <v>273</v>
      </c>
      <c r="G40" s="47">
        <v>3</v>
      </c>
      <c r="H40" s="47" t="s">
        <v>275</v>
      </c>
      <c r="I40" s="47">
        <v>130</v>
      </c>
      <c r="J40" s="48">
        <f t="shared" si="0"/>
        <v>100</v>
      </c>
    </row>
    <row r="41" spans="1:10" ht="21" customHeight="1" x14ac:dyDescent="0.15">
      <c r="A41" s="47">
        <v>50010040</v>
      </c>
      <c r="B41" s="47">
        <v>1</v>
      </c>
      <c r="C41" s="47">
        <v>100</v>
      </c>
      <c r="D41" s="47">
        <v>100</v>
      </c>
      <c r="E41" s="47" t="s">
        <v>272</v>
      </c>
      <c r="F41" s="47" t="s">
        <v>273</v>
      </c>
      <c r="G41" s="47">
        <v>1</v>
      </c>
      <c r="H41" s="47" t="s">
        <v>275</v>
      </c>
      <c r="I41" s="47" t="s">
        <v>276</v>
      </c>
      <c r="J41" s="48">
        <f t="shared" si="0"/>
        <v>100</v>
      </c>
    </row>
    <row r="42" spans="1:10" ht="21" customHeight="1" x14ac:dyDescent="0.15">
      <c r="A42" s="47">
        <v>50010041</v>
      </c>
      <c r="B42" s="47">
        <v>0</v>
      </c>
      <c r="C42" s="47">
        <v>50</v>
      </c>
      <c r="D42" s="47">
        <v>100</v>
      </c>
      <c r="E42" s="47" t="s">
        <v>272</v>
      </c>
      <c r="F42" s="47" t="s">
        <v>273</v>
      </c>
      <c r="G42" s="47" t="s">
        <v>274</v>
      </c>
      <c r="H42" s="47" t="s">
        <v>275</v>
      </c>
      <c r="I42" s="47" t="s">
        <v>276</v>
      </c>
      <c r="J42" s="48">
        <f t="shared" si="0"/>
        <v>100</v>
      </c>
    </row>
    <row r="43" spans="1:10" ht="21" customHeight="1" x14ac:dyDescent="0.15">
      <c r="A43" s="47">
        <v>50010042</v>
      </c>
      <c r="B43" s="47">
        <v>0</v>
      </c>
      <c r="C43" s="47">
        <v>51</v>
      </c>
      <c r="D43" s="47">
        <v>100</v>
      </c>
      <c r="E43" s="47" t="s">
        <v>272</v>
      </c>
      <c r="F43" s="47" t="s">
        <v>273</v>
      </c>
      <c r="G43" s="47" t="s">
        <v>274</v>
      </c>
      <c r="H43" s="47">
        <v>2</v>
      </c>
      <c r="I43" s="47" t="s">
        <v>276</v>
      </c>
      <c r="J43" s="48">
        <f t="shared" si="0"/>
        <v>100</v>
      </c>
    </row>
    <row r="44" spans="1:10" ht="21" customHeight="1" x14ac:dyDescent="0.15">
      <c r="A44" s="47">
        <v>50010043</v>
      </c>
      <c r="B44" s="47">
        <v>0</v>
      </c>
      <c r="C44" s="47">
        <v>52</v>
      </c>
      <c r="D44" s="47">
        <v>100</v>
      </c>
      <c r="E44" s="47" t="s">
        <v>272</v>
      </c>
      <c r="F44" s="47" t="s">
        <v>273</v>
      </c>
      <c r="G44" s="47" t="s">
        <v>274</v>
      </c>
      <c r="H44" s="47">
        <v>4</v>
      </c>
      <c r="I44" s="47" t="s">
        <v>276</v>
      </c>
      <c r="J44" s="48">
        <f t="shared" si="0"/>
        <v>100</v>
      </c>
    </row>
    <row r="45" spans="1:10" ht="21" customHeight="1" x14ac:dyDescent="0.15">
      <c r="A45" s="47">
        <v>50010044</v>
      </c>
      <c r="B45" s="47">
        <v>0</v>
      </c>
      <c r="C45" s="47">
        <v>53</v>
      </c>
      <c r="D45" s="47">
        <v>100</v>
      </c>
      <c r="E45" s="47" t="s">
        <v>272</v>
      </c>
      <c r="F45" s="47" t="s">
        <v>273</v>
      </c>
      <c r="G45" s="47" t="s">
        <v>274</v>
      </c>
      <c r="H45" s="47">
        <v>6</v>
      </c>
      <c r="I45" s="47" t="s">
        <v>276</v>
      </c>
      <c r="J45" s="48">
        <f t="shared" si="0"/>
        <v>100</v>
      </c>
    </row>
    <row r="46" spans="1:10" ht="21" customHeight="1" x14ac:dyDescent="0.15">
      <c r="A46" s="47">
        <v>50010045</v>
      </c>
      <c r="B46" s="47">
        <v>1</v>
      </c>
      <c r="C46" s="47">
        <v>100</v>
      </c>
      <c r="D46" s="47">
        <v>100</v>
      </c>
      <c r="E46" s="47" t="s">
        <v>272</v>
      </c>
      <c r="F46" s="47" t="s">
        <v>273</v>
      </c>
      <c r="G46" s="47">
        <v>1</v>
      </c>
      <c r="H46" s="47" t="s">
        <v>275</v>
      </c>
      <c r="I46" s="47" t="s">
        <v>276</v>
      </c>
      <c r="J46" s="48">
        <f t="shared" si="0"/>
        <v>100</v>
      </c>
    </row>
    <row r="47" spans="1:10" ht="21" customHeight="1" x14ac:dyDescent="0.15">
      <c r="A47" s="47">
        <v>50010046</v>
      </c>
      <c r="B47" s="47">
        <v>0</v>
      </c>
      <c r="C47" s="47">
        <v>50</v>
      </c>
      <c r="D47" s="47">
        <v>100</v>
      </c>
      <c r="E47" s="47" t="s">
        <v>272</v>
      </c>
      <c r="F47" s="47" t="s">
        <v>273</v>
      </c>
      <c r="G47" s="47" t="s">
        <v>274</v>
      </c>
      <c r="H47" s="47" t="s">
        <v>275</v>
      </c>
      <c r="I47" s="47" t="s">
        <v>276</v>
      </c>
      <c r="J47" s="48">
        <f t="shared" si="0"/>
        <v>100</v>
      </c>
    </row>
    <row r="48" spans="1:10" ht="21" customHeight="1" x14ac:dyDescent="0.15">
      <c r="A48" s="47">
        <v>50010047</v>
      </c>
      <c r="B48" s="47">
        <v>0</v>
      </c>
      <c r="C48" s="47">
        <v>70</v>
      </c>
      <c r="D48" s="47">
        <v>100</v>
      </c>
      <c r="E48" s="47" t="s">
        <v>167</v>
      </c>
      <c r="F48" s="47" t="s">
        <v>167</v>
      </c>
      <c r="G48" s="47" t="s">
        <v>167</v>
      </c>
      <c r="H48" s="47">
        <v>4</v>
      </c>
      <c r="I48" s="47" t="s">
        <v>167</v>
      </c>
      <c r="J48" s="48">
        <f t="shared" si="0"/>
        <v>100</v>
      </c>
    </row>
    <row r="49" spans="1:10" ht="21" customHeight="1" x14ac:dyDescent="0.15">
      <c r="A49" s="47">
        <v>50010048</v>
      </c>
      <c r="B49" s="47">
        <v>0</v>
      </c>
      <c r="C49" s="47">
        <v>60</v>
      </c>
      <c r="D49" s="47">
        <v>100</v>
      </c>
      <c r="E49" s="47" t="s">
        <v>167</v>
      </c>
      <c r="F49" s="47" t="s">
        <v>167</v>
      </c>
      <c r="G49" s="47" t="s">
        <v>167</v>
      </c>
      <c r="H49" s="47">
        <v>2</v>
      </c>
      <c r="I49" s="47" t="s">
        <v>167</v>
      </c>
      <c r="J49" s="48">
        <f t="shared" si="0"/>
        <v>100</v>
      </c>
    </row>
    <row r="50" spans="1:10" ht="21" customHeight="1" x14ac:dyDescent="0.15">
      <c r="A50" s="47">
        <v>50010049</v>
      </c>
      <c r="B50" s="47">
        <v>0</v>
      </c>
      <c r="C50" s="47">
        <v>55</v>
      </c>
      <c r="D50" s="47">
        <v>100</v>
      </c>
      <c r="E50" s="47">
        <v>50</v>
      </c>
      <c r="F50" s="47" t="s">
        <v>273</v>
      </c>
      <c r="G50" s="47">
        <v>1</v>
      </c>
      <c r="H50" s="47">
        <v>1</v>
      </c>
      <c r="I50" s="47" t="s">
        <v>276</v>
      </c>
      <c r="J50" s="48">
        <f t="shared" si="0"/>
        <v>100</v>
      </c>
    </row>
    <row r="51" spans="1:10" ht="21" customHeight="1" x14ac:dyDescent="0.15">
      <c r="A51" s="47">
        <v>50010050</v>
      </c>
      <c r="B51" s="47">
        <v>1</v>
      </c>
      <c r="C51" s="47">
        <v>100</v>
      </c>
      <c r="D51" s="47">
        <v>100</v>
      </c>
      <c r="E51" s="47" t="s">
        <v>272</v>
      </c>
      <c r="F51" s="47" t="s">
        <v>273</v>
      </c>
      <c r="G51" s="47">
        <v>1</v>
      </c>
      <c r="H51" s="47" t="s">
        <v>275</v>
      </c>
      <c r="I51" s="47" t="s">
        <v>276</v>
      </c>
      <c r="J51" s="48">
        <f t="shared" si="0"/>
        <v>100</v>
      </c>
    </row>
    <row r="52" spans="1:10" ht="21" customHeight="1" x14ac:dyDescent="0.15">
      <c r="A52" s="47">
        <v>50010051</v>
      </c>
      <c r="B52" s="47">
        <v>0</v>
      </c>
      <c r="C52" s="47">
        <v>90</v>
      </c>
      <c r="D52" s="47">
        <v>100</v>
      </c>
      <c r="E52" s="47" t="s">
        <v>272</v>
      </c>
      <c r="F52" s="47">
        <v>90</v>
      </c>
      <c r="G52" s="47" t="s">
        <v>274</v>
      </c>
      <c r="H52" s="47" t="s">
        <v>275</v>
      </c>
      <c r="I52" s="47" t="s">
        <v>276</v>
      </c>
      <c r="J52" s="48">
        <f t="shared" si="0"/>
        <v>100</v>
      </c>
    </row>
    <row r="53" spans="1:10" ht="21" customHeight="1" x14ac:dyDescent="0.15">
      <c r="A53" s="47">
        <v>50010052</v>
      </c>
      <c r="B53" s="47">
        <v>0</v>
      </c>
      <c r="C53" s="47">
        <v>89</v>
      </c>
      <c r="D53" s="47">
        <v>100</v>
      </c>
      <c r="E53" s="47" t="s">
        <v>272</v>
      </c>
      <c r="F53" s="47">
        <v>80</v>
      </c>
      <c r="G53" s="47" t="s">
        <v>274</v>
      </c>
      <c r="H53" s="47" t="s">
        <v>275</v>
      </c>
      <c r="I53" s="47" t="s">
        <v>276</v>
      </c>
      <c r="J53" s="48">
        <f t="shared" si="0"/>
        <v>100</v>
      </c>
    </row>
    <row r="54" spans="1:10" ht="21" customHeight="1" x14ac:dyDescent="0.15">
      <c r="A54" s="47">
        <v>50010053</v>
      </c>
      <c r="B54" s="47">
        <v>0</v>
      </c>
      <c r="C54" s="47">
        <v>88</v>
      </c>
      <c r="D54" s="47">
        <v>100</v>
      </c>
      <c r="E54" s="47" t="s">
        <v>272</v>
      </c>
      <c r="F54" s="47">
        <v>70</v>
      </c>
      <c r="G54" s="47" t="s">
        <v>274</v>
      </c>
      <c r="H54" s="47" t="s">
        <v>275</v>
      </c>
      <c r="I54" s="47" t="s">
        <v>276</v>
      </c>
      <c r="J54" s="48">
        <f t="shared" si="0"/>
        <v>100</v>
      </c>
    </row>
    <row r="55" spans="1:10" ht="21" customHeight="1" x14ac:dyDescent="0.15">
      <c r="A55" s="47">
        <v>50010054</v>
      </c>
      <c r="B55" s="47">
        <v>0</v>
      </c>
      <c r="C55" s="47">
        <v>80</v>
      </c>
      <c r="D55" s="47">
        <v>100</v>
      </c>
      <c r="E55" s="47">
        <v>70</v>
      </c>
      <c r="F55" s="47" t="s">
        <v>273</v>
      </c>
      <c r="G55" s="47">
        <v>1</v>
      </c>
      <c r="H55" s="47" t="s">
        <v>275</v>
      </c>
      <c r="I55" s="47" t="s">
        <v>276</v>
      </c>
      <c r="J55" s="48">
        <f t="shared" si="0"/>
        <v>100</v>
      </c>
    </row>
    <row r="56" spans="1:10" ht="21" customHeight="1" x14ac:dyDescent="0.15">
      <c r="A56" s="47">
        <v>50010055</v>
      </c>
      <c r="B56" s="47">
        <v>0</v>
      </c>
      <c r="C56" s="47">
        <v>50</v>
      </c>
      <c r="D56" s="47">
        <v>100</v>
      </c>
      <c r="E56" s="47" t="s">
        <v>272</v>
      </c>
      <c r="F56" s="47" t="s">
        <v>273</v>
      </c>
      <c r="G56" s="47">
        <v>1</v>
      </c>
      <c r="H56" s="47" t="s">
        <v>275</v>
      </c>
      <c r="I56" s="47" t="s">
        <v>276</v>
      </c>
      <c r="J56" s="48">
        <f t="shared" si="0"/>
        <v>100</v>
      </c>
    </row>
    <row r="57" spans="1:10" ht="21" customHeight="1" x14ac:dyDescent="0.15">
      <c r="A57" s="47">
        <v>50010056</v>
      </c>
      <c r="B57" s="47">
        <v>0</v>
      </c>
      <c r="C57" s="47">
        <v>49</v>
      </c>
      <c r="D57" s="47">
        <v>100</v>
      </c>
      <c r="E57" s="47" t="s">
        <v>272</v>
      </c>
      <c r="F57" s="47" t="s">
        <v>273</v>
      </c>
      <c r="G57" s="47">
        <v>1</v>
      </c>
      <c r="H57" s="47" t="s">
        <v>275</v>
      </c>
      <c r="I57" s="47" t="s">
        <v>276</v>
      </c>
      <c r="J57" s="48">
        <f t="shared" si="0"/>
        <v>100</v>
      </c>
    </row>
    <row r="58" spans="1:10" ht="21" customHeight="1" x14ac:dyDescent="0.15">
      <c r="A58" s="47">
        <v>50010057</v>
      </c>
      <c r="B58" s="47">
        <v>0</v>
      </c>
      <c r="C58" s="47">
        <v>48</v>
      </c>
      <c r="D58" s="47">
        <v>100</v>
      </c>
      <c r="E58" s="47" t="s">
        <v>272</v>
      </c>
      <c r="F58" s="47" t="s">
        <v>273</v>
      </c>
      <c r="G58" s="47">
        <v>1</v>
      </c>
      <c r="H58" s="47" t="s">
        <v>275</v>
      </c>
      <c r="I58" s="47" t="s">
        <v>276</v>
      </c>
      <c r="J58" s="48">
        <f t="shared" si="0"/>
        <v>100</v>
      </c>
    </row>
    <row r="59" spans="1:10" ht="21" customHeight="1" x14ac:dyDescent="0.15">
      <c r="A59" s="47">
        <v>50010058</v>
      </c>
      <c r="B59" s="47">
        <v>0</v>
      </c>
      <c r="C59" s="47">
        <v>40</v>
      </c>
      <c r="D59" s="47">
        <v>100</v>
      </c>
      <c r="E59" s="47" t="s">
        <v>272</v>
      </c>
      <c r="F59" s="47" t="s">
        <v>273</v>
      </c>
      <c r="G59" s="47">
        <v>1</v>
      </c>
      <c r="H59" s="47" t="s">
        <v>275</v>
      </c>
      <c r="I59" s="47" t="s">
        <v>276</v>
      </c>
      <c r="J59" s="48">
        <f t="shared" si="0"/>
        <v>100</v>
      </c>
    </row>
    <row r="60" spans="1:10" ht="21" customHeight="1" x14ac:dyDescent="0.15">
      <c r="A60" s="47">
        <v>50010059</v>
      </c>
      <c r="B60" s="47">
        <v>0</v>
      </c>
      <c r="C60" s="47">
        <v>39</v>
      </c>
      <c r="D60" s="47">
        <v>100</v>
      </c>
      <c r="E60" s="47" t="s">
        <v>272</v>
      </c>
      <c r="F60" s="47" t="s">
        <v>273</v>
      </c>
      <c r="G60" s="47">
        <v>1</v>
      </c>
      <c r="H60" s="47" t="s">
        <v>275</v>
      </c>
      <c r="I60" s="47" t="s">
        <v>276</v>
      </c>
      <c r="J60" s="48">
        <f t="shared" si="0"/>
        <v>100</v>
      </c>
    </row>
    <row r="61" spans="1:10" ht="21" customHeight="1" x14ac:dyDescent="0.15">
      <c r="A61" s="47">
        <v>50010060</v>
      </c>
      <c r="B61" s="47">
        <v>0</v>
      </c>
      <c r="C61" s="47">
        <v>38</v>
      </c>
      <c r="D61" s="47">
        <v>100</v>
      </c>
      <c r="E61" s="47" t="s">
        <v>272</v>
      </c>
      <c r="F61" s="47" t="s">
        <v>273</v>
      </c>
      <c r="G61" s="47">
        <v>1</v>
      </c>
      <c r="H61" s="47" t="s">
        <v>275</v>
      </c>
      <c r="I61" s="47" t="s">
        <v>276</v>
      </c>
      <c r="J61" s="48">
        <f t="shared" si="0"/>
        <v>100</v>
      </c>
    </row>
    <row r="62" spans="1:10" ht="21" customHeight="1" x14ac:dyDescent="0.15">
      <c r="A62" s="47">
        <v>50010061</v>
      </c>
      <c r="B62" s="47">
        <v>0</v>
      </c>
      <c r="C62" s="47">
        <v>37</v>
      </c>
      <c r="D62" s="47">
        <v>100</v>
      </c>
      <c r="E62" s="47" t="s">
        <v>272</v>
      </c>
      <c r="F62" s="47" t="s">
        <v>273</v>
      </c>
      <c r="G62" s="47" t="s">
        <v>274</v>
      </c>
      <c r="H62" s="47" t="s">
        <v>275</v>
      </c>
      <c r="I62" s="47" t="s">
        <v>276</v>
      </c>
      <c r="J62" s="48">
        <f t="shared" si="0"/>
        <v>100</v>
      </c>
    </row>
    <row r="63" spans="1:10" ht="21" customHeight="1" x14ac:dyDescent="0.15">
      <c r="A63" s="114">
        <v>50010062</v>
      </c>
      <c r="B63" s="47">
        <v>1</v>
      </c>
      <c r="C63" s="47">
        <v>100</v>
      </c>
      <c r="D63" s="47">
        <v>100</v>
      </c>
      <c r="E63" s="47" t="s">
        <v>272</v>
      </c>
      <c r="F63" s="47" t="s">
        <v>273</v>
      </c>
      <c r="G63" s="47">
        <v>1</v>
      </c>
      <c r="H63" s="47" t="s">
        <v>275</v>
      </c>
      <c r="I63" s="47" t="s">
        <v>276</v>
      </c>
      <c r="J63" s="48">
        <f t="shared" ref="J63:J77" si="1">D63</f>
        <v>100</v>
      </c>
    </row>
    <row r="64" spans="1:10" ht="21" customHeight="1" x14ac:dyDescent="0.15">
      <c r="A64" s="114">
        <v>50010063</v>
      </c>
      <c r="B64" s="47">
        <v>0</v>
      </c>
      <c r="C64" s="47">
        <v>75</v>
      </c>
      <c r="D64" s="47">
        <v>100</v>
      </c>
      <c r="E64" s="47">
        <v>25</v>
      </c>
      <c r="F64" s="47" t="s">
        <v>273</v>
      </c>
      <c r="G64" s="47">
        <v>1</v>
      </c>
      <c r="H64" s="47">
        <v>1</v>
      </c>
      <c r="I64" s="47" t="s">
        <v>252</v>
      </c>
      <c r="J64" s="48">
        <f t="shared" si="1"/>
        <v>100</v>
      </c>
    </row>
    <row r="65" spans="1:10" ht="21" customHeight="1" x14ac:dyDescent="0.15">
      <c r="A65" s="115">
        <v>50010064</v>
      </c>
      <c r="B65" s="47">
        <v>1</v>
      </c>
      <c r="C65" s="47">
        <v>110</v>
      </c>
      <c r="D65" s="47">
        <v>100</v>
      </c>
      <c r="E65" s="47" t="s">
        <v>167</v>
      </c>
      <c r="F65" s="47" t="s">
        <v>273</v>
      </c>
      <c r="G65" s="47">
        <v>1</v>
      </c>
      <c r="H65" s="47" t="s">
        <v>275</v>
      </c>
      <c r="I65" s="47">
        <v>1230</v>
      </c>
      <c r="J65" s="48">
        <f t="shared" si="1"/>
        <v>100</v>
      </c>
    </row>
    <row r="66" spans="1:10" ht="21" customHeight="1" x14ac:dyDescent="0.15">
      <c r="A66" s="115">
        <v>50010065</v>
      </c>
      <c r="B66" s="47">
        <v>1</v>
      </c>
      <c r="C66" s="47">
        <v>110</v>
      </c>
      <c r="D66" s="47">
        <v>100</v>
      </c>
      <c r="E66" s="47" t="s">
        <v>167</v>
      </c>
      <c r="F66" s="47" t="s">
        <v>273</v>
      </c>
      <c r="G66" s="47">
        <v>1</v>
      </c>
      <c r="H66" s="47" t="s">
        <v>275</v>
      </c>
      <c r="I66" s="47">
        <v>1231</v>
      </c>
      <c r="J66" s="48">
        <f t="shared" si="1"/>
        <v>100</v>
      </c>
    </row>
    <row r="67" spans="1:10" ht="21" customHeight="1" x14ac:dyDescent="0.15">
      <c r="A67" s="115">
        <v>50010066</v>
      </c>
      <c r="B67" s="47">
        <v>1</v>
      </c>
      <c r="C67" s="47">
        <v>105</v>
      </c>
      <c r="D67" s="47">
        <v>100</v>
      </c>
      <c r="E67" s="47" t="s">
        <v>167</v>
      </c>
      <c r="F67" s="47" t="s">
        <v>273</v>
      </c>
      <c r="G67" s="47">
        <v>1</v>
      </c>
      <c r="H67" s="47" t="s">
        <v>275</v>
      </c>
      <c r="I67" s="47">
        <v>1206</v>
      </c>
      <c r="J67" s="48">
        <f t="shared" si="1"/>
        <v>100</v>
      </c>
    </row>
    <row r="68" spans="1:10" ht="21" customHeight="1" x14ac:dyDescent="0.15">
      <c r="A68" s="115">
        <v>50010067</v>
      </c>
      <c r="B68" s="47">
        <v>1</v>
      </c>
      <c r="C68" s="47">
        <v>105</v>
      </c>
      <c r="D68" s="47">
        <v>100</v>
      </c>
      <c r="E68" s="47" t="s">
        <v>167</v>
      </c>
      <c r="F68" s="47" t="s">
        <v>273</v>
      </c>
      <c r="G68" s="47">
        <v>1</v>
      </c>
      <c r="H68" s="47" t="s">
        <v>275</v>
      </c>
      <c r="I68" s="47">
        <v>1207</v>
      </c>
      <c r="J68" s="48">
        <f t="shared" si="1"/>
        <v>100</v>
      </c>
    </row>
    <row r="69" spans="1:10" ht="21" customHeight="1" x14ac:dyDescent="0.15">
      <c r="A69" s="115">
        <v>50010068</v>
      </c>
      <c r="B69" s="47">
        <v>1</v>
      </c>
      <c r="C69" s="47">
        <v>105</v>
      </c>
      <c r="D69" s="47">
        <v>100</v>
      </c>
      <c r="E69" s="47" t="s">
        <v>167</v>
      </c>
      <c r="F69" s="47" t="s">
        <v>273</v>
      </c>
      <c r="G69" s="47">
        <v>1</v>
      </c>
      <c r="H69" s="47" t="s">
        <v>275</v>
      </c>
      <c r="I69" s="47">
        <v>929</v>
      </c>
      <c r="J69" s="48">
        <f t="shared" si="1"/>
        <v>100</v>
      </c>
    </row>
    <row r="70" spans="1:10" ht="21" customHeight="1" x14ac:dyDescent="0.15">
      <c r="A70" s="115">
        <v>50010069</v>
      </c>
      <c r="B70" s="47">
        <v>1</v>
      </c>
      <c r="C70" s="47">
        <v>105</v>
      </c>
      <c r="D70" s="47">
        <v>100</v>
      </c>
      <c r="E70" s="47" t="s">
        <v>167</v>
      </c>
      <c r="F70" s="47" t="s">
        <v>273</v>
      </c>
      <c r="G70" s="47">
        <v>1</v>
      </c>
      <c r="H70" s="47" t="s">
        <v>275</v>
      </c>
      <c r="I70" s="47">
        <v>930</v>
      </c>
      <c r="J70" s="48">
        <f t="shared" si="1"/>
        <v>100</v>
      </c>
    </row>
    <row r="71" spans="1:10" ht="21" customHeight="1" x14ac:dyDescent="0.15">
      <c r="A71" s="114">
        <v>50010070</v>
      </c>
      <c r="B71" s="47">
        <v>0</v>
      </c>
      <c r="C71" s="47">
        <v>100</v>
      </c>
      <c r="D71" s="47">
        <v>100</v>
      </c>
      <c r="E71" s="47" t="s">
        <v>167</v>
      </c>
      <c r="F71" s="47" t="s">
        <v>273</v>
      </c>
      <c r="G71" s="47">
        <v>0</v>
      </c>
      <c r="H71" s="47" t="s">
        <v>275</v>
      </c>
      <c r="I71" s="47">
        <v>0</v>
      </c>
      <c r="J71" s="48">
        <f t="shared" si="1"/>
        <v>100</v>
      </c>
    </row>
    <row r="72" spans="1:10" ht="21" customHeight="1" x14ac:dyDescent="0.15">
      <c r="A72" s="115">
        <v>50010071</v>
      </c>
      <c r="B72" s="47">
        <v>0</v>
      </c>
      <c r="C72" s="47">
        <v>110</v>
      </c>
      <c r="D72" s="47">
        <v>100</v>
      </c>
      <c r="E72" s="47" t="s">
        <v>167</v>
      </c>
      <c r="F72" s="47" t="s">
        <v>273</v>
      </c>
      <c r="G72" s="47">
        <v>0</v>
      </c>
      <c r="H72" s="47" t="s">
        <v>275</v>
      </c>
      <c r="I72" s="47">
        <v>1230</v>
      </c>
      <c r="J72" s="48">
        <f t="shared" si="1"/>
        <v>100</v>
      </c>
    </row>
    <row r="73" spans="1:10" ht="21" customHeight="1" x14ac:dyDescent="0.15">
      <c r="A73" s="115">
        <v>50010072</v>
      </c>
      <c r="B73" s="47">
        <v>0</v>
      </c>
      <c r="C73" s="47">
        <v>110</v>
      </c>
      <c r="D73" s="47">
        <v>100</v>
      </c>
      <c r="E73" s="47" t="s">
        <v>167</v>
      </c>
      <c r="F73" s="47" t="s">
        <v>273</v>
      </c>
      <c r="G73" s="47">
        <v>0</v>
      </c>
      <c r="H73" s="47" t="s">
        <v>275</v>
      </c>
      <c r="I73" s="47">
        <v>1231</v>
      </c>
      <c r="J73" s="48">
        <f t="shared" si="1"/>
        <v>100</v>
      </c>
    </row>
    <row r="74" spans="1:10" ht="21" customHeight="1" x14ac:dyDescent="0.15">
      <c r="A74" s="115">
        <v>50010073</v>
      </c>
      <c r="B74" s="47">
        <v>0</v>
      </c>
      <c r="C74" s="47">
        <v>105</v>
      </c>
      <c r="D74" s="47">
        <v>100</v>
      </c>
      <c r="E74" s="47" t="s">
        <v>167</v>
      </c>
      <c r="F74" s="47" t="s">
        <v>273</v>
      </c>
      <c r="G74" s="47">
        <v>0</v>
      </c>
      <c r="H74" s="47" t="s">
        <v>275</v>
      </c>
      <c r="I74" s="47">
        <v>1206</v>
      </c>
      <c r="J74" s="48">
        <f t="shared" si="1"/>
        <v>100</v>
      </c>
    </row>
    <row r="75" spans="1:10" ht="21" customHeight="1" x14ac:dyDescent="0.15">
      <c r="A75" s="115">
        <v>50010074</v>
      </c>
      <c r="B75" s="47">
        <v>0</v>
      </c>
      <c r="C75" s="47">
        <v>105</v>
      </c>
      <c r="D75" s="47">
        <v>100</v>
      </c>
      <c r="E75" s="47" t="s">
        <v>167</v>
      </c>
      <c r="F75" s="47" t="s">
        <v>273</v>
      </c>
      <c r="G75" s="47">
        <v>0</v>
      </c>
      <c r="H75" s="47" t="s">
        <v>275</v>
      </c>
      <c r="I75" s="47">
        <v>1207</v>
      </c>
      <c r="J75" s="48">
        <f t="shared" si="1"/>
        <v>100</v>
      </c>
    </row>
    <row r="76" spans="1:10" ht="21" customHeight="1" x14ac:dyDescent="0.15">
      <c r="A76" s="115">
        <v>50010075</v>
      </c>
      <c r="B76" s="47">
        <v>0</v>
      </c>
      <c r="C76" s="47">
        <v>105</v>
      </c>
      <c r="D76" s="47">
        <v>100</v>
      </c>
      <c r="E76" s="47" t="s">
        <v>167</v>
      </c>
      <c r="F76" s="47" t="s">
        <v>273</v>
      </c>
      <c r="G76" s="47">
        <v>0</v>
      </c>
      <c r="H76" s="47" t="s">
        <v>275</v>
      </c>
      <c r="I76" s="47">
        <v>929</v>
      </c>
      <c r="J76" s="48">
        <f t="shared" si="1"/>
        <v>100</v>
      </c>
    </row>
    <row r="77" spans="1:10" ht="21" customHeight="1" x14ac:dyDescent="0.15">
      <c r="A77" s="115">
        <v>50010076</v>
      </c>
      <c r="B77" s="47">
        <v>0</v>
      </c>
      <c r="C77" s="47">
        <v>105</v>
      </c>
      <c r="D77" s="47">
        <v>100</v>
      </c>
      <c r="E77" s="47" t="s">
        <v>167</v>
      </c>
      <c r="F77" s="47" t="s">
        <v>273</v>
      </c>
      <c r="G77" s="47">
        <v>0</v>
      </c>
      <c r="H77" s="47" t="s">
        <v>275</v>
      </c>
      <c r="I77" s="47">
        <v>930</v>
      </c>
      <c r="J77" s="48">
        <f t="shared" si="1"/>
        <v>100</v>
      </c>
    </row>
  </sheetData>
  <autoFilter ref="A1:G1"/>
  <phoneticPr fontId="5"/>
  <conditionalFormatting sqref="K1:K63 K65:K66 K78:K1048576">
    <cfRule type="duplicateValues" dxfId="10" priority="11"/>
  </conditionalFormatting>
  <conditionalFormatting sqref="K64">
    <cfRule type="duplicateValues" dxfId="9" priority="10"/>
  </conditionalFormatting>
  <conditionalFormatting sqref="K67:K68">
    <cfRule type="duplicateValues" dxfId="8" priority="9"/>
  </conditionalFormatting>
  <conditionalFormatting sqref="K69:K70">
    <cfRule type="duplicateValues" dxfId="7" priority="8"/>
  </conditionalFormatting>
  <conditionalFormatting sqref="K71">
    <cfRule type="duplicateValues" dxfId="6" priority="7"/>
  </conditionalFormatting>
  <conditionalFormatting sqref="K72">
    <cfRule type="duplicateValues" dxfId="5" priority="6"/>
  </conditionalFormatting>
  <conditionalFormatting sqref="K73">
    <cfRule type="duplicateValues" dxfId="4" priority="5"/>
  </conditionalFormatting>
  <conditionalFormatting sqref="K74">
    <cfRule type="duplicateValues" dxfId="3" priority="4"/>
  </conditionalFormatting>
  <conditionalFormatting sqref="K75">
    <cfRule type="duplicateValues" dxfId="2" priority="3"/>
  </conditionalFormatting>
  <conditionalFormatting sqref="K76">
    <cfRule type="duplicateValues" dxfId="1" priority="2"/>
  </conditionalFormatting>
  <conditionalFormatting sqref="K77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topLeftCell="E1" zoomScale="120" zoomScaleNormal="120" zoomScalePageLayoutView="120" workbookViewId="0">
      <selection activeCell="N15" sqref="N15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148</v>
      </c>
      <c r="B1" s="64" t="s">
        <v>149</v>
      </c>
      <c r="C1" s="65" t="s">
        <v>150</v>
      </c>
      <c r="D1" s="71" t="s">
        <v>151</v>
      </c>
      <c r="E1" s="66" t="s">
        <v>152</v>
      </c>
      <c r="F1" s="64" t="s">
        <v>153</v>
      </c>
      <c r="G1" s="64" t="s">
        <v>154</v>
      </c>
      <c r="H1" s="64" t="s">
        <v>155</v>
      </c>
      <c r="I1" s="64" t="s">
        <v>156</v>
      </c>
      <c r="J1" s="64" t="s">
        <v>157</v>
      </c>
      <c r="K1" s="64" t="s">
        <v>158</v>
      </c>
      <c r="L1" s="64" t="s">
        <v>159</v>
      </c>
      <c r="M1" s="64" t="s">
        <v>160</v>
      </c>
      <c r="N1" s="64" t="s">
        <v>161</v>
      </c>
      <c r="O1" s="64" t="s">
        <v>162</v>
      </c>
      <c r="P1" s="64" t="s">
        <v>163</v>
      </c>
      <c r="Q1" s="64" t="s">
        <v>164</v>
      </c>
      <c r="R1" s="64" t="s">
        <v>165</v>
      </c>
    </row>
    <row r="2" spans="1:18" x14ac:dyDescent="0.15">
      <c r="A2" s="57">
        <f>floors!$C$2</f>
        <v>50010</v>
      </c>
      <c r="B2" s="57">
        <v>1</v>
      </c>
      <c r="C2" s="70" t="str">
        <f t="shared" ref="C2:C12" si="0">A2&amp; "_"&amp;B2</f>
        <v>50010_1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166</v>
      </c>
      <c r="G2" s="57">
        <v>65000</v>
      </c>
      <c r="H2" s="57" t="s">
        <v>478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50</v>
      </c>
      <c r="Q2" s="57" t="s">
        <v>168</v>
      </c>
      <c r="R2" s="57" t="s">
        <v>169</v>
      </c>
    </row>
    <row r="3" spans="1:18" x14ac:dyDescent="0.15">
      <c r="A3" s="57">
        <f>floors!$C$2</f>
        <v>50010</v>
      </c>
      <c r="B3" s="57">
        <v>1</v>
      </c>
      <c r="C3" s="70" t="str">
        <f t="shared" si="0"/>
        <v>50010_1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253</v>
      </c>
      <c r="G3" s="57">
        <v>343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250</v>
      </c>
      <c r="Q3" s="57" t="s">
        <v>168</v>
      </c>
      <c r="R3" s="57" t="s">
        <v>169</v>
      </c>
    </row>
    <row r="4" spans="1:18" x14ac:dyDescent="0.15">
      <c r="A4" s="57">
        <f>floors!$C$2</f>
        <v>50010</v>
      </c>
      <c r="B4" s="57">
        <v>1</v>
      </c>
      <c r="C4" s="70" t="str">
        <f t="shared" si="0"/>
        <v>50010_1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253</v>
      </c>
      <c r="G4" s="57">
        <v>353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50</v>
      </c>
      <c r="Q4" s="57" t="s">
        <v>168</v>
      </c>
      <c r="R4" s="57" t="s">
        <v>169</v>
      </c>
    </row>
    <row r="5" spans="1:18" x14ac:dyDescent="0.15">
      <c r="A5" s="57">
        <f>floors!$C$2</f>
        <v>50010</v>
      </c>
      <c r="B5" s="57">
        <v>1</v>
      </c>
      <c r="C5" s="70" t="str">
        <f t="shared" si="0"/>
        <v>50010_1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253</v>
      </c>
      <c r="G5" s="57">
        <v>125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30</v>
      </c>
      <c r="Q5" s="57" t="s">
        <v>168</v>
      </c>
      <c r="R5" s="57" t="s">
        <v>169</v>
      </c>
    </row>
    <row r="6" spans="1:18" x14ac:dyDescent="0.15">
      <c r="A6" s="57">
        <f>floors!$C$2</f>
        <v>50010</v>
      </c>
      <c r="B6" s="57">
        <v>1</v>
      </c>
      <c r="C6" s="70" t="str">
        <f t="shared" si="0"/>
        <v>50010_1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253</v>
      </c>
      <c r="G6" s="57">
        <v>607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80</v>
      </c>
      <c r="Q6" s="57" t="s">
        <v>168</v>
      </c>
      <c r="R6" s="57" t="s">
        <v>169</v>
      </c>
    </row>
    <row r="7" spans="1:18" x14ac:dyDescent="0.15">
      <c r="A7" s="57">
        <f>floors!$C$2</f>
        <v>50010</v>
      </c>
      <c r="B7" s="57">
        <v>1</v>
      </c>
      <c r="C7" s="70" t="str">
        <f t="shared" si="0"/>
        <v>50010_1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253</v>
      </c>
      <c r="G7" s="57">
        <v>608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80</v>
      </c>
      <c r="Q7" s="57" t="s">
        <v>168</v>
      </c>
      <c r="R7" s="57" t="s">
        <v>169</v>
      </c>
    </row>
    <row r="8" spans="1:18" x14ac:dyDescent="0.15">
      <c r="A8" s="57">
        <f>floors!$C$2</f>
        <v>50010</v>
      </c>
      <c r="B8" s="57">
        <v>1</v>
      </c>
      <c r="C8" s="70" t="str">
        <f t="shared" si="0"/>
        <v>50010_1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253</v>
      </c>
      <c r="G8" s="57">
        <v>609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80</v>
      </c>
      <c r="Q8" s="57" t="s">
        <v>168</v>
      </c>
      <c r="R8" s="57" t="s">
        <v>169</v>
      </c>
    </row>
    <row r="9" spans="1:18" x14ac:dyDescent="0.15">
      <c r="A9" s="57">
        <f>floors!$C$2</f>
        <v>50010</v>
      </c>
      <c r="B9" s="57">
        <v>1</v>
      </c>
      <c r="C9" s="70" t="str">
        <f t="shared" si="0"/>
        <v>50010_1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253</v>
      </c>
      <c r="G9" s="57">
        <v>610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20</v>
      </c>
      <c r="Q9" s="57" t="s">
        <v>168</v>
      </c>
      <c r="R9" s="57" t="s">
        <v>169</v>
      </c>
    </row>
    <row r="10" spans="1:18" x14ac:dyDescent="0.15">
      <c r="A10" s="57">
        <f>floors!$C$2</f>
        <v>50010</v>
      </c>
      <c r="B10" s="57">
        <v>1</v>
      </c>
      <c r="C10" s="70" t="str">
        <f t="shared" si="0"/>
        <v>50010_1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253</v>
      </c>
      <c r="G10" s="57">
        <v>611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30</v>
      </c>
      <c r="Q10" s="57" t="s">
        <v>168</v>
      </c>
      <c r="R10" s="57" t="s">
        <v>169</v>
      </c>
    </row>
    <row r="11" spans="1:18" x14ac:dyDescent="0.15">
      <c r="A11" s="57">
        <f>floors!$C$2</f>
        <v>50010</v>
      </c>
      <c r="B11" s="57">
        <v>1</v>
      </c>
      <c r="C11" s="70" t="str">
        <f t="shared" si="0"/>
        <v>50010_1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253</v>
      </c>
      <c r="G11" s="57">
        <v>612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30</v>
      </c>
      <c r="Q11" s="57" t="s">
        <v>168</v>
      </c>
      <c r="R11" s="57" t="s">
        <v>169</v>
      </c>
    </row>
    <row r="12" spans="1:18" x14ac:dyDescent="0.15">
      <c r="A12" s="57">
        <f>floors!$C$2</f>
        <v>50010</v>
      </c>
      <c r="B12" s="57">
        <v>1</v>
      </c>
      <c r="C12" s="70" t="str">
        <f t="shared" si="0"/>
        <v>50010_1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11</v>
      </c>
      <c r="F12" s="57" t="s">
        <v>253</v>
      </c>
      <c r="G12" s="57">
        <v>613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30</v>
      </c>
      <c r="Q12" s="57" t="s">
        <v>168</v>
      </c>
      <c r="R12" s="57" t="s">
        <v>169</v>
      </c>
    </row>
    <row r="13" spans="1:18" x14ac:dyDescent="0.15">
      <c r="A13" s="57">
        <f>floors!$C$2</f>
        <v>50010</v>
      </c>
      <c r="B13" s="57">
        <v>1</v>
      </c>
      <c r="C13" s="70" t="str">
        <f t="shared" ref="C13:C15" si="1">A13&amp; "_"&amp;B13</f>
        <v>50010_1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12</v>
      </c>
      <c r="F13" s="57" t="s">
        <v>253</v>
      </c>
      <c r="G13" s="57">
        <v>614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</v>
      </c>
      <c r="Q13" s="57" t="s">
        <v>168</v>
      </c>
      <c r="R13" s="57" t="s">
        <v>169</v>
      </c>
    </row>
    <row r="14" spans="1:18" x14ac:dyDescent="0.15">
      <c r="A14" s="57">
        <f>floors!$C$2</f>
        <v>50010</v>
      </c>
      <c r="B14" s="57">
        <v>1</v>
      </c>
      <c r="C14" s="70" t="str">
        <f t="shared" si="1"/>
        <v>50010_1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13</v>
      </c>
      <c r="F14" s="57" t="s">
        <v>253</v>
      </c>
      <c r="G14" s="57">
        <v>837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</v>
      </c>
      <c r="Q14" s="57" t="s">
        <v>168</v>
      </c>
      <c r="R14" s="57" t="s">
        <v>169</v>
      </c>
    </row>
    <row r="15" spans="1:18" x14ac:dyDescent="0.15">
      <c r="A15" s="57">
        <f>floors!$C$2</f>
        <v>50010</v>
      </c>
      <c r="B15" s="57">
        <v>1</v>
      </c>
      <c r="C15" s="70" t="str">
        <f t="shared" si="1"/>
        <v>50010_1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14</v>
      </c>
      <c r="F15" s="57" t="s">
        <v>253</v>
      </c>
      <c r="G15" s="57">
        <v>1222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250</v>
      </c>
      <c r="Q15" s="57" t="s">
        <v>168</v>
      </c>
      <c r="R15" s="57" t="s">
        <v>169</v>
      </c>
    </row>
  </sheetData>
  <phoneticPr fontId="5"/>
  <dataValidations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zoomScale="120" zoomScaleNormal="120" zoomScalePageLayoutView="120" workbookViewId="0">
      <pane ySplit="1" topLeftCell="A2" activePane="bottomLeft" state="frozen"/>
      <selection pane="bottomLeft" activeCell="H18" sqref="H1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187</v>
      </c>
      <c r="B1" s="72" t="s">
        <v>188</v>
      </c>
      <c r="C1" s="76" t="s">
        <v>189</v>
      </c>
      <c r="D1" s="76" t="s">
        <v>33</v>
      </c>
      <c r="E1" s="72" t="s">
        <v>190</v>
      </c>
      <c r="F1" s="76" t="s">
        <v>191</v>
      </c>
      <c r="G1" s="76" t="s">
        <v>33</v>
      </c>
      <c r="H1" s="72" t="s">
        <v>192</v>
      </c>
      <c r="I1" s="90" t="s">
        <v>194</v>
      </c>
      <c r="J1" s="78" t="s">
        <v>124</v>
      </c>
      <c r="K1" s="77" t="s">
        <v>185</v>
      </c>
      <c r="L1" s="91" t="s">
        <v>184</v>
      </c>
      <c r="M1" s="79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6"/>
  <sheetViews>
    <sheetView showGridLines="0" zoomScale="120" zoomScaleNormal="120" zoomScalePageLayoutView="120" workbookViewId="0">
      <pane ySplit="1" topLeftCell="A8" activePane="bottomLeft" state="frozen"/>
      <selection pane="bottomLeft" activeCell="M16" sqref="M16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5" t="s">
        <v>187</v>
      </c>
      <c r="B1" s="72" t="s">
        <v>148</v>
      </c>
      <c r="C1" s="76" t="s">
        <v>189</v>
      </c>
      <c r="D1" s="76" t="s">
        <v>33</v>
      </c>
      <c r="E1" s="72" t="s">
        <v>190</v>
      </c>
      <c r="F1" s="76" t="s">
        <v>18</v>
      </c>
      <c r="G1" s="76" t="s">
        <v>33</v>
      </c>
      <c r="H1" s="72" t="s">
        <v>192</v>
      </c>
      <c r="I1" s="88" t="s">
        <v>193</v>
      </c>
      <c r="J1" s="90" t="s">
        <v>194</v>
      </c>
      <c r="K1" s="78" t="s">
        <v>124</v>
      </c>
      <c r="L1" s="77" t="s">
        <v>185</v>
      </c>
      <c r="M1" s="91" t="s">
        <v>184</v>
      </c>
      <c r="N1" s="79" t="s">
        <v>195</v>
      </c>
      <c r="O1" s="109" t="s">
        <v>282</v>
      </c>
    </row>
    <row r="2" spans="1:15" ht="56" x14ac:dyDescent="0.15">
      <c r="A2" s="80" t="s">
        <v>196</v>
      </c>
      <c r="B2" s="81">
        <f>floors!$C$2</f>
        <v>50010</v>
      </c>
      <c r="C2" s="82" t="str">
        <f ca="1">VLOOKUP($B2,OFFSET([2]quests!$A$1,0,0,COUNTA([2]quests!$A:$A),MATCH(C$1,[2]quests!$1:$1,0)-MATCH($B$1,[2]quests!$1:$1,0)+1),MATCH(C$1,[2]quests!$1:$1,0)-MATCH($B$1,[2]quests!$1:$1,0)+1,FALSE)</f>
        <v>カフカ襲来！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超降臨10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超降臨10</v>
      </c>
      <c r="H2" s="84">
        <v>1</v>
      </c>
      <c r="I2" s="89">
        <f t="shared" ref="I2:I16" si="0">ROW()-1</f>
        <v>1</v>
      </c>
      <c r="J2" s="85" t="str">
        <f t="shared" ref="J2:J16" si="1">B2&amp;TEXT(I2,"00")</f>
        <v>5001001</v>
      </c>
      <c r="K2" s="83" t="s">
        <v>197</v>
      </c>
      <c r="L2" s="86" t="s">
        <v>198</v>
      </c>
      <c r="M2" s="111" t="s">
        <v>383</v>
      </c>
      <c r="N2" s="57" t="s">
        <v>199</v>
      </c>
      <c r="O2" s="109">
        <f>LEN(M2)</f>
        <v>50</v>
      </c>
    </row>
    <row r="3" spans="1:15" ht="70" x14ac:dyDescent="0.15">
      <c r="A3" s="80" t="s">
        <v>196</v>
      </c>
      <c r="B3" s="81">
        <f>floors!$C$2</f>
        <v>50010</v>
      </c>
      <c r="C3" s="82" t="str">
        <f ca="1">VLOOKUP($B3,OFFSET([2]quests!$A$1,0,0,COUNTA([2]quests!$A:$A),MATCH(C$1,[2]quests!$1:$1,0)-MATCH($B$1,[2]quests!$1:$1,0)+1),MATCH(C$1,[2]quests!$1:$1,0)-MATCH($B$1,[2]quests!$1:$1,0)+1,FALSE)</f>
        <v>カフカ襲来！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超降臨10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超降臨10</v>
      </c>
      <c r="H3" s="84">
        <v>2</v>
      </c>
      <c r="I3" s="89">
        <f t="shared" si="0"/>
        <v>2</v>
      </c>
      <c r="J3" s="85" t="str">
        <f t="shared" ref="J3" si="2">B3&amp;TEXT(I3,"00")</f>
        <v>5001002</v>
      </c>
      <c r="K3" s="83" t="s">
        <v>197</v>
      </c>
      <c r="L3" s="86" t="s">
        <v>198</v>
      </c>
      <c r="M3" s="111" t="s">
        <v>385</v>
      </c>
      <c r="N3" s="57" t="s">
        <v>199</v>
      </c>
      <c r="O3" s="109">
        <f t="shared" ref="O3" si="3">LEN(M3)</f>
        <v>61</v>
      </c>
    </row>
    <row r="4" spans="1:15" ht="56" x14ac:dyDescent="0.15">
      <c r="A4" s="80" t="s">
        <v>196</v>
      </c>
      <c r="B4" s="81">
        <f>floors!$C$2</f>
        <v>50010</v>
      </c>
      <c r="C4" s="82" t="str">
        <f ca="1">VLOOKUP($B4,OFFSET([2]quests!$A$1,0,0,COUNTA([2]quests!$A:$A),MATCH(C$1,[2]quests!$1:$1,0)-MATCH($B$1,[2]quests!$1:$1,0)+1),MATCH(C$1,[2]quests!$1:$1,0)-MATCH($B$1,[2]quests!$1:$1,0)+1,FALSE)</f>
        <v>カフカ襲来！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超降臨10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超降臨10</v>
      </c>
      <c r="H4" s="84">
        <v>2</v>
      </c>
      <c r="I4" s="89">
        <f t="shared" si="0"/>
        <v>3</v>
      </c>
      <c r="J4" s="85" t="str">
        <f t="shared" ref="J4" si="4">B4&amp;TEXT(I4,"00")</f>
        <v>5001003</v>
      </c>
      <c r="K4" s="83" t="s">
        <v>197</v>
      </c>
      <c r="L4" s="86" t="s">
        <v>198</v>
      </c>
      <c r="M4" s="111" t="s">
        <v>384</v>
      </c>
      <c r="N4" s="57" t="s">
        <v>199</v>
      </c>
      <c r="O4" s="109">
        <f t="shared" ref="O4" si="5">LEN(M4)</f>
        <v>62</v>
      </c>
    </row>
    <row r="5" spans="1:15" ht="56" x14ac:dyDescent="0.15">
      <c r="A5" s="80" t="s">
        <v>196</v>
      </c>
      <c r="B5" s="81">
        <f>floors!$C$2</f>
        <v>50010</v>
      </c>
      <c r="C5" s="82" t="str">
        <f ca="1">VLOOKUP($B5,OFFSET([2]quests!$A$1,0,0,COUNTA([2]quests!$A:$A),MATCH(C$1,[2]quests!$1:$1,0)-MATCH($B$1,[2]quests!$1:$1,0)+1),MATCH(C$1,[2]quests!$1:$1,0)-MATCH($B$1,[2]quests!$1:$1,0)+1,FALSE)</f>
        <v>カフカ襲来！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超降臨10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超降臨10</v>
      </c>
      <c r="H5" s="84">
        <v>3</v>
      </c>
      <c r="I5" s="89">
        <f t="shared" si="0"/>
        <v>4</v>
      </c>
      <c r="J5" s="85" t="str">
        <f t="shared" si="1"/>
        <v>5001004</v>
      </c>
      <c r="K5" s="83" t="s">
        <v>197</v>
      </c>
      <c r="L5" s="86" t="s">
        <v>198</v>
      </c>
      <c r="M5" s="111" t="s">
        <v>390</v>
      </c>
      <c r="N5" s="57" t="s">
        <v>199</v>
      </c>
      <c r="O5" s="109">
        <f t="shared" ref="O5:O16" si="6">LEN(M5)</f>
        <v>52</v>
      </c>
    </row>
    <row r="6" spans="1:15" ht="56" x14ac:dyDescent="0.15">
      <c r="A6" s="80" t="s">
        <v>196</v>
      </c>
      <c r="B6" s="81">
        <f>floors!$C$2</f>
        <v>50010</v>
      </c>
      <c r="C6" s="82" t="str">
        <f ca="1">VLOOKUP($B6,OFFSET([2]quests!$A$1,0,0,COUNTA([2]quests!$A:$A),MATCH(C$1,[2]quests!$1:$1,0)-MATCH($B$1,[2]quests!$1:$1,0)+1),MATCH(C$1,[2]quests!$1:$1,0)-MATCH($B$1,[2]quests!$1:$1,0)+1,FALSE)</f>
        <v>カフカ襲来！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超降臨10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超降臨10</v>
      </c>
      <c r="H6" s="84">
        <v>3</v>
      </c>
      <c r="I6" s="89">
        <f t="shared" si="0"/>
        <v>5</v>
      </c>
      <c r="J6" s="85" t="str">
        <f t="shared" ref="J6" si="7">B6&amp;TEXT(I6,"00")</f>
        <v>5001005</v>
      </c>
      <c r="K6" s="83" t="s">
        <v>197</v>
      </c>
      <c r="L6" s="86" t="s">
        <v>198</v>
      </c>
      <c r="M6" s="111" t="s">
        <v>386</v>
      </c>
      <c r="N6" s="57" t="s">
        <v>199</v>
      </c>
      <c r="O6" s="109">
        <f t="shared" ref="O6" si="8">LEN(M6)</f>
        <v>51</v>
      </c>
    </row>
    <row r="7" spans="1:15" ht="70" x14ac:dyDescent="0.15">
      <c r="A7" s="80" t="s">
        <v>196</v>
      </c>
      <c r="B7" s="81">
        <f>floors!$C$2</f>
        <v>50010</v>
      </c>
      <c r="C7" s="82" t="str">
        <f ca="1">VLOOKUP($B7,OFFSET([2]quests!$A$1,0,0,COUNTA([2]quests!$A:$A),MATCH(C$1,[2]quests!$1:$1,0)-MATCH($B$1,[2]quests!$1:$1,0)+1),MATCH(C$1,[2]quests!$1:$1,0)-MATCH($B$1,[2]quests!$1:$1,0)+1,FALSE)</f>
        <v>カフカ襲来！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超降臨10</v>
      </c>
      <c r="E7" s="83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超降臨10</v>
      </c>
      <c r="H7" s="84">
        <v>3</v>
      </c>
      <c r="I7" s="89">
        <f t="shared" si="0"/>
        <v>6</v>
      </c>
      <c r="J7" s="85" t="str">
        <f t="shared" ref="J7:J8" si="9">B7&amp;TEXT(I7,"00")</f>
        <v>5001006</v>
      </c>
      <c r="K7" s="83" t="s">
        <v>197</v>
      </c>
      <c r="L7" s="86" t="s">
        <v>198</v>
      </c>
      <c r="M7" s="111" t="s">
        <v>387</v>
      </c>
      <c r="N7" s="57" t="s">
        <v>199</v>
      </c>
      <c r="O7" s="109">
        <f t="shared" ref="O7:O8" si="10">LEN(M7)</f>
        <v>58</v>
      </c>
    </row>
    <row r="8" spans="1:15" ht="70" x14ac:dyDescent="0.15">
      <c r="A8" s="80" t="s">
        <v>196</v>
      </c>
      <c r="B8" s="81">
        <f>floors!$C$2</f>
        <v>50010</v>
      </c>
      <c r="C8" s="82" t="str">
        <f ca="1">VLOOKUP($B8,OFFSET([2]quests!$A$1,0,0,COUNTA([2]quests!$A:$A),MATCH(C$1,[2]quests!$1:$1,0)-MATCH($B$1,[2]quests!$1:$1,0)+1),MATCH(C$1,[2]quests!$1:$1,0)-MATCH($B$1,[2]quests!$1:$1,0)+1,FALSE)</f>
        <v>カフカ襲来！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超降臨10</v>
      </c>
      <c r="E8" s="83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超降臨10</v>
      </c>
      <c r="H8" s="84">
        <v>4</v>
      </c>
      <c r="I8" s="89">
        <f t="shared" si="0"/>
        <v>7</v>
      </c>
      <c r="J8" s="85" t="str">
        <f t="shared" si="9"/>
        <v>5001007</v>
      </c>
      <c r="K8" s="83" t="s">
        <v>197</v>
      </c>
      <c r="L8" s="86" t="s">
        <v>198</v>
      </c>
      <c r="M8" s="111" t="s">
        <v>393</v>
      </c>
      <c r="N8" s="57" t="s">
        <v>199</v>
      </c>
      <c r="O8" s="109">
        <f t="shared" si="10"/>
        <v>57</v>
      </c>
    </row>
    <row r="9" spans="1:15" ht="70" x14ac:dyDescent="0.15">
      <c r="A9" s="80" t="s">
        <v>196</v>
      </c>
      <c r="B9" s="81">
        <f>floors!$C$2</f>
        <v>50010</v>
      </c>
      <c r="C9" s="82" t="str">
        <f ca="1">VLOOKUP($B9,OFFSET([2]quests!$A$1,0,0,COUNTA([2]quests!$A:$A),MATCH(C$1,[2]quests!$1:$1,0)-MATCH($B$1,[2]quests!$1:$1,0)+1),MATCH(C$1,[2]quests!$1:$1,0)-MATCH($B$1,[2]quests!$1:$1,0)+1,FALSE)</f>
        <v>カフカ襲来！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超降臨10</v>
      </c>
      <c r="E9" s="83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超降臨10</v>
      </c>
      <c r="H9" s="84">
        <v>4</v>
      </c>
      <c r="I9" s="89">
        <f t="shared" si="0"/>
        <v>8</v>
      </c>
      <c r="J9" s="85" t="str">
        <f t="shared" si="1"/>
        <v>5001008</v>
      </c>
      <c r="K9" s="83" t="s">
        <v>197</v>
      </c>
      <c r="L9" s="86" t="s">
        <v>198</v>
      </c>
      <c r="M9" s="111" t="s">
        <v>388</v>
      </c>
      <c r="N9" s="57" t="s">
        <v>199</v>
      </c>
      <c r="O9" s="109">
        <f t="shared" si="6"/>
        <v>60</v>
      </c>
    </row>
    <row r="10" spans="1:15" ht="70" x14ac:dyDescent="0.15">
      <c r="A10" s="80" t="s">
        <v>196</v>
      </c>
      <c r="B10" s="81">
        <f>floors!$C$2</f>
        <v>50010</v>
      </c>
      <c r="C10" s="82" t="str">
        <f ca="1">VLOOKUP($B10,OFFSET([2]quests!$A$1,0,0,COUNTA([2]quests!$A:$A),MATCH(C$1,[2]quests!$1:$1,0)-MATCH($B$1,[2]quests!$1:$1,0)+1),MATCH(C$1,[2]quests!$1:$1,0)-MATCH($B$1,[2]quests!$1:$1,0)+1,FALSE)</f>
        <v>カフカ襲来！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超降臨10</v>
      </c>
      <c r="E10" s="83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超降臨10</v>
      </c>
      <c r="H10" s="84">
        <v>4</v>
      </c>
      <c r="I10" s="89">
        <f t="shared" si="0"/>
        <v>9</v>
      </c>
      <c r="J10" s="85" t="str">
        <f t="shared" ref="J10" si="11">B10&amp;TEXT(I10,"00")</f>
        <v>5001009</v>
      </c>
      <c r="K10" s="83" t="s">
        <v>197</v>
      </c>
      <c r="L10" s="86" t="s">
        <v>198</v>
      </c>
      <c r="M10" s="111" t="s">
        <v>389</v>
      </c>
      <c r="N10" s="57" t="s">
        <v>199</v>
      </c>
      <c r="O10" s="109">
        <f t="shared" ref="O10" si="12">LEN(M10)</f>
        <v>54</v>
      </c>
    </row>
    <row r="11" spans="1:15" ht="70" x14ac:dyDescent="0.15">
      <c r="A11" s="80" t="s">
        <v>196</v>
      </c>
      <c r="B11" s="81">
        <f>floors!$C$2</f>
        <v>50010</v>
      </c>
      <c r="C11" s="82" t="str">
        <f ca="1">VLOOKUP($B11,OFFSET([2]quests!$A$1,0,0,COUNTA([2]quests!$A:$A),MATCH(C$1,[2]quests!$1:$1,0)-MATCH($B$1,[2]quests!$1:$1,0)+1),MATCH(C$1,[2]quests!$1:$1,0)-MATCH($B$1,[2]quests!$1:$1,0)+1,FALSE)</f>
        <v>カフカ襲来！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超降臨10</v>
      </c>
      <c r="E11" s="83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超降臨10</v>
      </c>
      <c r="H11" s="84">
        <v>4</v>
      </c>
      <c r="I11" s="89">
        <f t="shared" si="0"/>
        <v>10</v>
      </c>
      <c r="J11" s="85" t="str">
        <f t="shared" ref="J11" si="13">B11&amp;TEXT(I11,"00")</f>
        <v>5001010</v>
      </c>
      <c r="K11" s="83" t="s">
        <v>197</v>
      </c>
      <c r="L11" s="86" t="s">
        <v>198</v>
      </c>
      <c r="M11" s="111" t="s">
        <v>391</v>
      </c>
      <c r="N11" s="57" t="s">
        <v>199</v>
      </c>
      <c r="O11" s="109">
        <f t="shared" ref="O11" si="14">LEN(M11)</f>
        <v>56</v>
      </c>
    </row>
    <row r="12" spans="1:15" ht="70" x14ac:dyDescent="0.15">
      <c r="A12" s="80" t="s">
        <v>196</v>
      </c>
      <c r="B12" s="81">
        <f>floors!$C$2</f>
        <v>50010</v>
      </c>
      <c r="C12" s="82" t="str">
        <f ca="1">VLOOKUP($B12,OFFSET([2]quests!$A$1,0,0,COUNTA([2]quests!$A:$A),MATCH(C$1,[2]quests!$1:$1,0)-MATCH($B$1,[2]quests!$1:$1,0)+1),MATCH(C$1,[2]quests!$1:$1,0)-MATCH($B$1,[2]quests!$1:$1,0)+1,FALSE)</f>
        <v>カフカ襲来！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超降臨10</v>
      </c>
      <c r="E12" s="83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超降臨10</v>
      </c>
      <c r="H12" s="84">
        <v>4</v>
      </c>
      <c r="I12" s="89">
        <f t="shared" si="0"/>
        <v>11</v>
      </c>
      <c r="J12" s="85" t="str">
        <f t="shared" ref="J12" si="15">B12&amp;TEXT(I12,"00")</f>
        <v>5001011</v>
      </c>
      <c r="K12" s="83" t="s">
        <v>197</v>
      </c>
      <c r="L12" s="86" t="s">
        <v>198</v>
      </c>
      <c r="M12" s="111" t="s">
        <v>392</v>
      </c>
      <c r="N12" s="57" t="s">
        <v>199</v>
      </c>
      <c r="O12" s="109">
        <f t="shared" ref="O12" si="16">LEN(M12)</f>
        <v>54</v>
      </c>
    </row>
    <row r="13" spans="1:15" ht="56" x14ac:dyDescent="0.15">
      <c r="A13" s="80" t="s">
        <v>281</v>
      </c>
      <c r="B13" s="81">
        <f>floors!$C$2</f>
        <v>50010</v>
      </c>
      <c r="C13" s="82" t="str">
        <f ca="1">VLOOKUP($B13,OFFSET([2]quests!$A$1,0,0,COUNTA([2]quests!$A:$A),MATCH(C$1,[2]quests!$1:$1,0)-MATCH($B$1,[2]quests!$1:$1,0)+1),MATCH(C$1,[2]quests!$1:$1,0)-MATCH($B$1,[2]quests!$1:$1,0)+1,FALSE)</f>
        <v>カフカ襲来！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超降臨10</v>
      </c>
      <c r="E13" s="83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超降臨10</v>
      </c>
      <c r="H13" s="84">
        <v>0</v>
      </c>
      <c r="I13" s="89">
        <f t="shared" si="0"/>
        <v>12</v>
      </c>
      <c r="J13" s="85" t="str">
        <f t="shared" si="1"/>
        <v>5001012</v>
      </c>
      <c r="K13" s="83" t="s">
        <v>197</v>
      </c>
      <c r="L13" s="86" t="s">
        <v>395</v>
      </c>
      <c r="M13" s="112" t="s">
        <v>394</v>
      </c>
      <c r="N13" s="57" t="s">
        <v>199</v>
      </c>
      <c r="O13" s="109">
        <f t="shared" si="6"/>
        <v>60</v>
      </c>
    </row>
    <row r="14" spans="1:15" ht="42" x14ac:dyDescent="0.15">
      <c r="A14" s="80" t="s">
        <v>281</v>
      </c>
      <c r="B14" s="81">
        <f>floors!$C$2</f>
        <v>50010</v>
      </c>
      <c r="C14" s="82" t="str">
        <f ca="1">VLOOKUP($B14,OFFSET([2]quests!$A$1,0,0,COUNTA([2]quests!$A:$A),MATCH(C$1,[2]quests!$1:$1,0)-MATCH($B$1,[2]quests!$1:$1,0)+1),MATCH(C$1,[2]quests!$1:$1,0)-MATCH($B$1,[2]quests!$1:$1,0)+1,FALSE)</f>
        <v>カフカ襲来！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超降臨10</v>
      </c>
      <c r="E14" s="83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超降臨10</v>
      </c>
      <c r="H14" s="84">
        <v>0</v>
      </c>
      <c r="I14" s="89">
        <f t="shared" si="0"/>
        <v>13</v>
      </c>
      <c r="J14" s="85" t="str">
        <f t="shared" si="1"/>
        <v>5001013</v>
      </c>
      <c r="K14" s="83" t="s">
        <v>197</v>
      </c>
      <c r="L14" s="86" t="s">
        <v>405</v>
      </c>
      <c r="M14" s="112" t="s">
        <v>404</v>
      </c>
      <c r="N14" s="57" t="s">
        <v>199</v>
      </c>
      <c r="O14" s="109">
        <f t="shared" si="6"/>
        <v>55</v>
      </c>
    </row>
    <row r="15" spans="1:15" ht="42" x14ac:dyDescent="0.15">
      <c r="A15" s="80" t="s">
        <v>281</v>
      </c>
      <c r="B15" s="81">
        <f>floors!$C$2</f>
        <v>50010</v>
      </c>
      <c r="C15" s="82" t="str">
        <f ca="1">VLOOKUP($B15,OFFSET([2]quests!$A$1,0,0,COUNTA([2]quests!$A:$A),MATCH(C$1,[2]quests!$1:$1,0)-MATCH($B$1,[2]quests!$1:$1,0)+1),MATCH(C$1,[2]quests!$1:$1,0)-MATCH($B$1,[2]quests!$1:$1,0)+1,FALSE)</f>
        <v>カフカ襲来！</v>
      </c>
      <c r="D15" s="82" t="str">
        <f ca="1">VLOOKUP($B15,OFFSET([2]quests!$A$1,0,0,COUNTA([2]quests!$A:$A),MATCH(D$1,[2]quests!$1:$1,0)-MATCH($B$1,[2]quests!$1:$1,0)+1),MATCH(D$1,[2]quests!$1:$1,0)-MATCH($B$1,[2]quests!$1:$1,0)+1,FALSE)</f>
        <v>超降臨10</v>
      </c>
      <c r="E15" s="83">
        <v>1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超降臨10</v>
      </c>
      <c r="H15" s="84">
        <v>0</v>
      </c>
      <c r="I15" s="89">
        <f t="shared" si="0"/>
        <v>14</v>
      </c>
      <c r="J15" s="85" t="str">
        <f t="shared" si="1"/>
        <v>5001014</v>
      </c>
      <c r="K15" s="83" t="s">
        <v>197</v>
      </c>
      <c r="L15" s="86" t="s">
        <v>406</v>
      </c>
      <c r="M15" s="112" t="s">
        <v>407</v>
      </c>
      <c r="N15" s="57" t="s">
        <v>199</v>
      </c>
      <c r="O15" s="109">
        <f t="shared" si="6"/>
        <v>52</v>
      </c>
    </row>
    <row r="16" spans="1:15" ht="70" x14ac:dyDescent="0.15">
      <c r="A16" s="80" t="s">
        <v>281</v>
      </c>
      <c r="B16" s="81">
        <f>floors!$C$2</f>
        <v>50010</v>
      </c>
      <c r="C16" s="82" t="str">
        <f ca="1">VLOOKUP($B16,OFFSET([2]quests!$A$1,0,0,COUNTA([2]quests!$A:$A),MATCH(C$1,[2]quests!$1:$1,0)-MATCH($B$1,[2]quests!$1:$1,0)+1),MATCH(C$1,[2]quests!$1:$1,0)-MATCH($B$1,[2]quests!$1:$1,0)+1,FALSE)</f>
        <v>カフカ襲来！</v>
      </c>
      <c r="D16" s="82" t="str">
        <f ca="1">VLOOKUP($B16,OFFSET([2]quests!$A$1,0,0,COUNTA([2]quests!$A:$A),MATCH(D$1,[2]quests!$1:$1,0)-MATCH($B$1,[2]quests!$1:$1,0)+1),MATCH(D$1,[2]quests!$1:$1,0)-MATCH($B$1,[2]quests!$1:$1,0)+1,FALSE)</f>
        <v>超降臨10</v>
      </c>
      <c r="E16" s="83">
        <v>1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超降臨10</v>
      </c>
      <c r="H16" s="84">
        <v>0</v>
      </c>
      <c r="I16" s="89">
        <f t="shared" si="0"/>
        <v>15</v>
      </c>
      <c r="J16" s="85" t="str">
        <f t="shared" si="1"/>
        <v>5001015</v>
      </c>
      <c r="K16" s="83" t="s">
        <v>197</v>
      </c>
      <c r="L16" s="86" t="s">
        <v>460</v>
      </c>
      <c r="M16" s="112" t="s">
        <v>459</v>
      </c>
      <c r="N16" s="57" t="s">
        <v>199</v>
      </c>
      <c r="O16" s="109">
        <f t="shared" si="6"/>
        <v>63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zoomScale="120" zoomScaleNormal="120" zoomScalePageLayoutView="120" workbookViewId="0">
      <pane ySplit="1" topLeftCell="A2" activePane="bottomLeft" state="frozen"/>
      <selection pane="bottomLeft" activeCell="J20" sqref="J20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3" t="s">
        <v>211</v>
      </c>
      <c r="B1" s="94" t="s">
        <v>212</v>
      </c>
      <c r="C1" s="76" t="s">
        <v>213</v>
      </c>
      <c r="D1" s="76" t="s">
        <v>33</v>
      </c>
      <c r="E1" s="94" t="s">
        <v>214</v>
      </c>
      <c r="F1" s="76" t="s">
        <v>215</v>
      </c>
      <c r="G1" s="76" t="s">
        <v>33</v>
      </c>
      <c r="H1" s="94" t="s">
        <v>216</v>
      </c>
      <c r="I1" s="94" t="s">
        <v>217</v>
      </c>
      <c r="J1" s="94" t="s">
        <v>218</v>
      </c>
      <c r="K1" s="72" t="s">
        <v>219</v>
      </c>
      <c r="L1" s="72" t="s">
        <v>220</v>
      </c>
      <c r="M1" s="72" t="s">
        <v>154</v>
      </c>
      <c r="N1" s="76" t="s">
        <v>16</v>
      </c>
      <c r="O1" s="72" t="s">
        <v>221</v>
      </c>
      <c r="P1" s="72" t="s">
        <v>56</v>
      </c>
      <c r="Q1" s="72" t="s">
        <v>222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223</v>
      </c>
      <c r="X1" s="72" t="s">
        <v>224</v>
      </c>
    </row>
    <row r="2" spans="1:24" x14ac:dyDescent="0.15">
      <c r="A2" s="95" t="str">
        <f>B2&amp;"_"&amp;E2&amp;"_"&amp;H2&amp;"_"&amp;I2&amp;"_"&amp;J2</f>
        <v>50010_1_everyone_full_member_1</v>
      </c>
      <c r="B2" s="81">
        <v>50010</v>
      </c>
      <c r="C2" s="82" t="str">
        <f ca="1">VLOOKUP($B2,OFFSET([2]quests!$A$1,0,0,COUNTA([2]quests!$A:$A),MATCH(C$1,[2]quests!$1:$1,0)-MATCH($B$1,[2]quests!$1:$1,0)+1),MATCH(C$1,[2]quests!$1:$1,0)-MATCH($B$1,[2]quests!$1:$1,0)+1,FALSE)</f>
        <v>カフカ襲来！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超降臨10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【超ウィザード級】カフカ襲来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超降臨10</v>
      </c>
      <c r="H2" s="84" t="s">
        <v>225</v>
      </c>
      <c r="I2" s="83" t="s">
        <v>283</v>
      </c>
      <c r="J2" s="83">
        <v>1</v>
      </c>
      <c r="K2" s="83">
        <v>100</v>
      </c>
      <c r="L2" s="83" t="s">
        <v>226</v>
      </c>
      <c r="M2" s="83">
        <v>1222</v>
      </c>
      <c r="N2" s="9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カフカ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7" t="s">
        <v>227</v>
      </c>
      <c r="X2" s="98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2017-05-08T08:06:00Z</dcterms:modified>
</cp:coreProperties>
</file>