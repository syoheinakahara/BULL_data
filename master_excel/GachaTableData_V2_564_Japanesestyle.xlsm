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rinotakuya/BULL_data/master_excel/"/>
    </mc:Choice>
  </mc:AlternateContent>
  <bookViews>
    <workbookView xWindow="0" yWindow="460" windowWidth="28800" windowHeight="16500" tabRatio="943" activeTab="6"/>
  </bookViews>
  <sheets>
    <sheet name="確率の考え方" sheetId="110" r:id="rId1"/>
    <sheet name="Sheet1" sheetId="107" r:id="rId2"/>
    <sheet name="output" sheetId="103" r:id="rId3"/>
    <sheet name="input_564100" sheetId="157" r:id="rId4"/>
    <sheet name="tables_564100" sheetId="158" r:id="rId5"/>
    <sheet name="tables_settle_564100" sheetId="162" r:id="rId6"/>
    <sheet name="gacha_bonus_tables" sheetId="163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tables_564100!$A$1:$V$355</definedName>
    <definedName name="_xlnm._FilterDatabase" localSheetId="5" hidden="1">tables_settle_564100!$A$1:$V$1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8" l="1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F5" i="157"/>
  <c r="E5" i="157"/>
  <c r="E30" i="157"/>
  <c r="B30" i="157"/>
  <c r="E28" i="157"/>
  <c r="B28" i="157"/>
  <c r="B4" i="163"/>
  <c r="B3" i="163"/>
  <c r="B2" i="163"/>
  <c r="P13" i="162"/>
  <c r="N13" i="162"/>
  <c r="M13" i="162"/>
  <c r="L13" i="162"/>
  <c r="K13" i="162"/>
  <c r="J13" i="162"/>
  <c r="I13" i="162"/>
  <c r="H13" i="162"/>
  <c r="F13" i="162"/>
  <c r="E13" i="162"/>
  <c r="D13" i="162"/>
  <c r="C13" i="162"/>
  <c r="P12" i="162"/>
  <c r="N12" i="162"/>
  <c r="M12" i="162"/>
  <c r="L12" i="162"/>
  <c r="K12" i="162"/>
  <c r="J12" i="162"/>
  <c r="I12" i="162"/>
  <c r="H12" i="162"/>
  <c r="F12" i="162"/>
  <c r="E12" i="162"/>
  <c r="D12" i="162"/>
  <c r="C12" i="162"/>
  <c r="P11" i="162"/>
  <c r="N11" i="162"/>
  <c r="M11" i="162"/>
  <c r="L11" i="162"/>
  <c r="K11" i="162"/>
  <c r="J11" i="162"/>
  <c r="I11" i="162"/>
  <c r="H11" i="162"/>
  <c r="F11" i="162"/>
  <c r="E11" i="162"/>
  <c r="D11" i="162"/>
  <c r="C11" i="162"/>
  <c r="P10" i="162"/>
  <c r="N10" i="162"/>
  <c r="M10" i="162"/>
  <c r="L10" i="162"/>
  <c r="K10" i="162"/>
  <c r="J10" i="162"/>
  <c r="I10" i="162"/>
  <c r="H10" i="162"/>
  <c r="F10" i="162"/>
  <c r="E10" i="162"/>
  <c r="D10" i="162"/>
  <c r="C10" i="162"/>
  <c r="P9" i="162"/>
  <c r="N9" i="162"/>
  <c r="M9" i="162"/>
  <c r="L9" i="162"/>
  <c r="K9" i="162"/>
  <c r="J9" i="162"/>
  <c r="I9" i="162"/>
  <c r="H9" i="162"/>
  <c r="F9" i="162"/>
  <c r="E9" i="162"/>
  <c r="D9" i="162"/>
  <c r="C9" i="162"/>
  <c r="P8" i="162"/>
  <c r="N8" i="162"/>
  <c r="M8" i="162"/>
  <c r="L8" i="162"/>
  <c r="K8" i="162"/>
  <c r="J8" i="162"/>
  <c r="I8" i="162"/>
  <c r="H8" i="162"/>
  <c r="F8" i="162"/>
  <c r="E8" i="162"/>
  <c r="D8" i="162"/>
  <c r="C8" i="162"/>
  <c r="P7" i="162"/>
  <c r="N7" i="162"/>
  <c r="M7" i="162"/>
  <c r="L7" i="162"/>
  <c r="K7" i="162"/>
  <c r="J7" i="162"/>
  <c r="I7" i="162"/>
  <c r="H7" i="162"/>
  <c r="F7" i="162"/>
  <c r="E7" i="162"/>
  <c r="D7" i="162"/>
  <c r="C7" i="162"/>
  <c r="P6" i="162"/>
  <c r="N6" i="162"/>
  <c r="M6" i="162"/>
  <c r="L6" i="162"/>
  <c r="K6" i="162"/>
  <c r="J6" i="162"/>
  <c r="I6" i="162"/>
  <c r="H6" i="162"/>
  <c r="F6" i="162"/>
  <c r="E6" i="162"/>
  <c r="D6" i="162"/>
  <c r="C6" i="162"/>
  <c r="P5" i="162"/>
  <c r="N5" i="162"/>
  <c r="M5" i="162"/>
  <c r="L5" i="162"/>
  <c r="K5" i="162"/>
  <c r="J5" i="162"/>
  <c r="I5" i="162"/>
  <c r="H5" i="162"/>
  <c r="F5" i="162"/>
  <c r="E5" i="162"/>
  <c r="D5" i="162"/>
  <c r="C5" i="162"/>
  <c r="F6" i="157"/>
  <c r="E6" i="157"/>
  <c r="E22" i="157"/>
  <c r="E23" i="157"/>
  <c r="B23" i="157"/>
  <c r="B22" i="157"/>
  <c r="A2" i="157"/>
  <c r="A39" i="157"/>
  <c r="R8" i="157"/>
  <c r="E31" i="157"/>
  <c r="B31" i="157"/>
  <c r="G31" i="157"/>
  <c r="H31" i="157"/>
  <c r="E17" i="157"/>
  <c r="B10" i="157"/>
  <c r="E18" i="157"/>
  <c r="B18" i="157"/>
  <c r="B17" i="157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E24" i="157"/>
  <c r="B5" i="157"/>
  <c r="B24" i="157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E19" i="157"/>
  <c r="B19" i="157"/>
  <c r="G19" i="157"/>
  <c r="H19" i="157"/>
  <c r="O51" i="158"/>
  <c r="E20" i="157"/>
  <c r="E29" i="157"/>
  <c r="B29" i="157"/>
  <c r="B21" i="157"/>
  <c r="B20" i="157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B27" i="157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R4" i="157"/>
  <c r="R5" i="157"/>
  <c r="R6" i="157"/>
  <c r="R7" i="157"/>
  <c r="P2" i="162"/>
  <c r="N2" i="162"/>
  <c r="M2" i="162"/>
  <c r="L2" i="162"/>
  <c r="K2" i="162"/>
  <c r="J2" i="162"/>
  <c r="I2" i="162"/>
  <c r="H2" i="162"/>
  <c r="F2" i="162"/>
  <c r="E2" i="162"/>
  <c r="D2" i="162"/>
  <c r="C2" i="162"/>
  <c r="I31" i="157"/>
  <c r="J31" i="157"/>
  <c r="F31" i="157"/>
  <c r="C31" i="157"/>
  <c r="J45" i="157"/>
  <c r="I3" i="162"/>
  <c r="D3" i="162"/>
  <c r="J3" i="162"/>
  <c r="E3" i="162"/>
  <c r="F3" i="162"/>
  <c r="C3" i="162"/>
  <c r="I4" i="162"/>
  <c r="D4" i="162"/>
  <c r="J4" i="162"/>
  <c r="E4" i="162"/>
  <c r="F4" i="162"/>
  <c r="C4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N353" i="158"/>
  <c r="M353" i="158"/>
  <c r="L353" i="158"/>
  <c r="K353" i="158"/>
  <c r="H353" i="158"/>
  <c r="N352" i="158"/>
  <c r="M352" i="158"/>
  <c r="L352" i="158"/>
  <c r="K352" i="158"/>
  <c r="H352" i="158"/>
  <c r="N355" i="158"/>
  <c r="M355" i="158"/>
  <c r="L355" i="158"/>
  <c r="K355" i="158"/>
  <c r="H355" i="158"/>
  <c r="N354" i="158"/>
  <c r="M354" i="158"/>
  <c r="L354" i="158"/>
  <c r="K354" i="158"/>
  <c r="H354" i="158"/>
  <c r="N351" i="158"/>
  <c r="M351" i="158"/>
  <c r="L351" i="158"/>
  <c r="K351" i="158"/>
  <c r="H351" i="158"/>
  <c r="A353" i="158"/>
  <c r="A352" i="158"/>
  <c r="A355" i="158"/>
  <c r="A354" i="158"/>
  <c r="A351" i="158"/>
  <c r="C5" i="103"/>
  <c r="E5" i="103"/>
  <c r="M11" i="157"/>
  <c r="M10" i="157"/>
  <c r="M9" i="157"/>
  <c r="M8" i="157"/>
  <c r="M7" i="157"/>
  <c r="M6" i="157"/>
  <c r="M5" i="157"/>
  <c r="M4" i="157"/>
  <c r="M3" i="157"/>
  <c r="E33" i="157"/>
  <c r="C29" i="157"/>
  <c r="C30" i="157"/>
  <c r="E34" i="157"/>
  <c r="C17" i="157"/>
  <c r="C18" i="157"/>
  <c r="C19" i="157"/>
  <c r="C20" i="157"/>
  <c r="E32" i="157"/>
  <c r="C21" i="157"/>
  <c r="C22" i="157"/>
  <c r="C23" i="157"/>
  <c r="C24" i="157"/>
  <c r="C25" i="157"/>
  <c r="C26" i="157"/>
  <c r="C27" i="157"/>
  <c r="C28" i="157"/>
  <c r="C32" i="157"/>
  <c r="C33" i="157"/>
  <c r="C34" i="157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A347" i="158"/>
  <c r="A348" i="158"/>
  <c r="A349" i="158"/>
  <c r="A350" i="158"/>
  <c r="C2" i="103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C35" i="157"/>
  <c r="C4" i="103"/>
  <c r="E4" i="103"/>
  <c r="B46" i="157"/>
  <c r="B49" i="157"/>
  <c r="P20" i="157"/>
  <c r="O20" i="157"/>
  <c r="M20" i="157"/>
  <c r="P19" i="157"/>
  <c r="O19" i="157"/>
  <c r="M19" i="157"/>
  <c r="P18" i="157"/>
  <c r="O18" i="157"/>
  <c r="M18" i="157"/>
  <c r="P17" i="157"/>
  <c r="O17" i="157"/>
  <c r="M17" i="157"/>
  <c r="V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C6" i="103"/>
  <c r="E6" i="103"/>
  <c r="C7" i="103"/>
  <c r="E7" i="103"/>
  <c r="E2" i="10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R11" i="157"/>
  <c r="R12" i="157"/>
  <c r="R13" i="157"/>
  <c r="R14" i="157"/>
  <c r="R15" i="157"/>
  <c r="R16" i="157"/>
  <c r="D17" i="157"/>
  <c r="F17" i="157"/>
  <c r="I17" i="157"/>
  <c r="J17" i="157"/>
  <c r="R17" i="157"/>
  <c r="D18" i="157"/>
  <c r="F18" i="157"/>
  <c r="I18" i="157"/>
  <c r="J18" i="157"/>
  <c r="R18" i="157"/>
  <c r="D19" i="157"/>
  <c r="F19" i="157"/>
  <c r="I19" i="157"/>
  <c r="J19" i="157"/>
  <c r="R19" i="157"/>
  <c r="D20" i="157"/>
  <c r="F20" i="157"/>
  <c r="I20" i="157"/>
  <c r="J20" i="157"/>
  <c r="R20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D24" i="157"/>
  <c r="F24" i="157"/>
  <c r="I24" i="157"/>
  <c r="J24" i="157"/>
  <c r="D25" i="157"/>
  <c r="F25" i="157"/>
  <c r="I25" i="157"/>
  <c r="J25" i="157"/>
  <c r="D26" i="157"/>
  <c r="F26" i="157"/>
  <c r="I26" i="157"/>
  <c r="J26" i="157"/>
  <c r="D27" i="157"/>
  <c r="F27" i="157"/>
  <c r="I27" i="157"/>
  <c r="J27" i="157"/>
  <c r="D28" i="157"/>
  <c r="F28" i="157"/>
  <c r="I28" i="157"/>
  <c r="J28" i="157"/>
  <c r="B32" i="157"/>
  <c r="D32" i="157"/>
  <c r="B33" i="157"/>
  <c r="D33" i="157"/>
  <c r="F33" i="157"/>
  <c r="G33" i="157"/>
  <c r="H33" i="157"/>
  <c r="I33" i="157"/>
  <c r="J33" i="157"/>
  <c r="B34" i="157"/>
  <c r="D34" i="157"/>
  <c r="F34" i="157"/>
  <c r="G34" i="157"/>
  <c r="H34" i="157"/>
  <c r="I34" i="157"/>
  <c r="J34" i="157"/>
  <c r="B35" i="157"/>
  <c r="D35" i="157"/>
  <c r="F43" i="157"/>
  <c r="G43" i="157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F48" i="157"/>
  <c r="F49" i="157"/>
  <c r="B43" i="157"/>
  <c r="B44" i="157"/>
  <c r="B45" i="157"/>
  <c r="B47" i="157"/>
  <c r="B48" i="157"/>
  <c r="B50" i="157"/>
  <c r="C43" i="157"/>
  <c r="C44" i="157"/>
  <c r="C45" i="157"/>
  <c r="C46" i="157"/>
  <c r="C47" i="157"/>
  <c r="C48" i="157"/>
  <c r="C49" i="157"/>
  <c r="C50" i="157"/>
  <c r="F50" i="157"/>
  <c r="R10" i="157"/>
  <c r="R9" i="157"/>
  <c r="F44" i="157"/>
  <c r="G44" i="157"/>
  <c r="G32" i="157"/>
  <c r="H32" i="157"/>
  <c r="I32" i="157"/>
  <c r="J32" i="157"/>
  <c r="F32" i="157"/>
  <c r="I30" i="157"/>
  <c r="J30" i="157"/>
  <c r="F30" i="157"/>
  <c r="G29" i="157"/>
  <c r="H29" i="157"/>
  <c r="I29" i="157"/>
  <c r="J29" i="157"/>
  <c r="F29" i="157"/>
  <c r="F51" i="157"/>
  <c r="F52" i="157"/>
  <c r="F45" i="157"/>
  <c r="G45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<sst xmlns="http://schemas.openxmlformats.org/spreadsheetml/2006/main" count="452" uniqueCount="261">
  <si>
    <t>character_id</t>
  </si>
  <si>
    <t>character_id</t>
    <phoneticPr fontId="23"/>
  </si>
  <si>
    <t>weight</t>
    <phoneticPr fontId="23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</si>
  <si>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</si>
  <si>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</si>
  <si>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</si>
  <si>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</si>
  <si>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</si>
  <si>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</si>
  <si>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</si>
  <si>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3"/>
  </si>
  <si>
    <t>weight</t>
    <phoneticPr fontId="23"/>
  </si>
  <si>
    <t>gift_id</t>
    <phoneticPr fontId="23"/>
  </si>
  <si>
    <t>gift_id</t>
    <phoneticPr fontId="23"/>
  </si>
  <si>
    <t>gift_id</t>
    <phoneticPr fontId="23"/>
  </si>
  <si>
    <t>gift_value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</si>
  <si>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</si>
  <si>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</si>
  <si>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</si>
  <si>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</si>
  <si>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</si>
  <si>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</si>
  <si>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gift_type</t>
    <phoneticPr fontId="23"/>
  </si>
  <si>
    <t>備考</t>
    <rPh sb="0" eb="2">
      <t>ビコウ</t>
    </rPh>
    <phoneticPr fontId="23"/>
  </si>
  <si>
    <t>character_id</t>
    <phoneticPr fontId="23"/>
  </si>
  <si>
    <t>name</t>
    <phoneticPr fontId="23"/>
  </si>
  <si>
    <t>drop_label</t>
    <phoneticPr fontId="23"/>
  </si>
  <si>
    <t>rare</t>
    <phoneticPr fontId="23"/>
  </si>
  <si>
    <t>character_type_id</t>
    <phoneticPr fontId="23"/>
  </si>
  <si>
    <t>character_tribe_id</t>
    <phoneticPr fontId="23"/>
  </si>
  <si>
    <t>unit_level</t>
    <phoneticPr fontId="23"/>
  </si>
  <si>
    <t>接頭語</t>
    <rPh sb="0" eb="3">
      <t>セットウゴ</t>
    </rPh>
    <phoneticPr fontId="56"/>
  </si>
  <si>
    <t>識別子</t>
    <rPh sb="0" eb="3">
      <t>シキベツシ</t>
    </rPh>
    <phoneticPr fontId="56"/>
  </si>
  <si>
    <t>形式</t>
    <rPh sb="0" eb="2">
      <t>ケイシキ</t>
    </rPh>
    <phoneticPr fontId="56"/>
  </si>
  <si>
    <t>出力ファイル名</t>
    <rPh sb="0" eb="2">
      <t>シュツリョク</t>
    </rPh>
    <rPh sb="6" eb="7">
      <t>メイ</t>
    </rPh>
    <phoneticPr fontId="56"/>
  </si>
  <si>
    <t>入力シート名</t>
    <rPh sb="0" eb="2">
      <t>ニュウリョク</t>
    </rPh>
    <rPh sb="5" eb="6">
      <t>メイ</t>
    </rPh>
    <phoneticPr fontId="56"/>
  </si>
  <si>
    <t>出力データ</t>
    <rPh sb="0" eb="2">
      <t>シュツリョク</t>
    </rPh>
    <phoneticPr fontId="56"/>
  </si>
  <si>
    <t>.tmp</t>
    <phoneticPr fontId="56"/>
  </si>
  <si>
    <t>.tmp</t>
    <phoneticPr fontId="56"/>
  </si>
  <si>
    <t>gacha_bonus_tables</t>
    <phoneticPr fontId="56"/>
  </si>
  <si>
    <t>gifts_tmp_</t>
    <phoneticPr fontId="23"/>
  </si>
  <si>
    <t>gifts_i18n_</t>
    <phoneticPr fontId="2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</si>
  <si>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3"/>
  </si>
  <si>
    <t>出力flg</t>
    <rPh sb="0" eb="2">
      <t>シュツリョク</t>
    </rPh>
    <phoneticPr fontId="56"/>
  </si>
  <si>
    <t>color</t>
    <phoneticPr fontId="23"/>
  </si>
  <si>
    <t>レアリティ別確率</t>
    <rPh sb="5" eb="6">
      <t>ベツ</t>
    </rPh>
    <rPh sb="6" eb="8">
      <t>カクリツ</t>
    </rPh>
    <phoneticPr fontId="23"/>
  </si>
  <si>
    <t>ラベル別確率</t>
    <rPh sb="3" eb="4">
      <t>ベツ</t>
    </rPh>
    <rPh sb="4" eb="6">
      <t>カクリツ</t>
    </rPh>
    <phoneticPr fontId="23"/>
  </si>
  <si>
    <t>SSS</t>
    <phoneticPr fontId="23"/>
  </si>
  <si>
    <t>SS</t>
    <phoneticPr fontId="23"/>
  </si>
  <si>
    <t>ラベル*レアリティ標準確率</t>
    <rPh sb="9" eb="11">
      <t>ヒョウジュン</t>
    </rPh>
    <rPh sb="11" eb="13">
      <t>カクリツ</t>
    </rPh>
    <phoneticPr fontId="23"/>
  </si>
  <si>
    <t>性別</t>
    <rPh sb="0" eb="2">
      <t>セイベツ</t>
    </rPh>
    <phoneticPr fontId="23"/>
  </si>
  <si>
    <t>合計</t>
    <rPh sb="0" eb="2">
      <t>ゴウケイ</t>
    </rPh>
    <phoneticPr fontId="23"/>
  </si>
  <si>
    <t>グループ</t>
    <phoneticPr fontId="23"/>
  </si>
  <si>
    <t>ピックアップ確率</t>
    <rPh sb="6" eb="8">
      <t>カクリツ</t>
    </rPh>
    <phoneticPr fontId="23"/>
  </si>
  <si>
    <t>残り確率</t>
    <rPh sb="0" eb="1">
      <t>ノコ</t>
    </rPh>
    <rPh sb="2" eb="4">
      <t>カクリツ</t>
    </rPh>
    <phoneticPr fontId="23"/>
  </si>
  <si>
    <t>確率</t>
    <rPh sb="0" eb="2">
      <t>カクリツ</t>
    </rPh>
    <phoneticPr fontId="23"/>
  </si>
  <si>
    <t>所属グループ</t>
    <rPh sb="0" eb="2">
      <t>ショゾク</t>
    </rPh>
    <phoneticPr fontId="23"/>
  </si>
  <si>
    <t>名前</t>
    <rPh sb="0" eb="2">
      <t>ナマエ</t>
    </rPh>
    <phoneticPr fontId="23"/>
  </si>
  <si>
    <t>レアリティ</t>
    <phoneticPr fontId="23"/>
  </si>
  <si>
    <t>ラベル</t>
    <phoneticPr fontId="23"/>
  </si>
  <si>
    <t>R3</t>
    <phoneticPr fontId="23"/>
  </si>
  <si>
    <t>R4</t>
    <phoneticPr fontId="23"/>
  </si>
  <si>
    <t>R5</t>
    <phoneticPr fontId="23"/>
  </si>
  <si>
    <t>個別確率</t>
    <rPh sb="0" eb="4">
      <t>コベツカクリツ</t>
    </rPh>
    <phoneticPr fontId="23"/>
  </si>
  <si>
    <t>該当数(ピックアップ除く)</t>
    <rPh sb="0" eb="2">
      <t>ガイトウ</t>
    </rPh>
    <rPh sb="2" eb="3">
      <t>スウ</t>
    </rPh>
    <rPh sb="10" eb="11">
      <t>ノゾ</t>
    </rPh>
    <phoneticPr fontId="23"/>
  </si>
  <si>
    <t>個別weight</t>
    <rPh sb="0" eb="2">
      <t>コベツ</t>
    </rPh>
    <phoneticPr fontId="23"/>
  </si>
  <si>
    <t>グループweight</t>
    <phoneticPr fontId="23"/>
  </si>
  <si>
    <t>端数</t>
    <rPh sb="0" eb="2">
      <t>ハスウ</t>
    </rPh>
    <phoneticPr fontId="23"/>
  </si>
  <si>
    <t>--検算用--</t>
    <rPh sb="3" eb="6">
      <t>ケンザンヨウ</t>
    </rPh>
    <phoneticPr fontId="23"/>
  </si>
  <si>
    <t>端数逆数</t>
    <rPh sb="0" eb="2">
      <t>ハスウ</t>
    </rPh>
    <rPh sb="2" eb="4">
      <t>ギャクスウ</t>
    </rPh>
    <phoneticPr fontId="23"/>
  </si>
  <si>
    <t>テーブルを増やしたい場合</t>
    <rPh sb="5" eb="6">
      <t>フ</t>
    </rPh>
    <rPh sb="10" eb="12">
      <t>バアイ</t>
    </rPh>
    <phoneticPr fontId="23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</si>
  <si>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3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</si>
  <si>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3"/>
  </si>
  <si>
    <t>３．outputシートで２で作ったtablesを指定する</t>
    <rPh sb="14" eb="15">
      <t>ツク</t>
    </rPh>
    <rPh sb="24" eb="26">
      <t>シテイ</t>
    </rPh>
    <phoneticPr fontId="23"/>
  </si>
  <si>
    <t>テーブルid</t>
    <phoneticPr fontId="23"/>
  </si>
  <si>
    <t>→ピックアップの確率は右のほうにいます</t>
    <rPh sb="8" eb="10">
      <t>カクリツ</t>
    </rPh>
    <rPh sb="11" eb="12">
      <t>ミギ</t>
    </rPh>
    <phoneticPr fontId="23"/>
  </si>
  <si>
    <t>table_no</t>
    <phoneticPr fontId="23"/>
  </si>
  <si>
    <t>table_no</t>
    <phoneticPr fontId="23"/>
  </si>
  <si>
    <t>skill_level</t>
  </si>
  <si>
    <t>level</t>
  </si>
  <si>
    <t>drop_label2</t>
    <phoneticPr fontId="23"/>
  </si>
  <si>
    <t>Premium</t>
    <phoneticPr fontId="23"/>
  </si>
  <si>
    <t>Premium3</t>
    <phoneticPr fontId="23"/>
  </si>
  <si>
    <t>Premium4</t>
    <phoneticPr fontId="23"/>
  </si>
  <si>
    <t>Premium5</t>
    <phoneticPr fontId="23"/>
  </si>
  <si>
    <t>グループ確率</t>
    <rPh sb="4" eb="6">
      <t>カクリツ</t>
    </rPh>
    <phoneticPr fontId="23"/>
  </si>
  <si>
    <t>レア度別確率</t>
    <rPh sb="2" eb="4">
      <t>ドベツ</t>
    </rPh>
    <rPh sb="4" eb="6">
      <t>カクリツ</t>
    </rPh>
    <phoneticPr fontId="23"/>
  </si>
  <si>
    <t>color2</t>
    <phoneticPr fontId="23"/>
  </si>
  <si>
    <t>Premium3</t>
  </si>
  <si>
    <t>Premium4</t>
  </si>
  <si>
    <t>Premium5</t>
  </si>
  <si>
    <t>PremiumSS4</t>
    <phoneticPr fontId="23"/>
  </si>
  <si>
    <t>PremiumSS5</t>
    <phoneticPr fontId="23"/>
  </si>
  <si>
    <t>PremiumSSS5</t>
    <phoneticPr fontId="23"/>
  </si>
  <si>
    <t>PremiumSSS4</t>
    <phoneticPr fontId="23"/>
  </si>
  <si>
    <t>gacha_select_tables_</t>
    <phoneticPr fontId="23"/>
  </si>
  <si>
    <t>ラベル確率で考えましょう</t>
    <rPh sb="6" eb="7">
      <t>カンガエマショウ</t>
    </rPh>
    <phoneticPr fontId="56"/>
  </si>
  <si>
    <t>ラベル</t>
    <phoneticPr fontId="56"/>
  </si>
  <si>
    <t>レアリティ</t>
    <phoneticPr fontId="56"/>
  </si>
  <si>
    <t>{W}</t>
    <phoneticPr fontId="56"/>
  </si>
  <si>
    <t>{N,S}</t>
    <phoneticPr fontId="56"/>
  </si>
  <si>
    <t>{N,S}R3less</t>
    <phoneticPr fontId="56"/>
  </si>
  <si>
    <t>{N,S}R6release</t>
    <phoneticPr fontId="56"/>
  </si>
  <si>
    <t>{SS}</t>
    <phoneticPr fontId="56"/>
  </si>
  <si>
    <t>{SS}R6only</t>
    <phoneticPr fontId="56"/>
  </si>
  <si>
    <t>小計</t>
    <rPh sb="0" eb="2">
      <t>ショウケイ</t>
    </rPh>
    <phoneticPr fontId="56"/>
  </si>
  <si>
    <t>A</t>
    <phoneticPr fontId="56"/>
  </si>
  <si>
    <t>C</t>
    <phoneticPr fontId="56"/>
  </si>
  <si>
    <t>H</t>
    <phoneticPr fontId="56"/>
  </si>
  <si>
    <t>B</t>
    <phoneticPr fontId="56"/>
  </si>
  <si>
    <t>D</t>
    <phoneticPr fontId="56"/>
  </si>
  <si>
    <t>F</t>
    <phoneticPr fontId="56"/>
  </si>
  <si>
    <t>I</t>
    <phoneticPr fontId="56"/>
  </si>
  <si>
    <t>K</t>
    <phoneticPr fontId="56"/>
  </si>
  <si>
    <t>E</t>
    <phoneticPr fontId="56"/>
  </si>
  <si>
    <t>G</t>
    <phoneticPr fontId="56"/>
  </si>
  <si>
    <t>J</t>
    <phoneticPr fontId="56"/>
  </si>
  <si>
    <t>L</t>
    <phoneticPr fontId="56"/>
  </si>
  <si>
    <t>M</t>
    <phoneticPr fontId="56"/>
  </si>
  <si>
    <t>→</t>
    <phoneticPr fontId="56"/>
  </si>
  <si>
    <t>1-SS率</t>
    <rPh sb="4" eb="5">
      <t>リツ</t>
    </rPh>
    <phoneticPr fontId="56"/>
  </si>
  <si>
    <t>SS率</t>
    <rPh sb="2" eb="3">
      <t>リツ</t>
    </rPh>
    <phoneticPr fontId="56"/>
  </si>
  <si>
    <t>考え方を変える</t>
    <rPh sb="0" eb="1">
      <t>カンガエカタ</t>
    </rPh>
    <rPh sb="4" eb="5">
      <t>カエル</t>
    </rPh>
    <phoneticPr fontId="56"/>
  </si>
  <si>
    <t>SS4%は確定事項</t>
    <rPh sb="5" eb="7">
      <t>カクテイ</t>
    </rPh>
    <rPh sb="7" eb="9">
      <t>ジコウ</t>
    </rPh>
    <phoneticPr fontId="56"/>
  </si>
  <si>
    <t>当たりは分配</t>
    <rPh sb="0" eb="1">
      <t>アタリ</t>
    </rPh>
    <rPh sb="4" eb="6">
      <t>ブンパイ</t>
    </rPh>
    <phoneticPr fontId="56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</si>
  <si>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6"/>
  </si>
  <si>
    <t>=</t>
    <phoneticPr fontId="56"/>
  </si>
  <si>
    <t>X*{SS R5only}</t>
    <phoneticPr fontId="56"/>
  </si>
  <si>
    <t>K</t>
    <phoneticPr fontId="56"/>
  </si>
  <si>
    <t>=</t>
    <phoneticPr fontId="56"/>
  </si>
  <si>
    <t>X*{SS}*(R3率+R4率)</t>
    <rPh sb="10" eb="11">
      <t>リツ</t>
    </rPh>
    <rPh sb="14" eb="15">
      <t>リツ</t>
    </rPh>
    <phoneticPr fontId="56"/>
  </si>
  <si>
    <t>L</t>
    <phoneticPr fontId="56"/>
  </si>
  <si>
    <t>X*{SS}*R5率</t>
    <rPh sb="9" eb="10">
      <t>リツ</t>
    </rPh>
    <phoneticPr fontId="56"/>
  </si>
  <si>
    <t>X*{R6release}*R3率</t>
    <rPh sb="16" eb="17">
      <t>リツ</t>
    </rPh>
    <phoneticPr fontId="56"/>
  </si>
  <si>
    <t>X*{R6release}*R4率</t>
    <rPh sb="16" eb="17">
      <t>リツ</t>
    </rPh>
    <phoneticPr fontId="56"/>
  </si>
  <si>
    <t>J</t>
    <phoneticPr fontId="56"/>
  </si>
  <si>
    <t>X*{R6release}*R5率</t>
    <rPh sb="16" eb="17">
      <t>リツ</t>
    </rPh>
    <phoneticPr fontId="56"/>
  </si>
  <si>
    <t>ハズレで確率を整える</t>
    <rPh sb="4" eb="6">
      <t>カクリツ</t>
    </rPh>
    <rPh sb="7" eb="8">
      <t>トトノエル</t>
    </rPh>
    <phoneticPr fontId="56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</si>
  <si>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6"/>
  </si>
  <si>
    <t>A + C</t>
    <phoneticPr fontId="56"/>
  </si>
  <si>
    <t>=</t>
    <phoneticPr fontId="56"/>
  </si>
  <si>
    <t>50%-H</t>
    <phoneticPr fontId="56"/>
  </si>
  <si>
    <t>①</t>
    <phoneticPr fontId="56"/>
  </si>
  <si>
    <t>B + D + F</t>
    <phoneticPr fontId="56"/>
  </si>
  <si>
    <t>45%-I-K</t>
    <phoneticPr fontId="56"/>
  </si>
  <si>
    <t>②</t>
    <phoneticPr fontId="56"/>
  </si>
  <si>
    <t>E+G</t>
    <phoneticPr fontId="56"/>
  </si>
  <si>
    <t>5%-J-L-M</t>
    <phoneticPr fontId="56"/>
  </si>
  <si>
    <t>③</t>
    <phoneticPr fontId="56"/>
  </si>
  <si>
    <t>A+B</t>
    <phoneticPr fontId="56"/>
  </si>
  <si>
    <t>Y*{W}</t>
    <phoneticPr fontId="56"/>
  </si>
  <si>
    <t>④</t>
    <phoneticPr fontId="56"/>
  </si>
  <si>
    <t>C+D+E</t>
    <phoneticPr fontId="56"/>
  </si>
  <si>
    <t>Y*{N,S}</t>
    <phoneticPr fontId="56"/>
  </si>
  <si>
    <t>⑤</t>
    <phoneticPr fontId="56"/>
  </si>
  <si>
    <t>F+G</t>
    <phoneticPr fontId="56"/>
  </si>
  <si>
    <t>Y*{N,S R3less}</t>
    <phoneticPr fontId="56"/>
  </si>
  <si>
    <t>⑥</t>
    <phoneticPr fontId="56"/>
  </si>
  <si>
    <t>A+B+C+D+E+F+G</t>
    <phoneticPr fontId="56"/>
  </si>
  <si>
    <t>⑦</t>
    <phoneticPr fontId="56"/>
  </si>
  <si>
    <t>←これは4,5,6で作れるのでダメだわ</t>
    <rPh sb="10" eb="11">
      <t>ツクレル</t>
    </rPh>
    <phoneticPr fontId="56"/>
  </si>
  <si>
    <t>E*R3率/R5率</t>
    <rPh sb="4" eb="5">
      <t>リツ</t>
    </rPh>
    <rPh sb="8" eb="9">
      <t>リツ</t>
    </rPh>
    <phoneticPr fontId="56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</si>
  <si>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6"/>
  </si>
  <si>
    <t>E*R4率/R5率</t>
    <rPh sb="4" eb="5">
      <t>リツ</t>
    </rPh>
    <rPh sb="8" eb="9">
      <t>リツ</t>
    </rPh>
    <phoneticPr fontId="56"/>
  </si>
  <si>
    <t>∴</t>
    <phoneticPr fontId="56"/>
  </si>
  <si>
    <t>E</t>
    <phoneticPr fontId="56"/>
  </si>
  <si>
    <t>Y*{N,S}*R5率</t>
    <rPh sb="10" eb="11">
      <t>リツ</t>
    </rPh>
    <phoneticPr fontId="56"/>
  </si>
  <si>
    <t>Y*{N,S}*R4率</t>
    <rPh sb="10" eb="11">
      <t>リツ</t>
    </rPh>
    <phoneticPr fontId="56"/>
  </si>
  <si>
    <t>Y*{N,S}*R3率</t>
    <rPh sb="10" eb="11">
      <t>リツ</t>
    </rPh>
    <phoneticPr fontId="56"/>
  </si>
  <si>
    <t>50%-H-C</t>
    <phoneticPr fontId="56"/>
  </si>
  <si>
    <t>Y*{W}-A</t>
    <phoneticPr fontId="56"/>
  </si>
  <si>
    <t>5%-J-L-M-E</t>
    <phoneticPr fontId="56"/>
  </si>
  <si>
    <t>Y*{N,S R3less} - G</t>
    <phoneticPr fontId="56"/>
  </si>
  <si>
    <t>R6境界前後</t>
    <rPh sb="2" eb="4">
      <t>キョウカイ</t>
    </rPh>
    <rPh sb="4" eb="6">
      <t>ゼンゴ</t>
    </rPh>
    <phoneticPr fontId="23"/>
  </si>
  <si>
    <t>R6事後開放N,S</t>
    <rPh sb="2" eb="6">
      <t>ジゴカイホウ</t>
    </rPh>
    <phoneticPr fontId="23"/>
  </si>
  <si>
    <t>PremiumW3</t>
    <phoneticPr fontId="23"/>
  </si>
  <si>
    <t>PremiumW4</t>
    <phoneticPr fontId="23"/>
  </si>
  <si>
    <t>ラベル確率</t>
    <rPh sb="3" eb="5">
      <t>カクリツ</t>
    </rPh>
    <phoneticPr fontId="23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</si>
  <si>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</si>
  <si>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</si>
  <si>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</si>
  <si>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</si>
  <si>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</si>
  <si>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3"/>
  </si>
  <si>
    <t>PremiumSS5R5only</t>
  </si>
  <si>
    <t>計算用中間データ</t>
    <rPh sb="0" eb="3">
      <t>ケイサンヨウ</t>
    </rPh>
    <rPh sb="3" eb="5">
      <t>チュウカン</t>
    </rPh>
    <phoneticPr fontId="23"/>
  </si>
  <si>
    <t>X</t>
    <phoneticPr fontId="23"/>
  </si>
  <si>
    <t>Y</t>
    <phoneticPr fontId="23"/>
  </si>
  <si>
    <t>対象数</t>
    <rPh sb="0" eb="3">
      <t>タイショウスウ</t>
    </rPh>
    <phoneticPr fontId="23"/>
  </si>
  <si>
    <t>PremiumW</t>
    <phoneticPr fontId="23"/>
  </si>
  <si>
    <t>PremiumN</t>
    <phoneticPr fontId="23"/>
  </si>
  <si>
    <t>PremiumS</t>
    <phoneticPr fontId="23"/>
  </si>
  <si>
    <t>PremiumSS</t>
    <phoneticPr fontId="23"/>
  </si>
  <si>
    <t>←R6分はここから差し引く</t>
    <rPh sb="3" eb="4">
      <t>ブン</t>
    </rPh>
    <rPh sb="9" eb="10">
      <t>サシヒク</t>
    </rPh>
    <phoneticPr fontId="23"/>
  </si>
  <si>
    <t>除外確率</t>
    <rPh sb="0" eb="2">
      <t>ジョガイ</t>
    </rPh>
    <rPh sb="2" eb="4">
      <t>カクリツ</t>
    </rPh>
    <phoneticPr fontId="23"/>
  </si>
  <si>
    <t>除外数</t>
    <rPh sb="0" eb="3">
      <t>ジョガイスウ</t>
    </rPh>
    <phoneticPr fontId="23"/>
  </si>
  <si>
    <t>もうここは手で入れよう…</t>
    <rPh sb="5" eb="6">
      <t>テ</t>
    </rPh>
    <rPh sb="7" eb="8">
      <t>イレヨウ</t>
    </rPh>
    <phoneticPr fontId="23"/>
  </si>
  <si>
    <t>通常weight</t>
    <rPh sb="0" eb="2">
      <t>ツウジョウ</t>
    </rPh>
    <phoneticPr fontId="23"/>
  </si>
  <si>
    <t>A</t>
    <phoneticPr fontId="23"/>
  </si>
  <si>
    <t>B</t>
    <phoneticPr fontId="23"/>
  </si>
  <si>
    <t>PremiumW4</t>
    <phoneticPr fontId="23"/>
  </si>
  <si>
    <t>C</t>
    <phoneticPr fontId="23"/>
  </si>
  <si>
    <t>Premium3</t>
    <phoneticPr fontId="23"/>
  </si>
  <si>
    <t>D</t>
    <phoneticPr fontId="23"/>
  </si>
  <si>
    <t>Premium4</t>
    <phoneticPr fontId="23"/>
  </si>
  <si>
    <t>E</t>
    <phoneticPr fontId="23"/>
  </si>
  <si>
    <t>Premium5</t>
    <phoneticPr fontId="23"/>
  </si>
  <si>
    <t>F</t>
    <phoneticPr fontId="23"/>
  </si>
  <si>
    <t>Premium4R3less</t>
    <phoneticPr fontId="23"/>
  </si>
  <si>
    <t>G</t>
    <phoneticPr fontId="23"/>
  </si>
  <si>
    <t>Premium5R3less</t>
    <phoneticPr fontId="23"/>
  </si>
  <si>
    <t>H</t>
    <phoneticPr fontId="23"/>
  </si>
  <si>
    <t>I</t>
    <phoneticPr fontId="23"/>
  </si>
  <si>
    <t>J</t>
    <phoneticPr fontId="23"/>
  </si>
  <si>
    <t>K</t>
    <phoneticPr fontId="23"/>
  </si>
  <si>
    <t>Premium3R6release</t>
    <phoneticPr fontId="23"/>
  </si>
  <si>
    <t>Premium4R6release</t>
    <phoneticPr fontId="23"/>
  </si>
  <si>
    <t>Premium5R6release</t>
    <phoneticPr fontId="23"/>
  </si>
  <si>
    <t>PremiumSS4</t>
    <phoneticPr fontId="23"/>
  </si>
  <si>
    <t>PremiumSS5</t>
    <phoneticPr fontId="23"/>
  </si>
  <si>
    <t>L</t>
    <phoneticPr fontId="23"/>
  </si>
  <si>
    <t>M</t>
    <phoneticPr fontId="23"/>
  </si>
  <si>
    <t>PremiumSS5R5only</t>
    <phoneticPr fontId="23"/>
  </si>
  <si>
    <t>50% - H - C</t>
    <phoneticPr fontId="23"/>
  </si>
  <si>
    <t>PremiumSSS4R3less</t>
    <phoneticPr fontId="23"/>
  </si>
  <si>
    <t>PremiumSSS5R3less</t>
    <phoneticPr fontId="23"/>
  </si>
  <si>
    <t>skip</t>
    <phoneticPr fontId="23"/>
  </si>
  <si>
    <t>tables_363104</t>
    <phoneticPr fontId="23"/>
  </si>
  <si>
    <t>tables_363105</t>
    <phoneticPr fontId="23"/>
  </si>
  <si>
    <t>tables_363100</t>
    <phoneticPr fontId="23"/>
  </si>
  <si>
    <t>old</t>
    <phoneticPr fontId="23"/>
  </si>
  <si>
    <t>gacha_settle_tables_</t>
    <phoneticPr fontId="23"/>
  </si>
  <si>
    <t>.tmp</t>
    <phoneticPr fontId="56"/>
  </si>
  <si>
    <t>PremiumSSw</t>
    <phoneticPr fontId="23"/>
  </si>
  <si>
    <t>通常確率</t>
    <rPh sb="0" eb="4">
      <t>ツウジョ</t>
    </rPh>
    <phoneticPr fontId="23"/>
  </si>
  <si>
    <t>PremiumSSS6R3less</t>
    <phoneticPr fontId="23"/>
  </si>
  <si>
    <t>PremiumSS6R5only</t>
    <phoneticPr fontId="23"/>
  </si>
  <si>
    <t>tables_settle_544105</t>
    <phoneticPr fontId="23"/>
  </si>
  <si>
    <t>PremiumSS4R5only</t>
    <phoneticPr fontId="23"/>
  </si>
  <si>
    <t>tables_settle_547100</t>
    <phoneticPr fontId="23"/>
  </si>
  <si>
    <t>hp_plus</t>
    <phoneticPr fontId="56"/>
  </si>
  <si>
    <t>attack_plus</t>
    <phoneticPr fontId="56"/>
  </si>
  <si>
    <t>heal_plus</t>
    <phoneticPr fontId="56"/>
  </si>
  <si>
    <t>defense_plus</t>
    <phoneticPr fontId="56"/>
  </si>
  <si>
    <t>level</t>
    <phoneticPr fontId="56"/>
  </si>
  <si>
    <t>skill_level</t>
    <phoneticPr fontId="56"/>
  </si>
  <si>
    <t>bug</t>
    <phoneticPr fontId="56"/>
  </si>
  <si>
    <t>detail</t>
    <phoneticPr fontId="23"/>
  </si>
  <si>
    <t>ja</t>
    <phoneticPr fontId="23"/>
  </si>
  <si>
    <t>item</t>
    <phoneticPr fontId="23"/>
  </si>
  <si>
    <t>tables_564100</t>
    <phoneticPr fontId="23"/>
  </si>
  <si>
    <t>tables_settle_564100</t>
    <phoneticPr fontId="23"/>
  </si>
  <si>
    <t>桜の花びら × 50</t>
    <rPh sb="0" eb="1">
      <t>サクr</t>
    </rPh>
    <rPh sb="2" eb="3">
      <t>ハナビr</t>
    </rPh>
    <phoneticPr fontId="23"/>
  </si>
  <si>
    <t>桜の花びら × 70</t>
    <rPh sb="0" eb="1">
      <t>サクr</t>
    </rPh>
    <rPh sb="2" eb="3">
      <t>ハナビr</t>
    </rPh>
    <phoneticPr fontId="23"/>
  </si>
  <si>
    <t>桜の花びら × 100</t>
    <rPh sb="0" eb="1">
      <t>サクr</t>
    </rPh>
    <rPh sb="2" eb="3">
      <t>ハナビr</t>
    </rPh>
    <phoneticPr fontId="23"/>
  </si>
  <si>
    <t>old</t>
    <phoneticPr fontId="23"/>
  </si>
  <si>
    <t>skip</t>
    <phoneticPr fontId="23"/>
  </si>
  <si>
    <t>★6確定厳選ガチャ特典</t>
    <rPh sb="2" eb="4">
      <t>カクテ</t>
    </rPh>
    <rPh sb="4" eb="6">
      <t>ゲンセn</t>
    </rPh>
    <phoneticPr fontId="23"/>
  </si>
  <si>
    <t>1回目の特典として
「桜の花びら」 を50枚プレゼント！</t>
    <rPh sb="1" eb="3">
      <t>カ</t>
    </rPh>
    <rPh sb="21" eb="22">
      <t>マ</t>
    </rPh>
    <phoneticPr fontId="23"/>
  </si>
  <si>
    <t>2回目の特典として
「桜の花びら」 を70枚プレゼント！</t>
    <rPh sb="21" eb="22">
      <t>マ</t>
    </rPh>
    <phoneticPr fontId="23"/>
  </si>
  <si>
    <t>3回目の特典として
「桜の花びら」 を100枚プレゼント！</t>
    <rPh sb="22" eb="23">
      <t>マ</t>
    </rPh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</si>
</sst>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.00000"/>
    <numFmt numFmtId="185" formatCode="0.000000000%"/>
    <numFmt numFmtId="186" formatCode="0_);[Red]\(0\)"/>
  </numFmts>
  <fonts count="6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6" tint="0.79998168889431442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2">
    <xf numFmtId="0" fontId="0" fillId="0" borderId="0"/>
    <xf numFmtId="0" fontId="22" fillId="0" borderId="0"/>
    <xf numFmtId="0" fontId="26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1" fillId="0" borderId="0"/>
    <xf numFmtId="0" fontId="33" fillId="5" borderId="2" applyNumberFormat="0" applyAlignment="0" applyProtection="0"/>
    <xf numFmtId="0" fontId="34" fillId="6" borderId="0" applyNumberFormat="0" applyBorder="0" applyAlignment="0" applyProtection="0"/>
    <xf numFmtId="0" fontId="35" fillId="7" borderId="3" applyNumberFormat="0" applyAlignment="0" applyProtection="0"/>
    <xf numFmtId="0" fontId="36" fillId="0" borderId="0" applyNumberFormat="0" applyFill="0" applyBorder="0" applyAlignment="0" applyProtection="0"/>
    <xf numFmtId="0" fontId="37" fillId="8" borderId="0" applyNumberFormat="0" applyBorder="0" applyAlignment="0" applyProtection="0"/>
    <xf numFmtId="0" fontId="38" fillId="9" borderId="4" applyNumberFormat="0" applyAlignment="0" applyProtection="0"/>
    <xf numFmtId="0" fontId="39" fillId="0" borderId="0" applyNumberFormat="0" applyFill="0" applyBorder="0" applyAlignment="0" applyProtection="0"/>
    <xf numFmtId="0" fontId="40" fillId="0" borderId="5" applyNumberFormat="0" applyFill="0" applyAlignment="0" applyProtection="0"/>
    <xf numFmtId="0" fontId="41" fillId="0" borderId="6" applyNumberFormat="0" applyFill="0" applyAlignment="0" applyProtection="0"/>
    <xf numFmtId="0" fontId="42" fillId="0" borderId="7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0" applyNumberFormat="0" applyBorder="0" applyAlignment="0" applyProtection="0"/>
    <xf numFmtId="0" fontId="43" fillId="6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1" borderId="0" applyNumberFormat="0" applyBorder="0" applyAlignment="0" applyProtection="0"/>
    <xf numFmtId="0" fontId="43" fillId="5" borderId="0" applyNumberFormat="0" applyBorder="0" applyAlignment="0" applyProtection="0"/>
    <xf numFmtId="0" fontId="43" fillId="7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3" borderId="0" applyNumberFormat="0" applyBorder="0" applyAlignment="0" applyProtection="0"/>
    <xf numFmtId="0" fontId="43" fillId="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4" borderId="0" applyNumberFormat="0" applyBorder="0" applyAlignment="0" applyProtection="0"/>
    <xf numFmtId="0" fontId="44" fillId="6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5" fillId="17" borderId="0" applyNumberFormat="0" applyBorder="0" applyAlignment="0" applyProtection="0"/>
    <xf numFmtId="0" fontId="34" fillId="6" borderId="0" applyNumberFormat="0" applyBorder="0" applyAlignment="0" applyProtection="0"/>
    <xf numFmtId="0" fontId="46" fillId="0" borderId="8" applyNumberFormat="0" applyFill="0" applyAlignment="0" applyProtection="0"/>
    <xf numFmtId="0" fontId="47" fillId="7" borderId="9" applyNumberFormat="0" applyAlignment="0" applyProtection="0"/>
    <xf numFmtId="0" fontId="47" fillId="18" borderId="9" applyNumberFormat="0" applyAlignment="0" applyProtection="0"/>
    <xf numFmtId="0" fontId="35" fillId="6" borderId="3" applyNumberFormat="0" applyAlignment="0" applyProtection="0"/>
    <xf numFmtId="0" fontId="48" fillId="0" borderId="10" applyNumberFormat="0" applyFill="0" applyAlignment="0" applyProtection="0"/>
    <xf numFmtId="0" fontId="49" fillId="18" borderId="3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11" applyNumberFormat="0" applyFill="0" applyAlignment="0" applyProtection="0"/>
    <xf numFmtId="38" fontId="21" fillId="0" borderId="0" applyFont="0" applyFill="0" applyBorder="0" applyAlignment="0" applyProtection="0">
      <alignment vertical="center"/>
    </xf>
    <xf numFmtId="0" fontId="52" fillId="19" borderId="0" applyNumberFormat="0" applyBorder="0" applyAlignment="0" applyProtection="0"/>
    <xf numFmtId="0" fontId="53" fillId="20" borderId="0" applyNumberFormat="0" applyBorder="0" applyAlignment="0" applyProtection="0"/>
    <xf numFmtId="0" fontId="21" fillId="0" borderId="0"/>
    <xf numFmtId="0" fontId="54" fillId="20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0" borderId="0"/>
    <xf numFmtId="0" fontId="57" fillId="0" borderId="0">
      <alignment vertical="center"/>
    </xf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9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38" fontId="58" fillId="0" borderId="0" applyFont="0" applyFill="0" applyBorder="0" applyAlignment="0" applyProtection="0"/>
    <xf numFmtId="0" fontId="3" fillId="0" borderId="0"/>
    <xf numFmtId="0" fontId="3" fillId="0" borderId="0"/>
  </cellStyleXfs>
  <cellXfs count="110">
    <xf numFmtId="0" fontId="0" fillId="0" borderId="0" xfId="0"/>
    <xf numFmtId="0" fontId="28" fillId="0" borderId="0" xfId="2" applyFont="1" applyAlignment="1">
      <alignment vertical="center"/>
    </xf>
    <xf numFmtId="0" fontId="28" fillId="0" borderId="1" xfId="2" applyFont="1" applyBorder="1" applyAlignment="1">
      <alignment vertical="center"/>
    </xf>
    <xf numFmtId="0" fontId="28" fillId="3" borderId="1" xfId="2" applyFont="1" applyFill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4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horizontal="right" vertical="center"/>
    </xf>
    <xf numFmtId="0" fontId="28" fillId="3" borderId="1" xfId="2" applyFont="1" applyFill="1" applyBorder="1" applyAlignment="1">
      <alignment vertical="center"/>
    </xf>
    <xf numFmtId="0" fontId="29" fillId="4" borderId="1" xfId="0" applyFont="1" applyFill="1" applyBorder="1" applyAlignment="1">
      <alignment vertical="center"/>
    </xf>
    <xf numFmtId="0" fontId="28" fillId="0" borderId="13" xfId="2" applyFont="1" applyBorder="1" applyAlignment="1">
      <alignment vertical="center"/>
    </xf>
    <xf numFmtId="0" fontId="27" fillId="4" borderId="12" xfId="0" applyFont="1" applyFill="1" applyBorder="1" applyAlignment="1">
      <alignment horizontal="right" vertical="center"/>
    </xf>
    <xf numFmtId="0" fontId="27" fillId="4" borderId="14" xfId="0" applyFont="1" applyFill="1" applyBorder="1" applyAlignment="1">
      <alignment horizontal="right" vertical="center"/>
    </xf>
    <xf numFmtId="0" fontId="28" fillId="0" borderId="15" xfId="2" applyFont="1" applyBorder="1" applyAlignment="1">
      <alignment vertical="center"/>
    </xf>
    <xf numFmtId="0" fontId="28" fillId="2" borderId="1" xfId="2" applyFont="1" applyFill="1" applyBorder="1" applyAlignment="1">
      <alignment horizontal="left" vertical="center"/>
    </xf>
    <xf numFmtId="0" fontId="28" fillId="2" borderId="1" xfId="2" applyFont="1" applyFill="1" applyBorder="1" applyAlignment="1">
      <alignment horizontal="center" vertical="center"/>
    </xf>
    <xf numFmtId="0" fontId="30" fillId="21" borderId="1" xfId="2978" applyFont="1" applyFill="1" applyBorder="1"/>
    <xf numFmtId="0" fontId="16" fillId="21" borderId="1" xfId="2978" applyFill="1" applyBorder="1"/>
    <xf numFmtId="0" fontId="16" fillId="0" borderId="0" xfId="2978"/>
    <xf numFmtId="0" fontId="16" fillId="0" borderId="1" xfId="2978" applyBorder="1"/>
    <xf numFmtId="0" fontId="16" fillId="2" borderId="1" xfId="2978" applyFill="1" applyBorder="1"/>
    <xf numFmtId="0" fontId="20" fillId="2" borderId="1" xfId="19" applyFont="1" applyFill="1" applyBorder="1"/>
    <xf numFmtId="0" fontId="21" fillId="2" borderId="1" xfId="19" applyFill="1" applyBorder="1"/>
    <xf numFmtId="0" fontId="19" fillId="2" borderId="1" xfId="19" applyFont="1" applyFill="1" applyBorder="1"/>
    <xf numFmtId="0" fontId="17" fillId="2" borderId="1" xfId="19" applyFont="1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5" fillId="0" borderId="1" xfId="2978" applyFont="1" applyBorder="1"/>
    <xf numFmtId="0" fontId="30" fillId="21" borderId="1" xfId="0" applyFont="1" applyFill="1" applyBorder="1"/>
    <xf numFmtId="0" fontId="55" fillId="22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vertical="center"/>
    </xf>
    <xf numFmtId="0" fontId="0" fillId="4" borderId="0" xfId="0" applyFill="1"/>
    <xf numFmtId="0" fontId="13" fillId="0" borderId="1" xfId="2978" applyFont="1" applyBorder="1"/>
    <xf numFmtId="0" fontId="0" fillId="0" borderId="1" xfId="0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12" fillId="2" borderId="1" xfId="19" applyFont="1" applyFill="1" applyBorder="1"/>
    <xf numFmtId="0" fontId="12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7" fillId="24" borderId="1" xfId="0" applyFont="1" applyFill="1" applyBorder="1" applyAlignment="1">
      <alignment horizontal="right" vertical="center"/>
    </xf>
    <xf numFmtId="0" fontId="11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10" fillId="0" borderId="0" xfId="3662"/>
    <xf numFmtId="0" fontId="10" fillId="4" borderId="0" xfId="3662" applyFill="1"/>
    <xf numFmtId="9" fontId="10" fillId="0" borderId="0" xfId="3662" applyNumberFormat="1"/>
    <xf numFmtId="0" fontId="10" fillId="0" borderId="0" xfId="3662" applyFill="1"/>
    <xf numFmtId="9" fontId="10" fillId="0" borderId="0" xfId="3662" applyNumberFormat="1" applyAlignment="1"/>
    <xf numFmtId="0" fontId="10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9" fillId="0" borderId="0" xfId="0" applyFont="1"/>
    <xf numFmtId="177" fontId="0" fillId="29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60" fillId="30" borderId="1" xfId="0" applyNumberFormat="1" applyFont="1" applyFill="1" applyBorder="1"/>
    <xf numFmtId="0" fontId="28" fillId="24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9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8" fillId="0" borderId="1" xfId="3036" applyFont="1" applyBorder="1"/>
    <xf numFmtId="0" fontId="27" fillId="24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7" fillId="4" borderId="1" xfId="2978" applyFont="1" applyFill="1" applyBorder="1"/>
    <xf numFmtId="0" fontId="7" fillId="0" borderId="1" xfId="3036" applyFont="1" applyBorder="1"/>
    <xf numFmtId="0" fontId="29" fillId="24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6" fillId="0" borderId="1" xfId="2978" applyFont="1" applyBorder="1"/>
    <xf numFmtId="0" fontId="6" fillId="4" borderId="1" xfId="2978" applyFont="1" applyFill="1" applyBorder="1"/>
    <xf numFmtId="0" fontId="28" fillId="3" borderId="14" xfId="2" applyFont="1" applyFill="1" applyBorder="1" applyAlignment="1">
      <alignment vertical="center"/>
    </xf>
    <xf numFmtId="0" fontId="28" fillId="0" borderId="0" xfId="2" applyFont="1" applyBorder="1" applyAlignment="1">
      <alignment vertical="center"/>
    </xf>
    <xf numFmtId="0" fontId="5" fillId="4" borderId="1" xfId="2978" applyFont="1" applyFill="1" applyBorder="1"/>
    <xf numFmtId="0" fontId="28" fillId="0" borderId="0" xfId="2" applyFont="1" applyFill="1" applyAlignment="1">
      <alignment vertical="center"/>
    </xf>
    <xf numFmtId="180" fontId="0" fillId="4" borderId="1" xfId="0" applyNumberFormat="1" applyFill="1" applyBorder="1"/>
    <xf numFmtId="184" fontId="0" fillId="0" borderId="0" xfId="0" applyNumberFormat="1"/>
    <xf numFmtId="185" fontId="0" fillId="27" borderId="1" xfId="0" applyNumberFormat="1" applyFill="1" applyBorder="1"/>
    <xf numFmtId="185" fontId="0" fillId="27" borderId="1" xfId="3575" applyNumberFormat="1" applyFont="1" applyFill="1" applyBorder="1"/>
    <xf numFmtId="0" fontId="4" fillId="4" borderId="1" xfId="2978" applyFont="1" applyFill="1" applyBorder="1"/>
    <xf numFmtId="0" fontId="28" fillId="2" borderId="1" xfId="3670" applyFont="1" applyFill="1" applyBorder="1" applyAlignment="1">
      <alignment horizontal="left" vertical="center"/>
    </xf>
    <xf numFmtId="0" fontId="3" fillId="2" borderId="1" xfId="3671" applyFont="1" applyFill="1" applyBorder="1"/>
    <xf numFmtId="0" fontId="55" fillId="31" borderId="1" xfId="0" applyFont="1" applyFill="1" applyBorder="1" applyAlignment="1">
      <alignment horizontal="left" vertical="center"/>
    </xf>
    <xf numFmtId="0" fontId="55" fillId="32" borderId="1" xfId="0" applyFont="1" applyFill="1" applyBorder="1" applyAlignment="1">
      <alignment horizontal="left" vertical="center"/>
    </xf>
    <xf numFmtId="0" fontId="28" fillId="24" borderId="1" xfId="3670" applyFont="1" applyFill="1" applyBorder="1" applyAlignment="1">
      <alignment horizontal="left" vertical="center"/>
    </xf>
    <xf numFmtId="0" fontId="28" fillId="0" borderId="0" xfId="3670" applyFont="1" applyAlignment="1">
      <alignment vertical="center"/>
    </xf>
    <xf numFmtId="0" fontId="28" fillId="4" borderId="1" xfId="3669" quotePrefix="1" applyNumberFormat="1" applyFont="1" applyFill="1" applyBorder="1" applyAlignment="1">
      <alignment vertical="center"/>
    </xf>
    <xf numFmtId="186" fontId="28" fillId="4" borderId="1" xfId="3669" quotePrefix="1" applyNumberFormat="1" applyFont="1" applyFill="1" applyBorder="1" applyAlignment="1">
      <alignment vertical="center"/>
    </xf>
    <xf numFmtId="0" fontId="55" fillId="0" borderId="1" xfId="0" applyFont="1" applyBorder="1" applyAlignment="1">
      <alignment vertical="center"/>
    </xf>
    <xf numFmtId="0" fontId="28" fillId="0" borderId="1" xfId="3670" applyFont="1" applyBorder="1" applyAlignment="1">
      <alignment vertical="center"/>
    </xf>
    <xf numFmtId="0" fontId="55" fillId="0" borderId="1" xfId="0" applyFont="1" applyBorder="1" applyAlignment="1">
      <alignment vertical="center" wrapText="1"/>
    </xf>
    <xf numFmtId="0" fontId="3" fillId="4" borderId="1" xfId="2978" applyFont="1" applyFill="1" applyBorder="1"/>
    <xf numFmtId="0" fontId="3" fillId="0" borderId="1" xfId="3036" applyFont="1" applyBorder="1"/>
    <xf numFmtId="0" fontId="2" fillId="0" borderId="1" xfId="3036" applyFont="1" applyBorder="1"/>
  </cellXfs>
  <cellStyles count="367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桁区切り 2" xfId="67"/>
    <cellStyle name="桁区切り [0]" xfId="3669" builtinId="6"/>
    <cellStyle name="標準" xfId="0" builtinId="0"/>
    <cellStyle name="標準 2" xfId="2"/>
    <cellStyle name="標準 2 2" xfId="2979"/>
    <cellStyle name="標準 2 3" xfId="3670"/>
    <cellStyle name="標準 3" xfId="19"/>
    <cellStyle name="標準 3 2" xfId="3671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1427</v>
          </cell>
          <cell r="B1418" t="str">
            <v>ja</v>
          </cell>
          <cell r="C1418" t="str">
            <v>プラトー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technical</v>
          </cell>
          <cell r="L1418" t="str">
            <v>テクニカルタイプ</v>
          </cell>
          <cell r="M1418" t="str">
            <v>academia</v>
          </cell>
        </row>
        <row r="1419">
          <cell r="A1419">
            <v>1428</v>
          </cell>
          <cell r="B1419" t="str">
            <v>ja</v>
          </cell>
          <cell r="C1419" t="str">
            <v>幻影の泡沫 プラトー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green</v>
          </cell>
          <cell r="I1419">
            <v>6</v>
          </cell>
          <cell r="J1419" t="str">
            <v>PremiumSSS</v>
          </cell>
          <cell r="K1419" t="str">
            <v>technical</v>
          </cell>
          <cell r="L1419" t="str">
            <v>テクニカルタイプ</v>
          </cell>
          <cell r="M1419" t="str">
            <v>academia</v>
          </cell>
        </row>
        <row r="1420">
          <cell r="A1420">
            <v>1431</v>
          </cell>
          <cell r="B1420" t="str">
            <v>ja</v>
          </cell>
          <cell r="C1420" t="str">
            <v>センコ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god</v>
          </cell>
        </row>
        <row r="1421">
          <cell r="A1421">
            <v>1432</v>
          </cell>
          <cell r="B1421" t="str">
            <v>ja</v>
          </cell>
          <cell r="C1421" t="str">
            <v>華宴の千年狐 センコ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6</v>
          </cell>
          <cell r="J1421" t="str">
            <v>PremiumSS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1433</v>
          </cell>
          <cell r="B1422" t="str">
            <v>ja</v>
          </cell>
          <cell r="C1422" t="str">
            <v>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3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1434</v>
          </cell>
          <cell r="B1423" t="str">
            <v>ja</v>
          </cell>
          <cell r="C1423" t="str">
            <v>メガ超越の果実</v>
          </cell>
          <cell r="D1423" t="str">
            <v>スキル進化素材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4</v>
          </cell>
          <cell r="J1423" t="str">
            <v>Material</v>
          </cell>
          <cell r="K1423" t="str">
            <v>limitbreak</v>
          </cell>
          <cell r="L1423" t="str">
            <v>限界突破素材</v>
          </cell>
          <cell r="M1423" t="str">
            <v>unknown</v>
          </cell>
        </row>
        <row r="1424">
          <cell r="A1424">
            <v>1435</v>
          </cell>
          <cell r="B1424" t="str">
            <v>ja</v>
          </cell>
          <cell r="C1424" t="str">
            <v>ギガ超越の果実</v>
          </cell>
          <cell r="D1424" t="str">
            <v>スキル進化素材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5</v>
          </cell>
          <cell r="J1424" t="str">
            <v>Material</v>
          </cell>
          <cell r="K1424" t="str">
            <v>limitbreak</v>
          </cell>
          <cell r="L1424" t="str">
            <v>限界突破素材</v>
          </cell>
          <cell r="M1424" t="str">
            <v>unknown</v>
          </cell>
        </row>
        <row r="1425">
          <cell r="A1425">
            <v>1452</v>
          </cell>
          <cell r="B1425" t="str">
            <v>ja</v>
          </cell>
          <cell r="C1425" t="str">
            <v>メルセンヌ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5</v>
          </cell>
          <cell r="J1425" t="str">
            <v>PremiumSSS</v>
          </cell>
          <cell r="K1425" t="str">
            <v>hp</v>
          </cell>
          <cell r="L1425" t="str">
            <v>体力タイプ</v>
          </cell>
          <cell r="M1425" t="str">
            <v>academia</v>
          </cell>
        </row>
        <row r="1426">
          <cell r="A1426">
            <v>1453</v>
          </cell>
          <cell r="B1426" t="str">
            <v>ja</v>
          </cell>
          <cell r="C1426" t="str">
            <v>数解の自鳴琴 メルセンヌ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6</v>
          </cell>
          <cell r="J1426" t="str">
            <v>PremiumSSS</v>
          </cell>
          <cell r="K1426" t="str">
            <v>hp</v>
          </cell>
          <cell r="L1426" t="str">
            <v>体力タイプ</v>
          </cell>
          <cell r="M1426" t="str">
            <v>academia</v>
          </cell>
        </row>
        <row r="1427">
          <cell r="A1427">
            <v>1454</v>
          </cell>
          <cell r="B1427" t="str">
            <v>ja</v>
          </cell>
          <cell r="C1427" t="str">
            <v>ストレングス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red</v>
          </cell>
          <cell r="I1427">
            <v>5</v>
          </cell>
          <cell r="J1427" t="str">
            <v>PremiumSSS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1455</v>
          </cell>
          <cell r="B1428" t="str">
            <v>ja</v>
          </cell>
          <cell r="C1428" t="str">
            <v>豪毅なる征獣師 ストレングス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red</v>
          </cell>
          <cell r="I1428">
            <v>6</v>
          </cell>
          <cell r="J1428" t="str">
            <v>PremiumSSS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1456</v>
          </cell>
          <cell r="B1429" t="str">
            <v>ja</v>
          </cell>
          <cell r="C1429" t="str">
            <v>ネセバル</v>
          </cell>
          <cell r="H1429" t="str">
            <v>blue</v>
          </cell>
          <cell r="I1429">
            <v>5</v>
          </cell>
          <cell r="J1429" t="str">
            <v>PremiumSSw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1457</v>
          </cell>
          <cell r="B1430" t="str">
            <v>ja</v>
          </cell>
          <cell r="C1430" t="str">
            <v>碧影の聖跡 ネセバル</v>
          </cell>
          <cell r="H1430" t="str">
            <v>blue</v>
          </cell>
          <cell r="I1430">
            <v>6</v>
          </cell>
          <cell r="J1430" t="str">
            <v>PremiumSSw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1458</v>
          </cell>
          <cell r="B1431" t="str">
            <v>ja</v>
          </cell>
          <cell r="C1431" t="str">
            <v>diamond01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1459</v>
          </cell>
          <cell r="B1432" t="str">
            <v>ja</v>
          </cell>
          <cell r="C1432" t="str">
            <v>diamond02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1460</v>
          </cell>
          <cell r="B1433" t="str">
            <v>ja</v>
          </cell>
          <cell r="C1433" t="str">
            <v>opal01</v>
          </cell>
          <cell r="H1433" t="str">
            <v>blue</v>
          </cell>
          <cell r="I1433">
            <v>4</v>
          </cell>
          <cell r="J1433" t="str">
            <v>PremiumS</v>
          </cell>
          <cell r="K1433" t="str">
            <v>balance</v>
          </cell>
          <cell r="L1433" t="str">
            <v>バランスタイプ</v>
          </cell>
          <cell r="M1433" t="str">
            <v>human</v>
          </cell>
        </row>
        <row r="1434">
          <cell r="A1434">
            <v>1461</v>
          </cell>
          <cell r="B1434" t="str">
            <v>ja</v>
          </cell>
          <cell r="C1434" t="str">
            <v>opal02</v>
          </cell>
          <cell r="H1434" t="str">
            <v>blue</v>
          </cell>
          <cell r="I1434">
            <v>5</v>
          </cell>
          <cell r="J1434" t="str">
            <v>PremiumS</v>
          </cell>
          <cell r="K1434" t="str">
            <v>balance</v>
          </cell>
          <cell r="L1434" t="str">
            <v>バランスタイプ</v>
          </cell>
          <cell r="M1434" t="str">
            <v>human</v>
          </cell>
        </row>
        <row r="1435">
          <cell r="A1435">
            <v>1462</v>
          </cell>
          <cell r="B1435" t="str">
            <v>ja</v>
          </cell>
          <cell r="C1435" t="str">
            <v>ruby01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technical</v>
          </cell>
          <cell r="L1435" t="str">
            <v>テクニカルタイプ</v>
          </cell>
          <cell r="M1435" t="str">
            <v>human</v>
          </cell>
        </row>
        <row r="1436">
          <cell r="A1436">
            <v>1463</v>
          </cell>
          <cell r="B1436" t="str">
            <v>ja</v>
          </cell>
          <cell r="C1436" t="str">
            <v>ruby02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1464</v>
          </cell>
          <cell r="B1437" t="str">
            <v>ja</v>
          </cell>
          <cell r="C1437" t="str">
            <v>garnet01</v>
          </cell>
          <cell r="H1437" t="str">
            <v>yellow</v>
          </cell>
          <cell r="I1437">
            <v>5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human</v>
          </cell>
        </row>
        <row r="1438">
          <cell r="A1438">
            <v>1465</v>
          </cell>
          <cell r="B1438" t="str">
            <v>ja</v>
          </cell>
          <cell r="C1438" t="str">
            <v>garnet02</v>
          </cell>
          <cell r="H1438" t="str">
            <v>yellow</v>
          </cell>
          <cell r="I1438">
            <v>6</v>
          </cell>
          <cell r="J1438" t="str">
            <v>PremiumSS</v>
          </cell>
          <cell r="K1438" t="str">
            <v>hp</v>
          </cell>
          <cell r="L1438" t="str">
            <v>体力タイプ</v>
          </cell>
          <cell r="M1438" t="str">
            <v>human</v>
          </cell>
        </row>
        <row r="1439">
          <cell r="A1439">
            <v>1466</v>
          </cell>
          <cell r="B1439" t="str">
            <v>ja</v>
          </cell>
          <cell r="C1439" t="str">
            <v>sapphire01</v>
          </cell>
          <cell r="H1439" t="str">
            <v>blue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1467</v>
          </cell>
          <cell r="B1440" t="str">
            <v>ja</v>
          </cell>
          <cell r="C1440" t="str">
            <v>sapphire02</v>
          </cell>
          <cell r="H1440" t="str">
            <v>blue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1468</v>
          </cell>
          <cell r="B1441" t="str">
            <v>ja</v>
          </cell>
          <cell r="C1441" t="str">
            <v>emerald01</v>
          </cell>
          <cell r="H1441" t="str">
            <v>green</v>
          </cell>
          <cell r="I1441">
            <v>5</v>
          </cell>
          <cell r="J1441" t="str">
            <v>Drop2N</v>
          </cell>
          <cell r="K1441" t="str">
            <v>attack</v>
          </cell>
          <cell r="L1441" t="str">
            <v>攻撃タイプ</v>
          </cell>
          <cell r="M1441" t="str">
            <v>unknown</v>
          </cell>
        </row>
        <row r="1442">
          <cell r="A1442">
            <v>1469</v>
          </cell>
          <cell r="B1442" t="str">
            <v>ja</v>
          </cell>
          <cell r="C1442" t="str">
            <v>aquamarine01</v>
          </cell>
          <cell r="H1442" t="str">
            <v>yellow</v>
          </cell>
          <cell r="I1442">
            <v>5</v>
          </cell>
          <cell r="J1442" t="str">
            <v>Drop2N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1470</v>
          </cell>
          <cell r="B1443" t="str">
            <v>ja</v>
          </cell>
          <cell r="C1443" t="str">
            <v>amethyst01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1471</v>
          </cell>
          <cell r="B1444" t="str">
            <v>ja</v>
          </cell>
          <cell r="C1444" t="str">
            <v>エイプリルアーサー</v>
          </cell>
          <cell r="H1444" t="str">
            <v>red</v>
          </cell>
          <cell r="I1444">
            <v>6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unknown</v>
          </cell>
        </row>
        <row r="1445">
          <cell r="A1445">
            <v>1488</v>
          </cell>
          <cell r="B1445" t="str">
            <v>ja</v>
          </cell>
          <cell r="C1445" t="str">
            <v>バクR5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5</v>
          </cell>
          <cell r="J1445" t="str">
            <v>PremiumSSS</v>
          </cell>
          <cell r="K1445" t="str">
            <v>attack</v>
          </cell>
          <cell r="L1445" t="str">
            <v>攻撃タイプ</v>
          </cell>
          <cell r="M1445" t="str">
            <v>academia</v>
          </cell>
        </row>
        <row r="1446">
          <cell r="A1446">
            <v>1489</v>
          </cell>
          <cell r="B1446" t="str">
            <v>ja</v>
          </cell>
          <cell r="C1446" t="str">
            <v>バクR6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PremiumSSS</v>
          </cell>
          <cell r="K1446" t="str">
            <v>attack</v>
          </cell>
          <cell r="L1446" t="str">
            <v>攻撃タイプ</v>
          </cell>
          <cell r="M1446" t="str">
            <v>academia</v>
          </cell>
        </row>
        <row r="1447">
          <cell r="A1447">
            <v>1490</v>
          </cell>
          <cell r="B1447" t="str">
            <v>ja</v>
          </cell>
          <cell r="C1447" t="str">
            <v>パラケルススR5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5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academia</v>
          </cell>
        </row>
        <row r="1448">
          <cell r="A1448">
            <v>1491</v>
          </cell>
          <cell r="B1448" t="str">
            <v>ja</v>
          </cell>
          <cell r="C1448" t="str">
            <v>パラケルススR6</v>
          </cell>
          <cell r="D1448" t="str">
            <v>未定</v>
          </cell>
          <cell r="E1448" t="str">
            <v>アリス</v>
          </cell>
          <cell r="F1448" t="str">
            <v>世界観</v>
          </cell>
          <cell r="G1448" t="str">
            <v>不明</v>
          </cell>
          <cell r="H1448" t="str">
            <v>red</v>
          </cell>
          <cell r="I1448">
            <v>6</v>
          </cell>
          <cell r="J1448" t="str">
            <v>PremiumSSS</v>
          </cell>
          <cell r="K1448" t="str">
            <v>balance</v>
          </cell>
          <cell r="L1448" t="str">
            <v>バランスタイプ</v>
          </cell>
          <cell r="M1448" t="str">
            <v>academia</v>
          </cell>
        </row>
        <row r="1449">
          <cell r="A1449">
            <v>1495</v>
          </cell>
          <cell r="B1449" t="str">
            <v>ja</v>
          </cell>
          <cell r="C1449" t="str">
            <v>桜乱の武奏術 牛若丸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samurai</v>
          </cell>
        </row>
        <row r="1450">
          <cell r="A1450">
            <v>1496</v>
          </cell>
          <cell r="B1450" t="str">
            <v>ja</v>
          </cell>
          <cell r="C1450" t="str">
            <v>晴眼桜花一文字 沖田総司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green</v>
          </cell>
          <cell r="I1450">
            <v>6</v>
          </cell>
          <cell r="J1450" t="str">
            <v>PremiumSS</v>
          </cell>
          <cell r="K1450" t="str">
            <v>hp</v>
          </cell>
          <cell r="L1450" t="str">
            <v>体力タイプ</v>
          </cell>
          <cell r="M1450" t="str">
            <v>samurai</v>
          </cell>
        </row>
        <row r="1451">
          <cell r="A1451">
            <v>1497</v>
          </cell>
          <cell r="B1451" t="str">
            <v>ja</v>
          </cell>
          <cell r="C1451" t="str">
            <v>ヨシノ</v>
          </cell>
          <cell r="H1451" t="str">
            <v>blue</v>
          </cell>
          <cell r="I1451">
            <v>5</v>
          </cell>
          <cell r="J1451" t="str">
            <v>DropWizS</v>
          </cell>
          <cell r="K1451" t="str">
            <v>heal</v>
          </cell>
          <cell r="L1451" t="str">
            <v>回復タイプ</v>
          </cell>
          <cell r="M1451" t="str">
            <v>fantasy</v>
          </cell>
        </row>
        <row r="1452">
          <cell r="A1452">
            <v>1498</v>
          </cell>
          <cell r="B1452" t="str">
            <v>ja</v>
          </cell>
          <cell r="C1452" t="str">
            <v>咲誇る夢見草 ヨシノ</v>
          </cell>
          <cell r="H1452" t="str">
            <v>blue</v>
          </cell>
          <cell r="I1452">
            <v>6</v>
          </cell>
          <cell r="J1452" t="str">
            <v>DropWizS</v>
          </cell>
          <cell r="K1452" t="str">
            <v>heal</v>
          </cell>
          <cell r="L1452" t="str">
            <v>回復タイプ</v>
          </cell>
          <cell r="M1452" t="str">
            <v>fantasy</v>
          </cell>
        </row>
        <row r="1453">
          <cell r="A1453">
            <v>1499</v>
          </cell>
          <cell r="B1453" t="str">
            <v>ja</v>
          </cell>
          <cell r="C1453" t="str">
            <v>コノハナサクヤ</v>
          </cell>
          <cell r="D1453" t="str">
            <v>未定</v>
          </cell>
          <cell r="E1453" t="str">
            <v>アリス</v>
          </cell>
          <cell r="F1453" t="str">
            <v>世界観</v>
          </cell>
          <cell r="G1453" t="str">
            <v>不明</v>
          </cell>
          <cell r="H1453" t="str">
            <v>yellow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1500</v>
          </cell>
          <cell r="B1454" t="str">
            <v>ja</v>
          </cell>
          <cell r="C1454" t="str">
            <v>櫻歌する開華 コノハナサクヤ</v>
          </cell>
          <cell r="D1454" t="str">
            <v>未定</v>
          </cell>
          <cell r="E1454" t="str">
            <v>アリス</v>
          </cell>
          <cell r="F1454" t="str">
            <v>世界観</v>
          </cell>
          <cell r="G1454" t="str">
            <v>不明</v>
          </cell>
          <cell r="H1454" t="str">
            <v>yellow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1501</v>
          </cell>
          <cell r="B1455" t="str">
            <v>ja</v>
          </cell>
          <cell r="C1455" t="str">
            <v>晴舞台の桜舞 ドガ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animal</v>
          </cell>
        </row>
        <row r="1456">
          <cell r="A1456">
            <v>1502</v>
          </cell>
          <cell r="B1456" t="str">
            <v>ja</v>
          </cell>
          <cell r="C1456" t="str">
            <v>打咲かす桜花灯 トリスタン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human</v>
          </cell>
        </row>
        <row r="1457">
          <cell r="A1457">
            <v>1503</v>
          </cell>
          <cell r="B1457" t="str">
            <v>ja</v>
          </cell>
          <cell r="C1457" t="str">
            <v>春纏う蛇撫子 ヨルムンガンド</v>
          </cell>
          <cell r="H1457" t="str">
            <v>yellow</v>
          </cell>
          <cell r="I1457">
            <v>5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dragon</v>
          </cell>
        </row>
        <row r="1458">
          <cell r="A1458">
            <v>1504</v>
          </cell>
          <cell r="B1458" t="str">
            <v>ja</v>
          </cell>
          <cell r="C1458" t="str">
            <v>ネコ</v>
          </cell>
          <cell r="H1458" t="str">
            <v>red</v>
          </cell>
          <cell r="I1458">
            <v>1</v>
          </cell>
          <cell r="J1458" t="str">
            <v>Drop1T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1505</v>
          </cell>
          <cell r="B1459" t="str">
            <v>ja</v>
          </cell>
          <cell r="C1459" t="str">
            <v>タンクネコ</v>
          </cell>
          <cell r="H1459" t="str">
            <v>green</v>
          </cell>
          <cell r="I1459">
            <v>1</v>
          </cell>
          <cell r="J1459" t="str">
            <v>Drop1T</v>
          </cell>
          <cell r="K1459" t="str">
            <v>hp</v>
          </cell>
          <cell r="L1459" t="str">
            <v>体力タイプ</v>
          </cell>
          <cell r="M1459" t="str">
            <v>unknown</v>
          </cell>
        </row>
        <row r="1460">
          <cell r="A1460">
            <v>1506</v>
          </cell>
          <cell r="B1460" t="str">
            <v>ja</v>
          </cell>
          <cell r="C1460" t="str">
            <v>バトルネコ</v>
          </cell>
          <cell r="H1460" t="str">
            <v>yellow</v>
          </cell>
          <cell r="I1460">
            <v>2</v>
          </cell>
          <cell r="J1460" t="str">
            <v>Drop1S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1507</v>
          </cell>
          <cell r="B1461" t="str">
            <v>ja</v>
          </cell>
          <cell r="C1461" t="str">
            <v>キモネコ</v>
          </cell>
          <cell r="H1461" t="str">
            <v>blue</v>
          </cell>
          <cell r="I1461">
            <v>3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1508</v>
          </cell>
          <cell r="B1462" t="str">
            <v>ja</v>
          </cell>
          <cell r="C1462" t="str">
            <v>ネコノトリ</v>
          </cell>
          <cell r="H1462" t="str">
            <v>red</v>
          </cell>
          <cell r="I1462">
            <v>4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1509</v>
          </cell>
          <cell r="B1463" t="str">
            <v>ja</v>
          </cell>
          <cell r="C1463" t="str">
            <v>巨神ネコ</v>
          </cell>
          <cell r="H1463" t="str">
            <v>green</v>
          </cell>
          <cell r="I1463">
            <v>5</v>
          </cell>
          <cell r="J1463" t="str">
            <v>Drop2N</v>
          </cell>
          <cell r="K1463" t="str">
            <v>hp</v>
          </cell>
          <cell r="L1463" t="str">
            <v>体力タイプ</v>
          </cell>
          <cell r="M1463" t="str">
            <v>god</v>
          </cell>
        </row>
        <row r="1464">
          <cell r="A1464">
            <v>1510</v>
          </cell>
          <cell r="B1464" t="str">
            <v>ja</v>
          </cell>
          <cell r="C1464" t="str">
            <v>ネコヴァルキリー</v>
          </cell>
          <cell r="H1464" t="str">
            <v>yellow</v>
          </cell>
          <cell r="I1464">
            <v>4</v>
          </cell>
          <cell r="J1464" t="str">
            <v>DropWizS</v>
          </cell>
          <cell r="K1464" t="str">
            <v>balance</v>
          </cell>
          <cell r="L1464" t="str">
            <v>バランスタイプ</v>
          </cell>
          <cell r="M1464" t="str">
            <v>god</v>
          </cell>
        </row>
        <row r="1465">
          <cell r="A1465">
            <v>1511</v>
          </cell>
          <cell r="B1465" t="str">
            <v>ja</v>
          </cell>
          <cell r="C1465" t="str">
            <v>ネコヴァルキリー･真</v>
          </cell>
          <cell r="H1465" t="str">
            <v>yellow</v>
          </cell>
          <cell r="I1465">
            <v>5</v>
          </cell>
          <cell r="J1465" t="str">
            <v>DropWizS</v>
          </cell>
          <cell r="K1465" t="str">
            <v>balance</v>
          </cell>
          <cell r="L1465" t="str">
            <v>バランスタイプ</v>
          </cell>
          <cell r="M1465" t="str">
            <v>god</v>
          </cell>
        </row>
        <row r="1466">
          <cell r="A1466">
            <v>1512</v>
          </cell>
          <cell r="B1466" t="str">
            <v>ja</v>
          </cell>
          <cell r="C1466" t="str">
            <v>ネコヴァルキリー･聖</v>
          </cell>
          <cell r="H1466" t="str">
            <v>yellow</v>
          </cell>
          <cell r="I1466">
            <v>6</v>
          </cell>
          <cell r="J1466" t="str">
            <v>DropWizS</v>
          </cell>
          <cell r="K1466" t="str">
            <v>balance</v>
          </cell>
          <cell r="L1466" t="str">
            <v>バランスタイプ</v>
          </cell>
          <cell r="M1466" t="str">
            <v>god</v>
          </cell>
        </row>
        <row r="1467">
          <cell r="A1467">
            <v>1513</v>
          </cell>
          <cell r="B1467" t="str">
            <v>ja</v>
          </cell>
          <cell r="C1467" t="str">
            <v>金ネコ</v>
          </cell>
          <cell r="H1467" t="str">
            <v>yellow</v>
          </cell>
          <cell r="I1467">
            <v>4</v>
          </cell>
          <cell r="J1467" t="str">
            <v>Material</v>
          </cell>
          <cell r="K1467" t="str">
            <v>coin</v>
          </cell>
          <cell r="L1467" t="str">
            <v>コインタイプ</v>
          </cell>
          <cell r="M1467" t="str">
            <v>unknown</v>
          </cell>
        </row>
        <row r="1468">
          <cell r="A1468">
            <v>1514</v>
          </cell>
          <cell r="B1468" t="str">
            <v>ja</v>
          </cell>
          <cell r="C1468" t="str">
            <v>金ネコビルダー</v>
          </cell>
          <cell r="H1468" t="str">
            <v>yellow</v>
          </cell>
          <cell r="I1468">
            <v>5</v>
          </cell>
          <cell r="J1468" t="str">
            <v>Material</v>
          </cell>
          <cell r="K1468" t="str">
            <v>coin</v>
          </cell>
          <cell r="L1468" t="str">
            <v>コインタイプ</v>
          </cell>
          <cell r="M1468" t="str">
            <v>unknown</v>
          </cell>
        </row>
        <row r="1469">
          <cell r="A1469">
            <v>1515</v>
          </cell>
          <cell r="B1469" t="str">
            <v>ja</v>
          </cell>
          <cell r="C1469" t="str">
            <v>赤メタルネコ</v>
          </cell>
          <cell r="H1469" t="str">
            <v>red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1516</v>
          </cell>
          <cell r="B1470" t="str">
            <v>ja</v>
          </cell>
          <cell r="C1470" t="str">
            <v>赤メタルネコビルダー</v>
          </cell>
          <cell r="H1470" t="str">
            <v>red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1517</v>
          </cell>
          <cell r="B1471" t="str">
            <v>ja</v>
          </cell>
          <cell r="C1471" t="str">
            <v>青メタルネコ</v>
          </cell>
          <cell r="H1471" t="str">
            <v>blue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1518</v>
          </cell>
          <cell r="B1472" t="str">
            <v>ja</v>
          </cell>
          <cell r="C1472" t="str">
            <v>青メタルネコビルダー</v>
          </cell>
          <cell r="H1472" t="str">
            <v>blue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1519</v>
          </cell>
          <cell r="B1473" t="str">
            <v>ja</v>
          </cell>
          <cell r="C1473" t="str">
            <v>緑メタルネコ</v>
          </cell>
          <cell r="H1473" t="str">
            <v>green</v>
          </cell>
          <cell r="I1473">
            <v>4</v>
          </cell>
          <cell r="J1473" t="str">
            <v>Material</v>
          </cell>
          <cell r="K1473" t="str">
            <v>exp</v>
          </cell>
          <cell r="L1473" t="str">
            <v>強化素材タイプ</v>
          </cell>
          <cell r="M1473" t="str">
            <v>unknown</v>
          </cell>
        </row>
        <row r="1474">
          <cell r="A1474">
            <v>1520</v>
          </cell>
          <cell r="B1474" t="str">
            <v>ja</v>
          </cell>
          <cell r="C1474" t="str">
            <v>緑メタルネコビルダー</v>
          </cell>
          <cell r="H1474" t="str">
            <v>green</v>
          </cell>
          <cell r="I1474">
            <v>5</v>
          </cell>
          <cell r="J1474" t="str">
            <v>Material</v>
          </cell>
          <cell r="K1474" t="str">
            <v>exp</v>
          </cell>
          <cell r="L1474" t="str">
            <v>強化素材タイプ</v>
          </cell>
          <cell r="M1474" t="str">
            <v>unknown</v>
          </cell>
        </row>
        <row r="1475">
          <cell r="A1475">
            <v>1521</v>
          </cell>
          <cell r="B1475" t="str">
            <v>ja</v>
          </cell>
          <cell r="C1475" t="str">
            <v>黄メタルネコ</v>
          </cell>
          <cell r="H1475" t="str">
            <v>yellow</v>
          </cell>
          <cell r="I1475">
            <v>4</v>
          </cell>
          <cell r="J1475" t="str">
            <v>Material</v>
          </cell>
          <cell r="K1475" t="str">
            <v>exp</v>
          </cell>
          <cell r="L1475" t="str">
            <v>強化素材タイプ</v>
          </cell>
          <cell r="M1475" t="str">
            <v>unknown</v>
          </cell>
        </row>
        <row r="1476">
          <cell r="A1476">
            <v>1522</v>
          </cell>
          <cell r="B1476" t="str">
            <v>ja</v>
          </cell>
          <cell r="C1476" t="str">
            <v>黄メタルネコビルダー</v>
          </cell>
          <cell r="H1476" t="str">
            <v>yellow</v>
          </cell>
          <cell r="I1476">
            <v>5</v>
          </cell>
          <cell r="J1476" t="str">
            <v>Material</v>
          </cell>
          <cell r="K1476" t="str">
            <v>exp</v>
          </cell>
          <cell r="L1476" t="str">
            <v>強化素材タイプ</v>
          </cell>
          <cell r="M1476" t="str">
            <v>unknown</v>
          </cell>
        </row>
        <row r="1477">
          <cell r="A1477">
            <v>1523</v>
          </cell>
          <cell r="B1477" t="str">
            <v>ja</v>
          </cell>
          <cell r="C1477" t="str">
            <v>ネコムート</v>
          </cell>
          <cell r="H1477" t="str">
            <v>blue</v>
          </cell>
          <cell r="I1477">
            <v>5</v>
          </cell>
          <cell r="J1477" t="str">
            <v>DropWizS</v>
          </cell>
          <cell r="K1477" t="str">
            <v>technical</v>
          </cell>
          <cell r="L1477" t="str">
            <v>テクニカルタイプ</v>
          </cell>
          <cell r="M1477" t="str">
            <v>animal</v>
          </cell>
        </row>
        <row r="1478">
          <cell r="A1478">
            <v>1524</v>
          </cell>
          <cell r="B1478" t="str">
            <v>ja</v>
          </cell>
          <cell r="C1478" t="str">
            <v>狂乱のネコムート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technical</v>
          </cell>
          <cell r="L1478" t="str">
            <v>テクニカルタイプ</v>
          </cell>
          <cell r="M1478" t="str">
            <v>animal</v>
          </cell>
        </row>
        <row r="1479">
          <cell r="A1479">
            <v>1525</v>
          </cell>
          <cell r="B1479" t="str">
            <v>ja</v>
          </cell>
          <cell r="C1479" t="str">
            <v>狂乱のネコ</v>
          </cell>
          <cell r="H1479" t="str">
            <v>red</v>
          </cell>
          <cell r="I1479">
            <v>5</v>
          </cell>
          <cell r="J1479" t="str">
            <v>DropWizSS</v>
          </cell>
          <cell r="K1479" t="str">
            <v>attack</v>
          </cell>
          <cell r="L1479" t="str">
            <v>攻撃タイプ</v>
          </cell>
          <cell r="M1479" t="str">
            <v>animal</v>
          </cell>
        </row>
        <row r="1480">
          <cell r="A1480">
            <v>1526</v>
          </cell>
          <cell r="B1480" t="str">
            <v>ja</v>
          </cell>
          <cell r="C1480" t="str">
            <v>狂乱のネコビルダー</v>
          </cell>
          <cell r="H1480" t="str">
            <v>red</v>
          </cell>
          <cell r="I1480">
            <v>6</v>
          </cell>
          <cell r="J1480" t="str">
            <v>DropWizSS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1527</v>
          </cell>
          <cell r="B1481" t="str">
            <v>ja</v>
          </cell>
          <cell r="C1481" t="str">
            <v>ネコ魔剣士</v>
          </cell>
          <cell r="H1481" t="str">
            <v>red</v>
          </cell>
          <cell r="I1481">
            <v>4</v>
          </cell>
          <cell r="J1481" t="str">
            <v>PremiumS</v>
          </cell>
          <cell r="K1481" t="str">
            <v>attack</v>
          </cell>
          <cell r="L1481" t="str">
            <v>攻撃タイプ</v>
          </cell>
          <cell r="M1481" t="str">
            <v>animal</v>
          </cell>
        </row>
        <row r="1482">
          <cell r="A1482">
            <v>1528</v>
          </cell>
          <cell r="B1482" t="str">
            <v>ja</v>
          </cell>
          <cell r="C1482" t="str">
            <v>双剣ネコ魔剣士</v>
          </cell>
          <cell r="H1482" t="str">
            <v>red</v>
          </cell>
          <cell r="I1482">
            <v>5</v>
          </cell>
          <cell r="J1482" t="str">
            <v>PremiumS</v>
          </cell>
          <cell r="K1482" t="str">
            <v>attack</v>
          </cell>
          <cell r="L1482" t="str">
            <v>攻撃タイプ</v>
          </cell>
          <cell r="M1482" t="str">
            <v>animal</v>
          </cell>
        </row>
        <row r="1483">
          <cell r="A1483">
            <v>1529</v>
          </cell>
          <cell r="B1483" t="str">
            <v>ja</v>
          </cell>
          <cell r="C1483" t="str">
            <v>ねこ海賊</v>
          </cell>
          <cell r="H1483" t="str">
            <v>blue</v>
          </cell>
          <cell r="I1483">
            <v>4</v>
          </cell>
          <cell r="J1483" t="str">
            <v>PremiumS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1530</v>
          </cell>
          <cell r="B1484" t="str">
            <v>ja</v>
          </cell>
          <cell r="C1484" t="str">
            <v>ニャーコック船長</v>
          </cell>
          <cell r="H1484" t="str">
            <v>blue</v>
          </cell>
          <cell r="I1484">
            <v>5</v>
          </cell>
          <cell r="J1484" t="str">
            <v>PremiumS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1531</v>
          </cell>
          <cell r="B1485" t="str">
            <v>ja</v>
          </cell>
          <cell r="C1485" t="str">
            <v>ねこジュラ</v>
          </cell>
          <cell r="H1485" t="str">
            <v>green</v>
          </cell>
          <cell r="I1485">
            <v>4</v>
          </cell>
          <cell r="J1485" t="str">
            <v>PremiumS</v>
          </cell>
          <cell r="K1485" t="str">
            <v>technical</v>
          </cell>
          <cell r="L1485" t="str">
            <v>テクニカルタイプ</v>
          </cell>
          <cell r="M1485" t="str">
            <v>animal</v>
          </cell>
        </row>
        <row r="1486">
          <cell r="A1486">
            <v>1532</v>
          </cell>
          <cell r="B1486" t="str">
            <v>ja</v>
          </cell>
          <cell r="C1486" t="str">
            <v>ねこジュラシッター</v>
          </cell>
          <cell r="H1486" t="str">
            <v>green</v>
          </cell>
          <cell r="I1486">
            <v>5</v>
          </cell>
          <cell r="J1486" t="str">
            <v>PremiumS</v>
          </cell>
          <cell r="K1486" t="str">
            <v>technical</v>
          </cell>
          <cell r="L1486" t="str">
            <v>テクニカルタイプ</v>
          </cell>
          <cell r="M1486" t="str">
            <v>animal</v>
          </cell>
        </row>
        <row r="1487">
          <cell r="A1487">
            <v>1533</v>
          </cell>
          <cell r="B1487" t="str">
            <v>ja</v>
          </cell>
          <cell r="C1487" t="str">
            <v>ネコエステ</v>
          </cell>
          <cell r="H1487" t="str">
            <v>yellow</v>
          </cell>
          <cell r="I1487">
            <v>4</v>
          </cell>
          <cell r="J1487" t="str">
            <v>PremiumS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1534</v>
          </cell>
          <cell r="B1488" t="str">
            <v>ja</v>
          </cell>
          <cell r="C1488" t="str">
            <v>ネコジェンヌ</v>
          </cell>
          <cell r="H1488" t="str">
            <v>yellow</v>
          </cell>
          <cell r="I1488">
            <v>5</v>
          </cell>
          <cell r="J1488" t="str">
            <v>PremiumS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1535</v>
          </cell>
          <cell r="B1489" t="str">
            <v>ja</v>
          </cell>
          <cell r="C1489" t="str">
            <v>ねこナース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technical</v>
          </cell>
          <cell r="L1489" t="str">
            <v>テクニカルタイプ</v>
          </cell>
          <cell r="M1489" t="str">
            <v>god</v>
          </cell>
        </row>
        <row r="1490">
          <cell r="A1490">
            <v>1536</v>
          </cell>
          <cell r="B1490" t="str">
            <v>ja</v>
          </cell>
          <cell r="C1490" t="str">
            <v>ハートフルねこナース</v>
          </cell>
          <cell r="H1490" t="str">
            <v>red</v>
          </cell>
          <cell r="I1490">
            <v>6</v>
          </cell>
          <cell r="J1490" t="str">
            <v>PremiumSS</v>
          </cell>
          <cell r="K1490" t="str">
            <v>technical</v>
          </cell>
          <cell r="L1490" t="str">
            <v>テクニカルタイプ</v>
          </cell>
          <cell r="M1490" t="str">
            <v>god</v>
          </cell>
        </row>
        <row r="1491">
          <cell r="A1491">
            <v>1537</v>
          </cell>
          <cell r="B1491" t="str">
            <v>ja</v>
          </cell>
          <cell r="C1491" t="str">
            <v>キャットマンダディ</v>
          </cell>
          <cell r="H1491" t="str">
            <v>blue</v>
          </cell>
          <cell r="I1491">
            <v>5</v>
          </cell>
          <cell r="J1491" t="str">
            <v>PremiumSSS</v>
          </cell>
          <cell r="K1491" t="str">
            <v>attack</v>
          </cell>
          <cell r="L1491" t="str">
            <v>攻撃タイプ</v>
          </cell>
          <cell r="M1491" t="str">
            <v>unknown</v>
          </cell>
        </row>
        <row r="1492">
          <cell r="A1492">
            <v>1538</v>
          </cell>
          <cell r="B1492" t="str">
            <v>ja</v>
          </cell>
          <cell r="C1492" t="str">
            <v>キャットマンダーク</v>
          </cell>
          <cell r="H1492" t="str">
            <v>blue</v>
          </cell>
          <cell r="I1492">
            <v>6</v>
          </cell>
          <cell r="J1492" t="str">
            <v>PremiumSSS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1539</v>
          </cell>
          <cell r="B1493" t="str">
            <v>ja</v>
          </cell>
          <cell r="C1493" t="str">
            <v>雷神のサンディア</v>
          </cell>
          <cell r="H1493" t="str">
            <v>yellow</v>
          </cell>
          <cell r="I1493">
            <v>5</v>
          </cell>
          <cell r="J1493" t="str">
            <v>PremiumSS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1540</v>
          </cell>
          <cell r="B1494" t="str">
            <v>ja</v>
          </cell>
          <cell r="C1494" t="str">
            <v>雷神のサンディアβ</v>
          </cell>
          <cell r="H1494" t="str">
            <v>yellow</v>
          </cell>
          <cell r="I1494">
            <v>6</v>
          </cell>
          <cell r="J1494" t="str">
            <v>PremiumSS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1541</v>
          </cell>
          <cell r="B1495" t="str">
            <v>ja</v>
          </cell>
          <cell r="C1495" t="str">
            <v>美女神アフロディーテ</v>
          </cell>
          <cell r="H1495" t="str">
            <v>red</v>
          </cell>
          <cell r="I1495">
            <v>5</v>
          </cell>
          <cell r="J1495" t="str">
            <v>PremiumSSS</v>
          </cell>
          <cell r="K1495" t="str">
            <v>technical</v>
          </cell>
          <cell r="L1495" t="str">
            <v>テクニカルタイプ</v>
          </cell>
          <cell r="M1495" t="str">
            <v>god</v>
          </cell>
        </row>
        <row r="1496">
          <cell r="A1496">
            <v>1542</v>
          </cell>
          <cell r="B1496" t="str">
            <v>ja</v>
          </cell>
          <cell r="C1496" t="str">
            <v>メガロディーテ</v>
          </cell>
          <cell r="H1496" t="str">
            <v>red</v>
          </cell>
          <cell r="I1496">
            <v>6</v>
          </cell>
          <cell r="J1496" t="str">
            <v>PremiumSSS</v>
          </cell>
          <cell r="K1496" t="str">
            <v>technical</v>
          </cell>
          <cell r="L1496" t="str">
            <v>テクニカルタイプ</v>
          </cell>
          <cell r="M1496" t="str">
            <v>god</v>
          </cell>
        </row>
        <row r="1497">
          <cell r="A1497">
            <v>1543</v>
          </cell>
          <cell r="B1497" t="str">
            <v>ja</v>
          </cell>
          <cell r="C1497" t="str">
            <v>ツルの恩返し</v>
          </cell>
          <cell r="H1497" t="str">
            <v>red</v>
          </cell>
          <cell r="I1497">
            <v>5</v>
          </cell>
          <cell r="J1497" t="str">
            <v>PremiumSS</v>
          </cell>
          <cell r="K1497" t="str">
            <v>balance</v>
          </cell>
          <cell r="L1497" t="str">
            <v>バランスタイプ</v>
          </cell>
          <cell r="M1497" t="str">
            <v>hero</v>
          </cell>
        </row>
        <row r="1498">
          <cell r="A1498">
            <v>1544</v>
          </cell>
          <cell r="B1498" t="str">
            <v>ja</v>
          </cell>
          <cell r="C1498" t="str">
            <v>銀河戦士コスモ</v>
          </cell>
          <cell r="H1498" t="str">
            <v>red</v>
          </cell>
          <cell r="I1498">
            <v>6</v>
          </cell>
          <cell r="J1498" t="str">
            <v>PremiumSS</v>
          </cell>
          <cell r="K1498" t="str">
            <v>balance</v>
          </cell>
          <cell r="L1498" t="str">
            <v>バランスタイプ</v>
          </cell>
          <cell r="M1498" t="str">
            <v>hero</v>
          </cell>
        </row>
        <row r="1499">
          <cell r="A1499">
            <v>1545</v>
          </cell>
          <cell r="B1499" t="str">
            <v>ja</v>
          </cell>
          <cell r="C1499" t="str">
            <v>ネコルガ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hp</v>
          </cell>
          <cell r="L1499" t="str">
            <v>体力タイプ</v>
          </cell>
          <cell r="M1499" t="str">
            <v>unknown</v>
          </cell>
        </row>
        <row r="1500">
          <cell r="A1500">
            <v>1546</v>
          </cell>
          <cell r="B1500" t="str">
            <v>ja</v>
          </cell>
          <cell r="C1500" t="str">
            <v>ケサランパサラン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hp</v>
          </cell>
          <cell r="L1500" t="str">
            <v>体力タイプ</v>
          </cell>
          <cell r="M1500" t="str">
            <v>unknown</v>
          </cell>
        </row>
        <row r="1501">
          <cell r="A1501">
            <v>1547</v>
          </cell>
          <cell r="B1501" t="str">
            <v>ja</v>
          </cell>
          <cell r="C1501" t="str">
            <v>ネコフラワー</v>
          </cell>
          <cell r="H1501" t="str">
            <v>green</v>
          </cell>
          <cell r="I1501">
            <v>4</v>
          </cell>
          <cell r="J1501" t="str">
            <v>Drop2N</v>
          </cell>
          <cell r="K1501" t="str">
            <v>hp</v>
          </cell>
          <cell r="L1501" t="str">
            <v>体力タイプ</v>
          </cell>
          <cell r="M1501" t="str">
            <v>animal</v>
          </cell>
        </row>
        <row r="1502">
          <cell r="A1502">
            <v>1548</v>
          </cell>
          <cell r="B1502" t="str">
            <v>ja</v>
          </cell>
          <cell r="C1502" t="str">
            <v>にゃんこ扇風</v>
          </cell>
          <cell r="H1502" t="str">
            <v>green</v>
          </cell>
          <cell r="I1502">
            <v>5</v>
          </cell>
          <cell r="J1502" t="str">
            <v>Drop2N</v>
          </cell>
          <cell r="K1502" t="str">
            <v>hp</v>
          </cell>
          <cell r="L1502" t="str">
            <v>体力タイプ</v>
          </cell>
          <cell r="M1502" t="str">
            <v>animal</v>
          </cell>
        </row>
        <row r="1503">
          <cell r="A1503">
            <v>1549</v>
          </cell>
          <cell r="B1503" t="str">
            <v>ja</v>
          </cell>
          <cell r="C1503" t="str">
            <v>ネコリンゴ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1550</v>
          </cell>
          <cell r="B1504" t="str">
            <v>ja</v>
          </cell>
          <cell r="C1504" t="str">
            <v>カオルくん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1551</v>
          </cell>
          <cell r="B1505" t="str">
            <v>ja</v>
          </cell>
          <cell r="C1505" t="str">
            <v>Leo01</v>
          </cell>
          <cell r="H1505" t="str">
            <v>red</v>
          </cell>
          <cell r="I1505">
            <v>5</v>
          </cell>
          <cell r="J1505" t="str">
            <v>DropWizS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</row>
        <row r="1506">
          <cell r="A1506">
            <v>1552</v>
          </cell>
          <cell r="B1506" t="str">
            <v>ja</v>
          </cell>
          <cell r="C1506" t="str">
            <v>Leo02</v>
          </cell>
          <cell r="H1506" t="str">
            <v>red</v>
          </cell>
          <cell r="I1506">
            <v>6</v>
          </cell>
          <cell r="J1506" t="str">
            <v>DropWizS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</row>
        <row r="1507">
          <cell r="A1507">
            <v>1553</v>
          </cell>
          <cell r="B1507" t="str">
            <v>ja</v>
          </cell>
          <cell r="C1507" t="str">
            <v>Andromeda01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human</v>
          </cell>
        </row>
        <row r="1508">
          <cell r="A1508">
            <v>1554</v>
          </cell>
          <cell r="B1508" t="str">
            <v>ja</v>
          </cell>
          <cell r="C1508" t="str">
            <v>Andromeda02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human</v>
          </cell>
        </row>
        <row r="1509">
          <cell r="A1509">
            <v>1555</v>
          </cell>
          <cell r="B1509" t="str">
            <v>ja</v>
          </cell>
          <cell r="C1509" t="str">
            <v>Taurus01</v>
          </cell>
          <cell r="H1509" t="str">
            <v>blue</v>
          </cell>
          <cell r="I1509">
            <v>5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1556</v>
          </cell>
          <cell r="B1510" t="str">
            <v>ja</v>
          </cell>
          <cell r="C1510" t="str">
            <v>Capricornus01</v>
          </cell>
          <cell r="H1510" t="str">
            <v>green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1557</v>
          </cell>
          <cell r="B1511" t="str">
            <v>ja</v>
          </cell>
          <cell r="C1511" t="str">
            <v>Capricornus02</v>
          </cell>
          <cell r="H1511" t="str">
            <v>green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</row>
        <row r="1512">
          <cell r="A1512">
            <v>1558</v>
          </cell>
          <cell r="B1512" t="str">
            <v>ja</v>
          </cell>
          <cell r="C1512" t="str">
            <v>Aries01</v>
          </cell>
          <cell r="H1512" t="str">
            <v>blue</v>
          </cell>
          <cell r="I1512">
            <v>5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</row>
        <row r="1513">
          <cell r="A1513">
            <v>1559</v>
          </cell>
          <cell r="B1513" t="str">
            <v>ja</v>
          </cell>
          <cell r="C1513" t="str">
            <v>Aries02</v>
          </cell>
          <cell r="H1513" t="str">
            <v>blue</v>
          </cell>
          <cell r="I1513">
            <v>6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human</v>
          </cell>
        </row>
        <row r="1514">
          <cell r="A1514">
            <v>1560</v>
          </cell>
          <cell r="B1514" t="str">
            <v>ja</v>
          </cell>
          <cell r="C1514" t="str">
            <v>Pisces01</v>
          </cell>
          <cell r="H1514" t="str">
            <v>red</v>
          </cell>
          <cell r="I1514">
            <v>5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human</v>
          </cell>
        </row>
        <row r="1515">
          <cell r="A1515">
            <v>1561</v>
          </cell>
          <cell r="B1515" t="str">
            <v>ja</v>
          </cell>
          <cell r="C1515" t="str">
            <v>Sagittarius01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human</v>
          </cell>
        </row>
        <row r="1516">
          <cell r="A1516">
            <v>1562</v>
          </cell>
          <cell r="B1516" t="str">
            <v>ja</v>
          </cell>
          <cell r="C1516" t="str">
            <v>Sagittarius02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human</v>
          </cell>
        </row>
        <row r="1517">
          <cell r="A1517">
            <v>1563</v>
          </cell>
          <cell r="B1517" t="str">
            <v>ja</v>
          </cell>
          <cell r="C1517" t="str">
            <v>Cassiopeia01</v>
          </cell>
          <cell r="H1517" t="str">
            <v>blue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1564</v>
          </cell>
          <cell r="B1518" t="str">
            <v>ja</v>
          </cell>
          <cell r="C1518" t="str">
            <v>Cassiopeia02</v>
          </cell>
          <cell r="H1518" t="str">
            <v>blue</v>
          </cell>
          <cell r="I1518">
            <v>6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1565</v>
          </cell>
          <cell r="B1519" t="str">
            <v>ja</v>
          </cell>
          <cell r="C1519" t="str">
            <v>Aquila01</v>
          </cell>
          <cell r="H1519" t="str">
            <v>green</v>
          </cell>
          <cell r="I1519">
            <v>5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human</v>
          </cell>
        </row>
        <row r="1520">
          <cell r="A1520">
            <v>1566</v>
          </cell>
          <cell r="B1520" t="str">
            <v>ja</v>
          </cell>
          <cell r="C1520" t="str">
            <v>Phoenix01</v>
          </cell>
          <cell r="H1520" t="str">
            <v>red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human</v>
          </cell>
        </row>
        <row r="1521">
          <cell r="A1521">
            <v>1567</v>
          </cell>
          <cell r="B1521" t="str">
            <v>ja</v>
          </cell>
          <cell r="C1521" t="str">
            <v>Phoenix02</v>
          </cell>
          <cell r="H1521" t="str">
            <v>red</v>
          </cell>
          <cell r="I1521">
            <v>6</v>
          </cell>
          <cell r="J1521" t="str">
            <v>DropWizS</v>
          </cell>
          <cell r="K1521" t="str">
            <v>balance</v>
          </cell>
          <cell r="L1521" t="str">
            <v>バランスタイプ</v>
          </cell>
          <cell r="M1521" t="str">
            <v>human</v>
          </cell>
        </row>
        <row r="1522">
          <cell r="A1522">
            <v>1568</v>
          </cell>
          <cell r="B1522" t="str">
            <v>ja</v>
          </cell>
          <cell r="C1522" t="str">
            <v>Orion01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human</v>
          </cell>
        </row>
        <row r="1523">
          <cell r="A1523">
            <v>1569</v>
          </cell>
          <cell r="B1523" t="str">
            <v>ja</v>
          </cell>
          <cell r="C1523" t="str">
            <v>Orion02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human</v>
          </cell>
        </row>
        <row r="1524">
          <cell r="A1524">
            <v>1570</v>
          </cell>
          <cell r="B1524" t="str">
            <v>ja</v>
          </cell>
          <cell r="C1524" t="str">
            <v>Centaurus01</v>
          </cell>
          <cell r="H1524" t="str">
            <v>yellow</v>
          </cell>
          <cell r="I1524">
            <v>5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human</v>
          </cell>
        </row>
        <row r="1525">
          <cell r="A1525">
            <v>1571</v>
          </cell>
          <cell r="B1525" t="str">
            <v>ja</v>
          </cell>
          <cell r="C1525" t="str">
            <v>Lupus01</v>
          </cell>
          <cell r="H1525" t="str">
            <v>red</v>
          </cell>
          <cell r="I1525">
            <v>5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human</v>
          </cell>
        </row>
        <row r="1526">
          <cell r="A1526">
            <v>1572</v>
          </cell>
          <cell r="B1526" t="str">
            <v>ja</v>
          </cell>
          <cell r="C1526" t="str">
            <v>Lupus02</v>
          </cell>
          <cell r="H1526" t="str">
            <v>red</v>
          </cell>
          <cell r="I1526">
            <v>6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human</v>
          </cell>
        </row>
        <row r="1527">
          <cell r="A1527">
            <v>1573</v>
          </cell>
          <cell r="B1527" t="str">
            <v>ja</v>
          </cell>
          <cell r="C1527" t="str">
            <v>Scorpius01</v>
          </cell>
          <cell r="H1527" t="str">
            <v>green</v>
          </cell>
          <cell r="I1527">
            <v>5</v>
          </cell>
          <cell r="J1527" t="str">
            <v>DropWizS</v>
          </cell>
          <cell r="K1527" t="str">
            <v>balance</v>
          </cell>
          <cell r="L1527" t="str">
            <v>バランスタイプ</v>
          </cell>
          <cell r="M1527" t="str">
            <v>human</v>
          </cell>
        </row>
        <row r="1528">
          <cell r="A1528">
            <v>1574</v>
          </cell>
          <cell r="B1528" t="str">
            <v>ja</v>
          </cell>
          <cell r="C1528" t="str">
            <v>Cancer01</v>
          </cell>
          <cell r="H1528" t="str">
            <v>yellow</v>
          </cell>
          <cell r="I1528">
            <v>5</v>
          </cell>
          <cell r="J1528" t="str">
            <v>DropWizS</v>
          </cell>
          <cell r="K1528" t="str">
            <v>balance</v>
          </cell>
          <cell r="L1528" t="str">
            <v>バランスタイプ</v>
          </cell>
          <cell r="M1528" t="str">
            <v>human</v>
          </cell>
        </row>
        <row r="1529">
          <cell r="A1529">
            <v>1575</v>
          </cell>
          <cell r="B1529" t="str">
            <v>ja</v>
          </cell>
          <cell r="C1529" t="str">
            <v>Aquarius01</v>
          </cell>
          <cell r="H1529" t="str">
            <v>blue</v>
          </cell>
          <cell r="I1529">
            <v>5</v>
          </cell>
          <cell r="J1529" t="str">
            <v>DropWizS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1576</v>
          </cell>
          <cell r="B1530" t="str">
            <v>ja</v>
          </cell>
          <cell r="C1530" t="str">
            <v>Aquarius02</v>
          </cell>
          <cell r="H1530" t="str">
            <v>blue</v>
          </cell>
          <cell r="I1530">
            <v>6</v>
          </cell>
          <cell r="J1530" t="str">
            <v>DropWizS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1577</v>
          </cell>
          <cell r="B1531" t="str">
            <v>ja</v>
          </cell>
          <cell r="C1531" t="str">
            <v>Perseus01</v>
          </cell>
          <cell r="H1531" t="str">
            <v>yellow</v>
          </cell>
          <cell r="I1531">
            <v>4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human</v>
          </cell>
        </row>
        <row r="1532">
          <cell r="A1532">
            <v>1578</v>
          </cell>
          <cell r="B1532" t="str">
            <v>ja</v>
          </cell>
          <cell r="C1532" t="str">
            <v>Hydra01</v>
          </cell>
          <cell r="H1532" t="str">
            <v>red</v>
          </cell>
          <cell r="I1532">
            <v>4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human</v>
          </cell>
        </row>
        <row r="1533">
          <cell r="A1533">
            <v>1579</v>
          </cell>
          <cell r="B1533" t="str">
            <v>ja</v>
          </cell>
          <cell r="C1533" t="str">
            <v>Lyra01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1580</v>
          </cell>
          <cell r="B1534" t="str">
            <v>ja</v>
          </cell>
          <cell r="C1534" t="str">
            <v>Lyra02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1581</v>
          </cell>
          <cell r="B1535" t="str">
            <v>ja</v>
          </cell>
          <cell r="C1535" t="str">
            <v>Gemini01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1582</v>
          </cell>
          <cell r="B1536" t="str">
            <v>ja</v>
          </cell>
          <cell r="C1536" t="str">
            <v>Gemini02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balance</v>
          </cell>
          <cell r="L1536" t="str">
            <v>バランスタイプ</v>
          </cell>
          <cell r="M1536" t="str">
            <v>human</v>
          </cell>
        </row>
        <row r="1537">
          <cell r="A1537">
            <v>1583</v>
          </cell>
          <cell r="B1537" t="str">
            <v>ja</v>
          </cell>
          <cell r="C1537" t="str">
            <v>Corvus01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human</v>
          </cell>
        </row>
        <row r="1538">
          <cell r="A1538">
            <v>1584</v>
          </cell>
          <cell r="B1538" t="str">
            <v>ja</v>
          </cell>
          <cell r="C1538" t="str">
            <v>Sirius01</v>
          </cell>
          <cell r="H1538" t="str">
            <v>yellow</v>
          </cell>
          <cell r="I1538">
            <v>4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human</v>
          </cell>
        </row>
        <row r="1539">
          <cell r="A1539">
            <v>1585</v>
          </cell>
          <cell r="B1539" t="str">
            <v>ja</v>
          </cell>
          <cell r="C1539" t="str">
            <v>Sirius02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human</v>
          </cell>
        </row>
        <row r="1540">
          <cell r="A1540">
            <v>1586</v>
          </cell>
          <cell r="B1540" t="str">
            <v>ja</v>
          </cell>
          <cell r="C1540" t="str">
            <v>Sirius03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human</v>
          </cell>
        </row>
        <row r="1541">
          <cell r="A1541">
            <v>1587</v>
          </cell>
          <cell r="B1541" t="str">
            <v>ja</v>
          </cell>
          <cell r="C1541" t="str">
            <v>Virgo01</v>
          </cell>
          <cell r="H1541" t="str">
            <v>green</v>
          </cell>
          <cell r="I1541">
            <v>5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human</v>
          </cell>
        </row>
        <row r="1542">
          <cell r="A1542">
            <v>1588</v>
          </cell>
          <cell r="B1542" t="str">
            <v>ja</v>
          </cell>
          <cell r="C1542" t="str">
            <v>Virgo02</v>
          </cell>
          <cell r="H1542" t="str">
            <v>green</v>
          </cell>
          <cell r="I1542">
            <v>6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human</v>
          </cell>
        </row>
        <row r="1543">
          <cell r="A1543">
            <v>1613</v>
          </cell>
          <cell r="B1543" t="str">
            <v>ja</v>
          </cell>
          <cell r="C1543" t="str">
            <v>ヤクモR5</v>
          </cell>
          <cell r="D1543" t="str">
            <v>未定</v>
          </cell>
          <cell r="E1543" t="str">
            <v>アリス</v>
          </cell>
          <cell r="F1543" t="str">
            <v>世界観</v>
          </cell>
          <cell r="G1543" t="str">
            <v>不明</v>
          </cell>
          <cell r="H1543" t="str">
            <v>red</v>
          </cell>
          <cell r="I1543">
            <v>5</v>
          </cell>
          <cell r="J1543" t="str">
            <v>PremiumSSS</v>
          </cell>
          <cell r="K1543" t="str">
            <v>hp</v>
          </cell>
          <cell r="L1543" t="str">
            <v>体力タイプ</v>
          </cell>
          <cell r="M1543" t="str">
            <v>academia</v>
          </cell>
        </row>
        <row r="1544">
          <cell r="A1544">
            <v>1614</v>
          </cell>
          <cell r="B1544" t="str">
            <v>ja</v>
          </cell>
          <cell r="C1544" t="str">
            <v>ヤクモR6</v>
          </cell>
          <cell r="D1544" t="str">
            <v>未定</v>
          </cell>
          <cell r="E1544" t="str">
            <v>アリス</v>
          </cell>
          <cell r="F1544" t="str">
            <v>世界観</v>
          </cell>
          <cell r="G1544" t="str">
            <v>不明</v>
          </cell>
          <cell r="H1544" t="str">
            <v>red</v>
          </cell>
          <cell r="I1544">
            <v>6</v>
          </cell>
          <cell r="J1544" t="str">
            <v>PremiumSSS</v>
          </cell>
          <cell r="K1544" t="str">
            <v>hp</v>
          </cell>
          <cell r="L1544" t="str">
            <v>体力タイプ</v>
          </cell>
          <cell r="M1544" t="str">
            <v>academia</v>
          </cell>
        </row>
        <row r="1545">
          <cell r="A1545">
            <v>5001</v>
          </cell>
          <cell r="B1545" t="str">
            <v>ja</v>
          </cell>
          <cell r="C1545" t="str">
            <v>ガルーダ</v>
          </cell>
          <cell r="D1545" t="str">
            <v>ノーマルクエスト</v>
          </cell>
          <cell r="E1545" t="str">
            <v>QoH</v>
          </cell>
          <cell r="F1545" t="str">
            <v>世界観</v>
          </cell>
          <cell r="G1545" t="str">
            <v>不明</v>
          </cell>
          <cell r="H1545" t="str">
            <v>red</v>
          </cell>
          <cell r="I1545">
            <v>5</v>
          </cell>
          <cell r="J1545" t="str">
            <v>PremiumSSw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5002</v>
          </cell>
          <cell r="B1546" t="str">
            <v>ja</v>
          </cell>
          <cell r="C1546" t="str">
            <v>ガルーダ★６</v>
          </cell>
          <cell r="D1546" t="str">
            <v>ノーマルクエスト</v>
          </cell>
          <cell r="E1546" t="str">
            <v>アバター</v>
          </cell>
          <cell r="F1546" t="str">
            <v>世界観</v>
          </cell>
          <cell r="G1546" t="str">
            <v>男性</v>
          </cell>
          <cell r="H1546" t="str">
            <v>red</v>
          </cell>
          <cell r="I1546">
            <v>6</v>
          </cell>
          <cell r="J1546" t="str">
            <v>PremiumSSw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5003</v>
          </cell>
          <cell r="B1547" t="str">
            <v>ja</v>
          </cell>
          <cell r="C1547" t="str">
            <v>ナーガ</v>
          </cell>
          <cell r="D1547" t="str">
            <v>リンクガチャ:4神</v>
          </cell>
          <cell r="E1547" t="str">
            <v>守護神</v>
          </cell>
          <cell r="F1547" t="str">
            <v>格好いい</v>
          </cell>
          <cell r="G1547" t="str">
            <v>不明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animal</v>
          </cell>
        </row>
        <row r="1548">
          <cell r="A1548">
            <v>5004</v>
          </cell>
          <cell r="B1548" t="str">
            <v>ja</v>
          </cell>
          <cell r="C1548" t="str">
            <v>ナーガ★６</v>
          </cell>
          <cell r="D1548" t="str">
            <v>ノーマルクエスト</v>
          </cell>
          <cell r="E1548" t="str">
            <v>アバター</v>
          </cell>
          <cell r="F1548" t="str">
            <v>世界観</v>
          </cell>
          <cell r="G1548" t="str">
            <v>不明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animal</v>
          </cell>
        </row>
        <row r="1549">
          <cell r="A1549">
            <v>5005</v>
          </cell>
          <cell r="B1549" t="str">
            <v>ja</v>
          </cell>
          <cell r="C1549" t="str">
            <v>カーミラ</v>
          </cell>
          <cell r="D1549" t="str">
            <v>ノーマルクエスト</v>
          </cell>
          <cell r="E1549" t="str">
            <v>QoH</v>
          </cell>
          <cell r="F1549" t="str">
            <v>世界観</v>
          </cell>
          <cell r="G1549" t="str">
            <v>不明</v>
          </cell>
          <cell r="H1549" t="str">
            <v>green</v>
          </cell>
          <cell r="I1549">
            <v>5</v>
          </cell>
          <cell r="J1549" t="str">
            <v>PremiumSSw</v>
          </cell>
          <cell r="K1549" t="str">
            <v>balance</v>
          </cell>
          <cell r="L1549" t="str">
            <v>バランスタイプ</v>
          </cell>
          <cell r="M1549" t="str">
            <v>demon</v>
          </cell>
        </row>
        <row r="1550">
          <cell r="A1550">
            <v>5006</v>
          </cell>
          <cell r="B1550" t="str">
            <v>ja</v>
          </cell>
          <cell r="C1550" t="str">
            <v>カーミラ★６</v>
          </cell>
          <cell r="D1550" t="str">
            <v>ノーマルクエスト</v>
          </cell>
          <cell r="E1550" t="str">
            <v>アバター</v>
          </cell>
          <cell r="F1550" t="str">
            <v>世界観</v>
          </cell>
          <cell r="G1550" t="str">
            <v>男性</v>
          </cell>
          <cell r="H1550" t="str">
            <v>green</v>
          </cell>
          <cell r="I1550">
            <v>6</v>
          </cell>
          <cell r="J1550" t="str">
            <v>PremiumSSw</v>
          </cell>
          <cell r="K1550" t="str">
            <v>balance</v>
          </cell>
          <cell r="L1550" t="str">
            <v>バランスタイプ</v>
          </cell>
          <cell r="M1550" t="str">
            <v>demon</v>
          </cell>
        </row>
        <row r="1551">
          <cell r="A1551">
            <v>5007</v>
          </cell>
          <cell r="B1551" t="str">
            <v>ja</v>
          </cell>
          <cell r="C1551" t="str">
            <v>ヘルシング</v>
          </cell>
          <cell r="D1551" t="str">
            <v>リンクガチャ:4神</v>
          </cell>
          <cell r="E1551" t="str">
            <v>守護神</v>
          </cell>
          <cell r="F1551" t="str">
            <v>格好いい</v>
          </cell>
          <cell r="G1551" t="str">
            <v>不明</v>
          </cell>
          <cell r="H1551" t="str">
            <v>yellow</v>
          </cell>
          <cell r="I1551">
            <v>5</v>
          </cell>
          <cell r="J1551" t="str">
            <v>DropWizS</v>
          </cell>
          <cell r="K1551" t="str">
            <v>technical</v>
          </cell>
          <cell r="L1551" t="str">
            <v>テクニカルタイプ</v>
          </cell>
          <cell r="M1551" t="str">
            <v>human</v>
          </cell>
        </row>
        <row r="1552">
          <cell r="A1552">
            <v>5008</v>
          </cell>
          <cell r="B1552" t="str">
            <v>ja</v>
          </cell>
          <cell r="C1552" t="str">
            <v>ヘルシング★６</v>
          </cell>
          <cell r="D1552" t="str">
            <v>ノーマルクエスト</v>
          </cell>
          <cell r="E1552" t="str">
            <v>アバター</v>
          </cell>
          <cell r="F1552" t="str">
            <v>世界観</v>
          </cell>
          <cell r="G1552" t="str">
            <v>不明</v>
          </cell>
          <cell r="H1552" t="str">
            <v>yellow</v>
          </cell>
          <cell r="I1552">
            <v>6</v>
          </cell>
          <cell r="J1552" t="str">
            <v>DropWizS</v>
          </cell>
          <cell r="K1552" t="str">
            <v>technical</v>
          </cell>
          <cell r="L1552" t="str">
            <v>テクニカルタイプ</v>
          </cell>
          <cell r="M1552" t="str">
            <v>human</v>
          </cell>
        </row>
        <row r="1553">
          <cell r="A1553">
            <v>6001</v>
          </cell>
          <cell r="B1553" t="str">
            <v>ja</v>
          </cell>
          <cell r="C1553" t="str">
            <v>ジェリー</v>
          </cell>
          <cell r="D1553" t="str">
            <v>ノーマルクエスト</v>
          </cell>
          <cell r="E1553" t="str">
            <v>QoH</v>
          </cell>
          <cell r="F1553" t="str">
            <v>世界観</v>
          </cell>
          <cell r="G1553" t="str">
            <v>不明</v>
          </cell>
          <cell r="H1553" t="str">
            <v>red</v>
          </cell>
          <cell r="I1553">
            <v>1</v>
          </cell>
          <cell r="J1553" t="str">
            <v>Drop1T</v>
          </cell>
          <cell r="K1553" t="str">
            <v>ra</v>
          </cell>
          <cell r="L1553" t="str">
            <v>ラグランジュチャレンジ</v>
          </cell>
          <cell r="M1553" t="str">
            <v>unknown</v>
          </cell>
        </row>
        <row r="1554">
          <cell r="A1554">
            <v>6002</v>
          </cell>
          <cell r="B1554" t="str">
            <v>ja</v>
          </cell>
          <cell r="C1554" t="str">
            <v>ヨシタカ</v>
          </cell>
          <cell r="D1554" t="str">
            <v>ノーマルクエスト</v>
          </cell>
          <cell r="E1554" t="str">
            <v>アバター</v>
          </cell>
          <cell r="F1554" t="str">
            <v>世界観</v>
          </cell>
          <cell r="G1554" t="str">
            <v>男性</v>
          </cell>
          <cell r="H1554" t="str">
            <v>red</v>
          </cell>
          <cell r="I1554">
            <v>2</v>
          </cell>
          <cell r="J1554" t="str">
            <v>Drop1N</v>
          </cell>
          <cell r="K1554" t="str">
            <v>ra</v>
          </cell>
          <cell r="L1554" t="str">
            <v>ラグランジュチャレンジ</v>
          </cell>
          <cell r="M1554" t="str">
            <v>human</v>
          </cell>
        </row>
        <row r="1555">
          <cell r="A1555">
            <v>6003</v>
          </cell>
          <cell r="B1555" t="str">
            <v>ja</v>
          </cell>
          <cell r="C1555" t="str">
            <v>朱雀</v>
          </cell>
          <cell r="D1555" t="str">
            <v>リンクガチャ:4神</v>
          </cell>
          <cell r="E1555" t="str">
            <v>守護神</v>
          </cell>
          <cell r="F1555" t="str">
            <v>格好いい</v>
          </cell>
          <cell r="G1555" t="str">
            <v>不明</v>
          </cell>
          <cell r="H1555" t="str">
            <v>red</v>
          </cell>
          <cell r="I1555">
            <v>3</v>
          </cell>
          <cell r="J1555" t="str">
            <v>Drop2N</v>
          </cell>
          <cell r="K1555" t="str">
            <v>ra</v>
          </cell>
          <cell r="L1555" t="str">
            <v>ラグランジュチャレンジ</v>
          </cell>
          <cell r="M1555" t="str">
            <v>animal</v>
          </cell>
        </row>
        <row r="1556">
          <cell r="A1556">
            <v>6004</v>
          </cell>
          <cell r="B1556" t="str">
            <v>ja</v>
          </cell>
          <cell r="C1556" t="str">
            <v>ブレット</v>
          </cell>
          <cell r="D1556" t="str">
            <v>ノーマルクエスト</v>
          </cell>
          <cell r="E1556" t="str">
            <v>アバター</v>
          </cell>
          <cell r="F1556" t="str">
            <v>世界観</v>
          </cell>
          <cell r="G1556" t="str">
            <v>不明</v>
          </cell>
          <cell r="H1556" t="str">
            <v>red</v>
          </cell>
          <cell r="I1556">
            <v>1</v>
          </cell>
          <cell r="J1556" t="str">
            <v>Drop1W</v>
          </cell>
          <cell r="K1556" t="str">
            <v>ra</v>
          </cell>
          <cell r="L1556" t="str">
            <v>ラグランジュチャレンジ</v>
          </cell>
          <cell r="M1556" t="str">
            <v>animal</v>
          </cell>
        </row>
        <row r="1557">
          <cell r="A1557">
            <v>6005</v>
          </cell>
          <cell r="B1557" t="str">
            <v>ja</v>
          </cell>
          <cell r="C1557" t="str">
            <v>孤神 テティス</v>
          </cell>
          <cell r="D1557" t="str">
            <v>初期ガチャ</v>
          </cell>
          <cell r="E1557" t="str">
            <v>管理者</v>
          </cell>
          <cell r="F1557" t="str">
            <v>美しい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PremiumN</v>
          </cell>
          <cell r="K1557" t="str">
            <v>ra</v>
          </cell>
          <cell r="L1557" t="str">
            <v>ラグランジュチャレンジ</v>
          </cell>
          <cell r="M1557" t="str">
            <v>god</v>
          </cell>
        </row>
        <row r="1558">
          <cell r="A1558">
            <v>6006</v>
          </cell>
          <cell r="B1558" t="str">
            <v>ja</v>
          </cell>
          <cell r="C1558" t="str">
            <v>海底の孤高神 テティス</v>
          </cell>
          <cell r="D1558" t="str">
            <v>初期ガチャ</v>
          </cell>
          <cell r="E1558" t="str">
            <v>管理者</v>
          </cell>
          <cell r="F1558" t="str">
            <v>美しい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PremiumN</v>
          </cell>
          <cell r="K1558" t="str">
            <v>ra</v>
          </cell>
          <cell r="L1558" t="str">
            <v>ラグランジュチャレンジ</v>
          </cell>
          <cell r="M1558" t="str">
            <v>god</v>
          </cell>
        </row>
        <row r="1559">
          <cell r="A1559">
            <v>6007</v>
          </cell>
          <cell r="B1559" t="str">
            <v>ja</v>
          </cell>
          <cell r="C1559" t="str">
            <v>番犬 ケルベロス</v>
          </cell>
          <cell r="D1559" t="str">
            <v>初期ガチャ</v>
          </cell>
          <cell r="E1559" t="str">
            <v>破界者</v>
          </cell>
          <cell r="F1559" t="str">
            <v>可愛い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PremiumN</v>
          </cell>
          <cell r="K1559" t="str">
            <v>ra</v>
          </cell>
          <cell r="L1559" t="str">
            <v>ラグランジュチャレンジ</v>
          </cell>
          <cell r="M1559" t="str">
            <v>animal</v>
          </cell>
        </row>
        <row r="1560">
          <cell r="A1560">
            <v>6008</v>
          </cell>
          <cell r="B1560" t="str">
            <v>ja</v>
          </cell>
          <cell r="C1560" t="str">
            <v>焔神 プロメテウス</v>
          </cell>
          <cell r="D1560" t="str">
            <v>初期ガチャ</v>
          </cell>
          <cell r="E1560" t="str">
            <v>管理者</v>
          </cell>
          <cell r="F1560" t="str">
            <v>格好いい</v>
          </cell>
          <cell r="G1560" t="str">
            <v>男性</v>
          </cell>
          <cell r="H1560" t="str">
            <v>red</v>
          </cell>
          <cell r="I1560">
            <v>4</v>
          </cell>
          <cell r="J1560" t="str">
            <v>PremiumN</v>
          </cell>
          <cell r="K1560" t="str">
            <v>ra</v>
          </cell>
          <cell r="L1560" t="str">
            <v>ラグランジュチャレンジ</v>
          </cell>
          <cell r="M1560" t="str">
            <v>god</v>
          </cell>
        </row>
        <row r="1561">
          <cell r="A1561">
            <v>6009</v>
          </cell>
          <cell r="B1561" t="str">
            <v>ja</v>
          </cell>
          <cell r="C1561" t="str">
            <v>超越自我 ラグランジュ</v>
          </cell>
          <cell r="D1561" t="str">
            <v>ガチャ:フィーバーフェス02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5</v>
          </cell>
          <cell r="J1561" t="str">
            <v>PremiumSSS</v>
          </cell>
          <cell r="K1561" t="str">
            <v>ra</v>
          </cell>
          <cell r="L1561" t="str">
            <v>ラグランジュチャレンジ</v>
          </cell>
          <cell r="M1561" t="str">
            <v>human</v>
          </cell>
        </row>
        <row r="1562">
          <cell r="A1562">
            <v>6010</v>
          </cell>
          <cell r="B1562" t="str">
            <v>ja</v>
          </cell>
          <cell r="C1562" t="str">
            <v>超越凌駕 ラグランジュ</v>
          </cell>
          <cell r="D1562" t="str">
            <v>ガチャ:フィーバーフェス02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6</v>
          </cell>
          <cell r="J1562" t="str">
            <v>PremiumSSS</v>
          </cell>
          <cell r="K1562" t="str">
            <v>ra</v>
          </cell>
          <cell r="L1562" t="str">
            <v>ラグランジュチャレンジ</v>
          </cell>
          <cell r="M1562" t="str">
            <v>human</v>
          </cell>
        </row>
        <row r="1563">
          <cell r="A1563">
            <v>6011</v>
          </cell>
          <cell r="B1563" t="str">
            <v>ja</v>
          </cell>
          <cell r="C1563" t="str">
            <v>パトドッグリーダー ポチ</v>
          </cell>
          <cell r="D1563" t="str">
            <v>ガチャ:フィーバーフェス02</v>
          </cell>
          <cell r="E1563" t="str">
            <v>執行者</v>
          </cell>
          <cell r="F1563" t="str">
            <v>格好いい</v>
          </cell>
          <cell r="G1563" t="str">
            <v>男性</v>
          </cell>
          <cell r="H1563" t="str">
            <v>blue</v>
          </cell>
          <cell r="I1563">
            <v>2</v>
          </cell>
          <cell r="J1563" t="str">
            <v>Drop1T</v>
          </cell>
          <cell r="K1563" t="str">
            <v>ra002</v>
          </cell>
          <cell r="L1563" t="str">
            <v>ユークリッドチャレンジ</v>
          </cell>
          <cell r="M1563" t="str">
            <v>unknown</v>
          </cell>
        </row>
        <row r="1564">
          <cell r="A1564">
            <v>6012</v>
          </cell>
          <cell r="B1564" t="str">
            <v>ja</v>
          </cell>
          <cell r="C1564" t="str">
            <v>ミミ</v>
          </cell>
          <cell r="D1564" t="str">
            <v>ガチャ:フィーバーフェス02</v>
          </cell>
          <cell r="E1564" t="str">
            <v>執行者</v>
          </cell>
          <cell r="F1564" t="str">
            <v>格好いい</v>
          </cell>
          <cell r="G1564" t="str">
            <v>男性</v>
          </cell>
          <cell r="H1564" t="str">
            <v>yellow</v>
          </cell>
          <cell r="I1564">
            <v>1</v>
          </cell>
          <cell r="J1564" t="str">
            <v>Drop1W</v>
          </cell>
          <cell r="K1564" t="str">
            <v>ra002</v>
          </cell>
          <cell r="L1564" t="str">
            <v>ユークリッドチャレンジ</v>
          </cell>
          <cell r="M1564" t="str">
            <v>animal</v>
          </cell>
        </row>
        <row r="1565">
          <cell r="A1565">
            <v>6013</v>
          </cell>
          <cell r="B1565" t="str">
            <v>ja</v>
          </cell>
          <cell r="C1565" t="str">
            <v>護衛機人 スケアクロウ</v>
          </cell>
          <cell r="D1565" t="str">
            <v>ガチャ:フィーバーフェス02</v>
          </cell>
          <cell r="E1565" t="str">
            <v>執行者</v>
          </cell>
          <cell r="F1565" t="str">
            <v>格好いい</v>
          </cell>
          <cell r="G1565" t="str">
            <v>男性</v>
          </cell>
          <cell r="H1565" t="str">
            <v>blue</v>
          </cell>
          <cell r="I1565">
            <v>2</v>
          </cell>
          <cell r="J1565" t="str">
            <v>Drop1N</v>
          </cell>
          <cell r="K1565" t="str">
            <v>ra002</v>
          </cell>
          <cell r="L1565" t="str">
            <v>ユークリッドチャレンジ</v>
          </cell>
          <cell r="M1565" t="str">
            <v>machine</v>
          </cell>
        </row>
        <row r="1566">
          <cell r="A1566">
            <v>6014</v>
          </cell>
          <cell r="B1566" t="str">
            <v>ja</v>
          </cell>
          <cell r="C1566" t="str">
            <v>月下の人狼 ローレンス</v>
          </cell>
          <cell r="D1566" t="str">
            <v>ガチャ:フィーバーフェス02</v>
          </cell>
          <cell r="E1566" t="str">
            <v>執行者</v>
          </cell>
          <cell r="F1566" t="str">
            <v>格好いい</v>
          </cell>
          <cell r="G1566" t="str">
            <v>男性</v>
          </cell>
          <cell r="H1566" t="str">
            <v>blue</v>
          </cell>
          <cell r="I1566">
            <v>4</v>
          </cell>
          <cell r="J1566" t="str">
            <v>PremiumW</v>
          </cell>
          <cell r="K1566" t="str">
            <v>ra002</v>
          </cell>
          <cell r="L1566" t="str">
            <v>ユークリッドチャレンジ</v>
          </cell>
          <cell r="M1566" t="str">
            <v>animal</v>
          </cell>
        </row>
        <row r="1567">
          <cell r="A1567">
            <v>6015</v>
          </cell>
          <cell r="B1567" t="str">
            <v>ja</v>
          </cell>
          <cell r="C1567" t="str">
            <v>フレイヤ</v>
          </cell>
          <cell r="D1567" t="str">
            <v>ガチャ:フィーバーフェス02</v>
          </cell>
          <cell r="E1567" t="str">
            <v>執行者</v>
          </cell>
          <cell r="F1567" t="str">
            <v>格好いい</v>
          </cell>
          <cell r="G1567" t="str">
            <v>男性</v>
          </cell>
          <cell r="H1567" t="str">
            <v>blue</v>
          </cell>
          <cell r="I1567">
            <v>4</v>
          </cell>
          <cell r="J1567" t="str">
            <v>PremiumSS</v>
          </cell>
          <cell r="K1567" t="str">
            <v>ra002</v>
          </cell>
          <cell r="L1567" t="str">
            <v>ユークリッドチャレンジ</v>
          </cell>
          <cell r="M1567" t="str">
            <v>animal</v>
          </cell>
        </row>
        <row r="1568">
          <cell r="A1568">
            <v>6016</v>
          </cell>
          <cell r="B1568" t="str">
            <v>ja</v>
          </cell>
          <cell r="C1568" t="str">
            <v>根原論理 ユークリッド</v>
          </cell>
          <cell r="D1568" t="str">
            <v>ガチャ:フィーバーフェス02</v>
          </cell>
          <cell r="E1568" t="str">
            <v>執行者</v>
          </cell>
          <cell r="F1568" t="str">
            <v>格好いい</v>
          </cell>
          <cell r="G1568" t="str">
            <v>男性</v>
          </cell>
          <cell r="H1568" t="str">
            <v>blue</v>
          </cell>
          <cell r="I1568">
            <v>5</v>
          </cell>
          <cell r="J1568" t="str">
            <v>PremiumSSS</v>
          </cell>
          <cell r="K1568" t="str">
            <v>ra002</v>
          </cell>
          <cell r="L1568" t="str">
            <v>ユークリッドチャレンジ</v>
          </cell>
          <cell r="M1568" t="str">
            <v>human</v>
          </cell>
        </row>
        <row r="1569">
          <cell r="A1569">
            <v>6017</v>
          </cell>
          <cell r="B1569" t="str">
            <v>ja</v>
          </cell>
          <cell r="C1569" t="str">
            <v>不朽の極論 ユークリッド</v>
          </cell>
          <cell r="D1569" t="str">
            <v>ガチャ:フィーバーフェス02</v>
          </cell>
          <cell r="E1569" t="str">
            <v>執行者</v>
          </cell>
          <cell r="F1569" t="str">
            <v>格好いい</v>
          </cell>
          <cell r="G1569" t="str">
            <v>男性</v>
          </cell>
          <cell r="H1569" t="str">
            <v>blue</v>
          </cell>
          <cell r="I1569">
            <v>6</v>
          </cell>
          <cell r="J1569" t="str">
            <v>PremiumSSS</v>
          </cell>
          <cell r="K1569" t="str">
            <v>ra002</v>
          </cell>
          <cell r="L1569" t="str">
            <v>ユークリッドチャレンジ</v>
          </cell>
          <cell r="M1569" t="str">
            <v>human</v>
          </cell>
        </row>
        <row r="1570">
          <cell r="A1570">
            <v>6018</v>
          </cell>
          <cell r="B1570" t="str">
            <v>ja</v>
          </cell>
          <cell r="C1570" t="str">
            <v>ハヅル</v>
          </cell>
          <cell r="D1570" t="str">
            <v>ガチャ:フィーバーフェス02</v>
          </cell>
          <cell r="E1570" t="str">
            <v>執行者</v>
          </cell>
          <cell r="F1570" t="str">
            <v>格好いい</v>
          </cell>
          <cell r="G1570" t="str">
            <v>男性</v>
          </cell>
          <cell r="H1570" t="str">
            <v>red</v>
          </cell>
          <cell r="I1570">
            <v>4</v>
          </cell>
          <cell r="J1570" t="str">
            <v>PremiumSS</v>
          </cell>
          <cell r="K1570" t="str">
            <v>ra002</v>
          </cell>
          <cell r="L1570" t="str">
            <v>ユークリッドチャレンジ</v>
          </cell>
          <cell r="M1570" t="str">
            <v>animal</v>
          </cell>
        </row>
        <row r="1571">
          <cell r="A1571">
            <v>6019</v>
          </cell>
          <cell r="B1571" t="str">
            <v>ja</v>
          </cell>
          <cell r="C1571" t="str">
            <v>天織羽鶴 ハヅル</v>
          </cell>
          <cell r="D1571" t="str">
            <v>ガチャ:フィーバーフェス02</v>
          </cell>
          <cell r="E1571" t="str">
            <v>執行者</v>
          </cell>
          <cell r="F1571" t="str">
            <v>格好いい</v>
          </cell>
          <cell r="G1571" t="str">
            <v>男性</v>
          </cell>
          <cell r="H1571" t="str">
            <v>red</v>
          </cell>
          <cell r="I1571">
            <v>5</v>
          </cell>
          <cell r="J1571" t="str">
            <v>PremiumSS</v>
          </cell>
          <cell r="K1571" t="str">
            <v>ra002</v>
          </cell>
          <cell r="L1571" t="str">
            <v>ユークリッドチャレンジ</v>
          </cell>
          <cell r="M1571" t="str">
            <v>animal</v>
          </cell>
        </row>
        <row r="1572">
          <cell r="A1572">
            <v>6020</v>
          </cell>
          <cell r="B1572" t="str">
            <v>ja</v>
          </cell>
          <cell r="C1572" t="str">
            <v>ミズチ</v>
          </cell>
          <cell r="D1572" t="str">
            <v>ガチャ:フィーバーフェス02</v>
          </cell>
          <cell r="E1572" t="str">
            <v>執行者</v>
          </cell>
          <cell r="F1572" t="str">
            <v>格好いい</v>
          </cell>
          <cell r="G1572" t="str">
            <v>男性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ra002</v>
          </cell>
          <cell r="L1572" t="str">
            <v>ユークリッドチャレンジ</v>
          </cell>
          <cell r="M1572" t="str">
            <v>dragon</v>
          </cell>
        </row>
        <row r="1573">
          <cell r="A1573">
            <v>8001</v>
          </cell>
          <cell r="B1573" t="str">
            <v>ja</v>
          </cell>
          <cell r="C1573" t="str">
            <v>媽祖</v>
          </cell>
          <cell r="D1573" t="str">
            <v>イベント:ミクコラボ01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god</v>
          </cell>
        </row>
        <row r="1574">
          <cell r="A1574">
            <v>8002</v>
          </cell>
          <cell r="B1574" t="str">
            <v>ja</v>
          </cell>
          <cell r="C1574" t="str">
            <v>宣導する天海妃 媽祖</v>
          </cell>
          <cell r="D1574" t="str">
            <v>イベント:ミクコラボ01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god</v>
          </cell>
        </row>
        <row r="1575">
          <cell r="A1575">
            <v>8003</v>
          </cell>
          <cell r="B1575" t="str">
            <v>ja</v>
          </cell>
          <cell r="C1575" t="str">
            <v>蛟龍</v>
          </cell>
          <cell r="D1575" t="str">
            <v>イベント:ミクコラボ01</v>
          </cell>
          <cell r="E1575" t="str">
            <v>執行者</v>
          </cell>
          <cell r="F1575" t="str">
            <v>格好いい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8004</v>
          </cell>
          <cell r="B1576" t="str">
            <v>ja</v>
          </cell>
          <cell r="C1576" t="str">
            <v>呼嵐の蒼棲龍 蛟龍</v>
          </cell>
          <cell r="D1576" t="str">
            <v>イベント:ミクコラボ01</v>
          </cell>
          <cell r="E1576" t="str">
            <v>執行者</v>
          </cell>
          <cell r="F1576" t="str">
            <v>格好いい</v>
          </cell>
          <cell r="G1576" t="str">
            <v>不明</v>
          </cell>
          <cell r="H1576" t="str">
            <v>blue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8005</v>
          </cell>
          <cell r="B1577" t="str">
            <v>ja</v>
          </cell>
          <cell r="C1577" t="str">
            <v>三蔵法師</v>
          </cell>
          <cell r="D1577" t="str">
            <v>イベント:ミクコラボ01</v>
          </cell>
          <cell r="E1577" t="str">
            <v>執行者</v>
          </cell>
          <cell r="F1577" t="str">
            <v>格好いい</v>
          </cell>
          <cell r="G1577" t="str">
            <v>不明</v>
          </cell>
          <cell r="H1577" t="str">
            <v>blue</v>
          </cell>
          <cell r="I1577">
            <v>5</v>
          </cell>
          <cell r="J1577" t="str">
            <v>PremiumSS</v>
          </cell>
          <cell r="K1577" t="str">
            <v>balance</v>
          </cell>
          <cell r="L1577" t="str">
            <v>バランスタイプ</v>
          </cell>
          <cell r="M1577" t="str">
            <v>human</v>
          </cell>
        </row>
        <row r="1578">
          <cell r="A1578">
            <v>8006</v>
          </cell>
          <cell r="B1578" t="str">
            <v>ja</v>
          </cell>
          <cell r="C1578" t="str">
            <v>慈戒の呪封使 三蔵法師</v>
          </cell>
          <cell r="D1578" t="str">
            <v>イベント:ミクコラボ01</v>
          </cell>
          <cell r="E1578" t="str">
            <v>執行者</v>
          </cell>
          <cell r="F1578" t="str">
            <v>格好いい</v>
          </cell>
          <cell r="G1578" t="str">
            <v>不明</v>
          </cell>
          <cell r="H1578" t="str">
            <v>blue</v>
          </cell>
          <cell r="I1578">
            <v>6</v>
          </cell>
          <cell r="J1578" t="str">
            <v>PremiumSS</v>
          </cell>
          <cell r="K1578" t="str">
            <v>balance</v>
          </cell>
          <cell r="L1578" t="str">
            <v>バランスタイプ</v>
          </cell>
          <cell r="M1578" t="str">
            <v>human</v>
          </cell>
        </row>
        <row r="1579">
          <cell r="A1579">
            <v>8007</v>
          </cell>
          <cell r="B1579" t="str">
            <v>ja</v>
          </cell>
          <cell r="C1579" t="str">
            <v>孫悟空</v>
          </cell>
          <cell r="D1579" t="str">
            <v>イベント:ミクコラボ01</v>
          </cell>
          <cell r="E1579" t="str">
            <v>執行者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5</v>
          </cell>
          <cell r="J1579" t="str">
            <v>DropWizS</v>
          </cell>
          <cell r="K1579" t="str">
            <v>attack</v>
          </cell>
          <cell r="L1579" t="str">
            <v>攻撃タイプ</v>
          </cell>
          <cell r="M1579" t="str">
            <v>animal</v>
          </cell>
        </row>
        <row r="1580">
          <cell r="A1580">
            <v>8008</v>
          </cell>
          <cell r="B1580" t="str">
            <v>ja</v>
          </cell>
          <cell r="C1580" t="str">
            <v>花果の天猿仙人 孫悟空</v>
          </cell>
          <cell r="D1580" t="str">
            <v>イベント:ミクコラボ01</v>
          </cell>
          <cell r="E1580" t="str">
            <v>執行者</v>
          </cell>
          <cell r="F1580" t="str">
            <v>格好いい</v>
          </cell>
          <cell r="G1580" t="str">
            <v>不明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animal</v>
          </cell>
        </row>
        <row r="1581">
          <cell r="A1581">
            <v>8009</v>
          </cell>
          <cell r="B1581" t="str">
            <v>ja</v>
          </cell>
          <cell r="C1581" t="str">
            <v>西王娘娘</v>
          </cell>
          <cell r="D1581" t="str">
            <v>イベント:ミクコラボ01</v>
          </cell>
          <cell r="E1581" t="str">
            <v>執行者</v>
          </cell>
          <cell r="F1581" t="str">
            <v>格好いい</v>
          </cell>
          <cell r="G1581" t="str">
            <v>不明</v>
          </cell>
          <cell r="H1581" t="str">
            <v>green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god</v>
          </cell>
        </row>
        <row r="1582">
          <cell r="A1582">
            <v>8010</v>
          </cell>
          <cell r="B1582" t="str">
            <v>ja</v>
          </cell>
          <cell r="C1582" t="str">
            <v>極楽瑶池の聖母 西王娘娘</v>
          </cell>
          <cell r="D1582" t="str">
            <v>イベント:ミクコラボ01</v>
          </cell>
          <cell r="E1582" t="str">
            <v>執行者</v>
          </cell>
          <cell r="F1582" t="str">
            <v>格好いい</v>
          </cell>
          <cell r="G1582" t="str">
            <v>不明</v>
          </cell>
          <cell r="H1582" t="str">
            <v>green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god</v>
          </cell>
        </row>
        <row r="1583">
          <cell r="A1583">
            <v>8011</v>
          </cell>
          <cell r="B1583" t="str">
            <v>ja</v>
          </cell>
          <cell r="C1583" t="str">
            <v>月下老人</v>
          </cell>
          <cell r="D1583" t="str">
            <v>イベント:ミクコラボ01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5</v>
          </cell>
          <cell r="J1583" t="str">
            <v>DropWizS</v>
          </cell>
          <cell r="K1583" t="str">
            <v>balance</v>
          </cell>
          <cell r="L1583" t="str">
            <v>バランスタイプ</v>
          </cell>
          <cell r="M1583" t="str">
            <v>god</v>
          </cell>
        </row>
        <row r="1584">
          <cell r="A1584">
            <v>8012</v>
          </cell>
          <cell r="B1584" t="str">
            <v>ja</v>
          </cell>
          <cell r="C1584" t="str">
            <v>破戀斬る縁剣 月下老人</v>
          </cell>
          <cell r="D1584" t="str">
            <v>イベント:ミクコラボ01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6</v>
          </cell>
          <cell r="J1584" t="str">
            <v>DropWizS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  <row r="1585">
          <cell r="A1585">
            <v>8013</v>
          </cell>
          <cell r="B1585" t="str">
            <v>ja</v>
          </cell>
          <cell r="C1585" t="str">
            <v>初音ミクV3</v>
          </cell>
          <cell r="D1585" t="str">
            <v>初音ミクV3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4</v>
          </cell>
          <cell r="J1585" t="str">
            <v>DropWizS</v>
          </cell>
          <cell r="K1585" t="str">
            <v>balance</v>
          </cell>
          <cell r="L1585" t="str">
            <v>バランスタイプ</v>
          </cell>
          <cell r="M1585" t="str">
            <v>unknown</v>
          </cell>
        </row>
        <row r="1586">
          <cell r="A1586">
            <v>8014</v>
          </cell>
          <cell r="B1586" t="str">
            <v>ja</v>
          </cell>
          <cell r="C1586" t="str">
            <v>初音ミクV3</v>
          </cell>
          <cell r="D1586" t="str">
            <v>初音ミクV3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yellow</v>
          </cell>
          <cell r="I1586">
            <v>5</v>
          </cell>
          <cell r="J1586" t="str">
            <v>DropWizS</v>
          </cell>
          <cell r="K1586" t="str">
            <v>balance</v>
          </cell>
          <cell r="L1586" t="str">
            <v>バランスタイプ</v>
          </cell>
          <cell r="M1586" t="str">
            <v>unknown</v>
          </cell>
        </row>
        <row r="1587">
          <cell r="A1587">
            <v>8015</v>
          </cell>
          <cell r="B1587" t="str">
            <v>ja</v>
          </cell>
          <cell r="C1587" t="str">
            <v>初音ミク・アペンド</v>
          </cell>
          <cell r="D1587" t="str">
            <v>初音ミク・アペンド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PremiumSSS</v>
          </cell>
          <cell r="K1587" t="str">
            <v>technical</v>
          </cell>
          <cell r="L1587" t="str">
            <v>テクニカルタイプ</v>
          </cell>
          <cell r="M1587" t="str">
            <v>unknown</v>
          </cell>
        </row>
        <row r="1588">
          <cell r="A1588">
            <v>8016</v>
          </cell>
          <cell r="B1588" t="str">
            <v>ja</v>
          </cell>
          <cell r="C1588" t="str">
            <v>初音ミク・アペンド</v>
          </cell>
          <cell r="D1588" t="str">
            <v>初音ミク・アペンド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PremiumSSS</v>
          </cell>
          <cell r="K1588" t="str">
            <v>technical</v>
          </cell>
          <cell r="L1588" t="str">
            <v>テクニカルタイプ</v>
          </cell>
          <cell r="M1588" t="str">
            <v>unknown</v>
          </cell>
        </row>
        <row r="1589">
          <cell r="A1589">
            <v>8017</v>
          </cell>
          <cell r="B1589" t="str">
            <v>ja</v>
          </cell>
          <cell r="C1589" t="str">
            <v>初音ミク</v>
          </cell>
          <cell r="D1589" t="str">
            <v>初音ミク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4</v>
          </cell>
          <cell r="J1589" t="str">
            <v>PremiumSSS</v>
          </cell>
          <cell r="K1589" t="str">
            <v>balance</v>
          </cell>
          <cell r="L1589" t="str">
            <v>バランスタイプ</v>
          </cell>
          <cell r="M1589" t="str">
            <v>unknown</v>
          </cell>
        </row>
        <row r="1590">
          <cell r="A1590">
            <v>8018</v>
          </cell>
          <cell r="B1590" t="str">
            <v>ja</v>
          </cell>
          <cell r="C1590" t="str">
            <v>初音ミク</v>
          </cell>
          <cell r="D1590" t="str">
            <v>初音ミク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5</v>
          </cell>
          <cell r="J1590" t="str">
            <v>PremiumSSS</v>
          </cell>
          <cell r="K1590" t="str">
            <v>balance</v>
          </cell>
          <cell r="L1590" t="str">
            <v>バランスタイプ</v>
          </cell>
          <cell r="M1590" t="str">
            <v>unknown</v>
          </cell>
        </row>
        <row r="1591">
          <cell r="A1591">
            <v>8019</v>
          </cell>
          <cell r="B1591" t="str">
            <v>ja</v>
          </cell>
          <cell r="C1591" t="str">
            <v>鏡音リン</v>
          </cell>
          <cell r="D1591" t="str">
            <v>鏡音リン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yellow</v>
          </cell>
          <cell r="I1591">
            <v>4</v>
          </cell>
          <cell r="J1591" t="str">
            <v>PremiumSS</v>
          </cell>
          <cell r="K1591" t="str">
            <v>balance</v>
          </cell>
          <cell r="L1591" t="str">
            <v>バランスタイプ</v>
          </cell>
          <cell r="M1591" t="str">
            <v>unknown</v>
          </cell>
        </row>
        <row r="1592">
          <cell r="A1592">
            <v>8020</v>
          </cell>
          <cell r="B1592" t="str">
            <v>ja</v>
          </cell>
          <cell r="C1592" t="str">
            <v>鏡音リン</v>
          </cell>
          <cell r="D1592" t="str">
            <v>鏡音リン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balance</v>
          </cell>
          <cell r="L1592" t="str">
            <v>バランスタイプ</v>
          </cell>
          <cell r="M1592" t="str">
            <v>unknown</v>
          </cell>
        </row>
        <row r="1593">
          <cell r="A1593">
            <v>8021</v>
          </cell>
          <cell r="B1593" t="str">
            <v>ja</v>
          </cell>
          <cell r="C1593" t="str">
            <v>鏡音レン</v>
          </cell>
          <cell r="D1593" t="str">
            <v>鏡音レン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4</v>
          </cell>
          <cell r="J1593" t="str">
            <v>PremiumSS</v>
          </cell>
          <cell r="K1593" t="str">
            <v>heal</v>
          </cell>
          <cell r="L1593" t="str">
            <v>回復タイプ</v>
          </cell>
          <cell r="M1593" t="str">
            <v>unknown</v>
          </cell>
        </row>
        <row r="1594">
          <cell r="A1594">
            <v>8022</v>
          </cell>
          <cell r="B1594" t="str">
            <v>ja</v>
          </cell>
          <cell r="C1594" t="str">
            <v>鏡音レン</v>
          </cell>
          <cell r="D1594" t="str">
            <v>鏡音レン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yellow</v>
          </cell>
          <cell r="I1594">
            <v>5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unknown</v>
          </cell>
        </row>
        <row r="1595">
          <cell r="A1595">
            <v>8023</v>
          </cell>
          <cell r="B1595" t="str">
            <v>ja</v>
          </cell>
          <cell r="C1595" t="str">
            <v>巡音ルカ</v>
          </cell>
          <cell r="D1595" t="str">
            <v>巡音ルカ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unknown</v>
          </cell>
        </row>
        <row r="1596">
          <cell r="A1596">
            <v>8024</v>
          </cell>
          <cell r="B1596" t="str">
            <v>ja</v>
          </cell>
          <cell r="C1596" t="str">
            <v>巡音ルカ</v>
          </cell>
          <cell r="D1596" t="str">
            <v>巡音ルカ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red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unknown</v>
          </cell>
        </row>
        <row r="1597">
          <cell r="A1597">
            <v>8025</v>
          </cell>
          <cell r="B1597" t="str">
            <v>ja</v>
          </cell>
          <cell r="C1597" t="str">
            <v>MEIKO</v>
          </cell>
          <cell r="D1597" t="str">
            <v>MEIKO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red</v>
          </cell>
          <cell r="I1597">
            <v>3</v>
          </cell>
          <cell r="J1597" t="str">
            <v>PremiumS</v>
          </cell>
          <cell r="K1597" t="str">
            <v>hp</v>
          </cell>
          <cell r="L1597" t="str">
            <v>体力タイプ</v>
          </cell>
          <cell r="M1597" t="str">
            <v>unknown</v>
          </cell>
        </row>
        <row r="1598">
          <cell r="A1598">
            <v>8026</v>
          </cell>
          <cell r="B1598" t="str">
            <v>ja</v>
          </cell>
          <cell r="C1598" t="str">
            <v>MEIKO</v>
          </cell>
          <cell r="D1598" t="str">
            <v>MEIKO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red</v>
          </cell>
          <cell r="I1598">
            <v>4</v>
          </cell>
          <cell r="J1598" t="str">
            <v>PremiumS</v>
          </cell>
          <cell r="K1598" t="str">
            <v>hp</v>
          </cell>
          <cell r="L1598" t="str">
            <v>体力タイプ</v>
          </cell>
          <cell r="M1598" t="str">
            <v>unknown</v>
          </cell>
        </row>
        <row r="1599">
          <cell r="A1599">
            <v>8027</v>
          </cell>
          <cell r="B1599" t="str">
            <v>ja</v>
          </cell>
          <cell r="C1599" t="str">
            <v>KAITO</v>
          </cell>
          <cell r="D1599" t="str">
            <v>KAITO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blue</v>
          </cell>
          <cell r="I1599">
            <v>3</v>
          </cell>
          <cell r="J1599" t="str">
            <v>PremiumS</v>
          </cell>
          <cell r="K1599" t="str">
            <v>technical</v>
          </cell>
          <cell r="L1599" t="str">
            <v>テクニカルタイプ</v>
          </cell>
          <cell r="M1599" t="str">
            <v>unknown</v>
          </cell>
        </row>
        <row r="1600">
          <cell r="A1600">
            <v>8028</v>
          </cell>
          <cell r="B1600" t="str">
            <v>ja</v>
          </cell>
          <cell r="C1600" t="str">
            <v>KAITO</v>
          </cell>
          <cell r="D1600" t="str">
            <v>KAITO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blue</v>
          </cell>
          <cell r="I1600">
            <v>4</v>
          </cell>
          <cell r="J1600" t="str">
            <v>PremiumS</v>
          </cell>
          <cell r="K1600" t="str">
            <v>technical</v>
          </cell>
          <cell r="L1600" t="str">
            <v>テクニカルタイプ</v>
          </cell>
          <cell r="M1600" t="str">
            <v>unknown</v>
          </cell>
        </row>
        <row r="1601">
          <cell r="A1601">
            <v>8029</v>
          </cell>
          <cell r="B1601" t="str">
            <v>ja</v>
          </cell>
          <cell r="C1601" t="str">
            <v>Expoミク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blue</v>
          </cell>
          <cell r="I1601">
            <v>4</v>
          </cell>
          <cell r="J1601" t="str">
            <v>Drop2N</v>
          </cell>
          <cell r="K1601" t="str">
            <v>heal</v>
          </cell>
          <cell r="L1601" t="str">
            <v>回復タイプ</v>
          </cell>
          <cell r="M1601" t="str">
            <v>unknown</v>
          </cell>
        </row>
        <row r="1602">
          <cell r="A1602">
            <v>8030</v>
          </cell>
          <cell r="B1602" t="str">
            <v>ja</v>
          </cell>
          <cell r="C1602" t="str">
            <v>Expoミク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5</v>
          </cell>
          <cell r="J1602" t="str">
            <v>Drop2N</v>
          </cell>
          <cell r="K1602" t="str">
            <v>heal</v>
          </cell>
          <cell r="L1602" t="str">
            <v>回復タイプ</v>
          </cell>
          <cell r="M1602" t="str">
            <v>unknown</v>
          </cell>
        </row>
        <row r="1603">
          <cell r="A1603">
            <v>8031</v>
          </cell>
          <cell r="B1603" t="str">
            <v>ja</v>
          </cell>
          <cell r="C1603" t="str">
            <v>閻羅王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5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8032</v>
          </cell>
          <cell r="B1604" t="str">
            <v>ja</v>
          </cell>
          <cell r="C1604" t="str">
            <v>六道輪廻の絶獄 閻羅王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PremiumSS</v>
          </cell>
          <cell r="K1604" t="str">
            <v>balance</v>
          </cell>
          <cell r="L1604" t="str">
            <v>バランスタイプ</v>
          </cell>
          <cell r="M1604" t="str">
            <v>god</v>
          </cell>
        </row>
        <row r="1605">
          <cell r="A1605">
            <v>8033</v>
          </cell>
          <cell r="B1605" t="str">
            <v>ja</v>
          </cell>
          <cell r="C1605" t="str">
            <v>牛頭馬面</v>
          </cell>
          <cell r="D1605" t="str">
            <v>Expoミク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DropWizS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8034</v>
          </cell>
          <cell r="B1606" t="str">
            <v>ja</v>
          </cell>
          <cell r="C1606" t="str">
            <v>冥府狩る魂使 牛頭馬面</v>
          </cell>
          <cell r="D1606" t="str">
            <v>Expoミク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DropWizS</v>
          </cell>
          <cell r="K1606" t="str">
            <v>attack</v>
          </cell>
          <cell r="L1606" t="str">
            <v>攻撃タイプ</v>
          </cell>
          <cell r="M1606" t="str">
            <v>god</v>
          </cell>
        </row>
        <row r="1607">
          <cell r="A1607">
            <v>8035</v>
          </cell>
          <cell r="B1607" t="str">
            <v>ja</v>
          </cell>
          <cell r="C1607" t="str">
            <v>飛衛</v>
          </cell>
          <cell r="D1607" t="str">
            <v>Expoミク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blue</v>
          </cell>
          <cell r="I1607">
            <v>5</v>
          </cell>
          <cell r="J1607" t="str">
            <v>PremiumSS</v>
          </cell>
          <cell r="K1607" t="str">
            <v>heal</v>
          </cell>
          <cell r="L1607" t="str">
            <v>回復タイプ</v>
          </cell>
          <cell r="M1607" t="str">
            <v>human</v>
          </cell>
        </row>
        <row r="1608">
          <cell r="A1608">
            <v>8036</v>
          </cell>
          <cell r="B1608" t="str">
            <v>ja</v>
          </cell>
          <cell r="C1608" t="str">
            <v>レア６飛衛</v>
          </cell>
          <cell r="D1608" t="str">
            <v>Expoミク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blue</v>
          </cell>
          <cell r="I1608">
            <v>6</v>
          </cell>
          <cell r="J1608" t="str">
            <v>PremiumSS</v>
          </cell>
          <cell r="K1608" t="str">
            <v>heal</v>
          </cell>
          <cell r="L1608" t="str">
            <v>回復タイプ</v>
          </cell>
          <cell r="M1608" t="str">
            <v>human</v>
          </cell>
        </row>
        <row r="1609">
          <cell r="A1609">
            <v>8037</v>
          </cell>
          <cell r="B1609" t="str">
            <v>ja</v>
          </cell>
          <cell r="C1609" t="str">
            <v>紀昌</v>
          </cell>
          <cell r="D1609" t="str">
            <v>Expoミク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8038</v>
          </cell>
          <cell r="B1610" t="str">
            <v>ja</v>
          </cell>
          <cell r="C1610" t="str">
            <v>レア６紀昌</v>
          </cell>
          <cell r="D1610" t="str">
            <v>Expoミク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DropWizS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8039</v>
          </cell>
          <cell r="B1611" t="str">
            <v>ja</v>
          </cell>
          <cell r="C1611" t="str">
            <v>何仙姑</v>
          </cell>
          <cell r="D1611" t="str">
            <v>Expoミク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yellow</v>
          </cell>
          <cell r="I1611">
            <v>5</v>
          </cell>
          <cell r="J1611" t="str">
            <v>PremiumSSw</v>
          </cell>
          <cell r="K1611" t="str">
            <v>hp</v>
          </cell>
          <cell r="L1611" t="str">
            <v>体力タイプ</v>
          </cell>
          <cell r="M1611" t="str">
            <v>god</v>
          </cell>
        </row>
        <row r="1612">
          <cell r="A1612">
            <v>8040</v>
          </cell>
          <cell r="B1612" t="str">
            <v>ja</v>
          </cell>
          <cell r="C1612" t="str">
            <v>レア６何仙姑</v>
          </cell>
          <cell r="D1612" t="str">
            <v>Expoミク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6</v>
          </cell>
          <cell r="J1612" t="str">
            <v>PremiumSSw</v>
          </cell>
          <cell r="K1612" t="str">
            <v>hp</v>
          </cell>
          <cell r="L1612" t="str">
            <v>体力タイプ</v>
          </cell>
          <cell r="M1612" t="str">
            <v>god</v>
          </cell>
        </row>
        <row r="1613">
          <cell r="A1613">
            <v>8041</v>
          </cell>
          <cell r="B1613" t="str">
            <v>ja</v>
          </cell>
          <cell r="C1613" t="str">
            <v>藍采和</v>
          </cell>
          <cell r="D1613" t="str">
            <v>Expoミク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</row>
        <row r="1614">
          <cell r="A1614">
            <v>8042</v>
          </cell>
          <cell r="B1614" t="str">
            <v>ja</v>
          </cell>
          <cell r="C1614" t="str">
            <v>レア６藍采和</v>
          </cell>
          <cell r="D1614" t="str">
            <v>Expoミク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god</v>
          </cell>
        </row>
        <row r="1615">
          <cell r="A1615">
            <v>8043</v>
          </cell>
          <cell r="B1615" t="str">
            <v>ja</v>
          </cell>
          <cell r="C1615" t="str">
            <v>サンリオキャラ大集合+アザゼル</v>
          </cell>
          <cell r="D1615" t="str">
            <v>サンリオキャラ大集合+アザゼル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ss</v>
          </cell>
        </row>
        <row r="1616">
          <cell r="A1616">
            <v>8044</v>
          </cell>
          <cell r="B1616" t="str">
            <v>ja</v>
          </cell>
          <cell r="C1616" t="str">
            <v>サンリオキャラ大集合+アザゼル</v>
          </cell>
          <cell r="D1616" t="str">
            <v>サンリオキャラ大集合+アザゼル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ss</v>
          </cell>
        </row>
        <row r="1617">
          <cell r="A1617">
            <v>8045</v>
          </cell>
          <cell r="B1617" t="str">
            <v>ja</v>
          </cell>
          <cell r="C1617" t="str">
            <v>ニムダ_サンリオキャラ混じり</v>
          </cell>
          <cell r="D1617" t="str">
            <v>ニムダ_サンリオキャラ混じり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Drop2N</v>
          </cell>
          <cell r="K1617" t="str">
            <v>technical</v>
          </cell>
          <cell r="L1617" t="str">
            <v>テクニカルタイプ</v>
          </cell>
          <cell r="M1617" t="str">
            <v>ss</v>
          </cell>
        </row>
        <row r="1618">
          <cell r="A1618">
            <v>8046</v>
          </cell>
          <cell r="B1618" t="str">
            <v>ja</v>
          </cell>
          <cell r="C1618" t="str">
            <v>ニムダ_サンリオキャラ混じり</v>
          </cell>
          <cell r="D1618" t="str">
            <v>ニムダ_サンリオキャラ混じり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Drop2N</v>
          </cell>
          <cell r="K1618" t="str">
            <v>technical</v>
          </cell>
          <cell r="L1618" t="str">
            <v>テクニカルタイプ</v>
          </cell>
          <cell r="M1618" t="str">
            <v>ss</v>
          </cell>
        </row>
        <row r="1619">
          <cell r="A1619">
            <v>8047</v>
          </cell>
          <cell r="B1619" t="str">
            <v>ja</v>
          </cell>
          <cell r="C1619" t="str">
            <v>ハローキティ</v>
          </cell>
          <cell r="D1619" t="str">
            <v>ハローキティ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4</v>
          </cell>
          <cell r="J1619" t="str">
            <v>Drop2N</v>
          </cell>
          <cell r="K1619" t="str">
            <v>balance</v>
          </cell>
          <cell r="L1619" t="str">
            <v>バランスタイプ</v>
          </cell>
          <cell r="M1619" t="str">
            <v>ss</v>
          </cell>
        </row>
        <row r="1620">
          <cell r="A1620">
            <v>8048</v>
          </cell>
          <cell r="B1620" t="str">
            <v>ja</v>
          </cell>
          <cell r="C1620" t="str">
            <v>ハローキティ</v>
          </cell>
          <cell r="D1620" t="str">
            <v>ハローキティ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5</v>
          </cell>
          <cell r="J1620" t="str">
            <v>Drop2N</v>
          </cell>
          <cell r="K1620" t="str">
            <v>balance</v>
          </cell>
          <cell r="L1620" t="str">
            <v>バランスタイプ</v>
          </cell>
          <cell r="M1620" t="str">
            <v>ss</v>
          </cell>
        </row>
        <row r="1621">
          <cell r="A1621">
            <v>8049</v>
          </cell>
          <cell r="B1621" t="str">
            <v>ja</v>
          </cell>
          <cell r="C1621" t="str">
            <v>KIRIMIちゃん</v>
          </cell>
          <cell r="D1621" t="str">
            <v>KIRIMIちゃん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red</v>
          </cell>
          <cell r="I1621">
            <v>4</v>
          </cell>
          <cell r="J1621" t="str">
            <v>Drop2N</v>
          </cell>
          <cell r="K1621" t="str">
            <v>hp</v>
          </cell>
          <cell r="L1621" t="str">
            <v>体力タイプ</v>
          </cell>
          <cell r="M1621" t="str">
            <v>ss</v>
          </cell>
        </row>
        <row r="1622">
          <cell r="A1622">
            <v>8050</v>
          </cell>
          <cell r="B1622" t="str">
            <v>ja</v>
          </cell>
          <cell r="C1622" t="str">
            <v>KIRIMIちゃん</v>
          </cell>
          <cell r="D1622" t="str">
            <v>KIRIMIちゃん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Drop2N</v>
          </cell>
          <cell r="K1622" t="str">
            <v>hp</v>
          </cell>
          <cell r="L1622" t="str">
            <v>体力タイプ</v>
          </cell>
          <cell r="M1622" t="str">
            <v>ss</v>
          </cell>
        </row>
        <row r="1623">
          <cell r="A1623">
            <v>8051</v>
          </cell>
          <cell r="B1623" t="str">
            <v>ja</v>
          </cell>
          <cell r="C1623" t="str">
            <v>ハローキティのリボン</v>
          </cell>
          <cell r="D1623" t="str">
            <v>ハローキティのリボン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5</v>
          </cell>
          <cell r="J1623" t="str">
            <v>Drop2N</v>
          </cell>
          <cell r="K1623" t="str">
            <v>evolution</v>
          </cell>
          <cell r="L1623" t="str">
            <v>覚醒素材タイプ</v>
          </cell>
          <cell r="M1623" t="str">
            <v>ss</v>
          </cell>
        </row>
        <row r="1624">
          <cell r="A1624">
            <v>8052</v>
          </cell>
          <cell r="B1624" t="str">
            <v>ja</v>
          </cell>
          <cell r="C1624" t="str">
            <v>ママの作ったアップルパイ</v>
          </cell>
          <cell r="D1624" t="str">
            <v>ママの作ったアップルパイ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4</v>
          </cell>
          <cell r="J1624" t="str">
            <v>Drop2N</v>
          </cell>
          <cell r="K1624" t="str">
            <v>evolution</v>
          </cell>
          <cell r="L1624" t="str">
            <v>覚醒素材タイプ</v>
          </cell>
          <cell r="M1624" t="str">
            <v>ss</v>
          </cell>
        </row>
        <row r="1625">
          <cell r="A1625">
            <v>8053</v>
          </cell>
          <cell r="B1625" t="str">
            <v>ja</v>
          </cell>
          <cell r="C1625" t="str">
            <v>D.R.T.H__キティコスプレ</v>
          </cell>
          <cell r="D1625" t="str">
            <v>D.R.T.H__キティコスプレ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</v>
          </cell>
          <cell r="K1625" t="str">
            <v>balance</v>
          </cell>
          <cell r="L1625" t="str">
            <v>バランスタイプ</v>
          </cell>
          <cell r="M1625" t="str">
            <v>ss</v>
          </cell>
        </row>
        <row r="1626">
          <cell r="A1626">
            <v>8054</v>
          </cell>
          <cell r="B1626" t="str">
            <v>ja</v>
          </cell>
          <cell r="C1626" t="str">
            <v>D.R.T.H__キティコスプレ</v>
          </cell>
          <cell r="D1626" t="str">
            <v>D.R.T.H__キティコスプレ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</v>
          </cell>
          <cell r="K1626" t="str">
            <v>balance</v>
          </cell>
          <cell r="L1626" t="str">
            <v>バランスタイプ</v>
          </cell>
          <cell r="M1626" t="str">
            <v>ss</v>
          </cell>
        </row>
        <row r="1627">
          <cell r="A1627">
            <v>8055</v>
          </cell>
          <cell r="B1627" t="str">
            <v>ja</v>
          </cell>
          <cell r="C1627" t="str">
            <v>マイメロディ</v>
          </cell>
          <cell r="D1627" t="str">
            <v>マイメロディ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attack</v>
          </cell>
          <cell r="L1627" t="str">
            <v>攻撃タイプ</v>
          </cell>
          <cell r="M1627" t="str">
            <v>ss</v>
          </cell>
        </row>
        <row r="1628">
          <cell r="A1628">
            <v>8056</v>
          </cell>
          <cell r="B1628" t="str">
            <v>ja</v>
          </cell>
          <cell r="C1628" t="str">
            <v>マイメロディ</v>
          </cell>
          <cell r="D1628" t="str">
            <v>マイメロディ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PremiumS</v>
          </cell>
          <cell r="K1628" t="str">
            <v>attack</v>
          </cell>
          <cell r="L1628" t="str">
            <v>攻撃タイプ</v>
          </cell>
          <cell r="M1628" t="str">
            <v>ss</v>
          </cell>
        </row>
        <row r="1629">
          <cell r="A1629">
            <v>8057</v>
          </cell>
          <cell r="B1629" t="str">
            <v>ja</v>
          </cell>
          <cell r="C1629" t="str">
            <v>ニーベルゲン_シナモロールコスプレ</v>
          </cell>
          <cell r="D1629" t="str">
            <v>ニーベルゲン_シナモロールコスプレ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4</v>
          </cell>
          <cell r="J1629" t="str">
            <v>PremiumS</v>
          </cell>
          <cell r="K1629" t="str">
            <v>balance</v>
          </cell>
          <cell r="L1629" t="str">
            <v>バランスタイプ</v>
          </cell>
          <cell r="M1629" t="str">
            <v>ss</v>
          </cell>
        </row>
        <row r="1630">
          <cell r="A1630">
            <v>8058</v>
          </cell>
          <cell r="B1630" t="str">
            <v>ja</v>
          </cell>
          <cell r="C1630" t="str">
            <v>ニーベルゲン_シナモロールコスプレ</v>
          </cell>
          <cell r="D1630" t="str">
            <v>ニーベルゲン_シナモロールコスプレ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5</v>
          </cell>
          <cell r="J1630" t="str">
            <v>PremiumS</v>
          </cell>
          <cell r="K1630" t="str">
            <v>balance</v>
          </cell>
          <cell r="L1630" t="str">
            <v>バランスタイプ</v>
          </cell>
          <cell r="M1630" t="str">
            <v>ss</v>
          </cell>
        </row>
        <row r="1631">
          <cell r="A1631">
            <v>8059</v>
          </cell>
          <cell r="B1631" t="str">
            <v>ja</v>
          </cell>
          <cell r="C1631" t="str">
            <v>カカシ_マイメロディコスプレ</v>
          </cell>
          <cell r="D1631" t="str">
            <v>カカシ_マイメロディコスプレ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4</v>
          </cell>
          <cell r="J1631" t="str">
            <v>PremiumS</v>
          </cell>
          <cell r="K1631" t="str">
            <v>technical</v>
          </cell>
          <cell r="L1631" t="str">
            <v>テクニカルタイプ</v>
          </cell>
          <cell r="M1631" t="str">
            <v>ss</v>
          </cell>
        </row>
        <row r="1632">
          <cell r="A1632">
            <v>8060</v>
          </cell>
          <cell r="B1632" t="str">
            <v>ja</v>
          </cell>
          <cell r="C1632" t="str">
            <v>カカシ_マイメロディコスプレ</v>
          </cell>
          <cell r="D1632" t="str">
            <v>カカシ_マイメロディコスプレ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green</v>
          </cell>
          <cell r="I1632">
            <v>5</v>
          </cell>
          <cell r="J1632" t="str">
            <v>PremiumS</v>
          </cell>
          <cell r="K1632" t="str">
            <v>technical</v>
          </cell>
          <cell r="L1632" t="str">
            <v>テクニカルタイプ</v>
          </cell>
          <cell r="M1632" t="str">
            <v>ss</v>
          </cell>
        </row>
        <row r="1633">
          <cell r="A1633">
            <v>8061</v>
          </cell>
          <cell r="B1633" t="str">
            <v>ja</v>
          </cell>
          <cell r="C1633" t="str">
            <v>ケロケロけろっぴ</v>
          </cell>
          <cell r="D1633" t="str">
            <v>ケロケロけろっぴ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green</v>
          </cell>
          <cell r="I1633">
            <v>3</v>
          </cell>
          <cell r="J1633" t="str">
            <v>PremiumS</v>
          </cell>
          <cell r="K1633" t="str">
            <v>balance</v>
          </cell>
          <cell r="L1633" t="str">
            <v>バランスタイプ</v>
          </cell>
          <cell r="M1633" t="str">
            <v>ss</v>
          </cell>
        </row>
        <row r="1634">
          <cell r="A1634">
            <v>8062</v>
          </cell>
          <cell r="B1634" t="str">
            <v>ja</v>
          </cell>
          <cell r="C1634" t="str">
            <v>ケロケロけろっぴ</v>
          </cell>
          <cell r="D1634" t="str">
            <v>ケロケロけろっぴ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4</v>
          </cell>
          <cell r="J1634" t="str">
            <v>PremiumS</v>
          </cell>
          <cell r="K1634" t="str">
            <v>balance</v>
          </cell>
          <cell r="L1634" t="str">
            <v>バランスタイプ</v>
          </cell>
          <cell r="M1634" t="str">
            <v>ss</v>
          </cell>
        </row>
        <row r="1635">
          <cell r="A1635">
            <v>8063</v>
          </cell>
          <cell r="B1635" t="str">
            <v>ja</v>
          </cell>
          <cell r="C1635" t="str">
            <v>モルドレッド_ポムポムプリンコスプレ</v>
          </cell>
          <cell r="D1635" t="str">
            <v>モルドレッド_ポムポムプリンコスプレ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blue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ss</v>
          </cell>
        </row>
        <row r="1636">
          <cell r="A1636">
            <v>8064</v>
          </cell>
          <cell r="B1636" t="str">
            <v>ja</v>
          </cell>
          <cell r="C1636" t="str">
            <v>モルドレッド_ポムポムプリンコスプレ</v>
          </cell>
          <cell r="D1636" t="str">
            <v>モルドレッド_ポムポムプリンコスプレ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6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ss</v>
          </cell>
        </row>
        <row r="1637">
          <cell r="A1637">
            <v>8065</v>
          </cell>
          <cell r="B1637" t="str">
            <v>ja</v>
          </cell>
          <cell r="C1637" t="str">
            <v>クロミ</v>
          </cell>
          <cell r="D1637" t="str">
            <v>クロミ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3</v>
          </cell>
          <cell r="J1637" t="str">
            <v>PremiumS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8066</v>
          </cell>
          <cell r="B1638" t="str">
            <v>ja</v>
          </cell>
          <cell r="C1638" t="str">
            <v>クロミ</v>
          </cell>
          <cell r="D1638" t="str">
            <v>クロミ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4</v>
          </cell>
          <cell r="J1638" t="str">
            <v>PremiumS</v>
          </cell>
          <cell r="K1638" t="str">
            <v>technical</v>
          </cell>
          <cell r="L1638" t="str">
            <v>テクニカルタイプ</v>
          </cell>
          <cell r="M1638" t="str">
            <v>ss</v>
          </cell>
        </row>
        <row r="1639">
          <cell r="A1639">
            <v>8067</v>
          </cell>
          <cell r="B1639" t="str">
            <v>ja</v>
          </cell>
          <cell r="C1639" t="str">
            <v>バッドばつ丸</v>
          </cell>
          <cell r="D1639" t="str">
            <v>バッドばつ丸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blue</v>
          </cell>
          <cell r="I1639">
            <v>3</v>
          </cell>
          <cell r="J1639" t="str">
            <v>PremiumS</v>
          </cell>
          <cell r="K1639" t="str">
            <v>attack</v>
          </cell>
          <cell r="L1639" t="str">
            <v>攻撃タイプ</v>
          </cell>
          <cell r="M1639" t="str">
            <v>ss</v>
          </cell>
        </row>
        <row r="1640">
          <cell r="A1640">
            <v>8068</v>
          </cell>
          <cell r="B1640" t="str">
            <v>ja</v>
          </cell>
          <cell r="C1640" t="str">
            <v>バッドばつ丸</v>
          </cell>
          <cell r="D1640" t="str">
            <v>バッドばつ丸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attack</v>
          </cell>
          <cell r="L1640" t="str">
            <v>攻撃タイプ</v>
          </cell>
          <cell r="M1640" t="str">
            <v>ss</v>
          </cell>
        </row>
        <row r="1641">
          <cell r="A1641">
            <v>8069</v>
          </cell>
          <cell r="B1641" t="str">
            <v>ja</v>
          </cell>
          <cell r="C1641" t="str">
            <v>シナモロール</v>
          </cell>
          <cell r="D1641" t="str">
            <v>シナモロール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PremiumS</v>
          </cell>
          <cell r="K1641" t="str">
            <v>heal</v>
          </cell>
          <cell r="L1641" t="str">
            <v>回復タイプ</v>
          </cell>
          <cell r="M1641" t="str">
            <v>ss</v>
          </cell>
        </row>
        <row r="1642">
          <cell r="A1642">
            <v>8070</v>
          </cell>
          <cell r="B1642" t="str">
            <v>ja</v>
          </cell>
          <cell r="C1642" t="str">
            <v>シナモロール</v>
          </cell>
          <cell r="D1642" t="str">
            <v>シナモロール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PremiumS</v>
          </cell>
          <cell r="K1642" t="str">
            <v>heal</v>
          </cell>
          <cell r="L1642" t="str">
            <v>回復タイプ</v>
          </cell>
          <cell r="M1642" t="str">
            <v>ss</v>
          </cell>
        </row>
        <row r="1643">
          <cell r="A1643">
            <v>8071</v>
          </cell>
          <cell r="B1643" t="str">
            <v>ja</v>
          </cell>
          <cell r="C1643" t="str">
            <v>ポムポムプリン</v>
          </cell>
          <cell r="D1643" t="str">
            <v>ポムポムプリン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yellow</v>
          </cell>
          <cell r="I1643">
            <v>3</v>
          </cell>
          <cell r="J1643" t="str">
            <v>PremiumS</v>
          </cell>
          <cell r="K1643" t="str">
            <v>hp</v>
          </cell>
          <cell r="L1643" t="str">
            <v>体力タイプ</v>
          </cell>
          <cell r="M1643" t="str">
            <v>ss</v>
          </cell>
        </row>
        <row r="1644">
          <cell r="A1644">
            <v>8072</v>
          </cell>
          <cell r="B1644" t="str">
            <v>ja</v>
          </cell>
          <cell r="C1644" t="str">
            <v>ポムポムプリン</v>
          </cell>
          <cell r="D1644" t="str">
            <v>ポムポムプリン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yellow</v>
          </cell>
          <cell r="I1644">
            <v>4</v>
          </cell>
          <cell r="J1644" t="str">
            <v>PremiumS</v>
          </cell>
          <cell r="K1644" t="str">
            <v>hp</v>
          </cell>
          <cell r="L1644" t="str">
            <v>体力タイプ</v>
          </cell>
          <cell r="M1644" t="str">
            <v>ss</v>
          </cell>
        </row>
        <row r="1645">
          <cell r="A1645">
            <v>8073</v>
          </cell>
          <cell r="B1645" t="str">
            <v>ja</v>
          </cell>
          <cell r="C1645" t="str">
            <v>星海祈る天光妃 媽祖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yellow</v>
          </cell>
          <cell r="I1645">
            <v>6</v>
          </cell>
          <cell r="J1645" t="str">
            <v>PremiumSS</v>
          </cell>
          <cell r="K1645" t="str">
            <v>attack</v>
          </cell>
          <cell r="L1645" t="str">
            <v>攻撃タイプ</v>
          </cell>
          <cell r="M1645" t="str">
            <v>human</v>
          </cell>
        </row>
        <row r="1646">
          <cell r="A1646">
            <v>8074</v>
          </cell>
          <cell r="B1646" t="str">
            <v>ja</v>
          </cell>
          <cell r="C1646" t="str">
            <v>海戀の絶龍姫 蛟龍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blue</v>
          </cell>
          <cell r="I1646">
            <v>6</v>
          </cell>
          <cell r="J1646" t="str">
            <v>DropWizS</v>
          </cell>
          <cell r="K1646" t="str">
            <v>hp</v>
          </cell>
          <cell r="L1646" t="str">
            <v>体力タイプ</v>
          </cell>
          <cell r="M1646" t="str">
            <v>dragon</v>
          </cell>
        </row>
        <row r="1647">
          <cell r="A1647">
            <v>8075</v>
          </cell>
          <cell r="B1647" t="str">
            <v>ja</v>
          </cell>
          <cell r="C1647" t="str">
            <v>三蔵法師_超覚醒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blue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god</v>
          </cell>
        </row>
        <row r="1648">
          <cell r="A1648">
            <v>8076</v>
          </cell>
          <cell r="B1648" t="str">
            <v>ja</v>
          </cell>
          <cell r="C1648" t="str">
            <v>孫悟空_超覚醒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unknown</v>
          </cell>
        </row>
        <row r="1649">
          <cell r="A1649">
            <v>8077</v>
          </cell>
          <cell r="B1649" t="str">
            <v>ja</v>
          </cell>
          <cell r="C1649" t="str">
            <v>鄭成功</v>
          </cell>
          <cell r="D1649" t="str">
            <v>ポムポムプリン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human</v>
          </cell>
        </row>
        <row r="1650">
          <cell r="A1650">
            <v>8078</v>
          </cell>
          <cell r="B1650" t="str">
            <v>ja</v>
          </cell>
          <cell r="C1650" t="str">
            <v>レア６鄭成功</v>
          </cell>
          <cell r="D1650" t="str">
            <v>ポムポムプリン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8079</v>
          </cell>
          <cell r="B1651" t="str">
            <v>ja</v>
          </cell>
          <cell r="C1651" t="str">
            <v>赤鬼</v>
          </cell>
          <cell r="D1651" t="str">
            <v>ポムポムプリン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DropWizS</v>
          </cell>
          <cell r="K1651" t="str">
            <v>hp</v>
          </cell>
          <cell r="L1651" t="str">
            <v>体力タイプ</v>
          </cell>
          <cell r="M1651" t="str">
            <v>dragon</v>
          </cell>
        </row>
        <row r="1652">
          <cell r="A1652">
            <v>8080</v>
          </cell>
          <cell r="B1652" t="str">
            <v>ja</v>
          </cell>
          <cell r="C1652" t="str">
            <v>レア６赤鬼</v>
          </cell>
          <cell r="D1652" t="str">
            <v>ポムポムプリン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6</v>
          </cell>
          <cell r="J1652" t="str">
            <v>DropWizS</v>
          </cell>
          <cell r="K1652" t="str">
            <v>hp</v>
          </cell>
          <cell r="L1652" t="str">
            <v>体力タイプ</v>
          </cell>
          <cell r="M1652" t="str">
            <v>dragon</v>
          </cell>
        </row>
        <row r="1653">
          <cell r="A1653">
            <v>8081</v>
          </cell>
          <cell r="B1653" t="str">
            <v>ja</v>
          </cell>
          <cell r="C1653" t="str">
            <v>関羽</v>
          </cell>
          <cell r="H1653" t="str">
            <v>green</v>
          </cell>
          <cell r="I1653">
            <v>5</v>
          </cell>
          <cell r="J1653" t="str">
            <v>PremiumSSS</v>
          </cell>
          <cell r="K1653" t="str">
            <v>balance</v>
          </cell>
          <cell r="L1653" t="str">
            <v>バランスタイプ</v>
          </cell>
          <cell r="M1653" t="str">
            <v>samurai</v>
          </cell>
        </row>
        <row r="1654">
          <cell r="A1654">
            <v>8082</v>
          </cell>
          <cell r="B1654" t="str">
            <v>ja</v>
          </cell>
          <cell r="C1654" t="str">
            <v>★６関羽</v>
          </cell>
          <cell r="H1654" t="str">
            <v>green</v>
          </cell>
          <cell r="I1654">
            <v>6</v>
          </cell>
          <cell r="J1654" t="str">
            <v>PremiumSSS</v>
          </cell>
          <cell r="K1654" t="str">
            <v>balance</v>
          </cell>
          <cell r="L1654" t="str">
            <v>バランスタイプ</v>
          </cell>
          <cell r="M1654" t="str">
            <v>samurai</v>
          </cell>
        </row>
        <row r="1655">
          <cell r="A1655">
            <v>8083</v>
          </cell>
          <cell r="B1655" t="str">
            <v>ja</v>
          </cell>
          <cell r="C1655" t="str">
            <v>曹操</v>
          </cell>
          <cell r="H1655" t="str">
            <v>yellow</v>
          </cell>
          <cell r="I1655">
            <v>5</v>
          </cell>
          <cell r="J1655" t="str">
            <v>DropWizSS</v>
          </cell>
          <cell r="K1655" t="str">
            <v>technical</v>
          </cell>
          <cell r="L1655" t="str">
            <v>テクニカルタイプ</v>
          </cell>
          <cell r="M1655" t="str">
            <v>samurai</v>
          </cell>
        </row>
        <row r="1656">
          <cell r="A1656">
            <v>8084</v>
          </cell>
          <cell r="B1656" t="str">
            <v>ja</v>
          </cell>
          <cell r="C1656" t="str">
            <v>★６曹操</v>
          </cell>
          <cell r="H1656" t="str">
            <v>yellow</v>
          </cell>
          <cell r="I1656">
            <v>6</v>
          </cell>
          <cell r="J1656" t="str">
            <v>DropWizSS</v>
          </cell>
          <cell r="K1656" t="str">
            <v>technical</v>
          </cell>
          <cell r="L1656" t="str">
            <v>テクニカルタイプ</v>
          </cell>
          <cell r="M1656" t="str">
            <v>samurai</v>
          </cell>
        </row>
        <row r="1657">
          <cell r="A1657">
            <v>8085</v>
          </cell>
          <cell r="B1657" t="str">
            <v>ja</v>
          </cell>
          <cell r="C1657" t="str">
            <v>西王娘娘_超覚醒</v>
          </cell>
          <cell r="H1657" t="str">
            <v>yellow</v>
          </cell>
          <cell r="I1657">
            <v>6</v>
          </cell>
          <cell r="J1657" t="str">
            <v>PremiumSS</v>
          </cell>
          <cell r="K1657" t="str">
            <v>attack</v>
          </cell>
          <cell r="L1657" t="str">
            <v>攻撃タイプ</v>
          </cell>
          <cell r="M1657" t="str">
            <v>god</v>
          </cell>
        </row>
        <row r="1658">
          <cell r="A1658">
            <v>8086</v>
          </cell>
          <cell r="B1658" t="str">
            <v>ja</v>
          </cell>
          <cell r="C1658" t="str">
            <v>月下老人_超覚醒</v>
          </cell>
          <cell r="H1658" t="str">
            <v>yellow</v>
          </cell>
          <cell r="I1658">
            <v>6</v>
          </cell>
          <cell r="J1658" t="str">
            <v>DropWizS</v>
          </cell>
          <cell r="K1658" t="str">
            <v>attack</v>
          </cell>
          <cell r="L1658" t="str">
            <v>攻撃タイプ</v>
          </cell>
          <cell r="M1658" t="str">
            <v>god</v>
          </cell>
        </row>
        <row r="1659">
          <cell r="A1659">
            <v>8087</v>
          </cell>
          <cell r="B1659" t="str">
            <v>ja</v>
          </cell>
          <cell r="C1659" t="str">
            <v>財神</v>
          </cell>
          <cell r="H1659" t="str">
            <v>red</v>
          </cell>
          <cell r="I1659">
            <v>5</v>
          </cell>
          <cell r="J1659" t="str">
            <v>PremiumSSS</v>
          </cell>
          <cell r="K1659" t="str">
            <v>technical</v>
          </cell>
          <cell r="L1659" t="str">
            <v>テクニカルタイプ</v>
          </cell>
          <cell r="M1659" t="str">
            <v>god</v>
          </cell>
        </row>
        <row r="1660">
          <cell r="A1660">
            <v>8088</v>
          </cell>
          <cell r="B1660" t="str">
            <v>ja</v>
          </cell>
          <cell r="C1660" t="str">
            <v>★６財神</v>
          </cell>
          <cell r="H1660" t="str">
            <v>red</v>
          </cell>
          <cell r="I1660">
            <v>6</v>
          </cell>
          <cell r="J1660" t="str">
            <v>PremiumSSS</v>
          </cell>
          <cell r="K1660" t="str">
            <v>technical</v>
          </cell>
          <cell r="L1660" t="str">
            <v>テクニカルタイプ</v>
          </cell>
          <cell r="M1660" t="str">
            <v>god</v>
          </cell>
        </row>
        <row r="1661">
          <cell r="A1661">
            <v>8089</v>
          </cell>
          <cell r="B1661" t="str">
            <v>ja</v>
          </cell>
          <cell r="C1661" t="str">
            <v>年獣</v>
          </cell>
          <cell r="H1661" t="str">
            <v>green</v>
          </cell>
          <cell r="I1661">
            <v>5</v>
          </cell>
          <cell r="J1661" t="str">
            <v>DropWizS</v>
          </cell>
          <cell r="K1661" t="str">
            <v>attack</v>
          </cell>
          <cell r="L1661" t="str">
            <v>攻撃タイプ</v>
          </cell>
          <cell r="M1661" t="str">
            <v>animal</v>
          </cell>
        </row>
        <row r="1662">
          <cell r="A1662">
            <v>8090</v>
          </cell>
          <cell r="B1662" t="str">
            <v>ja</v>
          </cell>
          <cell r="C1662" t="str">
            <v>★６年獣</v>
          </cell>
          <cell r="H1662" t="str">
            <v>green</v>
          </cell>
          <cell r="I1662">
            <v>6</v>
          </cell>
          <cell r="J1662" t="str">
            <v>DropWizS</v>
          </cell>
          <cell r="K1662" t="str">
            <v>attack</v>
          </cell>
          <cell r="L1662" t="str">
            <v>攻撃タイプ</v>
          </cell>
          <cell r="M1662" t="str">
            <v>animal</v>
          </cell>
        </row>
        <row r="1663">
          <cell r="A1663">
            <v>8095</v>
          </cell>
          <cell r="B1663" t="str">
            <v>ja</v>
          </cell>
          <cell r="C1663" t="str">
            <v>バハムートダック赤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6</v>
          </cell>
          <cell r="J1663" t="str">
            <v>Material</v>
          </cell>
          <cell r="K1663" t="str">
            <v>exp</v>
          </cell>
          <cell r="L1663" t="str">
            <v>強化素材タイプ</v>
          </cell>
          <cell r="M1663" t="str">
            <v>unknown</v>
          </cell>
        </row>
        <row r="1664">
          <cell r="A1664">
            <v>8096</v>
          </cell>
          <cell r="B1664" t="str">
            <v>ja</v>
          </cell>
          <cell r="C1664" t="str">
            <v>バハムートダック緑</v>
          </cell>
          <cell r="D1664" t="str">
            <v>ポムポムプリン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6</v>
          </cell>
          <cell r="J1664" t="str">
            <v>Material</v>
          </cell>
          <cell r="K1664" t="str">
            <v>exp</v>
          </cell>
          <cell r="L1664" t="str">
            <v>強化素材タイプ</v>
          </cell>
          <cell r="M1664" t="str">
            <v>unknown</v>
          </cell>
        </row>
        <row r="1665">
          <cell r="A1665">
            <v>8097</v>
          </cell>
          <cell r="B1665" t="str">
            <v>ja</v>
          </cell>
          <cell r="C1665" t="str">
            <v>バハムートダック青</v>
          </cell>
          <cell r="D1665" t="str">
            <v>ポムポムプリン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Material</v>
          </cell>
          <cell r="K1665" t="str">
            <v>exp</v>
          </cell>
          <cell r="L1665" t="str">
            <v>強化素材タイプ</v>
          </cell>
          <cell r="M1665" t="str">
            <v>unknown</v>
          </cell>
        </row>
        <row r="1666">
          <cell r="A1666">
            <v>8098</v>
          </cell>
          <cell r="B1666" t="str">
            <v>ja</v>
          </cell>
          <cell r="C1666" t="str">
            <v>バハムートダック黄</v>
          </cell>
          <cell r="D1666" t="str">
            <v>ポムポムプリン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6</v>
          </cell>
          <cell r="J1666" t="str">
            <v>Material</v>
          </cell>
          <cell r="K1666" t="str">
            <v>exp</v>
          </cell>
          <cell r="L1666" t="str">
            <v>強化素材タイプ</v>
          </cell>
          <cell r="M1666" t="str">
            <v>unknown</v>
          </cell>
        </row>
        <row r="1667">
          <cell r="A1667">
            <v>8099</v>
          </cell>
          <cell r="B1667" t="str">
            <v>ja</v>
          </cell>
          <cell r="C1667" t="str">
            <v>韓湘子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green</v>
          </cell>
          <cell r="I1667">
            <v>5</v>
          </cell>
          <cell r="J1667" t="str">
            <v>PremiumSSw</v>
          </cell>
          <cell r="K1667" t="str">
            <v>balance</v>
          </cell>
          <cell r="L1667" t="str">
            <v>バランスタイプ</v>
          </cell>
          <cell r="M1667" t="str">
            <v>god</v>
          </cell>
        </row>
        <row r="1668">
          <cell r="A1668">
            <v>8100</v>
          </cell>
          <cell r="B1668" t="str">
            <v>ja</v>
          </cell>
          <cell r="C1668" t="str">
            <v>韓湘子★６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green</v>
          </cell>
          <cell r="I1668">
            <v>6</v>
          </cell>
          <cell r="J1668" t="str">
            <v>PremiumSSw</v>
          </cell>
          <cell r="K1668" t="str">
            <v>balance</v>
          </cell>
          <cell r="L1668" t="str">
            <v>バランスタイプ</v>
          </cell>
          <cell r="M1668" t="str">
            <v>god</v>
          </cell>
        </row>
        <row r="1669">
          <cell r="A1669">
            <v>8101</v>
          </cell>
          <cell r="B1669" t="str">
            <v>ja</v>
          </cell>
          <cell r="C1669" t="str">
            <v>張果老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5</v>
          </cell>
          <cell r="J1669" t="str">
            <v>DropWizS</v>
          </cell>
          <cell r="K1669" t="str">
            <v>attack</v>
          </cell>
          <cell r="L1669" t="str">
            <v>攻撃タイプ</v>
          </cell>
          <cell r="M1669" t="str">
            <v>god</v>
          </cell>
        </row>
        <row r="1670">
          <cell r="A1670">
            <v>8102</v>
          </cell>
          <cell r="B1670" t="str">
            <v>ja</v>
          </cell>
          <cell r="C1670" t="str">
            <v>張果老★６</v>
          </cell>
          <cell r="D1670" t="str">
            <v>各属性相性良3・黄・R455</v>
          </cell>
          <cell r="E1670" t="str">
            <v>執行者</v>
          </cell>
          <cell r="F1670" t="str">
            <v>格好いい</v>
          </cell>
          <cell r="G1670" t="str">
            <v>男性</v>
          </cell>
          <cell r="H1670" t="str">
            <v>yellow</v>
          </cell>
          <cell r="I1670">
            <v>6</v>
          </cell>
          <cell r="J1670" t="str">
            <v>DropWizS</v>
          </cell>
          <cell r="K1670" t="str">
            <v>attack</v>
          </cell>
          <cell r="L1670" t="str">
            <v>攻撃タイプ</v>
          </cell>
          <cell r="M1670" t="str">
            <v>god</v>
          </cell>
        </row>
        <row r="1671">
          <cell r="A1671">
            <v>8103</v>
          </cell>
          <cell r="B1671" t="str">
            <v>ja</v>
          </cell>
          <cell r="C1671" t="str">
            <v>李鐵拐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PremiumSSw</v>
          </cell>
          <cell r="K1671" t="str">
            <v>technical</v>
          </cell>
          <cell r="L1671" t="str">
            <v>テクニカルタイプ</v>
          </cell>
          <cell r="M1671" t="str">
            <v>god</v>
          </cell>
        </row>
        <row r="1672">
          <cell r="A1672">
            <v>8104</v>
          </cell>
          <cell r="B1672" t="str">
            <v>ja</v>
          </cell>
          <cell r="C1672" t="str">
            <v>李鐵拐★６</v>
          </cell>
          <cell r="D1672" t="str">
            <v>各属性相性良3・黄・R455</v>
          </cell>
          <cell r="E1672" t="str">
            <v>執行者</v>
          </cell>
          <cell r="F1672" t="str">
            <v>格好いい</v>
          </cell>
          <cell r="G1672" t="str">
            <v>男性</v>
          </cell>
          <cell r="H1672" t="str">
            <v>red</v>
          </cell>
          <cell r="I1672">
            <v>6</v>
          </cell>
          <cell r="J1672" t="str">
            <v>PremiumSSw</v>
          </cell>
          <cell r="K1672" t="str">
            <v>technical</v>
          </cell>
          <cell r="L1672" t="str">
            <v>テクニカルタイプ</v>
          </cell>
          <cell r="M1672" t="str">
            <v>god</v>
          </cell>
        </row>
        <row r="1673">
          <cell r="A1673">
            <v>8105</v>
          </cell>
          <cell r="B1673" t="str">
            <v>ja</v>
          </cell>
          <cell r="C1673" t="str">
            <v>曹國舅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hp</v>
          </cell>
          <cell r="L1673" t="str">
            <v>体力タイプ</v>
          </cell>
          <cell r="M1673" t="str">
            <v>god</v>
          </cell>
        </row>
        <row r="1674">
          <cell r="A1674">
            <v>8106</v>
          </cell>
          <cell r="B1674" t="str">
            <v>ja</v>
          </cell>
          <cell r="C1674" t="str">
            <v>曹國舅★６</v>
          </cell>
          <cell r="D1674" t="str">
            <v>各属性相性良3・黄・R455</v>
          </cell>
          <cell r="E1674" t="str">
            <v>執行者</v>
          </cell>
          <cell r="F1674" t="str">
            <v>格好いい</v>
          </cell>
          <cell r="G1674" t="str">
            <v>男性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hp</v>
          </cell>
          <cell r="L1674" t="str">
            <v>体力タイプ</v>
          </cell>
          <cell r="M1674" t="str">
            <v>god</v>
          </cell>
        </row>
        <row r="1675">
          <cell r="A1675">
            <v>9001</v>
          </cell>
          <cell r="B1675" t="str">
            <v>ja</v>
          </cell>
          <cell r="C1675" t="str">
            <v>春香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PremiumSSw</v>
          </cell>
          <cell r="K1675" t="str">
            <v>attack</v>
          </cell>
          <cell r="L1675" t="str">
            <v>攻撃タイプ</v>
          </cell>
          <cell r="M1675" t="str">
            <v>human</v>
          </cell>
        </row>
        <row r="1676">
          <cell r="A1676">
            <v>9002</v>
          </cell>
          <cell r="B1676" t="str">
            <v>ja</v>
          </cell>
          <cell r="C1676" t="str">
            <v>春香★６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PremiumSSw</v>
          </cell>
          <cell r="K1676" t="str">
            <v>attack</v>
          </cell>
          <cell r="L1676" t="str">
            <v>攻撃タイプ</v>
          </cell>
          <cell r="M1676" t="str">
            <v>human</v>
          </cell>
        </row>
        <row r="1677">
          <cell r="A1677">
            <v>9003</v>
          </cell>
          <cell r="B1677" t="str">
            <v>ja</v>
          </cell>
          <cell r="C1677" t="str">
            <v>夢龍</v>
          </cell>
          <cell r="D1677" t="str">
            <v>ポムポムプリン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green</v>
          </cell>
          <cell r="I1677">
            <v>5</v>
          </cell>
          <cell r="J1677" t="str">
            <v>DropWizS</v>
          </cell>
          <cell r="K1677" t="str">
            <v>heal</v>
          </cell>
          <cell r="L1677" t="str">
            <v>回復タイプ</v>
          </cell>
          <cell r="M1677" t="str">
            <v>dragon</v>
          </cell>
        </row>
        <row r="1678">
          <cell r="A1678">
            <v>9004</v>
          </cell>
          <cell r="B1678" t="str">
            <v>ja</v>
          </cell>
          <cell r="C1678" t="str">
            <v>夢龍★６</v>
          </cell>
          <cell r="D1678" t="str">
            <v>各属性相性良3・黄・R455</v>
          </cell>
          <cell r="E1678" t="str">
            <v>執行者</v>
          </cell>
          <cell r="F1678" t="str">
            <v>格好いい</v>
          </cell>
          <cell r="G1678" t="str">
            <v>男性</v>
          </cell>
          <cell r="H1678" t="str">
            <v>green</v>
          </cell>
          <cell r="I1678">
            <v>6</v>
          </cell>
          <cell r="J1678" t="str">
            <v>DropWizS</v>
          </cell>
          <cell r="K1678" t="str">
            <v>heal</v>
          </cell>
          <cell r="L1678" t="str">
            <v>回復タイプ</v>
          </cell>
          <cell r="M1678" t="str">
            <v>dragon</v>
          </cell>
        </row>
        <row r="1679">
          <cell r="A1679">
            <v>9005</v>
          </cell>
          <cell r="B1679" t="str">
            <v>ja</v>
          </cell>
          <cell r="C1679" t="str">
            <v>降臨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demon</v>
          </cell>
        </row>
        <row r="1680">
          <cell r="A1680">
            <v>9006</v>
          </cell>
          <cell r="B1680" t="str">
            <v>ja</v>
          </cell>
          <cell r="C1680" t="str">
            <v>降臨★６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demon</v>
          </cell>
        </row>
        <row r="1681">
          <cell r="A1681">
            <v>9007</v>
          </cell>
          <cell r="B1681" t="str">
            <v>ja</v>
          </cell>
          <cell r="C1681" t="str">
            <v>田禹治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5</v>
          </cell>
          <cell r="J1681" t="str">
            <v>DropWizS</v>
          </cell>
          <cell r="K1681" t="str">
            <v>technical</v>
          </cell>
          <cell r="L1681" t="str">
            <v>テクニカルタイプ</v>
          </cell>
          <cell r="M1681" t="str">
            <v>hero</v>
          </cell>
        </row>
        <row r="1682">
          <cell r="A1682">
            <v>9008</v>
          </cell>
          <cell r="B1682" t="str">
            <v>ja</v>
          </cell>
          <cell r="C1682" t="str">
            <v>田禹治★６</v>
          </cell>
          <cell r="D1682" t="str">
            <v>各属性相性良3・黄・R455</v>
          </cell>
          <cell r="E1682" t="str">
            <v>執行者</v>
          </cell>
          <cell r="F1682" t="str">
            <v>格好いい</v>
          </cell>
          <cell r="G1682" t="str">
            <v>男性</v>
          </cell>
          <cell r="H1682" t="str">
            <v>red</v>
          </cell>
          <cell r="I1682">
            <v>6</v>
          </cell>
          <cell r="J1682" t="str">
            <v>DropWizS</v>
          </cell>
          <cell r="K1682" t="str">
            <v>technical</v>
          </cell>
          <cell r="L1682" t="str">
            <v>テクニカルタイプ</v>
          </cell>
          <cell r="M1682" t="str">
            <v>hero</v>
          </cell>
        </row>
        <row r="1683">
          <cell r="A1683">
            <v>10001</v>
          </cell>
          <cell r="B1683" t="str">
            <v>ja</v>
          </cell>
          <cell r="C1683" t="str">
            <v>テストユニット01</v>
          </cell>
          <cell r="H1683" t="str">
            <v>yellow</v>
          </cell>
          <cell r="I1683">
            <v>6</v>
          </cell>
          <cell r="J1683" t="str">
            <v>DropWizS</v>
          </cell>
          <cell r="K1683" t="str">
            <v>heal</v>
          </cell>
          <cell r="L1683" t="str">
            <v>回復タイプ</v>
          </cell>
          <cell r="M1683" t="str">
            <v>human</v>
          </cell>
        </row>
        <row r="1684">
          <cell r="A1684">
            <v>10002</v>
          </cell>
          <cell r="B1684" t="str">
            <v>ja</v>
          </cell>
          <cell r="C1684" t="str">
            <v>テストユニット02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technical</v>
          </cell>
          <cell r="L1684" t="str">
            <v>テクニカルタイプ</v>
          </cell>
          <cell r="M1684" t="str">
            <v>animal</v>
          </cell>
        </row>
        <row r="1685">
          <cell r="A1685">
            <v>10003</v>
          </cell>
          <cell r="B1685" t="str">
            <v>ja</v>
          </cell>
          <cell r="C1685" t="str">
            <v>テストユニット03</v>
          </cell>
          <cell r="H1685" t="str">
            <v>red</v>
          </cell>
          <cell r="I1685">
            <v>5</v>
          </cell>
          <cell r="J1685" t="str">
            <v>PremiumSSS</v>
          </cell>
          <cell r="K1685" t="str">
            <v>technical</v>
          </cell>
          <cell r="L1685" t="str">
            <v>テクニカルタイプ</v>
          </cell>
          <cell r="M1685" t="str">
            <v>academia</v>
          </cell>
        </row>
        <row r="1686">
          <cell r="A1686">
            <v>10004</v>
          </cell>
          <cell r="B1686" t="str">
            <v>ja</v>
          </cell>
          <cell r="C1686" t="str">
            <v>テストユニット04</v>
          </cell>
          <cell r="H1686" t="str">
            <v>red</v>
          </cell>
          <cell r="I1686">
            <v>6</v>
          </cell>
          <cell r="J1686" t="str">
            <v>PremiumSSS</v>
          </cell>
          <cell r="K1686" t="str">
            <v>technical</v>
          </cell>
          <cell r="L1686" t="str">
            <v>テクニカルタイプ</v>
          </cell>
          <cell r="M1686" t="str">
            <v>academia</v>
          </cell>
        </row>
        <row r="1687">
          <cell r="A1687">
            <v>10005</v>
          </cell>
          <cell r="B1687" t="str">
            <v>ja</v>
          </cell>
          <cell r="C1687" t="str">
            <v>テストユニット05</v>
          </cell>
          <cell r="H1687" t="str">
            <v>yellow</v>
          </cell>
          <cell r="I1687">
            <v>6</v>
          </cell>
          <cell r="J1687" t="str">
            <v>PremiumSS</v>
          </cell>
          <cell r="K1687" t="str">
            <v>technical</v>
          </cell>
          <cell r="L1687" t="str">
            <v>テクニカルタイプ</v>
          </cell>
          <cell r="M1687" t="str">
            <v>human</v>
          </cell>
        </row>
        <row r="1688">
          <cell r="A1688">
            <v>10006</v>
          </cell>
          <cell r="B1688" t="str">
            <v>ja</v>
          </cell>
          <cell r="C1688" t="str">
            <v>テストユニット06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animal</v>
          </cell>
        </row>
        <row r="1689">
          <cell r="A1689">
            <v>10007</v>
          </cell>
          <cell r="B1689" t="str">
            <v>ja</v>
          </cell>
          <cell r="C1689" t="str">
            <v>テストユニット07</v>
          </cell>
          <cell r="H1689" t="str">
            <v>yellow</v>
          </cell>
          <cell r="I1689">
            <v>5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machine</v>
          </cell>
        </row>
        <row r="1690">
          <cell r="A1690">
            <v>10008</v>
          </cell>
          <cell r="B1690" t="str">
            <v>ja</v>
          </cell>
          <cell r="C1690" t="str">
            <v>テストユニット08</v>
          </cell>
          <cell r="H1690" t="str">
            <v>yellow</v>
          </cell>
          <cell r="I1690">
            <v>6</v>
          </cell>
          <cell r="J1690" t="str">
            <v>PremiumSSS</v>
          </cell>
          <cell r="K1690" t="str">
            <v>technical</v>
          </cell>
          <cell r="L1690" t="str">
            <v>テクニカルタイプ</v>
          </cell>
          <cell r="M1690" t="str">
            <v>machine</v>
          </cell>
        </row>
        <row r="1691">
          <cell r="A1691">
            <v>10009</v>
          </cell>
          <cell r="B1691" t="str">
            <v>ja</v>
          </cell>
          <cell r="C1691" t="str">
            <v>青テスト01</v>
          </cell>
          <cell r="H1691" t="str">
            <v>blue</v>
          </cell>
          <cell r="I1691">
            <v>6</v>
          </cell>
          <cell r="J1691" t="str">
            <v>DropWizS</v>
          </cell>
          <cell r="K1691" t="str">
            <v>heal</v>
          </cell>
          <cell r="L1691" t="str">
            <v>回復タイプ</v>
          </cell>
          <cell r="M1691" t="str">
            <v>human</v>
          </cell>
        </row>
        <row r="1692">
          <cell r="A1692">
            <v>10010</v>
          </cell>
          <cell r="B1692" t="str">
            <v>ja</v>
          </cell>
          <cell r="C1692" t="str">
            <v>赤テスト01</v>
          </cell>
          <cell r="H1692" t="str">
            <v>red</v>
          </cell>
          <cell r="I1692">
            <v>6</v>
          </cell>
          <cell r="J1692" t="str">
            <v>PremiumSSS</v>
          </cell>
          <cell r="K1692" t="str">
            <v>technical</v>
          </cell>
          <cell r="L1692" t="str">
            <v>テクニカルタイプ</v>
          </cell>
          <cell r="M1692" t="str">
            <v>human</v>
          </cell>
        </row>
        <row r="1693">
          <cell r="A1693">
            <v>10011</v>
          </cell>
          <cell r="B1693" t="str">
            <v>ja</v>
          </cell>
          <cell r="C1693" t="str">
            <v>テストユニット11</v>
          </cell>
          <cell r="H1693" t="str">
            <v>yellow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human</v>
          </cell>
        </row>
        <row r="1694">
          <cell r="A1694">
            <v>10012</v>
          </cell>
          <cell r="B1694" t="str">
            <v>ja</v>
          </cell>
          <cell r="C1694" t="str">
            <v>テストユニット12</v>
          </cell>
          <cell r="H1694" t="str">
            <v>yellow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human</v>
          </cell>
        </row>
        <row r="1695">
          <cell r="A1695">
            <v>10013</v>
          </cell>
          <cell r="B1695" t="str">
            <v>ja</v>
          </cell>
          <cell r="C1695" t="str">
            <v>テストユニット13</v>
          </cell>
          <cell r="H1695" t="str">
            <v>yellow</v>
          </cell>
          <cell r="I1695">
            <v>5</v>
          </cell>
          <cell r="J1695" t="str">
            <v>PremiumSSw</v>
          </cell>
          <cell r="K1695" t="str">
            <v>hp</v>
          </cell>
          <cell r="L1695" t="str">
            <v>体力タイプ</v>
          </cell>
          <cell r="M1695" t="str">
            <v>dragon</v>
          </cell>
        </row>
        <row r="1696">
          <cell r="A1696">
            <v>10014</v>
          </cell>
          <cell r="B1696" t="str">
            <v>ja</v>
          </cell>
          <cell r="C1696" t="str">
            <v>テストユニット14</v>
          </cell>
          <cell r="H1696" t="str">
            <v>yellow</v>
          </cell>
          <cell r="I1696">
            <v>6</v>
          </cell>
          <cell r="J1696" t="str">
            <v>PremiumSSw</v>
          </cell>
          <cell r="K1696" t="str">
            <v>hp</v>
          </cell>
          <cell r="L1696" t="str">
            <v>体力タイプ</v>
          </cell>
          <cell r="M1696" t="str">
            <v>dragon</v>
          </cell>
        </row>
        <row r="1697">
          <cell r="A1697">
            <v>10015</v>
          </cell>
          <cell r="B1697" t="str">
            <v>ja</v>
          </cell>
          <cell r="C1697" t="str">
            <v>テストユニット15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human</v>
          </cell>
        </row>
        <row r="1698">
          <cell r="A1698">
            <v>10016</v>
          </cell>
          <cell r="B1698" t="str">
            <v>ja</v>
          </cell>
          <cell r="C1698" t="str">
            <v>テストユニット16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heal</v>
          </cell>
          <cell r="L1698" t="str">
            <v>回復タイプ</v>
          </cell>
          <cell r="M1698" t="str">
            <v>human</v>
          </cell>
        </row>
        <row r="1699">
          <cell r="A1699">
            <v>10017</v>
          </cell>
          <cell r="B1699" t="str">
            <v>ja</v>
          </cell>
          <cell r="C1699" t="str">
            <v>テストユニット17</v>
          </cell>
          <cell r="H1699" t="str">
            <v>red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10018</v>
          </cell>
          <cell r="B1700" t="str">
            <v>ja</v>
          </cell>
          <cell r="C1700" t="str">
            <v>テストユニット18</v>
          </cell>
          <cell r="H1700" t="str">
            <v>blue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10019</v>
          </cell>
          <cell r="B1701" t="str">
            <v>ja</v>
          </cell>
          <cell r="C1701" t="str">
            <v>テストユニット19</v>
          </cell>
          <cell r="H1701" t="str">
            <v>green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10020</v>
          </cell>
          <cell r="B1702" t="str">
            <v>ja</v>
          </cell>
          <cell r="C1702" t="str">
            <v>テストユニット20</v>
          </cell>
          <cell r="H1702" t="str">
            <v>yellow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10021</v>
          </cell>
          <cell r="B1703" t="str">
            <v>ja</v>
          </cell>
          <cell r="C1703" t="str">
            <v>テストユニット21</v>
          </cell>
          <cell r="H1703" t="str">
            <v>blue</v>
          </cell>
          <cell r="I1703">
            <v>5</v>
          </cell>
          <cell r="J1703" t="str">
            <v>PremiumSSw</v>
          </cell>
          <cell r="K1703" t="str">
            <v>hp</v>
          </cell>
          <cell r="L1703" t="str">
            <v>体力タイプ</v>
          </cell>
          <cell r="M1703" t="str">
            <v>demon</v>
          </cell>
        </row>
        <row r="1704">
          <cell r="A1704">
            <v>10022</v>
          </cell>
          <cell r="B1704" t="str">
            <v>ja</v>
          </cell>
          <cell r="C1704" t="str">
            <v>テストユニット22</v>
          </cell>
          <cell r="H1704" t="str">
            <v>blue</v>
          </cell>
          <cell r="I1704">
            <v>6</v>
          </cell>
          <cell r="J1704" t="str">
            <v>PremiumSSw</v>
          </cell>
          <cell r="K1704" t="str">
            <v>hp</v>
          </cell>
          <cell r="L1704" t="str">
            <v>体力タイプ</v>
          </cell>
          <cell r="M1704" t="str">
            <v>demon</v>
          </cell>
        </row>
        <row r="1705">
          <cell r="A1705">
            <v>10023</v>
          </cell>
          <cell r="B1705" t="str">
            <v>ja</v>
          </cell>
          <cell r="C1705" t="str">
            <v>テストユニット23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</row>
        <row r="1706">
          <cell r="A1706">
            <v>10024</v>
          </cell>
          <cell r="B1706" t="str">
            <v>ja</v>
          </cell>
          <cell r="C1706" t="str">
            <v>テストユニット24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</row>
        <row r="1707">
          <cell r="A1707">
            <v>10025</v>
          </cell>
          <cell r="B1707" t="str">
            <v>ja</v>
          </cell>
          <cell r="C1707" t="str">
            <v>テストユニット25</v>
          </cell>
          <cell r="H1707" t="str">
            <v>red</v>
          </cell>
          <cell r="I1707">
            <v>5</v>
          </cell>
          <cell r="J1707" t="str">
            <v>PremiumSSw</v>
          </cell>
          <cell r="K1707" t="str">
            <v>hp</v>
          </cell>
          <cell r="L1707" t="str">
            <v>体力タイプ</v>
          </cell>
          <cell r="M1707" t="str">
            <v>dragon</v>
          </cell>
        </row>
        <row r="1708">
          <cell r="A1708">
            <v>10026</v>
          </cell>
          <cell r="B1708" t="str">
            <v>ja</v>
          </cell>
          <cell r="C1708" t="str">
            <v>テストユニット26</v>
          </cell>
          <cell r="H1708" t="str">
            <v>red</v>
          </cell>
          <cell r="I1708">
            <v>6</v>
          </cell>
          <cell r="J1708" t="str">
            <v>PremiumSSw</v>
          </cell>
          <cell r="K1708" t="str">
            <v>hp</v>
          </cell>
          <cell r="L1708" t="str">
            <v>体力タイプ</v>
          </cell>
          <cell r="M1708" t="str">
            <v>dragon</v>
          </cell>
        </row>
        <row r="1709">
          <cell r="A1709">
            <v>10027</v>
          </cell>
          <cell r="B1709" t="str">
            <v>ja</v>
          </cell>
          <cell r="C1709" t="str">
            <v>テストユニット27</v>
          </cell>
          <cell r="H1709" t="str">
            <v>green</v>
          </cell>
          <cell r="I1709">
            <v>6</v>
          </cell>
          <cell r="J1709" t="str">
            <v>PremiumSS</v>
          </cell>
          <cell r="K1709" t="str">
            <v>balance</v>
          </cell>
          <cell r="L1709" t="str">
            <v>バランスタイプ</v>
          </cell>
          <cell r="M1709" t="str">
            <v>unknown</v>
          </cell>
        </row>
        <row r="1710">
          <cell r="A1710">
            <v>10028</v>
          </cell>
          <cell r="B1710" t="str">
            <v>ja</v>
          </cell>
          <cell r="C1710" t="str">
            <v>テストユニット28</v>
          </cell>
          <cell r="H1710" t="str">
            <v>yellow</v>
          </cell>
          <cell r="I1710">
            <v>6</v>
          </cell>
          <cell r="J1710" t="str">
            <v>PremiumSS</v>
          </cell>
          <cell r="K1710" t="str">
            <v>balance</v>
          </cell>
          <cell r="L1710" t="str">
            <v>バランスタイプ</v>
          </cell>
          <cell r="M1710" t="str">
            <v>unknown</v>
          </cell>
        </row>
        <row r="1711">
          <cell r="A1711">
            <v>10029</v>
          </cell>
          <cell r="B1711" t="str">
            <v>ja</v>
          </cell>
          <cell r="C1711" t="str">
            <v>テストユニット29</v>
          </cell>
          <cell r="H1711" t="str">
            <v>red</v>
          </cell>
          <cell r="I1711">
            <v>6</v>
          </cell>
          <cell r="J1711" t="str">
            <v>PremiumSS</v>
          </cell>
          <cell r="K1711" t="str">
            <v>balance</v>
          </cell>
          <cell r="L1711" t="str">
            <v>バランスタイプ</v>
          </cell>
          <cell r="M1711" t="str">
            <v>unknown</v>
          </cell>
        </row>
        <row r="1712">
          <cell r="A1712">
            <v>10030</v>
          </cell>
          <cell r="B1712" t="str">
            <v>ja</v>
          </cell>
          <cell r="C1712" t="str">
            <v>テストユニット30</v>
          </cell>
          <cell r="H1712" t="str">
            <v>blue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10031</v>
          </cell>
          <cell r="B1713" t="str">
            <v>ja</v>
          </cell>
          <cell r="C1713" t="str">
            <v>テストユニット31</v>
          </cell>
          <cell r="H1713" t="str">
            <v>green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10032</v>
          </cell>
          <cell r="B1714" t="str">
            <v>ja</v>
          </cell>
          <cell r="C1714" t="str">
            <v>テストユニット32</v>
          </cell>
          <cell r="H1714" t="str">
            <v>yellow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10033</v>
          </cell>
          <cell r="B1715" t="str">
            <v>ja</v>
          </cell>
          <cell r="C1715" t="str">
            <v>テストユニット33</v>
          </cell>
          <cell r="H1715" t="str">
            <v>red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10034</v>
          </cell>
          <cell r="B1716" t="str">
            <v>ja</v>
          </cell>
          <cell r="C1716" t="str">
            <v>テストユニット34</v>
          </cell>
          <cell r="H1716" t="str">
            <v>blue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10035</v>
          </cell>
          <cell r="B1717" t="str">
            <v>ja</v>
          </cell>
          <cell r="C1717" t="str">
            <v>テストユニット35</v>
          </cell>
          <cell r="H1717" t="str">
            <v>green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10036</v>
          </cell>
          <cell r="B1718" t="str">
            <v>ja</v>
          </cell>
          <cell r="C1718" t="str">
            <v>テストユニット36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10037</v>
          </cell>
          <cell r="B1719" t="str">
            <v>ja</v>
          </cell>
          <cell r="C1719" t="str">
            <v>テストユニット37</v>
          </cell>
          <cell r="H1719" t="str">
            <v>red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10038</v>
          </cell>
          <cell r="B1720" t="str">
            <v>ja</v>
          </cell>
          <cell r="C1720" t="str">
            <v>テストユニット38</v>
          </cell>
          <cell r="H1720" t="str">
            <v>blue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10039</v>
          </cell>
          <cell r="B1721" t="str">
            <v>ja</v>
          </cell>
          <cell r="C1721" t="str">
            <v>テストユニット39</v>
          </cell>
          <cell r="H1721" t="str">
            <v>green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10040</v>
          </cell>
          <cell r="B1722" t="str">
            <v>ja</v>
          </cell>
          <cell r="C1722" t="str">
            <v>テストユニット40</v>
          </cell>
          <cell r="H1722" t="str">
            <v>yellow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10041</v>
          </cell>
          <cell r="B1723" t="str">
            <v>ja</v>
          </cell>
          <cell r="C1723" t="str">
            <v>テストユニット41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10042</v>
          </cell>
          <cell r="B1724" t="str">
            <v>ja</v>
          </cell>
          <cell r="C1724" t="str">
            <v>テストユニット42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unknown</v>
          </cell>
        </row>
        <row r="1725">
          <cell r="A1725">
            <v>10043</v>
          </cell>
          <cell r="B1725" t="str">
            <v>ja</v>
          </cell>
          <cell r="C1725" t="str">
            <v>テストユニット43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unknown</v>
          </cell>
        </row>
        <row r="1726">
          <cell r="A1726">
            <v>10044</v>
          </cell>
          <cell r="B1726" t="str">
            <v>ja</v>
          </cell>
          <cell r="C1726" t="str">
            <v>テストユニット44</v>
          </cell>
          <cell r="H1726" t="str">
            <v>yellow</v>
          </cell>
          <cell r="I1726">
            <v>6</v>
          </cell>
          <cell r="J1726" t="str">
            <v>PremiumSS</v>
          </cell>
          <cell r="K1726" t="str">
            <v>balance</v>
          </cell>
          <cell r="L1726" t="str">
            <v>バランスタイプ</v>
          </cell>
          <cell r="M1726" t="str">
            <v>unknown</v>
          </cell>
        </row>
        <row r="1727">
          <cell r="A1727">
            <v>10045</v>
          </cell>
          <cell r="B1727" t="str">
            <v>ja</v>
          </cell>
          <cell r="C1727" t="str">
            <v>テストユニット45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balance</v>
          </cell>
          <cell r="L1727" t="str">
            <v>バランスタイプ</v>
          </cell>
          <cell r="M1727" t="str">
            <v>unknown</v>
          </cell>
        </row>
        <row r="1728">
          <cell r="A1728">
            <v>10046</v>
          </cell>
          <cell r="B1728" t="str">
            <v>ja</v>
          </cell>
          <cell r="C1728" t="str">
            <v>テストユニット46</v>
          </cell>
          <cell r="H1728" t="str">
            <v>blue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10047</v>
          </cell>
          <cell r="B1729" t="str">
            <v>ja</v>
          </cell>
          <cell r="C1729" t="str">
            <v>テストユニット47</v>
          </cell>
          <cell r="H1729" t="str">
            <v>green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10048</v>
          </cell>
          <cell r="B1730" t="str">
            <v>ja</v>
          </cell>
          <cell r="C1730" t="str">
            <v>テストユニット48</v>
          </cell>
          <cell r="H1730" t="str">
            <v>yellow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10049</v>
          </cell>
          <cell r="B1731" t="str">
            <v>ja</v>
          </cell>
          <cell r="C1731" t="str">
            <v>テストユニット49</v>
          </cell>
          <cell r="H1731" t="str">
            <v>red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10050</v>
          </cell>
          <cell r="B1732" t="str">
            <v>ja</v>
          </cell>
          <cell r="C1732" t="str">
            <v>テストユニット50</v>
          </cell>
          <cell r="H1732" t="str">
            <v>blue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10051</v>
          </cell>
          <cell r="B1733" t="str">
            <v>ja</v>
          </cell>
          <cell r="C1733" t="str">
            <v>テストユニット51</v>
          </cell>
          <cell r="H1733" t="str">
            <v>green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10052</v>
          </cell>
          <cell r="B1734" t="str">
            <v>ja</v>
          </cell>
          <cell r="C1734" t="str">
            <v>テストユニット52</v>
          </cell>
          <cell r="H1734" t="str">
            <v>yellow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10053</v>
          </cell>
          <cell r="B1735" t="str">
            <v>ja</v>
          </cell>
          <cell r="C1735" t="str">
            <v>テストユニット53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10054</v>
          </cell>
          <cell r="B1736" t="str">
            <v>ja</v>
          </cell>
          <cell r="C1736" t="str">
            <v>テストユニット54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10055</v>
          </cell>
          <cell r="B1737" t="str">
            <v>ja</v>
          </cell>
          <cell r="C1737" t="str">
            <v>テストユニット55</v>
          </cell>
          <cell r="H1737" t="str">
            <v>green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10056</v>
          </cell>
          <cell r="B1738" t="str">
            <v>ja</v>
          </cell>
          <cell r="C1738" t="str">
            <v>テストユニット56</v>
          </cell>
          <cell r="H1738" t="str">
            <v>yellow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10057</v>
          </cell>
          <cell r="B1739" t="str">
            <v>ja</v>
          </cell>
          <cell r="C1739" t="str">
            <v>テストユニット57</v>
          </cell>
          <cell r="H1739" t="str">
            <v>red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10058</v>
          </cell>
          <cell r="B1740" t="str">
            <v>ja</v>
          </cell>
          <cell r="C1740" t="str">
            <v>テストユニット58</v>
          </cell>
          <cell r="H1740" t="str">
            <v>blue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10059</v>
          </cell>
          <cell r="B1741" t="str">
            <v>ja</v>
          </cell>
          <cell r="C1741" t="str">
            <v>テストユニット59</v>
          </cell>
          <cell r="H1741" t="str">
            <v>green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10060</v>
          </cell>
          <cell r="B1742" t="str">
            <v>ja</v>
          </cell>
          <cell r="C1742" t="str">
            <v>テストユニット60</v>
          </cell>
          <cell r="H1742" t="str">
            <v>yellow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10061</v>
          </cell>
          <cell r="B1743" t="str">
            <v>ja</v>
          </cell>
          <cell r="C1743" t="str">
            <v>テストユニット61</v>
          </cell>
          <cell r="H1743" t="str">
            <v>red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10062</v>
          </cell>
          <cell r="B1744" t="str">
            <v>ja</v>
          </cell>
          <cell r="C1744" t="str">
            <v>テストユニット62</v>
          </cell>
          <cell r="H1744" t="str">
            <v>blue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10063</v>
          </cell>
          <cell r="B1745" t="str">
            <v>ja</v>
          </cell>
          <cell r="C1745" t="str">
            <v>テストユニット63</v>
          </cell>
          <cell r="H1745" t="str">
            <v>green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10064</v>
          </cell>
          <cell r="B1746" t="str">
            <v>ja</v>
          </cell>
          <cell r="C1746" t="str">
            <v>テストユニット64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10065</v>
          </cell>
          <cell r="B1747" t="str">
            <v>ja</v>
          </cell>
          <cell r="C1747" t="str">
            <v>テストユニット65</v>
          </cell>
          <cell r="H1747" t="str">
            <v>red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10066</v>
          </cell>
          <cell r="B1748" t="str">
            <v>ja</v>
          </cell>
          <cell r="C1748" t="str">
            <v>テストユニット66</v>
          </cell>
          <cell r="H1748" t="str">
            <v>blue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10067</v>
          </cell>
          <cell r="B1749" t="str">
            <v>ja</v>
          </cell>
          <cell r="C1749" t="str">
            <v>テストユニット67</v>
          </cell>
          <cell r="H1749" t="str">
            <v>green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10068</v>
          </cell>
          <cell r="B1750" t="str">
            <v>ja</v>
          </cell>
          <cell r="C1750" t="str">
            <v>テストユニット68</v>
          </cell>
          <cell r="H1750" t="str">
            <v>yellow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10069</v>
          </cell>
          <cell r="B1751" t="str">
            <v>ja</v>
          </cell>
          <cell r="C1751" t="str">
            <v>テストユニット69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10070</v>
          </cell>
          <cell r="B1752" t="str">
            <v>ja</v>
          </cell>
          <cell r="C1752" t="str">
            <v>テストユニット70</v>
          </cell>
          <cell r="H1752" t="str">
            <v>red</v>
          </cell>
          <cell r="I1752">
            <v>6</v>
          </cell>
          <cell r="J1752" t="str">
            <v>PremiumSSS</v>
          </cell>
          <cell r="K1752" t="str">
            <v>balance</v>
          </cell>
          <cell r="L1752" t="str">
            <v>バランスタイプ</v>
          </cell>
          <cell r="M1752" t="str">
            <v>dragon</v>
          </cell>
        </row>
        <row r="1753">
          <cell r="A1753">
            <v>10071</v>
          </cell>
          <cell r="B1753" t="str">
            <v>ja</v>
          </cell>
          <cell r="C1753" t="str">
            <v>テストユニット71</v>
          </cell>
          <cell r="H1753" t="str">
            <v>red</v>
          </cell>
          <cell r="I1753">
            <v>6</v>
          </cell>
          <cell r="J1753" t="str">
            <v>PremiumSSS</v>
          </cell>
          <cell r="K1753" t="str">
            <v>hp</v>
          </cell>
          <cell r="L1753" t="str">
            <v>体力タイプ</v>
          </cell>
          <cell r="M1753" t="str">
            <v>demon</v>
          </cell>
        </row>
        <row r="1754">
          <cell r="A1754">
            <v>10072</v>
          </cell>
          <cell r="B1754" t="str">
            <v>ja</v>
          </cell>
          <cell r="C1754" t="str">
            <v>テストユニット72</v>
          </cell>
          <cell r="H1754" t="str">
            <v>green</v>
          </cell>
          <cell r="I1754">
            <v>6</v>
          </cell>
          <cell r="J1754" t="str">
            <v>PremiumSSS</v>
          </cell>
          <cell r="K1754" t="str">
            <v>heal</v>
          </cell>
          <cell r="L1754" t="str">
            <v>回復タイプ</v>
          </cell>
          <cell r="M1754" t="str">
            <v>unknown</v>
          </cell>
        </row>
        <row r="1755">
          <cell r="A1755">
            <v>10073</v>
          </cell>
          <cell r="B1755" t="str">
            <v>ja</v>
          </cell>
          <cell r="C1755" t="str">
            <v>テストユニット73</v>
          </cell>
          <cell r="H1755" t="str">
            <v>green</v>
          </cell>
          <cell r="I1755">
            <v>6</v>
          </cell>
          <cell r="J1755" t="str">
            <v>PremiumSSS</v>
          </cell>
          <cell r="K1755" t="str">
            <v>attack</v>
          </cell>
          <cell r="L1755" t="str">
            <v>攻撃タイプ</v>
          </cell>
          <cell r="M1755" t="str">
            <v>samurai</v>
          </cell>
        </row>
        <row r="1756">
          <cell r="A1756">
            <v>10074</v>
          </cell>
          <cell r="B1756" t="str">
            <v>ja</v>
          </cell>
          <cell r="C1756" t="str">
            <v>テストユニット74</v>
          </cell>
          <cell r="H1756" t="str">
            <v>blue</v>
          </cell>
          <cell r="I1756">
            <v>6</v>
          </cell>
          <cell r="J1756" t="str">
            <v>PremiumSSS</v>
          </cell>
          <cell r="K1756" t="str">
            <v>balance</v>
          </cell>
          <cell r="L1756" t="str">
            <v>バランスタイプ</v>
          </cell>
          <cell r="M1756" t="str">
            <v>fantasy</v>
          </cell>
        </row>
        <row r="1757">
          <cell r="A1757">
            <v>10075</v>
          </cell>
          <cell r="B1757" t="str">
            <v>ja</v>
          </cell>
          <cell r="C1757" t="str">
            <v>テストユニット75</v>
          </cell>
          <cell r="H1757" t="str">
            <v>blue</v>
          </cell>
          <cell r="I1757">
            <v>6</v>
          </cell>
          <cell r="J1757" t="str">
            <v>PremiumSSS</v>
          </cell>
          <cell r="K1757" t="str">
            <v>balance</v>
          </cell>
          <cell r="L1757" t="str">
            <v>バランスタイプ</v>
          </cell>
          <cell r="M1757" t="str">
            <v>human</v>
          </cell>
        </row>
        <row r="1758">
          <cell r="A1758">
            <v>10076</v>
          </cell>
          <cell r="B1758" t="str">
            <v>ja</v>
          </cell>
          <cell r="C1758" t="str">
            <v>テストユニット76</v>
          </cell>
          <cell r="H1758" t="str">
            <v>blue</v>
          </cell>
          <cell r="I1758">
            <v>6</v>
          </cell>
          <cell r="J1758" t="str">
            <v>PremiumSSS</v>
          </cell>
          <cell r="K1758" t="str">
            <v>hp</v>
          </cell>
          <cell r="L1758" t="str">
            <v>体力タイプ</v>
          </cell>
          <cell r="M1758" t="str">
            <v>weapon</v>
          </cell>
        </row>
        <row r="1759">
          <cell r="A1759">
            <v>10077</v>
          </cell>
          <cell r="B1759" t="str">
            <v>ja</v>
          </cell>
          <cell r="C1759" t="str">
            <v>テストユニット77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heal</v>
          </cell>
          <cell r="L1759" t="str">
            <v>回復タイプ</v>
          </cell>
          <cell r="M1759" t="str">
            <v>queen</v>
          </cell>
        </row>
        <row r="1760">
          <cell r="A1760">
            <v>10078</v>
          </cell>
          <cell r="B1760" t="str">
            <v>ja</v>
          </cell>
          <cell r="C1760" t="str">
            <v>テストユニット78</v>
          </cell>
          <cell r="H1760" t="str">
            <v>yellow</v>
          </cell>
          <cell r="I1760">
            <v>6</v>
          </cell>
          <cell r="J1760" t="str">
            <v>PremiumSSS</v>
          </cell>
          <cell r="K1760" t="str">
            <v>attack</v>
          </cell>
          <cell r="L1760" t="str">
            <v>攻撃タイプ</v>
          </cell>
          <cell r="M1760" t="str">
            <v>academia</v>
          </cell>
        </row>
        <row r="1761">
          <cell r="A1761">
            <v>10079</v>
          </cell>
          <cell r="B1761" t="str">
            <v>ja</v>
          </cell>
          <cell r="C1761" t="str">
            <v>テストユニット79</v>
          </cell>
          <cell r="H1761" t="str">
            <v>yellow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animal</v>
          </cell>
        </row>
        <row r="1762">
          <cell r="A1762">
            <v>10080</v>
          </cell>
          <cell r="B1762" t="str">
            <v>ja</v>
          </cell>
          <cell r="C1762" t="str">
            <v>テストユニット80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10081</v>
          </cell>
          <cell r="B1763" t="str">
            <v>ja</v>
          </cell>
          <cell r="C1763" t="str">
            <v>テストユニット81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10082</v>
          </cell>
          <cell r="B1764" t="str">
            <v>ja</v>
          </cell>
          <cell r="C1764" t="str">
            <v>テストユニット82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10083</v>
          </cell>
          <cell r="B1765" t="str">
            <v>ja</v>
          </cell>
          <cell r="C1765" t="str">
            <v>テストユニット83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10084</v>
          </cell>
          <cell r="B1766" t="str">
            <v>ja</v>
          </cell>
          <cell r="C1766" t="str">
            <v>テストユニット84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10085</v>
          </cell>
          <cell r="B1767" t="str">
            <v>ja</v>
          </cell>
          <cell r="C1767" t="str">
            <v>テストユニット85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10086</v>
          </cell>
          <cell r="B1768" t="str">
            <v>ja</v>
          </cell>
          <cell r="C1768" t="str">
            <v>テストユニット86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10087</v>
          </cell>
          <cell r="B1769" t="str">
            <v>ja</v>
          </cell>
          <cell r="C1769" t="str">
            <v>テストユニット87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10088</v>
          </cell>
          <cell r="B1770" t="str">
            <v>ja</v>
          </cell>
          <cell r="C1770" t="str">
            <v>テストユニット88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10089</v>
          </cell>
          <cell r="B1771" t="str">
            <v>ja</v>
          </cell>
          <cell r="C1771" t="str">
            <v>テストユニット89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10090</v>
          </cell>
          <cell r="B1772" t="str">
            <v>ja</v>
          </cell>
          <cell r="C1772" t="str">
            <v>テストユニット90</v>
          </cell>
          <cell r="H1772" t="str">
            <v>blue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10101</v>
          </cell>
          <cell r="B1773" t="str">
            <v>ja</v>
          </cell>
          <cell r="C1773" t="str">
            <v>Usagi-kun</v>
          </cell>
          <cell r="H1773" t="str">
            <v>blue</v>
          </cell>
          <cell r="I1773">
            <v>6</v>
          </cell>
          <cell r="J1773" t="str">
            <v>DropWizS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10102</v>
          </cell>
          <cell r="B1774" t="str">
            <v>ja</v>
          </cell>
          <cell r="C1774" t="str">
            <v>ローズ</v>
          </cell>
          <cell r="D1774" t="str">
            <v>未定</v>
          </cell>
          <cell r="E1774" t="str">
            <v>執行者</v>
          </cell>
          <cell r="F1774" t="str">
            <v>格好いい</v>
          </cell>
          <cell r="G1774" t="str">
            <v>不明</v>
          </cell>
          <cell r="H1774" t="str">
            <v>red</v>
          </cell>
          <cell r="I1774">
            <v>3</v>
          </cell>
          <cell r="J1774" t="str">
            <v>DropWizSSS</v>
          </cell>
          <cell r="K1774" t="str">
            <v>attack</v>
          </cell>
          <cell r="L1774" t="str">
            <v>攻撃タイプ</v>
          </cell>
          <cell r="M1774" t="str">
            <v>queen</v>
          </cell>
        </row>
        <row r="1775">
          <cell r="A1775">
            <v>10103</v>
          </cell>
          <cell r="B1775" t="str">
            <v>ja</v>
          </cell>
          <cell r="C1775" t="str">
            <v>ローズ</v>
          </cell>
          <cell r="D1775" t="str">
            <v>未定</v>
          </cell>
          <cell r="E1775" t="str">
            <v>執行者</v>
          </cell>
          <cell r="F1775" t="str">
            <v>格好いい</v>
          </cell>
          <cell r="G1775" t="str">
            <v>不明</v>
          </cell>
          <cell r="H1775" t="str">
            <v>red</v>
          </cell>
          <cell r="I1775">
            <v>4</v>
          </cell>
          <cell r="J1775" t="str">
            <v>DropWizSSS</v>
          </cell>
          <cell r="K1775" t="str">
            <v>attack</v>
          </cell>
          <cell r="L1775" t="str">
            <v>攻撃タイプ</v>
          </cell>
          <cell r="M17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96</v>
      </c>
      <c r="B1" s="59" t="s">
        <v>97</v>
      </c>
    </row>
    <row r="2" spans="1:13" x14ac:dyDescent="0.15">
      <c r="A2" s="59" t="s">
        <v>98</v>
      </c>
      <c r="B2" s="59" t="s">
        <v>99</v>
      </c>
      <c r="C2" s="59" t="s">
        <v>100</v>
      </c>
      <c r="D2" s="59" t="s">
        <v>101</v>
      </c>
      <c r="E2" s="59" t="s">
        <v>102</v>
      </c>
      <c r="F2" s="59" t="s">
        <v>103</v>
      </c>
      <c r="G2" s="59" t="s">
        <v>104</v>
      </c>
      <c r="H2" s="59" t="s">
        <v>105</v>
      </c>
    </row>
    <row r="3" spans="1:13" x14ac:dyDescent="0.15">
      <c r="A3" s="59">
        <v>3</v>
      </c>
      <c r="B3" s="60" t="s">
        <v>106</v>
      </c>
      <c r="C3" s="60" t="s">
        <v>107</v>
      </c>
      <c r="D3" s="59">
        <v>0</v>
      </c>
      <c r="E3" s="60" t="s">
        <v>108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109</v>
      </c>
      <c r="C4" s="60" t="s">
        <v>110</v>
      </c>
      <c r="D4" s="60" t="s">
        <v>111</v>
      </c>
      <c r="E4" s="60" t="s">
        <v>112</v>
      </c>
      <c r="F4" s="60" t="s">
        <v>113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114</v>
      </c>
      <c r="D5" s="60" t="s">
        <v>115</v>
      </c>
      <c r="E5" s="60" t="s">
        <v>116</v>
      </c>
      <c r="F5" s="60" t="s">
        <v>117</v>
      </c>
      <c r="G5" s="60" t="s">
        <v>118</v>
      </c>
      <c r="H5" s="61">
        <v>0.05</v>
      </c>
    </row>
    <row r="6" spans="1:13" x14ac:dyDescent="0.15">
      <c r="B6" s="61" t="s">
        <v>119</v>
      </c>
      <c r="C6" s="61" t="s">
        <v>119</v>
      </c>
      <c r="D6" s="61" t="s">
        <v>120</v>
      </c>
      <c r="E6" s="61" t="s">
        <v>119</v>
      </c>
      <c r="F6" s="61" t="s">
        <v>119</v>
      </c>
      <c r="G6" s="63" t="s">
        <v>121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122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123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124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125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118</v>
      </c>
      <c r="B12" s="61" t="s">
        <v>126</v>
      </c>
      <c r="C12" s="61" t="s">
        <v>127</v>
      </c>
      <c r="D12" s="61"/>
      <c r="E12" s="61"/>
      <c r="F12" s="61"/>
      <c r="G12" s="63"/>
      <c r="H12" s="61"/>
    </row>
    <row r="13" spans="1:13" x14ac:dyDescent="0.15">
      <c r="A13" s="59" t="s">
        <v>128</v>
      </c>
      <c r="B13" s="59" t="s">
        <v>129</v>
      </c>
      <c r="C13" s="59" t="s">
        <v>130</v>
      </c>
    </row>
    <row r="14" spans="1:13" x14ac:dyDescent="0.15">
      <c r="A14" s="59" t="s">
        <v>131</v>
      </c>
      <c r="B14" s="59" t="s">
        <v>126</v>
      </c>
      <c r="C14" s="62" t="s">
        <v>132</v>
      </c>
      <c r="E14" s="62"/>
      <c r="F14" s="62"/>
      <c r="M14" s="61"/>
    </row>
    <row r="15" spans="1:13" x14ac:dyDescent="0.15">
      <c r="A15" s="59" t="s">
        <v>108</v>
      </c>
      <c r="B15" s="61" t="s">
        <v>126</v>
      </c>
      <c r="C15" s="61" t="s">
        <v>133</v>
      </c>
      <c r="H15" s="64"/>
      <c r="M15" s="61"/>
    </row>
    <row r="16" spans="1:13" x14ac:dyDescent="0.15">
      <c r="A16" s="59" t="s">
        <v>112</v>
      </c>
      <c r="B16" s="61" t="s">
        <v>126</v>
      </c>
      <c r="C16" s="61" t="s">
        <v>134</v>
      </c>
      <c r="M16" s="61"/>
    </row>
    <row r="17" spans="1:13" x14ac:dyDescent="0.15">
      <c r="A17" s="59" t="s">
        <v>135</v>
      </c>
      <c r="B17" s="61" t="s">
        <v>126</v>
      </c>
      <c r="C17" s="61" t="s">
        <v>136</v>
      </c>
      <c r="M17" s="61"/>
    </row>
    <row r="18" spans="1:13" x14ac:dyDescent="0.15">
      <c r="B18" s="61"/>
      <c r="C18" s="61"/>
    </row>
    <row r="19" spans="1:13" x14ac:dyDescent="0.15">
      <c r="A19" s="59" t="s">
        <v>137</v>
      </c>
    </row>
    <row r="20" spans="1:13" x14ac:dyDescent="0.15">
      <c r="A20" s="59" t="s">
        <v>138</v>
      </c>
      <c r="B20" s="61"/>
      <c r="C20" s="61"/>
    </row>
    <row r="21" spans="1:13" x14ac:dyDescent="0.15">
      <c r="A21" s="59" t="s">
        <v>139</v>
      </c>
      <c r="B21" s="61" t="s">
        <v>140</v>
      </c>
      <c r="C21" s="61" t="s">
        <v>141</v>
      </c>
      <c r="D21" s="59" t="s">
        <v>142</v>
      </c>
    </row>
    <row r="22" spans="1:13" x14ac:dyDescent="0.15">
      <c r="A22" s="59" t="s">
        <v>143</v>
      </c>
      <c r="B22" s="61" t="s">
        <v>126</v>
      </c>
      <c r="C22" s="61" t="s">
        <v>144</v>
      </c>
      <c r="D22" s="59" t="s">
        <v>145</v>
      </c>
    </row>
    <row r="23" spans="1:13" x14ac:dyDescent="0.15">
      <c r="A23" s="59" t="s">
        <v>146</v>
      </c>
      <c r="B23" s="61" t="s">
        <v>126</v>
      </c>
      <c r="C23" s="59" t="s">
        <v>147</v>
      </c>
      <c r="D23" s="59" t="s">
        <v>148</v>
      </c>
    </row>
    <row r="24" spans="1:13" x14ac:dyDescent="0.15">
      <c r="A24" s="59" t="s">
        <v>149</v>
      </c>
      <c r="B24" s="61" t="s">
        <v>126</v>
      </c>
      <c r="C24" s="61" t="s">
        <v>150</v>
      </c>
      <c r="D24" s="59" t="s">
        <v>151</v>
      </c>
    </row>
    <row r="25" spans="1:13" x14ac:dyDescent="0.15">
      <c r="A25" s="59" t="s">
        <v>152</v>
      </c>
      <c r="B25" s="61" t="s">
        <v>126</v>
      </c>
      <c r="C25" s="61" t="s">
        <v>153</v>
      </c>
      <c r="D25" s="59" t="s">
        <v>154</v>
      </c>
    </row>
    <row r="26" spans="1:13" x14ac:dyDescent="0.15">
      <c r="A26" s="59" t="s">
        <v>155</v>
      </c>
      <c r="B26" s="61" t="s">
        <v>126</v>
      </c>
      <c r="C26" s="61" t="s">
        <v>156</v>
      </c>
      <c r="D26" s="59" t="s">
        <v>157</v>
      </c>
    </row>
    <row r="27" spans="1:13" x14ac:dyDescent="0.15">
      <c r="A27" s="59" t="s">
        <v>158</v>
      </c>
      <c r="B27" s="61" t="s">
        <v>126</v>
      </c>
      <c r="C27" s="61" t="s">
        <v>120</v>
      </c>
      <c r="D27" s="59" t="s">
        <v>159</v>
      </c>
      <c r="E27" s="59" t="s">
        <v>160</v>
      </c>
    </row>
    <row r="28" spans="1:13" x14ac:dyDescent="0.15">
      <c r="A28" s="59" t="s">
        <v>107</v>
      </c>
      <c r="B28" s="61" t="s">
        <v>126</v>
      </c>
      <c r="C28" s="61" t="s">
        <v>161</v>
      </c>
      <c r="E28" s="59" t="s">
        <v>162</v>
      </c>
    </row>
    <row r="29" spans="1:13" x14ac:dyDescent="0.15">
      <c r="A29" s="59" t="s">
        <v>110</v>
      </c>
      <c r="B29" s="61" t="s">
        <v>126</v>
      </c>
      <c r="C29" s="61" t="s">
        <v>163</v>
      </c>
    </row>
    <row r="30" spans="1:13" x14ac:dyDescent="0.15">
      <c r="B30" s="61"/>
    </row>
    <row r="31" spans="1:13" x14ac:dyDescent="0.15">
      <c r="A31" s="59" t="s">
        <v>164</v>
      </c>
    </row>
    <row r="32" spans="1:13" x14ac:dyDescent="0.15">
      <c r="A32" s="59" t="s">
        <v>165</v>
      </c>
      <c r="B32" s="61" t="s">
        <v>126</v>
      </c>
      <c r="C32" s="61" t="s">
        <v>166</v>
      </c>
    </row>
    <row r="33" spans="1:13" x14ac:dyDescent="0.15">
      <c r="A33" s="59" t="s">
        <v>110</v>
      </c>
      <c r="B33" s="61" t="s">
        <v>126</v>
      </c>
      <c r="C33" s="61" t="s">
        <v>167</v>
      </c>
    </row>
    <row r="34" spans="1:13" x14ac:dyDescent="0.15">
      <c r="A34" s="59" t="s">
        <v>107</v>
      </c>
      <c r="B34" s="61" t="s">
        <v>126</v>
      </c>
      <c r="C34" s="61" t="s">
        <v>168</v>
      </c>
    </row>
    <row r="35" spans="1:13" x14ac:dyDescent="0.15">
      <c r="A35" s="59" t="s">
        <v>106</v>
      </c>
      <c r="B35" s="61" t="s">
        <v>126</v>
      </c>
      <c r="C35" s="61" t="s">
        <v>169</v>
      </c>
    </row>
    <row r="36" spans="1:13" x14ac:dyDescent="0.15">
      <c r="A36" s="59" t="s">
        <v>109</v>
      </c>
      <c r="B36" s="61" t="s">
        <v>126</v>
      </c>
      <c r="C36" s="61" t="s">
        <v>170</v>
      </c>
    </row>
    <row r="37" spans="1:13" x14ac:dyDescent="0.15">
      <c r="A37" s="59" t="s">
        <v>115</v>
      </c>
      <c r="B37" s="61" t="s">
        <v>126</v>
      </c>
      <c r="C37" s="61" t="s">
        <v>171</v>
      </c>
    </row>
    <row r="38" spans="1:13" x14ac:dyDescent="0.15">
      <c r="A38" s="59" t="s">
        <v>111</v>
      </c>
      <c r="B38" s="61" t="s">
        <v>126</v>
      </c>
      <c r="C38" s="61" t="s">
        <v>172</v>
      </c>
    </row>
    <row r="40" spans="1:13" x14ac:dyDescent="0.15">
      <c r="J40" s="75" t="s">
        <v>198</v>
      </c>
      <c r="K40" s="75" t="s">
        <v>175</v>
      </c>
      <c r="M40" s="75" t="s">
        <v>223</v>
      </c>
    </row>
    <row r="41" spans="1:13" x14ac:dyDescent="0.15">
      <c r="J41" s="75" t="s">
        <v>199</v>
      </c>
      <c r="K41" s="75" t="s">
        <v>200</v>
      </c>
      <c r="M41" s="61" t="s">
        <v>170</v>
      </c>
    </row>
    <row r="42" spans="1:13" x14ac:dyDescent="0.15">
      <c r="J42" s="75" t="s">
        <v>201</v>
      </c>
      <c r="K42" s="75" t="s">
        <v>202</v>
      </c>
    </row>
    <row r="43" spans="1:13" x14ac:dyDescent="0.15">
      <c r="J43" s="75" t="s">
        <v>203</v>
      </c>
      <c r="K43" s="75" t="s">
        <v>204</v>
      </c>
    </row>
    <row r="44" spans="1:13" x14ac:dyDescent="0.15">
      <c r="J44" s="75" t="s">
        <v>205</v>
      </c>
      <c r="K44" s="75" t="s">
        <v>206</v>
      </c>
    </row>
    <row r="45" spans="1:13" x14ac:dyDescent="0.15">
      <c r="J45" s="75" t="s">
        <v>207</v>
      </c>
      <c r="K45" s="75" t="s">
        <v>208</v>
      </c>
    </row>
    <row r="46" spans="1:13" x14ac:dyDescent="0.15">
      <c r="J46" s="75" t="s">
        <v>209</v>
      </c>
      <c r="K46" s="75" t="s">
        <v>210</v>
      </c>
    </row>
    <row r="47" spans="1:13" x14ac:dyDescent="0.15">
      <c r="J47" s="75" t="s">
        <v>211</v>
      </c>
      <c r="K47" s="75" t="s">
        <v>215</v>
      </c>
    </row>
    <row r="48" spans="1:13" x14ac:dyDescent="0.15">
      <c r="J48" s="75" t="s">
        <v>212</v>
      </c>
      <c r="K48" s="75" t="s">
        <v>216</v>
      </c>
    </row>
    <row r="49" spans="10:11" x14ac:dyDescent="0.15">
      <c r="J49" s="75" t="s">
        <v>213</v>
      </c>
      <c r="K49" s="75" t="s">
        <v>217</v>
      </c>
    </row>
    <row r="50" spans="10:11" x14ac:dyDescent="0.15">
      <c r="J50" s="75" t="s">
        <v>214</v>
      </c>
      <c r="K50" s="75" t="s">
        <v>218</v>
      </c>
    </row>
    <row r="51" spans="10:11" x14ac:dyDescent="0.15">
      <c r="J51" s="75" t="s">
        <v>220</v>
      </c>
      <c r="K51" s="75" t="s">
        <v>219</v>
      </c>
    </row>
    <row r="52" spans="10:11" x14ac:dyDescent="0.15">
      <c r="J52" s="75" t="s">
        <v>221</v>
      </c>
      <c r="K52" s="75" t="s">
        <v>222</v>
      </c>
    </row>
    <row r="53" spans="10:11" x14ac:dyDescent="0.15">
      <c r="J53" s="75"/>
    </row>
  </sheetData>
  <phoneticPr fontId="23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70</v>
      </c>
    </row>
    <row r="2" spans="1:1" x14ac:dyDescent="0.15">
      <c r="A2" t="s">
        <v>71</v>
      </c>
    </row>
    <row r="3" spans="1:1" x14ac:dyDescent="0.15">
      <c r="A3" t="s">
        <v>72</v>
      </c>
    </row>
    <row r="4" spans="1:1" x14ac:dyDescent="0.15">
      <c r="A4" t="s">
        <v>73</v>
      </c>
    </row>
  </sheetData>
  <phoneticPr fontId="2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>
      <selection activeCell="D15" sqref="D15"/>
    </sheetView>
  </sheetViews>
  <sheetFormatPr baseColWidth="12" defaultRowHeight="15" x14ac:dyDescent="0.15"/>
  <cols>
    <col min="1" max="1" width="13" style="17"/>
    <col min="2" max="2" width="26.59765625" style="17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43</v>
      </c>
      <c r="B1" s="15" t="s">
        <v>31</v>
      </c>
      <c r="C1" s="15" t="s">
        <v>32</v>
      </c>
      <c r="D1" s="15" t="s">
        <v>33</v>
      </c>
      <c r="E1" s="15" t="s">
        <v>34</v>
      </c>
      <c r="F1" s="15" t="s">
        <v>35</v>
      </c>
      <c r="G1" s="15" t="s">
        <v>36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82" t="s">
        <v>230</v>
      </c>
      <c r="B2" s="56" t="s">
        <v>95</v>
      </c>
      <c r="C2" s="47" t="str">
        <f>RIGHT(F2,6)</f>
        <v>564100</v>
      </c>
      <c r="D2" s="18" t="s">
        <v>37</v>
      </c>
      <c r="E2" s="16" t="str">
        <f t="shared" ref="E2" si="0">B2&amp;C2&amp;D2</f>
        <v>gacha_select_tables_564100.tmp</v>
      </c>
      <c r="F2" s="107" t="s">
        <v>250</v>
      </c>
      <c r="G2" s="46" t="s">
        <v>77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82" t="s">
        <v>230</v>
      </c>
      <c r="B3" s="85" t="s">
        <v>231</v>
      </c>
      <c r="C3" s="47" t="str">
        <f t="shared" ref="C3:C8" si="1">RIGHT(F3,6)</f>
        <v>564100</v>
      </c>
      <c r="D3" s="18" t="s">
        <v>37</v>
      </c>
      <c r="E3" s="16" t="str">
        <f t="shared" ref="E3:E11" si="2">B3&amp;C3&amp;D3</f>
        <v>gacha_settle_tables_564100.tmp</v>
      </c>
      <c r="F3" s="107" t="s">
        <v>251</v>
      </c>
      <c r="G3" s="46" t="s">
        <v>77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108" t="s">
        <v>256</v>
      </c>
      <c r="B4" s="85" t="s">
        <v>231</v>
      </c>
      <c r="C4" s="86" t="str">
        <f t="shared" si="1"/>
        <v>547100</v>
      </c>
      <c r="D4" s="18" t="s">
        <v>232</v>
      </c>
      <c r="E4" s="16" t="str">
        <f t="shared" si="2"/>
        <v>gacha_settle_tables_547100.tmp</v>
      </c>
      <c r="F4" s="95" t="s">
        <v>239</v>
      </c>
      <c r="G4" s="46" t="s">
        <v>77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78" t="s">
        <v>226</v>
      </c>
      <c r="B5" s="85" t="s">
        <v>231</v>
      </c>
      <c r="C5" s="86" t="str">
        <f t="shared" ref="C5" si="3">RIGHT(F5,6)</f>
        <v>544105</v>
      </c>
      <c r="D5" s="18" t="s">
        <v>38</v>
      </c>
      <c r="E5" s="16" t="str">
        <f t="shared" ref="E5" si="4">B5&amp;C5&amp;D5</f>
        <v>gacha_settle_tables_544105.tmp</v>
      </c>
      <c r="F5" s="89" t="s">
        <v>237</v>
      </c>
      <c r="G5" s="46" t="s">
        <v>76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78" t="s">
        <v>226</v>
      </c>
      <c r="B6" s="56" t="s">
        <v>95</v>
      </c>
      <c r="C6" s="47" t="str">
        <f t="shared" si="1"/>
        <v>363104</v>
      </c>
      <c r="D6" s="18" t="s">
        <v>37</v>
      </c>
      <c r="E6" s="16" t="str">
        <f t="shared" ref="E6:E8" si="5">B6&amp;C6&amp;D6</f>
        <v>gacha_select_tables_363104.tmp</v>
      </c>
      <c r="F6" s="81" t="s">
        <v>227</v>
      </c>
      <c r="G6" s="46" t="s">
        <v>76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78" t="s">
        <v>226</v>
      </c>
      <c r="B7" s="56" t="s">
        <v>95</v>
      </c>
      <c r="C7" s="47" t="str">
        <f t="shared" ref="C7" si="6">RIGHT(F7,6)</f>
        <v>363105</v>
      </c>
      <c r="D7" s="18" t="s">
        <v>37</v>
      </c>
      <c r="E7" s="16" t="str">
        <f t="shared" ref="E7" si="7">B7&amp;C7&amp;D7</f>
        <v>gacha_select_tables_363105.tmp</v>
      </c>
      <c r="F7" s="81" t="s">
        <v>228</v>
      </c>
      <c r="G7" s="46" t="s">
        <v>76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78" t="s">
        <v>226</v>
      </c>
      <c r="B8" s="56" t="s">
        <v>95</v>
      </c>
      <c r="C8" s="47" t="str">
        <f t="shared" si="1"/>
        <v>363100</v>
      </c>
      <c r="D8" s="18" t="s">
        <v>37</v>
      </c>
      <c r="E8" s="16" t="str">
        <f t="shared" si="5"/>
        <v>gacha_select_tables_363100.tmp</v>
      </c>
      <c r="F8" s="81" t="s">
        <v>229</v>
      </c>
      <c r="G8" s="46" t="s">
        <v>76</v>
      </c>
      <c r="H8" s="21" t="s">
        <v>0</v>
      </c>
      <c r="I8" s="21" t="s">
        <v>3</v>
      </c>
      <c r="J8" s="21" t="s">
        <v>4</v>
      </c>
      <c r="K8" s="21" t="s">
        <v>5</v>
      </c>
      <c r="L8" s="21" t="s">
        <v>6</v>
      </c>
      <c r="M8" s="21" t="s">
        <v>7</v>
      </c>
      <c r="N8" s="21" t="s">
        <v>8</v>
      </c>
      <c r="O8" s="21" t="s">
        <v>9</v>
      </c>
    </row>
    <row r="9" spans="1:21" x14ac:dyDescent="0.15">
      <c r="A9" s="108" t="s">
        <v>255</v>
      </c>
      <c r="B9" s="26" t="s">
        <v>42</v>
      </c>
      <c r="C9" s="31">
        <v>564</v>
      </c>
      <c r="D9" s="18" t="s">
        <v>38</v>
      </c>
      <c r="E9" s="16" t="str">
        <f t="shared" si="2"/>
        <v>gacha_bonus_tables_564.tmp</v>
      </c>
      <c r="F9" s="18" t="s">
        <v>39</v>
      </c>
      <c r="G9" s="20" t="s">
        <v>10</v>
      </c>
      <c r="H9" s="22" t="s">
        <v>13</v>
      </c>
      <c r="I9" s="20" t="s">
        <v>11</v>
      </c>
      <c r="J9" s="19"/>
      <c r="K9" s="19"/>
      <c r="L9" s="19"/>
      <c r="M9" s="19"/>
      <c r="N9" s="19"/>
      <c r="O9" s="19"/>
    </row>
    <row r="10" spans="1:21" x14ac:dyDescent="0.15">
      <c r="A10" s="109" t="s">
        <v>255</v>
      </c>
      <c r="B10" s="18" t="s">
        <v>40</v>
      </c>
      <c r="C10" s="31">
        <v>564</v>
      </c>
      <c r="D10" s="18" t="s">
        <v>38</v>
      </c>
      <c r="E10" s="16" t="str">
        <f t="shared" si="2"/>
        <v>gifts_tmp_564.tmp</v>
      </c>
      <c r="F10" s="18" t="s">
        <v>39</v>
      </c>
      <c r="G10" s="22" t="s">
        <v>14</v>
      </c>
      <c r="H10" s="23" t="s">
        <v>22</v>
      </c>
      <c r="I10" s="22" t="s">
        <v>15</v>
      </c>
      <c r="J10" s="22" t="s">
        <v>16</v>
      </c>
      <c r="K10" s="22" t="s">
        <v>16</v>
      </c>
      <c r="L10" s="22" t="s">
        <v>17</v>
      </c>
      <c r="M10" s="22" t="s">
        <v>17</v>
      </c>
      <c r="N10" s="22" t="s">
        <v>17</v>
      </c>
      <c r="O10" s="48" t="s">
        <v>7</v>
      </c>
      <c r="P10" s="48" t="s">
        <v>9</v>
      </c>
      <c r="Q10" s="48" t="s">
        <v>6</v>
      </c>
      <c r="R10" s="48" t="s">
        <v>78</v>
      </c>
      <c r="S10" s="48" t="s">
        <v>8</v>
      </c>
      <c r="T10" s="48" t="s">
        <v>79</v>
      </c>
      <c r="U10" s="48" t="s">
        <v>5</v>
      </c>
    </row>
    <row r="11" spans="1:21" x14ac:dyDescent="0.15">
      <c r="A11" s="109" t="s">
        <v>255</v>
      </c>
      <c r="B11" s="18" t="s">
        <v>41</v>
      </c>
      <c r="C11" s="31">
        <v>564</v>
      </c>
      <c r="D11" s="18" t="s">
        <v>38</v>
      </c>
      <c r="E11" s="16" t="str">
        <f t="shared" si="2"/>
        <v>gifts_i18n_564.tmp</v>
      </c>
      <c r="F11" s="18" t="s">
        <v>39</v>
      </c>
      <c r="G11" s="22" t="s">
        <v>12</v>
      </c>
      <c r="H11" s="24" t="s">
        <v>18</v>
      </c>
      <c r="I11" s="24" t="s">
        <v>19</v>
      </c>
      <c r="J11" s="24" t="s">
        <v>20</v>
      </c>
      <c r="K11" s="24" t="s">
        <v>21</v>
      </c>
      <c r="L11" s="25"/>
      <c r="M11" s="22"/>
      <c r="N11" s="22"/>
      <c r="O11" s="18"/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2"/>
  <sheetViews>
    <sheetView zoomScale="90" zoomScaleNormal="90" zoomScalePageLayoutView="90" workbookViewId="0">
      <selection activeCell="B30" sqref="B30"/>
    </sheetView>
  </sheetViews>
  <sheetFormatPr baseColWidth="12" defaultRowHeight="14" x14ac:dyDescent="0.15"/>
  <cols>
    <col min="1" max="1" width="24.19921875" bestFit="1" customWidth="1"/>
    <col min="2" max="2" width="24.59765625" bestFit="1" customWidth="1"/>
    <col min="3" max="3" width="14.19921875" bestFit="1" customWidth="1"/>
    <col min="17" max="17" width="13" customWidth="1"/>
  </cols>
  <sheetData>
    <row r="1" spans="1:22" x14ac:dyDescent="0.15">
      <c r="A1" s="45" t="s">
        <v>74</v>
      </c>
      <c r="B1" s="45"/>
      <c r="L1" s="37" t="s">
        <v>53</v>
      </c>
      <c r="M1" s="37"/>
      <c r="U1" t="s">
        <v>53</v>
      </c>
    </row>
    <row r="2" spans="1:22" x14ac:dyDescent="0.15">
      <c r="A2" t="str">
        <f ca="1">RIGHT(RIGHT(CELL("filename",A2),LEN(CELL("filename",A2))-FIND("]",CELL("filename",A2))),6)</f>
        <v>564100</v>
      </c>
      <c r="L2" s="32" t="s">
        <v>1</v>
      </c>
      <c r="M2" s="36" t="s">
        <v>57</v>
      </c>
      <c r="N2" s="32" t="s">
        <v>55</v>
      </c>
      <c r="O2" s="36" t="s">
        <v>58</v>
      </c>
      <c r="P2" s="36" t="s">
        <v>59</v>
      </c>
      <c r="Q2" s="36" t="s">
        <v>56</v>
      </c>
      <c r="R2" s="41" t="s">
        <v>65</v>
      </c>
      <c r="U2" s="32" t="s">
        <v>175</v>
      </c>
      <c r="V2" s="49">
        <f t="shared" ref="V2:V16" si="0">SUMIF(Q:Q,U2,N:N)</f>
        <v>0</v>
      </c>
    </row>
    <row r="3" spans="1:22" x14ac:dyDescent="0.15">
      <c r="H3" s="68" t="s">
        <v>196</v>
      </c>
      <c r="L3" s="55"/>
      <c r="M3" s="36" t="e">
        <f>VLOOKUP(L3,[1]characters!$A:$C,3,FALSE)</f>
        <v>#N/A</v>
      </c>
      <c r="N3" s="58"/>
      <c r="O3" s="36" t="e">
        <f>VLOOKUP(L3,[1]characters!$A:$I,9,FALSE)</f>
        <v>#N/A</v>
      </c>
      <c r="P3" s="36" t="e">
        <f>VLOOKUP(L3,[1]characters!$A:$J,10,FALSE)</f>
        <v>#N/A</v>
      </c>
      <c r="Q3" s="36" t="e">
        <f>VLOOKUP(L3,tables_564100!B:C,2,FALSE)</f>
        <v>#N/A</v>
      </c>
      <c r="R3" s="57">
        <f t="shared" ref="R3:R20" si="1">N3*A$39</f>
        <v>0</v>
      </c>
      <c r="S3">
        <v>190</v>
      </c>
      <c r="U3" s="32" t="s">
        <v>176</v>
      </c>
      <c r="V3" s="49">
        <f t="shared" si="0"/>
        <v>0</v>
      </c>
    </row>
    <row r="4" spans="1:22" x14ac:dyDescent="0.15">
      <c r="A4" s="33" t="s">
        <v>45</v>
      </c>
      <c r="B4" s="33"/>
      <c r="D4" t="s">
        <v>185</v>
      </c>
      <c r="F4" t="s">
        <v>188</v>
      </c>
      <c r="H4" t="s">
        <v>194</v>
      </c>
      <c r="I4" t="s">
        <v>195</v>
      </c>
      <c r="L4" s="55"/>
      <c r="M4" s="36" t="e">
        <f>VLOOKUP(L4,[1]characters!$A:$C,3,FALSE)</f>
        <v>#N/A</v>
      </c>
      <c r="N4" s="58"/>
      <c r="O4" s="36" t="e">
        <f>VLOOKUP(L4,[1]characters!$A:$I,9,FALSE)</f>
        <v>#N/A</v>
      </c>
      <c r="P4" s="36" t="e">
        <f>VLOOKUP(L4,[1]characters!$A:$J,10,FALSE)</f>
        <v>#N/A</v>
      </c>
      <c r="Q4" s="36" t="e">
        <f>VLOOKUP(L4,tables_564100!B:C,2,FALSE)</f>
        <v>#N/A</v>
      </c>
      <c r="R4" s="57">
        <f t="shared" si="1"/>
        <v>0</v>
      </c>
      <c r="S4">
        <v>191</v>
      </c>
      <c r="U4" s="32" t="s">
        <v>82</v>
      </c>
      <c r="V4" s="49">
        <f t="shared" si="0"/>
        <v>0</v>
      </c>
    </row>
    <row r="5" spans="1:22" x14ac:dyDescent="0.15">
      <c r="A5" s="32" t="s">
        <v>60</v>
      </c>
      <c r="B5" s="66">
        <f>1-B6-B7</f>
        <v>0</v>
      </c>
      <c r="D5" t="s">
        <v>186</v>
      </c>
      <c r="E5" s="40">
        <f>(B11-H5)/(F5-I5)</f>
        <v>6.9444444444444447E-4</v>
      </c>
      <c r="F5">
        <f>COUNTIF(tables_564100!C:C,input_564100!A28)+COUNTIF(tables_564100!C:C,input_564100!A30)+COUNTIF(input_564100!Q:Q,input_564100!A32)+COUNTIF(input_564100!Q:Q,input_564100!A33)+COUNTIF(input_564100!Q:Q,input_564100!A34)-COUNTIF(input_564100!Q:Q,input_564100!A28)</f>
        <v>72</v>
      </c>
      <c r="H5" s="76">
        <v>0</v>
      </c>
      <c r="I5" s="30"/>
      <c r="L5" s="55"/>
      <c r="M5" s="36" t="e">
        <f>VLOOKUP(L5,[1]characters!$A:$C,3,FALSE)</f>
        <v>#N/A</v>
      </c>
      <c r="N5" s="58"/>
      <c r="O5" s="36" t="e">
        <f>VLOOKUP(L5,[1]characters!$A:$I,9,FALSE)</f>
        <v>#N/A</v>
      </c>
      <c r="P5" s="36" t="e">
        <f>VLOOKUP(L5,[1]characters!$A:$J,10,FALSE)</f>
        <v>#N/A</v>
      </c>
      <c r="Q5" s="36" t="e">
        <f>VLOOKUP(L5,tables_564100!B:C,2,FALSE)</f>
        <v>#N/A</v>
      </c>
      <c r="R5" s="57">
        <f t="shared" si="1"/>
        <v>0</v>
      </c>
      <c r="S5">
        <v>192</v>
      </c>
      <c r="U5" s="32" t="s">
        <v>83</v>
      </c>
      <c r="V5" s="49">
        <f t="shared" si="0"/>
        <v>0</v>
      </c>
    </row>
    <row r="6" spans="1:22" x14ac:dyDescent="0.15">
      <c r="A6" s="32" t="s">
        <v>61</v>
      </c>
      <c r="B6" s="66">
        <v>0.8</v>
      </c>
      <c r="D6" t="s">
        <v>187</v>
      </c>
      <c r="E6" s="71">
        <f>(B10-H6)/(F6-I6)</f>
        <v>9.8958333333333329E-3</v>
      </c>
      <c r="F6">
        <f>COUNTIF(tables_564100!C:C,input_564100!A25)+COUNTIF(tables_564100!C:C,input_564100!A18)+COUNTIF(tables_564100!C:C,input_564100!A20)+COUNTIF(tables_564100!C:C,input_564100!A22)+COUNTIF(Q:Q,A23)</f>
        <v>96</v>
      </c>
      <c r="H6" s="80">
        <v>0</v>
      </c>
      <c r="I6" s="30"/>
      <c r="L6" s="55"/>
      <c r="M6" s="36" t="e">
        <f>VLOOKUP(L6,[1]characters!$A:$C,3,FALSE)</f>
        <v>#N/A</v>
      </c>
      <c r="N6" s="58"/>
      <c r="O6" s="36" t="e">
        <f>VLOOKUP(L6,[1]characters!$A:$I,9,FALSE)</f>
        <v>#N/A</v>
      </c>
      <c r="P6" s="36" t="e">
        <f>VLOOKUP(L6,[1]characters!$A:$J,10,FALSE)</f>
        <v>#N/A</v>
      </c>
      <c r="Q6" s="36" t="e">
        <f>VLOOKUP(L6,tables_564100!B:C,2,FALSE)</f>
        <v>#N/A</v>
      </c>
      <c r="R6" s="57">
        <f t="shared" si="1"/>
        <v>0</v>
      </c>
      <c r="S6">
        <v>596</v>
      </c>
      <c r="U6" s="32" t="s">
        <v>84</v>
      </c>
      <c r="V6" s="49">
        <f t="shared" si="0"/>
        <v>0</v>
      </c>
    </row>
    <row r="7" spans="1:22" x14ac:dyDescent="0.15">
      <c r="A7" s="32" t="s">
        <v>62</v>
      </c>
      <c r="B7" s="66">
        <v>0.2</v>
      </c>
      <c r="L7" s="55"/>
      <c r="M7" s="36" t="e">
        <f>VLOOKUP(L7,[1]characters!$A:$C,3,FALSE)</f>
        <v>#N/A</v>
      </c>
      <c r="N7" s="58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VLOOKUP(L7,tables_564100!B:C,2,FALSE)</f>
        <v>#N/A</v>
      </c>
      <c r="R7" s="57">
        <f t="shared" si="1"/>
        <v>0</v>
      </c>
      <c r="S7">
        <v>597</v>
      </c>
      <c r="U7" s="32" t="s">
        <v>181</v>
      </c>
      <c r="V7" s="49">
        <f t="shared" si="0"/>
        <v>0</v>
      </c>
    </row>
    <row r="8" spans="1:22" x14ac:dyDescent="0.15">
      <c r="A8" s="52"/>
      <c r="B8" s="66"/>
      <c r="E8" s="71"/>
      <c r="L8" s="55"/>
      <c r="M8" s="36" t="e">
        <f>VLOOKUP(L8,[1]characters!$A:$C,3,FALSE)</f>
        <v>#N/A</v>
      </c>
      <c r="N8" s="58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VLOOKUP(L8,tables_564100!B:C,2,FALSE)</f>
        <v>#N/A</v>
      </c>
      <c r="R8" s="57">
        <f t="shared" si="1"/>
        <v>0</v>
      </c>
      <c r="S8">
        <v>598</v>
      </c>
      <c r="U8" s="32" t="s">
        <v>182</v>
      </c>
      <c r="V8" s="49">
        <f t="shared" si="0"/>
        <v>0</v>
      </c>
    </row>
    <row r="9" spans="1:22" x14ac:dyDescent="0.15">
      <c r="A9" s="34" t="s">
        <v>46</v>
      </c>
      <c r="B9" s="34"/>
      <c r="L9" s="79"/>
      <c r="M9" s="36" t="e">
        <f>VLOOKUP(L9,[1]characters!$A:$C,3,FALSE)</f>
        <v>#N/A</v>
      </c>
      <c r="N9" s="58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VLOOKUP(L9,tables_564100!B:C,2,FALSE)</f>
        <v>#N/A</v>
      </c>
      <c r="R9" s="57">
        <f t="shared" si="1"/>
        <v>0</v>
      </c>
      <c r="S9">
        <v>390</v>
      </c>
      <c r="U9" s="32" t="s">
        <v>178</v>
      </c>
      <c r="V9" s="49">
        <f t="shared" si="0"/>
        <v>0</v>
      </c>
    </row>
    <row r="10" spans="1:22" x14ac:dyDescent="0.15">
      <c r="A10" s="32" t="s">
        <v>81</v>
      </c>
      <c r="B10" s="67">
        <f>1-B11</f>
        <v>0.95</v>
      </c>
      <c r="C10" t="s">
        <v>193</v>
      </c>
      <c r="L10" s="79"/>
      <c r="M10" s="36" t="e">
        <f>VLOOKUP(L10,[1]characters!$A:$C,3,FALSE)</f>
        <v>#N/A</v>
      </c>
      <c r="N10" s="58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VLOOKUP(L10,tables_564100!B:C,2,FALSE)</f>
        <v>#N/A</v>
      </c>
      <c r="R10" s="57">
        <f t="shared" si="1"/>
        <v>0</v>
      </c>
      <c r="S10">
        <v>391</v>
      </c>
      <c r="U10" s="32" t="s">
        <v>179</v>
      </c>
      <c r="V10" s="49">
        <f t="shared" si="0"/>
        <v>0</v>
      </c>
    </row>
    <row r="11" spans="1:22" x14ac:dyDescent="0.15">
      <c r="A11" s="32" t="s">
        <v>48</v>
      </c>
      <c r="B11" s="72">
        <v>0.05</v>
      </c>
      <c r="C11" t="s">
        <v>234</v>
      </c>
      <c r="M11" s="36" t="e">
        <f>VLOOKUP(L11,[1]characters!$A:$C,3,FALSE)</f>
        <v>#N/A</v>
      </c>
      <c r="N11" s="58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VLOOKUP(L11,tables_564100!B:C,2,FALSE)</f>
        <v>#N/A</v>
      </c>
      <c r="R11" s="57">
        <f t="shared" si="1"/>
        <v>0</v>
      </c>
      <c r="S11">
        <v>811</v>
      </c>
      <c r="U11" s="32" t="s">
        <v>180</v>
      </c>
      <c r="V11" s="49">
        <f t="shared" si="0"/>
        <v>0</v>
      </c>
    </row>
    <row r="12" spans="1:22" x14ac:dyDescent="0.15">
      <c r="A12" s="32" t="s">
        <v>47</v>
      </c>
      <c r="B12" s="67">
        <v>0</v>
      </c>
      <c r="M12" s="36" t="e">
        <f>VLOOKUP(L12,[1]characters!$A:$C,3,FALSE)</f>
        <v>#N/A</v>
      </c>
      <c r="N12" s="58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VLOOKUP(L12,tables_564100!B:C,2,FALSE)</f>
        <v>#N/A</v>
      </c>
      <c r="R12" s="57">
        <f t="shared" si="1"/>
        <v>0</v>
      </c>
      <c r="S12">
        <v>496</v>
      </c>
      <c r="U12" s="32" t="s">
        <v>91</v>
      </c>
      <c r="V12" s="49">
        <f t="shared" si="0"/>
        <v>0</v>
      </c>
    </row>
    <row r="13" spans="1:22" x14ac:dyDescent="0.15">
      <c r="M13" s="36" t="e">
        <f>VLOOKUP(L13,[1]characters!$A:$C,3,FALSE)</f>
        <v>#N/A</v>
      </c>
      <c r="N13" s="58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VLOOKUP(L13,tables_564100!B:C,2,FALSE)</f>
        <v>#N/A</v>
      </c>
      <c r="R13" s="57">
        <f t="shared" si="1"/>
        <v>0</v>
      </c>
      <c r="S13">
        <v>497</v>
      </c>
      <c r="U13" s="32" t="s">
        <v>92</v>
      </c>
      <c r="V13" s="49">
        <f t="shared" si="0"/>
        <v>0</v>
      </c>
    </row>
    <row r="14" spans="1:22" x14ac:dyDescent="0.15">
      <c r="M14" s="36" t="e">
        <f>VLOOKUP(L14,[1]characters!$A:$C,3,FALSE)</f>
        <v>#N/A</v>
      </c>
      <c r="N14" s="58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VLOOKUP(L14,tables_564100!B:C,2,FALSE)</f>
        <v>#N/A</v>
      </c>
      <c r="R14" s="57">
        <f t="shared" si="1"/>
        <v>0</v>
      </c>
      <c r="S14">
        <v>498</v>
      </c>
      <c r="U14" s="32" t="s">
        <v>184</v>
      </c>
      <c r="V14" s="49">
        <f t="shared" si="0"/>
        <v>0</v>
      </c>
    </row>
    <row r="15" spans="1:22" x14ac:dyDescent="0.15">
      <c r="A15" s="35" t="s">
        <v>49</v>
      </c>
      <c r="B15" s="35"/>
      <c r="C15" t="s">
        <v>75</v>
      </c>
      <c r="M15" s="36" t="e">
        <f>VLOOKUP(L15,[1]characters!$A:$C,3,FALSE)</f>
        <v>#N/A</v>
      </c>
      <c r="N15" s="58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VLOOKUP(L15,tables_564100!B:C,2,FALSE)</f>
        <v>#N/A</v>
      </c>
      <c r="R15" s="57">
        <f t="shared" si="1"/>
        <v>0</v>
      </c>
      <c r="S15">
        <v>395</v>
      </c>
      <c r="U15" s="32" t="s">
        <v>183</v>
      </c>
      <c r="V15" s="49">
        <f t="shared" si="0"/>
        <v>0</v>
      </c>
    </row>
    <row r="16" spans="1:22" x14ac:dyDescent="0.15">
      <c r="A16" s="32" t="s">
        <v>52</v>
      </c>
      <c r="B16" s="32" t="s">
        <v>177</v>
      </c>
      <c r="C16" s="36" t="s">
        <v>53</v>
      </c>
      <c r="D16" s="36" t="s">
        <v>54</v>
      </c>
      <c r="E16" t="s">
        <v>64</v>
      </c>
      <c r="F16" t="s">
        <v>63</v>
      </c>
      <c r="G16" t="s">
        <v>66</v>
      </c>
      <c r="H16" t="s">
        <v>197</v>
      </c>
      <c r="I16" t="s">
        <v>67</v>
      </c>
      <c r="J16" t="s">
        <v>69</v>
      </c>
      <c r="M16" s="36" t="e">
        <f>VLOOKUP(L16,[1]characters!$A:$C,3,FALSE)</f>
        <v>#N/A</v>
      </c>
      <c r="N16" s="58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VLOOKUP(L16,tables_564100!B:C,2,FALSE)</f>
        <v>#N/A</v>
      </c>
      <c r="R16" s="57">
        <f t="shared" si="1"/>
        <v>0</v>
      </c>
      <c r="S16">
        <v>396</v>
      </c>
      <c r="U16" s="32" t="s">
        <v>93</v>
      </c>
      <c r="V16" s="49">
        <f t="shared" si="0"/>
        <v>0</v>
      </c>
    </row>
    <row r="17" spans="1:19" x14ac:dyDescent="0.15">
      <c r="A17" s="32" t="s">
        <v>175</v>
      </c>
      <c r="B17" s="74">
        <f>E17*E6-B18</f>
        <v>0</v>
      </c>
      <c r="C17" s="77">
        <f t="shared" ref="C17:C34" si="2">SUMIF(Q:Q,A17,N:N)</f>
        <v>0</v>
      </c>
      <c r="D17" s="69">
        <f t="shared" ref="D17:D35" si="3">B17-C17</f>
        <v>0</v>
      </c>
      <c r="E17">
        <f>COUNTIF(tables_564100!C:C,input_564100!A17)-COUNTIF(Q:Q,A17)</f>
        <v>20</v>
      </c>
      <c r="F17" s="40">
        <f>IFERROR(B17/E17,0)</f>
        <v>0</v>
      </c>
      <c r="G17">
        <f t="shared" ref="G17:G28" si="4">A$39*B17</f>
        <v>0</v>
      </c>
      <c r="H17">
        <f t="shared" ref="H17:H34" si="5">IFERROR(ROUND(G17/E17,5),0)</f>
        <v>0</v>
      </c>
      <c r="I17">
        <f t="shared" ref="I17:I34" si="6">MOD(H17,1)</f>
        <v>0</v>
      </c>
      <c r="J17">
        <f t="shared" ref="J17:J34" si="7">IFERROR(1/I17,1)</f>
        <v>1</v>
      </c>
      <c r="M17" s="36" t="e">
        <f>VLOOKUP(L17,[1]characters!$A:$C,3,FALSE)</f>
        <v>#N/A</v>
      </c>
      <c r="N17" s="58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VLOOKUP(L17,tables_564100!B:C,2,FALSE)</f>
        <v>#N/A</v>
      </c>
      <c r="R17" s="57">
        <f t="shared" si="1"/>
        <v>0</v>
      </c>
      <c r="S17">
        <v>397</v>
      </c>
    </row>
    <row r="18" spans="1:19" x14ac:dyDescent="0.15">
      <c r="A18" s="32" t="s">
        <v>176</v>
      </c>
      <c r="B18" s="51">
        <f>E18*E6*SUM(B6:B7)</f>
        <v>0.19791666666666666</v>
      </c>
      <c r="C18" s="77">
        <f t="shared" si="2"/>
        <v>0</v>
      </c>
      <c r="D18" s="69">
        <f t="shared" si="3"/>
        <v>0.19791666666666666</v>
      </c>
      <c r="E18">
        <f>COUNTIF(tables_564100!C:C,input_564100!A18)-COUNTIF(Q:Q,A18)</f>
        <v>20</v>
      </c>
      <c r="F18" s="40">
        <f>IFERROR(B18/E18,0)</f>
        <v>9.8958333333333329E-3</v>
      </c>
      <c r="G18">
        <f t="shared" si="4"/>
        <v>1140000</v>
      </c>
      <c r="H18">
        <f t="shared" si="5"/>
        <v>57000</v>
      </c>
      <c r="I18">
        <f t="shared" si="6"/>
        <v>0</v>
      </c>
      <c r="J18">
        <f t="shared" si="7"/>
        <v>1</v>
      </c>
      <c r="M18" s="36" t="e">
        <f>VLOOKUP(L18,[1]characters!$A:$C,3,FALSE)</f>
        <v>#N/A</v>
      </c>
      <c r="N18" s="58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VLOOKUP(L18,tables_564100!B:C,2,FALSE)</f>
        <v>#N/A</v>
      </c>
      <c r="R18" s="57">
        <f t="shared" si="1"/>
        <v>0</v>
      </c>
      <c r="S18">
        <v>324</v>
      </c>
    </row>
    <row r="19" spans="1:19" x14ac:dyDescent="0.15">
      <c r="A19" s="32" t="s">
        <v>82</v>
      </c>
      <c r="B19" s="51">
        <f>E$6*E19*B$5</f>
        <v>0</v>
      </c>
      <c r="C19" s="77">
        <f t="shared" si="2"/>
        <v>0</v>
      </c>
      <c r="D19" s="69">
        <f t="shared" si="3"/>
        <v>0</v>
      </c>
      <c r="E19">
        <f>COUNTIF(tables_564100!C:C,input_564100!A19)-COUNTIF(Q:Q,A19)</f>
        <v>52</v>
      </c>
      <c r="F19" s="40">
        <f t="shared" ref="F19:F34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6" t="e">
        <f>VLOOKUP(L19,[1]characters!$A:$C,3,FALSE)</f>
        <v>#N/A</v>
      </c>
      <c r="N19" s="58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VLOOKUP(L19,tables_564100!B:C,2,FALSE)</f>
        <v>#N/A</v>
      </c>
      <c r="R19" s="57">
        <f t="shared" si="1"/>
        <v>0</v>
      </c>
      <c r="S19">
        <v>325</v>
      </c>
    </row>
    <row r="20" spans="1:19" x14ac:dyDescent="0.15">
      <c r="A20" s="32" t="s">
        <v>83</v>
      </c>
      <c r="B20" s="84">
        <f>E$6*E20-B19-B21</f>
        <v>0.38395833333333329</v>
      </c>
      <c r="C20" s="77">
        <f t="shared" si="2"/>
        <v>0</v>
      </c>
      <c r="D20" s="69">
        <f t="shared" si="3"/>
        <v>0.38395833333333329</v>
      </c>
      <c r="E20">
        <f>COUNTIF(tables_564100!C:C,input_564100!A20)-COUNTIF(Q:Q,A20)</f>
        <v>52</v>
      </c>
      <c r="F20" s="40">
        <f t="shared" si="8"/>
        <v>7.383814102564102E-3</v>
      </c>
      <c r="G20">
        <f t="shared" si="4"/>
        <v>2211599.9999999995</v>
      </c>
      <c r="H20">
        <f t="shared" si="5"/>
        <v>42530.769229999998</v>
      </c>
      <c r="I20">
        <f t="shared" si="6"/>
        <v>0.76922999999806052</v>
      </c>
      <c r="J20">
        <f t="shared" si="7"/>
        <v>1.3000013000045778</v>
      </c>
      <c r="M20" s="36" t="e">
        <f>VLOOKUP(L20,[1]characters!$A:$C,3,FALSE)</f>
        <v>#N/A</v>
      </c>
      <c r="N20" s="58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VLOOKUP(L20,tables_564100!B:C,2,FALSE)</f>
        <v>#N/A</v>
      </c>
      <c r="R20" s="57">
        <f t="shared" si="1"/>
        <v>0</v>
      </c>
      <c r="S20">
        <v>809</v>
      </c>
    </row>
    <row r="21" spans="1:19" x14ac:dyDescent="0.15">
      <c r="A21" s="32" t="s">
        <v>84</v>
      </c>
      <c r="B21" s="51">
        <f>B7-B23-B26-B28-B29-B30</f>
        <v>0.13062500000000002</v>
      </c>
      <c r="C21" s="77">
        <f t="shared" si="2"/>
        <v>0</v>
      </c>
      <c r="D21" s="69">
        <f t="shared" si="3"/>
        <v>0.13062500000000002</v>
      </c>
      <c r="E21">
        <f>COUNTIF(tables_564100!C:C,input_564100!A21)-COUNTIF(Q:Q,A21)</f>
        <v>52</v>
      </c>
      <c r="F21" s="40">
        <f t="shared" si="8"/>
        <v>2.5120192307692313E-3</v>
      </c>
      <c r="G21">
        <f t="shared" si="4"/>
        <v>752400.00000000012</v>
      </c>
      <c r="H21">
        <f t="shared" si="5"/>
        <v>14469.23077</v>
      </c>
      <c r="I21">
        <f t="shared" si="6"/>
        <v>0.23077000000012049</v>
      </c>
      <c r="J21">
        <f t="shared" si="7"/>
        <v>4.333318888934774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32" t="s">
        <v>181</v>
      </c>
      <c r="B22" s="70">
        <f>E$6*E22-B23</f>
        <v>0.14645833333333333</v>
      </c>
      <c r="C22" s="77">
        <f t="shared" si="2"/>
        <v>0</v>
      </c>
      <c r="D22" s="69">
        <f t="shared" si="3"/>
        <v>0.14645833333333333</v>
      </c>
      <c r="E22">
        <f>COUNTIF(tables_564100!C:C,input_564100!A22)-COUNTIF(Q:Q,A22)</f>
        <v>20</v>
      </c>
      <c r="F22" s="40">
        <f t="shared" si="8"/>
        <v>7.3229166666666668E-3</v>
      </c>
      <c r="G22">
        <f t="shared" si="4"/>
        <v>843600</v>
      </c>
      <c r="H22">
        <f t="shared" si="5"/>
        <v>42180</v>
      </c>
      <c r="I22">
        <f t="shared" si="6"/>
        <v>0</v>
      </c>
      <c r="J22">
        <f t="shared" si="7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32" t="s">
        <v>182</v>
      </c>
      <c r="B23" s="65">
        <f>E23*E6*B7</f>
        <v>5.1458333333333328E-2</v>
      </c>
      <c r="C23" s="77">
        <f t="shared" si="2"/>
        <v>0</v>
      </c>
      <c r="D23" s="69">
        <f t="shared" si="3"/>
        <v>5.1458333333333328E-2</v>
      </c>
      <c r="E23">
        <f>COUNTIF(tables_564100!C:C,input_564100!A23)-COUNTIF(Q:Q,A23)</f>
        <v>26</v>
      </c>
      <c r="F23" s="40">
        <f t="shared" si="8"/>
        <v>1.9791666666666664E-3</v>
      </c>
      <c r="G23">
        <f t="shared" si="4"/>
        <v>296399.99999999994</v>
      </c>
      <c r="H23">
        <f t="shared" si="5"/>
        <v>11400</v>
      </c>
      <c r="I23">
        <f t="shared" si="6"/>
        <v>0</v>
      </c>
      <c r="J23">
        <f t="shared" si="7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32" t="s">
        <v>178</v>
      </c>
      <c r="B24" s="51">
        <f>E$6*E24*B$5</f>
        <v>0</v>
      </c>
      <c r="C24" s="77">
        <f t="shared" si="2"/>
        <v>0</v>
      </c>
      <c r="D24" s="69">
        <f t="shared" si="3"/>
        <v>0</v>
      </c>
      <c r="E24">
        <f>COUNTIF(tables_564100!C:C,input_564100!A24)-COUNTIF(Q:Q,A24)</f>
        <v>4</v>
      </c>
      <c r="F24" s="40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32" t="s">
        <v>179</v>
      </c>
      <c r="B25" s="51">
        <f>E$6*B$6*E25</f>
        <v>3.1666666666666669E-2</v>
      </c>
      <c r="C25" s="77">
        <f t="shared" si="2"/>
        <v>0</v>
      </c>
      <c r="D25" s="69">
        <f t="shared" si="3"/>
        <v>3.1666666666666669E-2</v>
      </c>
      <c r="E25">
        <f>COUNTIF(tables_564100!C:C,input_564100!A25)-COUNTIF(Q:Q,A25)</f>
        <v>4</v>
      </c>
      <c r="F25" s="40">
        <f t="shared" si="8"/>
        <v>7.9166666666666673E-3</v>
      </c>
      <c r="G25">
        <f t="shared" si="4"/>
        <v>182400.00000000003</v>
      </c>
      <c r="H25">
        <f t="shared" si="5"/>
        <v>45600</v>
      </c>
      <c r="I25">
        <f t="shared" si="6"/>
        <v>0</v>
      </c>
      <c r="J25">
        <f t="shared" si="7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32" t="s">
        <v>180</v>
      </c>
      <c r="B26" s="51">
        <f>E$6*B$7*E26</f>
        <v>7.9166666666666673E-3</v>
      </c>
      <c r="C26" s="77">
        <f t="shared" si="2"/>
        <v>0</v>
      </c>
      <c r="D26" s="69">
        <f t="shared" si="3"/>
        <v>7.9166666666666673E-3</v>
      </c>
      <c r="E26">
        <f>COUNTIF(tables_564100!C:C,input_564100!A26)-COUNTIF(Q:Q,A26)</f>
        <v>4</v>
      </c>
      <c r="F26" s="40">
        <f t="shared" si="8"/>
        <v>1.9791666666666668E-3</v>
      </c>
      <c r="G26">
        <f t="shared" si="4"/>
        <v>45600.000000000007</v>
      </c>
      <c r="H26">
        <f t="shared" si="5"/>
        <v>11400</v>
      </c>
      <c r="I26">
        <f t="shared" si="6"/>
        <v>0</v>
      </c>
      <c r="J26">
        <f t="shared" si="7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32" t="s">
        <v>91</v>
      </c>
      <c r="B27" s="91">
        <f>B11-(B28+B30)</f>
        <v>0.04</v>
      </c>
      <c r="C27" s="77">
        <f t="shared" si="2"/>
        <v>0</v>
      </c>
      <c r="D27" s="69">
        <f t="shared" si="3"/>
        <v>0.04</v>
      </c>
      <c r="E27">
        <f>COUNTIF(tables_564100!C:C,input_564100!A27)-COUNTIF(Q:Q,A27)</f>
        <v>28</v>
      </c>
      <c r="F27" s="40">
        <f>IFERROR(B27/E27,0)</f>
        <v>1.4285714285714286E-3</v>
      </c>
      <c r="G27">
        <f t="shared" si="4"/>
        <v>230400</v>
      </c>
      <c r="H27">
        <f t="shared" si="5"/>
        <v>8228.57143</v>
      </c>
      <c r="I27">
        <f t="shared" si="6"/>
        <v>0.57142999999996391</v>
      </c>
      <c r="J27">
        <f t="shared" si="7"/>
        <v>1.749995625011048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32" t="s">
        <v>92</v>
      </c>
      <c r="B28" s="51">
        <f>E$5*E28*0.2</f>
        <v>3.8888888888888892E-3</v>
      </c>
      <c r="C28" s="77">
        <f t="shared" si="2"/>
        <v>0</v>
      </c>
      <c r="D28" s="69">
        <f t="shared" si="3"/>
        <v>3.8888888888888892E-3</v>
      </c>
      <c r="E28">
        <f>COUNTIF(tables_564100!C:C,input_564100!A28)-COUNTIF(Q:Q,A28)</f>
        <v>28</v>
      </c>
      <c r="F28" s="40">
        <f t="shared" si="8"/>
        <v>1.3888888888888889E-4</v>
      </c>
      <c r="G28">
        <f t="shared" si="4"/>
        <v>22400.000000000004</v>
      </c>
      <c r="H28">
        <f t="shared" si="5"/>
        <v>800</v>
      </c>
      <c r="I28">
        <f t="shared" si="6"/>
        <v>0</v>
      </c>
      <c r="J28">
        <f t="shared" si="7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32" t="s">
        <v>236</v>
      </c>
      <c r="B29" s="51">
        <f>E$5*E29</f>
        <v>0</v>
      </c>
      <c r="C29" s="77">
        <f t="shared" si="2"/>
        <v>0</v>
      </c>
      <c r="D29" s="69"/>
      <c r="E29">
        <f>COUNTIF(tables_564100!C:C,input_564100!A29)-COUNTIF(Q:Q,A29)</f>
        <v>0</v>
      </c>
      <c r="F29" s="40">
        <f t="shared" ref="F29:F30" si="9">IFERROR(B29/E29,0)</f>
        <v>0</v>
      </c>
      <c r="G29">
        <f t="shared" ref="G29:G30" si="10">A$39*B29</f>
        <v>0</v>
      </c>
      <c r="H29">
        <f t="shared" ref="H29:H30" si="11">IFERROR(ROUND(G29/E29,5),0)</f>
        <v>0</v>
      </c>
      <c r="I29">
        <f t="shared" ref="I29:I30" si="12">MOD(H29,1)</f>
        <v>0</v>
      </c>
      <c r="J29">
        <f t="shared" ref="J29:J30" si="13">IFERROR(1/I29,1)</f>
        <v>1</v>
      </c>
      <c r="L29" s="52"/>
      <c r="M29" s="52"/>
      <c r="N29" s="53"/>
      <c r="O29" s="52"/>
      <c r="P29" s="52"/>
      <c r="Q29" s="52"/>
      <c r="R29" s="54"/>
    </row>
    <row r="30" spans="1:19" ht="15" customHeight="1" x14ac:dyDescent="0.15">
      <c r="A30" s="32" t="s">
        <v>184</v>
      </c>
      <c r="B30" s="51">
        <f>E$5*E30*0.2</f>
        <v>6.1111111111111123E-3</v>
      </c>
      <c r="C30" s="77">
        <f t="shared" si="2"/>
        <v>0</v>
      </c>
      <c r="D30" s="69"/>
      <c r="E30">
        <f>COUNTIF(tables_564100!C:C,input_564100!A30)-COUNTIF(Q:Q,A30)</f>
        <v>44</v>
      </c>
      <c r="F30" s="40">
        <f t="shared" si="9"/>
        <v>1.3888888888888892E-4</v>
      </c>
      <c r="G30">
        <f t="shared" si="10"/>
        <v>35200.000000000007</v>
      </c>
      <c r="H30">
        <f t="shared" si="11"/>
        <v>800</v>
      </c>
      <c r="I30">
        <f t="shared" si="12"/>
        <v>0</v>
      </c>
      <c r="J30">
        <f t="shared" si="13"/>
        <v>1</v>
      </c>
      <c r="L30" s="52"/>
      <c r="M30" s="52"/>
      <c r="N30" s="53"/>
      <c r="O30" s="52"/>
      <c r="P30" s="52"/>
      <c r="Q30" s="52"/>
      <c r="R30" s="54"/>
    </row>
    <row r="31" spans="1:19" ht="15" customHeight="1" x14ac:dyDescent="0.15">
      <c r="A31" s="32" t="s">
        <v>238</v>
      </c>
      <c r="B31" s="51">
        <f>E$5*E31*0.4</f>
        <v>0</v>
      </c>
      <c r="C31" s="77">
        <f t="shared" si="2"/>
        <v>0</v>
      </c>
      <c r="D31" s="69"/>
      <c r="E31">
        <f>COUNTIF(tables_564100!C:C,input_564100!A31)-COUNTIF(Q:Q,A31)</f>
        <v>0</v>
      </c>
      <c r="F31" s="40">
        <f t="shared" ref="F31" si="14">IFERROR(B31/E31,0)</f>
        <v>0</v>
      </c>
      <c r="G31">
        <f t="shared" ref="G31" si="15">A$39*B31</f>
        <v>0</v>
      </c>
      <c r="H31">
        <f t="shared" ref="H31" si="16">IFERROR(ROUND(G31/E31,5),0)</f>
        <v>0</v>
      </c>
      <c r="I31">
        <f t="shared" ref="I31" si="17">MOD(H31,1)</f>
        <v>0</v>
      </c>
      <c r="J31">
        <f t="shared" ref="J31" si="18">IFERROR(1/I31,1)</f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2" t="s">
        <v>224</v>
      </c>
      <c r="B32" s="51">
        <f>E$5*E32</f>
        <v>0</v>
      </c>
      <c r="C32" s="77">
        <f t="shared" si="2"/>
        <v>0</v>
      </c>
      <c r="D32" s="69">
        <f t="shared" si="3"/>
        <v>0</v>
      </c>
      <c r="E32">
        <f>COUNTIF(tables_564100!C:C,input_564100!A32)-COUNTIF(Q:Q,A32)</f>
        <v>0</v>
      </c>
      <c r="F32" s="40">
        <f t="shared" si="8"/>
        <v>0</v>
      </c>
      <c r="G32">
        <f>A$39*B32</f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2"/>
      <c r="M32" s="52"/>
      <c r="N32" s="53"/>
      <c r="O32" s="52"/>
      <c r="P32" s="52"/>
      <c r="Q32" s="52"/>
      <c r="R32" s="54"/>
    </row>
    <row r="33" spans="1:18" x14ac:dyDescent="0.15">
      <c r="A33" s="32" t="s">
        <v>225</v>
      </c>
      <c r="B33" s="51">
        <f>E$5*E33</f>
        <v>0</v>
      </c>
      <c r="C33" s="77">
        <f t="shared" si="2"/>
        <v>0</v>
      </c>
      <c r="D33" s="69">
        <f t="shared" si="3"/>
        <v>0</v>
      </c>
      <c r="E33">
        <f>COUNTIF(tables_564100!C:C,input_564100!A33)-COUNTIF(Q:Q,A33)</f>
        <v>0</v>
      </c>
      <c r="F33" s="40">
        <f t="shared" si="8"/>
        <v>0</v>
      </c>
      <c r="G33">
        <f>A$39*B33</f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2"/>
      <c r="M33" s="52"/>
      <c r="N33" s="53"/>
      <c r="O33" s="52"/>
      <c r="P33" s="52"/>
      <c r="Q33" s="52"/>
      <c r="R33" s="54"/>
    </row>
    <row r="34" spans="1:18" x14ac:dyDescent="0.15">
      <c r="A34" s="32" t="s">
        <v>235</v>
      </c>
      <c r="B34" s="51">
        <f>E$5*E34</f>
        <v>0</v>
      </c>
      <c r="C34" s="77">
        <f t="shared" si="2"/>
        <v>0</v>
      </c>
      <c r="D34" s="69">
        <f t="shared" si="3"/>
        <v>0</v>
      </c>
      <c r="E34">
        <f>COUNTIF(tables_564100!C:C,input_564100!A34)-COUNTIF(Q:Q,A34)</f>
        <v>0</v>
      </c>
      <c r="F34" s="40">
        <f t="shared" si="8"/>
        <v>0</v>
      </c>
      <c r="G34">
        <f>A$39*B34</f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2"/>
      <c r="M34" s="52"/>
      <c r="N34" s="53"/>
      <c r="O34" s="52"/>
      <c r="P34" s="52"/>
      <c r="Q34" s="52"/>
      <c r="R34" s="54"/>
    </row>
    <row r="35" spans="1:18" x14ac:dyDescent="0.15">
      <c r="A35" s="38" t="s">
        <v>51</v>
      </c>
      <c r="B35" s="93">
        <f>SUM(B17:B34)</f>
        <v>1</v>
      </c>
      <c r="C35" s="94">
        <f>SUM(C19:C34)</f>
        <v>0</v>
      </c>
      <c r="D35" s="39">
        <f t="shared" si="3"/>
        <v>1</v>
      </c>
      <c r="L35" s="52"/>
      <c r="M35" s="52"/>
      <c r="N35" s="52"/>
      <c r="O35" s="52"/>
      <c r="P35" s="52"/>
      <c r="Q35" s="52"/>
      <c r="R35" s="54"/>
    </row>
    <row r="37" spans="1:18" x14ac:dyDescent="0.15">
      <c r="E37" s="50"/>
      <c r="F37" s="50"/>
    </row>
    <row r="38" spans="1:18" x14ac:dyDescent="0.15">
      <c r="A38" t="s">
        <v>65</v>
      </c>
    </row>
    <row r="39" spans="1:18" x14ac:dyDescent="0.15">
      <c r="A39" s="30">
        <f>LCM(F5-I5,F6-I6)*1000*2*2*5</f>
        <v>5760000</v>
      </c>
    </row>
    <row r="41" spans="1:18" x14ac:dyDescent="0.15">
      <c r="A41" s="44" t="s">
        <v>68</v>
      </c>
    </row>
    <row r="42" spans="1:18" x14ac:dyDescent="0.15">
      <c r="A42" s="32" t="s">
        <v>52</v>
      </c>
      <c r="B42" t="s">
        <v>66</v>
      </c>
      <c r="C42" t="s">
        <v>85</v>
      </c>
      <c r="E42" t="s">
        <v>86</v>
      </c>
      <c r="F42" t="s">
        <v>2</v>
      </c>
      <c r="G42" t="s">
        <v>55</v>
      </c>
    </row>
    <row r="43" spans="1:18" x14ac:dyDescent="0.15">
      <c r="A43" s="32" t="s">
        <v>88</v>
      </c>
      <c r="B43">
        <f ca="1">SUMIF(tables_564100!C:C,input_564100!A43,tables_564100!O:O)</f>
        <v>0</v>
      </c>
      <c r="C43" s="49">
        <f t="shared" ref="C43:C49" ca="1" si="19">B43/B$50</f>
        <v>0</v>
      </c>
      <c r="E43">
        <v>3</v>
      </c>
      <c r="F43">
        <f ca="1">SUMIF(tables_564100!J:J,input_564100!E43,tables_564100!O:O)</f>
        <v>0</v>
      </c>
      <c r="G43">
        <f ca="1">F43/A39</f>
        <v>0</v>
      </c>
    </row>
    <row r="44" spans="1:18" x14ac:dyDescent="0.15">
      <c r="A44" s="32" t="s">
        <v>89</v>
      </c>
      <c r="B44">
        <f ca="1">SUMIF(tables_564100!C:C,input_564100!A44,tables_564100!O:O)</f>
        <v>2211599.9999599997</v>
      </c>
      <c r="C44" s="49">
        <f t="shared" ca="1" si="19"/>
        <v>0.68751554337618082</v>
      </c>
      <c r="E44">
        <v>4</v>
      </c>
      <c r="F44">
        <f ca="1">SUMIF(tables_564100!J:J,input_564100!E44,tables_564100!O:O)</f>
        <v>4608000.0000000065</v>
      </c>
      <c r="G44">
        <f ca="1">F44/A39</f>
        <v>0.80000000000000115</v>
      </c>
    </row>
    <row r="45" spans="1:18" x14ac:dyDescent="0.15">
      <c r="A45" s="32" t="s">
        <v>91</v>
      </c>
      <c r="B45">
        <f ca="1">SUMIF(tables_564100!C:C,input_564100!A45,tables_564100!O:O)</f>
        <v>230400.0000400001</v>
      </c>
      <c r="C45" s="49">
        <f t="shared" ca="1" si="19"/>
        <v>7.1623974147331224E-2</v>
      </c>
      <c r="E45">
        <v>5</v>
      </c>
      <c r="F45">
        <f ca="1">SUMIF(tables_564100!J:J,input_564100!E45,tables_564100!O:O)</f>
        <v>1152000.0000400008</v>
      </c>
      <c r="G45" s="92">
        <f ca="1">F45/A39</f>
        <v>0.20000000000694457</v>
      </c>
      <c r="J45">
        <f>16.4-0.35</f>
        <v>16.049999999999997</v>
      </c>
    </row>
    <row r="46" spans="1:18" x14ac:dyDescent="0.15">
      <c r="A46" s="32" t="s">
        <v>94</v>
      </c>
      <c r="B46">
        <f>SUMIF(tables_564100!C:C,input_564100!A46,tables_564100!O:O)</f>
        <v>0</v>
      </c>
      <c r="C46" s="49">
        <f t="shared" ca="1" si="19"/>
        <v>0</v>
      </c>
      <c r="F46" s="50"/>
    </row>
    <row r="47" spans="1:18" x14ac:dyDescent="0.15">
      <c r="A47" s="32" t="s">
        <v>90</v>
      </c>
      <c r="B47">
        <f ca="1">SUMIF(tables_564100!C:C,input_564100!A47,tables_564100!O:O)</f>
        <v>752400.00004000065</v>
      </c>
      <c r="C47" s="49">
        <f t="shared" ca="1" si="19"/>
        <v>0.23389704054670624</v>
      </c>
      <c r="E47" t="s">
        <v>46</v>
      </c>
      <c r="F47" s="50"/>
    </row>
    <row r="48" spans="1:18" x14ac:dyDescent="0.15">
      <c r="A48" s="32" t="s">
        <v>92</v>
      </c>
      <c r="B48">
        <f ca="1">SUMIF(tables_564100!C:C,input_564100!A48,tables_564100!O:O)</f>
        <v>22400</v>
      </c>
      <c r="C48" s="49">
        <f t="shared" ca="1" si="19"/>
        <v>6.9634419297816023E-3</v>
      </c>
      <c r="E48" t="s">
        <v>189</v>
      </c>
      <c r="F48" s="50">
        <f ca="1">SUMIF(tables_564100!I:I,input_564100!E48,tables_564100!P:P)</f>
        <v>0.20979166666520982</v>
      </c>
    </row>
    <row r="49" spans="1:7" x14ac:dyDescent="0.15">
      <c r="A49" s="32" t="s">
        <v>93</v>
      </c>
      <c r="B49">
        <f>SUMIF(tables_564100!C:C,input_564100!A49,tables_564100!O:O)</f>
        <v>0</v>
      </c>
      <c r="C49" s="49">
        <f t="shared" ca="1" si="19"/>
        <v>0</v>
      </c>
      <c r="E49" t="s">
        <v>190</v>
      </c>
      <c r="F49" s="50">
        <f ca="1">SUMIF(tables_564100!I:I,input_564100!E49,tables_564100!P:P)</f>
        <v>0.19791666666529245</v>
      </c>
    </row>
    <row r="50" spans="1:7" x14ac:dyDescent="0.15">
      <c r="A50" s="38" t="s">
        <v>51</v>
      </c>
      <c r="B50">
        <f ca="1">SUM(B43:B49)</f>
        <v>3216800.0000400008</v>
      </c>
      <c r="C50" s="50">
        <f ca="1">SUM(C43:C49)</f>
        <v>0.99999999999999989</v>
      </c>
      <c r="E50" t="s">
        <v>191</v>
      </c>
      <c r="F50" s="50">
        <f ca="1">SUMIF(tables_564100!I:I,input_564100!E50,tables_564100!P:P)</f>
        <v>0.54229166666290096</v>
      </c>
    </row>
    <row r="51" spans="1:7" x14ac:dyDescent="0.15">
      <c r="E51" t="s">
        <v>192</v>
      </c>
      <c r="F51" s="50">
        <f ca="1">SUMIF(tables_564100!I:I,input_564100!E51,tables_564100!P:P)</f>
        <v>4.8750000006606002E-2</v>
      </c>
      <c r="G51" s="50"/>
    </row>
    <row r="52" spans="1:7" x14ac:dyDescent="0.15">
      <c r="E52" t="s">
        <v>233</v>
      </c>
      <c r="F52" s="50">
        <f ca="1">SUMIF(tables_564100!I:I,input_564100!E52,tables_564100!P:P)</f>
        <v>1.2499999999913199E-3</v>
      </c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filterMode="1" enableFormatConditionsCalculation="0">
    <tabColor rgb="FF0000FF"/>
    <outlinePr summaryBelow="0" summaryRight="0"/>
  </sheetPr>
  <dimension ref="A1:V355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P138" sqref="P138:P2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hidden="1" customHeight="1" x14ac:dyDescent="0.15">
      <c r="A2" s="2" t="str">
        <f ca="1">input_564100!A$2</f>
        <v>564100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IFERROR(VLOOKUP(B2,input_564100!L:R,7,FALSE),VLOOKUP(tables_564100!C2,input_564100!A:H,8,FALSE))</f>
        <v>0</v>
      </c>
      <c r="P2" s="43">
        <f t="shared" ref="P2:P65" ca="1" si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hidden="1" customHeight="1" x14ac:dyDescent="0.15">
      <c r="A3" s="2" t="str">
        <f ca="1">input_564100!A$2</f>
        <v>564100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IFERROR(VLOOKUP(B3,input_564100!L:R,7,FALSE),VLOOKUP(tables_564100!C3,input_564100!A:H,8,FALSE))</f>
        <v>57000</v>
      </c>
      <c r="P3" s="43">
        <f t="shared" ca="1" si="1"/>
        <v>9.895833333264617E-3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hidden="1" customHeight="1" x14ac:dyDescent="0.15">
      <c r="A4" s="2" t="str">
        <f ca="1">input_564100!A$2</f>
        <v>564100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IFERROR(VLOOKUP(B4,input_564100!L:R,7,FALSE),VLOOKUP(tables_564100!C4,input_564100!A:H,8,FALSE))</f>
        <v>0</v>
      </c>
      <c r="P4" s="43">
        <f t="shared" ca="1" si="1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hidden="1" customHeight="1" x14ac:dyDescent="0.15">
      <c r="A5" s="2" t="str">
        <f ca="1">input_564100!A$2</f>
        <v>564100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IFERROR(VLOOKUP(B5,input_564100!L:R,7,FALSE),VLOOKUP(tables_564100!C5,input_564100!A:H,8,FALSE))</f>
        <v>57000</v>
      </c>
      <c r="P5" s="43">
        <f t="shared" ca="1" si="1"/>
        <v>9.895833333264617E-3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hidden="1" customHeight="1" x14ac:dyDescent="0.15">
      <c r="A6" s="2" t="str">
        <f ca="1">input_564100!A$2</f>
        <v>564100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IFERROR(VLOOKUP(B6,input_564100!L:R,7,FALSE),VLOOKUP(tables_564100!C6,input_564100!A:H,8,FALSE))</f>
        <v>0</v>
      </c>
      <c r="P6" s="43">
        <f t="shared" ca="1" si="1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hidden="1" customHeight="1" x14ac:dyDescent="0.15">
      <c r="A7" s="2" t="str">
        <f ca="1">input_564100!A$2</f>
        <v>564100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IFERROR(VLOOKUP(B7,input_564100!L:R,7,FALSE),VLOOKUP(tables_564100!C7,input_564100!A:H,8,FALSE))</f>
        <v>57000</v>
      </c>
      <c r="P7" s="43">
        <f t="shared" ca="1" si="1"/>
        <v>9.895833333264617E-3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hidden="1" customHeight="1" x14ac:dyDescent="0.15">
      <c r="A8" s="2" t="str">
        <f ca="1">input_564100!A$2</f>
        <v>564100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IFERROR(VLOOKUP(B8,input_564100!L:R,7,FALSE),VLOOKUP(tables_564100!C8,input_564100!A:H,8,FALSE))</f>
        <v>0</v>
      </c>
      <c r="P8" s="43">
        <f t="shared" ca="1" si="1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hidden="1" customHeight="1" x14ac:dyDescent="0.15">
      <c r="A9" s="2" t="str">
        <f ca="1">input_564100!A$2</f>
        <v>564100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IFERROR(VLOOKUP(B9,input_564100!L:R,7,FALSE),VLOOKUP(tables_564100!C9,input_564100!A:H,8,FALSE))</f>
        <v>57000</v>
      </c>
      <c r="P9" s="43">
        <f t="shared" ca="1" si="1"/>
        <v>9.895833333264617E-3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hidden="1" customHeight="1" x14ac:dyDescent="0.15">
      <c r="A10" s="2" t="str">
        <f ca="1">input_564100!A$2</f>
        <v>564100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IFERROR(VLOOKUP(B10,input_564100!L:R,7,FALSE),VLOOKUP(tables_564100!C10,input_564100!A:H,8,FALSE))</f>
        <v>0</v>
      </c>
      <c r="P10" s="43">
        <f t="shared" ca="1" si="1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hidden="1" customHeight="1" x14ac:dyDescent="0.15">
      <c r="A11" s="2" t="str">
        <f ca="1">input_564100!A$2</f>
        <v>564100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IFERROR(VLOOKUP(B11,input_564100!L:R,7,FALSE),VLOOKUP(tables_564100!C11,input_564100!A:H,8,FALSE))</f>
        <v>57000</v>
      </c>
      <c r="P11" s="43">
        <f t="shared" ca="1" si="1"/>
        <v>9.895833333264617E-3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hidden="1" customHeight="1" x14ac:dyDescent="0.15">
      <c r="A12" s="2" t="str">
        <f ca="1">input_564100!A$2</f>
        <v>564100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IFERROR(VLOOKUP(B12,input_564100!L:R,7,FALSE),VLOOKUP(tables_564100!C12,input_564100!A:H,8,FALSE))</f>
        <v>0</v>
      </c>
      <c r="P12" s="43">
        <f t="shared" ca="1" si="1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hidden="1" customHeight="1" x14ac:dyDescent="0.15">
      <c r="A13" s="2" t="str">
        <f ca="1">input_564100!A$2</f>
        <v>564100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IFERROR(VLOOKUP(B13,input_564100!L:R,7,FALSE),VLOOKUP(tables_564100!C13,input_564100!A:H,8,FALSE))</f>
        <v>57000</v>
      </c>
      <c r="P13" s="43">
        <f t="shared" ca="1" si="1"/>
        <v>9.895833333264617E-3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hidden="1" customHeight="1" x14ac:dyDescent="0.15">
      <c r="A14" s="2" t="str">
        <f ca="1">input_564100!A$2</f>
        <v>564100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IFERROR(VLOOKUP(B14,input_564100!L:R,7,FALSE),VLOOKUP(tables_564100!C14,input_564100!A:H,8,FALSE))</f>
        <v>0</v>
      </c>
      <c r="P14" s="43">
        <f t="shared" ca="1" si="1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hidden="1" customHeight="1" x14ac:dyDescent="0.15">
      <c r="A15" s="2" t="str">
        <f ca="1">input_564100!A$2</f>
        <v>564100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IFERROR(VLOOKUP(B15,input_564100!L:R,7,FALSE),VLOOKUP(tables_564100!C15,input_564100!A:H,8,FALSE))</f>
        <v>57000</v>
      </c>
      <c r="P15" s="43">
        <f t="shared" ca="1" si="1"/>
        <v>9.895833333264617E-3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hidden="1" customHeight="1" x14ac:dyDescent="0.15">
      <c r="A16" s="2" t="str">
        <f ca="1">input_564100!A$2</f>
        <v>564100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IFERROR(VLOOKUP(B16,input_564100!L:R,7,FALSE),VLOOKUP(tables_564100!C16,input_564100!A:H,8,FALSE))</f>
        <v>0</v>
      </c>
      <c r="P16" s="43">
        <f t="shared" ca="1" si="1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hidden="1" customHeight="1" x14ac:dyDescent="0.15">
      <c r="A17" s="2" t="str">
        <f ca="1">input_564100!A$2</f>
        <v>564100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IFERROR(VLOOKUP(B17,input_564100!L:R,7,FALSE),VLOOKUP(tables_564100!C17,input_564100!A:H,8,FALSE))</f>
        <v>57000</v>
      </c>
      <c r="P17" s="43">
        <f t="shared" ca="1" si="1"/>
        <v>9.895833333264617E-3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hidden="1" customHeight="1" x14ac:dyDescent="0.15">
      <c r="A18" s="2" t="str">
        <f ca="1">input_564100!A$2</f>
        <v>564100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IFERROR(VLOOKUP(B18,input_564100!L:R,7,FALSE),VLOOKUP(tables_564100!C18,input_564100!A:H,8,FALSE))</f>
        <v>0</v>
      </c>
      <c r="P18" s="43">
        <f t="shared" ca="1" si="1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hidden="1" customHeight="1" thickBot="1" x14ac:dyDescent="0.2">
      <c r="A19" s="2" t="str">
        <f ca="1">input_564100!A$2</f>
        <v>564100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IFERROR(VLOOKUP(B19,input_564100!L:R,7,FALSE),VLOOKUP(tables_564100!C19,input_564100!A:H,8,FALSE))</f>
        <v>57000</v>
      </c>
      <c r="P19" s="43">
        <f t="shared" ca="1" si="1"/>
        <v>9.895833333264617E-3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hidden="1" customHeight="1" x14ac:dyDescent="0.15">
      <c r="A20" s="2" t="str">
        <f ca="1">input_564100!A$2</f>
        <v>564100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IFERROR(VLOOKUP(B20,input_564100!L:R,7,FALSE),VLOOKUP(tables_564100!C20,input_564100!A:H,8,FALSE))</f>
        <v>0</v>
      </c>
      <c r="P20" s="43">
        <f t="shared" ca="1" si="1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hidden="1" customHeight="1" x14ac:dyDescent="0.15">
      <c r="A21" s="2" t="str">
        <f ca="1">input_564100!A$2</f>
        <v>564100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IFERROR(VLOOKUP(B21,input_564100!L:R,7,FALSE),VLOOKUP(tables_564100!C21,input_564100!A:H,8,FALSE))</f>
        <v>57000</v>
      </c>
      <c r="P21" s="43">
        <f t="shared" ca="1" si="1"/>
        <v>9.895833333264617E-3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hidden="1" customHeight="1" x14ac:dyDescent="0.15">
      <c r="A22" s="2" t="str">
        <f ca="1">input_564100!A$2</f>
        <v>564100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IFERROR(VLOOKUP(B22,input_564100!L:R,7,FALSE),VLOOKUP(tables_564100!C22,input_564100!A:H,8,FALSE))</f>
        <v>0</v>
      </c>
      <c r="P22" s="43">
        <f t="shared" ca="1" si="1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hidden="1" customHeight="1" x14ac:dyDescent="0.15">
      <c r="A23" s="2" t="str">
        <f ca="1">input_564100!A$2</f>
        <v>564100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IFERROR(VLOOKUP(B23,input_564100!L:R,7,FALSE),VLOOKUP(tables_564100!C23,input_564100!A:H,8,FALSE))</f>
        <v>57000</v>
      </c>
      <c r="P23" s="43">
        <f t="shared" ca="1" si="1"/>
        <v>9.895833333264617E-3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hidden="1" customHeight="1" x14ac:dyDescent="0.15">
      <c r="A24" s="2" t="str">
        <f ca="1">input_564100!A$2</f>
        <v>564100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IFERROR(VLOOKUP(B24,input_564100!L:R,7,FALSE),VLOOKUP(tables_564100!C24,input_564100!A:H,8,FALSE))</f>
        <v>0</v>
      </c>
      <c r="P24" s="43">
        <f t="shared" ca="1" si="1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hidden="1" customHeight="1" x14ac:dyDescent="0.15">
      <c r="A25" s="2" t="str">
        <f ca="1">input_564100!A$2</f>
        <v>564100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IFERROR(VLOOKUP(B25,input_564100!L:R,7,FALSE),VLOOKUP(tables_564100!C25,input_564100!A:H,8,FALSE))</f>
        <v>57000</v>
      </c>
      <c r="P25" s="43">
        <f t="shared" ca="1" si="1"/>
        <v>9.895833333264617E-3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hidden="1" customHeight="1" x14ac:dyDescent="0.15">
      <c r="A26" s="2" t="str">
        <f ca="1">input_564100!A$2</f>
        <v>564100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IFERROR(VLOOKUP(B26,input_564100!L:R,7,FALSE),VLOOKUP(tables_564100!C26,input_564100!A:H,8,FALSE))</f>
        <v>0</v>
      </c>
      <c r="P26" s="43">
        <f t="shared" ca="1" si="1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hidden="1" customHeight="1" x14ac:dyDescent="0.15">
      <c r="A27" s="2" t="str">
        <f ca="1">input_564100!A$2</f>
        <v>564100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IFERROR(VLOOKUP(B27,input_564100!L:R,7,FALSE),VLOOKUP(tables_564100!C27,input_564100!A:H,8,FALSE))</f>
        <v>57000</v>
      </c>
      <c r="P27" s="43">
        <f t="shared" ca="1" si="1"/>
        <v>9.895833333264617E-3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hidden="1" customHeight="1" x14ac:dyDescent="0.15">
      <c r="A28" s="2" t="str">
        <f ca="1">input_564100!A$2</f>
        <v>564100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IFERROR(VLOOKUP(B28,input_564100!L:R,7,FALSE),VLOOKUP(tables_564100!C28,input_564100!A:H,8,FALSE))</f>
        <v>0</v>
      </c>
      <c r="P28" s="43">
        <f t="shared" ca="1" si="1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hidden="1" customHeight="1" x14ac:dyDescent="0.15">
      <c r="A29" s="2" t="str">
        <f ca="1">input_564100!A$2</f>
        <v>564100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IFERROR(VLOOKUP(B29,input_564100!L:R,7,FALSE),VLOOKUP(tables_564100!C29,input_564100!A:H,8,FALSE))</f>
        <v>57000</v>
      </c>
      <c r="P29" s="43">
        <f t="shared" ca="1" si="1"/>
        <v>9.895833333264617E-3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hidden="1" customHeight="1" x14ac:dyDescent="0.15">
      <c r="A30" s="2" t="str">
        <f ca="1">input_564100!A$2</f>
        <v>564100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IFERROR(VLOOKUP(B30,input_564100!L:R,7,FALSE),VLOOKUP(tables_564100!C30,input_564100!A:H,8,FALSE))</f>
        <v>0</v>
      </c>
      <c r="P30" s="43">
        <f t="shared" ca="1" si="1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hidden="1" customHeight="1" x14ac:dyDescent="0.15">
      <c r="A31" s="2" t="str">
        <f ca="1">input_564100!A$2</f>
        <v>564100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IFERROR(VLOOKUP(B31,input_564100!L:R,7,FALSE),VLOOKUP(tables_564100!C31,input_564100!A:H,8,FALSE))</f>
        <v>57000</v>
      </c>
      <c r="P31" s="43">
        <f t="shared" ca="1" si="1"/>
        <v>9.895833333264617E-3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hidden="1" customHeight="1" x14ac:dyDescent="0.15">
      <c r="A32" s="2" t="str">
        <f ca="1">input_564100!A$2</f>
        <v>564100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IFERROR(VLOOKUP(B32,input_564100!L:R,7,FALSE),VLOOKUP(tables_564100!C32,input_564100!A:H,8,FALSE))</f>
        <v>0</v>
      </c>
      <c r="P32" s="43">
        <f t="shared" ca="1" si="1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hidden="1" customHeight="1" x14ac:dyDescent="0.15">
      <c r="A33" s="2" t="str">
        <f ca="1">input_564100!A$2</f>
        <v>564100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IFERROR(VLOOKUP(B33,input_564100!L:R,7,FALSE),VLOOKUP(tables_564100!C33,input_564100!A:H,8,FALSE))</f>
        <v>57000</v>
      </c>
      <c r="P33" s="43">
        <f t="shared" ca="1" si="1"/>
        <v>9.895833333264617E-3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hidden="1" customHeight="1" x14ac:dyDescent="0.15">
      <c r="A34" s="2" t="str">
        <f ca="1">input_564100!A$2</f>
        <v>564100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IFERROR(VLOOKUP(B34,input_564100!L:R,7,FALSE),VLOOKUP(tables_564100!C34,input_564100!A:H,8,FALSE))</f>
        <v>0</v>
      </c>
      <c r="P34" s="43">
        <f t="shared" ca="1" si="1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hidden="1" customHeight="1" x14ac:dyDescent="0.15">
      <c r="A35" s="2" t="str">
        <f ca="1">input_564100!A$2</f>
        <v>564100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IFERROR(VLOOKUP(B35,input_564100!L:R,7,FALSE),VLOOKUP(tables_564100!C35,input_564100!A:H,8,FALSE))</f>
        <v>57000</v>
      </c>
      <c r="P35" s="43">
        <f t="shared" ca="1" si="1"/>
        <v>9.895833333264617E-3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hidden="1" customHeight="1" x14ac:dyDescent="0.15">
      <c r="A36" s="2" t="str">
        <f ca="1">input_564100!A$2</f>
        <v>564100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IFERROR(VLOOKUP(B36,input_564100!L:R,7,FALSE),VLOOKUP(tables_564100!C36,input_564100!A:H,8,FALSE))</f>
        <v>0</v>
      </c>
      <c r="P36" s="43">
        <f t="shared" ca="1" si="1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hidden="1" customHeight="1" x14ac:dyDescent="0.15">
      <c r="A37" s="2" t="str">
        <f ca="1">input_564100!A$2</f>
        <v>564100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IFERROR(VLOOKUP(B37,input_564100!L:R,7,FALSE),VLOOKUP(tables_564100!C37,input_564100!A:H,8,FALSE))</f>
        <v>57000</v>
      </c>
      <c r="P37" s="43">
        <f t="shared" ca="1" si="1"/>
        <v>9.895833333264617E-3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hidden="1" customHeight="1" x14ac:dyDescent="0.15">
      <c r="A38" s="2" t="str">
        <f ca="1">input_564100!A$2</f>
        <v>564100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IFERROR(VLOOKUP(B38,input_564100!L:R,7,FALSE),VLOOKUP(tables_564100!C38,input_564100!A:H,8,FALSE))</f>
        <v>0</v>
      </c>
      <c r="P38" s="43">
        <f t="shared" ca="1" si="1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hidden="1" customHeight="1" x14ac:dyDescent="0.15">
      <c r="A39" s="2" t="str">
        <f ca="1">input_564100!A$2</f>
        <v>564100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IFERROR(VLOOKUP(B39,input_564100!L:R,7,FALSE),VLOOKUP(tables_564100!C39,input_564100!A:H,8,FALSE))</f>
        <v>57000</v>
      </c>
      <c r="P39" s="43">
        <f t="shared" ca="1" si="1"/>
        <v>9.895833333264617E-3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hidden="1" customHeight="1" x14ac:dyDescent="0.15">
      <c r="A40" s="2" t="str">
        <f ca="1">input_564100!A$2</f>
        <v>564100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IFERROR(VLOOKUP(B40,input_564100!L:R,7,FALSE),VLOOKUP(tables_564100!C40,input_564100!A:H,8,FALSE))</f>
        <v>0</v>
      </c>
      <c r="P40" s="43">
        <f t="shared" ca="1" si="1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hidden="1" customHeight="1" x14ac:dyDescent="0.15">
      <c r="A41" s="2" t="str">
        <f ca="1">input_564100!A$2</f>
        <v>564100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IFERROR(VLOOKUP(B41,input_564100!L:R,7,FALSE),VLOOKUP(tables_564100!C41,input_564100!A:H,8,FALSE))</f>
        <v>57000</v>
      </c>
      <c r="P41" s="43">
        <f t="shared" ca="1" si="1"/>
        <v>9.895833333264617E-3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hidden="1" customHeight="1" x14ac:dyDescent="0.15">
      <c r="A42" s="2" t="str">
        <f ca="1">input_564100!A$2</f>
        <v>564100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IFERROR(VLOOKUP(B42,input_564100!L:R,7,FALSE),VLOOKUP(tables_564100!C42,input_564100!A:H,8,FALSE))</f>
        <v>0</v>
      </c>
      <c r="P42" s="43">
        <f t="shared" ca="1" si="1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hidden="1" customHeight="1" x14ac:dyDescent="0.15">
      <c r="A43" s="2" t="str">
        <f ca="1">input_564100!A$2</f>
        <v>564100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IFERROR(VLOOKUP(B43,input_564100!L:R,7,FALSE),VLOOKUP(tables_564100!C43,input_564100!A:H,8,FALSE))</f>
        <v>45600</v>
      </c>
      <c r="P43" s="43">
        <f t="shared" ca="1" si="1"/>
        <v>7.916666666611694E-3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2" hidden="1" customHeight="1" x14ac:dyDescent="0.15">
      <c r="A44" s="2" t="str">
        <f ca="1">input_564100!A$2</f>
        <v>564100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IFERROR(VLOOKUP(B44,input_564100!L:R,7,FALSE),VLOOKUP(tables_564100!C44,input_564100!A:H,8,FALSE))</f>
        <v>11400</v>
      </c>
      <c r="P44" s="43">
        <f t="shared" ca="1" si="1"/>
        <v>1.9791666666529235E-3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hidden="1" customHeight="1" x14ac:dyDescent="0.15">
      <c r="A45" s="2" t="str">
        <f ca="1">input_564100!A$2</f>
        <v>564100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IFERROR(VLOOKUP(B45,input_564100!L:R,7,FALSE),VLOOKUP(tables_564100!C45,input_564100!A:H,8,FALSE))</f>
        <v>0</v>
      </c>
      <c r="P45" s="43">
        <f t="shared" ca="1" si="1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hidden="1" customHeight="1" x14ac:dyDescent="0.15">
      <c r="A46" s="2" t="str">
        <f ca="1">input_564100!A$2</f>
        <v>564100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IFERROR(VLOOKUP(B46,input_564100!L:R,7,FALSE),VLOOKUP(tables_564100!C46,input_564100!A:H,8,FALSE))</f>
        <v>45600</v>
      </c>
      <c r="P46" s="43">
        <f t="shared" ca="1" si="1"/>
        <v>7.916666666611694E-3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hidden="1" customHeight="1" x14ac:dyDescent="0.15">
      <c r="A47" s="2" t="str">
        <f ca="1">input_564100!A$2</f>
        <v>564100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IFERROR(VLOOKUP(B47,input_564100!L:R,7,FALSE),VLOOKUP(tables_564100!C47,input_564100!A:H,8,FALSE))</f>
        <v>11400</v>
      </c>
      <c r="P47" s="43">
        <f t="shared" ca="1" si="1"/>
        <v>1.9791666666529235E-3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hidden="1" customHeight="1" x14ac:dyDescent="0.15">
      <c r="A48" s="2" t="str">
        <f ca="1">input_564100!A$2</f>
        <v>564100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IFERROR(VLOOKUP(B48,input_564100!L:R,7,FALSE),VLOOKUP(tables_564100!C48,input_564100!A:H,8,FALSE))</f>
        <v>0</v>
      </c>
      <c r="P48" s="43">
        <f t="shared" ca="1" si="1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hidden="1" customHeight="1" x14ac:dyDescent="0.15">
      <c r="A49" s="2" t="str">
        <f ca="1">input_564100!A$2</f>
        <v>564100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IFERROR(VLOOKUP(B49,input_564100!L:R,7,FALSE),VLOOKUP(tables_564100!C49,input_564100!A:H,8,FALSE))</f>
        <v>45600</v>
      </c>
      <c r="P49" s="43">
        <f t="shared" ca="1" si="1"/>
        <v>7.916666666611694E-3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hidden="1" customHeight="1" x14ac:dyDescent="0.15">
      <c r="A50" s="2" t="str">
        <f ca="1">input_564100!A$2</f>
        <v>564100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IFERROR(VLOOKUP(B50,input_564100!L:R,7,FALSE),VLOOKUP(tables_564100!C50,input_564100!A:H,8,FALSE))</f>
        <v>11400</v>
      </c>
      <c r="P50" s="43">
        <f t="shared" ca="1" si="1"/>
        <v>1.9791666666529235E-3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hidden="1" customHeight="1" x14ac:dyDescent="0.15">
      <c r="A51" s="2" t="str">
        <f ca="1">input_564100!A$2</f>
        <v>564100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IFERROR(VLOOKUP(B51,input_564100!L:R,7,FALSE),VLOOKUP(tables_564100!C51,input_564100!A:H,8,FALSE))</f>
        <v>0</v>
      </c>
      <c r="P51" s="43">
        <f t="shared" ca="1" si="1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hidden="1" customHeight="1" x14ac:dyDescent="0.15">
      <c r="A52" s="2" t="str">
        <f ca="1">input_564100!A$2</f>
        <v>564100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IFERROR(VLOOKUP(B52,input_564100!L:R,7,FALSE),VLOOKUP(tables_564100!C52,input_564100!A:H,8,FALSE))</f>
        <v>42530.769229999998</v>
      </c>
      <c r="P52" s="43">
        <f t="shared" ca="1" si="1"/>
        <v>7.383814102379282E-3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hidden="1" customHeight="1" x14ac:dyDescent="0.15">
      <c r="A53" s="2" t="str">
        <f ca="1">input_564100!A$2</f>
        <v>564100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IFERROR(VLOOKUP(B53,input_564100!L:R,7,FALSE),VLOOKUP(tables_564100!C53,input_564100!A:H,8,FALSE))</f>
        <v>14469.23077</v>
      </c>
      <c r="P53" s="43">
        <f t="shared" ca="1" si="1"/>
        <v>2.5120192308853342E-3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hidden="1" customHeight="1" x14ac:dyDescent="0.15">
      <c r="A54" s="2" t="str">
        <f ca="1">input_564100!A$2</f>
        <v>564100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IFERROR(VLOOKUP(B54,input_564100!L:R,7,FALSE),VLOOKUP(tables_564100!C54,input_564100!A:H,8,FALSE))</f>
        <v>0</v>
      </c>
      <c r="P54" s="43">
        <f t="shared" ca="1" si="1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hidden="1" customHeight="1" x14ac:dyDescent="0.15">
      <c r="A55" s="2" t="str">
        <f ca="1">input_564100!A$2</f>
        <v>564100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IFERROR(VLOOKUP(B55,input_564100!L:R,7,FALSE),VLOOKUP(tables_564100!C55,input_564100!A:H,8,FALSE))</f>
        <v>42530.769229999998</v>
      </c>
      <c r="P55" s="43">
        <f t="shared" ca="1" si="1"/>
        <v>7.383814102379282E-3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hidden="1" customHeight="1" x14ac:dyDescent="0.15">
      <c r="A56" s="2" t="str">
        <f ca="1">input_564100!A$2</f>
        <v>564100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IFERROR(VLOOKUP(B56,input_564100!L:R,7,FALSE),VLOOKUP(tables_564100!C56,input_564100!A:H,8,FALSE))</f>
        <v>14469.23077</v>
      </c>
      <c r="P56" s="43">
        <f t="shared" ca="1" si="1"/>
        <v>2.5120192308853342E-3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hidden="1" customHeight="1" x14ac:dyDescent="0.15">
      <c r="A57" s="2" t="str">
        <f ca="1">input_564100!A$2</f>
        <v>564100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IFERROR(VLOOKUP(B57,input_564100!L:R,7,FALSE),VLOOKUP(tables_564100!C57,input_564100!A:H,8,FALSE))</f>
        <v>0</v>
      </c>
      <c r="P57" s="43">
        <f t="shared" ca="1" si="1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hidden="1" customHeight="1" x14ac:dyDescent="0.15">
      <c r="A58" s="2" t="str">
        <f ca="1">input_564100!A$2</f>
        <v>564100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IFERROR(VLOOKUP(B58,input_564100!L:R,7,FALSE),VLOOKUP(tables_564100!C58,input_564100!A:H,8,FALSE))</f>
        <v>42530.769229999998</v>
      </c>
      <c r="P58" s="43">
        <f t="shared" ca="1" si="1"/>
        <v>7.383814102379282E-3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hidden="1" customHeight="1" x14ac:dyDescent="0.15">
      <c r="A59" s="2" t="str">
        <f ca="1">input_564100!A$2</f>
        <v>564100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IFERROR(VLOOKUP(B59,input_564100!L:R,7,FALSE),VLOOKUP(tables_564100!C59,input_564100!A:H,8,FALSE))</f>
        <v>14469.23077</v>
      </c>
      <c r="P59" s="43">
        <f t="shared" ca="1" si="1"/>
        <v>2.5120192308853342E-3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hidden="1" customHeight="1" x14ac:dyDescent="0.15">
      <c r="A60" s="2" t="str">
        <f ca="1">input_564100!A$2</f>
        <v>564100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IFERROR(VLOOKUP(B60,input_564100!L:R,7,FALSE),VLOOKUP(tables_564100!C60,input_564100!A:H,8,FALSE))</f>
        <v>0</v>
      </c>
      <c r="P60" s="43">
        <f t="shared" ca="1" si="1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hidden="1" customHeight="1" x14ac:dyDescent="0.15">
      <c r="A61" s="2" t="str">
        <f ca="1">input_564100!A$2</f>
        <v>564100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IFERROR(VLOOKUP(B61,input_564100!L:R,7,FALSE),VLOOKUP(tables_564100!C61,input_564100!A:H,8,FALSE))</f>
        <v>42530.769229999998</v>
      </c>
      <c r="P61" s="43">
        <f t="shared" ca="1" si="1"/>
        <v>7.383814102379282E-3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hidden="1" customHeight="1" x14ac:dyDescent="0.15">
      <c r="A62" s="2" t="str">
        <f ca="1">input_564100!A$2</f>
        <v>564100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IFERROR(VLOOKUP(B62,input_564100!L:R,7,FALSE),VLOOKUP(tables_564100!C62,input_564100!A:H,8,FALSE))</f>
        <v>14469.23077</v>
      </c>
      <c r="P62" s="43">
        <f t="shared" ca="1" si="1"/>
        <v>2.5120192308853342E-3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hidden="1" customHeight="1" x14ac:dyDescent="0.15">
      <c r="A63" s="2" t="str">
        <f ca="1">input_564100!A$2</f>
        <v>564100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IFERROR(VLOOKUP(B63,input_564100!L:R,7,FALSE),VLOOKUP(tables_564100!C63,input_564100!A:H,8,FALSE))</f>
        <v>0</v>
      </c>
      <c r="P63" s="43">
        <f t="shared" ca="1" si="1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hidden="1" customHeight="1" x14ac:dyDescent="0.15">
      <c r="A64" s="2" t="str">
        <f ca="1">input_564100!A$2</f>
        <v>564100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IFERROR(VLOOKUP(B64,input_564100!L:R,7,FALSE),VLOOKUP(tables_564100!C64,input_564100!A:H,8,FALSE))</f>
        <v>42530.769229999998</v>
      </c>
      <c r="P64" s="43">
        <f t="shared" ca="1" si="1"/>
        <v>7.383814102379282E-3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hidden="1" customHeight="1" x14ac:dyDescent="0.15">
      <c r="A65" s="2" t="str">
        <f ca="1">input_564100!A$2</f>
        <v>564100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IFERROR(VLOOKUP(B65,input_564100!L:R,7,FALSE),VLOOKUP(tables_564100!C65,input_564100!A:H,8,FALSE))</f>
        <v>14469.23077</v>
      </c>
      <c r="P65" s="43">
        <f t="shared" ca="1" si="1"/>
        <v>2.5120192308853342E-3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hidden="1" customHeight="1" thickBot="1" x14ac:dyDescent="0.2">
      <c r="A66" s="2" t="str">
        <f ca="1">input_564100!A$2</f>
        <v>564100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IFERROR(VLOOKUP(B66,input_564100!L:R,7,FALSE),VLOOKUP(tables_564100!C66,input_564100!A:H,8,FALSE))</f>
        <v>0</v>
      </c>
      <c r="P66" s="43">
        <f t="shared" ref="P66:P129" ca="1" si="4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hidden="1" customHeight="1" x14ac:dyDescent="0.15">
      <c r="A67" s="2" t="str">
        <f ca="1">input_564100!A$2</f>
        <v>564100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IFERROR(VLOOKUP(B67,input_564100!L:R,7,FALSE),VLOOKUP(tables_564100!C67,input_564100!A:H,8,FALSE))</f>
        <v>42530.769229999998</v>
      </c>
      <c r="P67" s="43">
        <f t="shared" ca="1" si="4"/>
        <v>7.383814102379282E-3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hidden="1" customHeight="1" x14ac:dyDescent="0.15">
      <c r="A68" s="2" t="str">
        <f ca="1">input_564100!A$2</f>
        <v>564100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IFERROR(VLOOKUP(B68,input_564100!L:R,7,FALSE),VLOOKUP(tables_564100!C68,input_564100!A:H,8,FALSE))</f>
        <v>14469.23077</v>
      </c>
      <c r="P68" s="43">
        <f t="shared" ca="1" si="4"/>
        <v>2.5120192308853342E-3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hidden="1" customHeight="1" x14ac:dyDescent="0.15">
      <c r="A69" s="2" t="str">
        <f ca="1">input_564100!A$2</f>
        <v>564100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IFERROR(VLOOKUP(B69,input_564100!L:R,7,FALSE),VLOOKUP(tables_564100!C69,input_564100!A:H,8,FALSE))</f>
        <v>0</v>
      </c>
      <c r="P69" s="43">
        <f t="shared" ca="1" si="4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hidden="1" customHeight="1" x14ac:dyDescent="0.15">
      <c r="A70" s="2" t="str">
        <f ca="1">input_564100!A$2</f>
        <v>564100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IFERROR(VLOOKUP(B70,input_564100!L:R,7,FALSE),VLOOKUP(tables_564100!C70,input_564100!A:H,8,FALSE))</f>
        <v>42530.769229999998</v>
      </c>
      <c r="P70" s="43">
        <f t="shared" ca="1" si="4"/>
        <v>7.383814102379282E-3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hidden="1" customHeight="1" x14ac:dyDescent="0.15">
      <c r="A71" s="2" t="str">
        <f ca="1">input_564100!A$2</f>
        <v>564100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IFERROR(VLOOKUP(B71,input_564100!L:R,7,FALSE),VLOOKUP(tables_564100!C71,input_564100!A:H,8,FALSE))</f>
        <v>14469.23077</v>
      </c>
      <c r="P71" s="43">
        <f t="shared" ca="1" si="4"/>
        <v>2.5120192308853342E-3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hidden="1" customHeight="1" x14ac:dyDescent="0.15">
      <c r="A72" s="2" t="str">
        <f ca="1">input_564100!A$2</f>
        <v>564100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IFERROR(VLOOKUP(B72,input_564100!L:R,7,FALSE),VLOOKUP(tables_564100!C72,input_564100!A:H,8,FALSE))</f>
        <v>0</v>
      </c>
      <c r="P72" s="43">
        <f t="shared" ca="1" si="4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hidden="1" customHeight="1" x14ac:dyDescent="0.15">
      <c r="A73" s="2" t="str">
        <f ca="1">input_564100!A$2</f>
        <v>564100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IFERROR(VLOOKUP(B73,input_564100!L:R,7,FALSE),VLOOKUP(tables_564100!C73,input_564100!A:H,8,FALSE))</f>
        <v>42530.769229999998</v>
      </c>
      <c r="P73" s="43">
        <f t="shared" ca="1" si="4"/>
        <v>7.383814102379282E-3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hidden="1" customHeight="1" x14ac:dyDescent="0.15">
      <c r="A74" s="2" t="str">
        <f ca="1">input_564100!A$2</f>
        <v>564100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IFERROR(VLOOKUP(B74,input_564100!L:R,7,FALSE),VLOOKUP(tables_564100!C74,input_564100!A:H,8,FALSE))</f>
        <v>14469.23077</v>
      </c>
      <c r="P74" s="43">
        <f t="shared" ca="1" si="4"/>
        <v>2.5120192308853342E-3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hidden="1" customHeight="1" x14ac:dyDescent="0.15">
      <c r="A75" s="2" t="str">
        <f ca="1">input_564100!A$2</f>
        <v>564100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IFERROR(VLOOKUP(B75,input_564100!L:R,7,FALSE),VLOOKUP(tables_564100!C75,input_564100!A:H,8,FALSE))</f>
        <v>0</v>
      </c>
      <c r="P75" s="43">
        <f t="shared" ca="1" si="4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hidden="1" customHeight="1" x14ac:dyDescent="0.15">
      <c r="A76" s="2" t="str">
        <f ca="1">input_564100!A$2</f>
        <v>564100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IFERROR(VLOOKUP(B76,input_564100!L:R,7,FALSE),VLOOKUP(tables_564100!C76,input_564100!A:H,8,FALSE))</f>
        <v>42530.769229999998</v>
      </c>
      <c r="P76" s="43">
        <f t="shared" ca="1" si="4"/>
        <v>7.383814102379282E-3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hidden="1" customHeight="1" x14ac:dyDescent="0.15">
      <c r="A77" s="2" t="str">
        <f ca="1">input_564100!A$2</f>
        <v>564100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IFERROR(VLOOKUP(B77,input_564100!L:R,7,FALSE),VLOOKUP(tables_564100!C77,input_564100!A:H,8,FALSE))</f>
        <v>14469.23077</v>
      </c>
      <c r="P77" s="43">
        <f t="shared" ca="1" si="4"/>
        <v>2.5120192308853342E-3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hidden="1" customHeight="1" x14ac:dyDescent="0.15">
      <c r="A78" s="2" t="str">
        <f ca="1">input_564100!A$2</f>
        <v>564100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IFERROR(VLOOKUP(B78,input_564100!L:R,7,FALSE),VLOOKUP(tables_564100!C78,input_564100!A:H,8,FALSE))</f>
        <v>0</v>
      </c>
      <c r="P78" s="43">
        <f t="shared" ca="1" si="4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hidden="1" customHeight="1" x14ac:dyDescent="0.15">
      <c r="A79" s="2" t="str">
        <f ca="1">input_564100!A$2</f>
        <v>564100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IFERROR(VLOOKUP(B79,input_564100!L:R,7,FALSE),VLOOKUP(tables_564100!C79,input_564100!A:H,8,FALSE))</f>
        <v>42530.769229999998</v>
      </c>
      <c r="P79" s="43">
        <f t="shared" ca="1" si="4"/>
        <v>7.383814102379282E-3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hidden="1" customHeight="1" x14ac:dyDescent="0.15">
      <c r="A80" s="2" t="str">
        <f ca="1">input_564100!A$2</f>
        <v>564100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IFERROR(VLOOKUP(B80,input_564100!L:R,7,FALSE),VLOOKUP(tables_564100!C80,input_564100!A:H,8,FALSE))</f>
        <v>14469.23077</v>
      </c>
      <c r="P80" s="43">
        <f t="shared" ca="1" si="4"/>
        <v>2.5120192308853342E-3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hidden="1" customHeight="1" x14ac:dyDescent="0.15">
      <c r="A81" s="2" t="str">
        <f ca="1">input_564100!A$2</f>
        <v>564100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IFERROR(VLOOKUP(B81,input_564100!L:R,7,FALSE),VLOOKUP(tables_564100!C81,input_564100!A:H,8,FALSE))</f>
        <v>0</v>
      </c>
      <c r="P81" s="43">
        <f t="shared" ca="1" si="4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hidden="1" customHeight="1" x14ac:dyDescent="0.15">
      <c r="A82" s="2" t="str">
        <f ca="1">input_564100!A$2</f>
        <v>564100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IFERROR(VLOOKUP(B82,input_564100!L:R,7,FALSE),VLOOKUP(tables_564100!C82,input_564100!A:H,8,FALSE))</f>
        <v>42530.769229999998</v>
      </c>
      <c r="P82" s="43">
        <f t="shared" ca="1" si="4"/>
        <v>7.383814102379282E-3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hidden="1" customHeight="1" x14ac:dyDescent="0.15">
      <c r="A83" s="2" t="str">
        <f ca="1">input_564100!A$2</f>
        <v>564100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IFERROR(VLOOKUP(B83,input_564100!L:R,7,FALSE),VLOOKUP(tables_564100!C83,input_564100!A:H,8,FALSE))</f>
        <v>14469.23077</v>
      </c>
      <c r="P83" s="43">
        <f t="shared" ca="1" si="4"/>
        <v>2.5120192308853342E-3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hidden="1" customHeight="1" x14ac:dyDescent="0.15">
      <c r="A84" s="2" t="str">
        <f ca="1">input_564100!A$2</f>
        <v>564100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IFERROR(VLOOKUP(B84,input_564100!L:R,7,FALSE),VLOOKUP(tables_564100!C84,input_564100!A:H,8,FALSE))</f>
        <v>0</v>
      </c>
      <c r="P84" s="43">
        <f t="shared" ca="1" si="4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hidden="1" customHeight="1" x14ac:dyDescent="0.15">
      <c r="A85" s="2" t="str">
        <f ca="1">input_564100!A$2</f>
        <v>564100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IFERROR(VLOOKUP(B85,input_564100!L:R,7,FALSE),VLOOKUP(tables_564100!C85,input_564100!A:H,8,FALSE))</f>
        <v>42530.769229999998</v>
      </c>
      <c r="P85" s="43">
        <f t="shared" ca="1" si="4"/>
        <v>7.383814102379282E-3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hidden="1" customHeight="1" x14ac:dyDescent="0.15">
      <c r="A86" s="2" t="str">
        <f ca="1">input_564100!A$2</f>
        <v>564100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IFERROR(VLOOKUP(B86,input_564100!L:R,7,FALSE),VLOOKUP(tables_564100!C86,input_564100!A:H,8,FALSE))</f>
        <v>14469.23077</v>
      </c>
      <c r="P86" s="43">
        <f t="shared" ca="1" si="4"/>
        <v>2.5120192308853342E-3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hidden="1" customHeight="1" x14ac:dyDescent="0.15">
      <c r="A87" s="2" t="str">
        <f ca="1">input_564100!A$2</f>
        <v>564100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IFERROR(VLOOKUP(B87,input_564100!L:R,7,FALSE),VLOOKUP(tables_564100!C87,input_564100!A:H,8,FALSE))</f>
        <v>0</v>
      </c>
      <c r="P87" s="43">
        <f t="shared" ca="1" si="4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hidden="1" customHeight="1" x14ac:dyDescent="0.15">
      <c r="A88" s="2" t="str">
        <f ca="1">input_564100!A$2</f>
        <v>564100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IFERROR(VLOOKUP(B88,input_564100!L:R,7,FALSE),VLOOKUP(tables_564100!C88,input_564100!A:H,8,FALSE))</f>
        <v>42530.769229999998</v>
      </c>
      <c r="P88" s="43">
        <f t="shared" ca="1" si="4"/>
        <v>7.383814102379282E-3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hidden="1" customHeight="1" x14ac:dyDescent="0.15">
      <c r="A89" s="2" t="str">
        <f ca="1">input_564100!A$2</f>
        <v>564100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IFERROR(VLOOKUP(B89,input_564100!L:R,7,FALSE),VLOOKUP(tables_564100!C89,input_564100!A:H,8,FALSE))</f>
        <v>14469.23077</v>
      </c>
      <c r="P89" s="43">
        <f t="shared" ca="1" si="4"/>
        <v>2.5120192308853342E-3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hidden="1" customHeight="1" x14ac:dyDescent="0.15">
      <c r="A90" s="2" t="str">
        <f ca="1">input_564100!A$2</f>
        <v>564100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IFERROR(VLOOKUP(B90,input_564100!L:R,7,FALSE),VLOOKUP(tables_564100!C90,input_564100!A:H,8,FALSE))</f>
        <v>0</v>
      </c>
      <c r="P90" s="43">
        <f t="shared" ca="1" si="4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hidden="1" customHeight="1" x14ac:dyDescent="0.15">
      <c r="A91" s="2" t="str">
        <f ca="1">input_564100!A$2</f>
        <v>564100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IFERROR(VLOOKUP(B91,input_564100!L:R,7,FALSE),VLOOKUP(tables_564100!C91,input_564100!A:H,8,FALSE))</f>
        <v>42530.769229999998</v>
      </c>
      <c r="P91" s="43">
        <f t="shared" ca="1" si="4"/>
        <v>7.383814102379282E-3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hidden="1" customHeight="1" x14ac:dyDescent="0.15">
      <c r="A92" s="2" t="str">
        <f ca="1">input_564100!A$2</f>
        <v>564100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IFERROR(VLOOKUP(B92,input_564100!L:R,7,FALSE),VLOOKUP(tables_564100!C92,input_564100!A:H,8,FALSE))</f>
        <v>14469.23077</v>
      </c>
      <c r="P92" s="43">
        <f t="shared" ca="1" si="4"/>
        <v>2.5120192308853342E-3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hidden="1" customHeight="1" x14ac:dyDescent="0.15">
      <c r="A93" s="2" t="str">
        <f ca="1">input_564100!A$2</f>
        <v>564100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IFERROR(VLOOKUP(B93,input_564100!L:R,7,FALSE),VLOOKUP(tables_564100!C93,input_564100!A:H,8,FALSE))</f>
        <v>0</v>
      </c>
      <c r="P93" s="43">
        <f t="shared" ca="1" si="4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hidden="1" customHeight="1" x14ac:dyDescent="0.15">
      <c r="A94" s="2" t="str">
        <f ca="1">input_564100!A$2</f>
        <v>564100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IFERROR(VLOOKUP(B94,input_564100!L:R,7,FALSE),VLOOKUP(tables_564100!C94,input_564100!A:H,8,FALSE))</f>
        <v>42530.769229999998</v>
      </c>
      <c r="P94" s="43">
        <f t="shared" ca="1" si="4"/>
        <v>7.383814102379282E-3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hidden="1" customHeight="1" x14ac:dyDescent="0.15">
      <c r="A95" s="2" t="str">
        <f ca="1">input_564100!A$2</f>
        <v>564100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IFERROR(VLOOKUP(B95,input_564100!L:R,7,FALSE),VLOOKUP(tables_564100!C95,input_564100!A:H,8,FALSE))</f>
        <v>14469.23077</v>
      </c>
      <c r="P95" s="43">
        <f t="shared" ca="1" si="4"/>
        <v>2.5120192308853342E-3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hidden="1" customHeight="1" x14ac:dyDescent="0.15">
      <c r="A96" s="2" t="str">
        <f ca="1">input_564100!A$2</f>
        <v>564100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IFERROR(VLOOKUP(B96,input_564100!L:R,7,FALSE),VLOOKUP(tables_564100!C96,input_564100!A:H,8,FALSE))</f>
        <v>0</v>
      </c>
      <c r="P96" s="43">
        <f t="shared" ca="1" si="4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hidden="1" customHeight="1" x14ac:dyDescent="0.15">
      <c r="A97" s="2" t="str">
        <f ca="1">input_564100!A$2</f>
        <v>564100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IFERROR(VLOOKUP(B97,input_564100!L:R,7,FALSE),VLOOKUP(tables_564100!C97,input_564100!A:H,8,FALSE))</f>
        <v>42530.769229999998</v>
      </c>
      <c r="P97" s="43">
        <f t="shared" ca="1" si="4"/>
        <v>7.383814102379282E-3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hidden="1" customHeight="1" x14ac:dyDescent="0.15">
      <c r="A98" s="2" t="str">
        <f ca="1">input_564100!A$2</f>
        <v>564100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IFERROR(VLOOKUP(B98,input_564100!L:R,7,FALSE),VLOOKUP(tables_564100!C98,input_564100!A:H,8,FALSE))</f>
        <v>14469.23077</v>
      </c>
      <c r="P98" s="43">
        <f t="shared" ca="1" si="4"/>
        <v>2.5120192308853342E-3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hidden="1" customHeight="1" x14ac:dyDescent="0.15">
      <c r="A99" s="2" t="str">
        <f ca="1">input_564100!A$2</f>
        <v>564100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IFERROR(VLOOKUP(B99,input_564100!L:R,7,FALSE),VLOOKUP(tables_564100!C99,input_564100!A:H,8,FALSE))</f>
        <v>0</v>
      </c>
      <c r="P99" s="43">
        <f t="shared" ca="1" si="4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hidden="1" customHeight="1" x14ac:dyDescent="0.15">
      <c r="A100" s="2" t="str">
        <f ca="1">input_564100!A$2</f>
        <v>564100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IFERROR(VLOOKUP(B100,input_564100!L:R,7,FALSE),VLOOKUP(tables_564100!C100,input_564100!A:H,8,FALSE))</f>
        <v>42530.769229999998</v>
      </c>
      <c r="P100" s="43">
        <f t="shared" ca="1" si="4"/>
        <v>7.383814102379282E-3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hidden="1" customHeight="1" x14ac:dyDescent="0.15">
      <c r="A101" s="2" t="str">
        <f ca="1">input_564100!A$2</f>
        <v>564100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IFERROR(VLOOKUP(B101,input_564100!L:R,7,FALSE),VLOOKUP(tables_564100!C101,input_564100!A:H,8,FALSE))</f>
        <v>14469.23077</v>
      </c>
      <c r="P101" s="43">
        <f t="shared" ca="1" si="4"/>
        <v>2.5120192308853342E-3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hidden="1" customHeight="1" x14ac:dyDescent="0.15">
      <c r="A102" s="2" t="str">
        <f ca="1">input_564100!A$2</f>
        <v>564100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IFERROR(VLOOKUP(B102,input_564100!L:R,7,FALSE),VLOOKUP(tables_564100!C102,input_564100!A:H,8,FALSE))</f>
        <v>0</v>
      </c>
      <c r="P102" s="43">
        <f t="shared" ca="1" si="4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hidden="1" customHeight="1" x14ac:dyDescent="0.15">
      <c r="A103" s="2" t="str">
        <f ca="1">input_564100!A$2</f>
        <v>564100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IFERROR(VLOOKUP(B103,input_564100!L:R,7,FALSE),VLOOKUP(tables_564100!C103,input_564100!A:H,8,FALSE))</f>
        <v>42530.769229999998</v>
      </c>
      <c r="P103" s="43">
        <f t="shared" ca="1" si="4"/>
        <v>7.383814102379282E-3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hidden="1" customHeight="1" x14ac:dyDescent="0.15">
      <c r="A104" s="2" t="str">
        <f ca="1">input_564100!A$2</f>
        <v>564100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IFERROR(VLOOKUP(B104,input_564100!L:R,7,FALSE),VLOOKUP(tables_564100!C104,input_564100!A:H,8,FALSE))</f>
        <v>14469.23077</v>
      </c>
      <c r="P104" s="43">
        <f t="shared" ca="1" si="4"/>
        <v>2.5120192308853342E-3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hidden="1" customHeight="1" x14ac:dyDescent="0.15">
      <c r="A105" s="2" t="str">
        <f ca="1">input_564100!A$2</f>
        <v>564100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IFERROR(VLOOKUP(B105,input_564100!L:R,7,FALSE),VLOOKUP(tables_564100!C105,input_564100!A:H,8,FALSE))</f>
        <v>0</v>
      </c>
      <c r="P105" s="43">
        <f t="shared" ca="1" si="4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hidden="1" customHeight="1" x14ac:dyDescent="0.15">
      <c r="A106" s="2" t="str">
        <f ca="1">input_564100!A$2</f>
        <v>564100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IFERROR(VLOOKUP(B106,input_564100!L:R,7,FALSE),VLOOKUP(tables_564100!C106,input_564100!A:H,8,FALSE))</f>
        <v>42530.769229999998</v>
      </c>
      <c r="P106" s="43">
        <f t="shared" ca="1" si="4"/>
        <v>7.383814102379282E-3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hidden="1" customHeight="1" x14ac:dyDescent="0.15">
      <c r="A107" s="2" t="str">
        <f ca="1">input_564100!A$2</f>
        <v>564100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IFERROR(VLOOKUP(B107,input_564100!L:R,7,FALSE),VLOOKUP(tables_564100!C107,input_564100!A:H,8,FALSE))</f>
        <v>14469.23077</v>
      </c>
      <c r="P107" s="43">
        <f t="shared" ca="1" si="4"/>
        <v>2.5120192308853342E-3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hidden="1" customHeight="1" x14ac:dyDescent="0.15">
      <c r="A108" s="2" t="str">
        <f ca="1">input_564100!A$2</f>
        <v>564100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IFERROR(VLOOKUP(B108,input_564100!L:R,7,FALSE),VLOOKUP(tables_564100!C108,input_564100!A:H,8,FALSE))</f>
        <v>0</v>
      </c>
      <c r="P108" s="43">
        <f t="shared" ca="1" si="4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hidden="1" customHeight="1" x14ac:dyDescent="0.15">
      <c r="A109" s="2" t="str">
        <f ca="1">input_564100!A$2</f>
        <v>564100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IFERROR(VLOOKUP(B109,input_564100!L:R,7,FALSE),VLOOKUP(tables_564100!C109,input_564100!A:H,8,FALSE))</f>
        <v>42530.769229999998</v>
      </c>
      <c r="P109" s="43">
        <f t="shared" ca="1" si="4"/>
        <v>7.383814102379282E-3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hidden="1" customHeight="1" x14ac:dyDescent="0.15">
      <c r="A110" s="2" t="str">
        <f ca="1">input_564100!A$2</f>
        <v>564100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IFERROR(VLOOKUP(B110,input_564100!L:R,7,FALSE),VLOOKUP(tables_564100!C110,input_564100!A:H,8,FALSE))</f>
        <v>14469.23077</v>
      </c>
      <c r="P110" s="43">
        <f t="shared" ca="1" si="4"/>
        <v>2.5120192308853342E-3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hidden="1" customHeight="1" x14ac:dyDescent="0.15">
      <c r="A111" s="2" t="str">
        <f ca="1">input_564100!A$2</f>
        <v>564100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IFERROR(VLOOKUP(B111,input_564100!L:R,7,FALSE),VLOOKUP(tables_564100!C111,input_564100!A:H,8,FALSE))</f>
        <v>0</v>
      </c>
      <c r="P111" s="43">
        <f t="shared" ca="1" si="4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hidden="1" customHeight="1" x14ac:dyDescent="0.15">
      <c r="A112" s="2" t="str">
        <f ca="1">input_564100!A$2</f>
        <v>564100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IFERROR(VLOOKUP(B112,input_564100!L:R,7,FALSE),VLOOKUP(tables_564100!C112,input_564100!A:H,8,FALSE))</f>
        <v>45600</v>
      </c>
      <c r="P112" s="43">
        <f t="shared" ca="1" si="4"/>
        <v>7.916666666611694E-3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hidden="1" customHeight="1" x14ac:dyDescent="0.15">
      <c r="A113" s="2" t="str">
        <f ca="1">input_564100!A$2</f>
        <v>564100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IFERROR(VLOOKUP(B113,input_564100!L:R,7,FALSE),VLOOKUP(tables_564100!C113,input_564100!A:H,8,FALSE))</f>
        <v>11400</v>
      </c>
      <c r="P113" s="43">
        <f t="shared" ca="1" si="4"/>
        <v>1.9791666666529235E-3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hidden="1" customHeight="1" x14ac:dyDescent="0.15">
      <c r="A114" s="2" t="str">
        <f ca="1">input_564100!A$2</f>
        <v>564100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IFERROR(VLOOKUP(B114,input_564100!L:R,7,FALSE),VLOOKUP(tables_564100!C114,input_564100!A:H,8,FALSE))</f>
        <v>0</v>
      </c>
      <c r="P114" s="43">
        <f t="shared" ca="1" si="4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hidden="1" customHeight="1" x14ac:dyDescent="0.15">
      <c r="A115" s="2" t="str">
        <f ca="1">input_564100!A$2</f>
        <v>564100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IFERROR(VLOOKUP(B115,input_564100!L:R,7,FALSE),VLOOKUP(tables_564100!C115,input_564100!A:H,8,FALSE))</f>
        <v>42530.769229999998</v>
      </c>
      <c r="P115" s="43">
        <f t="shared" ca="1" si="4"/>
        <v>7.383814102379282E-3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hidden="1" customHeight="1" x14ac:dyDescent="0.15">
      <c r="A116" s="2" t="str">
        <f ca="1">input_564100!A$2</f>
        <v>564100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IFERROR(VLOOKUP(B116,input_564100!L:R,7,FALSE),VLOOKUP(tables_564100!C116,input_564100!A:H,8,FALSE))</f>
        <v>14469.23077</v>
      </c>
      <c r="P116" s="43">
        <f t="shared" ca="1" si="4"/>
        <v>2.5120192308853342E-3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hidden="1" customHeight="1" x14ac:dyDescent="0.15">
      <c r="A117" s="2" t="str">
        <f ca="1">input_564100!A$2</f>
        <v>564100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IFERROR(VLOOKUP(B117,input_564100!L:R,7,FALSE),VLOOKUP(tables_564100!C117,input_564100!A:H,8,FALSE))</f>
        <v>0</v>
      </c>
      <c r="P117" s="43">
        <f t="shared" ca="1" si="4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hidden="1" customHeight="1" x14ac:dyDescent="0.15">
      <c r="A118" s="2" t="str">
        <f ca="1">input_564100!A$2</f>
        <v>564100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IFERROR(VLOOKUP(B118,input_564100!L:R,7,FALSE),VLOOKUP(tables_564100!C118,input_564100!A:H,8,FALSE))</f>
        <v>42530.769229999998</v>
      </c>
      <c r="P118" s="43">
        <f t="shared" ca="1" si="4"/>
        <v>7.383814102379282E-3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hidden="1" customHeight="1" x14ac:dyDescent="0.15">
      <c r="A119" s="2" t="str">
        <f ca="1">input_564100!A$2</f>
        <v>564100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IFERROR(VLOOKUP(B119,input_564100!L:R,7,FALSE),VLOOKUP(tables_564100!C119,input_564100!A:H,8,FALSE))</f>
        <v>14469.23077</v>
      </c>
      <c r="P119" s="43">
        <f t="shared" ca="1" si="4"/>
        <v>2.5120192308853342E-3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hidden="1" customHeight="1" x14ac:dyDescent="0.15">
      <c r="A120" s="2" t="str">
        <f ca="1">input_564100!A$2</f>
        <v>564100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IFERROR(VLOOKUP(B120,input_564100!L:R,7,FALSE),VLOOKUP(tables_564100!C120,input_564100!A:H,8,FALSE))</f>
        <v>0</v>
      </c>
      <c r="P120" s="43">
        <f t="shared" ca="1" si="4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hidden="1" customHeight="1" x14ac:dyDescent="0.15">
      <c r="A121" s="2" t="str">
        <f ca="1">input_564100!A$2</f>
        <v>564100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IFERROR(VLOOKUP(B121,input_564100!L:R,7,FALSE),VLOOKUP(tables_564100!C121,input_564100!A:H,8,FALSE))</f>
        <v>42530.769229999998</v>
      </c>
      <c r="P121" s="43">
        <f t="shared" ca="1" si="4"/>
        <v>7.383814102379282E-3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hidden="1" customHeight="1" x14ac:dyDescent="0.15">
      <c r="A122" s="2" t="str">
        <f ca="1">input_564100!A$2</f>
        <v>564100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IFERROR(VLOOKUP(B122,input_564100!L:R,7,FALSE),VLOOKUP(tables_564100!C122,input_564100!A:H,8,FALSE))</f>
        <v>14469.23077</v>
      </c>
      <c r="P122" s="43">
        <f t="shared" ca="1" si="4"/>
        <v>2.5120192308853342E-3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hidden="1" customHeight="1" x14ac:dyDescent="0.15">
      <c r="A123" s="2" t="str">
        <f ca="1">input_564100!A$2</f>
        <v>564100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IFERROR(VLOOKUP(B123,input_564100!L:R,7,FALSE),VLOOKUP(tables_564100!C123,input_564100!A:H,8,FALSE))</f>
        <v>0</v>
      </c>
      <c r="P123" s="43">
        <f t="shared" ca="1" si="4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hidden="1" customHeight="1" x14ac:dyDescent="0.15">
      <c r="A124" s="2" t="str">
        <f ca="1">input_564100!A$2</f>
        <v>564100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IFERROR(VLOOKUP(B124,input_564100!L:R,7,FALSE),VLOOKUP(tables_564100!C124,input_564100!A:H,8,FALSE))</f>
        <v>42530.769229999998</v>
      </c>
      <c r="P124" s="43">
        <f t="shared" ca="1" si="4"/>
        <v>7.383814102379282E-3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hidden="1" customHeight="1" x14ac:dyDescent="0.15">
      <c r="A125" s="2" t="str">
        <f ca="1">input_564100!A$2</f>
        <v>564100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IFERROR(VLOOKUP(B125,input_564100!L:R,7,FALSE),VLOOKUP(tables_564100!C125,input_564100!A:H,8,FALSE))</f>
        <v>14469.23077</v>
      </c>
      <c r="P125" s="43">
        <f t="shared" ca="1" si="4"/>
        <v>2.5120192308853342E-3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hidden="1" customHeight="1" x14ac:dyDescent="0.15">
      <c r="A126" s="2" t="str">
        <f ca="1">input_564100!A$2</f>
        <v>564100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IFERROR(VLOOKUP(B126,input_564100!L:R,7,FALSE),VLOOKUP(tables_564100!C126,input_564100!A:H,8,FALSE))</f>
        <v>0</v>
      </c>
      <c r="P126" s="43">
        <f t="shared" ca="1" si="4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hidden="1" customHeight="1" x14ac:dyDescent="0.15">
      <c r="A127" s="2" t="str">
        <f ca="1">input_564100!A$2</f>
        <v>564100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IFERROR(VLOOKUP(B127,input_564100!L:R,7,FALSE),VLOOKUP(tables_564100!C127,input_564100!A:H,8,FALSE))</f>
        <v>42530.769229999998</v>
      </c>
      <c r="P127" s="43">
        <f t="shared" ca="1" si="4"/>
        <v>7.383814102379282E-3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hidden="1" customHeight="1" x14ac:dyDescent="0.15">
      <c r="A128" s="2" t="str">
        <f ca="1">input_564100!A$2</f>
        <v>564100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IFERROR(VLOOKUP(B128,input_564100!L:R,7,FALSE),VLOOKUP(tables_564100!C128,input_564100!A:H,8,FALSE))</f>
        <v>14469.23077</v>
      </c>
      <c r="P128" s="43">
        <f t="shared" ca="1" si="4"/>
        <v>2.5120192308853342E-3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hidden="1" customHeight="1" x14ac:dyDescent="0.15">
      <c r="A129" s="2" t="str">
        <f ca="1">input_564100!A$2</f>
        <v>564100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IFERROR(VLOOKUP(B129,input_564100!L:R,7,FALSE),VLOOKUP(tables_564100!C129,input_564100!A:H,8,FALSE))</f>
        <v>0</v>
      </c>
      <c r="P129" s="43">
        <f t="shared" ca="1" si="4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hidden="1" customHeight="1" x14ac:dyDescent="0.15">
      <c r="A130" s="2" t="str">
        <f ca="1">input_564100!A$2</f>
        <v>564100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IFERROR(VLOOKUP(B130,input_564100!L:R,7,FALSE),VLOOKUP(tables_564100!C130,input_564100!A:H,8,FALSE))</f>
        <v>42530.769229999998</v>
      </c>
      <c r="P130" s="43">
        <f t="shared" ref="P130:P193" ca="1" si="7">O130/SUM(O:O)</f>
        <v>7.383814102379282E-3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hidden="1" customHeight="1" x14ac:dyDescent="0.15">
      <c r="A131" s="2" t="str">
        <f ca="1">input_564100!A$2</f>
        <v>564100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IFERROR(VLOOKUP(B131,input_564100!L:R,7,FALSE),VLOOKUP(tables_564100!C131,input_564100!A:H,8,FALSE))</f>
        <v>14469.23077</v>
      </c>
      <c r="P131" s="43">
        <f t="shared" ca="1" si="7"/>
        <v>2.5120192308853342E-3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hidden="1" customHeight="1" x14ac:dyDescent="0.15">
      <c r="A132" s="2" t="str">
        <f ca="1">input_564100!A$2</f>
        <v>564100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IFERROR(VLOOKUP(B132,input_564100!L:R,7,FALSE),VLOOKUP(tables_564100!C132,input_564100!A:H,8,FALSE))</f>
        <v>0</v>
      </c>
      <c r="P132" s="43">
        <f t="shared" ca="1" si="7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hidden="1" customHeight="1" x14ac:dyDescent="0.15">
      <c r="A133" s="2" t="str">
        <f ca="1">input_564100!A$2</f>
        <v>564100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IFERROR(VLOOKUP(B133,input_564100!L:R,7,FALSE),VLOOKUP(tables_564100!C133,input_564100!A:H,8,FALSE))</f>
        <v>42530.769229999998</v>
      </c>
      <c r="P133" s="43">
        <f t="shared" ca="1" si="7"/>
        <v>7.383814102379282E-3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hidden="1" customHeight="1" x14ac:dyDescent="0.15">
      <c r="A134" s="2" t="str">
        <f ca="1">input_564100!A$2</f>
        <v>564100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IFERROR(VLOOKUP(B134,input_564100!L:R,7,FALSE),VLOOKUP(tables_564100!C134,input_564100!A:H,8,FALSE))</f>
        <v>14469.23077</v>
      </c>
      <c r="P134" s="43">
        <f t="shared" ca="1" si="7"/>
        <v>2.5120192308853342E-3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hidden="1" customHeight="1" x14ac:dyDescent="0.15">
      <c r="A135" s="2" t="str">
        <f ca="1">input_564100!A$2</f>
        <v>564100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IFERROR(VLOOKUP(B135,input_564100!L:R,7,FALSE),VLOOKUP(tables_564100!C135,input_564100!A:H,8,FALSE))</f>
        <v>0</v>
      </c>
      <c r="P135" s="43">
        <f t="shared" ca="1" si="7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hidden="1" customHeight="1" x14ac:dyDescent="0.15">
      <c r="A136" s="2" t="str">
        <f ca="1">input_564100!A$2</f>
        <v>564100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IFERROR(VLOOKUP(B136,input_564100!L:R,7,FALSE),VLOOKUP(tables_564100!C136,input_564100!A:H,8,FALSE))</f>
        <v>42530.769229999998</v>
      </c>
      <c r="P136" s="43">
        <f t="shared" ca="1" si="7"/>
        <v>7.383814102379282E-3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hidden="1" customHeight="1" x14ac:dyDescent="0.15">
      <c r="A137" s="2" t="str">
        <f ca="1">input_564100!A$2</f>
        <v>564100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IFERROR(VLOOKUP(B137,input_564100!L:R,7,FALSE),VLOOKUP(tables_564100!C137,input_564100!A:H,8,FALSE))</f>
        <v>14469.23077</v>
      </c>
      <c r="P137" s="43">
        <f t="shared" ca="1" si="7"/>
        <v>2.5120192308853342E-3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input_564100!A$2</f>
        <v>564100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IFERROR(VLOOKUP(B138,input_564100!L:R,7,FALSE),VLOOKUP(tables_564100!C138,input_564100!A:H,8,FALSE))</f>
        <v>8228.57143</v>
      </c>
      <c r="P138" s="43">
        <f t="shared" ca="1" si="7"/>
        <v>1.4285714288095244E-3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hidden="1" customHeight="1" x14ac:dyDescent="0.15">
      <c r="A139" s="2" t="str">
        <f ca="1">input_564100!A$2</f>
        <v>564100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IFERROR(VLOOKUP(B139,input_564100!L:R,7,FALSE),VLOOKUP(tables_564100!C139,input_564100!A:H,8,FALSE))</f>
        <v>800</v>
      </c>
      <c r="P139" s="43">
        <f t="shared" ca="1" si="7"/>
        <v>1.3888888888792444E-4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input_564100!A$2</f>
        <v>564100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IFERROR(VLOOKUP(B140,input_564100!L:R,7,FALSE),VLOOKUP(tables_564100!C140,input_564100!A:H,8,FALSE))</f>
        <v>8228.57143</v>
      </c>
      <c r="P140" s="43">
        <f t="shared" ca="1" si="7"/>
        <v>1.4285714288095244E-3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hidden="1" customHeight="1" x14ac:dyDescent="0.15">
      <c r="A141" s="2" t="str">
        <f ca="1">input_564100!A$2</f>
        <v>564100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IFERROR(VLOOKUP(B141,input_564100!L:R,7,FALSE),VLOOKUP(tables_564100!C141,input_564100!A:H,8,FALSE))</f>
        <v>800</v>
      </c>
      <c r="P141" s="43">
        <f t="shared" ca="1" si="7"/>
        <v>1.3888888888792444E-4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input_564100!A$2</f>
        <v>564100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IFERROR(VLOOKUP(B142,input_564100!L:R,7,FALSE),VLOOKUP(tables_564100!C142,input_564100!A:H,8,FALSE))</f>
        <v>8228.57143</v>
      </c>
      <c r="P142" s="43">
        <f t="shared" ca="1" si="7"/>
        <v>1.4285714288095244E-3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hidden="1" customHeight="1" thickBot="1" x14ac:dyDescent="0.2">
      <c r="A143" s="2" t="str">
        <f ca="1">input_564100!A$2</f>
        <v>564100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IFERROR(VLOOKUP(B143,input_564100!L:R,7,FALSE),VLOOKUP(tables_564100!C143,input_564100!A:H,8,FALSE))</f>
        <v>800</v>
      </c>
      <c r="P143" s="43">
        <f t="shared" ca="1" si="7"/>
        <v>1.3888888888792444E-4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input_564100!A$2</f>
        <v>564100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IFERROR(VLOOKUP(B144,input_564100!L:R,7,FALSE),VLOOKUP(tables_564100!C144,input_564100!A:H,8,FALSE))</f>
        <v>8228.57143</v>
      </c>
      <c r="P144" s="43">
        <f t="shared" ca="1" si="7"/>
        <v>1.4285714288095244E-3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hidden="1" customHeight="1" x14ac:dyDescent="0.15">
      <c r="A145" s="2" t="str">
        <f ca="1">input_564100!A$2</f>
        <v>564100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IFERROR(VLOOKUP(B145,input_564100!L:R,7,FALSE),VLOOKUP(tables_564100!C145,input_564100!A:H,8,FALSE))</f>
        <v>800</v>
      </c>
      <c r="P145" s="43">
        <f t="shared" ca="1" si="7"/>
        <v>1.3888888888792444E-4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hidden="1" customHeight="1" x14ac:dyDescent="0.15">
      <c r="A146" s="2" t="str">
        <f ca="1">input_564100!A$2</f>
        <v>564100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IFERROR(VLOOKUP(B146,input_564100!L:R,7,FALSE),VLOOKUP(tables_564100!C146,input_564100!A:H,8,FALSE))</f>
        <v>0</v>
      </c>
      <c r="P146" s="43">
        <f t="shared" ca="1" si="7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hidden="1" customHeight="1" x14ac:dyDescent="0.15">
      <c r="A147" s="2" t="str">
        <f ca="1">input_564100!A$2</f>
        <v>564100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IFERROR(VLOOKUP(B147,input_564100!L:R,7,FALSE),VLOOKUP(tables_564100!C147,input_564100!A:H,8,FALSE))</f>
        <v>42530.769229999998</v>
      </c>
      <c r="P147" s="43">
        <f t="shared" ca="1" si="7"/>
        <v>7.383814102379282E-3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hidden="1" customHeight="1" x14ac:dyDescent="0.15">
      <c r="A148" s="2" t="str">
        <f ca="1">input_564100!A$2</f>
        <v>564100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IFERROR(VLOOKUP(B148,input_564100!L:R,7,FALSE),VLOOKUP(tables_564100!C148,input_564100!A:H,8,FALSE))</f>
        <v>14469.23077</v>
      </c>
      <c r="P148" s="43">
        <f t="shared" ca="1" si="7"/>
        <v>2.5120192308853342E-3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input_564100!A$2</f>
        <v>564100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IFERROR(VLOOKUP(B149,input_564100!L:R,7,FALSE),VLOOKUP(tables_564100!C149,input_564100!A:H,8,FALSE))</f>
        <v>8228.57143</v>
      </c>
      <c r="P149" s="43">
        <f t="shared" ca="1" si="7"/>
        <v>1.4285714288095244E-3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hidden="1" customHeight="1" x14ac:dyDescent="0.15">
      <c r="A150" s="2" t="str">
        <f ca="1">input_564100!A$2</f>
        <v>564100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IFERROR(VLOOKUP(B150,input_564100!L:R,7,FALSE),VLOOKUP(tables_564100!C150,input_564100!A:H,8,FALSE))</f>
        <v>800</v>
      </c>
      <c r="P150" s="43">
        <f t="shared" ca="1" si="7"/>
        <v>1.3888888888792444E-4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input_564100!A$2</f>
        <v>564100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IFERROR(VLOOKUP(B151,input_564100!L:R,7,FALSE),VLOOKUP(tables_564100!C151,input_564100!A:H,8,FALSE))</f>
        <v>8228.57143</v>
      </c>
      <c r="P151" s="43">
        <f t="shared" ca="1" si="7"/>
        <v>1.4285714288095244E-3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hidden="1" customHeight="1" x14ac:dyDescent="0.15">
      <c r="A152" s="2" t="str">
        <f ca="1">input_564100!A$2</f>
        <v>564100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IFERROR(VLOOKUP(B152,input_564100!L:R,7,FALSE),VLOOKUP(tables_564100!C152,input_564100!A:H,8,FALSE))</f>
        <v>800</v>
      </c>
      <c r="P152" s="43">
        <f t="shared" ca="1" si="7"/>
        <v>1.3888888888792444E-4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hidden="1" customHeight="1" x14ac:dyDescent="0.15">
      <c r="A153" s="2" t="str">
        <f ca="1">input_564100!A$2</f>
        <v>564100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IFERROR(VLOOKUP(B153,input_564100!L:R,7,FALSE),VLOOKUP(tables_564100!C153,input_564100!A:H,8,FALSE))</f>
        <v>0</v>
      </c>
      <c r="P153" s="43">
        <f t="shared" ca="1" si="7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hidden="1" customHeight="1" x14ac:dyDescent="0.15">
      <c r="A154" s="2" t="str">
        <f ca="1">input_564100!A$2</f>
        <v>564100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IFERROR(VLOOKUP(B154,input_564100!L:R,7,FALSE),VLOOKUP(tables_564100!C154,input_564100!A:H,8,FALSE))</f>
        <v>42530.769229999998</v>
      </c>
      <c r="P154" s="43">
        <f t="shared" ca="1" si="7"/>
        <v>7.383814102379282E-3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hidden="1" customHeight="1" x14ac:dyDescent="0.15">
      <c r="A155" s="2" t="str">
        <f ca="1">input_564100!A$2</f>
        <v>564100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IFERROR(VLOOKUP(B155,input_564100!L:R,7,FALSE),VLOOKUP(tables_564100!C155,input_564100!A:H,8,FALSE))</f>
        <v>14469.23077</v>
      </c>
      <c r="P155" s="43">
        <f t="shared" ca="1" si="7"/>
        <v>2.5120192308853342E-3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input_564100!A$2</f>
        <v>564100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IFERROR(VLOOKUP(B156,input_564100!L:R,7,FALSE),VLOOKUP(tables_564100!C156,input_564100!A:H,8,FALSE))</f>
        <v>8228.57143</v>
      </c>
      <c r="P156" s="43">
        <f t="shared" ca="1" si="7"/>
        <v>1.4285714288095244E-3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hidden="1" customHeight="1" x14ac:dyDescent="0.15">
      <c r="A157" s="2" t="str">
        <f ca="1">input_564100!A$2</f>
        <v>564100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IFERROR(VLOOKUP(B157,input_564100!L:R,7,FALSE),VLOOKUP(tables_564100!C157,input_564100!A:H,8,FALSE))</f>
        <v>800</v>
      </c>
      <c r="P157" s="43">
        <f t="shared" ca="1" si="7"/>
        <v>1.3888888888792444E-4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hidden="1" customHeight="1" x14ac:dyDescent="0.15">
      <c r="A158" s="2" t="str">
        <f ca="1">input_564100!A$2</f>
        <v>564100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IFERROR(VLOOKUP(B158,input_564100!L:R,7,FALSE),VLOOKUP(tables_564100!C158,input_564100!A:H,8,FALSE))</f>
        <v>0</v>
      </c>
      <c r="P158" s="43">
        <f t="shared" ca="1" si="7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hidden="1" customHeight="1" x14ac:dyDescent="0.15">
      <c r="A159" s="2" t="str">
        <f ca="1">input_564100!A$2</f>
        <v>564100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IFERROR(VLOOKUP(B159,input_564100!L:R,7,FALSE),VLOOKUP(tables_564100!C159,input_564100!A:H,8,FALSE))</f>
        <v>42530.769229999998</v>
      </c>
      <c r="P159" s="43">
        <f t="shared" ca="1" si="7"/>
        <v>7.383814102379282E-3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hidden="1" customHeight="1" x14ac:dyDescent="0.15">
      <c r="A160" s="2" t="str">
        <f ca="1">input_564100!A$2</f>
        <v>564100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IFERROR(VLOOKUP(B160,input_564100!L:R,7,FALSE),VLOOKUP(tables_564100!C160,input_564100!A:H,8,FALSE))</f>
        <v>14469.23077</v>
      </c>
      <c r="P160" s="43">
        <f t="shared" ca="1" si="7"/>
        <v>2.5120192308853342E-3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hidden="1" customHeight="1" x14ac:dyDescent="0.15">
      <c r="A161" s="2" t="str">
        <f ca="1">input_564100!A$2</f>
        <v>564100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IFERROR(VLOOKUP(B161,input_564100!L:R,7,FALSE),VLOOKUP(tables_564100!C161,input_564100!A:H,8,FALSE))</f>
        <v>0</v>
      </c>
      <c r="P161" s="43">
        <f t="shared" ca="1" si="7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hidden="1" customHeight="1" x14ac:dyDescent="0.15">
      <c r="A162" s="2" t="str">
        <f ca="1">input_564100!A$2</f>
        <v>564100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IFERROR(VLOOKUP(B162,input_564100!L:R,7,FALSE),VLOOKUP(tables_564100!C162,input_564100!A:H,8,FALSE))</f>
        <v>42530.769229999998</v>
      </c>
      <c r="P162" s="43">
        <f t="shared" ca="1" si="7"/>
        <v>7.383814102379282E-3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hidden="1" customHeight="1" x14ac:dyDescent="0.15">
      <c r="A163" s="2" t="str">
        <f ca="1">input_564100!A$2</f>
        <v>564100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IFERROR(VLOOKUP(B163,input_564100!L:R,7,FALSE),VLOOKUP(tables_564100!C163,input_564100!A:H,8,FALSE))</f>
        <v>14469.23077</v>
      </c>
      <c r="P163" s="43">
        <f t="shared" ca="1" si="7"/>
        <v>2.5120192308853342E-3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input_564100!A$2</f>
        <v>564100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IFERROR(VLOOKUP(B164,input_564100!L:R,7,FALSE),VLOOKUP(tables_564100!C164,input_564100!A:H,8,FALSE))</f>
        <v>8228.57143</v>
      </c>
      <c r="P164" s="43">
        <f t="shared" ca="1" si="7"/>
        <v>1.4285714288095244E-3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hidden="1" customHeight="1" x14ac:dyDescent="0.15">
      <c r="A165" s="2" t="str">
        <f ca="1">input_564100!A$2</f>
        <v>564100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IFERROR(VLOOKUP(B165,input_564100!L:R,7,FALSE),VLOOKUP(tables_564100!C165,input_564100!A:H,8,FALSE))</f>
        <v>800</v>
      </c>
      <c r="P165" s="43">
        <f t="shared" ca="1" si="7"/>
        <v>1.3888888888792444E-4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hidden="1" customHeight="1" x14ac:dyDescent="0.15">
      <c r="A166" s="2" t="str">
        <f ca="1">input_564100!A$2</f>
        <v>564100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IFERROR(VLOOKUP(B166,input_564100!L:R,7,FALSE),VLOOKUP(tables_564100!C166,input_564100!A:H,8,FALSE))</f>
        <v>0</v>
      </c>
      <c r="P166" s="43">
        <f t="shared" ca="1" si="7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hidden="1" customHeight="1" x14ac:dyDescent="0.15">
      <c r="A167" s="2" t="str">
        <f ca="1">input_564100!A$2</f>
        <v>564100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IFERROR(VLOOKUP(B167,input_564100!L:R,7,FALSE),VLOOKUP(tables_564100!C167,input_564100!A:H,8,FALSE))</f>
        <v>42530.769229999998</v>
      </c>
      <c r="P167" s="43">
        <f t="shared" ca="1" si="7"/>
        <v>7.383814102379282E-3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hidden="1" customHeight="1" x14ac:dyDescent="0.15">
      <c r="A168" s="2" t="str">
        <f ca="1">input_564100!A$2</f>
        <v>564100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IFERROR(VLOOKUP(B168,input_564100!L:R,7,FALSE),VLOOKUP(tables_564100!C168,input_564100!A:H,8,FALSE))</f>
        <v>14469.23077</v>
      </c>
      <c r="P168" s="43">
        <f t="shared" ca="1" si="7"/>
        <v>2.5120192308853342E-3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input_564100!A$2</f>
        <v>564100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IFERROR(VLOOKUP(B169,input_564100!L:R,7,FALSE),VLOOKUP(tables_564100!C169,input_564100!A:H,8,FALSE))</f>
        <v>8228.57143</v>
      </c>
      <c r="P169" s="43">
        <f t="shared" ca="1" si="7"/>
        <v>1.4285714288095244E-3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hidden="1" customHeight="1" x14ac:dyDescent="0.15">
      <c r="A170" s="2" t="str">
        <f ca="1">input_564100!A$2</f>
        <v>564100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IFERROR(VLOOKUP(B170,input_564100!L:R,7,FALSE),VLOOKUP(tables_564100!C170,input_564100!A:H,8,FALSE))</f>
        <v>800</v>
      </c>
      <c r="P170" s="43">
        <f t="shared" ca="1" si="7"/>
        <v>1.3888888888792444E-4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hidden="1" customHeight="1" x14ac:dyDescent="0.15">
      <c r="A171" s="2" t="str">
        <f ca="1">input_564100!A$2</f>
        <v>564100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IFERROR(VLOOKUP(B171,input_564100!L:R,7,FALSE),VLOOKUP(tables_564100!C171,input_564100!A:H,8,FALSE))</f>
        <v>0</v>
      </c>
      <c r="P171" s="43">
        <f t="shared" ca="1" si="7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hidden="1" customHeight="1" x14ac:dyDescent="0.15">
      <c r="A172" s="2" t="str">
        <f ca="1">input_564100!A$2</f>
        <v>564100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IFERROR(VLOOKUP(B172,input_564100!L:R,7,FALSE),VLOOKUP(tables_564100!C172,input_564100!A:H,8,FALSE))</f>
        <v>42530.769229999998</v>
      </c>
      <c r="P172" s="43">
        <f t="shared" ca="1" si="7"/>
        <v>7.383814102379282E-3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hidden="1" customHeight="1" x14ac:dyDescent="0.15">
      <c r="A173" s="2" t="str">
        <f ca="1">input_564100!A$2</f>
        <v>564100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IFERROR(VLOOKUP(B173,input_564100!L:R,7,FALSE),VLOOKUP(tables_564100!C173,input_564100!A:H,8,FALSE))</f>
        <v>14469.23077</v>
      </c>
      <c r="P173" s="43">
        <f t="shared" ca="1" si="7"/>
        <v>2.5120192308853342E-3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input_564100!A$2</f>
        <v>564100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IFERROR(VLOOKUP(B174,input_564100!L:R,7,FALSE),VLOOKUP(tables_564100!C174,input_564100!A:H,8,FALSE))</f>
        <v>8228.57143</v>
      </c>
      <c r="P174" s="43">
        <f t="shared" ca="1" si="7"/>
        <v>1.4285714288095244E-3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hidden="1" customHeight="1" x14ac:dyDescent="0.15">
      <c r="A175" s="2" t="str">
        <f ca="1">input_564100!A$2</f>
        <v>564100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IFERROR(VLOOKUP(B175,input_564100!L:R,7,FALSE),VLOOKUP(tables_564100!C175,input_564100!A:H,8,FALSE))</f>
        <v>800</v>
      </c>
      <c r="P175" s="43">
        <f t="shared" ca="1" si="7"/>
        <v>1.3888888888792444E-4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input_564100!A$2</f>
        <v>564100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IFERROR(VLOOKUP(B176,input_564100!L:R,7,FALSE),VLOOKUP(tables_564100!C176,input_564100!A:H,8,FALSE))</f>
        <v>8228.57143</v>
      </c>
      <c r="P176" s="43">
        <f t="shared" ca="1" si="7"/>
        <v>1.4285714288095244E-3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hidden="1" customHeight="1" x14ac:dyDescent="0.15">
      <c r="A177" s="2" t="str">
        <f ca="1">input_564100!A$2</f>
        <v>564100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IFERROR(VLOOKUP(B177,input_564100!L:R,7,FALSE),VLOOKUP(tables_564100!C177,input_564100!A:H,8,FALSE))</f>
        <v>800</v>
      </c>
      <c r="P177" s="43">
        <f t="shared" ca="1" si="7"/>
        <v>1.3888888888792444E-4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hidden="1" customHeight="1" x14ac:dyDescent="0.15">
      <c r="A178" s="2" t="str">
        <f ca="1">input_564100!A$2</f>
        <v>564100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IFERROR(VLOOKUP(B178,input_564100!L:R,7,FALSE),VLOOKUP(tables_564100!C178,input_564100!A:H,8,FALSE))</f>
        <v>0</v>
      </c>
      <c r="P178" s="43">
        <f t="shared" ca="1" si="7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hidden="1" customHeight="1" x14ac:dyDescent="0.15">
      <c r="A179" s="2" t="str">
        <f ca="1">input_564100!A$2</f>
        <v>564100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IFERROR(VLOOKUP(B179,input_564100!L:R,7,FALSE),VLOOKUP(tables_564100!C179,input_564100!A:H,8,FALSE))</f>
        <v>42530.769229999998</v>
      </c>
      <c r="P179" s="43">
        <f t="shared" ca="1" si="7"/>
        <v>7.383814102379282E-3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hidden="1" customHeight="1" x14ac:dyDescent="0.15">
      <c r="A180" s="2" t="str">
        <f ca="1">input_564100!A$2</f>
        <v>564100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IFERROR(VLOOKUP(B180,input_564100!L:R,7,FALSE),VLOOKUP(tables_564100!C180,input_564100!A:H,8,FALSE))</f>
        <v>14469.23077</v>
      </c>
      <c r="P180" s="43">
        <f t="shared" ca="1" si="7"/>
        <v>2.5120192308853342E-3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hidden="1" customHeight="1" x14ac:dyDescent="0.15">
      <c r="A181" s="2" t="str">
        <f ca="1">input_564100!A$2</f>
        <v>564100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IFERROR(VLOOKUP(B181,input_564100!L:R,7,FALSE),VLOOKUP(tables_564100!C181,input_564100!A:H,8,FALSE))</f>
        <v>0</v>
      </c>
      <c r="P181" s="43">
        <f t="shared" ca="1" si="7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hidden="1" customHeight="1" x14ac:dyDescent="0.15">
      <c r="A182" s="2" t="str">
        <f ca="1">input_564100!A$2</f>
        <v>564100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IFERROR(VLOOKUP(B182,input_564100!L:R,7,FALSE),VLOOKUP(tables_564100!C182,input_564100!A:H,8,FALSE))</f>
        <v>42530.769229999998</v>
      </c>
      <c r="P182" s="43">
        <f t="shared" ca="1" si="7"/>
        <v>7.383814102379282E-3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hidden="1" customHeight="1" x14ac:dyDescent="0.15">
      <c r="A183" s="2" t="str">
        <f ca="1">input_564100!A$2</f>
        <v>564100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IFERROR(VLOOKUP(B183,input_564100!L:R,7,FALSE),VLOOKUP(tables_564100!C183,input_564100!A:H,8,FALSE))</f>
        <v>14469.23077</v>
      </c>
      <c r="P183" s="43">
        <f t="shared" ca="1" si="7"/>
        <v>2.5120192308853342E-3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input_564100!A$2</f>
        <v>564100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IFERROR(VLOOKUP(B184,input_564100!L:R,7,FALSE),VLOOKUP(tables_564100!C184,input_564100!A:H,8,FALSE))</f>
        <v>8228.57143</v>
      </c>
      <c r="P184" s="43">
        <f t="shared" ca="1" si="7"/>
        <v>1.4285714288095244E-3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hidden="1" customHeight="1" x14ac:dyDescent="0.15">
      <c r="A185" s="2" t="str">
        <f ca="1">input_564100!A$2</f>
        <v>564100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IFERROR(VLOOKUP(B185,input_564100!L:R,7,FALSE),VLOOKUP(tables_564100!C185,input_564100!A:H,8,FALSE))</f>
        <v>800</v>
      </c>
      <c r="P185" s="43">
        <f t="shared" ca="1" si="7"/>
        <v>1.3888888888792444E-4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hidden="1" customHeight="1" x14ac:dyDescent="0.15">
      <c r="A186" s="2" t="str">
        <f ca="1">input_564100!A$2</f>
        <v>564100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IFERROR(VLOOKUP(B186,input_564100!L:R,7,FALSE),VLOOKUP(tables_564100!C186,input_564100!A:H,8,FALSE))</f>
        <v>0</v>
      </c>
      <c r="P186" s="43">
        <f t="shared" ca="1" si="7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hidden="1" customHeight="1" x14ac:dyDescent="0.15">
      <c r="A187" s="2" t="str">
        <f ca="1">input_564100!A$2</f>
        <v>564100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IFERROR(VLOOKUP(B187,input_564100!L:R,7,FALSE),VLOOKUP(tables_564100!C187,input_564100!A:H,8,FALSE))</f>
        <v>42530.769229999998</v>
      </c>
      <c r="P187" s="43">
        <f t="shared" ca="1" si="7"/>
        <v>7.383814102379282E-3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hidden="1" customHeight="1" x14ac:dyDescent="0.15">
      <c r="A188" s="2" t="str">
        <f ca="1">input_564100!A$2</f>
        <v>564100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IFERROR(VLOOKUP(B188,input_564100!L:R,7,FALSE),VLOOKUP(tables_564100!C188,input_564100!A:H,8,FALSE))</f>
        <v>14469.23077</v>
      </c>
      <c r="P188" s="43">
        <f t="shared" ca="1" si="7"/>
        <v>2.5120192308853342E-3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input_564100!A$2</f>
        <v>564100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IFERROR(VLOOKUP(B189,input_564100!L:R,7,FALSE),VLOOKUP(tables_564100!C189,input_564100!A:H,8,FALSE))</f>
        <v>8228.57143</v>
      </c>
      <c r="P189" s="43">
        <f t="shared" ca="1" si="7"/>
        <v>1.4285714288095244E-3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hidden="1" customHeight="1" thickBot="1" x14ac:dyDescent="0.2">
      <c r="A190" s="2" t="str">
        <f ca="1">input_564100!A$2</f>
        <v>564100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IFERROR(VLOOKUP(B190,input_564100!L:R,7,FALSE),VLOOKUP(tables_564100!C190,input_564100!A:H,8,FALSE))</f>
        <v>800</v>
      </c>
      <c r="P190" s="43">
        <f t="shared" ca="1" si="7"/>
        <v>1.3888888888792444E-4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input_564100!A$2</f>
        <v>564100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IFERROR(VLOOKUP(B191,input_564100!L:R,7,FALSE),VLOOKUP(tables_564100!C191,input_564100!A:H,8,FALSE))</f>
        <v>8228.57143</v>
      </c>
      <c r="P191" s="43">
        <f t="shared" ca="1" si="7"/>
        <v>1.4285714288095244E-3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hidden="1" customHeight="1" x14ac:dyDescent="0.15">
      <c r="A192" s="2" t="str">
        <f ca="1">input_564100!A$2</f>
        <v>564100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IFERROR(VLOOKUP(B192,input_564100!L:R,7,FALSE),VLOOKUP(tables_564100!C192,input_564100!A:H,8,FALSE))</f>
        <v>800</v>
      </c>
      <c r="P192" s="43">
        <f t="shared" ca="1" si="7"/>
        <v>1.3888888888792444E-4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hidden="1" customHeight="1" x14ac:dyDescent="0.15">
      <c r="A193" s="2" t="str">
        <f ca="1">input_564100!A$2</f>
        <v>564100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IFERROR(VLOOKUP(B193,input_564100!L:R,7,FALSE),VLOOKUP(tables_564100!C193,input_564100!A:H,8,FALSE))</f>
        <v>0</v>
      </c>
      <c r="P193" s="43">
        <f t="shared" ca="1" si="7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hidden="1" customHeight="1" x14ac:dyDescent="0.15">
      <c r="A194" s="2" t="str">
        <f ca="1">input_564100!A$2</f>
        <v>564100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IFERROR(VLOOKUP(B194,input_564100!L:R,7,FALSE),VLOOKUP(tables_564100!C194,input_564100!A:H,8,FALSE))</f>
        <v>42530.769229999998</v>
      </c>
      <c r="P194" s="43">
        <f t="shared" ref="P194:P257" ca="1" si="10">O194/SUM(O:O)</f>
        <v>7.383814102379282E-3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hidden="1" customHeight="1" x14ac:dyDescent="0.15">
      <c r="A195" s="2" t="str">
        <f ca="1">input_564100!A$2</f>
        <v>564100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IFERROR(VLOOKUP(B195,input_564100!L:R,7,FALSE),VLOOKUP(tables_564100!C195,input_564100!A:H,8,FALSE))</f>
        <v>14469.23077</v>
      </c>
      <c r="P195" s="43">
        <f t="shared" ca="1" si="10"/>
        <v>2.5120192308853342E-3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input_564100!A$2</f>
        <v>564100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IFERROR(VLOOKUP(B196,input_564100!L:R,7,FALSE),VLOOKUP(tables_564100!C196,input_564100!A:H,8,FALSE))</f>
        <v>8228.57143</v>
      </c>
      <c r="P196" s="43">
        <f t="shared" ca="1" si="10"/>
        <v>1.4285714288095244E-3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hidden="1" customHeight="1" x14ac:dyDescent="0.15">
      <c r="A197" s="2" t="str">
        <f ca="1">input_564100!A$2</f>
        <v>564100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IFERROR(VLOOKUP(B197,input_564100!L:R,7,FALSE),VLOOKUP(tables_564100!C197,input_564100!A:H,8,FALSE))</f>
        <v>800</v>
      </c>
      <c r="P197" s="43">
        <f t="shared" ca="1" si="10"/>
        <v>1.3888888888792444E-4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hidden="1" customHeight="1" x14ac:dyDescent="0.15">
      <c r="A198" s="2" t="str">
        <f ca="1">input_564100!A$2</f>
        <v>564100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IFERROR(VLOOKUP(B198,input_564100!L:R,7,FALSE),VLOOKUP(tables_564100!C198,input_564100!A:H,8,FALSE))</f>
        <v>0</v>
      </c>
      <c r="P198" s="43">
        <f t="shared" ca="1" si="10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hidden="1" customHeight="1" x14ac:dyDescent="0.15">
      <c r="A199" s="2" t="str">
        <f ca="1">input_564100!A$2</f>
        <v>564100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IFERROR(VLOOKUP(B199,input_564100!L:R,7,FALSE),VLOOKUP(tables_564100!C199,input_564100!A:H,8,FALSE))</f>
        <v>42530.769229999998</v>
      </c>
      <c r="P199" s="43">
        <f t="shared" ca="1" si="10"/>
        <v>7.383814102379282E-3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hidden="1" customHeight="1" x14ac:dyDescent="0.15">
      <c r="A200" s="2" t="str">
        <f ca="1">input_564100!A$2</f>
        <v>564100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IFERROR(VLOOKUP(B200,input_564100!L:R,7,FALSE),VLOOKUP(tables_564100!C200,input_564100!A:H,8,FALSE))</f>
        <v>14469.23077</v>
      </c>
      <c r="P200" s="43">
        <f t="shared" ca="1" si="10"/>
        <v>2.5120192308853342E-3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input_564100!A$2</f>
        <v>564100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IFERROR(VLOOKUP(B201,input_564100!L:R,7,FALSE),VLOOKUP(tables_564100!C201,input_564100!A:H,8,FALSE))</f>
        <v>8228.57143</v>
      </c>
      <c r="P201" s="43">
        <f t="shared" ca="1" si="10"/>
        <v>1.4285714288095244E-3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hidden="1" customHeight="1" x14ac:dyDescent="0.15">
      <c r="A202" s="2" t="str">
        <f ca="1">input_564100!A$2</f>
        <v>564100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IFERROR(VLOOKUP(B202,input_564100!L:R,7,FALSE),VLOOKUP(tables_564100!C202,input_564100!A:H,8,FALSE))</f>
        <v>800</v>
      </c>
      <c r="P202" s="43">
        <f t="shared" ca="1" si="10"/>
        <v>1.3888888888792444E-4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hidden="1" customHeight="1" x14ac:dyDescent="0.15">
      <c r="A203" s="2" t="str">
        <f ca="1">input_564100!A$2</f>
        <v>564100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IFERROR(VLOOKUP(B203,input_564100!L:R,7,FALSE),VLOOKUP(tables_564100!C203,input_564100!A:H,8,FALSE))</f>
        <v>0</v>
      </c>
      <c r="P203" s="43">
        <f t="shared" ca="1" si="10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hidden="1" customHeight="1" x14ac:dyDescent="0.15">
      <c r="A204" s="2" t="str">
        <f ca="1">input_564100!A$2</f>
        <v>564100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IFERROR(VLOOKUP(B204,input_564100!L:R,7,FALSE),VLOOKUP(tables_564100!C204,input_564100!A:H,8,FALSE))</f>
        <v>42530.769229999998</v>
      </c>
      <c r="P204" s="43">
        <f t="shared" ca="1" si="10"/>
        <v>7.383814102379282E-3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hidden="1" customHeight="1" x14ac:dyDescent="0.15">
      <c r="A205" s="2" t="str">
        <f ca="1">input_564100!A$2</f>
        <v>564100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IFERROR(VLOOKUP(B205,input_564100!L:R,7,FALSE),VLOOKUP(tables_564100!C205,input_564100!A:H,8,FALSE))</f>
        <v>14469.23077</v>
      </c>
      <c r="P205" s="43">
        <f t="shared" ca="1" si="10"/>
        <v>2.5120192308853342E-3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input_564100!A$2</f>
        <v>564100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IFERROR(VLOOKUP(B206,input_564100!L:R,7,FALSE),VLOOKUP(tables_564100!C206,input_564100!A:H,8,FALSE))</f>
        <v>8228.57143</v>
      </c>
      <c r="P206" s="43">
        <f t="shared" ca="1" si="10"/>
        <v>1.4285714288095244E-3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hidden="1" customHeight="1" x14ac:dyDescent="0.15">
      <c r="A207" s="2" t="str">
        <f ca="1">input_564100!A$2</f>
        <v>564100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IFERROR(VLOOKUP(B207,input_564100!L:R,7,FALSE),VLOOKUP(tables_564100!C207,input_564100!A:H,8,FALSE))</f>
        <v>800</v>
      </c>
      <c r="P207" s="43">
        <f t="shared" ca="1" si="10"/>
        <v>1.3888888888792444E-4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input_564100!A$2</f>
        <v>564100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IFERROR(VLOOKUP(B208,input_564100!L:R,7,FALSE),VLOOKUP(tables_564100!C208,input_564100!A:H,8,FALSE))</f>
        <v>8228.57143</v>
      </c>
      <c r="P208" s="43">
        <f t="shared" ca="1" si="10"/>
        <v>1.4285714288095244E-3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hidden="1" customHeight="1" x14ac:dyDescent="0.15">
      <c r="A209" s="2" t="str">
        <f ca="1">input_564100!A$2</f>
        <v>564100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IFERROR(VLOOKUP(B209,input_564100!L:R,7,FALSE),VLOOKUP(tables_564100!C209,input_564100!A:H,8,FALSE))</f>
        <v>800</v>
      </c>
      <c r="P209" s="43">
        <f t="shared" ca="1" si="10"/>
        <v>1.3888888888792444E-4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hidden="1" customHeight="1" x14ac:dyDescent="0.15">
      <c r="A210" s="2" t="str">
        <f ca="1">input_564100!A$2</f>
        <v>564100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IFERROR(VLOOKUP(B210,input_564100!L:R,7,FALSE),VLOOKUP(tables_564100!C210,input_564100!A:H,8,FALSE))</f>
        <v>0</v>
      </c>
      <c r="P210" s="43">
        <f t="shared" ca="1" si="10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hidden="1" customHeight="1" x14ac:dyDescent="0.15">
      <c r="A211" s="2" t="str">
        <f ca="1">input_564100!A$2</f>
        <v>564100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IFERROR(VLOOKUP(B211,input_564100!L:R,7,FALSE),VLOOKUP(tables_564100!C211,input_564100!A:H,8,FALSE))</f>
        <v>42530.769229999998</v>
      </c>
      <c r="P211" s="43">
        <f t="shared" ca="1" si="10"/>
        <v>7.383814102379282E-3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hidden="1" customHeight="1" x14ac:dyDescent="0.15">
      <c r="A212" s="2" t="str">
        <f ca="1">input_564100!A$2</f>
        <v>564100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IFERROR(VLOOKUP(B212,input_564100!L:R,7,FALSE),VLOOKUP(tables_564100!C212,input_564100!A:H,8,FALSE))</f>
        <v>14469.23077</v>
      </c>
      <c r="P212" s="43">
        <f t="shared" ca="1" si="10"/>
        <v>2.5120192308853342E-3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input_564100!A$2</f>
        <v>564100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IFERROR(VLOOKUP(B213,input_564100!L:R,7,FALSE),VLOOKUP(tables_564100!C213,input_564100!A:H,8,FALSE))</f>
        <v>8228.57143</v>
      </c>
      <c r="P213" s="43">
        <f t="shared" ca="1" si="10"/>
        <v>1.4285714288095244E-3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hidden="1" customHeight="1" x14ac:dyDescent="0.15">
      <c r="A214" s="2" t="str">
        <f ca="1">input_564100!A$2</f>
        <v>564100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IFERROR(VLOOKUP(B214,input_564100!L:R,7,FALSE),VLOOKUP(tables_564100!C214,input_564100!A:H,8,FALSE))</f>
        <v>800</v>
      </c>
      <c r="P214" s="43">
        <f t="shared" ca="1" si="10"/>
        <v>1.3888888888792444E-4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hidden="1" customHeight="1" x14ac:dyDescent="0.15">
      <c r="A215" s="2" t="str">
        <f ca="1">input_564100!A$2</f>
        <v>564100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2">
        <f ca="1">IFERROR(VLOOKUP(B215,input_564100!L:R,7,FALSE),VLOOKUP(tables_564100!C215,input_564100!A:H,8,FALSE))</f>
        <v>11400</v>
      </c>
      <c r="P215" s="43">
        <f t="shared" ca="1" si="10"/>
        <v>1.9791666666529235E-3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hidden="1" customHeight="1" x14ac:dyDescent="0.15">
      <c r="A216" s="2" t="str">
        <f ca="1">input_564100!A$2</f>
        <v>564100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2">
        <f ca="1">IFERROR(VLOOKUP(B216,input_564100!L:R,7,FALSE),VLOOKUP(tables_564100!C216,input_564100!A:H,8,FALSE))</f>
        <v>11400</v>
      </c>
      <c r="P216" s="43">
        <f t="shared" ca="1" si="10"/>
        <v>1.9791666666529235E-3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hidden="1" customHeight="1" x14ac:dyDescent="0.15">
      <c r="A217" s="2" t="str">
        <f ca="1">input_564100!A$2</f>
        <v>564100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2">
        <f ca="1">IFERROR(VLOOKUP(B217,input_564100!L:R,7,FALSE),VLOOKUP(tables_564100!C217,input_564100!A:H,8,FALSE))</f>
        <v>11400</v>
      </c>
      <c r="P217" s="43">
        <f t="shared" ca="1" si="10"/>
        <v>1.9791666666529235E-3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hidden="1" customHeight="1" x14ac:dyDescent="0.15">
      <c r="A218" s="2" t="str">
        <f ca="1">input_564100!A$2</f>
        <v>564100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2">
        <f ca="1">IFERROR(VLOOKUP(B218,input_564100!L:R,7,FALSE),VLOOKUP(tables_564100!C218,input_564100!A:H,8,FALSE))</f>
        <v>11400</v>
      </c>
      <c r="P218" s="43">
        <f t="shared" ca="1" si="10"/>
        <v>1.9791666666529235E-3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hidden="1" customHeight="1" x14ac:dyDescent="0.15">
      <c r="A219" s="2" t="str">
        <f ca="1">input_564100!A$2</f>
        <v>564100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2">
        <f ca="1">IFERROR(VLOOKUP(B219,input_564100!L:R,7,FALSE),VLOOKUP(tables_564100!C219,input_564100!A:H,8,FALSE))</f>
        <v>11400</v>
      </c>
      <c r="P219" s="43">
        <f t="shared" ca="1" si="10"/>
        <v>1.9791666666529235E-3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hidden="1" customHeight="1" x14ac:dyDescent="0.15">
      <c r="A220" s="2" t="str">
        <f ca="1">input_564100!A$2</f>
        <v>564100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2">
        <f ca="1">IFERROR(VLOOKUP(B220,input_564100!L:R,7,FALSE),VLOOKUP(tables_564100!C220,input_564100!A:H,8,FALSE))</f>
        <v>11400</v>
      </c>
      <c r="P220" s="43">
        <f t="shared" ca="1" si="10"/>
        <v>1.9791666666529235E-3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input_564100!A$2</f>
        <v>564100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2">
        <f ca="1">IFERROR(VLOOKUP(B221,input_564100!L:R,7,FALSE),VLOOKUP(tables_564100!C221,input_564100!A:H,8,FALSE))</f>
        <v>8228.57143</v>
      </c>
      <c r="P221" s="43">
        <f t="shared" ca="1" si="10"/>
        <v>1.4285714288095244E-3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hidden="1" customHeight="1" x14ac:dyDescent="0.15">
      <c r="A222" s="2" t="str">
        <f ca="1">input_564100!A$2</f>
        <v>564100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2">
        <f ca="1">IFERROR(VLOOKUP(B222,input_564100!L:R,7,FALSE),VLOOKUP(tables_564100!C222,input_564100!A:H,8,FALSE))</f>
        <v>800</v>
      </c>
      <c r="P222" s="43">
        <f t="shared" ca="1" si="10"/>
        <v>1.3888888888792444E-4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hidden="1" customHeight="1" x14ac:dyDescent="0.15">
      <c r="A223" s="2" t="str">
        <f ca="1">input_564100!A$2</f>
        <v>564100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2">
        <f ca="1">IFERROR(VLOOKUP(B223,input_564100!L:R,7,FALSE),VLOOKUP(tables_564100!C223,input_564100!A:H,8,FALSE))</f>
        <v>0</v>
      </c>
      <c r="P223" s="43">
        <f t="shared" ca="1" si="10"/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hidden="1" customHeight="1" x14ac:dyDescent="0.15">
      <c r="A224" s="2" t="str">
        <f ca="1">input_564100!A$2</f>
        <v>564100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2">
        <f ca="1">IFERROR(VLOOKUP(B224,input_564100!L:R,7,FALSE),VLOOKUP(tables_564100!C224,input_564100!A:H,8,FALSE))</f>
        <v>42530.769229999998</v>
      </c>
      <c r="P224" s="43">
        <f t="shared" ca="1" si="10"/>
        <v>7.383814102379282E-3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hidden="1" customHeight="1" x14ac:dyDescent="0.15">
      <c r="A225" s="2" t="str">
        <f ca="1">input_564100!A$2</f>
        <v>564100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2">
        <f ca="1">IFERROR(VLOOKUP(B225,input_564100!L:R,7,FALSE),VLOOKUP(tables_564100!C225,input_564100!A:H,8,FALSE))</f>
        <v>14469.23077</v>
      </c>
      <c r="P225" s="43">
        <f t="shared" ca="1" si="10"/>
        <v>2.5120192308853342E-3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hidden="1" customHeight="1" x14ac:dyDescent="0.15">
      <c r="A226" s="2" t="str">
        <f ca="1">input_564100!A$2</f>
        <v>564100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2">
        <f ca="1">IFERROR(VLOOKUP(B226,input_564100!L:R,7,FALSE),VLOOKUP(tables_564100!C226,input_564100!A:H,8,FALSE))</f>
        <v>0</v>
      </c>
      <c r="P226" s="43">
        <f t="shared" ca="1" si="10"/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hidden="1" customHeight="1" x14ac:dyDescent="0.15">
      <c r="A227" s="2" t="str">
        <f ca="1">input_564100!A$2</f>
        <v>564100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2">
        <f ca="1">IFERROR(VLOOKUP(B227,input_564100!L:R,7,FALSE),VLOOKUP(tables_564100!C227,input_564100!A:H,8,FALSE))</f>
        <v>42530.769229999998</v>
      </c>
      <c r="P227" s="43">
        <f t="shared" ca="1" si="10"/>
        <v>7.383814102379282E-3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hidden="1" customHeight="1" x14ac:dyDescent="0.15">
      <c r="A228" s="2" t="str">
        <f ca="1">input_564100!A$2</f>
        <v>564100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IFERROR(VLOOKUP(B228,input_564100!L:R,7,FALSE),VLOOKUP(tables_564100!C228,input_564100!A:H,8,FALSE))</f>
        <v>14469.23077</v>
      </c>
      <c r="P228" s="43">
        <f t="shared" ca="1" si="10"/>
        <v>2.5120192308853342E-3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input_564100!A$2</f>
        <v>564100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IFERROR(VLOOKUP(B229,input_564100!L:R,7,FALSE),VLOOKUP(tables_564100!C229,input_564100!A:H,8,FALSE))</f>
        <v>8228.57143</v>
      </c>
      <c r="P229" s="43">
        <f t="shared" ca="1" si="10"/>
        <v>1.4285714288095244E-3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hidden="1" customHeight="1" x14ac:dyDescent="0.15">
      <c r="A230" s="2" t="str">
        <f ca="1">input_564100!A$2</f>
        <v>564100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IFERROR(VLOOKUP(B230,input_564100!L:R,7,FALSE),VLOOKUP(tables_564100!C230,input_564100!A:H,8,FALSE))</f>
        <v>800</v>
      </c>
      <c r="P230" s="43">
        <f t="shared" ca="1" si="10"/>
        <v>1.3888888888792444E-4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hidden="1" customHeight="1" x14ac:dyDescent="0.15">
      <c r="A231" s="2" t="str">
        <f ca="1">input_564100!A$2</f>
        <v>564100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2">
        <f ca="1">IFERROR(VLOOKUP(B231,input_564100!L:R,7,FALSE),VLOOKUP(tables_564100!C231,input_564100!A:H,8,FALSE))</f>
        <v>0</v>
      </c>
      <c r="P231" s="43">
        <f t="shared" ca="1" si="10"/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hidden="1" customHeight="1" x14ac:dyDescent="0.15">
      <c r="A232" s="2" t="str">
        <f ca="1">input_564100!A$2</f>
        <v>564100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2">
        <f ca="1">IFERROR(VLOOKUP(B232,input_564100!L:R,7,FALSE),VLOOKUP(tables_564100!C232,input_564100!A:H,8,FALSE))</f>
        <v>42530.769229999998</v>
      </c>
      <c r="P232" s="43">
        <f t="shared" ca="1" si="10"/>
        <v>7.383814102379282E-3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hidden="1" customHeight="1" x14ac:dyDescent="0.15">
      <c r="A233" s="2" t="str">
        <f ca="1">input_564100!A$2</f>
        <v>564100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2">
        <f ca="1">IFERROR(VLOOKUP(B233,input_564100!L:R,7,FALSE),VLOOKUP(tables_564100!C233,input_564100!A:H,8,FALSE))</f>
        <v>14469.23077</v>
      </c>
      <c r="P233" s="43">
        <f t="shared" ca="1" si="10"/>
        <v>2.5120192308853342E-3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hidden="1" customHeight="1" x14ac:dyDescent="0.15">
      <c r="A234" s="2" t="str">
        <f ca="1">input_564100!A$2</f>
        <v>564100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2">
        <f ca="1">IFERROR(VLOOKUP(B234,input_564100!L:R,7,FALSE),VLOOKUP(tables_564100!C234,input_564100!A:H,8,FALSE))</f>
        <v>0</v>
      </c>
      <c r="P234" s="43">
        <f t="shared" ca="1" si="10"/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hidden="1" customHeight="1" x14ac:dyDescent="0.15">
      <c r="A235" s="2" t="str">
        <f ca="1">input_564100!A$2</f>
        <v>564100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2">
        <f ca="1">IFERROR(VLOOKUP(B235,input_564100!L:R,7,FALSE),VLOOKUP(tables_564100!C235,input_564100!A:H,8,FALSE))</f>
        <v>42530.769229999998</v>
      </c>
      <c r="P235" s="43">
        <f t="shared" ca="1" si="10"/>
        <v>7.383814102379282E-3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hidden="1" customHeight="1" x14ac:dyDescent="0.15">
      <c r="A236" s="2" t="str">
        <f ca="1">input_564100!A$2</f>
        <v>564100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2">
        <f ca="1">IFERROR(VLOOKUP(B236,input_564100!L:R,7,FALSE),VLOOKUP(tables_564100!C236,input_564100!A:H,8,FALSE))</f>
        <v>14469.23077</v>
      </c>
      <c r="P236" s="43">
        <f t="shared" ca="1" si="10"/>
        <v>2.5120192308853342E-3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input_564100!A$2</f>
        <v>564100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IFERROR(VLOOKUP(B237,input_564100!L:R,7,FALSE),VLOOKUP(tables_564100!C237,input_564100!A:H,8,FALSE))</f>
        <v>8228.57143</v>
      </c>
      <c r="P237" s="43">
        <f t="shared" ca="1" si="10"/>
        <v>1.4285714288095244E-3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hidden="1" customHeight="1" x14ac:dyDescent="0.15">
      <c r="A238" s="2" t="str">
        <f ca="1">input_564100!A$2</f>
        <v>564100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2">
        <f ca="1">IFERROR(VLOOKUP(B238,input_564100!L:R,7,FALSE),VLOOKUP(tables_564100!C238,input_564100!A:H,8,FALSE))</f>
        <v>800</v>
      </c>
      <c r="P238" s="43">
        <f t="shared" ca="1" si="10"/>
        <v>1.3888888888792444E-4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hidden="1" customHeight="1" x14ac:dyDescent="0.15">
      <c r="A239" s="2" t="str">
        <f ca="1">input_564100!A$2</f>
        <v>564100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2">
        <f ca="1">IFERROR(VLOOKUP(B239,input_564100!L:R,7,FALSE),VLOOKUP(tables_564100!C239,input_564100!A:H,8,FALSE))</f>
        <v>0</v>
      </c>
      <c r="P239" s="43">
        <f t="shared" ca="1" si="10"/>
        <v>0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hidden="1" customHeight="1" x14ac:dyDescent="0.15">
      <c r="A240" s="2" t="str">
        <f ca="1">input_564100!A$2</f>
        <v>564100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2">
        <f ca="1">IFERROR(VLOOKUP(B240,input_564100!L:R,7,FALSE),VLOOKUP(tables_564100!C240,input_564100!A:H,8,FALSE))</f>
        <v>42530.769229999998</v>
      </c>
      <c r="P240" s="43">
        <f t="shared" ca="1" si="10"/>
        <v>7.383814102379282E-3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hidden="1" customHeight="1" x14ac:dyDescent="0.15">
      <c r="A241" s="2" t="str">
        <f ca="1">input_564100!A$2</f>
        <v>564100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2">
        <f ca="1">IFERROR(VLOOKUP(B241,input_564100!L:R,7,FALSE),VLOOKUP(tables_564100!C241,input_564100!A:H,8,FALSE))</f>
        <v>14469.23077</v>
      </c>
      <c r="P241" s="43">
        <f t="shared" ca="1" si="10"/>
        <v>2.5120192308853342E-3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input_564100!A$2</f>
        <v>564100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2">
        <f ca="1">IFERROR(VLOOKUP(B242,input_564100!L:R,7,FALSE),VLOOKUP(tables_564100!C242,input_564100!A:H,8,FALSE))</f>
        <v>8228.57143</v>
      </c>
      <c r="P242" s="43">
        <f t="shared" ca="1" si="10"/>
        <v>1.4285714288095244E-3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hidden="1" customHeight="1" x14ac:dyDescent="0.15">
      <c r="A243" s="2" t="str">
        <f ca="1">input_564100!A$2</f>
        <v>564100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2">
        <f ca="1">IFERROR(VLOOKUP(B243,input_564100!L:R,7,FALSE),VLOOKUP(tables_564100!C243,input_564100!A:H,8,FALSE))</f>
        <v>800</v>
      </c>
      <c r="P243" s="43">
        <f t="shared" ca="1" si="10"/>
        <v>1.3888888888792444E-4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input_564100!A$2</f>
        <v>564100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2">
        <f ca="1">IFERROR(VLOOKUP(B244,input_564100!L:R,7,FALSE),VLOOKUP(tables_564100!C244,input_564100!A:H,8,FALSE))</f>
        <v>8228.57143</v>
      </c>
      <c r="P244" s="43">
        <f t="shared" ca="1" si="10"/>
        <v>1.4285714288095244E-3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hidden="1" customHeight="1" x14ac:dyDescent="0.15">
      <c r="A245" s="2" t="str">
        <f ca="1">input_564100!A$2</f>
        <v>564100</v>
      </c>
      <c r="B245" s="55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2">
        <f ca="1">IFERROR(VLOOKUP(B245,input_564100!L:R,7,FALSE),VLOOKUP(tables_564100!C245,input_564100!A:H,8,FALSE))</f>
        <v>800</v>
      </c>
      <c r="P245" s="43">
        <f t="shared" ca="1" si="10"/>
        <v>1.3888888888792444E-4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hidden="1" customHeight="1" x14ac:dyDescent="0.15">
      <c r="A246" s="2" t="str">
        <f ca="1">input_564100!A$2</f>
        <v>564100</v>
      </c>
      <c r="B246" s="55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2">
        <f ca="1">IFERROR(VLOOKUP(B246,input_564100!L:R,7,FALSE),VLOOKUP(tables_564100!C246,input_564100!A:H,8,FALSE))</f>
        <v>0</v>
      </c>
      <c r="P246" s="43">
        <f t="shared" ca="1" si="10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hidden="1" customHeight="1" x14ac:dyDescent="0.15">
      <c r="A247" s="2" t="str">
        <f ca="1">input_564100!A$2</f>
        <v>564100</v>
      </c>
      <c r="B247" s="55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2">
        <f ca="1">IFERROR(VLOOKUP(B247,input_564100!L:R,7,FALSE),VLOOKUP(tables_564100!C247,input_564100!A:H,8,FALSE))</f>
        <v>42530.769229999998</v>
      </c>
      <c r="P247" s="43">
        <f t="shared" ca="1" si="10"/>
        <v>7.383814102379282E-3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hidden="1" customHeight="1" x14ac:dyDescent="0.15">
      <c r="A248" s="2" t="str">
        <f ca="1">input_564100!A$2</f>
        <v>564100</v>
      </c>
      <c r="B248" s="55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2">
        <f ca="1">IFERROR(VLOOKUP(B248,input_564100!L:R,7,FALSE),VLOOKUP(tables_564100!C248,input_564100!A:H,8,FALSE))</f>
        <v>14469.23077</v>
      </c>
      <c r="P248" s="43">
        <f t="shared" ca="1" si="10"/>
        <v>2.5120192308853342E-3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hidden="1" customHeight="1" x14ac:dyDescent="0.15">
      <c r="A249" s="2" t="str">
        <f ca="1">input_564100!A$2</f>
        <v>564100</v>
      </c>
      <c r="B249" s="55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2">
        <f ca="1">IFERROR(VLOOKUP(B249,input_564100!L:R,7,FALSE),VLOOKUP(tables_564100!C249,input_564100!A:H,8,FALSE))</f>
        <v>0</v>
      </c>
      <c r="P249" s="43">
        <f t="shared" ca="1" si="10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hidden="1" customHeight="1" x14ac:dyDescent="0.15">
      <c r="A250" s="2" t="str">
        <f ca="1">input_564100!A$2</f>
        <v>564100</v>
      </c>
      <c r="B250" s="55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2">
        <f ca="1">IFERROR(VLOOKUP(B250,input_564100!L:R,7,FALSE),VLOOKUP(tables_564100!C250,input_564100!A:H,8,FALSE))</f>
        <v>42530.769229999998</v>
      </c>
      <c r="P250" s="43">
        <f t="shared" ca="1" si="10"/>
        <v>7.383814102379282E-3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hidden="1" customHeight="1" x14ac:dyDescent="0.15">
      <c r="A251" s="2" t="str">
        <f ca="1">input_564100!A$2</f>
        <v>564100</v>
      </c>
      <c r="B251" s="55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2">
        <f ca="1">IFERROR(VLOOKUP(B251,input_564100!L:R,7,FALSE),VLOOKUP(tables_564100!C251,input_564100!A:H,8,FALSE))</f>
        <v>14469.23077</v>
      </c>
      <c r="P251" s="43">
        <f t="shared" ca="1" si="10"/>
        <v>2.5120192308853342E-3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hidden="1" customHeight="1" x14ac:dyDescent="0.15">
      <c r="A252" s="2" t="str">
        <f ca="1">input_564100!A$2</f>
        <v>564100</v>
      </c>
      <c r="B252" s="55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2">
        <f ca="1">IFERROR(VLOOKUP(B252,input_564100!L:R,7,FALSE),VLOOKUP(tables_564100!C252,input_564100!A:H,8,FALSE))</f>
        <v>0</v>
      </c>
      <c r="P252" s="43">
        <f t="shared" ca="1" si="10"/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hidden="1" customHeight="1" x14ac:dyDescent="0.15">
      <c r="A253" s="2" t="str">
        <f ca="1">input_564100!A$2</f>
        <v>564100</v>
      </c>
      <c r="B253" s="55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2">
        <f ca="1">IFERROR(VLOOKUP(B253,input_564100!L:R,7,FALSE),VLOOKUP(tables_564100!C253,input_564100!A:H,8,FALSE))</f>
        <v>42530.769229999998</v>
      </c>
      <c r="P253" s="43">
        <f t="shared" ca="1" si="10"/>
        <v>7.383814102379282E-3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hidden="1" customHeight="1" x14ac:dyDescent="0.15">
      <c r="A254" s="2" t="str">
        <f ca="1">input_564100!A$2</f>
        <v>564100</v>
      </c>
      <c r="B254" s="55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2">
        <f ca="1">IFERROR(VLOOKUP(B254,input_564100!L:R,7,FALSE),VLOOKUP(tables_564100!C254,input_564100!A:H,8,FALSE))</f>
        <v>14469.23077</v>
      </c>
      <c r="P254" s="43">
        <f t="shared" ca="1" si="10"/>
        <v>2.5120192308853342E-3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hidden="1" customHeight="1" x14ac:dyDescent="0.15">
      <c r="A255" s="2" t="str">
        <f ca="1">input_564100!A$2</f>
        <v>564100</v>
      </c>
      <c r="B255" s="55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2">
        <f ca="1">IFERROR(VLOOKUP(B255,input_564100!L:R,7,FALSE),VLOOKUP(tables_564100!C255,input_564100!A:H,8,FALSE))</f>
        <v>0</v>
      </c>
      <c r="P255" s="43">
        <f t="shared" ca="1" si="10"/>
        <v>0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hidden="1" customHeight="1" x14ac:dyDescent="0.15">
      <c r="A256" s="2" t="str">
        <f ca="1">input_564100!A$2</f>
        <v>564100</v>
      </c>
      <c r="B256" s="55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2">
        <f ca="1">IFERROR(VLOOKUP(B256,input_564100!L:R,7,FALSE),VLOOKUP(tables_564100!C256,input_564100!A:H,8,FALSE))</f>
        <v>42530.769229999998</v>
      </c>
      <c r="P256" s="43">
        <f t="shared" ca="1" si="10"/>
        <v>7.383814102379282E-3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hidden="1" customHeight="1" x14ac:dyDescent="0.15">
      <c r="A257" s="2" t="str">
        <f ca="1">input_564100!A$2</f>
        <v>564100</v>
      </c>
      <c r="B257" s="55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2">
        <f ca="1">IFERROR(VLOOKUP(B257,input_564100!L:R,7,FALSE),VLOOKUP(tables_564100!C257,input_564100!A:H,8,FALSE))</f>
        <v>14469.23077</v>
      </c>
      <c r="P257" s="43">
        <f t="shared" ca="1" si="10"/>
        <v>2.5120192308853342E-3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input_564100!A$2</f>
        <v>564100</v>
      </c>
      <c r="B258" s="55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2">
        <f ca="1">IFERROR(VLOOKUP(B258,input_564100!L:R,7,FALSE),VLOOKUP(tables_564100!C258,input_564100!A:H,8,FALSE))</f>
        <v>8228.57143</v>
      </c>
      <c r="P258" s="43">
        <f t="shared" ref="P258:P321" ca="1" si="13">O258/SUM(O:O)</f>
        <v>1.4285714288095244E-3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hidden="1" customHeight="1" x14ac:dyDescent="0.15">
      <c r="A259" s="2" t="str">
        <f ca="1">input_564100!A$2</f>
        <v>564100</v>
      </c>
      <c r="B259" s="55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2">
        <f ca="1">IFERROR(VLOOKUP(B259,input_564100!L:R,7,FALSE),VLOOKUP(tables_564100!C259,input_564100!A:H,8,FALSE))</f>
        <v>800</v>
      </c>
      <c r="P259" s="43">
        <f t="shared" ca="1" si="13"/>
        <v>1.3888888888792444E-4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input_564100!A$2</f>
        <v>564100</v>
      </c>
      <c r="B260" s="55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2">
        <f ca="1">IFERROR(VLOOKUP(B260,input_564100!L:R,7,FALSE),VLOOKUP(tables_564100!C260,input_564100!A:H,8,FALSE))</f>
        <v>8228.57143</v>
      </c>
      <c r="P260" s="43">
        <f t="shared" ca="1" si="13"/>
        <v>1.4285714288095244E-3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hidden="1" customHeight="1" x14ac:dyDescent="0.15">
      <c r="A261" s="2" t="str">
        <f ca="1">input_564100!A$2</f>
        <v>564100</v>
      </c>
      <c r="B261" s="55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2">
        <f ca="1">IFERROR(VLOOKUP(B261,input_564100!L:R,7,FALSE),VLOOKUP(tables_564100!C261,input_564100!A:H,8,FALSE))</f>
        <v>800</v>
      </c>
      <c r="P261" s="43">
        <f t="shared" ca="1" si="13"/>
        <v>1.3888888888792444E-4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hidden="1" customHeight="1" x14ac:dyDescent="0.15">
      <c r="A262" s="2" t="str">
        <f ca="1">input_564100!A$2</f>
        <v>564100</v>
      </c>
      <c r="B262" s="55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2">
        <f ca="1">IFERROR(VLOOKUP(B262,input_564100!L:R,7,FALSE),VLOOKUP(tables_564100!C262,input_564100!A:H,8,FALSE))</f>
        <v>42180</v>
      </c>
      <c r="P262" s="43">
        <f t="shared" ca="1" si="13"/>
        <v>7.322916666615816E-3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hidden="1" customHeight="1" x14ac:dyDescent="0.15">
      <c r="A263" s="2" t="str">
        <f ca="1">input_564100!A$2</f>
        <v>564100</v>
      </c>
      <c r="B263" s="55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2">
        <f ca="1">IFERROR(VLOOKUP(B263,input_564100!L:R,7,FALSE),VLOOKUP(tables_564100!C263,input_564100!A:H,8,FALSE))</f>
        <v>11400</v>
      </c>
      <c r="P263" s="43">
        <f t="shared" ca="1" si="13"/>
        <v>1.9791666666529235E-3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hidden="1" customHeight="1" x14ac:dyDescent="0.15">
      <c r="A264" s="2" t="str">
        <f ca="1">input_564100!A$2</f>
        <v>564100</v>
      </c>
      <c r="B264" s="55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2">
        <f ca="1">IFERROR(VLOOKUP(B264,input_564100!L:R,7,FALSE),VLOOKUP(tables_564100!C264,input_564100!A:H,8,FALSE))</f>
        <v>42180</v>
      </c>
      <c r="P264" s="43">
        <f t="shared" ca="1" si="13"/>
        <v>7.322916666615816E-3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hidden="1" customHeight="1" x14ac:dyDescent="0.15">
      <c r="A265" s="2" t="str">
        <f ca="1">input_564100!A$2</f>
        <v>564100</v>
      </c>
      <c r="B265" s="55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2">
        <f ca="1">IFERROR(VLOOKUP(B265,input_564100!L:R,7,FALSE),VLOOKUP(tables_564100!C265,input_564100!A:H,8,FALSE))</f>
        <v>11400</v>
      </c>
      <c r="P265" s="43">
        <f t="shared" ca="1" si="13"/>
        <v>1.9791666666529235E-3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hidden="1" customHeight="1" x14ac:dyDescent="0.15">
      <c r="A266" s="2" t="str">
        <f ca="1">input_564100!A$2</f>
        <v>564100</v>
      </c>
      <c r="B266" s="55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2">
        <f ca="1">IFERROR(VLOOKUP(B266,input_564100!L:R,7,FALSE),VLOOKUP(tables_564100!C266,input_564100!A:H,8,FALSE))</f>
        <v>800</v>
      </c>
      <c r="P266" s="43">
        <f t="shared" ca="1" si="13"/>
        <v>1.3888888888792444E-4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hidden="1" customHeight="1" x14ac:dyDescent="0.15">
      <c r="A267" s="2" t="str">
        <f ca="1">input_564100!A$2</f>
        <v>564100</v>
      </c>
      <c r="B267" s="55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2">
        <f ca="1">IFERROR(VLOOKUP(B267,input_564100!L:R,7,FALSE),VLOOKUP(tables_564100!C267,input_564100!A:H,8,FALSE))</f>
        <v>800</v>
      </c>
      <c r="P267" s="43">
        <f t="shared" ca="1" si="13"/>
        <v>1.3888888888792444E-4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hidden="1" customHeight="1" x14ac:dyDescent="0.15">
      <c r="A268" s="2" t="str">
        <f ca="1">input_564100!A$2</f>
        <v>564100</v>
      </c>
      <c r="B268" s="55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2">
        <f ca="1">IFERROR(VLOOKUP(B268,input_564100!L:R,7,FALSE),VLOOKUP(tables_564100!C268,input_564100!A:H,8,FALSE))</f>
        <v>800</v>
      </c>
      <c r="P268" s="43">
        <f t="shared" ca="1" si="13"/>
        <v>1.3888888888792444E-4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hidden="1" customHeight="1" x14ac:dyDescent="0.15">
      <c r="A269" s="2" t="str">
        <f ca="1">input_564100!A$2</f>
        <v>564100</v>
      </c>
      <c r="B269" s="55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2">
        <f ca="1">IFERROR(VLOOKUP(B269,input_564100!L:R,7,FALSE),VLOOKUP(tables_564100!C269,input_564100!A:H,8,FALSE))</f>
        <v>800</v>
      </c>
      <c r="P269" s="43">
        <f t="shared" ca="1" si="13"/>
        <v>1.3888888888792444E-4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hidden="1" customHeight="1" x14ac:dyDescent="0.15">
      <c r="A270" s="2" t="str">
        <f ca="1">input_564100!A$2</f>
        <v>564100</v>
      </c>
      <c r="B270" s="55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2">
        <f ca="1">IFERROR(VLOOKUP(B270,input_564100!L:R,7,FALSE),VLOOKUP(tables_564100!C270,input_564100!A:H,8,FALSE))</f>
        <v>42180</v>
      </c>
      <c r="P270" s="43">
        <f t="shared" ca="1" si="13"/>
        <v>7.322916666615816E-3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hidden="1" customHeight="1" x14ac:dyDescent="0.15">
      <c r="A271" s="2" t="str">
        <f ca="1">input_564100!A$2</f>
        <v>564100</v>
      </c>
      <c r="B271" s="73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2">
        <f ca="1">IFERROR(VLOOKUP(B271,input_564100!L:R,7,FALSE),VLOOKUP(tables_564100!C271,input_564100!A:H,8,FALSE))</f>
        <v>11400</v>
      </c>
      <c r="P271" s="43">
        <f t="shared" ca="1" si="13"/>
        <v>1.9791666666529235E-3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hidden="1" customHeight="1" x14ac:dyDescent="0.15">
      <c r="A272" s="2" t="str">
        <f ca="1">input_564100!A$2</f>
        <v>564100</v>
      </c>
      <c r="B272" s="73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2">
        <f ca="1">IFERROR(VLOOKUP(B272,input_564100!L:R,7,FALSE),VLOOKUP(tables_564100!C272,input_564100!A:H,8,FALSE))</f>
        <v>42180</v>
      </c>
      <c r="P272" s="43">
        <f t="shared" ca="1" si="13"/>
        <v>7.322916666615816E-3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hidden="1" customHeight="1" x14ac:dyDescent="0.15">
      <c r="A273" s="2" t="str">
        <f ca="1">input_564100!A$2</f>
        <v>564100</v>
      </c>
      <c r="B273" s="73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2">
        <f ca="1">IFERROR(VLOOKUP(B273,input_564100!L:R,7,FALSE),VLOOKUP(tables_564100!C273,input_564100!A:H,8,FALSE))</f>
        <v>11400</v>
      </c>
      <c r="P273" s="43">
        <f t="shared" ca="1" si="13"/>
        <v>1.9791666666529235E-3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input_564100!A$2</f>
        <v>564100</v>
      </c>
      <c r="B274" s="73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2">
        <f ca="1">IFERROR(VLOOKUP(B274,input_564100!L:R,7,FALSE),VLOOKUP(tables_564100!C274,input_564100!A:H,8,FALSE))</f>
        <v>8228.57143</v>
      </c>
      <c r="P274" s="43">
        <f t="shared" ca="1" si="13"/>
        <v>1.4285714288095244E-3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hidden="1" customHeight="1" x14ac:dyDescent="0.15">
      <c r="A275" s="2" t="str">
        <f ca="1">input_564100!A$2</f>
        <v>564100</v>
      </c>
      <c r="B275" s="73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2">
        <f ca="1">IFERROR(VLOOKUP(B275,input_564100!L:R,7,FALSE),VLOOKUP(tables_564100!C275,input_564100!A:H,8,FALSE))</f>
        <v>800</v>
      </c>
      <c r="P275" s="43">
        <f t="shared" ca="1" si="13"/>
        <v>1.3888888888792444E-4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input_564100!A$2</f>
        <v>564100</v>
      </c>
      <c r="B276" s="73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2">
        <f ca="1">IFERROR(VLOOKUP(B276,input_564100!L:R,7,FALSE),VLOOKUP(tables_564100!C276,input_564100!A:H,8,FALSE))</f>
        <v>8228.57143</v>
      </c>
      <c r="P276" s="43">
        <f t="shared" ca="1" si="13"/>
        <v>1.4285714288095244E-3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hidden="1" customHeight="1" x14ac:dyDescent="0.15">
      <c r="A277" s="2" t="str">
        <f ca="1">input_564100!A$2</f>
        <v>564100</v>
      </c>
      <c r="B277" s="73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2">
        <f ca="1">IFERROR(VLOOKUP(B277,input_564100!L:R,7,FALSE),VLOOKUP(tables_564100!C277,input_564100!A:H,8,FALSE))</f>
        <v>800</v>
      </c>
      <c r="P277" s="43">
        <f t="shared" ca="1" si="13"/>
        <v>1.3888888888792444E-4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hidden="1" customHeight="1" x14ac:dyDescent="0.15">
      <c r="A278" s="2" t="str">
        <f ca="1">input_564100!A$2</f>
        <v>564100</v>
      </c>
      <c r="B278" s="73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2">
        <f ca="1">IFERROR(VLOOKUP(B278,input_564100!L:R,7,FALSE),VLOOKUP(tables_564100!C278,input_564100!A:H,8,FALSE))</f>
        <v>0</v>
      </c>
      <c r="P278" s="43">
        <f t="shared" ca="1" si="13"/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hidden="1" customHeight="1" x14ac:dyDescent="0.15">
      <c r="A279" s="2" t="str">
        <f ca="1">input_564100!A$2</f>
        <v>564100</v>
      </c>
      <c r="B279" s="73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2">
        <f ca="1">IFERROR(VLOOKUP(B279,input_564100!L:R,7,FALSE),VLOOKUP(tables_564100!C279,input_564100!A:H,8,FALSE))</f>
        <v>42530.769229999998</v>
      </c>
      <c r="P279" s="43">
        <f t="shared" ca="1" si="13"/>
        <v>7.383814102379282E-3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hidden="1" customHeight="1" x14ac:dyDescent="0.15">
      <c r="A280" s="2" t="str">
        <f ca="1">input_564100!A$2</f>
        <v>564100</v>
      </c>
      <c r="B280" s="73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2">
        <f ca="1">IFERROR(VLOOKUP(B280,input_564100!L:R,7,FALSE),VLOOKUP(tables_564100!C280,input_564100!A:H,8,FALSE))</f>
        <v>14469.23077</v>
      </c>
      <c r="P280" s="43">
        <f t="shared" ca="1" si="13"/>
        <v>2.5120192308853342E-3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hidden="1" customHeight="1" x14ac:dyDescent="0.15">
      <c r="A281" s="2" t="str">
        <f ca="1">input_564100!A$2</f>
        <v>564100</v>
      </c>
      <c r="B281" s="73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2">
        <f ca="1">IFERROR(VLOOKUP(B281,input_564100!L:R,7,FALSE),VLOOKUP(tables_564100!C281,input_564100!A:H,8,FALSE))</f>
        <v>0</v>
      </c>
      <c r="P281" s="43">
        <f t="shared" ca="1" si="13"/>
        <v>0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hidden="1" customHeight="1" x14ac:dyDescent="0.15">
      <c r="A282" s="2" t="str">
        <f ca="1">input_564100!A$2</f>
        <v>564100</v>
      </c>
      <c r="B282" s="73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2">
        <f ca="1">IFERROR(VLOOKUP(B282,input_564100!L:R,7,FALSE),VLOOKUP(tables_564100!C282,input_564100!A:H,8,FALSE))</f>
        <v>42530.769229999998</v>
      </c>
      <c r="P282" s="43">
        <f t="shared" ca="1" si="13"/>
        <v>7.383814102379282E-3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hidden="1" customHeight="1" x14ac:dyDescent="0.15">
      <c r="A283" s="2" t="str">
        <f ca="1">input_564100!A$2</f>
        <v>564100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2">
        <f ca="1">IFERROR(VLOOKUP(B283,input_564100!L:R,7,FALSE),VLOOKUP(tables_564100!C283,input_564100!A:H,8,FALSE))</f>
        <v>14469.23077</v>
      </c>
      <c r="P283" s="43">
        <f t="shared" ca="1" si="13"/>
        <v>2.5120192308853342E-3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hidden="1" customHeight="1" x14ac:dyDescent="0.15">
      <c r="A284" s="2" t="str">
        <f ca="1">input_564100!A$2</f>
        <v>564100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IFERROR(VLOOKUP(B284,input_564100!L:R,7,FALSE),VLOOKUP(tables_564100!C284,input_564100!A:H,8,FALSE))</f>
        <v>800</v>
      </c>
      <c r="P284" s="43">
        <f t="shared" ca="1" si="13"/>
        <v>1.3888888888792444E-4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hidden="1" customHeight="1" x14ac:dyDescent="0.15">
      <c r="A285" s="2" t="str">
        <f ca="1">input_564100!A$2</f>
        <v>564100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IFERROR(VLOOKUP(B285,input_564100!L:R,7,FALSE),VLOOKUP(tables_564100!C285,input_564100!A:H,8,FALSE))</f>
        <v>800</v>
      </c>
      <c r="P285" s="43">
        <f t="shared" ca="1" si="13"/>
        <v>1.3888888888792444E-4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hidden="1" customHeight="1" x14ac:dyDescent="0.15">
      <c r="A286" s="2" t="str">
        <f ca="1">input_564100!A$2</f>
        <v>564100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IFERROR(VLOOKUP(B286,input_564100!L:R,7,FALSE),VLOOKUP(tables_564100!C286,input_564100!A:H,8,FALSE))</f>
        <v>42180</v>
      </c>
      <c r="P286" s="43">
        <f t="shared" ca="1" si="13"/>
        <v>7.322916666615816E-3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hidden="1" customHeight="1" x14ac:dyDescent="0.15">
      <c r="A287" s="2" t="str">
        <f ca="1">input_564100!A$2</f>
        <v>564100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IFERROR(VLOOKUP(B287,input_564100!L:R,7,FALSE),VLOOKUP(tables_564100!C287,input_564100!A:H,8,FALSE))</f>
        <v>11400</v>
      </c>
      <c r="P287" s="43">
        <f t="shared" ca="1" si="13"/>
        <v>1.9791666666529235E-3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hidden="1" customHeight="1" x14ac:dyDescent="0.15">
      <c r="A288" s="2" t="str">
        <f ca="1">input_564100!A$2</f>
        <v>564100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IFERROR(VLOOKUP(B288,input_564100!L:R,7,FALSE),VLOOKUP(tables_564100!C288,input_564100!A:H,8,FALSE))</f>
        <v>42180</v>
      </c>
      <c r="P288" s="43">
        <f t="shared" ca="1" si="13"/>
        <v>7.322916666615816E-3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hidden="1" customHeight="1" x14ac:dyDescent="0.15">
      <c r="A289" s="2" t="str">
        <f ca="1">input_564100!A$2</f>
        <v>564100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IFERROR(VLOOKUP(B289,input_564100!L:R,7,FALSE),VLOOKUP(tables_564100!C289,input_564100!A:H,8,FALSE))</f>
        <v>11400</v>
      </c>
      <c r="P289" s="43">
        <f t="shared" ca="1" si="13"/>
        <v>1.9791666666529235E-3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hidden="1" customHeight="1" x14ac:dyDescent="0.15">
      <c r="A290" s="2" t="str">
        <f ca="1">input_564100!A$2</f>
        <v>564100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2">
        <f ca="1">IFERROR(VLOOKUP(B290,input_564100!L:R,7,FALSE),VLOOKUP(tables_564100!C290,input_564100!A:H,8,FALSE))</f>
        <v>42180</v>
      </c>
      <c r="P290" s="43">
        <f t="shared" ca="1" si="13"/>
        <v>7.322916666615816E-3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hidden="1" customHeight="1" x14ac:dyDescent="0.15">
      <c r="A291" s="2" t="str">
        <f ca="1">input_564100!A$2</f>
        <v>564100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2">
        <f ca="1">IFERROR(VLOOKUP(B291,input_564100!L:R,7,FALSE),VLOOKUP(tables_564100!C291,input_564100!A:H,8,FALSE))</f>
        <v>11400</v>
      </c>
      <c r="P291" s="43">
        <f t="shared" ca="1" si="13"/>
        <v>1.9791666666529235E-3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hidden="1" customHeight="1" x14ac:dyDescent="0.15">
      <c r="A292" s="2" t="str">
        <f ca="1">input_564100!A$2</f>
        <v>564100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2">
        <f ca="1">IFERROR(VLOOKUP(B292,input_564100!L:R,7,FALSE),VLOOKUP(tables_564100!C292,input_564100!A:H,8,FALSE))</f>
        <v>42180</v>
      </c>
      <c r="P292" s="43">
        <f t="shared" ca="1" si="13"/>
        <v>7.322916666615816E-3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hidden="1" customHeight="1" x14ac:dyDescent="0.15">
      <c r="A293" s="2" t="str">
        <f ca="1">input_564100!A$2</f>
        <v>564100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2">
        <f ca="1">IFERROR(VLOOKUP(B293,input_564100!L:R,7,FALSE),VLOOKUP(tables_564100!C293,input_564100!A:H,8,FALSE))</f>
        <v>11400</v>
      </c>
      <c r="P293" s="43">
        <f t="shared" ca="1" si="13"/>
        <v>1.9791666666529235E-3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hidden="1" customHeight="1" x14ac:dyDescent="0.15">
      <c r="A294" s="2" t="str">
        <f ca="1">input_564100!A$2</f>
        <v>564100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IFERROR(VLOOKUP(B294,input_564100!L:R,7,FALSE),VLOOKUP(tables_564100!C294,input_564100!A:H,8,FALSE))</f>
        <v>800</v>
      </c>
      <c r="P294" s="43">
        <f t="shared" ca="1" si="13"/>
        <v>1.3888888888792444E-4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hidden="1" customHeight="1" x14ac:dyDescent="0.15">
      <c r="A295" s="2" t="str">
        <f ca="1">input_564100!A$2</f>
        <v>564100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2">
        <f ca="1">IFERROR(VLOOKUP(B295,input_564100!L:R,7,FALSE),VLOOKUP(tables_564100!C295,input_564100!A:H,8,FALSE))</f>
        <v>800</v>
      </c>
      <c r="P295" s="43">
        <f t="shared" ca="1" si="13"/>
        <v>1.3888888888792444E-4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hidden="1" customHeight="1" x14ac:dyDescent="0.15">
      <c r="A296" s="2" t="str">
        <f ca="1">input_564100!A$2</f>
        <v>564100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2">
        <f ca="1">IFERROR(VLOOKUP(B296,input_564100!L:R,7,FALSE),VLOOKUP(tables_564100!C296,input_564100!A:H,8,FALSE))</f>
        <v>800</v>
      </c>
      <c r="P296" s="43">
        <f t="shared" ca="1" si="13"/>
        <v>1.3888888888792444E-4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hidden="1" customHeight="1" x14ac:dyDescent="0.15">
      <c r="A297" s="2" t="str">
        <f ca="1">input_564100!A$2</f>
        <v>564100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2">
        <f ca="1">IFERROR(VLOOKUP(B297,input_564100!L:R,7,FALSE),VLOOKUP(tables_564100!C297,input_564100!A:H,8,FALSE))</f>
        <v>42180</v>
      </c>
      <c r="P297" s="43">
        <f t="shared" ca="1" si="13"/>
        <v>7.322916666615816E-3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hidden="1" customHeight="1" x14ac:dyDescent="0.15">
      <c r="A298" s="2" t="str">
        <f ca="1">input_564100!A$2</f>
        <v>564100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2">
        <f ca="1">IFERROR(VLOOKUP(B298,input_564100!L:R,7,FALSE),VLOOKUP(tables_564100!C298,input_564100!A:H,8,FALSE))</f>
        <v>11400</v>
      </c>
      <c r="P298" s="43">
        <f t="shared" ca="1" si="13"/>
        <v>1.9791666666529235E-3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hidden="1" customHeight="1" x14ac:dyDescent="0.15">
      <c r="A299" s="2" t="str">
        <f ca="1">input_564100!A$2</f>
        <v>564100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2">
        <f ca="1">IFERROR(VLOOKUP(B299,input_564100!L:R,7,FALSE),VLOOKUP(tables_564100!C299,input_564100!A:H,8,FALSE))</f>
        <v>800</v>
      </c>
      <c r="P299" s="43">
        <f t="shared" ca="1" si="13"/>
        <v>1.3888888888792444E-4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hidden="1" customHeight="1" x14ac:dyDescent="0.15">
      <c r="A300" s="2" t="str">
        <f ca="1">input_564100!A$2</f>
        <v>564100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 ca="1">IFERROR(VLOOKUP(B300,input_564100!L:R,7,FALSE),VLOOKUP(tables_564100!C300,input_564100!A:H,8,FALSE))</f>
        <v>800</v>
      </c>
      <c r="P300" s="43">
        <f t="shared" ca="1" si="13"/>
        <v>1.3888888888792444E-4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hidden="1" customHeight="1" x14ac:dyDescent="0.15">
      <c r="A301" s="2" t="str">
        <f ca="1">input_564100!A$2</f>
        <v>564100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2">
        <f ca="1">IFERROR(VLOOKUP(B301,input_564100!L:R,7,FALSE),VLOOKUP(tables_564100!C301,input_564100!A:H,8,FALSE))</f>
        <v>800</v>
      </c>
      <c r="P301" s="43">
        <f t="shared" ca="1" si="13"/>
        <v>1.3888888888792444E-4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hidden="1" customHeight="1" x14ac:dyDescent="0.15">
      <c r="A302" s="2" t="str">
        <f ca="1">input_564100!A$2</f>
        <v>564100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2">
        <f ca="1">IFERROR(VLOOKUP(B302,input_564100!L:R,7,FALSE),VLOOKUP(tables_564100!C302,input_564100!A:H,8,FALSE))</f>
        <v>800</v>
      </c>
      <c r="P302" s="43">
        <f t="shared" ca="1" si="13"/>
        <v>1.3888888888792444E-4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hidden="1" customHeight="1" x14ac:dyDescent="0.15">
      <c r="A303" s="2" t="str">
        <f ca="1">input_564100!A$2</f>
        <v>564100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2">
        <f ca="1">IFERROR(VLOOKUP(B303,input_564100!L:R,7,FALSE),VLOOKUP(tables_564100!C303,input_564100!A:H,8,FALSE))</f>
        <v>42180</v>
      </c>
      <c r="P303" s="43">
        <f t="shared" ca="1" si="13"/>
        <v>7.322916666615816E-3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hidden="1" customHeight="1" x14ac:dyDescent="0.15">
      <c r="A304" s="2" t="str">
        <f ca="1">input_564100!A$2</f>
        <v>564100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2">
        <f ca="1">IFERROR(VLOOKUP(B304,input_564100!L:R,7,FALSE),VLOOKUP(tables_564100!C304,input_564100!A:H,8,FALSE))</f>
        <v>11400</v>
      </c>
      <c r="P304" s="43">
        <f t="shared" ca="1" si="13"/>
        <v>1.9791666666529235E-3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hidden="1" customHeight="1" x14ac:dyDescent="0.15">
      <c r="A305" s="2" t="str">
        <f ca="1">input_564100!A$2</f>
        <v>564100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2">
        <f ca="1">IFERROR(VLOOKUP(B305,input_564100!L:R,7,FALSE),VLOOKUP(tables_564100!C305,input_564100!A:H,8,FALSE))</f>
        <v>800</v>
      </c>
      <c r="P305" s="43">
        <f t="shared" ca="1" si="13"/>
        <v>1.3888888888792444E-4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hidden="1" customHeight="1" x14ac:dyDescent="0.15">
      <c r="A306" s="2" t="str">
        <f ca="1">input_564100!A$2</f>
        <v>564100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 ca="1">IFERROR(VLOOKUP(B306,input_564100!L:R,7,FALSE),VLOOKUP(tables_564100!C306,input_564100!A:H,8,FALSE))</f>
        <v>42180</v>
      </c>
      <c r="P306" s="43">
        <f t="shared" ca="1" si="13"/>
        <v>7.322916666615816E-3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hidden="1" customHeight="1" x14ac:dyDescent="0.15">
      <c r="A307" s="2" t="str">
        <f ca="1">input_564100!A$2</f>
        <v>564100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2">
        <f ca="1">IFERROR(VLOOKUP(B307,input_564100!L:R,7,FALSE),VLOOKUP(tables_564100!C307,input_564100!A:H,8,FALSE))</f>
        <v>11400</v>
      </c>
      <c r="P307" s="43">
        <f t="shared" ca="1" si="13"/>
        <v>1.9791666666529235E-3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hidden="1" customHeight="1" x14ac:dyDescent="0.15">
      <c r="A308" s="2" t="str">
        <f ca="1">input_564100!A$2</f>
        <v>564100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2">
        <f ca="1">IFERROR(VLOOKUP(B308,input_564100!L:R,7,FALSE),VLOOKUP(tables_564100!C308,input_564100!A:H,8,FALSE))</f>
        <v>800</v>
      </c>
      <c r="P308" s="43">
        <f t="shared" ca="1" si="13"/>
        <v>1.3888888888792444E-4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hidden="1" customHeight="1" x14ac:dyDescent="0.15">
      <c r="A309" s="2" t="str">
        <f ca="1">input_564100!A$2</f>
        <v>564100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2">
        <f ca="1">IFERROR(VLOOKUP(B309,input_564100!L:R,7,FALSE),VLOOKUP(tables_564100!C309,input_564100!A:H,8,FALSE))</f>
        <v>800</v>
      </c>
      <c r="P309" s="43">
        <f t="shared" ca="1" si="13"/>
        <v>1.3888888888792444E-4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hidden="1" customHeight="1" x14ac:dyDescent="0.15">
      <c r="A310" s="2" t="str">
        <f ca="1">input_564100!A$2</f>
        <v>564100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2">
        <f ca="1">IFERROR(VLOOKUP(B310,input_564100!L:R,7,FALSE),VLOOKUP(tables_564100!C310,input_564100!A:H,8,FALSE))</f>
        <v>800</v>
      </c>
      <c r="P310" s="43">
        <f t="shared" ca="1" si="13"/>
        <v>1.3888888888792444E-4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hidden="1" customHeight="1" x14ac:dyDescent="0.15">
      <c r="A311" s="2" t="str">
        <f ca="1">input_564100!A$2</f>
        <v>564100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2">
        <f ca="1">IFERROR(VLOOKUP(B311,input_564100!L:R,7,FALSE),VLOOKUP(tables_564100!C311,input_564100!A:H,8,FALSE))</f>
        <v>42180</v>
      </c>
      <c r="P311" s="43">
        <f t="shared" ca="1" si="13"/>
        <v>7.322916666615816E-3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hidden="1" customHeight="1" x14ac:dyDescent="0.15">
      <c r="A312" s="2" t="str">
        <f ca="1">input_564100!A$2</f>
        <v>564100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2">
        <f ca="1">IFERROR(VLOOKUP(B312,input_564100!L:R,7,FALSE),VLOOKUP(tables_564100!C312,input_564100!A:H,8,FALSE))</f>
        <v>11400</v>
      </c>
      <c r="P312" s="43">
        <f t="shared" ca="1" si="13"/>
        <v>1.9791666666529235E-3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hidden="1" customHeight="1" x14ac:dyDescent="0.15">
      <c r="A313" s="2" t="str">
        <f ca="1">input_564100!A$2</f>
        <v>564100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2">
        <f ca="1">IFERROR(VLOOKUP(B313,input_564100!L:R,7,FALSE),VLOOKUP(tables_564100!C313,input_564100!A:H,8,FALSE))</f>
        <v>800</v>
      </c>
      <c r="P313" s="43">
        <f t="shared" ca="1" si="13"/>
        <v>1.3888888888792444E-4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hidden="1" customHeight="1" x14ac:dyDescent="0.15">
      <c r="A314" s="2" t="str">
        <f ca="1">input_564100!A$2</f>
        <v>564100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2">
        <f ca="1">IFERROR(VLOOKUP(B314,input_564100!L:R,7,FALSE),VLOOKUP(tables_564100!C314,input_564100!A:H,8,FALSE))</f>
        <v>800</v>
      </c>
      <c r="P314" s="43">
        <f t="shared" ca="1" si="13"/>
        <v>1.3888888888792444E-4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hidden="1" customHeight="1" x14ac:dyDescent="0.15">
      <c r="A315" s="2" t="str">
        <f ca="1">input_564100!A$2</f>
        <v>564100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2">
        <f ca="1">IFERROR(VLOOKUP(B315,input_564100!L:R,7,FALSE),VLOOKUP(tables_564100!C315,input_564100!A:H,8,FALSE))</f>
        <v>800</v>
      </c>
      <c r="P315" s="43">
        <f t="shared" ca="1" si="13"/>
        <v>1.3888888888792444E-4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29">
        <v>1</v>
      </c>
    </row>
    <row r="316" spans="1:22" ht="21" hidden="1" customHeight="1" x14ac:dyDescent="0.15">
      <c r="A316" s="2" t="str">
        <f ca="1">input_564100!A$2</f>
        <v>564100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2">
        <f ca="1">IFERROR(VLOOKUP(B316,input_564100!L:R,7,FALSE),VLOOKUP(tables_564100!C316,input_564100!A:H,8,FALSE))</f>
        <v>800</v>
      </c>
      <c r="P316" s="43">
        <f t="shared" ca="1" si="13"/>
        <v>1.3888888888792444E-4</v>
      </c>
      <c r="Q316" s="29">
        <v>1</v>
      </c>
      <c r="R316" s="29">
        <v>0</v>
      </c>
      <c r="S316" s="29">
        <v>0</v>
      </c>
      <c r="T316" s="29">
        <v>0</v>
      </c>
      <c r="U316" s="29">
        <v>0</v>
      </c>
      <c r="V316" s="29">
        <v>1</v>
      </c>
    </row>
    <row r="317" spans="1:22" ht="21" hidden="1" customHeight="1" x14ac:dyDescent="0.15">
      <c r="A317" s="2" t="str">
        <f ca="1">input_564100!A$2</f>
        <v>564100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2">
        <f ca="1">IFERROR(VLOOKUP(B317,input_564100!L:R,7,FALSE),VLOOKUP(tables_564100!C317,input_564100!A:H,8,FALSE))</f>
        <v>800</v>
      </c>
      <c r="P317" s="43">
        <f t="shared" ca="1" si="13"/>
        <v>1.3888888888792444E-4</v>
      </c>
      <c r="Q317" s="29">
        <v>1</v>
      </c>
      <c r="R317" s="29">
        <v>0</v>
      </c>
      <c r="S317" s="29">
        <v>0</v>
      </c>
      <c r="T317" s="29">
        <v>0</v>
      </c>
      <c r="U317" s="29">
        <v>0</v>
      </c>
      <c r="V317" s="29">
        <v>1</v>
      </c>
    </row>
    <row r="318" spans="1:22" ht="21" hidden="1" customHeight="1" x14ac:dyDescent="0.15">
      <c r="A318" s="2" t="str">
        <f ca="1">input_564100!A$2</f>
        <v>564100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2">
        <f ca="1">IFERROR(VLOOKUP(B318,input_564100!L:R,7,FALSE),VLOOKUP(tables_564100!C318,input_564100!A:H,8,FALSE))</f>
        <v>42180</v>
      </c>
      <c r="P318" s="43">
        <f t="shared" ca="1" si="13"/>
        <v>7.322916666615816E-3</v>
      </c>
      <c r="Q318" s="29">
        <v>1</v>
      </c>
      <c r="R318" s="29">
        <v>0</v>
      </c>
      <c r="S318" s="29">
        <v>0</v>
      </c>
      <c r="T318" s="29">
        <v>0</v>
      </c>
      <c r="U318" s="29">
        <v>0</v>
      </c>
      <c r="V318" s="29">
        <v>1</v>
      </c>
    </row>
    <row r="319" spans="1:22" ht="21" hidden="1" customHeight="1" x14ac:dyDescent="0.15">
      <c r="A319" s="2" t="str">
        <f ca="1">input_564100!A$2</f>
        <v>564100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2">
        <f ca="1">IFERROR(VLOOKUP(B319,input_564100!L:R,7,FALSE),VLOOKUP(tables_564100!C319,input_564100!A:H,8,FALSE))</f>
        <v>11400</v>
      </c>
      <c r="P319" s="43">
        <f t="shared" ca="1" si="13"/>
        <v>1.9791666666529235E-3</v>
      </c>
      <c r="Q319" s="29">
        <v>1</v>
      </c>
      <c r="R319" s="29">
        <v>0</v>
      </c>
      <c r="S319" s="29">
        <v>0</v>
      </c>
      <c r="T319" s="29">
        <v>0</v>
      </c>
      <c r="U319" s="29">
        <v>0</v>
      </c>
      <c r="V319" s="29">
        <v>1</v>
      </c>
    </row>
    <row r="320" spans="1:22" ht="21" hidden="1" customHeight="1" x14ac:dyDescent="0.15">
      <c r="A320" s="2" t="str">
        <f ca="1">input_564100!A$2</f>
        <v>564100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2">
        <f ca="1">IFERROR(VLOOKUP(B320,input_564100!L:R,7,FALSE),VLOOKUP(tables_564100!C320,input_564100!A:H,8,FALSE))</f>
        <v>800</v>
      </c>
      <c r="P320" s="43">
        <f t="shared" ca="1" si="13"/>
        <v>1.3888888888792444E-4</v>
      </c>
      <c r="Q320" s="29">
        <v>1</v>
      </c>
      <c r="R320" s="29">
        <v>0</v>
      </c>
      <c r="S320" s="29">
        <v>0</v>
      </c>
      <c r="T320" s="29">
        <v>0</v>
      </c>
      <c r="U320" s="29">
        <v>0</v>
      </c>
      <c r="V320" s="29">
        <v>1</v>
      </c>
    </row>
    <row r="321" spans="1:22" ht="21" hidden="1" customHeight="1" x14ac:dyDescent="0.15">
      <c r="A321" s="2" t="str">
        <f ca="1">input_564100!A$2</f>
        <v>564100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2">
        <f ca="1">IFERROR(VLOOKUP(B321,input_564100!L:R,7,FALSE),VLOOKUP(tables_564100!C321,input_564100!A:H,8,FALSE))</f>
        <v>800</v>
      </c>
      <c r="P321" s="43">
        <f t="shared" ca="1" si="13"/>
        <v>1.3888888888792444E-4</v>
      </c>
      <c r="Q321" s="29">
        <v>1</v>
      </c>
      <c r="R321" s="29">
        <v>0</v>
      </c>
      <c r="S321" s="29">
        <v>0</v>
      </c>
      <c r="T321" s="29">
        <v>0</v>
      </c>
      <c r="U321" s="29">
        <v>0</v>
      </c>
      <c r="V321" s="29">
        <v>1</v>
      </c>
    </row>
    <row r="322" spans="1:22" ht="21" hidden="1" customHeight="1" x14ac:dyDescent="0.15">
      <c r="A322" s="2" t="str">
        <f ca="1">input_564100!A$2</f>
        <v>564100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2">
        <f ca="1">IFERROR(VLOOKUP(B322,input_564100!L:R,7,FALSE),VLOOKUP(tables_564100!C322,input_564100!A:H,8,FALSE))</f>
        <v>800</v>
      </c>
      <c r="P322" s="43">
        <f t="shared" ref="P322:P355" ca="1" si="23">O322/SUM(O:O)</f>
        <v>1.3888888888792444E-4</v>
      </c>
      <c r="Q322" s="29">
        <v>1</v>
      </c>
      <c r="R322" s="29">
        <v>0</v>
      </c>
      <c r="S322" s="29">
        <v>0</v>
      </c>
      <c r="T322" s="29">
        <v>0</v>
      </c>
      <c r="U322" s="29">
        <v>0</v>
      </c>
      <c r="V322" s="29">
        <v>1</v>
      </c>
    </row>
    <row r="323" spans="1:22" ht="21" hidden="1" customHeight="1" x14ac:dyDescent="0.15">
      <c r="A323" s="2" t="str">
        <f ca="1">input_564100!A$2</f>
        <v>564100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2">
        <f ca="1">IFERROR(VLOOKUP(B323,input_564100!L:R,7,FALSE),VLOOKUP(tables_564100!C323,input_564100!A:H,8,FALSE))</f>
        <v>800</v>
      </c>
      <c r="P323" s="43">
        <f t="shared" ca="1" si="23"/>
        <v>1.3888888888792444E-4</v>
      </c>
      <c r="Q323" s="29">
        <v>1</v>
      </c>
      <c r="R323" s="29">
        <v>0</v>
      </c>
      <c r="S323" s="29">
        <v>0</v>
      </c>
      <c r="T323" s="29">
        <v>0</v>
      </c>
      <c r="U323" s="29">
        <v>0</v>
      </c>
      <c r="V323" s="29">
        <v>1</v>
      </c>
    </row>
    <row r="324" spans="1:22" ht="21" hidden="1" customHeight="1" x14ac:dyDescent="0.15">
      <c r="A324" s="2" t="str">
        <f ca="1">input_564100!A$2</f>
        <v>564100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2">
        <f ca="1">IFERROR(VLOOKUP(B324,input_564100!L:R,7,FALSE),VLOOKUP(tables_564100!C324,input_564100!A:H,8,FALSE))</f>
        <v>42180</v>
      </c>
      <c r="P324" s="43">
        <f t="shared" ca="1" si="23"/>
        <v>7.322916666615816E-3</v>
      </c>
      <c r="Q324" s="29">
        <v>1</v>
      </c>
      <c r="R324" s="29">
        <v>0</v>
      </c>
      <c r="S324" s="29">
        <v>0</v>
      </c>
      <c r="T324" s="29">
        <v>0</v>
      </c>
      <c r="U324" s="29">
        <v>0</v>
      </c>
      <c r="V324" s="29">
        <v>1</v>
      </c>
    </row>
    <row r="325" spans="1:22" ht="21" hidden="1" customHeight="1" x14ac:dyDescent="0.15">
      <c r="A325" s="2" t="str">
        <f ca="1">input_564100!A$2</f>
        <v>564100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2">
        <f ca="1">IFERROR(VLOOKUP(B325,input_564100!L:R,7,FALSE),VLOOKUP(tables_564100!C325,input_564100!A:H,8,FALSE))</f>
        <v>11400</v>
      </c>
      <c r="P325" s="43">
        <f t="shared" ca="1" si="23"/>
        <v>1.9791666666529235E-3</v>
      </c>
      <c r="Q325" s="29">
        <v>1</v>
      </c>
      <c r="R325" s="29">
        <v>0</v>
      </c>
      <c r="S325" s="29">
        <v>0</v>
      </c>
      <c r="T325" s="29">
        <v>0</v>
      </c>
      <c r="U325" s="29">
        <v>0</v>
      </c>
      <c r="V325" s="29">
        <v>1</v>
      </c>
    </row>
    <row r="326" spans="1:22" ht="21" hidden="1" customHeight="1" x14ac:dyDescent="0.15">
      <c r="A326" s="2" t="str">
        <f ca="1">input_564100!A$2</f>
        <v>564100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2">
        <f ca="1">IFERROR(VLOOKUP(B326,input_564100!L:R,7,FALSE),VLOOKUP(tables_564100!C326,input_564100!A:H,8,FALSE))</f>
        <v>42180</v>
      </c>
      <c r="P326" s="43">
        <f t="shared" ca="1" si="23"/>
        <v>7.322916666615816E-3</v>
      </c>
      <c r="Q326" s="29">
        <v>1</v>
      </c>
      <c r="R326" s="29">
        <v>0</v>
      </c>
      <c r="S326" s="29">
        <v>0</v>
      </c>
      <c r="T326" s="29">
        <v>0</v>
      </c>
      <c r="U326" s="29">
        <v>0</v>
      </c>
      <c r="V326" s="29">
        <v>1</v>
      </c>
    </row>
    <row r="327" spans="1:22" ht="21" hidden="1" customHeight="1" x14ac:dyDescent="0.15">
      <c r="A327" s="2" t="str">
        <f ca="1">input_564100!A$2</f>
        <v>564100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2">
        <f ca="1">IFERROR(VLOOKUP(B327,input_564100!L:R,7,FALSE),VLOOKUP(tables_564100!C327,input_564100!A:H,8,FALSE))</f>
        <v>11400</v>
      </c>
      <c r="P327" s="43">
        <f t="shared" ca="1" si="23"/>
        <v>1.9791666666529235E-3</v>
      </c>
      <c r="Q327" s="29">
        <v>1</v>
      </c>
      <c r="R327" s="29">
        <v>0</v>
      </c>
      <c r="S327" s="29">
        <v>0</v>
      </c>
      <c r="T327" s="29">
        <v>0</v>
      </c>
      <c r="U327" s="29">
        <v>0</v>
      </c>
      <c r="V327" s="29">
        <v>1</v>
      </c>
    </row>
    <row r="328" spans="1:22" ht="21" hidden="1" customHeight="1" x14ac:dyDescent="0.15">
      <c r="A328" s="2" t="str">
        <f ca="1">input_564100!A$2</f>
        <v>564100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2">
        <f ca="1">IFERROR(VLOOKUP(B328,input_564100!L:R,7,FALSE),VLOOKUP(tables_564100!C328,input_564100!A:H,8,FALSE))</f>
        <v>800</v>
      </c>
      <c r="P328" s="43">
        <f t="shared" ca="1" si="23"/>
        <v>1.3888888888792444E-4</v>
      </c>
      <c r="Q328" s="29">
        <v>1</v>
      </c>
      <c r="R328" s="29">
        <v>0</v>
      </c>
      <c r="S328" s="29">
        <v>0</v>
      </c>
      <c r="T328" s="29">
        <v>0</v>
      </c>
      <c r="U328" s="29">
        <v>0</v>
      </c>
      <c r="V328" s="29">
        <v>1</v>
      </c>
    </row>
    <row r="329" spans="1:22" ht="21" hidden="1" customHeight="1" x14ac:dyDescent="0.15">
      <c r="A329" s="2" t="str">
        <f ca="1">input_564100!A$2</f>
        <v>564100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2">
        <f ca="1">IFERROR(VLOOKUP(B329,input_564100!L:R,7,FALSE),VLOOKUP(tables_564100!C329,input_564100!A:H,8,FALSE))</f>
        <v>800</v>
      </c>
      <c r="P329" s="43">
        <f t="shared" ca="1" si="23"/>
        <v>1.3888888888792444E-4</v>
      </c>
      <c r="Q329" s="29">
        <v>1</v>
      </c>
      <c r="R329" s="29">
        <v>0</v>
      </c>
      <c r="S329" s="29">
        <v>0</v>
      </c>
      <c r="T329" s="29">
        <v>0</v>
      </c>
      <c r="U329" s="29">
        <v>0</v>
      </c>
      <c r="V329" s="29">
        <v>1</v>
      </c>
    </row>
    <row r="330" spans="1:22" ht="21" hidden="1" customHeight="1" x14ac:dyDescent="0.15">
      <c r="A330" s="2" t="str">
        <f ca="1">input_564100!A$2</f>
        <v>564100</v>
      </c>
      <c r="B330" s="2">
        <v>1157</v>
      </c>
      <c r="C330" s="7" t="str">
        <f t="shared" si="25"/>
        <v>PremiumSS5R5only</v>
      </c>
      <c r="D330" s="8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2">
        <f ca="1">IFERROR(VLOOKUP(B330,input_564100!L:R,7,FALSE),VLOOKUP(tables_564100!C330,input_564100!A:H,8,FALSE))</f>
        <v>800</v>
      </c>
      <c r="P330" s="43">
        <f t="shared" ca="1" si="23"/>
        <v>1.3888888888792444E-4</v>
      </c>
      <c r="Q330" s="29">
        <v>1</v>
      </c>
      <c r="R330" s="29">
        <v>0</v>
      </c>
      <c r="S330" s="29">
        <v>0</v>
      </c>
      <c r="T330" s="29">
        <v>0</v>
      </c>
      <c r="U330" s="29">
        <v>0</v>
      </c>
      <c r="V330" s="29">
        <v>1</v>
      </c>
    </row>
    <row r="331" spans="1:22" ht="21" hidden="1" customHeight="1" x14ac:dyDescent="0.15">
      <c r="A331" s="2" t="str">
        <f ca="1">input_564100!A$2</f>
        <v>564100</v>
      </c>
      <c r="B331" s="55">
        <v>1214</v>
      </c>
      <c r="C331" s="7" t="str">
        <f t="shared" ref="C331:C335" si="26">D331&amp;J331&amp;E331&amp;F331&amp;G331</f>
        <v>PremiumSS5R5only</v>
      </c>
      <c r="D331" s="8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2">
        <f ca="1">IFERROR(VLOOKUP(B331,input_564100!L:R,7,FALSE),VLOOKUP(tables_564100!C331,input_564100!A:H,8,FALSE))</f>
        <v>800</v>
      </c>
      <c r="P331" s="43">
        <f t="shared" ca="1" si="23"/>
        <v>1.3888888888792444E-4</v>
      </c>
      <c r="Q331" s="29">
        <v>1</v>
      </c>
      <c r="R331" s="29">
        <v>0</v>
      </c>
      <c r="S331" s="29">
        <v>0</v>
      </c>
      <c r="T331" s="29">
        <v>0</v>
      </c>
      <c r="U331" s="29">
        <v>0</v>
      </c>
      <c r="V331" s="29">
        <v>1</v>
      </c>
    </row>
    <row r="332" spans="1:22" ht="21" hidden="1" customHeight="1" x14ac:dyDescent="0.15">
      <c r="A332" s="2" t="str">
        <f ca="1">input_564100!A$2</f>
        <v>564100</v>
      </c>
      <c r="B332" s="55">
        <v>1212</v>
      </c>
      <c r="C332" s="7" t="str">
        <f t="shared" si="26"/>
        <v>PremiumSS5R5only</v>
      </c>
      <c r="D332" s="8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2">
        <f ca="1">IFERROR(VLOOKUP(B332,input_564100!L:R,7,FALSE),VLOOKUP(tables_564100!C332,input_564100!A:H,8,FALSE))</f>
        <v>800</v>
      </c>
      <c r="P332" s="43">
        <f t="shared" ca="1" si="23"/>
        <v>1.3888888888792444E-4</v>
      </c>
      <c r="Q332" s="29">
        <v>1</v>
      </c>
      <c r="R332" s="29">
        <v>0</v>
      </c>
      <c r="S332" s="29">
        <v>0</v>
      </c>
      <c r="T332" s="29">
        <v>0</v>
      </c>
      <c r="U332" s="29">
        <v>0</v>
      </c>
      <c r="V332" s="29">
        <v>1</v>
      </c>
    </row>
    <row r="333" spans="1:22" ht="21" hidden="1" customHeight="1" x14ac:dyDescent="0.15">
      <c r="A333" s="2" t="str">
        <f ca="1">input_564100!A$2</f>
        <v>564100</v>
      </c>
      <c r="B333" s="55">
        <v>1208</v>
      </c>
      <c r="C333" s="7" t="str">
        <f t="shared" si="26"/>
        <v>PremiumSS5R5only</v>
      </c>
      <c r="D333" s="8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2">
        <f ca="1">IFERROR(VLOOKUP(B333,input_564100!L:R,7,FALSE),VLOOKUP(tables_564100!C333,input_564100!A:H,8,FALSE))</f>
        <v>800</v>
      </c>
      <c r="P333" s="43">
        <f t="shared" ca="1" si="23"/>
        <v>1.3888888888792444E-4</v>
      </c>
      <c r="Q333" s="29">
        <v>1</v>
      </c>
      <c r="R333" s="29">
        <v>0</v>
      </c>
      <c r="S333" s="29">
        <v>0</v>
      </c>
      <c r="T333" s="29">
        <v>0</v>
      </c>
      <c r="U333" s="29">
        <v>0</v>
      </c>
      <c r="V333" s="29">
        <v>1</v>
      </c>
    </row>
    <row r="334" spans="1:22" ht="21" hidden="1" customHeight="1" x14ac:dyDescent="0.15">
      <c r="A334" s="2" t="str">
        <f ca="1">input_564100!A$2</f>
        <v>564100</v>
      </c>
      <c r="B334" s="83">
        <v>1210</v>
      </c>
      <c r="C334" s="7" t="str">
        <f t="shared" si="26"/>
        <v>Premium4R3less</v>
      </c>
      <c r="D334" s="8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2">
        <f ca="1">IFERROR(VLOOKUP(B334,input_564100!L:R,7,FALSE),VLOOKUP(tables_564100!C334,input_564100!A:H,8,FALSE))</f>
        <v>42180</v>
      </c>
      <c r="P334" s="43">
        <f t="shared" ca="1" si="23"/>
        <v>7.322916666615816E-3</v>
      </c>
      <c r="Q334" s="29">
        <v>1</v>
      </c>
      <c r="R334" s="29">
        <v>0</v>
      </c>
      <c r="S334" s="29">
        <v>0</v>
      </c>
      <c r="T334" s="29">
        <v>0</v>
      </c>
      <c r="U334" s="29">
        <v>0</v>
      </c>
      <c r="V334" s="29">
        <v>1</v>
      </c>
    </row>
    <row r="335" spans="1:22" ht="21" hidden="1" customHeight="1" x14ac:dyDescent="0.15">
      <c r="A335" s="2" t="str">
        <f ca="1">input_564100!A$2</f>
        <v>564100</v>
      </c>
      <c r="B335" s="55">
        <v>1211</v>
      </c>
      <c r="C335" s="7" t="str">
        <f t="shared" si="26"/>
        <v>Premium5R3less</v>
      </c>
      <c r="D335" s="8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2">
        <f ca="1">IFERROR(VLOOKUP(B335,input_564100!L:R,7,FALSE),VLOOKUP(tables_564100!C335,input_564100!A:H,8,FALSE))</f>
        <v>11400</v>
      </c>
      <c r="P335" s="43">
        <f t="shared" ca="1" si="23"/>
        <v>1.9791666666529235E-3</v>
      </c>
      <c r="Q335" s="29">
        <v>1</v>
      </c>
      <c r="R335" s="29">
        <v>0</v>
      </c>
      <c r="S335" s="29">
        <v>0</v>
      </c>
      <c r="T335" s="29">
        <v>0</v>
      </c>
      <c r="U335" s="29">
        <v>0</v>
      </c>
      <c r="V335" s="29">
        <v>1</v>
      </c>
    </row>
    <row r="336" spans="1:22" ht="21" hidden="1" customHeight="1" x14ac:dyDescent="0.15">
      <c r="A336" s="2" t="str">
        <f ca="1">input_564100!A$2</f>
        <v>564100</v>
      </c>
      <c r="B336" s="2">
        <v>1224</v>
      </c>
      <c r="C336" s="7" t="str">
        <f t="shared" ref="C336:C340" si="28">D336&amp;J336&amp;E336&amp;F336&amp;G336</f>
        <v>Premium4R3less</v>
      </c>
      <c r="D336" s="8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2">
        <f ca="1">IFERROR(VLOOKUP(B336,input_564100!L:R,7,FALSE),VLOOKUP(tables_564100!C336,input_564100!A:H,8,FALSE))</f>
        <v>42180</v>
      </c>
      <c r="P336" s="43">
        <f t="shared" ca="1" si="23"/>
        <v>7.322916666615816E-3</v>
      </c>
      <c r="Q336" s="29">
        <v>1</v>
      </c>
      <c r="R336" s="29">
        <v>0</v>
      </c>
      <c r="S336" s="29">
        <v>0</v>
      </c>
      <c r="T336" s="29">
        <v>0</v>
      </c>
      <c r="U336" s="29">
        <v>0</v>
      </c>
      <c r="V336" s="29">
        <v>1</v>
      </c>
    </row>
    <row r="337" spans="1:22" ht="21" hidden="1" customHeight="1" x14ac:dyDescent="0.15">
      <c r="A337" s="2" t="str">
        <f ca="1">input_564100!A$2</f>
        <v>564100</v>
      </c>
      <c r="B337" s="2">
        <v>1225</v>
      </c>
      <c r="C337" s="7" t="str">
        <f t="shared" si="28"/>
        <v>Premium5R3less</v>
      </c>
      <c r="D337" s="8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2">
        <f ca="1">IFERROR(VLOOKUP(B337,input_564100!L:R,7,FALSE),VLOOKUP(tables_564100!C337,input_564100!A:H,8,FALSE))</f>
        <v>11400</v>
      </c>
      <c r="P337" s="43">
        <f t="shared" ca="1" si="23"/>
        <v>1.9791666666529235E-3</v>
      </c>
      <c r="Q337" s="29">
        <v>1</v>
      </c>
      <c r="R337" s="29">
        <v>0</v>
      </c>
      <c r="S337" s="29">
        <v>0</v>
      </c>
      <c r="T337" s="29">
        <v>0</v>
      </c>
      <c r="U337" s="29">
        <v>0</v>
      </c>
      <c r="V337" s="29">
        <v>1</v>
      </c>
    </row>
    <row r="338" spans="1:22" ht="21" hidden="1" customHeight="1" x14ac:dyDescent="0.15">
      <c r="A338" s="2" t="str">
        <f ca="1">input_564100!A$2</f>
        <v>564100</v>
      </c>
      <c r="B338" s="2">
        <v>1226</v>
      </c>
      <c r="C338" s="7" t="str">
        <f t="shared" si="28"/>
        <v>PremiumSS5R5only</v>
      </c>
      <c r="D338" s="8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2">
        <f ca="1">IFERROR(VLOOKUP(B338,input_564100!L:R,7,FALSE),VLOOKUP(tables_564100!C338,input_564100!A:H,8,FALSE))</f>
        <v>800</v>
      </c>
      <c r="P338" s="43">
        <f t="shared" ca="1" si="23"/>
        <v>1.3888888888792444E-4</v>
      </c>
      <c r="Q338" s="29">
        <v>1</v>
      </c>
      <c r="R338" s="29">
        <v>0</v>
      </c>
      <c r="S338" s="29">
        <v>0</v>
      </c>
      <c r="T338" s="29">
        <v>0</v>
      </c>
      <c r="U338" s="29">
        <v>0</v>
      </c>
      <c r="V338" s="29">
        <v>1</v>
      </c>
    </row>
    <row r="339" spans="1:22" ht="21" hidden="1" customHeight="1" x14ac:dyDescent="0.15">
      <c r="A339" s="2" t="str">
        <f ca="1">input_564100!A$2</f>
        <v>564100</v>
      </c>
      <c r="B339" s="2">
        <v>1228</v>
      </c>
      <c r="C339" s="7" t="str">
        <f t="shared" si="28"/>
        <v>PremiumSS5R5only</v>
      </c>
      <c r="D339" s="8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2">
        <f ca="1">IFERROR(VLOOKUP(B339,input_564100!L:R,7,FALSE),VLOOKUP(tables_564100!C339,input_564100!A:H,8,FALSE))</f>
        <v>800</v>
      </c>
      <c r="P339" s="43">
        <f t="shared" ca="1" si="23"/>
        <v>1.3888888888792444E-4</v>
      </c>
      <c r="Q339" s="29">
        <v>1</v>
      </c>
      <c r="R339" s="29">
        <v>0</v>
      </c>
      <c r="S339" s="29">
        <v>0</v>
      </c>
      <c r="T339" s="29">
        <v>0</v>
      </c>
      <c r="U339" s="29">
        <v>0</v>
      </c>
      <c r="V339" s="29">
        <v>1</v>
      </c>
    </row>
    <row r="340" spans="1:22" ht="21" hidden="1" customHeight="1" x14ac:dyDescent="0.15">
      <c r="A340" s="2" t="str">
        <f ca="1">input_564100!A$2</f>
        <v>564100</v>
      </c>
      <c r="B340" s="2">
        <v>1230</v>
      </c>
      <c r="C340" s="7" t="str">
        <f t="shared" si="28"/>
        <v>PremiumSS5R5only</v>
      </c>
      <c r="D340" s="8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2">
        <f ca="1">IFERROR(VLOOKUP(B340,input_564100!L:R,7,FALSE),VLOOKUP(tables_564100!C340,input_564100!A:H,8,FALSE))</f>
        <v>800</v>
      </c>
      <c r="P340" s="43">
        <f t="shared" ca="1" si="23"/>
        <v>1.3888888888792444E-4</v>
      </c>
      <c r="Q340" s="29">
        <v>1</v>
      </c>
      <c r="R340" s="29">
        <v>0</v>
      </c>
      <c r="S340" s="29">
        <v>0</v>
      </c>
      <c r="T340" s="29">
        <v>0</v>
      </c>
      <c r="U340" s="29">
        <v>0</v>
      </c>
      <c r="V340" s="29">
        <v>1</v>
      </c>
    </row>
    <row r="341" spans="1:22" ht="21" hidden="1" customHeight="1" x14ac:dyDescent="0.15">
      <c r="A341" s="2" t="str">
        <f ca="1">input_564100!A$2</f>
        <v>564100</v>
      </c>
      <c r="B341" s="88">
        <v>1244</v>
      </c>
      <c r="C341" s="7" t="str">
        <f t="shared" ref="C341:C342" si="30">D341&amp;J341&amp;E341&amp;F341&amp;G341</f>
        <v>PremiumSS5R5only</v>
      </c>
      <c r="D341" s="8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2">
        <f ca="1">IFERROR(VLOOKUP(B341,input_564100!L:R,7,FALSE),VLOOKUP(tables_564100!C341,input_564100!A:H,8,FALSE))</f>
        <v>800</v>
      </c>
      <c r="P341" s="43">
        <f t="shared" ca="1" si="23"/>
        <v>1.3888888888792444E-4</v>
      </c>
      <c r="Q341" s="29">
        <v>1</v>
      </c>
      <c r="R341" s="29">
        <v>0</v>
      </c>
      <c r="S341" s="29">
        <v>0</v>
      </c>
      <c r="T341" s="29">
        <v>0</v>
      </c>
      <c r="U341" s="29">
        <v>0</v>
      </c>
      <c r="V341" s="29">
        <v>1</v>
      </c>
    </row>
    <row r="342" spans="1:22" ht="21" hidden="1" customHeight="1" x14ac:dyDescent="0.15">
      <c r="A342" s="2" t="str">
        <f ca="1">input_564100!A$2</f>
        <v>564100</v>
      </c>
      <c r="B342" s="88">
        <v>1246</v>
      </c>
      <c r="C342" s="7" t="str">
        <f t="shared" si="30"/>
        <v>PremiumSS5R5only</v>
      </c>
      <c r="D342" s="8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2">
        <f ca="1">IFERROR(VLOOKUP(B342,input_564100!L:R,7,FALSE),VLOOKUP(tables_564100!C342,input_564100!A:H,8,FALSE))</f>
        <v>800</v>
      </c>
      <c r="P342" s="43">
        <f t="shared" ca="1" si="23"/>
        <v>1.3888888888792444E-4</v>
      </c>
      <c r="Q342" s="29">
        <v>1</v>
      </c>
      <c r="R342" s="29">
        <v>0</v>
      </c>
      <c r="S342" s="29">
        <v>0</v>
      </c>
      <c r="T342" s="29">
        <v>0</v>
      </c>
      <c r="U342" s="29">
        <v>0</v>
      </c>
      <c r="V342" s="29">
        <v>1</v>
      </c>
    </row>
    <row r="343" spans="1:22" ht="21" hidden="1" customHeight="1" x14ac:dyDescent="0.15">
      <c r="A343" s="2" t="str">
        <f ca="1">input_564100!A$2</f>
        <v>564100</v>
      </c>
      <c r="B343" s="88">
        <v>1248</v>
      </c>
      <c r="C343" s="7" t="str">
        <f t="shared" ref="C343:C345" si="32">D343&amp;J343&amp;E343&amp;F343&amp;G343</f>
        <v>Premium4R3less</v>
      </c>
      <c r="D343" s="8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2">
        <f ca="1">IFERROR(VLOOKUP(B343,input_564100!L:R,7,FALSE),VLOOKUP(tables_564100!C343,input_564100!A:H,8,FALSE))</f>
        <v>42180</v>
      </c>
      <c r="P343" s="43">
        <f t="shared" ca="1" si="23"/>
        <v>7.322916666615816E-3</v>
      </c>
      <c r="Q343" s="29">
        <v>1</v>
      </c>
      <c r="R343" s="29">
        <v>0</v>
      </c>
      <c r="S343" s="29">
        <v>0</v>
      </c>
      <c r="T343" s="29">
        <v>0</v>
      </c>
      <c r="U343" s="29">
        <v>0</v>
      </c>
      <c r="V343" s="29">
        <v>1</v>
      </c>
    </row>
    <row r="344" spans="1:22" ht="21" hidden="1" customHeight="1" x14ac:dyDescent="0.15">
      <c r="A344" s="2" t="str">
        <f ca="1">input_564100!A$2</f>
        <v>564100</v>
      </c>
      <c r="B344" s="88">
        <v>1249</v>
      </c>
      <c r="C344" s="7" t="str">
        <f t="shared" si="32"/>
        <v>Premium5R3less</v>
      </c>
      <c r="D344" s="8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2">
        <f ca="1">IFERROR(VLOOKUP(B344,input_564100!L:R,7,FALSE),VLOOKUP(tables_564100!C344,input_564100!A:H,8,FALSE))</f>
        <v>11400</v>
      </c>
      <c r="P344" s="43">
        <f t="shared" ca="1" si="23"/>
        <v>1.9791666666529235E-3</v>
      </c>
      <c r="Q344" s="29">
        <v>1</v>
      </c>
      <c r="R344" s="29">
        <v>0</v>
      </c>
      <c r="S344" s="29">
        <v>0</v>
      </c>
      <c r="T344" s="29">
        <v>0</v>
      </c>
      <c r="U344" s="29">
        <v>0</v>
      </c>
      <c r="V344" s="29">
        <v>1</v>
      </c>
    </row>
    <row r="345" spans="1:22" ht="21" hidden="1" customHeight="1" x14ac:dyDescent="0.15">
      <c r="A345" s="2" t="str">
        <f ca="1">input_564100!A$2</f>
        <v>564100</v>
      </c>
      <c r="B345" s="88">
        <v>1250</v>
      </c>
      <c r="C345" s="7" t="str">
        <f t="shared" si="32"/>
        <v>PremiumSS5R5only</v>
      </c>
      <c r="D345" s="8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2">
        <f ca="1">IFERROR(VLOOKUP(B345,input_564100!L:R,7,FALSE),VLOOKUP(tables_564100!C345,input_564100!A:H,8,FALSE))</f>
        <v>800</v>
      </c>
      <c r="P345" s="43">
        <f t="shared" ca="1" si="23"/>
        <v>1.3888888888792444E-4</v>
      </c>
      <c r="Q345" s="29">
        <v>1</v>
      </c>
      <c r="R345" s="29">
        <v>0</v>
      </c>
      <c r="S345" s="29">
        <v>0</v>
      </c>
      <c r="T345" s="29">
        <v>0</v>
      </c>
      <c r="U345" s="29">
        <v>0</v>
      </c>
      <c r="V345" s="29">
        <v>1</v>
      </c>
    </row>
    <row r="346" spans="1:22" ht="21" hidden="1" customHeight="1" x14ac:dyDescent="0.15">
      <c r="A346" s="2" t="str">
        <f ca="1">input_564100!A$2</f>
        <v>564100</v>
      </c>
      <c r="B346" s="90">
        <v>1260</v>
      </c>
      <c r="C346" s="7" t="str">
        <f t="shared" ref="C346" si="34">D346&amp;J346&amp;E346&amp;F346&amp;G346</f>
        <v>PremiumSS5R5only</v>
      </c>
      <c r="D346" s="8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2">
        <f ca="1">IFERROR(VLOOKUP(B346,input_564100!L:R,7,FALSE),VLOOKUP(tables_564100!C346,input_564100!A:H,8,FALSE))</f>
        <v>800</v>
      </c>
      <c r="P346" s="43">
        <f t="shared" ca="1" si="23"/>
        <v>1.3888888888792444E-4</v>
      </c>
      <c r="Q346" s="29">
        <v>1</v>
      </c>
      <c r="R346" s="29">
        <v>0</v>
      </c>
      <c r="S346" s="29">
        <v>0</v>
      </c>
      <c r="T346" s="29">
        <v>0</v>
      </c>
      <c r="U346" s="29">
        <v>0</v>
      </c>
      <c r="V346" s="29">
        <v>1</v>
      </c>
    </row>
    <row r="347" spans="1:22" ht="21" hidden="1" customHeight="1" x14ac:dyDescent="0.15">
      <c r="A347" s="2" t="str">
        <f ca="1">input_564100!A$2</f>
        <v>564100</v>
      </c>
      <c r="B347" s="90">
        <v>1262</v>
      </c>
      <c r="C347" s="7" t="str">
        <f t="shared" ref="C347:C350" si="36">D347&amp;J347&amp;E347&amp;F347&amp;G347</f>
        <v>PremiumSS5R5only</v>
      </c>
      <c r="D347" s="87" t="str">
        <f t="shared" ref="D347:D350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2">
        <f ca="1">IFERROR(VLOOKUP(B347,input_564100!L:R,7,FALSE),VLOOKUP(tables_564100!C347,input_564100!A:H,8,FALSE))</f>
        <v>800</v>
      </c>
      <c r="P347" s="43">
        <f t="shared" ca="1" si="23"/>
        <v>1.3888888888792444E-4</v>
      </c>
      <c r="Q347" s="29">
        <v>1</v>
      </c>
      <c r="R347" s="29">
        <v>0</v>
      </c>
      <c r="S347" s="29">
        <v>0</v>
      </c>
      <c r="T347" s="29">
        <v>0</v>
      </c>
      <c r="U347" s="29">
        <v>0</v>
      </c>
      <c r="V347" s="29">
        <v>1</v>
      </c>
    </row>
    <row r="348" spans="1:22" ht="21" hidden="1" customHeight="1" x14ac:dyDescent="0.15">
      <c r="A348" s="2" t="str">
        <f ca="1">input_564100!A$2</f>
        <v>564100</v>
      </c>
      <c r="B348" s="90">
        <v>1264</v>
      </c>
      <c r="C348" s="7" t="str">
        <f t="shared" si="36"/>
        <v>PremiumSS5R5only</v>
      </c>
      <c r="D348" s="8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2">
        <f ca="1">IFERROR(VLOOKUP(B348,input_564100!L:R,7,FALSE),VLOOKUP(tables_564100!C348,input_564100!A:H,8,FALSE))</f>
        <v>800</v>
      </c>
      <c r="P348" s="43">
        <f t="shared" ca="1" si="23"/>
        <v>1.3888888888792444E-4</v>
      </c>
      <c r="Q348" s="29">
        <v>1</v>
      </c>
      <c r="R348" s="29">
        <v>0</v>
      </c>
      <c r="S348" s="29">
        <v>0</v>
      </c>
      <c r="T348" s="29">
        <v>0</v>
      </c>
      <c r="U348" s="29">
        <v>0</v>
      </c>
      <c r="V348" s="29">
        <v>1</v>
      </c>
    </row>
    <row r="349" spans="1:22" ht="21" hidden="1" customHeight="1" x14ac:dyDescent="0.15">
      <c r="A349" s="2" t="str">
        <f ca="1">input_564100!A$2</f>
        <v>564100</v>
      </c>
      <c r="B349" s="90">
        <v>1266</v>
      </c>
      <c r="C349" s="7" t="str">
        <f t="shared" si="36"/>
        <v>Premium4R3less</v>
      </c>
      <c r="D349" s="87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2">
        <f ca="1">IFERROR(VLOOKUP(B349,input_564100!L:R,7,FALSE),VLOOKUP(tables_564100!C349,input_564100!A:H,8,FALSE))</f>
        <v>42180</v>
      </c>
      <c r="P349" s="43">
        <f t="shared" ca="1" si="23"/>
        <v>7.322916666615816E-3</v>
      </c>
      <c r="Q349" s="29">
        <v>1</v>
      </c>
      <c r="R349" s="29">
        <v>0</v>
      </c>
      <c r="S349" s="29">
        <v>0</v>
      </c>
      <c r="T349" s="29">
        <v>0</v>
      </c>
      <c r="U349" s="29">
        <v>0</v>
      </c>
      <c r="V349" s="29">
        <v>1</v>
      </c>
    </row>
    <row r="350" spans="1:22" ht="21" hidden="1" customHeight="1" x14ac:dyDescent="0.15">
      <c r="A350" s="2" t="str">
        <f ca="1">input_564100!A$2</f>
        <v>564100</v>
      </c>
      <c r="B350" s="90">
        <v>1267</v>
      </c>
      <c r="C350" s="7" t="str">
        <f t="shared" si="36"/>
        <v>Premium5R3less</v>
      </c>
      <c r="D350" s="87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2">
        <f ca="1">IFERROR(VLOOKUP(B350,input_564100!L:R,7,FALSE),VLOOKUP(tables_564100!C350,input_564100!A:H,8,FALSE))</f>
        <v>11400</v>
      </c>
      <c r="P350" s="43">
        <f t="shared" ca="1" si="23"/>
        <v>1.9791666666529235E-3</v>
      </c>
      <c r="Q350" s="29">
        <v>1</v>
      </c>
      <c r="R350" s="29">
        <v>0</v>
      </c>
      <c r="S350" s="29">
        <v>0</v>
      </c>
      <c r="T350" s="29">
        <v>0</v>
      </c>
      <c r="U350" s="29">
        <v>0</v>
      </c>
      <c r="V350" s="29">
        <v>1</v>
      </c>
    </row>
    <row r="351" spans="1:22" ht="21" hidden="1" customHeight="1" x14ac:dyDescent="0.15">
      <c r="A351" s="2" t="str">
        <f ca="1">input_564100!A$2</f>
        <v>564100</v>
      </c>
      <c r="B351" s="90">
        <v>1332</v>
      </c>
      <c r="C351" s="7" t="str">
        <f t="shared" ref="C351:C353" si="38">D351&amp;J351&amp;E351&amp;F351&amp;G351</f>
        <v>PremiumSS5R5only</v>
      </c>
      <c r="D351" s="87" t="str">
        <f t="shared" ref="D351:D353" si="3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2">
        <f ca="1">IFERROR(VLOOKUP(B351,input_564100!L:R,7,FALSE),VLOOKUP(tables_564100!C351,input_564100!A:H,8,FALSE))</f>
        <v>800</v>
      </c>
      <c r="P351" s="43">
        <f t="shared" ca="1" si="23"/>
        <v>1.3888888888792444E-4</v>
      </c>
      <c r="Q351" s="29">
        <v>1</v>
      </c>
      <c r="R351" s="29">
        <v>0</v>
      </c>
      <c r="S351" s="29">
        <v>0</v>
      </c>
      <c r="T351" s="29">
        <v>0</v>
      </c>
      <c r="U351" s="29">
        <v>0</v>
      </c>
      <c r="V351" s="29">
        <v>1</v>
      </c>
    </row>
    <row r="352" spans="1:22" ht="21" hidden="1" customHeight="1" x14ac:dyDescent="0.15">
      <c r="A352" s="2" t="str">
        <f ca="1">input_564100!A$2</f>
        <v>564100</v>
      </c>
      <c r="B352" s="90">
        <v>1334</v>
      </c>
      <c r="C352" s="7" t="str">
        <f t="shared" si="38"/>
        <v>Premium4R3less</v>
      </c>
      <c r="D352" s="87" t="str">
        <f t="shared" si="3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2">
        <f ca="1">IFERROR(VLOOKUP(B352,input_564100!L:R,7,FALSE),VLOOKUP(tables_564100!C352,input_564100!A:H,8,FALSE))</f>
        <v>42180</v>
      </c>
      <c r="P352" s="43">
        <f t="shared" ca="1" si="23"/>
        <v>7.322916666615816E-3</v>
      </c>
      <c r="Q352" s="29">
        <v>1</v>
      </c>
      <c r="R352" s="29">
        <v>0</v>
      </c>
      <c r="S352" s="29">
        <v>0</v>
      </c>
      <c r="T352" s="29">
        <v>0</v>
      </c>
      <c r="U352" s="29">
        <v>0</v>
      </c>
      <c r="V352" s="29">
        <v>1</v>
      </c>
    </row>
    <row r="353" spans="1:22" ht="21" hidden="1" customHeight="1" x14ac:dyDescent="0.15">
      <c r="A353" s="2" t="str">
        <f ca="1">input_564100!A$2</f>
        <v>564100</v>
      </c>
      <c r="B353" s="90">
        <v>1335</v>
      </c>
      <c r="C353" s="7" t="str">
        <f t="shared" si="38"/>
        <v>Premium5R3less</v>
      </c>
      <c r="D353" s="87" t="str">
        <f t="shared" si="3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2">
        <f ca="1">IFERROR(VLOOKUP(B353,input_564100!L:R,7,FALSE),VLOOKUP(tables_564100!C353,input_564100!A:H,8,FALSE))</f>
        <v>11400</v>
      </c>
      <c r="P353" s="43">
        <f t="shared" ca="1" si="23"/>
        <v>1.9791666666529235E-3</v>
      </c>
      <c r="Q353" s="29">
        <v>1</v>
      </c>
      <c r="R353" s="29">
        <v>0</v>
      </c>
      <c r="S353" s="29">
        <v>0</v>
      </c>
      <c r="T353" s="29">
        <v>0</v>
      </c>
      <c r="U353" s="29">
        <v>0</v>
      </c>
      <c r="V353" s="29">
        <v>1</v>
      </c>
    </row>
    <row r="354" spans="1:22" ht="21" hidden="1" customHeight="1" x14ac:dyDescent="0.15">
      <c r="A354" s="2" t="str">
        <f ca="1">input_564100!A$2</f>
        <v>564100</v>
      </c>
      <c r="B354" s="90">
        <v>1336</v>
      </c>
      <c r="C354" s="7" t="str">
        <f>D354&amp;J354&amp;E354&amp;F354&amp;G354</f>
        <v>PremiumSS5R5only</v>
      </c>
      <c r="D354" s="87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2">
        <f ca="1">IFERROR(VLOOKUP(B354,input_564100!L:R,7,FALSE),VLOOKUP(tables_564100!C354,input_564100!A:H,8,FALSE))</f>
        <v>800</v>
      </c>
      <c r="P354" s="43">
        <f t="shared" ca="1" si="23"/>
        <v>1.3888888888792444E-4</v>
      </c>
      <c r="Q354" s="29">
        <v>1</v>
      </c>
      <c r="R354" s="29">
        <v>0</v>
      </c>
      <c r="S354" s="29">
        <v>0</v>
      </c>
      <c r="T354" s="29">
        <v>0</v>
      </c>
      <c r="U354" s="29">
        <v>0</v>
      </c>
      <c r="V354" s="29">
        <v>1</v>
      </c>
    </row>
    <row r="355" spans="1:22" ht="21" hidden="1" customHeight="1" x14ac:dyDescent="0.15">
      <c r="A355" s="2" t="str">
        <f ca="1">input_564100!A$2</f>
        <v>564100</v>
      </c>
      <c r="B355" s="90">
        <v>1338</v>
      </c>
      <c r="C355" s="7" t="str">
        <f>D355&amp;J355&amp;E355&amp;F355&amp;G355</f>
        <v>PremiumSS5R5only</v>
      </c>
      <c r="D355" s="87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2">
        <f ca="1">IFERROR(VLOOKUP(B355,input_564100!L:R,7,FALSE),VLOOKUP(tables_564100!C355,input_564100!A:H,8,FALSE))</f>
        <v>800</v>
      </c>
      <c r="P355" s="43">
        <f t="shared" ca="1" si="23"/>
        <v>1.3888888888792444E-4</v>
      </c>
      <c r="Q355" s="29">
        <v>1</v>
      </c>
      <c r="R355" s="29">
        <v>0</v>
      </c>
      <c r="S355" s="29">
        <v>0</v>
      </c>
      <c r="T355" s="29">
        <v>0</v>
      </c>
      <c r="U355" s="29">
        <v>0</v>
      </c>
      <c r="V355" s="29">
        <v>1</v>
      </c>
    </row>
  </sheetData>
  <autoFilter ref="A1:V355">
    <filterColumn colId="2">
      <filters>
        <filter val="PremiumSS4"/>
      </filters>
    </filterColumn>
  </autoFilter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13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D8" sqref="D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>
        <v>564100</v>
      </c>
      <c r="B2" s="55">
        <v>838</v>
      </c>
      <c r="C2" s="7" t="str">
        <f t="shared" ref="C2" si="0">D2&amp;J2&amp;E2&amp;F2&amp;G2</f>
        <v>PremiumSS6R5only</v>
      </c>
      <c r="D2" s="7" t="str">
        <f t="shared" ref="D2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巌鋼の爆烈志士 近藤勇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2">
        <v>100</v>
      </c>
      <c r="P2" s="43">
        <f t="shared" ref="P2:P13" si="2">O2/SUM(O:O)</f>
        <v>8.3333333333333329E-2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>
        <v>564100</v>
      </c>
      <c r="B3" s="55">
        <v>1101</v>
      </c>
      <c r="C3" s="7" t="str">
        <f t="shared" ref="C3:C4" si="3">D3&amp;J3&amp;E3&amp;F3&amp;G3</f>
        <v>PremiumSS6R5only</v>
      </c>
      <c r="D3" s="7" t="str">
        <f t="shared" ref="D3:D4" si="4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浮世万物の筆刻者 北斎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不明</v>
      </c>
      <c r="O3" s="42">
        <v>100</v>
      </c>
      <c r="P3" s="43">
        <f t="shared" si="2"/>
        <v>8.3333333333333329E-2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>
        <v>564100</v>
      </c>
      <c r="B4" s="55">
        <v>1245</v>
      </c>
      <c r="C4" s="7" t="str">
        <f t="shared" si="3"/>
        <v>PremiumSS6R5only</v>
      </c>
      <c r="D4" s="7" t="str">
        <f t="shared" si="4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甲火の特殊忍 猿飛佐助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human</v>
      </c>
      <c r="N4" s="7">
        <f>VLOOKUP(B4,[1]characters!$A:$G,7,FALSE)</f>
        <v>0</v>
      </c>
      <c r="O4" s="42">
        <v>100</v>
      </c>
      <c r="P4" s="43">
        <f t="shared" si="2"/>
        <v>8.3333333333333329E-2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>
        <v>564100</v>
      </c>
      <c r="B5" s="1">
        <v>809</v>
      </c>
      <c r="C5" s="7" t="str">
        <f t="shared" ref="C5:C13" si="5">D5&amp;J5&amp;E5&amp;F5&amp;G5</f>
        <v>PremiumSS6R5only</v>
      </c>
      <c r="D5" s="7" t="str">
        <f t="shared" ref="D5:D13" si="6">IF(OR(I5="PremiumSS",I5="PremiumSSw"),"PremiumSS",IF(I5="PremiumSSS",I5,IF(I5="PremiumW",IF(J5=5,"premium",I5),"Premium")))</f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天然理心の激凛 沖田総司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男性</v>
      </c>
      <c r="O5" s="42">
        <v>100</v>
      </c>
      <c r="P5" s="43">
        <f t="shared" si="2"/>
        <v>8.3333333333333329E-2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>
        <v>564100</v>
      </c>
      <c r="B6" s="1">
        <v>1032</v>
      </c>
      <c r="C6" s="7" t="str">
        <f t="shared" si="5"/>
        <v>PremiumSS6R5only</v>
      </c>
      <c r="D6" s="7" t="str">
        <f t="shared" si="6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彩気煥発の創作人 紫式部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technical</v>
      </c>
      <c r="M6" s="7" t="str">
        <f>VLOOKUP(B6,[1]characters!$A:$M,13,FALSE)</f>
        <v>human</v>
      </c>
      <c r="N6" s="7" t="str">
        <f>VLOOKUP(B6,[1]characters!$A:$G,7,FALSE)</f>
        <v>男性</v>
      </c>
      <c r="O6" s="42">
        <v>100</v>
      </c>
      <c r="P6" s="43">
        <f t="shared" si="2"/>
        <v>8.3333333333333329E-2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>
        <v>564100</v>
      </c>
      <c r="B7" s="1">
        <v>733</v>
      </c>
      <c r="C7" s="7" t="str">
        <f t="shared" si="5"/>
        <v>PremiumSS6R5only</v>
      </c>
      <c r="D7" s="7" t="str">
        <f t="shared" si="6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夢幻の千刃 上杉謙信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100</v>
      </c>
      <c r="P7" s="43">
        <f t="shared" si="2"/>
        <v>8.3333333333333329E-2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>
        <v>564100</v>
      </c>
      <c r="B8" s="1">
        <v>967</v>
      </c>
      <c r="C8" s="7" t="str">
        <f t="shared" si="5"/>
        <v>PremiumSS6R5only</v>
      </c>
      <c r="D8" s="7" t="str">
        <f t="shared" si="6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討滅の凶妖志士 斎藤一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technical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v>100</v>
      </c>
      <c r="P8" s="43">
        <f t="shared" si="2"/>
        <v>8.3333333333333329E-2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>
        <v>564100</v>
      </c>
      <c r="B9" s="1">
        <v>735</v>
      </c>
      <c r="C9" s="7" t="str">
        <f t="shared" si="5"/>
        <v>PremiumSS6R5only</v>
      </c>
      <c r="D9" s="7" t="str">
        <f t="shared" si="6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破天の隻眼 伊達政宗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100</v>
      </c>
      <c r="P9" s="43">
        <f t="shared" si="2"/>
        <v>8.3333333333333329E-2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>
        <v>564100</v>
      </c>
      <c r="B10" s="1">
        <v>1034</v>
      </c>
      <c r="C10" s="7" t="str">
        <f t="shared" si="5"/>
        <v>PremiumSS6R5only</v>
      </c>
      <c r="D10" s="7" t="str">
        <f t="shared" si="6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爛漫なる随筆家 清少納言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yellow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男性</v>
      </c>
      <c r="O10" s="42">
        <v>100</v>
      </c>
      <c r="P10" s="43">
        <f t="shared" si="2"/>
        <v>8.3333333333333329E-2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>
        <v>564100</v>
      </c>
      <c r="B11" s="1">
        <v>966</v>
      </c>
      <c r="C11" s="7" t="str">
        <f t="shared" si="5"/>
        <v>PremiumSS6R5only</v>
      </c>
      <c r="D11" s="7" t="str">
        <f t="shared" si="6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麗嵐の颯愛志士 土方歳三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green</v>
      </c>
      <c r="L11" s="7" t="str">
        <f>VLOOKUP(B11,[1]characters!$A:$K,11,FALSE)</f>
        <v>attack</v>
      </c>
      <c r="M11" s="7" t="str">
        <f>VLOOKUP(B11,[1]characters!$A:$M,13,FALSE)</f>
        <v>human</v>
      </c>
      <c r="N11" s="7" t="str">
        <f>VLOOKUP(B11,[1]characters!$A:$G,7,FALSE)</f>
        <v>男性</v>
      </c>
      <c r="O11" s="42">
        <v>100</v>
      </c>
      <c r="P11" s="43">
        <f t="shared" si="2"/>
        <v>8.3333333333333329E-2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>
        <v>564100</v>
      </c>
      <c r="B12" s="1">
        <v>1029</v>
      </c>
      <c r="C12" s="7" t="str">
        <f t="shared" si="5"/>
        <v>PremiumSS6R5only</v>
      </c>
      <c r="D12" s="7" t="str">
        <f t="shared" si="6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天賦の軍才 牛若丸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男性</v>
      </c>
      <c r="O12" s="42">
        <v>100</v>
      </c>
      <c r="P12" s="43">
        <f t="shared" si="2"/>
        <v>8.3333333333333329E-2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>
        <v>564100</v>
      </c>
      <c r="B13" s="1">
        <v>962</v>
      </c>
      <c r="C13" s="7" t="str">
        <f t="shared" si="5"/>
        <v>PremiumSS6R5only</v>
      </c>
      <c r="D13" s="7" t="str">
        <f t="shared" si="6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酩酊する大宴龍 ヤマタノオロチ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hp</v>
      </c>
      <c r="M13" s="7" t="str">
        <f>VLOOKUP(B13,[1]characters!$A:$M,13,FALSE)</f>
        <v>dragon</v>
      </c>
      <c r="N13" s="7" t="str">
        <f>VLOOKUP(B13,[1]characters!$A:$G,7,FALSE)</f>
        <v>男性</v>
      </c>
      <c r="O13" s="42">
        <v>100</v>
      </c>
      <c r="P13" s="43">
        <f t="shared" si="2"/>
        <v>8.3333333333333329E-2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</sheetData>
  <autoFilter ref="A1:V1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6"/>
  <sheetViews>
    <sheetView showGridLines="0" tabSelected="1" workbookViewId="0">
      <pane ySplit="1" topLeftCell="A2" activePane="bottomLeft" state="frozen"/>
      <selection activeCell="M24" sqref="M24"/>
      <selection pane="bottomLeft" activeCell="Q2" sqref="Q2"/>
    </sheetView>
  </sheetViews>
  <sheetFormatPr baseColWidth="12" defaultRowHeight="21" customHeight="1" x14ac:dyDescent="0.15"/>
  <cols>
    <col min="1" max="1" width="14.59765625" style="101" bestFit="1" customWidth="1"/>
    <col min="2" max="2" width="14.19921875" style="101" bestFit="1" customWidth="1"/>
    <col min="3" max="4" width="14.19921875" style="101" customWidth="1"/>
    <col min="5" max="5" width="16.3984375" style="101" customWidth="1"/>
    <col min="6" max="6" width="8.59765625" style="101" bestFit="1" customWidth="1"/>
    <col min="14" max="14" width="8.59765625" style="101" bestFit="1" customWidth="1"/>
    <col min="15" max="15" width="13" style="101"/>
    <col min="16" max="16" width="22.796875" style="101" bestFit="1" customWidth="1"/>
    <col min="17" max="17" width="48.59765625" style="101" customWidth="1"/>
    <col min="18" max="16384" width="13" style="101"/>
  </cols>
  <sheetData>
    <row r="1" spans="1:17" ht="21" customHeight="1" x14ac:dyDescent="0.15">
      <c r="A1" s="96" t="s">
        <v>10</v>
      </c>
      <c r="B1" s="97" t="s">
        <v>12</v>
      </c>
      <c r="C1" s="98" t="s">
        <v>22</v>
      </c>
      <c r="D1" s="98" t="s">
        <v>15</v>
      </c>
      <c r="E1" s="98" t="s">
        <v>17</v>
      </c>
      <c r="F1" s="96" t="s">
        <v>2</v>
      </c>
      <c r="G1" s="99" t="s">
        <v>240</v>
      </c>
      <c r="H1" s="99" t="s">
        <v>241</v>
      </c>
      <c r="I1" s="100" t="s">
        <v>242</v>
      </c>
      <c r="J1" s="100" t="s">
        <v>243</v>
      </c>
      <c r="K1" s="100" t="s">
        <v>244</v>
      </c>
      <c r="L1" s="100" t="s">
        <v>245</v>
      </c>
      <c r="M1" s="100" t="s">
        <v>246</v>
      </c>
      <c r="N1" s="96" t="s">
        <v>18</v>
      </c>
      <c r="O1" s="96" t="s">
        <v>19</v>
      </c>
      <c r="P1" s="96" t="s">
        <v>247</v>
      </c>
      <c r="Q1" s="96" t="s">
        <v>21</v>
      </c>
    </row>
    <row r="2" spans="1:17" ht="21" customHeight="1" x14ac:dyDescent="0.15">
      <c r="A2" s="102">
        <v>564101</v>
      </c>
      <c r="B2" s="103" t="str">
        <f>A2&amp;1</f>
        <v>5641011</v>
      </c>
      <c r="C2" s="104" t="s">
        <v>249</v>
      </c>
      <c r="D2" s="104">
        <v>705</v>
      </c>
      <c r="E2" s="104">
        <v>50</v>
      </c>
      <c r="F2" s="104">
        <v>1</v>
      </c>
      <c r="G2" s="105">
        <v>0</v>
      </c>
      <c r="H2" s="105">
        <v>0</v>
      </c>
      <c r="I2" s="105">
        <v>0</v>
      </c>
      <c r="J2" s="105">
        <v>0</v>
      </c>
      <c r="K2" s="105">
        <v>1</v>
      </c>
      <c r="L2" s="105">
        <v>1</v>
      </c>
      <c r="M2" s="105">
        <v>1</v>
      </c>
      <c r="N2" s="104" t="s">
        <v>248</v>
      </c>
      <c r="O2" s="104" t="s">
        <v>252</v>
      </c>
      <c r="P2" s="104" t="s">
        <v>257</v>
      </c>
      <c r="Q2" s="106" t="s">
        <v>258</v>
      </c>
    </row>
    <row r="3" spans="1:17" ht="22" customHeight="1" x14ac:dyDescent="0.15">
      <c r="A3" s="102">
        <v>564102</v>
      </c>
      <c r="B3" s="103" t="str">
        <f>A3&amp;1</f>
        <v>5641021</v>
      </c>
      <c r="C3" s="105" t="s">
        <v>249</v>
      </c>
      <c r="D3" s="105">
        <v>705</v>
      </c>
      <c r="E3" s="105">
        <v>70</v>
      </c>
      <c r="F3" s="104">
        <v>1</v>
      </c>
      <c r="G3" s="105">
        <v>0</v>
      </c>
      <c r="H3" s="105">
        <v>0</v>
      </c>
      <c r="I3" s="105">
        <v>0</v>
      </c>
      <c r="J3" s="105">
        <v>0</v>
      </c>
      <c r="K3" s="105">
        <v>1</v>
      </c>
      <c r="L3" s="105">
        <v>1</v>
      </c>
      <c r="M3" s="105">
        <v>1</v>
      </c>
      <c r="N3" s="104" t="s">
        <v>248</v>
      </c>
      <c r="O3" s="104" t="s">
        <v>253</v>
      </c>
      <c r="P3" s="104" t="s">
        <v>257</v>
      </c>
      <c r="Q3" s="106" t="s">
        <v>259</v>
      </c>
    </row>
    <row r="4" spans="1:17" ht="21" customHeight="1" x14ac:dyDescent="0.15">
      <c r="A4" s="102">
        <v>564103</v>
      </c>
      <c r="B4" s="103" t="str">
        <f>A4&amp;1</f>
        <v>5641031</v>
      </c>
      <c r="C4" s="105" t="s">
        <v>249</v>
      </c>
      <c r="D4" s="105">
        <v>705</v>
      </c>
      <c r="E4" s="105">
        <v>100</v>
      </c>
      <c r="F4" s="104">
        <v>1</v>
      </c>
      <c r="G4" s="105">
        <v>0</v>
      </c>
      <c r="H4" s="105">
        <v>0</v>
      </c>
      <c r="I4" s="105">
        <v>0</v>
      </c>
      <c r="J4" s="105">
        <v>0</v>
      </c>
      <c r="K4" s="105">
        <v>1</v>
      </c>
      <c r="L4" s="105">
        <v>1</v>
      </c>
      <c r="M4" s="105">
        <v>1</v>
      </c>
      <c r="N4" s="104" t="s">
        <v>248</v>
      </c>
      <c r="O4" s="104" t="s">
        <v>254</v>
      </c>
      <c r="P4" s="104" t="s">
        <v>257</v>
      </c>
      <c r="Q4" s="106" t="s">
        <v>260</v>
      </c>
    </row>
    <row r="5" spans="1:17" customFormat="1" ht="21" customHeight="1" x14ac:dyDescent="0.15"/>
    <row r="6" spans="1:17" customFormat="1" ht="21" customHeight="1" x14ac:dyDescent="0.15"/>
  </sheetData>
  <autoFilter ref="A1:F1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2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7" t="s">
        <v>53</v>
      </c>
      <c r="B1" s="37"/>
    </row>
    <row r="2" spans="1:2" x14ac:dyDescent="0.15">
      <c r="A2" s="32" t="s">
        <v>1</v>
      </c>
      <c r="B2" s="36" t="s">
        <v>57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2">
        <v>169</v>
      </c>
      <c r="B6" s="36" t="str">
        <f>VLOOKUP(A6,[1]characters!$A:$C,3,FALSE)</f>
        <v>オセ</v>
      </c>
    </row>
    <row r="7" spans="1:2" x14ac:dyDescent="0.15">
      <c r="A7" s="32">
        <v>170</v>
      </c>
      <c r="B7" s="36" t="str">
        <f>VLOOKUP(A7,[1]characters!$A:$C,3,FALSE)</f>
        <v>識徒 オセ</v>
      </c>
    </row>
    <row r="8" spans="1:2" x14ac:dyDescent="0.15">
      <c r="A8" s="32">
        <v>171</v>
      </c>
      <c r="B8" s="36" t="str">
        <f>VLOOKUP(A8,[1]characters!$A:$C,3,FALSE)</f>
        <v>精解の預知者 オセ</v>
      </c>
    </row>
    <row r="9" spans="1:2" x14ac:dyDescent="0.15">
      <c r="A9" s="32">
        <v>172</v>
      </c>
      <c r="B9" s="36" t="str">
        <f>VLOOKUP(A9,[1]characters!$A:$C,3,FALSE)</f>
        <v>フォルネウス</v>
      </c>
    </row>
    <row r="10" spans="1:2" x14ac:dyDescent="0.15">
      <c r="A10" s="32">
        <v>173</v>
      </c>
      <c r="B10" s="36" t="str">
        <f>VLOOKUP(A10,[1]characters!$A:$C,3,FALSE)</f>
        <v>公爵 フォルネウス</v>
      </c>
    </row>
    <row r="11" spans="1:2" x14ac:dyDescent="0.15">
      <c r="A11" s="32">
        <v>174</v>
      </c>
      <c r="B11" s="36" t="str">
        <f>VLOOKUP(A11,[1]characters!$A:$C,3,FALSE)</f>
        <v>偽愛の大公爵 フォルネウス</v>
      </c>
    </row>
    <row r="12" spans="1:2" x14ac:dyDescent="0.15">
      <c r="A12" s="32">
        <v>235</v>
      </c>
      <c r="B12" s="36" t="str">
        <f>VLOOKUP(A12,[1]characters!$A:$C,3,FALSE)</f>
        <v>イザナミ</v>
      </c>
    </row>
    <row r="13" spans="1:2" x14ac:dyDescent="0.15">
      <c r="A13" s="32">
        <v>236</v>
      </c>
      <c r="B13" s="36" t="str">
        <f>VLOOKUP(A13,[1]characters!$A:$C,3,FALSE)</f>
        <v>神産 イザナミ</v>
      </c>
    </row>
    <row r="14" spans="1:2" x14ac:dyDescent="0.15">
      <c r="A14" s="32">
        <v>237</v>
      </c>
      <c r="B14" s="36" t="str">
        <f>VLOOKUP(A14,[1]characters!$A:$C,3,FALSE)</f>
        <v>森羅万象の神母 イザナミ</v>
      </c>
    </row>
  </sheetData>
  <phoneticPr fontId="2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input_564100</vt:lpstr>
      <vt:lpstr>tables_564100</vt:lpstr>
      <vt:lpstr>tables_settle_564100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2017-04-06T02:36:56Z</dcterms:modified>
</cp:coreProperties>
</file>