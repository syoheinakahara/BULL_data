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7"/>
  </bookViews>
  <sheets>
    <sheet name="確率の考え方" sheetId="110" r:id="rId1"/>
    <sheet name="Sheet1" sheetId="107" r:id="rId2"/>
    <sheet name="output" sheetId="103" r:id="rId3"/>
    <sheet name="input_491101" sheetId="106" r:id="rId4"/>
    <sheet name="tables_491101" sheetId="82" r:id="rId5"/>
    <sheet name="input_491103" sheetId="147" r:id="rId6"/>
    <sheet name="tables_491103" sheetId="148" r:id="rId7"/>
    <sheet name="tables_settle_491103" sheetId="157" r:id="rId8"/>
    <sheet name="input_491104" sheetId="149" r:id="rId9"/>
    <sheet name="tables_491104" sheetId="150" r:id="rId10"/>
    <sheet name="input_491105" sheetId="158" r:id="rId11"/>
    <sheet name="tables_491105" sheetId="159" r:id="rId12"/>
    <sheet name="input_491106" sheetId="153" r:id="rId13"/>
    <sheet name="tables_491106" sheetId="154" r:id="rId14"/>
    <sheet name="input_491107" sheetId="160" r:id="rId15"/>
    <sheet name="tables_491107" sheetId="161" r:id="rId16"/>
    <sheet name="input_491100" sheetId="162" r:id="rId17"/>
    <sheet name="tables_491100" sheetId="163" r:id="rId18"/>
    <sheet name="gacha_bonus_tables" sheetId="98" r:id="rId19"/>
    <sheet name="R6追加前" sheetId="111" r:id="rId20"/>
    <sheet name="R6開放" sheetId="112" r:id="rId21"/>
  </sheets>
  <externalReferences>
    <externalReference r:id="rId22"/>
  </externalReferences>
  <definedNames>
    <definedName name="_xlnm._FilterDatabase" localSheetId="18" hidden="1">gacha_bonus_tables!$A$1:$F$1</definedName>
    <definedName name="_xlnm._FilterDatabase" localSheetId="17" hidden="1">tables_491100!$A$1:$V$300</definedName>
    <definedName name="_xlnm._FilterDatabase" localSheetId="4" hidden="1">tables_491101!$A$1:$V$1</definedName>
    <definedName name="_xlnm._FilterDatabase" localSheetId="6" hidden="1">tables_491103!$A$1:$V$300</definedName>
    <definedName name="_xlnm._FilterDatabase" localSheetId="9" hidden="1">tables_491104!$A$1:$V$294</definedName>
    <definedName name="_xlnm._FilterDatabase" localSheetId="11" hidden="1">tables_491105!$A$1:$V$300</definedName>
    <definedName name="_xlnm._FilterDatabase" localSheetId="13" hidden="1">tables_491106!$A$1:$V$300</definedName>
    <definedName name="_xlnm._FilterDatabase" localSheetId="15" hidden="1">tables_491107!$A$1:$V$300</definedName>
    <definedName name="_xlnm._FilterDatabase" localSheetId="7" hidden="1">tables_settle_491103!$A$1:$V$33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8" i="157" l="1"/>
  <c r="O37" i="157"/>
  <c r="O36" i="157"/>
  <c r="O35" i="157"/>
  <c r="O34" i="157"/>
  <c r="O33" i="157"/>
  <c r="O32" i="157"/>
  <c r="O31" i="157"/>
  <c r="O30" i="157"/>
  <c r="O29" i="157"/>
  <c r="O28" i="157"/>
  <c r="O27" i="157"/>
  <c r="O26" i="157"/>
  <c r="O25" i="157"/>
  <c r="O24" i="157"/>
  <c r="O23" i="157"/>
  <c r="O22" i="157"/>
  <c r="O21" i="157"/>
  <c r="O20" i="157"/>
  <c r="O19" i="157"/>
  <c r="O18" i="157"/>
  <c r="O17" i="157"/>
  <c r="O16" i="157"/>
  <c r="O15" i="157"/>
  <c r="O14" i="157"/>
  <c r="O13" i="157"/>
  <c r="O12" i="157"/>
  <c r="O11" i="157"/>
  <c r="O10" i="157"/>
  <c r="O9" i="157"/>
  <c r="O8" i="157"/>
  <c r="O7" i="157"/>
  <c r="O6" i="157"/>
  <c r="O5" i="157"/>
  <c r="O4" i="157"/>
  <c r="O3" i="157"/>
  <c r="O2" i="157"/>
  <c r="E42" i="157"/>
  <c r="F39" i="157"/>
  <c r="F40" i="157"/>
  <c r="F41" i="157"/>
  <c r="F42" i="157"/>
  <c r="E41" i="157"/>
  <c r="E40" i="157"/>
  <c r="E39" i="157"/>
  <c r="I2" i="163"/>
  <c r="J2" i="163"/>
  <c r="D2" i="163"/>
  <c r="E2" i="163"/>
  <c r="K2" i="163"/>
  <c r="G2" i="163"/>
  <c r="C2" i="163"/>
  <c r="I3" i="163"/>
  <c r="J3" i="163"/>
  <c r="D3" i="163"/>
  <c r="E3" i="163"/>
  <c r="K3" i="163"/>
  <c r="G3" i="163"/>
  <c r="C3" i="163"/>
  <c r="I4" i="163"/>
  <c r="J4" i="163"/>
  <c r="D4" i="163"/>
  <c r="E4" i="163"/>
  <c r="K4" i="163"/>
  <c r="G4" i="163"/>
  <c r="C4" i="163"/>
  <c r="I5" i="163"/>
  <c r="J5" i="163"/>
  <c r="D5" i="163"/>
  <c r="E5" i="163"/>
  <c r="K5" i="163"/>
  <c r="G5" i="163"/>
  <c r="C5" i="163"/>
  <c r="I6" i="163"/>
  <c r="J6" i="163"/>
  <c r="D6" i="163"/>
  <c r="E6" i="163"/>
  <c r="K6" i="163"/>
  <c r="G6" i="163"/>
  <c r="C6" i="163"/>
  <c r="I7" i="163"/>
  <c r="J7" i="163"/>
  <c r="D7" i="163"/>
  <c r="E7" i="163"/>
  <c r="K7" i="163"/>
  <c r="G7" i="163"/>
  <c r="C7" i="163"/>
  <c r="I8" i="163"/>
  <c r="J8" i="163"/>
  <c r="D8" i="163"/>
  <c r="E8" i="163"/>
  <c r="K8" i="163"/>
  <c r="G8" i="163"/>
  <c r="C8" i="163"/>
  <c r="I9" i="163"/>
  <c r="J9" i="163"/>
  <c r="D9" i="163"/>
  <c r="E9" i="163"/>
  <c r="K9" i="163"/>
  <c r="G9" i="163"/>
  <c r="C9" i="163"/>
  <c r="I10" i="163"/>
  <c r="J10" i="163"/>
  <c r="D10" i="163"/>
  <c r="E10" i="163"/>
  <c r="K10" i="163"/>
  <c r="G10" i="163"/>
  <c r="C10" i="163"/>
  <c r="I11" i="163"/>
  <c r="J11" i="163"/>
  <c r="D11" i="163"/>
  <c r="E11" i="163"/>
  <c r="K11" i="163"/>
  <c r="G11" i="163"/>
  <c r="C11" i="163"/>
  <c r="I12" i="163"/>
  <c r="J12" i="163"/>
  <c r="D12" i="163"/>
  <c r="E12" i="163"/>
  <c r="K12" i="163"/>
  <c r="G12" i="163"/>
  <c r="C12" i="163"/>
  <c r="I13" i="163"/>
  <c r="J13" i="163"/>
  <c r="D13" i="163"/>
  <c r="E13" i="163"/>
  <c r="K13" i="163"/>
  <c r="G13" i="163"/>
  <c r="C13" i="163"/>
  <c r="I14" i="163"/>
  <c r="J14" i="163"/>
  <c r="D14" i="163"/>
  <c r="E14" i="163"/>
  <c r="K14" i="163"/>
  <c r="G14" i="163"/>
  <c r="C14" i="163"/>
  <c r="I15" i="163"/>
  <c r="J15" i="163"/>
  <c r="D15" i="163"/>
  <c r="E15" i="163"/>
  <c r="K15" i="163"/>
  <c r="G15" i="163"/>
  <c r="C15" i="163"/>
  <c r="I16" i="163"/>
  <c r="J16" i="163"/>
  <c r="D16" i="163"/>
  <c r="E16" i="163"/>
  <c r="K16" i="163"/>
  <c r="G16" i="163"/>
  <c r="C16" i="163"/>
  <c r="I17" i="163"/>
  <c r="J17" i="163"/>
  <c r="D17" i="163"/>
  <c r="E17" i="163"/>
  <c r="K17" i="163"/>
  <c r="G17" i="163"/>
  <c r="C17" i="163"/>
  <c r="I18" i="163"/>
  <c r="J18" i="163"/>
  <c r="D18" i="163"/>
  <c r="E18" i="163"/>
  <c r="K18" i="163"/>
  <c r="G18" i="163"/>
  <c r="C18" i="163"/>
  <c r="I19" i="163"/>
  <c r="J19" i="163"/>
  <c r="D19" i="163"/>
  <c r="E19" i="163"/>
  <c r="K19" i="163"/>
  <c r="G19" i="163"/>
  <c r="C19" i="163"/>
  <c r="I20" i="163"/>
  <c r="J20" i="163"/>
  <c r="D20" i="163"/>
  <c r="E20" i="163"/>
  <c r="K20" i="163"/>
  <c r="G20" i="163"/>
  <c r="C20" i="163"/>
  <c r="I21" i="163"/>
  <c r="J21" i="163"/>
  <c r="D21" i="163"/>
  <c r="E21" i="163"/>
  <c r="K21" i="163"/>
  <c r="G21" i="163"/>
  <c r="C21" i="163"/>
  <c r="I22" i="163"/>
  <c r="J22" i="163"/>
  <c r="D22" i="163"/>
  <c r="E22" i="163"/>
  <c r="K22" i="163"/>
  <c r="G22" i="163"/>
  <c r="C22" i="163"/>
  <c r="I23" i="163"/>
  <c r="J23" i="163"/>
  <c r="D23" i="163"/>
  <c r="E23" i="163"/>
  <c r="K23" i="163"/>
  <c r="G23" i="163"/>
  <c r="C23" i="163"/>
  <c r="I24" i="163"/>
  <c r="J24" i="163"/>
  <c r="D24" i="163"/>
  <c r="E24" i="163"/>
  <c r="K24" i="163"/>
  <c r="G24" i="163"/>
  <c r="C24" i="163"/>
  <c r="I25" i="163"/>
  <c r="J25" i="163"/>
  <c r="D25" i="163"/>
  <c r="E25" i="163"/>
  <c r="K25" i="163"/>
  <c r="G25" i="163"/>
  <c r="C25" i="163"/>
  <c r="I26" i="163"/>
  <c r="J26" i="163"/>
  <c r="D26" i="163"/>
  <c r="E26" i="163"/>
  <c r="K26" i="163"/>
  <c r="G26" i="163"/>
  <c r="C26" i="163"/>
  <c r="I27" i="163"/>
  <c r="J27" i="163"/>
  <c r="D27" i="163"/>
  <c r="E27" i="163"/>
  <c r="K27" i="163"/>
  <c r="G27" i="163"/>
  <c r="C27" i="163"/>
  <c r="I28" i="163"/>
  <c r="J28" i="163"/>
  <c r="D28" i="163"/>
  <c r="E28" i="163"/>
  <c r="K28" i="163"/>
  <c r="G28" i="163"/>
  <c r="C28" i="163"/>
  <c r="I29" i="163"/>
  <c r="J29" i="163"/>
  <c r="D29" i="163"/>
  <c r="E29" i="163"/>
  <c r="K29" i="163"/>
  <c r="G29" i="163"/>
  <c r="C29" i="163"/>
  <c r="I30" i="163"/>
  <c r="J30" i="163"/>
  <c r="D30" i="163"/>
  <c r="E30" i="163"/>
  <c r="K30" i="163"/>
  <c r="G30" i="163"/>
  <c r="C30" i="163"/>
  <c r="I31" i="163"/>
  <c r="J31" i="163"/>
  <c r="D31" i="163"/>
  <c r="E31" i="163"/>
  <c r="K31" i="163"/>
  <c r="G31" i="163"/>
  <c r="C31" i="163"/>
  <c r="I32" i="163"/>
  <c r="J32" i="163"/>
  <c r="D32" i="163"/>
  <c r="E32" i="163"/>
  <c r="K32" i="163"/>
  <c r="G32" i="163"/>
  <c r="C32" i="163"/>
  <c r="I33" i="163"/>
  <c r="J33" i="163"/>
  <c r="D33" i="163"/>
  <c r="E33" i="163"/>
  <c r="K33" i="163"/>
  <c r="G33" i="163"/>
  <c r="C33" i="163"/>
  <c r="I34" i="163"/>
  <c r="J34" i="163"/>
  <c r="D34" i="163"/>
  <c r="E34" i="163"/>
  <c r="K34" i="163"/>
  <c r="G34" i="163"/>
  <c r="C34" i="163"/>
  <c r="I35" i="163"/>
  <c r="J35" i="163"/>
  <c r="D35" i="163"/>
  <c r="E35" i="163"/>
  <c r="K35" i="163"/>
  <c r="G35" i="163"/>
  <c r="C35" i="163"/>
  <c r="I36" i="163"/>
  <c r="J36" i="163"/>
  <c r="D36" i="163"/>
  <c r="E36" i="163"/>
  <c r="K36" i="163"/>
  <c r="G36" i="163"/>
  <c r="C36" i="163"/>
  <c r="I37" i="163"/>
  <c r="J37" i="163"/>
  <c r="D37" i="163"/>
  <c r="E37" i="163"/>
  <c r="K37" i="163"/>
  <c r="G37" i="163"/>
  <c r="C37" i="163"/>
  <c r="I38" i="163"/>
  <c r="J38" i="163"/>
  <c r="D38" i="163"/>
  <c r="E38" i="163"/>
  <c r="K38" i="163"/>
  <c r="G38" i="163"/>
  <c r="C38" i="163"/>
  <c r="I39" i="163"/>
  <c r="J39" i="163"/>
  <c r="D39" i="163"/>
  <c r="E39" i="163"/>
  <c r="K39" i="163"/>
  <c r="G39" i="163"/>
  <c r="C39" i="163"/>
  <c r="I40" i="163"/>
  <c r="J40" i="163"/>
  <c r="D40" i="163"/>
  <c r="E40" i="163"/>
  <c r="K40" i="163"/>
  <c r="G40" i="163"/>
  <c r="C40" i="163"/>
  <c r="I41" i="163"/>
  <c r="J41" i="163"/>
  <c r="D41" i="163"/>
  <c r="E41" i="163"/>
  <c r="K41" i="163"/>
  <c r="G41" i="163"/>
  <c r="C41" i="163"/>
  <c r="I42" i="163"/>
  <c r="D42" i="163"/>
  <c r="J42" i="163"/>
  <c r="E42" i="163"/>
  <c r="K42" i="163"/>
  <c r="G42" i="163"/>
  <c r="C42" i="163"/>
  <c r="I43" i="163"/>
  <c r="D43" i="163"/>
  <c r="J43" i="163"/>
  <c r="E43" i="163"/>
  <c r="K43" i="163"/>
  <c r="G43" i="163"/>
  <c r="C43" i="163"/>
  <c r="I44" i="163"/>
  <c r="D44" i="163"/>
  <c r="J44" i="163"/>
  <c r="E44" i="163"/>
  <c r="K44" i="163"/>
  <c r="G44" i="163"/>
  <c r="C44" i="163"/>
  <c r="I45" i="163"/>
  <c r="D45" i="163"/>
  <c r="J45" i="163"/>
  <c r="E45" i="163"/>
  <c r="K45" i="163"/>
  <c r="G45" i="163"/>
  <c r="C45" i="163"/>
  <c r="I46" i="163"/>
  <c r="D46" i="163"/>
  <c r="J46" i="163"/>
  <c r="E46" i="163"/>
  <c r="K46" i="163"/>
  <c r="G46" i="163"/>
  <c r="C46" i="163"/>
  <c r="I47" i="163"/>
  <c r="D47" i="163"/>
  <c r="J47" i="163"/>
  <c r="E47" i="163"/>
  <c r="K47" i="163"/>
  <c r="G47" i="163"/>
  <c r="C47" i="163"/>
  <c r="I48" i="163"/>
  <c r="D48" i="163"/>
  <c r="J48" i="163"/>
  <c r="E48" i="163"/>
  <c r="K48" i="163"/>
  <c r="G48" i="163"/>
  <c r="C48" i="163"/>
  <c r="I49" i="163"/>
  <c r="D49" i="163"/>
  <c r="J49" i="163"/>
  <c r="E49" i="163"/>
  <c r="K49" i="163"/>
  <c r="G49" i="163"/>
  <c r="C49" i="163"/>
  <c r="I50" i="163"/>
  <c r="D50" i="163"/>
  <c r="J50" i="163"/>
  <c r="E50" i="163"/>
  <c r="K50" i="163"/>
  <c r="G50" i="163"/>
  <c r="C50" i="163"/>
  <c r="I51" i="163"/>
  <c r="D51" i="163"/>
  <c r="J51" i="163"/>
  <c r="E51" i="163"/>
  <c r="K51" i="163"/>
  <c r="G51" i="163"/>
  <c r="C51" i="163"/>
  <c r="I52" i="163"/>
  <c r="D52" i="163"/>
  <c r="J52" i="163"/>
  <c r="E52" i="163"/>
  <c r="K52" i="163"/>
  <c r="G52" i="163"/>
  <c r="C52" i="163"/>
  <c r="I53" i="163"/>
  <c r="D53" i="163"/>
  <c r="J53" i="163"/>
  <c r="E53" i="163"/>
  <c r="K53" i="163"/>
  <c r="G53" i="163"/>
  <c r="C53" i="163"/>
  <c r="I54" i="163"/>
  <c r="D54" i="163"/>
  <c r="J54" i="163"/>
  <c r="E54" i="163"/>
  <c r="K54" i="163"/>
  <c r="G54" i="163"/>
  <c r="C54" i="163"/>
  <c r="I55" i="163"/>
  <c r="D55" i="163"/>
  <c r="J55" i="163"/>
  <c r="E55" i="163"/>
  <c r="K55" i="163"/>
  <c r="G55" i="163"/>
  <c r="C55" i="163"/>
  <c r="I56" i="163"/>
  <c r="D56" i="163"/>
  <c r="J56" i="163"/>
  <c r="E56" i="163"/>
  <c r="K56" i="163"/>
  <c r="G56" i="163"/>
  <c r="C56" i="163"/>
  <c r="I57" i="163"/>
  <c r="D57" i="163"/>
  <c r="J57" i="163"/>
  <c r="E57" i="163"/>
  <c r="K57" i="163"/>
  <c r="G57" i="163"/>
  <c r="C57" i="163"/>
  <c r="I58" i="163"/>
  <c r="D58" i="163"/>
  <c r="J58" i="163"/>
  <c r="E58" i="163"/>
  <c r="K58" i="163"/>
  <c r="G58" i="163"/>
  <c r="C58" i="163"/>
  <c r="I59" i="163"/>
  <c r="D59" i="163"/>
  <c r="J59" i="163"/>
  <c r="E59" i="163"/>
  <c r="K59" i="163"/>
  <c r="G59" i="163"/>
  <c r="C59" i="163"/>
  <c r="I60" i="163"/>
  <c r="D60" i="163"/>
  <c r="J60" i="163"/>
  <c r="E60" i="163"/>
  <c r="K60" i="163"/>
  <c r="G60" i="163"/>
  <c r="C60" i="163"/>
  <c r="I61" i="163"/>
  <c r="D61" i="163"/>
  <c r="J61" i="163"/>
  <c r="E61" i="163"/>
  <c r="K61" i="163"/>
  <c r="G61" i="163"/>
  <c r="C61" i="163"/>
  <c r="I62" i="163"/>
  <c r="D62" i="163"/>
  <c r="J62" i="163"/>
  <c r="E62" i="163"/>
  <c r="K62" i="163"/>
  <c r="G62" i="163"/>
  <c r="C62" i="163"/>
  <c r="I63" i="163"/>
  <c r="D63" i="163"/>
  <c r="J63" i="163"/>
  <c r="E63" i="163"/>
  <c r="K63" i="163"/>
  <c r="G63" i="163"/>
  <c r="C63" i="163"/>
  <c r="I64" i="163"/>
  <c r="D64" i="163"/>
  <c r="J64" i="163"/>
  <c r="E64" i="163"/>
  <c r="K64" i="163"/>
  <c r="G64" i="163"/>
  <c r="C64" i="163"/>
  <c r="I65" i="163"/>
  <c r="D65" i="163"/>
  <c r="J65" i="163"/>
  <c r="E65" i="163"/>
  <c r="K65" i="163"/>
  <c r="G65" i="163"/>
  <c r="C65" i="163"/>
  <c r="I66" i="163"/>
  <c r="D66" i="163"/>
  <c r="J66" i="163"/>
  <c r="E66" i="163"/>
  <c r="K66" i="163"/>
  <c r="G66" i="163"/>
  <c r="C66" i="163"/>
  <c r="I67" i="163"/>
  <c r="D67" i="163"/>
  <c r="J67" i="163"/>
  <c r="E67" i="163"/>
  <c r="K67" i="163"/>
  <c r="G67" i="163"/>
  <c r="C67" i="163"/>
  <c r="I68" i="163"/>
  <c r="D68" i="163"/>
  <c r="J68" i="163"/>
  <c r="E68" i="163"/>
  <c r="K68" i="163"/>
  <c r="G68" i="163"/>
  <c r="C68" i="163"/>
  <c r="I69" i="163"/>
  <c r="D69" i="163"/>
  <c r="J69" i="163"/>
  <c r="E69" i="163"/>
  <c r="K69" i="163"/>
  <c r="G69" i="163"/>
  <c r="C69" i="163"/>
  <c r="I70" i="163"/>
  <c r="D70" i="163"/>
  <c r="J70" i="163"/>
  <c r="E70" i="163"/>
  <c r="K70" i="163"/>
  <c r="G70" i="163"/>
  <c r="C70" i="163"/>
  <c r="I71" i="163"/>
  <c r="D71" i="163"/>
  <c r="J71" i="163"/>
  <c r="E71" i="163"/>
  <c r="K71" i="163"/>
  <c r="G71" i="163"/>
  <c r="C71" i="163"/>
  <c r="I72" i="163"/>
  <c r="D72" i="163"/>
  <c r="J72" i="163"/>
  <c r="E72" i="163"/>
  <c r="K72" i="163"/>
  <c r="G72" i="163"/>
  <c r="C72" i="163"/>
  <c r="I73" i="163"/>
  <c r="D73" i="163"/>
  <c r="J73" i="163"/>
  <c r="E73" i="163"/>
  <c r="K73" i="163"/>
  <c r="G73" i="163"/>
  <c r="C73" i="163"/>
  <c r="I74" i="163"/>
  <c r="D74" i="163"/>
  <c r="J74" i="163"/>
  <c r="E74" i="163"/>
  <c r="K74" i="163"/>
  <c r="G74" i="163"/>
  <c r="C74" i="163"/>
  <c r="I75" i="163"/>
  <c r="D75" i="163"/>
  <c r="J75" i="163"/>
  <c r="E75" i="163"/>
  <c r="K75" i="163"/>
  <c r="G75" i="163"/>
  <c r="C75" i="163"/>
  <c r="I76" i="163"/>
  <c r="D76" i="163"/>
  <c r="J76" i="163"/>
  <c r="E76" i="163"/>
  <c r="K76" i="163"/>
  <c r="G76" i="163"/>
  <c r="C76" i="163"/>
  <c r="I77" i="163"/>
  <c r="D77" i="163"/>
  <c r="J77" i="163"/>
  <c r="E77" i="163"/>
  <c r="K77" i="163"/>
  <c r="G77" i="163"/>
  <c r="C77" i="163"/>
  <c r="I78" i="163"/>
  <c r="D78" i="163"/>
  <c r="J78" i="163"/>
  <c r="E78" i="163"/>
  <c r="K78" i="163"/>
  <c r="G78" i="163"/>
  <c r="C78" i="163"/>
  <c r="I79" i="163"/>
  <c r="D79" i="163"/>
  <c r="J79" i="163"/>
  <c r="E79" i="163"/>
  <c r="K79" i="163"/>
  <c r="G79" i="163"/>
  <c r="C79" i="163"/>
  <c r="I80" i="163"/>
  <c r="D80" i="163"/>
  <c r="J80" i="163"/>
  <c r="E80" i="163"/>
  <c r="K80" i="163"/>
  <c r="G80" i="163"/>
  <c r="C80" i="163"/>
  <c r="I81" i="163"/>
  <c r="D81" i="163"/>
  <c r="J81" i="163"/>
  <c r="E81" i="163"/>
  <c r="K81" i="163"/>
  <c r="G81" i="163"/>
  <c r="C81" i="163"/>
  <c r="I82" i="163"/>
  <c r="D82" i="163"/>
  <c r="J82" i="163"/>
  <c r="E82" i="163"/>
  <c r="K82" i="163"/>
  <c r="G82" i="163"/>
  <c r="C82" i="163"/>
  <c r="I83" i="163"/>
  <c r="D83" i="163"/>
  <c r="J83" i="163"/>
  <c r="E83" i="163"/>
  <c r="K83" i="163"/>
  <c r="G83" i="163"/>
  <c r="C83" i="163"/>
  <c r="I84" i="163"/>
  <c r="D84" i="163"/>
  <c r="J84" i="163"/>
  <c r="E84" i="163"/>
  <c r="K84" i="163"/>
  <c r="G84" i="163"/>
  <c r="C84" i="163"/>
  <c r="I85" i="163"/>
  <c r="D85" i="163"/>
  <c r="J85" i="163"/>
  <c r="E85" i="163"/>
  <c r="K85" i="163"/>
  <c r="G85" i="163"/>
  <c r="C85" i="163"/>
  <c r="I86" i="163"/>
  <c r="D86" i="163"/>
  <c r="J86" i="163"/>
  <c r="E86" i="163"/>
  <c r="K86" i="163"/>
  <c r="G86" i="163"/>
  <c r="C86" i="163"/>
  <c r="I87" i="163"/>
  <c r="D87" i="163"/>
  <c r="J87" i="163"/>
  <c r="E87" i="163"/>
  <c r="K87" i="163"/>
  <c r="G87" i="163"/>
  <c r="C87" i="163"/>
  <c r="I88" i="163"/>
  <c r="D88" i="163"/>
  <c r="J88" i="163"/>
  <c r="E88" i="163"/>
  <c r="K88" i="163"/>
  <c r="G88" i="163"/>
  <c r="C88" i="163"/>
  <c r="I89" i="163"/>
  <c r="D89" i="163"/>
  <c r="J89" i="163"/>
  <c r="E89" i="163"/>
  <c r="K89" i="163"/>
  <c r="G89" i="163"/>
  <c r="C89" i="163"/>
  <c r="I90" i="163"/>
  <c r="D90" i="163"/>
  <c r="J90" i="163"/>
  <c r="E90" i="163"/>
  <c r="K90" i="163"/>
  <c r="G90" i="163"/>
  <c r="C90" i="163"/>
  <c r="I91" i="163"/>
  <c r="D91" i="163"/>
  <c r="J91" i="163"/>
  <c r="E91" i="163"/>
  <c r="K91" i="163"/>
  <c r="G91" i="163"/>
  <c r="C91" i="163"/>
  <c r="I92" i="163"/>
  <c r="D92" i="163"/>
  <c r="J92" i="163"/>
  <c r="E92" i="163"/>
  <c r="K92" i="163"/>
  <c r="G92" i="163"/>
  <c r="C92" i="163"/>
  <c r="I93" i="163"/>
  <c r="D93" i="163"/>
  <c r="J93" i="163"/>
  <c r="E93" i="163"/>
  <c r="K93" i="163"/>
  <c r="G93" i="163"/>
  <c r="C93" i="163"/>
  <c r="I94" i="163"/>
  <c r="D94" i="163"/>
  <c r="J94" i="163"/>
  <c r="E94" i="163"/>
  <c r="K94" i="163"/>
  <c r="G94" i="163"/>
  <c r="C94" i="163"/>
  <c r="I95" i="163"/>
  <c r="D95" i="163"/>
  <c r="J95" i="163"/>
  <c r="E95" i="163"/>
  <c r="K95" i="163"/>
  <c r="G95" i="163"/>
  <c r="C95" i="163"/>
  <c r="I96" i="163"/>
  <c r="D96" i="163"/>
  <c r="J96" i="163"/>
  <c r="E96" i="163"/>
  <c r="K96" i="163"/>
  <c r="G96" i="163"/>
  <c r="C96" i="163"/>
  <c r="I97" i="163"/>
  <c r="D97" i="163"/>
  <c r="J97" i="163"/>
  <c r="E97" i="163"/>
  <c r="K97" i="163"/>
  <c r="G97" i="163"/>
  <c r="C97" i="163"/>
  <c r="I98" i="163"/>
  <c r="D98" i="163"/>
  <c r="J98" i="163"/>
  <c r="E98" i="163"/>
  <c r="K98" i="163"/>
  <c r="G98" i="163"/>
  <c r="C98" i="163"/>
  <c r="I99" i="163"/>
  <c r="D99" i="163"/>
  <c r="J99" i="163"/>
  <c r="E99" i="163"/>
  <c r="K99" i="163"/>
  <c r="G99" i="163"/>
  <c r="C99" i="163"/>
  <c r="I100" i="163"/>
  <c r="D100" i="163"/>
  <c r="J100" i="163"/>
  <c r="E100" i="163"/>
  <c r="K100" i="163"/>
  <c r="G100" i="163"/>
  <c r="C100" i="163"/>
  <c r="I101" i="163"/>
  <c r="D101" i="163"/>
  <c r="J101" i="163"/>
  <c r="E101" i="163"/>
  <c r="K101" i="163"/>
  <c r="G101" i="163"/>
  <c r="C101" i="163"/>
  <c r="I102" i="163"/>
  <c r="D102" i="163"/>
  <c r="J102" i="163"/>
  <c r="E102" i="163"/>
  <c r="K102" i="163"/>
  <c r="G102" i="163"/>
  <c r="C102" i="163"/>
  <c r="I103" i="163"/>
  <c r="D103" i="163"/>
  <c r="J103" i="163"/>
  <c r="E103" i="163"/>
  <c r="K103" i="163"/>
  <c r="G103" i="163"/>
  <c r="C103" i="163"/>
  <c r="I104" i="163"/>
  <c r="D104" i="163"/>
  <c r="J104" i="163"/>
  <c r="E104" i="163"/>
  <c r="K104" i="163"/>
  <c r="G104" i="163"/>
  <c r="C104" i="163"/>
  <c r="I105" i="163"/>
  <c r="D105" i="163"/>
  <c r="J105" i="163"/>
  <c r="E105" i="163"/>
  <c r="K105" i="163"/>
  <c r="G105" i="163"/>
  <c r="C105" i="163"/>
  <c r="I106" i="163"/>
  <c r="D106" i="163"/>
  <c r="J106" i="163"/>
  <c r="E106" i="163"/>
  <c r="K106" i="163"/>
  <c r="G106" i="163"/>
  <c r="C106" i="163"/>
  <c r="I107" i="163"/>
  <c r="D107" i="163"/>
  <c r="J107" i="163"/>
  <c r="E107" i="163"/>
  <c r="K107" i="163"/>
  <c r="G107" i="163"/>
  <c r="C107" i="163"/>
  <c r="I108" i="163"/>
  <c r="D108" i="163"/>
  <c r="J108" i="163"/>
  <c r="E108" i="163"/>
  <c r="K108" i="163"/>
  <c r="G108" i="163"/>
  <c r="C108" i="163"/>
  <c r="I109" i="163"/>
  <c r="D109" i="163"/>
  <c r="J109" i="163"/>
  <c r="E109" i="163"/>
  <c r="K109" i="163"/>
  <c r="G109" i="163"/>
  <c r="C109" i="163"/>
  <c r="I110" i="163"/>
  <c r="D110" i="163"/>
  <c r="J110" i="163"/>
  <c r="E110" i="163"/>
  <c r="K110" i="163"/>
  <c r="G110" i="163"/>
  <c r="C110" i="163"/>
  <c r="I111" i="163"/>
  <c r="D111" i="163"/>
  <c r="J111" i="163"/>
  <c r="E111" i="163"/>
  <c r="K111" i="163"/>
  <c r="G111" i="163"/>
  <c r="C111" i="163"/>
  <c r="I112" i="163"/>
  <c r="D112" i="163"/>
  <c r="J112" i="163"/>
  <c r="E112" i="163"/>
  <c r="K112" i="163"/>
  <c r="G112" i="163"/>
  <c r="C112" i="163"/>
  <c r="I113" i="163"/>
  <c r="D113" i="163"/>
  <c r="J113" i="163"/>
  <c r="E113" i="163"/>
  <c r="K113" i="163"/>
  <c r="G113" i="163"/>
  <c r="C113" i="163"/>
  <c r="I114" i="163"/>
  <c r="D114" i="163"/>
  <c r="J114" i="163"/>
  <c r="E114" i="163"/>
  <c r="K114" i="163"/>
  <c r="G114" i="163"/>
  <c r="C114" i="163"/>
  <c r="I115" i="163"/>
  <c r="D115" i="163"/>
  <c r="J115" i="163"/>
  <c r="E115" i="163"/>
  <c r="K115" i="163"/>
  <c r="G115" i="163"/>
  <c r="C115" i="163"/>
  <c r="I116" i="163"/>
  <c r="D116" i="163"/>
  <c r="J116" i="163"/>
  <c r="E116" i="163"/>
  <c r="K116" i="163"/>
  <c r="G116" i="163"/>
  <c r="C116" i="163"/>
  <c r="I117" i="163"/>
  <c r="D117" i="163"/>
  <c r="J117" i="163"/>
  <c r="E117" i="163"/>
  <c r="K117" i="163"/>
  <c r="G117" i="163"/>
  <c r="C117" i="163"/>
  <c r="I118" i="163"/>
  <c r="D118" i="163"/>
  <c r="J118" i="163"/>
  <c r="E118" i="163"/>
  <c r="K118" i="163"/>
  <c r="G118" i="163"/>
  <c r="C118" i="163"/>
  <c r="I119" i="163"/>
  <c r="D119" i="163"/>
  <c r="J119" i="163"/>
  <c r="E119" i="163"/>
  <c r="K119" i="163"/>
  <c r="G119" i="163"/>
  <c r="C119" i="163"/>
  <c r="I120" i="163"/>
  <c r="D120" i="163"/>
  <c r="J120" i="163"/>
  <c r="E120" i="163"/>
  <c r="K120" i="163"/>
  <c r="G120" i="163"/>
  <c r="C120" i="163"/>
  <c r="I121" i="163"/>
  <c r="D121" i="163"/>
  <c r="J121" i="163"/>
  <c r="E121" i="163"/>
  <c r="K121" i="163"/>
  <c r="G121" i="163"/>
  <c r="C121" i="163"/>
  <c r="I122" i="163"/>
  <c r="D122" i="163"/>
  <c r="J122" i="163"/>
  <c r="E122" i="163"/>
  <c r="K122" i="163"/>
  <c r="G122" i="163"/>
  <c r="C122" i="163"/>
  <c r="I123" i="163"/>
  <c r="D123" i="163"/>
  <c r="J123" i="163"/>
  <c r="E123" i="163"/>
  <c r="K123" i="163"/>
  <c r="G123" i="163"/>
  <c r="C123" i="163"/>
  <c r="I124" i="163"/>
  <c r="D124" i="163"/>
  <c r="J124" i="163"/>
  <c r="E124" i="163"/>
  <c r="K124" i="163"/>
  <c r="G124" i="163"/>
  <c r="C124" i="163"/>
  <c r="I125" i="163"/>
  <c r="D125" i="163"/>
  <c r="J125" i="163"/>
  <c r="E125" i="163"/>
  <c r="K125" i="163"/>
  <c r="G125" i="163"/>
  <c r="C125" i="163"/>
  <c r="I126" i="163"/>
  <c r="D126" i="163"/>
  <c r="J126" i="163"/>
  <c r="E126" i="163"/>
  <c r="K126" i="163"/>
  <c r="G126" i="163"/>
  <c r="C126" i="163"/>
  <c r="I127" i="163"/>
  <c r="D127" i="163"/>
  <c r="J127" i="163"/>
  <c r="E127" i="163"/>
  <c r="K127" i="163"/>
  <c r="G127" i="163"/>
  <c r="C127" i="163"/>
  <c r="I128" i="163"/>
  <c r="D128" i="163"/>
  <c r="J128" i="163"/>
  <c r="E128" i="163"/>
  <c r="K128" i="163"/>
  <c r="G128" i="163"/>
  <c r="C128" i="163"/>
  <c r="I129" i="163"/>
  <c r="D129" i="163"/>
  <c r="J129" i="163"/>
  <c r="E129" i="163"/>
  <c r="K129" i="163"/>
  <c r="G129" i="163"/>
  <c r="C129" i="163"/>
  <c r="I130" i="163"/>
  <c r="D130" i="163"/>
  <c r="J130" i="163"/>
  <c r="E130" i="163"/>
  <c r="K130" i="163"/>
  <c r="G130" i="163"/>
  <c r="C130" i="163"/>
  <c r="I131" i="163"/>
  <c r="D131" i="163"/>
  <c r="J131" i="163"/>
  <c r="E131" i="163"/>
  <c r="K131" i="163"/>
  <c r="G131" i="163"/>
  <c r="C131" i="163"/>
  <c r="I132" i="163"/>
  <c r="D132" i="163"/>
  <c r="J132" i="163"/>
  <c r="E132" i="163"/>
  <c r="K132" i="163"/>
  <c r="G132" i="163"/>
  <c r="C132" i="163"/>
  <c r="I133" i="163"/>
  <c r="D133" i="163"/>
  <c r="J133" i="163"/>
  <c r="E133" i="163"/>
  <c r="K133" i="163"/>
  <c r="G133" i="163"/>
  <c r="C133" i="163"/>
  <c r="I134" i="163"/>
  <c r="D134" i="163"/>
  <c r="J134" i="163"/>
  <c r="E134" i="163"/>
  <c r="K134" i="163"/>
  <c r="G134" i="163"/>
  <c r="C134" i="163"/>
  <c r="I135" i="163"/>
  <c r="D135" i="163"/>
  <c r="J135" i="163"/>
  <c r="E135" i="163"/>
  <c r="K135" i="163"/>
  <c r="G135" i="163"/>
  <c r="C135" i="163"/>
  <c r="I136" i="163"/>
  <c r="D136" i="163"/>
  <c r="J136" i="163"/>
  <c r="E136" i="163"/>
  <c r="K136" i="163"/>
  <c r="G136" i="163"/>
  <c r="C136" i="163"/>
  <c r="I137" i="163"/>
  <c r="D137" i="163"/>
  <c r="J137" i="163"/>
  <c r="E137" i="163"/>
  <c r="K137" i="163"/>
  <c r="G137" i="163"/>
  <c r="C137" i="163"/>
  <c r="I138" i="163"/>
  <c r="D138" i="163"/>
  <c r="J138" i="163"/>
  <c r="E138" i="163"/>
  <c r="K138" i="163"/>
  <c r="G138" i="163"/>
  <c r="C138" i="163"/>
  <c r="I139" i="163"/>
  <c r="D139" i="163"/>
  <c r="J139" i="163"/>
  <c r="E139" i="163"/>
  <c r="K139" i="163"/>
  <c r="G139" i="163"/>
  <c r="C139" i="163"/>
  <c r="I140" i="163"/>
  <c r="D140" i="163"/>
  <c r="J140" i="163"/>
  <c r="E140" i="163"/>
  <c r="K140" i="163"/>
  <c r="G140" i="163"/>
  <c r="C140" i="163"/>
  <c r="I141" i="163"/>
  <c r="D141" i="163"/>
  <c r="J141" i="163"/>
  <c r="E141" i="163"/>
  <c r="K141" i="163"/>
  <c r="G141" i="163"/>
  <c r="C141" i="163"/>
  <c r="I142" i="163"/>
  <c r="D142" i="163"/>
  <c r="J142" i="163"/>
  <c r="E142" i="163"/>
  <c r="K142" i="163"/>
  <c r="G142" i="163"/>
  <c r="C142" i="163"/>
  <c r="I143" i="163"/>
  <c r="D143" i="163"/>
  <c r="J143" i="163"/>
  <c r="E143" i="163"/>
  <c r="K143" i="163"/>
  <c r="G143" i="163"/>
  <c r="C143" i="163"/>
  <c r="I144" i="163"/>
  <c r="D144" i="163"/>
  <c r="J144" i="163"/>
  <c r="E144" i="163"/>
  <c r="K144" i="163"/>
  <c r="G144" i="163"/>
  <c r="C144" i="163"/>
  <c r="I145" i="163"/>
  <c r="D145" i="163"/>
  <c r="J145" i="163"/>
  <c r="E145" i="163"/>
  <c r="K145" i="163"/>
  <c r="G145" i="163"/>
  <c r="C145" i="163"/>
  <c r="I146" i="163"/>
  <c r="D146" i="163"/>
  <c r="J146" i="163"/>
  <c r="E146" i="163"/>
  <c r="K146" i="163"/>
  <c r="G146" i="163"/>
  <c r="C146" i="163"/>
  <c r="I147" i="163"/>
  <c r="D147" i="163"/>
  <c r="J147" i="163"/>
  <c r="E147" i="163"/>
  <c r="K147" i="163"/>
  <c r="G147" i="163"/>
  <c r="C147" i="163"/>
  <c r="I148" i="163"/>
  <c r="D148" i="163"/>
  <c r="J148" i="163"/>
  <c r="E148" i="163"/>
  <c r="K148" i="163"/>
  <c r="G148" i="163"/>
  <c r="C148" i="163"/>
  <c r="I149" i="163"/>
  <c r="D149" i="163"/>
  <c r="J149" i="163"/>
  <c r="E149" i="163"/>
  <c r="K149" i="163"/>
  <c r="G149" i="163"/>
  <c r="C149" i="163"/>
  <c r="I150" i="163"/>
  <c r="D150" i="163"/>
  <c r="J150" i="163"/>
  <c r="E150" i="163"/>
  <c r="K150" i="163"/>
  <c r="G150" i="163"/>
  <c r="C150" i="163"/>
  <c r="I151" i="163"/>
  <c r="D151" i="163"/>
  <c r="J151" i="163"/>
  <c r="E151" i="163"/>
  <c r="K151" i="163"/>
  <c r="G151" i="163"/>
  <c r="C151" i="163"/>
  <c r="I152" i="163"/>
  <c r="D152" i="163"/>
  <c r="J152" i="163"/>
  <c r="E152" i="163"/>
  <c r="K152" i="163"/>
  <c r="G152" i="163"/>
  <c r="C152" i="163"/>
  <c r="I153" i="163"/>
  <c r="D153" i="163"/>
  <c r="J153" i="163"/>
  <c r="E153" i="163"/>
  <c r="K153" i="163"/>
  <c r="G153" i="163"/>
  <c r="C153" i="163"/>
  <c r="I154" i="163"/>
  <c r="D154" i="163"/>
  <c r="J154" i="163"/>
  <c r="E154" i="163"/>
  <c r="K154" i="163"/>
  <c r="G154" i="163"/>
  <c r="C154" i="163"/>
  <c r="I155" i="163"/>
  <c r="D155" i="163"/>
  <c r="J155" i="163"/>
  <c r="E155" i="163"/>
  <c r="K155" i="163"/>
  <c r="G155" i="163"/>
  <c r="C155" i="163"/>
  <c r="I156" i="163"/>
  <c r="D156" i="163"/>
  <c r="J156" i="163"/>
  <c r="E156" i="163"/>
  <c r="K156" i="163"/>
  <c r="G156" i="163"/>
  <c r="C156" i="163"/>
  <c r="I157" i="163"/>
  <c r="D157" i="163"/>
  <c r="J157" i="163"/>
  <c r="E157" i="163"/>
  <c r="K157" i="163"/>
  <c r="G157" i="163"/>
  <c r="C157" i="163"/>
  <c r="I158" i="163"/>
  <c r="D158" i="163"/>
  <c r="J158" i="163"/>
  <c r="E158" i="163"/>
  <c r="K158" i="163"/>
  <c r="G158" i="163"/>
  <c r="C158" i="163"/>
  <c r="I159" i="163"/>
  <c r="D159" i="163"/>
  <c r="J159" i="163"/>
  <c r="E159" i="163"/>
  <c r="K159" i="163"/>
  <c r="G159" i="163"/>
  <c r="C159" i="163"/>
  <c r="I160" i="163"/>
  <c r="D160" i="163"/>
  <c r="J160" i="163"/>
  <c r="E160" i="163"/>
  <c r="K160" i="163"/>
  <c r="G160" i="163"/>
  <c r="C160" i="163"/>
  <c r="I161" i="163"/>
  <c r="D161" i="163"/>
  <c r="J161" i="163"/>
  <c r="E161" i="163"/>
  <c r="K161" i="163"/>
  <c r="G161" i="163"/>
  <c r="C161" i="163"/>
  <c r="I162" i="163"/>
  <c r="D162" i="163"/>
  <c r="J162" i="163"/>
  <c r="E162" i="163"/>
  <c r="K162" i="163"/>
  <c r="G162" i="163"/>
  <c r="C162" i="163"/>
  <c r="I163" i="163"/>
  <c r="D163" i="163"/>
  <c r="J163" i="163"/>
  <c r="E163" i="163"/>
  <c r="K163" i="163"/>
  <c r="G163" i="163"/>
  <c r="C163" i="163"/>
  <c r="I164" i="163"/>
  <c r="D164" i="163"/>
  <c r="J164" i="163"/>
  <c r="E164" i="163"/>
  <c r="K164" i="163"/>
  <c r="G164" i="163"/>
  <c r="C164" i="163"/>
  <c r="I165" i="163"/>
  <c r="D165" i="163"/>
  <c r="J165" i="163"/>
  <c r="E165" i="163"/>
  <c r="K165" i="163"/>
  <c r="G165" i="163"/>
  <c r="C165" i="163"/>
  <c r="I166" i="163"/>
  <c r="D166" i="163"/>
  <c r="J166" i="163"/>
  <c r="E166" i="163"/>
  <c r="K166" i="163"/>
  <c r="G166" i="163"/>
  <c r="C166" i="163"/>
  <c r="I167" i="163"/>
  <c r="D167" i="163"/>
  <c r="J167" i="163"/>
  <c r="E167" i="163"/>
  <c r="K167" i="163"/>
  <c r="G167" i="163"/>
  <c r="C167" i="163"/>
  <c r="I168" i="163"/>
  <c r="D168" i="163"/>
  <c r="J168" i="163"/>
  <c r="E168" i="163"/>
  <c r="K168" i="163"/>
  <c r="G168" i="163"/>
  <c r="C168" i="163"/>
  <c r="I169" i="163"/>
  <c r="D169" i="163"/>
  <c r="J169" i="163"/>
  <c r="E169" i="163"/>
  <c r="K169" i="163"/>
  <c r="G169" i="163"/>
  <c r="C169" i="163"/>
  <c r="I170" i="163"/>
  <c r="D170" i="163"/>
  <c r="J170" i="163"/>
  <c r="E170" i="163"/>
  <c r="K170" i="163"/>
  <c r="G170" i="163"/>
  <c r="C170" i="163"/>
  <c r="I171" i="163"/>
  <c r="D171" i="163"/>
  <c r="J171" i="163"/>
  <c r="E171" i="163"/>
  <c r="K171" i="163"/>
  <c r="G171" i="163"/>
  <c r="C171" i="163"/>
  <c r="I172" i="163"/>
  <c r="D172" i="163"/>
  <c r="J172" i="163"/>
  <c r="E172" i="163"/>
  <c r="K172" i="163"/>
  <c r="G172" i="163"/>
  <c r="C172" i="163"/>
  <c r="I173" i="163"/>
  <c r="D173" i="163"/>
  <c r="J173" i="163"/>
  <c r="E173" i="163"/>
  <c r="K173" i="163"/>
  <c r="G173" i="163"/>
  <c r="C173" i="163"/>
  <c r="I174" i="163"/>
  <c r="D174" i="163"/>
  <c r="J174" i="163"/>
  <c r="E174" i="163"/>
  <c r="K174" i="163"/>
  <c r="G174" i="163"/>
  <c r="C174" i="163"/>
  <c r="I175" i="163"/>
  <c r="D175" i="163"/>
  <c r="J175" i="163"/>
  <c r="E175" i="163"/>
  <c r="K175" i="163"/>
  <c r="G175" i="163"/>
  <c r="C175" i="163"/>
  <c r="I176" i="163"/>
  <c r="D176" i="163"/>
  <c r="J176" i="163"/>
  <c r="E176" i="163"/>
  <c r="K176" i="163"/>
  <c r="G176" i="163"/>
  <c r="C176" i="163"/>
  <c r="I177" i="163"/>
  <c r="D177" i="163"/>
  <c r="J177" i="163"/>
  <c r="E177" i="163"/>
  <c r="K177" i="163"/>
  <c r="G177" i="163"/>
  <c r="C177" i="163"/>
  <c r="I178" i="163"/>
  <c r="D178" i="163"/>
  <c r="J178" i="163"/>
  <c r="E178" i="163"/>
  <c r="K178" i="163"/>
  <c r="G178" i="163"/>
  <c r="C178" i="163"/>
  <c r="I179" i="163"/>
  <c r="D179" i="163"/>
  <c r="J179" i="163"/>
  <c r="E179" i="163"/>
  <c r="K179" i="163"/>
  <c r="G179" i="163"/>
  <c r="C179" i="163"/>
  <c r="I180" i="163"/>
  <c r="D180" i="163"/>
  <c r="J180" i="163"/>
  <c r="E180" i="163"/>
  <c r="K180" i="163"/>
  <c r="G180" i="163"/>
  <c r="C180" i="163"/>
  <c r="I181" i="163"/>
  <c r="D181" i="163"/>
  <c r="J181" i="163"/>
  <c r="E181" i="163"/>
  <c r="K181" i="163"/>
  <c r="G181" i="163"/>
  <c r="C181" i="163"/>
  <c r="I182" i="163"/>
  <c r="D182" i="163"/>
  <c r="J182" i="163"/>
  <c r="E182" i="163"/>
  <c r="K182" i="163"/>
  <c r="G182" i="163"/>
  <c r="C182" i="163"/>
  <c r="I183" i="163"/>
  <c r="D183" i="163"/>
  <c r="J183" i="163"/>
  <c r="E183" i="163"/>
  <c r="K183" i="163"/>
  <c r="G183" i="163"/>
  <c r="C183" i="163"/>
  <c r="I184" i="163"/>
  <c r="D184" i="163"/>
  <c r="J184" i="163"/>
  <c r="E184" i="163"/>
  <c r="K184" i="163"/>
  <c r="G184" i="163"/>
  <c r="C184" i="163"/>
  <c r="I185" i="163"/>
  <c r="D185" i="163"/>
  <c r="J185" i="163"/>
  <c r="E185" i="163"/>
  <c r="K185" i="163"/>
  <c r="G185" i="163"/>
  <c r="C185" i="163"/>
  <c r="I186" i="163"/>
  <c r="D186" i="163"/>
  <c r="J186" i="163"/>
  <c r="E186" i="163"/>
  <c r="K186" i="163"/>
  <c r="G186" i="163"/>
  <c r="C186" i="163"/>
  <c r="I187" i="163"/>
  <c r="D187" i="163"/>
  <c r="J187" i="163"/>
  <c r="E187" i="163"/>
  <c r="K187" i="163"/>
  <c r="G187" i="163"/>
  <c r="C187" i="163"/>
  <c r="I188" i="163"/>
  <c r="D188" i="163"/>
  <c r="J188" i="163"/>
  <c r="E188" i="163"/>
  <c r="K188" i="163"/>
  <c r="G188" i="163"/>
  <c r="C188" i="163"/>
  <c r="I189" i="163"/>
  <c r="D189" i="163"/>
  <c r="J189" i="163"/>
  <c r="E189" i="163"/>
  <c r="K189" i="163"/>
  <c r="G189" i="163"/>
  <c r="C189" i="163"/>
  <c r="I190" i="163"/>
  <c r="D190" i="163"/>
  <c r="J190" i="163"/>
  <c r="E190" i="163"/>
  <c r="K190" i="163"/>
  <c r="G190" i="163"/>
  <c r="C190" i="163"/>
  <c r="I191" i="163"/>
  <c r="D191" i="163"/>
  <c r="J191" i="163"/>
  <c r="E191" i="163"/>
  <c r="K191" i="163"/>
  <c r="G191" i="163"/>
  <c r="C191" i="163"/>
  <c r="I192" i="163"/>
  <c r="D192" i="163"/>
  <c r="J192" i="163"/>
  <c r="E192" i="163"/>
  <c r="K192" i="163"/>
  <c r="G192" i="163"/>
  <c r="C192" i="163"/>
  <c r="I193" i="163"/>
  <c r="D193" i="163"/>
  <c r="J193" i="163"/>
  <c r="E193" i="163"/>
  <c r="K193" i="163"/>
  <c r="G193" i="163"/>
  <c r="C193" i="163"/>
  <c r="I194" i="163"/>
  <c r="D194" i="163"/>
  <c r="J194" i="163"/>
  <c r="E194" i="163"/>
  <c r="K194" i="163"/>
  <c r="G194" i="163"/>
  <c r="C194" i="163"/>
  <c r="I195" i="163"/>
  <c r="D195" i="163"/>
  <c r="J195" i="163"/>
  <c r="E195" i="163"/>
  <c r="K195" i="163"/>
  <c r="G195" i="163"/>
  <c r="C195" i="163"/>
  <c r="I196" i="163"/>
  <c r="D196" i="163"/>
  <c r="J196" i="163"/>
  <c r="E196" i="163"/>
  <c r="K196" i="163"/>
  <c r="G196" i="163"/>
  <c r="C196" i="163"/>
  <c r="I197" i="163"/>
  <c r="D197" i="163"/>
  <c r="J197" i="163"/>
  <c r="E197" i="163"/>
  <c r="K197" i="163"/>
  <c r="G197" i="163"/>
  <c r="C197" i="163"/>
  <c r="I198" i="163"/>
  <c r="D198" i="163"/>
  <c r="J198" i="163"/>
  <c r="E198" i="163"/>
  <c r="K198" i="163"/>
  <c r="G198" i="163"/>
  <c r="C198" i="163"/>
  <c r="I199" i="163"/>
  <c r="D199" i="163"/>
  <c r="J199" i="163"/>
  <c r="E199" i="163"/>
  <c r="K199" i="163"/>
  <c r="G199" i="163"/>
  <c r="C199" i="163"/>
  <c r="I200" i="163"/>
  <c r="D200" i="163"/>
  <c r="J200" i="163"/>
  <c r="E200" i="163"/>
  <c r="K200" i="163"/>
  <c r="G200" i="163"/>
  <c r="C200" i="163"/>
  <c r="I201" i="163"/>
  <c r="D201" i="163"/>
  <c r="J201" i="163"/>
  <c r="E201" i="163"/>
  <c r="K201" i="163"/>
  <c r="G201" i="163"/>
  <c r="C201" i="163"/>
  <c r="I202" i="163"/>
  <c r="D202" i="163"/>
  <c r="J202" i="163"/>
  <c r="E202" i="163"/>
  <c r="K202" i="163"/>
  <c r="G202" i="163"/>
  <c r="C202" i="163"/>
  <c r="I203" i="163"/>
  <c r="D203" i="163"/>
  <c r="J203" i="163"/>
  <c r="E203" i="163"/>
  <c r="K203" i="163"/>
  <c r="G203" i="163"/>
  <c r="C203" i="163"/>
  <c r="I204" i="163"/>
  <c r="D204" i="163"/>
  <c r="J204" i="163"/>
  <c r="E204" i="163"/>
  <c r="K204" i="163"/>
  <c r="G204" i="163"/>
  <c r="C204" i="163"/>
  <c r="I205" i="163"/>
  <c r="D205" i="163"/>
  <c r="J205" i="163"/>
  <c r="E205" i="163"/>
  <c r="K205" i="163"/>
  <c r="G205" i="163"/>
  <c r="C205" i="163"/>
  <c r="I206" i="163"/>
  <c r="D206" i="163"/>
  <c r="J206" i="163"/>
  <c r="E206" i="163"/>
  <c r="K206" i="163"/>
  <c r="G206" i="163"/>
  <c r="C206" i="163"/>
  <c r="I207" i="163"/>
  <c r="D207" i="163"/>
  <c r="J207" i="163"/>
  <c r="E207" i="163"/>
  <c r="K207" i="163"/>
  <c r="G207" i="163"/>
  <c r="C207" i="163"/>
  <c r="I208" i="163"/>
  <c r="D208" i="163"/>
  <c r="J208" i="163"/>
  <c r="E208" i="163"/>
  <c r="K208" i="163"/>
  <c r="G208" i="163"/>
  <c r="C208" i="163"/>
  <c r="I209" i="163"/>
  <c r="D209" i="163"/>
  <c r="J209" i="163"/>
  <c r="E209" i="163"/>
  <c r="K209" i="163"/>
  <c r="G209" i="163"/>
  <c r="C209" i="163"/>
  <c r="I210" i="163"/>
  <c r="D210" i="163"/>
  <c r="J210" i="163"/>
  <c r="E210" i="163"/>
  <c r="K210" i="163"/>
  <c r="G210" i="163"/>
  <c r="C210" i="163"/>
  <c r="I211" i="163"/>
  <c r="D211" i="163"/>
  <c r="J211" i="163"/>
  <c r="E211" i="163"/>
  <c r="K211" i="163"/>
  <c r="G211" i="163"/>
  <c r="C211" i="163"/>
  <c r="I212" i="163"/>
  <c r="D212" i="163"/>
  <c r="J212" i="163"/>
  <c r="E212" i="163"/>
  <c r="K212" i="163"/>
  <c r="G212" i="163"/>
  <c r="C212" i="163"/>
  <c r="I213" i="163"/>
  <c r="D213" i="163"/>
  <c r="J213" i="163"/>
  <c r="E213" i="163"/>
  <c r="K213" i="163"/>
  <c r="G213" i="163"/>
  <c r="C213" i="163"/>
  <c r="I214" i="163"/>
  <c r="D214" i="163"/>
  <c r="J214" i="163"/>
  <c r="E214" i="163"/>
  <c r="K214" i="163"/>
  <c r="G214" i="163"/>
  <c r="C214" i="163"/>
  <c r="I215" i="163"/>
  <c r="J215" i="163"/>
  <c r="D215" i="163"/>
  <c r="E215" i="163"/>
  <c r="K215" i="163"/>
  <c r="G215" i="163"/>
  <c r="C215" i="163"/>
  <c r="I216" i="163"/>
  <c r="J216" i="163"/>
  <c r="D216" i="163"/>
  <c r="E216" i="163"/>
  <c r="K216" i="163"/>
  <c r="G216" i="163"/>
  <c r="C216" i="163"/>
  <c r="I217" i="163"/>
  <c r="J217" i="163"/>
  <c r="D217" i="163"/>
  <c r="E217" i="163"/>
  <c r="K217" i="163"/>
  <c r="G217" i="163"/>
  <c r="C217" i="163"/>
  <c r="I218" i="163"/>
  <c r="J218" i="163"/>
  <c r="D218" i="163"/>
  <c r="E218" i="163"/>
  <c r="K218" i="163"/>
  <c r="G218" i="163"/>
  <c r="C218" i="163"/>
  <c r="I219" i="163"/>
  <c r="J219" i="163"/>
  <c r="D219" i="163"/>
  <c r="E219" i="163"/>
  <c r="K219" i="163"/>
  <c r="G219" i="163"/>
  <c r="C219" i="163"/>
  <c r="I220" i="163"/>
  <c r="J220" i="163"/>
  <c r="D220" i="163"/>
  <c r="E220" i="163"/>
  <c r="K220" i="163"/>
  <c r="G220" i="163"/>
  <c r="C220" i="163"/>
  <c r="I221" i="163"/>
  <c r="D221" i="163"/>
  <c r="J221" i="163"/>
  <c r="E221" i="163"/>
  <c r="K221" i="163"/>
  <c r="G221" i="163"/>
  <c r="C221" i="163"/>
  <c r="I222" i="163"/>
  <c r="D222" i="163"/>
  <c r="J222" i="163"/>
  <c r="E222" i="163"/>
  <c r="K222" i="163"/>
  <c r="G222" i="163"/>
  <c r="C222" i="163"/>
  <c r="I223" i="163"/>
  <c r="D223" i="163"/>
  <c r="J223" i="163"/>
  <c r="E223" i="163"/>
  <c r="K223" i="163"/>
  <c r="G223" i="163"/>
  <c r="C223" i="163"/>
  <c r="I224" i="163"/>
  <c r="D224" i="163"/>
  <c r="J224" i="163"/>
  <c r="E224" i="163"/>
  <c r="K224" i="163"/>
  <c r="G224" i="163"/>
  <c r="C224" i="163"/>
  <c r="I225" i="163"/>
  <c r="D225" i="163"/>
  <c r="J225" i="163"/>
  <c r="E225" i="163"/>
  <c r="K225" i="163"/>
  <c r="G225" i="163"/>
  <c r="C225" i="163"/>
  <c r="I226" i="163"/>
  <c r="D226" i="163"/>
  <c r="J226" i="163"/>
  <c r="E226" i="163"/>
  <c r="K226" i="163"/>
  <c r="G226" i="163"/>
  <c r="C226" i="163"/>
  <c r="I227" i="163"/>
  <c r="D227" i="163"/>
  <c r="J227" i="163"/>
  <c r="E227" i="163"/>
  <c r="K227" i="163"/>
  <c r="G227" i="163"/>
  <c r="C227" i="163"/>
  <c r="I228" i="163"/>
  <c r="D228" i="163"/>
  <c r="J228" i="163"/>
  <c r="E228" i="163"/>
  <c r="K228" i="163"/>
  <c r="G228" i="163"/>
  <c r="C228" i="163"/>
  <c r="I229" i="163"/>
  <c r="D229" i="163"/>
  <c r="J229" i="163"/>
  <c r="E229" i="163"/>
  <c r="K229" i="163"/>
  <c r="G229" i="163"/>
  <c r="C229" i="163"/>
  <c r="I230" i="163"/>
  <c r="D230" i="163"/>
  <c r="J230" i="163"/>
  <c r="E230" i="163"/>
  <c r="K230" i="163"/>
  <c r="G230" i="163"/>
  <c r="C230" i="163"/>
  <c r="I231" i="163"/>
  <c r="D231" i="163"/>
  <c r="J231" i="163"/>
  <c r="E231" i="163"/>
  <c r="K231" i="163"/>
  <c r="G231" i="163"/>
  <c r="C231" i="163"/>
  <c r="I232" i="163"/>
  <c r="D232" i="163"/>
  <c r="J232" i="163"/>
  <c r="E232" i="163"/>
  <c r="K232" i="163"/>
  <c r="G232" i="163"/>
  <c r="C232" i="163"/>
  <c r="I233" i="163"/>
  <c r="D233" i="163"/>
  <c r="J233" i="163"/>
  <c r="E233" i="163"/>
  <c r="K233" i="163"/>
  <c r="G233" i="163"/>
  <c r="C233" i="163"/>
  <c r="I234" i="163"/>
  <c r="D234" i="163"/>
  <c r="J234" i="163"/>
  <c r="E234" i="163"/>
  <c r="K234" i="163"/>
  <c r="G234" i="163"/>
  <c r="C234" i="163"/>
  <c r="I235" i="163"/>
  <c r="D235" i="163"/>
  <c r="J235" i="163"/>
  <c r="E235" i="163"/>
  <c r="K235" i="163"/>
  <c r="G235" i="163"/>
  <c r="C235" i="163"/>
  <c r="I236" i="163"/>
  <c r="D236" i="163"/>
  <c r="J236" i="163"/>
  <c r="E236" i="163"/>
  <c r="K236" i="163"/>
  <c r="G236" i="163"/>
  <c r="C236" i="163"/>
  <c r="I237" i="163"/>
  <c r="D237" i="163"/>
  <c r="J237" i="163"/>
  <c r="E237" i="163"/>
  <c r="K237" i="163"/>
  <c r="G237" i="163"/>
  <c r="C237" i="163"/>
  <c r="I238" i="163"/>
  <c r="D238" i="163"/>
  <c r="J238" i="163"/>
  <c r="E238" i="163"/>
  <c r="K238" i="163"/>
  <c r="G238" i="163"/>
  <c r="C238" i="163"/>
  <c r="I239" i="163"/>
  <c r="D239" i="163"/>
  <c r="J239" i="163"/>
  <c r="E239" i="163"/>
  <c r="K239" i="163"/>
  <c r="G239" i="163"/>
  <c r="C239" i="163"/>
  <c r="I240" i="163"/>
  <c r="D240" i="163"/>
  <c r="J240" i="163"/>
  <c r="E240" i="163"/>
  <c r="K240" i="163"/>
  <c r="G240" i="163"/>
  <c r="C240" i="163"/>
  <c r="I241" i="163"/>
  <c r="D241" i="163"/>
  <c r="J241" i="163"/>
  <c r="E241" i="163"/>
  <c r="K241" i="163"/>
  <c r="G241" i="163"/>
  <c r="C241" i="163"/>
  <c r="I242" i="163"/>
  <c r="D242" i="163"/>
  <c r="J242" i="163"/>
  <c r="E242" i="163"/>
  <c r="K242" i="163"/>
  <c r="G242" i="163"/>
  <c r="C242" i="163"/>
  <c r="I243" i="163"/>
  <c r="D243" i="163"/>
  <c r="J243" i="163"/>
  <c r="E243" i="163"/>
  <c r="K243" i="163"/>
  <c r="G243" i="163"/>
  <c r="C243" i="163"/>
  <c r="I244" i="163"/>
  <c r="D244" i="163"/>
  <c r="J244" i="163"/>
  <c r="E244" i="163"/>
  <c r="K244" i="163"/>
  <c r="G244" i="163"/>
  <c r="C244" i="163"/>
  <c r="I245" i="163"/>
  <c r="D245" i="163"/>
  <c r="J245" i="163"/>
  <c r="E245" i="163"/>
  <c r="K245" i="163"/>
  <c r="G245" i="163"/>
  <c r="C245" i="163"/>
  <c r="I246" i="163"/>
  <c r="D246" i="163"/>
  <c r="J246" i="163"/>
  <c r="E246" i="163"/>
  <c r="K246" i="163"/>
  <c r="G246" i="163"/>
  <c r="C246" i="163"/>
  <c r="I247" i="163"/>
  <c r="D247" i="163"/>
  <c r="J247" i="163"/>
  <c r="E247" i="163"/>
  <c r="K247" i="163"/>
  <c r="G247" i="163"/>
  <c r="C247" i="163"/>
  <c r="I248" i="163"/>
  <c r="D248" i="163"/>
  <c r="J248" i="163"/>
  <c r="E248" i="163"/>
  <c r="K248" i="163"/>
  <c r="G248" i="163"/>
  <c r="C248" i="163"/>
  <c r="I249" i="163"/>
  <c r="D249" i="163"/>
  <c r="J249" i="163"/>
  <c r="E249" i="163"/>
  <c r="K249" i="163"/>
  <c r="G249" i="163"/>
  <c r="C249" i="163"/>
  <c r="I250" i="163"/>
  <c r="D250" i="163"/>
  <c r="J250" i="163"/>
  <c r="E250" i="163"/>
  <c r="K250" i="163"/>
  <c r="G250" i="163"/>
  <c r="C250" i="163"/>
  <c r="I251" i="163"/>
  <c r="D251" i="163"/>
  <c r="J251" i="163"/>
  <c r="E251" i="163"/>
  <c r="K251" i="163"/>
  <c r="G251" i="163"/>
  <c r="C251" i="163"/>
  <c r="I252" i="163"/>
  <c r="D252" i="163"/>
  <c r="J252" i="163"/>
  <c r="E252" i="163"/>
  <c r="K252" i="163"/>
  <c r="G252" i="163"/>
  <c r="C252" i="163"/>
  <c r="I253" i="163"/>
  <c r="D253" i="163"/>
  <c r="J253" i="163"/>
  <c r="E253" i="163"/>
  <c r="K253" i="163"/>
  <c r="G253" i="163"/>
  <c r="C253" i="163"/>
  <c r="I254" i="163"/>
  <c r="D254" i="163"/>
  <c r="J254" i="163"/>
  <c r="E254" i="163"/>
  <c r="K254" i="163"/>
  <c r="G254" i="163"/>
  <c r="C254" i="163"/>
  <c r="I255" i="163"/>
  <c r="D255" i="163"/>
  <c r="J255" i="163"/>
  <c r="E255" i="163"/>
  <c r="K255" i="163"/>
  <c r="G255" i="163"/>
  <c r="C255" i="163"/>
  <c r="I256" i="163"/>
  <c r="D256" i="163"/>
  <c r="J256" i="163"/>
  <c r="E256" i="163"/>
  <c r="K256" i="163"/>
  <c r="G256" i="163"/>
  <c r="C256" i="163"/>
  <c r="I257" i="163"/>
  <c r="D257" i="163"/>
  <c r="J257" i="163"/>
  <c r="E257" i="163"/>
  <c r="K257" i="163"/>
  <c r="G257" i="163"/>
  <c r="C257" i="163"/>
  <c r="I258" i="163"/>
  <c r="D258" i="163"/>
  <c r="J258" i="163"/>
  <c r="E258" i="163"/>
  <c r="K258" i="163"/>
  <c r="G258" i="163"/>
  <c r="C258" i="163"/>
  <c r="I259" i="163"/>
  <c r="D259" i="163"/>
  <c r="J259" i="163"/>
  <c r="E259" i="163"/>
  <c r="K259" i="163"/>
  <c r="G259" i="163"/>
  <c r="C259" i="163"/>
  <c r="I260" i="163"/>
  <c r="D260" i="163"/>
  <c r="J260" i="163"/>
  <c r="E260" i="163"/>
  <c r="K260" i="163"/>
  <c r="G260" i="163"/>
  <c r="C260" i="163"/>
  <c r="I261" i="163"/>
  <c r="D261" i="163"/>
  <c r="J261" i="163"/>
  <c r="E261" i="163"/>
  <c r="K261" i="163"/>
  <c r="G261" i="163"/>
  <c r="C261" i="163"/>
  <c r="I262" i="163"/>
  <c r="D262" i="163"/>
  <c r="J262" i="163"/>
  <c r="E262" i="163"/>
  <c r="K262" i="163"/>
  <c r="G262" i="163"/>
  <c r="C262" i="163"/>
  <c r="I263" i="163"/>
  <c r="D263" i="163"/>
  <c r="J263" i="163"/>
  <c r="E263" i="163"/>
  <c r="K263" i="163"/>
  <c r="G263" i="163"/>
  <c r="C263" i="163"/>
  <c r="I264" i="163"/>
  <c r="D264" i="163"/>
  <c r="J264" i="163"/>
  <c r="E264" i="163"/>
  <c r="K264" i="163"/>
  <c r="G264" i="163"/>
  <c r="C264" i="163"/>
  <c r="I265" i="163"/>
  <c r="D265" i="163"/>
  <c r="J265" i="163"/>
  <c r="E265" i="163"/>
  <c r="K265" i="163"/>
  <c r="G265" i="163"/>
  <c r="C265" i="163"/>
  <c r="I266" i="163"/>
  <c r="D266" i="163"/>
  <c r="J266" i="163"/>
  <c r="E266" i="163"/>
  <c r="K266" i="163"/>
  <c r="G266" i="163"/>
  <c r="C266" i="163"/>
  <c r="I267" i="163"/>
  <c r="D267" i="163"/>
  <c r="J267" i="163"/>
  <c r="E267" i="163"/>
  <c r="K267" i="163"/>
  <c r="G267" i="163"/>
  <c r="C267" i="163"/>
  <c r="I268" i="163"/>
  <c r="D268" i="163"/>
  <c r="J268" i="163"/>
  <c r="E268" i="163"/>
  <c r="K268" i="163"/>
  <c r="G268" i="163"/>
  <c r="C268" i="163"/>
  <c r="I269" i="163"/>
  <c r="D269" i="163"/>
  <c r="J269" i="163"/>
  <c r="E269" i="163"/>
  <c r="K269" i="163"/>
  <c r="G269" i="163"/>
  <c r="C269" i="163"/>
  <c r="I270" i="163"/>
  <c r="D270" i="163"/>
  <c r="J270" i="163"/>
  <c r="E270" i="163"/>
  <c r="K270" i="163"/>
  <c r="G270" i="163"/>
  <c r="C270" i="163"/>
  <c r="I271" i="163"/>
  <c r="D271" i="163"/>
  <c r="J271" i="163"/>
  <c r="E271" i="163"/>
  <c r="K271" i="163"/>
  <c r="G271" i="163"/>
  <c r="C271" i="163"/>
  <c r="I272" i="163"/>
  <c r="D272" i="163"/>
  <c r="J272" i="163"/>
  <c r="E272" i="163"/>
  <c r="K272" i="163"/>
  <c r="G272" i="163"/>
  <c r="C272" i="163"/>
  <c r="I273" i="163"/>
  <c r="D273" i="163"/>
  <c r="J273" i="163"/>
  <c r="E273" i="163"/>
  <c r="K273" i="163"/>
  <c r="G273" i="163"/>
  <c r="C273" i="163"/>
  <c r="I274" i="163"/>
  <c r="D274" i="163"/>
  <c r="J274" i="163"/>
  <c r="E274" i="163"/>
  <c r="K274" i="163"/>
  <c r="G274" i="163"/>
  <c r="C274" i="163"/>
  <c r="I275" i="163"/>
  <c r="D275" i="163"/>
  <c r="J275" i="163"/>
  <c r="E275" i="163"/>
  <c r="K275" i="163"/>
  <c r="G275" i="163"/>
  <c r="C275" i="163"/>
  <c r="I276" i="163"/>
  <c r="D276" i="163"/>
  <c r="J276" i="163"/>
  <c r="E276" i="163"/>
  <c r="K276" i="163"/>
  <c r="G276" i="163"/>
  <c r="C276" i="163"/>
  <c r="I277" i="163"/>
  <c r="D277" i="163"/>
  <c r="J277" i="163"/>
  <c r="E277" i="163"/>
  <c r="K277" i="163"/>
  <c r="G277" i="163"/>
  <c r="C277" i="163"/>
  <c r="I278" i="163"/>
  <c r="D278" i="163"/>
  <c r="J278" i="163"/>
  <c r="E278" i="163"/>
  <c r="K278" i="163"/>
  <c r="G278" i="163"/>
  <c r="C278" i="163"/>
  <c r="I279" i="163"/>
  <c r="D279" i="163"/>
  <c r="J279" i="163"/>
  <c r="E279" i="163"/>
  <c r="K279" i="163"/>
  <c r="G279" i="163"/>
  <c r="C279" i="163"/>
  <c r="I280" i="163"/>
  <c r="D280" i="163"/>
  <c r="J280" i="163"/>
  <c r="E280" i="163"/>
  <c r="K280" i="163"/>
  <c r="G280" i="163"/>
  <c r="C280" i="163"/>
  <c r="I281" i="163"/>
  <c r="D281" i="163"/>
  <c r="J281" i="163"/>
  <c r="E281" i="163"/>
  <c r="K281" i="163"/>
  <c r="G281" i="163"/>
  <c r="C281" i="163"/>
  <c r="I282" i="163"/>
  <c r="D282" i="163"/>
  <c r="J282" i="163"/>
  <c r="E282" i="163"/>
  <c r="K282" i="163"/>
  <c r="G282" i="163"/>
  <c r="C282" i="163"/>
  <c r="I283" i="163"/>
  <c r="D283" i="163"/>
  <c r="J283" i="163"/>
  <c r="E283" i="163"/>
  <c r="K283" i="163"/>
  <c r="G283" i="163"/>
  <c r="C283" i="163"/>
  <c r="I284" i="163"/>
  <c r="D284" i="163"/>
  <c r="J284" i="163"/>
  <c r="E284" i="163"/>
  <c r="K284" i="163"/>
  <c r="G284" i="163"/>
  <c r="C284" i="163"/>
  <c r="I285" i="163"/>
  <c r="D285" i="163"/>
  <c r="J285" i="163"/>
  <c r="E285" i="163"/>
  <c r="K285" i="163"/>
  <c r="G285" i="163"/>
  <c r="C285" i="163"/>
  <c r="I286" i="163"/>
  <c r="D286" i="163"/>
  <c r="J286" i="163"/>
  <c r="E286" i="163"/>
  <c r="K286" i="163"/>
  <c r="G286" i="163"/>
  <c r="C286" i="163"/>
  <c r="I287" i="163"/>
  <c r="D287" i="163"/>
  <c r="J287" i="163"/>
  <c r="E287" i="163"/>
  <c r="K287" i="163"/>
  <c r="G287" i="163"/>
  <c r="C287" i="163"/>
  <c r="I288" i="163"/>
  <c r="D288" i="163"/>
  <c r="J288" i="163"/>
  <c r="E288" i="163"/>
  <c r="K288" i="163"/>
  <c r="G288" i="163"/>
  <c r="C288" i="163"/>
  <c r="I289" i="163"/>
  <c r="D289" i="163"/>
  <c r="J289" i="163"/>
  <c r="E289" i="163"/>
  <c r="K289" i="163"/>
  <c r="G289" i="163"/>
  <c r="C289" i="163"/>
  <c r="I290" i="163"/>
  <c r="D290" i="163"/>
  <c r="J290" i="163"/>
  <c r="E290" i="163"/>
  <c r="K290" i="163"/>
  <c r="G290" i="163"/>
  <c r="C290" i="163"/>
  <c r="I291" i="163"/>
  <c r="D291" i="163"/>
  <c r="J291" i="163"/>
  <c r="E291" i="163"/>
  <c r="K291" i="163"/>
  <c r="G291" i="163"/>
  <c r="C291" i="163"/>
  <c r="I292" i="163"/>
  <c r="D292" i="163"/>
  <c r="J292" i="163"/>
  <c r="E292" i="163"/>
  <c r="K292" i="163"/>
  <c r="G292" i="163"/>
  <c r="C292" i="163"/>
  <c r="I293" i="163"/>
  <c r="D293" i="163"/>
  <c r="J293" i="163"/>
  <c r="E293" i="163"/>
  <c r="K293" i="163"/>
  <c r="G293" i="163"/>
  <c r="C293" i="163"/>
  <c r="I294" i="163"/>
  <c r="D294" i="163"/>
  <c r="J294" i="163"/>
  <c r="E294" i="163"/>
  <c r="K294" i="163"/>
  <c r="G294" i="163"/>
  <c r="C294" i="163"/>
  <c r="I295" i="163"/>
  <c r="D295" i="163"/>
  <c r="J295" i="163"/>
  <c r="E295" i="163"/>
  <c r="K295" i="163"/>
  <c r="G295" i="163"/>
  <c r="C295" i="163"/>
  <c r="I296" i="163"/>
  <c r="D296" i="163"/>
  <c r="J296" i="163"/>
  <c r="E296" i="163"/>
  <c r="K296" i="163"/>
  <c r="G296" i="163"/>
  <c r="C296" i="163"/>
  <c r="I297" i="163"/>
  <c r="D297" i="163"/>
  <c r="J297" i="163"/>
  <c r="E297" i="163"/>
  <c r="K297" i="163"/>
  <c r="G297" i="163"/>
  <c r="C297" i="163"/>
  <c r="I298" i="163"/>
  <c r="D298" i="163"/>
  <c r="J298" i="163"/>
  <c r="E298" i="163"/>
  <c r="K298" i="163"/>
  <c r="G298" i="163"/>
  <c r="C298" i="163"/>
  <c r="I299" i="163"/>
  <c r="D299" i="163"/>
  <c r="J299" i="163"/>
  <c r="E299" i="163"/>
  <c r="K299" i="163"/>
  <c r="G299" i="163"/>
  <c r="C299" i="163"/>
  <c r="I300" i="163"/>
  <c r="D300" i="163"/>
  <c r="J300" i="163"/>
  <c r="E300" i="163"/>
  <c r="K300" i="163"/>
  <c r="G300" i="163"/>
  <c r="C300" i="163"/>
  <c r="I301" i="163"/>
  <c r="D301" i="163"/>
  <c r="J301" i="163"/>
  <c r="E301" i="163"/>
  <c r="K301" i="163"/>
  <c r="G301" i="163"/>
  <c r="C301" i="163"/>
  <c r="I302" i="163"/>
  <c r="D302" i="163"/>
  <c r="J302" i="163"/>
  <c r="E302" i="163"/>
  <c r="K302" i="163"/>
  <c r="G302" i="163"/>
  <c r="C302" i="163"/>
  <c r="I303" i="163"/>
  <c r="D303" i="163"/>
  <c r="J303" i="163"/>
  <c r="E303" i="163"/>
  <c r="K303" i="163"/>
  <c r="G303" i="163"/>
  <c r="C303" i="163"/>
  <c r="I304" i="163"/>
  <c r="D304" i="163"/>
  <c r="J304" i="163"/>
  <c r="E304" i="163"/>
  <c r="K304" i="163"/>
  <c r="G304" i="163"/>
  <c r="C304" i="163"/>
  <c r="I305" i="163"/>
  <c r="D305" i="163"/>
  <c r="J305" i="163"/>
  <c r="E305" i="163"/>
  <c r="K305" i="163"/>
  <c r="G305" i="163"/>
  <c r="C305" i="163"/>
  <c r="I306" i="163"/>
  <c r="D306" i="163"/>
  <c r="J306" i="163"/>
  <c r="E306" i="163"/>
  <c r="K306" i="163"/>
  <c r="G306" i="163"/>
  <c r="C306" i="163"/>
  <c r="I307" i="163"/>
  <c r="D307" i="163"/>
  <c r="J307" i="163"/>
  <c r="E307" i="163"/>
  <c r="K307" i="163"/>
  <c r="G307" i="163"/>
  <c r="C307" i="163"/>
  <c r="I308" i="163"/>
  <c r="D308" i="163"/>
  <c r="J308" i="163"/>
  <c r="E308" i="163"/>
  <c r="K308" i="163"/>
  <c r="G308" i="163"/>
  <c r="C308" i="163"/>
  <c r="I309" i="163"/>
  <c r="D309" i="163"/>
  <c r="J309" i="163"/>
  <c r="E309" i="163"/>
  <c r="K309" i="163"/>
  <c r="G309" i="163"/>
  <c r="C309" i="163"/>
  <c r="I310" i="163"/>
  <c r="D310" i="163"/>
  <c r="J310" i="163"/>
  <c r="E310" i="163"/>
  <c r="K310" i="163"/>
  <c r="G310" i="163"/>
  <c r="C310" i="163"/>
  <c r="I311" i="163"/>
  <c r="D311" i="163"/>
  <c r="J311" i="163"/>
  <c r="E311" i="163"/>
  <c r="K311" i="163"/>
  <c r="G311" i="163"/>
  <c r="C311" i="163"/>
  <c r="I312" i="163"/>
  <c r="D312" i="163"/>
  <c r="J312" i="163"/>
  <c r="E312" i="163"/>
  <c r="K312" i="163"/>
  <c r="G312" i="163"/>
  <c r="C312" i="163"/>
  <c r="I313" i="163"/>
  <c r="D313" i="163"/>
  <c r="J313" i="163"/>
  <c r="E313" i="163"/>
  <c r="K313" i="163"/>
  <c r="G313" i="163"/>
  <c r="C313" i="163"/>
  <c r="I314" i="163"/>
  <c r="D314" i="163"/>
  <c r="J314" i="163"/>
  <c r="E314" i="163"/>
  <c r="K314" i="163"/>
  <c r="G314" i="163"/>
  <c r="C314" i="163"/>
  <c r="I315" i="163"/>
  <c r="D315" i="163"/>
  <c r="J315" i="163"/>
  <c r="E315" i="163"/>
  <c r="K315" i="163"/>
  <c r="G315" i="163"/>
  <c r="C315" i="163"/>
  <c r="I316" i="163"/>
  <c r="D316" i="163"/>
  <c r="J316" i="163"/>
  <c r="E316" i="163"/>
  <c r="K316" i="163"/>
  <c r="G316" i="163"/>
  <c r="C316" i="163"/>
  <c r="I317" i="163"/>
  <c r="D317" i="163"/>
  <c r="J317" i="163"/>
  <c r="E317" i="163"/>
  <c r="K317" i="163"/>
  <c r="G317" i="163"/>
  <c r="C317" i="163"/>
  <c r="I318" i="163"/>
  <c r="D318" i="163"/>
  <c r="J318" i="163"/>
  <c r="E318" i="163"/>
  <c r="K318" i="163"/>
  <c r="G318" i="163"/>
  <c r="C318" i="163"/>
  <c r="I319" i="163"/>
  <c r="D319" i="163"/>
  <c r="J319" i="163"/>
  <c r="E319" i="163"/>
  <c r="K319" i="163"/>
  <c r="G319" i="163"/>
  <c r="C319" i="163"/>
  <c r="I320" i="163"/>
  <c r="D320" i="163"/>
  <c r="J320" i="163"/>
  <c r="E320" i="163"/>
  <c r="K320" i="163"/>
  <c r="G320" i="163"/>
  <c r="C320" i="163"/>
  <c r="I321" i="163"/>
  <c r="D321" i="163"/>
  <c r="J321" i="163"/>
  <c r="E321" i="163"/>
  <c r="K321" i="163"/>
  <c r="G321" i="163"/>
  <c r="C321" i="163"/>
  <c r="I322" i="163"/>
  <c r="D322" i="163"/>
  <c r="J322" i="163"/>
  <c r="E322" i="163"/>
  <c r="K322" i="163"/>
  <c r="G322" i="163"/>
  <c r="C322" i="163"/>
  <c r="I323" i="163"/>
  <c r="D323" i="163"/>
  <c r="J323" i="163"/>
  <c r="E323" i="163"/>
  <c r="K323" i="163"/>
  <c r="G323" i="163"/>
  <c r="C323" i="163"/>
  <c r="I324" i="163"/>
  <c r="D324" i="163"/>
  <c r="J324" i="163"/>
  <c r="E324" i="163"/>
  <c r="K324" i="163"/>
  <c r="G324" i="163"/>
  <c r="C324" i="163"/>
  <c r="I325" i="163"/>
  <c r="D325" i="163"/>
  <c r="J325" i="163"/>
  <c r="E325" i="163"/>
  <c r="K325" i="163"/>
  <c r="G325" i="163"/>
  <c r="C325" i="163"/>
  <c r="I326" i="163"/>
  <c r="D326" i="163"/>
  <c r="J326" i="163"/>
  <c r="E326" i="163"/>
  <c r="K326" i="163"/>
  <c r="G326" i="163"/>
  <c r="C326" i="163"/>
  <c r="I327" i="163"/>
  <c r="D327" i="163"/>
  <c r="J327" i="163"/>
  <c r="E327" i="163"/>
  <c r="K327" i="163"/>
  <c r="G327" i="163"/>
  <c r="C327" i="163"/>
  <c r="I328" i="163"/>
  <c r="D328" i="163"/>
  <c r="J328" i="163"/>
  <c r="E328" i="163"/>
  <c r="K328" i="163"/>
  <c r="G328" i="163"/>
  <c r="C328" i="163"/>
  <c r="I329" i="163"/>
  <c r="D329" i="163"/>
  <c r="J329" i="163"/>
  <c r="E329" i="163"/>
  <c r="K329" i="163"/>
  <c r="G329" i="163"/>
  <c r="C329" i="163"/>
  <c r="I330" i="163"/>
  <c r="D330" i="163"/>
  <c r="J330" i="163"/>
  <c r="E330" i="163"/>
  <c r="K330" i="163"/>
  <c r="G330" i="163"/>
  <c r="C330" i="163"/>
  <c r="I331" i="163"/>
  <c r="D331" i="163"/>
  <c r="J331" i="163"/>
  <c r="E331" i="163"/>
  <c r="K331" i="163"/>
  <c r="G331" i="163"/>
  <c r="C331" i="163"/>
  <c r="I332" i="163"/>
  <c r="D332" i="163"/>
  <c r="J332" i="163"/>
  <c r="E332" i="163"/>
  <c r="K332" i="163"/>
  <c r="G332" i="163"/>
  <c r="C332" i="163"/>
  <c r="I333" i="163"/>
  <c r="D333" i="163"/>
  <c r="J333" i="163"/>
  <c r="E333" i="163"/>
  <c r="K333" i="163"/>
  <c r="G333" i="163"/>
  <c r="C333" i="163"/>
  <c r="I334" i="163"/>
  <c r="D334" i="163"/>
  <c r="J334" i="163"/>
  <c r="E334" i="163"/>
  <c r="K334" i="163"/>
  <c r="G334" i="163"/>
  <c r="C334" i="163"/>
  <c r="I335" i="163"/>
  <c r="D335" i="163"/>
  <c r="J335" i="163"/>
  <c r="E335" i="163"/>
  <c r="K335" i="163"/>
  <c r="G335" i="163"/>
  <c r="C335" i="163"/>
  <c r="I336" i="163"/>
  <c r="D336" i="163"/>
  <c r="J336" i="163"/>
  <c r="E336" i="163"/>
  <c r="K336" i="163"/>
  <c r="G336" i="163"/>
  <c r="C336" i="163"/>
  <c r="I337" i="163"/>
  <c r="D337" i="163"/>
  <c r="J337" i="163"/>
  <c r="E337" i="163"/>
  <c r="K337" i="163"/>
  <c r="G337" i="163"/>
  <c r="C337" i="163"/>
  <c r="I338" i="163"/>
  <c r="D338" i="163"/>
  <c r="J338" i="163"/>
  <c r="E338" i="163"/>
  <c r="K338" i="163"/>
  <c r="G338" i="163"/>
  <c r="C338" i="163"/>
  <c r="I339" i="163"/>
  <c r="D339" i="163"/>
  <c r="J339" i="163"/>
  <c r="E339" i="163"/>
  <c r="K339" i="163"/>
  <c r="G339" i="163"/>
  <c r="C339" i="163"/>
  <c r="I340" i="163"/>
  <c r="D340" i="163"/>
  <c r="J340" i="163"/>
  <c r="E340" i="163"/>
  <c r="K340" i="163"/>
  <c r="G340" i="163"/>
  <c r="C340" i="163"/>
  <c r="I341" i="163"/>
  <c r="D341" i="163"/>
  <c r="J341" i="163"/>
  <c r="E341" i="163"/>
  <c r="K341" i="163"/>
  <c r="G341" i="163"/>
  <c r="C341" i="163"/>
  <c r="F5" i="162"/>
  <c r="E5" i="162"/>
  <c r="Q3" i="162"/>
  <c r="Q4" i="162"/>
  <c r="Q5" i="162"/>
  <c r="Q6" i="162"/>
  <c r="Q7" i="162"/>
  <c r="Q8" i="162"/>
  <c r="Q9" i="162"/>
  <c r="Q10" i="162"/>
  <c r="Q11" i="162"/>
  <c r="Q12" i="162"/>
  <c r="Q13" i="162"/>
  <c r="Q14" i="162"/>
  <c r="Q15" i="162"/>
  <c r="Q16" i="162"/>
  <c r="Q17" i="162"/>
  <c r="Q18" i="162"/>
  <c r="Q19" i="162"/>
  <c r="Q20" i="162"/>
  <c r="E27" i="162"/>
  <c r="B27" i="162"/>
  <c r="E29" i="162"/>
  <c r="B29" i="162"/>
  <c r="F7" i="162"/>
  <c r="E7" i="162"/>
  <c r="E20" i="162"/>
  <c r="B20" i="162"/>
  <c r="F8" i="162"/>
  <c r="E8" i="162"/>
  <c r="E36" i="162"/>
  <c r="B36" i="162"/>
  <c r="E35" i="162"/>
  <c r="B35" i="162"/>
  <c r="I2" i="154"/>
  <c r="J2" i="154"/>
  <c r="D2" i="154"/>
  <c r="E2" i="154"/>
  <c r="K2" i="154"/>
  <c r="G2" i="154"/>
  <c r="C2" i="154"/>
  <c r="I3" i="154"/>
  <c r="J3" i="154"/>
  <c r="D3" i="154"/>
  <c r="E3" i="154"/>
  <c r="K3" i="154"/>
  <c r="G3" i="154"/>
  <c r="C3" i="154"/>
  <c r="I4" i="154"/>
  <c r="J4" i="154"/>
  <c r="D4" i="154"/>
  <c r="E4" i="154"/>
  <c r="K4" i="154"/>
  <c r="G4" i="154"/>
  <c r="C4" i="154"/>
  <c r="I5" i="154"/>
  <c r="J5" i="154"/>
  <c r="D5" i="154"/>
  <c r="E5" i="154"/>
  <c r="K5" i="154"/>
  <c r="G5" i="154"/>
  <c r="C5" i="154"/>
  <c r="I6" i="154"/>
  <c r="J6" i="154"/>
  <c r="D6" i="154"/>
  <c r="E6" i="154"/>
  <c r="K6" i="154"/>
  <c r="G6" i="154"/>
  <c r="C6" i="154"/>
  <c r="I7" i="154"/>
  <c r="J7" i="154"/>
  <c r="D7" i="154"/>
  <c r="E7" i="154"/>
  <c r="K7" i="154"/>
  <c r="G7" i="154"/>
  <c r="C7" i="154"/>
  <c r="I8" i="154"/>
  <c r="J8" i="154"/>
  <c r="D8" i="154"/>
  <c r="E8" i="154"/>
  <c r="K8" i="154"/>
  <c r="G8" i="154"/>
  <c r="C8" i="154"/>
  <c r="I9" i="154"/>
  <c r="J9" i="154"/>
  <c r="D9" i="154"/>
  <c r="E9" i="154"/>
  <c r="K9" i="154"/>
  <c r="G9" i="154"/>
  <c r="C9" i="154"/>
  <c r="I10" i="154"/>
  <c r="J10" i="154"/>
  <c r="D10" i="154"/>
  <c r="E10" i="154"/>
  <c r="K10" i="154"/>
  <c r="G10" i="154"/>
  <c r="C10" i="154"/>
  <c r="I11" i="154"/>
  <c r="J11" i="154"/>
  <c r="D11" i="154"/>
  <c r="E11" i="154"/>
  <c r="K11" i="154"/>
  <c r="G11" i="154"/>
  <c r="C11" i="154"/>
  <c r="I12" i="154"/>
  <c r="J12" i="154"/>
  <c r="D12" i="154"/>
  <c r="E12" i="154"/>
  <c r="K12" i="154"/>
  <c r="G12" i="154"/>
  <c r="C12" i="154"/>
  <c r="I13" i="154"/>
  <c r="J13" i="154"/>
  <c r="D13" i="154"/>
  <c r="E13" i="154"/>
  <c r="K13" i="154"/>
  <c r="G13" i="154"/>
  <c r="C13" i="154"/>
  <c r="I14" i="154"/>
  <c r="J14" i="154"/>
  <c r="D14" i="154"/>
  <c r="E14" i="154"/>
  <c r="K14" i="154"/>
  <c r="G14" i="154"/>
  <c r="C14" i="154"/>
  <c r="I15" i="154"/>
  <c r="J15" i="154"/>
  <c r="D15" i="154"/>
  <c r="E15" i="154"/>
  <c r="K15" i="154"/>
  <c r="G15" i="154"/>
  <c r="C15" i="154"/>
  <c r="I16" i="154"/>
  <c r="J16" i="154"/>
  <c r="D16" i="154"/>
  <c r="E16" i="154"/>
  <c r="K16" i="154"/>
  <c r="G16" i="154"/>
  <c r="C16" i="154"/>
  <c r="I17" i="154"/>
  <c r="J17" i="154"/>
  <c r="D17" i="154"/>
  <c r="E17" i="154"/>
  <c r="K17" i="154"/>
  <c r="G17" i="154"/>
  <c r="C17" i="154"/>
  <c r="I18" i="154"/>
  <c r="J18" i="154"/>
  <c r="D18" i="154"/>
  <c r="E18" i="154"/>
  <c r="K18" i="154"/>
  <c r="G18" i="154"/>
  <c r="C18" i="154"/>
  <c r="I19" i="154"/>
  <c r="J19" i="154"/>
  <c r="D19" i="154"/>
  <c r="E19" i="154"/>
  <c r="K19" i="154"/>
  <c r="G19" i="154"/>
  <c r="C19" i="154"/>
  <c r="I20" i="154"/>
  <c r="J20" i="154"/>
  <c r="D20" i="154"/>
  <c r="E20" i="154"/>
  <c r="K20" i="154"/>
  <c r="G20" i="154"/>
  <c r="C20" i="154"/>
  <c r="I21" i="154"/>
  <c r="J21" i="154"/>
  <c r="D21" i="154"/>
  <c r="E21" i="154"/>
  <c r="K21" i="154"/>
  <c r="G21" i="154"/>
  <c r="C21" i="154"/>
  <c r="I22" i="154"/>
  <c r="J22" i="154"/>
  <c r="D22" i="154"/>
  <c r="E22" i="154"/>
  <c r="K22" i="154"/>
  <c r="G22" i="154"/>
  <c r="C22" i="154"/>
  <c r="I23" i="154"/>
  <c r="J23" i="154"/>
  <c r="D23" i="154"/>
  <c r="E23" i="154"/>
  <c r="K23" i="154"/>
  <c r="G23" i="154"/>
  <c r="C23" i="154"/>
  <c r="I24" i="154"/>
  <c r="J24" i="154"/>
  <c r="D24" i="154"/>
  <c r="E24" i="154"/>
  <c r="K24" i="154"/>
  <c r="G24" i="154"/>
  <c r="C24" i="154"/>
  <c r="I25" i="154"/>
  <c r="J25" i="154"/>
  <c r="D25" i="154"/>
  <c r="E25" i="154"/>
  <c r="K25" i="154"/>
  <c r="G25" i="154"/>
  <c r="C25" i="154"/>
  <c r="I26" i="154"/>
  <c r="J26" i="154"/>
  <c r="D26" i="154"/>
  <c r="E26" i="154"/>
  <c r="K26" i="154"/>
  <c r="G26" i="154"/>
  <c r="C26" i="154"/>
  <c r="I27" i="154"/>
  <c r="J27" i="154"/>
  <c r="D27" i="154"/>
  <c r="E27" i="154"/>
  <c r="K27" i="154"/>
  <c r="G27" i="154"/>
  <c r="C27" i="154"/>
  <c r="I28" i="154"/>
  <c r="J28" i="154"/>
  <c r="D28" i="154"/>
  <c r="E28" i="154"/>
  <c r="K28" i="154"/>
  <c r="G28" i="154"/>
  <c r="C28" i="154"/>
  <c r="I29" i="154"/>
  <c r="J29" i="154"/>
  <c r="D29" i="154"/>
  <c r="E29" i="154"/>
  <c r="K29" i="154"/>
  <c r="G29" i="154"/>
  <c r="C29" i="154"/>
  <c r="I30" i="154"/>
  <c r="J30" i="154"/>
  <c r="D30" i="154"/>
  <c r="E30" i="154"/>
  <c r="K30" i="154"/>
  <c r="G30" i="154"/>
  <c r="C30" i="154"/>
  <c r="I31" i="154"/>
  <c r="J31" i="154"/>
  <c r="D31" i="154"/>
  <c r="E31" i="154"/>
  <c r="K31" i="154"/>
  <c r="G31" i="154"/>
  <c r="C31" i="154"/>
  <c r="I32" i="154"/>
  <c r="J32" i="154"/>
  <c r="D32" i="154"/>
  <c r="E32" i="154"/>
  <c r="K32" i="154"/>
  <c r="G32" i="154"/>
  <c r="C32" i="154"/>
  <c r="I33" i="154"/>
  <c r="J33" i="154"/>
  <c r="D33" i="154"/>
  <c r="E33" i="154"/>
  <c r="K33" i="154"/>
  <c r="G33" i="154"/>
  <c r="C33" i="154"/>
  <c r="I34" i="154"/>
  <c r="J34" i="154"/>
  <c r="D34" i="154"/>
  <c r="E34" i="154"/>
  <c r="K34" i="154"/>
  <c r="G34" i="154"/>
  <c r="C34" i="154"/>
  <c r="I35" i="154"/>
  <c r="J35" i="154"/>
  <c r="D35" i="154"/>
  <c r="E35" i="154"/>
  <c r="K35" i="154"/>
  <c r="G35" i="154"/>
  <c r="C35" i="154"/>
  <c r="I36" i="154"/>
  <c r="J36" i="154"/>
  <c r="D36" i="154"/>
  <c r="E36" i="154"/>
  <c r="K36" i="154"/>
  <c r="G36" i="154"/>
  <c r="C36" i="154"/>
  <c r="I37" i="154"/>
  <c r="J37" i="154"/>
  <c r="D37" i="154"/>
  <c r="E37" i="154"/>
  <c r="K37" i="154"/>
  <c r="G37" i="154"/>
  <c r="C37" i="154"/>
  <c r="I38" i="154"/>
  <c r="J38" i="154"/>
  <c r="D38" i="154"/>
  <c r="E38" i="154"/>
  <c r="K38" i="154"/>
  <c r="G38" i="154"/>
  <c r="C38" i="154"/>
  <c r="I39" i="154"/>
  <c r="J39" i="154"/>
  <c r="D39" i="154"/>
  <c r="E39" i="154"/>
  <c r="K39" i="154"/>
  <c r="G39" i="154"/>
  <c r="C39" i="154"/>
  <c r="I40" i="154"/>
  <c r="J40" i="154"/>
  <c r="D40" i="154"/>
  <c r="E40" i="154"/>
  <c r="K40" i="154"/>
  <c r="G40" i="154"/>
  <c r="C40" i="154"/>
  <c r="I41" i="154"/>
  <c r="J41" i="154"/>
  <c r="D41" i="154"/>
  <c r="E41" i="154"/>
  <c r="K41" i="154"/>
  <c r="G41" i="154"/>
  <c r="C41" i="154"/>
  <c r="I42" i="154"/>
  <c r="D42" i="154"/>
  <c r="J42" i="154"/>
  <c r="E42" i="154"/>
  <c r="K42" i="154"/>
  <c r="G42" i="154"/>
  <c r="C42" i="154"/>
  <c r="I43" i="154"/>
  <c r="D43" i="154"/>
  <c r="J43" i="154"/>
  <c r="E43" i="154"/>
  <c r="K43" i="154"/>
  <c r="G43" i="154"/>
  <c r="C43" i="154"/>
  <c r="I44" i="154"/>
  <c r="D44" i="154"/>
  <c r="J44" i="154"/>
  <c r="E44" i="154"/>
  <c r="K44" i="154"/>
  <c r="G44" i="154"/>
  <c r="C44" i="154"/>
  <c r="I45" i="154"/>
  <c r="D45" i="154"/>
  <c r="J45" i="154"/>
  <c r="E45" i="154"/>
  <c r="K45" i="154"/>
  <c r="G45" i="154"/>
  <c r="C45" i="154"/>
  <c r="I46" i="154"/>
  <c r="D46" i="154"/>
  <c r="J46" i="154"/>
  <c r="E46" i="154"/>
  <c r="K46" i="154"/>
  <c r="G46" i="154"/>
  <c r="C46" i="154"/>
  <c r="I47" i="154"/>
  <c r="D47" i="154"/>
  <c r="J47" i="154"/>
  <c r="E47" i="154"/>
  <c r="K47" i="154"/>
  <c r="G47" i="154"/>
  <c r="C47" i="154"/>
  <c r="I48" i="154"/>
  <c r="D48" i="154"/>
  <c r="J48" i="154"/>
  <c r="E48" i="154"/>
  <c r="K48" i="154"/>
  <c r="G48" i="154"/>
  <c r="C48" i="154"/>
  <c r="I49" i="154"/>
  <c r="D49" i="154"/>
  <c r="J49" i="154"/>
  <c r="E49" i="154"/>
  <c r="K49" i="154"/>
  <c r="G49" i="154"/>
  <c r="C49" i="154"/>
  <c r="I50" i="154"/>
  <c r="D50" i="154"/>
  <c r="J50" i="154"/>
  <c r="E50" i="154"/>
  <c r="K50" i="154"/>
  <c r="G50" i="154"/>
  <c r="C50" i="154"/>
  <c r="I51" i="154"/>
  <c r="D51" i="154"/>
  <c r="J51" i="154"/>
  <c r="E51" i="154"/>
  <c r="K51" i="154"/>
  <c r="G51" i="154"/>
  <c r="C51" i="154"/>
  <c r="I52" i="154"/>
  <c r="D52" i="154"/>
  <c r="J52" i="154"/>
  <c r="E52" i="154"/>
  <c r="K52" i="154"/>
  <c r="G52" i="154"/>
  <c r="C52" i="154"/>
  <c r="I53" i="154"/>
  <c r="D53" i="154"/>
  <c r="J53" i="154"/>
  <c r="E53" i="154"/>
  <c r="K53" i="154"/>
  <c r="G53" i="154"/>
  <c r="C53" i="154"/>
  <c r="I54" i="154"/>
  <c r="D54" i="154"/>
  <c r="J54" i="154"/>
  <c r="E54" i="154"/>
  <c r="K54" i="154"/>
  <c r="G54" i="154"/>
  <c r="C54" i="154"/>
  <c r="I55" i="154"/>
  <c r="D55" i="154"/>
  <c r="J55" i="154"/>
  <c r="E55" i="154"/>
  <c r="K55" i="154"/>
  <c r="G55" i="154"/>
  <c r="C55" i="154"/>
  <c r="I56" i="154"/>
  <c r="D56" i="154"/>
  <c r="J56" i="154"/>
  <c r="E56" i="154"/>
  <c r="K56" i="154"/>
  <c r="G56" i="154"/>
  <c r="C56" i="154"/>
  <c r="I57" i="154"/>
  <c r="D57" i="154"/>
  <c r="J57" i="154"/>
  <c r="E57" i="154"/>
  <c r="K57" i="154"/>
  <c r="G57" i="154"/>
  <c r="C57" i="154"/>
  <c r="I58" i="154"/>
  <c r="D58" i="154"/>
  <c r="J58" i="154"/>
  <c r="E58" i="154"/>
  <c r="K58" i="154"/>
  <c r="G58" i="154"/>
  <c r="C58" i="154"/>
  <c r="I59" i="154"/>
  <c r="D59" i="154"/>
  <c r="J59" i="154"/>
  <c r="E59" i="154"/>
  <c r="K59" i="154"/>
  <c r="G59" i="154"/>
  <c r="C59" i="154"/>
  <c r="I60" i="154"/>
  <c r="D60" i="154"/>
  <c r="J60" i="154"/>
  <c r="E60" i="154"/>
  <c r="K60" i="154"/>
  <c r="G60" i="154"/>
  <c r="C60" i="154"/>
  <c r="I61" i="154"/>
  <c r="D61" i="154"/>
  <c r="J61" i="154"/>
  <c r="E61" i="154"/>
  <c r="K61" i="154"/>
  <c r="G61" i="154"/>
  <c r="C61" i="154"/>
  <c r="I62" i="154"/>
  <c r="D62" i="154"/>
  <c r="J62" i="154"/>
  <c r="E62" i="154"/>
  <c r="K62" i="154"/>
  <c r="G62" i="154"/>
  <c r="C62" i="154"/>
  <c r="I63" i="154"/>
  <c r="D63" i="154"/>
  <c r="J63" i="154"/>
  <c r="E63" i="154"/>
  <c r="K63" i="154"/>
  <c r="G63" i="154"/>
  <c r="C63" i="154"/>
  <c r="I64" i="154"/>
  <c r="D64" i="154"/>
  <c r="J64" i="154"/>
  <c r="E64" i="154"/>
  <c r="K64" i="154"/>
  <c r="G64" i="154"/>
  <c r="C64" i="154"/>
  <c r="I65" i="154"/>
  <c r="D65" i="154"/>
  <c r="J65" i="154"/>
  <c r="E65" i="154"/>
  <c r="K65" i="154"/>
  <c r="G65" i="154"/>
  <c r="C65" i="154"/>
  <c r="I66" i="154"/>
  <c r="D66" i="154"/>
  <c r="J66" i="154"/>
  <c r="E66" i="154"/>
  <c r="K66" i="154"/>
  <c r="G66" i="154"/>
  <c r="C66" i="154"/>
  <c r="I67" i="154"/>
  <c r="D67" i="154"/>
  <c r="J67" i="154"/>
  <c r="E67" i="154"/>
  <c r="K67" i="154"/>
  <c r="G67" i="154"/>
  <c r="C67" i="154"/>
  <c r="I68" i="154"/>
  <c r="D68" i="154"/>
  <c r="J68" i="154"/>
  <c r="E68" i="154"/>
  <c r="K68" i="154"/>
  <c r="G68" i="154"/>
  <c r="C68" i="154"/>
  <c r="I69" i="154"/>
  <c r="D69" i="154"/>
  <c r="J69" i="154"/>
  <c r="E69" i="154"/>
  <c r="K69" i="154"/>
  <c r="G69" i="154"/>
  <c r="C69" i="154"/>
  <c r="I70" i="154"/>
  <c r="D70" i="154"/>
  <c r="J70" i="154"/>
  <c r="E70" i="154"/>
  <c r="K70" i="154"/>
  <c r="G70" i="154"/>
  <c r="C70" i="154"/>
  <c r="I71" i="154"/>
  <c r="D71" i="154"/>
  <c r="J71" i="154"/>
  <c r="E71" i="154"/>
  <c r="K71" i="154"/>
  <c r="G71" i="154"/>
  <c r="C71" i="154"/>
  <c r="I72" i="154"/>
  <c r="D72" i="154"/>
  <c r="J72" i="154"/>
  <c r="E72" i="154"/>
  <c r="K72" i="154"/>
  <c r="G72" i="154"/>
  <c r="C72" i="154"/>
  <c r="I73" i="154"/>
  <c r="D73" i="154"/>
  <c r="J73" i="154"/>
  <c r="E73" i="154"/>
  <c r="K73" i="154"/>
  <c r="G73" i="154"/>
  <c r="C73" i="154"/>
  <c r="I74" i="154"/>
  <c r="D74" i="154"/>
  <c r="J74" i="154"/>
  <c r="E74" i="154"/>
  <c r="K74" i="154"/>
  <c r="G74" i="154"/>
  <c r="C74" i="154"/>
  <c r="I75" i="154"/>
  <c r="D75" i="154"/>
  <c r="J75" i="154"/>
  <c r="E75" i="154"/>
  <c r="K75" i="154"/>
  <c r="G75" i="154"/>
  <c r="C75" i="154"/>
  <c r="I76" i="154"/>
  <c r="D76" i="154"/>
  <c r="J76" i="154"/>
  <c r="E76" i="154"/>
  <c r="K76" i="154"/>
  <c r="G76" i="154"/>
  <c r="C76" i="154"/>
  <c r="I77" i="154"/>
  <c r="D77" i="154"/>
  <c r="J77" i="154"/>
  <c r="E77" i="154"/>
  <c r="K77" i="154"/>
  <c r="G77" i="154"/>
  <c r="C77" i="154"/>
  <c r="I78" i="154"/>
  <c r="D78" i="154"/>
  <c r="J78" i="154"/>
  <c r="E78" i="154"/>
  <c r="K78" i="154"/>
  <c r="G78" i="154"/>
  <c r="C78" i="154"/>
  <c r="I79" i="154"/>
  <c r="D79" i="154"/>
  <c r="J79" i="154"/>
  <c r="E79" i="154"/>
  <c r="K79" i="154"/>
  <c r="G79" i="154"/>
  <c r="C79" i="154"/>
  <c r="I80" i="154"/>
  <c r="D80" i="154"/>
  <c r="J80" i="154"/>
  <c r="E80" i="154"/>
  <c r="K80" i="154"/>
  <c r="G80" i="154"/>
  <c r="C80" i="154"/>
  <c r="I81" i="154"/>
  <c r="D81" i="154"/>
  <c r="J81" i="154"/>
  <c r="E81" i="154"/>
  <c r="K81" i="154"/>
  <c r="G81" i="154"/>
  <c r="C81" i="154"/>
  <c r="I82" i="154"/>
  <c r="D82" i="154"/>
  <c r="J82" i="154"/>
  <c r="E82" i="154"/>
  <c r="K82" i="154"/>
  <c r="G82" i="154"/>
  <c r="C82" i="154"/>
  <c r="I83" i="154"/>
  <c r="D83" i="154"/>
  <c r="J83" i="154"/>
  <c r="E83" i="154"/>
  <c r="K83" i="154"/>
  <c r="G83" i="154"/>
  <c r="C83" i="154"/>
  <c r="I84" i="154"/>
  <c r="D84" i="154"/>
  <c r="J84" i="154"/>
  <c r="E84" i="154"/>
  <c r="K84" i="154"/>
  <c r="G84" i="154"/>
  <c r="C84" i="154"/>
  <c r="I85" i="154"/>
  <c r="D85" i="154"/>
  <c r="J85" i="154"/>
  <c r="E85" i="154"/>
  <c r="K85" i="154"/>
  <c r="G85" i="154"/>
  <c r="C85" i="154"/>
  <c r="I86" i="154"/>
  <c r="D86" i="154"/>
  <c r="J86" i="154"/>
  <c r="E86" i="154"/>
  <c r="K86" i="154"/>
  <c r="G86" i="154"/>
  <c r="C86" i="154"/>
  <c r="I87" i="154"/>
  <c r="D87" i="154"/>
  <c r="J87" i="154"/>
  <c r="E87" i="154"/>
  <c r="K87" i="154"/>
  <c r="G87" i="154"/>
  <c r="C87" i="154"/>
  <c r="I88" i="154"/>
  <c r="D88" i="154"/>
  <c r="J88" i="154"/>
  <c r="E88" i="154"/>
  <c r="K88" i="154"/>
  <c r="G88" i="154"/>
  <c r="C88" i="154"/>
  <c r="I89" i="154"/>
  <c r="D89" i="154"/>
  <c r="J89" i="154"/>
  <c r="E89" i="154"/>
  <c r="K89" i="154"/>
  <c r="G89" i="154"/>
  <c r="C89" i="154"/>
  <c r="I90" i="154"/>
  <c r="D90" i="154"/>
  <c r="J90" i="154"/>
  <c r="E90" i="154"/>
  <c r="K90" i="154"/>
  <c r="G90" i="154"/>
  <c r="C90" i="154"/>
  <c r="I91" i="154"/>
  <c r="D91" i="154"/>
  <c r="J91" i="154"/>
  <c r="E91" i="154"/>
  <c r="K91" i="154"/>
  <c r="G91" i="154"/>
  <c r="C91" i="154"/>
  <c r="I92" i="154"/>
  <c r="D92" i="154"/>
  <c r="J92" i="154"/>
  <c r="E92" i="154"/>
  <c r="K92" i="154"/>
  <c r="G92" i="154"/>
  <c r="C92" i="154"/>
  <c r="I93" i="154"/>
  <c r="D93" i="154"/>
  <c r="J93" i="154"/>
  <c r="E93" i="154"/>
  <c r="K93" i="154"/>
  <c r="G93" i="154"/>
  <c r="C93" i="154"/>
  <c r="I94" i="154"/>
  <c r="D94" i="154"/>
  <c r="J94" i="154"/>
  <c r="E94" i="154"/>
  <c r="K94" i="154"/>
  <c r="G94" i="154"/>
  <c r="C94" i="154"/>
  <c r="I95" i="154"/>
  <c r="D95" i="154"/>
  <c r="J95" i="154"/>
  <c r="E95" i="154"/>
  <c r="K95" i="154"/>
  <c r="G95" i="154"/>
  <c r="C95" i="154"/>
  <c r="I96" i="154"/>
  <c r="D96" i="154"/>
  <c r="J96" i="154"/>
  <c r="E96" i="154"/>
  <c r="K96" i="154"/>
  <c r="G96" i="154"/>
  <c r="C96" i="154"/>
  <c r="I97" i="154"/>
  <c r="D97" i="154"/>
  <c r="J97" i="154"/>
  <c r="E97" i="154"/>
  <c r="K97" i="154"/>
  <c r="G97" i="154"/>
  <c r="C97" i="154"/>
  <c r="I98" i="154"/>
  <c r="D98" i="154"/>
  <c r="J98" i="154"/>
  <c r="E98" i="154"/>
  <c r="K98" i="154"/>
  <c r="G98" i="154"/>
  <c r="C98" i="154"/>
  <c r="I99" i="154"/>
  <c r="D99" i="154"/>
  <c r="J99" i="154"/>
  <c r="E99" i="154"/>
  <c r="K99" i="154"/>
  <c r="G99" i="154"/>
  <c r="C99" i="154"/>
  <c r="I100" i="154"/>
  <c r="D100" i="154"/>
  <c r="J100" i="154"/>
  <c r="E100" i="154"/>
  <c r="K100" i="154"/>
  <c r="G100" i="154"/>
  <c r="C100" i="154"/>
  <c r="I101" i="154"/>
  <c r="D101" i="154"/>
  <c r="J101" i="154"/>
  <c r="E101" i="154"/>
  <c r="K101" i="154"/>
  <c r="G101" i="154"/>
  <c r="C101" i="154"/>
  <c r="I102" i="154"/>
  <c r="D102" i="154"/>
  <c r="J102" i="154"/>
  <c r="E102" i="154"/>
  <c r="K102" i="154"/>
  <c r="G102" i="154"/>
  <c r="C102" i="154"/>
  <c r="I103" i="154"/>
  <c r="D103" i="154"/>
  <c r="J103" i="154"/>
  <c r="E103" i="154"/>
  <c r="K103" i="154"/>
  <c r="G103" i="154"/>
  <c r="C103" i="154"/>
  <c r="I104" i="154"/>
  <c r="D104" i="154"/>
  <c r="J104" i="154"/>
  <c r="E104" i="154"/>
  <c r="K104" i="154"/>
  <c r="G104" i="154"/>
  <c r="C104" i="154"/>
  <c r="I105" i="154"/>
  <c r="D105" i="154"/>
  <c r="J105" i="154"/>
  <c r="E105" i="154"/>
  <c r="K105" i="154"/>
  <c r="G105" i="154"/>
  <c r="C105" i="154"/>
  <c r="I106" i="154"/>
  <c r="D106" i="154"/>
  <c r="J106" i="154"/>
  <c r="E106" i="154"/>
  <c r="K106" i="154"/>
  <c r="G106" i="154"/>
  <c r="C106" i="154"/>
  <c r="I107" i="154"/>
  <c r="D107" i="154"/>
  <c r="J107" i="154"/>
  <c r="E107" i="154"/>
  <c r="K107" i="154"/>
  <c r="G107" i="154"/>
  <c r="C107" i="154"/>
  <c r="I108" i="154"/>
  <c r="D108" i="154"/>
  <c r="J108" i="154"/>
  <c r="E108" i="154"/>
  <c r="K108" i="154"/>
  <c r="G108" i="154"/>
  <c r="C108" i="154"/>
  <c r="I109" i="154"/>
  <c r="D109" i="154"/>
  <c r="J109" i="154"/>
  <c r="E109" i="154"/>
  <c r="K109" i="154"/>
  <c r="G109" i="154"/>
  <c r="C109" i="154"/>
  <c r="I110" i="154"/>
  <c r="D110" i="154"/>
  <c r="J110" i="154"/>
  <c r="E110" i="154"/>
  <c r="K110" i="154"/>
  <c r="G110" i="154"/>
  <c r="C110" i="154"/>
  <c r="I111" i="154"/>
  <c r="D111" i="154"/>
  <c r="J111" i="154"/>
  <c r="E111" i="154"/>
  <c r="K111" i="154"/>
  <c r="G111" i="154"/>
  <c r="C111" i="154"/>
  <c r="I112" i="154"/>
  <c r="D112" i="154"/>
  <c r="J112" i="154"/>
  <c r="E112" i="154"/>
  <c r="K112" i="154"/>
  <c r="G112" i="154"/>
  <c r="C112" i="154"/>
  <c r="I113" i="154"/>
  <c r="D113" i="154"/>
  <c r="J113" i="154"/>
  <c r="E113" i="154"/>
  <c r="K113" i="154"/>
  <c r="G113" i="154"/>
  <c r="C113" i="154"/>
  <c r="I114" i="154"/>
  <c r="D114" i="154"/>
  <c r="J114" i="154"/>
  <c r="E114" i="154"/>
  <c r="K114" i="154"/>
  <c r="G114" i="154"/>
  <c r="C114" i="154"/>
  <c r="I115" i="154"/>
  <c r="D115" i="154"/>
  <c r="J115" i="154"/>
  <c r="E115" i="154"/>
  <c r="K115" i="154"/>
  <c r="G115" i="154"/>
  <c r="C115" i="154"/>
  <c r="I116" i="154"/>
  <c r="D116" i="154"/>
  <c r="J116" i="154"/>
  <c r="E116" i="154"/>
  <c r="K116" i="154"/>
  <c r="G116" i="154"/>
  <c r="C116" i="154"/>
  <c r="I117" i="154"/>
  <c r="D117" i="154"/>
  <c r="J117" i="154"/>
  <c r="E117" i="154"/>
  <c r="K117" i="154"/>
  <c r="G117" i="154"/>
  <c r="C117" i="154"/>
  <c r="I118" i="154"/>
  <c r="D118" i="154"/>
  <c r="J118" i="154"/>
  <c r="E118" i="154"/>
  <c r="K118" i="154"/>
  <c r="G118" i="154"/>
  <c r="C118" i="154"/>
  <c r="I119" i="154"/>
  <c r="D119" i="154"/>
  <c r="J119" i="154"/>
  <c r="E119" i="154"/>
  <c r="K119" i="154"/>
  <c r="G119" i="154"/>
  <c r="C119" i="154"/>
  <c r="I120" i="154"/>
  <c r="D120" i="154"/>
  <c r="J120" i="154"/>
  <c r="E120" i="154"/>
  <c r="K120" i="154"/>
  <c r="G120" i="154"/>
  <c r="C120" i="154"/>
  <c r="I121" i="154"/>
  <c r="D121" i="154"/>
  <c r="J121" i="154"/>
  <c r="E121" i="154"/>
  <c r="K121" i="154"/>
  <c r="G121" i="154"/>
  <c r="C121" i="154"/>
  <c r="I122" i="154"/>
  <c r="D122" i="154"/>
  <c r="J122" i="154"/>
  <c r="E122" i="154"/>
  <c r="K122" i="154"/>
  <c r="G122" i="154"/>
  <c r="C122" i="154"/>
  <c r="I123" i="154"/>
  <c r="D123" i="154"/>
  <c r="J123" i="154"/>
  <c r="E123" i="154"/>
  <c r="K123" i="154"/>
  <c r="G123" i="154"/>
  <c r="C123" i="154"/>
  <c r="I124" i="154"/>
  <c r="D124" i="154"/>
  <c r="J124" i="154"/>
  <c r="E124" i="154"/>
  <c r="K124" i="154"/>
  <c r="G124" i="154"/>
  <c r="C124" i="154"/>
  <c r="I125" i="154"/>
  <c r="D125" i="154"/>
  <c r="J125" i="154"/>
  <c r="E125" i="154"/>
  <c r="K125" i="154"/>
  <c r="G125" i="154"/>
  <c r="C125" i="154"/>
  <c r="I126" i="154"/>
  <c r="D126" i="154"/>
  <c r="J126" i="154"/>
  <c r="E126" i="154"/>
  <c r="K126" i="154"/>
  <c r="G126" i="154"/>
  <c r="C126" i="154"/>
  <c r="I127" i="154"/>
  <c r="D127" i="154"/>
  <c r="J127" i="154"/>
  <c r="E127" i="154"/>
  <c r="K127" i="154"/>
  <c r="G127" i="154"/>
  <c r="C127" i="154"/>
  <c r="I128" i="154"/>
  <c r="D128" i="154"/>
  <c r="J128" i="154"/>
  <c r="E128" i="154"/>
  <c r="K128" i="154"/>
  <c r="G128" i="154"/>
  <c r="C128" i="154"/>
  <c r="I129" i="154"/>
  <c r="D129" i="154"/>
  <c r="J129" i="154"/>
  <c r="E129" i="154"/>
  <c r="K129" i="154"/>
  <c r="G129" i="154"/>
  <c r="C129" i="154"/>
  <c r="I130" i="154"/>
  <c r="D130" i="154"/>
  <c r="J130" i="154"/>
  <c r="E130" i="154"/>
  <c r="K130" i="154"/>
  <c r="G130" i="154"/>
  <c r="C130" i="154"/>
  <c r="I131" i="154"/>
  <c r="D131" i="154"/>
  <c r="J131" i="154"/>
  <c r="E131" i="154"/>
  <c r="K131" i="154"/>
  <c r="G131" i="154"/>
  <c r="C131" i="154"/>
  <c r="I132" i="154"/>
  <c r="D132" i="154"/>
  <c r="J132" i="154"/>
  <c r="E132" i="154"/>
  <c r="K132" i="154"/>
  <c r="G132" i="154"/>
  <c r="C132" i="154"/>
  <c r="I133" i="154"/>
  <c r="D133" i="154"/>
  <c r="J133" i="154"/>
  <c r="E133" i="154"/>
  <c r="K133" i="154"/>
  <c r="G133" i="154"/>
  <c r="C133" i="154"/>
  <c r="I134" i="154"/>
  <c r="D134" i="154"/>
  <c r="J134" i="154"/>
  <c r="E134" i="154"/>
  <c r="K134" i="154"/>
  <c r="G134" i="154"/>
  <c r="C134" i="154"/>
  <c r="I135" i="154"/>
  <c r="D135" i="154"/>
  <c r="J135" i="154"/>
  <c r="E135" i="154"/>
  <c r="K135" i="154"/>
  <c r="G135" i="154"/>
  <c r="C135" i="154"/>
  <c r="I136" i="154"/>
  <c r="D136" i="154"/>
  <c r="J136" i="154"/>
  <c r="E136" i="154"/>
  <c r="K136" i="154"/>
  <c r="G136" i="154"/>
  <c r="C136" i="154"/>
  <c r="I137" i="154"/>
  <c r="D137" i="154"/>
  <c r="J137" i="154"/>
  <c r="E137" i="154"/>
  <c r="K137" i="154"/>
  <c r="G137" i="154"/>
  <c r="C137" i="154"/>
  <c r="I138" i="154"/>
  <c r="D138" i="154"/>
  <c r="J138" i="154"/>
  <c r="E138" i="154"/>
  <c r="K138" i="154"/>
  <c r="G138" i="154"/>
  <c r="C138" i="154"/>
  <c r="I139" i="154"/>
  <c r="D139" i="154"/>
  <c r="J139" i="154"/>
  <c r="E139" i="154"/>
  <c r="K139" i="154"/>
  <c r="G139" i="154"/>
  <c r="C139" i="154"/>
  <c r="I140" i="154"/>
  <c r="D140" i="154"/>
  <c r="J140" i="154"/>
  <c r="E140" i="154"/>
  <c r="K140" i="154"/>
  <c r="G140" i="154"/>
  <c r="C140" i="154"/>
  <c r="I141" i="154"/>
  <c r="D141" i="154"/>
  <c r="J141" i="154"/>
  <c r="E141" i="154"/>
  <c r="K141" i="154"/>
  <c r="G141" i="154"/>
  <c r="C141" i="154"/>
  <c r="I142" i="154"/>
  <c r="D142" i="154"/>
  <c r="J142" i="154"/>
  <c r="E142" i="154"/>
  <c r="K142" i="154"/>
  <c r="G142" i="154"/>
  <c r="C142" i="154"/>
  <c r="I143" i="154"/>
  <c r="D143" i="154"/>
  <c r="J143" i="154"/>
  <c r="E143" i="154"/>
  <c r="K143" i="154"/>
  <c r="G143" i="154"/>
  <c r="C143" i="154"/>
  <c r="I144" i="154"/>
  <c r="D144" i="154"/>
  <c r="J144" i="154"/>
  <c r="E144" i="154"/>
  <c r="K144" i="154"/>
  <c r="G144" i="154"/>
  <c r="C144" i="154"/>
  <c r="I145" i="154"/>
  <c r="D145" i="154"/>
  <c r="J145" i="154"/>
  <c r="E145" i="154"/>
  <c r="K145" i="154"/>
  <c r="G145" i="154"/>
  <c r="C145" i="154"/>
  <c r="I146" i="154"/>
  <c r="D146" i="154"/>
  <c r="J146" i="154"/>
  <c r="E146" i="154"/>
  <c r="K146" i="154"/>
  <c r="G146" i="154"/>
  <c r="C146" i="154"/>
  <c r="I147" i="154"/>
  <c r="D147" i="154"/>
  <c r="J147" i="154"/>
  <c r="E147" i="154"/>
  <c r="K147" i="154"/>
  <c r="G147" i="154"/>
  <c r="C147" i="154"/>
  <c r="I148" i="154"/>
  <c r="D148" i="154"/>
  <c r="J148" i="154"/>
  <c r="E148" i="154"/>
  <c r="K148" i="154"/>
  <c r="G148" i="154"/>
  <c r="C148" i="154"/>
  <c r="I149" i="154"/>
  <c r="D149" i="154"/>
  <c r="J149" i="154"/>
  <c r="E149" i="154"/>
  <c r="K149" i="154"/>
  <c r="G149" i="154"/>
  <c r="C149" i="154"/>
  <c r="I150" i="154"/>
  <c r="D150" i="154"/>
  <c r="J150" i="154"/>
  <c r="E150" i="154"/>
  <c r="K150" i="154"/>
  <c r="G150" i="154"/>
  <c r="C150" i="154"/>
  <c r="I151" i="154"/>
  <c r="D151" i="154"/>
  <c r="J151" i="154"/>
  <c r="E151" i="154"/>
  <c r="K151" i="154"/>
  <c r="G151" i="154"/>
  <c r="C151" i="154"/>
  <c r="I152" i="154"/>
  <c r="D152" i="154"/>
  <c r="J152" i="154"/>
  <c r="E152" i="154"/>
  <c r="K152" i="154"/>
  <c r="G152" i="154"/>
  <c r="C152" i="154"/>
  <c r="I153" i="154"/>
  <c r="D153" i="154"/>
  <c r="J153" i="154"/>
  <c r="E153" i="154"/>
  <c r="K153" i="154"/>
  <c r="G153" i="154"/>
  <c r="C153" i="154"/>
  <c r="I154" i="154"/>
  <c r="D154" i="154"/>
  <c r="J154" i="154"/>
  <c r="E154" i="154"/>
  <c r="K154" i="154"/>
  <c r="G154" i="154"/>
  <c r="C154" i="154"/>
  <c r="I155" i="154"/>
  <c r="D155" i="154"/>
  <c r="J155" i="154"/>
  <c r="E155" i="154"/>
  <c r="K155" i="154"/>
  <c r="G155" i="154"/>
  <c r="C155" i="154"/>
  <c r="I156" i="154"/>
  <c r="D156" i="154"/>
  <c r="J156" i="154"/>
  <c r="E156" i="154"/>
  <c r="K156" i="154"/>
  <c r="G156" i="154"/>
  <c r="C156" i="154"/>
  <c r="I157" i="154"/>
  <c r="D157" i="154"/>
  <c r="J157" i="154"/>
  <c r="E157" i="154"/>
  <c r="K157" i="154"/>
  <c r="G157" i="154"/>
  <c r="C157" i="154"/>
  <c r="I158" i="154"/>
  <c r="D158" i="154"/>
  <c r="J158" i="154"/>
  <c r="E158" i="154"/>
  <c r="K158" i="154"/>
  <c r="G158" i="154"/>
  <c r="C158" i="154"/>
  <c r="I159" i="154"/>
  <c r="D159" i="154"/>
  <c r="J159" i="154"/>
  <c r="E159" i="154"/>
  <c r="K159" i="154"/>
  <c r="G159" i="154"/>
  <c r="C159" i="154"/>
  <c r="I160" i="154"/>
  <c r="D160" i="154"/>
  <c r="J160" i="154"/>
  <c r="E160" i="154"/>
  <c r="K160" i="154"/>
  <c r="G160" i="154"/>
  <c r="C160" i="154"/>
  <c r="I161" i="154"/>
  <c r="D161" i="154"/>
  <c r="J161" i="154"/>
  <c r="E161" i="154"/>
  <c r="K161" i="154"/>
  <c r="G161" i="154"/>
  <c r="C161" i="154"/>
  <c r="I162" i="154"/>
  <c r="D162" i="154"/>
  <c r="J162" i="154"/>
  <c r="E162" i="154"/>
  <c r="K162" i="154"/>
  <c r="G162" i="154"/>
  <c r="C162" i="154"/>
  <c r="I163" i="154"/>
  <c r="D163" i="154"/>
  <c r="J163" i="154"/>
  <c r="E163" i="154"/>
  <c r="K163" i="154"/>
  <c r="G163" i="154"/>
  <c r="C163" i="154"/>
  <c r="I164" i="154"/>
  <c r="D164" i="154"/>
  <c r="J164" i="154"/>
  <c r="E164" i="154"/>
  <c r="K164" i="154"/>
  <c r="G164" i="154"/>
  <c r="C164" i="154"/>
  <c r="I165" i="154"/>
  <c r="D165" i="154"/>
  <c r="J165" i="154"/>
  <c r="E165" i="154"/>
  <c r="K165" i="154"/>
  <c r="G165" i="154"/>
  <c r="C165" i="154"/>
  <c r="I166" i="154"/>
  <c r="D166" i="154"/>
  <c r="J166" i="154"/>
  <c r="E166" i="154"/>
  <c r="K166" i="154"/>
  <c r="G166" i="154"/>
  <c r="C166" i="154"/>
  <c r="I167" i="154"/>
  <c r="D167" i="154"/>
  <c r="J167" i="154"/>
  <c r="E167" i="154"/>
  <c r="K167" i="154"/>
  <c r="G167" i="154"/>
  <c r="C167" i="154"/>
  <c r="I168" i="154"/>
  <c r="D168" i="154"/>
  <c r="J168" i="154"/>
  <c r="E168" i="154"/>
  <c r="K168" i="154"/>
  <c r="G168" i="154"/>
  <c r="C168" i="154"/>
  <c r="I169" i="154"/>
  <c r="D169" i="154"/>
  <c r="J169" i="154"/>
  <c r="E169" i="154"/>
  <c r="K169" i="154"/>
  <c r="G169" i="154"/>
  <c r="C169" i="154"/>
  <c r="I170" i="154"/>
  <c r="D170" i="154"/>
  <c r="J170" i="154"/>
  <c r="E170" i="154"/>
  <c r="K170" i="154"/>
  <c r="G170" i="154"/>
  <c r="C170" i="154"/>
  <c r="I171" i="154"/>
  <c r="D171" i="154"/>
  <c r="J171" i="154"/>
  <c r="E171" i="154"/>
  <c r="K171" i="154"/>
  <c r="G171" i="154"/>
  <c r="C171" i="154"/>
  <c r="I172" i="154"/>
  <c r="D172" i="154"/>
  <c r="J172" i="154"/>
  <c r="E172" i="154"/>
  <c r="K172" i="154"/>
  <c r="G172" i="154"/>
  <c r="C172" i="154"/>
  <c r="I173" i="154"/>
  <c r="D173" i="154"/>
  <c r="J173" i="154"/>
  <c r="E173" i="154"/>
  <c r="K173" i="154"/>
  <c r="G173" i="154"/>
  <c r="C173" i="154"/>
  <c r="I174" i="154"/>
  <c r="D174" i="154"/>
  <c r="J174" i="154"/>
  <c r="E174" i="154"/>
  <c r="K174" i="154"/>
  <c r="G174" i="154"/>
  <c r="C174" i="154"/>
  <c r="I175" i="154"/>
  <c r="D175" i="154"/>
  <c r="J175" i="154"/>
  <c r="E175" i="154"/>
  <c r="K175" i="154"/>
  <c r="G175" i="154"/>
  <c r="C175" i="154"/>
  <c r="I176" i="154"/>
  <c r="D176" i="154"/>
  <c r="J176" i="154"/>
  <c r="E176" i="154"/>
  <c r="K176" i="154"/>
  <c r="G176" i="154"/>
  <c r="C176" i="154"/>
  <c r="I177" i="154"/>
  <c r="D177" i="154"/>
  <c r="J177" i="154"/>
  <c r="E177" i="154"/>
  <c r="K177" i="154"/>
  <c r="G177" i="154"/>
  <c r="C177" i="154"/>
  <c r="I178" i="154"/>
  <c r="D178" i="154"/>
  <c r="J178" i="154"/>
  <c r="E178" i="154"/>
  <c r="K178" i="154"/>
  <c r="G178" i="154"/>
  <c r="C178" i="154"/>
  <c r="I179" i="154"/>
  <c r="D179" i="154"/>
  <c r="J179" i="154"/>
  <c r="E179" i="154"/>
  <c r="K179" i="154"/>
  <c r="G179" i="154"/>
  <c r="C179" i="154"/>
  <c r="I180" i="154"/>
  <c r="D180" i="154"/>
  <c r="J180" i="154"/>
  <c r="E180" i="154"/>
  <c r="K180" i="154"/>
  <c r="G180" i="154"/>
  <c r="C180" i="154"/>
  <c r="I181" i="154"/>
  <c r="D181" i="154"/>
  <c r="J181" i="154"/>
  <c r="E181" i="154"/>
  <c r="K181" i="154"/>
  <c r="G181" i="154"/>
  <c r="C181" i="154"/>
  <c r="I182" i="154"/>
  <c r="D182" i="154"/>
  <c r="J182" i="154"/>
  <c r="E182" i="154"/>
  <c r="K182" i="154"/>
  <c r="G182" i="154"/>
  <c r="C182" i="154"/>
  <c r="I183" i="154"/>
  <c r="D183" i="154"/>
  <c r="J183" i="154"/>
  <c r="E183" i="154"/>
  <c r="K183" i="154"/>
  <c r="G183" i="154"/>
  <c r="C183" i="154"/>
  <c r="I184" i="154"/>
  <c r="D184" i="154"/>
  <c r="J184" i="154"/>
  <c r="E184" i="154"/>
  <c r="K184" i="154"/>
  <c r="G184" i="154"/>
  <c r="C184" i="154"/>
  <c r="I185" i="154"/>
  <c r="D185" i="154"/>
  <c r="J185" i="154"/>
  <c r="E185" i="154"/>
  <c r="K185" i="154"/>
  <c r="G185" i="154"/>
  <c r="C185" i="154"/>
  <c r="I186" i="154"/>
  <c r="D186" i="154"/>
  <c r="J186" i="154"/>
  <c r="E186" i="154"/>
  <c r="K186" i="154"/>
  <c r="G186" i="154"/>
  <c r="C186" i="154"/>
  <c r="I187" i="154"/>
  <c r="D187" i="154"/>
  <c r="J187" i="154"/>
  <c r="E187" i="154"/>
  <c r="K187" i="154"/>
  <c r="G187" i="154"/>
  <c r="C187" i="154"/>
  <c r="I188" i="154"/>
  <c r="D188" i="154"/>
  <c r="J188" i="154"/>
  <c r="E188" i="154"/>
  <c r="K188" i="154"/>
  <c r="G188" i="154"/>
  <c r="C188" i="154"/>
  <c r="I189" i="154"/>
  <c r="D189" i="154"/>
  <c r="J189" i="154"/>
  <c r="E189" i="154"/>
  <c r="K189" i="154"/>
  <c r="G189" i="154"/>
  <c r="C189" i="154"/>
  <c r="I190" i="154"/>
  <c r="D190" i="154"/>
  <c r="J190" i="154"/>
  <c r="E190" i="154"/>
  <c r="K190" i="154"/>
  <c r="G190" i="154"/>
  <c r="C190" i="154"/>
  <c r="I191" i="154"/>
  <c r="D191" i="154"/>
  <c r="J191" i="154"/>
  <c r="E191" i="154"/>
  <c r="K191" i="154"/>
  <c r="G191" i="154"/>
  <c r="C191" i="154"/>
  <c r="I192" i="154"/>
  <c r="D192" i="154"/>
  <c r="J192" i="154"/>
  <c r="E192" i="154"/>
  <c r="K192" i="154"/>
  <c r="G192" i="154"/>
  <c r="C192" i="154"/>
  <c r="I193" i="154"/>
  <c r="D193" i="154"/>
  <c r="J193" i="154"/>
  <c r="E193" i="154"/>
  <c r="K193" i="154"/>
  <c r="G193" i="154"/>
  <c r="C193" i="154"/>
  <c r="I194" i="154"/>
  <c r="D194" i="154"/>
  <c r="J194" i="154"/>
  <c r="E194" i="154"/>
  <c r="K194" i="154"/>
  <c r="G194" i="154"/>
  <c r="C194" i="154"/>
  <c r="I195" i="154"/>
  <c r="D195" i="154"/>
  <c r="J195" i="154"/>
  <c r="E195" i="154"/>
  <c r="K195" i="154"/>
  <c r="G195" i="154"/>
  <c r="C195" i="154"/>
  <c r="I196" i="154"/>
  <c r="D196" i="154"/>
  <c r="J196" i="154"/>
  <c r="E196" i="154"/>
  <c r="K196" i="154"/>
  <c r="G196" i="154"/>
  <c r="C196" i="154"/>
  <c r="I197" i="154"/>
  <c r="D197" i="154"/>
  <c r="J197" i="154"/>
  <c r="E197" i="154"/>
  <c r="K197" i="154"/>
  <c r="G197" i="154"/>
  <c r="C197" i="154"/>
  <c r="I198" i="154"/>
  <c r="D198" i="154"/>
  <c r="J198" i="154"/>
  <c r="E198" i="154"/>
  <c r="K198" i="154"/>
  <c r="G198" i="154"/>
  <c r="C198" i="154"/>
  <c r="I199" i="154"/>
  <c r="D199" i="154"/>
  <c r="J199" i="154"/>
  <c r="E199" i="154"/>
  <c r="K199" i="154"/>
  <c r="G199" i="154"/>
  <c r="C199" i="154"/>
  <c r="I200" i="154"/>
  <c r="D200" i="154"/>
  <c r="J200" i="154"/>
  <c r="E200" i="154"/>
  <c r="K200" i="154"/>
  <c r="G200" i="154"/>
  <c r="C200" i="154"/>
  <c r="I201" i="154"/>
  <c r="D201" i="154"/>
  <c r="J201" i="154"/>
  <c r="E201" i="154"/>
  <c r="K201" i="154"/>
  <c r="G201" i="154"/>
  <c r="C201" i="154"/>
  <c r="I202" i="154"/>
  <c r="D202" i="154"/>
  <c r="J202" i="154"/>
  <c r="E202" i="154"/>
  <c r="K202" i="154"/>
  <c r="G202" i="154"/>
  <c r="C202" i="154"/>
  <c r="I203" i="154"/>
  <c r="D203" i="154"/>
  <c r="J203" i="154"/>
  <c r="E203" i="154"/>
  <c r="K203" i="154"/>
  <c r="G203" i="154"/>
  <c r="C203" i="154"/>
  <c r="I204" i="154"/>
  <c r="D204" i="154"/>
  <c r="J204" i="154"/>
  <c r="E204" i="154"/>
  <c r="K204" i="154"/>
  <c r="G204" i="154"/>
  <c r="C204" i="154"/>
  <c r="I205" i="154"/>
  <c r="D205" i="154"/>
  <c r="J205" i="154"/>
  <c r="E205" i="154"/>
  <c r="K205" i="154"/>
  <c r="G205" i="154"/>
  <c r="C205" i="154"/>
  <c r="I206" i="154"/>
  <c r="D206" i="154"/>
  <c r="J206" i="154"/>
  <c r="E206" i="154"/>
  <c r="K206" i="154"/>
  <c r="G206" i="154"/>
  <c r="C206" i="154"/>
  <c r="I207" i="154"/>
  <c r="D207" i="154"/>
  <c r="J207" i="154"/>
  <c r="E207" i="154"/>
  <c r="K207" i="154"/>
  <c r="G207" i="154"/>
  <c r="C207" i="154"/>
  <c r="I208" i="154"/>
  <c r="D208" i="154"/>
  <c r="J208" i="154"/>
  <c r="E208" i="154"/>
  <c r="K208" i="154"/>
  <c r="G208" i="154"/>
  <c r="C208" i="154"/>
  <c r="I209" i="154"/>
  <c r="D209" i="154"/>
  <c r="J209" i="154"/>
  <c r="E209" i="154"/>
  <c r="K209" i="154"/>
  <c r="G209" i="154"/>
  <c r="C209" i="154"/>
  <c r="I210" i="154"/>
  <c r="D210" i="154"/>
  <c r="J210" i="154"/>
  <c r="E210" i="154"/>
  <c r="K210" i="154"/>
  <c r="G210" i="154"/>
  <c r="C210" i="154"/>
  <c r="I211" i="154"/>
  <c r="D211" i="154"/>
  <c r="J211" i="154"/>
  <c r="E211" i="154"/>
  <c r="K211" i="154"/>
  <c r="G211" i="154"/>
  <c r="C211" i="154"/>
  <c r="I212" i="154"/>
  <c r="D212" i="154"/>
  <c r="J212" i="154"/>
  <c r="E212" i="154"/>
  <c r="K212" i="154"/>
  <c r="G212" i="154"/>
  <c r="C212" i="154"/>
  <c r="I213" i="154"/>
  <c r="D213" i="154"/>
  <c r="J213" i="154"/>
  <c r="E213" i="154"/>
  <c r="K213" i="154"/>
  <c r="G213" i="154"/>
  <c r="C213" i="154"/>
  <c r="I214" i="154"/>
  <c r="D214" i="154"/>
  <c r="J214" i="154"/>
  <c r="E214" i="154"/>
  <c r="K214" i="154"/>
  <c r="G214" i="154"/>
  <c r="C214" i="154"/>
  <c r="I215" i="154"/>
  <c r="J215" i="154"/>
  <c r="D215" i="154"/>
  <c r="E215" i="154"/>
  <c r="K215" i="154"/>
  <c r="G215" i="154"/>
  <c r="C215" i="154"/>
  <c r="I216" i="154"/>
  <c r="J216" i="154"/>
  <c r="D216" i="154"/>
  <c r="E216" i="154"/>
  <c r="K216" i="154"/>
  <c r="G216" i="154"/>
  <c r="C216" i="154"/>
  <c r="I217" i="154"/>
  <c r="J217" i="154"/>
  <c r="D217" i="154"/>
  <c r="E217" i="154"/>
  <c r="K217" i="154"/>
  <c r="G217" i="154"/>
  <c r="C217" i="154"/>
  <c r="I218" i="154"/>
  <c r="J218" i="154"/>
  <c r="D218" i="154"/>
  <c r="E218" i="154"/>
  <c r="K218" i="154"/>
  <c r="G218" i="154"/>
  <c r="C218" i="154"/>
  <c r="I219" i="154"/>
  <c r="J219" i="154"/>
  <c r="D219" i="154"/>
  <c r="E219" i="154"/>
  <c r="K219" i="154"/>
  <c r="G219" i="154"/>
  <c r="C219" i="154"/>
  <c r="I220" i="154"/>
  <c r="J220" i="154"/>
  <c r="D220" i="154"/>
  <c r="E220" i="154"/>
  <c r="K220" i="154"/>
  <c r="G220" i="154"/>
  <c r="C220" i="154"/>
  <c r="I221" i="154"/>
  <c r="D221" i="154"/>
  <c r="J221" i="154"/>
  <c r="E221" i="154"/>
  <c r="K221" i="154"/>
  <c r="G221" i="154"/>
  <c r="C221" i="154"/>
  <c r="I222" i="154"/>
  <c r="D222" i="154"/>
  <c r="J222" i="154"/>
  <c r="E222" i="154"/>
  <c r="K222" i="154"/>
  <c r="G222" i="154"/>
  <c r="C222" i="154"/>
  <c r="I223" i="154"/>
  <c r="D223" i="154"/>
  <c r="J223" i="154"/>
  <c r="E223" i="154"/>
  <c r="K223" i="154"/>
  <c r="G223" i="154"/>
  <c r="C223" i="154"/>
  <c r="I224" i="154"/>
  <c r="D224" i="154"/>
  <c r="J224" i="154"/>
  <c r="E224" i="154"/>
  <c r="K224" i="154"/>
  <c r="G224" i="154"/>
  <c r="C224" i="154"/>
  <c r="I225" i="154"/>
  <c r="D225" i="154"/>
  <c r="J225" i="154"/>
  <c r="E225" i="154"/>
  <c r="K225" i="154"/>
  <c r="G225" i="154"/>
  <c r="C225" i="154"/>
  <c r="I226" i="154"/>
  <c r="D226" i="154"/>
  <c r="J226" i="154"/>
  <c r="E226" i="154"/>
  <c r="K226" i="154"/>
  <c r="G226" i="154"/>
  <c r="C226" i="154"/>
  <c r="I227" i="154"/>
  <c r="D227" i="154"/>
  <c r="J227" i="154"/>
  <c r="E227" i="154"/>
  <c r="K227" i="154"/>
  <c r="G227" i="154"/>
  <c r="C227" i="154"/>
  <c r="I228" i="154"/>
  <c r="D228" i="154"/>
  <c r="J228" i="154"/>
  <c r="E228" i="154"/>
  <c r="K228" i="154"/>
  <c r="G228" i="154"/>
  <c r="C228" i="154"/>
  <c r="I229" i="154"/>
  <c r="D229" i="154"/>
  <c r="J229" i="154"/>
  <c r="E229" i="154"/>
  <c r="K229" i="154"/>
  <c r="G229" i="154"/>
  <c r="C229" i="154"/>
  <c r="I230" i="154"/>
  <c r="D230" i="154"/>
  <c r="J230" i="154"/>
  <c r="E230" i="154"/>
  <c r="K230" i="154"/>
  <c r="G230" i="154"/>
  <c r="C230" i="154"/>
  <c r="I231" i="154"/>
  <c r="D231" i="154"/>
  <c r="J231" i="154"/>
  <c r="E231" i="154"/>
  <c r="K231" i="154"/>
  <c r="G231" i="154"/>
  <c r="C231" i="154"/>
  <c r="I232" i="154"/>
  <c r="D232" i="154"/>
  <c r="J232" i="154"/>
  <c r="E232" i="154"/>
  <c r="K232" i="154"/>
  <c r="G232" i="154"/>
  <c r="C232" i="154"/>
  <c r="I233" i="154"/>
  <c r="D233" i="154"/>
  <c r="J233" i="154"/>
  <c r="E233" i="154"/>
  <c r="K233" i="154"/>
  <c r="G233" i="154"/>
  <c r="C233" i="154"/>
  <c r="I234" i="154"/>
  <c r="D234" i="154"/>
  <c r="J234" i="154"/>
  <c r="E234" i="154"/>
  <c r="K234" i="154"/>
  <c r="G234" i="154"/>
  <c r="C234" i="154"/>
  <c r="I235" i="154"/>
  <c r="D235" i="154"/>
  <c r="J235" i="154"/>
  <c r="E235" i="154"/>
  <c r="K235" i="154"/>
  <c r="G235" i="154"/>
  <c r="C235" i="154"/>
  <c r="I236" i="154"/>
  <c r="D236" i="154"/>
  <c r="J236" i="154"/>
  <c r="E236" i="154"/>
  <c r="K236" i="154"/>
  <c r="G236" i="154"/>
  <c r="C236" i="154"/>
  <c r="I237" i="154"/>
  <c r="D237" i="154"/>
  <c r="J237" i="154"/>
  <c r="E237" i="154"/>
  <c r="K237" i="154"/>
  <c r="G237" i="154"/>
  <c r="C237" i="154"/>
  <c r="I238" i="154"/>
  <c r="D238" i="154"/>
  <c r="J238" i="154"/>
  <c r="E238" i="154"/>
  <c r="K238" i="154"/>
  <c r="G238" i="154"/>
  <c r="C238" i="154"/>
  <c r="I239" i="154"/>
  <c r="D239" i="154"/>
  <c r="J239" i="154"/>
  <c r="E239" i="154"/>
  <c r="K239" i="154"/>
  <c r="G239" i="154"/>
  <c r="C239" i="154"/>
  <c r="I240" i="154"/>
  <c r="D240" i="154"/>
  <c r="J240" i="154"/>
  <c r="E240" i="154"/>
  <c r="K240" i="154"/>
  <c r="G240" i="154"/>
  <c r="C240" i="154"/>
  <c r="I241" i="154"/>
  <c r="D241" i="154"/>
  <c r="J241" i="154"/>
  <c r="E241" i="154"/>
  <c r="K241" i="154"/>
  <c r="G241" i="154"/>
  <c r="C241" i="154"/>
  <c r="I242" i="154"/>
  <c r="D242" i="154"/>
  <c r="J242" i="154"/>
  <c r="E242" i="154"/>
  <c r="K242" i="154"/>
  <c r="G242" i="154"/>
  <c r="C242" i="154"/>
  <c r="I243" i="154"/>
  <c r="D243" i="154"/>
  <c r="J243" i="154"/>
  <c r="E243" i="154"/>
  <c r="K243" i="154"/>
  <c r="G243" i="154"/>
  <c r="C243" i="154"/>
  <c r="I244" i="154"/>
  <c r="D244" i="154"/>
  <c r="J244" i="154"/>
  <c r="E244" i="154"/>
  <c r="K244" i="154"/>
  <c r="G244" i="154"/>
  <c r="C244" i="154"/>
  <c r="I245" i="154"/>
  <c r="D245" i="154"/>
  <c r="J245" i="154"/>
  <c r="E245" i="154"/>
  <c r="K245" i="154"/>
  <c r="G245" i="154"/>
  <c r="C245" i="154"/>
  <c r="I246" i="154"/>
  <c r="D246" i="154"/>
  <c r="J246" i="154"/>
  <c r="E246" i="154"/>
  <c r="K246" i="154"/>
  <c r="G246" i="154"/>
  <c r="C246" i="154"/>
  <c r="I247" i="154"/>
  <c r="D247" i="154"/>
  <c r="J247" i="154"/>
  <c r="E247" i="154"/>
  <c r="K247" i="154"/>
  <c r="G247" i="154"/>
  <c r="C247" i="154"/>
  <c r="I248" i="154"/>
  <c r="D248" i="154"/>
  <c r="J248" i="154"/>
  <c r="E248" i="154"/>
  <c r="K248" i="154"/>
  <c r="G248" i="154"/>
  <c r="C248" i="154"/>
  <c r="I249" i="154"/>
  <c r="D249" i="154"/>
  <c r="J249" i="154"/>
  <c r="E249" i="154"/>
  <c r="K249" i="154"/>
  <c r="G249" i="154"/>
  <c r="C249" i="154"/>
  <c r="I250" i="154"/>
  <c r="D250" i="154"/>
  <c r="J250" i="154"/>
  <c r="E250" i="154"/>
  <c r="K250" i="154"/>
  <c r="G250" i="154"/>
  <c r="C250" i="154"/>
  <c r="I251" i="154"/>
  <c r="D251" i="154"/>
  <c r="J251" i="154"/>
  <c r="E251" i="154"/>
  <c r="K251" i="154"/>
  <c r="G251" i="154"/>
  <c r="C251" i="154"/>
  <c r="I252" i="154"/>
  <c r="D252" i="154"/>
  <c r="J252" i="154"/>
  <c r="E252" i="154"/>
  <c r="K252" i="154"/>
  <c r="G252" i="154"/>
  <c r="C252" i="154"/>
  <c r="I253" i="154"/>
  <c r="D253" i="154"/>
  <c r="J253" i="154"/>
  <c r="E253" i="154"/>
  <c r="K253" i="154"/>
  <c r="G253" i="154"/>
  <c r="C253" i="154"/>
  <c r="I254" i="154"/>
  <c r="D254" i="154"/>
  <c r="J254" i="154"/>
  <c r="E254" i="154"/>
  <c r="K254" i="154"/>
  <c r="G254" i="154"/>
  <c r="C254" i="154"/>
  <c r="I255" i="154"/>
  <c r="D255" i="154"/>
  <c r="J255" i="154"/>
  <c r="E255" i="154"/>
  <c r="K255" i="154"/>
  <c r="G255" i="154"/>
  <c r="C255" i="154"/>
  <c r="I256" i="154"/>
  <c r="D256" i="154"/>
  <c r="J256" i="154"/>
  <c r="E256" i="154"/>
  <c r="K256" i="154"/>
  <c r="G256" i="154"/>
  <c r="C256" i="154"/>
  <c r="I257" i="154"/>
  <c r="D257" i="154"/>
  <c r="J257" i="154"/>
  <c r="E257" i="154"/>
  <c r="K257" i="154"/>
  <c r="G257" i="154"/>
  <c r="C257" i="154"/>
  <c r="I258" i="154"/>
  <c r="D258" i="154"/>
  <c r="J258" i="154"/>
  <c r="E258" i="154"/>
  <c r="K258" i="154"/>
  <c r="G258" i="154"/>
  <c r="C258" i="154"/>
  <c r="I259" i="154"/>
  <c r="D259" i="154"/>
  <c r="J259" i="154"/>
  <c r="E259" i="154"/>
  <c r="K259" i="154"/>
  <c r="G259" i="154"/>
  <c r="C259" i="154"/>
  <c r="I260" i="154"/>
  <c r="D260" i="154"/>
  <c r="J260" i="154"/>
  <c r="E260" i="154"/>
  <c r="K260" i="154"/>
  <c r="G260" i="154"/>
  <c r="C260" i="154"/>
  <c r="I261" i="154"/>
  <c r="D261" i="154"/>
  <c r="J261" i="154"/>
  <c r="E261" i="154"/>
  <c r="K261" i="154"/>
  <c r="G261" i="154"/>
  <c r="C261" i="154"/>
  <c r="I262" i="154"/>
  <c r="D262" i="154"/>
  <c r="J262" i="154"/>
  <c r="E262" i="154"/>
  <c r="K262" i="154"/>
  <c r="G262" i="154"/>
  <c r="C262" i="154"/>
  <c r="I263" i="154"/>
  <c r="D263" i="154"/>
  <c r="J263" i="154"/>
  <c r="E263" i="154"/>
  <c r="K263" i="154"/>
  <c r="G263" i="154"/>
  <c r="C263" i="154"/>
  <c r="I264" i="154"/>
  <c r="D264" i="154"/>
  <c r="J264" i="154"/>
  <c r="E264" i="154"/>
  <c r="K264" i="154"/>
  <c r="G264" i="154"/>
  <c r="C264" i="154"/>
  <c r="I265" i="154"/>
  <c r="D265" i="154"/>
  <c r="J265" i="154"/>
  <c r="E265" i="154"/>
  <c r="K265" i="154"/>
  <c r="G265" i="154"/>
  <c r="C265" i="154"/>
  <c r="I266" i="154"/>
  <c r="D266" i="154"/>
  <c r="J266" i="154"/>
  <c r="E266" i="154"/>
  <c r="K266" i="154"/>
  <c r="G266" i="154"/>
  <c r="C266" i="154"/>
  <c r="I267" i="154"/>
  <c r="D267" i="154"/>
  <c r="J267" i="154"/>
  <c r="E267" i="154"/>
  <c r="K267" i="154"/>
  <c r="G267" i="154"/>
  <c r="C267" i="154"/>
  <c r="I268" i="154"/>
  <c r="D268" i="154"/>
  <c r="J268" i="154"/>
  <c r="E268" i="154"/>
  <c r="K268" i="154"/>
  <c r="G268" i="154"/>
  <c r="C268" i="154"/>
  <c r="I269" i="154"/>
  <c r="D269" i="154"/>
  <c r="J269" i="154"/>
  <c r="E269" i="154"/>
  <c r="K269" i="154"/>
  <c r="G269" i="154"/>
  <c r="C269" i="154"/>
  <c r="I270" i="154"/>
  <c r="D270" i="154"/>
  <c r="J270" i="154"/>
  <c r="E270" i="154"/>
  <c r="K270" i="154"/>
  <c r="G270" i="154"/>
  <c r="C270" i="154"/>
  <c r="I271" i="154"/>
  <c r="D271" i="154"/>
  <c r="J271" i="154"/>
  <c r="E271" i="154"/>
  <c r="K271" i="154"/>
  <c r="G271" i="154"/>
  <c r="C271" i="154"/>
  <c r="I272" i="154"/>
  <c r="D272" i="154"/>
  <c r="J272" i="154"/>
  <c r="E272" i="154"/>
  <c r="K272" i="154"/>
  <c r="G272" i="154"/>
  <c r="C272" i="154"/>
  <c r="I273" i="154"/>
  <c r="D273" i="154"/>
  <c r="J273" i="154"/>
  <c r="E273" i="154"/>
  <c r="K273" i="154"/>
  <c r="G273" i="154"/>
  <c r="C273" i="154"/>
  <c r="I274" i="154"/>
  <c r="D274" i="154"/>
  <c r="J274" i="154"/>
  <c r="E274" i="154"/>
  <c r="K274" i="154"/>
  <c r="G274" i="154"/>
  <c r="C274" i="154"/>
  <c r="I275" i="154"/>
  <c r="D275" i="154"/>
  <c r="J275" i="154"/>
  <c r="E275" i="154"/>
  <c r="K275" i="154"/>
  <c r="G275" i="154"/>
  <c r="C275" i="154"/>
  <c r="I276" i="154"/>
  <c r="D276" i="154"/>
  <c r="J276" i="154"/>
  <c r="E276" i="154"/>
  <c r="K276" i="154"/>
  <c r="G276" i="154"/>
  <c r="C276" i="154"/>
  <c r="I277" i="154"/>
  <c r="D277" i="154"/>
  <c r="J277" i="154"/>
  <c r="E277" i="154"/>
  <c r="K277" i="154"/>
  <c r="G277" i="154"/>
  <c r="C277" i="154"/>
  <c r="I278" i="154"/>
  <c r="D278" i="154"/>
  <c r="J278" i="154"/>
  <c r="E278" i="154"/>
  <c r="K278" i="154"/>
  <c r="G278" i="154"/>
  <c r="C278" i="154"/>
  <c r="I279" i="154"/>
  <c r="D279" i="154"/>
  <c r="J279" i="154"/>
  <c r="E279" i="154"/>
  <c r="K279" i="154"/>
  <c r="G279" i="154"/>
  <c r="C279" i="154"/>
  <c r="I280" i="154"/>
  <c r="D280" i="154"/>
  <c r="J280" i="154"/>
  <c r="E280" i="154"/>
  <c r="K280" i="154"/>
  <c r="G280" i="154"/>
  <c r="C280" i="154"/>
  <c r="I281" i="154"/>
  <c r="D281" i="154"/>
  <c r="J281" i="154"/>
  <c r="E281" i="154"/>
  <c r="K281" i="154"/>
  <c r="G281" i="154"/>
  <c r="C281" i="154"/>
  <c r="I282" i="154"/>
  <c r="D282" i="154"/>
  <c r="J282" i="154"/>
  <c r="E282" i="154"/>
  <c r="K282" i="154"/>
  <c r="G282" i="154"/>
  <c r="C282" i="154"/>
  <c r="I283" i="154"/>
  <c r="D283" i="154"/>
  <c r="J283" i="154"/>
  <c r="E283" i="154"/>
  <c r="K283" i="154"/>
  <c r="G283" i="154"/>
  <c r="C283" i="154"/>
  <c r="I284" i="154"/>
  <c r="D284" i="154"/>
  <c r="J284" i="154"/>
  <c r="E284" i="154"/>
  <c r="K284" i="154"/>
  <c r="G284" i="154"/>
  <c r="C284" i="154"/>
  <c r="I285" i="154"/>
  <c r="D285" i="154"/>
  <c r="J285" i="154"/>
  <c r="E285" i="154"/>
  <c r="K285" i="154"/>
  <c r="G285" i="154"/>
  <c r="C285" i="154"/>
  <c r="I286" i="154"/>
  <c r="D286" i="154"/>
  <c r="J286" i="154"/>
  <c r="E286" i="154"/>
  <c r="K286" i="154"/>
  <c r="G286" i="154"/>
  <c r="C286" i="154"/>
  <c r="I287" i="154"/>
  <c r="D287" i="154"/>
  <c r="J287" i="154"/>
  <c r="E287" i="154"/>
  <c r="K287" i="154"/>
  <c r="G287" i="154"/>
  <c r="C287" i="154"/>
  <c r="I288" i="154"/>
  <c r="D288" i="154"/>
  <c r="J288" i="154"/>
  <c r="E288" i="154"/>
  <c r="K288" i="154"/>
  <c r="G288" i="154"/>
  <c r="C288" i="154"/>
  <c r="I289" i="154"/>
  <c r="D289" i="154"/>
  <c r="J289" i="154"/>
  <c r="E289" i="154"/>
  <c r="K289" i="154"/>
  <c r="G289" i="154"/>
  <c r="C289" i="154"/>
  <c r="I290" i="154"/>
  <c r="D290" i="154"/>
  <c r="J290" i="154"/>
  <c r="E290" i="154"/>
  <c r="K290" i="154"/>
  <c r="G290" i="154"/>
  <c r="C290" i="154"/>
  <c r="I291" i="154"/>
  <c r="D291" i="154"/>
  <c r="J291" i="154"/>
  <c r="E291" i="154"/>
  <c r="K291" i="154"/>
  <c r="G291" i="154"/>
  <c r="C291" i="154"/>
  <c r="I292" i="154"/>
  <c r="D292" i="154"/>
  <c r="J292" i="154"/>
  <c r="E292" i="154"/>
  <c r="K292" i="154"/>
  <c r="G292" i="154"/>
  <c r="C292" i="154"/>
  <c r="I293" i="154"/>
  <c r="D293" i="154"/>
  <c r="J293" i="154"/>
  <c r="E293" i="154"/>
  <c r="K293" i="154"/>
  <c r="G293" i="154"/>
  <c r="C293" i="154"/>
  <c r="I294" i="154"/>
  <c r="D294" i="154"/>
  <c r="J294" i="154"/>
  <c r="E294" i="154"/>
  <c r="K294" i="154"/>
  <c r="G294" i="154"/>
  <c r="C294" i="154"/>
  <c r="I295" i="154"/>
  <c r="D295" i="154"/>
  <c r="J295" i="154"/>
  <c r="E295" i="154"/>
  <c r="K295" i="154"/>
  <c r="G295" i="154"/>
  <c r="C295" i="154"/>
  <c r="I296" i="154"/>
  <c r="D296" i="154"/>
  <c r="J296" i="154"/>
  <c r="E296" i="154"/>
  <c r="K296" i="154"/>
  <c r="G296" i="154"/>
  <c r="C296" i="154"/>
  <c r="I297" i="154"/>
  <c r="D297" i="154"/>
  <c r="J297" i="154"/>
  <c r="E297" i="154"/>
  <c r="K297" i="154"/>
  <c r="G297" i="154"/>
  <c r="C297" i="154"/>
  <c r="I298" i="154"/>
  <c r="D298" i="154"/>
  <c r="J298" i="154"/>
  <c r="E298" i="154"/>
  <c r="K298" i="154"/>
  <c r="G298" i="154"/>
  <c r="C298" i="154"/>
  <c r="I299" i="154"/>
  <c r="D299" i="154"/>
  <c r="J299" i="154"/>
  <c r="E299" i="154"/>
  <c r="K299" i="154"/>
  <c r="G299" i="154"/>
  <c r="C299" i="154"/>
  <c r="I300" i="154"/>
  <c r="D300" i="154"/>
  <c r="J300" i="154"/>
  <c r="E300" i="154"/>
  <c r="K300" i="154"/>
  <c r="G300" i="154"/>
  <c r="C300" i="154"/>
  <c r="I301" i="154"/>
  <c r="D301" i="154"/>
  <c r="J301" i="154"/>
  <c r="E301" i="154"/>
  <c r="K301" i="154"/>
  <c r="G301" i="154"/>
  <c r="C301" i="154"/>
  <c r="I302" i="154"/>
  <c r="D302" i="154"/>
  <c r="J302" i="154"/>
  <c r="E302" i="154"/>
  <c r="K302" i="154"/>
  <c r="G302" i="154"/>
  <c r="C302" i="154"/>
  <c r="I303" i="154"/>
  <c r="D303" i="154"/>
  <c r="J303" i="154"/>
  <c r="E303" i="154"/>
  <c r="K303" i="154"/>
  <c r="G303" i="154"/>
  <c r="C303" i="154"/>
  <c r="I304" i="154"/>
  <c r="D304" i="154"/>
  <c r="J304" i="154"/>
  <c r="E304" i="154"/>
  <c r="K304" i="154"/>
  <c r="G304" i="154"/>
  <c r="C304" i="154"/>
  <c r="I305" i="154"/>
  <c r="D305" i="154"/>
  <c r="J305" i="154"/>
  <c r="E305" i="154"/>
  <c r="K305" i="154"/>
  <c r="G305" i="154"/>
  <c r="C305" i="154"/>
  <c r="I306" i="154"/>
  <c r="D306" i="154"/>
  <c r="J306" i="154"/>
  <c r="E306" i="154"/>
  <c r="K306" i="154"/>
  <c r="G306" i="154"/>
  <c r="C306" i="154"/>
  <c r="I307" i="154"/>
  <c r="D307" i="154"/>
  <c r="J307" i="154"/>
  <c r="E307" i="154"/>
  <c r="K307" i="154"/>
  <c r="G307" i="154"/>
  <c r="C307" i="154"/>
  <c r="I308" i="154"/>
  <c r="D308" i="154"/>
  <c r="J308" i="154"/>
  <c r="E308" i="154"/>
  <c r="K308" i="154"/>
  <c r="G308" i="154"/>
  <c r="C308" i="154"/>
  <c r="I309" i="154"/>
  <c r="D309" i="154"/>
  <c r="J309" i="154"/>
  <c r="E309" i="154"/>
  <c r="K309" i="154"/>
  <c r="G309" i="154"/>
  <c r="C309" i="154"/>
  <c r="I310" i="154"/>
  <c r="D310" i="154"/>
  <c r="J310" i="154"/>
  <c r="E310" i="154"/>
  <c r="K310" i="154"/>
  <c r="G310" i="154"/>
  <c r="C310" i="154"/>
  <c r="I311" i="154"/>
  <c r="D311" i="154"/>
  <c r="J311" i="154"/>
  <c r="E311" i="154"/>
  <c r="K311" i="154"/>
  <c r="G311" i="154"/>
  <c r="C311" i="154"/>
  <c r="I312" i="154"/>
  <c r="D312" i="154"/>
  <c r="J312" i="154"/>
  <c r="E312" i="154"/>
  <c r="K312" i="154"/>
  <c r="G312" i="154"/>
  <c r="C312" i="154"/>
  <c r="I313" i="154"/>
  <c r="D313" i="154"/>
  <c r="J313" i="154"/>
  <c r="E313" i="154"/>
  <c r="K313" i="154"/>
  <c r="G313" i="154"/>
  <c r="C313" i="154"/>
  <c r="I314" i="154"/>
  <c r="D314" i="154"/>
  <c r="J314" i="154"/>
  <c r="E314" i="154"/>
  <c r="K314" i="154"/>
  <c r="G314" i="154"/>
  <c r="C314" i="154"/>
  <c r="I315" i="154"/>
  <c r="D315" i="154"/>
  <c r="J315" i="154"/>
  <c r="E315" i="154"/>
  <c r="K315" i="154"/>
  <c r="G315" i="154"/>
  <c r="C315" i="154"/>
  <c r="I316" i="154"/>
  <c r="D316" i="154"/>
  <c r="J316" i="154"/>
  <c r="E316" i="154"/>
  <c r="K316" i="154"/>
  <c r="G316" i="154"/>
  <c r="C316" i="154"/>
  <c r="I317" i="154"/>
  <c r="D317" i="154"/>
  <c r="J317" i="154"/>
  <c r="E317" i="154"/>
  <c r="K317" i="154"/>
  <c r="G317" i="154"/>
  <c r="C317" i="154"/>
  <c r="I318" i="154"/>
  <c r="D318" i="154"/>
  <c r="J318" i="154"/>
  <c r="E318" i="154"/>
  <c r="K318" i="154"/>
  <c r="G318" i="154"/>
  <c r="C318" i="154"/>
  <c r="I319" i="154"/>
  <c r="D319" i="154"/>
  <c r="J319" i="154"/>
  <c r="E319" i="154"/>
  <c r="K319" i="154"/>
  <c r="G319" i="154"/>
  <c r="C319" i="154"/>
  <c r="I320" i="154"/>
  <c r="D320" i="154"/>
  <c r="J320" i="154"/>
  <c r="E320" i="154"/>
  <c r="K320" i="154"/>
  <c r="G320" i="154"/>
  <c r="C320" i="154"/>
  <c r="I321" i="154"/>
  <c r="D321" i="154"/>
  <c r="J321" i="154"/>
  <c r="E321" i="154"/>
  <c r="K321" i="154"/>
  <c r="G321" i="154"/>
  <c r="C321" i="154"/>
  <c r="I322" i="154"/>
  <c r="D322" i="154"/>
  <c r="J322" i="154"/>
  <c r="E322" i="154"/>
  <c r="K322" i="154"/>
  <c r="G322" i="154"/>
  <c r="C322" i="154"/>
  <c r="I323" i="154"/>
  <c r="D323" i="154"/>
  <c r="J323" i="154"/>
  <c r="E323" i="154"/>
  <c r="K323" i="154"/>
  <c r="G323" i="154"/>
  <c r="C323" i="154"/>
  <c r="I324" i="154"/>
  <c r="D324" i="154"/>
  <c r="J324" i="154"/>
  <c r="E324" i="154"/>
  <c r="K324" i="154"/>
  <c r="G324" i="154"/>
  <c r="C324" i="154"/>
  <c r="I325" i="154"/>
  <c r="D325" i="154"/>
  <c r="J325" i="154"/>
  <c r="E325" i="154"/>
  <c r="K325" i="154"/>
  <c r="G325" i="154"/>
  <c r="C325" i="154"/>
  <c r="I326" i="154"/>
  <c r="D326" i="154"/>
  <c r="J326" i="154"/>
  <c r="E326" i="154"/>
  <c r="K326" i="154"/>
  <c r="G326" i="154"/>
  <c r="C326" i="154"/>
  <c r="I327" i="154"/>
  <c r="D327" i="154"/>
  <c r="J327" i="154"/>
  <c r="E327" i="154"/>
  <c r="K327" i="154"/>
  <c r="G327" i="154"/>
  <c r="C327" i="154"/>
  <c r="I328" i="154"/>
  <c r="D328" i="154"/>
  <c r="J328" i="154"/>
  <c r="E328" i="154"/>
  <c r="K328" i="154"/>
  <c r="G328" i="154"/>
  <c r="C328" i="154"/>
  <c r="I329" i="154"/>
  <c r="D329" i="154"/>
  <c r="J329" i="154"/>
  <c r="E329" i="154"/>
  <c r="K329" i="154"/>
  <c r="G329" i="154"/>
  <c r="C329" i="154"/>
  <c r="I330" i="154"/>
  <c r="D330" i="154"/>
  <c r="J330" i="154"/>
  <c r="E330" i="154"/>
  <c r="K330" i="154"/>
  <c r="G330" i="154"/>
  <c r="C330" i="154"/>
  <c r="I331" i="154"/>
  <c r="D331" i="154"/>
  <c r="J331" i="154"/>
  <c r="E331" i="154"/>
  <c r="K331" i="154"/>
  <c r="G331" i="154"/>
  <c r="C331" i="154"/>
  <c r="I332" i="154"/>
  <c r="D332" i="154"/>
  <c r="J332" i="154"/>
  <c r="E332" i="154"/>
  <c r="K332" i="154"/>
  <c r="G332" i="154"/>
  <c r="C332" i="154"/>
  <c r="I333" i="154"/>
  <c r="D333" i="154"/>
  <c r="J333" i="154"/>
  <c r="E333" i="154"/>
  <c r="K333" i="154"/>
  <c r="G333" i="154"/>
  <c r="C333" i="154"/>
  <c r="I334" i="154"/>
  <c r="D334" i="154"/>
  <c r="J334" i="154"/>
  <c r="E334" i="154"/>
  <c r="K334" i="154"/>
  <c r="G334" i="154"/>
  <c r="C334" i="154"/>
  <c r="I335" i="154"/>
  <c r="D335" i="154"/>
  <c r="J335" i="154"/>
  <c r="E335" i="154"/>
  <c r="K335" i="154"/>
  <c r="G335" i="154"/>
  <c r="C335" i="154"/>
  <c r="I336" i="154"/>
  <c r="D336" i="154"/>
  <c r="J336" i="154"/>
  <c r="E336" i="154"/>
  <c r="K336" i="154"/>
  <c r="G336" i="154"/>
  <c r="C336" i="154"/>
  <c r="I337" i="154"/>
  <c r="D337" i="154"/>
  <c r="J337" i="154"/>
  <c r="E337" i="154"/>
  <c r="K337" i="154"/>
  <c r="G337" i="154"/>
  <c r="C337" i="154"/>
  <c r="I338" i="154"/>
  <c r="D338" i="154"/>
  <c r="J338" i="154"/>
  <c r="E338" i="154"/>
  <c r="K338" i="154"/>
  <c r="G338" i="154"/>
  <c r="C338" i="154"/>
  <c r="I339" i="154"/>
  <c r="D339" i="154"/>
  <c r="J339" i="154"/>
  <c r="E339" i="154"/>
  <c r="K339" i="154"/>
  <c r="G339" i="154"/>
  <c r="C339" i="154"/>
  <c r="I340" i="154"/>
  <c r="D340" i="154"/>
  <c r="J340" i="154"/>
  <c r="E340" i="154"/>
  <c r="K340" i="154"/>
  <c r="G340" i="154"/>
  <c r="C340" i="154"/>
  <c r="I341" i="154"/>
  <c r="D341" i="154"/>
  <c r="J341" i="154"/>
  <c r="E341" i="154"/>
  <c r="K341" i="154"/>
  <c r="G341" i="154"/>
  <c r="C341" i="154"/>
  <c r="F8" i="153"/>
  <c r="E8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7" i="153"/>
  <c r="E38" i="153"/>
  <c r="B38" i="153"/>
  <c r="B37" i="153"/>
  <c r="E35" i="153"/>
  <c r="B35" i="153"/>
  <c r="E36" i="153"/>
  <c r="B36" i="153"/>
  <c r="E34" i="153"/>
  <c r="B34" i="153"/>
  <c r="E39" i="153"/>
  <c r="B39" i="153"/>
  <c r="B32" i="153"/>
  <c r="E33" i="153"/>
  <c r="B33" i="153"/>
  <c r="E40" i="153"/>
  <c r="B40" i="153"/>
  <c r="E41" i="153"/>
  <c r="B41" i="153"/>
  <c r="F6" i="153"/>
  <c r="E6" i="153"/>
  <c r="E42" i="153"/>
  <c r="B42" i="153"/>
  <c r="E43" i="153"/>
  <c r="B43" i="153"/>
  <c r="E44" i="153"/>
  <c r="B44" i="153"/>
  <c r="C49" i="153"/>
  <c r="I2" i="82"/>
  <c r="J2" i="82"/>
  <c r="D2" i="82"/>
  <c r="E2" i="82"/>
  <c r="K2" i="82"/>
  <c r="G2" i="82"/>
  <c r="C2" i="82"/>
  <c r="I3" i="82"/>
  <c r="J3" i="82"/>
  <c r="D3" i="82"/>
  <c r="E3" i="82"/>
  <c r="K3" i="82"/>
  <c r="G3" i="82"/>
  <c r="C3" i="82"/>
  <c r="I4" i="82"/>
  <c r="J4" i="82"/>
  <c r="D4" i="82"/>
  <c r="E4" i="82"/>
  <c r="K4" i="82"/>
  <c r="G4" i="82"/>
  <c r="C4" i="82"/>
  <c r="I5" i="82"/>
  <c r="J5" i="82"/>
  <c r="D5" i="82"/>
  <c r="E5" i="82"/>
  <c r="K5" i="82"/>
  <c r="G5" i="82"/>
  <c r="C5" i="82"/>
  <c r="I6" i="82"/>
  <c r="J6" i="82"/>
  <c r="D6" i="82"/>
  <c r="E6" i="82"/>
  <c r="K6" i="82"/>
  <c r="G6" i="82"/>
  <c r="C6" i="82"/>
  <c r="I7" i="82"/>
  <c r="J7" i="82"/>
  <c r="D7" i="82"/>
  <c r="E7" i="82"/>
  <c r="K7" i="82"/>
  <c r="G7" i="82"/>
  <c r="C7" i="82"/>
  <c r="I8" i="82"/>
  <c r="J8" i="82"/>
  <c r="D8" i="82"/>
  <c r="E8" i="82"/>
  <c r="K8" i="82"/>
  <c r="G8" i="82"/>
  <c r="C8" i="82"/>
  <c r="I9" i="82"/>
  <c r="J9" i="82"/>
  <c r="D9" i="82"/>
  <c r="E9" i="82"/>
  <c r="K9" i="82"/>
  <c r="G9" i="82"/>
  <c r="C9" i="82"/>
  <c r="I10" i="82"/>
  <c r="J10" i="82"/>
  <c r="D10" i="82"/>
  <c r="E10" i="82"/>
  <c r="K10" i="82"/>
  <c r="G10" i="82"/>
  <c r="C10" i="82"/>
  <c r="I11" i="82"/>
  <c r="J11" i="82"/>
  <c r="D11" i="82"/>
  <c r="E11" i="82"/>
  <c r="K11" i="82"/>
  <c r="G11" i="82"/>
  <c r="C11" i="82"/>
  <c r="I12" i="82"/>
  <c r="J12" i="82"/>
  <c r="D12" i="82"/>
  <c r="E12" i="82"/>
  <c r="K12" i="82"/>
  <c r="G12" i="82"/>
  <c r="C12" i="82"/>
  <c r="I13" i="82"/>
  <c r="J13" i="82"/>
  <c r="D13" i="82"/>
  <c r="E13" i="82"/>
  <c r="K13" i="82"/>
  <c r="G13" i="82"/>
  <c r="C13" i="82"/>
  <c r="I14" i="82"/>
  <c r="J14" i="82"/>
  <c r="D14" i="82"/>
  <c r="E14" i="82"/>
  <c r="K14" i="82"/>
  <c r="G14" i="82"/>
  <c r="C14" i="82"/>
  <c r="I15" i="82"/>
  <c r="J15" i="82"/>
  <c r="D15" i="82"/>
  <c r="E15" i="82"/>
  <c r="K15" i="82"/>
  <c r="G15" i="82"/>
  <c r="C15" i="82"/>
  <c r="I16" i="82"/>
  <c r="J16" i="82"/>
  <c r="D16" i="82"/>
  <c r="E16" i="82"/>
  <c r="K16" i="82"/>
  <c r="G16" i="82"/>
  <c r="C16" i="82"/>
  <c r="I17" i="82"/>
  <c r="J17" i="82"/>
  <c r="D17" i="82"/>
  <c r="E17" i="82"/>
  <c r="K17" i="82"/>
  <c r="G17" i="82"/>
  <c r="C17" i="82"/>
  <c r="I18" i="82"/>
  <c r="J18" i="82"/>
  <c r="D18" i="82"/>
  <c r="E18" i="82"/>
  <c r="K18" i="82"/>
  <c r="G18" i="82"/>
  <c r="C18" i="82"/>
  <c r="I19" i="82"/>
  <c r="J19" i="82"/>
  <c r="D19" i="82"/>
  <c r="E19" i="82"/>
  <c r="K19" i="82"/>
  <c r="G19" i="82"/>
  <c r="C19" i="82"/>
  <c r="I20" i="82"/>
  <c r="J20" i="82"/>
  <c r="D20" i="82"/>
  <c r="E20" i="82"/>
  <c r="K20" i="82"/>
  <c r="G20" i="82"/>
  <c r="C20" i="82"/>
  <c r="I21" i="82"/>
  <c r="J21" i="82"/>
  <c r="D21" i="82"/>
  <c r="E21" i="82"/>
  <c r="K21" i="82"/>
  <c r="G21" i="82"/>
  <c r="C21" i="82"/>
  <c r="I22" i="82"/>
  <c r="J22" i="82"/>
  <c r="D22" i="82"/>
  <c r="E22" i="82"/>
  <c r="K22" i="82"/>
  <c r="G22" i="82"/>
  <c r="C22" i="82"/>
  <c r="I23" i="82"/>
  <c r="J23" i="82"/>
  <c r="D23" i="82"/>
  <c r="E23" i="82"/>
  <c r="K23" i="82"/>
  <c r="G23" i="82"/>
  <c r="C23" i="82"/>
  <c r="I24" i="82"/>
  <c r="J24" i="82"/>
  <c r="D24" i="82"/>
  <c r="E24" i="82"/>
  <c r="K24" i="82"/>
  <c r="G24" i="82"/>
  <c r="C24" i="82"/>
  <c r="I25" i="82"/>
  <c r="J25" i="82"/>
  <c r="D25" i="82"/>
  <c r="E25" i="82"/>
  <c r="K25" i="82"/>
  <c r="G25" i="82"/>
  <c r="C25" i="82"/>
  <c r="I26" i="82"/>
  <c r="J26" i="82"/>
  <c r="D26" i="82"/>
  <c r="E26" i="82"/>
  <c r="K26" i="82"/>
  <c r="G26" i="82"/>
  <c r="C26" i="82"/>
  <c r="I27" i="82"/>
  <c r="J27" i="82"/>
  <c r="D27" i="82"/>
  <c r="E27" i="82"/>
  <c r="K27" i="82"/>
  <c r="G27" i="82"/>
  <c r="C27" i="82"/>
  <c r="I28" i="82"/>
  <c r="J28" i="82"/>
  <c r="D28" i="82"/>
  <c r="E28" i="82"/>
  <c r="K28" i="82"/>
  <c r="G28" i="82"/>
  <c r="C28" i="82"/>
  <c r="I29" i="82"/>
  <c r="J29" i="82"/>
  <c r="D29" i="82"/>
  <c r="E29" i="82"/>
  <c r="K29" i="82"/>
  <c r="G29" i="82"/>
  <c r="C29" i="82"/>
  <c r="I30" i="82"/>
  <c r="J30" i="82"/>
  <c r="D30" i="82"/>
  <c r="E30" i="82"/>
  <c r="K30" i="82"/>
  <c r="G30" i="82"/>
  <c r="C30" i="82"/>
  <c r="I31" i="82"/>
  <c r="J31" i="82"/>
  <c r="D31" i="82"/>
  <c r="E31" i="82"/>
  <c r="K31" i="82"/>
  <c r="G31" i="82"/>
  <c r="C31" i="82"/>
  <c r="I32" i="82"/>
  <c r="J32" i="82"/>
  <c r="D32" i="82"/>
  <c r="E32" i="82"/>
  <c r="K32" i="82"/>
  <c r="G32" i="82"/>
  <c r="C32" i="82"/>
  <c r="I33" i="82"/>
  <c r="J33" i="82"/>
  <c r="D33" i="82"/>
  <c r="E33" i="82"/>
  <c r="K33" i="82"/>
  <c r="G33" i="82"/>
  <c r="C33" i="82"/>
  <c r="I34" i="82"/>
  <c r="J34" i="82"/>
  <c r="D34" i="82"/>
  <c r="E34" i="82"/>
  <c r="K34" i="82"/>
  <c r="G34" i="82"/>
  <c r="C34" i="82"/>
  <c r="I35" i="82"/>
  <c r="J35" i="82"/>
  <c r="D35" i="82"/>
  <c r="E35" i="82"/>
  <c r="K35" i="82"/>
  <c r="G35" i="82"/>
  <c r="C35" i="82"/>
  <c r="I36" i="82"/>
  <c r="J36" i="82"/>
  <c r="D36" i="82"/>
  <c r="E36" i="82"/>
  <c r="K36" i="82"/>
  <c r="G36" i="82"/>
  <c r="C36" i="82"/>
  <c r="I37" i="82"/>
  <c r="J37" i="82"/>
  <c r="D37" i="82"/>
  <c r="E37" i="82"/>
  <c r="K37" i="82"/>
  <c r="G37" i="82"/>
  <c r="C37" i="82"/>
  <c r="I38" i="82"/>
  <c r="J38" i="82"/>
  <c r="D38" i="82"/>
  <c r="E38" i="82"/>
  <c r="K38" i="82"/>
  <c r="G38" i="82"/>
  <c r="C38" i="82"/>
  <c r="I39" i="82"/>
  <c r="J39" i="82"/>
  <c r="D39" i="82"/>
  <c r="E39" i="82"/>
  <c r="K39" i="82"/>
  <c r="G39" i="82"/>
  <c r="C39" i="82"/>
  <c r="I40" i="82"/>
  <c r="J40" i="82"/>
  <c r="D40" i="82"/>
  <c r="E40" i="82"/>
  <c r="K40" i="82"/>
  <c r="G40" i="82"/>
  <c r="C40" i="82"/>
  <c r="I41" i="82"/>
  <c r="J41" i="82"/>
  <c r="D41" i="82"/>
  <c r="E41" i="82"/>
  <c r="K41" i="82"/>
  <c r="G41" i="82"/>
  <c r="C41" i="82"/>
  <c r="I42" i="82"/>
  <c r="D42" i="82"/>
  <c r="J42" i="82"/>
  <c r="E42" i="82"/>
  <c r="K42" i="82"/>
  <c r="G42" i="82"/>
  <c r="C42" i="82"/>
  <c r="I43" i="82"/>
  <c r="D43" i="82"/>
  <c r="J43" i="82"/>
  <c r="E43" i="82"/>
  <c r="K43" i="82"/>
  <c r="G43" i="82"/>
  <c r="C43" i="82"/>
  <c r="I44" i="82"/>
  <c r="D44" i="82"/>
  <c r="J44" i="82"/>
  <c r="E44" i="82"/>
  <c r="K44" i="82"/>
  <c r="G44" i="82"/>
  <c r="C44" i="82"/>
  <c r="I45" i="82"/>
  <c r="D45" i="82"/>
  <c r="J45" i="82"/>
  <c r="E45" i="82"/>
  <c r="K45" i="82"/>
  <c r="G45" i="82"/>
  <c r="C45" i="82"/>
  <c r="I46" i="82"/>
  <c r="D46" i="82"/>
  <c r="J46" i="82"/>
  <c r="E46" i="82"/>
  <c r="K46" i="82"/>
  <c r="G46" i="82"/>
  <c r="C46" i="82"/>
  <c r="I47" i="82"/>
  <c r="D47" i="82"/>
  <c r="J47" i="82"/>
  <c r="E47" i="82"/>
  <c r="K47" i="82"/>
  <c r="G47" i="82"/>
  <c r="C47" i="82"/>
  <c r="I48" i="82"/>
  <c r="D48" i="82"/>
  <c r="J48" i="82"/>
  <c r="E48" i="82"/>
  <c r="K48" i="82"/>
  <c r="G48" i="82"/>
  <c r="C48" i="82"/>
  <c r="I49" i="82"/>
  <c r="D49" i="82"/>
  <c r="J49" i="82"/>
  <c r="E49" i="82"/>
  <c r="K49" i="82"/>
  <c r="G49" i="82"/>
  <c r="C49" i="82"/>
  <c r="I50" i="82"/>
  <c r="D50" i="82"/>
  <c r="J50" i="82"/>
  <c r="E50" i="82"/>
  <c r="K50" i="82"/>
  <c r="G50" i="82"/>
  <c r="C50" i="82"/>
  <c r="I51" i="82"/>
  <c r="D51" i="82"/>
  <c r="J51" i="82"/>
  <c r="E51" i="82"/>
  <c r="K51" i="82"/>
  <c r="G51" i="82"/>
  <c r="C51" i="82"/>
  <c r="I52" i="82"/>
  <c r="D52" i="82"/>
  <c r="J52" i="82"/>
  <c r="E52" i="82"/>
  <c r="K52" i="82"/>
  <c r="G52" i="82"/>
  <c r="C52" i="82"/>
  <c r="I53" i="82"/>
  <c r="D53" i="82"/>
  <c r="J53" i="82"/>
  <c r="E53" i="82"/>
  <c r="K53" i="82"/>
  <c r="G53" i="82"/>
  <c r="C53" i="82"/>
  <c r="I54" i="82"/>
  <c r="D54" i="82"/>
  <c r="J54" i="82"/>
  <c r="E54" i="82"/>
  <c r="K54" i="82"/>
  <c r="G54" i="82"/>
  <c r="C54" i="82"/>
  <c r="I55" i="82"/>
  <c r="D55" i="82"/>
  <c r="J55" i="82"/>
  <c r="E55" i="82"/>
  <c r="K55" i="82"/>
  <c r="G55" i="82"/>
  <c r="C55" i="82"/>
  <c r="I56" i="82"/>
  <c r="D56" i="82"/>
  <c r="J56" i="82"/>
  <c r="E56" i="82"/>
  <c r="K56" i="82"/>
  <c r="G56" i="82"/>
  <c r="C56" i="82"/>
  <c r="I57" i="82"/>
  <c r="D57" i="82"/>
  <c r="J57" i="82"/>
  <c r="E57" i="82"/>
  <c r="K57" i="82"/>
  <c r="G57" i="82"/>
  <c r="C57" i="82"/>
  <c r="I58" i="82"/>
  <c r="D58" i="82"/>
  <c r="J58" i="82"/>
  <c r="E58" i="82"/>
  <c r="K58" i="82"/>
  <c r="G58" i="82"/>
  <c r="C58" i="82"/>
  <c r="I59" i="82"/>
  <c r="D59" i="82"/>
  <c r="J59" i="82"/>
  <c r="E59" i="82"/>
  <c r="K59" i="82"/>
  <c r="G59" i="82"/>
  <c r="C59" i="82"/>
  <c r="I60" i="82"/>
  <c r="D60" i="82"/>
  <c r="J60" i="82"/>
  <c r="E60" i="82"/>
  <c r="K60" i="82"/>
  <c r="G60" i="82"/>
  <c r="C60" i="82"/>
  <c r="I61" i="82"/>
  <c r="D61" i="82"/>
  <c r="J61" i="82"/>
  <c r="E61" i="82"/>
  <c r="K61" i="82"/>
  <c r="G61" i="82"/>
  <c r="C61" i="82"/>
  <c r="I62" i="82"/>
  <c r="D62" i="82"/>
  <c r="J62" i="82"/>
  <c r="E62" i="82"/>
  <c r="K62" i="82"/>
  <c r="G62" i="82"/>
  <c r="C62" i="82"/>
  <c r="I63" i="82"/>
  <c r="D63" i="82"/>
  <c r="J63" i="82"/>
  <c r="E63" i="82"/>
  <c r="K63" i="82"/>
  <c r="G63" i="82"/>
  <c r="C63" i="82"/>
  <c r="I64" i="82"/>
  <c r="D64" i="82"/>
  <c r="J64" i="82"/>
  <c r="E64" i="82"/>
  <c r="K64" i="82"/>
  <c r="G64" i="82"/>
  <c r="C64" i="82"/>
  <c r="I65" i="82"/>
  <c r="D65" i="82"/>
  <c r="J65" i="82"/>
  <c r="E65" i="82"/>
  <c r="K65" i="82"/>
  <c r="G65" i="82"/>
  <c r="C65" i="82"/>
  <c r="I66" i="82"/>
  <c r="D66" i="82"/>
  <c r="J66" i="82"/>
  <c r="E66" i="82"/>
  <c r="K66" i="82"/>
  <c r="G66" i="82"/>
  <c r="C66" i="82"/>
  <c r="I67" i="82"/>
  <c r="D67" i="82"/>
  <c r="J67" i="82"/>
  <c r="E67" i="82"/>
  <c r="K67" i="82"/>
  <c r="G67" i="82"/>
  <c r="C67" i="82"/>
  <c r="I68" i="82"/>
  <c r="D68" i="82"/>
  <c r="J68" i="82"/>
  <c r="E68" i="82"/>
  <c r="K68" i="82"/>
  <c r="G68" i="82"/>
  <c r="C68" i="82"/>
  <c r="I69" i="82"/>
  <c r="D69" i="82"/>
  <c r="J69" i="82"/>
  <c r="E69" i="82"/>
  <c r="K69" i="82"/>
  <c r="G69" i="82"/>
  <c r="C69" i="82"/>
  <c r="I70" i="82"/>
  <c r="D70" i="82"/>
  <c r="J70" i="82"/>
  <c r="E70" i="82"/>
  <c r="K70" i="82"/>
  <c r="G70" i="82"/>
  <c r="C70" i="82"/>
  <c r="I71" i="82"/>
  <c r="D71" i="82"/>
  <c r="J71" i="82"/>
  <c r="E71" i="82"/>
  <c r="K71" i="82"/>
  <c r="G71" i="82"/>
  <c r="C71" i="82"/>
  <c r="I72" i="82"/>
  <c r="D72" i="82"/>
  <c r="J72" i="82"/>
  <c r="E72" i="82"/>
  <c r="K72" i="82"/>
  <c r="G72" i="82"/>
  <c r="C72" i="82"/>
  <c r="I73" i="82"/>
  <c r="D73" i="82"/>
  <c r="J73" i="82"/>
  <c r="E73" i="82"/>
  <c r="K73" i="82"/>
  <c r="G73" i="82"/>
  <c r="C73" i="82"/>
  <c r="I74" i="82"/>
  <c r="D74" i="82"/>
  <c r="J74" i="82"/>
  <c r="E74" i="82"/>
  <c r="K74" i="82"/>
  <c r="G74" i="82"/>
  <c r="C74" i="82"/>
  <c r="I75" i="82"/>
  <c r="D75" i="82"/>
  <c r="J75" i="82"/>
  <c r="E75" i="82"/>
  <c r="K75" i="82"/>
  <c r="G75" i="82"/>
  <c r="C75" i="82"/>
  <c r="I76" i="82"/>
  <c r="D76" i="82"/>
  <c r="J76" i="82"/>
  <c r="E76" i="82"/>
  <c r="K76" i="82"/>
  <c r="G76" i="82"/>
  <c r="C76" i="82"/>
  <c r="I77" i="82"/>
  <c r="D77" i="82"/>
  <c r="J77" i="82"/>
  <c r="E77" i="82"/>
  <c r="K77" i="82"/>
  <c r="G77" i="82"/>
  <c r="C77" i="82"/>
  <c r="I78" i="82"/>
  <c r="D78" i="82"/>
  <c r="J78" i="82"/>
  <c r="E78" i="82"/>
  <c r="K78" i="82"/>
  <c r="G78" i="82"/>
  <c r="C78" i="82"/>
  <c r="I79" i="82"/>
  <c r="D79" i="82"/>
  <c r="J79" i="82"/>
  <c r="E79" i="82"/>
  <c r="K79" i="82"/>
  <c r="G79" i="82"/>
  <c r="C79" i="82"/>
  <c r="I80" i="82"/>
  <c r="D80" i="82"/>
  <c r="J80" i="82"/>
  <c r="E80" i="82"/>
  <c r="K80" i="82"/>
  <c r="G80" i="82"/>
  <c r="C80" i="82"/>
  <c r="I81" i="82"/>
  <c r="D81" i="82"/>
  <c r="J81" i="82"/>
  <c r="E81" i="82"/>
  <c r="K81" i="82"/>
  <c r="G81" i="82"/>
  <c r="C81" i="82"/>
  <c r="I82" i="82"/>
  <c r="D82" i="82"/>
  <c r="J82" i="82"/>
  <c r="E82" i="82"/>
  <c r="K82" i="82"/>
  <c r="G82" i="82"/>
  <c r="C82" i="82"/>
  <c r="I83" i="82"/>
  <c r="D83" i="82"/>
  <c r="J83" i="82"/>
  <c r="E83" i="82"/>
  <c r="K83" i="82"/>
  <c r="G83" i="82"/>
  <c r="C83" i="82"/>
  <c r="I84" i="82"/>
  <c r="D84" i="82"/>
  <c r="J84" i="82"/>
  <c r="E84" i="82"/>
  <c r="K84" i="82"/>
  <c r="G84" i="82"/>
  <c r="C84" i="82"/>
  <c r="I85" i="82"/>
  <c r="D85" i="82"/>
  <c r="J85" i="82"/>
  <c r="E85" i="82"/>
  <c r="K85" i="82"/>
  <c r="G85" i="82"/>
  <c r="C85" i="82"/>
  <c r="I86" i="82"/>
  <c r="D86" i="82"/>
  <c r="J86" i="82"/>
  <c r="E86" i="82"/>
  <c r="K86" i="82"/>
  <c r="G86" i="82"/>
  <c r="C86" i="82"/>
  <c r="I87" i="82"/>
  <c r="D87" i="82"/>
  <c r="J87" i="82"/>
  <c r="E87" i="82"/>
  <c r="K87" i="82"/>
  <c r="G87" i="82"/>
  <c r="C87" i="82"/>
  <c r="I88" i="82"/>
  <c r="D88" i="82"/>
  <c r="J88" i="82"/>
  <c r="E88" i="82"/>
  <c r="K88" i="82"/>
  <c r="G88" i="82"/>
  <c r="C88" i="82"/>
  <c r="I89" i="82"/>
  <c r="D89" i="82"/>
  <c r="J89" i="82"/>
  <c r="E89" i="82"/>
  <c r="K89" i="82"/>
  <c r="G89" i="82"/>
  <c r="C89" i="82"/>
  <c r="I90" i="82"/>
  <c r="D90" i="82"/>
  <c r="J90" i="82"/>
  <c r="E90" i="82"/>
  <c r="K90" i="82"/>
  <c r="G90" i="82"/>
  <c r="C90" i="82"/>
  <c r="I91" i="82"/>
  <c r="D91" i="82"/>
  <c r="J91" i="82"/>
  <c r="E91" i="82"/>
  <c r="K91" i="82"/>
  <c r="G91" i="82"/>
  <c r="C91" i="82"/>
  <c r="I92" i="82"/>
  <c r="D92" i="82"/>
  <c r="J92" i="82"/>
  <c r="E92" i="82"/>
  <c r="K92" i="82"/>
  <c r="G92" i="82"/>
  <c r="C92" i="82"/>
  <c r="I93" i="82"/>
  <c r="D93" i="82"/>
  <c r="J93" i="82"/>
  <c r="E93" i="82"/>
  <c r="K93" i="82"/>
  <c r="G93" i="82"/>
  <c r="C93" i="82"/>
  <c r="I94" i="82"/>
  <c r="D94" i="82"/>
  <c r="J94" i="82"/>
  <c r="E94" i="82"/>
  <c r="K94" i="82"/>
  <c r="G94" i="82"/>
  <c r="C94" i="82"/>
  <c r="I95" i="82"/>
  <c r="D95" i="82"/>
  <c r="J95" i="82"/>
  <c r="E95" i="82"/>
  <c r="K95" i="82"/>
  <c r="G95" i="82"/>
  <c r="C95" i="82"/>
  <c r="I96" i="82"/>
  <c r="D96" i="82"/>
  <c r="J96" i="82"/>
  <c r="E96" i="82"/>
  <c r="K96" i="82"/>
  <c r="G96" i="82"/>
  <c r="C96" i="82"/>
  <c r="I97" i="82"/>
  <c r="D97" i="82"/>
  <c r="J97" i="82"/>
  <c r="E97" i="82"/>
  <c r="K97" i="82"/>
  <c r="G97" i="82"/>
  <c r="C97" i="82"/>
  <c r="I98" i="82"/>
  <c r="D98" i="82"/>
  <c r="J98" i="82"/>
  <c r="E98" i="82"/>
  <c r="K98" i="82"/>
  <c r="G98" i="82"/>
  <c r="C98" i="82"/>
  <c r="I99" i="82"/>
  <c r="D99" i="82"/>
  <c r="J99" i="82"/>
  <c r="E99" i="82"/>
  <c r="K99" i="82"/>
  <c r="G99" i="82"/>
  <c r="C99" i="82"/>
  <c r="I100" i="82"/>
  <c r="D100" i="82"/>
  <c r="J100" i="82"/>
  <c r="E100" i="82"/>
  <c r="K100" i="82"/>
  <c r="G100" i="82"/>
  <c r="C100" i="82"/>
  <c r="I101" i="82"/>
  <c r="D101" i="82"/>
  <c r="J101" i="82"/>
  <c r="E101" i="82"/>
  <c r="K101" i="82"/>
  <c r="G101" i="82"/>
  <c r="C101" i="82"/>
  <c r="I102" i="82"/>
  <c r="D102" i="82"/>
  <c r="J102" i="82"/>
  <c r="E102" i="82"/>
  <c r="K102" i="82"/>
  <c r="G102" i="82"/>
  <c r="C102" i="82"/>
  <c r="I103" i="82"/>
  <c r="D103" i="82"/>
  <c r="J103" i="82"/>
  <c r="E103" i="82"/>
  <c r="K103" i="82"/>
  <c r="G103" i="82"/>
  <c r="C103" i="82"/>
  <c r="I104" i="82"/>
  <c r="D104" i="82"/>
  <c r="J104" i="82"/>
  <c r="E104" i="82"/>
  <c r="K104" i="82"/>
  <c r="G104" i="82"/>
  <c r="C104" i="82"/>
  <c r="I105" i="82"/>
  <c r="D105" i="82"/>
  <c r="J105" i="82"/>
  <c r="E105" i="82"/>
  <c r="K105" i="82"/>
  <c r="G105" i="82"/>
  <c r="C105" i="82"/>
  <c r="I106" i="82"/>
  <c r="D106" i="82"/>
  <c r="J106" i="82"/>
  <c r="E106" i="82"/>
  <c r="K106" i="82"/>
  <c r="G106" i="82"/>
  <c r="C106" i="82"/>
  <c r="I107" i="82"/>
  <c r="D107" i="82"/>
  <c r="J107" i="82"/>
  <c r="E107" i="82"/>
  <c r="K107" i="82"/>
  <c r="G107" i="82"/>
  <c r="C107" i="82"/>
  <c r="I108" i="82"/>
  <c r="D108" i="82"/>
  <c r="J108" i="82"/>
  <c r="E108" i="82"/>
  <c r="K108" i="82"/>
  <c r="G108" i="82"/>
  <c r="C108" i="82"/>
  <c r="I109" i="82"/>
  <c r="D109" i="82"/>
  <c r="J109" i="82"/>
  <c r="E109" i="82"/>
  <c r="K109" i="82"/>
  <c r="G109" i="82"/>
  <c r="C109" i="82"/>
  <c r="I110" i="82"/>
  <c r="D110" i="82"/>
  <c r="J110" i="82"/>
  <c r="E110" i="82"/>
  <c r="K110" i="82"/>
  <c r="G110" i="82"/>
  <c r="C110" i="82"/>
  <c r="I111" i="82"/>
  <c r="D111" i="82"/>
  <c r="J111" i="82"/>
  <c r="E111" i="82"/>
  <c r="K111" i="82"/>
  <c r="G111" i="82"/>
  <c r="C111" i="82"/>
  <c r="I112" i="82"/>
  <c r="D112" i="82"/>
  <c r="J112" i="82"/>
  <c r="E112" i="82"/>
  <c r="K112" i="82"/>
  <c r="G112" i="82"/>
  <c r="C112" i="82"/>
  <c r="I113" i="82"/>
  <c r="D113" i="82"/>
  <c r="J113" i="82"/>
  <c r="E113" i="82"/>
  <c r="K113" i="82"/>
  <c r="G113" i="82"/>
  <c r="C113" i="82"/>
  <c r="I114" i="82"/>
  <c r="D114" i="82"/>
  <c r="J114" i="82"/>
  <c r="E114" i="82"/>
  <c r="K114" i="82"/>
  <c r="G114" i="82"/>
  <c r="C114" i="82"/>
  <c r="I115" i="82"/>
  <c r="D115" i="82"/>
  <c r="J115" i="82"/>
  <c r="E115" i="82"/>
  <c r="K115" i="82"/>
  <c r="G115" i="82"/>
  <c r="C115" i="82"/>
  <c r="I116" i="82"/>
  <c r="D116" i="82"/>
  <c r="J116" i="82"/>
  <c r="E116" i="82"/>
  <c r="K116" i="82"/>
  <c r="G116" i="82"/>
  <c r="C116" i="82"/>
  <c r="I117" i="82"/>
  <c r="D117" i="82"/>
  <c r="J117" i="82"/>
  <c r="E117" i="82"/>
  <c r="K117" i="82"/>
  <c r="G117" i="82"/>
  <c r="C117" i="82"/>
  <c r="I118" i="82"/>
  <c r="D118" i="82"/>
  <c r="J118" i="82"/>
  <c r="E118" i="82"/>
  <c r="K118" i="82"/>
  <c r="G118" i="82"/>
  <c r="C118" i="82"/>
  <c r="I119" i="82"/>
  <c r="D119" i="82"/>
  <c r="J119" i="82"/>
  <c r="E119" i="82"/>
  <c r="K119" i="82"/>
  <c r="G119" i="82"/>
  <c r="C119" i="82"/>
  <c r="I120" i="82"/>
  <c r="D120" i="82"/>
  <c r="J120" i="82"/>
  <c r="E120" i="82"/>
  <c r="K120" i="82"/>
  <c r="G120" i="82"/>
  <c r="C120" i="82"/>
  <c r="I121" i="82"/>
  <c r="D121" i="82"/>
  <c r="J121" i="82"/>
  <c r="E121" i="82"/>
  <c r="K121" i="82"/>
  <c r="G121" i="82"/>
  <c r="C121" i="82"/>
  <c r="I122" i="82"/>
  <c r="D122" i="82"/>
  <c r="J122" i="82"/>
  <c r="E122" i="82"/>
  <c r="K122" i="82"/>
  <c r="G122" i="82"/>
  <c r="C122" i="82"/>
  <c r="I123" i="82"/>
  <c r="D123" i="82"/>
  <c r="J123" i="82"/>
  <c r="E123" i="82"/>
  <c r="K123" i="82"/>
  <c r="G123" i="82"/>
  <c r="C123" i="82"/>
  <c r="I124" i="82"/>
  <c r="D124" i="82"/>
  <c r="J124" i="82"/>
  <c r="E124" i="82"/>
  <c r="K124" i="82"/>
  <c r="G124" i="82"/>
  <c r="C124" i="82"/>
  <c r="I125" i="82"/>
  <c r="D125" i="82"/>
  <c r="J125" i="82"/>
  <c r="E125" i="82"/>
  <c r="K125" i="82"/>
  <c r="G125" i="82"/>
  <c r="C125" i="82"/>
  <c r="I126" i="82"/>
  <c r="D126" i="82"/>
  <c r="J126" i="82"/>
  <c r="E126" i="82"/>
  <c r="K126" i="82"/>
  <c r="G126" i="82"/>
  <c r="C126" i="82"/>
  <c r="I127" i="82"/>
  <c r="D127" i="82"/>
  <c r="J127" i="82"/>
  <c r="E127" i="82"/>
  <c r="K127" i="82"/>
  <c r="G127" i="82"/>
  <c r="C127" i="82"/>
  <c r="I128" i="82"/>
  <c r="D128" i="82"/>
  <c r="J128" i="82"/>
  <c r="E128" i="82"/>
  <c r="K128" i="82"/>
  <c r="G128" i="82"/>
  <c r="C128" i="82"/>
  <c r="I129" i="82"/>
  <c r="D129" i="82"/>
  <c r="J129" i="82"/>
  <c r="E129" i="82"/>
  <c r="K129" i="82"/>
  <c r="G129" i="82"/>
  <c r="C129" i="82"/>
  <c r="I130" i="82"/>
  <c r="D130" i="82"/>
  <c r="J130" i="82"/>
  <c r="E130" i="82"/>
  <c r="K130" i="82"/>
  <c r="G130" i="82"/>
  <c r="C130" i="82"/>
  <c r="I131" i="82"/>
  <c r="D131" i="82"/>
  <c r="J131" i="82"/>
  <c r="E131" i="82"/>
  <c r="K131" i="82"/>
  <c r="G131" i="82"/>
  <c r="C131" i="82"/>
  <c r="I132" i="82"/>
  <c r="D132" i="82"/>
  <c r="J132" i="82"/>
  <c r="E132" i="82"/>
  <c r="K132" i="82"/>
  <c r="G132" i="82"/>
  <c r="C132" i="82"/>
  <c r="I133" i="82"/>
  <c r="D133" i="82"/>
  <c r="J133" i="82"/>
  <c r="E133" i="82"/>
  <c r="K133" i="82"/>
  <c r="G133" i="82"/>
  <c r="C133" i="82"/>
  <c r="I134" i="82"/>
  <c r="D134" i="82"/>
  <c r="J134" i="82"/>
  <c r="E134" i="82"/>
  <c r="K134" i="82"/>
  <c r="G134" i="82"/>
  <c r="C134" i="82"/>
  <c r="I135" i="82"/>
  <c r="D135" i="82"/>
  <c r="J135" i="82"/>
  <c r="E135" i="82"/>
  <c r="K135" i="82"/>
  <c r="G135" i="82"/>
  <c r="C135" i="82"/>
  <c r="I136" i="82"/>
  <c r="D136" i="82"/>
  <c r="J136" i="82"/>
  <c r="E136" i="82"/>
  <c r="K136" i="82"/>
  <c r="G136" i="82"/>
  <c r="C136" i="82"/>
  <c r="I137" i="82"/>
  <c r="D137" i="82"/>
  <c r="J137" i="82"/>
  <c r="E137" i="82"/>
  <c r="K137" i="82"/>
  <c r="G137" i="82"/>
  <c r="C137" i="82"/>
  <c r="I138" i="82"/>
  <c r="D138" i="82"/>
  <c r="J138" i="82"/>
  <c r="E138" i="82"/>
  <c r="K138" i="82"/>
  <c r="G138" i="82"/>
  <c r="C138" i="82"/>
  <c r="I139" i="82"/>
  <c r="D139" i="82"/>
  <c r="J139" i="82"/>
  <c r="E139" i="82"/>
  <c r="K139" i="82"/>
  <c r="G139" i="82"/>
  <c r="C139" i="82"/>
  <c r="I140" i="82"/>
  <c r="D140" i="82"/>
  <c r="J140" i="82"/>
  <c r="E140" i="82"/>
  <c r="K140" i="82"/>
  <c r="G140" i="82"/>
  <c r="C140" i="82"/>
  <c r="I141" i="82"/>
  <c r="D141" i="82"/>
  <c r="J141" i="82"/>
  <c r="E141" i="82"/>
  <c r="K141" i="82"/>
  <c r="G141" i="82"/>
  <c r="C141" i="82"/>
  <c r="I142" i="82"/>
  <c r="D142" i="82"/>
  <c r="J142" i="82"/>
  <c r="E142" i="82"/>
  <c r="K142" i="82"/>
  <c r="G142" i="82"/>
  <c r="C142" i="82"/>
  <c r="I143" i="82"/>
  <c r="D143" i="82"/>
  <c r="J143" i="82"/>
  <c r="E143" i="82"/>
  <c r="K143" i="82"/>
  <c r="G143" i="82"/>
  <c r="C143" i="82"/>
  <c r="I144" i="82"/>
  <c r="D144" i="82"/>
  <c r="J144" i="82"/>
  <c r="E144" i="82"/>
  <c r="K144" i="82"/>
  <c r="G144" i="82"/>
  <c r="C144" i="82"/>
  <c r="I145" i="82"/>
  <c r="D145" i="82"/>
  <c r="J145" i="82"/>
  <c r="E145" i="82"/>
  <c r="K145" i="82"/>
  <c r="G145" i="82"/>
  <c r="C145" i="82"/>
  <c r="I146" i="82"/>
  <c r="D146" i="82"/>
  <c r="J146" i="82"/>
  <c r="E146" i="82"/>
  <c r="K146" i="82"/>
  <c r="G146" i="82"/>
  <c r="C146" i="82"/>
  <c r="I147" i="82"/>
  <c r="D147" i="82"/>
  <c r="J147" i="82"/>
  <c r="E147" i="82"/>
  <c r="K147" i="82"/>
  <c r="G147" i="82"/>
  <c r="C147" i="82"/>
  <c r="I148" i="82"/>
  <c r="D148" i="82"/>
  <c r="J148" i="82"/>
  <c r="E148" i="82"/>
  <c r="K148" i="82"/>
  <c r="G148" i="82"/>
  <c r="C148" i="82"/>
  <c r="I149" i="82"/>
  <c r="D149" i="82"/>
  <c r="J149" i="82"/>
  <c r="E149" i="82"/>
  <c r="K149" i="82"/>
  <c r="G149" i="82"/>
  <c r="C149" i="82"/>
  <c r="I150" i="82"/>
  <c r="D150" i="82"/>
  <c r="J150" i="82"/>
  <c r="E150" i="82"/>
  <c r="K150" i="82"/>
  <c r="G150" i="82"/>
  <c r="C150" i="82"/>
  <c r="I151" i="82"/>
  <c r="D151" i="82"/>
  <c r="J151" i="82"/>
  <c r="E151" i="82"/>
  <c r="K151" i="82"/>
  <c r="G151" i="82"/>
  <c r="C151" i="82"/>
  <c r="I152" i="82"/>
  <c r="D152" i="82"/>
  <c r="J152" i="82"/>
  <c r="E152" i="82"/>
  <c r="K152" i="82"/>
  <c r="G152" i="82"/>
  <c r="C152" i="82"/>
  <c r="I153" i="82"/>
  <c r="D153" i="82"/>
  <c r="J153" i="82"/>
  <c r="E153" i="82"/>
  <c r="K153" i="82"/>
  <c r="G153" i="82"/>
  <c r="C153" i="82"/>
  <c r="I154" i="82"/>
  <c r="D154" i="82"/>
  <c r="J154" i="82"/>
  <c r="E154" i="82"/>
  <c r="K154" i="82"/>
  <c r="G154" i="82"/>
  <c r="C154" i="82"/>
  <c r="I155" i="82"/>
  <c r="D155" i="82"/>
  <c r="J155" i="82"/>
  <c r="E155" i="82"/>
  <c r="K155" i="82"/>
  <c r="G155" i="82"/>
  <c r="C155" i="82"/>
  <c r="I156" i="82"/>
  <c r="D156" i="82"/>
  <c r="J156" i="82"/>
  <c r="E156" i="82"/>
  <c r="K156" i="82"/>
  <c r="G156" i="82"/>
  <c r="C156" i="82"/>
  <c r="I157" i="82"/>
  <c r="D157" i="82"/>
  <c r="J157" i="82"/>
  <c r="E157" i="82"/>
  <c r="K157" i="82"/>
  <c r="G157" i="82"/>
  <c r="C157" i="82"/>
  <c r="I158" i="82"/>
  <c r="D158" i="82"/>
  <c r="J158" i="82"/>
  <c r="E158" i="82"/>
  <c r="K158" i="82"/>
  <c r="G158" i="82"/>
  <c r="C158" i="82"/>
  <c r="I159" i="82"/>
  <c r="D159" i="82"/>
  <c r="J159" i="82"/>
  <c r="E159" i="82"/>
  <c r="K159" i="82"/>
  <c r="G159" i="82"/>
  <c r="C159" i="82"/>
  <c r="I160" i="82"/>
  <c r="D160" i="82"/>
  <c r="J160" i="82"/>
  <c r="E160" i="82"/>
  <c r="K160" i="82"/>
  <c r="G160" i="82"/>
  <c r="C160" i="82"/>
  <c r="I161" i="82"/>
  <c r="D161" i="82"/>
  <c r="J161" i="82"/>
  <c r="E161" i="82"/>
  <c r="K161" i="82"/>
  <c r="G161" i="82"/>
  <c r="C161" i="82"/>
  <c r="I162" i="82"/>
  <c r="D162" i="82"/>
  <c r="J162" i="82"/>
  <c r="E162" i="82"/>
  <c r="K162" i="82"/>
  <c r="G162" i="82"/>
  <c r="C162" i="82"/>
  <c r="I163" i="82"/>
  <c r="D163" i="82"/>
  <c r="J163" i="82"/>
  <c r="E163" i="82"/>
  <c r="K163" i="82"/>
  <c r="G163" i="82"/>
  <c r="C163" i="82"/>
  <c r="I164" i="82"/>
  <c r="D164" i="82"/>
  <c r="J164" i="82"/>
  <c r="E164" i="82"/>
  <c r="K164" i="82"/>
  <c r="G164" i="82"/>
  <c r="C164" i="82"/>
  <c r="I165" i="82"/>
  <c r="D165" i="82"/>
  <c r="J165" i="82"/>
  <c r="E165" i="82"/>
  <c r="K165" i="82"/>
  <c r="G165" i="82"/>
  <c r="C165" i="82"/>
  <c r="I166" i="82"/>
  <c r="D166" i="82"/>
  <c r="J166" i="82"/>
  <c r="E166" i="82"/>
  <c r="K166" i="82"/>
  <c r="G166" i="82"/>
  <c r="C166" i="82"/>
  <c r="I167" i="82"/>
  <c r="D167" i="82"/>
  <c r="J167" i="82"/>
  <c r="E167" i="82"/>
  <c r="K167" i="82"/>
  <c r="G167" i="82"/>
  <c r="C167" i="82"/>
  <c r="I168" i="82"/>
  <c r="D168" i="82"/>
  <c r="J168" i="82"/>
  <c r="E168" i="82"/>
  <c r="K168" i="82"/>
  <c r="G168" i="82"/>
  <c r="C168" i="82"/>
  <c r="I169" i="82"/>
  <c r="D169" i="82"/>
  <c r="J169" i="82"/>
  <c r="E169" i="82"/>
  <c r="K169" i="82"/>
  <c r="G169" i="82"/>
  <c r="C169" i="82"/>
  <c r="I170" i="82"/>
  <c r="D170" i="82"/>
  <c r="J170" i="82"/>
  <c r="E170" i="82"/>
  <c r="K170" i="82"/>
  <c r="G170" i="82"/>
  <c r="C170" i="82"/>
  <c r="I171" i="82"/>
  <c r="D171" i="82"/>
  <c r="J171" i="82"/>
  <c r="E171" i="82"/>
  <c r="K171" i="82"/>
  <c r="G171" i="82"/>
  <c r="C171" i="82"/>
  <c r="I172" i="82"/>
  <c r="D172" i="82"/>
  <c r="J172" i="82"/>
  <c r="E172" i="82"/>
  <c r="K172" i="82"/>
  <c r="G172" i="82"/>
  <c r="C172" i="82"/>
  <c r="I173" i="82"/>
  <c r="D173" i="82"/>
  <c r="J173" i="82"/>
  <c r="E173" i="82"/>
  <c r="K173" i="82"/>
  <c r="G173" i="82"/>
  <c r="C173" i="82"/>
  <c r="I174" i="82"/>
  <c r="D174" i="82"/>
  <c r="J174" i="82"/>
  <c r="E174" i="82"/>
  <c r="K174" i="82"/>
  <c r="G174" i="82"/>
  <c r="C174" i="82"/>
  <c r="I175" i="82"/>
  <c r="D175" i="82"/>
  <c r="J175" i="82"/>
  <c r="E175" i="82"/>
  <c r="K175" i="82"/>
  <c r="G175" i="82"/>
  <c r="C175" i="82"/>
  <c r="I176" i="82"/>
  <c r="D176" i="82"/>
  <c r="J176" i="82"/>
  <c r="E176" i="82"/>
  <c r="K176" i="82"/>
  <c r="G176" i="82"/>
  <c r="C176" i="82"/>
  <c r="I177" i="82"/>
  <c r="D177" i="82"/>
  <c r="J177" i="82"/>
  <c r="E177" i="82"/>
  <c r="K177" i="82"/>
  <c r="G177" i="82"/>
  <c r="C177" i="82"/>
  <c r="I178" i="82"/>
  <c r="D178" i="82"/>
  <c r="J178" i="82"/>
  <c r="E178" i="82"/>
  <c r="K178" i="82"/>
  <c r="G178" i="82"/>
  <c r="C178" i="82"/>
  <c r="I179" i="82"/>
  <c r="D179" i="82"/>
  <c r="J179" i="82"/>
  <c r="E179" i="82"/>
  <c r="K179" i="82"/>
  <c r="G179" i="82"/>
  <c r="C179" i="82"/>
  <c r="I180" i="82"/>
  <c r="D180" i="82"/>
  <c r="J180" i="82"/>
  <c r="E180" i="82"/>
  <c r="K180" i="82"/>
  <c r="G180" i="82"/>
  <c r="C180" i="82"/>
  <c r="I181" i="82"/>
  <c r="D181" i="82"/>
  <c r="J181" i="82"/>
  <c r="E181" i="82"/>
  <c r="K181" i="82"/>
  <c r="G181" i="82"/>
  <c r="C181" i="82"/>
  <c r="I182" i="82"/>
  <c r="D182" i="82"/>
  <c r="J182" i="82"/>
  <c r="E182" i="82"/>
  <c r="K182" i="82"/>
  <c r="G182" i="82"/>
  <c r="C182" i="82"/>
  <c r="I183" i="82"/>
  <c r="D183" i="82"/>
  <c r="J183" i="82"/>
  <c r="E183" i="82"/>
  <c r="K183" i="82"/>
  <c r="G183" i="82"/>
  <c r="C183" i="82"/>
  <c r="I184" i="82"/>
  <c r="D184" i="82"/>
  <c r="J184" i="82"/>
  <c r="E184" i="82"/>
  <c r="K184" i="82"/>
  <c r="G184" i="82"/>
  <c r="C184" i="82"/>
  <c r="I185" i="82"/>
  <c r="D185" i="82"/>
  <c r="J185" i="82"/>
  <c r="E185" i="82"/>
  <c r="K185" i="82"/>
  <c r="G185" i="82"/>
  <c r="C185" i="82"/>
  <c r="I186" i="82"/>
  <c r="D186" i="82"/>
  <c r="J186" i="82"/>
  <c r="E186" i="82"/>
  <c r="K186" i="82"/>
  <c r="G186" i="82"/>
  <c r="C186" i="82"/>
  <c r="I187" i="82"/>
  <c r="D187" i="82"/>
  <c r="J187" i="82"/>
  <c r="E187" i="82"/>
  <c r="K187" i="82"/>
  <c r="G187" i="82"/>
  <c r="C187" i="82"/>
  <c r="I188" i="82"/>
  <c r="D188" i="82"/>
  <c r="J188" i="82"/>
  <c r="E188" i="82"/>
  <c r="K188" i="82"/>
  <c r="G188" i="82"/>
  <c r="C188" i="82"/>
  <c r="I189" i="82"/>
  <c r="D189" i="82"/>
  <c r="J189" i="82"/>
  <c r="E189" i="82"/>
  <c r="K189" i="82"/>
  <c r="G189" i="82"/>
  <c r="C189" i="82"/>
  <c r="I190" i="82"/>
  <c r="D190" i="82"/>
  <c r="J190" i="82"/>
  <c r="E190" i="82"/>
  <c r="K190" i="82"/>
  <c r="G190" i="82"/>
  <c r="C190" i="82"/>
  <c r="I191" i="82"/>
  <c r="D191" i="82"/>
  <c r="J191" i="82"/>
  <c r="E191" i="82"/>
  <c r="K191" i="82"/>
  <c r="G191" i="82"/>
  <c r="C191" i="82"/>
  <c r="I192" i="82"/>
  <c r="D192" i="82"/>
  <c r="J192" i="82"/>
  <c r="E192" i="82"/>
  <c r="K192" i="82"/>
  <c r="G192" i="82"/>
  <c r="C192" i="82"/>
  <c r="I193" i="82"/>
  <c r="D193" i="82"/>
  <c r="J193" i="82"/>
  <c r="E193" i="82"/>
  <c r="K193" i="82"/>
  <c r="G193" i="82"/>
  <c r="C193" i="82"/>
  <c r="I194" i="82"/>
  <c r="D194" i="82"/>
  <c r="J194" i="82"/>
  <c r="E194" i="82"/>
  <c r="K194" i="82"/>
  <c r="G194" i="82"/>
  <c r="C194" i="82"/>
  <c r="I195" i="82"/>
  <c r="D195" i="82"/>
  <c r="J195" i="82"/>
  <c r="E195" i="82"/>
  <c r="K195" i="82"/>
  <c r="G195" i="82"/>
  <c r="C195" i="82"/>
  <c r="I196" i="82"/>
  <c r="D196" i="82"/>
  <c r="J196" i="82"/>
  <c r="E196" i="82"/>
  <c r="K196" i="82"/>
  <c r="G196" i="82"/>
  <c r="C196" i="82"/>
  <c r="I197" i="82"/>
  <c r="D197" i="82"/>
  <c r="J197" i="82"/>
  <c r="E197" i="82"/>
  <c r="K197" i="82"/>
  <c r="G197" i="82"/>
  <c r="C197" i="82"/>
  <c r="I198" i="82"/>
  <c r="D198" i="82"/>
  <c r="J198" i="82"/>
  <c r="E198" i="82"/>
  <c r="K198" i="82"/>
  <c r="G198" i="82"/>
  <c r="C198" i="82"/>
  <c r="I199" i="82"/>
  <c r="D199" i="82"/>
  <c r="J199" i="82"/>
  <c r="E199" i="82"/>
  <c r="K199" i="82"/>
  <c r="G199" i="82"/>
  <c r="C199" i="82"/>
  <c r="I200" i="82"/>
  <c r="D200" i="82"/>
  <c r="J200" i="82"/>
  <c r="E200" i="82"/>
  <c r="K200" i="82"/>
  <c r="G200" i="82"/>
  <c r="C200" i="82"/>
  <c r="I201" i="82"/>
  <c r="D201" i="82"/>
  <c r="J201" i="82"/>
  <c r="E201" i="82"/>
  <c r="K201" i="82"/>
  <c r="G201" i="82"/>
  <c r="C201" i="82"/>
  <c r="I202" i="82"/>
  <c r="D202" i="82"/>
  <c r="J202" i="82"/>
  <c r="E202" i="82"/>
  <c r="K202" i="82"/>
  <c r="G202" i="82"/>
  <c r="C202" i="82"/>
  <c r="I203" i="82"/>
  <c r="D203" i="82"/>
  <c r="J203" i="82"/>
  <c r="E203" i="82"/>
  <c r="K203" i="82"/>
  <c r="G203" i="82"/>
  <c r="C203" i="82"/>
  <c r="I204" i="82"/>
  <c r="D204" i="82"/>
  <c r="J204" i="82"/>
  <c r="E204" i="82"/>
  <c r="K204" i="82"/>
  <c r="G204" i="82"/>
  <c r="C204" i="82"/>
  <c r="I205" i="82"/>
  <c r="D205" i="82"/>
  <c r="J205" i="82"/>
  <c r="E205" i="82"/>
  <c r="K205" i="82"/>
  <c r="G205" i="82"/>
  <c r="C205" i="82"/>
  <c r="I206" i="82"/>
  <c r="D206" i="82"/>
  <c r="J206" i="82"/>
  <c r="E206" i="82"/>
  <c r="K206" i="82"/>
  <c r="G206" i="82"/>
  <c r="C206" i="82"/>
  <c r="I207" i="82"/>
  <c r="D207" i="82"/>
  <c r="J207" i="82"/>
  <c r="E207" i="82"/>
  <c r="K207" i="82"/>
  <c r="G207" i="82"/>
  <c r="C207" i="82"/>
  <c r="I208" i="82"/>
  <c r="D208" i="82"/>
  <c r="J208" i="82"/>
  <c r="E208" i="82"/>
  <c r="K208" i="82"/>
  <c r="G208" i="82"/>
  <c r="C208" i="82"/>
  <c r="I209" i="82"/>
  <c r="D209" i="82"/>
  <c r="J209" i="82"/>
  <c r="E209" i="82"/>
  <c r="K209" i="82"/>
  <c r="G209" i="82"/>
  <c r="C209" i="82"/>
  <c r="I210" i="82"/>
  <c r="D210" i="82"/>
  <c r="J210" i="82"/>
  <c r="E210" i="82"/>
  <c r="K210" i="82"/>
  <c r="G210" i="82"/>
  <c r="C210" i="82"/>
  <c r="I211" i="82"/>
  <c r="D211" i="82"/>
  <c r="J211" i="82"/>
  <c r="E211" i="82"/>
  <c r="K211" i="82"/>
  <c r="G211" i="82"/>
  <c r="C211" i="82"/>
  <c r="I212" i="82"/>
  <c r="D212" i="82"/>
  <c r="J212" i="82"/>
  <c r="E212" i="82"/>
  <c r="K212" i="82"/>
  <c r="G212" i="82"/>
  <c r="C212" i="82"/>
  <c r="I213" i="82"/>
  <c r="D213" i="82"/>
  <c r="J213" i="82"/>
  <c r="E213" i="82"/>
  <c r="K213" i="82"/>
  <c r="G213" i="82"/>
  <c r="C213" i="82"/>
  <c r="I214" i="82"/>
  <c r="D214" i="82"/>
  <c r="J214" i="82"/>
  <c r="E214" i="82"/>
  <c r="K214" i="82"/>
  <c r="G214" i="82"/>
  <c r="C214" i="82"/>
  <c r="I215" i="82"/>
  <c r="J215" i="82"/>
  <c r="D215" i="82"/>
  <c r="E215" i="82"/>
  <c r="K215" i="82"/>
  <c r="G215" i="82"/>
  <c r="C215" i="82"/>
  <c r="I216" i="82"/>
  <c r="J216" i="82"/>
  <c r="D216" i="82"/>
  <c r="E216" i="82"/>
  <c r="K216" i="82"/>
  <c r="G216" i="82"/>
  <c r="C216" i="82"/>
  <c r="I217" i="82"/>
  <c r="J217" i="82"/>
  <c r="D217" i="82"/>
  <c r="E217" i="82"/>
  <c r="K217" i="82"/>
  <c r="G217" i="82"/>
  <c r="C217" i="82"/>
  <c r="I218" i="82"/>
  <c r="J218" i="82"/>
  <c r="D218" i="82"/>
  <c r="E218" i="82"/>
  <c r="K218" i="82"/>
  <c r="G218" i="82"/>
  <c r="C218" i="82"/>
  <c r="I219" i="82"/>
  <c r="J219" i="82"/>
  <c r="D219" i="82"/>
  <c r="E219" i="82"/>
  <c r="K219" i="82"/>
  <c r="G219" i="82"/>
  <c r="C219" i="82"/>
  <c r="I220" i="82"/>
  <c r="J220" i="82"/>
  <c r="D220" i="82"/>
  <c r="E220" i="82"/>
  <c r="K220" i="82"/>
  <c r="G220" i="82"/>
  <c r="C220" i="82"/>
  <c r="I221" i="82"/>
  <c r="D221" i="82"/>
  <c r="J221" i="82"/>
  <c r="E221" i="82"/>
  <c r="K221" i="82"/>
  <c r="G221" i="82"/>
  <c r="C221" i="82"/>
  <c r="I222" i="82"/>
  <c r="D222" i="82"/>
  <c r="J222" i="82"/>
  <c r="E222" i="82"/>
  <c r="K222" i="82"/>
  <c r="G222" i="82"/>
  <c r="C222" i="82"/>
  <c r="I223" i="82"/>
  <c r="D223" i="82"/>
  <c r="J223" i="82"/>
  <c r="E223" i="82"/>
  <c r="K223" i="82"/>
  <c r="G223" i="82"/>
  <c r="C223" i="82"/>
  <c r="I224" i="82"/>
  <c r="D224" i="82"/>
  <c r="J224" i="82"/>
  <c r="E224" i="82"/>
  <c r="K224" i="82"/>
  <c r="G224" i="82"/>
  <c r="C224" i="82"/>
  <c r="I225" i="82"/>
  <c r="D225" i="82"/>
  <c r="J225" i="82"/>
  <c r="E225" i="82"/>
  <c r="K225" i="82"/>
  <c r="G225" i="82"/>
  <c r="C225" i="82"/>
  <c r="I226" i="82"/>
  <c r="D226" i="82"/>
  <c r="J226" i="82"/>
  <c r="E226" i="82"/>
  <c r="K226" i="82"/>
  <c r="G226" i="82"/>
  <c r="C226" i="82"/>
  <c r="I227" i="82"/>
  <c r="D227" i="82"/>
  <c r="J227" i="82"/>
  <c r="E227" i="82"/>
  <c r="K227" i="82"/>
  <c r="G227" i="82"/>
  <c r="C227" i="82"/>
  <c r="I228" i="82"/>
  <c r="D228" i="82"/>
  <c r="J228" i="82"/>
  <c r="E228" i="82"/>
  <c r="K228" i="82"/>
  <c r="G228" i="82"/>
  <c r="C228" i="82"/>
  <c r="I229" i="82"/>
  <c r="D229" i="82"/>
  <c r="J229" i="82"/>
  <c r="E229" i="82"/>
  <c r="K229" i="82"/>
  <c r="G229" i="82"/>
  <c r="C229" i="82"/>
  <c r="I230" i="82"/>
  <c r="D230" i="82"/>
  <c r="J230" i="82"/>
  <c r="E230" i="82"/>
  <c r="K230" i="82"/>
  <c r="G230" i="82"/>
  <c r="C230" i="82"/>
  <c r="I231" i="82"/>
  <c r="D231" i="82"/>
  <c r="J231" i="82"/>
  <c r="E231" i="82"/>
  <c r="K231" i="82"/>
  <c r="G231" i="82"/>
  <c r="C231" i="82"/>
  <c r="I232" i="82"/>
  <c r="D232" i="82"/>
  <c r="J232" i="82"/>
  <c r="E232" i="82"/>
  <c r="K232" i="82"/>
  <c r="G232" i="82"/>
  <c r="C232" i="82"/>
  <c r="I233" i="82"/>
  <c r="D233" i="82"/>
  <c r="J233" i="82"/>
  <c r="E233" i="82"/>
  <c r="K233" i="82"/>
  <c r="G233" i="82"/>
  <c r="C233" i="82"/>
  <c r="I234" i="82"/>
  <c r="D234" i="82"/>
  <c r="J234" i="82"/>
  <c r="E234" i="82"/>
  <c r="K234" i="82"/>
  <c r="G234" i="82"/>
  <c r="C234" i="82"/>
  <c r="I235" i="82"/>
  <c r="D235" i="82"/>
  <c r="J235" i="82"/>
  <c r="E235" i="82"/>
  <c r="K235" i="82"/>
  <c r="G235" i="82"/>
  <c r="C235" i="82"/>
  <c r="I236" i="82"/>
  <c r="D236" i="82"/>
  <c r="J236" i="82"/>
  <c r="E236" i="82"/>
  <c r="K236" i="82"/>
  <c r="G236" i="82"/>
  <c r="C236" i="82"/>
  <c r="I237" i="82"/>
  <c r="D237" i="82"/>
  <c r="J237" i="82"/>
  <c r="E237" i="82"/>
  <c r="K237" i="82"/>
  <c r="G237" i="82"/>
  <c r="C237" i="82"/>
  <c r="I238" i="82"/>
  <c r="D238" i="82"/>
  <c r="J238" i="82"/>
  <c r="E238" i="82"/>
  <c r="K238" i="82"/>
  <c r="G238" i="82"/>
  <c r="C238" i="82"/>
  <c r="I239" i="82"/>
  <c r="D239" i="82"/>
  <c r="J239" i="82"/>
  <c r="E239" i="82"/>
  <c r="K239" i="82"/>
  <c r="G239" i="82"/>
  <c r="C239" i="82"/>
  <c r="I240" i="82"/>
  <c r="D240" i="82"/>
  <c r="J240" i="82"/>
  <c r="E240" i="82"/>
  <c r="K240" i="82"/>
  <c r="G240" i="82"/>
  <c r="C240" i="82"/>
  <c r="I241" i="82"/>
  <c r="D241" i="82"/>
  <c r="J241" i="82"/>
  <c r="E241" i="82"/>
  <c r="K241" i="82"/>
  <c r="G241" i="82"/>
  <c r="C241" i="82"/>
  <c r="I242" i="82"/>
  <c r="D242" i="82"/>
  <c r="J242" i="82"/>
  <c r="E242" i="82"/>
  <c r="K242" i="82"/>
  <c r="G242" i="82"/>
  <c r="C242" i="82"/>
  <c r="I243" i="82"/>
  <c r="D243" i="82"/>
  <c r="J243" i="82"/>
  <c r="E243" i="82"/>
  <c r="K243" i="82"/>
  <c r="G243" i="82"/>
  <c r="C243" i="82"/>
  <c r="I244" i="82"/>
  <c r="D244" i="82"/>
  <c r="J244" i="82"/>
  <c r="E244" i="82"/>
  <c r="K244" i="82"/>
  <c r="G244" i="82"/>
  <c r="C244" i="82"/>
  <c r="I245" i="82"/>
  <c r="D245" i="82"/>
  <c r="J245" i="82"/>
  <c r="E245" i="82"/>
  <c r="K245" i="82"/>
  <c r="G245" i="82"/>
  <c r="C245" i="82"/>
  <c r="I246" i="82"/>
  <c r="D246" i="82"/>
  <c r="J246" i="82"/>
  <c r="E246" i="82"/>
  <c r="K246" i="82"/>
  <c r="G246" i="82"/>
  <c r="C246" i="82"/>
  <c r="I247" i="82"/>
  <c r="D247" i="82"/>
  <c r="J247" i="82"/>
  <c r="E247" i="82"/>
  <c r="K247" i="82"/>
  <c r="G247" i="82"/>
  <c r="C247" i="82"/>
  <c r="I248" i="82"/>
  <c r="D248" i="82"/>
  <c r="J248" i="82"/>
  <c r="E248" i="82"/>
  <c r="K248" i="82"/>
  <c r="G248" i="82"/>
  <c r="C248" i="82"/>
  <c r="I249" i="82"/>
  <c r="D249" i="82"/>
  <c r="J249" i="82"/>
  <c r="E249" i="82"/>
  <c r="K249" i="82"/>
  <c r="G249" i="82"/>
  <c r="C249" i="82"/>
  <c r="I250" i="82"/>
  <c r="D250" i="82"/>
  <c r="J250" i="82"/>
  <c r="E250" i="82"/>
  <c r="K250" i="82"/>
  <c r="G250" i="82"/>
  <c r="C250" i="82"/>
  <c r="I251" i="82"/>
  <c r="D251" i="82"/>
  <c r="J251" i="82"/>
  <c r="E251" i="82"/>
  <c r="K251" i="82"/>
  <c r="G251" i="82"/>
  <c r="C251" i="82"/>
  <c r="I252" i="82"/>
  <c r="D252" i="82"/>
  <c r="J252" i="82"/>
  <c r="E252" i="82"/>
  <c r="K252" i="82"/>
  <c r="G252" i="82"/>
  <c r="C252" i="82"/>
  <c r="I253" i="82"/>
  <c r="D253" i="82"/>
  <c r="J253" i="82"/>
  <c r="E253" i="82"/>
  <c r="K253" i="82"/>
  <c r="G253" i="82"/>
  <c r="C253" i="82"/>
  <c r="I254" i="82"/>
  <c r="D254" i="82"/>
  <c r="J254" i="82"/>
  <c r="E254" i="82"/>
  <c r="K254" i="82"/>
  <c r="G254" i="82"/>
  <c r="C254" i="82"/>
  <c r="I255" i="82"/>
  <c r="D255" i="82"/>
  <c r="J255" i="82"/>
  <c r="E255" i="82"/>
  <c r="K255" i="82"/>
  <c r="G255" i="82"/>
  <c r="C255" i="82"/>
  <c r="I256" i="82"/>
  <c r="D256" i="82"/>
  <c r="J256" i="82"/>
  <c r="E256" i="82"/>
  <c r="K256" i="82"/>
  <c r="G256" i="82"/>
  <c r="C256" i="82"/>
  <c r="I257" i="82"/>
  <c r="D257" i="82"/>
  <c r="J257" i="82"/>
  <c r="E257" i="82"/>
  <c r="K257" i="82"/>
  <c r="G257" i="82"/>
  <c r="C257" i="82"/>
  <c r="I258" i="82"/>
  <c r="D258" i="82"/>
  <c r="J258" i="82"/>
  <c r="E258" i="82"/>
  <c r="K258" i="82"/>
  <c r="G258" i="82"/>
  <c r="C258" i="82"/>
  <c r="I259" i="82"/>
  <c r="D259" i="82"/>
  <c r="J259" i="82"/>
  <c r="E259" i="82"/>
  <c r="K259" i="82"/>
  <c r="G259" i="82"/>
  <c r="C259" i="82"/>
  <c r="I260" i="82"/>
  <c r="D260" i="82"/>
  <c r="J260" i="82"/>
  <c r="E260" i="82"/>
  <c r="K260" i="82"/>
  <c r="G260" i="82"/>
  <c r="C260" i="82"/>
  <c r="I261" i="82"/>
  <c r="D261" i="82"/>
  <c r="J261" i="82"/>
  <c r="E261" i="82"/>
  <c r="K261" i="82"/>
  <c r="G261" i="82"/>
  <c r="C261" i="82"/>
  <c r="I262" i="82"/>
  <c r="D262" i="82"/>
  <c r="J262" i="82"/>
  <c r="E262" i="82"/>
  <c r="K262" i="82"/>
  <c r="G262" i="82"/>
  <c r="C262" i="82"/>
  <c r="I263" i="82"/>
  <c r="D263" i="82"/>
  <c r="J263" i="82"/>
  <c r="E263" i="82"/>
  <c r="K263" i="82"/>
  <c r="G263" i="82"/>
  <c r="C263" i="82"/>
  <c r="I264" i="82"/>
  <c r="D264" i="82"/>
  <c r="J264" i="82"/>
  <c r="E264" i="82"/>
  <c r="K264" i="82"/>
  <c r="G264" i="82"/>
  <c r="C264" i="82"/>
  <c r="I265" i="82"/>
  <c r="D265" i="82"/>
  <c r="J265" i="82"/>
  <c r="E265" i="82"/>
  <c r="K265" i="82"/>
  <c r="G265" i="82"/>
  <c r="C265" i="82"/>
  <c r="I266" i="82"/>
  <c r="D266" i="82"/>
  <c r="J266" i="82"/>
  <c r="E266" i="82"/>
  <c r="K266" i="82"/>
  <c r="G266" i="82"/>
  <c r="C266" i="82"/>
  <c r="I267" i="82"/>
  <c r="D267" i="82"/>
  <c r="J267" i="82"/>
  <c r="E267" i="82"/>
  <c r="K267" i="82"/>
  <c r="G267" i="82"/>
  <c r="C267" i="82"/>
  <c r="I268" i="82"/>
  <c r="D268" i="82"/>
  <c r="J268" i="82"/>
  <c r="E268" i="82"/>
  <c r="K268" i="82"/>
  <c r="G268" i="82"/>
  <c r="C268" i="82"/>
  <c r="I269" i="82"/>
  <c r="D269" i="82"/>
  <c r="J269" i="82"/>
  <c r="E269" i="82"/>
  <c r="K269" i="82"/>
  <c r="G269" i="82"/>
  <c r="C269" i="82"/>
  <c r="I270" i="82"/>
  <c r="D270" i="82"/>
  <c r="J270" i="82"/>
  <c r="E270" i="82"/>
  <c r="K270" i="82"/>
  <c r="G270" i="82"/>
  <c r="C270" i="82"/>
  <c r="I271" i="82"/>
  <c r="D271" i="82"/>
  <c r="J271" i="82"/>
  <c r="E271" i="82"/>
  <c r="K271" i="82"/>
  <c r="G271" i="82"/>
  <c r="C271" i="82"/>
  <c r="I272" i="82"/>
  <c r="D272" i="82"/>
  <c r="J272" i="82"/>
  <c r="E272" i="82"/>
  <c r="K272" i="82"/>
  <c r="G272" i="82"/>
  <c r="C272" i="82"/>
  <c r="I273" i="82"/>
  <c r="D273" i="82"/>
  <c r="J273" i="82"/>
  <c r="E273" i="82"/>
  <c r="K273" i="82"/>
  <c r="G273" i="82"/>
  <c r="C273" i="82"/>
  <c r="I274" i="82"/>
  <c r="D274" i="82"/>
  <c r="J274" i="82"/>
  <c r="E274" i="82"/>
  <c r="K274" i="82"/>
  <c r="G274" i="82"/>
  <c r="C274" i="82"/>
  <c r="I275" i="82"/>
  <c r="D275" i="82"/>
  <c r="J275" i="82"/>
  <c r="E275" i="82"/>
  <c r="K275" i="82"/>
  <c r="G275" i="82"/>
  <c r="C275" i="82"/>
  <c r="I276" i="82"/>
  <c r="D276" i="82"/>
  <c r="J276" i="82"/>
  <c r="E276" i="82"/>
  <c r="K276" i="82"/>
  <c r="G276" i="82"/>
  <c r="C276" i="82"/>
  <c r="I277" i="82"/>
  <c r="D277" i="82"/>
  <c r="J277" i="82"/>
  <c r="E277" i="82"/>
  <c r="K277" i="82"/>
  <c r="G277" i="82"/>
  <c r="C277" i="82"/>
  <c r="I278" i="82"/>
  <c r="D278" i="82"/>
  <c r="J278" i="82"/>
  <c r="E278" i="82"/>
  <c r="K278" i="82"/>
  <c r="G278" i="82"/>
  <c r="C278" i="82"/>
  <c r="I279" i="82"/>
  <c r="D279" i="82"/>
  <c r="J279" i="82"/>
  <c r="E279" i="82"/>
  <c r="K279" i="82"/>
  <c r="G279" i="82"/>
  <c r="C279" i="82"/>
  <c r="I280" i="82"/>
  <c r="D280" i="82"/>
  <c r="J280" i="82"/>
  <c r="E280" i="82"/>
  <c r="K280" i="82"/>
  <c r="G280" i="82"/>
  <c r="C280" i="82"/>
  <c r="I281" i="82"/>
  <c r="D281" i="82"/>
  <c r="J281" i="82"/>
  <c r="E281" i="82"/>
  <c r="K281" i="82"/>
  <c r="G281" i="82"/>
  <c r="C281" i="82"/>
  <c r="I282" i="82"/>
  <c r="D282" i="82"/>
  <c r="J282" i="82"/>
  <c r="E282" i="82"/>
  <c r="K282" i="82"/>
  <c r="G282" i="82"/>
  <c r="C282" i="82"/>
  <c r="I283" i="82"/>
  <c r="D283" i="82"/>
  <c r="J283" i="82"/>
  <c r="E283" i="82"/>
  <c r="K283" i="82"/>
  <c r="G283" i="82"/>
  <c r="C283" i="82"/>
  <c r="I284" i="82"/>
  <c r="D284" i="82"/>
  <c r="J284" i="82"/>
  <c r="E284" i="82"/>
  <c r="K284" i="82"/>
  <c r="G284" i="82"/>
  <c r="C284" i="82"/>
  <c r="I285" i="82"/>
  <c r="D285" i="82"/>
  <c r="J285" i="82"/>
  <c r="E285" i="82"/>
  <c r="K285" i="82"/>
  <c r="G285" i="82"/>
  <c r="C285" i="82"/>
  <c r="I286" i="82"/>
  <c r="D286" i="82"/>
  <c r="J286" i="82"/>
  <c r="E286" i="82"/>
  <c r="K286" i="82"/>
  <c r="G286" i="82"/>
  <c r="C286" i="82"/>
  <c r="I287" i="82"/>
  <c r="D287" i="82"/>
  <c r="J287" i="82"/>
  <c r="E287" i="82"/>
  <c r="K287" i="82"/>
  <c r="G287" i="82"/>
  <c r="C287" i="82"/>
  <c r="I288" i="82"/>
  <c r="D288" i="82"/>
  <c r="J288" i="82"/>
  <c r="E288" i="82"/>
  <c r="K288" i="82"/>
  <c r="G288" i="82"/>
  <c r="C288" i="82"/>
  <c r="I289" i="82"/>
  <c r="D289" i="82"/>
  <c r="J289" i="82"/>
  <c r="E289" i="82"/>
  <c r="K289" i="82"/>
  <c r="G289" i="82"/>
  <c r="C289" i="82"/>
  <c r="I290" i="82"/>
  <c r="D290" i="82"/>
  <c r="J290" i="82"/>
  <c r="E290" i="82"/>
  <c r="K290" i="82"/>
  <c r="G290" i="82"/>
  <c r="C290" i="82"/>
  <c r="I291" i="82"/>
  <c r="D291" i="82"/>
  <c r="J291" i="82"/>
  <c r="E291" i="82"/>
  <c r="K291" i="82"/>
  <c r="G291" i="82"/>
  <c r="C291" i="82"/>
  <c r="I292" i="82"/>
  <c r="D292" i="82"/>
  <c r="J292" i="82"/>
  <c r="E292" i="82"/>
  <c r="K292" i="82"/>
  <c r="G292" i="82"/>
  <c r="C292" i="82"/>
  <c r="I293" i="82"/>
  <c r="D293" i="82"/>
  <c r="J293" i="82"/>
  <c r="E293" i="82"/>
  <c r="K293" i="82"/>
  <c r="G293" i="82"/>
  <c r="C293" i="82"/>
  <c r="I294" i="82"/>
  <c r="D294" i="82"/>
  <c r="J294" i="82"/>
  <c r="E294" i="82"/>
  <c r="K294" i="82"/>
  <c r="G294" i="82"/>
  <c r="C294" i="82"/>
  <c r="I295" i="82"/>
  <c r="D295" i="82"/>
  <c r="J295" i="82"/>
  <c r="E295" i="82"/>
  <c r="K295" i="82"/>
  <c r="G295" i="82"/>
  <c r="C295" i="82"/>
  <c r="I296" i="82"/>
  <c r="D296" i="82"/>
  <c r="J296" i="82"/>
  <c r="E296" i="82"/>
  <c r="K296" i="82"/>
  <c r="G296" i="82"/>
  <c r="C296" i="82"/>
  <c r="I297" i="82"/>
  <c r="D297" i="82"/>
  <c r="J297" i="82"/>
  <c r="E297" i="82"/>
  <c r="K297" i="82"/>
  <c r="G297" i="82"/>
  <c r="C297" i="82"/>
  <c r="I298" i="82"/>
  <c r="D298" i="82"/>
  <c r="J298" i="82"/>
  <c r="E298" i="82"/>
  <c r="K298" i="82"/>
  <c r="G298" i="82"/>
  <c r="C298" i="82"/>
  <c r="I299" i="82"/>
  <c r="D299" i="82"/>
  <c r="J299" i="82"/>
  <c r="E299" i="82"/>
  <c r="K299" i="82"/>
  <c r="G299" i="82"/>
  <c r="C299" i="82"/>
  <c r="I300" i="82"/>
  <c r="D300" i="82"/>
  <c r="J300" i="82"/>
  <c r="E300" i="82"/>
  <c r="K300" i="82"/>
  <c r="G300" i="82"/>
  <c r="C300" i="82"/>
  <c r="I301" i="82"/>
  <c r="D301" i="82"/>
  <c r="J301" i="82"/>
  <c r="E301" i="82"/>
  <c r="K301" i="82"/>
  <c r="G301" i="82"/>
  <c r="C301" i="82"/>
  <c r="I302" i="82"/>
  <c r="D302" i="82"/>
  <c r="J302" i="82"/>
  <c r="E302" i="82"/>
  <c r="K302" i="82"/>
  <c r="G302" i="82"/>
  <c r="C302" i="82"/>
  <c r="I303" i="82"/>
  <c r="D303" i="82"/>
  <c r="J303" i="82"/>
  <c r="E303" i="82"/>
  <c r="K303" i="82"/>
  <c r="G303" i="82"/>
  <c r="C303" i="82"/>
  <c r="I304" i="82"/>
  <c r="D304" i="82"/>
  <c r="J304" i="82"/>
  <c r="E304" i="82"/>
  <c r="K304" i="82"/>
  <c r="G304" i="82"/>
  <c r="C304" i="82"/>
  <c r="I305" i="82"/>
  <c r="D305" i="82"/>
  <c r="J305" i="82"/>
  <c r="E305" i="82"/>
  <c r="K305" i="82"/>
  <c r="G305" i="82"/>
  <c r="C305" i="82"/>
  <c r="I306" i="82"/>
  <c r="D306" i="82"/>
  <c r="J306" i="82"/>
  <c r="E306" i="82"/>
  <c r="K306" i="82"/>
  <c r="G306" i="82"/>
  <c r="C306" i="82"/>
  <c r="I307" i="82"/>
  <c r="D307" i="82"/>
  <c r="J307" i="82"/>
  <c r="E307" i="82"/>
  <c r="K307" i="82"/>
  <c r="G307" i="82"/>
  <c r="C307" i="82"/>
  <c r="I308" i="82"/>
  <c r="D308" i="82"/>
  <c r="J308" i="82"/>
  <c r="E308" i="82"/>
  <c r="K308" i="82"/>
  <c r="G308" i="82"/>
  <c r="C308" i="82"/>
  <c r="I309" i="82"/>
  <c r="D309" i="82"/>
  <c r="J309" i="82"/>
  <c r="E309" i="82"/>
  <c r="K309" i="82"/>
  <c r="G309" i="82"/>
  <c r="C309" i="82"/>
  <c r="I310" i="82"/>
  <c r="D310" i="82"/>
  <c r="J310" i="82"/>
  <c r="E310" i="82"/>
  <c r="K310" i="82"/>
  <c r="G310" i="82"/>
  <c r="C310" i="82"/>
  <c r="I311" i="82"/>
  <c r="D311" i="82"/>
  <c r="J311" i="82"/>
  <c r="E311" i="82"/>
  <c r="K311" i="82"/>
  <c r="G311" i="82"/>
  <c r="C311" i="82"/>
  <c r="I312" i="82"/>
  <c r="D312" i="82"/>
  <c r="J312" i="82"/>
  <c r="E312" i="82"/>
  <c r="K312" i="82"/>
  <c r="G312" i="82"/>
  <c r="C312" i="82"/>
  <c r="I313" i="82"/>
  <c r="D313" i="82"/>
  <c r="J313" i="82"/>
  <c r="E313" i="82"/>
  <c r="K313" i="82"/>
  <c r="G313" i="82"/>
  <c r="C313" i="82"/>
  <c r="I314" i="82"/>
  <c r="D314" i="82"/>
  <c r="J314" i="82"/>
  <c r="E314" i="82"/>
  <c r="K314" i="82"/>
  <c r="G314" i="82"/>
  <c r="C314" i="82"/>
  <c r="I315" i="82"/>
  <c r="D315" i="82"/>
  <c r="J315" i="82"/>
  <c r="E315" i="82"/>
  <c r="K315" i="82"/>
  <c r="G315" i="82"/>
  <c r="C315" i="82"/>
  <c r="I316" i="82"/>
  <c r="D316" i="82"/>
  <c r="J316" i="82"/>
  <c r="E316" i="82"/>
  <c r="K316" i="82"/>
  <c r="G316" i="82"/>
  <c r="C316" i="82"/>
  <c r="I317" i="82"/>
  <c r="D317" i="82"/>
  <c r="J317" i="82"/>
  <c r="E317" i="82"/>
  <c r="K317" i="82"/>
  <c r="G317" i="82"/>
  <c r="C317" i="82"/>
  <c r="I318" i="82"/>
  <c r="D318" i="82"/>
  <c r="J318" i="82"/>
  <c r="E318" i="82"/>
  <c r="K318" i="82"/>
  <c r="G318" i="82"/>
  <c r="C318" i="82"/>
  <c r="I319" i="82"/>
  <c r="D319" i="82"/>
  <c r="J319" i="82"/>
  <c r="E319" i="82"/>
  <c r="K319" i="82"/>
  <c r="G319" i="82"/>
  <c r="C319" i="82"/>
  <c r="I320" i="82"/>
  <c r="D320" i="82"/>
  <c r="J320" i="82"/>
  <c r="E320" i="82"/>
  <c r="K320" i="82"/>
  <c r="G320" i="82"/>
  <c r="C320" i="82"/>
  <c r="I321" i="82"/>
  <c r="D321" i="82"/>
  <c r="J321" i="82"/>
  <c r="E321" i="82"/>
  <c r="K321" i="82"/>
  <c r="G321" i="82"/>
  <c r="C321" i="82"/>
  <c r="I322" i="82"/>
  <c r="D322" i="82"/>
  <c r="J322" i="82"/>
  <c r="E322" i="82"/>
  <c r="K322" i="82"/>
  <c r="G322" i="82"/>
  <c r="C322" i="82"/>
  <c r="I323" i="82"/>
  <c r="D323" i="82"/>
  <c r="J323" i="82"/>
  <c r="E323" i="82"/>
  <c r="K323" i="82"/>
  <c r="G323" i="82"/>
  <c r="C323" i="82"/>
  <c r="I324" i="82"/>
  <c r="D324" i="82"/>
  <c r="J324" i="82"/>
  <c r="E324" i="82"/>
  <c r="K324" i="82"/>
  <c r="G324" i="82"/>
  <c r="C324" i="82"/>
  <c r="I325" i="82"/>
  <c r="D325" i="82"/>
  <c r="J325" i="82"/>
  <c r="E325" i="82"/>
  <c r="K325" i="82"/>
  <c r="G325" i="82"/>
  <c r="C325" i="82"/>
  <c r="I326" i="82"/>
  <c r="D326" i="82"/>
  <c r="J326" i="82"/>
  <c r="E326" i="82"/>
  <c r="K326" i="82"/>
  <c r="G326" i="82"/>
  <c r="C326" i="82"/>
  <c r="I327" i="82"/>
  <c r="D327" i="82"/>
  <c r="J327" i="82"/>
  <c r="E327" i="82"/>
  <c r="K327" i="82"/>
  <c r="G327" i="82"/>
  <c r="C327" i="82"/>
  <c r="I328" i="82"/>
  <c r="D328" i="82"/>
  <c r="J328" i="82"/>
  <c r="E328" i="82"/>
  <c r="K328" i="82"/>
  <c r="G328" i="82"/>
  <c r="C328" i="82"/>
  <c r="I329" i="82"/>
  <c r="D329" i="82"/>
  <c r="J329" i="82"/>
  <c r="E329" i="82"/>
  <c r="K329" i="82"/>
  <c r="G329" i="82"/>
  <c r="C329" i="82"/>
  <c r="I330" i="82"/>
  <c r="D330" i="82"/>
  <c r="J330" i="82"/>
  <c r="E330" i="82"/>
  <c r="K330" i="82"/>
  <c r="G330" i="82"/>
  <c r="C330" i="82"/>
  <c r="I331" i="82"/>
  <c r="D331" i="82"/>
  <c r="J331" i="82"/>
  <c r="E331" i="82"/>
  <c r="K331" i="82"/>
  <c r="G331" i="82"/>
  <c r="C331" i="82"/>
  <c r="I332" i="82"/>
  <c r="D332" i="82"/>
  <c r="J332" i="82"/>
  <c r="E332" i="82"/>
  <c r="K332" i="82"/>
  <c r="G332" i="82"/>
  <c r="C332" i="82"/>
  <c r="I333" i="82"/>
  <c r="D333" i="82"/>
  <c r="J333" i="82"/>
  <c r="E333" i="82"/>
  <c r="K333" i="82"/>
  <c r="G333" i="82"/>
  <c r="C333" i="82"/>
  <c r="I334" i="82"/>
  <c r="D334" i="82"/>
  <c r="J334" i="82"/>
  <c r="E334" i="82"/>
  <c r="K334" i="82"/>
  <c r="G334" i="82"/>
  <c r="C334" i="82"/>
  <c r="I335" i="82"/>
  <c r="D335" i="82"/>
  <c r="J335" i="82"/>
  <c r="E335" i="82"/>
  <c r="K335" i="82"/>
  <c r="G335" i="82"/>
  <c r="C335" i="82"/>
  <c r="I336" i="82"/>
  <c r="D336" i="82"/>
  <c r="J336" i="82"/>
  <c r="E336" i="82"/>
  <c r="K336" i="82"/>
  <c r="G336" i="82"/>
  <c r="C336" i="82"/>
  <c r="I337" i="82"/>
  <c r="D337" i="82"/>
  <c r="J337" i="82"/>
  <c r="E337" i="82"/>
  <c r="K337" i="82"/>
  <c r="G337" i="82"/>
  <c r="C337" i="82"/>
  <c r="I338" i="82"/>
  <c r="D338" i="82"/>
  <c r="J338" i="82"/>
  <c r="E338" i="82"/>
  <c r="K338" i="82"/>
  <c r="G338" i="82"/>
  <c r="C338" i="82"/>
  <c r="I339" i="82"/>
  <c r="D339" i="82"/>
  <c r="J339" i="82"/>
  <c r="E339" i="82"/>
  <c r="K339" i="82"/>
  <c r="G339" i="82"/>
  <c r="C339" i="82"/>
  <c r="I340" i="82"/>
  <c r="D340" i="82"/>
  <c r="J340" i="82"/>
  <c r="E340" i="82"/>
  <c r="K340" i="82"/>
  <c r="G340" i="82"/>
  <c r="C340" i="82"/>
  <c r="I341" i="82"/>
  <c r="D341" i="82"/>
  <c r="J341" i="82"/>
  <c r="E341" i="82"/>
  <c r="K341" i="82"/>
  <c r="G341" i="82"/>
  <c r="C341" i="82"/>
  <c r="F5" i="106"/>
  <c r="E5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8" i="106"/>
  <c r="B28" i="106"/>
  <c r="A2" i="106"/>
  <c r="F7" i="106"/>
  <c r="A51" i="106"/>
  <c r="E7" i="106"/>
  <c r="E26" i="106"/>
  <c r="B26" i="106"/>
  <c r="G26" i="106"/>
  <c r="H26" i="106"/>
  <c r="O44" i="82"/>
  <c r="O47" i="82"/>
  <c r="O50" i="82"/>
  <c r="F8" i="106"/>
  <c r="E8" i="106"/>
  <c r="E36" i="106"/>
  <c r="B36" i="106"/>
  <c r="G36" i="106"/>
  <c r="H36" i="106"/>
  <c r="O53" i="82"/>
  <c r="E19" i="106"/>
  <c r="B19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E34" i="106"/>
  <c r="B34" i="106"/>
  <c r="E39" i="106"/>
  <c r="B39" i="106"/>
  <c r="B32" i="106"/>
  <c r="G32" i="106"/>
  <c r="E32" i="106"/>
  <c r="H32" i="106"/>
  <c r="O8" i="82"/>
  <c r="E33" i="106"/>
  <c r="B33" i="106"/>
  <c r="G33" i="106"/>
  <c r="H33" i="106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O45" i="82"/>
  <c r="O46" i="82"/>
  <c r="O48" i="82"/>
  <c r="O49" i="82"/>
  <c r="G34" i="106"/>
  <c r="H34" i="106"/>
  <c r="O51" i="82"/>
  <c r="E35" i="106"/>
  <c r="B35" i="106"/>
  <c r="G35" i="106"/>
  <c r="H35" i="106"/>
  <c r="O52" i="82"/>
  <c r="G19" i="106"/>
  <c r="H19" i="106"/>
  <c r="O54" i="82"/>
  <c r="E20" i="106"/>
  <c r="B20" i="106"/>
  <c r="G20" i="106"/>
  <c r="H20" i="106"/>
  <c r="O55" i="82"/>
  <c r="E21" i="106"/>
  <c r="B21" i="106"/>
  <c r="G21" i="106"/>
  <c r="H21" i="106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G39" i="106"/>
  <c r="H39" i="106"/>
  <c r="O111" i="82"/>
  <c r="E40" i="106"/>
  <c r="B40" i="106"/>
  <c r="G40" i="106"/>
  <c r="H40" i="106"/>
  <c r="O112" i="82"/>
  <c r="E41" i="106"/>
  <c r="B41" i="106"/>
  <c r="G41" i="106"/>
  <c r="H41" i="106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F6" i="106"/>
  <c r="E6" i="106"/>
  <c r="E42" i="106"/>
  <c r="B42" i="106"/>
  <c r="G42" i="106"/>
  <c r="H42" i="106"/>
  <c r="O144" i="82"/>
  <c r="E43" i="106"/>
  <c r="B43" i="106"/>
  <c r="G43" i="106"/>
  <c r="H43" i="106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E23" i="106"/>
  <c r="B23" i="106"/>
  <c r="G23" i="106"/>
  <c r="H23" i="106"/>
  <c r="O215" i="82"/>
  <c r="O216" i="82"/>
  <c r="O217" i="82"/>
  <c r="E38" i="106"/>
  <c r="B38" i="106"/>
  <c r="G38" i="106"/>
  <c r="H38" i="106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E22" i="106"/>
  <c r="B22" i="106"/>
  <c r="G22" i="106"/>
  <c r="H22" i="106"/>
  <c r="O262" i="82"/>
  <c r="O263" i="82"/>
  <c r="O264" i="82"/>
  <c r="O265" i="82"/>
  <c r="E29" i="106"/>
  <c r="B29" i="106"/>
  <c r="G29" i="106"/>
  <c r="H29" i="106"/>
  <c r="O266" i="82"/>
  <c r="E44" i="106"/>
  <c r="B44" i="106"/>
  <c r="G44" i="106"/>
  <c r="H44" i="106"/>
  <c r="O267" i="82"/>
  <c r="O268" i="82"/>
  <c r="O269" i="82"/>
  <c r="O270" i="82"/>
  <c r="O271" i="82"/>
  <c r="E37" i="106"/>
  <c r="B37" i="106"/>
  <c r="G37" i="106"/>
  <c r="H37" i="106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O324" i="82"/>
  <c r="O325" i="82"/>
  <c r="O326" i="82"/>
  <c r="O327" i="82"/>
  <c r="O328" i="82"/>
  <c r="O329" i="82"/>
  <c r="O330" i="82"/>
  <c r="O331" i="82"/>
  <c r="O332" i="82"/>
  <c r="O333" i="82"/>
  <c r="O334" i="82"/>
  <c r="O335" i="82"/>
  <c r="O336" i="82"/>
  <c r="O337" i="82"/>
  <c r="O338" i="82"/>
  <c r="O339" i="82"/>
  <c r="O340" i="82"/>
  <c r="G46" i="106"/>
  <c r="E46" i="106"/>
  <c r="H46" i="106"/>
  <c r="O341" i="82"/>
  <c r="F57" i="106"/>
  <c r="G57" i="106"/>
  <c r="G49" i="106"/>
  <c r="C7" i="103"/>
  <c r="E7" i="103"/>
  <c r="C8" i="103"/>
  <c r="E8" i="103"/>
  <c r="F341" i="163"/>
  <c r="A2" i="162"/>
  <c r="F2" i="163"/>
  <c r="F3" i="163"/>
  <c r="F4" i="163"/>
  <c r="F5" i="163"/>
  <c r="F6" i="163"/>
  <c r="F7" i="163"/>
  <c r="F8" i="163"/>
  <c r="F9" i="163"/>
  <c r="F10" i="163"/>
  <c r="F11" i="163"/>
  <c r="F12" i="163"/>
  <c r="F13" i="163"/>
  <c r="F14" i="163"/>
  <c r="F15" i="163"/>
  <c r="F16" i="163"/>
  <c r="F17" i="163"/>
  <c r="F18" i="163"/>
  <c r="F19" i="163"/>
  <c r="F20" i="163"/>
  <c r="F21" i="163"/>
  <c r="F22" i="163"/>
  <c r="F23" i="163"/>
  <c r="F24" i="163"/>
  <c r="F25" i="163"/>
  <c r="F26" i="163"/>
  <c r="F27" i="163"/>
  <c r="F28" i="163"/>
  <c r="F29" i="163"/>
  <c r="F30" i="163"/>
  <c r="F31" i="163"/>
  <c r="F32" i="163"/>
  <c r="F33" i="163"/>
  <c r="F34" i="163"/>
  <c r="F35" i="163"/>
  <c r="F36" i="163"/>
  <c r="F37" i="163"/>
  <c r="F38" i="163"/>
  <c r="F39" i="163"/>
  <c r="F40" i="163"/>
  <c r="F41" i="163"/>
  <c r="F42" i="163"/>
  <c r="F43" i="163"/>
  <c r="F44" i="163"/>
  <c r="F45" i="163"/>
  <c r="F46" i="163"/>
  <c r="F47" i="163"/>
  <c r="F48" i="163"/>
  <c r="F49" i="163"/>
  <c r="F50" i="163"/>
  <c r="F51" i="163"/>
  <c r="F52" i="163"/>
  <c r="F53" i="163"/>
  <c r="F54" i="163"/>
  <c r="F55" i="163"/>
  <c r="F56" i="163"/>
  <c r="F57" i="163"/>
  <c r="F58" i="163"/>
  <c r="F59" i="163"/>
  <c r="F60" i="163"/>
  <c r="F61" i="163"/>
  <c r="F62" i="163"/>
  <c r="F63" i="163"/>
  <c r="F64" i="163"/>
  <c r="F65" i="163"/>
  <c r="F66" i="163"/>
  <c r="F67" i="163"/>
  <c r="F68" i="163"/>
  <c r="F69" i="163"/>
  <c r="F70" i="163"/>
  <c r="F71" i="163"/>
  <c r="F72" i="163"/>
  <c r="F73" i="163"/>
  <c r="F74" i="163"/>
  <c r="F75" i="163"/>
  <c r="F76" i="163"/>
  <c r="F77" i="163"/>
  <c r="F78" i="163"/>
  <c r="F79" i="163"/>
  <c r="F80" i="163"/>
  <c r="F81" i="163"/>
  <c r="F82" i="163"/>
  <c r="F83" i="163"/>
  <c r="F84" i="163"/>
  <c r="F85" i="163"/>
  <c r="F86" i="163"/>
  <c r="F87" i="163"/>
  <c r="F88" i="163"/>
  <c r="F89" i="163"/>
  <c r="F90" i="163"/>
  <c r="F91" i="163"/>
  <c r="F92" i="163"/>
  <c r="F93" i="163"/>
  <c r="F94" i="163"/>
  <c r="F95" i="163"/>
  <c r="F96" i="163"/>
  <c r="F97" i="163"/>
  <c r="F98" i="163"/>
  <c r="F99" i="163"/>
  <c r="F100" i="163"/>
  <c r="F101" i="163"/>
  <c r="F102" i="163"/>
  <c r="F103" i="163"/>
  <c r="F104" i="163"/>
  <c r="F105" i="163"/>
  <c r="F106" i="163"/>
  <c r="F107" i="163"/>
  <c r="F108" i="163"/>
  <c r="F109" i="163"/>
  <c r="F110" i="163"/>
  <c r="F111" i="163"/>
  <c r="F112" i="163"/>
  <c r="F113" i="163"/>
  <c r="F114" i="163"/>
  <c r="F115" i="163"/>
  <c r="F116" i="163"/>
  <c r="F117" i="163"/>
  <c r="F118" i="163"/>
  <c r="F119" i="163"/>
  <c r="F120" i="163"/>
  <c r="F121" i="163"/>
  <c r="F122" i="163"/>
  <c r="F123" i="163"/>
  <c r="F124" i="163"/>
  <c r="F125" i="163"/>
  <c r="F126" i="163"/>
  <c r="F127" i="163"/>
  <c r="F128" i="163"/>
  <c r="F129" i="163"/>
  <c r="F130" i="163"/>
  <c r="F131" i="163"/>
  <c r="F132" i="163"/>
  <c r="F133" i="163"/>
  <c r="F134" i="163"/>
  <c r="F135" i="163"/>
  <c r="F136" i="163"/>
  <c r="F137" i="163"/>
  <c r="F138" i="163"/>
  <c r="F139" i="163"/>
  <c r="F140" i="163"/>
  <c r="F141" i="163"/>
  <c r="F142" i="163"/>
  <c r="F143" i="163"/>
  <c r="F144" i="163"/>
  <c r="F145" i="163"/>
  <c r="F146" i="163"/>
  <c r="F147" i="163"/>
  <c r="F148" i="163"/>
  <c r="F149" i="163"/>
  <c r="F150" i="163"/>
  <c r="F151" i="163"/>
  <c r="F152" i="163"/>
  <c r="F153" i="163"/>
  <c r="F154" i="163"/>
  <c r="F155" i="163"/>
  <c r="F156" i="163"/>
  <c r="F157" i="163"/>
  <c r="F158" i="163"/>
  <c r="F159" i="163"/>
  <c r="F160" i="163"/>
  <c r="F161" i="163"/>
  <c r="F162" i="163"/>
  <c r="F163" i="163"/>
  <c r="F164" i="163"/>
  <c r="F165" i="163"/>
  <c r="F166" i="163"/>
  <c r="F167" i="163"/>
  <c r="F168" i="163"/>
  <c r="F169" i="163"/>
  <c r="F170" i="163"/>
  <c r="F171" i="163"/>
  <c r="F172" i="163"/>
  <c r="F173" i="163"/>
  <c r="F174" i="163"/>
  <c r="F175" i="163"/>
  <c r="F176" i="163"/>
  <c r="F177" i="163"/>
  <c r="F178" i="163"/>
  <c r="F179" i="163"/>
  <c r="F180" i="163"/>
  <c r="F181" i="163"/>
  <c r="F182" i="163"/>
  <c r="F183" i="163"/>
  <c r="F184" i="163"/>
  <c r="F185" i="163"/>
  <c r="F186" i="163"/>
  <c r="F187" i="163"/>
  <c r="F188" i="163"/>
  <c r="F189" i="163"/>
  <c r="F190" i="163"/>
  <c r="F191" i="163"/>
  <c r="F192" i="163"/>
  <c r="F193" i="163"/>
  <c r="F194" i="163"/>
  <c r="F195" i="163"/>
  <c r="F196" i="163"/>
  <c r="F197" i="163"/>
  <c r="F198" i="163"/>
  <c r="F199" i="163"/>
  <c r="F200" i="163"/>
  <c r="F201" i="163"/>
  <c r="F202" i="163"/>
  <c r="F203" i="163"/>
  <c r="F204" i="163"/>
  <c r="F205" i="163"/>
  <c r="F206" i="163"/>
  <c r="F207" i="163"/>
  <c r="F208" i="163"/>
  <c r="F209" i="163"/>
  <c r="F210" i="163"/>
  <c r="F211" i="163"/>
  <c r="F212" i="163"/>
  <c r="F213" i="163"/>
  <c r="F214" i="163"/>
  <c r="F215" i="163"/>
  <c r="F216" i="163"/>
  <c r="F217" i="163"/>
  <c r="F218" i="163"/>
  <c r="F219" i="163"/>
  <c r="F220" i="163"/>
  <c r="F221" i="163"/>
  <c r="F222" i="163"/>
  <c r="F223" i="163"/>
  <c r="F224" i="163"/>
  <c r="F225" i="163"/>
  <c r="F226" i="163"/>
  <c r="F227" i="163"/>
  <c r="F228" i="163"/>
  <c r="F229" i="163"/>
  <c r="F230" i="163"/>
  <c r="F231" i="163"/>
  <c r="F232" i="163"/>
  <c r="F233" i="163"/>
  <c r="F234" i="163"/>
  <c r="F235" i="163"/>
  <c r="F236" i="163"/>
  <c r="F237" i="163"/>
  <c r="F238" i="163"/>
  <c r="F239" i="163"/>
  <c r="F240" i="163"/>
  <c r="F241" i="163"/>
  <c r="F242" i="163"/>
  <c r="F243" i="163"/>
  <c r="F244" i="163"/>
  <c r="F245" i="163"/>
  <c r="F246" i="163"/>
  <c r="F247" i="163"/>
  <c r="F248" i="163"/>
  <c r="F249" i="163"/>
  <c r="F250" i="163"/>
  <c r="F251" i="163"/>
  <c r="F252" i="163"/>
  <c r="F253" i="163"/>
  <c r="F254" i="163"/>
  <c r="F255" i="163"/>
  <c r="F256" i="163"/>
  <c r="F257" i="163"/>
  <c r="F258" i="163"/>
  <c r="F259" i="163"/>
  <c r="F260" i="163"/>
  <c r="F261" i="163"/>
  <c r="F262" i="163"/>
  <c r="F263" i="163"/>
  <c r="F264" i="163"/>
  <c r="F265" i="163"/>
  <c r="F266" i="163"/>
  <c r="F267" i="163"/>
  <c r="F268" i="163"/>
  <c r="F269" i="163"/>
  <c r="F270" i="163"/>
  <c r="F271" i="163"/>
  <c r="F272" i="163"/>
  <c r="F273" i="163"/>
  <c r="F274" i="163"/>
  <c r="F275" i="163"/>
  <c r="F276" i="163"/>
  <c r="F277" i="163"/>
  <c r="F278" i="163"/>
  <c r="F279" i="163"/>
  <c r="F280" i="163"/>
  <c r="F281" i="163"/>
  <c r="F282" i="163"/>
  <c r="F283" i="163"/>
  <c r="F284" i="163"/>
  <c r="F285" i="163"/>
  <c r="F286" i="163"/>
  <c r="F287" i="163"/>
  <c r="F288" i="163"/>
  <c r="F289" i="163"/>
  <c r="F290" i="163"/>
  <c r="F291" i="163"/>
  <c r="F292" i="163"/>
  <c r="F293" i="163"/>
  <c r="F294" i="163"/>
  <c r="F295" i="163"/>
  <c r="F296" i="163"/>
  <c r="F297" i="163"/>
  <c r="F298" i="163"/>
  <c r="F299" i="163"/>
  <c r="F300" i="163"/>
  <c r="F301" i="163"/>
  <c r="F302" i="163"/>
  <c r="F303" i="163"/>
  <c r="F304" i="163"/>
  <c r="F305" i="163"/>
  <c r="F306" i="163"/>
  <c r="F307" i="163"/>
  <c r="F308" i="163"/>
  <c r="F309" i="163"/>
  <c r="F310" i="163"/>
  <c r="F311" i="163"/>
  <c r="F312" i="163"/>
  <c r="F313" i="163"/>
  <c r="F314" i="163"/>
  <c r="F315" i="163"/>
  <c r="F316" i="163"/>
  <c r="F317" i="163"/>
  <c r="F318" i="163"/>
  <c r="F319" i="163"/>
  <c r="F320" i="163"/>
  <c r="F321" i="163"/>
  <c r="F322" i="163"/>
  <c r="F323" i="163"/>
  <c r="F324" i="163"/>
  <c r="F325" i="163"/>
  <c r="F326" i="163"/>
  <c r="F327" i="163"/>
  <c r="F328" i="163"/>
  <c r="F329" i="163"/>
  <c r="F330" i="163"/>
  <c r="F331" i="163"/>
  <c r="F332" i="163"/>
  <c r="F333" i="163"/>
  <c r="F334" i="163"/>
  <c r="F335" i="163"/>
  <c r="F336" i="163"/>
  <c r="F337" i="163"/>
  <c r="F338" i="163"/>
  <c r="F339" i="163"/>
  <c r="F340" i="163"/>
  <c r="A51" i="162"/>
  <c r="B46" i="162"/>
  <c r="G46" i="162"/>
  <c r="E46" i="162"/>
  <c r="H46" i="162"/>
  <c r="O341" i="163"/>
  <c r="B11" i="162"/>
  <c r="B10" i="162"/>
  <c r="E19" i="162"/>
  <c r="B19" i="162"/>
  <c r="E24" i="162"/>
  <c r="B24" i="162"/>
  <c r="B17" i="162"/>
  <c r="G17" i="162"/>
  <c r="E17" i="162"/>
  <c r="H17" i="162"/>
  <c r="O2" i="163"/>
  <c r="E18" i="162"/>
  <c r="B18" i="162"/>
  <c r="G18" i="162"/>
  <c r="H18" i="162"/>
  <c r="O3" i="163"/>
  <c r="O4" i="163"/>
  <c r="O5" i="163"/>
  <c r="O6" i="163"/>
  <c r="O7" i="163"/>
  <c r="E34" i="162"/>
  <c r="B34" i="162"/>
  <c r="E39" i="162"/>
  <c r="B39" i="162"/>
  <c r="B32" i="162"/>
  <c r="G32" i="162"/>
  <c r="E32" i="162"/>
  <c r="H32" i="162"/>
  <c r="O8" i="163"/>
  <c r="E33" i="162"/>
  <c r="B33" i="162"/>
  <c r="G33" i="162"/>
  <c r="H33" i="162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G24" i="162"/>
  <c r="H24" i="162"/>
  <c r="O42" i="163"/>
  <c r="E25" i="162"/>
  <c r="B25" i="162"/>
  <c r="G25" i="162"/>
  <c r="H25" i="162"/>
  <c r="O43" i="163"/>
  <c r="E26" i="162"/>
  <c r="B26" i="162"/>
  <c r="G26" i="162"/>
  <c r="H26" i="162"/>
  <c r="O44" i="163"/>
  <c r="O45" i="163"/>
  <c r="O46" i="163"/>
  <c r="O47" i="163"/>
  <c r="O48" i="163"/>
  <c r="O49" i="163"/>
  <c r="O50" i="163"/>
  <c r="G34" i="162"/>
  <c r="H34" i="162"/>
  <c r="O51" i="163"/>
  <c r="G35" i="162"/>
  <c r="H35" i="162"/>
  <c r="O52" i="163"/>
  <c r="G36" i="162"/>
  <c r="H36" i="162"/>
  <c r="O53" i="163"/>
  <c r="G19" i="162"/>
  <c r="H19" i="162"/>
  <c r="O54" i="163"/>
  <c r="G20" i="162"/>
  <c r="H20" i="162"/>
  <c r="O55" i="163"/>
  <c r="E21" i="162"/>
  <c r="B21" i="162"/>
  <c r="G21" i="162"/>
  <c r="H21" i="162"/>
  <c r="O56" i="163"/>
  <c r="O57" i="163"/>
  <c r="O58" i="163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G39" i="162"/>
  <c r="H39" i="162"/>
  <c r="O111" i="163"/>
  <c r="E40" i="162"/>
  <c r="B40" i="162"/>
  <c r="G40" i="162"/>
  <c r="H40" i="162"/>
  <c r="O112" i="163"/>
  <c r="E41" i="162"/>
  <c r="B41" i="162"/>
  <c r="G41" i="162"/>
  <c r="H41" i="162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126" i="163"/>
  <c r="O127" i="163"/>
  <c r="O128" i="163"/>
  <c r="O129" i="163"/>
  <c r="O130" i="163"/>
  <c r="O131" i="163"/>
  <c r="O132" i="163"/>
  <c r="O133" i="163"/>
  <c r="O134" i="163"/>
  <c r="O135" i="163"/>
  <c r="O136" i="163"/>
  <c r="O137" i="163"/>
  <c r="G27" i="162"/>
  <c r="H27" i="162"/>
  <c r="O138" i="163"/>
  <c r="E28" i="162"/>
  <c r="B28" i="162"/>
  <c r="G28" i="162"/>
  <c r="H28" i="162"/>
  <c r="O139" i="163"/>
  <c r="O140" i="163"/>
  <c r="O141" i="163"/>
  <c r="O142" i="163"/>
  <c r="O143" i="163"/>
  <c r="F6" i="162"/>
  <c r="E6" i="162"/>
  <c r="E42" i="162"/>
  <c r="B42" i="162"/>
  <c r="G42" i="162"/>
  <c r="H42" i="162"/>
  <c r="O144" i="163"/>
  <c r="E43" i="162"/>
  <c r="B43" i="162"/>
  <c r="G43" i="162"/>
  <c r="H43" i="162"/>
  <c r="O145" i="163"/>
  <c r="O146" i="163"/>
  <c r="O147" i="163"/>
  <c r="O148" i="163"/>
  <c r="O149" i="163"/>
  <c r="O150" i="163"/>
  <c r="O151" i="163"/>
  <c r="O152" i="163"/>
  <c r="O153" i="163"/>
  <c r="O154" i="163"/>
  <c r="O155" i="163"/>
  <c r="O156" i="163"/>
  <c r="O157" i="163"/>
  <c r="O158" i="163"/>
  <c r="O159" i="163"/>
  <c r="O160" i="163"/>
  <c r="O161" i="163"/>
  <c r="O162" i="163"/>
  <c r="O163" i="163"/>
  <c r="O164" i="163"/>
  <c r="O165" i="163"/>
  <c r="O166" i="163"/>
  <c r="O167" i="163"/>
  <c r="O168" i="163"/>
  <c r="O169" i="163"/>
  <c r="O170" i="163"/>
  <c r="O171" i="163"/>
  <c r="O172" i="163"/>
  <c r="O173" i="163"/>
  <c r="O174" i="163"/>
  <c r="O175" i="163"/>
  <c r="O176" i="163"/>
  <c r="O177" i="163"/>
  <c r="O178" i="163"/>
  <c r="O179" i="163"/>
  <c r="O180" i="163"/>
  <c r="O181" i="163"/>
  <c r="O182" i="163"/>
  <c r="O183" i="163"/>
  <c r="O184" i="163"/>
  <c r="O185" i="163"/>
  <c r="O186" i="163"/>
  <c r="O187" i="163"/>
  <c r="O188" i="163"/>
  <c r="O189" i="163"/>
  <c r="O190" i="163"/>
  <c r="O191" i="163"/>
  <c r="O192" i="163"/>
  <c r="O193" i="163"/>
  <c r="O194" i="163"/>
  <c r="O195" i="163"/>
  <c r="O196" i="163"/>
  <c r="O197" i="163"/>
  <c r="O198" i="163"/>
  <c r="O199" i="163"/>
  <c r="O200" i="163"/>
  <c r="O201" i="163"/>
  <c r="O202" i="163"/>
  <c r="O203" i="163"/>
  <c r="O204" i="163"/>
  <c r="O205" i="163"/>
  <c r="O206" i="163"/>
  <c r="O207" i="163"/>
  <c r="O208" i="163"/>
  <c r="O209" i="163"/>
  <c r="O210" i="163"/>
  <c r="O211" i="163"/>
  <c r="O212" i="163"/>
  <c r="O213" i="163"/>
  <c r="O214" i="163"/>
  <c r="E23" i="162"/>
  <c r="B23" i="162"/>
  <c r="G23" i="162"/>
  <c r="H23" i="162"/>
  <c r="O215" i="163"/>
  <c r="O216" i="163"/>
  <c r="O217" i="163"/>
  <c r="E38" i="162"/>
  <c r="B38" i="162"/>
  <c r="G38" i="162"/>
  <c r="H38" i="162"/>
  <c r="O218" i="163"/>
  <c r="O219" i="163"/>
  <c r="O220" i="163"/>
  <c r="O221" i="163"/>
  <c r="O222" i="163"/>
  <c r="O223" i="163"/>
  <c r="O224" i="163"/>
  <c r="O225" i="163"/>
  <c r="O226" i="163"/>
  <c r="O227" i="163"/>
  <c r="O228" i="163"/>
  <c r="O229" i="163"/>
  <c r="O230" i="163"/>
  <c r="O231" i="163"/>
  <c r="O232" i="163"/>
  <c r="O233" i="163"/>
  <c r="O234" i="163"/>
  <c r="O235" i="163"/>
  <c r="O236" i="163"/>
  <c r="O237" i="163"/>
  <c r="O238" i="163"/>
  <c r="O239" i="163"/>
  <c r="O240" i="163"/>
  <c r="O241" i="163"/>
  <c r="O242" i="163"/>
  <c r="O243" i="163"/>
  <c r="O244" i="163"/>
  <c r="O245" i="163"/>
  <c r="O246" i="163"/>
  <c r="O247" i="163"/>
  <c r="O248" i="163"/>
  <c r="O249" i="163"/>
  <c r="O250" i="163"/>
  <c r="O251" i="163"/>
  <c r="O252" i="163"/>
  <c r="O253" i="163"/>
  <c r="O254" i="163"/>
  <c r="O255" i="163"/>
  <c r="O256" i="163"/>
  <c r="O257" i="163"/>
  <c r="O258" i="163"/>
  <c r="O259" i="163"/>
  <c r="O260" i="163"/>
  <c r="O261" i="163"/>
  <c r="E22" i="162"/>
  <c r="B22" i="162"/>
  <c r="G22" i="162"/>
  <c r="H22" i="162"/>
  <c r="O262" i="163"/>
  <c r="O263" i="163"/>
  <c r="O264" i="163"/>
  <c r="O265" i="163"/>
  <c r="G29" i="162"/>
  <c r="H29" i="162"/>
  <c r="O266" i="163"/>
  <c r="E44" i="162"/>
  <c r="B44" i="162"/>
  <c r="G44" i="162"/>
  <c r="H44" i="162"/>
  <c r="O267" i="163"/>
  <c r="O268" i="163"/>
  <c r="O269" i="163"/>
  <c r="O270" i="163"/>
  <c r="O271" i="163"/>
  <c r="E37" i="162"/>
  <c r="B37" i="162"/>
  <c r="G37" i="162"/>
  <c r="H37" i="162"/>
  <c r="O272" i="163"/>
  <c r="O273" i="163"/>
  <c r="O274" i="163"/>
  <c r="O275" i="163"/>
  <c r="O276" i="163"/>
  <c r="O277" i="163"/>
  <c r="O278" i="163"/>
  <c r="O279" i="163"/>
  <c r="O280" i="163"/>
  <c r="O281" i="163"/>
  <c r="O282" i="163"/>
  <c r="O283" i="163"/>
  <c r="O284" i="163"/>
  <c r="O285" i="163"/>
  <c r="O286" i="163"/>
  <c r="O287" i="163"/>
  <c r="O288" i="163"/>
  <c r="O289" i="163"/>
  <c r="O290" i="163"/>
  <c r="O291" i="163"/>
  <c r="O292" i="163"/>
  <c r="O293" i="163"/>
  <c r="O294" i="163"/>
  <c r="O295" i="163"/>
  <c r="O296" i="163"/>
  <c r="O297" i="163"/>
  <c r="O298" i="163"/>
  <c r="O299" i="163"/>
  <c r="O300" i="163"/>
  <c r="O301" i="163"/>
  <c r="O302" i="163"/>
  <c r="O303" i="163"/>
  <c r="O304" i="163"/>
  <c r="O305" i="163"/>
  <c r="O306" i="163"/>
  <c r="O307" i="163"/>
  <c r="O308" i="163"/>
  <c r="O309" i="163"/>
  <c r="O310" i="163"/>
  <c r="O311" i="163"/>
  <c r="O312" i="163"/>
  <c r="O313" i="163"/>
  <c r="O314" i="163"/>
  <c r="O315" i="163"/>
  <c r="O316" i="163"/>
  <c r="O317" i="163"/>
  <c r="O318" i="163"/>
  <c r="O319" i="163"/>
  <c r="O320" i="163"/>
  <c r="O321" i="163"/>
  <c r="O322" i="163"/>
  <c r="O323" i="163"/>
  <c r="O324" i="163"/>
  <c r="O325" i="163"/>
  <c r="O326" i="163"/>
  <c r="O327" i="163"/>
  <c r="O328" i="163"/>
  <c r="O329" i="163"/>
  <c r="O330" i="163"/>
  <c r="O331" i="163"/>
  <c r="O332" i="163"/>
  <c r="O333" i="163"/>
  <c r="O334" i="163"/>
  <c r="O335" i="163"/>
  <c r="O336" i="163"/>
  <c r="O337" i="163"/>
  <c r="O338" i="163"/>
  <c r="O339" i="163"/>
  <c r="O340" i="163"/>
  <c r="P341" i="163"/>
  <c r="N341" i="163"/>
  <c r="M341" i="163"/>
  <c r="L341" i="163"/>
  <c r="H341" i="163"/>
  <c r="A341" i="163"/>
  <c r="P340" i="163"/>
  <c r="N340" i="163"/>
  <c r="M340" i="163"/>
  <c r="L340" i="163"/>
  <c r="H340" i="163"/>
  <c r="A340" i="163"/>
  <c r="P339" i="163"/>
  <c r="N339" i="163"/>
  <c r="M339" i="163"/>
  <c r="L339" i="163"/>
  <c r="H339" i="163"/>
  <c r="A339" i="163"/>
  <c r="P338" i="163"/>
  <c r="N338" i="163"/>
  <c r="M338" i="163"/>
  <c r="L338" i="163"/>
  <c r="H338" i="163"/>
  <c r="A338" i="163"/>
  <c r="P337" i="163"/>
  <c r="N337" i="163"/>
  <c r="M337" i="163"/>
  <c r="L337" i="163"/>
  <c r="H337" i="163"/>
  <c r="A337" i="163"/>
  <c r="P336" i="163"/>
  <c r="N336" i="163"/>
  <c r="M336" i="163"/>
  <c r="L336" i="163"/>
  <c r="H336" i="163"/>
  <c r="A336" i="163"/>
  <c r="P335" i="163"/>
  <c r="N335" i="163"/>
  <c r="M335" i="163"/>
  <c r="L335" i="163"/>
  <c r="H335" i="163"/>
  <c r="A335" i="163"/>
  <c r="P334" i="163"/>
  <c r="N334" i="163"/>
  <c r="M334" i="163"/>
  <c r="L334" i="163"/>
  <c r="H334" i="163"/>
  <c r="A334" i="163"/>
  <c r="P333" i="163"/>
  <c r="N333" i="163"/>
  <c r="M333" i="163"/>
  <c r="L333" i="163"/>
  <c r="H333" i="163"/>
  <c r="A333" i="163"/>
  <c r="P332" i="163"/>
  <c r="N332" i="163"/>
  <c r="M332" i="163"/>
  <c r="L332" i="163"/>
  <c r="H332" i="163"/>
  <c r="A332" i="163"/>
  <c r="P331" i="163"/>
  <c r="N331" i="163"/>
  <c r="M331" i="163"/>
  <c r="L331" i="163"/>
  <c r="H331" i="163"/>
  <c r="A331" i="163"/>
  <c r="P330" i="163"/>
  <c r="N330" i="163"/>
  <c r="M330" i="163"/>
  <c r="L330" i="163"/>
  <c r="H330" i="163"/>
  <c r="A330" i="163"/>
  <c r="P329" i="163"/>
  <c r="N329" i="163"/>
  <c r="M329" i="163"/>
  <c r="L329" i="163"/>
  <c r="H329" i="163"/>
  <c r="A329" i="163"/>
  <c r="P328" i="163"/>
  <c r="N328" i="163"/>
  <c r="M328" i="163"/>
  <c r="L328" i="163"/>
  <c r="H328" i="163"/>
  <c r="A328" i="163"/>
  <c r="P327" i="163"/>
  <c r="N327" i="163"/>
  <c r="M327" i="163"/>
  <c r="L327" i="163"/>
  <c r="H327" i="163"/>
  <c r="A327" i="163"/>
  <c r="P326" i="163"/>
  <c r="N326" i="163"/>
  <c r="M326" i="163"/>
  <c r="L326" i="163"/>
  <c r="H326" i="163"/>
  <c r="A326" i="163"/>
  <c r="P325" i="163"/>
  <c r="N325" i="163"/>
  <c r="M325" i="163"/>
  <c r="L325" i="163"/>
  <c r="H325" i="163"/>
  <c r="A325" i="163"/>
  <c r="P324" i="163"/>
  <c r="N324" i="163"/>
  <c r="M324" i="163"/>
  <c r="L324" i="163"/>
  <c r="H324" i="163"/>
  <c r="A324" i="163"/>
  <c r="P323" i="163"/>
  <c r="N323" i="163"/>
  <c r="M323" i="163"/>
  <c r="L323" i="163"/>
  <c r="H323" i="163"/>
  <c r="A323" i="163"/>
  <c r="P322" i="163"/>
  <c r="N322" i="163"/>
  <c r="M322" i="163"/>
  <c r="L322" i="163"/>
  <c r="H322" i="163"/>
  <c r="A322" i="163"/>
  <c r="P321" i="163"/>
  <c r="N321" i="163"/>
  <c r="M321" i="163"/>
  <c r="L321" i="163"/>
  <c r="H321" i="163"/>
  <c r="A321" i="163"/>
  <c r="P320" i="163"/>
  <c r="N320" i="163"/>
  <c r="M320" i="163"/>
  <c r="L320" i="163"/>
  <c r="H320" i="163"/>
  <c r="A320" i="163"/>
  <c r="P319" i="163"/>
  <c r="N319" i="163"/>
  <c r="M319" i="163"/>
  <c r="L319" i="163"/>
  <c r="H319" i="163"/>
  <c r="A319" i="163"/>
  <c r="P318" i="163"/>
  <c r="N318" i="163"/>
  <c r="M318" i="163"/>
  <c r="L318" i="163"/>
  <c r="H318" i="163"/>
  <c r="A318" i="163"/>
  <c r="P317" i="163"/>
  <c r="N317" i="163"/>
  <c r="M317" i="163"/>
  <c r="L317" i="163"/>
  <c r="H317" i="163"/>
  <c r="A317" i="163"/>
  <c r="P316" i="163"/>
  <c r="N316" i="163"/>
  <c r="M316" i="163"/>
  <c r="L316" i="163"/>
  <c r="H316" i="163"/>
  <c r="A316" i="163"/>
  <c r="P315" i="163"/>
  <c r="N315" i="163"/>
  <c r="M315" i="163"/>
  <c r="L315" i="163"/>
  <c r="H315" i="163"/>
  <c r="A315" i="163"/>
  <c r="P314" i="163"/>
  <c r="N314" i="163"/>
  <c r="M314" i="163"/>
  <c r="L314" i="163"/>
  <c r="H314" i="163"/>
  <c r="A314" i="163"/>
  <c r="P313" i="163"/>
  <c r="N313" i="163"/>
  <c r="M313" i="163"/>
  <c r="L313" i="163"/>
  <c r="H313" i="163"/>
  <c r="A313" i="163"/>
  <c r="P312" i="163"/>
  <c r="N312" i="163"/>
  <c r="M312" i="163"/>
  <c r="L312" i="163"/>
  <c r="H312" i="163"/>
  <c r="A312" i="163"/>
  <c r="P311" i="163"/>
  <c r="N311" i="163"/>
  <c r="M311" i="163"/>
  <c r="L311" i="163"/>
  <c r="H311" i="163"/>
  <c r="A311" i="163"/>
  <c r="P310" i="163"/>
  <c r="N310" i="163"/>
  <c r="M310" i="163"/>
  <c r="L310" i="163"/>
  <c r="H310" i="163"/>
  <c r="A310" i="163"/>
  <c r="P309" i="163"/>
  <c r="N309" i="163"/>
  <c r="M309" i="163"/>
  <c r="L309" i="163"/>
  <c r="H309" i="163"/>
  <c r="A309" i="163"/>
  <c r="P308" i="163"/>
  <c r="N308" i="163"/>
  <c r="M308" i="163"/>
  <c r="L308" i="163"/>
  <c r="H308" i="163"/>
  <c r="A308" i="163"/>
  <c r="P307" i="163"/>
  <c r="N307" i="163"/>
  <c r="M307" i="163"/>
  <c r="L307" i="163"/>
  <c r="H307" i="163"/>
  <c r="A307" i="163"/>
  <c r="P306" i="163"/>
  <c r="N306" i="163"/>
  <c r="M306" i="163"/>
  <c r="L306" i="163"/>
  <c r="H306" i="163"/>
  <c r="A306" i="163"/>
  <c r="P305" i="163"/>
  <c r="N305" i="163"/>
  <c r="M305" i="163"/>
  <c r="L305" i="163"/>
  <c r="H305" i="163"/>
  <c r="A305" i="163"/>
  <c r="P304" i="163"/>
  <c r="N304" i="163"/>
  <c r="M304" i="163"/>
  <c r="L304" i="163"/>
  <c r="H304" i="163"/>
  <c r="A304" i="163"/>
  <c r="P303" i="163"/>
  <c r="N303" i="163"/>
  <c r="M303" i="163"/>
  <c r="L303" i="163"/>
  <c r="H303" i="163"/>
  <c r="A303" i="163"/>
  <c r="P302" i="163"/>
  <c r="N302" i="163"/>
  <c r="M302" i="163"/>
  <c r="L302" i="163"/>
  <c r="H302" i="163"/>
  <c r="A302" i="163"/>
  <c r="P301" i="163"/>
  <c r="N301" i="163"/>
  <c r="M301" i="163"/>
  <c r="L301" i="163"/>
  <c r="H301" i="163"/>
  <c r="A301" i="163"/>
  <c r="P300" i="163"/>
  <c r="N300" i="163"/>
  <c r="M300" i="163"/>
  <c r="L300" i="163"/>
  <c r="H300" i="163"/>
  <c r="A300" i="163"/>
  <c r="P299" i="163"/>
  <c r="N299" i="163"/>
  <c r="M299" i="163"/>
  <c r="L299" i="163"/>
  <c r="H299" i="163"/>
  <c r="A299" i="163"/>
  <c r="P298" i="163"/>
  <c r="N298" i="163"/>
  <c r="M298" i="163"/>
  <c r="L298" i="163"/>
  <c r="H298" i="163"/>
  <c r="A298" i="163"/>
  <c r="P297" i="163"/>
  <c r="N297" i="163"/>
  <c r="M297" i="163"/>
  <c r="L297" i="163"/>
  <c r="H297" i="163"/>
  <c r="A297" i="163"/>
  <c r="P296" i="163"/>
  <c r="N296" i="163"/>
  <c r="M296" i="163"/>
  <c r="L296" i="163"/>
  <c r="H296" i="163"/>
  <c r="A296" i="163"/>
  <c r="P295" i="163"/>
  <c r="N295" i="163"/>
  <c r="M295" i="163"/>
  <c r="L295" i="163"/>
  <c r="H295" i="163"/>
  <c r="A295" i="163"/>
  <c r="P294" i="163"/>
  <c r="N294" i="163"/>
  <c r="M294" i="163"/>
  <c r="L294" i="163"/>
  <c r="H294" i="163"/>
  <c r="A294" i="163"/>
  <c r="P293" i="163"/>
  <c r="N293" i="163"/>
  <c r="M293" i="163"/>
  <c r="L293" i="163"/>
  <c r="H293" i="163"/>
  <c r="A293" i="163"/>
  <c r="P292" i="163"/>
  <c r="N292" i="163"/>
  <c r="M292" i="163"/>
  <c r="L292" i="163"/>
  <c r="H292" i="163"/>
  <c r="A292" i="163"/>
  <c r="P291" i="163"/>
  <c r="N291" i="163"/>
  <c r="M291" i="163"/>
  <c r="L291" i="163"/>
  <c r="H291" i="163"/>
  <c r="A291" i="163"/>
  <c r="P290" i="163"/>
  <c r="N290" i="163"/>
  <c r="M290" i="163"/>
  <c r="L290" i="163"/>
  <c r="H290" i="163"/>
  <c r="A290" i="163"/>
  <c r="P289" i="163"/>
  <c r="N289" i="163"/>
  <c r="M289" i="163"/>
  <c r="L289" i="163"/>
  <c r="H289" i="163"/>
  <c r="A289" i="163"/>
  <c r="P288" i="163"/>
  <c r="N288" i="163"/>
  <c r="M288" i="163"/>
  <c r="L288" i="163"/>
  <c r="H288" i="163"/>
  <c r="A288" i="163"/>
  <c r="P287" i="163"/>
  <c r="N287" i="163"/>
  <c r="M287" i="163"/>
  <c r="L287" i="163"/>
  <c r="H287" i="163"/>
  <c r="A287" i="163"/>
  <c r="P286" i="163"/>
  <c r="N286" i="163"/>
  <c r="M286" i="163"/>
  <c r="L286" i="163"/>
  <c r="H286" i="163"/>
  <c r="A286" i="163"/>
  <c r="P285" i="163"/>
  <c r="N285" i="163"/>
  <c r="M285" i="163"/>
  <c r="L285" i="163"/>
  <c r="H285" i="163"/>
  <c r="A285" i="163"/>
  <c r="P284" i="163"/>
  <c r="N284" i="163"/>
  <c r="M284" i="163"/>
  <c r="L284" i="163"/>
  <c r="H284" i="163"/>
  <c r="A284" i="163"/>
  <c r="P283" i="163"/>
  <c r="N283" i="163"/>
  <c r="M283" i="163"/>
  <c r="L283" i="163"/>
  <c r="H283" i="163"/>
  <c r="A283" i="163"/>
  <c r="P282" i="163"/>
  <c r="N282" i="163"/>
  <c r="M282" i="163"/>
  <c r="L282" i="163"/>
  <c r="H282" i="163"/>
  <c r="A282" i="163"/>
  <c r="P281" i="163"/>
  <c r="N281" i="163"/>
  <c r="M281" i="163"/>
  <c r="L281" i="163"/>
  <c r="H281" i="163"/>
  <c r="A281" i="163"/>
  <c r="P280" i="163"/>
  <c r="N280" i="163"/>
  <c r="M280" i="163"/>
  <c r="L280" i="163"/>
  <c r="H280" i="163"/>
  <c r="A280" i="163"/>
  <c r="P279" i="163"/>
  <c r="N279" i="163"/>
  <c r="M279" i="163"/>
  <c r="L279" i="163"/>
  <c r="H279" i="163"/>
  <c r="A279" i="163"/>
  <c r="P278" i="163"/>
  <c r="N278" i="163"/>
  <c r="M278" i="163"/>
  <c r="L278" i="163"/>
  <c r="H278" i="163"/>
  <c r="A278" i="163"/>
  <c r="P277" i="163"/>
  <c r="N277" i="163"/>
  <c r="M277" i="163"/>
  <c r="L277" i="163"/>
  <c r="H277" i="163"/>
  <c r="A277" i="163"/>
  <c r="P276" i="163"/>
  <c r="N276" i="163"/>
  <c r="M276" i="163"/>
  <c r="L276" i="163"/>
  <c r="H276" i="163"/>
  <c r="A276" i="163"/>
  <c r="P275" i="163"/>
  <c r="N275" i="163"/>
  <c r="M275" i="163"/>
  <c r="L275" i="163"/>
  <c r="H275" i="163"/>
  <c r="A275" i="163"/>
  <c r="P274" i="163"/>
  <c r="N274" i="163"/>
  <c r="M274" i="163"/>
  <c r="L274" i="163"/>
  <c r="H274" i="163"/>
  <c r="A274" i="163"/>
  <c r="P273" i="163"/>
  <c r="N273" i="163"/>
  <c r="M273" i="163"/>
  <c r="L273" i="163"/>
  <c r="H273" i="163"/>
  <c r="A273" i="163"/>
  <c r="P272" i="163"/>
  <c r="N272" i="163"/>
  <c r="M272" i="163"/>
  <c r="L272" i="163"/>
  <c r="H272" i="163"/>
  <c r="A272" i="163"/>
  <c r="P271" i="163"/>
  <c r="N271" i="163"/>
  <c r="M271" i="163"/>
  <c r="L271" i="163"/>
  <c r="H271" i="163"/>
  <c r="A271" i="163"/>
  <c r="P270" i="163"/>
  <c r="N270" i="163"/>
  <c r="M270" i="163"/>
  <c r="L270" i="163"/>
  <c r="H270" i="163"/>
  <c r="A270" i="163"/>
  <c r="P269" i="163"/>
  <c r="N269" i="163"/>
  <c r="M269" i="163"/>
  <c r="L269" i="163"/>
  <c r="H269" i="163"/>
  <c r="A269" i="163"/>
  <c r="P268" i="163"/>
  <c r="N268" i="163"/>
  <c r="M268" i="163"/>
  <c r="L268" i="163"/>
  <c r="H268" i="163"/>
  <c r="A268" i="163"/>
  <c r="P267" i="163"/>
  <c r="N267" i="163"/>
  <c r="M267" i="163"/>
  <c r="L267" i="163"/>
  <c r="H267" i="163"/>
  <c r="A267" i="163"/>
  <c r="P266" i="163"/>
  <c r="N266" i="163"/>
  <c r="M266" i="163"/>
  <c r="L266" i="163"/>
  <c r="H266" i="163"/>
  <c r="A266" i="163"/>
  <c r="P265" i="163"/>
  <c r="N265" i="163"/>
  <c r="M265" i="163"/>
  <c r="L265" i="163"/>
  <c r="H265" i="163"/>
  <c r="A265" i="163"/>
  <c r="P264" i="163"/>
  <c r="N264" i="163"/>
  <c r="M264" i="163"/>
  <c r="L264" i="163"/>
  <c r="H264" i="163"/>
  <c r="A264" i="163"/>
  <c r="P263" i="163"/>
  <c r="N263" i="163"/>
  <c r="M263" i="163"/>
  <c r="L263" i="163"/>
  <c r="H263" i="163"/>
  <c r="A263" i="163"/>
  <c r="P262" i="163"/>
  <c r="N262" i="163"/>
  <c r="M262" i="163"/>
  <c r="L262" i="163"/>
  <c r="H262" i="163"/>
  <c r="A262" i="163"/>
  <c r="P261" i="163"/>
  <c r="N261" i="163"/>
  <c r="M261" i="163"/>
  <c r="L261" i="163"/>
  <c r="H261" i="163"/>
  <c r="A261" i="163"/>
  <c r="P260" i="163"/>
  <c r="N260" i="163"/>
  <c r="M260" i="163"/>
  <c r="L260" i="163"/>
  <c r="H260" i="163"/>
  <c r="A260" i="163"/>
  <c r="P259" i="163"/>
  <c r="N259" i="163"/>
  <c r="M259" i="163"/>
  <c r="L259" i="163"/>
  <c r="H259" i="163"/>
  <c r="A259" i="163"/>
  <c r="P258" i="163"/>
  <c r="N258" i="163"/>
  <c r="M258" i="163"/>
  <c r="L258" i="163"/>
  <c r="H258" i="163"/>
  <c r="A258" i="163"/>
  <c r="P257" i="163"/>
  <c r="N257" i="163"/>
  <c r="M257" i="163"/>
  <c r="L257" i="163"/>
  <c r="H257" i="163"/>
  <c r="A257" i="163"/>
  <c r="P256" i="163"/>
  <c r="N256" i="163"/>
  <c r="M256" i="163"/>
  <c r="L256" i="163"/>
  <c r="H256" i="163"/>
  <c r="A256" i="163"/>
  <c r="P255" i="163"/>
  <c r="N255" i="163"/>
  <c r="M255" i="163"/>
  <c r="L255" i="163"/>
  <c r="H255" i="163"/>
  <c r="A255" i="163"/>
  <c r="P254" i="163"/>
  <c r="N254" i="163"/>
  <c r="M254" i="163"/>
  <c r="L254" i="163"/>
  <c r="H254" i="163"/>
  <c r="A254" i="163"/>
  <c r="P253" i="163"/>
  <c r="N253" i="163"/>
  <c r="M253" i="163"/>
  <c r="L253" i="163"/>
  <c r="H253" i="163"/>
  <c r="A253" i="163"/>
  <c r="P252" i="163"/>
  <c r="N252" i="163"/>
  <c r="M252" i="163"/>
  <c r="L252" i="163"/>
  <c r="H252" i="163"/>
  <c r="A252" i="163"/>
  <c r="P251" i="163"/>
  <c r="N251" i="163"/>
  <c r="M251" i="163"/>
  <c r="L251" i="163"/>
  <c r="H251" i="163"/>
  <c r="A251" i="163"/>
  <c r="P250" i="163"/>
  <c r="N250" i="163"/>
  <c r="M250" i="163"/>
  <c r="L250" i="163"/>
  <c r="H250" i="163"/>
  <c r="A250" i="163"/>
  <c r="P249" i="163"/>
  <c r="N249" i="163"/>
  <c r="M249" i="163"/>
  <c r="L249" i="163"/>
  <c r="H249" i="163"/>
  <c r="A249" i="163"/>
  <c r="P248" i="163"/>
  <c r="N248" i="163"/>
  <c r="M248" i="163"/>
  <c r="L248" i="163"/>
  <c r="H248" i="163"/>
  <c r="A248" i="163"/>
  <c r="P247" i="163"/>
  <c r="N247" i="163"/>
  <c r="M247" i="163"/>
  <c r="L247" i="163"/>
  <c r="H247" i="163"/>
  <c r="A247" i="163"/>
  <c r="P246" i="163"/>
  <c r="N246" i="163"/>
  <c r="M246" i="163"/>
  <c r="L246" i="163"/>
  <c r="H246" i="163"/>
  <c r="A246" i="163"/>
  <c r="P245" i="163"/>
  <c r="N245" i="163"/>
  <c r="M245" i="163"/>
  <c r="L245" i="163"/>
  <c r="H245" i="163"/>
  <c r="A245" i="163"/>
  <c r="P244" i="163"/>
  <c r="N244" i="163"/>
  <c r="M244" i="163"/>
  <c r="L244" i="163"/>
  <c r="H244" i="163"/>
  <c r="A244" i="163"/>
  <c r="P243" i="163"/>
  <c r="N243" i="163"/>
  <c r="M243" i="163"/>
  <c r="L243" i="163"/>
  <c r="H243" i="163"/>
  <c r="A243" i="163"/>
  <c r="P242" i="163"/>
  <c r="N242" i="163"/>
  <c r="M242" i="163"/>
  <c r="L242" i="163"/>
  <c r="H242" i="163"/>
  <c r="A242" i="163"/>
  <c r="P241" i="163"/>
  <c r="N241" i="163"/>
  <c r="M241" i="163"/>
  <c r="L241" i="163"/>
  <c r="H241" i="163"/>
  <c r="A241" i="163"/>
  <c r="P240" i="163"/>
  <c r="N240" i="163"/>
  <c r="M240" i="163"/>
  <c r="L240" i="163"/>
  <c r="H240" i="163"/>
  <c r="A240" i="163"/>
  <c r="P239" i="163"/>
  <c r="N239" i="163"/>
  <c r="M239" i="163"/>
  <c r="L239" i="163"/>
  <c r="H239" i="163"/>
  <c r="A239" i="163"/>
  <c r="P238" i="163"/>
  <c r="N238" i="163"/>
  <c r="M238" i="163"/>
  <c r="L238" i="163"/>
  <c r="H238" i="163"/>
  <c r="A238" i="163"/>
  <c r="P237" i="163"/>
  <c r="N237" i="163"/>
  <c r="M237" i="163"/>
  <c r="L237" i="163"/>
  <c r="H237" i="163"/>
  <c r="A237" i="163"/>
  <c r="P236" i="163"/>
  <c r="N236" i="163"/>
  <c r="M236" i="163"/>
  <c r="L236" i="163"/>
  <c r="H236" i="163"/>
  <c r="A236" i="163"/>
  <c r="P235" i="163"/>
  <c r="N235" i="163"/>
  <c r="M235" i="163"/>
  <c r="L235" i="163"/>
  <c r="H235" i="163"/>
  <c r="A235" i="163"/>
  <c r="P234" i="163"/>
  <c r="N234" i="163"/>
  <c r="M234" i="163"/>
  <c r="L234" i="163"/>
  <c r="H234" i="163"/>
  <c r="A234" i="163"/>
  <c r="P233" i="163"/>
  <c r="N233" i="163"/>
  <c r="M233" i="163"/>
  <c r="L233" i="163"/>
  <c r="H233" i="163"/>
  <c r="A233" i="163"/>
  <c r="P232" i="163"/>
  <c r="N232" i="163"/>
  <c r="M232" i="163"/>
  <c r="L232" i="163"/>
  <c r="H232" i="163"/>
  <c r="A232" i="163"/>
  <c r="P231" i="163"/>
  <c r="N231" i="163"/>
  <c r="M231" i="163"/>
  <c r="L231" i="163"/>
  <c r="H231" i="163"/>
  <c r="A231" i="163"/>
  <c r="P230" i="163"/>
  <c r="N230" i="163"/>
  <c r="M230" i="163"/>
  <c r="L230" i="163"/>
  <c r="H230" i="163"/>
  <c r="A230" i="163"/>
  <c r="P229" i="163"/>
  <c r="N229" i="163"/>
  <c r="M229" i="163"/>
  <c r="L229" i="163"/>
  <c r="H229" i="163"/>
  <c r="A229" i="163"/>
  <c r="P228" i="163"/>
  <c r="N228" i="163"/>
  <c r="M228" i="163"/>
  <c r="L228" i="163"/>
  <c r="H228" i="163"/>
  <c r="A228" i="163"/>
  <c r="P227" i="163"/>
  <c r="N227" i="163"/>
  <c r="M227" i="163"/>
  <c r="L227" i="163"/>
  <c r="H227" i="163"/>
  <c r="A227" i="163"/>
  <c r="P226" i="163"/>
  <c r="N226" i="163"/>
  <c r="M226" i="163"/>
  <c r="L226" i="163"/>
  <c r="H226" i="163"/>
  <c r="A226" i="163"/>
  <c r="P225" i="163"/>
  <c r="N225" i="163"/>
  <c r="M225" i="163"/>
  <c r="L225" i="163"/>
  <c r="H225" i="163"/>
  <c r="A225" i="163"/>
  <c r="P224" i="163"/>
  <c r="N224" i="163"/>
  <c r="M224" i="163"/>
  <c r="L224" i="163"/>
  <c r="H224" i="163"/>
  <c r="A224" i="163"/>
  <c r="P223" i="163"/>
  <c r="N223" i="163"/>
  <c r="M223" i="163"/>
  <c r="L223" i="163"/>
  <c r="H223" i="163"/>
  <c r="A223" i="163"/>
  <c r="P222" i="163"/>
  <c r="N222" i="163"/>
  <c r="M222" i="163"/>
  <c r="L222" i="163"/>
  <c r="H222" i="163"/>
  <c r="A222" i="163"/>
  <c r="P221" i="163"/>
  <c r="N221" i="163"/>
  <c r="M221" i="163"/>
  <c r="L221" i="163"/>
  <c r="H221" i="163"/>
  <c r="A221" i="163"/>
  <c r="P220" i="163"/>
  <c r="N220" i="163"/>
  <c r="M220" i="163"/>
  <c r="L220" i="163"/>
  <c r="H220" i="163"/>
  <c r="A220" i="163"/>
  <c r="P219" i="163"/>
  <c r="N219" i="163"/>
  <c r="M219" i="163"/>
  <c r="L219" i="163"/>
  <c r="H219" i="163"/>
  <c r="A219" i="163"/>
  <c r="P218" i="163"/>
  <c r="N218" i="163"/>
  <c r="M218" i="163"/>
  <c r="L218" i="163"/>
  <c r="H218" i="163"/>
  <c r="A218" i="163"/>
  <c r="P217" i="163"/>
  <c r="N217" i="163"/>
  <c r="M217" i="163"/>
  <c r="L217" i="163"/>
  <c r="H217" i="163"/>
  <c r="A217" i="163"/>
  <c r="P216" i="163"/>
  <c r="N216" i="163"/>
  <c r="M216" i="163"/>
  <c r="L216" i="163"/>
  <c r="H216" i="163"/>
  <c r="A216" i="163"/>
  <c r="P215" i="163"/>
  <c r="N215" i="163"/>
  <c r="M215" i="163"/>
  <c r="L215" i="163"/>
  <c r="H215" i="163"/>
  <c r="A215" i="163"/>
  <c r="P214" i="163"/>
  <c r="N214" i="163"/>
  <c r="M214" i="163"/>
  <c r="L214" i="163"/>
  <c r="H214" i="163"/>
  <c r="A214" i="163"/>
  <c r="P213" i="163"/>
  <c r="N213" i="163"/>
  <c r="M213" i="163"/>
  <c r="L213" i="163"/>
  <c r="H213" i="163"/>
  <c r="A213" i="163"/>
  <c r="P212" i="163"/>
  <c r="N212" i="163"/>
  <c r="M212" i="163"/>
  <c r="L212" i="163"/>
  <c r="H212" i="163"/>
  <c r="A212" i="163"/>
  <c r="P211" i="163"/>
  <c r="N211" i="163"/>
  <c r="M211" i="163"/>
  <c r="L211" i="163"/>
  <c r="H211" i="163"/>
  <c r="A211" i="163"/>
  <c r="P210" i="163"/>
  <c r="N210" i="163"/>
  <c r="M210" i="163"/>
  <c r="L210" i="163"/>
  <c r="H210" i="163"/>
  <c r="A210" i="163"/>
  <c r="P209" i="163"/>
  <c r="N209" i="163"/>
  <c r="M209" i="163"/>
  <c r="L209" i="163"/>
  <c r="H209" i="163"/>
  <c r="A209" i="163"/>
  <c r="P208" i="163"/>
  <c r="N208" i="163"/>
  <c r="M208" i="163"/>
  <c r="L208" i="163"/>
  <c r="H208" i="163"/>
  <c r="A208" i="163"/>
  <c r="P207" i="163"/>
  <c r="N207" i="163"/>
  <c r="M207" i="163"/>
  <c r="L207" i="163"/>
  <c r="H207" i="163"/>
  <c r="A207" i="163"/>
  <c r="P206" i="163"/>
  <c r="N206" i="163"/>
  <c r="M206" i="163"/>
  <c r="L206" i="163"/>
  <c r="H206" i="163"/>
  <c r="A206" i="163"/>
  <c r="P205" i="163"/>
  <c r="N205" i="163"/>
  <c r="M205" i="163"/>
  <c r="L205" i="163"/>
  <c r="H205" i="163"/>
  <c r="A205" i="163"/>
  <c r="P204" i="163"/>
  <c r="N204" i="163"/>
  <c r="M204" i="163"/>
  <c r="L204" i="163"/>
  <c r="H204" i="163"/>
  <c r="A204" i="163"/>
  <c r="P203" i="163"/>
  <c r="N203" i="163"/>
  <c r="M203" i="163"/>
  <c r="L203" i="163"/>
  <c r="H203" i="163"/>
  <c r="A203" i="163"/>
  <c r="P202" i="163"/>
  <c r="N202" i="163"/>
  <c r="M202" i="163"/>
  <c r="L202" i="163"/>
  <c r="H202" i="163"/>
  <c r="A202" i="163"/>
  <c r="P201" i="163"/>
  <c r="N201" i="163"/>
  <c r="M201" i="163"/>
  <c r="L201" i="163"/>
  <c r="H201" i="163"/>
  <c r="A201" i="163"/>
  <c r="P200" i="163"/>
  <c r="N200" i="163"/>
  <c r="M200" i="163"/>
  <c r="L200" i="163"/>
  <c r="H200" i="163"/>
  <c r="A200" i="163"/>
  <c r="P199" i="163"/>
  <c r="N199" i="163"/>
  <c r="M199" i="163"/>
  <c r="L199" i="163"/>
  <c r="H199" i="163"/>
  <c r="A199" i="163"/>
  <c r="P198" i="163"/>
  <c r="N198" i="163"/>
  <c r="M198" i="163"/>
  <c r="L198" i="163"/>
  <c r="H198" i="163"/>
  <c r="A198" i="163"/>
  <c r="P197" i="163"/>
  <c r="N197" i="163"/>
  <c r="M197" i="163"/>
  <c r="L197" i="163"/>
  <c r="H197" i="163"/>
  <c r="A197" i="163"/>
  <c r="P196" i="163"/>
  <c r="N196" i="163"/>
  <c r="M196" i="163"/>
  <c r="L196" i="163"/>
  <c r="H196" i="163"/>
  <c r="A196" i="163"/>
  <c r="P195" i="163"/>
  <c r="N195" i="163"/>
  <c r="M195" i="163"/>
  <c r="L195" i="163"/>
  <c r="H195" i="163"/>
  <c r="A195" i="163"/>
  <c r="P194" i="163"/>
  <c r="N194" i="163"/>
  <c r="M194" i="163"/>
  <c r="L194" i="163"/>
  <c r="H194" i="163"/>
  <c r="A194" i="163"/>
  <c r="P193" i="163"/>
  <c r="N193" i="163"/>
  <c r="M193" i="163"/>
  <c r="L193" i="163"/>
  <c r="H193" i="163"/>
  <c r="A193" i="163"/>
  <c r="P192" i="163"/>
  <c r="N192" i="163"/>
  <c r="M192" i="163"/>
  <c r="L192" i="163"/>
  <c r="H192" i="163"/>
  <c r="A192" i="163"/>
  <c r="P191" i="163"/>
  <c r="N191" i="163"/>
  <c r="M191" i="163"/>
  <c r="L191" i="163"/>
  <c r="H191" i="163"/>
  <c r="A191" i="163"/>
  <c r="P190" i="163"/>
  <c r="N190" i="163"/>
  <c r="M190" i="163"/>
  <c r="L190" i="163"/>
  <c r="H190" i="163"/>
  <c r="A190" i="163"/>
  <c r="P189" i="163"/>
  <c r="N189" i="163"/>
  <c r="M189" i="163"/>
  <c r="L189" i="163"/>
  <c r="H189" i="163"/>
  <c r="A189" i="163"/>
  <c r="P188" i="163"/>
  <c r="N188" i="163"/>
  <c r="M188" i="163"/>
  <c r="L188" i="163"/>
  <c r="H188" i="163"/>
  <c r="A188" i="163"/>
  <c r="P187" i="163"/>
  <c r="N187" i="163"/>
  <c r="M187" i="163"/>
  <c r="L187" i="163"/>
  <c r="H187" i="163"/>
  <c r="A187" i="163"/>
  <c r="P186" i="163"/>
  <c r="N186" i="163"/>
  <c r="M186" i="163"/>
  <c r="L186" i="163"/>
  <c r="H186" i="163"/>
  <c r="A186" i="163"/>
  <c r="P185" i="163"/>
  <c r="N185" i="163"/>
  <c r="M185" i="163"/>
  <c r="L185" i="163"/>
  <c r="H185" i="163"/>
  <c r="A185" i="163"/>
  <c r="P184" i="163"/>
  <c r="N184" i="163"/>
  <c r="M184" i="163"/>
  <c r="L184" i="163"/>
  <c r="H184" i="163"/>
  <c r="A184" i="163"/>
  <c r="P183" i="163"/>
  <c r="N183" i="163"/>
  <c r="M183" i="163"/>
  <c r="L183" i="163"/>
  <c r="H183" i="163"/>
  <c r="A183" i="163"/>
  <c r="P182" i="163"/>
  <c r="N182" i="163"/>
  <c r="M182" i="163"/>
  <c r="L182" i="163"/>
  <c r="H182" i="163"/>
  <c r="A182" i="163"/>
  <c r="P181" i="163"/>
  <c r="N181" i="163"/>
  <c r="M181" i="163"/>
  <c r="L181" i="163"/>
  <c r="H181" i="163"/>
  <c r="A181" i="163"/>
  <c r="P180" i="163"/>
  <c r="N180" i="163"/>
  <c r="M180" i="163"/>
  <c r="L180" i="163"/>
  <c r="H180" i="163"/>
  <c r="A180" i="163"/>
  <c r="P179" i="163"/>
  <c r="N179" i="163"/>
  <c r="M179" i="163"/>
  <c r="L179" i="163"/>
  <c r="H179" i="163"/>
  <c r="A179" i="163"/>
  <c r="P178" i="163"/>
  <c r="N178" i="163"/>
  <c r="M178" i="163"/>
  <c r="L178" i="163"/>
  <c r="H178" i="163"/>
  <c r="A178" i="163"/>
  <c r="P177" i="163"/>
  <c r="N177" i="163"/>
  <c r="M177" i="163"/>
  <c r="L177" i="163"/>
  <c r="H177" i="163"/>
  <c r="A177" i="163"/>
  <c r="P176" i="163"/>
  <c r="N176" i="163"/>
  <c r="M176" i="163"/>
  <c r="L176" i="163"/>
  <c r="H176" i="163"/>
  <c r="A176" i="163"/>
  <c r="P175" i="163"/>
  <c r="N175" i="163"/>
  <c r="M175" i="163"/>
  <c r="L175" i="163"/>
  <c r="H175" i="163"/>
  <c r="A175" i="163"/>
  <c r="P174" i="163"/>
  <c r="N174" i="163"/>
  <c r="M174" i="163"/>
  <c r="L174" i="163"/>
  <c r="H174" i="163"/>
  <c r="A174" i="163"/>
  <c r="P173" i="163"/>
  <c r="N173" i="163"/>
  <c r="M173" i="163"/>
  <c r="L173" i="163"/>
  <c r="H173" i="163"/>
  <c r="A173" i="163"/>
  <c r="P172" i="163"/>
  <c r="N172" i="163"/>
  <c r="M172" i="163"/>
  <c r="L172" i="163"/>
  <c r="H172" i="163"/>
  <c r="A172" i="163"/>
  <c r="P171" i="163"/>
  <c r="N171" i="163"/>
  <c r="M171" i="163"/>
  <c r="L171" i="163"/>
  <c r="H171" i="163"/>
  <c r="A171" i="163"/>
  <c r="P170" i="163"/>
  <c r="N170" i="163"/>
  <c r="M170" i="163"/>
  <c r="L170" i="163"/>
  <c r="H170" i="163"/>
  <c r="A170" i="163"/>
  <c r="P169" i="163"/>
  <c r="N169" i="163"/>
  <c r="M169" i="163"/>
  <c r="L169" i="163"/>
  <c r="H169" i="163"/>
  <c r="A169" i="163"/>
  <c r="P168" i="163"/>
  <c r="N168" i="163"/>
  <c r="M168" i="163"/>
  <c r="L168" i="163"/>
  <c r="H168" i="163"/>
  <c r="A168" i="163"/>
  <c r="P167" i="163"/>
  <c r="N167" i="163"/>
  <c r="M167" i="163"/>
  <c r="L167" i="163"/>
  <c r="H167" i="163"/>
  <c r="A167" i="163"/>
  <c r="P166" i="163"/>
  <c r="N166" i="163"/>
  <c r="M166" i="163"/>
  <c r="L166" i="163"/>
  <c r="H166" i="163"/>
  <c r="A166" i="163"/>
  <c r="P165" i="163"/>
  <c r="N165" i="163"/>
  <c r="M165" i="163"/>
  <c r="L165" i="163"/>
  <c r="H165" i="163"/>
  <c r="A165" i="163"/>
  <c r="P164" i="163"/>
  <c r="N164" i="163"/>
  <c r="M164" i="163"/>
  <c r="L164" i="163"/>
  <c r="H164" i="163"/>
  <c r="A164" i="163"/>
  <c r="P163" i="163"/>
  <c r="N163" i="163"/>
  <c r="M163" i="163"/>
  <c r="L163" i="163"/>
  <c r="H163" i="163"/>
  <c r="A163" i="163"/>
  <c r="P162" i="163"/>
  <c r="N162" i="163"/>
  <c r="M162" i="163"/>
  <c r="L162" i="163"/>
  <c r="H162" i="163"/>
  <c r="A162" i="163"/>
  <c r="P161" i="163"/>
  <c r="N161" i="163"/>
  <c r="M161" i="163"/>
  <c r="L161" i="163"/>
  <c r="H161" i="163"/>
  <c r="A161" i="163"/>
  <c r="P160" i="163"/>
  <c r="N160" i="163"/>
  <c r="M160" i="163"/>
  <c r="L160" i="163"/>
  <c r="H160" i="163"/>
  <c r="A160" i="163"/>
  <c r="P159" i="163"/>
  <c r="N159" i="163"/>
  <c r="M159" i="163"/>
  <c r="L159" i="163"/>
  <c r="H159" i="163"/>
  <c r="A159" i="163"/>
  <c r="P158" i="163"/>
  <c r="N158" i="163"/>
  <c r="M158" i="163"/>
  <c r="L158" i="163"/>
  <c r="H158" i="163"/>
  <c r="A158" i="163"/>
  <c r="P157" i="163"/>
  <c r="N157" i="163"/>
  <c r="M157" i="163"/>
  <c r="L157" i="163"/>
  <c r="H157" i="163"/>
  <c r="A157" i="163"/>
  <c r="P156" i="163"/>
  <c r="N156" i="163"/>
  <c r="M156" i="163"/>
  <c r="L156" i="163"/>
  <c r="H156" i="163"/>
  <c r="A156" i="163"/>
  <c r="P155" i="163"/>
  <c r="N155" i="163"/>
  <c r="M155" i="163"/>
  <c r="L155" i="163"/>
  <c r="H155" i="163"/>
  <c r="A155" i="163"/>
  <c r="P154" i="163"/>
  <c r="N154" i="163"/>
  <c r="M154" i="163"/>
  <c r="L154" i="163"/>
  <c r="H154" i="163"/>
  <c r="A154" i="163"/>
  <c r="P153" i="163"/>
  <c r="N153" i="163"/>
  <c r="M153" i="163"/>
  <c r="L153" i="163"/>
  <c r="H153" i="163"/>
  <c r="A153" i="163"/>
  <c r="P152" i="163"/>
  <c r="N152" i="163"/>
  <c r="M152" i="163"/>
  <c r="L152" i="163"/>
  <c r="H152" i="163"/>
  <c r="A152" i="163"/>
  <c r="P151" i="163"/>
  <c r="N151" i="163"/>
  <c r="M151" i="163"/>
  <c r="L151" i="163"/>
  <c r="H151" i="163"/>
  <c r="A151" i="163"/>
  <c r="P150" i="163"/>
  <c r="N150" i="163"/>
  <c r="M150" i="163"/>
  <c r="L150" i="163"/>
  <c r="H150" i="163"/>
  <c r="A150" i="163"/>
  <c r="P149" i="163"/>
  <c r="N149" i="163"/>
  <c r="M149" i="163"/>
  <c r="L149" i="163"/>
  <c r="H149" i="163"/>
  <c r="A149" i="163"/>
  <c r="P148" i="163"/>
  <c r="N148" i="163"/>
  <c r="M148" i="163"/>
  <c r="L148" i="163"/>
  <c r="H148" i="163"/>
  <c r="A148" i="163"/>
  <c r="P147" i="163"/>
  <c r="N147" i="163"/>
  <c r="M147" i="163"/>
  <c r="L147" i="163"/>
  <c r="H147" i="163"/>
  <c r="A147" i="163"/>
  <c r="P146" i="163"/>
  <c r="N146" i="163"/>
  <c r="M146" i="163"/>
  <c r="L146" i="163"/>
  <c r="H146" i="163"/>
  <c r="A146" i="163"/>
  <c r="P145" i="163"/>
  <c r="N145" i="163"/>
  <c r="M145" i="163"/>
  <c r="L145" i="163"/>
  <c r="H145" i="163"/>
  <c r="A145" i="163"/>
  <c r="P144" i="163"/>
  <c r="N144" i="163"/>
  <c r="M144" i="163"/>
  <c r="L144" i="163"/>
  <c r="H144" i="163"/>
  <c r="A144" i="163"/>
  <c r="P143" i="163"/>
  <c r="N143" i="163"/>
  <c r="M143" i="163"/>
  <c r="L143" i="163"/>
  <c r="H143" i="163"/>
  <c r="A143" i="163"/>
  <c r="P142" i="163"/>
  <c r="N142" i="163"/>
  <c r="M142" i="163"/>
  <c r="L142" i="163"/>
  <c r="H142" i="163"/>
  <c r="A142" i="163"/>
  <c r="P141" i="163"/>
  <c r="N141" i="163"/>
  <c r="M141" i="163"/>
  <c r="L141" i="163"/>
  <c r="H141" i="163"/>
  <c r="A141" i="163"/>
  <c r="P140" i="163"/>
  <c r="N140" i="163"/>
  <c r="M140" i="163"/>
  <c r="L140" i="163"/>
  <c r="H140" i="163"/>
  <c r="A140" i="163"/>
  <c r="P139" i="163"/>
  <c r="N139" i="163"/>
  <c r="M139" i="163"/>
  <c r="L139" i="163"/>
  <c r="H139" i="163"/>
  <c r="A139" i="163"/>
  <c r="P138" i="163"/>
  <c r="N138" i="163"/>
  <c r="M138" i="163"/>
  <c r="L138" i="163"/>
  <c r="H138" i="163"/>
  <c r="A138" i="163"/>
  <c r="P137" i="163"/>
  <c r="N137" i="163"/>
  <c r="M137" i="163"/>
  <c r="L137" i="163"/>
  <c r="H137" i="163"/>
  <c r="A137" i="163"/>
  <c r="P136" i="163"/>
  <c r="N136" i="163"/>
  <c r="M136" i="163"/>
  <c r="L136" i="163"/>
  <c r="H136" i="163"/>
  <c r="A136" i="163"/>
  <c r="P135" i="163"/>
  <c r="N135" i="163"/>
  <c r="M135" i="163"/>
  <c r="L135" i="163"/>
  <c r="H135" i="163"/>
  <c r="A135" i="163"/>
  <c r="P134" i="163"/>
  <c r="N134" i="163"/>
  <c r="M134" i="163"/>
  <c r="L134" i="163"/>
  <c r="H134" i="163"/>
  <c r="A134" i="163"/>
  <c r="P133" i="163"/>
  <c r="N133" i="163"/>
  <c r="M133" i="163"/>
  <c r="L133" i="163"/>
  <c r="H133" i="163"/>
  <c r="A133" i="163"/>
  <c r="P132" i="163"/>
  <c r="N132" i="163"/>
  <c r="M132" i="163"/>
  <c r="L132" i="163"/>
  <c r="H132" i="163"/>
  <c r="A132" i="163"/>
  <c r="P131" i="163"/>
  <c r="N131" i="163"/>
  <c r="M131" i="163"/>
  <c r="L131" i="163"/>
  <c r="H131" i="163"/>
  <c r="A131" i="163"/>
  <c r="P130" i="163"/>
  <c r="N130" i="163"/>
  <c r="M130" i="163"/>
  <c r="L130" i="163"/>
  <c r="H130" i="163"/>
  <c r="A130" i="163"/>
  <c r="P129" i="163"/>
  <c r="N129" i="163"/>
  <c r="M129" i="163"/>
  <c r="L129" i="163"/>
  <c r="H129" i="163"/>
  <c r="A129" i="163"/>
  <c r="P128" i="163"/>
  <c r="N128" i="163"/>
  <c r="M128" i="163"/>
  <c r="L128" i="163"/>
  <c r="H128" i="163"/>
  <c r="A128" i="163"/>
  <c r="P127" i="163"/>
  <c r="N127" i="163"/>
  <c r="M127" i="163"/>
  <c r="L127" i="163"/>
  <c r="H127" i="163"/>
  <c r="A127" i="163"/>
  <c r="P126" i="163"/>
  <c r="N126" i="163"/>
  <c r="M126" i="163"/>
  <c r="L126" i="163"/>
  <c r="H126" i="163"/>
  <c r="A126" i="163"/>
  <c r="P125" i="163"/>
  <c r="N125" i="163"/>
  <c r="M125" i="163"/>
  <c r="L125" i="163"/>
  <c r="H125" i="163"/>
  <c r="A125" i="163"/>
  <c r="P124" i="163"/>
  <c r="N124" i="163"/>
  <c r="M124" i="163"/>
  <c r="L124" i="163"/>
  <c r="H124" i="163"/>
  <c r="A124" i="163"/>
  <c r="P123" i="163"/>
  <c r="N123" i="163"/>
  <c r="M123" i="163"/>
  <c r="L123" i="163"/>
  <c r="H123" i="163"/>
  <c r="A123" i="163"/>
  <c r="P122" i="163"/>
  <c r="N122" i="163"/>
  <c r="M122" i="163"/>
  <c r="L122" i="163"/>
  <c r="H122" i="163"/>
  <c r="A122" i="163"/>
  <c r="P121" i="163"/>
  <c r="N121" i="163"/>
  <c r="M121" i="163"/>
  <c r="L121" i="163"/>
  <c r="H121" i="163"/>
  <c r="A121" i="163"/>
  <c r="P120" i="163"/>
  <c r="N120" i="163"/>
  <c r="M120" i="163"/>
  <c r="L120" i="163"/>
  <c r="H120" i="163"/>
  <c r="A120" i="163"/>
  <c r="P119" i="163"/>
  <c r="N119" i="163"/>
  <c r="M119" i="163"/>
  <c r="L119" i="163"/>
  <c r="H119" i="163"/>
  <c r="A119" i="163"/>
  <c r="P118" i="163"/>
  <c r="N118" i="163"/>
  <c r="M118" i="163"/>
  <c r="L118" i="163"/>
  <c r="H118" i="163"/>
  <c r="A118" i="163"/>
  <c r="P117" i="163"/>
  <c r="N117" i="163"/>
  <c r="M117" i="163"/>
  <c r="L117" i="163"/>
  <c r="H117" i="163"/>
  <c r="A117" i="163"/>
  <c r="P116" i="163"/>
  <c r="N116" i="163"/>
  <c r="M116" i="163"/>
  <c r="L116" i="163"/>
  <c r="H116" i="163"/>
  <c r="A116" i="163"/>
  <c r="P115" i="163"/>
  <c r="N115" i="163"/>
  <c r="M115" i="163"/>
  <c r="L115" i="163"/>
  <c r="H115" i="163"/>
  <c r="A115" i="163"/>
  <c r="P114" i="163"/>
  <c r="N114" i="163"/>
  <c r="M114" i="163"/>
  <c r="L114" i="163"/>
  <c r="H114" i="163"/>
  <c r="A114" i="163"/>
  <c r="P113" i="163"/>
  <c r="N113" i="163"/>
  <c r="M113" i="163"/>
  <c r="L113" i="163"/>
  <c r="H113" i="163"/>
  <c r="A113" i="163"/>
  <c r="P112" i="163"/>
  <c r="N112" i="163"/>
  <c r="M112" i="163"/>
  <c r="L112" i="163"/>
  <c r="H112" i="163"/>
  <c r="A112" i="163"/>
  <c r="P111" i="163"/>
  <c r="N111" i="163"/>
  <c r="M111" i="163"/>
  <c r="L111" i="163"/>
  <c r="H111" i="163"/>
  <c r="A111" i="163"/>
  <c r="P110" i="163"/>
  <c r="N110" i="163"/>
  <c r="M110" i="163"/>
  <c r="L110" i="163"/>
  <c r="H110" i="163"/>
  <c r="A110" i="163"/>
  <c r="P109" i="163"/>
  <c r="N109" i="163"/>
  <c r="M109" i="163"/>
  <c r="L109" i="163"/>
  <c r="H109" i="163"/>
  <c r="A109" i="163"/>
  <c r="P108" i="163"/>
  <c r="N108" i="163"/>
  <c r="M108" i="163"/>
  <c r="L108" i="163"/>
  <c r="H108" i="163"/>
  <c r="A108" i="163"/>
  <c r="P107" i="163"/>
  <c r="N107" i="163"/>
  <c r="M107" i="163"/>
  <c r="L107" i="163"/>
  <c r="H107" i="163"/>
  <c r="A107" i="163"/>
  <c r="P106" i="163"/>
  <c r="N106" i="163"/>
  <c r="M106" i="163"/>
  <c r="L106" i="163"/>
  <c r="H106" i="163"/>
  <c r="A106" i="163"/>
  <c r="P105" i="163"/>
  <c r="N105" i="163"/>
  <c r="M105" i="163"/>
  <c r="L105" i="163"/>
  <c r="H105" i="163"/>
  <c r="A105" i="163"/>
  <c r="P104" i="163"/>
  <c r="N104" i="163"/>
  <c r="M104" i="163"/>
  <c r="L104" i="163"/>
  <c r="H104" i="163"/>
  <c r="A104" i="163"/>
  <c r="P103" i="163"/>
  <c r="N103" i="163"/>
  <c r="M103" i="163"/>
  <c r="L103" i="163"/>
  <c r="H103" i="163"/>
  <c r="A103" i="163"/>
  <c r="P102" i="163"/>
  <c r="N102" i="163"/>
  <c r="M102" i="163"/>
  <c r="L102" i="163"/>
  <c r="H102" i="163"/>
  <c r="A102" i="163"/>
  <c r="P101" i="163"/>
  <c r="N101" i="163"/>
  <c r="M101" i="163"/>
  <c r="L101" i="163"/>
  <c r="H101" i="163"/>
  <c r="A101" i="163"/>
  <c r="P100" i="163"/>
  <c r="N100" i="163"/>
  <c r="M100" i="163"/>
  <c r="L100" i="163"/>
  <c r="H100" i="163"/>
  <c r="A100" i="163"/>
  <c r="P99" i="163"/>
  <c r="N99" i="163"/>
  <c r="M99" i="163"/>
  <c r="L99" i="163"/>
  <c r="H99" i="163"/>
  <c r="A99" i="163"/>
  <c r="P98" i="163"/>
  <c r="N98" i="163"/>
  <c r="M98" i="163"/>
  <c r="L98" i="163"/>
  <c r="H98" i="163"/>
  <c r="A98" i="163"/>
  <c r="P97" i="163"/>
  <c r="N97" i="163"/>
  <c r="M97" i="163"/>
  <c r="L97" i="163"/>
  <c r="H97" i="163"/>
  <c r="A97" i="163"/>
  <c r="P96" i="163"/>
  <c r="N96" i="163"/>
  <c r="M96" i="163"/>
  <c r="L96" i="163"/>
  <c r="H96" i="163"/>
  <c r="A96" i="163"/>
  <c r="P95" i="163"/>
  <c r="N95" i="163"/>
  <c r="M95" i="163"/>
  <c r="L95" i="163"/>
  <c r="H95" i="163"/>
  <c r="A95" i="163"/>
  <c r="P94" i="163"/>
  <c r="N94" i="163"/>
  <c r="M94" i="163"/>
  <c r="L94" i="163"/>
  <c r="H94" i="163"/>
  <c r="A94" i="163"/>
  <c r="P93" i="163"/>
  <c r="N93" i="163"/>
  <c r="M93" i="163"/>
  <c r="L93" i="163"/>
  <c r="H93" i="163"/>
  <c r="A93" i="163"/>
  <c r="P92" i="163"/>
  <c r="N92" i="163"/>
  <c r="M92" i="163"/>
  <c r="L92" i="163"/>
  <c r="H92" i="163"/>
  <c r="A92" i="163"/>
  <c r="P91" i="163"/>
  <c r="N91" i="163"/>
  <c r="M91" i="163"/>
  <c r="L91" i="163"/>
  <c r="H91" i="163"/>
  <c r="A91" i="163"/>
  <c r="P90" i="163"/>
  <c r="N90" i="163"/>
  <c r="M90" i="163"/>
  <c r="L90" i="163"/>
  <c r="H90" i="163"/>
  <c r="A90" i="163"/>
  <c r="P89" i="163"/>
  <c r="N89" i="163"/>
  <c r="M89" i="163"/>
  <c r="L89" i="163"/>
  <c r="H89" i="163"/>
  <c r="A89" i="163"/>
  <c r="P88" i="163"/>
  <c r="N88" i="163"/>
  <c r="M88" i="163"/>
  <c r="L88" i="163"/>
  <c r="H88" i="163"/>
  <c r="A88" i="163"/>
  <c r="P87" i="163"/>
  <c r="N87" i="163"/>
  <c r="M87" i="163"/>
  <c r="L87" i="163"/>
  <c r="H87" i="163"/>
  <c r="A87" i="163"/>
  <c r="P86" i="163"/>
  <c r="N86" i="163"/>
  <c r="M86" i="163"/>
  <c r="L86" i="163"/>
  <c r="H86" i="163"/>
  <c r="A86" i="163"/>
  <c r="P85" i="163"/>
  <c r="N85" i="163"/>
  <c r="M85" i="163"/>
  <c r="L85" i="163"/>
  <c r="H85" i="163"/>
  <c r="A85" i="163"/>
  <c r="P84" i="163"/>
  <c r="N84" i="163"/>
  <c r="M84" i="163"/>
  <c r="L84" i="163"/>
  <c r="H84" i="163"/>
  <c r="A84" i="163"/>
  <c r="P83" i="163"/>
  <c r="N83" i="163"/>
  <c r="M83" i="163"/>
  <c r="L83" i="163"/>
  <c r="H83" i="163"/>
  <c r="A83" i="163"/>
  <c r="P82" i="163"/>
  <c r="N82" i="163"/>
  <c r="M82" i="163"/>
  <c r="L82" i="163"/>
  <c r="H82" i="163"/>
  <c r="A82" i="163"/>
  <c r="P81" i="163"/>
  <c r="N81" i="163"/>
  <c r="M81" i="163"/>
  <c r="L81" i="163"/>
  <c r="H81" i="163"/>
  <c r="A81" i="163"/>
  <c r="P80" i="163"/>
  <c r="N80" i="163"/>
  <c r="M80" i="163"/>
  <c r="L80" i="163"/>
  <c r="H80" i="163"/>
  <c r="A80" i="163"/>
  <c r="P79" i="163"/>
  <c r="N79" i="163"/>
  <c r="M79" i="163"/>
  <c r="L79" i="163"/>
  <c r="H79" i="163"/>
  <c r="A79" i="163"/>
  <c r="P78" i="163"/>
  <c r="N78" i="163"/>
  <c r="M78" i="163"/>
  <c r="L78" i="163"/>
  <c r="H78" i="163"/>
  <c r="A78" i="163"/>
  <c r="P77" i="163"/>
  <c r="N77" i="163"/>
  <c r="M77" i="163"/>
  <c r="L77" i="163"/>
  <c r="H77" i="163"/>
  <c r="A77" i="163"/>
  <c r="P76" i="163"/>
  <c r="N76" i="163"/>
  <c r="M76" i="163"/>
  <c r="L76" i="163"/>
  <c r="H76" i="163"/>
  <c r="A76" i="163"/>
  <c r="P75" i="163"/>
  <c r="N75" i="163"/>
  <c r="M75" i="163"/>
  <c r="L75" i="163"/>
  <c r="H75" i="163"/>
  <c r="A75" i="163"/>
  <c r="P74" i="163"/>
  <c r="N74" i="163"/>
  <c r="M74" i="163"/>
  <c r="L74" i="163"/>
  <c r="H74" i="163"/>
  <c r="A74" i="163"/>
  <c r="P73" i="163"/>
  <c r="N73" i="163"/>
  <c r="M73" i="163"/>
  <c r="L73" i="163"/>
  <c r="H73" i="163"/>
  <c r="A73" i="163"/>
  <c r="P72" i="163"/>
  <c r="N72" i="163"/>
  <c r="M72" i="163"/>
  <c r="L72" i="163"/>
  <c r="H72" i="163"/>
  <c r="A72" i="163"/>
  <c r="P71" i="163"/>
  <c r="N71" i="163"/>
  <c r="M71" i="163"/>
  <c r="L71" i="163"/>
  <c r="H71" i="163"/>
  <c r="A71" i="163"/>
  <c r="P70" i="163"/>
  <c r="N70" i="163"/>
  <c r="M70" i="163"/>
  <c r="L70" i="163"/>
  <c r="H70" i="163"/>
  <c r="A70" i="163"/>
  <c r="P69" i="163"/>
  <c r="N69" i="163"/>
  <c r="M69" i="163"/>
  <c r="L69" i="163"/>
  <c r="H69" i="163"/>
  <c r="A69" i="163"/>
  <c r="P68" i="163"/>
  <c r="N68" i="163"/>
  <c r="M68" i="163"/>
  <c r="L68" i="163"/>
  <c r="H68" i="163"/>
  <c r="A68" i="163"/>
  <c r="P67" i="163"/>
  <c r="N67" i="163"/>
  <c r="M67" i="163"/>
  <c r="L67" i="163"/>
  <c r="H67" i="163"/>
  <c r="A67" i="163"/>
  <c r="P66" i="163"/>
  <c r="N66" i="163"/>
  <c r="M66" i="163"/>
  <c r="L66" i="163"/>
  <c r="H66" i="163"/>
  <c r="A66" i="163"/>
  <c r="P65" i="163"/>
  <c r="N65" i="163"/>
  <c r="M65" i="163"/>
  <c r="L65" i="163"/>
  <c r="H65" i="163"/>
  <c r="A65" i="163"/>
  <c r="P64" i="163"/>
  <c r="N64" i="163"/>
  <c r="M64" i="163"/>
  <c r="L64" i="163"/>
  <c r="H64" i="163"/>
  <c r="A64" i="163"/>
  <c r="P63" i="163"/>
  <c r="N63" i="163"/>
  <c r="M63" i="163"/>
  <c r="L63" i="163"/>
  <c r="H63" i="163"/>
  <c r="A63" i="163"/>
  <c r="P62" i="163"/>
  <c r="N62" i="163"/>
  <c r="M62" i="163"/>
  <c r="L62" i="163"/>
  <c r="H62" i="163"/>
  <c r="A62" i="163"/>
  <c r="P61" i="163"/>
  <c r="N61" i="163"/>
  <c r="M61" i="163"/>
  <c r="L61" i="163"/>
  <c r="H61" i="163"/>
  <c r="A61" i="163"/>
  <c r="P60" i="163"/>
  <c r="N60" i="163"/>
  <c r="M60" i="163"/>
  <c r="L60" i="163"/>
  <c r="H60" i="163"/>
  <c r="A60" i="163"/>
  <c r="P59" i="163"/>
  <c r="N59" i="163"/>
  <c r="M59" i="163"/>
  <c r="L59" i="163"/>
  <c r="H59" i="163"/>
  <c r="A59" i="163"/>
  <c r="P58" i="163"/>
  <c r="N58" i="163"/>
  <c r="M58" i="163"/>
  <c r="L58" i="163"/>
  <c r="H58" i="163"/>
  <c r="A58" i="163"/>
  <c r="P57" i="163"/>
  <c r="N57" i="163"/>
  <c r="M57" i="163"/>
  <c r="L57" i="163"/>
  <c r="H57" i="163"/>
  <c r="A57" i="163"/>
  <c r="P56" i="163"/>
  <c r="N56" i="163"/>
  <c r="M56" i="163"/>
  <c r="L56" i="163"/>
  <c r="H56" i="163"/>
  <c r="A56" i="163"/>
  <c r="P55" i="163"/>
  <c r="N55" i="163"/>
  <c r="M55" i="163"/>
  <c r="L55" i="163"/>
  <c r="H55" i="163"/>
  <c r="A55" i="163"/>
  <c r="P54" i="163"/>
  <c r="N54" i="163"/>
  <c r="M54" i="163"/>
  <c r="L54" i="163"/>
  <c r="H54" i="163"/>
  <c r="A54" i="163"/>
  <c r="P53" i="163"/>
  <c r="N53" i="163"/>
  <c r="M53" i="163"/>
  <c r="L53" i="163"/>
  <c r="H53" i="163"/>
  <c r="A53" i="163"/>
  <c r="P52" i="163"/>
  <c r="N52" i="163"/>
  <c r="M52" i="163"/>
  <c r="L52" i="163"/>
  <c r="H52" i="163"/>
  <c r="A52" i="163"/>
  <c r="P51" i="163"/>
  <c r="N51" i="163"/>
  <c r="M51" i="163"/>
  <c r="L51" i="163"/>
  <c r="H51" i="163"/>
  <c r="A51" i="163"/>
  <c r="P50" i="163"/>
  <c r="N50" i="163"/>
  <c r="M50" i="163"/>
  <c r="L50" i="163"/>
  <c r="H50" i="163"/>
  <c r="A50" i="163"/>
  <c r="P49" i="163"/>
  <c r="N49" i="163"/>
  <c r="M49" i="163"/>
  <c r="L49" i="163"/>
  <c r="H49" i="163"/>
  <c r="A49" i="163"/>
  <c r="P48" i="163"/>
  <c r="N48" i="163"/>
  <c r="M48" i="163"/>
  <c r="L48" i="163"/>
  <c r="H48" i="163"/>
  <c r="A48" i="163"/>
  <c r="P47" i="163"/>
  <c r="N47" i="163"/>
  <c r="M47" i="163"/>
  <c r="L47" i="163"/>
  <c r="H47" i="163"/>
  <c r="A47" i="163"/>
  <c r="P46" i="163"/>
  <c r="N46" i="163"/>
  <c r="M46" i="163"/>
  <c r="L46" i="163"/>
  <c r="H46" i="163"/>
  <c r="A46" i="163"/>
  <c r="P45" i="163"/>
  <c r="N45" i="163"/>
  <c r="M45" i="163"/>
  <c r="L45" i="163"/>
  <c r="H45" i="163"/>
  <c r="A45" i="163"/>
  <c r="P44" i="163"/>
  <c r="N44" i="163"/>
  <c r="M44" i="163"/>
  <c r="L44" i="163"/>
  <c r="H44" i="163"/>
  <c r="A44" i="163"/>
  <c r="P43" i="163"/>
  <c r="N43" i="163"/>
  <c r="M43" i="163"/>
  <c r="L43" i="163"/>
  <c r="H43" i="163"/>
  <c r="A43" i="163"/>
  <c r="P42" i="163"/>
  <c r="N42" i="163"/>
  <c r="M42" i="163"/>
  <c r="L42" i="163"/>
  <c r="H42" i="163"/>
  <c r="A42" i="163"/>
  <c r="P41" i="163"/>
  <c r="N41" i="163"/>
  <c r="M41" i="163"/>
  <c r="L41" i="163"/>
  <c r="H41" i="163"/>
  <c r="A41" i="163"/>
  <c r="P40" i="163"/>
  <c r="N40" i="163"/>
  <c r="M40" i="163"/>
  <c r="L40" i="163"/>
  <c r="H40" i="163"/>
  <c r="A40" i="163"/>
  <c r="P39" i="163"/>
  <c r="N39" i="163"/>
  <c r="M39" i="163"/>
  <c r="L39" i="163"/>
  <c r="H39" i="163"/>
  <c r="A39" i="163"/>
  <c r="P38" i="163"/>
  <c r="N38" i="163"/>
  <c r="M38" i="163"/>
  <c r="L38" i="163"/>
  <c r="H38" i="163"/>
  <c r="A38" i="163"/>
  <c r="P37" i="163"/>
  <c r="N37" i="163"/>
  <c r="M37" i="163"/>
  <c r="L37" i="163"/>
  <c r="H37" i="163"/>
  <c r="A37" i="163"/>
  <c r="P36" i="163"/>
  <c r="N36" i="163"/>
  <c r="M36" i="163"/>
  <c r="L36" i="163"/>
  <c r="H36" i="163"/>
  <c r="A36" i="163"/>
  <c r="P35" i="163"/>
  <c r="N35" i="163"/>
  <c r="M35" i="163"/>
  <c r="L35" i="163"/>
  <c r="H35" i="163"/>
  <c r="A35" i="163"/>
  <c r="P34" i="163"/>
  <c r="N34" i="163"/>
  <c r="M34" i="163"/>
  <c r="L34" i="163"/>
  <c r="H34" i="163"/>
  <c r="A34" i="163"/>
  <c r="P33" i="163"/>
  <c r="N33" i="163"/>
  <c r="M33" i="163"/>
  <c r="L33" i="163"/>
  <c r="H33" i="163"/>
  <c r="A33" i="163"/>
  <c r="P32" i="163"/>
  <c r="N32" i="163"/>
  <c r="M32" i="163"/>
  <c r="L32" i="163"/>
  <c r="H32" i="163"/>
  <c r="A32" i="163"/>
  <c r="P31" i="163"/>
  <c r="N31" i="163"/>
  <c r="M31" i="163"/>
  <c r="L31" i="163"/>
  <c r="H31" i="163"/>
  <c r="A31" i="163"/>
  <c r="P30" i="163"/>
  <c r="N30" i="163"/>
  <c r="M30" i="163"/>
  <c r="L30" i="163"/>
  <c r="H30" i="163"/>
  <c r="A30" i="163"/>
  <c r="P29" i="163"/>
  <c r="N29" i="163"/>
  <c r="M29" i="163"/>
  <c r="L29" i="163"/>
  <c r="H29" i="163"/>
  <c r="A29" i="163"/>
  <c r="P28" i="163"/>
  <c r="N28" i="163"/>
  <c r="M28" i="163"/>
  <c r="L28" i="163"/>
  <c r="H28" i="163"/>
  <c r="A28" i="163"/>
  <c r="P27" i="163"/>
  <c r="N27" i="163"/>
  <c r="M27" i="163"/>
  <c r="L27" i="163"/>
  <c r="H27" i="163"/>
  <c r="A27" i="163"/>
  <c r="P26" i="163"/>
  <c r="N26" i="163"/>
  <c r="M26" i="163"/>
  <c r="L26" i="163"/>
  <c r="H26" i="163"/>
  <c r="A26" i="163"/>
  <c r="P25" i="163"/>
  <c r="N25" i="163"/>
  <c r="M25" i="163"/>
  <c r="L25" i="163"/>
  <c r="H25" i="163"/>
  <c r="A25" i="163"/>
  <c r="P24" i="163"/>
  <c r="N24" i="163"/>
  <c r="M24" i="163"/>
  <c r="L24" i="163"/>
  <c r="H24" i="163"/>
  <c r="A24" i="163"/>
  <c r="P23" i="163"/>
  <c r="N23" i="163"/>
  <c r="M23" i="163"/>
  <c r="L23" i="163"/>
  <c r="H23" i="163"/>
  <c r="A23" i="163"/>
  <c r="P22" i="163"/>
  <c r="N22" i="163"/>
  <c r="M22" i="163"/>
  <c r="L22" i="163"/>
  <c r="H22" i="163"/>
  <c r="A22" i="163"/>
  <c r="P21" i="163"/>
  <c r="N21" i="163"/>
  <c r="M21" i="163"/>
  <c r="L21" i="163"/>
  <c r="H21" i="163"/>
  <c r="A21" i="163"/>
  <c r="P20" i="163"/>
  <c r="N20" i="163"/>
  <c r="M20" i="163"/>
  <c r="L20" i="163"/>
  <c r="H20" i="163"/>
  <c r="A20" i="163"/>
  <c r="P19" i="163"/>
  <c r="N19" i="163"/>
  <c r="M19" i="163"/>
  <c r="L19" i="163"/>
  <c r="H19" i="163"/>
  <c r="A19" i="163"/>
  <c r="P18" i="163"/>
  <c r="N18" i="163"/>
  <c r="M18" i="163"/>
  <c r="L18" i="163"/>
  <c r="H18" i="163"/>
  <c r="A18" i="163"/>
  <c r="P17" i="163"/>
  <c r="N17" i="163"/>
  <c r="M17" i="163"/>
  <c r="L17" i="163"/>
  <c r="H17" i="163"/>
  <c r="A17" i="163"/>
  <c r="P16" i="163"/>
  <c r="N16" i="163"/>
  <c r="M16" i="163"/>
  <c r="L16" i="163"/>
  <c r="H16" i="163"/>
  <c r="A16" i="163"/>
  <c r="P15" i="163"/>
  <c r="N15" i="163"/>
  <c r="M15" i="163"/>
  <c r="L15" i="163"/>
  <c r="H15" i="163"/>
  <c r="A15" i="163"/>
  <c r="P14" i="163"/>
  <c r="N14" i="163"/>
  <c r="M14" i="163"/>
  <c r="L14" i="163"/>
  <c r="H14" i="163"/>
  <c r="A14" i="163"/>
  <c r="P13" i="163"/>
  <c r="N13" i="163"/>
  <c r="M13" i="163"/>
  <c r="L13" i="163"/>
  <c r="H13" i="163"/>
  <c r="A13" i="163"/>
  <c r="P12" i="163"/>
  <c r="N12" i="163"/>
  <c r="M12" i="163"/>
  <c r="L12" i="163"/>
  <c r="H12" i="163"/>
  <c r="A12" i="163"/>
  <c r="P11" i="163"/>
  <c r="N11" i="163"/>
  <c r="M11" i="163"/>
  <c r="L11" i="163"/>
  <c r="H11" i="163"/>
  <c r="A11" i="163"/>
  <c r="P10" i="163"/>
  <c r="N10" i="163"/>
  <c r="M10" i="163"/>
  <c r="L10" i="163"/>
  <c r="H10" i="163"/>
  <c r="A10" i="163"/>
  <c r="P9" i="163"/>
  <c r="N9" i="163"/>
  <c r="M9" i="163"/>
  <c r="L9" i="163"/>
  <c r="H9" i="163"/>
  <c r="A9" i="163"/>
  <c r="P8" i="163"/>
  <c r="N8" i="163"/>
  <c r="M8" i="163"/>
  <c r="L8" i="163"/>
  <c r="H8" i="163"/>
  <c r="A8" i="163"/>
  <c r="P7" i="163"/>
  <c r="N7" i="163"/>
  <c r="M7" i="163"/>
  <c r="L7" i="163"/>
  <c r="H7" i="163"/>
  <c r="A7" i="163"/>
  <c r="P6" i="163"/>
  <c r="N6" i="163"/>
  <c r="M6" i="163"/>
  <c r="L6" i="163"/>
  <c r="H6" i="163"/>
  <c r="A6" i="163"/>
  <c r="P5" i="163"/>
  <c r="N5" i="163"/>
  <c r="M5" i="163"/>
  <c r="L5" i="163"/>
  <c r="H5" i="163"/>
  <c r="A5" i="163"/>
  <c r="P4" i="163"/>
  <c r="N4" i="163"/>
  <c r="M4" i="163"/>
  <c r="L4" i="163"/>
  <c r="H4" i="163"/>
  <c r="A4" i="163"/>
  <c r="P3" i="163"/>
  <c r="N3" i="163"/>
  <c r="M3" i="163"/>
  <c r="L3" i="163"/>
  <c r="H3" i="163"/>
  <c r="A3" i="163"/>
  <c r="P2" i="163"/>
  <c r="N2" i="163"/>
  <c r="M2" i="163"/>
  <c r="L2" i="163"/>
  <c r="H2" i="163"/>
  <c r="A2" i="163"/>
  <c r="F65" i="162"/>
  <c r="F64" i="162"/>
  <c r="F63" i="162"/>
  <c r="G63" i="162"/>
  <c r="F62" i="162"/>
  <c r="B55" i="162"/>
  <c r="B56" i="162"/>
  <c r="B57" i="162"/>
  <c r="B58" i="162"/>
  <c r="B59" i="162"/>
  <c r="B60" i="162"/>
  <c r="B61" i="162"/>
  <c r="B62" i="162"/>
  <c r="C55" i="162"/>
  <c r="C56" i="162"/>
  <c r="C57" i="162"/>
  <c r="C58" i="162"/>
  <c r="C59" i="162"/>
  <c r="C60" i="162"/>
  <c r="C61" i="162"/>
  <c r="C62" i="162"/>
  <c r="F61" i="162"/>
  <c r="F60" i="162"/>
  <c r="H57" i="162"/>
  <c r="F57" i="162"/>
  <c r="G57" i="162"/>
  <c r="H56" i="162"/>
  <c r="F56" i="162"/>
  <c r="G56" i="162"/>
  <c r="H55" i="162"/>
  <c r="F55" i="162"/>
  <c r="G55" i="162"/>
  <c r="G49" i="162"/>
  <c r="C49" i="162"/>
  <c r="B47" i="162"/>
  <c r="C19" i="162"/>
  <c r="C20" i="162"/>
  <c r="C21" i="162"/>
  <c r="C22" i="162"/>
  <c r="C23" i="162"/>
  <c r="C24" i="162"/>
  <c r="C25" i="162"/>
  <c r="C26" i="162"/>
  <c r="C27" i="162"/>
  <c r="C28" i="162"/>
  <c r="C29" i="162"/>
  <c r="C30" i="162"/>
  <c r="C31" i="162"/>
  <c r="C47" i="162"/>
  <c r="D47" i="162"/>
  <c r="I46" i="162"/>
  <c r="J46" i="162"/>
  <c r="F46" i="162"/>
  <c r="C46" i="162"/>
  <c r="D46" i="162"/>
  <c r="G45" i="162"/>
  <c r="E45" i="162"/>
  <c r="H45" i="162"/>
  <c r="I45" i="162"/>
  <c r="J45" i="162"/>
  <c r="F45" i="162"/>
  <c r="C45" i="162"/>
  <c r="D45" i="162"/>
  <c r="I44" i="162"/>
  <c r="J44" i="162"/>
  <c r="F44" i="162"/>
  <c r="C44" i="162"/>
  <c r="D44" i="162"/>
  <c r="I43" i="162"/>
  <c r="J43" i="162"/>
  <c r="F43" i="162"/>
  <c r="C43" i="162"/>
  <c r="D43" i="162"/>
  <c r="I42" i="162"/>
  <c r="J42" i="162"/>
  <c r="F42" i="162"/>
  <c r="C42" i="162"/>
  <c r="D42" i="162"/>
  <c r="I41" i="162"/>
  <c r="J41" i="162"/>
  <c r="F41" i="162"/>
  <c r="C41" i="162"/>
  <c r="D41" i="162"/>
  <c r="I40" i="162"/>
  <c r="J40" i="162"/>
  <c r="F40" i="162"/>
  <c r="C40" i="162"/>
  <c r="D40" i="162"/>
  <c r="I39" i="162"/>
  <c r="J39" i="162"/>
  <c r="F39" i="162"/>
  <c r="C39" i="162"/>
  <c r="D39" i="162"/>
  <c r="I38" i="162"/>
  <c r="J38" i="162"/>
  <c r="F38" i="162"/>
  <c r="C38" i="162"/>
  <c r="D38" i="162"/>
  <c r="I37" i="162"/>
  <c r="J37" i="162"/>
  <c r="F37" i="162"/>
  <c r="C37" i="162"/>
  <c r="D37" i="162"/>
  <c r="I36" i="162"/>
  <c r="J36" i="162"/>
  <c r="F36" i="162"/>
  <c r="C36" i="162"/>
  <c r="D36" i="162"/>
  <c r="I35" i="162"/>
  <c r="J35" i="162"/>
  <c r="F35" i="162"/>
  <c r="C35" i="162"/>
  <c r="D35" i="162"/>
  <c r="I34" i="162"/>
  <c r="J34" i="162"/>
  <c r="F34" i="162"/>
  <c r="C34" i="162"/>
  <c r="D34" i="162"/>
  <c r="I33" i="162"/>
  <c r="J33" i="162"/>
  <c r="F33" i="162"/>
  <c r="C33" i="162"/>
  <c r="D33" i="162"/>
  <c r="I32" i="162"/>
  <c r="J32" i="162"/>
  <c r="F32" i="162"/>
  <c r="C32" i="162"/>
  <c r="D32" i="162"/>
  <c r="G31" i="162"/>
  <c r="E31" i="162"/>
  <c r="H31" i="162"/>
  <c r="I31" i="162"/>
  <c r="J31" i="162"/>
  <c r="F31" i="162"/>
  <c r="D31" i="162"/>
  <c r="G30" i="162"/>
  <c r="E30" i="162"/>
  <c r="H30" i="162"/>
  <c r="I30" i="162"/>
  <c r="J30" i="162"/>
  <c r="F30" i="162"/>
  <c r="D30" i="162"/>
  <c r="I29" i="162"/>
  <c r="J29" i="162"/>
  <c r="F29" i="162"/>
  <c r="D29" i="162"/>
  <c r="I28" i="162"/>
  <c r="J28" i="162"/>
  <c r="F28" i="162"/>
  <c r="D28" i="162"/>
  <c r="I27" i="162"/>
  <c r="J27" i="162"/>
  <c r="F27" i="162"/>
  <c r="D27" i="162"/>
  <c r="I26" i="162"/>
  <c r="J26" i="162"/>
  <c r="F26" i="162"/>
  <c r="D26" i="162"/>
  <c r="I25" i="162"/>
  <c r="J25" i="162"/>
  <c r="F25" i="162"/>
  <c r="D25" i="162"/>
  <c r="I24" i="162"/>
  <c r="J24" i="162"/>
  <c r="F24" i="162"/>
  <c r="D24" i="162"/>
  <c r="I23" i="162"/>
  <c r="J23" i="162"/>
  <c r="F23" i="162"/>
  <c r="D23" i="162"/>
  <c r="I22" i="162"/>
  <c r="J22" i="162"/>
  <c r="F22" i="162"/>
  <c r="D22" i="162"/>
  <c r="I21" i="162"/>
  <c r="J21" i="162"/>
  <c r="F21" i="162"/>
  <c r="D21" i="162"/>
  <c r="R20" i="162"/>
  <c r="P20" i="162"/>
  <c r="O20" i="162"/>
  <c r="M20" i="162"/>
  <c r="I20" i="162"/>
  <c r="J20" i="162"/>
  <c r="F20" i="162"/>
  <c r="D20" i="162"/>
  <c r="R19" i="162"/>
  <c r="P19" i="162"/>
  <c r="O19" i="162"/>
  <c r="M19" i="162"/>
  <c r="I19" i="162"/>
  <c r="J19" i="162"/>
  <c r="F19" i="162"/>
  <c r="D19" i="162"/>
  <c r="R18" i="162"/>
  <c r="P18" i="162"/>
  <c r="O18" i="162"/>
  <c r="M18" i="162"/>
  <c r="I18" i="162"/>
  <c r="J18" i="162"/>
  <c r="F18" i="162"/>
  <c r="C18" i="162"/>
  <c r="D18" i="162"/>
  <c r="R17" i="162"/>
  <c r="P17" i="162"/>
  <c r="O17" i="162"/>
  <c r="M17" i="162"/>
  <c r="I17" i="162"/>
  <c r="J17" i="162"/>
  <c r="F17" i="162"/>
  <c r="C17" i="162"/>
  <c r="D17" i="162"/>
  <c r="V16" i="162"/>
  <c r="R16" i="162"/>
  <c r="P16" i="162"/>
  <c r="O16" i="162"/>
  <c r="M16" i="162"/>
  <c r="V15" i="162"/>
  <c r="R15" i="162"/>
  <c r="P15" i="162"/>
  <c r="O15" i="162"/>
  <c r="M15" i="162"/>
  <c r="V14" i="162"/>
  <c r="R14" i="162"/>
  <c r="P14" i="162"/>
  <c r="O14" i="162"/>
  <c r="M14" i="162"/>
  <c r="V13" i="162"/>
  <c r="R13" i="162"/>
  <c r="P13" i="162"/>
  <c r="O13" i="162"/>
  <c r="M13" i="162"/>
  <c r="V12" i="162"/>
  <c r="R12" i="162"/>
  <c r="P12" i="162"/>
  <c r="O12" i="162"/>
  <c r="M12" i="162"/>
  <c r="V11" i="162"/>
  <c r="R11" i="162"/>
  <c r="P11" i="162"/>
  <c r="O11" i="162"/>
  <c r="M11" i="162"/>
  <c r="V10" i="162"/>
  <c r="R10" i="162"/>
  <c r="P10" i="162"/>
  <c r="O10" i="162"/>
  <c r="M10" i="162"/>
  <c r="V9" i="162"/>
  <c r="R9" i="162"/>
  <c r="P9" i="162"/>
  <c r="O9" i="162"/>
  <c r="M9" i="162"/>
  <c r="V8" i="162"/>
  <c r="R8" i="162"/>
  <c r="P8" i="162"/>
  <c r="O8" i="162"/>
  <c r="M8" i="162"/>
  <c r="V7" i="162"/>
  <c r="R7" i="162"/>
  <c r="P7" i="162"/>
  <c r="O7" i="162"/>
  <c r="M7" i="162"/>
  <c r="V6" i="162"/>
  <c r="R6" i="162"/>
  <c r="P6" i="162"/>
  <c r="O6" i="162"/>
  <c r="M6" i="162"/>
  <c r="V5" i="162"/>
  <c r="R5" i="162"/>
  <c r="P5" i="162"/>
  <c r="O5" i="162"/>
  <c r="M5" i="162"/>
  <c r="V4" i="162"/>
  <c r="R4" i="162"/>
  <c r="P4" i="162"/>
  <c r="O4" i="162"/>
  <c r="M4" i="162"/>
  <c r="V3" i="162"/>
  <c r="R3" i="162"/>
  <c r="P3" i="162"/>
  <c r="O3" i="162"/>
  <c r="M3" i="162"/>
  <c r="V2" i="162"/>
  <c r="I341" i="161"/>
  <c r="D341" i="161"/>
  <c r="J341" i="161"/>
  <c r="E341" i="161"/>
  <c r="F341" i="161"/>
  <c r="K341" i="161"/>
  <c r="G341" i="161"/>
  <c r="C341" i="161"/>
  <c r="A2" i="160"/>
  <c r="I2" i="161"/>
  <c r="J2" i="161"/>
  <c r="D2" i="161"/>
  <c r="E2" i="161"/>
  <c r="F2" i="161"/>
  <c r="K2" i="161"/>
  <c r="G2" i="161"/>
  <c r="C2" i="161"/>
  <c r="I3" i="161"/>
  <c r="J3" i="161"/>
  <c r="D3" i="161"/>
  <c r="E3" i="161"/>
  <c r="F3" i="161"/>
  <c r="K3" i="161"/>
  <c r="G3" i="161"/>
  <c r="C3" i="161"/>
  <c r="I4" i="161"/>
  <c r="J4" i="161"/>
  <c r="D4" i="161"/>
  <c r="E4" i="161"/>
  <c r="F4" i="161"/>
  <c r="K4" i="161"/>
  <c r="G4" i="161"/>
  <c r="C4" i="161"/>
  <c r="I5" i="161"/>
  <c r="J5" i="161"/>
  <c r="D5" i="161"/>
  <c r="E5" i="161"/>
  <c r="F5" i="161"/>
  <c r="K5" i="161"/>
  <c r="G5" i="161"/>
  <c r="C5" i="161"/>
  <c r="I6" i="161"/>
  <c r="J6" i="161"/>
  <c r="D6" i="161"/>
  <c r="E6" i="161"/>
  <c r="F6" i="161"/>
  <c r="K6" i="161"/>
  <c r="G6" i="161"/>
  <c r="C6" i="161"/>
  <c r="I7" i="161"/>
  <c r="J7" i="161"/>
  <c r="D7" i="161"/>
  <c r="E7" i="161"/>
  <c r="F7" i="161"/>
  <c r="K7" i="161"/>
  <c r="G7" i="161"/>
  <c r="C7" i="161"/>
  <c r="I8" i="161"/>
  <c r="J8" i="161"/>
  <c r="D8" i="161"/>
  <c r="E8" i="161"/>
  <c r="F8" i="161"/>
  <c r="K8" i="161"/>
  <c r="G8" i="161"/>
  <c r="C8" i="161"/>
  <c r="I9" i="161"/>
  <c r="J9" i="161"/>
  <c r="D9" i="161"/>
  <c r="E9" i="161"/>
  <c r="F9" i="161"/>
  <c r="K9" i="161"/>
  <c r="G9" i="161"/>
  <c r="C9" i="161"/>
  <c r="I10" i="161"/>
  <c r="J10" i="161"/>
  <c r="D10" i="161"/>
  <c r="E10" i="161"/>
  <c r="F10" i="161"/>
  <c r="K10" i="161"/>
  <c r="G10" i="161"/>
  <c r="C10" i="161"/>
  <c r="I11" i="161"/>
  <c r="J11" i="161"/>
  <c r="D11" i="161"/>
  <c r="E11" i="161"/>
  <c r="F11" i="161"/>
  <c r="K11" i="161"/>
  <c r="G11" i="161"/>
  <c r="C11" i="161"/>
  <c r="I12" i="161"/>
  <c r="J12" i="161"/>
  <c r="D12" i="161"/>
  <c r="E12" i="161"/>
  <c r="F12" i="161"/>
  <c r="K12" i="161"/>
  <c r="G12" i="161"/>
  <c r="C12" i="161"/>
  <c r="I13" i="161"/>
  <c r="J13" i="161"/>
  <c r="D13" i="161"/>
  <c r="E13" i="161"/>
  <c r="F13" i="161"/>
  <c r="K13" i="161"/>
  <c r="G13" i="161"/>
  <c r="C13" i="161"/>
  <c r="I14" i="161"/>
  <c r="J14" i="161"/>
  <c r="D14" i="161"/>
  <c r="E14" i="161"/>
  <c r="F14" i="161"/>
  <c r="K14" i="161"/>
  <c r="G14" i="161"/>
  <c r="C14" i="161"/>
  <c r="I15" i="161"/>
  <c r="J15" i="161"/>
  <c r="D15" i="161"/>
  <c r="E15" i="161"/>
  <c r="F15" i="161"/>
  <c r="K15" i="161"/>
  <c r="G15" i="161"/>
  <c r="C15" i="161"/>
  <c r="I16" i="161"/>
  <c r="J16" i="161"/>
  <c r="D16" i="161"/>
  <c r="E16" i="161"/>
  <c r="F16" i="161"/>
  <c r="K16" i="161"/>
  <c r="G16" i="161"/>
  <c r="C16" i="161"/>
  <c r="I17" i="161"/>
  <c r="J17" i="161"/>
  <c r="D17" i="161"/>
  <c r="E17" i="161"/>
  <c r="F17" i="161"/>
  <c r="K17" i="161"/>
  <c r="G17" i="161"/>
  <c r="C17" i="161"/>
  <c r="I18" i="161"/>
  <c r="J18" i="161"/>
  <c r="D18" i="161"/>
  <c r="E18" i="161"/>
  <c r="F18" i="161"/>
  <c r="K18" i="161"/>
  <c r="G18" i="161"/>
  <c r="C18" i="161"/>
  <c r="I19" i="161"/>
  <c r="J19" i="161"/>
  <c r="D19" i="161"/>
  <c r="E19" i="161"/>
  <c r="F19" i="161"/>
  <c r="K19" i="161"/>
  <c r="G19" i="161"/>
  <c r="C19" i="161"/>
  <c r="I20" i="161"/>
  <c r="J20" i="161"/>
  <c r="D20" i="161"/>
  <c r="E20" i="161"/>
  <c r="F20" i="161"/>
  <c r="K20" i="161"/>
  <c r="G20" i="161"/>
  <c r="C20" i="161"/>
  <c r="I21" i="161"/>
  <c r="J21" i="161"/>
  <c r="D21" i="161"/>
  <c r="E21" i="161"/>
  <c r="F21" i="161"/>
  <c r="K21" i="161"/>
  <c r="G21" i="161"/>
  <c r="C21" i="161"/>
  <c r="I22" i="161"/>
  <c r="J22" i="161"/>
  <c r="D22" i="161"/>
  <c r="E22" i="161"/>
  <c r="F22" i="161"/>
  <c r="K22" i="161"/>
  <c r="G22" i="161"/>
  <c r="C22" i="161"/>
  <c r="I23" i="161"/>
  <c r="J23" i="161"/>
  <c r="D23" i="161"/>
  <c r="E23" i="161"/>
  <c r="F23" i="161"/>
  <c r="K23" i="161"/>
  <c r="G23" i="161"/>
  <c r="C23" i="161"/>
  <c r="I24" i="161"/>
  <c r="J24" i="161"/>
  <c r="D24" i="161"/>
  <c r="E24" i="161"/>
  <c r="F24" i="161"/>
  <c r="K24" i="161"/>
  <c r="G24" i="161"/>
  <c r="C24" i="161"/>
  <c r="I25" i="161"/>
  <c r="J25" i="161"/>
  <c r="D25" i="161"/>
  <c r="E25" i="161"/>
  <c r="F25" i="161"/>
  <c r="K25" i="161"/>
  <c r="G25" i="161"/>
  <c r="C25" i="161"/>
  <c r="I26" i="161"/>
  <c r="J26" i="161"/>
  <c r="D26" i="161"/>
  <c r="E26" i="161"/>
  <c r="F26" i="161"/>
  <c r="K26" i="161"/>
  <c r="G26" i="161"/>
  <c r="C26" i="161"/>
  <c r="I27" i="161"/>
  <c r="J27" i="161"/>
  <c r="D27" i="161"/>
  <c r="E27" i="161"/>
  <c r="F27" i="161"/>
  <c r="K27" i="161"/>
  <c r="G27" i="161"/>
  <c r="C27" i="161"/>
  <c r="I28" i="161"/>
  <c r="J28" i="161"/>
  <c r="D28" i="161"/>
  <c r="E28" i="161"/>
  <c r="F28" i="161"/>
  <c r="K28" i="161"/>
  <c r="G28" i="161"/>
  <c r="C28" i="161"/>
  <c r="I29" i="161"/>
  <c r="J29" i="161"/>
  <c r="D29" i="161"/>
  <c r="E29" i="161"/>
  <c r="F29" i="161"/>
  <c r="K29" i="161"/>
  <c r="G29" i="161"/>
  <c r="C29" i="161"/>
  <c r="I30" i="161"/>
  <c r="J30" i="161"/>
  <c r="D30" i="161"/>
  <c r="E30" i="161"/>
  <c r="F30" i="161"/>
  <c r="K30" i="161"/>
  <c r="G30" i="161"/>
  <c r="C30" i="161"/>
  <c r="I31" i="161"/>
  <c r="J31" i="161"/>
  <c r="D31" i="161"/>
  <c r="E31" i="161"/>
  <c r="F31" i="161"/>
  <c r="K31" i="161"/>
  <c r="G31" i="161"/>
  <c r="C31" i="161"/>
  <c r="I32" i="161"/>
  <c r="J32" i="161"/>
  <c r="D32" i="161"/>
  <c r="E32" i="161"/>
  <c r="F32" i="161"/>
  <c r="K32" i="161"/>
  <c r="G32" i="161"/>
  <c r="C32" i="161"/>
  <c r="I33" i="161"/>
  <c r="J33" i="161"/>
  <c r="D33" i="161"/>
  <c r="E33" i="161"/>
  <c r="F33" i="161"/>
  <c r="K33" i="161"/>
  <c r="G33" i="161"/>
  <c r="C33" i="161"/>
  <c r="I34" i="161"/>
  <c r="J34" i="161"/>
  <c r="D34" i="161"/>
  <c r="E34" i="161"/>
  <c r="F34" i="161"/>
  <c r="K34" i="161"/>
  <c r="G34" i="161"/>
  <c r="C34" i="161"/>
  <c r="I35" i="161"/>
  <c r="J35" i="161"/>
  <c r="D35" i="161"/>
  <c r="E35" i="161"/>
  <c r="F35" i="161"/>
  <c r="K35" i="161"/>
  <c r="G35" i="161"/>
  <c r="C35" i="161"/>
  <c r="I36" i="161"/>
  <c r="J36" i="161"/>
  <c r="D36" i="161"/>
  <c r="E36" i="161"/>
  <c r="F36" i="161"/>
  <c r="K36" i="161"/>
  <c r="G36" i="161"/>
  <c r="C36" i="161"/>
  <c r="I37" i="161"/>
  <c r="J37" i="161"/>
  <c r="D37" i="161"/>
  <c r="E37" i="161"/>
  <c r="F37" i="161"/>
  <c r="K37" i="161"/>
  <c r="G37" i="161"/>
  <c r="C37" i="161"/>
  <c r="I38" i="161"/>
  <c r="J38" i="161"/>
  <c r="D38" i="161"/>
  <c r="E38" i="161"/>
  <c r="F38" i="161"/>
  <c r="K38" i="161"/>
  <c r="G38" i="161"/>
  <c r="C38" i="161"/>
  <c r="I39" i="161"/>
  <c r="J39" i="161"/>
  <c r="D39" i="161"/>
  <c r="E39" i="161"/>
  <c r="F39" i="161"/>
  <c r="K39" i="161"/>
  <c r="G39" i="161"/>
  <c r="C39" i="161"/>
  <c r="I40" i="161"/>
  <c r="J40" i="161"/>
  <c r="D40" i="161"/>
  <c r="E40" i="161"/>
  <c r="F40" i="161"/>
  <c r="K40" i="161"/>
  <c r="G40" i="161"/>
  <c r="C40" i="161"/>
  <c r="I41" i="161"/>
  <c r="J41" i="161"/>
  <c r="D41" i="161"/>
  <c r="E41" i="161"/>
  <c r="F41" i="161"/>
  <c r="K41" i="161"/>
  <c r="G41" i="161"/>
  <c r="C41" i="161"/>
  <c r="I42" i="161"/>
  <c r="D42" i="161"/>
  <c r="J42" i="161"/>
  <c r="E42" i="161"/>
  <c r="F42" i="161"/>
  <c r="K42" i="161"/>
  <c r="G42" i="161"/>
  <c r="C42" i="161"/>
  <c r="I43" i="161"/>
  <c r="D43" i="161"/>
  <c r="J43" i="161"/>
  <c r="E43" i="161"/>
  <c r="F43" i="161"/>
  <c r="K43" i="161"/>
  <c r="G43" i="161"/>
  <c r="C43" i="161"/>
  <c r="I44" i="161"/>
  <c r="D44" i="161"/>
  <c r="J44" i="161"/>
  <c r="E44" i="161"/>
  <c r="F44" i="161"/>
  <c r="K44" i="161"/>
  <c r="G44" i="161"/>
  <c r="C44" i="161"/>
  <c r="I45" i="161"/>
  <c r="D45" i="161"/>
  <c r="J45" i="161"/>
  <c r="E45" i="161"/>
  <c r="F45" i="161"/>
  <c r="K45" i="161"/>
  <c r="G45" i="161"/>
  <c r="C45" i="161"/>
  <c r="I46" i="161"/>
  <c r="D46" i="161"/>
  <c r="J46" i="161"/>
  <c r="E46" i="161"/>
  <c r="F46" i="161"/>
  <c r="K46" i="161"/>
  <c r="G46" i="161"/>
  <c r="C46" i="161"/>
  <c r="I47" i="161"/>
  <c r="D47" i="161"/>
  <c r="J47" i="161"/>
  <c r="E47" i="161"/>
  <c r="F47" i="161"/>
  <c r="K47" i="161"/>
  <c r="G47" i="161"/>
  <c r="C47" i="161"/>
  <c r="I48" i="161"/>
  <c r="D48" i="161"/>
  <c r="J48" i="161"/>
  <c r="E48" i="161"/>
  <c r="F48" i="161"/>
  <c r="K48" i="161"/>
  <c r="G48" i="161"/>
  <c r="C48" i="161"/>
  <c r="I49" i="161"/>
  <c r="D49" i="161"/>
  <c r="J49" i="161"/>
  <c r="E49" i="161"/>
  <c r="F49" i="161"/>
  <c r="K49" i="161"/>
  <c r="G49" i="161"/>
  <c r="C49" i="161"/>
  <c r="I50" i="161"/>
  <c r="D50" i="161"/>
  <c r="J50" i="161"/>
  <c r="E50" i="161"/>
  <c r="F50" i="161"/>
  <c r="K50" i="161"/>
  <c r="G50" i="161"/>
  <c r="C50" i="161"/>
  <c r="I51" i="161"/>
  <c r="D51" i="161"/>
  <c r="J51" i="161"/>
  <c r="E51" i="161"/>
  <c r="F51" i="161"/>
  <c r="K51" i="161"/>
  <c r="G51" i="161"/>
  <c r="C51" i="161"/>
  <c r="I52" i="161"/>
  <c r="D52" i="161"/>
  <c r="J52" i="161"/>
  <c r="E52" i="161"/>
  <c r="F52" i="161"/>
  <c r="K52" i="161"/>
  <c r="G52" i="161"/>
  <c r="C52" i="161"/>
  <c r="I53" i="161"/>
  <c r="D53" i="161"/>
  <c r="J53" i="161"/>
  <c r="E53" i="161"/>
  <c r="F53" i="161"/>
  <c r="K53" i="161"/>
  <c r="G53" i="161"/>
  <c r="C53" i="161"/>
  <c r="I54" i="161"/>
  <c r="D54" i="161"/>
  <c r="J54" i="161"/>
  <c r="E54" i="161"/>
  <c r="F54" i="161"/>
  <c r="K54" i="161"/>
  <c r="G54" i="161"/>
  <c r="C54" i="161"/>
  <c r="I55" i="161"/>
  <c r="D55" i="161"/>
  <c r="J55" i="161"/>
  <c r="E55" i="161"/>
  <c r="F55" i="161"/>
  <c r="K55" i="161"/>
  <c r="G55" i="161"/>
  <c r="C55" i="161"/>
  <c r="I56" i="161"/>
  <c r="D56" i="161"/>
  <c r="J56" i="161"/>
  <c r="E56" i="161"/>
  <c r="F56" i="161"/>
  <c r="K56" i="161"/>
  <c r="G56" i="161"/>
  <c r="C56" i="161"/>
  <c r="I57" i="161"/>
  <c r="D57" i="161"/>
  <c r="J57" i="161"/>
  <c r="E57" i="161"/>
  <c r="F57" i="161"/>
  <c r="K57" i="161"/>
  <c r="G57" i="161"/>
  <c r="C57" i="161"/>
  <c r="I58" i="161"/>
  <c r="D58" i="161"/>
  <c r="J58" i="161"/>
  <c r="E58" i="161"/>
  <c r="F58" i="161"/>
  <c r="K58" i="161"/>
  <c r="G58" i="161"/>
  <c r="C58" i="161"/>
  <c r="I59" i="161"/>
  <c r="D59" i="161"/>
  <c r="J59" i="161"/>
  <c r="E59" i="161"/>
  <c r="F59" i="161"/>
  <c r="K59" i="161"/>
  <c r="G59" i="161"/>
  <c r="C59" i="161"/>
  <c r="I60" i="161"/>
  <c r="D60" i="161"/>
  <c r="J60" i="161"/>
  <c r="E60" i="161"/>
  <c r="F60" i="161"/>
  <c r="K60" i="161"/>
  <c r="G60" i="161"/>
  <c r="C60" i="161"/>
  <c r="I61" i="161"/>
  <c r="D61" i="161"/>
  <c r="J61" i="161"/>
  <c r="E61" i="161"/>
  <c r="F61" i="161"/>
  <c r="K61" i="161"/>
  <c r="G61" i="161"/>
  <c r="C61" i="161"/>
  <c r="I62" i="161"/>
  <c r="D62" i="161"/>
  <c r="J62" i="161"/>
  <c r="E62" i="161"/>
  <c r="F62" i="161"/>
  <c r="K62" i="161"/>
  <c r="G62" i="161"/>
  <c r="C62" i="161"/>
  <c r="I63" i="161"/>
  <c r="D63" i="161"/>
  <c r="J63" i="161"/>
  <c r="E63" i="161"/>
  <c r="F63" i="161"/>
  <c r="K63" i="161"/>
  <c r="G63" i="161"/>
  <c r="C63" i="161"/>
  <c r="I64" i="161"/>
  <c r="D64" i="161"/>
  <c r="J64" i="161"/>
  <c r="E64" i="161"/>
  <c r="F64" i="161"/>
  <c r="K64" i="161"/>
  <c r="G64" i="161"/>
  <c r="C64" i="161"/>
  <c r="I65" i="161"/>
  <c r="D65" i="161"/>
  <c r="J65" i="161"/>
  <c r="E65" i="161"/>
  <c r="F65" i="161"/>
  <c r="K65" i="161"/>
  <c r="G65" i="161"/>
  <c r="C65" i="161"/>
  <c r="I66" i="161"/>
  <c r="D66" i="161"/>
  <c r="J66" i="161"/>
  <c r="E66" i="161"/>
  <c r="F66" i="161"/>
  <c r="K66" i="161"/>
  <c r="G66" i="161"/>
  <c r="C66" i="161"/>
  <c r="I67" i="161"/>
  <c r="D67" i="161"/>
  <c r="J67" i="161"/>
  <c r="E67" i="161"/>
  <c r="F67" i="161"/>
  <c r="K67" i="161"/>
  <c r="G67" i="161"/>
  <c r="C67" i="161"/>
  <c r="I68" i="161"/>
  <c r="D68" i="161"/>
  <c r="J68" i="161"/>
  <c r="E68" i="161"/>
  <c r="F68" i="161"/>
  <c r="K68" i="161"/>
  <c r="G68" i="161"/>
  <c r="C68" i="161"/>
  <c r="I69" i="161"/>
  <c r="D69" i="161"/>
  <c r="J69" i="161"/>
  <c r="E69" i="161"/>
  <c r="F69" i="161"/>
  <c r="K69" i="161"/>
  <c r="G69" i="161"/>
  <c r="C69" i="161"/>
  <c r="I70" i="161"/>
  <c r="D70" i="161"/>
  <c r="J70" i="161"/>
  <c r="E70" i="161"/>
  <c r="F70" i="161"/>
  <c r="K70" i="161"/>
  <c r="G70" i="161"/>
  <c r="C70" i="161"/>
  <c r="I71" i="161"/>
  <c r="D71" i="161"/>
  <c r="J71" i="161"/>
  <c r="E71" i="161"/>
  <c r="F71" i="161"/>
  <c r="K71" i="161"/>
  <c r="G71" i="161"/>
  <c r="C71" i="161"/>
  <c r="I72" i="161"/>
  <c r="D72" i="161"/>
  <c r="J72" i="161"/>
  <c r="E72" i="161"/>
  <c r="F72" i="161"/>
  <c r="K72" i="161"/>
  <c r="G72" i="161"/>
  <c r="C72" i="161"/>
  <c r="I73" i="161"/>
  <c r="D73" i="161"/>
  <c r="J73" i="161"/>
  <c r="E73" i="161"/>
  <c r="F73" i="161"/>
  <c r="K73" i="161"/>
  <c r="G73" i="161"/>
  <c r="C73" i="161"/>
  <c r="I74" i="161"/>
  <c r="D74" i="161"/>
  <c r="J74" i="161"/>
  <c r="E74" i="161"/>
  <c r="F74" i="161"/>
  <c r="K74" i="161"/>
  <c r="G74" i="161"/>
  <c r="C74" i="161"/>
  <c r="I75" i="161"/>
  <c r="D75" i="161"/>
  <c r="J75" i="161"/>
  <c r="E75" i="161"/>
  <c r="F75" i="161"/>
  <c r="K75" i="161"/>
  <c r="G75" i="161"/>
  <c r="C75" i="161"/>
  <c r="I76" i="161"/>
  <c r="D76" i="161"/>
  <c r="J76" i="161"/>
  <c r="E76" i="161"/>
  <c r="F76" i="161"/>
  <c r="K76" i="161"/>
  <c r="G76" i="161"/>
  <c r="C76" i="161"/>
  <c r="I77" i="161"/>
  <c r="D77" i="161"/>
  <c r="J77" i="161"/>
  <c r="E77" i="161"/>
  <c r="F77" i="161"/>
  <c r="K77" i="161"/>
  <c r="G77" i="161"/>
  <c r="C77" i="161"/>
  <c r="I78" i="161"/>
  <c r="D78" i="161"/>
  <c r="J78" i="161"/>
  <c r="E78" i="161"/>
  <c r="F78" i="161"/>
  <c r="K78" i="161"/>
  <c r="G78" i="161"/>
  <c r="C78" i="161"/>
  <c r="I79" i="161"/>
  <c r="D79" i="161"/>
  <c r="J79" i="161"/>
  <c r="E79" i="161"/>
  <c r="F79" i="161"/>
  <c r="K79" i="161"/>
  <c r="G79" i="161"/>
  <c r="C79" i="161"/>
  <c r="I80" i="161"/>
  <c r="D80" i="161"/>
  <c r="J80" i="161"/>
  <c r="E80" i="161"/>
  <c r="F80" i="161"/>
  <c r="K80" i="161"/>
  <c r="G80" i="161"/>
  <c r="C80" i="161"/>
  <c r="I81" i="161"/>
  <c r="D81" i="161"/>
  <c r="J81" i="161"/>
  <c r="E81" i="161"/>
  <c r="F81" i="161"/>
  <c r="K81" i="161"/>
  <c r="G81" i="161"/>
  <c r="C81" i="161"/>
  <c r="I82" i="161"/>
  <c r="D82" i="161"/>
  <c r="J82" i="161"/>
  <c r="E82" i="161"/>
  <c r="F82" i="161"/>
  <c r="K82" i="161"/>
  <c r="G82" i="161"/>
  <c r="C82" i="161"/>
  <c r="I83" i="161"/>
  <c r="D83" i="161"/>
  <c r="J83" i="161"/>
  <c r="E83" i="161"/>
  <c r="F83" i="161"/>
  <c r="K83" i="161"/>
  <c r="G83" i="161"/>
  <c r="C83" i="161"/>
  <c r="I84" i="161"/>
  <c r="D84" i="161"/>
  <c r="J84" i="161"/>
  <c r="E84" i="161"/>
  <c r="F84" i="161"/>
  <c r="K84" i="161"/>
  <c r="G84" i="161"/>
  <c r="C84" i="161"/>
  <c r="I85" i="161"/>
  <c r="D85" i="161"/>
  <c r="J85" i="161"/>
  <c r="E85" i="161"/>
  <c r="F85" i="161"/>
  <c r="K85" i="161"/>
  <c r="G85" i="161"/>
  <c r="C85" i="161"/>
  <c r="I86" i="161"/>
  <c r="D86" i="161"/>
  <c r="J86" i="161"/>
  <c r="E86" i="161"/>
  <c r="F86" i="161"/>
  <c r="K86" i="161"/>
  <c r="G86" i="161"/>
  <c r="C86" i="161"/>
  <c r="I87" i="161"/>
  <c r="D87" i="161"/>
  <c r="J87" i="161"/>
  <c r="E87" i="161"/>
  <c r="F87" i="161"/>
  <c r="K87" i="161"/>
  <c r="G87" i="161"/>
  <c r="C87" i="161"/>
  <c r="I88" i="161"/>
  <c r="D88" i="161"/>
  <c r="J88" i="161"/>
  <c r="E88" i="161"/>
  <c r="F88" i="161"/>
  <c r="K88" i="161"/>
  <c r="G88" i="161"/>
  <c r="C88" i="161"/>
  <c r="I89" i="161"/>
  <c r="D89" i="161"/>
  <c r="J89" i="161"/>
  <c r="E89" i="161"/>
  <c r="F89" i="161"/>
  <c r="K89" i="161"/>
  <c r="G89" i="161"/>
  <c r="C89" i="161"/>
  <c r="I90" i="161"/>
  <c r="D90" i="161"/>
  <c r="J90" i="161"/>
  <c r="E90" i="161"/>
  <c r="F90" i="161"/>
  <c r="K90" i="161"/>
  <c r="G90" i="161"/>
  <c r="C90" i="161"/>
  <c r="I91" i="161"/>
  <c r="D91" i="161"/>
  <c r="J91" i="161"/>
  <c r="E91" i="161"/>
  <c r="F91" i="161"/>
  <c r="K91" i="161"/>
  <c r="G91" i="161"/>
  <c r="C91" i="161"/>
  <c r="I92" i="161"/>
  <c r="D92" i="161"/>
  <c r="J92" i="161"/>
  <c r="E92" i="161"/>
  <c r="F92" i="161"/>
  <c r="K92" i="161"/>
  <c r="G92" i="161"/>
  <c r="C92" i="161"/>
  <c r="I93" i="161"/>
  <c r="D93" i="161"/>
  <c r="J93" i="161"/>
  <c r="E93" i="161"/>
  <c r="F93" i="161"/>
  <c r="K93" i="161"/>
  <c r="G93" i="161"/>
  <c r="C93" i="161"/>
  <c r="I94" i="161"/>
  <c r="D94" i="161"/>
  <c r="J94" i="161"/>
  <c r="E94" i="161"/>
  <c r="F94" i="161"/>
  <c r="K94" i="161"/>
  <c r="G94" i="161"/>
  <c r="C94" i="161"/>
  <c r="I95" i="161"/>
  <c r="D95" i="161"/>
  <c r="J95" i="161"/>
  <c r="E95" i="161"/>
  <c r="F95" i="161"/>
  <c r="K95" i="161"/>
  <c r="G95" i="161"/>
  <c r="C95" i="161"/>
  <c r="I96" i="161"/>
  <c r="D96" i="161"/>
  <c r="J96" i="161"/>
  <c r="E96" i="161"/>
  <c r="F96" i="161"/>
  <c r="K96" i="161"/>
  <c r="G96" i="161"/>
  <c r="C96" i="161"/>
  <c r="I97" i="161"/>
  <c r="D97" i="161"/>
  <c r="J97" i="161"/>
  <c r="E97" i="161"/>
  <c r="F97" i="161"/>
  <c r="K97" i="161"/>
  <c r="G97" i="161"/>
  <c r="C97" i="161"/>
  <c r="I98" i="161"/>
  <c r="D98" i="161"/>
  <c r="J98" i="161"/>
  <c r="E98" i="161"/>
  <c r="F98" i="161"/>
  <c r="K98" i="161"/>
  <c r="G98" i="161"/>
  <c r="C98" i="161"/>
  <c r="I99" i="161"/>
  <c r="D99" i="161"/>
  <c r="J99" i="161"/>
  <c r="E99" i="161"/>
  <c r="F99" i="161"/>
  <c r="K99" i="161"/>
  <c r="G99" i="161"/>
  <c r="C99" i="161"/>
  <c r="I100" i="161"/>
  <c r="D100" i="161"/>
  <c r="J100" i="161"/>
  <c r="E100" i="161"/>
  <c r="F100" i="161"/>
  <c r="K100" i="161"/>
  <c r="G100" i="161"/>
  <c r="C100" i="161"/>
  <c r="I101" i="161"/>
  <c r="D101" i="161"/>
  <c r="J101" i="161"/>
  <c r="E101" i="161"/>
  <c r="F101" i="161"/>
  <c r="K101" i="161"/>
  <c r="G101" i="161"/>
  <c r="C101" i="161"/>
  <c r="I102" i="161"/>
  <c r="D102" i="161"/>
  <c r="J102" i="161"/>
  <c r="E102" i="161"/>
  <c r="F102" i="161"/>
  <c r="K102" i="161"/>
  <c r="G102" i="161"/>
  <c r="C102" i="161"/>
  <c r="I103" i="161"/>
  <c r="D103" i="161"/>
  <c r="J103" i="161"/>
  <c r="E103" i="161"/>
  <c r="F103" i="161"/>
  <c r="K103" i="161"/>
  <c r="G103" i="161"/>
  <c r="C103" i="161"/>
  <c r="I104" i="161"/>
  <c r="D104" i="161"/>
  <c r="J104" i="161"/>
  <c r="E104" i="161"/>
  <c r="F104" i="161"/>
  <c r="K104" i="161"/>
  <c r="G104" i="161"/>
  <c r="C104" i="161"/>
  <c r="I105" i="161"/>
  <c r="D105" i="161"/>
  <c r="J105" i="161"/>
  <c r="E105" i="161"/>
  <c r="F105" i="161"/>
  <c r="K105" i="161"/>
  <c r="G105" i="161"/>
  <c r="C105" i="161"/>
  <c r="I106" i="161"/>
  <c r="D106" i="161"/>
  <c r="J106" i="161"/>
  <c r="E106" i="161"/>
  <c r="F106" i="161"/>
  <c r="K106" i="161"/>
  <c r="G106" i="161"/>
  <c r="C106" i="161"/>
  <c r="I107" i="161"/>
  <c r="D107" i="161"/>
  <c r="J107" i="161"/>
  <c r="E107" i="161"/>
  <c r="F107" i="161"/>
  <c r="K107" i="161"/>
  <c r="G107" i="161"/>
  <c r="C107" i="161"/>
  <c r="I108" i="161"/>
  <c r="D108" i="161"/>
  <c r="J108" i="161"/>
  <c r="E108" i="161"/>
  <c r="F108" i="161"/>
  <c r="K108" i="161"/>
  <c r="G108" i="161"/>
  <c r="C108" i="161"/>
  <c r="I109" i="161"/>
  <c r="D109" i="161"/>
  <c r="J109" i="161"/>
  <c r="E109" i="161"/>
  <c r="F109" i="161"/>
  <c r="K109" i="161"/>
  <c r="G109" i="161"/>
  <c r="C109" i="161"/>
  <c r="I110" i="161"/>
  <c r="D110" i="161"/>
  <c r="J110" i="161"/>
  <c r="E110" i="161"/>
  <c r="F110" i="161"/>
  <c r="K110" i="161"/>
  <c r="G110" i="161"/>
  <c r="C110" i="161"/>
  <c r="I111" i="161"/>
  <c r="D111" i="161"/>
  <c r="J111" i="161"/>
  <c r="E111" i="161"/>
  <c r="F111" i="161"/>
  <c r="K111" i="161"/>
  <c r="G111" i="161"/>
  <c r="C111" i="161"/>
  <c r="I112" i="161"/>
  <c r="D112" i="161"/>
  <c r="J112" i="161"/>
  <c r="E112" i="161"/>
  <c r="F112" i="161"/>
  <c r="K112" i="161"/>
  <c r="G112" i="161"/>
  <c r="C112" i="161"/>
  <c r="I113" i="161"/>
  <c r="D113" i="161"/>
  <c r="J113" i="161"/>
  <c r="E113" i="161"/>
  <c r="F113" i="161"/>
  <c r="K113" i="161"/>
  <c r="G113" i="161"/>
  <c r="C113" i="161"/>
  <c r="I114" i="161"/>
  <c r="D114" i="161"/>
  <c r="J114" i="161"/>
  <c r="E114" i="161"/>
  <c r="F114" i="161"/>
  <c r="K114" i="161"/>
  <c r="G114" i="161"/>
  <c r="C114" i="161"/>
  <c r="I115" i="161"/>
  <c r="D115" i="161"/>
  <c r="J115" i="161"/>
  <c r="E115" i="161"/>
  <c r="F115" i="161"/>
  <c r="K115" i="161"/>
  <c r="G115" i="161"/>
  <c r="C115" i="161"/>
  <c r="I116" i="161"/>
  <c r="D116" i="161"/>
  <c r="J116" i="161"/>
  <c r="E116" i="161"/>
  <c r="F116" i="161"/>
  <c r="K116" i="161"/>
  <c r="G116" i="161"/>
  <c r="C116" i="161"/>
  <c r="I117" i="161"/>
  <c r="D117" i="161"/>
  <c r="J117" i="161"/>
  <c r="E117" i="161"/>
  <c r="F117" i="161"/>
  <c r="K117" i="161"/>
  <c r="G117" i="161"/>
  <c r="C117" i="161"/>
  <c r="I118" i="161"/>
  <c r="D118" i="161"/>
  <c r="J118" i="161"/>
  <c r="E118" i="161"/>
  <c r="F118" i="161"/>
  <c r="K118" i="161"/>
  <c r="G118" i="161"/>
  <c r="C118" i="161"/>
  <c r="I119" i="161"/>
  <c r="D119" i="161"/>
  <c r="J119" i="161"/>
  <c r="E119" i="161"/>
  <c r="F119" i="161"/>
  <c r="K119" i="161"/>
  <c r="G119" i="161"/>
  <c r="C119" i="161"/>
  <c r="I120" i="161"/>
  <c r="D120" i="161"/>
  <c r="J120" i="161"/>
  <c r="E120" i="161"/>
  <c r="F120" i="161"/>
  <c r="K120" i="161"/>
  <c r="G120" i="161"/>
  <c r="C120" i="161"/>
  <c r="I121" i="161"/>
  <c r="D121" i="161"/>
  <c r="J121" i="161"/>
  <c r="E121" i="161"/>
  <c r="F121" i="161"/>
  <c r="K121" i="161"/>
  <c r="G121" i="161"/>
  <c r="C121" i="161"/>
  <c r="I122" i="161"/>
  <c r="D122" i="161"/>
  <c r="J122" i="161"/>
  <c r="E122" i="161"/>
  <c r="F122" i="161"/>
  <c r="K122" i="161"/>
  <c r="G122" i="161"/>
  <c r="C122" i="161"/>
  <c r="I123" i="161"/>
  <c r="D123" i="161"/>
  <c r="J123" i="161"/>
  <c r="E123" i="161"/>
  <c r="F123" i="161"/>
  <c r="K123" i="161"/>
  <c r="G123" i="161"/>
  <c r="C123" i="161"/>
  <c r="I124" i="161"/>
  <c r="D124" i="161"/>
  <c r="J124" i="161"/>
  <c r="E124" i="161"/>
  <c r="F124" i="161"/>
  <c r="K124" i="161"/>
  <c r="G124" i="161"/>
  <c r="C124" i="161"/>
  <c r="I125" i="161"/>
  <c r="D125" i="161"/>
  <c r="J125" i="161"/>
  <c r="E125" i="161"/>
  <c r="F125" i="161"/>
  <c r="K125" i="161"/>
  <c r="G125" i="161"/>
  <c r="C125" i="161"/>
  <c r="I126" i="161"/>
  <c r="D126" i="161"/>
  <c r="J126" i="161"/>
  <c r="E126" i="161"/>
  <c r="F126" i="161"/>
  <c r="K126" i="161"/>
  <c r="G126" i="161"/>
  <c r="C126" i="161"/>
  <c r="I127" i="161"/>
  <c r="D127" i="161"/>
  <c r="J127" i="161"/>
  <c r="E127" i="161"/>
  <c r="F127" i="161"/>
  <c r="K127" i="161"/>
  <c r="G127" i="161"/>
  <c r="C127" i="161"/>
  <c r="I128" i="161"/>
  <c r="D128" i="161"/>
  <c r="J128" i="161"/>
  <c r="E128" i="161"/>
  <c r="F128" i="161"/>
  <c r="K128" i="161"/>
  <c r="G128" i="161"/>
  <c r="C128" i="161"/>
  <c r="I129" i="161"/>
  <c r="D129" i="161"/>
  <c r="J129" i="161"/>
  <c r="E129" i="161"/>
  <c r="F129" i="161"/>
  <c r="K129" i="161"/>
  <c r="G129" i="161"/>
  <c r="C129" i="161"/>
  <c r="I130" i="161"/>
  <c r="D130" i="161"/>
  <c r="J130" i="161"/>
  <c r="E130" i="161"/>
  <c r="F130" i="161"/>
  <c r="K130" i="161"/>
  <c r="G130" i="161"/>
  <c r="C130" i="161"/>
  <c r="I131" i="161"/>
  <c r="D131" i="161"/>
  <c r="J131" i="161"/>
  <c r="E131" i="161"/>
  <c r="F131" i="161"/>
  <c r="K131" i="161"/>
  <c r="G131" i="161"/>
  <c r="C131" i="161"/>
  <c r="I132" i="161"/>
  <c r="D132" i="161"/>
  <c r="J132" i="161"/>
  <c r="E132" i="161"/>
  <c r="F132" i="161"/>
  <c r="K132" i="161"/>
  <c r="G132" i="161"/>
  <c r="C132" i="161"/>
  <c r="I133" i="161"/>
  <c r="D133" i="161"/>
  <c r="J133" i="161"/>
  <c r="E133" i="161"/>
  <c r="F133" i="161"/>
  <c r="K133" i="161"/>
  <c r="G133" i="161"/>
  <c r="C133" i="161"/>
  <c r="I134" i="161"/>
  <c r="D134" i="161"/>
  <c r="J134" i="161"/>
  <c r="E134" i="161"/>
  <c r="F134" i="161"/>
  <c r="K134" i="161"/>
  <c r="G134" i="161"/>
  <c r="C134" i="161"/>
  <c r="I135" i="161"/>
  <c r="D135" i="161"/>
  <c r="J135" i="161"/>
  <c r="E135" i="161"/>
  <c r="F135" i="161"/>
  <c r="K135" i="161"/>
  <c r="G135" i="161"/>
  <c r="C135" i="161"/>
  <c r="I136" i="161"/>
  <c r="D136" i="161"/>
  <c r="J136" i="161"/>
  <c r="E136" i="161"/>
  <c r="F136" i="161"/>
  <c r="K136" i="161"/>
  <c r="G136" i="161"/>
  <c r="C136" i="161"/>
  <c r="I137" i="161"/>
  <c r="D137" i="161"/>
  <c r="J137" i="161"/>
  <c r="E137" i="161"/>
  <c r="F137" i="161"/>
  <c r="K137" i="161"/>
  <c r="G137" i="161"/>
  <c r="C137" i="161"/>
  <c r="I138" i="161"/>
  <c r="D138" i="161"/>
  <c r="J138" i="161"/>
  <c r="E138" i="161"/>
  <c r="F138" i="161"/>
  <c r="K138" i="161"/>
  <c r="G138" i="161"/>
  <c r="C138" i="161"/>
  <c r="I139" i="161"/>
  <c r="D139" i="161"/>
  <c r="J139" i="161"/>
  <c r="E139" i="161"/>
  <c r="F139" i="161"/>
  <c r="K139" i="161"/>
  <c r="G139" i="161"/>
  <c r="C139" i="161"/>
  <c r="I140" i="161"/>
  <c r="D140" i="161"/>
  <c r="J140" i="161"/>
  <c r="E140" i="161"/>
  <c r="F140" i="161"/>
  <c r="K140" i="161"/>
  <c r="G140" i="161"/>
  <c r="C140" i="161"/>
  <c r="I141" i="161"/>
  <c r="D141" i="161"/>
  <c r="J141" i="161"/>
  <c r="E141" i="161"/>
  <c r="F141" i="161"/>
  <c r="K141" i="161"/>
  <c r="G141" i="161"/>
  <c r="C141" i="161"/>
  <c r="I142" i="161"/>
  <c r="D142" i="161"/>
  <c r="J142" i="161"/>
  <c r="E142" i="161"/>
  <c r="F142" i="161"/>
  <c r="K142" i="161"/>
  <c r="G142" i="161"/>
  <c r="C142" i="161"/>
  <c r="I143" i="161"/>
  <c r="D143" i="161"/>
  <c r="J143" i="161"/>
  <c r="E143" i="161"/>
  <c r="F143" i="161"/>
  <c r="K143" i="161"/>
  <c r="G143" i="161"/>
  <c r="C143" i="161"/>
  <c r="I144" i="161"/>
  <c r="D144" i="161"/>
  <c r="J144" i="161"/>
  <c r="E144" i="161"/>
  <c r="F144" i="161"/>
  <c r="K144" i="161"/>
  <c r="G144" i="161"/>
  <c r="C144" i="161"/>
  <c r="I145" i="161"/>
  <c r="D145" i="161"/>
  <c r="J145" i="161"/>
  <c r="E145" i="161"/>
  <c r="F145" i="161"/>
  <c r="K145" i="161"/>
  <c r="G145" i="161"/>
  <c r="C145" i="161"/>
  <c r="I146" i="161"/>
  <c r="D146" i="161"/>
  <c r="J146" i="161"/>
  <c r="E146" i="161"/>
  <c r="F146" i="161"/>
  <c r="K146" i="161"/>
  <c r="G146" i="161"/>
  <c r="C146" i="161"/>
  <c r="I147" i="161"/>
  <c r="D147" i="161"/>
  <c r="J147" i="161"/>
  <c r="E147" i="161"/>
  <c r="F147" i="161"/>
  <c r="K147" i="161"/>
  <c r="G147" i="161"/>
  <c r="C147" i="161"/>
  <c r="I148" i="161"/>
  <c r="D148" i="161"/>
  <c r="J148" i="161"/>
  <c r="E148" i="161"/>
  <c r="F148" i="161"/>
  <c r="K148" i="161"/>
  <c r="G148" i="161"/>
  <c r="C148" i="161"/>
  <c r="I149" i="161"/>
  <c r="D149" i="161"/>
  <c r="J149" i="161"/>
  <c r="E149" i="161"/>
  <c r="F149" i="161"/>
  <c r="K149" i="161"/>
  <c r="G149" i="161"/>
  <c r="C149" i="161"/>
  <c r="I150" i="161"/>
  <c r="D150" i="161"/>
  <c r="J150" i="161"/>
  <c r="E150" i="161"/>
  <c r="F150" i="161"/>
  <c r="K150" i="161"/>
  <c r="G150" i="161"/>
  <c r="C150" i="161"/>
  <c r="I151" i="161"/>
  <c r="D151" i="161"/>
  <c r="J151" i="161"/>
  <c r="E151" i="161"/>
  <c r="F151" i="161"/>
  <c r="K151" i="161"/>
  <c r="G151" i="161"/>
  <c r="C151" i="161"/>
  <c r="I152" i="161"/>
  <c r="D152" i="161"/>
  <c r="J152" i="161"/>
  <c r="E152" i="161"/>
  <c r="F152" i="161"/>
  <c r="K152" i="161"/>
  <c r="G152" i="161"/>
  <c r="C152" i="161"/>
  <c r="I153" i="161"/>
  <c r="D153" i="161"/>
  <c r="J153" i="161"/>
  <c r="E153" i="161"/>
  <c r="F153" i="161"/>
  <c r="K153" i="161"/>
  <c r="G153" i="161"/>
  <c r="C153" i="161"/>
  <c r="I154" i="161"/>
  <c r="D154" i="161"/>
  <c r="J154" i="161"/>
  <c r="E154" i="161"/>
  <c r="F154" i="161"/>
  <c r="K154" i="161"/>
  <c r="G154" i="161"/>
  <c r="C154" i="161"/>
  <c r="I155" i="161"/>
  <c r="D155" i="161"/>
  <c r="J155" i="161"/>
  <c r="E155" i="161"/>
  <c r="F155" i="161"/>
  <c r="K155" i="161"/>
  <c r="G155" i="161"/>
  <c r="C155" i="161"/>
  <c r="I156" i="161"/>
  <c r="D156" i="161"/>
  <c r="J156" i="161"/>
  <c r="E156" i="161"/>
  <c r="F156" i="161"/>
  <c r="K156" i="161"/>
  <c r="G156" i="161"/>
  <c r="C156" i="161"/>
  <c r="I157" i="161"/>
  <c r="D157" i="161"/>
  <c r="J157" i="161"/>
  <c r="E157" i="161"/>
  <c r="F157" i="161"/>
  <c r="K157" i="161"/>
  <c r="G157" i="161"/>
  <c r="C157" i="161"/>
  <c r="I158" i="161"/>
  <c r="D158" i="161"/>
  <c r="J158" i="161"/>
  <c r="E158" i="161"/>
  <c r="F158" i="161"/>
  <c r="K158" i="161"/>
  <c r="G158" i="161"/>
  <c r="C158" i="161"/>
  <c r="I159" i="161"/>
  <c r="D159" i="161"/>
  <c r="J159" i="161"/>
  <c r="E159" i="161"/>
  <c r="F159" i="161"/>
  <c r="K159" i="161"/>
  <c r="G159" i="161"/>
  <c r="C159" i="161"/>
  <c r="I160" i="161"/>
  <c r="D160" i="161"/>
  <c r="J160" i="161"/>
  <c r="E160" i="161"/>
  <c r="F160" i="161"/>
  <c r="K160" i="161"/>
  <c r="G160" i="161"/>
  <c r="C160" i="161"/>
  <c r="I161" i="161"/>
  <c r="D161" i="161"/>
  <c r="J161" i="161"/>
  <c r="E161" i="161"/>
  <c r="F161" i="161"/>
  <c r="K161" i="161"/>
  <c r="G161" i="161"/>
  <c r="C161" i="161"/>
  <c r="I162" i="161"/>
  <c r="D162" i="161"/>
  <c r="J162" i="161"/>
  <c r="E162" i="161"/>
  <c r="F162" i="161"/>
  <c r="K162" i="161"/>
  <c r="G162" i="161"/>
  <c r="C162" i="161"/>
  <c r="I163" i="161"/>
  <c r="D163" i="161"/>
  <c r="J163" i="161"/>
  <c r="E163" i="161"/>
  <c r="F163" i="161"/>
  <c r="K163" i="161"/>
  <c r="G163" i="161"/>
  <c r="C163" i="161"/>
  <c r="I164" i="161"/>
  <c r="D164" i="161"/>
  <c r="J164" i="161"/>
  <c r="E164" i="161"/>
  <c r="F164" i="161"/>
  <c r="K164" i="161"/>
  <c r="G164" i="161"/>
  <c r="C164" i="161"/>
  <c r="I165" i="161"/>
  <c r="D165" i="161"/>
  <c r="J165" i="161"/>
  <c r="E165" i="161"/>
  <c r="F165" i="161"/>
  <c r="K165" i="161"/>
  <c r="G165" i="161"/>
  <c r="C165" i="161"/>
  <c r="I166" i="161"/>
  <c r="D166" i="161"/>
  <c r="J166" i="161"/>
  <c r="E166" i="161"/>
  <c r="F166" i="161"/>
  <c r="K166" i="161"/>
  <c r="G166" i="161"/>
  <c r="C166" i="161"/>
  <c r="I167" i="161"/>
  <c r="D167" i="161"/>
  <c r="J167" i="161"/>
  <c r="E167" i="161"/>
  <c r="F167" i="161"/>
  <c r="K167" i="161"/>
  <c r="G167" i="161"/>
  <c r="C167" i="161"/>
  <c r="I168" i="161"/>
  <c r="D168" i="161"/>
  <c r="J168" i="161"/>
  <c r="E168" i="161"/>
  <c r="F168" i="161"/>
  <c r="K168" i="161"/>
  <c r="G168" i="161"/>
  <c r="C168" i="161"/>
  <c r="I169" i="161"/>
  <c r="D169" i="161"/>
  <c r="J169" i="161"/>
  <c r="E169" i="161"/>
  <c r="F169" i="161"/>
  <c r="K169" i="161"/>
  <c r="G169" i="161"/>
  <c r="C169" i="161"/>
  <c r="I170" i="161"/>
  <c r="D170" i="161"/>
  <c r="J170" i="161"/>
  <c r="E170" i="161"/>
  <c r="F170" i="161"/>
  <c r="K170" i="161"/>
  <c r="G170" i="161"/>
  <c r="C170" i="161"/>
  <c r="I171" i="161"/>
  <c r="D171" i="161"/>
  <c r="J171" i="161"/>
  <c r="E171" i="161"/>
  <c r="F171" i="161"/>
  <c r="K171" i="161"/>
  <c r="G171" i="161"/>
  <c r="C171" i="161"/>
  <c r="I172" i="161"/>
  <c r="D172" i="161"/>
  <c r="J172" i="161"/>
  <c r="E172" i="161"/>
  <c r="F172" i="161"/>
  <c r="K172" i="161"/>
  <c r="G172" i="161"/>
  <c r="C172" i="161"/>
  <c r="I173" i="161"/>
  <c r="D173" i="161"/>
  <c r="J173" i="161"/>
  <c r="E173" i="161"/>
  <c r="F173" i="161"/>
  <c r="K173" i="161"/>
  <c r="G173" i="161"/>
  <c r="C173" i="161"/>
  <c r="I174" i="161"/>
  <c r="D174" i="161"/>
  <c r="J174" i="161"/>
  <c r="E174" i="161"/>
  <c r="F174" i="161"/>
  <c r="K174" i="161"/>
  <c r="G174" i="161"/>
  <c r="C174" i="161"/>
  <c r="I175" i="161"/>
  <c r="D175" i="161"/>
  <c r="J175" i="161"/>
  <c r="E175" i="161"/>
  <c r="F175" i="161"/>
  <c r="K175" i="161"/>
  <c r="G175" i="161"/>
  <c r="C175" i="161"/>
  <c r="I176" i="161"/>
  <c r="D176" i="161"/>
  <c r="J176" i="161"/>
  <c r="E176" i="161"/>
  <c r="F176" i="161"/>
  <c r="K176" i="161"/>
  <c r="G176" i="161"/>
  <c r="C176" i="161"/>
  <c r="I177" i="161"/>
  <c r="D177" i="161"/>
  <c r="J177" i="161"/>
  <c r="E177" i="161"/>
  <c r="F177" i="161"/>
  <c r="K177" i="161"/>
  <c r="G177" i="161"/>
  <c r="C177" i="161"/>
  <c r="I178" i="161"/>
  <c r="D178" i="161"/>
  <c r="J178" i="161"/>
  <c r="E178" i="161"/>
  <c r="F178" i="161"/>
  <c r="K178" i="161"/>
  <c r="G178" i="161"/>
  <c r="C178" i="161"/>
  <c r="I179" i="161"/>
  <c r="D179" i="161"/>
  <c r="J179" i="161"/>
  <c r="E179" i="161"/>
  <c r="F179" i="161"/>
  <c r="K179" i="161"/>
  <c r="G179" i="161"/>
  <c r="C179" i="161"/>
  <c r="I180" i="161"/>
  <c r="D180" i="161"/>
  <c r="J180" i="161"/>
  <c r="E180" i="161"/>
  <c r="F180" i="161"/>
  <c r="K180" i="161"/>
  <c r="G180" i="161"/>
  <c r="C180" i="161"/>
  <c r="I181" i="161"/>
  <c r="D181" i="161"/>
  <c r="J181" i="161"/>
  <c r="E181" i="161"/>
  <c r="F181" i="161"/>
  <c r="K181" i="161"/>
  <c r="G181" i="161"/>
  <c r="C181" i="161"/>
  <c r="I182" i="161"/>
  <c r="D182" i="161"/>
  <c r="J182" i="161"/>
  <c r="E182" i="161"/>
  <c r="F182" i="161"/>
  <c r="K182" i="161"/>
  <c r="G182" i="161"/>
  <c r="C182" i="161"/>
  <c r="I183" i="161"/>
  <c r="D183" i="161"/>
  <c r="J183" i="161"/>
  <c r="E183" i="161"/>
  <c r="F183" i="161"/>
  <c r="K183" i="161"/>
  <c r="G183" i="161"/>
  <c r="C183" i="161"/>
  <c r="I184" i="161"/>
  <c r="D184" i="161"/>
  <c r="J184" i="161"/>
  <c r="E184" i="161"/>
  <c r="F184" i="161"/>
  <c r="K184" i="161"/>
  <c r="G184" i="161"/>
  <c r="C184" i="161"/>
  <c r="I185" i="161"/>
  <c r="D185" i="161"/>
  <c r="J185" i="161"/>
  <c r="E185" i="161"/>
  <c r="F185" i="161"/>
  <c r="K185" i="161"/>
  <c r="G185" i="161"/>
  <c r="C185" i="161"/>
  <c r="I186" i="161"/>
  <c r="D186" i="161"/>
  <c r="J186" i="161"/>
  <c r="E186" i="161"/>
  <c r="F186" i="161"/>
  <c r="K186" i="161"/>
  <c r="G186" i="161"/>
  <c r="C186" i="161"/>
  <c r="I187" i="161"/>
  <c r="D187" i="161"/>
  <c r="J187" i="161"/>
  <c r="E187" i="161"/>
  <c r="F187" i="161"/>
  <c r="K187" i="161"/>
  <c r="G187" i="161"/>
  <c r="C187" i="161"/>
  <c r="I188" i="161"/>
  <c r="D188" i="161"/>
  <c r="J188" i="161"/>
  <c r="E188" i="161"/>
  <c r="F188" i="161"/>
  <c r="K188" i="161"/>
  <c r="G188" i="161"/>
  <c r="C188" i="161"/>
  <c r="I189" i="161"/>
  <c r="D189" i="161"/>
  <c r="J189" i="161"/>
  <c r="E189" i="161"/>
  <c r="F189" i="161"/>
  <c r="K189" i="161"/>
  <c r="G189" i="161"/>
  <c r="C189" i="161"/>
  <c r="I190" i="161"/>
  <c r="D190" i="161"/>
  <c r="J190" i="161"/>
  <c r="E190" i="161"/>
  <c r="F190" i="161"/>
  <c r="K190" i="161"/>
  <c r="G190" i="161"/>
  <c r="C190" i="161"/>
  <c r="I191" i="161"/>
  <c r="D191" i="161"/>
  <c r="J191" i="161"/>
  <c r="E191" i="161"/>
  <c r="F191" i="161"/>
  <c r="K191" i="161"/>
  <c r="G191" i="161"/>
  <c r="C191" i="161"/>
  <c r="I192" i="161"/>
  <c r="D192" i="161"/>
  <c r="J192" i="161"/>
  <c r="E192" i="161"/>
  <c r="F192" i="161"/>
  <c r="K192" i="161"/>
  <c r="G192" i="161"/>
  <c r="C192" i="161"/>
  <c r="I193" i="161"/>
  <c r="D193" i="161"/>
  <c r="J193" i="161"/>
  <c r="E193" i="161"/>
  <c r="F193" i="161"/>
  <c r="K193" i="161"/>
  <c r="G193" i="161"/>
  <c r="C193" i="161"/>
  <c r="I194" i="161"/>
  <c r="D194" i="161"/>
  <c r="J194" i="161"/>
  <c r="E194" i="161"/>
  <c r="F194" i="161"/>
  <c r="K194" i="161"/>
  <c r="G194" i="161"/>
  <c r="C194" i="161"/>
  <c r="I195" i="161"/>
  <c r="D195" i="161"/>
  <c r="J195" i="161"/>
  <c r="E195" i="161"/>
  <c r="F195" i="161"/>
  <c r="K195" i="161"/>
  <c r="G195" i="161"/>
  <c r="C195" i="161"/>
  <c r="I196" i="161"/>
  <c r="D196" i="161"/>
  <c r="J196" i="161"/>
  <c r="E196" i="161"/>
  <c r="F196" i="161"/>
  <c r="K196" i="161"/>
  <c r="G196" i="161"/>
  <c r="C196" i="161"/>
  <c r="I197" i="161"/>
  <c r="D197" i="161"/>
  <c r="J197" i="161"/>
  <c r="E197" i="161"/>
  <c r="F197" i="161"/>
  <c r="K197" i="161"/>
  <c r="G197" i="161"/>
  <c r="C197" i="161"/>
  <c r="I198" i="161"/>
  <c r="D198" i="161"/>
  <c r="J198" i="161"/>
  <c r="E198" i="161"/>
  <c r="F198" i="161"/>
  <c r="K198" i="161"/>
  <c r="G198" i="161"/>
  <c r="C198" i="161"/>
  <c r="I199" i="161"/>
  <c r="D199" i="161"/>
  <c r="J199" i="161"/>
  <c r="E199" i="161"/>
  <c r="F199" i="161"/>
  <c r="K199" i="161"/>
  <c r="G199" i="161"/>
  <c r="C199" i="161"/>
  <c r="I200" i="161"/>
  <c r="D200" i="161"/>
  <c r="J200" i="161"/>
  <c r="E200" i="161"/>
  <c r="F200" i="161"/>
  <c r="K200" i="161"/>
  <c r="G200" i="161"/>
  <c r="C200" i="161"/>
  <c r="I201" i="161"/>
  <c r="D201" i="161"/>
  <c r="J201" i="161"/>
  <c r="E201" i="161"/>
  <c r="F201" i="161"/>
  <c r="K201" i="161"/>
  <c r="G201" i="161"/>
  <c r="C201" i="161"/>
  <c r="I202" i="161"/>
  <c r="D202" i="161"/>
  <c r="J202" i="161"/>
  <c r="E202" i="161"/>
  <c r="F202" i="161"/>
  <c r="K202" i="161"/>
  <c r="G202" i="161"/>
  <c r="C202" i="161"/>
  <c r="I203" i="161"/>
  <c r="D203" i="161"/>
  <c r="J203" i="161"/>
  <c r="E203" i="161"/>
  <c r="F203" i="161"/>
  <c r="K203" i="161"/>
  <c r="G203" i="161"/>
  <c r="C203" i="161"/>
  <c r="I204" i="161"/>
  <c r="D204" i="161"/>
  <c r="J204" i="161"/>
  <c r="E204" i="161"/>
  <c r="F204" i="161"/>
  <c r="K204" i="161"/>
  <c r="G204" i="161"/>
  <c r="C204" i="161"/>
  <c r="I205" i="161"/>
  <c r="D205" i="161"/>
  <c r="J205" i="161"/>
  <c r="E205" i="161"/>
  <c r="F205" i="161"/>
  <c r="K205" i="161"/>
  <c r="G205" i="161"/>
  <c r="C205" i="161"/>
  <c r="I206" i="161"/>
  <c r="D206" i="161"/>
  <c r="J206" i="161"/>
  <c r="E206" i="161"/>
  <c r="F206" i="161"/>
  <c r="K206" i="161"/>
  <c r="G206" i="161"/>
  <c r="C206" i="161"/>
  <c r="I207" i="161"/>
  <c r="D207" i="161"/>
  <c r="J207" i="161"/>
  <c r="E207" i="161"/>
  <c r="F207" i="161"/>
  <c r="K207" i="161"/>
  <c r="G207" i="161"/>
  <c r="C207" i="161"/>
  <c r="I208" i="161"/>
  <c r="D208" i="161"/>
  <c r="J208" i="161"/>
  <c r="E208" i="161"/>
  <c r="F208" i="161"/>
  <c r="K208" i="161"/>
  <c r="G208" i="161"/>
  <c r="C208" i="161"/>
  <c r="I209" i="161"/>
  <c r="D209" i="161"/>
  <c r="J209" i="161"/>
  <c r="E209" i="161"/>
  <c r="F209" i="161"/>
  <c r="K209" i="161"/>
  <c r="G209" i="161"/>
  <c r="C209" i="161"/>
  <c r="I210" i="161"/>
  <c r="D210" i="161"/>
  <c r="J210" i="161"/>
  <c r="E210" i="161"/>
  <c r="F210" i="161"/>
  <c r="K210" i="161"/>
  <c r="G210" i="161"/>
  <c r="C210" i="161"/>
  <c r="I211" i="161"/>
  <c r="D211" i="161"/>
  <c r="J211" i="161"/>
  <c r="E211" i="161"/>
  <c r="F211" i="161"/>
  <c r="K211" i="161"/>
  <c r="G211" i="161"/>
  <c r="C211" i="161"/>
  <c r="I212" i="161"/>
  <c r="D212" i="161"/>
  <c r="J212" i="161"/>
  <c r="E212" i="161"/>
  <c r="F212" i="161"/>
  <c r="K212" i="161"/>
  <c r="G212" i="161"/>
  <c r="C212" i="161"/>
  <c r="I213" i="161"/>
  <c r="D213" i="161"/>
  <c r="J213" i="161"/>
  <c r="E213" i="161"/>
  <c r="F213" i="161"/>
  <c r="K213" i="161"/>
  <c r="G213" i="161"/>
  <c r="C213" i="161"/>
  <c r="I214" i="161"/>
  <c r="D214" i="161"/>
  <c r="J214" i="161"/>
  <c r="E214" i="161"/>
  <c r="F214" i="161"/>
  <c r="K214" i="161"/>
  <c r="G214" i="161"/>
  <c r="C214" i="161"/>
  <c r="I215" i="161"/>
  <c r="J215" i="161"/>
  <c r="D215" i="161"/>
  <c r="E215" i="161"/>
  <c r="F215" i="161"/>
  <c r="K215" i="161"/>
  <c r="G215" i="161"/>
  <c r="C215" i="161"/>
  <c r="I216" i="161"/>
  <c r="J216" i="161"/>
  <c r="D216" i="161"/>
  <c r="E216" i="161"/>
  <c r="F216" i="161"/>
  <c r="K216" i="161"/>
  <c r="G216" i="161"/>
  <c r="C216" i="161"/>
  <c r="I217" i="161"/>
  <c r="J217" i="161"/>
  <c r="D217" i="161"/>
  <c r="E217" i="161"/>
  <c r="F217" i="161"/>
  <c r="K217" i="161"/>
  <c r="G217" i="161"/>
  <c r="C217" i="161"/>
  <c r="I218" i="161"/>
  <c r="J218" i="161"/>
  <c r="D218" i="161"/>
  <c r="E218" i="161"/>
  <c r="F218" i="161"/>
  <c r="K218" i="161"/>
  <c r="G218" i="161"/>
  <c r="C218" i="161"/>
  <c r="I219" i="161"/>
  <c r="J219" i="161"/>
  <c r="D219" i="161"/>
  <c r="E219" i="161"/>
  <c r="F219" i="161"/>
  <c r="K219" i="161"/>
  <c r="G219" i="161"/>
  <c r="C219" i="161"/>
  <c r="I220" i="161"/>
  <c r="J220" i="161"/>
  <c r="D220" i="161"/>
  <c r="E220" i="161"/>
  <c r="F220" i="161"/>
  <c r="K220" i="161"/>
  <c r="G220" i="161"/>
  <c r="C220" i="161"/>
  <c r="I221" i="161"/>
  <c r="D221" i="161"/>
  <c r="J221" i="161"/>
  <c r="E221" i="161"/>
  <c r="F221" i="161"/>
  <c r="K221" i="161"/>
  <c r="G221" i="161"/>
  <c r="C221" i="161"/>
  <c r="I222" i="161"/>
  <c r="D222" i="161"/>
  <c r="J222" i="161"/>
  <c r="E222" i="161"/>
  <c r="F222" i="161"/>
  <c r="K222" i="161"/>
  <c r="G222" i="161"/>
  <c r="C222" i="161"/>
  <c r="I223" i="161"/>
  <c r="D223" i="161"/>
  <c r="J223" i="161"/>
  <c r="E223" i="161"/>
  <c r="F223" i="161"/>
  <c r="K223" i="161"/>
  <c r="G223" i="161"/>
  <c r="C223" i="161"/>
  <c r="I224" i="161"/>
  <c r="D224" i="161"/>
  <c r="J224" i="161"/>
  <c r="E224" i="161"/>
  <c r="F224" i="161"/>
  <c r="K224" i="161"/>
  <c r="G224" i="161"/>
  <c r="C224" i="161"/>
  <c r="I225" i="161"/>
  <c r="D225" i="161"/>
  <c r="J225" i="161"/>
  <c r="E225" i="161"/>
  <c r="F225" i="161"/>
  <c r="K225" i="161"/>
  <c r="G225" i="161"/>
  <c r="C225" i="161"/>
  <c r="I226" i="161"/>
  <c r="D226" i="161"/>
  <c r="J226" i="161"/>
  <c r="E226" i="161"/>
  <c r="F226" i="161"/>
  <c r="K226" i="161"/>
  <c r="G226" i="161"/>
  <c r="C226" i="161"/>
  <c r="I227" i="161"/>
  <c r="D227" i="161"/>
  <c r="J227" i="161"/>
  <c r="E227" i="161"/>
  <c r="F227" i="161"/>
  <c r="K227" i="161"/>
  <c r="G227" i="161"/>
  <c r="C227" i="161"/>
  <c r="I228" i="161"/>
  <c r="D228" i="161"/>
  <c r="J228" i="161"/>
  <c r="E228" i="161"/>
  <c r="F228" i="161"/>
  <c r="K228" i="161"/>
  <c r="G228" i="161"/>
  <c r="C228" i="161"/>
  <c r="I229" i="161"/>
  <c r="D229" i="161"/>
  <c r="J229" i="161"/>
  <c r="E229" i="161"/>
  <c r="F229" i="161"/>
  <c r="K229" i="161"/>
  <c r="G229" i="161"/>
  <c r="C229" i="161"/>
  <c r="I230" i="161"/>
  <c r="D230" i="161"/>
  <c r="J230" i="161"/>
  <c r="E230" i="161"/>
  <c r="F230" i="161"/>
  <c r="K230" i="161"/>
  <c r="G230" i="161"/>
  <c r="C230" i="161"/>
  <c r="I231" i="161"/>
  <c r="D231" i="161"/>
  <c r="J231" i="161"/>
  <c r="E231" i="161"/>
  <c r="F231" i="161"/>
  <c r="K231" i="161"/>
  <c r="G231" i="161"/>
  <c r="C231" i="161"/>
  <c r="I232" i="161"/>
  <c r="D232" i="161"/>
  <c r="J232" i="161"/>
  <c r="E232" i="161"/>
  <c r="F232" i="161"/>
  <c r="K232" i="161"/>
  <c r="G232" i="161"/>
  <c r="C232" i="161"/>
  <c r="I233" i="161"/>
  <c r="D233" i="161"/>
  <c r="J233" i="161"/>
  <c r="E233" i="161"/>
  <c r="F233" i="161"/>
  <c r="K233" i="161"/>
  <c r="G233" i="161"/>
  <c r="C233" i="161"/>
  <c r="I234" i="161"/>
  <c r="D234" i="161"/>
  <c r="J234" i="161"/>
  <c r="E234" i="161"/>
  <c r="F234" i="161"/>
  <c r="K234" i="161"/>
  <c r="G234" i="161"/>
  <c r="C234" i="161"/>
  <c r="I235" i="161"/>
  <c r="D235" i="161"/>
  <c r="J235" i="161"/>
  <c r="E235" i="161"/>
  <c r="F235" i="161"/>
  <c r="K235" i="161"/>
  <c r="G235" i="161"/>
  <c r="C235" i="161"/>
  <c r="I236" i="161"/>
  <c r="D236" i="161"/>
  <c r="J236" i="161"/>
  <c r="E236" i="161"/>
  <c r="F236" i="161"/>
  <c r="K236" i="161"/>
  <c r="G236" i="161"/>
  <c r="C236" i="161"/>
  <c r="I237" i="161"/>
  <c r="D237" i="161"/>
  <c r="J237" i="161"/>
  <c r="E237" i="161"/>
  <c r="F237" i="161"/>
  <c r="K237" i="161"/>
  <c r="G237" i="161"/>
  <c r="C237" i="161"/>
  <c r="I238" i="161"/>
  <c r="D238" i="161"/>
  <c r="J238" i="161"/>
  <c r="E238" i="161"/>
  <c r="F238" i="161"/>
  <c r="K238" i="161"/>
  <c r="G238" i="161"/>
  <c r="C238" i="161"/>
  <c r="I239" i="161"/>
  <c r="D239" i="161"/>
  <c r="J239" i="161"/>
  <c r="E239" i="161"/>
  <c r="F239" i="161"/>
  <c r="K239" i="161"/>
  <c r="G239" i="161"/>
  <c r="C239" i="161"/>
  <c r="I240" i="161"/>
  <c r="D240" i="161"/>
  <c r="J240" i="161"/>
  <c r="E240" i="161"/>
  <c r="F240" i="161"/>
  <c r="K240" i="161"/>
  <c r="G240" i="161"/>
  <c r="C240" i="161"/>
  <c r="I241" i="161"/>
  <c r="D241" i="161"/>
  <c r="J241" i="161"/>
  <c r="E241" i="161"/>
  <c r="F241" i="161"/>
  <c r="K241" i="161"/>
  <c r="G241" i="161"/>
  <c r="C241" i="161"/>
  <c r="I242" i="161"/>
  <c r="D242" i="161"/>
  <c r="J242" i="161"/>
  <c r="E242" i="161"/>
  <c r="F242" i="161"/>
  <c r="K242" i="161"/>
  <c r="G242" i="161"/>
  <c r="C242" i="161"/>
  <c r="I243" i="161"/>
  <c r="D243" i="161"/>
  <c r="J243" i="161"/>
  <c r="E243" i="161"/>
  <c r="F243" i="161"/>
  <c r="K243" i="161"/>
  <c r="G243" i="161"/>
  <c r="C243" i="161"/>
  <c r="I244" i="161"/>
  <c r="D244" i="161"/>
  <c r="J244" i="161"/>
  <c r="E244" i="161"/>
  <c r="F244" i="161"/>
  <c r="K244" i="161"/>
  <c r="G244" i="161"/>
  <c r="C244" i="161"/>
  <c r="I245" i="161"/>
  <c r="D245" i="161"/>
  <c r="J245" i="161"/>
  <c r="E245" i="161"/>
  <c r="F245" i="161"/>
  <c r="K245" i="161"/>
  <c r="G245" i="161"/>
  <c r="C245" i="161"/>
  <c r="I246" i="161"/>
  <c r="D246" i="161"/>
  <c r="J246" i="161"/>
  <c r="E246" i="161"/>
  <c r="F246" i="161"/>
  <c r="K246" i="161"/>
  <c r="G246" i="161"/>
  <c r="C246" i="161"/>
  <c r="I247" i="161"/>
  <c r="D247" i="161"/>
  <c r="J247" i="161"/>
  <c r="E247" i="161"/>
  <c r="F247" i="161"/>
  <c r="K247" i="161"/>
  <c r="G247" i="161"/>
  <c r="C247" i="161"/>
  <c r="I248" i="161"/>
  <c r="D248" i="161"/>
  <c r="J248" i="161"/>
  <c r="E248" i="161"/>
  <c r="F248" i="161"/>
  <c r="K248" i="161"/>
  <c r="G248" i="161"/>
  <c r="C248" i="161"/>
  <c r="I249" i="161"/>
  <c r="D249" i="161"/>
  <c r="J249" i="161"/>
  <c r="E249" i="161"/>
  <c r="F249" i="161"/>
  <c r="K249" i="161"/>
  <c r="G249" i="161"/>
  <c r="C249" i="161"/>
  <c r="I250" i="161"/>
  <c r="D250" i="161"/>
  <c r="J250" i="161"/>
  <c r="E250" i="161"/>
  <c r="F250" i="161"/>
  <c r="K250" i="161"/>
  <c r="G250" i="161"/>
  <c r="C250" i="161"/>
  <c r="I251" i="161"/>
  <c r="D251" i="161"/>
  <c r="J251" i="161"/>
  <c r="E251" i="161"/>
  <c r="F251" i="161"/>
  <c r="K251" i="161"/>
  <c r="G251" i="161"/>
  <c r="C251" i="161"/>
  <c r="I252" i="161"/>
  <c r="D252" i="161"/>
  <c r="J252" i="161"/>
  <c r="E252" i="161"/>
  <c r="F252" i="161"/>
  <c r="K252" i="161"/>
  <c r="G252" i="161"/>
  <c r="C252" i="161"/>
  <c r="I253" i="161"/>
  <c r="D253" i="161"/>
  <c r="J253" i="161"/>
  <c r="E253" i="161"/>
  <c r="F253" i="161"/>
  <c r="K253" i="161"/>
  <c r="G253" i="161"/>
  <c r="C253" i="161"/>
  <c r="I254" i="161"/>
  <c r="D254" i="161"/>
  <c r="J254" i="161"/>
  <c r="E254" i="161"/>
  <c r="F254" i="161"/>
  <c r="K254" i="161"/>
  <c r="G254" i="161"/>
  <c r="C254" i="161"/>
  <c r="I255" i="161"/>
  <c r="D255" i="161"/>
  <c r="J255" i="161"/>
  <c r="E255" i="161"/>
  <c r="F255" i="161"/>
  <c r="K255" i="161"/>
  <c r="G255" i="161"/>
  <c r="C255" i="161"/>
  <c r="I256" i="161"/>
  <c r="D256" i="161"/>
  <c r="J256" i="161"/>
  <c r="E256" i="161"/>
  <c r="F256" i="161"/>
  <c r="K256" i="161"/>
  <c r="G256" i="161"/>
  <c r="C256" i="161"/>
  <c r="I257" i="161"/>
  <c r="D257" i="161"/>
  <c r="J257" i="161"/>
  <c r="E257" i="161"/>
  <c r="F257" i="161"/>
  <c r="K257" i="161"/>
  <c r="G257" i="161"/>
  <c r="C257" i="161"/>
  <c r="I258" i="161"/>
  <c r="D258" i="161"/>
  <c r="J258" i="161"/>
  <c r="E258" i="161"/>
  <c r="F258" i="161"/>
  <c r="K258" i="161"/>
  <c r="G258" i="161"/>
  <c r="C258" i="161"/>
  <c r="I259" i="161"/>
  <c r="D259" i="161"/>
  <c r="J259" i="161"/>
  <c r="E259" i="161"/>
  <c r="F259" i="161"/>
  <c r="K259" i="161"/>
  <c r="G259" i="161"/>
  <c r="C259" i="161"/>
  <c r="I260" i="161"/>
  <c r="D260" i="161"/>
  <c r="J260" i="161"/>
  <c r="E260" i="161"/>
  <c r="F260" i="161"/>
  <c r="K260" i="161"/>
  <c r="G260" i="161"/>
  <c r="C260" i="161"/>
  <c r="I261" i="161"/>
  <c r="D261" i="161"/>
  <c r="J261" i="161"/>
  <c r="E261" i="161"/>
  <c r="F261" i="161"/>
  <c r="K261" i="161"/>
  <c r="G261" i="161"/>
  <c r="C261" i="161"/>
  <c r="I262" i="161"/>
  <c r="D262" i="161"/>
  <c r="J262" i="161"/>
  <c r="E262" i="161"/>
  <c r="F262" i="161"/>
  <c r="K262" i="161"/>
  <c r="G262" i="161"/>
  <c r="C262" i="161"/>
  <c r="I263" i="161"/>
  <c r="D263" i="161"/>
  <c r="J263" i="161"/>
  <c r="E263" i="161"/>
  <c r="F263" i="161"/>
  <c r="K263" i="161"/>
  <c r="G263" i="161"/>
  <c r="C263" i="161"/>
  <c r="I264" i="161"/>
  <c r="D264" i="161"/>
  <c r="J264" i="161"/>
  <c r="E264" i="161"/>
  <c r="F264" i="161"/>
  <c r="K264" i="161"/>
  <c r="G264" i="161"/>
  <c r="C264" i="161"/>
  <c r="I265" i="161"/>
  <c r="D265" i="161"/>
  <c r="J265" i="161"/>
  <c r="E265" i="161"/>
  <c r="F265" i="161"/>
  <c r="K265" i="161"/>
  <c r="G265" i="161"/>
  <c r="C265" i="161"/>
  <c r="I266" i="161"/>
  <c r="D266" i="161"/>
  <c r="J266" i="161"/>
  <c r="E266" i="161"/>
  <c r="F266" i="161"/>
  <c r="K266" i="161"/>
  <c r="G266" i="161"/>
  <c r="C266" i="161"/>
  <c r="I267" i="161"/>
  <c r="D267" i="161"/>
  <c r="J267" i="161"/>
  <c r="E267" i="161"/>
  <c r="F267" i="161"/>
  <c r="K267" i="161"/>
  <c r="G267" i="161"/>
  <c r="C267" i="161"/>
  <c r="I268" i="161"/>
  <c r="D268" i="161"/>
  <c r="J268" i="161"/>
  <c r="E268" i="161"/>
  <c r="F268" i="161"/>
  <c r="K268" i="161"/>
  <c r="G268" i="161"/>
  <c r="C268" i="161"/>
  <c r="I269" i="161"/>
  <c r="D269" i="161"/>
  <c r="J269" i="161"/>
  <c r="E269" i="161"/>
  <c r="F269" i="161"/>
  <c r="K269" i="161"/>
  <c r="G269" i="161"/>
  <c r="C269" i="161"/>
  <c r="I270" i="161"/>
  <c r="D270" i="161"/>
  <c r="J270" i="161"/>
  <c r="E270" i="161"/>
  <c r="F270" i="161"/>
  <c r="K270" i="161"/>
  <c r="G270" i="161"/>
  <c r="C270" i="161"/>
  <c r="I271" i="161"/>
  <c r="D271" i="161"/>
  <c r="J271" i="161"/>
  <c r="E271" i="161"/>
  <c r="F271" i="161"/>
  <c r="K271" i="161"/>
  <c r="G271" i="161"/>
  <c r="C271" i="161"/>
  <c r="I272" i="161"/>
  <c r="D272" i="161"/>
  <c r="J272" i="161"/>
  <c r="E272" i="161"/>
  <c r="F272" i="161"/>
  <c r="K272" i="161"/>
  <c r="G272" i="161"/>
  <c r="C272" i="161"/>
  <c r="I273" i="161"/>
  <c r="D273" i="161"/>
  <c r="J273" i="161"/>
  <c r="E273" i="161"/>
  <c r="F273" i="161"/>
  <c r="K273" i="161"/>
  <c r="G273" i="161"/>
  <c r="C273" i="161"/>
  <c r="I274" i="161"/>
  <c r="D274" i="161"/>
  <c r="J274" i="161"/>
  <c r="E274" i="161"/>
  <c r="F274" i="161"/>
  <c r="K274" i="161"/>
  <c r="G274" i="161"/>
  <c r="C274" i="161"/>
  <c r="I275" i="161"/>
  <c r="D275" i="161"/>
  <c r="J275" i="161"/>
  <c r="E275" i="161"/>
  <c r="F275" i="161"/>
  <c r="K275" i="161"/>
  <c r="G275" i="161"/>
  <c r="C275" i="161"/>
  <c r="I276" i="161"/>
  <c r="D276" i="161"/>
  <c r="J276" i="161"/>
  <c r="E276" i="161"/>
  <c r="F276" i="161"/>
  <c r="K276" i="161"/>
  <c r="G276" i="161"/>
  <c r="C276" i="161"/>
  <c r="I277" i="161"/>
  <c r="D277" i="161"/>
  <c r="J277" i="161"/>
  <c r="E277" i="161"/>
  <c r="F277" i="161"/>
  <c r="K277" i="161"/>
  <c r="G277" i="161"/>
  <c r="C277" i="161"/>
  <c r="I278" i="161"/>
  <c r="D278" i="161"/>
  <c r="J278" i="161"/>
  <c r="E278" i="161"/>
  <c r="F278" i="161"/>
  <c r="K278" i="161"/>
  <c r="G278" i="161"/>
  <c r="C278" i="161"/>
  <c r="I279" i="161"/>
  <c r="D279" i="161"/>
  <c r="J279" i="161"/>
  <c r="E279" i="161"/>
  <c r="F279" i="161"/>
  <c r="K279" i="161"/>
  <c r="G279" i="161"/>
  <c r="C279" i="161"/>
  <c r="I280" i="161"/>
  <c r="D280" i="161"/>
  <c r="J280" i="161"/>
  <c r="E280" i="161"/>
  <c r="F280" i="161"/>
  <c r="K280" i="161"/>
  <c r="G280" i="161"/>
  <c r="C280" i="161"/>
  <c r="I281" i="161"/>
  <c r="D281" i="161"/>
  <c r="J281" i="161"/>
  <c r="E281" i="161"/>
  <c r="F281" i="161"/>
  <c r="K281" i="161"/>
  <c r="G281" i="161"/>
  <c r="C281" i="161"/>
  <c r="I282" i="161"/>
  <c r="D282" i="161"/>
  <c r="J282" i="161"/>
  <c r="E282" i="161"/>
  <c r="F282" i="161"/>
  <c r="K282" i="161"/>
  <c r="G282" i="161"/>
  <c r="C282" i="161"/>
  <c r="I283" i="161"/>
  <c r="D283" i="161"/>
  <c r="J283" i="161"/>
  <c r="E283" i="161"/>
  <c r="F283" i="161"/>
  <c r="K283" i="161"/>
  <c r="G283" i="161"/>
  <c r="C283" i="161"/>
  <c r="I284" i="161"/>
  <c r="D284" i="161"/>
  <c r="J284" i="161"/>
  <c r="E284" i="161"/>
  <c r="F284" i="161"/>
  <c r="K284" i="161"/>
  <c r="G284" i="161"/>
  <c r="C284" i="161"/>
  <c r="I285" i="161"/>
  <c r="D285" i="161"/>
  <c r="J285" i="161"/>
  <c r="E285" i="161"/>
  <c r="F285" i="161"/>
  <c r="K285" i="161"/>
  <c r="G285" i="161"/>
  <c r="C285" i="161"/>
  <c r="I286" i="161"/>
  <c r="D286" i="161"/>
  <c r="J286" i="161"/>
  <c r="E286" i="161"/>
  <c r="F286" i="161"/>
  <c r="K286" i="161"/>
  <c r="G286" i="161"/>
  <c r="C286" i="161"/>
  <c r="I287" i="161"/>
  <c r="D287" i="161"/>
  <c r="J287" i="161"/>
  <c r="E287" i="161"/>
  <c r="F287" i="161"/>
  <c r="K287" i="161"/>
  <c r="G287" i="161"/>
  <c r="C287" i="161"/>
  <c r="I288" i="161"/>
  <c r="D288" i="161"/>
  <c r="J288" i="161"/>
  <c r="E288" i="161"/>
  <c r="F288" i="161"/>
  <c r="K288" i="161"/>
  <c r="G288" i="161"/>
  <c r="C288" i="161"/>
  <c r="I289" i="161"/>
  <c r="D289" i="161"/>
  <c r="J289" i="161"/>
  <c r="E289" i="161"/>
  <c r="F289" i="161"/>
  <c r="K289" i="161"/>
  <c r="G289" i="161"/>
  <c r="C289" i="161"/>
  <c r="I290" i="161"/>
  <c r="D290" i="161"/>
  <c r="J290" i="161"/>
  <c r="E290" i="161"/>
  <c r="F290" i="161"/>
  <c r="K290" i="161"/>
  <c r="G290" i="161"/>
  <c r="C290" i="161"/>
  <c r="I291" i="161"/>
  <c r="D291" i="161"/>
  <c r="J291" i="161"/>
  <c r="E291" i="161"/>
  <c r="F291" i="161"/>
  <c r="K291" i="161"/>
  <c r="G291" i="161"/>
  <c r="C291" i="161"/>
  <c r="I292" i="161"/>
  <c r="D292" i="161"/>
  <c r="J292" i="161"/>
  <c r="E292" i="161"/>
  <c r="F292" i="161"/>
  <c r="K292" i="161"/>
  <c r="G292" i="161"/>
  <c r="C292" i="161"/>
  <c r="I293" i="161"/>
  <c r="D293" i="161"/>
  <c r="J293" i="161"/>
  <c r="E293" i="161"/>
  <c r="F293" i="161"/>
  <c r="K293" i="161"/>
  <c r="G293" i="161"/>
  <c r="C293" i="161"/>
  <c r="I294" i="161"/>
  <c r="D294" i="161"/>
  <c r="J294" i="161"/>
  <c r="E294" i="161"/>
  <c r="F294" i="161"/>
  <c r="K294" i="161"/>
  <c r="G294" i="161"/>
  <c r="C294" i="161"/>
  <c r="I295" i="161"/>
  <c r="D295" i="161"/>
  <c r="J295" i="161"/>
  <c r="E295" i="161"/>
  <c r="F295" i="161"/>
  <c r="K295" i="161"/>
  <c r="G295" i="161"/>
  <c r="C295" i="161"/>
  <c r="I296" i="161"/>
  <c r="D296" i="161"/>
  <c r="J296" i="161"/>
  <c r="E296" i="161"/>
  <c r="F296" i="161"/>
  <c r="K296" i="161"/>
  <c r="G296" i="161"/>
  <c r="C296" i="161"/>
  <c r="I297" i="161"/>
  <c r="D297" i="161"/>
  <c r="J297" i="161"/>
  <c r="E297" i="161"/>
  <c r="F297" i="161"/>
  <c r="K297" i="161"/>
  <c r="G297" i="161"/>
  <c r="C297" i="161"/>
  <c r="I298" i="161"/>
  <c r="D298" i="161"/>
  <c r="J298" i="161"/>
  <c r="E298" i="161"/>
  <c r="F298" i="161"/>
  <c r="K298" i="161"/>
  <c r="G298" i="161"/>
  <c r="C298" i="161"/>
  <c r="I299" i="161"/>
  <c r="D299" i="161"/>
  <c r="J299" i="161"/>
  <c r="E299" i="161"/>
  <c r="F299" i="161"/>
  <c r="K299" i="161"/>
  <c r="G299" i="161"/>
  <c r="C299" i="161"/>
  <c r="I300" i="161"/>
  <c r="D300" i="161"/>
  <c r="J300" i="161"/>
  <c r="E300" i="161"/>
  <c r="F300" i="161"/>
  <c r="K300" i="161"/>
  <c r="G300" i="161"/>
  <c r="C300" i="161"/>
  <c r="I301" i="161"/>
  <c r="D301" i="161"/>
  <c r="J301" i="161"/>
  <c r="E301" i="161"/>
  <c r="F301" i="161"/>
  <c r="K301" i="161"/>
  <c r="G301" i="161"/>
  <c r="C301" i="161"/>
  <c r="I302" i="161"/>
  <c r="D302" i="161"/>
  <c r="J302" i="161"/>
  <c r="E302" i="161"/>
  <c r="F302" i="161"/>
  <c r="K302" i="161"/>
  <c r="G302" i="161"/>
  <c r="C302" i="161"/>
  <c r="I303" i="161"/>
  <c r="D303" i="161"/>
  <c r="J303" i="161"/>
  <c r="E303" i="161"/>
  <c r="F303" i="161"/>
  <c r="K303" i="161"/>
  <c r="G303" i="161"/>
  <c r="C303" i="161"/>
  <c r="I304" i="161"/>
  <c r="D304" i="161"/>
  <c r="J304" i="161"/>
  <c r="E304" i="161"/>
  <c r="F304" i="161"/>
  <c r="K304" i="161"/>
  <c r="G304" i="161"/>
  <c r="C304" i="161"/>
  <c r="I305" i="161"/>
  <c r="D305" i="161"/>
  <c r="J305" i="161"/>
  <c r="E305" i="161"/>
  <c r="F305" i="161"/>
  <c r="K305" i="161"/>
  <c r="G305" i="161"/>
  <c r="C305" i="161"/>
  <c r="I306" i="161"/>
  <c r="D306" i="161"/>
  <c r="J306" i="161"/>
  <c r="E306" i="161"/>
  <c r="F306" i="161"/>
  <c r="K306" i="161"/>
  <c r="G306" i="161"/>
  <c r="C306" i="161"/>
  <c r="I307" i="161"/>
  <c r="D307" i="161"/>
  <c r="J307" i="161"/>
  <c r="E307" i="161"/>
  <c r="F307" i="161"/>
  <c r="K307" i="161"/>
  <c r="G307" i="161"/>
  <c r="C307" i="161"/>
  <c r="I308" i="161"/>
  <c r="D308" i="161"/>
  <c r="J308" i="161"/>
  <c r="E308" i="161"/>
  <c r="F308" i="161"/>
  <c r="K308" i="161"/>
  <c r="G308" i="161"/>
  <c r="C308" i="161"/>
  <c r="I309" i="161"/>
  <c r="D309" i="161"/>
  <c r="J309" i="161"/>
  <c r="E309" i="161"/>
  <c r="F309" i="161"/>
  <c r="K309" i="161"/>
  <c r="G309" i="161"/>
  <c r="C309" i="161"/>
  <c r="I310" i="161"/>
  <c r="D310" i="161"/>
  <c r="J310" i="161"/>
  <c r="E310" i="161"/>
  <c r="F310" i="161"/>
  <c r="K310" i="161"/>
  <c r="G310" i="161"/>
  <c r="C310" i="161"/>
  <c r="I311" i="161"/>
  <c r="D311" i="161"/>
  <c r="J311" i="161"/>
  <c r="E311" i="161"/>
  <c r="F311" i="161"/>
  <c r="K311" i="161"/>
  <c r="G311" i="161"/>
  <c r="C311" i="161"/>
  <c r="I312" i="161"/>
  <c r="D312" i="161"/>
  <c r="J312" i="161"/>
  <c r="E312" i="161"/>
  <c r="F312" i="161"/>
  <c r="K312" i="161"/>
  <c r="G312" i="161"/>
  <c r="C312" i="161"/>
  <c r="I313" i="161"/>
  <c r="D313" i="161"/>
  <c r="J313" i="161"/>
  <c r="E313" i="161"/>
  <c r="F313" i="161"/>
  <c r="K313" i="161"/>
  <c r="G313" i="161"/>
  <c r="C313" i="161"/>
  <c r="I314" i="161"/>
  <c r="D314" i="161"/>
  <c r="J314" i="161"/>
  <c r="E314" i="161"/>
  <c r="F314" i="161"/>
  <c r="K314" i="161"/>
  <c r="G314" i="161"/>
  <c r="C314" i="161"/>
  <c r="I315" i="161"/>
  <c r="D315" i="161"/>
  <c r="J315" i="161"/>
  <c r="E315" i="161"/>
  <c r="F315" i="161"/>
  <c r="K315" i="161"/>
  <c r="G315" i="161"/>
  <c r="C315" i="161"/>
  <c r="I316" i="161"/>
  <c r="D316" i="161"/>
  <c r="J316" i="161"/>
  <c r="E316" i="161"/>
  <c r="F316" i="161"/>
  <c r="K316" i="161"/>
  <c r="G316" i="161"/>
  <c r="C316" i="161"/>
  <c r="I317" i="161"/>
  <c r="D317" i="161"/>
  <c r="J317" i="161"/>
  <c r="E317" i="161"/>
  <c r="F317" i="161"/>
  <c r="K317" i="161"/>
  <c r="G317" i="161"/>
  <c r="C317" i="161"/>
  <c r="I318" i="161"/>
  <c r="D318" i="161"/>
  <c r="J318" i="161"/>
  <c r="E318" i="161"/>
  <c r="F318" i="161"/>
  <c r="K318" i="161"/>
  <c r="G318" i="161"/>
  <c r="C318" i="161"/>
  <c r="I319" i="161"/>
  <c r="D319" i="161"/>
  <c r="J319" i="161"/>
  <c r="E319" i="161"/>
  <c r="F319" i="161"/>
  <c r="K319" i="161"/>
  <c r="G319" i="161"/>
  <c r="C319" i="161"/>
  <c r="I320" i="161"/>
  <c r="D320" i="161"/>
  <c r="J320" i="161"/>
  <c r="E320" i="161"/>
  <c r="F320" i="161"/>
  <c r="K320" i="161"/>
  <c r="G320" i="161"/>
  <c r="C320" i="161"/>
  <c r="I321" i="161"/>
  <c r="D321" i="161"/>
  <c r="J321" i="161"/>
  <c r="E321" i="161"/>
  <c r="F321" i="161"/>
  <c r="K321" i="161"/>
  <c r="G321" i="161"/>
  <c r="C321" i="161"/>
  <c r="I322" i="161"/>
  <c r="D322" i="161"/>
  <c r="J322" i="161"/>
  <c r="E322" i="161"/>
  <c r="F322" i="161"/>
  <c r="K322" i="161"/>
  <c r="G322" i="161"/>
  <c r="C322" i="161"/>
  <c r="I323" i="161"/>
  <c r="D323" i="161"/>
  <c r="J323" i="161"/>
  <c r="E323" i="161"/>
  <c r="F323" i="161"/>
  <c r="K323" i="161"/>
  <c r="G323" i="161"/>
  <c r="C323" i="161"/>
  <c r="I324" i="161"/>
  <c r="D324" i="161"/>
  <c r="J324" i="161"/>
  <c r="E324" i="161"/>
  <c r="F324" i="161"/>
  <c r="K324" i="161"/>
  <c r="G324" i="161"/>
  <c r="C324" i="161"/>
  <c r="I325" i="161"/>
  <c r="D325" i="161"/>
  <c r="J325" i="161"/>
  <c r="E325" i="161"/>
  <c r="F325" i="161"/>
  <c r="K325" i="161"/>
  <c r="G325" i="161"/>
  <c r="C325" i="161"/>
  <c r="I326" i="161"/>
  <c r="D326" i="161"/>
  <c r="J326" i="161"/>
  <c r="E326" i="161"/>
  <c r="F326" i="161"/>
  <c r="K326" i="161"/>
  <c r="G326" i="161"/>
  <c r="C326" i="161"/>
  <c r="I327" i="161"/>
  <c r="D327" i="161"/>
  <c r="J327" i="161"/>
  <c r="E327" i="161"/>
  <c r="F327" i="161"/>
  <c r="K327" i="161"/>
  <c r="G327" i="161"/>
  <c r="C327" i="161"/>
  <c r="I328" i="161"/>
  <c r="D328" i="161"/>
  <c r="J328" i="161"/>
  <c r="E328" i="161"/>
  <c r="F328" i="161"/>
  <c r="K328" i="161"/>
  <c r="G328" i="161"/>
  <c r="C328" i="161"/>
  <c r="I329" i="161"/>
  <c r="D329" i="161"/>
  <c r="J329" i="161"/>
  <c r="E329" i="161"/>
  <c r="F329" i="161"/>
  <c r="K329" i="161"/>
  <c r="G329" i="161"/>
  <c r="C329" i="161"/>
  <c r="I330" i="161"/>
  <c r="D330" i="161"/>
  <c r="J330" i="161"/>
  <c r="E330" i="161"/>
  <c r="F330" i="161"/>
  <c r="K330" i="161"/>
  <c r="G330" i="161"/>
  <c r="C330" i="161"/>
  <c r="I331" i="161"/>
  <c r="D331" i="161"/>
  <c r="J331" i="161"/>
  <c r="E331" i="161"/>
  <c r="F331" i="161"/>
  <c r="K331" i="161"/>
  <c r="G331" i="161"/>
  <c r="C331" i="161"/>
  <c r="I332" i="161"/>
  <c r="D332" i="161"/>
  <c r="J332" i="161"/>
  <c r="E332" i="161"/>
  <c r="F332" i="161"/>
  <c r="K332" i="161"/>
  <c r="G332" i="161"/>
  <c r="C332" i="161"/>
  <c r="I333" i="161"/>
  <c r="D333" i="161"/>
  <c r="J333" i="161"/>
  <c r="E333" i="161"/>
  <c r="F333" i="161"/>
  <c r="K333" i="161"/>
  <c r="G333" i="161"/>
  <c r="C333" i="161"/>
  <c r="I334" i="161"/>
  <c r="D334" i="161"/>
  <c r="J334" i="161"/>
  <c r="E334" i="161"/>
  <c r="F334" i="161"/>
  <c r="K334" i="161"/>
  <c r="G334" i="161"/>
  <c r="C334" i="161"/>
  <c r="I335" i="161"/>
  <c r="D335" i="161"/>
  <c r="J335" i="161"/>
  <c r="E335" i="161"/>
  <c r="F335" i="161"/>
  <c r="K335" i="161"/>
  <c r="G335" i="161"/>
  <c r="C335" i="161"/>
  <c r="I336" i="161"/>
  <c r="D336" i="161"/>
  <c r="J336" i="161"/>
  <c r="E336" i="161"/>
  <c r="F336" i="161"/>
  <c r="K336" i="161"/>
  <c r="G336" i="161"/>
  <c r="C336" i="161"/>
  <c r="I337" i="161"/>
  <c r="D337" i="161"/>
  <c r="J337" i="161"/>
  <c r="E337" i="161"/>
  <c r="F337" i="161"/>
  <c r="K337" i="161"/>
  <c r="G337" i="161"/>
  <c r="C337" i="161"/>
  <c r="I338" i="161"/>
  <c r="D338" i="161"/>
  <c r="J338" i="161"/>
  <c r="E338" i="161"/>
  <c r="F338" i="161"/>
  <c r="K338" i="161"/>
  <c r="G338" i="161"/>
  <c r="C338" i="161"/>
  <c r="I339" i="161"/>
  <c r="D339" i="161"/>
  <c r="J339" i="161"/>
  <c r="E339" i="161"/>
  <c r="F339" i="161"/>
  <c r="K339" i="161"/>
  <c r="G339" i="161"/>
  <c r="C339" i="161"/>
  <c r="I340" i="161"/>
  <c r="D340" i="161"/>
  <c r="J340" i="161"/>
  <c r="E340" i="161"/>
  <c r="F340" i="161"/>
  <c r="K340" i="161"/>
  <c r="G340" i="161"/>
  <c r="C340" i="161"/>
  <c r="F5" i="160"/>
  <c r="F7" i="160"/>
  <c r="A51" i="160"/>
  <c r="B46" i="160"/>
  <c r="G46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46" i="160"/>
  <c r="H46" i="160"/>
  <c r="O341" i="161"/>
  <c r="B11" i="160"/>
  <c r="B10" i="160"/>
  <c r="E7" i="160"/>
  <c r="E19" i="160"/>
  <c r="B19" i="160"/>
  <c r="E24" i="160"/>
  <c r="B24" i="160"/>
  <c r="B17" i="160"/>
  <c r="G17" i="160"/>
  <c r="E17" i="160"/>
  <c r="H17" i="160"/>
  <c r="O2" i="161"/>
  <c r="E18" i="160"/>
  <c r="B18" i="160"/>
  <c r="G18" i="160"/>
  <c r="H18" i="160"/>
  <c r="O3" i="161"/>
  <c r="O4" i="161"/>
  <c r="O5" i="161"/>
  <c r="O6" i="161"/>
  <c r="O7" i="161"/>
  <c r="F8" i="160"/>
  <c r="E8" i="160"/>
  <c r="E34" i="160"/>
  <c r="B34" i="160"/>
  <c r="E39" i="160"/>
  <c r="B39" i="160"/>
  <c r="B32" i="160"/>
  <c r="G32" i="160"/>
  <c r="E32" i="160"/>
  <c r="H32" i="160"/>
  <c r="O8" i="161"/>
  <c r="E33" i="160"/>
  <c r="B33" i="160"/>
  <c r="G33" i="160"/>
  <c r="H33" i="160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E25" i="160"/>
  <c r="B25" i="160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34" i="160"/>
  <c r="H34" i="160"/>
  <c r="O51" i="161"/>
  <c r="E35" i="160"/>
  <c r="B35" i="160"/>
  <c r="G35" i="160"/>
  <c r="H35" i="160"/>
  <c r="O52" i="161"/>
  <c r="E36" i="160"/>
  <c r="B36" i="160"/>
  <c r="G36" i="160"/>
  <c r="H36" i="160"/>
  <c r="O53" i="161"/>
  <c r="G19" i="160"/>
  <c r="H19" i="160"/>
  <c r="O54" i="161"/>
  <c r="E20" i="160"/>
  <c r="B20" i="160"/>
  <c r="G20" i="160"/>
  <c r="H20" i="160"/>
  <c r="O55" i="161"/>
  <c r="E21" i="160"/>
  <c r="B21" i="160"/>
  <c r="G21" i="160"/>
  <c r="H21" i="160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G39" i="160"/>
  <c r="H39" i="160"/>
  <c r="O111" i="161"/>
  <c r="E40" i="160"/>
  <c r="B40" i="160"/>
  <c r="G40" i="160"/>
  <c r="H40" i="160"/>
  <c r="O112" i="161"/>
  <c r="E41" i="160"/>
  <c r="B41" i="160"/>
  <c r="G41" i="160"/>
  <c r="H41" i="160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E5" i="160"/>
  <c r="E27" i="160"/>
  <c r="B27" i="160"/>
  <c r="G27" i="160"/>
  <c r="H27" i="160"/>
  <c r="O138" i="161"/>
  <c r="E28" i="160"/>
  <c r="B28" i="160"/>
  <c r="G28" i="160"/>
  <c r="H28" i="160"/>
  <c r="O139" i="161"/>
  <c r="O140" i="161"/>
  <c r="O141" i="161"/>
  <c r="O142" i="161"/>
  <c r="O143" i="161"/>
  <c r="F6" i="160"/>
  <c r="E6" i="160"/>
  <c r="E42" i="160"/>
  <c r="B42" i="160"/>
  <c r="G42" i="160"/>
  <c r="H42" i="160"/>
  <c r="O144" i="161"/>
  <c r="E43" i="160"/>
  <c r="B43" i="160"/>
  <c r="G43" i="160"/>
  <c r="H43" i="160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E23" i="160"/>
  <c r="B23" i="160"/>
  <c r="G23" i="160"/>
  <c r="H23" i="160"/>
  <c r="O215" i="161"/>
  <c r="O216" i="161"/>
  <c r="O217" i="161"/>
  <c r="E38" i="160"/>
  <c r="B38" i="160"/>
  <c r="G38" i="160"/>
  <c r="H38" i="160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E22" i="160"/>
  <c r="B22" i="160"/>
  <c r="G22" i="160"/>
  <c r="H22" i="160"/>
  <c r="O262" i="161"/>
  <c r="O263" i="161"/>
  <c r="O264" i="161"/>
  <c r="O265" i="161"/>
  <c r="E29" i="160"/>
  <c r="B29" i="160"/>
  <c r="G29" i="160"/>
  <c r="H29" i="160"/>
  <c r="O266" i="161"/>
  <c r="E44" i="160"/>
  <c r="B44" i="160"/>
  <c r="G44" i="160"/>
  <c r="H44" i="160"/>
  <c r="O267" i="161"/>
  <c r="O268" i="161"/>
  <c r="O269" i="161"/>
  <c r="O270" i="161"/>
  <c r="O271" i="161"/>
  <c r="E37" i="160"/>
  <c r="B37" i="160"/>
  <c r="G37" i="160"/>
  <c r="H37" i="160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P341" i="161"/>
  <c r="N341" i="161"/>
  <c r="M341" i="161"/>
  <c r="L341" i="161"/>
  <c r="H341" i="161"/>
  <c r="A341" i="161"/>
  <c r="P340" i="161"/>
  <c r="N340" i="161"/>
  <c r="M340" i="161"/>
  <c r="L340" i="161"/>
  <c r="H340" i="161"/>
  <c r="A340" i="161"/>
  <c r="P339" i="161"/>
  <c r="N339" i="161"/>
  <c r="M339" i="161"/>
  <c r="L339" i="161"/>
  <c r="H339" i="161"/>
  <c r="A339" i="161"/>
  <c r="P338" i="161"/>
  <c r="N338" i="161"/>
  <c r="M338" i="161"/>
  <c r="L338" i="161"/>
  <c r="H338" i="161"/>
  <c r="A338" i="161"/>
  <c r="P337" i="161"/>
  <c r="N337" i="161"/>
  <c r="M337" i="161"/>
  <c r="L337" i="161"/>
  <c r="H337" i="161"/>
  <c r="A337" i="161"/>
  <c r="P336" i="161"/>
  <c r="N336" i="161"/>
  <c r="M336" i="161"/>
  <c r="L336" i="161"/>
  <c r="H336" i="161"/>
  <c r="A336" i="161"/>
  <c r="P335" i="161"/>
  <c r="N335" i="161"/>
  <c r="M335" i="161"/>
  <c r="L335" i="161"/>
  <c r="H335" i="161"/>
  <c r="A335" i="161"/>
  <c r="P334" i="161"/>
  <c r="N334" i="161"/>
  <c r="M334" i="161"/>
  <c r="L334" i="161"/>
  <c r="H334" i="161"/>
  <c r="A334" i="161"/>
  <c r="P333" i="161"/>
  <c r="N333" i="161"/>
  <c r="M333" i="161"/>
  <c r="L333" i="161"/>
  <c r="H333" i="161"/>
  <c r="A333" i="161"/>
  <c r="P332" i="161"/>
  <c r="N332" i="161"/>
  <c r="M332" i="161"/>
  <c r="L332" i="161"/>
  <c r="H332" i="161"/>
  <c r="A332" i="161"/>
  <c r="P331" i="161"/>
  <c r="N331" i="161"/>
  <c r="M331" i="161"/>
  <c r="L331" i="161"/>
  <c r="H331" i="161"/>
  <c r="A331" i="161"/>
  <c r="P330" i="161"/>
  <c r="N330" i="161"/>
  <c r="M330" i="161"/>
  <c r="L330" i="161"/>
  <c r="H330" i="161"/>
  <c r="A330" i="161"/>
  <c r="P329" i="161"/>
  <c r="N329" i="161"/>
  <c r="M329" i="161"/>
  <c r="L329" i="161"/>
  <c r="H329" i="161"/>
  <c r="A329" i="161"/>
  <c r="P328" i="161"/>
  <c r="N328" i="161"/>
  <c r="M328" i="161"/>
  <c r="L328" i="161"/>
  <c r="H328" i="161"/>
  <c r="A328" i="161"/>
  <c r="P327" i="161"/>
  <c r="N327" i="161"/>
  <c r="M327" i="161"/>
  <c r="L327" i="161"/>
  <c r="H327" i="161"/>
  <c r="A327" i="161"/>
  <c r="P326" i="161"/>
  <c r="N326" i="161"/>
  <c r="M326" i="161"/>
  <c r="L326" i="161"/>
  <c r="H326" i="161"/>
  <c r="A326" i="161"/>
  <c r="P325" i="161"/>
  <c r="N325" i="161"/>
  <c r="M325" i="161"/>
  <c r="L325" i="161"/>
  <c r="H325" i="161"/>
  <c r="A325" i="161"/>
  <c r="P324" i="161"/>
  <c r="N324" i="161"/>
  <c r="M324" i="161"/>
  <c r="L324" i="161"/>
  <c r="H324" i="161"/>
  <c r="A324" i="161"/>
  <c r="P323" i="161"/>
  <c r="N323" i="161"/>
  <c r="M323" i="161"/>
  <c r="L323" i="161"/>
  <c r="H323" i="161"/>
  <c r="A323" i="161"/>
  <c r="P322" i="161"/>
  <c r="N322" i="161"/>
  <c r="M322" i="161"/>
  <c r="L322" i="161"/>
  <c r="H322" i="161"/>
  <c r="A322" i="161"/>
  <c r="P321" i="161"/>
  <c r="N321" i="161"/>
  <c r="M321" i="161"/>
  <c r="L321" i="161"/>
  <c r="H321" i="161"/>
  <c r="A321" i="161"/>
  <c r="P320" i="161"/>
  <c r="N320" i="161"/>
  <c r="M320" i="161"/>
  <c r="L320" i="161"/>
  <c r="H320" i="161"/>
  <c r="A320" i="161"/>
  <c r="P319" i="161"/>
  <c r="N319" i="161"/>
  <c r="M319" i="161"/>
  <c r="L319" i="161"/>
  <c r="H319" i="161"/>
  <c r="A319" i="161"/>
  <c r="P318" i="161"/>
  <c r="N318" i="161"/>
  <c r="M318" i="161"/>
  <c r="L318" i="161"/>
  <c r="H318" i="161"/>
  <c r="A318" i="161"/>
  <c r="P317" i="161"/>
  <c r="N317" i="161"/>
  <c r="M317" i="161"/>
  <c r="L317" i="161"/>
  <c r="H317" i="161"/>
  <c r="A317" i="161"/>
  <c r="P316" i="161"/>
  <c r="N316" i="161"/>
  <c r="M316" i="161"/>
  <c r="L316" i="161"/>
  <c r="H316" i="161"/>
  <c r="A316" i="161"/>
  <c r="P315" i="161"/>
  <c r="N315" i="161"/>
  <c r="M315" i="161"/>
  <c r="L315" i="161"/>
  <c r="H315" i="161"/>
  <c r="A315" i="161"/>
  <c r="P314" i="161"/>
  <c r="N314" i="161"/>
  <c r="M314" i="161"/>
  <c r="L314" i="161"/>
  <c r="H314" i="161"/>
  <c r="A314" i="161"/>
  <c r="P313" i="161"/>
  <c r="N313" i="161"/>
  <c r="M313" i="161"/>
  <c r="L313" i="161"/>
  <c r="H313" i="161"/>
  <c r="A313" i="161"/>
  <c r="P312" i="161"/>
  <c r="N312" i="161"/>
  <c r="M312" i="161"/>
  <c r="L312" i="161"/>
  <c r="H312" i="161"/>
  <c r="A312" i="161"/>
  <c r="P311" i="161"/>
  <c r="N311" i="161"/>
  <c r="M311" i="161"/>
  <c r="L311" i="161"/>
  <c r="H311" i="161"/>
  <c r="A311" i="161"/>
  <c r="P310" i="161"/>
  <c r="N310" i="161"/>
  <c r="M310" i="161"/>
  <c r="L310" i="161"/>
  <c r="H310" i="161"/>
  <c r="A310" i="161"/>
  <c r="P309" i="161"/>
  <c r="N309" i="161"/>
  <c r="M309" i="161"/>
  <c r="L309" i="161"/>
  <c r="H309" i="161"/>
  <c r="A309" i="161"/>
  <c r="P308" i="161"/>
  <c r="N308" i="161"/>
  <c r="M308" i="161"/>
  <c r="L308" i="161"/>
  <c r="H308" i="161"/>
  <c r="A308" i="161"/>
  <c r="P307" i="161"/>
  <c r="N307" i="161"/>
  <c r="M307" i="161"/>
  <c r="L307" i="161"/>
  <c r="H307" i="161"/>
  <c r="A307" i="161"/>
  <c r="P306" i="161"/>
  <c r="N306" i="161"/>
  <c r="M306" i="161"/>
  <c r="L306" i="161"/>
  <c r="H306" i="161"/>
  <c r="A306" i="161"/>
  <c r="P305" i="161"/>
  <c r="N305" i="161"/>
  <c r="M305" i="161"/>
  <c r="L305" i="161"/>
  <c r="H305" i="161"/>
  <c r="A305" i="161"/>
  <c r="P304" i="161"/>
  <c r="N304" i="161"/>
  <c r="M304" i="161"/>
  <c r="L304" i="161"/>
  <c r="H304" i="161"/>
  <c r="A304" i="161"/>
  <c r="P303" i="161"/>
  <c r="N303" i="161"/>
  <c r="M303" i="161"/>
  <c r="L303" i="161"/>
  <c r="H303" i="161"/>
  <c r="A303" i="161"/>
  <c r="P302" i="161"/>
  <c r="N302" i="161"/>
  <c r="M302" i="161"/>
  <c r="L302" i="161"/>
  <c r="H302" i="161"/>
  <c r="A302" i="161"/>
  <c r="P301" i="161"/>
  <c r="N301" i="161"/>
  <c r="M301" i="161"/>
  <c r="L301" i="161"/>
  <c r="H301" i="161"/>
  <c r="A301" i="161"/>
  <c r="P300" i="161"/>
  <c r="N300" i="161"/>
  <c r="M300" i="161"/>
  <c r="L300" i="161"/>
  <c r="H300" i="161"/>
  <c r="A300" i="161"/>
  <c r="P299" i="161"/>
  <c r="N299" i="161"/>
  <c r="M299" i="161"/>
  <c r="L299" i="161"/>
  <c r="H299" i="161"/>
  <c r="A299" i="161"/>
  <c r="P298" i="161"/>
  <c r="N298" i="161"/>
  <c r="M298" i="161"/>
  <c r="L298" i="161"/>
  <c r="H298" i="161"/>
  <c r="A298" i="161"/>
  <c r="P297" i="161"/>
  <c r="N297" i="161"/>
  <c r="M297" i="161"/>
  <c r="L297" i="161"/>
  <c r="H297" i="161"/>
  <c r="A297" i="161"/>
  <c r="P296" i="161"/>
  <c r="N296" i="161"/>
  <c r="M296" i="161"/>
  <c r="L296" i="161"/>
  <c r="H296" i="161"/>
  <c r="A296" i="161"/>
  <c r="P295" i="161"/>
  <c r="N295" i="161"/>
  <c r="M295" i="161"/>
  <c r="L295" i="161"/>
  <c r="H295" i="161"/>
  <c r="A295" i="161"/>
  <c r="P294" i="161"/>
  <c r="N294" i="161"/>
  <c r="M294" i="161"/>
  <c r="L294" i="161"/>
  <c r="H294" i="161"/>
  <c r="A294" i="161"/>
  <c r="P293" i="161"/>
  <c r="N293" i="161"/>
  <c r="M293" i="161"/>
  <c r="L293" i="161"/>
  <c r="H293" i="161"/>
  <c r="A293" i="161"/>
  <c r="P292" i="161"/>
  <c r="N292" i="161"/>
  <c r="M292" i="161"/>
  <c r="L292" i="161"/>
  <c r="H292" i="161"/>
  <c r="A292" i="161"/>
  <c r="P291" i="161"/>
  <c r="N291" i="161"/>
  <c r="M291" i="161"/>
  <c r="L291" i="161"/>
  <c r="H291" i="161"/>
  <c r="A291" i="161"/>
  <c r="P290" i="161"/>
  <c r="N290" i="161"/>
  <c r="M290" i="161"/>
  <c r="L290" i="161"/>
  <c r="H290" i="161"/>
  <c r="A290" i="161"/>
  <c r="P289" i="161"/>
  <c r="N289" i="161"/>
  <c r="M289" i="161"/>
  <c r="L289" i="161"/>
  <c r="H289" i="161"/>
  <c r="A289" i="161"/>
  <c r="P288" i="161"/>
  <c r="N288" i="161"/>
  <c r="M288" i="161"/>
  <c r="L288" i="161"/>
  <c r="H288" i="161"/>
  <c r="A288" i="161"/>
  <c r="P287" i="161"/>
  <c r="N287" i="161"/>
  <c r="M287" i="161"/>
  <c r="L287" i="161"/>
  <c r="H287" i="161"/>
  <c r="A287" i="161"/>
  <c r="P286" i="161"/>
  <c r="N286" i="161"/>
  <c r="M286" i="161"/>
  <c r="L286" i="161"/>
  <c r="H286" i="161"/>
  <c r="A286" i="161"/>
  <c r="P285" i="161"/>
  <c r="N285" i="161"/>
  <c r="M285" i="161"/>
  <c r="L285" i="161"/>
  <c r="H285" i="161"/>
  <c r="A285" i="161"/>
  <c r="P284" i="161"/>
  <c r="N284" i="161"/>
  <c r="M284" i="161"/>
  <c r="L284" i="161"/>
  <c r="H284" i="161"/>
  <c r="A284" i="161"/>
  <c r="P283" i="161"/>
  <c r="N283" i="161"/>
  <c r="M283" i="161"/>
  <c r="L283" i="161"/>
  <c r="H283" i="161"/>
  <c r="A283" i="161"/>
  <c r="P282" i="161"/>
  <c r="N282" i="161"/>
  <c r="M282" i="161"/>
  <c r="L282" i="161"/>
  <c r="H282" i="161"/>
  <c r="A282" i="161"/>
  <c r="P281" i="161"/>
  <c r="N281" i="161"/>
  <c r="M281" i="161"/>
  <c r="L281" i="161"/>
  <c r="H281" i="161"/>
  <c r="A281" i="161"/>
  <c r="P280" i="161"/>
  <c r="N280" i="161"/>
  <c r="M280" i="161"/>
  <c r="L280" i="161"/>
  <c r="H280" i="161"/>
  <c r="A280" i="161"/>
  <c r="P279" i="161"/>
  <c r="N279" i="161"/>
  <c r="M279" i="161"/>
  <c r="L279" i="161"/>
  <c r="H279" i="161"/>
  <c r="A279" i="161"/>
  <c r="P278" i="161"/>
  <c r="N278" i="161"/>
  <c r="M278" i="161"/>
  <c r="L278" i="161"/>
  <c r="H278" i="161"/>
  <c r="A278" i="161"/>
  <c r="P277" i="161"/>
  <c r="N277" i="161"/>
  <c r="M277" i="161"/>
  <c r="L277" i="161"/>
  <c r="H277" i="161"/>
  <c r="A277" i="161"/>
  <c r="P276" i="161"/>
  <c r="N276" i="161"/>
  <c r="M276" i="161"/>
  <c r="L276" i="161"/>
  <c r="H276" i="161"/>
  <c r="A276" i="161"/>
  <c r="P275" i="161"/>
  <c r="N275" i="161"/>
  <c r="M275" i="161"/>
  <c r="L275" i="161"/>
  <c r="H275" i="161"/>
  <c r="A275" i="161"/>
  <c r="P274" i="161"/>
  <c r="N274" i="161"/>
  <c r="M274" i="161"/>
  <c r="L274" i="161"/>
  <c r="H274" i="161"/>
  <c r="A274" i="161"/>
  <c r="P273" i="161"/>
  <c r="N273" i="161"/>
  <c r="M273" i="161"/>
  <c r="L273" i="161"/>
  <c r="H273" i="161"/>
  <c r="A273" i="161"/>
  <c r="P272" i="161"/>
  <c r="N272" i="161"/>
  <c r="M272" i="161"/>
  <c r="L272" i="161"/>
  <c r="H272" i="161"/>
  <c r="A272" i="161"/>
  <c r="P271" i="161"/>
  <c r="N271" i="161"/>
  <c r="M271" i="161"/>
  <c r="L271" i="161"/>
  <c r="H271" i="161"/>
  <c r="A271" i="161"/>
  <c r="P270" i="161"/>
  <c r="N270" i="161"/>
  <c r="M270" i="161"/>
  <c r="L270" i="161"/>
  <c r="H270" i="161"/>
  <c r="A270" i="161"/>
  <c r="P269" i="161"/>
  <c r="N269" i="161"/>
  <c r="M269" i="161"/>
  <c r="L269" i="161"/>
  <c r="H269" i="161"/>
  <c r="A269" i="161"/>
  <c r="P268" i="161"/>
  <c r="N268" i="161"/>
  <c r="M268" i="161"/>
  <c r="L268" i="161"/>
  <c r="H268" i="161"/>
  <c r="A268" i="161"/>
  <c r="P267" i="161"/>
  <c r="N267" i="161"/>
  <c r="M267" i="161"/>
  <c r="L267" i="161"/>
  <c r="H267" i="161"/>
  <c r="A267" i="161"/>
  <c r="P266" i="161"/>
  <c r="N266" i="161"/>
  <c r="M266" i="161"/>
  <c r="L266" i="161"/>
  <c r="H266" i="161"/>
  <c r="A266" i="161"/>
  <c r="P265" i="161"/>
  <c r="N265" i="161"/>
  <c r="M265" i="161"/>
  <c r="L265" i="161"/>
  <c r="H265" i="161"/>
  <c r="A265" i="161"/>
  <c r="P264" i="161"/>
  <c r="N264" i="161"/>
  <c r="M264" i="161"/>
  <c r="L264" i="161"/>
  <c r="H264" i="161"/>
  <c r="A264" i="161"/>
  <c r="P263" i="161"/>
  <c r="N263" i="161"/>
  <c r="M263" i="161"/>
  <c r="L263" i="161"/>
  <c r="H263" i="161"/>
  <c r="A263" i="161"/>
  <c r="P262" i="161"/>
  <c r="N262" i="161"/>
  <c r="M262" i="161"/>
  <c r="L262" i="161"/>
  <c r="H262" i="161"/>
  <c r="A262" i="161"/>
  <c r="P261" i="161"/>
  <c r="N261" i="161"/>
  <c r="M261" i="161"/>
  <c r="L261" i="161"/>
  <c r="H261" i="161"/>
  <c r="A261" i="161"/>
  <c r="P260" i="161"/>
  <c r="N260" i="161"/>
  <c r="M260" i="161"/>
  <c r="L260" i="161"/>
  <c r="H260" i="161"/>
  <c r="A260" i="161"/>
  <c r="P259" i="161"/>
  <c r="N259" i="161"/>
  <c r="M259" i="161"/>
  <c r="L259" i="161"/>
  <c r="H259" i="161"/>
  <c r="A259" i="161"/>
  <c r="P258" i="161"/>
  <c r="N258" i="161"/>
  <c r="M258" i="161"/>
  <c r="L258" i="161"/>
  <c r="H258" i="161"/>
  <c r="A258" i="161"/>
  <c r="P257" i="161"/>
  <c r="N257" i="161"/>
  <c r="M257" i="161"/>
  <c r="L257" i="161"/>
  <c r="H257" i="161"/>
  <c r="A257" i="161"/>
  <c r="P256" i="161"/>
  <c r="N256" i="161"/>
  <c r="M256" i="161"/>
  <c r="L256" i="161"/>
  <c r="H256" i="161"/>
  <c r="A256" i="161"/>
  <c r="P255" i="161"/>
  <c r="N255" i="161"/>
  <c r="M255" i="161"/>
  <c r="L255" i="161"/>
  <c r="H255" i="161"/>
  <c r="A255" i="161"/>
  <c r="P254" i="161"/>
  <c r="N254" i="161"/>
  <c r="M254" i="161"/>
  <c r="L254" i="161"/>
  <c r="H254" i="161"/>
  <c r="A254" i="161"/>
  <c r="P253" i="161"/>
  <c r="N253" i="161"/>
  <c r="M253" i="161"/>
  <c r="L253" i="161"/>
  <c r="H253" i="161"/>
  <c r="A253" i="161"/>
  <c r="P252" i="161"/>
  <c r="N252" i="161"/>
  <c r="M252" i="161"/>
  <c r="L252" i="161"/>
  <c r="H252" i="161"/>
  <c r="A252" i="161"/>
  <c r="P251" i="161"/>
  <c r="N251" i="161"/>
  <c r="M251" i="161"/>
  <c r="L251" i="161"/>
  <c r="H251" i="161"/>
  <c r="A251" i="161"/>
  <c r="P250" i="161"/>
  <c r="N250" i="161"/>
  <c r="M250" i="161"/>
  <c r="L250" i="161"/>
  <c r="H250" i="161"/>
  <c r="A250" i="161"/>
  <c r="P249" i="161"/>
  <c r="N249" i="161"/>
  <c r="M249" i="161"/>
  <c r="L249" i="161"/>
  <c r="H249" i="161"/>
  <c r="A249" i="161"/>
  <c r="P248" i="161"/>
  <c r="N248" i="161"/>
  <c r="M248" i="161"/>
  <c r="L248" i="161"/>
  <c r="H248" i="161"/>
  <c r="A248" i="161"/>
  <c r="P247" i="161"/>
  <c r="N247" i="161"/>
  <c r="M247" i="161"/>
  <c r="L247" i="161"/>
  <c r="H247" i="161"/>
  <c r="A247" i="161"/>
  <c r="P246" i="161"/>
  <c r="N246" i="161"/>
  <c r="M246" i="161"/>
  <c r="L246" i="161"/>
  <c r="H246" i="161"/>
  <c r="A246" i="161"/>
  <c r="P245" i="161"/>
  <c r="N245" i="161"/>
  <c r="M245" i="161"/>
  <c r="L245" i="161"/>
  <c r="H245" i="161"/>
  <c r="A245" i="161"/>
  <c r="P244" i="161"/>
  <c r="N244" i="161"/>
  <c r="M244" i="161"/>
  <c r="L244" i="161"/>
  <c r="H244" i="161"/>
  <c r="A244" i="161"/>
  <c r="P243" i="161"/>
  <c r="N243" i="161"/>
  <c r="M243" i="161"/>
  <c r="L243" i="161"/>
  <c r="H243" i="161"/>
  <c r="A243" i="161"/>
  <c r="P242" i="161"/>
  <c r="N242" i="161"/>
  <c r="M242" i="161"/>
  <c r="L242" i="161"/>
  <c r="H242" i="161"/>
  <c r="A242" i="161"/>
  <c r="P241" i="161"/>
  <c r="N241" i="161"/>
  <c r="M241" i="161"/>
  <c r="L241" i="161"/>
  <c r="H241" i="161"/>
  <c r="A241" i="161"/>
  <c r="P240" i="161"/>
  <c r="N240" i="161"/>
  <c r="M240" i="161"/>
  <c r="L240" i="161"/>
  <c r="H240" i="161"/>
  <c r="A240" i="161"/>
  <c r="P239" i="161"/>
  <c r="N239" i="161"/>
  <c r="M239" i="161"/>
  <c r="L239" i="161"/>
  <c r="H239" i="161"/>
  <c r="A239" i="161"/>
  <c r="P238" i="161"/>
  <c r="N238" i="161"/>
  <c r="M238" i="161"/>
  <c r="L238" i="161"/>
  <c r="H238" i="161"/>
  <c r="A238" i="161"/>
  <c r="P237" i="161"/>
  <c r="N237" i="161"/>
  <c r="M237" i="161"/>
  <c r="L237" i="161"/>
  <c r="H237" i="161"/>
  <c r="A237" i="161"/>
  <c r="P236" i="161"/>
  <c r="N236" i="161"/>
  <c r="M236" i="161"/>
  <c r="L236" i="161"/>
  <c r="H236" i="161"/>
  <c r="A236" i="161"/>
  <c r="P235" i="161"/>
  <c r="N235" i="161"/>
  <c r="M235" i="161"/>
  <c r="L235" i="161"/>
  <c r="H235" i="161"/>
  <c r="A235" i="161"/>
  <c r="P234" i="161"/>
  <c r="N234" i="161"/>
  <c r="M234" i="161"/>
  <c r="L234" i="161"/>
  <c r="H234" i="161"/>
  <c r="A234" i="161"/>
  <c r="P233" i="161"/>
  <c r="N233" i="161"/>
  <c r="M233" i="161"/>
  <c r="L233" i="161"/>
  <c r="H233" i="161"/>
  <c r="A233" i="161"/>
  <c r="P232" i="161"/>
  <c r="N232" i="161"/>
  <c r="M232" i="161"/>
  <c r="L232" i="161"/>
  <c r="H232" i="161"/>
  <c r="A232" i="161"/>
  <c r="P231" i="161"/>
  <c r="N231" i="161"/>
  <c r="M231" i="161"/>
  <c r="L231" i="161"/>
  <c r="H231" i="161"/>
  <c r="A231" i="161"/>
  <c r="P230" i="161"/>
  <c r="N230" i="161"/>
  <c r="M230" i="161"/>
  <c r="L230" i="161"/>
  <c r="H230" i="161"/>
  <c r="A230" i="161"/>
  <c r="P229" i="161"/>
  <c r="N229" i="161"/>
  <c r="M229" i="161"/>
  <c r="L229" i="161"/>
  <c r="H229" i="161"/>
  <c r="A229" i="161"/>
  <c r="P228" i="161"/>
  <c r="N228" i="161"/>
  <c r="M228" i="161"/>
  <c r="L228" i="161"/>
  <c r="H228" i="161"/>
  <c r="A228" i="161"/>
  <c r="P227" i="161"/>
  <c r="N227" i="161"/>
  <c r="M227" i="161"/>
  <c r="L227" i="161"/>
  <c r="H227" i="161"/>
  <c r="A227" i="161"/>
  <c r="P226" i="161"/>
  <c r="N226" i="161"/>
  <c r="M226" i="161"/>
  <c r="L226" i="161"/>
  <c r="H226" i="161"/>
  <c r="A226" i="161"/>
  <c r="P225" i="161"/>
  <c r="N225" i="161"/>
  <c r="M225" i="161"/>
  <c r="L225" i="161"/>
  <c r="H225" i="161"/>
  <c r="A225" i="161"/>
  <c r="P224" i="161"/>
  <c r="N224" i="161"/>
  <c r="M224" i="161"/>
  <c r="L224" i="161"/>
  <c r="H224" i="161"/>
  <c r="A224" i="161"/>
  <c r="P223" i="161"/>
  <c r="N223" i="161"/>
  <c r="M223" i="161"/>
  <c r="L223" i="161"/>
  <c r="H223" i="161"/>
  <c r="A223" i="161"/>
  <c r="P222" i="161"/>
  <c r="N222" i="161"/>
  <c r="M222" i="161"/>
  <c r="L222" i="161"/>
  <c r="H222" i="161"/>
  <c r="A222" i="161"/>
  <c r="P221" i="161"/>
  <c r="N221" i="161"/>
  <c r="M221" i="161"/>
  <c r="L221" i="161"/>
  <c r="H221" i="161"/>
  <c r="A221" i="161"/>
  <c r="P220" i="161"/>
  <c r="N220" i="161"/>
  <c r="M220" i="161"/>
  <c r="L220" i="161"/>
  <c r="H220" i="161"/>
  <c r="A220" i="161"/>
  <c r="P219" i="161"/>
  <c r="N219" i="161"/>
  <c r="M219" i="161"/>
  <c r="L219" i="161"/>
  <c r="H219" i="161"/>
  <c r="A219" i="161"/>
  <c r="P218" i="161"/>
  <c r="N218" i="161"/>
  <c r="M218" i="161"/>
  <c r="L218" i="161"/>
  <c r="H218" i="161"/>
  <c r="A218" i="161"/>
  <c r="P217" i="161"/>
  <c r="N217" i="161"/>
  <c r="M217" i="161"/>
  <c r="L217" i="161"/>
  <c r="H217" i="161"/>
  <c r="A217" i="161"/>
  <c r="P216" i="161"/>
  <c r="N216" i="161"/>
  <c r="M216" i="161"/>
  <c r="L216" i="161"/>
  <c r="H216" i="161"/>
  <c r="A216" i="161"/>
  <c r="P215" i="161"/>
  <c r="N215" i="161"/>
  <c r="M215" i="161"/>
  <c r="L215" i="161"/>
  <c r="H215" i="161"/>
  <c r="A215" i="161"/>
  <c r="P214" i="161"/>
  <c r="N214" i="161"/>
  <c r="M214" i="161"/>
  <c r="L214" i="161"/>
  <c r="H214" i="161"/>
  <c r="A214" i="161"/>
  <c r="P213" i="161"/>
  <c r="N213" i="161"/>
  <c r="M213" i="161"/>
  <c r="L213" i="161"/>
  <c r="H213" i="161"/>
  <c r="A213" i="161"/>
  <c r="P212" i="161"/>
  <c r="N212" i="161"/>
  <c r="M212" i="161"/>
  <c r="L212" i="161"/>
  <c r="H212" i="161"/>
  <c r="A212" i="161"/>
  <c r="P211" i="161"/>
  <c r="N211" i="161"/>
  <c r="M211" i="161"/>
  <c r="L211" i="161"/>
  <c r="H211" i="161"/>
  <c r="A211" i="161"/>
  <c r="P210" i="161"/>
  <c r="N210" i="161"/>
  <c r="M210" i="161"/>
  <c r="L210" i="161"/>
  <c r="H210" i="161"/>
  <c r="A210" i="161"/>
  <c r="P209" i="161"/>
  <c r="N209" i="161"/>
  <c r="M209" i="161"/>
  <c r="L209" i="161"/>
  <c r="H209" i="161"/>
  <c r="A209" i="161"/>
  <c r="P208" i="161"/>
  <c r="N208" i="161"/>
  <c r="M208" i="161"/>
  <c r="L208" i="161"/>
  <c r="H208" i="161"/>
  <c r="A208" i="161"/>
  <c r="P207" i="161"/>
  <c r="N207" i="161"/>
  <c r="M207" i="161"/>
  <c r="L207" i="161"/>
  <c r="H207" i="161"/>
  <c r="A207" i="161"/>
  <c r="P206" i="161"/>
  <c r="N206" i="161"/>
  <c r="M206" i="161"/>
  <c r="L206" i="161"/>
  <c r="H206" i="161"/>
  <c r="A206" i="161"/>
  <c r="P205" i="161"/>
  <c r="N205" i="161"/>
  <c r="M205" i="161"/>
  <c r="L205" i="161"/>
  <c r="H205" i="161"/>
  <c r="A205" i="161"/>
  <c r="P204" i="161"/>
  <c r="N204" i="161"/>
  <c r="M204" i="161"/>
  <c r="L204" i="161"/>
  <c r="H204" i="161"/>
  <c r="A204" i="161"/>
  <c r="P203" i="161"/>
  <c r="N203" i="161"/>
  <c r="M203" i="161"/>
  <c r="L203" i="161"/>
  <c r="H203" i="161"/>
  <c r="A203" i="161"/>
  <c r="P202" i="161"/>
  <c r="N202" i="161"/>
  <c r="M202" i="161"/>
  <c r="L202" i="161"/>
  <c r="H202" i="161"/>
  <c r="A202" i="161"/>
  <c r="P201" i="161"/>
  <c r="N201" i="161"/>
  <c r="M201" i="161"/>
  <c r="L201" i="161"/>
  <c r="H201" i="161"/>
  <c r="A201" i="161"/>
  <c r="P200" i="161"/>
  <c r="N200" i="161"/>
  <c r="M200" i="161"/>
  <c r="L200" i="161"/>
  <c r="H200" i="161"/>
  <c r="A200" i="161"/>
  <c r="P199" i="161"/>
  <c r="N199" i="161"/>
  <c r="M199" i="161"/>
  <c r="L199" i="161"/>
  <c r="H199" i="161"/>
  <c r="A199" i="161"/>
  <c r="P198" i="161"/>
  <c r="N198" i="161"/>
  <c r="M198" i="161"/>
  <c r="L198" i="161"/>
  <c r="H198" i="161"/>
  <c r="A198" i="161"/>
  <c r="P197" i="161"/>
  <c r="N197" i="161"/>
  <c r="M197" i="161"/>
  <c r="L197" i="161"/>
  <c r="H197" i="161"/>
  <c r="A197" i="161"/>
  <c r="P196" i="161"/>
  <c r="N196" i="161"/>
  <c r="M196" i="161"/>
  <c r="L196" i="161"/>
  <c r="H196" i="161"/>
  <c r="A196" i="161"/>
  <c r="P195" i="161"/>
  <c r="N195" i="161"/>
  <c r="M195" i="161"/>
  <c r="L195" i="161"/>
  <c r="H195" i="161"/>
  <c r="A195" i="161"/>
  <c r="P194" i="161"/>
  <c r="N194" i="161"/>
  <c r="M194" i="161"/>
  <c r="L194" i="161"/>
  <c r="H194" i="161"/>
  <c r="A194" i="161"/>
  <c r="P193" i="161"/>
  <c r="N193" i="161"/>
  <c r="M193" i="161"/>
  <c r="L193" i="161"/>
  <c r="H193" i="161"/>
  <c r="A193" i="161"/>
  <c r="P192" i="161"/>
  <c r="N192" i="161"/>
  <c r="M192" i="161"/>
  <c r="L192" i="161"/>
  <c r="H192" i="161"/>
  <c r="A192" i="161"/>
  <c r="P191" i="161"/>
  <c r="N191" i="161"/>
  <c r="M191" i="161"/>
  <c r="L191" i="161"/>
  <c r="H191" i="161"/>
  <c r="A191" i="161"/>
  <c r="P190" i="161"/>
  <c r="N190" i="161"/>
  <c r="M190" i="161"/>
  <c r="L190" i="161"/>
  <c r="H190" i="161"/>
  <c r="A190" i="161"/>
  <c r="P189" i="161"/>
  <c r="N189" i="161"/>
  <c r="M189" i="161"/>
  <c r="L189" i="161"/>
  <c r="H189" i="161"/>
  <c r="A189" i="161"/>
  <c r="P188" i="161"/>
  <c r="N188" i="161"/>
  <c r="M188" i="161"/>
  <c r="L188" i="161"/>
  <c r="H188" i="161"/>
  <c r="A188" i="161"/>
  <c r="P187" i="161"/>
  <c r="N187" i="161"/>
  <c r="M187" i="161"/>
  <c r="L187" i="161"/>
  <c r="H187" i="161"/>
  <c r="A187" i="161"/>
  <c r="P186" i="161"/>
  <c r="N186" i="161"/>
  <c r="M186" i="161"/>
  <c r="L186" i="161"/>
  <c r="H186" i="161"/>
  <c r="A186" i="161"/>
  <c r="P185" i="161"/>
  <c r="N185" i="161"/>
  <c r="M185" i="161"/>
  <c r="L185" i="161"/>
  <c r="H185" i="161"/>
  <c r="A185" i="161"/>
  <c r="P184" i="161"/>
  <c r="N184" i="161"/>
  <c r="M184" i="161"/>
  <c r="L184" i="161"/>
  <c r="H184" i="161"/>
  <c r="A184" i="161"/>
  <c r="P183" i="161"/>
  <c r="N183" i="161"/>
  <c r="M183" i="161"/>
  <c r="L183" i="161"/>
  <c r="H183" i="161"/>
  <c r="A183" i="161"/>
  <c r="P182" i="161"/>
  <c r="N182" i="161"/>
  <c r="M182" i="161"/>
  <c r="L182" i="161"/>
  <c r="H182" i="161"/>
  <c r="A182" i="161"/>
  <c r="P181" i="161"/>
  <c r="N181" i="161"/>
  <c r="M181" i="161"/>
  <c r="L181" i="161"/>
  <c r="H181" i="161"/>
  <c r="A181" i="161"/>
  <c r="P180" i="161"/>
  <c r="N180" i="161"/>
  <c r="M180" i="161"/>
  <c r="L180" i="161"/>
  <c r="H180" i="161"/>
  <c r="A180" i="161"/>
  <c r="P179" i="161"/>
  <c r="N179" i="161"/>
  <c r="M179" i="161"/>
  <c r="L179" i="161"/>
  <c r="H179" i="161"/>
  <c r="A179" i="161"/>
  <c r="P178" i="161"/>
  <c r="N178" i="161"/>
  <c r="M178" i="161"/>
  <c r="L178" i="161"/>
  <c r="H178" i="161"/>
  <c r="A178" i="161"/>
  <c r="P177" i="161"/>
  <c r="N177" i="161"/>
  <c r="M177" i="161"/>
  <c r="L177" i="161"/>
  <c r="H177" i="161"/>
  <c r="A177" i="161"/>
  <c r="P176" i="161"/>
  <c r="N176" i="161"/>
  <c r="M176" i="161"/>
  <c r="L176" i="161"/>
  <c r="H176" i="161"/>
  <c r="A176" i="161"/>
  <c r="P175" i="161"/>
  <c r="N175" i="161"/>
  <c r="M175" i="161"/>
  <c r="L175" i="161"/>
  <c r="H175" i="161"/>
  <c r="A175" i="161"/>
  <c r="P174" i="161"/>
  <c r="N174" i="161"/>
  <c r="M174" i="161"/>
  <c r="L174" i="161"/>
  <c r="H174" i="161"/>
  <c r="A174" i="161"/>
  <c r="P173" i="161"/>
  <c r="N173" i="161"/>
  <c r="M173" i="161"/>
  <c r="L173" i="161"/>
  <c r="H173" i="161"/>
  <c r="A173" i="161"/>
  <c r="P172" i="161"/>
  <c r="N172" i="161"/>
  <c r="M172" i="161"/>
  <c r="L172" i="161"/>
  <c r="H172" i="161"/>
  <c r="A172" i="161"/>
  <c r="P171" i="161"/>
  <c r="N171" i="161"/>
  <c r="M171" i="161"/>
  <c r="L171" i="161"/>
  <c r="H171" i="161"/>
  <c r="A171" i="161"/>
  <c r="P170" i="161"/>
  <c r="N170" i="161"/>
  <c r="M170" i="161"/>
  <c r="L170" i="161"/>
  <c r="H170" i="161"/>
  <c r="A170" i="161"/>
  <c r="P169" i="161"/>
  <c r="N169" i="161"/>
  <c r="M169" i="161"/>
  <c r="L169" i="161"/>
  <c r="H169" i="161"/>
  <c r="A169" i="161"/>
  <c r="P168" i="161"/>
  <c r="N168" i="161"/>
  <c r="M168" i="161"/>
  <c r="L168" i="161"/>
  <c r="H168" i="161"/>
  <c r="A168" i="161"/>
  <c r="P167" i="161"/>
  <c r="N167" i="161"/>
  <c r="M167" i="161"/>
  <c r="L167" i="161"/>
  <c r="H167" i="161"/>
  <c r="A167" i="161"/>
  <c r="P166" i="161"/>
  <c r="N166" i="161"/>
  <c r="M166" i="161"/>
  <c r="L166" i="161"/>
  <c r="H166" i="161"/>
  <c r="A166" i="161"/>
  <c r="P165" i="161"/>
  <c r="N165" i="161"/>
  <c r="M165" i="161"/>
  <c r="L165" i="161"/>
  <c r="H165" i="161"/>
  <c r="A165" i="161"/>
  <c r="P164" i="161"/>
  <c r="N164" i="161"/>
  <c r="M164" i="161"/>
  <c r="L164" i="161"/>
  <c r="H164" i="161"/>
  <c r="A164" i="161"/>
  <c r="P163" i="161"/>
  <c r="N163" i="161"/>
  <c r="M163" i="161"/>
  <c r="L163" i="161"/>
  <c r="H163" i="161"/>
  <c r="A163" i="161"/>
  <c r="P162" i="161"/>
  <c r="N162" i="161"/>
  <c r="M162" i="161"/>
  <c r="L162" i="161"/>
  <c r="H162" i="161"/>
  <c r="A162" i="161"/>
  <c r="P161" i="161"/>
  <c r="N161" i="161"/>
  <c r="M161" i="161"/>
  <c r="L161" i="161"/>
  <c r="H161" i="161"/>
  <c r="A161" i="161"/>
  <c r="P160" i="161"/>
  <c r="N160" i="161"/>
  <c r="M160" i="161"/>
  <c r="L160" i="161"/>
  <c r="H160" i="161"/>
  <c r="A160" i="161"/>
  <c r="P159" i="161"/>
  <c r="N159" i="161"/>
  <c r="M159" i="161"/>
  <c r="L159" i="161"/>
  <c r="H159" i="161"/>
  <c r="A159" i="161"/>
  <c r="P158" i="161"/>
  <c r="N158" i="161"/>
  <c r="M158" i="161"/>
  <c r="L158" i="161"/>
  <c r="H158" i="161"/>
  <c r="A158" i="161"/>
  <c r="P157" i="161"/>
  <c r="N157" i="161"/>
  <c r="M157" i="161"/>
  <c r="L157" i="161"/>
  <c r="H157" i="161"/>
  <c r="A157" i="161"/>
  <c r="P156" i="161"/>
  <c r="N156" i="161"/>
  <c r="M156" i="161"/>
  <c r="L156" i="161"/>
  <c r="H156" i="161"/>
  <c r="A156" i="161"/>
  <c r="P155" i="161"/>
  <c r="N155" i="161"/>
  <c r="M155" i="161"/>
  <c r="L155" i="161"/>
  <c r="H155" i="161"/>
  <c r="A155" i="161"/>
  <c r="P154" i="161"/>
  <c r="N154" i="161"/>
  <c r="M154" i="161"/>
  <c r="L154" i="161"/>
  <c r="H154" i="161"/>
  <c r="A154" i="161"/>
  <c r="P153" i="161"/>
  <c r="N153" i="161"/>
  <c r="M153" i="161"/>
  <c r="L153" i="161"/>
  <c r="H153" i="161"/>
  <c r="A153" i="161"/>
  <c r="P152" i="161"/>
  <c r="N152" i="161"/>
  <c r="M152" i="161"/>
  <c r="L152" i="161"/>
  <c r="H152" i="161"/>
  <c r="A152" i="161"/>
  <c r="P151" i="161"/>
  <c r="N151" i="161"/>
  <c r="M151" i="161"/>
  <c r="L151" i="161"/>
  <c r="H151" i="161"/>
  <c r="A151" i="161"/>
  <c r="P150" i="161"/>
  <c r="N150" i="161"/>
  <c r="M150" i="161"/>
  <c r="L150" i="161"/>
  <c r="H150" i="161"/>
  <c r="A150" i="161"/>
  <c r="P149" i="161"/>
  <c r="N149" i="161"/>
  <c r="M149" i="161"/>
  <c r="L149" i="161"/>
  <c r="H149" i="161"/>
  <c r="A149" i="161"/>
  <c r="P148" i="161"/>
  <c r="N148" i="161"/>
  <c r="M148" i="161"/>
  <c r="L148" i="161"/>
  <c r="H148" i="161"/>
  <c r="A148" i="161"/>
  <c r="P147" i="161"/>
  <c r="N147" i="161"/>
  <c r="M147" i="161"/>
  <c r="L147" i="161"/>
  <c r="H147" i="161"/>
  <c r="A147" i="161"/>
  <c r="P146" i="161"/>
  <c r="N146" i="161"/>
  <c r="M146" i="161"/>
  <c r="L146" i="161"/>
  <c r="H146" i="161"/>
  <c r="A146" i="161"/>
  <c r="P145" i="161"/>
  <c r="N145" i="161"/>
  <c r="M145" i="161"/>
  <c r="L145" i="161"/>
  <c r="H145" i="161"/>
  <c r="A145" i="161"/>
  <c r="P144" i="161"/>
  <c r="N144" i="161"/>
  <c r="M144" i="161"/>
  <c r="L144" i="161"/>
  <c r="H144" i="161"/>
  <c r="A144" i="161"/>
  <c r="P143" i="161"/>
  <c r="N143" i="161"/>
  <c r="M143" i="161"/>
  <c r="L143" i="161"/>
  <c r="H143" i="161"/>
  <c r="A143" i="161"/>
  <c r="P142" i="161"/>
  <c r="N142" i="161"/>
  <c r="M142" i="161"/>
  <c r="L142" i="161"/>
  <c r="H142" i="161"/>
  <c r="A142" i="161"/>
  <c r="P141" i="161"/>
  <c r="N141" i="161"/>
  <c r="M141" i="161"/>
  <c r="L141" i="161"/>
  <c r="H141" i="161"/>
  <c r="A141" i="161"/>
  <c r="P140" i="161"/>
  <c r="N140" i="161"/>
  <c r="M140" i="161"/>
  <c r="L140" i="161"/>
  <c r="H140" i="161"/>
  <c r="A140" i="161"/>
  <c r="P139" i="161"/>
  <c r="N139" i="161"/>
  <c r="M139" i="161"/>
  <c r="L139" i="161"/>
  <c r="H139" i="161"/>
  <c r="A139" i="161"/>
  <c r="P138" i="161"/>
  <c r="N138" i="161"/>
  <c r="M138" i="161"/>
  <c r="L138" i="161"/>
  <c r="H138" i="161"/>
  <c r="A138" i="161"/>
  <c r="P137" i="161"/>
  <c r="N137" i="161"/>
  <c r="M137" i="161"/>
  <c r="L137" i="161"/>
  <c r="H137" i="161"/>
  <c r="A137" i="161"/>
  <c r="P136" i="161"/>
  <c r="N136" i="161"/>
  <c r="M136" i="161"/>
  <c r="L136" i="161"/>
  <c r="H136" i="161"/>
  <c r="A136" i="161"/>
  <c r="P135" i="161"/>
  <c r="N135" i="161"/>
  <c r="M135" i="161"/>
  <c r="L135" i="161"/>
  <c r="H135" i="161"/>
  <c r="A135" i="161"/>
  <c r="P134" i="161"/>
  <c r="N134" i="161"/>
  <c r="M134" i="161"/>
  <c r="L134" i="161"/>
  <c r="H134" i="161"/>
  <c r="A134" i="161"/>
  <c r="P133" i="161"/>
  <c r="N133" i="161"/>
  <c r="M133" i="161"/>
  <c r="L133" i="161"/>
  <c r="H133" i="161"/>
  <c r="A133" i="161"/>
  <c r="P132" i="161"/>
  <c r="N132" i="161"/>
  <c r="M132" i="161"/>
  <c r="L132" i="161"/>
  <c r="H132" i="161"/>
  <c r="A132" i="161"/>
  <c r="P131" i="161"/>
  <c r="N131" i="161"/>
  <c r="M131" i="161"/>
  <c r="L131" i="161"/>
  <c r="H131" i="161"/>
  <c r="A131" i="161"/>
  <c r="P130" i="161"/>
  <c r="N130" i="161"/>
  <c r="M130" i="161"/>
  <c r="L130" i="161"/>
  <c r="H130" i="161"/>
  <c r="A130" i="161"/>
  <c r="P129" i="161"/>
  <c r="N129" i="161"/>
  <c r="M129" i="161"/>
  <c r="L129" i="161"/>
  <c r="H129" i="161"/>
  <c r="A129" i="161"/>
  <c r="P128" i="161"/>
  <c r="N128" i="161"/>
  <c r="M128" i="161"/>
  <c r="L128" i="161"/>
  <c r="H128" i="161"/>
  <c r="A128" i="161"/>
  <c r="P127" i="161"/>
  <c r="N127" i="161"/>
  <c r="M127" i="161"/>
  <c r="L127" i="161"/>
  <c r="H127" i="161"/>
  <c r="A127" i="161"/>
  <c r="P126" i="161"/>
  <c r="N126" i="161"/>
  <c r="M126" i="161"/>
  <c r="L126" i="161"/>
  <c r="H126" i="161"/>
  <c r="A126" i="161"/>
  <c r="P125" i="161"/>
  <c r="N125" i="161"/>
  <c r="M125" i="161"/>
  <c r="L125" i="161"/>
  <c r="H125" i="161"/>
  <c r="A125" i="161"/>
  <c r="P124" i="161"/>
  <c r="N124" i="161"/>
  <c r="M124" i="161"/>
  <c r="L124" i="161"/>
  <c r="H124" i="161"/>
  <c r="A124" i="161"/>
  <c r="P123" i="161"/>
  <c r="N123" i="161"/>
  <c r="M123" i="161"/>
  <c r="L123" i="161"/>
  <c r="H123" i="161"/>
  <c r="A123" i="161"/>
  <c r="P122" i="161"/>
  <c r="N122" i="161"/>
  <c r="M122" i="161"/>
  <c r="L122" i="161"/>
  <c r="H122" i="161"/>
  <c r="A122" i="161"/>
  <c r="P121" i="161"/>
  <c r="N121" i="161"/>
  <c r="M121" i="161"/>
  <c r="L121" i="161"/>
  <c r="H121" i="161"/>
  <c r="A121" i="161"/>
  <c r="P120" i="161"/>
  <c r="N120" i="161"/>
  <c r="M120" i="161"/>
  <c r="L120" i="161"/>
  <c r="H120" i="161"/>
  <c r="A120" i="161"/>
  <c r="P119" i="161"/>
  <c r="N119" i="161"/>
  <c r="M119" i="161"/>
  <c r="L119" i="161"/>
  <c r="H119" i="161"/>
  <c r="A119" i="161"/>
  <c r="P118" i="161"/>
  <c r="N118" i="161"/>
  <c r="M118" i="161"/>
  <c r="L118" i="161"/>
  <c r="H118" i="161"/>
  <c r="A118" i="161"/>
  <c r="P117" i="161"/>
  <c r="N117" i="161"/>
  <c r="M117" i="161"/>
  <c r="L117" i="161"/>
  <c r="H117" i="161"/>
  <c r="A117" i="161"/>
  <c r="P116" i="161"/>
  <c r="N116" i="161"/>
  <c r="M116" i="161"/>
  <c r="L116" i="161"/>
  <c r="H116" i="161"/>
  <c r="A116" i="161"/>
  <c r="P115" i="161"/>
  <c r="N115" i="161"/>
  <c r="M115" i="161"/>
  <c r="L115" i="161"/>
  <c r="H115" i="161"/>
  <c r="A115" i="161"/>
  <c r="P114" i="161"/>
  <c r="N114" i="161"/>
  <c r="M114" i="161"/>
  <c r="L114" i="161"/>
  <c r="H114" i="161"/>
  <c r="A114" i="161"/>
  <c r="P113" i="161"/>
  <c r="N113" i="161"/>
  <c r="M113" i="161"/>
  <c r="L113" i="161"/>
  <c r="H113" i="161"/>
  <c r="A113" i="161"/>
  <c r="P112" i="161"/>
  <c r="N112" i="161"/>
  <c r="M112" i="161"/>
  <c r="L112" i="161"/>
  <c r="H112" i="161"/>
  <c r="A112" i="161"/>
  <c r="P111" i="161"/>
  <c r="N111" i="161"/>
  <c r="M111" i="161"/>
  <c r="L111" i="161"/>
  <c r="H111" i="161"/>
  <c r="A111" i="161"/>
  <c r="P110" i="161"/>
  <c r="N110" i="161"/>
  <c r="M110" i="161"/>
  <c r="L110" i="161"/>
  <c r="H110" i="161"/>
  <c r="A110" i="161"/>
  <c r="P109" i="161"/>
  <c r="N109" i="161"/>
  <c r="M109" i="161"/>
  <c r="L109" i="161"/>
  <c r="H109" i="161"/>
  <c r="A109" i="161"/>
  <c r="P108" i="161"/>
  <c r="N108" i="161"/>
  <c r="M108" i="161"/>
  <c r="L108" i="161"/>
  <c r="H108" i="161"/>
  <c r="A108" i="161"/>
  <c r="P107" i="161"/>
  <c r="N107" i="161"/>
  <c r="M107" i="161"/>
  <c r="L107" i="161"/>
  <c r="H107" i="161"/>
  <c r="A107" i="161"/>
  <c r="P106" i="161"/>
  <c r="N106" i="161"/>
  <c r="M106" i="161"/>
  <c r="L106" i="161"/>
  <c r="H106" i="161"/>
  <c r="A106" i="161"/>
  <c r="P105" i="161"/>
  <c r="N105" i="161"/>
  <c r="M105" i="161"/>
  <c r="L105" i="161"/>
  <c r="H105" i="161"/>
  <c r="A105" i="161"/>
  <c r="P104" i="161"/>
  <c r="N104" i="161"/>
  <c r="M104" i="161"/>
  <c r="L104" i="161"/>
  <c r="H104" i="161"/>
  <c r="A104" i="161"/>
  <c r="P103" i="161"/>
  <c r="N103" i="161"/>
  <c r="M103" i="161"/>
  <c r="L103" i="161"/>
  <c r="H103" i="161"/>
  <c r="A103" i="161"/>
  <c r="P102" i="161"/>
  <c r="N102" i="161"/>
  <c r="M102" i="161"/>
  <c r="L102" i="161"/>
  <c r="H102" i="161"/>
  <c r="A102" i="161"/>
  <c r="P101" i="161"/>
  <c r="N101" i="161"/>
  <c r="M101" i="161"/>
  <c r="L101" i="161"/>
  <c r="H101" i="161"/>
  <c r="A101" i="161"/>
  <c r="P100" i="161"/>
  <c r="N100" i="161"/>
  <c r="M100" i="161"/>
  <c r="L100" i="161"/>
  <c r="H100" i="161"/>
  <c r="A100" i="161"/>
  <c r="P99" i="161"/>
  <c r="N99" i="161"/>
  <c r="M99" i="161"/>
  <c r="L99" i="161"/>
  <c r="H99" i="161"/>
  <c r="A99" i="161"/>
  <c r="P98" i="161"/>
  <c r="N98" i="161"/>
  <c r="M98" i="161"/>
  <c r="L98" i="161"/>
  <c r="H98" i="161"/>
  <c r="A98" i="161"/>
  <c r="P97" i="161"/>
  <c r="N97" i="161"/>
  <c r="M97" i="161"/>
  <c r="L97" i="161"/>
  <c r="H97" i="161"/>
  <c r="A97" i="161"/>
  <c r="P96" i="161"/>
  <c r="N96" i="161"/>
  <c r="M96" i="161"/>
  <c r="L96" i="161"/>
  <c r="H96" i="161"/>
  <c r="A96" i="161"/>
  <c r="P95" i="161"/>
  <c r="N95" i="161"/>
  <c r="M95" i="161"/>
  <c r="L95" i="161"/>
  <c r="H95" i="161"/>
  <c r="A95" i="161"/>
  <c r="P94" i="161"/>
  <c r="N94" i="161"/>
  <c r="M94" i="161"/>
  <c r="L94" i="161"/>
  <c r="H94" i="161"/>
  <c r="A94" i="161"/>
  <c r="P93" i="161"/>
  <c r="N93" i="161"/>
  <c r="M93" i="161"/>
  <c r="L93" i="161"/>
  <c r="H93" i="161"/>
  <c r="A93" i="161"/>
  <c r="P92" i="161"/>
  <c r="N92" i="161"/>
  <c r="M92" i="161"/>
  <c r="L92" i="161"/>
  <c r="H92" i="161"/>
  <c r="A92" i="161"/>
  <c r="P91" i="161"/>
  <c r="N91" i="161"/>
  <c r="M91" i="161"/>
  <c r="L91" i="161"/>
  <c r="H91" i="161"/>
  <c r="A91" i="161"/>
  <c r="P90" i="161"/>
  <c r="N90" i="161"/>
  <c r="M90" i="161"/>
  <c r="L90" i="161"/>
  <c r="H90" i="161"/>
  <c r="A90" i="161"/>
  <c r="P89" i="161"/>
  <c r="N89" i="161"/>
  <c r="M89" i="161"/>
  <c r="L89" i="161"/>
  <c r="H89" i="161"/>
  <c r="A89" i="161"/>
  <c r="P88" i="161"/>
  <c r="N88" i="161"/>
  <c r="M88" i="161"/>
  <c r="L88" i="161"/>
  <c r="H88" i="161"/>
  <c r="A88" i="161"/>
  <c r="P87" i="161"/>
  <c r="N87" i="161"/>
  <c r="M87" i="161"/>
  <c r="L87" i="161"/>
  <c r="H87" i="161"/>
  <c r="A87" i="161"/>
  <c r="P86" i="161"/>
  <c r="N86" i="161"/>
  <c r="M86" i="161"/>
  <c r="L86" i="161"/>
  <c r="H86" i="161"/>
  <c r="A86" i="161"/>
  <c r="P85" i="161"/>
  <c r="N85" i="161"/>
  <c r="M85" i="161"/>
  <c r="L85" i="161"/>
  <c r="H85" i="161"/>
  <c r="A85" i="161"/>
  <c r="P84" i="161"/>
  <c r="N84" i="161"/>
  <c r="M84" i="161"/>
  <c r="L84" i="161"/>
  <c r="H84" i="161"/>
  <c r="A84" i="161"/>
  <c r="P83" i="161"/>
  <c r="N83" i="161"/>
  <c r="M83" i="161"/>
  <c r="L83" i="161"/>
  <c r="H83" i="161"/>
  <c r="A83" i="161"/>
  <c r="P82" i="161"/>
  <c r="N82" i="161"/>
  <c r="M82" i="161"/>
  <c r="L82" i="161"/>
  <c r="H82" i="161"/>
  <c r="A82" i="161"/>
  <c r="P81" i="161"/>
  <c r="N81" i="161"/>
  <c r="M81" i="161"/>
  <c r="L81" i="161"/>
  <c r="H81" i="161"/>
  <c r="A81" i="161"/>
  <c r="P80" i="161"/>
  <c r="N80" i="161"/>
  <c r="M80" i="161"/>
  <c r="L80" i="161"/>
  <c r="H80" i="161"/>
  <c r="A80" i="161"/>
  <c r="P79" i="161"/>
  <c r="N79" i="161"/>
  <c r="M79" i="161"/>
  <c r="L79" i="161"/>
  <c r="H79" i="161"/>
  <c r="A79" i="161"/>
  <c r="P78" i="161"/>
  <c r="N78" i="161"/>
  <c r="M78" i="161"/>
  <c r="L78" i="161"/>
  <c r="H78" i="161"/>
  <c r="A78" i="161"/>
  <c r="P77" i="161"/>
  <c r="N77" i="161"/>
  <c r="M77" i="161"/>
  <c r="L77" i="161"/>
  <c r="H77" i="161"/>
  <c r="A77" i="161"/>
  <c r="P76" i="161"/>
  <c r="N76" i="161"/>
  <c r="M76" i="161"/>
  <c r="L76" i="161"/>
  <c r="H76" i="161"/>
  <c r="A76" i="161"/>
  <c r="P75" i="161"/>
  <c r="N75" i="161"/>
  <c r="M75" i="161"/>
  <c r="L75" i="161"/>
  <c r="H75" i="161"/>
  <c r="A75" i="161"/>
  <c r="P74" i="161"/>
  <c r="N74" i="161"/>
  <c r="M74" i="161"/>
  <c r="L74" i="161"/>
  <c r="H74" i="161"/>
  <c r="A74" i="161"/>
  <c r="P73" i="161"/>
  <c r="N73" i="161"/>
  <c r="M73" i="161"/>
  <c r="L73" i="161"/>
  <c r="H73" i="161"/>
  <c r="A73" i="161"/>
  <c r="P72" i="161"/>
  <c r="N72" i="161"/>
  <c r="M72" i="161"/>
  <c r="L72" i="161"/>
  <c r="H72" i="161"/>
  <c r="A72" i="161"/>
  <c r="P71" i="161"/>
  <c r="N71" i="161"/>
  <c r="M71" i="161"/>
  <c r="L71" i="161"/>
  <c r="H71" i="161"/>
  <c r="A71" i="161"/>
  <c r="P70" i="161"/>
  <c r="N70" i="161"/>
  <c r="M70" i="161"/>
  <c r="L70" i="161"/>
  <c r="H70" i="161"/>
  <c r="A70" i="161"/>
  <c r="P69" i="161"/>
  <c r="N69" i="161"/>
  <c r="M69" i="161"/>
  <c r="L69" i="161"/>
  <c r="H69" i="161"/>
  <c r="A69" i="161"/>
  <c r="P68" i="161"/>
  <c r="N68" i="161"/>
  <c r="M68" i="161"/>
  <c r="L68" i="161"/>
  <c r="H68" i="161"/>
  <c r="A68" i="161"/>
  <c r="P67" i="161"/>
  <c r="N67" i="161"/>
  <c r="M67" i="161"/>
  <c r="L67" i="161"/>
  <c r="H67" i="161"/>
  <c r="A67" i="161"/>
  <c r="P66" i="161"/>
  <c r="N66" i="161"/>
  <c r="M66" i="161"/>
  <c r="L66" i="161"/>
  <c r="H66" i="161"/>
  <c r="A66" i="161"/>
  <c r="P65" i="161"/>
  <c r="N65" i="161"/>
  <c r="M65" i="161"/>
  <c r="L65" i="161"/>
  <c r="H65" i="161"/>
  <c r="A65" i="161"/>
  <c r="P64" i="161"/>
  <c r="N64" i="161"/>
  <c r="M64" i="161"/>
  <c r="L64" i="161"/>
  <c r="H64" i="161"/>
  <c r="A64" i="161"/>
  <c r="P63" i="161"/>
  <c r="N63" i="161"/>
  <c r="M63" i="161"/>
  <c r="L63" i="161"/>
  <c r="H63" i="161"/>
  <c r="A63" i="161"/>
  <c r="P62" i="161"/>
  <c r="N62" i="161"/>
  <c r="M62" i="161"/>
  <c r="L62" i="161"/>
  <c r="H62" i="161"/>
  <c r="A62" i="161"/>
  <c r="P61" i="161"/>
  <c r="N61" i="161"/>
  <c r="M61" i="161"/>
  <c r="L61" i="161"/>
  <c r="H61" i="161"/>
  <c r="A61" i="161"/>
  <c r="P60" i="161"/>
  <c r="N60" i="161"/>
  <c r="M60" i="161"/>
  <c r="L60" i="161"/>
  <c r="H60" i="161"/>
  <c r="A60" i="161"/>
  <c r="P59" i="161"/>
  <c r="N59" i="161"/>
  <c r="M59" i="161"/>
  <c r="L59" i="161"/>
  <c r="H59" i="161"/>
  <c r="A59" i="161"/>
  <c r="P58" i="161"/>
  <c r="N58" i="161"/>
  <c r="M58" i="161"/>
  <c r="L58" i="161"/>
  <c r="H58" i="161"/>
  <c r="A58" i="161"/>
  <c r="P57" i="161"/>
  <c r="N57" i="161"/>
  <c r="M57" i="161"/>
  <c r="L57" i="161"/>
  <c r="H57" i="161"/>
  <c r="A57" i="161"/>
  <c r="P56" i="161"/>
  <c r="N56" i="161"/>
  <c r="M56" i="161"/>
  <c r="L56" i="161"/>
  <c r="H56" i="161"/>
  <c r="A56" i="161"/>
  <c r="P55" i="161"/>
  <c r="N55" i="161"/>
  <c r="M55" i="161"/>
  <c r="L55" i="161"/>
  <c r="H55" i="161"/>
  <c r="A55" i="161"/>
  <c r="P54" i="161"/>
  <c r="N54" i="161"/>
  <c r="M54" i="161"/>
  <c r="L54" i="161"/>
  <c r="H54" i="161"/>
  <c r="A54" i="161"/>
  <c r="P53" i="161"/>
  <c r="N53" i="161"/>
  <c r="M53" i="161"/>
  <c r="L53" i="161"/>
  <c r="H53" i="161"/>
  <c r="A53" i="161"/>
  <c r="P52" i="161"/>
  <c r="N52" i="161"/>
  <c r="M52" i="161"/>
  <c r="L52" i="161"/>
  <c r="H52" i="161"/>
  <c r="A52" i="161"/>
  <c r="P51" i="161"/>
  <c r="N51" i="161"/>
  <c r="M51" i="161"/>
  <c r="L51" i="161"/>
  <c r="H51" i="161"/>
  <c r="A51" i="161"/>
  <c r="P50" i="161"/>
  <c r="N50" i="161"/>
  <c r="M50" i="161"/>
  <c r="L50" i="161"/>
  <c r="H50" i="161"/>
  <c r="A50" i="161"/>
  <c r="P49" i="161"/>
  <c r="N49" i="161"/>
  <c r="M49" i="161"/>
  <c r="L49" i="161"/>
  <c r="H49" i="161"/>
  <c r="A49" i="161"/>
  <c r="P48" i="161"/>
  <c r="N48" i="161"/>
  <c r="M48" i="161"/>
  <c r="L48" i="161"/>
  <c r="H48" i="161"/>
  <c r="A48" i="161"/>
  <c r="P47" i="161"/>
  <c r="N47" i="161"/>
  <c r="M47" i="161"/>
  <c r="L47" i="161"/>
  <c r="H47" i="161"/>
  <c r="A47" i="161"/>
  <c r="P46" i="161"/>
  <c r="N46" i="161"/>
  <c r="M46" i="161"/>
  <c r="L46" i="161"/>
  <c r="H46" i="161"/>
  <c r="A46" i="161"/>
  <c r="P45" i="161"/>
  <c r="N45" i="161"/>
  <c r="M45" i="161"/>
  <c r="L45" i="161"/>
  <c r="H45" i="161"/>
  <c r="A45" i="161"/>
  <c r="P44" i="161"/>
  <c r="N44" i="161"/>
  <c r="M44" i="161"/>
  <c r="L44" i="161"/>
  <c r="H44" i="161"/>
  <c r="A44" i="161"/>
  <c r="P43" i="161"/>
  <c r="N43" i="161"/>
  <c r="M43" i="161"/>
  <c r="L43" i="161"/>
  <c r="H43" i="161"/>
  <c r="A43" i="161"/>
  <c r="P42" i="161"/>
  <c r="N42" i="161"/>
  <c r="M42" i="161"/>
  <c r="L42" i="161"/>
  <c r="H42" i="161"/>
  <c r="A42" i="161"/>
  <c r="P41" i="161"/>
  <c r="N41" i="161"/>
  <c r="M41" i="161"/>
  <c r="L41" i="161"/>
  <c r="H41" i="161"/>
  <c r="A41" i="161"/>
  <c r="P40" i="161"/>
  <c r="N40" i="161"/>
  <c r="M40" i="161"/>
  <c r="L40" i="161"/>
  <c r="H40" i="161"/>
  <c r="A40" i="161"/>
  <c r="P39" i="161"/>
  <c r="N39" i="161"/>
  <c r="M39" i="161"/>
  <c r="L39" i="161"/>
  <c r="H39" i="161"/>
  <c r="A39" i="161"/>
  <c r="P38" i="161"/>
  <c r="N38" i="161"/>
  <c r="M38" i="161"/>
  <c r="L38" i="161"/>
  <c r="H38" i="161"/>
  <c r="A38" i="161"/>
  <c r="P37" i="161"/>
  <c r="N37" i="161"/>
  <c r="M37" i="161"/>
  <c r="L37" i="161"/>
  <c r="H37" i="161"/>
  <c r="A37" i="161"/>
  <c r="P36" i="161"/>
  <c r="N36" i="161"/>
  <c r="M36" i="161"/>
  <c r="L36" i="161"/>
  <c r="H36" i="161"/>
  <c r="A36" i="161"/>
  <c r="P35" i="161"/>
  <c r="N35" i="161"/>
  <c r="M35" i="161"/>
  <c r="L35" i="161"/>
  <c r="H35" i="161"/>
  <c r="A35" i="161"/>
  <c r="P34" i="161"/>
  <c r="N34" i="161"/>
  <c r="M34" i="161"/>
  <c r="L34" i="161"/>
  <c r="H34" i="161"/>
  <c r="A34" i="161"/>
  <c r="P33" i="161"/>
  <c r="N33" i="161"/>
  <c r="M33" i="161"/>
  <c r="L33" i="161"/>
  <c r="H33" i="161"/>
  <c r="A33" i="161"/>
  <c r="P32" i="161"/>
  <c r="N32" i="161"/>
  <c r="M32" i="161"/>
  <c r="L32" i="161"/>
  <c r="H32" i="161"/>
  <c r="A32" i="161"/>
  <c r="P31" i="161"/>
  <c r="N31" i="161"/>
  <c r="M31" i="161"/>
  <c r="L31" i="161"/>
  <c r="H31" i="161"/>
  <c r="A31" i="161"/>
  <c r="P30" i="161"/>
  <c r="N30" i="161"/>
  <c r="M30" i="161"/>
  <c r="L30" i="161"/>
  <c r="H30" i="161"/>
  <c r="A30" i="161"/>
  <c r="P29" i="161"/>
  <c r="N29" i="161"/>
  <c r="M29" i="161"/>
  <c r="L29" i="161"/>
  <c r="H29" i="161"/>
  <c r="A29" i="161"/>
  <c r="P28" i="161"/>
  <c r="N28" i="161"/>
  <c r="M28" i="161"/>
  <c r="L28" i="161"/>
  <c r="H28" i="161"/>
  <c r="A28" i="161"/>
  <c r="P27" i="161"/>
  <c r="N27" i="161"/>
  <c r="M27" i="161"/>
  <c r="L27" i="161"/>
  <c r="H27" i="161"/>
  <c r="A27" i="161"/>
  <c r="P26" i="161"/>
  <c r="N26" i="161"/>
  <c r="M26" i="161"/>
  <c r="L26" i="161"/>
  <c r="H26" i="161"/>
  <c r="A26" i="161"/>
  <c r="P25" i="161"/>
  <c r="N25" i="161"/>
  <c r="M25" i="161"/>
  <c r="L25" i="161"/>
  <c r="H25" i="161"/>
  <c r="A25" i="161"/>
  <c r="P24" i="161"/>
  <c r="N24" i="161"/>
  <c r="M24" i="161"/>
  <c r="L24" i="161"/>
  <c r="H24" i="161"/>
  <c r="A24" i="161"/>
  <c r="P23" i="161"/>
  <c r="N23" i="161"/>
  <c r="M23" i="161"/>
  <c r="L23" i="161"/>
  <c r="H23" i="161"/>
  <c r="A23" i="161"/>
  <c r="P22" i="161"/>
  <c r="N22" i="161"/>
  <c r="M22" i="161"/>
  <c r="L22" i="161"/>
  <c r="H22" i="161"/>
  <c r="A22" i="161"/>
  <c r="P21" i="161"/>
  <c r="N21" i="161"/>
  <c r="M21" i="161"/>
  <c r="L21" i="161"/>
  <c r="H21" i="161"/>
  <c r="A21" i="161"/>
  <c r="P20" i="161"/>
  <c r="N20" i="161"/>
  <c r="M20" i="161"/>
  <c r="L20" i="161"/>
  <c r="H20" i="161"/>
  <c r="A20" i="161"/>
  <c r="P19" i="161"/>
  <c r="N19" i="161"/>
  <c r="M19" i="161"/>
  <c r="L19" i="161"/>
  <c r="H19" i="161"/>
  <c r="A19" i="161"/>
  <c r="P18" i="161"/>
  <c r="N18" i="161"/>
  <c r="M18" i="161"/>
  <c r="L18" i="161"/>
  <c r="H18" i="161"/>
  <c r="A18" i="161"/>
  <c r="P17" i="161"/>
  <c r="N17" i="161"/>
  <c r="M17" i="161"/>
  <c r="L17" i="161"/>
  <c r="H17" i="161"/>
  <c r="A17" i="161"/>
  <c r="P16" i="161"/>
  <c r="N16" i="161"/>
  <c r="M16" i="161"/>
  <c r="L16" i="161"/>
  <c r="H16" i="161"/>
  <c r="A16" i="161"/>
  <c r="P15" i="161"/>
  <c r="N15" i="161"/>
  <c r="M15" i="161"/>
  <c r="L15" i="161"/>
  <c r="H15" i="161"/>
  <c r="A15" i="161"/>
  <c r="P14" i="161"/>
  <c r="N14" i="161"/>
  <c r="M14" i="161"/>
  <c r="L14" i="161"/>
  <c r="H14" i="161"/>
  <c r="A14" i="161"/>
  <c r="P13" i="161"/>
  <c r="N13" i="161"/>
  <c r="M13" i="161"/>
  <c r="L13" i="161"/>
  <c r="H13" i="161"/>
  <c r="A13" i="161"/>
  <c r="P12" i="161"/>
  <c r="N12" i="161"/>
  <c r="M12" i="161"/>
  <c r="L12" i="161"/>
  <c r="H12" i="161"/>
  <c r="A12" i="161"/>
  <c r="P11" i="161"/>
  <c r="N11" i="161"/>
  <c r="M11" i="161"/>
  <c r="L11" i="161"/>
  <c r="H11" i="161"/>
  <c r="A11" i="161"/>
  <c r="P10" i="161"/>
  <c r="N10" i="161"/>
  <c r="M10" i="161"/>
  <c r="L10" i="161"/>
  <c r="H10" i="161"/>
  <c r="A10" i="161"/>
  <c r="P9" i="161"/>
  <c r="N9" i="161"/>
  <c r="M9" i="161"/>
  <c r="L9" i="161"/>
  <c r="H9" i="161"/>
  <c r="A9" i="161"/>
  <c r="P8" i="161"/>
  <c r="N8" i="161"/>
  <c r="M8" i="161"/>
  <c r="L8" i="161"/>
  <c r="H8" i="161"/>
  <c r="A8" i="161"/>
  <c r="P7" i="161"/>
  <c r="N7" i="161"/>
  <c r="M7" i="161"/>
  <c r="L7" i="161"/>
  <c r="H7" i="161"/>
  <c r="A7" i="161"/>
  <c r="P6" i="161"/>
  <c r="N6" i="161"/>
  <c r="M6" i="161"/>
  <c r="L6" i="161"/>
  <c r="H6" i="161"/>
  <c r="A6" i="161"/>
  <c r="P5" i="161"/>
  <c r="N5" i="161"/>
  <c r="M5" i="161"/>
  <c r="L5" i="161"/>
  <c r="H5" i="161"/>
  <c r="A5" i="161"/>
  <c r="P4" i="161"/>
  <c r="N4" i="161"/>
  <c r="M4" i="161"/>
  <c r="L4" i="161"/>
  <c r="H4" i="161"/>
  <c r="A4" i="161"/>
  <c r="P3" i="161"/>
  <c r="N3" i="161"/>
  <c r="M3" i="161"/>
  <c r="L3" i="161"/>
  <c r="H3" i="161"/>
  <c r="A3" i="161"/>
  <c r="P2" i="161"/>
  <c r="N2" i="161"/>
  <c r="M2" i="161"/>
  <c r="L2" i="161"/>
  <c r="H2" i="161"/>
  <c r="A2" i="161"/>
  <c r="F65" i="160"/>
  <c r="F64" i="160"/>
  <c r="F63" i="160"/>
  <c r="G63" i="160"/>
  <c r="F62" i="160"/>
  <c r="B55" i="160"/>
  <c r="B56" i="160"/>
  <c r="B57" i="160"/>
  <c r="B58" i="160"/>
  <c r="B59" i="160"/>
  <c r="B60" i="160"/>
  <c r="B61" i="160"/>
  <c r="B62" i="160"/>
  <c r="C55" i="160"/>
  <c r="C56" i="160"/>
  <c r="C57" i="160"/>
  <c r="C58" i="160"/>
  <c r="C59" i="160"/>
  <c r="C60" i="160"/>
  <c r="C61" i="160"/>
  <c r="C62" i="160"/>
  <c r="F61" i="160"/>
  <c r="F60" i="160"/>
  <c r="H57" i="160"/>
  <c r="F57" i="160"/>
  <c r="G57" i="160"/>
  <c r="H56" i="160"/>
  <c r="F56" i="160"/>
  <c r="G56" i="160"/>
  <c r="H55" i="160"/>
  <c r="F55" i="160"/>
  <c r="G55" i="160"/>
  <c r="G49" i="160"/>
  <c r="C49" i="160"/>
  <c r="B47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47" i="160"/>
  <c r="D47" i="160"/>
  <c r="I46" i="160"/>
  <c r="J46" i="160"/>
  <c r="F46" i="160"/>
  <c r="C46" i="160"/>
  <c r="D46" i="160"/>
  <c r="G45" i="160"/>
  <c r="E45" i="160"/>
  <c r="H45" i="160"/>
  <c r="I45" i="160"/>
  <c r="J45" i="160"/>
  <c r="F45" i="160"/>
  <c r="C45" i="160"/>
  <c r="D45" i="160"/>
  <c r="I44" i="160"/>
  <c r="J44" i="160"/>
  <c r="F44" i="160"/>
  <c r="C44" i="160"/>
  <c r="D44" i="160"/>
  <c r="I43" i="160"/>
  <c r="J43" i="160"/>
  <c r="F43" i="160"/>
  <c r="C43" i="160"/>
  <c r="D43" i="160"/>
  <c r="I42" i="160"/>
  <c r="J42" i="160"/>
  <c r="F42" i="160"/>
  <c r="C42" i="160"/>
  <c r="D42" i="160"/>
  <c r="I41" i="160"/>
  <c r="J41" i="160"/>
  <c r="F41" i="160"/>
  <c r="C41" i="160"/>
  <c r="D41" i="160"/>
  <c r="I40" i="160"/>
  <c r="J40" i="160"/>
  <c r="F40" i="160"/>
  <c r="C40" i="160"/>
  <c r="D40" i="160"/>
  <c r="I39" i="160"/>
  <c r="J39" i="160"/>
  <c r="F39" i="160"/>
  <c r="C39" i="160"/>
  <c r="D39" i="160"/>
  <c r="I38" i="160"/>
  <c r="J38" i="160"/>
  <c r="F38" i="160"/>
  <c r="C38" i="160"/>
  <c r="D38" i="160"/>
  <c r="I37" i="160"/>
  <c r="J37" i="160"/>
  <c r="F37" i="160"/>
  <c r="C37" i="160"/>
  <c r="D37" i="160"/>
  <c r="I36" i="160"/>
  <c r="J36" i="160"/>
  <c r="F36" i="160"/>
  <c r="C36" i="160"/>
  <c r="D36" i="160"/>
  <c r="I35" i="160"/>
  <c r="J35" i="160"/>
  <c r="F35" i="160"/>
  <c r="C35" i="160"/>
  <c r="D35" i="160"/>
  <c r="I34" i="160"/>
  <c r="J34" i="160"/>
  <c r="F34" i="160"/>
  <c r="C34" i="160"/>
  <c r="D34" i="160"/>
  <c r="I33" i="160"/>
  <c r="J33" i="160"/>
  <c r="F33" i="160"/>
  <c r="C33" i="160"/>
  <c r="D33" i="160"/>
  <c r="I32" i="160"/>
  <c r="J32" i="160"/>
  <c r="F32" i="160"/>
  <c r="C32" i="160"/>
  <c r="D32" i="160"/>
  <c r="G31" i="160"/>
  <c r="E31" i="160"/>
  <c r="H31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I2" i="157"/>
  <c r="D2" i="157"/>
  <c r="I3" i="157"/>
  <c r="D3" i="157"/>
  <c r="I4" i="157"/>
  <c r="D4" i="157"/>
  <c r="I5" i="157"/>
  <c r="D5" i="157"/>
  <c r="I6" i="157"/>
  <c r="D6" i="157"/>
  <c r="I7" i="157"/>
  <c r="D7" i="157"/>
  <c r="I8" i="157"/>
  <c r="D8" i="157"/>
  <c r="I9" i="157"/>
  <c r="D9" i="157"/>
  <c r="I10" i="157"/>
  <c r="D10" i="157"/>
  <c r="I11" i="157"/>
  <c r="D11" i="157"/>
  <c r="I12" i="157"/>
  <c r="D12" i="157"/>
  <c r="I13" i="157"/>
  <c r="D13" i="157"/>
  <c r="I14" i="157"/>
  <c r="D14" i="157"/>
  <c r="I15" i="157"/>
  <c r="D15" i="157"/>
  <c r="I16" i="157"/>
  <c r="D16" i="157"/>
  <c r="I17" i="157"/>
  <c r="D17" i="157"/>
  <c r="I18" i="157"/>
  <c r="J18" i="157"/>
  <c r="D18" i="157"/>
  <c r="I19" i="157"/>
  <c r="J19" i="157"/>
  <c r="D19" i="157"/>
  <c r="I20" i="157"/>
  <c r="D20" i="157"/>
  <c r="I21" i="157"/>
  <c r="D21" i="157"/>
  <c r="I22" i="157"/>
  <c r="D22" i="157"/>
  <c r="I23" i="157"/>
  <c r="D23" i="157"/>
  <c r="I24" i="157"/>
  <c r="D24" i="157"/>
  <c r="I25" i="157"/>
  <c r="D25" i="157"/>
  <c r="I26" i="157"/>
  <c r="D26" i="157"/>
  <c r="I27" i="157"/>
  <c r="D27" i="157"/>
  <c r="I28" i="157"/>
  <c r="D28" i="157"/>
  <c r="I29" i="157"/>
  <c r="D29" i="157"/>
  <c r="I30" i="157"/>
  <c r="D30" i="157"/>
  <c r="I31" i="157"/>
  <c r="D31" i="157"/>
  <c r="I32" i="157"/>
  <c r="D32" i="157"/>
  <c r="I33" i="157"/>
  <c r="D33" i="157"/>
  <c r="I34" i="157"/>
  <c r="D34" i="157"/>
  <c r="I35" i="157"/>
  <c r="D35" i="157"/>
  <c r="I36" i="157"/>
  <c r="D36" i="157"/>
  <c r="I37" i="157"/>
  <c r="D37" i="157"/>
  <c r="I38" i="157"/>
  <c r="D38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B11" i="153"/>
  <c r="B10" i="153"/>
  <c r="B46" i="153"/>
  <c r="F5" i="153"/>
  <c r="E5" i="153"/>
  <c r="E29" i="153"/>
  <c r="B29" i="153"/>
  <c r="E28" i="153"/>
  <c r="B28" i="153"/>
  <c r="E27" i="153"/>
  <c r="B27" i="153"/>
  <c r="F7" i="153"/>
  <c r="E7" i="153"/>
  <c r="E26" i="153"/>
  <c r="B26" i="153"/>
  <c r="E25" i="153"/>
  <c r="B25" i="153"/>
  <c r="E24" i="153"/>
  <c r="B24" i="153"/>
  <c r="E23" i="153"/>
  <c r="B23" i="153"/>
  <c r="E22" i="153"/>
  <c r="B22" i="153"/>
  <c r="E21" i="153"/>
  <c r="B21" i="153"/>
  <c r="E20" i="153"/>
  <c r="B20" i="153"/>
  <c r="E19" i="153"/>
  <c r="B19" i="153"/>
  <c r="B17" i="153"/>
  <c r="E18" i="153"/>
  <c r="B18" i="153"/>
  <c r="I2" i="159"/>
  <c r="J2" i="159"/>
  <c r="D2" i="159"/>
  <c r="E2" i="159"/>
  <c r="K2" i="159"/>
  <c r="G2" i="159"/>
  <c r="F2" i="159"/>
  <c r="C2" i="159"/>
  <c r="I3" i="159"/>
  <c r="J3" i="159"/>
  <c r="D3" i="159"/>
  <c r="E3" i="159"/>
  <c r="K3" i="159"/>
  <c r="G3" i="159"/>
  <c r="F3" i="159"/>
  <c r="C3" i="159"/>
  <c r="I4" i="159"/>
  <c r="J4" i="159"/>
  <c r="D4" i="159"/>
  <c r="E4" i="159"/>
  <c r="K4" i="159"/>
  <c r="G4" i="159"/>
  <c r="F4" i="159"/>
  <c r="C4" i="159"/>
  <c r="I5" i="159"/>
  <c r="J5" i="159"/>
  <c r="D5" i="159"/>
  <c r="E5" i="159"/>
  <c r="K5" i="159"/>
  <c r="G5" i="159"/>
  <c r="F5" i="159"/>
  <c r="C5" i="159"/>
  <c r="I6" i="159"/>
  <c r="J6" i="159"/>
  <c r="D6" i="159"/>
  <c r="E6" i="159"/>
  <c r="K6" i="159"/>
  <c r="G6" i="159"/>
  <c r="F6" i="159"/>
  <c r="C6" i="159"/>
  <c r="I7" i="159"/>
  <c r="J7" i="159"/>
  <c r="D7" i="159"/>
  <c r="E7" i="159"/>
  <c r="K7" i="159"/>
  <c r="G7" i="159"/>
  <c r="F7" i="159"/>
  <c r="C7" i="159"/>
  <c r="I8" i="159"/>
  <c r="J8" i="159"/>
  <c r="D8" i="159"/>
  <c r="E8" i="159"/>
  <c r="K8" i="159"/>
  <c r="G8" i="159"/>
  <c r="F8" i="159"/>
  <c r="C8" i="159"/>
  <c r="I9" i="159"/>
  <c r="J9" i="159"/>
  <c r="D9" i="159"/>
  <c r="E9" i="159"/>
  <c r="K9" i="159"/>
  <c r="G9" i="159"/>
  <c r="F9" i="159"/>
  <c r="C9" i="159"/>
  <c r="I10" i="159"/>
  <c r="J10" i="159"/>
  <c r="D10" i="159"/>
  <c r="E10" i="159"/>
  <c r="K10" i="159"/>
  <c r="G10" i="159"/>
  <c r="F10" i="159"/>
  <c r="C10" i="159"/>
  <c r="I11" i="159"/>
  <c r="J11" i="159"/>
  <c r="D11" i="159"/>
  <c r="E11" i="159"/>
  <c r="K11" i="159"/>
  <c r="G11" i="159"/>
  <c r="F11" i="159"/>
  <c r="C11" i="159"/>
  <c r="I12" i="159"/>
  <c r="J12" i="159"/>
  <c r="D12" i="159"/>
  <c r="E12" i="159"/>
  <c r="K12" i="159"/>
  <c r="G12" i="159"/>
  <c r="F12" i="159"/>
  <c r="C12" i="159"/>
  <c r="I13" i="159"/>
  <c r="J13" i="159"/>
  <c r="D13" i="159"/>
  <c r="E13" i="159"/>
  <c r="K13" i="159"/>
  <c r="G13" i="159"/>
  <c r="F13" i="159"/>
  <c r="C13" i="159"/>
  <c r="I14" i="159"/>
  <c r="J14" i="159"/>
  <c r="D14" i="159"/>
  <c r="E14" i="159"/>
  <c r="K14" i="159"/>
  <c r="G14" i="159"/>
  <c r="F14" i="159"/>
  <c r="C14" i="159"/>
  <c r="I15" i="159"/>
  <c r="J15" i="159"/>
  <c r="D15" i="159"/>
  <c r="E15" i="159"/>
  <c r="K15" i="159"/>
  <c r="G15" i="159"/>
  <c r="F15" i="159"/>
  <c r="C15" i="159"/>
  <c r="I16" i="159"/>
  <c r="J16" i="159"/>
  <c r="D16" i="159"/>
  <c r="E16" i="159"/>
  <c r="K16" i="159"/>
  <c r="G16" i="159"/>
  <c r="F16" i="159"/>
  <c r="C16" i="159"/>
  <c r="I17" i="159"/>
  <c r="J17" i="159"/>
  <c r="D17" i="159"/>
  <c r="E17" i="159"/>
  <c r="K17" i="159"/>
  <c r="G17" i="159"/>
  <c r="F17" i="159"/>
  <c r="C17" i="159"/>
  <c r="I18" i="159"/>
  <c r="J18" i="159"/>
  <c r="D18" i="159"/>
  <c r="E18" i="159"/>
  <c r="K18" i="159"/>
  <c r="G18" i="159"/>
  <c r="F18" i="159"/>
  <c r="C18" i="159"/>
  <c r="I19" i="159"/>
  <c r="J19" i="159"/>
  <c r="D19" i="159"/>
  <c r="E19" i="159"/>
  <c r="K19" i="159"/>
  <c r="G19" i="159"/>
  <c r="F19" i="159"/>
  <c r="C19" i="159"/>
  <c r="I20" i="159"/>
  <c r="J20" i="159"/>
  <c r="D20" i="159"/>
  <c r="E20" i="159"/>
  <c r="K20" i="159"/>
  <c r="G20" i="159"/>
  <c r="F20" i="159"/>
  <c r="C20" i="159"/>
  <c r="I21" i="159"/>
  <c r="J21" i="159"/>
  <c r="D21" i="159"/>
  <c r="E21" i="159"/>
  <c r="K21" i="159"/>
  <c r="G21" i="159"/>
  <c r="F21" i="159"/>
  <c r="C21" i="159"/>
  <c r="I22" i="159"/>
  <c r="J22" i="159"/>
  <c r="D22" i="159"/>
  <c r="E22" i="159"/>
  <c r="K22" i="159"/>
  <c r="G22" i="159"/>
  <c r="F22" i="159"/>
  <c r="C22" i="159"/>
  <c r="I23" i="159"/>
  <c r="J23" i="159"/>
  <c r="D23" i="159"/>
  <c r="E23" i="159"/>
  <c r="K23" i="159"/>
  <c r="G23" i="159"/>
  <c r="F23" i="159"/>
  <c r="C23" i="159"/>
  <c r="I24" i="159"/>
  <c r="J24" i="159"/>
  <c r="D24" i="159"/>
  <c r="E24" i="159"/>
  <c r="K24" i="159"/>
  <c r="G24" i="159"/>
  <c r="F24" i="159"/>
  <c r="C24" i="159"/>
  <c r="I25" i="159"/>
  <c r="J25" i="159"/>
  <c r="D25" i="159"/>
  <c r="E25" i="159"/>
  <c r="K25" i="159"/>
  <c r="G25" i="159"/>
  <c r="F25" i="159"/>
  <c r="C25" i="159"/>
  <c r="I26" i="159"/>
  <c r="J26" i="159"/>
  <c r="D26" i="159"/>
  <c r="E26" i="159"/>
  <c r="K26" i="159"/>
  <c r="G26" i="159"/>
  <c r="F26" i="159"/>
  <c r="C26" i="159"/>
  <c r="I27" i="159"/>
  <c r="J27" i="159"/>
  <c r="D27" i="159"/>
  <c r="E27" i="159"/>
  <c r="K27" i="159"/>
  <c r="G27" i="159"/>
  <c r="F27" i="159"/>
  <c r="C27" i="159"/>
  <c r="I28" i="159"/>
  <c r="J28" i="159"/>
  <c r="D28" i="159"/>
  <c r="E28" i="159"/>
  <c r="K28" i="159"/>
  <c r="G28" i="159"/>
  <c r="F28" i="159"/>
  <c r="C28" i="159"/>
  <c r="I29" i="159"/>
  <c r="J29" i="159"/>
  <c r="D29" i="159"/>
  <c r="E29" i="159"/>
  <c r="K29" i="159"/>
  <c r="G29" i="159"/>
  <c r="F29" i="159"/>
  <c r="C29" i="159"/>
  <c r="I30" i="159"/>
  <c r="J30" i="159"/>
  <c r="D30" i="159"/>
  <c r="E30" i="159"/>
  <c r="K30" i="159"/>
  <c r="G30" i="159"/>
  <c r="F30" i="159"/>
  <c r="C30" i="159"/>
  <c r="I31" i="159"/>
  <c r="J31" i="159"/>
  <c r="D31" i="159"/>
  <c r="E31" i="159"/>
  <c r="K31" i="159"/>
  <c r="G31" i="159"/>
  <c r="F31" i="159"/>
  <c r="C31" i="159"/>
  <c r="I32" i="159"/>
  <c r="J32" i="159"/>
  <c r="D32" i="159"/>
  <c r="E32" i="159"/>
  <c r="K32" i="159"/>
  <c r="G32" i="159"/>
  <c r="F32" i="159"/>
  <c r="C32" i="159"/>
  <c r="I33" i="159"/>
  <c r="J33" i="159"/>
  <c r="D33" i="159"/>
  <c r="E33" i="159"/>
  <c r="K33" i="159"/>
  <c r="G33" i="159"/>
  <c r="F33" i="159"/>
  <c r="C33" i="159"/>
  <c r="I34" i="159"/>
  <c r="J34" i="159"/>
  <c r="D34" i="159"/>
  <c r="E34" i="159"/>
  <c r="K34" i="159"/>
  <c r="G34" i="159"/>
  <c r="F34" i="159"/>
  <c r="C34" i="159"/>
  <c r="I35" i="159"/>
  <c r="J35" i="159"/>
  <c r="D35" i="159"/>
  <c r="E35" i="159"/>
  <c r="K35" i="159"/>
  <c r="G35" i="159"/>
  <c r="F35" i="159"/>
  <c r="C35" i="159"/>
  <c r="I36" i="159"/>
  <c r="J36" i="159"/>
  <c r="D36" i="159"/>
  <c r="E36" i="159"/>
  <c r="K36" i="159"/>
  <c r="G36" i="159"/>
  <c r="F36" i="159"/>
  <c r="C36" i="159"/>
  <c r="I37" i="159"/>
  <c r="J37" i="159"/>
  <c r="D37" i="159"/>
  <c r="E37" i="159"/>
  <c r="K37" i="159"/>
  <c r="G37" i="159"/>
  <c r="F37" i="159"/>
  <c r="C37" i="159"/>
  <c r="I38" i="159"/>
  <c r="J38" i="159"/>
  <c r="D38" i="159"/>
  <c r="E38" i="159"/>
  <c r="K38" i="159"/>
  <c r="G38" i="159"/>
  <c r="F38" i="159"/>
  <c r="C38" i="159"/>
  <c r="I39" i="159"/>
  <c r="J39" i="159"/>
  <c r="D39" i="159"/>
  <c r="E39" i="159"/>
  <c r="K39" i="159"/>
  <c r="G39" i="159"/>
  <c r="F39" i="159"/>
  <c r="C39" i="159"/>
  <c r="I40" i="159"/>
  <c r="J40" i="159"/>
  <c r="D40" i="159"/>
  <c r="E40" i="159"/>
  <c r="K40" i="159"/>
  <c r="G40" i="159"/>
  <c r="F40" i="159"/>
  <c r="C40" i="159"/>
  <c r="I41" i="159"/>
  <c r="J41" i="159"/>
  <c r="D41" i="159"/>
  <c r="E41" i="159"/>
  <c r="K41" i="159"/>
  <c r="G41" i="159"/>
  <c r="F41" i="159"/>
  <c r="C41" i="159"/>
  <c r="I42" i="159"/>
  <c r="D42" i="159"/>
  <c r="J42" i="159"/>
  <c r="E42" i="159"/>
  <c r="K42" i="159"/>
  <c r="G42" i="159"/>
  <c r="F42" i="159"/>
  <c r="C42" i="159"/>
  <c r="I43" i="159"/>
  <c r="D43" i="159"/>
  <c r="J43" i="159"/>
  <c r="E43" i="159"/>
  <c r="K43" i="159"/>
  <c r="G43" i="159"/>
  <c r="F43" i="159"/>
  <c r="C43" i="159"/>
  <c r="I44" i="159"/>
  <c r="D44" i="159"/>
  <c r="J44" i="159"/>
  <c r="E44" i="159"/>
  <c r="K44" i="159"/>
  <c r="G44" i="159"/>
  <c r="F44" i="159"/>
  <c r="C44" i="159"/>
  <c r="I45" i="159"/>
  <c r="D45" i="159"/>
  <c r="J45" i="159"/>
  <c r="E45" i="159"/>
  <c r="K45" i="159"/>
  <c r="G45" i="159"/>
  <c r="F45" i="159"/>
  <c r="C45" i="159"/>
  <c r="I46" i="159"/>
  <c r="D46" i="159"/>
  <c r="J46" i="159"/>
  <c r="E46" i="159"/>
  <c r="K46" i="159"/>
  <c r="G46" i="159"/>
  <c r="F46" i="159"/>
  <c r="C46" i="159"/>
  <c r="I47" i="159"/>
  <c r="D47" i="159"/>
  <c r="J47" i="159"/>
  <c r="E47" i="159"/>
  <c r="K47" i="159"/>
  <c r="G47" i="159"/>
  <c r="F47" i="159"/>
  <c r="C47" i="159"/>
  <c r="I48" i="159"/>
  <c r="D48" i="159"/>
  <c r="J48" i="159"/>
  <c r="E48" i="159"/>
  <c r="K48" i="159"/>
  <c r="G48" i="159"/>
  <c r="F48" i="159"/>
  <c r="C48" i="159"/>
  <c r="I49" i="159"/>
  <c r="D49" i="159"/>
  <c r="J49" i="159"/>
  <c r="E49" i="159"/>
  <c r="K49" i="159"/>
  <c r="G49" i="159"/>
  <c r="F49" i="159"/>
  <c r="C49" i="159"/>
  <c r="I50" i="159"/>
  <c r="D50" i="159"/>
  <c r="J50" i="159"/>
  <c r="E50" i="159"/>
  <c r="K50" i="159"/>
  <c r="G50" i="159"/>
  <c r="F50" i="159"/>
  <c r="C50" i="159"/>
  <c r="I51" i="159"/>
  <c r="D51" i="159"/>
  <c r="J51" i="159"/>
  <c r="E51" i="159"/>
  <c r="K51" i="159"/>
  <c r="G51" i="159"/>
  <c r="F51" i="159"/>
  <c r="C51" i="159"/>
  <c r="I52" i="159"/>
  <c r="D52" i="159"/>
  <c r="J52" i="159"/>
  <c r="E52" i="159"/>
  <c r="K52" i="159"/>
  <c r="G52" i="159"/>
  <c r="F52" i="159"/>
  <c r="C52" i="159"/>
  <c r="I53" i="159"/>
  <c r="D53" i="159"/>
  <c r="J53" i="159"/>
  <c r="E53" i="159"/>
  <c r="K53" i="159"/>
  <c r="G53" i="159"/>
  <c r="F53" i="159"/>
  <c r="C53" i="159"/>
  <c r="I54" i="159"/>
  <c r="D54" i="159"/>
  <c r="J54" i="159"/>
  <c r="E54" i="159"/>
  <c r="K54" i="159"/>
  <c r="G54" i="159"/>
  <c r="F54" i="159"/>
  <c r="C54" i="159"/>
  <c r="I55" i="159"/>
  <c r="D55" i="159"/>
  <c r="J55" i="159"/>
  <c r="E55" i="159"/>
  <c r="K55" i="159"/>
  <c r="G55" i="159"/>
  <c r="F55" i="159"/>
  <c r="C55" i="159"/>
  <c r="I56" i="159"/>
  <c r="D56" i="159"/>
  <c r="J56" i="159"/>
  <c r="E56" i="159"/>
  <c r="K56" i="159"/>
  <c r="G56" i="159"/>
  <c r="F56" i="159"/>
  <c r="C56" i="159"/>
  <c r="I57" i="159"/>
  <c r="D57" i="159"/>
  <c r="J57" i="159"/>
  <c r="E57" i="159"/>
  <c r="K57" i="159"/>
  <c r="G57" i="159"/>
  <c r="F57" i="159"/>
  <c r="C57" i="159"/>
  <c r="I58" i="159"/>
  <c r="D58" i="159"/>
  <c r="J58" i="159"/>
  <c r="E58" i="159"/>
  <c r="K58" i="159"/>
  <c r="G58" i="159"/>
  <c r="F58" i="159"/>
  <c r="C58" i="159"/>
  <c r="I59" i="159"/>
  <c r="D59" i="159"/>
  <c r="J59" i="159"/>
  <c r="E59" i="159"/>
  <c r="K59" i="159"/>
  <c r="G59" i="159"/>
  <c r="F59" i="159"/>
  <c r="C59" i="159"/>
  <c r="I60" i="159"/>
  <c r="D60" i="159"/>
  <c r="J60" i="159"/>
  <c r="E60" i="159"/>
  <c r="K60" i="159"/>
  <c r="G60" i="159"/>
  <c r="F60" i="159"/>
  <c r="C60" i="159"/>
  <c r="I61" i="159"/>
  <c r="D61" i="159"/>
  <c r="J61" i="159"/>
  <c r="E61" i="159"/>
  <c r="K61" i="159"/>
  <c r="G61" i="159"/>
  <c r="F61" i="159"/>
  <c r="C61" i="159"/>
  <c r="I62" i="159"/>
  <c r="D62" i="159"/>
  <c r="J62" i="159"/>
  <c r="E62" i="159"/>
  <c r="K62" i="159"/>
  <c r="G62" i="159"/>
  <c r="F62" i="159"/>
  <c r="C62" i="159"/>
  <c r="I63" i="159"/>
  <c r="D63" i="159"/>
  <c r="J63" i="159"/>
  <c r="E63" i="159"/>
  <c r="K63" i="159"/>
  <c r="G63" i="159"/>
  <c r="F63" i="159"/>
  <c r="C63" i="159"/>
  <c r="I64" i="159"/>
  <c r="D64" i="159"/>
  <c r="J64" i="159"/>
  <c r="E64" i="159"/>
  <c r="K64" i="159"/>
  <c r="G64" i="159"/>
  <c r="F64" i="159"/>
  <c r="C64" i="159"/>
  <c r="I65" i="159"/>
  <c r="D65" i="159"/>
  <c r="J65" i="159"/>
  <c r="E65" i="159"/>
  <c r="K65" i="159"/>
  <c r="G65" i="159"/>
  <c r="F65" i="159"/>
  <c r="C65" i="159"/>
  <c r="I66" i="159"/>
  <c r="D66" i="159"/>
  <c r="J66" i="159"/>
  <c r="E66" i="159"/>
  <c r="K66" i="159"/>
  <c r="G66" i="159"/>
  <c r="F66" i="159"/>
  <c r="C66" i="159"/>
  <c r="I67" i="159"/>
  <c r="D67" i="159"/>
  <c r="J67" i="159"/>
  <c r="E67" i="159"/>
  <c r="K67" i="159"/>
  <c r="G67" i="159"/>
  <c r="F67" i="159"/>
  <c r="C67" i="159"/>
  <c r="I68" i="159"/>
  <c r="D68" i="159"/>
  <c r="J68" i="159"/>
  <c r="E68" i="159"/>
  <c r="K68" i="159"/>
  <c r="G68" i="159"/>
  <c r="F68" i="159"/>
  <c r="C68" i="159"/>
  <c r="I69" i="159"/>
  <c r="D69" i="159"/>
  <c r="J69" i="159"/>
  <c r="E69" i="159"/>
  <c r="K69" i="159"/>
  <c r="G69" i="159"/>
  <c r="F69" i="159"/>
  <c r="C69" i="159"/>
  <c r="I70" i="159"/>
  <c r="D70" i="159"/>
  <c r="J70" i="159"/>
  <c r="E70" i="159"/>
  <c r="K70" i="159"/>
  <c r="G70" i="159"/>
  <c r="F70" i="159"/>
  <c r="C70" i="159"/>
  <c r="I71" i="159"/>
  <c r="D71" i="159"/>
  <c r="J71" i="159"/>
  <c r="E71" i="159"/>
  <c r="K71" i="159"/>
  <c r="G71" i="159"/>
  <c r="F71" i="159"/>
  <c r="C71" i="159"/>
  <c r="I72" i="159"/>
  <c r="D72" i="159"/>
  <c r="J72" i="159"/>
  <c r="E72" i="159"/>
  <c r="K72" i="159"/>
  <c r="G72" i="159"/>
  <c r="F72" i="159"/>
  <c r="C72" i="159"/>
  <c r="I73" i="159"/>
  <c r="D73" i="159"/>
  <c r="J73" i="159"/>
  <c r="E73" i="159"/>
  <c r="K73" i="159"/>
  <c r="G73" i="159"/>
  <c r="F73" i="159"/>
  <c r="C73" i="159"/>
  <c r="I74" i="159"/>
  <c r="D74" i="159"/>
  <c r="J74" i="159"/>
  <c r="E74" i="159"/>
  <c r="K74" i="159"/>
  <c r="G74" i="159"/>
  <c r="F74" i="159"/>
  <c r="C74" i="159"/>
  <c r="I75" i="159"/>
  <c r="D75" i="159"/>
  <c r="J75" i="159"/>
  <c r="E75" i="159"/>
  <c r="K75" i="159"/>
  <c r="G75" i="159"/>
  <c r="F75" i="159"/>
  <c r="C75" i="159"/>
  <c r="I76" i="159"/>
  <c r="D76" i="159"/>
  <c r="J76" i="159"/>
  <c r="E76" i="159"/>
  <c r="K76" i="159"/>
  <c r="G76" i="159"/>
  <c r="F76" i="159"/>
  <c r="C76" i="159"/>
  <c r="I77" i="159"/>
  <c r="D77" i="159"/>
  <c r="J77" i="159"/>
  <c r="E77" i="159"/>
  <c r="K77" i="159"/>
  <c r="G77" i="159"/>
  <c r="F77" i="159"/>
  <c r="C77" i="159"/>
  <c r="I78" i="159"/>
  <c r="D78" i="159"/>
  <c r="J78" i="159"/>
  <c r="E78" i="159"/>
  <c r="K78" i="159"/>
  <c r="G78" i="159"/>
  <c r="F78" i="159"/>
  <c r="C78" i="159"/>
  <c r="I79" i="159"/>
  <c r="D79" i="159"/>
  <c r="J79" i="159"/>
  <c r="E79" i="159"/>
  <c r="K79" i="159"/>
  <c r="G79" i="159"/>
  <c r="F79" i="159"/>
  <c r="C79" i="159"/>
  <c r="I80" i="159"/>
  <c r="D80" i="159"/>
  <c r="J80" i="159"/>
  <c r="E80" i="159"/>
  <c r="K80" i="159"/>
  <c r="G80" i="159"/>
  <c r="F80" i="159"/>
  <c r="C80" i="159"/>
  <c r="I81" i="159"/>
  <c r="D81" i="159"/>
  <c r="J81" i="159"/>
  <c r="E81" i="159"/>
  <c r="K81" i="159"/>
  <c r="G81" i="159"/>
  <c r="F81" i="159"/>
  <c r="C81" i="159"/>
  <c r="I82" i="159"/>
  <c r="D82" i="159"/>
  <c r="J82" i="159"/>
  <c r="E82" i="159"/>
  <c r="K82" i="159"/>
  <c r="G82" i="159"/>
  <c r="F82" i="159"/>
  <c r="C82" i="159"/>
  <c r="I83" i="159"/>
  <c r="D83" i="159"/>
  <c r="J83" i="159"/>
  <c r="E83" i="159"/>
  <c r="K83" i="159"/>
  <c r="G83" i="159"/>
  <c r="F83" i="159"/>
  <c r="C83" i="159"/>
  <c r="I84" i="159"/>
  <c r="D84" i="159"/>
  <c r="J84" i="159"/>
  <c r="E84" i="159"/>
  <c r="K84" i="159"/>
  <c r="G84" i="159"/>
  <c r="F84" i="159"/>
  <c r="C84" i="159"/>
  <c r="I85" i="159"/>
  <c r="D85" i="159"/>
  <c r="J85" i="159"/>
  <c r="E85" i="159"/>
  <c r="K85" i="159"/>
  <c r="G85" i="159"/>
  <c r="F85" i="159"/>
  <c r="C85" i="159"/>
  <c r="I86" i="159"/>
  <c r="D86" i="159"/>
  <c r="J86" i="159"/>
  <c r="E86" i="159"/>
  <c r="K86" i="159"/>
  <c r="G86" i="159"/>
  <c r="F86" i="159"/>
  <c r="C86" i="159"/>
  <c r="I87" i="159"/>
  <c r="D87" i="159"/>
  <c r="J87" i="159"/>
  <c r="E87" i="159"/>
  <c r="K87" i="159"/>
  <c r="G87" i="159"/>
  <c r="F87" i="159"/>
  <c r="C87" i="159"/>
  <c r="I88" i="159"/>
  <c r="D88" i="159"/>
  <c r="J88" i="159"/>
  <c r="E88" i="159"/>
  <c r="K88" i="159"/>
  <c r="G88" i="159"/>
  <c r="F88" i="159"/>
  <c r="C88" i="159"/>
  <c r="I89" i="159"/>
  <c r="D89" i="159"/>
  <c r="J89" i="159"/>
  <c r="E89" i="159"/>
  <c r="K89" i="159"/>
  <c r="G89" i="159"/>
  <c r="F89" i="159"/>
  <c r="C89" i="159"/>
  <c r="I90" i="159"/>
  <c r="D90" i="159"/>
  <c r="J90" i="159"/>
  <c r="E90" i="159"/>
  <c r="K90" i="159"/>
  <c r="G90" i="159"/>
  <c r="F90" i="159"/>
  <c r="C90" i="159"/>
  <c r="I91" i="159"/>
  <c r="D91" i="159"/>
  <c r="J91" i="159"/>
  <c r="E91" i="159"/>
  <c r="K91" i="159"/>
  <c r="G91" i="159"/>
  <c r="F91" i="159"/>
  <c r="C91" i="159"/>
  <c r="I92" i="159"/>
  <c r="D92" i="159"/>
  <c r="J92" i="159"/>
  <c r="E92" i="159"/>
  <c r="K92" i="159"/>
  <c r="G92" i="159"/>
  <c r="F92" i="159"/>
  <c r="C92" i="159"/>
  <c r="I93" i="159"/>
  <c r="D93" i="159"/>
  <c r="J93" i="159"/>
  <c r="E93" i="159"/>
  <c r="K93" i="159"/>
  <c r="G93" i="159"/>
  <c r="F93" i="159"/>
  <c r="C93" i="159"/>
  <c r="I94" i="159"/>
  <c r="D94" i="159"/>
  <c r="J94" i="159"/>
  <c r="E94" i="159"/>
  <c r="K94" i="159"/>
  <c r="G94" i="159"/>
  <c r="F94" i="159"/>
  <c r="C94" i="159"/>
  <c r="I95" i="159"/>
  <c r="D95" i="159"/>
  <c r="J95" i="159"/>
  <c r="E95" i="159"/>
  <c r="K95" i="159"/>
  <c r="G95" i="159"/>
  <c r="F95" i="159"/>
  <c r="C95" i="159"/>
  <c r="I96" i="159"/>
  <c r="D96" i="159"/>
  <c r="J96" i="159"/>
  <c r="E96" i="159"/>
  <c r="K96" i="159"/>
  <c r="G96" i="159"/>
  <c r="F96" i="159"/>
  <c r="C96" i="159"/>
  <c r="I97" i="159"/>
  <c r="D97" i="159"/>
  <c r="J97" i="159"/>
  <c r="E97" i="159"/>
  <c r="K97" i="159"/>
  <c r="G97" i="159"/>
  <c r="F97" i="159"/>
  <c r="C97" i="159"/>
  <c r="I98" i="159"/>
  <c r="D98" i="159"/>
  <c r="J98" i="159"/>
  <c r="E98" i="159"/>
  <c r="K98" i="159"/>
  <c r="G98" i="159"/>
  <c r="F98" i="159"/>
  <c r="C98" i="159"/>
  <c r="I99" i="159"/>
  <c r="D99" i="159"/>
  <c r="J99" i="159"/>
  <c r="E99" i="159"/>
  <c r="K99" i="159"/>
  <c r="G99" i="159"/>
  <c r="F99" i="159"/>
  <c r="C99" i="159"/>
  <c r="I100" i="159"/>
  <c r="D100" i="159"/>
  <c r="J100" i="159"/>
  <c r="E100" i="159"/>
  <c r="K100" i="159"/>
  <c r="G100" i="159"/>
  <c r="F100" i="159"/>
  <c r="C100" i="159"/>
  <c r="I101" i="159"/>
  <c r="D101" i="159"/>
  <c r="J101" i="159"/>
  <c r="E101" i="159"/>
  <c r="K101" i="159"/>
  <c r="G101" i="159"/>
  <c r="F101" i="159"/>
  <c r="C101" i="159"/>
  <c r="I102" i="159"/>
  <c r="D102" i="159"/>
  <c r="J102" i="159"/>
  <c r="E102" i="159"/>
  <c r="K102" i="159"/>
  <c r="G102" i="159"/>
  <c r="F102" i="159"/>
  <c r="C102" i="159"/>
  <c r="I103" i="159"/>
  <c r="D103" i="159"/>
  <c r="J103" i="159"/>
  <c r="E103" i="159"/>
  <c r="K103" i="159"/>
  <c r="G103" i="159"/>
  <c r="F103" i="159"/>
  <c r="C103" i="159"/>
  <c r="I104" i="159"/>
  <c r="D104" i="159"/>
  <c r="J104" i="159"/>
  <c r="E104" i="159"/>
  <c r="K104" i="159"/>
  <c r="G104" i="159"/>
  <c r="F104" i="159"/>
  <c r="C104" i="159"/>
  <c r="I105" i="159"/>
  <c r="D105" i="159"/>
  <c r="J105" i="159"/>
  <c r="E105" i="159"/>
  <c r="K105" i="159"/>
  <c r="G105" i="159"/>
  <c r="F105" i="159"/>
  <c r="C105" i="159"/>
  <c r="I106" i="159"/>
  <c r="D106" i="159"/>
  <c r="J106" i="159"/>
  <c r="E106" i="159"/>
  <c r="K106" i="159"/>
  <c r="G106" i="159"/>
  <c r="F106" i="159"/>
  <c r="C106" i="159"/>
  <c r="I107" i="159"/>
  <c r="D107" i="159"/>
  <c r="J107" i="159"/>
  <c r="E107" i="159"/>
  <c r="K107" i="159"/>
  <c r="G107" i="159"/>
  <c r="F107" i="159"/>
  <c r="C107" i="159"/>
  <c r="I108" i="159"/>
  <c r="D108" i="159"/>
  <c r="J108" i="159"/>
  <c r="E108" i="159"/>
  <c r="K108" i="159"/>
  <c r="G108" i="159"/>
  <c r="F108" i="159"/>
  <c r="C108" i="159"/>
  <c r="I109" i="159"/>
  <c r="D109" i="159"/>
  <c r="J109" i="159"/>
  <c r="E109" i="159"/>
  <c r="K109" i="159"/>
  <c r="G109" i="159"/>
  <c r="F109" i="159"/>
  <c r="C109" i="159"/>
  <c r="I110" i="159"/>
  <c r="D110" i="159"/>
  <c r="J110" i="159"/>
  <c r="E110" i="159"/>
  <c r="K110" i="159"/>
  <c r="G110" i="159"/>
  <c r="F110" i="159"/>
  <c r="C110" i="159"/>
  <c r="I111" i="159"/>
  <c r="D111" i="159"/>
  <c r="J111" i="159"/>
  <c r="E111" i="159"/>
  <c r="K111" i="159"/>
  <c r="G111" i="159"/>
  <c r="F111" i="159"/>
  <c r="C111" i="159"/>
  <c r="I112" i="159"/>
  <c r="D112" i="159"/>
  <c r="J112" i="159"/>
  <c r="E112" i="159"/>
  <c r="K112" i="159"/>
  <c r="G112" i="159"/>
  <c r="F112" i="159"/>
  <c r="C112" i="159"/>
  <c r="I113" i="159"/>
  <c r="D113" i="159"/>
  <c r="J113" i="159"/>
  <c r="E113" i="159"/>
  <c r="K113" i="159"/>
  <c r="G113" i="159"/>
  <c r="F113" i="159"/>
  <c r="C113" i="159"/>
  <c r="I114" i="159"/>
  <c r="D114" i="159"/>
  <c r="J114" i="159"/>
  <c r="E114" i="159"/>
  <c r="K114" i="159"/>
  <c r="G114" i="159"/>
  <c r="F114" i="159"/>
  <c r="C114" i="159"/>
  <c r="I115" i="159"/>
  <c r="D115" i="159"/>
  <c r="J115" i="159"/>
  <c r="E115" i="159"/>
  <c r="K115" i="159"/>
  <c r="G115" i="159"/>
  <c r="F115" i="159"/>
  <c r="C115" i="159"/>
  <c r="I116" i="159"/>
  <c r="D116" i="159"/>
  <c r="J116" i="159"/>
  <c r="E116" i="159"/>
  <c r="K116" i="159"/>
  <c r="G116" i="159"/>
  <c r="F116" i="159"/>
  <c r="C116" i="159"/>
  <c r="I117" i="159"/>
  <c r="D117" i="159"/>
  <c r="J117" i="159"/>
  <c r="E117" i="159"/>
  <c r="K117" i="159"/>
  <c r="G117" i="159"/>
  <c r="F117" i="159"/>
  <c r="C117" i="159"/>
  <c r="I118" i="159"/>
  <c r="D118" i="159"/>
  <c r="J118" i="159"/>
  <c r="E118" i="159"/>
  <c r="K118" i="159"/>
  <c r="G118" i="159"/>
  <c r="F118" i="159"/>
  <c r="C118" i="159"/>
  <c r="I119" i="159"/>
  <c r="D119" i="159"/>
  <c r="J119" i="159"/>
  <c r="E119" i="159"/>
  <c r="K119" i="159"/>
  <c r="G119" i="159"/>
  <c r="F119" i="159"/>
  <c r="C119" i="159"/>
  <c r="I120" i="159"/>
  <c r="D120" i="159"/>
  <c r="J120" i="159"/>
  <c r="E120" i="159"/>
  <c r="K120" i="159"/>
  <c r="G120" i="159"/>
  <c r="F120" i="159"/>
  <c r="C120" i="159"/>
  <c r="I121" i="159"/>
  <c r="D121" i="159"/>
  <c r="J121" i="159"/>
  <c r="E121" i="159"/>
  <c r="K121" i="159"/>
  <c r="G121" i="159"/>
  <c r="F121" i="159"/>
  <c r="C121" i="159"/>
  <c r="I122" i="159"/>
  <c r="D122" i="159"/>
  <c r="J122" i="159"/>
  <c r="E122" i="159"/>
  <c r="K122" i="159"/>
  <c r="G122" i="159"/>
  <c r="F122" i="159"/>
  <c r="C122" i="159"/>
  <c r="I123" i="159"/>
  <c r="D123" i="159"/>
  <c r="J123" i="159"/>
  <c r="E123" i="159"/>
  <c r="K123" i="159"/>
  <c r="G123" i="159"/>
  <c r="F123" i="159"/>
  <c r="C123" i="159"/>
  <c r="I124" i="159"/>
  <c r="D124" i="159"/>
  <c r="J124" i="159"/>
  <c r="E124" i="159"/>
  <c r="K124" i="159"/>
  <c r="G124" i="159"/>
  <c r="F124" i="159"/>
  <c r="C124" i="159"/>
  <c r="I125" i="159"/>
  <c r="D125" i="159"/>
  <c r="J125" i="159"/>
  <c r="E125" i="159"/>
  <c r="K125" i="159"/>
  <c r="G125" i="159"/>
  <c r="F125" i="159"/>
  <c r="C125" i="159"/>
  <c r="I126" i="159"/>
  <c r="D126" i="159"/>
  <c r="J126" i="159"/>
  <c r="E126" i="159"/>
  <c r="K126" i="159"/>
  <c r="G126" i="159"/>
  <c r="F126" i="159"/>
  <c r="C126" i="159"/>
  <c r="I127" i="159"/>
  <c r="D127" i="159"/>
  <c r="J127" i="159"/>
  <c r="E127" i="159"/>
  <c r="K127" i="159"/>
  <c r="G127" i="159"/>
  <c r="F127" i="159"/>
  <c r="C127" i="159"/>
  <c r="I128" i="159"/>
  <c r="D128" i="159"/>
  <c r="J128" i="159"/>
  <c r="E128" i="159"/>
  <c r="K128" i="159"/>
  <c r="G128" i="159"/>
  <c r="F128" i="159"/>
  <c r="C128" i="159"/>
  <c r="I129" i="159"/>
  <c r="D129" i="159"/>
  <c r="J129" i="159"/>
  <c r="E129" i="159"/>
  <c r="K129" i="159"/>
  <c r="G129" i="159"/>
  <c r="F129" i="159"/>
  <c r="C129" i="159"/>
  <c r="I130" i="159"/>
  <c r="D130" i="159"/>
  <c r="J130" i="159"/>
  <c r="E130" i="159"/>
  <c r="K130" i="159"/>
  <c r="G130" i="159"/>
  <c r="F130" i="159"/>
  <c r="C130" i="159"/>
  <c r="I131" i="159"/>
  <c r="D131" i="159"/>
  <c r="J131" i="159"/>
  <c r="E131" i="159"/>
  <c r="K131" i="159"/>
  <c r="G131" i="159"/>
  <c r="F131" i="159"/>
  <c r="C131" i="159"/>
  <c r="I132" i="159"/>
  <c r="D132" i="159"/>
  <c r="J132" i="159"/>
  <c r="E132" i="159"/>
  <c r="K132" i="159"/>
  <c r="G132" i="159"/>
  <c r="F132" i="159"/>
  <c r="C132" i="159"/>
  <c r="I133" i="159"/>
  <c r="D133" i="159"/>
  <c r="J133" i="159"/>
  <c r="E133" i="159"/>
  <c r="K133" i="159"/>
  <c r="G133" i="159"/>
  <c r="F133" i="159"/>
  <c r="C133" i="159"/>
  <c r="I134" i="159"/>
  <c r="D134" i="159"/>
  <c r="J134" i="159"/>
  <c r="E134" i="159"/>
  <c r="K134" i="159"/>
  <c r="G134" i="159"/>
  <c r="F134" i="159"/>
  <c r="C134" i="159"/>
  <c r="I135" i="159"/>
  <c r="D135" i="159"/>
  <c r="J135" i="159"/>
  <c r="E135" i="159"/>
  <c r="K135" i="159"/>
  <c r="G135" i="159"/>
  <c r="F135" i="159"/>
  <c r="C135" i="159"/>
  <c r="I136" i="159"/>
  <c r="D136" i="159"/>
  <c r="J136" i="159"/>
  <c r="E136" i="159"/>
  <c r="K136" i="159"/>
  <c r="G136" i="159"/>
  <c r="F136" i="159"/>
  <c r="C136" i="159"/>
  <c r="I137" i="159"/>
  <c r="D137" i="159"/>
  <c r="J137" i="159"/>
  <c r="E137" i="159"/>
  <c r="K137" i="159"/>
  <c r="G137" i="159"/>
  <c r="F137" i="159"/>
  <c r="C137" i="159"/>
  <c r="I138" i="159"/>
  <c r="D138" i="159"/>
  <c r="J138" i="159"/>
  <c r="E138" i="159"/>
  <c r="K138" i="159"/>
  <c r="G138" i="159"/>
  <c r="F138" i="159"/>
  <c r="C138" i="159"/>
  <c r="I139" i="159"/>
  <c r="D139" i="159"/>
  <c r="J139" i="159"/>
  <c r="E139" i="159"/>
  <c r="K139" i="159"/>
  <c r="G139" i="159"/>
  <c r="F139" i="159"/>
  <c r="C139" i="159"/>
  <c r="I140" i="159"/>
  <c r="D140" i="159"/>
  <c r="J140" i="159"/>
  <c r="E140" i="159"/>
  <c r="K140" i="159"/>
  <c r="G140" i="159"/>
  <c r="F140" i="159"/>
  <c r="C140" i="159"/>
  <c r="I141" i="159"/>
  <c r="D141" i="159"/>
  <c r="J141" i="159"/>
  <c r="E141" i="159"/>
  <c r="K141" i="159"/>
  <c r="G141" i="159"/>
  <c r="F141" i="159"/>
  <c r="C141" i="159"/>
  <c r="I142" i="159"/>
  <c r="D142" i="159"/>
  <c r="J142" i="159"/>
  <c r="E142" i="159"/>
  <c r="K142" i="159"/>
  <c r="G142" i="159"/>
  <c r="F142" i="159"/>
  <c r="C142" i="159"/>
  <c r="I143" i="159"/>
  <c r="D143" i="159"/>
  <c r="J143" i="159"/>
  <c r="E143" i="159"/>
  <c r="K143" i="159"/>
  <c r="G143" i="159"/>
  <c r="F143" i="159"/>
  <c r="C143" i="159"/>
  <c r="I144" i="159"/>
  <c r="D144" i="159"/>
  <c r="J144" i="159"/>
  <c r="E144" i="159"/>
  <c r="K144" i="159"/>
  <c r="G144" i="159"/>
  <c r="F144" i="159"/>
  <c r="C144" i="159"/>
  <c r="I145" i="159"/>
  <c r="D145" i="159"/>
  <c r="J145" i="159"/>
  <c r="E145" i="159"/>
  <c r="K145" i="159"/>
  <c r="G145" i="159"/>
  <c r="F145" i="159"/>
  <c r="C145" i="159"/>
  <c r="I146" i="159"/>
  <c r="D146" i="159"/>
  <c r="J146" i="159"/>
  <c r="E146" i="159"/>
  <c r="K146" i="159"/>
  <c r="G146" i="159"/>
  <c r="F146" i="159"/>
  <c r="C146" i="159"/>
  <c r="I147" i="159"/>
  <c r="D147" i="159"/>
  <c r="J147" i="159"/>
  <c r="E147" i="159"/>
  <c r="K147" i="159"/>
  <c r="G147" i="159"/>
  <c r="F147" i="159"/>
  <c r="C147" i="159"/>
  <c r="I148" i="159"/>
  <c r="D148" i="159"/>
  <c r="J148" i="159"/>
  <c r="E148" i="159"/>
  <c r="K148" i="159"/>
  <c r="G148" i="159"/>
  <c r="F148" i="159"/>
  <c r="C148" i="159"/>
  <c r="I149" i="159"/>
  <c r="D149" i="159"/>
  <c r="J149" i="159"/>
  <c r="E149" i="159"/>
  <c r="K149" i="159"/>
  <c r="G149" i="159"/>
  <c r="F149" i="159"/>
  <c r="C149" i="159"/>
  <c r="I150" i="159"/>
  <c r="D150" i="159"/>
  <c r="J150" i="159"/>
  <c r="E150" i="159"/>
  <c r="K150" i="159"/>
  <c r="G150" i="159"/>
  <c r="F150" i="159"/>
  <c r="C150" i="159"/>
  <c r="I151" i="159"/>
  <c r="D151" i="159"/>
  <c r="J151" i="159"/>
  <c r="E151" i="159"/>
  <c r="K151" i="159"/>
  <c r="G151" i="159"/>
  <c r="F151" i="159"/>
  <c r="C151" i="159"/>
  <c r="I152" i="159"/>
  <c r="D152" i="159"/>
  <c r="J152" i="159"/>
  <c r="E152" i="159"/>
  <c r="K152" i="159"/>
  <c r="G152" i="159"/>
  <c r="F152" i="159"/>
  <c r="C152" i="159"/>
  <c r="I153" i="159"/>
  <c r="D153" i="159"/>
  <c r="J153" i="159"/>
  <c r="E153" i="159"/>
  <c r="K153" i="159"/>
  <c r="G153" i="159"/>
  <c r="F153" i="159"/>
  <c r="C153" i="159"/>
  <c r="I154" i="159"/>
  <c r="D154" i="159"/>
  <c r="J154" i="159"/>
  <c r="E154" i="159"/>
  <c r="K154" i="159"/>
  <c r="G154" i="159"/>
  <c r="F154" i="159"/>
  <c r="C154" i="159"/>
  <c r="I155" i="159"/>
  <c r="D155" i="159"/>
  <c r="J155" i="159"/>
  <c r="E155" i="159"/>
  <c r="K155" i="159"/>
  <c r="G155" i="159"/>
  <c r="F155" i="159"/>
  <c r="C155" i="159"/>
  <c r="I156" i="159"/>
  <c r="D156" i="159"/>
  <c r="J156" i="159"/>
  <c r="E156" i="159"/>
  <c r="K156" i="159"/>
  <c r="G156" i="159"/>
  <c r="F156" i="159"/>
  <c r="C156" i="159"/>
  <c r="I157" i="159"/>
  <c r="D157" i="159"/>
  <c r="J157" i="159"/>
  <c r="E157" i="159"/>
  <c r="K157" i="159"/>
  <c r="G157" i="159"/>
  <c r="F157" i="159"/>
  <c r="C157" i="159"/>
  <c r="I158" i="159"/>
  <c r="D158" i="159"/>
  <c r="J158" i="159"/>
  <c r="E158" i="159"/>
  <c r="K158" i="159"/>
  <c r="G158" i="159"/>
  <c r="F158" i="159"/>
  <c r="C158" i="159"/>
  <c r="I159" i="159"/>
  <c r="D159" i="159"/>
  <c r="J159" i="159"/>
  <c r="E159" i="159"/>
  <c r="K159" i="159"/>
  <c r="G159" i="159"/>
  <c r="F159" i="159"/>
  <c r="C159" i="159"/>
  <c r="I160" i="159"/>
  <c r="D160" i="159"/>
  <c r="J160" i="159"/>
  <c r="E160" i="159"/>
  <c r="K160" i="159"/>
  <c r="G160" i="159"/>
  <c r="F160" i="159"/>
  <c r="C160" i="159"/>
  <c r="I161" i="159"/>
  <c r="D161" i="159"/>
  <c r="J161" i="159"/>
  <c r="E161" i="159"/>
  <c r="K161" i="159"/>
  <c r="G161" i="159"/>
  <c r="F161" i="159"/>
  <c r="C161" i="159"/>
  <c r="I162" i="159"/>
  <c r="D162" i="159"/>
  <c r="J162" i="159"/>
  <c r="E162" i="159"/>
  <c r="K162" i="159"/>
  <c r="G162" i="159"/>
  <c r="F162" i="159"/>
  <c r="C162" i="159"/>
  <c r="I163" i="159"/>
  <c r="D163" i="159"/>
  <c r="J163" i="159"/>
  <c r="E163" i="159"/>
  <c r="K163" i="159"/>
  <c r="G163" i="159"/>
  <c r="F163" i="159"/>
  <c r="C163" i="159"/>
  <c r="I164" i="159"/>
  <c r="D164" i="159"/>
  <c r="J164" i="159"/>
  <c r="E164" i="159"/>
  <c r="K164" i="159"/>
  <c r="G164" i="159"/>
  <c r="F164" i="159"/>
  <c r="C164" i="159"/>
  <c r="I165" i="159"/>
  <c r="D165" i="159"/>
  <c r="J165" i="159"/>
  <c r="E165" i="159"/>
  <c r="K165" i="159"/>
  <c r="G165" i="159"/>
  <c r="F165" i="159"/>
  <c r="C165" i="159"/>
  <c r="I166" i="159"/>
  <c r="D166" i="159"/>
  <c r="J166" i="159"/>
  <c r="E166" i="159"/>
  <c r="K166" i="159"/>
  <c r="G166" i="159"/>
  <c r="F166" i="159"/>
  <c r="C166" i="159"/>
  <c r="I167" i="159"/>
  <c r="D167" i="159"/>
  <c r="J167" i="159"/>
  <c r="E167" i="159"/>
  <c r="K167" i="159"/>
  <c r="G167" i="159"/>
  <c r="F167" i="159"/>
  <c r="C167" i="159"/>
  <c r="I168" i="159"/>
  <c r="D168" i="159"/>
  <c r="J168" i="159"/>
  <c r="E168" i="159"/>
  <c r="K168" i="159"/>
  <c r="G168" i="159"/>
  <c r="F168" i="159"/>
  <c r="C168" i="159"/>
  <c r="I169" i="159"/>
  <c r="D169" i="159"/>
  <c r="J169" i="159"/>
  <c r="E169" i="159"/>
  <c r="K169" i="159"/>
  <c r="G169" i="159"/>
  <c r="F169" i="159"/>
  <c r="C169" i="159"/>
  <c r="I170" i="159"/>
  <c r="D170" i="159"/>
  <c r="J170" i="159"/>
  <c r="E170" i="159"/>
  <c r="K170" i="159"/>
  <c r="G170" i="159"/>
  <c r="F170" i="159"/>
  <c r="C170" i="159"/>
  <c r="I171" i="159"/>
  <c r="D171" i="159"/>
  <c r="J171" i="159"/>
  <c r="E171" i="159"/>
  <c r="K171" i="159"/>
  <c r="G171" i="159"/>
  <c r="F171" i="159"/>
  <c r="C171" i="159"/>
  <c r="I172" i="159"/>
  <c r="D172" i="159"/>
  <c r="J172" i="159"/>
  <c r="E172" i="159"/>
  <c r="K172" i="159"/>
  <c r="G172" i="159"/>
  <c r="F172" i="159"/>
  <c r="C172" i="159"/>
  <c r="I173" i="159"/>
  <c r="D173" i="159"/>
  <c r="J173" i="159"/>
  <c r="E173" i="159"/>
  <c r="K173" i="159"/>
  <c r="G173" i="159"/>
  <c r="F173" i="159"/>
  <c r="C173" i="159"/>
  <c r="I174" i="159"/>
  <c r="D174" i="159"/>
  <c r="J174" i="159"/>
  <c r="E174" i="159"/>
  <c r="K174" i="159"/>
  <c r="G174" i="159"/>
  <c r="F174" i="159"/>
  <c r="C174" i="159"/>
  <c r="I175" i="159"/>
  <c r="D175" i="159"/>
  <c r="J175" i="159"/>
  <c r="E175" i="159"/>
  <c r="K175" i="159"/>
  <c r="G175" i="159"/>
  <c r="F175" i="159"/>
  <c r="C175" i="159"/>
  <c r="I176" i="159"/>
  <c r="D176" i="159"/>
  <c r="J176" i="159"/>
  <c r="E176" i="159"/>
  <c r="K176" i="159"/>
  <c r="G176" i="159"/>
  <c r="F176" i="159"/>
  <c r="C176" i="159"/>
  <c r="I177" i="159"/>
  <c r="D177" i="159"/>
  <c r="J177" i="159"/>
  <c r="E177" i="159"/>
  <c r="K177" i="159"/>
  <c r="G177" i="159"/>
  <c r="F177" i="159"/>
  <c r="C177" i="159"/>
  <c r="I178" i="159"/>
  <c r="D178" i="159"/>
  <c r="J178" i="159"/>
  <c r="E178" i="159"/>
  <c r="K178" i="159"/>
  <c r="G178" i="159"/>
  <c r="F178" i="159"/>
  <c r="C178" i="159"/>
  <c r="I179" i="159"/>
  <c r="D179" i="159"/>
  <c r="J179" i="159"/>
  <c r="E179" i="159"/>
  <c r="K179" i="159"/>
  <c r="G179" i="159"/>
  <c r="F179" i="159"/>
  <c r="C179" i="159"/>
  <c r="I180" i="159"/>
  <c r="D180" i="159"/>
  <c r="J180" i="159"/>
  <c r="E180" i="159"/>
  <c r="K180" i="159"/>
  <c r="G180" i="159"/>
  <c r="F180" i="159"/>
  <c r="C180" i="159"/>
  <c r="I181" i="159"/>
  <c r="D181" i="159"/>
  <c r="J181" i="159"/>
  <c r="E181" i="159"/>
  <c r="K181" i="159"/>
  <c r="G181" i="159"/>
  <c r="F181" i="159"/>
  <c r="C181" i="159"/>
  <c r="I182" i="159"/>
  <c r="D182" i="159"/>
  <c r="J182" i="159"/>
  <c r="E182" i="159"/>
  <c r="K182" i="159"/>
  <c r="G182" i="159"/>
  <c r="F182" i="159"/>
  <c r="C182" i="159"/>
  <c r="I183" i="159"/>
  <c r="D183" i="159"/>
  <c r="J183" i="159"/>
  <c r="E183" i="159"/>
  <c r="K183" i="159"/>
  <c r="G183" i="159"/>
  <c r="F183" i="159"/>
  <c r="C183" i="159"/>
  <c r="I184" i="159"/>
  <c r="D184" i="159"/>
  <c r="J184" i="159"/>
  <c r="E184" i="159"/>
  <c r="K184" i="159"/>
  <c r="G184" i="159"/>
  <c r="F184" i="159"/>
  <c r="C184" i="159"/>
  <c r="I185" i="159"/>
  <c r="D185" i="159"/>
  <c r="J185" i="159"/>
  <c r="E185" i="159"/>
  <c r="K185" i="159"/>
  <c r="G185" i="159"/>
  <c r="F185" i="159"/>
  <c r="C185" i="159"/>
  <c r="I186" i="159"/>
  <c r="D186" i="159"/>
  <c r="J186" i="159"/>
  <c r="E186" i="159"/>
  <c r="K186" i="159"/>
  <c r="G186" i="159"/>
  <c r="F186" i="159"/>
  <c r="C186" i="159"/>
  <c r="I187" i="159"/>
  <c r="D187" i="159"/>
  <c r="J187" i="159"/>
  <c r="E187" i="159"/>
  <c r="K187" i="159"/>
  <c r="G187" i="159"/>
  <c r="F187" i="159"/>
  <c r="C187" i="159"/>
  <c r="I188" i="159"/>
  <c r="D188" i="159"/>
  <c r="J188" i="159"/>
  <c r="E188" i="159"/>
  <c r="K188" i="159"/>
  <c r="G188" i="159"/>
  <c r="F188" i="159"/>
  <c r="C188" i="159"/>
  <c r="I189" i="159"/>
  <c r="D189" i="159"/>
  <c r="J189" i="159"/>
  <c r="E189" i="159"/>
  <c r="K189" i="159"/>
  <c r="G189" i="159"/>
  <c r="F189" i="159"/>
  <c r="C189" i="159"/>
  <c r="I190" i="159"/>
  <c r="D190" i="159"/>
  <c r="J190" i="159"/>
  <c r="E190" i="159"/>
  <c r="K190" i="159"/>
  <c r="G190" i="159"/>
  <c r="F190" i="159"/>
  <c r="C190" i="159"/>
  <c r="I191" i="159"/>
  <c r="D191" i="159"/>
  <c r="J191" i="159"/>
  <c r="E191" i="159"/>
  <c r="K191" i="159"/>
  <c r="G191" i="159"/>
  <c r="F191" i="159"/>
  <c r="C191" i="159"/>
  <c r="I192" i="159"/>
  <c r="D192" i="159"/>
  <c r="J192" i="159"/>
  <c r="E192" i="159"/>
  <c r="K192" i="159"/>
  <c r="G192" i="159"/>
  <c r="F192" i="159"/>
  <c r="C192" i="159"/>
  <c r="I193" i="159"/>
  <c r="D193" i="159"/>
  <c r="J193" i="159"/>
  <c r="E193" i="159"/>
  <c r="K193" i="159"/>
  <c r="G193" i="159"/>
  <c r="F193" i="159"/>
  <c r="C193" i="159"/>
  <c r="I194" i="159"/>
  <c r="D194" i="159"/>
  <c r="J194" i="159"/>
  <c r="E194" i="159"/>
  <c r="K194" i="159"/>
  <c r="G194" i="159"/>
  <c r="F194" i="159"/>
  <c r="C194" i="159"/>
  <c r="I195" i="159"/>
  <c r="D195" i="159"/>
  <c r="J195" i="159"/>
  <c r="E195" i="159"/>
  <c r="K195" i="159"/>
  <c r="G195" i="159"/>
  <c r="F195" i="159"/>
  <c r="C195" i="159"/>
  <c r="I196" i="159"/>
  <c r="D196" i="159"/>
  <c r="J196" i="159"/>
  <c r="E196" i="159"/>
  <c r="K196" i="159"/>
  <c r="G196" i="159"/>
  <c r="F196" i="159"/>
  <c r="C196" i="159"/>
  <c r="I197" i="159"/>
  <c r="D197" i="159"/>
  <c r="J197" i="159"/>
  <c r="E197" i="159"/>
  <c r="K197" i="159"/>
  <c r="G197" i="159"/>
  <c r="F197" i="159"/>
  <c r="C197" i="159"/>
  <c r="I198" i="159"/>
  <c r="D198" i="159"/>
  <c r="J198" i="159"/>
  <c r="E198" i="159"/>
  <c r="K198" i="159"/>
  <c r="G198" i="159"/>
  <c r="F198" i="159"/>
  <c r="C198" i="159"/>
  <c r="I199" i="159"/>
  <c r="D199" i="159"/>
  <c r="J199" i="159"/>
  <c r="E199" i="159"/>
  <c r="K199" i="159"/>
  <c r="G199" i="159"/>
  <c r="F199" i="159"/>
  <c r="C199" i="159"/>
  <c r="I200" i="159"/>
  <c r="D200" i="159"/>
  <c r="J200" i="159"/>
  <c r="E200" i="159"/>
  <c r="K200" i="159"/>
  <c r="G200" i="159"/>
  <c r="F200" i="159"/>
  <c r="C200" i="159"/>
  <c r="I201" i="159"/>
  <c r="D201" i="159"/>
  <c r="J201" i="159"/>
  <c r="E201" i="159"/>
  <c r="K201" i="159"/>
  <c r="G201" i="159"/>
  <c r="F201" i="159"/>
  <c r="C201" i="159"/>
  <c r="I202" i="159"/>
  <c r="D202" i="159"/>
  <c r="J202" i="159"/>
  <c r="E202" i="159"/>
  <c r="K202" i="159"/>
  <c r="G202" i="159"/>
  <c r="F202" i="159"/>
  <c r="C202" i="159"/>
  <c r="I203" i="159"/>
  <c r="D203" i="159"/>
  <c r="J203" i="159"/>
  <c r="E203" i="159"/>
  <c r="K203" i="159"/>
  <c r="G203" i="159"/>
  <c r="F203" i="159"/>
  <c r="C203" i="159"/>
  <c r="I204" i="159"/>
  <c r="D204" i="159"/>
  <c r="J204" i="159"/>
  <c r="E204" i="159"/>
  <c r="K204" i="159"/>
  <c r="G204" i="159"/>
  <c r="F204" i="159"/>
  <c r="C204" i="159"/>
  <c r="I205" i="159"/>
  <c r="D205" i="159"/>
  <c r="J205" i="159"/>
  <c r="E205" i="159"/>
  <c r="K205" i="159"/>
  <c r="G205" i="159"/>
  <c r="F205" i="159"/>
  <c r="C205" i="159"/>
  <c r="I206" i="159"/>
  <c r="D206" i="159"/>
  <c r="J206" i="159"/>
  <c r="E206" i="159"/>
  <c r="K206" i="159"/>
  <c r="G206" i="159"/>
  <c r="F206" i="159"/>
  <c r="C206" i="159"/>
  <c r="I207" i="159"/>
  <c r="D207" i="159"/>
  <c r="J207" i="159"/>
  <c r="E207" i="159"/>
  <c r="K207" i="159"/>
  <c r="G207" i="159"/>
  <c r="F207" i="159"/>
  <c r="C207" i="159"/>
  <c r="I208" i="159"/>
  <c r="D208" i="159"/>
  <c r="J208" i="159"/>
  <c r="E208" i="159"/>
  <c r="K208" i="159"/>
  <c r="G208" i="159"/>
  <c r="F208" i="159"/>
  <c r="C208" i="159"/>
  <c r="I209" i="159"/>
  <c r="D209" i="159"/>
  <c r="J209" i="159"/>
  <c r="E209" i="159"/>
  <c r="K209" i="159"/>
  <c r="G209" i="159"/>
  <c r="F209" i="159"/>
  <c r="C209" i="159"/>
  <c r="I210" i="159"/>
  <c r="D210" i="159"/>
  <c r="J210" i="159"/>
  <c r="E210" i="159"/>
  <c r="K210" i="159"/>
  <c r="G210" i="159"/>
  <c r="F210" i="159"/>
  <c r="C210" i="159"/>
  <c r="I211" i="159"/>
  <c r="D211" i="159"/>
  <c r="J211" i="159"/>
  <c r="E211" i="159"/>
  <c r="K211" i="159"/>
  <c r="G211" i="159"/>
  <c r="F211" i="159"/>
  <c r="C211" i="159"/>
  <c r="I212" i="159"/>
  <c r="D212" i="159"/>
  <c r="J212" i="159"/>
  <c r="E212" i="159"/>
  <c r="K212" i="159"/>
  <c r="G212" i="159"/>
  <c r="F212" i="159"/>
  <c r="C212" i="159"/>
  <c r="I213" i="159"/>
  <c r="D213" i="159"/>
  <c r="J213" i="159"/>
  <c r="E213" i="159"/>
  <c r="K213" i="159"/>
  <c r="G213" i="159"/>
  <c r="F213" i="159"/>
  <c r="C213" i="159"/>
  <c r="I214" i="159"/>
  <c r="D214" i="159"/>
  <c r="J214" i="159"/>
  <c r="E214" i="159"/>
  <c r="K214" i="159"/>
  <c r="G214" i="159"/>
  <c r="F214" i="159"/>
  <c r="C214" i="159"/>
  <c r="I215" i="159"/>
  <c r="J215" i="159"/>
  <c r="D215" i="159"/>
  <c r="E215" i="159"/>
  <c r="K215" i="159"/>
  <c r="G215" i="159"/>
  <c r="F215" i="159"/>
  <c r="C215" i="159"/>
  <c r="I216" i="159"/>
  <c r="J216" i="159"/>
  <c r="D216" i="159"/>
  <c r="E216" i="159"/>
  <c r="K216" i="159"/>
  <c r="G216" i="159"/>
  <c r="F216" i="159"/>
  <c r="C216" i="159"/>
  <c r="I217" i="159"/>
  <c r="J217" i="159"/>
  <c r="D217" i="159"/>
  <c r="E217" i="159"/>
  <c r="K217" i="159"/>
  <c r="G217" i="159"/>
  <c r="F217" i="159"/>
  <c r="C217" i="159"/>
  <c r="I218" i="159"/>
  <c r="J218" i="159"/>
  <c r="D218" i="159"/>
  <c r="E218" i="159"/>
  <c r="K218" i="159"/>
  <c r="G218" i="159"/>
  <c r="F218" i="159"/>
  <c r="C218" i="159"/>
  <c r="I219" i="159"/>
  <c r="J219" i="159"/>
  <c r="D219" i="159"/>
  <c r="E219" i="159"/>
  <c r="K219" i="159"/>
  <c r="G219" i="159"/>
  <c r="F219" i="159"/>
  <c r="C219" i="159"/>
  <c r="I220" i="159"/>
  <c r="J220" i="159"/>
  <c r="D220" i="159"/>
  <c r="E220" i="159"/>
  <c r="K220" i="159"/>
  <c r="G220" i="159"/>
  <c r="F220" i="159"/>
  <c r="C220" i="159"/>
  <c r="I221" i="159"/>
  <c r="D221" i="159"/>
  <c r="J221" i="159"/>
  <c r="E221" i="159"/>
  <c r="K221" i="159"/>
  <c r="G221" i="159"/>
  <c r="F221" i="159"/>
  <c r="C221" i="159"/>
  <c r="I222" i="159"/>
  <c r="D222" i="159"/>
  <c r="J222" i="159"/>
  <c r="E222" i="159"/>
  <c r="K222" i="159"/>
  <c r="G222" i="159"/>
  <c r="F222" i="159"/>
  <c r="C222" i="159"/>
  <c r="I223" i="159"/>
  <c r="D223" i="159"/>
  <c r="J223" i="159"/>
  <c r="E223" i="159"/>
  <c r="K223" i="159"/>
  <c r="G223" i="159"/>
  <c r="F223" i="159"/>
  <c r="C223" i="159"/>
  <c r="I224" i="159"/>
  <c r="D224" i="159"/>
  <c r="J224" i="159"/>
  <c r="E224" i="159"/>
  <c r="K224" i="159"/>
  <c r="G224" i="159"/>
  <c r="F224" i="159"/>
  <c r="C224" i="159"/>
  <c r="I225" i="159"/>
  <c r="D225" i="159"/>
  <c r="J225" i="159"/>
  <c r="E225" i="159"/>
  <c r="K225" i="159"/>
  <c r="G225" i="159"/>
  <c r="F225" i="159"/>
  <c r="C225" i="159"/>
  <c r="I226" i="159"/>
  <c r="D226" i="159"/>
  <c r="J226" i="159"/>
  <c r="E226" i="159"/>
  <c r="K226" i="159"/>
  <c r="G226" i="159"/>
  <c r="F226" i="159"/>
  <c r="C226" i="159"/>
  <c r="I227" i="159"/>
  <c r="D227" i="159"/>
  <c r="J227" i="159"/>
  <c r="E227" i="159"/>
  <c r="K227" i="159"/>
  <c r="G227" i="159"/>
  <c r="F227" i="159"/>
  <c r="C227" i="159"/>
  <c r="I228" i="159"/>
  <c r="D228" i="159"/>
  <c r="J228" i="159"/>
  <c r="E228" i="159"/>
  <c r="K228" i="159"/>
  <c r="G228" i="159"/>
  <c r="F228" i="159"/>
  <c r="C228" i="159"/>
  <c r="I229" i="159"/>
  <c r="D229" i="159"/>
  <c r="J229" i="159"/>
  <c r="E229" i="159"/>
  <c r="K229" i="159"/>
  <c r="G229" i="159"/>
  <c r="F229" i="159"/>
  <c r="C229" i="159"/>
  <c r="I230" i="159"/>
  <c r="D230" i="159"/>
  <c r="J230" i="159"/>
  <c r="E230" i="159"/>
  <c r="K230" i="159"/>
  <c r="G230" i="159"/>
  <c r="F230" i="159"/>
  <c r="C230" i="159"/>
  <c r="I231" i="159"/>
  <c r="D231" i="159"/>
  <c r="J231" i="159"/>
  <c r="E231" i="159"/>
  <c r="K231" i="159"/>
  <c r="G231" i="159"/>
  <c r="F231" i="159"/>
  <c r="C231" i="159"/>
  <c r="I232" i="159"/>
  <c r="D232" i="159"/>
  <c r="J232" i="159"/>
  <c r="E232" i="159"/>
  <c r="K232" i="159"/>
  <c r="G232" i="159"/>
  <c r="F232" i="159"/>
  <c r="C232" i="159"/>
  <c r="I233" i="159"/>
  <c r="D233" i="159"/>
  <c r="J233" i="159"/>
  <c r="E233" i="159"/>
  <c r="K233" i="159"/>
  <c r="G233" i="159"/>
  <c r="F233" i="159"/>
  <c r="C233" i="159"/>
  <c r="I234" i="159"/>
  <c r="D234" i="159"/>
  <c r="J234" i="159"/>
  <c r="E234" i="159"/>
  <c r="K234" i="159"/>
  <c r="G234" i="159"/>
  <c r="F234" i="159"/>
  <c r="C234" i="159"/>
  <c r="I235" i="159"/>
  <c r="D235" i="159"/>
  <c r="J235" i="159"/>
  <c r="E235" i="159"/>
  <c r="K235" i="159"/>
  <c r="G235" i="159"/>
  <c r="F235" i="159"/>
  <c r="C235" i="159"/>
  <c r="I236" i="159"/>
  <c r="D236" i="159"/>
  <c r="J236" i="159"/>
  <c r="E236" i="159"/>
  <c r="K236" i="159"/>
  <c r="G236" i="159"/>
  <c r="F236" i="159"/>
  <c r="C236" i="159"/>
  <c r="I237" i="159"/>
  <c r="D237" i="159"/>
  <c r="J237" i="159"/>
  <c r="E237" i="159"/>
  <c r="K237" i="159"/>
  <c r="G237" i="159"/>
  <c r="F237" i="159"/>
  <c r="C237" i="159"/>
  <c r="I238" i="159"/>
  <c r="D238" i="159"/>
  <c r="J238" i="159"/>
  <c r="E238" i="159"/>
  <c r="K238" i="159"/>
  <c r="G238" i="159"/>
  <c r="F238" i="159"/>
  <c r="C238" i="159"/>
  <c r="I239" i="159"/>
  <c r="D239" i="159"/>
  <c r="J239" i="159"/>
  <c r="E239" i="159"/>
  <c r="K239" i="159"/>
  <c r="G239" i="159"/>
  <c r="F239" i="159"/>
  <c r="C239" i="159"/>
  <c r="I240" i="159"/>
  <c r="D240" i="159"/>
  <c r="J240" i="159"/>
  <c r="E240" i="159"/>
  <c r="K240" i="159"/>
  <c r="G240" i="159"/>
  <c r="F240" i="159"/>
  <c r="C240" i="159"/>
  <c r="I241" i="159"/>
  <c r="D241" i="159"/>
  <c r="J241" i="159"/>
  <c r="E241" i="159"/>
  <c r="K241" i="159"/>
  <c r="G241" i="159"/>
  <c r="F241" i="159"/>
  <c r="C241" i="159"/>
  <c r="I242" i="159"/>
  <c r="D242" i="159"/>
  <c r="J242" i="159"/>
  <c r="E242" i="159"/>
  <c r="K242" i="159"/>
  <c r="G242" i="159"/>
  <c r="F242" i="159"/>
  <c r="C242" i="159"/>
  <c r="I243" i="159"/>
  <c r="D243" i="159"/>
  <c r="J243" i="159"/>
  <c r="E243" i="159"/>
  <c r="K243" i="159"/>
  <c r="G243" i="159"/>
  <c r="F243" i="159"/>
  <c r="C243" i="159"/>
  <c r="I244" i="159"/>
  <c r="D244" i="159"/>
  <c r="J244" i="159"/>
  <c r="E244" i="159"/>
  <c r="K244" i="159"/>
  <c r="G244" i="159"/>
  <c r="F244" i="159"/>
  <c r="C244" i="159"/>
  <c r="I245" i="159"/>
  <c r="D245" i="159"/>
  <c r="J245" i="159"/>
  <c r="E245" i="159"/>
  <c r="K245" i="159"/>
  <c r="G245" i="159"/>
  <c r="F245" i="159"/>
  <c r="C245" i="159"/>
  <c r="I246" i="159"/>
  <c r="D246" i="159"/>
  <c r="J246" i="159"/>
  <c r="E246" i="159"/>
  <c r="K246" i="159"/>
  <c r="G246" i="159"/>
  <c r="F246" i="159"/>
  <c r="C246" i="159"/>
  <c r="I247" i="159"/>
  <c r="D247" i="159"/>
  <c r="J247" i="159"/>
  <c r="E247" i="159"/>
  <c r="K247" i="159"/>
  <c r="G247" i="159"/>
  <c r="F247" i="159"/>
  <c r="C247" i="159"/>
  <c r="I248" i="159"/>
  <c r="D248" i="159"/>
  <c r="J248" i="159"/>
  <c r="E248" i="159"/>
  <c r="K248" i="159"/>
  <c r="G248" i="159"/>
  <c r="F248" i="159"/>
  <c r="C248" i="159"/>
  <c r="I249" i="159"/>
  <c r="D249" i="159"/>
  <c r="J249" i="159"/>
  <c r="E249" i="159"/>
  <c r="K249" i="159"/>
  <c r="G249" i="159"/>
  <c r="F249" i="159"/>
  <c r="C249" i="159"/>
  <c r="I250" i="159"/>
  <c r="D250" i="159"/>
  <c r="J250" i="159"/>
  <c r="E250" i="159"/>
  <c r="K250" i="159"/>
  <c r="G250" i="159"/>
  <c r="F250" i="159"/>
  <c r="C250" i="159"/>
  <c r="I251" i="159"/>
  <c r="D251" i="159"/>
  <c r="J251" i="159"/>
  <c r="E251" i="159"/>
  <c r="K251" i="159"/>
  <c r="G251" i="159"/>
  <c r="F251" i="159"/>
  <c r="C251" i="159"/>
  <c r="I252" i="159"/>
  <c r="D252" i="159"/>
  <c r="J252" i="159"/>
  <c r="E252" i="159"/>
  <c r="K252" i="159"/>
  <c r="G252" i="159"/>
  <c r="F252" i="159"/>
  <c r="C252" i="159"/>
  <c r="I253" i="159"/>
  <c r="D253" i="159"/>
  <c r="J253" i="159"/>
  <c r="E253" i="159"/>
  <c r="K253" i="159"/>
  <c r="G253" i="159"/>
  <c r="F253" i="159"/>
  <c r="C253" i="159"/>
  <c r="I254" i="159"/>
  <c r="D254" i="159"/>
  <c r="J254" i="159"/>
  <c r="E254" i="159"/>
  <c r="K254" i="159"/>
  <c r="G254" i="159"/>
  <c r="F254" i="159"/>
  <c r="C254" i="159"/>
  <c r="I255" i="159"/>
  <c r="D255" i="159"/>
  <c r="J255" i="159"/>
  <c r="E255" i="159"/>
  <c r="K255" i="159"/>
  <c r="G255" i="159"/>
  <c r="F255" i="159"/>
  <c r="C255" i="159"/>
  <c r="I256" i="159"/>
  <c r="D256" i="159"/>
  <c r="J256" i="159"/>
  <c r="E256" i="159"/>
  <c r="K256" i="159"/>
  <c r="G256" i="159"/>
  <c r="F256" i="159"/>
  <c r="C256" i="159"/>
  <c r="I257" i="159"/>
  <c r="D257" i="159"/>
  <c r="J257" i="159"/>
  <c r="E257" i="159"/>
  <c r="K257" i="159"/>
  <c r="G257" i="159"/>
  <c r="F257" i="159"/>
  <c r="C257" i="159"/>
  <c r="I258" i="159"/>
  <c r="D258" i="159"/>
  <c r="J258" i="159"/>
  <c r="E258" i="159"/>
  <c r="K258" i="159"/>
  <c r="G258" i="159"/>
  <c r="F258" i="159"/>
  <c r="C258" i="159"/>
  <c r="I259" i="159"/>
  <c r="D259" i="159"/>
  <c r="J259" i="159"/>
  <c r="E259" i="159"/>
  <c r="K259" i="159"/>
  <c r="G259" i="159"/>
  <c r="F259" i="159"/>
  <c r="C259" i="159"/>
  <c r="I260" i="159"/>
  <c r="D260" i="159"/>
  <c r="J260" i="159"/>
  <c r="E260" i="159"/>
  <c r="K260" i="159"/>
  <c r="G260" i="159"/>
  <c r="F260" i="159"/>
  <c r="C260" i="159"/>
  <c r="I261" i="159"/>
  <c r="D261" i="159"/>
  <c r="J261" i="159"/>
  <c r="E261" i="159"/>
  <c r="K261" i="159"/>
  <c r="G261" i="159"/>
  <c r="F261" i="159"/>
  <c r="C261" i="159"/>
  <c r="I262" i="159"/>
  <c r="D262" i="159"/>
  <c r="J262" i="159"/>
  <c r="E262" i="159"/>
  <c r="K262" i="159"/>
  <c r="G262" i="159"/>
  <c r="F262" i="159"/>
  <c r="C262" i="159"/>
  <c r="I263" i="159"/>
  <c r="D263" i="159"/>
  <c r="J263" i="159"/>
  <c r="E263" i="159"/>
  <c r="K263" i="159"/>
  <c r="G263" i="159"/>
  <c r="F263" i="159"/>
  <c r="C263" i="159"/>
  <c r="I264" i="159"/>
  <c r="D264" i="159"/>
  <c r="J264" i="159"/>
  <c r="E264" i="159"/>
  <c r="K264" i="159"/>
  <c r="G264" i="159"/>
  <c r="F264" i="159"/>
  <c r="C264" i="159"/>
  <c r="I265" i="159"/>
  <c r="D265" i="159"/>
  <c r="J265" i="159"/>
  <c r="E265" i="159"/>
  <c r="K265" i="159"/>
  <c r="G265" i="159"/>
  <c r="F265" i="159"/>
  <c r="C265" i="159"/>
  <c r="I266" i="159"/>
  <c r="D266" i="159"/>
  <c r="J266" i="159"/>
  <c r="E266" i="159"/>
  <c r="K266" i="159"/>
  <c r="G266" i="159"/>
  <c r="F266" i="159"/>
  <c r="C266" i="159"/>
  <c r="I267" i="159"/>
  <c r="D267" i="159"/>
  <c r="J267" i="159"/>
  <c r="E267" i="159"/>
  <c r="K267" i="159"/>
  <c r="G267" i="159"/>
  <c r="F267" i="159"/>
  <c r="C267" i="159"/>
  <c r="I268" i="159"/>
  <c r="D268" i="159"/>
  <c r="J268" i="159"/>
  <c r="E268" i="159"/>
  <c r="K268" i="159"/>
  <c r="G268" i="159"/>
  <c r="F268" i="159"/>
  <c r="C268" i="159"/>
  <c r="I269" i="159"/>
  <c r="D269" i="159"/>
  <c r="J269" i="159"/>
  <c r="E269" i="159"/>
  <c r="K269" i="159"/>
  <c r="G269" i="159"/>
  <c r="F269" i="159"/>
  <c r="C269" i="159"/>
  <c r="I270" i="159"/>
  <c r="D270" i="159"/>
  <c r="J270" i="159"/>
  <c r="E270" i="159"/>
  <c r="K270" i="159"/>
  <c r="G270" i="159"/>
  <c r="F270" i="159"/>
  <c r="C270" i="159"/>
  <c r="I271" i="159"/>
  <c r="D271" i="159"/>
  <c r="J271" i="159"/>
  <c r="E271" i="159"/>
  <c r="K271" i="159"/>
  <c r="G271" i="159"/>
  <c r="F271" i="159"/>
  <c r="C271" i="159"/>
  <c r="I272" i="159"/>
  <c r="D272" i="159"/>
  <c r="J272" i="159"/>
  <c r="E272" i="159"/>
  <c r="K272" i="159"/>
  <c r="G272" i="159"/>
  <c r="F272" i="159"/>
  <c r="C272" i="159"/>
  <c r="I273" i="159"/>
  <c r="D273" i="159"/>
  <c r="J273" i="159"/>
  <c r="E273" i="159"/>
  <c r="K273" i="159"/>
  <c r="G273" i="159"/>
  <c r="F273" i="159"/>
  <c r="C273" i="159"/>
  <c r="I274" i="159"/>
  <c r="D274" i="159"/>
  <c r="J274" i="159"/>
  <c r="E274" i="159"/>
  <c r="K274" i="159"/>
  <c r="G274" i="159"/>
  <c r="F274" i="159"/>
  <c r="C274" i="159"/>
  <c r="I275" i="159"/>
  <c r="D275" i="159"/>
  <c r="J275" i="159"/>
  <c r="E275" i="159"/>
  <c r="K275" i="159"/>
  <c r="G275" i="159"/>
  <c r="F275" i="159"/>
  <c r="C275" i="159"/>
  <c r="I276" i="159"/>
  <c r="D276" i="159"/>
  <c r="J276" i="159"/>
  <c r="E276" i="159"/>
  <c r="K276" i="159"/>
  <c r="G276" i="159"/>
  <c r="F276" i="159"/>
  <c r="C276" i="159"/>
  <c r="I277" i="159"/>
  <c r="D277" i="159"/>
  <c r="J277" i="159"/>
  <c r="E277" i="159"/>
  <c r="K277" i="159"/>
  <c r="G277" i="159"/>
  <c r="F277" i="159"/>
  <c r="C277" i="159"/>
  <c r="I278" i="159"/>
  <c r="D278" i="159"/>
  <c r="J278" i="159"/>
  <c r="E278" i="159"/>
  <c r="K278" i="159"/>
  <c r="G278" i="159"/>
  <c r="F278" i="159"/>
  <c r="C278" i="159"/>
  <c r="I279" i="159"/>
  <c r="D279" i="159"/>
  <c r="J279" i="159"/>
  <c r="E279" i="159"/>
  <c r="K279" i="159"/>
  <c r="G279" i="159"/>
  <c r="F279" i="159"/>
  <c r="C279" i="159"/>
  <c r="I280" i="159"/>
  <c r="D280" i="159"/>
  <c r="J280" i="159"/>
  <c r="E280" i="159"/>
  <c r="K280" i="159"/>
  <c r="G280" i="159"/>
  <c r="F280" i="159"/>
  <c r="C280" i="159"/>
  <c r="I281" i="159"/>
  <c r="D281" i="159"/>
  <c r="J281" i="159"/>
  <c r="E281" i="159"/>
  <c r="K281" i="159"/>
  <c r="G281" i="159"/>
  <c r="F281" i="159"/>
  <c r="C281" i="159"/>
  <c r="I282" i="159"/>
  <c r="D282" i="159"/>
  <c r="J282" i="159"/>
  <c r="E282" i="159"/>
  <c r="K282" i="159"/>
  <c r="G282" i="159"/>
  <c r="F282" i="159"/>
  <c r="C282" i="159"/>
  <c r="I283" i="159"/>
  <c r="D283" i="159"/>
  <c r="J283" i="159"/>
  <c r="E283" i="159"/>
  <c r="K283" i="159"/>
  <c r="G283" i="159"/>
  <c r="F283" i="159"/>
  <c r="C283" i="159"/>
  <c r="I284" i="159"/>
  <c r="D284" i="159"/>
  <c r="J284" i="159"/>
  <c r="E284" i="159"/>
  <c r="K284" i="159"/>
  <c r="G284" i="159"/>
  <c r="F284" i="159"/>
  <c r="C284" i="159"/>
  <c r="I285" i="159"/>
  <c r="D285" i="159"/>
  <c r="J285" i="159"/>
  <c r="E285" i="159"/>
  <c r="K285" i="159"/>
  <c r="G285" i="159"/>
  <c r="F285" i="159"/>
  <c r="C285" i="159"/>
  <c r="I286" i="159"/>
  <c r="D286" i="159"/>
  <c r="J286" i="159"/>
  <c r="E286" i="159"/>
  <c r="K286" i="159"/>
  <c r="G286" i="159"/>
  <c r="F286" i="159"/>
  <c r="C286" i="159"/>
  <c r="I287" i="159"/>
  <c r="D287" i="159"/>
  <c r="J287" i="159"/>
  <c r="E287" i="159"/>
  <c r="K287" i="159"/>
  <c r="G287" i="159"/>
  <c r="F287" i="159"/>
  <c r="C287" i="159"/>
  <c r="I288" i="159"/>
  <c r="D288" i="159"/>
  <c r="J288" i="159"/>
  <c r="E288" i="159"/>
  <c r="K288" i="159"/>
  <c r="G288" i="159"/>
  <c r="F288" i="159"/>
  <c r="C288" i="159"/>
  <c r="I289" i="159"/>
  <c r="D289" i="159"/>
  <c r="J289" i="159"/>
  <c r="E289" i="159"/>
  <c r="K289" i="159"/>
  <c r="G289" i="159"/>
  <c r="F289" i="159"/>
  <c r="C289" i="159"/>
  <c r="I290" i="159"/>
  <c r="D290" i="159"/>
  <c r="J290" i="159"/>
  <c r="E290" i="159"/>
  <c r="K290" i="159"/>
  <c r="G290" i="159"/>
  <c r="F290" i="159"/>
  <c r="C290" i="159"/>
  <c r="I291" i="159"/>
  <c r="D291" i="159"/>
  <c r="J291" i="159"/>
  <c r="E291" i="159"/>
  <c r="K291" i="159"/>
  <c r="G291" i="159"/>
  <c r="F291" i="159"/>
  <c r="C291" i="159"/>
  <c r="I292" i="159"/>
  <c r="D292" i="159"/>
  <c r="J292" i="159"/>
  <c r="E292" i="159"/>
  <c r="K292" i="159"/>
  <c r="G292" i="159"/>
  <c r="F292" i="159"/>
  <c r="C292" i="159"/>
  <c r="I293" i="159"/>
  <c r="D293" i="159"/>
  <c r="J293" i="159"/>
  <c r="E293" i="159"/>
  <c r="K293" i="159"/>
  <c r="G293" i="159"/>
  <c r="F293" i="159"/>
  <c r="C293" i="159"/>
  <c r="I294" i="159"/>
  <c r="D294" i="159"/>
  <c r="J294" i="159"/>
  <c r="E294" i="159"/>
  <c r="K294" i="159"/>
  <c r="G294" i="159"/>
  <c r="F294" i="159"/>
  <c r="C294" i="159"/>
  <c r="I295" i="159"/>
  <c r="D295" i="159"/>
  <c r="J295" i="159"/>
  <c r="E295" i="159"/>
  <c r="K295" i="159"/>
  <c r="G295" i="159"/>
  <c r="F295" i="159"/>
  <c r="C295" i="159"/>
  <c r="I296" i="159"/>
  <c r="D296" i="159"/>
  <c r="J296" i="159"/>
  <c r="E296" i="159"/>
  <c r="K296" i="159"/>
  <c r="G296" i="159"/>
  <c r="F296" i="159"/>
  <c r="C296" i="159"/>
  <c r="I297" i="159"/>
  <c r="D297" i="159"/>
  <c r="J297" i="159"/>
  <c r="E297" i="159"/>
  <c r="K297" i="159"/>
  <c r="G297" i="159"/>
  <c r="F297" i="159"/>
  <c r="C297" i="159"/>
  <c r="I298" i="159"/>
  <c r="D298" i="159"/>
  <c r="J298" i="159"/>
  <c r="E298" i="159"/>
  <c r="K298" i="159"/>
  <c r="G298" i="159"/>
  <c r="F298" i="159"/>
  <c r="C298" i="159"/>
  <c r="I299" i="159"/>
  <c r="D299" i="159"/>
  <c r="J299" i="159"/>
  <c r="E299" i="159"/>
  <c r="K299" i="159"/>
  <c r="G299" i="159"/>
  <c r="F299" i="159"/>
  <c r="C299" i="159"/>
  <c r="I300" i="159"/>
  <c r="D300" i="159"/>
  <c r="J300" i="159"/>
  <c r="E300" i="159"/>
  <c r="K300" i="159"/>
  <c r="G300" i="159"/>
  <c r="F300" i="159"/>
  <c r="C300" i="159"/>
  <c r="I301" i="159"/>
  <c r="D301" i="159"/>
  <c r="J301" i="159"/>
  <c r="E301" i="159"/>
  <c r="K301" i="159"/>
  <c r="G301" i="159"/>
  <c r="F301" i="159"/>
  <c r="C301" i="159"/>
  <c r="I302" i="159"/>
  <c r="D302" i="159"/>
  <c r="J302" i="159"/>
  <c r="E302" i="159"/>
  <c r="K302" i="159"/>
  <c r="G302" i="159"/>
  <c r="F302" i="159"/>
  <c r="C302" i="159"/>
  <c r="I303" i="159"/>
  <c r="D303" i="159"/>
  <c r="J303" i="159"/>
  <c r="E303" i="159"/>
  <c r="K303" i="159"/>
  <c r="G303" i="159"/>
  <c r="F303" i="159"/>
  <c r="C303" i="159"/>
  <c r="I304" i="159"/>
  <c r="D304" i="159"/>
  <c r="J304" i="159"/>
  <c r="E304" i="159"/>
  <c r="K304" i="159"/>
  <c r="G304" i="159"/>
  <c r="F304" i="159"/>
  <c r="C304" i="159"/>
  <c r="I305" i="159"/>
  <c r="D305" i="159"/>
  <c r="J305" i="159"/>
  <c r="E305" i="159"/>
  <c r="K305" i="159"/>
  <c r="G305" i="159"/>
  <c r="F305" i="159"/>
  <c r="C305" i="159"/>
  <c r="I306" i="159"/>
  <c r="D306" i="159"/>
  <c r="J306" i="159"/>
  <c r="E306" i="159"/>
  <c r="K306" i="159"/>
  <c r="G306" i="159"/>
  <c r="F306" i="159"/>
  <c r="C306" i="159"/>
  <c r="I307" i="159"/>
  <c r="D307" i="159"/>
  <c r="J307" i="159"/>
  <c r="E307" i="159"/>
  <c r="K307" i="159"/>
  <c r="G307" i="159"/>
  <c r="F307" i="159"/>
  <c r="C307" i="159"/>
  <c r="I308" i="159"/>
  <c r="D308" i="159"/>
  <c r="J308" i="159"/>
  <c r="E308" i="159"/>
  <c r="K308" i="159"/>
  <c r="G308" i="159"/>
  <c r="F308" i="159"/>
  <c r="C308" i="159"/>
  <c r="I309" i="159"/>
  <c r="D309" i="159"/>
  <c r="J309" i="159"/>
  <c r="E309" i="159"/>
  <c r="K309" i="159"/>
  <c r="G309" i="159"/>
  <c r="F309" i="159"/>
  <c r="C309" i="159"/>
  <c r="I310" i="159"/>
  <c r="D310" i="159"/>
  <c r="J310" i="159"/>
  <c r="E310" i="159"/>
  <c r="K310" i="159"/>
  <c r="G310" i="159"/>
  <c r="F310" i="159"/>
  <c r="C310" i="159"/>
  <c r="I311" i="159"/>
  <c r="D311" i="159"/>
  <c r="J311" i="159"/>
  <c r="E311" i="159"/>
  <c r="K311" i="159"/>
  <c r="G311" i="159"/>
  <c r="F311" i="159"/>
  <c r="C311" i="159"/>
  <c r="I312" i="159"/>
  <c r="D312" i="159"/>
  <c r="J312" i="159"/>
  <c r="E312" i="159"/>
  <c r="K312" i="159"/>
  <c r="G312" i="159"/>
  <c r="F312" i="159"/>
  <c r="C312" i="159"/>
  <c r="I313" i="159"/>
  <c r="D313" i="159"/>
  <c r="J313" i="159"/>
  <c r="E313" i="159"/>
  <c r="K313" i="159"/>
  <c r="G313" i="159"/>
  <c r="F313" i="159"/>
  <c r="C313" i="159"/>
  <c r="I314" i="159"/>
  <c r="D314" i="159"/>
  <c r="J314" i="159"/>
  <c r="E314" i="159"/>
  <c r="K314" i="159"/>
  <c r="G314" i="159"/>
  <c r="F314" i="159"/>
  <c r="C314" i="159"/>
  <c r="I315" i="159"/>
  <c r="D315" i="159"/>
  <c r="J315" i="159"/>
  <c r="E315" i="159"/>
  <c r="K315" i="159"/>
  <c r="G315" i="159"/>
  <c r="F315" i="159"/>
  <c r="C315" i="159"/>
  <c r="I316" i="159"/>
  <c r="D316" i="159"/>
  <c r="J316" i="159"/>
  <c r="E316" i="159"/>
  <c r="K316" i="159"/>
  <c r="G316" i="159"/>
  <c r="F316" i="159"/>
  <c r="C316" i="159"/>
  <c r="I317" i="159"/>
  <c r="D317" i="159"/>
  <c r="J317" i="159"/>
  <c r="E317" i="159"/>
  <c r="K317" i="159"/>
  <c r="G317" i="159"/>
  <c r="F317" i="159"/>
  <c r="C317" i="159"/>
  <c r="I318" i="159"/>
  <c r="D318" i="159"/>
  <c r="J318" i="159"/>
  <c r="E318" i="159"/>
  <c r="K318" i="159"/>
  <c r="G318" i="159"/>
  <c r="F318" i="159"/>
  <c r="C318" i="159"/>
  <c r="I319" i="159"/>
  <c r="D319" i="159"/>
  <c r="J319" i="159"/>
  <c r="E319" i="159"/>
  <c r="K319" i="159"/>
  <c r="G319" i="159"/>
  <c r="F319" i="159"/>
  <c r="C319" i="159"/>
  <c r="I320" i="159"/>
  <c r="D320" i="159"/>
  <c r="J320" i="159"/>
  <c r="E320" i="159"/>
  <c r="K320" i="159"/>
  <c r="G320" i="159"/>
  <c r="F320" i="159"/>
  <c r="C320" i="159"/>
  <c r="I321" i="159"/>
  <c r="D321" i="159"/>
  <c r="J321" i="159"/>
  <c r="E321" i="159"/>
  <c r="K321" i="159"/>
  <c r="G321" i="159"/>
  <c r="F321" i="159"/>
  <c r="C321" i="159"/>
  <c r="I322" i="159"/>
  <c r="D322" i="159"/>
  <c r="J322" i="159"/>
  <c r="E322" i="159"/>
  <c r="K322" i="159"/>
  <c r="G322" i="159"/>
  <c r="F322" i="159"/>
  <c r="C322" i="159"/>
  <c r="I323" i="159"/>
  <c r="D323" i="159"/>
  <c r="J323" i="159"/>
  <c r="E323" i="159"/>
  <c r="K323" i="159"/>
  <c r="G323" i="159"/>
  <c r="F323" i="159"/>
  <c r="C323" i="159"/>
  <c r="I324" i="159"/>
  <c r="D324" i="159"/>
  <c r="J324" i="159"/>
  <c r="E324" i="159"/>
  <c r="K324" i="159"/>
  <c r="G324" i="159"/>
  <c r="F324" i="159"/>
  <c r="C324" i="159"/>
  <c r="I325" i="159"/>
  <c r="D325" i="159"/>
  <c r="J325" i="159"/>
  <c r="E325" i="159"/>
  <c r="K325" i="159"/>
  <c r="G325" i="159"/>
  <c r="F325" i="159"/>
  <c r="C325" i="159"/>
  <c r="I326" i="159"/>
  <c r="D326" i="159"/>
  <c r="J326" i="159"/>
  <c r="E326" i="159"/>
  <c r="K326" i="159"/>
  <c r="G326" i="159"/>
  <c r="F326" i="159"/>
  <c r="C326" i="159"/>
  <c r="I327" i="159"/>
  <c r="D327" i="159"/>
  <c r="J327" i="159"/>
  <c r="E327" i="159"/>
  <c r="K327" i="159"/>
  <c r="G327" i="159"/>
  <c r="F327" i="159"/>
  <c r="C327" i="159"/>
  <c r="I328" i="159"/>
  <c r="D328" i="159"/>
  <c r="J328" i="159"/>
  <c r="E328" i="159"/>
  <c r="K328" i="159"/>
  <c r="G328" i="159"/>
  <c r="F328" i="159"/>
  <c r="C328" i="159"/>
  <c r="I329" i="159"/>
  <c r="D329" i="159"/>
  <c r="J329" i="159"/>
  <c r="E329" i="159"/>
  <c r="K329" i="159"/>
  <c r="G329" i="159"/>
  <c r="F329" i="159"/>
  <c r="C329" i="159"/>
  <c r="I330" i="159"/>
  <c r="D330" i="159"/>
  <c r="J330" i="159"/>
  <c r="E330" i="159"/>
  <c r="K330" i="159"/>
  <c r="G330" i="159"/>
  <c r="F330" i="159"/>
  <c r="C330" i="159"/>
  <c r="I331" i="159"/>
  <c r="D331" i="159"/>
  <c r="J331" i="159"/>
  <c r="E331" i="159"/>
  <c r="K331" i="159"/>
  <c r="G331" i="159"/>
  <c r="F331" i="159"/>
  <c r="C331" i="159"/>
  <c r="I332" i="159"/>
  <c r="D332" i="159"/>
  <c r="J332" i="159"/>
  <c r="E332" i="159"/>
  <c r="K332" i="159"/>
  <c r="G332" i="159"/>
  <c r="F332" i="159"/>
  <c r="C332" i="159"/>
  <c r="I333" i="159"/>
  <c r="D333" i="159"/>
  <c r="J333" i="159"/>
  <c r="E333" i="159"/>
  <c r="K333" i="159"/>
  <c r="G333" i="159"/>
  <c r="F333" i="159"/>
  <c r="C333" i="159"/>
  <c r="I334" i="159"/>
  <c r="D334" i="159"/>
  <c r="J334" i="159"/>
  <c r="E334" i="159"/>
  <c r="K334" i="159"/>
  <c r="G334" i="159"/>
  <c r="F334" i="159"/>
  <c r="C334" i="159"/>
  <c r="I335" i="159"/>
  <c r="D335" i="159"/>
  <c r="J335" i="159"/>
  <c r="E335" i="159"/>
  <c r="K335" i="159"/>
  <c r="G335" i="159"/>
  <c r="F335" i="159"/>
  <c r="C335" i="159"/>
  <c r="I336" i="159"/>
  <c r="D336" i="159"/>
  <c r="J336" i="159"/>
  <c r="E336" i="159"/>
  <c r="K336" i="159"/>
  <c r="G336" i="159"/>
  <c r="F336" i="159"/>
  <c r="C336" i="159"/>
  <c r="I337" i="159"/>
  <c r="D337" i="159"/>
  <c r="J337" i="159"/>
  <c r="E337" i="159"/>
  <c r="K337" i="159"/>
  <c r="G337" i="159"/>
  <c r="F337" i="159"/>
  <c r="C337" i="159"/>
  <c r="I338" i="159"/>
  <c r="D338" i="159"/>
  <c r="J338" i="159"/>
  <c r="E338" i="159"/>
  <c r="K338" i="159"/>
  <c r="G338" i="159"/>
  <c r="F338" i="159"/>
  <c r="C338" i="159"/>
  <c r="I339" i="159"/>
  <c r="D339" i="159"/>
  <c r="J339" i="159"/>
  <c r="E339" i="159"/>
  <c r="K339" i="159"/>
  <c r="G339" i="159"/>
  <c r="F339" i="159"/>
  <c r="C339" i="159"/>
  <c r="I340" i="159"/>
  <c r="D340" i="159"/>
  <c r="J340" i="159"/>
  <c r="E340" i="159"/>
  <c r="K340" i="159"/>
  <c r="G340" i="159"/>
  <c r="F340" i="159"/>
  <c r="C340" i="159"/>
  <c r="I341" i="159"/>
  <c r="D341" i="159"/>
  <c r="J341" i="159"/>
  <c r="E341" i="159"/>
  <c r="K341" i="159"/>
  <c r="G341" i="159"/>
  <c r="F341" i="159"/>
  <c r="C341" i="159"/>
  <c r="F8" i="158"/>
  <c r="B11" i="158"/>
  <c r="B10" i="158"/>
  <c r="E8" i="158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37" i="158"/>
  <c r="E38" i="158"/>
  <c r="B38" i="158"/>
  <c r="B37" i="158"/>
  <c r="E36" i="158"/>
  <c r="B36" i="158"/>
  <c r="I2" i="150"/>
  <c r="J2" i="150"/>
  <c r="D2" i="150"/>
  <c r="E2" i="150"/>
  <c r="K2" i="150"/>
  <c r="G2" i="150"/>
  <c r="F2" i="150"/>
  <c r="C2" i="150"/>
  <c r="I3" i="150"/>
  <c r="J3" i="150"/>
  <c r="D3" i="150"/>
  <c r="E3" i="150"/>
  <c r="K3" i="150"/>
  <c r="G3" i="150"/>
  <c r="F3" i="150"/>
  <c r="C3" i="150"/>
  <c r="I4" i="150"/>
  <c r="J4" i="150"/>
  <c r="D4" i="150"/>
  <c r="E4" i="150"/>
  <c r="K4" i="150"/>
  <c r="G4" i="150"/>
  <c r="F4" i="150"/>
  <c r="C4" i="150"/>
  <c r="I5" i="150"/>
  <c r="J5" i="150"/>
  <c r="D5" i="150"/>
  <c r="E5" i="150"/>
  <c r="K5" i="150"/>
  <c r="G5" i="150"/>
  <c r="F5" i="150"/>
  <c r="C5" i="150"/>
  <c r="I6" i="150"/>
  <c r="J6" i="150"/>
  <c r="D6" i="150"/>
  <c r="E6" i="150"/>
  <c r="K6" i="150"/>
  <c r="G6" i="150"/>
  <c r="F6" i="150"/>
  <c r="C6" i="150"/>
  <c r="I7" i="150"/>
  <c r="J7" i="150"/>
  <c r="D7" i="150"/>
  <c r="E7" i="150"/>
  <c r="K7" i="150"/>
  <c r="G7" i="150"/>
  <c r="F7" i="150"/>
  <c r="C7" i="150"/>
  <c r="I8" i="150"/>
  <c r="J8" i="150"/>
  <c r="D8" i="150"/>
  <c r="E8" i="150"/>
  <c r="K8" i="150"/>
  <c r="G8" i="150"/>
  <c r="F8" i="150"/>
  <c r="C8" i="150"/>
  <c r="I9" i="150"/>
  <c r="J9" i="150"/>
  <c r="D9" i="150"/>
  <c r="E9" i="150"/>
  <c r="K9" i="150"/>
  <c r="G9" i="150"/>
  <c r="F9" i="150"/>
  <c r="C9" i="150"/>
  <c r="I10" i="150"/>
  <c r="J10" i="150"/>
  <c r="D10" i="150"/>
  <c r="E10" i="150"/>
  <c r="K10" i="150"/>
  <c r="G10" i="150"/>
  <c r="F10" i="150"/>
  <c r="C10" i="150"/>
  <c r="I11" i="150"/>
  <c r="J11" i="150"/>
  <c r="D11" i="150"/>
  <c r="E11" i="150"/>
  <c r="K11" i="150"/>
  <c r="G11" i="150"/>
  <c r="F11" i="150"/>
  <c r="C11" i="150"/>
  <c r="I12" i="150"/>
  <c r="J12" i="150"/>
  <c r="D12" i="150"/>
  <c r="E12" i="150"/>
  <c r="K12" i="150"/>
  <c r="G12" i="150"/>
  <c r="F12" i="150"/>
  <c r="C12" i="150"/>
  <c r="I13" i="150"/>
  <c r="J13" i="150"/>
  <c r="D13" i="150"/>
  <c r="E13" i="150"/>
  <c r="K13" i="150"/>
  <c r="G13" i="150"/>
  <c r="F13" i="150"/>
  <c r="C13" i="150"/>
  <c r="I14" i="150"/>
  <c r="J14" i="150"/>
  <c r="D14" i="150"/>
  <c r="E14" i="150"/>
  <c r="K14" i="150"/>
  <c r="G14" i="150"/>
  <c r="F14" i="150"/>
  <c r="C14" i="150"/>
  <c r="I15" i="150"/>
  <c r="J15" i="150"/>
  <c r="D15" i="150"/>
  <c r="E15" i="150"/>
  <c r="K15" i="150"/>
  <c r="G15" i="150"/>
  <c r="F15" i="150"/>
  <c r="C15" i="150"/>
  <c r="I16" i="150"/>
  <c r="J16" i="150"/>
  <c r="D16" i="150"/>
  <c r="E16" i="150"/>
  <c r="K16" i="150"/>
  <c r="G16" i="150"/>
  <c r="F16" i="150"/>
  <c r="C16" i="150"/>
  <c r="I17" i="150"/>
  <c r="J17" i="150"/>
  <c r="D17" i="150"/>
  <c r="E17" i="150"/>
  <c r="K17" i="150"/>
  <c r="G17" i="150"/>
  <c r="F17" i="150"/>
  <c r="C17" i="150"/>
  <c r="I18" i="150"/>
  <c r="J18" i="150"/>
  <c r="D18" i="150"/>
  <c r="E18" i="150"/>
  <c r="K18" i="150"/>
  <c r="G18" i="150"/>
  <c r="F18" i="150"/>
  <c r="C18" i="150"/>
  <c r="I19" i="150"/>
  <c r="J19" i="150"/>
  <c r="D19" i="150"/>
  <c r="E19" i="150"/>
  <c r="K19" i="150"/>
  <c r="G19" i="150"/>
  <c r="F19" i="150"/>
  <c r="C19" i="150"/>
  <c r="I20" i="150"/>
  <c r="J20" i="150"/>
  <c r="D20" i="150"/>
  <c r="E20" i="150"/>
  <c r="K20" i="150"/>
  <c r="G20" i="150"/>
  <c r="F20" i="150"/>
  <c r="C20" i="150"/>
  <c r="I21" i="150"/>
  <c r="J21" i="150"/>
  <c r="D21" i="150"/>
  <c r="E21" i="150"/>
  <c r="K21" i="150"/>
  <c r="G21" i="150"/>
  <c r="F21" i="150"/>
  <c r="C21" i="150"/>
  <c r="I22" i="150"/>
  <c r="J22" i="150"/>
  <c r="D22" i="150"/>
  <c r="E22" i="150"/>
  <c r="K22" i="150"/>
  <c r="G22" i="150"/>
  <c r="F22" i="150"/>
  <c r="C22" i="150"/>
  <c r="I23" i="150"/>
  <c r="J23" i="150"/>
  <c r="D23" i="150"/>
  <c r="E23" i="150"/>
  <c r="K23" i="150"/>
  <c r="G23" i="150"/>
  <c r="F23" i="150"/>
  <c r="C23" i="150"/>
  <c r="I24" i="150"/>
  <c r="J24" i="150"/>
  <c r="D24" i="150"/>
  <c r="E24" i="150"/>
  <c r="K24" i="150"/>
  <c r="G24" i="150"/>
  <c r="F24" i="150"/>
  <c r="C24" i="150"/>
  <c r="I25" i="150"/>
  <c r="J25" i="150"/>
  <c r="D25" i="150"/>
  <c r="E25" i="150"/>
  <c r="K25" i="150"/>
  <c r="G25" i="150"/>
  <c r="F25" i="150"/>
  <c r="C25" i="150"/>
  <c r="I26" i="150"/>
  <c r="J26" i="150"/>
  <c r="D26" i="150"/>
  <c r="E26" i="150"/>
  <c r="K26" i="150"/>
  <c r="G26" i="150"/>
  <c r="F26" i="150"/>
  <c r="C26" i="150"/>
  <c r="I27" i="150"/>
  <c r="J27" i="150"/>
  <c r="D27" i="150"/>
  <c r="E27" i="150"/>
  <c r="K27" i="150"/>
  <c r="G27" i="150"/>
  <c r="F27" i="150"/>
  <c r="C27" i="150"/>
  <c r="I28" i="150"/>
  <c r="J28" i="150"/>
  <c r="D28" i="150"/>
  <c r="E28" i="150"/>
  <c r="K28" i="150"/>
  <c r="G28" i="150"/>
  <c r="F28" i="150"/>
  <c r="C28" i="150"/>
  <c r="I29" i="150"/>
  <c r="J29" i="150"/>
  <c r="D29" i="150"/>
  <c r="E29" i="150"/>
  <c r="K29" i="150"/>
  <c r="G29" i="150"/>
  <c r="F29" i="150"/>
  <c r="C29" i="150"/>
  <c r="I30" i="150"/>
  <c r="J30" i="150"/>
  <c r="D30" i="150"/>
  <c r="E30" i="150"/>
  <c r="K30" i="150"/>
  <c r="G30" i="150"/>
  <c r="F30" i="150"/>
  <c r="C30" i="150"/>
  <c r="I31" i="150"/>
  <c r="J31" i="150"/>
  <c r="D31" i="150"/>
  <c r="E31" i="150"/>
  <c r="K31" i="150"/>
  <c r="G31" i="150"/>
  <c r="F31" i="150"/>
  <c r="C31" i="150"/>
  <c r="I32" i="150"/>
  <c r="J32" i="150"/>
  <c r="D32" i="150"/>
  <c r="E32" i="150"/>
  <c r="K32" i="150"/>
  <c r="G32" i="150"/>
  <c r="F32" i="150"/>
  <c r="C32" i="150"/>
  <c r="I33" i="150"/>
  <c r="J33" i="150"/>
  <c r="D33" i="150"/>
  <c r="E33" i="150"/>
  <c r="K33" i="150"/>
  <c r="G33" i="150"/>
  <c r="F33" i="150"/>
  <c r="C33" i="150"/>
  <c r="I34" i="150"/>
  <c r="J34" i="150"/>
  <c r="D34" i="150"/>
  <c r="E34" i="150"/>
  <c r="K34" i="150"/>
  <c r="G34" i="150"/>
  <c r="F34" i="150"/>
  <c r="C34" i="150"/>
  <c r="I35" i="150"/>
  <c r="J35" i="150"/>
  <c r="D35" i="150"/>
  <c r="E35" i="150"/>
  <c r="K35" i="150"/>
  <c r="G35" i="150"/>
  <c r="F35" i="150"/>
  <c r="C35" i="150"/>
  <c r="I36" i="150"/>
  <c r="J36" i="150"/>
  <c r="D36" i="150"/>
  <c r="E36" i="150"/>
  <c r="K36" i="150"/>
  <c r="G36" i="150"/>
  <c r="F36" i="150"/>
  <c r="C36" i="150"/>
  <c r="I37" i="150"/>
  <c r="J37" i="150"/>
  <c r="D37" i="150"/>
  <c r="E37" i="150"/>
  <c r="K37" i="150"/>
  <c r="G37" i="150"/>
  <c r="F37" i="150"/>
  <c r="C37" i="150"/>
  <c r="I38" i="150"/>
  <c r="J38" i="150"/>
  <c r="D38" i="150"/>
  <c r="E38" i="150"/>
  <c r="K38" i="150"/>
  <c r="G38" i="150"/>
  <c r="F38" i="150"/>
  <c r="C38" i="150"/>
  <c r="I39" i="150"/>
  <c r="J39" i="150"/>
  <c r="D39" i="150"/>
  <c r="E39" i="150"/>
  <c r="K39" i="150"/>
  <c r="G39" i="150"/>
  <c r="F39" i="150"/>
  <c r="C39" i="150"/>
  <c r="I40" i="150"/>
  <c r="J40" i="150"/>
  <c r="D40" i="150"/>
  <c r="E40" i="150"/>
  <c r="K40" i="150"/>
  <c r="G40" i="150"/>
  <c r="F40" i="150"/>
  <c r="C40" i="150"/>
  <c r="I41" i="150"/>
  <c r="J41" i="150"/>
  <c r="D41" i="150"/>
  <c r="E41" i="150"/>
  <c r="K41" i="150"/>
  <c r="G41" i="150"/>
  <c r="F41" i="150"/>
  <c r="C41" i="150"/>
  <c r="I42" i="150"/>
  <c r="D42" i="150"/>
  <c r="J42" i="150"/>
  <c r="E42" i="150"/>
  <c r="K42" i="150"/>
  <c r="G42" i="150"/>
  <c r="F42" i="150"/>
  <c r="C42" i="150"/>
  <c r="I43" i="150"/>
  <c r="D43" i="150"/>
  <c r="J43" i="150"/>
  <c r="E43" i="150"/>
  <c r="K43" i="150"/>
  <c r="G43" i="150"/>
  <c r="F43" i="150"/>
  <c r="C43" i="150"/>
  <c r="I44" i="150"/>
  <c r="D44" i="150"/>
  <c r="J44" i="150"/>
  <c r="E44" i="150"/>
  <c r="K44" i="150"/>
  <c r="G44" i="150"/>
  <c r="F44" i="150"/>
  <c r="C44" i="150"/>
  <c r="I45" i="150"/>
  <c r="D45" i="150"/>
  <c r="J45" i="150"/>
  <c r="E45" i="150"/>
  <c r="K45" i="150"/>
  <c r="G45" i="150"/>
  <c r="F45" i="150"/>
  <c r="C45" i="150"/>
  <c r="I46" i="150"/>
  <c r="D46" i="150"/>
  <c r="J46" i="150"/>
  <c r="E46" i="150"/>
  <c r="K46" i="150"/>
  <c r="G46" i="150"/>
  <c r="F46" i="150"/>
  <c r="C46" i="150"/>
  <c r="I47" i="150"/>
  <c r="D47" i="150"/>
  <c r="J47" i="150"/>
  <c r="E47" i="150"/>
  <c r="K47" i="150"/>
  <c r="G47" i="150"/>
  <c r="F47" i="150"/>
  <c r="C47" i="150"/>
  <c r="I48" i="150"/>
  <c r="D48" i="150"/>
  <c r="J48" i="150"/>
  <c r="E48" i="150"/>
  <c r="K48" i="150"/>
  <c r="G48" i="150"/>
  <c r="F48" i="150"/>
  <c r="C48" i="150"/>
  <c r="I49" i="150"/>
  <c r="D49" i="150"/>
  <c r="J49" i="150"/>
  <c r="E49" i="150"/>
  <c r="K49" i="150"/>
  <c r="G49" i="150"/>
  <c r="F49" i="150"/>
  <c r="C49" i="150"/>
  <c r="I50" i="150"/>
  <c r="D50" i="150"/>
  <c r="J50" i="150"/>
  <c r="E50" i="150"/>
  <c r="K50" i="150"/>
  <c r="G50" i="150"/>
  <c r="F50" i="150"/>
  <c r="C50" i="150"/>
  <c r="I51" i="150"/>
  <c r="D51" i="150"/>
  <c r="J51" i="150"/>
  <c r="E51" i="150"/>
  <c r="K51" i="150"/>
  <c r="G51" i="150"/>
  <c r="F51" i="150"/>
  <c r="C51" i="150"/>
  <c r="I52" i="150"/>
  <c r="D52" i="150"/>
  <c r="J52" i="150"/>
  <c r="E52" i="150"/>
  <c r="K52" i="150"/>
  <c r="G52" i="150"/>
  <c r="F52" i="150"/>
  <c r="C52" i="150"/>
  <c r="I53" i="150"/>
  <c r="D53" i="150"/>
  <c r="J53" i="150"/>
  <c r="E53" i="150"/>
  <c r="K53" i="150"/>
  <c r="G53" i="150"/>
  <c r="F53" i="150"/>
  <c r="C53" i="150"/>
  <c r="I54" i="150"/>
  <c r="D54" i="150"/>
  <c r="J54" i="150"/>
  <c r="E54" i="150"/>
  <c r="K54" i="150"/>
  <c r="G54" i="150"/>
  <c r="F54" i="150"/>
  <c r="C54" i="150"/>
  <c r="I55" i="150"/>
  <c r="D55" i="150"/>
  <c r="J55" i="150"/>
  <c r="E55" i="150"/>
  <c r="K55" i="150"/>
  <c r="G55" i="150"/>
  <c r="F55" i="150"/>
  <c r="C55" i="150"/>
  <c r="I56" i="150"/>
  <c r="D56" i="150"/>
  <c r="J56" i="150"/>
  <c r="E56" i="150"/>
  <c r="K56" i="150"/>
  <c r="G56" i="150"/>
  <c r="F56" i="150"/>
  <c r="C56" i="150"/>
  <c r="I57" i="150"/>
  <c r="D57" i="150"/>
  <c r="J57" i="150"/>
  <c r="E57" i="150"/>
  <c r="K57" i="150"/>
  <c r="G57" i="150"/>
  <c r="F57" i="150"/>
  <c r="C57" i="150"/>
  <c r="I58" i="150"/>
  <c r="D58" i="150"/>
  <c r="J58" i="150"/>
  <c r="E58" i="150"/>
  <c r="K58" i="150"/>
  <c r="G58" i="150"/>
  <c r="F58" i="150"/>
  <c r="C58" i="150"/>
  <c r="I59" i="150"/>
  <c r="D59" i="150"/>
  <c r="J59" i="150"/>
  <c r="E59" i="150"/>
  <c r="K59" i="150"/>
  <c r="G59" i="150"/>
  <c r="F59" i="150"/>
  <c r="C59" i="150"/>
  <c r="I60" i="150"/>
  <c r="D60" i="150"/>
  <c r="J60" i="150"/>
  <c r="E60" i="150"/>
  <c r="K60" i="150"/>
  <c r="G60" i="150"/>
  <c r="F60" i="150"/>
  <c r="C60" i="150"/>
  <c r="I61" i="150"/>
  <c r="D61" i="150"/>
  <c r="J61" i="150"/>
  <c r="E61" i="150"/>
  <c r="K61" i="150"/>
  <c r="G61" i="150"/>
  <c r="F61" i="150"/>
  <c r="C61" i="150"/>
  <c r="I62" i="150"/>
  <c r="D62" i="150"/>
  <c r="J62" i="150"/>
  <c r="E62" i="150"/>
  <c r="K62" i="150"/>
  <c r="G62" i="150"/>
  <c r="F62" i="150"/>
  <c r="C62" i="150"/>
  <c r="I63" i="150"/>
  <c r="D63" i="150"/>
  <c r="J63" i="150"/>
  <c r="E63" i="150"/>
  <c r="K63" i="150"/>
  <c r="G63" i="150"/>
  <c r="F63" i="150"/>
  <c r="C63" i="150"/>
  <c r="I64" i="150"/>
  <c r="D64" i="150"/>
  <c r="J64" i="150"/>
  <c r="E64" i="150"/>
  <c r="K64" i="150"/>
  <c r="G64" i="150"/>
  <c r="F64" i="150"/>
  <c r="C64" i="150"/>
  <c r="I65" i="150"/>
  <c r="D65" i="150"/>
  <c r="J65" i="150"/>
  <c r="E65" i="150"/>
  <c r="K65" i="150"/>
  <c r="G65" i="150"/>
  <c r="F65" i="150"/>
  <c r="C65" i="150"/>
  <c r="I66" i="150"/>
  <c r="D66" i="150"/>
  <c r="J66" i="150"/>
  <c r="E66" i="150"/>
  <c r="K66" i="150"/>
  <c r="G66" i="150"/>
  <c r="F66" i="150"/>
  <c r="C66" i="150"/>
  <c r="I67" i="150"/>
  <c r="D67" i="150"/>
  <c r="J67" i="150"/>
  <c r="E67" i="150"/>
  <c r="K67" i="150"/>
  <c r="G67" i="150"/>
  <c r="F67" i="150"/>
  <c r="C67" i="150"/>
  <c r="I68" i="150"/>
  <c r="D68" i="150"/>
  <c r="J68" i="150"/>
  <c r="E68" i="150"/>
  <c r="K68" i="150"/>
  <c r="G68" i="150"/>
  <c r="F68" i="150"/>
  <c r="C68" i="150"/>
  <c r="I69" i="150"/>
  <c r="D69" i="150"/>
  <c r="J69" i="150"/>
  <c r="E69" i="150"/>
  <c r="K69" i="150"/>
  <c r="G69" i="150"/>
  <c r="F69" i="150"/>
  <c r="C69" i="150"/>
  <c r="I70" i="150"/>
  <c r="D70" i="150"/>
  <c r="J70" i="150"/>
  <c r="E70" i="150"/>
  <c r="K70" i="150"/>
  <c r="G70" i="150"/>
  <c r="F70" i="150"/>
  <c r="C70" i="150"/>
  <c r="I71" i="150"/>
  <c r="D71" i="150"/>
  <c r="J71" i="150"/>
  <c r="E71" i="150"/>
  <c r="K71" i="150"/>
  <c r="G71" i="150"/>
  <c r="F71" i="150"/>
  <c r="C71" i="150"/>
  <c r="I72" i="150"/>
  <c r="D72" i="150"/>
  <c r="J72" i="150"/>
  <c r="E72" i="150"/>
  <c r="K72" i="150"/>
  <c r="G72" i="150"/>
  <c r="F72" i="150"/>
  <c r="C72" i="150"/>
  <c r="I73" i="150"/>
  <c r="D73" i="150"/>
  <c r="J73" i="150"/>
  <c r="E73" i="150"/>
  <c r="K73" i="150"/>
  <c r="G73" i="150"/>
  <c r="F73" i="150"/>
  <c r="C73" i="150"/>
  <c r="I74" i="150"/>
  <c r="D74" i="150"/>
  <c r="J74" i="150"/>
  <c r="E74" i="150"/>
  <c r="K74" i="150"/>
  <c r="G74" i="150"/>
  <c r="F74" i="150"/>
  <c r="C74" i="150"/>
  <c r="I75" i="150"/>
  <c r="D75" i="150"/>
  <c r="J75" i="150"/>
  <c r="E75" i="150"/>
  <c r="K75" i="150"/>
  <c r="G75" i="150"/>
  <c r="F75" i="150"/>
  <c r="C75" i="150"/>
  <c r="I76" i="150"/>
  <c r="D76" i="150"/>
  <c r="J76" i="150"/>
  <c r="E76" i="150"/>
  <c r="K76" i="150"/>
  <c r="G76" i="150"/>
  <c r="F76" i="150"/>
  <c r="C76" i="150"/>
  <c r="I77" i="150"/>
  <c r="D77" i="150"/>
  <c r="J77" i="150"/>
  <c r="E77" i="150"/>
  <c r="K77" i="150"/>
  <c r="G77" i="150"/>
  <c r="F77" i="150"/>
  <c r="C77" i="150"/>
  <c r="I78" i="150"/>
  <c r="D78" i="150"/>
  <c r="J78" i="150"/>
  <c r="E78" i="150"/>
  <c r="K78" i="150"/>
  <c r="G78" i="150"/>
  <c r="F78" i="150"/>
  <c r="C78" i="150"/>
  <c r="I79" i="150"/>
  <c r="D79" i="150"/>
  <c r="J79" i="150"/>
  <c r="E79" i="150"/>
  <c r="K79" i="150"/>
  <c r="G79" i="150"/>
  <c r="F79" i="150"/>
  <c r="C79" i="150"/>
  <c r="I80" i="150"/>
  <c r="D80" i="150"/>
  <c r="J80" i="150"/>
  <c r="E80" i="150"/>
  <c r="K80" i="150"/>
  <c r="G80" i="150"/>
  <c r="F80" i="150"/>
  <c r="C80" i="150"/>
  <c r="I81" i="150"/>
  <c r="D81" i="150"/>
  <c r="J81" i="150"/>
  <c r="E81" i="150"/>
  <c r="K81" i="150"/>
  <c r="G81" i="150"/>
  <c r="F81" i="150"/>
  <c r="C81" i="150"/>
  <c r="I82" i="150"/>
  <c r="D82" i="150"/>
  <c r="J82" i="150"/>
  <c r="E82" i="150"/>
  <c r="K82" i="150"/>
  <c r="G82" i="150"/>
  <c r="F82" i="150"/>
  <c r="C82" i="150"/>
  <c r="I83" i="150"/>
  <c r="D83" i="150"/>
  <c r="J83" i="150"/>
  <c r="E83" i="150"/>
  <c r="K83" i="150"/>
  <c r="G83" i="150"/>
  <c r="F83" i="150"/>
  <c r="C83" i="150"/>
  <c r="I84" i="150"/>
  <c r="D84" i="150"/>
  <c r="J84" i="150"/>
  <c r="E84" i="150"/>
  <c r="K84" i="150"/>
  <c r="G84" i="150"/>
  <c r="F84" i="150"/>
  <c r="C84" i="150"/>
  <c r="I85" i="150"/>
  <c r="D85" i="150"/>
  <c r="J85" i="150"/>
  <c r="E85" i="150"/>
  <c r="K85" i="150"/>
  <c r="G85" i="150"/>
  <c r="F85" i="150"/>
  <c r="C85" i="150"/>
  <c r="I86" i="150"/>
  <c r="D86" i="150"/>
  <c r="J86" i="150"/>
  <c r="E86" i="150"/>
  <c r="K86" i="150"/>
  <c r="G86" i="150"/>
  <c r="F86" i="150"/>
  <c r="C86" i="150"/>
  <c r="I87" i="150"/>
  <c r="D87" i="150"/>
  <c r="J87" i="150"/>
  <c r="E87" i="150"/>
  <c r="K87" i="150"/>
  <c r="G87" i="150"/>
  <c r="F87" i="150"/>
  <c r="C87" i="150"/>
  <c r="I88" i="150"/>
  <c r="D88" i="150"/>
  <c r="J88" i="150"/>
  <c r="E88" i="150"/>
  <c r="K88" i="150"/>
  <c r="G88" i="150"/>
  <c r="F88" i="150"/>
  <c r="C88" i="150"/>
  <c r="I89" i="150"/>
  <c r="D89" i="150"/>
  <c r="J89" i="150"/>
  <c r="E89" i="150"/>
  <c r="K89" i="150"/>
  <c r="G89" i="150"/>
  <c r="F89" i="150"/>
  <c r="C89" i="150"/>
  <c r="I90" i="150"/>
  <c r="D90" i="150"/>
  <c r="J90" i="150"/>
  <c r="E90" i="150"/>
  <c r="K90" i="150"/>
  <c r="G90" i="150"/>
  <c r="F90" i="150"/>
  <c r="C90" i="150"/>
  <c r="I91" i="150"/>
  <c r="D91" i="150"/>
  <c r="J91" i="150"/>
  <c r="E91" i="150"/>
  <c r="K91" i="150"/>
  <c r="G91" i="150"/>
  <c r="F91" i="150"/>
  <c r="C91" i="150"/>
  <c r="I92" i="150"/>
  <c r="D92" i="150"/>
  <c r="J92" i="150"/>
  <c r="E92" i="150"/>
  <c r="K92" i="150"/>
  <c r="G92" i="150"/>
  <c r="F92" i="150"/>
  <c r="C92" i="150"/>
  <c r="I93" i="150"/>
  <c r="D93" i="150"/>
  <c r="J93" i="150"/>
  <c r="E93" i="150"/>
  <c r="K93" i="150"/>
  <c r="G93" i="150"/>
  <c r="F93" i="150"/>
  <c r="C93" i="150"/>
  <c r="I94" i="150"/>
  <c r="D94" i="150"/>
  <c r="J94" i="150"/>
  <c r="E94" i="150"/>
  <c r="K94" i="150"/>
  <c r="G94" i="150"/>
  <c r="F94" i="150"/>
  <c r="C94" i="150"/>
  <c r="I95" i="150"/>
  <c r="D95" i="150"/>
  <c r="J95" i="150"/>
  <c r="E95" i="150"/>
  <c r="K95" i="150"/>
  <c r="G95" i="150"/>
  <c r="F95" i="150"/>
  <c r="C95" i="150"/>
  <c r="I96" i="150"/>
  <c r="D96" i="150"/>
  <c r="J96" i="150"/>
  <c r="E96" i="150"/>
  <c r="K96" i="150"/>
  <c r="G96" i="150"/>
  <c r="F96" i="150"/>
  <c r="C96" i="150"/>
  <c r="I97" i="150"/>
  <c r="D97" i="150"/>
  <c r="J97" i="150"/>
  <c r="E97" i="150"/>
  <c r="K97" i="150"/>
  <c r="G97" i="150"/>
  <c r="F97" i="150"/>
  <c r="C97" i="150"/>
  <c r="I98" i="150"/>
  <c r="D98" i="150"/>
  <c r="J98" i="150"/>
  <c r="E98" i="150"/>
  <c r="K98" i="150"/>
  <c r="G98" i="150"/>
  <c r="F98" i="150"/>
  <c r="C98" i="150"/>
  <c r="I99" i="150"/>
  <c r="D99" i="150"/>
  <c r="J99" i="150"/>
  <c r="E99" i="150"/>
  <c r="K99" i="150"/>
  <c r="G99" i="150"/>
  <c r="F99" i="150"/>
  <c r="C99" i="150"/>
  <c r="I100" i="150"/>
  <c r="D100" i="150"/>
  <c r="J100" i="150"/>
  <c r="E100" i="150"/>
  <c r="K100" i="150"/>
  <c r="G100" i="150"/>
  <c r="F100" i="150"/>
  <c r="C100" i="150"/>
  <c r="I101" i="150"/>
  <c r="D101" i="150"/>
  <c r="J101" i="150"/>
  <c r="E101" i="150"/>
  <c r="K101" i="150"/>
  <c r="G101" i="150"/>
  <c r="F101" i="150"/>
  <c r="C101" i="150"/>
  <c r="I102" i="150"/>
  <c r="D102" i="150"/>
  <c r="J102" i="150"/>
  <c r="E102" i="150"/>
  <c r="K102" i="150"/>
  <c r="G102" i="150"/>
  <c r="F102" i="150"/>
  <c r="C102" i="150"/>
  <c r="I103" i="150"/>
  <c r="D103" i="150"/>
  <c r="J103" i="150"/>
  <c r="E103" i="150"/>
  <c r="K103" i="150"/>
  <c r="G103" i="150"/>
  <c r="F103" i="150"/>
  <c r="C103" i="150"/>
  <c r="I104" i="150"/>
  <c r="D104" i="150"/>
  <c r="J104" i="150"/>
  <c r="E104" i="150"/>
  <c r="K104" i="150"/>
  <c r="G104" i="150"/>
  <c r="F104" i="150"/>
  <c r="C104" i="150"/>
  <c r="I105" i="150"/>
  <c r="D105" i="150"/>
  <c r="J105" i="150"/>
  <c r="E105" i="150"/>
  <c r="K105" i="150"/>
  <c r="G105" i="150"/>
  <c r="F105" i="150"/>
  <c r="C105" i="150"/>
  <c r="I106" i="150"/>
  <c r="D106" i="150"/>
  <c r="J106" i="150"/>
  <c r="E106" i="150"/>
  <c r="K106" i="150"/>
  <c r="G106" i="150"/>
  <c r="F106" i="150"/>
  <c r="C106" i="150"/>
  <c r="I107" i="150"/>
  <c r="D107" i="150"/>
  <c r="J107" i="150"/>
  <c r="E107" i="150"/>
  <c r="K107" i="150"/>
  <c r="G107" i="150"/>
  <c r="F107" i="150"/>
  <c r="C107" i="150"/>
  <c r="I108" i="150"/>
  <c r="D108" i="150"/>
  <c r="J108" i="150"/>
  <c r="E108" i="150"/>
  <c r="K108" i="150"/>
  <c r="G108" i="150"/>
  <c r="F108" i="150"/>
  <c r="C108" i="150"/>
  <c r="I109" i="150"/>
  <c r="D109" i="150"/>
  <c r="J109" i="150"/>
  <c r="E109" i="150"/>
  <c r="K109" i="150"/>
  <c r="G109" i="150"/>
  <c r="F109" i="150"/>
  <c r="C109" i="150"/>
  <c r="I110" i="150"/>
  <c r="D110" i="150"/>
  <c r="J110" i="150"/>
  <c r="E110" i="150"/>
  <c r="K110" i="150"/>
  <c r="G110" i="150"/>
  <c r="F110" i="150"/>
  <c r="C110" i="150"/>
  <c r="I111" i="150"/>
  <c r="D111" i="150"/>
  <c r="J111" i="150"/>
  <c r="E111" i="150"/>
  <c r="K111" i="150"/>
  <c r="G111" i="150"/>
  <c r="F111" i="150"/>
  <c r="C111" i="150"/>
  <c r="I112" i="150"/>
  <c r="D112" i="150"/>
  <c r="J112" i="150"/>
  <c r="E112" i="150"/>
  <c r="K112" i="150"/>
  <c r="G112" i="150"/>
  <c r="F112" i="150"/>
  <c r="C112" i="150"/>
  <c r="I113" i="150"/>
  <c r="D113" i="150"/>
  <c r="J113" i="150"/>
  <c r="E113" i="150"/>
  <c r="K113" i="150"/>
  <c r="G113" i="150"/>
  <c r="F113" i="150"/>
  <c r="C113" i="150"/>
  <c r="I114" i="150"/>
  <c r="D114" i="150"/>
  <c r="J114" i="150"/>
  <c r="E114" i="150"/>
  <c r="K114" i="150"/>
  <c r="G114" i="150"/>
  <c r="F114" i="150"/>
  <c r="C114" i="150"/>
  <c r="I115" i="150"/>
  <c r="D115" i="150"/>
  <c r="J115" i="150"/>
  <c r="E115" i="150"/>
  <c r="K115" i="150"/>
  <c r="G115" i="150"/>
  <c r="F115" i="150"/>
  <c r="C115" i="150"/>
  <c r="I116" i="150"/>
  <c r="D116" i="150"/>
  <c r="J116" i="150"/>
  <c r="E116" i="150"/>
  <c r="K116" i="150"/>
  <c r="G116" i="150"/>
  <c r="F116" i="150"/>
  <c r="C116" i="150"/>
  <c r="I117" i="150"/>
  <c r="D117" i="150"/>
  <c r="J117" i="150"/>
  <c r="E117" i="150"/>
  <c r="K117" i="150"/>
  <c r="G117" i="150"/>
  <c r="F117" i="150"/>
  <c r="C117" i="150"/>
  <c r="I118" i="150"/>
  <c r="D118" i="150"/>
  <c r="J118" i="150"/>
  <c r="E118" i="150"/>
  <c r="K118" i="150"/>
  <c r="G118" i="150"/>
  <c r="F118" i="150"/>
  <c r="C118" i="150"/>
  <c r="I119" i="150"/>
  <c r="D119" i="150"/>
  <c r="J119" i="150"/>
  <c r="E119" i="150"/>
  <c r="K119" i="150"/>
  <c r="G119" i="150"/>
  <c r="F119" i="150"/>
  <c r="C119" i="150"/>
  <c r="I120" i="150"/>
  <c r="D120" i="150"/>
  <c r="J120" i="150"/>
  <c r="E120" i="150"/>
  <c r="K120" i="150"/>
  <c r="G120" i="150"/>
  <c r="F120" i="150"/>
  <c r="C120" i="150"/>
  <c r="I121" i="150"/>
  <c r="D121" i="150"/>
  <c r="J121" i="150"/>
  <c r="E121" i="150"/>
  <c r="K121" i="150"/>
  <c r="G121" i="150"/>
  <c r="F121" i="150"/>
  <c r="C121" i="150"/>
  <c r="I122" i="150"/>
  <c r="D122" i="150"/>
  <c r="J122" i="150"/>
  <c r="E122" i="150"/>
  <c r="K122" i="150"/>
  <c r="G122" i="150"/>
  <c r="F122" i="150"/>
  <c r="C122" i="150"/>
  <c r="I123" i="150"/>
  <c r="D123" i="150"/>
  <c r="J123" i="150"/>
  <c r="E123" i="150"/>
  <c r="K123" i="150"/>
  <c r="G123" i="150"/>
  <c r="F123" i="150"/>
  <c r="C123" i="150"/>
  <c r="I124" i="150"/>
  <c r="D124" i="150"/>
  <c r="J124" i="150"/>
  <c r="E124" i="150"/>
  <c r="K124" i="150"/>
  <c r="G124" i="150"/>
  <c r="F124" i="150"/>
  <c r="C124" i="150"/>
  <c r="I125" i="150"/>
  <c r="D125" i="150"/>
  <c r="J125" i="150"/>
  <c r="E125" i="150"/>
  <c r="K125" i="150"/>
  <c r="G125" i="150"/>
  <c r="F125" i="150"/>
  <c r="C125" i="150"/>
  <c r="I126" i="150"/>
  <c r="D126" i="150"/>
  <c r="J126" i="150"/>
  <c r="E126" i="150"/>
  <c r="K126" i="150"/>
  <c r="G126" i="150"/>
  <c r="F126" i="150"/>
  <c r="C126" i="150"/>
  <c r="I127" i="150"/>
  <c r="D127" i="150"/>
  <c r="J127" i="150"/>
  <c r="E127" i="150"/>
  <c r="K127" i="150"/>
  <c r="G127" i="150"/>
  <c r="F127" i="150"/>
  <c r="C127" i="150"/>
  <c r="I128" i="150"/>
  <c r="D128" i="150"/>
  <c r="J128" i="150"/>
  <c r="E128" i="150"/>
  <c r="K128" i="150"/>
  <c r="G128" i="150"/>
  <c r="F128" i="150"/>
  <c r="C128" i="150"/>
  <c r="I129" i="150"/>
  <c r="D129" i="150"/>
  <c r="J129" i="150"/>
  <c r="E129" i="150"/>
  <c r="K129" i="150"/>
  <c r="G129" i="150"/>
  <c r="F129" i="150"/>
  <c r="C129" i="150"/>
  <c r="I130" i="150"/>
  <c r="D130" i="150"/>
  <c r="J130" i="150"/>
  <c r="E130" i="150"/>
  <c r="K130" i="150"/>
  <c r="G130" i="150"/>
  <c r="F130" i="150"/>
  <c r="C130" i="150"/>
  <c r="I131" i="150"/>
  <c r="D131" i="150"/>
  <c r="J131" i="150"/>
  <c r="E131" i="150"/>
  <c r="K131" i="150"/>
  <c r="G131" i="150"/>
  <c r="F131" i="150"/>
  <c r="C131" i="150"/>
  <c r="I132" i="150"/>
  <c r="D132" i="150"/>
  <c r="J132" i="150"/>
  <c r="E132" i="150"/>
  <c r="K132" i="150"/>
  <c r="G132" i="150"/>
  <c r="F132" i="150"/>
  <c r="C132" i="150"/>
  <c r="I133" i="150"/>
  <c r="D133" i="150"/>
  <c r="J133" i="150"/>
  <c r="E133" i="150"/>
  <c r="K133" i="150"/>
  <c r="G133" i="150"/>
  <c r="F133" i="150"/>
  <c r="C133" i="150"/>
  <c r="I134" i="150"/>
  <c r="D134" i="150"/>
  <c r="J134" i="150"/>
  <c r="E134" i="150"/>
  <c r="K134" i="150"/>
  <c r="G134" i="150"/>
  <c r="F134" i="150"/>
  <c r="C134" i="150"/>
  <c r="I135" i="150"/>
  <c r="D135" i="150"/>
  <c r="J135" i="150"/>
  <c r="E135" i="150"/>
  <c r="K135" i="150"/>
  <c r="G135" i="150"/>
  <c r="F135" i="150"/>
  <c r="C135" i="150"/>
  <c r="I136" i="150"/>
  <c r="D136" i="150"/>
  <c r="J136" i="150"/>
  <c r="E136" i="150"/>
  <c r="K136" i="150"/>
  <c r="G136" i="150"/>
  <c r="F136" i="150"/>
  <c r="C136" i="150"/>
  <c r="I137" i="150"/>
  <c r="D137" i="150"/>
  <c r="J137" i="150"/>
  <c r="E137" i="150"/>
  <c r="K137" i="150"/>
  <c r="G137" i="150"/>
  <c r="F137" i="150"/>
  <c r="C137" i="150"/>
  <c r="I138" i="150"/>
  <c r="D138" i="150"/>
  <c r="J138" i="150"/>
  <c r="E138" i="150"/>
  <c r="K138" i="150"/>
  <c r="G138" i="150"/>
  <c r="F138" i="150"/>
  <c r="C138" i="150"/>
  <c r="I139" i="150"/>
  <c r="D139" i="150"/>
  <c r="J139" i="150"/>
  <c r="E139" i="150"/>
  <c r="K139" i="150"/>
  <c r="G139" i="150"/>
  <c r="F139" i="150"/>
  <c r="C139" i="150"/>
  <c r="I140" i="150"/>
  <c r="D140" i="150"/>
  <c r="J140" i="150"/>
  <c r="E140" i="150"/>
  <c r="K140" i="150"/>
  <c r="G140" i="150"/>
  <c r="F140" i="150"/>
  <c r="C140" i="150"/>
  <c r="I141" i="150"/>
  <c r="D141" i="150"/>
  <c r="J141" i="150"/>
  <c r="E141" i="150"/>
  <c r="K141" i="150"/>
  <c r="G141" i="150"/>
  <c r="F141" i="150"/>
  <c r="C141" i="150"/>
  <c r="I142" i="150"/>
  <c r="D142" i="150"/>
  <c r="J142" i="150"/>
  <c r="E142" i="150"/>
  <c r="K142" i="150"/>
  <c r="G142" i="150"/>
  <c r="F142" i="150"/>
  <c r="C142" i="150"/>
  <c r="I143" i="150"/>
  <c r="D143" i="150"/>
  <c r="J143" i="150"/>
  <c r="E143" i="150"/>
  <c r="K143" i="150"/>
  <c r="G143" i="150"/>
  <c r="F143" i="150"/>
  <c r="C143" i="150"/>
  <c r="I144" i="150"/>
  <c r="D144" i="150"/>
  <c r="J144" i="150"/>
  <c r="E144" i="150"/>
  <c r="K144" i="150"/>
  <c r="G144" i="150"/>
  <c r="F144" i="150"/>
  <c r="C144" i="150"/>
  <c r="I145" i="150"/>
  <c r="D145" i="150"/>
  <c r="J145" i="150"/>
  <c r="E145" i="150"/>
  <c r="K145" i="150"/>
  <c r="G145" i="150"/>
  <c r="F145" i="150"/>
  <c r="C145" i="150"/>
  <c r="I146" i="150"/>
  <c r="D146" i="150"/>
  <c r="J146" i="150"/>
  <c r="E146" i="150"/>
  <c r="K146" i="150"/>
  <c r="G146" i="150"/>
  <c r="F146" i="150"/>
  <c r="C146" i="150"/>
  <c r="I147" i="150"/>
  <c r="D147" i="150"/>
  <c r="J147" i="150"/>
  <c r="E147" i="150"/>
  <c r="K147" i="150"/>
  <c r="G147" i="150"/>
  <c r="F147" i="150"/>
  <c r="C147" i="150"/>
  <c r="I148" i="150"/>
  <c r="D148" i="150"/>
  <c r="J148" i="150"/>
  <c r="E148" i="150"/>
  <c r="K148" i="150"/>
  <c r="G148" i="150"/>
  <c r="F148" i="150"/>
  <c r="C148" i="150"/>
  <c r="I149" i="150"/>
  <c r="D149" i="150"/>
  <c r="J149" i="150"/>
  <c r="E149" i="150"/>
  <c r="K149" i="150"/>
  <c r="G149" i="150"/>
  <c r="F149" i="150"/>
  <c r="C149" i="150"/>
  <c r="I150" i="150"/>
  <c r="D150" i="150"/>
  <c r="J150" i="150"/>
  <c r="E150" i="150"/>
  <c r="K150" i="150"/>
  <c r="G150" i="150"/>
  <c r="F150" i="150"/>
  <c r="C150" i="150"/>
  <c r="I151" i="150"/>
  <c r="D151" i="150"/>
  <c r="J151" i="150"/>
  <c r="E151" i="150"/>
  <c r="K151" i="150"/>
  <c r="G151" i="150"/>
  <c r="F151" i="150"/>
  <c r="C151" i="150"/>
  <c r="I152" i="150"/>
  <c r="D152" i="150"/>
  <c r="J152" i="150"/>
  <c r="E152" i="150"/>
  <c r="K152" i="150"/>
  <c r="G152" i="150"/>
  <c r="F152" i="150"/>
  <c r="C152" i="150"/>
  <c r="I153" i="150"/>
  <c r="D153" i="150"/>
  <c r="J153" i="150"/>
  <c r="E153" i="150"/>
  <c r="K153" i="150"/>
  <c r="G153" i="150"/>
  <c r="F153" i="150"/>
  <c r="C153" i="150"/>
  <c r="I154" i="150"/>
  <c r="D154" i="150"/>
  <c r="J154" i="150"/>
  <c r="E154" i="150"/>
  <c r="K154" i="150"/>
  <c r="G154" i="150"/>
  <c r="F154" i="150"/>
  <c r="C154" i="150"/>
  <c r="I155" i="150"/>
  <c r="D155" i="150"/>
  <c r="J155" i="150"/>
  <c r="E155" i="150"/>
  <c r="K155" i="150"/>
  <c r="G155" i="150"/>
  <c r="F155" i="150"/>
  <c r="C155" i="150"/>
  <c r="I156" i="150"/>
  <c r="D156" i="150"/>
  <c r="J156" i="150"/>
  <c r="E156" i="150"/>
  <c r="K156" i="150"/>
  <c r="G156" i="150"/>
  <c r="F156" i="150"/>
  <c r="C156" i="150"/>
  <c r="I157" i="150"/>
  <c r="D157" i="150"/>
  <c r="J157" i="150"/>
  <c r="E157" i="150"/>
  <c r="K157" i="150"/>
  <c r="G157" i="150"/>
  <c r="F157" i="150"/>
  <c r="C157" i="150"/>
  <c r="I158" i="150"/>
  <c r="D158" i="150"/>
  <c r="J158" i="150"/>
  <c r="E158" i="150"/>
  <c r="K158" i="150"/>
  <c r="G158" i="150"/>
  <c r="F158" i="150"/>
  <c r="C158" i="150"/>
  <c r="I159" i="150"/>
  <c r="D159" i="150"/>
  <c r="J159" i="150"/>
  <c r="E159" i="150"/>
  <c r="K159" i="150"/>
  <c r="G159" i="150"/>
  <c r="F159" i="150"/>
  <c r="C159" i="150"/>
  <c r="I160" i="150"/>
  <c r="D160" i="150"/>
  <c r="J160" i="150"/>
  <c r="E160" i="150"/>
  <c r="K160" i="150"/>
  <c r="G160" i="150"/>
  <c r="F160" i="150"/>
  <c r="C160" i="150"/>
  <c r="I161" i="150"/>
  <c r="D161" i="150"/>
  <c r="J161" i="150"/>
  <c r="E161" i="150"/>
  <c r="K161" i="150"/>
  <c r="G161" i="150"/>
  <c r="F161" i="150"/>
  <c r="C161" i="150"/>
  <c r="I162" i="150"/>
  <c r="D162" i="150"/>
  <c r="J162" i="150"/>
  <c r="E162" i="150"/>
  <c r="K162" i="150"/>
  <c r="G162" i="150"/>
  <c r="F162" i="150"/>
  <c r="C162" i="150"/>
  <c r="I163" i="150"/>
  <c r="D163" i="150"/>
  <c r="J163" i="150"/>
  <c r="E163" i="150"/>
  <c r="K163" i="150"/>
  <c r="G163" i="150"/>
  <c r="F163" i="150"/>
  <c r="C163" i="150"/>
  <c r="I164" i="150"/>
  <c r="D164" i="150"/>
  <c r="J164" i="150"/>
  <c r="E164" i="150"/>
  <c r="K164" i="150"/>
  <c r="G164" i="150"/>
  <c r="F164" i="150"/>
  <c r="C164" i="150"/>
  <c r="I165" i="150"/>
  <c r="D165" i="150"/>
  <c r="J165" i="150"/>
  <c r="E165" i="150"/>
  <c r="K165" i="150"/>
  <c r="G165" i="150"/>
  <c r="F165" i="150"/>
  <c r="C165" i="150"/>
  <c r="I166" i="150"/>
  <c r="D166" i="150"/>
  <c r="J166" i="150"/>
  <c r="E166" i="150"/>
  <c r="K166" i="150"/>
  <c r="G166" i="150"/>
  <c r="F166" i="150"/>
  <c r="C166" i="150"/>
  <c r="I167" i="150"/>
  <c r="D167" i="150"/>
  <c r="J167" i="150"/>
  <c r="E167" i="150"/>
  <c r="K167" i="150"/>
  <c r="G167" i="150"/>
  <c r="F167" i="150"/>
  <c r="C167" i="150"/>
  <c r="I168" i="150"/>
  <c r="D168" i="150"/>
  <c r="J168" i="150"/>
  <c r="E168" i="150"/>
  <c r="K168" i="150"/>
  <c r="G168" i="150"/>
  <c r="F168" i="150"/>
  <c r="C168" i="150"/>
  <c r="I169" i="150"/>
  <c r="D169" i="150"/>
  <c r="J169" i="150"/>
  <c r="E169" i="150"/>
  <c r="K169" i="150"/>
  <c r="G169" i="150"/>
  <c r="F169" i="150"/>
  <c r="C169" i="150"/>
  <c r="I170" i="150"/>
  <c r="D170" i="150"/>
  <c r="J170" i="150"/>
  <c r="E170" i="150"/>
  <c r="K170" i="150"/>
  <c r="G170" i="150"/>
  <c r="F170" i="150"/>
  <c r="C170" i="150"/>
  <c r="I171" i="150"/>
  <c r="D171" i="150"/>
  <c r="J171" i="150"/>
  <c r="E171" i="150"/>
  <c r="K171" i="150"/>
  <c r="G171" i="150"/>
  <c r="F171" i="150"/>
  <c r="C171" i="150"/>
  <c r="I172" i="150"/>
  <c r="D172" i="150"/>
  <c r="J172" i="150"/>
  <c r="E172" i="150"/>
  <c r="K172" i="150"/>
  <c r="G172" i="150"/>
  <c r="F172" i="150"/>
  <c r="C172" i="150"/>
  <c r="I173" i="150"/>
  <c r="D173" i="150"/>
  <c r="J173" i="150"/>
  <c r="E173" i="150"/>
  <c r="K173" i="150"/>
  <c r="G173" i="150"/>
  <c r="F173" i="150"/>
  <c r="C173" i="150"/>
  <c r="I174" i="150"/>
  <c r="D174" i="150"/>
  <c r="J174" i="150"/>
  <c r="E174" i="150"/>
  <c r="K174" i="150"/>
  <c r="G174" i="150"/>
  <c r="F174" i="150"/>
  <c r="C174" i="150"/>
  <c r="I175" i="150"/>
  <c r="D175" i="150"/>
  <c r="J175" i="150"/>
  <c r="E175" i="150"/>
  <c r="K175" i="150"/>
  <c r="G175" i="150"/>
  <c r="F175" i="150"/>
  <c r="C175" i="150"/>
  <c r="I176" i="150"/>
  <c r="D176" i="150"/>
  <c r="J176" i="150"/>
  <c r="E176" i="150"/>
  <c r="K176" i="150"/>
  <c r="G176" i="150"/>
  <c r="F176" i="150"/>
  <c r="C176" i="150"/>
  <c r="I177" i="150"/>
  <c r="D177" i="150"/>
  <c r="J177" i="150"/>
  <c r="E177" i="150"/>
  <c r="K177" i="150"/>
  <c r="G177" i="150"/>
  <c r="F177" i="150"/>
  <c r="C177" i="150"/>
  <c r="I178" i="150"/>
  <c r="D178" i="150"/>
  <c r="J178" i="150"/>
  <c r="E178" i="150"/>
  <c r="K178" i="150"/>
  <c r="G178" i="150"/>
  <c r="F178" i="150"/>
  <c r="C178" i="150"/>
  <c r="I179" i="150"/>
  <c r="D179" i="150"/>
  <c r="J179" i="150"/>
  <c r="E179" i="150"/>
  <c r="K179" i="150"/>
  <c r="G179" i="150"/>
  <c r="F179" i="150"/>
  <c r="C179" i="150"/>
  <c r="I180" i="150"/>
  <c r="D180" i="150"/>
  <c r="J180" i="150"/>
  <c r="E180" i="150"/>
  <c r="K180" i="150"/>
  <c r="G180" i="150"/>
  <c r="F180" i="150"/>
  <c r="C180" i="150"/>
  <c r="I181" i="150"/>
  <c r="D181" i="150"/>
  <c r="J181" i="150"/>
  <c r="E181" i="150"/>
  <c r="K181" i="150"/>
  <c r="G181" i="150"/>
  <c r="F181" i="150"/>
  <c r="C181" i="150"/>
  <c r="I182" i="150"/>
  <c r="D182" i="150"/>
  <c r="J182" i="150"/>
  <c r="E182" i="150"/>
  <c r="K182" i="150"/>
  <c r="G182" i="150"/>
  <c r="F182" i="150"/>
  <c r="C182" i="150"/>
  <c r="I183" i="150"/>
  <c r="D183" i="150"/>
  <c r="J183" i="150"/>
  <c r="E183" i="150"/>
  <c r="K183" i="150"/>
  <c r="G183" i="150"/>
  <c r="F183" i="150"/>
  <c r="C183" i="150"/>
  <c r="I184" i="150"/>
  <c r="D184" i="150"/>
  <c r="J184" i="150"/>
  <c r="E184" i="150"/>
  <c r="K184" i="150"/>
  <c r="G184" i="150"/>
  <c r="F184" i="150"/>
  <c r="C184" i="150"/>
  <c r="I185" i="150"/>
  <c r="D185" i="150"/>
  <c r="J185" i="150"/>
  <c r="E185" i="150"/>
  <c r="K185" i="150"/>
  <c r="G185" i="150"/>
  <c r="F185" i="150"/>
  <c r="C185" i="150"/>
  <c r="I186" i="150"/>
  <c r="D186" i="150"/>
  <c r="J186" i="150"/>
  <c r="E186" i="150"/>
  <c r="K186" i="150"/>
  <c r="G186" i="150"/>
  <c r="F186" i="150"/>
  <c r="C186" i="150"/>
  <c r="I187" i="150"/>
  <c r="D187" i="150"/>
  <c r="J187" i="150"/>
  <c r="E187" i="150"/>
  <c r="K187" i="150"/>
  <c r="G187" i="150"/>
  <c r="F187" i="150"/>
  <c r="C187" i="150"/>
  <c r="I188" i="150"/>
  <c r="D188" i="150"/>
  <c r="J188" i="150"/>
  <c r="E188" i="150"/>
  <c r="K188" i="150"/>
  <c r="G188" i="150"/>
  <c r="F188" i="150"/>
  <c r="C188" i="150"/>
  <c r="I189" i="150"/>
  <c r="D189" i="150"/>
  <c r="J189" i="150"/>
  <c r="E189" i="150"/>
  <c r="K189" i="150"/>
  <c r="G189" i="150"/>
  <c r="F189" i="150"/>
  <c r="C189" i="150"/>
  <c r="I190" i="150"/>
  <c r="D190" i="150"/>
  <c r="J190" i="150"/>
  <c r="E190" i="150"/>
  <c r="K190" i="150"/>
  <c r="G190" i="150"/>
  <c r="F190" i="150"/>
  <c r="C190" i="150"/>
  <c r="I191" i="150"/>
  <c r="D191" i="150"/>
  <c r="J191" i="150"/>
  <c r="E191" i="150"/>
  <c r="K191" i="150"/>
  <c r="G191" i="150"/>
  <c r="F191" i="150"/>
  <c r="C191" i="150"/>
  <c r="I192" i="150"/>
  <c r="D192" i="150"/>
  <c r="J192" i="150"/>
  <c r="E192" i="150"/>
  <c r="K192" i="150"/>
  <c r="G192" i="150"/>
  <c r="F192" i="150"/>
  <c r="C192" i="150"/>
  <c r="I193" i="150"/>
  <c r="D193" i="150"/>
  <c r="J193" i="150"/>
  <c r="E193" i="150"/>
  <c r="K193" i="150"/>
  <c r="G193" i="150"/>
  <c r="F193" i="150"/>
  <c r="C193" i="150"/>
  <c r="I194" i="150"/>
  <c r="D194" i="150"/>
  <c r="J194" i="150"/>
  <c r="E194" i="150"/>
  <c r="K194" i="150"/>
  <c r="G194" i="150"/>
  <c r="F194" i="150"/>
  <c r="C194" i="150"/>
  <c r="I195" i="150"/>
  <c r="D195" i="150"/>
  <c r="J195" i="150"/>
  <c r="E195" i="150"/>
  <c r="K195" i="150"/>
  <c r="G195" i="150"/>
  <c r="F195" i="150"/>
  <c r="C195" i="150"/>
  <c r="I196" i="150"/>
  <c r="D196" i="150"/>
  <c r="J196" i="150"/>
  <c r="E196" i="150"/>
  <c r="K196" i="150"/>
  <c r="G196" i="150"/>
  <c r="F196" i="150"/>
  <c r="C196" i="150"/>
  <c r="I197" i="150"/>
  <c r="D197" i="150"/>
  <c r="J197" i="150"/>
  <c r="E197" i="150"/>
  <c r="K197" i="150"/>
  <c r="G197" i="150"/>
  <c r="F197" i="150"/>
  <c r="C197" i="150"/>
  <c r="I198" i="150"/>
  <c r="D198" i="150"/>
  <c r="J198" i="150"/>
  <c r="E198" i="150"/>
  <c r="K198" i="150"/>
  <c r="G198" i="150"/>
  <c r="F198" i="150"/>
  <c r="C198" i="150"/>
  <c r="I199" i="150"/>
  <c r="D199" i="150"/>
  <c r="J199" i="150"/>
  <c r="E199" i="150"/>
  <c r="K199" i="150"/>
  <c r="G199" i="150"/>
  <c r="F199" i="150"/>
  <c r="C199" i="150"/>
  <c r="I200" i="150"/>
  <c r="D200" i="150"/>
  <c r="J200" i="150"/>
  <c r="E200" i="150"/>
  <c r="K200" i="150"/>
  <c r="G200" i="150"/>
  <c r="F200" i="150"/>
  <c r="C200" i="150"/>
  <c r="I201" i="150"/>
  <c r="D201" i="150"/>
  <c r="J201" i="150"/>
  <c r="E201" i="150"/>
  <c r="K201" i="150"/>
  <c r="G201" i="150"/>
  <c r="F201" i="150"/>
  <c r="C201" i="150"/>
  <c r="I202" i="150"/>
  <c r="D202" i="150"/>
  <c r="J202" i="150"/>
  <c r="E202" i="150"/>
  <c r="K202" i="150"/>
  <c r="G202" i="150"/>
  <c r="F202" i="150"/>
  <c r="C202" i="150"/>
  <c r="I203" i="150"/>
  <c r="D203" i="150"/>
  <c r="J203" i="150"/>
  <c r="E203" i="150"/>
  <c r="K203" i="150"/>
  <c r="G203" i="150"/>
  <c r="F203" i="150"/>
  <c r="C203" i="150"/>
  <c r="I204" i="150"/>
  <c r="D204" i="150"/>
  <c r="J204" i="150"/>
  <c r="E204" i="150"/>
  <c r="K204" i="150"/>
  <c r="G204" i="150"/>
  <c r="F204" i="150"/>
  <c r="C204" i="150"/>
  <c r="I205" i="150"/>
  <c r="D205" i="150"/>
  <c r="J205" i="150"/>
  <c r="E205" i="150"/>
  <c r="K205" i="150"/>
  <c r="G205" i="150"/>
  <c r="F205" i="150"/>
  <c r="C205" i="150"/>
  <c r="I206" i="150"/>
  <c r="D206" i="150"/>
  <c r="J206" i="150"/>
  <c r="E206" i="150"/>
  <c r="K206" i="150"/>
  <c r="G206" i="150"/>
  <c r="F206" i="150"/>
  <c r="C206" i="150"/>
  <c r="I207" i="150"/>
  <c r="D207" i="150"/>
  <c r="J207" i="150"/>
  <c r="E207" i="150"/>
  <c r="K207" i="150"/>
  <c r="G207" i="150"/>
  <c r="F207" i="150"/>
  <c r="C207" i="150"/>
  <c r="I208" i="150"/>
  <c r="D208" i="150"/>
  <c r="J208" i="150"/>
  <c r="E208" i="150"/>
  <c r="K208" i="150"/>
  <c r="G208" i="150"/>
  <c r="F208" i="150"/>
  <c r="C208" i="150"/>
  <c r="I209" i="150"/>
  <c r="D209" i="150"/>
  <c r="J209" i="150"/>
  <c r="E209" i="150"/>
  <c r="K209" i="150"/>
  <c r="G209" i="150"/>
  <c r="F209" i="150"/>
  <c r="C209" i="150"/>
  <c r="I210" i="150"/>
  <c r="D210" i="150"/>
  <c r="J210" i="150"/>
  <c r="E210" i="150"/>
  <c r="K210" i="150"/>
  <c r="G210" i="150"/>
  <c r="F210" i="150"/>
  <c r="C210" i="150"/>
  <c r="I211" i="150"/>
  <c r="D211" i="150"/>
  <c r="J211" i="150"/>
  <c r="E211" i="150"/>
  <c r="K211" i="150"/>
  <c r="G211" i="150"/>
  <c r="F211" i="150"/>
  <c r="C211" i="150"/>
  <c r="I212" i="150"/>
  <c r="D212" i="150"/>
  <c r="J212" i="150"/>
  <c r="E212" i="150"/>
  <c r="K212" i="150"/>
  <c r="G212" i="150"/>
  <c r="F212" i="150"/>
  <c r="C212" i="150"/>
  <c r="I213" i="150"/>
  <c r="D213" i="150"/>
  <c r="J213" i="150"/>
  <c r="E213" i="150"/>
  <c r="K213" i="150"/>
  <c r="G213" i="150"/>
  <c r="F213" i="150"/>
  <c r="C213" i="150"/>
  <c r="I214" i="150"/>
  <c r="D214" i="150"/>
  <c r="J214" i="150"/>
  <c r="E214" i="150"/>
  <c r="K214" i="150"/>
  <c r="G214" i="150"/>
  <c r="F214" i="150"/>
  <c r="C214" i="150"/>
  <c r="I215" i="150"/>
  <c r="J215" i="150"/>
  <c r="D215" i="150"/>
  <c r="E215" i="150"/>
  <c r="K215" i="150"/>
  <c r="G215" i="150"/>
  <c r="F215" i="150"/>
  <c r="C215" i="150"/>
  <c r="I216" i="150"/>
  <c r="J216" i="150"/>
  <c r="D216" i="150"/>
  <c r="E216" i="150"/>
  <c r="K216" i="150"/>
  <c r="G216" i="150"/>
  <c r="F216" i="150"/>
  <c r="C216" i="150"/>
  <c r="I217" i="150"/>
  <c r="J217" i="150"/>
  <c r="D217" i="150"/>
  <c r="E217" i="150"/>
  <c r="K217" i="150"/>
  <c r="G217" i="150"/>
  <c r="F217" i="150"/>
  <c r="C217" i="150"/>
  <c r="I218" i="150"/>
  <c r="J218" i="150"/>
  <c r="D218" i="150"/>
  <c r="E218" i="150"/>
  <c r="K218" i="150"/>
  <c r="G218" i="150"/>
  <c r="F218" i="150"/>
  <c r="C218" i="150"/>
  <c r="I219" i="150"/>
  <c r="J219" i="150"/>
  <c r="D219" i="150"/>
  <c r="E219" i="150"/>
  <c r="K219" i="150"/>
  <c r="G219" i="150"/>
  <c r="F219" i="150"/>
  <c r="C219" i="150"/>
  <c r="I220" i="150"/>
  <c r="J220" i="150"/>
  <c r="D220" i="150"/>
  <c r="E220" i="150"/>
  <c r="K220" i="150"/>
  <c r="G220" i="150"/>
  <c r="F220" i="150"/>
  <c r="C220" i="150"/>
  <c r="I221" i="150"/>
  <c r="D221" i="150"/>
  <c r="J221" i="150"/>
  <c r="E221" i="150"/>
  <c r="K221" i="150"/>
  <c r="G221" i="150"/>
  <c r="F221" i="150"/>
  <c r="C221" i="150"/>
  <c r="I222" i="150"/>
  <c r="D222" i="150"/>
  <c r="J222" i="150"/>
  <c r="E222" i="150"/>
  <c r="K222" i="150"/>
  <c r="G222" i="150"/>
  <c r="F222" i="150"/>
  <c r="C222" i="150"/>
  <c r="I223" i="150"/>
  <c r="D223" i="150"/>
  <c r="J223" i="150"/>
  <c r="E223" i="150"/>
  <c r="K223" i="150"/>
  <c r="G223" i="150"/>
  <c r="F223" i="150"/>
  <c r="C223" i="150"/>
  <c r="I224" i="150"/>
  <c r="D224" i="150"/>
  <c r="J224" i="150"/>
  <c r="E224" i="150"/>
  <c r="K224" i="150"/>
  <c r="G224" i="150"/>
  <c r="F224" i="150"/>
  <c r="C224" i="150"/>
  <c r="I225" i="150"/>
  <c r="D225" i="150"/>
  <c r="J225" i="150"/>
  <c r="E225" i="150"/>
  <c r="K225" i="150"/>
  <c r="G225" i="150"/>
  <c r="F225" i="150"/>
  <c r="C225" i="150"/>
  <c r="I226" i="150"/>
  <c r="D226" i="150"/>
  <c r="J226" i="150"/>
  <c r="E226" i="150"/>
  <c r="K226" i="150"/>
  <c r="G226" i="150"/>
  <c r="F226" i="150"/>
  <c r="C226" i="150"/>
  <c r="I227" i="150"/>
  <c r="D227" i="150"/>
  <c r="J227" i="150"/>
  <c r="E227" i="150"/>
  <c r="K227" i="150"/>
  <c r="G227" i="150"/>
  <c r="F227" i="150"/>
  <c r="C227" i="150"/>
  <c r="I228" i="150"/>
  <c r="D228" i="150"/>
  <c r="J228" i="150"/>
  <c r="E228" i="150"/>
  <c r="K228" i="150"/>
  <c r="G228" i="150"/>
  <c r="F228" i="150"/>
  <c r="C228" i="150"/>
  <c r="I229" i="150"/>
  <c r="D229" i="150"/>
  <c r="J229" i="150"/>
  <c r="E229" i="150"/>
  <c r="K229" i="150"/>
  <c r="G229" i="150"/>
  <c r="F229" i="150"/>
  <c r="C229" i="150"/>
  <c r="I230" i="150"/>
  <c r="D230" i="150"/>
  <c r="J230" i="150"/>
  <c r="E230" i="150"/>
  <c r="K230" i="150"/>
  <c r="G230" i="150"/>
  <c r="F230" i="150"/>
  <c r="C230" i="150"/>
  <c r="I231" i="150"/>
  <c r="D231" i="150"/>
  <c r="J231" i="150"/>
  <c r="E231" i="150"/>
  <c r="K231" i="150"/>
  <c r="G231" i="150"/>
  <c r="F231" i="150"/>
  <c r="C231" i="150"/>
  <c r="I232" i="150"/>
  <c r="D232" i="150"/>
  <c r="J232" i="150"/>
  <c r="E232" i="150"/>
  <c r="K232" i="150"/>
  <c r="G232" i="150"/>
  <c r="F232" i="150"/>
  <c r="C232" i="150"/>
  <c r="I233" i="150"/>
  <c r="D233" i="150"/>
  <c r="J233" i="150"/>
  <c r="E233" i="150"/>
  <c r="K233" i="150"/>
  <c r="G233" i="150"/>
  <c r="F233" i="150"/>
  <c r="C233" i="150"/>
  <c r="I234" i="150"/>
  <c r="D234" i="150"/>
  <c r="J234" i="150"/>
  <c r="E234" i="150"/>
  <c r="K234" i="150"/>
  <c r="G234" i="150"/>
  <c r="F234" i="150"/>
  <c r="C234" i="150"/>
  <c r="I235" i="150"/>
  <c r="D235" i="150"/>
  <c r="J235" i="150"/>
  <c r="E235" i="150"/>
  <c r="K235" i="150"/>
  <c r="G235" i="150"/>
  <c r="F235" i="150"/>
  <c r="C235" i="150"/>
  <c r="I236" i="150"/>
  <c r="D236" i="150"/>
  <c r="J236" i="150"/>
  <c r="E236" i="150"/>
  <c r="K236" i="150"/>
  <c r="G236" i="150"/>
  <c r="F236" i="150"/>
  <c r="C236" i="150"/>
  <c r="I237" i="150"/>
  <c r="D237" i="150"/>
  <c r="J237" i="150"/>
  <c r="E237" i="150"/>
  <c r="K237" i="150"/>
  <c r="G237" i="150"/>
  <c r="F237" i="150"/>
  <c r="C237" i="150"/>
  <c r="I238" i="150"/>
  <c r="D238" i="150"/>
  <c r="J238" i="150"/>
  <c r="E238" i="150"/>
  <c r="K238" i="150"/>
  <c r="G238" i="150"/>
  <c r="F238" i="150"/>
  <c r="C238" i="150"/>
  <c r="I239" i="150"/>
  <c r="D239" i="150"/>
  <c r="J239" i="150"/>
  <c r="E239" i="150"/>
  <c r="K239" i="150"/>
  <c r="G239" i="150"/>
  <c r="F239" i="150"/>
  <c r="C239" i="150"/>
  <c r="I240" i="150"/>
  <c r="D240" i="150"/>
  <c r="J240" i="150"/>
  <c r="E240" i="150"/>
  <c r="K240" i="150"/>
  <c r="G240" i="150"/>
  <c r="F240" i="150"/>
  <c r="C240" i="150"/>
  <c r="I241" i="150"/>
  <c r="D241" i="150"/>
  <c r="J241" i="150"/>
  <c r="E241" i="150"/>
  <c r="K241" i="150"/>
  <c r="G241" i="150"/>
  <c r="F241" i="150"/>
  <c r="C241" i="150"/>
  <c r="I242" i="150"/>
  <c r="D242" i="150"/>
  <c r="J242" i="150"/>
  <c r="E242" i="150"/>
  <c r="K242" i="150"/>
  <c r="G242" i="150"/>
  <c r="F242" i="150"/>
  <c r="C242" i="150"/>
  <c r="I243" i="150"/>
  <c r="D243" i="150"/>
  <c r="J243" i="150"/>
  <c r="E243" i="150"/>
  <c r="K243" i="150"/>
  <c r="G243" i="150"/>
  <c r="F243" i="150"/>
  <c r="C243" i="150"/>
  <c r="I244" i="150"/>
  <c r="D244" i="150"/>
  <c r="J244" i="150"/>
  <c r="E244" i="150"/>
  <c r="K244" i="150"/>
  <c r="G244" i="150"/>
  <c r="F244" i="150"/>
  <c r="C244" i="150"/>
  <c r="I245" i="150"/>
  <c r="D245" i="150"/>
  <c r="J245" i="150"/>
  <c r="E245" i="150"/>
  <c r="K245" i="150"/>
  <c r="G245" i="150"/>
  <c r="F245" i="150"/>
  <c r="C245" i="150"/>
  <c r="I246" i="150"/>
  <c r="D246" i="150"/>
  <c r="J246" i="150"/>
  <c r="E246" i="150"/>
  <c r="K246" i="150"/>
  <c r="G246" i="150"/>
  <c r="F246" i="150"/>
  <c r="C246" i="150"/>
  <c r="I247" i="150"/>
  <c r="D247" i="150"/>
  <c r="J247" i="150"/>
  <c r="E247" i="150"/>
  <c r="K247" i="150"/>
  <c r="G247" i="150"/>
  <c r="F247" i="150"/>
  <c r="C247" i="150"/>
  <c r="I248" i="150"/>
  <c r="D248" i="150"/>
  <c r="J248" i="150"/>
  <c r="E248" i="150"/>
  <c r="K248" i="150"/>
  <c r="G248" i="150"/>
  <c r="F248" i="150"/>
  <c r="C248" i="150"/>
  <c r="I249" i="150"/>
  <c r="D249" i="150"/>
  <c r="J249" i="150"/>
  <c r="E249" i="150"/>
  <c r="K249" i="150"/>
  <c r="G249" i="150"/>
  <c r="F249" i="150"/>
  <c r="C249" i="150"/>
  <c r="I250" i="150"/>
  <c r="D250" i="150"/>
  <c r="J250" i="150"/>
  <c r="E250" i="150"/>
  <c r="K250" i="150"/>
  <c r="G250" i="150"/>
  <c r="F250" i="150"/>
  <c r="C250" i="150"/>
  <c r="I251" i="150"/>
  <c r="D251" i="150"/>
  <c r="J251" i="150"/>
  <c r="E251" i="150"/>
  <c r="K251" i="150"/>
  <c r="G251" i="150"/>
  <c r="F251" i="150"/>
  <c r="C251" i="150"/>
  <c r="I252" i="150"/>
  <c r="D252" i="150"/>
  <c r="J252" i="150"/>
  <c r="E252" i="150"/>
  <c r="K252" i="150"/>
  <c r="G252" i="150"/>
  <c r="F252" i="150"/>
  <c r="C252" i="150"/>
  <c r="I253" i="150"/>
  <c r="D253" i="150"/>
  <c r="J253" i="150"/>
  <c r="E253" i="150"/>
  <c r="K253" i="150"/>
  <c r="G253" i="150"/>
  <c r="F253" i="150"/>
  <c r="C253" i="150"/>
  <c r="I254" i="150"/>
  <c r="D254" i="150"/>
  <c r="J254" i="150"/>
  <c r="E254" i="150"/>
  <c r="K254" i="150"/>
  <c r="G254" i="150"/>
  <c r="F254" i="150"/>
  <c r="C254" i="150"/>
  <c r="I255" i="150"/>
  <c r="D255" i="150"/>
  <c r="J255" i="150"/>
  <c r="E255" i="150"/>
  <c r="K255" i="150"/>
  <c r="G255" i="150"/>
  <c r="F255" i="150"/>
  <c r="C255" i="150"/>
  <c r="I256" i="150"/>
  <c r="D256" i="150"/>
  <c r="J256" i="150"/>
  <c r="E256" i="150"/>
  <c r="K256" i="150"/>
  <c r="G256" i="150"/>
  <c r="F256" i="150"/>
  <c r="C256" i="150"/>
  <c r="I257" i="150"/>
  <c r="D257" i="150"/>
  <c r="J257" i="150"/>
  <c r="E257" i="150"/>
  <c r="K257" i="150"/>
  <c r="G257" i="150"/>
  <c r="F257" i="150"/>
  <c r="C257" i="150"/>
  <c r="I258" i="150"/>
  <c r="D258" i="150"/>
  <c r="J258" i="150"/>
  <c r="E258" i="150"/>
  <c r="K258" i="150"/>
  <c r="G258" i="150"/>
  <c r="F258" i="150"/>
  <c r="C258" i="150"/>
  <c r="I259" i="150"/>
  <c r="D259" i="150"/>
  <c r="J259" i="150"/>
  <c r="E259" i="150"/>
  <c r="K259" i="150"/>
  <c r="G259" i="150"/>
  <c r="F259" i="150"/>
  <c r="C259" i="150"/>
  <c r="I260" i="150"/>
  <c r="D260" i="150"/>
  <c r="J260" i="150"/>
  <c r="E260" i="150"/>
  <c r="K260" i="150"/>
  <c r="G260" i="150"/>
  <c r="F260" i="150"/>
  <c r="C260" i="150"/>
  <c r="I261" i="150"/>
  <c r="D261" i="150"/>
  <c r="J261" i="150"/>
  <c r="E261" i="150"/>
  <c r="K261" i="150"/>
  <c r="G261" i="150"/>
  <c r="F261" i="150"/>
  <c r="C261" i="150"/>
  <c r="I262" i="150"/>
  <c r="D262" i="150"/>
  <c r="J262" i="150"/>
  <c r="E262" i="150"/>
  <c r="K262" i="150"/>
  <c r="G262" i="150"/>
  <c r="F262" i="150"/>
  <c r="C262" i="150"/>
  <c r="I263" i="150"/>
  <c r="D263" i="150"/>
  <c r="J263" i="150"/>
  <c r="E263" i="150"/>
  <c r="K263" i="150"/>
  <c r="G263" i="150"/>
  <c r="F263" i="150"/>
  <c r="C263" i="150"/>
  <c r="I264" i="150"/>
  <c r="D264" i="150"/>
  <c r="J264" i="150"/>
  <c r="E264" i="150"/>
  <c r="K264" i="150"/>
  <c r="G264" i="150"/>
  <c r="F264" i="150"/>
  <c r="C264" i="150"/>
  <c r="I265" i="150"/>
  <c r="D265" i="150"/>
  <c r="J265" i="150"/>
  <c r="E265" i="150"/>
  <c r="K265" i="150"/>
  <c r="G265" i="150"/>
  <c r="F265" i="150"/>
  <c r="C265" i="150"/>
  <c r="I266" i="150"/>
  <c r="D266" i="150"/>
  <c r="J266" i="150"/>
  <c r="E266" i="150"/>
  <c r="K266" i="150"/>
  <c r="G266" i="150"/>
  <c r="F266" i="150"/>
  <c r="C266" i="150"/>
  <c r="I267" i="150"/>
  <c r="D267" i="150"/>
  <c r="J267" i="150"/>
  <c r="E267" i="150"/>
  <c r="K267" i="150"/>
  <c r="G267" i="150"/>
  <c r="F267" i="150"/>
  <c r="C267" i="150"/>
  <c r="I268" i="150"/>
  <c r="D268" i="150"/>
  <c r="J268" i="150"/>
  <c r="E268" i="150"/>
  <c r="K268" i="150"/>
  <c r="G268" i="150"/>
  <c r="F268" i="150"/>
  <c r="C268" i="150"/>
  <c r="I269" i="150"/>
  <c r="D269" i="150"/>
  <c r="J269" i="150"/>
  <c r="E269" i="150"/>
  <c r="K269" i="150"/>
  <c r="G269" i="150"/>
  <c r="F269" i="150"/>
  <c r="C269" i="150"/>
  <c r="I270" i="150"/>
  <c r="D270" i="150"/>
  <c r="J270" i="150"/>
  <c r="E270" i="150"/>
  <c r="K270" i="150"/>
  <c r="G270" i="150"/>
  <c r="F270" i="150"/>
  <c r="C270" i="150"/>
  <c r="I271" i="150"/>
  <c r="D271" i="150"/>
  <c r="J271" i="150"/>
  <c r="E271" i="150"/>
  <c r="K271" i="150"/>
  <c r="G271" i="150"/>
  <c r="F271" i="150"/>
  <c r="C271" i="150"/>
  <c r="I272" i="150"/>
  <c r="D272" i="150"/>
  <c r="J272" i="150"/>
  <c r="E272" i="150"/>
  <c r="K272" i="150"/>
  <c r="G272" i="150"/>
  <c r="F272" i="150"/>
  <c r="C272" i="150"/>
  <c r="I273" i="150"/>
  <c r="D273" i="150"/>
  <c r="J273" i="150"/>
  <c r="E273" i="150"/>
  <c r="K273" i="150"/>
  <c r="G273" i="150"/>
  <c r="F273" i="150"/>
  <c r="C273" i="150"/>
  <c r="I274" i="150"/>
  <c r="D274" i="150"/>
  <c r="J274" i="150"/>
  <c r="E274" i="150"/>
  <c r="K274" i="150"/>
  <c r="G274" i="150"/>
  <c r="F274" i="150"/>
  <c r="C274" i="150"/>
  <c r="I275" i="150"/>
  <c r="D275" i="150"/>
  <c r="J275" i="150"/>
  <c r="E275" i="150"/>
  <c r="K275" i="150"/>
  <c r="G275" i="150"/>
  <c r="F275" i="150"/>
  <c r="C275" i="150"/>
  <c r="I276" i="150"/>
  <c r="D276" i="150"/>
  <c r="J276" i="150"/>
  <c r="E276" i="150"/>
  <c r="K276" i="150"/>
  <c r="G276" i="150"/>
  <c r="F276" i="150"/>
  <c r="C276" i="150"/>
  <c r="I277" i="150"/>
  <c r="D277" i="150"/>
  <c r="J277" i="150"/>
  <c r="E277" i="150"/>
  <c r="K277" i="150"/>
  <c r="G277" i="150"/>
  <c r="F277" i="150"/>
  <c r="C277" i="150"/>
  <c r="I278" i="150"/>
  <c r="D278" i="150"/>
  <c r="J278" i="150"/>
  <c r="E278" i="150"/>
  <c r="K278" i="150"/>
  <c r="G278" i="150"/>
  <c r="F278" i="150"/>
  <c r="C278" i="150"/>
  <c r="I279" i="150"/>
  <c r="D279" i="150"/>
  <c r="J279" i="150"/>
  <c r="E279" i="150"/>
  <c r="K279" i="150"/>
  <c r="G279" i="150"/>
  <c r="F279" i="150"/>
  <c r="C279" i="150"/>
  <c r="I280" i="150"/>
  <c r="D280" i="150"/>
  <c r="J280" i="150"/>
  <c r="E280" i="150"/>
  <c r="K280" i="150"/>
  <c r="G280" i="150"/>
  <c r="F280" i="150"/>
  <c r="C280" i="150"/>
  <c r="I281" i="150"/>
  <c r="D281" i="150"/>
  <c r="J281" i="150"/>
  <c r="E281" i="150"/>
  <c r="K281" i="150"/>
  <c r="G281" i="150"/>
  <c r="F281" i="150"/>
  <c r="C281" i="150"/>
  <c r="I282" i="150"/>
  <c r="D282" i="150"/>
  <c r="J282" i="150"/>
  <c r="E282" i="150"/>
  <c r="K282" i="150"/>
  <c r="G282" i="150"/>
  <c r="F282" i="150"/>
  <c r="C282" i="150"/>
  <c r="I283" i="150"/>
  <c r="D283" i="150"/>
  <c r="J283" i="150"/>
  <c r="E283" i="150"/>
  <c r="K283" i="150"/>
  <c r="G283" i="150"/>
  <c r="F283" i="150"/>
  <c r="C283" i="150"/>
  <c r="I284" i="150"/>
  <c r="D284" i="150"/>
  <c r="J284" i="150"/>
  <c r="E284" i="150"/>
  <c r="K284" i="150"/>
  <c r="G284" i="150"/>
  <c r="F284" i="150"/>
  <c r="C284" i="150"/>
  <c r="I285" i="150"/>
  <c r="D285" i="150"/>
  <c r="J285" i="150"/>
  <c r="E285" i="150"/>
  <c r="K285" i="150"/>
  <c r="G285" i="150"/>
  <c r="F285" i="150"/>
  <c r="C285" i="150"/>
  <c r="I286" i="150"/>
  <c r="D286" i="150"/>
  <c r="J286" i="150"/>
  <c r="E286" i="150"/>
  <c r="K286" i="150"/>
  <c r="G286" i="150"/>
  <c r="F286" i="150"/>
  <c r="C286" i="150"/>
  <c r="I287" i="150"/>
  <c r="D287" i="150"/>
  <c r="J287" i="150"/>
  <c r="E287" i="150"/>
  <c r="K287" i="150"/>
  <c r="G287" i="150"/>
  <c r="F287" i="150"/>
  <c r="C287" i="150"/>
  <c r="I288" i="150"/>
  <c r="D288" i="150"/>
  <c r="J288" i="150"/>
  <c r="E288" i="150"/>
  <c r="K288" i="150"/>
  <c r="G288" i="150"/>
  <c r="F288" i="150"/>
  <c r="C288" i="150"/>
  <c r="I289" i="150"/>
  <c r="D289" i="150"/>
  <c r="J289" i="150"/>
  <c r="E289" i="150"/>
  <c r="K289" i="150"/>
  <c r="G289" i="150"/>
  <c r="F289" i="150"/>
  <c r="C289" i="150"/>
  <c r="I290" i="150"/>
  <c r="D290" i="150"/>
  <c r="J290" i="150"/>
  <c r="E290" i="150"/>
  <c r="K290" i="150"/>
  <c r="G290" i="150"/>
  <c r="F290" i="150"/>
  <c r="C290" i="150"/>
  <c r="I291" i="150"/>
  <c r="D291" i="150"/>
  <c r="J291" i="150"/>
  <c r="E291" i="150"/>
  <c r="K291" i="150"/>
  <c r="G291" i="150"/>
  <c r="F291" i="150"/>
  <c r="C291" i="150"/>
  <c r="I292" i="150"/>
  <c r="D292" i="150"/>
  <c r="J292" i="150"/>
  <c r="E292" i="150"/>
  <c r="K292" i="150"/>
  <c r="G292" i="150"/>
  <c r="F292" i="150"/>
  <c r="C292" i="150"/>
  <c r="I293" i="150"/>
  <c r="D293" i="150"/>
  <c r="J293" i="150"/>
  <c r="E293" i="150"/>
  <c r="K293" i="150"/>
  <c r="G293" i="150"/>
  <c r="F293" i="150"/>
  <c r="C293" i="150"/>
  <c r="I294" i="150"/>
  <c r="D294" i="150"/>
  <c r="J294" i="150"/>
  <c r="E294" i="150"/>
  <c r="K294" i="150"/>
  <c r="G294" i="150"/>
  <c r="F294" i="150"/>
  <c r="C294" i="150"/>
  <c r="I295" i="150"/>
  <c r="D295" i="150"/>
  <c r="J295" i="150"/>
  <c r="E295" i="150"/>
  <c r="K295" i="150"/>
  <c r="G295" i="150"/>
  <c r="F295" i="150"/>
  <c r="C295" i="150"/>
  <c r="I296" i="150"/>
  <c r="D296" i="150"/>
  <c r="J296" i="150"/>
  <c r="E296" i="150"/>
  <c r="K296" i="150"/>
  <c r="G296" i="150"/>
  <c r="F296" i="150"/>
  <c r="C296" i="150"/>
  <c r="I297" i="150"/>
  <c r="D297" i="150"/>
  <c r="J297" i="150"/>
  <c r="E297" i="150"/>
  <c r="K297" i="150"/>
  <c r="G297" i="150"/>
  <c r="F297" i="150"/>
  <c r="C297" i="150"/>
  <c r="I298" i="150"/>
  <c r="D298" i="150"/>
  <c r="J298" i="150"/>
  <c r="E298" i="150"/>
  <c r="K298" i="150"/>
  <c r="G298" i="150"/>
  <c r="F298" i="150"/>
  <c r="C298" i="150"/>
  <c r="I299" i="150"/>
  <c r="D299" i="150"/>
  <c r="J299" i="150"/>
  <c r="E299" i="150"/>
  <c r="K299" i="150"/>
  <c r="G299" i="150"/>
  <c r="F299" i="150"/>
  <c r="C299" i="150"/>
  <c r="I300" i="150"/>
  <c r="D300" i="150"/>
  <c r="J300" i="150"/>
  <c r="E300" i="150"/>
  <c r="K300" i="150"/>
  <c r="G300" i="150"/>
  <c r="F300" i="150"/>
  <c r="C300" i="150"/>
  <c r="I301" i="150"/>
  <c r="D301" i="150"/>
  <c r="J301" i="150"/>
  <c r="E301" i="150"/>
  <c r="K301" i="150"/>
  <c r="G301" i="150"/>
  <c r="F301" i="150"/>
  <c r="C301" i="150"/>
  <c r="I302" i="150"/>
  <c r="D302" i="150"/>
  <c r="J302" i="150"/>
  <c r="E302" i="150"/>
  <c r="K302" i="150"/>
  <c r="G302" i="150"/>
  <c r="F302" i="150"/>
  <c r="C302" i="150"/>
  <c r="I303" i="150"/>
  <c r="D303" i="150"/>
  <c r="J303" i="150"/>
  <c r="E303" i="150"/>
  <c r="K303" i="150"/>
  <c r="G303" i="150"/>
  <c r="F303" i="150"/>
  <c r="C303" i="150"/>
  <c r="I304" i="150"/>
  <c r="D304" i="150"/>
  <c r="J304" i="150"/>
  <c r="E304" i="150"/>
  <c r="K304" i="150"/>
  <c r="G304" i="150"/>
  <c r="F304" i="150"/>
  <c r="C304" i="150"/>
  <c r="I305" i="150"/>
  <c r="D305" i="150"/>
  <c r="J305" i="150"/>
  <c r="E305" i="150"/>
  <c r="K305" i="150"/>
  <c r="G305" i="150"/>
  <c r="F305" i="150"/>
  <c r="C305" i="150"/>
  <c r="I306" i="150"/>
  <c r="D306" i="150"/>
  <c r="J306" i="150"/>
  <c r="E306" i="150"/>
  <c r="K306" i="150"/>
  <c r="G306" i="150"/>
  <c r="F306" i="150"/>
  <c r="C306" i="150"/>
  <c r="I307" i="150"/>
  <c r="D307" i="150"/>
  <c r="J307" i="150"/>
  <c r="E307" i="150"/>
  <c r="K307" i="150"/>
  <c r="G307" i="150"/>
  <c r="F307" i="150"/>
  <c r="C307" i="150"/>
  <c r="I308" i="150"/>
  <c r="D308" i="150"/>
  <c r="J308" i="150"/>
  <c r="E308" i="150"/>
  <c r="K308" i="150"/>
  <c r="G308" i="150"/>
  <c r="F308" i="150"/>
  <c r="C308" i="150"/>
  <c r="I309" i="150"/>
  <c r="D309" i="150"/>
  <c r="J309" i="150"/>
  <c r="E309" i="150"/>
  <c r="K309" i="150"/>
  <c r="G309" i="150"/>
  <c r="F309" i="150"/>
  <c r="C309" i="150"/>
  <c r="I310" i="150"/>
  <c r="D310" i="150"/>
  <c r="J310" i="150"/>
  <c r="E310" i="150"/>
  <c r="K310" i="150"/>
  <c r="G310" i="150"/>
  <c r="F310" i="150"/>
  <c r="C310" i="150"/>
  <c r="I311" i="150"/>
  <c r="D311" i="150"/>
  <c r="J311" i="150"/>
  <c r="E311" i="150"/>
  <c r="K311" i="150"/>
  <c r="G311" i="150"/>
  <c r="F311" i="150"/>
  <c r="C311" i="150"/>
  <c r="I312" i="150"/>
  <c r="D312" i="150"/>
  <c r="J312" i="150"/>
  <c r="E312" i="150"/>
  <c r="K312" i="150"/>
  <c r="G312" i="150"/>
  <c r="F312" i="150"/>
  <c r="C312" i="150"/>
  <c r="I313" i="150"/>
  <c r="D313" i="150"/>
  <c r="J313" i="150"/>
  <c r="E313" i="150"/>
  <c r="K313" i="150"/>
  <c r="G313" i="150"/>
  <c r="F313" i="150"/>
  <c r="C313" i="150"/>
  <c r="I314" i="150"/>
  <c r="D314" i="150"/>
  <c r="J314" i="150"/>
  <c r="E314" i="150"/>
  <c r="K314" i="150"/>
  <c r="G314" i="150"/>
  <c r="F314" i="150"/>
  <c r="C314" i="150"/>
  <c r="I315" i="150"/>
  <c r="D315" i="150"/>
  <c r="J315" i="150"/>
  <c r="E315" i="150"/>
  <c r="K315" i="150"/>
  <c r="G315" i="150"/>
  <c r="F315" i="150"/>
  <c r="C315" i="150"/>
  <c r="I316" i="150"/>
  <c r="D316" i="150"/>
  <c r="J316" i="150"/>
  <c r="E316" i="150"/>
  <c r="K316" i="150"/>
  <c r="G316" i="150"/>
  <c r="F316" i="150"/>
  <c r="C316" i="150"/>
  <c r="I317" i="150"/>
  <c r="D317" i="150"/>
  <c r="J317" i="150"/>
  <c r="E317" i="150"/>
  <c r="K317" i="150"/>
  <c r="G317" i="150"/>
  <c r="F317" i="150"/>
  <c r="C317" i="150"/>
  <c r="I318" i="150"/>
  <c r="D318" i="150"/>
  <c r="J318" i="150"/>
  <c r="E318" i="150"/>
  <c r="K318" i="150"/>
  <c r="G318" i="150"/>
  <c r="F318" i="150"/>
  <c r="C318" i="150"/>
  <c r="I319" i="150"/>
  <c r="D319" i="150"/>
  <c r="J319" i="150"/>
  <c r="E319" i="150"/>
  <c r="K319" i="150"/>
  <c r="G319" i="150"/>
  <c r="F319" i="150"/>
  <c r="C319" i="150"/>
  <c r="I320" i="150"/>
  <c r="D320" i="150"/>
  <c r="J320" i="150"/>
  <c r="E320" i="150"/>
  <c r="K320" i="150"/>
  <c r="G320" i="150"/>
  <c r="F320" i="150"/>
  <c r="C320" i="150"/>
  <c r="I321" i="150"/>
  <c r="D321" i="150"/>
  <c r="J321" i="150"/>
  <c r="E321" i="150"/>
  <c r="K321" i="150"/>
  <c r="G321" i="150"/>
  <c r="F321" i="150"/>
  <c r="C321" i="150"/>
  <c r="I322" i="150"/>
  <c r="D322" i="150"/>
  <c r="J322" i="150"/>
  <c r="E322" i="150"/>
  <c r="K322" i="150"/>
  <c r="G322" i="150"/>
  <c r="F322" i="150"/>
  <c r="C322" i="150"/>
  <c r="I323" i="150"/>
  <c r="D323" i="150"/>
  <c r="J323" i="150"/>
  <c r="E323" i="150"/>
  <c r="K323" i="150"/>
  <c r="G323" i="150"/>
  <c r="F323" i="150"/>
  <c r="C323" i="150"/>
  <c r="I324" i="150"/>
  <c r="D324" i="150"/>
  <c r="J324" i="150"/>
  <c r="E324" i="150"/>
  <c r="K324" i="150"/>
  <c r="G324" i="150"/>
  <c r="F324" i="150"/>
  <c r="C324" i="150"/>
  <c r="I325" i="150"/>
  <c r="D325" i="150"/>
  <c r="J325" i="150"/>
  <c r="E325" i="150"/>
  <c r="K325" i="150"/>
  <c r="G325" i="150"/>
  <c r="F325" i="150"/>
  <c r="C325" i="150"/>
  <c r="I326" i="150"/>
  <c r="D326" i="150"/>
  <c r="J326" i="150"/>
  <c r="E326" i="150"/>
  <c r="K326" i="150"/>
  <c r="G326" i="150"/>
  <c r="F326" i="150"/>
  <c r="C326" i="150"/>
  <c r="I327" i="150"/>
  <c r="D327" i="150"/>
  <c r="J327" i="150"/>
  <c r="E327" i="150"/>
  <c r="K327" i="150"/>
  <c r="G327" i="150"/>
  <c r="F327" i="150"/>
  <c r="C327" i="150"/>
  <c r="I328" i="150"/>
  <c r="D328" i="150"/>
  <c r="J328" i="150"/>
  <c r="E328" i="150"/>
  <c r="K328" i="150"/>
  <c r="G328" i="150"/>
  <c r="F328" i="150"/>
  <c r="C328" i="150"/>
  <c r="I329" i="150"/>
  <c r="D329" i="150"/>
  <c r="J329" i="150"/>
  <c r="E329" i="150"/>
  <c r="K329" i="150"/>
  <c r="G329" i="150"/>
  <c r="F329" i="150"/>
  <c r="C329" i="150"/>
  <c r="I330" i="150"/>
  <c r="D330" i="150"/>
  <c r="J330" i="150"/>
  <c r="E330" i="150"/>
  <c r="K330" i="150"/>
  <c r="G330" i="150"/>
  <c r="F330" i="150"/>
  <c r="C330" i="150"/>
  <c r="I331" i="150"/>
  <c r="D331" i="150"/>
  <c r="J331" i="150"/>
  <c r="E331" i="150"/>
  <c r="K331" i="150"/>
  <c r="G331" i="150"/>
  <c r="F331" i="150"/>
  <c r="C331" i="150"/>
  <c r="I332" i="150"/>
  <c r="D332" i="150"/>
  <c r="J332" i="150"/>
  <c r="E332" i="150"/>
  <c r="K332" i="150"/>
  <c r="G332" i="150"/>
  <c r="F332" i="150"/>
  <c r="C332" i="150"/>
  <c r="I333" i="150"/>
  <c r="D333" i="150"/>
  <c r="J333" i="150"/>
  <c r="E333" i="150"/>
  <c r="K333" i="150"/>
  <c r="G333" i="150"/>
  <c r="F333" i="150"/>
  <c r="C333" i="150"/>
  <c r="I334" i="150"/>
  <c r="D334" i="150"/>
  <c r="J334" i="150"/>
  <c r="E334" i="150"/>
  <c r="K334" i="150"/>
  <c r="G334" i="150"/>
  <c r="F334" i="150"/>
  <c r="C334" i="150"/>
  <c r="I335" i="150"/>
  <c r="D335" i="150"/>
  <c r="J335" i="150"/>
  <c r="E335" i="150"/>
  <c r="K335" i="150"/>
  <c r="G335" i="150"/>
  <c r="F335" i="150"/>
  <c r="C335" i="150"/>
  <c r="I336" i="150"/>
  <c r="D336" i="150"/>
  <c r="J336" i="150"/>
  <c r="E336" i="150"/>
  <c r="K336" i="150"/>
  <c r="G336" i="150"/>
  <c r="F336" i="150"/>
  <c r="C336" i="150"/>
  <c r="I337" i="150"/>
  <c r="D337" i="150"/>
  <c r="J337" i="150"/>
  <c r="E337" i="150"/>
  <c r="K337" i="150"/>
  <c r="G337" i="150"/>
  <c r="F337" i="150"/>
  <c r="C337" i="150"/>
  <c r="I338" i="150"/>
  <c r="D338" i="150"/>
  <c r="J338" i="150"/>
  <c r="E338" i="150"/>
  <c r="K338" i="150"/>
  <c r="G338" i="150"/>
  <c r="F338" i="150"/>
  <c r="C338" i="150"/>
  <c r="I339" i="150"/>
  <c r="D339" i="150"/>
  <c r="J339" i="150"/>
  <c r="E339" i="150"/>
  <c r="K339" i="150"/>
  <c r="G339" i="150"/>
  <c r="F339" i="150"/>
  <c r="C339" i="150"/>
  <c r="I340" i="150"/>
  <c r="D340" i="150"/>
  <c r="J340" i="150"/>
  <c r="E340" i="150"/>
  <c r="K340" i="150"/>
  <c r="G340" i="150"/>
  <c r="F340" i="150"/>
  <c r="C340" i="150"/>
  <c r="I341" i="150"/>
  <c r="D341" i="150"/>
  <c r="J341" i="150"/>
  <c r="E341" i="150"/>
  <c r="K341" i="150"/>
  <c r="G341" i="150"/>
  <c r="F341" i="150"/>
  <c r="C341" i="150"/>
  <c r="F8" i="149"/>
  <c r="B11" i="149"/>
  <c r="B10" i="149"/>
  <c r="E8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35" i="149"/>
  <c r="B35" i="149"/>
  <c r="E36" i="149"/>
  <c r="B36" i="149"/>
  <c r="E38" i="149"/>
  <c r="B38" i="149"/>
  <c r="A2" i="147"/>
  <c r="I2" i="148"/>
  <c r="J2" i="148"/>
  <c r="D2" i="148"/>
  <c r="E2" i="148"/>
  <c r="K2" i="148"/>
  <c r="G2" i="148"/>
  <c r="F2" i="148"/>
  <c r="C2" i="148"/>
  <c r="I3" i="148"/>
  <c r="J3" i="148"/>
  <c r="D3" i="148"/>
  <c r="E3" i="148"/>
  <c r="K3" i="148"/>
  <c r="G3" i="148"/>
  <c r="F3" i="148"/>
  <c r="C3" i="148"/>
  <c r="I4" i="148"/>
  <c r="J4" i="148"/>
  <c r="D4" i="148"/>
  <c r="E4" i="148"/>
  <c r="K4" i="148"/>
  <c r="G4" i="148"/>
  <c r="F4" i="148"/>
  <c r="C4" i="148"/>
  <c r="I5" i="148"/>
  <c r="J5" i="148"/>
  <c r="D5" i="148"/>
  <c r="E5" i="148"/>
  <c r="K5" i="148"/>
  <c r="G5" i="148"/>
  <c r="F5" i="148"/>
  <c r="C5" i="148"/>
  <c r="I6" i="148"/>
  <c r="J6" i="148"/>
  <c r="D6" i="148"/>
  <c r="E6" i="148"/>
  <c r="K6" i="148"/>
  <c r="G6" i="148"/>
  <c r="F6" i="148"/>
  <c r="C6" i="148"/>
  <c r="I7" i="148"/>
  <c r="J7" i="148"/>
  <c r="D7" i="148"/>
  <c r="E7" i="148"/>
  <c r="K7" i="148"/>
  <c r="G7" i="148"/>
  <c r="F7" i="148"/>
  <c r="C7" i="148"/>
  <c r="I8" i="148"/>
  <c r="J8" i="148"/>
  <c r="D8" i="148"/>
  <c r="E8" i="148"/>
  <c r="K8" i="148"/>
  <c r="G8" i="148"/>
  <c r="F8" i="148"/>
  <c r="C8" i="148"/>
  <c r="I9" i="148"/>
  <c r="J9" i="148"/>
  <c r="D9" i="148"/>
  <c r="E9" i="148"/>
  <c r="K9" i="148"/>
  <c r="G9" i="148"/>
  <c r="F9" i="148"/>
  <c r="C9" i="148"/>
  <c r="I10" i="148"/>
  <c r="J10" i="148"/>
  <c r="D10" i="148"/>
  <c r="E10" i="148"/>
  <c r="K10" i="148"/>
  <c r="G10" i="148"/>
  <c r="F10" i="148"/>
  <c r="C10" i="148"/>
  <c r="I11" i="148"/>
  <c r="J11" i="148"/>
  <c r="D11" i="148"/>
  <c r="E11" i="148"/>
  <c r="K11" i="148"/>
  <c r="G11" i="148"/>
  <c r="F11" i="148"/>
  <c r="C11" i="148"/>
  <c r="I12" i="148"/>
  <c r="J12" i="148"/>
  <c r="D12" i="148"/>
  <c r="E12" i="148"/>
  <c r="K12" i="148"/>
  <c r="G12" i="148"/>
  <c r="F12" i="148"/>
  <c r="C12" i="148"/>
  <c r="I13" i="148"/>
  <c r="J13" i="148"/>
  <c r="D13" i="148"/>
  <c r="E13" i="148"/>
  <c r="K13" i="148"/>
  <c r="G13" i="148"/>
  <c r="F13" i="148"/>
  <c r="C13" i="148"/>
  <c r="I14" i="148"/>
  <c r="J14" i="148"/>
  <c r="D14" i="148"/>
  <c r="E14" i="148"/>
  <c r="K14" i="148"/>
  <c r="G14" i="148"/>
  <c r="F14" i="148"/>
  <c r="C14" i="148"/>
  <c r="I15" i="148"/>
  <c r="J15" i="148"/>
  <c r="D15" i="148"/>
  <c r="E15" i="148"/>
  <c r="K15" i="148"/>
  <c r="G15" i="148"/>
  <c r="F15" i="148"/>
  <c r="C15" i="148"/>
  <c r="I16" i="148"/>
  <c r="J16" i="148"/>
  <c r="D16" i="148"/>
  <c r="E16" i="148"/>
  <c r="K16" i="148"/>
  <c r="G16" i="148"/>
  <c r="F16" i="148"/>
  <c r="C16" i="148"/>
  <c r="I17" i="148"/>
  <c r="J17" i="148"/>
  <c r="D17" i="148"/>
  <c r="E17" i="148"/>
  <c r="K17" i="148"/>
  <c r="G17" i="148"/>
  <c r="F17" i="148"/>
  <c r="C17" i="148"/>
  <c r="I18" i="148"/>
  <c r="J18" i="148"/>
  <c r="D18" i="148"/>
  <c r="E18" i="148"/>
  <c r="K18" i="148"/>
  <c r="G18" i="148"/>
  <c r="F18" i="148"/>
  <c r="C18" i="148"/>
  <c r="I19" i="148"/>
  <c r="J19" i="148"/>
  <c r="D19" i="148"/>
  <c r="E19" i="148"/>
  <c r="K19" i="148"/>
  <c r="G19" i="148"/>
  <c r="F19" i="148"/>
  <c r="C19" i="148"/>
  <c r="I20" i="148"/>
  <c r="J20" i="148"/>
  <c r="D20" i="148"/>
  <c r="E20" i="148"/>
  <c r="K20" i="148"/>
  <c r="G20" i="148"/>
  <c r="F20" i="148"/>
  <c r="C20" i="148"/>
  <c r="I21" i="148"/>
  <c r="J21" i="148"/>
  <c r="D21" i="148"/>
  <c r="E21" i="148"/>
  <c r="K21" i="148"/>
  <c r="G21" i="148"/>
  <c r="F21" i="148"/>
  <c r="C21" i="148"/>
  <c r="I22" i="148"/>
  <c r="J22" i="148"/>
  <c r="D22" i="148"/>
  <c r="E22" i="148"/>
  <c r="K22" i="148"/>
  <c r="G22" i="148"/>
  <c r="F22" i="148"/>
  <c r="C22" i="148"/>
  <c r="I23" i="148"/>
  <c r="J23" i="148"/>
  <c r="D23" i="148"/>
  <c r="E23" i="148"/>
  <c r="K23" i="148"/>
  <c r="G23" i="148"/>
  <c r="F23" i="148"/>
  <c r="C23" i="148"/>
  <c r="I24" i="148"/>
  <c r="J24" i="148"/>
  <c r="D24" i="148"/>
  <c r="E24" i="148"/>
  <c r="K24" i="148"/>
  <c r="G24" i="148"/>
  <c r="F24" i="148"/>
  <c r="C24" i="148"/>
  <c r="I25" i="148"/>
  <c r="J25" i="148"/>
  <c r="D25" i="148"/>
  <c r="E25" i="148"/>
  <c r="K25" i="148"/>
  <c r="G25" i="148"/>
  <c r="F25" i="148"/>
  <c r="C25" i="148"/>
  <c r="I26" i="148"/>
  <c r="J26" i="148"/>
  <c r="D26" i="148"/>
  <c r="E26" i="148"/>
  <c r="K26" i="148"/>
  <c r="G26" i="148"/>
  <c r="F26" i="148"/>
  <c r="C26" i="148"/>
  <c r="I27" i="148"/>
  <c r="J27" i="148"/>
  <c r="D27" i="148"/>
  <c r="E27" i="148"/>
  <c r="K27" i="148"/>
  <c r="G27" i="148"/>
  <c r="F27" i="148"/>
  <c r="C27" i="148"/>
  <c r="I28" i="148"/>
  <c r="J28" i="148"/>
  <c r="D28" i="148"/>
  <c r="E28" i="148"/>
  <c r="K28" i="148"/>
  <c r="G28" i="148"/>
  <c r="F28" i="148"/>
  <c r="C28" i="148"/>
  <c r="I29" i="148"/>
  <c r="J29" i="148"/>
  <c r="D29" i="148"/>
  <c r="E29" i="148"/>
  <c r="K29" i="148"/>
  <c r="G29" i="148"/>
  <c r="F29" i="148"/>
  <c r="C29" i="148"/>
  <c r="I30" i="148"/>
  <c r="J30" i="148"/>
  <c r="D30" i="148"/>
  <c r="E30" i="148"/>
  <c r="K30" i="148"/>
  <c r="G30" i="148"/>
  <c r="F30" i="148"/>
  <c r="C30" i="148"/>
  <c r="I31" i="148"/>
  <c r="J31" i="148"/>
  <c r="D31" i="148"/>
  <c r="E31" i="148"/>
  <c r="K31" i="148"/>
  <c r="G31" i="148"/>
  <c r="F31" i="148"/>
  <c r="C31" i="148"/>
  <c r="I32" i="148"/>
  <c r="J32" i="148"/>
  <c r="D32" i="148"/>
  <c r="E32" i="148"/>
  <c r="K32" i="148"/>
  <c r="G32" i="148"/>
  <c r="F32" i="148"/>
  <c r="C32" i="148"/>
  <c r="I33" i="148"/>
  <c r="J33" i="148"/>
  <c r="D33" i="148"/>
  <c r="E33" i="148"/>
  <c r="K33" i="148"/>
  <c r="G33" i="148"/>
  <c r="F33" i="148"/>
  <c r="C33" i="148"/>
  <c r="I34" i="148"/>
  <c r="J34" i="148"/>
  <c r="D34" i="148"/>
  <c r="E34" i="148"/>
  <c r="K34" i="148"/>
  <c r="G34" i="148"/>
  <c r="F34" i="148"/>
  <c r="C34" i="148"/>
  <c r="I35" i="148"/>
  <c r="J35" i="148"/>
  <c r="D35" i="148"/>
  <c r="E35" i="148"/>
  <c r="K35" i="148"/>
  <c r="G35" i="148"/>
  <c r="F35" i="148"/>
  <c r="C35" i="148"/>
  <c r="I36" i="148"/>
  <c r="J36" i="148"/>
  <c r="D36" i="148"/>
  <c r="E36" i="148"/>
  <c r="K36" i="148"/>
  <c r="G36" i="148"/>
  <c r="F36" i="148"/>
  <c r="C36" i="148"/>
  <c r="I37" i="148"/>
  <c r="J37" i="148"/>
  <c r="D37" i="148"/>
  <c r="E37" i="148"/>
  <c r="K37" i="148"/>
  <c r="G37" i="148"/>
  <c r="F37" i="148"/>
  <c r="C37" i="148"/>
  <c r="I38" i="148"/>
  <c r="J38" i="148"/>
  <c r="D38" i="148"/>
  <c r="E38" i="148"/>
  <c r="K38" i="148"/>
  <c r="G38" i="148"/>
  <c r="F38" i="148"/>
  <c r="C38" i="148"/>
  <c r="I39" i="148"/>
  <c r="J39" i="148"/>
  <c r="D39" i="148"/>
  <c r="E39" i="148"/>
  <c r="K39" i="148"/>
  <c r="G39" i="148"/>
  <c r="F39" i="148"/>
  <c r="C39" i="148"/>
  <c r="I40" i="148"/>
  <c r="J40" i="148"/>
  <c r="D40" i="148"/>
  <c r="E40" i="148"/>
  <c r="K40" i="148"/>
  <c r="G40" i="148"/>
  <c r="F40" i="148"/>
  <c r="C40" i="148"/>
  <c r="I41" i="148"/>
  <c r="J41" i="148"/>
  <c r="D41" i="148"/>
  <c r="E41" i="148"/>
  <c r="K41" i="148"/>
  <c r="G41" i="148"/>
  <c r="F41" i="148"/>
  <c r="C41" i="148"/>
  <c r="I42" i="148"/>
  <c r="D42" i="148"/>
  <c r="J42" i="148"/>
  <c r="E42" i="148"/>
  <c r="K42" i="148"/>
  <c r="G42" i="148"/>
  <c r="F42" i="148"/>
  <c r="C42" i="148"/>
  <c r="I43" i="148"/>
  <c r="D43" i="148"/>
  <c r="J43" i="148"/>
  <c r="E43" i="148"/>
  <c r="K43" i="148"/>
  <c r="G43" i="148"/>
  <c r="F43" i="148"/>
  <c r="C43" i="148"/>
  <c r="I44" i="148"/>
  <c r="D44" i="148"/>
  <c r="J44" i="148"/>
  <c r="E44" i="148"/>
  <c r="K44" i="148"/>
  <c r="G44" i="148"/>
  <c r="F44" i="148"/>
  <c r="C44" i="148"/>
  <c r="I45" i="148"/>
  <c r="D45" i="148"/>
  <c r="J45" i="148"/>
  <c r="E45" i="148"/>
  <c r="K45" i="148"/>
  <c r="G45" i="148"/>
  <c r="F45" i="148"/>
  <c r="C45" i="148"/>
  <c r="I46" i="148"/>
  <c r="D46" i="148"/>
  <c r="J46" i="148"/>
  <c r="E46" i="148"/>
  <c r="K46" i="148"/>
  <c r="G46" i="148"/>
  <c r="F46" i="148"/>
  <c r="C46" i="148"/>
  <c r="I47" i="148"/>
  <c r="D47" i="148"/>
  <c r="J47" i="148"/>
  <c r="E47" i="148"/>
  <c r="K47" i="148"/>
  <c r="G47" i="148"/>
  <c r="F47" i="148"/>
  <c r="C47" i="148"/>
  <c r="I48" i="148"/>
  <c r="D48" i="148"/>
  <c r="J48" i="148"/>
  <c r="E48" i="148"/>
  <c r="K48" i="148"/>
  <c r="G48" i="148"/>
  <c r="F48" i="148"/>
  <c r="C48" i="148"/>
  <c r="I49" i="148"/>
  <c r="D49" i="148"/>
  <c r="J49" i="148"/>
  <c r="E49" i="148"/>
  <c r="K49" i="148"/>
  <c r="G49" i="148"/>
  <c r="F49" i="148"/>
  <c r="C49" i="148"/>
  <c r="I50" i="148"/>
  <c r="D50" i="148"/>
  <c r="J50" i="148"/>
  <c r="E50" i="148"/>
  <c r="K50" i="148"/>
  <c r="G50" i="148"/>
  <c r="F50" i="148"/>
  <c r="C50" i="148"/>
  <c r="I51" i="148"/>
  <c r="D51" i="148"/>
  <c r="J51" i="148"/>
  <c r="E51" i="148"/>
  <c r="K51" i="148"/>
  <c r="G51" i="148"/>
  <c r="F51" i="148"/>
  <c r="C51" i="148"/>
  <c r="I52" i="148"/>
  <c r="D52" i="148"/>
  <c r="J52" i="148"/>
  <c r="E52" i="148"/>
  <c r="K52" i="148"/>
  <c r="G52" i="148"/>
  <c r="F52" i="148"/>
  <c r="C52" i="148"/>
  <c r="I53" i="148"/>
  <c r="D53" i="148"/>
  <c r="J53" i="148"/>
  <c r="E53" i="148"/>
  <c r="K53" i="148"/>
  <c r="G53" i="148"/>
  <c r="F53" i="148"/>
  <c r="C53" i="148"/>
  <c r="I54" i="148"/>
  <c r="D54" i="148"/>
  <c r="J54" i="148"/>
  <c r="E54" i="148"/>
  <c r="K54" i="148"/>
  <c r="G54" i="148"/>
  <c r="F54" i="148"/>
  <c r="C54" i="148"/>
  <c r="I55" i="148"/>
  <c r="D55" i="148"/>
  <c r="J55" i="148"/>
  <c r="E55" i="148"/>
  <c r="K55" i="148"/>
  <c r="G55" i="148"/>
  <c r="F55" i="148"/>
  <c r="C55" i="148"/>
  <c r="I56" i="148"/>
  <c r="D56" i="148"/>
  <c r="J56" i="148"/>
  <c r="E56" i="148"/>
  <c r="K56" i="148"/>
  <c r="G56" i="148"/>
  <c r="F56" i="148"/>
  <c r="C56" i="148"/>
  <c r="I57" i="148"/>
  <c r="D57" i="148"/>
  <c r="J57" i="148"/>
  <c r="E57" i="148"/>
  <c r="K57" i="148"/>
  <c r="G57" i="148"/>
  <c r="F57" i="148"/>
  <c r="C57" i="148"/>
  <c r="I58" i="148"/>
  <c r="D58" i="148"/>
  <c r="J58" i="148"/>
  <c r="E58" i="148"/>
  <c r="K58" i="148"/>
  <c r="G58" i="148"/>
  <c r="F58" i="148"/>
  <c r="C58" i="148"/>
  <c r="I59" i="148"/>
  <c r="D59" i="148"/>
  <c r="J59" i="148"/>
  <c r="E59" i="148"/>
  <c r="K59" i="148"/>
  <c r="G59" i="148"/>
  <c r="F59" i="148"/>
  <c r="C59" i="148"/>
  <c r="I60" i="148"/>
  <c r="D60" i="148"/>
  <c r="J60" i="148"/>
  <c r="E60" i="148"/>
  <c r="K60" i="148"/>
  <c r="G60" i="148"/>
  <c r="F60" i="148"/>
  <c r="C60" i="148"/>
  <c r="I61" i="148"/>
  <c r="D61" i="148"/>
  <c r="J61" i="148"/>
  <c r="E61" i="148"/>
  <c r="K61" i="148"/>
  <c r="G61" i="148"/>
  <c r="F61" i="148"/>
  <c r="C61" i="148"/>
  <c r="I62" i="148"/>
  <c r="D62" i="148"/>
  <c r="J62" i="148"/>
  <c r="E62" i="148"/>
  <c r="K62" i="148"/>
  <c r="G62" i="148"/>
  <c r="F62" i="148"/>
  <c r="C62" i="148"/>
  <c r="I63" i="148"/>
  <c r="D63" i="148"/>
  <c r="J63" i="148"/>
  <c r="E63" i="148"/>
  <c r="K63" i="148"/>
  <c r="G63" i="148"/>
  <c r="F63" i="148"/>
  <c r="C63" i="148"/>
  <c r="I64" i="148"/>
  <c r="D64" i="148"/>
  <c r="J64" i="148"/>
  <c r="E64" i="148"/>
  <c r="K64" i="148"/>
  <c r="G64" i="148"/>
  <c r="F64" i="148"/>
  <c r="C64" i="148"/>
  <c r="I65" i="148"/>
  <c r="D65" i="148"/>
  <c r="J65" i="148"/>
  <c r="E65" i="148"/>
  <c r="K65" i="148"/>
  <c r="G65" i="148"/>
  <c r="F65" i="148"/>
  <c r="C65" i="148"/>
  <c r="I66" i="148"/>
  <c r="D66" i="148"/>
  <c r="J66" i="148"/>
  <c r="E66" i="148"/>
  <c r="K66" i="148"/>
  <c r="G66" i="148"/>
  <c r="F66" i="148"/>
  <c r="C66" i="148"/>
  <c r="I67" i="148"/>
  <c r="D67" i="148"/>
  <c r="J67" i="148"/>
  <c r="E67" i="148"/>
  <c r="K67" i="148"/>
  <c r="G67" i="148"/>
  <c r="F67" i="148"/>
  <c r="C67" i="148"/>
  <c r="I68" i="148"/>
  <c r="D68" i="148"/>
  <c r="J68" i="148"/>
  <c r="E68" i="148"/>
  <c r="K68" i="148"/>
  <c r="G68" i="148"/>
  <c r="F68" i="148"/>
  <c r="C68" i="148"/>
  <c r="I69" i="148"/>
  <c r="D69" i="148"/>
  <c r="J69" i="148"/>
  <c r="E69" i="148"/>
  <c r="K69" i="148"/>
  <c r="G69" i="148"/>
  <c r="F69" i="148"/>
  <c r="C69" i="148"/>
  <c r="I70" i="148"/>
  <c r="D70" i="148"/>
  <c r="J70" i="148"/>
  <c r="E70" i="148"/>
  <c r="K70" i="148"/>
  <c r="G70" i="148"/>
  <c r="F70" i="148"/>
  <c r="C70" i="148"/>
  <c r="I71" i="148"/>
  <c r="D71" i="148"/>
  <c r="J71" i="148"/>
  <c r="E71" i="148"/>
  <c r="K71" i="148"/>
  <c r="G71" i="148"/>
  <c r="F71" i="148"/>
  <c r="C71" i="148"/>
  <c r="I72" i="148"/>
  <c r="D72" i="148"/>
  <c r="J72" i="148"/>
  <c r="E72" i="148"/>
  <c r="K72" i="148"/>
  <c r="G72" i="148"/>
  <c r="F72" i="148"/>
  <c r="C72" i="148"/>
  <c r="I73" i="148"/>
  <c r="D73" i="148"/>
  <c r="J73" i="148"/>
  <c r="E73" i="148"/>
  <c r="K73" i="148"/>
  <c r="G73" i="148"/>
  <c r="F73" i="148"/>
  <c r="C73" i="148"/>
  <c r="I74" i="148"/>
  <c r="D74" i="148"/>
  <c r="J74" i="148"/>
  <c r="E74" i="148"/>
  <c r="K74" i="148"/>
  <c r="G74" i="148"/>
  <c r="F74" i="148"/>
  <c r="C74" i="148"/>
  <c r="I75" i="148"/>
  <c r="D75" i="148"/>
  <c r="J75" i="148"/>
  <c r="E75" i="148"/>
  <c r="K75" i="148"/>
  <c r="G75" i="148"/>
  <c r="F75" i="148"/>
  <c r="C75" i="148"/>
  <c r="I76" i="148"/>
  <c r="D76" i="148"/>
  <c r="J76" i="148"/>
  <c r="E76" i="148"/>
  <c r="K76" i="148"/>
  <c r="G76" i="148"/>
  <c r="F76" i="148"/>
  <c r="C76" i="148"/>
  <c r="I77" i="148"/>
  <c r="D77" i="148"/>
  <c r="J77" i="148"/>
  <c r="E77" i="148"/>
  <c r="K77" i="148"/>
  <c r="G77" i="148"/>
  <c r="F77" i="148"/>
  <c r="C77" i="148"/>
  <c r="I78" i="148"/>
  <c r="D78" i="148"/>
  <c r="J78" i="148"/>
  <c r="E78" i="148"/>
  <c r="K78" i="148"/>
  <c r="G78" i="148"/>
  <c r="F78" i="148"/>
  <c r="C78" i="148"/>
  <c r="I79" i="148"/>
  <c r="D79" i="148"/>
  <c r="J79" i="148"/>
  <c r="E79" i="148"/>
  <c r="K79" i="148"/>
  <c r="G79" i="148"/>
  <c r="F79" i="148"/>
  <c r="C79" i="148"/>
  <c r="I80" i="148"/>
  <c r="D80" i="148"/>
  <c r="J80" i="148"/>
  <c r="E80" i="148"/>
  <c r="K80" i="148"/>
  <c r="G80" i="148"/>
  <c r="F80" i="148"/>
  <c r="C80" i="148"/>
  <c r="I81" i="148"/>
  <c r="D81" i="148"/>
  <c r="J81" i="148"/>
  <c r="E81" i="148"/>
  <c r="K81" i="148"/>
  <c r="G81" i="148"/>
  <c r="F81" i="148"/>
  <c r="C81" i="148"/>
  <c r="I82" i="148"/>
  <c r="D82" i="148"/>
  <c r="J82" i="148"/>
  <c r="E82" i="148"/>
  <c r="K82" i="148"/>
  <c r="G82" i="148"/>
  <c r="F82" i="148"/>
  <c r="C82" i="148"/>
  <c r="I83" i="148"/>
  <c r="D83" i="148"/>
  <c r="J83" i="148"/>
  <c r="E83" i="148"/>
  <c r="K83" i="148"/>
  <c r="G83" i="148"/>
  <c r="F83" i="148"/>
  <c r="C83" i="148"/>
  <c r="I84" i="148"/>
  <c r="D84" i="148"/>
  <c r="J84" i="148"/>
  <c r="E84" i="148"/>
  <c r="K84" i="148"/>
  <c r="G84" i="148"/>
  <c r="F84" i="148"/>
  <c r="C84" i="148"/>
  <c r="I85" i="148"/>
  <c r="D85" i="148"/>
  <c r="J85" i="148"/>
  <c r="E85" i="148"/>
  <c r="K85" i="148"/>
  <c r="G85" i="148"/>
  <c r="F85" i="148"/>
  <c r="C85" i="148"/>
  <c r="I86" i="148"/>
  <c r="D86" i="148"/>
  <c r="J86" i="148"/>
  <c r="E86" i="148"/>
  <c r="K86" i="148"/>
  <c r="G86" i="148"/>
  <c r="F86" i="148"/>
  <c r="C86" i="148"/>
  <c r="I87" i="148"/>
  <c r="D87" i="148"/>
  <c r="J87" i="148"/>
  <c r="E87" i="148"/>
  <c r="K87" i="148"/>
  <c r="G87" i="148"/>
  <c r="F87" i="148"/>
  <c r="C87" i="148"/>
  <c r="I88" i="148"/>
  <c r="D88" i="148"/>
  <c r="J88" i="148"/>
  <c r="E88" i="148"/>
  <c r="K88" i="148"/>
  <c r="G88" i="148"/>
  <c r="F88" i="148"/>
  <c r="C88" i="148"/>
  <c r="I89" i="148"/>
  <c r="D89" i="148"/>
  <c r="J89" i="148"/>
  <c r="E89" i="148"/>
  <c r="K89" i="148"/>
  <c r="G89" i="148"/>
  <c r="F89" i="148"/>
  <c r="C89" i="148"/>
  <c r="I90" i="148"/>
  <c r="D90" i="148"/>
  <c r="J90" i="148"/>
  <c r="E90" i="148"/>
  <c r="K90" i="148"/>
  <c r="G90" i="148"/>
  <c r="F90" i="148"/>
  <c r="C90" i="148"/>
  <c r="I91" i="148"/>
  <c r="D91" i="148"/>
  <c r="J91" i="148"/>
  <c r="E91" i="148"/>
  <c r="K91" i="148"/>
  <c r="G91" i="148"/>
  <c r="F91" i="148"/>
  <c r="C91" i="148"/>
  <c r="I92" i="148"/>
  <c r="D92" i="148"/>
  <c r="J92" i="148"/>
  <c r="E92" i="148"/>
  <c r="K92" i="148"/>
  <c r="G92" i="148"/>
  <c r="F92" i="148"/>
  <c r="C92" i="148"/>
  <c r="I93" i="148"/>
  <c r="D93" i="148"/>
  <c r="J93" i="148"/>
  <c r="E93" i="148"/>
  <c r="K93" i="148"/>
  <c r="G93" i="148"/>
  <c r="F93" i="148"/>
  <c r="C93" i="148"/>
  <c r="I94" i="148"/>
  <c r="D94" i="148"/>
  <c r="J94" i="148"/>
  <c r="E94" i="148"/>
  <c r="K94" i="148"/>
  <c r="G94" i="148"/>
  <c r="F94" i="148"/>
  <c r="C94" i="148"/>
  <c r="I95" i="148"/>
  <c r="D95" i="148"/>
  <c r="J95" i="148"/>
  <c r="E95" i="148"/>
  <c r="K95" i="148"/>
  <c r="G95" i="148"/>
  <c r="F95" i="148"/>
  <c r="C95" i="148"/>
  <c r="I96" i="148"/>
  <c r="D96" i="148"/>
  <c r="J96" i="148"/>
  <c r="E96" i="148"/>
  <c r="K96" i="148"/>
  <c r="G96" i="148"/>
  <c r="F96" i="148"/>
  <c r="C96" i="148"/>
  <c r="I97" i="148"/>
  <c r="D97" i="148"/>
  <c r="J97" i="148"/>
  <c r="E97" i="148"/>
  <c r="K97" i="148"/>
  <c r="G97" i="148"/>
  <c r="F97" i="148"/>
  <c r="C97" i="148"/>
  <c r="I98" i="148"/>
  <c r="D98" i="148"/>
  <c r="J98" i="148"/>
  <c r="E98" i="148"/>
  <c r="K98" i="148"/>
  <c r="G98" i="148"/>
  <c r="F98" i="148"/>
  <c r="C98" i="148"/>
  <c r="I99" i="148"/>
  <c r="D99" i="148"/>
  <c r="J99" i="148"/>
  <c r="E99" i="148"/>
  <c r="K99" i="148"/>
  <c r="G99" i="148"/>
  <c r="F99" i="148"/>
  <c r="C99" i="148"/>
  <c r="I100" i="148"/>
  <c r="D100" i="148"/>
  <c r="J100" i="148"/>
  <c r="E100" i="148"/>
  <c r="K100" i="148"/>
  <c r="G100" i="148"/>
  <c r="F100" i="148"/>
  <c r="C100" i="148"/>
  <c r="I101" i="148"/>
  <c r="D101" i="148"/>
  <c r="J101" i="148"/>
  <c r="E101" i="148"/>
  <c r="K101" i="148"/>
  <c r="G101" i="148"/>
  <c r="F101" i="148"/>
  <c r="C101" i="148"/>
  <c r="I102" i="148"/>
  <c r="D102" i="148"/>
  <c r="J102" i="148"/>
  <c r="E102" i="148"/>
  <c r="K102" i="148"/>
  <c r="G102" i="148"/>
  <c r="F102" i="148"/>
  <c r="C102" i="148"/>
  <c r="I103" i="148"/>
  <c r="D103" i="148"/>
  <c r="J103" i="148"/>
  <c r="E103" i="148"/>
  <c r="K103" i="148"/>
  <c r="G103" i="148"/>
  <c r="F103" i="148"/>
  <c r="C103" i="148"/>
  <c r="I104" i="148"/>
  <c r="D104" i="148"/>
  <c r="J104" i="148"/>
  <c r="E104" i="148"/>
  <c r="K104" i="148"/>
  <c r="G104" i="148"/>
  <c r="F104" i="148"/>
  <c r="C104" i="148"/>
  <c r="I105" i="148"/>
  <c r="D105" i="148"/>
  <c r="J105" i="148"/>
  <c r="E105" i="148"/>
  <c r="K105" i="148"/>
  <c r="G105" i="148"/>
  <c r="F105" i="148"/>
  <c r="C105" i="148"/>
  <c r="I106" i="148"/>
  <c r="D106" i="148"/>
  <c r="J106" i="148"/>
  <c r="E106" i="148"/>
  <c r="K106" i="148"/>
  <c r="G106" i="148"/>
  <c r="F106" i="148"/>
  <c r="C106" i="148"/>
  <c r="I107" i="148"/>
  <c r="D107" i="148"/>
  <c r="J107" i="148"/>
  <c r="E107" i="148"/>
  <c r="K107" i="148"/>
  <c r="G107" i="148"/>
  <c r="F107" i="148"/>
  <c r="C107" i="148"/>
  <c r="I108" i="148"/>
  <c r="D108" i="148"/>
  <c r="J108" i="148"/>
  <c r="E108" i="148"/>
  <c r="K108" i="148"/>
  <c r="G108" i="148"/>
  <c r="F108" i="148"/>
  <c r="C108" i="148"/>
  <c r="I109" i="148"/>
  <c r="D109" i="148"/>
  <c r="J109" i="148"/>
  <c r="E109" i="148"/>
  <c r="K109" i="148"/>
  <c r="G109" i="148"/>
  <c r="F109" i="148"/>
  <c r="C109" i="148"/>
  <c r="I110" i="148"/>
  <c r="D110" i="148"/>
  <c r="J110" i="148"/>
  <c r="E110" i="148"/>
  <c r="K110" i="148"/>
  <c r="G110" i="148"/>
  <c r="F110" i="148"/>
  <c r="C110" i="148"/>
  <c r="I111" i="148"/>
  <c r="D111" i="148"/>
  <c r="J111" i="148"/>
  <c r="E111" i="148"/>
  <c r="K111" i="148"/>
  <c r="G111" i="148"/>
  <c r="F111" i="148"/>
  <c r="C111" i="148"/>
  <c r="I112" i="148"/>
  <c r="D112" i="148"/>
  <c r="J112" i="148"/>
  <c r="E112" i="148"/>
  <c r="K112" i="148"/>
  <c r="G112" i="148"/>
  <c r="F112" i="148"/>
  <c r="C112" i="148"/>
  <c r="I113" i="148"/>
  <c r="D113" i="148"/>
  <c r="J113" i="148"/>
  <c r="E113" i="148"/>
  <c r="K113" i="148"/>
  <c r="G113" i="148"/>
  <c r="F113" i="148"/>
  <c r="C113" i="148"/>
  <c r="I114" i="148"/>
  <c r="D114" i="148"/>
  <c r="J114" i="148"/>
  <c r="E114" i="148"/>
  <c r="K114" i="148"/>
  <c r="G114" i="148"/>
  <c r="F114" i="148"/>
  <c r="C114" i="148"/>
  <c r="I115" i="148"/>
  <c r="D115" i="148"/>
  <c r="J115" i="148"/>
  <c r="E115" i="148"/>
  <c r="K115" i="148"/>
  <c r="G115" i="148"/>
  <c r="F115" i="148"/>
  <c r="C115" i="148"/>
  <c r="I116" i="148"/>
  <c r="D116" i="148"/>
  <c r="J116" i="148"/>
  <c r="E116" i="148"/>
  <c r="K116" i="148"/>
  <c r="G116" i="148"/>
  <c r="F116" i="148"/>
  <c r="C116" i="148"/>
  <c r="I117" i="148"/>
  <c r="D117" i="148"/>
  <c r="J117" i="148"/>
  <c r="E117" i="148"/>
  <c r="K117" i="148"/>
  <c r="G117" i="148"/>
  <c r="F117" i="148"/>
  <c r="C117" i="148"/>
  <c r="I118" i="148"/>
  <c r="D118" i="148"/>
  <c r="J118" i="148"/>
  <c r="E118" i="148"/>
  <c r="K118" i="148"/>
  <c r="G118" i="148"/>
  <c r="F118" i="148"/>
  <c r="C118" i="148"/>
  <c r="I119" i="148"/>
  <c r="D119" i="148"/>
  <c r="J119" i="148"/>
  <c r="E119" i="148"/>
  <c r="K119" i="148"/>
  <c r="G119" i="148"/>
  <c r="F119" i="148"/>
  <c r="C119" i="148"/>
  <c r="I120" i="148"/>
  <c r="D120" i="148"/>
  <c r="J120" i="148"/>
  <c r="E120" i="148"/>
  <c r="K120" i="148"/>
  <c r="G120" i="148"/>
  <c r="F120" i="148"/>
  <c r="C120" i="148"/>
  <c r="I121" i="148"/>
  <c r="D121" i="148"/>
  <c r="J121" i="148"/>
  <c r="E121" i="148"/>
  <c r="K121" i="148"/>
  <c r="G121" i="148"/>
  <c r="F121" i="148"/>
  <c r="C121" i="148"/>
  <c r="I122" i="148"/>
  <c r="D122" i="148"/>
  <c r="J122" i="148"/>
  <c r="E122" i="148"/>
  <c r="K122" i="148"/>
  <c r="G122" i="148"/>
  <c r="F122" i="148"/>
  <c r="C122" i="148"/>
  <c r="I123" i="148"/>
  <c r="D123" i="148"/>
  <c r="J123" i="148"/>
  <c r="E123" i="148"/>
  <c r="K123" i="148"/>
  <c r="G123" i="148"/>
  <c r="F123" i="148"/>
  <c r="C123" i="148"/>
  <c r="I124" i="148"/>
  <c r="D124" i="148"/>
  <c r="J124" i="148"/>
  <c r="E124" i="148"/>
  <c r="K124" i="148"/>
  <c r="G124" i="148"/>
  <c r="F124" i="148"/>
  <c r="C124" i="148"/>
  <c r="I125" i="148"/>
  <c r="D125" i="148"/>
  <c r="J125" i="148"/>
  <c r="E125" i="148"/>
  <c r="K125" i="148"/>
  <c r="G125" i="148"/>
  <c r="F125" i="148"/>
  <c r="C125" i="148"/>
  <c r="I126" i="148"/>
  <c r="D126" i="148"/>
  <c r="J126" i="148"/>
  <c r="E126" i="148"/>
  <c r="K126" i="148"/>
  <c r="G126" i="148"/>
  <c r="F126" i="148"/>
  <c r="C126" i="148"/>
  <c r="I127" i="148"/>
  <c r="D127" i="148"/>
  <c r="J127" i="148"/>
  <c r="E127" i="148"/>
  <c r="K127" i="148"/>
  <c r="G127" i="148"/>
  <c r="F127" i="148"/>
  <c r="C127" i="148"/>
  <c r="I128" i="148"/>
  <c r="D128" i="148"/>
  <c r="J128" i="148"/>
  <c r="E128" i="148"/>
  <c r="K128" i="148"/>
  <c r="G128" i="148"/>
  <c r="F128" i="148"/>
  <c r="C128" i="148"/>
  <c r="I129" i="148"/>
  <c r="D129" i="148"/>
  <c r="J129" i="148"/>
  <c r="E129" i="148"/>
  <c r="K129" i="148"/>
  <c r="G129" i="148"/>
  <c r="F129" i="148"/>
  <c r="C129" i="148"/>
  <c r="I130" i="148"/>
  <c r="D130" i="148"/>
  <c r="J130" i="148"/>
  <c r="E130" i="148"/>
  <c r="K130" i="148"/>
  <c r="G130" i="148"/>
  <c r="F130" i="148"/>
  <c r="C130" i="148"/>
  <c r="I131" i="148"/>
  <c r="D131" i="148"/>
  <c r="J131" i="148"/>
  <c r="E131" i="148"/>
  <c r="K131" i="148"/>
  <c r="G131" i="148"/>
  <c r="F131" i="148"/>
  <c r="C131" i="148"/>
  <c r="I132" i="148"/>
  <c r="D132" i="148"/>
  <c r="J132" i="148"/>
  <c r="E132" i="148"/>
  <c r="K132" i="148"/>
  <c r="G132" i="148"/>
  <c r="F132" i="148"/>
  <c r="C132" i="148"/>
  <c r="I133" i="148"/>
  <c r="D133" i="148"/>
  <c r="J133" i="148"/>
  <c r="E133" i="148"/>
  <c r="K133" i="148"/>
  <c r="G133" i="148"/>
  <c r="F133" i="148"/>
  <c r="C133" i="148"/>
  <c r="I134" i="148"/>
  <c r="D134" i="148"/>
  <c r="J134" i="148"/>
  <c r="E134" i="148"/>
  <c r="K134" i="148"/>
  <c r="G134" i="148"/>
  <c r="F134" i="148"/>
  <c r="C134" i="148"/>
  <c r="I135" i="148"/>
  <c r="D135" i="148"/>
  <c r="J135" i="148"/>
  <c r="E135" i="148"/>
  <c r="K135" i="148"/>
  <c r="G135" i="148"/>
  <c r="F135" i="148"/>
  <c r="C135" i="148"/>
  <c r="I136" i="148"/>
  <c r="D136" i="148"/>
  <c r="J136" i="148"/>
  <c r="E136" i="148"/>
  <c r="K136" i="148"/>
  <c r="G136" i="148"/>
  <c r="F136" i="148"/>
  <c r="C136" i="148"/>
  <c r="I137" i="148"/>
  <c r="D137" i="148"/>
  <c r="J137" i="148"/>
  <c r="E137" i="148"/>
  <c r="K137" i="148"/>
  <c r="G137" i="148"/>
  <c r="F137" i="148"/>
  <c r="C137" i="148"/>
  <c r="I138" i="148"/>
  <c r="D138" i="148"/>
  <c r="J138" i="148"/>
  <c r="E138" i="148"/>
  <c r="K138" i="148"/>
  <c r="G138" i="148"/>
  <c r="F138" i="148"/>
  <c r="C138" i="148"/>
  <c r="I139" i="148"/>
  <c r="D139" i="148"/>
  <c r="J139" i="148"/>
  <c r="E139" i="148"/>
  <c r="K139" i="148"/>
  <c r="G139" i="148"/>
  <c r="F139" i="148"/>
  <c r="C139" i="148"/>
  <c r="I140" i="148"/>
  <c r="D140" i="148"/>
  <c r="J140" i="148"/>
  <c r="E140" i="148"/>
  <c r="K140" i="148"/>
  <c r="G140" i="148"/>
  <c r="F140" i="148"/>
  <c r="C140" i="148"/>
  <c r="I141" i="148"/>
  <c r="D141" i="148"/>
  <c r="J141" i="148"/>
  <c r="E141" i="148"/>
  <c r="K141" i="148"/>
  <c r="G141" i="148"/>
  <c r="F141" i="148"/>
  <c r="C141" i="148"/>
  <c r="I142" i="148"/>
  <c r="D142" i="148"/>
  <c r="J142" i="148"/>
  <c r="E142" i="148"/>
  <c r="K142" i="148"/>
  <c r="G142" i="148"/>
  <c r="F142" i="148"/>
  <c r="C142" i="148"/>
  <c r="I143" i="148"/>
  <c r="D143" i="148"/>
  <c r="J143" i="148"/>
  <c r="E143" i="148"/>
  <c r="K143" i="148"/>
  <c r="G143" i="148"/>
  <c r="F143" i="148"/>
  <c r="C143" i="148"/>
  <c r="I144" i="148"/>
  <c r="D144" i="148"/>
  <c r="J144" i="148"/>
  <c r="E144" i="148"/>
  <c r="K144" i="148"/>
  <c r="G144" i="148"/>
  <c r="F144" i="148"/>
  <c r="C144" i="148"/>
  <c r="I145" i="148"/>
  <c r="D145" i="148"/>
  <c r="J145" i="148"/>
  <c r="E145" i="148"/>
  <c r="K145" i="148"/>
  <c r="G145" i="148"/>
  <c r="F145" i="148"/>
  <c r="C145" i="148"/>
  <c r="I146" i="148"/>
  <c r="D146" i="148"/>
  <c r="J146" i="148"/>
  <c r="E146" i="148"/>
  <c r="K146" i="148"/>
  <c r="G146" i="148"/>
  <c r="F146" i="148"/>
  <c r="C146" i="148"/>
  <c r="I147" i="148"/>
  <c r="D147" i="148"/>
  <c r="J147" i="148"/>
  <c r="E147" i="148"/>
  <c r="K147" i="148"/>
  <c r="G147" i="148"/>
  <c r="F147" i="148"/>
  <c r="C147" i="148"/>
  <c r="I148" i="148"/>
  <c r="D148" i="148"/>
  <c r="J148" i="148"/>
  <c r="E148" i="148"/>
  <c r="K148" i="148"/>
  <c r="G148" i="148"/>
  <c r="F148" i="148"/>
  <c r="C148" i="148"/>
  <c r="I149" i="148"/>
  <c r="D149" i="148"/>
  <c r="J149" i="148"/>
  <c r="E149" i="148"/>
  <c r="K149" i="148"/>
  <c r="G149" i="148"/>
  <c r="F149" i="148"/>
  <c r="C149" i="148"/>
  <c r="I150" i="148"/>
  <c r="D150" i="148"/>
  <c r="J150" i="148"/>
  <c r="E150" i="148"/>
  <c r="K150" i="148"/>
  <c r="G150" i="148"/>
  <c r="F150" i="148"/>
  <c r="C150" i="148"/>
  <c r="I151" i="148"/>
  <c r="D151" i="148"/>
  <c r="J151" i="148"/>
  <c r="E151" i="148"/>
  <c r="K151" i="148"/>
  <c r="G151" i="148"/>
  <c r="F151" i="148"/>
  <c r="C151" i="148"/>
  <c r="I152" i="148"/>
  <c r="D152" i="148"/>
  <c r="J152" i="148"/>
  <c r="E152" i="148"/>
  <c r="K152" i="148"/>
  <c r="G152" i="148"/>
  <c r="F152" i="148"/>
  <c r="C152" i="148"/>
  <c r="I153" i="148"/>
  <c r="D153" i="148"/>
  <c r="J153" i="148"/>
  <c r="E153" i="148"/>
  <c r="K153" i="148"/>
  <c r="G153" i="148"/>
  <c r="F153" i="148"/>
  <c r="C153" i="148"/>
  <c r="I154" i="148"/>
  <c r="D154" i="148"/>
  <c r="J154" i="148"/>
  <c r="E154" i="148"/>
  <c r="K154" i="148"/>
  <c r="G154" i="148"/>
  <c r="F154" i="148"/>
  <c r="C154" i="148"/>
  <c r="I155" i="148"/>
  <c r="D155" i="148"/>
  <c r="J155" i="148"/>
  <c r="E155" i="148"/>
  <c r="K155" i="148"/>
  <c r="G155" i="148"/>
  <c r="F155" i="148"/>
  <c r="C155" i="148"/>
  <c r="I156" i="148"/>
  <c r="D156" i="148"/>
  <c r="J156" i="148"/>
  <c r="E156" i="148"/>
  <c r="K156" i="148"/>
  <c r="G156" i="148"/>
  <c r="F156" i="148"/>
  <c r="C156" i="148"/>
  <c r="I157" i="148"/>
  <c r="D157" i="148"/>
  <c r="J157" i="148"/>
  <c r="E157" i="148"/>
  <c r="K157" i="148"/>
  <c r="G157" i="148"/>
  <c r="F157" i="148"/>
  <c r="C157" i="148"/>
  <c r="I158" i="148"/>
  <c r="D158" i="148"/>
  <c r="J158" i="148"/>
  <c r="E158" i="148"/>
  <c r="K158" i="148"/>
  <c r="G158" i="148"/>
  <c r="F158" i="148"/>
  <c r="C158" i="148"/>
  <c r="I159" i="148"/>
  <c r="D159" i="148"/>
  <c r="J159" i="148"/>
  <c r="E159" i="148"/>
  <c r="K159" i="148"/>
  <c r="G159" i="148"/>
  <c r="F159" i="148"/>
  <c r="C159" i="148"/>
  <c r="I160" i="148"/>
  <c r="D160" i="148"/>
  <c r="J160" i="148"/>
  <c r="E160" i="148"/>
  <c r="K160" i="148"/>
  <c r="G160" i="148"/>
  <c r="F160" i="148"/>
  <c r="C160" i="148"/>
  <c r="I161" i="148"/>
  <c r="D161" i="148"/>
  <c r="J161" i="148"/>
  <c r="E161" i="148"/>
  <c r="K161" i="148"/>
  <c r="G161" i="148"/>
  <c r="F161" i="148"/>
  <c r="C161" i="148"/>
  <c r="I162" i="148"/>
  <c r="D162" i="148"/>
  <c r="J162" i="148"/>
  <c r="E162" i="148"/>
  <c r="K162" i="148"/>
  <c r="G162" i="148"/>
  <c r="F162" i="148"/>
  <c r="C162" i="148"/>
  <c r="I163" i="148"/>
  <c r="D163" i="148"/>
  <c r="J163" i="148"/>
  <c r="E163" i="148"/>
  <c r="K163" i="148"/>
  <c r="G163" i="148"/>
  <c r="F163" i="148"/>
  <c r="C163" i="148"/>
  <c r="I164" i="148"/>
  <c r="D164" i="148"/>
  <c r="J164" i="148"/>
  <c r="E164" i="148"/>
  <c r="K164" i="148"/>
  <c r="G164" i="148"/>
  <c r="F164" i="148"/>
  <c r="C164" i="148"/>
  <c r="I165" i="148"/>
  <c r="D165" i="148"/>
  <c r="J165" i="148"/>
  <c r="E165" i="148"/>
  <c r="K165" i="148"/>
  <c r="G165" i="148"/>
  <c r="F165" i="148"/>
  <c r="C165" i="148"/>
  <c r="I166" i="148"/>
  <c r="D166" i="148"/>
  <c r="J166" i="148"/>
  <c r="E166" i="148"/>
  <c r="K166" i="148"/>
  <c r="G166" i="148"/>
  <c r="F166" i="148"/>
  <c r="C166" i="148"/>
  <c r="I167" i="148"/>
  <c r="D167" i="148"/>
  <c r="J167" i="148"/>
  <c r="E167" i="148"/>
  <c r="K167" i="148"/>
  <c r="G167" i="148"/>
  <c r="F167" i="148"/>
  <c r="C167" i="148"/>
  <c r="I168" i="148"/>
  <c r="D168" i="148"/>
  <c r="J168" i="148"/>
  <c r="E168" i="148"/>
  <c r="K168" i="148"/>
  <c r="G168" i="148"/>
  <c r="F168" i="148"/>
  <c r="C168" i="148"/>
  <c r="I169" i="148"/>
  <c r="D169" i="148"/>
  <c r="J169" i="148"/>
  <c r="E169" i="148"/>
  <c r="K169" i="148"/>
  <c r="G169" i="148"/>
  <c r="F169" i="148"/>
  <c r="C169" i="148"/>
  <c r="I170" i="148"/>
  <c r="D170" i="148"/>
  <c r="J170" i="148"/>
  <c r="E170" i="148"/>
  <c r="K170" i="148"/>
  <c r="G170" i="148"/>
  <c r="F170" i="148"/>
  <c r="C170" i="148"/>
  <c r="I171" i="148"/>
  <c r="D171" i="148"/>
  <c r="J171" i="148"/>
  <c r="E171" i="148"/>
  <c r="K171" i="148"/>
  <c r="G171" i="148"/>
  <c r="F171" i="148"/>
  <c r="C171" i="148"/>
  <c r="I172" i="148"/>
  <c r="D172" i="148"/>
  <c r="J172" i="148"/>
  <c r="E172" i="148"/>
  <c r="K172" i="148"/>
  <c r="G172" i="148"/>
  <c r="F172" i="148"/>
  <c r="C172" i="148"/>
  <c r="I173" i="148"/>
  <c r="D173" i="148"/>
  <c r="J173" i="148"/>
  <c r="E173" i="148"/>
  <c r="K173" i="148"/>
  <c r="G173" i="148"/>
  <c r="F173" i="148"/>
  <c r="C173" i="148"/>
  <c r="I174" i="148"/>
  <c r="D174" i="148"/>
  <c r="J174" i="148"/>
  <c r="E174" i="148"/>
  <c r="K174" i="148"/>
  <c r="G174" i="148"/>
  <c r="F174" i="148"/>
  <c r="C174" i="148"/>
  <c r="I175" i="148"/>
  <c r="D175" i="148"/>
  <c r="J175" i="148"/>
  <c r="E175" i="148"/>
  <c r="K175" i="148"/>
  <c r="G175" i="148"/>
  <c r="F175" i="148"/>
  <c r="C175" i="148"/>
  <c r="I176" i="148"/>
  <c r="D176" i="148"/>
  <c r="J176" i="148"/>
  <c r="E176" i="148"/>
  <c r="K176" i="148"/>
  <c r="G176" i="148"/>
  <c r="F176" i="148"/>
  <c r="C176" i="148"/>
  <c r="I177" i="148"/>
  <c r="D177" i="148"/>
  <c r="J177" i="148"/>
  <c r="E177" i="148"/>
  <c r="K177" i="148"/>
  <c r="G177" i="148"/>
  <c r="F177" i="148"/>
  <c r="C177" i="148"/>
  <c r="I178" i="148"/>
  <c r="D178" i="148"/>
  <c r="J178" i="148"/>
  <c r="E178" i="148"/>
  <c r="K178" i="148"/>
  <c r="G178" i="148"/>
  <c r="F178" i="148"/>
  <c r="C178" i="148"/>
  <c r="I179" i="148"/>
  <c r="D179" i="148"/>
  <c r="J179" i="148"/>
  <c r="E179" i="148"/>
  <c r="K179" i="148"/>
  <c r="G179" i="148"/>
  <c r="F179" i="148"/>
  <c r="C179" i="148"/>
  <c r="I180" i="148"/>
  <c r="D180" i="148"/>
  <c r="J180" i="148"/>
  <c r="E180" i="148"/>
  <c r="K180" i="148"/>
  <c r="G180" i="148"/>
  <c r="F180" i="148"/>
  <c r="C180" i="148"/>
  <c r="I181" i="148"/>
  <c r="D181" i="148"/>
  <c r="J181" i="148"/>
  <c r="E181" i="148"/>
  <c r="K181" i="148"/>
  <c r="G181" i="148"/>
  <c r="F181" i="148"/>
  <c r="C181" i="148"/>
  <c r="I182" i="148"/>
  <c r="D182" i="148"/>
  <c r="J182" i="148"/>
  <c r="E182" i="148"/>
  <c r="K182" i="148"/>
  <c r="G182" i="148"/>
  <c r="F182" i="148"/>
  <c r="C182" i="148"/>
  <c r="I183" i="148"/>
  <c r="D183" i="148"/>
  <c r="J183" i="148"/>
  <c r="E183" i="148"/>
  <c r="K183" i="148"/>
  <c r="G183" i="148"/>
  <c r="F183" i="148"/>
  <c r="C183" i="148"/>
  <c r="I184" i="148"/>
  <c r="D184" i="148"/>
  <c r="J184" i="148"/>
  <c r="E184" i="148"/>
  <c r="K184" i="148"/>
  <c r="G184" i="148"/>
  <c r="F184" i="148"/>
  <c r="C184" i="148"/>
  <c r="I185" i="148"/>
  <c r="D185" i="148"/>
  <c r="J185" i="148"/>
  <c r="E185" i="148"/>
  <c r="K185" i="148"/>
  <c r="G185" i="148"/>
  <c r="F185" i="148"/>
  <c r="C185" i="148"/>
  <c r="I186" i="148"/>
  <c r="D186" i="148"/>
  <c r="J186" i="148"/>
  <c r="E186" i="148"/>
  <c r="K186" i="148"/>
  <c r="G186" i="148"/>
  <c r="F186" i="148"/>
  <c r="C186" i="148"/>
  <c r="I187" i="148"/>
  <c r="D187" i="148"/>
  <c r="J187" i="148"/>
  <c r="E187" i="148"/>
  <c r="K187" i="148"/>
  <c r="G187" i="148"/>
  <c r="F187" i="148"/>
  <c r="C187" i="148"/>
  <c r="I188" i="148"/>
  <c r="D188" i="148"/>
  <c r="J188" i="148"/>
  <c r="E188" i="148"/>
  <c r="K188" i="148"/>
  <c r="G188" i="148"/>
  <c r="F188" i="148"/>
  <c r="C188" i="148"/>
  <c r="I189" i="148"/>
  <c r="D189" i="148"/>
  <c r="J189" i="148"/>
  <c r="E189" i="148"/>
  <c r="K189" i="148"/>
  <c r="G189" i="148"/>
  <c r="F189" i="148"/>
  <c r="C189" i="148"/>
  <c r="I190" i="148"/>
  <c r="D190" i="148"/>
  <c r="J190" i="148"/>
  <c r="E190" i="148"/>
  <c r="K190" i="148"/>
  <c r="G190" i="148"/>
  <c r="F190" i="148"/>
  <c r="C190" i="148"/>
  <c r="I191" i="148"/>
  <c r="D191" i="148"/>
  <c r="J191" i="148"/>
  <c r="E191" i="148"/>
  <c r="K191" i="148"/>
  <c r="G191" i="148"/>
  <c r="F191" i="148"/>
  <c r="C191" i="148"/>
  <c r="I192" i="148"/>
  <c r="D192" i="148"/>
  <c r="J192" i="148"/>
  <c r="E192" i="148"/>
  <c r="K192" i="148"/>
  <c r="G192" i="148"/>
  <c r="F192" i="148"/>
  <c r="C192" i="148"/>
  <c r="I193" i="148"/>
  <c r="D193" i="148"/>
  <c r="J193" i="148"/>
  <c r="E193" i="148"/>
  <c r="K193" i="148"/>
  <c r="G193" i="148"/>
  <c r="F193" i="148"/>
  <c r="C193" i="148"/>
  <c r="I194" i="148"/>
  <c r="D194" i="148"/>
  <c r="J194" i="148"/>
  <c r="E194" i="148"/>
  <c r="K194" i="148"/>
  <c r="G194" i="148"/>
  <c r="F194" i="148"/>
  <c r="C194" i="148"/>
  <c r="I195" i="148"/>
  <c r="D195" i="148"/>
  <c r="J195" i="148"/>
  <c r="E195" i="148"/>
  <c r="K195" i="148"/>
  <c r="G195" i="148"/>
  <c r="F195" i="148"/>
  <c r="C195" i="148"/>
  <c r="I196" i="148"/>
  <c r="D196" i="148"/>
  <c r="J196" i="148"/>
  <c r="E196" i="148"/>
  <c r="K196" i="148"/>
  <c r="G196" i="148"/>
  <c r="F196" i="148"/>
  <c r="C196" i="148"/>
  <c r="I197" i="148"/>
  <c r="D197" i="148"/>
  <c r="J197" i="148"/>
  <c r="E197" i="148"/>
  <c r="K197" i="148"/>
  <c r="G197" i="148"/>
  <c r="F197" i="148"/>
  <c r="C197" i="148"/>
  <c r="I198" i="148"/>
  <c r="D198" i="148"/>
  <c r="J198" i="148"/>
  <c r="E198" i="148"/>
  <c r="K198" i="148"/>
  <c r="G198" i="148"/>
  <c r="F198" i="148"/>
  <c r="C198" i="148"/>
  <c r="I199" i="148"/>
  <c r="D199" i="148"/>
  <c r="J199" i="148"/>
  <c r="E199" i="148"/>
  <c r="K199" i="148"/>
  <c r="G199" i="148"/>
  <c r="F199" i="148"/>
  <c r="C199" i="148"/>
  <c r="I200" i="148"/>
  <c r="D200" i="148"/>
  <c r="J200" i="148"/>
  <c r="E200" i="148"/>
  <c r="K200" i="148"/>
  <c r="G200" i="148"/>
  <c r="F200" i="148"/>
  <c r="C200" i="148"/>
  <c r="I201" i="148"/>
  <c r="D201" i="148"/>
  <c r="J201" i="148"/>
  <c r="E201" i="148"/>
  <c r="K201" i="148"/>
  <c r="G201" i="148"/>
  <c r="F201" i="148"/>
  <c r="C201" i="148"/>
  <c r="I202" i="148"/>
  <c r="D202" i="148"/>
  <c r="J202" i="148"/>
  <c r="E202" i="148"/>
  <c r="K202" i="148"/>
  <c r="G202" i="148"/>
  <c r="F202" i="148"/>
  <c r="C202" i="148"/>
  <c r="I203" i="148"/>
  <c r="D203" i="148"/>
  <c r="J203" i="148"/>
  <c r="E203" i="148"/>
  <c r="K203" i="148"/>
  <c r="G203" i="148"/>
  <c r="F203" i="148"/>
  <c r="C203" i="148"/>
  <c r="I204" i="148"/>
  <c r="D204" i="148"/>
  <c r="J204" i="148"/>
  <c r="E204" i="148"/>
  <c r="K204" i="148"/>
  <c r="G204" i="148"/>
  <c r="F204" i="148"/>
  <c r="C204" i="148"/>
  <c r="I205" i="148"/>
  <c r="D205" i="148"/>
  <c r="J205" i="148"/>
  <c r="E205" i="148"/>
  <c r="K205" i="148"/>
  <c r="G205" i="148"/>
  <c r="F205" i="148"/>
  <c r="C205" i="148"/>
  <c r="I206" i="148"/>
  <c r="D206" i="148"/>
  <c r="J206" i="148"/>
  <c r="E206" i="148"/>
  <c r="K206" i="148"/>
  <c r="G206" i="148"/>
  <c r="F206" i="148"/>
  <c r="C206" i="148"/>
  <c r="I207" i="148"/>
  <c r="D207" i="148"/>
  <c r="J207" i="148"/>
  <c r="E207" i="148"/>
  <c r="K207" i="148"/>
  <c r="G207" i="148"/>
  <c r="F207" i="148"/>
  <c r="C207" i="148"/>
  <c r="I208" i="148"/>
  <c r="D208" i="148"/>
  <c r="J208" i="148"/>
  <c r="E208" i="148"/>
  <c r="K208" i="148"/>
  <c r="G208" i="148"/>
  <c r="F208" i="148"/>
  <c r="C208" i="148"/>
  <c r="I209" i="148"/>
  <c r="D209" i="148"/>
  <c r="J209" i="148"/>
  <c r="E209" i="148"/>
  <c r="K209" i="148"/>
  <c r="G209" i="148"/>
  <c r="F209" i="148"/>
  <c r="C209" i="148"/>
  <c r="I210" i="148"/>
  <c r="D210" i="148"/>
  <c r="J210" i="148"/>
  <c r="E210" i="148"/>
  <c r="K210" i="148"/>
  <c r="G210" i="148"/>
  <c r="F210" i="148"/>
  <c r="C210" i="148"/>
  <c r="I211" i="148"/>
  <c r="D211" i="148"/>
  <c r="J211" i="148"/>
  <c r="E211" i="148"/>
  <c r="K211" i="148"/>
  <c r="G211" i="148"/>
  <c r="F211" i="148"/>
  <c r="C211" i="148"/>
  <c r="I212" i="148"/>
  <c r="D212" i="148"/>
  <c r="J212" i="148"/>
  <c r="E212" i="148"/>
  <c r="K212" i="148"/>
  <c r="G212" i="148"/>
  <c r="F212" i="148"/>
  <c r="C212" i="148"/>
  <c r="I213" i="148"/>
  <c r="D213" i="148"/>
  <c r="J213" i="148"/>
  <c r="E213" i="148"/>
  <c r="K213" i="148"/>
  <c r="G213" i="148"/>
  <c r="F213" i="148"/>
  <c r="C213" i="148"/>
  <c r="I214" i="148"/>
  <c r="D214" i="148"/>
  <c r="J214" i="148"/>
  <c r="E214" i="148"/>
  <c r="K214" i="148"/>
  <c r="G214" i="148"/>
  <c r="F214" i="148"/>
  <c r="C214" i="148"/>
  <c r="I215" i="148"/>
  <c r="J215" i="148"/>
  <c r="D215" i="148"/>
  <c r="E215" i="148"/>
  <c r="K215" i="148"/>
  <c r="G215" i="148"/>
  <c r="F215" i="148"/>
  <c r="C215" i="148"/>
  <c r="I216" i="148"/>
  <c r="J216" i="148"/>
  <c r="D216" i="148"/>
  <c r="E216" i="148"/>
  <c r="K216" i="148"/>
  <c r="G216" i="148"/>
  <c r="F216" i="148"/>
  <c r="C216" i="148"/>
  <c r="I217" i="148"/>
  <c r="J217" i="148"/>
  <c r="D217" i="148"/>
  <c r="E217" i="148"/>
  <c r="K217" i="148"/>
  <c r="G217" i="148"/>
  <c r="F217" i="148"/>
  <c r="C217" i="148"/>
  <c r="I218" i="148"/>
  <c r="J218" i="148"/>
  <c r="D218" i="148"/>
  <c r="E218" i="148"/>
  <c r="K218" i="148"/>
  <c r="G218" i="148"/>
  <c r="F218" i="148"/>
  <c r="C218" i="148"/>
  <c r="I219" i="148"/>
  <c r="J219" i="148"/>
  <c r="D219" i="148"/>
  <c r="E219" i="148"/>
  <c r="K219" i="148"/>
  <c r="G219" i="148"/>
  <c r="F219" i="148"/>
  <c r="C219" i="148"/>
  <c r="I220" i="148"/>
  <c r="J220" i="148"/>
  <c r="D220" i="148"/>
  <c r="E220" i="148"/>
  <c r="K220" i="148"/>
  <c r="G220" i="148"/>
  <c r="F220" i="148"/>
  <c r="C220" i="148"/>
  <c r="I221" i="148"/>
  <c r="D221" i="148"/>
  <c r="J221" i="148"/>
  <c r="E221" i="148"/>
  <c r="K221" i="148"/>
  <c r="G221" i="148"/>
  <c r="F221" i="148"/>
  <c r="C221" i="148"/>
  <c r="I222" i="148"/>
  <c r="D222" i="148"/>
  <c r="J222" i="148"/>
  <c r="E222" i="148"/>
  <c r="K222" i="148"/>
  <c r="G222" i="148"/>
  <c r="F222" i="148"/>
  <c r="C222" i="148"/>
  <c r="I223" i="148"/>
  <c r="D223" i="148"/>
  <c r="J223" i="148"/>
  <c r="E223" i="148"/>
  <c r="K223" i="148"/>
  <c r="G223" i="148"/>
  <c r="F223" i="148"/>
  <c r="C223" i="148"/>
  <c r="I224" i="148"/>
  <c r="D224" i="148"/>
  <c r="J224" i="148"/>
  <c r="E224" i="148"/>
  <c r="K224" i="148"/>
  <c r="G224" i="148"/>
  <c r="F224" i="148"/>
  <c r="C224" i="148"/>
  <c r="I225" i="148"/>
  <c r="D225" i="148"/>
  <c r="J225" i="148"/>
  <c r="E225" i="148"/>
  <c r="K225" i="148"/>
  <c r="G225" i="148"/>
  <c r="F225" i="148"/>
  <c r="C225" i="148"/>
  <c r="I226" i="148"/>
  <c r="D226" i="148"/>
  <c r="J226" i="148"/>
  <c r="E226" i="148"/>
  <c r="K226" i="148"/>
  <c r="G226" i="148"/>
  <c r="F226" i="148"/>
  <c r="C226" i="148"/>
  <c r="I227" i="148"/>
  <c r="D227" i="148"/>
  <c r="J227" i="148"/>
  <c r="E227" i="148"/>
  <c r="K227" i="148"/>
  <c r="G227" i="148"/>
  <c r="F227" i="148"/>
  <c r="C227" i="148"/>
  <c r="I228" i="148"/>
  <c r="D228" i="148"/>
  <c r="J228" i="148"/>
  <c r="E228" i="148"/>
  <c r="K228" i="148"/>
  <c r="G228" i="148"/>
  <c r="F228" i="148"/>
  <c r="C228" i="148"/>
  <c r="I229" i="148"/>
  <c r="D229" i="148"/>
  <c r="J229" i="148"/>
  <c r="E229" i="148"/>
  <c r="K229" i="148"/>
  <c r="G229" i="148"/>
  <c r="F229" i="148"/>
  <c r="C229" i="148"/>
  <c r="I230" i="148"/>
  <c r="D230" i="148"/>
  <c r="J230" i="148"/>
  <c r="E230" i="148"/>
  <c r="K230" i="148"/>
  <c r="G230" i="148"/>
  <c r="F230" i="148"/>
  <c r="C230" i="148"/>
  <c r="I231" i="148"/>
  <c r="D231" i="148"/>
  <c r="J231" i="148"/>
  <c r="E231" i="148"/>
  <c r="K231" i="148"/>
  <c r="G231" i="148"/>
  <c r="F231" i="148"/>
  <c r="C231" i="148"/>
  <c r="I232" i="148"/>
  <c r="D232" i="148"/>
  <c r="J232" i="148"/>
  <c r="E232" i="148"/>
  <c r="K232" i="148"/>
  <c r="G232" i="148"/>
  <c r="F232" i="148"/>
  <c r="C232" i="148"/>
  <c r="I233" i="148"/>
  <c r="D233" i="148"/>
  <c r="J233" i="148"/>
  <c r="E233" i="148"/>
  <c r="K233" i="148"/>
  <c r="G233" i="148"/>
  <c r="F233" i="148"/>
  <c r="C233" i="148"/>
  <c r="I234" i="148"/>
  <c r="D234" i="148"/>
  <c r="J234" i="148"/>
  <c r="E234" i="148"/>
  <c r="K234" i="148"/>
  <c r="G234" i="148"/>
  <c r="F234" i="148"/>
  <c r="C234" i="148"/>
  <c r="I235" i="148"/>
  <c r="D235" i="148"/>
  <c r="J235" i="148"/>
  <c r="E235" i="148"/>
  <c r="K235" i="148"/>
  <c r="G235" i="148"/>
  <c r="F235" i="148"/>
  <c r="C235" i="148"/>
  <c r="I236" i="148"/>
  <c r="D236" i="148"/>
  <c r="J236" i="148"/>
  <c r="E236" i="148"/>
  <c r="K236" i="148"/>
  <c r="G236" i="148"/>
  <c r="F236" i="148"/>
  <c r="C236" i="148"/>
  <c r="I237" i="148"/>
  <c r="D237" i="148"/>
  <c r="J237" i="148"/>
  <c r="E237" i="148"/>
  <c r="K237" i="148"/>
  <c r="G237" i="148"/>
  <c r="F237" i="148"/>
  <c r="C237" i="148"/>
  <c r="I238" i="148"/>
  <c r="D238" i="148"/>
  <c r="J238" i="148"/>
  <c r="E238" i="148"/>
  <c r="K238" i="148"/>
  <c r="G238" i="148"/>
  <c r="F238" i="148"/>
  <c r="C238" i="148"/>
  <c r="I239" i="148"/>
  <c r="D239" i="148"/>
  <c r="J239" i="148"/>
  <c r="E239" i="148"/>
  <c r="K239" i="148"/>
  <c r="G239" i="148"/>
  <c r="F239" i="148"/>
  <c r="C239" i="148"/>
  <c r="I240" i="148"/>
  <c r="D240" i="148"/>
  <c r="J240" i="148"/>
  <c r="E240" i="148"/>
  <c r="K240" i="148"/>
  <c r="G240" i="148"/>
  <c r="F240" i="148"/>
  <c r="C240" i="148"/>
  <c r="I241" i="148"/>
  <c r="D241" i="148"/>
  <c r="J241" i="148"/>
  <c r="E241" i="148"/>
  <c r="K241" i="148"/>
  <c r="G241" i="148"/>
  <c r="F241" i="148"/>
  <c r="C241" i="148"/>
  <c r="I242" i="148"/>
  <c r="D242" i="148"/>
  <c r="J242" i="148"/>
  <c r="E242" i="148"/>
  <c r="K242" i="148"/>
  <c r="G242" i="148"/>
  <c r="F242" i="148"/>
  <c r="C242" i="148"/>
  <c r="I243" i="148"/>
  <c r="D243" i="148"/>
  <c r="J243" i="148"/>
  <c r="E243" i="148"/>
  <c r="K243" i="148"/>
  <c r="G243" i="148"/>
  <c r="F243" i="148"/>
  <c r="C243" i="148"/>
  <c r="I244" i="148"/>
  <c r="D244" i="148"/>
  <c r="J244" i="148"/>
  <c r="E244" i="148"/>
  <c r="K244" i="148"/>
  <c r="G244" i="148"/>
  <c r="F244" i="148"/>
  <c r="C244" i="148"/>
  <c r="I245" i="148"/>
  <c r="D245" i="148"/>
  <c r="J245" i="148"/>
  <c r="E245" i="148"/>
  <c r="K245" i="148"/>
  <c r="G245" i="148"/>
  <c r="F245" i="148"/>
  <c r="C245" i="148"/>
  <c r="I246" i="148"/>
  <c r="D246" i="148"/>
  <c r="J246" i="148"/>
  <c r="E246" i="148"/>
  <c r="K246" i="148"/>
  <c r="G246" i="148"/>
  <c r="F246" i="148"/>
  <c r="C246" i="148"/>
  <c r="I247" i="148"/>
  <c r="D247" i="148"/>
  <c r="J247" i="148"/>
  <c r="E247" i="148"/>
  <c r="K247" i="148"/>
  <c r="G247" i="148"/>
  <c r="F247" i="148"/>
  <c r="C247" i="148"/>
  <c r="I248" i="148"/>
  <c r="D248" i="148"/>
  <c r="J248" i="148"/>
  <c r="E248" i="148"/>
  <c r="K248" i="148"/>
  <c r="G248" i="148"/>
  <c r="F248" i="148"/>
  <c r="C248" i="148"/>
  <c r="I249" i="148"/>
  <c r="D249" i="148"/>
  <c r="J249" i="148"/>
  <c r="E249" i="148"/>
  <c r="K249" i="148"/>
  <c r="G249" i="148"/>
  <c r="F249" i="148"/>
  <c r="C249" i="148"/>
  <c r="I250" i="148"/>
  <c r="D250" i="148"/>
  <c r="J250" i="148"/>
  <c r="E250" i="148"/>
  <c r="K250" i="148"/>
  <c r="G250" i="148"/>
  <c r="F250" i="148"/>
  <c r="C250" i="148"/>
  <c r="I251" i="148"/>
  <c r="D251" i="148"/>
  <c r="J251" i="148"/>
  <c r="E251" i="148"/>
  <c r="K251" i="148"/>
  <c r="G251" i="148"/>
  <c r="F251" i="148"/>
  <c r="C251" i="148"/>
  <c r="I252" i="148"/>
  <c r="D252" i="148"/>
  <c r="J252" i="148"/>
  <c r="E252" i="148"/>
  <c r="K252" i="148"/>
  <c r="G252" i="148"/>
  <c r="F252" i="148"/>
  <c r="C252" i="148"/>
  <c r="I253" i="148"/>
  <c r="D253" i="148"/>
  <c r="J253" i="148"/>
  <c r="E253" i="148"/>
  <c r="K253" i="148"/>
  <c r="G253" i="148"/>
  <c r="F253" i="148"/>
  <c r="C253" i="148"/>
  <c r="I254" i="148"/>
  <c r="D254" i="148"/>
  <c r="J254" i="148"/>
  <c r="E254" i="148"/>
  <c r="K254" i="148"/>
  <c r="G254" i="148"/>
  <c r="F254" i="148"/>
  <c r="C254" i="148"/>
  <c r="I255" i="148"/>
  <c r="D255" i="148"/>
  <c r="J255" i="148"/>
  <c r="E255" i="148"/>
  <c r="K255" i="148"/>
  <c r="G255" i="148"/>
  <c r="F255" i="148"/>
  <c r="C255" i="148"/>
  <c r="I256" i="148"/>
  <c r="D256" i="148"/>
  <c r="J256" i="148"/>
  <c r="E256" i="148"/>
  <c r="K256" i="148"/>
  <c r="G256" i="148"/>
  <c r="F256" i="148"/>
  <c r="C256" i="148"/>
  <c r="I257" i="148"/>
  <c r="D257" i="148"/>
  <c r="J257" i="148"/>
  <c r="E257" i="148"/>
  <c r="K257" i="148"/>
  <c r="G257" i="148"/>
  <c r="F257" i="148"/>
  <c r="C257" i="148"/>
  <c r="I258" i="148"/>
  <c r="D258" i="148"/>
  <c r="J258" i="148"/>
  <c r="E258" i="148"/>
  <c r="K258" i="148"/>
  <c r="G258" i="148"/>
  <c r="F258" i="148"/>
  <c r="C258" i="148"/>
  <c r="I259" i="148"/>
  <c r="D259" i="148"/>
  <c r="J259" i="148"/>
  <c r="E259" i="148"/>
  <c r="K259" i="148"/>
  <c r="G259" i="148"/>
  <c r="F259" i="148"/>
  <c r="C259" i="148"/>
  <c r="I260" i="148"/>
  <c r="D260" i="148"/>
  <c r="J260" i="148"/>
  <c r="E260" i="148"/>
  <c r="K260" i="148"/>
  <c r="G260" i="148"/>
  <c r="F260" i="148"/>
  <c r="C260" i="148"/>
  <c r="I261" i="148"/>
  <c r="D261" i="148"/>
  <c r="J261" i="148"/>
  <c r="E261" i="148"/>
  <c r="K261" i="148"/>
  <c r="G261" i="148"/>
  <c r="F261" i="148"/>
  <c r="C261" i="148"/>
  <c r="I262" i="148"/>
  <c r="D262" i="148"/>
  <c r="J262" i="148"/>
  <c r="E262" i="148"/>
  <c r="K262" i="148"/>
  <c r="G262" i="148"/>
  <c r="F262" i="148"/>
  <c r="C262" i="148"/>
  <c r="I263" i="148"/>
  <c r="D263" i="148"/>
  <c r="J263" i="148"/>
  <c r="E263" i="148"/>
  <c r="K263" i="148"/>
  <c r="G263" i="148"/>
  <c r="F263" i="148"/>
  <c r="C263" i="148"/>
  <c r="I264" i="148"/>
  <c r="D264" i="148"/>
  <c r="J264" i="148"/>
  <c r="E264" i="148"/>
  <c r="K264" i="148"/>
  <c r="G264" i="148"/>
  <c r="F264" i="148"/>
  <c r="C264" i="148"/>
  <c r="I265" i="148"/>
  <c r="D265" i="148"/>
  <c r="J265" i="148"/>
  <c r="E265" i="148"/>
  <c r="K265" i="148"/>
  <c r="G265" i="148"/>
  <c r="F265" i="148"/>
  <c r="C265" i="148"/>
  <c r="I266" i="148"/>
  <c r="D266" i="148"/>
  <c r="J266" i="148"/>
  <c r="E266" i="148"/>
  <c r="K266" i="148"/>
  <c r="G266" i="148"/>
  <c r="F266" i="148"/>
  <c r="C266" i="148"/>
  <c r="I267" i="148"/>
  <c r="D267" i="148"/>
  <c r="J267" i="148"/>
  <c r="E267" i="148"/>
  <c r="K267" i="148"/>
  <c r="G267" i="148"/>
  <c r="F267" i="148"/>
  <c r="C267" i="148"/>
  <c r="I268" i="148"/>
  <c r="D268" i="148"/>
  <c r="J268" i="148"/>
  <c r="E268" i="148"/>
  <c r="K268" i="148"/>
  <c r="G268" i="148"/>
  <c r="F268" i="148"/>
  <c r="C268" i="148"/>
  <c r="I269" i="148"/>
  <c r="D269" i="148"/>
  <c r="J269" i="148"/>
  <c r="E269" i="148"/>
  <c r="K269" i="148"/>
  <c r="G269" i="148"/>
  <c r="F269" i="148"/>
  <c r="C269" i="148"/>
  <c r="I270" i="148"/>
  <c r="D270" i="148"/>
  <c r="J270" i="148"/>
  <c r="E270" i="148"/>
  <c r="K270" i="148"/>
  <c r="G270" i="148"/>
  <c r="F270" i="148"/>
  <c r="C270" i="148"/>
  <c r="I271" i="148"/>
  <c r="D271" i="148"/>
  <c r="J271" i="148"/>
  <c r="E271" i="148"/>
  <c r="K271" i="148"/>
  <c r="G271" i="148"/>
  <c r="F271" i="148"/>
  <c r="C271" i="148"/>
  <c r="I272" i="148"/>
  <c r="D272" i="148"/>
  <c r="J272" i="148"/>
  <c r="E272" i="148"/>
  <c r="K272" i="148"/>
  <c r="G272" i="148"/>
  <c r="F272" i="148"/>
  <c r="C272" i="148"/>
  <c r="I273" i="148"/>
  <c r="D273" i="148"/>
  <c r="J273" i="148"/>
  <c r="E273" i="148"/>
  <c r="K273" i="148"/>
  <c r="G273" i="148"/>
  <c r="F273" i="148"/>
  <c r="C273" i="148"/>
  <c r="I274" i="148"/>
  <c r="D274" i="148"/>
  <c r="J274" i="148"/>
  <c r="E274" i="148"/>
  <c r="K274" i="148"/>
  <c r="G274" i="148"/>
  <c r="F274" i="148"/>
  <c r="C274" i="148"/>
  <c r="I275" i="148"/>
  <c r="D275" i="148"/>
  <c r="J275" i="148"/>
  <c r="E275" i="148"/>
  <c r="K275" i="148"/>
  <c r="G275" i="148"/>
  <c r="F275" i="148"/>
  <c r="C275" i="148"/>
  <c r="I276" i="148"/>
  <c r="D276" i="148"/>
  <c r="J276" i="148"/>
  <c r="E276" i="148"/>
  <c r="K276" i="148"/>
  <c r="G276" i="148"/>
  <c r="F276" i="148"/>
  <c r="C276" i="148"/>
  <c r="I277" i="148"/>
  <c r="D277" i="148"/>
  <c r="J277" i="148"/>
  <c r="E277" i="148"/>
  <c r="K277" i="148"/>
  <c r="G277" i="148"/>
  <c r="F277" i="148"/>
  <c r="C277" i="148"/>
  <c r="I278" i="148"/>
  <c r="D278" i="148"/>
  <c r="J278" i="148"/>
  <c r="E278" i="148"/>
  <c r="K278" i="148"/>
  <c r="G278" i="148"/>
  <c r="F278" i="148"/>
  <c r="C278" i="148"/>
  <c r="I279" i="148"/>
  <c r="D279" i="148"/>
  <c r="J279" i="148"/>
  <c r="E279" i="148"/>
  <c r="K279" i="148"/>
  <c r="G279" i="148"/>
  <c r="F279" i="148"/>
  <c r="C279" i="148"/>
  <c r="I280" i="148"/>
  <c r="D280" i="148"/>
  <c r="J280" i="148"/>
  <c r="E280" i="148"/>
  <c r="K280" i="148"/>
  <c r="G280" i="148"/>
  <c r="F280" i="148"/>
  <c r="C280" i="148"/>
  <c r="I281" i="148"/>
  <c r="D281" i="148"/>
  <c r="J281" i="148"/>
  <c r="E281" i="148"/>
  <c r="K281" i="148"/>
  <c r="G281" i="148"/>
  <c r="F281" i="148"/>
  <c r="C281" i="148"/>
  <c r="I282" i="148"/>
  <c r="D282" i="148"/>
  <c r="J282" i="148"/>
  <c r="E282" i="148"/>
  <c r="K282" i="148"/>
  <c r="G282" i="148"/>
  <c r="F282" i="148"/>
  <c r="C282" i="148"/>
  <c r="I283" i="148"/>
  <c r="D283" i="148"/>
  <c r="J283" i="148"/>
  <c r="E283" i="148"/>
  <c r="K283" i="148"/>
  <c r="G283" i="148"/>
  <c r="F283" i="148"/>
  <c r="C283" i="148"/>
  <c r="I284" i="148"/>
  <c r="D284" i="148"/>
  <c r="J284" i="148"/>
  <c r="E284" i="148"/>
  <c r="K284" i="148"/>
  <c r="G284" i="148"/>
  <c r="F284" i="148"/>
  <c r="C284" i="148"/>
  <c r="I285" i="148"/>
  <c r="D285" i="148"/>
  <c r="J285" i="148"/>
  <c r="E285" i="148"/>
  <c r="K285" i="148"/>
  <c r="G285" i="148"/>
  <c r="F285" i="148"/>
  <c r="C285" i="148"/>
  <c r="I286" i="148"/>
  <c r="D286" i="148"/>
  <c r="J286" i="148"/>
  <c r="E286" i="148"/>
  <c r="K286" i="148"/>
  <c r="G286" i="148"/>
  <c r="F286" i="148"/>
  <c r="C286" i="148"/>
  <c r="I287" i="148"/>
  <c r="D287" i="148"/>
  <c r="J287" i="148"/>
  <c r="E287" i="148"/>
  <c r="K287" i="148"/>
  <c r="G287" i="148"/>
  <c r="F287" i="148"/>
  <c r="C287" i="148"/>
  <c r="I288" i="148"/>
  <c r="D288" i="148"/>
  <c r="J288" i="148"/>
  <c r="E288" i="148"/>
  <c r="K288" i="148"/>
  <c r="G288" i="148"/>
  <c r="F288" i="148"/>
  <c r="C288" i="148"/>
  <c r="I289" i="148"/>
  <c r="D289" i="148"/>
  <c r="J289" i="148"/>
  <c r="E289" i="148"/>
  <c r="K289" i="148"/>
  <c r="G289" i="148"/>
  <c r="F289" i="148"/>
  <c r="C289" i="148"/>
  <c r="I290" i="148"/>
  <c r="D290" i="148"/>
  <c r="J290" i="148"/>
  <c r="E290" i="148"/>
  <c r="K290" i="148"/>
  <c r="G290" i="148"/>
  <c r="F290" i="148"/>
  <c r="C290" i="148"/>
  <c r="I291" i="148"/>
  <c r="D291" i="148"/>
  <c r="J291" i="148"/>
  <c r="E291" i="148"/>
  <c r="K291" i="148"/>
  <c r="G291" i="148"/>
  <c r="F291" i="148"/>
  <c r="C291" i="148"/>
  <c r="I292" i="148"/>
  <c r="D292" i="148"/>
  <c r="J292" i="148"/>
  <c r="E292" i="148"/>
  <c r="K292" i="148"/>
  <c r="G292" i="148"/>
  <c r="F292" i="148"/>
  <c r="C292" i="148"/>
  <c r="I293" i="148"/>
  <c r="D293" i="148"/>
  <c r="J293" i="148"/>
  <c r="E293" i="148"/>
  <c r="K293" i="148"/>
  <c r="G293" i="148"/>
  <c r="F293" i="148"/>
  <c r="C293" i="148"/>
  <c r="I294" i="148"/>
  <c r="D294" i="148"/>
  <c r="J294" i="148"/>
  <c r="E294" i="148"/>
  <c r="K294" i="148"/>
  <c r="G294" i="148"/>
  <c r="F294" i="148"/>
  <c r="C294" i="148"/>
  <c r="I295" i="148"/>
  <c r="D295" i="148"/>
  <c r="J295" i="148"/>
  <c r="E295" i="148"/>
  <c r="K295" i="148"/>
  <c r="G295" i="148"/>
  <c r="F295" i="148"/>
  <c r="C295" i="148"/>
  <c r="I296" i="148"/>
  <c r="D296" i="148"/>
  <c r="J296" i="148"/>
  <c r="E296" i="148"/>
  <c r="K296" i="148"/>
  <c r="G296" i="148"/>
  <c r="F296" i="148"/>
  <c r="C296" i="148"/>
  <c r="I297" i="148"/>
  <c r="D297" i="148"/>
  <c r="J297" i="148"/>
  <c r="E297" i="148"/>
  <c r="K297" i="148"/>
  <c r="G297" i="148"/>
  <c r="F297" i="148"/>
  <c r="C297" i="148"/>
  <c r="I298" i="148"/>
  <c r="D298" i="148"/>
  <c r="J298" i="148"/>
  <c r="E298" i="148"/>
  <c r="K298" i="148"/>
  <c r="G298" i="148"/>
  <c r="F298" i="148"/>
  <c r="C298" i="148"/>
  <c r="I299" i="148"/>
  <c r="D299" i="148"/>
  <c r="J299" i="148"/>
  <c r="E299" i="148"/>
  <c r="K299" i="148"/>
  <c r="G299" i="148"/>
  <c r="F299" i="148"/>
  <c r="C299" i="148"/>
  <c r="I300" i="148"/>
  <c r="D300" i="148"/>
  <c r="J300" i="148"/>
  <c r="E300" i="148"/>
  <c r="K300" i="148"/>
  <c r="G300" i="148"/>
  <c r="F300" i="148"/>
  <c r="C300" i="148"/>
  <c r="I301" i="148"/>
  <c r="D301" i="148"/>
  <c r="J301" i="148"/>
  <c r="E301" i="148"/>
  <c r="K301" i="148"/>
  <c r="G301" i="148"/>
  <c r="F301" i="148"/>
  <c r="C301" i="148"/>
  <c r="I302" i="148"/>
  <c r="D302" i="148"/>
  <c r="J302" i="148"/>
  <c r="E302" i="148"/>
  <c r="K302" i="148"/>
  <c r="G302" i="148"/>
  <c r="F302" i="148"/>
  <c r="C302" i="148"/>
  <c r="I303" i="148"/>
  <c r="D303" i="148"/>
  <c r="J303" i="148"/>
  <c r="E303" i="148"/>
  <c r="K303" i="148"/>
  <c r="G303" i="148"/>
  <c r="F303" i="148"/>
  <c r="C303" i="148"/>
  <c r="I304" i="148"/>
  <c r="D304" i="148"/>
  <c r="J304" i="148"/>
  <c r="E304" i="148"/>
  <c r="K304" i="148"/>
  <c r="G304" i="148"/>
  <c r="F304" i="148"/>
  <c r="C304" i="148"/>
  <c r="I305" i="148"/>
  <c r="D305" i="148"/>
  <c r="J305" i="148"/>
  <c r="E305" i="148"/>
  <c r="K305" i="148"/>
  <c r="G305" i="148"/>
  <c r="F305" i="148"/>
  <c r="C305" i="148"/>
  <c r="I306" i="148"/>
  <c r="D306" i="148"/>
  <c r="J306" i="148"/>
  <c r="E306" i="148"/>
  <c r="K306" i="148"/>
  <c r="G306" i="148"/>
  <c r="F306" i="148"/>
  <c r="C306" i="148"/>
  <c r="I307" i="148"/>
  <c r="D307" i="148"/>
  <c r="J307" i="148"/>
  <c r="E307" i="148"/>
  <c r="K307" i="148"/>
  <c r="G307" i="148"/>
  <c r="F307" i="148"/>
  <c r="C307" i="148"/>
  <c r="I308" i="148"/>
  <c r="D308" i="148"/>
  <c r="J308" i="148"/>
  <c r="E308" i="148"/>
  <c r="K308" i="148"/>
  <c r="G308" i="148"/>
  <c r="F308" i="148"/>
  <c r="C308" i="148"/>
  <c r="I309" i="148"/>
  <c r="D309" i="148"/>
  <c r="J309" i="148"/>
  <c r="E309" i="148"/>
  <c r="K309" i="148"/>
  <c r="G309" i="148"/>
  <c r="F309" i="148"/>
  <c r="C309" i="148"/>
  <c r="I310" i="148"/>
  <c r="D310" i="148"/>
  <c r="J310" i="148"/>
  <c r="E310" i="148"/>
  <c r="K310" i="148"/>
  <c r="G310" i="148"/>
  <c r="F310" i="148"/>
  <c r="C310" i="148"/>
  <c r="I311" i="148"/>
  <c r="D311" i="148"/>
  <c r="J311" i="148"/>
  <c r="E311" i="148"/>
  <c r="K311" i="148"/>
  <c r="G311" i="148"/>
  <c r="F311" i="148"/>
  <c r="C311" i="148"/>
  <c r="I312" i="148"/>
  <c r="D312" i="148"/>
  <c r="J312" i="148"/>
  <c r="E312" i="148"/>
  <c r="K312" i="148"/>
  <c r="G312" i="148"/>
  <c r="F312" i="148"/>
  <c r="C312" i="148"/>
  <c r="I313" i="148"/>
  <c r="D313" i="148"/>
  <c r="J313" i="148"/>
  <c r="E313" i="148"/>
  <c r="K313" i="148"/>
  <c r="G313" i="148"/>
  <c r="F313" i="148"/>
  <c r="C313" i="148"/>
  <c r="I314" i="148"/>
  <c r="D314" i="148"/>
  <c r="J314" i="148"/>
  <c r="E314" i="148"/>
  <c r="K314" i="148"/>
  <c r="G314" i="148"/>
  <c r="F314" i="148"/>
  <c r="C314" i="148"/>
  <c r="I315" i="148"/>
  <c r="D315" i="148"/>
  <c r="J315" i="148"/>
  <c r="E315" i="148"/>
  <c r="K315" i="148"/>
  <c r="G315" i="148"/>
  <c r="F315" i="148"/>
  <c r="C315" i="148"/>
  <c r="I316" i="148"/>
  <c r="D316" i="148"/>
  <c r="J316" i="148"/>
  <c r="E316" i="148"/>
  <c r="K316" i="148"/>
  <c r="G316" i="148"/>
  <c r="F316" i="148"/>
  <c r="C316" i="148"/>
  <c r="I317" i="148"/>
  <c r="D317" i="148"/>
  <c r="J317" i="148"/>
  <c r="E317" i="148"/>
  <c r="K317" i="148"/>
  <c r="G317" i="148"/>
  <c r="F317" i="148"/>
  <c r="C317" i="148"/>
  <c r="I318" i="148"/>
  <c r="D318" i="148"/>
  <c r="J318" i="148"/>
  <c r="E318" i="148"/>
  <c r="K318" i="148"/>
  <c r="G318" i="148"/>
  <c r="F318" i="148"/>
  <c r="C318" i="148"/>
  <c r="I319" i="148"/>
  <c r="D319" i="148"/>
  <c r="J319" i="148"/>
  <c r="E319" i="148"/>
  <c r="K319" i="148"/>
  <c r="G319" i="148"/>
  <c r="F319" i="148"/>
  <c r="C319" i="148"/>
  <c r="I320" i="148"/>
  <c r="D320" i="148"/>
  <c r="J320" i="148"/>
  <c r="E320" i="148"/>
  <c r="K320" i="148"/>
  <c r="G320" i="148"/>
  <c r="F320" i="148"/>
  <c r="C320" i="148"/>
  <c r="I321" i="148"/>
  <c r="D321" i="148"/>
  <c r="J321" i="148"/>
  <c r="E321" i="148"/>
  <c r="K321" i="148"/>
  <c r="G321" i="148"/>
  <c r="F321" i="148"/>
  <c r="C321" i="148"/>
  <c r="I322" i="148"/>
  <c r="D322" i="148"/>
  <c r="J322" i="148"/>
  <c r="E322" i="148"/>
  <c r="K322" i="148"/>
  <c r="G322" i="148"/>
  <c r="F322" i="148"/>
  <c r="C322" i="148"/>
  <c r="I323" i="148"/>
  <c r="D323" i="148"/>
  <c r="J323" i="148"/>
  <c r="E323" i="148"/>
  <c r="K323" i="148"/>
  <c r="G323" i="148"/>
  <c r="F323" i="148"/>
  <c r="C323" i="148"/>
  <c r="I324" i="148"/>
  <c r="D324" i="148"/>
  <c r="J324" i="148"/>
  <c r="E324" i="148"/>
  <c r="K324" i="148"/>
  <c r="G324" i="148"/>
  <c r="F324" i="148"/>
  <c r="C324" i="148"/>
  <c r="I325" i="148"/>
  <c r="D325" i="148"/>
  <c r="J325" i="148"/>
  <c r="E325" i="148"/>
  <c r="K325" i="148"/>
  <c r="G325" i="148"/>
  <c r="F325" i="148"/>
  <c r="C325" i="148"/>
  <c r="I326" i="148"/>
  <c r="D326" i="148"/>
  <c r="J326" i="148"/>
  <c r="E326" i="148"/>
  <c r="K326" i="148"/>
  <c r="G326" i="148"/>
  <c r="F326" i="148"/>
  <c r="C326" i="148"/>
  <c r="I327" i="148"/>
  <c r="D327" i="148"/>
  <c r="J327" i="148"/>
  <c r="E327" i="148"/>
  <c r="K327" i="148"/>
  <c r="G327" i="148"/>
  <c r="F327" i="148"/>
  <c r="C327" i="148"/>
  <c r="I328" i="148"/>
  <c r="D328" i="148"/>
  <c r="J328" i="148"/>
  <c r="E328" i="148"/>
  <c r="K328" i="148"/>
  <c r="G328" i="148"/>
  <c r="F328" i="148"/>
  <c r="C328" i="148"/>
  <c r="I329" i="148"/>
  <c r="D329" i="148"/>
  <c r="J329" i="148"/>
  <c r="E329" i="148"/>
  <c r="K329" i="148"/>
  <c r="G329" i="148"/>
  <c r="F329" i="148"/>
  <c r="C329" i="148"/>
  <c r="I330" i="148"/>
  <c r="D330" i="148"/>
  <c r="J330" i="148"/>
  <c r="E330" i="148"/>
  <c r="K330" i="148"/>
  <c r="G330" i="148"/>
  <c r="F330" i="148"/>
  <c r="C330" i="148"/>
  <c r="I331" i="148"/>
  <c r="D331" i="148"/>
  <c r="J331" i="148"/>
  <c r="E331" i="148"/>
  <c r="K331" i="148"/>
  <c r="G331" i="148"/>
  <c r="F331" i="148"/>
  <c r="C331" i="148"/>
  <c r="I332" i="148"/>
  <c r="D332" i="148"/>
  <c r="J332" i="148"/>
  <c r="E332" i="148"/>
  <c r="K332" i="148"/>
  <c r="G332" i="148"/>
  <c r="F332" i="148"/>
  <c r="C332" i="148"/>
  <c r="I333" i="148"/>
  <c r="D333" i="148"/>
  <c r="J333" i="148"/>
  <c r="E333" i="148"/>
  <c r="K333" i="148"/>
  <c r="G333" i="148"/>
  <c r="F333" i="148"/>
  <c r="C333" i="148"/>
  <c r="I334" i="148"/>
  <c r="D334" i="148"/>
  <c r="J334" i="148"/>
  <c r="E334" i="148"/>
  <c r="K334" i="148"/>
  <c r="G334" i="148"/>
  <c r="F334" i="148"/>
  <c r="C334" i="148"/>
  <c r="I335" i="148"/>
  <c r="D335" i="148"/>
  <c r="J335" i="148"/>
  <c r="E335" i="148"/>
  <c r="K335" i="148"/>
  <c r="G335" i="148"/>
  <c r="F335" i="148"/>
  <c r="C335" i="148"/>
  <c r="I336" i="148"/>
  <c r="D336" i="148"/>
  <c r="J336" i="148"/>
  <c r="E336" i="148"/>
  <c r="K336" i="148"/>
  <c r="G336" i="148"/>
  <c r="F336" i="148"/>
  <c r="C336" i="148"/>
  <c r="I337" i="148"/>
  <c r="D337" i="148"/>
  <c r="J337" i="148"/>
  <c r="E337" i="148"/>
  <c r="K337" i="148"/>
  <c r="G337" i="148"/>
  <c r="F337" i="148"/>
  <c r="C337" i="148"/>
  <c r="I338" i="148"/>
  <c r="D338" i="148"/>
  <c r="J338" i="148"/>
  <c r="E338" i="148"/>
  <c r="K338" i="148"/>
  <c r="G338" i="148"/>
  <c r="F338" i="148"/>
  <c r="C338" i="148"/>
  <c r="I339" i="148"/>
  <c r="D339" i="148"/>
  <c r="J339" i="148"/>
  <c r="E339" i="148"/>
  <c r="K339" i="148"/>
  <c r="G339" i="148"/>
  <c r="F339" i="148"/>
  <c r="C339" i="148"/>
  <c r="I340" i="148"/>
  <c r="D340" i="148"/>
  <c r="J340" i="148"/>
  <c r="E340" i="148"/>
  <c r="K340" i="148"/>
  <c r="G340" i="148"/>
  <c r="F340" i="148"/>
  <c r="C340" i="148"/>
  <c r="I341" i="148"/>
  <c r="D341" i="148"/>
  <c r="J341" i="148"/>
  <c r="E341" i="148"/>
  <c r="K341" i="148"/>
  <c r="G341" i="148"/>
  <c r="F341" i="148"/>
  <c r="C341" i="148"/>
  <c r="F5" i="147"/>
  <c r="E5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27" i="147"/>
  <c r="B27" i="147"/>
  <c r="F7" i="147"/>
  <c r="A51" i="147"/>
  <c r="G27" i="147"/>
  <c r="H27" i="147"/>
  <c r="O138" i="148"/>
  <c r="B10" i="147"/>
  <c r="E7" i="147"/>
  <c r="E19" i="147"/>
  <c r="B19" i="147"/>
  <c r="E24" i="147"/>
  <c r="B24" i="147"/>
  <c r="B17" i="147"/>
  <c r="G17" i="147"/>
  <c r="E17" i="147"/>
  <c r="H17" i="147"/>
  <c r="O2" i="148"/>
  <c r="E18" i="147"/>
  <c r="B18" i="147"/>
  <c r="G18" i="147"/>
  <c r="H18" i="147"/>
  <c r="O3" i="148"/>
  <c r="O4" i="148"/>
  <c r="O5" i="148"/>
  <c r="O6" i="148"/>
  <c r="O7" i="148"/>
  <c r="F8" i="147"/>
  <c r="E8" i="147"/>
  <c r="E34" i="147"/>
  <c r="B34" i="147"/>
  <c r="E39" i="147"/>
  <c r="B39" i="147"/>
  <c r="B32" i="147"/>
  <c r="G32" i="147"/>
  <c r="E32" i="147"/>
  <c r="H32" i="147"/>
  <c r="O8" i="148"/>
  <c r="E33" i="147"/>
  <c r="B33" i="147"/>
  <c r="G33" i="147"/>
  <c r="H33" i="147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O42" i="148"/>
  <c r="E25" i="147"/>
  <c r="B25" i="147"/>
  <c r="G25" i="147"/>
  <c r="H25" i="147"/>
  <c r="O43" i="148"/>
  <c r="E26" i="147"/>
  <c r="B26" i="147"/>
  <c r="G26" i="147"/>
  <c r="H26" i="147"/>
  <c r="O44" i="148"/>
  <c r="O45" i="148"/>
  <c r="O46" i="148"/>
  <c r="O47" i="148"/>
  <c r="O48" i="148"/>
  <c r="O49" i="148"/>
  <c r="O50" i="148"/>
  <c r="G34" i="147"/>
  <c r="H34" i="147"/>
  <c r="O51" i="148"/>
  <c r="E35" i="147"/>
  <c r="B35" i="147"/>
  <c r="G35" i="147"/>
  <c r="H35" i="147"/>
  <c r="O52" i="148"/>
  <c r="E36" i="147"/>
  <c r="B36" i="147"/>
  <c r="G36" i="147"/>
  <c r="H36" i="147"/>
  <c r="O53" i="148"/>
  <c r="G19" i="147"/>
  <c r="H19" i="147"/>
  <c r="O54" i="148"/>
  <c r="E20" i="147"/>
  <c r="B20" i="147"/>
  <c r="G20" i="147"/>
  <c r="H20" i="147"/>
  <c r="O55" i="148"/>
  <c r="E21" i="147"/>
  <c r="B21" i="147"/>
  <c r="G21" i="147"/>
  <c r="H21" i="147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G39" i="147"/>
  <c r="H39" i="147"/>
  <c r="O111" i="148"/>
  <c r="E40" i="147"/>
  <c r="B40" i="147"/>
  <c r="G40" i="147"/>
  <c r="H40" i="147"/>
  <c r="O112" i="148"/>
  <c r="E41" i="147"/>
  <c r="B41" i="147"/>
  <c r="G41" i="147"/>
  <c r="H41" i="147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E28" i="147"/>
  <c r="B28" i="147"/>
  <c r="G28" i="147"/>
  <c r="H28" i="147"/>
  <c r="O139" i="148"/>
  <c r="O140" i="148"/>
  <c r="O141" i="148"/>
  <c r="O142" i="148"/>
  <c r="O143" i="148"/>
  <c r="F6" i="147"/>
  <c r="E6" i="147"/>
  <c r="E42" i="147"/>
  <c r="B42" i="147"/>
  <c r="G42" i="147"/>
  <c r="H42" i="147"/>
  <c r="O144" i="148"/>
  <c r="E43" i="147"/>
  <c r="B43" i="147"/>
  <c r="G43" i="147"/>
  <c r="H43" i="147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E23" i="147"/>
  <c r="B23" i="147"/>
  <c r="G23" i="147"/>
  <c r="H23" i="147"/>
  <c r="O215" i="148"/>
  <c r="O216" i="148"/>
  <c r="O217" i="148"/>
  <c r="E38" i="147"/>
  <c r="B38" i="147"/>
  <c r="G38" i="147"/>
  <c r="H38" i="147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O256" i="148"/>
  <c r="O257" i="148"/>
  <c r="O258" i="148"/>
  <c r="O259" i="148"/>
  <c r="O260" i="148"/>
  <c r="O261" i="148"/>
  <c r="E22" i="147"/>
  <c r="B22" i="147"/>
  <c r="G22" i="147"/>
  <c r="H22" i="147"/>
  <c r="O262" i="148"/>
  <c r="O263" i="148"/>
  <c r="O264" i="148"/>
  <c r="O265" i="148"/>
  <c r="E29" i="147"/>
  <c r="B29" i="147"/>
  <c r="G29" i="147"/>
  <c r="H29" i="147"/>
  <c r="O266" i="148"/>
  <c r="E44" i="147"/>
  <c r="B44" i="147"/>
  <c r="G44" i="147"/>
  <c r="H44" i="147"/>
  <c r="O267" i="148"/>
  <c r="O268" i="148"/>
  <c r="O269" i="148"/>
  <c r="O270" i="148"/>
  <c r="O271" i="148"/>
  <c r="E37" i="147"/>
  <c r="B37" i="147"/>
  <c r="G37" i="147"/>
  <c r="H37" i="147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O305" i="148"/>
  <c r="O306" i="148"/>
  <c r="O307" i="148"/>
  <c r="O308" i="148"/>
  <c r="O309" i="148"/>
  <c r="O310" i="148"/>
  <c r="O311" i="148"/>
  <c r="O312" i="148"/>
  <c r="O313" i="148"/>
  <c r="O314" i="148"/>
  <c r="O315" i="148"/>
  <c r="O316" i="148"/>
  <c r="O317" i="148"/>
  <c r="O318" i="148"/>
  <c r="O319" i="148"/>
  <c r="O320" i="148"/>
  <c r="O321" i="148"/>
  <c r="O322" i="148"/>
  <c r="O323" i="148"/>
  <c r="O324" i="148"/>
  <c r="O325" i="148"/>
  <c r="O326" i="148"/>
  <c r="O327" i="148"/>
  <c r="O328" i="148"/>
  <c r="O329" i="148"/>
  <c r="O330" i="148"/>
  <c r="O331" i="148"/>
  <c r="O332" i="148"/>
  <c r="O333" i="148"/>
  <c r="O334" i="148"/>
  <c r="O335" i="148"/>
  <c r="O336" i="148"/>
  <c r="O337" i="148"/>
  <c r="O338" i="148"/>
  <c r="O339" i="148"/>
  <c r="O340" i="148"/>
  <c r="B46" i="147"/>
  <c r="G46" i="147"/>
  <c r="E46" i="147"/>
  <c r="H46" i="147"/>
  <c r="O341" i="148"/>
  <c r="P138" i="148"/>
  <c r="P139" i="148"/>
  <c r="P140" i="148"/>
  <c r="P141" i="148"/>
  <c r="P2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99" i="148"/>
  <c r="P300" i="148"/>
  <c r="P301" i="148"/>
  <c r="P302" i="148"/>
  <c r="P303" i="148"/>
  <c r="P304" i="148"/>
  <c r="P305" i="148"/>
  <c r="P306" i="148"/>
  <c r="P307" i="148"/>
  <c r="P308" i="148"/>
  <c r="P309" i="148"/>
  <c r="P310" i="148"/>
  <c r="P311" i="148"/>
  <c r="P312" i="148"/>
  <c r="P313" i="148"/>
  <c r="P314" i="148"/>
  <c r="P315" i="148"/>
  <c r="P316" i="148"/>
  <c r="P317" i="148"/>
  <c r="P318" i="148"/>
  <c r="P319" i="148"/>
  <c r="P320" i="148"/>
  <c r="P321" i="148"/>
  <c r="P322" i="148"/>
  <c r="P323" i="148"/>
  <c r="P324" i="148"/>
  <c r="P325" i="148"/>
  <c r="P326" i="148"/>
  <c r="P327" i="148"/>
  <c r="P328" i="148"/>
  <c r="P329" i="148"/>
  <c r="P330" i="148"/>
  <c r="P331" i="148"/>
  <c r="P332" i="148"/>
  <c r="P333" i="148"/>
  <c r="P334" i="148"/>
  <c r="P335" i="148"/>
  <c r="P336" i="148"/>
  <c r="P337" i="148"/>
  <c r="P338" i="148"/>
  <c r="P339" i="148"/>
  <c r="P340" i="148"/>
  <c r="P341" i="148"/>
  <c r="F63" i="147"/>
  <c r="F64" i="147"/>
  <c r="G63" i="147"/>
  <c r="A2" i="153"/>
  <c r="A51" i="153"/>
  <c r="G26" i="153"/>
  <c r="H26" i="153"/>
  <c r="O44" i="154"/>
  <c r="O47" i="154"/>
  <c r="O50" i="154"/>
  <c r="G36" i="153"/>
  <c r="H36" i="153"/>
  <c r="O53" i="154"/>
  <c r="G17" i="153"/>
  <c r="E17" i="153"/>
  <c r="H17" i="153"/>
  <c r="O2" i="154"/>
  <c r="G18" i="153"/>
  <c r="H18" i="153"/>
  <c r="O3" i="154"/>
  <c r="O4" i="154"/>
  <c r="O5" i="154"/>
  <c r="O6" i="154"/>
  <c r="O7" i="154"/>
  <c r="G32" i="153"/>
  <c r="E32" i="153"/>
  <c r="H32" i="153"/>
  <c r="O8" i="154"/>
  <c r="G33" i="153"/>
  <c r="H33" i="153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O45" i="154"/>
  <c r="O46" i="154"/>
  <c r="O48" i="154"/>
  <c r="O49" i="154"/>
  <c r="G34" i="153"/>
  <c r="H34" i="153"/>
  <c r="O51" i="154"/>
  <c r="G35" i="153"/>
  <c r="H35" i="153"/>
  <c r="O52" i="154"/>
  <c r="G19" i="153"/>
  <c r="H19" i="153"/>
  <c r="O54" i="154"/>
  <c r="G20" i="153"/>
  <c r="H20" i="153"/>
  <c r="O55" i="154"/>
  <c r="G21" i="153"/>
  <c r="H21" i="153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G39" i="153"/>
  <c r="H39" i="153"/>
  <c r="O111" i="154"/>
  <c r="G40" i="153"/>
  <c r="H40" i="153"/>
  <c r="O112" i="154"/>
  <c r="G41" i="153"/>
  <c r="H41" i="153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G42" i="153"/>
  <c r="H42" i="153"/>
  <c r="O144" i="154"/>
  <c r="G43" i="153"/>
  <c r="H43" i="153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G38" i="153"/>
  <c r="H38" i="153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G44" i="153"/>
  <c r="H44" i="153"/>
  <c r="O267" i="154"/>
  <c r="O268" i="154"/>
  <c r="O269" i="154"/>
  <c r="O270" i="154"/>
  <c r="O271" i="154"/>
  <c r="G37" i="153"/>
  <c r="H37" i="153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G46" i="153"/>
  <c r="E46" i="153"/>
  <c r="H46" i="153"/>
  <c r="O341" i="154"/>
  <c r="F57" i="153"/>
  <c r="G57" i="153"/>
  <c r="G49" i="153"/>
  <c r="A2" i="158"/>
  <c r="F5" i="158"/>
  <c r="F7" i="158"/>
  <c r="A51" i="158"/>
  <c r="E7" i="158"/>
  <c r="E26" i="158"/>
  <c r="B26" i="158"/>
  <c r="G26" i="158"/>
  <c r="H26" i="158"/>
  <c r="O44" i="159"/>
  <c r="O47" i="159"/>
  <c r="O50" i="159"/>
  <c r="G36" i="158"/>
  <c r="H36" i="158"/>
  <c r="O53" i="159"/>
  <c r="E19" i="158"/>
  <c r="B19" i="158"/>
  <c r="E24" i="158"/>
  <c r="B24" i="158"/>
  <c r="B17" i="158"/>
  <c r="G17" i="158"/>
  <c r="E17" i="158"/>
  <c r="H17" i="158"/>
  <c r="O2" i="159"/>
  <c r="E18" i="158"/>
  <c r="B18" i="158"/>
  <c r="G18" i="158"/>
  <c r="H18" i="158"/>
  <c r="O3" i="159"/>
  <c r="O4" i="159"/>
  <c r="O5" i="159"/>
  <c r="O6" i="159"/>
  <c r="O7" i="159"/>
  <c r="E34" i="158"/>
  <c r="B34" i="158"/>
  <c r="E39" i="158"/>
  <c r="B39" i="158"/>
  <c r="B32" i="158"/>
  <c r="G32" i="158"/>
  <c r="E32" i="158"/>
  <c r="H32" i="158"/>
  <c r="O8" i="159"/>
  <c r="E33" i="158"/>
  <c r="B33" i="158"/>
  <c r="G33" i="158"/>
  <c r="H33" i="158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24" i="158"/>
  <c r="H24" i="158"/>
  <c r="O42" i="159"/>
  <c r="E25" i="158"/>
  <c r="B25" i="158"/>
  <c r="G25" i="158"/>
  <c r="H25" i="158"/>
  <c r="O43" i="159"/>
  <c r="O45" i="159"/>
  <c r="O46" i="159"/>
  <c r="O48" i="159"/>
  <c r="O49" i="159"/>
  <c r="G34" i="158"/>
  <c r="H34" i="158"/>
  <c r="O51" i="159"/>
  <c r="E35" i="158"/>
  <c r="B35" i="158"/>
  <c r="G35" i="158"/>
  <c r="H35" i="158"/>
  <c r="O52" i="159"/>
  <c r="G19" i="158"/>
  <c r="H19" i="158"/>
  <c r="O54" i="159"/>
  <c r="E20" i="158"/>
  <c r="B20" i="158"/>
  <c r="G20" i="158"/>
  <c r="H20" i="158"/>
  <c r="O55" i="159"/>
  <c r="E21" i="158"/>
  <c r="B21" i="158"/>
  <c r="G21" i="158"/>
  <c r="H21" i="158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G39" i="158"/>
  <c r="H39" i="158"/>
  <c r="O111" i="159"/>
  <c r="E40" i="158"/>
  <c r="B40" i="158"/>
  <c r="G40" i="158"/>
  <c r="H40" i="158"/>
  <c r="O112" i="159"/>
  <c r="E41" i="158"/>
  <c r="B41" i="158"/>
  <c r="G41" i="158"/>
  <c r="H41" i="158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E5" i="158"/>
  <c r="E27" i="158"/>
  <c r="B27" i="158"/>
  <c r="G27" i="158"/>
  <c r="H27" i="158"/>
  <c r="O138" i="159"/>
  <c r="E28" i="158"/>
  <c r="B28" i="158"/>
  <c r="G28" i="158"/>
  <c r="H28" i="158"/>
  <c r="O139" i="159"/>
  <c r="O140" i="159"/>
  <c r="O141" i="159"/>
  <c r="O142" i="159"/>
  <c r="O143" i="159"/>
  <c r="F6" i="158"/>
  <c r="E6" i="158"/>
  <c r="E42" i="158"/>
  <c r="B42" i="158"/>
  <c r="G42" i="158"/>
  <c r="H42" i="158"/>
  <c r="O144" i="159"/>
  <c r="E43" i="158"/>
  <c r="B43" i="158"/>
  <c r="G43" i="158"/>
  <c r="H43" i="158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E23" i="158"/>
  <c r="B23" i="158"/>
  <c r="G23" i="158"/>
  <c r="H23" i="158"/>
  <c r="O215" i="159"/>
  <c r="O216" i="159"/>
  <c r="O217" i="159"/>
  <c r="G38" i="158"/>
  <c r="H38" i="158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O256" i="159"/>
  <c r="O257" i="159"/>
  <c r="O258" i="159"/>
  <c r="O259" i="159"/>
  <c r="O260" i="159"/>
  <c r="O261" i="159"/>
  <c r="E22" i="158"/>
  <c r="B22" i="158"/>
  <c r="G22" i="158"/>
  <c r="H22" i="158"/>
  <c r="O262" i="159"/>
  <c r="O263" i="159"/>
  <c r="O264" i="159"/>
  <c r="O265" i="159"/>
  <c r="E29" i="158"/>
  <c r="B29" i="158"/>
  <c r="G29" i="158"/>
  <c r="H29" i="158"/>
  <c r="O266" i="159"/>
  <c r="E44" i="158"/>
  <c r="B44" i="158"/>
  <c r="G44" i="158"/>
  <c r="H44" i="158"/>
  <c r="O267" i="159"/>
  <c r="O268" i="159"/>
  <c r="O269" i="159"/>
  <c r="O270" i="159"/>
  <c r="O271" i="159"/>
  <c r="G37" i="158"/>
  <c r="H37" i="158"/>
  <c r="O272" i="159"/>
  <c r="O273" i="159"/>
  <c r="O274" i="159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O305" i="159"/>
  <c r="O306" i="159"/>
  <c r="O307" i="159"/>
  <c r="O308" i="159"/>
  <c r="O309" i="159"/>
  <c r="O310" i="159"/>
  <c r="O311" i="159"/>
  <c r="O312" i="159"/>
  <c r="O313" i="159"/>
  <c r="O314" i="159"/>
  <c r="O315" i="159"/>
  <c r="O316" i="159"/>
  <c r="O317" i="159"/>
  <c r="O318" i="159"/>
  <c r="O319" i="159"/>
  <c r="O320" i="159"/>
  <c r="O321" i="159"/>
  <c r="O322" i="159"/>
  <c r="O323" i="159"/>
  <c r="O324" i="159"/>
  <c r="O325" i="159"/>
  <c r="O326" i="159"/>
  <c r="O327" i="159"/>
  <c r="O328" i="159"/>
  <c r="O329" i="159"/>
  <c r="O330" i="159"/>
  <c r="O331" i="159"/>
  <c r="O332" i="159"/>
  <c r="O333" i="159"/>
  <c r="O334" i="159"/>
  <c r="O335" i="159"/>
  <c r="O336" i="159"/>
  <c r="O337" i="159"/>
  <c r="O338" i="159"/>
  <c r="O339" i="159"/>
  <c r="O340" i="159"/>
  <c r="B46" i="158"/>
  <c r="G46" i="158"/>
  <c r="E46" i="158"/>
  <c r="H46" i="158"/>
  <c r="O341" i="159"/>
  <c r="F57" i="158"/>
  <c r="G57" i="158"/>
  <c r="G49" i="158"/>
  <c r="A2" i="149"/>
  <c r="F5" i="149"/>
  <c r="F7" i="149"/>
  <c r="A51" i="149"/>
  <c r="E7" i="149"/>
  <c r="E26" i="149"/>
  <c r="B26" i="149"/>
  <c r="G26" i="149"/>
  <c r="H26" i="149"/>
  <c r="O44" i="150"/>
  <c r="O47" i="150"/>
  <c r="O50" i="150"/>
  <c r="G36" i="149"/>
  <c r="H36" i="149"/>
  <c r="O53" i="150"/>
  <c r="E19" i="149"/>
  <c r="B19" i="149"/>
  <c r="E24" i="149"/>
  <c r="B24" i="149"/>
  <c r="B17" i="149"/>
  <c r="G17" i="149"/>
  <c r="E17" i="149"/>
  <c r="H17" i="149"/>
  <c r="O2" i="150"/>
  <c r="E18" i="149"/>
  <c r="B18" i="149"/>
  <c r="G18" i="149"/>
  <c r="H18" i="149"/>
  <c r="O3" i="150"/>
  <c r="O4" i="150"/>
  <c r="O5" i="150"/>
  <c r="O6" i="150"/>
  <c r="O7" i="150"/>
  <c r="E34" i="149"/>
  <c r="B34" i="149"/>
  <c r="E39" i="149"/>
  <c r="B39" i="149"/>
  <c r="B32" i="149"/>
  <c r="G32" i="149"/>
  <c r="E32" i="149"/>
  <c r="H32" i="149"/>
  <c r="O8" i="150"/>
  <c r="E33" i="149"/>
  <c r="B33" i="149"/>
  <c r="G33" i="149"/>
  <c r="H33" i="149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24" i="149"/>
  <c r="H24" i="149"/>
  <c r="O42" i="150"/>
  <c r="E25" i="149"/>
  <c r="B25" i="149"/>
  <c r="G25" i="149"/>
  <c r="H25" i="149"/>
  <c r="O43" i="150"/>
  <c r="O45" i="150"/>
  <c r="O46" i="150"/>
  <c r="O48" i="150"/>
  <c r="O49" i="150"/>
  <c r="G34" i="149"/>
  <c r="H34" i="149"/>
  <c r="O51" i="150"/>
  <c r="G35" i="149"/>
  <c r="H35" i="149"/>
  <c r="O52" i="150"/>
  <c r="G19" i="149"/>
  <c r="H19" i="149"/>
  <c r="O54" i="150"/>
  <c r="E20" i="149"/>
  <c r="B20" i="149"/>
  <c r="G20" i="149"/>
  <c r="H20" i="149"/>
  <c r="O55" i="150"/>
  <c r="E21" i="149"/>
  <c r="B21" i="149"/>
  <c r="G21" i="149"/>
  <c r="H21" i="149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G39" i="149"/>
  <c r="H39" i="149"/>
  <c r="O111" i="150"/>
  <c r="E40" i="149"/>
  <c r="B40" i="149"/>
  <c r="G40" i="149"/>
  <c r="H40" i="149"/>
  <c r="O112" i="150"/>
  <c r="E41" i="149"/>
  <c r="B41" i="149"/>
  <c r="G41" i="149"/>
  <c r="H41" i="149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E5" i="149"/>
  <c r="E27" i="149"/>
  <c r="B27" i="149"/>
  <c r="G27" i="149"/>
  <c r="H27" i="149"/>
  <c r="O138" i="150"/>
  <c r="E28" i="149"/>
  <c r="B28" i="149"/>
  <c r="G28" i="149"/>
  <c r="H28" i="149"/>
  <c r="O139" i="150"/>
  <c r="O140" i="150"/>
  <c r="O141" i="150"/>
  <c r="O142" i="150"/>
  <c r="O143" i="150"/>
  <c r="F6" i="149"/>
  <c r="E6" i="149"/>
  <c r="E42" i="149"/>
  <c r="B42" i="149"/>
  <c r="G42" i="149"/>
  <c r="H42" i="149"/>
  <c r="O144" i="150"/>
  <c r="E43" i="149"/>
  <c r="B43" i="149"/>
  <c r="G43" i="149"/>
  <c r="H43" i="149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E23" i="149"/>
  <c r="B23" i="149"/>
  <c r="G23" i="149"/>
  <c r="H23" i="149"/>
  <c r="O215" i="150"/>
  <c r="O216" i="150"/>
  <c r="O217" i="150"/>
  <c r="G38" i="149"/>
  <c r="H38" i="149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O256" i="150"/>
  <c r="O257" i="150"/>
  <c r="O258" i="150"/>
  <c r="O259" i="150"/>
  <c r="O260" i="150"/>
  <c r="O261" i="150"/>
  <c r="E22" i="149"/>
  <c r="B22" i="149"/>
  <c r="G22" i="149"/>
  <c r="H22" i="149"/>
  <c r="O262" i="150"/>
  <c r="O263" i="150"/>
  <c r="O264" i="150"/>
  <c r="O265" i="150"/>
  <c r="E29" i="149"/>
  <c r="B29" i="149"/>
  <c r="G29" i="149"/>
  <c r="H29" i="149"/>
  <c r="O266" i="150"/>
  <c r="E44" i="149"/>
  <c r="B44" i="149"/>
  <c r="G44" i="149"/>
  <c r="H44" i="149"/>
  <c r="O267" i="150"/>
  <c r="O268" i="150"/>
  <c r="O269" i="150"/>
  <c r="O270" i="150"/>
  <c r="O271" i="150"/>
  <c r="E37" i="149"/>
  <c r="B37" i="149"/>
  <c r="G37" i="149"/>
  <c r="H37" i="149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O305" i="150"/>
  <c r="O306" i="150"/>
  <c r="O307" i="150"/>
  <c r="O308" i="150"/>
  <c r="O309" i="150"/>
  <c r="O310" i="150"/>
  <c r="O311" i="150"/>
  <c r="O312" i="150"/>
  <c r="O313" i="150"/>
  <c r="O314" i="150"/>
  <c r="O315" i="150"/>
  <c r="O316" i="150"/>
  <c r="O317" i="150"/>
  <c r="O318" i="150"/>
  <c r="O319" i="150"/>
  <c r="O320" i="150"/>
  <c r="O321" i="150"/>
  <c r="O322" i="150"/>
  <c r="O323" i="150"/>
  <c r="O324" i="150"/>
  <c r="O325" i="150"/>
  <c r="O326" i="150"/>
  <c r="O327" i="150"/>
  <c r="O328" i="150"/>
  <c r="O329" i="150"/>
  <c r="O330" i="150"/>
  <c r="O331" i="150"/>
  <c r="O332" i="150"/>
  <c r="O333" i="150"/>
  <c r="O334" i="150"/>
  <c r="O335" i="150"/>
  <c r="O336" i="150"/>
  <c r="O337" i="150"/>
  <c r="O338" i="150"/>
  <c r="O339" i="150"/>
  <c r="O340" i="150"/>
  <c r="B46" i="149"/>
  <c r="G46" i="149"/>
  <c r="E46" i="149"/>
  <c r="H46" i="149"/>
  <c r="O341" i="150"/>
  <c r="F57" i="149"/>
  <c r="G57" i="149"/>
  <c r="G49" i="149"/>
  <c r="F57" i="147"/>
  <c r="G57" i="147"/>
  <c r="G49" i="147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84" i="82"/>
  <c r="F285" i="82"/>
  <c r="F286" i="82"/>
  <c r="F287" i="82"/>
  <c r="F288" i="82"/>
  <c r="F289" i="82"/>
  <c r="F290" i="82"/>
  <c r="F291" i="82"/>
  <c r="F292" i="82"/>
  <c r="F293" i="82"/>
  <c r="F294" i="82"/>
  <c r="F295" i="82"/>
  <c r="F296" i="82"/>
  <c r="F297" i="82"/>
  <c r="F298" i="82"/>
  <c r="F299" i="82"/>
  <c r="F300" i="82"/>
  <c r="F301" i="82"/>
  <c r="F302" i="82"/>
  <c r="F303" i="82"/>
  <c r="F304" i="82"/>
  <c r="F305" i="82"/>
  <c r="F306" i="82"/>
  <c r="F307" i="82"/>
  <c r="F308" i="82"/>
  <c r="F309" i="82"/>
  <c r="F310" i="82"/>
  <c r="F311" i="82"/>
  <c r="F312" i="82"/>
  <c r="F313" i="82"/>
  <c r="F314" i="82"/>
  <c r="F315" i="82"/>
  <c r="F316" i="82"/>
  <c r="F317" i="82"/>
  <c r="F318" i="82"/>
  <c r="F319" i="82"/>
  <c r="F320" i="82"/>
  <c r="F321" i="82"/>
  <c r="F322" i="82"/>
  <c r="F323" i="82"/>
  <c r="F324" i="82"/>
  <c r="F325" i="82"/>
  <c r="F326" i="82"/>
  <c r="F327" i="82"/>
  <c r="F328" i="82"/>
  <c r="F329" i="82"/>
  <c r="F330" i="82"/>
  <c r="F331" i="82"/>
  <c r="F332" i="82"/>
  <c r="F333" i="82"/>
  <c r="F334" i="82"/>
  <c r="F335" i="82"/>
  <c r="F336" i="82"/>
  <c r="F337" i="82"/>
  <c r="F338" i="82"/>
  <c r="F339" i="82"/>
  <c r="F340" i="82"/>
  <c r="F341" i="82"/>
  <c r="B11" i="106"/>
  <c r="B5" i="106"/>
  <c r="B10" i="106"/>
  <c r="B46" i="106"/>
  <c r="P138" i="82"/>
  <c r="P139" i="82"/>
  <c r="P140" i="82"/>
  <c r="P141" i="82"/>
  <c r="P2" i="82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96" i="82"/>
  <c r="P297" i="82"/>
  <c r="P298" i="82"/>
  <c r="P299" i="82"/>
  <c r="P300" i="82"/>
  <c r="P301" i="82"/>
  <c r="P302" i="82"/>
  <c r="P303" i="82"/>
  <c r="P304" i="82"/>
  <c r="P305" i="82"/>
  <c r="P306" i="82"/>
  <c r="P307" i="82"/>
  <c r="P308" i="82"/>
  <c r="P309" i="82"/>
  <c r="P310" i="82"/>
  <c r="P311" i="82"/>
  <c r="P312" i="82"/>
  <c r="P313" i="82"/>
  <c r="P314" i="82"/>
  <c r="P315" i="82"/>
  <c r="P316" i="82"/>
  <c r="P317" i="82"/>
  <c r="P318" i="82"/>
  <c r="P319" i="82"/>
  <c r="P320" i="82"/>
  <c r="P321" i="82"/>
  <c r="P322" i="82"/>
  <c r="P323" i="82"/>
  <c r="P324" i="82"/>
  <c r="P325" i="82"/>
  <c r="P326" i="82"/>
  <c r="P327" i="82"/>
  <c r="P328" i="82"/>
  <c r="P329" i="82"/>
  <c r="P330" i="82"/>
  <c r="P331" i="82"/>
  <c r="P332" i="82"/>
  <c r="P333" i="82"/>
  <c r="P334" i="82"/>
  <c r="P335" i="82"/>
  <c r="P336" i="82"/>
  <c r="P337" i="82"/>
  <c r="P338" i="82"/>
  <c r="P339" i="82"/>
  <c r="P340" i="82"/>
  <c r="P341" i="82"/>
  <c r="F63" i="106"/>
  <c r="F64" i="106"/>
  <c r="G63" i="106"/>
  <c r="C49" i="106"/>
  <c r="H341" i="154"/>
  <c r="L341" i="154"/>
  <c r="M341" i="154"/>
  <c r="N341" i="154"/>
  <c r="G31" i="153"/>
  <c r="E31" i="153"/>
  <c r="H31" i="153"/>
  <c r="P341" i="154"/>
  <c r="A341" i="154"/>
  <c r="H341" i="159"/>
  <c r="L341" i="159"/>
  <c r="M341" i="159"/>
  <c r="N341" i="159"/>
  <c r="G31" i="158"/>
  <c r="E31" i="158"/>
  <c r="H31" i="158"/>
  <c r="P341" i="159"/>
  <c r="A341" i="159"/>
  <c r="H341" i="150"/>
  <c r="L341" i="150"/>
  <c r="M341" i="150"/>
  <c r="N341" i="150"/>
  <c r="G31" i="149"/>
  <c r="E31" i="149"/>
  <c r="H31" i="149"/>
  <c r="P341" i="150"/>
  <c r="A341" i="150"/>
  <c r="J38" i="157"/>
  <c r="E38" i="157"/>
  <c r="F38" i="157"/>
  <c r="K38" i="157"/>
  <c r="G38" i="157"/>
  <c r="C38" i="157"/>
  <c r="H38" i="157"/>
  <c r="L38" i="157"/>
  <c r="M38" i="157"/>
  <c r="N38" i="157"/>
  <c r="P38" i="157"/>
  <c r="H341" i="148"/>
  <c r="L341" i="148"/>
  <c r="M341" i="148"/>
  <c r="N341" i="148"/>
  <c r="G31" i="147"/>
  <c r="E31" i="147"/>
  <c r="H31" i="147"/>
  <c r="A341" i="148"/>
  <c r="H341" i="82"/>
  <c r="L341" i="82"/>
  <c r="M341" i="82"/>
  <c r="N341" i="82"/>
  <c r="G31" i="106"/>
  <c r="E31" i="106"/>
  <c r="H31" i="106"/>
  <c r="A341" i="82"/>
  <c r="H331" i="154"/>
  <c r="L331" i="154"/>
  <c r="M331" i="154"/>
  <c r="N331" i="154"/>
  <c r="P331" i="154"/>
  <c r="H332" i="154"/>
  <c r="L332" i="154"/>
  <c r="M332" i="154"/>
  <c r="N332" i="154"/>
  <c r="P332" i="154"/>
  <c r="H333" i="154"/>
  <c r="L333" i="154"/>
  <c r="M333" i="154"/>
  <c r="N333" i="154"/>
  <c r="P333" i="154"/>
  <c r="H334" i="154"/>
  <c r="L334" i="154"/>
  <c r="M334" i="154"/>
  <c r="N334" i="154"/>
  <c r="P334" i="154"/>
  <c r="H335" i="154"/>
  <c r="L335" i="154"/>
  <c r="M335" i="154"/>
  <c r="N335" i="154"/>
  <c r="P335" i="154"/>
  <c r="H336" i="154"/>
  <c r="L336" i="154"/>
  <c r="M336" i="154"/>
  <c r="N336" i="154"/>
  <c r="P336" i="154"/>
  <c r="H337" i="154"/>
  <c r="L337" i="154"/>
  <c r="M337" i="154"/>
  <c r="N337" i="154"/>
  <c r="P337" i="154"/>
  <c r="H338" i="154"/>
  <c r="L338" i="154"/>
  <c r="M338" i="154"/>
  <c r="N338" i="154"/>
  <c r="P338" i="154"/>
  <c r="H339" i="154"/>
  <c r="L339" i="154"/>
  <c r="M339" i="154"/>
  <c r="N339" i="154"/>
  <c r="P339" i="154"/>
  <c r="H340" i="154"/>
  <c r="L340" i="154"/>
  <c r="M340" i="154"/>
  <c r="N340" i="154"/>
  <c r="P340" i="154"/>
  <c r="A332" i="154"/>
  <c r="A333" i="154"/>
  <c r="A334" i="154"/>
  <c r="A335" i="154"/>
  <c r="A336" i="154"/>
  <c r="A337" i="154"/>
  <c r="A338" i="154"/>
  <c r="A339" i="154"/>
  <c r="A340" i="154"/>
  <c r="H331" i="159"/>
  <c r="L331" i="159"/>
  <c r="M331" i="159"/>
  <c r="N331" i="159"/>
  <c r="P331" i="159"/>
  <c r="H332" i="159"/>
  <c r="L332" i="159"/>
  <c r="M332" i="159"/>
  <c r="N332" i="159"/>
  <c r="P332" i="159"/>
  <c r="H333" i="159"/>
  <c r="L333" i="159"/>
  <c r="M333" i="159"/>
  <c r="N333" i="159"/>
  <c r="P333" i="159"/>
  <c r="H334" i="159"/>
  <c r="L334" i="159"/>
  <c r="M334" i="159"/>
  <c r="N334" i="159"/>
  <c r="P334" i="159"/>
  <c r="H335" i="159"/>
  <c r="L335" i="159"/>
  <c r="M335" i="159"/>
  <c r="N335" i="159"/>
  <c r="P335" i="159"/>
  <c r="H336" i="159"/>
  <c r="L336" i="159"/>
  <c r="M336" i="159"/>
  <c r="N336" i="159"/>
  <c r="P336" i="159"/>
  <c r="H337" i="159"/>
  <c r="L337" i="159"/>
  <c r="M337" i="159"/>
  <c r="N337" i="159"/>
  <c r="P337" i="159"/>
  <c r="H338" i="159"/>
  <c r="L338" i="159"/>
  <c r="M338" i="159"/>
  <c r="N338" i="159"/>
  <c r="P338" i="159"/>
  <c r="H339" i="159"/>
  <c r="L339" i="159"/>
  <c r="M339" i="159"/>
  <c r="N339" i="159"/>
  <c r="P339" i="159"/>
  <c r="H340" i="159"/>
  <c r="L340" i="159"/>
  <c r="M340" i="159"/>
  <c r="N340" i="159"/>
  <c r="P340" i="159"/>
  <c r="A332" i="159"/>
  <c r="A333" i="159"/>
  <c r="A334" i="159"/>
  <c r="A335" i="159"/>
  <c r="A336" i="159"/>
  <c r="A337" i="159"/>
  <c r="A338" i="159"/>
  <c r="A339" i="159"/>
  <c r="A340" i="159"/>
  <c r="H331" i="150"/>
  <c r="L331" i="150"/>
  <c r="M331" i="150"/>
  <c r="N331" i="150"/>
  <c r="P331" i="150"/>
  <c r="H332" i="150"/>
  <c r="L332" i="150"/>
  <c r="M332" i="150"/>
  <c r="N332" i="150"/>
  <c r="P332" i="150"/>
  <c r="H333" i="150"/>
  <c r="L333" i="150"/>
  <c r="M333" i="150"/>
  <c r="N333" i="150"/>
  <c r="P333" i="150"/>
  <c r="H334" i="150"/>
  <c r="L334" i="150"/>
  <c r="M334" i="150"/>
  <c r="N334" i="150"/>
  <c r="P334" i="150"/>
  <c r="H335" i="150"/>
  <c r="L335" i="150"/>
  <c r="M335" i="150"/>
  <c r="N335" i="150"/>
  <c r="P335" i="150"/>
  <c r="H336" i="150"/>
  <c r="L336" i="150"/>
  <c r="M336" i="150"/>
  <c r="N336" i="150"/>
  <c r="P336" i="150"/>
  <c r="H337" i="150"/>
  <c r="L337" i="150"/>
  <c r="M337" i="150"/>
  <c r="N337" i="150"/>
  <c r="P337" i="150"/>
  <c r="H338" i="150"/>
  <c r="L338" i="150"/>
  <c r="M338" i="150"/>
  <c r="N338" i="150"/>
  <c r="P338" i="150"/>
  <c r="H339" i="150"/>
  <c r="L339" i="150"/>
  <c r="M339" i="150"/>
  <c r="N339" i="150"/>
  <c r="P339" i="150"/>
  <c r="H340" i="150"/>
  <c r="L340" i="150"/>
  <c r="M340" i="150"/>
  <c r="N340" i="150"/>
  <c r="P340" i="150"/>
  <c r="A332" i="150"/>
  <c r="A333" i="150"/>
  <c r="A334" i="150"/>
  <c r="A335" i="150"/>
  <c r="A336" i="150"/>
  <c r="A337" i="150"/>
  <c r="A338" i="150"/>
  <c r="A339" i="150"/>
  <c r="A340" i="150"/>
  <c r="J36" i="157"/>
  <c r="E36" i="157"/>
  <c r="F36" i="157"/>
  <c r="K36" i="157"/>
  <c r="G36" i="157"/>
  <c r="C36" i="157"/>
  <c r="H36" i="157"/>
  <c r="L36" i="157"/>
  <c r="M36" i="157"/>
  <c r="N36" i="157"/>
  <c r="P36" i="157"/>
  <c r="J37" i="157"/>
  <c r="E37" i="157"/>
  <c r="F37" i="157"/>
  <c r="K37" i="157"/>
  <c r="G37" i="157"/>
  <c r="C37" i="157"/>
  <c r="H37" i="157"/>
  <c r="L37" i="157"/>
  <c r="M37" i="157"/>
  <c r="N37" i="157"/>
  <c r="P37" i="157"/>
  <c r="H331" i="148"/>
  <c r="L331" i="148"/>
  <c r="M331" i="148"/>
  <c r="N331" i="148"/>
  <c r="H332" i="148"/>
  <c r="L332" i="148"/>
  <c r="M332" i="148"/>
  <c r="N332" i="148"/>
  <c r="H333" i="148"/>
  <c r="L333" i="148"/>
  <c r="M333" i="148"/>
  <c r="N333" i="148"/>
  <c r="H334" i="148"/>
  <c r="L334" i="148"/>
  <c r="M334" i="148"/>
  <c r="N334" i="148"/>
  <c r="H335" i="148"/>
  <c r="L335" i="148"/>
  <c r="M335" i="148"/>
  <c r="N335" i="148"/>
  <c r="H336" i="148"/>
  <c r="L336" i="148"/>
  <c r="M336" i="148"/>
  <c r="N336" i="148"/>
  <c r="H337" i="148"/>
  <c r="L337" i="148"/>
  <c r="M337" i="148"/>
  <c r="N337" i="148"/>
  <c r="H338" i="148"/>
  <c r="L338" i="148"/>
  <c r="M338" i="148"/>
  <c r="N338" i="148"/>
  <c r="H339" i="148"/>
  <c r="L339" i="148"/>
  <c r="M339" i="148"/>
  <c r="N339" i="148"/>
  <c r="H340" i="148"/>
  <c r="L340" i="148"/>
  <c r="M340" i="148"/>
  <c r="N340" i="148"/>
  <c r="A332" i="148"/>
  <c r="A333" i="148"/>
  <c r="A334" i="148"/>
  <c r="A335" i="148"/>
  <c r="A336" i="148"/>
  <c r="A337" i="148"/>
  <c r="A338" i="148"/>
  <c r="A339" i="148"/>
  <c r="A340" i="148"/>
  <c r="H332" i="82"/>
  <c r="L332" i="82"/>
  <c r="M332" i="82"/>
  <c r="N332" i="82"/>
  <c r="H333" i="82"/>
  <c r="L333" i="82"/>
  <c r="M333" i="82"/>
  <c r="N333" i="82"/>
  <c r="H334" i="82"/>
  <c r="L334" i="82"/>
  <c r="M334" i="82"/>
  <c r="N334" i="82"/>
  <c r="H335" i="82"/>
  <c r="L335" i="82"/>
  <c r="M335" i="82"/>
  <c r="N335" i="82"/>
  <c r="H336" i="82"/>
  <c r="L336" i="82"/>
  <c r="M336" i="82"/>
  <c r="N336" i="82"/>
  <c r="H337" i="82"/>
  <c r="L337" i="82"/>
  <c r="M337" i="82"/>
  <c r="N337" i="82"/>
  <c r="H338" i="82"/>
  <c r="L338" i="82"/>
  <c r="M338" i="82"/>
  <c r="N338" i="82"/>
  <c r="H339" i="82"/>
  <c r="L339" i="82"/>
  <c r="M339" i="82"/>
  <c r="N339" i="82"/>
  <c r="H340" i="82"/>
  <c r="L340" i="82"/>
  <c r="M340" i="82"/>
  <c r="N340" i="82"/>
  <c r="A332" i="82"/>
  <c r="A333" i="82"/>
  <c r="A334" i="82"/>
  <c r="A335" i="82"/>
  <c r="A336" i="82"/>
  <c r="A337" i="82"/>
  <c r="A338" i="82"/>
  <c r="A339" i="82"/>
  <c r="A340" i="82"/>
  <c r="J35" i="157"/>
  <c r="E35" i="157"/>
  <c r="F35" i="157"/>
  <c r="K35" i="157"/>
  <c r="G35" i="157"/>
  <c r="C35" i="157"/>
  <c r="H35" i="157"/>
  <c r="L35" i="157"/>
  <c r="M35" i="157"/>
  <c r="N35" i="157"/>
  <c r="P35" i="157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F63" i="153"/>
  <c r="F64" i="153"/>
  <c r="G63" i="153"/>
  <c r="H57" i="153"/>
  <c r="P138" i="159"/>
  <c r="P139" i="159"/>
  <c r="P140" i="159"/>
  <c r="P141" i="159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37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P306" i="159"/>
  <c r="P307" i="159"/>
  <c r="P308" i="159"/>
  <c r="P309" i="159"/>
  <c r="P310" i="159"/>
  <c r="P311" i="159"/>
  <c r="P312" i="159"/>
  <c r="P313" i="159"/>
  <c r="P314" i="159"/>
  <c r="P315" i="159"/>
  <c r="P316" i="159"/>
  <c r="P317" i="159"/>
  <c r="P318" i="159"/>
  <c r="P319" i="159"/>
  <c r="P320" i="159"/>
  <c r="P321" i="159"/>
  <c r="P322" i="159"/>
  <c r="P323" i="159"/>
  <c r="P324" i="159"/>
  <c r="P325" i="159"/>
  <c r="P326" i="159"/>
  <c r="P327" i="159"/>
  <c r="P328" i="159"/>
  <c r="P329" i="159"/>
  <c r="P330" i="159"/>
  <c r="F63" i="158"/>
  <c r="F64" i="158"/>
  <c r="G63" i="158"/>
  <c r="H57" i="158"/>
  <c r="C49" i="158"/>
  <c r="H57" i="149"/>
  <c r="P138" i="150"/>
  <c r="P139" i="150"/>
  <c r="P140" i="150"/>
  <c r="P141" i="150"/>
  <c r="P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7" i="150"/>
  <c r="P308" i="150"/>
  <c r="P309" i="150"/>
  <c r="P310" i="150"/>
  <c r="P311" i="150"/>
  <c r="P312" i="150"/>
  <c r="P313" i="150"/>
  <c r="P314" i="150"/>
  <c r="P315" i="150"/>
  <c r="P316" i="150"/>
  <c r="P317" i="150"/>
  <c r="P318" i="150"/>
  <c r="P319" i="150"/>
  <c r="P320" i="150"/>
  <c r="P321" i="150"/>
  <c r="P322" i="150"/>
  <c r="P323" i="150"/>
  <c r="P324" i="150"/>
  <c r="P325" i="150"/>
  <c r="P326" i="150"/>
  <c r="P327" i="150"/>
  <c r="P328" i="150"/>
  <c r="P329" i="150"/>
  <c r="P330" i="150"/>
  <c r="F63" i="149"/>
  <c r="F64" i="149"/>
  <c r="G63" i="149"/>
  <c r="C49" i="149"/>
  <c r="C49" i="147"/>
  <c r="H325" i="82"/>
  <c r="L325" i="82"/>
  <c r="M325" i="82"/>
  <c r="N325" i="82"/>
  <c r="H326" i="82"/>
  <c r="L326" i="82"/>
  <c r="M326" i="82"/>
  <c r="N326" i="82"/>
  <c r="H327" i="82"/>
  <c r="L327" i="82"/>
  <c r="M327" i="82"/>
  <c r="N327" i="82"/>
  <c r="H328" i="82"/>
  <c r="L328" i="82"/>
  <c r="M328" i="82"/>
  <c r="N328" i="82"/>
  <c r="H329" i="82"/>
  <c r="L329" i="82"/>
  <c r="M329" i="82"/>
  <c r="N329" i="82"/>
  <c r="H330" i="82"/>
  <c r="L330" i="82"/>
  <c r="M330" i="82"/>
  <c r="N330" i="82"/>
  <c r="H331" i="82"/>
  <c r="L331" i="82"/>
  <c r="M331" i="82"/>
  <c r="N331" i="82"/>
  <c r="A325" i="82"/>
  <c r="A326" i="82"/>
  <c r="A327" i="82"/>
  <c r="A328" i="82"/>
  <c r="A329" i="82"/>
  <c r="A330" i="82"/>
  <c r="A331" i="82"/>
  <c r="H325" i="148"/>
  <c r="L325" i="148"/>
  <c r="M325" i="148"/>
  <c r="N325" i="148"/>
  <c r="H326" i="148"/>
  <c r="L326" i="148"/>
  <c r="M326" i="148"/>
  <c r="N326" i="148"/>
  <c r="H327" i="148"/>
  <c r="L327" i="148"/>
  <c r="M327" i="148"/>
  <c r="N327" i="148"/>
  <c r="H328" i="148"/>
  <c r="L328" i="148"/>
  <c r="M328" i="148"/>
  <c r="N328" i="148"/>
  <c r="H329" i="148"/>
  <c r="L329" i="148"/>
  <c r="M329" i="148"/>
  <c r="N329" i="148"/>
  <c r="H330" i="148"/>
  <c r="L330" i="148"/>
  <c r="M330" i="148"/>
  <c r="N330" i="148"/>
  <c r="A325" i="148"/>
  <c r="A326" i="148"/>
  <c r="A327" i="148"/>
  <c r="A328" i="148"/>
  <c r="A329" i="148"/>
  <c r="A330" i="148"/>
  <c r="A331" i="148"/>
  <c r="H325" i="150"/>
  <c r="L325" i="150"/>
  <c r="M325" i="150"/>
  <c r="N325" i="150"/>
  <c r="H326" i="150"/>
  <c r="L326" i="150"/>
  <c r="M326" i="150"/>
  <c r="N326" i="150"/>
  <c r="H327" i="150"/>
  <c r="L327" i="150"/>
  <c r="M327" i="150"/>
  <c r="N327" i="150"/>
  <c r="H328" i="150"/>
  <c r="L328" i="150"/>
  <c r="M328" i="150"/>
  <c r="N328" i="150"/>
  <c r="H329" i="150"/>
  <c r="L329" i="150"/>
  <c r="M329" i="150"/>
  <c r="N329" i="150"/>
  <c r="H330" i="150"/>
  <c r="L330" i="150"/>
  <c r="M330" i="150"/>
  <c r="N330" i="150"/>
  <c r="A325" i="150"/>
  <c r="A326" i="150"/>
  <c r="A327" i="150"/>
  <c r="A328" i="150"/>
  <c r="A329" i="150"/>
  <c r="A330" i="150"/>
  <c r="A331" i="150"/>
  <c r="H325" i="159"/>
  <c r="L325" i="159"/>
  <c r="M325" i="159"/>
  <c r="N325" i="159"/>
  <c r="H326" i="159"/>
  <c r="L326" i="159"/>
  <c r="M326" i="159"/>
  <c r="N326" i="159"/>
  <c r="H327" i="159"/>
  <c r="L327" i="159"/>
  <c r="M327" i="159"/>
  <c r="N327" i="159"/>
  <c r="H328" i="159"/>
  <c r="L328" i="159"/>
  <c r="M328" i="159"/>
  <c r="N328" i="159"/>
  <c r="H329" i="159"/>
  <c r="L329" i="159"/>
  <c r="M329" i="159"/>
  <c r="N329" i="159"/>
  <c r="H330" i="159"/>
  <c r="L330" i="159"/>
  <c r="M330" i="159"/>
  <c r="N330" i="159"/>
  <c r="A325" i="159"/>
  <c r="A326" i="159"/>
  <c r="A327" i="159"/>
  <c r="A328" i="159"/>
  <c r="A329" i="159"/>
  <c r="A330" i="159"/>
  <c r="A331" i="159"/>
  <c r="A331" i="154"/>
  <c r="H325" i="154"/>
  <c r="L325" i="154"/>
  <c r="M325" i="154"/>
  <c r="N325" i="154"/>
  <c r="H326" i="154"/>
  <c r="L326" i="154"/>
  <c r="M326" i="154"/>
  <c r="N326" i="154"/>
  <c r="H327" i="154"/>
  <c r="L327" i="154"/>
  <c r="M327" i="154"/>
  <c r="N327" i="154"/>
  <c r="H328" i="154"/>
  <c r="L328" i="154"/>
  <c r="M328" i="154"/>
  <c r="N328" i="154"/>
  <c r="H329" i="154"/>
  <c r="L329" i="154"/>
  <c r="M329" i="154"/>
  <c r="N329" i="154"/>
  <c r="H330" i="154"/>
  <c r="L330" i="154"/>
  <c r="M330" i="154"/>
  <c r="N330" i="154"/>
  <c r="A324" i="154"/>
  <c r="A325" i="154"/>
  <c r="A326" i="154"/>
  <c r="A327" i="154"/>
  <c r="A328" i="154"/>
  <c r="A329" i="154"/>
  <c r="A330" i="154"/>
  <c r="F55" i="106"/>
  <c r="G55" i="106"/>
  <c r="F56" i="106"/>
  <c r="G56" i="106"/>
  <c r="H56" i="153"/>
  <c r="H55" i="153"/>
  <c r="H56" i="158"/>
  <c r="H55" i="158"/>
  <c r="H55" i="149"/>
  <c r="H57" i="147"/>
  <c r="H56" i="147"/>
  <c r="H55" i="147"/>
  <c r="H57" i="106"/>
  <c r="H320" i="154"/>
  <c r="L320" i="154"/>
  <c r="M320" i="154"/>
  <c r="N320" i="154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H320" i="159"/>
  <c r="L320" i="159"/>
  <c r="M320" i="159"/>
  <c r="N320" i="159"/>
  <c r="H321" i="159"/>
  <c r="L321" i="159"/>
  <c r="M321" i="159"/>
  <c r="N321" i="159"/>
  <c r="H322" i="159"/>
  <c r="L322" i="159"/>
  <c r="M322" i="159"/>
  <c r="N322" i="159"/>
  <c r="H323" i="159"/>
  <c r="L323" i="159"/>
  <c r="M323" i="159"/>
  <c r="N323" i="159"/>
  <c r="H324" i="159"/>
  <c r="L324" i="159"/>
  <c r="M324" i="159"/>
  <c r="N324" i="159"/>
  <c r="A320" i="159"/>
  <c r="A321" i="159"/>
  <c r="A322" i="159"/>
  <c r="A323" i="159"/>
  <c r="A324" i="159"/>
  <c r="H320" i="150"/>
  <c r="L320" i="150"/>
  <c r="M320" i="150"/>
  <c r="N320" i="150"/>
  <c r="H321" i="150"/>
  <c r="L321" i="150"/>
  <c r="M321" i="150"/>
  <c r="N321" i="150"/>
  <c r="H322" i="150"/>
  <c r="L322" i="150"/>
  <c r="M322" i="150"/>
  <c r="N322" i="150"/>
  <c r="H323" i="150"/>
  <c r="L323" i="150"/>
  <c r="M323" i="150"/>
  <c r="N323" i="150"/>
  <c r="H324" i="150"/>
  <c r="L324" i="150"/>
  <c r="M324" i="150"/>
  <c r="N324" i="150"/>
  <c r="A320" i="150"/>
  <c r="A321" i="150"/>
  <c r="A322" i="150"/>
  <c r="A323" i="150"/>
  <c r="A324" i="150"/>
  <c r="P34" i="157"/>
  <c r="P33" i="157"/>
  <c r="J34" i="157"/>
  <c r="E34" i="157"/>
  <c r="F34" i="157"/>
  <c r="K34" i="157"/>
  <c r="G34" i="157"/>
  <c r="C34" i="157"/>
  <c r="H34" i="157"/>
  <c r="L34" i="157"/>
  <c r="M34" i="157"/>
  <c r="N34" i="157"/>
  <c r="H319" i="148"/>
  <c r="L319" i="148"/>
  <c r="M319" i="148"/>
  <c r="N319" i="148"/>
  <c r="H320" i="148"/>
  <c r="L320" i="148"/>
  <c r="M320" i="148"/>
  <c r="N320" i="148"/>
  <c r="H321" i="148"/>
  <c r="L321" i="148"/>
  <c r="M321" i="148"/>
  <c r="N321" i="148"/>
  <c r="H322" i="148"/>
  <c r="L322" i="148"/>
  <c r="M322" i="148"/>
  <c r="N322" i="148"/>
  <c r="H323" i="148"/>
  <c r="L323" i="148"/>
  <c r="M323" i="148"/>
  <c r="N323" i="148"/>
  <c r="H324" i="148"/>
  <c r="L324" i="148"/>
  <c r="M324" i="148"/>
  <c r="N324" i="148"/>
  <c r="A319" i="148"/>
  <c r="A320" i="148"/>
  <c r="A321" i="148"/>
  <c r="A322" i="148"/>
  <c r="A323" i="148"/>
  <c r="A324" i="148"/>
  <c r="H324" i="82"/>
  <c r="L324" i="82"/>
  <c r="M324" i="82"/>
  <c r="N324" i="82"/>
  <c r="A324" i="82"/>
  <c r="H319" i="82"/>
  <c r="L319" i="82"/>
  <c r="M319" i="82"/>
  <c r="N319" i="82"/>
  <c r="H320" i="82"/>
  <c r="L320" i="82"/>
  <c r="M320" i="82"/>
  <c r="N320" i="82"/>
  <c r="H321" i="82"/>
  <c r="L321" i="82"/>
  <c r="M321" i="82"/>
  <c r="N321" i="82"/>
  <c r="H322" i="82"/>
  <c r="L322" i="82"/>
  <c r="M322" i="82"/>
  <c r="N322" i="82"/>
  <c r="H323" i="82"/>
  <c r="L323" i="82"/>
  <c r="M323" i="82"/>
  <c r="N323" i="82"/>
  <c r="A319" i="82"/>
  <c r="A320" i="82"/>
  <c r="A321" i="82"/>
  <c r="A322" i="82"/>
  <c r="A323" i="82"/>
  <c r="F56" i="153"/>
  <c r="G56" i="153"/>
  <c r="H311" i="154"/>
  <c r="L311" i="154"/>
  <c r="M311" i="154"/>
  <c r="N311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1" i="154"/>
  <c r="A312" i="154"/>
  <c r="A313" i="154"/>
  <c r="A314" i="154"/>
  <c r="A315" i="154"/>
  <c r="A316" i="154"/>
  <c r="A317" i="154"/>
  <c r="A318" i="154"/>
  <c r="A319" i="154"/>
  <c r="F65" i="153"/>
  <c r="F56" i="158"/>
  <c r="G56" i="158"/>
  <c r="F65" i="158"/>
  <c r="H311" i="159"/>
  <c r="L311" i="159"/>
  <c r="M311" i="159"/>
  <c r="N311" i="159"/>
  <c r="H312" i="159"/>
  <c r="L312" i="159"/>
  <c r="M312" i="159"/>
  <c r="N312" i="159"/>
  <c r="H313" i="159"/>
  <c r="L313" i="159"/>
  <c r="M313" i="159"/>
  <c r="N313" i="159"/>
  <c r="H314" i="159"/>
  <c r="L314" i="159"/>
  <c r="M314" i="159"/>
  <c r="N314" i="159"/>
  <c r="H315" i="159"/>
  <c r="L315" i="159"/>
  <c r="M315" i="159"/>
  <c r="N315" i="159"/>
  <c r="H316" i="159"/>
  <c r="L316" i="159"/>
  <c r="M316" i="159"/>
  <c r="N316" i="159"/>
  <c r="H317" i="159"/>
  <c r="L317" i="159"/>
  <c r="M317" i="159"/>
  <c r="N317" i="159"/>
  <c r="H318" i="159"/>
  <c r="L318" i="159"/>
  <c r="M318" i="159"/>
  <c r="N318" i="159"/>
  <c r="H319" i="159"/>
  <c r="L319" i="159"/>
  <c r="M319" i="159"/>
  <c r="N319" i="159"/>
  <c r="A311" i="159"/>
  <c r="A312" i="159"/>
  <c r="A313" i="159"/>
  <c r="A314" i="159"/>
  <c r="A315" i="159"/>
  <c r="A316" i="159"/>
  <c r="A317" i="159"/>
  <c r="A318" i="159"/>
  <c r="A319" i="159"/>
  <c r="H311" i="150"/>
  <c r="L311" i="150"/>
  <c r="M311" i="150"/>
  <c r="N311" i="150"/>
  <c r="H312" i="150"/>
  <c r="L312" i="150"/>
  <c r="M312" i="150"/>
  <c r="N312" i="150"/>
  <c r="H313" i="150"/>
  <c r="L313" i="150"/>
  <c r="M313" i="150"/>
  <c r="N313" i="150"/>
  <c r="H314" i="150"/>
  <c r="L314" i="150"/>
  <c r="M314" i="150"/>
  <c r="N314" i="150"/>
  <c r="H315" i="150"/>
  <c r="L315" i="150"/>
  <c r="M315" i="150"/>
  <c r="N315" i="150"/>
  <c r="H316" i="150"/>
  <c r="L316" i="150"/>
  <c r="M316" i="150"/>
  <c r="N316" i="150"/>
  <c r="H317" i="150"/>
  <c r="L317" i="150"/>
  <c r="M317" i="150"/>
  <c r="N317" i="150"/>
  <c r="H318" i="150"/>
  <c r="L318" i="150"/>
  <c r="M318" i="150"/>
  <c r="N318" i="150"/>
  <c r="H319" i="150"/>
  <c r="L319" i="150"/>
  <c r="M319" i="150"/>
  <c r="N319" i="150"/>
  <c r="A311" i="150"/>
  <c r="A312" i="150"/>
  <c r="A313" i="150"/>
  <c r="A314" i="150"/>
  <c r="A315" i="150"/>
  <c r="A316" i="150"/>
  <c r="A317" i="150"/>
  <c r="A318" i="150"/>
  <c r="A319" i="150"/>
  <c r="P3" i="157"/>
  <c r="P4" i="157"/>
  <c r="P5" i="157"/>
  <c r="P6" i="157"/>
  <c r="P7" i="157"/>
  <c r="P8" i="157"/>
  <c r="P9" i="157"/>
  <c r="P10" i="157"/>
  <c r="P11" i="157"/>
  <c r="P12" i="157"/>
  <c r="P13" i="157"/>
  <c r="P14" i="157"/>
  <c r="P15" i="157"/>
  <c r="P16" i="157"/>
  <c r="P17" i="157"/>
  <c r="P18" i="157"/>
  <c r="P19" i="157"/>
  <c r="P20" i="157"/>
  <c r="P21" i="157"/>
  <c r="P22" i="157"/>
  <c r="P23" i="157"/>
  <c r="P24" i="157"/>
  <c r="P25" i="157"/>
  <c r="P26" i="157"/>
  <c r="P27" i="157"/>
  <c r="P28" i="157"/>
  <c r="P29" i="157"/>
  <c r="P30" i="157"/>
  <c r="P31" i="157"/>
  <c r="P32" i="157"/>
  <c r="J32" i="157"/>
  <c r="E32" i="157"/>
  <c r="F32" i="157"/>
  <c r="K32" i="157"/>
  <c r="G32" i="157"/>
  <c r="C32" i="157"/>
  <c r="H32" i="157"/>
  <c r="L32" i="157"/>
  <c r="M32" i="157"/>
  <c r="N32" i="157"/>
  <c r="J33" i="157"/>
  <c r="E33" i="157"/>
  <c r="F33" i="157"/>
  <c r="K33" i="157"/>
  <c r="G33" i="157"/>
  <c r="C33" i="157"/>
  <c r="H33" i="157"/>
  <c r="L33" i="157"/>
  <c r="M33" i="157"/>
  <c r="N33" i="157"/>
  <c r="K3" i="157"/>
  <c r="G3" i="157"/>
  <c r="K4" i="157"/>
  <c r="G4" i="157"/>
  <c r="K5" i="157"/>
  <c r="G5" i="157"/>
  <c r="K6" i="157"/>
  <c r="G6" i="157"/>
  <c r="K7" i="157"/>
  <c r="G7" i="157"/>
  <c r="K8" i="157"/>
  <c r="G8" i="157"/>
  <c r="K9" i="157"/>
  <c r="G9" i="157"/>
  <c r="K10" i="157"/>
  <c r="G10" i="157"/>
  <c r="K11" i="157"/>
  <c r="G11" i="157"/>
  <c r="K12" i="157"/>
  <c r="G12" i="157"/>
  <c r="K13" i="157"/>
  <c r="G13" i="157"/>
  <c r="K14" i="157"/>
  <c r="G14" i="157"/>
  <c r="K15" i="157"/>
  <c r="G15" i="157"/>
  <c r="K16" i="157"/>
  <c r="G16" i="157"/>
  <c r="K17" i="157"/>
  <c r="G17" i="157"/>
  <c r="K18" i="157"/>
  <c r="G18" i="157"/>
  <c r="K19" i="157"/>
  <c r="G19" i="157"/>
  <c r="K20" i="157"/>
  <c r="G20" i="157"/>
  <c r="K21" i="157"/>
  <c r="G21" i="157"/>
  <c r="K22" i="157"/>
  <c r="G22" i="157"/>
  <c r="K23" i="157"/>
  <c r="G23" i="157"/>
  <c r="K24" i="157"/>
  <c r="G24" i="157"/>
  <c r="K25" i="157"/>
  <c r="G25" i="157"/>
  <c r="K26" i="157"/>
  <c r="G26" i="157"/>
  <c r="K27" i="157"/>
  <c r="G27" i="157"/>
  <c r="K28" i="157"/>
  <c r="G28" i="157"/>
  <c r="K29" i="157"/>
  <c r="G29" i="157"/>
  <c r="K30" i="157"/>
  <c r="G30" i="157"/>
  <c r="K31" i="157"/>
  <c r="G31" i="157"/>
  <c r="K2" i="157"/>
  <c r="G2" i="157"/>
  <c r="H311" i="148"/>
  <c r="L311" i="148"/>
  <c r="M311" i="148"/>
  <c r="N311" i="148"/>
  <c r="H312" i="148"/>
  <c r="L312" i="148"/>
  <c r="M312" i="148"/>
  <c r="N312" i="148"/>
  <c r="H313" i="148"/>
  <c r="L313" i="148"/>
  <c r="M313" i="148"/>
  <c r="N313" i="148"/>
  <c r="H314" i="148"/>
  <c r="L314" i="148"/>
  <c r="M314" i="148"/>
  <c r="N314" i="148"/>
  <c r="H315" i="148"/>
  <c r="L315" i="148"/>
  <c r="M315" i="148"/>
  <c r="N315" i="148"/>
  <c r="H316" i="148"/>
  <c r="L316" i="148"/>
  <c r="M316" i="148"/>
  <c r="N316" i="148"/>
  <c r="H317" i="148"/>
  <c r="L317" i="148"/>
  <c r="M317" i="148"/>
  <c r="N317" i="148"/>
  <c r="H318" i="148"/>
  <c r="L318" i="148"/>
  <c r="M318" i="148"/>
  <c r="N318" i="148"/>
  <c r="A311" i="148"/>
  <c r="A312" i="148"/>
  <c r="A313" i="148"/>
  <c r="A314" i="148"/>
  <c r="A315" i="148"/>
  <c r="A316" i="148"/>
  <c r="A317" i="148"/>
  <c r="A318" i="148"/>
  <c r="N318" i="82"/>
  <c r="M318" i="82"/>
  <c r="L318" i="82"/>
  <c r="H318" i="82"/>
  <c r="N317" i="82"/>
  <c r="M317" i="82"/>
  <c r="L317" i="82"/>
  <c r="H317" i="82"/>
  <c r="N316" i="82"/>
  <c r="M316" i="82"/>
  <c r="L316" i="82"/>
  <c r="H316" i="82"/>
  <c r="N315" i="82"/>
  <c r="M315" i="82"/>
  <c r="L315" i="82"/>
  <c r="H315" i="82"/>
  <c r="N314" i="82"/>
  <c r="M314" i="82"/>
  <c r="L314" i="82"/>
  <c r="H314" i="82"/>
  <c r="N313" i="82"/>
  <c r="M313" i="82"/>
  <c r="L313" i="82"/>
  <c r="H313" i="82"/>
  <c r="N312" i="82"/>
  <c r="M312" i="82"/>
  <c r="L312" i="82"/>
  <c r="H312" i="82"/>
  <c r="N311" i="82"/>
  <c r="M311" i="82"/>
  <c r="L311" i="82"/>
  <c r="H311" i="82"/>
  <c r="A311" i="82"/>
  <c r="A312" i="82"/>
  <c r="A313" i="82"/>
  <c r="A314" i="82"/>
  <c r="A315" i="82"/>
  <c r="A316" i="82"/>
  <c r="A317" i="82"/>
  <c r="A318" i="82"/>
  <c r="H306" i="154"/>
  <c r="L306" i="154"/>
  <c r="M306" i="154"/>
  <c r="N306" i="154"/>
  <c r="H307" i="154"/>
  <c r="L307" i="154"/>
  <c r="M307" i="154"/>
  <c r="N307" i="154"/>
  <c r="H308" i="154"/>
  <c r="L308" i="154"/>
  <c r="M308" i="154"/>
  <c r="N308" i="154"/>
  <c r="H309" i="154"/>
  <c r="L309" i="154"/>
  <c r="M309" i="154"/>
  <c r="N309" i="154"/>
  <c r="H310" i="154"/>
  <c r="L310" i="154"/>
  <c r="M310" i="154"/>
  <c r="N310" i="154"/>
  <c r="A306" i="154"/>
  <c r="A307" i="154"/>
  <c r="A308" i="154"/>
  <c r="A309" i="154"/>
  <c r="A310" i="154"/>
  <c r="H306" i="159"/>
  <c r="L306" i="159"/>
  <c r="M306" i="159"/>
  <c r="N306" i="159"/>
  <c r="H307" i="159"/>
  <c r="L307" i="159"/>
  <c r="M307" i="159"/>
  <c r="N307" i="159"/>
  <c r="H308" i="159"/>
  <c r="L308" i="159"/>
  <c r="M308" i="159"/>
  <c r="N308" i="159"/>
  <c r="H309" i="159"/>
  <c r="L309" i="159"/>
  <c r="M309" i="159"/>
  <c r="N309" i="159"/>
  <c r="H310" i="159"/>
  <c r="L310" i="159"/>
  <c r="M310" i="159"/>
  <c r="N310" i="159"/>
  <c r="A306" i="159"/>
  <c r="A307" i="159"/>
  <c r="A308" i="159"/>
  <c r="A309" i="159"/>
  <c r="A310" i="159"/>
  <c r="H306" i="150"/>
  <c r="L306" i="150"/>
  <c r="M306" i="150"/>
  <c r="N306" i="150"/>
  <c r="H307" i="150"/>
  <c r="L307" i="150"/>
  <c r="M307" i="150"/>
  <c r="N307" i="150"/>
  <c r="H308" i="150"/>
  <c r="L308" i="150"/>
  <c r="M308" i="150"/>
  <c r="N308" i="150"/>
  <c r="H309" i="150"/>
  <c r="L309" i="150"/>
  <c r="M309" i="150"/>
  <c r="N309" i="150"/>
  <c r="H310" i="150"/>
  <c r="L310" i="150"/>
  <c r="M310" i="150"/>
  <c r="N310" i="150"/>
  <c r="A306" i="150"/>
  <c r="A307" i="150"/>
  <c r="A308" i="150"/>
  <c r="A309" i="150"/>
  <c r="A310" i="150"/>
  <c r="J30" i="157"/>
  <c r="E30" i="157"/>
  <c r="F30" i="157"/>
  <c r="C30" i="157"/>
  <c r="H30" i="157"/>
  <c r="L30" i="157"/>
  <c r="M30" i="157"/>
  <c r="N30" i="157"/>
  <c r="J31" i="157"/>
  <c r="E31" i="157"/>
  <c r="F31" i="157"/>
  <c r="C31" i="157"/>
  <c r="H31" i="157"/>
  <c r="L31" i="157"/>
  <c r="M31" i="157"/>
  <c r="N31" i="157"/>
  <c r="H306" i="148"/>
  <c r="L306" i="148"/>
  <c r="M306" i="148"/>
  <c r="N306" i="148"/>
  <c r="H307" i="148"/>
  <c r="L307" i="148"/>
  <c r="M307" i="148"/>
  <c r="N307" i="148"/>
  <c r="H308" i="148"/>
  <c r="L308" i="148"/>
  <c r="M308" i="148"/>
  <c r="N308" i="148"/>
  <c r="H309" i="148"/>
  <c r="L309" i="148"/>
  <c r="M309" i="148"/>
  <c r="N309" i="148"/>
  <c r="H310" i="148"/>
  <c r="L310" i="148"/>
  <c r="M310" i="148"/>
  <c r="N310" i="148"/>
  <c r="A306" i="148"/>
  <c r="A307" i="148"/>
  <c r="A308" i="148"/>
  <c r="A309" i="148"/>
  <c r="A310" i="148"/>
  <c r="H306" i="82"/>
  <c r="L306" i="82"/>
  <c r="M306" i="82"/>
  <c r="N306" i="82"/>
  <c r="H307" i="82"/>
  <c r="L307" i="82"/>
  <c r="M307" i="82"/>
  <c r="N307" i="82"/>
  <c r="H308" i="82"/>
  <c r="L308" i="82"/>
  <c r="M308" i="82"/>
  <c r="N308" i="82"/>
  <c r="H309" i="82"/>
  <c r="L309" i="82"/>
  <c r="M309" i="82"/>
  <c r="N309" i="82"/>
  <c r="H310" i="82"/>
  <c r="L310" i="82"/>
  <c r="M310" i="82"/>
  <c r="N310" i="82"/>
  <c r="A306" i="82"/>
  <c r="A307" i="82"/>
  <c r="A308" i="82"/>
  <c r="A309" i="82"/>
  <c r="A310" i="82"/>
  <c r="E3" i="157"/>
  <c r="E4" i="157"/>
  <c r="E5" i="157"/>
  <c r="E6" i="157"/>
  <c r="E7" i="157"/>
  <c r="E8" i="157"/>
  <c r="E9" i="157"/>
  <c r="E10" i="157"/>
  <c r="E11" i="157"/>
  <c r="E12" i="157"/>
  <c r="E13" i="157"/>
  <c r="E14" i="157"/>
  <c r="E15" i="157"/>
  <c r="E16" i="157"/>
  <c r="E17" i="157"/>
  <c r="E18" i="157"/>
  <c r="E19" i="157"/>
  <c r="E20" i="157"/>
  <c r="E21" i="157"/>
  <c r="E22" i="157"/>
  <c r="E23" i="157"/>
  <c r="E24" i="157"/>
  <c r="E25" i="157"/>
  <c r="E26" i="157"/>
  <c r="E27" i="157"/>
  <c r="E28" i="157"/>
  <c r="E29" i="157"/>
  <c r="E2" i="157"/>
  <c r="H301" i="154"/>
  <c r="L301" i="154"/>
  <c r="M301" i="154"/>
  <c r="N301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H301" i="159"/>
  <c r="L301" i="159"/>
  <c r="M301" i="159"/>
  <c r="N301" i="159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H301" i="150"/>
  <c r="L301" i="150"/>
  <c r="M301" i="150"/>
  <c r="N301" i="150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J9" i="157"/>
  <c r="F9" i="157"/>
  <c r="C9" i="157"/>
  <c r="H9" i="157"/>
  <c r="L9" i="157"/>
  <c r="M9" i="157"/>
  <c r="N9" i="157"/>
  <c r="J10" i="157"/>
  <c r="F10" i="157"/>
  <c r="C10" i="157"/>
  <c r="H10" i="157"/>
  <c r="L10" i="157"/>
  <c r="M10" i="157"/>
  <c r="N10" i="157"/>
  <c r="J11" i="157"/>
  <c r="F11" i="157"/>
  <c r="C11" i="157"/>
  <c r="H11" i="157"/>
  <c r="L11" i="157"/>
  <c r="M11" i="157"/>
  <c r="N11" i="157"/>
  <c r="J12" i="157"/>
  <c r="F12" i="157"/>
  <c r="C12" i="157"/>
  <c r="H12" i="157"/>
  <c r="L12" i="157"/>
  <c r="M12" i="157"/>
  <c r="N12" i="157"/>
  <c r="J13" i="157"/>
  <c r="F13" i="157"/>
  <c r="C13" i="157"/>
  <c r="H13" i="157"/>
  <c r="L13" i="157"/>
  <c r="M13" i="157"/>
  <c r="N13" i="157"/>
  <c r="J14" i="157"/>
  <c r="F14" i="157"/>
  <c r="C14" i="157"/>
  <c r="H14" i="157"/>
  <c r="L14" i="157"/>
  <c r="M14" i="157"/>
  <c r="N14" i="157"/>
  <c r="J15" i="157"/>
  <c r="F15" i="157"/>
  <c r="C15" i="157"/>
  <c r="H15" i="157"/>
  <c r="L15" i="157"/>
  <c r="M15" i="157"/>
  <c r="N15" i="157"/>
  <c r="J16" i="157"/>
  <c r="F16" i="157"/>
  <c r="C16" i="157"/>
  <c r="H16" i="157"/>
  <c r="L16" i="157"/>
  <c r="M16" i="157"/>
  <c r="N16" i="157"/>
  <c r="J17" i="157"/>
  <c r="F17" i="157"/>
  <c r="C17" i="157"/>
  <c r="H17" i="157"/>
  <c r="L17" i="157"/>
  <c r="M17" i="157"/>
  <c r="N17" i="157"/>
  <c r="F18" i="157"/>
  <c r="C18" i="157"/>
  <c r="H18" i="157"/>
  <c r="L18" i="157"/>
  <c r="M18" i="157"/>
  <c r="N18" i="157"/>
  <c r="F19" i="157"/>
  <c r="C19" i="157"/>
  <c r="H19" i="157"/>
  <c r="L19" i="157"/>
  <c r="M19" i="157"/>
  <c r="N19" i="157"/>
  <c r="J20" i="157"/>
  <c r="F20" i="157"/>
  <c r="C20" i="157"/>
  <c r="H20" i="157"/>
  <c r="L20" i="157"/>
  <c r="M20" i="157"/>
  <c r="N20" i="157"/>
  <c r="J21" i="157"/>
  <c r="F21" i="157"/>
  <c r="C21" i="157"/>
  <c r="H21" i="157"/>
  <c r="L21" i="157"/>
  <c r="M21" i="157"/>
  <c r="N21" i="157"/>
  <c r="J22" i="157"/>
  <c r="F22" i="157"/>
  <c r="C22" i="157"/>
  <c r="H22" i="157"/>
  <c r="L22" i="157"/>
  <c r="M22" i="157"/>
  <c r="N22" i="157"/>
  <c r="J23" i="157"/>
  <c r="F23" i="157"/>
  <c r="C23" i="157"/>
  <c r="H23" i="157"/>
  <c r="L23" i="157"/>
  <c r="M23" i="157"/>
  <c r="N23" i="157"/>
  <c r="J24" i="157"/>
  <c r="F24" i="157"/>
  <c r="C24" i="157"/>
  <c r="H24" i="157"/>
  <c r="L24" i="157"/>
  <c r="M24" i="157"/>
  <c r="N24" i="157"/>
  <c r="J25" i="157"/>
  <c r="F25" i="157"/>
  <c r="C25" i="157"/>
  <c r="H25" i="157"/>
  <c r="L25" i="157"/>
  <c r="M25" i="157"/>
  <c r="N25" i="157"/>
  <c r="J26" i="157"/>
  <c r="F26" i="157"/>
  <c r="C26" i="157"/>
  <c r="H26" i="157"/>
  <c r="L26" i="157"/>
  <c r="M26" i="157"/>
  <c r="N26" i="157"/>
  <c r="J27" i="157"/>
  <c r="F27" i="157"/>
  <c r="C27" i="157"/>
  <c r="H27" i="157"/>
  <c r="L27" i="157"/>
  <c r="M27" i="157"/>
  <c r="N27" i="157"/>
  <c r="J28" i="157"/>
  <c r="F28" i="157"/>
  <c r="C28" i="157"/>
  <c r="H28" i="157"/>
  <c r="L28" i="157"/>
  <c r="M28" i="157"/>
  <c r="N28" i="157"/>
  <c r="J29" i="157"/>
  <c r="F29" i="157"/>
  <c r="C29" i="157"/>
  <c r="H29" i="157"/>
  <c r="L29" i="157"/>
  <c r="M29" i="157"/>
  <c r="N29" i="157"/>
  <c r="H301" i="82"/>
  <c r="L301" i="82"/>
  <c r="M301" i="82"/>
  <c r="N301" i="82"/>
  <c r="H302" i="82"/>
  <c r="L302" i="82"/>
  <c r="M302" i="82"/>
  <c r="N302" i="82"/>
  <c r="H303" i="82"/>
  <c r="L303" i="82"/>
  <c r="M303" i="82"/>
  <c r="N303" i="82"/>
  <c r="H304" i="82"/>
  <c r="L304" i="82"/>
  <c r="M304" i="82"/>
  <c r="N304" i="82"/>
  <c r="H305" i="82"/>
  <c r="L305" i="82"/>
  <c r="M305" i="82"/>
  <c r="N305" i="82"/>
  <c r="A301" i="82"/>
  <c r="A302" i="82"/>
  <c r="A303" i="82"/>
  <c r="A304" i="82"/>
  <c r="A305" i="82"/>
  <c r="A305" i="148"/>
  <c r="H305" i="148"/>
  <c r="L305" i="148"/>
  <c r="M305" i="148"/>
  <c r="N305" i="148"/>
  <c r="H301" i="148"/>
  <c r="L301" i="148"/>
  <c r="M301" i="148"/>
  <c r="N301" i="148"/>
  <c r="H302" i="148"/>
  <c r="L302" i="148"/>
  <c r="M302" i="148"/>
  <c r="N302" i="148"/>
  <c r="H303" i="148"/>
  <c r="L303" i="148"/>
  <c r="M303" i="148"/>
  <c r="N303" i="148"/>
  <c r="H304" i="148"/>
  <c r="L304" i="148"/>
  <c r="M304" i="148"/>
  <c r="N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J2" i="157"/>
  <c r="F2" i="157"/>
  <c r="C2" i="157"/>
  <c r="H2" i="157"/>
  <c r="L2" i="157"/>
  <c r="M2" i="157"/>
  <c r="N2" i="157"/>
  <c r="J3" i="157"/>
  <c r="F3" i="157"/>
  <c r="C3" i="157"/>
  <c r="H3" i="157"/>
  <c r="L3" i="157"/>
  <c r="M3" i="157"/>
  <c r="N3" i="157"/>
  <c r="J4" i="157"/>
  <c r="F4" i="157"/>
  <c r="C4" i="157"/>
  <c r="H4" i="157"/>
  <c r="L4" i="157"/>
  <c r="M4" i="157"/>
  <c r="N4" i="157"/>
  <c r="J5" i="157"/>
  <c r="F5" i="157"/>
  <c r="C5" i="157"/>
  <c r="H5" i="157"/>
  <c r="L5" i="157"/>
  <c r="M5" i="157"/>
  <c r="N5" i="157"/>
  <c r="J6" i="157"/>
  <c r="F6" i="157"/>
  <c r="C6" i="157"/>
  <c r="H6" i="157"/>
  <c r="L6" i="157"/>
  <c r="M6" i="157"/>
  <c r="N6" i="157"/>
  <c r="J7" i="157"/>
  <c r="F7" i="157"/>
  <c r="C7" i="157"/>
  <c r="H7" i="157"/>
  <c r="L7" i="157"/>
  <c r="M7" i="157"/>
  <c r="N7" i="157"/>
  <c r="J8" i="157"/>
  <c r="F8" i="157"/>
  <c r="C8" i="157"/>
  <c r="H8" i="157"/>
  <c r="L8" i="157"/>
  <c r="M8" i="157"/>
  <c r="N8" i="157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N300" i="148"/>
  <c r="M300" i="148"/>
  <c r="L300" i="148"/>
  <c r="H300" i="148"/>
  <c r="N299" i="148"/>
  <c r="M299" i="148"/>
  <c r="L299" i="148"/>
  <c r="H299" i="148"/>
  <c r="N298" i="148"/>
  <c r="M298" i="148"/>
  <c r="L298" i="148"/>
  <c r="H298" i="148"/>
  <c r="N297" i="148"/>
  <c r="M297" i="148"/>
  <c r="L297" i="148"/>
  <c r="H297" i="148"/>
  <c r="N296" i="148"/>
  <c r="M296" i="148"/>
  <c r="L296" i="148"/>
  <c r="H296" i="148"/>
  <c r="N295" i="148"/>
  <c r="M295" i="148"/>
  <c r="L295" i="148"/>
  <c r="H295" i="148"/>
  <c r="A299" i="82"/>
  <c r="H299" i="82"/>
  <c r="L299" i="82"/>
  <c r="M299" i="82"/>
  <c r="N299" i="82"/>
  <c r="A300" i="82"/>
  <c r="H300" i="82"/>
  <c r="L300" i="82"/>
  <c r="M300" i="82"/>
  <c r="N300" i="82"/>
  <c r="H295" i="82"/>
  <c r="H296" i="82"/>
  <c r="H297" i="82"/>
  <c r="H298" i="82"/>
  <c r="A295" i="82"/>
  <c r="L295" i="82"/>
  <c r="M295" i="82"/>
  <c r="N295" i="82"/>
  <c r="A296" i="82"/>
  <c r="L296" i="82"/>
  <c r="M296" i="82"/>
  <c r="N296" i="82"/>
  <c r="A297" i="82"/>
  <c r="L297" i="82"/>
  <c r="M297" i="82"/>
  <c r="N297" i="82"/>
  <c r="A298" i="82"/>
  <c r="L298" i="82"/>
  <c r="M298" i="82"/>
  <c r="N298" i="82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5" i="158"/>
  <c r="G55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47" i="158"/>
  <c r="I46" i="158"/>
  <c r="J46" i="158"/>
  <c r="F46" i="158"/>
  <c r="C46" i="158"/>
  <c r="D46" i="158"/>
  <c r="G45" i="158"/>
  <c r="E45" i="158"/>
  <c r="H45" i="158"/>
  <c r="I45" i="158"/>
  <c r="J45" i="158"/>
  <c r="F45" i="158"/>
  <c r="C45" i="158"/>
  <c r="D45" i="158"/>
  <c r="I44" i="158"/>
  <c r="J44" i="158"/>
  <c r="F44" i="158"/>
  <c r="C44" i="158"/>
  <c r="D44" i="158"/>
  <c r="I43" i="158"/>
  <c r="J43" i="158"/>
  <c r="F43" i="158"/>
  <c r="C43" i="158"/>
  <c r="D43" i="158"/>
  <c r="I42" i="158"/>
  <c r="J42" i="158"/>
  <c r="F42" i="158"/>
  <c r="C42" i="158"/>
  <c r="D42" i="158"/>
  <c r="I41" i="158"/>
  <c r="J41" i="158"/>
  <c r="F41" i="158"/>
  <c r="C41" i="158"/>
  <c r="D41" i="158"/>
  <c r="I40" i="158"/>
  <c r="J40" i="158"/>
  <c r="F40" i="158"/>
  <c r="C40" i="158"/>
  <c r="D40" i="158"/>
  <c r="I39" i="158"/>
  <c r="J39" i="158"/>
  <c r="F39" i="158"/>
  <c r="C39" i="158"/>
  <c r="D39" i="158"/>
  <c r="I38" i="158"/>
  <c r="J38" i="158"/>
  <c r="F38" i="158"/>
  <c r="C38" i="158"/>
  <c r="D38" i="158"/>
  <c r="I37" i="158"/>
  <c r="J37" i="158"/>
  <c r="F37" i="158"/>
  <c r="C37" i="158"/>
  <c r="D37" i="158"/>
  <c r="I36" i="158"/>
  <c r="J36" i="158"/>
  <c r="F36" i="158"/>
  <c r="C36" i="158"/>
  <c r="D36" i="158"/>
  <c r="C35" i="158"/>
  <c r="I34" i="158"/>
  <c r="J34" i="158"/>
  <c r="F34" i="158"/>
  <c r="C34" i="158"/>
  <c r="D34" i="158"/>
  <c r="I33" i="158"/>
  <c r="J33" i="158"/>
  <c r="F33" i="158"/>
  <c r="C33" i="158"/>
  <c r="D33" i="158"/>
  <c r="I32" i="158"/>
  <c r="J32" i="158"/>
  <c r="F32" i="158"/>
  <c r="C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C18" i="158"/>
  <c r="D18" i="158"/>
  <c r="R17" i="158"/>
  <c r="P17" i="158"/>
  <c r="O17" i="158"/>
  <c r="M17" i="158"/>
  <c r="I17" i="158"/>
  <c r="J17" i="158"/>
  <c r="F17" i="158"/>
  <c r="C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R3" i="158"/>
  <c r="P3" i="158"/>
  <c r="O3" i="158"/>
  <c r="M3" i="158"/>
  <c r="V2" i="158"/>
  <c r="H291" i="154"/>
  <c r="L291" i="154"/>
  <c r="M291" i="154"/>
  <c r="N291" i="154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C5" i="103"/>
  <c r="E5" i="103"/>
  <c r="C6" i="103"/>
  <c r="E6" i="103"/>
  <c r="C2" i="103"/>
  <c r="E2" i="103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47" i="153"/>
  <c r="I46" i="153"/>
  <c r="J46" i="153"/>
  <c r="F46" i="153"/>
  <c r="C46" i="153"/>
  <c r="D46" i="153"/>
  <c r="G45" i="153"/>
  <c r="E45" i="153"/>
  <c r="H45" i="153"/>
  <c r="I45" i="153"/>
  <c r="J45" i="153"/>
  <c r="F45" i="153"/>
  <c r="C45" i="153"/>
  <c r="D45" i="153"/>
  <c r="I44" i="153"/>
  <c r="J44" i="153"/>
  <c r="F44" i="153"/>
  <c r="C44" i="153"/>
  <c r="D44" i="153"/>
  <c r="I43" i="153"/>
  <c r="J43" i="153"/>
  <c r="F43" i="153"/>
  <c r="C43" i="153"/>
  <c r="D43" i="153"/>
  <c r="I42" i="153"/>
  <c r="J42" i="153"/>
  <c r="F42" i="153"/>
  <c r="C42" i="153"/>
  <c r="D42" i="153"/>
  <c r="I41" i="153"/>
  <c r="J41" i="153"/>
  <c r="F41" i="153"/>
  <c r="C41" i="153"/>
  <c r="D41" i="153"/>
  <c r="I40" i="153"/>
  <c r="J40" i="153"/>
  <c r="F40" i="153"/>
  <c r="C40" i="153"/>
  <c r="D40" i="153"/>
  <c r="I39" i="153"/>
  <c r="J39" i="153"/>
  <c r="F39" i="153"/>
  <c r="C39" i="153"/>
  <c r="D39" i="153"/>
  <c r="I38" i="153"/>
  <c r="J38" i="153"/>
  <c r="F38" i="153"/>
  <c r="C38" i="153"/>
  <c r="D38" i="153"/>
  <c r="I37" i="153"/>
  <c r="J37" i="153"/>
  <c r="F37" i="153"/>
  <c r="C37" i="153"/>
  <c r="D37" i="153"/>
  <c r="C36" i="153"/>
  <c r="C35" i="153"/>
  <c r="I34" i="153"/>
  <c r="J34" i="153"/>
  <c r="F34" i="153"/>
  <c r="C34" i="153"/>
  <c r="D34" i="153"/>
  <c r="I33" i="153"/>
  <c r="J33" i="153"/>
  <c r="F33" i="153"/>
  <c r="C33" i="153"/>
  <c r="D33" i="153"/>
  <c r="I32" i="153"/>
  <c r="J32" i="153"/>
  <c r="F32" i="153"/>
  <c r="C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R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7" i="149"/>
  <c r="B58" i="149"/>
  <c r="B60" i="149"/>
  <c r="B61" i="149"/>
  <c r="F55" i="149"/>
  <c r="G55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47" i="149"/>
  <c r="I46" i="149"/>
  <c r="J46" i="149"/>
  <c r="F46" i="149"/>
  <c r="C46" i="149"/>
  <c r="D46" i="149"/>
  <c r="G45" i="149"/>
  <c r="E45" i="149"/>
  <c r="H45" i="149"/>
  <c r="I45" i="149"/>
  <c r="J45" i="149"/>
  <c r="F45" i="149"/>
  <c r="C45" i="149"/>
  <c r="D45" i="149"/>
  <c r="I44" i="149"/>
  <c r="J44" i="149"/>
  <c r="F44" i="149"/>
  <c r="C44" i="149"/>
  <c r="D44" i="149"/>
  <c r="I43" i="149"/>
  <c r="J43" i="149"/>
  <c r="F43" i="149"/>
  <c r="C43" i="149"/>
  <c r="D43" i="149"/>
  <c r="I42" i="149"/>
  <c r="J42" i="149"/>
  <c r="F42" i="149"/>
  <c r="C42" i="149"/>
  <c r="D42" i="149"/>
  <c r="I41" i="149"/>
  <c r="J41" i="149"/>
  <c r="F41" i="149"/>
  <c r="C41" i="149"/>
  <c r="D41" i="149"/>
  <c r="I40" i="149"/>
  <c r="J40" i="149"/>
  <c r="F40" i="149"/>
  <c r="C40" i="149"/>
  <c r="D40" i="149"/>
  <c r="I39" i="149"/>
  <c r="J39" i="149"/>
  <c r="F39" i="149"/>
  <c r="C39" i="149"/>
  <c r="D39" i="149"/>
  <c r="I38" i="149"/>
  <c r="J38" i="149"/>
  <c r="F38" i="149"/>
  <c r="C38" i="149"/>
  <c r="D38" i="149"/>
  <c r="I37" i="149"/>
  <c r="J37" i="149"/>
  <c r="F37" i="149"/>
  <c r="C37" i="149"/>
  <c r="D37" i="149"/>
  <c r="C36" i="149"/>
  <c r="C35" i="149"/>
  <c r="I34" i="149"/>
  <c r="J34" i="149"/>
  <c r="F34" i="149"/>
  <c r="C34" i="149"/>
  <c r="D34" i="149"/>
  <c r="I33" i="149"/>
  <c r="J33" i="149"/>
  <c r="F33" i="149"/>
  <c r="C33" i="149"/>
  <c r="D33" i="149"/>
  <c r="I32" i="149"/>
  <c r="J32" i="149"/>
  <c r="F32" i="149"/>
  <c r="C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R20" i="149"/>
  <c r="P20" i="149"/>
  <c r="O20" i="149"/>
  <c r="M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C18" i="149"/>
  <c r="D18" i="149"/>
  <c r="R17" i="149"/>
  <c r="P17" i="149"/>
  <c r="O17" i="149"/>
  <c r="M17" i="149"/>
  <c r="I17" i="149"/>
  <c r="J17" i="149"/>
  <c r="F17" i="149"/>
  <c r="C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R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B55" i="147"/>
  <c r="B57" i="147"/>
  <c r="B58" i="147"/>
  <c r="B60" i="147"/>
  <c r="B61" i="147"/>
  <c r="F55" i="147"/>
  <c r="G55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47" i="147"/>
  <c r="I46" i="147"/>
  <c r="J46" i="147"/>
  <c r="F46" i="147"/>
  <c r="C46" i="147"/>
  <c r="D46" i="147"/>
  <c r="G45" i="147"/>
  <c r="E45" i="147"/>
  <c r="H45" i="147"/>
  <c r="I45" i="147"/>
  <c r="J45" i="147"/>
  <c r="F45" i="147"/>
  <c r="C45" i="147"/>
  <c r="D45" i="147"/>
  <c r="I44" i="147"/>
  <c r="J44" i="147"/>
  <c r="F44" i="147"/>
  <c r="C44" i="147"/>
  <c r="D44" i="147"/>
  <c r="I43" i="147"/>
  <c r="J43" i="147"/>
  <c r="F43" i="147"/>
  <c r="C43" i="147"/>
  <c r="D43" i="147"/>
  <c r="I42" i="147"/>
  <c r="J42" i="147"/>
  <c r="F42" i="147"/>
  <c r="C42" i="147"/>
  <c r="D42" i="147"/>
  <c r="I41" i="147"/>
  <c r="J41" i="147"/>
  <c r="F41" i="147"/>
  <c r="C41" i="147"/>
  <c r="D41" i="147"/>
  <c r="I40" i="147"/>
  <c r="J40" i="147"/>
  <c r="F40" i="147"/>
  <c r="C40" i="147"/>
  <c r="D40" i="147"/>
  <c r="I39" i="147"/>
  <c r="J39" i="147"/>
  <c r="F39" i="147"/>
  <c r="C39" i="147"/>
  <c r="D39" i="147"/>
  <c r="I38" i="147"/>
  <c r="J38" i="147"/>
  <c r="F38" i="147"/>
  <c r="C38" i="147"/>
  <c r="D38" i="147"/>
  <c r="I37" i="147"/>
  <c r="J37" i="147"/>
  <c r="F37" i="147"/>
  <c r="C37" i="147"/>
  <c r="D37" i="147"/>
  <c r="C36" i="147"/>
  <c r="C35" i="147"/>
  <c r="I34" i="147"/>
  <c r="J34" i="147"/>
  <c r="F34" i="147"/>
  <c r="C34" i="147"/>
  <c r="D34" i="147"/>
  <c r="I33" i="147"/>
  <c r="J33" i="147"/>
  <c r="F33" i="147"/>
  <c r="C33" i="147"/>
  <c r="D33" i="147"/>
  <c r="I32" i="147"/>
  <c r="J32" i="147"/>
  <c r="F32" i="147"/>
  <c r="C32" i="147"/>
  <c r="D32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R20" i="147"/>
  <c r="P20" i="147"/>
  <c r="O20" i="147"/>
  <c r="M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R3" i="147"/>
  <c r="P3" i="147"/>
  <c r="O3" i="147"/>
  <c r="M3" i="147"/>
  <c r="V2" i="147"/>
  <c r="A284" i="82"/>
  <c r="H284" i="82"/>
  <c r="L284" i="82"/>
  <c r="M284" i="82"/>
  <c r="N284" i="82"/>
  <c r="E30" i="106"/>
  <c r="E45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I44" i="106"/>
  <c r="J44" i="106"/>
  <c r="F44" i="106"/>
  <c r="C44" i="106"/>
  <c r="D44" i="106"/>
  <c r="I43" i="106"/>
  <c r="J43" i="106"/>
  <c r="F43" i="106"/>
  <c r="C43" i="106"/>
  <c r="D43" i="106"/>
  <c r="C42" i="106"/>
  <c r="I41" i="106"/>
  <c r="J41" i="106"/>
  <c r="F41" i="106"/>
  <c r="C41" i="106"/>
  <c r="D41" i="106"/>
  <c r="I40" i="106"/>
  <c r="J40" i="106"/>
  <c r="F40" i="106"/>
  <c r="C40" i="106"/>
  <c r="D40" i="106"/>
  <c r="I39" i="106"/>
  <c r="J39" i="106"/>
  <c r="F39" i="106"/>
  <c r="C39" i="106"/>
  <c r="D39" i="106"/>
  <c r="I38" i="106"/>
  <c r="J38" i="106"/>
  <c r="F38" i="106"/>
  <c r="C38" i="106"/>
  <c r="D38" i="106"/>
  <c r="I37" i="106"/>
  <c r="J37" i="106"/>
  <c r="F37" i="106"/>
  <c r="C37" i="106"/>
  <c r="D37" i="106"/>
  <c r="C36" i="106"/>
  <c r="C35" i="106"/>
  <c r="C34" i="106"/>
  <c r="C33" i="106"/>
  <c r="C32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47" i="106"/>
  <c r="R3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9" i="103"/>
  <c r="E9" i="103"/>
  <c r="C4" i="103"/>
  <c r="E4" i="103"/>
  <c r="R5" i="106"/>
  <c r="R4" i="106"/>
  <c r="V6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17" i="106"/>
  <c r="C18" i="106"/>
  <c r="D24" i="106"/>
  <c r="D25" i="106"/>
  <c r="D26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22" i="106"/>
  <c r="F23" i="106"/>
  <c r="F24" i="106"/>
  <c r="F25" i="106"/>
  <c r="F26" i="106"/>
  <c r="F28" i="106"/>
  <c r="F29" i="106"/>
  <c r="F30" i="106"/>
  <c r="F31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8" i="106"/>
  <c r="B60" i="106"/>
  <c r="B61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C3" i="103"/>
  <c r="M4" i="106"/>
  <c r="M12" i="106"/>
  <c r="M11" i="106"/>
  <c r="M10" i="106"/>
  <c r="M9" i="106"/>
  <c r="M8" i="106"/>
  <c r="M7" i="106"/>
  <c r="M6" i="106"/>
  <c r="M5" i="106"/>
  <c r="M3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2" i="103"/>
  <c r="E11" i="103"/>
  <c r="E10" i="103"/>
  <c r="E3" i="103"/>
  <c r="D21" i="158"/>
  <c r="F21" i="158"/>
  <c r="I21" i="158"/>
  <c r="J21" i="158"/>
  <c r="B59" i="158"/>
  <c r="B62" i="158"/>
  <c r="C55" i="158"/>
  <c r="C56" i="158"/>
  <c r="C57" i="158"/>
  <c r="C58" i="158"/>
  <c r="C59" i="158"/>
  <c r="C60" i="158"/>
  <c r="C61" i="158"/>
  <c r="C62" i="158"/>
  <c r="F62" i="158"/>
  <c r="F61" i="158"/>
  <c r="F60" i="158"/>
  <c r="B47" i="158"/>
  <c r="D47" i="158"/>
  <c r="D35" i="158"/>
  <c r="F35" i="158"/>
  <c r="I35" i="158"/>
  <c r="J35" i="158"/>
  <c r="I35" i="153"/>
  <c r="J35" i="153"/>
  <c r="F60" i="153"/>
  <c r="F61" i="153"/>
  <c r="F62" i="153"/>
  <c r="B47" i="153"/>
  <c r="D47" i="153"/>
  <c r="I36" i="153"/>
  <c r="J36" i="153"/>
  <c r="F36" i="153"/>
  <c r="D36" i="153"/>
  <c r="F35" i="153"/>
  <c r="D35" i="153"/>
  <c r="D35" i="106"/>
  <c r="F35" i="106"/>
  <c r="I35" i="106"/>
  <c r="J35" i="106"/>
  <c r="F27" i="106"/>
  <c r="D27" i="106"/>
  <c r="I27" i="106"/>
  <c r="J27" i="106"/>
  <c r="B57" i="106"/>
  <c r="D20" i="106"/>
  <c r="F20" i="106"/>
  <c r="I20" i="106"/>
  <c r="J20" i="106"/>
  <c r="B56" i="106"/>
  <c r="D42" i="106"/>
  <c r="F42" i="106"/>
  <c r="I42" i="106"/>
  <c r="J42" i="106"/>
  <c r="D35" i="147"/>
  <c r="F35" i="147"/>
  <c r="I35" i="147"/>
  <c r="J35" i="147"/>
  <c r="B56" i="147"/>
  <c r="I20" i="147"/>
  <c r="J20" i="147"/>
  <c r="F20" i="147"/>
  <c r="D20" i="147"/>
  <c r="F56" i="147"/>
  <c r="G56" i="147"/>
  <c r="D21" i="147"/>
  <c r="F21" i="147"/>
  <c r="I21" i="147"/>
  <c r="J21" i="147"/>
  <c r="D36" i="147"/>
  <c r="F36" i="147"/>
  <c r="I36" i="147"/>
  <c r="J36" i="147"/>
  <c r="B47" i="147"/>
  <c r="D47" i="147"/>
  <c r="F60" i="147"/>
  <c r="F61" i="147"/>
  <c r="B59" i="147"/>
  <c r="B62" i="147"/>
  <c r="C55" i="147"/>
  <c r="C56" i="147"/>
  <c r="C57" i="147"/>
  <c r="C58" i="147"/>
  <c r="C59" i="147"/>
  <c r="C60" i="147"/>
  <c r="C61" i="147"/>
  <c r="C62" i="147"/>
  <c r="F62" i="147"/>
  <c r="F65" i="147"/>
  <c r="P2" i="157"/>
  <c r="B59" i="106"/>
  <c r="I36" i="106"/>
  <c r="J36" i="106"/>
  <c r="F36" i="106"/>
  <c r="D36" i="106"/>
  <c r="I21" i="106"/>
  <c r="J21" i="106"/>
  <c r="F21" i="106"/>
  <c r="D21" i="106"/>
  <c r="D34" i="106"/>
  <c r="F34" i="106"/>
  <c r="I34" i="106"/>
  <c r="J34" i="106"/>
  <c r="F18" i="106"/>
  <c r="D17" i="106"/>
  <c r="D18" i="106"/>
  <c r="D19" i="106"/>
  <c r="F19" i="106"/>
  <c r="F17" i="106"/>
  <c r="I17" i="106"/>
  <c r="J17" i="106"/>
  <c r="I18" i="106"/>
  <c r="J18" i="106"/>
  <c r="I19" i="106"/>
  <c r="J19" i="106"/>
  <c r="B55" i="106"/>
  <c r="B62" i="106"/>
  <c r="C55" i="106"/>
  <c r="C56" i="106"/>
  <c r="C57" i="106"/>
  <c r="C58" i="106"/>
  <c r="C59" i="106"/>
  <c r="C60" i="106"/>
  <c r="C61" i="106"/>
  <c r="C62" i="106"/>
  <c r="H55" i="106"/>
  <c r="F33" i="106"/>
  <c r="I33" i="106"/>
  <c r="J33" i="106"/>
  <c r="D33" i="106"/>
  <c r="I32" i="106"/>
  <c r="J32" i="106"/>
  <c r="F32" i="106"/>
  <c r="D32" i="106"/>
  <c r="H56" i="106"/>
  <c r="F65" i="106"/>
  <c r="F61" i="106"/>
  <c r="F62" i="106"/>
  <c r="F60" i="106"/>
  <c r="B47" i="106"/>
  <c r="D47" i="106"/>
  <c r="H56" i="149"/>
  <c r="F56" i="149"/>
  <c r="G56" i="149"/>
  <c r="F65" i="149"/>
  <c r="I20" i="149"/>
  <c r="J20" i="149"/>
  <c r="F20" i="149"/>
  <c r="D20" i="149"/>
  <c r="D21" i="149"/>
  <c r="F21" i="149"/>
  <c r="I21" i="149"/>
  <c r="J21" i="149"/>
  <c r="B56" i="149"/>
  <c r="B59" i="149"/>
  <c r="B62" i="149"/>
  <c r="C56" i="149"/>
  <c r="C57" i="149"/>
  <c r="C58" i="149"/>
  <c r="C59" i="149"/>
  <c r="C60" i="149"/>
  <c r="C61" i="149"/>
  <c r="C55" i="149"/>
  <c r="C62" i="149"/>
  <c r="B47" i="149"/>
  <c r="D47" i="149"/>
  <c r="I36" i="149"/>
  <c r="J36" i="149"/>
  <c r="F36" i="149"/>
  <c r="D36" i="149"/>
  <c r="F35" i="149"/>
  <c r="D35" i="149"/>
  <c r="I35" i="149"/>
  <c r="J35" i="149"/>
  <c r="F62" i="149"/>
  <c r="F61" i="149"/>
  <c r="F60" i="149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9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<sst xmlns="http://schemas.openxmlformats.org/spreadsheetml/2006/main" count="1285" uniqueCount="299">
  <si>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</si>
  <si>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</si>
  <si>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</si>
  <si>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</si>
  <si>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</si>
  <si>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</si>
  <si>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</si>
  <si>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</si>
  <si>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</si>
  <si>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</si>
  <si>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</si>
  <si>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</si>
  <si>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</si>
  <si>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</si>
  <si>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</si>
  <si>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</si>
  <si>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</si>
  <si>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</si>
  <si>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</si>
  <si>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</si>
  <si>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</si>
  <si>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</si>
  <si>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</si>
  <si>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</si>
  <si>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</si>
  <si>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</si>
  <si>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</si>
  <si>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</si>
  <si>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</si>
  <si>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</si>
  <si>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</si>
  <si>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</si>
  <si>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</si>
  <si>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</si>
  <si>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</si>
  <si>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</si>
  <si>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</si>
  <si>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</si>
  <si>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</si>
  <si>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</si>
  <si>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</si>
  <si>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</si>
  <si>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</si>
  <si>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</si>
  <si>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</si>
  <si>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</si>
  <si>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</si>
  <si>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</si>
  <si>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</si>
  <si>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</si>
  <si>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</si>
  <si>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</si>
  <si>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</si>
  <si>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</si>
  <si>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</si>
  <si>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</si>
  <si>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</si>
  <si>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</si>
  <si>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</si>
  <si>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</si>
  <si>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</si>
  <si>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</si>
  <si>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</si>
  <si>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</si>
  <si>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</si>
  <si>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</si>
  <si>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</si>
  <si>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</si>
  <si>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</si>
  <si>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</si>
  <si>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</si>
  <si>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</si>
  <si>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</si>
  <si>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</si>
  <si>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</si>
  <si>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</si>
  <si>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</si>
  <si>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</si>
  <si>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</si>
  <si>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</si>
  <si>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</si>
  <si>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</si>
  <si>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</si>
  <si>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</si>
  <si>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</si>
  <si>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</si>
  <si>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</si>
  <si>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</si>
  <si>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</si>
  <si>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</si>
  <si>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</si>
  <si>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</si>
  <si>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</si>
  <si>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</si>
  <si>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</si>
  <si>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</si>
  <si>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</si>
  <si>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</si>
  <si>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</si>
  <si>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</si>
  <si>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</si>
  <si>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</si>
  <si>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</si>
  <si>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</si>
  <si>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</si>
  <si>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</si>
  <si>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</si>
  <si>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</si>
  <si>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</si>
  <si>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</si>
  <si>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</si>
  <si>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</si>
  <si>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</si>
  <si>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</si>
  <si>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</si>
  <si>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</si>
  <si>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</si>
  <si>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</si>
  <si>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</si>
  <si>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</si>
  <si>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</si>
  <si>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</si>
  <si>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</si>
  <si>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</si>
  <si>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</si>
  <si>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</si>
  <si>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</si>
  <si>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</si>
  <si>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</si>
  <si>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</si>
  <si>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</si>
  <si>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</si>
  <si>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</si>
  <si>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</si>
  <si>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</si>
  <si>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</si>
  <si>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</si>
  <si>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</si>
  <si>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</si>
  <si>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</si>
  <si>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</si>
  <si>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</si>
  <si>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</si>
  <si>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</si>
  <si>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</si>
  <si>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</si>
  <si>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</si>
  <si>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</si>
  <si>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</si>
  <si>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</si>
  <si>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</si>
  <si>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</si>
  <si>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</si>
  <si>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</si>
  <si>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</si>
  <si>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</si>
  <si>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</si>
  <si>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</si>
  <si>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</si>
  <si>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</si>
  <si>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</si>
  <si>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</si>
  <si>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</si>
  <si>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</si>
  <si>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</si>
  <si>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</si>
  <si>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</si>
  <si>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</si>
  <si>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</si>
  <si>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</si>
  <si>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</si>
  <si>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</si>
  <si>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</si>
  <si>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</si>
  <si>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</si>
  <si>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</si>
  <si>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</si>
  <si>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</si>
  <si>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</si>
  <si>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</si>
  <si>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</si>
  <si>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</si>
  <si>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</si>
  <si>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</si>
  <si>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</si>
  <si>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</si>
  <si>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</si>
  <si>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</si>
  <si>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</si>
  <si>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</si>
  <si>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</si>
  <si>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</si>
  <si>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</si>
  <si>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</si>
  <si>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</si>
  <si>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</si>
  <si>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</si>
  <si>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</si>
  <si>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</si>
  <si>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</si>
  <si>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</si>
  <si>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</si>
  <si>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</si>
  <si>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</si>
  <si>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</si>
  <si>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</si>
  <si>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</si>
  <si>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</si>
  <si>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</si>
  <si>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</si>
  <si>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</si>
  <si>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</si>
  <si>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</si>
  <si>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</si>
  <si>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</si>
  <si>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</si>
  <si>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</si>
  <si>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</si>
  <si>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</si>
  <si>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</si>
  <si>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</si>
  <si>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</si>
  <si>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</si>
  <si>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</si>
  <si>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</si>
  <si>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</si>
  <si>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</si>
  <si>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</si>
  <si>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</si>
  <si>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</si>
  <si>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</si>
  <si>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</si>
  <si>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</si>
  <si>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</si>
  <si>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</si>
  <si>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</si>
  <si>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</si>
  <si>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</si>
  <si>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</si>
  <si>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</si>
  <si>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</si>
  <si>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</si>
  <si>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</si>
  <si>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</si>
  <si>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</si>
  <si>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</si>
  <si>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</si>
  <si>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</si>
  <si>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unit</t>
    <phoneticPr fontId="19"/>
  </si>
  <si>
    <t>Xcolor</t>
    <phoneticPr fontId="19"/>
  </si>
  <si>
    <t>Ycolor</t>
    <phoneticPr fontId="19"/>
  </si>
  <si>
    <t>Premium4color</t>
    <phoneticPr fontId="19"/>
  </si>
  <si>
    <t>PremiumW3color</t>
    <phoneticPr fontId="19"/>
  </si>
  <si>
    <t>PremiumW4color</t>
    <phoneticPr fontId="19"/>
  </si>
  <si>
    <t>Premium3color</t>
    <phoneticPr fontId="19"/>
  </si>
  <si>
    <t>Premium5color</t>
    <phoneticPr fontId="19"/>
  </si>
  <si>
    <t>Premium4R3lesscolor</t>
    <phoneticPr fontId="19"/>
  </si>
  <si>
    <t>Premium5R3lesscolor</t>
    <phoneticPr fontId="19"/>
  </si>
  <si>
    <t>Premium3R6releasecolor</t>
    <phoneticPr fontId="19"/>
  </si>
  <si>
    <t>Premium4R6releasecolor</t>
    <phoneticPr fontId="19"/>
  </si>
  <si>
    <t>Premium5R6releasecolor</t>
    <phoneticPr fontId="19"/>
  </si>
  <si>
    <t>PremiumSS4color</t>
    <phoneticPr fontId="19"/>
  </si>
  <si>
    <t>PremiumSS5color</t>
    <phoneticPr fontId="19"/>
  </si>
  <si>
    <t>PremiumSS5R5onlycolor</t>
    <phoneticPr fontId="19"/>
  </si>
  <si>
    <t>PremiumSSS4R3lesscolor</t>
    <phoneticPr fontId="19"/>
  </si>
  <si>
    <t>PremiumSSS5R3lesscolor</t>
    <phoneticPr fontId="19"/>
  </si>
  <si>
    <t>PremiumSSS4R3less</t>
    <phoneticPr fontId="19"/>
  </si>
  <si>
    <t>PremiumSSS5R3less</t>
    <phoneticPr fontId="19"/>
  </si>
  <si>
    <t>unit</t>
    <phoneticPr fontId="19"/>
  </si>
  <si>
    <t>ランキング対抗ガチャ特典</t>
    <rPh sb="10" eb="12">
      <t>トクテン</t>
    </rPh>
    <phoneticPr fontId="19"/>
  </si>
  <si>
    <t>STEP4特典として
秘術の果実1体をプレゼント！</t>
    <phoneticPr fontId="19"/>
  </si>
  <si>
    <t>STEP5特典として
秘術の果実3体をプレゼント！</t>
    <phoneticPr fontId="19"/>
  </si>
  <si>
    <t>通常確率</t>
    <phoneticPr fontId="19"/>
  </si>
  <si>
    <t>通常確率</t>
    <phoneticPr fontId="19"/>
  </si>
  <si>
    <t>通常確率</t>
    <phoneticPr fontId="19"/>
  </si>
  <si>
    <t>PremiumSSS</t>
    <phoneticPr fontId="19"/>
  </si>
  <si>
    <t>PremiumSSw</t>
    <phoneticPr fontId="19"/>
  </si>
  <si>
    <t>PremiumSS5R5only</t>
    <phoneticPr fontId="19"/>
  </si>
  <si>
    <t>PremiumSSS</t>
    <phoneticPr fontId="19"/>
  </si>
  <si>
    <t>PremiumSSw</t>
    <phoneticPr fontId="19"/>
  </si>
  <si>
    <t>PremiumSSw</t>
    <phoneticPr fontId="19"/>
  </si>
  <si>
    <t>PremiumSSS</t>
    <phoneticPr fontId="19"/>
  </si>
  <si>
    <t>PremiumSSS</t>
    <phoneticPr fontId="19"/>
  </si>
  <si>
    <t>↓これが正しい</t>
    <phoneticPr fontId="19"/>
  </si>
  <si>
    <t>old</t>
    <phoneticPr fontId="19"/>
  </si>
  <si>
    <t>秘術の果実 × 3</t>
    <phoneticPr fontId="19"/>
  </si>
  <si>
    <t>秘術の果実 × 1</t>
    <phoneticPr fontId="19"/>
  </si>
  <si>
    <t>491104</t>
    <phoneticPr fontId="19"/>
  </si>
  <si>
    <t>491105</t>
    <phoneticPr fontId="19"/>
  </si>
  <si>
    <t>4911041</t>
    <phoneticPr fontId="19"/>
  </si>
  <si>
    <t>4911051</t>
    <phoneticPr fontId="19"/>
  </si>
  <si>
    <t>tables_491101</t>
    <phoneticPr fontId="19"/>
  </si>
  <si>
    <t>tables_491103</t>
    <phoneticPr fontId="19"/>
  </si>
  <si>
    <t>tables_settle_491103</t>
    <phoneticPr fontId="19"/>
  </si>
  <si>
    <t>tables_491104</t>
    <phoneticPr fontId="19"/>
  </si>
  <si>
    <t>tables_491105</t>
    <phoneticPr fontId="19"/>
  </si>
  <si>
    <t>tables_491100</t>
    <phoneticPr fontId="19"/>
  </si>
  <si>
    <t>tables_491106</t>
    <phoneticPr fontId="19"/>
  </si>
  <si>
    <t>tables_491107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</si>
</sst>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"/>
    <numFmt numFmtId="184" formatCode="0.0000000000000000000%"/>
    <numFmt numFmtId="185" formatCode="0.000000000000000000_ "/>
    <numFmt numFmtId="186" formatCode="0.000000000000%"/>
    <numFmt numFmtId="187" formatCode="0.0000000000000000_ "/>
    <numFmt numFmtId="188" formatCode="0.000_);[Red]\(0.000\)"/>
    <numFmt numFmtId="189" formatCode="0.00000_);[Red]\(0.00000\)"/>
    <numFmt numFmtId="190" formatCode="0.000000000_);[Red]\(0.000000000\)"/>
    <numFmt numFmtId="191" formatCode="0.000000000_ 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0"/>
      <name val="Arial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68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112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51" fillId="4" borderId="1" xfId="0" applyFont="1" applyFill="1" applyBorder="1" applyAlignment="1">
      <alignment vertical="center"/>
    </xf>
    <xf numFmtId="176" fontId="56" fillId="32" borderId="1" xfId="0" applyNumberFormat="1" applyFont="1" applyFill="1" applyBorder="1"/>
    <xf numFmtId="177" fontId="0" fillId="0" borderId="0" xfId="0" applyNumberFormat="1"/>
    <xf numFmtId="180" fontId="0" fillId="4" borderId="1" xfId="0" applyNumberFormat="1" applyFill="1" applyBorder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0" fontId="24" fillId="0" borderId="17" xfId="2" applyFont="1" applyBorder="1" applyAlignment="1">
      <alignment vertical="center"/>
    </xf>
    <xf numFmtId="0" fontId="24" fillId="3" borderId="18" xfId="2" applyFont="1" applyFill="1" applyBorder="1" applyAlignment="1">
      <alignment vertical="center"/>
    </xf>
    <xf numFmtId="0" fontId="57" fillId="0" borderId="1" xfId="0" applyFont="1" applyBorder="1"/>
    <xf numFmtId="187" fontId="0" fillId="0" borderId="0" xfId="0" applyNumberFormat="1"/>
    <xf numFmtId="189" fontId="0" fillId="0" borderId="0" xfId="3575" applyNumberFormat="1" applyFont="1"/>
    <xf numFmtId="0" fontId="0" fillId="0" borderId="0" xfId="0" applyAlignment="1">
      <alignment horizontal="center"/>
    </xf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191" fontId="0" fillId="0" borderId="0" xfId="0" applyNumberFormat="1"/>
    <xf numFmtId="0" fontId="24" fillId="0" borderId="0" xfId="2" applyFont="1" applyBorder="1" applyAlignment="1">
      <alignment vertical="center"/>
    </xf>
    <xf numFmtId="0" fontId="25" fillId="25" borderId="1" xfId="0" applyFont="1" applyFill="1" applyBorder="1" applyAlignment="1">
      <alignment vertical="center"/>
    </xf>
    <xf numFmtId="0" fontId="3" fillId="0" borderId="1" xfId="3036" applyFont="1" applyBorder="1"/>
    <xf numFmtId="1" fontId="24" fillId="0" borderId="0" xfId="2" applyNumberFormat="1" applyFont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externalLink" Target="externalLinks/externalLink1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balance</v>
          </cell>
          <cell r="L1263" t="str">
            <v>バランスタイプ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balance</v>
          </cell>
          <cell r="L1264" t="str">
            <v>バランスタイプ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アウリ(元狛犬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アウリ(元狛犬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8077</v>
          </cell>
          <cell r="B1473" t="str">
            <v>ja</v>
          </cell>
          <cell r="C1473" t="str">
            <v>鄭成功</v>
          </cell>
          <cell r="D1473" t="str">
            <v>ポムポムプリン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blue</v>
          </cell>
          <cell r="I1473">
            <v>5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8078</v>
          </cell>
          <cell r="B1474" t="str">
            <v>ja</v>
          </cell>
          <cell r="C1474" t="str">
            <v>レア６鄭成功</v>
          </cell>
          <cell r="D1474" t="str">
            <v>ポムポムプリン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attack</v>
          </cell>
          <cell r="L1474" t="str">
            <v>攻撃タイプ</v>
          </cell>
          <cell r="M1474" t="str">
            <v>human</v>
          </cell>
        </row>
        <row r="1475">
          <cell r="A1475">
            <v>8079</v>
          </cell>
          <cell r="B1475" t="str">
            <v>ja</v>
          </cell>
          <cell r="C1475" t="str">
            <v>赤鬼</v>
          </cell>
          <cell r="D1475" t="str">
            <v>ポムポムプリン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red</v>
          </cell>
          <cell r="I1475">
            <v>5</v>
          </cell>
          <cell r="J1475" t="str">
            <v>DropWizS</v>
          </cell>
          <cell r="K1475" t="str">
            <v>hp</v>
          </cell>
          <cell r="L1475" t="str">
            <v>体力タイプ</v>
          </cell>
          <cell r="M1475" t="str">
            <v>dragon</v>
          </cell>
        </row>
        <row r="1476">
          <cell r="A1476">
            <v>8080</v>
          </cell>
          <cell r="B1476" t="str">
            <v>ja</v>
          </cell>
          <cell r="C1476" t="str">
            <v>レア６赤鬼</v>
          </cell>
          <cell r="D1476" t="str">
            <v>ポムポムプリン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hp</v>
          </cell>
          <cell r="L1476" t="str">
            <v>体力タイプ</v>
          </cell>
          <cell r="M1476" t="str">
            <v>dragon</v>
          </cell>
        </row>
        <row r="1477">
          <cell r="A1477">
            <v>8095</v>
          </cell>
          <cell r="B1477" t="str">
            <v>ja</v>
          </cell>
          <cell r="C1477" t="str">
            <v>バハムートダック赤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red</v>
          </cell>
          <cell r="I1477">
            <v>6</v>
          </cell>
          <cell r="J1477" t="str">
            <v>Material</v>
          </cell>
          <cell r="K1477" t="str">
            <v>exp</v>
          </cell>
          <cell r="L1477" t="str">
            <v>強化素材タイプ</v>
          </cell>
          <cell r="M1477" t="str">
            <v>unknown</v>
          </cell>
        </row>
        <row r="1478">
          <cell r="A1478">
            <v>8096</v>
          </cell>
          <cell r="B1478" t="str">
            <v>ja</v>
          </cell>
          <cell r="C1478" t="str">
            <v>バハムートダック緑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6</v>
          </cell>
          <cell r="J1478" t="str">
            <v>Material</v>
          </cell>
          <cell r="K1478" t="str">
            <v>exp</v>
          </cell>
          <cell r="L1478" t="str">
            <v>強化素材タイプ</v>
          </cell>
          <cell r="M1478" t="str">
            <v>unknown</v>
          </cell>
        </row>
        <row r="1479">
          <cell r="A1479">
            <v>8097</v>
          </cell>
          <cell r="B1479" t="str">
            <v>ja</v>
          </cell>
          <cell r="C1479" t="str">
            <v>バハムートダック青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blue</v>
          </cell>
          <cell r="I1479">
            <v>6</v>
          </cell>
          <cell r="J1479" t="str">
            <v>Material</v>
          </cell>
          <cell r="K1479" t="str">
            <v>exp</v>
          </cell>
          <cell r="L1479" t="str">
            <v>強化素材タイプ</v>
          </cell>
          <cell r="M1479" t="str">
            <v>unknown</v>
          </cell>
        </row>
        <row r="1480">
          <cell r="A1480">
            <v>8098</v>
          </cell>
          <cell r="B1480" t="str">
            <v>ja</v>
          </cell>
          <cell r="C1480" t="str">
            <v>バハムートダック黄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yellow</v>
          </cell>
          <cell r="I1480">
            <v>6</v>
          </cell>
          <cell r="J1480" t="str">
            <v>Material</v>
          </cell>
          <cell r="K1480" t="str">
            <v>exp</v>
          </cell>
          <cell r="L1480" t="str">
            <v>強化素材タイプ</v>
          </cell>
          <cell r="M1480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4" t="s">
        <v>222</v>
      </c>
      <c r="K40" s="84" t="s">
        <v>196</v>
      </c>
      <c r="M40" s="84" t="s">
        <v>247</v>
      </c>
    </row>
    <row r="41" spans="1:13" x14ac:dyDescent="0.15">
      <c r="J41" s="84" t="s">
        <v>223</v>
      </c>
      <c r="K41" s="84" t="s">
        <v>224</v>
      </c>
      <c r="M41" s="66" t="s">
        <v>191</v>
      </c>
    </row>
    <row r="42" spans="1:13" x14ac:dyDescent="0.15">
      <c r="J42" s="84" t="s">
        <v>225</v>
      </c>
      <c r="K42" s="84" t="s">
        <v>226</v>
      </c>
    </row>
    <row r="43" spans="1:13" x14ac:dyDescent="0.15">
      <c r="J43" s="84" t="s">
        <v>227</v>
      </c>
      <c r="K43" s="84" t="s">
        <v>228</v>
      </c>
    </row>
    <row r="44" spans="1:13" x14ac:dyDescent="0.15">
      <c r="J44" s="84" t="s">
        <v>229</v>
      </c>
      <c r="K44" s="84" t="s">
        <v>230</v>
      </c>
    </row>
    <row r="45" spans="1:13" x14ac:dyDescent="0.15">
      <c r="J45" s="84" t="s">
        <v>231</v>
      </c>
      <c r="K45" s="84" t="s">
        <v>232</v>
      </c>
    </row>
    <row r="46" spans="1:13" x14ac:dyDescent="0.15">
      <c r="J46" s="84" t="s">
        <v>233</v>
      </c>
      <c r="K46" s="84" t="s">
        <v>234</v>
      </c>
    </row>
    <row r="47" spans="1:13" x14ac:dyDescent="0.15">
      <c r="J47" s="84" t="s">
        <v>235</v>
      </c>
      <c r="K47" s="84" t="s">
        <v>239</v>
      </c>
    </row>
    <row r="48" spans="1:13" x14ac:dyDescent="0.15">
      <c r="J48" s="84" t="s">
        <v>236</v>
      </c>
      <c r="K48" s="84" t="s">
        <v>240</v>
      </c>
    </row>
    <row r="49" spans="10:11" x14ac:dyDescent="0.15">
      <c r="J49" s="84" t="s">
        <v>237</v>
      </c>
      <c r="K49" s="84" t="s">
        <v>241</v>
      </c>
    </row>
    <row r="50" spans="10:11" x14ac:dyDescent="0.15">
      <c r="J50" s="84" t="s">
        <v>238</v>
      </c>
      <c r="K50" s="84" t="s">
        <v>242</v>
      </c>
    </row>
    <row r="51" spans="10:11" x14ac:dyDescent="0.15">
      <c r="J51" s="84" t="s">
        <v>244</v>
      </c>
      <c r="K51" s="84" t="s">
        <v>243</v>
      </c>
    </row>
    <row r="52" spans="10:11" x14ac:dyDescent="0.15">
      <c r="J52" s="84" t="s">
        <v>245</v>
      </c>
      <c r="K52" s="84" t="s">
        <v>246</v>
      </c>
    </row>
    <row r="53" spans="10:11" x14ac:dyDescent="0.15">
      <c r="J53" s="84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2"/>
  <sheetViews>
    <sheetView workbookViewId="0">
      <selection activeCell="E14" sqref="E1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33.1992187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09" t="s">
        <v>284</v>
      </c>
      <c r="B2" s="61" t="s">
        <v>116</v>
      </c>
      <c r="C2" s="50" t="str">
        <f t="shared" ref="C2" si="0">RIGHT(F2,6)</f>
        <v>491101</v>
      </c>
      <c r="D2" s="19" t="s">
        <v>46</v>
      </c>
      <c r="E2" s="17" t="str">
        <f t="shared" ref="E2" si="1">B2&amp;C2&amp;D2</f>
        <v>gacha_select_tables_491101.tmp</v>
      </c>
      <c r="F2" s="111" t="s">
        <v>291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109" t="s">
        <v>284</v>
      </c>
      <c r="B3" s="61" t="s">
        <v>116</v>
      </c>
      <c r="C3" s="50" t="str">
        <f t="shared" ref="C3:C9" si="2">RIGHT(F3,6)</f>
        <v>491103</v>
      </c>
      <c r="D3" s="19" t="s">
        <v>46</v>
      </c>
      <c r="E3" s="17" t="str">
        <f t="shared" ref="E3:E12" si="3">B3&amp;C3&amp;D3</f>
        <v>gacha_select_tables_491103.tmp</v>
      </c>
      <c r="F3" s="111" t="s">
        <v>292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09" t="s">
        <v>284</v>
      </c>
      <c r="B4" s="78" t="s">
        <v>220</v>
      </c>
      <c r="C4" s="50" t="str">
        <f t="shared" si="2"/>
        <v>491103</v>
      </c>
      <c r="D4" s="19" t="s">
        <v>46</v>
      </c>
      <c r="E4" s="17" t="str">
        <f t="shared" ref="E4:E9" si="4">B4&amp;C4&amp;D4</f>
        <v>gacha_settle_tables_491103.tmp</v>
      </c>
      <c r="F4" s="111" t="s">
        <v>293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109" t="s">
        <v>284</v>
      </c>
      <c r="B5" s="61" t="s">
        <v>116</v>
      </c>
      <c r="C5" s="50" t="str">
        <f t="shared" si="2"/>
        <v>491104</v>
      </c>
      <c r="D5" s="19" t="s">
        <v>46</v>
      </c>
      <c r="E5" s="17" t="str">
        <f t="shared" si="4"/>
        <v>gacha_select_tables_491104.tmp</v>
      </c>
      <c r="F5" s="111" t="s">
        <v>294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109" t="s">
        <v>284</v>
      </c>
      <c r="B6" s="61" t="s">
        <v>116</v>
      </c>
      <c r="C6" s="50" t="str">
        <f t="shared" ref="C6" si="5">RIGHT(F6,6)</f>
        <v>491105</v>
      </c>
      <c r="D6" s="19" t="s">
        <v>46</v>
      </c>
      <c r="E6" s="17" t="str">
        <f t="shared" ref="E6" si="6">B6&amp;C6&amp;D6</f>
        <v>gacha_select_tables_491105.tmp</v>
      </c>
      <c r="F6" s="111" t="s">
        <v>295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109" t="s">
        <v>284</v>
      </c>
      <c r="B7" s="61" t="s">
        <v>116</v>
      </c>
      <c r="C7" s="50" t="str">
        <f t="shared" ref="C7:C8" si="7">RIGHT(F7,6)</f>
        <v>491106</v>
      </c>
      <c r="D7" s="19" t="s">
        <v>46</v>
      </c>
      <c r="E7" s="17" t="str">
        <f t="shared" ref="E7:E8" si="8">B7&amp;C7&amp;D7</f>
        <v>gacha_select_tables_491106.tmp</v>
      </c>
      <c r="F7" s="111" t="s">
        <v>297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109" t="s">
        <v>284</v>
      </c>
      <c r="B8" s="61" t="s">
        <v>116</v>
      </c>
      <c r="C8" s="50" t="str">
        <f t="shared" si="7"/>
        <v>491107</v>
      </c>
      <c r="D8" s="19" t="s">
        <v>46</v>
      </c>
      <c r="E8" s="17" t="str">
        <f t="shared" si="8"/>
        <v>gacha_select_tables_491107.tmp</v>
      </c>
      <c r="F8" s="111" t="s">
        <v>298</v>
      </c>
      <c r="G8" s="49" t="s">
        <v>86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109" t="s">
        <v>284</v>
      </c>
      <c r="B9" s="61" t="s">
        <v>116</v>
      </c>
      <c r="C9" s="50" t="str">
        <f t="shared" si="2"/>
        <v>491100</v>
      </c>
      <c r="D9" s="19" t="s">
        <v>46</v>
      </c>
      <c r="E9" s="17" t="str">
        <f t="shared" si="4"/>
        <v>gacha_select_tables_491100.tmp</v>
      </c>
      <c r="F9" s="111" t="s">
        <v>296</v>
      </c>
      <c r="G9" s="49" t="s">
        <v>86</v>
      </c>
      <c r="H9" s="22" t="s">
        <v>0</v>
      </c>
      <c r="I9" s="22" t="s">
        <v>3</v>
      </c>
      <c r="J9" s="22" t="s">
        <v>4</v>
      </c>
      <c r="K9" s="22" t="s">
        <v>5</v>
      </c>
      <c r="L9" s="22" t="s">
        <v>6</v>
      </c>
      <c r="M9" s="22" t="s">
        <v>7</v>
      </c>
      <c r="N9" s="22" t="s">
        <v>8</v>
      </c>
      <c r="O9" s="22" t="s">
        <v>9</v>
      </c>
    </row>
    <row r="10" spans="1:21" x14ac:dyDescent="0.15">
      <c r="A10" s="109" t="s">
        <v>284</v>
      </c>
      <c r="B10" s="27" t="s">
        <v>51</v>
      </c>
      <c r="C10" s="32">
        <v>491</v>
      </c>
      <c r="D10" s="19" t="s">
        <v>47</v>
      </c>
      <c r="E10" s="17" t="str">
        <f t="shared" si="3"/>
        <v>gacha_bonus_tables_491.tmp</v>
      </c>
      <c r="F10" s="19" t="s">
        <v>48</v>
      </c>
      <c r="G10" s="21" t="s">
        <v>11</v>
      </c>
      <c r="H10" s="23" t="s">
        <v>14</v>
      </c>
      <c r="I10" s="21" t="s">
        <v>12</v>
      </c>
      <c r="J10" s="20"/>
      <c r="K10" s="20"/>
      <c r="L10" s="20"/>
      <c r="M10" s="20"/>
      <c r="N10" s="20"/>
      <c r="O10" s="20"/>
    </row>
    <row r="11" spans="1:21" x14ac:dyDescent="0.15">
      <c r="A11" s="109" t="s">
        <v>284</v>
      </c>
      <c r="B11" s="19" t="s">
        <v>49</v>
      </c>
      <c r="C11" s="32">
        <v>491</v>
      </c>
      <c r="D11" s="19" t="s">
        <v>47</v>
      </c>
      <c r="E11" s="17" t="str">
        <f t="shared" si="3"/>
        <v>gifts_tmp_491.tmp</v>
      </c>
      <c r="F11" s="19" t="s">
        <v>48</v>
      </c>
      <c r="G11" s="23" t="s">
        <v>22</v>
      </c>
      <c r="H11" s="24" t="s">
        <v>30</v>
      </c>
      <c r="I11" s="23" t="s">
        <v>23</v>
      </c>
      <c r="J11" s="23" t="s">
        <v>24</v>
      </c>
      <c r="K11" s="23" t="s">
        <v>24</v>
      </c>
      <c r="L11" s="23" t="s">
        <v>25</v>
      </c>
      <c r="M11" s="23" t="s">
        <v>25</v>
      </c>
      <c r="N11" s="23" t="s">
        <v>25</v>
      </c>
      <c r="O11" s="51" t="s">
        <v>7</v>
      </c>
      <c r="P11" s="51" t="s">
        <v>9</v>
      </c>
      <c r="Q11" s="51" t="s">
        <v>6</v>
      </c>
      <c r="R11" s="51" t="s">
        <v>88</v>
      </c>
      <c r="S11" s="51" t="s">
        <v>8</v>
      </c>
      <c r="T11" s="51" t="s">
        <v>89</v>
      </c>
      <c r="U11" s="51" t="s">
        <v>5</v>
      </c>
    </row>
    <row r="12" spans="1:21" x14ac:dyDescent="0.15">
      <c r="A12" s="109" t="s">
        <v>284</v>
      </c>
      <c r="B12" s="19" t="s">
        <v>50</v>
      </c>
      <c r="C12" s="32">
        <v>491</v>
      </c>
      <c r="D12" s="19" t="s">
        <v>47</v>
      </c>
      <c r="E12" s="17" t="str">
        <f t="shared" si="3"/>
        <v>gifts_i18n_491.tmp</v>
      </c>
      <c r="F12" s="19" t="s">
        <v>48</v>
      </c>
      <c r="G12" s="23" t="s">
        <v>13</v>
      </c>
      <c r="H12" s="25" t="s">
        <v>26</v>
      </c>
      <c r="I12" s="25" t="s">
        <v>27</v>
      </c>
      <c r="J12" s="25" t="s">
        <v>28</v>
      </c>
      <c r="K12" s="25" t="s">
        <v>29</v>
      </c>
      <c r="L12" s="26"/>
      <c r="M12" s="23"/>
      <c r="N12" s="23"/>
      <c r="O12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5"/>
  <sheetViews>
    <sheetView topLeftCell="A17" zoomScale="110" zoomScaleNormal="110" zoomScalePageLayoutView="110" workbookViewId="0">
      <selection activeCell="G63" sqref="G63"/>
    </sheetView>
  </sheetViews>
  <sheetFormatPr baseColWidth="12" defaultRowHeight="14" x14ac:dyDescent="0.15"/>
  <cols>
    <col min="1" max="2" width="24.19921875" bestFit="1" customWidth="1"/>
    <col min="4" max="4" width="43.19921875" bestFit="1" customWidth="1"/>
    <col min="5" max="5" width="22.796875" bestFit="1" customWidth="1"/>
    <col min="6" max="6" width="21.796875" bestFit="1" customWidth="1"/>
    <col min="7" max="7" width="20.796875" bestFit="1" customWidth="1"/>
    <col min="8" max="8" width="19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491101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VLOOKUP(L3,tables_491101!B:C,2,FALSE)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VLOOKUP(L4,tables_491101!B:C,2,FALSE)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(B11-H5)*0.4/(F5-I5)</f>
        <v>4.3478260869565224E-4</v>
      </c>
      <c r="F5">
        <f>(COUNTIF(tables_491101!C:C,input_491101!A28)+COUNTIF(tables_491101!C:C,input_491101!A29))</f>
        <v>46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VLOOKUP(L5,tables_491101!B:C,2,FALSE)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249</v>
      </c>
      <c r="E6" s="77">
        <f>(B11-H5)*0.6/(F6-I5)</f>
        <v>1.764705882352941E-3</v>
      </c>
      <c r="F6">
        <f>(COUNTIF(tables_491101!C:C,input_491101!A43)+COUNTIF(tables_491101!C:C,input_491101!A44))</f>
        <v>17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VLOOKUP(L6,tables_491101!B:C,2,FALSE)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5.3352112676056341E-3</v>
      </c>
      <c r="F7">
        <f>(COUNTIF(tables_491101!C:C,input_491101!A25)+COUNTIF(tables_491101!C:C,input_491101!A18)+COUNTIF(tables_491101!C:C,input_491101!A20)+COUNTIF(tables_491101!C:C,input_491101!A22))</f>
        <v>71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VLOOKUP(L7,tables_491101!B:C,2,FALSE)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2.5827272727272723E-2</v>
      </c>
      <c r="F8">
        <f>(COUNTIF(tables_491101!C:C,input_491101!A40)+COUNTIF(tables_491101!C:C,input_491101!A33)+COUNTIF(tables_491101!C:C,input_491101!A35)+COUNTIF(tables_491101!C:C,input_491101!A37))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VLOOKUP(L8,tables_491101!B:C,2,FALSE)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VLOOKUP(L9,tables_491101!B:C,2,FALSE)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0.94699999999999995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VLOOKUP(L10,tables_491101!B:C,2,FALSE)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89">
        <f>5%</f>
        <v>0.05</v>
      </c>
      <c r="C11" t="s">
        <v>272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VLOOKUP(L11,tables_491101!B:C,2,FALSE)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3.0000000000000001E-3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VLOOKUP(L12,tables_491101!B:C,2,FALSE)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VLOOKUP(L13,tables_491101!B:C,2,FALSE)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VLOOKUP(L14,tables_491101!B:C,2,FALSE)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VLOOKUP(L15,tables_491101!B:C,2,FALSE)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VLOOKUP(L16,tables_491101!B:C,2,FALSE)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1">
        <f>B$5*0.4-B19-B24</f>
        <v>8.7960563380281687E-2</v>
      </c>
      <c r="C17" s="86">
        <f t="shared" ref="C17:C46" si="2">SUMIF(Q:Q,A17,N:N)</f>
        <v>0</v>
      </c>
      <c r="D17" s="75">
        <f t="shared" ref="D17:D26" si="3">B17-C17</f>
        <v>8.7960563380281687E-2</v>
      </c>
      <c r="E17">
        <f>COUNTIF(tables_491101!C:C,input_491101!A17)-COUNTIF(Q:Q,A17)</f>
        <v>15</v>
      </c>
      <c r="F17" s="43">
        <f>IFERROR(B17/E17,0)</f>
        <v>5.8640375586854459E-3</v>
      </c>
      <c r="G17">
        <f t="shared" ref="G17:G46" si="4">A$51*B17</f>
        <v>1149116.8</v>
      </c>
      <c r="H17">
        <f t="shared" ref="H17:H26" si="5">IFERROR(ROUND(G17/E17,5),0)</f>
        <v>76607.786670000001</v>
      </c>
      <c r="I17">
        <f t="shared" ref="I17:I31" si="6">MOD(H17,1)</f>
        <v>0.78667000000132248</v>
      </c>
      <c r="J17">
        <f t="shared" ref="J17:J26" si="7">IFERROR(1/I17,1)</f>
        <v>1.2711810543154294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VLOOKUP(L17,tables_491101!B:C,2,FALSE)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E$7*E18-B17+0.01</f>
        <v>2.0676056338028211E-3</v>
      </c>
      <c r="C18" s="86">
        <f t="shared" si="2"/>
        <v>0</v>
      </c>
      <c r="D18" s="75">
        <f t="shared" si="3"/>
        <v>2.0676056338028211E-3</v>
      </c>
      <c r="E18">
        <f>COUNTIF(tables_491101!C:C,input_491101!A18)-COUNTIF(Q:Q,A18)</f>
        <v>15</v>
      </c>
      <c r="F18" s="43">
        <f>IFERROR(B18/E18,0)</f>
        <v>1.3784037558685474E-4</v>
      </c>
      <c r="G18">
        <f t="shared" si="4"/>
        <v>27011.200000000055</v>
      </c>
      <c r="H18">
        <f t="shared" si="5"/>
        <v>1800.74667</v>
      </c>
      <c r="I18">
        <f t="shared" si="6"/>
        <v>0.74666999999999462</v>
      </c>
      <c r="J18">
        <f t="shared" si="7"/>
        <v>1.3392797353583339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VLOOKUP(L18,tables_491101!B:C,2,FALSE)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0.10403661971830987</v>
      </c>
      <c r="C19" s="86">
        <f t="shared" si="2"/>
        <v>0</v>
      </c>
      <c r="D19" s="75">
        <f t="shared" si="3"/>
        <v>0.10403661971830987</v>
      </c>
      <c r="E19">
        <f>COUNTIF(tables_491101!C:C,input_491101!A19)-COUNTIF(Q:Q,A19)</f>
        <v>39</v>
      </c>
      <c r="F19" s="43">
        <f t="shared" ref="F19:F31" si="8">IFERROR(B19/E19,0)</f>
        <v>2.6676056338028171E-3</v>
      </c>
      <c r="G19">
        <f t="shared" si="4"/>
        <v>1359134.4000000001</v>
      </c>
      <c r="H19">
        <f t="shared" si="5"/>
        <v>34849.599999999999</v>
      </c>
      <c r="I19">
        <f t="shared" si="6"/>
        <v>0.59999999999854481</v>
      </c>
      <c r="J19">
        <f t="shared" si="7"/>
        <v>1.6666666666707088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VLOOKUP(L19,tables_491101!B:C,2,FALSE)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1">
        <f>E$7*E20*B$6+F49-0.03+0.01-G64</f>
        <v>7.3632957744526953E-2</v>
      </c>
      <c r="C20" s="86">
        <f t="shared" si="2"/>
        <v>0</v>
      </c>
      <c r="D20" s="75">
        <f t="shared" si="3"/>
        <v>7.3632957744526953E-2</v>
      </c>
      <c r="E20">
        <f>COUNTIF(tables_491101!C:C,input_491101!A20)-COUNTIF(Q:Q,A20)</f>
        <v>39</v>
      </c>
      <c r="F20" s="43">
        <f t="shared" si="8"/>
        <v>1.8880245575519732E-3</v>
      </c>
      <c r="G20">
        <f t="shared" si="4"/>
        <v>961940.95997450012</v>
      </c>
      <c r="H20">
        <f t="shared" si="5"/>
        <v>24665.152819999999</v>
      </c>
      <c r="I20">
        <f t="shared" si="6"/>
        <v>0.1528199999993376</v>
      </c>
      <c r="J20">
        <f t="shared" si="7"/>
        <v>6.5436461196462146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VLOOKUP(L20,tables_491101!B:C,2,FALSE)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4.0366197183098682E-4</v>
      </c>
      <c r="C21" s="86">
        <f t="shared" si="2"/>
        <v>0</v>
      </c>
      <c r="D21" s="75">
        <f t="shared" si="3"/>
        <v>4.0366197183098682E-4</v>
      </c>
      <c r="E21">
        <f>COUNTIF(tables_491101!C:C,input_491101!A21)-COUNTIF(Q:Q,A21)</f>
        <v>39</v>
      </c>
      <c r="F21" s="43">
        <f t="shared" si="8"/>
        <v>1.0350306970025304E-5</v>
      </c>
      <c r="G21">
        <f t="shared" si="4"/>
        <v>5273.4400000000114</v>
      </c>
      <c r="H21">
        <f t="shared" si="5"/>
        <v>135.21641</v>
      </c>
      <c r="I21">
        <f t="shared" si="6"/>
        <v>0.21640999999999622</v>
      </c>
      <c r="J21">
        <f t="shared" si="7"/>
        <v>4.6208585555196962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9.1091267605633908E-2</v>
      </c>
      <c r="C22" s="86">
        <f t="shared" si="2"/>
        <v>0</v>
      </c>
      <c r="D22" s="75">
        <f t="shared" si="3"/>
        <v>9.1091267605633908E-2</v>
      </c>
      <c r="E22">
        <f>COUNTIF(tables_491101!C:C,input_491101!A22)-COUNTIF(Q:Q,A22)</f>
        <v>14</v>
      </c>
      <c r="F22" s="43">
        <f t="shared" si="8"/>
        <v>6.5065191146881363E-3</v>
      </c>
      <c r="G22">
        <f t="shared" si="4"/>
        <v>1190016.3200000015</v>
      </c>
      <c r="H22">
        <f t="shared" si="5"/>
        <v>85001.165710000001</v>
      </c>
      <c r="I22">
        <f t="shared" si="6"/>
        <v>0.1657100000011269</v>
      </c>
      <c r="J22">
        <f t="shared" si="7"/>
        <v>6.0346388268251738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4.8016901408450708E-3</v>
      </c>
      <c r="C23" s="86">
        <f t="shared" si="2"/>
        <v>0</v>
      </c>
      <c r="D23" s="75">
        <f t="shared" si="3"/>
        <v>4.8016901408450708E-3</v>
      </c>
      <c r="E23">
        <f>COUNTIF(tables_491101!C:C,input_491101!A23)-COUNTIF(Q:Q,A23)</f>
        <v>18</v>
      </c>
      <c r="F23" s="43">
        <f t="shared" si="8"/>
        <v>2.6676056338028172E-4</v>
      </c>
      <c r="G23">
        <f t="shared" si="4"/>
        <v>62729.280000000006</v>
      </c>
      <c r="H23">
        <f t="shared" si="5"/>
        <v>3484.96</v>
      </c>
      <c r="I23">
        <f t="shared" si="6"/>
        <v>0.96000000000003638</v>
      </c>
      <c r="J23">
        <f t="shared" si="7"/>
        <v>1.0416666666666272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8.0028169014084508E-3</v>
      </c>
      <c r="C24" s="86">
        <f t="shared" si="2"/>
        <v>0</v>
      </c>
      <c r="D24" s="75">
        <f t="shared" si="3"/>
        <v>8.0028169014084508E-3</v>
      </c>
      <c r="E24">
        <f>COUNTIF(tables_491101!C:C,input_491101!A24)-COUNTIF(Q:Q,A24)</f>
        <v>3</v>
      </c>
      <c r="F24" s="43">
        <f t="shared" si="8"/>
        <v>2.6676056338028171E-3</v>
      </c>
      <c r="G24">
        <f t="shared" si="4"/>
        <v>104548.8</v>
      </c>
      <c r="H24">
        <f t="shared" si="5"/>
        <v>34849.599999999999</v>
      </c>
      <c r="I24">
        <f t="shared" si="6"/>
        <v>0.59999999999854481</v>
      </c>
      <c r="J24">
        <f t="shared" si="7"/>
        <v>1.6666666666707088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7.2025352112676062E-3</v>
      </c>
      <c r="C25" s="86">
        <f t="shared" si="2"/>
        <v>0</v>
      </c>
      <c r="D25" s="75">
        <f t="shared" si="3"/>
        <v>7.2025352112676062E-3</v>
      </c>
      <c r="E25">
        <f>COUNTIF(tables_491101!C:C,input_491101!A25)-COUNTIF(Q:Q,A25)</f>
        <v>3</v>
      </c>
      <c r="F25" s="43">
        <f t="shared" si="8"/>
        <v>2.4008450704225354E-3</v>
      </c>
      <c r="G25">
        <f t="shared" si="4"/>
        <v>94093.920000000013</v>
      </c>
      <c r="H25">
        <f t="shared" si="5"/>
        <v>31364.639999999999</v>
      </c>
      <c r="I25">
        <f t="shared" si="6"/>
        <v>0.63999999999941792</v>
      </c>
      <c r="J25">
        <f t="shared" si="7"/>
        <v>1.5625000000014211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57" t="s">
        <v>201</v>
      </c>
      <c r="B26" s="56">
        <f>E$7*B$7*E26</f>
        <v>8.0028169014084521E-4</v>
      </c>
      <c r="C26" s="86">
        <f t="shared" si="2"/>
        <v>0</v>
      </c>
      <c r="D26" s="75">
        <f t="shared" si="3"/>
        <v>8.0028169014084521E-4</v>
      </c>
      <c r="E26">
        <f>COUNTIF(tables_491101!C:C,input_491101!A26)-COUNTIF(Q:Q,A26)</f>
        <v>3</v>
      </c>
      <c r="F26" s="43">
        <f t="shared" si="8"/>
        <v>2.6676056338028172E-4</v>
      </c>
      <c r="G26">
        <f t="shared" si="4"/>
        <v>10454.880000000001</v>
      </c>
      <c r="H26">
        <f t="shared" si="5"/>
        <v>3484.96</v>
      </c>
      <c r="I26">
        <f t="shared" si="6"/>
        <v>0.96000000000003638</v>
      </c>
      <c r="J26">
        <f t="shared" si="7"/>
        <v>1.0416666666666272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57" t="s">
        <v>109</v>
      </c>
      <c r="B27" s="56">
        <f>E$5*E27*(B$5+B$6)+G64</f>
        <v>8.6739130454301858E-3</v>
      </c>
      <c r="C27" s="86">
        <f t="shared" si="2"/>
        <v>0</v>
      </c>
      <c r="D27" s="75">
        <f t="shared" ref="D27:D29" si="9">B27-C27</f>
        <v>8.6739130454301858E-3</v>
      </c>
      <c r="E27">
        <f>COUNTIF(tables_491101!C:C,input_491101!A27)-COUNTIF(Q:Q,A27)</f>
        <v>21</v>
      </c>
      <c r="F27" s="43">
        <f>IFERROR(B27/E27,0)</f>
        <v>4.1304347835381834E-4</v>
      </c>
      <c r="G27">
        <f t="shared" si="4"/>
        <v>113316.00002549995</v>
      </c>
      <c r="H27">
        <f t="shared" ref="H27:H29" si="10">IFERROR(ROUND(G27/E27,5),0)</f>
        <v>5396</v>
      </c>
      <c r="I27">
        <f t="shared" si="6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57" t="s">
        <v>110</v>
      </c>
      <c r="B28" s="56">
        <f>E$5*E28*B$7+G65</f>
        <v>4.5652173913043485E-4</v>
      </c>
      <c r="C28" s="86">
        <f t="shared" si="2"/>
        <v>0</v>
      </c>
      <c r="D28" s="75">
        <f t="shared" si="9"/>
        <v>4.5652173913043485E-4</v>
      </c>
      <c r="E28">
        <f>COUNTIF(tables_491101!C:C,input_491101!A28)-COUNTIF(Q:Q,A28)</f>
        <v>21</v>
      </c>
      <c r="F28" s="43">
        <f t="shared" si="8"/>
        <v>2.1739130434782614E-5</v>
      </c>
      <c r="G28">
        <f t="shared" si="4"/>
        <v>5964.0000000000009</v>
      </c>
      <c r="H28">
        <f t="shared" si="10"/>
        <v>284</v>
      </c>
      <c r="I28">
        <f t="shared" si="6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57" t="s">
        <v>277</v>
      </c>
      <c r="B29" s="56">
        <f>E$5*E29-F49</f>
        <v>1.0869565217391306E-2</v>
      </c>
      <c r="C29" s="86">
        <f t="shared" si="2"/>
        <v>0</v>
      </c>
      <c r="D29" s="75">
        <f t="shared" si="9"/>
        <v>1.0869565217391306E-2</v>
      </c>
      <c r="E29">
        <f>COUNTIF(tables_491101!C:C,input_491101!A29)-COUNTIF(Q:Q,A29)</f>
        <v>25</v>
      </c>
      <c r="F29" s="43">
        <f t="shared" si="8"/>
        <v>4.3478260869565224E-4</v>
      </c>
      <c r="G29">
        <f t="shared" si="4"/>
        <v>142000.00000000003</v>
      </c>
      <c r="H29">
        <f t="shared" si="10"/>
        <v>5680</v>
      </c>
      <c r="I29">
        <f t="shared" si="6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57" t="s">
        <v>266</v>
      </c>
      <c r="B30" s="56">
        <v>0</v>
      </c>
      <c r="C30" s="86">
        <f t="shared" si="2"/>
        <v>0</v>
      </c>
      <c r="D30" s="75">
        <f t="shared" ref="D30:D44" si="12">B30-C30</f>
        <v>0</v>
      </c>
      <c r="E30">
        <f>COUNTIF(tables_491101!C:C,input_491101!A30)-COUNTIF(Q:Q,A30)</f>
        <v>0</v>
      </c>
      <c r="F30" s="43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57" t="s">
        <v>267</v>
      </c>
      <c r="B31" s="56">
        <v>0</v>
      </c>
      <c r="C31" s="86">
        <f t="shared" si="2"/>
        <v>0</v>
      </c>
      <c r="D31" s="75">
        <f t="shared" si="12"/>
        <v>0</v>
      </c>
      <c r="E31">
        <f>COUNTIF(tables_491101!C:C,input_491101!A31)-COUNTIF(Q:Q,A31)</f>
        <v>0</v>
      </c>
      <c r="F31" s="43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57" t="s">
        <v>252</v>
      </c>
      <c r="B32" s="91">
        <f>B$5*0.6-B34-B39</f>
        <v>0.11920909090909092</v>
      </c>
      <c r="C32" s="86">
        <f t="shared" si="2"/>
        <v>0</v>
      </c>
      <c r="D32" s="75">
        <f t="shared" si="12"/>
        <v>0.11920909090909092</v>
      </c>
      <c r="E32">
        <f>COUNTIF(tables_491101!C:C,input_491101!A32)-COUNTIF(Q:Q,A32)</f>
        <v>5</v>
      </c>
      <c r="F32" s="43">
        <f>IFERROR(B32/E32,0)</f>
        <v>2.3841818181818183E-2</v>
      </c>
      <c r="G32">
        <f t="shared" si="4"/>
        <v>1557347.5636363637</v>
      </c>
      <c r="H32">
        <f t="shared" si="13"/>
        <v>311469.51273000002</v>
      </c>
      <c r="I32">
        <f t="shared" ref="I32:I46" si="15">MOD(H32,1)</f>
        <v>0.51273000001674518</v>
      </c>
      <c r="J32">
        <f t="shared" si="14"/>
        <v>1.9503442356939151</v>
      </c>
      <c r="M32" s="37"/>
      <c r="N32" s="63"/>
      <c r="O32" s="37"/>
      <c r="P32" s="37"/>
      <c r="Q32" s="37"/>
      <c r="R32" s="62"/>
    </row>
    <row r="33" spans="1:18" x14ac:dyDescent="0.15">
      <c r="A33" s="57" t="s">
        <v>253</v>
      </c>
      <c r="B33" s="56">
        <f>E$8*E33-B32+0.02</f>
        <v>2.9927272727272688E-2</v>
      </c>
      <c r="C33" s="86">
        <f t="shared" si="2"/>
        <v>0</v>
      </c>
      <c r="D33" s="75">
        <f t="shared" si="12"/>
        <v>2.9927272727272688E-2</v>
      </c>
      <c r="E33">
        <f>COUNTIF(tables_491101!C:C,input_491101!A33)-COUNTIF(Q:Q,A33)</f>
        <v>5</v>
      </c>
      <c r="F33" s="43">
        <f>IFERROR(B33/E33,0)</f>
        <v>5.9854545454545377E-3</v>
      </c>
      <c r="G33">
        <f t="shared" si="4"/>
        <v>390969.89090909041</v>
      </c>
      <c r="H33">
        <f t="shared" si="13"/>
        <v>78193.978180000006</v>
      </c>
      <c r="I33">
        <f t="shared" si="15"/>
        <v>0.97818000000552274</v>
      </c>
      <c r="J33">
        <f t="shared" si="14"/>
        <v>1.0223067329063711</v>
      </c>
      <c r="M33" s="37"/>
      <c r="N33" s="63"/>
      <c r="O33" s="37"/>
      <c r="P33" s="37"/>
      <c r="Q33" s="37"/>
      <c r="R33" s="62"/>
    </row>
    <row r="34" spans="1:18" x14ac:dyDescent="0.15">
      <c r="A34" s="57" t="s">
        <v>254</v>
      </c>
      <c r="B34" s="83">
        <f>E$8*E34*B$5</f>
        <v>0.16787727272727271</v>
      </c>
      <c r="C34" s="86">
        <f t="shared" si="2"/>
        <v>0</v>
      </c>
      <c r="D34" s="75">
        <f t="shared" si="12"/>
        <v>0.16787727272727271</v>
      </c>
      <c r="E34">
        <f>COUNTIF(tables_491101!C:C,input_491101!A34)-COUNTIF(Q:Q,A34)</f>
        <v>13</v>
      </c>
      <c r="F34" s="43">
        <f t="shared" ref="F34:F41" si="16">IFERROR(B34/E34,0)</f>
        <v>1.2913636363636362E-2</v>
      </c>
      <c r="G34">
        <f t="shared" si="4"/>
        <v>2193148.6909090905</v>
      </c>
      <c r="H34">
        <f t="shared" si="13"/>
        <v>168703.74544999999</v>
      </c>
      <c r="I34">
        <f t="shared" si="15"/>
        <v>0.74544999998761341</v>
      </c>
      <c r="J34">
        <f t="shared" si="14"/>
        <v>1.3414715943612801</v>
      </c>
      <c r="M34" s="37"/>
      <c r="N34" s="63"/>
      <c r="O34" s="37"/>
      <c r="P34" s="37"/>
      <c r="Q34" s="37"/>
      <c r="R34" s="62"/>
    </row>
    <row r="35" spans="1:18" x14ac:dyDescent="0.15">
      <c r="A35" s="57" t="s">
        <v>251</v>
      </c>
      <c r="B35" s="56">
        <f>E$8*E35*B$6+E49</f>
        <v>0.16422188119398207</v>
      </c>
      <c r="C35" s="86">
        <f t="shared" si="2"/>
        <v>0</v>
      </c>
      <c r="D35" s="75">
        <f t="shared" si="12"/>
        <v>0.16422188119398207</v>
      </c>
      <c r="E35">
        <f>COUNTIF(tables_491101!C:C,input_491101!A35)-COUNTIF(Q:Q,A35)</f>
        <v>13</v>
      </c>
      <c r="F35" s="43">
        <f t="shared" si="16"/>
        <v>1.2632452399537083E-2</v>
      </c>
      <c r="G35">
        <f t="shared" si="4"/>
        <v>2145394.6559181819</v>
      </c>
      <c r="H35">
        <f t="shared" si="13"/>
        <v>165030.35814999999</v>
      </c>
      <c r="I35">
        <f t="shared" si="15"/>
        <v>0.35814999998547137</v>
      </c>
      <c r="J35">
        <f t="shared" si="14"/>
        <v>2.7921262042176904</v>
      </c>
      <c r="M35" s="37"/>
      <c r="N35" s="63"/>
      <c r="O35" s="37"/>
      <c r="P35" s="37"/>
      <c r="Q35" s="37"/>
      <c r="R35" s="62"/>
    </row>
    <row r="36" spans="1:18" x14ac:dyDescent="0.15">
      <c r="A36" s="57" t="s">
        <v>255</v>
      </c>
      <c r="B36" s="56">
        <f>E$8*E36*B$7-E49</f>
        <v>3.655391533290666E-3</v>
      </c>
      <c r="C36" s="86">
        <f t="shared" si="2"/>
        <v>0</v>
      </c>
      <c r="D36" s="75">
        <f t="shared" si="12"/>
        <v>3.655391533290666E-3</v>
      </c>
      <c r="E36">
        <f>COUNTIF(tables_491101!C:C,input_491101!A36)-COUNTIF(Q:Q,A36)</f>
        <v>13</v>
      </c>
      <c r="F36" s="43">
        <f t="shared" si="16"/>
        <v>2.8118396409928202E-4</v>
      </c>
      <c r="G36">
        <f t="shared" si="4"/>
        <v>47754.034990909262</v>
      </c>
      <c r="H36">
        <f t="shared" si="13"/>
        <v>3673.3873100000001</v>
      </c>
      <c r="I36">
        <f t="shared" si="15"/>
        <v>0.38731000000007043</v>
      </c>
      <c r="J36">
        <f t="shared" si="14"/>
        <v>2.5819111306184146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57" t="s">
        <v>256</v>
      </c>
      <c r="B37" s="76">
        <f>E$8*E37-B38-C50</f>
        <v>4.982499999999989E-2</v>
      </c>
      <c r="C37" s="86">
        <f t="shared" si="2"/>
        <v>0</v>
      </c>
      <c r="D37" s="75">
        <f t="shared" si="12"/>
        <v>4.982499999999989E-2</v>
      </c>
      <c r="E37">
        <f>COUNTIF(tables_491101!C:C,input_491101!A37)-COUNTIF(Q:Q,A37)</f>
        <v>3</v>
      </c>
      <c r="F37" s="43">
        <f t="shared" si="16"/>
        <v>1.6608333333333298E-2</v>
      </c>
      <c r="G37">
        <f t="shared" si="4"/>
        <v>650913.79999999853</v>
      </c>
      <c r="H37">
        <f t="shared" si="13"/>
        <v>216971.26667000001</v>
      </c>
      <c r="I37">
        <f t="shared" si="15"/>
        <v>0.26667000001179986</v>
      </c>
      <c r="J37">
        <f t="shared" si="14"/>
        <v>3.7499531254199989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57" t="s">
        <v>257</v>
      </c>
      <c r="B38" s="70">
        <f>E38*E8*B7</f>
        <v>6.4568181818181808E-3</v>
      </c>
      <c r="C38" s="86">
        <f t="shared" si="2"/>
        <v>0</v>
      </c>
      <c r="D38" s="75">
        <f t="shared" si="12"/>
        <v>6.4568181818181808E-3</v>
      </c>
      <c r="E38">
        <f>COUNTIF(tables_491101!C:C,input_491101!A38)-COUNTIF(Q:Q,A38)</f>
        <v>5</v>
      </c>
      <c r="F38" s="43">
        <f t="shared" si="16"/>
        <v>1.2913636363636361E-3</v>
      </c>
      <c r="G38">
        <f t="shared" si="4"/>
        <v>84351.872727272712</v>
      </c>
      <c r="H38">
        <f t="shared" si="13"/>
        <v>16870.37455</v>
      </c>
      <c r="I38">
        <f t="shared" si="15"/>
        <v>0.37455000000045402</v>
      </c>
      <c r="J38">
        <f t="shared" si="14"/>
        <v>2.6698705112769665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57" t="s">
        <v>258</v>
      </c>
      <c r="B39" s="56">
        <f>E$8*E39*B$5</f>
        <v>1.2913636363636362E-2</v>
      </c>
      <c r="C39" s="86">
        <f t="shared" si="2"/>
        <v>0</v>
      </c>
      <c r="D39" s="75">
        <f t="shared" si="12"/>
        <v>1.2913636363636362E-2</v>
      </c>
      <c r="E39">
        <f>COUNTIF(tables_491101!C:C,input_491101!A39)-COUNTIF(Q:Q,A39)</f>
        <v>1</v>
      </c>
      <c r="F39" s="43">
        <f t="shared" si="16"/>
        <v>1.2913636363636362E-2</v>
      </c>
      <c r="G39">
        <f t="shared" si="4"/>
        <v>168703.74545454542</v>
      </c>
      <c r="H39">
        <f t="shared" si="13"/>
        <v>168703.74544999999</v>
      </c>
      <c r="I39">
        <f t="shared" si="15"/>
        <v>0.74544999998761341</v>
      </c>
      <c r="J39">
        <f t="shared" si="14"/>
        <v>1.3414715943612801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57" t="s">
        <v>259</v>
      </c>
      <c r="B40" s="56">
        <f>E$8*B$6*E40</f>
        <v>1.1622272727272726E-2</v>
      </c>
      <c r="C40" s="86">
        <f t="shared" si="2"/>
        <v>0</v>
      </c>
      <c r="D40" s="75">
        <f t="shared" si="12"/>
        <v>1.1622272727272726E-2</v>
      </c>
      <c r="E40">
        <f>COUNTIF(tables_491101!C:C,input_491101!A40)-COUNTIF(Q:Q,A40)</f>
        <v>1</v>
      </c>
      <c r="F40" s="43">
        <f t="shared" si="16"/>
        <v>1.1622272727272726E-2</v>
      </c>
      <c r="G40">
        <f t="shared" si="4"/>
        <v>151833.37090909088</v>
      </c>
      <c r="H40">
        <f t="shared" si="13"/>
        <v>151833.37091</v>
      </c>
      <c r="I40">
        <f t="shared" si="15"/>
        <v>0.37090999999782071</v>
      </c>
      <c r="J40">
        <f t="shared" si="14"/>
        <v>2.6960718233692149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57" t="s">
        <v>260</v>
      </c>
      <c r="B41" s="56">
        <f>E$8*B$7*E41</f>
        <v>1.2913636363636363E-3</v>
      </c>
      <c r="C41" s="86">
        <f t="shared" si="2"/>
        <v>0</v>
      </c>
      <c r="D41" s="75">
        <f t="shared" si="12"/>
        <v>1.2913636363636363E-3</v>
      </c>
      <c r="E41">
        <f>COUNTIF(tables_491101!C:C,input_491101!A41)-COUNTIF(Q:Q,A41)</f>
        <v>1</v>
      </c>
      <c r="F41" s="43">
        <f t="shared" si="16"/>
        <v>1.2913636363636363E-3</v>
      </c>
      <c r="G41">
        <f t="shared" si="4"/>
        <v>16870.374545454546</v>
      </c>
      <c r="H41">
        <f t="shared" si="13"/>
        <v>16870.37455</v>
      </c>
      <c r="I41">
        <f t="shared" si="15"/>
        <v>0.37455000000045402</v>
      </c>
      <c r="J41">
        <f t="shared" si="14"/>
        <v>2.6698705112769665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57" t="s">
        <v>261</v>
      </c>
      <c r="B42" s="56">
        <f>E$6*E42*(B$5+B$6)</f>
        <v>1.1735294117647057E-2</v>
      </c>
      <c r="C42" s="86">
        <f t="shared" si="2"/>
        <v>0</v>
      </c>
      <c r="D42" s="75">
        <f t="shared" si="12"/>
        <v>1.1735294117647057E-2</v>
      </c>
      <c r="E42">
        <f>COUNTIF(tables_491101!C:C,input_491101!A42)-COUNTIF(Q:Q,A42)</f>
        <v>7</v>
      </c>
      <c r="F42" s="43">
        <f>IFERROR(B42/E42,0)</f>
        <v>1.6764705882352938E-3</v>
      </c>
      <c r="G42">
        <f t="shared" si="4"/>
        <v>153309.88235294115</v>
      </c>
      <c r="H42">
        <f t="shared" si="13"/>
        <v>21901.411759999999</v>
      </c>
      <c r="I42">
        <f t="shared" si="15"/>
        <v>0.41175999999904889</v>
      </c>
      <c r="J42">
        <f t="shared" si="14"/>
        <v>2.4285991839962837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57" t="s">
        <v>262</v>
      </c>
      <c r="B43" s="56">
        <f>E$6*E43*B$7</f>
        <v>6.1764705882352941E-4</v>
      </c>
      <c r="C43" s="86">
        <f t="shared" si="2"/>
        <v>0</v>
      </c>
      <c r="D43" s="75">
        <f t="shared" si="12"/>
        <v>6.1764705882352941E-4</v>
      </c>
      <c r="E43">
        <f>COUNTIF(tables_491101!C:C,input_491101!A43)-COUNTIF(Q:Q,A43)</f>
        <v>7</v>
      </c>
      <c r="F43" s="43">
        <f t="shared" ref="F43:F46" si="17">IFERROR(B43/E43,0)</f>
        <v>8.8235294117647065E-5</v>
      </c>
      <c r="G43">
        <f t="shared" si="4"/>
        <v>8068.9411764705883</v>
      </c>
      <c r="H43">
        <f t="shared" si="13"/>
        <v>1152.70588</v>
      </c>
      <c r="I43">
        <f t="shared" si="15"/>
        <v>0.70587999999997919</v>
      </c>
      <c r="J43">
        <f t="shared" si="14"/>
        <v>1.4166713889046714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57" t="s">
        <v>263</v>
      </c>
      <c r="B44" s="56">
        <f>E$6*E44</f>
        <v>1.7647058823529412E-2</v>
      </c>
      <c r="C44" s="86">
        <f t="shared" si="2"/>
        <v>0</v>
      </c>
      <c r="D44" s="75">
        <f t="shared" si="12"/>
        <v>1.7647058823529412E-2</v>
      </c>
      <c r="E44">
        <f>COUNTIF(tables_491101!C:C,input_491101!A44)-COUNTIF(Q:Q,A44)</f>
        <v>10</v>
      </c>
      <c r="F44" s="43">
        <f t="shared" si="17"/>
        <v>1.7647058823529412E-3</v>
      </c>
      <c r="G44">
        <f t="shared" si="4"/>
        <v>230541.17647058822</v>
      </c>
      <c r="H44">
        <f t="shared" si="13"/>
        <v>23054.11765</v>
      </c>
      <c r="I44">
        <f t="shared" si="15"/>
        <v>0.1176500000001397</v>
      </c>
      <c r="J44">
        <f t="shared" si="14"/>
        <v>8.4997875053022742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57" t="s">
        <v>264</v>
      </c>
      <c r="B45" s="56">
        <v>0</v>
      </c>
      <c r="C45" s="86">
        <f t="shared" si="2"/>
        <v>0</v>
      </c>
      <c r="D45" s="75">
        <f t="shared" ref="D45:D46" si="18">B45-C45</f>
        <v>0</v>
      </c>
      <c r="E45">
        <f>COUNTIF(tables_491101!C:C,input_491101!A45)-COUNTIF(Q:Q,A45)</f>
        <v>0</v>
      </c>
      <c r="F45" s="43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3.0000000000000001E-3</v>
      </c>
      <c r="C46" s="86">
        <f t="shared" si="2"/>
        <v>0</v>
      </c>
      <c r="D46" s="75">
        <f t="shared" si="18"/>
        <v>3.0000000000000001E-3</v>
      </c>
      <c r="E46">
        <f>COUNTIF(tables_491101!C:C,input_491101!A46)-COUNTIF(Q:Q,A46)</f>
        <v>1</v>
      </c>
      <c r="F46" s="43">
        <f t="shared" si="17"/>
        <v>3.0000000000000001E-3</v>
      </c>
      <c r="G46">
        <f t="shared" si="4"/>
        <v>39192</v>
      </c>
      <c r="H46">
        <f t="shared" si="19"/>
        <v>39192</v>
      </c>
      <c r="I46">
        <f t="shared" si="15"/>
        <v>0</v>
      </c>
      <c r="J46">
        <f t="shared" si="20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ref="D47" si="21">B47-C47</f>
        <v>1</v>
      </c>
      <c r="L47" s="57"/>
      <c r="M47" s="57"/>
      <c r="N47" s="57"/>
      <c r="O47" s="57"/>
      <c r="P47" s="57"/>
      <c r="Q47" s="57"/>
      <c r="R47" s="59"/>
    </row>
    <row r="48" spans="1:18" x14ac:dyDescent="0.15">
      <c r="E48" s="95"/>
      <c r="F48" s="103"/>
      <c r="G48" s="105"/>
    </row>
    <row r="49" spans="1:8" x14ac:dyDescent="0.15">
      <c r="B49" t="s">
        <v>53</v>
      </c>
      <c r="C49" s="90">
        <f>SUM(B32:B46)</f>
        <v>0.59999999999999987</v>
      </c>
      <c r="E49" s="95">
        <v>1.3132335739436604E-2</v>
      </c>
      <c r="F49" s="95"/>
      <c r="G49" s="106">
        <f ca="1">G57-0.05</f>
        <v>-1.5309420398068596E-12</v>
      </c>
    </row>
    <row r="50" spans="1:8" x14ac:dyDescent="0.15">
      <c r="A50" t="s">
        <v>74</v>
      </c>
      <c r="C50" s="90">
        <v>2.1200000000000101E-2</v>
      </c>
      <c r="D50" s="94"/>
      <c r="E50" s="95"/>
      <c r="F50" s="103"/>
      <c r="G50" s="106"/>
      <c r="H50" s="101"/>
    </row>
    <row r="51" spans="1:8" x14ac:dyDescent="0.15">
      <c r="A51" s="31">
        <f>LCM(F5-I5,F7-I6)*1000*2*2</f>
        <v>13064000</v>
      </c>
      <c r="C51" s="90"/>
      <c r="D51" s="92"/>
      <c r="E51" s="95"/>
      <c r="F51" s="95"/>
      <c r="G51" s="100"/>
      <c r="H51" s="101"/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214</v>
      </c>
      <c r="G54" t="s">
        <v>64</v>
      </c>
      <c r="H54" s="102" t="s">
        <v>283</v>
      </c>
    </row>
    <row r="55" spans="1:8" x14ac:dyDescent="0.15">
      <c r="A55" s="33" t="s">
        <v>106</v>
      </c>
      <c r="B55">
        <f ca="1">SUMIF(tables_491101!C:C,input_491101!A55,tables_491101!O:O)</f>
        <v>1359134.4000000004</v>
      </c>
      <c r="C55" s="54">
        <f t="shared" ref="C55:C61" ca="1" si="22">B55/B$62</f>
        <v>0.55574026606845361</v>
      </c>
      <c r="E55">
        <v>3</v>
      </c>
      <c r="F55">
        <f ca="1">SUMIF(tables_491101!J:J,input_491101!E55,tables_491101!O:O)</f>
        <v>6531999.9999999944</v>
      </c>
      <c r="G55" s="93">
        <f ca="1">F55/A51</f>
        <v>0.49999999999999956</v>
      </c>
      <c r="H55" s="55">
        <f>B17+B19+B24+B32+B34+B39</f>
        <v>0.49999999999999994</v>
      </c>
    </row>
    <row r="56" spans="1:8" x14ac:dyDescent="0.15">
      <c r="A56" s="33" t="s">
        <v>107</v>
      </c>
      <c r="B56">
        <f ca="1">SUMIF(tables_491101!C:C,input_491101!A56,tables_491101!O:O)</f>
        <v>961940.95997999946</v>
      </c>
      <c r="C56" s="54">
        <f t="shared" ca="1" si="22"/>
        <v>0.39333072950065012</v>
      </c>
      <c r="E56">
        <v>4</v>
      </c>
      <c r="F56">
        <f ca="1">SUMIF(tables_491101!J:J,input_491101!E56,tables_491101!O:O)</f>
        <v>5878800.0000600014</v>
      </c>
      <c r="G56" s="93">
        <f ca="1">F56/A51</f>
        <v>0.45000000000459289</v>
      </c>
      <c r="H56" s="55">
        <f>B18+B20+B22+B25+B27+B30+B33+B35+B37+B40+B42+B45</f>
        <v>0.45000000000683588</v>
      </c>
    </row>
    <row r="57" spans="1:8" x14ac:dyDescent="0.15">
      <c r="A57" s="33" t="s">
        <v>112</v>
      </c>
      <c r="B57">
        <f ca="1">SUMIF(tables_491101!C:C,input_491101!A57,tables_491101!O:O)</f>
        <v>113316</v>
      </c>
      <c r="C57" s="54">
        <f t="shared" ca="1" si="22"/>
        <v>4.6334096164303444E-2</v>
      </c>
      <c r="E57">
        <v>5</v>
      </c>
      <c r="F57">
        <f ca="1">SUMIF(tables_491101!J:J,input_491101!E57,tables_491101!O:O)</f>
        <v>653199.99997999985</v>
      </c>
      <c r="G57" s="93">
        <f ca="1">F57/A51</f>
        <v>4.9999999998469061E-2</v>
      </c>
      <c r="H57" s="55">
        <f>B21+B23+B26+B28+B29+B31+B36+B38+B41+B43+B44+B46</f>
        <v>4.9999999993164068E-2</v>
      </c>
    </row>
    <row r="58" spans="1:8" x14ac:dyDescent="0.15">
      <c r="A58" s="33" t="s">
        <v>113</v>
      </c>
      <c r="B58">
        <f>SUMIF(tables_491101!C:C,input_491101!A58,tables_491101!O:O)</f>
        <v>0</v>
      </c>
      <c r="C58" s="54">
        <f t="shared" ca="1" si="22"/>
        <v>0</v>
      </c>
      <c r="F58" s="55"/>
    </row>
    <row r="59" spans="1:8" x14ac:dyDescent="0.15">
      <c r="A59" s="33" t="s">
        <v>108</v>
      </c>
      <c r="B59">
        <f ca="1">SUMIF(tables_491101!C:C,input_491101!A59,tables_491101!O:O)</f>
        <v>5273.4399899999999</v>
      </c>
      <c r="C59" s="54">
        <f t="shared" ca="1" si="22"/>
        <v>2.1562716263664743E-3</v>
      </c>
      <c r="E59" t="s">
        <v>104</v>
      </c>
      <c r="F59" s="55"/>
    </row>
    <row r="60" spans="1:8" x14ac:dyDescent="0.15">
      <c r="A60" s="33" t="s">
        <v>114</v>
      </c>
      <c r="B60">
        <f ca="1">SUMIF(tables_491101!C:C,input_491101!A60,tables_491101!O:O)</f>
        <v>5964</v>
      </c>
      <c r="C60" s="54">
        <f t="shared" ca="1" si="22"/>
        <v>2.4386366402264974E-3</v>
      </c>
      <c r="E60" t="s">
        <v>210</v>
      </c>
      <c r="F60" s="55">
        <f ca="1">SUMIF(tables_491101!I:I,input_491101!E60,tables_491101!P:P)</f>
        <v>0.24281430218465117</v>
      </c>
    </row>
    <row r="61" spans="1:8" x14ac:dyDescent="0.15">
      <c r="A61" s="33" t="s">
        <v>115</v>
      </c>
      <c r="B61">
        <f>SUMIF(tables_491101!C:C,input_491101!A61,tables_491101!O:O)</f>
        <v>0</v>
      </c>
      <c r="C61" s="54">
        <f t="shared" ca="1" si="22"/>
        <v>0</v>
      </c>
      <c r="E61" t="s">
        <v>211</v>
      </c>
      <c r="F61" s="55">
        <f ca="1">SUMIF(tables_491101!I:I,input_491101!E61,tables_491101!P:P)</f>
        <v>0.19993376341870794</v>
      </c>
    </row>
    <row r="62" spans="1:8" x14ac:dyDescent="0.15">
      <c r="A62" s="39" t="s">
        <v>60</v>
      </c>
      <c r="B62">
        <f ca="1">SUM(B55:B61)</f>
        <v>2445628.7999699996</v>
      </c>
      <c r="C62" s="55">
        <f ca="1">SUM(C55:C61)</f>
        <v>1</v>
      </c>
      <c r="E62" t="s">
        <v>212</v>
      </c>
      <c r="F62" s="55">
        <f ca="1">SUMIF(tables_491101!I:I,input_491101!E62,tables_491101!P:P)</f>
        <v>0.50425193439833327</v>
      </c>
    </row>
    <row r="63" spans="1:8" x14ac:dyDescent="0.15">
      <c r="E63" t="s">
        <v>213</v>
      </c>
      <c r="F63" s="96">
        <f ca="1">SUMIF(tables_491101!I:I,input_491101!E63,tables_491101!P:P)</f>
        <v>4.6061381072271611E-2</v>
      </c>
      <c r="G63" s="96">
        <f ca="1">0.05-F63-F64</f>
        <v>1.6841189900973497E-12</v>
      </c>
    </row>
    <row r="64" spans="1:8" x14ac:dyDescent="0.15">
      <c r="E64" t="s">
        <v>276</v>
      </c>
      <c r="F64" s="96">
        <f ca="1">SUMIF(tables_491101!I:I,input_491101!E64,tables_491101!P:P)</f>
        <v>3.938618926044273E-3</v>
      </c>
      <c r="G64">
        <v>1.9519247329569112E-12</v>
      </c>
    </row>
    <row r="65" spans="5:6" x14ac:dyDescent="0.15">
      <c r="E65" t="s">
        <v>275</v>
      </c>
      <c r="F65" s="96">
        <f ca="1">SUMIF(tables_491101!I:I,input_491101!E65,tables_491101!P:P)</f>
        <v>2.9999999999908104E-3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41"/>
  <sheetViews>
    <sheetView showGridLines="0" topLeftCell="B1" workbookViewId="0">
      <pane ySplit="1" topLeftCell="A326" activePane="bottomLeft" state="frozen"/>
      <selection activeCell="H10" sqref="H10"/>
      <selection pane="bottomLeft" activeCell="S341" sqref="S34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5.3984375" style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input_491101!A$2</f>
        <v>491101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IFERROR(VLOOKUP(B2,input_491101!L:R,7,FALSE),VLOOKUP(tables_491101!C2,input_491101!A:H,8,FALSE))</f>
        <v>76607.786670000001</v>
      </c>
      <c r="P2" s="46">
        <f t="shared" ref="P2:P65" ca="1" si="2">O2/SUM(O:O)</f>
        <v>5.8640375589226381E-3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input_491101!A$2</f>
        <v>491101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IFERROR(VLOOKUP(B3,input_491101!L:R,7,FALSE),VLOOKUP(tables_491101!C3,input_491101!A:H,8,FALSE))</f>
        <v>1800.74667</v>
      </c>
      <c r="P3" s="46">
        <f t="shared" ca="1" si="2"/>
        <v>1.3784037584158634E-4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input_491101!A$2</f>
        <v>491101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IFERROR(VLOOKUP(B4,input_491101!L:R,7,FALSE),VLOOKUP(tables_491101!C4,input_491101!A:H,8,FALSE))</f>
        <v>76607.786670000001</v>
      </c>
      <c r="P4" s="46">
        <f t="shared" ca="1" si="2"/>
        <v>5.8640375589226381E-3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input_491101!A$2</f>
        <v>491101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IFERROR(VLOOKUP(B5,input_491101!L:R,7,FALSE),VLOOKUP(tables_491101!C5,input_491101!A:H,8,FALSE))</f>
        <v>1800.74667</v>
      </c>
      <c r="P5" s="46">
        <f t="shared" ca="1" si="2"/>
        <v>1.3784037584158634E-4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input_491101!A$2</f>
        <v>491101</v>
      </c>
      <c r="B6" s="6">
        <v>130</v>
      </c>
      <c r="C6" s="7" t="str">
        <f t="shared" si="0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IFERROR(VLOOKUP(B6,input_491101!L:R,7,FALSE),VLOOKUP(tables_491101!C6,input_491101!A:H,8,FALSE))</f>
        <v>76607.786670000001</v>
      </c>
      <c r="P6" s="46">
        <f t="shared" ca="1" si="2"/>
        <v>5.8640375589226381E-3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input_491101!A$2</f>
        <v>491101</v>
      </c>
      <c r="B7" s="6">
        <v>131</v>
      </c>
      <c r="C7" s="7" t="str">
        <f t="shared" si="0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IFERROR(VLOOKUP(B7,input_491101!L:R,7,FALSE),VLOOKUP(tables_491101!C7,input_491101!A:H,8,FALSE))</f>
        <v>1800.74667</v>
      </c>
      <c r="P7" s="46">
        <f t="shared" ca="1" si="2"/>
        <v>1.3784037584158634E-4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input_491101!A$2</f>
        <v>491101</v>
      </c>
      <c r="B8" s="6">
        <v>132</v>
      </c>
      <c r="C8" s="7" t="str">
        <f t="shared" si="0"/>
        <v>PremiumW3color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IFERROR(VLOOKUP(B8,input_491101!L:R,7,FALSE),VLOOKUP(tables_491101!C8,input_491101!A:H,8,FALSE))</f>
        <v>311469.51273000002</v>
      </c>
      <c r="P8" s="46">
        <f t="shared" ca="1" si="2"/>
        <v>2.3841818181953914E-2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input_491101!A$2</f>
        <v>491101</v>
      </c>
      <c r="B9" s="6">
        <v>133</v>
      </c>
      <c r="C9" s="7" t="str">
        <f t="shared" si="0"/>
        <v>PremiumW4color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IFERROR(VLOOKUP(B9,input_491101!L:R,7,FALSE),VLOOKUP(tables_491101!C9,input_491101!A:H,8,FALSE))</f>
        <v>78193.978180000006</v>
      </c>
      <c r="P9" s="46">
        <f t="shared" ca="1" si="2"/>
        <v>5.9854545452970361E-3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input_491101!A$2</f>
        <v>491101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IFERROR(VLOOKUP(B10,input_491101!L:R,7,FALSE),VLOOKUP(tables_491101!C10,input_491101!A:H,8,FALSE))</f>
        <v>76607.786670000001</v>
      </c>
      <c r="P10" s="46">
        <f t="shared" ca="1" si="2"/>
        <v>5.8640375589226381E-3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input_491101!A$2</f>
        <v>491101</v>
      </c>
      <c r="B11" s="8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IFERROR(VLOOKUP(B11,input_491101!L:R,7,FALSE),VLOOKUP(tables_491101!C11,input_491101!A:H,8,FALSE))</f>
        <v>1800.74667</v>
      </c>
      <c r="P11" s="46">
        <f t="shared" ca="1" si="2"/>
        <v>1.3784037584158634E-4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input_491101!A$2</f>
        <v>491101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IFERROR(VLOOKUP(B12,input_491101!L:R,7,FALSE),VLOOKUP(tables_491101!C12,input_491101!A:H,8,FALSE))</f>
        <v>76607.786670000001</v>
      </c>
      <c r="P12" s="46">
        <f t="shared" ca="1" si="2"/>
        <v>5.8640375589226381E-3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input_491101!A$2</f>
        <v>491101</v>
      </c>
      <c r="B13" s="6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IFERROR(VLOOKUP(B13,input_491101!L:R,7,FALSE),VLOOKUP(tables_491101!C13,input_491101!A:H,8,FALSE))</f>
        <v>1800.74667</v>
      </c>
      <c r="P13" s="46">
        <f t="shared" ca="1" si="2"/>
        <v>1.3784037584158634E-4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input_491101!A$2</f>
        <v>491101</v>
      </c>
      <c r="B14" s="6">
        <v>138</v>
      </c>
      <c r="C14" s="7" t="str">
        <f t="shared" si="0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IFERROR(VLOOKUP(B14,input_491101!L:R,7,FALSE),VLOOKUP(tables_491101!C14,input_491101!A:H,8,FALSE))</f>
        <v>76607.786670000001</v>
      </c>
      <c r="P14" s="46">
        <f t="shared" ca="1" si="2"/>
        <v>5.8640375589226381E-3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input_491101!A$2</f>
        <v>491101</v>
      </c>
      <c r="B15" s="10">
        <v>139</v>
      </c>
      <c r="C15" s="7" t="str">
        <f t="shared" si="0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IFERROR(VLOOKUP(B15,input_491101!L:R,7,FALSE),VLOOKUP(tables_491101!C15,input_491101!A:H,8,FALSE))</f>
        <v>1800.74667</v>
      </c>
      <c r="P15" s="46">
        <f t="shared" ca="1" si="2"/>
        <v>1.3784037584158634E-4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input_491101!A$2</f>
        <v>491101</v>
      </c>
      <c r="B16" s="11">
        <v>140</v>
      </c>
      <c r="C16" s="7" t="str">
        <f t="shared" si="0"/>
        <v>PremiumW3color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IFERROR(VLOOKUP(B16,input_491101!L:R,7,FALSE),VLOOKUP(tables_491101!C16,input_491101!A:H,8,FALSE))</f>
        <v>311469.51273000002</v>
      </c>
      <c r="P16" s="46">
        <f t="shared" ca="1" si="2"/>
        <v>2.3841818181953914E-2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input_491101!A$2</f>
        <v>491101</v>
      </c>
      <c r="B17" s="6">
        <v>141</v>
      </c>
      <c r="C17" s="7" t="str">
        <f t="shared" si="0"/>
        <v>PremiumW4color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IFERROR(VLOOKUP(B17,input_491101!L:R,7,FALSE),VLOOKUP(tables_491101!C17,input_491101!A:H,8,FALSE))</f>
        <v>78193.978180000006</v>
      </c>
      <c r="P17" s="46">
        <f t="shared" ca="1" si="2"/>
        <v>5.9854545452970361E-3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input_491101!A$2</f>
        <v>491101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IFERROR(VLOOKUP(B18,input_491101!L:R,7,FALSE),VLOOKUP(tables_491101!C18,input_491101!A:H,8,FALSE))</f>
        <v>76607.786670000001</v>
      </c>
      <c r="P18" s="46">
        <f t="shared" ca="1" si="2"/>
        <v>5.8640375589226381E-3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input_491101!A$2</f>
        <v>491101</v>
      </c>
      <c r="B19" s="10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IFERROR(VLOOKUP(B19,input_491101!L:R,7,FALSE),VLOOKUP(tables_491101!C19,input_491101!A:H,8,FALSE))</f>
        <v>1800.74667</v>
      </c>
      <c r="P19" s="46">
        <f t="shared" ca="1" si="2"/>
        <v>1.3784037584158634E-4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input_491101!A$2</f>
        <v>491101</v>
      </c>
      <c r="B20" s="6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IFERROR(VLOOKUP(B20,input_491101!L:R,7,FALSE),VLOOKUP(tables_491101!C20,input_491101!A:H,8,FALSE))</f>
        <v>76607.786670000001</v>
      </c>
      <c r="P20" s="46">
        <f t="shared" ca="1" si="2"/>
        <v>5.8640375589226381E-3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input_491101!A$2</f>
        <v>491101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IFERROR(VLOOKUP(B21,input_491101!L:R,7,FALSE),VLOOKUP(tables_491101!C21,input_491101!A:H,8,FALSE))</f>
        <v>1800.74667</v>
      </c>
      <c r="P21" s="46">
        <f t="shared" ca="1" si="2"/>
        <v>1.3784037584158634E-4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input_491101!A$2</f>
        <v>491101</v>
      </c>
      <c r="B22" s="6">
        <v>146</v>
      </c>
      <c r="C22" s="7" t="str">
        <f t="shared" si="0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IFERROR(VLOOKUP(B22,input_491101!L:R,7,FALSE),VLOOKUP(tables_491101!C22,input_491101!A:H,8,FALSE))</f>
        <v>76607.786670000001</v>
      </c>
      <c r="P22" s="46">
        <f t="shared" ca="1" si="2"/>
        <v>5.8640375589226381E-3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input_491101!A$2</f>
        <v>491101</v>
      </c>
      <c r="B23" s="6">
        <v>147</v>
      </c>
      <c r="C23" s="7" t="str">
        <f t="shared" si="0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IFERROR(VLOOKUP(B23,input_491101!L:R,7,FALSE),VLOOKUP(tables_491101!C23,input_491101!A:H,8,FALSE))</f>
        <v>1800.74667</v>
      </c>
      <c r="P23" s="46">
        <f t="shared" ca="1" si="2"/>
        <v>1.3784037584158634E-4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input_491101!A$2</f>
        <v>491101</v>
      </c>
      <c r="B24" s="6">
        <v>148</v>
      </c>
      <c r="C24" s="7" t="str">
        <f t="shared" si="0"/>
        <v>PremiumW3color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IFERROR(VLOOKUP(B24,input_491101!L:R,7,FALSE),VLOOKUP(tables_491101!C24,input_491101!A:H,8,FALSE))</f>
        <v>311469.51273000002</v>
      </c>
      <c r="P24" s="46">
        <f t="shared" ca="1" si="2"/>
        <v>2.3841818181953914E-2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input_491101!A$2</f>
        <v>491101</v>
      </c>
      <c r="B25" s="6">
        <v>149</v>
      </c>
      <c r="C25" s="7" t="str">
        <f t="shared" si="0"/>
        <v>PremiumW4color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IFERROR(VLOOKUP(B25,input_491101!L:R,7,FALSE),VLOOKUP(tables_491101!C25,input_491101!A:H,8,FALSE))</f>
        <v>78193.978180000006</v>
      </c>
      <c r="P25" s="46">
        <f t="shared" ca="1" si="2"/>
        <v>5.9854545452970361E-3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input_491101!A$2</f>
        <v>491101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IFERROR(VLOOKUP(B26,input_491101!L:R,7,FALSE),VLOOKUP(tables_491101!C26,input_491101!A:H,8,FALSE))</f>
        <v>76607.786670000001</v>
      </c>
      <c r="P26" s="46">
        <f t="shared" ca="1" si="2"/>
        <v>5.8640375589226381E-3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input_491101!A$2</f>
        <v>491101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IFERROR(VLOOKUP(B27,input_491101!L:R,7,FALSE),VLOOKUP(tables_491101!C27,input_491101!A:H,8,FALSE))</f>
        <v>1800.74667</v>
      </c>
      <c r="P27" s="46">
        <f t="shared" ca="1" si="2"/>
        <v>1.3784037584158634E-4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input_491101!A$2</f>
        <v>491101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IFERROR(VLOOKUP(B28,input_491101!L:R,7,FALSE),VLOOKUP(tables_491101!C28,input_491101!A:H,8,FALSE))</f>
        <v>76607.786670000001</v>
      </c>
      <c r="P28" s="46">
        <f t="shared" ca="1" si="2"/>
        <v>5.8640375589226381E-3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input_491101!A$2</f>
        <v>491101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IFERROR(VLOOKUP(B29,input_491101!L:R,7,FALSE),VLOOKUP(tables_491101!C29,input_491101!A:H,8,FALSE))</f>
        <v>1800.74667</v>
      </c>
      <c r="P29" s="46">
        <f t="shared" ca="1" si="2"/>
        <v>1.3784037584158634E-4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input_491101!A$2</f>
        <v>491101</v>
      </c>
      <c r="B30" s="6">
        <v>154</v>
      </c>
      <c r="C30" s="7" t="str">
        <f t="shared" si="0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IFERROR(VLOOKUP(B30,input_491101!L:R,7,FALSE),VLOOKUP(tables_491101!C30,input_491101!A:H,8,FALSE))</f>
        <v>76607.786670000001</v>
      </c>
      <c r="P30" s="46">
        <f t="shared" ca="1" si="2"/>
        <v>5.8640375589226381E-3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input_491101!A$2</f>
        <v>491101</v>
      </c>
      <c r="B31" s="6">
        <v>155</v>
      </c>
      <c r="C31" s="7" t="str">
        <f t="shared" si="0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IFERROR(VLOOKUP(B31,input_491101!L:R,7,FALSE),VLOOKUP(tables_491101!C31,input_491101!A:H,8,FALSE))</f>
        <v>1800.74667</v>
      </c>
      <c r="P31" s="46">
        <f t="shared" ca="1" si="2"/>
        <v>1.3784037584158634E-4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input_491101!A$2</f>
        <v>491101</v>
      </c>
      <c r="B32" s="6">
        <v>156</v>
      </c>
      <c r="C32" s="7" t="str">
        <f t="shared" si="0"/>
        <v>PremiumW3color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IFERROR(VLOOKUP(B32,input_491101!L:R,7,FALSE),VLOOKUP(tables_491101!C32,input_491101!A:H,8,FALSE))</f>
        <v>311469.51273000002</v>
      </c>
      <c r="P32" s="46">
        <f t="shared" ca="1" si="2"/>
        <v>2.3841818181953914E-2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input_491101!A$2</f>
        <v>491101</v>
      </c>
      <c r="B33" s="6">
        <v>157</v>
      </c>
      <c r="C33" s="7" t="str">
        <f t="shared" si="0"/>
        <v>PremiumW4color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IFERROR(VLOOKUP(B33,input_491101!L:R,7,FALSE),VLOOKUP(tables_491101!C33,input_491101!A:H,8,FALSE))</f>
        <v>78193.978180000006</v>
      </c>
      <c r="P33" s="46">
        <f t="shared" ca="1" si="2"/>
        <v>5.9854545452970361E-3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input_491101!A$2</f>
        <v>491101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IFERROR(VLOOKUP(B34,input_491101!L:R,7,FALSE),VLOOKUP(tables_491101!C34,input_491101!A:H,8,FALSE))</f>
        <v>76607.786670000001</v>
      </c>
      <c r="P34" s="46">
        <f t="shared" ca="1" si="2"/>
        <v>5.8640375589226381E-3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input_491101!A$2</f>
        <v>491101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IFERROR(VLOOKUP(B35,input_491101!L:R,7,FALSE),VLOOKUP(tables_491101!C35,input_491101!A:H,8,FALSE))</f>
        <v>1800.74667</v>
      </c>
      <c r="P35" s="46">
        <f t="shared" ca="1" si="2"/>
        <v>1.3784037584158634E-4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input_491101!A$2</f>
        <v>491101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IFERROR(VLOOKUP(B36,input_491101!L:R,7,FALSE),VLOOKUP(tables_491101!C36,input_491101!A:H,8,FALSE))</f>
        <v>76607.786670000001</v>
      </c>
      <c r="P36" s="46">
        <f t="shared" ca="1" si="2"/>
        <v>5.8640375589226381E-3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input_491101!A$2</f>
        <v>491101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IFERROR(VLOOKUP(B37,input_491101!L:R,7,FALSE),VLOOKUP(tables_491101!C37,input_491101!A:H,8,FALSE))</f>
        <v>1800.74667</v>
      </c>
      <c r="P37" s="46">
        <f t="shared" ca="1" si="2"/>
        <v>1.3784037584158634E-4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input_491101!A$2</f>
        <v>491101</v>
      </c>
      <c r="B38" s="6">
        <v>162</v>
      </c>
      <c r="C38" s="7" t="str">
        <f t="shared" si="0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IFERROR(VLOOKUP(B38,input_491101!L:R,7,FALSE),VLOOKUP(tables_491101!C38,input_491101!A:H,8,FALSE))</f>
        <v>76607.786670000001</v>
      </c>
      <c r="P38" s="46">
        <f t="shared" ca="1" si="2"/>
        <v>5.8640375589226381E-3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input_491101!A$2</f>
        <v>491101</v>
      </c>
      <c r="B39" s="6">
        <v>163</v>
      </c>
      <c r="C39" s="7" t="str">
        <f t="shared" si="0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IFERROR(VLOOKUP(B39,input_491101!L:R,7,FALSE),VLOOKUP(tables_491101!C39,input_491101!A:H,8,FALSE))</f>
        <v>1800.74667</v>
      </c>
      <c r="P39" s="46">
        <f t="shared" ca="1" si="2"/>
        <v>1.3784037584158634E-4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input_491101!A$2</f>
        <v>491101</v>
      </c>
      <c r="B40" s="6">
        <v>164</v>
      </c>
      <c r="C40" s="7" t="str">
        <f t="shared" si="0"/>
        <v>PremiumW3color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IFERROR(VLOOKUP(B40,input_491101!L:R,7,FALSE),VLOOKUP(tables_491101!C40,input_491101!A:H,8,FALSE))</f>
        <v>311469.51273000002</v>
      </c>
      <c r="P40" s="46">
        <f t="shared" ca="1" si="2"/>
        <v>2.3841818181953914E-2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input_491101!A$2</f>
        <v>491101</v>
      </c>
      <c r="B41" s="6">
        <v>165</v>
      </c>
      <c r="C41" s="7" t="str">
        <f t="shared" si="0"/>
        <v>PremiumW4color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IFERROR(VLOOKUP(B41,input_491101!L:R,7,FALSE),VLOOKUP(tables_491101!C41,input_491101!A:H,8,FALSE))</f>
        <v>78193.978180000006</v>
      </c>
      <c r="P41" s="46">
        <f t="shared" ca="1" si="2"/>
        <v>5.9854545452970361E-3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input_491101!A$2</f>
        <v>491101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IFERROR(VLOOKUP(B42,input_491101!L:R,7,FALSE),VLOOKUP(tables_491101!C42,input_491101!A:H,8,FALSE))</f>
        <v>34849.599999999999</v>
      </c>
      <c r="P42" s="46">
        <f t="shared" ca="1" si="2"/>
        <v>2.6676056337946456E-3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input_491101!A$2</f>
        <v>491101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IFERROR(VLOOKUP(B43,input_491101!L:R,7,FALSE),VLOOKUP(tables_491101!C43,input_491101!A:H,8,FALSE))</f>
        <v>31364.639999999999</v>
      </c>
      <c r="P43" s="46">
        <f t="shared" ca="1" si="2"/>
        <v>2.400845070415181E-3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input_491101!A$2</f>
        <v>491101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IFERROR(VLOOKUP(B44,input_491101!L:R,7,FALSE),VLOOKUP(tables_491101!C44,input_491101!A:H,8,FALSE))</f>
        <v>3484.96</v>
      </c>
      <c r="P44" s="46">
        <f t="shared" ca="1" si="2"/>
        <v>2.6676056337946455E-4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input_491101!A$2</f>
        <v>491101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IFERROR(VLOOKUP(B45,input_491101!L:R,7,FALSE),VLOOKUP(tables_491101!C45,input_491101!A:H,8,FALSE))</f>
        <v>34849.599999999999</v>
      </c>
      <c r="P45" s="46">
        <f t="shared" ca="1" si="2"/>
        <v>2.6676056337946456E-3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input_491101!A$2</f>
        <v>491101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IFERROR(VLOOKUP(B46,input_491101!L:R,7,FALSE),VLOOKUP(tables_491101!C46,input_491101!A:H,8,FALSE))</f>
        <v>31364.639999999999</v>
      </c>
      <c r="P46" s="46">
        <f t="shared" ca="1" si="2"/>
        <v>2.400845070415181E-3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input_491101!A$2</f>
        <v>491101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IFERROR(VLOOKUP(B47,input_491101!L:R,7,FALSE),VLOOKUP(tables_491101!C47,input_491101!A:H,8,FALSE))</f>
        <v>3484.96</v>
      </c>
      <c r="P47" s="46">
        <f t="shared" ca="1" si="2"/>
        <v>2.6676056337946455E-4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input_491101!A$2</f>
        <v>491101</v>
      </c>
      <c r="B48" s="6">
        <v>172</v>
      </c>
      <c r="C48" s="7" t="str">
        <f t="shared" si="0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IFERROR(VLOOKUP(B48,input_491101!L:R,7,FALSE),VLOOKUP(tables_491101!C48,input_491101!A:H,8,FALSE))</f>
        <v>34849.599999999999</v>
      </c>
      <c r="P48" s="46">
        <f t="shared" ca="1" si="2"/>
        <v>2.6676056337946456E-3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input_491101!A$2</f>
        <v>491101</v>
      </c>
      <c r="B49" s="6">
        <v>173</v>
      </c>
      <c r="C49" s="7" t="str">
        <f t="shared" si="0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IFERROR(VLOOKUP(B49,input_491101!L:R,7,FALSE),VLOOKUP(tables_491101!C49,input_491101!A:H,8,FALSE))</f>
        <v>31364.639999999999</v>
      </c>
      <c r="P49" s="46">
        <f t="shared" ca="1" si="2"/>
        <v>2.400845070415181E-3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input_491101!A$2</f>
        <v>491101</v>
      </c>
      <c r="B50" s="6">
        <v>174</v>
      </c>
      <c r="C50" s="7" t="str">
        <f t="shared" si="0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IFERROR(VLOOKUP(B50,input_491101!L:R,7,FALSE),VLOOKUP(tables_491101!C50,input_491101!A:H,8,FALSE))</f>
        <v>3484.96</v>
      </c>
      <c r="P50" s="46">
        <f t="shared" ca="1" si="2"/>
        <v>2.6676056337946455E-4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input_491101!A$2</f>
        <v>491101</v>
      </c>
      <c r="B51" s="6">
        <v>175</v>
      </c>
      <c r="C51" s="7" t="str">
        <f t="shared" si="0"/>
        <v>Premium3color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IFERROR(VLOOKUP(B51,input_491101!L:R,7,FALSE),VLOOKUP(tables_491101!C51,input_491101!A:H,8,FALSE))</f>
        <v>168703.74544999999</v>
      </c>
      <c r="P51" s="46">
        <f t="shared" ca="1" si="2"/>
        <v>1.2913636363248869E-2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input_491101!A$2</f>
        <v>491101</v>
      </c>
      <c r="B52" s="6">
        <v>176</v>
      </c>
      <c r="C52" s="7" t="str">
        <f t="shared" si="0"/>
        <v>Premium4color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IFERROR(VLOOKUP(B52,input_491101!L:R,7,FALSE),VLOOKUP(tables_491101!C52,input_491101!A:H,8,FALSE))</f>
        <v>165030.35814999999</v>
      </c>
      <c r="P52" s="46">
        <f t="shared" ca="1" si="2"/>
        <v>1.2632452399685737E-2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input_491101!A$2</f>
        <v>491101</v>
      </c>
      <c r="B53" s="6">
        <v>177</v>
      </c>
      <c r="C53" s="7" t="str">
        <f t="shared" si="0"/>
        <v>Premium5color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IFERROR(VLOOKUP(B53,input_491101!L:R,7,FALSE),VLOOKUP(tables_491101!C53,input_491101!A:H,8,FALSE))</f>
        <v>3673.3873100000001</v>
      </c>
      <c r="P53" s="46">
        <f t="shared" ca="1" si="2"/>
        <v>2.8118396432859371E-4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input_491101!A$2</f>
        <v>491101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IFERROR(VLOOKUP(B54,input_491101!L:R,7,FALSE),VLOOKUP(tables_491101!C54,input_491101!A:H,8,FALSE))</f>
        <v>34849.599999999999</v>
      </c>
      <c r="P54" s="46">
        <f t="shared" ca="1" si="2"/>
        <v>2.6676056337946456E-3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input_491101!A$2</f>
        <v>491101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IFERROR(VLOOKUP(B55,input_491101!L:R,7,FALSE),VLOOKUP(tables_491101!C55,input_491101!A:H,8,FALSE))</f>
        <v>24665.152819999999</v>
      </c>
      <c r="P55" s="46">
        <f t="shared" ca="1" si="2"/>
        <v>1.8880245575569846E-3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input_491101!A$2</f>
        <v>491101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IFERROR(VLOOKUP(B56,input_491101!L:R,7,FALSE),VLOOKUP(tables_491101!C56,input_491101!A:H,8,FALSE))</f>
        <v>135.21641</v>
      </c>
      <c r="P56" s="46">
        <f t="shared" ca="1" si="2"/>
        <v>1.0350306950366335E-5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input_491101!A$2</f>
        <v>491101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IFERROR(VLOOKUP(B57,input_491101!L:R,7,FALSE),VLOOKUP(tables_491101!C57,input_491101!A:H,8,FALSE))</f>
        <v>34849.599999999999</v>
      </c>
      <c r="P57" s="46">
        <f t="shared" ca="1" si="2"/>
        <v>2.6676056337946456E-3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input_491101!A$2</f>
        <v>491101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IFERROR(VLOOKUP(B58,input_491101!L:R,7,FALSE),VLOOKUP(tables_491101!C58,input_491101!A:H,8,FALSE))</f>
        <v>24665.152819999999</v>
      </c>
      <c r="P58" s="46">
        <f t="shared" ca="1" si="2"/>
        <v>1.8880245575569846E-3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input_491101!A$2</f>
        <v>491101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IFERROR(VLOOKUP(B59,input_491101!L:R,7,FALSE),VLOOKUP(tables_491101!C59,input_491101!A:H,8,FALSE))</f>
        <v>135.21641</v>
      </c>
      <c r="P59" s="46">
        <f t="shared" ca="1" si="2"/>
        <v>1.0350306950366335E-5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input_491101!A$2</f>
        <v>491101</v>
      </c>
      <c r="B60" s="6">
        <v>184</v>
      </c>
      <c r="C60" s="7" t="str">
        <f t="shared" si="0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IFERROR(VLOOKUP(B60,input_491101!L:R,7,FALSE),VLOOKUP(tables_491101!C60,input_491101!A:H,8,FALSE))</f>
        <v>34849.599999999999</v>
      </c>
      <c r="P60" s="46">
        <f t="shared" ca="1" si="2"/>
        <v>2.6676056337946456E-3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input_491101!A$2</f>
        <v>491101</v>
      </c>
      <c r="B61" s="8">
        <v>185</v>
      </c>
      <c r="C61" s="7" t="str">
        <f t="shared" si="0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IFERROR(VLOOKUP(B61,input_491101!L:R,7,FALSE),VLOOKUP(tables_491101!C61,input_491101!A:H,8,FALSE))</f>
        <v>24665.152819999999</v>
      </c>
      <c r="P61" s="46">
        <f t="shared" ca="1" si="2"/>
        <v>1.8880245575569846E-3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input_491101!A$2</f>
        <v>491101</v>
      </c>
      <c r="B62" s="8">
        <v>186</v>
      </c>
      <c r="C62" s="7" t="str">
        <f t="shared" si="0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IFERROR(VLOOKUP(B62,input_491101!L:R,7,FALSE),VLOOKUP(tables_491101!C62,input_491101!A:H,8,FALSE))</f>
        <v>135.21641</v>
      </c>
      <c r="P62" s="46">
        <f t="shared" ca="1" si="2"/>
        <v>1.0350306950366335E-5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input_491101!A$2</f>
        <v>491101</v>
      </c>
      <c r="B63" s="8">
        <v>187</v>
      </c>
      <c r="C63" s="7" t="str">
        <f t="shared" si="0"/>
        <v>Premium3color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IFERROR(VLOOKUP(B63,input_491101!L:R,7,FALSE),VLOOKUP(tables_491101!C63,input_491101!A:H,8,FALSE))</f>
        <v>168703.74544999999</v>
      </c>
      <c r="P63" s="46">
        <f t="shared" ca="1" si="2"/>
        <v>1.2913636363248869E-2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input_491101!A$2</f>
        <v>491101</v>
      </c>
      <c r="B64" s="8">
        <v>188</v>
      </c>
      <c r="C64" s="7" t="str">
        <f t="shared" si="0"/>
        <v>Premium4color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IFERROR(VLOOKUP(B64,input_491101!L:R,7,FALSE),VLOOKUP(tables_491101!C64,input_491101!A:H,8,FALSE))</f>
        <v>165030.35814999999</v>
      </c>
      <c r="P64" s="46">
        <f t="shared" ca="1" si="2"/>
        <v>1.2632452399685737E-2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input_491101!A$2</f>
        <v>491101</v>
      </c>
      <c r="B65" s="6">
        <v>189</v>
      </c>
      <c r="C65" s="7" t="str">
        <f t="shared" si="0"/>
        <v>Premium5color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IFERROR(VLOOKUP(B65,input_491101!L:R,7,FALSE),VLOOKUP(tables_491101!C65,input_491101!A:H,8,FALSE))</f>
        <v>3673.3873100000001</v>
      </c>
      <c r="P65" s="46">
        <f t="shared" ca="1" si="2"/>
        <v>2.8118396432859371E-4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input_491101!A$2</f>
        <v>491101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IF(K66="yellow","color","")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IFERROR(VLOOKUP(B66,input_491101!L:R,7,FALSE),VLOOKUP(tables_491101!C66,input_491101!A:H,8,FALSE))</f>
        <v>34849.599999999999</v>
      </c>
      <c r="P66" s="46">
        <f t="shared" ref="P66:P129" ca="1" si="6">O66/SUM(O:O)</f>
        <v>2.6676056337946456E-3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input_491101!A$2</f>
        <v>491101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IFERROR(VLOOKUP(B67,input_491101!L:R,7,FALSE),VLOOKUP(tables_491101!C67,input_491101!A:H,8,FALSE))</f>
        <v>24665.152819999999</v>
      </c>
      <c r="P67" s="46">
        <f t="shared" ca="1" si="6"/>
        <v>1.8880245575569846E-3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input_491101!A$2</f>
        <v>491101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IFERROR(VLOOKUP(B68,input_491101!L:R,7,FALSE),VLOOKUP(tables_491101!C68,input_491101!A:H,8,FALSE))</f>
        <v>135.21641</v>
      </c>
      <c r="P68" s="46">
        <f t="shared" ca="1" si="6"/>
        <v>1.0350306950366335E-5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input_491101!A$2</f>
        <v>491101</v>
      </c>
      <c r="B69" s="10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IFERROR(VLOOKUP(B69,input_491101!L:R,7,FALSE),VLOOKUP(tables_491101!C69,input_491101!A:H,8,FALSE))</f>
        <v>34849.599999999999</v>
      </c>
      <c r="P69" s="46">
        <f t="shared" ca="1" si="6"/>
        <v>2.6676056337946456E-3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input_491101!A$2</f>
        <v>491101</v>
      </c>
      <c r="B70" s="6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IFERROR(VLOOKUP(B70,input_491101!L:R,7,FALSE),VLOOKUP(tables_491101!C70,input_491101!A:H,8,FALSE))</f>
        <v>24665.152819999999</v>
      </c>
      <c r="P70" s="46">
        <f t="shared" ca="1" si="6"/>
        <v>1.8880245575569846E-3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input_491101!A$2</f>
        <v>491101</v>
      </c>
      <c r="B71" s="10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IFERROR(VLOOKUP(B71,input_491101!L:R,7,FALSE),VLOOKUP(tables_491101!C71,input_491101!A:H,8,FALSE))</f>
        <v>135.21641</v>
      </c>
      <c r="P71" s="46">
        <f t="shared" ca="1" si="6"/>
        <v>1.0350306950366335E-5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input_491101!A$2</f>
        <v>491101</v>
      </c>
      <c r="B72" s="11">
        <v>196</v>
      </c>
      <c r="C72" s="7" t="str">
        <f t="shared" si="4"/>
        <v>Premium3color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IFERROR(VLOOKUP(B72,input_491101!L:R,7,FALSE),VLOOKUP(tables_491101!C72,input_491101!A:H,8,FALSE))</f>
        <v>168703.74544999999</v>
      </c>
      <c r="P72" s="46">
        <f t="shared" ca="1" si="6"/>
        <v>1.2913636363248869E-2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input_491101!A$2</f>
        <v>491101</v>
      </c>
      <c r="B73" s="6">
        <v>197</v>
      </c>
      <c r="C73" s="7" t="str">
        <f t="shared" si="4"/>
        <v>Premium4color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IFERROR(VLOOKUP(B73,input_491101!L:R,7,FALSE),VLOOKUP(tables_491101!C73,input_491101!A:H,8,FALSE))</f>
        <v>165030.35814999999</v>
      </c>
      <c r="P73" s="46">
        <f t="shared" ca="1" si="6"/>
        <v>1.2632452399685737E-2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input_491101!A$2</f>
        <v>491101</v>
      </c>
      <c r="B74" s="6">
        <v>198</v>
      </c>
      <c r="C74" s="7" t="str">
        <f t="shared" si="4"/>
        <v>Premium5color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IFERROR(VLOOKUP(B74,input_491101!L:R,7,FALSE),VLOOKUP(tables_491101!C74,input_491101!A:H,8,FALSE))</f>
        <v>3673.3873100000001</v>
      </c>
      <c r="P74" s="46">
        <f t="shared" ca="1" si="6"/>
        <v>2.8118396432859371E-4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input_491101!A$2</f>
        <v>491101</v>
      </c>
      <c r="B75" s="6">
        <v>199</v>
      </c>
      <c r="C75" s="7" t="str">
        <f t="shared" si="4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IFERROR(VLOOKUP(B75,input_491101!L:R,7,FALSE),VLOOKUP(tables_491101!C75,input_491101!A:H,8,FALSE))</f>
        <v>34849.599999999999</v>
      </c>
      <c r="P75" s="46">
        <f t="shared" ca="1" si="6"/>
        <v>2.6676056337946456E-3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input_491101!A$2</f>
        <v>491101</v>
      </c>
      <c r="B76" s="5">
        <v>200</v>
      </c>
      <c r="C76" s="7" t="str">
        <f t="shared" si="4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IFERROR(VLOOKUP(B76,input_491101!L:R,7,FALSE),VLOOKUP(tables_491101!C76,input_491101!A:H,8,FALSE))</f>
        <v>24665.152819999999</v>
      </c>
      <c r="P76" s="46">
        <f t="shared" ca="1" si="6"/>
        <v>1.8880245575569846E-3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input_491101!A$2</f>
        <v>491101</v>
      </c>
      <c r="B77" s="5">
        <v>201</v>
      </c>
      <c r="C77" s="7" t="str">
        <f t="shared" si="4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IFERROR(VLOOKUP(B77,input_491101!L:R,7,FALSE),VLOOKUP(tables_491101!C77,input_491101!A:H,8,FALSE))</f>
        <v>135.21641</v>
      </c>
      <c r="P77" s="46">
        <f t="shared" ca="1" si="6"/>
        <v>1.0350306950366335E-5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input_491101!A$2</f>
        <v>491101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IFERROR(VLOOKUP(B78,input_491101!L:R,7,FALSE),VLOOKUP(tables_491101!C78,input_491101!A:H,8,FALSE))</f>
        <v>34849.599999999999</v>
      </c>
      <c r="P78" s="46">
        <f t="shared" ca="1" si="6"/>
        <v>2.6676056337946456E-3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input_491101!A$2</f>
        <v>491101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IFERROR(VLOOKUP(B79,input_491101!L:R,7,FALSE),VLOOKUP(tables_491101!C79,input_491101!A:H,8,FALSE))</f>
        <v>24665.152819999999</v>
      </c>
      <c r="P79" s="46">
        <f t="shared" ca="1" si="6"/>
        <v>1.8880245575569846E-3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input_491101!A$2</f>
        <v>491101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IFERROR(VLOOKUP(B80,input_491101!L:R,7,FALSE),VLOOKUP(tables_491101!C80,input_491101!A:H,8,FALSE))</f>
        <v>135.21641</v>
      </c>
      <c r="P80" s="46">
        <f t="shared" ca="1" si="6"/>
        <v>1.0350306950366335E-5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input_491101!A$2</f>
        <v>491101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IFERROR(VLOOKUP(B81,input_491101!L:R,7,FALSE),VLOOKUP(tables_491101!C81,input_491101!A:H,8,FALSE))</f>
        <v>34849.599999999999</v>
      </c>
      <c r="P81" s="46">
        <f t="shared" ca="1" si="6"/>
        <v>2.6676056337946456E-3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input_491101!A$2</f>
        <v>491101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IFERROR(VLOOKUP(B82,input_491101!L:R,7,FALSE),VLOOKUP(tables_491101!C82,input_491101!A:H,8,FALSE))</f>
        <v>24665.152819999999</v>
      </c>
      <c r="P82" s="46">
        <f t="shared" ca="1" si="6"/>
        <v>1.8880245575569846E-3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input_491101!A$2</f>
        <v>491101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IFERROR(VLOOKUP(B83,input_491101!L:R,7,FALSE),VLOOKUP(tables_491101!C83,input_491101!A:H,8,FALSE))</f>
        <v>135.21641</v>
      </c>
      <c r="P83" s="46">
        <f t="shared" ca="1" si="6"/>
        <v>1.0350306950366335E-5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input_491101!A$2</f>
        <v>491101</v>
      </c>
      <c r="B84" s="5">
        <v>208</v>
      </c>
      <c r="C84" s="7" t="str">
        <f t="shared" si="4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IFERROR(VLOOKUP(B84,input_491101!L:R,7,FALSE),VLOOKUP(tables_491101!C84,input_491101!A:H,8,FALSE))</f>
        <v>34849.599999999999</v>
      </c>
      <c r="P84" s="46">
        <f t="shared" ca="1" si="6"/>
        <v>2.6676056337946456E-3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input_491101!A$2</f>
        <v>491101</v>
      </c>
      <c r="B85" s="5">
        <v>209</v>
      </c>
      <c r="C85" s="7" t="str">
        <f t="shared" si="4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IFERROR(VLOOKUP(B85,input_491101!L:R,7,FALSE),VLOOKUP(tables_491101!C85,input_491101!A:H,8,FALSE))</f>
        <v>24665.152819999999</v>
      </c>
      <c r="P85" s="46">
        <f t="shared" ca="1" si="6"/>
        <v>1.8880245575569846E-3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input_491101!A$2</f>
        <v>491101</v>
      </c>
      <c r="B86" s="5">
        <v>210</v>
      </c>
      <c r="C86" s="7" t="str">
        <f t="shared" si="4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IFERROR(VLOOKUP(B86,input_491101!L:R,7,FALSE),VLOOKUP(tables_491101!C86,input_491101!A:H,8,FALSE))</f>
        <v>135.21641</v>
      </c>
      <c r="P86" s="46">
        <f t="shared" ca="1" si="6"/>
        <v>1.0350306950366335E-5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input_491101!A$2</f>
        <v>491101</v>
      </c>
      <c r="B87" s="5">
        <v>211</v>
      </c>
      <c r="C87" s="7" t="str">
        <f t="shared" si="4"/>
        <v>Premium3color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IFERROR(VLOOKUP(B87,input_491101!L:R,7,FALSE),VLOOKUP(tables_491101!C87,input_491101!A:H,8,FALSE))</f>
        <v>168703.74544999999</v>
      </c>
      <c r="P87" s="46">
        <f t="shared" ca="1" si="6"/>
        <v>1.2913636363248869E-2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input_491101!A$2</f>
        <v>491101</v>
      </c>
      <c r="B88" s="5">
        <v>212</v>
      </c>
      <c r="C88" s="7" t="str">
        <f t="shared" si="4"/>
        <v>Premium4color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IFERROR(VLOOKUP(B88,input_491101!L:R,7,FALSE),VLOOKUP(tables_491101!C88,input_491101!A:H,8,FALSE))</f>
        <v>165030.35814999999</v>
      </c>
      <c r="P88" s="46">
        <f t="shared" ca="1" si="6"/>
        <v>1.2632452399685737E-2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input_491101!A$2</f>
        <v>491101</v>
      </c>
      <c r="B89" s="5">
        <v>213</v>
      </c>
      <c r="C89" s="7" t="str">
        <f t="shared" si="4"/>
        <v>Premium5color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IFERROR(VLOOKUP(B89,input_491101!L:R,7,FALSE),VLOOKUP(tables_491101!C89,input_491101!A:H,8,FALSE))</f>
        <v>3673.3873100000001</v>
      </c>
      <c r="P89" s="46">
        <f t="shared" ca="1" si="6"/>
        <v>2.8118396432859371E-4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input_491101!A$2</f>
        <v>491101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IFERROR(VLOOKUP(B90,input_491101!L:R,7,FALSE),VLOOKUP(tables_491101!C90,input_491101!A:H,8,FALSE))</f>
        <v>34849.599999999999</v>
      </c>
      <c r="P90" s="46">
        <f t="shared" ca="1" si="6"/>
        <v>2.6676056337946456E-3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input_491101!A$2</f>
        <v>491101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IFERROR(VLOOKUP(B91,input_491101!L:R,7,FALSE),VLOOKUP(tables_491101!C91,input_491101!A:H,8,FALSE))</f>
        <v>24665.152819999999</v>
      </c>
      <c r="P91" s="46">
        <f t="shared" ca="1" si="6"/>
        <v>1.8880245575569846E-3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input_491101!A$2</f>
        <v>491101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IFERROR(VLOOKUP(B92,input_491101!L:R,7,FALSE),VLOOKUP(tables_491101!C92,input_491101!A:H,8,FALSE))</f>
        <v>135.21641</v>
      </c>
      <c r="P92" s="46">
        <f t="shared" ca="1" si="6"/>
        <v>1.0350306950366335E-5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input_491101!A$2</f>
        <v>491101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IFERROR(VLOOKUP(B93,input_491101!L:R,7,FALSE),VLOOKUP(tables_491101!C93,input_491101!A:H,8,FALSE))</f>
        <v>34849.599999999999</v>
      </c>
      <c r="P93" s="46">
        <f t="shared" ca="1" si="6"/>
        <v>2.6676056337946456E-3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input_491101!A$2</f>
        <v>491101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IFERROR(VLOOKUP(B94,input_491101!L:R,7,FALSE),VLOOKUP(tables_491101!C94,input_491101!A:H,8,FALSE))</f>
        <v>24665.152819999999</v>
      </c>
      <c r="P94" s="46">
        <f t="shared" ca="1" si="6"/>
        <v>1.8880245575569846E-3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input_491101!A$2</f>
        <v>491101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IFERROR(VLOOKUP(B95,input_491101!L:R,7,FALSE),VLOOKUP(tables_491101!C95,input_491101!A:H,8,FALSE))</f>
        <v>135.21641</v>
      </c>
      <c r="P95" s="46">
        <f t="shared" ca="1" si="6"/>
        <v>1.0350306950366335E-5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input_491101!A$2</f>
        <v>491101</v>
      </c>
      <c r="B96" s="5">
        <v>220</v>
      </c>
      <c r="C96" s="7" t="str">
        <f t="shared" si="4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IFERROR(VLOOKUP(B96,input_491101!L:R,7,FALSE),VLOOKUP(tables_491101!C96,input_491101!A:H,8,FALSE))</f>
        <v>34849.599999999999</v>
      </c>
      <c r="P96" s="46">
        <f t="shared" ca="1" si="6"/>
        <v>2.6676056337946456E-3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input_491101!A$2</f>
        <v>491101</v>
      </c>
      <c r="B97" s="5">
        <v>221</v>
      </c>
      <c r="C97" s="7" t="str">
        <f t="shared" si="4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IFERROR(VLOOKUP(B97,input_491101!L:R,7,FALSE),VLOOKUP(tables_491101!C97,input_491101!A:H,8,FALSE))</f>
        <v>24665.152819999999</v>
      </c>
      <c r="P97" s="46">
        <f t="shared" ca="1" si="6"/>
        <v>1.8880245575569846E-3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input_491101!A$2</f>
        <v>491101</v>
      </c>
      <c r="B98" s="5">
        <v>222</v>
      </c>
      <c r="C98" s="7" t="str">
        <f t="shared" si="4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IFERROR(VLOOKUP(B98,input_491101!L:R,7,FALSE),VLOOKUP(tables_491101!C98,input_491101!A:H,8,FALSE))</f>
        <v>135.21641</v>
      </c>
      <c r="P98" s="46">
        <f t="shared" ca="1" si="6"/>
        <v>1.0350306950366335E-5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input_491101!A$2</f>
        <v>491101</v>
      </c>
      <c r="B99" s="5">
        <v>223</v>
      </c>
      <c r="C99" s="7" t="str">
        <f t="shared" si="4"/>
        <v>Premium3color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IFERROR(VLOOKUP(B99,input_491101!L:R,7,FALSE),VLOOKUP(tables_491101!C99,input_491101!A:H,8,FALSE))</f>
        <v>168703.74544999999</v>
      </c>
      <c r="P99" s="46">
        <f t="shared" ca="1" si="6"/>
        <v>1.2913636363248869E-2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input_491101!A$2</f>
        <v>491101</v>
      </c>
      <c r="B100" s="5">
        <v>224</v>
      </c>
      <c r="C100" s="7" t="str">
        <f t="shared" si="4"/>
        <v>Premium4color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IFERROR(VLOOKUP(B100,input_491101!L:R,7,FALSE),VLOOKUP(tables_491101!C100,input_491101!A:H,8,FALSE))</f>
        <v>165030.35814999999</v>
      </c>
      <c r="P100" s="46">
        <f t="shared" ca="1" si="6"/>
        <v>1.2632452399685737E-2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input_491101!A$2</f>
        <v>491101</v>
      </c>
      <c r="B101" s="5">
        <v>225</v>
      </c>
      <c r="C101" s="7" t="str">
        <f t="shared" si="4"/>
        <v>Premium5color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IFERROR(VLOOKUP(B101,input_491101!L:R,7,FALSE),VLOOKUP(tables_491101!C101,input_491101!A:H,8,FALSE))</f>
        <v>3673.3873100000001</v>
      </c>
      <c r="P101" s="46">
        <f t="shared" ca="1" si="6"/>
        <v>2.8118396432859371E-4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input_491101!A$2</f>
        <v>491101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IFERROR(VLOOKUP(B102,input_491101!L:R,7,FALSE),VLOOKUP(tables_491101!C102,input_491101!A:H,8,FALSE))</f>
        <v>34849.599999999999</v>
      </c>
      <c r="P102" s="46">
        <f t="shared" ca="1" si="6"/>
        <v>2.6676056337946456E-3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input_491101!A$2</f>
        <v>491101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IFERROR(VLOOKUP(B103,input_491101!L:R,7,FALSE),VLOOKUP(tables_491101!C103,input_491101!A:H,8,FALSE))</f>
        <v>24665.152819999999</v>
      </c>
      <c r="P103" s="46">
        <f t="shared" ca="1" si="6"/>
        <v>1.8880245575569846E-3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input_491101!A$2</f>
        <v>491101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IFERROR(VLOOKUP(B104,input_491101!L:R,7,FALSE),VLOOKUP(tables_491101!C104,input_491101!A:H,8,FALSE))</f>
        <v>135.21641</v>
      </c>
      <c r="P104" s="46">
        <f t="shared" ca="1" si="6"/>
        <v>1.0350306950366335E-5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input_491101!A$2</f>
        <v>491101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IFERROR(VLOOKUP(B105,input_491101!L:R,7,FALSE),VLOOKUP(tables_491101!C105,input_491101!A:H,8,FALSE))</f>
        <v>34849.599999999999</v>
      </c>
      <c r="P105" s="46">
        <f t="shared" ca="1" si="6"/>
        <v>2.6676056337946456E-3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input_491101!A$2</f>
        <v>491101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IFERROR(VLOOKUP(B106,input_491101!L:R,7,FALSE),VLOOKUP(tables_491101!C106,input_491101!A:H,8,FALSE))</f>
        <v>24665.152819999999</v>
      </c>
      <c r="P106" s="46">
        <f t="shared" ca="1" si="6"/>
        <v>1.8880245575569846E-3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input_491101!A$2</f>
        <v>491101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IFERROR(VLOOKUP(B107,input_491101!L:R,7,FALSE),VLOOKUP(tables_491101!C107,input_491101!A:H,8,FALSE))</f>
        <v>135.21641</v>
      </c>
      <c r="P107" s="46">
        <f t="shared" ca="1" si="6"/>
        <v>1.0350306950366335E-5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input_491101!A$2</f>
        <v>491101</v>
      </c>
      <c r="B108" s="5">
        <v>232</v>
      </c>
      <c r="C108" s="7" t="str">
        <f t="shared" si="4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IFERROR(VLOOKUP(B108,input_491101!L:R,7,FALSE),VLOOKUP(tables_491101!C108,input_491101!A:H,8,FALSE))</f>
        <v>34849.599999999999</v>
      </c>
      <c r="P108" s="46">
        <f t="shared" ca="1" si="6"/>
        <v>2.6676056337946456E-3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input_491101!A$2</f>
        <v>491101</v>
      </c>
      <c r="B109" s="5">
        <v>233</v>
      </c>
      <c r="C109" s="7" t="str">
        <f t="shared" si="4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IFERROR(VLOOKUP(B109,input_491101!L:R,7,FALSE),VLOOKUP(tables_491101!C109,input_491101!A:H,8,FALSE))</f>
        <v>24665.152819999999</v>
      </c>
      <c r="P109" s="46">
        <f t="shared" ca="1" si="6"/>
        <v>1.8880245575569846E-3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input_491101!A$2</f>
        <v>491101</v>
      </c>
      <c r="B110" s="5">
        <v>234</v>
      </c>
      <c r="C110" s="7" t="str">
        <f t="shared" si="4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IFERROR(VLOOKUP(B110,input_491101!L:R,7,FALSE),VLOOKUP(tables_491101!C110,input_491101!A:H,8,FALSE))</f>
        <v>135.21641</v>
      </c>
      <c r="P110" s="46">
        <f t="shared" ca="1" si="6"/>
        <v>1.0350306950366335E-5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input_491101!A$2</f>
        <v>491101</v>
      </c>
      <c r="B111" s="5">
        <v>235</v>
      </c>
      <c r="C111" s="7" t="str">
        <f t="shared" si="4"/>
        <v>Premium3R6releasecolor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IFERROR(VLOOKUP(B111,input_491101!L:R,7,FALSE),VLOOKUP(tables_491101!C111,input_491101!A:H,8,FALSE))</f>
        <v>168703.74544999999</v>
      </c>
      <c r="P111" s="46">
        <f t="shared" ca="1" si="6"/>
        <v>1.2913636363248869E-2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input_491101!A$2</f>
        <v>491101</v>
      </c>
      <c r="B112" s="5">
        <v>236</v>
      </c>
      <c r="C112" s="7" t="str">
        <f t="shared" si="4"/>
        <v>Premium4R6releasecolor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IFERROR(VLOOKUP(B112,input_491101!L:R,7,FALSE),VLOOKUP(tables_491101!C112,input_491101!A:H,8,FALSE))</f>
        <v>151833.37091</v>
      </c>
      <c r="P112" s="46">
        <f t="shared" ca="1" si="6"/>
        <v>1.1622272727306714E-2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input_491101!A$2</f>
        <v>491101</v>
      </c>
      <c r="B113" s="5">
        <v>237</v>
      </c>
      <c r="C113" s="7" t="str">
        <f t="shared" si="4"/>
        <v>Premium5R6releasecolor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IFERROR(VLOOKUP(B113,input_491101!L:R,7,FALSE),VLOOKUP(tables_491101!C113,input_491101!A:H,8,FALSE))</f>
        <v>16870.37455</v>
      </c>
      <c r="P113" s="46">
        <f t="shared" ca="1" si="6"/>
        <v>1.2913636367076181E-3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input_491101!A$2</f>
        <v>491101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IFERROR(VLOOKUP(B114,input_491101!L:R,7,FALSE),VLOOKUP(tables_491101!C114,input_491101!A:H,8,FALSE))</f>
        <v>34849.599999999999</v>
      </c>
      <c r="P114" s="46">
        <f t="shared" ca="1" si="6"/>
        <v>2.6676056337946456E-3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input_491101!A$2</f>
        <v>491101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IFERROR(VLOOKUP(B115,input_491101!L:R,7,FALSE),VLOOKUP(tables_491101!C115,input_491101!A:H,8,FALSE))</f>
        <v>24665.152819999999</v>
      </c>
      <c r="P115" s="46">
        <f t="shared" ca="1" si="6"/>
        <v>1.8880245575569846E-3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input_491101!A$2</f>
        <v>491101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IFERROR(VLOOKUP(B116,input_491101!L:R,7,FALSE),VLOOKUP(tables_491101!C116,input_491101!A:H,8,FALSE))</f>
        <v>135.21641</v>
      </c>
      <c r="P116" s="46">
        <f t="shared" ca="1" si="6"/>
        <v>1.0350306950366335E-5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input_491101!A$2</f>
        <v>491101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IFERROR(VLOOKUP(B117,input_491101!L:R,7,FALSE),VLOOKUP(tables_491101!C117,input_491101!A:H,8,FALSE))</f>
        <v>34849.599999999999</v>
      </c>
      <c r="P117" s="46">
        <f t="shared" ca="1" si="6"/>
        <v>2.6676056337946456E-3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input_491101!A$2</f>
        <v>491101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IFERROR(VLOOKUP(B118,input_491101!L:R,7,FALSE),VLOOKUP(tables_491101!C118,input_491101!A:H,8,FALSE))</f>
        <v>24665.152819999999</v>
      </c>
      <c r="P118" s="46">
        <f t="shared" ca="1" si="6"/>
        <v>1.8880245575569846E-3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input_491101!A$2</f>
        <v>491101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IFERROR(VLOOKUP(B119,input_491101!L:R,7,FALSE),VLOOKUP(tables_491101!C119,input_491101!A:H,8,FALSE))</f>
        <v>135.21641</v>
      </c>
      <c r="P119" s="46">
        <f t="shared" ca="1" si="6"/>
        <v>1.0350306950366335E-5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input_491101!A$2</f>
        <v>491101</v>
      </c>
      <c r="B120" s="5">
        <v>244</v>
      </c>
      <c r="C120" s="7" t="str">
        <f t="shared" si="4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IFERROR(VLOOKUP(B120,input_491101!L:R,7,FALSE),VLOOKUP(tables_491101!C120,input_491101!A:H,8,FALSE))</f>
        <v>34849.599999999999</v>
      </c>
      <c r="P120" s="46">
        <f t="shared" ca="1" si="6"/>
        <v>2.6676056337946456E-3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input_491101!A$2</f>
        <v>491101</v>
      </c>
      <c r="B121" s="5">
        <v>245</v>
      </c>
      <c r="C121" s="7" t="str">
        <f t="shared" si="4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IFERROR(VLOOKUP(B121,input_491101!L:R,7,FALSE),VLOOKUP(tables_491101!C121,input_491101!A:H,8,FALSE))</f>
        <v>24665.152819999999</v>
      </c>
      <c r="P121" s="46">
        <f t="shared" ca="1" si="6"/>
        <v>1.8880245575569846E-3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input_491101!A$2</f>
        <v>491101</v>
      </c>
      <c r="B122" s="5">
        <v>246</v>
      </c>
      <c r="C122" s="7" t="str">
        <f t="shared" si="4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IFERROR(VLOOKUP(B122,input_491101!L:R,7,FALSE),VLOOKUP(tables_491101!C122,input_491101!A:H,8,FALSE))</f>
        <v>135.21641</v>
      </c>
      <c r="P122" s="46">
        <f t="shared" ca="1" si="6"/>
        <v>1.0350306950366335E-5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input_491101!A$2</f>
        <v>491101</v>
      </c>
      <c r="B123" s="5">
        <v>247</v>
      </c>
      <c r="C123" s="7" t="str">
        <f t="shared" si="4"/>
        <v>Premium3color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IFERROR(VLOOKUP(B123,input_491101!L:R,7,FALSE),VLOOKUP(tables_491101!C123,input_491101!A:H,8,FALSE))</f>
        <v>168703.74544999999</v>
      </c>
      <c r="P123" s="46">
        <f t="shared" ca="1" si="6"/>
        <v>1.2913636363248869E-2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input_491101!A$2</f>
        <v>491101</v>
      </c>
      <c r="B124" s="6">
        <v>248</v>
      </c>
      <c r="C124" s="7" t="str">
        <f t="shared" si="4"/>
        <v>Premium4color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IFERROR(VLOOKUP(B124,input_491101!L:R,7,FALSE),VLOOKUP(tables_491101!C124,input_491101!A:H,8,FALSE))</f>
        <v>165030.35814999999</v>
      </c>
      <c r="P124" s="46">
        <f t="shared" ca="1" si="6"/>
        <v>1.2632452399685737E-2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input_491101!A$2</f>
        <v>491101</v>
      </c>
      <c r="B125" s="6">
        <v>249</v>
      </c>
      <c r="C125" s="7" t="str">
        <f t="shared" si="4"/>
        <v>Premium5color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IFERROR(VLOOKUP(B125,input_491101!L:R,7,FALSE),VLOOKUP(tables_491101!C125,input_491101!A:H,8,FALSE))</f>
        <v>3673.3873100000001</v>
      </c>
      <c r="P125" s="46">
        <f t="shared" ca="1" si="6"/>
        <v>2.8118396432859371E-4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input_491101!A$2</f>
        <v>491101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IFERROR(VLOOKUP(B126,input_491101!L:R,7,FALSE),VLOOKUP(tables_491101!C126,input_491101!A:H,8,FALSE))</f>
        <v>34849.599999999999</v>
      </c>
      <c r="P126" s="46">
        <f t="shared" ca="1" si="6"/>
        <v>2.6676056337946456E-3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input_491101!A$2</f>
        <v>491101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IFERROR(VLOOKUP(B127,input_491101!L:R,7,FALSE),VLOOKUP(tables_491101!C127,input_491101!A:H,8,FALSE))</f>
        <v>24665.152819999999</v>
      </c>
      <c r="P127" s="46">
        <f t="shared" ca="1" si="6"/>
        <v>1.8880245575569846E-3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input_491101!A$2</f>
        <v>491101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IFERROR(VLOOKUP(B128,input_491101!L:R,7,FALSE),VLOOKUP(tables_491101!C128,input_491101!A:H,8,FALSE))</f>
        <v>135.21641</v>
      </c>
      <c r="P128" s="46">
        <f t="shared" ca="1" si="6"/>
        <v>1.0350306950366335E-5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input_491101!A$2</f>
        <v>491101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IFERROR(VLOOKUP(B129,input_491101!L:R,7,FALSE),VLOOKUP(tables_491101!C129,input_491101!A:H,8,FALSE))</f>
        <v>34849.599999999999</v>
      </c>
      <c r="P129" s="46">
        <f t="shared" ca="1" si="6"/>
        <v>2.6676056337946456E-3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input_491101!A$2</f>
        <v>491101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IF(K130="yellow","color","")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IFERROR(VLOOKUP(B130,input_491101!L:R,7,FALSE),VLOOKUP(tables_491101!C130,input_491101!A:H,8,FALSE))</f>
        <v>24665.152819999999</v>
      </c>
      <c r="P130" s="46">
        <f t="shared" ref="P130:P193" ca="1" si="10">O130/SUM(O:O)</f>
        <v>1.8880245575569846E-3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input_491101!A$2</f>
        <v>491101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IFERROR(VLOOKUP(B131,input_491101!L:R,7,FALSE),VLOOKUP(tables_491101!C131,input_491101!A:H,8,FALSE))</f>
        <v>135.21641</v>
      </c>
      <c r="P131" s="46">
        <f t="shared" ca="1" si="10"/>
        <v>1.0350306950366335E-5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input_491101!A$2</f>
        <v>491101</v>
      </c>
      <c r="B132" s="6">
        <v>256</v>
      </c>
      <c r="C132" s="7" t="str">
        <f t="shared" si="8"/>
        <v>Premium3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IFERROR(VLOOKUP(B132,input_491101!L:R,7,FALSE),VLOOKUP(tables_491101!C132,input_491101!A:H,8,FALSE))</f>
        <v>34849.599999999999</v>
      </c>
      <c r="P132" s="46">
        <f t="shared" ca="1" si="10"/>
        <v>2.6676056337946456E-3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input_491101!A$2</f>
        <v>491101</v>
      </c>
      <c r="B133" s="6">
        <v>257</v>
      </c>
      <c r="C133" s="7" t="str">
        <f t="shared" si="8"/>
        <v>Premium4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IFERROR(VLOOKUP(B133,input_491101!L:R,7,FALSE),VLOOKUP(tables_491101!C133,input_491101!A:H,8,FALSE))</f>
        <v>24665.152819999999</v>
      </c>
      <c r="P133" s="46">
        <f t="shared" ca="1" si="10"/>
        <v>1.8880245575569846E-3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input_491101!A$2</f>
        <v>491101</v>
      </c>
      <c r="B134" s="6">
        <v>258</v>
      </c>
      <c r="C134" s="7" t="str">
        <f t="shared" si="8"/>
        <v>Premium5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IFERROR(VLOOKUP(B134,input_491101!L:R,7,FALSE),VLOOKUP(tables_491101!C134,input_491101!A:H,8,FALSE))</f>
        <v>135.21641</v>
      </c>
      <c r="P134" s="46">
        <f t="shared" ca="1" si="10"/>
        <v>1.0350306950366335E-5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input_491101!A$2</f>
        <v>491101</v>
      </c>
      <c r="B135" s="8">
        <v>259</v>
      </c>
      <c r="C135" s="7" t="str">
        <f t="shared" si="8"/>
        <v>Premium3color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IFERROR(VLOOKUP(B135,input_491101!L:R,7,FALSE),VLOOKUP(tables_491101!C135,input_491101!A:H,8,FALSE))</f>
        <v>168703.74544999999</v>
      </c>
      <c r="P135" s="46">
        <f t="shared" ca="1" si="10"/>
        <v>1.2913636363248869E-2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input_491101!A$2</f>
        <v>491101</v>
      </c>
      <c r="B136" s="8">
        <v>260</v>
      </c>
      <c r="C136" s="7" t="str">
        <f t="shared" si="8"/>
        <v>Premium4color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IFERROR(VLOOKUP(B136,input_491101!L:R,7,FALSE),VLOOKUP(tables_491101!C136,input_491101!A:H,8,FALSE))</f>
        <v>165030.35814999999</v>
      </c>
      <c r="P136" s="46">
        <f t="shared" ca="1" si="10"/>
        <v>1.2632452399685737E-2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input_491101!A$2</f>
        <v>491101</v>
      </c>
      <c r="B137" s="6">
        <v>261</v>
      </c>
      <c r="C137" s="7" t="str">
        <f t="shared" si="8"/>
        <v>Premium5color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IFERROR(VLOOKUP(B137,input_491101!L:R,7,FALSE),VLOOKUP(tables_491101!C137,input_491101!A:H,8,FALSE))</f>
        <v>3673.3873100000001</v>
      </c>
      <c r="P137" s="46">
        <f t="shared" ca="1" si="10"/>
        <v>2.8118396432859371E-4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input_491101!A$2</f>
        <v>491101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IFERROR(VLOOKUP(B138,input_491101!L:R,7,FALSE),VLOOKUP(tables_491101!C138,input_491101!A:H,8,FALSE))</f>
        <v>5396</v>
      </c>
      <c r="P138" s="46">
        <f t="shared" ca="1" si="10"/>
        <v>4.1304347825960437E-4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input_491101!A$2</f>
        <v>491101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IFERROR(VLOOKUP(B139,input_491101!L:R,7,FALSE),VLOOKUP(tables_491101!C139,input_491101!A:H,8,FALSE))</f>
        <v>284</v>
      </c>
      <c r="P139" s="46">
        <f t="shared" ca="1" si="10"/>
        <v>2.173913043471602E-5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input_491101!A$2</f>
        <v>491101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IFERROR(VLOOKUP(B140,input_491101!L:R,7,FALSE),VLOOKUP(tables_491101!C140,input_491101!A:H,8,FALSE))</f>
        <v>5396</v>
      </c>
      <c r="P140" s="46">
        <f t="shared" ca="1" si="10"/>
        <v>4.1304347825960437E-4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input_491101!A$2</f>
        <v>491101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IFERROR(VLOOKUP(B141,input_491101!L:R,7,FALSE),VLOOKUP(tables_491101!C141,input_491101!A:H,8,FALSE))</f>
        <v>284</v>
      </c>
      <c r="P141" s="46">
        <f t="shared" ca="1" si="10"/>
        <v>2.173913043471602E-5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input_491101!A$2</f>
        <v>491101</v>
      </c>
      <c r="B142" s="6">
        <v>324</v>
      </c>
      <c r="C142" s="7" t="str">
        <f t="shared" si="8"/>
        <v>PremiumSS4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IFERROR(VLOOKUP(B142,input_491101!L:R,7,FALSE),VLOOKUP(tables_491101!C142,input_491101!A:H,8,FALSE))</f>
        <v>5396</v>
      </c>
      <c r="P142" s="46">
        <f t="shared" ca="1" si="10"/>
        <v>4.1304347825960437E-4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input_491101!A$2</f>
        <v>491101</v>
      </c>
      <c r="B143" s="6">
        <v>325</v>
      </c>
      <c r="C143" s="7" t="str">
        <f t="shared" si="8"/>
        <v>PremiumSS5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IFERROR(VLOOKUP(B143,input_491101!L:R,7,FALSE),VLOOKUP(tables_491101!C143,input_491101!A:H,8,FALSE))</f>
        <v>284</v>
      </c>
      <c r="P143" s="46">
        <f t="shared" ca="1" si="10"/>
        <v>2.173913043471602E-5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input_491101!A$2</f>
        <v>491101</v>
      </c>
      <c r="B144" s="6">
        <v>326</v>
      </c>
      <c r="C144" s="7" t="str">
        <f t="shared" si="8"/>
        <v>PremiumSS4color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IFERROR(VLOOKUP(B144,input_491101!L:R,7,FALSE),VLOOKUP(tables_491101!C144,input_491101!A:H,8,FALSE))</f>
        <v>21901.411759999999</v>
      </c>
      <c r="P144" s="46">
        <f t="shared" ca="1" si="10"/>
        <v>1.6764705878699411E-3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input_491101!A$2</f>
        <v>491101</v>
      </c>
      <c r="B145" s="6">
        <v>327</v>
      </c>
      <c r="C145" s="7" t="str">
        <f t="shared" si="8"/>
        <v>PremiumSS5color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IFERROR(VLOOKUP(B145,input_491101!L:R,7,FALSE),VLOOKUP(tables_491101!C145,input_491101!A:H,8,FALSE))</f>
        <v>1152.70588</v>
      </c>
      <c r="P145" s="46">
        <f t="shared" ca="1" si="10"/>
        <v>8.8235293937267997E-5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input_491101!A$2</f>
        <v>491101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IFERROR(VLOOKUP(B146,input_491101!L:R,7,FALSE),VLOOKUP(tables_491101!C146,input_491101!A:H,8,FALSE))</f>
        <v>34849.599999999999</v>
      </c>
      <c r="P146" s="46">
        <f t="shared" ca="1" si="10"/>
        <v>2.6676056337946456E-3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input_491101!A$2</f>
        <v>491101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IFERROR(VLOOKUP(B147,input_491101!L:R,7,FALSE),VLOOKUP(tables_491101!C147,input_491101!A:H,8,FALSE))</f>
        <v>24665.152819999999</v>
      </c>
      <c r="P147" s="46">
        <f t="shared" ca="1" si="10"/>
        <v>1.8880245575569846E-3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input_491101!A$2</f>
        <v>491101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IFERROR(VLOOKUP(B148,input_491101!L:R,7,FALSE),VLOOKUP(tables_491101!C148,input_491101!A:H,8,FALSE))</f>
        <v>135.21641</v>
      </c>
      <c r="P148" s="46">
        <f t="shared" ca="1" si="10"/>
        <v>1.0350306950366335E-5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input_491101!A$2</f>
        <v>491101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IFERROR(VLOOKUP(B149,input_491101!L:R,7,FALSE),VLOOKUP(tables_491101!C149,input_491101!A:H,8,FALSE))</f>
        <v>5396</v>
      </c>
      <c r="P149" s="46">
        <f t="shared" ca="1" si="10"/>
        <v>4.1304347825960437E-4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input_491101!A$2</f>
        <v>491101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IFERROR(VLOOKUP(B150,input_491101!L:R,7,FALSE),VLOOKUP(tables_491101!C150,input_491101!A:H,8,FALSE))</f>
        <v>284</v>
      </c>
      <c r="P150" s="46">
        <f t="shared" ca="1" si="10"/>
        <v>2.173913043471602E-5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input_491101!A$2</f>
        <v>491101</v>
      </c>
      <c r="B151" s="6">
        <v>385</v>
      </c>
      <c r="C151" s="7" t="str">
        <f t="shared" si="8"/>
        <v>PremiumSS4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IFERROR(VLOOKUP(B151,input_491101!L:R,7,FALSE),VLOOKUP(tables_491101!C151,input_491101!A:H,8,FALSE))</f>
        <v>5396</v>
      </c>
      <c r="P151" s="46">
        <f t="shared" ca="1" si="10"/>
        <v>4.1304347825960437E-4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input_491101!A$2</f>
        <v>491101</v>
      </c>
      <c r="B152" s="6">
        <v>386</v>
      </c>
      <c r="C152" s="7" t="str">
        <f t="shared" si="8"/>
        <v>PremiumSS5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IFERROR(VLOOKUP(B152,input_491101!L:R,7,FALSE),VLOOKUP(tables_491101!C152,input_491101!A:H,8,FALSE))</f>
        <v>284</v>
      </c>
      <c r="P152" s="46">
        <f t="shared" ca="1" si="10"/>
        <v>2.173913043471602E-5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input_491101!A$2</f>
        <v>491101</v>
      </c>
      <c r="B153" s="6">
        <v>387</v>
      </c>
      <c r="C153" s="7" t="str">
        <f t="shared" si="8"/>
        <v>Premium3color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IFERROR(VLOOKUP(B153,input_491101!L:R,7,FALSE),VLOOKUP(tables_491101!C153,input_491101!A:H,8,FALSE))</f>
        <v>168703.74544999999</v>
      </c>
      <c r="P153" s="46">
        <f t="shared" ca="1" si="10"/>
        <v>1.2913636363248869E-2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input_491101!A$2</f>
        <v>491101</v>
      </c>
      <c r="B154" s="6">
        <v>388</v>
      </c>
      <c r="C154" s="7" t="str">
        <f t="shared" si="8"/>
        <v>Premium4color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IFERROR(VLOOKUP(B154,input_491101!L:R,7,FALSE),VLOOKUP(tables_491101!C154,input_491101!A:H,8,FALSE))</f>
        <v>165030.35814999999</v>
      </c>
      <c r="P154" s="46">
        <f t="shared" ca="1" si="10"/>
        <v>1.2632452399685737E-2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input_491101!A$2</f>
        <v>491101</v>
      </c>
      <c r="B155" s="6">
        <v>389</v>
      </c>
      <c r="C155" s="7" t="str">
        <f t="shared" si="8"/>
        <v>Premium5color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IFERROR(VLOOKUP(B155,input_491101!L:R,7,FALSE),VLOOKUP(tables_491101!C155,input_491101!A:H,8,FALSE))</f>
        <v>3673.3873100000001</v>
      </c>
      <c r="P155" s="46">
        <f t="shared" ca="1" si="10"/>
        <v>2.8118396432859371E-4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input_491101!A$2</f>
        <v>491101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IFERROR(VLOOKUP(B156,input_491101!L:R,7,FALSE),VLOOKUP(tables_491101!C156,input_491101!A:H,8,FALSE))</f>
        <v>5396</v>
      </c>
      <c r="P156" s="46">
        <f t="shared" ca="1" si="10"/>
        <v>4.1304347825960437E-4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input_491101!A$2</f>
        <v>491101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IFERROR(VLOOKUP(B157,input_491101!L:R,7,FALSE),VLOOKUP(tables_491101!C157,input_491101!A:H,8,FALSE))</f>
        <v>284</v>
      </c>
      <c r="P157" s="46">
        <f t="shared" ca="1" si="10"/>
        <v>2.173913043471602E-5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input_491101!A$2</f>
        <v>491101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IFERROR(VLOOKUP(B158,input_491101!L:R,7,FALSE),VLOOKUP(tables_491101!C158,input_491101!A:H,8,FALSE))</f>
        <v>34849.599999999999</v>
      </c>
      <c r="P158" s="46">
        <f t="shared" ca="1" si="10"/>
        <v>2.6676056337946456E-3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input_491101!A$2</f>
        <v>491101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IFERROR(VLOOKUP(B159,input_491101!L:R,7,FALSE),VLOOKUP(tables_491101!C159,input_491101!A:H,8,FALSE))</f>
        <v>24665.152819999999</v>
      </c>
      <c r="P159" s="46">
        <f t="shared" ca="1" si="10"/>
        <v>1.8880245575569846E-3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input_491101!A$2</f>
        <v>491101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IFERROR(VLOOKUP(B160,input_491101!L:R,7,FALSE),VLOOKUP(tables_491101!C160,input_491101!A:H,8,FALSE))</f>
        <v>135.21641</v>
      </c>
      <c r="P160" s="46">
        <f t="shared" ca="1" si="10"/>
        <v>1.0350306950366335E-5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input_491101!A$2</f>
        <v>491101</v>
      </c>
      <c r="B161" s="6">
        <v>395</v>
      </c>
      <c r="C161" s="7" t="str">
        <f t="shared" si="8"/>
        <v>Premium3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IFERROR(VLOOKUP(B161,input_491101!L:R,7,FALSE),VLOOKUP(tables_491101!C161,input_491101!A:H,8,FALSE))</f>
        <v>34849.599999999999</v>
      </c>
      <c r="P161" s="46">
        <f t="shared" ca="1" si="10"/>
        <v>2.6676056337946456E-3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input_491101!A$2</f>
        <v>491101</v>
      </c>
      <c r="B162" s="6">
        <v>396</v>
      </c>
      <c r="C162" s="7" t="str">
        <f t="shared" si="8"/>
        <v>Premium4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IFERROR(VLOOKUP(B162,input_491101!L:R,7,FALSE),VLOOKUP(tables_491101!C162,input_491101!A:H,8,FALSE))</f>
        <v>24665.152819999999</v>
      </c>
      <c r="P162" s="46">
        <f t="shared" ca="1" si="10"/>
        <v>1.8880245575569846E-3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input_491101!A$2</f>
        <v>491101</v>
      </c>
      <c r="B163" s="6">
        <v>397</v>
      </c>
      <c r="C163" s="7" t="str">
        <f t="shared" si="8"/>
        <v>Premium5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IFERROR(VLOOKUP(B163,input_491101!L:R,7,FALSE),VLOOKUP(tables_491101!C163,input_491101!A:H,8,FALSE))</f>
        <v>135.21641</v>
      </c>
      <c r="P163" s="46">
        <f t="shared" ca="1" si="10"/>
        <v>1.0350306950366335E-5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input_491101!A$2</f>
        <v>491101</v>
      </c>
      <c r="B164" s="6">
        <v>398</v>
      </c>
      <c r="C164" s="7" t="str">
        <f t="shared" si="8"/>
        <v>PremiumSS4color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IFERROR(VLOOKUP(B164,input_491101!L:R,7,FALSE),VLOOKUP(tables_491101!C164,input_491101!A:H,8,FALSE))</f>
        <v>21901.411759999999</v>
      </c>
      <c r="P164" s="46">
        <f t="shared" ca="1" si="10"/>
        <v>1.6764705878699411E-3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input_491101!A$2</f>
        <v>491101</v>
      </c>
      <c r="B165" s="6">
        <v>399</v>
      </c>
      <c r="C165" s="7" t="str">
        <f t="shared" si="8"/>
        <v>PremiumSS5color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IFERROR(VLOOKUP(B165,input_491101!L:R,7,FALSE),VLOOKUP(tables_491101!C165,input_491101!A:H,8,FALSE))</f>
        <v>1152.70588</v>
      </c>
      <c r="P165" s="46">
        <f t="shared" ca="1" si="10"/>
        <v>8.8235293937267997E-5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input_491101!A$2</f>
        <v>491101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IFERROR(VLOOKUP(B166,input_491101!L:R,7,FALSE),VLOOKUP(tables_491101!C166,input_491101!A:H,8,FALSE))</f>
        <v>34849.599999999999</v>
      </c>
      <c r="P166" s="46">
        <f t="shared" ca="1" si="10"/>
        <v>2.6676056337946456E-3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input_491101!A$2</f>
        <v>491101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IFERROR(VLOOKUP(B167,input_491101!L:R,7,FALSE),VLOOKUP(tables_491101!C167,input_491101!A:H,8,FALSE))</f>
        <v>24665.152819999999</v>
      </c>
      <c r="P167" s="46">
        <f t="shared" ca="1" si="10"/>
        <v>1.8880245575569846E-3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input_491101!A$2</f>
        <v>491101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IFERROR(VLOOKUP(B168,input_491101!L:R,7,FALSE),VLOOKUP(tables_491101!C168,input_491101!A:H,8,FALSE))</f>
        <v>135.21641</v>
      </c>
      <c r="P168" s="46">
        <f t="shared" ca="1" si="10"/>
        <v>1.0350306950366335E-5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input_491101!A$2</f>
        <v>491101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IFERROR(VLOOKUP(B169,input_491101!L:R,7,FALSE),VLOOKUP(tables_491101!C169,input_491101!A:H,8,FALSE))</f>
        <v>5396</v>
      </c>
      <c r="P169" s="46">
        <f t="shared" ca="1" si="10"/>
        <v>4.1304347825960437E-4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input_491101!A$2</f>
        <v>491101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IFERROR(VLOOKUP(B170,input_491101!L:R,7,FALSE),VLOOKUP(tables_491101!C170,input_491101!A:H,8,FALSE))</f>
        <v>284</v>
      </c>
      <c r="P170" s="46">
        <f t="shared" ca="1" si="10"/>
        <v>2.173913043471602E-5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input_491101!A$2</f>
        <v>491101</v>
      </c>
      <c r="B171" s="6">
        <v>405</v>
      </c>
      <c r="C171" s="7" t="str">
        <f t="shared" si="8"/>
        <v>Premium3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IFERROR(VLOOKUP(B171,input_491101!L:R,7,FALSE),VLOOKUP(tables_491101!C171,input_491101!A:H,8,FALSE))</f>
        <v>34849.599999999999</v>
      </c>
      <c r="P171" s="46">
        <f t="shared" ca="1" si="10"/>
        <v>2.6676056337946456E-3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input_491101!A$2</f>
        <v>491101</v>
      </c>
      <c r="B172" s="6">
        <v>406</v>
      </c>
      <c r="C172" s="7" t="str">
        <f t="shared" si="8"/>
        <v>Premium4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IFERROR(VLOOKUP(B172,input_491101!L:R,7,FALSE),VLOOKUP(tables_491101!C172,input_491101!A:H,8,FALSE))</f>
        <v>24665.152819999999</v>
      </c>
      <c r="P172" s="46">
        <f t="shared" ca="1" si="10"/>
        <v>1.8880245575569846E-3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input_491101!A$2</f>
        <v>491101</v>
      </c>
      <c r="B173" s="6">
        <v>407</v>
      </c>
      <c r="C173" s="7" t="str">
        <f t="shared" si="8"/>
        <v>Premium5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IFERROR(VLOOKUP(B173,input_491101!L:R,7,FALSE),VLOOKUP(tables_491101!C173,input_491101!A:H,8,FALSE))</f>
        <v>135.21641</v>
      </c>
      <c r="P173" s="46">
        <f t="shared" ca="1" si="10"/>
        <v>1.0350306950366335E-5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input_491101!A$2</f>
        <v>491101</v>
      </c>
      <c r="B174" s="6">
        <v>408</v>
      </c>
      <c r="C174" s="7" t="str">
        <f t="shared" si="8"/>
        <v>PremiumSS4color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IFERROR(VLOOKUP(B174,input_491101!L:R,7,FALSE),VLOOKUP(tables_491101!C174,input_491101!A:H,8,FALSE))</f>
        <v>21901.411759999999</v>
      </c>
      <c r="P174" s="46">
        <f t="shared" ca="1" si="10"/>
        <v>1.6764705878699411E-3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input_491101!A$2</f>
        <v>491101</v>
      </c>
      <c r="B175" s="6">
        <v>409</v>
      </c>
      <c r="C175" s="7" t="str">
        <f t="shared" si="8"/>
        <v>PremiumSS5color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IFERROR(VLOOKUP(B175,input_491101!L:R,7,FALSE),VLOOKUP(tables_491101!C175,input_491101!A:H,8,FALSE))</f>
        <v>1152.70588</v>
      </c>
      <c r="P175" s="46">
        <f t="shared" ca="1" si="10"/>
        <v>8.8235293937267997E-5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input_491101!A$2</f>
        <v>491101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IFERROR(VLOOKUP(B176,input_491101!L:R,7,FALSE),VLOOKUP(tables_491101!C176,input_491101!A:H,8,FALSE))</f>
        <v>5396</v>
      </c>
      <c r="P176" s="46">
        <f t="shared" ca="1" si="10"/>
        <v>4.1304347825960437E-4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input_491101!A$2</f>
        <v>491101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IFERROR(VLOOKUP(B177,input_491101!L:R,7,FALSE),VLOOKUP(tables_491101!C177,input_491101!A:H,8,FALSE))</f>
        <v>284</v>
      </c>
      <c r="P177" s="46">
        <f t="shared" ca="1" si="10"/>
        <v>2.173913043471602E-5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input_491101!A$2</f>
        <v>491101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IFERROR(VLOOKUP(B178,input_491101!L:R,7,FALSE),VLOOKUP(tables_491101!C178,input_491101!A:H,8,FALSE))</f>
        <v>34849.599999999999</v>
      </c>
      <c r="P178" s="46">
        <f t="shared" ca="1" si="10"/>
        <v>2.6676056337946456E-3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input_491101!A$2</f>
        <v>491101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IFERROR(VLOOKUP(B179,input_491101!L:R,7,FALSE),VLOOKUP(tables_491101!C179,input_491101!A:H,8,FALSE))</f>
        <v>24665.152819999999</v>
      </c>
      <c r="P179" s="46">
        <f t="shared" ca="1" si="10"/>
        <v>1.8880245575569846E-3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input_491101!A$2</f>
        <v>491101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IFERROR(VLOOKUP(B180,input_491101!L:R,7,FALSE),VLOOKUP(tables_491101!C180,input_491101!A:H,8,FALSE))</f>
        <v>135.21641</v>
      </c>
      <c r="P180" s="46">
        <f t="shared" ca="1" si="10"/>
        <v>1.0350306950366335E-5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input_491101!A$2</f>
        <v>491101</v>
      </c>
      <c r="B181" s="6">
        <v>439</v>
      </c>
      <c r="C181" s="7" t="str">
        <f t="shared" si="8"/>
        <v>Premium3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IFERROR(VLOOKUP(B181,input_491101!L:R,7,FALSE),VLOOKUP(tables_491101!C181,input_491101!A:H,8,FALSE))</f>
        <v>34849.599999999999</v>
      </c>
      <c r="P181" s="46">
        <f t="shared" ca="1" si="10"/>
        <v>2.6676056337946456E-3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input_491101!A$2</f>
        <v>491101</v>
      </c>
      <c r="B182" s="6">
        <v>440</v>
      </c>
      <c r="C182" s="7" t="str">
        <f t="shared" si="8"/>
        <v>Premium4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IFERROR(VLOOKUP(B182,input_491101!L:R,7,FALSE),VLOOKUP(tables_491101!C182,input_491101!A:H,8,FALSE))</f>
        <v>24665.152819999999</v>
      </c>
      <c r="P182" s="46">
        <f t="shared" ca="1" si="10"/>
        <v>1.8880245575569846E-3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input_491101!A$2</f>
        <v>491101</v>
      </c>
      <c r="B183" s="6">
        <v>441</v>
      </c>
      <c r="C183" s="7" t="str">
        <f t="shared" si="8"/>
        <v>Premium5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IFERROR(VLOOKUP(B183,input_491101!L:R,7,FALSE),VLOOKUP(tables_491101!C183,input_491101!A:H,8,FALSE))</f>
        <v>135.21641</v>
      </c>
      <c r="P183" s="46">
        <f t="shared" ca="1" si="10"/>
        <v>1.0350306950366335E-5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input_491101!A$2</f>
        <v>491101</v>
      </c>
      <c r="B184" s="6">
        <v>442</v>
      </c>
      <c r="C184" s="7" t="str">
        <f t="shared" si="8"/>
        <v>PremiumSS4color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IFERROR(VLOOKUP(B184,input_491101!L:R,7,FALSE),VLOOKUP(tables_491101!C184,input_491101!A:H,8,FALSE))</f>
        <v>21901.411759999999</v>
      </c>
      <c r="P184" s="46">
        <f t="shared" ca="1" si="10"/>
        <v>1.6764705878699411E-3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input_491101!A$2</f>
        <v>491101</v>
      </c>
      <c r="B185" s="8">
        <v>443</v>
      </c>
      <c r="C185" s="7" t="str">
        <f t="shared" si="8"/>
        <v>PremiumSS5color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IFERROR(VLOOKUP(B185,input_491101!L:R,7,FALSE),VLOOKUP(tables_491101!C185,input_491101!A:H,8,FALSE))</f>
        <v>1152.70588</v>
      </c>
      <c r="P185" s="46">
        <f t="shared" ca="1" si="10"/>
        <v>8.8235293937267997E-5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input_491101!A$2</f>
        <v>491101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IFERROR(VLOOKUP(B186,input_491101!L:R,7,FALSE),VLOOKUP(tables_491101!C186,input_491101!A:H,8,FALSE))</f>
        <v>34849.599999999999</v>
      </c>
      <c r="P186" s="46">
        <f t="shared" ca="1" si="10"/>
        <v>2.6676056337946456E-3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input_491101!A$2</f>
        <v>491101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IFERROR(VLOOKUP(B187,input_491101!L:R,7,FALSE),VLOOKUP(tables_491101!C187,input_491101!A:H,8,FALSE))</f>
        <v>24665.152819999999</v>
      </c>
      <c r="P187" s="46">
        <f t="shared" ca="1" si="10"/>
        <v>1.8880245575569846E-3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input_491101!A$2</f>
        <v>491101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IFERROR(VLOOKUP(B188,input_491101!L:R,7,FALSE),VLOOKUP(tables_491101!C188,input_491101!A:H,8,FALSE))</f>
        <v>135.21641</v>
      </c>
      <c r="P188" s="46">
        <f t="shared" ca="1" si="10"/>
        <v>1.0350306950366335E-5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input_491101!A$2</f>
        <v>491101</v>
      </c>
      <c r="B189" s="6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IFERROR(VLOOKUP(B189,input_491101!L:R,7,FALSE),VLOOKUP(tables_491101!C189,input_491101!A:H,8,FALSE))</f>
        <v>5396</v>
      </c>
      <c r="P189" s="46">
        <f t="shared" ca="1" si="10"/>
        <v>4.1304347825960437E-4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input_491101!A$2</f>
        <v>491101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IFERROR(VLOOKUP(B190,input_491101!L:R,7,FALSE),VLOOKUP(tables_491101!C190,input_491101!A:H,8,FALSE))</f>
        <v>284</v>
      </c>
      <c r="P190" s="46">
        <f t="shared" ca="1" si="10"/>
        <v>2.173913043471602E-5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input_491101!A$2</f>
        <v>491101</v>
      </c>
      <c r="B191" s="6">
        <v>467</v>
      </c>
      <c r="C191" s="7" t="str">
        <f t="shared" si="8"/>
        <v>PremiumSS4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IFERROR(VLOOKUP(B191,input_491101!L:R,7,FALSE),VLOOKUP(tables_491101!C191,input_491101!A:H,8,FALSE))</f>
        <v>5396</v>
      </c>
      <c r="P191" s="46">
        <f t="shared" ca="1" si="10"/>
        <v>4.1304347825960437E-4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input_491101!A$2</f>
        <v>491101</v>
      </c>
      <c r="B192" s="6">
        <v>468</v>
      </c>
      <c r="C192" s="7" t="str">
        <f t="shared" si="8"/>
        <v>PremiumSS5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IFERROR(VLOOKUP(B192,input_491101!L:R,7,FALSE),VLOOKUP(tables_491101!C192,input_491101!A:H,8,FALSE))</f>
        <v>284</v>
      </c>
      <c r="P192" s="46">
        <f t="shared" ca="1" si="10"/>
        <v>2.173913043471602E-5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input_491101!A$2</f>
        <v>491101</v>
      </c>
      <c r="B193" s="6">
        <v>469</v>
      </c>
      <c r="C193" s="7" t="str">
        <f t="shared" si="8"/>
        <v>Premium3color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IFERROR(VLOOKUP(B193,input_491101!L:R,7,FALSE),VLOOKUP(tables_491101!C193,input_491101!A:H,8,FALSE))</f>
        <v>168703.74544999999</v>
      </c>
      <c r="P193" s="46">
        <f t="shared" ca="1" si="10"/>
        <v>1.2913636363248869E-2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input_491101!A$2</f>
        <v>491101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IF(K194="yellow","color","")</f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IFERROR(VLOOKUP(B194,input_491101!L:R,7,FALSE),VLOOKUP(tables_491101!C194,input_491101!A:H,8,FALSE))</f>
        <v>165030.35814999999</v>
      </c>
      <c r="P194" s="46">
        <f t="shared" ref="P194:P257" ca="1" si="14">O194/SUM(O:O)</f>
        <v>1.2632452399685737E-2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input_491101!A$2</f>
        <v>491101</v>
      </c>
      <c r="B195" s="6">
        <v>471</v>
      </c>
      <c r="C195" s="7" t="str">
        <f t="shared" si="12"/>
        <v>Premium5color</v>
      </c>
      <c r="D195" s="7" t="str">
        <f t="shared" ref="D195:D258" si="15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IFERROR(VLOOKUP(B195,input_491101!L:R,7,FALSE),VLOOKUP(tables_491101!C195,input_491101!A:H,8,FALSE))</f>
        <v>3673.3873100000001</v>
      </c>
      <c r="P195" s="46">
        <f t="shared" ca="1" si="14"/>
        <v>2.8118396432859371E-4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input_491101!A$2</f>
        <v>491101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IFERROR(VLOOKUP(B196,input_491101!L:R,7,FALSE),VLOOKUP(tables_491101!C196,input_491101!A:H,8,FALSE))</f>
        <v>5396</v>
      </c>
      <c r="P196" s="46">
        <f t="shared" ca="1" si="14"/>
        <v>4.1304347825960437E-4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input_491101!A$2</f>
        <v>491101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IFERROR(VLOOKUP(B197,input_491101!L:R,7,FALSE),VLOOKUP(tables_491101!C197,input_491101!A:H,8,FALSE))</f>
        <v>284</v>
      </c>
      <c r="P197" s="46">
        <f t="shared" ca="1" si="14"/>
        <v>2.173913043471602E-5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input_491101!A$2</f>
        <v>491101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IFERROR(VLOOKUP(B198,input_491101!L:R,7,FALSE),VLOOKUP(tables_491101!C198,input_491101!A:H,8,FALSE))</f>
        <v>34849.599999999999</v>
      </c>
      <c r="P198" s="46">
        <f t="shared" ca="1" si="14"/>
        <v>2.6676056337946456E-3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input_491101!A$2</f>
        <v>491101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IFERROR(VLOOKUP(B199,input_491101!L:R,7,FALSE),VLOOKUP(tables_491101!C199,input_491101!A:H,8,FALSE))</f>
        <v>24665.152819999999</v>
      </c>
      <c r="P199" s="46">
        <f t="shared" ca="1" si="14"/>
        <v>1.8880245575569846E-3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input_491101!A$2</f>
        <v>491101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IFERROR(VLOOKUP(B200,input_491101!L:R,7,FALSE),VLOOKUP(tables_491101!C200,input_491101!A:H,8,FALSE))</f>
        <v>135.21641</v>
      </c>
      <c r="P200" s="46">
        <f t="shared" ca="1" si="14"/>
        <v>1.0350306950366335E-5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input_491101!A$2</f>
        <v>491101</v>
      </c>
      <c r="B201" s="6">
        <v>479</v>
      </c>
      <c r="C201" s="7" t="str">
        <f t="shared" si="12"/>
        <v>PremiumSS4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IFERROR(VLOOKUP(B201,input_491101!L:R,7,FALSE),VLOOKUP(tables_491101!C201,input_491101!A:H,8,FALSE))</f>
        <v>5396</v>
      </c>
      <c r="P201" s="46">
        <f t="shared" ca="1" si="14"/>
        <v>4.1304347825960437E-4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input_491101!A$2</f>
        <v>491101</v>
      </c>
      <c r="B202" s="6">
        <v>480</v>
      </c>
      <c r="C202" s="7" t="str">
        <f t="shared" si="12"/>
        <v>PremiumSS5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IFERROR(VLOOKUP(B202,input_491101!L:R,7,FALSE),VLOOKUP(tables_491101!C202,input_491101!A:H,8,FALSE))</f>
        <v>284</v>
      </c>
      <c r="P202" s="46">
        <f t="shared" ca="1" si="14"/>
        <v>2.173913043471602E-5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input_491101!A$2</f>
        <v>491101</v>
      </c>
      <c r="B203" s="6">
        <v>481</v>
      </c>
      <c r="C203" s="7" t="str">
        <f t="shared" si="12"/>
        <v>Premium3color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IFERROR(VLOOKUP(B203,input_491101!L:R,7,FALSE),VLOOKUP(tables_491101!C203,input_491101!A:H,8,FALSE))</f>
        <v>168703.74544999999</v>
      </c>
      <c r="P203" s="46">
        <f t="shared" ca="1" si="14"/>
        <v>1.2913636363248869E-2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input_491101!A$2</f>
        <v>491101</v>
      </c>
      <c r="B204" s="6">
        <v>482</v>
      </c>
      <c r="C204" s="7" t="str">
        <f t="shared" si="12"/>
        <v>Premium4color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IFERROR(VLOOKUP(B204,input_491101!L:R,7,FALSE),VLOOKUP(tables_491101!C204,input_491101!A:H,8,FALSE))</f>
        <v>165030.35814999999</v>
      </c>
      <c r="P204" s="46">
        <f t="shared" ca="1" si="14"/>
        <v>1.2632452399685737E-2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input_491101!A$2</f>
        <v>491101</v>
      </c>
      <c r="B205" s="6">
        <v>483</v>
      </c>
      <c r="C205" s="7" t="str">
        <f t="shared" si="12"/>
        <v>Premium5color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IFERROR(VLOOKUP(B205,input_491101!L:R,7,FALSE),VLOOKUP(tables_491101!C205,input_491101!A:H,8,FALSE))</f>
        <v>3673.3873100000001</v>
      </c>
      <c r="P205" s="46">
        <f t="shared" ca="1" si="14"/>
        <v>2.8118396432859371E-4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input_491101!A$2</f>
        <v>491101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IFERROR(VLOOKUP(B206,input_491101!L:R,7,FALSE),VLOOKUP(tables_491101!C206,input_491101!A:H,8,FALSE))</f>
        <v>5396</v>
      </c>
      <c r="P206" s="46">
        <f t="shared" ca="1" si="14"/>
        <v>4.1304347825960437E-4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input_491101!A$2</f>
        <v>491101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IFERROR(VLOOKUP(B207,input_491101!L:R,7,FALSE),VLOOKUP(tables_491101!C207,input_491101!A:H,8,FALSE))</f>
        <v>284</v>
      </c>
      <c r="P207" s="46">
        <f t="shared" ca="1" si="14"/>
        <v>2.173913043471602E-5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input_491101!A$2</f>
        <v>491101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IFERROR(VLOOKUP(B208,input_491101!L:R,7,FALSE),VLOOKUP(tables_491101!C208,input_491101!A:H,8,FALSE))</f>
        <v>5396</v>
      </c>
      <c r="P208" s="46">
        <f t="shared" ca="1" si="14"/>
        <v>4.1304347825960437E-4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input_491101!A$2</f>
        <v>491101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IFERROR(VLOOKUP(B209,input_491101!L:R,7,FALSE),VLOOKUP(tables_491101!C209,input_491101!A:H,8,FALSE))</f>
        <v>284</v>
      </c>
      <c r="P209" s="46">
        <f t="shared" ca="1" si="14"/>
        <v>2.173913043471602E-5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input_491101!A$2</f>
        <v>491101</v>
      </c>
      <c r="B210" s="6">
        <v>496</v>
      </c>
      <c r="C210" s="7" t="str">
        <f t="shared" si="12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IFERROR(VLOOKUP(B210,input_491101!L:R,7,FALSE),VLOOKUP(tables_491101!C210,input_491101!A:H,8,FALSE))</f>
        <v>34849.599999999999</v>
      </c>
      <c r="P210" s="46">
        <f t="shared" ca="1" si="14"/>
        <v>2.6676056337946456E-3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input_491101!A$2</f>
        <v>491101</v>
      </c>
      <c r="B211" s="6">
        <v>497</v>
      </c>
      <c r="C211" s="7" t="str">
        <f t="shared" si="12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IFERROR(VLOOKUP(B211,input_491101!L:R,7,FALSE),VLOOKUP(tables_491101!C211,input_491101!A:H,8,FALSE))</f>
        <v>24665.152819999999</v>
      </c>
      <c r="P211" s="46">
        <f t="shared" ca="1" si="14"/>
        <v>1.8880245575569846E-3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input_491101!A$2</f>
        <v>491101</v>
      </c>
      <c r="B212" s="6">
        <v>498</v>
      </c>
      <c r="C212" s="7" t="str">
        <f t="shared" si="12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IFERROR(VLOOKUP(B212,input_491101!L:R,7,FALSE),VLOOKUP(tables_491101!C212,input_491101!A:H,8,FALSE))</f>
        <v>135.21641</v>
      </c>
      <c r="P212" s="46">
        <f t="shared" ca="1" si="14"/>
        <v>1.0350306950366335E-5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input_491101!A$2</f>
        <v>491101</v>
      </c>
      <c r="B213" s="6">
        <v>499</v>
      </c>
      <c r="C213" s="7" t="str">
        <f t="shared" si="12"/>
        <v>PremiumSS4color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IFERROR(VLOOKUP(B213,input_491101!L:R,7,FALSE),VLOOKUP(tables_491101!C213,input_491101!A:H,8,FALSE))</f>
        <v>21901.411759999999</v>
      </c>
      <c r="P213" s="46">
        <f t="shared" ca="1" si="14"/>
        <v>1.6764705878699411E-3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input_491101!A$2</f>
        <v>491101</v>
      </c>
      <c r="B214" s="6">
        <v>500</v>
      </c>
      <c r="C214" s="7" t="str">
        <f t="shared" si="12"/>
        <v>PremiumSS5color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IFERROR(VLOOKUP(B214,input_491101!L:R,7,FALSE),VLOOKUP(tables_491101!C214,input_491101!A:H,8,FALSE))</f>
        <v>1152.70588</v>
      </c>
      <c r="P214" s="46">
        <f t="shared" ca="1" si="14"/>
        <v>8.8235293937267997E-5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input_491101!A$2</f>
        <v>491101</v>
      </c>
      <c r="B215" s="6">
        <v>560</v>
      </c>
      <c r="C215" s="7" t="str">
        <f t="shared" si="12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IFERROR(VLOOKUP(B215,input_491101!L:R,7,FALSE),VLOOKUP(tables_491101!C215,input_491101!A:H,8,FALSE))</f>
        <v>3484.96</v>
      </c>
      <c r="P215" s="46">
        <f t="shared" ca="1" si="14"/>
        <v>2.6676056337946455E-4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input_491101!A$2</f>
        <v>491101</v>
      </c>
      <c r="B216" s="6">
        <v>561</v>
      </c>
      <c r="C216" s="7" t="str">
        <f t="shared" si="12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IFERROR(VLOOKUP(B216,input_491101!L:R,7,FALSE),VLOOKUP(tables_491101!C216,input_491101!A:H,8,FALSE))</f>
        <v>3484.96</v>
      </c>
      <c r="P216" s="46">
        <f t="shared" ca="1" si="14"/>
        <v>2.6676056337946455E-4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input_491101!A$2</f>
        <v>491101</v>
      </c>
      <c r="B217" s="6">
        <v>562</v>
      </c>
      <c r="C217" s="7" t="str">
        <f t="shared" si="12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IFERROR(VLOOKUP(B217,input_491101!L:R,7,FALSE),VLOOKUP(tables_491101!C217,input_491101!A:H,8,FALSE))</f>
        <v>3484.96</v>
      </c>
      <c r="P217" s="46">
        <f t="shared" ca="1" si="14"/>
        <v>2.6676056337946455E-4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input_491101!A$2</f>
        <v>491101</v>
      </c>
      <c r="B218" s="6">
        <v>563</v>
      </c>
      <c r="C218" s="7" t="str">
        <f t="shared" si="12"/>
        <v>premium5R3lesscolor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3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IFERROR(VLOOKUP(B218,input_491101!L:R,7,FALSE),VLOOKUP(tables_491101!C218,input_491101!A:H,8,FALSE))</f>
        <v>16870.37455</v>
      </c>
      <c r="P218" s="46">
        <f t="shared" ca="1" si="14"/>
        <v>1.2913636367076181E-3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input_491101!A$2</f>
        <v>491101</v>
      </c>
      <c r="B219" s="6">
        <v>566</v>
      </c>
      <c r="C219" s="7" t="str">
        <f t="shared" si="12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IFERROR(VLOOKUP(B219,input_491101!L:R,7,FALSE),VLOOKUP(tables_491101!C219,input_491101!A:H,8,FALSE))</f>
        <v>3484.96</v>
      </c>
      <c r="P219" s="46">
        <f t="shared" ca="1" si="14"/>
        <v>2.6676056337946455E-4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input_491101!A$2</f>
        <v>491101</v>
      </c>
      <c r="B220" s="6">
        <v>567</v>
      </c>
      <c r="C220" s="7" t="str">
        <f t="shared" si="12"/>
        <v>premium5R3lesscolor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IFERROR(VLOOKUP(B220,input_491101!L:R,7,FALSE),VLOOKUP(tables_491101!C220,input_491101!A:H,8,FALSE))</f>
        <v>16870.37455</v>
      </c>
      <c r="P220" s="46">
        <f t="shared" ca="1" si="14"/>
        <v>1.2913636367076181E-3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input_491101!A$2</f>
        <v>491101</v>
      </c>
      <c r="B221" s="6">
        <v>586</v>
      </c>
      <c r="C221" s="7" t="str">
        <f t="shared" si="12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IFERROR(VLOOKUP(B221,input_491101!L:R,7,FALSE),VLOOKUP(tables_491101!C221,input_491101!A:H,8,FALSE))</f>
        <v>5396</v>
      </c>
      <c r="P221" s="46">
        <f t="shared" ca="1" si="14"/>
        <v>4.1304347825960437E-4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input_491101!A$2</f>
        <v>491101</v>
      </c>
      <c r="B222" s="6">
        <v>587</v>
      </c>
      <c r="C222" s="7" t="str">
        <f t="shared" si="12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IFERROR(VLOOKUP(B222,input_491101!L:R,7,FALSE),VLOOKUP(tables_491101!C222,input_491101!A:H,8,FALSE))</f>
        <v>284</v>
      </c>
      <c r="P222" s="46">
        <f t="shared" ca="1" si="14"/>
        <v>2.173913043471602E-5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input_491101!A$2</f>
        <v>491101</v>
      </c>
      <c r="B223" s="6">
        <v>588</v>
      </c>
      <c r="C223" s="7" t="str">
        <f t="shared" si="12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IFERROR(VLOOKUP(B223,input_491101!L:R,7,FALSE),VLOOKUP(tables_491101!C223,input_491101!A:H,8,FALSE))</f>
        <v>34849.599999999999</v>
      </c>
      <c r="P223" s="46">
        <f t="shared" ca="1" si="14"/>
        <v>2.6676056337946456E-3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input_491101!A$2</f>
        <v>491101</v>
      </c>
      <c r="B224" s="6">
        <v>589</v>
      </c>
      <c r="C224" s="7" t="str">
        <f t="shared" si="12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IFERROR(VLOOKUP(B224,input_491101!L:R,7,FALSE),VLOOKUP(tables_491101!C224,input_491101!A:H,8,FALSE))</f>
        <v>24665.152819999999</v>
      </c>
      <c r="P224" s="46">
        <f t="shared" ca="1" si="14"/>
        <v>1.8880245575569846E-3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input_491101!A$2</f>
        <v>491101</v>
      </c>
      <c r="B225" s="6">
        <v>590</v>
      </c>
      <c r="C225" s="7" t="str">
        <f t="shared" si="12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IFERROR(VLOOKUP(B225,input_491101!L:R,7,FALSE),VLOOKUP(tables_491101!C225,input_491101!A:H,8,FALSE))</f>
        <v>135.21641</v>
      </c>
      <c r="P225" s="46">
        <f t="shared" ca="1" si="14"/>
        <v>1.0350306950366335E-5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input_491101!A$2</f>
        <v>491101</v>
      </c>
      <c r="B226" s="6">
        <v>591</v>
      </c>
      <c r="C226" s="7" t="str">
        <f t="shared" si="12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IFERROR(VLOOKUP(B226,input_491101!L:R,7,FALSE),VLOOKUP(tables_491101!C226,input_491101!A:H,8,FALSE))</f>
        <v>34849.599999999999</v>
      </c>
      <c r="P226" s="46">
        <f t="shared" ca="1" si="14"/>
        <v>2.6676056337946456E-3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input_491101!A$2</f>
        <v>491101</v>
      </c>
      <c r="B227" s="6">
        <v>592</v>
      </c>
      <c r="C227" s="7" t="str">
        <f t="shared" si="12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IFERROR(VLOOKUP(B227,input_491101!L:R,7,FALSE),VLOOKUP(tables_491101!C227,input_491101!A:H,8,FALSE))</f>
        <v>24665.152819999999</v>
      </c>
      <c r="P227" s="46">
        <f t="shared" ca="1" si="14"/>
        <v>1.8880245575569846E-3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input_491101!A$2</f>
        <v>491101</v>
      </c>
      <c r="B228" s="6">
        <v>593</v>
      </c>
      <c r="C228" s="7" t="str">
        <f t="shared" si="12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IFERROR(VLOOKUP(B228,input_491101!L:R,7,FALSE),VLOOKUP(tables_491101!C228,input_491101!A:H,8,FALSE))</f>
        <v>135.21641</v>
      </c>
      <c r="P228" s="46">
        <f t="shared" ca="1" si="14"/>
        <v>1.0350306950366335E-5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input_491101!A$2</f>
        <v>491101</v>
      </c>
      <c r="B229" s="6">
        <v>594</v>
      </c>
      <c r="C229" s="7" t="str">
        <f t="shared" si="12"/>
        <v>PremiumSS4color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IFERROR(VLOOKUP(B229,input_491101!L:R,7,FALSE),VLOOKUP(tables_491101!C229,input_491101!A:H,8,FALSE))</f>
        <v>21901.411759999999</v>
      </c>
      <c r="P229" s="46">
        <f t="shared" ca="1" si="14"/>
        <v>1.6764705878699411E-3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input_491101!A$2</f>
        <v>491101</v>
      </c>
      <c r="B230" s="6">
        <v>595</v>
      </c>
      <c r="C230" s="7" t="str">
        <f t="shared" si="12"/>
        <v>PremiumSS5color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IFERROR(VLOOKUP(B230,input_491101!L:R,7,FALSE),VLOOKUP(tables_491101!C230,input_491101!A:H,8,FALSE))</f>
        <v>1152.70588</v>
      </c>
      <c r="P230" s="46">
        <f t="shared" ca="1" si="14"/>
        <v>8.8235293937267997E-5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input_491101!A$2</f>
        <v>491101</v>
      </c>
      <c r="B231" s="6">
        <v>596</v>
      </c>
      <c r="C231" s="7" t="str">
        <f t="shared" si="12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IFERROR(VLOOKUP(B231,input_491101!L:R,7,FALSE),VLOOKUP(tables_491101!C231,input_491101!A:H,8,FALSE))</f>
        <v>34849.599999999999</v>
      </c>
      <c r="P231" s="46">
        <f t="shared" ca="1" si="14"/>
        <v>2.6676056337946456E-3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input_491101!A$2</f>
        <v>491101</v>
      </c>
      <c r="B232" s="6">
        <v>597</v>
      </c>
      <c r="C232" s="7" t="str">
        <f t="shared" si="12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IFERROR(VLOOKUP(B232,input_491101!L:R,7,FALSE),VLOOKUP(tables_491101!C232,input_491101!A:H,8,FALSE))</f>
        <v>24665.152819999999</v>
      </c>
      <c r="P232" s="46">
        <f t="shared" ca="1" si="14"/>
        <v>1.8880245575569846E-3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input_491101!A$2</f>
        <v>491101</v>
      </c>
      <c r="B233" s="6">
        <v>598</v>
      </c>
      <c r="C233" s="7" t="str">
        <f t="shared" si="12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IFERROR(VLOOKUP(B233,input_491101!L:R,7,FALSE),VLOOKUP(tables_491101!C233,input_491101!A:H,8,FALSE))</f>
        <v>135.21641</v>
      </c>
      <c r="P233" s="46">
        <f t="shared" ca="1" si="14"/>
        <v>1.0350306950366335E-5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input_491101!A$2</f>
        <v>491101</v>
      </c>
      <c r="B234" s="6">
        <v>599</v>
      </c>
      <c r="C234" s="7" t="str">
        <f t="shared" si="12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IFERROR(VLOOKUP(B234,input_491101!L:R,7,FALSE),VLOOKUP(tables_491101!C234,input_491101!A:H,8,FALSE))</f>
        <v>34849.599999999999</v>
      </c>
      <c r="P234" s="46">
        <f t="shared" ca="1" si="14"/>
        <v>2.6676056337946456E-3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input_491101!A$2</f>
        <v>491101</v>
      </c>
      <c r="B235" s="6">
        <v>600</v>
      </c>
      <c r="C235" s="7" t="str">
        <f t="shared" si="12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IFERROR(VLOOKUP(B235,input_491101!L:R,7,FALSE),VLOOKUP(tables_491101!C235,input_491101!A:H,8,FALSE))</f>
        <v>24665.152819999999</v>
      </c>
      <c r="P235" s="46">
        <f t="shared" ca="1" si="14"/>
        <v>1.8880245575569846E-3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input_491101!A$2</f>
        <v>491101</v>
      </c>
      <c r="B236" s="6">
        <v>601</v>
      </c>
      <c r="C236" s="7" t="str">
        <f t="shared" si="12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IFERROR(VLOOKUP(B236,input_491101!L:R,7,FALSE),VLOOKUP(tables_491101!C236,input_491101!A:H,8,FALSE))</f>
        <v>135.21641</v>
      </c>
      <c r="P236" s="46">
        <f t="shared" ca="1" si="14"/>
        <v>1.0350306950366335E-5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input_491101!A$2</f>
        <v>491101</v>
      </c>
      <c r="B237" s="6">
        <v>602</v>
      </c>
      <c r="C237" s="7" t="str">
        <f t="shared" si="12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IFERROR(VLOOKUP(B237,input_491101!L:R,7,FALSE),VLOOKUP(tables_491101!C237,input_491101!A:H,8,FALSE))</f>
        <v>5396</v>
      </c>
      <c r="P237" s="46">
        <f t="shared" ca="1" si="14"/>
        <v>4.1304347825960437E-4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input_491101!A$2</f>
        <v>491101</v>
      </c>
      <c r="B238" s="6">
        <v>603</v>
      </c>
      <c r="C238" s="7" t="str">
        <f t="shared" si="12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IFERROR(VLOOKUP(B238,input_491101!L:R,7,FALSE),VLOOKUP(tables_491101!C238,input_491101!A:H,8,FALSE))</f>
        <v>284</v>
      </c>
      <c r="P238" s="46">
        <f t="shared" ca="1" si="14"/>
        <v>2.173913043471602E-5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input_491101!A$2</f>
        <v>491101</v>
      </c>
      <c r="B239" s="6">
        <v>604</v>
      </c>
      <c r="C239" s="7" t="str">
        <f t="shared" si="12"/>
        <v>Premium3color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IFERROR(VLOOKUP(B239,input_491101!L:R,7,FALSE),VLOOKUP(tables_491101!C239,input_491101!A:H,8,FALSE))</f>
        <v>168703.74544999999</v>
      </c>
      <c r="P239" s="46">
        <f t="shared" ca="1" si="14"/>
        <v>1.2913636363248869E-2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input_491101!A$2</f>
        <v>491101</v>
      </c>
      <c r="B240" s="6">
        <v>605</v>
      </c>
      <c r="C240" s="7" t="str">
        <f t="shared" si="12"/>
        <v>Premium4color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IFERROR(VLOOKUP(B240,input_491101!L:R,7,FALSE),VLOOKUP(tables_491101!C240,input_491101!A:H,8,FALSE))</f>
        <v>165030.35814999999</v>
      </c>
      <c r="P240" s="46">
        <f t="shared" ca="1" si="14"/>
        <v>1.2632452399685737E-2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input_491101!A$2</f>
        <v>491101</v>
      </c>
      <c r="B241" s="6">
        <v>606</v>
      </c>
      <c r="C241" s="7" t="str">
        <f t="shared" si="12"/>
        <v>Premium5color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IFERROR(VLOOKUP(B241,input_491101!L:R,7,FALSE),VLOOKUP(tables_491101!C241,input_491101!A:H,8,FALSE))</f>
        <v>3673.3873100000001</v>
      </c>
      <c r="P241" s="46">
        <f t="shared" ca="1" si="14"/>
        <v>2.8118396432859371E-4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input_491101!A$2</f>
        <v>491101</v>
      </c>
      <c r="B242" s="6">
        <v>658</v>
      </c>
      <c r="C242" s="7" t="str">
        <f t="shared" si="12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IFERROR(VLOOKUP(B242,input_491101!L:R,7,FALSE),VLOOKUP(tables_491101!C242,input_491101!A:H,8,FALSE))</f>
        <v>5396</v>
      </c>
      <c r="P242" s="46">
        <f t="shared" ca="1" si="14"/>
        <v>4.1304347825960437E-4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input_491101!A$2</f>
        <v>491101</v>
      </c>
      <c r="B243" s="6">
        <v>659</v>
      </c>
      <c r="C243" s="7" t="str">
        <f t="shared" si="12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IFERROR(VLOOKUP(B243,input_491101!L:R,7,FALSE),VLOOKUP(tables_491101!C243,input_491101!A:H,8,FALSE))</f>
        <v>284</v>
      </c>
      <c r="P243" s="46">
        <f t="shared" ca="1" si="14"/>
        <v>2.173913043471602E-5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input_491101!A$2</f>
        <v>491101</v>
      </c>
      <c r="B244" s="6">
        <v>660</v>
      </c>
      <c r="C244" s="7" t="str">
        <f t="shared" si="12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IFERROR(VLOOKUP(B244,input_491101!L:R,7,FALSE),VLOOKUP(tables_491101!C244,input_491101!A:H,8,FALSE))</f>
        <v>5396</v>
      </c>
      <c r="P244" s="46">
        <f t="shared" ca="1" si="14"/>
        <v>4.1304347825960437E-4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input_491101!A$2</f>
        <v>491101</v>
      </c>
      <c r="B245" s="60">
        <v>661</v>
      </c>
      <c r="C245" s="7" t="str">
        <f t="shared" si="12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IFERROR(VLOOKUP(B245,input_491101!L:R,7,FALSE),VLOOKUP(tables_491101!C245,input_491101!A:H,8,FALSE))</f>
        <v>284</v>
      </c>
      <c r="P245" s="46">
        <f t="shared" ca="1" si="14"/>
        <v>2.173913043471602E-5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input_491101!A$2</f>
        <v>491101</v>
      </c>
      <c r="B246" s="60">
        <v>662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IFERROR(VLOOKUP(B246,input_491101!L:R,7,FALSE),VLOOKUP(tables_491101!C246,input_491101!A:H,8,FALSE))</f>
        <v>34849.599999999999</v>
      </c>
      <c r="P246" s="46">
        <f t="shared" ca="1" si="14"/>
        <v>2.6676056337946456E-3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input_491101!A$2</f>
        <v>491101</v>
      </c>
      <c r="B247" s="60">
        <v>663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IFERROR(VLOOKUP(B247,input_491101!L:R,7,FALSE),VLOOKUP(tables_491101!C247,input_491101!A:H,8,FALSE))</f>
        <v>24665.152819999999</v>
      </c>
      <c r="P247" s="46">
        <f t="shared" ca="1" si="14"/>
        <v>1.8880245575569846E-3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input_491101!A$2</f>
        <v>491101</v>
      </c>
      <c r="B248" s="60">
        <v>664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IFERROR(VLOOKUP(B248,input_491101!L:R,7,FALSE),VLOOKUP(tables_491101!C248,input_491101!A:H,8,FALSE))</f>
        <v>135.21641</v>
      </c>
      <c r="P248" s="46">
        <f t="shared" ca="1" si="14"/>
        <v>1.0350306950366335E-5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input_491101!A$2</f>
        <v>491101</v>
      </c>
      <c r="B249" s="60">
        <v>665</v>
      </c>
      <c r="C249" s="7" t="str">
        <f t="shared" si="12"/>
        <v>Premium3color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IFERROR(VLOOKUP(B249,input_491101!L:R,7,FALSE),VLOOKUP(tables_491101!C249,input_491101!A:H,8,FALSE))</f>
        <v>168703.74544999999</v>
      </c>
      <c r="P249" s="46">
        <f t="shared" ca="1" si="14"/>
        <v>1.2913636363248869E-2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input_491101!A$2</f>
        <v>491101</v>
      </c>
      <c r="B250" s="60">
        <v>666</v>
      </c>
      <c r="C250" s="7" t="str">
        <f t="shared" si="12"/>
        <v>Premium4color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IFERROR(VLOOKUP(B250,input_491101!L:R,7,FALSE),VLOOKUP(tables_491101!C250,input_491101!A:H,8,FALSE))</f>
        <v>165030.35814999999</v>
      </c>
      <c r="P250" s="46">
        <f t="shared" ca="1" si="14"/>
        <v>1.2632452399685737E-2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input_491101!A$2</f>
        <v>491101</v>
      </c>
      <c r="B251" s="60">
        <v>667</v>
      </c>
      <c r="C251" s="7" t="str">
        <f t="shared" si="12"/>
        <v>Premium5color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IFERROR(VLOOKUP(B251,input_491101!L:R,7,FALSE),VLOOKUP(tables_491101!C251,input_491101!A:H,8,FALSE))</f>
        <v>3673.3873100000001</v>
      </c>
      <c r="P251" s="46">
        <f t="shared" ca="1" si="14"/>
        <v>2.8118396432859371E-4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input_491101!A$2</f>
        <v>491101</v>
      </c>
      <c r="B252" s="60">
        <v>668</v>
      </c>
      <c r="C252" s="7" t="str">
        <f t="shared" si="12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IFERROR(VLOOKUP(B252,input_491101!L:R,7,FALSE),VLOOKUP(tables_491101!C252,input_491101!A:H,8,FALSE))</f>
        <v>34849.599999999999</v>
      </c>
      <c r="P252" s="46">
        <f t="shared" ca="1" si="14"/>
        <v>2.6676056337946456E-3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input_491101!A$2</f>
        <v>491101</v>
      </c>
      <c r="B253" s="60">
        <v>669</v>
      </c>
      <c r="C253" s="7" t="str">
        <f t="shared" si="12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IFERROR(VLOOKUP(B253,input_491101!L:R,7,FALSE),VLOOKUP(tables_491101!C253,input_491101!A:H,8,FALSE))</f>
        <v>24665.152819999999</v>
      </c>
      <c r="P253" s="46">
        <f t="shared" ca="1" si="14"/>
        <v>1.8880245575569846E-3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input_491101!A$2</f>
        <v>491101</v>
      </c>
      <c r="B254" s="60">
        <v>670</v>
      </c>
      <c r="C254" s="7" t="str">
        <f t="shared" si="12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IFERROR(VLOOKUP(B254,input_491101!L:R,7,FALSE),VLOOKUP(tables_491101!C254,input_491101!A:H,8,FALSE))</f>
        <v>135.21641</v>
      </c>
      <c r="P254" s="46">
        <f t="shared" ca="1" si="14"/>
        <v>1.0350306950366335E-5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input_491101!A$2</f>
        <v>491101</v>
      </c>
      <c r="B255" s="60">
        <v>671</v>
      </c>
      <c r="C255" s="7" t="str">
        <f t="shared" si="12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IFERROR(VLOOKUP(B255,input_491101!L:R,7,FALSE),VLOOKUP(tables_491101!C255,input_491101!A:H,8,FALSE))</f>
        <v>34849.599999999999</v>
      </c>
      <c r="P255" s="46">
        <f t="shared" ca="1" si="14"/>
        <v>2.6676056337946456E-3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input_491101!A$2</f>
        <v>491101</v>
      </c>
      <c r="B256" s="60">
        <v>672</v>
      </c>
      <c r="C256" s="7" t="str">
        <f t="shared" si="12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IFERROR(VLOOKUP(B256,input_491101!L:R,7,FALSE),VLOOKUP(tables_491101!C256,input_491101!A:H,8,FALSE))</f>
        <v>24665.152819999999</v>
      </c>
      <c r="P256" s="46">
        <f t="shared" ca="1" si="14"/>
        <v>1.8880245575569846E-3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input_491101!A$2</f>
        <v>491101</v>
      </c>
      <c r="B257" s="60">
        <v>673</v>
      </c>
      <c r="C257" s="7" t="str">
        <f t="shared" si="12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IFERROR(VLOOKUP(B257,input_491101!L:R,7,FALSE),VLOOKUP(tables_491101!C257,input_491101!A:H,8,FALSE))</f>
        <v>135.21641</v>
      </c>
      <c r="P257" s="46">
        <f t="shared" ca="1" si="14"/>
        <v>1.0350306950366335E-5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input_491101!A$2</f>
        <v>491101</v>
      </c>
      <c r="B258" s="60">
        <v>674</v>
      </c>
      <c r="C258" s="7" t="str">
        <f t="shared" ref="C258:C321" si="16">D258&amp;J258&amp;E258&amp;F258&amp;G258</f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ref="G258:G321" si="17">IF(K258="yellow","color","")</f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IFERROR(VLOOKUP(B258,input_491101!L:R,7,FALSE),VLOOKUP(tables_491101!C258,input_491101!A:H,8,FALSE))</f>
        <v>5396</v>
      </c>
      <c r="P258" s="46">
        <f t="shared" ref="P258:P318" ca="1" si="18">O258/SUM(O:O)</f>
        <v>4.1304347825960437E-4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input_491101!A$2</f>
        <v>491101</v>
      </c>
      <c r="B259" s="60">
        <v>675</v>
      </c>
      <c r="C259" s="7" t="str">
        <f t="shared" si="16"/>
        <v>PremiumSS5</v>
      </c>
      <c r="D259" s="7" t="str">
        <f t="shared" ref="D259:D322" si="1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IFERROR(VLOOKUP(B259,input_491101!L:R,7,FALSE),VLOOKUP(tables_491101!C259,input_491101!A:H,8,FALSE))</f>
        <v>284</v>
      </c>
      <c r="P259" s="46">
        <f t="shared" ca="1" si="18"/>
        <v>2.173913043471602E-5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input_491101!A$2</f>
        <v>491101</v>
      </c>
      <c r="B260" s="60">
        <v>676</v>
      </c>
      <c r="C260" s="7" t="str">
        <f t="shared" si="16"/>
        <v>PremiumSS4color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IFERROR(VLOOKUP(B260,input_491101!L:R,7,FALSE),VLOOKUP(tables_491101!C260,input_491101!A:H,8,FALSE))</f>
        <v>21901.411759999999</v>
      </c>
      <c r="P260" s="46">
        <f t="shared" ca="1" si="18"/>
        <v>1.6764705878699411E-3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input_491101!A$2</f>
        <v>491101</v>
      </c>
      <c r="B261" s="60">
        <v>677</v>
      </c>
      <c r="C261" s="7" t="str">
        <f t="shared" si="16"/>
        <v>PremiumSS5color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7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IFERROR(VLOOKUP(B261,input_491101!L:R,7,FALSE),VLOOKUP(tables_491101!C261,input_491101!A:H,8,FALSE))</f>
        <v>1152.70588</v>
      </c>
      <c r="P261" s="46">
        <f t="shared" ca="1" si="18"/>
        <v>8.8235293937267997E-5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input_491101!A$2</f>
        <v>491101</v>
      </c>
      <c r="B262" s="60">
        <v>728</v>
      </c>
      <c r="C262" s="7" t="str">
        <f t="shared" si="16"/>
        <v>Premium4R3less</v>
      </c>
      <c r="D262" s="7" t="str">
        <f t="shared" si="1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IFERROR(VLOOKUP(B262,input_491101!L:R,7,FALSE),VLOOKUP(tables_491101!C262,input_491101!A:H,8,FALSE))</f>
        <v>85001.165710000001</v>
      </c>
      <c r="P262" s="46">
        <f t="shared" ca="1" si="18"/>
        <v>6.5065191143401429E-3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input_491101!A$2</f>
        <v>491101</v>
      </c>
      <c r="B263" s="60">
        <v>729</v>
      </c>
      <c r="C263" s="7" t="str">
        <f t="shared" si="16"/>
        <v>Premium5R3less</v>
      </c>
      <c r="D263" s="7" t="str">
        <f t="shared" si="1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IFERROR(VLOOKUP(B263,input_491101!L:R,7,FALSE),VLOOKUP(tables_491101!C263,input_491101!A:H,8,FALSE))</f>
        <v>3484.96</v>
      </c>
      <c r="P263" s="46">
        <f t="shared" ca="1" si="18"/>
        <v>2.6676056337946455E-4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input_491101!A$2</f>
        <v>491101</v>
      </c>
      <c r="B264" s="60">
        <v>730</v>
      </c>
      <c r="C264" s="7" t="str">
        <f t="shared" si="16"/>
        <v>Premium4R3less</v>
      </c>
      <c r="D264" s="7" t="str">
        <f t="shared" si="1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IFERROR(VLOOKUP(B264,input_491101!L:R,7,FALSE),VLOOKUP(tables_491101!C264,input_491101!A:H,8,FALSE))</f>
        <v>85001.165710000001</v>
      </c>
      <c r="P264" s="46">
        <f t="shared" ca="1" si="18"/>
        <v>6.5065191143401429E-3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input_491101!A$2</f>
        <v>491101</v>
      </c>
      <c r="B265" s="60">
        <v>731</v>
      </c>
      <c r="C265" s="7" t="str">
        <f t="shared" si="16"/>
        <v>Premium5R3less</v>
      </c>
      <c r="D265" s="7" t="str">
        <f t="shared" si="1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IFERROR(VLOOKUP(B265,input_491101!L:R,7,FALSE),VLOOKUP(tables_491101!C265,input_491101!A:H,8,FALSE))</f>
        <v>3484.96</v>
      </c>
      <c r="P265" s="46">
        <f t="shared" ca="1" si="18"/>
        <v>2.6676056337946455E-4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input_491101!A$2</f>
        <v>491101</v>
      </c>
      <c r="B266" s="60">
        <v>732</v>
      </c>
      <c r="C266" s="7" t="str">
        <f t="shared" si="16"/>
        <v>PremiumSS5R5only</v>
      </c>
      <c r="D266" s="7" t="str">
        <f t="shared" si="1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7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IFERROR(VLOOKUP(B266,input_491101!L:R,7,FALSE),VLOOKUP(tables_491101!C266,input_491101!A:H,8,FALSE))</f>
        <v>5680</v>
      </c>
      <c r="P266" s="46">
        <f t="shared" ca="1" si="18"/>
        <v>4.3478260869432036E-4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input_491101!A$2</f>
        <v>491101</v>
      </c>
      <c r="B267" s="60">
        <v>734</v>
      </c>
      <c r="C267" s="7" t="str">
        <f t="shared" si="16"/>
        <v>PremiumSS5R5onlycolor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IFERROR(VLOOKUP(B267,input_491101!L:R,7,FALSE),VLOOKUP(tables_491101!C267,input_491101!A:H,8,FALSE))</f>
        <v>23054.11765</v>
      </c>
      <c r="P267" s="46">
        <f t="shared" ca="1" si="18"/>
        <v>1.7647058825726715E-3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input_491101!A$2</f>
        <v>491101</v>
      </c>
      <c r="B268" s="60">
        <v>742</v>
      </c>
      <c r="C268" s="7" t="str">
        <f t="shared" si="16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7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IFERROR(VLOOKUP(B268,input_491101!L:R,7,FALSE),VLOOKUP(tables_491101!C268,input_491101!A:H,8,FALSE))</f>
        <v>5680</v>
      </c>
      <c r="P268" s="46">
        <f t="shared" ca="1" si="18"/>
        <v>4.3478260869432036E-4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input_491101!A$2</f>
        <v>491101</v>
      </c>
      <c r="B269" s="60">
        <v>744</v>
      </c>
      <c r="C269" s="7" t="str">
        <f t="shared" si="16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IFERROR(VLOOKUP(B269,input_491101!L:R,7,FALSE),VLOOKUP(tables_491101!C269,input_491101!A:H,8,FALSE))</f>
        <v>5680</v>
      </c>
      <c r="P269" s="46">
        <f t="shared" ca="1" si="18"/>
        <v>4.3478260869432036E-4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input_491101!A$2</f>
        <v>491101</v>
      </c>
      <c r="B270" s="60">
        <v>746</v>
      </c>
      <c r="C270" s="7" t="str">
        <f t="shared" si="16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IFERROR(VLOOKUP(B270,input_491101!L:R,7,FALSE),VLOOKUP(tables_491101!C270,input_491101!A:H,8,FALSE))</f>
        <v>85001.165710000001</v>
      </c>
      <c r="P270" s="46">
        <f t="shared" ca="1" si="18"/>
        <v>6.5065191143401429E-3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input_491101!A$2</f>
        <v>491101</v>
      </c>
      <c r="B271" s="82">
        <v>747</v>
      </c>
      <c r="C271" s="7" t="str">
        <f t="shared" si="16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IFERROR(VLOOKUP(B271,input_491101!L:R,7,FALSE),VLOOKUP(tables_491101!C271,input_491101!A:H,8,FALSE))</f>
        <v>3484.96</v>
      </c>
      <c r="P271" s="46">
        <f t="shared" ca="1" si="18"/>
        <v>2.6676056337946455E-4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input_491101!A$2</f>
        <v>491101</v>
      </c>
      <c r="B272" s="82">
        <v>748</v>
      </c>
      <c r="C272" s="7" t="str">
        <f t="shared" si="16"/>
        <v>Premium4R3lesscolor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7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IFERROR(VLOOKUP(B272,input_491101!L:R,7,FALSE),VLOOKUP(tables_491101!C272,input_491101!A:H,8,FALSE))</f>
        <v>216971.26667000001</v>
      </c>
      <c r="P272" s="46">
        <f t="shared" ca="1" si="18"/>
        <v>1.6608333333537614E-2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input_491101!A$2</f>
        <v>491101</v>
      </c>
      <c r="B273" s="82">
        <v>749</v>
      </c>
      <c r="C273" s="7" t="str">
        <f t="shared" si="16"/>
        <v>Premium5R3lesscolor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7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IFERROR(VLOOKUP(B273,input_491101!L:R,7,FALSE),VLOOKUP(tables_491101!C273,input_491101!A:H,8,FALSE))</f>
        <v>16870.37455</v>
      </c>
      <c r="P273" s="46">
        <f t="shared" ca="1" si="18"/>
        <v>1.2913636367076181E-3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input_491101!A$2</f>
        <v>491101</v>
      </c>
      <c r="B274" s="82">
        <v>770</v>
      </c>
      <c r="C274" s="7" t="str">
        <f t="shared" si="16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7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IFERROR(VLOOKUP(B274,input_491101!L:R,7,FALSE),VLOOKUP(tables_491101!C274,input_491101!A:H,8,FALSE))</f>
        <v>5396</v>
      </c>
      <c r="P274" s="46">
        <f t="shared" ca="1" si="18"/>
        <v>4.1304347825960437E-4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input_491101!A$2</f>
        <v>491101</v>
      </c>
      <c r="B275" s="82">
        <v>771</v>
      </c>
      <c r="C275" s="7" t="str">
        <f t="shared" si="16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7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IFERROR(VLOOKUP(B275,input_491101!L:R,7,FALSE),VLOOKUP(tables_491101!C275,input_491101!A:H,8,FALSE))</f>
        <v>284</v>
      </c>
      <c r="P275" s="46">
        <f t="shared" ca="1" si="18"/>
        <v>2.173913043471602E-5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input_491101!A$2</f>
        <v>491101</v>
      </c>
      <c r="B276" s="82">
        <v>772</v>
      </c>
      <c r="C276" s="7" t="str">
        <f t="shared" si="16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IFERROR(VLOOKUP(B276,input_491101!L:R,7,FALSE),VLOOKUP(tables_491101!C276,input_491101!A:H,8,FALSE))</f>
        <v>5396</v>
      </c>
      <c r="P276" s="46">
        <f t="shared" ca="1" si="18"/>
        <v>4.1304347825960437E-4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input_491101!A$2</f>
        <v>491101</v>
      </c>
      <c r="B277" s="82">
        <v>773</v>
      </c>
      <c r="C277" s="7" t="str">
        <f t="shared" si="16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IFERROR(VLOOKUP(B277,input_491101!L:R,7,FALSE),VLOOKUP(tables_491101!C277,input_491101!A:H,8,FALSE))</f>
        <v>284</v>
      </c>
      <c r="P277" s="46">
        <f t="shared" ca="1" si="18"/>
        <v>2.173913043471602E-5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input_491101!A$2</f>
        <v>491101</v>
      </c>
      <c r="B278" s="82">
        <v>774</v>
      </c>
      <c r="C278" s="7" t="str">
        <f t="shared" si="16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IFERROR(VLOOKUP(B278,input_491101!L:R,7,FALSE),VLOOKUP(tables_491101!C278,input_491101!A:H,8,FALSE))</f>
        <v>34849.599999999999</v>
      </c>
      <c r="P278" s="46">
        <f t="shared" ca="1" si="18"/>
        <v>2.6676056337946456E-3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input_491101!A$2</f>
        <v>491101</v>
      </c>
      <c r="B279" s="82">
        <v>775</v>
      </c>
      <c r="C279" s="7" t="str">
        <f t="shared" si="16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IFERROR(VLOOKUP(B279,input_491101!L:R,7,FALSE),VLOOKUP(tables_491101!C279,input_491101!A:H,8,FALSE))</f>
        <v>24665.152819999999</v>
      </c>
      <c r="P279" s="46">
        <f t="shared" ca="1" si="18"/>
        <v>1.8880245575569846E-3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input_491101!A$2</f>
        <v>491101</v>
      </c>
      <c r="B280" s="82">
        <v>776</v>
      </c>
      <c r="C280" s="7" t="str">
        <f t="shared" si="16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IFERROR(VLOOKUP(B280,input_491101!L:R,7,FALSE),VLOOKUP(tables_491101!C280,input_491101!A:H,8,FALSE))</f>
        <v>135.21641</v>
      </c>
      <c r="P280" s="46">
        <f t="shared" ca="1" si="18"/>
        <v>1.0350306950366335E-5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input_491101!A$2</f>
        <v>491101</v>
      </c>
      <c r="B281" s="82">
        <v>777</v>
      </c>
      <c r="C281" s="7" t="str">
        <f t="shared" si="16"/>
        <v>Premium3color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7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IFERROR(VLOOKUP(B281,input_491101!L:R,7,FALSE),VLOOKUP(tables_491101!C281,input_491101!A:H,8,FALSE))</f>
        <v>168703.74544999999</v>
      </c>
      <c r="P281" s="46">
        <f t="shared" ca="1" si="18"/>
        <v>1.2913636363248869E-2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input_491101!A$2</f>
        <v>491101</v>
      </c>
      <c r="B282" s="82">
        <v>778</v>
      </c>
      <c r="C282" s="7" t="str">
        <f t="shared" si="16"/>
        <v>Premium4color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IFERROR(VLOOKUP(B282,input_491101!L:R,7,FALSE),VLOOKUP(tables_491101!C282,input_491101!A:H,8,FALSE))</f>
        <v>165030.35814999999</v>
      </c>
      <c r="P282" s="46">
        <f t="shared" ca="1" si="18"/>
        <v>1.2632452399685737E-2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input_491101!A$2</f>
        <v>491101</v>
      </c>
      <c r="B283" s="5">
        <v>779</v>
      </c>
      <c r="C283" s="7" t="str">
        <f t="shared" si="16"/>
        <v>Premium5color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7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IFERROR(VLOOKUP(B283,input_491101!L:R,7,FALSE),VLOOKUP(tables_491101!C283,input_491101!A:H,8,FALSE))</f>
        <v>3673.3873100000001</v>
      </c>
      <c r="P283" s="46">
        <f t="shared" ca="1" si="18"/>
        <v>2.8118396432859371E-4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input_491101!A$2</f>
        <v>491101</v>
      </c>
      <c r="B284" s="5">
        <v>848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IFERROR(VLOOKUP(B284,input_491101!L:R,7,FALSE),VLOOKUP(tables_491101!C284,input_491101!A:H,8,FALSE))</f>
        <v>5680</v>
      </c>
      <c r="P284" s="46">
        <f t="shared" ca="1" si="18"/>
        <v>4.3478260869432036E-4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input_491101!A$2</f>
        <v>491101</v>
      </c>
      <c r="B285" s="5">
        <v>850</v>
      </c>
      <c r="C285" s="7" t="str">
        <f t="shared" si="16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IFERROR(VLOOKUP(B285,input_491101!L:R,7,FALSE),VLOOKUP(tables_491101!C285,input_491101!A:H,8,FALSE))</f>
        <v>5680</v>
      </c>
      <c r="P285" s="46">
        <f t="shared" ca="1" si="18"/>
        <v>4.3478260869432036E-4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input_491101!A$2</f>
        <v>491101</v>
      </c>
      <c r="B286" s="5">
        <v>852</v>
      </c>
      <c r="C286" s="7" t="str">
        <f t="shared" si="16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IFERROR(VLOOKUP(B286,input_491101!L:R,7,FALSE),VLOOKUP(tables_491101!C286,input_491101!A:H,8,FALSE))</f>
        <v>85001.165710000001</v>
      </c>
      <c r="P286" s="46">
        <f t="shared" ca="1" si="18"/>
        <v>6.5065191143401429E-3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input_491101!A$2</f>
        <v>491101</v>
      </c>
      <c r="B287" s="5">
        <v>853</v>
      </c>
      <c r="C287" s="7" t="str">
        <f t="shared" si="16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IFERROR(VLOOKUP(B287,input_491101!L:R,7,FALSE),VLOOKUP(tables_491101!C287,input_491101!A:H,8,FALSE))</f>
        <v>3484.96</v>
      </c>
      <c r="P287" s="46">
        <f t="shared" ca="1" si="18"/>
        <v>2.6676056337946455E-4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input_491101!A$2</f>
        <v>491101</v>
      </c>
      <c r="B288" s="5">
        <v>854</v>
      </c>
      <c r="C288" s="7" t="str">
        <f t="shared" si="16"/>
        <v>Premium4R3lesscolor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IFERROR(VLOOKUP(B288,input_491101!L:R,7,FALSE),VLOOKUP(tables_491101!C288,input_491101!A:H,8,FALSE))</f>
        <v>216971.26667000001</v>
      </c>
      <c r="P288" s="46">
        <f t="shared" ca="1" si="18"/>
        <v>1.6608333333537614E-2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input_491101!A$2</f>
        <v>491101</v>
      </c>
      <c r="B289" s="5">
        <v>855</v>
      </c>
      <c r="C289" s="7" t="str">
        <f t="shared" si="16"/>
        <v>Premium5R3lesscolor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IFERROR(VLOOKUP(B289,input_491101!L:R,7,FALSE),VLOOKUP(tables_491101!C289,input_491101!A:H,8,FALSE))</f>
        <v>16870.37455</v>
      </c>
      <c r="P289" s="46">
        <f t="shared" ca="1" si="18"/>
        <v>1.2913636367076181E-3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input_491101!A$2</f>
        <v>491101</v>
      </c>
      <c r="B290" s="5">
        <v>862</v>
      </c>
      <c r="C290" s="7" t="str">
        <f t="shared" si="16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IFERROR(VLOOKUP(B290,input_491101!L:R,7,FALSE),VLOOKUP(tables_491101!C290,input_491101!A:H,8,FALSE))</f>
        <v>85001.165710000001</v>
      </c>
      <c r="P290" s="46">
        <f t="shared" ca="1" si="18"/>
        <v>6.5065191143401429E-3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input_491101!A$2</f>
        <v>491101</v>
      </c>
      <c r="B291" s="5">
        <v>863</v>
      </c>
      <c r="C291" s="7" t="str">
        <f t="shared" si="16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IFERROR(VLOOKUP(B291,input_491101!L:R,7,FALSE),VLOOKUP(tables_491101!C291,input_491101!A:H,8,FALSE))</f>
        <v>3484.96</v>
      </c>
      <c r="P291" s="46">
        <f t="shared" ca="1" si="18"/>
        <v>2.6676056337946455E-4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input_491101!A$2</f>
        <v>491101</v>
      </c>
      <c r="B292" s="5">
        <v>864</v>
      </c>
      <c r="C292" s="7" t="str">
        <f t="shared" si="16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IFERROR(VLOOKUP(B292,input_491101!L:R,7,FALSE),VLOOKUP(tables_491101!C292,input_491101!A:H,8,FALSE))</f>
        <v>85001.165710000001</v>
      </c>
      <c r="P292" s="46">
        <f t="shared" ca="1" si="18"/>
        <v>6.5065191143401429E-3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input_491101!A$2</f>
        <v>491101</v>
      </c>
      <c r="B293" s="5">
        <v>865</v>
      </c>
      <c r="C293" s="7" t="str">
        <f t="shared" si="16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7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IFERROR(VLOOKUP(B293,input_491101!L:R,7,FALSE),VLOOKUP(tables_491101!C293,input_491101!A:H,8,FALSE))</f>
        <v>3484.96</v>
      </c>
      <c r="P293" s="46">
        <f t="shared" ca="1" si="18"/>
        <v>2.6676056337946455E-4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input_491101!A$2</f>
        <v>491101</v>
      </c>
      <c r="B294" s="5">
        <v>866</v>
      </c>
      <c r="C294" s="7" t="str">
        <f t="shared" si="16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IFERROR(VLOOKUP(B294,input_491101!L:R,7,FALSE),VLOOKUP(tables_491101!C294,input_491101!A:H,8,FALSE))</f>
        <v>5680</v>
      </c>
      <c r="P294" s="46">
        <f t="shared" ca="1" si="18"/>
        <v>4.3478260869432036E-4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input_491101!A$2</f>
        <v>491101</v>
      </c>
      <c r="B295" s="5">
        <v>868</v>
      </c>
      <c r="C295" s="7" t="str">
        <f t="shared" si="16"/>
        <v>PremiumSS5R5onlycolor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IFERROR(VLOOKUP(B295,input_491101!L:R,7,FALSE),VLOOKUP(tables_491101!C295,input_491101!A:H,8,FALSE))</f>
        <v>23054.11765</v>
      </c>
      <c r="P295" s="46">
        <f t="shared" ca="1" si="18"/>
        <v>1.7647058825726715E-3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input_491101!A$2</f>
        <v>491101</v>
      </c>
      <c r="B296" s="5">
        <v>937</v>
      </c>
      <c r="C296" s="7" t="str">
        <f t="shared" si="16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IFERROR(VLOOKUP(B296,input_491101!L:R,7,FALSE),VLOOKUP(tables_491101!C296,input_491101!A:H,8,FALSE))</f>
        <v>5680</v>
      </c>
      <c r="P296" s="46">
        <f t="shared" ca="1" si="18"/>
        <v>4.3478260869432036E-4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input_491101!A$2</f>
        <v>491101</v>
      </c>
      <c r="B297" s="5">
        <v>939</v>
      </c>
      <c r="C297" s="7" t="str">
        <f t="shared" si="16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IFERROR(VLOOKUP(B297,input_491101!L:R,7,FALSE),VLOOKUP(tables_491101!C297,input_491101!A:H,8,FALSE))</f>
        <v>85001.165710000001</v>
      </c>
      <c r="P297" s="46">
        <f t="shared" ca="1" si="18"/>
        <v>6.5065191143401429E-3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input_491101!A$2</f>
        <v>491101</v>
      </c>
      <c r="B298" s="5">
        <v>940</v>
      </c>
      <c r="C298" s="7" t="str">
        <f t="shared" si="16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IFERROR(VLOOKUP(B298,input_491101!L:R,7,FALSE),VLOOKUP(tables_491101!C298,input_491101!A:H,8,FALSE))</f>
        <v>3484.96</v>
      </c>
      <c r="P298" s="46">
        <f t="shared" ca="1" si="18"/>
        <v>2.6676056337946455E-4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input_491101!A$2</f>
        <v>491101</v>
      </c>
      <c r="B299" s="5">
        <v>941</v>
      </c>
      <c r="C299" s="7" t="str">
        <f t="shared" si="16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IFERROR(VLOOKUP(B299,input_491101!L:R,7,FALSE),VLOOKUP(tables_491101!C299,input_491101!A:H,8,FALSE))</f>
        <v>5680</v>
      </c>
      <c r="P299" s="46">
        <f t="shared" ca="1" si="18"/>
        <v>4.3478260869432036E-4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input_491101!A$2</f>
        <v>491101</v>
      </c>
      <c r="B300" s="5">
        <v>943</v>
      </c>
      <c r="C300" s="7" t="str">
        <f t="shared" si="16"/>
        <v>PremiumSS5R5onlycolor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7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IFERROR(VLOOKUP(B300,input_491101!L:R,7,FALSE),VLOOKUP(tables_491101!C300,input_491101!A:H,8,FALSE))</f>
        <v>23054.11765</v>
      </c>
      <c r="P300" s="46">
        <f t="shared" ca="1" si="18"/>
        <v>1.7647058825726715E-3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input_491101!A$2</f>
        <v>491101</v>
      </c>
      <c r="B301" s="5">
        <v>1012</v>
      </c>
      <c r="C301" s="7" t="str">
        <f t="shared" si="16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IFERROR(VLOOKUP(B301,input_491101!L:R,7,FALSE),VLOOKUP(tables_491101!C301,input_491101!A:H,8,FALSE))</f>
        <v>5680</v>
      </c>
      <c r="P301" s="46">
        <f t="shared" ca="1" si="18"/>
        <v>4.3478260869432036E-4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input_491101!A$2</f>
        <v>491101</v>
      </c>
      <c r="B302" s="5">
        <v>1014</v>
      </c>
      <c r="C302" s="7" t="str">
        <f t="shared" si="16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IFERROR(VLOOKUP(B302,input_491101!L:R,7,FALSE),VLOOKUP(tables_491101!C302,input_491101!A:H,8,FALSE))</f>
        <v>5680</v>
      </c>
      <c r="P302" s="46">
        <f t="shared" ca="1" si="18"/>
        <v>4.3478260869432036E-4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input_491101!A$2</f>
        <v>491101</v>
      </c>
      <c r="B303" s="5">
        <v>1016</v>
      </c>
      <c r="C303" s="7" t="str">
        <f t="shared" si="16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7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IFERROR(VLOOKUP(B303,input_491101!L:R,7,FALSE),VLOOKUP(tables_491101!C303,input_491101!A:H,8,FALSE))</f>
        <v>85001.165710000001</v>
      </c>
      <c r="P303" s="46">
        <f t="shared" ca="1" si="18"/>
        <v>6.5065191143401429E-3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input_491101!A$2</f>
        <v>491101</v>
      </c>
      <c r="B304" s="5">
        <v>1017</v>
      </c>
      <c r="C304" s="7" t="str">
        <f t="shared" si="16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IFERROR(VLOOKUP(B304,input_491101!L:R,7,FALSE),VLOOKUP(tables_491101!C304,input_491101!A:H,8,FALSE))</f>
        <v>3484.96</v>
      </c>
      <c r="P304" s="46">
        <f t="shared" ca="1" si="18"/>
        <v>2.6676056337946455E-4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input_491101!A$2</f>
        <v>491101</v>
      </c>
      <c r="B305" s="5">
        <v>1018</v>
      </c>
      <c r="C305" s="7" t="str">
        <f t="shared" si="16"/>
        <v>PremiumSS5R5onlycolor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7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IFERROR(VLOOKUP(B305,input_491101!L:R,7,FALSE),VLOOKUP(tables_491101!C305,input_491101!A:H,8,FALSE))</f>
        <v>23054.11765</v>
      </c>
      <c r="P305" s="46">
        <f t="shared" ca="1" si="18"/>
        <v>1.7647058825726715E-3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input_491101!A$2</f>
        <v>491101</v>
      </c>
      <c r="B306" s="5">
        <v>1026</v>
      </c>
      <c r="C306" s="7" t="str">
        <f t="shared" si="16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7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IFERROR(VLOOKUP(B306,input_491101!L:R,7,FALSE),VLOOKUP(tables_491101!C306,input_491101!A:H,8,FALSE))</f>
        <v>85001.165710000001</v>
      </c>
      <c r="P306" s="46">
        <f t="shared" ca="1" si="18"/>
        <v>6.5065191143401429E-3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input_491101!A$2</f>
        <v>491101</v>
      </c>
      <c r="B307" s="5">
        <v>1027</v>
      </c>
      <c r="C307" s="7" t="str">
        <f t="shared" si="16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7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IFERROR(VLOOKUP(B307,input_491101!L:R,7,FALSE),VLOOKUP(tables_491101!C307,input_491101!A:H,8,FALSE))</f>
        <v>3484.96</v>
      </c>
      <c r="P307" s="46">
        <f t="shared" ca="1" si="18"/>
        <v>2.6676056337946455E-4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input_491101!A$2</f>
        <v>491101</v>
      </c>
      <c r="B308" s="5">
        <v>1028</v>
      </c>
      <c r="C308" s="7" t="str">
        <f t="shared" si="16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7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IFERROR(VLOOKUP(B308,input_491101!L:R,7,FALSE),VLOOKUP(tables_491101!C308,input_491101!A:H,8,FALSE))</f>
        <v>5680</v>
      </c>
      <c r="P308" s="46">
        <f t="shared" ca="1" si="18"/>
        <v>4.3478260869432036E-4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input_491101!A$2</f>
        <v>491101</v>
      </c>
      <c r="B309" s="5">
        <v>1031</v>
      </c>
      <c r="C309" s="7" t="str">
        <f t="shared" si="16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7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IFERROR(VLOOKUP(B309,input_491101!L:R,7,FALSE),VLOOKUP(tables_491101!C309,input_491101!A:H,8,FALSE))</f>
        <v>5680</v>
      </c>
      <c r="P309" s="46">
        <f t="shared" ca="1" si="18"/>
        <v>4.3478260869432036E-4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input_491101!A$2</f>
        <v>491101</v>
      </c>
      <c r="B310" s="5">
        <v>1033</v>
      </c>
      <c r="C310" s="7" t="str">
        <f t="shared" si="16"/>
        <v>PremiumSS5R5onlycolor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7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IFERROR(VLOOKUP(B310,input_491101!L:R,7,FALSE),VLOOKUP(tables_491101!C310,input_491101!A:H,8,FALSE))</f>
        <v>23054.11765</v>
      </c>
      <c r="P310" s="46">
        <f t="shared" ca="1" si="18"/>
        <v>1.7647058825726715E-3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input_491101!A$2</f>
        <v>491101</v>
      </c>
      <c r="B311" s="5">
        <v>1067</v>
      </c>
      <c r="C311" s="7" t="str">
        <f t="shared" si="16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7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IFERROR(VLOOKUP(B311,input_491101!L:R,7,FALSE),VLOOKUP(tables_491101!C311,input_491101!A:H,8,FALSE))</f>
        <v>85001.165710000001</v>
      </c>
      <c r="P311" s="46">
        <f t="shared" ca="1" si="18"/>
        <v>6.5065191143401429E-3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input_491101!A$2</f>
        <v>491101</v>
      </c>
      <c r="B312" s="5">
        <v>1068</v>
      </c>
      <c r="C312" s="7" t="str">
        <f t="shared" si="16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7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IFERROR(VLOOKUP(B312,input_491101!L:R,7,FALSE),VLOOKUP(tables_491101!C312,input_491101!A:H,8,FALSE))</f>
        <v>3484.96</v>
      </c>
      <c r="P312" s="46">
        <f t="shared" ca="1" si="18"/>
        <v>2.6676056337946455E-4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input_491101!A$2</f>
        <v>491101</v>
      </c>
      <c r="B313" s="5">
        <v>1069</v>
      </c>
      <c r="C313" s="7" t="str">
        <f t="shared" si="16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7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IFERROR(VLOOKUP(B313,input_491101!L:R,7,FALSE),VLOOKUP(tables_491101!C313,input_491101!A:H,8,FALSE))</f>
        <v>5680</v>
      </c>
      <c r="P313" s="46">
        <f t="shared" ca="1" si="18"/>
        <v>4.3478260869432036E-4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input_491101!A$2</f>
        <v>491101</v>
      </c>
      <c r="B314" s="5">
        <v>1072</v>
      </c>
      <c r="C314" s="7" t="str">
        <f t="shared" si="16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7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IFERROR(VLOOKUP(B314,input_491101!L:R,7,FALSE),VLOOKUP(tables_491101!C314,input_491101!A:H,8,FALSE))</f>
        <v>5680</v>
      </c>
      <c r="P314" s="46">
        <f t="shared" ca="1" si="18"/>
        <v>4.3478260869432036E-4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input_491101!A$2</f>
        <v>491101</v>
      </c>
      <c r="B315" s="5">
        <v>1074</v>
      </c>
      <c r="C315" s="7" t="str">
        <f t="shared" si="16"/>
        <v>PremiumSS5R5onlycolor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7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IFERROR(VLOOKUP(B315,input_491101!L:R,7,FALSE),VLOOKUP(tables_491101!C315,input_491101!A:H,8,FALSE))</f>
        <v>23054.11765</v>
      </c>
      <c r="P315" s="46">
        <f t="shared" ca="1" si="18"/>
        <v>1.7647058825726715E-3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input_491101!A$2</f>
        <v>491101</v>
      </c>
      <c r="B316" s="5">
        <v>1100</v>
      </c>
      <c r="C316" s="7" t="str">
        <f t="shared" si="16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7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IFERROR(VLOOKUP(B316,input_491101!L:R,7,FALSE),VLOOKUP(tables_491101!C316,input_491101!A:H,8,FALSE))</f>
        <v>5680</v>
      </c>
      <c r="P316" s="46">
        <f t="shared" ca="1" si="18"/>
        <v>4.3478260869432036E-4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input_491101!A$2</f>
        <v>491101</v>
      </c>
      <c r="B317" s="5">
        <v>1102</v>
      </c>
      <c r="C317" s="7" t="str">
        <f t="shared" si="16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7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IFERROR(VLOOKUP(B317,input_491101!L:R,7,FALSE),VLOOKUP(tables_491101!C317,input_491101!A:H,8,FALSE))</f>
        <v>5680</v>
      </c>
      <c r="P317" s="46">
        <f t="shared" ca="1" si="18"/>
        <v>4.3478260869432036E-4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input_491101!A$2</f>
        <v>491101</v>
      </c>
      <c r="B318" s="5">
        <v>1104</v>
      </c>
      <c r="C318" s="7" t="str">
        <f t="shared" si="16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7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IFERROR(VLOOKUP(B318,input_491101!L:R,7,FALSE),VLOOKUP(tables_491101!C318,input_491101!A:H,8,FALSE))</f>
        <v>85001.165710000001</v>
      </c>
      <c r="P318" s="46">
        <f t="shared" ca="1" si="18"/>
        <v>6.5065191143401429E-3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input_491101!A$2</f>
        <v>491101</v>
      </c>
      <c r="B319" s="5">
        <v>1105</v>
      </c>
      <c r="C319" s="7" t="str">
        <f t="shared" si="16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7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IFERROR(VLOOKUP(B319,input_491101!L:R,7,FALSE),VLOOKUP(tables_491101!C319,input_491101!A:H,8,FALSE))</f>
        <v>3484.96</v>
      </c>
      <c r="P319" s="46">
        <f t="shared" ref="P319:P324" ca="1" si="20">O319/SUM(O:O)</f>
        <v>2.6676056337946455E-4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input_491101!A$2</f>
        <v>491101</v>
      </c>
      <c r="B320" s="5">
        <v>1106</v>
      </c>
      <c r="C320" s="7" t="str">
        <f t="shared" si="16"/>
        <v>PremiumSS5R5onlycolor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7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IFERROR(VLOOKUP(B320,input_491101!L:R,7,FALSE),VLOOKUP(tables_491101!C320,input_491101!A:H,8,FALSE))</f>
        <v>23054.11765</v>
      </c>
      <c r="P320" s="46">
        <f t="shared" ca="1" si="20"/>
        <v>1.7647058825726715E-3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input_491101!A$2</f>
        <v>491101</v>
      </c>
      <c r="B321" s="5">
        <v>1137</v>
      </c>
      <c r="C321" s="7" t="str">
        <f t="shared" si="16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7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IFERROR(VLOOKUP(B321,input_491101!L:R,7,FALSE),VLOOKUP(tables_491101!C321,input_491101!A:H,8,FALSE))</f>
        <v>5680</v>
      </c>
      <c r="P321" s="46">
        <f t="shared" ca="1" si="20"/>
        <v>4.3478260869432036E-4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input_491101!A$2</f>
        <v>491101</v>
      </c>
      <c r="B322" s="5">
        <v>1139</v>
      </c>
      <c r="C322" s="7" t="str">
        <f t="shared" ref="C322:C324" si="21">D322&amp;J322&amp;E322&amp;F322&amp;G322</f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ref="G322:G341" si="22">IF(K322="yellow","color","")</f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IFERROR(VLOOKUP(B322,input_491101!L:R,7,FALSE),VLOOKUP(tables_491101!C322,input_491101!A:H,8,FALSE))</f>
        <v>5680</v>
      </c>
      <c r="P322" s="46">
        <f t="shared" ca="1" si="20"/>
        <v>4.3478260869432036E-4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input_491101!A$2</f>
        <v>491101</v>
      </c>
      <c r="B323" s="5">
        <v>1141</v>
      </c>
      <c r="C323" s="7" t="str">
        <f t="shared" si="21"/>
        <v>PremiumSS5R5only</v>
      </c>
      <c r="D323" s="7" t="str">
        <f t="shared" ref="D323:D324" si="2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si="22"/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IFERROR(VLOOKUP(B323,input_491101!L:R,7,FALSE),VLOOKUP(tables_491101!C323,input_491101!A:H,8,FALSE))</f>
        <v>5680</v>
      </c>
      <c r="P323" s="46">
        <f t="shared" ca="1" si="20"/>
        <v>4.3478260869432036E-4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input_491101!A$2</f>
        <v>491101</v>
      </c>
      <c r="B324" s="2">
        <v>1143</v>
      </c>
      <c r="C324" s="98" t="str">
        <f t="shared" si="21"/>
        <v>Premium4R3lesscolor</v>
      </c>
      <c r="D324" s="7" t="str">
        <f t="shared" si="2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2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IFERROR(VLOOKUP(B324,input_491101!L:R,7,FALSE),VLOOKUP(tables_491101!C324,input_491101!A:H,8,FALSE))</f>
        <v>216971.26667000001</v>
      </c>
      <c r="P324" s="46">
        <f t="shared" ca="1" si="20"/>
        <v>1.6608333333537614E-2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input_491101!A$2</f>
        <v>491101</v>
      </c>
      <c r="B325" s="2">
        <v>1144</v>
      </c>
      <c r="C325" s="98" t="str">
        <f t="shared" ref="C325:C331" si="24">D325&amp;J325&amp;E325&amp;F325&amp;G325</f>
        <v>Premium5R3lesscolor</v>
      </c>
      <c r="D325" s="7" t="str">
        <f t="shared" ref="D325:D331" si="25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2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IFERROR(VLOOKUP(B325,input_491101!L:R,7,FALSE),VLOOKUP(tables_491101!C325,input_491101!A:H,8,FALSE))</f>
        <v>16870.37455</v>
      </c>
      <c r="P325" s="46">
        <f t="shared" ref="P325:P331" ca="1" si="26">O325/SUM(O:O)</f>
        <v>1.2913636367076181E-3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input_491101!A$2</f>
        <v>491101</v>
      </c>
      <c r="B326" s="2">
        <v>1151</v>
      </c>
      <c r="C326" s="98" t="str">
        <f t="shared" si="24"/>
        <v>Premium4R3less</v>
      </c>
      <c r="D326" s="7" t="str">
        <f t="shared" si="25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2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IFERROR(VLOOKUP(B326,input_491101!L:R,7,FALSE),VLOOKUP(tables_491101!C326,input_491101!A:H,8,FALSE))</f>
        <v>85001.165710000001</v>
      </c>
      <c r="P326" s="46">
        <f t="shared" ca="1" si="26"/>
        <v>6.5065191143401429E-3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input_491101!A$2</f>
        <v>491101</v>
      </c>
      <c r="B327" s="2">
        <v>1152</v>
      </c>
      <c r="C327" s="98" t="str">
        <f t="shared" si="24"/>
        <v>Premium5R3less</v>
      </c>
      <c r="D327" s="7" t="str">
        <f t="shared" si="25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2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IFERROR(VLOOKUP(B327,input_491101!L:R,7,FALSE),VLOOKUP(tables_491101!C327,input_491101!A:H,8,FALSE))</f>
        <v>3484.96</v>
      </c>
      <c r="P327" s="46">
        <f t="shared" ca="1" si="26"/>
        <v>2.6676056337946455E-4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input_491101!A$2</f>
        <v>491101</v>
      </c>
      <c r="B328" s="2">
        <v>1153</v>
      </c>
      <c r="C328" s="98" t="str">
        <f t="shared" si="24"/>
        <v>PremiumSS5R5only</v>
      </c>
      <c r="D328" s="7" t="str">
        <f t="shared" si="25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2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IFERROR(VLOOKUP(B328,input_491101!L:R,7,FALSE),VLOOKUP(tables_491101!C328,input_491101!A:H,8,FALSE))</f>
        <v>5680</v>
      </c>
      <c r="P328" s="46">
        <f t="shared" ca="1" si="26"/>
        <v>4.3478260869432036E-4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input_491101!A$2</f>
        <v>491101</v>
      </c>
      <c r="B329" s="2">
        <v>1155</v>
      </c>
      <c r="C329" s="98" t="str">
        <f t="shared" si="24"/>
        <v>PremiumSS5R5only</v>
      </c>
      <c r="D329" s="7" t="str">
        <f t="shared" si="25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2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IFERROR(VLOOKUP(B329,input_491101!L:R,7,FALSE),VLOOKUP(tables_491101!C329,input_491101!A:H,8,FALSE))</f>
        <v>5680</v>
      </c>
      <c r="P329" s="46">
        <f t="shared" ca="1" si="26"/>
        <v>4.3478260869432036E-4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input_491101!A$2</f>
        <v>491101</v>
      </c>
      <c r="B330" s="2">
        <v>1157</v>
      </c>
      <c r="C330" s="98" t="str">
        <f t="shared" si="24"/>
        <v>PremiumSS5R5onlycolor</v>
      </c>
      <c r="D330" s="7" t="str">
        <f t="shared" si="25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2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IFERROR(VLOOKUP(B330,input_491101!L:R,7,FALSE),VLOOKUP(tables_491101!C330,input_491101!A:H,8,FALSE))</f>
        <v>23054.11765</v>
      </c>
      <c r="P330" s="46">
        <f t="shared" ca="1" si="26"/>
        <v>1.7647058825726715E-3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input_491101!A$2</f>
        <v>491101</v>
      </c>
      <c r="B331" s="60">
        <v>1214</v>
      </c>
      <c r="C331" s="98" t="str">
        <f t="shared" si="24"/>
        <v>PremiumSS5R5onlycolor</v>
      </c>
      <c r="D331" s="7" t="str">
        <f t="shared" si="25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2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IFERROR(VLOOKUP(B331,input_491101!L:R,7,FALSE),VLOOKUP(tables_491101!C331,input_491101!A:H,8,FALSE))</f>
        <v>23054.11765</v>
      </c>
      <c r="P331" s="46">
        <f t="shared" ca="1" si="26"/>
        <v>1.7647058825726715E-3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input_491101!A$2</f>
        <v>491101</v>
      </c>
      <c r="B332" s="60">
        <v>1212</v>
      </c>
      <c r="C332" s="98" t="str">
        <f t="shared" ref="C332:C340" si="27">D332&amp;J332&amp;E332&amp;F332&amp;G332</f>
        <v>PremiumSS5R5only</v>
      </c>
      <c r="D332" s="7" t="str">
        <f t="shared" ref="D332:D340" si="28">IF(OR(I332="PremiumSS",I332="PremiumSSw"),"PremiumSS",IF(I332="PremiumSSS",I332,IF(I332="PremiumW",IF(J332=5,"premium",I332),"Premium")))</f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2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IFERROR(VLOOKUP(B332,input_491101!L:R,7,FALSE),VLOOKUP(tables_491101!C332,input_491101!A:H,8,FALSE))</f>
        <v>5680</v>
      </c>
      <c r="P332" s="46">
        <f t="shared" ref="P332:P340" ca="1" si="29">O332/SUM(O:O)</f>
        <v>4.3478260869432036E-4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input_491101!A$2</f>
        <v>491101</v>
      </c>
      <c r="B333" s="60">
        <v>1208</v>
      </c>
      <c r="C333" s="98" t="str">
        <f t="shared" si="27"/>
        <v>PremiumSS5R5only</v>
      </c>
      <c r="D333" s="7" t="str">
        <f t="shared" si="2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2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IFERROR(VLOOKUP(B333,input_491101!L:R,7,FALSE),VLOOKUP(tables_491101!C333,input_491101!A:H,8,FALSE))</f>
        <v>5680</v>
      </c>
      <c r="P333" s="46">
        <f t="shared" ca="1" si="29"/>
        <v>4.3478260869432036E-4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input_491101!A$2</f>
        <v>491101</v>
      </c>
      <c r="B334" s="108">
        <v>1210</v>
      </c>
      <c r="C334" s="98" t="str">
        <f t="shared" si="27"/>
        <v>Premium4R3less</v>
      </c>
      <c r="D334" s="7" t="str">
        <f t="shared" si="2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2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IFERROR(VLOOKUP(B334,input_491101!L:R,7,FALSE),VLOOKUP(tables_491101!C334,input_491101!A:H,8,FALSE))</f>
        <v>85001.165710000001</v>
      </c>
      <c r="P334" s="46">
        <f t="shared" ca="1" si="29"/>
        <v>6.5065191143401429E-3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input_491101!A$2</f>
        <v>491101</v>
      </c>
      <c r="B335" s="60">
        <v>1211</v>
      </c>
      <c r="C335" s="98" t="str">
        <f t="shared" si="27"/>
        <v>Premium5R3less</v>
      </c>
      <c r="D335" s="7" t="str">
        <f t="shared" si="2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2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IFERROR(VLOOKUP(B335,input_491101!L:R,7,FALSE),VLOOKUP(tables_491101!C335,input_491101!A:H,8,FALSE))</f>
        <v>3484.96</v>
      </c>
      <c r="P335" s="46">
        <f t="shared" ca="1" si="29"/>
        <v>2.6676056337946455E-4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input_491101!A$2</f>
        <v>491101</v>
      </c>
      <c r="B336" s="2">
        <v>1224</v>
      </c>
      <c r="C336" s="98" t="str">
        <f t="shared" si="27"/>
        <v>Premium4R3less</v>
      </c>
      <c r="D336" s="7" t="str">
        <f t="shared" si="2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2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IFERROR(VLOOKUP(B336,input_491101!L:R,7,FALSE),VLOOKUP(tables_491101!C336,input_491101!A:H,8,FALSE))</f>
        <v>85001.165710000001</v>
      </c>
      <c r="P336" s="46">
        <f t="shared" ca="1" si="29"/>
        <v>6.5065191143401429E-3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input_491101!A$2</f>
        <v>491101</v>
      </c>
      <c r="B337" s="2">
        <v>1225</v>
      </c>
      <c r="C337" s="98" t="str">
        <f t="shared" si="27"/>
        <v>Premium5R3less</v>
      </c>
      <c r="D337" s="7" t="str">
        <f t="shared" si="2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2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IFERROR(VLOOKUP(B337,input_491101!L:R,7,FALSE),VLOOKUP(tables_491101!C337,input_491101!A:H,8,FALSE))</f>
        <v>3484.96</v>
      </c>
      <c r="P337" s="46">
        <f t="shared" ca="1" si="29"/>
        <v>2.6676056337946455E-4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input_491101!A$2</f>
        <v>491101</v>
      </c>
      <c r="B338" s="2">
        <v>1226</v>
      </c>
      <c r="C338" s="98" t="str">
        <f t="shared" si="27"/>
        <v>PremiumSS5R5only</v>
      </c>
      <c r="D338" s="7" t="str">
        <f t="shared" si="2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2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IFERROR(VLOOKUP(B338,input_491101!L:R,7,FALSE),VLOOKUP(tables_491101!C338,input_491101!A:H,8,FALSE))</f>
        <v>5680</v>
      </c>
      <c r="P338" s="46">
        <f t="shared" ca="1" si="29"/>
        <v>4.3478260869432036E-4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input_491101!A$2</f>
        <v>491101</v>
      </c>
      <c r="B339" s="2">
        <v>1228</v>
      </c>
      <c r="C339" s="98" t="str">
        <f t="shared" si="27"/>
        <v>PremiumSS5R5only</v>
      </c>
      <c r="D339" s="7" t="str">
        <f t="shared" si="2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2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IFERROR(VLOOKUP(B339,input_491101!L:R,7,FALSE),VLOOKUP(tables_491101!C339,input_491101!A:H,8,FALSE))</f>
        <v>5680</v>
      </c>
      <c r="P339" s="46">
        <f t="shared" ca="1" si="29"/>
        <v>4.3478260869432036E-4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input_491101!A$2</f>
        <v>491101</v>
      </c>
      <c r="B340" s="2">
        <v>1230</v>
      </c>
      <c r="C340" s="98" t="str">
        <f t="shared" si="27"/>
        <v>PremiumSS5R5onlycolor</v>
      </c>
      <c r="D340" s="7" t="str">
        <f t="shared" si="2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2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IFERROR(VLOOKUP(B340,input_491101!L:R,7,FALSE),VLOOKUP(tables_491101!C340,input_491101!A:H,8,FALSE))</f>
        <v>23054.11765</v>
      </c>
      <c r="P340" s="46">
        <f t="shared" ca="1" si="29"/>
        <v>1.7647058825726715E-3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input_491101!A$2</f>
        <v>491101</v>
      </c>
      <c r="B341" s="1">
        <v>1286</v>
      </c>
      <c r="C341" s="98" t="str">
        <f t="shared" ref="C341" si="30">D341&amp;J341&amp;E341&amp;F341&amp;G341</f>
        <v>PremiumSSS5R3lesscolor</v>
      </c>
      <c r="D341" s="7" t="str">
        <f t="shared" ref="D341" si="31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 t="str">
        <f t="shared" si="22"/>
        <v>color</v>
      </c>
      <c r="H341" s="7" t="str">
        <f>VLOOKUP(B341,[1]characters!$A:$C,3,FALSE)</f>
        <v>ニコラ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hp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IFERROR(VLOOKUP(B341,input_491101!L:R,7,FALSE),VLOOKUP(tables_491101!C341,input_491101!A:H,8,FALSE))</f>
        <v>39192</v>
      </c>
      <c r="P341" s="46">
        <f t="shared" ref="P341" ca="1" si="32">O341/SUM(O:O)</f>
        <v>2.9999999999908104E-3</v>
      </c>
      <c r="Q341" s="88"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1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5"/>
  <sheetViews>
    <sheetView topLeftCell="A12" zoomScale="110" zoomScaleNormal="110" zoomScalePageLayoutView="110" workbookViewId="0">
      <selection activeCell="E49" sqref="E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491103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VLOOKUP(L3,tables_491103!B:C,2,FALSE)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VLOOKUP(L4,tables_491103!B:C,2,FALSE)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4.3478260869565224E-4</v>
      </c>
      <c r="F5">
        <f>(COUNTIF(tables_491103!C:C,input_491103!A28)+COUNTIF(tables_491103!C:C,input_491103!A29))</f>
        <v>46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VLOOKUP(L5,tables_491103!B:C,2,FALSE)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1.764705882352941E-3</v>
      </c>
      <c r="F6">
        <f>(COUNTIF(tables_491103!C:C,input_491103!A43)+COUNTIF(tables_491103!C:C,input_491103!A44))</f>
        <v>17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VLOOKUP(L6,tables_491103!B:C,2,FALSE)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5.3352112676056341E-3</v>
      </c>
      <c r="F7">
        <f>(COUNTIF(tables_491103!C:C,input_491103!A25)+COUNTIF(tables_491103!C:C,input_491103!A18)+COUNTIF(tables_491103!C:C,input_491103!A20)+COUNTIF(tables_491103!C:C,input_491103!A22))</f>
        <v>71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VLOOKUP(L7,tables_491103!B:C,2,FALSE)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2.5827272727272723E-2</v>
      </c>
      <c r="F8">
        <f>(COUNTIF(tables_491103!C:C,input_491103!A40)+COUNTIF(tables_491103!C:C,input_491103!A33)+COUNTIF(tables_491103!C:C,input_491103!A35)+COUNTIF(tables_491103!C:C,input_491103!A37))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VLOOKUP(L8,tables_491103!B:C,2,FALSE)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VLOOKUP(L9,tables_491103!B:C,2,FALSE)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0.94699999999999995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VLOOKUP(L10,tables_491103!B:C,2,FALSE)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89">
        <v>0.05</v>
      </c>
      <c r="C11" t="s">
        <v>272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VLOOKUP(L11,tables_491103!B:C,2,FALSE)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3.0000000000000001E-3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VLOOKUP(L12,tables_491103!B:C,2,FALSE)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VLOOKUP(L13,tables_491103!B:C,2,FALSE)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VLOOKUP(L14,tables_491103!B:C,2,FALSE)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VLOOKUP(L15,tables_491103!B:C,2,FALSE)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VLOOKUP(L16,tables_491103!B:C,2,FALSE)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1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COUNTIF(tables_491103!C:C,input_491103!A17)-COUNTIF(Q:Q,A17)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VLOOKUP(L17,tables_491103!B:C,2,FALSE)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E$7*E18-B17+0.01</f>
        <v>9.0028169014084503E-2</v>
      </c>
      <c r="C18" s="86">
        <f t="shared" si="2"/>
        <v>0</v>
      </c>
      <c r="D18" s="75">
        <f t="shared" si="3"/>
        <v>9.0028169014084503E-2</v>
      </c>
      <c r="E18">
        <f>COUNTIF(tables_491103!C:C,input_491103!A18)-COUNTIF(Q:Q,A18)</f>
        <v>15</v>
      </c>
      <c r="F18" s="43">
        <f>IFERROR(B18/E18,0)</f>
        <v>6.0018779342723002E-3</v>
      </c>
      <c r="G18">
        <f t="shared" si="4"/>
        <v>1176128</v>
      </c>
      <c r="H18">
        <f t="shared" si="5"/>
        <v>78408.533330000006</v>
      </c>
      <c r="I18">
        <f t="shared" si="6"/>
        <v>0.53333000000566244</v>
      </c>
      <c r="J18">
        <f t="shared" si="7"/>
        <v>1.8750117188033353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VLOOKUP(L18,tables_491103!B:C,2,FALSE)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COUNTIF(tables_491103!C:C,input_491103!A19)-COUNTIF(Q:Q,A19)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VLOOKUP(L19,tables_491103!B:C,2,FALSE)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1">
        <f>E$7*E20*B$6+F49-0.03+0.01-G64</f>
        <v>0.17766957746283685</v>
      </c>
      <c r="C20" s="86">
        <f t="shared" si="2"/>
        <v>0</v>
      </c>
      <c r="D20" s="75">
        <f t="shared" si="3"/>
        <v>0.17766957746283685</v>
      </c>
      <c r="E20">
        <f>COUNTIF(tables_491103!C:C,input_491103!A20)-COUNTIF(Q:Q,A20)</f>
        <v>39</v>
      </c>
      <c r="F20" s="43">
        <f t="shared" si="8"/>
        <v>4.5556301913547911E-3</v>
      </c>
      <c r="G20">
        <f t="shared" si="4"/>
        <v>2321075.3599745007</v>
      </c>
      <c r="H20">
        <f t="shared" si="5"/>
        <v>59514.752820000002</v>
      </c>
      <c r="I20">
        <f t="shared" si="6"/>
        <v>0.75282000000152038</v>
      </c>
      <c r="J20">
        <f t="shared" si="7"/>
        <v>1.3283387795196466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VLOOKUP(L20,tables_491103!B:C,2,FALSE)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4.0366197183098682E-4</v>
      </c>
      <c r="C21" s="86">
        <f t="shared" si="2"/>
        <v>0</v>
      </c>
      <c r="D21" s="75">
        <f t="shared" si="3"/>
        <v>4.0366197183098682E-4</v>
      </c>
      <c r="E21">
        <f>COUNTIF(tables_491103!C:C,input_491103!A21)-COUNTIF(Q:Q,A21)</f>
        <v>39</v>
      </c>
      <c r="F21" s="43">
        <f t="shared" si="8"/>
        <v>1.0350306970025304E-5</v>
      </c>
      <c r="G21">
        <f t="shared" si="4"/>
        <v>5273.4400000000114</v>
      </c>
      <c r="H21">
        <f t="shared" si="5"/>
        <v>135.21641</v>
      </c>
      <c r="I21">
        <f t="shared" si="6"/>
        <v>0.21640999999999622</v>
      </c>
      <c r="J21">
        <f t="shared" si="7"/>
        <v>4.6208585555196962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9.1091267605633908E-2</v>
      </c>
      <c r="C22" s="86">
        <f t="shared" si="2"/>
        <v>0</v>
      </c>
      <c r="D22" s="75">
        <f t="shared" si="3"/>
        <v>9.1091267605633908E-2</v>
      </c>
      <c r="E22">
        <f>COUNTIF(tables_491103!C:C,input_491103!A22)-COUNTIF(Q:Q,A22)</f>
        <v>14</v>
      </c>
      <c r="F22" s="43">
        <f t="shared" si="8"/>
        <v>6.5065191146881363E-3</v>
      </c>
      <c r="G22">
        <f t="shared" si="4"/>
        <v>1190016.3200000015</v>
      </c>
      <c r="H22">
        <f t="shared" si="5"/>
        <v>85001.165710000001</v>
      </c>
      <c r="I22">
        <f t="shared" si="6"/>
        <v>0.1657100000011269</v>
      </c>
      <c r="J22">
        <f t="shared" si="7"/>
        <v>6.0346388268251738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4.8016901408450708E-3</v>
      </c>
      <c r="C23" s="86">
        <f t="shared" si="2"/>
        <v>0</v>
      </c>
      <c r="D23" s="75">
        <f t="shared" si="3"/>
        <v>4.8016901408450708E-3</v>
      </c>
      <c r="E23">
        <f>COUNTIF(tables_491103!C:C,input_491103!A23)-COUNTIF(Q:Q,A23)</f>
        <v>18</v>
      </c>
      <c r="F23" s="43">
        <f t="shared" si="8"/>
        <v>2.6676056338028172E-4</v>
      </c>
      <c r="G23">
        <f t="shared" si="4"/>
        <v>62729.280000000006</v>
      </c>
      <c r="H23">
        <f t="shared" si="5"/>
        <v>3484.96</v>
      </c>
      <c r="I23">
        <f t="shared" si="6"/>
        <v>0.96000000000003638</v>
      </c>
      <c r="J23">
        <f t="shared" si="7"/>
        <v>1.0416666666666272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COUNTIF(tables_491103!C:C,input_491103!A24)-COUNTIF(Q:Q,A24)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1.5205352112676056E-2</v>
      </c>
      <c r="C25" s="86">
        <f t="shared" si="2"/>
        <v>0</v>
      </c>
      <c r="D25" s="75">
        <f t="shared" si="3"/>
        <v>1.5205352112676056E-2</v>
      </c>
      <c r="E25">
        <f>COUNTIF(tables_491103!C:C,input_491103!A25)-COUNTIF(Q:Q,A25)</f>
        <v>3</v>
      </c>
      <c r="F25" s="43">
        <f t="shared" si="8"/>
        <v>5.068450704225352E-3</v>
      </c>
      <c r="G25">
        <f t="shared" si="4"/>
        <v>198642.72</v>
      </c>
      <c r="H25">
        <f t="shared" si="5"/>
        <v>66214.240000000005</v>
      </c>
      <c r="I25">
        <f t="shared" si="6"/>
        <v>0.24000000000523869</v>
      </c>
      <c r="J25">
        <f t="shared" si="7"/>
        <v>4.1666666665757175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8.0028169014084521E-4</v>
      </c>
      <c r="C26" s="86">
        <f t="shared" si="2"/>
        <v>0</v>
      </c>
      <c r="D26" s="75">
        <f t="shared" si="3"/>
        <v>8.0028169014084521E-4</v>
      </c>
      <c r="E26">
        <f>COUNTIF(tables_491103!C:C,input_491103!A26)-COUNTIF(Q:Q,A26)</f>
        <v>3</v>
      </c>
      <c r="F26" s="43">
        <f t="shared" si="8"/>
        <v>2.6676056338028172E-4</v>
      </c>
      <c r="G26">
        <f t="shared" si="4"/>
        <v>10454.880000000001</v>
      </c>
      <c r="H26">
        <f t="shared" si="5"/>
        <v>3484.96</v>
      </c>
      <c r="I26">
        <f t="shared" si="6"/>
        <v>0.96000000000003638</v>
      </c>
      <c r="J26">
        <f t="shared" si="7"/>
        <v>1.0416666666666272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8.6739130454301858E-3</v>
      </c>
      <c r="C27" s="86">
        <f t="shared" si="2"/>
        <v>0</v>
      </c>
      <c r="D27" s="75">
        <f t="shared" si="3"/>
        <v>8.6739130454301858E-3</v>
      </c>
      <c r="E27">
        <f>COUNTIF(tables_491103!C:C,input_491103!A27)-COUNTIF(Q:Q,A27)</f>
        <v>21</v>
      </c>
      <c r="F27" s="43">
        <f>IFERROR(B27/E27,0)</f>
        <v>4.1304347835381834E-4</v>
      </c>
      <c r="G27">
        <f t="shared" si="4"/>
        <v>113316.00002549995</v>
      </c>
      <c r="H27">
        <f t="shared" si="5"/>
        <v>5396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4.5652173913043485E-4</v>
      </c>
      <c r="C28" s="86">
        <f t="shared" si="2"/>
        <v>0</v>
      </c>
      <c r="D28" s="75">
        <f t="shared" si="3"/>
        <v>4.5652173913043485E-4</v>
      </c>
      <c r="E28">
        <f>COUNTIF(tables_491103!C:C,input_491103!A28)-COUNTIF(Q:Q,A28)</f>
        <v>21</v>
      </c>
      <c r="F28" s="43">
        <f t="shared" si="8"/>
        <v>2.1739130434782614E-5</v>
      </c>
      <c r="G28">
        <f t="shared" si="4"/>
        <v>5964.0000000000009</v>
      </c>
      <c r="H28">
        <f t="shared" si="5"/>
        <v>284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</f>
        <v>1.0869565217391306E-2</v>
      </c>
      <c r="C29" s="86">
        <f t="shared" si="2"/>
        <v>0</v>
      </c>
      <c r="D29" s="75">
        <f t="shared" si="3"/>
        <v>1.0869565217391306E-2</v>
      </c>
      <c r="E29">
        <f>COUNTIF(tables_491103!C:C,input_491103!A29)-COUNTIF(Q:Q,A29)</f>
        <v>25</v>
      </c>
      <c r="F29" s="43">
        <f t="shared" si="8"/>
        <v>4.3478260869565224E-4</v>
      </c>
      <c r="G29">
        <f t="shared" si="4"/>
        <v>142000.00000000003</v>
      </c>
      <c r="H29">
        <f t="shared" si="5"/>
        <v>5680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COUNTIF(tables_491103!C:C,input_491103!A30)-COUNTIF(Q:Q,A30)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COUNTIF(tables_491103!C:C,input_491103!A31)-COUNTIF(Q:Q,A31)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1">
        <f>B$5*0.6-B34-B39</f>
        <v>0</v>
      </c>
      <c r="C32" s="86">
        <f t="shared" si="2"/>
        <v>0</v>
      </c>
      <c r="D32" s="75">
        <f t="shared" si="3"/>
        <v>0</v>
      </c>
      <c r="E32">
        <f>COUNTIF(tables_491103!C:C,input_491103!A32)-COUNTIF(Q:Q,A32)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0.14913636363636359</v>
      </c>
      <c r="C33" s="86">
        <f t="shared" si="2"/>
        <v>0</v>
      </c>
      <c r="D33" s="75">
        <f t="shared" si="3"/>
        <v>0.14913636363636359</v>
      </c>
      <c r="E33">
        <f>COUNTIF(tables_491103!C:C,input_491103!A33)-COUNTIF(Q:Q,A33)</f>
        <v>5</v>
      </c>
      <c r="F33" s="43">
        <f>IFERROR(B33/E33,0)</f>
        <v>2.982727272727272E-2</v>
      </c>
      <c r="G33">
        <f t="shared" si="4"/>
        <v>1948317.4545454539</v>
      </c>
      <c r="H33">
        <f t="shared" si="5"/>
        <v>389663.49090999999</v>
      </c>
      <c r="I33">
        <f t="shared" si="6"/>
        <v>0.49090999999316409</v>
      </c>
      <c r="J33">
        <f t="shared" si="7"/>
        <v>2.037033264781579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COUNTIF(tables_491103!C:C,input_491103!A34)-COUNTIF(Q:Q,A34)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0.33209915392125477</v>
      </c>
      <c r="C35" s="86">
        <f t="shared" si="2"/>
        <v>0</v>
      </c>
      <c r="D35" s="75">
        <f t="shared" si="3"/>
        <v>0.33209915392125477</v>
      </c>
      <c r="E35">
        <f>COUNTIF(tables_491103!C:C,input_491103!A35)-COUNTIF(Q:Q,A35)</f>
        <v>13</v>
      </c>
      <c r="F35" s="43">
        <f t="shared" si="9"/>
        <v>2.5546088763173443E-2</v>
      </c>
      <c r="G35">
        <f t="shared" si="4"/>
        <v>4338543.3468272723</v>
      </c>
      <c r="H35">
        <f t="shared" si="5"/>
        <v>333734.10359999997</v>
      </c>
      <c r="I35">
        <f t="shared" si="6"/>
        <v>0.10359999997308478</v>
      </c>
      <c r="J35">
        <f t="shared" si="7"/>
        <v>9.6525096550173686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3.655391533290666E-3</v>
      </c>
      <c r="C36" s="86">
        <f t="shared" si="2"/>
        <v>0</v>
      </c>
      <c r="D36" s="75">
        <f t="shared" si="3"/>
        <v>3.655391533290666E-3</v>
      </c>
      <c r="E36">
        <f>COUNTIF(tables_491103!C:C,input_491103!A36)-COUNTIF(Q:Q,A36)</f>
        <v>13</v>
      </c>
      <c r="F36" s="43">
        <f t="shared" si="9"/>
        <v>2.8118396409928202E-4</v>
      </c>
      <c r="G36">
        <f t="shared" si="4"/>
        <v>47754.034990909262</v>
      </c>
      <c r="H36">
        <f t="shared" si="5"/>
        <v>3673.3873100000001</v>
      </c>
      <c r="I36">
        <f t="shared" si="6"/>
        <v>0.38731000000007043</v>
      </c>
      <c r="J36">
        <f t="shared" si="7"/>
        <v>2.5819111306184146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</f>
        <v>4.982499999999989E-2</v>
      </c>
      <c r="C37" s="86">
        <f t="shared" si="2"/>
        <v>0</v>
      </c>
      <c r="D37" s="75">
        <f t="shared" si="3"/>
        <v>4.982499999999989E-2</v>
      </c>
      <c r="E37">
        <f>COUNTIF(tables_491103!C:C,input_491103!A37)-COUNTIF(Q:Q,A37)</f>
        <v>3</v>
      </c>
      <c r="F37" s="43">
        <f t="shared" si="9"/>
        <v>1.6608333333333298E-2</v>
      </c>
      <c r="G37">
        <f t="shared" si="4"/>
        <v>650913.79999999853</v>
      </c>
      <c r="H37">
        <f t="shared" si="5"/>
        <v>216971.26667000001</v>
      </c>
      <c r="I37">
        <f t="shared" si="6"/>
        <v>0.26667000001179986</v>
      </c>
      <c r="J37">
        <f t="shared" si="7"/>
        <v>3.7499531254199989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6.4568181818181808E-3</v>
      </c>
      <c r="C38" s="86">
        <f t="shared" si="2"/>
        <v>0</v>
      </c>
      <c r="D38" s="75">
        <f t="shared" si="3"/>
        <v>6.4568181818181808E-3</v>
      </c>
      <c r="E38">
        <f>COUNTIF(tables_491103!C:C,input_491103!A38)-COUNTIF(Q:Q,A38)</f>
        <v>5</v>
      </c>
      <c r="F38" s="43">
        <f t="shared" si="9"/>
        <v>1.2913636363636361E-3</v>
      </c>
      <c r="G38">
        <f t="shared" si="4"/>
        <v>84351.872727272712</v>
      </c>
      <c r="H38">
        <f t="shared" si="5"/>
        <v>16870.37455</v>
      </c>
      <c r="I38">
        <f t="shared" si="6"/>
        <v>0.37455000000045402</v>
      </c>
      <c r="J38">
        <f t="shared" si="7"/>
        <v>2.6698705112769665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COUNTIF(tables_491103!C:C,input_491103!A39)-COUNTIF(Q:Q,A39)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2.4535909090909087E-2</v>
      </c>
      <c r="C40" s="86">
        <f t="shared" si="2"/>
        <v>0</v>
      </c>
      <c r="D40" s="75">
        <f t="shared" si="3"/>
        <v>2.4535909090909087E-2</v>
      </c>
      <c r="E40">
        <f>COUNTIF(tables_491103!C:C,input_491103!A40)-COUNTIF(Q:Q,A40)</f>
        <v>1</v>
      </c>
      <c r="F40" s="43">
        <f t="shared" si="9"/>
        <v>2.4535909090909087E-2</v>
      </c>
      <c r="G40">
        <f t="shared" si="4"/>
        <v>320537.11636363633</v>
      </c>
      <c r="H40">
        <f t="shared" si="5"/>
        <v>320537.11635999999</v>
      </c>
      <c r="I40">
        <f t="shared" si="6"/>
        <v>0.11635999998543411</v>
      </c>
      <c r="J40">
        <f t="shared" si="7"/>
        <v>8.5940185641558919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1.2913636363636363E-3</v>
      </c>
      <c r="C41" s="86">
        <f t="shared" si="2"/>
        <v>0</v>
      </c>
      <c r="D41" s="75">
        <f t="shared" si="3"/>
        <v>1.2913636363636363E-3</v>
      </c>
      <c r="E41">
        <f>COUNTIF(tables_491103!C:C,input_491103!A41)-COUNTIF(Q:Q,A41)</f>
        <v>1</v>
      </c>
      <c r="F41" s="43">
        <f t="shared" si="9"/>
        <v>1.2913636363636363E-3</v>
      </c>
      <c r="G41">
        <f t="shared" si="4"/>
        <v>16870.374545454546</v>
      </c>
      <c r="H41">
        <f t="shared" si="5"/>
        <v>16870.37455</v>
      </c>
      <c r="I41">
        <f t="shared" si="6"/>
        <v>0.37455000000045402</v>
      </c>
      <c r="J41">
        <f t="shared" si="7"/>
        <v>2.6698705112769665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1.1735294117647057E-2</v>
      </c>
      <c r="C42" s="86">
        <f t="shared" si="2"/>
        <v>0</v>
      </c>
      <c r="D42" s="75">
        <f t="shared" si="3"/>
        <v>1.1735294117647057E-2</v>
      </c>
      <c r="E42">
        <f>COUNTIF(tables_491103!C:C,input_491103!A42)-COUNTIF(Q:Q,A42)</f>
        <v>7</v>
      </c>
      <c r="F42" s="43">
        <f>IFERROR(B42/E42,0)</f>
        <v>1.6764705882352938E-3</v>
      </c>
      <c r="G42">
        <f t="shared" si="4"/>
        <v>153309.88235294115</v>
      </c>
      <c r="H42">
        <f t="shared" si="5"/>
        <v>21901.411759999999</v>
      </c>
      <c r="I42">
        <f t="shared" si="6"/>
        <v>0.41175999999904889</v>
      </c>
      <c r="J42">
        <f t="shared" si="7"/>
        <v>2.4285991839962837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6.1764705882352941E-4</v>
      </c>
      <c r="C43" s="86">
        <f t="shared" si="2"/>
        <v>0</v>
      </c>
      <c r="D43" s="75">
        <f t="shared" si="3"/>
        <v>6.1764705882352941E-4</v>
      </c>
      <c r="E43">
        <f>COUNTIF(tables_491103!C:C,input_491103!A43)-COUNTIF(Q:Q,A43)</f>
        <v>7</v>
      </c>
      <c r="F43" s="43">
        <f t="shared" ref="F43:F46" si="10">IFERROR(B43/E43,0)</f>
        <v>8.8235294117647065E-5</v>
      </c>
      <c r="G43">
        <f t="shared" si="4"/>
        <v>8068.9411764705883</v>
      </c>
      <c r="H43">
        <f t="shared" si="5"/>
        <v>1152.70588</v>
      </c>
      <c r="I43">
        <f t="shared" si="6"/>
        <v>0.70587999999997919</v>
      </c>
      <c r="J43">
        <f t="shared" si="7"/>
        <v>1.4166713889046714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1.7647058823529412E-2</v>
      </c>
      <c r="C44" s="86">
        <f t="shared" si="2"/>
        <v>0</v>
      </c>
      <c r="D44" s="75">
        <f t="shared" si="3"/>
        <v>1.7647058823529412E-2</v>
      </c>
      <c r="E44">
        <f>COUNTIF(tables_491103!C:C,input_491103!A44)-COUNTIF(Q:Q,A44)</f>
        <v>10</v>
      </c>
      <c r="F44" s="43">
        <f t="shared" si="10"/>
        <v>1.7647058823529412E-3</v>
      </c>
      <c r="G44">
        <f t="shared" si="4"/>
        <v>230541.17647058822</v>
      </c>
      <c r="H44">
        <f t="shared" si="5"/>
        <v>23054.11765</v>
      </c>
      <c r="I44">
        <f t="shared" si="6"/>
        <v>0.1176500000001397</v>
      </c>
      <c r="J44">
        <f t="shared" si="7"/>
        <v>8.4997875053022742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COUNTIF(tables_491103!C:C,input_491103!A45)-COUNTIF(Q:Q,A45)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3.0000000000000001E-3</v>
      </c>
      <c r="C46" s="86">
        <f t="shared" si="2"/>
        <v>0</v>
      </c>
      <c r="D46" s="75">
        <f t="shared" si="3"/>
        <v>3.0000000000000001E-3</v>
      </c>
      <c r="E46">
        <f>COUNTIF(tables_491103!C:C,input_491103!A46)-COUNTIF(Q:Q,A46)</f>
        <v>1</v>
      </c>
      <c r="F46" s="43">
        <f t="shared" si="10"/>
        <v>3.0000000000000001E-3</v>
      </c>
      <c r="G46">
        <f t="shared" si="4"/>
        <v>39192</v>
      </c>
      <c r="H46">
        <f t="shared" si="5"/>
        <v>39192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0">
        <f>SUM(B32:B46)</f>
        <v>0.59999999999999987</v>
      </c>
      <c r="E49" s="95">
        <v>1.3132335739436604E-2</v>
      </c>
      <c r="F49" s="95"/>
      <c r="G49" s="106">
        <f ca="1">G57-0.05</f>
        <v>-1.5309420398068596E-12</v>
      </c>
    </row>
    <row r="50" spans="1:8" x14ac:dyDescent="0.15">
      <c r="A50" t="s">
        <v>74</v>
      </c>
      <c r="C50" s="90">
        <v>2.1200000000000101E-2</v>
      </c>
      <c r="D50" s="94"/>
      <c r="E50" s="95"/>
      <c r="F50" s="103"/>
      <c r="G50" s="106"/>
    </row>
    <row r="51" spans="1:8" x14ac:dyDescent="0.15">
      <c r="A51" s="31">
        <f>LCM(F5-I5,F7-I6)*1000*2*2</f>
        <v>13064000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2" t="s">
        <v>283</v>
      </c>
    </row>
    <row r="55" spans="1:8" x14ac:dyDescent="0.15">
      <c r="A55" s="33" t="s">
        <v>106</v>
      </c>
      <c r="B55">
        <f ca="1">SUMIF(tables_491103!C:C,input_491103!A55,tables_491103!O:O)</f>
        <v>0</v>
      </c>
      <c r="C55" s="54">
        <f t="shared" ref="C55:C61" ca="1" si="11">B55/B$62</f>
        <v>0</v>
      </c>
      <c r="E55">
        <v>3</v>
      </c>
      <c r="F55">
        <f ca="1">SUMIF(tables_491103!J:J,input_491103!E55,tables_491103!O:O)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SUMIF(tables_491103!C:C,input_491103!A56,tables_491103!O:O)</f>
        <v>2321075.3599800016</v>
      </c>
      <c r="C56" s="54">
        <f t="shared" ca="1" si="11"/>
        <v>0.94907099556910368</v>
      </c>
      <c r="E56">
        <v>4</v>
      </c>
      <c r="F56">
        <f ca="1">SUMIF(tables_491103!J:J,input_491103!E56,tables_491103!O:O)</f>
        <v>12410799.999910003</v>
      </c>
      <c r="G56">
        <f ca="1">F56/A51</f>
        <v>0.94999999999311102</v>
      </c>
      <c r="H56" s="55">
        <f>B18+B20+B22+B25+B27+B30+B33+B35+B37+B40+B42+B45</f>
        <v>0.95000000000683593</v>
      </c>
    </row>
    <row r="57" spans="1:8" x14ac:dyDescent="0.15">
      <c r="A57" s="33" t="s">
        <v>109</v>
      </c>
      <c r="B57">
        <f ca="1">SUMIF(tables_491103!C:C,input_491103!A57,tables_491103!O:O)</f>
        <v>113316</v>
      </c>
      <c r="C57" s="54">
        <f t="shared" ca="1" si="11"/>
        <v>4.6334096164303409E-2</v>
      </c>
      <c r="E57">
        <v>5</v>
      </c>
      <c r="F57">
        <f ca="1">SUMIF(tables_491103!J:J,input_491103!E57,tables_491103!O:O)</f>
        <v>653199.99997999985</v>
      </c>
      <c r="G57">
        <f ca="1">F57/A51</f>
        <v>4.9999999998469061E-2</v>
      </c>
      <c r="H57" s="55">
        <f>B21+B23+B26+B28+B29+B31+B36+B38+B41+B43+B44+B46</f>
        <v>4.9999999993164068E-2</v>
      </c>
    </row>
    <row r="58" spans="1:8" x14ac:dyDescent="0.15">
      <c r="A58" s="33" t="s">
        <v>113</v>
      </c>
      <c r="B58">
        <f>SUMIF(tables_491103!C:C,input_491103!A58,tables_491103!O:O)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SUMIF(tables_491103!C:C,input_491103!A59,tables_491103!O:O)</f>
        <v>5273.4399899999999</v>
      </c>
      <c r="C59" s="54">
        <f t="shared" ca="1" si="11"/>
        <v>2.1562716263664725E-3</v>
      </c>
      <c r="E59" t="s">
        <v>55</v>
      </c>
      <c r="F59" s="55"/>
    </row>
    <row r="60" spans="1:8" x14ac:dyDescent="0.15">
      <c r="A60" s="33" t="s">
        <v>110</v>
      </c>
      <c r="B60">
        <f ca="1">SUMIF(tables_491103!C:C,input_491103!A60,tables_491103!O:O)</f>
        <v>5964</v>
      </c>
      <c r="C60" s="54">
        <f t="shared" ca="1" si="11"/>
        <v>2.4386366402264952E-3</v>
      </c>
      <c r="E60" t="s">
        <v>210</v>
      </c>
      <c r="F60" s="55">
        <f ca="1">SUMIF(tables_491103!I:I,input_491103!E60,tables_491103!P:P)</f>
        <v>0.24281430217595726</v>
      </c>
    </row>
    <row r="61" spans="1:8" x14ac:dyDescent="0.15">
      <c r="A61" s="33" t="s">
        <v>111</v>
      </c>
      <c r="B61">
        <f>SUMIF(tables_491103!C:C,input_491103!A61,tables_491103!O:O)</f>
        <v>0</v>
      </c>
      <c r="C61" s="54">
        <f t="shared" ca="1" si="11"/>
        <v>0</v>
      </c>
      <c r="E61" t="s">
        <v>211</v>
      </c>
      <c r="F61" s="55">
        <f ca="1">SUMIF(tables_491103!I:I,input_491103!E61,tables_491103!P:P)</f>
        <v>0.19993376342100341</v>
      </c>
    </row>
    <row r="62" spans="1:8" x14ac:dyDescent="0.15">
      <c r="A62" s="39" t="s">
        <v>60</v>
      </c>
      <c r="B62">
        <f ca="1">SUM(B55:B61)</f>
        <v>2445628.7999700014</v>
      </c>
      <c r="C62" s="55">
        <f ca="1">SUM(C55:C61)</f>
        <v>1</v>
      </c>
      <c r="E62" t="s">
        <v>212</v>
      </c>
      <c r="F62" s="55">
        <f ca="1">SUMIF(tables_491103!I:I,input_491103!E62,tables_491103!P:P)</f>
        <v>0.50425193440412286</v>
      </c>
    </row>
    <row r="63" spans="1:8" x14ac:dyDescent="0.15">
      <c r="E63" t="s">
        <v>213</v>
      </c>
      <c r="F63" s="55">
        <f ca="1">SUMIF(tables_491103!I:I,input_491103!E63,tables_491103!P:P)</f>
        <v>4.6061381072800528E-2</v>
      </c>
      <c r="G63" s="96">
        <f ca="1">0.05-F63-F64</f>
        <v>1.1099792959767818E-12</v>
      </c>
    </row>
    <row r="64" spans="1:8" x14ac:dyDescent="0.15">
      <c r="E64" t="s">
        <v>279</v>
      </c>
      <c r="F64" s="55">
        <f ca="1">SUMIF(tables_491103!I:I,input_491103!E64,tables_491103!P:P)</f>
        <v>3.9386189260894955E-3</v>
      </c>
      <c r="G64">
        <v>1.9519247329569112E-12</v>
      </c>
    </row>
    <row r="65" spans="5:6" x14ac:dyDescent="0.15">
      <c r="E65" t="s">
        <v>278</v>
      </c>
      <c r="F65" s="55">
        <f ca="1">SUMIF(tables_491103!I:I,input_491103!E65,tables_491103!P:P)</f>
        <v>3.0000000000252559E-3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41"/>
  <sheetViews>
    <sheetView showGridLines="0" workbookViewId="0">
      <pane ySplit="1" topLeftCell="A323" activePane="bottomLeft" state="frozen"/>
      <selection activeCell="L296" sqref="L296"/>
      <selection pane="bottomLeft" activeCell="C344" sqref="C34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input_491103!A$2</f>
        <v>491103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IFERROR(VLOOKUP(B2,input_491103!L:R,7,FALSE),VLOOKUP(tables_491103!C2,input_491103!A:H,8,FALSE))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input_491103!A$2</f>
        <v>491103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IFERROR(VLOOKUP(B3,input_491103!L:R,7,FALSE),VLOOKUP(tables_491103!C3,input_491103!A:H,8,FALSE))</f>
        <v>78408.533330000006</v>
      </c>
      <c r="P3" s="46">
        <f t="shared" ca="1" si="2"/>
        <v>6.0018779340676748E-3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input_491103!A$2</f>
        <v>491103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IFERROR(VLOOKUP(B4,input_491103!L:R,7,FALSE),VLOOKUP(tables_491103!C4,input_491103!A:H,8,FALSE))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input_491103!A$2</f>
        <v>491103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IFERROR(VLOOKUP(B5,input_491103!L:R,7,FALSE),VLOOKUP(tables_491103!C5,input_491103!A:H,8,FALSE))</f>
        <v>78408.533330000006</v>
      </c>
      <c r="P5" s="46">
        <f t="shared" ca="1" si="2"/>
        <v>6.0018779340676748E-3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input_491103!A$2</f>
        <v>491103</v>
      </c>
      <c r="B6" s="6">
        <v>130</v>
      </c>
      <c r="C6" s="7" t="str">
        <f t="shared" si="0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IFERROR(VLOOKUP(B6,input_491103!L:R,7,FALSE),VLOOKUP(tables_491103!C6,input_491103!A:H,8,FALSE))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input_491103!A$2</f>
        <v>491103</v>
      </c>
      <c r="B7" s="6">
        <v>131</v>
      </c>
      <c r="C7" s="7" t="str">
        <f t="shared" si="0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IFERROR(VLOOKUP(B7,input_491103!L:R,7,FALSE),VLOOKUP(tables_491103!C7,input_491103!A:H,8,FALSE))</f>
        <v>78408.533330000006</v>
      </c>
      <c r="P7" s="46">
        <f t="shared" ca="1" si="2"/>
        <v>6.0018779340676748E-3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input_491103!A$2</f>
        <v>491103</v>
      </c>
      <c r="B8" s="6">
        <v>132</v>
      </c>
      <c r="C8" s="7" t="str">
        <f t="shared" si="0"/>
        <v>PremiumW3color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IFERROR(VLOOKUP(B8,input_491103!L:R,7,FALSE),VLOOKUP(tables_491103!C8,input_491103!A:H,8,FALSE))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input_491103!A$2</f>
        <v>491103</v>
      </c>
      <c r="B9" s="6">
        <v>133</v>
      </c>
      <c r="C9" s="7" t="str">
        <f t="shared" si="0"/>
        <v>PremiumW4color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IFERROR(VLOOKUP(B9,input_491103!L:R,7,FALSE),VLOOKUP(tables_491103!C9,input_491103!A:H,8,FALSE))</f>
        <v>389663.49090999999</v>
      </c>
      <c r="P9" s="46">
        <f t="shared" ca="1" si="2"/>
        <v>2.9827272727593421E-2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input_491103!A$2</f>
        <v>491103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IFERROR(VLOOKUP(B10,input_491103!L:R,7,FALSE),VLOOKUP(tables_491103!C10,input_491103!A:H,8,FALSE))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input_491103!A$2</f>
        <v>491103</v>
      </c>
      <c r="B11" s="8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IFERROR(VLOOKUP(B11,input_491103!L:R,7,FALSE),VLOOKUP(tables_491103!C11,input_491103!A:H,8,FALSE))</f>
        <v>78408.533330000006</v>
      </c>
      <c r="P11" s="46">
        <f t="shared" ca="1" si="2"/>
        <v>6.0018779340676748E-3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input_491103!A$2</f>
        <v>491103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IFERROR(VLOOKUP(B12,input_491103!L:R,7,FALSE),VLOOKUP(tables_491103!C12,input_491103!A:H,8,FALSE))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input_491103!A$2</f>
        <v>491103</v>
      </c>
      <c r="B13" s="6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IFERROR(VLOOKUP(B13,input_491103!L:R,7,FALSE),VLOOKUP(tables_491103!C13,input_491103!A:H,8,FALSE))</f>
        <v>78408.533330000006</v>
      </c>
      <c r="P13" s="46">
        <f t="shared" ca="1" si="2"/>
        <v>6.0018779340676748E-3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input_491103!A$2</f>
        <v>491103</v>
      </c>
      <c r="B14" s="6">
        <v>138</v>
      </c>
      <c r="C14" s="7" t="str">
        <f t="shared" si="0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IFERROR(VLOOKUP(B14,input_491103!L:R,7,FALSE),VLOOKUP(tables_491103!C14,input_491103!A:H,8,FALSE))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input_491103!A$2</f>
        <v>491103</v>
      </c>
      <c r="B15" s="10">
        <v>139</v>
      </c>
      <c r="C15" s="7" t="str">
        <f t="shared" si="0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IFERROR(VLOOKUP(B15,input_491103!L:R,7,FALSE),VLOOKUP(tables_491103!C15,input_491103!A:H,8,FALSE))</f>
        <v>78408.533330000006</v>
      </c>
      <c r="P15" s="46">
        <f t="shared" ca="1" si="2"/>
        <v>6.0018779340676748E-3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input_491103!A$2</f>
        <v>491103</v>
      </c>
      <c r="B16" s="11">
        <v>140</v>
      </c>
      <c r="C16" s="7" t="str">
        <f t="shared" si="0"/>
        <v>PremiumW3color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IFERROR(VLOOKUP(B16,input_491103!L:R,7,FALSE),VLOOKUP(tables_491103!C16,input_491103!A:H,8,FALSE))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input_491103!A$2</f>
        <v>491103</v>
      </c>
      <c r="B17" s="6">
        <v>141</v>
      </c>
      <c r="C17" s="7" t="str">
        <f t="shared" si="0"/>
        <v>PremiumW4color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IFERROR(VLOOKUP(B17,input_491103!L:R,7,FALSE),VLOOKUP(tables_491103!C17,input_491103!A:H,8,FALSE))</f>
        <v>389663.49090999999</v>
      </c>
      <c r="P17" s="46">
        <f t="shared" ca="1" si="2"/>
        <v>2.9827272727593421E-2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input_491103!A$2</f>
        <v>491103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IFERROR(VLOOKUP(B18,input_491103!L:R,7,FALSE),VLOOKUP(tables_491103!C18,input_491103!A:H,8,FALSE))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input_491103!A$2</f>
        <v>491103</v>
      </c>
      <c r="B19" s="10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IFERROR(VLOOKUP(B19,input_491103!L:R,7,FALSE),VLOOKUP(tables_491103!C19,input_491103!A:H,8,FALSE))</f>
        <v>78408.533330000006</v>
      </c>
      <c r="P19" s="46">
        <f t="shared" ca="1" si="2"/>
        <v>6.0018779340676748E-3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input_491103!A$2</f>
        <v>491103</v>
      </c>
      <c r="B20" s="6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IFERROR(VLOOKUP(B20,input_491103!L:R,7,FALSE),VLOOKUP(tables_491103!C20,input_491103!A:H,8,FALSE))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input_491103!A$2</f>
        <v>491103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IFERROR(VLOOKUP(B21,input_491103!L:R,7,FALSE),VLOOKUP(tables_491103!C21,input_491103!A:H,8,FALSE))</f>
        <v>78408.533330000006</v>
      </c>
      <c r="P21" s="46">
        <f t="shared" ca="1" si="2"/>
        <v>6.0018779340676748E-3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input_491103!A$2</f>
        <v>491103</v>
      </c>
      <c r="B22" s="6">
        <v>146</v>
      </c>
      <c r="C22" s="7" t="str">
        <f t="shared" si="0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IFERROR(VLOOKUP(B22,input_491103!L:R,7,FALSE),VLOOKUP(tables_491103!C22,input_491103!A:H,8,FALSE))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input_491103!A$2</f>
        <v>491103</v>
      </c>
      <c r="B23" s="6">
        <v>147</v>
      </c>
      <c r="C23" s="7" t="str">
        <f t="shared" si="0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IFERROR(VLOOKUP(B23,input_491103!L:R,7,FALSE),VLOOKUP(tables_491103!C23,input_491103!A:H,8,FALSE))</f>
        <v>78408.533330000006</v>
      </c>
      <c r="P23" s="46">
        <f t="shared" ca="1" si="2"/>
        <v>6.0018779340676748E-3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input_491103!A$2</f>
        <v>491103</v>
      </c>
      <c r="B24" s="6">
        <v>148</v>
      </c>
      <c r="C24" s="7" t="str">
        <f t="shared" si="0"/>
        <v>PremiumW3color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IFERROR(VLOOKUP(B24,input_491103!L:R,7,FALSE),VLOOKUP(tables_491103!C24,input_491103!A:H,8,FALSE))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input_491103!A$2</f>
        <v>491103</v>
      </c>
      <c r="B25" s="6">
        <v>149</v>
      </c>
      <c r="C25" s="7" t="str">
        <f t="shared" si="0"/>
        <v>PremiumW4color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IFERROR(VLOOKUP(B25,input_491103!L:R,7,FALSE),VLOOKUP(tables_491103!C25,input_491103!A:H,8,FALSE))</f>
        <v>389663.49090999999</v>
      </c>
      <c r="P25" s="46">
        <f t="shared" ca="1" si="2"/>
        <v>2.9827272727593421E-2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input_491103!A$2</f>
        <v>491103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IFERROR(VLOOKUP(B26,input_491103!L:R,7,FALSE),VLOOKUP(tables_491103!C26,input_491103!A:H,8,FALSE))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input_491103!A$2</f>
        <v>491103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IFERROR(VLOOKUP(B27,input_491103!L:R,7,FALSE),VLOOKUP(tables_491103!C27,input_491103!A:H,8,FALSE))</f>
        <v>78408.533330000006</v>
      </c>
      <c r="P27" s="46">
        <f t="shared" ca="1" si="2"/>
        <v>6.0018779340676748E-3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input_491103!A$2</f>
        <v>491103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IFERROR(VLOOKUP(B28,input_491103!L:R,7,FALSE),VLOOKUP(tables_491103!C28,input_491103!A:H,8,FALSE))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input_491103!A$2</f>
        <v>491103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IFERROR(VLOOKUP(B29,input_491103!L:R,7,FALSE),VLOOKUP(tables_491103!C29,input_491103!A:H,8,FALSE))</f>
        <v>78408.533330000006</v>
      </c>
      <c r="P29" s="46">
        <f t="shared" ca="1" si="2"/>
        <v>6.0018779340676748E-3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input_491103!A$2</f>
        <v>491103</v>
      </c>
      <c r="B30" s="6">
        <v>154</v>
      </c>
      <c r="C30" s="7" t="str">
        <f t="shared" si="0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IFERROR(VLOOKUP(B30,input_491103!L:R,7,FALSE),VLOOKUP(tables_491103!C30,input_491103!A:H,8,FALSE))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input_491103!A$2</f>
        <v>491103</v>
      </c>
      <c r="B31" s="6">
        <v>155</v>
      </c>
      <c r="C31" s="7" t="str">
        <f t="shared" si="0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IFERROR(VLOOKUP(B31,input_491103!L:R,7,FALSE),VLOOKUP(tables_491103!C31,input_491103!A:H,8,FALSE))</f>
        <v>78408.533330000006</v>
      </c>
      <c r="P31" s="46">
        <f t="shared" ca="1" si="2"/>
        <v>6.0018779340676748E-3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input_491103!A$2</f>
        <v>491103</v>
      </c>
      <c r="B32" s="6">
        <v>156</v>
      </c>
      <c r="C32" s="7" t="str">
        <f t="shared" si="0"/>
        <v>PremiumW3color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IFERROR(VLOOKUP(B32,input_491103!L:R,7,FALSE),VLOOKUP(tables_491103!C32,input_491103!A:H,8,FALSE))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input_491103!A$2</f>
        <v>491103</v>
      </c>
      <c r="B33" s="6">
        <v>157</v>
      </c>
      <c r="C33" s="7" t="str">
        <f t="shared" si="0"/>
        <v>PremiumW4color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IFERROR(VLOOKUP(B33,input_491103!L:R,7,FALSE),VLOOKUP(tables_491103!C33,input_491103!A:H,8,FALSE))</f>
        <v>389663.49090999999</v>
      </c>
      <c r="P33" s="46">
        <f t="shared" ca="1" si="2"/>
        <v>2.9827272727593421E-2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input_491103!A$2</f>
        <v>491103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IFERROR(VLOOKUP(B34,input_491103!L:R,7,FALSE),VLOOKUP(tables_491103!C34,input_491103!A:H,8,FALSE))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input_491103!A$2</f>
        <v>491103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IFERROR(VLOOKUP(B35,input_491103!L:R,7,FALSE),VLOOKUP(tables_491103!C35,input_491103!A:H,8,FALSE))</f>
        <v>78408.533330000006</v>
      </c>
      <c r="P35" s="46">
        <f t="shared" ca="1" si="2"/>
        <v>6.0018779340676748E-3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input_491103!A$2</f>
        <v>491103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IFERROR(VLOOKUP(B36,input_491103!L:R,7,FALSE),VLOOKUP(tables_491103!C36,input_491103!A:H,8,FALSE))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input_491103!A$2</f>
        <v>491103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IFERROR(VLOOKUP(B37,input_491103!L:R,7,FALSE),VLOOKUP(tables_491103!C37,input_491103!A:H,8,FALSE))</f>
        <v>78408.533330000006</v>
      </c>
      <c r="P37" s="46">
        <f t="shared" ca="1" si="2"/>
        <v>6.0018779340676748E-3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input_491103!A$2</f>
        <v>491103</v>
      </c>
      <c r="B38" s="6">
        <v>162</v>
      </c>
      <c r="C38" s="7" t="str">
        <f t="shared" si="0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IFERROR(VLOOKUP(B38,input_491103!L:R,7,FALSE),VLOOKUP(tables_491103!C38,input_491103!A:H,8,FALSE))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input_491103!A$2</f>
        <v>491103</v>
      </c>
      <c r="B39" s="6">
        <v>163</v>
      </c>
      <c r="C39" s="7" t="str">
        <f t="shared" si="0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IFERROR(VLOOKUP(B39,input_491103!L:R,7,FALSE),VLOOKUP(tables_491103!C39,input_491103!A:H,8,FALSE))</f>
        <v>78408.533330000006</v>
      </c>
      <c r="P39" s="46">
        <f t="shared" ca="1" si="2"/>
        <v>6.0018779340676748E-3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input_491103!A$2</f>
        <v>491103</v>
      </c>
      <c r="B40" s="6">
        <v>164</v>
      </c>
      <c r="C40" s="7" t="str">
        <f t="shared" si="0"/>
        <v>PremiumW3color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IFERROR(VLOOKUP(B40,input_491103!L:R,7,FALSE),VLOOKUP(tables_491103!C40,input_491103!A:H,8,FALSE))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input_491103!A$2</f>
        <v>491103</v>
      </c>
      <c r="B41" s="6">
        <v>165</v>
      </c>
      <c r="C41" s="7" t="str">
        <f t="shared" si="0"/>
        <v>PremiumW4color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IFERROR(VLOOKUP(B41,input_491103!L:R,7,FALSE),VLOOKUP(tables_491103!C41,input_491103!A:H,8,FALSE))</f>
        <v>389663.49090999999</v>
      </c>
      <c r="P41" s="46">
        <f t="shared" ca="1" si="2"/>
        <v>2.9827272727593421E-2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input_491103!A$2</f>
        <v>491103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IFERROR(VLOOKUP(B42,input_491103!L:R,7,FALSE),VLOOKUP(tables_491103!C42,input_491103!A:H,8,FALSE))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input_491103!A$2</f>
        <v>491103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IFERROR(VLOOKUP(B43,input_491103!L:R,7,FALSE),VLOOKUP(tables_491103!C43,input_491103!A:H,8,FALSE))</f>
        <v>66214.240000000005</v>
      </c>
      <c r="P43" s="46">
        <f t="shared" ca="1" si="2"/>
        <v>5.0684507042680219E-3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input_491103!A$2</f>
        <v>491103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IFERROR(VLOOKUP(B44,input_491103!L:R,7,FALSE),VLOOKUP(tables_491103!C44,input_491103!A:H,8,FALSE))</f>
        <v>3484.96</v>
      </c>
      <c r="P44" s="46">
        <f t="shared" ca="1" si="2"/>
        <v>2.6676056338252748E-4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input_491103!A$2</f>
        <v>491103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IFERROR(VLOOKUP(B45,input_491103!L:R,7,FALSE),VLOOKUP(tables_491103!C45,input_491103!A:H,8,FALSE))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input_491103!A$2</f>
        <v>491103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IFERROR(VLOOKUP(B46,input_491103!L:R,7,FALSE),VLOOKUP(tables_491103!C46,input_491103!A:H,8,FALSE))</f>
        <v>66214.240000000005</v>
      </c>
      <c r="P46" s="46">
        <f t="shared" ca="1" si="2"/>
        <v>5.0684507042680219E-3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input_491103!A$2</f>
        <v>491103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IFERROR(VLOOKUP(B47,input_491103!L:R,7,FALSE),VLOOKUP(tables_491103!C47,input_491103!A:H,8,FALSE))</f>
        <v>3484.96</v>
      </c>
      <c r="P47" s="46">
        <f t="shared" ca="1" si="2"/>
        <v>2.6676056338252748E-4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input_491103!A$2</f>
        <v>491103</v>
      </c>
      <c r="B48" s="6">
        <v>172</v>
      </c>
      <c r="C48" s="7" t="str">
        <f t="shared" si="0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IFERROR(VLOOKUP(B48,input_491103!L:R,7,FALSE),VLOOKUP(tables_491103!C48,input_491103!A:H,8,FALSE))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input_491103!A$2</f>
        <v>491103</v>
      </c>
      <c r="B49" s="6">
        <v>173</v>
      </c>
      <c r="C49" s="7" t="str">
        <f t="shared" si="0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IFERROR(VLOOKUP(B49,input_491103!L:R,7,FALSE),VLOOKUP(tables_491103!C49,input_491103!A:H,8,FALSE))</f>
        <v>66214.240000000005</v>
      </c>
      <c r="P49" s="46">
        <f t="shared" ca="1" si="2"/>
        <v>5.0684507042680219E-3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input_491103!A$2</f>
        <v>491103</v>
      </c>
      <c r="B50" s="6">
        <v>174</v>
      </c>
      <c r="C50" s="7" t="str">
        <f t="shared" si="0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IFERROR(VLOOKUP(B50,input_491103!L:R,7,FALSE),VLOOKUP(tables_491103!C50,input_491103!A:H,8,FALSE))</f>
        <v>3484.96</v>
      </c>
      <c r="P50" s="46">
        <f t="shared" ca="1" si="2"/>
        <v>2.6676056338252748E-4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input_491103!A$2</f>
        <v>491103</v>
      </c>
      <c r="B51" s="6">
        <v>175</v>
      </c>
      <c r="C51" s="7" t="str">
        <f t="shared" si="0"/>
        <v>Premium3color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IFERROR(VLOOKUP(B51,input_491103!L:R,7,FALSE),VLOOKUP(tables_491103!C51,input_491103!A:H,8,FALSE))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input_491103!A$2</f>
        <v>491103</v>
      </c>
      <c r="B52" s="6">
        <v>176</v>
      </c>
      <c r="C52" s="7" t="str">
        <f t="shared" si="0"/>
        <v>Premium4color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IFERROR(VLOOKUP(B52,input_491103!L:R,7,FALSE),VLOOKUP(tables_491103!C52,input_491103!A:H,8,FALSE))</f>
        <v>333734.10359999997</v>
      </c>
      <c r="P52" s="46">
        <f t="shared" ca="1" si="2"/>
        <v>2.5546088763227923E-2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input_491103!A$2</f>
        <v>491103</v>
      </c>
      <c r="B53" s="6">
        <v>177</v>
      </c>
      <c r="C53" s="7" t="str">
        <f t="shared" si="0"/>
        <v>Premium5color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IFERROR(VLOOKUP(B53,input_491103!L:R,7,FALSE),VLOOKUP(tables_491103!C53,input_491103!A:H,8,FALSE))</f>
        <v>3673.3873100000001</v>
      </c>
      <c r="P53" s="46">
        <f t="shared" ca="1" si="2"/>
        <v>2.8118396433182219E-4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input_491103!A$2</f>
        <v>491103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IFERROR(VLOOKUP(B54,input_491103!L:R,7,FALSE),VLOOKUP(tables_491103!C54,input_491103!A:H,8,FALSE))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input_491103!A$2</f>
        <v>491103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IFERROR(VLOOKUP(B55,input_491103!L:R,7,FALSE),VLOOKUP(tables_491103!C55,input_491103!A:H,8,FALSE))</f>
        <v>59514.752820000002</v>
      </c>
      <c r="P55" s="46">
        <f t="shared" ca="1" si="2"/>
        <v>4.5556301914039376E-3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input_491103!A$2</f>
        <v>491103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IFERROR(VLOOKUP(B56,input_491103!L:R,7,FALSE),VLOOKUP(tables_491103!C56,input_491103!A:H,8,FALSE))</f>
        <v>135.21641</v>
      </c>
      <c r="P56" s="46">
        <f t="shared" ca="1" si="2"/>
        <v>1.0350306950485177E-5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input_491103!A$2</f>
        <v>491103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IFERROR(VLOOKUP(B57,input_491103!L:R,7,FALSE),VLOOKUP(tables_491103!C57,input_491103!A:H,8,FALSE))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input_491103!A$2</f>
        <v>491103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IFERROR(VLOOKUP(B58,input_491103!L:R,7,FALSE),VLOOKUP(tables_491103!C58,input_491103!A:H,8,FALSE))</f>
        <v>59514.752820000002</v>
      </c>
      <c r="P58" s="46">
        <f t="shared" ca="1" si="2"/>
        <v>4.5556301914039376E-3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input_491103!A$2</f>
        <v>491103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IFERROR(VLOOKUP(B59,input_491103!L:R,7,FALSE),VLOOKUP(tables_491103!C59,input_491103!A:H,8,FALSE))</f>
        <v>135.21641</v>
      </c>
      <c r="P59" s="46">
        <f t="shared" ca="1" si="2"/>
        <v>1.0350306950485177E-5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input_491103!A$2</f>
        <v>491103</v>
      </c>
      <c r="B60" s="6">
        <v>184</v>
      </c>
      <c r="C60" s="7" t="str">
        <f t="shared" si="0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IFERROR(VLOOKUP(B60,input_491103!L:R,7,FALSE),VLOOKUP(tables_491103!C60,input_491103!A:H,8,FALSE))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input_491103!A$2</f>
        <v>491103</v>
      </c>
      <c r="B61" s="8">
        <v>185</v>
      </c>
      <c r="C61" s="7" t="str">
        <f t="shared" si="0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IFERROR(VLOOKUP(B61,input_491103!L:R,7,FALSE),VLOOKUP(tables_491103!C61,input_491103!A:H,8,FALSE))</f>
        <v>59514.752820000002</v>
      </c>
      <c r="P61" s="46">
        <f t="shared" ca="1" si="2"/>
        <v>4.5556301914039376E-3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input_491103!A$2</f>
        <v>491103</v>
      </c>
      <c r="B62" s="8">
        <v>186</v>
      </c>
      <c r="C62" s="7" t="str">
        <f t="shared" si="0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IFERROR(VLOOKUP(B62,input_491103!L:R,7,FALSE),VLOOKUP(tables_491103!C62,input_491103!A:H,8,FALSE))</f>
        <v>135.21641</v>
      </c>
      <c r="P62" s="46">
        <f t="shared" ca="1" si="2"/>
        <v>1.0350306950485177E-5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input_491103!A$2</f>
        <v>491103</v>
      </c>
      <c r="B63" s="8">
        <v>187</v>
      </c>
      <c r="C63" s="7" t="str">
        <f t="shared" si="0"/>
        <v>Premium3color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IFERROR(VLOOKUP(B63,input_491103!L:R,7,FALSE),VLOOKUP(tables_491103!C63,input_491103!A:H,8,FALSE))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input_491103!A$2</f>
        <v>491103</v>
      </c>
      <c r="B64" s="8">
        <v>188</v>
      </c>
      <c r="C64" s="7" t="str">
        <f t="shared" si="0"/>
        <v>Premium4color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IFERROR(VLOOKUP(B64,input_491103!L:R,7,FALSE),VLOOKUP(tables_491103!C64,input_491103!A:H,8,FALSE))</f>
        <v>333734.10359999997</v>
      </c>
      <c r="P64" s="46">
        <f t="shared" ca="1" si="2"/>
        <v>2.5546088763227923E-2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input_491103!A$2</f>
        <v>491103</v>
      </c>
      <c r="B65" s="6">
        <v>189</v>
      </c>
      <c r="C65" s="7" t="str">
        <f t="shared" si="0"/>
        <v>Premium5color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IFERROR(VLOOKUP(B65,input_491103!L:R,7,FALSE),VLOOKUP(tables_491103!C65,input_491103!A:H,8,FALSE))</f>
        <v>3673.3873100000001</v>
      </c>
      <c r="P65" s="46">
        <f t="shared" ca="1" si="2"/>
        <v>2.8118396433182219E-4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input_491103!A$2</f>
        <v>491103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IF(K66="yellow","color","")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IFERROR(VLOOKUP(B66,input_491103!L:R,7,FALSE),VLOOKUP(tables_491103!C66,input_491103!A:H,8,FALSE))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input_491103!A$2</f>
        <v>491103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IFERROR(VLOOKUP(B67,input_491103!L:R,7,FALSE),VLOOKUP(tables_491103!C67,input_491103!A:H,8,FALSE))</f>
        <v>59514.752820000002</v>
      </c>
      <c r="P67" s="46">
        <f t="shared" ca="1" si="6"/>
        <v>4.5556301914039376E-3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input_491103!A$2</f>
        <v>491103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IFERROR(VLOOKUP(B68,input_491103!L:R,7,FALSE),VLOOKUP(tables_491103!C68,input_491103!A:H,8,FALSE))</f>
        <v>135.21641</v>
      </c>
      <c r="P68" s="46">
        <f t="shared" ca="1" si="6"/>
        <v>1.0350306950485177E-5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input_491103!A$2</f>
        <v>491103</v>
      </c>
      <c r="B69" s="10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IFERROR(VLOOKUP(B69,input_491103!L:R,7,FALSE),VLOOKUP(tables_491103!C69,input_491103!A:H,8,FALSE))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input_491103!A$2</f>
        <v>491103</v>
      </c>
      <c r="B70" s="6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IFERROR(VLOOKUP(B70,input_491103!L:R,7,FALSE),VLOOKUP(tables_491103!C70,input_491103!A:H,8,FALSE))</f>
        <v>59514.752820000002</v>
      </c>
      <c r="P70" s="46">
        <f t="shared" ca="1" si="6"/>
        <v>4.5556301914039376E-3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input_491103!A$2</f>
        <v>491103</v>
      </c>
      <c r="B71" s="10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IFERROR(VLOOKUP(B71,input_491103!L:R,7,FALSE),VLOOKUP(tables_491103!C71,input_491103!A:H,8,FALSE))</f>
        <v>135.21641</v>
      </c>
      <c r="P71" s="46">
        <f t="shared" ca="1" si="6"/>
        <v>1.0350306950485177E-5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input_491103!A$2</f>
        <v>491103</v>
      </c>
      <c r="B72" s="11">
        <v>196</v>
      </c>
      <c r="C72" s="7" t="str">
        <f t="shared" si="4"/>
        <v>Premium3color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IFERROR(VLOOKUP(B72,input_491103!L:R,7,FALSE),VLOOKUP(tables_491103!C72,input_491103!A:H,8,FALSE))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input_491103!A$2</f>
        <v>491103</v>
      </c>
      <c r="B73" s="6">
        <v>197</v>
      </c>
      <c r="C73" s="7" t="str">
        <f t="shared" si="4"/>
        <v>Premium4color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IFERROR(VLOOKUP(B73,input_491103!L:R,7,FALSE),VLOOKUP(tables_491103!C73,input_491103!A:H,8,FALSE))</f>
        <v>333734.10359999997</v>
      </c>
      <c r="P73" s="46">
        <f t="shared" ca="1" si="6"/>
        <v>2.5546088763227923E-2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input_491103!A$2</f>
        <v>491103</v>
      </c>
      <c r="B74" s="6">
        <v>198</v>
      </c>
      <c r="C74" s="7" t="str">
        <f t="shared" si="4"/>
        <v>Premium5color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IFERROR(VLOOKUP(B74,input_491103!L:R,7,FALSE),VLOOKUP(tables_491103!C74,input_491103!A:H,8,FALSE))</f>
        <v>3673.3873100000001</v>
      </c>
      <c r="P74" s="46">
        <f t="shared" ca="1" si="6"/>
        <v>2.8118396433182219E-4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input_491103!A$2</f>
        <v>491103</v>
      </c>
      <c r="B75" s="6">
        <v>199</v>
      </c>
      <c r="C75" s="7" t="str">
        <f t="shared" si="4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IFERROR(VLOOKUP(B75,input_491103!L:R,7,FALSE),VLOOKUP(tables_491103!C75,input_491103!A:H,8,FALSE))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input_491103!A$2</f>
        <v>491103</v>
      </c>
      <c r="B76" s="5">
        <v>200</v>
      </c>
      <c r="C76" s="7" t="str">
        <f t="shared" si="4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IFERROR(VLOOKUP(B76,input_491103!L:R,7,FALSE),VLOOKUP(tables_491103!C76,input_491103!A:H,8,FALSE))</f>
        <v>59514.752820000002</v>
      </c>
      <c r="P76" s="46">
        <f t="shared" ca="1" si="6"/>
        <v>4.5556301914039376E-3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input_491103!A$2</f>
        <v>491103</v>
      </c>
      <c r="B77" s="5">
        <v>201</v>
      </c>
      <c r="C77" s="7" t="str">
        <f t="shared" si="4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IFERROR(VLOOKUP(B77,input_491103!L:R,7,FALSE),VLOOKUP(tables_491103!C77,input_491103!A:H,8,FALSE))</f>
        <v>135.21641</v>
      </c>
      <c r="P77" s="46">
        <f t="shared" ca="1" si="6"/>
        <v>1.0350306950485177E-5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input_491103!A$2</f>
        <v>491103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IFERROR(VLOOKUP(B78,input_491103!L:R,7,FALSE),VLOOKUP(tables_491103!C78,input_491103!A:H,8,FALSE))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input_491103!A$2</f>
        <v>491103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IFERROR(VLOOKUP(B79,input_491103!L:R,7,FALSE),VLOOKUP(tables_491103!C79,input_491103!A:H,8,FALSE))</f>
        <v>59514.752820000002</v>
      </c>
      <c r="P79" s="46">
        <f t="shared" ca="1" si="6"/>
        <v>4.5556301914039376E-3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input_491103!A$2</f>
        <v>491103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IFERROR(VLOOKUP(B80,input_491103!L:R,7,FALSE),VLOOKUP(tables_491103!C80,input_491103!A:H,8,FALSE))</f>
        <v>135.21641</v>
      </c>
      <c r="P80" s="46">
        <f t="shared" ca="1" si="6"/>
        <v>1.0350306950485177E-5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input_491103!A$2</f>
        <v>491103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IFERROR(VLOOKUP(B81,input_491103!L:R,7,FALSE),VLOOKUP(tables_491103!C81,input_491103!A:H,8,FALSE))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input_491103!A$2</f>
        <v>491103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IFERROR(VLOOKUP(B82,input_491103!L:R,7,FALSE),VLOOKUP(tables_491103!C82,input_491103!A:H,8,FALSE))</f>
        <v>59514.752820000002</v>
      </c>
      <c r="P82" s="46">
        <f t="shared" ca="1" si="6"/>
        <v>4.5556301914039376E-3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input_491103!A$2</f>
        <v>491103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IFERROR(VLOOKUP(B83,input_491103!L:R,7,FALSE),VLOOKUP(tables_491103!C83,input_491103!A:H,8,FALSE))</f>
        <v>135.21641</v>
      </c>
      <c r="P83" s="46">
        <f t="shared" ca="1" si="6"/>
        <v>1.0350306950485177E-5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input_491103!A$2</f>
        <v>491103</v>
      </c>
      <c r="B84" s="5">
        <v>208</v>
      </c>
      <c r="C84" s="7" t="str">
        <f t="shared" si="4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IFERROR(VLOOKUP(B84,input_491103!L:R,7,FALSE),VLOOKUP(tables_491103!C84,input_491103!A:H,8,FALSE))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input_491103!A$2</f>
        <v>491103</v>
      </c>
      <c r="B85" s="5">
        <v>209</v>
      </c>
      <c r="C85" s="7" t="str">
        <f t="shared" si="4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IFERROR(VLOOKUP(B85,input_491103!L:R,7,FALSE),VLOOKUP(tables_491103!C85,input_491103!A:H,8,FALSE))</f>
        <v>59514.752820000002</v>
      </c>
      <c r="P85" s="46">
        <f t="shared" ca="1" si="6"/>
        <v>4.5556301914039376E-3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input_491103!A$2</f>
        <v>491103</v>
      </c>
      <c r="B86" s="5">
        <v>210</v>
      </c>
      <c r="C86" s="7" t="str">
        <f t="shared" si="4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IFERROR(VLOOKUP(B86,input_491103!L:R,7,FALSE),VLOOKUP(tables_491103!C86,input_491103!A:H,8,FALSE))</f>
        <v>135.21641</v>
      </c>
      <c r="P86" s="46">
        <f t="shared" ca="1" si="6"/>
        <v>1.0350306950485177E-5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input_491103!A$2</f>
        <v>491103</v>
      </c>
      <c r="B87" s="5">
        <v>211</v>
      </c>
      <c r="C87" s="7" t="str">
        <f t="shared" si="4"/>
        <v>Premium3color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IFERROR(VLOOKUP(B87,input_491103!L:R,7,FALSE),VLOOKUP(tables_491103!C87,input_491103!A:H,8,FALSE))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input_491103!A$2</f>
        <v>491103</v>
      </c>
      <c r="B88" s="5">
        <v>212</v>
      </c>
      <c r="C88" s="7" t="str">
        <f t="shared" si="4"/>
        <v>Premium4color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IFERROR(VLOOKUP(B88,input_491103!L:R,7,FALSE),VLOOKUP(tables_491103!C88,input_491103!A:H,8,FALSE))</f>
        <v>333734.10359999997</v>
      </c>
      <c r="P88" s="46">
        <f t="shared" ca="1" si="6"/>
        <v>2.5546088763227923E-2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input_491103!A$2</f>
        <v>491103</v>
      </c>
      <c r="B89" s="5">
        <v>213</v>
      </c>
      <c r="C89" s="7" t="str">
        <f t="shared" si="4"/>
        <v>Premium5color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IFERROR(VLOOKUP(B89,input_491103!L:R,7,FALSE),VLOOKUP(tables_491103!C89,input_491103!A:H,8,FALSE))</f>
        <v>3673.3873100000001</v>
      </c>
      <c r="P89" s="46">
        <f t="shared" ca="1" si="6"/>
        <v>2.8118396433182219E-4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input_491103!A$2</f>
        <v>491103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IFERROR(VLOOKUP(B90,input_491103!L:R,7,FALSE),VLOOKUP(tables_491103!C90,input_491103!A:H,8,FALSE))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input_491103!A$2</f>
        <v>491103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IFERROR(VLOOKUP(B91,input_491103!L:R,7,FALSE),VLOOKUP(tables_491103!C91,input_491103!A:H,8,FALSE))</f>
        <v>59514.752820000002</v>
      </c>
      <c r="P91" s="46">
        <f t="shared" ca="1" si="6"/>
        <v>4.5556301914039376E-3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input_491103!A$2</f>
        <v>491103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IFERROR(VLOOKUP(B92,input_491103!L:R,7,FALSE),VLOOKUP(tables_491103!C92,input_491103!A:H,8,FALSE))</f>
        <v>135.21641</v>
      </c>
      <c r="P92" s="46">
        <f t="shared" ca="1" si="6"/>
        <v>1.0350306950485177E-5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input_491103!A$2</f>
        <v>491103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IFERROR(VLOOKUP(B93,input_491103!L:R,7,FALSE),VLOOKUP(tables_491103!C93,input_491103!A:H,8,FALSE))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input_491103!A$2</f>
        <v>491103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IFERROR(VLOOKUP(B94,input_491103!L:R,7,FALSE),VLOOKUP(tables_491103!C94,input_491103!A:H,8,FALSE))</f>
        <v>59514.752820000002</v>
      </c>
      <c r="P94" s="46">
        <f t="shared" ca="1" si="6"/>
        <v>4.5556301914039376E-3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input_491103!A$2</f>
        <v>491103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IFERROR(VLOOKUP(B95,input_491103!L:R,7,FALSE),VLOOKUP(tables_491103!C95,input_491103!A:H,8,FALSE))</f>
        <v>135.21641</v>
      </c>
      <c r="P95" s="46">
        <f t="shared" ca="1" si="6"/>
        <v>1.0350306950485177E-5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input_491103!A$2</f>
        <v>491103</v>
      </c>
      <c r="B96" s="5">
        <v>220</v>
      </c>
      <c r="C96" s="7" t="str">
        <f t="shared" si="4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IFERROR(VLOOKUP(B96,input_491103!L:R,7,FALSE),VLOOKUP(tables_491103!C96,input_491103!A:H,8,FALSE))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input_491103!A$2</f>
        <v>491103</v>
      </c>
      <c r="B97" s="5">
        <v>221</v>
      </c>
      <c r="C97" s="7" t="str">
        <f t="shared" si="4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IFERROR(VLOOKUP(B97,input_491103!L:R,7,FALSE),VLOOKUP(tables_491103!C97,input_491103!A:H,8,FALSE))</f>
        <v>59514.752820000002</v>
      </c>
      <c r="P97" s="46">
        <f t="shared" ca="1" si="6"/>
        <v>4.5556301914039376E-3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input_491103!A$2</f>
        <v>491103</v>
      </c>
      <c r="B98" s="5">
        <v>222</v>
      </c>
      <c r="C98" s="7" t="str">
        <f t="shared" si="4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IFERROR(VLOOKUP(B98,input_491103!L:R,7,FALSE),VLOOKUP(tables_491103!C98,input_491103!A:H,8,FALSE))</f>
        <v>135.21641</v>
      </c>
      <c r="P98" s="46">
        <f t="shared" ca="1" si="6"/>
        <v>1.0350306950485177E-5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input_491103!A$2</f>
        <v>491103</v>
      </c>
      <c r="B99" s="5">
        <v>223</v>
      </c>
      <c r="C99" s="7" t="str">
        <f t="shared" si="4"/>
        <v>Premium3color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IFERROR(VLOOKUP(B99,input_491103!L:R,7,FALSE),VLOOKUP(tables_491103!C99,input_491103!A:H,8,FALSE))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input_491103!A$2</f>
        <v>491103</v>
      </c>
      <c r="B100" s="5">
        <v>224</v>
      </c>
      <c r="C100" s="7" t="str">
        <f t="shared" si="4"/>
        <v>Premium4color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IFERROR(VLOOKUP(B100,input_491103!L:R,7,FALSE),VLOOKUP(tables_491103!C100,input_491103!A:H,8,FALSE))</f>
        <v>333734.10359999997</v>
      </c>
      <c r="P100" s="46">
        <f t="shared" ca="1" si="6"/>
        <v>2.5546088763227923E-2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input_491103!A$2</f>
        <v>491103</v>
      </c>
      <c r="B101" s="5">
        <v>225</v>
      </c>
      <c r="C101" s="7" t="str">
        <f t="shared" si="4"/>
        <v>Premium5color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IFERROR(VLOOKUP(B101,input_491103!L:R,7,FALSE),VLOOKUP(tables_491103!C101,input_491103!A:H,8,FALSE))</f>
        <v>3673.3873100000001</v>
      </c>
      <c r="P101" s="46">
        <f t="shared" ca="1" si="6"/>
        <v>2.8118396433182219E-4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input_491103!A$2</f>
        <v>491103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IFERROR(VLOOKUP(B102,input_491103!L:R,7,FALSE),VLOOKUP(tables_491103!C102,input_491103!A:H,8,FALSE))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input_491103!A$2</f>
        <v>491103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IFERROR(VLOOKUP(B103,input_491103!L:R,7,FALSE),VLOOKUP(tables_491103!C103,input_491103!A:H,8,FALSE))</f>
        <v>59514.752820000002</v>
      </c>
      <c r="P103" s="46">
        <f t="shared" ca="1" si="6"/>
        <v>4.5556301914039376E-3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input_491103!A$2</f>
        <v>491103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IFERROR(VLOOKUP(B104,input_491103!L:R,7,FALSE),VLOOKUP(tables_491103!C104,input_491103!A:H,8,FALSE))</f>
        <v>135.21641</v>
      </c>
      <c r="P104" s="46">
        <f t="shared" ca="1" si="6"/>
        <v>1.0350306950485177E-5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input_491103!A$2</f>
        <v>491103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IFERROR(VLOOKUP(B105,input_491103!L:R,7,FALSE),VLOOKUP(tables_491103!C105,input_491103!A:H,8,FALSE))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input_491103!A$2</f>
        <v>491103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IFERROR(VLOOKUP(B106,input_491103!L:R,7,FALSE),VLOOKUP(tables_491103!C106,input_491103!A:H,8,FALSE))</f>
        <v>59514.752820000002</v>
      </c>
      <c r="P106" s="46">
        <f t="shared" ca="1" si="6"/>
        <v>4.5556301914039376E-3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input_491103!A$2</f>
        <v>491103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IFERROR(VLOOKUP(B107,input_491103!L:R,7,FALSE),VLOOKUP(tables_491103!C107,input_491103!A:H,8,FALSE))</f>
        <v>135.21641</v>
      </c>
      <c r="P107" s="46">
        <f t="shared" ca="1" si="6"/>
        <v>1.0350306950485177E-5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input_491103!A$2</f>
        <v>491103</v>
      </c>
      <c r="B108" s="5">
        <v>232</v>
      </c>
      <c r="C108" s="7" t="str">
        <f t="shared" si="4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IFERROR(VLOOKUP(B108,input_491103!L:R,7,FALSE),VLOOKUP(tables_491103!C108,input_491103!A:H,8,FALSE))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input_491103!A$2</f>
        <v>491103</v>
      </c>
      <c r="B109" s="5">
        <v>233</v>
      </c>
      <c r="C109" s="7" t="str">
        <f t="shared" si="4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IFERROR(VLOOKUP(B109,input_491103!L:R,7,FALSE),VLOOKUP(tables_491103!C109,input_491103!A:H,8,FALSE))</f>
        <v>59514.752820000002</v>
      </c>
      <c r="P109" s="46">
        <f t="shared" ca="1" si="6"/>
        <v>4.5556301914039376E-3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input_491103!A$2</f>
        <v>491103</v>
      </c>
      <c r="B110" s="5">
        <v>234</v>
      </c>
      <c r="C110" s="7" t="str">
        <f t="shared" si="4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IFERROR(VLOOKUP(B110,input_491103!L:R,7,FALSE),VLOOKUP(tables_491103!C110,input_491103!A:H,8,FALSE))</f>
        <v>135.21641</v>
      </c>
      <c r="P110" s="46">
        <f t="shared" ca="1" si="6"/>
        <v>1.0350306950485177E-5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input_491103!A$2</f>
        <v>491103</v>
      </c>
      <c r="B111" s="5">
        <v>235</v>
      </c>
      <c r="C111" s="7" t="str">
        <f t="shared" si="4"/>
        <v>Premium3R6releasecolor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IFERROR(VLOOKUP(B111,input_491103!L:R,7,FALSE),VLOOKUP(tables_491103!C111,input_491103!A:H,8,FALSE))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input_491103!A$2</f>
        <v>491103</v>
      </c>
      <c r="B112" s="5">
        <v>236</v>
      </c>
      <c r="C112" s="7" t="str">
        <f t="shared" si="4"/>
        <v>Premium4R6releasecolor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IFERROR(VLOOKUP(B112,input_491103!L:R,7,FALSE),VLOOKUP(tables_491103!C112,input_491103!A:H,8,FALSE))</f>
        <v>320537.11635999999</v>
      </c>
      <c r="P112" s="46">
        <f t="shared" ca="1" si="6"/>
        <v>2.4535909090837301E-2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input_491103!A$2</f>
        <v>491103</v>
      </c>
      <c r="B113" s="5">
        <v>237</v>
      </c>
      <c r="C113" s="7" t="str">
        <f t="shared" si="4"/>
        <v>Premium5R6releasecolor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IFERROR(VLOOKUP(B113,input_491103!L:R,7,FALSE),VLOOKUP(tables_491103!C113,input_491103!A:H,8,FALSE))</f>
        <v>16870.37455</v>
      </c>
      <c r="P113" s="46">
        <f t="shared" ca="1" si="6"/>
        <v>1.2913636367224454E-3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input_491103!A$2</f>
        <v>491103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IFERROR(VLOOKUP(B114,input_491103!L:R,7,FALSE),VLOOKUP(tables_491103!C114,input_491103!A:H,8,FALSE))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input_491103!A$2</f>
        <v>491103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IFERROR(VLOOKUP(B115,input_491103!L:R,7,FALSE),VLOOKUP(tables_491103!C115,input_491103!A:H,8,FALSE))</f>
        <v>59514.752820000002</v>
      </c>
      <c r="P115" s="46">
        <f t="shared" ca="1" si="6"/>
        <v>4.5556301914039376E-3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input_491103!A$2</f>
        <v>491103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IFERROR(VLOOKUP(B116,input_491103!L:R,7,FALSE),VLOOKUP(tables_491103!C116,input_491103!A:H,8,FALSE))</f>
        <v>135.21641</v>
      </c>
      <c r="P116" s="46">
        <f t="shared" ca="1" si="6"/>
        <v>1.0350306950485177E-5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input_491103!A$2</f>
        <v>491103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IFERROR(VLOOKUP(B117,input_491103!L:R,7,FALSE),VLOOKUP(tables_491103!C117,input_491103!A:H,8,FALSE))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input_491103!A$2</f>
        <v>491103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IFERROR(VLOOKUP(B118,input_491103!L:R,7,FALSE),VLOOKUP(tables_491103!C118,input_491103!A:H,8,FALSE))</f>
        <v>59514.752820000002</v>
      </c>
      <c r="P118" s="46">
        <f t="shared" ca="1" si="6"/>
        <v>4.5556301914039376E-3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input_491103!A$2</f>
        <v>491103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IFERROR(VLOOKUP(B119,input_491103!L:R,7,FALSE),VLOOKUP(tables_491103!C119,input_491103!A:H,8,FALSE))</f>
        <v>135.21641</v>
      </c>
      <c r="P119" s="46">
        <f t="shared" ca="1" si="6"/>
        <v>1.0350306950485177E-5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input_491103!A$2</f>
        <v>491103</v>
      </c>
      <c r="B120" s="5">
        <v>244</v>
      </c>
      <c r="C120" s="7" t="str">
        <f t="shared" si="4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IFERROR(VLOOKUP(B120,input_491103!L:R,7,FALSE),VLOOKUP(tables_491103!C120,input_491103!A:H,8,FALSE))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input_491103!A$2</f>
        <v>491103</v>
      </c>
      <c r="B121" s="5">
        <v>245</v>
      </c>
      <c r="C121" s="7" t="str">
        <f t="shared" si="4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IFERROR(VLOOKUP(B121,input_491103!L:R,7,FALSE),VLOOKUP(tables_491103!C121,input_491103!A:H,8,FALSE))</f>
        <v>59514.752820000002</v>
      </c>
      <c r="P121" s="46">
        <f t="shared" ca="1" si="6"/>
        <v>4.5556301914039376E-3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input_491103!A$2</f>
        <v>491103</v>
      </c>
      <c r="B122" s="5">
        <v>246</v>
      </c>
      <c r="C122" s="7" t="str">
        <f t="shared" si="4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IFERROR(VLOOKUP(B122,input_491103!L:R,7,FALSE),VLOOKUP(tables_491103!C122,input_491103!A:H,8,FALSE))</f>
        <v>135.21641</v>
      </c>
      <c r="P122" s="46">
        <f t="shared" ca="1" si="6"/>
        <v>1.0350306950485177E-5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input_491103!A$2</f>
        <v>491103</v>
      </c>
      <c r="B123" s="5">
        <v>247</v>
      </c>
      <c r="C123" s="7" t="str">
        <f t="shared" si="4"/>
        <v>Premium3color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IFERROR(VLOOKUP(B123,input_491103!L:R,7,FALSE),VLOOKUP(tables_491103!C123,input_491103!A:H,8,FALSE))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input_491103!A$2</f>
        <v>491103</v>
      </c>
      <c r="B124" s="6">
        <v>248</v>
      </c>
      <c r="C124" s="7" t="str">
        <f t="shared" si="4"/>
        <v>Premium4color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IFERROR(VLOOKUP(B124,input_491103!L:R,7,FALSE),VLOOKUP(tables_491103!C124,input_491103!A:H,8,FALSE))</f>
        <v>333734.10359999997</v>
      </c>
      <c r="P124" s="46">
        <f t="shared" ca="1" si="6"/>
        <v>2.5546088763227923E-2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input_491103!A$2</f>
        <v>491103</v>
      </c>
      <c r="B125" s="6">
        <v>249</v>
      </c>
      <c r="C125" s="7" t="str">
        <f t="shared" si="4"/>
        <v>Premium5color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IFERROR(VLOOKUP(B125,input_491103!L:R,7,FALSE),VLOOKUP(tables_491103!C125,input_491103!A:H,8,FALSE))</f>
        <v>3673.3873100000001</v>
      </c>
      <c r="P125" s="46">
        <f t="shared" ca="1" si="6"/>
        <v>2.8118396433182219E-4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input_491103!A$2</f>
        <v>491103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IFERROR(VLOOKUP(B126,input_491103!L:R,7,FALSE),VLOOKUP(tables_491103!C126,input_491103!A:H,8,FALSE))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input_491103!A$2</f>
        <v>491103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IFERROR(VLOOKUP(B127,input_491103!L:R,7,FALSE),VLOOKUP(tables_491103!C127,input_491103!A:H,8,FALSE))</f>
        <v>59514.752820000002</v>
      </c>
      <c r="P127" s="46">
        <f t="shared" ca="1" si="6"/>
        <v>4.5556301914039376E-3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input_491103!A$2</f>
        <v>491103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IFERROR(VLOOKUP(B128,input_491103!L:R,7,FALSE),VLOOKUP(tables_491103!C128,input_491103!A:H,8,FALSE))</f>
        <v>135.21641</v>
      </c>
      <c r="P128" s="46">
        <f t="shared" ca="1" si="6"/>
        <v>1.0350306950485177E-5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input_491103!A$2</f>
        <v>491103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IFERROR(VLOOKUP(B129,input_491103!L:R,7,FALSE),VLOOKUP(tables_491103!C129,input_491103!A:H,8,FALSE))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input_491103!A$2</f>
        <v>491103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IF(K130="yellow","color","")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IFERROR(VLOOKUP(B130,input_491103!L:R,7,FALSE),VLOOKUP(tables_491103!C130,input_491103!A:H,8,FALSE))</f>
        <v>59514.752820000002</v>
      </c>
      <c r="P130" s="46">
        <f t="shared" ref="P130:P193" ca="1" si="10">O130/SUM(O:O)</f>
        <v>4.5556301914039376E-3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input_491103!A$2</f>
        <v>491103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IFERROR(VLOOKUP(B131,input_491103!L:R,7,FALSE),VLOOKUP(tables_491103!C131,input_491103!A:H,8,FALSE))</f>
        <v>135.21641</v>
      </c>
      <c r="P131" s="46">
        <f t="shared" ca="1" si="10"/>
        <v>1.0350306950485177E-5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input_491103!A$2</f>
        <v>491103</v>
      </c>
      <c r="B132" s="6">
        <v>256</v>
      </c>
      <c r="C132" s="7" t="str">
        <f t="shared" si="8"/>
        <v>Premium3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IFERROR(VLOOKUP(B132,input_491103!L:R,7,FALSE),VLOOKUP(tables_491103!C132,input_491103!A:H,8,FALSE))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input_491103!A$2</f>
        <v>491103</v>
      </c>
      <c r="B133" s="6">
        <v>257</v>
      </c>
      <c r="C133" s="7" t="str">
        <f t="shared" si="8"/>
        <v>Premium4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IFERROR(VLOOKUP(B133,input_491103!L:R,7,FALSE),VLOOKUP(tables_491103!C133,input_491103!A:H,8,FALSE))</f>
        <v>59514.752820000002</v>
      </c>
      <c r="P133" s="46">
        <f t="shared" ca="1" si="10"/>
        <v>4.5556301914039376E-3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input_491103!A$2</f>
        <v>491103</v>
      </c>
      <c r="B134" s="6">
        <v>258</v>
      </c>
      <c r="C134" s="7" t="str">
        <f t="shared" si="8"/>
        <v>Premium5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IFERROR(VLOOKUP(B134,input_491103!L:R,7,FALSE),VLOOKUP(tables_491103!C134,input_491103!A:H,8,FALSE))</f>
        <v>135.21641</v>
      </c>
      <c r="P134" s="46">
        <f t="shared" ca="1" si="10"/>
        <v>1.0350306950485177E-5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input_491103!A$2</f>
        <v>491103</v>
      </c>
      <c r="B135" s="8">
        <v>259</v>
      </c>
      <c r="C135" s="7" t="str">
        <f t="shared" si="8"/>
        <v>Premium3color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IFERROR(VLOOKUP(B135,input_491103!L:R,7,FALSE),VLOOKUP(tables_491103!C135,input_491103!A:H,8,FALSE))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input_491103!A$2</f>
        <v>491103</v>
      </c>
      <c r="B136" s="8">
        <v>260</v>
      </c>
      <c r="C136" s="7" t="str">
        <f t="shared" si="8"/>
        <v>Premium4color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IFERROR(VLOOKUP(B136,input_491103!L:R,7,FALSE),VLOOKUP(tables_491103!C136,input_491103!A:H,8,FALSE))</f>
        <v>333734.10359999997</v>
      </c>
      <c r="P136" s="46">
        <f t="shared" ca="1" si="10"/>
        <v>2.5546088763227923E-2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input_491103!A$2</f>
        <v>491103</v>
      </c>
      <c r="B137" s="6">
        <v>261</v>
      </c>
      <c r="C137" s="7" t="str">
        <f t="shared" si="8"/>
        <v>Premium5color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IFERROR(VLOOKUP(B137,input_491103!L:R,7,FALSE),VLOOKUP(tables_491103!C137,input_491103!A:H,8,FALSE))</f>
        <v>3673.3873100000001</v>
      </c>
      <c r="P137" s="46">
        <f t="shared" ca="1" si="10"/>
        <v>2.8118396433182219E-4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input_491103!A$2</f>
        <v>491103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IFERROR(VLOOKUP(B138,input_491103!L:R,7,FALSE),VLOOKUP(tables_491103!C138,input_491103!A:H,8,FALSE))</f>
        <v>5396</v>
      </c>
      <c r="P138" s="46">
        <f t="shared" ca="1" si="10"/>
        <v>4.1304347826434684E-4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input_491103!A$2</f>
        <v>491103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IFERROR(VLOOKUP(B139,input_491103!L:R,7,FALSE),VLOOKUP(tables_491103!C139,input_491103!A:H,8,FALSE))</f>
        <v>284</v>
      </c>
      <c r="P139" s="46">
        <f t="shared" ca="1" si="10"/>
        <v>2.1739130434965624E-5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input_491103!A$2</f>
        <v>491103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IFERROR(VLOOKUP(B140,input_491103!L:R,7,FALSE),VLOOKUP(tables_491103!C140,input_491103!A:H,8,FALSE))</f>
        <v>5396</v>
      </c>
      <c r="P140" s="46">
        <f t="shared" ca="1" si="10"/>
        <v>4.1304347826434684E-4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input_491103!A$2</f>
        <v>491103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IFERROR(VLOOKUP(B141,input_491103!L:R,7,FALSE),VLOOKUP(tables_491103!C141,input_491103!A:H,8,FALSE))</f>
        <v>284</v>
      </c>
      <c r="P141" s="46">
        <f t="shared" ca="1" si="10"/>
        <v>2.1739130434965624E-5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input_491103!A$2</f>
        <v>491103</v>
      </c>
      <c r="B142" s="6">
        <v>324</v>
      </c>
      <c r="C142" s="7" t="str">
        <f t="shared" si="8"/>
        <v>PremiumSS4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IFERROR(VLOOKUP(B142,input_491103!L:R,7,FALSE),VLOOKUP(tables_491103!C142,input_491103!A:H,8,FALSE))</f>
        <v>5396</v>
      </c>
      <c r="P142" s="46">
        <f t="shared" ca="1" si="10"/>
        <v>4.1304347826434684E-4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input_491103!A$2</f>
        <v>491103</v>
      </c>
      <c r="B143" s="6">
        <v>325</v>
      </c>
      <c r="C143" s="7" t="str">
        <f t="shared" si="8"/>
        <v>PremiumSS5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IFERROR(VLOOKUP(B143,input_491103!L:R,7,FALSE),VLOOKUP(tables_491103!C143,input_491103!A:H,8,FALSE))</f>
        <v>284</v>
      </c>
      <c r="P143" s="46">
        <f t="shared" ca="1" si="10"/>
        <v>2.1739130434965624E-5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input_491103!A$2</f>
        <v>491103</v>
      </c>
      <c r="B144" s="6">
        <v>326</v>
      </c>
      <c r="C144" s="7" t="str">
        <f t="shared" si="8"/>
        <v>PremiumSS4color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IFERROR(VLOOKUP(B144,input_491103!L:R,7,FALSE),VLOOKUP(tables_491103!C144,input_491103!A:H,8,FALSE))</f>
        <v>21901.411759999999</v>
      </c>
      <c r="P144" s="46">
        <f t="shared" ca="1" si="10"/>
        <v>1.6764705878891902E-3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input_491103!A$2</f>
        <v>491103</v>
      </c>
      <c r="B145" s="6">
        <v>327</v>
      </c>
      <c r="C145" s="7" t="str">
        <f t="shared" si="8"/>
        <v>PremiumSS5color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IFERROR(VLOOKUP(B145,input_491103!L:R,7,FALSE),VLOOKUP(tables_491103!C145,input_491103!A:H,8,FALSE))</f>
        <v>1152.70588</v>
      </c>
      <c r="P145" s="46">
        <f t="shared" ca="1" si="10"/>
        <v>8.8235293938281102E-5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input_491103!A$2</f>
        <v>491103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IFERROR(VLOOKUP(B146,input_491103!L:R,7,FALSE),VLOOKUP(tables_491103!C146,input_491103!A:H,8,FALSE))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input_491103!A$2</f>
        <v>491103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IFERROR(VLOOKUP(B147,input_491103!L:R,7,FALSE),VLOOKUP(tables_491103!C147,input_491103!A:H,8,FALSE))</f>
        <v>59514.752820000002</v>
      </c>
      <c r="P147" s="46">
        <f t="shared" ca="1" si="10"/>
        <v>4.5556301914039376E-3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input_491103!A$2</f>
        <v>491103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IFERROR(VLOOKUP(B148,input_491103!L:R,7,FALSE),VLOOKUP(tables_491103!C148,input_491103!A:H,8,FALSE))</f>
        <v>135.21641</v>
      </c>
      <c r="P148" s="46">
        <f t="shared" ca="1" si="10"/>
        <v>1.0350306950485177E-5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input_491103!A$2</f>
        <v>491103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IFERROR(VLOOKUP(B149,input_491103!L:R,7,FALSE),VLOOKUP(tables_491103!C149,input_491103!A:H,8,FALSE))</f>
        <v>5396</v>
      </c>
      <c r="P149" s="46">
        <f t="shared" ca="1" si="10"/>
        <v>4.1304347826434684E-4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input_491103!A$2</f>
        <v>491103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IFERROR(VLOOKUP(B150,input_491103!L:R,7,FALSE),VLOOKUP(tables_491103!C150,input_491103!A:H,8,FALSE))</f>
        <v>284</v>
      </c>
      <c r="P150" s="46">
        <f t="shared" ca="1" si="10"/>
        <v>2.1739130434965624E-5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input_491103!A$2</f>
        <v>491103</v>
      </c>
      <c r="B151" s="6">
        <v>385</v>
      </c>
      <c r="C151" s="7" t="str">
        <f t="shared" si="8"/>
        <v>PremiumSS4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IFERROR(VLOOKUP(B151,input_491103!L:R,7,FALSE),VLOOKUP(tables_491103!C151,input_491103!A:H,8,FALSE))</f>
        <v>5396</v>
      </c>
      <c r="P151" s="46">
        <f t="shared" ca="1" si="10"/>
        <v>4.1304347826434684E-4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input_491103!A$2</f>
        <v>491103</v>
      </c>
      <c r="B152" s="6">
        <v>386</v>
      </c>
      <c r="C152" s="7" t="str">
        <f t="shared" si="8"/>
        <v>PremiumSS5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IFERROR(VLOOKUP(B152,input_491103!L:R,7,FALSE),VLOOKUP(tables_491103!C152,input_491103!A:H,8,FALSE))</f>
        <v>284</v>
      </c>
      <c r="P152" s="46">
        <f t="shared" ca="1" si="10"/>
        <v>2.1739130434965624E-5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input_491103!A$2</f>
        <v>491103</v>
      </c>
      <c r="B153" s="6">
        <v>387</v>
      </c>
      <c r="C153" s="7" t="str">
        <f t="shared" si="8"/>
        <v>Premium3color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IFERROR(VLOOKUP(B153,input_491103!L:R,7,FALSE),VLOOKUP(tables_491103!C153,input_491103!A:H,8,FALSE))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input_491103!A$2</f>
        <v>491103</v>
      </c>
      <c r="B154" s="6">
        <v>388</v>
      </c>
      <c r="C154" s="7" t="str">
        <f t="shared" si="8"/>
        <v>Premium4color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IFERROR(VLOOKUP(B154,input_491103!L:R,7,FALSE),VLOOKUP(tables_491103!C154,input_491103!A:H,8,FALSE))</f>
        <v>333734.10359999997</v>
      </c>
      <c r="P154" s="46">
        <f t="shared" ca="1" si="10"/>
        <v>2.5546088763227923E-2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input_491103!A$2</f>
        <v>491103</v>
      </c>
      <c r="B155" s="6">
        <v>389</v>
      </c>
      <c r="C155" s="7" t="str">
        <f t="shared" si="8"/>
        <v>Premium5color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IFERROR(VLOOKUP(B155,input_491103!L:R,7,FALSE),VLOOKUP(tables_491103!C155,input_491103!A:H,8,FALSE))</f>
        <v>3673.3873100000001</v>
      </c>
      <c r="P155" s="46">
        <f t="shared" ca="1" si="10"/>
        <v>2.8118396433182219E-4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input_491103!A$2</f>
        <v>491103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IFERROR(VLOOKUP(B156,input_491103!L:R,7,FALSE),VLOOKUP(tables_491103!C156,input_491103!A:H,8,FALSE))</f>
        <v>5396</v>
      </c>
      <c r="P156" s="46">
        <f t="shared" ca="1" si="10"/>
        <v>4.1304347826434684E-4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input_491103!A$2</f>
        <v>491103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IFERROR(VLOOKUP(B157,input_491103!L:R,7,FALSE),VLOOKUP(tables_491103!C157,input_491103!A:H,8,FALSE))</f>
        <v>284</v>
      </c>
      <c r="P157" s="46">
        <f t="shared" ca="1" si="10"/>
        <v>2.1739130434965624E-5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input_491103!A$2</f>
        <v>491103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IFERROR(VLOOKUP(B158,input_491103!L:R,7,FALSE),VLOOKUP(tables_491103!C158,input_491103!A:H,8,FALSE))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input_491103!A$2</f>
        <v>491103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IFERROR(VLOOKUP(B159,input_491103!L:R,7,FALSE),VLOOKUP(tables_491103!C159,input_491103!A:H,8,FALSE))</f>
        <v>59514.752820000002</v>
      </c>
      <c r="P159" s="46">
        <f t="shared" ca="1" si="10"/>
        <v>4.5556301914039376E-3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input_491103!A$2</f>
        <v>491103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IFERROR(VLOOKUP(B160,input_491103!L:R,7,FALSE),VLOOKUP(tables_491103!C160,input_491103!A:H,8,FALSE))</f>
        <v>135.21641</v>
      </c>
      <c r="P160" s="46">
        <f t="shared" ca="1" si="10"/>
        <v>1.0350306950485177E-5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input_491103!A$2</f>
        <v>491103</v>
      </c>
      <c r="B161" s="6">
        <v>395</v>
      </c>
      <c r="C161" s="7" t="str">
        <f t="shared" si="8"/>
        <v>Premium3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IFERROR(VLOOKUP(B161,input_491103!L:R,7,FALSE),VLOOKUP(tables_491103!C161,input_491103!A:H,8,FALSE))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input_491103!A$2</f>
        <v>491103</v>
      </c>
      <c r="B162" s="6">
        <v>396</v>
      </c>
      <c r="C162" s="7" t="str">
        <f t="shared" si="8"/>
        <v>Premium4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IFERROR(VLOOKUP(B162,input_491103!L:R,7,FALSE),VLOOKUP(tables_491103!C162,input_491103!A:H,8,FALSE))</f>
        <v>59514.752820000002</v>
      </c>
      <c r="P162" s="46">
        <f t="shared" ca="1" si="10"/>
        <v>4.5556301914039376E-3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input_491103!A$2</f>
        <v>491103</v>
      </c>
      <c r="B163" s="6">
        <v>397</v>
      </c>
      <c r="C163" s="7" t="str">
        <f t="shared" si="8"/>
        <v>Premium5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IFERROR(VLOOKUP(B163,input_491103!L:R,7,FALSE),VLOOKUP(tables_491103!C163,input_491103!A:H,8,FALSE))</f>
        <v>135.21641</v>
      </c>
      <c r="P163" s="46">
        <f t="shared" ca="1" si="10"/>
        <v>1.0350306950485177E-5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input_491103!A$2</f>
        <v>491103</v>
      </c>
      <c r="B164" s="6">
        <v>398</v>
      </c>
      <c r="C164" s="7" t="str">
        <f t="shared" si="8"/>
        <v>PremiumSS4color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IFERROR(VLOOKUP(B164,input_491103!L:R,7,FALSE),VLOOKUP(tables_491103!C164,input_491103!A:H,8,FALSE))</f>
        <v>21901.411759999999</v>
      </c>
      <c r="P164" s="46">
        <f t="shared" ca="1" si="10"/>
        <v>1.6764705878891902E-3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input_491103!A$2</f>
        <v>491103</v>
      </c>
      <c r="B165" s="6">
        <v>399</v>
      </c>
      <c r="C165" s="7" t="str">
        <f t="shared" si="8"/>
        <v>PremiumSS5color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IFERROR(VLOOKUP(B165,input_491103!L:R,7,FALSE),VLOOKUP(tables_491103!C165,input_491103!A:H,8,FALSE))</f>
        <v>1152.70588</v>
      </c>
      <c r="P165" s="46">
        <f t="shared" ca="1" si="10"/>
        <v>8.8235293938281102E-5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input_491103!A$2</f>
        <v>491103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IFERROR(VLOOKUP(B166,input_491103!L:R,7,FALSE),VLOOKUP(tables_491103!C166,input_491103!A:H,8,FALSE))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input_491103!A$2</f>
        <v>491103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IFERROR(VLOOKUP(B167,input_491103!L:R,7,FALSE),VLOOKUP(tables_491103!C167,input_491103!A:H,8,FALSE))</f>
        <v>59514.752820000002</v>
      </c>
      <c r="P167" s="46">
        <f t="shared" ca="1" si="10"/>
        <v>4.5556301914039376E-3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input_491103!A$2</f>
        <v>491103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IFERROR(VLOOKUP(B168,input_491103!L:R,7,FALSE),VLOOKUP(tables_491103!C168,input_491103!A:H,8,FALSE))</f>
        <v>135.21641</v>
      </c>
      <c r="P168" s="46">
        <f t="shared" ca="1" si="10"/>
        <v>1.0350306950485177E-5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input_491103!A$2</f>
        <v>491103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IFERROR(VLOOKUP(B169,input_491103!L:R,7,FALSE),VLOOKUP(tables_491103!C169,input_491103!A:H,8,FALSE))</f>
        <v>5396</v>
      </c>
      <c r="P169" s="46">
        <f t="shared" ca="1" si="10"/>
        <v>4.1304347826434684E-4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input_491103!A$2</f>
        <v>491103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IFERROR(VLOOKUP(B170,input_491103!L:R,7,FALSE),VLOOKUP(tables_491103!C170,input_491103!A:H,8,FALSE))</f>
        <v>284</v>
      </c>
      <c r="P170" s="46">
        <f t="shared" ca="1" si="10"/>
        <v>2.1739130434965624E-5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input_491103!A$2</f>
        <v>491103</v>
      </c>
      <c r="B171" s="6">
        <v>405</v>
      </c>
      <c r="C171" s="7" t="str">
        <f t="shared" si="8"/>
        <v>Premium3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IFERROR(VLOOKUP(B171,input_491103!L:R,7,FALSE),VLOOKUP(tables_491103!C171,input_491103!A:H,8,FALSE))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input_491103!A$2</f>
        <v>491103</v>
      </c>
      <c r="B172" s="6">
        <v>406</v>
      </c>
      <c r="C172" s="7" t="str">
        <f t="shared" si="8"/>
        <v>Premium4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IFERROR(VLOOKUP(B172,input_491103!L:R,7,FALSE),VLOOKUP(tables_491103!C172,input_491103!A:H,8,FALSE))</f>
        <v>59514.752820000002</v>
      </c>
      <c r="P172" s="46">
        <f t="shared" ca="1" si="10"/>
        <v>4.5556301914039376E-3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input_491103!A$2</f>
        <v>491103</v>
      </c>
      <c r="B173" s="6">
        <v>407</v>
      </c>
      <c r="C173" s="7" t="str">
        <f t="shared" si="8"/>
        <v>Premium5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IFERROR(VLOOKUP(B173,input_491103!L:R,7,FALSE),VLOOKUP(tables_491103!C173,input_491103!A:H,8,FALSE))</f>
        <v>135.21641</v>
      </c>
      <c r="P173" s="46">
        <f t="shared" ca="1" si="10"/>
        <v>1.0350306950485177E-5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input_491103!A$2</f>
        <v>491103</v>
      </c>
      <c r="B174" s="6">
        <v>408</v>
      </c>
      <c r="C174" s="7" t="str">
        <f t="shared" si="8"/>
        <v>PremiumSS4color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IFERROR(VLOOKUP(B174,input_491103!L:R,7,FALSE),VLOOKUP(tables_491103!C174,input_491103!A:H,8,FALSE))</f>
        <v>21901.411759999999</v>
      </c>
      <c r="P174" s="46">
        <f t="shared" ca="1" si="10"/>
        <v>1.6764705878891902E-3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input_491103!A$2</f>
        <v>491103</v>
      </c>
      <c r="B175" s="6">
        <v>409</v>
      </c>
      <c r="C175" s="7" t="str">
        <f t="shared" si="8"/>
        <v>PremiumSS5color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IFERROR(VLOOKUP(B175,input_491103!L:R,7,FALSE),VLOOKUP(tables_491103!C175,input_491103!A:H,8,FALSE))</f>
        <v>1152.70588</v>
      </c>
      <c r="P175" s="46">
        <f t="shared" ca="1" si="10"/>
        <v>8.8235293938281102E-5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input_491103!A$2</f>
        <v>491103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IFERROR(VLOOKUP(B176,input_491103!L:R,7,FALSE),VLOOKUP(tables_491103!C176,input_491103!A:H,8,FALSE))</f>
        <v>5396</v>
      </c>
      <c r="P176" s="46">
        <f t="shared" ca="1" si="10"/>
        <v>4.1304347826434684E-4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input_491103!A$2</f>
        <v>491103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IFERROR(VLOOKUP(B177,input_491103!L:R,7,FALSE),VLOOKUP(tables_491103!C177,input_491103!A:H,8,FALSE))</f>
        <v>284</v>
      </c>
      <c r="P177" s="46">
        <f t="shared" ca="1" si="10"/>
        <v>2.1739130434965624E-5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input_491103!A$2</f>
        <v>491103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IFERROR(VLOOKUP(B178,input_491103!L:R,7,FALSE),VLOOKUP(tables_491103!C178,input_491103!A:H,8,FALSE))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input_491103!A$2</f>
        <v>491103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IFERROR(VLOOKUP(B179,input_491103!L:R,7,FALSE),VLOOKUP(tables_491103!C179,input_491103!A:H,8,FALSE))</f>
        <v>59514.752820000002</v>
      </c>
      <c r="P179" s="46">
        <f t="shared" ca="1" si="10"/>
        <v>4.5556301914039376E-3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input_491103!A$2</f>
        <v>491103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IFERROR(VLOOKUP(B180,input_491103!L:R,7,FALSE),VLOOKUP(tables_491103!C180,input_491103!A:H,8,FALSE))</f>
        <v>135.21641</v>
      </c>
      <c r="P180" s="46">
        <f t="shared" ca="1" si="10"/>
        <v>1.0350306950485177E-5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input_491103!A$2</f>
        <v>491103</v>
      </c>
      <c r="B181" s="6">
        <v>439</v>
      </c>
      <c r="C181" s="7" t="str">
        <f t="shared" si="8"/>
        <v>Premium3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IFERROR(VLOOKUP(B181,input_491103!L:R,7,FALSE),VLOOKUP(tables_491103!C181,input_491103!A:H,8,FALSE))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input_491103!A$2</f>
        <v>491103</v>
      </c>
      <c r="B182" s="6">
        <v>440</v>
      </c>
      <c r="C182" s="7" t="str">
        <f t="shared" si="8"/>
        <v>Premium4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IFERROR(VLOOKUP(B182,input_491103!L:R,7,FALSE),VLOOKUP(tables_491103!C182,input_491103!A:H,8,FALSE))</f>
        <v>59514.752820000002</v>
      </c>
      <c r="P182" s="46">
        <f t="shared" ca="1" si="10"/>
        <v>4.5556301914039376E-3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input_491103!A$2</f>
        <v>491103</v>
      </c>
      <c r="B183" s="6">
        <v>441</v>
      </c>
      <c r="C183" s="7" t="str">
        <f t="shared" si="8"/>
        <v>Premium5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IFERROR(VLOOKUP(B183,input_491103!L:R,7,FALSE),VLOOKUP(tables_491103!C183,input_491103!A:H,8,FALSE))</f>
        <v>135.21641</v>
      </c>
      <c r="P183" s="46">
        <f t="shared" ca="1" si="10"/>
        <v>1.0350306950485177E-5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input_491103!A$2</f>
        <v>491103</v>
      </c>
      <c r="B184" s="6">
        <v>442</v>
      </c>
      <c r="C184" s="7" t="str">
        <f t="shared" si="8"/>
        <v>PremiumSS4color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IFERROR(VLOOKUP(B184,input_491103!L:R,7,FALSE),VLOOKUP(tables_491103!C184,input_491103!A:H,8,FALSE))</f>
        <v>21901.411759999999</v>
      </c>
      <c r="P184" s="46">
        <f t="shared" ca="1" si="10"/>
        <v>1.6764705878891902E-3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input_491103!A$2</f>
        <v>491103</v>
      </c>
      <c r="B185" s="8">
        <v>443</v>
      </c>
      <c r="C185" s="7" t="str">
        <f t="shared" si="8"/>
        <v>PremiumSS5color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IFERROR(VLOOKUP(B185,input_491103!L:R,7,FALSE),VLOOKUP(tables_491103!C185,input_491103!A:H,8,FALSE))</f>
        <v>1152.70588</v>
      </c>
      <c r="P185" s="46">
        <f t="shared" ca="1" si="10"/>
        <v>8.8235293938281102E-5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input_491103!A$2</f>
        <v>491103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IFERROR(VLOOKUP(B186,input_491103!L:R,7,FALSE),VLOOKUP(tables_491103!C186,input_491103!A:H,8,FALSE))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input_491103!A$2</f>
        <v>491103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IFERROR(VLOOKUP(B187,input_491103!L:R,7,FALSE),VLOOKUP(tables_491103!C187,input_491103!A:H,8,FALSE))</f>
        <v>59514.752820000002</v>
      </c>
      <c r="P187" s="46">
        <f t="shared" ca="1" si="10"/>
        <v>4.5556301914039376E-3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input_491103!A$2</f>
        <v>491103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IFERROR(VLOOKUP(B188,input_491103!L:R,7,FALSE),VLOOKUP(tables_491103!C188,input_491103!A:H,8,FALSE))</f>
        <v>135.21641</v>
      </c>
      <c r="P188" s="46">
        <f t="shared" ca="1" si="10"/>
        <v>1.0350306950485177E-5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input_491103!A$2</f>
        <v>491103</v>
      </c>
      <c r="B189" s="6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IFERROR(VLOOKUP(B189,input_491103!L:R,7,FALSE),VLOOKUP(tables_491103!C189,input_491103!A:H,8,FALSE))</f>
        <v>5396</v>
      </c>
      <c r="P189" s="46">
        <f t="shared" ca="1" si="10"/>
        <v>4.1304347826434684E-4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input_491103!A$2</f>
        <v>491103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IFERROR(VLOOKUP(B190,input_491103!L:R,7,FALSE),VLOOKUP(tables_491103!C190,input_491103!A:H,8,FALSE))</f>
        <v>284</v>
      </c>
      <c r="P190" s="46">
        <f t="shared" ca="1" si="10"/>
        <v>2.1739130434965624E-5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input_491103!A$2</f>
        <v>491103</v>
      </c>
      <c r="B191" s="6">
        <v>467</v>
      </c>
      <c r="C191" s="7" t="str">
        <f t="shared" si="8"/>
        <v>PremiumSS4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IFERROR(VLOOKUP(B191,input_491103!L:R,7,FALSE),VLOOKUP(tables_491103!C191,input_491103!A:H,8,FALSE))</f>
        <v>5396</v>
      </c>
      <c r="P191" s="46">
        <f t="shared" ca="1" si="10"/>
        <v>4.1304347826434684E-4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input_491103!A$2</f>
        <v>491103</v>
      </c>
      <c r="B192" s="6">
        <v>468</v>
      </c>
      <c r="C192" s="7" t="str">
        <f t="shared" si="8"/>
        <v>PremiumSS5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IFERROR(VLOOKUP(B192,input_491103!L:R,7,FALSE),VLOOKUP(tables_491103!C192,input_491103!A:H,8,FALSE))</f>
        <v>284</v>
      </c>
      <c r="P192" s="46">
        <f t="shared" ca="1" si="10"/>
        <v>2.1739130434965624E-5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input_491103!A$2</f>
        <v>491103</v>
      </c>
      <c r="B193" s="6">
        <v>469</v>
      </c>
      <c r="C193" s="7" t="str">
        <f t="shared" si="8"/>
        <v>Premium3color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IFERROR(VLOOKUP(B193,input_491103!L:R,7,FALSE),VLOOKUP(tables_491103!C193,input_491103!A:H,8,FALSE))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input_491103!A$2</f>
        <v>491103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IF(K194="yellow","color","")</f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IFERROR(VLOOKUP(B194,input_491103!L:R,7,FALSE),VLOOKUP(tables_491103!C194,input_491103!A:H,8,FALSE))</f>
        <v>333734.10359999997</v>
      </c>
      <c r="P194" s="46">
        <f t="shared" ref="P194:P257" ca="1" si="14">O194/SUM(O:O)</f>
        <v>2.5546088763227923E-2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input_491103!A$2</f>
        <v>491103</v>
      </c>
      <c r="B195" s="6">
        <v>471</v>
      </c>
      <c r="C195" s="7" t="str">
        <f t="shared" si="12"/>
        <v>Premium5color</v>
      </c>
      <c r="D195" s="7" t="str">
        <f t="shared" ref="D195:D258" si="15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IFERROR(VLOOKUP(B195,input_491103!L:R,7,FALSE),VLOOKUP(tables_491103!C195,input_491103!A:H,8,FALSE))</f>
        <v>3673.3873100000001</v>
      </c>
      <c r="P195" s="46">
        <f t="shared" ca="1" si="14"/>
        <v>2.8118396433182219E-4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input_491103!A$2</f>
        <v>491103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IFERROR(VLOOKUP(B196,input_491103!L:R,7,FALSE),VLOOKUP(tables_491103!C196,input_491103!A:H,8,FALSE))</f>
        <v>5396</v>
      </c>
      <c r="P196" s="46">
        <f t="shared" ca="1" si="14"/>
        <v>4.1304347826434684E-4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input_491103!A$2</f>
        <v>491103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IFERROR(VLOOKUP(B197,input_491103!L:R,7,FALSE),VLOOKUP(tables_491103!C197,input_491103!A:H,8,FALSE))</f>
        <v>284</v>
      </c>
      <c r="P197" s="46">
        <f t="shared" ca="1" si="14"/>
        <v>2.1739130434965624E-5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input_491103!A$2</f>
        <v>491103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IFERROR(VLOOKUP(B198,input_491103!L:R,7,FALSE),VLOOKUP(tables_491103!C198,input_491103!A:H,8,FALSE))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input_491103!A$2</f>
        <v>491103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IFERROR(VLOOKUP(B199,input_491103!L:R,7,FALSE),VLOOKUP(tables_491103!C199,input_491103!A:H,8,FALSE))</f>
        <v>59514.752820000002</v>
      </c>
      <c r="P199" s="46">
        <f t="shared" ca="1" si="14"/>
        <v>4.5556301914039376E-3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input_491103!A$2</f>
        <v>491103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IFERROR(VLOOKUP(B200,input_491103!L:R,7,FALSE),VLOOKUP(tables_491103!C200,input_491103!A:H,8,FALSE))</f>
        <v>135.21641</v>
      </c>
      <c r="P200" s="46">
        <f t="shared" ca="1" si="14"/>
        <v>1.0350306950485177E-5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input_491103!A$2</f>
        <v>491103</v>
      </c>
      <c r="B201" s="6">
        <v>479</v>
      </c>
      <c r="C201" s="7" t="str">
        <f t="shared" si="12"/>
        <v>PremiumSS4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IFERROR(VLOOKUP(B201,input_491103!L:R,7,FALSE),VLOOKUP(tables_491103!C201,input_491103!A:H,8,FALSE))</f>
        <v>5396</v>
      </c>
      <c r="P201" s="46">
        <f t="shared" ca="1" si="14"/>
        <v>4.1304347826434684E-4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input_491103!A$2</f>
        <v>491103</v>
      </c>
      <c r="B202" s="6">
        <v>480</v>
      </c>
      <c r="C202" s="7" t="str">
        <f t="shared" si="12"/>
        <v>PremiumSS5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IFERROR(VLOOKUP(B202,input_491103!L:R,7,FALSE),VLOOKUP(tables_491103!C202,input_491103!A:H,8,FALSE))</f>
        <v>284</v>
      </c>
      <c r="P202" s="46">
        <f t="shared" ca="1" si="14"/>
        <v>2.1739130434965624E-5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input_491103!A$2</f>
        <v>491103</v>
      </c>
      <c r="B203" s="6">
        <v>481</v>
      </c>
      <c r="C203" s="7" t="str">
        <f t="shared" si="12"/>
        <v>Premium3color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IFERROR(VLOOKUP(B203,input_491103!L:R,7,FALSE),VLOOKUP(tables_491103!C203,input_491103!A:H,8,FALSE))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input_491103!A$2</f>
        <v>491103</v>
      </c>
      <c r="B204" s="6">
        <v>482</v>
      </c>
      <c r="C204" s="7" t="str">
        <f t="shared" si="12"/>
        <v>Premium4color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IFERROR(VLOOKUP(B204,input_491103!L:R,7,FALSE),VLOOKUP(tables_491103!C204,input_491103!A:H,8,FALSE))</f>
        <v>333734.10359999997</v>
      </c>
      <c r="P204" s="46">
        <f t="shared" ca="1" si="14"/>
        <v>2.5546088763227923E-2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input_491103!A$2</f>
        <v>491103</v>
      </c>
      <c r="B205" s="6">
        <v>483</v>
      </c>
      <c r="C205" s="7" t="str">
        <f t="shared" si="12"/>
        <v>Premium5color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IFERROR(VLOOKUP(B205,input_491103!L:R,7,FALSE),VLOOKUP(tables_491103!C205,input_491103!A:H,8,FALSE))</f>
        <v>3673.3873100000001</v>
      </c>
      <c r="P205" s="46">
        <f t="shared" ca="1" si="14"/>
        <v>2.8118396433182219E-4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input_491103!A$2</f>
        <v>491103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IFERROR(VLOOKUP(B206,input_491103!L:R,7,FALSE),VLOOKUP(tables_491103!C206,input_491103!A:H,8,FALSE))</f>
        <v>5396</v>
      </c>
      <c r="P206" s="46">
        <f t="shared" ca="1" si="14"/>
        <v>4.1304347826434684E-4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input_491103!A$2</f>
        <v>491103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IFERROR(VLOOKUP(B207,input_491103!L:R,7,FALSE),VLOOKUP(tables_491103!C207,input_491103!A:H,8,FALSE))</f>
        <v>284</v>
      </c>
      <c r="P207" s="46">
        <f t="shared" ca="1" si="14"/>
        <v>2.1739130434965624E-5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input_491103!A$2</f>
        <v>491103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IFERROR(VLOOKUP(B208,input_491103!L:R,7,FALSE),VLOOKUP(tables_491103!C208,input_491103!A:H,8,FALSE))</f>
        <v>5396</v>
      </c>
      <c r="P208" s="46">
        <f t="shared" ca="1" si="14"/>
        <v>4.1304347826434684E-4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input_491103!A$2</f>
        <v>491103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IFERROR(VLOOKUP(B209,input_491103!L:R,7,FALSE),VLOOKUP(tables_491103!C209,input_491103!A:H,8,FALSE))</f>
        <v>284</v>
      </c>
      <c r="P209" s="46">
        <f t="shared" ca="1" si="14"/>
        <v>2.1739130434965624E-5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input_491103!A$2</f>
        <v>491103</v>
      </c>
      <c r="B210" s="6">
        <v>496</v>
      </c>
      <c r="C210" s="7" t="str">
        <f t="shared" si="12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IFERROR(VLOOKUP(B210,input_491103!L:R,7,FALSE),VLOOKUP(tables_491103!C210,input_491103!A:H,8,FALSE))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input_491103!A$2</f>
        <v>491103</v>
      </c>
      <c r="B211" s="6">
        <v>497</v>
      </c>
      <c r="C211" s="7" t="str">
        <f t="shared" si="12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IFERROR(VLOOKUP(B211,input_491103!L:R,7,FALSE),VLOOKUP(tables_491103!C211,input_491103!A:H,8,FALSE))</f>
        <v>59514.752820000002</v>
      </c>
      <c r="P211" s="46">
        <f t="shared" ca="1" si="14"/>
        <v>4.5556301914039376E-3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input_491103!A$2</f>
        <v>491103</v>
      </c>
      <c r="B212" s="6">
        <v>498</v>
      </c>
      <c r="C212" s="7" t="str">
        <f t="shared" si="12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IFERROR(VLOOKUP(B212,input_491103!L:R,7,FALSE),VLOOKUP(tables_491103!C212,input_491103!A:H,8,FALSE))</f>
        <v>135.21641</v>
      </c>
      <c r="P212" s="46">
        <f t="shared" ca="1" si="14"/>
        <v>1.0350306950485177E-5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input_491103!A$2</f>
        <v>491103</v>
      </c>
      <c r="B213" s="6">
        <v>499</v>
      </c>
      <c r="C213" s="7" t="str">
        <f t="shared" si="12"/>
        <v>PremiumSS4color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IFERROR(VLOOKUP(B213,input_491103!L:R,7,FALSE),VLOOKUP(tables_491103!C213,input_491103!A:H,8,FALSE))</f>
        <v>21901.411759999999</v>
      </c>
      <c r="P213" s="46">
        <f t="shared" ca="1" si="14"/>
        <v>1.6764705878891902E-3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input_491103!A$2</f>
        <v>491103</v>
      </c>
      <c r="B214" s="6">
        <v>500</v>
      </c>
      <c r="C214" s="7" t="str">
        <f t="shared" si="12"/>
        <v>PremiumSS5color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IFERROR(VLOOKUP(B214,input_491103!L:R,7,FALSE),VLOOKUP(tables_491103!C214,input_491103!A:H,8,FALSE))</f>
        <v>1152.70588</v>
      </c>
      <c r="P214" s="46">
        <f t="shared" ca="1" si="14"/>
        <v>8.8235293938281102E-5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input_491103!A$2</f>
        <v>491103</v>
      </c>
      <c r="B215" s="6">
        <v>560</v>
      </c>
      <c r="C215" s="7" t="str">
        <f t="shared" si="12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IFERROR(VLOOKUP(B215,input_491103!L:R,7,FALSE),VLOOKUP(tables_491103!C215,input_491103!A:H,8,FALSE))</f>
        <v>3484.96</v>
      </c>
      <c r="P215" s="46">
        <f t="shared" ca="1" si="14"/>
        <v>2.6676056338252748E-4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input_491103!A$2</f>
        <v>491103</v>
      </c>
      <c r="B216" s="6">
        <v>561</v>
      </c>
      <c r="C216" s="7" t="str">
        <f t="shared" si="12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IFERROR(VLOOKUP(B216,input_491103!L:R,7,FALSE),VLOOKUP(tables_491103!C216,input_491103!A:H,8,FALSE))</f>
        <v>3484.96</v>
      </c>
      <c r="P216" s="46">
        <f t="shared" ca="1" si="14"/>
        <v>2.6676056338252748E-4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input_491103!A$2</f>
        <v>491103</v>
      </c>
      <c r="B217" s="6">
        <v>562</v>
      </c>
      <c r="C217" s="7" t="str">
        <f t="shared" si="12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IFERROR(VLOOKUP(B217,input_491103!L:R,7,FALSE),VLOOKUP(tables_491103!C217,input_491103!A:H,8,FALSE))</f>
        <v>3484.96</v>
      </c>
      <c r="P217" s="46">
        <f t="shared" ca="1" si="14"/>
        <v>2.6676056338252748E-4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input_491103!A$2</f>
        <v>491103</v>
      </c>
      <c r="B218" s="6">
        <v>563</v>
      </c>
      <c r="C218" s="7" t="str">
        <f t="shared" si="12"/>
        <v>premium5R3lesscolor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3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IFERROR(VLOOKUP(B218,input_491103!L:R,7,FALSE),VLOOKUP(tables_491103!C218,input_491103!A:H,8,FALSE))</f>
        <v>16870.37455</v>
      </c>
      <c r="P218" s="46">
        <f t="shared" ca="1" si="14"/>
        <v>1.2913636367224454E-3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input_491103!A$2</f>
        <v>491103</v>
      </c>
      <c r="B219" s="6">
        <v>566</v>
      </c>
      <c r="C219" s="7" t="str">
        <f t="shared" si="12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IFERROR(VLOOKUP(B219,input_491103!L:R,7,FALSE),VLOOKUP(tables_491103!C219,input_491103!A:H,8,FALSE))</f>
        <v>3484.96</v>
      </c>
      <c r="P219" s="46">
        <f t="shared" ca="1" si="14"/>
        <v>2.6676056338252748E-4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input_491103!A$2</f>
        <v>491103</v>
      </c>
      <c r="B220" s="6">
        <v>567</v>
      </c>
      <c r="C220" s="7" t="str">
        <f t="shared" si="12"/>
        <v>premium5R3lesscolor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IFERROR(VLOOKUP(B220,input_491103!L:R,7,FALSE),VLOOKUP(tables_491103!C220,input_491103!A:H,8,FALSE))</f>
        <v>16870.37455</v>
      </c>
      <c r="P220" s="46">
        <f t="shared" ca="1" si="14"/>
        <v>1.2913636367224454E-3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input_491103!A$2</f>
        <v>491103</v>
      </c>
      <c r="B221" s="6">
        <v>586</v>
      </c>
      <c r="C221" s="7" t="str">
        <f t="shared" si="12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IFERROR(VLOOKUP(B221,input_491103!L:R,7,FALSE),VLOOKUP(tables_491103!C221,input_491103!A:H,8,FALSE))</f>
        <v>5396</v>
      </c>
      <c r="P221" s="46">
        <f t="shared" ca="1" si="14"/>
        <v>4.1304347826434684E-4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input_491103!A$2</f>
        <v>491103</v>
      </c>
      <c r="B222" s="6">
        <v>587</v>
      </c>
      <c r="C222" s="7" t="str">
        <f t="shared" si="12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IFERROR(VLOOKUP(B222,input_491103!L:R,7,FALSE),VLOOKUP(tables_491103!C222,input_491103!A:H,8,FALSE))</f>
        <v>284</v>
      </c>
      <c r="P222" s="46">
        <f t="shared" ca="1" si="14"/>
        <v>2.1739130434965624E-5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input_491103!A$2</f>
        <v>491103</v>
      </c>
      <c r="B223" s="6">
        <v>588</v>
      </c>
      <c r="C223" s="7" t="str">
        <f t="shared" si="12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IFERROR(VLOOKUP(B223,input_491103!L:R,7,FALSE),VLOOKUP(tables_491103!C223,input_491103!A:H,8,FALSE))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input_491103!A$2</f>
        <v>491103</v>
      </c>
      <c r="B224" s="6">
        <v>589</v>
      </c>
      <c r="C224" s="7" t="str">
        <f t="shared" si="12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IFERROR(VLOOKUP(B224,input_491103!L:R,7,FALSE),VLOOKUP(tables_491103!C224,input_491103!A:H,8,FALSE))</f>
        <v>59514.752820000002</v>
      </c>
      <c r="P224" s="46">
        <f t="shared" ca="1" si="14"/>
        <v>4.5556301914039376E-3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input_491103!A$2</f>
        <v>491103</v>
      </c>
      <c r="B225" s="6">
        <v>590</v>
      </c>
      <c r="C225" s="7" t="str">
        <f t="shared" si="12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IFERROR(VLOOKUP(B225,input_491103!L:R,7,FALSE),VLOOKUP(tables_491103!C225,input_491103!A:H,8,FALSE))</f>
        <v>135.21641</v>
      </c>
      <c r="P225" s="46">
        <f t="shared" ca="1" si="14"/>
        <v>1.0350306950485177E-5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input_491103!A$2</f>
        <v>491103</v>
      </c>
      <c r="B226" s="6">
        <v>591</v>
      </c>
      <c r="C226" s="7" t="str">
        <f t="shared" si="12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IFERROR(VLOOKUP(B226,input_491103!L:R,7,FALSE),VLOOKUP(tables_491103!C226,input_491103!A:H,8,FALSE))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input_491103!A$2</f>
        <v>491103</v>
      </c>
      <c r="B227" s="6">
        <v>592</v>
      </c>
      <c r="C227" s="7" t="str">
        <f t="shared" si="12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IFERROR(VLOOKUP(B227,input_491103!L:R,7,FALSE),VLOOKUP(tables_491103!C227,input_491103!A:H,8,FALSE))</f>
        <v>59514.752820000002</v>
      </c>
      <c r="P227" s="46">
        <f t="shared" ca="1" si="14"/>
        <v>4.5556301914039376E-3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input_491103!A$2</f>
        <v>491103</v>
      </c>
      <c r="B228" s="6">
        <v>593</v>
      </c>
      <c r="C228" s="7" t="str">
        <f t="shared" si="12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IFERROR(VLOOKUP(B228,input_491103!L:R,7,FALSE),VLOOKUP(tables_491103!C228,input_491103!A:H,8,FALSE))</f>
        <v>135.21641</v>
      </c>
      <c r="P228" s="46">
        <f t="shared" ca="1" si="14"/>
        <v>1.0350306950485177E-5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input_491103!A$2</f>
        <v>491103</v>
      </c>
      <c r="B229" s="6">
        <v>594</v>
      </c>
      <c r="C229" s="7" t="str">
        <f t="shared" si="12"/>
        <v>PremiumSS4color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IFERROR(VLOOKUP(B229,input_491103!L:R,7,FALSE),VLOOKUP(tables_491103!C229,input_491103!A:H,8,FALSE))</f>
        <v>21901.411759999999</v>
      </c>
      <c r="P229" s="46">
        <f t="shared" ca="1" si="14"/>
        <v>1.6764705878891902E-3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input_491103!A$2</f>
        <v>491103</v>
      </c>
      <c r="B230" s="6">
        <v>595</v>
      </c>
      <c r="C230" s="7" t="str">
        <f t="shared" si="12"/>
        <v>PremiumSS5color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IFERROR(VLOOKUP(B230,input_491103!L:R,7,FALSE),VLOOKUP(tables_491103!C230,input_491103!A:H,8,FALSE))</f>
        <v>1152.70588</v>
      </c>
      <c r="P230" s="46">
        <f t="shared" ca="1" si="14"/>
        <v>8.8235293938281102E-5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input_491103!A$2</f>
        <v>491103</v>
      </c>
      <c r="B231" s="6">
        <v>596</v>
      </c>
      <c r="C231" s="7" t="str">
        <f t="shared" si="12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IFERROR(VLOOKUP(B231,input_491103!L:R,7,FALSE),VLOOKUP(tables_491103!C231,input_491103!A:H,8,FALSE))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input_491103!A$2</f>
        <v>491103</v>
      </c>
      <c r="B232" s="6">
        <v>597</v>
      </c>
      <c r="C232" s="7" t="str">
        <f t="shared" si="12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IFERROR(VLOOKUP(B232,input_491103!L:R,7,FALSE),VLOOKUP(tables_491103!C232,input_491103!A:H,8,FALSE))</f>
        <v>59514.752820000002</v>
      </c>
      <c r="P232" s="46">
        <f t="shared" ca="1" si="14"/>
        <v>4.5556301914039376E-3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input_491103!A$2</f>
        <v>491103</v>
      </c>
      <c r="B233" s="6">
        <v>598</v>
      </c>
      <c r="C233" s="7" t="str">
        <f t="shared" si="12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IFERROR(VLOOKUP(B233,input_491103!L:R,7,FALSE),VLOOKUP(tables_491103!C233,input_491103!A:H,8,FALSE))</f>
        <v>135.21641</v>
      </c>
      <c r="P233" s="46">
        <f t="shared" ca="1" si="14"/>
        <v>1.0350306950485177E-5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input_491103!A$2</f>
        <v>491103</v>
      </c>
      <c r="B234" s="6">
        <v>599</v>
      </c>
      <c r="C234" s="7" t="str">
        <f t="shared" si="12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IFERROR(VLOOKUP(B234,input_491103!L:R,7,FALSE),VLOOKUP(tables_491103!C234,input_491103!A:H,8,FALSE))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input_491103!A$2</f>
        <v>491103</v>
      </c>
      <c r="B235" s="6">
        <v>600</v>
      </c>
      <c r="C235" s="7" t="str">
        <f t="shared" si="12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IFERROR(VLOOKUP(B235,input_491103!L:R,7,FALSE),VLOOKUP(tables_491103!C235,input_491103!A:H,8,FALSE))</f>
        <v>59514.752820000002</v>
      </c>
      <c r="P235" s="46">
        <f t="shared" ca="1" si="14"/>
        <v>4.5556301914039376E-3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input_491103!A$2</f>
        <v>491103</v>
      </c>
      <c r="B236" s="6">
        <v>601</v>
      </c>
      <c r="C236" s="7" t="str">
        <f t="shared" si="12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IFERROR(VLOOKUP(B236,input_491103!L:R,7,FALSE),VLOOKUP(tables_491103!C236,input_491103!A:H,8,FALSE))</f>
        <v>135.21641</v>
      </c>
      <c r="P236" s="46">
        <f t="shared" ca="1" si="14"/>
        <v>1.0350306950485177E-5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input_491103!A$2</f>
        <v>491103</v>
      </c>
      <c r="B237" s="6">
        <v>602</v>
      </c>
      <c r="C237" s="7" t="str">
        <f t="shared" si="12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IFERROR(VLOOKUP(B237,input_491103!L:R,7,FALSE),VLOOKUP(tables_491103!C237,input_491103!A:H,8,FALSE))</f>
        <v>5396</v>
      </c>
      <c r="P237" s="46">
        <f t="shared" ca="1" si="14"/>
        <v>4.1304347826434684E-4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input_491103!A$2</f>
        <v>491103</v>
      </c>
      <c r="B238" s="6">
        <v>603</v>
      </c>
      <c r="C238" s="7" t="str">
        <f t="shared" si="12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IFERROR(VLOOKUP(B238,input_491103!L:R,7,FALSE),VLOOKUP(tables_491103!C238,input_491103!A:H,8,FALSE))</f>
        <v>284</v>
      </c>
      <c r="P238" s="46">
        <f t="shared" ca="1" si="14"/>
        <v>2.1739130434965624E-5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input_491103!A$2</f>
        <v>491103</v>
      </c>
      <c r="B239" s="6">
        <v>604</v>
      </c>
      <c r="C239" s="7" t="str">
        <f t="shared" si="12"/>
        <v>Premium3color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IFERROR(VLOOKUP(B239,input_491103!L:R,7,FALSE),VLOOKUP(tables_491103!C239,input_491103!A:H,8,FALSE))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input_491103!A$2</f>
        <v>491103</v>
      </c>
      <c r="B240" s="6">
        <v>605</v>
      </c>
      <c r="C240" s="7" t="str">
        <f t="shared" si="12"/>
        <v>Premium4color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IFERROR(VLOOKUP(B240,input_491103!L:R,7,FALSE),VLOOKUP(tables_491103!C240,input_491103!A:H,8,FALSE))</f>
        <v>333734.10359999997</v>
      </c>
      <c r="P240" s="46">
        <f t="shared" ca="1" si="14"/>
        <v>2.5546088763227923E-2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input_491103!A$2</f>
        <v>491103</v>
      </c>
      <c r="B241" s="6">
        <v>606</v>
      </c>
      <c r="C241" s="7" t="str">
        <f t="shared" si="12"/>
        <v>Premium5color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IFERROR(VLOOKUP(B241,input_491103!L:R,7,FALSE),VLOOKUP(tables_491103!C241,input_491103!A:H,8,FALSE))</f>
        <v>3673.3873100000001</v>
      </c>
      <c r="P241" s="46">
        <f t="shared" ca="1" si="14"/>
        <v>2.8118396433182219E-4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input_491103!A$2</f>
        <v>491103</v>
      </c>
      <c r="B242" s="6">
        <v>658</v>
      </c>
      <c r="C242" s="7" t="str">
        <f t="shared" si="12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IFERROR(VLOOKUP(B242,input_491103!L:R,7,FALSE),VLOOKUP(tables_491103!C242,input_491103!A:H,8,FALSE))</f>
        <v>5396</v>
      </c>
      <c r="P242" s="46">
        <f t="shared" ca="1" si="14"/>
        <v>4.1304347826434684E-4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input_491103!A$2</f>
        <v>491103</v>
      </c>
      <c r="B243" s="6">
        <v>659</v>
      </c>
      <c r="C243" s="7" t="str">
        <f t="shared" si="12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IFERROR(VLOOKUP(B243,input_491103!L:R,7,FALSE),VLOOKUP(tables_491103!C243,input_491103!A:H,8,FALSE))</f>
        <v>284</v>
      </c>
      <c r="P243" s="46">
        <f t="shared" ca="1" si="14"/>
        <v>2.1739130434965624E-5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input_491103!A$2</f>
        <v>491103</v>
      </c>
      <c r="B244" s="6">
        <v>660</v>
      </c>
      <c r="C244" s="7" t="str">
        <f t="shared" si="12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IFERROR(VLOOKUP(B244,input_491103!L:R,7,FALSE),VLOOKUP(tables_491103!C244,input_491103!A:H,8,FALSE))</f>
        <v>5396</v>
      </c>
      <c r="P244" s="46">
        <f t="shared" ca="1" si="14"/>
        <v>4.1304347826434684E-4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input_491103!A$2</f>
        <v>491103</v>
      </c>
      <c r="B245" s="60">
        <v>661</v>
      </c>
      <c r="C245" s="7" t="str">
        <f t="shared" si="12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IFERROR(VLOOKUP(B245,input_491103!L:R,7,FALSE),VLOOKUP(tables_491103!C245,input_491103!A:H,8,FALSE))</f>
        <v>284</v>
      </c>
      <c r="P245" s="46">
        <f t="shared" ca="1" si="14"/>
        <v>2.1739130434965624E-5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input_491103!A$2</f>
        <v>491103</v>
      </c>
      <c r="B246" s="60">
        <v>662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IFERROR(VLOOKUP(B246,input_491103!L:R,7,FALSE),VLOOKUP(tables_491103!C246,input_491103!A:H,8,FALSE))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input_491103!A$2</f>
        <v>491103</v>
      </c>
      <c r="B247" s="60">
        <v>663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IFERROR(VLOOKUP(B247,input_491103!L:R,7,FALSE),VLOOKUP(tables_491103!C247,input_491103!A:H,8,FALSE))</f>
        <v>59514.752820000002</v>
      </c>
      <c r="P247" s="46">
        <f t="shared" ca="1" si="14"/>
        <v>4.5556301914039376E-3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input_491103!A$2</f>
        <v>491103</v>
      </c>
      <c r="B248" s="60">
        <v>664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IFERROR(VLOOKUP(B248,input_491103!L:R,7,FALSE),VLOOKUP(tables_491103!C248,input_491103!A:H,8,FALSE))</f>
        <v>135.21641</v>
      </c>
      <c r="P248" s="46">
        <f t="shared" ca="1" si="14"/>
        <v>1.0350306950485177E-5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input_491103!A$2</f>
        <v>491103</v>
      </c>
      <c r="B249" s="60">
        <v>665</v>
      </c>
      <c r="C249" s="7" t="str">
        <f t="shared" si="12"/>
        <v>Premium3color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IFERROR(VLOOKUP(B249,input_491103!L:R,7,FALSE),VLOOKUP(tables_491103!C249,input_491103!A:H,8,FALSE))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input_491103!A$2</f>
        <v>491103</v>
      </c>
      <c r="B250" s="60">
        <v>666</v>
      </c>
      <c r="C250" s="7" t="str">
        <f t="shared" si="12"/>
        <v>Premium4color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IFERROR(VLOOKUP(B250,input_491103!L:R,7,FALSE),VLOOKUP(tables_491103!C250,input_491103!A:H,8,FALSE))</f>
        <v>333734.10359999997</v>
      </c>
      <c r="P250" s="46">
        <f t="shared" ca="1" si="14"/>
        <v>2.5546088763227923E-2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input_491103!A$2</f>
        <v>491103</v>
      </c>
      <c r="B251" s="60">
        <v>667</v>
      </c>
      <c r="C251" s="7" t="str">
        <f t="shared" si="12"/>
        <v>Premium5color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IFERROR(VLOOKUP(B251,input_491103!L:R,7,FALSE),VLOOKUP(tables_491103!C251,input_491103!A:H,8,FALSE))</f>
        <v>3673.3873100000001</v>
      </c>
      <c r="P251" s="46">
        <f t="shared" ca="1" si="14"/>
        <v>2.8118396433182219E-4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input_491103!A$2</f>
        <v>491103</v>
      </c>
      <c r="B252" s="60">
        <v>668</v>
      </c>
      <c r="C252" s="7" t="str">
        <f t="shared" si="12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IFERROR(VLOOKUP(B252,input_491103!L:R,7,FALSE),VLOOKUP(tables_491103!C252,input_491103!A:H,8,FALSE))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input_491103!A$2</f>
        <v>491103</v>
      </c>
      <c r="B253" s="60">
        <v>669</v>
      </c>
      <c r="C253" s="7" t="str">
        <f t="shared" si="12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IFERROR(VLOOKUP(B253,input_491103!L:R,7,FALSE),VLOOKUP(tables_491103!C253,input_491103!A:H,8,FALSE))</f>
        <v>59514.752820000002</v>
      </c>
      <c r="P253" s="46">
        <f t="shared" ca="1" si="14"/>
        <v>4.5556301914039376E-3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input_491103!A$2</f>
        <v>491103</v>
      </c>
      <c r="B254" s="60">
        <v>670</v>
      </c>
      <c r="C254" s="7" t="str">
        <f t="shared" si="12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IFERROR(VLOOKUP(B254,input_491103!L:R,7,FALSE),VLOOKUP(tables_491103!C254,input_491103!A:H,8,FALSE))</f>
        <v>135.21641</v>
      </c>
      <c r="P254" s="46">
        <f t="shared" ca="1" si="14"/>
        <v>1.0350306950485177E-5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input_491103!A$2</f>
        <v>491103</v>
      </c>
      <c r="B255" s="60">
        <v>671</v>
      </c>
      <c r="C255" s="7" t="str">
        <f t="shared" si="12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IFERROR(VLOOKUP(B255,input_491103!L:R,7,FALSE),VLOOKUP(tables_491103!C255,input_491103!A:H,8,FALSE))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input_491103!A$2</f>
        <v>491103</v>
      </c>
      <c r="B256" s="60">
        <v>672</v>
      </c>
      <c r="C256" s="7" t="str">
        <f t="shared" si="12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IFERROR(VLOOKUP(B256,input_491103!L:R,7,FALSE),VLOOKUP(tables_491103!C256,input_491103!A:H,8,FALSE))</f>
        <v>59514.752820000002</v>
      </c>
      <c r="P256" s="46">
        <f t="shared" ca="1" si="14"/>
        <v>4.5556301914039376E-3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input_491103!A$2</f>
        <v>491103</v>
      </c>
      <c r="B257" s="60">
        <v>673</v>
      </c>
      <c r="C257" s="7" t="str">
        <f t="shared" si="12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IFERROR(VLOOKUP(B257,input_491103!L:R,7,FALSE),VLOOKUP(tables_491103!C257,input_491103!A:H,8,FALSE))</f>
        <v>135.21641</v>
      </c>
      <c r="P257" s="46">
        <f t="shared" ca="1" si="14"/>
        <v>1.0350306950485177E-5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input_491103!A$2</f>
        <v>491103</v>
      </c>
      <c r="B258" s="60">
        <v>674</v>
      </c>
      <c r="C258" s="7" t="str">
        <f t="shared" ref="C258:C321" si="16">D258&amp;J258&amp;E258&amp;F258&amp;G258</f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ref="G258:G321" si="17">IF(K258="yellow","color","")</f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IFERROR(VLOOKUP(B258,input_491103!L:R,7,FALSE),VLOOKUP(tables_491103!C258,input_491103!A:H,8,FALSE))</f>
        <v>5396</v>
      </c>
      <c r="P258" s="46">
        <f t="shared" ref="P258:P318" ca="1" si="18">O258/SUM(O:O)</f>
        <v>4.1304347826434684E-4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input_491103!A$2</f>
        <v>491103</v>
      </c>
      <c r="B259" s="60">
        <v>675</v>
      </c>
      <c r="C259" s="7" t="str">
        <f t="shared" si="16"/>
        <v>PremiumSS5</v>
      </c>
      <c r="D259" s="7" t="str">
        <f t="shared" ref="D259:D322" si="1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IFERROR(VLOOKUP(B259,input_491103!L:R,7,FALSE),VLOOKUP(tables_491103!C259,input_491103!A:H,8,FALSE))</f>
        <v>284</v>
      </c>
      <c r="P259" s="46">
        <f t="shared" ca="1" si="18"/>
        <v>2.1739130434965624E-5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input_491103!A$2</f>
        <v>491103</v>
      </c>
      <c r="B260" s="60">
        <v>676</v>
      </c>
      <c r="C260" s="7" t="str">
        <f t="shared" si="16"/>
        <v>PremiumSS4color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IFERROR(VLOOKUP(B260,input_491103!L:R,7,FALSE),VLOOKUP(tables_491103!C260,input_491103!A:H,8,FALSE))</f>
        <v>21901.411759999999</v>
      </c>
      <c r="P260" s="46">
        <f t="shared" ca="1" si="18"/>
        <v>1.6764705878891902E-3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input_491103!A$2</f>
        <v>491103</v>
      </c>
      <c r="B261" s="60">
        <v>677</v>
      </c>
      <c r="C261" s="7" t="str">
        <f t="shared" si="16"/>
        <v>PremiumSS5color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7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IFERROR(VLOOKUP(B261,input_491103!L:R,7,FALSE),VLOOKUP(tables_491103!C261,input_491103!A:H,8,FALSE))</f>
        <v>1152.70588</v>
      </c>
      <c r="P261" s="46">
        <f t="shared" ca="1" si="18"/>
        <v>8.8235293938281102E-5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input_491103!A$2</f>
        <v>491103</v>
      </c>
      <c r="B262" s="60">
        <v>728</v>
      </c>
      <c r="C262" s="7" t="str">
        <f t="shared" si="16"/>
        <v>Premium4R3less</v>
      </c>
      <c r="D262" s="7" t="str">
        <f t="shared" si="1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IFERROR(VLOOKUP(B262,input_491103!L:R,7,FALSE),VLOOKUP(tables_491103!C262,input_491103!A:H,8,FALSE))</f>
        <v>85001.165710000001</v>
      </c>
      <c r="P262" s="46">
        <f t="shared" ca="1" si="18"/>
        <v>6.5065191144148497E-3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input_491103!A$2</f>
        <v>491103</v>
      </c>
      <c r="B263" s="60">
        <v>729</v>
      </c>
      <c r="C263" s="7" t="str">
        <f t="shared" si="16"/>
        <v>Premium5R3less</v>
      </c>
      <c r="D263" s="7" t="str">
        <f t="shared" si="1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IFERROR(VLOOKUP(B263,input_491103!L:R,7,FALSE),VLOOKUP(tables_491103!C263,input_491103!A:H,8,FALSE))</f>
        <v>3484.96</v>
      </c>
      <c r="P263" s="46">
        <f t="shared" ca="1" si="18"/>
        <v>2.6676056338252748E-4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input_491103!A$2</f>
        <v>491103</v>
      </c>
      <c r="B264" s="60">
        <v>730</v>
      </c>
      <c r="C264" s="7" t="str">
        <f t="shared" si="16"/>
        <v>Premium4R3less</v>
      </c>
      <c r="D264" s="7" t="str">
        <f t="shared" si="1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IFERROR(VLOOKUP(B264,input_491103!L:R,7,FALSE),VLOOKUP(tables_491103!C264,input_491103!A:H,8,FALSE))</f>
        <v>85001.165710000001</v>
      </c>
      <c r="P264" s="46">
        <f t="shared" ca="1" si="18"/>
        <v>6.5065191144148497E-3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input_491103!A$2</f>
        <v>491103</v>
      </c>
      <c r="B265" s="60">
        <v>731</v>
      </c>
      <c r="C265" s="7" t="str">
        <f t="shared" si="16"/>
        <v>Premium5R3less</v>
      </c>
      <c r="D265" s="7" t="str">
        <f t="shared" si="1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IFERROR(VLOOKUP(B265,input_491103!L:R,7,FALSE),VLOOKUP(tables_491103!C265,input_491103!A:H,8,FALSE))</f>
        <v>3484.96</v>
      </c>
      <c r="P265" s="46">
        <f t="shared" ca="1" si="18"/>
        <v>2.6676056338252748E-4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input_491103!A$2</f>
        <v>491103</v>
      </c>
      <c r="B266" s="60">
        <v>732</v>
      </c>
      <c r="C266" s="7" t="str">
        <f t="shared" si="16"/>
        <v>PremiumSS5R5only</v>
      </c>
      <c r="D266" s="7" t="str">
        <f t="shared" si="1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7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IFERROR(VLOOKUP(B266,input_491103!L:R,7,FALSE),VLOOKUP(tables_491103!C266,input_491103!A:H,8,FALSE))</f>
        <v>5680</v>
      </c>
      <c r="P266" s="46">
        <f t="shared" ca="1" si="18"/>
        <v>4.3478260869931246E-4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input_491103!A$2</f>
        <v>491103</v>
      </c>
      <c r="B267" s="60">
        <v>734</v>
      </c>
      <c r="C267" s="7" t="str">
        <f t="shared" si="16"/>
        <v>PremiumSS5R5onlycolor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IFERROR(VLOOKUP(B267,input_491103!L:R,7,FALSE),VLOOKUP(tables_491103!C267,input_491103!A:H,8,FALSE))</f>
        <v>23054.11765</v>
      </c>
      <c r="P267" s="46">
        <f t="shared" ca="1" si="18"/>
        <v>1.7647058825929337E-3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input_491103!A$2</f>
        <v>491103</v>
      </c>
      <c r="B268" s="60">
        <v>742</v>
      </c>
      <c r="C268" s="7" t="str">
        <f t="shared" si="16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7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IFERROR(VLOOKUP(B268,input_491103!L:R,7,FALSE),VLOOKUP(tables_491103!C268,input_491103!A:H,8,FALSE))</f>
        <v>5680</v>
      </c>
      <c r="P268" s="46">
        <f t="shared" ca="1" si="18"/>
        <v>4.3478260869931246E-4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input_491103!A$2</f>
        <v>491103</v>
      </c>
      <c r="B269" s="60">
        <v>744</v>
      </c>
      <c r="C269" s="7" t="str">
        <f t="shared" si="16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IFERROR(VLOOKUP(B269,input_491103!L:R,7,FALSE),VLOOKUP(tables_491103!C269,input_491103!A:H,8,FALSE))</f>
        <v>5680</v>
      </c>
      <c r="P269" s="46">
        <f t="shared" ca="1" si="18"/>
        <v>4.3478260869931246E-4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input_491103!A$2</f>
        <v>491103</v>
      </c>
      <c r="B270" s="60">
        <v>746</v>
      </c>
      <c r="C270" s="7" t="str">
        <f t="shared" si="16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IFERROR(VLOOKUP(B270,input_491103!L:R,7,FALSE),VLOOKUP(tables_491103!C270,input_491103!A:H,8,FALSE))</f>
        <v>85001.165710000001</v>
      </c>
      <c r="P270" s="46">
        <f t="shared" ca="1" si="18"/>
        <v>6.5065191144148497E-3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input_491103!A$2</f>
        <v>491103</v>
      </c>
      <c r="B271" s="82">
        <v>747</v>
      </c>
      <c r="C271" s="7" t="str">
        <f t="shared" si="16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IFERROR(VLOOKUP(B271,input_491103!L:R,7,FALSE),VLOOKUP(tables_491103!C271,input_491103!A:H,8,FALSE))</f>
        <v>3484.96</v>
      </c>
      <c r="P271" s="46">
        <f t="shared" ca="1" si="18"/>
        <v>2.6676056338252748E-4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input_491103!A$2</f>
        <v>491103</v>
      </c>
      <c r="B272" s="82">
        <v>748</v>
      </c>
      <c r="C272" s="7" t="str">
        <f t="shared" si="16"/>
        <v>Premium4R3lesscolor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7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IFERROR(VLOOKUP(B272,input_491103!L:R,7,FALSE),VLOOKUP(tables_491103!C272,input_491103!A:H,8,FALSE))</f>
        <v>216971.26667000001</v>
      </c>
      <c r="P272" s="46">
        <f t="shared" ca="1" si="18"/>
        <v>1.6608333333728308E-2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input_491103!A$2</f>
        <v>491103</v>
      </c>
      <c r="B273" s="82">
        <v>749</v>
      </c>
      <c r="C273" s="7" t="str">
        <f t="shared" si="16"/>
        <v>Premium5R3lesscolor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7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IFERROR(VLOOKUP(B273,input_491103!L:R,7,FALSE),VLOOKUP(tables_491103!C273,input_491103!A:H,8,FALSE))</f>
        <v>16870.37455</v>
      </c>
      <c r="P273" s="46">
        <f t="shared" ca="1" si="18"/>
        <v>1.2913636367224454E-3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input_491103!A$2</f>
        <v>491103</v>
      </c>
      <c r="B274" s="82">
        <v>770</v>
      </c>
      <c r="C274" s="7" t="str">
        <f t="shared" si="16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7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IFERROR(VLOOKUP(B274,input_491103!L:R,7,FALSE),VLOOKUP(tables_491103!C274,input_491103!A:H,8,FALSE))</f>
        <v>5396</v>
      </c>
      <c r="P274" s="46">
        <f t="shared" ca="1" si="18"/>
        <v>4.1304347826434684E-4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input_491103!A$2</f>
        <v>491103</v>
      </c>
      <c r="B275" s="82">
        <v>771</v>
      </c>
      <c r="C275" s="7" t="str">
        <f t="shared" si="16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7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IFERROR(VLOOKUP(B275,input_491103!L:R,7,FALSE),VLOOKUP(tables_491103!C275,input_491103!A:H,8,FALSE))</f>
        <v>284</v>
      </c>
      <c r="P275" s="46">
        <f t="shared" ca="1" si="18"/>
        <v>2.1739130434965624E-5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input_491103!A$2</f>
        <v>491103</v>
      </c>
      <c r="B276" s="82">
        <v>772</v>
      </c>
      <c r="C276" s="7" t="str">
        <f t="shared" si="16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IFERROR(VLOOKUP(B276,input_491103!L:R,7,FALSE),VLOOKUP(tables_491103!C276,input_491103!A:H,8,FALSE))</f>
        <v>5396</v>
      </c>
      <c r="P276" s="46">
        <f t="shared" ca="1" si="18"/>
        <v>4.1304347826434684E-4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input_491103!A$2</f>
        <v>491103</v>
      </c>
      <c r="B277" s="82">
        <v>773</v>
      </c>
      <c r="C277" s="7" t="str">
        <f t="shared" si="16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IFERROR(VLOOKUP(B277,input_491103!L:R,7,FALSE),VLOOKUP(tables_491103!C277,input_491103!A:H,8,FALSE))</f>
        <v>284</v>
      </c>
      <c r="P277" s="46">
        <f t="shared" ca="1" si="18"/>
        <v>2.1739130434965624E-5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input_491103!A$2</f>
        <v>491103</v>
      </c>
      <c r="B278" s="82">
        <v>774</v>
      </c>
      <c r="C278" s="7" t="str">
        <f t="shared" si="16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IFERROR(VLOOKUP(B278,input_491103!L:R,7,FALSE),VLOOKUP(tables_491103!C278,input_491103!A:H,8,FALSE))</f>
        <v>0</v>
      </c>
      <c r="P278" s="46">
        <f t="shared" ca="1" si="18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input_491103!A$2</f>
        <v>491103</v>
      </c>
      <c r="B279" s="82">
        <v>775</v>
      </c>
      <c r="C279" s="7" t="str">
        <f t="shared" si="16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IFERROR(VLOOKUP(B279,input_491103!L:R,7,FALSE),VLOOKUP(tables_491103!C279,input_491103!A:H,8,FALSE))</f>
        <v>59514.752820000002</v>
      </c>
      <c r="P279" s="46">
        <f t="shared" ca="1" si="18"/>
        <v>4.5556301914039376E-3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input_491103!A$2</f>
        <v>491103</v>
      </c>
      <c r="B280" s="82">
        <v>776</v>
      </c>
      <c r="C280" s="7" t="str">
        <f t="shared" si="16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IFERROR(VLOOKUP(B280,input_491103!L:R,7,FALSE),VLOOKUP(tables_491103!C280,input_491103!A:H,8,FALSE))</f>
        <v>135.21641</v>
      </c>
      <c r="P280" s="46">
        <f t="shared" ca="1" si="18"/>
        <v>1.0350306950485177E-5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input_491103!A$2</f>
        <v>491103</v>
      </c>
      <c r="B281" s="82">
        <v>777</v>
      </c>
      <c r="C281" s="7" t="str">
        <f t="shared" si="16"/>
        <v>Premium3color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7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IFERROR(VLOOKUP(B281,input_491103!L:R,7,FALSE),VLOOKUP(tables_491103!C281,input_491103!A:H,8,FALSE))</f>
        <v>0</v>
      </c>
      <c r="P281" s="46">
        <f t="shared" ca="1" si="18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input_491103!A$2</f>
        <v>491103</v>
      </c>
      <c r="B282" s="82">
        <v>778</v>
      </c>
      <c r="C282" s="7" t="str">
        <f t="shared" si="16"/>
        <v>Premium4color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IFERROR(VLOOKUP(B282,input_491103!L:R,7,FALSE),VLOOKUP(tables_491103!C282,input_491103!A:H,8,FALSE))</f>
        <v>333734.10359999997</v>
      </c>
      <c r="P282" s="46">
        <f t="shared" ca="1" si="18"/>
        <v>2.5546088763227923E-2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input_491103!A$2</f>
        <v>491103</v>
      </c>
      <c r="B283" s="5">
        <v>779</v>
      </c>
      <c r="C283" s="7" t="str">
        <f t="shared" si="16"/>
        <v>Premium5color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7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IFERROR(VLOOKUP(B283,input_491103!L:R,7,FALSE),VLOOKUP(tables_491103!C283,input_491103!A:H,8,FALSE))</f>
        <v>3673.3873100000001</v>
      </c>
      <c r="P283" s="46">
        <f t="shared" ca="1" si="18"/>
        <v>2.8118396433182219E-4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input_491103!A$2</f>
        <v>491103</v>
      </c>
      <c r="B284" s="5">
        <v>848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IFERROR(VLOOKUP(B284,input_491103!L:R,7,FALSE),VLOOKUP(tables_491103!C284,input_491103!A:H,8,FALSE))</f>
        <v>5680</v>
      </c>
      <c r="P284" s="46">
        <f t="shared" ca="1" si="18"/>
        <v>4.3478260869931246E-4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input_491103!A$2</f>
        <v>491103</v>
      </c>
      <c r="B285" s="5">
        <v>850</v>
      </c>
      <c r="C285" s="7" t="str">
        <f t="shared" si="16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IFERROR(VLOOKUP(B285,input_491103!L:R,7,FALSE),VLOOKUP(tables_491103!C285,input_491103!A:H,8,FALSE))</f>
        <v>5680</v>
      </c>
      <c r="P285" s="46">
        <f t="shared" ca="1" si="18"/>
        <v>4.3478260869931246E-4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input_491103!A$2</f>
        <v>491103</v>
      </c>
      <c r="B286" s="5">
        <v>852</v>
      </c>
      <c r="C286" s="7" t="str">
        <f t="shared" si="16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IFERROR(VLOOKUP(B286,input_491103!L:R,7,FALSE),VLOOKUP(tables_491103!C286,input_491103!A:H,8,FALSE))</f>
        <v>85001.165710000001</v>
      </c>
      <c r="P286" s="46">
        <f t="shared" ca="1" si="18"/>
        <v>6.5065191144148497E-3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input_491103!A$2</f>
        <v>491103</v>
      </c>
      <c r="B287" s="5">
        <v>853</v>
      </c>
      <c r="C287" s="7" t="str">
        <f t="shared" si="16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IFERROR(VLOOKUP(B287,input_491103!L:R,7,FALSE),VLOOKUP(tables_491103!C287,input_491103!A:H,8,FALSE))</f>
        <v>3484.96</v>
      </c>
      <c r="P287" s="46">
        <f t="shared" ca="1" si="18"/>
        <v>2.6676056338252748E-4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input_491103!A$2</f>
        <v>491103</v>
      </c>
      <c r="B288" s="5">
        <v>854</v>
      </c>
      <c r="C288" s="7" t="str">
        <f t="shared" si="16"/>
        <v>Premium4R3lesscolor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IFERROR(VLOOKUP(B288,input_491103!L:R,7,FALSE),VLOOKUP(tables_491103!C288,input_491103!A:H,8,FALSE))</f>
        <v>216971.26667000001</v>
      </c>
      <c r="P288" s="46">
        <f t="shared" ca="1" si="18"/>
        <v>1.6608333333728308E-2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input_491103!A$2</f>
        <v>491103</v>
      </c>
      <c r="B289" s="5">
        <v>855</v>
      </c>
      <c r="C289" s="7" t="str">
        <f t="shared" si="16"/>
        <v>Premium5R3lesscolor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IFERROR(VLOOKUP(B289,input_491103!L:R,7,FALSE),VLOOKUP(tables_491103!C289,input_491103!A:H,8,FALSE))</f>
        <v>16870.37455</v>
      </c>
      <c r="P289" s="46">
        <f t="shared" ca="1" si="18"/>
        <v>1.2913636367224454E-3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input_491103!A$2</f>
        <v>491103</v>
      </c>
      <c r="B290" s="5">
        <v>862</v>
      </c>
      <c r="C290" s="7" t="str">
        <f t="shared" si="16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IFERROR(VLOOKUP(B290,input_491103!L:R,7,FALSE),VLOOKUP(tables_491103!C290,input_491103!A:H,8,FALSE))</f>
        <v>85001.165710000001</v>
      </c>
      <c r="P290" s="46">
        <f t="shared" ca="1" si="18"/>
        <v>6.5065191144148497E-3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input_491103!A$2</f>
        <v>491103</v>
      </c>
      <c r="B291" s="5">
        <v>863</v>
      </c>
      <c r="C291" s="7" t="str">
        <f t="shared" si="16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IFERROR(VLOOKUP(B291,input_491103!L:R,7,FALSE),VLOOKUP(tables_491103!C291,input_491103!A:H,8,FALSE))</f>
        <v>3484.96</v>
      </c>
      <c r="P291" s="46">
        <f t="shared" ca="1" si="18"/>
        <v>2.6676056338252748E-4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input_491103!A$2</f>
        <v>491103</v>
      </c>
      <c r="B292" s="5">
        <v>864</v>
      </c>
      <c r="C292" s="7" t="str">
        <f t="shared" si="16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IFERROR(VLOOKUP(B292,input_491103!L:R,7,FALSE),VLOOKUP(tables_491103!C292,input_491103!A:H,8,FALSE))</f>
        <v>85001.165710000001</v>
      </c>
      <c r="P292" s="46">
        <f t="shared" ca="1" si="18"/>
        <v>6.5065191144148497E-3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input_491103!A$2</f>
        <v>491103</v>
      </c>
      <c r="B293" s="5">
        <v>865</v>
      </c>
      <c r="C293" s="7" t="str">
        <f t="shared" si="16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7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IFERROR(VLOOKUP(B293,input_491103!L:R,7,FALSE),VLOOKUP(tables_491103!C293,input_491103!A:H,8,FALSE))</f>
        <v>3484.96</v>
      </c>
      <c r="P293" s="46">
        <f t="shared" ca="1" si="18"/>
        <v>2.6676056338252748E-4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input_491103!A$2</f>
        <v>491103</v>
      </c>
      <c r="B294" s="5">
        <v>866</v>
      </c>
      <c r="C294" s="7" t="str">
        <f t="shared" si="16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IFERROR(VLOOKUP(B294,input_491103!L:R,7,FALSE),VLOOKUP(tables_491103!C294,input_491103!A:H,8,FALSE))</f>
        <v>5680</v>
      </c>
      <c r="P294" s="46">
        <f t="shared" ca="1" si="18"/>
        <v>4.3478260869931246E-4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input_491103!A$2</f>
        <v>491103</v>
      </c>
      <c r="B295" s="5">
        <v>868</v>
      </c>
      <c r="C295" s="7" t="str">
        <f t="shared" si="16"/>
        <v>PremiumSS5R5onlycolor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IFERROR(VLOOKUP(B295,input_491103!L:R,7,FALSE),VLOOKUP(tables_491103!C295,input_491103!A:H,8,FALSE))</f>
        <v>23054.11765</v>
      </c>
      <c r="P295" s="46">
        <f t="shared" ca="1" si="18"/>
        <v>1.7647058825929337E-3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input_491103!A$2</f>
        <v>491103</v>
      </c>
      <c r="B296" s="5">
        <v>937</v>
      </c>
      <c r="C296" s="7" t="str">
        <f t="shared" si="16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IFERROR(VLOOKUP(B296,input_491103!L:R,7,FALSE),VLOOKUP(tables_491103!C296,input_491103!A:H,8,FALSE))</f>
        <v>5680</v>
      </c>
      <c r="P296" s="46">
        <f t="shared" ca="1" si="18"/>
        <v>4.3478260869931246E-4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input_491103!A$2</f>
        <v>491103</v>
      </c>
      <c r="B297" s="5">
        <v>939</v>
      </c>
      <c r="C297" s="7" t="str">
        <f t="shared" si="16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IFERROR(VLOOKUP(B297,input_491103!L:R,7,FALSE),VLOOKUP(tables_491103!C297,input_491103!A:H,8,FALSE))</f>
        <v>85001.165710000001</v>
      </c>
      <c r="P297" s="46">
        <f t="shared" ca="1" si="18"/>
        <v>6.5065191144148497E-3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input_491103!A$2</f>
        <v>491103</v>
      </c>
      <c r="B298" s="5">
        <v>940</v>
      </c>
      <c r="C298" s="7" t="str">
        <f t="shared" si="16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IFERROR(VLOOKUP(B298,input_491103!L:R,7,FALSE),VLOOKUP(tables_491103!C298,input_491103!A:H,8,FALSE))</f>
        <v>3484.96</v>
      </c>
      <c r="P298" s="46">
        <f t="shared" ca="1" si="18"/>
        <v>2.6676056338252748E-4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input_491103!A$2</f>
        <v>491103</v>
      </c>
      <c r="B299" s="5">
        <v>941</v>
      </c>
      <c r="C299" s="7" t="str">
        <f t="shared" si="16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IFERROR(VLOOKUP(B299,input_491103!L:R,7,FALSE),VLOOKUP(tables_491103!C299,input_491103!A:H,8,FALSE))</f>
        <v>5680</v>
      </c>
      <c r="P299" s="46">
        <f t="shared" ca="1" si="18"/>
        <v>4.3478260869931246E-4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input_491103!A$2</f>
        <v>491103</v>
      </c>
      <c r="B300" s="5">
        <v>943</v>
      </c>
      <c r="C300" s="7" t="str">
        <f t="shared" si="16"/>
        <v>PremiumSS5R5onlycolor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7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IFERROR(VLOOKUP(B300,input_491103!L:R,7,FALSE),VLOOKUP(tables_491103!C300,input_491103!A:H,8,FALSE))</f>
        <v>23054.11765</v>
      </c>
      <c r="P300" s="46">
        <f t="shared" ca="1" si="18"/>
        <v>1.7647058825929337E-3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input_491103!A$2</f>
        <v>491103</v>
      </c>
      <c r="B301" s="5">
        <v>1012</v>
      </c>
      <c r="C301" s="7" t="str">
        <f t="shared" si="16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IFERROR(VLOOKUP(B301,input_491103!L:R,7,FALSE),VLOOKUP(tables_491103!C301,input_491103!A:H,8,FALSE))</f>
        <v>5680</v>
      </c>
      <c r="P301" s="46">
        <f t="shared" ca="1" si="18"/>
        <v>4.3478260869931246E-4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input_491103!A$2</f>
        <v>491103</v>
      </c>
      <c r="B302" s="5">
        <v>1014</v>
      </c>
      <c r="C302" s="7" t="str">
        <f t="shared" si="16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IFERROR(VLOOKUP(B302,input_491103!L:R,7,FALSE),VLOOKUP(tables_491103!C302,input_491103!A:H,8,FALSE))</f>
        <v>5680</v>
      </c>
      <c r="P302" s="46">
        <f t="shared" ca="1" si="18"/>
        <v>4.3478260869931246E-4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input_491103!A$2</f>
        <v>491103</v>
      </c>
      <c r="B303" s="5">
        <v>1016</v>
      </c>
      <c r="C303" s="7" t="str">
        <f t="shared" si="16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7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IFERROR(VLOOKUP(B303,input_491103!L:R,7,FALSE),VLOOKUP(tables_491103!C303,input_491103!A:H,8,FALSE))</f>
        <v>85001.165710000001</v>
      </c>
      <c r="P303" s="46">
        <f t="shared" ca="1" si="18"/>
        <v>6.5065191144148497E-3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input_491103!A$2</f>
        <v>491103</v>
      </c>
      <c r="B304" s="5">
        <v>1017</v>
      </c>
      <c r="C304" s="7" t="str">
        <f t="shared" si="16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IFERROR(VLOOKUP(B304,input_491103!L:R,7,FALSE),VLOOKUP(tables_491103!C304,input_491103!A:H,8,FALSE))</f>
        <v>3484.96</v>
      </c>
      <c r="P304" s="46">
        <f t="shared" ca="1" si="18"/>
        <v>2.6676056338252748E-4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input_491103!A$2</f>
        <v>491103</v>
      </c>
      <c r="B305" s="5">
        <v>1018</v>
      </c>
      <c r="C305" s="7" t="str">
        <f t="shared" si="16"/>
        <v>PremiumSS5R5onlycolor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7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IFERROR(VLOOKUP(B305,input_491103!L:R,7,FALSE),VLOOKUP(tables_491103!C305,input_491103!A:H,8,FALSE))</f>
        <v>23054.11765</v>
      </c>
      <c r="P305" s="46">
        <f t="shared" ca="1" si="18"/>
        <v>1.7647058825929337E-3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input_491103!A$2</f>
        <v>491103</v>
      </c>
      <c r="B306" s="5">
        <v>1026</v>
      </c>
      <c r="C306" s="7" t="str">
        <f t="shared" si="16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7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IFERROR(VLOOKUP(B306,input_491103!L:R,7,FALSE),VLOOKUP(tables_491103!C306,input_491103!A:H,8,FALSE))</f>
        <v>85001.165710000001</v>
      </c>
      <c r="P306" s="46">
        <f t="shared" ca="1" si="18"/>
        <v>6.5065191144148497E-3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input_491103!A$2</f>
        <v>491103</v>
      </c>
      <c r="B307" s="5">
        <v>1027</v>
      </c>
      <c r="C307" s="7" t="str">
        <f t="shared" si="16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7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IFERROR(VLOOKUP(B307,input_491103!L:R,7,FALSE),VLOOKUP(tables_491103!C307,input_491103!A:H,8,FALSE))</f>
        <v>3484.96</v>
      </c>
      <c r="P307" s="46">
        <f t="shared" ca="1" si="18"/>
        <v>2.6676056338252748E-4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input_491103!A$2</f>
        <v>491103</v>
      </c>
      <c r="B308" s="5">
        <v>1028</v>
      </c>
      <c r="C308" s="7" t="str">
        <f t="shared" si="16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7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IFERROR(VLOOKUP(B308,input_491103!L:R,7,FALSE),VLOOKUP(tables_491103!C308,input_491103!A:H,8,FALSE))</f>
        <v>5680</v>
      </c>
      <c r="P308" s="46">
        <f t="shared" ca="1" si="18"/>
        <v>4.3478260869931246E-4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input_491103!A$2</f>
        <v>491103</v>
      </c>
      <c r="B309" s="5">
        <v>1031</v>
      </c>
      <c r="C309" s="7" t="str">
        <f t="shared" si="16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7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IFERROR(VLOOKUP(B309,input_491103!L:R,7,FALSE),VLOOKUP(tables_491103!C309,input_491103!A:H,8,FALSE))</f>
        <v>5680</v>
      </c>
      <c r="P309" s="46">
        <f t="shared" ca="1" si="18"/>
        <v>4.3478260869931246E-4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input_491103!A$2</f>
        <v>491103</v>
      </c>
      <c r="B310" s="5">
        <v>1033</v>
      </c>
      <c r="C310" s="7" t="str">
        <f t="shared" si="16"/>
        <v>PremiumSS5R5onlycolor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7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IFERROR(VLOOKUP(B310,input_491103!L:R,7,FALSE),VLOOKUP(tables_491103!C310,input_491103!A:H,8,FALSE))</f>
        <v>23054.11765</v>
      </c>
      <c r="P310" s="46">
        <f t="shared" ca="1" si="18"/>
        <v>1.7647058825929337E-3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input_491103!A$2</f>
        <v>491103</v>
      </c>
      <c r="B311" s="5">
        <v>1067</v>
      </c>
      <c r="C311" s="7" t="str">
        <f t="shared" si="16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7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IFERROR(VLOOKUP(B311,input_491103!L:R,7,FALSE),VLOOKUP(tables_491103!C311,input_491103!A:H,8,FALSE))</f>
        <v>85001.165710000001</v>
      </c>
      <c r="P311" s="46">
        <f t="shared" ca="1" si="18"/>
        <v>6.5065191144148497E-3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input_491103!A$2</f>
        <v>491103</v>
      </c>
      <c r="B312" s="5">
        <v>1068</v>
      </c>
      <c r="C312" s="7" t="str">
        <f t="shared" si="16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7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IFERROR(VLOOKUP(B312,input_491103!L:R,7,FALSE),VLOOKUP(tables_491103!C312,input_491103!A:H,8,FALSE))</f>
        <v>3484.96</v>
      </c>
      <c r="P312" s="46">
        <f t="shared" ca="1" si="18"/>
        <v>2.6676056338252748E-4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input_491103!A$2</f>
        <v>491103</v>
      </c>
      <c r="B313" s="5">
        <v>1069</v>
      </c>
      <c r="C313" s="7" t="str">
        <f t="shared" si="16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7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IFERROR(VLOOKUP(B313,input_491103!L:R,7,FALSE),VLOOKUP(tables_491103!C313,input_491103!A:H,8,FALSE))</f>
        <v>5680</v>
      </c>
      <c r="P313" s="46">
        <f t="shared" ca="1" si="18"/>
        <v>4.3478260869931246E-4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input_491103!A$2</f>
        <v>491103</v>
      </c>
      <c r="B314" s="5">
        <v>1072</v>
      </c>
      <c r="C314" s="7" t="str">
        <f t="shared" si="16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7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IFERROR(VLOOKUP(B314,input_491103!L:R,7,FALSE),VLOOKUP(tables_491103!C314,input_491103!A:H,8,FALSE))</f>
        <v>5680</v>
      </c>
      <c r="P314" s="46">
        <f t="shared" ca="1" si="18"/>
        <v>4.3478260869931246E-4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input_491103!A$2</f>
        <v>491103</v>
      </c>
      <c r="B315" s="5">
        <v>1074</v>
      </c>
      <c r="C315" s="7" t="str">
        <f t="shared" si="16"/>
        <v>PremiumSS5R5onlycolor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7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IFERROR(VLOOKUP(B315,input_491103!L:R,7,FALSE),VLOOKUP(tables_491103!C315,input_491103!A:H,8,FALSE))</f>
        <v>23054.11765</v>
      </c>
      <c r="P315" s="46">
        <f t="shared" ca="1" si="18"/>
        <v>1.7647058825929337E-3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input_491103!A$2</f>
        <v>491103</v>
      </c>
      <c r="B316" s="5">
        <v>1100</v>
      </c>
      <c r="C316" s="7" t="str">
        <f t="shared" si="16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7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IFERROR(VLOOKUP(B316,input_491103!L:R,7,FALSE),VLOOKUP(tables_491103!C316,input_491103!A:H,8,FALSE))</f>
        <v>5680</v>
      </c>
      <c r="P316" s="46">
        <f t="shared" ca="1" si="18"/>
        <v>4.3478260869931246E-4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input_491103!A$2</f>
        <v>491103</v>
      </c>
      <c r="B317" s="5">
        <v>1102</v>
      </c>
      <c r="C317" s="7" t="str">
        <f t="shared" si="16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7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IFERROR(VLOOKUP(B317,input_491103!L:R,7,FALSE),VLOOKUP(tables_491103!C317,input_491103!A:H,8,FALSE))</f>
        <v>5680</v>
      </c>
      <c r="P317" s="46">
        <f t="shared" ca="1" si="18"/>
        <v>4.3478260869931246E-4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input_491103!A$2</f>
        <v>491103</v>
      </c>
      <c r="B318" s="5">
        <v>1104</v>
      </c>
      <c r="C318" s="7" t="str">
        <f t="shared" si="16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7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IFERROR(VLOOKUP(B318,input_491103!L:R,7,FALSE),VLOOKUP(tables_491103!C318,input_491103!A:H,8,FALSE))</f>
        <v>85001.165710000001</v>
      </c>
      <c r="P318" s="46">
        <f t="shared" ca="1" si="18"/>
        <v>6.5065191144148497E-3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input_491103!A$2</f>
        <v>491103</v>
      </c>
      <c r="B319" s="5">
        <v>1105</v>
      </c>
      <c r="C319" s="7" t="str">
        <f t="shared" si="16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7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IFERROR(VLOOKUP(B319,input_491103!L:R,7,FALSE),VLOOKUP(tables_491103!C319,input_491103!A:H,8,FALSE))</f>
        <v>3484.96</v>
      </c>
      <c r="P319" s="46">
        <f t="shared" ref="P319:P324" ca="1" si="20">O319/SUM(O:O)</f>
        <v>2.6676056338252748E-4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input_491103!A$2</f>
        <v>491103</v>
      </c>
      <c r="B320" s="5">
        <v>1106</v>
      </c>
      <c r="C320" s="7" t="str">
        <f t="shared" si="16"/>
        <v>PremiumSS5R5onlycolor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7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IFERROR(VLOOKUP(B320,input_491103!L:R,7,FALSE),VLOOKUP(tables_491103!C320,input_491103!A:H,8,FALSE))</f>
        <v>23054.11765</v>
      </c>
      <c r="P320" s="46">
        <f t="shared" ca="1" si="20"/>
        <v>1.7647058825929337E-3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input_491103!A$2</f>
        <v>491103</v>
      </c>
      <c r="B321" s="5">
        <v>1137</v>
      </c>
      <c r="C321" s="7" t="str">
        <f t="shared" si="16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7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IFERROR(VLOOKUP(B321,input_491103!L:R,7,FALSE),VLOOKUP(tables_491103!C321,input_491103!A:H,8,FALSE))</f>
        <v>5680</v>
      </c>
      <c r="P321" s="46">
        <f t="shared" ca="1" si="20"/>
        <v>4.3478260869931246E-4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input_491103!A$2</f>
        <v>491103</v>
      </c>
      <c r="B322" s="5">
        <v>1139</v>
      </c>
      <c r="C322" s="7" t="str">
        <f t="shared" ref="C322:C324" si="21">D322&amp;J322&amp;E322&amp;F322&amp;G322</f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ref="G322:G341" si="22">IF(K322="yellow","color","")</f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IFERROR(VLOOKUP(B322,input_491103!L:R,7,FALSE),VLOOKUP(tables_491103!C322,input_491103!A:H,8,FALSE))</f>
        <v>5680</v>
      </c>
      <c r="P322" s="46">
        <f t="shared" ca="1" si="20"/>
        <v>4.3478260869931246E-4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input_491103!A$2</f>
        <v>491103</v>
      </c>
      <c r="B323" s="5">
        <v>1141</v>
      </c>
      <c r="C323" s="7" t="str">
        <f t="shared" si="21"/>
        <v>PremiumSS5R5only</v>
      </c>
      <c r="D323" s="7" t="str">
        <f t="shared" ref="D323:D324" si="2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si="22"/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IFERROR(VLOOKUP(B323,input_491103!L:R,7,FALSE),VLOOKUP(tables_491103!C323,input_491103!A:H,8,FALSE))</f>
        <v>5680</v>
      </c>
      <c r="P323" s="46">
        <f t="shared" ca="1" si="20"/>
        <v>4.3478260869931246E-4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input_491103!A$2</f>
        <v>491103</v>
      </c>
      <c r="B324" s="2">
        <v>1143</v>
      </c>
      <c r="C324" s="98" t="str">
        <f t="shared" si="21"/>
        <v>Premium4R3lesscolor</v>
      </c>
      <c r="D324" s="7" t="str">
        <f t="shared" si="2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2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IFERROR(VLOOKUP(B324,input_491103!L:R,7,FALSE),VLOOKUP(tables_491103!C324,input_491103!A:H,8,FALSE))</f>
        <v>216971.26667000001</v>
      </c>
      <c r="P324" s="46">
        <f t="shared" ca="1" si="20"/>
        <v>1.6608333333728308E-2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input_491103!A$2</f>
        <v>491103</v>
      </c>
      <c r="B325" s="2">
        <v>1144</v>
      </c>
      <c r="C325" s="98" t="str">
        <f t="shared" ref="C325:C330" si="24">D325&amp;J325&amp;E325&amp;F325&amp;G325</f>
        <v>Premium5R3lesscolor</v>
      </c>
      <c r="D325" s="7" t="str">
        <f t="shared" ref="D325:D330" si="25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2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IFERROR(VLOOKUP(B325,input_491103!L:R,7,FALSE),VLOOKUP(tables_491103!C325,input_491103!A:H,8,FALSE))</f>
        <v>16870.37455</v>
      </c>
      <c r="P325" s="46">
        <f t="shared" ref="P325:P330" ca="1" si="26">O325/SUM(O:O)</f>
        <v>1.2913636367224454E-3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input_491103!A$2</f>
        <v>491103</v>
      </c>
      <c r="B326" s="2">
        <v>1151</v>
      </c>
      <c r="C326" s="98" t="str">
        <f t="shared" si="24"/>
        <v>Premium4R3less</v>
      </c>
      <c r="D326" s="7" t="str">
        <f t="shared" si="25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2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IFERROR(VLOOKUP(B326,input_491103!L:R,7,FALSE),VLOOKUP(tables_491103!C326,input_491103!A:H,8,FALSE))</f>
        <v>85001.165710000001</v>
      </c>
      <c r="P326" s="46">
        <f t="shared" ca="1" si="26"/>
        <v>6.5065191144148497E-3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input_491103!A$2</f>
        <v>491103</v>
      </c>
      <c r="B327" s="2">
        <v>1152</v>
      </c>
      <c r="C327" s="98" t="str">
        <f t="shared" si="24"/>
        <v>Premium5R3less</v>
      </c>
      <c r="D327" s="7" t="str">
        <f t="shared" si="25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2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IFERROR(VLOOKUP(B327,input_491103!L:R,7,FALSE),VLOOKUP(tables_491103!C327,input_491103!A:H,8,FALSE))</f>
        <v>3484.96</v>
      </c>
      <c r="P327" s="46">
        <f t="shared" ca="1" si="26"/>
        <v>2.6676056338252748E-4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input_491103!A$2</f>
        <v>491103</v>
      </c>
      <c r="B328" s="2">
        <v>1153</v>
      </c>
      <c r="C328" s="98" t="str">
        <f t="shared" si="24"/>
        <v>PremiumSS5R5only</v>
      </c>
      <c r="D328" s="7" t="str">
        <f t="shared" si="25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2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IFERROR(VLOOKUP(B328,input_491103!L:R,7,FALSE),VLOOKUP(tables_491103!C328,input_491103!A:H,8,FALSE))</f>
        <v>5680</v>
      </c>
      <c r="P328" s="46">
        <f t="shared" ca="1" si="26"/>
        <v>4.3478260869931246E-4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input_491103!A$2</f>
        <v>491103</v>
      </c>
      <c r="B329" s="2">
        <v>1155</v>
      </c>
      <c r="C329" s="98" t="str">
        <f t="shared" si="24"/>
        <v>PremiumSS5R5only</v>
      </c>
      <c r="D329" s="7" t="str">
        <f t="shared" si="25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2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IFERROR(VLOOKUP(B329,input_491103!L:R,7,FALSE),VLOOKUP(tables_491103!C329,input_491103!A:H,8,FALSE))</f>
        <v>5680</v>
      </c>
      <c r="P329" s="46">
        <f t="shared" ca="1" si="26"/>
        <v>4.3478260869931246E-4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input_491103!A$2</f>
        <v>491103</v>
      </c>
      <c r="B330" s="2">
        <v>1157</v>
      </c>
      <c r="C330" s="98" t="str">
        <f t="shared" si="24"/>
        <v>PremiumSS5R5onlycolor</v>
      </c>
      <c r="D330" s="7" t="str">
        <f t="shared" si="25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2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IFERROR(VLOOKUP(B330,input_491103!L:R,7,FALSE),VLOOKUP(tables_491103!C330,input_491103!A:H,8,FALSE))</f>
        <v>23054.11765</v>
      </c>
      <c r="P330" s="46">
        <f t="shared" ca="1" si="26"/>
        <v>1.7647058825929337E-3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input_491103!A$2</f>
        <v>491103</v>
      </c>
      <c r="B331" s="60">
        <v>1214</v>
      </c>
      <c r="C331" s="98" t="str">
        <f t="shared" ref="C331:C340" si="27">D331&amp;J331&amp;E331&amp;F331&amp;G331</f>
        <v>PremiumSS5R5onlycolor</v>
      </c>
      <c r="D331" s="7" t="str">
        <f t="shared" ref="D331:D340" si="28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2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IFERROR(VLOOKUP(B331,input_491103!L:R,7,FALSE),VLOOKUP(tables_491103!C331,input_491103!A:H,8,FALSE))</f>
        <v>23054.11765</v>
      </c>
      <c r="P331" s="46">
        <f t="shared" ref="P331:P340" ca="1" si="29">O331/SUM(O:O)</f>
        <v>1.7647058825929337E-3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input_491103!A$2</f>
        <v>491103</v>
      </c>
      <c r="B332" s="60">
        <v>1212</v>
      </c>
      <c r="C332" s="98" t="str">
        <f t="shared" si="27"/>
        <v>PremiumSS5R5only</v>
      </c>
      <c r="D332" s="7" t="str">
        <f t="shared" si="2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2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IFERROR(VLOOKUP(B332,input_491103!L:R,7,FALSE),VLOOKUP(tables_491103!C332,input_491103!A:H,8,FALSE))</f>
        <v>5680</v>
      </c>
      <c r="P332" s="46">
        <f t="shared" ca="1" si="29"/>
        <v>4.3478260869931246E-4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input_491103!A$2</f>
        <v>491103</v>
      </c>
      <c r="B333" s="60">
        <v>1208</v>
      </c>
      <c r="C333" s="98" t="str">
        <f t="shared" si="27"/>
        <v>PremiumSS5R5only</v>
      </c>
      <c r="D333" s="7" t="str">
        <f t="shared" si="2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2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IFERROR(VLOOKUP(B333,input_491103!L:R,7,FALSE),VLOOKUP(tables_491103!C333,input_491103!A:H,8,FALSE))</f>
        <v>5680</v>
      </c>
      <c r="P333" s="46">
        <f t="shared" ca="1" si="29"/>
        <v>4.3478260869931246E-4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input_491103!A$2</f>
        <v>491103</v>
      </c>
      <c r="B334" s="108">
        <v>1210</v>
      </c>
      <c r="C334" s="98" t="str">
        <f t="shared" si="27"/>
        <v>Premium4R3less</v>
      </c>
      <c r="D334" s="7" t="str">
        <f t="shared" si="2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2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IFERROR(VLOOKUP(B334,input_491103!L:R,7,FALSE),VLOOKUP(tables_491103!C334,input_491103!A:H,8,FALSE))</f>
        <v>85001.165710000001</v>
      </c>
      <c r="P334" s="46">
        <f t="shared" ca="1" si="29"/>
        <v>6.5065191144148497E-3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input_491103!A$2</f>
        <v>491103</v>
      </c>
      <c r="B335" s="60">
        <v>1211</v>
      </c>
      <c r="C335" s="98" t="str">
        <f t="shared" si="27"/>
        <v>Premium5R3less</v>
      </c>
      <c r="D335" s="7" t="str">
        <f t="shared" si="2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2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IFERROR(VLOOKUP(B335,input_491103!L:R,7,FALSE),VLOOKUP(tables_491103!C335,input_491103!A:H,8,FALSE))</f>
        <v>3484.96</v>
      </c>
      <c r="P335" s="46">
        <f t="shared" ca="1" si="29"/>
        <v>2.6676056338252748E-4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input_491103!A$2</f>
        <v>491103</v>
      </c>
      <c r="B336" s="2">
        <v>1224</v>
      </c>
      <c r="C336" s="98" t="str">
        <f t="shared" si="27"/>
        <v>Premium4R3less</v>
      </c>
      <c r="D336" s="7" t="str">
        <f t="shared" si="2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2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IFERROR(VLOOKUP(B336,input_491103!L:R,7,FALSE),VLOOKUP(tables_491103!C336,input_491103!A:H,8,FALSE))</f>
        <v>85001.165710000001</v>
      </c>
      <c r="P336" s="46">
        <f t="shared" ca="1" si="29"/>
        <v>6.5065191144148497E-3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input_491103!A$2</f>
        <v>491103</v>
      </c>
      <c r="B337" s="2">
        <v>1225</v>
      </c>
      <c r="C337" s="98" t="str">
        <f t="shared" si="27"/>
        <v>Premium5R3less</v>
      </c>
      <c r="D337" s="7" t="str">
        <f t="shared" si="2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2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IFERROR(VLOOKUP(B337,input_491103!L:R,7,FALSE),VLOOKUP(tables_491103!C337,input_491103!A:H,8,FALSE))</f>
        <v>3484.96</v>
      </c>
      <c r="P337" s="46">
        <f t="shared" ca="1" si="29"/>
        <v>2.6676056338252748E-4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input_491103!A$2</f>
        <v>491103</v>
      </c>
      <c r="B338" s="2">
        <v>1226</v>
      </c>
      <c r="C338" s="98" t="str">
        <f t="shared" si="27"/>
        <v>PremiumSS5R5only</v>
      </c>
      <c r="D338" s="7" t="str">
        <f t="shared" si="2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2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IFERROR(VLOOKUP(B338,input_491103!L:R,7,FALSE),VLOOKUP(tables_491103!C338,input_491103!A:H,8,FALSE))</f>
        <v>5680</v>
      </c>
      <c r="P338" s="46">
        <f t="shared" ca="1" si="29"/>
        <v>4.3478260869931246E-4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input_491103!A$2</f>
        <v>491103</v>
      </c>
      <c r="B339" s="2">
        <v>1228</v>
      </c>
      <c r="C339" s="98" t="str">
        <f t="shared" si="27"/>
        <v>PremiumSS5R5only</v>
      </c>
      <c r="D339" s="7" t="str">
        <f t="shared" si="2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2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IFERROR(VLOOKUP(B339,input_491103!L:R,7,FALSE),VLOOKUP(tables_491103!C339,input_491103!A:H,8,FALSE))</f>
        <v>5680</v>
      </c>
      <c r="P339" s="46">
        <f t="shared" ca="1" si="29"/>
        <v>4.3478260869931246E-4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input_491103!A$2</f>
        <v>491103</v>
      </c>
      <c r="B340" s="2">
        <v>1230</v>
      </c>
      <c r="C340" s="98" t="str">
        <f t="shared" si="27"/>
        <v>PremiumSS5R5onlycolor</v>
      </c>
      <c r="D340" s="7" t="str">
        <f t="shared" si="2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2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IFERROR(VLOOKUP(B340,input_491103!L:R,7,FALSE),VLOOKUP(tables_491103!C340,input_491103!A:H,8,FALSE))</f>
        <v>23054.11765</v>
      </c>
      <c r="P340" s="46">
        <f t="shared" ca="1" si="29"/>
        <v>1.7647058825929337E-3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input_491103!A$2</f>
        <v>491103</v>
      </c>
      <c r="B341" s="1">
        <v>1286</v>
      </c>
      <c r="C341" s="98" t="str">
        <f t="shared" ref="C341" si="30">D341&amp;J341&amp;E341&amp;F341&amp;G341</f>
        <v>PremiumSSS5R3lesscolor</v>
      </c>
      <c r="D341" s="7" t="str">
        <f t="shared" ref="D341" si="31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 t="str">
        <f t="shared" si="22"/>
        <v>color</v>
      </c>
      <c r="H341" s="7" t="str">
        <f>VLOOKUP(B341,[1]characters!$A:$C,3,FALSE)</f>
        <v>ニコラ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hp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IFERROR(VLOOKUP(B341,input_491103!L:R,7,FALSE),VLOOKUP(tables_491103!C341,input_491103!A:H,8,FALSE))</f>
        <v>39192</v>
      </c>
      <c r="P341" s="46">
        <f t="shared" ref="P341" ca="1" si="32">O341/SUM(O:O)</f>
        <v>3.0000000000252559E-3</v>
      </c>
      <c r="Q341" s="88"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78"/>
  <sheetViews>
    <sheetView showGridLines="0" tabSelected="1" zoomScale="90" zoomScaleNormal="90" zoomScalePageLayoutView="90" workbookViewId="0">
      <pane ySplit="1" topLeftCell="A2" activePane="bottomLeft" state="frozen"/>
      <selection activeCell="L296" sqref="L296"/>
      <selection pane="bottomLeft" activeCell="M40" sqref="M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97">
        <v>491103</v>
      </c>
      <c r="B2" s="99">
        <v>177</v>
      </c>
      <c r="C2" s="98" t="str">
        <f t="shared" ref="C2:C29" si="0">D2&amp;J2&amp;E2&amp;F2&amp;G2</f>
        <v>Premium5color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>color</v>
      </c>
      <c r="H2" s="7" t="str">
        <f>VLOOKUP(B2,[1]characters!$A:$C,3,FALSE)</f>
        <v>黒魔の異端師 バフォメット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f>IF(D2="Premium",16099,IF(D2="PremiumSS",950,969))</f>
        <v>16099</v>
      </c>
      <c r="P2" s="46">
        <f t="shared" ref="P2:P38" si="1">O2/SUM(O:O)</f>
        <v>4.9842105263157896E-2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97">
        <v>491103</v>
      </c>
      <c r="B3" s="99">
        <v>189</v>
      </c>
      <c r="C3" s="98" t="str">
        <f t="shared" si="0"/>
        <v>Premium5color</v>
      </c>
      <c r="D3" s="7" t="str">
        <f t="shared" ref="D3:D38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31" si="3">IF(K3="yellow","color","")</f>
        <v>color</v>
      </c>
      <c r="H3" s="7" t="str">
        <f>VLOOKUP(B3,[1]characters!$A:$C,3,FALSE)</f>
        <v>迅雷の王禽 ホルス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f>IF(D3="Premium",16099,IF(D3="PremiumSS",950,969))</f>
        <v>16099</v>
      </c>
      <c r="P3" s="46">
        <f t="shared" si="1"/>
        <v>4.9842105263157896E-2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97">
        <v>491103</v>
      </c>
      <c r="B4" s="99">
        <v>198</v>
      </c>
      <c r="C4" s="98" t="str">
        <f t="shared" si="0"/>
        <v>Premium5color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>color</v>
      </c>
      <c r="H4" s="7" t="str">
        <f>VLOOKUP(B4,[1]characters!$A:$C,3,FALSE)</f>
        <v>砕骨の剛腕 アキレス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>IF(D4="Premium",16099,IF(D4="PremiumSS",950,969))</f>
        <v>16099</v>
      </c>
      <c r="P4" s="46">
        <f t="shared" si="1"/>
        <v>4.9842105263157896E-2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97">
        <v>491103</v>
      </c>
      <c r="B5" s="99">
        <v>213</v>
      </c>
      <c r="C5" s="98" t="str">
        <f t="shared" si="0"/>
        <v>Premium5color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>color</v>
      </c>
      <c r="H5" s="7" t="str">
        <f>VLOOKUP(B5,[1]characters!$A:$C,3,FALSE)</f>
        <v>満天の星降神 アストライアー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>IF(D5="Premium",16099,IF(D5="PremiumSS",950,969))</f>
        <v>16099</v>
      </c>
      <c r="P5" s="46">
        <f t="shared" si="1"/>
        <v>4.9842105263157896E-2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97">
        <v>491103</v>
      </c>
      <c r="B6" s="99">
        <v>225</v>
      </c>
      <c r="C6" s="98" t="str">
        <f t="shared" si="0"/>
        <v>Premium5color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>color</v>
      </c>
      <c r="H6" s="7" t="str">
        <f>VLOOKUP(B6,[1]characters!$A:$C,3,FALSE)</f>
        <v>咆哮の巨獅腕 ヘラクレス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f>IF(D6="Premium",16099,IF(D6="PremiumSS",950,969))</f>
        <v>16099</v>
      </c>
      <c r="P6" s="46">
        <f t="shared" si="1"/>
        <v>4.9842105263157896E-2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97">
        <v>491103</v>
      </c>
      <c r="B7" s="99">
        <v>237</v>
      </c>
      <c r="C7" s="98" t="str">
        <f t="shared" si="0"/>
        <v>Premium5R6releasecolor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 t="str">
        <f t="shared" si="3"/>
        <v>color</v>
      </c>
      <c r="H7" s="7" t="str">
        <f>VLOOKUP(B7,[1]characters!$A:$C,3,FALSE)</f>
        <v>森羅万象の神母 イザナミ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45">
        <f>IF(D7="Premium",16099,IF(D7="PremiumSS",950,969))</f>
        <v>16099</v>
      </c>
      <c r="P7" s="46">
        <f t="shared" si="1"/>
        <v>4.9842105263157896E-2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97">
        <v>491103</v>
      </c>
      <c r="B8" s="99">
        <v>249</v>
      </c>
      <c r="C8" s="98" t="str">
        <f t="shared" si="0"/>
        <v>Premium5color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>color</v>
      </c>
      <c r="H8" s="7" t="str">
        <f>VLOOKUP(B8,[1]characters!$A:$C,3,FALSE)</f>
        <v>雷電の天使 ミカエル・ゲイナー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f>IF(D8="Premium",16099,IF(D8="PremiumSS",950,969))</f>
        <v>16099</v>
      </c>
      <c r="P8" s="46">
        <f t="shared" si="1"/>
        <v>4.9842105263157896E-2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97">
        <v>491103</v>
      </c>
      <c r="B9" s="99">
        <v>261</v>
      </c>
      <c r="C9" s="98" t="str">
        <f t="shared" si="0"/>
        <v>Premium5color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>color</v>
      </c>
      <c r="H9" s="7" t="str">
        <f>VLOOKUP(B9,[1]characters!$A:$C,3,FALSE)</f>
        <v>輪廻の蛇龍 ウロボロス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45">
        <f>IF(D9="Premium",16099,IF(D9="PremiumSS",950,969))</f>
        <v>16099</v>
      </c>
      <c r="P9" s="46">
        <f t="shared" si="1"/>
        <v>4.9842105263157896E-2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97">
        <v>491103</v>
      </c>
      <c r="B10" s="99">
        <v>327</v>
      </c>
      <c r="C10" s="98" t="str">
        <f t="shared" si="0"/>
        <v>PremiumSS5color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千殺の妖志士 斎藤一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yellow</v>
      </c>
      <c r="L10" s="7" t="str">
        <f>VLOOKUP(B10,[1]characters!$A:$K,11,FALSE)</f>
        <v>technical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>IF(D10="Premium",16099,IF(D10="PremiumSS",950,969))</f>
        <v>950</v>
      </c>
      <c r="P10" s="46">
        <f t="shared" si="1"/>
        <v>2.9411764705882353E-3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97">
        <v>491103</v>
      </c>
      <c r="B11" s="99">
        <v>389</v>
      </c>
      <c r="C11" s="98" t="str">
        <f t="shared" si="0"/>
        <v>Premium5color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>color</v>
      </c>
      <c r="H11" s="7" t="str">
        <f>VLOOKUP(B11,[1]characters!$A:$C,3,FALSE)</f>
        <v>操神の愛姫 スフィンクス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heal</v>
      </c>
      <c r="M11" s="7" t="str">
        <f>VLOOKUP(B11,[1]characters!$A:$M,13,FALSE)</f>
        <v>animal</v>
      </c>
      <c r="N11" s="7" t="str">
        <f>VLOOKUP(B11,[1]characters!$A:$G,7,FALSE)</f>
        <v>女性</v>
      </c>
      <c r="O11" s="45">
        <f>IF(D11="Premium",16099,IF(D11="PremiumSS",950,969))</f>
        <v>16099</v>
      </c>
      <c r="P11" s="46">
        <f t="shared" si="1"/>
        <v>4.9842105263157896E-2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97">
        <v>491103</v>
      </c>
      <c r="B12" s="99">
        <v>399</v>
      </c>
      <c r="C12" s="98" t="str">
        <f t="shared" si="0"/>
        <v>PremiumSS5color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>color</v>
      </c>
      <c r="H12" s="7" t="str">
        <f>VLOOKUP(B12,[1]characters!$A:$C,3,FALSE)</f>
        <v>信愛の兄妹 ヘンゼル＆グレーテル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>IF(D12="Premium",16099,IF(D12="PremiumSS",950,969))</f>
        <v>950</v>
      </c>
      <c r="P12" s="46">
        <f t="shared" si="1"/>
        <v>2.9411764705882353E-3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97">
        <v>491103</v>
      </c>
      <c r="B13" s="99">
        <v>409</v>
      </c>
      <c r="C13" s="98" t="str">
        <f t="shared" si="0"/>
        <v>PremiumSS5color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>color</v>
      </c>
      <c r="H13" s="7" t="str">
        <f>VLOOKUP(B13,[1]characters!$A:$C,3,FALSE)</f>
        <v>天眼の皇貴魔 アスタロト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attack</v>
      </c>
      <c r="M13" s="7" t="str">
        <f>VLOOKUP(B13,[1]characters!$A:$M,13,FALSE)</f>
        <v>god</v>
      </c>
      <c r="N13" s="7" t="str">
        <f>VLOOKUP(B13,[1]characters!$A:$G,7,FALSE)</f>
        <v>男性</v>
      </c>
      <c r="O13" s="45">
        <f>IF(D13="Premium",16099,IF(D13="PremiumSS",950,969))</f>
        <v>950</v>
      </c>
      <c r="P13" s="46">
        <f t="shared" si="1"/>
        <v>2.9411764705882353E-3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97">
        <v>491103</v>
      </c>
      <c r="B14" s="99">
        <v>443</v>
      </c>
      <c r="C14" s="98" t="str">
        <f t="shared" si="0"/>
        <v>PremiumSS5color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>color</v>
      </c>
      <c r="H14" s="7" t="str">
        <f>VLOOKUP(B14,[1]characters!$A:$C,3,FALSE)</f>
        <v>勇機結集 ブレイブリー・ライオン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hp</v>
      </c>
      <c r="M14" s="7" t="str">
        <f>VLOOKUP(B14,[1]characters!$A:$M,13,FALSE)</f>
        <v>animal</v>
      </c>
      <c r="N14" s="7" t="str">
        <f>VLOOKUP(B14,[1]characters!$A:$G,7,FALSE)</f>
        <v>不明</v>
      </c>
      <c r="O14" s="45">
        <f>IF(D14="Premium",16099,IF(D14="PremiumSS",950,969))</f>
        <v>950</v>
      </c>
      <c r="P14" s="46">
        <f t="shared" si="1"/>
        <v>2.9411764705882353E-3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97">
        <v>491103</v>
      </c>
      <c r="B15" s="99">
        <v>471</v>
      </c>
      <c r="C15" s="98" t="str">
        <f t="shared" si="0"/>
        <v>Premium5color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不可避の爆激 トリスタン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f>IF(D15="Premium",16099,IF(D15="PremiumSS",950,969))</f>
        <v>16099</v>
      </c>
      <c r="P15" s="46">
        <f t="shared" si="1"/>
        <v>4.9842105263157896E-2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97">
        <v>491103</v>
      </c>
      <c r="B16" s="99">
        <v>483</v>
      </c>
      <c r="C16" s="98" t="str">
        <f t="shared" si="0"/>
        <v>Premium5color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>color</v>
      </c>
      <c r="H16" s="7" t="str">
        <f>VLOOKUP(B16,[1]characters!$A:$C,3,FALSE)</f>
        <v xml:space="preserve">命経死遂 沢庵宗彭 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hp</v>
      </c>
      <c r="M16" s="7" t="str">
        <f>VLOOKUP(B16,[1]characters!$A:$M,13,FALSE)</f>
        <v>human</v>
      </c>
      <c r="N16" s="7" t="str">
        <f>VLOOKUP(B16,[1]characters!$A:$G,7,FALSE)</f>
        <v>男性</v>
      </c>
      <c r="O16" s="45">
        <f>IF(D16="Premium",16099,IF(D16="PremiumSS",950,969))</f>
        <v>16099</v>
      </c>
      <c r="P16" s="46">
        <f t="shared" si="1"/>
        <v>4.9842105263157896E-2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97">
        <v>491103</v>
      </c>
      <c r="B17" s="99">
        <v>500</v>
      </c>
      <c r="C17" s="98" t="str">
        <f t="shared" si="0"/>
        <v>PremiumSS5color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>color</v>
      </c>
      <c r="H17" s="7" t="str">
        <f>VLOOKUP(B17,[1]characters!$A:$C,3,FALSE)</f>
        <v>脈動の禁髪 ラプンツェル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>IF(D17="Premium",16099,IF(D17="PremiumSS",950,969))</f>
        <v>950</v>
      </c>
      <c r="P17" s="46">
        <f t="shared" si="1"/>
        <v>2.9411764705882353E-3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97">
        <v>491103</v>
      </c>
      <c r="B18" s="99">
        <v>563</v>
      </c>
      <c r="C18" s="98" t="str">
        <f t="shared" si="0"/>
        <v>premium5R3lesscolor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電翔紫閃の雷刃 ハヤト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男性</v>
      </c>
      <c r="O18" s="45">
        <f>IF(D18="Premium",16099,IF(D18="PremiumSS",950,969))</f>
        <v>16099</v>
      </c>
      <c r="P18" s="46">
        <f t="shared" si="1"/>
        <v>4.9842105263157896E-2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97">
        <v>491103</v>
      </c>
      <c r="B19" s="99">
        <v>567</v>
      </c>
      <c r="C19" s="98" t="str">
        <f t="shared" si="0"/>
        <v>premium5R3lesscolor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 t="str">
        <f t="shared" si="3"/>
        <v>color</v>
      </c>
      <c r="H19" s="7" t="str">
        <f>VLOOKUP(B19,[1]characters!$A:$C,3,FALSE)</f>
        <v>紅揚の祭狐宴舞 タマモ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balance</v>
      </c>
      <c r="M19" s="7" t="str">
        <f>VLOOKUP(B19,[1]characters!$A:$M,13,FALSE)</f>
        <v>animal</v>
      </c>
      <c r="N19" s="7" t="str">
        <f>VLOOKUP(B19,[1]characters!$A:$G,7,FALSE)</f>
        <v>不明</v>
      </c>
      <c r="O19" s="45">
        <f>IF(D19="Premium",16099,IF(D19="PremiumSS",950,969))</f>
        <v>16099</v>
      </c>
      <c r="P19" s="46">
        <f t="shared" si="1"/>
        <v>4.9842105263157896E-2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97">
        <v>491103</v>
      </c>
      <c r="B20" s="99">
        <v>595</v>
      </c>
      <c r="C20" s="98" t="str">
        <f t="shared" si="0"/>
        <v>PremiumSS5color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>color</v>
      </c>
      <c r="H20" s="7" t="str">
        <f>VLOOKUP(B20,[1]characters!$A:$C,3,FALSE)</f>
        <v>光華なる神域 アルフヘイム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45">
        <f>IF(D20="Premium",16099,IF(D20="PremiumSS",950,969))</f>
        <v>950</v>
      </c>
      <c r="P20" s="46">
        <f t="shared" si="1"/>
        <v>2.9411764705882353E-3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97">
        <v>491103</v>
      </c>
      <c r="B21" s="99">
        <v>606</v>
      </c>
      <c r="C21" s="98" t="str">
        <f t="shared" si="0"/>
        <v>Premium5color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>color</v>
      </c>
      <c r="H21" s="7" t="str">
        <f>VLOOKUP(B21,[1]characters!$A:$C,3,FALSE)</f>
        <v>冀望の光芒 バルドル</v>
      </c>
      <c r="I21" s="7" t="str">
        <f>VLOOKUP(B21,[1]characters!$A:$J,10,FALSE)</f>
        <v>PremiumS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heal</v>
      </c>
      <c r="M21" s="7" t="str">
        <f>VLOOKUP(B21,[1]characters!$A:$M,13,FALSE)</f>
        <v>god</v>
      </c>
      <c r="N21" s="7" t="str">
        <f>VLOOKUP(B21,[1]characters!$A:$G,7,FALSE)</f>
        <v>男性</v>
      </c>
      <c r="O21" s="45">
        <f>IF(D21="Premium",16099,IF(D21="PremiumSS",950,969))</f>
        <v>16099</v>
      </c>
      <c r="P21" s="46">
        <f t="shared" si="1"/>
        <v>4.9842105263157896E-2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97">
        <v>491103</v>
      </c>
      <c r="B22" s="99">
        <v>667</v>
      </c>
      <c r="C22" s="98" t="str">
        <f t="shared" si="0"/>
        <v>Premium5color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>color</v>
      </c>
      <c r="H22" s="7" t="str">
        <f>VLOOKUP(B22,[1]characters!$A:$C,3,FALSE)</f>
        <v>最幸運の妖童 テマリ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unknown</v>
      </c>
      <c r="N22" s="7" t="str">
        <f>VLOOKUP(B22,[1]characters!$A:$G,7,FALSE)</f>
        <v>女性</v>
      </c>
      <c r="O22" s="45">
        <f>IF(D22="Premium",16099,IF(D22="PremiumSS",950,969))</f>
        <v>16099</v>
      </c>
      <c r="P22" s="46">
        <f t="shared" si="1"/>
        <v>4.9842105263157896E-2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97">
        <v>491103</v>
      </c>
      <c r="B23" s="99">
        <v>677</v>
      </c>
      <c r="C23" s="98" t="str">
        <f t="shared" si="0"/>
        <v>PremiumSS5color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武遊闊歩 ヴィシュヌ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yellow</v>
      </c>
      <c r="L23" s="7" t="str">
        <f>VLOOKUP(B23,[1]characters!$A:$K,11,FALSE)</f>
        <v>attack</v>
      </c>
      <c r="M23" s="7" t="str">
        <f>VLOOKUP(B23,[1]characters!$A:$M,13,FALSE)</f>
        <v>god</v>
      </c>
      <c r="N23" s="7" t="str">
        <f>VLOOKUP(B23,[1]characters!$A:$G,7,FALSE)</f>
        <v>女性</v>
      </c>
      <c r="O23" s="45">
        <f>IF(D23="Premium",16099,IF(D23="PremiumSS",950,969))</f>
        <v>950</v>
      </c>
      <c r="P23" s="46">
        <f t="shared" si="1"/>
        <v>2.9411764705882353E-3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97">
        <v>491103</v>
      </c>
      <c r="B24" s="99">
        <v>734</v>
      </c>
      <c r="C24" s="98" t="str">
        <f t="shared" si="0"/>
        <v>PremiumSS5R5onlycolor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 t="str">
        <f t="shared" si="3"/>
        <v>color</v>
      </c>
      <c r="H24" s="7" t="str">
        <f>VLOOKUP(B24,[1]characters!$A:$C,3,FALSE)</f>
        <v>伊達政宗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45">
        <f>IF(D24="Premium",16099,IF(D24="PremiumSS",950,969))</f>
        <v>950</v>
      </c>
      <c r="P24" s="46">
        <f t="shared" si="1"/>
        <v>2.9411764705882353E-3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97">
        <v>491103</v>
      </c>
      <c r="B25" s="99">
        <v>749</v>
      </c>
      <c r="C25" s="98" t="str">
        <f t="shared" si="0"/>
        <v>Premium5R3lesscolor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 t="str">
        <f t="shared" si="3"/>
        <v>color</v>
      </c>
      <c r="H25" s="7" t="str">
        <f>VLOOKUP(B25,[1]characters!$A:$C,3,FALSE)</f>
        <v>光喜の牧童 パーン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heal</v>
      </c>
      <c r="M25" s="7" t="str">
        <f>VLOOKUP(B25,[1]characters!$A:$M,13,FALSE)</f>
        <v>animal</v>
      </c>
      <c r="N25" s="7" t="str">
        <f>VLOOKUP(B25,[1]characters!$A:$G,7,FALSE)</f>
        <v>男性</v>
      </c>
      <c r="O25" s="45">
        <f>IF(D25="Premium",16099,IF(D25="PremiumSS",950,969))</f>
        <v>16099</v>
      </c>
      <c r="P25" s="46">
        <f t="shared" si="1"/>
        <v>4.9842105263157896E-2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97">
        <v>491103</v>
      </c>
      <c r="B26" s="99">
        <v>779</v>
      </c>
      <c r="C26" s="98" t="str">
        <f t="shared" si="0"/>
        <v>Premium5color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頑堅咬亀 ガメック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yellow</v>
      </c>
      <c r="L26" s="7" t="str">
        <f>VLOOKUP(B26,[1]characters!$A:$K,11,FALSE)</f>
        <v>hp</v>
      </c>
      <c r="M26" s="7" t="str">
        <f>VLOOKUP(B26,[1]characters!$A:$M,13,FALSE)</f>
        <v>animal</v>
      </c>
      <c r="N26" s="7" t="str">
        <f>VLOOKUP(B26,[1]characters!$A:$G,7,FALSE)</f>
        <v>不明</v>
      </c>
      <c r="O26" s="45">
        <f>IF(D26="Premium",16099,IF(D26="PremiumSS",950,969))</f>
        <v>16099</v>
      </c>
      <c r="P26" s="46">
        <f t="shared" si="1"/>
        <v>4.9842105263157896E-2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97">
        <v>491103</v>
      </c>
      <c r="B27" s="99">
        <v>855</v>
      </c>
      <c r="C27" s="98" t="str">
        <f t="shared" si="0"/>
        <v>Premium5R3lesscolor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 t="str">
        <f t="shared" si="3"/>
        <v>color</v>
      </c>
      <c r="H27" s="7" t="str">
        <f>VLOOKUP(B27,[1]characters!$A:$C,3,FALSE)</f>
        <v>豹魔の侠客 フラウロス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animal</v>
      </c>
      <c r="N27" s="7" t="str">
        <f>VLOOKUP(B27,[1]characters!$A:$G,7,FALSE)</f>
        <v>男性</v>
      </c>
      <c r="O27" s="45">
        <f>IF(D27="Premium",16099,IF(D27="PremiumSS",950,969))</f>
        <v>16099</v>
      </c>
      <c r="P27" s="46">
        <f t="shared" si="1"/>
        <v>4.9842105263157896E-2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97">
        <v>491103</v>
      </c>
      <c r="B28" s="99">
        <v>868</v>
      </c>
      <c r="C28" s="98" t="str">
        <f t="shared" si="0"/>
        <v>PremiumSS5R5onlycolor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 t="str">
        <f t="shared" si="3"/>
        <v>color</v>
      </c>
      <c r="H28" s="7" t="str">
        <f>VLOOKUP(B28,[1]characters!$A:$C,3,FALSE)</f>
        <v>アラジンと殲滅機兵LAMP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hp</v>
      </c>
      <c r="M28" s="7" t="str">
        <f>VLOOKUP(B28,[1]characters!$A:$M,13,FALSE)</f>
        <v>human</v>
      </c>
      <c r="N28" s="7" t="str">
        <f>VLOOKUP(B28,[1]characters!$A:$G,7,FALSE)</f>
        <v>男性</v>
      </c>
      <c r="O28" s="45">
        <f>IF(D28="Premium",16099,IF(D28="PremiumSS",950,969))</f>
        <v>950</v>
      </c>
      <c r="P28" s="46">
        <f t="shared" si="1"/>
        <v>2.9411764705882353E-3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97">
        <v>491103</v>
      </c>
      <c r="B29" s="99">
        <v>943</v>
      </c>
      <c r="C29" s="98" t="str">
        <f t="shared" si="0"/>
        <v>PremiumSS5R5onlycolor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 t="str">
        <f t="shared" si="3"/>
        <v>color</v>
      </c>
      <c r="H29" s="7" t="str">
        <f>VLOOKUP(B29,[1]characters!$A:$C,3,FALSE)</f>
        <v>サンソン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f>IF(D29="Premium",16099,IF(D29="PremiumSS",950,969))</f>
        <v>950</v>
      </c>
      <c r="P29" s="46">
        <f t="shared" si="1"/>
        <v>2.9411764705882353E-3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97">
        <v>491103</v>
      </c>
      <c r="B30" s="99">
        <v>1018</v>
      </c>
      <c r="C30" s="98" t="str">
        <f t="shared" ref="C30:C31" si="4">D30&amp;J30&amp;E30&amp;F30&amp;G30</f>
        <v>PremiumSS5R5onlycolor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 t="str">
        <f t="shared" si="3"/>
        <v>color</v>
      </c>
      <c r="H30" s="7" t="str">
        <f>VLOOKUP(B30,[1]characters!$A:$C,3,FALSE)</f>
        <v>バステト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f>IF(D30="Premium",16099,IF(D30="PremiumSS",950,969))</f>
        <v>950</v>
      </c>
      <c r="P30" s="46">
        <f t="shared" si="1"/>
        <v>2.9411764705882353E-3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97">
        <v>491103</v>
      </c>
      <c r="B31" s="99">
        <v>1033</v>
      </c>
      <c r="C31" s="98" t="str">
        <f t="shared" si="4"/>
        <v>PremiumSS5R5onlycolor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清少納言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45">
        <f>IF(D31="Premium",16099,IF(D31="PremiumSS",950,969))</f>
        <v>950</v>
      </c>
      <c r="P31" s="46">
        <f t="shared" si="1"/>
        <v>2.9411764705882353E-3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97">
        <v>491103</v>
      </c>
      <c r="B32" s="99">
        <v>1074</v>
      </c>
      <c r="C32" s="98" t="str">
        <f t="shared" ref="C32:C33" si="5">D32&amp;J32&amp;E32&amp;F32&amp;G32</f>
        <v>PremiumSS5R5onlycolor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 t="str">
        <f t="shared" ref="G32:G33" si="6">IF(K32="yellow","color","")</f>
        <v>color</v>
      </c>
      <c r="H32" s="7" t="str">
        <f>VLOOKUP(B32,[1]characters!$A:$C,3,FALSE)</f>
        <v>マルドゥク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yellow</v>
      </c>
      <c r="L32" s="7" t="str">
        <f>VLOOKUP(B32,[1]characters!$A:$K,11,FALSE)</f>
        <v>technical</v>
      </c>
      <c r="M32" s="7" t="str">
        <f>VLOOKUP(B32,[1]characters!$A:$M,13,FALSE)</f>
        <v>god</v>
      </c>
      <c r="N32" s="7" t="str">
        <f>VLOOKUP(B32,[1]characters!$A:$G,7,FALSE)</f>
        <v>男性</v>
      </c>
      <c r="O32" s="45">
        <f>IF(D32="Premium",16099,IF(D32="PremiumSS",950,969))</f>
        <v>950</v>
      </c>
      <c r="P32" s="46">
        <f t="shared" si="1"/>
        <v>2.9411764705882353E-3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97">
        <v>491103</v>
      </c>
      <c r="B33" s="99">
        <v>1106</v>
      </c>
      <c r="C33" s="98" t="str">
        <f t="shared" si="5"/>
        <v>PremiumSS5R5onlycolor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 t="str">
        <f t="shared" si="6"/>
        <v>color</v>
      </c>
      <c r="H33" s="7" t="str">
        <f>VLOOKUP(B33,[1]characters!$A:$C,3,FALSE)</f>
        <v>ラファエロ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human</v>
      </c>
      <c r="N33" s="7" t="str">
        <f>VLOOKUP(B33,[1]characters!$A:$G,7,FALSE)</f>
        <v>不明</v>
      </c>
      <c r="O33" s="45">
        <f>IF(D33="Premium",16099,IF(D33="PremiumSS",950,969))</f>
        <v>950</v>
      </c>
      <c r="P33" s="46">
        <f t="shared" si="1"/>
        <v>2.9411764705882353E-3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97">
        <v>491103</v>
      </c>
      <c r="B34" s="2">
        <v>1144</v>
      </c>
      <c r="C34" s="7" t="str">
        <f t="shared" ref="C34" si="7">D34&amp;J34&amp;E34&amp;F34&amp;G34</f>
        <v>Premium5R3lesscolor</v>
      </c>
      <c r="D34" s="7" t="str">
        <f t="shared" si="2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 t="str">
        <f t="shared" ref="G34" si="8">IF(K34="yellow","color","")</f>
        <v>color</v>
      </c>
      <c r="H34" s="7" t="str">
        <f>VLOOKUP(B34,[1]characters!$A:$C,3,FALSE)</f>
        <v>白星を射る老将 黄忠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technical</v>
      </c>
      <c r="M34" s="7" t="str">
        <f>VLOOKUP(B34,[1]characters!$A:$M,13,FALSE)</f>
        <v>samurai</v>
      </c>
      <c r="N34" s="7" t="str">
        <f>VLOOKUP(B34,[1]characters!$A:$G,7,FALSE)</f>
        <v>不明</v>
      </c>
      <c r="O34" s="45">
        <f>IF(D34="Premium",16099,IF(D34="PremiumSS",950,969))</f>
        <v>16099</v>
      </c>
      <c r="P34" s="46">
        <f t="shared" si="1"/>
        <v>4.9842105263157896E-2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97">
        <v>491103</v>
      </c>
      <c r="B35" s="2">
        <v>1157</v>
      </c>
      <c r="C35" s="7" t="str">
        <f t="shared" ref="C35" si="9">D35&amp;J35&amp;E35&amp;F35&amp;G35</f>
        <v>PremiumSS5R5onlycolor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 t="str">
        <f t="shared" ref="G35" si="10">IF(K35="yellow","color","")</f>
        <v>color</v>
      </c>
      <c r="H35" s="7" t="str">
        <f>VLOOKUP(B35,[1]characters!$A:$C,3,FALSE)</f>
        <v>インドラ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yellow</v>
      </c>
      <c r="L35" s="7" t="str">
        <f>VLOOKUP(B35,[1]characters!$A:$K,11,FALSE)</f>
        <v>attack</v>
      </c>
      <c r="M35" s="7" t="str">
        <f>VLOOKUP(B35,[1]characters!$A:$M,13,FALSE)</f>
        <v>god</v>
      </c>
      <c r="N35" s="7" t="str">
        <f>VLOOKUP(B35,[1]characters!$A:$G,7,FALSE)</f>
        <v>不明</v>
      </c>
      <c r="O35" s="45">
        <f>IF(D35="Premium",16099,IF(D35="PremiumSS",950,969))</f>
        <v>950</v>
      </c>
      <c r="P35" s="46">
        <f t="shared" si="1"/>
        <v>2.9411764705882353E-3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97">
        <v>491103</v>
      </c>
      <c r="B36" s="60">
        <v>1214</v>
      </c>
      <c r="C36" s="7" t="str">
        <f t="shared" ref="C36:C37" si="11">D36&amp;J36&amp;E36&amp;F36&amp;G36</f>
        <v>PremiumSS5R5onlycolor</v>
      </c>
      <c r="D36" s="7" t="str">
        <f t="shared" si="2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 t="str">
        <f t="shared" ref="G36:G37" si="12">IF(K36="yellow","color","")</f>
        <v>color</v>
      </c>
      <c r="H36" s="7" t="str">
        <f>VLOOKUP(B36,[1]characters!$A:$C,3,FALSE)</f>
        <v>アルテミス</v>
      </c>
      <c r="I36" s="7" t="str">
        <f>VLOOKUP(B36,[1]characters!$A:$J,10,FALSE)</f>
        <v>PremiumSSw</v>
      </c>
      <c r="J36" s="7">
        <f>VLOOKUP(B36,[1]characters!$A:$I,9,FALSE)</f>
        <v>5</v>
      </c>
      <c r="K36" s="7" t="str">
        <f>VLOOKUP(B36,[1]characters!$A:$H,8,FALSE)</f>
        <v>yellow</v>
      </c>
      <c r="L36" s="7" t="str">
        <f>VLOOKUP(B36,[1]characters!$A:$K,11,FALSE)</f>
        <v>balance</v>
      </c>
      <c r="M36" s="7" t="str">
        <f>VLOOKUP(B36,[1]characters!$A:$M,13,FALSE)</f>
        <v>god</v>
      </c>
      <c r="N36" s="7">
        <f>VLOOKUP(B36,[1]characters!$A:$G,7,FALSE)</f>
        <v>0</v>
      </c>
      <c r="O36" s="45">
        <f>IF(D36="Premium",16099,IF(D36="PremiumSS",950,969))</f>
        <v>950</v>
      </c>
      <c r="P36" s="46">
        <f t="shared" si="1"/>
        <v>2.9411764705882353E-3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97">
        <v>491103</v>
      </c>
      <c r="B37" s="60">
        <v>1230</v>
      </c>
      <c r="C37" s="7" t="str">
        <f t="shared" si="11"/>
        <v>PremiumSS5R5onlycolor</v>
      </c>
      <c r="D37" s="7" t="str">
        <f t="shared" si="2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 t="str">
        <f t="shared" si="12"/>
        <v>color</v>
      </c>
      <c r="H37" s="7" t="str">
        <f>VLOOKUP(B37,[1]characters!$A:$C,3,FALSE)</f>
        <v>夏目漱石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heal</v>
      </c>
      <c r="M37" s="7" t="str">
        <f>VLOOKUP(B37,[1]characters!$A:$M,13,FALSE)</f>
        <v>animal</v>
      </c>
      <c r="N37" s="7">
        <f>VLOOKUP(B37,[1]characters!$A:$G,7,FALSE)</f>
        <v>0</v>
      </c>
      <c r="O37" s="45">
        <f>IF(D37="Premium",16099,IF(D37="PremiumSS",950,969))</f>
        <v>950</v>
      </c>
      <c r="P37" s="46">
        <f t="shared" si="1"/>
        <v>2.9411764705882353E-3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97">
        <v>491103</v>
      </c>
      <c r="B38" s="2">
        <v>1286</v>
      </c>
      <c r="C38" s="7" t="str">
        <f t="shared" ref="C38" si="13">D38&amp;J38&amp;E38&amp;F38&amp;G38</f>
        <v>PremiumSSS5R3lesscolor</v>
      </c>
      <c r="D38" s="7" t="str">
        <f t="shared" si="2"/>
        <v>PremiumSSS</v>
      </c>
      <c r="E38" s="7" t="str">
        <f>IF(COUNTIF('R6追加前'!A:A,B38)=0,IF(OR(I38="PremiumSS",I38="PremiumSSw"),"R5only","R3less"),"")</f>
        <v>R3less</v>
      </c>
      <c r="F38" s="7" t="str">
        <f>IF(COUNTIF('R6開放'!A:A,B38)&gt;0,"R6release","")</f>
        <v/>
      </c>
      <c r="G38" s="7" t="str">
        <f t="shared" ref="G38" si="14">IF(K38="yellow","color","")</f>
        <v>color</v>
      </c>
      <c r="H38" s="7" t="str">
        <f>VLOOKUP(B38,[1]characters!$A:$C,3,FALSE)</f>
        <v>ニコラ</v>
      </c>
      <c r="I38" s="7" t="str">
        <f>VLOOKUP(B38,[1]characters!$A:$J,10,FALSE)</f>
        <v>PremiumSSS</v>
      </c>
      <c r="J38" s="7">
        <f>VLOOKUP(B38,[1]characters!$A:$I,9,FALSE)</f>
        <v>5</v>
      </c>
      <c r="K38" s="7" t="str">
        <f>VLOOKUP(B38,[1]characters!$A:$H,8,FALSE)</f>
        <v>yellow</v>
      </c>
      <c r="L38" s="7" t="str">
        <f>VLOOKUP(B38,[1]characters!$A:$K,11,FALSE)</f>
        <v>hp</v>
      </c>
      <c r="M38" s="7" t="str">
        <f>VLOOKUP(B38,[1]characters!$A:$M,13,FALSE)</f>
        <v>human</v>
      </c>
      <c r="N38" s="7">
        <f>VLOOKUP(B38,[1]characters!$A:$G,7,FALSE)</f>
        <v>0</v>
      </c>
      <c r="O38" s="45">
        <f>IF(D38="Premium",16099,IF(D38="PremiumSS",950,969))</f>
        <v>969</v>
      </c>
      <c r="P38" s="46">
        <f t="shared" si="1"/>
        <v>3.0000000000000001E-3</v>
      </c>
      <c r="Q38" s="88">
        <v>80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107"/>
      <c r="B39" s="107"/>
      <c r="E39" s="1">
        <f>COUNTIF(D:D,"Premium")</f>
        <v>19</v>
      </c>
      <c r="F39" s="110">
        <f>E42*0.947/E39</f>
        <v>16099</v>
      </c>
    </row>
    <row r="40" spans="1:22" ht="21" customHeight="1" x14ac:dyDescent="0.15">
      <c r="A40" s="107"/>
      <c r="B40" s="107"/>
      <c r="E40" s="1">
        <f>COUNTIF(D:D,"PremiumSS")</f>
        <v>17</v>
      </c>
      <c r="F40" s="110">
        <f>E42*0.05/E40</f>
        <v>950</v>
      </c>
    </row>
    <row r="41" spans="1:22" ht="21" customHeight="1" x14ac:dyDescent="0.15">
      <c r="A41" s="107"/>
      <c r="B41" s="107"/>
      <c r="E41" s="1">
        <f>COUNTIF(D:D,"PremiumSSS")</f>
        <v>1</v>
      </c>
      <c r="F41" s="110">
        <f>E42*0.003/E41</f>
        <v>969</v>
      </c>
    </row>
    <row r="42" spans="1:22" ht="21" customHeight="1" x14ac:dyDescent="0.15">
      <c r="A42" s="107"/>
      <c r="B42" s="107"/>
      <c r="E42" s="1">
        <f>E39*E40*E41*300*20/6</f>
        <v>323000</v>
      </c>
      <c r="F42" s="1">
        <f>GCD(F39,F40,F41)</f>
        <v>1</v>
      </c>
    </row>
    <row r="43" spans="1:22" ht="21" customHeight="1" x14ac:dyDescent="0.15">
      <c r="A43" s="107"/>
      <c r="B43" s="107"/>
    </row>
    <row r="44" spans="1:22" ht="21" customHeight="1" x14ac:dyDescent="0.15">
      <c r="A44" s="107"/>
      <c r="B44" s="107"/>
    </row>
    <row r="45" spans="1:22" ht="21" customHeight="1" x14ac:dyDescent="0.15">
      <c r="A45" s="107"/>
      <c r="B45" s="107"/>
    </row>
    <row r="46" spans="1:22" ht="21" customHeight="1" x14ac:dyDescent="0.15">
      <c r="A46" s="107"/>
      <c r="B46" s="107"/>
    </row>
    <row r="47" spans="1:22" ht="21" customHeight="1" x14ac:dyDescent="0.15">
      <c r="A47" s="107"/>
      <c r="B47" s="107"/>
    </row>
    <row r="48" spans="1:22" ht="21" customHeight="1" x14ac:dyDescent="0.15">
      <c r="A48" s="107"/>
      <c r="B48" s="107"/>
    </row>
    <row r="49" spans="1:2" ht="21" customHeight="1" x14ac:dyDescent="0.15">
      <c r="A49" s="107"/>
      <c r="B49" s="107"/>
    </row>
    <row r="50" spans="1:2" ht="21" customHeight="1" x14ac:dyDescent="0.15">
      <c r="A50" s="107"/>
      <c r="B50" s="107"/>
    </row>
    <row r="51" spans="1:2" ht="21" customHeight="1" x14ac:dyDescent="0.15">
      <c r="A51" s="107"/>
      <c r="B51" s="107"/>
    </row>
    <row r="52" spans="1:2" ht="21" customHeight="1" x14ac:dyDescent="0.15">
      <c r="A52" s="107"/>
      <c r="B52" s="107"/>
    </row>
    <row r="53" spans="1:2" ht="21" customHeight="1" x14ac:dyDescent="0.15">
      <c r="A53" s="107"/>
      <c r="B53" s="107"/>
    </row>
    <row r="54" spans="1:2" ht="21" customHeight="1" x14ac:dyDescent="0.15">
      <c r="A54" s="107"/>
      <c r="B54" s="107"/>
    </row>
    <row r="55" spans="1:2" ht="21" customHeight="1" x14ac:dyDescent="0.15">
      <c r="A55" s="107"/>
      <c r="B55" s="107"/>
    </row>
    <row r="56" spans="1:2" ht="21" customHeight="1" x14ac:dyDescent="0.15">
      <c r="A56" s="107"/>
      <c r="B56" s="107"/>
    </row>
    <row r="57" spans="1:2" ht="21" customHeight="1" x14ac:dyDescent="0.15">
      <c r="A57" s="107"/>
      <c r="B57" s="107"/>
    </row>
    <row r="58" spans="1:2" ht="21" customHeight="1" x14ac:dyDescent="0.15">
      <c r="A58" s="107"/>
      <c r="B58" s="107"/>
    </row>
    <row r="59" spans="1:2" ht="21" customHeight="1" x14ac:dyDescent="0.15">
      <c r="A59" s="107"/>
      <c r="B59" s="107"/>
    </row>
    <row r="60" spans="1:2" ht="21" customHeight="1" x14ac:dyDescent="0.15">
      <c r="A60" s="107"/>
      <c r="B60" s="107"/>
    </row>
    <row r="61" spans="1:2" ht="21" customHeight="1" x14ac:dyDescent="0.15">
      <c r="A61" s="107"/>
      <c r="B61" s="107"/>
    </row>
    <row r="62" spans="1:2" ht="21" customHeight="1" x14ac:dyDescent="0.15">
      <c r="A62" s="107"/>
      <c r="B62" s="107"/>
    </row>
    <row r="63" spans="1:2" ht="21" customHeight="1" x14ac:dyDescent="0.15">
      <c r="A63" s="107"/>
      <c r="B63" s="107"/>
    </row>
    <row r="64" spans="1:2" ht="21" customHeight="1" x14ac:dyDescent="0.15">
      <c r="A64" s="107"/>
      <c r="B64" s="107"/>
    </row>
    <row r="65" spans="1:2" ht="21" customHeight="1" x14ac:dyDescent="0.15">
      <c r="A65" s="107"/>
      <c r="B65" s="107"/>
    </row>
    <row r="66" spans="1:2" ht="21" customHeight="1" x14ac:dyDescent="0.15">
      <c r="A66" s="107"/>
      <c r="B66" s="107"/>
    </row>
    <row r="67" spans="1:2" ht="21" customHeight="1" x14ac:dyDescent="0.15">
      <c r="A67" s="107"/>
      <c r="B67" s="107"/>
    </row>
    <row r="68" spans="1:2" ht="21" customHeight="1" x14ac:dyDescent="0.15">
      <c r="A68" s="107"/>
      <c r="B68" s="107"/>
    </row>
    <row r="69" spans="1:2" ht="21" customHeight="1" x14ac:dyDescent="0.15">
      <c r="A69" s="107"/>
      <c r="B69" s="107"/>
    </row>
    <row r="70" spans="1:2" ht="21" customHeight="1" x14ac:dyDescent="0.15">
      <c r="A70" s="107"/>
      <c r="B70" s="107"/>
    </row>
    <row r="71" spans="1:2" ht="21" customHeight="1" x14ac:dyDescent="0.15">
      <c r="A71" s="107"/>
      <c r="B71" s="107"/>
    </row>
    <row r="72" spans="1:2" ht="21" customHeight="1" x14ac:dyDescent="0.15">
      <c r="A72" s="107"/>
      <c r="B72" s="107"/>
    </row>
    <row r="73" spans="1:2" ht="21" customHeight="1" x14ac:dyDescent="0.15">
      <c r="A73" s="107"/>
      <c r="B73" s="107"/>
    </row>
    <row r="74" spans="1:2" ht="21" customHeight="1" x14ac:dyDescent="0.15">
      <c r="A74" s="107"/>
      <c r="B74" s="107"/>
    </row>
    <row r="75" spans="1:2" ht="21" customHeight="1" x14ac:dyDescent="0.15">
      <c r="A75" s="107"/>
      <c r="B75" s="107"/>
    </row>
    <row r="76" spans="1:2" ht="21" customHeight="1" x14ac:dyDescent="0.15">
      <c r="A76" s="107"/>
      <c r="B76" s="107"/>
    </row>
    <row r="77" spans="1:2" ht="21" customHeight="1" x14ac:dyDescent="0.15">
      <c r="A77" s="107"/>
      <c r="B77" s="107"/>
    </row>
    <row r="78" spans="1:2" ht="21" customHeight="1" x14ac:dyDescent="0.15">
      <c r="A78" s="107"/>
      <c r="B78" s="107"/>
    </row>
  </sheetData>
  <autoFilter ref="A1:V33"/>
  <sortState ref="A2:V114">
    <sortCondition ref="G2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5"/>
  <sheetViews>
    <sheetView topLeftCell="A11" workbookViewId="0">
      <selection activeCell="E49" sqref="E49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491104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VLOOKUP(L3,tables_491104!B:C,2,FALSE)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VLOOKUP(L4,tables_491104!B:C,2,FALSE)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4.3478260869565224E-4</v>
      </c>
      <c r="F5">
        <f>(COUNTIF(tables_491104!C:C,input_491104!A28)+COUNTIF(tables_491104!C:C,input_491104!A29))</f>
        <v>46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VLOOKUP(L5,tables_491104!B:C,2,FALSE)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1.764705882352941E-3</v>
      </c>
      <c r="F6">
        <f>(COUNTIF(tables_491104!C:C,input_491104!A43)+COUNTIF(tables_491104!C:C,input_491104!A44))</f>
        <v>17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VLOOKUP(L6,tables_491104!B:C,2,FALSE)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5.3183098591549297E-3</v>
      </c>
      <c r="F7">
        <f>(COUNTIF(tables_491104!C:C,input_491104!A26)+COUNTIF(tables_491104!C:C,input_491104!A18)+COUNTIF(tables_491104!C:C,input_491104!A20)+COUNTIF(tables_491104!C:C,input_491104!A22))</f>
        <v>71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VLOOKUP(L7,tables_491104!B:C,2,FALSE)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2.574545454545454E-2</v>
      </c>
      <c r="F8">
        <f>(COUNTIF(tables_491104!C:C,input_491104!A40)+COUNTIF(tables_491104!C:C,input_491104!A33)+COUNTIF(tables_491104!C:C,input_491104!A35)+COUNTIF(tables_491104!C:C,input_491104!A37))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VLOOKUP(L8,tables_491104!B:C,2,FALSE)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VLOOKUP(L9,tables_491104!B:C,2,FALSE)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0.94399999999999995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VLOOKUP(L10,tables_491104!B:C,2,FALSE)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89">
        <f>5%</f>
        <v>0.05</v>
      </c>
      <c r="C11" t="s">
        <v>273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VLOOKUP(L11,tables_491104!B:C,2,FALSE)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6.0000000000000001E-3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VLOOKUP(L12,tables_491104!B:C,2,FALSE)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VLOOKUP(L13,tables_491104!B:C,2,FALSE)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VLOOKUP(L14,tables_491104!B:C,2,FALSE)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VLOOKUP(L15,tables_491104!B:C,2,FALSE)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VLOOKUP(L16,tables_491104!B:C,2,FALSE)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1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COUNTIF(tables_491104!C:C,input_491104!A17)-COUNTIF(Q:Q,A17)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VLOOKUP(L17,tables_491104!B:C,2,FALSE)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E$7*E18-B17+0.01</f>
        <v>8.9774647887323936E-2</v>
      </c>
      <c r="C18" s="86">
        <f t="shared" si="2"/>
        <v>0</v>
      </c>
      <c r="D18" s="75">
        <f t="shared" si="3"/>
        <v>8.9774647887323936E-2</v>
      </c>
      <c r="E18">
        <f>COUNTIF(tables_491104!C:C,input_491104!A18)-COUNTIF(Q:Q,A18)</f>
        <v>15</v>
      </c>
      <c r="F18" s="43">
        <f>IFERROR(B18/E18,0)</f>
        <v>5.9849765258215958E-3</v>
      </c>
      <c r="G18">
        <f t="shared" si="4"/>
        <v>1172816</v>
      </c>
      <c r="H18">
        <f t="shared" si="5"/>
        <v>78187.733330000003</v>
      </c>
      <c r="I18">
        <f t="shared" si="6"/>
        <v>0.73333000000275206</v>
      </c>
      <c r="J18">
        <f t="shared" si="7"/>
        <v>1.363642562006528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VLOOKUP(L18,tables_491104!B:C,2,FALSE)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COUNTIF(tables_491104!C:C,input_491104!A19)-COUNTIF(Q:Q,A19)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VLOOKUP(L19,tables_491104!B:C,2,FALSE)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1">
        <f>E$7*E20*B$6+F49-0.03+0.01-G64</f>
        <v>0.17704338028084798</v>
      </c>
      <c r="C20" s="86">
        <f t="shared" si="2"/>
        <v>0</v>
      </c>
      <c r="D20" s="75">
        <f t="shared" si="3"/>
        <v>0.17704338028084798</v>
      </c>
      <c r="E20">
        <f>COUNTIF(tables_491104!C:C,input_491104!A20)-COUNTIF(Q:Q,A20)</f>
        <v>39</v>
      </c>
      <c r="F20" s="43">
        <f t="shared" si="8"/>
        <v>4.5395738533550766E-3</v>
      </c>
      <c r="G20">
        <f t="shared" si="4"/>
        <v>2312894.719988998</v>
      </c>
      <c r="H20">
        <f t="shared" si="5"/>
        <v>59304.992819999999</v>
      </c>
      <c r="I20">
        <f t="shared" si="6"/>
        <v>0.99281999999948312</v>
      </c>
      <c r="J20">
        <f t="shared" si="7"/>
        <v>1.0072319252236264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VLOOKUP(L20,tables_491104!B:C,2,FALSE)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3.7070422535211318E-4</v>
      </c>
      <c r="C21" s="86">
        <f t="shared" si="2"/>
        <v>0</v>
      </c>
      <c r="D21" s="75">
        <f t="shared" si="3"/>
        <v>3.7070422535211318E-4</v>
      </c>
      <c r="E21">
        <f>COUNTIF(tables_491104!C:C,input_491104!A21)-COUNTIF(Q:Q,A21)</f>
        <v>39</v>
      </c>
      <c r="F21" s="43">
        <f t="shared" si="8"/>
        <v>9.5052365474900812E-6</v>
      </c>
      <c r="G21">
        <f t="shared" si="4"/>
        <v>4842.8800000000065</v>
      </c>
      <c r="H21">
        <f t="shared" si="5"/>
        <v>124.17641</v>
      </c>
      <c r="I21">
        <f t="shared" si="6"/>
        <v>0.17641000000000417</v>
      </c>
      <c r="J21">
        <f t="shared" si="7"/>
        <v>5.668612890425579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9.2069859154929684E-2</v>
      </c>
      <c r="C22" s="86">
        <f t="shared" si="2"/>
        <v>0</v>
      </c>
      <c r="D22" s="75">
        <f t="shared" si="3"/>
        <v>9.2069859154929684E-2</v>
      </c>
      <c r="E22">
        <f>COUNTIF(tables_491104!C:C,input_491104!A22)-COUNTIF(Q:Q,A22)</f>
        <v>14</v>
      </c>
      <c r="F22" s="43">
        <f t="shared" si="8"/>
        <v>6.5764185110664059E-3</v>
      </c>
      <c r="G22">
        <f t="shared" si="4"/>
        <v>1202800.6400000013</v>
      </c>
      <c r="H22">
        <f t="shared" si="5"/>
        <v>85914.331430000006</v>
      </c>
      <c r="I22">
        <f t="shared" si="6"/>
        <v>0.33143000000563916</v>
      </c>
      <c r="J22">
        <f t="shared" si="7"/>
        <v>3.0172283739642922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4.7864788732394368E-3</v>
      </c>
      <c r="C23" s="86">
        <f t="shared" si="2"/>
        <v>0</v>
      </c>
      <c r="D23" s="75">
        <f t="shared" si="3"/>
        <v>4.7864788732394368E-3</v>
      </c>
      <c r="E23">
        <f>COUNTIF(tables_491104!C:C,input_491104!A23)-COUNTIF(Q:Q,A23)</f>
        <v>18</v>
      </c>
      <c r="F23" s="43">
        <f t="shared" si="8"/>
        <v>2.6591549295774649E-4</v>
      </c>
      <c r="G23">
        <f t="shared" si="4"/>
        <v>62530.560000000005</v>
      </c>
      <c r="H23">
        <f t="shared" si="5"/>
        <v>3473.92</v>
      </c>
      <c r="I23">
        <f t="shared" si="6"/>
        <v>0.92000000000007276</v>
      </c>
      <c r="J23">
        <f t="shared" si="7"/>
        <v>1.0869565217390444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COUNTIF(tables_491104!C:C,input_491104!A24)-COUNTIF(Q:Q,A24)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1.5157183098591549E-2</v>
      </c>
      <c r="C25" s="86">
        <f t="shared" si="2"/>
        <v>0</v>
      </c>
      <c r="D25" s="75">
        <f t="shared" si="3"/>
        <v>1.5157183098591549E-2</v>
      </c>
      <c r="E25">
        <f>COUNTIF(tables_491104!C:C,input_491104!A25)-COUNTIF(Q:Q,A25)</f>
        <v>3</v>
      </c>
      <c r="F25" s="43">
        <f t="shared" si="8"/>
        <v>5.0523943661971828E-3</v>
      </c>
      <c r="G25">
        <f t="shared" si="4"/>
        <v>198013.44</v>
      </c>
      <c r="H25">
        <f t="shared" si="5"/>
        <v>66004.479999999996</v>
      </c>
      <c r="I25">
        <f t="shared" si="6"/>
        <v>0.47999999999592546</v>
      </c>
      <c r="J25">
        <f t="shared" si="7"/>
        <v>2.083333333351018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7.9774647887323946E-4</v>
      </c>
      <c r="C26" s="86">
        <f t="shared" si="2"/>
        <v>0</v>
      </c>
      <c r="D26" s="75">
        <f t="shared" si="3"/>
        <v>7.9774647887323946E-4</v>
      </c>
      <c r="E26">
        <f>COUNTIF(tables_491104!C:C,input_491104!A26)-COUNTIF(Q:Q,A26)</f>
        <v>3</v>
      </c>
      <c r="F26" s="43">
        <f t="shared" si="8"/>
        <v>2.6591549295774649E-4</v>
      </c>
      <c r="G26">
        <f t="shared" si="4"/>
        <v>10421.76</v>
      </c>
      <c r="H26">
        <f t="shared" si="5"/>
        <v>3473.92</v>
      </c>
      <c r="I26">
        <f t="shared" si="6"/>
        <v>0.92000000000007276</v>
      </c>
      <c r="J26">
        <f t="shared" si="7"/>
        <v>1.0869565217390444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8.6739130443204138E-3</v>
      </c>
      <c r="C27" s="86">
        <f t="shared" si="2"/>
        <v>0</v>
      </c>
      <c r="D27" s="75">
        <f t="shared" si="3"/>
        <v>8.6739130443204138E-3</v>
      </c>
      <c r="E27">
        <f>COUNTIF(tables_491104!C:C,input_491104!A27)-COUNTIF(Q:Q,A27)</f>
        <v>21</v>
      </c>
      <c r="F27" s="43">
        <f>IFERROR(B27/E27,0)</f>
        <v>4.1304347830097211E-4</v>
      </c>
      <c r="G27">
        <f t="shared" si="4"/>
        <v>113316.00001100189</v>
      </c>
      <c r="H27">
        <f t="shared" si="5"/>
        <v>5396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4.5652173913043485E-4</v>
      </c>
      <c r="C28" s="86">
        <f t="shared" si="2"/>
        <v>0</v>
      </c>
      <c r="D28" s="75">
        <f t="shared" si="3"/>
        <v>4.5652173913043485E-4</v>
      </c>
      <c r="E28">
        <f>COUNTIF(tables_491104!C:C,input_491104!A28)-COUNTIF(Q:Q,A28)</f>
        <v>21</v>
      </c>
      <c r="F28" s="43">
        <f t="shared" si="8"/>
        <v>2.1739130434782614E-5</v>
      </c>
      <c r="G28">
        <f t="shared" si="4"/>
        <v>5964.0000000000009</v>
      </c>
      <c r="H28">
        <f t="shared" si="5"/>
        <v>284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</f>
        <v>1.0869565217391306E-2</v>
      </c>
      <c r="C29" s="86">
        <f t="shared" si="2"/>
        <v>0</v>
      </c>
      <c r="D29" s="75">
        <f t="shared" si="3"/>
        <v>1.0869565217391306E-2</v>
      </c>
      <c r="E29">
        <f>COUNTIF(tables_491104!C:C,input_491104!A29)-COUNTIF(Q:Q,A29)</f>
        <v>25</v>
      </c>
      <c r="F29" s="43">
        <f t="shared" si="8"/>
        <v>4.3478260869565224E-4</v>
      </c>
      <c r="G29">
        <f t="shared" si="4"/>
        <v>142000.00000000003</v>
      </c>
      <c r="H29">
        <f t="shared" si="5"/>
        <v>5680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COUNTIF(tables_491104!C:C,input_491104!A30)-COUNTIF(Q:Q,A30)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COUNTIF(tables_491104!C:C,input_491104!A31)-COUNTIF(Q:Q,A31)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1">
        <f>B$5*0.6-B34-B39</f>
        <v>0</v>
      </c>
      <c r="C32" s="86">
        <f t="shared" si="2"/>
        <v>0</v>
      </c>
      <c r="D32" s="75">
        <f t="shared" si="3"/>
        <v>0</v>
      </c>
      <c r="E32">
        <f>COUNTIF(tables_491104!C:C,input_491104!A32)-COUNTIF(Q:Q,A32)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0.14872727272727268</v>
      </c>
      <c r="C33" s="86">
        <f t="shared" si="2"/>
        <v>0</v>
      </c>
      <c r="D33" s="75">
        <f t="shared" si="3"/>
        <v>0.14872727272727268</v>
      </c>
      <c r="E33">
        <f>COUNTIF(tables_491104!C:C,input_491104!A33)-COUNTIF(Q:Q,A33)</f>
        <v>5</v>
      </c>
      <c r="F33" s="43">
        <f>IFERROR(B33/E33,0)</f>
        <v>2.9745454545454537E-2</v>
      </c>
      <c r="G33">
        <f t="shared" si="4"/>
        <v>1942973.0909090904</v>
      </c>
      <c r="H33">
        <f t="shared" si="5"/>
        <v>388594.61817999999</v>
      </c>
      <c r="I33">
        <f t="shared" si="6"/>
        <v>0.61817999999038875</v>
      </c>
      <c r="J33">
        <f t="shared" si="7"/>
        <v>1.6176518166481408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COUNTIF(tables_491104!C:C,input_491104!A34)-COUNTIF(Q:Q,A34)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E$8*E35*B$6+E49-0.002</f>
        <v>0.33196026786860489</v>
      </c>
      <c r="C35" s="86">
        <f t="shared" si="2"/>
        <v>0</v>
      </c>
      <c r="D35" s="75">
        <f t="shared" si="3"/>
        <v>0.33196026786860489</v>
      </c>
      <c r="E35">
        <f>COUNTIF(tables_491104!C:C,input_491104!A35)-COUNTIF(Q:Q,A35)</f>
        <v>13</v>
      </c>
      <c r="F35" s="43">
        <f t="shared" si="9"/>
        <v>2.5535405220661913E-2</v>
      </c>
      <c r="G35">
        <f t="shared" si="4"/>
        <v>4336728.9394354541</v>
      </c>
      <c r="H35">
        <f t="shared" si="5"/>
        <v>333594.53379999998</v>
      </c>
      <c r="I35">
        <f t="shared" si="6"/>
        <v>0.53379999997559935</v>
      </c>
      <c r="J35">
        <f t="shared" si="7"/>
        <v>1.8733608093775032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E$8*E36*B$7-E49+0.002</f>
        <v>2.7306412223041723E-3</v>
      </c>
      <c r="C36" s="86">
        <f t="shared" si="2"/>
        <v>0</v>
      </c>
      <c r="D36" s="75">
        <f t="shared" si="3"/>
        <v>2.7306412223041723E-3</v>
      </c>
      <c r="E36">
        <f>COUNTIF(tables_491104!C:C,input_491104!A36)-COUNTIF(Q:Q,A36)</f>
        <v>13</v>
      </c>
      <c r="F36" s="43">
        <f t="shared" si="9"/>
        <v>2.1004932479262863E-4</v>
      </c>
      <c r="G36">
        <f t="shared" si="4"/>
        <v>35673.096928181709</v>
      </c>
      <c r="H36">
        <f t="shared" si="5"/>
        <v>2744.0843799999998</v>
      </c>
      <c r="I36">
        <f t="shared" si="6"/>
        <v>8.437999999978274E-2</v>
      </c>
      <c r="J36">
        <f t="shared" si="7"/>
        <v>11.85114956153798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</f>
        <v>5.0399999999999875E-2</v>
      </c>
      <c r="C37" s="86">
        <f t="shared" si="2"/>
        <v>0</v>
      </c>
      <c r="D37" s="75">
        <f t="shared" si="3"/>
        <v>5.0399999999999875E-2</v>
      </c>
      <c r="E37">
        <f>COUNTIF(tables_491104!C:C,input_491104!A37)-COUNTIF(Q:Q,A37)</f>
        <v>3</v>
      </c>
      <c r="F37" s="43">
        <f t="shared" si="9"/>
        <v>1.6799999999999957E-2</v>
      </c>
      <c r="G37">
        <f t="shared" si="4"/>
        <v>658425.59999999835</v>
      </c>
      <c r="H37">
        <f t="shared" si="5"/>
        <v>219475.20000000001</v>
      </c>
      <c r="I37">
        <f t="shared" si="6"/>
        <v>0.20000000001164153</v>
      </c>
      <c r="J37">
        <f t="shared" si="7"/>
        <v>4.9999999997089617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E38*E8*B7-0.002</f>
        <v>4.436363636363635E-3</v>
      </c>
      <c r="C38" s="86">
        <f t="shared" si="2"/>
        <v>0</v>
      </c>
      <c r="D38" s="75">
        <f t="shared" si="3"/>
        <v>4.436363636363635E-3</v>
      </c>
      <c r="E38">
        <f>COUNTIF(tables_491104!C:C,input_491104!A38)-COUNTIF(Q:Q,A38)</f>
        <v>5</v>
      </c>
      <c r="F38" s="43">
        <f t="shared" si="9"/>
        <v>8.87272727272727E-4</v>
      </c>
      <c r="G38">
        <f t="shared" si="4"/>
        <v>57956.654545454527</v>
      </c>
      <c r="H38">
        <f t="shared" si="5"/>
        <v>11591.330910000001</v>
      </c>
      <c r="I38">
        <f t="shared" si="6"/>
        <v>0.33091000000058557</v>
      </c>
      <c r="J38">
        <f t="shared" si="7"/>
        <v>3.0219697198580593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COUNTIF(tables_491104!C:C,input_491104!A39)-COUNTIF(Q:Q,A39)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2.4458181818181813E-2</v>
      </c>
      <c r="C40" s="86">
        <f t="shared" si="2"/>
        <v>0</v>
      </c>
      <c r="D40" s="75">
        <f t="shared" si="3"/>
        <v>2.4458181818181813E-2</v>
      </c>
      <c r="E40">
        <f>COUNTIF(tables_491104!C:C,input_491104!A40)-COUNTIF(Q:Q,A40)</f>
        <v>1</v>
      </c>
      <c r="F40" s="43">
        <f t="shared" si="9"/>
        <v>2.4458181818181813E-2</v>
      </c>
      <c r="G40">
        <f t="shared" si="4"/>
        <v>319521.6872727272</v>
      </c>
      <c r="H40">
        <f t="shared" si="5"/>
        <v>319521.68726999999</v>
      </c>
      <c r="I40">
        <f t="shared" si="6"/>
        <v>0.68726999999489635</v>
      </c>
      <c r="J40">
        <f t="shared" si="7"/>
        <v>1.4550322289746767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1.2872727272727272E-3</v>
      </c>
      <c r="C41" s="86">
        <f t="shared" si="2"/>
        <v>0</v>
      </c>
      <c r="D41" s="75">
        <f t="shared" si="3"/>
        <v>1.2872727272727272E-3</v>
      </c>
      <c r="E41">
        <f>COUNTIF(tables_491104!C:C,input_491104!A41)-COUNTIF(Q:Q,A41)</f>
        <v>1</v>
      </c>
      <c r="F41" s="43">
        <f t="shared" si="9"/>
        <v>1.2872727272727272E-3</v>
      </c>
      <c r="G41">
        <f t="shared" si="4"/>
        <v>16816.930909090908</v>
      </c>
      <c r="H41">
        <f t="shared" si="5"/>
        <v>16816.930909999999</v>
      </c>
      <c r="I41">
        <f t="shared" si="6"/>
        <v>0.93090999999913038</v>
      </c>
      <c r="J41">
        <f t="shared" si="7"/>
        <v>1.0742177009602798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1.1735294117647057E-2</v>
      </c>
      <c r="C42" s="86">
        <f t="shared" si="2"/>
        <v>0</v>
      </c>
      <c r="D42" s="75">
        <f t="shared" si="3"/>
        <v>1.1735294117647057E-2</v>
      </c>
      <c r="E42">
        <f>COUNTIF(tables_491104!C:C,input_491104!A42)-COUNTIF(Q:Q,A42)</f>
        <v>7</v>
      </c>
      <c r="F42" s="43">
        <f>IFERROR(B42/E42,0)</f>
        <v>1.6764705882352938E-3</v>
      </c>
      <c r="G42">
        <f t="shared" si="4"/>
        <v>153309.88235294115</v>
      </c>
      <c r="H42">
        <f t="shared" si="5"/>
        <v>21901.411759999999</v>
      </c>
      <c r="I42">
        <f t="shared" si="6"/>
        <v>0.41175999999904889</v>
      </c>
      <c r="J42">
        <f t="shared" si="7"/>
        <v>2.4285991839962837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6.1764705882352941E-4</v>
      </c>
      <c r="C43" s="86">
        <f t="shared" si="2"/>
        <v>0</v>
      </c>
      <c r="D43" s="75">
        <f t="shared" si="3"/>
        <v>6.1764705882352941E-4</v>
      </c>
      <c r="E43">
        <f>COUNTIF(tables_491104!C:C,input_491104!A43)-COUNTIF(Q:Q,A43)</f>
        <v>7</v>
      </c>
      <c r="F43" s="43">
        <f t="shared" ref="F43:F46" si="10">IFERROR(B43/E43,0)</f>
        <v>8.8235294117647065E-5</v>
      </c>
      <c r="G43">
        <f t="shared" si="4"/>
        <v>8068.9411764705883</v>
      </c>
      <c r="H43">
        <f t="shared" si="5"/>
        <v>1152.70588</v>
      </c>
      <c r="I43">
        <f t="shared" si="6"/>
        <v>0.70587999999997919</v>
      </c>
      <c r="J43">
        <f t="shared" si="7"/>
        <v>1.4166713889046714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1.7647058823529412E-2</v>
      </c>
      <c r="C44" s="86">
        <f t="shared" si="2"/>
        <v>0</v>
      </c>
      <c r="D44" s="75">
        <f t="shared" si="3"/>
        <v>1.7647058823529412E-2</v>
      </c>
      <c r="E44">
        <f>COUNTIF(tables_491104!C:C,input_491104!A44)-COUNTIF(Q:Q,A44)</f>
        <v>10</v>
      </c>
      <c r="F44" s="43">
        <f t="shared" si="10"/>
        <v>1.7647058823529412E-3</v>
      </c>
      <c r="G44">
        <f t="shared" si="4"/>
        <v>230541.17647058822</v>
      </c>
      <c r="H44">
        <f t="shared" si="5"/>
        <v>23054.11765</v>
      </c>
      <c r="I44">
        <f t="shared" si="6"/>
        <v>0.1176500000001397</v>
      </c>
      <c r="J44">
        <f t="shared" si="7"/>
        <v>8.4997875053022742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COUNTIF(tables_491104!C:C,input_491104!A45)-COUNTIF(Q:Q,A45)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6.0000000000000001E-3</v>
      </c>
      <c r="C46" s="86">
        <f t="shared" si="2"/>
        <v>0</v>
      </c>
      <c r="D46" s="75">
        <f t="shared" si="3"/>
        <v>6.0000000000000001E-3</v>
      </c>
      <c r="E46">
        <f>COUNTIF(tables_491104!C:C,input_491104!A46)-COUNTIF(Q:Q,A46)</f>
        <v>1</v>
      </c>
      <c r="F46" s="43">
        <f t="shared" si="10"/>
        <v>6.0000000000000001E-3</v>
      </c>
      <c r="G46">
        <f t="shared" si="4"/>
        <v>78384</v>
      </c>
      <c r="H46">
        <f t="shared" si="5"/>
        <v>78384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0">
        <f>SUM(B32:B46)</f>
        <v>0.59999999999999987</v>
      </c>
      <c r="E49" s="95">
        <v>1.6003904232241281E-2</v>
      </c>
      <c r="F49" s="95"/>
      <c r="G49" s="106">
        <f ca="1">G57-0.05</f>
        <v>3.8272995883659178E-12</v>
      </c>
      <c r="H49" s="104"/>
    </row>
    <row r="50" spans="1:8" x14ac:dyDescent="0.15">
      <c r="A50" t="s">
        <v>74</v>
      </c>
      <c r="C50" s="90">
        <v>2.24000000000001E-2</v>
      </c>
      <c r="D50" s="94"/>
      <c r="E50" s="95"/>
      <c r="F50" s="103"/>
      <c r="G50" s="106"/>
      <c r="H50" s="55"/>
    </row>
    <row r="51" spans="1:8" x14ac:dyDescent="0.15">
      <c r="A51" s="31">
        <f>LCM(F5-I5,F7-I6)*1000*2*2</f>
        <v>13064000</v>
      </c>
      <c r="H51" s="77"/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2" t="s">
        <v>283</v>
      </c>
    </row>
    <row r="55" spans="1:8" x14ac:dyDescent="0.15">
      <c r="A55" s="33" t="s">
        <v>106</v>
      </c>
      <c r="B55">
        <f ca="1">SUMIF(tables_491104!C:C,input_491104!A55,tables_491104!O:O)</f>
        <v>0</v>
      </c>
      <c r="C55" s="54">
        <f t="shared" ref="C55:C61" ca="1" si="11">B55/B$62</f>
        <v>0</v>
      </c>
      <c r="E55">
        <v>3</v>
      </c>
      <c r="F55">
        <f ca="1">SUMIF(tables_491104!J:J,input_491104!E55,tables_491104!O:O)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SUMIF(tables_491104!C:C,input_491104!A56,tables_491104!O:O)</f>
        <v>2312894.7199800005</v>
      </c>
      <c r="C56" s="54">
        <f t="shared" ca="1" si="11"/>
        <v>0.94906771293259118</v>
      </c>
      <c r="E56">
        <v>4</v>
      </c>
      <c r="F56">
        <f ca="1">SUMIF(tables_491104!J:J,input_491104!E56,tables_491104!O:O)</f>
        <v>12410799.999840001</v>
      </c>
      <c r="G56">
        <f ca="1">F56/A51</f>
        <v>0.94999999998775264</v>
      </c>
      <c r="H56" s="55">
        <f>B18+B20+B22+B25+B27+B30+B33+B35+B37+B40+B42+B45</f>
        <v>0.94999999999771989</v>
      </c>
    </row>
    <row r="57" spans="1:8" x14ac:dyDescent="0.15">
      <c r="A57" s="33" t="s">
        <v>109</v>
      </c>
      <c r="B57">
        <f ca="1">SUMIF(tables_491104!C:C,input_491104!A57,tables_491104!O:O)</f>
        <v>113316</v>
      </c>
      <c r="C57" s="54">
        <f t="shared" ca="1" si="11"/>
        <v>4.649781766097829E-2</v>
      </c>
      <c r="E57">
        <v>5</v>
      </c>
      <c r="F57">
        <f ca="1">SUMIF(tables_491104!J:J,input_491104!E57,tables_491104!O:O)</f>
        <v>653200.00004999992</v>
      </c>
      <c r="G57">
        <f ca="1">F57/A51</f>
        <v>5.0000000003827302E-2</v>
      </c>
      <c r="H57" s="55">
        <f>B21+B23+B26+B28+B29+B31+B36+B38+B41+B43+B44+B46</f>
        <v>5.0000000002279998E-2</v>
      </c>
    </row>
    <row r="58" spans="1:8" x14ac:dyDescent="0.15">
      <c r="A58" s="33" t="s">
        <v>113</v>
      </c>
      <c r="B58">
        <f>SUMIF(tables_491104!C:C,input_491104!A58,tables_491104!O:O)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SUMIF(tables_491104!C:C,input_491104!A59,tables_491104!O:O)</f>
        <v>4842.8799900000004</v>
      </c>
      <c r="C59" s="54">
        <f t="shared" ca="1" si="11"/>
        <v>1.9872158453265237E-3</v>
      </c>
      <c r="E59" t="s">
        <v>55</v>
      </c>
      <c r="F59" s="55"/>
    </row>
    <row r="60" spans="1:8" x14ac:dyDescent="0.15">
      <c r="A60" s="33" t="s">
        <v>110</v>
      </c>
      <c r="B60">
        <f ca="1">SUMIF(tables_491104!C:C,input_491104!A60,tables_491104!O:O)</f>
        <v>5964</v>
      </c>
      <c r="C60" s="54">
        <f t="shared" ca="1" si="11"/>
        <v>2.4472535611041206E-3</v>
      </c>
      <c r="E60" t="s">
        <v>210</v>
      </c>
      <c r="F60" s="55">
        <f ca="1">SUMIF(tables_491104!I:I,input_491104!E60,tables_491104!P:P)</f>
        <v>0.24134012803862109</v>
      </c>
    </row>
    <row r="61" spans="1:8" x14ac:dyDescent="0.15">
      <c r="A61" s="33" t="s">
        <v>111</v>
      </c>
      <c r="B61">
        <f>SUMIF(tables_491104!C:C,input_491104!A61,tables_491104!O:O)</f>
        <v>0</v>
      </c>
      <c r="C61" s="54">
        <f t="shared" ca="1" si="11"/>
        <v>0</v>
      </c>
      <c r="E61" t="s">
        <v>211</v>
      </c>
      <c r="F61" s="55">
        <f ca="1">SUMIF(tables_491104!I:I,input_491104!E61,tables_491104!P:P)</f>
        <v>0.19927115138410273</v>
      </c>
    </row>
    <row r="62" spans="1:8" x14ac:dyDescent="0.15">
      <c r="A62" s="39" t="s">
        <v>60</v>
      </c>
      <c r="B62">
        <f ca="1">SUM(B55:B61)</f>
        <v>2437017.5999700003</v>
      </c>
      <c r="C62" s="55">
        <f ca="1">SUM(C55:C61)</f>
        <v>1.0000000000000002</v>
      </c>
      <c r="E62" t="s">
        <v>212</v>
      </c>
      <c r="F62" s="55">
        <f ca="1">SUMIF(tables_491104!I:I,input_491104!E62,tables_491104!P:P)</f>
        <v>0.50338872057833539</v>
      </c>
    </row>
    <row r="63" spans="1:8" x14ac:dyDescent="0.15">
      <c r="E63" t="s">
        <v>213</v>
      </c>
      <c r="F63" s="55">
        <f ca="1">SUMIF(tables_491104!I:I,input_491104!E63,tables_491104!P:P)</f>
        <v>4.6061381072800549E-2</v>
      </c>
      <c r="G63" s="96">
        <f ca="1">0.05-F63-F64</f>
        <v>1.1099532751246421E-12</v>
      </c>
    </row>
    <row r="64" spans="1:8" x14ac:dyDescent="0.15">
      <c r="E64" t="s">
        <v>280</v>
      </c>
      <c r="F64" s="55">
        <f ca="1">SUMIF(tables_491104!I:I,input_491104!E64,tables_491104!P:P)</f>
        <v>3.9386189260895007E-3</v>
      </c>
      <c r="G64">
        <v>8.4215360379724657E-13</v>
      </c>
    </row>
    <row r="65" spans="5:6" x14ac:dyDescent="0.15">
      <c r="E65" t="s">
        <v>278</v>
      </c>
      <c r="F65" s="55">
        <f ca="1">SUMIF(tables_491104!I:I,input_491104!E65,tables_491104!P:P)</f>
        <v>6.0000000000505187E-3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10" activePane="bottomLeft" state="frozen"/>
      <selection activeCell="H44" sqref="H44"/>
      <selection pane="bottomLeft" activeCell="B342" sqref="B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input_491104!A$2</f>
        <v>491104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IFERROR(VLOOKUP(B2,input_491104!L:R,7,FALSE),VLOOKUP(tables_491104!C2,input_491104!A:H,8,FALSE))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input_491104!A$2</f>
        <v>491104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IFERROR(VLOOKUP(B3,input_491104!L:R,7,FALSE),VLOOKUP(tables_491104!C3,input_491104!A:H,8,FALSE))</f>
        <v>78187.733330000003</v>
      </c>
      <c r="P3" s="46">
        <f t="shared" ca="1" si="2"/>
        <v>5.9849765256168351E-3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input_491104!A$2</f>
        <v>491104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IFERROR(VLOOKUP(B4,input_491104!L:R,7,FALSE),VLOOKUP(tables_491104!C4,input_491104!A:H,8,FALSE))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input_491104!A$2</f>
        <v>491104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IFERROR(VLOOKUP(B5,input_491104!L:R,7,FALSE),VLOOKUP(tables_491104!C5,input_491104!A:H,8,FALSE))</f>
        <v>78187.733330000003</v>
      </c>
      <c r="P5" s="46">
        <f t="shared" ca="1" si="2"/>
        <v>5.9849765256168351E-3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input_491104!A$2</f>
        <v>491104</v>
      </c>
      <c r="B6" s="6">
        <v>130</v>
      </c>
      <c r="C6" s="7" t="str">
        <f t="shared" si="0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IFERROR(VLOOKUP(B6,input_491104!L:R,7,FALSE),VLOOKUP(tables_491104!C6,input_491104!A:H,8,FALSE))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input_491104!A$2</f>
        <v>491104</v>
      </c>
      <c r="B7" s="6">
        <v>131</v>
      </c>
      <c r="C7" s="7" t="str">
        <f t="shared" si="0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IFERROR(VLOOKUP(B7,input_491104!L:R,7,FALSE),VLOOKUP(tables_491104!C7,input_491104!A:H,8,FALSE))</f>
        <v>78187.733330000003</v>
      </c>
      <c r="P7" s="46">
        <f t="shared" ca="1" si="2"/>
        <v>5.9849765256168351E-3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input_491104!A$2</f>
        <v>491104</v>
      </c>
      <c r="B8" s="6">
        <v>132</v>
      </c>
      <c r="C8" s="7" t="str">
        <f t="shared" si="0"/>
        <v>PremiumW3color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IFERROR(VLOOKUP(B8,input_491104!L:R,7,FALSE),VLOOKUP(tables_491104!C8,input_491104!A:H,8,FALSE))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input_491104!A$2</f>
        <v>491104</v>
      </c>
      <c r="B9" s="6">
        <v>133</v>
      </c>
      <c r="C9" s="7" t="str">
        <f t="shared" si="0"/>
        <v>PremiumW4color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IFERROR(VLOOKUP(B9,input_491104!L:R,7,FALSE),VLOOKUP(tables_491104!C9,input_491104!A:H,8,FALSE))</f>
        <v>388594.61817999999</v>
      </c>
      <c r="P9" s="46">
        <f t="shared" ca="1" si="2"/>
        <v>2.9745454545565823E-2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input_491104!A$2</f>
        <v>491104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IFERROR(VLOOKUP(B10,input_491104!L:R,7,FALSE),VLOOKUP(tables_491104!C10,input_491104!A:H,8,FALSE))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input_491104!A$2</f>
        <v>491104</v>
      </c>
      <c r="B11" s="8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IFERROR(VLOOKUP(B11,input_491104!L:R,7,FALSE),VLOOKUP(tables_491104!C11,input_491104!A:H,8,FALSE))</f>
        <v>78187.733330000003</v>
      </c>
      <c r="P11" s="46">
        <f t="shared" ca="1" si="2"/>
        <v>5.9849765256168351E-3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input_491104!A$2</f>
        <v>491104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IFERROR(VLOOKUP(B12,input_491104!L:R,7,FALSE),VLOOKUP(tables_491104!C12,input_491104!A:H,8,FALSE))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input_491104!A$2</f>
        <v>491104</v>
      </c>
      <c r="B13" s="6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IFERROR(VLOOKUP(B13,input_491104!L:R,7,FALSE),VLOOKUP(tables_491104!C13,input_491104!A:H,8,FALSE))</f>
        <v>78187.733330000003</v>
      </c>
      <c r="P13" s="46">
        <f t="shared" ca="1" si="2"/>
        <v>5.9849765256168351E-3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input_491104!A$2</f>
        <v>491104</v>
      </c>
      <c r="B14" s="6">
        <v>138</v>
      </c>
      <c r="C14" s="7" t="str">
        <f t="shared" si="0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IFERROR(VLOOKUP(B14,input_491104!L:R,7,FALSE),VLOOKUP(tables_491104!C14,input_491104!A:H,8,FALSE))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input_491104!A$2</f>
        <v>491104</v>
      </c>
      <c r="B15" s="10">
        <v>139</v>
      </c>
      <c r="C15" s="7" t="str">
        <f t="shared" si="0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IFERROR(VLOOKUP(B15,input_491104!L:R,7,FALSE),VLOOKUP(tables_491104!C15,input_491104!A:H,8,FALSE))</f>
        <v>78187.733330000003</v>
      </c>
      <c r="P15" s="46">
        <f t="shared" ca="1" si="2"/>
        <v>5.9849765256168351E-3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input_491104!A$2</f>
        <v>491104</v>
      </c>
      <c r="B16" s="11">
        <v>140</v>
      </c>
      <c r="C16" s="7" t="str">
        <f t="shared" si="0"/>
        <v>PremiumW3color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IFERROR(VLOOKUP(B16,input_491104!L:R,7,FALSE),VLOOKUP(tables_491104!C16,input_491104!A:H,8,FALSE))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input_491104!A$2</f>
        <v>491104</v>
      </c>
      <c r="B17" s="6">
        <v>141</v>
      </c>
      <c r="C17" s="7" t="str">
        <f t="shared" si="0"/>
        <v>PremiumW4color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IFERROR(VLOOKUP(B17,input_491104!L:R,7,FALSE),VLOOKUP(tables_491104!C17,input_491104!A:H,8,FALSE))</f>
        <v>388594.61817999999</v>
      </c>
      <c r="P17" s="46">
        <f t="shared" ca="1" si="2"/>
        <v>2.9745454545565823E-2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input_491104!A$2</f>
        <v>491104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IFERROR(VLOOKUP(B18,input_491104!L:R,7,FALSE),VLOOKUP(tables_491104!C18,input_491104!A:H,8,FALSE))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input_491104!A$2</f>
        <v>491104</v>
      </c>
      <c r="B19" s="10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IFERROR(VLOOKUP(B19,input_491104!L:R,7,FALSE),VLOOKUP(tables_491104!C19,input_491104!A:H,8,FALSE))</f>
        <v>78187.733330000003</v>
      </c>
      <c r="P19" s="46">
        <f t="shared" ca="1" si="2"/>
        <v>5.9849765256168351E-3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input_491104!A$2</f>
        <v>491104</v>
      </c>
      <c r="B20" s="6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IFERROR(VLOOKUP(B20,input_491104!L:R,7,FALSE),VLOOKUP(tables_491104!C20,input_491104!A:H,8,FALSE))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input_491104!A$2</f>
        <v>491104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IFERROR(VLOOKUP(B21,input_491104!L:R,7,FALSE),VLOOKUP(tables_491104!C21,input_491104!A:H,8,FALSE))</f>
        <v>78187.733330000003</v>
      </c>
      <c r="P21" s="46">
        <f t="shared" ca="1" si="2"/>
        <v>5.9849765256168351E-3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input_491104!A$2</f>
        <v>491104</v>
      </c>
      <c r="B22" s="6">
        <v>146</v>
      </c>
      <c r="C22" s="7" t="str">
        <f t="shared" si="0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IFERROR(VLOOKUP(B22,input_491104!L:R,7,FALSE),VLOOKUP(tables_491104!C22,input_491104!A:H,8,FALSE))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input_491104!A$2</f>
        <v>491104</v>
      </c>
      <c r="B23" s="6">
        <v>147</v>
      </c>
      <c r="C23" s="7" t="str">
        <f t="shared" si="0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IFERROR(VLOOKUP(B23,input_491104!L:R,7,FALSE),VLOOKUP(tables_491104!C23,input_491104!A:H,8,FALSE))</f>
        <v>78187.733330000003</v>
      </c>
      <c r="P23" s="46">
        <f t="shared" ca="1" si="2"/>
        <v>5.9849765256168351E-3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input_491104!A$2</f>
        <v>491104</v>
      </c>
      <c r="B24" s="6">
        <v>148</v>
      </c>
      <c r="C24" s="7" t="str">
        <f t="shared" si="0"/>
        <v>PremiumW3color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IFERROR(VLOOKUP(B24,input_491104!L:R,7,FALSE),VLOOKUP(tables_491104!C24,input_491104!A:H,8,FALSE))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input_491104!A$2</f>
        <v>491104</v>
      </c>
      <c r="B25" s="6">
        <v>149</v>
      </c>
      <c r="C25" s="7" t="str">
        <f t="shared" si="0"/>
        <v>PremiumW4color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IFERROR(VLOOKUP(B25,input_491104!L:R,7,FALSE),VLOOKUP(tables_491104!C25,input_491104!A:H,8,FALSE))</f>
        <v>388594.61817999999</v>
      </c>
      <c r="P25" s="46">
        <f t="shared" ca="1" si="2"/>
        <v>2.9745454545565823E-2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input_491104!A$2</f>
        <v>491104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IFERROR(VLOOKUP(B26,input_491104!L:R,7,FALSE),VLOOKUP(tables_491104!C26,input_491104!A:H,8,FALSE))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input_491104!A$2</f>
        <v>491104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IFERROR(VLOOKUP(B27,input_491104!L:R,7,FALSE),VLOOKUP(tables_491104!C27,input_491104!A:H,8,FALSE))</f>
        <v>78187.733330000003</v>
      </c>
      <c r="P27" s="46">
        <f t="shared" ca="1" si="2"/>
        <v>5.9849765256168351E-3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input_491104!A$2</f>
        <v>491104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IFERROR(VLOOKUP(B28,input_491104!L:R,7,FALSE),VLOOKUP(tables_491104!C28,input_491104!A:H,8,FALSE))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input_491104!A$2</f>
        <v>491104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IFERROR(VLOOKUP(B29,input_491104!L:R,7,FALSE),VLOOKUP(tables_491104!C29,input_491104!A:H,8,FALSE))</f>
        <v>78187.733330000003</v>
      </c>
      <c r="P29" s="46">
        <f t="shared" ca="1" si="2"/>
        <v>5.9849765256168351E-3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input_491104!A$2</f>
        <v>491104</v>
      </c>
      <c r="B30" s="6">
        <v>154</v>
      </c>
      <c r="C30" s="7" t="str">
        <f t="shared" si="0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IFERROR(VLOOKUP(B30,input_491104!L:R,7,FALSE),VLOOKUP(tables_491104!C30,input_491104!A:H,8,FALSE))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input_491104!A$2</f>
        <v>491104</v>
      </c>
      <c r="B31" s="6">
        <v>155</v>
      </c>
      <c r="C31" s="7" t="str">
        <f t="shared" si="0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IFERROR(VLOOKUP(B31,input_491104!L:R,7,FALSE),VLOOKUP(tables_491104!C31,input_491104!A:H,8,FALSE))</f>
        <v>78187.733330000003</v>
      </c>
      <c r="P31" s="46">
        <f t="shared" ca="1" si="2"/>
        <v>5.9849765256168351E-3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input_491104!A$2</f>
        <v>491104</v>
      </c>
      <c r="B32" s="6">
        <v>156</v>
      </c>
      <c r="C32" s="7" t="str">
        <f t="shared" si="0"/>
        <v>PremiumW3color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IFERROR(VLOOKUP(B32,input_491104!L:R,7,FALSE),VLOOKUP(tables_491104!C32,input_491104!A:H,8,FALSE))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input_491104!A$2</f>
        <v>491104</v>
      </c>
      <c r="B33" s="6">
        <v>157</v>
      </c>
      <c r="C33" s="7" t="str">
        <f t="shared" si="0"/>
        <v>PremiumW4color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IFERROR(VLOOKUP(B33,input_491104!L:R,7,FALSE),VLOOKUP(tables_491104!C33,input_491104!A:H,8,FALSE))</f>
        <v>388594.61817999999</v>
      </c>
      <c r="P33" s="46">
        <f t="shared" ca="1" si="2"/>
        <v>2.9745454545565823E-2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input_491104!A$2</f>
        <v>491104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IFERROR(VLOOKUP(B34,input_491104!L:R,7,FALSE),VLOOKUP(tables_491104!C34,input_491104!A:H,8,FALSE))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input_491104!A$2</f>
        <v>491104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IFERROR(VLOOKUP(B35,input_491104!L:R,7,FALSE),VLOOKUP(tables_491104!C35,input_491104!A:H,8,FALSE))</f>
        <v>78187.733330000003</v>
      </c>
      <c r="P35" s="46">
        <f t="shared" ca="1" si="2"/>
        <v>5.9849765256168351E-3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input_491104!A$2</f>
        <v>491104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IFERROR(VLOOKUP(B36,input_491104!L:R,7,FALSE),VLOOKUP(tables_491104!C36,input_491104!A:H,8,FALSE))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input_491104!A$2</f>
        <v>491104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IFERROR(VLOOKUP(B37,input_491104!L:R,7,FALSE),VLOOKUP(tables_491104!C37,input_491104!A:H,8,FALSE))</f>
        <v>78187.733330000003</v>
      </c>
      <c r="P37" s="46">
        <f t="shared" ca="1" si="2"/>
        <v>5.9849765256168351E-3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input_491104!A$2</f>
        <v>491104</v>
      </c>
      <c r="B38" s="6">
        <v>162</v>
      </c>
      <c r="C38" s="7" t="str">
        <f t="shared" si="0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IFERROR(VLOOKUP(B38,input_491104!L:R,7,FALSE),VLOOKUP(tables_491104!C38,input_491104!A:H,8,FALSE))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input_491104!A$2</f>
        <v>491104</v>
      </c>
      <c r="B39" s="6">
        <v>163</v>
      </c>
      <c r="C39" s="7" t="str">
        <f t="shared" si="0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IFERROR(VLOOKUP(B39,input_491104!L:R,7,FALSE),VLOOKUP(tables_491104!C39,input_491104!A:H,8,FALSE))</f>
        <v>78187.733330000003</v>
      </c>
      <c r="P39" s="46">
        <f t="shared" ca="1" si="2"/>
        <v>5.9849765256168351E-3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input_491104!A$2</f>
        <v>491104</v>
      </c>
      <c r="B40" s="6">
        <v>164</v>
      </c>
      <c r="C40" s="7" t="str">
        <f t="shared" si="0"/>
        <v>PremiumW3color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IFERROR(VLOOKUP(B40,input_491104!L:R,7,FALSE),VLOOKUP(tables_491104!C40,input_491104!A:H,8,FALSE))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input_491104!A$2</f>
        <v>491104</v>
      </c>
      <c r="B41" s="6">
        <v>165</v>
      </c>
      <c r="C41" s="7" t="str">
        <f t="shared" si="0"/>
        <v>PremiumW4color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IFERROR(VLOOKUP(B41,input_491104!L:R,7,FALSE),VLOOKUP(tables_491104!C41,input_491104!A:H,8,FALSE))</f>
        <v>388594.61817999999</v>
      </c>
      <c r="P41" s="46">
        <f t="shared" ca="1" si="2"/>
        <v>2.9745454545565823E-2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input_491104!A$2</f>
        <v>491104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IFERROR(VLOOKUP(B42,input_491104!L:R,7,FALSE),VLOOKUP(tables_491104!C42,input_491104!A:H,8,FALSE))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input_491104!A$2</f>
        <v>491104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IFERROR(VLOOKUP(B43,input_491104!L:R,7,FALSE),VLOOKUP(tables_491104!C43,input_491104!A:H,8,FALSE))</f>
        <v>66004.479999999996</v>
      </c>
      <c r="P43" s="46">
        <f t="shared" ca="1" si="2"/>
        <v>5.0523943662397234E-3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input_491104!A$2</f>
        <v>491104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IFERROR(VLOOKUP(B44,input_491104!L:R,7,FALSE),VLOOKUP(tables_491104!C44,input_491104!A:H,8,FALSE))</f>
        <v>3473.92</v>
      </c>
      <c r="P44" s="46">
        <f t="shared" ca="1" si="2"/>
        <v>2.6591549295998547E-4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input_491104!A$2</f>
        <v>491104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IFERROR(VLOOKUP(B45,input_491104!L:R,7,FALSE),VLOOKUP(tables_491104!C45,input_491104!A:H,8,FALSE))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input_491104!A$2</f>
        <v>491104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IFERROR(VLOOKUP(B46,input_491104!L:R,7,FALSE),VLOOKUP(tables_491104!C46,input_491104!A:H,8,FALSE))</f>
        <v>66004.479999999996</v>
      </c>
      <c r="P46" s="46">
        <f t="shared" ca="1" si="2"/>
        <v>5.0523943662397234E-3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input_491104!A$2</f>
        <v>491104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IFERROR(VLOOKUP(B47,input_491104!L:R,7,FALSE),VLOOKUP(tables_491104!C47,input_491104!A:H,8,FALSE))</f>
        <v>3473.92</v>
      </c>
      <c r="P47" s="46">
        <f t="shared" ca="1" si="2"/>
        <v>2.6591549295998547E-4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input_491104!A$2</f>
        <v>491104</v>
      </c>
      <c r="B48" s="6">
        <v>172</v>
      </c>
      <c r="C48" s="7" t="str">
        <f t="shared" si="0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IFERROR(VLOOKUP(B48,input_491104!L:R,7,FALSE),VLOOKUP(tables_491104!C48,input_491104!A:H,8,FALSE))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input_491104!A$2</f>
        <v>491104</v>
      </c>
      <c r="B49" s="6">
        <v>173</v>
      </c>
      <c r="C49" s="7" t="str">
        <f t="shared" si="0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IFERROR(VLOOKUP(B49,input_491104!L:R,7,FALSE),VLOOKUP(tables_491104!C49,input_491104!A:H,8,FALSE))</f>
        <v>66004.479999999996</v>
      </c>
      <c r="P49" s="46">
        <f t="shared" ca="1" si="2"/>
        <v>5.0523943662397234E-3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input_491104!A$2</f>
        <v>491104</v>
      </c>
      <c r="B50" s="6">
        <v>174</v>
      </c>
      <c r="C50" s="7" t="str">
        <f t="shared" si="0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IFERROR(VLOOKUP(B50,input_491104!L:R,7,FALSE),VLOOKUP(tables_491104!C50,input_491104!A:H,8,FALSE))</f>
        <v>3473.92</v>
      </c>
      <c r="P50" s="46">
        <f t="shared" ca="1" si="2"/>
        <v>2.6591549295998547E-4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input_491104!A$2</f>
        <v>491104</v>
      </c>
      <c r="B51" s="6">
        <v>175</v>
      </c>
      <c r="C51" s="7" t="str">
        <f t="shared" si="0"/>
        <v>Premium3color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IFERROR(VLOOKUP(B51,input_491104!L:R,7,FALSE),VLOOKUP(tables_491104!C51,input_491104!A:H,8,FALSE))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input_491104!A$2</f>
        <v>491104</v>
      </c>
      <c r="B52" s="6">
        <v>176</v>
      </c>
      <c r="C52" s="7" t="str">
        <f t="shared" si="0"/>
        <v>Premium4color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IFERROR(VLOOKUP(B52,input_491104!L:R,7,FALSE),VLOOKUP(tables_491104!C52,input_491104!A:H,8,FALSE))</f>
        <v>333594.53379999998</v>
      </c>
      <c r="P52" s="46">
        <f t="shared" ca="1" si="2"/>
        <v>2.5535405220668154E-2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input_491104!A$2</f>
        <v>491104</v>
      </c>
      <c r="B53" s="6">
        <v>177</v>
      </c>
      <c r="C53" s="7" t="str">
        <f t="shared" si="0"/>
        <v>Premium5color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IFERROR(VLOOKUP(B53,input_491104!L:R,7,FALSE),VLOOKUP(tables_491104!C53,input_491104!A:H,8,FALSE))</f>
        <v>2744.0843799999998</v>
      </c>
      <c r="P53" s="46">
        <f t="shared" ca="1" si="2"/>
        <v>2.1004932486398534E-4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input_491104!A$2</f>
        <v>491104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IFERROR(VLOOKUP(B54,input_491104!L:R,7,FALSE),VLOOKUP(tables_491104!C54,input_491104!A:H,8,FALSE))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input_491104!A$2</f>
        <v>491104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IFERROR(VLOOKUP(B55,input_491104!L:R,7,FALSE),VLOOKUP(tables_491104!C55,input_491104!A:H,8,FALSE))</f>
        <v>59304.992819999999</v>
      </c>
      <c r="P55" s="46">
        <f t="shared" ca="1" si="2"/>
        <v>4.5395738533756383E-3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input_491104!A$2</f>
        <v>491104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IFERROR(VLOOKUP(B56,input_491104!L:R,7,FALSE),VLOOKUP(tables_491104!C56,input_491104!A:H,8,FALSE))</f>
        <v>124.17641</v>
      </c>
      <c r="P56" s="46">
        <f t="shared" ca="1" si="2"/>
        <v>9.5052365279428613E-6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input_491104!A$2</f>
        <v>491104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IFERROR(VLOOKUP(B57,input_491104!L:R,7,FALSE),VLOOKUP(tables_491104!C57,input_491104!A:H,8,FALSE))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input_491104!A$2</f>
        <v>491104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IFERROR(VLOOKUP(B58,input_491104!L:R,7,FALSE),VLOOKUP(tables_491104!C58,input_491104!A:H,8,FALSE))</f>
        <v>59304.992819999999</v>
      </c>
      <c r="P58" s="46">
        <f t="shared" ca="1" si="2"/>
        <v>4.5395738533756383E-3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input_491104!A$2</f>
        <v>491104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IFERROR(VLOOKUP(B59,input_491104!L:R,7,FALSE),VLOOKUP(tables_491104!C59,input_491104!A:H,8,FALSE))</f>
        <v>124.17641</v>
      </c>
      <c r="P59" s="46">
        <f t="shared" ca="1" si="2"/>
        <v>9.5052365279428613E-6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input_491104!A$2</f>
        <v>491104</v>
      </c>
      <c r="B60" s="6">
        <v>184</v>
      </c>
      <c r="C60" s="7" t="str">
        <f t="shared" si="0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IFERROR(VLOOKUP(B60,input_491104!L:R,7,FALSE),VLOOKUP(tables_491104!C60,input_491104!A:H,8,FALSE))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input_491104!A$2</f>
        <v>491104</v>
      </c>
      <c r="B61" s="8">
        <v>185</v>
      </c>
      <c r="C61" s="7" t="str">
        <f t="shared" si="0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IFERROR(VLOOKUP(B61,input_491104!L:R,7,FALSE),VLOOKUP(tables_491104!C61,input_491104!A:H,8,FALSE))</f>
        <v>59304.992819999999</v>
      </c>
      <c r="P61" s="46">
        <f t="shared" ca="1" si="2"/>
        <v>4.5395738533756383E-3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input_491104!A$2</f>
        <v>491104</v>
      </c>
      <c r="B62" s="8">
        <v>186</v>
      </c>
      <c r="C62" s="7" t="str">
        <f t="shared" si="0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IFERROR(VLOOKUP(B62,input_491104!L:R,7,FALSE),VLOOKUP(tables_491104!C62,input_491104!A:H,8,FALSE))</f>
        <v>124.17641</v>
      </c>
      <c r="P62" s="46">
        <f t="shared" ca="1" si="2"/>
        <v>9.5052365279428613E-6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input_491104!A$2</f>
        <v>491104</v>
      </c>
      <c r="B63" s="8">
        <v>187</v>
      </c>
      <c r="C63" s="7" t="str">
        <f t="shared" si="0"/>
        <v>Premium3color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IFERROR(VLOOKUP(B63,input_491104!L:R,7,FALSE),VLOOKUP(tables_491104!C63,input_491104!A:H,8,FALSE))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input_491104!A$2</f>
        <v>491104</v>
      </c>
      <c r="B64" s="8">
        <v>188</v>
      </c>
      <c r="C64" s="7" t="str">
        <f t="shared" si="0"/>
        <v>Premium4color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IFERROR(VLOOKUP(B64,input_491104!L:R,7,FALSE),VLOOKUP(tables_491104!C64,input_491104!A:H,8,FALSE))</f>
        <v>333594.53379999998</v>
      </c>
      <c r="P64" s="46">
        <f t="shared" ca="1" si="2"/>
        <v>2.5535405220668154E-2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input_491104!A$2</f>
        <v>491104</v>
      </c>
      <c r="B65" s="6">
        <v>189</v>
      </c>
      <c r="C65" s="7" t="str">
        <f t="shared" si="0"/>
        <v>Premium5color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IFERROR(VLOOKUP(B65,input_491104!L:R,7,FALSE),VLOOKUP(tables_491104!C65,input_491104!A:H,8,FALSE))</f>
        <v>2744.0843799999998</v>
      </c>
      <c r="P65" s="46">
        <f t="shared" ca="1" si="2"/>
        <v>2.1004932486398534E-4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input_491104!A$2</f>
        <v>491104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IF(K66="yellow","color","")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IFERROR(VLOOKUP(B66,input_491104!L:R,7,FALSE),VLOOKUP(tables_491104!C66,input_491104!A:H,8,FALSE))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input_491104!A$2</f>
        <v>491104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IFERROR(VLOOKUP(B67,input_491104!L:R,7,FALSE),VLOOKUP(tables_491104!C67,input_491104!A:H,8,FALSE))</f>
        <v>59304.992819999999</v>
      </c>
      <c r="P67" s="46">
        <f t="shared" ca="1" si="6"/>
        <v>4.5395738533756383E-3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input_491104!A$2</f>
        <v>491104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IFERROR(VLOOKUP(B68,input_491104!L:R,7,FALSE),VLOOKUP(tables_491104!C68,input_491104!A:H,8,FALSE))</f>
        <v>124.17641</v>
      </c>
      <c r="P68" s="46">
        <f t="shared" ca="1" si="6"/>
        <v>9.5052365279428613E-6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input_491104!A$2</f>
        <v>491104</v>
      </c>
      <c r="B69" s="10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IFERROR(VLOOKUP(B69,input_491104!L:R,7,FALSE),VLOOKUP(tables_491104!C69,input_491104!A:H,8,FALSE))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input_491104!A$2</f>
        <v>491104</v>
      </c>
      <c r="B70" s="6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IFERROR(VLOOKUP(B70,input_491104!L:R,7,FALSE),VLOOKUP(tables_491104!C70,input_491104!A:H,8,FALSE))</f>
        <v>59304.992819999999</v>
      </c>
      <c r="P70" s="46">
        <f t="shared" ca="1" si="6"/>
        <v>4.5395738533756383E-3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input_491104!A$2</f>
        <v>491104</v>
      </c>
      <c r="B71" s="10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IFERROR(VLOOKUP(B71,input_491104!L:R,7,FALSE),VLOOKUP(tables_491104!C71,input_491104!A:H,8,FALSE))</f>
        <v>124.17641</v>
      </c>
      <c r="P71" s="46">
        <f t="shared" ca="1" si="6"/>
        <v>9.5052365279428613E-6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input_491104!A$2</f>
        <v>491104</v>
      </c>
      <c r="B72" s="11">
        <v>196</v>
      </c>
      <c r="C72" s="7" t="str">
        <f t="shared" si="4"/>
        <v>Premium3color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IFERROR(VLOOKUP(B72,input_491104!L:R,7,FALSE),VLOOKUP(tables_491104!C72,input_491104!A:H,8,FALSE))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input_491104!A$2</f>
        <v>491104</v>
      </c>
      <c r="B73" s="6">
        <v>197</v>
      </c>
      <c r="C73" s="7" t="str">
        <f t="shared" si="4"/>
        <v>Premium4color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IFERROR(VLOOKUP(B73,input_491104!L:R,7,FALSE),VLOOKUP(tables_491104!C73,input_491104!A:H,8,FALSE))</f>
        <v>333594.53379999998</v>
      </c>
      <c r="P73" s="46">
        <f t="shared" ca="1" si="6"/>
        <v>2.5535405220668154E-2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input_491104!A$2</f>
        <v>491104</v>
      </c>
      <c r="B74" s="6">
        <v>198</v>
      </c>
      <c r="C74" s="7" t="str">
        <f t="shared" si="4"/>
        <v>Premium5color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IFERROR(VLOOKUP(B74,input_491104!L:R,7,FALSE),VLOOKUP(tables_491104!C74,input_491104!A:H,8,FALSE))</f>
        <v>2744.0843799999998</v>
      </c>
      <c r="P74" s="46">
        <f t="shared" ca="1" si="6"/>
        <v>2.1004932486398534E-4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input_491104!A$2</f>
        <v>491104</v>
      </c>
      <c r="B75" s="6">
        <v>199</v>
      </c>
      <c r="C75" s="7" t="str">
        <f t="shared" si="4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IFERROR(VLOOKUP(B75,input_491104!L:R,7,FALSE),VLOOKUP(tables_491104!C75,input_491104!A:H,8,FALSE))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input_491104!A$2</f>
        <v>491104</v>
      </c>
      <c r="B76" s="5">
        <v>200</v>
      </c>
      <c r="C76" s="7" t="str">
        <f t="shared" si="4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IFERROR(VLOOKUP(B76,input_491104!L:R,7,FALSE),VLOOKUP(tables_491104!C76,input_491104!A:H,8,FALSE))</f>
        <v>59304.992819999999</v>
      </c>
      <c r="P76" s="46">
        <f t="shared" ca="1" si="6"/>
        <v>4.5395738533756383E-3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input_491104!A$2</f>
        <v>491104</v>
      </c>
      <c r="B77" s="5">
        <v>201</v>
      </c>
      <c r="C77" s="7" t="str">
        <f t="shared" si="4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IFERROR(VLOOKUP(B77,input_491104!L:R,7,FALSE),VLOOKUP(tables_491104!C77,input_491104!A:H,8,FALSE))</f>
        <v>124.17641</v>
      </c>
      <c r="P77" s="46">
        <f t="shared" ca="1" si="6"/>
        <v>9.5052365279428613E-6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input_491104!A$2</f>
        <v>491104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IFERROR(VLOOKUP(B78,input_491104!L:R,7,FALSE),VLOOKUP(tables_491104!C78,input_491104!A:H,8,FALSE))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input_491104!A$2</f>
        <v>491104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IFERROR(VLOOKUP(B79,input_491104!L:R,7,FALSE),VLOOKUP(tables_491104!C79,input_491104!A:H,8,FALSE))</f>
        <v>59304.992819999999</v>
      </c>
      <c r="P79" s="46">
        <f t="shared" ca="1" si="6"/>
        <v>4.5395738533756383E-3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input_491104!A$2</f>
        <v>491104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IFERROR(VLOOKUP(B80,input_491104!L:R,7,FALSE),VLOOKUP(tables_491104!C80,input_491104!A:H,8,FALSE))</f>
        <v>124.17641</v>
      </c>
      <c r="P80" s="46">
        <f t="shared" ca="1" si="6"/>
        <v>9.5052365279428613E-6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input_491104!A$2</f>
        <v>491104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IFERROR(VLOOKUP(B81,input_491104!L:R,7,FALSE),VLOOKUP(tables_491104!C81,input_491104!A:H,8,FALSE))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input_491104!A$2</f>
        <v>491104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IFERROR(VLOOKUP(B82,input_491104!L:R,7,FALSE),VLOOKUP(tables_491104!C82,input_491104!A:H,8,FALSE))</f>
        <v>59304.992819999999</v>
      </c>
      <c r="P82" s="46">
        <f t="shared" ca="1" si="6"/>
        <v>4.5395738533756383E-3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input_491104!A$2</f>
        <v>491104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IFERROR(VLOOKUP(B83,input_491104!L:R,7,FALSE),VLOOKUP(tables_491104!C83,input_491104!A:H,8,FALSE))</f>
        <v>124.17641</v>
      </c>
      <c r="P83" s="46">
        <f t="shared" ca="1" si="6"/>
        <v>9.5052365279428613E-6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input_491104!A$2</f>
        <v>491104</v>
      </c>
      <c r="B84" s="5">
        <v>208</v>
      </c>
      <c r="C84" s="7" t="str">
        <f t="shared" si="4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IFERROR(VLOOKUP(B84,input_491104!L:R,7,FALSE),VLOOKUP(tables_491104!C84,input_491104!A:H,8,FALSE))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input_491104!A$2</f>
        <v>491104</v>
      </c>
      <c r="B85" s="5">
        <v>209</v>
      </c>
      <c r="C85" s="7" t="str">
        <f t="shared" si="4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IFERROR(VLOOKUP(B85,input_491104!L:R,7,FALSE),VLOOKUP(tables_491104!C85,input_491104!A:H,8,FALSE))</f>
        <v>59304.992819999999</v>
      </c>
      <c r="P85" s="46">
        <f t="shared" ca="1" si="6"/>
        <v>4.5395738533756383E-3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input_491104!A$2</f>
        <v>491104</v>
      </c>
      <c r="B86" s="5">
        <v>210</v>
      </c>
      <c r="C86" s="7" t="str">
        <f t="shared" si="4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IFERROR(VLOOKUP(B86,input_491104!L:R,7,FALSE),VLOOKUP(tables_491104!C86,input_491104!A:H,8,FALSE))</f>
        <v>124.17641</v>
      </c>
      <c r="P86" s="46">
        <f t="shared" ca="1" si="6"/>
        <v>9.5052365279428613E-6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input_491104!A$2</f>
        <v>491104</v>
      </c>
      <c r="B87" s="5">
        <v>211</v>
      </c>
      <c r="C87" s="7" t="str">
        <f t="shared" si="4"/>
        <v>Premium3color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IFERROR(VLOOKUP(B87,input_491104!L:R,7,FALSE),VLOOKUP(tables_491104!C87,input_491104!A:H,8,FALSE))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input_491104!A$2</f>
        <v>491104</v>
      </c>
      <c r="B88" s="5">
        <v>212</v>
      </c>
      <c r="C88" s="7" t="str">
        <f t="shared" si="4"/>
        <v>Premium4color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IFERROR(VLOOKUP(B88,input_491104!L:R,7,FALSE),VLOOKUP(tables_491104!C88,input_491104!A:H,8,FALSE))</f>
        <v>333594.53379999998</v>
      </c>
      <c r="P88" s="46">
        <f t="shared" ca="1" si="6"/>
        <v>2.5535405220668154E-2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input_491104!A$2</f>
        <v>491104</v>
      </c>
      <c r="B89" s="5">
        <v>213</v>
      </c>
      <c r="C89" s="7" t="str">
        <f t="shared" si="4"/>
        <v>Premium5color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IFERROR(VLOOKUP(B89,input_491104!L:R,7,FALSE),VLOOKUP(tables_491104!C89,input_491104!A:H,8,FALSE))</f>
        <v>2744.0843799999998</v>
      </c>
      <c r="P89" s="46">
        <f t="shared" ca="1" si="6"/>
        <v>2.1004932486398534E-4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input_491104!A$2</f>
        <v>491104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IFERROR(VLOOKUP(B90,input_491104!L:R,7,FALSE),VLOOKUP(tables_491104!C90,input_491104!A:H,8,FALSE))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input_491104!A$2</f>
        <v>491104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IFERROR(VLOOKUP(B91,input_491104!L:R,7,FALSE),VLOOKUP(tables_491104!C91,input_491104!A:H,8,FALSE))</f>
        <v>59304.992819999999</v>
      </c>
      <c r="P91" s="46">
        <f t="shared" ca="1" si="6"/>
        <v>4.5395738533756383E-3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input_491104!A$2</f>
        <v>491104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IFERROR(VLOOKUP(B92,input_491104!L:R,7,FALSE),VLOOKUP(tables_491104!C92,input_491104!A:H,8,FALSE))</f>
        <v>124.17641</v>
      </c>
      <c r="P92" s="46">
        <f t="shared" ca="1" si="6"/>
        <v>9.5052365279428613E-6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input_491104!A$2</f>
        <v>491104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IFERROR(VLOOKUP(B93,input_491104!L:R,7,FALSE),VLOOKUP(tables_491104!C93,input_491104!A:H,8,FALSE))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input_491104!A$2</f>
        <v>491104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IFERROR(VLOOKUP(B94,input_491104!L:R,7,FALSE),VLOOKUP(tables_491104!C94,input_491104!A:H,8,FALSE))</f>
        <v>59304.992819999999</v>
      </c>
      <c r="P94" s="46">
        <f t="shared" ca="1" si="6"/>
        <v>4.5395738533756383E-3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input_491104!A$2</f>
        <v>491104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IFERROR(VLOOKUP(B95,input_491104!L:R,7,FALSE),VLOOKUP(tables_491104!C95,input_491104!A:H,8,FALSE))</f>
        <v>124.17641</v>
      </c>
      <c r="P95" s="46">
        <f t="shared" ca="1" si="6"/>
        <v>9.5052365279428613E-6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input_491104!A$2</f>
        <v>491104</v>
      </c>
      <c r="B96" s="5">
        <v>220</v>
      </c>
      <c r="C96" s="7" t="str">
        <f t="shared" si="4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IFERROR(VLOOKUP(B96,input_491104!L:R,7,FALSE),VLOOKUP(tables_491104!C96,input_491104!A:H,8,FALSE))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input_491104!A$2</f>
        <v>491104</v>
      </c>
      <c r="B97" s="5">
        <v>221</v>
      </c>
      <c r="C97" s="7" t="str">
        <f t="shared" si="4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IFERROR(VLOOKUP(B97,input_491104!L:R,7,FALSE),VLOOKUP(tables_491104!C97,input_491104!A:H,8,FALSE))</f>
        <v>59304.992819999999</v>
      </c>
      <c r="P97" s="46">
        <f t="shared" ca="1" si="6"/>
        <v>4.5395738533756383E-3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input_491104!A$2</f>
        <v>491104</v>
      </c>
      <c r="B98" s="5">
        <v>222</v>
      </c>
      <c r="C98" s="7" t="str">
        <f t="shared" si="4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IFERROR(VLOOKUP(B98,input_491104!L:R,7,FALSE),VLOOKUP(tables_491104!C98,input_491104!A:H,8,FALSE))</f>
        <v>124.17641</v>
      </c>
      <c r="P98" s="46">
        <f t="shared" ca="1" si="6"/>
        <v>9.5052365279428613E-6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input_491104!A$2</f>
        <v>491104</v>
      </c>
      <c r="B99" s="5">
        <v>223</v>
      </c>
      <c r="C99" s="7" t="str">
        <f t="shared" si="4"/>
        <v>Premium3color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IFERROR(VLOOKUP(B99,input_491104!L:R,7,FALSE),VLOOKUP(tables_491104!C99,input_491104!A:H,8,FALSE))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input_491104!A$2</f>
        <v>491104</v>
      </c>
      <c r="B100" s="5">
        <v>224</v>
      </c>
      <c r="C100" s="7" t="str">
        <f t="shared" si="4"/>
        <v>Premium4color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IFERROR(VLOOKUP(B100,input_491104!L:R,7,FALSE),VLOOKUP(tables_491104!C100,input_491104!A:H,8,FALSE))</f>
        <v>333594.53379999998</v>
      </c>
      <c r="P100" s="46">
        <f t="shared" ca="1" si="6"/>
        <v>2.5535405220668154E-2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input_491104!A$2</f>
        <v>491104</v>
      </c>
      <c r="B101" s="5">
        <v>225</v>
      </c>
      <c r="C101" s="7" t="str">
        <f t="shared" si="4"/>
        <v>Premium5color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IFERROR(VLOOKUP(B101,input_491104!L:R,7,FALSE),VLOOKUP(tables_491104!C101,input_491104!A:H,8,FALSE))</f>
        <v>2744.0843799999998</v>
      </c>
      <c r="P101" s="46">
        <f t="shared" ca="1" si="6"/>
        <v>2.1004932486398534E-4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input_491104!A$2</f>
        <v>491104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IFERROR(VLOOKUP(B102,input_491104!L:R,7,FALSE),VLOOKUP(tables_491104!C102,input_491104!A:H,8,FALSE))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input_491104!A$2</f>
        <v>491104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IFERROR(VLOOKUP(B103,input_491104!L:R,7,FALSE),VLOOKUP(tables_491104!C103,input_491104!A:H,8,FALSE))</f>
        <v>59304.992819999999</v>
      </c>
      <c r="P103" s="46">
        <f t="shared" ca="1" si="6"/>
        <v>4.5395738533756383E-3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input_491104!A$2</f>
        <v>491104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IFERROR(VLOOKUP(B104,input_491104!L:R,7,FALSE),VLOOKUP(tables_491104!C104,input_491104!A:H,8,FALSE))</f>
        <v>124.17641</v>
      </c>
      <c r="P104" s="46">
        <f t="shared" ca="1" si="6"/>
        <v>9.5052365279428613E-6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input_491104!A$2</f>
        <v>491104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IFERROR(VLOOKUP(B105,input_491104!L:R,7,FALSE),VLOOKUP(tables_491104!C105,input_491104!A:H,8,FALSE))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input_491104!A$2</f>
        <v>491104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IFERROR(VLOOKUP(B106,input_491104!L:R,7,FALSE),VLOOKUP(tables_491104!C106,input_491104!A:H,8,FALSE))</f>
        <v>59304.992819999999</v>
      </c>
      <c r="P106" s="46">
        <f t="shared" ca="1" si="6"/>
        <v>4.5395738533756383E-3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input_491104!A$2</f>
        <v>491104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IFERROR(VLOOKUP(B107,input_491104!L:R,7,FALSE),VLOOKUP(tables_491104!C107,input_491104!A:H,8,FALSE))</f>
        <v>124.17641</v>
      </c>
      <c r="P107" s="46">
        <f t="shared" ca="1" si="6"/>
        <v>9.5052365279428613E-6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input_491104!A$2</f>
        <v>491104</v>
      </c>
      <c r="B108" s="5">
        <v>232</v>
      </c>
      <c r="C108" s="7" t="str">
        <f t="shared" si="4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IFERROR(VLOOKUP(B108,input_491104!L:R,7,FALSE),VLOOKUP(tables_491104!C108,input_491104!A:H,8,FALSE))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input_491104!A$2</f>
        <v>491104</v>
      </c>
      <c r="B109" s="5">
        <v>233</v>
      </c>
      <c r="C109" s="7" t="str">
        <f t="shared" si="4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IFERROR(VLOOKUP(B109,input_491104!L:R,7,FALSE),VLOOKUP(tables_491104!C109,input_491104!A:H,8,FALSE))</f>
        <v>59304.992819999999</v>
      </c>
      <c r="P109" s="46">
        <f t="shared" ca="1" si="6"/>
        <v>4.5395738533756383E-3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input_491104!A$2</f>
        <v>491104</v>
      </c>
      <c r="B110" s="5">
        <v>234</v>
      </c>
      <c r="C110" s="7" t="str">
        <f t="shared" si="4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IFERROR(VLOOKUP(B110,input_491104!L:R,7,FALSE),VLOOKUP(tables_491104!C110,input_491104!A:H,8,FALSE))</f>
        <v>124.17641</v>
      </c>
      <c r="P110" s="46">
        <f t="shared" ca="1" si="6"/>
        <v>9.5052365279428613E-6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input_491104!A$2</f>
        <v>491104</v>
      </c>
      <c r="B111" s="5">
        <v>235</v>
      </c>
      <c r="C111" s="7" t="str">
        <f t="shared" si="4"/>
        <v>Premium3R6releasecolor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IFERROR(VLOOKUP(B111,input_491104!L:R,7,FALSE),VLOOKUP(tables_491104!C111,input_491104!A:H,8,FALSE))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input_491104!A$2</f>
        <v>491104</v>
      </c>
      <c r="B112" s="5">
        <v>236</v>
      </c>
      <c r="C112" s="7" t="str">
        <f t="shared" si="4"/>
        <v>Premium4R6releasecolor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IFERROR(VLOOKUP(B112,input_491104!L:R,7,FALSE),VLOOKUP(tables_491104!C112,input_491104!A:H,8,FALSE))</f>
        <v>319521.68726999999</v>
      </c>
      <c r="P112" s="46">
        <f t="shared" ca="1" si="6"/>
        <v>2.4458181818178989E-2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input_491104!A$2</f>
        <v>491104</v>
      </c>
      <c r="B113" s="5">
        <v>237</v>
      </c>
      <c r="C113" s="7" t="str">
        <f t="shared" si="4"/>
        <v>Premium5R6releasecolor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IFERROR(VLOOKUP(B113,input_491104!L:R,7,FALSE),VLOOKUP(tables_491104!C113,input_491104!A:H,8,FALSE))</f>
        <v>16816.930909999999</v>
      </c>
      <c r="P113" s="46">
        <f t="shared" ca="1" si="6"/>
        <v>1.2872727273531533E-3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input_491104!A$2</f>
        <v>491104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IFERROR(VLOOKUP(B114,input_491104!L:R,7,FALSE),VLOOKUP(tables_491104!C114,input_491104!A:H,8,FALSE))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input_491104!A$2</f>
        <v>491104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IFERROR(VLOOKUP(B115,input_491104!L:R,7,FALSE),VLOOKUP(tables_491104!C115,input_491104!A:H,8,FALSE))</f>
        <v>59304.992819999999</v>
      </c>
      <c r="P115" s="46">
        <f t="shared" ca="1" si="6"/>
        <v>4.5395738533756383E-3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input_491104!A$2</f>
        <v>491104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IFERROR(VLOOKUP(B116,input_491104!L:R,7,FALSE),VLOOKUP(tables_491104!C116,input_491104!A:H,8,FALSE))</f>
        <v>124.17641</v>
      </c>
      <c r="P116" s="46">
        <f t="shared" ca="1" si="6"/>
        <v>9.5052365279428613E-6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input_491104!A$2</f>
        <v>491104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IFERROR(VLOOKUP(B117,input_491104!L:R,7,FALSE),VLOOKUP(tables_491104!C117,input_491104!A:H,8,FALSE))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input_491104!A$2</f>
        <v>491104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IFERROR(VLOOKUP(B118,input_491104!L:R,7,FALSE),VLOOKUP(tables_491104!C118,input_491104!A:H,8,FALSE))</f>
        <v>59304.992819999999</v>
      </c>
      <c r="P118" s="46">
        <f t="shared" ca="1" si="6"/>
        <v>4.5395738533756383E-3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input_491104!A$2</f>
        <v>491104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IFERROR(VLOOKUP(B119,input_491104!L:R,7,FALSE),VLOOKUP(tables_491104!C119,input_491104!A:H,8,FALSE))</f>
        <v>124.17641</v>
      </c>
      <c r="P119" s="46">
        <f t="shared" ca="1" si="6"/>
        <v>9.5052365279428613E-6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input_491104!A$2</f>
        <v>491104</v>
      </c>
      <c r="B120" s="5">
        <v>244</v>
      </c>
      <c r="C120" s="7" t="str">
        <f t="shared" si="4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IFERROR(VLOOKUP(B120,input_491104!L:R,7,FALSE),VLOOKUP(tables_491104!C120,input_491104!A:H,8,FALSE))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input_491104!A$2</f>
        <v>491104</v>
      </c>
      <c r="B121" s="5">
        <v>245</v>
      </c>
      <c r="C121" s="7" t="str">
        <f t="shared" si="4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IFERROR(VLOOKUP(B121,input_491104!L:R,7,FALSE),VLOOKUP(tables_491104!C121,input_491104!A:H,8,FALSE))</f>
        <v>59304.992819999999</v>
      </c>
      <c r="P121" s="46">
        <f t="shared" ca="1" si="6"/>
        <v>4.5395738533756383E-3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input_491104!A$2</f>
        <v>491104</v>
      </c>
      <c r="B122" s="5">
        <v>246</v>
      </c>
      <c r="C122" s="7" t="str">
        <f t="shared" si="4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IFERROR(VLOOKUP(B122,input_491104!L:R,7,FALSE),VLOOKUP(tables_491104!C122,input_491104!A:H,8,FALSE))</f>
        <v>124.17641</v>
      </c>
      <c r="P122" s="46">
        <f t="shared" ca="1" si="6"/>
        <v>9.5052365279428613E-6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input_491104!A$2</f>
        <v>491104</v>
      </c>
      <c r="B123" s="5">
        <v>247</v>
      </c>
      <c r="C123" s="7" t="str">
        <f t="shared" si="4"/>
        <v>Premium3color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IFERROR(VLOOKUP(B123,input_491104!L:R,7,FALSE),VLOOKUP(tables_491104!C123,input_491104!A:H,8,FALSE))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input_491104!A$2</f>
        <v>491104</v>
      </c>
      <c r="B124" s="6">
        <v>248</v>
      </c>
      <c r="C124" s="7" t="str">
        <f t="shared" si="4"/>
        <v>Premium4color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IFERROR(VLOOKUP(B124,input_491104!L:R,7,FALSE),VLOOKUP(tables_491104!C124,input_491104!A:H,8,FALSE))</f>
        <v>333594.53379999998</v>
      </c>
      <c r="P124" s="46">
        <f t="shared" ca="1" si="6"/>
        <v>2.5535405220668154E-2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input_491104!A$2</f>
        <v>491104</v>
      </c>
      <c r="B125" s="6">
        <v>249</v>
      </c>
      <c r="C125" s="7" t="str">
        <f t="shared" si="4"/>
        <v>Premium5color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IFERROR(VLOOKUP(B125,input_491104!L:R,7,FALSE),VLOOKUP(tables_491104!C125,input_491104!A:H,8,FALSE))</f>
        <v>2744.0843799999998</v>
      </c>
      <c r="P125" s="46">
        <f t="shared" ca="1" si="6"/>
        <v>2.1004932486398534E-4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input_491104!A$2</f>
        <v>491104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IFERROR(VLOOKUP(B126,input_491104!L:R,7,FALSE),VLOOKUP(tables_491104!C126,input_491104!A:H,8,FALSE))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input_491104!A$2</f>
        <v>491104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IFERROR(VLOOKUP(B127,input_491104!L:R,7,FALSE),VLOOKUP(tables_491104!C127,input_491104!A:H,8,FALSE))</f>
        <v>59304.992819999999</v>
      </c>
      <c r="P127" s="46">
        <f t="shared" ca="1" si="6"/>
        <v>4.5395738533756383E-3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input_491104!A$2</f>
        <v>491104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IFERROR(VLOOKUP(B128,input_491104!L:R,7,FALSE),VLOOKUP(tables_491104!C128,input_491104!A:H,8,FALSE))</f>
        <v>124.17641</v>
      </c>
      <c r="P128" s="46">
        <f t="shared" ca="1" si="6"/>
        <v>9.5052365279428613E-6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input_491104!A$2</f>
        <v>491104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IFERROR(VLOOKUP(B129,input_491104!L:R,7,FALSE),VLOOKUP(tables_491104!C129,input_491104!A:H,8,FALSE))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input_491104!A$2</f>
        <v>491104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IF(K130="yellow","color","")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IFERROR(VLOOKUP(B130,input_491104!L:R,7,FALSE),VLOOKUP(tables_491104!C130,input_491104!A:H,8,FALSE))</f>
        <v>59304.992819999999</v>
      </c>
      <c r="P130" s="46">
        <f t="shared" ref="P130:P193" ca="1" si="10">O130/SUM(O:O)</f>
        <v>4.5395738533756383E-3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input_491104!A$2</f>
        <v>491104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IFERROR(VLOOKUP(B131,input_491104!L:R,7,FALSE),VLOOKUP(tables_491104!C131,input_491104!A:H,8,FALSE))</f>
        <v>124.17641</v>
      </c>
      <c r="P131" s="46">
        <f t="shared" ca="1" si="10"/>
        <v>9.5052365279428613E-6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input_491104!A$2</f>
        <v>491104</v>
      </c>
      <c r="B132" s="6">
        <v>256</v>
      </c>
      <c r="C132" s="7" t="str">
        <f t="shared" si="8"/>
        <v>Premium3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IFERROR(VLOOKUP(B132,input_491104!L:R,7,FALSE),VLOOKUP(tables_491104!C132,input_491104!A:H,8,FALSE))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input_491104!A$2</f>
        <v>491104</v>
      </c>
      <c r="B133" s="6">
        <v>257</v>
      </c>
      <c r="C133" s="7" t="str">
        <f t="shared" si="8"/>
        <v>Premium4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IFERROR(VLOOKUP(B133,input_491104!L:R,7,FALSE),VLOOKUP(tables_491104!C133,input_491104!A:H,8,FALSE))</f>
        <v>59304.992819999999</v>
      </c>
      <c r="P133" s="46">
        <f t="shared" ca="1" si="10"/>
        <v>4.5395738533756383E-3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input_491104!A$2</f>
        <v>491104</v>
      </c>
      <c r="B134" s="6">
        <v>258</v>
      </c>
      <c r="C134" s="7" t="str">
        <f t="shared" si="8"/>
        <v>Premium5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IFERROR(VLOOKUP(B134,input_491104!L:R,7,FALSE),VLOOKUP(tables_491104!C134,input_491104!A:H,8,FALSE))</f>
        <v>124.17641</v>
      </c>
      <c r="P134" s="46">
        <f t="shared" ca="1" si="10"/>
        <v>9.5052365279428613E-6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input_491104!A$2</f>
        <v>491104</v>
      </c>
      <c r="B135" s="8">
        <v>259</v>
      </c>
      <c r="C135" s="7" t="str">
        <f t="shared" si="8"/>
        <v>Premium3color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IFERROR(VLOOKUP(B135,input_491104!L:R,7,FALSE),VLOOKUP(tables_491104!C135,input_491104!A:H,8,FALSE))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input_491104!A$2</f>
        <v>491104</v>
      </c>
      <c r="B136" s="8">
        <v>260</v>
      </c>
      <c r="C136" s="7" t="str">
        <f t="shared" si="8"/>
        <v>Premium4color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IFERROR(VLOOKUP(B136,input_491104!L:R,7,FALSE),VLOOKUP(tables_491104!C136,input_491104!A:H,8,FALSE))</f>
        <v>333594.53379999998</v>
      </c>
      <c r="P136" s="46">
        <f t="shared" ca="1" si="10"/>
        <v>2.5535405220668154E-2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input_491104!A$2</f>
        <v>491104</v>
      </c>
      <c r="B137" s="6">
        <v>261</v>
      </c>
      <c r="C137" s="7" t="str">
        <f t="shared" si="8"/>
        <v>Premium5color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IFERROR(VLOOKUP(B137,input_491104!L:R,7,FALSE),VLOOKUP(tables_491104!C137,input_491104!A:H,8,FALSE))</f>
        <v>2744.0843799999998</v>
      </c>
      <c r="P137" s="46">
        <f t="shared" ca="1" si="10"/>
        <v>2.1004932486398534E-4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input_491104!A$2</f>
        <v>491104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IFERROR(VLOOKUP(B138,input_491104!L:R,7,FALSE),VLOOKUP(tables_491104!C138,input_491104!A:H,8,FALSE))</f>
        <v>5396</v>
      </c>
      <c r="P138" s="46">
        <f t="shared" ca="1" si="10"/>
        <v>4.1304347826434732E-4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input_491104!A$2</f>
        <v>491104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IFERROR(VLOOKUP(B139,input_491104!L:R,7,FALSE),VLOOKUP(tables_491104!C139,input_491104!A:H,8,FALSE))</f>
        <v>284</v>
      </c>
      <c r="P139" s="46">
        <f t="shared" ca="1" si="10"/>
        <v>2.1739130434965647E-5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input_491104!A$2</f>
        <v>491104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IFERROR(VLOOKUP(B140,input_491104!L:R,7,FALSE),VLOOKUP(tables_491104!C140,input_491104!A:H,8,FALSE))</f>
        <v>5396</v>
      </c>
      <c r="P140" s="46">
        <f t="shared" ca="1" si="10"/>
        <v>4.1304347826434732E-4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input_491104!A$2</f>
        <v>491104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IFERROR(VLOOKUP(B141,input_491104!L:R,7,FALSE),VLOOKUP(tables_491104!C141,input_491104!A:H,8,FALSE))</f>
        <v>284</v>
      </c>
      <c r="P141" s="46">
        <f t="shared" ca="1" si="10"/>
        <v>2.1739130434965647E-5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input_491104!A$2</f>
        <v>491104</v>
      </c>
      <c r="B142" s="6">
        <v>324</v>
      </c>
      <c r="C142" s="7" t="str">
        <f t="shared" si="8"/>
        <v>PremiumSS4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IFERROR(VLOOKUP(B142,input_491104!L:R,7,FALSE),VLOOKUP(tables_491104!C142,input_491104!A:H,8,FALSE))</f>
        <v>5396</v>
      </c>
      <c r="P142" s="46">
        <f t="shared" ca="1" si="10"/>
        <v>4.1304347826434732E-4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input_491104!A$2</f>
        <v>491104</v>
      </c>
      <c r="B143" s="6">
        <v>325</v>
      </c>
      <c r="C143" s="7" t="str">
        <f t="shared" si="8"/>
        <v>PremiumSS5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IFERROR(VLOOKUP(B143,input_491104!L:R,7,FALSE),VLOOKUP(tables_491104!C143,input_491104!A:H,8,FALSE))</f>
        <v>284</v>
      </c>
      <c r="P143" s="46">
        <f t="shared" ca="1" si="10"/>
        <v>2.1739130434965647E-5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input_491104!A$2</f>
        <v>491104</v>
      </c>
      <c r="B144" s="6">
        <v>326</v>
      </c>
      <c r="C144" s="7" t="str">
        <f t="shared" si="8"/>
        <v>PremiumSS4color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IFERROR(VLOOKUP(B144,input_491104!L:R,7,FALSE),VLOOKUP(tables_491104!C144,input_491104!A:H,8,FALSE))</f>
        <v>21901.411759999999</v>
      </c>
      <c r="P144" s="46">
        <f t="shared" ca="1" si="10"/>
        <v>1.676470587889192E-3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input_491104!A$2</f>
        <v>491104</v>
      </c>
      <c r="B145" s="6">
        <v>327</v>
      </c>
      <c r="C145" s="7" t="str">
        <f t="shared" si="8"/>
        <v>PremiumSS5color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IFERROR(VLOOKUP(B145,input_491104!L:R,7,FALSE),VLOOKUP(tables_491104!C145,input_491104!A:H,8,FALSE))</f>
        <v>1152.70588</v>
      </c>
      <c r="P145" s="46">
        <f t="shared" ca="1" si="10"/>
        <v>8.8235293938281197E-5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input_491104!A$2</f>
        <v>491104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IFERROR(VLOOKUP(B146,input_491104!L:R,7,FALSE),VLOOKUP(tables_491104!C146,input_491104!A:H,8,FALSE))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input_491104!A$2</f>
        <v>491104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IFERROR(VLOOKUP(B147,input_491104!L:R,7,FALSE),VLOOKUP(tables_491104!C147,input_491104!A:H,8,FALSE))</f>
        <v>59304.992819999999</v>
      </c>
      <c r="P147" s="46">
        <f t="shared" ca="1" si="10"/>
        <v>4.5395738533756383E-3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input_491104!A$2</f>
        <v>491104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IFERROR(VLOOKUP(B148,input_491104!L:R,7,FALSE),VLOOKUP(tables_491104!C148,input_491104!A:H,8,FALSE))</f>
        <v>124.17641</v>
      </c>
      <c r="P148" s="46">
        <f t="shared" ca="1" si="10"/>
        <v>9.5052365279428613E-6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input_491104!A$2</f>
        <v>491104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IFERROR(VLOOKUP(B149,input_491104!L:R,7,FALSE),VLOOKUP(tables_491104!C149,input_491104!A:H,8,FALSE))</f>
        <v>5396</v>
      </c>
      <c r="P149" s="46">
        <f t="shared" ca="1" si="10"/>
        <v>4.1304347826434732E-4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input_491104!A$2</f>
        <v>491104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IFERROR(VLOOKUP(B150,input_491104!L:R,7,FALSE),VLOOKUP(tables_491104!C150,input_491104!A:H,8,FALSE))</f>
        <v>284</v>
      </c>
      <c r="P150" s="46">
        <f t="shared" ca="1" si="10"/>
        <v>2.1739130434965647E-5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input_491104!A$2</f>
        <v>491104</v>
      </c>
      <c r="B151" s="6">
        <v>385</v>
      </c>
      <c r="C151" s="7" t="str">
        <f t="shared" si="8"/>
        <v>PremiumSS4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IFERROR(VLOOKUP(B151,input_491104!L:R,7,FALSE),VLOOKUP(tables_491104!C151,input_491104!A:H,8,FALSE))</f>
        <v>5396</v>
      </c>
      <c r="P151" s="46">
        <f t="shared" ca="1" si="10"/>
        <v>4.1304347826434732E-4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input_491104!A$2</f>
        <v>491104</v>
      </c>
      <c r="B152" s="6">
        <v>386</v>
      </c>
      <c r="C152" s="7" t="str">
        <f t="shared" si="8"/>
        <v>PremiumSS5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IFERROR(VLOOKUP(B152,input_491104!L:R,7,FALSE),VLOOKUP(tables_491104!C152,input_491104!A:H,8,FALSE))</f>
        <v>284</v>
      </c>
      <c r="P152" s="46">
        <f t="shared" ca="1" si="10"/>
        <v>2.1739130434965647E-5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input_491104!A$2</f>
        <v>491104</v>
      </c>
      <c r="B153" s="6">
        <v>387</v>
      </c>
      <c r="C153" s="7" t="str">
        <f t="shared" si="8"/>
        <v>Premium3color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IFERROR(VLOOKUP(B153,input_491104!L:R,7,FALSE),VLOOKUP(tables_491104!C153,input_491104!A:H,8,FALSE))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input_491104!A$2</f>
        <v>491104</v>
      </c>
      <c r="B154" s="6">
        <v>388</v>
      </c>
      <c r="C154" s="7" t="str">
        <f t="shared" si="8"/>
        <v>Premium4color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IFERROR(VLOOKUP(B154,input_491104!L:R,7,FALSE),VLOOKUP(tables_491104!C154,input_491104!A:H,8,FALSE))</f>
        <v>333594.53379999998</v>
      </c>
      <c r="P154" s="46">
        <f t="shared" ca="1" si="10"/>
        <v>2.5535405220668154E-2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input_491104!A$2</f>
        <v>491104</v>
      </c>
      <c r="B155" s="6">
        <v>389</v>
      </c>
      <c r="C155" s="7" t="str">
        <f t="shared" si="8"/>
        <v>Premium5color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IFERROR(VLOOKUP(B155,input_491104!L:R,7,FALSE),VLOOKUP(tables_491104!C155,input_491104!A:H,8,FALSE))</f>
        <v>2744.0843799999998</v>
      </c>
      <c r="P155" s="46">
        <f t="shared" ca="1" si="10"/>
        <v>2.1004932486398534E-4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input_491104!A$2</f>
        <v>491104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IFERROR(VLOOKUP(B156,input_491104!L:R,7,FALSE),VLOOKUP(tables_491104!C156,input_491104!A:H,8,FALSE))</f>
        <v>5396</v>
      </c>
      <c r="P156" s="46">
        <f t="shared" ca="1" si="10"/>
        <v>4.1304347826434732E-4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input_491104!A$2</f>
        <v>491104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IFERROR(VLOOKUP(B157,input_491104!L:R,7,FALSE),VLOOKUP(tables_491104!C157,input_491104!A:H,8,FALSE))</f>
        <v>284</v>
      </c>
      <c r="P157" s="46">
        <f t="shared" ca="1" si="10"/>
        <v>2.1739130434965647E-5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input_491104!A$2</f>
        <v>491104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IFERROR(VLOOKUP(B158,input_491104!L:R,7,FALSE),VLOOKUP(tables_491104!C158,input_491104!A:H,8,FALSE))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input_491104!A$2</f>
        <v>491104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IFERROR(VLOOKUP(B159,input_491104!L:R,7,FALSE),VLOOKUP(tables_491104!C159,input_491104!A:H,8,FALSE))</f>
        <v>59304.992819999999</v>
      </c>
      <c r="P159" s="46">
        <f t="shared" ca="1" si="10"/>
        <v>4.5395738533756383E-3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input_491104!A$2</f>
        <v>491104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IFERROR(VLOOKUP(B160,input_491104!L:R,7,FALSE),VLOOKUP(tables_491104!C160,input_491104!A:H,8,FALSE))</f>
        <v>124.17641</v>
      </c>
      <c r="P160" s="46">
        <f t="shared" ca="1" si="10"/>
        <v>9.5052365279428613E-6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input_491104!A$2</f>
        <v>491104</v>
      </c>
      <c r="B161" s="6">
        <v>395</v>
      </c>
      <c r="C161" s="7" t="str">
        <f t="shared" si="8"/>
        <v>Premium3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IFERROR(VLOOKUP(B161,input_491104!L:R,7,FALSE),VLOOKUP(tables_491104!C161,input_491104!A:H,8,FALSE))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input_491104!A$2</f>
        <v>491104</v>
      </c>
      <c r="B162" s="6">
        <v>396</v>
      </c>
      <c r="C162" s="7" t="str">
        <f t="shared" si="8"/>
        <v>Premium4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IFERROR(VLOOKUP(B162,input_491104!L:R,7,FALSE),VLOOKUP(tables_491104!C162,input_491104!A:H,8,FALSE))</f>
        <v>59304.992819999999</v>
      </c>
      <c r="P162" s="46">
        <f t="shared" ca="1" si="10"/>
        <v>4.5395738533756383E-3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input_491104!A$2</f>
        <v>491104</v>
      </c>
      <c r="B163" s="6">
        <v>397</v>
      </c>
      <c r="C163" s="7" t="str">
        <f t="shared" si="8"/>
        <v>Premium5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IFERROR(VLOOKUP(B163,input_491104!L:R,7,FALSE),VLOOKUP(tables_491104!C163,input_491104!A:H,8,FALSE))</f>
        <v>124.17641</v>
      </c>
      <c r="P163" s="46">
        <f t="shared" ca="1" si="10"/>
        <v>9.5052365279428613E-6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input_491104!A$2</f>
        <v>491104</v>
      </c>
      <c r="B164" s="6">
        <v>398</v>
      </c>
      <c r="C164" s="7" t="str">
        <f t="shared" si="8"/>
        <v>PremiumSS4color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IFERROR(VLOOKUP(B164,input_491104!L:R,7,FALSE),VLOOKUP(tables_491104!C164,input_491104!A:H,8,FALSE))</f>
        <v>21901.411759999999</v>
      </c>
      <c r="P164" s="46">
        <f t="shared" ca="1" si="10"/>
        <v>1.676470587889192E-3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input_491104!A$2</f>
        <v>491104</v>
      </c>
      <c r="B165" s="6">
        <v>399</v>
      </c>
      <c r="C165" s="7" t="str">
        <f t="shared" si="8"/>
        <v>PremiumSS5color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IFERROR(VLOOKUP(B165,input_491104!L:R,7,FALSE),VLOOKUP(tables_491104!C165,input_491104!A:H,8,FALSE))</f>
        <v>1152.70588</v>
      </c>
      <c r="P165" s="46">
        <f t="shared" ca="1" si="10"/>
        <v>8.8235293938281197E-5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input_491104!A$2</f>
        <v>491104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IFERROR(VLOOKUP(B166,input_491104!L:R,7,FALSE),VLOOKUP(tables_491104!C166,input_491104!A:H,8,FALSE))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input_491104!A$2</f>
        <v>491104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IFERROR(VLOOKUP(B167,input_491104!L:R,7,FALSE),VLOOKUP(tables_491104!C167,input_491104!A:H,8,FALSE))</f>
        <v>59304.992819999999</v>
      </c>
      <c r="P167" s="46">
        <f t="shared" ca="1" si="10"/>
        <v>4.5395738533756383E-3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input_491104!A$2</f>
        <v>491104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IFERROR(VLOOKUP(B168,input_491104!L:R,7,FALSE),VLOOKUP(tables_491104!C168,input_491104!A:H,8,FALSE))</f>
        <v>124.17641</v>
      </c>
      <c r="P168" s="46">
        <f t="shared" ca="1" si="10"/>
        <v>9.5052365279428613E-6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input_491104!A$2</f>
        <v>491104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IFERROR(VLOOKUP(B169,input_491104!L:R,7,FALSE),VLOOKUP(tables_491104!C169,input_491104!A:H,8,FALSE))</f>
        <v>5396</v>
      </c>
      <c r="P169" s="46">
        <f t="shared" ca="1" si="10"/>
        <v>4.1304347826434732E-4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input_491104!A$2</f>
        <v>491104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IFERROR(VLOOKUP(B170,input_491104!L:R,7,FALSE),VLOOKUP(tables_491104!C170,input_491104!A:H,8,FALSE))</f>
        <v>284</v>
      </c>
      <c r="P170" s="46">
        <f t="shared" ca="1" si="10"/>
        <v>2.1739130434965647E-5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input_491104!A$2</f>
        <v>491104</v>
      </c>
      <c r="B171" s="6">
        <v>405</v>
      </c>
      <c r="C171" s="7" t="str">
        <f t="shared" si="8"/>
        <v>Premium3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IFERROR(VLOOKUP(B171,input_491104!L:R,7,FALSE),VLOOKUP(tables_491104!C171,input_491104!A:H,8,FALSE))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input_491104!A$2</f>
        <v>491104</v>
      </c>
      <c r="B172" s="6">
        <v>406</v>
      </c>
      <c r="C172" s="7" t="str">
        <f t="shared" si="8"/>
        <v>Premium4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IFERROR(VLOOKUP(B172,input_491104!L:R,7,FALSE),VLOOKUP(tables_491104!C172,input_491104!A:H,8,FALSE))</f>
        <v>59304.992819999999</v>
      </c>
      <c r="P172" s="46">
        <f t="shared" ca="1" si="10"/>
        <v>4.5395738533756383E-3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input_491104!A$2</f>
        <v>491104</v>
      </c>
      <c r="B173" s="6">
        <v>407</v>
      </c>
      <c r="C173" s="7" t="str">
        <f t="shared" si="8"/>
        <v>Premium5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IFERROR(VLOOKUP(B173,input_491104!L:R,7,FALSE),VLOOKUP(tables_491104!C173,input_491104!A:H,8,FALSE))</f>
        <v>124.17641</v>
      </c>
      <c r="P173" s="46">
        <f t="shared" ca="1" si="10"/>
        <v>9.5052365279428613E-6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input_491104!A$2</f>
        <v>491104</v>
      </c>
      <c r="B174" s="6">
        <v>408</v>
      </c>
      <c r="C174" s="7" t="str">
        <f t="shared" si="8"/>
        <v>PremiumSS4color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IFERROR(VLOOKUP(B174,input_491104!L:R,7,FALSE),VLOOKUP(tables_491104!C174,input_491104!A:H,8,FALSE))</f>
        <v>21901.411759999999</v>
      </c>
      <c r="P174" s="46">
        <f t="shared" ca="1" si="10"/>
        <v>1.676470587889192E-3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input_491104!A$2</f>
        <v>491104</v>
      </c>
      <c r="B175" s="6">
        <v>409</v>
      </c>
      <c r="C175" s="7" t="str">
        <f t="shared" si="8"/>
        <v>PremiumSS5color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IFERROR(VLOOKUP(B175,input_491104!L:R,7,FALSE),VLOOKUP(tables_491104!C175,input_491104!A:H,8,FALSE))</f>
        <v>1152.70588</v>
      </c>
      <c r="P175" s="46">
        <f t="shared" ca="1" si="10"/>
        <v>8.8235293938281197E-5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input_491104!A$2</f>
        <v>491104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IFERROR(VLOOKUP(B176,input_491104!L:R,7,FALSE),VLOOKUP(tables_491104!C176,input_491104!A:H,8,FALSE))</f>
        <v>5396</v>
      </c>
      <c r="P176" s="46">
        <f t="shared" ca="1" si="10"/>
        <v>4.1304347826434732E-4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input_491104!A$2</f>
        <v>491104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IFERROR(VLOOKUP(B177,input_491104!L:R,7,FALSE),VLOOKUP(tables_491104!C177,input_491104!A:H,8,FALSE))</f>
        <v>284</v>
      </c>
      <c r="P177" s="46">
        <f t="shared" ca="1" si="10"/>
        <v>2.1739130434965647E-5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input_491104!A$2</f>
        <v>491104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IFERROR(VLOOKUP(B178,input_491104!L:R,7,FALSE),VLOOKUP(tables_491104!C178,input_491104!A:H,8,FALSE))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input_491104!A$2</f>
        <v>491104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IFERROR(VLOOKUP(B179,input_491104!L:R,7,FALSE),VLOOKUP(tables_491104!C179,input_491104!A:H,8,FALSE))</f>
        <v>59304.992819999999</v>
      </c>
      <c r="P179" s="46">
        <f t="shared" ca="1" si="10"/>
        <v>4.5395738533756383E-3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input_491104!A$2</f>
        <v>491104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IFERROR(VLOOKUP(B180,input_491104!L:R,7,FALSE),VLOOKUP(tables_491104!C180,input_491104!A:H,8,FALSE))</f>
        <v>124.17641</v>
      </c>
      <c r="P180" s="46">
        <f t="shared" ca="1" si="10"/>
        <v>9.5052365279428613E-6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input_491104!A$2</f>
        <v>491104</v>
      </c>
      <c r="B181" s="6">
        <v>439</v>
      </c>
      <c r="C181" s="7" t="str">
        <f t="shared" si="8"/>
        <v>Premium3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IFERROR(VLOOKUP(B181,input_491104!L:R,7,FALSE),VLOOKUP(tables_491104!C181,input_491104!A:H,8,FALSE))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input_491104!A$2</f>
        <v>491104</v>
      </c>
      <c r="B182" s="6">
        <v>440</v>
      </c>
      <c r="C182" s="7" t="str">
        <f t="shared" si="8"/>
        <v>Premium4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IFERROR(VLOOKUP(B182,input_491104!L:R,7,FALSE),VLOOKUP(tables_491104!C182,input_491104!A:H,8,FALSE))</f>
        <v>59304.992819999999</v>
      </c>
      <c r="P182" s="46">
        <f t="shared" ca="1" si="10"/>
        <v>4.5395738533756383E-3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input_491104!A$2</f>
        <v>491104</v>
      </c>
      <c r="B183" s="6">
        <v>441</v>
      </c>
      <c r="C183" s="7" t="str">
        <f t="shared" si="8"/>
        <v>Premium5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IFERROR(VLOOKUP(B183,input_491104!L:R,7,FALSE),VLOOKUP(tables_491104!C183,input_491104!A:H,8,FALSE))</f>
        <v>124.17641</v>
      </c>
      <c r="P183" s="46">
        <f t="shared" ca="1" si="10"/>
        <v>9.5052365279428613E-6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input_491104!A$2</f>
        <v>491104</v>
      </c>
      <c r="B184" s="6">
        <v>442</v>
      </c>
      <c r="C184" s="7" t="str">
        <f t="shared" si="8"/>
        <v>PremiumSS4color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IFERROR(VLOOKUP(B184,input_491104!L:R,7,FALSE),VLOOKUP(tables_491104!C184,input_491104!A:H,8,FALSE))</f>
        <v>21901.411759999999</v>
      </c>
      <c r="P184" s="46">
        <f t="shared" ca="1" si="10"/>
        <v>1.676470587889192E-3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input_491104!A$2</f>
        <v>491104</v>
      </c>
      <c r="B185" s="8">
        <v>443</v>
      </c>
      <c r="C185" s="7" t="str">
        <f t="shared" si="8"/>
        <v>PremiumSS5color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IFERROR(VLOOKUP(B185,input_491104!L:R,7,FALSE),VLOOKUP(tables_491104!C185,input_491104!A:H,8,FALSE))</f>
        <v>1152.70588</v>
      </c>
      <c r="P185" s="46">
        <f t="shared" ca="1" si="10"/>
        <v>8.8235293938281197E-5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input_491104!A$2</f>
        <v>491104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IFERROR(VLOOKUP(B186,input_491104!L:R,7,FALSE),VLOOKUP(tables_491104!C186,input_491104!A:H,8,FALSE))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input_491104!A$2</f>
        <v>491104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IFERROR(VLOOKUP(B187,input_491104!L:R,7,FALSE),VLOOKUP(tables_491104!C187,input_491104!A:H,8,FALSE))</f>
        <v>59304.992819999999</v>
      </c>
      <c r="P187" s="46">
        <f t="shared" ca="1" si="10"/>
        <v>4.5395738533756383E-3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input_491104!A$2</f>
        <v>491104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IFERROR(VLOOKUP(B188,input_491104!L:R,7,FALSE),VLOOKUP(tables_491104!C188,input_491104!A:H,8,FALSE))</f>
        <v>124.17641</v>
      </c>
      <c r="P188" s="46">
        <f t="shared" ca="1" si="10"/>
        <v>9.5052365279428613E-6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input_491104!A$2</f>
        <v>491104</v>
      </c>
      <c r="B189" s="6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IFERROR(VLOOKUP(B189,input_491104!L:R,7,FALSE),VLOOKUP(tables_491104!C189,input_491104!A:H,8,FALSE))</f>
        <v>5396</v>
      </c>
      <c r="P189" s="46">
        <f t="shared" ca="1" si="10"/>
        <v>4.1304347826434732E-4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input_491104!A$2</f>
        <v>491104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IFERROR(VLOOKUP(B190,input_491104!L:R,7,FALSE),VLOOKUP(tables_491104!C190,input_491104!A:H,8,FALSE))</f>
        <v>284</v>
      </c>
      <c r="P190" s="46">
        <f t="shared" ca="1" si="10"/>
        <v>2.1739130434965647E-5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input_491104!A$2</f>
        <v>491104</v>
      </c>
      <c r="B191" s="6">
        <v>467</v>
      </c>
      <c r="C191" s="7" t="str">
        <f t="shared" si="8"/>
        <v>PremiumSS4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IFERROR(VLOOKUP(B191,input_491104!L:R,7,FALSE),VLOOKUP(tables_491104!C191,input_491104!A:H,8,FALSE))</f>
        <v>5396</v>
      </c>
      <c r="P191" s="46">
        <f t="shared" ca="1" si="10"/>
        <v>4.1304347826434732E-4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input_491104!A$2</f>
        <v>491104</v>
      </c>
      <c r="B192" s="6">
        <v>468</v>
      </c>
      <c r="C192" s="7" t="str">
        <f t="shared" si="8"/>
        <v>PremiumSS5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IFERROR(VLOOKUP(B192,input_491104!L:R,7,FALSE),VLOOKUP(tables_491104!C192,input_491104!A:H,8,FALSE))</f>
        <v>284</v>
      </c>
      <c r="P192" s="46">
        <f t="shared" ca="1" si="10"/>
        <v>2.1739130434965647E-5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input_491104!A$2</f>
        <v>491104</v>
      </c>
      <c r="B193" s="6">
        <v>469</v>
      </c>
      <c r="C193" s="7" t="str">
        <f t="shared" si="8"/>
        <v>Premium3color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IFERROR(VLOOKUP(B193,input_491104!L:R,7,FALSE),VLOOKUP(tables_491104!C193,input_491104!A:H,8,FALSE))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input_491104!A$2</f>
        <v>491104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IF(K194="yellow","color","")</f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IFERROR(VLOOKUP(B194,input_491104!L:R,7,FALSE),VLOOKUP(tables_491104!C194,input_491104!A:H,8,FALSE))</f>
        <v>333594.53379999998</v>
      </c>
      <c r="P194" s="46">
        <f t="shared" ref="P194:P257" ca="1" si="14">O194/SUM(O:O)</f>
        <v>2.5535405220668154E-2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input_491104!A$2</f>
        <v>491104</v>
      </c>
      <c r="B195" s="6">
        <v>471</v>
      </c>
      <c r="C195" s="7" t="str">
        <f t="shared" si="12"/>
        <v>Premium5color</v>
      </c>
      <c r="D195" s="7" t="str">
        <f t="shared" ref="D195:D258" si="15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IFERROR(VLOOKUP(B195,input_491104!L:R,7,FALSE),VLOOKUP(tables_491104!C195,input_491104!A:H,8,FALSE))</f>
        <v>2744.0843799999998</v>
      </c>
      <c r="P195" s="46">
        <f t="shared" ca="1" si="14"/>
        <v>2.1004932486398534E-4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input_491104!A$2</f>
        <v>491104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IFERROR(VLOOKUP(B196,input_491104!L:R,7,FALSE),VLOOKUP(tables_491104!C196,input_491104!A:H,8,FALSE))</f>
        <v>5396</v>
      </c>
      <c r="P196" s="46">
        <f t="shared" ca="1" si="14"/>
        <v>4.1304347826434732E-4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input_491104!A$2</f>
        <v>491104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IFERROR(VLOOKUP(B197,input_491104!L:R,7,FALSE),VLOOKUP(tables_491104!C197,input_491104!A:H,8,FALSE))</f>
        <v>284</v>
      </c>
      <c r="P197" s="46">
        <f t="shared" ca="1" si="14"/>
        <v>2.1739130434965647E-5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input_491104!A$2</f>
        <v>491104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IFERROR(VLOOKUP(B198,input_491104!L:R,7,FALSE),VLOOKUP(tables_491104!C198,input_491104!A:H,8,FALSE))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input_491104!A$2</f>
        <v>491104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IFERROR(VLOOKUP(B199,input_491104!L:R,7,FALSE),VLOOKUP(tables_491104!C199,input_491104!A:H,8,FALSE))</f>
        <v>59304.992819999999</v>
      </c>
      <c r="P199" s="46">
        <f t="shared" ca="1" si="14"/>
        <v>4.5395738533756383E-3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input_491104!A$2</f>
        <v>491104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IFERROR(VLOOKUP(B200,input_491104!L:R,7,FALSE),VLOOKUP(tables_491104!C200,input_491104!A:H,8,FALSE))</f>
        <v>124.17641</v>
      </c>
      <c r="P200" s="46">
        <f t="shared" ca="1" si="14"/>
        <v>9.5052365279428613E-6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input_491104!A$2</f>
        <v>491104</v>
      </c>
      <c r="B201" s="6">
        <v>479</v>
      </c>
      <c r="C201" s="7" t="str">
        <f t="shared" si="12"/>
        <v>PremiumSS4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IFERROR(VLOOKUP(B201,input_491104!L:R,7,FALSE),VLOOKUP(tables_491104!C201,input_491104!A:H,8,FALSE))</f>
        <v>5396</v>
      </c>
      <c r="P201" s="46">
        <f t="shared" ca="1" si="14"/>
        <v>4.1304347826434732E-4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input_491104!A$2</f>
        <v>491104</v>
      </c>
      <c r="B202" s="6">
        <v>480</v>
      </c>
      <c r="C202" s="7" t="str">
        <f t="shared" si="12"/>
        <v>PremiumSS5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IFERROR(VLOOKUP(B202,input_491104!L:R,7,FALSE),VLOOKUP(tables_491104!C202,input_491104!A:H,8,FALSE))</f>
        <v>284</v>
      </c>
      <c r="P202" s="46">
        <f t="shared" ca="1" si="14"/>
        <v>2.1739130434965647E-5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input_491104!A$2</f>
        <v>491104</v>
      </c>
      <c r="B203" s="6">
        <v>481</v>
      </c>
      <c r="C203" s="7" t="str">
        <f t="shared" si="12"/>
        <v>Premium3color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IFERROR(VLOOKUP(B203,input_491104!L:R,7,FALSE),VLOOKUP(tables_491104!C203,input_491104!A:H,8,FALSE))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input_491104!A$2</f>
        <v>491104</v>
      </c>
      <c r="B204" s="6">
        <v>482</v>
      </c>
      <c r="C204" s="7" t="str">
        <f t="shared" si="12"/>
        <v>Premium4color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IFERROR(VLOOKUP(B204,input_491104!L:R,7,FALSE),VLOOKUP(tables_491104!C204,input_491104!A:H,8,FALSE))</f>
        <v>333594.53379999998</v>
      </c>
      <c r="P204" s="46">
        <f t="shared" ca="1" si="14"/>
        <v>2.5535405220668154E-2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input_491104!A$2</f>
        <v>491104</v>
      </c>
      <c r="B205" s="6">
        <v>483</v>
      </c>
      <c r="C205" s="7" t="str">
        <f t="shared" si="12"/>
        <v>Premium5color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IFERROR(VLOOKUP(B205,input_491104!L:R,7,FALSE),VLOOKUP(tables_491104!C205,input_491104!A:H,8,FALSE))</f>
        <v>2744.0843799999998</v>
      </c>
      <c r="P205" s="46">
        <f t="shared" ca="1" si="14"/>
        <v>2.1004932486398534E-4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input_491104!A$2</f>
        <v>491104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IFERROR(VLOOKUP(B206,input_491104!L:R,7,FALSE),VLOOKUP(tables_491104!C206,input_491104!A:H,8,FALSE))</f>
        <v>5396</v>
      </c>
      <c r="P206" s="46">
        <f t="shared" ca="1" si="14"/>
        <v>4.1304347826434732E-4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input_491104!A$2</f>
        <v>491104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IFERROR(VLOOKUP(B207,input_491104!L:R,7,FALSE),VLOOKUP(tables_491104!C207,input_491104!A:H,8,FALSE))</f>
        <v>284</v>
      </c>
      <c r="P207" s="46">
        <f t="shared" ca="1" si="14"/>
        <v>2.1739130434965647E-5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input_491104!A$2</f>
        <v>491104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IFERROR(VLOOKUP(B208,input_491104!L:R,7,FALSE),VLOOKUP(tables_491104!C208,input_491104!A:H,8,FALSE))</f>
        <v>5396</v>
      </c>
      <c r="P208" s="46">
        <f t="shared" ca="1" si="14"/>
        <v>4.1304347826434732E-4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input_491104!A$2</f>
        <v>491104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IFERROR(VLOOKUP(B209,input_491104!L:R,7,FALSE),VLOOKUP(tables_491104!C209,input_491104!A:H,8,FALSE))</f>
        <v>284</v>
      </c>
      <c r="P209" s="46">
        <f t="shared" ca="1" si="14"/>
        <v>2.1739130434965647E-5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input_491104!A$2</f>
        <v>491104</v>
      </c>
      <c r="B210" s="6">
        <v>496</v>
      </c>
      <c r="C210" s="7" t="str">
        <f t="shared" si="12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IFERROR(VLOOKUP(B210,input_491104!L:R,7,FALSE),VLOOKUP(tables_491104!C210,input_491104!A:H,8,FALSE))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input_491104!A$2</f>
        <v>491104</v>
      </c>
      <c r="B211" s="6">
        <v>497</v>
      </c>
      <c r="C211" s="7" t="str">
        <f t="shared" si="12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IFERROR(VLOOKUP(B211,input_491104!L:R,7,FALSE),VLOOKUP(tables_491104!C211,input_491104!A:H,8,FALSE))</f>
        <v>59304.992819999999</v>
      </c>
      <c r="P211" s="46">
        <f t="shared" ca="1" si="14"/>
        <v>4.5395738533756383E-3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input_491104!A$2</f>
        <v>491104</v>
      </c>
      <c r="B212" s="6">
        <v>498</v>
      </c>
      <c r="C212" s="7" t="str">
        <f t="shared" si="12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IFERROR(VLOOKUP(B212,input_491104!L:R,7,FALSE),VLOOKUP(tables_491104!C212,input_491104!A:H,8,FALSE))</f>
        <v>124.17641</v>
      </c>
      <c r="P212" s="46">
        <f t="shared" ca="1" si="14"/>
        <v>9.5052365279428613E-6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input_491104!A$2</f>
        <v>491104</v>
      </c>
      <c r="B213" s="6">
        <v>499</v>
      </c>
      <c r="C213" s="7" t="str">
        <f t="shared" si="12"/>
        <v>PremiumSS4color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IFERROR(VLOOKUP(B213,input_491104!L:R,7,FALSE),VLOOKUP(tables_491104!C213,input_491104!A:H,8,FALSE))</f>
        <v>21901.411759999999</v>
      </c>
      <c r="P213" s="46">
        <f t="shared" ca="1" si="14"/>
        <v>1.676470587889192E-3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input_491104!A$2</f>
        <v>491104</v>
      </c>
      <c r="B214" s="6">
        <v>500</v>
      </c>
      <c r="C214" s="7" t="str">
        <f t="shared" si="12"/>
        <v>PremiumSS5color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IFERROR(VLOOKUP(B214,input_491104!L:R,7,FALSE),VLOOKUP(tables_491104!C214,input_491104!A:H,8,FALSE))</f>
        <v>1152.70588</v>
      </c>
      <c r="P214" s="46">
        <f t="shared" ca="1" si="14"/>
        <v>8.8235293938281197E-5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input_491104!A$2</f>
        <v>491104</v>
      </c>
      <c r="B215" s="6">
        <v>560</v>
      </c>
      <c r="C215" s="7" t="str">
        <f t="shared" si="12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IFERROR(VLOOKUP(B215,input_491104!L:R,7,FALSE),VLOOKUP(tables_491104!C215,input_491104!A:H,8,FALSE))</f>
        <v>3473.92</v>
      </c>
      <c r="P215" s="46">
        <f t="shared" ca="1" si="14"/>
        <v>2.6591549295998547E-4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input_491104!A$2</f>
        <v>491104</v>
      </c>
      <c r="B216" s="6">
        <v>561</v>
      </c>
      <c r="C216" s="7" t="str">
        <f t="shared" si="12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IFERROR(VLOOKUP(B216,input_491104!L:R,7,FALSE),VLOOKUP(tables_491104!C216,input_491104!A:H,8,FALSE))</f>
        <v>3473.92</v>
      </c>
      <c r="P216" s="46">
        <f t="shared" ca="1" si="14"/>
        <v>2.6591549295998547E-4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input_491104!A$2</f>
        <v>491104</v>
      </c>
      <c r="B217" s="6">
        <v>562</v>
      </c>
      <c r="C217" s="7" t="str">
        <f t="shared" si="12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IFERROR(VLOOKUP(B217,input_491104!L:R,7,FALSE),VLOOKUP(tables_491104!C217,input_491104!A:H,8,FALSE))</f>
        <v>3473.92</v>
      </c>
      <c r="P217" s="46">
        <f t="shared" ca="1" si="14"/>
        <v>2.6591549295998547E-4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input_491104!A$2</f>
        <v>491104</v>
      </c>
      <c r="B218" s="6">
        <v>563</v>
      </c>
      <c r="C218" s="7" t="str">
        <f t="shared" si="12"/>
        <v>premium5R3lesscolor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3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IFERROR(VLOOKUP(B218,input_491104!L:R,7,FALSE),VLOOKUP(tables_491104!C218,input_491104!A:H,8,FALSE))</f>
        <v>11591.330910000001</v>
      </c>
      <c r="P218" s="46">
        <f t="shared" ca="1" si="14"/>
        <v>8.8727272734978547E-4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input_491104!A$2</f>
        <v>491104</v>
      </c>
      <c r="B219" s="6">
        <v>566</v>
      </c>
      <c r="C219" s="7" t="str">
        <f t="shared" si="12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IFERROR(VLOOKUP(B219,input_491104!L:R,7,FALSE),VLOOKUP(tables_491104!C219,input_491104!A:H,8,FALSE))</f>
        <v>3473.92</v>
      </c>
      <c r="P219" s="46">
        <f t="shared" ca="1" si="14"/>
        <v>2.6591549295998547E-4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input_491104!A$2</f>
        <v>491104</v>
      </c>
      <c r="B220" s="6">
        <v>567</v>
      </c>
      <c r="C220" s="7" t="str">
        <f t="shared" si="12"/>
        <v>premium5R3lesscolor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IFERROR(VLOOKUP(B220,input_491104!L:R,7,FALSE),VLOOKUP(tables_491104!C220,input_491104!A:H,8,FALSE))</f>
        <v>11591.330910000001</v>
      </c>
      <c r="P220" s="46">
        <f t="shared" ca="1" si="14"/>
        <v>8.8727272734978547E-4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input_491104!A$2</f>
        <v>491104</v>
      </c>
      <c r="B221" s="6">
        <v>586</v>
      </c>
      <c r="C221" s="7" t="str">
        <f t="shared" si="12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IFERROR(VLOOKUP(B221,input_491104!L:R,7,FALSE),VLOOKUP(tables_491104!C221,input_491104!A:H,8,FALSE))</f>
        <v>5396</v>
      </c>
      <c r="P221" s="46">
        <f t="shared" ca="1" si="14"/>
        <v>4.1304347826434732E-4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input_491104!A$2</f>
        <v>491104</v>
      </c>
      <c r="B222" s="6">
        <v>587</v>
      </c>
      <c r="C222" s="7" t="str">
        <f t="shared" si="12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IFERROR(VLOOKUP(B222,input_491104!L:R,7,FALSE),VLOOKUP(tables_491104!C222,input_491104!A:H,8,FALSE))</f>
        <v>284</v>
      </c>
      <c r="P222" s="46">
        <f t="shared" ca="1" si="14"/>
        <v>2.1739130434965647E-5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input_491104!A$2</f>
        <v>491104</v>
      </c>
      <c r="B223" s="6">
        <v>588</v>
      </c>
      <c r="C223" s="7" t="str">
        <f t="shared" si="12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IFERROR(VLOOKUP(B223,input_491104!L:R,7,FALSE),VLOOKUP(tables_491104!C223,input_491104!A:H,8,FALSE))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input_491104!A$2</f>
        <v>491104</v>
      </c>
      <c r="B224" s="6">
        <v>589</v>
      </c>
      <c r="C224" s="7" t="str">
        <f t="shared" si="12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IFERROR(VLOOKUP(B224,input_491104!L:R,7,FALSE),VLOOKUP(tables_491104!C224,input_491104!A:H,8,FALSE))</f>
        <v>59304.992819999999</v>
      </c>
      <c r="P224" s="46">
        <f t="shared" ca="1" si="14"/>
        <v>4.5395738533756383E-3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input_491104!A$2</f>
        <v>491104</v>
      </c>
      <c r="B225" s="6">
        <v>590</v>
      </c>
      <c r="C225" s="7" t="str">
        <f t="shared" si="12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IFERROR(VLOOKUP(B225,input_491104!L:R,7,FALSE),VLOOKUP(tables_491104!C225,input_491104!A:H,8,FALSE))</f>
        <v>124.17641</v>
      </c>
      <c r="P225" s="46">
        <f t="shared" ca="1" si="14"/>
        <v>9.5052365279428613E-6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input_491104!A$2</f>
        <v>491104</v>
      </c>
      <c r="B226" s="6">
        <v>591</v>
      </c>
      <c r="C226" s="7" t="str">
        <f t="shared" si="12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IFERROR(VLOOKUP(B226,input_491104!L:R,7,FALSE),VLOOKUP(tables_491104!C226,input_491104!A:H,8,FALSE))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input_491104!A$2</f>
        <v>491104</v>
      </c>
      <c r="B227" s="6">
        <v>592</v>
      </c>
      <c r="C227" s="7" t="str">
        <f t="shared" si="12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IFERROR(VLOOKUP(B227,input_491104!L:R,7,FALSE),VLOOKUP(tables_491104!C227,input_491104!A:H,8,FALSE))</f>
        <v>59304.992819999999</v>
      </c>
      <c r="P227" s="46">
        <f t="shared" ca="1" si="14"/>
        <v>4.5395738533756383E-3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input_491104!A$2</f>
        <v>491104</v>
      </c>
      <c r="B228" s="6">
        <v>593</v>
      </c>
      <c r="C228" s="7" t="str">
        <f t="shared" si="12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IFERROR(VLOOKUP(B228,input_491104!L:R,7,FALSE),VLOOKUP(tables_491104!C228,input_491104!A:H,8,FALSE))</f>
        <v>124.17641</v>
      </c>
      <c r="P228" s="46">
        <f t="shared" ca="1" si="14"/>
        <v>9.5052365279428613E-6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input_491104!A$2</f>
        <v>491104</v>
      </c>
      <c r="B229" s="6">
        <v>594</v>
      </c>
      <c r="C229" s="7" t="str">
        <f t="shared" si="12"/>
        <v>PremiumSS4color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IFERROR(VLOOKUP(B229,input_491104!L:R,7,FALSE),VLOOKUP(tables_491104!C229,input_491104!A:H,8,FALSE))</f>
        <v>21901.411759999999</v>
      </c>
      <c r="P229" s="46">
        <f t="shared" ca="1" si="14"/>
        <v>1.676470587889192E-3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input_491104!A$2</f>
        <v>491104</v>
      </c>
      <c r="B230" s="6">
        <v>595</v>
      </c>
      <c r="C230" s="7" t="str">
        <f t="shared" si="12"/>
        <v>PremiumSS5color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IFERROR(VLOOKUP(B230,input_491104!L:R,7,FALSE),VLOOKUP(tables_491104!C230,input_491104!A:H,8,FALSE))</f>
        <v>1152.70588</v>
      </c>
      <c r="P230" s="46">
        <f t="shared" ca="1" si="14"/>
        <v>8.8235293938281197E-5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input_491104!A$2</f>
        <v>491104</v>
      </c>
      <c r="B231" s="6">
        <v>596</v>
      </c>
      <c r="C231" s="7" t="str">
        <f t="shared" si="12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IFERROR(VLOOKUP(B231,input_491104!L:R,7,FALSE),VLOOKUP(tables_491104!C231,input_491104!A:H,8,FALSE))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input_491104!A$2</f>
        <v>491104</v>
      </c>
      <c r="B232" s="6">
        <v>597</v>
      </c>
      <c r="C232" s="7" t="str">
        <f t="shared" si="12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IFERROR(VLOOKUP(B232,input_491104!L:R,7,FALSE),VLOOKUP(tables_491104!C232,input_491104!A:H,8,FALSE))</f>
        <v>59304.992819999999</v>
      </c>
      <c r="P232" s="46">
        <f t="shared" ca="1" si="14"/>
        <v>4.5395738533756383E-3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input_491104!A$2</f>
        <v>491104</v>
      </c>
      <c r="B233" s="6">
        <v>598</v>
      </c>
      <c r="C233" s="7" t="str">
        <f t="shared" si="12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IFERROR(VLOOKUP(B233,input_491104!L:R,7,FALSE),VLOOKUP(tables_491104!C233,input_491104!A:H,8,FALSE))</f>
        <v>124.17641</v>
      </c>
      <c r="P233" s="46">
        <f t="shared" ca="1" si="14"/>
        <v>9.5052365279428613E-6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input_491104!A$2</f>
        <v>491104</v>
      </c>
      <c r="B234" s="6">
        <v>599</v>
      </c>
      <c r="C234" s="7" t="str">
        <f t="shared" si="12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IFERROR(VLOOKUP(B234,input_491104!L:R,7,FALSE),VLOOKUP(tables_491104!C234,input_491104!A:H,8,FALSE))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input_491104!A$2</f>
        <v>491104</v>
      </c>
      <c r="B235" s="6">
        <v>600</v>
      </c>
      <c r="C235" s="7" t="str">
        <f t="shared" si="12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IFERROR(VLOOKUP(B235,input_491104!L:R,7,FALSE),VLOOKUP(tables_491104!C235,input_491104!A:H,8,FALSE))</f>
        <v>59304.992819999999</v>
      </c>
      <c r="P235" s="46">
        <f t="shared" ca="1" si="14"/>
        <v>4.5395738533756383E-3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input_491104!A$2</f>
        <v>491104</v>
      </c>
      <c r="B236" s="6">
        <v>601</v>
      </c>
      <c r="C236" s="7" t="str">
        <f t="shared" si="12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IFERROR(VLOOKUP(B236,input_491104!L:R,7,FALSE),VLOOKUP(tables_491104!C236,input_491104!A:H,8,FALSE))</f>
        <v>124.17641</v>
      </c>
      <c r="P236" s="46">
        <f t="shared" ca="1" si="14"/>
        <v>9.5052365279428613E-6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input_491104!A$2</f>
        <v>491104</v>
      </c>
      <c r="B237" s="6">
        <v>602</v>
      </c>
      <c r="C237" s="7" t="str">
        <f t="shared" si="12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IFERROR(VLOOKUP(B237,input_491104!L:R,7,FALSE),VLOOKUP(tables_491104!C237,input_491104!A:H,8,FALSE))</f>
        <v>5396</v>
      </c>
      <c r="P237" s="46">
        <f t="shared" ca="1" si="14"/>
        <v>4.1304347826434732E-4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input_491104!A$2</f>
        <v>491104</v>
      </c>
      <c r="B238" s="6">
        <v>603</v>
      </c>
      <c r="C238" s="7" t="str">
        <f t="shared" si="12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IFERROR(VLOOKUP(B238,input_491104!L:R,7,FALSE),VLOOKUP(tables_491104!C238,input_491104!A:H,8,FALSE))</f>
        <v>284</v>
      </c>
      <c r="P238" s="46">
        <f t="shared" ca="1" si="14"/>
        <v>2.1739130434965647E-5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input_491104!A$2</f>
        <v>491104</v>
      </c>
      <c r="B239" s="6">
        <v>604</v>
      </c>
      <c r="C239" s="7" t="str">
        <f t="shared" si="12"/>
        <v>Premium3color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IFERROR(VLOOKUP(B239,input_491104!L:R,7,FALSE),VLOOKUP(tables_491104!C239,input_491104!A:H,8,FALSE))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input_491104!A$2</f>
        <v>491104</v>
      </c>
      <c r="B240" s="6">
        <v>605</v>
      </c>
      <c r="C240" s="7" t="str">
        <f t="shared" si="12"/>
        <v>Premium4color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IFERROR(VLOOKUP(B240,input_491104!L:R,7,FALSE),VLOOKUP(tables_491104!C240,input_491104!A:H,8,FALSE))</f>
        <v>333594.53379999998</v>
      </c>
      <c r="P240" s="46">
        <f t="shared" ca="1" si="14"/>
        <v>2.5535405220668154E-2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input_491104!A$2</f>
        <v>491104</v>
      </c>
      <c r="B241" s="6">
        <v>606</v>
      </c>
      <c r="C241" s="7" t="str">
        <f t="shared" si="12"/>
        <v>Premium5color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IFERROR(VLOOKUP(B241,input_491104!L:R,7,FALSE),VLOOKUP(tables_491104!C241,input_491104!A:H,8,FALSE))</f>
        <v>2744.0843799999998</v>
      </c>
      <c r="P241" s="46">
        <f t="shared" ca="1" si="14"/>
        <v>2.1004932486398534E-4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input_491104!A$2</f>
        <v>491104</v>
      </c>
      <c r="B242" s="6">
        <v>658</v>
      </c>
      <c r="C242" s="7" t="str">
        <f t="shared" si="12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IFERROR(VLOOKUP(B242,input_491104!L:R,7,FALSE),VLOOKUP(tables_491104!C242,input_491104!A:H,8,FALSE))</f>
        <v>5396</v>
      </c>
      <c r="P242" s="46">
        <f t="shared" ca="1" si="14"/>
        <v>4.1304347826434732E-4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input_491104!A$2</f>
        <v>491104</v>
      </c>
      <c r="B243" s="6">
        <v>659</v>
      </c>
      <c r="C243" s="7" t="str">
        <f t="shared" si="12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IFERROR(VLOOKUP(B243,input_491104!L:R,7,FALSE),VLOOKUP(tables_491104!C243,input_491104!A:H,8,FALSE))</f>
        <v>284</v>
      </c>
      <c r="P243" s="46">
        <f t="shared" ca="1" si="14"/>
        <v>2.1739130434965647E-5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input_491104!A$2</f>
        <v>491104</v>
      </c>
      <c r="B244" s="6">
        <v>660</v>
      </c>
      <c r="C244" s="7" t="str">
        <f t="shared" si="12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IFERROR(VLOOKUP(B244,input_491104!L:R,7,FALSE),VLOOKUP(tables_491104!C244,input_491104!A:H,8,FALSE))</f>
        <v>5396</v>
      </c>
      <c r="P244" s="46">
        <f t="shared" ca="1" si="14"/>
        <v>4.1304347826434732E-4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input_491104!A$2</f>
        <v>491104</v>
      </c>
      <c r="B245" s="60">
        <v>661</v>
      </c>
      <c r="C245" s="7" t="str">
        <f t="shared" si="12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IFERROR(VLOOKUP(B245,input_491104!L:R,7,FALSE),VLOOKUP(tables_491104!C245,input_491104!A:H,8,FALSE))</f>
        <v>284</v>
      </c>
      <c r="P245" s="46">
        <f t="shared" ca="1" si="14"/>
        <v>2.1739130434965647E-5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input_491104!A$2</f>
        <v>491104</v>
      </c>
      <c r="B246" s="60">
        <v>662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IFERROR(VLOOKUP(B246,input_491104!L:R,7,FALSE),VLOOKUP(tables_491104!C246,input_491104!A:H,8,FALSE))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input_491104!A$2</f>
        <v>491104</v>
      </c>
      <c r="B247" s="60">
        <v>663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IFERROR(VLOOKUP(B247,input_491104!L:R,7,FALSE),VLOOKUP(tables_491104!C247,input_491104!A:H,8,FALSE))</f>
        <v>59304.992819999999</v>
      </c>
      <c r="P247" s="46">
        <f t="shared" ca="1" si="14"/>
        <v>4.5395738533756383E-3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input_491104!A$2</f>
        <v>491104</v>
      </c>
      <c r="B248" s="60">
        <v>664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IFERROR(VLOOKUP(B248,input_491104!L:R,7,FALSE),VLOOKUP(tables_491104!C248,input_491104!A:H,8,FALSE))</f>
        <v>124.17641</v>
      </c>
      <c r="P248" s="46">
        <f t="shared" ca="1" si="14"/>
        <v>9.5052365279428613E-6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input_491104!A$2</f>
        <v>491104</v>
      </c>
      <c r="B249" s="60">
        <v>665</v>
      </c>
      <c r="C249" s="7" t="str">
        <f t="shared" si="12"/>
        <v>Premium3color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IFERROR(VLOOKUP(B249,input_491104!L:R,7,FALSE),VLOOKUP(tables_491104!C249,input_491104!A:H,8,FALSE))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input_491104!A$2</f>
        <v>491104</v>
      </c>
      <c r="B250" s="60">
        <v>666</v>
      </c>
      <c r="C250" s="7" t="str">
        <f t="shared" si="12"/>
        <v>Premium4color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IFERROR(VLOOKUP(B250,input_491104!L:R,7,FALSE),VLOOKUP(tables_491104!C250,input_491104!A:H,8,FALSE))</f>
        <v>333594.53379999998</v>
      </c>
      <c r="P250" s="46">
        <f t="shared" ca="1" si="14"/>
        <v>2.5535405220668154E-2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input_491104!A$2</f>
        <v>491104</v>
      </c>
      <c r="B251" s="60">
        <v>667</v>
      </c>
      <c r="C251" s="7" t="str">
        <f t="shared" si="12"/>
        <v>Premium5color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IFERROR(VLOOKUP(B251,input_491104!L:R,7,FALSE),VLOOKUP(tables_491104!C251,input_491104!A:H,8,FALSE))</f>
        <v>2744.0843799999998</v>
      </c>
      <c r="P251" s="46">
        <f t="shared" ca="1" si="14"/>
        <v>2.1004932486398534E-4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input_491104!A$2</f>
        <v>491104</v>
      </c>
      <c r="B252" s="60">
        <v>668</v>
      </c>
      <c r="C252" s="7" t="str">
        <f t="shared" si="12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IFERROR(VLOOKUP(B252,input_491104!L:R,7,FALSE),VLOOKUP(tables_491104!C252,input_491104!A:H,8,FALSE))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input_491104!A$2</f>
        <v>491104</v>
      </c>
      <c r="B253" s="60">
        <v>669</v>
      </c>
      <c r="C253" s="7" t="str">
        <f t="shared" si="12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IFERROR(VLOOKUP(B253,input_491104!L:R,7,FALSE),VLOOKUP(tables_491104!C253,input_491104!A:H,8,FALSE))</f>
        <v>59304.992819999999</v>
      </c>
      <c r="P253" s="46">
        <f t="shared" ca="1" si="14"/>
        <v>4.5395738533756383E-3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input_491104!A$2</f>
        <v>491104</v>
      </c>
      <c r="B254" s="60">
        <v>670</v>
      </c>
      <c r="C254" s="7" t="str">
        <f t="shared" si="12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IFERROR(VLOOKUP(B254,input_491104!L:R,7,FALSE),VLOOKUP(tables_491104!C254,input_491104!A:H,8,FALSE))</f>
        <v>124.17641</v>
      </c>
      <c r="P254" s="46">
        <f t="shared" ca="1" si="14"/>
        <v>9.5052365279428613E-6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input_491104!A$2</f>
        <v>491104</v>
      </c>
      <c r="B255" s="60">
        <v>671</v>
      </c>
      <c r="C255" s="7" t="str">
        <f t="shared" si="12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IFERROR(VLOOKUP(B255,input_491104!L:R,7,FALSE),VLOOKUP(tables_491104!C255,input_491104!A:H,8,FALSE))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input_491104!A$2</f>
        <v>491104</v>
      </c>
      <c r="B256" s="60">
        <v>672</v>
      </c>
      <c r="C256" s="7" t="str">
        <f t="shared" si="12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IFERROR(VLOOKUP(B256,input_491104!L:R,7,FALSE),VLOOKUP(tables_491104!C256,input_491104!A:H,8,FALSE))</f>
        <v>59304.992819999999</v>
      </c>
      <c r="P256" s="46">
        <f t="shared" ca="1" si="14"/>
        <v>4.5395738533756383E-3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input_491104!A$2</f>
        <v>491104</v>
      </c>
      <c r="B257" s="60">
        <v>673</v>
      </c>
      <c r="C257" s="7" t="str">
        <f t="shared" si="12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IFERROR(VLOOKUP(B257,input_491104!L:R,7,FALSE),VLOOKUP(tables_491104!C257,input_491104!A:H,8,FALSE))</f>
        <v>124.17641</v>
      </c>
      <c r="P257" s="46">
        <f t="shared" ca="1" si="14"/>
        <v>9.5052365279428613E-6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input_491104!A$2</f>
        <v>491104</v>
      </c>
      <c r="B258" s="60">
        <v>674</v>
      </c>
      <c r="C258" s="7" t="str">
        <f t="shared" ref="C258:C321" si="16">D258&amp;J258&amp;E258&amp;F258&amp;G258</f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ref="G258:G321" si="17">IF(K258="yellow","color","")</f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IFERROR(VLOOKUP(B258,input_491104!L:R,7,FALSE),VLOOKUP(tables_491104!C258,input_491104!A:H,8,FALSE))</f>
        <v>5396</v>
      </c>
      <c r="P258" s="46">
        <f t="shared" ref="P258:P305" ca="1" si="18">O258/SUM(O:O)</f>
        <v>4.1304347826434732E-4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input_491104!A$2</f>
        <v>491104</v>
      </c>
      <c r="B259" s="60">
        <v>675</v>
      </c>
      <c r="C259" s="7" t="str">
        <f t="shared" si="16"/>
        <v>PremiumSS5</v>
      </c>
      <c r="D259" s="7" t="str">
        <f t="shared" ref="D259:D322" si="1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IFERROR(VLOOKUP(B259,input_491104!L:R,7,FALSE),VLOOKUP(tables_491104!C259,input_491104!A:H,8,FALSE))</f>
        <v>284</v>
      </c>
      <c r="P259" s="46">
        <f t="shared" ca="1" si="18"/>
        <v>2.1739130434965647E-5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input_491104!A$2</f>
        <v>491104</v>
      </c>
      <c r="B260" s="60">
        <v>676</v>
      </c>
      <c r="C260" s="7" t="str">
        <f t="shared" si="16"/>
        <v>PremiumSS4color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IFERROR(VLOOKUP(B260,input_491104!L:R,7,FALSE),VLOOKUP(tables_491104!C260,input_491104!A:H,8,FALSE))</f>
        <v>21901.411759999999</v>
      </c>
      <c r="P260" s="46">
        <f t="shared" ca="1" si="18"/>
        <v>1.676470587889192E-3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input_491104!A$2</f>
        <v>491104</v>
      </c>
      <c r="B261" s="60">
        <v>677</v>
      </c>
      <c r="C261" s="7" t="str">
        <f t="shared" si="16"/>
        <v>PremiumSS5color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7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IFERROR(VLOOKUP(B261,input_491104!L:R,7,FALSE),VLOOKUP(tables_491104!C261,input_491104!A:H,8,FALSE))</f>
        <v>1152.70588</v>
      </c>
      <c r="P261" s="46">
        <f t="shared" ca="1" si="18"/>
        <v>8.8235293938281197E-5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input_491104!A$2</f>
        <v>491104</v>
      </c>
      <c r="B262" s="60">
        <v>728</v>
      </c>
      <c r="C262" s="7" t="str">
        <f t="shared" si="16"/>
        <v>Premium4R3less</v>
      </c>
      <c r="D262" s="7" t="str">
        <f t="shared" si="1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IFERROR(VLOOKUP(B262,input_491104!L:R,7,FALSE),VLOOKUP(tables_491104!C262,input_491104!A:H,8,FALSE))</f>
        <v>85914.331430000006</v>
      </c>
      <c r="P262" s="46">
        <f t="shared" ca="1" si="18"/>
        <v>6.5764185112311231E-3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input_491104!A$2</f>
        <v>491104</v>
      </c>
      <c r="B263" s="60">
        <v>729</v>
      </c>
      <c r="C263" s="7" t="str">
        <f t="shared" si="16"/>
        <v>Premium5R3less</v>
      </c>
      <c r="D263" s="7" t="str">
        <f t="shared" si="1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IFERROR(VLOOKUP(B263,input_491104!L:R,7,FALSE),VLOOKUP(tables_491104!C263,input_491104!A:H,8,FALSE))</f>
        <v>3473.92</v>
      </c>
      <c r="P263" s="46">
        <f t="shared" ca="1" si="18"/>
        <v>2.6591549295998547E-4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input_491104!A$2</f>
        <v>491104</v>
      </c>
      <c r="B264" s="60">
        <v>730</v>
      </c>
      <c r="C264" s="7" t="str">
        <f t="shared" si="16"/>
        <v>Premium4R3less</v>
      </c>
      <c r="D264" s="7" t="str">
        <f t="shared" si="1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IFERROR(VLOOKUP(B264,input_491104!L:R,7,FALSE),VLOOKUP(tables_491104!C264,input_491104!A:H,8,FALSE))</f>
        <v>85914.331430000006</v>
      </c>
      <c r="P264" s="46">
        <f t="shared" ca="1" si="18"/>
        <v>6.5764185112311231E-3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input_491104!A$2</f>
        <v>491104</v>
      </c>
      <c r="B265" s="60">
        <v>731</v>
      </c>
      <c r="C265" s="7" t="str">
        <f t="shared" si="16"/>
        <v>Premium5R3less</v>
      </c>
      <c r="D265" s="7" t="str">
        <f t="shared" si="1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IFERROR(VLOOKUP(B265,input_491104!L:R,7,FALSE),VLOOKUP(tables_491104!C265,input_491104!A:H,8,FALSE))</f>
        <v>3473.92</v>
      </c>
      <c r="P265" s="46">
        <f t="shared" ca="1" si="18"/>
        <v>2.6591549295998547E-4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input_491104!A$2</f>
        <v>491104</v>
      </c>
      <c r="B266" s="60">
        <v>732</v>
      </c>
      <c r="C266" s="7" t="str">
        <f t="shared" si="16"/>
        <v>PremiumSS5R5only</v>
      </c>
      <c r="D266" s="7" t="str">
        <f t="shared" si="1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7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IFERROR(VLOOKUP(B266,input_491104!L:R,7,FALSE),VLOOKUP(tables_491104!C266,input_491104!A:H,8,FALSE))</f>
        <v>5680</v>
      </c>
      <c r="P266" s="46">
        <f t="shared" ca="1" si="18"/>
        <v>4.3478260869931294E-4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input_491104!A$2</f>
        <v>491104</v>
      </c>
      <c r="B267" s="60">
        <v>734</v>
      </c>
      <c r="C267" s="7" t="str">
        <f t="shared" si="16"/>
        <v>PremiumSS5R5onlycolor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IFERROR(VLOOKUP(B267,input_491104!L:R,7,FALSE),VLOOKUP(tables_491104!C267,input_491104!A:H,8,FALSE))</f>
        <v>23054.11765</v>
      </c>
      <c r="P267" s="46">
        <f t="shared" ca="1" si="18"/>
        <v>1.7647058825929357E-3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input_491104!A$2</f>
        <v>491104</v>
      </c>
      <c r="B268" s="60">
        <v>742</v>
      </c>
      <c r="C268" s="7" t="str">
        <f t="shared" si="16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7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IFERROR(VLOOKUP(B268,input_491104!L:R,7,FALSE),VLOOKUP(tables_491104!C268,input_491104!A:H,8,FALSE))</f>
        <v>5680</v>
      </c>
      <c r="P268" s="46">
        <f t="shared" ca="1" si="18"/>
        <v>4.3478260869931294E-4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input_491104!A$2</f>
        <v>491104</v>
      </c>
      <c r="B269" s="60">
        <v>744</v>
      </c>
      <c r="C269" s="7" t="str">
        <f t="shared" si="16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IFERROR(VLOOKUP(B269,input_491104!L:R,7,FALSE),VLOOKUP(tables_491104!C269,input_491104!A:H,8,FALSE))</f>
        <v>5680</v>
      </c>
      <c r="P269" s="46">
        <f t="shared" ca="1" si="18"/>
        <v>4.3478260869931294E-4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input_491104!A$2</f>
        <v>491104</v>
      </c>
      <c r="B270" s="60">
        <v>746</v>
      </c>
      <c r="C270" s="7" t="str">
        <f t="shared" si="16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IFERROR(VLOOKUP(B270,input_491104!L:R,7,FALSE),VLOOKUP(tables_491104!C270,input_491104!A:H,8,FALSE))</f>
        <v>85914.331430000006</v>
      </c>
      <c r="P270" s="46">
        <f t="shared" ca="1" si="18"/>
        <v>6.5764185112311231E-3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input_491104!A$2</f>
        <v>491104</v>
      </c>
      <c r="B271" s="82">
        <v>747</v>
      </c>
      <c r="C271" s="7" t="str">
        <f t="shared" si="16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IFERROR(VLOOKUP(B271,input_491104!L:R,7,FALSE),VLOOKUP(tables_491104!C271,input_491104!A:H,8,FALSE))</f>
        <v>3473.92</v>
      </c>
      <c r="P271" s="46">
        <f t="shared" ca="1" si="18"/>
        <v>2.6591549295998547E-4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input_491104!A$2</f>
        <v>491104</v>
      </c>
      <c r="B272" s="82">
        <v>748</v>
      </c>
      <c r="C272" s="7" t="str">
        <f t="shared" si="16"/>
        <v>Premium4R3lesscolor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7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IFERROR(VLOOKUP(B272,input_491104!L:R,7,FALSE),VLOOKUP(tables_491104!C272,input_491104!A:H,8,FALSE))</f>
        <v>219475.20000000001</v>
      </c>
      <c r="P272" s="46">
        <f t="shared" ca="1" si="18"/>
        <v>1.6800000000141455E-2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input_491104!A$2</f>
        <v>491104</v>
      </c>
      <c r="B273" s="82">
        <v>749</v>
      </c>
      <c r="C273" s="7" t="str">
        <f t="shared" si="16"/>
        <v>Premium5R3lesscolor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7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IFERROR(VLOOKUP(B273,input_491104!L:R,7,FALSE),VLOOKUP(tables_491104!C273,input_491104!A:H,8,FALSE))</f>
        <v>11591.330910000001</v>
      </c>
      <c r="P273" s="46">
        <f t="shared" ca="1" si="18"/>
        <v>8.8727272734978547E-4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input_491104!A$2</f>
        <v>491104</v>
      </c>
      <c r="B274" s="82">
        <v>770</v>
      </c>
      <c r="C274" s="7" t="str">
        <f t="shared" si="16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7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IFERROR(VLOOKUP(B274,input_491104!L:R,7,FALSE),VLOOKUP(tables_491104!C274,input_491104!A:H,8,FALSE))</f>
        <v>5396</v>
      </c>
      <c r="P274" s="46">
        <f t="shared" ca="1" si="18"/>
        <v>4.1304347826434732E-4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input_491104!A$2</f>
        <v>491104</v>
      </c>
      <c r="B275" s="82">
        <v>771</v>
      </c>
      <c r="C275" s="7" t="str">
        <f t="shared" si="16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7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IFERROR(VLOOKUP(B275,input_491104!L:R,7,FALSE),VLOOKUP(tables_491104!C275,input_491104!A:H,8,FALSE))</f>
        <v>284</v>
      </c>
      <c r="P275" s="46">
        <f t="shared" ca="1" si="18"/>
        <v>2.1739130434965647E-5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input_491104!A$2</f>
        <v>491104</v>
      </c>
      <c r="B276" s="82">
        <v>772</v>
      </c>
      <c r="C276" s="7" t="str">
        <f t="shared" si="16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IFERROR(VLOOKUP(B276,input_491104!L:R,7,FALSE),VLOOKUP(tables_491104!C276,input_491104!A:H,8,FALSE))</f>
        <v>5396</v>
      </c>
      <c r="P276" s="46">
        <f t="shared" ca="1" si="18"/>
        <v>4.1304347826434732E-4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input_491104!A$2</f>
        <v>491104</v>
      </c>
      <c r="B277" s="82">
        <v>773</v>
      </c>
      <c r="C277" s="7" t="str">
        <f t="shared" si="16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IFERROR(VLOOKUP(B277,input_491104!L:R,7,FALSE),VLOOKUP(tables_491104!C277,input_491104!A:H,8,FALSE))</f>
        <v>284</v>
      </c>
      <c r="P277" s="46">
        <f t="shared" ca="1" si="18"/>
        <v>2.1739130434965647E-5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input_491104!A$2</f>
        <v>491104</v>
      </c>
      <c r="B278" s="82">
        <v>774</v>
      </c>
      <c r="C278" s="7" t="str">
        <f t="shared" si="16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IFERROR(VLOOKUP(B278,input_491104!L:R,7,FALSE),VLOOKUP(tables_491104!C278,input_491104!A:H,8,FALSE))</f>
        <v>0</v>
      </c>
      <c r="P278" s="46">
        <f t="shared" ca="1" si="18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input_491104!A$2</f>
        <v>491104</v>
      </c>
      <c r="B279" s="82">
        <v>775</v>
      </c>
      <c r="C279" s="7" t="str">
        <f t="shared" si="16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IFERROR(VLOOKUP(B279,input_491104!L:R,7,FALSE),VLOOKUP(tables_491104!C279,input_491104!A:H,8,FALSE))</f>
        <v>59304.992819999999</v>
      </c>
      <c r="P279" s="46">
        <f t="shared" ca="1" si="18"/>
        <v>4.5395738533756383E-3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input_491104!A$2</f>
        <v>491104</v>
      </c>
      <c r="B280" s="82">
        <v>776</v>
      </c>
      <c r="C280" s="7" t="str">
        <f t="shared" si="16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IFERROR(VLOOKUP(B280,input_491104!L:R,7,FALSE),VLOOKUP(tables_491104!C280,input_491104!A:H,8,FALSE))</f>
        <v>124.17641</v>
      </c>
      <c r="P280" s="46">
        <f t="shared" ca="1" si="18"/>
        <v>9.5052365279428613E-6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input_491104!A$2</f>
        <v>491104</v>
      </c>
      <c r="B281" s="82">
        <v>777</v>
      </c>
      <c r="C281" s="7" t="str">
        <f t="shared" si="16"/>
        <v>Premium3color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7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IFERROR(VLOOKUP(B281,input_491104!L:R,7,FALSE),VLOOKUP(tables_491104!C281,input_491104!A:H,8,FALSE))</f>
        <v>0</v>
      </c>
      <c r="P281" s="46">
        <f t="shared" ca="1" si="18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input_491104!A$2</f>
        <v>491104</v>
      </c>
      <c r="B282" s="82">
        <v>778</v>
      </c>
      <c r="C282" s="7" t="str">
        <f t="shared" si="16"/>
        <v>Premium4color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IFERROR(VLOOKUP(B282,input_491104!L:R,7,FALSE),VLOOKUP(tables_491104!C282,input_491104!A:H,8,FALSE))</f>
        <v>333594.53379999998</v>
      </c>
      <c r="P282" s="46">
        <f t="shared" ca="1" si="18"/>
        <v>2.5535405220668154E-2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input_491104!A$2</f>
        <v>491104</v>
      </c>
      <c r="B283" s="5">
        <v>779</v>
      </c>
      <c r="C283" s="7" t="str">
        <f t="shared" si="16"/>
        <v>Premium5color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7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IFERROR(VLOOKUP(B283,input_491104!L:R,7,FALSE),VLOOKUP(tables_491104!C283,input_491104!A:H,8,FALSE))</f>
        <v>2744.0843799999998</v>
      </c>
      <c r="P283" s="46">
        <f t="shared" ca="1" si="18"/>
        <v>2.1004932486398534E-4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input_491104!A$2</f>
        <v>491104</v>
      </c>
      <c r="B284" s="5">
        <v>848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IFERROR(VLOOKUP(B284,input_491104!L:R,7,FALSE),VLOOKUP(tables_491104!C284,input_491104!A:H,8,FALSE))</f>
        <v>5680</v>
      </c>
      <c r="P284" s="46">
        <f t="shared" ca="1" si="18"/>
        <v>4.3478260869931294E-4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input_491104!A$2</f>
        <v>491104</v>
      </c>
      <c r="B285" s="5">
        <v>850</v>
      </c>
      <c r="C285" s="7" t="str">
        <f t="shared" si="16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IFERROR(VLOOKUP(B285,input_491104!L:R,7,FALSE),VLOOKUP(tables_491104!C285,input_491104!A:H,8,FALSE))</f>
        <v>5680</v>
      </c>
      <c r="P285" s="46">
        <f t="shared" ca="1" si="18"/>
        <v>4.3478260869931294E-4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input_491104!A$2</f>
        <v>491104</v>
      </c>
      <c r="B286" s="5">
        <v>852</v>
      </c>
      <c r="C286" s="7" t="str">
        <f t="shared" si="16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IFERROR(VLOOKUP(B286,input_491104!L:R,7,FALSE),VLOOKUP(tables_491104!C286,input_491104!A:H,8,FALSE))</f>
        <v>85914.331430000006</v>
      </c>
      <c r="P286" s="46">
        <f t="shared" ca="1" si="18"/>
        <v>6.5764185112311231E-3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input_491104!A$2</f>
        <v>491104</v>
      </c>
      <c r="B287" s="5">
        <v>853</v>
      </c>
      <c r="C287" s="7" t="str">
        <f t="shared" si="16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IFERROR(VLOOKUP(B287,input_491104!L:R,7,FALSE),VLOOKUP(tables_491104!C287,input_491104!A:H,8,FALSE))</f>
        <v>3473.92</v>
      </c>
      <c r="P287" s="46">
        <f t="shared" ca="1" si="18"/>
        <v>2.6591549295998547E-4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input_491104!A$2</f>
        <v>491104</v>
      </c>
      <c r="B288" s="5">
        <v>854</v>
      </c>
      <c r="C288" s="7" t="str">
        <f t="shared" si="16"/>
        <v>Premium4R3lesscolor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IFERROR(VLOOKUP(B288,input_491104!L:R,7,FALSE),VLOOKUP(tables_491104!C288,input_491104!A:H,8,FALSE))</f>
        <v>219475.20000000001</v>
      </c>
      <c r="P288" s="46">
        <f t="shared" ca="1" si="18"/>
        <v>1.6800000000141455E-2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input_491104!A$2</f>
        <v>491104</v>
      </c>
      <c r="B289" s="5">
        <v>855</v>
      </c>
      <c r="C289" s="7" t="str">
        <f t="shared" si="16"/>
        <v>Premium5R3lesscolor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IFERROR(VLOOKUP(B289,input_491104!L:R,7,FALSE),VLOOKUP(tables_491104!C289,input_491104!A:H,8,FALSE))</f>
        <v>11591.330910000001</v>
      </c>
      <c r="P289" s="46">
        <f t="shared" ca="1" si="18"/>
        <v>8.8727272734978547E-4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input_491104!A$2</f>
        <v>491104</v>
      </c>
      <c r="B290" s="5">
        <v>862</v>
      </c>
      <c r="C290" s="7" t="str">
        <f t="shared" si="16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IFERROR(VLOOKUP(B290,input_491104!L:R,7,FALSE),VLOOKUP(tables_491104!C290,input_491104!A:H,8,FALSE))</f>
        <v>85914.331430000006</v>
      </c>
      <c r="P290" s="46">
        <f t="shared" ca="1" si="18"/>
        <v>6.5764185112311231E-3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input_491104!A$2</f>
        <v>491104</v>
      </c>
      <c r="B291" s="5">
        <v>863</v>
      </c>
      <c r="C291" s="7" t="str">
        <f t="shared" si="16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IFERROR(VLOOKUP(B291,input_491104!L:R,7,FALSE),VLOOKUP(tables_491104!C291,input_491104!A:H,8,FALSE))</f>
        <v>3473.92</v>
      </c>
      <c r="P291" s="46">
        <f t="shared" ca="1" si="18"/>
        <v>2.6591549295998547E-4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input_491104!A$2</f>
        <v>491104</v>
      </c>
      <c r="B292" s="5">
        <v>864</v>
      </c>
      <c r="C292" s="7" t="str">
        <f t="shared" si="16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IFERROR(VLOOKUP(B292,input_491104!L:R,7,FALSE),VLOOKUP(tables_491104!C292,input_491104!A:H,8,FALSE))</f>
        <v>85914.331430000006</v>
      </c>
      <c r="P292" s="46">
        <f t="shared" ca="1" si="18"/>
        <v>6.5764185112311231E-3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input_491104!A$2</f>
        <v>491104</v>
      </c>
      <c r="B293" s="5">
        <v>865</v>
      </c>
      <c r="C293" s="7" t="str">
        <f t="shared" si="16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7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IFERROR(VLOOKUP(B293,input_491104!L:R,7,FALSE),VLOOKUP(tables_491104!C293,input_491104!A:H,8,FALSE))</f>
        <v>3473.92</v>
      </c>
      <c r="P293" s="46">
        <f t="shared" ca="1" si="18"/>
        <v>2.6591549295998547E-4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input_491104!A$2</f>
        <v>491104</v>
      </c>
      <c r="B294" s="5">
        <v>866</v>
      </c>
      <c r="C294" s="7" t="str">
        <f t="shared" si="16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IFERROR(VLOOKUP(B294,input_491104!L:R,7,FALSE),VLOOKUP(tables_491104!C294,input_491104!A:H,8,FALSE))</f>
        <v>5680</v>
      </c>
      <c r="P294" s="46">
        <f t="shared" ca="1" si="18"/>
        <v>4.3478260869931294E-4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input_491104!A$2</f>
        <v>491104</v>
      </c>
      <c r="B295" s="5">
        <v>868</v>
      </c>
      <c r="C295" s="7" t="str">
        <f t="shared" si="16"/>
        <v>PremiumSS5R5onlycolor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IFERROR(VLOOKUP(B295,input_491104!L:R,7,FALSE),VLOOKUP(tables_491104!C295,input_491104!A:H,8,FALSE))</f>
        <v>23054.11765</v>
      </c>
      <c r="P295" s="46">
        <f t="shared" ca="1" si="18"/>
        <v>1.7647058825929357E-3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input_491104!A$2</f>
        <v>491104</v>
      </c>
      <c r="B296" s="5">
        <v>937</v>
      </c>
      <c r="C296" s="7" t="str">
        <f t="shared" si="16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IFERROR(VLOOKUP(B296,input_491104!L:R,7,FALSE),VLOOKUP(tables_491104!C296,input_491104!A:H,8,FALSE))</f>
        <v>5680</v>
      </c>
      <c r="P296" s="46">
        <f t="shared" ca="1" si="18"/>
        <v>4.3478260869931294E-4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input_491104!A$2</f>
        <v>491104</v>
      </c>
      <c r="B297" s="5">
        <v>939</v>
      </c>
      <c r="C297" s="7" t="str">
        <f t="shared" si="16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IFERROR(VLOOKUP(B297,input_491104!L:R,7,FALSE),VLOOKUP(tables_491104!C297,input_491104!A:H,8,FALSE))</f>
        <v>85914.331430000006</v>
      </c>
      <c r="P297" s="46">
        <f t="shared" ca="1" si="18"/>
        <v>6.5764185112311231E-3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input_491104!A$2</f>
        <v>491104</v>
      </c>
      <c r="B298" s="5">
        <v>940</v>
      </c>
      <c r="C298" s="7" t="str">
        <f t="shared" si="16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IFERROR(VLOOKUP(B298,input_491104!L:R,7,FALSE),VLOOKUP(tables_491104!C298,input_491104!A:H,8,FALSE))</f>
        <v>3473.92</v>
      </c>
      <c r="P298" s="46">
        <f t="shared" ca="1" si="18"/>
        <v>2.6591549295998547E-4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input_491104!A$2</f>
        <v>491104</v>
      </c>
      <c r="B299" s="5">
        <v>941</v>
      </c>
      <c r="C299" s="7" t="str">
        <f t="shared" si="16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IFERROR(VLOOKUP(B299,input_491104!L:R,7,FALSE),VLOOKUP(tables_491104!C299,input_491104!A:H,8,FALSE))</f>
        <v>5680</v>
      </c>
      <c r="P299" s="46">
        <f t="shared" ca="1" si="18"/>
        <v>4.3478260869931294E-4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input_491104!A$2</f>
        <v>491104</v>
      </c>
      <c r="B300" s="5">
        <v>943</v>
      </c>
      <c r="C300" s="7" t="str">
        <f t="shared" si="16"/>
        <v>PremiumSS5R5onlycolor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7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IFERROR(VLOOKUP(B300,input_491104!L:R,7,FALSE),VLOOKUP(tables_491104!C300,input_491104!A:H,8,FALSE))</f>
        <v>23054.11765</v>
      </c>
      <c r="P300" s="46">
        <f t="shared" ca="1" si="18"/>
        <v>1.7647058825929357E-3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input_491104!A$2</f>
        <v>491104</v>
      </c>
      <c r="B301" s="5">
        <v>1012</v>
      </c>
      <c r="C301" s="7" t="str">
        <f t="shared" si="16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IFERROR(VLOOKUP(B301,input_491104!L:R,7,FALSE),VLOOKUP(tables_491104!C301,input_491104!A:H,8,FALSE))</f>
        <v>5680</v>
      </c>
      <c r="P301" s="46">
        <f t="shared" ca="1" si="18"/>
        <v>4.3478260869931294E-4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input_491104!A$2</f>
        <v>491104</v>
      </c>
      <c r="B302" s="5">
        <v>1014</v>
      </c>
      <c r="C302" s="7" t="str">
        <f t="shared" si="16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IFERROR(VLOOKUP(B302,input_491104!L:R,7,FALSE),VLOOKUP(tables_491104!C302,input_491104!A:H,8,FALSE))</f>
        <v>5680</v>
      </c>
      <c r="P302" s="46">
        <f t="shared" ca="1" si="18"/>
        <v>4.3478260869931294E-4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input_491104!A$2</f>
        <v>491104</v>
      </c>
      <c r="B303" s="5">
        <v>1016</v>
      </c>
      <c r="C303" s="7" t="str">
        <f t="shared" si="16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7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IFERROR(VLOOKUP(B303,input_491104!L:R,7,FALSE),VLOOKUP(tables_491104!C303,input_491104!A:H,8,FALSE))</f>
        <v>85914.331430000006</v>
      </c>
      <c r="P303" s="46">
        <f t="shared" ca="1" si="18"/>
        <v>6.5764185112311231E-3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input_491104!A$2</f>
        <v>491104</v>
      </c>
      <c r="B304" s="5">
        <v>1017</v>
      </c>
      <c r="C304" s="7" t="str">
        <f t="shared" si="16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IFERROR(VLOOKUP(B304,input_491104!L:R,7,FALSE),VLOOKUP(tables_491104!C304,input_491104!A:H,8,FALSE))</f>
        <v>3473.92</v>
      </c>
      <c r="P304" s="46">
        <f t="shared" ca="1" si="18"/>
        <v>2.6591549295998547E-4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input_491104!A$2</f>
        <v>491104</v>
      </c>
      <c r="B305" s="5">
        <v>1018</v>
      </c>
      <c r="C305" s="7" t="str">
        <f t="shared" si="16"/>
        <v>PremiumSS5R5onlycolor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7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IFERROR(VLOOKUP(B305,input_491104!L:R,7,FALSE),VLOOKUP(tables_491104!C305,input_491104!A:H,8,FALSE))</f>
        <v>23054.11765</v>
      </c>
      <c r="P305" s="46">
        <f t="shared" ca="1" si="18"/>
        <v>1.7647058825929357E-3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input_491104!A$2</f>
        <v>491104</v>
      </c>
      <c r="B306" s="5">
        <v>1026</v>
      </c>
      <c r="C306" s="7" t="str">
        <f t="shared" si="16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7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IFERROR(VLOOKUP(B306,input_491104!L:R,7,FALSE),VLOOKUP(tables_491104!C306,input_491104!A:H,8,FALSE))</f>
        <v>85914.331430000006</v>
      </c>
      <c r="P306" s="46">
        <f t="shared" ref="P306:P310" ca="1" si="20">O306/SUM(O:O)</f>
        <v>6.5764185112311231E-3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input_491104!A$2</f>
        <v>491104</v>
      </c>
      <c r="B307" s="5">
        <v>1027</v>
      </c>
      <c r="C307" s="7" t="str">
        <f t="shared" si="16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7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IFERROR(VLOOKUP(B307,input_491104!L:R,7,FALSE),VLOOKUP(tables_491104!C307,input_491104!A:H,8,FALSE))</f>
        <v>3473.92</v>
      </c>
      <c r="P307" s="46">
        <f t="shared" ca="1" si="20"/>
        <v>2.6591549295998547E-4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input_491104!A$2</f>
        <v>491104</v>
      </c>
      <c r="B308" s="5">
        <v>1028</v>
      </c>
      <c r="C308" s="7" t="str">
        <f t="shared" si="16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7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IFERROR(VLOOKUP(B308,input_491104!L:R,7,FALSE),VLOOKUP(tables_491104!C308,input_491104!A:H,8,FALSE))</f>
        <v>5680</v>
      </c>
      <c r="P308" s="46">
        <f t="shared" ca="1" si="20"/>
        <v>4.3478260869931294E-4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input_491104!A$2</f>
        <v>491104</v>
      </c>
      <c r="B309" s="5">
        <v>1031</v>
      </c>
      <c r="C309" s="7" t="str">
        <f t="shared" si="16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7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IFERROR(VLOOKUP(B309,input_491104!L:R,7,FALSE),VLOOKUP(tables_491104!C309,input_491104!A:H,8,FALSE))</f>
        <v>5680</v>
      </c>
      <c r="P309" s="46">
        <f t="shared" ca="1" si="20"/>
        <v>4.3478260869931294E-4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input_491104!A$2</f>
        <v>491104</v>
      </c>
      <c r="B310" s="5">
        <v>1033</v>
      </c>
      <c r="C310" s="7" t="str">
        <f t="shared" si="16"/>
        <v>PremiumSS5R5onlycolor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7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IFERROR(VLOOKUP(B310,input_491104!L:R,7,FALSE),VLOOKUP(tables_491104!C310,input_491104!A:H,8,FALSE))</f>
        <v>23054.11765</v>
      </c>
      <c r="P310" s="46">
        <f t="shared" ca="1" si="20"/>
        <v>1.7647058825929357E-3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input_491104!A$2</f>
        <v>491104</v>
      </c>
      <c r="B311" s="5">
        <v>1067</v>
      </c>
      <c r="C311" s="7" t="str">
        <f t="shared" si="16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7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IFERROR(VLOOKUP(B311,input_491104!L:R,7,FALSE),VLOOKUP(tables_491104!C311,input_491104!A:H,8,FALSE))</f>
        <v>85914.331430000006</v>
      </c>
      <c r="P311" s="46">
        <f t="shared" ref="P311:P319" ca="1" si="21">O311/SUM(O:O)</f>
        <v>6.5764185112311231E-3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input_491104!A$2</f>
        <v>491104</v>
      </c>
      <c r="B312" s="5">
        <v>1068</v>
      </c>
      <c r="C312" s="7" t="str">
        <f t="shared" si="16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7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IFERROR(VLOOKUP(B312,input_491104!L:R,7,FALSE),VLOOKUP(tables_491104!C312,input_491104!A:H,8,FALSE))</f>
        <v>3473.92</v>
      </c>
      <c r="P312" s="46">
        <f t="shared" ca="1" si="21"/>
        <v>2.6591549295998547E-4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input_491104!A$2</f>
        <v>491104</v>
      </c>
      <c r="B313" s="5">
        <v>1069</v>
      </c>
      <c r="C313" s="7" t="str">
        <f t="shared" si="16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7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IFERROR(VLOOKUP(B313,input_491104!L:R,7,FALSE),VLOOKUP(tables_491104!C313,input_491104!A:H,8,FALSE))</f>
        <v>5680</v>
      </c>
      <c r="P313" s="46">
        <f t="shared" ca="1" si="21"/>
        <v>4.3478260869931294E-4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input_491104!A$2</f>
        <v>491104</v>
      </c>
      <c r="B314" s="5">
        <v>1072</v>
      </c>
      <c r="C314" s="7" t="str">
        <f t="shared" si="16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7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IFERROR(VLOOKUP(B314,input_491104!L:R,7,FALSE),VLOOKUP(tables_491104!C314,input_491104!A:H,8,FALSE))</f>
        <v>5680</v>
      </c>
      <c r="P314" s="46">
        <f t="shared" ca="1" si="21"/>
        <v>4.3478260869931294E-4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input_491104!A$2</f>
        <v>491104</v>
      </c>
      <c r="B315" s="5">
        <v>1074</v>
      </c>
      <c r="C315" s="7" t="str">
        <f t="shared" si="16"/>
        <v>PremiumSS5R5onlycolor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7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IFERROR(VLOOKUP(B315,input_491104!L:R,7,FALSE),VLOOKUP(tables_491104!C315,input_491104!A:H,8,FALSE))</f>
        <v>23054.11765</v>
      </c>
      <c r="P315" s="46">
        <f t="shared" ca="1" si="21"/>
        <v>1.7647058825929357E-3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input_491104!A$2</f>
        <v>491104</v>
      </c>
      <c r="B316" s="5">
        <v>1100</v>
      </c>
      <c r="C316" s="7" t="str">
        <f t="shared" si="16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7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IFERROR(VLOOKUP(B316,input_491104!L:R,7,FALSE),VLOOKUP(tables_491104!C316,input_491104!A:H,8,FALSE))</f>
        <v>5680</v>
      </c>
      <c r="P316" s="46">
        <f t="shared" ca="1" si="21"/>
        <v>4.3478260869931294E-4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input_491104!A$2</f>
        <v>491104</v>
      </c>
      <c r="B317" s="5">
        <v>1102</v>
      </c>
      <c r="C317" s="7" t="str">
        <f t="shared" si="16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7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IFERROR(VLOOKUP(B317,input_491104!L:R,7,FALSE),VLOOKUP(tables_491104!C317,input_491104!A:H,8,FALSE))</f>
        <v>5680</v>
      </c>
      <c r="P317" s="46">
        <f t="shared" ca="1" si="21"/>
        <v>4.3478260869931294E-4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input_491104!A$2</f>
        <v>491104</v>
      </c>
      <c r="B318" s="5">
        <v>1104</v>
      </c>
      <c r="C318" s="7" t="str">
        <f t="shared" si="16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7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IFERROR(VLOOKUP(B318,input_491104!L:R,7,FALSE),VLOOKUP(tables_491104!C318,input_491104!A:H,8,FALSE))</f>
        <v>85914.331430000006</v>
      </c>
      <c r="P318" s="46">
        <f t="shared" ca="1" si="21"/>
        <v>6.5764185112311231E-3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input_491104!A$2</f>
        <v>491104</v>
      </c>
      <c r="B319" s="5">
        <v>1105</v>
      </c>
      <c r="C319" s="7" t="str">
        <f t="shared" si="16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7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IFERROR(VLOOKUP(B319,input_491104!L:R,7,FALSE),VLOOKUP(tables_491104!C319,input_491104!A:H,8,FALSE))</f>
        <v>3473.92</v>
      </c>
      <c r="P319" s="46">
        <f t="shared" ca="1" si="21"/>
        <v>2.6591549295998547E-4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input_491104!A$2</f>
        <v>491104</v>
      </c>
      <c r="B320" s="5">
        <v>1106</v>
      </c>
      <c r="C320" s="7" t="str">
        <f t="shared" si="16"/>
        <v>PremiumSS5R5onlycolor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7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IFERROR(VLOOKUP(B320,input_491104!L:R,7,FALSE),VLOOKUP(tables_491104!C320,input_491104!A:H,8,FALSE))</f>
        <v>23054.11765</v>
      </c>
      <c r="P320" s="46">
        <f t="shared" ref="P320:P324" ca="1" si="22">O320/SUM(O:O)</f>
        <v>1.7647058825929357E-3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input_491104!A$2</f>
        <v>491104</v>
      </c>
      <c r="B321" s="5">
        <v>1137</v>
      </c>
      <c r="C321" s="7" t="str">
        <f t="shared" si="16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7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IFERROR(VLOOKUP(B321,input_491104!L:R,7,FALSE),VLOOKUP(tables_491104!C321,input_491104!A:H,8,FALSE))</f>
        <v>5680</v>
      </c>
      <c r="P321" s="46">
        <f t="shared" ca="1" si="22"/>
        <v>4.3478260869931294E-4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input_491104!A$2</f>
        <v>491104</v>
      </c>
      <c r="B322" s="5">
        <v>1139</v>
      </c>
      <c r="C322" s="7" t="str">
        <f t="shared" ref="C322:C330" si="23">D322&amp;J322&amp;E322&amp;F322&amp;G322</f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ref="G322:G341" si="24">IF(K322="yellow","color","")</f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IFERROR(VLOOKUP(B322,input_491104!L:R,7,FALSE),VLOOKUP(tables_491104!C322,input_491104!A:H,8,FALSE))</f>
        <v>5680</v>
      </c>
      <c r="P322" s="46">
        <f t="shared" ca="1" si="22"/>
        <v>4.3478260869931294E-4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input_491104!A$2</f>
        <v>491104</v>
      </c>
      <c r="B323" s="5">
        <v>1141</v>
      </c>
      <c r="C323" s="7" t="str">
        <f t="shared" si="23"/>
        <v>PremiumSS5R5only</v>
      </c>
      <c r="D323" s="7" t="str">
        <f t="shared" ref="D323:D330" si="25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si="24"/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IFERROR(VLOOKUP(B323,input_491104!L:R,7,FALSE),VLOOKUP(tables_491104!C323,input_491104!A:H,8,FALSE))</f>
        <v>5680</v>
      </c>
      <c r="P323" s="46">
        <f t="shared" ca="1" si="22"/>
        <v>4.3478260869931294E-4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input_491104!A$2</f>
        <v>491104</v>
      </c>
      <c r="B324" s="2">
        <v>1143</v>
      </c>
      <c r="C324" s="98" t="str">
        <f t="shared" si="23"/>
        <v>Premium4R3lesscolor</v>
      </c>
      <c r="D324" s="7" t="str">
        <f t="shared" si="25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4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IFERROR(VLOOKUP(B324,input_491104!L:R,7,FALSE),VLOOKUP(tables_491104!C324,input_491104!A:H,8,FALSE))</f>
        <v>219475.20000000001</v>
      </c>
      <c r="P324" s="46">
        <f t="shared" ca="1" si="22"/>
        <v>1.6800000000141455E-2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input_491104!A$2</f>
        <v>491104</v>
      </c>
      <c r="B325" s="2">
        <v>1144</v>
      </c>
      <c r="C325" s="98" t="str">
        <f t="shared" si="23"/>
        <v>Premium5R3lesscolor</v>
      </c>
      <c r="D325" s="7" t="str">
        <f t="shared" si="25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4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IFERROR(VLOOKUP(B325,input_491104!L:R,7,FALSE),VLOOKUP(tables_491104!C325,input_491104!A:H,8,FALSE))</f>
        <v>11591.330910000001</v>
      </c>
      <c r="P325" s="46">
        <f t="shared" ref="P325:P330" ca="1" si="26">O325/SUM(O:O)</f>
        <v>8.8727272734978547E-4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input_491104!A$2</f>
        <v>491104</v>
      </c>
      <c r="B326" s="2">
        <v>1151</v>
      </c>
      <c r="C326" s="98" t="str">
        <f t="shared" si="23"/>
        <v>Premium4R3less</v>
      </c>
      <c r="D326" s="7" t="str">
        <f t="shared" si="25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4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IFERROR(VLOOKUP(B326,input_491104!L:R,7,FALSE),VLOOKUP(tables_491104!C326,input_491104!A:H,8,FALSE))</f>
        <v>85914.331430000006</v>
      </c>
      <c r="P326" s="46">
        <f t="shared" ca="1" si="26"/>
        <v>6.5764185112311231E-3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input_491104!A$2</f>
        <v>491104</v>
      </c>
      <c r="B327" s="2">
        <v>1152</v>
      </c>
      <c r="C327" s="98" t="str">
        <f t="shared" si="23"/>
        <v>Premium5R3less</v>
      </c>
      <c r="D327" s="7" t="str">
        <f t="shared" si="25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4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IFERROR(VLOOKUP(B327,input_491104!L:R,7,FALSE),VLOOKUP(tables_491104!C327,input_491104!A:H,8,FALSE))</f>
        <v>3473.92</v>
      </c>
      <c r="P327" s="46">
        <f t="shared" ca="1" si="26"/>
        <v>2.6591549295998547E-4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input_491104!A$2</f>
        <v>491104</v>
      </c>
      <c r="B328" s="2">
        <v>1153</v>
      </c>
      <c r="C328" s="98" t="str">
        <f t="shared" si="23"/>
        <v>PremiumSS5R5only</v>
      </c>
      <c r="D328" s="7" t="str">
        <f t="shared" si="25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4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IFERROR(VLOOKUP(B328,input_491104!L:R,7,FALSE),VLOOKUP(tables_491104!C328,input_491104!A:H,8,FALSE))</f>
        <v>5680</v>
      </c>
      <c r="P328" s="46">
        <f t="shared" ca="1" si="26"/>
        <v>4.3478260869931294E-4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input_491104!A$2</f>
        <v>491104</v>
      </c>
      <c r="B329" s="2">
        <v>1155</v>
      </c>
      <c r="C329" s="98" t="str">
        <f t="shared" si="23"/>
        <v>PremiumSS5R5only</v>
      </c>
      <c r="D329" s="7" t="str">
        <f t="shared" si="25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4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IFERROR(VLOOKUP(B329,input_491104!L:R,7,FALSE),VLOOKUP(tables_491104!C329,input_491104!A:H,8,FALSE))</f>
        <v>5680</v>
      </c>
      <c r="P329" s="46">
        <f t="shared" ca="1" si="26"/>
        <v>4.3478260869931294E-4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input_491104!A$2</f>
        <v>491104</v>
      </c>
      <c r="B330" s="2">
        <v>1157</v>
      </c>
      <c r="C330" s="98" t="str">
        <f t="shared" si="23"/>
        <v>PremiumSS5R5onlycolor</v>
      </c>
      <c r="D330" s="7" t="str">
        <f t="shared" si="25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4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IFERROR(VLOOKUP(B330,input_491104!L:R,7,FALSE),VLOOKUP(tables_491104!C330,input_491104!A:H,8,FALSE))</f>
        <v>23054.11765</v>
      </c>
      <c r="P330" s="46">
        <f t="shared" ca="1" si="26"/>
        <v>1.7647058825929357E-3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input_491104!A$2</f>
        <v>491104</v>
      </c>
      <c r="B331" s="60">
        <v>1214</v>
      </c>
      <c r="C331" s="98" t="str">
        <f t="shared" ref="C331:C340" si="27">D331&amp;J331&amp;E331&amp;F331&amp;G331</f>
        <v>PremiumSS5R5onlycolor</v>
      </c>
      <c r="D331" s="7" t="str">
        <f t="shared" ref="D331:D340" si="28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4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IFERROR(VLOOKUP(B331,input_491104!L:R,7,FALSE),VLOOKUP(tables_491104!C331,input_491104!A:H,8,FALSE))</f>
        <v>23054.11765</v>
      </c>
      <c r="P331" s="46">
        <f t="shared" ref="P331:P340" ca="1" si="29">O331/SUM(O:O)</f>
        <v>1.7647058825929357E-3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input_491104!A$2</f>
        <v>491104</v>
      </c>
      <c r="B332" s="60">
        <v>1212</v>
      </c>
      <c r="C332" s="98" t="str">
        <f t="shared" si="27"/>
        <v>PremiumSS5R5only</v>
      </c>
      <c r="D332" s="7" t="str">
        <f t="shared" si="2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4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IFERROR(VLOOKUP(B332,input_491104!L:R,7,FALSE),VLOOKUP(tables_491104!C332,input_491104!A:H,8,FALSE))</f>
        <v>5680</v>
      </c>
      <c r="P332" s="46">
        <f t="shared" ca="1" si="29"/>
        <v>4.3478260869931294E-4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input_491104!A$2</f>
        <v>491104</v>
      </c>
      <c r="B333" s="60">
        <v>1208</v>
      </c>
      <c r="C333" s="98" t="str">
        <f t="shared" si="27"/>
        <v>PremiumSS5R5only</v>
      </c>
      <c r="D333" s="7" t="str">
        <f t="shared" si="2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4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IFERROR(VLOOKUP(B333,input_491104!L:R,7,FALSE),VLOOKUP(tables_491104!C333,input_491104!A:H,8,FALSE))</f>
        <v>5680</v>
      </c>
      <c r="P333" s="46">
        <f t="shared" ca="1" si="29"/>
        <v>4.3478260869931294E-4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input_491104!A$2</f>
        <v>491104</v>
      </c>
      <c r="B334" s="108">
        <v>1210</v>
      </c>
      <c r="C334" s="98" t="str">
        <f t="shared" si="27"/>
        <v>Premium4R3less</v>
      </c>
      <c r="D334" s="7" t="str">
        <f t="shared" si="2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4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IFERROR(VLOOKUP(B334,input_491104!L:R,7,FALSE),VLOOKUP(tables_491104!C334,input_491104!A:H,8,FALSE))</f>
        <v>85914.331430000006</v>
      </c>
      <c r="P334" s="46">
        <f t="shared" ca="1" si="29"/>
        <v>6.5764185112311231E-3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input_491104!A$2</f>
        <v>491104</v>
      </c>
      <c r="B335" s="60">
        <v>1211</v>
      </c>
      <c r="C335" s="98" t="str">
        <f t="shared" si="27"/>
        <v>Premium5R3less</v>
      </c>
      <c r="D335" s="7" t="str">
        <f t="shared" si="2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4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IFERROR(VLOOKUP(B335,input_491104!L:R,7,FALSE),VLOOKUP(tables_491104!C335,input_491104!A:H,8,FALSE))</f>
        <v>3473.92</v>
      </c>
      <c r="P335" s="46">
        <f t="shared" ca="1" si="29"/>
        <v>2.6591549295998547E-4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input_491104!A$2</f>
        <v>491104</v>
      </c>
      <c r="B336" s="2">
        <v>1224</v>
      </c>
      <c r="C336" s="98" t="str">
        <f t="shared" si="27"/>
        <v>Premium4R3less</v>
      </c>
      <c r="D336" s="7" t="str">
        <f t="shared" si="2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4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IFERROR(VLOOKUP(B336,input_491104!L:R,7,FALSE),VLOOKUP(tables_491104!C336,input_491104!A:H,8,FALSE))</f>
        <v>85914.331430000006</v>
      </c>
      <c r="P336" s="46">
        <f t="shared" ca="1" si="29"/>
        <v>6.5764185112311231E-3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input_491104!A$2</f>
        <v>491104</v>
      </c>
      <c r="B337" s="2">
        <v>1225</v>
      </c>
      <c r="C337" s="98" t="str">
        <f t="shared" si="27"/>
        <v>Premium5R3less</v>
      </c>
      <c r="D337" s="7" t="str">
        <f t="shared" si="2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4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IFERROR(VLOOKUP(B337,input_491104!L:R,7,FALSE),VLOOKUP(tables_491104!C337,input_491104!A:H,8,FALSE))</f>
        <v>3473.92</v>
      </c>
      <c r="P337" s="46">
        <f t="shared" ca="1" si="29"/>
        <v>2.6591549295998547E-4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input_491104!A$2</f>
        <v>491104</v>
      </c>
      <c r="B338" s="2">
        <v>1226</v>
      </c>
      <c r="C338" s="98" t="str">
        <f t="shared" si="27"/>
        <v>PremiumSS5R5only</v>
      </c>
      <c r="D338" s="7" t="str">
        <f t="shared" si="2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4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IFERROR(VLOOKUP(B338,input_491104!L:R,7,FALSE),VLOOKUP(tables_491104!C338,input_491104!A:H,8,FALSE))</f>
        <v>5680</v>
      </c>
      <c r="P338" s="46">
        <f t="shared" ca="1" si="29"/>
        <v>4.3478260869931294E-4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input_491104!A$2</f>
        <v>491104</v>
      </c>
      <c r="B339" s="2">
        <v>1228</v>
      </c>
      <c r="C339" s="98" t="str">
        <f t="shared" si="27"/>
        <v>PremiumSS5R5only</v>
      </c>
      <c r="D339" s="7" t="str">
        <f t="shared" si="2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4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IFERROR(VLOOKUP(B339,input_491104!L:R,7,FALSE),VLOOKUP(tables_491104!C339,input_491104!A:H,8,FALSE))</f>
        <v>5680</v>
      </c>
      <c r="P339" s="46">
        <f t="shared" ca="1" si="29"/>
        <v>4.3478260869931294E-4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input_491104!A$2</f>
        <v>491104</v>
      </c>
      <c r="B340" s="2">
        <v>1230</v>
      </c>
      <c r="C340" s="98" t="str">
        <f t="shared" si="27"/>
        <v>PremiumSS5R5onlycolor</v>
      </c>
      <c r="D340" s="7" t="str">
        <f t="shared" si="2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4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IFERROR(VLOOKUP(B340,input_491104!L:R,7,FALSE),VLOOKUP(tables_491104!C340,input_491104!A:H,8,FALSE))</f>
        <v>23054.11765</v>
      </c>
      <c r="P340" s="46">
        <f t="shared" ca="1" si="29"/>
        <v>1.7647058825929357E-3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input_491104!A$2</f>
        <v>491104</v>
      </c>
      <c r="B341" s="1">
        <v>1286</v>
      </c>
      <c r="C341" s="98" t="str">
        <f t="shared" ref="C341" si="30">D341&amp;J341&amp;E341&amp;F341&amp;G341</f>
        <v>PremiumSSS5R3lesscolor</v>
      </c>
      <c r="D341" s="7" t="str">
        <f t="shared" ref="D341" si="31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 t="str">
        <f t="shared" si="24"/>
        <v>color</v>
      </c>
      <c r="H341" s="7" t="str">
        <f>VLOOKUP(B341,[1]characters!$A:$C,3,FALSE)</f>
        <v>ニコラ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hp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IFERROR(VLOOKUP(B341,input_491104!L:R,7,FALSE),VLOOKUP(tables_491104!C341,input_491104!A:H,8,FALSE))</f>
        <v>78384</v>
      </c>
      <c r="P341" s="46">
        <f t="shared" ref="P341" ca="1" si="32">O341/SUM(O:O)</f>
        <v>6.0000000000505187E-3</v>
      </c>
      <c r="Q341" s="88"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294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5"/>
  <sheetViews>
    <sheetView topLeftCell="A14" workbookViewId="0">
      <selection activeCell="G62" sqref="G6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491105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VLOOKUP(L3,tables_491105!B:C,2,FALSE)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VLOOKUP(L4,tables_491105!B:C,2,FALSE)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4.3478260869565224E-4</v>
      </c>
      <c r="F5">
        <f>(COUNTIF(tables_491105!C:C,input_491105!A28)+COUNTIF(tables_491105!C:C,input_491105!A29))</f>
        <v>46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VLOOKUP(L5,tables_491105!B:C,2,FALSE)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1.764705882352941E-3</v>
      </c>
      <c r="F6">
        <f>(COUNTIF(tables_491105!C:C,input_491105!A43)+COUNTIF(tables_491105!C:C,input_491105!A44))</f>
        <v>17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VLOOKUP(L6,tables_491105!B:C,2,FALSE)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5.3014084507042253E-3</v>
      </c>
      <c r="F7">
        <f>(COUNTIF(tables_491105!C:C,input_491105!A26)+COUNTIF(tables_491105!C:C,input_491105!A18)+COUNTIF(tables_491105!C:C,input_491105!A20)+COUNTIF(tables_491105!C:C,input_491105!A22))</f>
        <v>71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VLOOKUP(L7,tables_491105!B:C,2,FALSE)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2.5663636363636364E-2</v>
      </c>
      <c r="F8">
        <f>(COUNTIF(tables_491105!C:C,input_491105!A40)+COUNTIF(tables_491105!C:C,input_491105!A33)+COUNTIF(tables_491105!C:C,input_491105!A35)+COUNTIF(tables_491105!C:C,input_491105!A37))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VLOOKUP(L8,tables_491105!B:C,2,FALSE)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VLOOKUP(L9,tables_491105!B:C,2,FALSE)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0.94099999999999995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VLOOKUP(L10,tables_491105!B:C,2,FALSE)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89">
        <f>5%</f>
        <v>0.05</v>
      </c>
      <c r="C11" t="s">
        <v>273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VLOOKUP(L11,tables_491105!B:C,2,FALSE)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8.9999999999999993E-3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VLOOKUP(L12,tables_491105!B:C,2,FALSE)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VLOOKUP(L13,tables_491105!B:C,2,FALSE)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VLOOKUP(L14,tables_491105!B:C,2,FALSE)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VLOOKUP(L15,tables_491105!B:C,2,FALSE)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VLOOKUP(L16,tables_491105!B:C,2,FALSE)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1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COUNTIF(tables_491105!C:C,input_491105!A17)-COUNTIF(Q:Q,A17)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VLOOKUP(L17,tables_491105!B:C,2,FALSE)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E$7*E18-B17+0.01</f>
        <v>8.9521126760563369E-2</v>
      </c>
      <c r="C18" s="86">
        <f t="shared" si="2"/>
        <v>0</v>
      </c>
      <c r="D18" s="75">
        <f t="shared" si="3"/>
        <v>8.9521126760563369E-2</v>
      </c>
      <c r="E18">
        <f>COUNTIF(tables_491105!C:C,input_491105!A18)-COUNTIF(Q:Q,A18)</f>
        <v>15</v>
      </c>
      <c r="F18" s="43">
        <f>IFERROR(B18/E18,0)</f>
        <v>5.9680751173708914E-3</v>
      </c>
      <c r="G18">
        <f t="shared" si="4"/>
        <v>1169503.9999999998</v>
      </c>
      <c r="H18">
        <f t="shared" si="5"/>
        <v>77966.93333</v>
      </c>
      <c r="I18">
        <f t="shared" si="6"/>
        <v>0.93332999999984168</v>
      </c>
      <c r="J18">
        <f t="shared" si="7"/>
        <v>1.0714323979730316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VLOOKUP(L18,tables_491105!B:C,2,FALSE)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COUNTIF(tables_491105!C:C,input_491105!A19)-COUNTIF(Q:Q,A19)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VLOOKUP(L19,tables_491105!B:C,2,FALSE)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1">
        <f>E$7*E20*B$6+F49-0.03+0.01-G64</f>
        <v>0.17641718309698395</v>
      </c>
      <c r="C20" s="86">
        <f t="shared" si="2"/>
        <v>0</v>
      </c>
      <c r="D20" s="75">
        <f t="shared" si="3"/>
        <v>0.17641718309698395</v>
      </c>
      <c r="E20">
        <f>COUNTIF(tables_491105!C:C,input_491105!A20)-COUNTIF(Q:Q,A20)</f>
        <v>39</v>
      </c>
      <c r="F20" s="43">
        <f t="shared" si="8"/>
        <v>4.5235175153072807E-3</v>
      </c>
      <c r="G20">
        <f t="shared" si="4"/>
        <v>2304714.0799789983</v>
      </c>
      <c r="H20">
        <f t="shared" si="5"/>
        <v>59095.232819999997</v>
      </c>
      <c r="I20">
        <f t="shared" si="6"/>
        <v>0.23281999999744585</v>
      </c>
      <c r="J20">
        <f t="shared" si="7"/>
        <v>4.295163645782023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VLOOKUP(L20,tables_491105!B:C,2,FALSE)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3.3774647887323955E-4</v>
      </c>
      <c r="C21" s="86">
        <f t="shared" si="2"/>
        <v>0</v>
      </c>
      <c r="D21" s="75">
        <f t="shared" si="3"/>
        <v>3.3774647887323955E-4</v>
      </c>
      <c r="E21">
        <f>COUNTIF(tables_491105!C:C,input_491105!A21)-COUNTIF(Q:Q,A21)</f>
        <v>39</v>
      </c>
      <c r="F21" s="43">
        <f t="shared" si="8"/>
        <v>8.6601661249548603E-6</v>
      </c>
      <c r="G21">
        <f t="shared" si="4"/>
        <v>4412.3200000000015</v>
      </c>
      <c r="H21">
        <f t="shared" si="5"/>
        <v>113.13641</v>
      </c>
      <c r="I21">
        <f t="shared" si="6"/>
        <v>0.13640999999999792</v>
      </c>
      <c r="J21">
        <f t="shared" si="7"/>
        <v>7.3308408474453133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9.304845070422546E-2</v>
      </c>
      <c r="C22" s="86">
        <f t="shared" si="2"/>
        <v>0</v>
      </c>
      <c r="D22" s="75">
        <f t="shared" si="3"/>
        <v>9.304845070422546E-2</v>
      </c>
      <c r="E22">
        <f>COUNTIF(tables_491105!C:C,input_491105!A22)-COUNTIF(Q:Q,A22)</f>
        <v>14</v>
      </c>
      <c r="F22" s="43">
        <f t="shared" si="8"/>
        <v>6.6463179074446755E-3</v>
      </c>
      <c r="G22">
        <f t="shared" si="4"/>
        <v>1215584.9600000014</v>
      </c>
      <c r="H22">
        <f t="shared" si="5"/>
        <v>86827.497140000007</v>
      </c>
      <c r="I22">
        <f t="shared" si="6"/>
        <v>0.49714000000676606</v>
      </c>
      <c r="J22">
        <f t="shared" si="7"/>
        <v>2.0115058132244239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4.7712676056338027E-3</v>
      </c>
      <c r="C23" s="86">
        <f t="shared" si="2"/>
        <v>0</v>
      </c>
      <c r="D23" s="75">
        <f t="shared" si="3"/>
        <v>4.7712676056338027E-3</v>
      </c>
      <c r="E23">
        <f>COUNTIF(tables_491105!C:C,input_491105!A23)-COUNTIF(Q:Q,A23)</f>
        <v>18</v>
      </c>
      <c r="F23" s="43">
        <f t="shared" si="8"/>
        <v>2.6507042253521126E-4</v>
      </c>
      <c r="G23">
        <f t="shared" si="4"/>
        <v>62331.839999999997</v>
      </c>
      <c r="H23">
        <f t="shared" si="5"/>
        <v>3462.88</v>
      </c>
      <c r="I23">
        <f t="shared" si="6"/>
        <v>0.88000000000010914</v>
      </c>
      <c r="J23">
        <f t="shared" si="7"/>
        <v>1.1363636363634955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COUNTIF(tables_491105!C:C,input_491105!A24)-COUNTIF(Q:Q,A24)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1.5109014084507041E-2</v>
      </c>
      <c r="C25" s="86">
        <f t="shared" si="2"/>
        <v>0</v>
      </c>
      <c r="D25" s="75">
        <f t="shared" si="3"/>
        <v>1.5109014084507041E-2</v>
      </c>
      <c r="E25">
        <f>COUNTIF(tables_491105!C:C,input_491105!A25)-COUNTIF(Q:Q,A25)</f>
        <v>3</v>
      </c>
      <c r="F25" s="43">
        <f t="shared" si="8"/>
        <v>5.0363380281690136E-3</v>
      </c>
      <c r="G25">
        <f t="shared" si="4"/>
        <v>197384.15999999997</v>
      </c>
      <c r="H25">
        <f t="shared" si="5"/>
        <v>65794.720000000001</v>
      </c>
      <c r="I25">
        <f t="shared" si="6"/>
        <v>0.72000000000116415</v>
      </c>
      <c r="J25">
        <f t="shared" si="7"/>
        <v>1.3888888888866433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7.9521126760563371E-4</v>
      </c>
      <c r="C26" s="86">
        <f t="shared" si="2"/>
        <v>0</v>
      </c>
      <c r="D26" s="75">
        <f t="shared" si="3"/>
        <v>7.9521126760563371E-4</v>
      </c>
      <c r="E26">
        <f>COUNTIF(tables_491105!C:C,input_491105!A26)-COUNTIF(Q:Q,A26)</f>
        <v>3</v>
      </c>
      <c r="F26" s="43">
        <f t="shared" si="8"/>
        <v>2.6507042253521126E-4</v>
      </c>
      <c r="G26">
        <f t="shared" si="4"/>
        <v>10388.64</v>
      </c>
      <c r="H26">
        <f t="shared" si="5"/>
        <v>3462.88</v>
      </c>
      <c r="I26">
        <f t="shared" si="6"/>
        <v>0.88000000000010914</v>
      </c>
      <c r="J26">
        <f t="shared" si="7"/>
        <v>1.1363636363634955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8.6739130450858223E-3</v>
      </c>
      <c r="C27" s="86">
        <f t="shared" si="2"/>
        <v>0</v>
      </c>
      <c r="D27" s="75">
        <f t="shared" si="3"/>
        <v>8.6739130450858223E-3</v>
      </c>
      <c r="E27">
        <f>COUNTIF(tables_491105!C:C,input_491105!A27)-COUNTIF(Q:Q,A27)</f>
        <v>21</v>
      </c>
      <c r="F27" s="43">
        <f>IFERROR(B27/E27,0)</f>
        <v>4.1304347833742011E-4</v>
      </c>
      <c r="G27">
        <f t="shared" si="4"/>
        <v>113316.00002100118</v>
      </c>
      <c r="H27">
        <f t="shared" si="5"/>
        <v>5396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4.5652173913043485E-4</v>
      </c>
      <c r="C28" s="86">
        <f t="shared" si="2"/>
        <v>0</v>
      </c>
      <c r="D28" s="75">
        <f t="shared" si="3"/>
        <v>4.5652173913043485E-4</v>
      </c>
      <c r="E28">
        <f>COUNTIF(tables_491105!C:C,input_491105!A28)-COUNTIF(Q:Q,A28)</f>
        <v>21</v>
      </c>
      <c r="F28" s="43">
        <f t="shared" si="8"/>
        <v>2.1739130434782614E-5</v>
      </c>
      <c r="G28">
        <f t="shared" si="4"/>
        <v>5964.0000000000009</v>
      </c>
      <c r="H28">
        <f t="shared" si="5"/>
        <v>284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</f>
        <v>1.0869565217391306E-2</v>
      </c>
      <c r="C29" s="86">
        <f t="shared" si="2"/>
        <v>0</v>
      </c>
      <c r="D29" s="75">
        <f t="shared" si="3"/>
        <v>1.0869565217391306E-2</v>
      </c>
      <c r="E29">
        <f>COUNTIF(tables_491105!C:C,input_491105!A29)-COUNTIF(Q:Q,A29)</f>
        <v>25</v>
      </c>
      <c r="F29" s="43">
        <f t="shared" si="8"/>
        <v>4.3478260869565224E-4</v>
      </c>
      <c r="G29">
        <f t="shared" si="4"/>
        <v>142000.00000000003</v>
      </c>
      <c r="H29">
        <f t="shared" si="5"/>
        <v>5680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COUNTIF(tables_491105!C:C,input_491105!A30)-COUNTIF(Q:Q,A30)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COUNTIF(tables_491105!C:C,input_491105!A31)-COUNTIF(Q:Q,A31)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1">
        <f>B$5*0.6-B34-B39</f>
        <v>0</v>
      </c>
      <c r="C32" s="86">
        <f t="shared" si="2"/>
        <v>0</v>
      </c>
      <c r="D32" s="75">
        <f t="shared" si="3"/>
        <v>0</v>
      </c>
      <c r="E32">
        <f>COUNTIF(tables_491105!C:C,input_491105!A32)-COUNTIF(Q:Q,A32)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0.14831818181818182</v>
      </c>
      <c r="C33" s="86">
        <f t="shared" si="2"/>
        <v>0</v>
      </c>
      <c r="D33" s="75">
        <f t="shared" si="3"/>
        <v>0.14831818181818182</v>
      </c>
      <c r="E33">
        <f>COUNTIF(tables_491105!C:C,input_491105!A33)-COUNTIF(Q:Q,A33)</f>
        <v>5</v>
      </c>
      <c r="F33" s="43">
        <f>IFERROR(B33/E33,0)</f>
        <v>2.9663636363636364E-2</v>
      </c>
      <c r="G33">
        <f t="shared" si="4"/>
        <v>1937628.7272727273</v>
      </c>
      <c r="H33">
        <f t="shared" si="5"/>
        <v>387525.74544999999</v>
      </c>
      <c r="I33">
        <f t="shared" si="6"/>
        <v>0.74544999998761341</v>
      </c>
      <c r="J33">
        <f t="shared" si="7"/>
        <v>1.3414715943612801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COUNTIF(tables_491105!C:C,input_491105!A34)-COUNTIF(Q:Q,A34)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0.33582138182207871</v>
      </c>
      <c r="C35" s="86">
        <f t="shared" si="2"/>
        <v>0</v>
      </c>
      <c r="D35" s="75">
        <f t="shared" si="3"/>
        <v>0.33582138182207871</v>
      </c>
      <c r="E35">
        <f>COUNTIF(tables_491105!C:C,input_491105!A35)-COUNTIF(Q:Q,A35)</f>
        <v>13</v>
      </c>
      <c r="F35" s="43">
        <f t="shared" si="9"/>
        <v>2.5832413986313748E-2</v>
      </c>
      <c r="G35">
        <f t="shared" si="4"/>
        <v>4387170.5321236365</v>
      </c>
      <c r="H35">
        <f t="shared" si="5"/>
        <v>337474.65632000001</v>
      </c>
      <c r="I35">
        <f t="shared" si="6"/>
        <v>0.65632000000914559</v>
      </c>
      <c r="J35">
        <f t="shared" si="7"/>
        <v>1.5236470014414696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E$8*E36*B$7-E49+0.006</f>
        <v>3.8058909051939937E-3</v>
      </c>
      <c r="C36" s="86">
        <f t="shared" si="2"/>
        <v>0</v>
      </c>
      <c r="D36" s="75">
        <f t="shared" si="3"/>
        <v>3.8058909051939937E-3</v>
      </c>
      <c r="E36">
        <f>COUNTIF(tables_491105!C:C,input_491105!A36)-COUNTIF(Q:Q,A36)</f>
        <v>13</v>
      </c>
      <c r="F36" s="43">
        <f t="shared" si="9"/>
        <v>2.9276083886107645E-4</v>
      </c>
      <c r="G36">
        <f t="shared" si="4"/>
        <v>49720.158785454332</v>
      </c>
      <c r="H36">
        <f t="shared" si="5"/>
        <v>3824.6275999999998</v>
      </c>
      <c r="I36">
        <f t="shared" si="6"/>
        <v>0.62759999999980209</v>
      </c>
      <c r="J36">
        <f t="shared" si="7"/>
        <v>1.5933715742516179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E$8*E37-B38-C50-0.006</f>
        <v>4.6974999999999906E-2</v>
      </c>
      <c r="C37" s="86">
        <f t="shared" si="2"/>
        <v>0</v>
      </c>
      <c r="D37" s="75">
        <f t="shared" si="3"/>
        <v>4.6974999999999906E-2</v>
      </c>
      <c r="E37">
        <f>COUNTIF(tables_491105!C:C,input_491105!A37)-COUNTIF(Q:Q,A37)</f>
        <v>3</v>
      </c>
      <c r="F37" s="43">
        <f t="shared" si="9"/>
        <v>1.5658333333333302E-2</v>
      </c>
      <c r="G37">
        <f t="shared" si="4"/>
        <v>613681.39999999874</v>
      </c>
      <c r="H37">
        <f t="shared" si="5"/>
        <v>204560.46666999999</v>
      </c>
      <c r="I37">
        <f t="shared" si="6"/>
        <v>0.46666999999433756</v>
      </c>
      <c r="J37">
        <f t="shared" si="7"/>
        <v>2.1428418368700233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E38*E8*B7-0.006</f>
        <v>4.1590909090909178E-4</v>
      </c>
      <c r="C38" s="86">
        <f t="shared" si="2"/>
        <v>0</v>
      </c>
      <c r="D38" s="75">
        <f t="shared" si="3"/>
        <v>4.1590909090909178E-4</v>
      </c>
      <c r="E38">
        <f>COUNTIF(tables_491105!C:C,input_491105!A38)-COUNTIF(Q:Q,A38)</f>
        <v>5</v>
      </c>
      <c r="F38" s="43">
        <f t="shared" si="9"/>
        <v>8.3181818181818359E-5</v>
      </c>
      <c r="G38">
        <f t="shared" si="4"/>
        <v>5433.4363636363751</v>
      </c>
      <c r="H38">
        <f t="shared" si="5"/>
        <v>1086.6872699999999</v>
      </c>
      <c r="I38">
        <f t="shared" si="6"/>
        <v>0.68726999999989857</v>
      </c>
      <c r="J38">
        <f t="shared" si="7"/>
        <v>1.4550322289640862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COUNTIF(tables_491105!C:C,input_491105!A39)-COUNTIF(Q:Q,A39)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2.4380454545454545E-2</v>
      </c>
      <c r="C40" s="86">
        <f t="shared" si="2"/>
        <v>0</v>
      </c>
      <c r="D40" s="75">
        <f t="shared" si="3"/>
        <v>2.4380454545454545E-2</v>
      </c>
      <c r="E40">
        <f>COUNTIF(tables_491105!C:C,input_491105!A40)-COUNTIF(Q:Q,A40)</f>
        <v>1</v>
      </c>
      <c r="F40" s="43">
        <f t="shared" si="9"/>
        <v>2.4380454545454545E-2</v>
      </c>
      <c r="G40">
        <f t="shared" si="4"/>
        <v>318506.25818181818</v>
      </c>
      <c r="H40">
        <f t="shared" si="5"/>
        <v>318506.25818</v>
      </c>
      <c r="I40">
        <f t="shared" si="6"/>
        <v>0.25818000000435859</v>
      </c>
      <c r="J40">
        <f t="shared" si="7"/>
        <v>3.8732667130804788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1.2831818181818183E-3</v>
      </c>
      <c r="C41" s="86">
        <f t="shared" si="2"/>
        <v>0</v>
      </c>
      <c r="D41" s="75">
        <f t="shared" si="3"/>
        <v>1.2831818181818183E-3</v>
      </c>
      <c r="E41">
        <f>COUNTIF(tables_491105!C:C,input_491105!A41)-COUNTIF(Q:Q,A41)</f>
        <v>1</v>
      </c>
      <c r="F41" s="43">
        <f t="shared" si="9"/>
        <v>1.2831818181818183E-3</v>
      </c>
      <c r="G41">
        <f t="shared" si="4"/>
        <v>16763.487272727274</v>
      </c>
      <c r="H41">
        <f t="shared" si="5"/>
        <v>16763.487270000001</v>
      </c>
      <c r="I41">
        <f t="shared" si="6"/>
        <v>0.48727000000144471</v>
      </c>
      <c r="J41">
        <f t="shared" si="7"/>
        <v>2.0522502924395818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1.1735294117647057E-2</v>
      </c>
      <c r="C42" s="86">
        <f t="shared" si="2"/>
        <v>0</v>
      </c>
      <c r="D42" s="75">
        <f t="shared" si="3"/>
        <v>1.1735294117647057E-2</v>
      </c>
      <c r="E42">
        <f>COUNTIF(tables_491105!C:C,input_491105!A42)-COUNTIF(Q:Q,A42)</f>
        <v>7</v>
      </c>
      <c r="F42" s="43">
        <f>IFERROR(B42/E42,0)</f>
        <v>1.6764705882352938E-3</v>
      </c>
      <c r="G42">
        <f t="shared" si="4"/>
        <v>153309.88235294115</v>
      </c>
      <c r="H42">
        <f t="shared" si="5"/>
        <v>21901.411759999999</v>
      </c>
      <c r="I42">
        <f t="shared" si="6"/>
        <v>0.41175999999904889</v>
      </c>
      <c r="J42">
        <f t="shared" si="7"/>
        <v>2.4285991839962837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6.1764705882352941E-4</v>
      </c>
      <c r="C43" s="86">
        <f t="shared" si="2"/>
        <v>0</v>
      </c>
      <c r="D43" s="75">
        <f t="shared" si="3"/>
        <v>6.1764705882352941E-4</v>
      </c>
      <c r="E43">
        <f>COUNTIF(tables_491105!C:C,input_491105!A43)-COUNTIF(Q:Q,A43)</f>
        <v>7</v>
      </c>
      <c r="F43" s="43">
        <f t="shared" ref="F43:F46" si="10">IFERROR(B43/E43,0)</f>
        <v>8.8235294117647065E-5</v>
      </c>
      <c r="G43">
        <f t="shared" si="4"/>
        <v>8068.9411764705883</v>
      </c>
      <c r="H43">
        <f t="shared" si="5"/>
        <v>1152.70588</v>
      </c>
      <c r="I43">
        <f t="shared" si="6"/>
        <v>0.70587999999997919</v>
      </c>
      <c r="J43">
        <f t="shared" si="7"/>
        <v>1.4166713889046714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1.7647058823529412E-2</v>
      </c>
      <c r="C44" s="86">
        <f t="shared" si="2"/>
        <v>0</v>
      </c>
      <c r="D44" s="75">
        <f t="shared" si="3"/>
        <v>1.7647058823529412E-2</v>
      </c>
      <c r="E44">
        <f>COUNTIF(tables_491105!C:C,input_491105!A44)-COUNTIF(Q:Q,A44)</f>
        <v>10</v>
      </c>
      <c r="F44" s="43">
        <f t="shared" si="10"/>
        <v>1.7647058823529412E-3</v>
      </c>
      <c r="G44">
        <f t="shared" si="4"/>
        <v>230541.17647058822</v>
      </c>
      <c r="H44">
        <f t="shared" si="5"/>
        <v>23054.11765</v>
      </c>
      <c r="I44">
        <f t="shared" si="6"/>
        <v>0.1176500000001397</v>
      </c>
      <c r="J44">
        <f t="shared" si="7"/>
        <v>8.4997875053022742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COUNTIF(tables_491105!C:C,input_491105!A45)-COUNTIF(Q:Q,A45)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8.9999999999999993E-3</v>
      </c>
      <c r="C46" s="86">
        <f t="shared" si="2"/>
        <v>0</v>
      </c>
      <c r="D46" s="75">
        <f t="shared" si="3"/>
        <v>8.9999999999999993E-3</v>
      </c>
      <c r="E46">
        <f>COUNTIF(tables_491105!C:C,input_491105!A46)-COUNTIF(Q:Q,A46)</f>
        <v>1</v>
      </c>
      <c r="F46" s="43">
        <f t="shared" si="10"/>
        <v>8.9999999999999993E-3</v>
      </c>
      <c r="G46">
        <f t="shared" si="4"/>
        <v>117575.99999999999</v>
      </c>
      <c r="H46">
        <f t="shared" si="5"/>
        <v>117576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0.99999999999999978</v>
      </c>
      <c r="C47" s="41">
        <f>SUM(C19:C31)</f>
        <v>0</v>
      </c>
      <c r="D47" s="42">
        <f t="shared" si="3"/>
        <v>0.99999999999999978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0">
        <f>SUM(B32:B46)</f>
        <v>0.59999999999999987</v>
      </c>
      <c r="E49" s="95">
        <v>1.8875472731169643E-2</v>
      </c>
      <c r="F49" s="95"/>
      <c r="G49" s="106">
        <f ca="1">G57-0.05</f>
        <v>5.3582555059605852E-12</v>
      </c>
      <c r="H49" s="104"/>
    </row>
    <row r="50" spans="1:8" x14ac:dyDescent="0.15">
      <c r="A50" t="s">
        <v>74</v>
      </c>
      <c r="C50" s="90">
        <v>2.36000000000001E-2</v>
      </c>
      <c r="D50" s="94"/>
      <c r="E50" s="95"/>
      <c r="F50" s="103"/>
      <c r="G50" s="106"/>
      <c r="H50" s="55"/>
    </row>
    <row r="51" spans="1:8" x14ac:dyDescent="0.15">
      <c r="A51" s="31">
        <f>LCM(F5-I5,F7-I6)*1000*2*2</f>
        <v>13064000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2" t="s">
        <v>283</v>
      </c>
    </row>
    <row r="55" spans="1:8" x14ac:dyDescent="0.15">
      <c r="A55" s="33" t="s">
        <v>106</v>
      </c>
      <c r="B55">
        <f ca="1">SUMIF(tables_491105!C:C,input_491105!A55,tables_491105!O:O)</f>
        <v>0</v>
      </c>
      <c r="C55" s="54">
        <f t="shared" ref="C55:C61" ca="1" si="11">B55/B$62</f>
        <v>0</v>
      </c>
      <c r="E55">
        <v>3</v>
      </c>
      <c r="F55">
        <f ca="1">SUMIF(tables_491105!J:J,input_491105!E55,tables_491105!O:O)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SUMIF(tables_491105!C:C,input_491105!A56,tables_491105!O:O)</f>
        <v>2304714.0799800009</v>
      </c>
      <c r="C56" s="54">
        <f t="shared" ca="1" si="11"/>
        <v>0.9490644070154286</v>
      </c>
      <c r="E56">
        <v>4</v>
      </c>
      <c r="F56">
        <f ca="1">SUMIF(tables_491105!J:J,input_491105!E56,tables_491105!O:O)</f>
        <v>12410799.99980999</v>
      </c>
      <c r="G56">
        <f ca="1">F56/A51</f>
        <v>0.94999999998545548</v>
      </c>
      <c r="H56" s="55">
        <f>B18+B20+B22+B25+B27+B30+B33+B35+B37+B40+B42+B45</f>
        <v>0.94999999999472762</v>
      </c>
    </row>
    <row r="57" spans="1:8" x14ac:dyDescent="0.15">
      <c r="A57" s="33" t="s">
        <v>109</v>
      </c>
      <c r="B57">
        <f ca="1">SUMIF(tables_491105!C:C,input_491105!A57,tables_491105!O:O)</f>
        <v>113316</v>
      </c>
      <c r="C57" s="54">
        <f t="shared" ca="1" si="11"/>
        <v>4.6662700280068373E-2</v>
      </c>
      <c r="E57">
        <v>5</v>
      </c>
      <c r="F57">
        <f ca="1">SUMIF(tables_491105!J:J,input_491105!E57,tables_491105!O:O)</f>
        <v>653200.0000700003</v>
      </c>
      <c r="G57">
        <f ca="1">F57/A51</f>
        <v>5.0000000005358258E-2</v>
      </c>
      <c r="H57" s="55">
        <f>B21+B23+B26+B28+B29+B31+B36+B38+B41+B43+B44+B46</f>
        <v>5.0000000005272265E-2</v>
      </c>
    </row>
    <row r="58" spans="1:8" x14ac:dyDescent="0.15">
      <c r="A58" s="33" t="s">
        <v>113</v>
      </c>
      <c r="B58">
        <f>SUMIF(tables_491105!C:C,input_491105!A58,tables_491105!O:O)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SUMIF(tables_491105!C:C,input_491105!A59,tables_491105!O:O)</f>
        <v>4412.3199900000018</v>
      </c>
      <c r="C59" s="54">
        <f t="shared" ca="1" si="11"/>
        <v>1.8169611108151045E-3</v>
      </c>
      <c r="E59" t="s">
        <v>55</v>
      </c>
      <c r="F59" s="55"/>
    </row>
    <row r="60" spans="1:8" x14ac:dyDescent="0.15">
      <c r="A60" s="33" t="s">
        <v>110</v>
      </c>
      <c r="B60">
        <f ca="1">SUMIF(tables_491105!C:C,input_491105!A60,tables_491105!O:O)</f>
        <v>5964</v>
      </c>
      <c r="C60" s="54">
        <f t="shared" ca="1" si="11"/>
        <v>2.4559315936878092E-3</v>
      </c>
      <c r="E60" t="s">
        <v>210</v>
      </c>
      <c r="F60" s="55">
        <f ca="1">SUMIF(tables_491105!I:I,input_491105!E60,tables_491105!P:P)</f>
        <v>0.23906595390146118</v>
      </c>
    </row>
    <row r="61" spans="1:8" x14ac:dyDescent="0.15">
      <c r="A61" s="33" t="s">
        <v>111</v>
      </c>
      <c r="B61">
        <f>SUMIF(tables_491105!C:C,input_491105!A61,tables_491105!O:O)</f>
        <v>0</v>
      </c>
      <c r="C61" s="54">
        <f t="shared" ca="1" si="11"/>
        <v>0</v>
      </c>
      <c r="E61" t="s">
        <v>211</v>
      </c>
      <c r="F61" s="55">
        <f ca="1">SUMIF(tables_491105!I:I,input_491105!E61,tables_491105!P:P)</f>
        <v>0.20091623165830597</v>
      </c>
    </row>
    <row r="62" spans="1:8" x14ac:dyDescent="0.15">
      <c r="A62" s="39" t="s">
        <v>60</v>
      </c>
      <c r="B62">
        <f ca="1">SUM(B55:B61)</f>
        <v>2428406.3999700011</v>
      </c>
      <c r="C62" s="55">
        <f ca="1">SUM(C55:C61)</f>
        <v>0.99999999999999989</v>
      </c>
      <c r="E62" t="s">
        <v>212</v>
      </c>
      <c r="F62" s="55">
        <f ca="1">SUMIF(tables_491105!I:I,input_491105!E62,tables_491105!P:P)</f>
        <v>0.50101781444122218</v>
      </c>
    </row>
    <row r="63" spans="1:8" x14ac:dyDescent="0.15">
      <c r="E63" t="s">
        <v>213</v>
      </c>
      <c r="F63" s="55">
        <f ca="1">SUMIF(tables_491105!I:I,input_491105!E63,tables_491105!P:P)</f>
        <v>4.6061381072835833E-2</v>
      </c>
      <c r="G63" s="96">
        <f ca="1">0.05-F63-F64</f>
        <v>1.0716531828602882E-12</v>
      </c>
    </row>
    <row r="64" spans="1:8" x14ac:dyDescent="0.15">
      <c r="E64" t="s">
        <v>280</v>
      </c>
      <c r="F64" s="55">
        <f ca="1">SUMIF(tables_491105!I:I,input_491105!E64,tables_491105!P:P)</f>
        <v>3.9386189260925165E-3</v>
      </c>
      <c r="G64">
        <v>1.6075613062938032E-12</v>
      </c>
    </row>
    <row r="65" spans="5:6" x14ac:dyDescent="0.15">
      <c r="E65" t="s">
        <v>281</v>
      </c>
      <c r="F65" s="55">
        <f ca="1">SUMIF(tables_491105!I:I,input_491105!E65,tables_491105!P:P)</f>
        <v>9.000000000082671E-3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16" activePane="bottomLeft" state="frozen"/>
      <selection activeCell="U32" sqref="U32"/>
      <selection pane="bottomLeft" activeCell="N345" sqref="N3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input_491105!A$2</f>
        <v>491105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IFERROR(VLOOKUP(B2,input_491105!L:R,7,FALSE),VLOOKUP(tables_491105!C2,input_491105!A:H,8,FALSE))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input_491105!A$2</f>
        <v>491105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IFERROR(VLOOKUP(B3,input_491105!L:R,7,FALSE),VLOOKUP(tables_491105!C3,input_491105!A:H,8,FALSE))</f>
        <v>77966.93333</v>
      </c>
      <c r="P3" s="46">
        <f t="shared" ca="1" si="2"/>
        <v>5.9680751171705586E-3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input_491105!A$2</f>
        <v>491105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IFERROR(VLOOKUP(B4,input_491105!L:R,7,FALSE),VLOOKUP(tables_491105!C4,input_491105!A:H,8,FALSE))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input_491105!A$2</f>
        <v>491105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IFERROR(VLOOKUP(B5,input_491105!L:R,7,FALSE),VLOOKUP(tables_491105!C5,input_491105!A:H,8,FALSE))</f>
        <v>77966.93333</v>
      </c>
      <c r="P5" s="46">
        <f t="shared" ca="1" si="2"/>
        <v>5.9680751171705586E-3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input_491105!A$2</f>
        <v>491105</v>
      </c>
      <c r="B6" s="6">
        <v>130</v>
      </c>
      <c r="C6" s="7" t="str">
        <f t="shared" si="0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IFERROR(VLOOKUP(B6,input_491105!L:R,7,FALSE),VLOOKUP(tables_491105!C6,input_491105!A:H,8,FALSE))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input_491105!A$2</f>
        <v>491105</v>
      </c>
      <c r="B7" s="6">
        <v>131</v>
      </c>
      <c r="C7" s="7" t="str">
        <f t="shared" si="0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IFERROR(VLOOKUP(B7,input_491105!L:R,7,FALSE),VLOOKUP(tables_491105!C7,input_491105!A:H,8,FALSE))</f>
        <v>77966.93333</v>
      </c>
      <c r="P7" s="46">
        <f t="shared" ca="1" si="2"/>
        <v>5.9680751171705586E-3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input_491105!A$2</f>
        <v>491105</v>
      </c>
      <c r="B8" s="6">
        <v>132</v>
      </c>
      <c r="C8" s="7" t="str">
        <f t="shared" si="0"/>
        <v>PremiumW3color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IFERROR(VLOOKUP(B8,input_491105!L:R,7,FALSE),VLOOKUP(tables_491105!C8,input_491105!A:H,8,FALSE))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input_491105!A$2</f>
        <v>491105</v>
      </c>
      <c r="B9" s="6">
        <v>133</v>
      </c>
      <c r="C9" s="7" t="str">
        <f t="shared" si="0"/>
        <v>PremiumW4color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IFERROR(VLOOKUP(B9,input_491105!L:R,7,FALSE),VLOOKUP(tables_491105!C9,input_491105!A:H,8,FALSE))</f>
        <v>387525.74544999999</v>
      </c>
      <c r="P9" s="46">
        <f t="shared" ca="1" si="2"/>
        <v>2.9663636363560904E-2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input_491105!A$2</f>
        <v>491105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IFERROR(VLOOKUP(B10,input_491105!L:R,7,FALSE),VLOOKUP(tables_491105!C10,input_491105!A:H,8,FALSE))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input_491105!A$2</f>
        <v>491105</v>
      </c>
      <c r="B11" s="8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IFERROR(VLOOKUP(B11,input_491105!L:R,7,FALSE),VLOOKUP(tables_491105!C11,input_491105!A:H,8,FALSE))</f>
        <v>77966.93333</v>
      </c>
      <c r="P11" s="46">
        <f t="shared" ca="1" si="2"/>
        <v>5.9680751171705586E-3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input_491105!A$2</f>
        <v>491105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IFERROR(VLOOKUP(B12,input_491105!L:R,7,FALSE),VLOOKUP(tables_491105!C12,input_491105!A:H,8,FALSE))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input_491105!A$2</f>
        <v>491105</v>
      </c>
      <c r="B13" s="6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IFERROR(VLOOKUP(B13,input_491105!L:R,7,FALSE),VLOOKUP(tables_491105!C13,input_491105!A:H,8,FALSE))</f>
        <v>77966.93333</v>
      </c>
      <c r="P13" s="46">
        <f t="shared" ca="1" si="2"/>
        <v>5.9680751171705586E-3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input_491105!A$2</f>
        <v>491105</v>
      </c>
      <c r="B14" s="6">
        <v>138</v>
      </c>
      <c r="C14" s="7" t="str">
        <f t="shared" si="0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IFERROR(VLOOKUP(B14,input_491105!L:R,7,FALSE),VLOOKUP(tables_491105!C14,input_491105!A:H,8,FALSE))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input_491105!A$2</f>
        <v>491105</v>
      </c>
      <c r="B15" s="10">
        <v>139</v>
      </c>
      <c r="C15" s="7" t="str">
        <f t="shared" si="0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IFERROR(VLOOKUP(B15,input_491105!L:R,7,FALSE),VLOOKUP(tables_491105!C15,input_491105!A:H,8,FALSE))</f>
        <v>77966.93333</v>
      </c>
      <c r="P15" s="46">
        <f t="shared" ca="1" si="2"/>
        <v>5.9680751171705586E-3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input_491105!A$2</f>
        <v>491105</v>
      </c>
      <c r="B16" s="11">
        <v>140</v>
      </c>
      <c r="C16" s="7" t="str">
        <f t="shared" si="0"/>
        <v>PremiumW3color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IFERROR(VLOOKUP(B16,input_491105!L:R,7,FALSE),VLOOKUP(tables_491105!C16,input_491105!A:H,8,FALSE))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input_491105!A$2</f>
        <v>491105</v>
      </c>
      <c r="B17" s="6">
        <v>141</v>
      </c>
      <c r="C17" s="7" t="str">
        <f t="shared" si="0"/>
        <v>PremiumW4color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IFERROR(VLOOKUP(B17,input_491105!L:R,7,FALSE),VLOOKUP(tables_491105!C17,input_491105!A:H,8,FALSE))</f>
        <v>387525.74544999999</v>
      </c>
      <c r="P17" s="46">
        <f t="shared" ca="1" si="2"/>
        <v>2.9663636363560904E-2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input_491105!A$2</f>
        <v>491105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IFERROR(VLOOKUP(B18,input_491105!L:R,7,FALSE),VLOOKUP(tables_491105!C18,input_491105!A:H,8,FALSE))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input_491105!A$2</f>
        <v>491105</v>
      </c>
      <c r="B19" s="10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IFERROR(VLOOKUP(B19,input_491105!L:R,7,FALSE),VLOOKUP(tables_491105!C19,input_491105!A:H,8,FALSE))</f>
        <v>77966.93333</v>
      </c>
      <c r="P19" s="46">
        <f t="shared" ca="1" si="2"/>
        <v>5.9680751171705586E-3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input_491105!A$2</f>
        <v>491105</v>
      </c>
      <c r="B20" s="6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IFERROR(VLOOKUP(B20,input_491105!L:R,7,FALSE),VLOOKUP(tables_491105!C20,input_491105!A:H,8,FALSE))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input_491105!A$2</f>
        <v>491105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IFERROR(VLOOKUP(B21,input_491105!L:R,7,FALSE),VLOOKUP(tables_491105!C21,input_491105!A:H,8,FALSE))</f>
        <v>77966.93333</v>
      </c>
      <c r="P21" s="46">
        <f t="shared" ca="1" si="2"/>
        <v>5.9680751171705586E-3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input_491105!A$2</f>
        <v>491105</v>
      </c>
      <c r="B22" s="6">
        <v>146</v>
      </c>
      <c r="C22" s="7" t="str">
        <f t="shared" si="0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IFERROR(VLOOKUP(B22,input_491105!L:R,7,FALSE),VLOOKUP(tables_491105!C22,input_491105!A:H,8,FALSE))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input_491105!A$2</f>
        <v>491105</v>
      </c>
      <c r="B23" s="6">
        <v>147</v>
      </c>
      <c r="C23" s="7" t="str">
        <f t="shared" si="0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IFERROR(VLOOKUP(B23,input_491105!L:R,7,FALSE),VLOOKUP(tables_491105!C23,input_491105!A:H,8,FALSE))</f>
        <v>77966.93333</v>
      </c>
      <c r="P23" s="46">
        <f t="shared" ca="1" si="2"/>
        <v>5.9680751171705586E-3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input_491105!A$2</f>
        <v>491105</v>
      </c>
      <c r="B24" s="6">
        <v>148</v>
      </c>
      <c r="C24" s="7" t="str">
        <f t="shared" si="0"/>
        <v>PremiumW3color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IFERROR(VLOOKUP(B24,input_491105!L:R,7,FALSE),VLOOKUP(tables_491105!C24,input_491105!A:H,8,FALSE))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input_491105!A$2</f>
        <v>491105</v>
      </c>
      <c r="B25" s="6">
        <v>149</v>
      </c>
      <c r="C25" s="7" t="str">
        <f t="shared" si="0"/>
        <v>PremiumW4color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IFERROR(VLOOKUP(B25,input_491105!L:R,7,FALSE),VLOOKUP(tables_491105!C25,input_491105!A:H,8,FALSE))</f>
        <v>387525.74544999999</v>
      </c>
      <c r="P25" s="46">
        <f t="shared" ca="1" si="2"/>
        <v>2.9663636363560904E-2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input_491105!A$2</f>
        <v>491105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IFERROR(VLOOKUP(B26,input_491105!L:R,7,FALSE),VLOOKUP(tables_491105!C26,input_491105!A:H,8,FALSE))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input_491105!A$2</f>
        <v>491105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IFERROR(VLOOKUP(B27,input_491105!L:R,7,FALSE),VLOOKUP(tables_491105!C27,input_491105!A:H,8,FALSE))</f>
        <v>77966.93333</v>
      </c>
      <c r="P27" s="46">
        <f t="shared" ca="1" si="2"/>
        <v>5.9680751171705586E-3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input_491105!A$2</f>
        <v>491105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IFERROR(VLOOKUP(B28,input_491105!L:R,7,FALSE),VLOOKUP(tables_491105!C28,input_491105!A:H,8,FALSE))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input_491105!A$2</f>
        <v>491105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IFERROR(VLOOKUP(B29,input_491105!L:R,7,FALSE),VLOOKUP(tables_491105!C29,input_491105!A:H,8,FALSE))</f>
        <v>77966.93333</v>
      </c>
      <c r="P29" s="46">
        <f t="shared" ca="1" si="2"/>
        <v>5.9680751171705586E-3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input_491105!A$2</f>
        <v>491105</v>
      </c>
      <c r="B30" s="6">
        <v>154</v>
      </c>
      <c r="C30" s="7" t="str">
        <f t="shared" si="0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IFERROR(VLOOKUP(B30,input_491105!L:R,7,FALSE),VLOOKUP(tables_491105!C30,input_491105!A:H,8,FALSE))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input_491105!A$2</f>
        <v>491105</v>
      </c>
      <c r="B31" s="6">
        <v>155</v>
      </c>
      <c r="C31" s="7" t="str">
        <f t="shared" si="0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IFERROR(VLOOKUP(B31,input_491105!L:R,7,FALSE),VLOOKUP(tables_491105!C31,input_491105!A:H,8,FALSE))</f>
        <v>77966.93333</v>
      </c>
      <c r="P31" s="46">
        <f t="shared" ca="1" si="2"/>
        <v>5.9680751171705586E-3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input_491105!A$2</f>
        <v>491105</v>
      </c>
      <c r="B32" s="6">
        <v>156</v>
      </c>
      <c r="C32" s="7" t="str">
        <f t="shared" si="0"/>
        <v>PremiumW3color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IFERROR(VLOOKUP(B32,input_491105!L:R,7,FALSE),VLOOKUP(tables_491105!C32,input_491105!A:H,8,FALSE))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input_491105!A$2</f>
        <v>491105</v>
      </c>
      <c r="B33" s="6">
        <v>157</v>
      </c>
      <c r="C33" s="7" t="str">
        <f t="shared" si="0"/>
        <v>PremiumW4color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IFERROR(VLOOKUP(B33,input_491105!L:R,7,FALSE),VLOOKUP(tables_491105!C33,input_491105!A:H,8,FALSE))</f>
        <v>387525.74544999999</v>
      </c>
      <c r="P33" s="46">
        <f t="shared" ca="1" si="2"/>
        <v>2.9663636363560904E-2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input_491105!A$2</f>
        <v>491105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IFERROR(VLOOKUP(B34,input_491105!L:R,7,FALSE),VLOOKUP(tables_491105!C34,input_491105!A:H,8,FALSE))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input_491105!A$2</f>
        <v>491105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IFERROR(VLOOKUP(B35,input_491105!L:R,7,FALSE),VLOOKUP(tables_491105!C35,input_491105!A:H,8,FALSE))</f>
        <v>77966.93333</v>
      </c>
      <c r="P35" s="46">
        <f t="shared" ca="1" si="2"/>
        <v>5.9680751171705586E-3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input_491105!A$2</f>
        <v>491105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IFERROR(VLOOKUP(B36,input_491105!L:R,7,FALSE),VLOOKUP(tables_491105!C36,input_491105!A:H,8,FALSE))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input_491105!A$2</f>
        <v>491105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IFERROR(VLOOKUP(B37,input_491105!L:R,7,FALSE),VLOOKUP(tables_491105!C37,input_491105!A:H,8,FALSE))</f>
        <v>77966.93333</v>
      </c>
      <c r="P37" s="46">
        <f t="shared" ca="1" si="2"/>
        <v>5.9680751171705586E-3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input_491105!A$2</f>
        <v>491105</v>
      </c>
      <c r="B38" s="6">
        <v>162</v>
      </c>
      <c r="C38" s="7" t="str">
        <f t="shared" si="0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IFERROR(VLOOKUP(B38,input_491105!L:R,7,FALSE),VLOOKUP(tables_491105!C38,input_491105!A:H,8,FALSE))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input_491105!A$2</f>
        <v>491105</v>
      </c>
      <c r="B39" s="6">
        <v>163</v>
      </c>
      <c r="C39" s="7" t="str">
        <f t="shared" si="0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IFERROR(VLOOKUP(B39,input_491105!L:R,7,FALSE),VLOOKUP(tables_491105!C39,input_491105!A:H,8,FALSE))</f>
        <v>77966.93333</v>
      </c>
      <c r="P39" s="46">
        <f t="shared" ca="1" si="2"/>
        <v>5.9680751171705586E-3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input_491105!A$2</f>
        <v>491105</v>
      </c>
      <c r="B40" s="6">
        <v>164</v>
      </c>
      <c r="C40" s="7" t="str">
        <f t="shared" si="0"/>
        <v>PremiumW3color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IFERROR(VLOOKUP(B40,input_491105!L:R,7,FALSE),VLOOKUP(tables_491105!C40,input_491105!A:H,8,FALSE))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input_491105!A$2</f>
        <v>491105</v>
      </c>
      <c r="B41" s="6">
        <v>165</v>
      </c>
      <c r="C41" s="7" t="str">
        <f t="shared" si="0"/>
        <v>PremiumW4color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IFERROR(VLOOKUP(B41,input_491105!L:R,7,FALSE),VLOOKUP(tables_491105!C41,input_491105!A:H,8,FALSE))</f>
        <v>387525.74544999999</v>
      </c>
      <c r="P41" s="46">
        <f t="shared" ca="1" si="2"/>
        <v>2.9663636363560904E-2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input_491105!A$2</f>
        <v>491105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IFERROR(VLOOKUP(B42,input_491105!L:R,7,FALSE),VLOOKUP(tables_491105!C42,input_491105!A:H,8,FALSE))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input_491105!A$2</f>
        <v>491105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IFERROR(VLOOKUP(B43,input_491105!L:R,7,FALSE),VLOOKUP(tables_491105!C43,input_491105!A:H,8,FALSE))</f>
        <v>65794.720000000001</v>
      </c>
      <c r="P43" s="46">
        <f t="shared" ca="1" si="2"/>
        <v>5.036338028215276E-3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input_491105!A$2</f>
        <v>491105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IFERROR(VLOOKUP(B44,input_491105!L:R,7,FALSE),VLOOKUP(tables_491105!C44,input_491105!A:H,8,FALSE))</f>
        <v>3462.88</v>
      </c>
      <c r="P44" s="46">
        <f t="shared" ca="1" si="2"/>
        <v>2.650704225376461E-4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input_491105!A$2</f>
        <v>491105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IFERROR(VLOOKUP(B45,input_491105!L:R,7,FALSE),VLOOKUP(tables_491105!C45,input_491105!A:H,8,FALSE))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input_491105!A$2</f>
        <v>491105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IFERROR(VLOOKUP(B46,input_491105!L:R,7,FALSE),VLOOKUP(tables_491105!C46,input_491105!A:H,8,FALSE))</f>
        <v>65794.720000000001</v>
      </c>
      <c r="P46" s="46">
        <f t="shared" ca="1" si="2"/>
        <v>5.036338028215276E-3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input_491105!A$2</f>
        <v>491105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IFERROR(VLOOKUP(B47,input_491105!L:R,7,FALSE),VLOOKUP(tables_491105!C47,input_491105!A:H,8,FALSE))</f>
        <v>3462.88</v>
      </c>
      <c r="P47" s="46">
        <f t="shared" ca="1" si="2"/>
        <v>2.650704225376461E-4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input_491105!A$2</f>
        <v>491105</v>
      </c>
      <c r="B48" s="6">
        <v>172</v>
      </c>
      <c r="C48" s="7" t="str">
        <f t="shared" si="0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IFERROR(VLOOKUP(B48,input_491105!L:R,7,FALSE),VLOOKUP(tables_491105!C48,input_491105!A:H,8,FALSE))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input_491105!A$2</f>
        <v>491105</v>
      </c>
      <c r="B49" s="6">
        <v>173</v>
      </c>
      <c r="C49" s="7" t="str">
        <f t="shared" si="0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IFERROR(VLOOKUP(B49,input_491105!L:R,7,FALSE),VLOOKUP(tables_491105!C49,input_491105!A:H,8,FALSE))</f>
        <v>65794.720000000001</v>
      </c>
      <c r="P49" s="46">
        <f t="shared" ca="1" si="2"/>
        <v>5.036338028215276E-3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input_491105!A$2</f>
        <v>491105</v>
      </c>
      <c r="B50" s="6">
        <v>174</v>
      </c>
      <c r="C50" s="7" t="str">
        <f t="shared" si="0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IFERROR(VLOOKUP(B50,input_491105!L:R,7,FALSE),VLOOKUP(tables_491105!C50,input_491105!A:H,8,FALSE))</f>
        <v>3462.88</v>
      </c>
      <c r="P50" s="46">
        <f t="shared" ca="1" si="2"/>
        <v>2.650704225376461E-4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input_491105!A$2</f>
        <v>491105</v>
      </c>
      <c r="B51" s="6">
        <v>175</v>
      </c>
      <c r="C51" s="7" t="str">
        <f t="shared" si="0"/>
        <v>Premium3color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IFERROR(VLOOKUP(B51,input_491105!L:R,7,FALSE),VLOOKUP(tables_491105!C51,input_491105!A:H,8,FALSE))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input_491105!A$2</f>
        <v>491105</v>
      </c>
      <c r="B52" s="6">
        <v>176</v>
      </c>
      <c r="C52" s="7" t="str">
        <f t="shared" si="0"/>
        <v>Premium4color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IFERROR(VLOOKUP(B52,input_491105!L:R,7,FALSE),VLOOKUP(tables_491105!C52,input_491105!A:H,8,FALSE))</f>
        <v>337474.65632000001</v>
      </c>
      <c r="P52" s="46">
        <f t="shared" ca="1" si="2"/>
        <v>2.5832413986765151E-2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input_491105!A$2</f>
        <v>491105</v>
      </c>
      <c r="B53" s="6">
        <v>177</v>
      </c>
      <c r="C53" s="7" t="str">
        <f t="shared" si="0"/>
        <v>Premium5color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IFERROR(VLOOKUP(B53,input_491105!L:R,7,FALSE),VLOOKUP(tables_491105!C53,input_491105!A:H,8,FALSE))</f>
        <v>3824.6275999999998</v>
      </c>
      <c r="P53" s="46">
        <f t="shared" ca="1" si="2"/>
        <v>2.9276083894941301E-4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input_491105!A$2</f>
        <v>491105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IFERROR(VLOOKUP(B54,input_491105!L:R,7,FALSE),VLOOKUP(tables_491105!C54,input_491105!A:H,8,FALSE))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input_491105!A$2</f>
        <v>491105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IFERROR(VLOOKUP(B55,input_491105!L:R,7,FALSE),VLOOKUP(tables_491105!C55,input_491105!A:H,8,FALSE))</f>
        <v>59095.232819999997</v>
      </c>
      <c r="P55" s="46">
        <f t="shared" ca="1" si="2"/>
        <v>4.523517515350798E-3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input_491105!A$2</f>
        <v>491105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IFERROR(VLOOKUP(B56,input_491105!L:R,7,FALSE),VLOOKUP(tables_491105!C56,input_491105!A:H,8,FALSE))</f>
        <v>113.13641</v>
      </c>
      <c r="P56" s="46">
        <f t="shared" ca="1" si="2"/>
        <v>8.6601661054071661E-6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input_491105!A$2</f>
        <v>491105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IFERROR(VLOOKUP(B57,input_491105!L:R,7,FALSE),VLOOKUP(tables_491105!C57,input_491105!A:H,8,FALSE))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input_491105!A$2</f>
        <v>491105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IFERROR(VLOOKUP(B58,input_491105!L:R,7,FALSE),VLOOKUP(tables_491105!C58,input_491105!A:H,8,FALSE))</f>
        <v>59095.232819999997</v>
      </c>
      <c r="P58" s="46">
        <f t="shared" ca="1" si="2"/>
        <v>4.523517515350798E-3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input_491105!A$2</f>
        <v>491105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IFERROR(VLOOKUP(B59,input_491105!L:R,7,FALSE),VLOOKUP(tables_491105!C59,input_491105!A:H,8,FALSE))</f>
        <v>113.13641</v>
      </c>
      <c r="P59" s="46">
        <f t="shared" ca="1" si="2"/>
        <v>8.6601661054071661E-6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input_491105!A$2</f>
        <v>491105</v>
      </c>
      <c r="B60" s="6">
        <v>184</v>
      </c>
      <c r="C60" s="7" t="str">
        <f t="shared" si="0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IFERROR(VLOOKUP(B60,input_491105!L:R,7,FALSE),VLOOKUP(tables_491105!C60,input_491105!A:H,8,FALSE))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input_491105!A$2</f>
        <v>491105</v>
      </c>
      <c r="B61" s="8">
        <v>185</v>
      </c>
      <c r="C61" s="7" t="str">
        <f t="shared" si="0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IFERROR(VLOOKUP(B61,input_491105!L:R,7,FALSE),VLOOKUP(tables_491105!C61,input_491105!A:H,8,FALSE))</f>
        <v>59095.232819999997</v>
      </c>
      <c r="P61" s="46">
        <f t="shared" ca="1" si="2"/>
        <v>4.523517515350798E-3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input_491105!A$2</f>
        <v>491105</v>
      </c>
      <c r="B62" s="8">
        <v>186</v>
      </c>
      <c r="C62" s="7" t="str">
        <f t="shared" si="0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IFERROR(VLOOKUP(B62,input_491105!L:R,7,FALSE),VLOOKUP(tables_491105!C62,input_491105!A:H,8,FALSE))</f>
        <v>113.13641</v>
      </c>
      <c r="P62" s="46">
        <f t="shared" ca="1" si="2"/>
        <v>8.6601661054071661E-6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input_491105!A$2</f>
        <v>491105</v>
      </c>
      <c r="B63" s="8">
        <v>187</v>
      </c>
      <c r="C63" s="7" t="str">
        <f t="shared" si="0"/>
        <v>Premium3color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IFERROR(VLOOKUP(B63,input_491105!L:R,7,FALSE),VLOOKUP(tables_491105!C63,input_491105!A:H,8,FALSE))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input_491105!A$2</f>
        <v>491105</v>
      </c>
      <c r="B64" s="8">
        <v>188</v>
      </c>
      <c r="C64" s="7" t="str">
        <f t="shared" si="0"/>
        <v>Premium4color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IFERROR(VLOOKUP(B64,input_491105!L:R,7,FALSE),VLOOKUP(tables_491105!C64,input_491105!A:H,8,FALSE))</f>
        <v>337474.65632000001</v>
      </c>
      <c r="P64" s="46">
        <f t="shared" ca="1" si="2"/>
        <v>2.5832413986765151E-2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input_491105!A$2</f>
        <v>491105</v>
      </c>
      <c r="B65" s="6">
        <v>189</v>
      </c>
      <c r="C65" s="7" t="str">
        <f t="shared" si="0"/>
        <v>Premium5color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IFERROR(VLOOKUP(B65,input_491105!L:R,7,FALSE),VLOOKUP(tables_491105!C65,input_491105!A:H,8,FALSE))</f>
        <v>3824.6275999999998</v>
      </c>
      <c r="P65" s="46">
        <f t="shared" ca="1" si="2"/>
        <v>2.9276083894941301E-4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input_491105!A$2</f>
        <v>491105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IF(K66="yellow","color","")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IFERROR(VLOOKUP(B66,input_491105!L:R,7,FALSE),VLOOKUP(tables_491105!C66,input_491105!A:H,8,FALSE))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input_491105!A$2</f>
        <v>491105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IFERROR(VLOOKUP(B67,input_491105!L:R,7,FALSE),VLOOKUP(tables_491105!C67,input_491105!A:H,8,FALSE))</f>
        <v>59095.232819999997</v>
      </c>
      <c r="P67" s="46">
        <f t="shared" ca="1" si="6"/>
        <v>4.523517515350798E-3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input_491105!A$2</f>
        <v>491105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IFERROR(VLOOKUP(B68,input_491105!L:R,7,FALSE),VLOOKUP(tables_491105!C68,input_491105!A:H,8,FALSE))</f>
        <v>113.13641</v>
      </c>
      <c r="P68" s="46">
        <f t="shared" ca="1" si="6"/>
        <v>8.6601661054071661E-6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input_491105!A$2</f>
        <v>491105</v>
      </c>
      <c r="B69" s="10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IFERROR(VLOOKUP(B69,input_491105!L:R,7,FALSE),VLOOKUP(tables_491105!C69,input_491105!A:H,8,FALSE))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input_491105!A$2</f>
        <v>491105</v>
      </c>
      <c r="B70" s="6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IFERROR(VLOOKUP(B70,input_491105!L:R,7,FALSE),VLOOKUP(tables_491105!C70,input_491105!A:H,8,FALSE))</f>
        <v>59095.232819999997</v>
      </c>
      <c r="P70" s="46">
        <f t="shared" ca="1" si="6"/>
        <v>4.523517515350798E-3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input_491105!A$2</f>
        <v>491105</v>
      </c>
      <c r="B71" s="10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IFERROR(VLOOKUP(B71,input_491105!L:R,7,FALSE),VLOOKUP(tables_491105!C71,input_491105!A:H,8,FALSE))</f>
        <v>113.13641</v>
      </c>
      <c r="P71" s="46">
        <f t="shared" ca="1" si="6"/>
        <v>8.6601661054071661E-6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input_491105!A$2</f>
        <v>491105</v>
      </c>
      <c r="B72" s="11">
        <v>196</v>
      </c>
      <c r="C72" s="7" t="str">
        <f t="shared" si="4"/>
        <v>Premium3color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IFERROR(VLOOKUP(B72,input_491105!L:R,7,FALSE),VLOOKUP(tables_491105!C72,input_491105!A:H,8,FALSE))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input_491105!A$2</f>
        <v>491105</v>
      </c>
      <c r="B73" s="6">
        <v>197</v>
      </c>
      <c r="C73" s="7" t="str">
        <f t="shared" si="4"/>
        <v>Premium4color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IFERROR(VLOOKUP(B73,input_491105!L:R,7,FALSE),VLOOKUP(tables_491105!C73,input_491105!A:H,8,FALSE))</f>
        <v>337474.65632000001</v>
      </c>
      <c r="P73" s="46">
        <f t="shared" ca="1" si="6"/>
        <v>2.5832413986765151E-2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input_491105!A$2</f>
        <v>491105</v>
      </c>
      <c r="B74" s="6">
        <v>198</v>
      </c>
      <c r="C74" s="7" t="str">
        <f t="shared" si="4"/>
        <v>Premium5color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IFERROR(VLOOKUP(B74,input_491105!L:R,7,FALSE),VLOOKUP(tables_491105!C74,input_491105!A:H,8,FALSE))</f>
        <v>3824.6275999999998</v>
      </c>
      <c r="P74" s="46">
        <f t="shared" ca="1" si="6"/>
        <v>2.9276083894941301E-4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input_491105!A$2</f>
        <v>491105</v>
      </c>
      <c r="B75" s="6">
        <v>199</v>
      </c>
      <c r="C75" s="7" t="str">
        <f t="shared" si="4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IFERROR(VLOOKUP(B75,input_491105!L:R,7,FALSE),VLOOKUP(tables_491105!C75,input_491105!A:H,8,FALSE))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input_491105!A$2</f>
        <v>491105</v>
      </c>
      <c r="B76" s="5">
        <v>200</v>
      </c>
      <c r="C76" s="7" t="str">
        <f t="shared" si="4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IFERROR(VLOOKUP(B76,input_491105!L:R,7,FALSE),VLOOKUP(tables_491105!C76,input_491105!A:H,8,FALSE))</f>
        <v>59095.232819999997</v>
      </c>
      <c r="P76" s="46">
        <f t="shared" ca="1" si="6"/>
        <v>4.523517515350798E-3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input_491105!A$2</f>
        <v>491105</v>
      </c>
      <c r="B77" s="5">
        <v>201</v>
      </c>
      <c r="C77" s="7" t="str">
        <f t="shared" si="4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IFERROR(VLOOKUP(B77,input_491105!L:R,7,FALSE),VLOOKUP(tables_491105!C77,input_491105!A:H,8,FALSE))</f>
        <v>113.13641</v>
      </c>
      <c r="P77" s="46">
        <f t="shared" ca="1" si="6"/>
        <v>8.6601661054071661E-6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input_491105!A$2</f>
        <v>491105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IFERROR(VLOOKUP(B78,input_491105!L:R,7,FALSE),VLOOKUP(tables_491105!C78,input_491105!A:H,8,FALSE))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input_491105!A$2</f>
        <v>491105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IFERROR(VLOOKUP(B79,input_491105!L:R,7,FALSE),VLOOKUP(tables_491105!C79,input_491105!A:H,8,FALSE))</f>
        <v>59095.232819999997</v>
      </c>
      <c r="P79" s="46">
        <f t="shared" ca="1" si="6"/>
        <v>4.523517515350798E-3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input_491105!A$2</f>
        <v>491105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IFERROR(VLOOKUP(B80,input_491105!L:R,7,FALSE),VLOOKUP(tables_491105!C80,input_491105!A:H,8,FALSE))</f>
        <v>113.13641</v>
      </c>
      <c r="P80" s="46">
        <f t="shared" ca="1" si="6"/>
        <v>8.6601661054071661E-6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input_491105!A$2</f>
        <v>491105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IFERROR(VLOOKUP(B81,input_491105!L:R,7,FALSE),VLOOKUP(tables_491105!C81,input_491105!A:H,8,FALSE))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input_491105!A$2</f>
        <v>491105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IFERROR(VLOOKUP(B82,input_491105!L:R,7,FALSE),VLOOKUP(tables_491105!C82,input_491105!A:H,8,FALSE))</f>
        <v>59095.232819999997</v>
      </c>
      <c r="P82" s="46">
        <f t="shared" ca="1" si="6"/>
        <v>4.523517515350798E-3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input_491105!A$2</f>
        <v>491105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IFERROR(VLOOKUP(B83,input_491105!L:R,7,FALSE),VLOOKUP(tables_491105!C83,input_491105!A:H,8,FALSE))</f>
        <v>113.13641</v>
      </c>
      <c r="P83" s="46">
        <f t="shared" ca="1" si="6"/>
        <v>8.6601661054071661E-6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input_491105!A$2</f>
        <v>491105</v>
      </c>
      <c r="B84" s="5">
        <v>208</v>
      </c>
      <c r="C84" s="7" t="str">
        <f t="shared" si="4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IFERROR(VLOOKUP(B84,input_491105!L:R,7,FALSE),VLOOKUP(tables_491105!C84,input_491105!A:H,8,FALSE))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input_491105!A$2</f>
        <v>491105</v>
      </c>
      <c r="B85" s="5">
        <v>209</v>
      </c>
      <c r="C85" s="7" t="str">
        <f t="shared" si="4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IFERROR(VLOOKUP(B85,input_491105!L:R,7,FALSE),VLOOKUP(tables_491105!C85,input_491105!A:H,8,FALSE))</f>
        <v>59095.232819999997</v>
      </c>
      <c r="P85" s="46">
        <f t="shared" ca="1" si="6"/>
        <v>4.523517515350798E-3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input_491105!A$2</f>
        <v>491105</v>
      </c>
      <c r="B86" s="5">
        <v>210</v>
      </c>
      <c r="C86" s="7" t="str">
        <f t="shared" si="4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IFERROR(VLOOKUP(B86,input_491105!L:R,7,FALSE),VLOOKUP(tables_491105!C86,input_491105!A:H,8,FALSE))</f>
        <v>113.13641</v>
      </c>
      <c r="P86" s="46">
        <f t="shared" ca="1" si="6"/>
        <v>8.6601661054071661E-6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input_491105!A$2</f>
        <v>491105</v>
      </c>
      <c r="B87" s="5">
        <v>211</v>
      </c>
      <c r="C87" s="7" t="str">
        <f t="shared" si="4"/>
        <v>Premium3color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IFERROR(VLOOKUP(B87,input_491105!L:R,7,FALSE),VLOOKUP(tables_491105!C87,input_491105!A:H,8,FALSE))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input_491105!A$2</f>
        <v>491105</v>
      </c>
      <c r="B88" s="5">
        <v>212</v>
      </c>
      <c r="C88" s="7" t="str">
        <f t="shared" si="4"/>
        <v>Premium4color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IFERROR(VLOOKUP(B88,input_491105!L:R,7,FALSE),VLOOKUP(tables_491105!C88,input_491105!A:H,8,FALSE))</f>
        <v>337474.65632000001</v>
      </c>
      <c r="P88" s="46">
        <f t="shared" ca="1" si="6"/>
        <v>2.5832413986765151E-2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input_491105!A$2</f>
        <v>491105</v>
      </c>
      <c r="B89" s="5">
        <v>213</v>
      </c>
      <c r="C89" s="7" t="str">
        <f t="shared" si="4"/>
        <v>Premium5color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IFERROR(VLOOKUP(B89,input_491105!L:R,7,FALSE),VLOOKUP(tables_491105!C89,input_491105!A:H,8,FALSE))</f>
        <v>3824.6275999999998</v>
      </c>
      <c r="P89" s="46">
        <f t="shared" ca="1" si="6"/>
        <v>2.9276083894941301E-4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input_491105!A$2</f>
        <v>491105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IFERROR(VLOOKUP(B90,input_491105!L:R,7,FALSE),VLOOKUP(tables_491105!C90,input_491105!A:H,8,FALSE))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input_491105!A$2</f>
        <v>491105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IFERROR(VLOOKUP(B91,input_491105!L:R,7,FALSE),VLOOKUP(tables_491105!C91,input_491105!A:H,8,FALSE))</f>
        <v>59095.232819999997</v>
      </c>
      <c r="P91" s="46">
        <f t="shared" ca="1" si="6"/>
        <v>4.523517515350798E-3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input_491105!A$2</f>
        <v>491105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IFERROR(VLOOKUP(B92,input_491105!L:R,7,FALSE),VLOOKUP(tables_491105!C92,input_491105!A:H,8,FALSE))</f>
        <v>113.13641</v>
      </c>
      <c r="P92" s="46">
        <f t="shared" ca="1" si="6"/>
        <v>8.6601661054071661E-6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input_491105!A$2</f>
        <v>491105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IFERROR(VLOOKUP(B93,input_491105!L:R,7,FALSE),VLOOKUP(tables_491105!C93,input_491105!A:H,8,FALSE))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input_491105!A$2</f>
        <v>491105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IFERROR(VLOOKUP(B94,input_491105!L:R,7,FALSE),VLOOKUP(tables_491105!C94,input_491105!A:H,8,FALSE))</f>
        <v>59095.232819999997</v>
      </c>
      <c r="P94" s="46">
        <f t="shared" ca="1" si="6"/>
        <v>4.523517515350798E-3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input_491105!A$2</f>
        <v>491105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IFERROR(VLOOKUP(B95,input_491105!L:R,7,FALSE),VLOOKUP(tables_491105!C95,input_491105!A:H,8,FALSE))</f>
        <v>113.13641</v>
      </c>
      <c r="P95" s="46">
        <f t="shared" ca="1" si="6"/>
        <v>8.6601661054071661E-6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input_491105!A$2</f>
        <v>491105</v>
      </c>
      <c r="B96" s="5">
        <v>220</v>
      </c>
      <c r="C96" s="7" t="str">
        <f t="shared" si="4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IFERROR(VLOOKUP(B96,input_491105!L:R,7,FALSE),VLOOKUP(tables_491105!C96,input_491105!A:H,8,FALSE))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input_491105!A$2</f>
        <v>491105</v>
      </c>
      <c r="B97" s="5">
        <v>221</v>
      </c>
      <c r="C97" s="7" t="str">
        <f t="shared" si="4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IFERROR(VLOOKUP(B97,input_491105!L:R,7,FALSE),VLOOKUP(tables_491105!C97,input_491105!A:H,8,FALSE))</f>
        <v>59095.232819999997</v>
      </c>
      <c r="P97" s="46">
        <f t="shared" ca="1" si="6"/>
        <v>4.523517515350798E-3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input_491105!A$2</f>
        <v>491105</v>
      </c>
      <c r="B98" s="5">
        <v>222</v>
      </c>
      <c r="C98" s="7" t="str">
        <f t="shared" si="4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IFERROR(VLOOKUP(B98,input_491105!L:R,7,FALSE),VLOOKUP(tables_491105!C98,input_491105!A:H,8,FALSE))</f>
        <v>113.13641</v>
      </c>
      <c r="P98" s="46">
        <f t="shared" ca="1" si="6"/>
        <v>8.6601661054071661E-6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input_491105!A$2</f>
        <v>491105</v>
      </c>
      <c r="B99" s="5">
        <v>223</v>
      </c>
      <c r="C99" s="7" t="str">
        <f t="shared" si="4"/>
        <v>Premium3color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IFERROR(VLOOKUP(B99,input_491105!L:R,7,FALSE),VLOOKUP(tables_491105!C99,input_491105!A:H,8,FALSE))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input_491105!A$2</f>
        <v>491105</v>
      </c>
      <c r="B100" s="5">
        <v>224</v>
      </c>
      <c r="C100" s="7" t="str">
        <f t="shared" si="4"/>
        <v>Premium4color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IFERROR(VLOOKUP(B100,input_491105!L:R,7,FALSE),VLOOKUP(tables_491105!C100,input_491105!A:H,8,FALSE))</f>
        <v>337474.65632000001</v>
      </c>
      <c r="P100" s="46">
        <f t="shared" ca="1" si="6"/>
        <v>2.5832413986765151E-2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input_491105!A$2</f>
        <v>491105</v>
      </c>
      <c r="B101" s="5">
        <v>225</v>
      </c>
      <c r="C101" s="7" t="str">
        <f t="shared" si="4"/>
        <v>Premium5color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IFERROR(VLOOKUP(B101,input_491105!L:R,7,FALSE),VLOOKUP(tables_491105!C101,input_491105!A:H,8,FALSE))</f>
        <v>3824.6275999999998</v>
      </c>
      <c r="P101" s="46">
        <f t="shared" ca="1" si="6"/>
        <v>2.9276083894941301E-4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input_491105!A$2</f>
        <v>491105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IFERROR(VLOOKUP(B102,input_491105!L:R,7,FALSE),VLOOKUP(tables_491105!C102,input_491105!A:H,8,FALSE))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input_491105!A$2</f>
        <v>491105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IFERROR(VLOOKUP(B103,input_491105!L:R,7,FALSE),VLOOKUP(tables_491105!C103,input_491105!A:H,8,FALSE))</f>
        <v>59095.232819999997</v>
      </c>
      <c r="P103" s="46">
        <f t="shared" ca="1" si="6"/>
        <v>4.523517515350798E-3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input_491105!A$2</f>
        <v>491105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IFERROR(VLOOKUP(B104,input_491105!L:R,7,FALSE),VLOOKUP(tables_491105!C104,input_491105!A:H,8,FALSE))</f>
        <v>113.13641</v>
      </c>
      <c r="P104" s="46">
        <f t="shared" ca="1" si="6"/>
        <v>8.6601661054071661E-6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input_491105!A$2</f>
        <v>491105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IFERROR(VLOOKUP(B105,input_491105!L:R,7,FALSE),VLOOKUP(tables_491105!C105,input_491105!A:H,8,FALSE))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input_491105!A$2</f>
        <v>491105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IFERROR(VLOOKUP(B106,input_491105!L:R,7,FALSE),VLOOKUP(tables_491105!C106,input_491105!A:H,8,FALSE))</f>
        <v>59095.232819999997</v>
      </c>
      <c r="P106" s="46">
        <f t="shared" ca="1" si="6"/>
        <v>4.523517515350798E-3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input_491105!A$2</f>
        <v>491105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IFERROR(VLOOKUP(B107,input_491105!L:R,7,FALSE),VLOOKUP(tables_491105!C107,input_491105!A:H,8,FALSE))</f>
        <v>113.13641</v>
      </c>
      <c r="P107" s="46">
        <f t="shared" ca="1" si="6"/>
        <v>8.6601661054071661E-6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input_491105!A$2</f>
        <v>491105</v>
      </c>
      <c r="B108" s="5">
        <v>232</v>
      </c>
      <c r="C108" s="7" t="str">
        <f t="shared" si="4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IFERROR(VLOOKUP(B108,input_491105!L:R,7,FALSE),VLOOKUP(tables_491105!C108,input_491105!A:H,8,FALSE))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input_491105!A$2</f>
        <v>491105</v>
      </c>
      <c r="B109" s="5">
        <v>233</v>
      </c>
      <c r="C109" s="7" t="str">
        <f t="shared" si="4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IFERROR(VLOOKUP(B109,input_491105!L:R,7,FALSE),VLOOKUP(tables_491105!C109,input_491105!A:H,8,FALSE))</f>
        <v>59095.232819999997</v>
      </c>
      <c r="P109" s="46">
        <f t="shared" ca="1" si="6"/>
        <v>4.523517515350798E-3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input_491105!A$2</f>
        <v>491105</v>
      </c>
      <c r="B110" s="5">
        <v>234</v>
      </c>
      <c r="C110" s="7" t="str">
        <f t="shared" si="4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IFERROR(VLOOKUP(B110,input_491105!L:R,7,FALSE),VLOOKUP(tables_491105!C110,input_491105!A:H,8,FALSE))</f>
        <v>113.13641</v>
      </c>
      <c r="P110" s="46">
        <f t="shared" ca="1" si="6"/>
        <v>8.6601661054071661E-6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input_491105!A$2</f>
        <v>491105</v>
      </c>
      <c r="B111" s="5">
        <v>235</v>
      </c>
      <c r="C111" s="7" t="str">
        <f t="shared" si="4"/>
        <v>Premium3R6releasecolor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IFERROR(VLOOKUP(B111,input_491105!L:R,7,FALSE),VLOOKUP(tables_491105!C111,input_491105!A:H,8,FALSE))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input_491105!A$2</f>
        <v>491105</v>
      </c>
      <c r="B112" s="5">
        <v>236</v>
      </c>
      <c r="C112" s="7" t="str">
        <f t="shared" si="4"/>
        <v>Premium4R6releasecolor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IFERROR(VLOOKUP(B112,input_491105!L:R,7,FALSE),VLOOKUP(tables_491105!C112,input_491105!A:H,8,FALSE))</f>
        <v>318506.25818</v>
      </c>
      <c r="P112" s="46">
        <f t="shared" ca="1" si="6"/>
        <v>2.4380454545539321E-2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input_491105!A$2</f>
        <v>491105</v>
      </c>
      <c r="B113" s="5">
        <v>237</v>
      </c>
      <c r="C113" s="7" t="str">
        <f t="shared" si="4"/>
        <v>Premium5R6releasecolor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IFERROR(VLOOKUP(B113,input_491105!L:R,7,FALSE),VLOOKUP(tables_491105!C113,input_491105!A:H,8,FALSE))</f>
        <v>16763.487270000001</v>
      </c>
      <c r="P113" s="46">
        <f t="shared" ca="1" si="6"/>
        <v>1.2831818179848426E-3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input_491105!A$2</f>
        <v>491105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IFERROR(VLOOKUP(B114,input_491105!L:R,7,FALSE),VLOOKUP(tables_491105!C114,input_491105!A:H,8,FALSE))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input_491105!A$2</f>
        <v>491105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IFERROR(VLOOKUP(B115,input_491105!L:R,7,FALSE),VLOOKUP(tables_491105!C115,input_491105!A:H,8,FALSE))</f>
        <v>59095.232819999997</v>
      </c>
      <c r="P115" s="46">
        <f t="shared" ca="1" si="6"/>
        <v>4.523517515350798E-3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input_491105!A$2</f>
        <v>491105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IFERROR(VLOOKUP(B116,input_491105!L:R,7,FALSE),VLOOKUP(tables_491105!C116,input_491105!A:H,8,FALSE))</f>
        <v>113.13641</v>
      </c>
      <c r="P116" s="46">
        <f t="shared" ca="1" si="6"/>
        <v>8.6601661054071661E-6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input_491105!A$2</f>
        <v>491105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IFERROR(VLOOKUP(B117,input_491105!L:R,7,FALSE),VLOOKUP(tables_491105!C117,input_491105!A:H,8,FALSE))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input_491105!A$2</f>
        <v>491105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IFERROR(VLOOKUP(B118,input_491105!L:R,7,FALSE),VLOOKUP(tables_491105!C118,input_491105!A:H,8,FALSE))</f>
        <v>59095.232819999997</v>
      </c>
      <c r="P118" s="46">
        <f t="shared" ca="1" si="6"/>
        <v>4.523517515350798E-3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input_491105!A$2</f>
        <v>491105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IFERROR(VLOOKUP(B119,input_491105!L:R,7,FALSE),VLOOKUP(tables_491105!C119,input_491105!A:H,8,FALSE))</f>
        <v>113.13641</v>
      </c>
      <c r="P119" s="46">
        <f t="shared" ca="1" si="6"/>
        <v>8.6601661054071661E-6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input_491105!A$2</f>
        <v>491105</v>
      </c>
      <c r="B120" s="5">
        <v>244</v>
      </c>
      <c r="C120" s="7" t="str">
        <f t="shared" si="4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IFERROR(VLOOKUP(B120,input_491105!L:R,7,FALSE),VLOOKUP(tables_491105!C120,input_491105!A:H,8,FALSE))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input_491105!A$2</f>
        <v>491105</v>
      </c>
      <c r="B121" s="5">
        <v>245</v>
      </c>
      <c r="C121" s="7" t="str">
        <f t="shared" si="4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IFERROR(VLOOKUP(B121,input_491105!L:R,7,FALSE),VLOOKUP(tables_491105!C121,input_491105!A:H,8,FALSE))</f>
        <v>59095.232819999997</v>
      </c>
      <c r="P121" s="46">
        <f t="shared" ca="1" si="6"/>
        <v>4.523517515350798E-3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input_491105!A$2</f>
        <v>491105</v>
      </c>
      <c r="B122" s="5">
        <v>246</v>
      </c>
      <c r="C122" s="7" t="str">
        <f t="shared" si="4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IFERROR(VLOOKUP(B122,input_491105!L:R,7,FALSE),VLOOKUP(tables_491105!C122,input_491105!A:H,8,FALSE))</f>
        <v>113.13641</v>
      </c>
      <c r="P122" s="46">
        <f t="shared" ca="1" si="6"/>
        <v>8.6601661054071661E-6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input_491105!A$2</f>
        <v>491105</v>
      </c>
      <c r="B123" s="5">
        <v>247</v>
      </c>
      <c r="C123" s="7" t="str">
        <f t="shared" si="4"/>
        <v>Premium3color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IFERROR(VLOOKUP(B123,input_491105!L:R,7,FALSE),VLOOKUP(tables_491105!C123,input_491105!A:H,8,FALSE))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input_491105!A$2</f>
        <v>491105</v>
      </c>
      <c r="B124" s="6">
        <v>248</v>
      </c>
      <c r="C124" s="7" t="str">
        <f t="shared" si="4"/>
        <v>Premium4color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IFERROR(VLOOKUP(B124,input_491105!L:R,7,FALSE),VLOOKUP(tables_491105!C124,input_491105!A:H,8,FALSE))</f>
        <v>337474.65632000001</v>
      </c>
      <c r="P124" s="46">
        <f t="shared" ca="1" si="6"/>
        <v>2.5832413986765151E-2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input_491105!A$2</f>
        <v>491105</v>
      </c>
      <c r="B125" s="6">
        <v>249</v>
      </c>
      <c r="C125" s="7" t="str">
        <f t="shared" si="4"/>
        <v>Premium5color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IFERROR(VLOOKUP(B125,input_491105!L:R,7,FALSE),VLOOKUP(tables_491105!C125,input_491105!A:H,8,FALSE))</f>
        <v>3824.6275999999998</v>
      </c>
      <c r="P125" s="46">
        <f t="shared" ca="1" si="6"/>
        <v>2.9276083894941301E-4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input_491105!A$2</f>
        <v>491105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IFERROR(VLOOKUP(B126,input_491105!L:R,7,FALSE),VLOOKUP(tables_491105!C126,input_491105!A:H,8,FALSE))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input_491105!A$2</f>
        <v>491105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IFERROR(VLOOKUP(B127,input_491105!L:R,7,FALSE),VLOOKUP(tables_491105!C127,input_491105!A:H,8,FALSE))</f>
        <v>59095.232819999997</v>
      </c>
      <c r="P127" s="46">
        <f t="shared" ca="1" si="6"/>
        <v>4.523517515350798E-3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input_491105!A$2</f>
        <v>491105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IFERROR(VLOOKUP(B128,input_491105!L:R,7,FALSE),VLOOKUP(tables_491105!C128,input_491105!A:H,8,FALSE))</f>
        <v>113.13641</v>
      </c>
      <c r="P128" s="46">
        <f t="shared" ca="1" si="6"/>
        <v>8.6601661054071661E-6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input_491105!A$2</f>
        <v>491105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IFERROR(VLOOKUP(B129,input_491105!L:R,7,FALSE),VLOOKUP(tables_491105!C129,input_491105!A:H,8,FALSE))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input_491105!A$2</f>
        <v>491105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IF(K130="yellow","color","")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IFERROR(VLOOKUP(B130,input_491105!L:R,7,FALSE),VLOOKUP(tables_491105!C130,input_491105!A:H,8,FALSE))</f>
        <v>59095.232819999997</v>
      </c>
      <c r="P130" s="46">
        <f t="shared" ref="P130:P193" ca="1" si="10">O130/SUM(O:O)</f>
        <v>4.523517515350798E-3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input_491105!A$2</f>
        <v>491105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IFERROR(VLOOKUP(B131,input_491105!L:R,7,FALSE),VLOOKUP(tables_491105!C131,input_491105!A:H,8,FALSE))</f>
        <v>113.13641</v>
      </c>
      <c r="P131" s="46">
        <f t="shared" ca="1" si="10"/>
        <v>8.6601661054071661E-6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input_491105!A$2</f>
        <v>491105</v>
      </c>
      <c r="B132" s="6">
        <v>256</v>
      </c>
      <c r="C132" s="7" t="str">
        <f t="shared" si="8"/>
        <v>Premium3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IFERROR(VLOOKUP(B132,input_491105!L:R,7,FALSE),VLOOKUP(tables_491105!C132,input_491105!A:H,8,FALSE))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input_491105!A$2</f>
        <v>491105</v>
      </c>
      <c r="B133" s="6">
        <v>257</v>
      </c>
      <c r="C133" s="7" t="str">
        <f t="shared" si="8"/>
        <v>Premium4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IFERROR(VLOOKUP(B133,input_491105!L:R,7,FALSE),VLOOKUP(tables_491105!C133,input_491105!A:H,8,FALSE))</f>
        <v>59095.232819999997</v>
      </c>
      <c r="P133" s="46">
        <f t="shared" ca="1" si="10"/>
        <v>4.523517515350798E-3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input_491105!A$2</f>
        <v>491105</v>
      </c>
      <c r="B134" s="6">
        <v>258</v>
      </c>
      <c r="C134" s="7" t="str">
        <f t="shared" si="8"/>
        <v>Premium5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IFERROR(VLOOKUP(B134,input_491105!L:R,7,FALSE),VLOOKUP(tables_491105!C134,input_491105!A:H,8,FALSE))</f>
        <v>113.13641</v>
      </c>
      <c r="P134" s="46">
        <f t="shared" ca="1" si="10"/>
        <v>8.6601661054071661E-6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input_491105!A$2</f>
        <v>491105</v>
      </c>
      <c r="B135" s="8">
        <v>259</v>
      </c>
      <c r="C135" s="7" t="str">
        <f t="shared" si="8"/>
        <v>Premium3color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IFERROR(VLOOKUP(B135,input_491105!L:R,7,FALSE),VLOOKUP(tables_491105!C135,input_491105!A:H,8,FALSE))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input_491105!A$2</f>
        <v>491105</v>
      </c>
      <c r="B136" s="8">
        <v>260</v>
      </c>
      <c r="C136" s="7" t="str">
        <f t="shared" si="8"/>
        <v>Premium4color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IFERROR(VLOOKUP(B136,input_491105!L:R,7,FALSE),VLOOKUP(tables_491105!C136,input_491105!A:H,8,FALSE))</f>
        <v>337474.65632000001</v>
      </c>
      <c r="P136" s="46">
        <f t="shared" ca="1" si="10"/>
        <v>2.5832413986765151E-2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input_491105!A$2</f>
        <v>491105</v>
      </c>
      <c r="B137" s="6">
        <v>261</v>
      </c>
      <c r="C137" s="7" t="str">
        <f t="shared" si="8"/>
        <v>Premium5color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IFERROR(VLOOKUP(B137,input_491105!L:R,7,FALSE),VLOOKUP(tables_491105!C137,input_491105!A:H,8,FALSE))</f>
        <v>3824.6275999999998</v>
      </c>
      <c r="P137" s="46">
        <f t="shared" ca="1" si="10"/>
        <v>2.9276083894941301E-4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input_491105!A$2</f>
        <v>491105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IFERROR(VLOOKUP(B138,input_491105!L:R,7,FALSE),VLOOKUP(tables_491105!C138,input_491105!A:H,8,FALSE))</f>
        <v>5396</v>
      </c>
      <c r="P138" s="46">
        <f t="shared" ca="1" si="10"/>
        <v>4.1304347826466364E-4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input_491105!A$2</f>
        <v>491105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IFERROR(VLOOKUP(B139,input_491105!L:R,7,FALSE),VLOOKUP(tables_491105!C139,input_491105!A:H,8,FALSE))</f>
        <v>284</v>
      </c>
      <c r="P139" s="46">
        <f t="shared" ca="1" si="10"/>
        <v>2.1739130434982297E-5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input_491105!A$2</f>
        <v>491105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IFERROR(VLOOKUP(B140,input_491105!L:R,7,FALSE),VLOOKUP(tables_491105!C140,input_491105!A:H,8,FALSE))</f>
        <v>5396</v>
      </c>
      <c r="P140" s="46">
        <f t="shared" ca="1" si="10"/>
        <v>4.1304347826466364E-4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input_491105!A$2</f>
        <v>491105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IFERROR(VLOOKUP(B141,input_491105!L:R,7,FALSE),VLOOKUP(tables_491105!C141,input_491105!A:H,8,FALSE))</f>
        <v>284</v>
      </c>
      <c r="P141" s="46">
        <f t="shared" ca="1" si="10"/>
        <v>2.1739130434982297E-5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input_491105!A$2</f>
        <v>491105</v>
      </c>
      <c r="B142" s="6">
        <v>324</v>
      </c>
      <c r="C142" s="7" t="str">
        <f t="shared" si="8"/>
        <v>PremiumSS4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IFERROR(VLOOKUP(B142,input_491105!L:R,7,FALSE),VLOOKUP(tables_491105!C142,input_491105!A:H,8,FALSE))</f>
        <v>5396</v>
      </c>
      <c r="P142" s="46">
        <f t="shared" ca="1" si="10"/>
        <v>4.1304347826466364E-4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input_491105!A$2</f>
        <v>491105</v>
      </c>
      <c r="B143" s="6">
        <v>325</v>
      </c>
      <c r="C143" s="7" t="str">
        <f t="shared" si="8"/>
        <v>PremiumSS5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IFERROR(VLOOKUP(B143,input_491105!L:R,7,FALSE),VLOOKUP(tables_491105!C143,input_491105!A:H,8,FALSE))</f>
        <v>284</v>
      </c>
      <c r="P143" s="46">
        <f t="shared" ca="1" si="10"/>
        <v>2.1739130434982297E-5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input_491105!A$2</f>
        <v>491105</v>
      </c>
      <c r="B144" s="6">
        <v>326</v>
      </c>
      <c r="C144" s="7" t="str">
        <f t="shared" si="8"/>
        <v>PremiumSS4color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IFERROR(VLOOKUP(B144,input_491105!L:R,7,FALSE),VLOOKUP(tables_491105!C144,input_491105!A:H,8,FALSE))</f>
        <v>21901.411759999999</v>
      </c>
      <c r="P144" s="46">
        <f t="shared" ca="1" si="10"/>
        <v>1.6764705878904759E-3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input_491105!A$2</f>
        <v>491105</v>
      </c>
      <c r="B145" s="6">
        <v>327</v>
      </c>
      <c r="C145" s="7" t="str">
        <f t="shared" si="8"/>
        <v>PremiumSS5color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IFERROR(VLOOKUP(B145,input_491105!L:R,7,FALSE),VLOOKUP(tables_491105!C145,input_491105!A:H,8,FALSE))</f>
        <v>1152.70588</v>
      </c>
      <c r="P145" s="46">
        <f t="shared" ca="1" si="10"/>
        <v>8.823529393834877E-5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input_491105!A$2</f>
        <v>491105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IFERROR(VLOOKUP(B146,input_491105!L:R,7,FALSE),VLOOKUP(tables_491105!C146,input_491105!A:H,8,FALSE))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input_491105!A$2</f>
        <v>491105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IFERROR(VLOOKUP(B147,input_491105!L:R,7,FALSE),VLOOKUP(tables_491105!C147,input_491105!A:H,8,FALSE))</f>
        <v>59095.232819999997</v>
      </c>
      <c r="P147" s="46">
        <f t="shared" ca="1" si="10"/>
        <v>4.523517515350798E-3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input_491105!A$2</f>
        <v>491105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IFERROR(VLOOKUP(B148,input_491105!L:R,7,FALSE),VLOOKUP(tables_491105!C148,input_491105!A:H,8,FALSE))</f>
        <v>113.13641</v>
      </c>
      <c r="P148" s="46">
        <f t="shared" ca="1" si="10"/>
        <v>8.6601661054071661E-6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input_491105!A$2</f>
        <v>491105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IFERROR(VLOOKUP(B149,input_491105!L:R,7,FALSE),VLOOKUP(tables_491105!C149,input_491105!A:H,8,FALSE))</f>
        <v>5396</v>
      </c>
      <c r="P149" s="46">
        <f t="shared" ca="1" si="10"/>
        <v>4.1304347826466364E-4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input_491105!A$2</f>
        <v>491105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IFERROR(VLOOKUP(B150,input_491105!L:R,7,FALSE),VLOOKUP(tables_491105!C150,input_491105!A:H,8,FALSE))</f>
        <v>284</v>
      </c>
      <c r="P150" s="46">
        <f t="shared" ca="1" si="10"/>
        <v>2.1739130434982297E-5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input_491105!A$2</f>
        <v>491105</v>
      </c>
      <c r="B151" s="6">
        <v>385</v>
      </c>
      <c r="C151" s="7" t="str">
        <f t="shared" si="8"/>
        <v>PremiumSS4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IFERROR(VLOOKUP(B151,input_491105!L:R,7,FALSE),VLOOKUP(tables_491105!C151,input_491105!A:H,8,FALSE))</f>
        <v>5396</v>
      </c>
      <c r="P151" s="46">
        <f t="shared" ca="1" si="10"/>
        <v>4.1304347826466364E-4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input_491105!A$2</f>
        <v>491105</v>
      </c>
      <c r="B152" s="6">
        <v>386</v>
      </c>
      <c r="C152" s="7" t="str">
        <f t="shared" si="8"/>
        <v>PremiumSS5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IFERROR(VLOOKUP(B152,input_491105!L:R,7,FALSE),VLOOKUP(tables_491105!C152,input_491105!A:H,8,FALSE))</f>
        <v>284</v>
      </c>
      <c r="P152" s="46">
        <f t="shared" ca="1" si="10"/>
        <v>2.1739130434982297E-5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input_491105!A$2</f>
        <v>491105</v>
      </c>
      <c r="B153" s="6">
        <v>387</v>
      </c>
      <c r="C153" s="7" t="str">
        <f t="shared" si="8"/>
        <v>Premium3color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IFERROR(VLOOKUP(B153,input_491105!L:R,7,FALSE),VLOOKUP(tables_491105!C153,input_491105!A:H,8,FALSE))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input_491105!A$2</f>
        <v>491105</v>
      </c>
      <c r="B154" s="6">
        <v>388</v>
      </c>
      <c r="C154" s="7" t="str">
        <f t="shared" si="8"/>
        <v>Premium4color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IFERROR(VLOOKUP(B154,input_491105!L:R,7,FALSE),VLOOKUP(tables_491105!C154,input_491105!A:H,8,FALSE))</f>
        <v>337474.65632000001</v>
      </c>
      <c r="P154" s="46">
        <f t="shared" ca="1" si="10"/>
        <v>2.5832413986765151E-2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input_491105!A$2</f>
        <v>491105</v>
      </c>
      <c r="B155" s="6">
        <v>389</v>
      </c>
      <c r="C155" s="7" t="str">
        <f t="shared" si="8"/>
        <v>Premium5color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IFERROR(VLOOKUP(B155,input_491105!L:R,7,FALSE),VLOOKUP(tables_491105!C155,input_491105!A:H,8,FALSE))</f>
        <v>3824.6275999999998</v>
      </c>
      <c r="P155" s="46">
        <f t="shared" ca="1" si="10"/>
        <v>2.9276083894941301E-4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input_491105!A$2</f>
        <v>491105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IFERROR(VLOOKUP(B156,input_491105!L:R,7,FALSE),VLOOKUP(tables_491105!C156,input_491105!A:H,8,FALSE))</f>
        <v>5396</v>
      </c>
      <c r="P156" s="46">
        <f t="shared" ca="1" si="10"/>
        <v>4.1304347826466364E-4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input_491105!A$2</f>
        <v>491105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IFERROR(VLOOKUP(B157,input_491105!L:R,7,FALSE),VLOOKUP(tables_491105!C157,input_491105!A:H,8,FALSE))</f>
        <v>284</v>
      </c>
      <c r="P157" s="46">
        <f t="shared" ca="1" si="10"/>
        <v>2.1739130434982297E-5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input_491105!A$2</f>
        <v>491105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IFERROR(VLOOKUP(B158,input_491105!L:R,7,FALSE),VLOOKUP(tables_491105!C158,input_491105!A:H,8,FALSE))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input_491105!A$2</f>
        <v>491105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IFERROR(VLOOKUP(B159,input_491105!L:R,7,FALSE),VLOOKUP(tables_491105!C159,input_491105!A:H,8,FALSE))</f>
        <v>59095.232819999997</v>
      </c>
      <c r="P159" s="46">
        <f t="shared" ca="1" si="10"/>
        <v>4.523517515350798E-3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input_491105!A$2</f>
        <v>491105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IFERROR(VLOOKUP(B160,input_491105!L:R,7,FALSE),VLOOKUP(tables_491105!C160,input_491105!A:H,8,FALSE))</f>
        <v>113.13641</v>
      </c>
      <c r="P160" s="46">
        <f t="shared" ca="1" si="10"/>
        <v>8.6601661054071661E-6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input_491105!A$2</f>
        <v>491105</v>
      </c>
      <c r="B161" s="6">
        <v>395</v>
      </c>
      <c r="C161" s="7" t="str">
        <f t="shared" si="8"/>
        <v>Premium3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IFERROR(VLOOKUP(B161,input_491105!L:R,7,FALSE),VLOOKUP(tables_491105!C161,input_491105!A:H,8,FALSE))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input_491105!A$2</f>
        <v>491105</v>
      </c>
      <c r="B162" s="6">
        <v>396</v>
      </c>
      <c r="C162" s="7" t="str">
        <f t="shared" si="8"/>
        <v>Premium4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IFERROR(VLOOKUP(B162,input_491105!L:R,7,FALSE),VLOOKUP(tables_491105!C162,input_491105!A:H,8,FALSE))</f>
        <v>59095.232819999997</v>
      </c>
      <c r="P162" s="46">
        <f t="shared" ca="1" si="10"/>
        <v>4.523517515350798E-3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input_491105!A$2</f>
        <v>491105</v>
      </c>
      <c r="B163" s="6">
        <v>397</v>
      </c>
      <c r="C163" s="7" t="str">
        <f t="shared" si="8"/>
        <v>Premium5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IFERROR(VLOOKUP(B163,input_491105!L:R,7,FALSE),VLOOKUP(tables_491105!C163,input_491105!A:H,8,FALSE))</f>
        <v>113.13641</v>
      </c>
      <c r="P163" s="46">
        <f t="shared" ca="1" si="10"/>
        <v>8.6601661054071661E-6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input_491105!A$2</f>
        <v>491105</v>
      </c>
      <c r="B164" s="6">
        <v>398</v>
      </c>
      <c r="C164" s="7" t="str">
        <f t="shared" si="8"/>
        <v>PremiumSS4color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IFERROR(VLOOKUP(B164,input_491105!L:R,7,FALSE),VLOOKUP(tables_491105!C164,input_491105!A:H,8,FALSE))</f>
        <v>21901.411759999999</v>
      </c>
      <c r="P164" s="46">
        <f t="shared" ca="1" si="10"/>
        <v>1.6764705878904759E-3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input_491105!A$2</f>
        <v>491105</v>
      </c>
      <c r="B165" s="6">
        <v>399</v>
      </c>
      <c r="C165" s="7" t="str">
        <f t="shared" si="8"/>
        <v>PremiumSS5color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IFERROR(VLOOKUP(B165,input_491105!L:R,7,FALSE),VLOOKUP(tables_491105!C165,input_491105!A:H,8,FALSE))</f>
        <v>1152.70588</v>
      </c>
      <c r="P165" s="46">
        <f t="shared" ca="1" si="10"/>
        <v>8.823529393834877E-5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input_491105!A$2</f>
        <v>491105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IFERROR(VLOOKUP(B166,input_491105!L:R,7,FALSE),VLOOKUP(tables_491105!C166,input_491105!A:H,8,FALSE))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input_491105!A$2</f>
        <v>491105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IFERROR(VLOOKUP(B167,input_491105!L:R,7,FALSE),VLOOKUP(tables_491105!C167,input_491105!A:H,8,FALSE))</f>
        <v>59095.232819999997</v>
      </c>
      <c r="P167" s="46">
        <f t="shared" ca="1" si="10"/>
        <v>4.523517515350798E-3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input_491105!A$2</f>
        <v>491105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IFERROR(VLOOKUP(B168,input_491105!L:R,7,FALSE),VLOOKUP(tables_491105!C168,input_491105!A:H,8,FALSE))</f>
        <v>113.13641</v>
      </c>
      <c r="P168" s="46">
        <f t="shared" ca="1" si="10"/>
        <v>8.6601661054071661E-6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input_491105!A$2</f>
        <v>491105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IFERROR(VLOOKUP(B169,input_491105!L:R,7,FALSE),VLOOKUP(tables_491105!C169,input_491105!A:H,8,FALSE))</f>
        <v>5396</v>
      </c>
      <c r="P169" s="46">
        <f t="shared" ca="1" si="10"/>
        <v>4.1304347826466364E-4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input_491105!A$2</f>
        <v>491105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IFERROR(VLOOKUP(B170,input_491105!L:R,7,FALSE),VLOOKUP(tables_491105!C170,input_491105!A:H,8,FALSE))</f>
        <v>284</v>
      </c>
      <c r="P170" s="46">
        <f t="shared" ca="1" si="10"/>
        <v>2.1739130434982297E-5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input_491105!A$2</f>
        <v>491105</v>
      </c>
      <c r="B171" s="6">
        <v>405</v>
      </c>
      <c r="C171" s="7" t="str">
        <f t="shared" si="8"/>
        <v>Premium3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IFERROR(VLOOKUP(B171,input_491105!L:R,7,FALSE),VLOOKUP(tables_491105!C171,input_491105!A:H,8,FALSE))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input_491105!A$2</f>
        <v>491105</v>
      </c>
      <c r="B172" s="6">
        <v>406</v>
      </c>
      <c r="C172" s="7" t="str">
        <f t="shared" si="8"/>
        <v>Premium4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IFERROR(VLOOKUP(B172,input_491105!L:R,7,FALSE),VLOOKUP(tables_491105!C172,input_491105!A:H,8,FALSE))</f>
        <v>59095.232819999997</v>
      </c>
      <c r="P172" s="46">
        <f t="shared" ca="1" si="10"/>
        <v>4.523517515350798E-3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input_491105!A$2</f>
        <v>491105</v>
      </c>
      <c r="B173" s="6">
        <v>407</v>
      </c>
      <c r="C173" s="7" t="str">
        <f t="shared" si="8"/>
        <v>Premium5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IFERROR(VLOOKUP(B173,input_491105!L:R,7,FALSE),VLOOKUP(tables_491105!C173,input_491105!A:H,8,FALSE))</f>
        <v>113.13641</v>
      </c>
      <c r="P173" s="46">
        <f t="shared" ca="1" si="10"/>
        <v>8.6601661054071661E-6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input_491105!A$2</f>
        <v>491105</v>
      </c>
      <c r="B174" s="6">
        <v>408</v>
      </c>
      <c r="C174" s="7" t="str">
        <f t="shared" si="8"/>
        <v>PremiumSS4color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IFERROR(VLOOKUP(B174,input_491105!L:R,7,FALSE),VLOOKUP(tables_491105!C174,input_491105!A:H,8,FALSE))</f>
        <v>21901.411759999999</v>
      </c>
      <c r="P174" s="46">
        <f t="shared" ca="1" si="10"/>
        <v>1.6764705878904759E-3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input_491105!A$2</f>
        <v>491105</v>
      </c>
      <c r="B175" s="6">
        <v>409</v>
      </c>
      <c r="C175" s="7" t="str">
        <f t="shared" si="8"/>
        <v>PremiumSS5color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IFERROR(VLOOKUP(B175,input_491105!L:R,7,FALSE),VLOOKUP(tables_491105!C175,input_491105!A:H,8,FALSE))</f>
        <v>1152.70588</v>
      </c>
      <c r="P175" s="46">
        <f t="shared" ca="1" si="10"/>
        <v>8.823529393834877E-5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input_491105!A$2</f>
        <v>491105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IFERROR(VLOOKUP(B176,input_491105!L:R,7,FALSE),VLOOKUP(tables_491105!C176,input_491105!A:H,8,FALSE))</f>
        <v>5396</v>
      </c>
      <c r="P176" s="46">
        <f t="shared" ca="1" si="10"/>
        <v>4.1304347826466364E-4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input_491105!A$2</f>
        <v>491105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IFERROR(VLOOKUP(B177,input_491105!L:R,7,FALSE),VLOOKUP(tables_491105!C177,input_491105!A:H,8,FALSE))</f>
        <v>284</v>
      </c>
      <c r="P177" s="46">
        <f t="shared" ca="1" si="10"/>
        <v>2.1739130434982297E-5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input_491105!A$2</f>
        <v>491105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IFERROR(VLOOKUP(B178,input_491105!L:R,7,FALSE),VLOOKUP(tables_491105!C178,input_491105!A:H,8,FALSE))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input_491105!A$2</f>
        <v>491105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IFERROR(VLOOKUP(B179,input_491105!L:R,7,FALSE),VLOOKUP(tables_491105!C179,input_491105!A:H,8,FALSE))</f>
        <v>59095.232819999997</v>
      </c>
      <c r="P179" s="46">
        <f t="shared" ca="1" si="10"/>
        <v>4.523517515350798E-3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input_491105!A$2</f>
        <v>491105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IFERROR(VLOOKUP(B180,input_491105!L:R,7,FALSE),VLOOKUP(tables_491105!C180,input_491105!A:H,8,FALSE))</f>
        <v>113.13641</v>
      </c>
      <c r="P180" s="46">
        <f t="shared" ca="1" si="10"/>
        <v>8.6601661054071661E-6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input_491105!A$2</f>
        <v>491105</v>
      </c>
      <c r="B181" s="6">
        <v>439</v>
      </c>
      <c r="C181" s="7" t="str">
        <f t="shared" si="8"/>
        <v>Premium3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IFERROR(VLOOKUP(B181,input_491105!L:R,7,FALSE),VLOOKUP(tables_491105!C181,input_491105!A:H,8,FALSE))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input_491105!A$2</f>
        <v>491105</v>
      </c>
      <c r="B182" s="6">
        <v>440</v>
      </c>
      <c r="C182" s="7" t="str">
        <f t="shared" si="8"/>
        <v>Premium4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IFERROR(VLOOKUP(B182,input_491105!L:R,7,FALSE),VLOOKUP(tables_491105!C182,input_491105!A:H,8,FALSE))</f>
        <v>59095.232819999997</v>
      </c>
      <c r="P182" s="46">
        <f t="shared" ca="1" si="10"/>
        <v>4.523517515350798E-3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input_491105!A$2</f>
        <v>491105</v>
      </c>
      <c r="B183" s="6">
        <v>441</v>
      </c>
      <c r="C183" s="7" t="str">
        <f t="shared" si="8"/>
        <v>Premium5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IFERROR(VLOOKUP(B183,input_491105!L:R,7,FALSE),VLOOKUP(tables_491105!C183,input_491105!A:H,8,FALSE))</f>
        <v>113.13641</v>
      </c>
      <c r="P183" s="46">
        <f t="shared" ca="1" si="10"/>
        <v>8.6601661054071661E-6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input_491105!A$2</f>
        <v>491105</v>
      </c>
      <c r="B184" s="6">
        <v>442</v>
      </c>
      <c r="C184" s="7" t="str">
        <f t="shared" si="8"/>
        <v>PremiumSS4color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IFERROR(VLOOKUP(B184,input_491105!L:R,7,FALSE),VLOOKUP(tables_491105!C184,input_491105!A:H,8,FALSE))</f>
        <v>21901.411759999999</v>
      </c>
      <c r="P184" s="46">
        <f t="shared" ca="1" si="10"/>
        <v>1.6764705878904759E-3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input_491105!A$2</f>
        <v>491105</v>
      </c>
      <c r="B185" s="8">
        <v>443</v>
      </c>
      <c r="C185" s="7" t="str">
        <f t="shared" si="8"/>
        <v>PremiumSS5color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IFERROR(VLOOKUP(B185,input_491105!L:R,7,FALSE),VLOOKUP(tables_491105!C185,input_491105!A:H,8,FALSE))</f>
        <v>1152.70588</v>
      </c>
      <c r="P185" s="46">
        <f t="shared" ca="1" si="10"/>
        <v>8.823529393834877E-5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input_491105!A$2</f>
        <v>491105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IFERROR(VLOOKUP(B186,input_491105!L:R,7,FALSE),VLOOKUP(tables_491105!C186,input_491105!A:H,8,FALSE))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input_491105!A$2</f>
        <v>491105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IFERROR(VLOOKUP(B187,input_491105!L:R,7,FALSE),VLOOKUP(tables_491105!C187,input_491105!A:H,8,FALSE))</f>
        <v>59095.232819999997</v>
      </c>
      <c r="P187" s="46">
        <f t="shared" ca="1" si="10"/>
        <v>4.523517515350798E-3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input_491105!A$2</f>
        <v>491105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IFERROR(VLOOKUP(B188,input_491105!L:R,7,FALSE),VLOOKUP(tables_491105!C188,input_491105!A:H,8,FALSE))</f>
        <v>113.13641</v>
      </c>
      <c r="P188" s="46">
        <f t="shared" ca="1" si="10"/>
        <v>8.6601661054071661E-6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input_491105!A$2</f>
        <v>491105</v>
      </c>
      <c r="B189" s="6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IFERROR(VLOOKUP(B189,input_491105!L:R,7,FALSE),VLOOKUP(tables_491105!C189,input_491105!A:H,8,FALSE))</f>
        <v>5396</v>
      </c>
      <c r="P189" s="46">
        <f t="shared" ca="1" si="10"/>
        <v>4.1304347826466364E-4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input_491105!A$2</f>
        <v>491105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IFERROR(VLOOKUP(B190,input_491105!L:R,7,FALSE),VLOOKUP(tables_491105!C190,input_491105!A:H,8,FALSE))</f>
        <v>284</v>
      </c>
      <c r="P190" s="46">
        <f t="shared" ca="1" si="10"/>
        <v>2.1739130434982297E-5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input_491105!A$2</f>
        <v>491105</v>
      </c>
      <c r="B191" s="6">
        <v>467</v>
      </c>
      <c r="C191" s="7" t="str">
        <f t="shared" si="8"/>
        <v>PremiumSS4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IFERROR(VLOOKUP(B191,input_491105!L:R,7,FALSE),VLOOKUP(tables_491105!C191,input_491105!A:H,8,FALSE))</f>
        <v>5396</v>
      </c>
      <c r="P191" s="46">
        <f t="shared" ca="1" si="10"/>
        <v>4.1304347826466364E-4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input_491105!A$2</f>
        <v>491105</v>
      </c>
      <c r="B192" s="6">
        <v>468</v>
      </c>
      <c r="C192" s="7" t="str">
        <f t="shared" si="8"/>
        <v>PremiumSS5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IFERROR(VLOOKUP(B192,input_491105!L:R,7,FALSE),VLOOKUP(tables_491105!C192,input_491105!A:H,8,FALSE))</f>
        <v>284</v>
      </c>
      <c r="P192" s="46">
        <f t="shared" ca="1" si="10"/>
        <v>2.1739130434982297E-5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input_491105!A$2</f>
        <v>491105</v>
      </c>
      <c r="B193" s="6">
        <v>469</v>
      </c>
      <c r="C193" s="7" t="str">
        <f t="shared" si="8"/>
        <v>Premium3color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IFERROR(VLOOKUP(B193,input_491105!L:R,7,FALSE),VLOOKUP(tables_491105!C193,input_491105!A:H,8,FALSE))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input_491105!A$2</f>
        <v>491105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IF(K194="yellow","color","")</f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IFERROR(VLOOKUP(B194,input_491105!L:R,7,FALSE),VLOOKUP(tables_491105!C194,input_491105!A:H,8,FALSE))</f>
        <v>337474.65632000001</v>
      </c>
      <c r="P194" s="46">
        <f t="shared" ref="P194:P257" ca="1" si="14">O194/SUM(O:O)</f>
        <v>2.5832413986765151E-2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input_491105!A$2</f>
        <v>491105</v>
      </c>
      <c r="B195" s="6">
        <v>471</v>
      </c>
      <c r="C195" s="7" t="str">
        <f t="shared" si="12"/>
        <v>Premium5color</v>
      </c>
      <c r="D195" s="7" t="str">
        <f t="shared" ref="D195:D258" si="15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IFERROR(VLOOKUP(B195,input_491105!L:R,7,FALSE),VLOOKUP(tables_491105!C195,input_491105!A:H,8,FALSE))</f>
        <v>3824.6275999999998</v>
      </c>
      <c r="P195" s="46">
        <f t="shared" ca="1" si="14"/>
        <v>2.9276083894941301E-4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input_491105!A$2</f>
        <v>491105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IFERROR(VLOOKUP(B196,input_491105!L:R,7,FALSE),VLOOKUP(tables_491105!C196,input_491105!A:H,8,FALSE))</f>
        <v>5396</v>
      </c>
      <c r="P196" s="46">
        <f t="shared" ca="1" si="14"/>
        <v>4.1304347826466364E-4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input_491105!A$2</f>
        <v>491105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IFERROR(VLOOKUP(B197,input_491105!L:R,7,FALSE),VLOOKUP(tables_491105!C197,input_491105!A:H,8,FALSE))</f>
        <v>284</v>
      </c>
      <c r="P197" s="46">
        <f t="shared" ca="1" si="14"/>
        <v>2.1739130434982297E-5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input_491105!A$2</f>
        <v>491105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IFERROR(VLOOKUP(B198,input_491105!L:R,7,FALSE),VLOOKUP(tables_491105!C198,input_491105!A:H,8,FALSE))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input_491105!A$2</f>
        <v>491105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IFERROR(VLOOKUP(B199,input_491105!L:R,7,FALSE),VLOOKUP(tables_491105!C199,input_491105!A:H,8,FALSE))</f>
        <v>59095.232819999997</v>
      </c>
      <c r="P199" s="46">
        <f t="shared" ca="1" si="14"/>
        <v>4.523517515350798E-3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input_491105!A$2</f>
        <v>491105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IFERROR(VLOOKUP(B200,input_491105!L:R,7,FALSE),VLOOKUP(tables_491105!C200,input_491105!A:H,8,FALSE))</f>
        <v>113.13641</v>
      </c>
      <c r="P200" s="46">
        <f t="shared" ca="1" si="14"/>
        <v>8.6601661054071661E-6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input_491105!A$2</f>
        <v>491105</v>
      </c>
      <c r="B201" s="6">
        <v>479</v>
      </c>
      <c r="C201" s="7" t="str">
        <f t="shared" si="12"/>
        <v>PremiumSS4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IFERROR(VLOOKUP(B201,input_491105!L:R,7,FALSE),VLOOKUP(tables_491105!C201,input_491105!A:H,8,FALSE))</f>
        <v>5396</v>
      </c>
      <c r="P201" s="46">
        <f t="shared" ca="1" si="14"/>
        <v>4.1304347826466364E-4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input_491105!A$2</f>
        <v>491105</v>
      </c>
      <c r="B202" s="6">
        <v>480</v>
      </c>
      <c r="C202" s="7" t="str">
        <f t="shared" si="12"/>
        <v>PremiumSS5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IFERROR(VLOOKUP(B202,input_491105!L:R,7,FALSE),VLOOKUP(tables_491105!C202,input_491105!A:H,8,FALSE))</f>
        <v>284</v>
      </c>
      <c r="P202" s="46">
        <f t="shared" ca="1" si="14"/>
        <v>2.1739130434982297E-5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input_491105!A$2</f>
        <v>491105</v>
      </c>
      <c r="B203" s="6">
        <v>481</v>
      </c>
      <c r="C203" s="7" t="str">
        <f t="shared" si="12"/>
        <v>Premium3color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IFERROR(VLOOKUP(B203,input_491105!L:R,7,FALSE),VLOOKUP(tables_491105!C203,input_491105!A:H,8,FALSE))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input_491105!A$2</f>
        <v>491105</v>
      </c>
      <c r="B204" s="6">
        <v>482</v>
      </c>
      <c r="C204" s="7" t="str">
        <f t="shared" si="12"/>
        <v>Premium4color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IFERROR(VLOOKUP(B204,input_491105!L:R,7,FALSE),VLOOKUP(tables_491105!C204,input_491105!A:H,8,FALSE))</f>
        <v>337474.65632000001</v>
      </c>
      <c r="P204" s="46">
        <f t="shared" ca="1" si="14"/>
        <v>2.5832413986765151E-2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input_491105!A$2</f>
        <v>491105</v>
      </c>
      <c r="B205" s="6">
        <v>483</v>
      </c>
      <c r="C205" s="7" t="str">
        <f t="shared" si="12"/>
        <v>Premium5color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IFERROR(VLOOKUP(B205,input_491105!L:R,7,FALSE),VLOOKUP(tables_491105!C205,input_491105!A:H,8,FALSE))</f>
        <v>3824.6275999999998</v>
      </c>
      <c r="P205" s="46">
        <f t="shared" ca="1" si="14"/>
        <v>2.9276083894941301E-4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input_491105!A$2</f>
        <v>491105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IFERROR(VLOOKUP(B206,input_491105!L:R,7,FALSE),VLOOKUP(tables_491105!C206,input_491105!A:H,8,FALSE))</f>
        <v>5396</v>
      </c>
      <c r="P206" s="46">
        <f t="shared" ca="1" si="14"/>
        <v>4.1304347826466364E-4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input_491105!A$2</f>
        <v>491105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IFERROR(VLOOKUP(B207,input_491105!L:R,7,FALSE),VLOOKUP(tables_491105!C207,input_491105!A:H,8,FALSE))</f>
        <v>284</v>
      </c>
      <c r="P207" s="46">
        <f t="shared" ca="1" si="14"/>
        <v>2.1739130434982297E-5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input_491105!A$2</f>
        <v>491105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IFERROR(VLOOKUP(B208,input_491105!L:R,7,FALSE),VLOOKUP(tables_491105!C208,input_491105!A:H,8,FALSE))</f>
        <v>5396</v>
      </c>
      <c r="P208" s="46">
        <f t="shared" ca="1" si="14"/>
        <v>4.1304347826466364E-4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input_491105!A$2</f>
        <v>491105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IFERROR(VLOOKUP(B209,input_491105!L:R,7,FALSE),VLOOKUP(tables_491105!C209,input_491105!A:H,8,FALSE))</f>
        <v>284</v>
      </c>
      <c r="P209" s="46">
        <f t="shared" ca="1" si="14"/>
        <v>2.1739130434982297E-5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input_491105!A$2</f>
        <v>491105</v>
      </c>
      <c r="B210" s="6">
        <v>496</v>
      </c>
      <c r="C210" s="7" t="str">
        <f t="shared" si="12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IFERROR(VLOOKUP(B210,input_491105!L:R,7,FALSE),VLOOKUP(tables_491105!C210,input_491105!A:H,8,FALSE))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input_491105!A$2</f>
        <v>491105</v>
      </c>
      <c r="B211" s="6">
        <v>497</v>
      </c>
      <c r="C211" s="7" t="str">
        <f t="shared" si="12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IFERROR(VLOOKUP(B211,input_491105!L:R,7,FALSE),VLOOKUP(tables_491105!C211,input_491105!A:H,8,FALSE))</f>
        <v>59095.232819999997</v>
      </c>
      <c r="P211" s="46">
        <f t="shared" ca="1" si="14"/>
        <v>4.523517515350798E-3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input_491105!A$2</f>
        <v>491105</v>
      </c>
      <c r="B212" s="6">
        <v>498</v>
      </c>
      <c r="C212" s="7" t="str">
        <f t="shared" si="12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IFERROR(VLOOKUP(B212,input_491105!L:R,7,FALSE),VLOOKUP(tables_491105!C212,input_491105!A:H,8,FALSE))</f>
        <v>113.13641</v>
      </c>
      <c r="P212" s="46">
        <f t="shared" ca="1" si="14"/>
        <v>8.6601661054071661E-6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input_491105!A$2</f>
        <v>491105</v>
      </c>
      <c r="B213" s="6">
        <v>499</v>
      </c>
      <c r="C213" s="7" t="str">
        <f t="shared" si="12"/>
        <v>PremiumSS4color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IFERROR(VLOOKUP(B213,input_491105!L:R,7,FALSE),VLOOKUP(tables_491105!C213,input_491105!A:H,8,FALSE))</f>
        <v>21901.411759999999</v>
      </c>
      <c r="P213" s="46">
        <f t="shared" ca="1" si="14"/>
        <v>1.6764705878904759E-3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input_491105!A$2</f>
        <v>491105</v>
      </c>
      <c r="B214" s="6">
        <v>500</v>
      </c>
      <c r="C214" s="7" t="str">
        <f t="shared" si="12"/>
        <v>PremiumSS5color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IFERROR(VLOOKUP(B214,input_491105!L:R,7,FALSE),VLOOKUP(tables_491105!C214,input_491105!A:H,8,FALSE))</f>
        <v>1152.70588</v>
      </c>
      <c r="P214" s="46">
        <f t="shared" ca="1" si="14"/>
        <v>8.823529393834877E-5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input_491105!A$2</f>
        <v>491105</v>
      </c>
      <c r="B215" s="6">
        <v>560</v>
      </c>
      <c r="C215" s="7" t="str">
        <f t="shared" si="12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IFERROR(VLOOKUP(B215,input_491105!L:R,7,FALSE),VLOOKUP(tables_491105!C215,input_491105!A:H,8,FALSE))</f>
        <v>3462.88</v>
      </c>
      <c r="P215" s="46">
        <f t="shared" ca="1" si="14"/>
        <v>2.650704225376461E-4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input_491105!A$2</f>
        <v>491105</v>
      </c>
      <c r="B216" s="6">
        <v>561</v>
      </c>
      <c r="C216" s="7" t="str">
        <f t="shared" si="12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IFERROR(VLOOKUP(B216,input_491105!L:R,7,FALSE),VLOOKUP(tables_491105!C216,input_491105!A:H,8,FALSE))</f>
        <v>3462.88</v>
      </c>
      <c r="P216" s="46">
        <f t="shared" ca="1" si="14"/>
        <v>2.650704225376461E-4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input_491105!A$2</f>
        <v>491105</v>
      </c>
      <c r="B217" s="6">
        <v>562</v>
      </c>
      <c r="C217" s="7" t="str">
        <f t="shared" si="12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IFERROR(VLOOKUP(B217,input_491105!L:R,7,FALSE),VLOOKUP(tables_491105!C217,input_491105!A:H,8,FALSE))</f>
        <v>3462.88</v>
      </c>
      <c r="P217" s="46">
        <f t="shared" ca="1" si="14"/>
        <v>2.650704225376461E-4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input_491105!A$2</f>
        <v>491105</v>
      </c>
      <c r="B218" s="6">
        <v>563</v>
      </c>
      <c r="C218" s="7" t="str">
        <f t="shared" si="12"/>
        <v>premium5R3lesscolor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3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IFERROR(VLOOKUP(B218,input_491105!L:R,7,FALSE),VLOOKUP(tables_491105!C218,input_491105!A:H,8,FALSE))</f>
        <v>1086.6872699999999</v>
      </c>
      <c r="P218" s="46">
        <f t="shared" ca="1" si="14"/>
        <v>8.3181817973819797E-5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input_491105!A$2</f>
        <v>491105</v>
      </c>
      <c r="B219" s="6">
        <v>566</v>
      </c>
      <c r="C219" s="7" t="str">
        <f t="shared" si="12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IFERROR(VLOOKUP(B219,input_491105!L:R,7,FALSE),VLOOKUP(tables_491105!C219,input_491105!A:H,8,FALSE))</f>
        <v>3462.88</v>
      </c>
      <c r="P219" s="46">
        <f t="shared" ca="1" si="14"/>
        <v>2.650704225376461E-4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input_491105!A$2</f>
        <v>491105</v>
      </c>
      <c r="B220" s="6">
        <v>567</v>
      </c>
      <c r="C220" s="7" t="str">
        <f t="shared" si="12"/>
        <v>premium5R3lesscolor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IFERROR(VLOOKUP(B220,input_491105!L:R,7,FALSE),VLOOKUP(tables_491105!C220,input_491105!A:H,8,FALSE))</f>
        <v>1086.6872699999999</v>
      </c>
      <c r="P220" s="46">
        <f t="shared" ca="1" si="14"/>
        <v>8.3181817973819797E-5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input_491105!A$2</f>
        <v>491105</v>
      </c>
      <c r="B221" s="6">
        <v>586</v>
      </c>
      <c r="C221" s="7" t="str">
        <f t="shared" si="12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IFERROR(VLOOKUP(B221,input_491105!L:R,7,FALSE),VLOOKUP(tables_491105!C221,input_491105!A:H,8,FALSE))</f>
        <v>5396</v>
      </c>
      <c r="P221" s="46">
        <f t="shared" ca="1" si="14"/>
        <v>4.1304347826466364E-4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input_491105!A$2</f>
        <v>491105</v>
      </c>
      <c r="B222" s="6">
        <v>587</v>
      </c>
      <c r="C222" s="7" t="str">
        <f t="shared" si="12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IFERROR(VLOOKUP(B222,input_491105!L:R,7,FALSE),VLOOKUP(tables_491105!C222,input_491105!A:H,8,FALSE))</f>
        <v>284</v>
      </c>
      <c r="P222" s="46">
        <f t="shared" ca="1" si="14"/>
        <v>2.1739130434982297E-5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input_491105!A$2</f>
        <v>491105</v>
      </c>
      <c r="B223" s="6">
        <v>588</v>
      </c>
      <c r="C223" s="7" t="str">
        <f t="shared" si="12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IFERROR(VLOOKUP(B223,input_491105!L:R,7,FALSE),VLOOKUP(tables_491105!C223,input_491105!A:H,8,FALSE))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input_491105!A$2</f>
        <v>491105</v>
      </c>
      <c r="B224" s="6">
        <v>589</v>
      </c>
      <c r="C224" s="7" t="str">
        <f t="shared" si="12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IFERROR(VLOOKUP(B224,input_491105!L:R,7,FALSE),VLOOKUP(tables_491105!C224,input_491105!A:H,8,FALSE))</f>
        <v>59095.232819999997</v>
      </c>
      <c r="P224" s="46">
        <f t="shared" ca="1" si="14"/>
        <v>4.523517515350798E-3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input_491105!A$2</f>
        <v>491105</v>
      </c>
      <c r="B225" s="6">
        <v>590</v>
      </c>
      <c r="C225" s="7" t="str">
        <f t="shared" si="12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IFERROR(VLOOKUP(B225,input_491105!L:R,7,FALSE),VLOOKUP(tables_491105!C225,input_491105!A:H,8,FALSE))</f>
        <v>113.13641</v>
      </c>
      <c r="P225" s="46">
        <f t="shared" ca="1" si="14"/>
        <v>8.6601661054071661E-6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input_491105!A$2</f>
        <v>491105</v>
      </c>
      <c r="B226" s="6">
        <v>591</v>
      </c>
      <c r="C226" s="7" t="str">
        <f t="shared" si="12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IFERROR(VLOOKUP(B226,input_491105!L:R,7,FALSE),VLOOKUP(tables_491105!C226,input_491105!A:H,8,FALSE))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input_491105!A$2</f>
        <v>491105</v>
      </c>
      <c r="B227" s="6">
        <v>592</v>
      </c>
      <c r="C227" s="7" t="str">
        <f t="shared" si="12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IFERROR(VLOOKUP(B227,input_491105!L:R,7,FALSE),VLOOKUP(tables_491105!C227,input_491105!A:H,8,FALSE))</f>
        <v>59095.232819999997</v>
      </c>
      <c r="P227" s="46">
        <f t="shared" ca="1" si="14"/>
        <v>4.523517515350798E-3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input_491105!A$2</f>
        <v>491105</v>
      </c>
      <c r="B228" s="6">
        <v>593</v>
      </c>
      <c r="C228" s="7" t="str">
        <f t="shared" si="12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IFERROR(VLOOKUP(B228,input_491105!L:R,7,FALSE),VLOOKUP(tables_491105!C228,input_491105!A:H,8,FALSE))</f>
        <v>113.13641</v>
      </c>
      <c r="P228" s="46">
        <f t="shared" ca="1" si="14"/>
        <v>8.6601661054071661E-6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input_491105!A$2</f>
        <v>491105</v>
      </c>
      <c r="B229" s="6">
        <v>594</v>
      </c>
      <c r="C229" s="7" t="str">
        <f t="shared" si="12"/>
        <v>PremiumSS4color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IFERROR(VLOOKUP(B229,input_491105!L:R,7,FALSE),VLOOKUP(tables_491105!C229,input_491105!A:H,8,FALSE))</f>
        <v>21901.411759999999</v>
      </c>
      <c r="P229" s="46">
        <f t="shared" ca="1" si="14"/>
        <v>1.6764705878904759E-3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input_491105!A$2</f>
        <v>491105</v>
      </c>
      <c r="B230" s="6">
        <v>595</v>
      </c>
      <c r="C230" s="7" t="str">
        <f t="shared" si="12"/>
        <v>PremiumSS5color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IFERROR(VLOOKUP(B230,input_491105!L:R,7,FALSE),VLOOKUP(tables_491105!C230,input_491105!A:H,8,FALSE))</f>
        <v>1152.70588</v>
      </c>
      <c r="P230" s="46">
        <f t="shared" ca="1" si="14"/>
        <v>8.823529393834877E-5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input_491105!A$2</f>
        <v>491105</v>
      </c>
      <c r="B231" s="6">
        <v>596</v>
      </c>
      <c r="C231" s="7" t="str">
        <f t="shared" si="12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IFERROR(VLOOKUP(B231,input_491105!L:R,7,FALSE),VLOOKUP(tables_491105!C231,input_491105!A:H,8,FALSE))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input_491105!A$2</f>
        <v>491105</v>
      </c>
      <c r="B232" s="6">
        <v>597</v>
      </c>
      <c r="C232" s="7" t="str">
        <f t="shared" si="12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IFERROR(VLOOKUP(B232,input_491105!L:R,7,FALSE),VLOOKUP(tables_491105!C232,input_491105!A:H,8,FALSE))</f>
        <v>59095.232819999997</v>
      </c>
      <c r="P232" s="46">
        <f t="shared" ca="1" si="14"/>
        <v>4.523517515350798E-3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input_491105!A$2</f>
        <v>491105</v>
      </c>
      <c r="B233" s="6">
        <v>598</v>
      </c>
      <c r="C233" s="7" t="str">
        <f t="shared" si="12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IFERROR(VLOOKUP(B233,input_491105!L:R,7,FALSE),VLOOKUP(tables_491105!C233,input_491105!A:H,8,FALSE))</f>
        <v>113.13641</v>
      </c>
      <c r="P233" s="46">
        <f t="shared" ca="1" si="14"/>
        <v>8.6601661054071661E-6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input_491105!A$2</f>
        <v>491105</v>
      </c>
      <c r="B234" s="6">
        <v>599</v>
      </c>
      <c r="C234" s="7" t="str">
        <f t="shared" si="12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IFERROR(VLOOKUP(B234,input_491105!L:R,7,FALSE),VLOOKUP(tables_491105!C234,input_491105!A:H,8,FALSE))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input_491105!A$2</f>
        <v>491105</v>
      </c>
      <c r="B235" s="6">
        <v>600</v>
      </c>
      <c r="C235" s="7" t="str">
        <f t="shared" si="12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IFERROR(VLOOKUP(B235,input_491105!L:R,7,FALSE),VLOOKUP(tables_491105!C235,input_491105!A:H,8,FALSE))</f>
        <v>59095.232819999997</v>
      </c>
      <c r="P235" s="46">
        <f t="shared" ca="1" si="14"/>
        <v>4.523517515350798E-3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input_491105!A$2</f>
        <v>491105</v>
      </c>
      <c r="B236" s="6">
        <v>601</v>
      </c>
      <c r="C236" s="7" t="str">
        <f t="shared" si="12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IFERROR(VLOOKUP(B236,input_491105!L:R,7,FALSE),VLOOKUP(tables_491105!C236,input_491105!A:H,8,FALSE))</f>
        <v>113.13641</v>
      </c>
      <c r="P236" s="46">
        <f t="shared" ca="1" si="14"/>
        <v>8.6601661054071661E-6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input_491105!A$2</f>
        <v>491105</v>
      </c>
      <c r="B237" s="6">
        <v>602</v>
      </c>
      <c r="C237" s="7" t="str">
        <f t="shared" si="12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IFERROR(VLOOKUP(B237,input_491105!L:R,7,FALSE),VLOOKUP(tables_491105!C237,input_491105!A:H,8,FALSE))</f>
        <v>5396</v>
      </c>
      <c r="P237" s="46">
        <f t="shared" ca="1" si="14"/>
        <v>4.1304347826466364E-4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input_491105!A$2</f>
        <v>491105</v>
      </c>
      <c r="B238" s="6">
        <v>603</v>
      </c>
      <c r="C238" s="7" t="str">
        <f t="shared" si="12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IFERROR(VLOOKUP(B238,input_491105!L:R,7,FALSE),VLOOKUP(tables_491105!C238,input_491105!A:H,8,FALSE))</f>
        <v>284</v>
      </c>
      <c r="P238" s="46">
        <f t="shared" ca="1" si="14"/>
        <v>2.1739130434982297E-5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input_491105!A$2</f>
        <v>491105</v>
      </c>
      <c r="B239" s="6">
        <v>604</v>
      </c>
      <c r="C239" s="7" t="str">
        <f t="shared" si="12"/>
        <v>Premium3color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IFERROR(VLOOKUP(B239,input_491105!L:R,7,FALSE),VLOOKUP(tables_491105!C239,input_491105!A:H,8,FALSE))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input_491105!A$2</f>
        <v>491105</v>
      </c>
      <c r="B240" s="6">
        <v>605</v>
      </c>
      <c r="C240" s="7" t="str">
        <f t="shared" si="12"/>
        <v>Premium4color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IFERROR(VLOOKUP(B240,input_491105!L:R,7,FALSE),VLOOKUP(tables_491105!C240,input_491105!A:H,8,FALSE))</f>
        <v>337474.65632000001</v>
      </c>
      <c r="P240" s="46">
        <f t="shared" ca="1" si="14"/>
        <v>2.5832413986765151E-2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input_491105!A$2</f>
        <v>491105</v>
      </c>
      <c r="B241" s="6">
        <v>606</v>
      </c>
      <c r="C241" s="7" t="str">
        <f t="shared" si="12"/>
        <v>Premium5color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IFERROR(VLOOKUP(B241,input_491105!L:R,7,FALSE),VLOOKUP(tables_491105!C241,input_491105!A:H,8,FALSE))</f>
        <v>3824.6275999999998</v>
      </c>
      <c r="P241" s="46">
        <f t="shared" ca="1" si="14"/>
        <v>2.9276083894941301E-4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input_491105!A$2</f>
        <v>491105</v>
      </c>
      <c r="B242" s="6">
        <v>658</v>
      </c>
      <c r="C242" s="7" t="str">
        <f t="shared" si="12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IFERROR(VLOOKUP(B242,input_491105!L:R,7,FALSE),VLOOKUP(tables_491105!C242,input_491105!A:H,8,FALSE))</f>
        <v>5396</v>
      </c>
      <c r="P242" s="46">
        <f t="shared" ca="1" si="14"/>
        <v>4.1304347826466364E-4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input_491105!A$2</f>
        <v>491105</v>
      </c>
      <c r="B243" s="6">
        <v>659</v>
      </c>
      <c r="C243" s="7" t="str">
        <f t="shared" si="12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IFERROR(VLOOKUP(B243,input_491105!L:R,7,FALSE),VLOOKUP(tables_491105!C243,input_491105!A:H,8,FALSE))</f>
        <v>284</v>
      </c>
      <c r="P243" s="46">
        <f t="shared" ca="1" si="14"/>
        <v>2.1739130434982297E-5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input_491105!A$2</f>
        <v>491105</v>
      </c>
      <c r="B244" s="6">
        <v>660</v>
      </c>
      <c r="C244" s="7" t="str">
        <f t="shared" si="12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IFERROR(VLOOKUP(B244,input_491105!L:R,7,FALSE),VLOOKUP(tables_491105!C244,input_491105!A:H,8,FALSE))</f>
        <v>5396</v>
      </c>
      <c r="P244" s="46">
        <f t="shared" ca="1" si="14"/>
        <v>4.1304347826466364E-4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input_491105!A$2</f>
        <v>491105</v>
      </c>
      <c r="B245" s="60">
        <v>661</v>
      </c>
      <c r="C245" s="7" t="str">
        <f t="shared" si="12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IFERROR(VLOOKUP(B245,input_491105!L:R,7,FALSE),VLOOKUP(tables_491105!C245,input_491105!A:H,8,FALSE))</f>
        <v>284</v>
      </c>
      <c r="P245" s="46">
        <f t="shared" ca="1" si="14"/>
        <v>2.1739130434982297E-5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input_491105!A$2</f>
        <v>491105</v>
      </c>
      <c r="B246" s="60">
        <v>662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IFERROR(VLOOKUP(B246,input_491105!L:R,7,FALSE),VLOOKUP(tables_491105!C246,input_491105!A:H,8,FALSE))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input_491105!A$2</f>
        <v>491105</v>
      </c>
      <c r="B247" s="60">
        <v>663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IFERROR(VLOOKUP(B247,input_491105!L:R,7,FALSE),VLOOKUP(tables_491105!C247,input_491105!A:H,8,FALSE))</f>
        <v>59095.232819999997</v>
      </c>
      <c r="P247" s="46">
        <f t="shared" ca="1" si="14"/>
        <v>4.523517515350798E-3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input_491105!A$2</f>
        <v>491105</v>
      </c>
      <c r="B248" s="60">
        <v>664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IFERROR(VLOOKUP(B248,input_491105!L:R,7,FALSE),VLOOKUP(tables_491105!C248,input_491105!A:H,8,FALSE))</f>
        <v>113.13641</v>
      </c>
      <c r="P248" s="46">
        <f t="shared" ca="1" si="14"/>
        <v>8.6601661054071661E-6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input_491105!A$2</f>
        <v>491105</v>
      </c>
      <c r="B249" s="60">
        <v>665</v>
      </c>
      <c r="C249" s="7" t="str">
        <f t="shared" si="12"/>
        <v>Premium3color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IFERROR(VLOOKUP(B249,input_491105!L:R,7,FALSE),VLOOKUP(tables_491105!C249,input_491105!A:H,8,FALSE))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input_491105!A$2</f>
        <v>491105</v>
      </c>
      <c r="B250" s="60">
        <v>666</v>
      </c>
      <c r="C250" s="7" t="str">
        <f t="shared" si="12"/>
        <v>Premium4color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IFERROR(VLOOKUP(B250,input_491105!L:R,7,FALSE),VLOOKUP(tables_491105!C250,input_491105!A:H,8,FALSE))</f>
        <v>337474.65632000001</v>
      </c>
      <c r="P250" s="46">
        <f t="shared" ca="1" si="14"/>
        <v>2.5832413986765151E-2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input_491105!A$2</f>
        <v>491105</v>
      </c>
      <c r="B251" s="60">
        <v>667</v>
      </c>
      <c r="C251" s="7" t="str">
        <f t="shared" si="12"/>
        <v>Premium5color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IFERROR(VLOOKUP(B251,input_491105!L:R,7,FALSE),VLOOKUP(tables_491105!C251,input_491105!A:H,8,FALSE))</f>
        <v>3824.6275999999998</v>
      </c>
      <c r="P251" s="46">
        <f t="shared" ca="1" si="14"/>
        <v>2.9276083894941301E-4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input_491105!A$2</f>
        <v>491105</v>
      </c>
      <c r="B252" s="60">
        <v>668</v>
      </c>
      <c r="C252" s="7" t="str">
        <f t="shared" si="12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IFERROR(VLOOKUP(B252,input_491105!L:R,7,FALSE),VLOOKUP(tables_491105!C252,input_491105!A:H,8,FALSE))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input_491105!A$2</f>
        <v>491105</v>
      </c>
      <c r="B253" s="60">
        <v>669</v>
      </c>
      <c r="C253" s="7" t="str">
        <f t="shared" si="12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IFERROR(VLOOKUP(B253,input_491105!L:R,7,FALSE),VLOOKUP(tables_491105!C253,input_491105!A:H,8,FALSE))</f>
        <v>59095.232819999997</v>
      </c>
      <c r="P253" s="46">
        <f t="shared" ca="1" si="14"/>
        <v>4.523517515350798E-3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input_491105!A$2</f>
        <v>491105</v>
      </c>
      <c r="B254" s="60">
        <v>670</v>
      </c>
      <c r="C254" s="7" t="str">
        <f t="shared" si="12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IFERROR(VLOOKUP(B254,input_491105!L:R,7,FALSE),VLOOKUP(tables_491105!C254,input_491105!A:H,8,FALSE))</f>
        <v>113.13641</v>
      </c>
      <c r="P254" s="46">
        <f t="shared" ca="1" si="14"/>
        <v>8.6601661054071661E-6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input_491105!A$2</f>
        <v>491105</v>
      </c>
      <c r="B255" s="60">
        <v>671</v>
      </c>
      <c r="C255" s="7" t="str">
        <f t="shared" si="12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IFERROR(VLOOKUP(B255,input_491105!L:R,7,FALSE),VLOOKUP(tables_491105!C255,input_491105!A:H,8,FALSE))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input_491105!A$2</f>
        <v>491105</v>
      </c>
      <c r="B256" s="60">
        <v>672</v>
      </c>
      <c r="C256" s="7" t="str">
        <f t="shared" si="12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IFERROR(VLOOKUP(B256,input_491105!L:R,7,FALSE),VLOOKUP(tables_491105!C256,input_491105!A:H,8,FALSE))</f>
        <v>59095.232819999997</v>
      </c>
      <c r="P256" s="46">
        <f t="shared" ca="1" si="14"/>
        <v>4.523517515350798E-3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input_491105!A$2</f>
        <v>491105</v>
      </c>
      <c r="B257" s="60">
        <v>673</v>
      </c>
      <c r="C257" s="7" t="str">
        <f t="shared" si="12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IFERROR(VLOOKUP(B257,input_491105!L:R,7,FALSE),VLOOKUP(tables_491105!C257,input_491105!A:H,8,FALSE))</f>
        <v>113.13641</v>
      </c>
      <c r="P257" s="46">
        <f t="shared" ca="1" si="14"/>
        <v>8.6601661054071661E-6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input_491105!A$2</f>
        <v>491105</v>
      </c>
      <c r="B258" s="60">
        <v>674</v>
      </c>
      <c r="C258" s="7" t="str">
        <f t="shared" ref="C258:C321" si="16">D258&amp;J258&amp;E258&amp;F258&amp;G258</f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ref="G258:G321" si="17">IF(K258="yellow","color","")</f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IFERROR(VLOOKUP(B258,input_491105!L:R,7,FALSE),VLOOKUP(tables_491105!C258,input_491105!A:H,8,FALSE))</f>
        <v>5396</v>
      </c>
      <c r="P258" s="46">
        <f t="shared" ref="P258:P305" ca="1" si="18">O258/SUM(O:O)</f>
        <v>4.1304347826466364E-4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input_491105!A$2</f>
        <v>491105</v>
      </c>
      <c r="B259" s="60">
        <v>675</v>
      </c>
      <c r="C259" s="7" t="str">
        <f t="shared" si="16"/>
        <v>PremiumSS5</v>
      </c>
      <c r="D259" s="7" t="str">
        <f t="shared" ref="D259:D322" si="1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IFERROR(VLOOKUP(B259,input_491105!L:R,7,FALSE),VLOOKUP(tables_491105!C259,input_491105!A:H,8,FALSE))</f>
        <v>284</v>
      </c>
      <c r="P259" s="46">
        <f t="shared" ca="1" si="18"/>
        <v>2.1739130434982297E-5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input_491105!A$2</f>
        <v>491105</v>
      </c>
      <c r="B260" s="60">
        <v>676</v>
      </c>
      <c r="C260" s="7" t="str">
        <f t="shared" si="16"/>
        <v>PremiumSS4color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IFERROR(VLOOKUP(B260,input_491105!L:R,7,FALSE),VLOOKUP(tables_491105!C260,input_491105!A:H,8,FALSE))</f>
        <v>21901.411759999999</v>
      </c>
      <c r="P260" s="46">
        <f t="shared" ca="1" si="18"/>
        <v>1.6764705878904759E-3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input_491105!A$2</f>
        <v>491105</v>
      </c>
      <c r="B261" s="60">
        <v>677</v>
      </c>
      <c r="C261" s="7" t="str">
        <f t="shared" si="16"/>
        <v>PremiumSS5color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7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IFERROR(VLOOKUP(B261,input_491105!L:R,7,FALSE),VLOOKUP(tables_491105!C261,input_491105!A:H,8,FALSE))</f>
        <v>1152.70588</v>
      </c>
      <c r="P261" s="46">
        <f t="shared" ca="1" si="18"/>
        <v>8.823529393834877E-5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input_491105!A$2</f>
        <v>491105</v>
      </c>
      <c r="B262" s="60">
        <v>728</v>
      </c>
      <c r="C262" s="7" t="str">
        <f t="shared" si="16"/>
        <v>Premium4R3less</v>
      </c>
      <c r="D262" s="7" t="str">
        <f t="shared" si="1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IFERROR(VLOOKUP(B262,input_491105!L:R,7,FALSE),VLOOKUP(tables_491105!C262,input_491105!A:H,8,FALSE))</f>
        <v>86827.497140000007</v>
      </c>
      <c r="P262" s="46">
        <f t="shared" ca="1" si="18"/>
        <v>6.6463179072870152E-3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input_491105!A$2</f>
        <v>491105</v>
      </c>
      <c r="B263" s="60">
        <v>729</v>
      </c>
      <c r="C263" s="7" t="str">
        <f t="shared" si="16"/>
        <v>Premium5R3less</v>
      </c>
      <c r="D263" s="7" t="str">
        <f t="shared" si="1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IFERROR(VLOOKUP(B263,input_491105!L:R,7,FALSE),VLOOKUP(tables_491105!C263,input_491105!A:H,8,FALSE))</f>
        <v>3462.88</v>
      </c>
      <c r="P263" s="46">
        <f t="shared" ca="1" si="18"/>
        <v>2.650704225376461E-4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input_491105!A$2</f>
        <v>491105</v>
      </c>
      <c r="B264" s="60">
        <v>730</v>
      </c>
      <c r="C264" s="7" t="str">
        <f t="shared" si="16"/>
        <v>Premium4R3less</v>
      </c>
      <c r="D264" s="7" t="str">
        <f t="shared" si="1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IFERROR(VLOOKUP(B264,input_491105!L:R,7,FALSE),VLOOKUP(tables_491105!C264,input_491105!A:H,8,FALSE))</f>
        <v>86827.497140000007</v>
      </c>
      <c r="P264" s="46">
        <f t="shared" ca="1" si="18"/>
        <v>6.6463179072870152E-3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input_491105!A$2</f>
        <v>491105</v>
      </c>
      <c r="B265" s="60">
        <v>731</v>
      </c>
      <c r="C265" s="7" t="str">
        <f t="shared" si="16"/>
        <v>Premium5R3less</v>
      </c>
      <c r="D265" s="7" t="str">
        <f t="shared" si="1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IFERROR(VLOOKUP(B265,input_491105!L:R,7,FALSE),VLOOKUP(tables_491105!C265,input_491105!A:H,8,FALSE))</f>
        <v>3462.88</v>
      </c>
      <c r="P265" s="46">
        <f t="shared" ca="1" si="18"/>
        <v>2.650704225376461E-4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input_491105!A$2</f>
        <v>491105</v>
      </c>
      <c r="B266" s="60">
        <v>732</v>
      </c>
      <c r="C266" s="7" t="str">
        <f t="shared" si="16"/>
        <v>PremiumSS5R5only</v>
      </c>
      <c r="D266" s="7" t="str">
        <f t="shared" si="1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7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IFERROR(VLOOKUP(B266,input_491105!L:R,7,FALSE),VLOOKUP(tables_491105!C266,input_491105!A:H,8,FALSE))</f>
        <v>5680</v>
      </c>
      <c r="P266" s="46">
        <f t="shared" ca="1" si="18"/>
        <v>4.347826086996459E-4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input_491105!A$2</f>
        <v>491105</v>
      </c>
      <c r="B267" s="60">
        <v>734</v>
      </c>
      <c r="C267" s="7" t="str">
        <f t="shared" si="16"/>
        <v>PremiumSS5R5onlycolor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IFERROR(VLOOKUP(B267,input_491105!L:R,7,FALSE),VLOOKUP(tables_491105!C267,input_491105!A:H,8,FALSE))</f>
        <v>23054.11765</v>
      </c>
      <c r="P267" s="46">
        <f t="shared" ca="1" si="18"/>
        <v>1.764705882594287E-3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input_491105!A$2</f>
        <v>491105</v>
      </c>
      <c r="B268" s="60">
        <v>742</v>
      </c>
      <c r="C268" s="7" t="str">
        <f t="shared" si="16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7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IFERROR(VLOOKUP(B268,input_491105!L:R,7,FALSE),VLOOKUP(tables_491105!C268,input_491105!A:H,8,FALSE))</f>
        <v>5680</v>
      </c>
      <c r="P268" s="46">
        <f t="shared" ca="1" si="18"/>
        <v>4.347826086996459E-4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input_491105!A$2</f>
        <v>491105</v>
      </c>
      <c r="B269" s="60">
        <v>744</v>
      </c>
      <c r="C269" s="7" t="str">
        <f t="shared" si="16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IFERROR(VLOOKUP(B269,input_491105!L:R,7,FALSE),VLOOKUP(tables_491105!C269,input_491105!A:H,8,FALSE))</f>
        <v>5680</v>
      </c>
      <c r="P269" s="46">
        <f t="shared" ca="1" si="18"/>
        <v>4.347826086996459E-4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input_491105!A$2</f>
        <v>491105</v>
      </c>
      <c r="B270" s="60">
        <v>746</v>
      </c>
      <c r="C270" s="7" t="str">
        <f t="shared" si="16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IFERROR(VLOOKUP(B270,input_491105!L:R,7,FALSE),VLOOKUP(tables_491105!C270,input_491105!A:H,8,FALSE))</f>
        <v>86827.497140000007</v>
      </c>
      <c r="P270" s="46">
        <f t="shared" ca="1" si="18"/>
        <v>6.6463179072870152E-3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input_491105!A$2</f>
        <v>491105</v>
      </c>
      <c r="B271" s="82">
        <v>747</v>
      </c>
      <c r="C271" s="7" t="str">
        <f t="shared" si="16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IFERROR(VLOOKUP(B271,input_491105!L:R,7,FALSE),VLOOKUP(tables_491105!C271,input_491105!A:H,8,FALSE))</f>
        <v>3462.88</v>
      </c>
      <c r="P271" s="46">
        <f t="shared" ca="1" si="18"/>
        <v>2.650704225376461E-4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input_491105!A$2</f>
        <v>491105</v>
      </c>
      <c r="B272" s="82">
        <v>748</v>
      </c>
      <c r="C272" s="7" t="str">
        <f t="shared" si="16"/>
        <v>Premium4R3lesscolor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7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IFERROR(VLOOKUP(B272,input_491105!L:R,7,FALSE),VLOOKUP(tables_491105!C272,input_491105!A:H,8,FALSE))</f>
        <v>204560.46666999999</v>
      </c>
      <c r="P272" s="46">
        <f t="shared" ca="1" si="18"/>
        <v>1.565833333373232E-2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input_491105!A$2</f>
        <v>491105</v>
      </c>
      <c r="B273" s="82">
        <v>749</v>
      </c>
      <c r="C273" s="7" t="str">
        <f t="shared" si="16"/>
        <v>Premium5R3lesscolor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7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IFERROR(VLOOKUP(B273,input_491105!L:R,7,FALSE),VLOOKUP(tables_491105!C273,input_491105!A:H,8,FALSE))</f>
        <v>1086.6872699999999</v>
      </c>
      <c r="P273" s="46">
        <f t="shared" ca="1" si="18"/>
        <v>8.3181817973819797E-5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input_491105!A$2</f>
        <v>491105</v>
      </c>
      <c r="B274" s="82">
        <v>770</v>
      </c>
      <c r="C274" s="7" t="str">
        <f t="shared" si="16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7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IFERROR(VLOOKUP(B274,input_491105!L:R,7,FALSE),VLOOKUP(tables_491105!C274,input_491105!A:H,8,FALSE))</f>
        <v>5396</v>
      </c>
      <c r="P274" s="46">
        <f t="shared" ca="1" si="18"/>
        <v>4.1304347826466364E-4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input_491105!A$2</f>
        <v>491105</v>
      </c>
      <c r="B275" s="82">
        <v>771</v>
      </c>
      <c r="C275" s="7" t="str">
        <f t="shared" si="16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7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IFERROR(VLOOKUP(B275,input_491105!L:R,7,FALSE),VLOOKUP(tables_491105!C275,input_491105!A:H,8,FALSE))</f>
        <v>284</v>
      </c>
      <c r="P275" s="46">
        <f t="shared" ca="1" si="18"/>
        <v>2.1739130434982297E-5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input_491105!A$2</f>
        <v>491105</v>
      </c>
      <c r="B276" s="82">
        <v>772</v>
      </c>
      <c r="C276" s="7" t="str">
        <f t="shared" si="16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IFERROR(VLOOKUP(B276,input_491105!L:R,7,FALSE),VLOOKUP(tables_491105!C276,input_491105!A:H,8,FALSE))</f>
        <v>5396</v>
      </c>
      <c r="P276" s="46">
        <f t="shared" ca="1" si="18"/>
        <v>4.1304347826466364E-4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input_491105!A$2</f>
        <v>491105</v>
      </c>
      <c r="B277" s="82">
        <v>773</v>
      </c>
      <c r="C277" s="7" t="str">
        <f t="shared" si="16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IFERROR(VLOOKUP(B277,input_491105!L:R,7,FALSE),VLOOKUP(tables_491105!C277,input_491105!A:H,8,FALSE))</f>
        <v>284</v>
      </c>
      <c r="P277" s="46">
        <f t="shared" ca="1" si="18"/>
        <v>2.1739130434982297E-5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input_491105!A$2</f>
        <v>491105</v>
      </c>
      <c r="B278" s="82">
        <v>774</v>
      </c>
      <c r="C278" s="7" t="str">
        <f t="shared" si="16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IFERROR(VLOOKUP(B278,input_491105!L:R,7,FALSE),VLOOKUP(tables_491105!C278,input_491105!A:H,8,FALSE))</f>
        <v>0</v>
      </c>
      <c r="P278" s="46">
        <f t="shared" ca="1" si="18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input_491105!A$2</f>
        <v>491105</v>
      </c>
      <c r="B279" s="82">
        <v>775</v>
      </c>
      <c r="C279" s="7" t="str">
        <f t="shared" si="16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IFERROR(VLOOKUP(B279,input_491105!L:R,7,FALSE),VLOOKUP(tables_491105!C279,input_491105!A:H,8,FALSE))</f>
        <v>59095.232819999997</v>
      </c>
      <c r="P279" s="46">
        <f t="shared" ca="1" si="18"/>
        <v>4.523517515350798E-3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input_491105!A$2</f>
        <v>491105</v>
      </c>
      <c r="B280" s="82">
        <v>776</v>
      </c>
      <c r="C280" s="7" t="str">
        <f t="shared" si="16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IFERROR(VLOOKUP(B280,input_491105!L:R,7,FALSE),VLOOKUP(tables_491105!C280,input_491105!A:H,8,FALSE))</f>
        <v>113.13641</v>
      </c>
      <c r="P280" s="46">
        <f t="shared" ca="1" si="18"/>
        <v>8.6601661054071661E-6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input_491105!A$2</f>
        <v>491105</v>
      </c>
      <c r="B281" s="82">
        <v>777</v>
      </c>
      <c r="C281" s="7" t="str">
        <f t="shared" si="16"/>
        <v>Premium3color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7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IFERROR(VLOOKUP(B281,input_491105!L:R,7,FALSE),VLOOKUP(tables_491105!C281,input_491105!A:H,8,FALSE))</f>
        <v>0</v>
      </c>
      <c r="P281" s="46">
        <f t="shared" ca="1" si="18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input_491105!A$2</f>
        <v>491105</v>
      </c>
      <c r="B282" s="82">
        <v>778</v>
      </c>
      <c r="C282" s="7" t="str">
        <f t="shared" si="16"/>
        <v>Premium4color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IFERROR(VLOOKUP(B282,input_491105!L:R,7,FALSE),VLOOKUP(tables_491105!C282,input_491105!A:H,8,FALSE))</f>
        <v>337474.65632000001</v>
      </c>
      <c r="P282" s="46">
        <f t="shared" ca="1" si="18"/>
        <v>2.5832413986765151E-2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input_491105!A$2</f>
        <v>491105</v>
      </c>
      <c r="B283" s="5">
        <v>779</v>
      </c>
      <c r="C283" s="7" t="str">
        <f t="shared" si="16"/>
        <v>Premium5color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7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IFERROR(VLOOKUP(B283,input_491105!L:R,7,FALSE),VLOOKUP(tables_491105!C283,input_491105!A:H,8,FALSE))</f>
        <v>3824.6275999999998</v>
      </c>
      <c r="P283" s="46">
        <f t="shared" ca="1" si="18"/>
        <v>2.9276083894941301E-4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input_491105!A$2</f>
        <v>491105</v>
      </c>
      <c r="B284" s="5">
        <v>848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IFERROR(VLOOKUP(B284,input_491105!L:R,7,FALSE),VLOOKUP(tables_491105!C284,input_491105!A:H,8,FALSE))</f>
        <v>5680</v>
      </c>
      <c r="P284" s="46">
        <f t="shared" ca="1" si="18"/>
        <v>4.347826086996459E-4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input_491105!A$2</f>
        <v>491105</v>
      </c>
      <c r="B285" s="5">
        <v>850</v>
      </c>
      <c r="C285" s="7" t="str">
        <f t="shared" si="16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IFERROR(VLOOKUP(B285,input_491105!L:R,7,FALSE),VLOOKUP(tables_491105!C285,input_491105!A:H,8,FALSE))</f>
        <v>5680</v>
      </c>
      <c r="P285" s="46">
        <f t="shared" ca="1" si="18"/>
        <v>4.347826086996459E-4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input_491105!A$2</f>
        <v>491105</v>
      </c>
      <c r="B286" s="5">
        <v>852</v>
      </c>
      <c r="C286" s="7" t="str">
        <f t="shared" si="16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IFERROR(VLOOKUP(B286,input_491105!L:R,7,FALSE),VLOOKUP(tables_491105!C286,input_491105!A:H,8,FALSE))</f>
        <v>86827.497140000007</v>
      </c>
      <c r="P286" s="46">
        <f t="shared" ca="1" si="18"/>
        <v>6.6463179072870152E-3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input_491105!A$2</f>
        <v>491105</v>
      </c>
      <c r="B287" s="5">
        <v>853</v>
      </c>
      <c r="C287" s="7" t="str">
        <f t="shared" si="16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IFERROR(VLOOKUP(B287,input_491105!L:R,7,FALSE),VLOOKUP(tables_491105!C287,input_491105!A:H,8,FALSE))</f>
        <v>3462.88</v>
      </c>
      <c r="P287" s="46">
        <f t="shared" ca="1" si="18"/>
        <v>2.650704225376461E-4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input_491105!A$2</f>
        <v>491105</v>
      </c>
      <c r="B288" s="5">
        <v>854</v>
      </c>
      <c r="C288" s="7" t="str">
        <f t="shared" si="16"/>
        <v>Premium4R3lesscolor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IFERROR(VLOOKUP(B288,input_491105!L:R,7,FALSE),VLOOKUP(tables_491105!C288,input_491105!A:H,8,FALSE))</f>
        <v>204560.46666999999</v>
      </c>
      <c r="P288" s="46">
        <f t="shared" ca="1" si="18"/>
        <v>1.565833333373232E-2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input_491105!A$2</f>
        <v>491105</v>
      </c>
      <c r="B289" s="5">
        <v>855</v>
      </c>
      <c r="C289" s="7" t="str">
        <f t="shared" si="16"/>
        <v>Premium5R3lesscolor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IFERROR(VLOOKUP(B289,input_491105!L:R,7,FALSE),VLOOKUP(tables_491105!C289,input_491105!A:H,8,FALSE))</f>
        <v>1086.6872699999999</v>
      </c>
      <c r="P289" s="46">
        <f t="shared" ca="1" si="18"/>
        <v>8.3181817973819797E-5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input_491105!A$2</f>
        <v>491105</v>
      </c>
      <c r="B290" s="5">
        <v>862</v>
      </c>
      <c r="C290" s="7" t="str">
        <f t="shared" si="16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IFERROR(VLOOKUP(B290,input_491105!L:R,7,FALSE),VLOOKUP(tables_491105!C290,input_491105!A:H,8,FALSE))</f>
        <v>86827.497140000007</v>
      </c>
      <c r="P290" s="46">
        <f t="shared" ca="1" si="18"/>
        <v>6.6463179072870152E-3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input_491105!A$2</f>
        <v>491105</v>
      </c>
      <c r="B291" s="5">
        <v>863</v>
      </c>
      <c r="C291" s="7" t="str">
        <f t="shared" si="16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IFERROR(VLOOKUP(B291,input_491105!L:R,7,FALSE),VLOOKUP(tables_491105!C291,input_491105!A:H,8,FALSE))</f>
        <v>3462.88</v>
      </c>
      <c r="P291" s="46">
        <f t="shared" ca="1" si="18"/>
        <v>2.650704225376461E-4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input_491105!A$2</f>
        <v>491105</v>
      </c>
      <c r="B292" s="5">
        <v>864</v>
      </c>
      <c r="C292" s="7" t="str">
        <f t="shared" si="16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IFERROR(VLOOKUP(B292,input_491105!L:R,7,FALSE),VLOOKUP(tables_491105!C292,input_491105!A:H,8,FALSE))</f>
        <v>86827.497140000007</v>
      </c>
      <c r="P292" s="46">
        <f t="shared" ca="1" si="18"/>
        <v>6.6463179072870152E-3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input_491105!A$2</f>
        <v>491105</v>
      </c>
      <c r="B293" s="5">
        <v>865</v>
      </c>
      <c r="C293" s="7" t="str">
        <f t="shared" si="16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7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IFERROR(VLOOKUP(B293,input_491105!L:R,7,FALSE),VLOOKUP(tables_491105!C293,input_491105!A:H,8,FALSE))</f>
        <v>3462.88</v>
      </c>
      <c r="P293" s="46">
        <f t="shared" ca="1" si="18"/>
        <v>2.650704225376461E-4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input_491105!A$2</f>
        <v>491105</v>
      </c>
      <c r="B294" s="5">
        <v>866</v>
      </c>
      <c r="C294" s="7" t="str">
        <f t="shared" si="16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IFERROR(VLOOKUP(B294,input_491105!L:R,7,FALSE),VLOOKUP(tables_491105!C294,input_491105!A:H,8,FALSE))</f>
        <v>5680</v>
      </c>
      <c r="P294" s="46">
        <f t="shared" ca="1" si="18"/>
        <v>4.347826086996459E-4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input_491105!A$2</f>
        <v>491105</v>
      </c>
      <c r="B295" s="5">
        <v>868</v>
      </c>
      <c r="C295" s="7" t="str">
        <f t="shared" si="16"/>
        <v>PremiumSS5R5onlycolor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IFERROR(VLOOKUP(B295,input_491105!L:R,7,FALSE),VLOOKUP(tables_491105!C295,input_491105!A:H,8,FALSE))</f>
        <v>23054.11765</v>
      </c>
      <c r="P295" s="46">
        <f t="shared" ca="1" si="18"/>
        <v>1.764705882594287E-3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input_491105!A$2</f>
        <v>491105</v>
      </c>
      <c r="B296" s="5">
        <v>937</v>
      </c>
      <c r="C296" s="7" t="str">
        <f t="shared" si="16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IFERROR(VLOOKUP(B296,input_491105!L:R,7,FALSE),VLOOKUP(tables_491105!C296,input_491105!A:H,8,FALSE))</f>
        <v>5680</v>
      </c>
      <c r="P296" s="46">
        <f t="shared" ca="1" si="18"/>
        <v>4.347826086996459E-4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input_491105!A$2</f>
        <v>491105</v>
      </c>
      <c r="B297" s="5">
        <v>939</v>
      </c>
      <c r="C297" s="7" t="str">
        <f t="shared" si="16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IFERROR(VLOOKUP(B297,input_491105!L:R,7,FALSE),VLOOKUP(tables_491105!C297,input_491105!A:H,8,FALSE))</f>
        <v>86827.497140000007</v>
      </c>
      <c r="P297" s="46">
        <f t="shared" ca="1" si="18"/>
        <v>6.6463179072870152E-3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input_491105!A$2</f>
        <v>491105</v>
      </c>
      <c r="B298" s="5">
        <v>940</v>
      </c>
      <c r="C298" s="7" t="str">
        <f t="shared" si="16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IFERROR(VLOOKUP(B298,input_491105!L:R,7,FALSE),VLOOKUP(tables_491105!C298,input_491105!A:H,8,FALSE))</f>
        <v>3462.88</v>
      </c>
      <c r="P298" s="46">
        <f t="shared" ca="1" si="18"/>
        <v>2.650704225376461E-4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input_491105!A$2</f>
        <v>491105</v>
      </c>
      <c r="B299" s="5">
        <v>941</v>
      </c>
      <c r="C299" s="7" t="str">
        <f t="shared" si="16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IFERROR(VLOOKUP(B299,input_491105!L:R,7,FALSE),VLOOKUP(tables_491105!C299,input_491105!A:H,8,FALSE))</f>
        <v>5680</v>
      </c>
      <c r="P299" s="46">
        <f t="shared" ca="1" si="18"/>
        <v>4.347826086996459E-4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input_491105!A$2</f>
        <v>491105</v>
      </c>
      <c r="B300" s="5">
        <v>943</v>
      </c>
      <c r="C300" s="7" t="str">
        <f t="shared" si="16"/>
        <v>PremiumSS5R5onlycolor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7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IFERROR(VLOOKUP(B300,input_491105!L:R,7,FALSE),VLOOKUP(tables_491105!C300,input_491105!A:H,8,FALSE))</f>
        <v>23054.11765</v>
      </c>
      <c r="P300" s="46">
        <f t="shared" ca="1" si="18"/>
        <v>1.764705882594287E-3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input_491105!A$2</f>
        <v>491105</v>
      </c>
      <c r="B301" s="5">
        <v>1012</v>
      </c>
      <c r="C301" s="7" t="str">
        <f t="shared" si="16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IFERROR(VLOOKUP(B301,input_491105!L:R,7,FALSE),VLOOKUP(tables_491105!C301,input_491105!A:H,8,FALSE))</f>
        <v>5680</v>
      </c>
      <c r="P301" s="46">
        <f t="shared" ca="1" si="18"/>
        <v>4.347826086996459E-4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input_491105!A$2</f>
        <v>491105</v>
      </c>
      <c r="B302" s="5">
        <v>1014</v>
      </c>
      <c r="C302" s="7" t="str">
        <f t="shared" si="16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IFERROR(VLOOKUP(B302,input_491105!L:R,7,FALSE),VLOOKUP(tables_491105!C302,input_491105!A:H,8,FALSE))</f>
        <v>5680</v>
      </c>
      <c r="P302" s="46">
        <f t="shared" ca="1" si="18"/>
        <v>4.347826086996459E-4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input_491105!A$2</f>
        <v>491105</v>
      </c>
      <c r="B303" s="5">
        <v>1016</v>
      </c>
      <c r="C303" s="7" t="str">
        <f t="shared" si="16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7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IFERROR(VLOOKUP(B303,input_491105!L:R,7,FALSE),VLOOKUP(tables_491105!C303,input_491105!A:H,8,FALSE))</f>
        <v>86827.497140000007</v>
      </c>
      <c r="P303" s="46">
        <f t="shared" ca="1" si="18"/>
        <v>6.6463179072870152E-3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input_491105!A$2</f>
        <v>491105</v>
      </c>
      <c r="B304" s="5">
        <v>1017</v>
      </c>
      <c r="C304" s="7" t="str">
        <f t="shared" si="16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IFERROR(VLOOKUP(B304,input_491105!L:R,7,FALSE),VLOOKUP(tables_491105!C304,input_491105!A:H,8,FALSE))</f>
        <v>3462.88</v>
      </c>
      <c r="P304" s="46">
        <f t="shared" ca="1" si="18"/>
        <v>2.650704225376461E-4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input_491105!A$2</f>
        <v>491105</v>
      </c>
      <c r="B305" s="5">
        <v>1018</v>
      </c>
      <c r="C305" s="7" t="str">
        <f t="shared" si="16"/>
        <v>PremiumSS5R5onlycolor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7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IFERROR(VLOOKUP(B305,input_491105!L:R,7,FALSE),VLOOKUP(tables_491105!C305,input_491105!A:H,8,FALSE))</f>
        <v>23054.11765</v>
      </c>
      <c r="P305" s="46">
        <f t="shared" ca="1" si="18"/>
        <v>1.764705882594287E-3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input_491105!A$2</f>
        <v>491105</v>
      </c>
      <c r="B306" s="5">
        <v>1026</v>
      </c>
      <c r="C306" s="7" t="str">
        <f t="shared" si="16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7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IFERROR(VLOOKUP(B306,input_491105!L:R,7,FALSE),VLOOKUP(tables_491105!C306,input_491105!A:H,8,FALSE))</f>
        <v>86827.497140000007</v>
      </c>
      <c r="P306" s="46">
        <f t="shared" ref="P306:P310" ca="1" si="20">O306/SUM(O:O)</f>
        <v>6.6463179072870152E-3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input_491105!A$2</f>
        <v>491105</v>
      </c>
      <c r="B307" s="5">
        <v>1027</v>
      </c>
      <c r="C307" s="7" t="str">
        <f t="shared" si="16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7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IFERROR(VLOOKUP(B307,input_491105!L:R,7,FALSE),VLOOKUP(tables_491105!C307,input_491105!A:H,8,FALSE))</f>
        <v>3462.88</v>
      </c>
      <c r="P307" s="46">
        <f t="shared" ca="1" si="20"/>
        <v>2.650704225376461E-4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input_491105!A$2</f>
        <v>491105</v>
      </c>
      <c r="B308" s="5">
        <v>1028</v>
      </c>
      <c r="C308" s="7" t="str">
        <f t="shared" si="16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7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IFERROR(VLOOKUP(B308,input_491105!L:R,7,FALSE),VLOOKUP(tables_491105!C308,input_491105!A:H,8,FALSE))</f>
        <v>5680</v>
      </c>
      <c r="P308" s="46">
        <f t="shared" ca="1" si="20"/>
        <v>4.347826086996459E-4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input_491105!A$2</f>
        <v>491105</v>
      </c>
      <c r="B309" s="5">
        <v>1031</v>
      </c>
      <c r="C309" s="7" t="str">
        <f t="shared" si="16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7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IFERROR(VLOOKUP(B309,input_491105!L:R,7,FALSE),VLOOKUP(tables_491105!C309,input_491105!A:H,8,FALSE))</f>
        <v>5680</v>
      </c>
      <c r="P309" s="46">
        <f t="shared" ca="1" si="20"/>
        <v>4.347826086996459E-4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input_491105!A$2</f>
        <v>491105</v>
      </c>
      <c r="B310" s="5">
        <v>1033</v>
      </c>
      <c r="C310" s="7" t="str">
        <f t="shared" si="16"/>
        <v>PremiumSS5R5onlycolor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7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IFERROR(VLOOKUP(B310,input_491105!L:R,7,FALSE),VLOOKUP(tables_491105!C310,input_491105!A:H,8,FALSE))</f>
        <v>23054.11765</v>
      </c>
      <c r="P310" s="46">
        <f t="shared" ca="1" si="20"/>
        <v>1.764705882594287E-3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input_491105!A$2</f>
        <v>491105</v>
      </c>
      <c r="B311" s="5">
        <v>1067</v>
      </c>
      <c r="C311" s="7" t="str">
        <f t="shared" si="16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7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IFERROR(VLOOKUP(B311,input_491105!L:R,7,FALSE),VLOOKUP(tables_491105!C311,input_491105!A:H,8,FALSE))</f>
        <v>86827.497140000007</v>
      </c>
      <c r="P311" s="46">
        <f t="shared" ref="P311:P319" ca="1" si="21">O311/SUM(O:O)</f>
        <v>6.6463179072870152E-3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input_491105!A$2</f>
        <v>491105</v>
      </c>
      <c r="B312" s="5">
        <v>1068</v>
      </c>
      <c r="C312" s="7" t="str">
        <f t="shared" si="16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7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IFERROR(VLOOKUP(B312,input_491105!L:R,7,FALSE),VLOOKUP(tables_491105!C312,input_491105!A:H,8,FALSE))</f>
        <v>3462.88</v>
      </c>
      <c r="P312" s="46">
        <f t="shared" ca="1" si="21"/>
        <v>2.650704225376461E-4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input_491105!A$2</f>
        <v>491105</v>
      </c>
      <c r="B313" s="5">
        <v>1069</v>
      </c>
      <c r="C313" s="7" t="str">
        <f t="shared" si="16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7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IFERROR(VLOOKUP(B313,input_491105!L:R,7,FALSE),VLOOKUP(tables_491105!C313,input_491105!A:H,8,FALSE))</f>
        <v>5680</v>
      </c>
      <c r="P313" s="46">
        <f t="shared" ca="1" si="21"/>
        <v>4.347826086996459E-4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input_491105!A$2</f>
        <v>491105</v>
      </c>
      <c r="B314" s="5">
        <v>1072</v>
      </c>
      <c r="C314" s="7" t="str">
        <f t="shared" si="16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7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IFERROR(VLOOKUP(B314,input_491105!L:R,7,FALSE),VLOOKUP(tables_491105!C314,input_491105!A:H,8,FALSE))</f>
        <v>5680</v>
      </c>
      <c r="P314" s="46">
        <f t="shared" ca="1" si="21"/>
        <v>4.347826086996459E-4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input_491105!A$2</f>
        <v>491105</v>
      </c>
      <c r="B315" s="5">
        <v>1074</v>
      </c>
      <c r="C315" s="7" t="str">
        <f t="shared" si="16"/>
        <v>PremiumSS5R5onlycolor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7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IFERROR(VLOOKUP(B315,input_491105!L:R,7,FALSE),VLOOKUP(tables_491105!C315,input_491105!A:H,8,FALSE))</f>
        <v>23054.11765</v>
      </c>
      <c r="P315" s="46">
        <f t="shared" ca="1" si="21"/>
        <v>1.764705882594287E-3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input_491105!A$2</f>
        <v>491105</v>
      </c>
      <c r="B316" s="5">
        <v>1100</v>
      </c>
      <c r="C316" s="7" t="str">
        <f t="shared" si="16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7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IFERROR(VLOOKUP(B316,input_491105!L:R,7,FALSE),VLOOKUP(tables_491105!C316,input_491105!A:H,8,FALSE))</f>
        <v>5680</v>
      </c>
      <c r="P316" s="46">
        <f t="shared" ca="1" si="21"/>
        <v>4.347826086996459E-4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input_491105!A$2</f>
        <v>491105</v>
      </c>
      <c r="B317" s="5">
        <v>1102</v>
      </c>
      <c r="C317" s="7" t="str">
        <f t="shared" si="16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7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IFERROR(VLOOKUP(B317,input_491105!L:R,7,FALSE),VLOOKUP(tables_491105!C317,input_491105!A:H,8,FALSE))</f>
        <v>5680</v>
      </c>
      <c r="P317" s="46">
        <f t="shared" ca="1" si="21"/>
        <v>4.347826086996459E-4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input_491105!A$2</f>
        <v>491105</v>
      </c>
      <c r="B318" s="5">
        <v>1104</v>
      </c>
      <c r="C318" s="7" t="str">
        <f t="shared" si="16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7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IFERROR(VLOOKUP(B318,input_491105!L:R,7,FALSE),VLOOKUP(tables_491105!C318,input_491105!A:H,8,FALSE))</f>
        <v>86827.497140000007</v>
      </c>
      <c r="P318" s="46">
        <f t="shared" ca="1" si="21"/>
        <v>6.6463179072870152E-3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input_491105!A$2</f>
        <v>491105</v>
      </c>
      <c r="B319" s="5">
        <v>1105</v>
      </c>
      <c r="C319" s="7" t="str">
        <f t="shared" si="16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7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IFERROR(VLOOKUP(B319,input_491105!L:R,7,FALSE),VLOOKUP(tables_491105!C319,input_491105!A:H,8,FALSE))</f>
        <v>3462.88</v>
      </c>
      <c r="P319" s="46">
        <f t="shared" ca="1" si="21"/>
        <v>2.650704225376461E-4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input_491105!A$2</f>
        <v>491105</v>
      </c>
      <c r="B320" s="5">
        <v>1106</v>
      </c>
      <c r="C320" s="7" t="str">
        <f t="shared" si="16"/>
        <v>PremiumSS5R5onlycolor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7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IFERROR(VLOOKUP(B320,input_491105!L:R,7,FALSE),VLOOKUP(tables_491105!C320,input_491105!A:H,8,FALSE))</f>
        <v>23054.11765</v>
      </c>
      <c r="P320" s="46">
        <f t="shared" ref="P320:P324" ca="1" si="22">O320/SUM(O:O)</f>
        <v>1.764705882594287E-3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input_491105!A$2</f>
        <v>491105</v>
      </c>
      <c r="B321" s="5">
        <v>1137</v>
      </c>
      <c r="C321" s="7" t="str">
        <f t="shared" si="16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7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IFERROR(VLOOKUP(B321,input_491105!L:R,7,FALSE),VLOOKUP(tables_491105!C321,input_491105!A:H,8,FALSE))</f>
        <v>5680</v>
      </c>
      <c r="P321" s="46">
        <f t="shared" ca="1" si="22"/>
        <v>4.347826086996459E-4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input_491105!A$2</f>
        <v>491105</v>
      </c>
      <c r="B322" s="5">
        <v>1139</v>
      </c>
      <c r="C322" s="7" t="str">
        <f t="shared" ref="C322:C324" si="23">D322&amp;J322&amp;E322&amp;F322&amp;G322</f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ref="G322:G341" si="24">IF(K322="yellow","color","")</f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IFERROR(VLOOKUP(B322,input_491105!L:R,7,FALSE),VLOOKUP(tables_491105!C322,input_491105!A:H,8,FALSE))</f>
        <v>5680</v>
      </c>
      <c r="P322" s="46">
        <f t="shared" ca="1" si="22"/>
        <v>4.347826086996459E-4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input_491105!A$2</f>
        <v>491105</v>
      </c>
      <c r="B323" s="5">
        <v>1141</v>
      </c>
      <c r="C323" s="7" t="str">
        <f t="shared" si="23"/>
        <v>PremiumSS5R5only</v>
      </c>
      <c r="D323" s="7" t="str">
        <f t="shared" ref="D323:D324" si="25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si="24"/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IFERROR(VLOOKUP(B323,input_491105!L:R,7,FALSE),VLOOKUP(tables_491105!C323,input_491105!A:H,8,FALSE))</f>
        <v>5680</v>
      </c>
      <c r="P323" s="46">
        <f t="shared" ca="1" si="22"/>
        <v>4.347826086996459E-4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input_491105!A$2</f>
        <v>491105</v>
      </c>
      <c r="B324" s="2">
        <v>1143</v>
      </c>
      <c r="C324" s="7" t="str">
        <f t="shared" si="23"/>
        <v>Premium4R3lesscolor</v>
      </c>
      <c r="D324" s="7" t="str">
        <f t="shared" si="25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4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IFERROR(VLOOKUP(B324,input_491105!L:R,7,FALSE),VLOOKUP(tables_491105!C324,input_491105!A:H,8,FALSE))</f>
        <v>204560.46666999999</v>
      </c>
      <c r="P324" s="46">
        <f t="shared" ca="1" si="22"/>
        <v>1.565833333373232E-2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input_491105!A$2</f>
        <v>491105</v>
      </c>
      <c r="B325" s="2">
        <v>1144</v>
      </c>
      <c r="C325" s="7" t="str">
        <f t="shared" ref="C325:C330" si="26">D325&amp;J325&amp;E325&amp;F325&amp;G325</f>
        <v>Premium5R3lesscolor</v>
      </c>
      <c r="D325" s="7" t="str">
        <f t="shared" ref="D325:D330" si="27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4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IFERROR(VLOOKUP(B325,input_491105!L:R,7,FALSE),VLOOKUP(tables_491105!C325,input_491105!A:H,8,FALSE))</f>
        <v>1086.6872699999999</v>
      </c>
      <c r="P325" s="46">
        <f t="shared" ref="P325:P330" ca="1" si="28">O325/SUM(O:O)</f>
        <v>8.3181817973819797E-5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input_491105!A$2</f>
        <v>491105</v>
      </c>
      <c r="B326" s="2">
        <v>1151</v>
      </c>
      <c r="C326" s="7" t="str">
        <f t="shared" si="26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4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IFERROR(VLOOKUP(B326,input_491105!L:R,7,FALSE),VLOOKUP(tables_491105!C326,input_491105!A:H,8,FALSE))</f>
        <v>86827.497140000007</v>
      </c>
      <c r="P326" s="46">
        <f t="shared" ca="1" si="28"/>
        <v>6.6463179072870152E-3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input_491105!A$2</f>
        <v>491105</v>
      </c>
      <c r="B327" s="2">
        <v>1152</v>
      </c>
      <c r="C327" s="7" t="str">
        <f t="shared" si="26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4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IFERROR(VLOOKUP(B327,input_491105!L:R,7,FALSE),VLOOKUP(tables_491105!C327,input_491105!A:H,8,FALSE))</f>
        <v>3462.88</v>
      </c>
      <c r="P327" s="46">
        <f t="shared" ca="1" si="28"/>
        <v>2.650704225376461E-4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input_491105!A$2</f>
        <v>491105</v>
      </c>
      <c r="B328" s="2">
        <v>1153</v>
      </c>
      <c r="C328" s="7" t="str">
        <f t="shared" si="26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4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IFERROR(VLOOKUP(B328,input_491105!L:R,7,FALSE),VLOOKUP(tables_491105!C328,input_491105!A:H,8,FALSE))</f>
        <v>5680</v>
      </c>
      <c r="P328" s="46">
        <f t="shared" ca="1" si="28"/>
        <v>4.347826086996459E-4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input_491105!A$2</f>
        <v>491105</v>
      </c>
      <c r="B329" s="2">
        <v>1155</v>
      </c>
      <c r="C329" s="7" t="str">
        <f t="shared" si="26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4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IFERROR(VLOOKUP(B329,input_491105!L:R,7,FALSE),VLOOKUP(tables_491105!C329,input_491105!A:H,8,FALSE))</f>
        <v>5680</v>
      </c>
      <c r="P329" s="46">
        <f t="shared" ca="1" si="28"/>
        <v>4.347826086996459E-4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input_491105!A$2</f>
        <v>491105</v>
      </c>
      <c r="B330" s="2">
        <v>1157</v>
      </c>
      <c r="C330" s="7" t="str">
        <f t="shared" si="26"/>
        <v>PremiumSS5R5onlycolor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4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IFERROR(VLOOKUP(B330,input_491105!L:R,7,FALSE),VLOOKUP(tables_491105!C330,input_491105!A:H,8,FALSE))</f>
        <v>23054.11765</v>
      </c>
      <c r="P330" s="46">
        <f t="shared" ca="1" si="28"/>
        <v>1.764705882594287E-3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input_491105!A$2</f>
        <v>491105</v>
      </c>
      <c r="B331" s="60">
        <v>1214</v>
      </c>
      <c r="C331" s="7" t="str">
        <f t="shared" ref="C331:C340" si="29">D331&amp;J331&amp;E331&amp;F331&amp;G331</f>
        <v>PremiumSS5R5onlycolor</v>
      </c>
      <c r="D331" s="7" t="str">
        <f t="shared" ref="D331:D340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4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IFERROR(VLOOKUP(B331,input_491105!L:R,7,FALSE),VLOOKUP(tables_491105!C331,input_491105!A:H,8,FALSE))</f>
        <v>23054.11765</v>
      </c>
      <c r="P331" s="46">
        <f t="shared" ref="P331:P340" ca="1" si="31">O331/SUM(O:O)</f>
        <v>1.764705882594287E-3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input_491105!A$2</f>
        <v>491105</v>
      </c>
      <c r="B332" s="60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4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IFERROR(VLOOKUP(B332,input_491105!L:R,7,FALSE),VLOOKUP(tables_491105!C332,input_491105!A:H,8,FALSE))</f>
        <v>5680</v>
      </c>
      <c r="P332" s="46">
        <f t="shared" ca="1" si="31"/>
        <v>4.347826086996459E-4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input_491105!A$2</f>
        <v>491105</v>
      </c>
      <c r="B333" s="60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4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IFERROR(VLOOKUP(B333,input_491105!L:R,7,FALSE),VLOOKUP(tables_491105!C333,input_491105!A:H,8,FALSE))</f>
        <v>5680</v>
      </c>
      <c r="P333" s="46">
        <f t="shared" ca="1" si="31"/>
        <v>4.347826086996459E-4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input_491105!A$2</f>
        <v>491105</v>
      </c>
      <c r="B334" s="108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4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IFERROR(VLOOKUP(B334,input_491105!L:R,7,FALSE),VLOOKUP(tables_491105!C334,input_491105!A:H,8,FALSE))</f>
        <v>86827.497140000007</v>
      </c>
      <c r="P334" s="46">
        <f t="shared" ca="1" si="31"/>
        <v>6.6463179072870152E-3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input_491105!A$2</f>
        <v>491105</v>
      </c>
      <c r="B335" s="60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4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IFERROR(VLOOKUP(B335,input_491105!L:R,7,FALSE),VLOOKUP(tables_491105!C335,input_491105!A:H,8,FALSE))</f>
        <v>3462.88</v>
      </c>
      <c r="P335" s="46">
        <f t="shared" ca="1" si="31"/>
        <v>2.650704225376461E-4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input_491105!A$2</f>
        <v>491105</v>
      </c>
      <c r="B336" s="2">
        <v>1224</v>
      </c>
      <c r="C336" s="7" t="str">
        <f t="shared" si="29"/>
        <v>Premium4R3less</v>
      </c>
      <c r="D336" s="7" t="str">
        <f t="shared" si="30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4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IFERROR(VLOOKUP(B336,input_491105!L:R,7,FALSE),VLOOKUP(tables_491105!C336,input_491105!A:H,8,FALSE))</f>
        <v>86827.497140000007</v>
      </c>
      <c r="P336" s="46">
        <f t="shared" ca="1" si="31"/>
        <v>6.6463179072870152E-3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input_491105!A$2</f>
        <v>491105</v>
      </c>
      <c r="B337" s="2">
        <v>1225</v>
      </c>
      <c r="C337" s="7" t="str">
        <f t="shared" si="29"/>
        <v>Premium5R3less</v>
      </c>
      <c r="D337" s="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4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IFERROR(VLOOKUP(B337,input_491105!L:R,7,FALSE),VLOOKUP(tables_491105!C337,input_491105!A:H,8,FALSE))</f>
        <v>3462.88</v>
      </c>
      <c r="P337" s="46">
        <f t="shared" ca="1" si="31"/>
        <v>2.650704225376461E-4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input_491105!A$2</f>
        <v>491105</v>
      </c>
      <c r="B338" s="2">
        <v>1226</v>
      </c>
      <c r="C338" s="7" t="str">
        <f t="shared" si="29"/>
        <v>PremiumSS5R5only</v>
      </c>
      <c r="D338" s="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4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IFERROR(VLOOKUP(B338,input_491105!L:R,7,FALSE),VLOOKUP(tables_491105!C338,input_491105!A:H,8,FALSE))</f>
        <v>5680</v>
      </c>
      <c r="P338" s="46">
        <f t="shared" ca="1" si="31"/>
        <v>4.347826086996459E-4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input_491105!A$2</f>
        <v>491105</v>
      </c>
      <c r="B339" s="2">
        <v>1228</v>
      </c>
      <c r="C339" s="7" t="str">
        <f t="shared" si="29"/>
        <v>PremiumSS5R5only</v>
      </c>
      <c r="D339" s="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4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IFERROR(VLOOKUP(B339,input_491105!L:R,7,FALSE),VLOOKUP(tables_491105!C339,input_491105!A:H,8,FALSE))</f>
        <v>5680</v>
      </c>
      <c r="P339" s="46">
        <f t="shared" ca="1" si="31"/>
        <v>4.347826086996459E-4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input_491105!A$2</f>
        <v>491105</v>
      </c>
      <c r="B340" s="2">
        <v>1230</v>
      </c>
      <c r="C340" s="7" t="str">
        <f t="shared" si="29"/>
        <v>PremiumSS5R5onlycolor</v>
      </c>
      <c r="D340" s="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4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IFERROR(VLOOKUP(B340,input_491105!L:R,7,FALSE),VLOOKUP(tables_491105!C340,input_491105!A:H,8,FALSE))</f>
        <v>23054.11765</v>
      </c>
      <c r="P340" s="46">
        <f t="shared" ca="1" si="31"/>
        <v>1.764705882594287E-3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input_491105!A$2</f>
        <v>491105</v>
      </c>
      <c r="B341" s="1">
        <v>1286</v>
      </c>
      <c r="C341" s="7" t="str">
        <f t="shared" ref="C341" si="32">D341&amp;J341&amp;E341&amp;F341&amp;G341</f>
        <v>PremiumSSS5R3lesscolor</v>
      </c>
      <c r="D341" s="7" t="str">
        <f t="shared" ref="D341" si="3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 t="str">
        <f t="shared" si="24"/>
        <v>color</v>
      </c>
      <c r="H341" s="7" t="str">
        <f>VLOOKUP(B341,[1]characters!$A:$C,3,FALSE)</f>
        <v>ニコラ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hp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IFERROR(VLOOKUP(B341,input_491105!L:R,7,FALSE),VLOOKUP(tables_491105!C341,input_491105!A:H,8,FALSE))</f>
        <v>117576</v>
      </c>
      <c r="P341" s="46">
        <f t="shared" ref="P341" ca="1" si="34">O341/SUM(O:O)</f>
        <v>9.000000000082671E-3</v>
      </c>
      <c r="Q341" s="88"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5"/>
  <sheetViews>
    <sheetView topLeftCell="A21" workbookViewId="0">
      <selection activeCell="G61" sqref="G6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491106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VLOOKUP(L3,tables_491106!B:C,2,FALSE)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VLOOKUP(L4,tables_491106!B:C,2,FALSE)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4.3478260869565224E-4</v>
      </c>
      <c r="F5">
        <f>(COUNTIF(tables_491106!C:C,input_491106!A28)+COUNTIF(tables_491106!C:C,input_491106!A29))</f>
        <v>46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VLOOKUP(L5,tables_491106!B:C,2,FALSE)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1.764705882352941E-3</v>
      </c>
      <c r="F6">
        <f>(COUNTIF(tables_491106!C:C,input_491106!A43)+COUNTIF(tables_491106!C:C,input_491106!A44))</f>
        <v>17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VLOOKUP(L6,tables_491106!B:C,2,FALSE)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5.2676056338028165E-3</v>
      </c>
      <c r="F7">
        <f>(COUNTIF(tables_491106!C:C,input_491106!A25)+COUNTIF(tables_491106!C:C,input_491106!A18)+COUNTIF(tables_491106!C:C,input_491106!A20)+COUNTIF(tables_491106!C:C,input_491106!A22))</f>
        <v>71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VLOOKUP(L7,tables_491106!B:C,2,FALSE)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2.5499999999999998E-2</v>
      </c>
      <c r="F8">
        <f>(COUNTIF(tables_491106!C:C,input_491106!A40)+COUNTIF(tables_491106!C:C,input_491106!A33)+COUNTIF(tables_491106!C:C,input_491106!A35)+COUNTIF(tables_491106!C:C,input_491106!A37))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VLOOKUP(L8,tables_491106!B:C,2,FALSE)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VLOOKUP(L9,tables_491106!B:C,2,FALSE)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0.93499999999999994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VLOOKUP(L10,tables_491106!B:C,2,FALSE)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89">
        <f>5%</f>
        <v>0.05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VLOOKUP(L11,tables_491106!B:C,2,FALSE)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1.4999999999999999E-2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VLOOKUP(L12,tables_491106!B:C,2,FALSE)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VLOOKUP(L13,tables_491106!B:C,2,FALSE)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VLOOKUP(L14,tables_491106!B:C,2,FALSE)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VLOOKUP(L15,tables_491106!B:C,2,FALSE)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VLOOKUP(L16,tables_491106!B:C,2,FALSE)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1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COUNTIF(tables_491106!C:C,input_491106!A17)-COUNTIF(Q:Q,A17)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VLOOKUP(L17,tables_491106!B:C,2,FALSE)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E$7*E18-B17+0.01</f>
        <v>8.9014084507042249E-2</v>
      </c>
      <c r="C18" s="86">
        <f t="shared" si="2"/>
        <v>0</v>
      </c>
      <c r="D18" s="75">
        <f t="shared" si="3"/>
        <v>8.9014084507042249E-2</v>
      </c>
      <c r="E18">
        <f>COUNTIF(tables_491106!C:C,input_491106!A18)-COUNTIF(Q:Q,A18)</f>
        <v>15</v>
      </c>
      <c r="F18" s="43">
        <f>IFERROR(B18/E18,0)</f>
        <v>5.9342723004694835E-3</v>
      </c>
      <c r="G18">
        <f t="shared" si="4"/>
        <v>1162880</v>
      </c>
      <c r="H18">
        <f t="shared" si="5"/>
        <v>77525.333329999994</v>
      </c>
      <c r="I18">
        <f t="shared" si="6"/>
        <v>0.33332999999402091</v>
      </c>
      <c r="J18">
        <f t="shared" si="7"/>
        <v>3.0000300003538158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VLOOKUP(L18,tables_491106!B:C,2,FALSE)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COUNTIF(tables_491106!C:C,input_491106!A19)-COUNTIF(Q:Q,A19)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VLOOKUP(L19,tables_491106!B:C,2,FALSE)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1">
        <f>E$7*E20*B$6+F49-0.03+0.01-G64</f>
        <v>0.16516478873107773</v>
      </c>
      <c r="C20" s="86">
        <f t="shared" si="2"/>
        <v>0</v>
      </c>
      <c r="D20" s="75">
        <f t="shared" si="3"/>
        <v>0.16516478873107773</v>
      </c>
      <c r="E20">
        <f>COUNTIF(tables_491106!C:C,input_491106!A20)-COUNTIF(Q:Q,A20)</f>
        <v>39</v>
      </c>
      <c r="F20" s="43">
        <f t="shared" si="8"/>
        <v>4.2349945828481471E-3</v>
      </c>
      <c r="G20">
        <f t="shared" si="4"/>
        <v>2157712.7999827997</v>
      </c>
      <c r="H20">
        <f t="shared" si="5"/>
        <v>55325.969230000002</v>
      </c>
      <c r="I20">
        <f t="shared" si="6"/>
        <v>0.9692300000024261</v>
      </c>
      <c r="J20">
        <f t="shared" si="7"/>
        <v>1.0317468505901559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VLOOKUP(L20,tables_491106!B:C,2,FALSE)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2.7183098591549229E-4</v>
      </c>
      <c r="C21" s="86">
        <f t="shared" si="2"/>
        <v>0</v>
      </c>
      <c r="D21" s="75">
        <f t="shared" si="3"/>
        <v>2.7183098591549229E-4</v>
      </c>
      <c r="E21">
        <f>COUNTIF(tables_491106!C:C,input_491106!A21)-COUNTIF(Q:Q,A21)</f>
        <v>39</v>
      </c>
      <c r="F21" s="43">
        <f t="shared" si="8"/>
        <v>6.9700252798844177E-6</v>
      </c>
      <c r="G21">
        <f t="shared" si="4"/>
        <v>3551.1999999999912</v>
      </c>
      <c r="H21">
        <f t="shared" si="5"/>
        <v>91.05641</v>
      </c>
      <c r="I21">
        <f t="shared" si="6"/>
        <v>5.6409999999999627E-2</v>
      </c>
      <c r="J21">
        <f t="shared" si="7"/>
        <v>17.72735330615151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9.5005633802816986E-2</v>
      </c>
      <c r="C22" s="86">
        <f t="shared" si="2"/>
        <v>0</v>
      </c>
      <c r="D22" s="75">
        <f t="shared" si="3"/>
        <v>9.5005633802816986E-2</v>
      </c>
      <c r="E22">
        <f>COUNTIF(tables_491106!C:C,input_491106!A22)-COUNTIF(Q:Q,A22)</f>
        <v>14</v>
      </c>
      <c r="F22" s="43">
        <f t="shared" si="8"/>
        <v>6.786116700201213E-3</v>
      </c>
      <c r="G22">
        <f t="shared" si="4"/>
        <v>1241153.600000001</v>
      </c>
      <c r="H22">
        <f t="shared" si="5"/>
        <v>88653.828569999998</v>
      </c>
      <c r="I22">
        <f t="shared" si="6"/>
        <v>0.8285699999978533</v>
      </c>
      <c r="J22">
        <f t="shared" si="7"/>
        <v>1.2068986325869762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4.7408450704225355E-3</v>
      </c>
      <c r="C23" s="86">
        <f t="shared" si="2"/>
        <v>0</v>
      </c>
      <c r="D23" s="75">
        <f t="shared" si="3"/>
        <v>4.7408450704225355E-3</v>
      </c>
      <c r="E23">
        <f>COUNTIF(tables_491106!C:C,input_491106!A23)-COUNTIF(Q:Q,A23)</f>
        <v>18</v>
      </c>
      <c r="F23" s="43">
        <f t="shared" si="8"/>
        <v>2.6338028169014085E-4</v>
      </c>
      <c r="G23">
        <f t="shared" si="4"/>
        <v>61934.400000000001</v>
      </c>
      <c r="H23">
        <f t="shared" si="5"/>
        <v>3440.8</v>
      </c>
      <c r="I23">
        <f t="shared" si="6"/>
        <v>0.8000000000001819</v>
      </c>
      <c r="J23">
        <f t="shared" si="7"/>
        <v>1.2499999999997158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COUNTIF(tables_491106!C:C,input_491106!A24)-COUNTIF(Q:Q,A24)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1.5012676056338025E-2</v>
      </c>
      <c r="C25" s="86">
        <f t="shared" si="2"/>
        <v>0</v>
      </c>
      <c r="D25" s="75">
        <f t="shared" si="3"/>
        <v>1.5012676056338025E-2</v>
      </c>
      <c r="E25">
        <f>COUNTIF(tables_491106!C:C,input_491106!A25)-COUNTIF(Q:Q,A25)</f>
        <v>3</v>
      </c>
      <c r="F25" s="43">
        <f t="shared" si="8"/>
        <v>5.0042253521126751E-3</v>
      </c>
      <c r="G25">
        <f t="shared" si="4"/>
        <v>196125.59999999998</v>
      </c>
      <c r="H25">
        <f t="shared" si="5"/>
        <v>65375.199999999997</v>
      </c>
      <c r="I25">
        <f t="shared" si="6"/>
        <v>0.19999999999708962</v>
      </c>
      <c r="J25">
        <f t="shared" si="7"/>
        <v>5.0000000000727596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7.9014084507042254E-4</v>
      </c>
      <c r="C26" s="86">
        <f t="shared" si="2"/>
        <v>0</v>
      </c>
      <c r="D26" s="75">
        <f t="shared" si="3"/>
        <v>7.9014084507042254E-4</v>
      </c>
      <c r="E26">
        <f>COUNTIF(tables_491106!C:C,input_491106!A26)-COUNTIF(Q:Q,A26)</f>
        <v>3</v>
      </c>
      <c r="F26" s="43">
        <f t="shared" si="8"/>
        <v>2.6338028169014085E-4</v>
      </c>
      <c r="G26">
        <f t="shared" si="4"/>
        <v>10322.4</v>
      </c>
      <c r="H26">
        <f t="shared" si="5"/>
        <v>3440.8</v>
      </c>
      <c r="I26">
        <f t="shared" si="6"/>
        <v>0.8000000000001819</v>
      </c>
      <c r="J26">
        <f t="shared" si="7"/>
        <v>1.2499999999997158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1.867391304479488E-2</v>
      </c>
      <c r="C27" s="86">
        <f t="shared" si="2"/>
        <v>0</v>
      </c>
      <c r="D27" s="75">
        <f t="shared" si="3"/>
        <v>1.867391304479488E-2</v>
      </c>
      <c r="E27">
        <f>COUNTIF(tables_491106!C:C,input_491106!A27)-COUNTIF(Q:Q,A27)</f>
        <v>21</v>
      </c>
      <c r="F27" s="43">
        <f>IFERROR(B27/E27,0)</f>
        <v>8.8923395451404193E-4</v>
      </c>
      <c r="G27">
        <f t="shared" si="4"/>
        <v>243956.00001720031</v>
      </c>
      <c r="H27">
        <f t="shared" si="5"/>
        <v>11616.952380000001</v>
      </c>
      <c r="I27">
        <f t="shared" si="6"/>
        <v>0.95238000000063039</v>
      </c>
      <c r="J27">
        <f t="shared" si="7"/>
        <v>1.0500010500003549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4.5652173913043485E-4</v>
      </c>
      <c r="C28" s="86">
        <f t="shared" si="2"/>
        <v>0</v>
      </c>
      <c r="D28" s="75">
        <f t="shared" si="3"/>
        <v>4.5652173913043485E-4</v>
      </c>
      <c r="E28">
        <f>COUNTIF(tables_491106!C:C,input_491106!A28)-COUNTIF(Q:Q,A28)</f>
        <v>21</v>
      </c>
      <c r="F28" s="43">
        <f t="shared" si="8"/>
        <v>2.1739130434782614E-5</v>
      </c>
      <c r="G28">
        <f t="shared" si="4"/>
        <v>5964.0000000000009</v>
      </c>
      <c r="H28">
        <f t="shared" si="5"/>
        <v>284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</f>
        <v>1.0869565217391306E-2</v>
      </c>
      <c r="C29" s="86">
        <f t="shared" si="2"/>
        <v>0</v>
      </c>
      <c r="D29" s="75">
        <f t="shared" si="3"/>
        <v>1.0869565217391306E-2</v>
      </c>
      <c r="E29">
        <f>COUNTIF(tables_491106!C:C,input_491106!A29)-COUNTIF(Q:Q,A29)</f>
        <v>25</v>
      </c>
      <c r="F29" s="43">
        <f t="shared" si="8"/>
        <v>4.3478260869565224E-4</v>
      </c>
      <c r="G29">
        <f t="shared" si="4"/>
        <v>142000.00000000003</v>
      </c>
      <c r="H29">
        <f t="shared" si="5"/>
        <v>5680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COUNTIF(tables_491106!C:C,input_491106!A30)-COUNTIF(Q:Q,A30)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COUNTIF(tables_491106!C:C,input_491106!A31)-COUNTIF(Q:Q,A31)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1">
        <f>B$5*0.6-B34-B39</f>
        <v>0</v>
      </c>
      <c r="C32" s="86">
        <f t="shared" si="2"/>
        <v>0</v>
      </c>
      <c r="D32" s="75">
        <f t="shared" si="3"/>
        <v>0</v>
      </c>
      <c r="E32">
        <f>COUNTIF(tables_491106!C:C,input_491106!A32)-COUNTIF(Q:Q,A32)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0.14749999999999999</v>
      </c>
      <c r="C33" s="86">
        <f t="shared" si="2"/>
        <v>0</v>
      </c>
      <c r="D33" s="75">
        <f t="shared" si="3"/>
        <v>0.14749999999999999</v>
      </c>
      <c r="E33">
        <f>COUNTIF(tables_491106!C:C,input_491106!A33)-COUNTIF(Q:Q,A33)</f>
        <v>5</v>
      </c>
      <c r="F33" s="43">
        <f>IFERROR(B33/E33,0)</f>
        <v>2.9499999999999998E-2</v>
      </c>
      <c r="G33">
        <f t="shared" si="4"/>
        <v>1926940</v>
      </c>
      <c r="H33">
        <f t="shared" si="5"/>
        <v>385388</v>
      </c>
      <c r="I33">
        <f t="shared" si="6"/>
        <v>0</v>
      </c>
      <c r="J33">
        <f t="shared" si="7"/>
        <v>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COUNTIF(tables_491106!C:C,input_491106!A34)-COUNTIF(Q:Q,A34)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0.33954360973974285</v>
      </c>
      <c r="C35" s="86">
        <f t="shared" si="2"/>
        <v>0</v>
      </c>
      <c r="D35" s="75">
        <f t="shared" si="3"/>
        <v>0.33954360973974285</v>
      </c>
      <c r="E35">
        <f>COUNTIF(tables_491106!C:C,input_491106!A35)-COUNTIF(Q:Q,A35)</f>
        <v>13</v>
      </c>
      <c r="F35" s="43">
        <f t="shared" si="9"/>
        <v>2.6118739210749451E-2</v>
      </c>
      <c r="G35">
        <f t="shared" si="4"/>
        <v>4435797.7176400004</v>
      </c>
      <c r="H35">
        <f t="shared" si="5"/>
        <v>341215.20905</v>
      </c>
      <c r="I35">
        <f t="shared" si="6"/>
        <v>0.20905000000493601</v>
      </c>
      <c r="J35">
        <f t="shared" si="7"/>
        <v>4.7835446064405085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E$8*E36*B$7-E49+0.016</f>
        <v>7.9563902602571082E-3</v>
      </c>
      <c r="C36" s="86">
        <f t="shared" si="2"/>
        <v>0</v>
      </c>
      <c r="D36" s="75">
        <f t="shared" si="3"/>
        <v>7.9563902602571082E-3</v>
      </c>
      <c r="E36">
        <f>COUNTIF(tables_491106!C:C,input_491106!A36)-COUNTIF(Q:Q,A36)</f>
        <v>13</v>
      </c>
      <c r="F36" s="43">
        <f t="shared" si="9"/>
        <v>6.1203002001977756E-4</v>
      </c>
      <c r="G36">
        <f t="shared" si="4"/>
        <v>103942.28235999886</v>
      </c>
      <c r="H36">
        <f t="shared" si="5"/>
        <v>7995.5601800000004</v>
      </c>
      <c r="I36">
        <f t="shared" si="6"/>
        <v>0.56018000000040047</v>
      </c>
      <c r="J36">
        <f t="shared" si="7"/>
        <v>1.7851404905553305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E$8*E37-B38-C50-0.006</f>
        <v>4.41249999999999E-2</v>
      </c>
      <c r="C37" s="86">
        <f t="shared" si="2"/>
        <v>0</v>
      </c>
      <c r="D37" s="75">
        <f t="shared" si="3"/>
        <v>4.41249999999999E-2</v>
      </c>
      <c r="E37">
        <f>COUNTIF(tables_491106!C:C,input_491106!A37)-COUNTIF(Q:Q,A37)</f>
        <v>3</v>
      </c>
      <c r="F37" s="43">
        <f t="shared" si="9"/>
        <v>1.4708333333333301E-2</v>
      </c>
      <c r="G37">
        <f t="shared" si="4"/>
        <v>576448.99999999872</v>
      </c>
      <c r="H37">
        <f t="shared" si="5"/>
        <v>192149.66667000001</v>
      </c>
      <c r="I37">
        <f t="shared" si="6"/>
        <v>0.66667000000597909</v>
      </c>
      <c r="J37">
        <f t="shared" si="7"/>
        <v>1.499992500024047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E38*E8*B7-0.006</f>
        <v>3.7500000000000033E-4</v>
      </c>
      <c r="C38" s="86">
        <f t="shared" si="2"/>
        <v>0</v>
      </c>
      <c r="D38" s="75">
        <f t="shared" si="3"/>
        <v>3.7500000000000033E-4</v>
      </c>
      <c r="E38">
        <f>COUNTIF(tables_491106!C:C,input_491106!A38)-COUNTIF(Q:Q,A38)</f>
        <v>5</v>
      </c>
      <c r="F38" s="43">
        <f t="shared" si="9"/>
        <v>7.5000000000000061E-5</v>
      </c>
      <c r="G38">
        <f t="shared" si="4"/>
        <v>4899.0000000000045</v>
      </c>
      <c r="H38">
        <f t="shared" si="5"/>
        <v>979.8</v>
      </c>
      <c r="I38">
        <f t="shared" si="6"/>
        <v>0.79999999999995453</v>
      </c>
      <c r="J38">
        <f t="shared" si="7"/>
        <v>1.2500000000000711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COUNTIF(tables_491106!C:C,input_491106!A39)-COUNTIF(Q:Q,A39)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2.4224999999999997E-2</v>
      </c>
      <c r="C40" s="86">
        <f t="shared" si="2"/>
        <v>0</v>
      </c>
      <c r="D40" s="75">
        <f t="shared" si="3"/>
        <v>2.4224999999999997E-2</v>
      </c>
      <c r="E40">
        <f>COUNTIF(tables_491106!C:C,input_491106!A40)-COUNTIF(Q:Q,A40)</f>
        <v>1</v>
      </c>
      <c r="F40" s="43">
        <f t="shared" si="9"/>
        <v>2.4224999999999997E-2</v>
      </c>
      <c r="G40">
        <f t="shared" si="4"/>
        <v>316475.39999999997</v>
      </c>
      <c r="H40">
        <f t="shared" si="5"/>
        <v>316475.40000000002</v>
      </c>
      <c r="I40">
        <f t="shared" si="6"/>
        <v>0.40000000002328306</v>
      </c>
      <c r="J40">
        <f t="shared" si="7"/>
        <v>2.4999999998544808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1.2750000000000001E-3</v>
      </c>
      <c r="C41" s="86">
        <f t="shared" si="2"/>
        <v>0</v>
      </c>
      <c r="D41" s="75">
        <f t="shared" si="3"/>
        <v>1.2750000000000001E-3</v>
      </c>
      <c r="E41">
        <f>COUNTIF(tables_491106!C:C,input_491106!A41)-COUNTIF(Q:Q,A41)</f>
        <v>1</v>
      </c>
      <c r="F41" s="43">
        <f t="shared" si="9"/>
        <v>1.2750000000000001E-3</v>
      </c>
      <c r="G41">
        <f t="shared" si="4"/>
        <v>16656.600000000002</v>
      </c>
      <c r="H41">
        <f t="shared" si="5"/>
        <v>16656.599999999999</v>
      </c>
      <c r="I41">
        <f t="shared" si="6"/>
        <v>0.59999999999854481</v>
      </c>
      <c r="J41">
        <f t="shared" si="7"/>
        <v>1.6666666666707088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1.1735294117647057E-2</v>
      </c>
      <c r="C42" s="86">
        <f t="shared" si="2"/>
        <v>0</v>
      </c>
      <c r="D42" s="75">
        <f t="shared" si="3"/>
        <v>1.1735294117647057E-2</v>
      </c>
      <c r="E42">
        <f>COUNTIF(tables_491106!C:C,input_491106!A42)-COUNTIF(Q:Q,A42)</f>
        <v>7</v>
      </c>
      <c r="F42" s="43">
        <f>IFERROR(B42/E42,0)</f>
        <v>1.6764705882352938E-3</v>
      </c>
      <c r="G42">
        <f t="shared" si="4"/>
        <v>153309.88235294115</v>
      </c>
      <c r="H42">
        <f t="shared" si="5"/>
        <v>21901.411759999999</v>
      </c>
      <c r="I42">
        <f t="shared" si="6"/>
        <v>0.41175999999904889</v>
      </c>
      <c r="J42">
        <f t="shared" si="7"/>
        <v>2.4285991839962837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6.1764705882352941E-4</v>
      </c>
      <c r="C43" s="86">
        <f t="shared" si="2"/>
        <v>0</v>
      </c>
      <c r="D43" s="75">
        <f t="shared" si="3"/>
        <v>6.1764705882352941E-4</v>
      </c>
      <c r="E43">
        <f>COUNTIF(tables_491106!C:C,input_491106!A43)-COUNTIF(Q:Q,A43)</f>
        <v>7</v>
      </c>
      <c r="F43" s="43">
        <f t="shared" ref="F43:F46" si="10">IFERROR(B43/E43,0)</f>
        <v>8.8235294117647065E-5</v>
      </c>
      <c r="G43">
        <f t="shared" si="4"/>
        <v>8068.9411764705883</v>
      </c>
      <c r="H43">
        <f t="shared" si="5"/>
        <v>1152.70588</v>
      </c>
      <c r="I43">
        <f t="shared" si="6"/>
        <v>0.70587999999997919</v>
      </c>
      <c r="J43">
        <f t="shared" si="7"/>
        <v>1.4166713889046714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E$6*E44-0.01</f>
        <v>7.6470588235294113E-3</v>
      </c>
      <c r="C44" s="86">
        <f t="shared" si="2"/>
        <v>0</v>
      </c>
      <c r="D44" s="75">
        <f t="shared" si="3"/>
        <v>7.6470588235294113E-3</v>
      </c>
      <c r="E44">
        <f>COUNTIF(tables_491106!C:C,input_491106!A44)-COUNTIF(Q:Q,A44)</f>
        <v>10</v>
      </c>
      <c r="F44" s="43">
        <f t="shared" si="10"/>
        <v>7.6470588235294111E-4</v>
      </c>
      <c r="G44">
        <f t="shared" si="4"/>
        <v>99901.176470588223</v>
      </c>
      <c r="H44">
        <f t="shared" si="5"/>
        <v>9990.1176500000001</v>
      </c>
      <c r="I44">
        <f t="shared" si="6"/>
        <v>0.1176500000001397</v>
      </c>
      <c r="J44">
        <f t="shared" si="7"/>
        <v>8.4997875053022742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COUNTIF(tables_491106!C:C,input_491106!A45)-COUNTIF(Q:Q,A45)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1.4999999999999999E-2</v>
      </c>
      <c r="C46" s="86">
        <f t="shared" si="2"/>
        <v>0</v>
      </c>
      <c r="D46" s="75">
        <f t="shared" si="3"/>
        <v>1.4999999999999999E-2</v>
      </c>
      <c r="E46">
        <f>COUNTIF(tables_491106!C:C,input_491106!A46)-COUNTIF(Q:Q,A46)</f>
        <v>1</v>
      </c>
      <c r="F46" s="43">
        <f t="shared" si="10"/>
        <v>1.4999999999999999E-2</v>
      </c>
      <c r="G46">
        <f t="shared" si="4"/>
        <v>195960</v>
      </c>
      <c r="H46">
        <f t="shared" si="5"/>
        <v>195960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0">
        <f>SUM(B32:B46)</f>
        <v>0.59999999999999987</v>
      </c>
      <c r="E49" s="95">
        <v>2.4618609739742892E-2</v>
      </c>
      <c r="F49" s="95"/>
      <c r="G49" s="106">
        <f ca="1">G57-0.05</f>
        <v>-7.6549183658514153E-13</v>
      </c>
      <c r="H49" s="104"/>
    </row>
    <row r="50" spans="1:8" x14ac:dyDescent="0.15">
      <c r="A50" t="s">
        <v>74</v>
      </c>
      <c r="C50" s="90">
        <v>2.6000000000000099E-2</v>
      </c>
      <c r="D50" s="94"/>
      <c r="E50" s="95"/>
      <c r="F50" s="103"/>
      <c r="G50" s="106"/>
      <c r="H50" s="55"/>
    </row>
    <row r="51" spans="1:8" x14ac:dyDescent="0.15">
      <c r="A51" s="31">
        <f>LCM(F5-I5,F7-I6)*1000*2*2</f>
        <v>13064000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2" t="s">
        <v>283</v>
      </c>
    </row>
    <row r="55" spans="1:8" x14ac:dyDescent="0.15">
      <c r="A55" s="33" t="s">
        <v>106</v>
      </c>
      <c r="B55">
        <f ca="1">SUMIF(tables_491106!C:C,input_491106!A55,tables_491106!O:O)</f>
        <v>0</v>
      </c>
      <c r="C55" s="54">
        <f t="shared" ref="C55:C61" ca="1" si="11">B55/B$62</f>
        <v>0</v>
      </c>
      <c r="E55">
        <v>3</v>
      </c>
      <c r="F55">
        <f ca="1">SUMIF(tables_491106!J:J,input_491106!E55,tables_491106!O:O)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SUMIF(tables_491106!C:C,input_491106!A56,tables_491106!O:O)</f>
        <v>2157712.7999699991</v>
      </c>
      <c r="C56" s="54">
        <f t="shared" ca="1" si="11"/>
        <v>0.89487687377806613</v>
      </c>
      <c r="E56">
        <v>4</v>
      </c>
      <c r="F56">
        <f ca="1">SUMIF(tables_491106!J:J,input_491106!E56,tables_491106!O:O)</f>
        <v>12410799.999860002</v>
      </c>
      <c r="G56">
        <f ca="1">F56/A51</f>
        <v>0.94999999998928364</v>
      </c>
      <c r="H56" s="55">
        <f>B18+B20+B22+B25+B27+B30+B33+B35+B37+B40+B42+B45</f>
        <v>0.94999999999945961</v>
      </c>
    </row>
    <row r="57" spans="1:8" x14ac:dyDescent="0.15">
      <c r="A57" s="33" t="s">
        <v>109</v>
      </c>
      <c r="B57">
        <f ca="1">SUMIF(tables_491106!C:C,input_491106!A57,tables_491106!O:O)</f>
        <v>243955.99998000002</v>
      </c>
      <c r="C57" s="54">
        <f t="shared" ca="1" si="11"/>
        <v>0.10117684921020989</v>
      </c>
      <c r="E57">
        <v>5</v>
      </c>
      <c r="F57">
        <f ca="1">SUMIF(tables_491106!J:J,input_491106!E57,tables_491106!O:O)</f>
        <v>653199.99998999969</v>
      </c>
      <c r="G57">
        <f ca="1">F57/A51</f>
        <v>4.9999999999234511E-2</v>
      </c>
      <c r="H57" s="55">
        <f>B21+B23+B26+B28+B29+B31+B36+B38+B41+B43+B44+B46</f>
        <v>5.0000000000540237E-2</v>
      </c>
    </row>
    <row r="58" spans="1:8" x14ac:dyDescent="0.15">
      <c r="A58" s="33" t="s">
        <v>113</v>
      </c>
      <c r="B58">
        <f>SUMIF(tables_491106!C:C,input_491106!A58,tables_491106!O:O)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SUMIF(tables_491106!C:C,input_491106!A59,tables_491106!O:O)</f>
        <v>3551.1999900000014</v>
      </c>
      <c r="C59" s="54">
        <f t="shared" ca="1" si="11"/>
        <v>1.4728033986988844E-3</v>
      </c>
      <c r="E59" t="s">
        <v>55</v>
      </c>
      <c r="F59" s="55"/>
    </row>
    <row r="60" spans="1:8" x14ac:dyDescent="0.15">
      <c r="A60" s="33" t="s">
        <v>110</v>
      </c>
      <c r="B60">
        <f ca="1">SUMIF(tables_491106!C:C,input_491106!A60,tables_491106!O:O)</f>
        <v>5964</v>
      </c>
      <c r="C60" s="54">
        <f t="shared" ca="1" si="11"/>
        <v>2.4734736130251405E-3</v>
      </c>
      <c r="E60" t="s">
        <v>210</v>
      </c>
      <c r="F60" s="55">
        <f ca="1">SUMIF(tables_491106!I:I,input_491106!E60,tables_491106!P:P)</f>
        <v>0.2377176056327048</v>
      </c>
    </row>
    <row r="61" spans="1:8" x14ac:dyDescent="0.15">
      <c r="A61" s="33" t="s">
        <v>111</v>
      </c>
      <c r="B61">
        <f>SUMIF(tables_491106!C:C,input_491106!A61,tables_491106!O:O)</f>
        <v>0</v>
      </c>
      <c r="C61" s="54">
        <f t="shared" ca="1" si="11"/>
        <v>0</v>
      </c>
      <c r="E61" t="s">
        <v>211</v>
      </c>
      <c r="F61" s="55">
        <f ca="1">SUMIF(tables_491106!I:I,input_491106!E61,tables_491106!P:P)</f>
        <v>0.20036023835426012</v>
      </c>
    </row>
    <row r="62" spans="1:8" x14ac:dyDescent="0.15">
      <c r="A62" s="39" t="s">
        <v>60</v>
      </c>
      <c r="B62">
        <f ca="1">SUM(B55:B61)</f>
        <v>2411183.9999399991</v>
      </c>
      <c r="C62" s="55">
        <f ca="1">SUM(C55:C61)</f>
        <v>1</v>
      </c>
      <c r="E62" t="s">
        <v>212</v>
      </c>
      <c r="F62" s="55">
        <f ca="1">SUMIF(tables_491106!I:I,input_491106!E62,tables_491106!P:P)</f>
        <v>0.49692215601535011</v>
      </c>
    </row>
    <row r="63" spans="1:8" x14ac:dyDescent="0.15">
      <c r="E63" t="s">
        <v>213</v>
      </c>
      <c r="F63" s="55">
        <f ca="1">SUMIF(tables_491106!I:I,input_491106!E63,tables_491106!P:P)</f>
        <v>4.706138107142218E-2</v>
      </c>
      <c r="G63" s="96">
        <f ca="1">0.05-F63-F64</f>
        <v>2.4877452528548893E-12</v>
      </c>
    </row>
    <row r="64" spans="1:8" x14ac:dyDescent="0.15">
      <c r="E64" t="s">
        <v>280</v>
      </c>
      <c r="F64" s="55">
        <f ca="1">SUMIF(tables_491106!I:I,input_491106!E64,tables_491106!P:P)</f>
        <v>2.9386189260900775E-3</v>
      </c>
      <c r="G64">
        <v>1.0000000001316619E-2</v>
      </c>
    </row>
    <row r="65" spans="5:6" x14ac:dyDescent="0.15">
      <c r="E65" t="s">
        <v>282</v>
      </c>
      <c r="F65" s="55">
        <f ca="1">SUMIF(tables_491106!I:I,input_491106!E65,tables_491106!P:P)</f>
        <v>1.5000000000172221E-2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1"/>
  <sheetViews>
    <sheetView showGridLines="0" zoomScale="70" zoomScaleNormal="70" zoomScalePageLayoutView="70" workbookViewId="0">
      <pane ySplit="1" topLeftCell="A325" activePane="bottomLeft" state="frozen"/>
      <selection activeCell="B13" sqref="B13"/>
      <selection pane="bottomLeft" activeCell="A337" sqref="A33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input_491106!A$2</f>
        <v>491106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IFERROR(VLOOKUP(B2,input_491106!L:R,7,FALSE),VLOOKUP(tables_491106!C2,input_491106!A:H,8,FALSE))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input_491106!A$2</f>
        <v>491106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IFERROR(VLOOKUP(B3,input_491106!L:R,7,FALSE),VLOOKUP(tables_491106!C3,input_491106!A:H,8,FALSE))</f>
        <v>77525.333329999994</v>
      </c>
      <c r="P3" s="46">
        <f t="shared" ca="1" si="2"/>
        <v>5.9342723002824629E-3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input_491106!A$2</f>
        <v>491106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IFERROR(VLOOKUP(B4,input_491106!L:R,7,FALSE),VLOOKUP(tables_491106!C4,input_491106!A:H,8,FALSE))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input_491106!A$2</f>
        <v>491106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IFERROR(VLOOKUP(B5,input_491106!L:R,7,FALSE),VLOOKUP(tables_491106!C5,input_491106!A:H,8,FALSE))</f>
        <v>77525.333329999994</v>
      </c>
      <c r="P5" s="46">
        <f t="shared" ca="1" si="2"/>
        <v>5.9342723002824629E-3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input_491106!A$2</f>
        <v>491106</v>
      </c>
      <c r="B6" s="6">
        <v>130</v>
      </c>
      <c r="C6" s="7" t="str">
        <f t="shared" si="0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IFERROR(VLOOKUP(B6,input_491106!L:R,7,FALSE),VLOOKUP(tables_491106!C6,input_491106!A:H,8,FALSE))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input_491106!A$2</f>
        <v>491106</v>
      </c>
      <c r="B7" s="6">
        <v>131</v>
      </c>
      <c r="C7" s="7" t="str">
        <f t="shared" si="0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IFERROR(VLOOKUP(B7,input_491106!L:R,7,FALSE),VLOOKUP(tables_491106!C7,input_491106!A:H,8,FALSE))</f>
        <v>77525.333329999994</v>
      </c>
      <c r="P7" s="46">
        <f t="shared" ca="1" si="2"/>
        <v>5.9342723002824629E-3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input_491106!A$2</f>
        <v>491106</v>
      </c>
      <c r="B8" s="6">
        <v>132</v>
      </c>
      <c r="C8" s="7" t="str">
        <f t="shared" si="0"/>
        <v>PremiumW3color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IFERROR(VLOOKUP(B8,input_491106!L:R,7,FALSE),VLOOKUP(tables_491106!C8,input_491106!A:H,8,FALSE))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input_491106!A$2</f>
        <v>491106</v>
      </c>
      <c r="B9" s="6">
        <v>133</v>
      </c>
      <c r="C9" s="7" t="str">
        <f t="shared" si="0"/>
        <v>PremiumW4color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IFERROR(VLOOKUP(B9,input_491106!L:R,7,FALSE),VLOOKUP(tables_491106!C9,input_491106!A:H,8,FALSE))</f>
        <v>385388</v>
      </c>
      <c r="P9" s="46">
        <f t="shared" ca="1" si="2"/>
        <v>2.9500000000338703E-2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input_491106!A$2</f>
        <v>491106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IFERROR(VLOOKUP(B10,input_491106!L:R,7,FALSE),VLOOKUP(tables_491106!C10,input_491106!A:H,8,FALSE))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input_491106!A$2</f>
        <v>491106</v>
      </c>
      <c r="B11" s="8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IFERROR(VLOOKUP(B11,input_491106!L:R,7,FALSE),VLOOKUP(tables_491106!C11,input_491106!A:H,8,FALSE))</f>
        <v>77525.333329999994</v>
      </c>
      <c r="P11" s="46">
        <f t="shared" ca="1" si="2"/>
        <v>5.9342723002824629E-3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input_491106!A$2</f>
        <v>491106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IFERROR(VLOOKUP(B12,input_491106!L:R,7,FALSE),VLOOKUP(tables_491106!C12,input_491106!A:H,8,FALSE))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input_491106!A$2</f>
        <v>491106</v>
      </c>
      <c r="B13" s="6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IFERROR(VLOOKUP(B13,input_491106!L:R,7,FALSE),VLOOKUP(tables_491106!C13,input_491106!A:H,8,FALSE))</f>
        <v>77525.333329999994</v>
      </c>
      <c r="P13" s="46">
        <f t="shared" ca="1" si="2"/>
        <v>5.9342723002824629E-3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input_491106!A$2</f>
        <v>491106</v>
      </c>
      <c r="B14" s="6">
        <v>138</v>
      </c>
      <c r="C14" s="7" t="str">
        <f t="shared" si="0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IFERROR(VLOOKUP(B14,input_491106!L:R,7,FALSE),VLOOKUP(tables_491106!C14,input_491106!A:H,8,FALSE))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input_491106!A$2</f>
        <v>491106</v>
      </c>
      <c r="B15" s="10">
        <v>139</v>
      </c>
      <c r="C15" s="7" t="str">
        <f t="shared" si="0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IFERROR(VLOOKUP(B15,input_491106!L:R,7,FALSE),VLOOKUP(tables_491106!C15,input_491106!A:H,8,FALSE))</f>
        <v>77525.333329999994</v>
      </c>
      <c r="P15" s="46">
        <f t="shared" ca="1" si="2"/>
        <v>5.9342723002824629E-3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input_491106!A$2</f>
        <v>491106</v>
      </c>
      <c r="B16" s="11">
        <v>140</v>
      </c>
      <c r="C16" s="7" t="str">
        <f t="shared" si="0"/>
        <v>PremiumW3color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IFERROR(VLOOKUP(B16,input_491106!L:R,7,FALSE),VLOOKUP(tables_491106!C16,input_491106!A:H,8,FALSE))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input_491106!A$2</f>
        <v>491106</v>
      </c>
      <c r="B17" s="6">
        <v>141</v>
      </c>
      <c r="C17" s="7" t="str">
        <f t="shared" si="0"/>
        <v>PremiumW4color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IFERROR(VLOOKUP(B17,input_491106!L:R,7,FALSE),VLOOKUP(tables_491106!C17,input_491106!A:H,8,FALSE))</f>
        <v>385388</v>
      </c>
      <c r="P17" s="46">
        <f t="shared" ca="1" si="2"/>
        <v>2.9500000000338703E-2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input_491106!A$2</f>
        <v>491106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IFERROR(VLOOKUP(B18,input_491106!L:R,7,FALSE),VLOOKUP(tables_491106!C18,input_491106!A:H,8,FALSE))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input_491106!A$2</f>
        <v>491106</v>
      </c>
      <c r="B19" s="10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IFERROR(VLOOKUP(B19,input_491106!L:R,7,FALSE),VLOOKUP(tables_491106!C19,input_491106!A:H,8,FALSE))</f>
        <v>77525.333329999994</v>
      </c>
      <c r="P19" s="46">
        <f t="shared" ca="1" si="2"/>
        <v>5.9342723002824629E-3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input_491106!A$2</f>
        <v>491106</v>
      </c>
      <c r="B20" s="6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IFERROR(VLOOKUP(B20,input_491106!L:R,7,FALSE),VLOOKUP(tables_491106!C20,input_491106!A:H,8,FALSE))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input_491106!A$2</f>
        <v>491106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IFERROR(VLOOKUP(B21,input_491106!L:R,7,FALSE),VLOOKUP(tables_491106!C21,input_491106!A:H,8,FALSE))</f>
        <v>77525.333329999994</v>
      </c>
      <c r="P21" s="46">
        <f t="shared" ca="1" si="2"/>
        <v>5.9342723002824629E-3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input_491106!A$2</f>
        <v>491106</v>
      </c>
      <c r="B22" s="6">
        <v>146</v>
      </c>
      <c r="C22" s="7" t="str">
        <f t="shared" si="0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IFERROR(VLOOKUP(B22,input_491106!L:R,7,FALSE),VLOOKUP(tables_491106!C22,input_491106!A:H,8,FALSE))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input_491106!A$2</f>
        <v>491106</v>
      </c>
      <c r="B23" s="6">
        <v>147</v>
      </c>
      <c r="C23" s="7" t="str">
        <f t="shared" si="0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IFERROR(VLOOKUP(B23,input_491106!L:R,7,FALSE),VLOOKUP(tables_491106!C23,input_491106!A:H,8,FALSE))</f>
        <v>77525.333329999994</v>
      </c>
      <c r="P23" s="46">
        <f t="shared" ca="1" si="2"/>
        <v>5.9342723002824629E-3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input_491106!A$2</f>
        <v>491106</v>
      </c>
      <c r="B24" s="6">
        <v>148</v>
      </c>
      <c r="C24" s="7" t="str">
        <f t="shared" si="0"/>
        <v>PremiumW3color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IFERROR(VLOOKUP(B24,input_491106!L:R,7,FALSE),VLOOKUP(tables_491106!C24,input_491106!A:H,8,FALSE))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input_491106!A$2</f>
        <v>491106</v>
      </c>
      <c r="B25" s="6">
        <v>149</v>
      </c>
      <c r="C25" s="7" t="str">
        <f t="shared" si="0"/>
        <v>PremiumW4color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IFERROR(VLOOKUP(B25,input_491106!L:R,7,FALSE),VLOOKUP(tables_491106!C25,input_491106!A:H,8,FALSE))</f>
        <v>385388</v>
      </c>
      <c r="P25" s="46">
        <f t="shared" ca="1" si="2"/>
        <v>2.9500000000338703E-2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input_491106!A$2</f>
        <v>491106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IFERROR(VLOOKUP(B26,input_491106!L:R,7,FALSE),VLOOKUP(tables_491106!C26,input_491106!A:H,8,FALSE))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input_491106!A$2</f>
        <v>491106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IFERROR(VLOOKUP(B27,input_491106!L:R,7,FALSE),VLOOKUP(tables_491106!C27,input_491106!A:H,8,FALSE))</f>
        <v>77525.333329999994</v>
      </c>
      <c r="P27" s="46">
        <f t="shared" ca="1" si="2"/>
        <v>5.9342723002824629E-3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input_491106!A$2</f>
        <v>491106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IFERROR(VLOOKUP(B28,input_491106!L:R,7,FALSE),VLOOKUP(tables_491106!C28,input_491106!A:H,8,FALSE))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input_491106!A$2</f>
        <v>491106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IFERROR(VLOOKUP(B29,input_491106!L:R,7,FALSE),VLOOKUP(tables_491106!C29,input_491106!A:H,8,FALSE))</f>
        <v>77525.333329999994</v>
      </c>
      <c r="P29" s="46">
        <f t="shared" ca="1" si="2"/>
        <v>5.9342723002824629E-3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input_491106!A$2</f>
        <v>491106</v>
      </c>
      <c r="B30" s="6">
        <v>154</v>
      </c>
      <c r="C30" s="7" t="str">
        <f t="shared" si="0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IFERROR(VLOOKUP(B30,input_491106!L:R,7,FALSE),VLOOKUP(tables_491106!C30,input_491106!A:H,8,FALSE))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input_491106!A$2</f>
        <v>491106</v>
      </c>
      <c r="B31" s="6">
        <v>155</v>
      </c>
      <c r="C31" s="7" t="str">
        <f t="shared" si="0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IFERROR(VLOOKUP(B31,input_491106!L:R,7,FALSE),VLOOKUP(tables_491106!C31,input_491106!A:H,8,FALSE))</f>
        <v>77525.333329999994</v>
      </c>
      <c r="P31" s="46">
        <f t="shared" ca="1" si="2"/>
        <v>5.9342723002824629E-3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input_491106!A$2</f>
        <v>491106</v>
      </c>
      <c r="B32" s="6">
        <v>156</v>
      </c>
      <c r="C32" s="7" t="str">
        <f t="shared" si="0"/>
        <v>PremiumW3color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IFERROR(VLOOKUP(B32,input_491106!L:R,7,FALSE),VLOOKUP(tables_491106!C32,input_491106!A:H,8,FALSE))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input_491106!A$2</f>
        <v>491106</v>
      </c>
      <c r="B33" s="6">
        <v>157</v>
      </c>
      <c r="C33" s="7" t="str">
        <f t="shared" si="0"/>
        <v>PremiumW4color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IFERROR(VLOOKUP(B33,input_491106!L:R,7,FALSE),VLOOKUP(tables_491106!C33,input_491106!A:H,8,FALSE))</f>
        <v>385388</v>
      </c>
      <c r="P33" s="46">
        <f t="shared" ca="1" si="2"/>
        <v>2.9500000000338703E-2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input_491106!A$2</f>
        <v>491106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IFERROR(VLOOKUP(B34,input_491106!L:R,7,FALSE),VLOOKUP(tables_491106!C34,input_491106!A:H,8,FALSE))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input_491106!A$2</f>
        <v>491106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IFERROR(VLOOKUP(B35,input_491106!L:R,7,FALSE),VLOOKUP(tables_491106!C35,input_491106!A:H,8,FALSE))</f>
        <v>77525.333329999994</v>
      </c>
      <c r="P35" s="46">
        <f t="shared" ca="1" si="2"/>
        <v>5.9342723002824629E-3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input_491106!A$2</f>
        <v>491106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IFERROR(VLOOKUP(B36,input_491106!L:R,7,FALSE),VLOOKUP(tables_491106!C36,input_491106!A:H,8,FALSE))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input_491106!A$2</f>
        <v>491106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IFERROR(VLOOKUP(B37,input_491106!L:R,7,FALSE),VLOOKUP(tables_491106!C37,input_491106!A:H,8,FALSE))</f>
        <v>77525.333329999994</v>
      </c>
      <c r="P37" s="46">
        <f t="shared" ca="1" si="2"/>
        <v>5.9342723002824629E-3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input_491106!A$2</f>
        <v>491106</v>
      </c>
      <c r="B38" s="6">
        <v>162</v>
      </c>
      <c r="C38" s="7" t="str">
        <f t="shared" si="0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IFERROR(VLOOKUP(B38,input_491106!L:R,7,FALSE),VLOOKUP(tables_491106!C38,input_491106!A:H,8,FALSE))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input_491106!A$2</f>
        <v>491106</v>
      </c>
      <c r="B39" s="6">
        <v>163</v>
      </c>
      <c r="C39" s="7" t="str">
        <f t="shared" si="0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IFERROR(VLOOKUP(B39,input_491106!L:R,7,FALSE),VLOOKUP(tables_491106!C39,input_491106!A:H,8,FALSE))</f>
        <v>77525.333329999994</v>
      </c>
      <c r="P39" s="46">
        <f t="shared" ca="1" si="2"/>
        <v>5.9342723002824629E-3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input_491106!A$2</f>
        <v>491106</v>
      </c>
      <c r="B40" s="6">
        <v>164</v>
      </c>
      <c r="C40" s="7" t="str">
        <f t="shared" si="0"/>
        <v>PremiumW3color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IFERROR(VLOOKUP(B40,input_491106!L:R,7,FALSE),VLOOKUP(tables_491106!C40,input_491106!A:H,8,FALSE))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input_491106!A$2</f>
        <v>491106</v>
      </c>
      <c r="B41" s="6">
        <v>165</v>
      </c>
      <c r="C41" s="7" t="str">
        <f t="shared" si="0"/>
        <v>PremiumW4color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IFERROR(VLOOKUP(B41,input_491106!L:R,7,FALSE),VLOOKUP(tables_491106!C41,input_491106!A:H,8,FALSE))</f>
        <v>385388</v>
      </c>
      <c r="P41" s="46">
        <f t="shared" ca="1" si="2"/>
        <v>2.9500000000338703E-2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input_491106!A$2</f>
        <v>491106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IFERROR(VLOOKUP(B42,input_491106!L:R,7,FALSE),VLOOKUP(tables_491106!C42,input_491106!A:H,8,FALSE))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input_491106!A$2</f>
        <v>491106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IFERROR(VLOOKUP(B43,input_491106!L:R,7,FALSE),VLOOKUP(tables_491106!C43,input_491106!A:H,8,FALSE))</f>
        <v>65375.199999999997</v>
      </c>
      <c r="P43" s="46">
        <f t="shared" ca="1" si="2"/>
        <v>5.0042253521701318E-3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input_491106!A$2</f>
        <v>491106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IFERROR(VLOOKUP(B44,input_491106!L:R,7,FALSE),VLOOKUP(tables_491106!C44,input_491106!A:H,8,FALSE))</f>
        <v>3440.8</v>
      </c>
      <c r="P44" s="46">
        <f t="shared" ca="1" si="2"/>
        <v>2.6338028169316485E-4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input_491106!A$2</f>
        <v>491106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IFERROR(VLOOKUP(B45,input_491106!L:R,7,FALSE),VLOOKUP(tables_491106!C45,input_491106!A:H,8,FALSE))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input_491106!A$2</f>
        <v>491106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IFERROR(VLOOKUP(B46,input_491106!L:R,7,FALSE),VLOOKUP(tables_491106!C46,input_491106!A:H,8,FALSE))</f>
        <v>65375.199999999997</v>
      </c>
      <c r="P46" s="46">
        <f t="shared" ca="1" si="2"/>
        <v>5.0042253521701318E-3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input_491106!A$2</f>
        <v>491106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IFERROR(VLOOKUP(B47,input_491106!L:R,7,FALSE),VLOOKUP(tables_491106!C47,input_491106!A:H,8,FALSE))</f>
        <v>3440.8</v>
      </c>
      <c r="P47" s="46">
        <f t="shared" ca="1" si="2"/>
        <v>2.6338028169316485E-4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input_491106!A$2</f>
        <v>491106</v>
      </c>
      <c r="B48" s="6">
        <v>172</v>
      </c>
      <c r="C48" s="7" t="str">
        <f t="shared" si="0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IFERROR(VLOOKUP(B48,input_491106!L:R,7,FALSE),VLOOKUP(tables_491106!C48,input_491106!A:H,8,FALSE))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input_491106!A$2</f>
        <v>491106</v>
      </c>
      <c r="B49" s="6">
        <v>173</v>
      </c>
      <c r="C49" s="7" t="str">
        <f t="shared" si="0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IFERROR(VLOOKUP(B49,input_491106!L:R,7,FALSE),VLOOKUP(tables_491106!C49,input_491106!A:H,8,FALSE))</f>
        <v>65375.199999999997</v>
      </c>
      <c r="P49" s="46">
        <f t="shared" ca="1" si="2"/>
        <v>5.0042253521701318E-3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input_491106!A$2</f>
        <v>491106</v>
      </c>
      <c r="B50" s="6">
        <v>174</v>
      </c>
      <c r="C50" s="7" t="str">
        <f t="shared" si="0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IFERROR(VLOOKUP(B50,input_491106!L:R,7,FALSE),VLOOKUP(tables_491106!C50,input_491106!A:H,8,FALSE))</f>
        <v>3440.8</v>
      </c>
      <c r="P50" s="46">
        <f t="shared" ca="1" si="2"/>
        <v>2.6338028169316485E-4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input_491106!A$2</f>
        <v>491106</v>
      </c>
      <c r="B51" s="6">
        <v>175</v>
      </c>
      <c r="C51" s="7" t="str">
        <f t="shared" si="0"/>
        <v>Premium3color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IFERROR(VLOOKUP(B51,input_491106!L:R,7,FALSE),VLOOKUP(tables_491106!C51,input_491106!A:H,8,FALSE))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input_491106!A$2</f>
        <v>491106</v>
      </c>
      <c r="B52" s="6">
        <v>176</v>
      </c>
      <c r="C52" s="7" t="str">
        <f t="shared" si="0"/>
        <v>Premium4color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IFERROR(VLOOKUP(B52,input_491106!L:R,7,FALSE),VLOOKUP(tables_491106!C52,input_491106!A:H,8,FALSE))</f>
        <v>341215.20905</v>
      </c>
      <c r="P52" s="46">
        <f t="shared" ca="1" si="2"/>
        <v>2.6118739211108209E-2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input_491106!A$2</f>
        <v>491106</v>
      </c>
      <c r="B53" s="6">
        <v>177</v>
      </c>
      <c r="C53" s="7" t="str">
        <f t="shared" si="0"/>
        <v>Premium5color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IFERROR(VLOOKUP(B53,input_491106!L:R,7,FALSE),VLOOKUP(tables_491106!C53,input_491106!A:H,8,FALSE))</f>
        <v>7995.5601800000004</v>
      </c>
      <c r="P53" s="46">
        <f t="shared" ca="1" si="2"/>
        <v>6.1203001990904778E-4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input_491106!A$2</f>
        <v>491106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IFERROR(VLOOKUP(B54,input_491106!L:R,7,FALSE),VLOOKUP(tables_491106!C54,input_491106!A:H,8,FALSE))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input_491106!A$2</f>
        <v>491106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IFERROR(VLOOKUP(B55,input_491106!L:R,7,FALSE),VLOOKUP(tables_491106!C55,input_491106!A:H,8,FALSE))</f>
        <v>55325.969230000002</v>
      </c>
      <c r="P55" s="46">
        <f t="shared" ca="1" si="2"/>
        <v>4.2349945828716491E-3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input_491106!A$2</f>
        <v>491106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IFERROR(VLOOKUP(B56,input_491106!L:R,7,FALSE),VLOOKUP(tables_491106!C56,input_491106!A:H,8,FALSE))</f>
        <v>91.05641</v>
      </c>
      <c r="P56" s="46">
        <f t="shared" ca="1" si="2"/>
        <v>6.9700252603372207E-6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input_491106!A$2</f>
        <v>491106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IFERROR(VLOOKUP(B57,input_491106!L:R,7,FALSE),VLOOKUP(tables_491106!C57,input_491106!A:H,8,FALSE))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input_491106!A$2</f>
        <v>491106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IFERROR(VLOOKUP(B58,input_491106!L:R,7,FALSE),VLOOKUP(tables_491106!C58,input_491106!A:H,8,FALSE))</f>
        <v>55325.969230000002</v>
      </c>
      <c r="P58" s="46">
        <f t="shared" ca="1" si="2"/>
        <v>4.2349945828716491E-3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input_491106!A$2</f>
        <v>491106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IFERROR(VLOOKUP(B59,input_491106!L:R,7,FALSE),VLOOKUP(tables_491106!C59,input_491106!A:H,8,FALSE))</f>
        <v>91.05641</v>
      </c>
      <c r="P59" s="46">
        <f t="shared" ca="1" si="2"/>
        <v>6.9700252603372207E-6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input_491106!A$2</f>
        <v>491106</v>
      </c>
      <c r="B60" s="6">
        <v>184</v>
      </c>
      <c r="C60" s="7" t="str">
        <f t="shared" si="0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IFERROR(VLOOKUP(B60,input_491106!L:R,7,FALSE),VLOOKUP(tables_491106!C60,input_491106!A:H,8,FALSE))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input_491106!A$2</f>
        <v>491106</v>
      </c>
      <c r="B61" s="8">
        <v>185</v>
      </c>
      <c r="C61" s="7" t="str">
        <f t="shared" si="0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IFERROR(VLOOKUP(B61,input_491106!L:R,7,FALSE),VLOOKUP(tables_491106!C61,input_491106!A:H,8,FALSE))</f>
        <v>55325.969230000002</v>
      </c>
      <c r="P61" s="46">
        <f t="shared" ca="1" si="2"/>
        <v>4.2349945828716491E-3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input_491106!A$2</f>
        <v>491106</v>
      </c>
      <c r="B62" s="8">
        <v>186</v>
      </c>
      <c r="C62" s="7" t="str">
        <f t="shared" si="0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IFERROR(VLOOKUP(B62,input_491106!L:R,7,FALSE),VLOOKUP(tables_491106!C62,input_491106!A:H,8,FALSE))</f>
        <v>91.05641</v>
      </c>
      <c r="P62" s="46">
        <f t="shared" ca="1" si="2"/>
        <v>6.9700252603372207E-6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input_491106!A$2</f>
        <v>491106</v>
      </c>
      <c r="B63" s="8">
        <v>187</v>
      </c>
      <c r="C63" s="7" t="str">
        <f t="shared" si="0"/>
        <v>Premium3color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IFERROR(VLOOKUP(B63,input_491106!L:R,7,FALSE),VLOOKUP(tables_491106!C63,input_491106!A:H,8,FALSE))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input_491106!A$2</f>
        <v>491106</v>
      </c>
      <c r="B64" s="8">
        <v>188</v>
      </c>
      <c r="C64" s="7" t="str">
        <f t="shared" si="0"/>
        <v>Premium4color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IFERROR(VLOOKUP(B64,input_491106!L:R,7,FALSE),VLOOKUP(tables_491106!C64,input_491106!A:H,8,FALSE))</f>
        <v>341215.20905</v>
      </c>
      <c r="P64" s="46">
        <f t="shared" ca="1" si="2"/>
        <v>2.6118739211108209E-2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input_491106!A$2</f>
        <v>491106</v>
      </c>
      <c r="B65" s="6">
        <v>189</v>
      </c>
      <c r="C65" s="7" t="str">
        <f t="shared" si="0"/>
        <v>Premium5color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IFERROR(VLOOKUP(B65,input_491106!L:R,7,FALSE),VLOOKUP(tables_491106!C65,input_491106!A:H,8,FALSE))</f>
        <v>7995.5601800000004</v>
      </c>
      <c r="P65" s="46">
        <f t="shared" ca="1" si="2"/>
        <v>6.1203001990904778E-4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input_491106!A$2</f>
        <v>491106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IF(K66="yellow","color","")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IFERROR(VLOOKUP(B66,input_491106!L:R,7,FALSE),VLOOKUP(tables_491106!C66,input_491106!A:H,8,FALSE))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input_491106!A$2</f>
        <v>491106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IFERROR(VLOOKUP(B67,input_491106!L:R,7,FALSE),VLOOKUP(tables_491106!C67,input_491106!A:H,8,FALSE))</f>
        <v>55325.969230000002</v>
      </c>
      <c r="P67" s="46">
        <f t="shared" ca="1" si="6"/>
        <v>4.2349945828716491E-3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input_491106!A$2</f>
        <v>491106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IFERROR(VLOOKUP(B68,input_491106!L:R,7,FALSE),VLOOKUP(tables_491106!C68,input_491106!A:H,8,FALSE))</f>
        <v>91.05641</v>
      </c>
      <c r="P68" s="46">
        <f t="shared" ca="1" si="6"/>
        <v>6.9700252603372207E-6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input_491106!A$2</f>
        <v>491106</v>
      </c>
      <c r="B69" s="10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IFERROR(VLOOKUP(B69,input_491106!L:R,7,FALSE),VLOOKUP(tables_491106!C69,input_491106!A:H,8,FALSE))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input_491106!A$2</f>
        <v>491106</v>
      </c>
      <c r="B70" s="6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IFERROR(VLOOKUP(B70,input_491106!L:R,7,FALSE),VLOOKUP(tables_491106!C70,input_491106!A:H,8,FALSE))</f>
        <v>55325.969230000002</v>
      </c>
      <c r="P70" s="46">
        <f t="shared" ca="1" si="6"/>
        <v>4.2349945828716491E-3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input_491106!A$2</f>
        <v>491106</v>
      </c>
      <c r="B71" s="10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IFERROR(VLOOKUP(B71,input_491106!L:R,7,FALSE),VLOOKUP(tables_491106!C71,input_491106!A:H,8,FALSE))</f>
        <v>91.05641</v>
      </c>
      <c r="P71" s="46">
        <f t="shared" ca="1" si="6"/>
        <v>6.9700252603372207E-6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input_491106!A$2</f>
        <v>491106</v>
      </c>
      <c r="B72" s="11">
        <v>196</v>
      </c>
      <c r="C72" s="7" t="str">
        <f t="shared" si="4"/>
        <v>Premium3color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IFERROR(VLOOKUP(B72,input_491106!L:R,7,FALSE),VLOOKUP(tables_491106!C72,input_491106!A:H,8,FALSE))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input_491106!A$2</f>
        <v>491106</v>
      </c>
      <c r="B73" s="6">
        <v>197</v>
      </c>
      <c r="C73" s="7" t="str">
        <f t="shared" si="4"/>
        <v>Premium4color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IFERROR(VLOOKUP(B73,input_491106!L:R,7,FALSE),VLOOKUP(tables_491106!C73,input_491106!A:H,8,FALSE))</f>
        <v>341215.20905</v>
      </c>
      <c r="P73" s="46">
        <f t="shared" ca="1" si="6"/>
        <v>2.6118739211108209E-2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input_491106!A$2</f>
        <v>491106</v>
      </c>
      <c r="B74" s="6">
        <v>198</v>
      </c>
      <c r="C74" s="7" t="str">
        <f t="shared" si="4"/>
        <v>Premium5color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IFERROR(VLOOKUP(B74,input_491106!L:R,7,FALSE),VLOOKUP(tables_491106!C74,input_491106!A:H,8,FALSE))</f>
        <v>7995.5601800000004</v>
      </c>
      <c r="P74" s="46">
        <f t="shared" ca="1" si="6"/>
        <v>6.1203001990904778E-4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input_491106!A$2</f>
        <v>491106</v>
      </c>
      <c r="B75" s="6">
        <v>199</v>
      </c>
      <c r="C75" s="7" t="str">
        <f t="shared" si="4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IFERROR(VLOOKUP(B75,input_491106!L:R,7,FALSE),VLOOKUP(tables_491106!C75,input_491106!A:H,8,FALSE))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input_491106!A$2</f>
        <v>491106</v>
      </c>
      <c r="B76" s="5">
        <v>200</v>
      </c>
      <c r="C76" s="7" t="str">
        <f t="shared" si="4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IFERROR(VLOOKUP(B76,input_491106!L:R,7,FALSE),VLOOKUP(tables_491106!C76,input_491106!A:H,8,FALSE))</f>
        <v>55325.969230000002</v>
      </c>
      <c r="P76" s="46">
        <f t="shared" ca="1" si="6"/>
        <v>4.2349945828716491E-3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input_491106!A$2</f>
        <v>491106</v>
      </c>
      <c r="B77" s="5">
        <v>201</v>
      </c>
      <c r="C77" s="7" t="str">
        <f t="shared" si="4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IFERROR(VLOOKUP(B77,input_491106!L:R,7,FALSE),VLOOKUP(tables_491106!C77,input_491106!A:H,8,FALSE))</f>
        <v>91.05641</v>
      </c>
      <c r="P77" s="46">
        <f t="shared" ca="1" si="6"/>
        <v>6.9700252603372207E-6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input_491106!A$2</f>
        <v>491106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IFERROR(VLOOKUP(B78,input_491106!L:R,7,FALSE),VLOOKUP(tables_491106!C78,input_491106!A:H,8,FALSE))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input_491106!A$2</f>
        <v>491106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IFERROR(VLOOKUP(B79,input_491106!L:R,7,FALSE),VLOOKUP(tables_491106!C79,input_491106!A:H,8,FALSE))</f>
        <v>55325.969230000002</v>
      </c>
      <c r="P79" s="46">
        <f t="shared" ca="1" si="6"/>
        <v>4.2349945828716491E-3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input_491106!A$2</f>
        <v>491106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IFERROR(VLOOKUP(B80,input_491106!L:R,7,FALSE),VLOOKUP(tables_491106!C80,input_491106!A:H,8,FALSE))</f>
        <v>91.05641</v>
      </c>
      <c r="P80" s="46">
        <f t="shared" ca="1" si="6"/>
        <v>6.9700252603372207E-6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input_491106!A$2</f>
        <v>491106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IFERROR(VLOOKUP(B81,input_491106!L:R,7,FALSE),VLOOKUP(tables_491106!C81,input_491106!A:H,8,FALSE))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input_491106!A$2</f>
        <v>491106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IFERROR(VLOOKUP(B82,input_491106!L:R,7,FALSE),VLOOKUP(tables_491106!C82,input_491106!A:H,8,FALSE))</f>
        <v>55325.969230000002</v>
      </c>
      <c r="P82" s="46">
        <f t="shared" ca="1" si="6"/>
        <v>4.2349945828716491E-3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input_491106!A$2</f>
        <v>491106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IFERROR(VLOOKUP(B83,input_491106!L:R,7,FALSE),VLOOKUP(tables_491106!C83,input_491106!A:H,8,FALSE))</f>
        <v>91.05641</v>
      </c>
      <c r="P83" s="46">
        <f t="shared" ca="1" si="6"/>
        <v>6.9700252603372207E-6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input_491106!A$2</f>
        <v>491106</v>
      </c>
      <c r="B84" s="5">
        <v>208</v>
      </c>
      <c r="C84" s="7" t="str">
        <f t="shared" si="4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IFERROR(VLOOKUP(B84,input_491106!L:R,7,FALSE),VLOOKUP(tables_491106!C84,input_491106!A:H,8,FALSE))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input_491106!A$2</f>
        <v>491106</v>
      </c>
      <c r="B85" s="5">
        <v>209</v>
      </c>
      <c r="C85" s="7" t="str">
        <f t="shared" si="4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IFERROR(VLOOKUP(B85,input_491106!L:R,7,FALSE),VLOOKUP(tables_491106!C85,input_491106!A:H,8,FALSE))</f>
        <v>55325.969230000002</v>
      </c>
      <c r="P85" s="46">
        <f t="shared" ca="1" si="6"/>
        <v>4.2349945828716491E-3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input_491106!A$2</f>
        <v>491106</v>
      </c>
      <c r="B86" s="5">
        <v>210</v>
      </c>
      <c r="C86" s="7" t="str">
        <f t="shared" si="4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IFERROR(VLOOKUP(B86,input_491106!L:R,7,FALSE),VLOOKUP(tables_491106!C86,input_491106!A:H,8,FALSE))</f>
        <v>91.05641</v>
      </c>
      <c r="P86" s="46">
        <f t="shared" ca="1" si="6"/>
        <v>6.9700252603372207E-6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input_491106!A$2</f>
        <v>491106</v>
      </c>
      <c r="B87" s="5">
        <v>211</v>
      </c>
      <c r="C87" s="7" t="str">
        <f t="shared" si="4"/>
        <v>Premium3color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IFERROR(VLOOKUP(B87,input_491106!L:R,7,FALSE),VLOOKUP(tables_491106!C87,input_491106!A:H,8,FALSE))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input_491106!A$2</f>
        <v>491106</v>
      </c>
      <c r="B88" s="5">
        <v>212</v>
      </c>
      <c r="C88" s="7" t="str">
        <f t="shared" si="4"/>
        <v>Premium4color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IFERROR(VLOOKUP(B88,input_491106!L:R,7,FALSE),VLOOKUP(tables_491106!C88,input_491106!A:H,8,FALSE))</f>
        <v>341215.20905</v>
      </c>
      <c r="P88" s="46">
        <f t="shared" ca="1" si="6"/>
        <v>2.6118739211108209E-2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input_491106!A$2</f>
        <v>491106</v>
      </c>
      <c r="B89" s="5">
        <v>213</v>
      </c>
      <c r="C89" s="7" t="str">
        <f t="shared" si="4"/>
        <v>Premium5color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IFERROR(VLOOKUP(B89,input_491106!L:R,7,FALSE),VLOOKUP(tables_491106!C89,input_491106!A:H,8,FALSE))</f>
        <v>7995.5601800000004</v>
      </c>
      <c r="P89" s="46">
        <f t="shared" ca="1" si="6"/>
        <v>6.1203001990904778E-4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input_491106!A$2</f>
        <v>491106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IFERROR(VLOOKUP(B90,input_491106!L:R,7,FALSE),VLOOKUP(tables_491106!C90,input_491106!A:H,8,FALSE))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input_491106!A$2</f>
        <v>491106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IFERROR(VLOOKUP(B91,input_491106!L:R,7,FALSE),VLOOKUP(tables_491106!C91,input_491106!A:H,8,FALSE))</f>
        <v>55325.969230000002</v>
      </c>
      <c r="P91" s="46">
        <f t="shared" ca="1" si="6"/>
        <v>4.2349945828716491E-3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input_491106!A$2</f>
        <v>491106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IFERROR(VLOOKUP(B92,input_491106!L:R,7,FALSE),VLOOKUP(tables_491106!C92,input_491106!A:H,8,FALSE))</f>
        <v>91.05641</v>
      </c>
      <c r="P92" s="46">
        <f t="shared" ca="1" si="6"/>
        <v>6.9700252603372207E-6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input_491106!A$2</f>
        <v>491106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IFERROR(VLOOKUP(B93,input_491106!L:R,7,FALSE),VLOOKUP(tables_491106!C93,input_491106!A:H,8,FALSE))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input_491106!A$2</f>
        <v>491106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IFERROR(VLOOKUP(B94,input_491106!L:R,7,FALSE),VLOOKUP(tables_491106!C94,input_491106!A:H,8,FALSE))</f>
        <v>55325.969230000002</v>
      </c>
      <c r="P94" s="46">
        <f t="shared" ca="1" si="6"/>
        <v>4.2349945828716491E-3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input_491106!A$2</f>
        <v>491106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IFERROR(VLOOKUP(B95,input_491106!L:R,7,FALSE),VLOOKUP(tables_491106!C95,input_491106!A:H,8,FALSE))</f>
        <v>91.05641</v>
      </c>
      <c r="P95" s="46">
        <f t="shared" ca="1" si="6"/>
        <v>6.9700252603372207E-6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input_491106!A$2</f>
        <v>491106</v>
      </c>
      <c r="B96" s="5">
        <v>220</v>
      </c>
      <c r="C96" s="7" t="str">
        <f t="shared" si="4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IFERROR(VLOOKUP(B96,input_491106!L:R,7,FALSE),VLOOKUP(tables_491106!C96,input_491106!A:H,8,FALSE))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input_491106!A$2</f>
        <v>491106</v>
      </c>
      <c r="B97" s="5">
        <v>221</v>
      </c>
      <c r="C97" s="7" t="str">
        <f t="shared" si="4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IFERROR(VLOOKUP(B97,input_491106!L:R,7,FALSE),VLOOKUP(tables_491106!C97,input_491106!A:H,8,FALSE))</f>
        <v>55325.969230000002</v>
      </c>
      <c r="P97" s="46">
        <f t="shared" ca="1" si="6"/>
        <v>4.2349945828716491E-3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input_491106!A$2</f>
        <v>491106</v>
      </c>
      <c r="B98" s="5">
        <v>222</v>
      </c>
      <c r="C98" s="7" t="str">
        <f t="shared" si="4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IFERROR(VLOOKUP(B98,input_491106!L:R,7,FALSE),VLOOKUP(tables_491106!C98,input_491106!A:H,8,FALSE))</f>
        <v>91.05641</v>
      </c>
      <c r="P98" s="46">
        <f t="shared" ca="1" si="6"/>
        <v>6.9700252603372207E-6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input_491106!A$2</f>
        <v>491106</v>
      </c>
      <c r="B99" s="5">
        <v>223</v>
      </c>
      <c r="C99" s="7" t="str">
        <f t="shared" si="4"/>
        <v>Premium3color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IFERROR(VLOOKUP(B99,input_491106!L:R,7,FALSE),VLOOKUP(tables_491106!C99,input_491106!A:H,8,FALSE))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input_491106!A$2</f>
        <v>491106</v>
      </c>
      <c r="B100" s="5">
        <v>224</v>
      </c>
      <c r="C100" s="7" t="str">
        <f t="shared" si="4"/>
        <v>Premium4color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IFERROR(VLOOKUP(B100,input_491106!L:R,7,FALSE),VLOOKUP(tables_491106!C100,input_491106!A:H,8,FALSE))</f>
        <v>341215.20905</v>
      </c>
      <c r="P100" s="46">
        <f t="shared" ca="1" si="6"/>
        <v>2.6118739211108209E-2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input_491106!A$2</f>
        <v>491106</v>
      </c>
      <c r="B101" s="5">
        <v>225</v>
      </c>
      <c r="C101" s="7" t="str">
        <f t="shared" si="4"/>
        <v>Premium5color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IFERROR(VLOOKUP(B101,input_491106!L:R,7,FALSE),VLOOKUP(tables_491106!C101,input_491106!A:H,8,FALSE))</f>
        <v>7995.5601800000004</v>
      </c>
      <c r="P101" s="46">
        <f t="shared" ca="1" si="6"/>
        <v>6.1203001990904778E-4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input_491106!A$2</f>
        <v>491106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IFERROR(VLOOKUP(B102,input_491106!L:R,7,FALSE),VLOOKUP(tables_491106!C102,input_491106!A:H,8,FALSE))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input_491106!A$2</f>
        <v>491106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IFERROR(VLOOKUP(B103,input_491106!L:R,7,FALSE),VLOOKUP(tables_491106!C103,input_491106!A:H,8,FALSE))</f>
        <v>55325.969230000002</v>
      </c>
      <c r="P103" s="46">
        <f t="shared" ca="1" si="6"/>
        <v>4.2349945828716491E-3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input_491106!A$2</f>
        <v>491106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IFERROR(VLOOKUP(B104,input_491106!L:R,7,FALSE),VLOOKUP(tables_491106!C104,input_491106!A:H,8,FALSE))</f>
        <v>91.05641</v>
      </c>
      <c r="P104" s="46">
        <f t="shared" ca="1" si="6"/>
        <v>6.9700252603372207E-6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input_491106!A$2</f>
        <v>491106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IFERROR(VLOOKUP(B105,input_491106!L:R,7,FALSE),VLOOKUP(tables_491106!C105,input_491106!A:H,8,FALSE))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input_491106!A$2</f>
        <v>491106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IFERROR(VLOOKUP(B106,input_491106!L:R,7,FALSE),VLOOKUP(tables_491106!C106,input_491106!A:H,8,FALSE))</f>
        <v>55325.969230000002</v>
      </c>
      <c r="P106" s="46">
        <f t="shared" ca="1" si="6"/>
        <v>4.2349945828716491E-3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input_491106!A$2</f>
        <v>491106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IFERROR(VLOOKUP(B107,input_491106!L:R,7,FALSE),VLOOKUP(tables_491106!C107,input_491106!A:H,8,FALSE))</f>
        <v>91.05641</v>
      </c>
      <c r="P107" s="46">
        <f t="shared" ca="1" si="6"/>
        <v>6.9700252603372207E-6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input_491106!A$2</f>
        <v>491106</v>
      </c>
      <c r="B108" s="5">
        <v>232</v>
      </c>
      <c r="C108" s="7" t="str">
        <f t="shared" si="4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IFERROR(VLOOKUP(B108,input_491106!L:R,7,FALSE),VLOOKUP(tables_491106!C108,input_491106!A:H,8,FALSE))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input_491106!A$2</f>
        <v>491106</v>
      </c>
      <c r="B109" s="5">
        <v>233</v>
      </c>
      <c r="C109" s="7" t="str">
        <f t="shared" si="4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IFERROR(VLOOKUP(B109,input_491106!L:R,7,FALSE),VLOOKUP(tables_491106!C109,input_491106!A:H,8,FALSE))</f>
        <v>55325.969230000002</v>
      </c>
      <c r="P109" s="46">
        <f t="shared" ca="1" si="6"/>
        <v>4.2349945828716491E-3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input_491106!A$2</f>
        <v>491106</v>
      </c>
      <c r="B110" s="5">
        <v>234</v>
      </c>
      <c r="C110" s="7" t="str">
        <f t="shared" si="4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IFERROR(VLOOKUP(B110,input_491106!L:R,7,FALSE),VLOOKUP(tables_491106!C110,input_491106!A:H,8,FALSE))</f>
        <v>91.05641</v>
      </c>
      <c r="P110" s="46">
        <f t="shared" ca="1" si="6"/>
        <v>6.9700252603372207E-6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input_491106!A$2</f>
        <v>491106</v>
      </c>
      <c r="B111" s="5">
        <v>235</v>
      </c>
      <c r="C111" s="7" t="str">
        <f t="shared" si="4"/>
        <v>Premium3R6releasecolor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IFERROR(VLOOKUP(B111,input_491106!L:R,7,FALSE),VLOOKUP(tables_491106!C111,input_491106!A:H,8,FALSE))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input_491106!A$2</f>
        <v>491106</v>
      </c>
      <c r="B112" s="5">
        <v>236</v>
      </c>
      <c r="C112" s="7" t="str">
        <f t="shared" si="4"/>
        <v>Premium4R6releasecolor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IFERROR(VLOOKUP(B112,input_491106!L:R,7,FALSE),VLOOKUP(tables_491106!C112,input_491106!A:H,8,FALSE))</f>
        <v>316475.40000000002</v>
      </c>
      <c r="P112" s="46">
        <f t="shared" ca="1" si="6"/>
        <v>2.4225000000278139E-2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input_491106!A$2</f>
        <v>491106</v>
      </c>
      <c r="B113" s="5">
        <v>237</v>
      </c>
      <c r="C113" s="7" t="str">
        <f t="shared" si="4"/>
        <v>Premium5R6releasecolor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IFERROR(VLOOKUP(B113,input_491106!L:R,7,FALSE),VLOOKUP(tables_491106!C113,input_491106!A:H,8,FALSE))</f>
        <v>16656.599999999999</v>
      </c>
      <c r="P113" s="46">
        <f t="shared" ca="1" si="6"/>
        <v>1.2750000000146388E-3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input_491106!A$2</f>
        <v>491106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IFERROR(VLOOKUP(B114,input_491106!L:R,7,FALSE),VLOOKUP(tables_491106!C114,input_491106!A:H,8,FALSE))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input_491106!A$2</f>
        <v>491106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IFERROR(VLOOKUP(B115,input_491106!L:R,7,FALSE),VLOOKUP(tables_491106!C115,input_491106!A:H,8,FALSE))</f>
        <v>55325.969230000002</v>
      </c>
      <c r="P115" s="46">
        <f t="shared" ca="1" si="6"/>
        <v>4.2349945828716491E-3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input_491106!A$2</f>
        <v>491106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IFERROR(VLOOKUP(B116,input_491106!L:R,7,FALSE),VLOOKUP(tables_491106!C116,input_491106!A:H,8,FALSE))</f>
        <v>91.05641</v>
      </c>
      <c r="P116" s="46">
        <f t="shared" ca="1" si="6"/>
        <v>6.9700252603372207E-6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input_491106!A$2</f>
        <v>491106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IFERROR(VLOOKUP(B117,input_491106!L:R,7,FALSE),VLOOKUP(tables_491106!C117,input_491106!A:H,8,FALSE))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input_491106!A$2</f>
        <v>491106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IFERROR(VLOOKUP(B118,input_491106!L:R,7,FALSE),VLOOKUP(tables_491106!C118,input_491106!A:H,8,FALSE))</f>
        <v>55325.969230000002</v>
      </c>
      <c r="P118" s="46">
        <f t="shared" ca="1" si="6"/>
        <v>4.2349945828716491E-3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input_491106!A$2</f>
        <v>491106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IFERROR(VLOOKUP(B119,input_491106!L:R,7,FALSE),VLOOKUP(tables_491106!C119,input_491106!A:H,8,FALSE))</f>
        <v>91.05641</v>
      </c>
      <c r="P119" s="46">
        <f t="shared" ca="1" si="6"/>
        <v>6.9700252603372207E-6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input_491106!A$2</f>
        <v>491106</v>
      </c>
      <c r="B120" s="5">
        <v>244</v>
      </c>
      <c r="C120" s="7" t="str">
        <f t="shared" si="4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IFERROR(VLOOKUP(B120,input_491106!L:R,7,FALSE),VLOOKUP(tables_491106!C120,input_491106!A:H,8,FALSE))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input_491106!A$2</f>
        <v>491106</v>
      </c>
      <c r="B121" s="5">
        <v>245</v>
      </c>
      <c r="C121" s="7" t="str">
        <f t="shared" si="4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IFERROR(VLOOKUP(B121,input_491106!L:R,7,FALSE),VLOOKUP(tables_491106!C121,input_491106!A:H,8,FALSE))</f>
        <v>55325.969230000002</v>
      </c>
      <c r="P121" s="46">
        <f t="shared" ca="1" si="6"/>
        <v>4.2349945828716491E-3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input_491106!A$2</f>
        <v>491106</v>
      </c>
      <c r="B122" s="5">
        <v>246</v>
      </c>
      <c r="C122" s="7" t="str">
        <f t="shared" si="4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IFERROR(VLOOKUP(B122,input_491106!L:R,7,FALSE),VLOOKUP(tables_491106!C122,input_491106!A:H,8,FALSE))</f>
        <v>91.05641</v>
      </c>
      <c r="P122" s="46">
        <f t="shared" ca="1" si="6"/>
        <v>6.9700252603372207E-6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input_491106!A$2</f>
        <v>491106</v>
      </c>
      <c r="B123" s="5">
        <v>247</v>
      </c>
      <c r="C123" s="7" t="str">
        <f t="shared" si="4"/>
        <v>Premium3color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IFERROR(VLOOKUP(B123,input_491106!L:R,7,FALSE),VLOOKUP(tables_491106!C123,input_491106!A:H,8,FALSE))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input_491106!A$2</f>
        <v>491106</v>
      </c>
      <c r="B124" s="6">
        <v>248</v>
      </c>
      <c r="C124" s="7" t="str">
        <f t="shared" si="4"/>
        <v>Premium4color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IFERROR(VLOOKUP(B124,input_491106!L:R,7,FALSE),VLOOKUP(tables_491106!C124,input_491106!A:H,8,FALSE))</f>
        <v>341215.20905</v>
      </c>
      <c r="P124" s="46">
        <f t="shared" ca="1" si="6"/>
        <v>2.6118739211108209E-2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input_491106!A$2</f>
        <v>491106</v>
      </c>
      <c r="B125" s="6">
        <v>249</v>
      </c>
      <c r="C125" s="7" t="str">
        <f t="shared" si="4"/>
        <v>Premium5color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IFERROR(VLOOKUP(B125,input_491106!L:R,7,FALSE),VLOOKUP(tables_491106!C125,input_491106!A:H,8,FALSE))</f>
        <v>7995.5601800000004</v>
      </c>
      <c r="P125" s="46">
        <f t="shared" ca="1" si="6"/>
        <v>6.1203001990904778E-4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input_491106!A$2</f>
        <v>491106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IFERROR(VLOOKUP(B126,input_491106!L:R,7,FALSE),VLOOKUP(tables_491106!C126,input_491106!A:H,8,FALSE))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input_491106!A$2</f>
        <v>491106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IFERROR(VLOOKUP(B127,input_491106!L:R,7,FALSE),VLOOKUP(tables_491106!C127,input_491106!A:H,8,FALSE))</f>
        <v>55325.969230000002</v>
      </c>
      <c r="P127" s="46">
        <f t="shared" ca="1" si="6"/>
        <v>4.2349945828716491E-3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input_491106!A$2</f>
        <v>491106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IFERROR(VLOOKUP(B128,input_491106!L:R,7,FALSE),VLOOKUP(tables_491106!C128,input_491106!A:H,8,FALSE))</f>
        <v>91.05641</v>
      </c>
      <c r="P128" s="46">
        <f t="shared" ca="1" si="6"/>
        <v>6.9700252603372207E-6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input_491106!A$2</f>
        <v>491106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IFERROR(VLOOKUP(B129,input_491106!L:R,7,FALSE),VLOOKUP(tables_491106!C129,input_491106!A:H,8,FALSE))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input_491106!A$2</f>
        <v>491106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IF(K130="yellow","color","")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IFERROR(VLOOKUP(B130,input_491106!L:R,7,FALSE),VLOOKUP(tables_491106!C130,input_491106!A:H,8,FALSE))</f>
        <v>55325.969230000002</v>
      </c>
      <c r="P130" s="46">
        <f t="shared" ref="P130:P193" ca="1" si="10">O130/SUM(O:O)</f>
        <v>4.2349945828716491E-3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input_491106!A$2</f>
        <v>491106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IFERROR(VLOOKUP(B131,input_491106!L:R,7,FALSE),VLOOKUP(tables_491106!C131,input_491106!A:H,8,FALSE))</f>
        <v>91.05641</v>
      </c>
      <c r="P131" s="46">
        <f t="shared" ca="1" si="10"/>
        <v>6.9700252603372207E-6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input_491106!A$2</f>
        <v>491106</v>
      </c>
      <c r="B132" s="6">
        <v>256</v>
      </c>
      <c r="C132" s="7" t="str">
        <f t="shared" si="8"/>
        <v>Premium3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IFERROR(VLOOKUP(B132,input_491106!L:R,7,FALSE),VLOOKUP(tables_491106!C132,input_491106!A:H,8,FALSE))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input_491106!A$2</f>
        <v>491106</v>
      </c>
      <c r="B133" s="6">
        <v>257</v>
      </c>
      <c r="C133" s="7" t="str">
        <f t="shared" si="8"/>
        <v>Premium4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IFERROR(VLOOKUP(B133,input_491106!L:R,7,FALSE),VLOOKUP(tables_491106!C133,input_491106!A:H,8,FALSE))</f>
        <v>55325.969230000002</v>
      </c>
      <c r="P133" s="46">
        <f t="shared" ca="1" si="10"/>
        <v>4.2349945828716491E-3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input_491106!A$2</f>
        <v>491106</v>
      </c>
      <c r="B134" s="6">
        <v>258</v>
      </c>
      <c r="C134" s="7" t="str">
        <f t="shared" si="8"/>
        <v>Premium5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IFERROR(VLOOKUP(B134,input_491106!L:R,7,FALSE),VLOOKUP(tables_491106!C134,input_491106!A:H,8,FALSE))</f>
        <v>91.05641</v>
      </c>
      <c r="P134" s="46">
        <f t="shared" ca="1" si="10"/>
        <v>6.9700252603372207E-6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input_491106!A$2</f>
        <v>491106</v>
      </c>
      <c r="B135" s="8">
        <v>259</v>
      </c>
      <c r="C135" s="7" t="str">
        <f t="shared" si="8"/>
        <v>Premium3color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IFERROR(VLOOKUP(B135,input_491106!L:R,7,FALSE),VLOOKUP(tables_491106!C135,input_491106!A:H,8,FALSE))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input_491106!A$2</f>
        <v>491106</v>
      </c>
      <c r="B136" s="8">
        <v>260</v>
      </c>
      <c r="C136" s="7" t="str">
        <f t="shared" si="8"/>
        <v>Premium4color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IFERROR(VLOOKUP(B136,input_491106!L:R,7,FALSE),VLOOKUP(tables_491106!C136,input_491106!A:H,8,FALSE))</f>
        <v>341215.20905</v>
      </c>
      <c r="P136" s="46">
        <f t="shared" ca="1" si="10"/>
        <v>2.6118739211108209E-2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input_491106!A$2</f>
        <v>491106</v>
      </c>
      <c r="B137" s="6">
        <v>261</v>
      </c>
      <c r="C137" s="7" t="str">
        <f t="shared" si="8"/>
        <v>Premium5color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IFERROR(VLOOKUP(B137,input_491106!L:R,7,FALSE),VLOOKUP(tables_491106!C137,input_491106!A:H,8,FALSE))</f>
        <v>7995.5601800000004</v>
      </c>
      <c r="P137" s="46">
        <f t="shared" ca="1" si="10"/>
        <v>6.1203001990904778E-4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input_491106!A$2</f>
        <v>491106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IFERROR(VLOOKUP(B138,input_491106!L:R,7,FALSE),VLOOKUP(tables_491106!C138,input_491106!A:H,8,FALSE))</f>
        <v>11616.952380000001</v>
      </c>
      <c r="P138" s="46">
        <f t="shared" ca="1" si="10"/>
        <v>8.8923395438865428E-4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input_491106!A$2</f>
        <v>491106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IFERROR(VLOOKUP(B139,input_491106!L:R,7,FALSE),VLOOKUP(tables_491106!C139,input_491106!A:H,8,FALSE))</f>
        <v>284</v>
      </c>
      <c r="P139" s="46">
        <f t="shared" ca="1" si="10"/>
        <v>2.1739130435032204E-5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input_491106!A$2</f>
        <v>491106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IFERROR(VLOOKUP(B140,input_491106!L:R,7,FALSE),VLOOKUP(tables_491106!C140,input_491106!A:H,8,FALSE))</f>
        <v>11616.952380000001</v>
      </c>
      <c r="P140" s="46">
        <f t="shared" ca="1" si="10"/>
        <v>8.8923395438865428E-4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input_491106!A$2</f>
        <v>491106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IFERROR(VLOOKUP(B141,input_491106!L:R,7,FALSE),VLOOKUP(tables_491106!C141,input_491106!A:H,8,FALSE))</f>
        <v>284</v>
      </c>
      <c r="P141" s="46">
        <f t="shared" ca="1" si="10"/>
        <v>2.1739130435032204E-5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input_491106!A$2</f>
        <v>491106</v>
      </c>
      <c r="B142" s="6">
        <v>324</v>
      </c>
      <c r="C142" s="7" t="str">
        <f t="shared" si="8"/>
        <v>PremiumSS4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IFERROR(VLOOKUP(B142,input_491106!L:R,7,FALSE),VLOOKUP(tables_491106!C142,input_491106!A:H,8,FALSE))</f>
        <v>11616.952380000001</v>
      </c>
      <c r="P142" s="46">
        <f t="shared" ca="1" si="10"/>
        <v>8.8923395438865428E-4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input_491106!A$2</f>
        <v>491106</v>
      </c>
      <c r="B143" s="6">
        <v>325</v>
      </c>
      <c r="C143" s="7" t="str">
        <f t="shared" si="8"/>
        <v>PremiumSS5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IFERROR(VLOOKUP(B143,input_491106!L:R,7,FALSE),VLOOKUP(tables_491106!C143,input_491106!A:H,8,FALSE))</f>
        <v>284</v>
      </c>
      <c r="P143" s="46">
        <f t="shared" ca="1" si="10"/>
        <v>2.1739130435032204E-5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input_491106!A$2</f>
        <v>491106</v>
      </c>
      <c r="B144" s="6">
        <v>326</v>
      </c>
      <c r="C144" s="7" t="str">
        <f t="shared" si="8"/>
        <v>PremiumSS4color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IFERROR(VLOOKUP(B144,input_491106!L:R,7,FALSE),VLOOKUP(tables_491106!C144,input_491106!A:H,8,FALSE))</f>
        <v>21901.411759999999</v>
      </c>
      <c r="P144" s="46">
        <f t="shared" ca="1" si="10"/>
        <v>1.6764705878943248E-3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input_491106!A$2</f>
        <v>491106</v>
      </c>
      <c r="B145" s="6">
        <v>327</v>
      </c>
      <c r="C145" s="7" t="str">
        <f t="shared" si="8"/>
        <v>PremiumSS5color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IFERROR(VLOOKUP(B145,input_491106!L:R,7,FALSE),VLOOKUP(tables_491106!C145,input_491106!A:H,8,FALSE))</f>
        <v>1152.70588</v>
      </c>
      <c r="P145" s="46">
        <f t="shared" ca="1" si="10"/>
        <v>8.823529393855134E-5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input_491106!A$2</f>
        <v>491106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IFERROR(VLOOKUP(B146,input_491106!L:R,7,FALSE),VLOOKUP(tables_491106!C146,input_491106!A:H,8,FALSE))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input_491106!A$2</f>
        <v>491106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IFERROR(VLOOKUP(B147,input_491106!L:R,7,FALSE),VLOOKUP(tables_491106!C147,input_491106!A:H,8,FALSE))</f>
        <v>55325.969230000002</v>
      </c>
      <c r="P147" s="46">
        <f t="shared" ca="1" si="10"/>
        <v>4.2349945828716491E-3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input_491106!A$2</f>
        <v>491106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IFERROR(VLOOKUP(B148,input_491106!L:R,7,FALSE),VLOOKUP(tables_491106!C148,input_491106!A:H,8,FALSE))</f>
        <v>91.05641</v>
      </c>
      <c r="P148" s="46">
        <f t="shared" ca="1" si="10"/>
        <v>6.9700252603372207E-6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input_491106!A$2</f>
        <v>491106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IFERROR(VLOOKUP(B149,input_491106!L:R,7,FALSE),VLOOKUP(tables_491106!C149,input_491106!A:H,8,FALSE))</f>
        <v>11616.952380000001</v>
      </c>
      <c r="P149" s="46">
        <f t="shared" ca="1" si="10"/>
        <v>8.8923395438865428E-4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input_491106!A$2</f>
        <v>491106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IFERROR(VLOOKUP(B150,input_491106!L:R,7,FALSE),VLOOKUP(tables_491106!C150,input_491106!A:H,8,FALSE))</f>
        <v>284</v>
      </c>
      <c r="P150" s="46">
        <f t="shared" ca="1" si="10"/>
        <v>2.1739130435032204E-5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input_491106!A$2</f>
        <v>491106</v>
      </c>
      <c r="B151" s="6">
        <v>385</v>
      </c>
      <c r="C151" s="7" t="str">
        <f t="shared" si="8"/>
        <v>PremiumSS4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IFERROR(VLOOKUP(B151,input_491106!L:R,7,FALSE),VLOOKUP(tables_491106!C151,input_491106!A:H,8,FALSE))</f>
        <v>11616.952380000001</v>
      </c>
      <c r="P151" s="46">
        <f t="shared" ca="1" si="10"/>
        <v>8.8923395438865428E-4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input_491106!A$2</f>
        <v>491106</v>
      </c>
      <c r="B152" s="6">
        <v>386</v>
      </c>
      <c r="C152" s="7" t="str">
        <f t="shared" si="8"/>
        <v>PremiumSS5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IFERROR(VLOOKUP(B152,input_491106!L:R,7,FALSE),VLOOKUP(tables_491106!C152,input_491106!A:H,8,FALSE))</f>
        <v>284</v>
      </c>
      <c r="P152" s="46">
        <f t="shared" ca="1" si="10"/>
        <v>2.1739130435032204E-5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input_491106!A$2</f>
        <v>491106</v>
      </c>
      <c r="B153" s="6">
        <v>387</v>
      </c>
      <c r="C153" s="7" t="str">
        <f t="shared" si="8"/>
        <v>Premium3color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IFERROR(VLOOKUP(B153,input_491106!L:R,7,FALSE),VLOOKUP(tables_491106!C153,input_491106!A:H,8,FALSE))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input_491106!A$2</f>
        <v>491106</v>
      </c>
      <c r="B154" s="6">
        <v>388</v>
      </c>
      <c r="C154" s="7" t="str">
        <f t="shared" si="8"/>
        <v>Premium4color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IFERROR(VLOOKUP(B154,input_491106!L:R,7,FALSE),VLOOKUP(tables_491106!C154,input_491106!A:H,8,FALSE))</f>
        <v>341215.20905</v>
      </c>
      <c r="P154" s="46">
        <f t="shared" ca="1" si="10"/>
        <v>2.6118739211108209E-2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input_491106!A$2</f>
        <v>491106</v>
      </c>
      <c r="B155" s="6">
        <v>389</v>
      </c>
      <c r="C155" s="7" t="str">
        <f t="shared" si="8"/>
        <v>Premium5color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IFERROR(VLOOKUP(B155,input_491106!L:R,7,FALSE),VLOOKUP(tables_491106!C155,input_491106!A:H,8,FALSE))</f>
        <v>7995.5601800000004</v>
      </c>
      <c r="P155" s="46">
        <f t="shared" ca="1" si="10"/>
        <v>6.1203001990904778E-4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input_491106!A$2</f>
        <v>491106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IFERROR(VLOOKUP(B156,input_491106!L:R,7,FALSE),VLOOKUP(tables_491106!C156,input_491106!A:H,8,FALSE))</f>
        <v>11616.952380000001</v>
      </c>
      <c r="P156" s="46">
        <f t="shared" ca="1" si="10"/>
        <v>8.8923395438865428E-4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input_491106!A$2</f>
        <v>491106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IFERROR(VLOOKUP(B157,input_491106!L:R,7,FALSE),VLOOKUP(tables_491106!C157,input_491106!A:H,8,FALSE))</f>
        <v>284</v>
      </c>
      <c r="P157" s="46">
        <f t="shared" ca="1" si="10"/>
        <v>2.1739130435032204E-5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input_491106!A$2</f>
        <v>491106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IFERROR(VLOOKUP(B158,input_491106!L:R,7,FALSE),VLOOKUP(tables_491106!C158,input_491106!A:H,8,FALSE))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input_491106!A$2</f>
        <v>491106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IFERROR(VLOOKUP(B159,input_491106!L:R,7,FALSE),VLOOKUP(tables_491106!C159,input_491106!A:H,8,FALSE))</f>
        <v>55325.969230000002</v>
      </c>
      <c r="P159" s="46">
        <f t="shared" ca="1" si="10"/>
        <v>4.2349945828716491E-3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input_491106!A$2</f>
        <v>491106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IFERROR(VLOOKUP(B160,input_491106!L:R,7,FALSE),VLOOKUP(tables_491106!C160,input_491106!A:H,8,FALSE))</f>
        <v>91.05641</v>
      </c>
      <c r="P160" s="46">
        <f t="shared" ca="1" si="10"/>
        <v>6.9700252603372207E-6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input_491106!A$2</f>
        <v>491106</v>
      </c>
      <c r="B161" s="6">
        <v>395</v>
      </c>
      <c r="C161" s="7" t="str">
        <f t="shared" si="8"/>
        <v>Premium3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IFERROR(VLOOKUP(B161,input_491106!L:R,7,FALSE),VLOOKUP(tables_491106!C161,input_491106!A:H,8,FALSE))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input_491106!A$2</f>
        <v>491106</v>
      </c>
      <c r="B162" s="6">
        <v>396</v>
      </c>
      <c r="C162" s="7" t="str">
        <f t="shared" si="8"/>
        <v>Premium4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IFERROR(VLOOKUP(B162,input_491106!L:R,7,FALSE),VLOOKUP(tables_491106!C162,input_491106!A:H,8,FALSE))</f>
        <v>55325.969230000002</v>
      </c>
      <c r="P162" s="46">
        <f t="shared" ca="1" si="10"/>
        <v>4.2349945828716491E-3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input_491106!A$2</f>
        <v>491106</v>
      </c>
      <c r="B163" s="6">
        <v>397</v>
      </c>
      <c r="C163" s="7" t="str">
        <f t="shared" si="8"/>
        <v>Premium5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IFERROR(VLOOKUP(B163,input_491106!L:R,7,FALSE),VLOOKUP(tables_491106!C163,input_491106!A:H,8,FALSE))</f>
        <v>91.05641</v>
      </c>
      <c r="P163" s="46">
        <f t="shared" ca="1" si="10"/>
        <v>6.9700252603372207E-6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input_491106!A$2</f>
        <v>491106</v>
      </c>
      <c r="B164" s="6">
        <v>398</v>
      </c>
      <c r="C164" s="7" t="str">
        <f t="shared" si="8"/>
        <v>PremiumSS4color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IFERROR(VLOOKUP(B164,input_491106!L:R,7,FALSE),VLOOKUP(tables_491106!C164,input_491106!A:H,8,FALSE))</f>
        <v>21901.411759999999</v>
      </c>
      <c r="P164" s="46">
        <f t="shared" ca="1" si="10"/>
        <v>1.6764705878943248E-3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input_491106!A$2</f>
        <v>491106</v>
      </c>
      <c r="B165" s="6">
        <v>399</v>
      </c>
      <c r="C165" s="7" t="str">
        <f t="shared" si="8"/>
        <v>PremiumSS5color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IFERROR(VLOOKUP(B165,input_491106!L:R,7,FALSE),VLOOKUP(tables_491106!C165,input_491106!A:H,8,FALSE))</f>
        <v>1152.70588</v>
      </c>
      <c r="P165" s="46">
        <f t="shared" ca="1" si="10"/>
        <v>8.823529393855134E-5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input_491106!A$2</f>
        <v>491106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IFERROR(VLOOKUP(B166,input_491106!L:R,7,FALSE),VLOOKUP(tables_491106!C166,input_491106!A:H,8,FALSE))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input_491106!A$2</f>
        <v>491106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IFERROR(VLOOKUP(B167,input_491106!L:R,7,FALSE),VLOOKUP(tables_491106!C167,input_491106!A:H,8,FALSE))</f>
        <v>55325.969230000002</v>
      </c>
      <c r="P167" s="46">
        <f t="shared" ca="1" si="10"/>
        <v>4.2349945828716491E-3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input_491106!A$2</f>
        <v>491106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IFERROR(VLOOKUP(B168,input_491106!L:R,7,FALSE),VLOOKUP(tables_491106!C168,input_491106!A:H,8,FALSE))</f>
        <v>91.05641</v>
      </c>
      <c r="P168" s="46">
        <f t="shared" ca="1" si="10"/>
        <v>6.9700252603372207E-6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input_491106!A$2</f>
        <v>491106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IFERROR(VLOOKUP(B169,input_491106!L:R,7,FALSE),VLOOKUP(tables_491106!C169,input_491106!A:H,8,FALSE))</f>
        <v>11616.952380000001</v>
      </c>
      <c r="P169" s="46">
        <f t="shared" ca="1" si="10"/>
        <v>8.8923395438865428E-4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input_491106!A$2</f>
        <v>491106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IFERROR(VLOOKUP(B170,input_491106!L:R,7,FALSE),VLOOKUP(tables_491106!C170,input_491106!A:H,8,FALSE))</f>
        <v>284</v>
      </c>
      <c r="P170" s="46">
        <f t="shared" ca="1" si="10"/>
        <v>2.1739130435032204E-5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input_491106!A$2</f>
        <v>491106</v>
      </c>
      <c r="B171" s="6">
        <v>405</v>
      </c>
      <c r="C171" s="7" t="str">
        <f t="shared" si="8"/>
        <v>Premium3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IFERROR(VLOOKUP(B171,input_491106!L:R,7,FALSE),VLOOKUP(tables_491106!C171,input_491106!A:H,8,FALSE))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input_491106!A$2</f>
        <v>491106</v>
      </c>
      <c r="B172" s="6">
        <v>406</v>
      </c>
      <c r="C172" s="7" t="str">
        <f t="shared" si="8"/>
        <v>Premium4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IFERROR(VLOOKUP(B172,input_491106!L:R,7,FALSE),VLOOKUP(tables_491106!C172,input_491106!A:H,8,FALSE))</f>
        <v>55325.969230000002</v>
      </c>
      <c r="P172" s="46">
        <f t="shared" ca="1" si="10"/>
        <v>4.2349945828716491E-3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input_491106!A$2</f>
        <v>491106</v>
      </c>
      <c r="B173" s="6">
        <v>407</v>
      </c>
      <c r="C173" s="7" t="str">
        <f t="shared" si="8"/>
        <v>Premium5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IFERROR(VLOOKUP(B173,input_491106!L:R,7,FALSE),VLOOKUP(tables_491106!C173,input_491106!A:H,8,FALSE))</f>
        <v>91.05641</v>
      </c>
      <c r="P173" s="46">
        <f t="shared" ca="1" si="10"/>
        <v>6.9700252603372207E-6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input_491106!A$2</f>
        <v>491106</v>
      </c>
      <c r="B174" s="6">
        <v>408</v>
      </c>
      <c r="C174" s="7" t="str">
        <f t="shared" si="8"/>
        <v>PremiumSS4color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IFERROR(VLOOKUP(B174,input_491106!L:R,7,FALSE),VLOOKUP(tables_491106!C174,input_491106!A:H,8,FALSE))</f>
        <v>21901.411759999999</v>
      </c>
      <c r="P174" s="46">
        <f t="shared" ca="1" si="10"/>
        <v>1.6764705878943248E-3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input_491106!A$2</f>
        <v>491106</v>
      </c>
      <c r="B175" s="6">
        <v>409</v>
      </c>
      <c r="C175" s="7" t="str">
        <f t="shared" si="8"/>
        <v>PremiumSS5color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IFERROR(VLOOKUP(B175,input_491106!L:R,7,FALSE),VLOOKUP(tables_491106!C175,input_491106!A:H,8,FALSE))</f>
        <v>1152.70588</v>
      </c>
      <c r="P175" s="46">
        <f t="shared" ca="1" si="10"/>
        <v>8.823529393855134E-5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input_491106!A$2</f>
        <v>491106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IFERROR(VLOOKUP(B176,input_491106!L:R,7,FALSE),VLOOKUP(tables_491106!C176,input_491106!A:H,8,FALSE))</f>
        <v>11616.952380000001</v>
      </c>
      <c r="P176" s="46">
        <f t="shared" ca="1" si="10"/>
        <v>8.8923395438865428E-4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input_491106!A$2</f>
        <v>491106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IFERROR(VLOOKUP(B177,input_491106!L:R,7,FALSE),VLOOKUP(tables_491106!C177,input_491106!A:H,8,FALSE))</f>
        <v>284</v>
      </c>
      <c r="P177" s="46">
        <f t="shared" ca="1" si="10"/>
        <v>2.1739130435032204E-5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input_491106!A$2</f>
        <v>491106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IFERROR(VLOOKUP(B178,input_491106!L:R,7,FALSE),VLOOKUP(tables_491106!C178,input_491106!A:H,8,FALSE))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input_491106!A$2</f>
        <v>491106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IFERROR(VLOOKUP(B179,input_491106!L:R,7,FALSE),VLOOKUP(tables_491106!C179,input_491106!A:H,8,FALSE))</f>
        <v>55325.969230000002</v>
      </c>
      <c r="P179" s="46">
        <f t="shared" ca="1" si="10"/>
        <v>4.2349945828716491E-3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input_491106!A$2</f>
        <v>491106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IFERROR(VLOOKUP(B180,input_491106!L:R,7,FALSE),VLOOKUP(tables_491106!C180,input_491106!A:H,8,FALSE))</f>
        <v>91.05641</v>
      </c>
      <c r="P180" s="46">
        <f t="shared" ca="1" si="10"/>
        <v>6.9700252603372207E-6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input_491106!A$2</f>
        <v>491106</v>
      </c>
      <c r="B181" s="6">
        <v>439</v>
      </c>
      <c r="C181" s="7" t="str">
        <f t="shared" si="8"/>
        <v>Premium3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IFERROR(VLOOKUP(B181,input_491106!L:R,7,FALSE),VLOOKUP(tables_491106!C181,input_491106!A:H,8,FALSE))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input_491106!A$2</f>
        <v>491106</v>
      </c>
      <c r="B182" s="6">
        <v>440</v>
      </c>
      <c r="C182" s="7" t="str">
        <f t="shared" si="8"/>
        <v>Premium4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IFERROR(VLOOKUP(B182,input_491106!L:R,7,FALSE),VLOOKUP(tables_491106!C182,input_491106!A:H,8,FALSE))</f>
        <v>55325.969230000002</v>
      </c>
      <c r="P182" s="46">
        <f t="shared" ca="1" si="10"/>
        <v>4.2349945828716491E-3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input_491106!A$2</f>
        <v>491106</v>
      </c>
      <c r="B183" s="6">
        <v>441</v>
      </c>
      <c r="C183" s="7" t="str">
        <f t="shared" si="8"/>
        <v>Premium5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IFERROR(VLOOKUP(B183,input_491106!L:R,7,FALSE),VLOOKUP(tables_491106!C183,input_491106!A:H,8,FALSE))</f>
        <v>91.05641</v>
      </c>
      <c r="P183" s="46">
        <f t="shared" ca="1" si="10"/>
        <v>6.9700252603372207E-6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input_491106!A$2</f>
        <v>491106</v>
      </c>
      <c r="B184" s="6">
        <v>442</v>
      </c>
      <c r="C184" s="7" t="str">
        <f t="shared" si="8"/>
        <v>PremiumSS4color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IFERROR(VLOOKUP(B184,input_491106!L:R,7,FALSE),VLOOKUP(tables_491106!C184,input_491106!A:H,8,FALSE))</f>
        <v>21901.411759999999</v>
      </c>
      <c r="P184" s="46">
        <f t="shared" ca="1" si="10"/>
        <v>1.6764705878943248E-3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input_491106!A$2</f>
        <v>491106</v>
      </c>
      <c r="B185" s="8">
        <v>443</v>
      </c>
      <c r="C185" s="7" t="str">
        <f t="shared" si="8"/>
        <v>PremiumSS5color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IFERROR(VLOOKUP(B185,input_491106!L:R,7,FALSE),VLOOKUP(tables_491106!C185,input_491106!A:H,8,FALSE))</f>
        <v>1152.70588</v>
      </c>
      <c r="P185" s="46">
        <f t="shared" ca="1" si="10"/>
        <v>8.823529393855134E-5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input_491106!A$2</f>
        <v>491106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IFERROR(VLOOKUP(B186,input_491106!L:R,7,FALSE),VLOOKUP(tables_491106!C186,input_491106!A:H,8,FALSE))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input_491106!A$2</f>
        <v>491106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IFERROR(VLOOKUP(B187,input_491106!L:R,7,FALSE),VLOOKUP(tables_491106!C187,input_491106!A:H,8,FALSE))</f>
        <v>55325.969230000002</v>
      </c>
      <c r="P187" s="46">
        <f t="shared" ca="1" si="10"/>
        <v>4.2349945828716491E-3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input_491106!A$2</f>
        <v>491106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IFERROR(VLOOKUP(B188,input_491106!L:R,7,FALSE),VLOOKUP(tables_491106!C188,input_491106!A:H,8,FALSE))</f>
        <v>91.05641</v>
      </c>
      <c r="P188" s="46">
        <f t="shared" ca="1" si="10"/>
        <v>6.9700252603372207E-6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input_491106!A$2</f>
        <v>491106</v>
      </c>
      <c r="B189" s="6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IFERROR(VLOOKUP(B189,input_491106!L:R,7,FALSE),VLOOKUP(tables_491106!C189,input_491106!A:H,8,FALSE))</f>
        <v>11616.952380000001</v>
      </c>
      <c r="P189" s="46">
        <f t="shared" ca="1" si="10"/>
        <v>8.8923395438865428E-4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input_491106!A$2</f>
        <v>491106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IFERROR(VLOOKUP(B190,input_491106!L:R,7,FALSE),VLOOKUP(tables_491106!C190,input_491106!A:H,8,FALSE))</f>
        <v>284</v>
      </c>
      <c r="P190" s="46">
        <f t="shared" ca="1" si="10"/>
        <v>2.1739130435032204E-5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input_491106!A$2</f>
        <v>491106</v>
      </c>
      <c r="B191" s="6">
        <v>467</v>
      </c>
      <c r="C191" s="7" t="str">
        <f t="shared" si="8"/>
        <v>PremiumSS4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IFERROR(VLOOKUP(B191,input_491106!L:R,7,FALSE),VLOOKUP(tables_491106!C191,input_491106!A:H,8,FALSE))</f>
        <v>11616.952380000001</v>
      </c>
      <c r="P191" s="46">
        <f t="shared" ca="1" si="10"/>
        <v>8.8923395438865428E-4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input_491106!A$2</f>
        <v>491106</v>
      </c>
      <c r="B192" s="6">
        <v>468</v>
      </c>
      <c r="C192" s="7" t="str">
        <f t="shared" si="8"/>
        <v>PremiumSS5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IFERROR(VLOOKUP(B192,input_491106!L:R,7,FALSE),VLOOKUP(tables_491106!C192,input_491106!A:H,8,FALSE))</f>
        <v>284</v>
      </c>
      <c r="P192" s="46">
        <f t="shared" ca="1" si="10"/>
        <v>2.1739130435032204E-5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input_491106!A$2</f>
        <v>491106</v>
      </c>
      <c r="B193" s="6">
        <v>469</v>
      </c>
      <c r="C193" s="7" t="str">
        <f t="shared" si="8"/>
        <v>Premium3color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IFERROR(VLOOKUP(B193,input_491106!L:R,7,FALSE),VLOOKUP(tables_491106!C193,input_491106!A:H,8,FALSE))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input_491106!A$2</f>
        <v>491106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IF(K194="yellow","color","")</f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IFERROR(VLOOKUP(B194,input_491106!L:R,7,FALSE),VLOOKUP(tables_491106!C194,input_491106!A:H,8,FALSE))</f>
        <v>341215.20905</v>
      </c>
      <c r="P194" s="46">
        <f t="shared" ref="P194:P257" ca="1" si="14">O194/SUM(O:O)</f>
        <v>2.6118739211108209E-2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input_491106!A$2</f>
        <v>491106</v>
      </c>
      <c r="B195" s="6">
        <v>471</v>
      </c>
      <c r="C195" s="7" t="str">
        <f t="shared" si="12"/>
        <v>Premium5color</v>
      </c>
      <c r="D195" s="7" t="str">
        <f t="shared" ref="D195:D258" si="15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IFERROR(VLOOKUP(B195,input_491106!L:R,7,FALSE),VLOOKUP(tables_491106!C195,input_491106!A:H,8,FALSE))</f>
        <v>7995.5601800000004</v>
      </c>
      <c r="P195" s="46">
        <f t="shared" ca="1" si="14"/>
        <v>6.1203001990904778E-4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input_491106!A$2</f>
        <v>491106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IFERROR(VLOOKUP(B196,input_491106!L:R,7,FALSE),VLOOKUP(tables_491106!C196,input_491106!A:H,8,FALSE))</f>
        <v>11616.952380000001</v>
      </c>
      <c r="P196" s="46">
        <f t="shared" ca="1" si="14"/>
        <v>8.8923395438865428E-4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input_491106!A$2</f>
        <v>491106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IFERROR(VLOOKUP(B197,input_491106!L:R,7,FALSE),VLOOKUP(tables_491106!C197,input_491106!A:H,8,FALSE))</f>
        <v>284</v>
      </c>
      <c r="P197" s="46">
        <f t="shared" ca="1" si="14"/>
        <v>2.1739130435032204E-5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input_491106!A$2</f>
        <v>491106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IFERROR(VLOOKUP(B198,input_491106!L:R,7,FALSE),VLOOKUP(tables_491106!C198,input_491106!A:H,8,FALSE))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input_491106!A$2</f>
        <v>491106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IFERROR(VLOOKUP(B199,input_491106!L:R,7,FALSE),VLOOKUP(tables_491106!C199,input_491106!A:H,8,FALSE))</f>
        <v>55325.969230000002</v>
      </c>
      <c r="P199" s="46">
        <f t="shared" ca="1" si="14"/>
        <v>4.2349945828716491E-3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input_491106!A$2</f>
        <v>491106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IFERROR(VLOOKUP(B200,input_491106!L:R,7,FALSE),VLOOKUP(tables_491106!C200,input_491106!A:H,8,FALSE))</f>
        <v>91.05641</v>
      </c>
      <c r="P200" s="46">
        <f t="shared" ca="1" si="14"/>
        <v>6.9700252603372207E-6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input_491106!A$2</f>
        <v>491106</v>
      </c>
      <c r="B201" s="6">
        <v>479</v>
      </c>
      <c r="C201" s="7" t="str">
        <f t="shared" si="12"/>
        <v>PremiumSS4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IFERROR(VLOOKUP(B201,input_491106!L:R,7,FALSE),VLOOKUP(tables_491106!C201,input_491106!A:H,8,FALSE))</f>
        <v>11616.952380000001</v>
      </c>
      <c r="P201" s="46">
        <f t="shared" ca="1" si="14"/>
        <v>8.8923395438865428E-4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input_491106!A$2</f>
        <v>491106</v>
      </c>
      <c r="B202" s="6">
        <v>480</v>
      </c>
      <c r="C202" s="7" t="str">
        <f t="shared" si="12"/>
        <v>PremiumSS5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IFERROR(VLOOKUP(B202,input_491106!L:R,7,FALSE),VLOOKUP(tables_491106!C202,input_491106!A:H,8,FALSE))</f>
        <v>284</v>
      </c>
      <c r="P202" s="46">
        <f t="shared" ca="1" si="14"/>
        <v>2.1739130435032204E-5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input_491106!A$2</f>
        <v>491106</v>
      </c>
      <c r="B203" s="6">
        <v>481</v>
      </c>
      <c r="C203" s="7" t="str">
        <f t="shared" si="12"/>
        <v>Premium3color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IFERROR(VLOOKUP(B203,input_491106!L:R,7,FALSE),VLOOKUP(tables_491106!C203,input_491106!A:H,8,FALSE))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input_491106!A$2</f>
        <v>491106</v>
      </c>
      <c r="B204" s="6">
        <v>482</v>
      </c>
      <c r="C204" s="7" t="str">
        <f t="shared" si="12"/>
        <v>Premium4color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IFERROR(VLOOKUP(B204,input_491106!L:R,7,FALSE),VLOOKUP(tables_491106!C204,input_491106!A:H,8,FALSE))</f>
        <v>341215.20905</v>
      </c>
      <c r="P204" s="46">
        <f t="shared" ca="1" si="14"/>
        <v>2.6118739211108209E-2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input_491106!A$2</f>
        <v>491106</v>
      </c>
      <c r="B205" s="6">
        <v>483</v>
      </c>
      <c r="C205" s="7" t="str">
        <f t="shared" si="12"/>
        <v>Premium5color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IFERROR(VLOOKUP(B205,input_491106!L:R,7,FALSE),VLOOKUP(tables_491106!C205,input_491106!A:H,8,FALSE))</f>
        <v>7995.5601800000004</v>
      </c>
      <c r="P205" s="46">
        <f t="shared" ca="1" si="14"/>
        <v>6.1203001990904778E-4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input_491106!A$2</f>
        <v>491106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IFERROR(VLOOKUP(B206,input_491106!L:R,7,FALSE),VLOOKUP(tables_491106!C206,input_491106!A:H,8,FALSE))</f>
        <v>11616.952380000001</v>
      </c>
      <c r="P206" s="46">
        <f t="shared" ca="1" si="14"/>
        <v>8.8923395438865428E-4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input_491106!A$2</f>
        <v>491106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IFERROR(VLOOKUP(B207,input_491106!L:R,7,FALSE),VLOOKUP(tables_491106!C207,input_491106!A:H,8,FALSE))</f>
        <v>284</v>
      </c>
      <c r="P207" s="46">
        <f t="shared" ca="1" si="14"/>
        <v>2.1739130435032204E-5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input_491106!A$2</f>
        <v>491106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IFERROR(VLOOKUP(B208,input_491106!L:R,7,FALSE),VLOOKUP(tables_491106!C208,input_491106!A:H,8,FALSE))</f>
        <v>11616.952380000001</v>
      </c>
      <c r="P208" s="46">
        <f t="shared" ca="1" si="14"/>
        <v>8.8923395438865428E-4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input_491106!A$2</f>
        <v>491106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IFERROR(VLOOKUP(B209,input_491106!L:R,7,FALSE),VLOOKUP(tables_491106!C209,input_491106!A:H,8,FALSE))</f>
        <v>284</v>
      </c>
      <c r="P209" s="46">
        <f t="shared" ca="1" si="14"/>
        <v>2.1739130435032204E-5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input_491106!A$2</f>
        <v>491106</v>
      </c>
      <c r="B210" s="6">
        <v>496</v>
      </c>
      <c r="C210" s="7" t="str">
        <f t="shared" si="12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IFERROR(VLOOKUP(B210,input_491106!L:R,7,FALSE),VLOOKUP(tables_491106!C210,input_491106!A:H,8,FALSE))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input_491106!A$2</f>
        <v>491106</v>
      </c>
      <c r="B211" s="6">
        <v>497</v>
      </c>
      <c r="C211" s="7" t="str">
        <f t="shared" si="12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IFERROR(VLOOKUP(B211,input_491106!L:R,7,FALSE),VLOOKUP(tables_491106!C211,input_491106!A:H,8,FALSE))</f>
        <v>55325.969230000002</v>
      </c>
      <c r="P211" s="46">
        <f t="shared" ca="1" si="14"/>
        <v>4.2349945828716491E-3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input_491106!A$2</f>
        <v>491106</v>
      </c>
      <c r="B212" s="6">
        <v>498</v>
      </c>
      <c r="C212" s="7" t="str">
        <f t="shared" si="12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IFERROR(VLOOKUP(B212,input_491106!L:R,7,FALSE),VLOOKUP(tables_491106!C212,input_491106!A:H,8,FALSE))</f>
        <v>91.05641</v>
      </c>
      <c r="P212" s="46">
        <f t="shared" ca="1" si="14"/>
        <v>6.9700252603372207E-6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input_491106!A$2</f>
        <v>491106</v>
      </c>
      <c r="B213" s="6">
        <v>499</v>
      </c>
      <c r="C213" s="7" t="str">
        <f t="shared" si="12"/>
        <v>PremiumSS4color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IFERROR(VLOOKUP(B213,input_491106!L:R,7,FALSE),VLOOKUP(tables_491106!C213,input_491106!A:H,8,FALSE))</f>
        <v>21901.411759999999</v>
      </c>
      <c r="P213" s="46">
        <f t="shared" ca="1" si="14"/>
        <v>1.6764705878943248E-3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input_491106!A$2</f>
        <v>491106</v>
      </c>
      <c r="B214" s="6">
        <v>500</v>
      </c>
      <c r="C214" s="7" t="str">
        <f t="shared" si="12"/>
        <v>PremiumSS5color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IFERROR(VLOOKUP(B214,input_491106!L:R,7,FALSE),VLOOKUP(tables_491106!C214,input_491106!A:H,8,FALSE))</f>
        <v>1152.70588</v>
      </c>
      <c r="P214" s="46">
        <f t="shared" ca="1" si="14"/>
        <v>8.823529393855134E-5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input_491106!A$2</f>
        <v>491106</v>
      </c>
      <c r="B215" s="6">
        <v>560</v>
      </c>
      <c r="C215" s="7" t="str">
        <f t="shared" si="12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IFERROR(VLOOKUP(B215,input_491106!L:R,7,FALSE),VLOOKUP(tables_491106!C215,input_491106!A:H,8,FALSE))</f>
        <v>3440.8</v>
      </c>
      <c r="P215" s="46">
        <f t="shared" ca="1" si="14"/>
        <v>2.6338028169316485E-4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input_491106!A$2</f>
        <v>491106</v>
      </c>
      <c r="B216" s="6">
        <v>561</v>
      </c>
      <c r="C216" s="7" t="str">
        <f t="shared" si="12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IFERROR(VLOOKUP(B216,input_491106!L:R,7,FALSE),VLOOKUP(tables_491106!C216,input_491106!A:H,8,FALSE))</f>
        <v>3440.8</v>
      </c>
      <c r="P216" s="46">
        <f t="shared" ca="1" si="14"/>
        <v>2.6338028169316485E-4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input_491106!A$2</f>
        <v>491106</v>
      </c>
      <c r="B217" s="6">
        <v>562</v>
      </c>
      <c r="C217" s="7" t="str">
        <f t="shared" si="12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IFERROR(VLOOKUP(B217,input_491106!L:R,7,FALSE),VLOOKUP(tables_491106!C217,input_491106!A:H,8,FALSE))</f>
        <v>3440.8</v>
      </c>
      <c r="P217" s="46">
        <f t="shared" ca="1" si="14"/>
        <v>2.6338028169316485E-4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input_491106!A$2</f>
        <v>491106</v>
      </c>
      <c r="B218" s="6">
        <v>563</v>
      </c>
      <c r="C218" s="7" t="str">
        <f t="shared" si="12"/>
        <v>premium5R3lesscolor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3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IFERROR(VLOOKUP(B218,input_491106!L:R,7,FALSE),VLOOKUP(tables_491106!C218,input_491106!A:H,8,FALSE))</f>
        <v>979.8</v>
      </c>
      <c r="P218" s="46">
        <f t="shared" ca="1" si="14"/>
        <v>7.5000000000861107E-5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input_491106!A$2</f>
        <v>491106</v>
      </c>
      <c r="B219" s="6">
        <v>566</v>
      </c>
      <c r="C219" s="7" t="str">
        <f t="shared" si="12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IFERROR(VLOOKUP(B219,input_491106!L:R,7,FALSE),VLOOKUP(tables_491106!C219,input_491106!A:H,8,FALSE))</f>
        <v>3440.8</v>
      </c>
      <c r="P219" s="46">
        <f t="shared" ca="1" si="14"/>
        <v>2.6338028169316485E-4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input_491106!A$2</f>
        <v>491106</v>
      </c>
      <c r="B220" s="6">
        <v>567</v>
      </c>
      <c r="C220" s="7" t="str">
        <f t="shared" si="12"/>
        <v>premium5R3lesscolor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IFERROR(VLOOKUP(B220,input_491106!L:R,7,FALSE),VLOOKUP(tables_491106!C220,input_491106!A:H,8,FALSE))</f>
        <v>979.8</v>
      </c>
      <c r="P220" s="46">
        <f t="shared" ca="1" si="14"/>
        <v>7.5000000000861107E-5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input_491106!A$2</f>
        <v>491106</v>
      </c>
      <c r="B221" s="6">
        <v>586</v>
      </c>
      <c r="C221" s="7" t="str">
        <f t="shared" si="12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IFERROR(VLOOKUP(B221,input_491106!L:R,7,FALSE),VLOOKUP(tables_491106!C221,input_491106!A:H,8,FALSE))</f>
        <v>11616.952380000001</v>
      </c>
      <c r="P221" s="46">
        <f t="shared" ca="1" si="14"/>
        <v>8.8923395438865428E-4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input_491106!A$2</f>
        <v>491106</v>
      </c>
      <c r="B222" s="6">
        <v>587</v>
      </c>
      <c r="C222" s="7" t="str">
        <f t="shared" si="12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IFERROR(VLOOKUP(B222,input_491106!L:R,7,FALSE),VLOOKUP(tables_491106!C222,input_491106!A:H,8,FALSE))</f>
        <v>284</v>
      </c>
      <c r="P222" s="46">
        <f t="shared" ca="1" si="14"/>
        <v>2.1739130435032204E-5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input_491106!A$2</f>
        <v>491106</v>
      </c>
      <c r="B223" s="6">
        <v>588</v>
      </c>
      <c r="C223" s="7" t="str">
        <f t="shared" si="12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IFERROR(VLOOKUP(B223,input_491106!L:R,7,FALSE),VLOOKUP(tables_491106!C223,input_491106!A:H,8,FALSE))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input_491106!A$2</f>
        <v>491106</v>
      </c>
      <c r="B224" s="6">
        <v>589</v>
      </c>
      <c r="C224" s="7" t="str">
        <f t="shared" si="12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IFERROR(VLOOKUP(B224,input_491106!L:R,7,FALSE),VLOOKUP(tables_491106!C224,input_491106!A:H,8,FALSE))</f>
        <v>55325.969230000002</v>
      </c>
      <c r="P224" s="46">
        <f t="shared" ca="1" si="14"/>
        <v>4.2349945828716491E-3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input_491106!A$2</f>
        <v>491106</v>
      </c>
      <c r="B225" s="6">
        <v>590</v>
      </c>
      <c r="C225" s="7" t="str">
        <f t="shared" si="12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IFERROR(VLOOKUP(B225,input_491106!L:R,7,FALSE),VLOOKUP(tables_491106!C225,input_491106!A:H,8,FALSE))</f>
        <v>91.05641</v>
      </c>
      <c r="P225" s="46">
        <f t="shared" ca="1" si="14"/>
        <v>6.9700252603372207E-6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input_491106!A$2</f>
        <v>491106</v>
      </c>
      <c r="B226" s="6">
        <v>591</v>
      </c>
      <c r="C226" s="7" t="str">
        <f t="shared" si="12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IFERROR(VLOOKUP(B226,input_491106!L:R,7,FALSE),VLOOKUP(tables_491106!C226,input_491106!A:H,8,FALSE))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input_491106!A$2</f>
        <v>491106</v>
      </c>
      <c r="B227" s="6">
        <v>592</v>
      </c>
      <c r="C227" s="7" t="str">
        <f t="shared" si="12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IFERROR(VLOOKUP(B227,input_491106!L:R,7,FALSE),VLOOKUP(tables_491106!C227,input_491106!A:H,8,FALSE))</f>
        <v>55325.969230000002</v>
      </c>
      <c r="P227" s="46">
        <f t="shared" ca="1" si="14"/>
        <v>4.2349945828716491E-3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input_491106!A$2</f>
        <v>491106</v>
      </c>
      <c r="B228" s="6">
        <v>593</v>
      </c>
      <c r="C228" s="7" t="str">
        <f t="shared" si="12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IFERROR(VLOOKUP(B228,input_491106!L:R,7,FALSE),VLOOKUP(tables_491106!C228,input_491106!A:H,8,FALSE))</f>
        <v>91.05641</v>
      </c>
      <c r="P228" s="46">
        <f t="shared" ca="1" si="14"/>
        <v>6.9700252603372207E-6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input_491106!A$2</f>
        <v>491106</v>
      </c>
      <c r="B229" s="6">
        <v>594</v>
      </c>
      <c r="C229" s="7" t="str">
        <f t="shared" si="12"/>
        <v>PremiumSS4color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IFERROR(VLOOKUP(B229,input_491106!L:R,7,FALSE),VLOOKUP(tables_491106!C229,input_491106!A:H,8,FALSE))</f>
        <v>21901.411759999999</v>
      </c>
      <c r="P229" s="46">
        <f t="shared" ca="1" si="14"/>
        <v>1.6764705878943248E-3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input_491106!A$2</f>
        <v>491106</v>
      </c>
      <c r="B230" s="6">
        <v>595</v>
      </c>
      <c r="C230" s="7" t="str">
        <f t="shared" si="12"/>
        <v>PremiumSS5color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IFERROR(VLOOKUP(B230,input_491106!L:R,7,FALSE),VLOOKUP(tables_491106!C230,input_491106!A:H,8,FALSE))</f>
        <v>1152.70588</v>
      </c>
      <c r="P230" s="46">
        <f t="shared" ca="1" si="14"/>
        <v>8.823529393855134E-5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input_491106!A$2</f>
        <v>491106</v>
      </c>
      <c r="B231" s="6">
        <v>596</v>
      </c>
      <c r="C231" s="7" t="str">
        <f t="shared" si="12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IFERROR(VLOOKUP(B231,input_491106!L:R,7,FALSE),VLOOKUP(tables_491106!C231,input_491106!A:H,8,FALSE))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input_491106!A$2</f>
        <v>491106</v>
      </c>
      <c r="B232" s="6">
        <v>597</v>
      </c>
      <c r="C232" s="7" t="str">
        <f t="shared" si="12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IFERROR(VLOOKUP(B232,input_491106!L:R,7,FALSE),VLOOKUP(tables_491106!C232,input_491106!A:H,8,FALSE))</f>
        <v>55325.969230000002</v>
      </c>
      <c r="P232" s="46">
        <f t="shared" ca="1" si="14"/>
        <v>4.2349945828716491E-3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input_491106!A$2</f>
        <v>491106</v>
      </c>
      <c r="B233" s="6">
        <v>598</v>
      </c>
      <c r="C233" s="7" t="str">
        <f t="shared" si="12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IFERROR(VLOOKUP(B233,input_491106!L:R,7,FALSE),VLOOKUP(tables_491106!C233,input_491106!A:H,8,FALSE))</f>
        <v>91.05641</v>
      </c>
      <c r="P233" s="46">
        <f t="shared" ca="1" si="14"/>
        <v>6.9700252603372207E-6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input_491106!A$2</f>
        <v>491106</v>
      </c>
      <c r="B234" s="6">
        <v>599</v>
      </c>
      <c r="C234" s="7" t="str">
        <f t="shared" si="12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IFERROR(VLOOKUP(B234,input_491106!L:R,7,FALSE),VLOOKUP(tables_491106!C234,input_491106!A:H,8,FALSE))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input_491106!A$2</f>
        <v>491106</v>
      </c>
      <c r="B235" s="6">
        <v>600</v>
      </c>
      <c r="C235" s="7" t="str">
        <f t="shared" si="12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IFERROR(VLOOKUP(B235,input_491106!L:R,7,FALSE),VLOOKUP(tables_491106!C235,input_491106!A:H,8,FALSE))</f>
        <v>55325.969230000002</v>
      </c>
      <c r="P235" s="46">
        <f t="shared" ca="1" si="14"/>
        <v>4.2349945828716491E-3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input_491106!A$2</f>
        <v>491106</v>
      </c>
      <c r="B236" s="6">
        <v>601</v>
      </c>
      <c r="C236" s="7" t="str">
        <f t="shared" si="12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IFERROR(VLOOKUP(B236,input_491106!L:R,7,FALSE),VLOOKUP(tables_491106!C236,input_491106!A:H,8,FALSE))</f>
        <v>91.05641</v>
      </c>
      <c r="P236" s="46">
        <f t="shared" ca="1" si="14"/>
        <v>6.9700252603372207E-6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input_491106!A$2</f>
        <v>491106</v>
      </c>
      <c r="B237" s="6">
        <v>602</v>
      </c>
      <c r="C237" s="7" t="str">
        <f t="shared" si="12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IFERROR(VLOOKUP(B237,input_491106!L:R,7,FALSE),VLOOKUP(tables_491106!C237,input_491106!A:H,8,FALSE))</f>
        <v>11616.952380000001</v>
      </c>
      <c r="P237" s="46">
        <f t="shared" ca="1" si="14"/>
        <v>8.8923395438865428E-4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input_491106!A$2</f>
        <v>491106</v>
      </c>
      <c r="B238" s="6">
        <v>603</v>
      </c>
      <c r="C238" s="7" t="str">
        <f t="shared" si="12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IFERROR(VLOOKUP(B238,input_491106!L:R,7,FALSE),VLOOKUP(tables_491106!C238,input_491106!A:H,8,FALSE))</f>
        <v>284</v>
      </c>
      <c r="P238" s="46">
        <f t="shared" ca="1" si="14"/>
        <v>2.1739130435032204E-5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input_491106!A$2</f>
        <v>491106</v>
      </c>
      <c r="B239" s="6">
        <v>604</v>
      </c>
      <c r="C239" s="7" t="str">
        <f t="shared" si="12"/>
        <v>Premium3color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IFERROR(VLOOKUP(B239,input_491106!L:R,7,FALSE),VLOOKUP(tables_491106!C239,input_491106!A:H,8,FALSE))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input_491106!A$2</f>
        <v>491106</v>
      </c>
      <c r="B240" s="6">
        <v>605</v>
      </c>
      <c r="C240" s="7" t="str">
        <f t="shared" si="12"/>
        <v>Premium4color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IFERROR(VLOOKUP(B240,input_491106!L:R,7,FALSE),VLOOKUP(tables_491106!C240,input_491106!A:H,8,FALSE))</f>
        <v>341215.20905</v>
      </c>
      <c r="P240" s="46">
        <f t="shared" ca="1" si="14"/>
        <v>2.6118739211108209E-2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input_491106!A$2</f>
        <v>491106</v>
      </c>
      <c r="B241" s="6">
        <v>606</v>
      </c>
      <c r="C241" s="7" t="str">
        <f t="shared" si="12"/>
        <v>Premium5color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IFERROR(VLOOKUP(B241,input_491106!L:R,7,FALSE),VLOOKUP(tables_491106!C241,input_491106!A:H,8,FALSE))</f>
        <v>7995.5601800000004</v>
      </c>
      <c r="P241" s="46">
        <f t="shared" ca="1" si="14"/>
        <v>6.1203001990904778E-4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input_491106!A$2</f>
        <v>491106</v>
      </c>
      <c r="B242" s="6">
        <v>658</v>
      </c>
      <c r="C242" s="7" t="str">
        <f t="shared" si="12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IFERROR(VLOOKUP(B242,input_491106!L:R,7,FALSE),VLOOKUP(tables_491106!C242,input_491106!A:H,8,FALSE))</f>
        <v>11616.952380000001</v>
      </c>
      <c r="P242" s="46">
        <f t="shared" ca="1" si="14"/>
        <v>8.8923395438865428E-4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input_491106!A$2</f>
        <v>491106</v>
      </c>
      <c r="B243" s="6">
        <v>659</v>
      </c>
      <c r="C243" s="7" t="str">
        <f t="shared" si="12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IFERROR(VLOOKUP(B243,input_491106!L:R,7,FALSE),VLOOKUP(tables_491106!C243,input_491106!A:H,8,FALSE))</f>
        <v>284</v>
      </c>
      <c r="P243" s="46">
        <f t="shared" ca="1" si="14"/>
        <v>2.1739130435032204E-5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input_491106!A$2</f>
        <v>491106</v>
      </c>
      <c r="B244" s="6">
        <v>660</v>
      </c>
      <c r="C244" s="7" t="str">
        <f t="shared" si="12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IFERROR(VLOOKUP(B244,input_491106!L:R,7,FALSE),VLOOKUP(tables_491106!C244,input_491106!A:H,8,FALSE))</f>
        <v>11616.952380000001</v>
      </c>
      <c r="P244" s="46">
        <f t="shared" ca="1" si="14"/>
        <v>8.8923395438865428E-4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input_491106!A$2</f>
        <v>491106</v>
      </c>
      <c r="B245" s="60">
        <v>661</v>
      </c>
      <c r="C245" s="7" t="str">
        <f t="shared" si="12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IFERROR(VLOOKUP(B245,input_491106!L:R,7,FALSE),VLOOKUP(tables_491106!C245,input_491106!A:H,8,FALSE))</f>
        <v>284</v>
      </c>
      <c r="P245" s="46">
        <f t="shared" ca="1" si="14"/>
        <v>2.1739130435032204E-5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input_491106!A$2</f>
        <v>491106</v>
      </c>
      <c r="B246" s="60">
        <v>662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IFERROR(VLOOKUP(B246,input_491106!L:R,7,FALSE),VLOOKUP(tables_491106!C246,input_491106!A:H,8,FALSE))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input_491106!A$2</f>
        <v>491106</v>
      </c>
      <c r="B247" s="60">
        <v>663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IFERROR(VLOOKUP(B247,input_491106!L:R,7,FALSE),VLOOKUP(tables_491106!C247,input_491106!A:H,8,FALSE))</f>
        <v>55325.969230000002</v>
      </c>
      <c r="P247" s="46">
        <f t="shared" ca="1" si="14"/>
        <v>4.2349945828716491E-3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input_491106!A$2</f>
        <v>491106</v>
      </c>
      <c r="B248" s="60">
        <v>664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IFERROR(VLOOKUP(B248,input_491106!L:R,7,FALSE),VLOOKUP(tables_491106!C248,input_491106!A:H,8,FALSE))</f>
        <v>91.05641</v>
      </c>
      <c r="P248" s="46">
        <f t="shared" ca="1" si="14"/>
        <v>6.9700252603372207E-6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input_491106!A$2</f>
        <v>491106</v>
      </c>
      <c r="B249" s="60">
        <v>665</v>
      </c>
      <c r="C249" s="7" t="str">
        <f t="shared" si="12"/>
        <v>Premium3color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IFERROR(VLOOKUP(B249,input_491106!L:R,7,FALSE),VLOOKUP(tables_491106!C249,input_491106!A:H,8,FALSE))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input_491106!A$2</f>
        <v>491106</v>
      </c>
      <c r="B250" s="60">
        <v>666</v>
      </c>
      <c r="C250" s="7" t="str">
        <f t="shared" si="12"/>
        <v>Premium4color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IFERROR(VLOOKUP(B250,input_491106!L:R,7,FALSE),VLOOKUP(tables_491106!C250,input_491106!A:H,8,FALSE))</f>
        <v>341215.20905</v>
      </c>
      <c r="P250" s="46">
        <f t="shared" ca="1" si="14"/>
        <v>2.6118739211108209E-2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input_491106!A$2</f>
        <v>491106</v>
      </c>
      <c r="B251" s="60">
        <v>667</v>
      </c>
      <c r="C251" s="7" t="str">
        <f t="shared" si="12"/>
        <v>Premium5color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IFERROR(VLOOKUP(B251,input_491106!L:R,7,FALSE),VLOOKUP(tables_491106!C251,input_491106!A:H,8,FALSE))</f>
        <v>7995.5601800000004</v>
      </c>
      <c r="P251" s="46">
        <f t="shared" ca="1" si="14"/>
        <v>6.1203001990904778E-4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input_491106!A$2</f>
        <v>491106</v>
      </c>
      <c r="B252" s="60">
        <v>668</v>
      </c>
      <c r="C252" s="7" t="str">
        <f t="shared" si="12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IFERROR(VLOOKUP(B252,input_491106!L:R,7,FALSE),VLOOKUP(tables_491106!C252,input_491106!A:H,8,FALSE))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input_491106!A$2</f>
        <v>491106</v>
      </c>
      <c r="B253" s="60">
        <v>669</v>
      </c>
      <c r="C253" s="7" t="str">
        <f t="shared" si="12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IFERROR(VLOOKUP(B253,input_491106!L:R,7,FALSE),VLOOKUP(tables_491106!C253,input_491106!A:H,8,FALSE))</f>
        <v>55325.969230000002</v>
      </c>
      <c r="P253" s="46">
        <f t="shared" ca="1" si="14"/>
        <v>4.2349945828716491E-3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input_491106!A$2</f>
        <v>491106</v>
      </c>
      <c r="B254" s="60">
        <v>670</v>
      </c>
      <c r="C254" s="7" t="str">
        <f t="shared" si="12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IFERROR(VLOOKUP(B254,input_491106!L:R,7,FALSE),VLOOKUP(tables_491106!C254,input_491106!A:H,8,FALSE))</f>
        <v>91.05641</v>
      </c>
      <c r="P254" s="46">
        <f t="shared" ca="1" si="14"/>
        <v>6.9700252603372207E-6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input_491106!A$2</f>
        <v>491106</v>
      </c>
      <c r="B255" s="60">
        <v>671</v>
      </c>
      <c r="C255" s="7" t="str">
        <f t="shared" si="12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IFERROR(VLOOKUP(B255,input_491106!L:R,7,FALSE),VLOOKUP(tables_491106!C255,input_491106!A:H,8,FALSE))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input_491106!A$2</f>
        <v>491106</v>
      </c>
      <c r="B256" s="60">
        <v>672</v>
      </c>
      <c r="C256" s="7" t="str">
        <f t="shared" si="12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IFERROR(VLOOKUP(B256,input_491106!L:R,7,FALSE),VLOOKUP(tables_491106!C256,input_491106!A:H,8,FALSE))</f>
        <v>55325.969230000002</v>
      </c>
      <c r="P256" s="46">
        <f t="shared" ca="1" si="14"/>
        <v>4.2349945828716491E-3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input_491106!A$2</f>
        <v>491106</v>
      </c>
      <c r="B257" s="60">
        <v>673</v>
      </c>
      <c r="C257" s="7" t="str">
        <f t="shared" si="12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IFERROR(VLOOKUP(B257,input_491106!L:R,7,FALSE),VLOOKUP(tables_491106!C257,input_491106!A:H,8,FALSE))</f>
        <v>91.05641</v>
      </c>
      <c r="P257" s="46">
        <f t="shared" ca="1" si="14"/>
        <v>6.9700252603372207E-6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input_491106!A$2</f>
        <v>491106</v>
      </c>
      <c r="B258" s="60">
        <v>674</v>
      </c>
      <c r="C258" s="7" t="str">
        <f t="shared" ref="C258:C284" si="16">D258&amp;J258&amp;E258&amp;F258&amp;G258</f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ref="G258:G321" si="17">IF(K258="yellow","color","")</f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IFERROR(VLOOKUP(B258,input_491106!L:R,7,FALSE),VLOOKUP(tables_491106!C258,input_491106!A:H,8,FALSE))</f>
        <v>11616.952380000001</v>
      </c>
      <c r="P258" s="46">
        <f t="shared" ref="P258:P305" ca="1" si="18">O258/SUM(O:O)</f>
        <v>8.8923395438865428E-4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input_491106!A$2</f>
        <v>491106</v>
      </c>
      <c r="B259" s="60">
        <v>675</v>
      </c>
      <c r="C259" s="7" t="str">
        <f t="shared" si="16"/>
        <v>PremiumSS5</v>
      </c>
      <c r="D259" s="7" t="str">
        <f t="shared" ref="D259:D322" si="1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IFERROR(VLOOKUP(B259,input_491106!L:R,7,FALSE),VLOOKUP(tables_491106!C259,input_491106!A:H,8,FALSE))</f>
        <v>284</v>
      </c>
      <c r="P259" s="46">
        <f t="shared" ca="1" si="18"/>
        <v>2.1739130435032204E-5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input_491106!A$2</f>
        <v>491106</v>
      </c>
      <c r="B260" s="60">
        <v>676</v>
      </c>
      <c r="C260" s="7" t="str">
        <f t="shared" si="16"/>
        <v>PremiumSS4color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IFERROR(VLOOKUP(B260,input_491106!L:R,7,FALSE),VLOOKUP(tables_491106!C260,input_491106!A:H,8,FALSE))</f>
        <v>21901.411759999999</v>
      </c>
      <c r="P260" s="46">
        <f t="shared" ca="1" si="18"/>
        <v>1.6764705878943248E-3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input_491106!A$2</f>
        <v>491106</v>
      </c>
      <c r="B261" s="60">
        <v>677</v>
      </c>
      <c r="C261" s="7" t="str">
        <f t="shared" si="16"/>
        <v>PremiumSS5color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7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IFERROR(VLOOKUP(B261,input_491106!L:R,7,FALSE),VLOOKUP(tables_491106!C261,input_491106!A:H,8,FALSE))</f>
        <v>1152.70588</v>
      </c>
      <c r="P261" s="46">
        <f t="shared" ca="1" si="18"/>
        <v>8.823529393855134E-5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input_491106!A$2</f>
        <v>491106</v>
      </c>
      <c r="B262" s="60">
        <v>728</v>
      </c>
      <c r="C262" s="7" t="str">
        <f t="shared" si="16"/>
        <v>Premium4R3less</v>
      </c>
      <c r="D262" s="7" t="str">
        <f t="shared" si="1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IFERROR(VLOOKUP(B262,input_491106!L:R,7,FALSE),VLOOKUP(tables_491106!C262,input_491106!A:H,8,FALSE))</f>
        <v>88653.828569999998</v>
      </c>
      <c r="P262" s="46">
        <f t="shared" ca="1" si="18"/>
        <v>6.7861167001697694E-3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input_491106!A$2</f>
        <v>491106</v>
      </c>
      <c r="B263" s="60">
        <v>729</v>
      </c>
      <c r="C263" s="7" t="str">
        <f t="shared" si="16"/>
        <v>Premium5R3less</v>
      </c>
      <c r="D263" s="7" t="str">
        <f t="shared" si="1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IFERROR(VLOOKUP(B263,input_491106!L:R,7,FALSE),VLOOKUP(tables_491106!C263,input_491106!A:H,8,FALSE))</f>
        <v>3440.8</v>
      </c>
      <c r="P263" s="46">
        <f t="shared" ca="1" si="18"/>
        <v>2.6338028169316485E-4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input_491106!A$2</f>
        <v>491106</v>
      </c>
      <c r="B264" s="60">
        <v>730</v>
      </c>
      <c r="C264" s="7" t="str">
        <f t="shared" si="16"/>
        <v>Premium4R3less</v>
      </c>
      <c r="D264" s="7" t="str">
        <f t="shared" si="1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IFERROR(VLOOKUP(B264,input_491106!L:R,7,FALSE),VLOOKUP(tables_491106!C264,input_491106!A:H,8,FALSE))</f>
        <v>88653.828569999998</v>
      </c>
      <c r="P264" s="46">
        <f t="shared" ca="1" si="18"/>
        <v>6.7861167001697694E-3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input_491106!A$2</f>
        <v>491106</v>
      </c>
      <c r="B265" s="60">
        <v>731</v>
      </c>
      <c r="C265" s="7" t="str">
        <f t="shared" si="16"/>
        <v>Premium5R3less</v>
      </c>
      <c r="D265" s="7" t="str">
        <f t="shared" si="1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IFERROR(VLOOKUP(B265,input_491106!L:R,7,FALSE),VLOOKUP(tables_491106!C265,input_491106!A:H,8,FALSE))</f>
        <v>3440.8</v>
      </c>
      <c r="P265" s="46">
        <f t="shared" ca="1" si="18"/>
        <v>2.6338028169316485E-4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input_491106!A$2</f>
        <v>491106</v>
      </c>
      <c r="B266" s="60">
        <v>732</v>
      </c>
      <c r="C266" s="7" t="str">
        <f t="shared" si="16"/>
        <v>PremiumSS5R5only</v>
      </c>
      <c r="D266" s="7" t="str">
        <f t="shared" si="1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7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IFERROR(VLOOKUP(B266,input_491106!L:R,7,FALSE),VLOOKUP(tables_491106!C266,input_491106!A:H,8,FALSE))</f>
        <v>5680</v>
      </c>
      <c r="P266" s="46">
        <f t="shared" ca="1" si="18"/>
        <v>4.3478260870064407E-4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input_491106!A$2</f>
        <v>491106</v>
      </c>
      <c r="B267" s="60">
        <v>734</v>
      </c>
      <c r="C267" s="7" t="str">
        <f t="shared" si="16"/>
        <v>PremiumSS5R5onlycolor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IFERROR(VLOOKUP(B267,input_491106!L:R,7,FALSE),VLOOKUP(tables_491106!C267,input_491106!A:H,8,FALSE))</f>
        <v>9990.1176500000001</v>
      </c>
      <c r="P267" s="46">
        <f t="shared" ca="1" si="18"/>
        <v>7.6470588258685708E-4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input_491106!A$2</f>
        <v>491106</v>
      </c>
      <c r="B268" s="60">
        <v>742</v>
      </c>
      <c r="C268" s="7" t="str">
        <f t="shared" si="16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7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IFERROR(VLOOKUP(B268,input_491106!L:R,7,FALSE),VLOOKUP(tables_491106!C268,input_491106!A:H,8,FALSE))</f>
        <v>5680</v>
      </c>
      <c r="P268" s="46">
        <f t="shared" ca="1" si="18"/>
        <v>4.3478260870064407E-4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input_491106!A$2</f>
        <v>491106</v>
      </c>
      <c r="B269" s="60">
        <v>744</v>
      </c>
      <c r="C269" s="7" t="str">
        <f t="shared" si="16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IFERROR(VLOOKUP(B269,input_491106!L:R,7,FALSE),VLOOKUP(tables_491106!C269,input_491106!A:H,8,FALSE))</f>
        <v>5680</v>
      </c>
      <c r="P269" s="46">
        <f t="shared" ca="1" si="18"/>
        <v>4.3478260870064407E-4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input_491106!A$2</f>
        <v>491106</v>
      </c>
      <c r="B270" s="60">
        <v>746</v>
      </c>
      <c r="C270" s="7" t="str">
        <f t="shared" si="16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IFERROR(VLOOKUP(B270,input_491106!L:R,7,FALSE),VLOOKUP(tables_491106!C270,input_491106!A:H,8,FALSE))</f>
        <v>88653.828569999998</v>
      </c>
      <c r="P270" s="46">
        <f t="shared" ca="1" si="18"/>
        <v>6.7861167001697694E-3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input_491106!A$2</f>
        <v>491106</v>
      </c>
      <c r="B271" s="82">
        <v>747</v>
      </c>
      <c r="C271" s="7" t="str">
        <f t="shared" si="16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IFERROR(VLOOKUP(B271,input_491106!L:R,7,FALSE),VLOOKUP(tables_491106!C271,input_491106!A:H,8,FALSE))</f>
        <v>3440.8</v>
      </c>
      <c r="P271" s="46">
        <f t="shared" ca="1" si="18"/>
        <v>2.6338028169316485E-4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input_491106!A$2</f>
        <v>491106</v>
      </c>
      <c r="B272" s="82">
        <v>748</v>
      </c>
      <c r="C272" s="7" t="str">
        <f t="shared" si="16"/>
        <v>Premium4R3lesscolor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7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IFERROR(VLOOKUP(B272,input_491106!L:R,7,FALSE),VLOOKUP(tables_491106!C272,input_491106!A:H,8,FALSE))</f>
        <v>192149.66667000001</v>
      </c>
      <c r="P272" s="46">
        <f t="shared" ca="1" si="18"/>
        <v>1.4708333333757361E-2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input_491106!A$2</f>
        <v>491106</v>
      </c>
      <c r="B273" s="82">
        <v>749</v>
      </c>
      <c r="C273" s="7" t="str">
        <f t="shared" si="16"/>
        <v>Premium5R3lesscolor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7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IFERROR(VLOOKUP(B273,input_491106!L:R,7,FALSE),VLOOKUP(tables_491106!C273,input_491106!A:H,8,FALSE))</f>
        <v>979.8</v>
      </c>
      <c r="P273" s="46">
        <f t="shared" ca="1" si="18"/>
        <v>7.5000000000861107E-5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input_491106!A$2</f>
        <v>491106</v>
      </c>
      <c r="B274" s="82">
        <v>770</v>
      </c>
      <c r="C274" s="7" t="str">
        <f t="shared" si="16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7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IFERROR(VLOOKUP(B274,input_491106!L:R,7,FALSE),VLOOKUP(tables_491106!C274,input_491106!A:H,8,FALSE))</f>
        <v>11616.952380000001</v>
      </c>
      <c r="P274" s="46">
        <f t="shared" ca="1" si="18"/>
        <v>8.8923395438865428E-4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input_491106!A$2</f>
        <v>491106</v>
      </c>
      <c r="B275" s="82">
        <v>771</v>
      </c>
      <c r="C275" s="7" t="str">
        <f t="shared" si="16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7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IFERROR(VLOOKUP(B275,input_491106!L:R,7,FALSE),VLOOKUP(tables_491106!C275,input_491106!A:H,8,FALSE))</f>
        <v>284</v>
      </c>
      <c r="P275" s="46">
        <f t="shared" ca="1" si="18"/>
        <v>2.1739130435032204E-5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input_491106!A$2</f>
        <v>491106</v>
      </c>
      <c r="B276" s="82">
        <v>772</v>
      </c>
      <c r="C276" s="7" t="str">
        <f t="shared" si="16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IFERROR(VLOOKUP(B276,input_491106!L:R,7,FALSE),VLOOKUP(tables_491106!C276,input_491106!A:H,8,FALSE))</f>
        <v>11616.952380000001</v>
      </c>
      <c r="P276" s="46">
        <f t="shared" ca="1" si="18"/>
        <v>8.8923395438865428E-4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input_491106!A$2</f>
        <v>491106</v>
      </c>
      <c r="B277" s="82">
        <v>773</v>
      </c>
      <c r="C277" s="7" t="str">
        <f t="shared" si="16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IFERROR(VLOOKUP(B277,input_491106!L:R,7,FALSE),VLOOKUP(tables_491106!C277,input_491106!A:H,8,FALSE))</f>
        <v>284</v>
      </c>
      <c r="P277" s="46">
        <f t="shared" ca="1" si="18"/>
        <v>2.1739130435032204E-5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input_491106!A$2</f>
        <v>491106</v>
      </c>
      <c r="B278" s="82">
        <v>774</v>
      </c>
      <c r="C278" s="7" t="str">
        <f t="shared" si="16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IFERROR(VLOOKUP(B278,input_491106!L:R,7,FALSE),VLOOKUP(tables_491106!C278,input_491106!A:H,8,FALSE))</f>
        <v>0</v>
      </c>
      <c r="P278" s="46">
        <f t="shared" ca="1" si="18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input_491106!A$2</f>
        <v>491106</v>
      </c>
      <c r="B279" s="82">
        <v>775</v>
      </c>
      <c r="C279" s="7" t="str">
        <f t="shared" si="16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IFERROR(VLOOKUP(B279,input_491106!L:R,7,FALSE),VLOOKUP(tables_491106!C279,input_491106!A:H,8,FALSE))</f>
        <v>55325.969230000002</v>
      </c>
      <c r="P279" s="46">
        <f t="shared" ca="1" si="18"/>
        <v>4.2349945828716491E-3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input_491106!A$2</f>
        <v>491106</v>
      </c>
      <c r="B280" s="82">
        <v>776</v>
      </c>
      <c r="C280" s="7" t="str">
        <f t="shared" si="16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IFERROR(VLOOKUP(B280,input_491106!L:R,7,FALSE),VLOOKUP(tables_491106!C280,input_491106!A:H,8,FALSE))</f>
        <v>91.05641</v>
      </c>
      <c r="P280" s="46">
        <f t="shared" ca="1" si="18"/>
        <v>6.9700252603372207E-6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input_491106!A$2</f>
        <v>491106</v>
      </c>
      <c r="B281" s="82">
        <v>777</v>
      </c>
      <c r="C281" s="7" t="str">
        <f t="shared" si="16"/>
        <v>Premium3color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7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IFERROR(VLOOKUP(B281,input_491106!L:R,7,FALSE),VLOOKUP(tables_491106!C281,input_491106!A:H,8,FALSE))</f>
        <v>0</v>
      </c>
      <c r="P281" s="46">
        <f t="shared" ca="1" si="18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input_491106!A$2</f>
        <v>491106</v>
      </c>
      <c r="B282" s="82">
        <v>778</v>
      </c>
      <c r="C282" s="7" t="str">
        <f t="shared" si="16"/>
        <v>Premium4color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IFERROR(VLOOKUP(B282,input_491106!L:R,7,FALSE),VLOOKUP(tables_491106!C282,input_491106!A:H,8,FALSE))</f>
        <v>341215.20905</v>
      </c>
      <c r="P282" s="46">
        <f t="shared" ca="1" si="18"/>
        <v>2.6118739211108209E-2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input_491106!A$2</f>
        <v>491106</v>
      </c>
      <c r="B283" s="5">
        <v>779</v>
      </c>
      <c r="C283" s="7" t="str">
        <f t="shared" si="16"/>
        <v>Premium5color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7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IFERROR(VLOOKUP(B283,input_491106!L:R,7,FALSE),VLOOKUP(tables_491106!C283,input_491106!A:H,8,FALSE))</f>
        <v>7995.5601800000004</v>
      </c>
      <c r="P283" s="46">
        <f t="shared" ca="1" si="18"/>
        <v>6.1203001990904778E-4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input_491106!A$2</f>
        <v>491106</v>
      </c>
      <c r="B284" s="5">
        <v>848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IFERROR(VLOOKUP(B284,input_491106!L:R,7,FALSE),VLOOKUP(tables_491106!C284,input_491106!A:H,8,FALSE))</f>
        <v>5680</v>
      </c>
      <c r="P284" s="46">
        <f t="shared" ca="1" si="18"/>
        <v>4.3478260870064407E-4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input_491106!A$2</f>
        <v>491106</v>
      </c>
      <c r="B285" s="5">
        <v>850</v>
      </c>
      <c r="C285" s="7" t="str">
        <f t="shared" ref="C285:C290" si="20">D285&amp;J285&amp;E285&amp;F285&amp;G285</f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IFERROR(VLOOKUP(B285,input_491106!L:R,7,FALSE),VLOOKUP(tables_491106!C285,input_491106!A:H,8,FALSE))</f>
        <v>5680</v>
      </c>
      <c r="P285" s="46">
        <f t="shared" ca="1" si="18"/>
        <v>4.3478260870064407E-4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input_491106!A$2</f>
        <v>491106</v>
      </c>
      <c r="B286" s="5">
        <v>852</v>
      </c>
      <c r="C286" s="7" t="str">
        <f t="shared" si="20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IFERROR(VLOOKUP(B286,input_491106!L:R,7,FALSE),VLOOKUP(tables_491106!C286,input_491106!A:H,8,FALSE))</f>
        <v>88653.828569999998</v>
      </c>
      <c r="P286" s="46">
        <f t="shared" ca="1" si="18"/>
        <v>6.7861167001697694E-3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input_491106!A$2</f>
        <v>491106</v>
      </c>
      <c r="B287" s="5">
        <v>853</v>
      </c>
      <c r="C287" s="7" t="str">
        <f t="shared" si="20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IFERROR(VLOOKUP(B287,input_491106!L:R,7,FALSE),VLOOKUP(tables_491106!C287,input_491106!A:H,8,FALSE))</f>
        <v>3440.8</v>
      </c>
      <c r="P287" s="46">
        <f t="shared" ca="1" si="18"/>
        <v>2.6338028169316485E-4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input_491106!A$2</f>
        <v>491106</v>
      </c>
      <c r="B288" s="5">
        <v>854</v>
      </c>
      <c r="C288" s="7" t="str">
        <f t="shared" si="20"/>
        <v>Premium4R3lesscolor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IFERROR(VLOOKUP(B288,input_491106!L:R,7,FALSE),VLOOKUP(tables_491106!C288,input_491106!A:H,8,FALSE))</f>
        <v>192149.66667000001</v>
      </c>
      <c r="P288" s="46">
        <f t="shared" ca="1" si="18"/>
        <v>1.4708333333757361E-2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input_491106!A$2</f>
        <v>491106</v>
      </c>
      <c r="B289" s="5">
        <v>855</v>
      </c>
      <c r="C289" s="7" t="str">
        <f t="shared" si="20"/>
        <v>Premium5R3lesscolor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IFERROR(VLOOKUP(B289,input_491106!L:R,7,FALSE),VLOOKUP(tables_491106!C289,input_491106!A:H,8,FALSE))</f>
        <v>979.8</v>
      </c>
      <c r="P289" s="46">
        <f t="shared" ca="1" si="18"/>
        <v>7.5000000000861107E-5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input_491106!A$2</f>
        <v>491106</v>
      </c>
      <c r="B290" s="5">
        <v>862</v>
      </c>
      <c r="C290" s="7" t="str">
        <f t="shared" si="20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IFERROR(VLOOKUP(B290,input_491106!L:R,7,FALSE),VLOOKUP(tables_491106!C290,input_491106!A:H,8,FALSE))</f>
        <v>88653.828569999998</v>
      </c>
      <c r="P290" s="46">
        <f t="shared" ca="1" si="18"/>
        <v>6.7861167001697694E-3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input_491106!A$2</f>
        <v>491106</v>
      </c>
      <c r="B291" s="5">
        <v>863</v>
      </c>
      <c r="C291" s="7" t="str">
        <f t="shared" ref="C291:C300" si="21">D291&amp;J291&amp;E291&amp;F291&amp;G291</f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IFERROR(VLOOKUP(B291,input_491106!L:R,7,FALSE),VLOOKUP(tables_491106!C291,input_491106!A:H,8,FALSE))</f>
        <v>3440.8</v>
      </c>
      <c r="P291" s="46">
        <f t="shared" ca="1" si="18"/>
        <v>2.6338028169316485E-4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input_491106!A$2</f>
        <v>491106</v>
      </c>
      <c r="B292" s="5">
        <v>864</v>
      </c>
      <c r="C292" s="7" t="str">
        <f t="shared" si="21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IFERROR(VLOOKUP(B292,input_491106!L:R,7,FALSE),VLOOKUP(tables_491106!C292,input_491106!A:H,8,FALSE))</f>
        <v>88653.828569999998</v>
      </c>
      <c r="P292" s="46">
        <f t="shared" ca="1" si="18"/>
        <v>6.7861167001697694E-3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input_491106!A$2</f>
        <v>491106</v>
      </c>
      <c r="B293" s="5">
        <v>865</v>
      </c>
      <c r="C293" s="7" t="str">
        <f t="shared" si="21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7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IFERROR(VLOOKUP(B293,input_491106!L:R,7,FALSE),VLOOKUP(tables_491106!C293,input_491106!A:H,8,FALSE))</f>
        <v>3440.8</v>
      </c>
      <c r="P293" s="46">
        <f t="shared" ca="1" si="18"/>
        <v>2.6338028169316485E-4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input_491106!A$2</f>
        <v>491106</v>
      </c>
      <c r="B294" s="5">
        <v>866</v>
      </c>
      <c r="C294" s="7" t="str">
        <f t="shared" si="21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IFERROR(VLOOKUP(B294,input_491106!L:R,7,FALSE),VLOOKUP(tables_491106!C294,input_491106!A:H,8,FALSE))</f>
        <v>5680</v>
      </c>
      <c r="P294" s="46">
        <f t="shared" ca="1" si="18"/>
        <v>4.3478260870064407E-4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input_491106!A$2</f>
        <v>491106</v>
      </c>
      <c r="B295" s="5">
        <v>868</v>
      </c>
      <c r="C295" s="7" t="str">
        <f t="shared" si="21"/>
        <v>PremiumSS5R5onlycolor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IFERROR(VLOOKUP(B295,input_491106!L:R,7,FALSE),VLOOKUP(tables_491106!C295,input_491106!A:H,8,FALSE))</f>
        <v>9990.1176500000001</v>
      </c>
      <c r="P295" s="46">
        <f t="shared" ca="1" si="18"/>
        <v>7.6470588258685708E-4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input_491106!A$2</f>
        <v>491106</v>
      </c>
      <c r="B296" s="5">
        <v>937</v>
      </c>
      <c r="C296" s="7" t="str">
        <f t="shared" si="21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IFERROR(VLOOKUP(B296,input_491106!L:R,7,FALSE),VLOOKUP(tables_491106!C296,input_491106!A:H,8,FALSE))</f>
        <v>5680</v>
      </c>
      <c r="P296" s="46">
        <f t="shared" ca="1" si="18"/>
        <v>4.3478260870064407E-4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input_491106!A$2</f>
        <v>491106</v>
      </c>
      <c r="B297" s="5">
        <v>939</v>
      </c>
      <c r="C297" s="7" t="str">
        <f t="shared" si="21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IFERROR(VLOOKUP(B297,input_491106!L:R,7,FALSE),VLOOKUP(tables_491106!C297,input_491106!A:H,8,FALSE))</f>
        <v>88653.828569999998</v>
      </c>
      <c r="P297" s="46">
        <f t="shared" ca="1" si="18"/>
        <v>6.7861167001697694E-3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input_491106!A$2</f>
        <v>491106</v>
      </c>
      <c r="B298" s="5">
        <v>940</v>
      </c>
      <c r="C298" s="7" t="str">
        <f t="shared" si="21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IFERROR(VLOOKUP(B298,input_491106!L:R,7,FALSE),VLOOKUP(tables_491106!C298,input_491106!A:H,8,FALSE))</f>
        <v>3440.8</v>
      </c>
      <c r="P298" s="46">
        <f t="shared" ca="1" si="18"/>
        <v>2.6338028169316485E-4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input_491106!A$2</f>
        <v>491106</v>
      </c>
      <c r="B299" s="5">
        <v>941</v>
      </c>
      <c r="C299" s="7" t="str">
        <f t="shared" si="21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IFERROR(VLOOKUP(B299,input_491106!L:R,7,FALSE),VLOOKUP(tables_491106!C299,input_491106!A:H,8,FALSE))</f>
        <v>5680</v>
      </c>
      <c r="P299" s="46">
        <f t="shared" ca="1" si="18"/>
        <v>4.3478260870064407E-4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input_491106!A$2</f>
        <v>491106</v>
      </c>
      <c r="B300" s="5">
        <v>943</v>
      </c>
      <c r="C300" s="7" t="str">
        <f t="shared" si="21"/>
        <v>PremiumSS5R5onlycolor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7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IFERROR(VLOOKUP(B300,input_491106!L:R,7,FALSE),VLOOKUP(tables_491106!C300,input_491106!A:H,8,FALSE))</f>
        <v>9990.1176500000001</v>
      </c>
      <c r="P300" s="46">
        <f t="shared" ca="1" si="18"/>
        <v>7.6470588258685708E-4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input_491106!A$2</f>
        <v>491106</v>
      </c>
      <c r="B301" s="5">
        <v>1012</v>
      </c>
      <c r="C301" s="7" t="str">
        <f t="shared" ref="C301:C305" si="22">D301&amp;J301&amp;E301&amp;F301&amp;G301</f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IFERROR(VLOOKUP(B301,input_491106!L:R,7,FALSE),VLOOKUP(tables_491106!C301,input_491106!A:H,8,FALSE))</f>
        <v>5680</v>
      </c>
      <c r="P301" s="46">
        <f t="shared" ca="1" si="18"/>
        <v>4.3478260870064407E-4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input_491106!A$2</f>
        <v>491106</v>
      </c>
      <c r="B302" s="5">
        <v>1014</v>
      </c>
      <c r="C302" s="7" t="str">
        <f t="shared" si="22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IFERROR(VLOOKUP(B302,input_491106!L:R,7,FALSE),VLOOKUP(tables_491106!C302,input_491106!A:H,8,FALSE))</f>
        <v>5680</v>
      </c>
      <c r="P302" s="46">
        <f t="shared" ca="1" si="18"/>
        <v>4.3478260870064407E-4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input_491106!A$2</f>
        <v>491106</v>
      </c>
      <c r="B303" s="5">
        <v>1016</v>
      </c>
      <c r="C303" s="7" t="str">
        <f t="shared" si="22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7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IFERROR(VLOOKUP(B303,input_491106!L:R,7,FALSE),VLOOKUP(tables_491106!C303,input_491106!A:H,8,FALSE))</f>
        <v>88653.828569999998</v>
      </c>
      <c r="P303" s="46">
        <f t="shared" ca="1" si="18"/>
        <v>6.7861167001697694E-3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input_491106!A$2</f>
        <v>491106</v>
      </c>
      <c r="B304" s="5">
        <v>1017</v>
      </c>
      <c r="C304" s="7" t="str">
        <f t="shared" si="22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IFERROR(VLOOKUP(B304,input_491106!L:R,7,FALSE),VLOOKUP(tables_491106!C304,input_491106!A:H,8,FALSE))</f>
        <v>3440.8</v>
      </c>
      <c r="P304" s="46">
        <f t="shared" ca="1" si="18"/>
        <v>2.6338028169316485E-4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input_491106!A$2</f>
        <v>491106</v>
      </c>
      <c r="B305" s="5">
        <v>1018</v>
      </c>
      <c r="C305" s="7" t="str">
        <f t="shared" si="22"/>
        <v>PremiumSS5R5onlycolor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7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IFERROR(VLOOKUP(B305,input_491106!L:R,7,FALSE),VLOOKUP(tables_491106!C305,input_491106!A:H,8,FALSE))</f>
        <v>9990.1176500000001</v>
      </c>
      <c r="P305" s="46">
        <f t="shared" ca="1" si="18"/>
        <v>7.6470588258685708E-4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input_491106!A$2</f>
        <v>491106</v>
      </c>
      <c r="B306" s="5">
        <v>1026</v>
      </c>
      <c r="C306" s="7" t="str">
        <f t="shared" ref="C306:C310" si="23">D306&amp;J306&amp;E306&amp;F306&amp;G306</f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7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IFERROR(VLOOKUP(B306,input_491106!L:R,7,FALSE),VLOOKUP(tables_491106!C306,input_491106!A:H,8,FALSE))</f>
        <v>88653.828569999998</v>
      </c>
      <c r="P306" s="46">
        <f t="shared" ref="P306:P310" ca="1" si="24">O306/SUM(O:O)</f>
        <v>6.7861167001697694E-3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input_491106!A$2</f>
        <v>491106</v>
      </c>
      <c r="B307" s="5">
        <v>1027</v>
      </c>
      <c r="C307" s="7" t="str">
        <f t="shared" si="23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7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IFERROR(VLOOKUP(B307,input_491106!L:R,7,FALSE),VLOOKUP(tables_491106!C307,input_491106!A:H,8,FALSE))</f>
        <v>3440.8</v>
      </c>
      <c r="P307" s="46">
        <f t="shared" ca="1" si="24"/>
        <v>2.6338028169316485E-4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input_491106!A$2</f>
        <v>491106</v>
      </c>
      <c r="B308" s="5">
        <v>1028</v>
      </c>
      <c r="C308" s="7" t="str">
        <f t="shared" si="23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7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IFERROR(VLOOKUP(B308,input_491106!L:R,7,FALSE),VLOOKUP(tables_491106!C308,input_491106!A:H,8,FALSE))</f>
        <v>5680</v>
      </c>
      <c r="P308" s="46">
        <f t="shared" ca="1" si="24"/>
        <v>4.3478260870064407E-4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input_491106!A$2</f>
        <v>491106</v>
      </c>
      <c r="B309" s="5">
        <v>1031</v>
      </c>
      <c r="C309" s="7" t="str">
        <f t="shared" si="23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7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IFERROR(VLOOKUP(B309,input_491106!L:R,7,FALSE),VLOOKUP(tables_491106!C309,input_491106!A:H,8,FALSE))</f>
        <v>5680</v>
      </c>
      <c r="P309" s="46">
        <f t="shared" ca="1" si="24"/>
        <v>4.3478260870064407E-4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input_491106!A$2</f>
        <v>491106</v>
      </c>
      <c r="B310" s="5">
        <v>1033</v>
      </c>
      <c r="C310" s="7" t="str">
        <f t="shared" si="23"/>
        <v>PremiumSS5R5onlycolor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7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IFERROR(VLOOKUP(B310,input_491106!L:R,7,FALSE),VLOOKUP(tables_491106!C310,input_491106!A:H,8,FALSE))</f>
        <v>9990.1176500000001</v>
      </c>
      <c r="P310" s="46">
        <f t="shared" ca="1" si="24"/>
        <v>7.6470588258685708E-4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input_491106!A$2</f>
        <v>491106</v>
      </c>
      <c r="B311" s="5">
        <v>1067</v>
      </c>
      <c r="C311" s="7" t="str">
        <f t="shared" ref="C311:C319" si="25">D311&amp;J311&amp;E311&amp;F311&amp;G311</f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7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IFERROR(VLOOKUP(B311,input_491106!L:R,7,FALSE),VLOOKUP(tables_491106!C311,input_491106!A:H,8,FALSE))</f>
        <v>88653.828569999998</v>
      </c>
      <c r="P311" s="46">
        <f t="shared" ref="P311:P319" ca="1" si="26">O311/SUM(O:O)</f>
        <v>6.7861167001697694E-3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input_491106!A$2</f>
        <v>491106</v>
      </c>
      <c r="B312" s="5">
        <v>1068</v>
      </c>
      <c r="C312" s="7" t="str">
        <f t="shared" si="25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7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IFERROR(VLOOKUP(B312,input_491106!L:R,7,FALSE),VLOOKUP(tables_491106!C312,input_491106!A:H,8,FALSE))</f>
        <v>3440.8</v>
      </c>
      <c r="P312" s="46">
        <f t="shared" ca="1" si="26"/>
        <v>2.6338028169316485E-4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input_491106!A$2</f>
        <v>491106</v>
      </c>
      <c r="B313" s="5">
        <v>1069</v>
      </c>
      <c r="C313" s="7" t="str">
        <f t="shared" si="25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7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IFERROR(VLOOKUP(B313,input_491106!L:R,7,FALSE),VLOOKUP(tables_491106!C313,input_491106!A:H,8,FALSE))</f>
        <v>5680</v>
      </c>
      <c r="P313" s="46">
        <f t="shared" ca="1" si="26"/>
        <v>4.3478260870064407E-4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input_491106!A$2</f>
        <v>491106</v>
      </c>
      <c r="B314" s="5">
        <v>1072</v>
      </c>
      <c r="C314" s="7" t="str">
        <f t="shared" si="25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7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IFERROR(VLOOKUP(B314,input_491106!L:R,7,FALSE),VLOOKUP(tables_491106!C314,input_491106!A:H,8,FALSE))</f>
        <v>5680</v>
      </c>
      <c r="P314" s="46">
        <f t="shared" ca="1" si="26"/>
        <v>4.3478260870064407E-4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input_491106!A$2</f>
        <v>491106</v>
      </c>
      <c r="B315" s="5">
        <v>1074</v>
      </c>
      <c r="C315" s="7" t="str">
        <f t="shared" si="25"/>
        <v>PremiumSS5R5onlycolor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7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IFERROR(VLOOKUP(B315,input_491106!L:R,7,FALSE),VLOOKUP(tables_491106!C315,input_491106!A:H,8,FALSE))</f>
        <v>9990.1176500000001</v>
      </c>
      <c r="P315" s="46">
        <f t="shared" ca="1" si="26"/>
        <v>7.6470588258685708E-4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input_491106!A$2</f>
        <v>491106</v>
      </c>
      <c r="B316" s="5">
        <v>1100</v>
      </c>
      <c r="C316" s="7" t="str">
        <f t="shared" si="25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7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IFERROR(VLOOKUP(B316,input_491106!L:R,7,FALSE),VLOOKUP(tables_491106!C316,input_491106!A:H,8,FALSE))</f>
        <v>5680</v>
      </c>
      <c r="P316" s="46">
        <f t="shared" ca="1" si="26"/>
        <v>4.3478260870064407E-4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input_491106!A$2</f>
        <v>491106</v>
      </c>
      <c r="B317" s="5">
        <v>1102</v>
      </c>
      <c r="C317" s="7" t="str">
        <f t="shared" si="25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7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IFERROR(VLOOKUP(B317,input_491106!L:R,7,FALSE),VLOOKUP(tables_491106!C317,input_491106!A:H,8,FALSE))</f>
        <v>5680</v>
      </c>
      <c r="P317" s="46">
        <f t="shared" ca="1" si="26"/>
        <v>4.3478260870064407E-4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input_491106!A$2</f>
        <v>491106</v>
      </c>
      <c r="B318" s="5">
        <v>1104</v>
      </c>
      <c r="C318" s="7" t="str">
        <f t="shared" si="25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7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IFERROR(VLOOKUP(B318,input_491106!L:R,7,FALSE),VLOOKUP(tables_491106!C318,input_491106!A:H,8,FALSE))</f>
        <v>88653.828569999998</v>
      </c>
      <c r="P318" s="46">
        <f t="shared" ca="1" si="26"/>
        <v>6.7861167001697694E-3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input_491106!A$2</f>
        <v>491106</v>
      </c>
      <c r="B319" s="5">
        <v>1105</v>
      </c>
      <c r="C319" s="7" t="str">
        <f t="shared" si="25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7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IFERROR(VLOOKUP(B319,input_491106!L:R,7,FALSE),VLOOKUP(tables_491106!C319,input_491106!A:H,8,FALSE))</f>
        <v>3440.8</v>
      </c>
      <c r="P319" s="46">
        <f t="shared" ca="1" si="26"/>
        <v>2.6338028169316485E-4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input_491106!A$2</f>
        <v>491106</v>
      </c>
      <c r="B320" s="5">
        <v>1106</v>
      </c>
      <c r="C320" s="7" t="str">
        <f t="shared" ref="C320:C324" si="27">D320&amp;J320&amp;E320&amp;F320&amp;G320</f>
        <v>PremiumSS5R5onlycolor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7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IFERROR(VLOOKUP(B320,input_491106!L:R,7,FALSE),VLOOKUP(tables_491106!C320,input_491106!A:H,8,FALSE))</f>
        <v>9990.1176500000001</v>
      </c>
      <c r="P320" s="46">
        <f t="shared" ref="P320:P324" ca="1" si="28">O320/SUM(O:O)</f>
        <v>7.6470588258685708E-4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input_491106!A$2</f>
        <v>491106</v>
      </c>
      <c r="B321" s="5">
        <v>1137</v>
      </c>
      <c r="C321" s="7" t="str">
        <f t="shared" si="27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7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IFERROR(VLOOKUP(B321,input_491106!L:R,7,FALSE),VLOOKUP(tables_491106!C321,input_491106!A:H,8,FALSE))</f>
        <v>5680</v>
      </c>
      <c r="P321" s="46">
        <f t="shared" ca="1" si="28"/>
        <v>4.3478260870064407E-4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input_491106!A$2</f>
        <v>491106</v>
      </c>
      <c r="B322" s="5">
        <v>1139</v>
      </c>
      <c r="C322" s="7" t="str">
        <f t="shared" si="27"/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ref="G322:G341" si="29">IF(K322="yellow","color","")</f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IFERROR(VLOOKUP(B322,input_491106!L:R,7,FALSE),VLOOKUP(tables_491106!C322,input_491106!A:H,8,FALSE))</f>
        <v>5680</v>
      </c>
      <c r="P322" s="46">
        <f t="shared" ca="1" si="28"/>
        <v>4.3478260870064407E-4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input_491106!A$2</f>
        <v>491106</v>
      </c>
      <c r="B323" s="5">
        <v>1141</v>
      </c>
      <c r="C323" s="7" t="str">
        <f t="shared" si="27"/>
        <v>PremiumSS5R5only</v>
      </c>
      <c r="D323" s="7" t="str">
        <f t="shared" ref="D323:D330" si="30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si="29"/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IFERROR(VLOOKUP(B323,input_491106!L:R,7,FALSE),VLOOKUP(tables_491106!C323,input_491106!A:H,8,FALSE))</f>
        <v>5680</v>
      </c>
      <c r="P323" s="46">
        <f t="shared" ca="1" si="28"/>
        <v>4.3478260870064407E-4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input_491106!A$2</f>
        <v>491106</v>
      </c>
      <c r="B324" s="2">
        <v>1143</v>
      </c>
      <c r="C324" s="7" t="str">
        <f t="shared" si="27"/>
        <v>Premium4R3lesscolor</v>
      </c>
      <c r="D324" s="7" t="str">
        <f t="shared" si="30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9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IFERROR(VLOOKUP(B324,input_491106!L:R,7,FALSE),VLOOKUP(tables_491106!C324,input_491106!A:H,8,FALSE))</f>
        <v>192149.66667000001</v>
      </c>
      <c r="P324" s="46">
        <f t="shared" ca="1" si="28"/>
        <v>1.4708333333757361E-2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input_491106!A$2</f>
        <v>491106</v>
      </c>
      <c r="B325" s="2">
        <v>1144</v>
      </c>
      <c r="C325" s="7" t="str">
        <f t="shared" ref="C325:C330" si="31">D325&amp;J325&amp;E325&amp;F325&amp;G325</f>
        <v>Premium5R3lesscolor</v>
      </c>
      <c r="D325" s="7" t="str">
        <f t="shared" si="30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9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IFERROR(VLOOKUP(B325,input_491106!L:R,7,FALSE),VLOOKUP(tables_491106!C325,input_491106!A:H,8,FALSE))</f>
        <v>979.8</v>
      </c>
      <c r="P325" s="46">
        <f t="shared" ref="P325:P330" ca="1" si="32">O325/SUM(O:O)</f>
        <v>7.5000000000861107E-5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input_491106!A$2</f>
        <v>491106</v>
      </c>
      <c r="B326" s="2">
        <v>1151</v>
      </c>
      <c r="C326" s="7" t="str">
        <f t="shared" si="31"/>
        <v>Premium4R3less</v>
      </c>
      <c r="D326" s="7" t="str">
        <f t="shared" si="30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9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IFERROR(VLOOKUP(B326,input_491106!L:R,7,FALSE),VLOOKUP(tables_491106!C326,input_491106!A:H,8,FALSE))</f>
        <v>88653.828569999998</v>
      </c>
      <c r="P326" s="46">
        <f t="shared" ca="1" si="32"/>
        <v>6.7861167001697694E-3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input_491106!A$2</f>
        <v>491106</v>
      </c>
      <c r="B327" s="2">
        <v>1152</v>
      </c>
      <c r="C327" s="7" t="str">
        <f t="shared" si="31"/>
        <v>Premium5R3less</v>
      </c>
      <c r="D327" s="7" t="str">
        <f t="shared" si="30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9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IFERROR(VLOOKUP(B327,input_491106!L:R,7,FALSE),VLOOKUP(tables_491106!C327,input_491106!A:H,8,FALSE))</f>
        <v>3440.8</v>
      </c>
      <c r="P327" s="46">
        <f t="shared" ca="1" si="32"/>
        <v>2.6338028169316485E-4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input_491106!A$2</f>
        <v>491106</v>
      </c>
      <c r="B328" s="2">
        <v>1153</v>
      </c>
      <c r="C328" s="7" t="str">
        <f t="shared" si="31"/>
        <v>PremiumSS5R5only</v>
      </c>
      <c r="D328" s="7" t="str">
        <f t="shared" si="30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9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IFERROR(VLOOKUP(B328,input_491106!L:R,7,FALSE),VLOOKUP(tables_491106!C328,input_491106!A:H,8,FALSE))</f>
        <v>5680</v>
      </c>
      <c r="P328" s="46">
        <f t="shared" ca="1" si="32"/>
        <v>4.3478260870064407E-4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input_491106!A$2</f>
        <v>491106</v>
      </c>
      <c r="B329" s="2">
        <v>1155</v>
      </c>
      <c r="C329" s="7" t="str">
        <f t="shared" si="31"/>
        <v>PremiumSS5R5only</v>
      </c>
      <c r="D329" s="7" t="str">
        <f t="shared" si="30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9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IFERROR(VLOOKUP(B329,input_491106!L:R,7,FALSE),VLOOKUP(tables_491106!C329,input_491106!A:H,8,FALSE))</f>
        <v>5680</v>
      </c>
      <c r="P329" s="46">
        <f t="shared" ca="1" si="32"/>
        <v>4.3478260870064407E-4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input_491106!A$2</f>
        <v>491106</v>
      </c>
      <c r="B330" s="2">
        <v>1157</v>
      </c>
      <c r="C330" s="7" t="str">
        <f t="shared" si="31"/>
        <v>PremiumSS5R5onlycolor</v>
      </c>
      <c r="D330" s="7" t="str">
        <f t="shared" si="30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9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IFERROR(VLOOKUP(B330,input_491106!L:R,7,FALSE),VLOOKUP(tables_491106!C330,input_491106!A:H,8,FALSE))</f>
        <v>9990.1176500000001</v>
      </c>
      <c r="P330" s="46">
        <f t="shared" ca="1" si="32"/>
        <v>7.6470588258685708E-4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input_491106!A$2</f>
        <v>491106</v>
      </c>
      <c r="B331" s="60">
        <v>1214</v>
      </c>
      <c r="C331" s="7" t="str">
        <f t="shared" ref="C331:C340" si="33">D331&amp;J331&amp;E331&amp;F331&amp;G331</f>
        <v>PremiumSS5R5onlycolor</v>
      </c>
      <c r="D331" s="7" t="str">
        <f t="shared" ref="D331:D340" si="34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9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IFERROR(VLOOKUP(B331,input_491106!L:R,7,FALSE),VLOOKUP(tables_491106!C331,input_491106!A:H,8,FALSE))</f>
        <v>9990.1176500000001</v>
      </c>
      <c r="P331" s="46">
        <f t="shared" ref="P331:P340" ca="1" si="35">O331/SUM(O:O)</f>
        <v>7.6470588258685708E-4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input_491106!A$2</f>
        <v>491106</v>
      </c>
      <c r="B332" s="60">
        <v>1212</v>
      </c>
      <c r="C332" s="7" t="str">
        <f t="shared" si="33"/>
        <v>PremiumSS5R5only</v>
      </c>
      <c r="D332" s="7" t="str">
        <f t="shared" si="3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9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IFERROR(VLOOKUP(B332,input_491106!L:R,7,FALSE),VLOOKUP(tables_491106!C332,input_491106!A:H,8,FALSE))</f>
        <v>5680</v>
      </c>
      <c r="P332" s="46">
        <f t="shared" ca="1" si="35"/>
        <v>4.3478260870064407E-4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input_491106!A$2</f>
        <v>491106</v>
      </c>
      <c r="B333" s="60">
        <v>1208</v>
      </c>
      <c r="C333" s="7" t="str">
        <f t="shared" si="33"/>
        <v>PremiumSS5R5only</v>
      </c>
      <c r="D333" s="7" t="str">
        <f t="shared" si="3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9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IFERROR(VLOOKUP(B333,input_491106!L:R,7,FALSE),VLOOKUP(tables_491106!C333,input_491106!A:H,8,FALSE))</f>
        <v>5680</v>
      </c>
      <c r="P333" s="46">
        <f t="shared" ca="1" si="35"/>
        <v>4.3478260870064407E-4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input_491106!A$2</f>
        <v>491106</v>
      </c>
      <c r="B334" s="108">
        <v>1210</v>
      </c>
      <c r="C334" s="7" t="str">
        <f t="shared" si="33"/>
        <v>Premium4R3less</v>
      </c>
      <c r="D334" s="7" t="str">
        <f t="shared" si="34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9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IFERROR(VLOOKUP(B334,input_491106!L:R,7,FALSE),VLOOKUP(tables_491106!C334,input_491106!A:H,8,FALSE))</f>
        <v>88653.828569999998</v>
      </c>
      <c r="P334" s="46">
        <f t="shared" ca="1" si="35"/>
        <v>6.7861167001697694E-3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input_491106!A$2</f>
        <v>491106</v>
      </c>
      <c r="B335" s="60">
        <v>1211</v>
      </c>
      <c r="C335" s="7" t="str">
        <f t="shared" si="33"/>
        <v>Premium5R3less</v>
      </c>
      <c r="D335" s="7" t="str">
        <f t="shared" si="34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9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IFERROR(VLOOKUP(B335,input_491106!L:R,7,FALSE),VLOOKUP(tables_491106!C335,input_491106!A:H,8,FALSE))</f>
        <v>3440.8</v>
      </c>
      <c r="P335" s="46">
        <f t="shared" ca="1" si="35"/>
        <v>2.6338028169316485E-4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input_491106!A$2</f>
        <v>491106</v>
      </c>
      <c r="B336" s="2">
        <v>1224</v>
      </c>
      <c r="C336" s="7" t="str">
        <f t="shared" si="33"/>
        <v>Premium4R3less</v>
      </c>
      <c r="D336" s="7" t="str">
        <f t="shared" si="34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9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IFERROR(VLOOKUP(B336,input_491106!L:R,7,FALSE),VLOOKUP(tables_491106!C336,input_491106!A:H,8,FALSE))</f>
        <v>88653.828569999998</v>
      </c>
      <c r="P336" s="46">
        <f t="shared" ca="1" si="35"/>
        <v>6.7861167001697694E-3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input_491106!A$2</f>
        <v>491106</v>
      </c>
      <c r="B337" s="2">
        <v>1225</v>
      </c>
      <c r="C337" s="7" t="str">
        <f t="shared" si="33"/>
        <v>Premium5R3less</v>
      </c>
      <c r="D337" s="7" t="str">
        <f t="shared" si="34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9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IFERROR(VLOOKUP(B337,input_491106!L:R,7,FALSE),VLOOKUP(tables_491106!C337,input_491106!A:H,8,FALSE))</f>
        <v>3440.8</v>
      </c>
      <c r="P337" s="46">
        <f t="shared" ca="1" si="35"/>
        <v>2.6338028169316485E-4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input_491106!A$2</f>
        <v>491106</v>
      </c>
      <c r="B338" s="2">
        <v>1226</v>
      </c>
      <c r="C338" s="7" t="str">
        <f t="shared" si="33"/>
        <v>PremiumSS5R5only</v>
      </c>
      <c r="D338" s="7" t="str">
        <f t="shared" si="34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9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IFERROR(VLOOKUP(B338,input_491106!L:R,7,FALSE),VLOOKUP(tables_491106!C338,input_491106!A:H,8,FALSE))</f>
        <v>5680</v>
      </c>
      <c r="P338" s="46">
        <f t="shared" ca="1" si="35"/>
        <v>4.3478260870064407E-4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input_491106!A$2</f>
        <v>491106</v>
      </c>
      <c r="B339" s="2">
        <v>1228</v>
      </c>
      <c r="C339" s="7" t="str">
        <f t="shared" si="33"/>
        <v>PremiumSS5R5only</v>
      </c>
      <c r="D339" s="7" t="str">
        <f t="shared" si="34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9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IFERROR(VLOOKUP(B339,input_491106!L:R,7,FALSE),VLOOKUP(tables_491106!C339,input_491106!A:H,8,FALSE))</f>
        <v>5680</v>
      </c>
      <c r="P339" s="46">
        <f t="shared" ca="1" si="35"/>
        <v>4.3478260870064407E-4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input_491106!A$2</f>
        <v>491106</v>
      </c>
      <c r="B340" s="2">
        <v>1230</v>
      </c>
      <c r="C340" s="7" t="str">
        <f t="shared" si="33"/>
        <v>PremiumSS5R5onlycolor</v>
      </c>
      <c r="D340" s="7" t="str">
        <f t="shared" si="34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9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IFERROR(VLOOKUP(B340,input_491106!L:R,7,FALSE),VLOOKUP(tables_491106!C340,input_491106!A:H,8,FALSE))</f>
        <v>9990.1176500000001</v>
      </c>
      <c r="P340" s="46">
        <f t="shared" ca="1" si="35"/>
        <v>7.6470588258685708E-4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input_491106!A$2</f>
        <v>491106</v>
      </c>
      <c r="B341" s="1">
        <v>1286</v>
      </c>
      <c r="C341" s="7" t="str">
        <f t="shared" ref="C341" si="36">D341&amp;J341&amp;E341&amp;F341&amp;G341</f>
        <v>PremiumSSS5R3lesscolor</v>
      </c>
      <c r="D341" s="7" t="str">
        <f t="shared" ref="D341" si="37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 t="str">
        <f t="shared" si="29"/>
        <v>color</v>
      </c>
      <c r="H341" s="7" t="str">
        <f>VLOOKUP(B341,[1]characters!$A:$C,3,FALSE)</f>
        <v>ニコラ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hp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IFERROR(VLOOKUP(B341,input_491106!L:R,7,FALSE),VLOOKUP(tables_491106!C341,input_491106!A:H,8,FALSE))</f>
        <v>195960</v>
      </c>
      <c r="P341" s="46">
        <f t="shared" ref="P341" ca="1" si="38">O341/SUM(O:O)</f>
        <v>1.5000000000172221E-2</v>
      </c>
      <c r="Q341" s="88"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65"/>
  <sheetViews>
    <sheetView topLeftCell="A22" workbookViewId="0">
      <selection activeCell="G51" sqref="G5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491107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VLOOKUP(L3,tables_491107!B:C,2,FALSE)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VLOOKUP(L4,tables_491107!B:C,2,FALSE)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4.3478260869565224E-4</v>
      </c>
      <c r="F5">
        <f>(COUNTIF(tables_491107!C:C,input_491107!A28)+COUNTIF(tables_491107!C:C,input_491107!A29))</f>
        <v>46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VLOOKUP(L5,tables_491107!B:C,2,FALSE)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1.764705882352941E-3</v>
      </c>
      <c r="F6">
        <f>(COUNTIF(tables_491107!C:C,input_491107!A43)+COUNTIF(tables_491107!C:C,input_491107!A44))</f>
        <v>17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VLOOKUP(L6,tables_491107!B:C,2,FALSE)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5.2338028169014086E-3</v>
      </c>
      <c r="F7">
        <f>(COUNTIF(tables_491107!C:C,input_491107!A25)+COUNTIF(tables_491107!C:C,input_491107!A18)+COUNTIF(tables_491107!C:C,input_491107!A20)+COUNTIF(tables_491107!C:C,input_491107!A22))</f>
        <v>71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VLOOKUP(L7,tables_491107!B:C,2,FALSE)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2.5336363636363633E-2</v>
      </c>
      <c r="F8">
        <f>(COUNTIF(tables_491107!C:C,input_491107!A40)+COUNTIF(tables_491107!C:C,input_491107!A33)+COUNTIF(tables_491107!C:C,input_491107!A35)+COUNTIF(tables_491107!C:C,input_491107!A37))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VLOOKUP(L8,tables_491107!B:C,2,FALSE)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VLOOKUP(L9,tables_491107!B:C,2,FALSE)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0.92899999999999994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VLOOKUP(L10,tables_491107!B:C,2,FALSE)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89">
        <f>5%</f>
        <v>0.05</v>
      </c>
      <c r="C11" t="s">
        <v>273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VLOOKUP(L11,tables_491107!B:C,2,FALSE)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2.1000000000000001E-2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VLOOKUP(L12,tables_491107!B:C,2,FALSE)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VLOOKUP(L13,tables_491107!B:C,2,FALSE)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VLOOKUP(L14,tables_491107!B:C,2,FALSE)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VLOOKUP(L15,tables_491107!B:C,2,FALSE)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VLOOKUP(L16,tables_491107!B:C,2,FALSE)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1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COUNTIF(tables_491107!C:C,input_491107!A17)-COUNTIF(Q:Q,A17)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VLOOKUP(L17,tables_491107!B:C,2,FALSE)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E$7*E18-B17+0.01</f>
        <v>8.8507042253521129E-2</v>
      </c>
      <c r="C18" s="86">
        <f t="shared" si="2"/>
        <v>0</v>
      </c>
      <c r="D18" s="75">
        <f t="shared" si="3"/>
        <v>8.8507042253521129E-2</v>
      </c>
      <c r="E18">
        <f>COUNTIF(tables_491107!C:C,input_491107!A18)-COUNTIF(Q:Q,A18)</f>
        <v>15</v>
      </c>
      <c r="F18" s="43">
        <f>IFERROR(B18/E18,0)</f>
        <v>5.9004694835680755E-3</v>
      </c>
      <c r="G18">
        <f t="shared" si="4"/>
        <v>1156256</v>
      </c>
      <c r="H18">
        <f t="shared" si="5"/>
        <v>77083.733330000003</v>
      </c>
      <c r="I18">
        <f t="shared" si="6"/>
        <v>0.73333000000275206</v>
      </c>
      <c r="J18">
        <f t="shared" si="7"/>
        <v>1.363642562006528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VLOOKUP(L18,tables_491107!B:C,2,FALSE)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COUNTIF(tables_491107!C:C,input_491107!A19)-COUNTIF(Q:Q,A19)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VLOOKUP(L19,tables_491107!B:C,2,FALSE)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1">
        <f>E$7*E20*B$6+F49-0.03+0.01-G64</f>
        <v>0.16391239436488056</v>
      </c>
      <c r="C20" s="86">
        <f t="shared" si="2"/>
        <v>0</v>
      </c>
      <c r="D20" s="75">
        <f t="shared" si="3"/>
        <v>0.16391239436488056</v>
      </c>
      <c r="E20">
        <f>COUNTIF(tables_491107!C:C,input_491107!A20)-COUNTIF(Q:Q,A20)</f>
        <v>39</v>
      </c>
      <c r="F20" s="43">
        <f t="shared" si="8"/>
        <v>4.2028819067918095E-3</v>
      </c>
      <c r="G20">
        <f t="shared" si="4"/>
        <v>2141351.5199827994</v>
      </c>
      <c r="H20">
        <f t="shared" si="5"/>
        <v>54906.449229999998</v>
      </c>
      <c r="I20">
        <f t="shared" si="6"/>
        <v>0.44922999999835156</v>
      </c>
      <c r="J20">
        <f t="shared" si="7"/>
        <v>2.2260312089657179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VLOOKUP(L20,tables_491107!B:C,2,FALSE)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2.0591549295774676E-4</v>
      </c>
      <c r="C21" s="86">
        <f t="shared" si="2"/>
        <v>0</v>
      </c>
      <c r="D21" s="75">
        <f t="shared" si="3"/>
        <v>2.0591549295774676E-4</v>
      </c>
      <c r="E21">
        <f>COUNTIF(tables_491107!C:C,input_491107!A21)-COUNTIF(Q:Q,A21)</f>
        <v>39</v>
      </c>
      <c r="F21" s="43">
        <f t="shared" si="8"/>
        <v>5.27988443481402E-6</v>
      </c>
      <c r="G21">
        <f t="shared" si="4"/>
        <v>2690.0800000000036</v>
      </c>
      <c r="H21">
        <f t="shared" si="5"/>
        <v>68.976410000000001</v>
      </c>
      <c r="I21">
        <f t="shared" si="6"/>
        <v>0.97641000000000133</v>
      </c>
      <c r="J21">
        <f t="shared" si="7"/>
        <v>1.024159932815107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9.6962816901408538E-2</v>
      </c>
      <c r="C22" s="86">
        <f t="shared" si="2"/>
        <v>0</v>
      </c>
      <c r="D22" s="75">
        <f t="shared" si="3"/>
        <v>9.6962816901408538E-2</v>
      </c>
      <c r="E22">
        <f>COUNTIF(tables_491107!C:C,input_491107!A22)-COUNTIF(Q:Q,A22)</f>
        <v>14</v>
      </c>
      <c r="F22" s="43">
        <f t="shared" si="8"/>
        <v>6.9259154929577531E-3</v>
      </c>
      <c r="G22">
        <f t="shared" si="4"/>
        <v>1266722.2400000012</v>
      </c>
      <c r="H22">
        <f t="shared" si="5"/>
        <v>90480.16</v>
      </c>
      <c r="I22">
        <f t="shared" si="6"/>
        <v>0.16000000000349246</v>
      </c>
      <c r="J22">
        <f t="shared" si="7"/>
        <v>6.2499999998635758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4.7104225352112682E-3</v>
      </c>
      <c r="C23" s="86">
        <f t="shared" si="2"/>
        <v>0</v>
      </c>
      <c r="D23" s="75">
        <f t="shared" si="3"/>
        <v>4.7104225352112682E-3</v>
      </c>
      <c r="E23">
        <f>COUNTIF(tables_491107!C:C,input_491107!A23)-COUNTIF(Q:Q,A23)</f>
        <v>18</v>
      </c>
      <c r="F23" s="43">
        <f t="shared" si="8"/>
        <v>2.6169014084507044E-4</v>
      </c>
      <c r="G23">
        <f t="shared" si="4"/>
        <v>61536.960000000006</v>
      </c>
      <c r="H23">
        <f t="shared" si="5"/>
        <v>3418.72</v>
      </c>
      <c r="I23">
        <f t="shared" si="6"/>
        <v>0.71999999999979991</v>
      </c>
      <c r="J23">
        <f t="shared" si="7"/>
        <v>1.3888888888892748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COUNTIF(tables_491107!C:C,input_491107!A24)-COUNTIF(Q:Q,A24)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1.4916338028169013E-2</v>
      </c>
      <c r="C25" s="86">
        <f t="shared" si="2"/>
        <v>0</v>
      </c>
      <c r="D25" s="75">
        <f t="shared" si="3"/>
        <v>1.4916338028169013E-2</v>
      </c>
      <c r="E25">
        <f>COUNTIF(tables_491107!C:C,input_491107!A25)-COUNTIF(Q:Q,A25)</f>
        <v>3</v>
      </c>
      <c r="F25" s="43">
        <f t="shared" si="8"/>
        <v>4.9721126760563375E-3</v>
      </c>
      <c r="G25">
        <f t="shared" si="4"/>
        <v>194867.03999999998</v>
      </c>
      <c r="H25">
        <f t="shared" si="5"/>
        <v>64955.68</v>
      </c>
      <c r="I25">
        <f t="shared" si="6"/>
        <v>0.68000000000029104</v>
      </c>
      <c r="J25">
        <f t="shared" si="7"/>
        <v>1.4705882352934883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7.8507042253521137E-4</v>
      </c>
      <c r="C26" s="86">
        <f t="shared" si="2"/>
        <v>0</v>
      </c>
      <c r="D26" s="75">
        <f t="shared" si="3"/>
        <v>7.8507042253521137E-4</v>
      </c>
      <c r="E26">
        <f>COUNTIF(tables_491107!C:C,input_491107!A26)-COUNTIF(Q:Q,A26)</f>
        <v>3</v>
      </c>
      <c r="F26" s="43">
        <f t="shared" si="8"/>
        <v>2.6169014084507044E-4</v>
      </c>
      <c r="G26">
        <f t="shared" si="4"/>
        <v>10256.160000000002</v>
      </c>
      <c r="H26">
        <f t="shared" si="5"/>
        <v>3418.72</v>
      </c>
      <c r="I26">
        <f t="shared" si="6"/>
        <v>0.71999999999979991</v>
      </c>
      <c r="J26">
        <f t="shared" si="7"/>
        <v>1.3888888888892748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1.867391304479488E-2</v>
      </c>
      <c r="C27" s="86">
        <f t="shared" si="2"/>
        <v>0</v>
      </c>
      <c r="D27" s="75">
        <f t="shared" si="3"/>
        <v>1.867391304479488E-2</v>
      </c>
      <c r="E27">
        <f>COUNTIF(tables_491107!C:C,input_491107!A27)-COUNTIF(Q:Q,A27)</f>
        <v>21</v>
      </c>
      <c r="F27" s="43">
        <f>IFERROR(B27/E27,0)</f>
        <v>8.8923395451404193E-4</v>
      </c>
      <c r="G27">
        <f t="shared" si="4"/>
        <v>243956.00001720031</v>
      </c>
      <c r="H27">
        <f t="shared" si="5"/>
        <v>11616.952380000001</v>
      </c>
      <c r="I27">
        <f t="shared" si="6"/>
        <v>0.95238000000063039</v>
      </c>
      <c r="J27">
        <f t="shared" si="7"/>
        <v>1.0500010500003549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4.5652173913043485E-4</v>
      </c>
      <c r="C28" s="86">
        <f t="shared" si="2"/>
        <v>0</v>
      </c>
      <c r="D28" s="75">
        <f t="shared" si="3"/>
        <v>4.5652173913043485E-4</v>
      </c>
      <c r="E28">
        <f>COUNTIF(tables_491107!C:C,input_491107!A28)-COUNTIF(Q:Q,A28)</f>
        <v>21</v>
      </c>
      <c r="F28" s="43">
        <f t="shared" si="8"/>
        <v>2.1739130434782614E-5</v>
      </c>
      <c r="G28">
        <f t="shared" si="4"/>
        <v>5964.0000000000009</v>
      </c>
      <c r="H28">
        <f t="shared" si="5"/>
        <v>284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</f>
        <v>1.0869565217391306E-2</v>
      </c>
      <c r="C29" s="86">
        <f t="shared" si="2"/>
        <v>0</v>
      </c>
      <c r="D29" s="75">
        <f t="shared" si="3"/>
        <v>1.0869565217391306E-2</v>
      </c>
      <c r="E29">
        <f>COUNTIF(tables_491107!C:C,input_491107!A29)-COUNTIF(Q:Q,A29)</f>
        <v>25</v>
      </c>
      <c r="F29" s="43">
        <f t="shared" si="8"/>
        <v>4.3478260869565224E-4</v>
      </c>
      <c r="G29">
        <f t="shared" si="4"/>
        <v>142000.00000000003</v>
      </c>
      <c r="H29">
        <f t="shared" si="5"/>
        <v>5680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COUNTIF(tables_491107!C:C,input_491107!A30)-COUNTIF(Q:Q,A30)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COUNTIF(tables_491107!C:C,input_491107!A31)-COUNTIF(Q:Q,A31)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1">
        <f>B$5*0.6-B34-B39</f>
        <v>0</v>
      </c>
      <c r="C32" s="86">
        <f t="shared" si="2"/>
        <v>0</v>
      </c>
      <c r="D32" s="75">
        <f t="shared" si="3"/>
        <v>0</v>
      </c>
      <c r="E32">
        <f>COUNTIF(tables_491107!C:C,input_491107!A32)-COUNTIF(Q:Q,A32)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0.14668181818181816</v>
      </c>
      <c r="C33" s="86">
        <f t="shared" si="2"/>
        <v>0</v>
      </c>
      <c r="D33" s="75">
        <f t="shared" si="3"/>
        <v>0.14668181818181816</v>
      </c>
      <c r="E33">
        <f>COUNTIF(tables_491107!C:C,input_491107!A33)-COUNTIF(Q:Q,A33)</f>
        <v>5</v>
      </c>
      <c r="F33" s="43">
        <f>IFERROR(B33/E33,0)</f>
        <v>2.9336363636363633E-2</v>
      </c>
      <c r="G33">
        <f t="shared" si="4"/>
        <v>1916251.2727272725</v>
      </c>
      <c r="H33">
        <f t="shared" si="5"/>
        <v>383250.25455000001</v>
      </c>
      <c r="I33">
        <f t="shared" si="6"/>
        <v>0.25455000001238659</v>
      </c>
      <c r="J33">
        <f t="shared" si="7"/>
        <v>3.9285012765717511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COUNTIF(tables_491107!C:C,input_491107!A34)-COUNTIF(Q:Q,A34)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0.34326583765664131</v>
      </c>
      <c r="C35" s="86">
        <f t="shared" si="2"/>
        <v>0</v>
      </c>
      <c r="D35" s="75">
        <f t="shared" si="3"/>
        <v>0.34326583765664131</v>
      </c>
      <c r="E35">
        <f>COUNTIF(tables_491107!C:C,input_491107!A35)-COUNTIF(Q:Q,A35)</f>
        <v>13</v>
      </c>
      <c r="F35" s="43">
        <f t="shared" si="9"/>
        <v>2.6405064435126253E-2</v>
      </c>
      <c r="G35">
        <f t="shared" si="4"/>
        <v>4484424.9031463619</v>
      </c>
      <c r="H35">
        <f t="shared" si="5"/>
        <v>344955.76178</v>
      </c>
      <c r="I35">
        <f t="shared" si="6"/>
        <v>0.76178000000072643</v>
      </c>
      <c r="J35">
        <f t="shared" si="7"/>
        <v>1.312714957072969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E$8*E36*B$7-E49+0.016</f>
        <v>2.1068896160858601E-3</v>
      </c>
      <c r="C36" s="86">
        <f t="shared" si="2"/>
        <v>0</v>
      </c>
      <c r="D36" s="75">
        <f t="shared" si="3"/>
        <v>2.1068896160858601E-3</v>
      </c>
      <c r="E36">
        <f>COUNTIF(tables_491107!C:C,input_491107!A36)-COUNTIF(Q:Q,A36)</f>
        <v>13</v>
      </c>
      <c r="F36" s="43">
        <f t="shared" si="9"/>
        <v>1.6206843200660461E-4</v>
      </c>
      <c r="G36">
        <f t="shared" si="4"/>
        <v>27524.405944545677</v>
      </c>
      <c r="H36">
        <f t="shared" si="5"/>
        <v>2117.2620000000002</v>
      </c>
      <c r="I36">
        <f t="shared" si="6"/>
        <v>0.26200000000017099</v>
      </c>
      <c r="J36">
        <f t="shared" si="7"/>
        <v>3.8167938931272802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E$8*E37-B38-C50-0.006</f>
        <v>4.1274999999999895E-2</v>
      </c>
      <c r="C37" s="86">
        <f t="shared" si="2"/>
        <v>0</v>
      </c>
      <c r="D37" s="75">
        <f t="shared" si="3"/>
        <v>4.1274999999999895E-2</v>
      </c>
      <c r="E37">
        <f>COUNTIF(tables_491107!C:C,input_491107!A37)-COUNTIF(Q:Q,A37)</f>
        <v>3</v>
      </c>
      <c r="F37" s="43">
        <f t="shared" si="9"/>
        <v>1.3758333333333298E-2</v>
      </c>
      <c r="G37">
        <f t="shared" si="4"/>
        <v>539216.59999999858</v>
      </c>
      <c r="H37">
        <f t="shared" si="5"/>
        <v>179738.86666999999</v>
      </c>
      <c r="I37">
        <f t="shared" si="6"/>
        <v>0.86666999998851679</v>
      </c>
      <c r="J37">
        <f t="shared" si="7"/>
        <v>1.1538417160086882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E38*E8*B7-0.006</f>
        <v>3.3409090909090888E-4</v>
      </c>
      <c r="C38" s="86">
        <f t="shared" si="2"/>
        <v>0</v>
      </c>
      <c r="D38" s="75">
        <f t="shared" si="3"/>
        <v>3.3409090909090888E-4</v>
      </c>
      <c r="E38">
        <f>COUNTIF(tables_491107!C:C,input_491107!A38)-COUNTIF(Q:Q,A38)</f>
        <v>5</v>
      </c>
      <c r="F38" s="43">
        <f t="shared" si="9"/>
        <v>6.6818181818181777E-5</v>
      </c>
      <c r="G38">
        <f t="shared" si="4"/>
        <v>4364.563636363634</v>
      </c>
      <c r="H38">
        <f t="shared" si="5"/>
        <v>872.91273000000001</v>
      </c>
      <c r="I38">
        <f t="shared" si="6"/>
        <v>0.91273000000001048</v>
      </c>
      <c r="J38">
        <f t="shared" si="7"/>
        <v>1.0956142561326883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COUNTIF(tables_491107!C:C,input_491107!A39)-COUNTIF(Q:Q,A39)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2.4069545454545451E-2</v>
      </c>
      <c r="C40" s="86">
        <f t="shared" si="2"/>
        <v>0</v>
      </c>
      <c r="D40" s="75">
        <f t="shared" si="3"/>
        <v>2.4069545454545451E-2</v>
      </c>
      <c r="E40">
        <f>COUNTIF(tables_491107!C:C,input_491107!A40)-COUNTIF(Q:Q,A40)</f>
        <v>1</v>
      </c>
      <c r="F40" s="43">
        <f t="shared" si="9"/>
        <v>2.4069545454545451E-2</v>
      </c>
      <c r="G40">
        <f t="shared" si="4"/>
        <v>314444.54181818175</v>
      </c>
      <c r="H40">
        <f t="shared" si="5"/>
        <v>314444.54181999998</v>
      </c>
      <c r="I40">
        <f t="shared" si="6"/>
        <v>0.54181999998399988</v>
      </c>
      <c r="J40">
        <f t="shared" si="7"/>
        <v>1.8456313905531918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1.2668181818181817E-3</v>
      </c>
      <c r="C41" s="86">
        <f t="shared" si="2"/>
        <v>0</v>
      </c>
      <c r="D41" s="75">
        <f t="shared" si="3"/>
        <v>1.2668181818181817E-3</v>
      </c>
      <c r="E41">
        <f>COUNTIF(tables_491107!C:C,input_491107!A41)-COUNTIF(Q:Q,A41)</f>
        <v>1</v>
      </c>
      <c r="F41" s="43">
        <f t="shared" si="9"/>
        <v>1.2668181818181817E-3</v>
      </c>
      <c r="G41">
        <f t="shared" si="4"/>
        <v>16549.712727272727</v>
      </c>
      <c r="H41">
        <f t="shared" si="5"/>
        <v>16549.712729999999</v>
      </c>
      <c r="I41">
        <f t="shared" si="6"/>
        <v>0.71272999999928288</v>
      </c>
      <c r="J41">
        <f t="shared" si="7"/>
        <v>1.4030558556550252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1.1735294117647057E-2</v>
      </c>
      <c r="C42" s="86">
        <f t="shared" si="2"/>
        <v>0</v>
      </c>
      <c r="D42" s="75">
        <f t="shared" si="3"/>
        <v>1.1735294117647057E-2</v>
      </c>
      <c r="E42">
        <f>COUNTIF(tables_491107!C:C,input_491107!A42)-COUNTIF(Q:Q,A42)</f>
        <v>7</v>
      </c>
      <c r="F42" s="43">
        <f>IFERROR(B42/E42,0)</f>
        <v>1.6764705882352938E-3</v>
      </c>
      <c r="G42">
        <f t="shared" si="4"/>
        <v>153309.88235294115</v>
      </c>
      <c r="H42">
        <f t="shared" si="5"/>
        <v>21901.411759999999</v>
      </c>
      <c r="I42">
        <f t="shared" si="6"/>
        <v>0.41175999999904889</v>
      </c>
      <c r="J42">
        <f t="shared" si="7"/>
        <v>2.4285991839962837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6.1764705882352941E-4</v>
      </c>
      <c r="C43" s="86">
        <f t="shared" si="2"/>
        <v>0</v>
      </c>
      <c r="D43" s="75">
        <f t="shared" si="3"/>
        <v>6.1764705882352941E-4</v>
      </c>
      <c r="E43">
        <f>COUNTIF(tables_491107!C:C,input_491107!A43)-COUNTIF(Q:Q,A43)</f>
        <v>7</v>
      </c>
      <c r="F43" s="43">
        <f t="shared" ref="F43:F46" si="10">IFERROR(B43/E43,0)</f>
        <v>8.8235294117647065E-5</v>
      </c>
      <c r="G43">
        <f t="shared" si="4"/>
        <v>8068.9411764705883</v>
      </c>
      <c r="H43">
        <f t="shared" si="5"/>
        <v>1152.70588</v>
      </c>
      <c r="I43">
        <f t="shared" si="6"/>
        <v>0.70587999999997919</v>
      </c>
      <c r="J43">
        <f t="shared" si="7"/>
        <v>1.4166713889046714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E$6*E44-0.01</f>
        <v>7.6470588235294113E-3</v>
      </c>
      <c r="C44" s="86">
        <f t="shared" si="2"/>
        <v>0</v>
      </c>
      <c r="D44" s="75">
        <f t="shared" si="3"/>
        <v>7.6470588235294113E-3</v>
      </c>
      <c r="E44">
        <f>COUNTIF(tables_491107!C:C,input_491107!A44)-COUNTIF(Q:Q,A44)</f>
        <v>10</v>
      </c>
      <c r="F44" s="43">
        <f t="shared" si="10"/>
        <v>7.6470588235294111E-4</v>
      </c>
      <c r="G44">
        <f t="shared" si="4"/>
        <v>99901.176470588223</v>
      </c>
      <c r="H44">
        <f t="shared" si="5"/>
        <v>9990.1176500000001</v>
      </c>
      <c r="I44">
        <f t="shared" si="6"/>
        <v>0.1176500000001397</v>
      </c>
      <c r="J44">
        <f t="shared" si="7"/>
        <v>8.4997875053022742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COUNTIF(tables_491107!C:C,input_491107!A45)-COUNTIF(Q:Q,A45)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2.1000000000000001E-2</v>
      </c>
      <c r="C46" s="86">
        <f t="shared" si="2"/>
        <v>0</v>
      </c>
      <c r="D46" s="75">
        <f t="shared" si="3"/>
        <v>2.1000000000000001E-2</v>
      </c>
      <c r="E46">
        <f>COUNTIF(tables_491107!C:C,input_491107!A46)-COUNTIF(Q:Q,A46)</f>
        <v>1</v>
      </c>
      <c r="F46" s="43">
        <f t="shared" si="10"/>
        <v>2.1000000000000001E-2</v>
      </c>
      <c r="G46">
        <f t="shared" si="4"/>
        <v>274344</v>
      </c>
      <c r="H46">
        <f t="shared" si="5"/>
        <v>274344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0">
        <f>SUM(B32:B46)</f>
        <v>0.59999999999999976</v>
      </c>
      <c r="E49" s="95">
        <v>3.0361746747550503E-2</v>
      </c>
      <c r="F49" s="95"/>
      <c r="G49" s="106">
        <f ca="1">G57-0.05</f>
        <v>2.2963922430285777E-12</v>
      </c>
      <c r="H49" s="104"/>
    </row>
    <row r="50" spans="1:8" x14ac:dyDescent="0.15">
      <c r="A50" t="s">
        <v>74</v>
      </c>
      <c r="C50" s="90">
        <v>2.8400000000000099E-2</v>
      </c>
      <c r="D50" s="94"/>
      <c r="E50" s="95"/>
      <c r="F50" s="103"/>
      <c r="G50" s="106"/>
      <c r="H50" s="55"/>
    </row>
    <row r="51" spans="1:8" x14ac:dyDescent="0.15">
      <c r="A51" s="31">
        <f>LCM(F5-I5,F7-I6)*1000*2*2</f>
        <v>13064000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2" t="s">
        <v>283</v>
      </c>
    </row>
    <row r="55" spans="1:8" x14ac:dyDescent="0.15">
      <c r="A55" s="33" t="s">
        <v>106</v>
      </c>
      <c r="B55">
        <f ca="1">SUMIF(tables_491107!C:C,input_491107!A55,tables_491107!O:O)</f>
        <v>0</v>
      </c>
      <c r="C55" s="54">
        <f t="shared" ref="C55:C61" ca="1" si="11">B55/B$62</f>
        <v>0</v>
      </c>
      <c r="E55">
        <v>3</v>
      </c>
      <c r="F55">
        <f ca="1">SUMIF(tables_491107!J:J,input_491107!E55,tables_491107!O:O)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SUMIF(tables_491107!C:C,input_491107!A56,tables_491107!O:O)</f>
        <v>2141351.5199699989</v>
      </c>
      <c r="C56" s="54">
        <f t="shared" ca="1" si="11"/>
        <v>0.89448031247605175</v>
      </c>
      <c r="E56">
        <v>4</v>
      </c>
      <c r="F56">
        <f ca="1">SUMIF(tables_491107!J:J,input_491107!E56,tables_491107!O:O)</f>
        <v>12410799.999940006</v>
      </c>
      <c r="G56">
        <f ca="1">F56/A51</f>
        <v>0.94999999999540774</v>
      </c>
      <c r="H56" s="55">
        <f>B18+B20+B22+B25+B27+B30+B33+B35+B37+B40+B42+B45</f>
        <v>0.95000000000342599</v>
      </c>
    </row>
    <row r="57" spans="1:8" x14ac:dyDescent="0.15">
      <c r="A57" s="33" t="s">
        <v>109</v>
      </c>
      <c r="B57">
        <f ca="1">SUMIF(tables_491107!C:C,input_491107!A57,tables_491107!O:O)</f>
        <v>243955.99998000002</v>
      </c>
      <c r="C57" s="54">
        <f t="shared" ca="1" si="11"/>
        <v>0.10190472561720056</v>
      </c>
      <c r="E57">
        <v>5</v>
      </c>
      <c r="F57">
        <f ca="1">SUMIF(tables_491107!J:J,input_491107!E57,tables_491107!O:O)</f>
        <v>653200.00003000011</v>
      </c>
      <c r="G57">
        <f ca="1">F57/A51</f>
        <v>5.0000000002296395E-2</v>
      </c>
      <c r="H57" s="55">
        <f>B21+B23+B26+B28+B29+B31+B36+B38+B41+B43+B44+B46</f>
        <v>4.9999999996573855E-2</v>
      </c>
    </row>
    <row r="58" spans="1:8" x14ac:dyDescent="0.15">
      <c r="A58" s="33" t="s">
        <v>113</v>
      </c>
      <c r="B58">
        <f>SUMIF(tables_491107!C:C,input_491107!A58,tables_491107!O:O)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SUMIF(tables_491107!C:C,input_491107!A59,tables_491107!O:O)</f>
        <v>2690.079990000002</v>
      </c>
      <c r="C59" s="54">
        <f t="shared" ca="1" si="11"/>
        <v>1.1236938763209171E-3</v>
      </c>
      <c r="E59" t="s">
        <v>55</v>
      </c>
      <c r="F59" s="55"/>
    </row>
    <row r="60" spans="1:8" x14ac:dyDescent="0.15">
      <c r="A60" s="33" t="s">
        <v>110</v>
      </c>
      <c r="B60">
        <f ca="1">SUMIF(tables_491107!C:C,input_491107!A60,tables_491107!O:O)</f>
        <v>5964</v>
      </c>
      <c r="C60" s="54">
        <f t="shared" ca="1" si="11"/>
        <v>2.4912680304268369E-3</v>
      </c>
      <c r="E60" t="s">
        <v>210</v>
      </c>
      <c r="F60" s="55">
        <f ca="1">SUMIF(tables_491107!I:I,input_491107!E60,tables_491107!P:P)</f>
        <v>0.23636925736122835</v>
      </c>
    </row>
    <row r="61" spans="1:8" x14ac:dyDescent="0.15">
      <c r="A61" s="33" t="s">
        <v>111</v>
      </c>
      <c r="B61">
        <f>SUMIF(tables_491107!C:C,input_491107!A61,tables_491107!O:O)</f>
        <v>0</v>
      </c>
      <c r="C61" s="54">
        <f t="shared" ca="1" si="11"/>
        <v>0</v>
      </c>
      <c r="E61" t="s">
        <v>211</v>
      </c>
      <c r="F61" s="55">
        <f ca="1">SUMIF(tables_491107!I:I,input_491107!E61,tables_491107!P:P)</f>
        <v>0.19903501428245321</v>
      </c>
    </row>
    <row r="62" spans="1:8" x14ac:dyDescent="0.15">
      <c r="A62" s="39" t="s">
        <v>60</v>
      </c>
      <c r="B62">
        <f ca="1">SUM(B55:B61)</f>
        <v>2393961.5999399987</v>
      </c>
      <c r="C62" s="55">
        <f ca="1">SUM(C55:C61)</f>
        <v>1</v>
      </c>
      <c r="E62" t="s">
        <v>212</v>
      </c>
      <c r="F62" s="55">
        <f ca="1">SUMIF(tables_491107!I:I,input_491107!E62,tables_491107!P:P)</f>
        <v>0.49359572835921617</v>
      </c>
    </row>
    <row r="63" spans="1:8" x14ac:dyDescent="0.15">
      <c r="E63" t="s">
        <v>213</v>
      </c>
      <c r="F63" s="55">
        <f ca="1">SUMIF(tables_491107!I:I,input_491107!E63,tables_491107!P:P)</f>
        <v>4.7061381070989831E-2</v>
      </c>
      <c r="G63" s="96">
        <f ca="1">0.05-F63-F64</f>
        <v>2.947088319910085E-12</v>
      </c>
    </row>
    <row r="64" spans="1:8" x14ac:dyDescent="0.15">
      <c r="E64" t="s">
        <v>280</v>
      </c>
      <c r="F64" s="55">
        <f ca="1">SUMIF(tables_491107!I:I,input_491107!E64,tables_491107!P:P)</f>
        <v>2.938618926063083E-3</v>
      </c>
      <c r="G64">
        <v>1.0000000001316619E-2</v>
      </c>
    </row>
    <row r="65" spans="5:6" x14ac:dyDescent="0.15">
      <c r="E65" t="s">
        <v>282</v>
      </c>
      <c r="F65" s="55">
        <f ca="1">SUMIF(tables_491107!I:I,input_491107!E65,tables_491107!P:P)</f>
        <v>2.1000000000048199E-2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41"/>
  <sheetViews>
    <sheetView showGridLines="0" zoomScale="70" zoomScaleNormal="70" zoomScalePageLayoutView="70" workbookViewId="0">
      <pane ySplit="1" topLeftCell="A323" activePane="bottomLeft" state="frozen"/>
      <selection activeCell="B13" sqref="B13"/>
      <selection pane="bottomLeft" activeCell="A334" sqref="A33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input_491107!A$2</f>
        <v>491107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IFERROR(VLOOKUP(B2,input_491107!L:R,7,FALSE),VLOOKUP(tables_491107!C2,input_491107!A:H,8,FALSE))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input_491107!A$2</f>
        <v>491107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IFERROR(VLOOKUP(B3,input_491107!L:R,7,FALSE),VLOOKUP(tables_491107!C3,input_491107!A:H,8,FALSE))</f>
        <v>77083.733330000003</v>
      </c>
      <c r="P3" s="46">
        <f t="shared" ca="1" si="2"/>
        <v>5.9004694833264641E-3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input_491107!A$2</f>
        <v>491107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IFERROR(VLOOKUP(B4,input_491107!L:R,7,FALSE),VLOOKUP(tables_491107!C4,input_491107!A:H,8,FALSE))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input_491107!A$2</f>
        <v>491107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IFERROR(VLOOKUP(B5,input_491107!L:R,7,FALSE),VLOOKUP(tables_491107!C5,input_491107!A:H,8,FALSE))</f>
        <v>77083.733330000003</v>
      </c>
      <c r="P5" s="46">
        <f t="shared" ca="1" si="2"/>
        <v>5.9004694833264641E-3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input_491107!A$2</f>
        <v>491107</v>
      </c>
      <c r="B6" s="6">
        <v>130</v>
      </c>
      <c r="C6" s="7" t="str">
        <f t="shared" si="0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IFERROR(VLOOKUP(B6,input_491107!L:R,7,FALSE),VLOOKUP(tables_491107!C6,input_491107!A:H,8,FALSE))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input_491107!A$2</f>
        <v>491107</v>
      </c>
      <c r="B7" s="6">
        <v>131</v>
      </c>
      <c r="C7" s="7" t="str">
        <f t="shared" si="0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IFERROR(VLOOKUP(B7,input_491107!L:R,7,FALSE),VLOOKUP(tables_491107!C7,input_491107!A:H,8,FALSE))</f>
        <v>77083.733330000003</v>
      </c>
      <c r="P7" s="46">
        <f t="shared" ca="1" si="2"/>
        <v>5.9004694833264641E-3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input_491107!A$2</f>
        <v>491107</v>
      </c>
      <c r="B8" s="6">
        <v>132</v>
      </c>
      <c r="C8" s="7" t="str">
        <f t="shared" si="0"/>
        <v>PremiumW3color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IFERROR(VLOOKUP(B8,input_491107!L:R,7,FALSE),VLOOKUP(tables_491107!C8,input_491107!A:H,8,FALSE))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input_491107!A$2</f>
        <v>491107</v>
      </c>
      <c r="B9" s="6">
        <v>133</v>
      </c>
      <c r="C9" s="7" t="str">
        <f t="shared" si="0"/>
        <v>PremiumW4color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IFERROR(VLOOKUP(B9,input_491107!L:R,7,FALSE),VLOOKUP(tables_491107!C9,input_491107!A:H,8,FALSE))</f>
        <v>383250.25455000001</v>
      </c>
      <c r="P9" s="46">
        <f t="shared" ca="1" si="2"/>
        <v>2.9336363636778908E-2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input_491107!A$2</f>
        <v>491107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IFERROR(VLOOKUP(B10,input_491107!L:R,7,FALSE),VLOOKUP(tables_491107!C10,input_491107!A:H,8,FALSE))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input_491107!A$2</f>
        <v>491107</v>
      </c>
      <c r="B11" s="8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IFERROR(VLOOKUP(B11,input_491107!L:R,7,FALSE),VLOOKUP(tables_491107!C11,input_491107!A:H,8,FALSE))</f>
        <v>77083.733330000003</v>
      </c>
      <c r="P11" s="46">
        <f t="shared" ca="1" si="2"/>
        <v>5.9004694833264641E-3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input_491107!A$2</f>
        <v>491107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IFERROR(VLOOKUP(B12,input_491107!L:R,7,FALSE),VLOOKUP(tables_491107!C12,input_491107!A:H,8,FALSE))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input_491107!A$2</f>
        <v>491107</v>
      </c>
      <c r="B13" s="6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IFERROR(VLOOKUP(B13,input_491107!L:R,7,FALSE),VLOOKUP(tables_491107!C13,input_491107!A:H,8,FALSE))</f>
        <v>77083.733330000003</v>
      </c>
      <c r="P13" s="46">
        <f t="shared" ca="1" si="2"/>
        <v>5.9004694833264641E-3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input_491107!A$2</f>
        <v>491107</v>
      </c>
      <c r="B14" s="6">
        <v>138</v>
      </c>
      <c r="C14" s="7" t="str">
        <f t="shared" si="0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IFERROR(VLOOKUP(B14,input_491107!L:R,7,FALSE),VLOOKUP(tables_491107!C14,input_491107!A:H,8,FALSE))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input_491107!A$2</f>
        <v>491107</v>
      </c>
      <c r="B15" s="10">
        <v>139</v>
      </c>
      <c r="C15" s="7" t="str">
        <f t="shared" si="0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IFERROR(VLOOKUP(B15,input_491107!L:R,7,FALSE),VLOOKUP(tables_491107!C15,input_491107!A:H,8,FALSE))</f>
        <v>77083.733330000003</v>
      </c>
      <c r="P15" s="46">
        <f t="shared" ca="1" si="2"/>
        <v>5.9004694833264641E-3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input_491107!A$2</f>
        <v>491107</v>
      </c>
      <c r="B16" s="11">
        <v>140</v>
      </c>
      <c r="C16" s="7" t="str">
        <f t="shared" si="0"/>
        <v>PremiumW3color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IFERROR(VLOOKUP(B16,input_491107!L:R,7,FALSE),VLOOKUP(tables_491107!C16,input_491107!A:H,8,FALSE))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input_491107!A$2</f>
        <v>491107</v>
      </c>
      <c r="B17" s="6">
        <v>141</v>
      </c>
      <c r="C17" s="7" t="str">
        <f t="shared" si="0"/>
        <v>PremiumW4color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IFERROR(VLOOKUP(B17,input_491107!L:R,7,FALSE),VLOOKUP(tables_491107!C17,input_491107!A:H,8,FALSE))</f>
        <v>383250.25455000001</v>
      </c>
      <c r="P17" s="46">
        <f t="shared" ca="1" si="2"/>
        <v>2.9336363636778908E-2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input_491107!A$2</f>
        <v>491107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IFERROR(VLOOKUP(B18,input_491107!L:R,7,FALSE),VLOOKUP(tables_491107!C18,input_491107!A:H,8,FALSE))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input_491107!A$2</f>
        <v>491107</v>
      </c>
      <c r="B19" s="10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IFERROR(VLOOKUP(B19,input_491107!L:R,7,FALSE),VLOOKUP(tables_491107!C19,input_491107!A:H,8,FALSE))</f>
        <v>77083.733330000003</v>
      </c>
      <c r="P19" s="46">
        <f t="shared" ca="1" si="2"/>
        <v>5.9004694833264641E-3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input_491107!A$2</f>
        <v>491107</v>
      </c>
      <c r="B20" s="6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IFERROR(VLOOKUP(B20,input_491107!L:R,7,FALSE),VLOOKUP(tables_491107!C20,input_491107!A:H,8,FALSE))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input_491107!A$2</f>
        <v>491107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IFERROR(VLOOKUP(B21,input_491107!L:R,7,FALSE),VLOOKUP(tables_491107!C21,input_491107!A:H,8,FALSE))</f>
        <v>77083.733330000003</v>
      </c>
      <c r="P21" s="46">
        <f t="shared" ca="1" si="2"/>
        <v>5.9004694833264641E-3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input_491107!A$2</f>
        <v>491107</v>
      </c>
      <c r="B22" s="6">
        <v>146</v>
      </c>
      <c r="C22" s="7" t="str">
        <f t="shared" si="0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IFERROR(VLOOKUP(B22,input_491107!L:R,7,FALSE),VLOOKUP(tables_491107!C22,input_491107!A:H,8,FALSE))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input_491107!A$2</f>
        <v>491107</v>
      </c>
      <c r="B23" s="6">
        <v>147</v>
      </c>
      <c r="C23" s="7" t="str">
        <f t="shared" si="0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IFERROR(VLOOKUP(B23,input_491107!L:R,7,FALSE),VLOOKUP(tables_491107!C23,input_491107!A:H,8,FALSE))</f>
        <v>77083.733330000003</v>
      </c>
      <c r="P23" s="46">
        <f t="shared" ca="1" si="2"/>
        <v>5.9004694833264641E-3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input_491107!A$2</f>
        <v>491107</v>
      </c>
      <c r="B24" s="6">
        <v>148</v>
      </c>
      <c r="C24" s="7" t="str">
        <f t="shared" si="0"/>
        <v>PremiumW3color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IFERROR(VLOOKUP(B24,input_491107!L:R,7,FALSE),VLOOKUP(tables_491107!C24,input_491107!A:H,8,FALSE))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input_491107!A$2</f>
        <v>491107</v>
      </c>
      <c r="B25" s="6">
        <v>149</v>
      </c>
      <c r="C25" s="7" t="str">
        <f t="shared" si="0"/>
        <v>PremiumW4color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IFERROR(VLOOKUP(B25,input_491107!L:R,7,FALSE),VLOOKUP(tables_491107!C25,input_491107!A:H,8,FALSE))</f>
        <v>383250.25455000001</v>
      </c>
      <c r="P25" s="46">
        <f t="shared" ca="1" si="2"/>
        <v>2.9336363636778908E-2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input_491107!A$2</f>
        <v>491107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IFERROR(VLOOKUP(B26,input_491107!L:R,7,FALSE),VLOOKUP(tables_491107!C26,input_491107!A:H,8,FALSE))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input_491107!A$2</f>
        <v>491107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IFERROR(VLOOKUP(B27,input_491107!L:R,7,FALSE),VLOOKUP(tables_491107!C27,input_491107!A:H,8,FALSE))</f>
        <v>77083.733330000003</v>
      </c>
      <c r="P27" s="46">
        <f t="shared" ca="1" si="2"/>
        <v>5.9004694833264641E-3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input_491107!A$2</f>
        <v>491107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IFERROR(VLOOKUP(B28,input_491107!L:R,7,FALSE),VLOOKUP(tables_491107!C28,input_491107!A:H,8,FALSE))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input_491107!A$2</f>
        <v>491107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IFERROR(VLOOKUP(B29,input_491107!L:R,7,FALSE),VLOOKUP(tables_491107!C29,input_491107!A:H,8,FALSE))</f>
        <v>77083.733330000003</v>
      </c>
      <c r="P29" s="46">
        <f t="shared" ca="1" si="2"/>
        <v>5.9004694833264641E-3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input_491107!A$2</f>
        <v>491107</v>
      </c>
      <c r="B30" s="6">
        <v>154</v>
      </c>
      <c r="C30" s="7" t="str">
        <f t="shared" si="0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IFERROR(VLOOKUP(B30,input_491107!L:R,7,FALSE),VLOOKUP(tables_491107!C30,input_491107!A:H,8,FALSE))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input_491107!A$2</f>
        <v>491107</v>
      </c>
      <c r="B31" s="6">
        <v>155</v>
      </c>
      <c r="C31" s="7" t="str">
        <f t="shared" si="0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IFERROR(VLOOKUP(B31,input_491107!L:R,7,FALSE),VLOOKUP(tables_491107!C31,input_491107!A:H,8,FALSE))</f>
        <v>77083.733330000003</v>
      </c>
      <c r="P31" s="46">
        <f t="shared" ca="1" si="2"/>
        <v>5.9004694833264641E-3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input_491107!A$2</f>
        <v>491107</v>
      </c>
      <c r="B32" s="6">
        <v>156</v>
      </c>
      <c r="C32" s="7" t="str">
        <f t="shared" si="0"/>
        <v>PremiumW3color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IFERROR(VLOOKUP(B32,input_491107!L:R,7,FALSE),VLOOKUP(tables_491107!C32,input_491107!A:H,8,FALSE))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input_491107!A$2</f>
        <v>491107</v>
      </c>
      <c r="B33" s="6">
        <v>157</v>
      </c>
      <c r="C33" s="7" t="str">
        <f t="shared" si="0"/>
        <v>PremiumW4color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IFERROR(VLOOKUP(B33,input_491107!L:R,7,FALSE),VLOOKUP(tables_491107!C33,input_491107!A:H,8,FALSE))</f>
        <v>383250.25455000001</v>
      </c>
      <c r="P33" s="46">
        <f t="shared" ca="1" si="2"/>
        <v>2.9336363636778908E-2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input_491107!A$2</f>
        <v>491107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IFERROR(VLOOKUP(B34,input_491107!L:R,7,FALSE),VLOOKUP(tables_491107!C34,input_491107!A:H,8,FALSE))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input_491107!A$2</f>
        <v>491107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IFERROR(VLOOKUP(B35,input_491107!L:R,7,FALSE),VLOOKUP(tables_491107!C35,input_491107!A:H,8,FALSE))</f>
        <v>77083.733330000003</v>
      </c>
      <c r="P35" s="46">
        <f t="shared" ca="1" si="2"/>
        <v>5.9004694833264641E-3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input_491107!A$2</f>
        <v>491107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IFERROR(VLOOKUP(B36,input_491107!L:R,7,FALSE),VLOOKUP(tables_491107!C36,input_491107!A:H,8,FALSE))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input_491107!A$2</f>
        <v>491107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IFERROR(VLOOKUP(B37,input_491107!L:R,7,FALSE),VLOOKUP(tables_491107!C37,input_491107!A:H,8,FALSE))</f>
        <v>77083.733330000003</v>
      </c>
      <c r="P37" s="46">
        <f t="shared" ca="1" si="2"/>
        <v>5.9004694833264641E-3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input_491107!A$2</f>
        <v>491107</v>
      </c>
      <c r="B38" s="6">
        <v>162</v>
      </c>
      <c r="C38" s="7" t="str">
        <f t="shared" si="0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IFERROR(VLOOKUP(B38,input_491107!L:R,7,FALSE),VLOOKUP(tables_491107!C38,input_491107!A:H,8,FALSE))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input_491107!A$2</f>
        <v>491107</v>
      </c>
      <c r="B39" s="6">
        <v>163</v>
      </c>
      <c r="C39" s="7" t="str">
        <f t="shared" si="0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IFERROR(VLOOKUP(B39,input_491107!L:R,7,FALSE),VLOOKUP(tables_491107!C39,input_491107!A:H,8,FALSE))</f>
        <v>77083.733330000003</v>
      </c>
      <c r="P39" s="46">
        <f t="shared" ca="1" si="2"/>
        <v>5.9004694833264641E-3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input_491107!A$2</f>
        <v>491107</v>
      </c>
      <c r="B40" s="6">
        <v>164</v>
      </c>
      <c r="C40" s="7" t="str">
        <f t="shared" si="0"/>
        <v>PremiumW3color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IFERROR(VLOOKUP(B40,input_491107!L:R,7,FALSE),VLOOKUP(tables_491107!C40,input_491107!A:H,8,FALSE))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input_491107!A$2</f>
        <v>491107</v>
      </c>
      <c r="B41" s="6">
        <v>165</v>
      </c>
      <c r="C41" s="7" t="str">
        <f t="shared" si="0"/>
        <v>PremiumW4color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IFERROR(VLOOKUP(B41,input_491107!L:R,7,FALSE),VLOOKUP(tables_491107!C41,input_491107!A:H,8,FALSE))</f>
        <v>383250.25455000001</v>
      </c>
      <c r="P41" s="46">
        <f t="shared" ca="1" si="2"/>
        <v>2.9336363636778908E-2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input_491107!A$2</f>
        <v>491107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IFERROR(VLOOKUP(B42,input_491107!L:R,7,FALSE),VLOOKUP(tables_491107!C42,input_491107!A:H,8,FALSE))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input_491107!A$2</f>
        <v>491107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IFERROR(VLOOKUP(B43,input_491107!L:R,7,FALSE),VLOOKUP(tables_491107!C43,input_491107!A:H,8,FALSE))</f>
        <v>64955.68</v>
      </c>
      <c r="P43" s="46">
        <f t="shared" ca="1" si="2"/>
        <v>4.9721126760677503E-3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input_491107!A$2</f>
        <v>491107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IFERROR(VLOOKUP(B44,input_491107!L:R,7,FALSE),VLOOKUP(tables_491107!C44,input_491107!A:H,8,FALSE))</f>
        <v>3418.72</v>
      </c>
      <c r="P44" s="46">
        <f t="shared" ca="1" si="2"/>
        <v>2.6169014084567103E-4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input_491107!A$2</f>
        <v>491107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IFERROR(VLOOKUP(B45,input_491107!L:R,7,FALSE),VLOOKUP(tables_491107!C45,input_491107!A:H,8,FALSE))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input_491107!A$2</f>
        <v>491107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IFERROR(VLOOKUP(B46,input_491107!L:R,7,FALSE),VLOOKUP(tables_491107!C46,input_491107!A:H,8,FALSE))</f>
        <v>64955.68</v>
      </c>
      <c r="P46" s="46">
        <f t="shared" ca="1" si="2"/>
        <v>4.9721126760677503E-3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input_491107!A$2</f>
        <v>491107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IFERROR(VLOOKUP(B47,input_491107!L:R,7,FALSE),VLOOKUP(tables_491107!C47,input_491107!A:H,8,FALSE))</f>
        <v>3418.72</v>
      </c>
      <c r="P47" s="46">
        <f t="shared" ca="1" si="2"/>
        <v>2.6169014084567103E-4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input_491107!A$2</f>
        <v>491107</v>
      </c>
      <c r="B48" s="6">
        <v>172</v>
      </c>
      <c r="C48" s="7" t="str">
        <f t="shared" si="0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IFERROR(VLOOKUP(B48,input_491107!L:R,7,FALSE),VLOOKUP(tables_491107!C48,input_491107!A:H,8,FALSE))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input_491107!A$2</f>
        <v>491107</v>
      </c>
      <c r="B49" s="6">
        <v>173</v>
      </c>
      <c r="C49" s="7" t="str">
        <f t="shared" si="0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IFERROR(VLOOKUP(B49,input_491107!L:R,7,FALSE),VLOOKUP(tables_491107!C49,input_491107!A:H,8,FALSE))</f>
        <v>64955.68</v>
      </c>
      <c r="P49" s="46">
        <f t="shared" ca="1" si="2"/>
        <v>4.9721126760677503E-3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input_491107!A$2</f>
        <v>491107</v>
      </c>
      <c r="B50" s="6">
        <v>174</v>
      </c>
      <c r="C50" s="7" t="str">
        <f t="shared" si="0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IFERROR(VLOOKUP(B50,input_491107!L:R,7,FALSE),VLOOKUP(tables_491107!C50,input_491107!A:H,8,FALSE))</f>
        <v>3418.72</v>
      </c>
      <c r="P50" s="46">
        <f t="shared" ca="1" si="2"/>
        <v>2.6169014084567103E-4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input_491107!A$2</f>
        <v>491107</v>
      </c>
      <c r="B51" s="6">
        <v>175</v>
      </c>
      <c r="C51" s="7" t="str">
        <f t="shared" si="0"/>
        <v>Premium3color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IFERROR(VLOOKUP(B51,input_491107!L:R,7,FALSE),VLOOKUP(tables_491107!C51,input_491107!A:H,8,FALSE))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input_491107!A$2</f>
        <v>491107</v>
      </c>
      <c r="B52" s="6">
        <v>176</v>
      </c>
      <c r="C52" s="7" t="str">
        <f t="shared" si="0"/>
        <v>Premium4color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IFERROR(VLOOKUP(B52,input_491107!L:R,7,FALSE),VLOOKUP(tables_491107!C52,input_491107!A:H,8,FALSE))</f>
        <v>344955.76178</v>
      </c>
      <c r="P52" s="46">
        <f t="shared" ca="1" si="2"/>
        <v>2.6405064435149398E-2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input_491107!A$2</f>
        <v>491107</v>
      </c>
      <c r="B53" s="6">
        <v>177</v>
      </c>
      <c r="C53" s="7" t="str">
        <f t="shared" si="0"/>
        <v>Premium5color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IFERROR(VLOOKUP(B53,input_491107!L:R,7,FALSE),VLOOKUP(tables_491107!C53,input_491107!A:H,8,FALSE))</f>
        <v>2117.2620000000002</v>
      </c>
      <c r="P53" s="46">
        <f t="shared" ca="1" si="2"/>
        <v>1.6206843233350121E-4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input_491107!A$2</f>
        <v>491107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IFERROR(VLOOKUP(B54,input_491107!L:R,7,FALSE),VLOOKUP(tables_491107!C54,input_491107!A:H,8,FALSE))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input_491107!A$2</f>
        <v>491107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IFERROR(VLOOKUP(B55,input_491107!L:R,7,FALSE),VLOOKUP(tables_491107!C55,input_491107!A:H,8,FALSE))</f>
        <v>54906.449229999998</v>
      </c>
      <c r="P55" s="46">
        <f t="shared" ca="1" si="2"/>
        <v>4.2028819067763332E-3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input_491107!A$2</f>
        <v>491107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IFERROR(VLOOKUP(B56,input_491107!L:R,7,FALSE),VLOOKUP(tables_491107!C56,input_491107!A:H,8,FALSE))</f>
        <v>68.976410000000001</v>
      </c>
      <c r="P56" s="46">
        <f t="shared" ca="1" si="2"/>
        <v>5.2798844151988918E-6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input_491107!A$2</f>
        <v>491107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IFERROR(VLOOKUP(B57,input_491107!L:R,7,FALSE),VLOOKUP(tables_491107!C57,input_491107!A:H,8,FALSE))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input_491107!A$2</f>
        <v>491107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IFERROR(VLOOKUP(B58,input_491107!L:R,7,FALSE),VLOOKUP(tables_491107!C58,input_491107!A:H,8,FALSE))</f>
        <v>54906.449229999998</v>
      </c>
      <c r="P58" s="46">
        <f t="shared" ca="1" si="2"/>
        <v>4.2028819067763332E-3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input_491107!A$2</f>
        <v>491107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IFERROR(VLOOKUP(B59,input_491107!L:R,7,FALSE),VLOOKUP(tables_491107!C59,input_491107!A:H,8,FALSE))</f>
        <v>68.976410000000001</v>
      </c>
      <c r="P59" s="46">
        <f t="shared" ca="1" si="2"/>
        <v>5.2798844151988918E-6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input_491107!A$2</f>
        <v>491107</v>
      </c>
      <c r="B60" s="6">
        <v>184</v>
      </c>
      <c r="C60" s="7" t="str">
        <f t="shared" si="0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IFERROR(VLOOKUP(B60,input_491107!L:R,7,FALSE),VLOOKUP(tables_491107!C60,input_491107!A:H,8,FALSE))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input_491107!A$2</f>
        <v>491107</v>
      </c>
      <c r="B61" s="8">
        <v>185</v>
      </c>
      <c r="C61" s="7" t="str">
        <f t="shared" si="0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IFERROR(VLOOKUP(B61,input_491107!L:R,7,FALSE),VLOOKUP(tables_491107!C61,input_491107!A:H,8,FALSE))</f>
        <v>54906.449229999998</v>
      </c>
      <c r="P61" s="46">
        <f t="shared" ca="1" si="2"/>
        <v>4.2028819067763332E-3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input_491107!A$2</f>
        <v>491107</v>
      </c>
      <c r="B62" s="8">
        <v>186</v>
      </c>
      <c r="C62" s="7" t="str">
        <f t="shared" si="0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IFERROR(VLOOKUP(B62,input_491107!L:R,7,FALSE),VLOOKUP(tables_491107!C62,input_491107!A:H,8,FALSE))</f>
        <v>68.976410000000001</v>
      </c>
      <c r="P62" s="46">
        <f t="shared" ca="1" si="2"/>
        <v>5.2798844151988918E-6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input_491107!A$2</f>
        <v>491107</v>
      </c>
      <c r="B63" s="8">
        <v>187</v>
      </c>
      <c r="C63" s="7" t="str">
        <f t="shared" si="0"/>
        <v>Premium3color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IFERROR(VLOOKUP(B63,input_491107!L:R,7,FALSE),VLOOKUP(tables_491107!C63,input_491107!A:H,8,FALSE))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input_491107!A$2</f>
        <v>491107</v>
      </c>
      <c r="B64" s="8">
        <v>188</v>
      </c>
      <c r="C64" s="7" t="str">
        <f t="shared" si="0"/>
        <v>Premium4color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IFERROR(VLOOKUP(B64,input_491107!L:R,7,FALSE),VLOOKUP(tables_491107!C64,input_491107!A:H,8,FALSE))</f>
        <v>344955.76178</v>
      </c>
      <c r="P64" s="46">
        <f t="shared" ca="1" si="2"/>
        <v>2.6405064435149398E-2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input_491107!A$2</f>
        <v>491107</v>
      </c>
      <c r="B65" s="6">
        <v>189</v>
      </c>
      <c r="C65" s="7" t="str">
        <f t="shared" si="0"/>
        <v>Premium5color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IFERROR(VLOOKUP(B65,input_491107!L:R,7,FALSE),VLOOKUP(tables_491107!C65,input_491107!A:H,8,FALSE))</f>
        <v>2117.2620000000002</v>
      </c>
      <c r="P65" s="46">
        <f t="shared" ca="1" si="2"/>
        <v>1.6206843233350121E-4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input_491107!A$2</f>
        <v>491107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IF(K66="yellow","color","")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IFERROR(VLOOKUP(B66,input_491107!L:R,7,FALSE),VLOOKUP(tables_491107!C66,input_491107!A:H,8,FALSE))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input_491107!A$2</f>
        <v>491107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IFERROR(VLOOKUP(B67,input_491107!L:R,7,FALSE),VLOOKUP(tables_491107!C67,input_491107!A:H,8,FALSE))</f>
        <v>54906.449229999998</v>
      </c>
      <c r="P67" s="46">
        <f t="shared" ca="1" si="6"/>
        <v>4.2028819067763332E-3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input_491107!A$2</f>
        <v>491107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IFERROR(VLOOKUP(B68,input_491107!L:R,7,FALSE),VLOOKUP(tables_491107!C68,input_491107!A:H,8,FALSE))</f>
        <v>68.976410000000001</v>
      </c>
      <c r="P68" s="46">
        <f t="shared" ca="1" si="6"/>
        <v>5.2798844151988918E-6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input_491107!A$2</f>
        <v>491107</v>
      </c>
      <c r="B69" s="10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IFERROR(VLOOKUP(B69,input_491107!L:R,7,FALSE),VLOOKUP(tables_491107!C69,input_491107!A:H,8,FALSE))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input_491107!A$2</f>
        <v>491107</v>
      </c>
      <c r="B70" s="6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IFERROR(VLOOKUP(B70,input_491107!L:R,7,FALSE),VLOOKUP(tables_491107!C70,input_491107!A:H,8,FALSE))</f>
        <v>54906.449229999998</v>
      </c>
      <c r="P70" s="46">
        <f t="shared" ca="1" si="6"/>
        <v>4.2028819067763332E-3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input_491107!A$2</f>
        <v>491107</v>
      </c>
      <c r="B71" s="10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IFERROR(VLOOKUP(B71,input_491107!L:R,7,FALSE),VLOOKUP(tables_491107!C71,input_491107!A:H,8,FALSE))</f>
        <v>68.976410000000001</v>
      </c>
      <c r="P71" s="46">
        <f t="shared" ca="1" si="6"/>
        <v>5.2798844151988918E-6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input_491107!A$2</f>
        <v>491107</v>
      </c>
      <c r="B72" s="11">
        <v>196</v>
      </c>
      <c r="C72" s="7" t="str">
        <f t="shared" si="4"/>
        <v>Premium3color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IFERROR(VLOOKUP(B72,input_491107!L:R,7,FALSE),VLOOKUP(tables_491107!C72,input_491107!A:H,8,FALSE))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input_491107!A$2</f>
        <v>491107</v>
      </c>
      <c r="B73" s="6">
        <v>197</v>
      </c>
      <c r="C73" s="7" t="str">
        <f t="shared" si="4"/>
        <v>Premium4color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IFERROR(VLOOKUP(B73,input_491107!L:R,7,FALSE),VLOOKUP(tables_491107!C73,input_491107!A:H,8,FALSE))</f>
        <v>344955.76178</v>
      </c>
      <c r="P73" s="46">
        <f t="shared" ca="1" si="6"/>
        <v>2.6405064435149398E-2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input_491107!A$2</f>
        <v>491107</v>
      </c>
      <c r="B74" s="6">
        <v>198</v>
      </c>
      <c r="C74" s="7" t="str">
        <f t="shared" si="4"/>
        <v>Premium5color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IFERROR(VLOOKUP(B74,input_491107!L:R,7,FALSE),VLOOKUP(tables_491107!C74,input_491107!A:H,8,FALSE))</f>
        <v>2117.2620000000002</v>
      </c>
      <c r="P74" s="46">
        <f t="shared" ca="1" si="6"/>
        <v>1.6206843233350121E-4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input_491107!A$2</f>
        <v>491107</v>
      </c>
      <c r="B75" s="6">
        <v>199</v>
      </c>
      <c r="C75" s="7" t="str">
        <f t="shared" si="4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IFERROR(VLOOKUP(B75,input_491107!L:R,7,FALSE),VLOOKUP(tables_491107!C75,input_491107!A:H,8,FALSE))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input_491107!A$2</f>
        <v>491107</v>
      </c>
      <c r="B76" s="5">
        <v>200</v>
      </c>
      <c r="C76" s="7" t="str">
        <f t="shared" si="4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IFERROR(VLOOKUP(B76,input_491107!L:R,7,FALSE),VLOOKUP(tables_491107!C76,input_491107!A:H,8,FALSE))</f>
        <v>54906.449229999998</v>
      </c>
      <c r="P76" s="46">
        <f t="shared" ca="1" si="6"/>
        <v>4.2028819067763332E-3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input_491107!A$2</f>
        <v>491107</v>
      </c>
      <c r="B77" s="5">
        <v>201</v>
      </c>
      <c r="C77" s="7" t="str">
        <f t="shared" si="4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IFERROR(VLOOKUP(B77,input_491107!L:R,7,FALSE),VLOOKUP(tables_491107!C77,input_491107!A:H,8,FALSE))</f>
        <v>68.976410000000001</v>
      </c>
      <c r="P77" s="46">
        <f t="shared" ca="1" si="6"/>
        <v>5.2798844151988918E-6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input_491107!A$2</f>
        <v>491107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IFERROR(VLOOKUP(B78,input_491107!L:R,7,FALSE),VLOOKUP(tables_491107!C78,input_491107!A:H,8,FALSE))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input_491107!A$2</f>
        <v>491107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IFERROR(VLOOKUP(B79,input_491107!L:R,7,FALSE),VLOOKUP(tables_491107!C79,input_491107!A:H,8,FALSE))</f>
        <v>54906.449229999998</v>
      </c>
      <c r="P79" s="46">
        <f t="shared" ca="1" si="6"/>
        <v>4.2028819067763332E-3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input_491107!A$2</f>
        <v>491107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IFERROR(VLOOKUP(B80,input_491107!L:R,7,FALSE),VLOOKUP(tables_491107!C80,input_491107!A:H,8,FALSE))</f>
        <v>68.976410000000001</v>
      </c>
      <c r="P80" s="46">
        <f t="shared" ca="1" si="6"/>
        <v>5.2798844151988918E-6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input_491107!A$2</f>
        <v>491107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IFERROR(VLOOKUP(B81,input_491107!L:R,7,FALSE),VLOOKUP(tables_491107!C81,input_491107!A:H,8,FALSE))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input_491107!A$2</f>
        <v>491107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IFERROR(VLOOKUP(B82,input_491107!L:R,7,FALSE),VLOOKUP(tables_491107!C82,input_491107!A:H,8,FALSE))</f>
        <v>54906.449229999998</v>
      </c>
      <c r="P82" s="46">
        <f t="shared" ca="1" si="6"/>
        <v>4.2028819067763332E-3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input_491107!A$2</f>
        <v>491107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IFERROR(VLOOKUP(B83,input_491107!L:R,7,FALSE),VLOOKUP(tables_491107!C83,input_491107!A:H,8,FALSE))</f>
        <v>68.976410000000001</v>
      </c>
      <c r="P83" s="46">
        <f t="shared" ca="1" si="6"/>
        <v>5.2798844151988918E-6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input_491107!A$2</f>
        <v>491107</v>
      </c>
      <c r="B84" s="5">
        <v>208</v>
      </c>
      <c r="C84" s="7" t="str">
        <f t="shared" si="4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IFERROR(VLOOKUP(B84,input_491107!L:R,7,FALSE),VLOOKUP(tables_491107!C84,input_491107!A:H,8,FALSE))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input_491107!A$2</f>
        <v>491107</v>
      </c>
      <c r="B85" s="5">
        <v>209</v>
      </c>
      <c r="C85" s="7" t="str">
        <f t="shared" si="4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IFERROR(VLOOKUP(B85,input_491107!L:R,7,FALSE),VLOOKUP(tables_491107!C85,input_491107!A:H,8,FALSE))</f>
        <v>54906.449229999998</v>
      </c>
      <c r="P85" s="46">
        <f t="shared" ca="1" si="6"/>
        <v>4.2028819067763332E-3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input_491107!A$2</f>
        <v>491107</v>
      </c>
      <c r="B86" s="5">
        <v>210</v>
      </c>
      <c r="C86" s="7" t="str">
        <f t="shared" si="4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IFERROR(VLOOKUP(B86,input_491107!L:R,7,FALSE),VLOOKUP(tables_491107!C86,input_491107!A:H,8,FALSE))</f>
        <v>68.976410000000001</v>
      </c>
      <c r="P86" s="46">
        <f t="shared" ca="1" si="6"/>
        <v>5.2798844151988918E-6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input_491107!A$2</f>
        <v>491107</v>
      </c>
      <c r="B87" s="5">
        <v>211</v>
      </c>
      <c r="C87" s="7" t="str">
        <f t="shared" si="4"/>
        <v>Premium3color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IFERROR(VLOOKUP(B87,input_491107!L:R,7,FALSE),VLOOKUP(tables_491107!C87,input_491107!A:H,8,FALSE))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input_491107!A$2</f>
        <v>491107</v>
      </c>
      <c r="B88" s="5">
        <v>212</v>
      </c>
      <c r="C88" s="7" t="str">
        <f t="shared" si="4"/>
        <v>Premium4color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IFERROR(VLOOKUP(B88,input_491107!L:R,7,FALSE),VLOOKUP(tables_491107!C88,input_491107!A:H,8,FALSE))</f>
        <v>344955.76178</v>
      </c>
      <c r="P88" s="46">
        <f t="shared" ca="1" si="6"/>
        <v>2.6405064435149398E-2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input_491107!A$2</f>
        <v>491107</v>
      </c>
      <c r="B89" s="5">
        <v>213</v>
      </c>
      <c r="C89" s="7" t="str">
        <f t="shared" si="4"/>
        <v>Premium5color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IFERROR(VLOOKUP(B89,input_491107!L:R,7,FALSE),VLOOKUP(tables_491107!C89,input_491107!A:H,8,FALSE))</f>
        <v>2117.2620000000002</v>
      </c>
      <c r="P89" s="46">
        <f t="shared" ca="1" si="6"/>
        <v>1.6206843233350121E-4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input_491107!A$2</f>
        <v>491107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IFERROR(VLOOKUP(B90,input_491107!L:R,7,FALSE),VLOOKUP(tables_491107!C90,input_491107!A:H,8,FALSE))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input_491107!A$2</f>
        <v>491107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IFERROR(VLOOKUP(B91,input_491107!L:R,7,FALSE),VLOOKUP(tables_491107!C91,input_491107!A:H,8,FALSE))</f>
        <v>54906.449229999998</v>
      </c>
      <c r="P91" s="46">
        <f t="shared" ca="1" si="6"/>
        <v>4.2028819067763332E-3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input_491107!A$2</f>
        <v>491107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IFERROR(VLOOKUP(B92,input_491107!L:R,7,FALSE),VLOOKUP(tables_491107!C92,input_491107!A:H,8,FALSE))</f>
        <v>68.976410000000001</v>
      </c>
      <c r="P92" s="46">
        <f t="shared" ca="1" si="6"/>
        <v>5.2798844151988918E-6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input_491107!A$2</f>
        <v>491107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IFERROR(VLOOKUP(B93,input_491107!L:R,7,FALSE),VLOOKUP(tables_491107!C93,input_491107!A:H,8,FALSE))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input_491107!A$2</f>
        <v>491107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IFERROR(VLOOKUP(B94,input_491107!L:R,7,FALSE),VLOOKUP(tables_491107!C94,input_491107!A:H,8,FALSE))</f>
        <v>54906.449229999998</v>
      </c>
      <c r="P94" s="46">
        <f t="shared" ca="1" si="6"/>
        <v>4.2028819067763332E-3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input_491107!A$2</f>
        <v>491107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IFERROR(VLOOKUP(B95,input_491107!L:R,7,FALSE),VLOOKUP(tables_491107!C95,input_491107!A:H,8,FALSE))</f>
        <v>68.976410000000001</v>
      </c>
      <c r="P95" s="46">
        <f t="shared" ca="1" si="6"/>
        <v>5.2798844151988918E-6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input_491107!A$2</f>
        <v>491107</v>
      </c>
      <c r="B96" s="5">
        <v>220</v>
      </c>
      <c r="C96" s="7" t="str">
        <f t="shared" si="4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IFERROR(VLOOKUP(B96,input_491107!L:R,7,FALSE),VLOOKUP(tables_491107!C96,input_491107!A:H,8,FALSE))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input_491107!A$2</f>
        <v>491107</v>
      </c>
      <c r="B97" s="5">
        <v>221</v>
      </c>
      <c r="C97" s="7" t="str">
        <f t="shared" si="4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IFERROR(VLOOKUP(B97,input_491107!L:R,7,FALSE),VLOOKUP(tables_491107!C97,input_491107!A:H,8,FALSE))</f>
        <v>54906.449229999998</v>
      </c>
      <c r="P97" s="46">
        <f t="shared" ca="1" si="6"/>
        <v>4.2028819067763332E-3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input_491107!A$2</f>
        <v>491107</v>
      </c>
      <c r="B98" s="5">
        <v>222</v>
      </c>
      <c r="C98" s="7" t="str">
        <f t="shared" si="4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IFERROR(VLOOKUP(B98,input_491107!L:R,7,FALSE),VLOOKUP(tables_491107!C98,input_491107!A:H,8,FALSE))</f>
        <v>68.976410000000001</v>
      </c>
      <c r="P98" s="46">
        <f t="shared" ca="1" si="6"/>
        <v>5.2798844151988918E-6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input_491107!A$2</f>
        <v>491107</v>
      </c>
      <c r="B99" s="5">
        <v>223</v>
      </c>
      <c r="C99" s="7" t="str">
        <f t="shared" si="4"/>
        <v>Premium3color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IFERROR(VLOOKUP(B99,input_491107!L:R,7,FALSE),VLOOKUP(tables_491107!C99,input_491107!A:H,8,FALSE))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input_491107!A$2</f>
        <v>491107</v>
      </c>
      <c r="B100" s="5">
        <v>224</v>
      </c>
      <c r="C100" s="7" t="str">
        <f t="shared" si="4"/>
        <v>Premium4color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IFERROR(VLOOKUP(B100,input_491107!L:R,7,FALSE),VLOOKUP(tables_491107!C100,input_491107!A:H,8,FALSE))</f>
        <v>344955.76178</v>
      </c>
      <c r="P100" s="46">
        <f t="shared" ca="1" si="6"/>
        <v>2.6405064435149398E-2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input_491107!A$2</f>
        <v>491107</v>
      </c>
      <c r="B101" s="5">
        <v>225</v>
      </c>
      <c r="C101" s="7" t="str">
        <f t="shared" si="4"/>
        <v>Premium5color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IFERROR(VLOOKUP(B101,input_491107!L:R,7,FALSE),VLOOKUP(tables_491107!C101,input_491107!A:H,8,FALSE))</f>
        <v>2117.2620000000002</v>
      </c>
      <c r="P101" s="46">
        <f t="shared" ca="1" si="6"/>
        <v>1.6206843233350121E-4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input_491107!A$2</f>
        <v>491107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IFERROR(VLOOKUP(B102,input_491107!L:R,7,FALSE),VLOOKUP(tables_491107!C102,input_491107!A:H,8,FALSE))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input_491107!A$2</f>
        <v>491107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IFERROR(VLOOKUP(B103,input_491107!L:R,7,FALSE),VLOOKUP(tables_491107!C103,input_491107!A:H,8,FALSE))</f>
        <v>54906.449229999998</v>
      </c>
      <c r="P103" s="46">
        <f t="shared" ca="1" si="6"/>
        <v>4.2028819067763332E-3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input_491107!A$2</f>
        <v>491107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IFERROR(VLOOKUP(B104,input_491107!L:R,7,FALSE),VLOOKUP(tables_491107!C104,input_491107!A:H,8,FALSE))</f>
        <v>68.976410000000001</v>
      </c>
      <c r="P104" s="46">
        <f t="shared" ca="1" si="6"/>
        <v>5.2798844151988918E-6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input_491107!A$2</f>
        <v>491107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IFERROR(VLOOKUP(B105,input_491107!L:R,7,FALSE),VLOOKUP(tables_491107!C105,input_491107!A:H,8,FALSE))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input_491107!A$2</f>
        <v>491107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IFERROR(VLOOKUP(B106,input_491107!L:R,7,FALSE),VLOOKUP(tables_491107!C106,input_491107!A:H,8,FALSE))</f>
        <v>54906.449229999998</v>
      </c>
      <c r="P106" s="46">
        <f t="shared" ca="1" si="6"/>
        <v>4.2028819067763332E-3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input_491107!A$2</f>
        <v>491107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IFERROR(VLOOKUP(B107,input_491107!L:R,7,FALSE),VLOOKUP(tables_491107!C107,input_491107!A:H,8,FALSE))</f>
        <v>68.976410000000001</v>
      </c>
      <c r="P107" s="46">
        <f t="shared" ca="1" si="6"/>
        <v>5.2798844151988918E-6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input_491107!A$2</f>
        <v>491107</v>
      </c>
      <c r="B108" s="5">
        <v>232</v>
      </c>
      <c r="C108" s="7" t="str">
        <f t="shared" si="4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IFERROR(VLOOKUP(B108,input_491107!L:R,7,FALSE),VLOOKUP(tables_491107!C108,input_491107!A:H,8,FALSE))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input_491107!A$2</f>
        <v>491107</v>
      </c>
      <c r="B109" s="5">
        <v>233</v>
      </c>
      <c r="C109" s="7" t="str">
        <f t="shared" si="4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IFERROR(VLOOKUP(B109,input_491107!L:R,7,FALSE),VLOOKUP(tables_491107!C109,input_491107!A:H,8,FALSE))</f>
        <v>54906.449229999998</v>
      </c>
      <c r="P109" s="46">
        <f t="shared" ca="1" si="6"/>
        <v>4.2028819067763332E-3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input_491107!A$2</f>
        <v>491107</v>
      </c>
      <c r="B110" s="5">
        <v>234</v>
      </c>
      <c r="C110" s="7" t="str">
        <f t="shared" si="4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IFERROR(VLOOKUP(B110,input_491107!L:R,7,FALSE),VLOOKUP(tables_491107!C110,input_491107!A:H,8,FALSE))</f>
        <v>68.976410000000001</v>
      </c>
      <c r="P110" s="46">
        <f t="shared" ca="1" si="6"/>
        <v>5.2798844151988918E-6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input_491107!A$2</f>
        <v>491107</v>
      </c>
      <c r="B111" s="5">
        <v>235</v>
      </c>
      <c r="C111" s="7" t="str">
        <f t="shared" si="4"/>
        <v>Premium3R6releasecolor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IFERROR(VLOOKUP(B111,input_491107!L:R,7,FALSE),VLOOKUP(tables_491107!C111,input_491107!A:H,8,FALSE))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input_491107!A$2</f>
        <v>491107</v>
      </c>
      <c r="B112" s="5">
        <v>236</v>
      </c>
      <c r="C112" s="7" t="str">
        <f t="shared" si="4"/>
        <v>Premium4R6releasecolor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IFERROR(VLOOKUP(B112,input_491107!L:R,7,FALSE),VLOOKUP(tables_491107!C112,input_491107!A:H,8,FALSE))</f>
        <v>314444.54181999998</v>
      </c>
      <c r="P112" s="46">
        <f t="shared" ca="1" si="6"/>
        <v>2.4069545454739872E-2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input_491107!A$2</f>
        <v>491107</v>
      </c>
      <c r="B113" s="5">
        <v>237</v>
      </c>
      <c r="C113" s="7" t="str">
        <f t="shared" si="4"/>
        <v>Premium5R6releasecolor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IFERROR(VLOOKUP(B113,input_491107!L:R,7,FALSE),VLOOKUP(tables_491107!C113,input_491107!A:H,8,FALSE))</f>
        <v>16549.712729999999</v>
      </c>
      <c r="P113" s="46">
        <f t="shared" ca="1" si="6"/>
        <v>1.2668181820298518E-3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input_491107!A$2</f>
        <v>491107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IFERROR(VLOOKUP(B114,input_491107!L:R,7,FALSE),VLOOKUP(tables_491107!C114,input_491107!A:H,8,FALSE))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input_491107!A$2</f>
        <v>491107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IFERROR(VLOOKUP(B115,input_491107!L:R,7,FALSE),VLOOKUP(tables_491107!C115,input_491107!A:H,8,FALSE))</f>
        <v>54906.449229999998</v>
      </c>
      <c r="P115" s="46">
        <f t="shared" ca="1" si="6"/>
        <v>4.2028819067763332E-3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input_491107!A$2</f>
        <v>491107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IFERROR(VLOOKUP(B116,input_491107!L:R,7,FALSE),VLOOKUP(tables_491107!C116,input_491107!A:H,8,FALSE))</f>
        <v>68.976410000000001</v>
      </c>
      <c r="P116" s="46">
        <f t="shared" ca="1" si="6"/>
        <v>5.2798844151988918E-6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input_491107!A$2</f>
        <v>491107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IFERROR(VLOOKUP(B117,input_491107!L:R,7,FALSE),VLOOKUP(tables_491107!C117,input_491107!A:H,8,FALSE))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input_491107!A$2</f>
        <v>491107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IFERROR(VLOOKUP(B118,input_491107!L:R,7,FALSE),VLOOKUP(tables_491107!C118,input_491107!A:H,8,FALSE))</f>
        <v>54906.449229999998</v>
      </c>
      <c r="P118" s="46">
        <f t="shared" ca="1" si="6"/>
        <v>4.2028819067763332E-3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input_491107!A$2</f>
        <v>491107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IFERROR(VLOOKUP(B119,input_491107!L:R,7,FALSE),VLOOKUP(tables_491107!C119,input_491107!A:H,8,FALSE))</f>
        <v>68.976410000000001</v>
      </c>
      <c r="P119" s="46">
        <f t="shared" ca="1" si="6"/>
        <v>5.2798844151988918E-6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input_491107!A$2</f>
        <v>491107</v>
      </c>
      <c r="B120" s="5">
        <v>244</v>
      </c>
      <c r="C120" s="7" t="str">
        <f t="shared" si="4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IFERROR(VLOOKUP(B120,input_491107!L:R,7,FALSE),VLOOKUP(tables_491107!C120,input_491107!A:H,8,FALSE))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input_491107!A$2</f>
        <v>491107</v>
      </c>
      <c r="B121" s="5">
        <v>245</v>
      </c>
      <c r="C121" s="7" t="str">
        <f t="shared" si="4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IFERROR(VLOOKUP(B121,input_491107!L:R,7,FALSE),VLOOKUP(tables_491107!C121,input_491107!A:H,8,FALSE))</f>
        <v>54906.449229999998</v>
      </c>
      <c r="P121" s="46">
        <f t="shared" ca="1" si="6"/>
        <v>4.2028819067763332E-3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input_491107!A$2</f>
        <v>491107</v>
      </c>
      <c r="B122" s="5">
        <v>246</v>
      </c>
      <c r="C122" s="7" t="str">
        <f t="shared" si="4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IFERROR(VLOOKUP(B122,input_491107!L:R,7,FALSE),VLOOKUP(tables_491107!C122,input_491107!A:H,8,FALSE))</f>
        <v>68.976410000000001</v>
      </c>
      <c r="P122" s="46">
        <f t="shared" ca="1" si="6"/>
        <v>5.2798844151988918E-6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input_491107!A$2</f>
        <v>491107</v>
      </c>
      <c r="B123" s="5">
        <v>247</v>
      </c>
      <c r="C123" s="7" t="str">
        <f t="shared" si="4"/>
        <v>Premium3color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IFERROR(VLOOKUP(B123,input_491107!L:R,7,FALSE),VLOOKUP(tables_491107!C123,input_491107!A:H,8,FALSE))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input_491107!A$2</f>
        <v>491107</v>
      </c>
      <c r="B124" s="6">
        <v>248</v>
      </c>
      <c r="C124" s="7" t="str">
        <f t="shared" si="4"/>
        <v>Premium4color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IFERROR(VLOOKUP(B124,input_491107!L:R,7,FALSE),VLOOKUP(tables_491107!C124,input_491107!A:H,8,FALSE))</f>
        <v>344955.76178</v>
      </c>
      <c r="P124" s="46">
        <f t="shared" ca="1" si="6"/>
        <v>2.6405064435149398E-2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input_491107!A$2</f>
        <v>491107</v>
      </c>
      <c r="B125" s="6">
        <v>249</v>
      </c>
      <c r="C125" s="7" t="str">
        <f t="shared" si="4"/>
        <v>Premium5color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IFERROR(VLOOKUP(B125,input_491107!L:R,7,FALSE),VLOOKUP(tables_491107!C125,input_491107!A:H,8,FALSE))</f>
        <v>2117.2620000000002</v>
      </c>
      <c r="P125" s="46">
        <f t="shared" ca="1" si="6"/>
        <v>1.6206843233350121E-4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input_491107!A$2</f>
        <v>491107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IFERROR(VLOOKUP(B126,input_491107!L:R,7,FALSE),VLOOKUP(tables_491107!C126,input_491107!A:H,8,FALSE))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input_491107!A$2</f>
        <v>491107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IFERROR(VLOOKUP(B127,input_491107!L:R,7,FALSE),VLOOKUP(tables_491107!C127,input_491107!A:H,8,FALSE))</f>
        <v>54906.449229999998</v>
      </c>
      <c r="P127" s="46">
        <f t="shared" ca="1" si="6"/>
        <v>4.2028819067763332E-3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input_491107!A$2</f>
        <v>491107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IFERROR(VLOOKUP(B128,input_491107!L:R,7,FALSE),VLOOKUP(tables_491107!C128,input_491107!A:H,8,FALSE))</f>
        <v>68.976410000000001</v>
      </c>
      <c r="P128" s="46">
        <f t="shared" ca="1" si="6"/>
        <v>5.2798844151988918E-6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input_491107!A$2</f>
        <v>491107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IFERROR(VLOOKUP(B129,input_491107!L:R,7,FALSE),VLOOKUP(tables_491107!C129,input_491107!A:H,8,FALSE))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input_491107!A$2</f>
        <v>491107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IF(K130="yellow","color","")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IFERROR(VLOOKUP(B130,input_491107!L:R,7,FALSE),VLOOKUP(tables_491107!C130,input_491107!A:H,8,FALSE))</f>
        <v>54906.449229999998</v>
      </c>
      <c r="P130" s="46">
        <f t="shared" ref="P130:P193" ca="1" si="10">O130/SUM(O:O)</f>
        <v>4.2028819067763332E-3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input_491107!A$2</f>
        <v>491107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IFERROR(VLOOKUP(B131,input_491107!L:R,7,FALSE),VLOOKUP(tables_491107!C131,input_491107!A:H,8,FALSE))</f>
        <v>68.976410000000001</v>
      </c>
      <c r="P131" s="46">
        <f t="shared" ca="1" si="10"/>
        <v>5.2798844151988918E-6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input_491107!A$2</f>
        <v>491107</v>
      </c>
      <c r="B132" s="6">
        <v>256</v>
      </c>
      <c r="C132" s="7" t="str">
        <f t="shared" si="8"/>
        <v>Premium3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IFERROR(VLOOKUP(B132,input_491107!L:R,7,FALSE),VLOOKUP(tables_491107!C132,input_491107!A:H,8,FALSE))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input_491107!A$2</f>
        <v>491107</v>
      </c>
      <c r="B133" s="6">
        <v>257</v>
      </c>
      <c r="C133" s="7" t="str">
        <f t="shared" si="8"/>
        <v>Premium4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IFERROR(VLOOKUP(B133,input_491107!L:R,7,FALSE),VLOOKUP(tables_491107!C133,input_491107!A:H,8,FALSE))</f>
        <v>54906.449229999998</v>
      </c>
      <c r="P133" s="46">
        <f t="shared" ca="1" si="10"/>
        <v>4.2028819067763332E-3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input_491107!A$2</f>
        <v>491107</v>
      </c>
      <c r="B134" s="6">
        <v>258</v>
      </c>
      <c r="C134" s="7" t="str">
        <f t="shared" si="8"/>
        <v>Premium5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IFERROR(VLOOKUP(B134,input_491107!L:R,7,FALSE),VLOOKUP(tables_491107!C134,input_491107!A:H,8,FALSE))</f>
        <v>68.976410000000001</v>
      </c>
      <c r="P134" s="46">
        <f t="shared" ca="1" si="10"/>
        <v>5.2798844151988918E-6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input_491107!A$2</f>
        <v>491107</v>
      </c>
      <c r="B135" s="8">
        <v>259</v>
      </c>
      <c r="C135" s="7" t="str">
        <f t="shared" si="8"/>
        <v>Premium3color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IFERROR(VLOOKUP(B135,input_491107!L:R,7,FALSE),VLOOKUP(tables_491107!C135,input_491107!A:H,8,FALSE))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input_491107!A$2</f>
        <v>491107</v>
      </c>
      <c r="B136" s="8">
        <v>260</v>
      </c>
      <c r="C136" s="7" t="str">
        <f t="shared" si="8"/>
        <v>Premium4color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IFERROR(VLOOKUP(B136,input_491107!L:R,7,FALSE),VLOOKUP(tables_491107!C136,input_491107!A:H,8,FALSE))</f>
        <v>344955.76178</v>
      </c>
      <c r="P136" s="46">
        <f t="shared" ca="1" si="10"/>
        <v>2.6405064435149398E-2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input_491107!A$2</f>
        <v>491107</v>
      </c>
      <c r="B137" s="6">
        <v>261</v>
      </c>
      <c r="C137" s="7" t="str">
        <f t="shared" si="8"/>
        <v>Premium5color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IFERROR(VLOOKUP(B137,input_491107!L:R,7,FALSE),VLOOKUP(tables_491107!C137,input_491107!A:H,8,FALSE))</f>
        <v>2117.2620000000002</v>
      </c>
      <c r="P137" s="46">
        <f t="shared" ca="1" si="10"/>
        <v>1.6206843233350121E-4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input_491107!A$2</f>
        <v>491107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IFERROR(VLOOKUP(B138,input_491107!L:R,7,FALSE),VLOOKUP(tables_491107!C138,input_491107!A:H,8,FALSE))</f>
        <v>11616.952380000001</v>
      </c>
      <c r="P138" s="46">
        <f t="shared" ca="1" si="10"/>
        <v>8.8923395438048557E-4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input_491107!A$2</f>
        <v>491107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IFERROR(VLOOKUP(B139,input_491107!L:R,7,FALSE),VLOOKUP(tables_491107!C139,input_491107!A:H,8,FALSE))</f>
        <v>284</v>
      </c>
      <c r="P139" s="46">
        <f t="shared" ca="1" si="10"/>
        <v>2.1739130434832504E-5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input_491107!A$2</f>
        <v>491107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IFERROR(VLOOKUP(B140,input_491107!L:R,7,FALSE),VLOOKUP(tables_491107!C140,input_491107!A:H,8,FALSE))</f>
        <v>11616.952380000001</v>
      </c>
      <c r="P140" s="46">
        <f t="shared" ca="1" si="10"/>
        <v>8.8923395438048557E-4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input_491107!A$2</f>
        <v>491107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IFERROR(VLOOKUP(B141,input_491107!L:R,7,FALSE),VLOOKUP(tables_491107!C141,input_491107!A:H,8,FALSE))</f>
        <v>284</v>
      </c>
      <c r="P141" s="46">
        <f t="shared" ca="1" si="10"/>
        <v>2.1739130434832504E-5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input_491107!A$2</f>
        <v>491107</v>
      </c>
      <c r="B142" s="6">
        <v>324</v>
      </c>
      <c r="C142" s="7" t="str">
        <f t="shared" si="8"/>
        <v>PremiumSS4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IFERROR(VLOOKUP(B142,input_491107!L:R,7,FALSE),VLOOKUP(tables_491107!C142,input_491107!A:H,8,FALSE))</f>
        <v>11616.952380000001</v>
      </c>
      <c r="P142" s="46">
        <f t="shared" ca="1" si="10"/>
        <v>8.8923395438048557E-4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input_491107!A$2</f>
        <v>491107</v>
      </c>
      <c r="B143" s="6">
        <v>325</v>
      </c>
      <c r="C143" s="7" t="str">
        <f t="shared" si="8"/>
        <v>PremiumSS5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IFERROR(VLOOKUP(B143,input_491107!L:R,7,FALSE),VLOOKUP(tables_491107!C143,input_491107!A:H,8,FALSE))</f>
        <v>284</v>
      </c>
      <c r="P143" s="46">
        <f t="shared" ca="1" si="10"/>
        <v>2.1739130434832504E-5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input_491107!A$2</f>
        <v>491107</v>
      </c>
      <c r="B144" s="6">
        <v>326</v>
      </c>
      <c r="C144" s="7" t="str">
        <f t="shared" si="8"/>
        <v>PremiumSS4color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IFERROR(VLOOKUP(B144,input_491107!L:R,7,FALSE),VLOOKUP(tables_491107!C144,input_491107!A:H,8,FALSE))</f>
        <v>21901.411759999999</v>
      </c>
      <c r="P144" s="46">
        <f t="shared" ca="1" si="10"/>
        <v>1.6764705878789244E-3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input_491107!A$2</f>
        <v>491107</v>
      </c>
      <c r="B145" s="6">
        <v>327</v>
      </c>
      <c r="C145" s="7" t="str">
        <f t="shared" si="8"/>
        <v>PremiumSS5color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IFERROR(VLOOKUP(B145,input_491107!L:R,7,FALSE),VLOOKUP(tables_491107!C145,input_491107!A:H,8,FALSE))</f>
        <v>1152.70588</v>
      </c>
      <c r="P145" s="46">
        <f t="shared" ca="1" si="10"/>
        <v>8.823529393774079E-5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input_491107!A$2</f>
        <v>491107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IFERROR(VLOOKUP(B146,input_491107!L:R,7,FALSE),VLOOKUP(tables_491107!C146,input_491107!A:H,8,FALSE))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input_491107!A$2</f>
        <v>491107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IFERROR(VLOOKUP(B147,input_491107!L:R,7,FALSE),VLOOKUP(tables_491107!C147,input_491107!A:H,8,FALSE))</f>
        <v>54906.449229999998</v>
      </c>
      <c r="P147" s="46">
        <f t="shared" ca="1" si="10"/>
        <v>4.2028819067763332E-3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input_491107!A$2</f>
        <v>491107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IFERROR(VLOOKUP(B148,input_491107!L:R,7,FALSE),VLOOKUP(tables_491107!C148,input_491107!A:H,8,FALSE))</f>
        <v>68.976410000000001</v>
      </c>
      <c r="P148" s="46">
        <f t="shared" ca="1" si="10"/>
        <v>5.2798844151988918E-6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input_491107!A$2</f>
        <v>491107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IFERROR(VLOOKUP(B149,input_491107!L:R,7,FALSE),VLOOKUP(tables_491107!C149,input_491107!A:H,8,FALSE))</f>
        <v>11616.952380000001</v>
      </c>
      <c r="P149" s="46">
        <f t="shared" ca="1" si="10"/>
        <v>8.8923395438048557E-4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input_491107!A$2</f>
        <v>491107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IFERROR(VLOOKUP(B150,input_491107!L:R,7,FALSE),VLOOKUP(tables_491107!C150,input_491107!A:H,8,FALSE))</f>
        <v>284</v>
      </c>
      <c r="P150" s="46">
        <f t="shared" ca="1" si="10"/>
        <v>2.1739130434832504E-5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input_491107!A$2</f>
        <v>491107</v>
      </c>
      <c r="B151" s="6">
        <v>385</v>
      </c>
      <c r="C151" s="7" t="str">
        <f t="shared" si="8"/>
        <v>PremiumSS4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IFERROR(VLOOKUP(B151,input_491107!L:R,7,FALSE),VLOOKUP(tables_491107!C151,input_491107!A:H,8,FALSE))</f>
        <v>11616.952380000001</v>
      </c>
      <c r="P151" s="46">
        <f t="shared" ca="1" si="10"/>
        <v>8.8923395438048557E-4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input_491107!A$2</f>
        <v>491107</v>
      </c>
      <c r="B152" s="6">
        <v>386</v>
      </c>
      <c r="C152" s="7" t="str">
        <f t="shared" si="8"/>
        <v>PremiumSS5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IFERROR(VLOOKUP(B152,input_491107!L:R,7,FALSE),VLOOKUP(tables_491107!C152,input_491107!A:H,8,FALSE))</f>
        <v>284</v>
      </c>
      <c r="P152" s="46">
        <f t="shared" ca="1" si="10"/>
        <v>2.1739130434832504E-5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input_491107!A$2</f>
        <v>491107</v>
      </c>
      <c r="B153" s="6">
        <v>387</v>
      </c>
      <c r="C153" s="7" t="str">
        <f t="shared" si="8"/>
        <v>Premium3color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IFERROR(VLOOKUP(B153,input_491107!L:R,7,FALSE),VLOOKUP(tables_491107!C153,input_491107!A:H,8,FALSE))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input_491107!A$2</f>
        <v>491107</v>
      </c>
      <c r="B154" s="6">
        <v>388</v>
      </c>
      <c r="C154" s="7" t="str">
        <f t="shared" si="8"/>
        <v>Premium4color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IFERROR(VLOOKUP(B154,input_491107!L:R,7,FALSE),VLOOKUP(tables_491107!C154,input_491107!A:H,8,FALSE))</f>
        <v>344955.76178</v>
      </c>
      <c r="P154" s="46">
        <f t="shared" ca="1" si="10"/>
        <v>2.6405064435149398E-2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input_491107!A$2</f>
        <v>491107</v>
      </c>
      <c r="B155" s="6">
        <v>389</v>
      </c>
      <c r="C155" s="7" t="str">
        <f t="shared" si="8"/>
        <v>Premium5color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IFERROR(VLOOKUP(B155,input_491107!L:R,7,FALSE),VLOOKUP(tables_491107!C155,input_491107!A:H,8,FALSE))</f>
        <v>2117.2620000000002</v>
      </c>
      <c r="P155" s="46">
        <f t="shared" ca="1" si="10"/>
        <v>1.6206843233350121E-4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input_491107!A$2</f>
        <v>491107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IFERROR(VLOOKUP(B156,input_491107!L:R,7,FALSE),VLOOKUP(tables_491107!C156,input_491107!A:H,8,FALSE))</f>
        <v>11616.952380000001</v>
      </c>
      <c r="P156" s="46">
        <f t="shared" ca="1" si="10"/>
        <v>8.8923395438048557E-4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input_491107!A$2</f>
        <v>491107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IFERROR(VLOOKUP(B157,input_491107!L:R,7,FALSE),VLOOKUP(tables_491107!C157,input_491107!A:H,8,FALSE))</f>
        <v>284</v>
      </c>
      <c r="P157" s="46">
        <f t="shared" ca="1" si="10"/>
        <v>2.1739130434832504E-5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input_491107!A$2</f>
        <v>491107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IFERROR(VLOOKUP(B158,input_491107!L:R,7,FALSE),VLOOKUP(tables_491107!C158,input_491107!A:H,8,FALSE))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input_491107!A$2</f>
        <v>491107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IFERROR(VLOOKUP(B159,input_491107!L:R,7,FALSE),VLOOKUP(tables_491107!C159,input_491107!A:H,8,FALSE))</f>
        <v>54906.449229999998</v>
      </c>
      <c r="P159" s="46">
        <f t="shared" ca="1" si="10"/>
        <v>4.2028819067763332E-3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input_491107!A$2</f>
        <v>491107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IFERROR(VLOOKUP(B160,input_491107!L:R,7,FALSE),VLOOKUP(tables_491107!C160,input_491107!A:H,8,FALSE))</f>
        <v>68.976410000000001</v>
      </c>
      <c r="P160" s="46">
        <f t="shared" ca="1" si="10"/>
        <v>5.2798844151988918E-6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input_491107!A$2</f>
        <v>491107</v>
      </c>
      <c r="B161" s="6">
        <v>395</v>
      </c>
      <c r="C161" s="7" t="str">
        <f t="shared" si="8"/>
        <v>Premium3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IFERROR(VLOOKUP(B161,input_491107!L:R,7,FALSE),VLOOKUP(tables_491107!C161,input_491107!A:H,8,FALSE))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input_491107!A$2</f>
        <v>491107</v>
      </c>
      <c r="B162" s="6">
        <v>396</v>
      </c>
      <c r="C162" s="7" t="str">
        <f t="shared" si="8"/>
        <v>Premium4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IFERROR(VLOOKUP(B162,input_491107!L:R,7,FALSE),VLOOKUP(tables_491107!C162,input_491107!A:H,8,FALSE))</f>
        <v>54906.449229999998</v>
      </c>
      <c r="P162" s="46">
        <f t="shared" ca="1" si="10"/>
        <v>4.2028819067763332E-3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input_491107!A$2</f>
        <v>491107</v>
      </c>
      <c r="B163" s="6">
        <v>397</v>
      </c>
      <c r="C163" s="7" t="str">
        <f t="shared" si="8"/>
        <v>Premium5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IFERROR(VLOOKUP(B163,input_491107!L:R,7,FALSE),VLOOKUP(tables_491107!C163,input_491107!A:H,8,FALSE))</f>
        <v>68.976410000000001</v>
      </c>
      <c r="P163" s="46">
        <f t="shared" ca="1" si="10"/>
        <v>5.2798844151988918E-6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input_491107!A$2</f>
        <v>491107</v>
      </c>
      <c r="B164" s="6">
        <v>398</v>
      </c>
      <c r="C164" s="7" t="str">
        <f t="shared" si="8"/>
        <v>PremiumSS4color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IFERROR(VLOOKUP(B164,input_491107!L:R,7,FALSE),VLOOKUP(tables_491107!C164,input_491107!A:H,8,FALSE))</f>
        <v>21901.411759999999</v>
      </c>
      <c r="P164" s="46">
        <f t="shared" ca="1" si="10"/>
        <v>1.6764705878789244E-3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input_491107!A$2</f>
        <v>491107</v>
      </c>
      <c r="B165" s="6">
        <v>399</v>
      </c>
      <c r="C165" s="7" t="str">
        <f t="shared" si="8"/>
        <v>PremiumSS5color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IFERROR(VLOOKUP(B165,input_491107!L:R,7,FALSE),VLOOKUP(tables_491107!C165,input_491107!A:H,8,FALSE))</f>
        <v>1152.70588</v>
      </c>
      <c r="P165" s="46">
        <f t="shared" ca="1" si="10"/>
        <v>8.823529393774079E-5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input_491107!A$2</f>
        <v>491107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IFERROR(VLOOKUP(B166,input_491107!L:R,7,FALSE),VLOOKUP(tables_491107!C166,input_491107!A:H,8,FALSE))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input_491107!A$2</f>
        <v>491107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IFERROR(VLOOKUP(B167,input_491107!L:R,7,FALSE),VLOOKUP(tables_491107!C167,input_491107!A:H,8,FALSE))</f>
        <v>54906.449229999998</v>
      </c>
      <c r="P167" s="46">
        <f t="shared" ca="1" si="10"/>
        <v>4.2028819067763332E-3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input_491107!A$2</f>
        <v>491107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IFERROR(VLOOKUP(B168,input_491107!L:R,7,FALSE),VLOOKUP(tables_491107!C168,input_491107!A:H,8,FALSE))</f>
        <v>68.976410000000001</v>
      </c>
      <c r="P168" s="46">
        <f t="shared" ca="1" si="10"/>
        <v>5.2798844151988918E-6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input_491107!A$2</f>
        <v>491107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IFERROR(VLOOKUP(B169,input_491107!L:R,7,FALSE),VLOOKUP(tables_491107!C169,input_491107!A:H,8,FALSE))</f>
        <v>11616.952380000001</v>
      </c>
      <c r="P169" s="46">
        <f t="shared" ca="1" si="10"/>
        <v>8.8923395438048557E-4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input_491107!A$2</f>
        <v>491107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IFERROR(VLOOKUP(B170,input_491107!L:R,7,FALSE),VLOOKUP(tables_491107!C170,input_491107!A:H,8,FALSE))</f>
        <v>284</v>
      </c>
      <c r="P170" s="46">
        <f t="shared" ca="1" si="10"/>
        <v>2.1739130434832504E-5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input_491107!A$2</f>
        <v>491107</v>
      </c>
      <c r="B171" s="6">
        <v>405</v>
      </c>
      <c r="C171" s="7" t="str">
        <f t="shared" si="8"/>
        <v>Premium3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IFERROR(VLOOKUP(B171,input_491107!L:R,7,FALSE),VLOOKUP(tables_491107!C171,input_491107!A:H,8,FALSE))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input_491107!A$2</f>
        <v>491107</v>
      </c>
      <c r="B172" s="6">
        <v>406</v>
      </c>
      <c r="C172" s="7" t="str">
        <f t="shared" si="8"/>
        <v>Premium4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IFERROR(VLOOKUP(B172,input_491107!L:R,7,FALSE),VLOOKUP(tables_491107!C172,input_491107!A:H,8,FALSE))</f>
        <v>54906.449229999998</v>
      </c>
      <c r="P172" s="46">
        <f t="shared" ca="1" si="10"/>
        <v>4.2028819067763332E-3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input_491107!A$2</f>
        <v>491107</v>
      </c>
      <c r="B173" s="6">
        <v>407</v>
      </c>
      <c r="C173" s="7" t="str">
        <f t="shared" si="8"/>
        <v>Premium5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IFERROR(VLOOKUP(B173,input_491107!L:R,7,FALSE),VLOOKUP(tables_491107!C173,input_491107!A:H,8,FALSE))</f>
        <v>68.976410000000001</v>
      </c>
      <c r="P173" s="46">
        <f t="shared" ca="1" si="10"/>
        <v>5.2798844151988918E-6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input_491107!A$2</f>
        <v>491107</v>
      </c>
      <c r="B174" s="6">
        <v>408</v>
      </c>
      <c r="C174" s="7" t="str">
        <f t="shared" si="8"/>
        <v>PremiumSS4color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IFERROR(VLOOKUP(B174,input_491107!L:R,7,FALSE),VLOOKUP(tables_491107!C174,input_491107!A:H,8,FALSE))</f>
        <v>21901.411759999999</v>
      </c>
      <c r="P174" s="46">
        <f t="shared" ca="1" si="10"/>
        <v>1.6764705878789244E-3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input_491107!A$2</f>
        <v>491107</v>
      </c>
      <c r="B175" s="6">
        <v>409</v>
      </c>
      <c r="C175" s="7" t="str">
        <f t="shared" si="8"/>
        <v>PremiumSS5color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IFERROR(VLOOKUP(B175,input_491107!L:R,7,FALSE),VLOOKUP(tables_491107!C175,input_491107!A:H,8,FALSE))</f>
        <v>1152.70588</v>
      </c>
      <c r="P175" s="46">
        <f t="shared" ca="1" si="10"/>
        <v>8.823529393774079E-5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input_491107!A$2</f>
        <v>491107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IFERROR(VLOOKUP(B176,input_491107!L:R,7,FALSE),VLOOKUP(tables_491107!C176,input_491107!A:H,8,FALSE))</f>
        <v>11616.952380000001</v>
      </c>
      <c r="P176" s="46">
        <f t="shared" ca="1" si="10"/>
        <v>8.8923395438048557E-4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input_491107!A$2</f>
        <v>491107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IFERROR(VLOOKUP(B177,input_491107!L:R,7,FALSE),VLOOKUP(tables_491107!C177,input_491107!A:H,8,FALSE))</f>
        <v>284</v>
      </c>
      <c r="P177" s="46">
        <f t="shared" ca="1" si="10"/>
        <v>2.1739130434832504E-5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input_491107!A$2</f>
        <v>491107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IFERROR(VLOOKUP(B178,input_491107!L:R,7,FALSE),VLOOKUP(tables_491107!C178,input_491107!A:H,8,FALSE))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input_491107!A$2</f>
        <v>491107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IFERROR(VLOOKUP(B179,input_491107!L:R,7,FALSE),VLOOKUP(tables_491107!C179,input_491107!A:H,8,FALSE))</f>
        <v>54906.449229999998</v>
      </c>
      <c r="P179" s="46">
        <f t="shared" ca="1" si="10"/>
        <v>4.2028819067763332E-3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input_491107!A$2</f>
        <v>491107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IFERROR(VLOOKUP(B180,input_491107!L:R,7,FALSE),VLOOKUP(tables_491107!C180,input_491107!A:H,8,FALSE))</f>
        <v>68.976410000000001</v>
      </c>
      <c r="P180" s="46">
        <f t="shared" ca="1" si="10"/>
        <v>5.2798844151988918E-6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input_491107!A$2</f>
        <v>491107</v>
      </c>
      <c r="B181" s="6">
        <v>439</v>
      </c>
      <c r="C181" s="7" t="str">
        <f t="shared" si="8"/>
        <v>Premium3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IFERROR(VLOOKUP(B181,input_491107!L:R,7,FALSE),VLOOKUP(tables_491107!C181,input_491107!A:H,8,FALSE))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input_491107!A$2</f>
        <v>491107</v>
      </c>
      <c r="B182" s="6">
        <v>440</v>
      </c>
      <c r="C182" s="7" t="str">
        <f t="shared" si="8"/>
        <v>Premium4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IFERROR(VLOOKUP(B182,input_491107!L:R,7,FALSE),VLOOKUP(tables_491107!C182,input_491107!A:H,8,FALSE))</f>
        <v>54906.449229999998</v>
      </c>
      <c r="P182" s="46">
        <f t="shared" ca="1" si="10"/>
        <v>4.2028819067763332E-3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input_491107!A$2</f>
        <v>491107</v>
      </c>
      <c r="B183" s="6">
        <v>441</v>
      </c>
      <c r="C183" s="7" t="str">
        <f t="shared" si="8"/>
        <v>Premium5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IFERROR(VLOOKUP(B183,input_491107!L:R,7,FALSE),VLOOKUP(tables_491107!C183,input_491107!A:H,8,FALSE))</f>
        <v>68.976410000000001</v>
      </c>
      <c r="P183" s="46">
        <f t="shared" ca="1" si="10"/>
        <v>5.2798844151988918E-6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input_491107!A$2</f>
        <v>491107</v>
      </c>
      <c r="B184" s="6">
        <v>442</v>
      </c>
      <c r="C184" s="7" t="str">
        <f t="shared" si="8"/>
        <v>PremiumSS4color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IFERROR(VLOOKUP(B184,input_491107!L:R,7,FALSE),VLOOKUP(tables_491107!C184,input_491107!A:H,8,FALSE))</f>
        <v>21901.411759999999</v>
      </c>
      <c r="P184" s="46">
        <f t="shared" ca="1" si="10"/>
        <v>1.6764705878789244E-3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input_491107!A$2</f>
        <v>491107</v>
      </c>
      <c r="B185" s="8">
        <v>443</v>
      </c>
      <c r="C185" s="7" t="str">
        <f t="shared" si="8"/>
        <v>PremiumSS5color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IFERROR(VLOOKUP(B185,input_491107!L:R,7,FALSE),VLOOKUP(tables_491107!C185,input_491107!A:H,8,FALSE))</f>
        <v>1152.70588</v>
      </c>
      <c r="P185" s="46">
        <f t="shared" ca="1" si="10"/>
        <v>8.823529393774079E-5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input_491107!A$2</f>
        <v>491107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IFERROR(VLOOKUP(B186,input_491107!L:R,7,FALSE),VLOOKUP(tables_491107!C186,input_491107!A:H,8,FALSE))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input_491107!A$2</f>
        <v>491107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IFERROR(VLOOKUP(B187,input_491107!L:R,7,FALSE),VLOOKUP(tables_491107!C187,input_491107!A:H,8,FALSE))</f>
        <v>54906.449229999998</v>
      </c>
      <c r="P187" s="46">
        <f t="shared" ca="1" si="10"/>
        <v>4.2028819067763332E-3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input_491107!A$2</f>
        <v>491107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IFERROR(VLOOKUP(B188,input_491107!L:R,7,FALSE),VLOOKUP(tables_491107!C188,input_491107!A:H,8,FALSE))</f>
        <v>68.976410000000001</v>
      </c>
      <c r="P188" s="46">
        <f t="shared" ca="1" si="10"/>
        <v>5.2798844151988918E-6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input_491107!A$2</f>
        <v>491107</v>
      </c>
      <c r="B189" s="6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IFERROR(VLOOKUP(B189,input_491107!L:R,7,FALSE),VLOOKUP(tables_491107!C189,input_491107!A:H,8,FALSE))</f>
        <v>11616.952380000001</v>
      </c>
      <c r="P189" s="46">
        <f t="shared" ca="1" si="10"/>
        <v>8.8923395438048557E-4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input_491107!A$2</f>
        <v>491107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IFERROR(VLOOKUP(B190,input_491107!L:R,7,FALSE),VLOOKUP(tables_491107!C190,input_491107!A:H,8,FALSE))</f>
        <v>284</v>
      </c>
      <c r="P190" s="46">
        <f t="shared" ca="1" si="10"/>
        <v>2.1739130434832504E-5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input_491107!A$2</f>
        <v>491107</v>
      </c>
      <c r="B191" s="6">
        <v>467</v>
      </c>
      <c r="C191" s="7" t="str">
        <f t="shared" si="8"/>
        <v>PremiumSS4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IFERROR(VLOOKUP(B191,input_491107!L:R,7,FALSE),VLOOKUP(tables_491107!C191,input_491107!A:H,8,FALSE))</f>
        <v>11616.952380000001</v>
      </c>
      <c r="P191" s="46">
        <f t="shared" ca="1" si="10"/>
        <v>8.8923395438048557E-4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input_491107!A$2</f>
        <v>491107</v>
      </c>
      <c r="B192" s="6">
        <v>468</v>
      </c>
      <c r="C192" s="7" t="str">
        <f t="shared" si="8"/>
        <v>PremiumSS5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IFERROR(VLOOKUP(B192,input_491107!L:R,7,FALSE),VLOOKUP(tables_491107!C192,input_491107!A:H,8,FALSE))</f>
        <v>284</v>
      </c>
      <c r="P192" s="46">
        <f t="shared" ca="1" si="10"/>
        <v>2.1739130434832504E-5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input_491107!A$2</f>
        <v>491107</v>
      </c>
      <c r="B193" s="6">
        <v>469</v>
      </c>
      <c r="C193" s="7" t="str">
        <f t="shared" si="8"/>
        <v>Premium3color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IFERROR(VLOOKUP(B193,input_491107!L:R,7,FALSE),VLOOKUP(tables_491107!C193,input_491107!A:H,8,FALSE))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input_491107!A$2</f>
        <v>491107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IF(K194="yellow","color","")</f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IFERROR(VLOOKUP(B194,input_491107!L:R,7,FALSE),VLOOKUP(tables_491107!C194,input_491107!A:H,8,FALSE))</f>
        <v>344955.76178</v>
      </c>
      <c r="P194" s="46">
        <f t="shared" ref="P194:P257" ca="1" si="14">O194/SUM(O:O)</f>
        <v>2.6405064435149398E-2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input_491107!A$2</f>
        <v>491107</v>
      </c>
      <c r="B195" s="6">
        <v>471</v>
      </c>
      <c r="C195" s="7" t="str">
        <f t="shared" si="12"/>
        <v>Premium5color</v>
      </c>
      <c r="D195" s="7" t="str">
        <f t="shared" ref="D195:D258" si="15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IFERROR(VLOOKUP(B195,input_491107!L:R,7,FALSE),VLOOKUP(tables_491107!C195,input_491107!A:H,8,FALSE))</f>
        <v>2117.2620000000002</v>
      </c>
      <c r="P195" s="46">
        <f t="shared" ca="1" si="14"/>
        <v>1.6206843233350121E-4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input_491107!A$2</f>
        <v>491107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IFERROR(VLOOKUP(B196,input_491107!L:R,7,FALSE),VLOOKUP(tables_491107!C196,input_491107!A:H,8,FALSE))</f>
        <v>11616.952380000001</v>
      </c>
      <c r="P196" s="46">
        <f t="shared" ca="1" si="14"/>
        <v>8.8923395438048557E-4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input_491107!A$2</f>
        <v>491107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IFERROR(VLOOKUP(B197,input_491107!L:R,7,FALSE),VLOOKUP(tables_491107!C197,input_491107!A:H,8,FALSE))</f>
        <v>284</v>
      </c>
      <c r="P197" s="46">
        <f t="shared" ca="1" si="14"/>
        <v>2.1739130434832504E-5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input_491107!A$2</f>
        <v>491107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IFERROR(VLOOKUP(B198,input_491107!L:R,7,FALSE),VLOOKUP(tables_491107!C198,input_491107!A:H,8,FALSE))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input_491107!A$2</f>
        <v>491107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IFERROR(VLOOKUP(B199,input_491107!L:R,7,FALSE),VLOOKUP(tables_491107!C199,input_491107!A:H,8,FALSE))</f>
        <v>54906.449229999998</v>
      </c>
      <c r="P199" s="46">
        <f t="shared" ca="1" si="14"/>
        <v>4.2028819067763332E-3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input_491107!A$2</f>
        <v>491107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IFERROR(VLOOKUP(B200,input_491107!L:R,7,FALSE),VLOOKUP(tables_491107!C200,input_491107!A:H,8,FALSE))</f>
        <v>68.976410000000001</v>
      </c>
      <c r="P200" s="46">
        <f t="shared" ca="1" si="14"/>
        <v>5.2798844151988918E-6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input_491107!A$2</f>
        <v>491107</v>
      </c>
      <c r="B201" s="6">
        <v>479</v>
      </c>
      <c r="C201" s="7" t="str">
        <f t="shared" si="12"/>
        <v>PremiumSS4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IFERROR(VLOOKUP(B201,input_491107!L:R,7,FALSE),VLOOKUP(tables_491107!C201,input_491107!A:H,8,FALSE))</f>
        <v>11616.952380000001</v>
      </c>
      <c r="P201" s="46">
        <f t="shared" ca="1" si="14"/>
        <v>8.8923395438048557E-4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input_491107!A$2</f>
        <v>491107</v>
      </c>
      <c r="B202" s="6">
        <v>480</v>
      </c>
      <c r="C202" s="7" t="str">
        <f t="shared" si="12"/>
        <v>PremiumSS5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IFERROR(VLOOKUP(B202,input_491107!L:R,7,FALSE),VLOOKUP(tables_491107!C202,input_491107!A:H,8,FALSE))</f>
        <v>284</v>
      </c>
      <c r="P202" s="46">
        <f t="shared" ca="1" si="14"/>
        <v>2.1739130434832504E-5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input_491107!A$2</f>
        <v>491107</v>
      </c>
      <c r="B203" s="6">
        <v>481</v>
      </c>
      <c r="C203" s="7" t="str">
        <f t="shared" si="12"/>
        <v>Premium3color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IFERROR(VLOOKUP(B203,input_491107!L:R,7,FALSE),VLOOKUP(tables_491107!C203,input_491107!A:H,8,FALSE))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input_491107!A$2</f>
        <v>491107</v>
      </c>
      <c r="B204" s="6">
        <v>482</v>
      </c>
      <c r="C204" s="7" t="str">
        <f t="shared" si="12"/>
        <v>Premium4color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IFERROR(VLOOKUP(B204,input_491107!L:R,7,FALSE),VLOOKUP(tables_491107!C204,input_491107!A:H,8,FALSE))</f>
        <v>344955.76178</v>
      </c>
      <c r="P204" s="46">
        <f t="shared" ca="1" si="14"/>
        <v>2.6405064435149398E-2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input_491107!A$2</f>
        <v>491107</v>
      </c>
      <c r="B205" s="6">
        <v>483</v>
      </c>
      <c r="C205" s="7" t="str">
        <f t="shared" si="12"/>
        <v>Premium5color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IFERROR(VLOOKUP(B205,input_491107!L:R,7,FALSE),VLOOKUP(tables_491107!C205,input_491107!A:H,8,FALSE))</f>
        <v>2117.2620000000002</v>
      </c>
      <c r="P205" s="46">
        <f t="shared" ca="1" si="14"/>
        <v>1.6206843233350121E-4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input_491107!A$2</f>
        <v>491107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IFERROR(VLOOKUP(B206,input_491107!L:R,7,FALSE),VLOOKUP(tables_491107!C206,input_491107!A:H,8,FALSE))</f>
        <v>11616.952380000001</v>
      </c>
      <c r="P206" s="46">
        <f t="shared" ca="1" si="14"/>
        <v>8.8923395438048557E-4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input_491107!A$2</f>
        <v>491107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IFERROR(VLOOKUP(B207,input_491107!L:R,7,FALSE),VLOOKUP(tables_491107!C207,input_491107!A:H,8,FALSE))</f>
        <v>284</v>
      </c>
      <c r="P207" s="46">
        <f t="shared" ca="1" si="14"/>
        <v>2.1739130434832504E-5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input_491107!A$2</f>
        <v>491107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IFERROR(VLOOKUP(B208,input_491107!L:R,7,FALSE),VLOOKUP(tables_491107!C208,input_491107!A:H,8,FALSE))</f>
        <v>11616.952380000001</v>
      </c>
      <c r="P208" s="46">
        <f t="shared" ca="1" si="14"/>
        <v>8.8923395438048557E-4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input_491107!A$2</f>
        <v>491107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IFERROR(VLOOKUP(B209,input_491107!L:R,7,FALSE),VLOOKUP(tables_491107!C209,input_491107!A:H,8,FALSE))</f>
        <v>284</v>
      </c>
      <c r="P209" s="46">
        <f t="shared" ca="1" si="14"/>
        <v>2.1739130434832504E-5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input_491107!A$2</f>
        <v>491107</v>
      </c>
      <c r="B210" s="6">
        <v>496</v>
      </c>
      <c r="C210" s="7" t="str">
        <f t="shared" si="12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IFERROR(VLOOKUP(B210,input_491107!L:R,7,FALSE),VLOOKUP(tables_491107!C210,input_491107!A:H,8,FALSE))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input_491107!A$2</f>
        <v>491107</v>
      </c>
      <c r="B211" s="6">
        <v>497</v>
      </c>
      <c r="C211" s="7" t="str">
        <f t="shared" si="12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IFERROR(VLOOKUP(B211,input_491107!L:R,7,FALSE),VLOOKUP(tables_491107!C211,input_491107!A:H,8,FALSE))</f>
        <v>54906.449229999998</v>
      </c>
      <c r="P211" s="46">
        <f t="shared" ca="1" si="14"/>
        <v>4.2028819067763332E-3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input_491107!A$2</f>
        <v>491107</v>
      </c>
      <c r="B212" s="6">
        <v>498</v>
      </c>
      <c r="C212" s="7" t="str">
        <f t="shared" si="12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IFERROR(VLOOKUP(B212,input_491107!L:R,7,FALSE),VLOOKUP(tables_491107!C212,input_491107!A:H,8,FALSE))</f>
        <v>68.976410000000001</v>
      </c>
      <c r="P212" s="46">
        <f t="shared" ca="1" si="14"/>
        <v>5.2798844151988918E-6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input_491107!A$2</f>
        <v>491107</v>
      </c>
      <c r="B213" s="6">
        <v>499</v>
      </c>
      <c r="C213" s="7" t="str">
        <f t="shared" si="12"/>
        <v>PremiumSS4color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IFERROR(VLOOKUP(B213,input_491107!L:R,7,FALSE),VLOOKUP(tables_491107!C213,input_491107!A:H,8,FALSE))</f>
        <v>21901.411759999999</v>
      </c>
      <c r="P213" s="46">
        <f t="shared" ca="1" si="14"/>
        <v>1.6764705878789244E-3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input_491107!A$2</f>
        <v>491107</v>
      </c>
      <c r="B214" s="6">
        <v>500</v>
      </c>
      <c r="C214" s="7" t="str">
        <f t="shared" si="12"/>
        <v>PremiumSS5color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IFERROR(VLOOKUP(B214,input_491107!L:R,7,FALSE),VLOOKUP(tables_491107!C214,input_491107!A:H,8,FALSE))</f>
        <v>1152.70588</v>
      </c>
      <c r="P214" s="46">
        <f t="shared" ca="1" si="14"/>
        <v>8.823529393774079E-5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input_491107!A$2</f>
        <v>491107</v>
      </c>
      <c r="B215" s="6">
        <v>560</v>
      </c>
      <c r="C215" s="7" t="str">
        <f t="shared" si="12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IFERROR(VLOOKUP(B215,input_491107!L:R,7,FALSE),VLOOKUP(tables_491107!C215,input_491107!A:H,8,FALSE))</f>
        <v>3418.72</v>
      </c>
      <c r="P215" s="46">
        <f t="shared" ca="1" si="14"/>
        <v>2.6169014084567103E-4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input_491107!A$2</f>
        <v>491107</v>
      </c>
      <c r="B216" s="6">
        <v>561</v>
      </c>
      <c r="C216" s="7" t="str">
        <f t="shared" si="12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IFERROR(VLOOKUP(B216,input_491107!L:R,7,FALSE),VLOOKUP(tables_491107!C216,input_491107!A:H,8,FALSE))</f>
        <v>3418.72</v>
      </c>
      <c r="P216" s="46">
        <f t="shared" ca="1" si="14"/>
        <v>2.6169014084567103E-4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input_491107!A$2</f>
        <v>491107</v>
      </c>
      <c r="B217" s="6">
        <v>562</v>
      </c>
      <c r="C217" s="7" t="str">
        <f t="shared" si="12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IFERROR(VLOOKUP(B217,input_491107!L:R,7,FALSE),VLOOKUP(tables_491107!C217,input_491107!A:H,8,FALSE))</f>
        <v>3418.72</v>
      </c>
      <c r="P217" s="46">
        <f t="shared" ca="1" si="14"/>
        <v>2.6169014084567103E-4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input_491107!A$2</f>
        <v>491107</v>
      </c>
      <c r="B218" s="6">
        <v>563</v>
      </c>
      <c r="C218" s="7" t="str">
        <f t="shared" si="12"/>
        <v>premium5R3lesscolor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3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IFERROR(VLOOKUP(B218,input_491107!L:R,7,FALSE),VLOOKUP(tables_491107!C218,input_491107!A:H,8,FALSE))</f>
        <v>872.91273000000001</v>
      </c>
      <c r="P218" s="46">
        <f t="shared" ca="1" si="14"/>
        <v>6.6818182027097642E-5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input_491107!A$2</f>
        <v>491107</v>
      </c>
      <c r="B219" s="6">
        <v>566</v>
      </c>
      <c r="C219" s="7" t="str">
        <f t="shared" si="12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IFERROR(VLOOKUP(B219,input_491107!L:R,7,FALSE),VLOOKUP(tables_491107!C219,input_491107!A:H,8,FALSE))</f>
        <v>3418.72</v>
      </c>
      <c r="P219" s="46">
        <f t="shared" ca="1" si="14"/>
        <v>2.6169014084567103E-4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input_491107!A$2</f>
        <v>491107</v>
      </c>
      <c r="B220" s="6">
        <v>567</v>
      </c>
      <c r="C220" s="7" t="str">
        <f t="shared" si="12"/>
        <v>premium5R3lesscolor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IFERROR(VLOOKUP(B220,input_491107!L:R,7,FALSE),VLOOKUP(tables_491107!C220,input_491107!A:H,8,FALSE))</f>
        <v>872.91273000000001</v>
      </c>
      <c r="P220" s="46">
        <f t="shared" ca="1" si="14"/>
        <v>6.6818182027097642E-5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input_491107!A$2</f>
        <v>491107</v>
      </c>
      <c r="B221" s="6">
        <v>586</v>
      </c>
      <c r="C221" s="7" t="str">
        <f t="shared" si="12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IFERROR(VLOOKUP(B221,input_491107!L:R,7,FALSE),VLOOKUP(tables_491107!C221,input_491107!A:H,8,FALSE))</f>
        <v>11616.952380000001</v>
      </c>
      <c r="P221" s="46">
        <f t="shared" ca="1" si="14"/>
        <v>8.8923395438048557E-4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input_491107!A$2</f>
        <v>491107</v>
      </c>
      <c r="B222" s="6">
        <v>587</v>
      </c>
      <c r="C222" s="7" t="str">
        <f t="shared" si="12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IFERROR(VLOOKUP(B222,input_491107!L:R,7,FALSE),VLOOKUP(tables_491107!C222,input_491107!A:H,8,FALSE))</f>
        <v>284</v>
      </c>
      <c r="P222" s="46">
        <f t="shared" ca="1" si="14"/>
        <v>2.1739130434832504E-5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input_491107!A$2</f>
        <v>491107</v>
      </c>
      <c r="B223" s="6">
        <v>588</v>
      </c>
      <c r="C223" s="7" t="str">
        <f t="shared" si="12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IFERROR(VLOOKUP(B223,input_491107!L:R,7,FALSE),VLOOKUP(tables_491107!C223,input_491107!A:H,8,FALSE))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input_491107!A$2</f>
        <v>491107</v>
      </c>
      <c r="B224" s="6">
        <v>589</v>
      </c>
      <c r="C224" s="7" t="str">
        <f t="shared" si="12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IFERROR(VLOOKUP(B224,input_491107!L:R,7,FALSE),VLOOKUP(tables_491107!C224,input_491107!A:H,8,FALSE))</f>
        <v>54906.449229999998</v>
      </c>
      <c r="P224" s="46">
        <f t="shared" ca="1" si="14"/>
        <v>4.2028819067763332E-3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input_491107!A$2</f>
        <v>491107</v>
      </c>
      <c r="B225" s="6">
        <v>590</v>
      </c>
      <c r="C225" s="7" t="str">
        <f t="shared" si="12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IFERROR(VLOOKUP(B225,input_491107!L:R,7,FALSE),VLOOKUP(tables_491107!C225,input_491107!A:H,8,FALSE))</f>
        <v>68.976410000000001</v>
      </c>
      <c r="P225" s="46">
        <f t="shared" ca="1" si="14"/>
        <v>5.2798844151988918E-6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input_491107!A$2</f>
        <v>491107</v>
      </c>
      <c r="B226" s="6">
        <v>591</v>
      </c>
      <c r="C226" s="7" t="str">
        <f t="shared" si="12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IFERROR(VLOOKUP(B226,input_491107!L:R,7,FALSE),VLOOKUP(tables_491107!C226,input_491107!A:H,8,FALSE))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input_491107!A$2</f>
        <v>491107</v>
      </c>
      <c r="B227" s="6">
        <v>592</v>
      </c>
      <c r="C227" s="7" t="str">
        <f t="shared" si="12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IFERROR(VLOOKUP(B227,input_491107!L:R,7,FALSE),VLOOKUP(tables_491107!C227,input_491107!A:H,8,FALSE))</f>
        <v>54906.449229999998</v>
      </c>
      <c r="P227" s="46">
        <f t="shared" ca="1" si="14"/>
        <v>4.2028819067763332E-3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input_491107!A$2</f>
        <v>491107</v>
      </c>
      <c r="B228" s="6">
        <v>593</v>
      </c>
      <c r="C228" s="7" t="str">
        <f t="shared" si="12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IFERROR(VLOOKUP(B228,input_491107!L:R,7,FALSE),VLOOKUP(tables_491107!C228,input_491107!A:H,8,FALSE))</f>
        <v>68.976410000000001</v>
      </c>
      <c r="P228" s="46">
        <f t="shared" ca="1" si="14"/>
        <v>5.2798844151988918E-6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input_491107!A$2</f>
        <v>491107</v>
      </c>
      <c r="B229" s="6">
        <v>594</v>
      </c>
      <c r="C229" s="7" t="str">
        <f t="shared" si="12"/>
        <v>PremiumSS4color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IFERROR(VLOOKUP(B229,input_491107!L:R,7,FALSE),VLOOKUP(tables_491107!C229,input_491107!A:H,8,FALSE))</f>
        <v>21901.411759999999</v>
      </c>
      <c r="P229" s="46">
        <f t="shared" ca="1" si="14"/>
        <v>1.6764705878789244E-3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input_491107!A$2</f>
        <v>491107</v>
      </c>
      <c r="B230" s="6">
        <v>595</v>
      </c>
      <c r="C230" s="7" t="str">
        <f t="shared" si="12"/>
        <v>PremiumSS5color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IFERROR(VLOOKUP(B230,input_491107!L:R,7,FALSE),VLOOKUP(tables_491107!C230,input_491107!A:H,8,FALSE))</f>
        <v>1152.70588</v>
      </c>
      <c r="P230" s="46">
        <f t="shared" ca="1" si="14"/>
        <v>8.823529393774079E-5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input_491107!A$2</f>
        <v>491107</v>
      </c>
      <c r="B231" s="6">
        <v>596</v>
      </c>
      <c r="C231" s="7" t="str">
        <f t="shared" si="12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IFERROR(VLOOKUP(B231,input_491107!L:R,7,FALSE),VLOOKUP(tables_491107!C231,input_491107!A:H,8,FALSE))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input_491107!A$2</f>
        <v>491107</v>
      </c>
      <c r="B232" s="6">
        <v>597</v>
      </c>
      <c r="C232" s="7" t="str">
        <f t="shared" si="12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IFERROR(VLOOKUP(B232,input_491107!L:R,7,FALSE),VLOOKUP(tables_491107!C232,input_491107!A:H,8,FALSE))</f>
        <v>54906.449229999998</v>
      </c>
      <c r="P232" s="46">
        <f t="shared" ca="1" si="14"/>
        <v>4.2028819067763332E-3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input_491107!A$2</f>
        <v>491107</v>
      </c>
      <c r="B233" s="6">
        <v>598</v>
      </c>
      <c r="C233" s="7" t="str">
        <f t="shared" si="12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IFERROR(VLOOKUP(B233,input_491107!L:R,7,FALSE),VLOOKUP(tables_491107!C233,input_491107!A:H,8,FALSE))</f>
        <v>68.976410000000001</v>
      </c>
      <c r="P233" s="46">
        <f t="shared" ca="1" si="14"/>
        <v>5.2798844151988918E-6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input_491107!A$2</f>
        <v>491107</v>
      </c>
      <c r="B234" s="6">
        <v>599</v>
      </c>
      <c r="C234" s="7" t="str">
        <f t="shared" si="12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IFERROR(VLOOKUP(B234,input_491107!L:R,7,FALSE),VLOOKUP(tables_491107!C234,input_491107!A:H,8,FALSE))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input_491107!A$2</f>
        <v>491107</v>
      </c>
      <c r="B235" s="6">
        <v>600</v>
      </c>
      <c r="C235" s="7" t="str">
        <f t="shared" si="12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IFERROR(VLOOKUP(B235,input_491107!L:R,7,FALSE),VLOOKUP(tables_491107!C235,input_491107!A:H,8,FALSE))</f>
        <v>54906.449229999998</v>
      </c>
      <c r="P235" s="46">
        <f t="shared" ca="1" si="14"/>
        <v>4.2028819067763332E-3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input_491107!A$2</f>
        <v>491107</v>
      </c>
      <c r="B236" s="6">
        <v>601</v>
      </c>
      <c r="C236" s="7" t="str">
        <f t="shared" si="12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IFERROR(VLOOKUP(B236,input_491107!L:R,7,FALSE),VLOOKUP(tables_491107!C236,input_491107!A:H,8,FALSE))</f>
        <v>68.976410000000001</v>
      </c>
      <c r="P236" s="46">
        <f t="shared" ca="1" si="14"/>
        <v>5.2798844151988918E-6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input_491107!A$2</f>
        <v>491107</v>
      </c>
      <c r="B237" s="6">
        <v>602</v>
      </c>
      <c r="C237" s="7" t="str">
        <f t="shared" si="12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IFERROR(VLOOKUP(B237,input_491107!L:R,7,FALSE),VLOOKUP(tables_491107!C237,input_491107!A:H,8,FALSE))</f>
        <v>11616.952380000001</v>
      </c>
      <c r="P237" s="46">
        <f t="shared" ca="1" si="14"/>
        <v>8.8923395438048557E-4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input_491107!A$2</f>
        <v>491107</v>
      </c>
      <c r="B238" s="6">
        <v>603</v>
      </c>
      <c r="C238" s="7" t="str">
        <f t="shared" si="12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IFERROR(VLOOKUP(B238,input_491107!L:R,7,FALSE),VLOOKUP(tables_491107!C238,input_491107!A:H,8,FALSE))</f>
        <v>284</v>
      </c>
      <c r="P238" s="46">
        <f t="shared" ca="1" si="14"/>
        <v>2.1739130434832504E-5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input_491107!A$2</f>
        <v>491107</v>
      </c>
      <c r="B239" s="6">
        <v>604</v>
      </c>
      <c r="C239" s="7" t="str">
        <f t="shared" si="12"/>
        <v>Premium3color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IFERROR(VLOOKUP(B239,input_491107!L:R,7,FALSE),VLOOKUP(tables_491107!C239,input_491107!A:H,8,FALSE))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input_491107!A$2</f>
        <v>491107</v>
      </c>
      <c r="B240" s="6">
        <v>605</v>
      </c>
      <c r="C240" s="7" t="str">
        <f t="shared" si="12"/>
        <v>Premium4color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IFERROR(VLOOKUP(B240,input_491107!L:R,7,FALSE),VLOOKUP(tables_491107!C240,input_491107!A:H,8,FALSE))</f>
        <v>344955.76178</v>
      </c>
      <c r="P240" s="46">
        <f t="shared" ca="1" si="14"/>
        <v>2.6405064435149398E-2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input_491107!A$2</f>
        <v>491107</v>
      </c>
      <c r="B241" s="6">
        <v>606</v>
      </c>
      <c r="C241" s="7" t="str">
        <f t="shared" si="12"/>
        <v>Premium5color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IFERROR(VLOOKUP(B241,input_491107!L:R,7,FALSE),VLOOKUP(tables_491107!C241,input_491107!A:H,8,FALSE))</f>
        <v>2117.2620000000002</v>
      </c>
      <c r="P241" s="46">
        <f t="shared" ca="1" si="14"/>
        <v>1.6206843233350121E-4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input_491107!A$2</f>
        <v>491107</v>
      </c>
      <c r="B242" s="6">
        <v>658</v>
      </c>
      <c r="C242" s="7" t="str">
        <f t="shared" si="12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IFERROR(VLOOKUP(B242,input_491107!L:R,7,FALSE),VLOOKUP(tables_491107!C242,input_491107!A:H,8,FALSE))</f>
        <v>11616.952380000001</v>
      </c>
      <c r="P242" s="46">
        <f t="shared" ca="1" si="14"/>
        <v>8.8923395438048557E-4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input_491107!A$2</f>
        <v>491107</v>
      </c>
      <c r="B243" s="6">
        <v>659</v>
      </c>
      <c r="C243" s="7" t="str">
        <f t="shared" si="12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IFERROR(VLOOKUP(B243,input_491107!L:R,7,FALSE),VLOOKUP(tables_491107!C243,input_491107!A:H,8,FALSE))</f>
        <v>284</v>
      </c>
      <c r="P243" s="46">
        <f t="shared" ca="1" si="14"/>
        <v>2.1739130434832504E-5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input_491107!A$2</f>
        <v>491107</v>
      </c>
      <c r="B244" s="6">
        <v>660</v>
      </c>
      <c r="C244" s="7" t="str">
        <f t="shared" si="12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IFERROR(VLOOKUP(B244,input_491107!L:R,7,FALSE),VLOOKUP(tables_491107!C244,input_491107!A:H,8,FALSE))</f>
        <v>11616.952380000001</v>
      </c>
      <c r="P244" s="46">
        <f t="shared" ca="1" si="14"/>
        <v>8.8923395438048557E-4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input_491107!A$2</f>
        <v>491107</v>
      </c>
      <c r="B245" s="60">
        <v>661</v>
      </c>
      <c r="C245" s="7" t="str">
        <f t="shared" si="12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IFERROR(VLOOKUP(B245,input_491107!L:R,7,FALSE),VLOOKUP(tables_491107!C245,input_491107!A:H,8,FALSE))</f>
        <v>284</v>
      </c>
      <c r="P245" s="46">
        <f t="shared" ca="1" si="14"/>
        <v>2.1739130434832504E-5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input_491107!A$2</f>
        <v>491107</v>
      </c>
      <c r="B246" s="60">
        <v>662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IFERROR(VLOOKUP(B246,input_491107!L:R,7,FALSE),VLOOKUP(tables_491107!C246,input_491107!A:H,8,FALSE))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input_491107!A$2</f>
        <v>491107</v>
      </c>
      <c r="B247" s="60">
        <v>663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IFERROR(VLOOKUP(B247,input_491107!L:R,7,FALSE),VLOOKUP(tables_491107!C247,input_491107!A:H,8,FALSE))</f>
        <v>54906.449229999998</v>
      </c>
      <c r="P247" s="46">
        <f t="shared" ca="1" si="14"/>
        <v>4.2028819067763332E-3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input_491107!A$2</f>
        <v>491107</v>
      </c>
      <c r="B248" s="60">
        <v>664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IFERROR(VLOOKUP(B248,input_491107!L:R,7,FALSE),VLOOKUP(tables_491107!C248,input_491107!A:H,8,FALSE))</f>
        <v>68.976410000000001</v>
      </c>
      <c r="P248" s="46">
        <f t="shared" ca="1" si="14"/>
        <v>5.2798844151988918E-6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input_491107!A$2</f>
        <v>491107</v>
      </c>
      <c r="B249" s="60">
        <v>665</v>
      </c>
      <c r="C249" s="7" t="str">
        <f t="shared" si="12"/>
        <v>Premium3color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IFERROR(VLOOKUP(B249,input_491107!L:R,7,FALSE),VLOOKUP(tables_491107!C249,input_491107!A:H,8,FALSE))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input_491107!A$2</f>
        <v>491107</v>
      </c>
      <c r="B250" s="60">
        <v>666</v>
      </c>
      <c r="C250" s="7" t="str">
        <f t="shared" si="12"/>
        <v>Premium4color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IFERROR(VLOOKUP(B250,input_491107!L:R,7,FALSE),VLOOKUP(tables_491107!C250,input_491107!A:H,8,FALSE))</f>
        <v>344955.76178</v>
      </c>
      <c r="P250" s="46">
        <f t="shared" ca="1" si="14"/>
        <v>2.6405064435149398E-2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input_491107!A$2</f>
        <v>491107</v>
      </c>
      <c r="B251" s="60">
        <v>667</v>
      </c>
      <c r="C251" s="7" t="str">
        <f t="shared" si="12"/>
        <v>Premium5color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IFERROR(VLOOKUP(B251,input_491107!L:R,7,FALSE),VLOOKUP(tables_491107!C251,input_491107!A:H,8,FALSE))</f>
        <v>2117.2620000000002</v>
      </c>
      <c r="P251" s="46">
        <f t="shared" ca="1" si="14"/>
        <v>1.6206843233350121E-4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input_491107!A$2</f>
        <v>491107</v>
      </c>
      <c r="B252" s="60">
        <v>668</v>
      </c>
      <c r="C252" s="7" t="str">
        <f t="shared" si="12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IFERROR(VLOOKUP(B252,input_491107!L:R,7,FALSE),VLOOKUP(tables_491107!C252,input_491107!A:H,8,FALSE))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input_491107!A$2</f>
        <v>491107</v>
      </c>
      <c r="B253" s="60">
        <v>669</v>
      </c>
      <c r="C253" s="7" t="str">
        <f t="shared" si="12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IFERROR(VLOOKUP(B253,input_491107!L:R,7,FALSE),VLOOKUP(tables_491107!C253,input_491107!A:H,8,FALSE))</f>
        <v>54906.449229999998</v>
      </c>
      <c r="P253" s="46">
        <f t="shared" ca="1" si="14"/>
        <v>4.2028819067763332E-3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input_491107!A$2</f>
        <v>491107</v>
      </c>
      <c r="B254" s="60">
        <v>670</v>
      </c>
      <c r="C254" s="7" t="str">
        <f t="shared" si="12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IFERROR(VLOOKUP(B254,input_491107!L:R,7,FALSE),VLOOKUP(tables_491107!C254,input_491107!A:H,8,FALSE))</f>
        <v>68.976410000000001</v>
      </c>
      <c r="P254" s="46">
        <f t="shared" ca="1" si="14"/>
        <v>5.2798844151988918E-6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input_491107!A$2</f>
        <v>491107</v>
      </c>
      <c r="B255" s="60">
        <v>671</v>
      </c>
      <c r="C255" s="7" t="str">
        <f t="shared" si="12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IFERROR(VLOOKUP(B255,input_491107!L:R,7,FALSE),VLOOKUP(tables_491107!C255,input_491107!A:H,8,FALSE))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input_491107!A$2</f>
        <v>491107</v>
      </c>
      <c r="B256" s="60">
        <v>672</v>
      </c>
      <c r="C256" s="7" t="str">
        <f t="shared" si="12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IFERROR(VLOOKUP(B256,input_491107!L:R,7,FALSE),VLOOKUP(tables_491107!C256,input_491107!A:H,8,FALSE))</f>
        <v>54906.449229999998</v>
      </c>
      <c r="P256" s="46">
        <f t="shared" ca="1" si="14"/>
        <v>4.2028819067763332E-3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input_491107!A$2</f>
        <v>491107</v>
      </c>
      <c r="B257" s="60">
        <v>673</v>
      </c>
      <c r="C257" s="7" t="str">
        <f t="shared" si="12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IFERROR(VLOOKUP(B257,input_491107!L:R,7,FALSE),VLOOKUP(tables_491107!C257,input_491107!A:H,8,FALSE))</f>
        <v>68.976410000000001</v>
      </c>
      <c r="P257" s="46">
        <f t="shared" ca="1" si="14"/>
        <v>5.2798844151988918E-6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input_491107!A$2</f>
        <v>491107</v>
      </c>
      <c r="B258" s="60">
        <v>674</v>
      </c>
      <c r="C258" s="7" t="str">
        <f t="shared" ref="C258:C321" si="16">D258&amp;J258&amp;E258&amp;F258&amp;G258</f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ref="G258:G321" si="17">IF(K258="yellow","color","")</f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IFERROR(VLOOKUP(B258,input_491107!L:R,7,FALSE),VLOOKUP(tables_491107!C258,input_491107!A:H,8,FALSE))</f>
        <v>11616.952380000001</v>
      </c>
      <c r="P258" s="46">
        <f t="shared" ref="P258:P321" ca="1" si="18">O258/SUM(O:O)</f>
        <v>8.8923395438048557E-4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input_491107!A$2</f>
        <v>491107</v>
      </c>
      <c r="B259" s="60">
        <v>675</v>
      </c>
      <c r="C259" s="7" t="str">
        <f t="shared" si="16"/>
        <v>PremiumSS5</v>
      </c>
      <c r="D259" s="7" t="str">
        <f t="shared" ref="D259:D322" si="1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IFERROR(VLOOKUP(B259,input_491107!L:R,7,FALSE),VLOOKUP(tables_491107!C259,input_491107!A:H,8,FALSE))</f>
        <v>284</v>
      </c>
      <c r="P259" s="46">
        <f t="shared" ca="1" si="18"/>
        <v>2.1739130434832504E-5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input_491107!A$2</f>
        <v>491107</v>
      </c>
      <c r="B260" s="60">
        <v>676</v>
      </c>
      <c r="C260" s="7" t="str">
        <f t="shared" si="16"/>
        <v>PremiumSS4color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IFERROR(VLOOKUP(B260,input_491107!L:R,7,FALSE),VLOOKUP(tables_491107!C260,input_491107!A:H,8,FALSE))</f>
        <v>21901.411759999999</v>
      </c>
      <c r="P260" s="46">
        <f t="shared" ca="1" si="18"/>
        <v>1.6764705878789244E-3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input_491107!A$2</f>
        <v>491107</v>
      </c>
      <c r="B261" s="60">
        <v>677</v>
      </c>
      <c r="C261" s="7" t="str">
        <f t="shared" si="16"/>
        <v>PremiumSS5color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7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IFERROR(VLOOKUP(B261,input_491107!L:R,7,FALSE),VLOOKUP(tables_491107!C261,input_491107!A:H,8,FALSE))</f>
        <v>1152.70588</v>
      </c>
      <c r="P261" s="46">
        <f t="shared" ca="1" si="18"/>
        <v>8.823529393774079E-5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input_491107!A$2</f>
        <v>491107</v>
      </c>
      <c r="B262" s="60">
        <v>728</v>
      </c>
      <c r="C262" s="7" t="str">
        <f t="shared" si="16"/>
        <v>Premium4R3less</v>
      </c>
      <c r="D262" s="7" t="str">
        <f t="shared" si="1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IFERROR(VLOOKUP(B262,input_491107!L:R,7,FALSE),VLOOKUP(tables_491107!C262,input_491107!A:H,8,FALSE))</f>
        <v>90480.16</v>
      </c>
      <c r="P262" s="46">
        <f t="shared" ca="1" si="18"/>
        <v>6.9259154929736432E-3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input_491107!A$2</f>
        <v>491107</v>
      </c>
      <c r="B263" s="60">
        <v>729</v>
      </c>
      <c r="C263" s="7" t="str">
        <f t="shared" si="16"/>
        <v>Premium5R3less</v>
      </c>
      <c r="D263" s="7" t="str">
        <f t="shared" si="1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IFERROR(VLOOKUP(B263,input_491107!L:R,7,FALSE),VLOOKUP(tables_491107!C263,input_491107!A:H,8,FALSE))</f>
        <v>3418.72</v>
      </c>
      <c r="P263" s="46">
        <f t="shared" ca="1" si="18"/>
        <v>2.6169014084567103E-4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input_491107!A$2</f>
        <v>491107</v>
      </c>
      <c r="B264" s="60">
        <v>730</v>
      </c>
      <c r="C264" s="7" t="str">
        <f t="shared" si="16"/>
        <v>Premium4R3less</v>
      </c>
      <c r="D264" s="7" t="str">
        <f t="shared" si="1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IFERROR(VLOOKUP(B264,input_491107!L:R,7,FALSE),VLOOKUP(tables_491107!C264,input_491107!A:H,8,FALSE))</f>
        <v>90480.16</v>
      </c>
      <c r="P264" s="46">
        <f t="shared" ca="1" si="18"/>
        <v>6.9259154929736432E-3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input_491107!A$2</f>
        <v>491107</v>
      </c>
      <c r="B265" s="60">
        <v>731</v>
      </c>
      <c r="C265" s="7" t="str">
        <f t="shared" si="16"/>
        <v>Premium5R3less</v>
      </c>
      <c r="D265" s="7" t="str">
        <f t="shared" si="1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IFERROR(VLOOKUP(B265,input_491107!L:R,7,FALSE),VLOOKUP(tables_491107!C265,input_491107!A:H,8,FALSE))</f>
        <v>3418.72</v>
      </c>
      <c r="P265" s="46">
        <f t="shared" ca="1" si="18"/>
        <v>2.6169014084567103E-4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input_491107!A$2</f>
        <v>491107</v>
      </c>
      <c r="B266" s="60">
        <v>732</v>
      </c>
      <c r="C266" s="7" t="str">
        <f t="shared" si="16"/>
        <v>PremiumSS5R5only</v>
      </c>
      <c r="D266" s="7" t="str">
        <f t="shared" si="1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7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IFERROR(VLOOKUP(B266,input_491107!L:R,7,FALSE),VLOOKUP(tables_491107!C266,input_491107!A:H,8,FALSE))</f>
        <v>5680</v>
      </c>
      <c r="P266" s="46">
        <f t="shared" ca="1" si="18"/>
        <v>4.3478260869665009E-4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input_491107!A$2</f>
        <v>491107</v>
      </c>
      <c r="B267" s="60">
        <v>734</v>
      </c>
      <c r="C267" s="7" t="str">
        <f t="shared" si="16"/>
        <v>PremiumSS5R5onlycolor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IFERROR(VLOOKUP(B267,input_491107!L:R,7,FALSE),VLOOKUP(tables_491107!C267,input_491107!A:H,8,FALSE))</f>
        <v>9990.1176500000001</v>
      </c>
      <c r="P267" s="46">
        <f t="shared" ca="1" si="18"/>
        <v>7.6470588257983231E-4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input_491107!A$2</f>
        <v>491107</v>
      </c>
      <c r="B268" s="60">
        <v>742</v>
      </c>
      <c r="C268" s="7" t="str">
        <f t="shared" si="16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7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IFERROR(VLOOKUP(B268,input_491107!L:R,7,FALSE),VLOOKUP(tables_491107!C268,input_491107!A:H,8,FALSE))</f>
        <v>5680</v>
      </c>
      <c r="P268" s="46">
        <f t="shared" ca="1" si="18"/>
        <v>4.3478260869665009E-4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input_491107!A$2</f>
        <v>491107</v>
      </c>
      <c r="B269" s="60">
        <v>744</v>
      </c>
      <c r="C269" s="7" t="str">
        <f t="shared" si="16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IFERROR(VLOOKUP(B269,input_491107!L:R,7,FALSE),VLOOKUP(tables_491107!C269,input_491107!A:H,8,FALSE))</f>
        <v>5680</v>
      </c>
      <c r="P269" s="46">
        <f t="shared" ca="1" si="18"/>
        <v>4.3478260869665009E-4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input_491107!A$2</f>
        <v>491107</v>
      </c>
      <c r="B270" s="60">
        <v>746</v>
      </c>
      <c r="C270" s="7" t="str">
        <f t="shared" si="16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IFERROR(VLOOKUP(B270,input_491107!L:R,7,FALSE),VLOOKUP(tables_491107!C270,input_491107!A:H,8,FALSE))</f>
        <v>90480.16</v>
      </c>
      <c r="P270" s="46">
        <f t="shared" ca="1" si="18"/>
        <v>6.9259154929736432E-3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input_491107!A$2</f>
        <v>491107</v>
      </c>
      <c r="B271" s="82">
        <v>747</v>
      </c>
      <c r="C271" s="7" t="str">
        <f t="shared" si="16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IFERROR(VLOOKUP(B271,input_491107!L:R,7,FALSE),VLOOKUP(tables_491107!C271,input_491107!A:H,8,FALSE))</f>
        <v>3418.72</v>
      </c>
      <c r="P271" s="46">
        <f t="shared" ca="1" si="18"/>
        <v>2.6169014084567103E-4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input_491107!A$2</f>
        <v>491107</v>
      </c>
      <c r="B272" s="82">
        <v>748</v>
      </c>
      <c r="C272" s="7" t="str">
        <f t="shared" si="16"/>
        <v>Premium4R3lesscolor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7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IFERROR(VLOOKUP(B272,input_491107!L:R,7,FALSE),VLOOKUP(tables_491107!C272,input_491107!A:H,8,FALSE))</f>
        <v>179738.86666999999</v>
      </c>
      <c r="P272" s="46">
        <f t="shared" ca="1" si="18"/>
        <v>1.3758333333620065E-2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input_491107!A$2</f>
        <v>491107</v>
      </c>
      <c r="B273" s="82">
        <v>749</v>
      </c>
      <c r="C273" s="7" t="str">
        <f t="shared" si="16"/>
        <v>Premium5R3lesscolor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7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IFERROR(VLOOKUP(B273,input_491107!L:R,7,FALSE),VLOOKUP(tables_491107!C273,input_491107!A:H,8,FALSE))</f>
        <v>872.91273000000001</v>
      </c>
      <c r="P273" s="46">
        <f t="shared" ca="1" si="18"/>
        <v>6.6818182027097642E-5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input_491107!A$2</f>
        <v>491107</v>
      </c>
      <c r="B274" s="82">
        <v>770</v>
      </c>
      <c r="C274" s="7" t="str">
        <f t="shared" si="16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7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IFERROR(VLOOKUP(B274,input_491107!L:R,7,FALSE),VLOOKUP(tables_491107!C274,input_491107!A:H,8,FALSE))</f>
        <v>11616.952380000001</v>
      </c>
      <c r="P274" s="46">
        <f t="shared" ca="1" si="18"/>
        <v>8.8923395438048557E-4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input_491107!A$2</f>
        <v>491107</v>
      </c>
      <c r="B275" s="82">
        <v>771</v>
      </c>
      <c r="C275" s="7" t="str">
        <f t="shared" si="16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7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IFERROR(VLOOKUP(B275,input_491107!L:R,7,FALSE),VLOOKUP(tables_491107!C275,input_491107!A:H,8,FALSE))</f>
        <v>284</v>
      </c>
      <c r="P275" s="46">
        <f t="shared" ca="1" si="18"/>
        <v>2.1739130434832504E-5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input_491107!A$2</f>
        <v>491107</v>
      </c>
      <c r="B276" s="82">
        <v>772</v>
      </c>
      <c r="C276" s="7" t="str">
        <f t="shared" si="16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IFERROR(VLOOKUP(B276,input_491107!L:R,7,FALSE),VLOOKUP(tables_491107!C276,input_491107!A:H,8,FALSE))</f>
        <v>11616.952380000001</v>
      </c>
      <c r="P276" s="46">
        <f t="shared" ca="1" si="18"/>
        <v>8.8923395438048557E-4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input_491107!A$2</f>
        <v>491107</v>
      </c>
      <c r="B277" s="82">
        <v>773</v>
      </c>
      <c r="C277" s="7" t="str">
        <f t="shared" si="16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IFERROR(VLOOKUP(B277,input_491107!L:R,7,FALSE),VLOOKUP(tables_491107!C277,input_491107!A:H,8,FALSE))</f>
        <v>284</v>
      </c>
      <c r="P277" s="46">
        <f t="shared" ca="1" si="18"/>
        <v>2.1739130434832504E-5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input_491107!A$2</f>
        <v>491107</v>
      </c>
      <c r="B278" s="82">
        <v>774</v>
      </c>
      <c r="C278" s="7" t="str">
        <f t="shared" si="16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IFERROR(VLOOKUP(B278,input_491107!L:R,7,FALSE),VLOOKUP(tables_491107!C278,input_491107!A:H,8,FALSE))</f>
        <v>0</v>
      </c>
      <c r="P278" s="46">
        <f t="shared" ca="1" si="18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input_491107!A$2</f>
        <v>491107</v>
      </c>
      <c r="B279" s="82">
        <v>775</v>
      </c>
      <c r="C279" s="7" t="str">
        <f t="shared" si="16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IFERROR(VLOOKUP(B279,input_491107!L:R,7,FALSE),VLOOKUP(tables_491107!C279,input_491107!A:H,8,FALSE))</f>
        <v>54906.449229999998</v>
      </c>
      <c r="P279" s="46">
        <f t="shared" ca="1" si="18"/>
        <v>4.2028819067763332E-3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input_491107!A$2</f>
        <v>491107</v>
      </c>
      <c r="B280" s="82">
        <v>776</v>
      </c>
      <c r="C280" s="7" t="str">
        <f t="shared" si="16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IFERROR(VLOOKUP(B280,input_491107!L:R,7,FALSE),VLOOKUP(tables_491107!C280,input_491107!A:H,8,FALSE))</f>
        <v>68.976410000000001</v>
      </c>
      <c r="P280" s="46">
        <f t="shared" ca="1" si="18"/>
        <v>5.2798844151988918E-6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input_491107!A$2</f>
        <v>491107</v>
      </c>
      <c r="B281" s="82">
        <v>777</v>
      </c>
      <c r="C281" s="7" t="str">
        <f t="shared" si="16"/>
        <v>Premium3color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7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IFERROR(VLOOKUP(B281,input_491107!L:R,7,FALSE),VLOOKUP(tables_491107!C281,input_491107!A:H,8,FALSE))</f>
        <v>0</v>
      </c>
      <c r="P281" s="46">
        <f t="shared" ca="1" si="18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input_491107!A$2</f>
        <v>491107</v>
      </c>
      <c r="B282" s="82">
        <v>778</v>
      </c>
      <c r="C282" s="7" t="str">
        <f t="shared" si="16"/>
        <v>Premium4color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IFERROR(VLOOKUP(B282,input_491107!L:R,7,FALSE),VLOOKUP(tables_491107!C282,input_491107!A:H,8,FALSE))</f>
        <v>344955.76178</v>
      </c>
      <c r="P282" s="46">
        <f t="shared" ca="1" si="18"/>
        <v>2.6405064435149398E-2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input_491107!A$2</f>
        <v>491107</v>
      </c>
      <c r="B283" s="5">
        <v>779</v>
      </c>
      <c r="C283" s="7" t="str">
        <f t="shared" si="16"/>
        <v>Premium5color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7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IFERROR(VLOOKUP(B283,input_491107!L:R,7,FALSE),VLOOKUP(tables_491107!C283,input_491107!A:H,8,FALSE))</f>
        <v>2117.2620000000002</v>
      </c>
      <c r="P283" s="46">
        <f t="shared" ca="1" si="18"/>
        <v>1.6206843233350121E-4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input_491107!A$2</f>
        <v>491107</v>
      </c>
      <c r="B284" s="5">
        <v>848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IFERROR(VLOOKUP(B284,input_491107!L:R,7,FALSE),VLOOKUP(tables_491107!C284,input_491107!A:H,8,FALSE))</f>
        <v>5680</v>
      </c>
      <c r="P284" s="46">
        <f t="shared" ca="1" si="18"/>
        <v>4.3478260869665009E-4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input_491107!A$2</f>
        <v>491107</v>
      </c>
      <c r="B285" s="5">
        <v>850</v>
      </c>
      <c r="C285" s="7" t="str">
        <f t="shared" si="16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IFERROR(VLOOKUP(B285,input_491107!L:R,7,FALSE),VLOOKUP(tables_491107!C285,input_491107!A:H,8,FALSE))</f>
        <v>5680</v>
      </c>
      <c r="P285" s="46">
        <f t="shared" ca="1" si="18"/>
        <v>4.3478260869665009E-4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input_491107!A$2</f>
        <v>491107</v>
      </c>
      <c r="B286" s="5">
        <v>852</v>
      </c>
      <c r="C286" s="7" t="str">
        <f t="shared" si="16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IFERROR(VLOOKUP(B286,input_491107!L:R,7,FALSE),VLOOKUP(tables_491107!C286,input_491107!A:H,8,FALSE))</f>
        <v>90480.16</v>
      </c>
      <c r="P286" s="46">
        <f t="shared" ca="1" si="18"/>
        <v>6.9259154929736432E-3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input_491107!A$2</f>
        <v>491107</v>
      </c>
      <c r="B287" s="5">
        <v>853</v>
      </c>
      <c r="C287" s="7" t="str">
        <f t="shared" si="16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IFERROR(VLOOKUP(B287,input_491107!L:R,7,FALSE),VLOOKUP(tables_491107!C287,input_491107!A:H,8,FALSE))</f>
        <v>3418.72</v>
      </c>
      <c r="P287" s="46">
        <f t="shared" ca="1" si="18"/>
        <v>2.6169014084567103E-4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input_491107!A$2</f>
        <v>491107</v>
      </c>
      <c r="B288" s="5">
        <v>854</v>
      </c>
      <c r="C288" s="7" t="str">
        <f t="shared" si="16"/>
        <v>Premium4R3lesscolor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IFERROR(VLOOKUP(B288,input_491107!L:R,7,FALSE),VLOOKUP(tables_491107!C288,input_491107!A:H,8,FALSE))</f>
        <v>179738.86666999999</v>
      </c>
      <c r="P288" s="46">
        <f t="shared" ca="1" si="18"/>
        <v>1.3758333333620065E-2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input_491107!A$2</f>
        <v>491107</v>
      </c>
      <c r="B289" s="5">
        <v>855</v>
      </c>
      <c r="C289" s="7" t="str">
        <f t="shared" si="16"/>
        <v>Premium5R3lesscolor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IFERROR(VLOOKUP(B289,input_491107!L:R,7,FALSE),VLOOKUP(tables_491107!C289,input_491107!A:H,8,FALSE))</f>
        <v>872.91273000000001</v>
      </c>
      <c r="P289" s="46">
        <f t="shared" ca="1" si="18"/>
        <v>6.6818182027097642E-5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input_491107!A$2</f>
        <v>491107</v>
      </c>
      <c r="B290" s="5">
        <v>862</v>
      </c>
      <c r="C290" s="7" t="str">
        <f t="shared" si="16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IFERROR(VLOOKUP(B290,input_491107!L:R,7,FALSE),VLOOKUP(tables_491107!C290,input_491107!A:H,8,FALSE))</f>
        <v>90480.16</v>
      </c>
      <c r="P290" s="46">
        <f t="shared" ca="1" si="18"/>
        <v>6.9259154929736432E-3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input_491107!A$2</f>
        <v>491107</v>
      </c>
      <c r="B291" s="5">
        <v>863</v>
      </c>
      <c r="C291" s="7" t="str">
        <f t="shared" si="16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IFERROR(VLOOKUP(B291,input_491107!L:R,7,FALSE),VLOOKUP(tables_491107!C291,input_491107!A:H,8,FALSE))</f>
        <v>3418.72</v>
      </c>
      <c r="P291" s="46">
        <f t="shared" ca="1" si="18"/>
        <v>2.6169014084567103E-4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input_491107!A$2</f>
        <v>491107</v>
      </c>
      <c r="B292" s="5">
        <v>864</v>
      </c>
      <c r="C292" s="7" t="str">
        <f t="shared" si="16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IFERROR(VLOOKUP(B292,input_491107!L:R,7,FALSE),VLOOKUP(tables_491107!C292,input_491107!A:H,8,FALSE))</f>
        <v>90480.16</v>
      </c>
      <c r="P292" s="46">
        <f t="shared" ca="1" si="18"/>
        <v>6.9259154929736432E-3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input_491107!A$2</f>
        <v>491107</v>
      </c>
      <c r="B293" s="5">
        <v>865</v>
      </c>
      <c r="C293" s="7" t="str">
        <f t="shared" si="16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7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IFERROR(VLOOKUP(B293,input_491107!L:R,7,FALSE),VLOOKUP(tables_491107!C293,input_491107!A:H,8,FALSE))</f>
        <v>3418.72</v>
      </c>
      <c r="P293" s="46">
        <f t="shared" ca="1" si="18"/>
        <v>2.6169014084567103E-4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input_491107!A$2</f>
        <v>491107</v>
      </c>
      <c r="B294" s="5">
        <v>866</v>
      </c>
      <c r="C294" s="7" t="str">
        <f t="shared" si="16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IFERROR(VLOOKUP(B294,input_491107!L:R,7,FALSE),VLOOKUP(tables_491107!C294,input_491107!A:H,8,FALSE))</f>
        <v>5680</v>
      </c>
      <c r="P294" s="46">
        <f t="shared" ca="1" si="18"/>
        <v>4.3478260869665009E-4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input_491107!A$2</f>
        <v>491107</v>
      </c>
      <c r="B295" s="5">
        <v>868</v>
      </c>
      <c r="C295" s="7" t="str">
        <f t="shared" si="16"/>
        <v>PremiumSS5R5onlycolor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IFERROR(VLOOKUP(B295,input_491107!L:R,7,FALSE),VLOOKUP(tables_491107!C295,input_491107!A:H,8,FALSE))</f>
        <v>9990.1176500000001</v>
      </c>
      <c r="P295" s="46">
        <f t="shared" ca="1" si="18"/>
        <v>7.6470588257983231E-4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input_491107!A$2</f>
        <v>491107</v>
      </c>
      <c r="B296" s="5">
        <v>937</v>
      </c>
      <c r="C296" s="7" t="str">
        <f t="shared" si="16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IFERROR(VLOOKUP(B296,input_491107!L:R,7,FALSE),VLOOKUP(tables_491107!C296,input_491107!A:H,8,FALSE))</f>
        <v>5680</v>
      </c>
      <c r="P296" s="46">
        <f t="shared" ca="1" si="18"/>
        <v>4.3478260869665009E-4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input_491107!A$2</f>
        <v>491107</v>
      </c>
      <c r="B297" s="5">
        <v>939</v>
      </c>
      <c r="C297" s="7" t="str">
        <f t="shared" si="16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IFERROR(VLOOKUP(B297,input_491107!L:R,7,FALSE),VLOOKUP(tables_491107!C297,input_491107!A:H,8,FALSE))</f>
        <v>90480.16</v>
      </c>
      <c r="P297" s="46">
        <f t="shared" ca="1" si="18"/>
        <v>6.9259154929736432E-3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input_491107!A$2</f>
        <v>491107</v>
      </c>
      <c r="B298" s="5">
        <v>940</v>
      </c>
      <c r="C298" s="7" t="str">
        <f t="shared" si="16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IFERROR(VLOOKUP(B298,input_491107!L:R,7,FALSE),VLOOKUP(tables_491107!C298,input_491107!A:H,8,FALSE))</f>
        <v>3418.72</v>
      </c>
      <c r="P298" s="46">
        <f t="shared" ca="1" si="18"/>
        <v>2.6169014084567103E-4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input_491107!A$2</f>
        <v>491107</v>
      </c>
      <c r="B299" s="5">
        <v>941</v>
      </c>
      <c r="C299" s="7" t="str">
        <f t="shared" si="16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IFERROR(VLOOKUP(B299,input_491107!L:R,7,FALSE),VLOOKUP(tables_491107!C299,input_491107!A:H,8,FALSE))</f>
        <v>5680</v>
      </c>
      <c r="P299" s="46">
        <f t="shared" ca="1" si="18"/>
        <v>4.3478260869665009E-4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input_491107!A$2</f>
        <v>491107</v>
      </c>
      <c r="B300" s="5">
        <v>943</v>
      </c>
      <c r="C300" s="7" t="str">
        <f t="shared" si="16"/>
        <v>PremiumSS5R5onlycolor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7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IFERROR(VLOOKUP(B300,input_491107!L:R,7,FALSE),VLOOKUP(tables_491107!C300,input_491107!A:H,8,FALSE))</f>
        <v>9990.1176500000001</v>
      </c>
      <c r="P300" s="46">
        <f t="shared" ca="1" si="18"/>
        <v>7.6470588257983231E-4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input_491107!A$2</f>
        <v>491107</v>
      </c>
      <c r="B301" s="5">
        <v>1012</v>
      </c>
      <c r="C301" s="7" t="str">
        <f t="shared" si="16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IFERROR(VLOOKUP(B301,input_491107!L:R,7,FALSE),VLOOKUP(tables_491107!C301,input_491107!A:H,8,FALSE))</f>
        <v>5680</v>
      </c>
      <c r="P301" s="46">
        <f t="shared" ca="1" si="18"/>
        <v>4.3478260869665009E-4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input_491107!A$2</f>
        <v>491107</v>
      </c>
      <c r="B302" s="5">
        <v>1014</v>
      </c>
      <c r="C302" s="7" t="str">
        <f t="shared" si="16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IFERROR(VLOOKUP(B302,input_491107!L:R,7,FALSE),VLOOKUP(tables_491107!C302,input_491107!A:H,8,FALSE))</f>
        <v>5680</v>
      </c>
      <c r="P302" s="46">
        <f t="shared" ca="1" si="18"/>
        <v>4.3478260869665009E-4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input_491107!A$2</f>
        <v>491107</v>
      </c>
      <c r="B303" s="5">
        <v>1016</v>
      </c>
      <c r="C303" s="7" t="str">
        <f t="shared" si="16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7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IFERROR(VLOOKUP(B303,input_491107!L:R,7,FALSE),VLOOKUP(tables_491107!C303,input_491107!A:H,8,FALSE))</f>
        <v>90480.16</v>
      </c>
      <c r="P303" s="46">
        <f t="shared" ca="1" si="18"/>
        <v>6.9259154929736432E-3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input_491107!A$2</f>
        <v>491107</v>
      </c>
      <c r="B304" s="5">
        <v>1017</v>
      </c>
      <c r="C304" s="7" t="str">
        <f t="shared" si="16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IFERROR(VLOOKUP(B304,input_491107!L:R,7,FALSE),VLOOKUP(tables_491107!C304,input_491107!A:H,8,FALSE))</f>
        <v>3418.72</v>
      </c>
      <c r="P304" s="46">
        <f t="shared" ca="1" si="18"/>
        <v>2.6169014084567103E-4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input_491107!A$2</f>
        <v>491107</v>
      </c>
      <c r="B305" s="5">
        <v>1018</v>
      </c>
      <c r="C305" s="7" t="str">
        <f t="shared" si="16"/>
        <v>PremiumSS5R5onlycolor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7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IFERROR(VLOOKUP(B305,input_491107!L:R,7,FALSE),VLOOKUP(tables_491107!C305,input_491107!A:H,8,FALSE))</f>
        <v>9990.1176500000001</v>
      </c>
      <c r="P305" s="46">
        <f t="shared" ca="1" si="18"/>
        <v>7.6470588257983231E-4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input_491107!A$2</f>
        <v>491107</v>
      </c>
      <c r="B306" s="5">
        <v>1026</v>
      </c>
      <c r="C306" s="7" t="str">
        <f t="shared" si="16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7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IFERROR(VLOOKUP(B306,input_491107!L:R,7,FALSE),VLOOKUP(tables_491107!C306,input_491107!A:H,8,FALSE))</f>
        <v>90480.16</v>
      </c>
      <c r="P306" s="46">
        <f t="shared" ca="1" si="18"/>
        <v>6.9259154929736432E-3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input_491107!A$2</f>
        <v>491107</v>
      </c>
      <c r="B307" s="5">
        <v>1027</v>
      </c>
      <c r="C307" s="7" t="str">
        <f t="shared" si="16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7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IFERROR(VLOOKUP(B307,input_491107!L:R,7,FALSE),VLOOKUP(tables_491107!C307,input_491107!A:H,8,FALSE))</f>
        <v>3418.72</v>
      </c>
      <c r="P307" s="46">
        <f t="shared" ca="1" si="18"/>
        <v>2.6169014084567103E-4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input_491107!A$2</f>
        <v>491107</v>
      </c>
      <c r="B308" s="5">
        <v>1028</v>
      </c>
      <c r="C308" s="7" t="str">
        <f t="shared" si="16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7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IFERROR(VLOOKUP(B308,input_491107!L:R,7,FALSE),VLOOKUP(tables_491107!C308,input_491107!A:H,8,FALSE))</f>
        <v>5680</v>
      </c>
      <c r="P308" s="46">
        <f t="shared" ca="1" si="18"/>
        <v>4.3478260869665009E-4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input_491107!A$2</f>
        <v>491107</v>
      </c>
      <c r="B309" s="5">
        <v>1031</v>
      </c>
      <c r="C309" s="7" t="str">
        <f t="shared" si="16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7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IFERROR(VLOOKUP(B309,input_491107!L:R,7,FALSE),VLOOKUP(tables_491107!C309,input_491107!A:H,8,FALSE))</f>
        <v>5680</v>
      </c>
      <c r="P309" s="46">
        <f t="shared" ca="1" si="18"/>
        <v>4.3478260869665009E-4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input_491107!A$2</f>
        <v>491107</v>
      </c>
      <c r="B310" s="5">
        <v>1033</v>
      </c>
      <c r="C310" s="7" t="str">
        <f t="shared" si="16"/>
        <v>PremiumSS5R5onlycolor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7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IFERROR(VLOOKUP(B310,input_491107!L:R,7,FALSE),VLOOKUP(tables_491107!C310,input_491107!A:H,8,FALSE))</f>
        <v>9990.1176500000001</v>
      </c>
      <c r="P310" s="46">
        <f t="shared" ca="1" si="18"/>
        <v>7.6470588257983231E-4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input_491107!A$2</f>
        <v>491107</v>
      </c>
      <c r="B311" s="5">
        <v>1067</v>
      </c>
      <c r="C311" s="7" t="str">
        <f t="shared" si="16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7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IFERROR(VLOOKUP(B311,input_491107!L:R,7,FALSE),VLOOKUP(tables_491107!C311,input_491107!A:H,8,FALSE))</f>
        <v>90480.16</v>
      </c>
      <c r="P311" s="46">
        <f t="shared" ca="1" si="18"/>
        <v>6.9259154929736432E-3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input_491107!A$2</f>
        <v>491107</v>
      </c>
      <c r="B312" s="5">
        <v>1068</v>
      </c>
      <c r="C312" s="7" t="str">
        <f t="shared" si="16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7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IFERROR(VLOOKUP(B312,input_491107!L:R,7,FALSE),VLOOKUP(tables_491107!C312,input_491107!A:H,8,FALSE))</f>
        <v>3418.72</v>
      </c>
      <c r="P312" s="46">
        <f t="shared" ca="1" si="18"/>
        <v>2.6169014084567103E-4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input_491107!A$2</f>
        <v>491107</v>
      </c>
      <c r="B313" s="5">
        <v>1069</v>
      </c>
      <c r="C313" s="7" t="str">
        <f t="shared" si="16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7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IFERROR(VLOOKUP(B313,input_491107!L:R,7,FALSE),VLOOKUP(tables_491107!C313,input_491107!A:H,8,FALSE))</f>
        <v>5680</v>
      </c>
      <c r="P313" s="46">
        <f t="shared" ca="1" si="18"/>
        <v>4.3478260869665009E-4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input_491107!A$2</f>
        <v>491107</v>
      </c>
      <c r="B314" s="5">
        <v>1072</v>
      </c>
      <c r="C314" s="7" t="str">
        <f t="shared" si="16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7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IFERROR(VLOOKUP(B314,input_491107!L:R,7,FALSE),VLOOKUP(tables_491107!C314,input_491107!A:H,8,FALSE))</f>
        <v>5680</v>
      </c>
      <c r="P314" s="46">
        <f t="shared" ca="1" si="18"/>
        <v>4.3478260869665009E-4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input_491107!A$2</f>
        <v>491107</v>
      </c>
      <c r="B315" s="5">
        <v>1074</v>
      </c>
      <c r="C315" s="7" t="str">
        <f t="shared" si="16"/>
        <v>PremiumSS5R5onlycolor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7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IFERROR(VLOOKUP(B315,input_491107!L:R,7,FALSE),VLOOKUP(tables_491107!C315,input_491107!A:H,8,FALSE))</f>
        <v>9990.1176500000001</v>
      </c>
      <c r="P315" s="46">
        <f t="shared" ca="1" si="18"/>
        <v>7.6470588257983231E-4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input_491107!A$2</f>
        <v>491107</v>
      </c>
      <c r="B316" s="5">
        <v>1100</v>
      </c>
      <c r="C316" s="7" t="str">
        <f t="shared" si="16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7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IFERROR(VLOOKUP(B316,input_491107!L:R,7,FALSE),VLOOKUP(tables_491107!C316,input_491107!A:H,8,FALSE))</f>
        <v>5680</v>
      </c>
      <c r="P316" s="46">
        <f t="shared" ca="1" si="18"/>
        <v>4.3478260869665009E-4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input_491107!A$2</f>
        <v>491107</v>
      </c>
      <c r="B317" s="5">
        <v>1102</v>
      </c>
      <c r="C317" s="7" t="str">
        <f t="shared" si="16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7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IFERROR(VLOOKUP(B317,input_491107!L:R,7,FALSE),VLOOKUP(tables_491107!C317,input_491107!A:H,8,FALSE))</f>
        <v>5680</v>
      </c>
      <c r="P317" s="46">
        <f t="shared" ca="1" si="18"/>
        <v>4.3478260869665009E-4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input_491107!A$2</f>
        <v>491107</v>
      </c>
      <c r="B318" s="5">
        <v>1104</v>
      </c>
      <c r="C318" s="7" t="str">
        <f t="shared" si="16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7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IFERROR(VLOOKUP(B318,input_491107!L:R,7,FALSE),VLOOKUP(tables_491107!C318,input_491107!A:H,8,FALSE))</f>
        <v>90480.16</v>
      </c>
      <c r="P318" s="46">
        <f t="shared" ca="1" si="18"/>
        <v>6.9259154929736432E-3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input_491107!A$2</f>
        <v>491107</v>
      </c>
      <c r="B319" s="5">
        <v>1105</v>
      </c>
      <c r="C319" s="7" t="str">
        <f t="shared" si="16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7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IFERROR(VLOOKUP(B319,input_491107!L:R,7,FALSE),VLOOKUP(tables_491107!C319,input_491107!A:H,8,FALSE))</f>
        <v>3418.72</v>
      </c>
      <c r="P319" s="46">
        <f t="shared" ca="1" si="18"/>
        <v>2.6169014084567103E-4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input_491107!A$2</f>
        <v>491107</v>
      </c>
      <c r="B320" s="5">
        <v>1106</v>
      </c>
      <c r="C320" s="7" t="str">
        <f t="shared" si="16"/>
        <v>PremiumSS5R5onlycolor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7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IFERROR(VLOOKUP(B320,input_491107!L:R,7,FALSE),VLOOKUP(tables_491107!C320,input_491107!A:H,8,FALSE))</f>
        <v>9990.1176500000001</v>
      </c>
      <c r="P320" s="46">
        <f t="shared" ca="1" si="18"/>
        <v>7.6470588257983231E-4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input_491107!A$2</f>
        <v>491107</v>
      </c>
      <c r="B321" s="5">
        <v>1137</v>
      </c>
      <c r="C321" s="7" t="str">
        <f t="shared" si="16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7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IFERROR(VLOOKUP(B321,input_491107!L:R,7,FALSE),VLOOKUP(tables_491107!C321,input_491107!A:H,8,FALSE))</f>
        <v>5680</v>
      </c>
      <c r="P321" s="46">
        <f t="shared" ca="1" si="18"/>
        <v>4.3478260869665009E-4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input_491107!A$2</f>
        <v>491107</v>
      </c>
      <c r="B322" s="5">
        <v>1139</v>
      </c>
      <c r="C322" s="7" t="str">
        <f t="shared" ref="C322:C341" si="20">D322&amp;J322&amp;E322&amp;F322&amp;G322</f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ref="G322:G341" si="21">IF(K322="yellow","color","")</f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IFERROR(VLOOKUP(B322,input_491107!L:R,7,FALSE),VLOOKUP(tables_491107!C322,input_491107!A:H,8,FALSE))</f>
        <v>5680</v>
      </c>
      <c r="P322" s="46">
        <f t="shared" ref="P322:P341" ca="1" si="22">O322/SUM(O:O)</f>
        <v>4.3478260869665009E-4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input_491107!A$2</f>
        <v>491107</v>
      </c>
      <c r="B323" s="5">
        <v>1141</v>
      </c>
      <c r="C323" s="7" t="str">
        <f t="shared" si="20"/>
        <v>PremiumSS5R5only</v>
      </c>
      <c r="D323" s="7" t="str">
        <f t="shared" ref="D323:D341" si="2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si="21"/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IFERROR(VLOOKUP(B323,input_491107!L:R,7,FALSE),VLOOKUP(tables_491107!C323,input_491107!A:H,8,FALSE))</f>
        <v>5680</v>
      </c>
      <c r="P323" s="46">
        <f t="shared" ca="1" si="22"/>
        <v>4.3478260869665009E-4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input_491107!A$2</f>
        <v>491107</v>
      </c>
      <c r="B324" s="2">
        <v>1143</v>
      </c>
      <c r="C324" s="7" t="str">
        <f t="shared" si="20"/>
        <v>Premium4R3lesscolor</v>
      </c>
      <c r="D324" s="7" t="str">
        <f t="shared" si="2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1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IFERROR(VLOOKUP(B324,input_491107!L:R,7,FALSE),VLOOKUP(tables_491107!C324,input_491107!A:H,8,FALSE))</f>
        <v>179738.86666999999</v>
      </c>
      <c r="P324" s="46">
        <f t="shared" ca="1" si="22"/>
        <v>1.3758333333620065E-2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input_491107!A$2</f>
        <v>491107</v>
      </c>
      <c r="B325" s="2">
        <v>1144</v>
      </c>
      <c r="C325" s="7" t="str">
        <f t="shared" si="20"/>
        <v>Premium5R3lesscolor</v>
      </c>
      <c r="D325" s="7" t="str">
        <f t="shared" si="2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1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IFERROR(VLOOKUP(B325,input_491107!L:R,7,FALSE),VLOOKUP(tables_491107!C325,input_491107!A:H,8,FALSE))</f>
        <v>872.91273000000001</v>
      </c>
      <c r="P325" s="46">
        <f t="shared" ca="1" si="22"/>
        <v>6.6818182027097642E-5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input_491107!A$2</f>
        <v>491107</v>
      </c>
      <c r="B326" s="2">
        <v>1151</v>
      </c>
      <c r="C326" s="7" t="str">
        <f t="shared" si="20"/>
        <v>Premium4R3less</v>
      </c>
      <c r="D326" s="7" t="str">
        <f t="shared" si="2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1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IFERROR(VLOOKUP(B326,input_491107!L:R,7,FALSE),VLOOKUP(tables_491107!C326,input_491107!A:H,8,FALSE))</f>
        <v>90480.16</v>
      </c>
      <c r="P326" s="46">
        <f t="shared" ca="1" si="22"/>
        <v>6.9259154929736432E-3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input_491107!A$2</f>
        <v>491107</v>
      </c>
      <c r="B327" s="2">
        <v>1152</v>
      </c>
      <c r="C327" s="7" t="str">
        <f t="shared" si="20"/>
        <v>Premium5R3less</v>
      </c>
      <c r="D327" s="7" t="str">
        <f t="shared" si="2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1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IFERROR(VLOOKUP(B327,input_491107!L:R,7,FALSE),VLOOKUP(tables_491107!C327,input_491107!A:H,8,FALSE))</f>
        <v>3418.72</v>
      </c>
      <c r="P327" s="46">
        <f t="shared" ca="1" si="22"/>
        <v>2.6169014084567103E-4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input_491107!A$2</f>
        <v>491107</v>
      </c>
      <c r="B328" s="2">
        <v>1153</v>
      </c>
      <c r="C328" s="7" t="str">
        <f t="shared" si="20"/>
        <v>PremiumSS5R5only</v>
      </c>
      <c r="D328" s="7" t="str">
        <f t="shared" si="2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1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IFERROR(VLOOKUP(B328,input_491107!L:R,7,FALSE),VLOOKUP(tables_491107!C328,input_491107!A:H,8,FALSE))</f>
        <v>5680</v>
      </c>
      <c r="P328" s="46">
        <f t="shared" ca="1" si="22"/>
        <v>4.3478260869665009E-4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input_491107!A$2</f>
        <v>491107</v>
      </c>
      <c r="B329" s="2">
        <v>1155</v>
      </c>
      <c r="C329" s="7" t="str">
        <f t="shared" si="20"/>
        <v>PremiumSS5R5only</v>
      </c>
      <c r="D329" s="7" t="str">
        <f t="shared" si="2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1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IFERROR(VLOOKUP(B329,input_491107!L:R,7,FALSE),VLOOKUP(tables_491107!C329,input_491107!A:H,8,FALSE))</f>
        <v>5680</v>
      </c>
      <c r="P329" s="46">
        <f t="shared" ca="1" si="22"/>
        <v>4.3478260869665009E-4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input_491107!A$2</f>
        <v>491107</v>
      </c>
      <c r="B330" s="2">
        <v>1157</v>
      </c>
      <c r="C330" s="7" t="str">
        <f t="shared" si="20"/>
        <v>PremiumSS5R5onlycolor</v>
      </c>
      <c r="D330" s="7" t="str">
        <f t="shared" si="2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1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IFERROR(VLOOKUP(B330,input_491107!L:R,7,FALSE),VLOOKUP(tables_491107!C330,input_491107!A:H,8,FALSE))</f>
        <v>9990.1176500000001</v>
      </c>
      <c r="P330" s="46">
        <f t="shared" ca="1" si="22"/>
        <v>7.6470588257983231E-4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input_491107!A$2</f>
        <v>491107</v>
      </c>
      <c r="B331" s="60">
        <v>1214</v>
      </c>
      <c r="C331" s="7" t="str">
        <f t="shared" si="20"/>
        <v>PremiumSS5R5onlycolor</v>
      </c>
      <c r="D331" s="7" t="str">
        <f t="shared" si="23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1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IFERROR(VLOOKUP(B331,input_491107!L:R,7,FALSE),VLOOKUP(tables_491107!C331,input_491107!A:H,8,FALSE))</f>
        <v>9990.1176500000001</v>
      </c>
      <c r="P331" s="46">
        <f t="shared" ca="1" si="22"/>
        <v>7.6470588257983231E-4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input_491107!A$2</f>
        <v>491107</v>
      </c>
      <c r="B332" s="60">
        <v>1212</v>
      </c>
      <c r="C332" s="7" t="str">
        <f t="shared" si="20"/>
        <v>PremiumSS5R5only</v>
      </c>
      <c r="D332" s="7" t="str">
        <f t="shared" si="23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1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IFERROR(VLOOKUP(B332,input_491107!L:R,7,FALSE),VLOOKUP(tables_491107!C332,input_491107!A:H,8,FALSE))</f>
        <v>5680</v>
      </c>
      <c r="P332" s="46">
        <f t="shared" ca="1" si="22"/>
        <v>4.3478260869665009E-4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input_491107!A$2</f>
        <v>491107</v>
      </c>
      <c r="B333" s="60">
        <v>1208</v>
      </c>
      <c r="C333" s="7" t="str">
        <f t="shared" si="20"/>
        <v>PremiumSS5R5only</v>
      </c>
      <c r="D333" s="7" t="str">
        <f t="shared" si="23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1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IFERROR(VLOOKUP(B333,input_491107!L:R,7,FALSE),VLOOKUP(tables_491107!C333,input_491107!A:H,8,FALSE))</f>
        <v>5680</v>
      </c>
      <c r="P333" s="46">
        <f t="shared" ca="1" si="22"/>
        <v>4.3478260869665009E-4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input_491107!A$2</f>
        <v>491107</v>
      </c>
      <c r="B334" s="108">
        <v>1210</v>
      </c>
      <c r="C334" s="7" t="str">
        <f t="shared" si="20"/>
        <v>Premium4R3less</v>
      </c>
      <c r="D334" s="7" t="str">
        <f t="shared" si="23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1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IFERROR(VLOOKUP(B334,input_491107!L:R,7,FALSE),VLOOKUP(tables_491107!C334,input_491107!A:H,8,FALSE))</f>
        <v>90480.16</v>
      </c>
      <c r="P334" s="46">
        <f t="shared" ca="1" si="22"/>
        <v>6.9259154929736432E-3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input_491107!A$2</f>
        <v>491107</v>
      </c>
      <c r="B335" s="60">
        <v>1211</v>
      </c>
      <c r="C335" s="7" t="str">
        <f t="shared" si="20"/>
        <v>Premium5R3less</v>
      </c>
      <c r="D335" s="7" t="str">
        <f t="shared" si="23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1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IFERROR(VLOOKUP(B335,input_491107!L:R,7,FALSE),VLOOKUP(tables_491107!C335,input_491107!A:H,8,FALSE))</f>
        <v>3418.72</v>
      </c>
      <c r="P335" s="46">
        <f t="shared" ca="1" si="22"/>
        <v>2.6169014084567103E-4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input_491107!A$2</f>
        <v>491107</v>
      </c>
      <c r="B336" s="2">
        <v>1224</v>
      </c>
      <c r="C336" s="7" t="str">
        <f t="shared" si="20"/>
        <v>Premium4R3less</v>
      </c>
      <c r="D336" s="7" t="str">
        <f t="shared" si="23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1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IFERROR(VLOOKUP(B336,input_491107!L:R,7,FALSE),VLOOKUP(tables_491107!C336,input_491107!A:H,8,FALSE))</f>
        <v>90480.16</v>
      </c>
      <c r="P336" s="46">
        <f t="shared" ca="1" si="22"/>
        <v>6.9259154929736432E-3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input_491107!A$2</f>
        <v>491107</v>
      </c>
      <c r="B337" s="2">
        <v>1225</v>
      </c>
      <c r="C337" s="7" t="str">
        <f t="shared" si="20"/>
        <v>Premium5R3less</v>
      </c>
      <c r="D337" s="7" t="str">
        <f t="shared" si="23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1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IFERROR(VLOOKUP(B337,input_491107!L:R,7,FALSE),VLOOKUP(tables_491107!C337,input_491107!A:H,8,FALSE))</f>
        <v>3418.72</v>
      </c>
      <c r="P337" s="46">
        <f t="shared" ca="1" si="22"/>
        <v>2.6169014084567103E-4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input_491107!A$2</f>
        <v>491107</v>
      </c>
      <c r="B338" s="2">
        <v>1226</v>
      </c>
      <c r="C338" s="7" t="str">
        <f t="shared" si="20"/>
        <v>PremiumSS5R5only</v>
      </c>
      <c r="D338" s="7" t="str">
        <f t="shared" si="23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1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IFERROR(VLOOKUP(B338,input_491107!L:R,7,FALSE),VLOOKUP(tables_491107!C338,input_491107!A:H,8,FALSE))</f>
        <v>5680</v>
      </c>
      <c r="P338" s="46">
        <f t="shared" ca="1" si="22"/>
        <v>4.3478260869665009E-4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input_491107!A$2</f>
        <v>491107</v>
      </c>
      <c r="B339" s="2">
        <v>1228</v>
      </c>
      <c r="C339" s="7" t="str">
        <f t="shared" si="20"/>
        <v>PremiumSS5R5only</v>
      </c>
      <c r="D339" s="7" t="str">
        <f t="shared" si="23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1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IFERROR(VLOOKUP(B339,input_491107!L:R,7,FALSE),VLOOKUP(tables_491107!C339,input_491107!A:H,8,FALSE))</f>
        <v>5680</v>
      </c>
      <c r="P339" s="46">
        <f t="shared" ca="1" si="22"/>
        <v>4.3478260869665009E-4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input_491107!A$2</f>
        <v>491107</v>
      </c>
      <c r="B340" s="2">
        <v>1230</v>
      </c>
      <c r="C340" s="7" t="str">
        <f t="shared" si="20"/>
        <v>PremiumSS5R5onlycolor</v>
      </c>
      <c r="D340" s="7" t="str">
        <f t="shared" si="23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1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IFERROR(VLOOKUP(B340,input_491107!L:R,7,FALSE),VLOOKUP(tables_491107!C340,input_491107!A:H,8,FALSE))</f>
        <v>9990.1176500000001</v>
      </c>
      <c r="P340" s="46">
        <f t="shared" ca="1" si="22"/>
        <v>7.6470588257983231E-4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input_491107!A$2</f>
        <v>491107</v>
      </c>
      <c r="B341" s="1">
        <v>1286</v>
      </c>
      <c r="C341" s="7" t="str">
        <f t="shared" si="20"/>
        <v>PremiumSSS5R3lesscolor</v>
      </c>
      <c r="D341" s="7" t="str">
        <f t="shared" si="23"/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 t="str">
        <f t="shared" si="21"/>
        <v>color</v>
      </c>
      <c r="H341" s="7" t="str">
        <f>VLOOKUP(B341,[1]characters!$A:$C,3,FALSE)</f>
        <v>ニコラ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hp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IFERROR(VLOOKUP(B341,input_491107!L:R,7,FALSE),VLOOKUP(tables_491107!C341,input_491107!A:H,8,FALSE))</f>
        <v>274344</v>
      </c>
      <c r="P341" s="46">
        <f t="shared" ca="1" si="22"/>
        <v>2.1000000000048199E-2</v>
      </c>
      <c r="Q341" s="88"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65"/>
  <sheetViews>
    <sheetView workbookViewId="0">
      <selection activeCell="B28" sqref="B2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491100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VLOOKUP(L3,tables_491100!B:C,2,FALSE)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VLOOKUP(L4,tables_491100!B:C,2,FALSE)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4.3478260869565224E-4</v>
      </c>
      <c r="F5">
        <f>(COUNTIF(tables_491100!C:C,input_491100!A28)+COUNTIF(tables_491100!C:C,input_491100!A29))</f>
        <v>46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VLOOKUP(L5,tables_491100!B:C,2,FALSE)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1.764705882352941E-3</v>
      </c>
      <c r="F6">
        <f>(COUNTIF(tables_491100!C:C,input_491100!A43)+COUNTIF(tables_491100!C:C,input_491100!A44))</f>
        <v>17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VLOOKUP(L6,tables_491100!B:C,2,FALSE)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5.1830985915492954E-3</v>
      </c>
      <c r="F7">
        <f>(COUNTIF(tables_491100!C:C,input_491100!A25)+COUNTIF(tables_491100!C:C,input_491100!A18)+COUNTIF(tables_491100!C:C,input_491100!A20)+COUNTIF(tables_491100!C:C,input_491100!A22))</f>
        <v>71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VLOOKUP(L7,tables_491100!B:C,2,FALSE)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2.5090909090909087E-2</v>
      </c>
      <c r="F8">
        <f>(COUNTIF(tables_491100!C:C,input_491100!A40)+COUNTIF(tables_491100!C:C,input_491100!A33)+COUNTIF(tables_491100!C:C,input_491100!A35)+COUNTIF(tables_491100!C:C,input_491100!A37))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VLOOKUP(L8,tables_491100!B:C,2,FALSE)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VLOOKUP(L9,tables_491100!B:C,2,FALSE)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0.91999999999999993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VLOOKUP(L10,tables_491100!B:C,2,FALSE)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89">
        <f>5%</f>
        <v>0.05</v>
      </c>
      <c r="C11" t="s">
        <v>273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VLOOKUP(L11,tables_491100!B:C,2,FALSE)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0.03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VLOOKUP(L12,tables_491100!B:C,2,FALSE)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VLOOKUP(L13,tables_491100!B:C,2,FALSE)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VLOOKUP(L14,tables_491100!B:C,2,FALSE)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VLOOKUP(L15,tables_491100!B:C,2,FALSE)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VLOOKUP(L16,tables_491100!B:C,2,FALSE)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1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COUNTIF(tables_491100!C:C,input_491100!A17)-COUNTIF(Q:Q,A17)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E$7*E18-B17+0.01</f>
        <v>8.7746478873239428E-2</v>
      </c>
      <c r="C18" s="86">
        <f t="shared" si="2"/>
        <v>0</v>
      </c>
      <c r="D18" s="75">
        <f t="shared" si="3"/>
        <v>8.7746478873239428E-2</v>
      </c>
      <c r="E18">
        <f>COUNTIF(tables_491100!C:C,input_491100!A18)-COUNTIF(Q:Q,A18)</f>
        <v>15</v>
      </c>
      <c r="F18" s="43">
        <f>IFERROR(B18/E18,0)</f>
        <v>5.8497652582159615E-3</v>
      </c>
      <c r="G18">
        <f t="shared" si="4"/>
        <v>1146320</v>
      </c>
      <c r="H18">
        <f t="shared" si="5"/>
        <v>76421.333329999994</v>
      </c>
      <c r="I18">
        <f t="shared" si="6"/>
        <v>0.33332999999402091</v>
      </c>
      <c r="J18">
        <f t="shared" si="7"/>
        <v>3.0000300003538158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COUNTIF(tables_491100!C:C,input_491100!A19)-COUNTIF(Q:Q,A19)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1">
        <f>E$7*E20*B$6+F49-0.03+0.01-G64</f>
        <v>0.16203380281558477</v>
      </c>
      <c r="C20" s="86">
        <f t="shared" si="2"/>
        <v>0</v>
      </c>
      <c r="D20" s="75">
        <f t="shared" si="3"/>
        <v>0.16203380281558477</v>
      </c>
      <c r="E20">
        <f>COUNTIF(tables_491100!C:C,input_491100!A20)-COUNTIF(Q:Q,A20)</f>
        <v>39</v>
      </c>
      <c r="F20" s="43">
        <f t="shared" si="8"/>
        <v>4.1547128927073018E-3</v>
      </c>
      <c r="G20">
        <f t="shared" si="4"/>
        <v>2116809.5999827995</v>
      </c>
      <c r="H20">
        <f t="shared" si="5"/>
        <v>54277.16923</v>
      </c>
      <c r="I20">
        <f t="shared" si="6"/>
        <v>0.16922999999951571</v>
      </c>
      <c r="J20">
        <f t="shared" si="7"/>
        <v>5.909117768734041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1.0704225352112587E-4</v>
      </c>
      <c r="C21" s="86">
        <f t="shared" si="2"/>
        <v>0</v>
      </c>
      <c r="D21" s="75">
        <f t="shared" si="3"/>
        <v>1.0704225352112587E-4</v>
      </c>
      <c r="E21">
        <f>COUNTIF(tables_491100!C:C,input_491100!A21)-COUNTIF(Q:Q,A21)</f>
        <v>39</v>
      </c>
      <c r="F21" s="43">
        <f t="shared" si="8"/>
        <v>2.7446731672083556E-6</v>
      </c>
      <c r="G21">
        <f t="shared" si="4"/>
        <v>1398.3999999999883</v>
      </c>
      <c r="H21">
        <f t="shared" si="5"/>
        <v>35.856409999999997</v>
      </c>
      <c r="I21">
        <f t="shared" si="6"/>
        <v>0.85640999999999678</v>
      </c>
      <c r="J21">
        <f t="shared" si="7"/>
        <v>1.1676650202589924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9.9898591549295868E-2</v>
      </c>
      <c r="C22" s="86">
        <f t="shared" si="2"/>
        <v>0</v>
      </c>
      <c r="D22" s="75">
        <f t="shared" si="3"/>
        <v>9.9898591549295868E-2</v>
      </c>
      <c r="E22">
        <f>COUNTIF(tables_491100!C:C,input_491100!A22)-COUNTIF(Q:Q,A22)</f>
        <v>14</v>
      </c>
      <c r="F22" s="43">
        <f t="shared" si="8"/>
        <v>7.135613682092562E-3</v>
      </c>
      <c r="G22">
        <f t="shared" si="4"/>
        <v>1305075.2000000011</v>
      </c>
      <c r="H22">
        <f t="shared" si="5"/>
        <v>93219.657139999996</v>
      </c>
      <c r="I22">
        <f t="shared" si="6"/>
        <v>0.6571399999957066</v>
      </c>
      <c r="J22">
        <f t="shared" si="7"/>
        <v>1.5217457467305802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4.6647887323943661E-3</v>
      </c>
      <c r="C23" s="86">
        <f t="shared" si="2"/>
        <v>0</v>
      </c>
      <c r="D23" s="75">
        <f t="shared" si="3"/>
        <v>4.6647887323943661E-3</v>
      </c>
      <c r="E23">
        <f>COUNTIF(tables_491100!C:C,input_491100!A23)-COUNTIF(Q:Q,A23)</f>
        <v>18</v>
      </c>
      <c r="F23" s="43">
        <f t="shared" si="8"/>
        <v>2.591549295774648E-4</v>
      </c>
      <c r="G23">
        <f t="shared" si="4"/>
        <v>60940.799999999996</v>
      </c>
      <c r="H23">
        <f t="shared" si="5"/>
        <v>3385.6</v>
      </c>
      <c r="I23">
        <f t="shared" si="6"/>
        <v>0.59999999999990905</v>
      </c>
      <c r="J23">
        <f t="shared" si="7"/>
        <v>1.6666666666669192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COUNTIF(tables_491100!C:C,input_491100!A24)-COUNTIF(Q:Q,A24)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1.4771830985915491E-2</v>
      </c>
      <c r="C25" s="86">
        <f t="shared" si="2"/>
        <v>0</v>
      </c>
      <c r="D25" s="75">
        <f t="shared" si="3"/>
        <v>1.4771830985915491E-2</v>
      </c>
      <c r="E25">
        <f>COUNTIF(tables_491100!C:C,input_491100!A25)-COUNTIF(Q:Q,A25)</f>
        <v>3</v>
      </c>
      <c r="F25" s="43">
        <f t="shared" si="8"/>
        <v>4.9239436619718307E-3</v>
      </c>
      <c r="G25">
        <f t="shared" si="4"/>
        <v>192979.19999999998</v>
      </c>
      <c r="H25">
        <f t="shared" si="5"/>
        <v>64326.400000000001</v>
      </c>
      <c r="I25">
        <f t="shared" si="6"/>
        <v>0.40000000000145519</v>
      </c>
      <c r="J25">
        <f t="shared" si="7"/>
        <v>2.4999999999909051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7.7746478873239435E-4</v>
      </c>
      <c r="C26" s="86">
        <f t="shared" si="2"/>
        <v>0</v>
      </c>
      <c r="D26" s="75">
        <f t="shared" si="3"/>
        <v>7.7746478873239435E-4</v>
      </c>
      <c r="E26">
        <f>COUNTIF(tables_491100!C:C,input_491100!A26)-COUNTIF(Q:Q,A26)</f>
        <v>3</v>
      </c>
      <c r="F26" s="43">
        <f t="shared" si="8"/>
        <v>2.591549295774648E-4</v>
      </c>
      <c r="G26">
        <f t="shared" si="4"/>
        <v>10156.799999999999</v>
      </c>
      <c r="H26">
        <f t="shared" si="5"/>
        <v>3385.6</v>
      </c>
      <c r="I26">
        <f t="shared" si="6"/>
        <v>0.59999999999990905</v>
      </c>
      <c r="J26">
        <f t="shared" si="7"/>
        <v>1.6666666666669192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E$5*E27*(B$5+B$6)+G64+0.01</f>
        <v>2.8673913044794878E-2</v>
      </c>
      <c r="C27" s="86">
        <f t="shared" si="2"/>
        <v>0</v>
      </c>
      <c r="D27" s="75">
        <f t="shared" si="3"/>
        <v>2.8673913044794878E-2</v>
      </c>
      <c r="E27">
        <f>COUNTIF(tables_491100!C:C,input_491100!A27)-COUNTIF(Q:Q,A27)</f>
        <v>21</v>
      </c>
      <c r="F27" s="43">
        <f>IFERROR(B27/E27,0)</f>
        <v>1.3654244307045181E-3</v>
      </c>
      <c r="G27">
        <f t="shared" si="4"/>
        <v>374596.00001720031</v>
      </c>
      <c r="H27">
        <f t="shared" si="5"/>
        <v>17837.904760000001</v>
      </c>
      <c r="I27">
        <f t="shared" si="6"/>
        <v>0.90476000000126078</v>
      </c>
      <c r="J27">
        <f t="shared" si="7"/>
        <v>1.1052654847679015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4.5652173913043485E-4</v>
      </c>
      <c r="C28" s="86">
        <f t="shared" si="2"/>
        <v>0</v>
      </c>
      <c r="D28" s="75">
        <f t="shared" si="3"/>
        <v>4.5652173913043485E-4</v>
      </c>
      <c r="E28">
        <f>COUNTIF(tables_491100!C:C,input_491100!A28)-COUNTIF(Q:Q,A28)</f>
        <v>21</v>
      </c>
      <c r="F28" s="43">
        <f t="shared" si="8"/>
        <v>2.1739130434782614E-5</v>
      </c>
      <c r="G28">
        <f t="shared" si="4"/>
        <v>5964.0000000000009</v>
      </c>
      <c r="H28">
        <f t="shared" si="5"/>
        <v>284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E$5*E29-F49-0.01</f>
        <v>8.6956521739130557E-4</v>
      </c>
      <c r="C29" s="86">
        <f t="shared" si="2"/>
        <v>0</v>
      </c>
      <c r="D29" s="75">
        <f t="shared" si="3"/>
        <v>8.6956521739130557E-4</v>
      </c>
      <c r="E29">
        <f>COUNTIF(tables_491100!C:C,input_491100!A29)-COUNTIF(Q:Q,A29)</f>
        <v>25</v>
      </c>
      <c r="F29" s="43">
        <f t="shared" si="8"/>
        <v>3.4782608695652225E-5</v>
      </c>
      <c r="G29">
        <f t="shared" si="4"/>
        <v>11360.000000000016</v>
      </c>
      <c r="H29">
        <f t="shared" si="5"/>
        <v>454.4</v>
      </c>
      <c r="I29">
        <f t="shared" si="6"/>
        <v>0.39999999999997726</v>
      </c>
      <c r="J29">
        <f t="shared" si="7"/>
        <v>2.5000000000001421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COUNTIF(tables_491100!C:C,input_491100!A30)-COUNTIF(Q:Q,A30)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COUNTIF(tables_491100!C:C,input_491100!A31)-COUNTIF(Q:Q,A31)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1">
        <f>B$5*0.6-B34-B39</f>
        <v>0</v>
      </c>
      <c r="C32" s="86">
        <f t="shared" si="2"/>
        <v>0</v>
      </c>
      <c r="D32" s="75">
        <f t="shared" si="3"/>
        <v>0</v>
      </c>
      <c r="E32">
        <f>COUNTIF(tables_491100!C:C,input_491100!A32)-COUNTIF(Q:Q,A32)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0.14545454545454542</v>
      </c>
      <c r="C33" s="86">
        <f t="shared" si="2"/>
        <v>0</v>
      </c>
      <c r="D33" s="75">
        <f t="shared" si="3"/>
        <v>0.14545454545454542</v>
      </c>
      <c r="E33">
        <f>COUNTIF(tables_491100!C:C,input_491100!A33)-COUNTIF(Q:Q,A33)</f>
        <v>5</v>
      </c>
      <c r="F33" s="43">
        <f>IFERROR(B33/E33,0)</f>
        <v>2.9090909090909084E-2</v>
      </c>
      <c r="G33">
        <f t="shared" si="4"/>
        <v>1900218.1818181814</v>
      </c>
      <c r="H33">
        <f t="shared" si="5"/>
        <v>380043.63636</v>
      </c>
      <c r="I33">
        <f t="shared" si="6"/>
        <v>0.63636000000406057</v>
      </c>
      <c r="J33">
        <f t="shared" si="7"/>
        <v>1.5714375510616931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COUNTIF(tables_491100!C:C,input_491100!A34)-COUNTIF(Q:Q,A34)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E$8*E35*B$6+E49-0.01</f>
        <v>0.33884917952471738</v>
      </c>
      <c r="C35" s="86">
        <f t="shared" si="2"/>
        <v>0</v>
      </c>
      <c r="D35" s="75">
        <f t="shared" si="3"/>
        <v>0.33884917952471738</v>
      </c>
      <c r="E35">
        <f>COUNTIF(tables_491100!C:C,input_491100!A35)-COUNTIF(Q:Q,A35)</f>
        <v>13</v>
      </c>
      <c r="F35" s="43">
        <f t="shared" si="9"/>
        <v>2.6065321501901335E-2</v>
      </c>
      <c r="G35">
        <f t="shared" si="4"/>
        <v>4426725.6813109079</v>
      </c>
      <c r="H35">
        <f t="shared" si="5"/>
        <v>340517.36009999999</v>
      </c>
      <c r="I35">
        <f t="shared" si="6"/>
        <v>0.36009999999077991</v>
      </c>
      <c r="J35">
        <f t="shared" si="7"/>
        <v>2.7770063871857937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E$8*E36*B$7-E49+0.026</f>
        <v>3.3326386571007061E-3</v>
      </c>
      <c r="C36" s="86">
        <f t="shared" si="2"/>
        <v>0</v>
      </c>
      <c r="D36" s="75">
        <f t="shared" si="3"/>
        <v>3.3326386571007061E-3</v>
      </c>
      <c r="E36">
        <f>COUNTIF(tables_491100!C:C,input_491100!A36)-COUNTIF(Q:Q,A36)</f>
        <v>13</v>
      </c>
      <c r="F36" s="43">
        <f t="shared" si="9"/>
        <v>2.5635681977697738E-4</v>
      </c>
      <c r="G36">
        <f t="shared" si="4"/>
        <v>43537.591416363626</v>
      </c>
      <c r="H36">
        <f t="shared" si="5"/>
        <v>3349.04549</v>
      </c>
      <c r="I36">
        <f t="shared" si="6"/>
        <v>4.5489999999972497E-2</v>
      </c>
      <c r="J36">
        <f t="shared" si="7"/>
        <v>21.982853374381286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E$8*E37-B38-C50-0.006</f>
        <v>3.6999999999999901E-2</v>
      </c>
      <c r="C37" s="86">
        <f t="shared" si="2"/>
        <v>0</v>
      </c>
      <c r="D37" s="75">
        <f t="shared" si="3"/>
        <v>3.6999999999999901E-2</v>
      </c>
      <c r="E37">
        <f>COUNTIF(tables_491100!C:C,input_491100!A37)-COUNTIF(Q:Q,A37)</f>
        <v>3</v>
      </c>
      <c r="F37" s="43">
        <f t="shared" si="9"/>
        <v>1.23333333333333E-2</v>
      </c>
      <c r="G37">
        <f t="shared" si="4"/>
        <v>483367.99999999872</v>
      </c>
      <c r="H37">
        <f t="shared" si="5"/>
        <v>161122.66667000001</v>
      </c>
      <c r="I37">
        <f t="shared" si="6"/>
        <v>0.66667000000597909</v>
      </c>
      <c r="J37">
        <f t="shared" si="7"/>
        <v>1.499992500024047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E38*E8*B7-0.006</f>
        <v>2.7272727272727171E-4</v>
      </c>
      <c r="C38" s="86">
        <f t="shared" si="2"/>
        <v>0</v>
      </c>
      <c r="D38" s="75">
        <f t="shared" si="3"/>
        <v>2.7272727272727171E-4</v>
      </c>
      <c r="E38">
        <f>COUNTIF(tables_491100!C:C,input_491100!A38)-COUNTIF(Q:Q,A38)</f>
        <v>5</v>
      </c>
      <c r="F38" s="43">
        <f t="shared" si="9"/>
        <v>5.4545454545454343E-5</v>
      </c>
      <c r="G38">
        <f t="shared" si="4"/>
        <v>3562.9090909090778</v>
      </c>
      <c r="H38">
        <f t="shared" si="5"/>
        <v>712.58181999999999</v>
      </c>
      <c r="I38">
        <f t="shared" si="6"/>
        <v>0.58181999999999334</v>
      </c>
      <c r="J38">
        <f t="shared" si="7"/>
        <v>1.7187446289230544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COUNTIF(tables_491100!C:C,input_491100!A39)-COUNTIF(Q:Q,A39)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2.3836363636363631E-2</v>
      </c>
      <c r="C40" s="86">
        <f t="shared" si="2"/>
        <v>0</v>
      </c>
      <c r="D40" s="75">
        <f t="shared" si="3"/>
        <v>2.3836363636363631E-2</v>
      </c>
      <c r="E40">
        <f>COUNTIF(tables_491100!C:C,input_491100!A40)-COUNTIF(Q:Q,A40)</f>
        <v>1</v>
      </c>
      <c r="F40" s="43">
        <f t="shared" si="9"/>
        <v>2.3836363636363631E-2</v>
      </c>
      <c r="G40">
        <f t="shared" si="4"/>
        <v>311398.25454545446</v>
      </c>
      <c r="H40">
        <f t="shared" si="5"/>
        <v>311398.25455000001</v>
      </c>
      <c r="I40">
        <f t="shared" si="6"/>
        <v>0.25455000001238659</v>
      </c>
      <c r="J40">
        <f t="shared" si="7"/>
        <v>3.9285012765717511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1.2545454545454544E-3</v>
      </c>
      <c r="C41" s="86">
        <f t="shared" si="2"/>
        <v>0</v>
      </c>
      <c r="D41" s="75">
        <f t="shared" si="3"/>
        <v>1.2545454545454544E-3</v>
      </c>
      <c r="E41">
        <f>COUNTIF(tables_491100!C:C,input_491100!A41)-COUNTIF(Q:Q,A41)</f>
        <v>1</v>
      </c>
      <c r="F41" s="43">
        <f t="shared" si="9"/>
        <v>1.2545454545454544E-3</v>
      </c>
      <c r="G41">
        <f t="shared" si="4"/>
        <v>16389.381818181817</v>
      </c>
      <c r="H41">
        <f t="shared" si="5"/>
        <v>16389.381819999999</v>
      </c>
      <c r="I41">
        <f t="shared" si="6"/>
        <v>0.38181999999869731</v>
      </c>
      <c r="J41">
        <f t="shared" si="7"/>
        <v>2.6190351474606142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1.1735294117647057E-2</v>
      </c>
      <c r="C42" s="86">
        <f t="shared" si="2"/>
        <v>0</v>
      </c>
      <c r="D42" s="75">
        <f t="shared" si="3"/>
        <v>1.1735294117647057E-2</v>
      </c>
      <c r="E42">
        <f>COUNTIF(tables_491100!C:C,input_491100!A42)-COUNTIF(Q:Q,A42)</f>
        <v>7</v>
      </c>
      <c r="F42" s="43">
        <f>IFERROR(B42/E42,0)</f>
        <v>1.6764705882352938E-3</v>
      </c>
      <c r="G42">
        <f t="shared" si="4"/>
        <v>153309.88235294115</v>
      </c>
      <c r="H42">
        <f t="shared" si="5"/>
        <v>21901.411759999999</v>
      </c>
      <c r="I42">
        <f t="shared" si="6"/>
        <v>0.41175999999904889</v>
      </c>
      <c r="J42">
        <f t="shared" si="7"/>
        <v>2.4285991839962837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6.1764705882352941E-4</v>
      </c>
      <c r="C43" s="86">
        <f t="shared" si="2"/>
        <v>0</v>
      </c>
      <c r="D43" s="75">
        <f t="shared" si="3"/>
        <v>6.1764705882352941E-4</v>
      </c>
      <c r="E43">
        <f>COUNTIF(tables_491100!C:C,input_491100!A43)-COUNTIF(Q:Q,A43)</f>
        <v>7</v>
      </c>
      <c r="F43" s="43">
        <f t="shared" ref="F43:F46" si="10">IFERROR(B43/E43,0)</f>
        <v>8.8235294117647065E-5</v>
      </c>
      <c r="G43">
        <f t="shared" si="4"/>
        <v>8068.9411764705883</v>
      </c>
      <c r="H43">
        <f t="shared" si="5"/>
        <v>1152.70588</v>
      </c>
      <c r="I43">
        <f t="shared" si="6"/>
        <v>0.70587999999997919</v>
      </c>
      <c r="J43">
        <f t="shared" si="7"/>
        <v>1.4166713889046714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E$6*E44-0.01</f>
        <v>7.6470588235294113E-3</v>
      </c>
      <c r="C44" s="86">
        <f t="shared" si="2"/>
        <v>0</v>
      </c>
      <c r="D44" s="75">
        <f t="shared" si="3"/>
        <v>7.6470588235294113E-3</v>
      </c>
      <c r="E44">
        <f>COUNTIF(tables_491100!C:C,input_491100!A44)-COUNTIF(Q:Q,A44)</f>
        <v>10</v>
      </c>
      <c r="F44" s="43">
        <f t="shared" si="10"/>
        <v>7.6470588235294111E-4</v>
      </c>
      <c r="G44">
        <f t="shared" si="4"/>
        <v>99901.176470588223</v>
      </c>
      <c r="H44">
        <f t="shared" si="5"/>
        <v>9990.1176500000001</v>
      </c>
      <c r="I44">
        <f t="shared" si="6"/>
        <v>0.1176500000001397</v>
      </c>
      <c r="J44">
        <f t="shared" si="7"/>
        <v>8.4997875053022742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COUNTIF(tables_491100!C:C,input_491100!A45)-COUNTIF(Q:Q,A45)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0.03</v>
      </c>
      <c r="C46" s="86">
        <f t="shared" si="2"/>
        <v>0</v>
      </c>
      <c r="D46" s="75">
        <f t="shared" si="3"/>
        <v>0.03</v>
      </c>
      <c r="E46">
        <f>COUNTIF(tables_491100!C:C,input_491100!A46)-COUNTIF(Q:Q,A46)</f>
        <v>1</v>
      </c>
      <c r="F46" s="43">
        <f t="shared" si="10"/>
        <v>0.03</v>
      </c>
      <c r="G46">
        <f t="shared" si="4"/>
        <v>391920</v>
      </c>
      <c r="H46">
        <f t="shared" si="5"/>
        <v>391920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0">
        <f>SUM(B32:B46)</f>
        <v>0.59999999999999987</v>
      </c>
      <c r="E49" s="95">
        <v>3.8976452251990201E-2</v>
      </c>
      <c r="F49" s="95"/>
      <c r="G49" s="106">
        <f ca="1">G57-0.05</f>
        <v>-4.5927844860571554E-12</v>
      </c>
      <c r="H49" s="104"/>
    </row>
    <row r="50" spans="1:8" x14ac:dyDescent="0.15">
      <c r="A50" t="s">
        <v>74</v>
      </c>
      <c r="C50" s="90">
        <v>3.2000000000000098E-2</v>
      </c>
      <c r="D50" s="94"/>
      <c r="E50" s="95"/>
      <c r="F50" s="103"/>
      <c r="G50" s="106"/>
      <c r="H50" s="55"/>
    </row>
    <row r="51" spans="1:8" x14ac:dyDescent="0.15">
      <c r="A51" s="31">
        <f>LCM(F5-I5,F7-I6)*1000*2*2</f>
        <v>13064000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2" t="s">
        <v>283</v>
      </c>
    </row>
    <row r="55" spans="1:8" x14ac:dyDescent="0.15">
      <c r="A55" s="33" t="s">
        <v>106</v>
      </c>
      <c r="B55">
        <f ca="1">SUMIF(tables_491100!C:C,input_491100!A55,tables_491100!O:O)</f>
        <v>0</v>
      </c>
      <c r="C55" s="54">
        <f t="shared" ref="C55:C61" ca="1" si="11">B55/B$62</f>
        <v>0</v>
      </c>
      <c r="E55">
        <v>3</v>
      </c>
      <c r="F55">
        <f ca="1">SUMIF(tables_491100!J:J,input_491100!E55,tables_491100!O:O)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SUMIF(tables_491100!C:C,input_491100!A56,tables_491100!O:O)</f>
        <v>2116809.5999700022</v>
      </c>
      <c r="C56" s="54">
        <f t="shared" ca="1" si="11"/>
        <v>0.84714131125329428</v>
      </c>
      <c r="E56">
        <v>4</v>
      </c>
      <c r="F56">
        <f ca="1">SUMIF(tables_491100!J:J,input_491100!E56,tables_491100!O:O)</f>
        <v>12410799.999819987</v>
      </c>
      <c r="G56">
        <f ca="1">F56/A51</f>
        <v>0.94999999998622064</v>
      </c>
      <c r="H56" s="55">
        <f>B18+B20+B22+B25+B27+B30+B33+B35+B37+B40+B42+B45</f>
        <v>0.95000000000210394</v>
      </c>
    </row>
    <row r="57" spans="1:8" x14ac:dyDescent="0.15">
      <c r="A57" s="33" t="s">
        <v>109</v>
      </c>
      <c r="B57">
        <f ca="1">SUMIF(tables_491100!C:C,input_491100!A57,tables_491100!O:O)</f>
        <v>374595.99996000004</v>
      </c>
      <c r="C57" s="54">
        <f t="shared" ca="1" si="11"/>
        <v>0.1499122767587838</v>
      </c>
      <c r="E57">
        <v>5</v>
      </c>
      <c r="F57">
        <f ca="1">SUMIF(tables_491100!J:J,input_491100!E57,tables_491100!O:O)</f>
        <v>653199.99993999989</v>
      </c>
      <c r="G57">
        <f ca="1">F57/A51</f>
        <v>4.9999999995407218E-2</v>
      </c>
      <c r="H57" s="55">
        <f>B21+B23+B26+B28+B29+B31+B36+B38+B41+B43+B44+B46</f>
        <v>4.9999999997895998E-2</v>
      </c>
    </row>
    <row r="58" spans="1:8" x14ac:dyDescent="0.15">
      <c r="A58" s="33" t="s">
        <v>113</v>
      </c>
      <c r="B58">
        <f>SUMIF(tables_491100!C:C,input_491100!A58,tables_491100!O:O)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SUMIF(tables_491100!C:C,input_491100!A59,tables_491100!O:O)</f>
        <v>1398.3999900000006</v>
      </c>
      <c r="C59" s="54">
        <f t="shared" ca="1" si="11"/>
        <v>5.596357845325257E-4</v>
      </c>
      <c r="E59" t="s">
        <v>55</v>
      </c>
      <c r="F59" s="55"/>
    </row>
    <row r="60" spans="1:8" x14ac:dyDescent="0.15">
      <c r="A60" s="33" t="s">
        <v>110</v>
      </c>
      <c r="B60">
        <f ca="1">SUMIF(tables_491100!C:C,input_491100!A60,tables_491100!O:O)</f>
        <v>5964</v>
      </c>
      <c r="C60" s="54">
        <f t="shared" ca="1" si="11"/>
        <v>2.3867762033894049E-3</v>
      </c>
      <c r="E60" t="s">
        <v>210</v>
      </c>
      <c r="F60" s="55">
        <f ca="1">SUMIF(tables_491100!I:I,input_491100!E60,tables_491100!P:P)</f>
        <v>0.23434673495455033</v>
      </c>
    </row>
    <row r="61" spans="1:8" x14ac:dyDescent="0.15">
      <c r="A61" s="33" t="s">
        <v>111</v>
      </c>
      <c r="B61">
        <f>SUMIF(tables_491100!C:C,input_491100!A61,tables_491100!O:O)</f>
        <v>0</v>
      </c>
      <c r="C61" s="54">
        <f t="shared" ca="1" si="11"/>
        <v>0</v>
      </c>
      <c r="E61" t="s">
        <v>211</v>
      </c>
      <c r="F61" s="55">
        <f ca="1">SUMIF(tables_491100!I:I,input_491100!E61,tables_491100!P:P)</f>
        <v>0.19704717817493056</v>
      </c>
    </row>
    <row r="62" spans="1:8" x14ac:dyDescent="0.15">
      <c r="A62" s="39" t="s">
        <v>60</v>
      </c>
      <c r="B62">
        <f ca="1">SUM(B55:B61)</f>
        <v>2498767.9999200022</v>
      </c>
      <c r="C62" s="55">
        <f ca="1">SUM(C55:C61)</f>
        <v>1</v>
      </c>
      <c r="E62" t="s">
        <v>212</v>
      </c>
      <c r="F62" s="55">
        <f ca="1">SUMIF(tables_491100!I:I,input_491100!E62,tables_491100!P:P)</f>
        <v>0.48860608687364276</v>
      </c>
    </row>
    <row r="63" spans="1:8" x14ac:dyDescent="0.15">
      <c r="E63" t="s">
        <v>213</v>
      </c>
      <c r="F63" s="55">
        <f ca="1">SUMIF(tables_491100!I:I,input_491100!E63,tables_491100!P:P)</f>
        <v>4.906138107025227E-2</v>
      </c>
      <c r="G63" s="96">
        <f ca="1">0.05-F63-F64</f>
        <v>3.6741500683903916E-12</v>
      </c>
    </row>
    <row r="64" spans="1:8" x14ac:dyDescent="0.15">
      <c r="E64" t="s">
        <v>280</v>
      </c>
      <c r="F64" s="55">
        <f ca="1">SUMIF(tables_491100!I:I,input_491100!E64,tables_491100!P:P)</f>
        <v>9.386189260735823E-4</v>
      </c>
      <c r="G64">
        <v>1.0000000001316619E-2</v>
      </c>
    </row>
    <row r="65" spans="5:6" x14ac:dyDescent="0.15">
      <c r="E65" t="s">
        <v>282</v>
      </c>
      <c r="F65" s="55">
        <f ca="1">SUMIF(tables_491100!I:I,input_491100!E65,tables_491100!P:P)</f>
        <v>3.0000000000551159E-2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41"/>
  <sheetViews>
    <sheetView showGridLines="0" zoomScale="70" zoomScaleNormal="70" zoomScalePageLayoutView="70" workbookViewId="0">
      <pane ySplit="1" topLeftCell="A323" activePane="bottomLeft" state="frozen"/>
      <selection activeCell="B13" sqref="B13"/>
      <selection pane="bottomLeft" activeCell="A333" sqref="A33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input_491100!A$2</f>
        <v>491100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IFERROR(VLOOKUP(B2,input_491100!L:R,7,FALSE),VLOOKUP(tables_491100!C2,input_491100!A:H,8,FALSE))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input_491100!A$2</f>
        <v>491100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IFERROR(VLOOKUP(B3,input_491100!L:R,7,FALSE),VLOOKUP(tables_491100!C3,input_491100!A:H,8,FALSE))</f>
        <v>76421.333329999994</v>
      </c>
      <c r="P3" s="46">
        <f t="shared" ca="1" si="2"/>
        <v>5.8497652580682792E-3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input_491100!A$2</f>
        <v>491100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IFERROR(VLOOKUP(B4,input_491100!L:R,7,FALSE),VLOOKUP(tables_491100!C4,input_491100!A:H,8,FALSE))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input_491100!A$2</f>
        <v>491100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IFERROR(VLOOKUP(B5,input_491100!L:R,7,FALSE),VLOOKUP(tables_491100!C5,input_491100!A:H,8,FALSE))</f>
        <v>76421.333329999994</v>
      </c>
      <c r="P5" s="46">
        <f t="shared" ca="1" si="2"/>
        <v>5.8497652580682792E-3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input_491100!A$2</f>
        <v>491100</v>
      </c>
      <c r="B6" s="6">
        <v>130</v>
      </c>
      <c r="C6" s="7" t="str">
        <f t="shared" si="0"/>
        <v>PremiumW3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IFERROR(VLOOKUP(B6,input_491100!L:R,7,FALSE),VLOOKUP(tables_491100!C6,input_491100!A:H,8,FALSE))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input_491100!A$2</f>
        <v>491100</v>
      </c>
      <c r="B7" s="6">
        <v>131</v>
      </c>
      <c r="C7" s="7" t="str">
        <f t="shared" si="0"/>
        <v>PremiumW4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IFERROR(VLOOKUP(B7,input_491100!L:R,7,FALSE),VLOOKUP(tables_491100!C7,input_491100!A:H,8,FALSE))</f>
        <v>76421.333329999994</v>
      </c>
      <c r="P7" s="46">
        <f t="shared" ca="1" si="2"/>
        <v>5.8497652580682792E-3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input_491100!A$2</f>
        <v>491100</v>
      </c>
      <c r="B8" s="6">
        <v>132</v>
      </c>
      <c r="C8" s="7" t="str">
        <f t="shared" si="0"/>
        <v>PremiumW3color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IFERROR(VLOOKUP(B8,input_491100!L:R,7,FALSE),VLOOKUP(tables_491100!C8,input_491100!A:H,8,FALSE))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input_491100!A$2</f>
        <v>491100</v>
      </c>
      <c r="B9" s="6">
        <v>133</v>
      </c>
      <c r="C9" s="7" t="str">
        <f t="shared" si="0"/>
        <v>PremiumW4color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IFERROR(VLOOKUP(B9,input_491100!L:R,7,FALSE),VLOOKUP(tables_491100!C9,input_491100!A:H,8,FALSE))</f>
        <v>380043.63636</v>
      </c>
      <c r="P9" s="46">
        <f t="shared" ca="1" si="2"/>
        <v>2.9090909091165199E-2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input_491100!A$2</f>
        <v>491100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IFERROR(VLOOKUP(B10,input_491100!L:R,7,FALSE),VLOOKUP(tables_491100!C10,input_491100!A:H,8,FALSE))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input_491100!A$2</f>
        <v>491100</v>
      </c>
      <c r="B11" s="8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IFERROR(VLOOKUP(B11,input_491100!L:R,7,FALSE),VLOOKUP(tables_491100!C11,input_491100!A:H,8,FALSE))</f>
        <v>76421.333329999994</v>
      </c>
      <c r="P11" s="46">
        <f t="shared" ca="1" si="2"/>
        <v>5.8497652580682792E-3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input_491100!A$2</f>
        <v>491100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IFERROR(VLOOKUP(B12,input_491100!L:R,7,FALSE),VLOOKUP(tables_491100!C12,input_491100!A:H,8,FALSE))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input_491100!A$2</f>
        <v>491100</v>
      </c>
      <c r="B13" s="6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IFERROR(VLOOKUP(B13,input_491100!L:R,7,FALSE),VLOOKUP(tables_491100!C13,input_491100!A:H,8,FALSE))</f>
        <v>76421.333329999994</v>
      </c>
      <c r="P13" s="46">
        <f t="shared" ca="1" si="2"/>
        <v>5.8497652580682792E-3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input_491100!A$2</f>
        <v>491100</v>
      </c>
      <c r="B14" s="6">
        <v>138</v>
      </c>
      <c r="C14" s="7" t="str">
        <f t="shared" si="0"/>
        <v>PremiumW3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IFERROR(VLOOKUP(B14,input_491100!L:R,7,FALSE),VLOOKUP(tables_491100!C14,input_491100!A:H,8,FALSE))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input_491100!A$2</f>
        <v>491100</v>
      </c>
      <c r="B15" s="10">
        <v>139</v>
      </c>
      <c r="C15" s="7" t="str">
        <f t="shared" si="0"/>
        <v>PremiumW4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IFERROR(VLOOKUP(B15,input_491100!L:R,7,FALSE),VLOOKUP(tables_491100!C15,input_491100!A:H,8,FALSE))</f>
        <v>76421.333329999994</v>
      </c>
      <c r="P15" s="46">
        <f t="shared" ca="1" si="2"/>
        <v>5.8497652580682792E-3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input_491100!A$2</f>
        <v>491100</v>
      </c>
      <c r="B16" s="11">
        <v>140</v>
      </c>
      <c r="C16" s="7" t="str">
        <f t="shared" si="0"/>
        <v>PremiumW3color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IFERROR(VLOOKUP(B16,input_491100!L:R,7,FALSE),VLOOKUP(tables_491100!C16,input_491100!A:H,8,FALSE))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input_491100!A$2</f>
        <v>491100</v>
      </c>
      <c r="B17" s="6">
        <v>141</v>
      </c>
      <c r="C17" s="7" t="str">
        <f t="shared" si="0"/>
        <v>PremiumW4color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IFERROR(VLOOKUP(B17,input_491100!L:R,7,FALSE),VLOOKUP(tables_491100!C17,input_491100!A:H,8,FALSE))</f>
        <v>380043.63636</v>
      </c>
      <c r="P17" s="46">
        <f t="shared" ca="1" si="2"/>
        <v>2.9090909091165199E-2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input_491100!A$2</f>
        <v>491100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IFERROR(VLOOKUP(B18,input_491100!L:R,7,FALSE),VLOOKUP(tables_491100!C18,input_491100!A:H,8,FALSE))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input_491100!A$2</f>
        <v>491100</v>
      </c>
      <c r="B19" s="10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IFERROR(VLOOKUP(B19,input_491100!L:R,7,FALSE),VLOOKUP(tables_491100!C19,input_491100!A:H,8,FALSE))</f>
        <v>76421.333329999994</v>
      </c>
      <c r="P19" s="46">
        <f t="shared" ca="1" si="2"/>
        <v>5.8497652580682792E-3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input_491100!A$2</f>
        <v>491100</v>
      </c>
      <c r="B20" s="6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IFERROR(VLOOKUP(B20,input_491100!L:R,7,FALSE),VLOOKUP(tables_491100!C20,input_491100!A:H,8,FALSE))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input_491100!A$2</f>
        <v>491100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IFERROR(VLOOKUP(B21,input_491100!L:R,7,FALSE),VLOOKUP(tables_491100!C21,input_491100!A:H,8,FALSE))</f>
        <v>76421.333329999994</v>
      </c>
      <c r="P21" s="46">
        <f t="shared" ca="1" si="2"/>
        <v>5.8497652580682792E-3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input_491100!A$2</f>
        <v>491100</v>
      </c>
      <c r="B22" s="6">
        <v>146</v>
      </c>
      <c r="C22" s="7" t="str">
        <f t="shared" si="0"/>
        <v>PremiumW3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IFERROR(VLOOKUP(B22,input_491100!L:R,7,FALSE),VLOOKUP(tables_491100!C22,input_491100!A:H,8,FALSE))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input_491100!A$2</f>
        <v>491100</v>
      </c>
      <c r="B23" s="6">
        <v>147</v>
      </c>
      <c r="C23" s="7" t="str">
        <f t="shared" si="0"/>
        <v>PremiumW4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IFERROR(VLOOKUP(B23,input_491100!L:R,7,FALSE),VLOOKUP(tables_491100!C23,input_491100!A:H,8,FALSE))</f>
        <v>76421.333329999994</v>
      </c>
      <c r="P23" s="46">
        <f t="shared" ca="1" si="2"/>
        <v>5.8497652580682792E-3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input_491100!A$2</f>
        <v>491100</v>
      </c>
      <c r="B24" s="6">
        <v>148</v>
      </c>
      <c r="C24" s="7" t="str">
        <f t="shared" si="0"/>
        <v>PremiumW3color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IFERROR(VLOOKUP(B24,input_491100!L:R,7,FALSE),VLOOKUP(tables_491100!C24,input_491100!A:H,8,FALSE))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input_491100!A$2</f>
        <v>491100</v>
      </c>
      <c r="B25" s="6">
        <v>149</v>
      </c>
      <c r="C25" s="7" t="str">
        <f t="shared" si="0"/>
        <v>PremiumW4color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IFERROR(VLOOKUP(B25,input_491100!L:R,7,FALSE),VLOOKUP(tables_491100!C25,input_491100!A:H,8,FALSE))</f>
        <v>380043.63636</v>
      </c>
      <c r="P25" s="46">
        <f t="shared" ca="1" si="2"/>
        <v>2.9090909091165199E-2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input_491100!A$2</f>
        <v>491100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IFERROR(VLOOKUP(B26,input_491100!L:R,7,FALSE),VLOOKUP(tables_491100!C26,input_491100!A:H,8,FALSE))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input_491100!A$2</f>
        <v>491100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IFERROR(VLOOKUP(B27,input_491100!L:R,7,FALSE),VLOOKUP(tables_491100!C27,input_491100!A:H,8,FALSE))</f>
        <v>76421.333329999994</v>
      </c>
      <c r="P27" s="46">
        <f t="shared" ca="1" si="2"/>
        <v>5.8497652580682792E-3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input_491100!A$2</f>
        <v>491100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IFERROR(VLOOKUP(B28,input_491100!L:R,7,FALSE),VLOOKUP(tables_491100!C28,input_491100!A:H,8,FALSE))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input_491100!A$2</f>
        <v>491100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IFERROR(VLOOKUP(B29,input_491100!L:R,7,FALSE),VLOOKUP(tables_491100!C29,input_491100!A:H,8,FALSE))</f>
        <v>76421.333329999994</v>
      </c>
      <c r="P29" s="46">
        <f t="shared" ca="1" si="2"/>
        <v>5.8497652580682792E-3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input_491100!A$2</f>
        <v>491100</v>
      </c>
      <c r="B30" s="6">
        <v>154</v>
      </c>
      <c r="C30" s="7" t="str">
        <f t="shared" si="0"/>
        <v>PremiumW3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IFERROR(VLOOKUP(B30,input_491100!L:R,7,FALSE),VLOOKUP(tables_491100!C30,input_491100!A:H,8,FALSE))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input_491100!A$2</f>
        <v>491100</v>
      </c>
      <c r="B31" s="6">
        <v>155</v>
      </c>
      <c r="C31" s="7" t="str">
        <f t="shared" si="0"/>
        <v>PremiumW4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IFERROR(VLOOKUP(B31,input_491100!L:R,7,FALSE),VLOOKUP(tables_491100!C31,input_491100!A:H,8,FALSE))</f>
        <v>76421.333329999994</v>
      </c>
      <c r="P31" s="46">
        <f t="shared" ca="1" si="2"/>
        <v>5.8497652580682792E-3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input_491100!A$2</f>
        <v>491100</v>
      </c>
      <c r="B32" s="6">
        <v>156</v>
      </c>
      <c r="C32" s="7" t="str">
        <f t="shared" si="0"/>
        <v>PremiumW3color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IFERROR(VLOOKUP(B32,input_491100!L:R,7,FALSE),VLOOKUP(tables_491100!C32,input_491100!A:H,8,FALSE))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input_491100!A$2</f>
        <v>491100</v>
      </c>
      <c r="B33" s="6">
        <v>157</v>
      </c>
      <c r="C33" s="7" t="str">
        <f t="shared" si="0"/>
        <v>PremiumW4color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IFERROR(VLOOKUP(B33,input_491100!L:R,7,FALSE),VLOOKUP(tables_491100!C33,input_491100!A:H,8,FALSE))</f>
        <v>380043.63636</v>
      </c>
      <c r="P33" s="46">
        <f t="shared" ca="1" si="2"/>
        <v>2.9090909091165199E-2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input_491100!A$2</f>
        <v>491100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IFERROR(VLOOKUP(B34,input_491100!L:R,7,FALSE),VLOOKUP(tables_491100!C34,input_491100!A:H,8,FALSE))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input_491100!A$2</f>
        <v>491100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IFERROR(VLOOKUP(B35,input_491100!L:R,7,FALSE),VLOOKUP(tables_491100!C35,input_491100!A:H,8,FALSE))</f>
        <v>76421.333329999994</v>
      </c>
      <c r="P35" s="46">
        <f t="shared" ca="1" si="2"/>
        <v>5.8497652580682792E-3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input_491100!A$2</f>
        <v>491100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IFERROR(VLOOKUP(B36,input_491100!L:R,7,FALSE),VLOOKUP(tables_491100!C36,input_491100!A:H,8,FALSE))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input_491100!A$2</f>
        <v>491100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IFERROR(VLOOKUP(B37,input_491100!L:R,7,FALSE),VLOOKUP(tables_491100!C37,input_491100!A:H,8,FALSE))</f>
        <v>76421.333329999994</v>
      </c>
      <c r="P37" s="46">
        <f t="shared" ca="1" si="2"/>
        <v>5.8497652580682792E-3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input_491100!A$2</f>
        <v>491100</v>
      </c>
      <c r="B38" s="6">
        <v>162</v>
      </c>
      <c r="C38" s="7" t="str">
        <f t="shared" si="0"/>
        <v>PremiumW3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IFERROR(VLOOKUP(B38,input_491100!L:R,7,FALSE),VLOOKUP(tables_491100!C38,input_491100!A:H,8,FALSE))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input_491100!A$2</f>
        <v>491100</v>
      </c>
      <c r="B39" s="6">
        <v>163</v>
      </c>
      <c r="C39" s="7" t="str">
        <f t="shared" si="0"/>
        <v>PremiumW4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IFERROR(VLOOKUP(B39,input_491100!L:R,7,FALSE),VLOOKUP(tables_491100!C39,input_491100!A:H,8,FALSE))</f>
        <v>76421.333329999994</v>
      </c>
      <c r="P39" s="46">
        <f t="shared" ca="1" si="2"/>
        <v>5.8497652580682792E-3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input_491100!A$2</f>
        <v>491100</v>
      </c>
      <c r="B40" s="6">
        <v>164</v>
      </c>
      <c r="C40" s="7" t="str">
        <f t="shared" si="0"/>
        <v>PremiumW3color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IFERROR(VLOOKUP(B40,input_491100!L:R,7,FALSE),VLOOKUP(tables_491100!C40,input_491100!A:H,8,FALSE))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input_491100!A$2</f>
        <v>491100</v>
      </c>
      <c r="B41" s="6">
        <v>165</v>
      </c>
      <c r="C41" s="7" t="str">
        <f t="shared" si="0"/>
        <v>PremiumW4color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IFERROR(VLOOKUP(B41,input_491100!L:R,7,FALSE),VLOOKUP(tables_491100!C41,input_491100!A:H,8,FALSE))</f>
        <v>380043.63636</v>
      </c>
      <c r="P41" s="46">
        <f t="shared" ca="1" si="2"/>
        <v>2.9090909091165199E-2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input_491100!A$2</f>
        <v>491100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IFERROR(VLOOKUP(B42,input_491100!L:R,7,FALSE),VLOOKUP(tables_491100!C42,input_491100!A:H,8,FALSE))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input_491100!A$2</f>
        <v>491100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IFERROR(VLOOKUP(B43,input_491100!L:R,7,FALSE),VLOOKUP(tables_491100!C43,input_491100!A:H,8,FALSE))</f>
        <v>64326.400000000001</v>
      </c>
      <c r="P43" s="46">
        <f t="shared" ca="1" si="2"/>
        <v>4.9239436620622939E-3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input_491100!A$2</f>
        <v>491100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IFERROR(VLOOKUP(B44,input_491100!L:R,7,FALSE),VLOOKUP(tables_491100!C44,input_491100!A:H,8,FALSE))</f>
        <v>3385.6</v>
      </c>
      <c r="P44" s="46">
        <f t="shared" ca="1" si="2"/>
        <v>2.5915492958222597E-4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input_491100!A$2</f>
        <v>491100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IFERROR(VLOOKUP(B45,input_491100!L:R,7,FALSE),VLOOKUP(tables_491100!C45,input_491100!A:H,8,FALSE))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input_491100!A$2</f>
        <v>491100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IFERROR(VLOOKUP(B46,input_491100!L:R,7,FALSE),VLOOKUP(tables_491100!C46,input_491100!A:H,8,FALSE))</f>
        <v>64326.400000000001</v>
      </c>
      <c r="P46" s="46">
        <f t="shared" ca="1" si="2"/>
        <v>4.9239436620622939E-3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input_491100!A$2</f>
        <v>491100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IFERROR(VLOOKUP(B47,input_491100!L:R,7,FALSE),VLOOKUP(tables_491100!C47,input_491100!A:H,8,FALSE))</f>
        <v>3385.6</v>
      </c>
      <c r="P47" s="46">
        <f t="shared" ca="1" si="2"/>
        <v>2.5915492958222597E-4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input_491100!A$2</f>
        <v>491100</v>
      </c>
      <c r="B48" s="6">
        <v>172</v>
      </c>
      <c r="C48" s="7" t="str">
        <f t="shared" si="0"/>
        <v>Premium3R6release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IFERROR(VLOOKUP(B48,input_491100!L:R,7,FALSE),VLOOKUP(tables_491100!C48,input_491100!A:H,8,FALSE))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input_491100!A$2</f>
        <v>491100</v>
      </c>
      <c r="B49" s="6">
        <v>173</v>
      </c>
      <c r="C49" s="7" t="str">
        <f t="shared" si="0"/>
        <v>Premium4R6release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IFERROR(VLOOKUP(B49,input_491100!L:R,7,FALSE),VLOOKUP(tables_491100!C49,input_491100!A:H,8,FALSE))</f>
        <v>64326.400000000001</v>
      </c>
      <c r="P49" s="46">
        <f t="shared" ca="1" si="2"/>
        <v>4.9239436620622939E-3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input_491100!A$2</f>
        <v>491100</v>
      </c>
      <c r="B50" s="6">
        <v>174</v>
      </c>
      <c r="C50" s="7" t="str">
        <f t="shared" si="0"/>
        <v>Premium5R6release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IFERROR(VLOOKUP(B50,input_491100!L:R,7,FALSE),VLOOKUP(tables_491100!C50,input_491100!A:H,8,FALSE))</f>
        <v>3385.6</v>
      </c>
      <c r="P50" s="46">
        <f t="shared" ca="1" si="2"/>
        <v>2.5915492958222597E-4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input_491100!A$2</f>
        <v>491100</v>
      </c>
      <c r="B51" s="6">
        <v>175</v>
      </c>
      <c r="C51" s="7" t="str">
        <f t="shared" si="0"/>
        <v>Premium3color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IFERROR(VLOOKUP(B51,input_491100!L:R,7,FALSE),VLOOKUP(tables_491100!C51,input_491100!A:H,8,FALSE))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input_491100!A$2</f>
        <v>491100</v>
      </c>
      <c r="B52" s="6">
        <v>176</v>
      </c>
      <c r="C52" s="7" t="str">
        <f t="shared" si="0"/>
        <v>Premium4color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IFERROR(VLOOKUP(B52,input_491100!L:R,7,FALSE),VLOOKUP(tables_491100!C52,input_491100!A:H,8,FALSE))</f>
        <v>340517.36009999999</v>
      </c>
      <c r="P52" s="46">
        <f t="shared" ca="1" si="2"/>
        <v>2.6065321502315979E-2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input_491100!A$2</f>
        <v>491100</v>
      </c>
      <c r="B53" s="6">
        <v>177</v>
      </c>
      <c r="C53" s="7" t="str">
        <f t="shared" si="0"/>
        <v>Premium5color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IFERROR(VLOOKUP(B53,input_491100!L:R,7,FALSE),VLOOKUP(tables_491100!C53,input_491100!A:H,8,FALSE))</f>
        <v>3349.04549</v>
      </c>
      <c r="P53" s="46">
        <f t="shared" ca="1" si="2"/>
        <v>2.5635681950869019E-4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input_491100!A$2</f>
        <v>491100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IFERROR(VLOOKUP(B54,input_491100!L:R,7,FALSE),VLOOKUP(tables_491100!C54,input_491100!A:H,8,FALSE))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input_491100!A$2</f>
        <v>491100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IFERROR(VLOOKUP(B55,input_491100!L:R,7,FALSE),VLOOKUP(tables_491100!C55,input_491100!A:H,8,FALSE))</f>
        <v>54277.16923</v>
      </c>
      <c r="P55" s="46">
        <f t="shared" ca="1" si="2"/>
        <v>4.15471289275851E-3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input_491100!A$2</f>
        <v>491100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IFERROR(VLOOKUP(B56,input_491100!L:R,7,FALSE),VLOOKUP(tables_491100!C56,input_491100!A:H,8,FALSE))</f>
        <v>35.856409999999997</v>
      </c>
      <c r="P56" s="46">
        <f t="shared" ca="1" si="2"/>
        <v>2.7446731476315637E-6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input_491100!A$2</f>
        <v>491100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IFERROR(VLOOKUP(B57,input_491100!L:R,7,FALSE),VLOOKUP(tables_491100!C57,input_491100!A:H,8,FALSE))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input_491100!A$2</f>
        <v>491100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IFERROR(VLOOKUP(B58,input_491100!L:R,7,FALSE),VLOOKUP(tables_491100!C58,input_491100!A:H,8,FALSE))</f>
        <v>54277.16923</v>
      </c>
      <c r="P58" s="46">
        <f t="shared" ca="1" si="2"/>
        <v>4.15471289275851E-3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input_491100!A$2</f>
        <v>491100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IFERROR(VLOOKUP(B59,input_491100!L:R,7,FALSE),VLOOKUP(tables_491100!C59,input_491100!A:H,8,FALSE))</f>
        <v>35.856409999999997</v>
      </c>
      <c r="P59" s="46">
        <f t="shared" ca="1" si="2"/>
        <v>2.7446731476315637E-6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input_491100!A$2</f>
        <v>491100</v>
      </c>
      <c r="B60" s="6">
        <v>184</v>
      </c>
      <c r="C60" s="7" t="str">
        <f t="shared" si="0"/>
        <v>Premium3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IFERROR(VLOOKUP(B60,input_491100!L:R,7,FALSE),VLOOKUP(tables_491100!C60,input_491100!A:H,8,FALSE))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input_491100!A$2</f>
        <v>491100</v>
      </c>
      <c r="B61" s="8">
        <v>185</v>
      </c>
      <c r="C61" s="7" t="str">
        <f t="shared" si="0"/>
        <v>Premium4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IFERROR(VLOOKUP(B61,input_491100!L:R,7,FALSE),VLOOKUP(tables_491100!C61,input_491100!A:H,8,FALSE))</f>
        <v>54277.16923</v>
      </c>
      <c r="P61" s="46">
        <f t="shared" ca="1" si="2"/>
        <v>4.15471289275851E-3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input_491100!A$2</f>
        <v>491100</v>
      </c>
      <c r="B62" s="8">
        <v>186</v>
      </c>
      <c r="C62" s="7" t="str">
        <f t="shared" si="0"/>
        <v>Premium5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IFERROR(VLOOKUP(B62,input_491100!L:R,7,FALSE),VLOOKUP(tables_491100!C62,input_491100!A:H,8,FALSE))</f>
        <v>35.856409999999997</v>
      </c>
      <c r="P62" s="46">
        <f t="shared" ca="1" si="2"/>
        <v>2.7446731476315637E-6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input_491100!A$2</f>
        <v>491100</v>
      </c>
      <c r="B63" s="8">
        <v>187</v>
      </c>
      <c r="C63" s="7" t="str">
        <f t="shared" si="0"/>
        <v>Premium3color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IFERROR(VLOOKUP(B63,input_491100!L:R,7,FALSE),VLOOKUP(tables_491100!C63,input_491100!A:H,8,FALSE))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input_491100!A$2</f>
        <v>491100</v>
      </c>
      <c r="B64" s="8">
        <v>188</v>
      </c>
      <c r="C64" s="7" t="str">
        <f t="shared" si="0"/>
        <v>Premium4color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IFERROR(VLOOKUP(B64,input_491100!L:R,7,FALSE),VLOOKUP(tables_491100!C64,input_491100!A:H,8,FALSE))</f>
        <v>340517.36009999999</v>
      </c>
      <c r="P64" s="46">
        <f t="shared" ca="1" si="2"/>
        <v>2.6065321502315979E-2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input_491100!A$2</f>
        <v>491100</v>
      </c>
      <c r="B65" s="6">
        <v>189</v>
      </c>
      <c r="C65" s="7" t="str">
        <f t="shared" si="0"/>
        <v>Premium5color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IFERROR(VLOOKUP(B65,input_491100!L:R,7,FALSE),VLOOKUP(tables_491100!C65,input_491100!A:H,8,FALSE))</f>
        <v>3349.04549</v>
      </c>
      <c r="P65" s="46">
        <f t="shared" ca="1" si="2"/>
        <v>2.5635681950869019E-4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input_491100!A$2</f>
        <v>491100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IF(K66="yellow","color","")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IFERROR(VLOOKUP(B66,input_491100!L:R,7,FALSE),VLOOKUP(tables_491100!C66,input_491100!A:H,8,FALSE))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input_491100!A$2</f>
        <v>491100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IFERROR(VLOOKUP(B67,input_491100!L:R,7,FALSE),VLOOKUP(tables_491100!C67,input_491100!A:H,8,FALSE))</f>
        <v>54277.16923</v>
      </c>
      <c r="P67" s="46">
        <f t="shared" ca="1" si="6"/>
        <v>4.15471289275851E-3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input_491100!A$2</f>
        <v>491100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IFERROR(VLOOKUP(B68,input_491100!L:R,7,FALSE),VLOOKUP(tables_491100!C68,input_491100!A:H,8,FALSE))</f>
        <v>35.856409999999997</v>
      </c>
      <c r="P68" s="46">
        <f t="shared" ca="1" si="6"/>
        <v>2.7446731476315637E-6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input_491100!A$2</f>
        <v>491100</v>
      </c>
      <c r="B69" s="10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IFERROR(VLOOKUP(B69,input_491100!L:R,7,FALSE),VLOOKUP(tables_491100!C69,input_491100!A:H,8,FALSE))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input_491100!A$2</f>
        <v>491100</v>
      </c>
      <c r="B70" s="6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IFERROR(VLOOKUP(B70,input_491100!L:R,7,FALSE),VLOOKUP(tables_491100!C70,input_491100!A:H,8,FALSE))</f>
        <v>54277.16923</v>
      </c>
      <c r="P70" s="46">
        <f t="shared" ca="1" si="6"/>
        <v>4.15471289275851E-3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input_491100!A$2</f>
        <v>491100</v>
      </c>
      <c r="B71" s="10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IFERROR(VLOOKUP(B71,input_491100!L:R,7,FALSE),VLOOKUP(tables_491100!C71,input_491100!A:H,8,FALSE))</f>
        <v>35.856409999999997</v>
      </c>
      <c r="P71" s="46">
        <f t="shared" ca="1" si="6"/>
        <v>2.7446731476315637E-6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input_491100!A$2</f>
        <v>491100</v>
      </c>
      <c r="B72" s="11">
        <v>196</v>
      </c>
      <c r="C72" s="7" t="str">
        <f t="shared" si="4"/>
        <v>Premium3color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IFERROR(VLOOKUP(B72,input_491100!L:R,7,FALSE),VLOOKUP(tables_491100!C72,input_491100!A:H,8,FALSE))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input_491100!A$2</f>
        <v>491100</v>
      </c>
      <c r="B73" s="6">
        <v>197</v>
      </c>
      <c r="C73" s="7" t="str">
        <f t="shared" si="4"/>
        <v>Premium4color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IFERROR(VLOOKUP(B73,input_491100!L:R,7,FALSE),VLOOKUP(tables_491100!C73,input_491100!A:H,8,FALSE))</f>
        <v>340517.36009999999</v>
      </c>
      <c r="P73" s="46">
        <f t="shared" ca="1" si="6"/>
        <v>2.6065321502315979E-2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input_491100!A$2</f>
        <v>491100</v>
      </c>
      <c r="B74" s="6">
        <v>198</v>
      </c>
      <c r="C74" s="7" t="str">
        <f t="shared" si="4"/>
        <v>Premium5color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IFERROR(VLOOKUP(B74,input_491100!L:R,7,FALSE),VLOOKUP(tables_491100!C74,input_491100!A:H,8,FALSE))</f>
        <v>3349.04549</v>
      </c>
      <c r="P74" s="46">
        <f t="shared" ca="1" si="6"/>
        <v>2.5635681950869019E-4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input_491100!A$2</f>
        <v>491100</v>
      </c>
      <c r="B75" s="6">
        <v>199</v>
      </c>
      <c r="C75" s="7" t="str">
        <f t="shared" si="4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IFERROR(VLOOKUP(B75,input_491100!L:R,7,FALSE),VLOOKUP(tables_491100!C75,input_491100!A:H,8,FALSE))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input_491100!A$2</f>
        <v>491100</v>
      </c>
      <c r="B76" s="5">
        <v>200</v>
      </c>
      <c r="C76" s="7" t="str">
        <f t="shared" si="4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IFERROR(VLOOKUP(B76,input_491100!L:R,7,FALSE),VLOOKUP(tables_491100!C76,input_491100!A:H,8,FALSE))</f>
        <v>54277.16923</v>
      </c>
      <c r="P76" s="46">
        <f t="shared" ca="1" si="6"/>
        <v>4.15471289275851E-3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input_491100!A$2</f>
        <v>491100</v>
      </c>
      <c r="B77" s="5">
        <v>201</v>
      </c>
      <c r="C77" s="7" t="str">
        <f t="shared" si="4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IFERROR(VLOOKUP(B77,input_491100!L:R,7,FALSE),VLOOKUP(tables_491100!C77,input_491100!A:H,8,FALSE))</f>
        <v>35.856409999999997</v>
      </c>
      <c r="P77" s="46">
        <f t="shared" ca="1" si="6"/>
        <v>2.7446731476315637E-6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input_491100!A$2</f>
        <v>491100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IFERROR(VLOOKUP(B78,input_491100!L:R,7,FALSE),VLOOKUP(tables_491100!C78,input_491100!A:H,8,FALSE))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input_491100!A$2</f>
        <v>491100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IFERROR(VLOOKUP(B79,input_491100!L:R,7,FALSE),VLOOKUP(tables_491100!C79,input_491100!A:H,8,FALSE))</f>
        <v>54277.16923</v>
      </c>
      <c r="P79" s="46">
        <f t="shared" ca="1" si="6"/>
        <v>4.15471289275851E-3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input_491100!A$2</f>
        <v>491100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IFERROR(VLOOKUP(B80,input_491100!L:R,7,FALSE),VLOOKUP(tables_491100!C80,input_491100!A:H,8,FALSE))</f>
        <v>35.856409999999997</v>
      </c>
      <c r="P80" s="46">
        <f t="shared" ca="1" si="6"/>
        <v>2.7446731476315637E-6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input_491100!A$2</f>
        <v>491100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IFERROR(VLOOKUP(B81,input_491100!L:R,7,FALSE),VLOOKUP(tables_491100!C81,input_491100!A:H,8,FALSE))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input_491100!A$2</f>
        <v>491100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IFERROR(VLOOKUP(B82,input_491100!L:R,7,FALSE),VLOOKUP(tables_491100!C82,input_491100!A:H,8,FALSE))</f>
        <v>54277.16923</v>
      </c>
      <c r="P82" s="46">
        <f t="shared" ca="1" si="6"/>
        <v>4.15471289275851E-3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input_491100!A$2</f>
        <v>491100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IFERROR(VLOOKUP(B83,input_491100!L:R,7,FALSE),VLOOKUP(tables_491100!C83,input_491100!A:H,8,FALSE))</f>
        <v>35.856409999999997</v>
      </c>
      <c r="P83" s="46">
        <f t="shared" ca="1" si="6"/>
        <v>2.7446731476315637E-6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input_491100!A$2</f>
        <v>491100</v>
      </c>
      <c r="B84" s="5">
        <v>208</v>
      </c>
      <c r="C84" s="7" t="str">
        <f t="shared" si="4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IFERROR(VLOOKUP(B84,input_491100!L:R,7,FALSE),VLOOKUP(tables_491100!C84,input_491100!A:H,8,FALSE))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input_491100!A$2</f>
        <v>491100</v>
      </c>
      <c r="B85" s="5">
        <v>209</v>
      </c>
      <c r="C85" s="7" t="str">
        <f t="shared" si="4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IFERROR(VLOOKUP(B85,input_491100!L:R,7,FALSE),VLOOKUP(tables_491100!C85,input_491100!A:H,8,FALSE))</f>
        <v>54277.16923</v>
      </c>
      <c r="P85" s="46">
        <f t="shared" ca="1" si="6"/>
        <v>4.15471289275851E-3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input_491100!A$2</f>
        <v>491100</v>
      </c>
      <c r="B86" s="5">
        <v>210</v>
      </c>
      <c r="C86" s="7" t="str">
        <f t="shared" si="4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IFERROR(VLOOKUP(B86,input_491100!L:R,7,FALSE),VLOOKUP(tables_491100!C86,input_491100!A:H,8,FALSE))</f>
        <v>35.856409999999997</v>
      </c>
      <c r="P86" s="46">
        <f t="shared" ca="1" si="6"/>
        <v>2.7446731476315637E-6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input_491100!A$2</f>
        <v>491100</v>
      </c>
      <c r="B87" s="5">
        <v>211</v>
      </c>
      <c r="C87" s="7" t="str">
        <f t="shared" si="4"/>
        <v>Premium3color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IFERROR(VLOOKUP(B87,input_491100!L:R,7,FALSE),VLOOKUP(tables_491100!C87,input_491100!A:H,8,FALSE))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input_491100!A$2</f>
        <v>491100</v>
      </c>
      <c r="B88" s="5">
        <v>212</v>
      </c>
      <c r="C88" s="7" t="str">
        <f t="shared" si="4"/>
        <v>Premium4color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IFERROR(VLOOKUP(B88,input_491100!L:R,7,FALSE),VLOOKUP(tables_491100!C88,input_491100!A:H,8,FALSE))</f>
        <v>340517.36009999999</v>
      </c>
      <c r="P88" s="46">
        <f t="shared" ca="1" si="6"/>
        <v>2.6065321502315979E-2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input_491100!A$2</f>
        <v>491100</v>
      </c>
      <c r="B89" s="5">
        <v>213</v>
      </c>
      <c r="C89" s="7" t="str">
        <f t="shared" si="4"/>
        <v>Premium5color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IFERROR(VLOOKUP(B89,input_491100!L:R,7,FALSE),VLOOKUP(tables_491100!C89,input_491100!A:H,8,FALSE))</f>
        <v>3349.04549</v>
      </c>
      <c r="P89" s="46">
        <f t="shared" ca="1" si="6"/>
        <v>2.5635681950869019E-4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input_491100!A$2</f>
        <v>491100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IFERROR(VLOOKUP(B90,input_491100!L:R,7,FALSE),VLOOKUP(tables_491100!C90,input_491100!A:H,8,FALSE))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input_491100!A$2</f>
        <v>491100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IFERROR(VLOOKUP(B91,input_491100!L:R,7,FALSE),VLOOKUP(tables_491100!C91,input_491100!A:H,8,FALSE))</f>
        <v>54277.16923</v>
      </c>
      <c r="P91" s="46">
        <f t="shared" ca="1" si="6"/>
        <v>4.15471289275851E-3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input_491100!A$2</f>
        <v>491100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IFERROR(VLOOKUP(B92,input_491100!L:R,7,FALSE),VLOOKUP(tables_491100!C92,input_491100!A:H,8,FALSE))</f>
        <v>35.856409999999997</v>
      </c>
      <c r="P92" s="46">
        <f t="shared" ca="1" si="6"/>
        <v>2.7446731476315637E-6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input_491100!A$2</f>
        <v>491100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IFERROR(VLOOKUP(B93,input_491100!L:R,7,FALSE),VLOOKUP(tables_491100!C93,input_491100!A:H,8,FALSE))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input_491100!A$2</f>
        <v>491100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IFERROR(VLOOKUP(B94,input_491100!L:R,7,FALSE),VLOOKUP(tables_491100!C94,input_491100!A:H,8,FALSE))</f>
        <v>54277.16923</v>
      </c>
      <c r="P94" s="46">
        <f t="shared" ca="1" si="6"/>
        <v>4.15471289275851E-3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input_491100!A$2</f>
        <v>491100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IFERROR(VLOOKUP(B95,input_491100!L:R,7,FALSE),VLOOKUP(tables_491100!C95,input_491100!A:H,8,FALSE))</f>
        <v>35.856409999999997</v>
      </c>
      <c r="P95" s="46">
        <f t="shared" ca="1" si="6"/>
        <v>2.7446731476315637E-6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input_491100!A$2</f>
        <v>491100</v>
      </c>
      <c r="B96" s="5">
        <v>220</v>
      </c>
      <c r="C96" s="7" t="str">
        <f t="shared" si="4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IFERROR(VLOOKUP(B96,input_491100!L:R,7,FALSE),VLOOKUP(tables_491100!C96,input_491100!A:H,8,FALSE))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input_491100!A$2</f>
        <v>491100</v>
      </c>
      <c r="B97" s="5">
        <v>221</v>
      </c>
      <c r="C97" s="7" t="str">
        <f t="shared" si="4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IFERROR(VLOOKUP(B97,input_491100!L:R,7,FALSE),VLOOKUP(tables_491100!C97,input_491100!A:H,8,FALSE))</f>
        <v>54277.16923</v>
      </c>
      <c r="P97" s="46">
        <f t="shared" ca="1" si="6"/>
        <v>4.15471289275851E-3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input_491100!A$2</f>
        <v>491100</v>
      </c>
      <c r="B98" s="5">
        <v>222</v>
      </c>
      <c r="C98" s="7" t="str">
        <f t="shared" si="4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IFERROR(VLOOKUP(B98,input_491100!L:R,7,FALSE),VLOOKUP(tables_491100!C98,input_491100!A:H,8,FALSE))</f>
        <v>35.856409999999997</v>
      </c>
      <c r="P98" s="46">
        <f t="shared" ca="1" si="6"/>
        <v>2.7446731476315637E-6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input_491100!A$2</f>
        <v>491100</v>
      </c>
      <c r="B99" s="5">
        <v>223</v>
      </c>
      <c r="C99" s="7" t="str">
        <f t="shared" si="4"/>
        <v>Premium3color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IFERROR(VLOOKUP(B99,input_491100!L:R,7,FALSE),VLOOKUP(tables_491100!C99,input_491100!A:H,8,FALSE))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input_491100!A$2</f>
        <v>491100</v>
      </c>
      <c r="B100" s="5">
        <v>224</v>
      </c>
      <c r="C100" s="7" t="str">
        <f t="shared" si="4"/>
        <v>Premium4color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IFERROR(VLOOKUP(B100,input_491100!L:R,7,FALSE),VLOOKUP(tables_491100!C100,input_491100!A:H,8,FALSE))</f>
        <v>340517.36009999999</v>
      </c>
      <c r="P100" s="46">
        <f t="shared" ca="1" si="6"/>
        <v>2.6065321502315979E-2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input_491100!A$2</f>
        <v>491100</v>
      </c>
      <c r="B101" s="5">
        <v>225</v>
      </c>
      <c r="C101" s="7" t="str">
        <f t="shared" si="4"/>
        <v>Premium5color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IFERROR(VLOOKUP(B101,input_491100!L:R,7,FALSE),VLOOKUP(tables_491100!C101,input_491100!A:H,8,FALSE))</f>
        <v>3349.04549</v>
      </c>
      <c r="P101" s="46">
        <f t="shared" ca="1" si="6"/>
        <v>2.5635681950869019E-4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input_491100!A$2</f>
        <v>491100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IFERROR(VLOOKUP(B102,input_491100!L:R,7,FALSE),VLOOKUP(tables_491100!C102,input_491100!A:H,8,FALSE))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input_491100!A$2</f>
        <v>491100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IFERROR(VLOOKUP(B103,input_491100!L:R,7,FALSE),VLOOKUP(tables_491100!C103,input_491100!A:H,8,FALSE))</f>
        <v>54277.16923</v>
      </c>
      <c r="P103" s="46">
        <f t="shared" ca="1" si="6"/>
        <v>4.15471289275851E-3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input_491100!A$2</f>
        <v>491100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IFERROR(VLOOKUP(B104,input_491100!L:R,7,FALSE),VLOOKUP(tables_491100!C104,input_491100!A:H,8,FALSE))</f>
        <v>35.856409999999997</v>
      </c>
      <c r="P104" s="46">
        <f t="shared" ca="1" si="6"/>
        <v>2.7446731476315637E-6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input_491100!A$2</f>
        <v>491100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IFERROR(VLOOKUP(B105,input_491100!L:R,7,FALSE),VLOOKUP(tables_491100!C105,input_491100!A:H,8,FALSE))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input_491100!A$2</f>
        <v>491100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IFERROR(VLOOKUP(B106,input_491100!L:R,7,FALSE),VLOOKUP(tables_491100!C106,input_491100!A:H,8,FALSE))</f>
        <v>54277.16923</v>
      </c>
      <c r="P106" s="46">
        <f t="shared" ca="1" si="6"/>
        <v>4.15471289275851E-3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input_491100!A$2</f>
        <v>491100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IFERROR(VLOOKUP(B107,input_491100!L:R,7,FALSE),VLOOKUP(tables_491100!C107,input_491100!A:H,8,FALSE))</f>
        <v>35.856409999999997</v>
      </c>
      <c r="P107" s="46">
        <f t="shared" ca="1" si="6"/>
        <v>2.7446731476315637E-6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input_491100!A$2</f>
        <v>491100</v>
      </c>
      <c r="B108" s="5">
        <v>232</v>
      </c>
      <c r="C108" s="7" t="str">
        <f t="shared" si="4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IFERROR(VLOOKUP(B108,input_491100!L:R,7,FALSE),VLOOKUP(tables_491100!C108,input_491100!A:H,8,FALSE))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input_491100!A$2</f>
        <v>491100</v>
      </c>
      <c r="B109" s="5">
        <v>233</v>
      </c>
      <c r="C109" s="7" t="str">
        <f t="shared" si="4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IFERROR(VLOOKUP(B109,input_491100!L:R,7,FALSE),VLOOKUP(tables_491100!C109,input_491100!A:H,8,FALSE))</f>
        <v>54277.16923</v>
      </c>
      <c r="P109" s="46">
        <f t="shared" ca="1" si="6"/>
        <v>4.15471289275851E-3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input_491100!A$2</f>
        <v>491100</v>
      </c>
      <c r="B110" s="5">
        <v>234</v>
      </c>
      <c r="C110" s="7" t="str">
        <f t="shared" si="4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IFERROR(VLOOKUP(B110,input_491100!L:R,7,FALSE),VLOOKUP(tables_491100!C110,input_491100!A:H,8,FALSE))</f>
        <v>35.856409999999997</v>
      </c>
      <c r="P110" s="46">
        <f t="shared" ca="1" si="6"/>
        <v>2.7446731476315637E-6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input_491100!A$2</f>
        <v>491100</v>
      </c>
      <c r="B111" s="5">
        <v>235</v>
      </c>
      <c r="C111" s="7" t="str">
        <f t="shared" si="4"/>
        <v>Premium3R6releasecolor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IFERROR(VLOOKUP(B111,input_491100!L:R,7,FALSE),VLOOKUP(tables_491100!C111,input_491100!A:H,8,FALSE))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input_491100!A$2</f>
        <v>491100</v>
      </c>
      <c r="B112" s="5">
        <v>236</v>
      </c>
      <c r="C112" s="7" t="str">
        <f t="shared" si="4"/>
        <v>Premium4R6releasecolor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IFERROR(VLOOKUP(B112,input_491100!L:R,7,FALSE),VLOOKUP(tables_491100!C112,input_491100!A:H,8,FALSE))</f>
        <v>311398.25455000001</v>
      </c>
      <c r="P112" s="46">
        <f t="shared" ca="1" si="6"/>
        <v>2.3836363637149496E-2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input_491100!A$2</f>
        <v>491100</v>
      </c>
      <c r="B113" s="5">
        <v>237</v>
      </c>
      <c r="C113" s="7" t="str">
        <f t="shared" si="4"/>
        <v>Premium5R6releasecolor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IFERROR(VLOOKUP(B113,input_491100!L:R,7,FALSE),VLOOKUP(tables_491100!C113,input_491100!A:H,8,FALSE))</f>
        <v>16389.381819999999</v>
      </c>
      <c r="P113" s="46">
        <f t="shared" ca="1" si="6"/>
        <v>1.2545454547076779E-3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input_491100!A$2</f>
        <v>491100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IFERROR(VLOOKUP(B114,input_491100!L:R,7,FALSE),VLOOKUP(tables_491100!C114,input_491100!A:H,8,FALSE))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input_491100!A$2</f>
        <v>491100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IFERROR(VLOOKUP(B115,input_491100!L:R,7,FALSE),VLOOKUP(tables_491100!C115,input_491100!A:H,8,FALSE))</f>
        <v>54277.16923</v>
      </c>
      <c r="P115" s="46">
        <f t="shared" ca="1" si="6"/>
        <v>4.15471289275851E-3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input_491100!A$2</f>
        <v>491100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IFERROR(VLOOKUP(B116,input_491100!L:R,7,FALSE),VLOOKUP(tables_491100!C116,input_491100!A:H,8,FALSE))</f>
        <v>35.856409999999997</v>
      </c>
      <c r="P116" s="46">
        <f t="shared" ca="1" si="6"/>
        <v>2.7446731476315637E-6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input_491100!A$2</f>
        <v>491100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IFERROR(VLOOKUP(B117,input_491100!L:R,7,FALSE),VLOOKUP(tables_491100!C117,input_491100!A:H,8,FALSE))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input_491100!A$2</f>
        <v>491100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IFERROR(VLOOKUP(B118,input_491100!L:R,7,FALSE),VLOOKUP(tables_491100!C118,input_491100!A:H,8,FALSE))</f>
        <v>54277.16923</v>
      </c>
      <c r="P118" s="46">
        <f t="shared" ca="1" si="6"/>
        <v>4.15471289275851E-3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input_491100!A$2</f>
        <v>491100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IFERROR(VLOOKUP(B119,input_491100!L:R,7,FALSE),VLOOKUP(tables_491100!C119,input_491100!A:H,8,FALSE))</f>
        <v>35.856409999999997</v>
      </c>
      <c r="P119" s="46">
        <f t="shared" ca="1" si="6"/>
        <v>2.7446731476315637E-6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input_491100!A$2</f>
        <v>491100</v>
      </c>
      <c r="B120" s="5">
        <v>244</v>
      </c>
      <c r="C120" s="7" t="str">
        <f t="shared" si="4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IFERROR(VLOOKUP(B120,input_491100!L:R,7,FALSE),VLOOKUP(tables_491100!C120,input_491100!A:H,8,FALSE))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input_491100!A$2</f>
        <v>491100</v>
      </c>
      <c r="B121" s="5">
        <v>245</v>
      </c>
      <c r="C121" s="7" t="str">
        <f t="shared" si="4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IFERROR(VLOOKUP(B121,input_491100!L:R,7,FALSE),VLOOKUP(tables_491100!C121,input_491100!A:H,8,FALSE))</f>
        <v>54277.16923</v>
      </c>
      <c r="P121" s="46">
        <f t="shared" ca="1" si="6"/>
        <v>4.15471289275851E-3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input_491100!A$2</f>
        <v>491100</v>
      </c>
      <c r="B122" s="5">
        <v>246</v>
      </c>
      <c r="C122" s="7" t="str">
        <f t="shared" si="4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IFERROR(VLOOKUP(B122,input_491100!L:R,7,FALSE),VLOOKUP(tables_491100!C122,input_491100!A:H,8,FALSE))</f>
        <v>35.856409999999997</v>
      </c>
      <c r="P122" s="46">
        <f t="shared" ca="1" si="6"/>
        <v>2.7446731476315637E-6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input_491100!A$2</f>
        <v>491100</v>
      </c>
      <c r="B123" s="5">
        <v>247</v>
      </c>
      <c r="C123" s="7" t="str">
        <f t="shared" si="4"/>
        <v>Premium3color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IFERROR(VLOOKUP(B123,input_491100!L:R,7,FALSE),VLOOKUP(tables_491100!C123,input_491100!A:H,8,FALSE))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input_491100!A$2</f>
        <v>491100</v>
      </c>
      <c r="B124" s="6">
        <v>248</v>
      </c>
      <c r="C124" s="7" t="str">
        <f t="shared" si="4"/>
        <v>Premium4color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IFERROR(VLOOKUP(B124,input_491100!L:R,7,FALSE),VLOOKUP(tables_491100!C124,input_491100!A:H,8,FALSE))</f>
        <v>340517.36009999999</v>
      </c>
      <c r="P124" s="46">
        <f t="shared" ca="1" si="6"/>
        <v>2.6065321502315979E-2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input_491100!A$2</f>
        <v>491100</v>
      </c>
      <c r="B125" s="6">
        <v>249</v>
      </c>
      <c r="C125" s="7" t="str">
        <f t="shared" si="4"/>
        <v>Premium5color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IFERROR(VLOOKUP(B125,input_491100!L:R,7,FALSE),VLOOKUP(tables_491100!C125,input_491100!A:H,8,FALSE))</f>
        <v>3349.04549</v>
      </c>
      <c r="P125" s="46">
        <f t="shared" ca="1" si="6"/>
        <v>2.5635681950869019E-4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input_491100!A$2</f>
        <v>491100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IFERROR(VLOOKUP(B126,input_491100!L:R,7,FALSE),VLOOKUP(tables_491100!C126,input_491100!A:H,8,FALSE))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input_491100!A$2</f>
        <v>491100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IFERROR(VLOOKUP(B127,input_491100!L:R,7,FALSE),VLOOKUP(tables_491100!C127,input_491100!A:H,8,FALSE))</f>
        <v>54277.16923</v>
      </c>
      <c r="P127" s="46">
        <f t="shared" ca="1" si="6"/>
        <v>4.15471289275851E-3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input_491100!A$2</f>
        <v>491100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IFERROR(VLOOKUP(B128,input_491100!L:R,7,FALSE),VLOOKUP(tables_491100!C128,input_491100!A:H,8,FALSE))</f>
        <v>35.856409999999997</v>
      </c>
      <c r="P128" s="46">
        <f t="shared" ca="1" si="6"/>
        <v>2.7446731476315637E-6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input_491100!A$2</f>
        <v>491100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IFERROR(VLOOKUP(B129,input_491100!L:R,7,FALSE),VLOOKUP(tables_491100!C129,input_491100!A:H,8,FALSE))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input_491100!A$2</f>
        <v>491100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IF(K130="yellow","color","")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IFERROR(VLOOKUP(B130,input_491100!L:R,7,FALSE),VLOOKUP(tables_491100!C130,input_491100!A:H,8,FALSE))</f>
        <v>54277.16923</v>
      </c>
      <c r="P130" s="46">
        <f t="shared" ref="P130:P193" ca="1" si="10">O130/SUM(O:O)</f>
        <v>4.15471289275851E-3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input_491100!A$2</f>
        <v>491100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IFERROR(VLOOKUP(B131,input_491100!L:R,7,FALSE),VLOOKUP(tables_491100!C131,input_491100!A:H,8,FALSE))</f>
        <v>35.856409999999997</v>
      </c>
      <c r="P131" s="46">
        <f t="shared" ca="1" si="10"/>
        <v>2.7446731476315637E-6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input_491100!A$2</f>
        <v>491100</v>
      </c>
      <c r="B132" s="6">
        <v>256</v>
      </c>
      <c r="C132" s="7" t="str">
        <f t="shared" si="8"/>
        <v>Premium3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IFERROR(VLOOKUP(B132,input_491100!L:R,7,FALSE),VLOOKUP(tables_491100!C132,input_491100!A:H,8,FALSE))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input_491100!A$2</f>
        <v>491100</v>
      </c>
      <c r="B133" s="6">
        <v>257</v>
      </c>
      <c r="C133" s="7" t="str">
        <f t="shared" si="8"/>
        <v>Premium4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IFERROR(VLOOKUP(B133,input_491100!L:R,7,FALSE),VLOOKUP(tables_491100!C133,input_491100!A:H,8,FALSE))</f>
        <v>54277.16923</v>
      </c>
      <c r="P133" s="46">
        <f t="shared" ca="1" si="10"/>
        <v>4.15471289275851E-3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input_491100!A$2</f>
        <v>491100</v>
      </c>
      <c r="B134" s="6">
        <v>258</v>
      </c>
      <c r="C134" s="7" t="str">
        <f t="shared" si="8"/>
        <v>Premium5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IFERROR(VLOOKUP(B134,input_491100!L:R,7,FALSE),VLOOKUP(tables_491100!C134,input_491100!A:H,8,FALSE))</f>
        <v>35.856409999999997</v>
      </c>
      <c r="P134" s="46">
        <f t="shared" ca="1" si="10"/>
        <v>2.7446731476315637E-6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input_491100!A$2</f>
        <v>491100</v>
      </c>
      <c r="B135" s="8">
        <v>259</v>
      </c>
      <c r="C135" s="7" t="str">
        <f t="shared" si="8"/>
        <v>Premium3color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IFERROR(VLOOKUP(B135,input_491100!L:R,7,FALSE),VLOOKUP(tables_491100!C135,input_491100!A:H,8,FALSE))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input_491100!A$2</f>
        <v>491100</v>
      </c>
      <c r="B136" s="8">
        <v>260</v>
      </c>
      <c r="C136" s="7" t="str">
        <f t="shared" si="8"/>
        <v>Premium4color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IFERROR(VLOOKUP(B136,input_491100!L:R,7,FALSE),VLOOKUP(tables_491100!C136,input_491100!A:H,8,FALSE))</f>
        <v>340517.36009999999</v>
      </c>
      <c r="P136" s="46">
        <f t="shared" ca="1" si="10"/>
        <v>2.6065321502315979E-2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input_491100!A$2</f>
        <v>491100</v>
      </c>
      <c r="B137" s="6">
        <v>261</v>
      </c>
      <c r="C137" s="7" t="str">
        <f t="shared" si="8"/>
        <v>Premium5color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IFERROR(VLOOKUP(B137,input_491100!L:R,7,FALSE),VLOOKUP(tables_491100!C137,input_491100!A:H,8,FALSE))</f>
        <v>3349.04549</v>
      </c>
      <c r="P137" s="46">
        <f t="shared" ca="1" si="10"/>
        <v>2.5635681950869019E-4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input_491100!A$2</f>
        <v>491100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IFERROR(VLOOKUP(B138,input_491100!L:R,7,FALSE),VLOOKUP(tables_491100!C138,input_491100!A:H,8,FALSE))</f>
        <v>17837.904760000001</v>
      </c>
      <c r="P138" s="46">
        <f t="shared" ca="1" si="10"/>
        <v>1.3654244305211052E-3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input_491100!A$2</f>
        <v>491100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IFERROR(VLOOKUP(B139,input_491100!L:R,7,FALSE),VLOOKUP(tables_491100!C139,input_491100!A:H,8,FALSE))</f>
        <v>284</v>
      </c>
      <c r="P139" s="46">
        <f t="shared" ca="1" si="10"/>
        <v>2.1739130435182E-5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input_491100!A$2</f>
        <v>491100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IFERROR(VLOOKUP(B140,input_491100!L:R,7,FALSE),VLOOKUP(tables_491100!C140,input_491100!A:H,8,FALSE))</f>
        <v>17837.904760000001</v>
      </c>
      <c r="P140" s="46">
        <f t="shared" ca="1" si="10"/>
        <v>1.3654244305211052E-3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input_491100!A$2</f>
        <v>491100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IFERROR(VLOOKUP(B141,input_491100!L:R,7,FALSE),VLOOKUP(tables_491100!C141,input_491100!A:H,8,FALSE))</f>
        <v>284</v>
      </c>
      <c r="P141" s="46">
        <f t="shared" ca="1" si="10"/>
        <v>2.1739130435182E-5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input_491100!A$2</f>
        <v>491100</v>
      </c>
      <c r="B142" s="6">
        <v>324</v>
      </c>
      <c r="C142" s="7" t="str">
        <f t="shared" si="8"/>
        <v>PremiumSS4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IFERROR(VLOOKUP(B142,input_491100!L:R,7,FALSE),VLOOKUP(tables_491100!C142,input_491100!A:H,8,FALSE))</f>
        <v>17837.904760000001</v>
      </c>
      <c r="P142" s="46">
        <f t="shared" ca="1" si="10"/>
        <v>1.3654244305211052E-3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input_491100!A$2</f>
        <v>491100</v>
      </c>
      <c r="B143" s="6">
        <v>325</v>
      </c>
      <c r="C143" s="7" t="str">
        <f t="shared" si="8"/>
        <v>PremiumSS5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IFERROR(VLOOKUP(B143,input_491100!L:R,7,FALSE),VLOOKUP(tables_491100!C143,input_491100!A:H,8,FALSE))</f>
        <v>284</v>
      </c>
      <c r="P143" s="46">
        <f t="shared" ca="1" si="10"/>
        <v>2.1739130435182E-5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input_491100!A$2</f>
        <v>491100</v>
      </c>
      <c r="B144" s="6">
        <v>326</v>
      </c>
      <c r="C144" s="7" t="str">
        <f t="shared" si="8"/>
        <v>PremiumSS4color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IFERROR(VLOOKUP(B144,input_491100!L:R,7,FALSE),VLOOKUP(tables_491100!C144,input_491100!A:H,8,FALSE))</f>
        <v>21901.411759999999</v>
      </c>
      <c r="P144" s="46">
        <f t="shared" ca="1" si="10"/>
        <v>1.6764705879058765E-3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input_491100!A$2</f>
        <v>491100</v>
      </c>
      <c r="B145" s="6">
        <v>327</v>
      </c>
      <c r="C145" s="7" t="str">
        <f t="shared" si="8"/>
        <v>PremiumSS5color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IFERROR(VLOOKUP(B145,input_491100!L:R,7,FALSE),VLOOKUP(tables_491100!C145,input_491100!A:H,8,FALSE))</f>
        <v>1152.70588</v>
      </c>
      <c r="P145" s="46">
        <f t="shared" ca="1" si="10"/>
        <v>8.823529393915932E-5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input_491100!A$2</f>
        <v>491100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IFERROR(VLOOKUP(B146,input_491100!L:R,7,FALSE),VLOOKUP(tables_491100!C146,input_491100!A:H,8,FALSE))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input_491100!A$2</f>
        <v>491100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IFERROR(VLOOKUP(B147,input_491100!L:R,7,FALSE),VLOOKUP(tables_491100!C147,input_491100!A:H,8,FALSE))</f>
        <v>54277.16923</v>
      </c>
      <c r="P147" s="46">
        <f t="shared" ca="1" si="10"/>
        <v>4.15471289275851E-3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input_491100!A$2</f>
        <v>491100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IFERROR(VLOOKUP(B148,input_491100!L:R,7,FALSE),VLOOKUP(tables_491100!C148,input_491100!A:H,8,FALSE))</f>
        <v>35.856409999999997</v>
      </c>
      <c r="P148" s="46">
        <f t="shared" ca="1" si="10"/>
        <v>2.7446731476315637E-6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input_491100!A$2</f>
        <v>491100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IFERROR(VLOOKUP(B149,input_491100!L:R,7,FALSE),VLOOKUP(tables_491100!C149,input_491100!A:H,8,FALSE))</f>
        <v>17837.904760000001</v>
      </c>
      <c r="P149" s="46">
        <f t="shared" ca="1" si="10"/>
        <v>1.3654244305211052E-3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input_491100!A$2</f>
        <v>491100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IFERROR(VLOOKUP(B150,input_491100!L:R,7,FALSE),VLOOKUP(tables_491100!C150,input_491100!A:H,8,FALSE))</f>
        <v>284</v>
      </c>
      <c r="P150" s="46">
        <f t="shared" ca="1" si="10"/>
        <v>2.1739130435182E-5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input_491100!A$2</f>
        <v>491100</v>
      </c>
      <c r="B151" s="6">
        <v>385</v>
      </c>
      <c r="C151" s="7" t="str">
        <f t="shared" si="8"/>
        <v>PremiumSS4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IFERROR(VLOOKUP(B151,input_491100!L:R,7,FALSE),VLOOKUP(tables_491100!C151,input_491100!A:H,8,FALSE))</f>
        <v>17837.904760000001</v>
      </c>
      <c r="P151" s="46">
        <f t="shared" ca="1" si="10"/>
        <v>1.3654244305211052E-3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input_491100!A$2</f>
        <v>491100</v>
      </c>
      <c r="B152" s="6">
        <v>386</v>
      </c>
      <c r="C152" s="7" t="str">
        <f t="shared" si="8"/>
        <v>PremiumSS5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IFERROR(VLOOKUP(B152,input_491100!L:R,7,FALSE),VLOOKUP(tables_491100!C152,input_491100!A:H,8,FALSE))</f>
        <v>284</v>
      </c>
      <c r="P152" s="46">
        <f t="shared" ca="1" si="10"/>
        <v>2.1739130435182E-5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input_491100!A$2</f>
        <v>491100</v>
      </c>
      <c r="B153" s="6">
        <v>387</v>
      </c>
      <c r="C153" s="7" t="str">
        <f t="shared" si="8"/>
        <v>Premium3color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IFERROR(VLOOKUP(B153,input_491100!L:R,7,FALSE),VLOOKUP(tables_491100!C153,input_491100!A:H,8,FALSE))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input_491100!A$2</f>
        <v>491100</v>
      </c>
      <c r="B154" s="6">
        <v>388</v>
      </c>
      <c r="C154" s="7" t="str">
        <f t="shared" si="8"/>
        <v>Premium4color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IFERROR(VLOOKUP(B154,input_491100!L:R,7,FALSE),VLOOKUP(tables_491100!C154,input_491100!A:H,8,FALSE))</f>
        <v>340517.36009999999</v>
      </c>
      <c r="P154" s="46">
        <f t="shared" ca="1" si="10"/>
        <v>2.6065321502315979E-2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input_491100!A$2</f>
        <v>491100</v>
      </c>
      <c r="B155" s="6">
        <v>389</v>
      </c>
      <c r="C155" s="7" t="str">
        <f t="shared" si="8"/>
        <v>Premium5color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IFERROR(VLOOKUP(B155,input_491100!L:R,7,FALSE),VLOOKUP(tables_491100!C155,input_491100!A:H,8,FALSE))</f>
        <v>3349.04549</v>
      </c>
      <c r="P155" s="46">
        <f t="shared" ca="1" si="10"/>
        <v>2.5635681950869019E-4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input_491100!A$2</f>
        <v>491100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IFERROR(VLOOKUP(B156,input_491100!L:R,7,FALSE),VLOOKUP(tables_491100!C156,input_491100!A:H,8,FALSE))</f>
        <v>17837.904760000001</v>
      </c>
      <c r="P156" s="46">
        <f t="shared" ca="1" si="10"/>
        <v>1.3654244305211052E-3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input_491100!A$2</f>
        <v>491100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IFERROR(VLOOKUP(B157,input_491100!L:R,7,FALSE),VLOOKUP(tables_491100!C157,input_491100!A:H,8,FALSE))</f>
        <v>284</v>
      </c>
      <c r="P157" s="46">
        <f t="shared" ca="1" si="10"/>
        <v>2.1739130435182E-5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input_491100!A$2</f>
        <v>491100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IFERROR(VLOOKUP(B158,input_491100!L:R,7,FALSE),VLOOKUP(tables_491100!C158,input_491100!A:H,8,FALSE))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input_491100!A$2</f>
        <v>491100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IFERROR(VLOOKUP(B159,input_491100!L:R,7,FALSE),VLOOKUP(tables_491100!C159,input_491100!A:H,8,FALSE))</f>
        <v>54277.16923</v>
      </c>
      <c r="P159" s="46">
        <f t="shared" ca="1" si="10"/>
        <v>4.15471289275851E-3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input_491100!A$2</f>
        <v>491100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IFERROR(VLOOKUP(B160,input_491100!L:R,7,FALSE),VLOOKUP(tables_491100!C160,input_491100!A:H,8,FALSE))</f>
        <v>35.856409999999997</v>
      </c>
      <c r="P160" s="46">
        <f t="shared" ca="1" si="10"/>
        <v>2.7446731476315637E-6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input_491100!A$2</f>
        <v>491100</v>
      </c>
      <c r="B161" s="6">
        <v>395</v>
      </c>
      <c r="C161" s="7" t="str">
        <f t="shared" si="8"/>
        <v>Premium3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IFERROR(VLOOKUP(B161,input_491100!L:R,7,FALSE),VLOOKUP(tables_491100!C161,input_491100!A:H,8,FALSE))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input_491100!A$2</f>
        <v>491100</v>
      </c>
      <c r="B162" s="6">
        <v>396</v>
      </c>
      <c r="C162" s="7" t="str">
        <f t="shared" si="8"/>
        <v>Premium4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IFERROR(VLOOKUP(B162,input_491100!L:R,7,FALSE),VLOOKUP(tables_491100!C162,input_491100!A:H,8,FALSE))</f>
        <v>54277.16923</v>
      </c>
      <c r="P162" s="46">
        <f t="shared" ca="1" si="10"/>
        <v>4.15471289275851E-3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input_491100!A$2</f>
        <v>491100</v>
      </c>
      <c r="B163" s="6">
        <v>397</v>
      </c>
      <c r="C163" s="7" t="str">
        <f t="shared" si="8"/>
        <v>Premium5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IFERROR(VLOOKUP(B163,input_491100!L:R,7,FALSE),VLOOKUP(tables_491100!C163,input_491100!A:H,8,FALSE))</f>
        <v>35.856409999999997</v>
      </c>
      <c r="P163" s="46">
        <f t="shared" ca="1" si="10"/>
        <v>2.7446731476315637E-6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input_491100!A$2</f>
        <v>491100</v>
      </c>
      <c r="B164" s="6">
        <v>398</v>
      </c>
      <c r="C164" s="7" t="str">
        <f t="shared" si="8"/>
        <v>PremiumSS4color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IFERROR(VLOOKUP(B164,input_491100!L:R,7,FALSE),VLOOKUP(tables_491100!C164,input_491100!A:H,8,FALSE))</f>
        <v>21901.411759999999</v>
      </c>
      <c r="P164" s="46">
        <f t="shared" ca="1" si="10"/>
        <v>1.6764705879058765E-3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input_491100!A$2</f>
        <v>491100</v>
      </c>
      <c r="B165" s="6">
        <v>399</v>
      </c>
      <c r="C165" s="7" t="str">
        <f t="shared" si="8"/>
        <v>PremiumSS5color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IFERROR(VLOOKUP(B165,input_491100!L:R,7,FALSE),VLOOKUP(tables_491100!C165,input_491100!A:H,8,FALSE))</f>
        <v>1152.70588</v>
      </c>
      <c r="P165" s="46">
        <f t="shared" ca="1" si="10"/>
        <v>8.823529393915932E-5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input_491100!A$2</f>
        <v>491100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IFERROR(VLOOKUP(B166,input_491100!L:R,7,FALSE),VLOOKUP(tables_491100!C166,input_491100!A:H,8,FALSE))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input_491100!A$2</f>
        <v>491100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IFERROR(VLOOKUP(B167,input_491100!L:R,7,FALSE),VLOOKUP(tables_491100!C167,input_491100!A:H,8,FALSE))</f>
        <v>54277.16923</v>
      </c>
      <c r="P167" s="46">
        <f t="shared" ca="1" si="10"/>
        <v>4.15471289275851E-3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input_491100!A$2</f>
        <v>491100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IFERROR(VLOOKUP(B168,input_491100!L:R,7,FALSE),VLOOKUP(tables_491100!C168,input_491100!A:H,8,FALSE))</f>
        <v>35.856409999999997</v>
      </c>
      <c r="P168" s="46">
        <f t="shared" ca="1" si="10"/>
        <v>2.7446731476315637E-6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input_491100!A$2</f>
        <v>491100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IFERROR(VLOOKUP(B169,input_491100!L:R,7,FALSE),VLOOKUP(tables_491100!C169,input_491100!A:H,8,FALSE))</f>
        <v>17837.904760000001</v>
      </c>
      <c r="P169" s="46">
        <f t="shared" ca="1" si="10"/>
        <v>1.3654244305211052E-3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input_491100!A$2</f>
        <v>491100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IFERROR(VLOOKUP(B170,input_491100!L:R,7,FALSE),VLOOKUP(tables_491100!C170,input_491100!A:H,8,FALSE))</f>
        <v>284</v>
      </c>
      <c r="P170" s="46">
        <f t="shared" ca="1" si="10"/>
        <v>2.1739130435182E-5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input_491100!A$2</f>
        <v>491100</v>
      </c>
      <c r="B171" s="6">
        <v>405</v>
      </c>
      <c r="C171" s="7" t="str">
        <f t="shared" si="8"/>
        <v>Premium3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IFERROR(VLOOKUP(B171,input_491100!L:R,7,FALSE),VLOOKUP(tables_491100!C171,input_491100!A:H,8,FALSE))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input_491100!A$2</f>
        <v>491100</v>
      </c>
      <c r="B172" s="6">
        <v>406</v>
      </c>
      <c r="C172" s="7" t="str">
        <f t="shared" si="8"/>
        <v>Premium4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IFERROR(VLOOKUP(B172,input_491100!L:R,7,FALSE),VLOOKUP(tables_491100!C172,input_491100!A:H,8,FALSE))</f>
        <v>54277.16923</v>
      </c>
      <c r="P172" s="46">
        <f t="shared" ca="1" si="10"/>
        <v>4.15471289275851E-3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input_491100!A$2</f>
        <v>491100</v>
      </c>
      <c r="B173" s="6">
        <v>407</v>
      </c>
      <c r="C173" s="7" t="str">
        <f t="shared" si="8"/>
        <v>Premium5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IFERROR(VLOOKUP(B173,input_491100!L:R,7,FALSE),VLOOKUP(tables_491100!C173,input_491100!A:H,8,FALSE))</f>
        <v>35.856409999999997</v>
      </c>
      <c r="P173" s="46">
        <f t="shared" ca="1" si="10"/>
        <v>2.7446731476315637E-6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input_491100!A$2</f>
        <v>491100</v>
      </c>
      <c r="B174" s="6">
        <v>408</v>
      </c>
      <c r="C174" s="7" t="str">
        <f t="shared" si="8"/>
        <v>PremiumSS4color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IFERROR(VLOOKUP(B174,input_491100!L:R,7,FALSE),VLOOKUP(tables_491100!C174,input_491100!A:H,8,FALSE))</f>
        <v>21901.411759999999</v>
      </c>
      <c r="P174" s="46">
        <f t="shared" ca="1" si="10"/>
        <v>1.6764705879058765E-3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input_491100!A$2</f>
        <v>491100</v>
      </c>
      <c r="B175" s="6">
        <v>409</v>
      </c>
      <c r="C175" s="7" t="str">
        <f t="shared" si="8"/>
        <v>PremiumSS5color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IFERROR(VLOOKUP(B175,input_491100!L:R,7,FALSE),VLOOKUP(tables_491100!C175,input_491100!A:H,8,FALSE))</f>
        <v>1152.70588</v>
      </c>
      <c r="P175" s="46">
        <f t="shared" ca="1" si="10"/>
        <v>8.823529393915932E-5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input_491100!A$2</f>
        <v>491100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IFERROR(VLOOKUP(B176,input_491100!L:R,7,FALSE),VLOOKUP(tables_491100!C176,input_491100!A:H,8,FALSE))</f>
        <v>17837.904760000001</v>
      </c>
      <c r="P176" s="46">
        <f t="shared" ca="1" si="10"/>
        <v>1.3654244305211052E-3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input_491100!A$2</f>
        <v>491100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IFERROR(VLOOKUP(B177,input_491100!L:R,7,FALSE),VLOOKUP(tables_491100!C177,input_491100!A:H,8,FALSE))</f>
        <v>284</v>
      </c>
      <c r="P177" s="46">
        <f t="shared" ca="1" si="10"/>
        <v>2.1739130435182E-5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input_491100!A$2</f>
        <v>491100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IFERROR(VLOOKUP(B178,input_491100!L:R,7,FALSE),VLOOKUP(tables_491100!C178,input_491100!A:H,8,FALSE))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input_491100!A$2</f>
        <v>491100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IFERROR(VLOOKUP(B179,input_491100!L:R,7,FALSE),VLOOKUP(tables_491100!C179,input_491100!A:H,8,FALSE))</f>
        <v>54277.16923</v>
      </c>
      <c r="P179" s="46">
        <f t="shared" ca="1" si="10"/>
        <v>4.15471289275851E-3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input_491100!A$2</f>
        <v>491100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IFERROR(VLOOKUP(B180,input_491100!L:R,7,FALSE),VLOOKUP(tables_491100!C180,input_491100!A:H,8,FALSE))</f>
        <v>35.856409999999997</v>
      </c>
      <c r="P180" s="46">
        <f t="shared" ca="1" si="10"/>
        <v>2.7446731476315637E-6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input_491100!A$2</f>
        <v>491100</v>
      </c>
      <c r="B181" s="6">
        <v>439</v>
      </c>
      <c r="C181" s="7" t="str">
        <f t="shared" si="8"/>
        <v>Premium3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IFERROR(VLOOKUP(B181,input_491100!L:R,7,FALSE),VLOOKUP(tables_491100!C181,input_491100!A:H,8,FALSE))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input_491100!A$2</f>
        <v>491100</v>
      </c>
      <c r="B182" s="6">
        <v>440</v>
      </c>
      <c r="C182" s="7" t="str">
        <f t="shared" si="8"/>
        <v>Premium4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IFERROR(VLOOKUP(B182,input_491100!L:R,7,FALSE),VLOOKUP(tables_491100!C182,input_491100!A:H,8,FALSE))</f>
        <v>54277.16923</v>
      </c>
      <c r="P182" s="46">
        <f t="shared" ca="1" si="10"/>
        <v>4.15471289275851E-3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input_491100!A$2</f>
        <v>491100</v>
      </c>
      <c r="B183" s="6">
        <v>441</v>
      </c>
      <c r="C183" s="7" t="str">
        <f t="shared" si="8"/>
        <v>Premium5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IFERROR(VLOOKUP(B183,input_491100!L:R,7,FALSE),VLOOKUP(tables_491100!C183,input_491100!A:H,8,FALSE))</f>
        <v>35.856409999999997</v>
      </c>
      <c r="P183" s="46">
        <f t="shared" ca="1" si="10"/>
        <v>2.7446731476315637E-6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input_491100!A$2</f>
        <v>491100</v>
      </c>
      <c r="B184" s="6">
        <v>442</v>
      </c>
      <c r="C184" s="7" t="str">
        <f t="shared" si="8"/>
        <v>PremiumSS4color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IFERROR(VLOOKUP(B184,input_491100!L:R,7,FALSE),VLOOKUP(tables_491100!C184,input_491100!A:H,8,FALSE))</f>
        <v>21901.411759999999</v>
      </c>
      <c r="P184" s="46">
        <f t="shared" ca="1" si="10"/>
        <v>1.6764705879058765E-3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input_491100!A$2</f>
        <v>491100</v>
      </c>
      <c r="B185" s="8">
        <v>443</v>
      </c>
      <c r="C185" s="7" t="str">
        <f t="shared" si="8"/>
        <v>PremiumSS5color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IFERROR(VLOOKUP(B185,input_491100!L:R,7,FALSE),VLOOKUP(tables_491100!C185,input_491100!A:H,8,FALSE))</f>
        <v>1152.70588</v>
      </c>
      <c r="P185" s="46">
        <f t="shared" ca="1" si="10"/>
        <v>8.823529393915932E-5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input_491100!A$2</f>
        <v>491100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IFERROR(VLOOKUP(B186,input_491100!L:R,7,FALSE),VLOOKUP(tables_491100!C186,input_491100!A:H,8,FALSE))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input_491100!A$2</f>
        <v>491100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IFERROR(VLOOKUP(B187,input_491100!L:R,7,FALSE),VLOOKUP(tables_491100!C187,input_491100!A:H,8,FALSE))</f>
        <v>54277.16923</v>
      </c>
      <c r="P187" s="46">
        <f t="shared" ca="1" si="10"/>
        <v>4.15471289275851E-3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input_491100!A$2</f>
        <v>491100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IFERROR(VLOOKUP(B188,input_491100!L:R,7,FALSE),VLOOKUP(tables_491100!C188,input_491100!A:H,8,FALSE))</f>
        <v>35.856409999999997</v>
      </c>
      <c r="P188" s="46">
        <f t="shared" ca="1" si="10"/>
        <v>2.7446731476315637E-6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input_491100!A$2</f>
        <v>491100</v>
      </c>
      <c r="B189" s="6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IFERROR(VLOOKUP(B189,input_491100!L:R,7,FALSE),VLOOKUP(tables_491100!C189,input_491100!A:H,8,FALSE))</f>
        <v>17837.904760000001</v>
      </c>
      <c r="P189" s="46">
        <f t="shared" ca="1" si="10"/>
        <v>1.3654244305211052E-3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input_491100!A$2</f>
        <v>491100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IFERROR(VLOOKUP(B190,input_491100!L:R,7,FALSE),VLOOKUP(tables_491100!C190,input_491100!A:H,8,FALSE))</f>
        <v>284</v>
      </c>
      <c r="P190" s="46">
        <f t="shared" ca="1" si="10"/>
        <v>2.1739130435182E-5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input_491100!A$2</f>
        <v>491100</v>
      </c>
      <c r="B191" s="6">
        <v>467</v>
      </c>
      <c r="C191" s="7" t="str">
        <f t="shared" si="8"/>
        <v>PremiumSS4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IFERROR(VLOOKUP(B191,input_491100!L:R,7,FALSE),VLOOKUP(tables_491100!C191,input_491100!A:H,8,FALSE))</f>
        <v>17837.904760000001</v>
      </c>
      <c r="P191" s="46">
        <f t="shared" ca="1" si="10"/>
        <v>1.3654244305211052E-3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input_491100!A$2</f>
        <v>491100</v>
      </c>
      <c r="B192" s="6">
        <v>468</v>
      </c>
      <c r="C192" s="7" t="str">
        <f t="shared" si="8"/>
        <v>PremiumSS5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IFERROR(VLOOKUP(B192,input_491100!L:R,7,FALSE),VLOOKUP(tables_491100!C192,input_491100!A:H,8,FALSE))</f>
        <v>284</v>
      </c>
      <c r="P192" s="46">
        <f t="shared" ca="1" si="10"/>
        <v>2.1739130435182E-5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input_491100!A$2</f>
        <v>491100</v>
      </c>
      <c r="B193" s="6">
        <v>469</v>
      </c>
      <c r="C193" s="7" t="str">
        <f t="shared" si="8"/>
        <v>Premium3color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IFERROR(VLOOKUP(B193,input_491100!L:R,7,FALSE),VLOOKUP(tables_491100!C193,input_491100!A:H,8,FALSE))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input_491100!A$2</f>
        <v>491100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IF(K194="yellow","color","")</f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IFERROR(VLOOKUP(B194,input_491100!L:R,7,FALSE),VLOOKUP(tables_491100!C194,input_491100!A:H,8,FALSE))</f>
        <v>340517.36009999999</v>
      </c>
      <c r="P194" s="46">
        <f t="shared" ref="P194:P257" ca="1" si="14">O194/SUM(O:O)</f>
        <v>2.6065321502315979E-2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input_491100!A$2</f>
        <v>491100</v>
      </c>
      <c r="B195" s="6">
        <v>471</v>
      </c>
      <c r="C195" s="7" t="str">
        <f t="shared" si="12"/>
        <v>Premium5color</v>
      </c>
      <c r="D195" s="7" t="str">
        <f t="shared" ref="D195:D258" si="15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IFERROR(VLOOKUP(B195,input_491100!L:R,7,FALSE),VLOOKUP(tables_491100!C195,input_491100!A:H,8,FALSE))</f>
        <v>3349.04549</v>
      </c>
      <c r="P195" s="46">
        <f t="shared" ca="1" si="14"/>
        <v>2.5635681950869019E-4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input_491100!A$2</f>
        <v>491100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IFERROR(VLOOKUP(B196,input_491100!L:R,7,FALSE),VLOOKUP(tables_491100!C196,input_491100!A:H,8,FALSE))</f>
        <v>17837.904760000001</v>
      </c>
      <c r="P196" s="46">
        <f t="shared" ca="1" si="14"/>
        <v>1.3654244305211052E-3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input_491100!A$2</f>
        <v>491100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IFERROR(VLOOKUP(B197,input_491100!L:R,7,FALSE),VLOOKUP(tables_491100!C197,input_491100!A:H,8,FALSE))</f>
        <v>284</v>
      </c>
      <c r="P197" s="46">
        <f t="shared" ca="1" si="14"/>
        <v>2.1739130435182E-5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input_491100!A$2</f>
        <v>491100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IFERROR(VLOOKUP(B198,input_491100!L:R,7,FALSE),VLOOKUP(tables_491100!C198,input_491100!A:H,8,FALSE))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input_491100!A$2</f>
        <v>491100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IFERROR(VLOOKUP(B199,input_491100!L:R,7,FALSE),VLOOKUP(tables_491100!C199,input_491100!A:H,8,FALSE))</f>
        <v>54277.16923</v>
      </c>
      <c r="P199" s="46">
        <f t="shared" ca="1" si="14"/>
        <v>4.15471289275851E-3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input_491100!A$2</f>
        <v>491100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IFERROR(VLOOKUP(B200,input_491100!L:R,7,FALSE),VLOOKUP(tables_491100!C200,input_491100!A:H,8,FALSE))</f>
        <v>35.856409999999997</v>
      </c>
      <c r="P200" s="46">
        <f t="shared" ca="1" si="14"/>
        <v>2.7446731476315637E-6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input_491100!A$2</f>
        <v>491100</v>
      </c>
      <c r="B201" s="6">
        <v>479</v>
      </c>
      <c r="C201" s="7" t="str">
        <f t="shared" si="12"/>
        <v>PremiumSS4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IFERROR(VLOOKUP(B201,input_491100!L:R,7,FALSE),VLOOKUP(tables_491100!C201,input_491100!A:H,8,FALSE))</f>
        <v>17837.904760000001</v>
      </c>
      <c r="P201" s="46">
        <f t="shared" ca="1" si="14"/>
        <v>1.3654244305211052E-3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input_491100!A$2</f>
        <v>491100</v>
      </c>
      <c r="B202" s="6">
        <v>480</v>
      </c>
      <c r="C202" s="7" t="str">
        <f t="shared" si="12"/>
        <v>PremiumSS5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IFERROR(VLOOKUP(B202,input_491100!L:R,7,FALSE),VLOOKUP(tables_491100!C202,input_491100!A:H,8,FALSE))</f>
        <v>284</v>
      </c>
      <c r="P202" s="46">
        <f t="shared" ca="1" si="14"/>
        <v>2.1739130435182E-5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input_491100!A$2</f>
        <v>491100</v>
      </c>
      <c r="B203" s="6">
        <v>481</v>
      </c>
      <c r="C203" s="7" t="str">
        <f t="shared" si="12"/>
        <v>Premium3color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IFERROR(VLOOKUP(B203,input_491100!L:R,7,FALSE),VLOOKUP(tables_491100!C203,input_491100!A:H,8,FALSE))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input_491100!A$2</f>
        <v>491100</v>
      </c>
      <c r="B204" s="6">
        <v>482</v>
      </c>
      <c r="C204" s="7" t="str">
        <f t="shared" si="12"/>
        <v>Premium4color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IFERROR(VLOOKUP(B204,input_491100!L:R,7,FALSE),VLOOKUP(tables_491100!C204,input_491100!A:H,8,FALSE))</f>
        <v>340517.36009999999</v>
      </c>
      <c r="P204" s="46">
        <f t="shared" ca="1" si="14"/>
        <v>2.6065321502315979E-2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input_491100!A$2</f>
        <v>491100</v>
      </c>
      <c r="B205" s="6">
        <v>483</v>
      </c>
      <c r="C205" s="7" t="str">
        <f t="shared" si="12"/>
        <v>Premium5color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IFERROR(VLOOKUP(B205,input_491100!L:R,7,FALSE),VLOOKUP(tables_491100!C205,input_491100!A:H,8,FALSE))</f>
        <v>3349.04549</v>
      </c>
      <c r="P205" s="46">
        <f t="shared" ca="1" si="14"/>
        <v>2.5635681950869019E-4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input_491100!A$2</f>
        <v>491100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IFERROR(VLOOKUP(B206,input_491100!L:R,7,FALSE),VLOOKUP(tables_491100!C206,input_491100!A:H,8,FALSE))</f>
        <v>17837.904760000001</v>
      </c>
      <c r="P206" s="46">
        <f t="shared" ca="1" si="14"/>
        <v>1.3654244305211052E-3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input_491100!A$2</f>
        <v>491100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IFERROR(VLOOKUP(B207,input_491100!L:R,7,FALSE),VLOOKUP(tables_491100!C207,input_491100!A:H,8,FALSE))</f>
        <v>284</v>
      </c>
      <c r="P207" s="46">
        <f t="shared" ca="1" si="14"/>
        <v>2.1739130435182E-5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input_491100!A$2</f>
        <v>491100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IFERROR(VLOOKUP(B208,input_491100!L:R,7,FALSE),VLOOKUP(tables_491100!C208,input_491100!A:H,8,FALSE))</f>
        <v>17837.904760000001</v>
      </c>
      <c r="P208" s="46">
        <f t="shared" ca="1" si="14"/>
        <v>1.3654244305211052E-3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input_491100!A$2</f>
        <v>491100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IFERROR(VLOOKUP(B209,input_491100!L:R,7,FALSE),VLOOKUP(tables_491100!C209,input_491100!A:H,8,FALSE))</f>
        <v>284</v>
      </c>
      <c r="P209" s="46">
        <f t="shared" ca="1" si="14"/>
        <v>2.1739130435182E-5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input_491100!A$2</f>
        <v>491100</v>
      </c>
      <c r="B210" s="6">
        <v>496</v>
      </c>
      <c r="C210" s="7" t="str">
        <f t="shared" si="12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IFERROR(VLOOKUP(B210,input_491100!L:R,7,FALSE),VLOOKUP(tables_491100!C210,input_491100!A:H,8,FALSE))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input_491100!A$2</f>
        <v>491100</v>
      </c>
      <c r="B211" s="6">
        <v>497</v>
      </c>
      <c r="C211" s="7" t="str">
        <f t="shared" si="12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IFERROR(VLOOKUP(B211,input_491100!L:R,7,FALSE),VLOOKUP(tables_491100!C211,input_491100!A:H,8,FALSE))</f>
        <v>54277.16923</v>
      </c>
      <c r="P211" s="46">
        <f t="shared" ca="1" si="14"/>
        <v>4.15471289275851E-3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input_491100!A$2</f>
        <v>491100</v>
      </c>
      <c r="B212" s="6">
        <v>498</v>
      </c>
      <c r="C212" s="7" t="str">
        <f t="shared" si="12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IFERROR(VLOOKUP(B212,input_491100!L:R,7,FALSE),VLOOKUP(tables_491100!C212,input_491100!A:H,8,FALSE))</f>
        <v>35.856409999999997</v>
      </c>
      <c r="P212" s="46">
        <f t="shared" ca="1" si="14"/>
        <v>2.7446731476315637E-6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input_491100!A$2</f>
        <v>491100</v>
      </c>
      <c r="B213" s="6">
        <v>499</v>
      </c>
      <c r="C213" s="7" t="str">
        <f t="shared" si="12"/>
        <v>PremiumSS4color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IFERROR(VLOOKUP(B213,input_491100!L:R,7,FALSE),VLOOKUP(tables_491100!C213,input_491100!A:H,8,FALSE))</f>
        <v>21901.411759999999</v>
      </c>
      <c r="P213" s="46">
        <f t="shared" ca="1" si="14"/>
        <v>1.6764705879058765E-3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input_491100!A$2</f>
        <v>491100</v>
      </c>
      <c r="B214" s="6">
        <v>500</v>
      </c>
      <c r="C214" s="7" t="str">
        <f t="shared" si="12"/>
        <v>PremiumSS5color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IFERROR(VLOOKUP(B214,input_491100!L:R,7,FALSE),VLOOKUP(tables_491100!C214,input_491100!A:H,8,FALSE))</f>
        <v>1152.70588</v>
      </c>
      <c r="P214" s="46">
        <f t="shared" ca="1" si="14"/>
        <v>8.823529393915932E-5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input_491100!A$2</f>
        <v>491100</v>
      </c>
      <c r="B215" s="6">
        <v>560</v>
      </c>
      <c r="C215" s="7" t="str">
        <f t="shared" si="12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IFERROR(VLOOKUP(B215,input_491100!L:R,7,FALSE),VLOOKUP(tables_491100!C215,input_491100!A:H,8,FALSE))</f>
        <v>3385.6</v>
      </c>
      <c r="P215" s="46">
        <f t="shared" ca="1" si="14"/>
        <v>2.5915492958222597E-4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input_491100!A$2</f>
        <v>491100</v>
      </c>
      <c r="B216" s="6">
        <v>561</v>
      </c>
      <c r="C216" s="7" t="str">
        <f t="shared" si="12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IFERROR(VLOOKUP(B216,input_491100!L:R,7,FALSE),VLOOKUP(tables_491100!C216,input_491100!A:H,8,FALSE))</f>
        <v>3385.6</v>
      </c>
      <c r="P216" s="46">
        <f t="shared" ca="1" si="14"/>
        <v>2.5915492958222597E-4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input_491100!A$2</f>
        <v>491100</v>
      </c>
      <c r="B217" s="6">
        <v>562</v>
      </c>
      <c r="C217" s="7" t="str">
        <f t="shared" si="12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IFERROR(VLOOKUP(B217,input_491100!L:R,7,FALSE),VLOOKUP(tables_491100!C217,input_491100!A:H,8,FALSE))</f>
        <v>3385.6</v>
      </c>
      <c r="P217" s="46">
        <f t="shared" ca="1" si="14"/>
        <v>2.5915492958222597E-4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input_491100!A$2</f>
        <v>491100</v>
      </c>
      <c r="B218" s="6">
        <v>563</v>
      </c>
      <c r="C218" s="7" t="str">
        <f t="shared" si="12"/>
        <v>premium5R3lesscolor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3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IFERROR(VLOOKUP(B218,input_491100!L:R,7,FALSE),VLOOKUP(tables_491100!C218,input_491100!A:H,8,FALSE))</f>
        <v>712.58181999999999</v>
      </c>
      <c r="P218" s="46">
        <f t="shared" ca="1" si="14"/>
        <v>5.4545454685631621E-5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input_491100!A$2</f>
        <v>491100</v>
      </c>
      <c r="B219" s="6">
        <v>566</v>
      </c>
      <c r="C219" s="7" t="str">
        <f t="shared" si="12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IFERROR(VLOOKUP(B219,input_491100!L:R,7,FALSE),VLOOKUP(tables_491100!C219,input_491100!A:H,8,FALSE))</f>
        <v>3385.6</v>
      </c>
      <c r="P219" s="46">
        <f t="shared" ca="1" si="14"/>
        <v>2.5915492958222597E-4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input_491100!A$2</f>
        <v>491100</v>
      </c>
      <c r="B220" s="6">
        <v>567</v>
      </c>
      <c r="C220" s="7" t="str">
        <f t="shared" si="12"/>
        <v>premium5R3lesscolor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IFERROR(VLOOKUP(B220,input_491100!L:R,7,FALSE),VLOOKUP(tables_491100!C220,input_491100!A:H,8,FALSE))</f>
        <v>712.58181999999999</v>
      </c>
      <c r="P220" s="46">
        <f t="shared" ca="1" si="14"/>
        <v>5.4545454685631621E-5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input_491100!A$2</f>
        <v>491100</v>
      </c>
      <c r="B221" s="6">
        <v>586</v>
      </c>
      <c r="C221" s="7" t="str">
        <f t="shared" si="12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IFERROR(VLOOKUP(B221,input_491100!L:R,7,FALSE),VLOOKUP(tables_491100!C221,input_491100!A:H,8,FALSE))</f>
        <v>17837.904760000001</v>
      </c>
      <c r="P221" s="46">
        <f t="shared" ca="1" si="14"/>
        <v>1.3654244305211052E-3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input_491100!A$2</f>
        <v>491100</v>
      </c>
      <c r="B222" s="6">
        <v>587</v>
      </c>
      <c r="C222" s="7" t="str">
        <f t="shared" si="12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IFERROR(VLOOKUP(B222,input_491100!L:R,7,FALSE),VLOOKUP(tables_491100!C222,input_491100!A:H,8,FALSE))</f>
        <v>284</v>
      </c>
      <c r="P222" s="46">
        <f t="shared" ca="1" si="14"/>
        <v>2.1739130435182E-5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input_491100!A$2</f>
        <v>491100</v>
      </c>
      <c r="B223" s="6">
        <v>588</v>
      </c>
      <c r="C223" s="7" t="str">
        <f t="shared" si="12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IFERROR(VLOOKUP(B223,input_491100!L:R,7,FALSE),VLOOKUP(tables_491100!C223,input_491100!A:H,8,FALSE))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input_491100!A$2</f>
        <v>491100</v>
      </c>
      <c r="B224" s="6">
        <v>589</v>
      </c>
      <c r="C224" s="7" t="str">
        <f t="shared" si="12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IFERROR(VLOOKUP(B224,input_491100!L:R,7,FALSE),VLOOKUP(tables_491100!C224,input_491100!A:H,8,FALSE))</f>
        <v>54277.16923</v>
      </c>
      <c r="P224" s="46">
        <f t="shared" ca="1" si="14"/>
        <v>4.15471289275851E-3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input_491100!A$2</f>
        <v>491100</v>
      </c>
      <c r="B225" s="6">
        <v>590</v>
      </c>
      <c r="C225" s="7" t="str">
        <f t="shared" si="12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IFERROR(VLOOKUP(B225,input_491100!L:R,7,FALSE),VLOOKUP(tables_491100!C225,input_491100!A:H,8,FALSE))</f>
        <v>35.856409999999997</v>
      </c>
      <c r="P225" s="46">
        <f t="shared" ca="1" si="14"/>
        <v>2.7446731476315637E-6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input_491100!A$2</f>
        <v>491100</v>
      </c>
      <c r="B226" s="6">
        <v>591</v>
      </c>
      <c r="C226" s="7" t="str">
        <f t="shared" si="12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IFERROR(VLOOKUP(B226,input_491100!L:R,7,FALSE),VLOOKUP(tables_491100!C226,input_491100!A:H,8,FALSE))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input_491100!A$2</f>
        <v>491100</v>
      </c>
      <c r="B227" s="6">
        <v>592</v>
      </c>
      <c r="C227" s="7" t="str">
        <f t="shared" si="12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IFERROR(VLOOKUP(B227,input_491100!L:R,7,FALSE),VLOOKUP(tables_491100!C227,input_491100!A:H,8,FALSE))</f>
        <v>54277.16923</v>
      </c>
      <c r="P227" s="46">
        <f t="shared" ca="1" si="14"/>
        <v>4.15471289275851E-3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input_491100!A$2</f>
        <v>491100</v>
      </c>
      <c r="B228" s="6">
        <v>593</v>
      </c>
      <c r="C228" s="7" t="str">
        <f t="shared" si="12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IFERROR(VLOOKUP(B228,input_491100!L:R,7,FALSE),VLOOKUP(tables_491100!C228,input_491100!A:H,8,FALSE))</f>
        <v>35.856409999999997</v>
      </c>
      <c r="P228" s="46">
        <f t="shared" ca="1" si="14"/>
        <v>2.7446731476315637E-6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input_491100!A$2</f>
        <v>491100</v>
      </c>
      <c r="B229" s="6">
        <v>594</v>
      </c>
      <c r="C229" s="7" t="str">
        <f t="shared" si="12"/>
        <v>PremiumSS4color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IFERROR(VLOOKUP(B229,input_491100!L:R,7,FALSE),VLOOKUP(tables_491100!C229,input_491100!A:H,8,FALSE))</f>
        <v>21901.411759999999</v>
      </c>
      <c r="P229" s="46">
        <f t="shared" ca="1" si="14"/>
        <v>1.6764705879058765E-3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input_491100!A$2</f>
        <v>491100</v>
      </c>
      <c r="B230" s="6">
        <v>595</v>
      </c>
      <c r="C230" s="7" t="str">
        <f t="shared" si="12"/>
        <v>PremiumSS5color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IFERROR(VLOOKUP(B230,input_491100!L:R,7,FALSE),VLOOKUP(tables_491100!C230,input_491100!A:H,8,FALSE))</f>
        <v>1152.70588</v>
      </c>
      <c r="P230" s="46">
        <f t="shared" ca="1" si="14"/>
        <v>8.823529393915932E-5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input_491100!A$2</f>
        <v>491100</v>
      </c>
      <c r="B231" s="6">
        <v>596</v>
      </c>
      <c r="C231" s="7" t="str">
        <f t="shared" si="12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IFERROR(VLOOKUP(B231,input_491100!L:R,7,FALSE),VLOOKUP(tables_491100!C231,input_491100!A:H,8,FALSE))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input_491100!A$2</f>
        <v>491100</v>
      </c>
      <c r="B232" s="6">
        <v>597</v>
      </c>
      <c r="C232" s="7" t="str">
        <f t="shared" si="12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IFERROR(VLOOKUP(B232,input_491100!L:R,7,FALSE),VLOOKUP(tables_491100!C232,input_491100!A:H,8,FALSE))</f>
        <v>54277.16923</v>
      </c>
      <c r="P232" s="46">
        <f t="shared" ca="1" si="14"/>
        <v>4.15471289275851E-3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input_491100!A$2</f>
        <v>491100</v>
      </c>
      <c r="B233" s="6">
        <v>598</v>
      </c>
      <c r="C233" s="7" t="str">
        <f t="shared" si="12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IFERROR(VLOOKUP(B233,input_491100!L:R,7,FALSE),VLOOKUP(tables_491100!C233,input_491100!A:H,8,FALSE))</f>
        <v>35.856409999999997</v>
      </c>
      <c r="P233" s="46">
        <f t="shared" ca="1" si="14"/>
        <v>2.7446731476315637E-6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input_491100!A$2</f>
        <v>491100</v>
      </c>
      <c r="B234" s="6">
        <v>599</v>
      </c>
      <c r="C234" s="7" t="str">
        <f t="shared" si="12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IFERROR(VLOOKUP(B234,input_491100!L:R,7,FALSE),VLOOKUP(tables_491100!C234,input_491100!A:H,8,FALSE))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input_491100!A$2</f>
        <v>491100</v>
      </c>
      <c r="B235" s="6">
        <v>600</v>
      </c>
      <c r="C235" s="7" t="str">
        <f t="shared" si="12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IFERROR(VLOOKUP(B235,input_491100!L:R,7,FALSE),VLOOKUP(tables_491100!C235,input_491100!A:H,8,FALSE))</f>
        <v>54277.16923</v>
      </c>
      <c r="P235" s="46">
        <f t="shared" ca="1" si="14"/>
        <v>4.15471289275851E-3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input_491100!A$2</f>
        <v>491100</v>
      </c>
      <c r="B236" s="6">
        <v>601</v>
      </c>
      <c r="C236" s="7" t="str">
        <f t="shared" si="12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IFERROR(VLOOKUP(B236,input_491100!L:R,7,FALSE),VLOOKUP(tables_491100!C236,input_491100!A:H,8,FALSE))</f>
        <v>35.856409999999997</v>
      </c>
      <c r="P236" s="46">
        <f t="shared" ca="1" si="14"/>
        <v>2.7446731476315637E-6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input_491100!A$2</f>
        <v>491100</v>
      </c>
      <c r="B237" s="6">
        <v>602</v>
      </c>
      <c r="C237" s="7" t="str">
        <f t="shared" si="12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IFERROR(VLOOKUP(B237,input_491100!L:R,7,FALSE),VLOOKUP(tables_491100!C237,input_491100!A:H,8,FALSE))</f>
        <v>17837.904760000001</v>
      </c>
      <c r="P237" s="46">
        <f t="shared" ca="1" si="14"/>
        <v>1.3654244305211052E-3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input_491100!A$2</f>
        <v>491100</v>
      </c>
      <c r="B238" s="6">
        <v>603</v>
      </c>
      <c r="C238" s="7" t="str">
        <f t="shared" si="12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IFERROR(VLOOKUP(B238,input_491100!L:R,7,FALSE),VLOOKUP(tables_491100!C238,input_491100!A:H,8,FALSE))</f>
        <v>284</v>
      </c>
      <c r="P238" s="46">
        <f t="shared" ca="1" si="14"/>
        <v>2.1739130435182E-5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input_491100!A$2</f>
        <v>491100</v>
      </c>
      <c r="B239" s="6">
        <v>604</v>
      </c>
      <c r="C239" s="7" t="str">
        <f t="shared" si="12"/>
        <v>Premium3color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IFERROR(VLOOKUP(B239,input_491100!L:R,7,FALSE),VLOOKUP(tables_491100!C239,input_491100!A:H,8,FALSE))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input_491100!A$2</f>
        <v>491100</v>
      </c>
      <c r="B240" s="6">
        <v>605</v>
      </c>
      <c r="C240" s="7" t="str">
        <f t="shared" si="12"/>
        <v>Premium4color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IFERROR(VLOOKUP(B240,input_491100!L:R,7,FALSE),VLOOKUP(tables_491100!C240,input_491100!A:H,8,FALSE))</f>
        <v>340517.36009999999</v>
      </c>
      <c r="P240" s="46">
        <f t="shared" ca="1" si="14"/>
        <v>2.6065321502315979E-2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input_491100!A$2</f>
        <v>491100</v>
      </c>
      <c r="B241" s="6">
        <v>606</v>
      </c>
      <c r="C241" s="7" t="str">
        <f t="shared" si="12"/>
        <v>Premium5color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IFERROR(VLOOKUP(B241,input_491100!L:R,7,FALSE),VLOOKUP(tables_491100!C241,input_491100!A:H,8,FALSE))</f>
        <v>3349.04549</v>
      </c>
      <c r="P241" s="46">
        <f t="shared" ca="1" si="14"/>
        <v>2.5635681950869019E-4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input_491100!A$2</f>
        <v>491100</v>
      </c>
      <c r="B242" s="6">
        <v>658</v>
      </c>
      <c r="C242" s="7" t="str">
        <f t="shared" si="12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IFERROR(VLOOKUP(B242,input_491100!L:R,7,FALSE),VLOOKUP(tables_491100!C242,input_491100!A:H,8,FALSE))</f>
        <v>17837.904760000001</v>
      </c>
      <c r="P242" s="46">
        <f t="shared" ca="1" si="14"/>
        <v>1.3654244305211052E-3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input_491100!A$2</f>
        <v>491100</v>
      </c>
      <c r="B243" s="6">
        <v>659</v>
      </c>
      <c r="C243" s="7" t="str">
        <f t="shared" si="12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IFERROR(VLOOKUP(B243,input_491100!L:R,7,FALSE),VLOOKUP(tables_491100!C243,input_491100!A:H,8,FALSE))</f>
        <v>284</v>
      </c>
      <c r="P243" s="46">
        <f t="shared" ca="1" si="14"/>
        <v>2.1739130435182E-5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input_491100!A$2</f>
        <v>491100</v>
      </c>
      <c r="B244" s="6">
        <v>660</v>
      </c>
      <c r="C244" s="7" t="str">
        <f t="shared" si="12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IFERROR(VLOOKUP(B244,input_491100!L:R,7,FALSE),VLOOKUP(tables_491100!C244,input_491100!A:H,8,FALSE))</f>
        <v>17837.904760000001</v>
      </c>
      <c r="P244" s="46">
        <f t="shared" ca="1" si="14"/>
        <v>1.3654244305211052E-3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input_491100!A$2</f>
        <v>491100</v>
      </c>
      <c r="B245" s="60">
        <v>661</v>
      </c>
      <c r="C245" s="7" t="str">
        <f t="shared" si="12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IFERROR(VLOOKUP(B245,input_491100!L:R,7,FALSE),VLOOKUP(tables_491100!C245,input_491100!A:H,8,FALSE))</f>
        <v>284</v>
      </c>
      <c r="P245" s="46">
        <f t="shared" ca="1" si="14"/>
        <v>2.1739130435182E-5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input_491100!A$2</f>
        <v>491100</v>
      </c>
      <c r="B246" s="60">
        <v>662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IFERROR(VLOOKUP(B246,input_491100!L:R,7,FALSE),VLOOKUP(tables_491100!C246,input_491100!A:H,8,FALSE))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input_491100!A$2</f>
        <v>491100</v>
      </c>
      <c r="B247" s="60">
        <v>663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IFERROR(VLOOKUP(B247,input_491100!L:R,7,FALSE),VLOOKUP(tables_491100!C247,input_491100!A:H,8,FALSE))</f>
        <v>54277.16923</v>
      </c>
      <c r="P247" s="46">
        <f t="shared" ca="1" si="14"/>
        <v>4.15471289275851E-3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input_491100!A$2</f>
        <v>491100</v>
      </c>
      <c r="B248" s="60">
        <v>664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IFERROR(VLOOKUP(B248,input_491100!L:R,7,FALSE),VLOOKUP(tables_491100!C248,input_491100!A:H,8,FALSE))</f>
        <v>35.856409999999997</v>
      </c>
      <c r="P248" s="46">
        <f t="shared" ca="1" si="14"/>
        <v>2.7446731476315637E-6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input_491100!A$2</f>
        <v>491100</v>
      </c>
      <c r="B249" s="60">
        <v>665</v>
      </c>
      <c r="C249" s="7" t="str">
        <f t="shared" si="12"/>
        <v>Premium3color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IFERROR(VLOOKUP(B249,input_491100!L:R,7,FALSE),VLOOKUP(tables_491100!C249,input_491100!A:H,8,FALSE))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input_491100!A$2</f>
        <v>491100</v>
      </c>
      <c r="B250" s="60">
        <v>666</v>
      </c>
      <c r="C250" s="7" t="str">
        <f t="shared" si="12"/>
        <v>Premium4color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IFERROR(VLOOKUP(B250,input_491100!L:R,7,FALSE),VLOOKUP(tables_491100!C250,input_491100!A:H,8,FALSE))</f>
        <v>340517.36009999999</v>
      </c>
      <c r="P250" s="46">
        <f t="shared" ca="1" si="14"/>
        <v>2.6065321502315979E-2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input_491100!A$2</f>
        <v>491100</v>
      </c>
      <c r="B251" s="60">
        <v>667</v>
      </c>
      <c r="C251" s="7" t="str">
        <f t="shared" si="12"/>
        <v>Premium5color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IFERROR(VLOOKUP(B251,input_491100!L:R,7,FALSE),VLOOKUP(tables_491100!C251,input_491100!A:H,8,FALSE))</f>
        <v>3349.04549</v>
      </c>
      <c r="P251" s="46">
        <f t="shared" ca="1" si="14"/>
        <v>2.5635681950869019E-4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input_491100!A$2</f>
        <v>491100</v>
      </c>
      <c r="B252" s="60">
        <v>668</v>
      </c>
      <c r="C252" s="7" t="str">
        <f t="shared" si="12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IFERROR(VLOOKUP(B252,input_491100!L:R,7,FALSE),VLOOKUP(tables_491100!C252,input_491100!A:H,8,FALSE))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input_491100!A$2</f>
        <v>491100</v>
      </c>
      <c r="B253" s="60">
        <v>669</v>
      </c>
      <c r="C253" s="7" t="str">
        <f t="shared" si="12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IFERROR(VLOOKUP(B253,input_491100!L:R,7,FALSE),VLOOKUP(tables_491100!C253,input_491100!A:H,8,FALSE))</f>
        <v>54277.16923</v>
      </c>
      <c r="P253" s="46">
        <f t="shared" ca="1" si="14"/>
        <v>4.15471289275851E-3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input_491100!A$2</f>
        <v>491100</v>
      </c>
      <c r="B254" s="60">
        <v>670</v>
      </c>
      <c r="C254" s="7" t="str">
        <f t="shared" si="12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IFERROR(VLOOKUP(B254,input_491100!L:R,7,FALSE),VLOOKUP(tables_491100!C254,input_491100!A:H,8,FALSE))</f>
        <v>35.856409999999997</v>
      </c>
      <c r="P254" s="46">
        <f t="shared" ca="1" si="14"/>
        <v>2.7446731476315637E-6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input_491100!A$2</f>
        <v>491100</v>
      </c>
      <c r="B255" s="60">
        <v>671</v>
      </c>
      <c r="C255" s="7" t="str">
        <f t="shared" si="12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IFERROR(VLOOKUP(B255,input_491100!L:R,7,FALSE),VLOOKUP(tables_491100!C255,input_491100!A:H,8,FALSE))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input_491100!A$2</f>
        <v>491100</v>
      </c>
      <c r="B256" s="60">
        <v>672</v>
      </c>
      <c r="C256" s="7" t="str">
        <f t="shared" si="12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IFERROR(VLOOKUP(B256,input_491100!L:R,7,FALSE),VLOOKUP(tables_491100!C256,input_491100!A:H,8,FALSE))</f>
        <v>54277.16923</v>
      </c>
      <c r="P256" s="46">
        <f t="shared" ca="1" si="14"/>
        <v>4.15471289275851E-3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input_491100!A$2</f>
        <v>491100</v>
      </c>
      <c r="B257" s="60">
        <v>673</v>
      </c>
      <c r="C257" s="7" t="str">
        <f t="shared" si="12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IFERROR(VLOOKUP(B257,input_491100!L:R,7,FALSE),VLOOKUP(tables_491100!C257,input_491100!A:H,8,FALSE))</f>
        <v>35.856409999999997</v>
      </c>
      <c r="P257" s="46">
        <f t="shared" ca="1" si="14"/>
        <v>2.7446731476315637E-6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input_491100!A$2</f>
        <v>491100</v>
      </c>
      <c r="B258" s="60">
        <v>674</v>
      </c>
      <c r="C258" s="7" t="str">
        <f t="shared" ref="C258:C321" si="16">D258&amp;J258&amp;E258&amp;F258&amp;G258</f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ref="G258:G321" si="17">IF(K258="yellow","color","")</f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IFERROR(VLOOKUP(B258,input_491100!L:R,7,FALSE),VLOOKUP(tables_491100!C258,input_491100!A:H,8,FALSE))</f>
        <v>17837.904760000001</v>
      </c>
      <c r="P258" s="46">
        <f t="shared" ref="P258:P321" ca="1" si="18">O258/SUM(O:O)</f>
        <v>1.3654244305211052E-3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input_491100!A$2</f>
        <v>491100</v>
      </c>
      <c r="B259" s="60">
        <v>675</v>
      </c>
      <c r="C259" s="7" t="str">
        <f t="shared" si="16"/>
        <v>PremiumSS5</v>
      </c>
      <c r="D259" s="7" t="str">
        <f t="shared" ref="D259:D322" si="1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IFERROR(VLOOKUP(B259,input_491100!L:R,7,FALSE),VLOOKUP(tables_491100!C259,input_491100!A:H,8,FALSE))</f>
        <v>284</v>
      </c>
      <c r="P259" s="46">
        <f t="shared" ca="1" si="18"/>
        <v>2.1739130435182E-5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input_491100!A$2</f>
        <v>491100</v>
      </c>
      <c r="B260" s="60">
        <v>676</v>
      </c>
      <c r="C260" s="7" t="str">
        <f t="shared" si="16"/>
        <v>PremiumSS4color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IFERROR(VLOOKUP(B260,input_491100!L:R,7,FALSE),VLOOKUP(tables_491100!C260,input_491100!A:H,8,FALSE))</f>
        <v>21901.411759999999</v>
      </c>
      <c r="P260" s="46">
        <f t="shared" ca="1" si="18"/>
        <v>1.6764705879058765E-3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input_491100!A$2</f>
        <v>491100</v>
      </c>
      <c r="B261" s="60">
        <v>677</v>
      </c>
      <c r="C261" s="7" t="str">
        <f t="shared" si="16"/>
        <v>PremiumSS5color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7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IFERROR(VLOOKUP(B261,input_491100!L:R,7,FALSE),VLOOKUP(tables_491100!C261,input_491100!A:H,8,FALSE))</f>
        <v>1152.70588</v>
      </c>
      <c r="P261" s="46">
        <f t="shared" ca="1" si="18"/>
        <v>8.823529393915932E-5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input_491100!A$2</f>
        <v>491100</v>
      </c>
      <c r="B262" s="60">
        <v>728</v>
      </c>
      <c r="C262" s="7" t="str">
        <f t="shared" si="16"/>
        <v>Premium4R3less</v>
      </c>
      <c r="D262" s="7" t="str">
        <f t="shared" si="1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IFERROR(VLOOKUP(B262,input_491100!L:R,7,FALSE),VLOOKUP(tables_491100!C262,input_491100!A:H,8,FALSE))</f>
        <v>93219.657139999996</v>
      </c>
      <c r="P262" s="46">
        <f t="shared" ca="1" si="18"/>
        <v>7.1356136820049463E-3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input_491100!A$2</f>
        <v>491100</v>
      </c>
      <c r="B263" s="60">
        <v>729</v>
      </c>
      <c r="C263" s="7" t="str">
        <f t="shared" si="16"/>
        <v>Premium5R3less</v>
      </c>
      <c r="D263" s="7" t="str">
        <f t="shared" si="1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IFERROR(VLOOKUP(B263,input_491100!L:R,7,FALSE),VLOOKUP(tables_491100!C263,input_491100!A:H,8,FALSE))</f>
        <v>3385.6</v>
      </c>
      <c r="P263" s="46">
        <f t="shared" ca="1" si="18"/>
        <v>2.5915492958222597E-4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input_491100!A$2</f>
        <v>491100</v>
      </c>
      <c r="B264" s="60">
        <v>730</v>
      </c>
      <c r="C264" s="7" t="str">
        <f t="shared" si="16"/>
        <v>Premium4R3less</v>
      </c>
      <c r="D264" s="7" t="str">
        <f t="shared" si="1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IFERROR(VLOOKUP(B264,input_491100!L:R,7,FALSE),VLOOKUP(tables_491100!C264,input_491100!A:H,8,FALSE))</f>
        <v>93219.657139999996</v>
      </c>
      <c r="P264" s="46">
        <f t="shared" ca="1" si="18"/>
        <v>7.1356136820049463E-3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input_491100!A$2</f>
        <v>491100</v>
      </c>
      <c r="B265" s="60">
        <v>731</v>
      </c>
      <c r="C265" s="7" t="str">
        <f t="shared" si="16"/>
        <v>Premium5R3less</v>
      </c>
      <c r="D265" s="7" t="str">
        <f t="shared" si="1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IFERROR(VLOOKUP(B265,input_491100!L:R,7,FALSE),VLOOKUP(tables_491100!C265,input_491100!A:H,8,FALSE))</f>
        <v>3385.6</v>
      </c>
      <c r="P265" s="46">
        <f t="shared" ca="1" si="18"/>
        <v>2.5915492958222597E-4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input_491100!A$2</f>
        <v>491100</v>
      </c>
      <c r="B266" s="60">
        <v>732</v>
      </c>
      <c r="C266" s="7" t="str">
        <f t="shared" si="16"/>
        <v>PremiumSS5R5only</v>
      </c>
      <c r="D266" s="7" t="str">
        <f t="shared" si="1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7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IFERROR(VLOOKUP(B266,input_491100!L:R,7,FALSE),VLOOKUP(tables_491100!C266,input_491100!A:H,8,FALSE))</f>
        <v>454.4</v>
      </c>
      <c r="P266" s="46">
        <f t="shared" ca="1" si="18"/>
        <v>3.47826086962912E-5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input_491100!A$2</f>
        <v>491100</v>
      </c>
      <c r="B267" s="60">
        <v>734</v>
      </c>
      <c r="C267" s="7" t="str">
        <f t="shared" si="16"/>
        <v>PremiumSS5R5onlycolor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IFERROR(VLOOKUP(B267,input_491100!L:R,7,FALSE),VLOOKUP(tables_491100!C267,input_491100!A:H,8,FALSE))</f>
        <v>9990.1176500000001</v>
      </c>
      <c r="P267" s="46">
        <f t="shared" ca="1" si="18"/>
        <v>7.647058825921263E-4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input_491100!A$2</f>
        <v>491100</v>
      </c>
      <c r="B268" s="60">
        <v>742</v>
      </c>
      <c r="C268" s="7" t="str">
        <f t="shared" si="16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7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IFERROR(VLOOKUP(B268,input_491100!L:R,7,FALSE),VLOOKUP(tables_491100!C268,input_491100!A:H,8,FALSE))</f>
        <v>454.4</v>
      </c>
      <c r="P268" s="46">
        <f t="shared" ca="1" si="18"/>
        <v>3.47826086962912E-5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input_491100!A$2</f>
        <v>491100</v>
      </c>
      <c r="B269" s="60">
        <v>744</v>
      </c>
      <c r="C269" s="7" t="str">
        <f t="shared" si="16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IFERROR(VLOOKUP(B269,input_491100!L:R,7,FALSE),VLOOKUP(tables_491100!C269,input_491100!A:H,8,FALSE))</f>
        <v>454.4</v>
      </c>
      <c r="P269" s="46">
        <f t="shared" ca="1" si="18"/>
        <v>3.47826086962912E-5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input_491100!A$2</f>
        <v>491100</v>
      </c>
      <c r="B270" s="60">
        <v>746</v>
      </c>
      <c r="C270" s="7" t="str">
        <f t="shared" si="16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IFERROR(VLOOKUP(B270,input_491100!L:R,7,FALSE),VLOOKUP(tables_491100!C270,input_491100!A:H,8,FALSE))</f>
        <v>93219.657139999996</v>
      </c>
      <c r="P270" s="46">
        <f t="shared" ca="1" si="18"/>
        <v>7.1356136820049463E-3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input_491100!A$2</f>
        <v>491100</v>
      </c>
      <c r="B271" s="82">
        <v>747</v>
      </c>
      <c r="C271" s="7" t="str">
        <f t="shared" si="16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IFERROR(VLOOKUP(B271,input_491100!L:R,7,FALSE),VLOOKUP(tables_491100!C271,input_491100!A:H,8,FALSE))</f>
        <v>3385.6</v>
      </c>
      <c r="P271" s="46">
        <f t="shared" ca="1" si="18"/>
        <v>2.5915492958222597E-4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input_491100!A$2</f>
        <v>491100</v>
      </c>
      <c r="B272" s="82">
        <v>748</v>
      </c>
      <c r="C272" s="7" t="str">
        <f t="shared" si="16"/>
        <v>Premium4R3lesscolor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7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IFERROR(VLOOKUP(B272,input_491100!L:R,7,FALSE),VLOOKUP(tables_491100!C272,input_491100!A:H,8,FALSE))</f>
        <v>161122.66667000001</v>
      </c>
      <c r="P272" s="46">
        <f t="shared" ca="1" si="18"/>
        <v>1.2333333333815075E-2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input_491100!A$2</f>
        <v>491100</v>
      </c>
      <c r="B273" s="82">
        <v>749</v>
      </c>
      <c r="C273" s="7" t="str">
        <f t="shared" si="16"/>
        <v>Premium5R3lesscolor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7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IFERROR(VLOOKUP(B273,input_491100!L:R,7,FALSE),VLOOKUP(tables_491100!C273,input_491100!A:H,8,FALSE))</f>
        <v>712.58181999999999</v>
      </c>
      <c r="P273" s="46">
        <f t="shared" ca="1" si="18"/>
        <v>5.4545454685631621E-5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input_491100!A$2</f>
        <v>491100</v>
      </c>
      <c r="B274" s="82">
        <v>770</v>
      </c>
      <c r="C274" s="7" t="str">
        <f t="shared" si="16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7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IFERROR(VLOOKUP(B274,input_491100!L:R,7,FALSE),VLOOKUP(tables_491100!C274,input_491100!A:H,8,FALSE))</f>
        <v>17837.904760000001</v>
      </c>
      <c r="P274" s="46">
        <f t="shared" ca="1" si="18"/>
        <v>1.3654244305211052E-3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input_491100!A$2</f>
        <v>491100</v>
      </c>
      <c r="B275" s="82">
        <v>771</v>
      </c>
      <c r="C275" s="7" t="str">
        <f t="shared" si="16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7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IFERROR(VLOOKUP(B275,input_491100!L:R,7,FALSE),VLOOKUP(tables_491100!C275,input_491100!A:H,8,FALSE))</f>
        <v>284</v>
      </c>
      <c r="P275" s="46">
        <f t="shared" ca="1" si="18"/>
        <v>2.1739130435182E-5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input_491100!A$2</f>
        <v>491100</v>
      </c>
      <c r="B276" s="82">
        <v>772</v>
      </c>
      <c r="C276" s="7" t="str">
        <f t="shared" si="16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IFERROR(VLOOKUP(B276,input_491100!L:R,7,FALSE),VLOOKUP(tables_491100!C276,input_491100!A:H,8,FALSE))</f>
        <v>17837.904760000001</v>
      </c>
      <c r="P276" s="46">
        <f t="shared" ca="1" si="18"/>
        <v>1.3654244305211052E-3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input_491100!A$2</f>
        <v>491100</v>
      </c>
      <c r="B277" s="82">
        <v>773</v>
      </c>
      <c r="C277" s="7" t="str">
        <f t="shared" si="16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IFERROR(VLOOKUP(B277,input_491100!L:R,7,FALSE),VLOOKUP(tables_491100!C277,input_491100!A:H,8,FALSE))</f>
        <v>284</v>
      </c>
      <c r="P277" s="46">
        <f t="shared" ca="1" si="18"/>
        <v>2.1739130435182E-5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input_491100!A$2</f>
        <v>491100</v>
      </c>
      <c r="B278" s="82">
        <v>774</v>
      </c>
      <c r="C278" s="7" t="str">
        <f t="shared" si="16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IFERROR(VLOOKUP(B278,input_491100!L:R,7,FALSE),VLOOKUP(tables_491100!C278,input_491100!A:H,8,FALSE))</f>
        <v>0</v>
      </c>
      <c r="P278" s="46">
        <f t="shared" ca="1" si="18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input_491100!A$2</f>
        <v>491100</v>
      </c>
      <c r="B279" s="82">
        <v>775</v>
      </c>
      <c r="C279" s="7" t="str">
        <f t="shared" si="16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IFERROR(VLOOKUP(B279,input_491100!L:R,7,FALSE),VLOOKUP(tables_491100!C279,input_491100!A:H,8,FALSE))</f>
        <v>54277.16923</v>
      </c>
      <c r="P279" s="46">
        <f t="shared" ca="1" si="18"/>
        <v>4.15471289275851E-3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input_491100!A$2</f>
        <v>491100</v>
      </c>
      <c r="B280" s="82">
        <v>776</v>
      </c>
      <c r="C280" s="7" t="str">
        <f t="shared" si="16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IFERROR(VLOOKUP(B280,input_491100!L:R,7,FALSE),VLOOKUP(tables_491100!C280,input_491100!A:H,8,FALSE))</f>
        <v>35.856409999999997</v>
      </c>
      <c r="P280" s="46">
        <f t="shared" ca="1" si="18"/>
        <v>2.7446731476315637E-6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input_491100!A$2</f>
        <v>491100</v>
      </c>
      <c r="B281" s="82">
        <v>777</v>
      </c>
      <c r="C281" s="7" t="str">
        <f t="shared" si="16"/>
        <v>Premium3color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7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IFERROR(VLOOKUP(B281,input_491100!L:R,7,FALSE),VLOOKUP(tables_491100!C281,input_491100!A:H,8,FALSE))</f>
        <v>0</v>
      </c>
      <c r="P281" s="46">
        <f t="shared" ca="1" si="18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input_491100!A$2</f>
        <v>491100</v>
      </c>
      <c r="B282" s="82">
        <v>778</v>
      </c>
      <c r="C282" s="7" t="str">
        <f t="shared" si="16"/>
        <v>Premium4color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IFERROR(VLOOKUP(B282,input_491100!L:R,7,FALSE),VLOOKUP(tables_491100!C282,input_491100!A:H,8,FALSE))</f>
        <v>340517.36009999999</v>
      </c>
      <c r="P282" s="46">
        <f t="shared" ca="1" si="18"/>
        <v>2.6065321502315979E-2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input_491100!A$2</f>
        <v>491100</v>
      </c>
      <c r="B283" s="5">
        <v>779</v>
      </c>
      <c r="C283" s="7" t="str">
        <f t="shared" si="16"/>
        <v>Premium5color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7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IFERROR(VLOOKUP(B283,input_491100!L:R,7,FALSE),VLOOKUP(tables_491100!C283,input_491100!A:H,8,FALSE))</f>
        <v>3349.04549</v>
      </c>
      <c r="P283" s="46">
        <f t="shared" ca="1" si="18"/>
        <v>2.5635681950869019E-4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input_491100!A$2</f>
        <v>491100</v>
      </c>
      <c r="B284" s="5">
        <v>848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IFERROR(VLOOKUP(B284,input_491100!L:R,7,FALSE),VLOOKUP(tables_491100!C284,input_491100!A:H,8,FALSE))</f>
        <v>454.4</v>
      </c>
      <c r="P284" s="46">
        <f t="shared" ca="1" si="18"/>
        <v>3.47826086962912E-5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input_491100!A$2</f>
        <v>491100</v>
      </c>
      <c r="B285" s="5">
        <v>850</v>
      </c>
      <c r="C285" s="7" t="str">
        <f t="shared" si="16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IFERROR(VLOOKUP(B285,input_491100!L:R,7,FALSE),VLOOKUP(tables_491100!C285,input_491100!A:H,8,FALSE))</f>
        <v>454.4</v>
      </c>
      <c r="P285" s="46">
        <f t="shared" ca="1" si="18"/>
        <v>3.47826086962912E-5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input_491100!A$2</f>
        <v>491100</v>
      </c>
      <c r="B286" s="5">
        <v>852</v>
      </c>
      <c r="C286" s="7" t="str">
        <f t="shared" si="16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IFERROR(VLOOKUP(B286,input_491100!L:R,7,FALSE),VLOOKUP(tables_491100!C286,input_491100!A:H,8,FALSE))</f>
        <v>93219.657139999996</v>
      </c>
      <c r="P286" s="46">
        <f t="shared" ca="1" si="18"/>
        <v>7.1356136820049463E-3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input_491100!A$2</f>
        <v>491100</v>
      </c>
      <c r="B287" s="5">
        <v>853</v>
      </c>
      <c r="C287" s="7" t="str">
        <f t="shared" si="16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IFERROR(VLOOKUP(B287,input_491100!L:R,7,FALSE),VLOOKUP(tables_491100!C287,input_491100!A:H,8,FALSE))</f>
        <v>3385.6</v>
      </c>
      <c r="P287" s="46">
        <f t="shared" ca="1" si="18"/>
        <v>2.5915492958222597E-4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input_491100!A$2</f>
        <v>491100</v>
      </c>
      <c r="B288" s="5">
        <v>854</v>
      </c>
      <c r="C288" s="7" t="str">
        <f t="shared" si="16"/>
        <v>Premium4R3lesscolor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IFERROR(VLOOKUP(B288,input_491100!L:R,7,FALSE),VLOOKUP(tables_491100!C288,input_491100!A:H,8,FALSE))</f>
        <v>161122.66667000001</v>
      </c>
      <c r="P288" s="46">
        <f t="shared" ca="1" si="18"/>
        <v>1.2333333333815075E-2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input_491100!A$2</f>
        <v>491100</v>
      </c>
      <c r="B289" s="5">
        <v>855</v>
      </c>
      <c r="C289" s="7" t="str">
        <f t="shared" si="16"/>
        <v>Premium5R3lesscolor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IFERROR(VLOOKUP(B289,input_491100!L:R,7,FALSE),VLOOKUP(tables_491100!C289,input_491100!A:H,8,FALSE))</f>
        <v>712.58181999999999</v>
      </c>
      <c r="P289" s="46">
        <f t="shared" ca="1" si="18"/>
        <v>5.4545454685631621E-5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input_491100!A$2</f>
        <v>491100</v>
      </c>
      <c r="B290" s="5">
        <v>862</v>
      </c>
      <c r="C290" s="7" t="str">
        <f t="shared" si="16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IFERROR(VLOOKUP(B290,input_491100!L:R,7,FALSE),VLOOKUP(tables_491100!C290,input_491100!A:H,8,FALSE))</f>
        <v>93219.657139999996</v>
      </c>
      <c r="P290" s="46">
        <f t="shared" ca="1" si="18"/>
        <v>7.1356136820049463E-3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input_491100!A$2</f>
        <v>491100</v>
      </c>
      <c r="B291" s="5">
        <v>863</v>
      </c>
      <c r="C291" s="7" t="str">
        <f t="shared" si="16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IFERROR(VLOOKUP(B291,input_491100!L:R,7,FALSE),VLOOKUP(tables_491100!C291,input_491100!A:H,8,FALSE))</f>
        <v>3385.6</v>
      </c>
      <c r="P291" s="46">
        <f t="shared" ca="1" si="18"/>
        <v>2.5915492958222597E-4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input_491100!A$2</f>
        <v>491100</v>
      </c>
      <c r="B292" s="5">
        <v>864</v>
      </c>
      <c r="C292" s="7" t="str">
        <f t="shared" si="16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IFERROR(VLOOKUP(B292,input_491100!L:R,7,FALSE),VLOOKUP(tables_491100!C292,input_491100!A:H,8,FALSE))</f>
        <v>93219.657139999996</v>
      </c>
      <c r="P292" s="46">
        <f t="shared" ca="1" si="18"/>
        <v>7.1356136820049463E-3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input_491100!A$2</f>
        <v>491100</v>
      </c>
      <c r="B293" s="5">
        <v>865</v>
      </c>
      <c r="C293" s="7" t="str">
        <f t="shared" si="16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7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IFERROR(VLOOKUP(B293,input_491100!L:R,7,FALSE),VLOOKUP(tables_491100!C293,input_491100!A:H,8,FALSE))</f>
        <v>3385.6</v>
      </c>
      <c r="P293" s="46">
        <f t="shared" ca="1" si="18"/>
        <v>2.5915492958222597E-4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input_491100!A$2</f>
        <v>491100</v>
      </c>
      <c r="B294" s="5">
        <v>866</v>
      </c>
      <c r="C294" s="7" t="str">
        <f t="shared" si="16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IFERROR(VLOOKUP(B294,input_491100!L:R,7,FALSE),VLOOKUP(tables_491100!C294,input_491100!A:H,8,FALSE))</f>
        <v>454.4</v>
      </c>
      <c r="P294" s="46">
        <f t="shared" ca="1" si="18"/>
        <v>3.47826086962912E-5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input_491100!A$2</f>
        <v>491100</v>
      </c>
      <c r="B295" s="5">
        <v>868</v>
      </c>
      <c r="C295" s="7" t="str">
        <f t="shared" si="16"/>
        <v>PremiumSS5R5onlycolor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IFERROR(VLOOKUP(B295,input_491100!L:R,7,FALSE),VLOOKUP(tables_491100!C295,input_491100!A:H,8,FALSE))</f>
        <v>9990.1176500000001</v>
      </c>
      <c r="P295" s="46">
        <f t="shared" ca="1" si="18"/>
        <v>7.647058825921263E-4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input_491100!A$2</f>
        <v>491100</v>
      </c>
      <c r="B296" s="5">
        <v>937</v>
      </c>
      <c r="C296" s="7" t="str">
        <f t="shared" si="16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IFERROR(VLOOKUP(B296,input_491100!L:R,7,FALSE),VLOOKUP(tables_491100!C296,input_491100!A:H,8,FALSE))</f>
        <v>454.4</v>
      </c>
      <c r="P296" s="46">
        <f t="shared" ca="1" si="18"/>
        <v>3.47826086962912E-5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input_491100!A$2</f>
        <v>491100</v>
      </c>
      <c r="B297" s="5">
        <v>939</v>
      </c>
      <c r="C297" s="7" t="str">
        <f t="shared" si="16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IFERROR(VLOOKUP(B297,input_491100!L:R,7,FALSE),VLOOKUP(tables_491100!C297,input_491100!A:H,8,FALSE))</f>
        <v>93219.657139999996</v>
      </c>
      <c r="P297" s="46">
        <f t="shared" ca="1" si="18"/>
        <v>7.1356136820049463E-3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input_491100!A$2</f>
        <v>491100</v>
      </c>
      <c r="B298" s="5">
        <v>940</v>
      </c>
      <c r="C298" s="7" t="str">
        <f t="shared" si="16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IFERROR(VLOOKUP(B298,input_491100!L:R,7,FALSE),VLOOKUP(tables_491100!C298,input_491100!A:H,8,FALSE))</f>
        <v>3385.6</v>
      </c>
      <c r="P298" s="46">
        <f t="shared" ca="1" si="18"/>
        <v>2.5915492958222597E-4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input_491100!A$2</f>
        <v>491100</v>
      </c>
      <c r="B299" s="5">
        <v>941</v>
      </c>
      <c r="C299" s="7" t="str">
        <f t="shared" si="16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IFERROR(VLOOKUP(B299,input_491100!L:R,7,FALSE),VLOOKUP(tables_491100!C299,input_491100!A:H,8,FALSE))</f>
        <v>454.4</v>
      </c>
      <c r="P299" s="46">
        <f t="shared" ca="1" si="18"/>
        <v>3.47826086962912E-5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input_491100!A$2</f>
        <v>491100</v>
      </c>
      <c r="B300" s="5">
        <v>943</v>
      </c>
      <c r="C300" s="7" t="str">
        <f t="shared" si="16"/>
        <v>PremiumSS5R5onlycolor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7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IFERROR(VLOOKUP(B300,input_491100!L:R,7,FALSE),VLOOKUP(tables_491100!C300,input_491100!A:H,8,FALSE))</f>
        <v>9990.1176500000001</v>
      </c>
      <c r="P300" s="46">
        <f t="shared" ca="1" si="18"/>
        <v>7.647058825921263E-4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input_491100!A$2</f>
        <v>491100</v>
      </c>
      <c r="B301" s="5">
        <v>1012</v>
      </c>
      <c r="C301" s="7" t="str">
        <f t="shared" si="16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IFERROR(VLOOKUP(B301,input_491100!L:R,7,FALSE),VLOOKUP(tables_491100!C301,input_491100!A:H,8,FALSE))</f>
        <v>454.4</v>
      </c>
      <c r="P301" s="46">
        <f t="shared" ca="1" si="18"/>
        <v>3.47826086962912E-5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input_491100!A$2</f>
        <v>491100</v>
      </c>
      <c r="B302" s="5">
        <v>1014</v>
      </c>
      <c r="C302" s="7" t="str">
        <f t="shared" si="16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IFERROR(VLOOKUP(B302,input_491100!L:R,7,FALSE),VLOOKUP(tables_491100!C302,input_491100!A:H,8,FALSE))</f>
        <v>454.4</v>
      </c>
      <c r="P302" s="46">
        <f t="shared" ca="1" si="18"/>
        <v>3.47826086962912E-5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input_491100!A$2</f>
        <v>491100</v>
      </c>
      <c r="B303" s="5">
        <v>1016</v>
      </c>
      <c r="C303" s="7" t="str">
        <f t="shared" si="16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7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IFERROR(VLOOKUP(B303,input_491100!L:R,7,FALSE),VLOOKUP(tables_491100!C303,input_491100!A:H,8,FALSE))</f>
        <v>93219.657139999996</v>
      </c>
      <c r="P303" s="46">
        <f t="shared" ca="1" si="18"/>
        <v>7.1356136820049463E-3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input_491100!A$2</f>
        <v>491100</v>
      </c>
      <c r="B304" s="5">
        <v>1017</v>
      </c>
      <c r="C304" s="7" t="str">
        <f t="shared" si="16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IFERROR(VLOOKUP(B304,input_491100!L:R,7,FALSE),VLOOKUP(tables_491100!C304,input_491100!A:H,8,FALSE))</f>
        <v>3385.6</v>
      </c>
      <c r="P304" s="46">
        <f t="shared" ca="1" si="18"/>
        <v>2.5915492958222597E-4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input_491100!A$2</f>
        <v>491100</v>
      </c>
      <c r="B305" s="5">
        <v>1018</v>
      </c>
      <c r="C305" s="7" t="str">
        <f t="shared" si="16"/>
        <v>PremiumSS5R5onlycolor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7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IFERROR(VLOOKUP(B305,input_491100!L:R,7,FALSE),VLOOKUP(tables_491100!C305,input_491100!A:H,8,FALSE))</f>
        <v>9990.1176500000001</v>
      </c>
      <c r="P305" s="46">
        <f t="shared" ca="1" si="18"/>
        <v>7.647058825921263E-4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input_491100!A$2</f>
        <v>491100</v>
      </c>
      <c r="B306" s="5">
        <v>1026</v>
      </c>
      <c r="C306" s="7" t="str">
        <f t="shared" si="16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7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IFERROR(VLOOKUP(B306,input_491100!L:R,7,FALSE),VLOOKUP(tables_491100!C306,input_491100!A:H,8,FALSE))</f>
        <v>93219.657139999996</v>
      </c>
      <c r="P306" s="46">
        <f t="shared" ca="1" si="18"/>
        <v>7.1356136820049463E-3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input_491100!A$2</f>
        <v>491100</v>
      </c>
      <c r="B307" s="5">
        <v>1027</v>
      </c>
      <c r="C307" s="7" t="str">
        <f t="shared" si="16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7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IFERROR(VLOOKUP(B307,input_491100!L:R,7,FALSE),VLOOKUP(tables_491100!C307,input_491100!A:H,8,FALSE))</f>
        <v>3385.6</v>
      </c>
      <c r="P307" s="46">
        <f t="shared" ca="1" si="18"/>
        <v>2.5915492958222597E-4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input_491100!A$2</f>
        <v>491100</v>
      </c>
      <c r="B308" s="5">
        <v>1028</v>
      </c>
      <c r="C308" s="7" t="str">
        <f t="shared" si="16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7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IFERROR(VLOOKUP(B308,input_491100!L:R,7,FALSE),VLOOKUP(tables_491100!C308,input_491100!A:H,8,FALSE))</f>
        <v>454.4</v>
      </c>
      <c r="P308" s="46">
        <f t="shared" ca="1" si="18"/>
        <v>3.47826086962912E-5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input_491100!A$2</f>
        <v>491100</v>
      </c>
      <c r="B309" s="5">
        <v>1031</v>
      </c>
      <c r="C309" s="7" t="str">
        <f t="shared" si="16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7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IFERROR(VLOOKUP(B309,input_491100!L:R,7,FALSE),VLOOKUP(tables_491100!C309,input_491100!A:H,8,FALSE))</f>
        <v>454.4</v>
      </c>
      <c r="P309" s="46">
        <f t="shared" ca="1" si="18"/>
        <v>3.47826086962912E-5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input_491100!A$2</f>
        <v>491100</v>
      </c>
      <c r="B310" s="5">
        <v>1033</v>
      </c>
      <c r="C310" s="7" t="str">
        <f t="shared" si="16"/>
        <v>PremiumSS5R5onlycolor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7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IFERROR(VLOOKUP(B310,input_491100!L:R,7,FALSE),VLOOKUP(tables_491100!C310,input_491100!A:H,8,FALSE))</f>
        <v>9990.1176500000001</v>
      </c>
      <c r="P310" s="46">
        <f t="shared" ca="1" si="18"/>
        <v>7.647058825921263E-4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input_491100!A$2</f>
        <v>491100</v>
      </c>
      <c r="B311" s="5">
        <v>1067</v>
      </c>
      <c r="C311" s="7" t="str">
        <f t="shared" si="16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7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IFERROR(VLOOKUP(B311,input_491100!L:R,7,FALSE),VLOOKUP(tables_491100!C311,input_491100!A:H,8,FALSE))</f>
        <v>93219.657139999996</v>
      </c>
      <c r="P311" s="46">
        <f t="shared" ca="1" si="18"/>
        <v>7.1356136820049463E-3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input_491100!A$2</f>
        <v>491100</v>
      </c>
      <c r="B312" s="5">
        <v>1068</v>
      </c>
      <c r="C312" s="7" t="str">
        <f t="shared" si="16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7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IFERROR(VLOOKUP(B312,input_491100!L:R,7,FALSE),VLOOKUP(tables_491100!C312,input_491100!A:H,8,FALSE))</f>
        <v>3385.6</v>
      </c>
      <c r="P312" s="46">
        <f t="shared" ca="1" si="18"/>
        <v>2.5915492958222597E-4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input_491100!A$2</f>
        <v>491100</v>
      </c>
      <c r="B313" s="5">
        <v>1069</v>
      </c>
      <c r="C313" s="7" t="str">
        <f t="shared" si="16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7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IFERROR(VLOOKUP(B313,input_491100!L:R,7,FALSE),VLOOKUP(tables_491100!C313,input_491100!A:H,8,FALSE))</f>
        <v>454.4</v>
      </c>
      <c r="P313" s="46">
        <f t="shared" ca="1" si="18"/>
        <v>3.47826086962912E-5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input_491100!A$2</f>
        <v>491100</v>
      </c>
      <c r="B314" s="5">
        <v>1072</v>
      </c>
      <c r="C314" s="7" t="str">
        <f t="shared" si="16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7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IFERROR(VLOOKUP(B314,input_491100!L:R,7,FALSE),VLOOKUP(tables_491100!C314,input_491100!A:H,8,FALSE))</f>
        <v>454.4</v>
      </c>
      <c r="P314" s="46">
        <f t="shared" ca="1" si="18"/>
        <v>3.47826086962912E-5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input_491100!A$2</f>
        <v>491100</v>
      </c>
      <c r="B315" s="5">
        <v>1074</v>
      </c>
      <c r="C315" s="7" t="str">
        <f t="shared" si="16"/>
        <v>PremiumSS5R5onlycolor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7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IFERROR(VLOOKUP(B315,input_491100!L:R,7,FALSE),VLOOKUP(tables_491100!C315,input_491100!A:H,8,FALSE))</f>
        <v>9990.1176500000001</v>
      </c>
      <c r="P315" s="46">
        <f t="shared" ca="1" si="18"/>
        <v>7.647058825921263E-4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input_491100!A$2</f>
        <v>491100</v>
      </c>
      <c r="B316" s="5">
        <v>1100</v>
      </c>
      <c r="C316" s="7" t="str">
        <f t="shared" si="16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7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IFERROR(VLOOKUP(B316,input_491100!L:R,7,FALSE),VLOOKUP(tables_491100!C316,input_491100!A:H,8,FALSE))</f>
        <v>454.4</v>
      </c>
      <c r="P316" s="46">
        <f t="shared" ca="1" si="18"/>
        <v>3.47826086962912E-5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input_491100!A$2</f>
        <v>491100</v>
      </c>
      <c r="B317" s="5">
        <v>1102</v>
      </c>
      <c r="C317" s="7" t="str">
        <f t="shared" si="16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7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IFERROR(VLOOKUP(B317,input_491100!L:R,7,FALSE),VLOOKUP(tables_491100!C317,input_491100!A:H,8,FALSE))</f>
        <v>454.4</v>
      </c>
      <c r="P317" s="46">
        <f t="shared" ca="1" si="18"/>
        <v>3.47826086962912E-5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input_491100!A$2</f>
        <v>491100</v>
      </c>
      <c r="B318" s="5">
        <v>1104</v>
      </c>
      <c r="C318" s="7" t="str">
        <f t="shared" si="16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7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IFERROR(VLOOKUP(B318,input_491100!L:R,7,FALSE),VLOOKUP(tables_491100!C318,input_491100!A:H,8,FALSE))</f>
        <v>93219.657139999996</v>
      </c>
      <c r="P318" s="46">
        <f t="shared" ca="1" si="18"/>
        <v>7.1356136820049463E-3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input_491100!A$2</f>
        <v>491100</v>
      </c>
      <c r="B319" s="5">
        <v>1105</v>
      </c>
      <c r="C319" s="7" t="str">
        <f t="shared" si="16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7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IFERROR(VLOOKUP(B319,input_491100!L:R,7,FALSE),VLOOKUP(tables_491100!C319,input_491100!A:H,8,FALSE))</f>
        <v>3385.6</v>
      </c>
      <c r="P319" s="46">
        <f t="shared" ca="1" si="18"/>
        <v>2.5915492958222597E-4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input_491100!A$2</f>
        <v>491100</v>
      </c>
      <c r="B320" s="5">
        <v>1106</v>
      </c>
      <c r="C320" s="7" t="str">
        <f t="shared" si="16"/>
        <v>PremiumSS5R5onlycolor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7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IFERROR(VLOOKUP(B320,input_491100!L:R,7,FALSE),VLOOKUP(tables_491100!C320,input_491100!A:H,8,FALSE))</f>
        <v>9990.1176500000001</v>
      </c>
      <c r="P320" s="46">
        <f t="shared" ca="1" si="18"/>
        <v>7.647058825921263E-4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input_491100!A$2</f>
        <v>491100</v>
      </c>
      <c r="B321" s="5">
        <v>1137</v>
      </c>
      <c r="C321" s="7" t="str">
        <f t="shared" si="16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7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IFERROR(VLOOKUP(B321,input_491100!L:R,7,FALSE),VLOOKUP(tables_491100!C321,input_491100!A:H,8,FALSE))</f>
        <v>454.4</v>
      </c>
      <c r="P321" s="46">
        <f t="shared" ca="1" si="18"/>
        <v>3.47826086962912E-5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input_491100!A$2</f>
        <v>491100</v>
      </c>
      <c r="B322" s="5">
        <v>1139</v>
      </c>
      <c r="C322" s="7" t="str">
        <f t="shared" ref="C322:C341" si="20">D322&amp;J322&amp;E322&amp;F322&amp;G322</f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ref="G322:G341" si="21">IF(K322="yellow","color","")</f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IFERROR(VLOOKUP(B322,input_491100!L:R,7,FALSE),VLOOKUP(tables_491100!C322,input_491100!A:H,8,FALSE))</f>
        <v>454.4</v>
      </c>
      <c r="P322" s="46">
        <f t="shared" ref="P322:P341" ca="1" si="22">O322/SUM(O:O)</f>
        <v>3.47826086962912E-5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input_491100!A$2</f>
        <v>491100</v>
      </c>
      <c r="B323" s="5">
        <v>1141</v>
      </c>
      <c r="C323" s="7" t="str">
        <f t="shared" si="20"/>
        <v>PremiumSS5R5only</v>
      </c>
      <c r="D323" s="7" t="str">
        <f t="shared" ref="D323:D341" si="2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si="21"/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IFERROR(VLOOKUP(B323,input_491100!L:R,7,FALSE),VLOOKUP(tables_491100!C323,input_491100!A:H,8,FALSE))</f>
        <v>454.4</v>
      </c>
      <c r="P323" s="46">
        <f t="shared" ca="1" si="22"/>
        <v>3.47826086962912E-5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input_491100!A$2</f>
        <v>491100</v>
      </c>
      <c r="B324" s="2">
        <v>1143</v>
      </c>
      <c r="C324" s="7" t="str">
        <f t="shared" si="20"/>
        <v>Premium4R3lesscolor</v>
      </c>
      <c r="D324" s="7" t="str">
        <f t="shared" si="2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1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IFERROR(VLOOKUP(B324,input_491100!L:R,7,FALSE),VLOOKUP(tables_491100!C324,input_491100!A:H,8,FALSE))</f>
        <v>161122.66667000001</v>
      </c>
      <c r="P324" s="46">
        <f t="shared" ca="1" si="22"/>
        <v>1.2333333333815075E-2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input_491100!A$2</f>
        <v>491100</v>
      </c>
      <c r="B325" s="2">
        <v>1144</v>
      </c>
      <c r="C325" s="7" t="str">
        <f t="shared" si="20"/>
        <v>Premium5R3lesscolor</v>
      </c>
      <c r="D325" s="7" t="str">
        <f t="shared" si="2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1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IFERROR(VLOOKUP(B325,input_491100!L:R,7,FALSE),VLOOKUP(tables_491100!C325,input_491100!A:H,8,FALSE))</f>
        <v>712.58181999999999</v>
      </c>
      <c r="P325" s="46">
        <f t="shared" ca="1" si="22"/>
        <v>5.4545454685631621E-5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input_491100!A$2</f>
        <v>491100</v>
      </c>
      <c r="B326" s="2">
        <v>1151</v>
      </c>
      <c r="C326" s="7" t="str">
        <f t="shared" si="20"/>
        <v>Premium4R3less</v>
      </c>
      <c r="D326" s="7" t="str">
        <f t="shared" si="2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1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IFERROR(VLOOKUP(B326,input_491100!L:R,7,FALSE),VLOOKUP(tables_491100!C326,input_491100!A:H,8,FALSE))</f>
        <v>93219.657139999996</v>
      </c>
      <c r="P326" s="46">
        <f t="shared" ca="1" si="22"/>
        <v>7.1356136820049463E-3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input_491100!A$2</f>
        <v>491100</v>
      </c>
      <c r="B327" s="2">
        <v>1152</v>
      </c>
      <c r="C327" s="7" t="str">
        <f t="shared" si="20"/>
        <v>Premium5R3less</v>
      </c>
      <c r="D327" s="7" t="str">
        <f t="shared" si="2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1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IFERROR(VLOOKUP(B327,input_491100!L:R,7,FALSE),VLOOKUP(tables_491100!C327,input_491100!A:H,8,FALSE))</f>
        <v>3385.6</v>
      </c>
      <c r="P327" s="46">
        <f t="shared" ca="1" si="22"/>
        <v>2.5915492958222597E-4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input_491100!A$2</f>
        <v>491100</v>
      </c>
      <c r="B328" s="2">
        <v>1153</v>
      </c>
      <c r="C328" s="7" t="str">
        <f t="shared" si="20"/>
        <v>PremiumSS5R5only</v>
      </c>
      <c r="D328" s="7" t="str">
        <f t="shared" si="2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1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IFERROR(VLOOKUP(B328,input_491100!L:R,7,FALSE),VLOOKUP(tables_491100!C328,input_491100!A:H,8,FALSE))</f>
        <v>454.4</v>
      </c>
      <c r="P328" s="46">
        <f t="shared" ca="1" si="22"/>
        <v>3.47826086962912E-5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input_491100!A$2</f>
        <v>491100</v>
      </c>
      <c r="B329" s="2">
        <v>1155</v>
      </c>
      <c r="C329" s="7" t="str">
        <f t="shared" si="20"/>
        <v>PremiumSS5R5only</v>
      </c>
      <c r="D329" s="7" t="str">
        <f t="shared" si="2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1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IFERROR(VLOOKUP(B329,input_491100!L:R,7,FALSE),VLOOKUP(tables_491100!C329,input_491100!A:H,8,FALSE))</f>
        <v>454.4</v>
      </c>
      <c r="P329" s="46">
        <f t="shared" ca="1" si="22"/>
        <v>3.47826086962912E-5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input_491100!A$2</f>
        <v>491100</v>
      </c>
      <c r="B330" s="2">
        <v>1157</v>
      </c>
      <c r="C330" s="7" t="str">
        <f t="shared" si="20"/>
        <v>PremiumSS5R5onlycolor</v>
      </c>
      <c r="D330" s="7" t="str">
        <f t="shared" si="2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1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IFERROR(VLOOKUP(B330,input_491100!L:R,7,FALSE),VLOOKUP(tables_491100!C330,input_491100!A:H,8,FALSE))</f>
        <v>9990.1176500000001</v>
      </c>
      <c r="P330" s="46">
        <f t="shared" ca="1" si="22"/>
        <v>7.647058825921263E-4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input_491100!A$2</f>
        <v>491100</v>
      </c>
      <c r="B331" s="60">
        <v>1214</v>
      </c>
      <c r="C331" s="7" t="str">
        <f t="shared" si="20"/>
        <v>PremiumSS5R5onlycolor</v>
      </c>
      <c r="D331" s="7" t="str">
        <f t="shared" si="23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1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IFERROR(VLOOKUP(B331,input_491100!L:R,7,FALSE),VLOOKUP(tables_491100!C331,input_491100!A:H,8,FALSE))</f>
        <v>9990.1176500000001</v>
      </c>
      <c r="P331" s="46">
        <f t="shared" ca="1" si="22"/>
        <v>7.647058825921263E-4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input_491100!A$2</f>
        <v>491100</v>
      </c>
      <c r="B332" s="60">
        <v>1212</v>
      </c>
      <c r="C332" s="7" t="str">
        <f t="shared" si="20"/>
        <v>PremiumSS5R5only</v>
      </c>
      <c r="D332" s="7" t="str">
        <f t="shared" si="23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1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IFERROR(VLOOKUP(B332,input_491100!L:R,7,FALSE),VLOOKUP(tables_491100!C332,input_491100!A:H,8,FALSE))</f>
        <v>454.4</v>
      </c>
      <c r="P332" s="46">
        <f t="shared" ca="1" si="22"/>
        <v>3.47826086962912E-5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input_491100!A$2</f>
        <v>491100</v>
      </c>
      <c r="B333" s="60">
        <v>1208</v>
      </c>
      <c r="C333" s="7" t="str">
        <f t="shared" si="20"/>
        <v>PremiumSS5R5only</v>
      </c>
      <c r="D333" s="7" t="str">
        <f t="shared" si="23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1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IFERROR(VLOOKUP(B333,input_491100!L:R,7,FALSE),VLOOKUP(tables_491100!C333,input_491100!A:H,8,FALSE))</f>
        <v>454.4</v>
      </c>
      <c r="P333" s="46">
        <f t="shared" ca="1" si="22"/>
        <v>3.47826086962912E-5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input_491100!A$2</f>
        <v>491100</v>
      </c>
      <c r="B334" s="108">
        <v>1210</v>
      </c>
      <c r="C334" s="7" t="str">
        <f t="shared" si="20"/>
        <v>Premium4R3less</v>
      </c>
      <c r="D334" s="7" t="str">
        <f t="shared" si="23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1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IFERROR(VLOOKUP(B334,input_491100!L:R,7,FALSE),VLOOKUP(tables_491100!C334,input_491100!A:H,8,FALSE))</f>
        <v>93219.657139999996</v>
      </c>
      <c r="P334" s="46">
        <f t="shared" ca="1" si="22"/>
        <v>7.1356136820049463E-3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input_491100!A$2</f>
        <v>491100</v>
      </c>
      <c r="B335" s="60">
        <v>1211</v>
      </c>
      <c r="C335" s="7" t="str">
        <f t="shared" si="20"/>
        <v>Premium5R3less</v>
      </c>
      <c r="D335" s="7" t="str">
        <f t="shared" si="23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1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IFERROR(VLOOKUP(B335,input_491100!L:R,7,FALSE),VLOOKUP(tables_491100!C335,input_491100!A:H,8,FALSE))</f>
        <v>3385.6</v>
      </c>
      <c r="P335" s="46">
        <f t="shared" ca="1" si="22"/>
        <v>2.5915492958222597E-4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input_491100!A$2</f>
        <v>491100</v>
      </c>
      <c r="B336" s="2">
        <v>1224</v>
      </c>
      <c r="C336" s="7" t="str">
        <f t="shared" si="20"/>
        <v>Premium4R3less</v>
      </c>
      <c r="D336" s="7" t="str">
        <f t="shared" si="23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1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IFERROR(VLOOKUP(B336,input_491100!L:R,7,FALSE),VLOOKUP(tables_491100!C336,input_491100!A:H,8,FALSE))</f>
        <v>93219.657139999996</v>
      </c>
      <c r="P336" s="46">
        <f t="shared" ca="1" si="22"/>
        <v>7.1356136820049463E-3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input_491100!A$2</f>
        <v>491100</v>
      </c>
      <c r="B337" s="2">
        <v>1225</v>
      </c>
      <c r="C337" s="7" t="str">
        <f t="shared" si="20"/>
        <v>Premium5R3less</v>
      </c>
      <c r="D337" s="7" t="str">
        <f t="shared" si="23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1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IFERROR(VLOOKUP(B337,input_491100!L:R,7,FALSE),VLOOKUP(tables_491100!C337,input_491100!A:H,8,FALSE))</f>
        <v>3385.6</v>
      </c>
      <c r="P337" s="46">
        <f t="shared" ca="1" si="22"/>
        <v>2.5915492958222597E-4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input_491100!A$2</f>
        <v>491100</v>
      </c>
      <c r="B338" s="2">
        <v>1226</v>
      </c>
      <c r="C338" s="7" t="str">
        <f t="shared" si="20"/>
        <v>PremiumSS5R5only</v>
      </c>
      <c r="D338" s="7" t="str">
        <f t="shared" si="23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1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IFERROR(VLOOKUP(B338,input_491100!L:R,7,FALSE),VLOOKUP(tables_491100!C338,input_491100!A:H,8,FALSE))</f>
        <v>454.4</v>
      </c>
      <c r="P338" s="46">
        <f t="shared" ca="1" si="22"/>
        <v>3.47826086962912E-5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input_491100!A$2</f>
        <v>491100</v>
      </c>
      <c r="B339" s="2">
        <v>1228</v>
      </c>
      <c r="C339" s="7" t="str">
        <f t="shared" si="20"/>
        <v>PremiumSS5R5only</v>
      </c>
      <c r="D339" s="7" t="str">
        <f t="shared" si="23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1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IFERROR(VLOOKUP(B339,input_491100!L:R,7,FALSE),VLOOKUP(tables_491100!C339,input_491100!A:H,8,FALSE))</f>
        <v>454.4</v>
      </c>
      <c r="P339" s="46">
        <f t="shared" ca="1" si="22"/>
        <v>3.47826086962912E-5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input_491100!A$2</f>
        <v>491100</v>
      </c>
      <c r="B340" s="2">
        <v>1230</v>
      </c>
      <c r="C340" s="7" t="str">
        <f t="shared" si="20"/>
        <v>PremiumSS5R5onlycolor</v>
      </c>
      <c r="D340" s="7" t="str">
        <f t="shared" si="23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1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IFERROR(VLOOKUP(B340,input_491100!L:R,7,FALSE),VLOOKUP(tables_491100!C340,input_491100!A:H,8,FALSE))</f>
        <v>9990.1176500000001</v>
      </c>
      <c r="P340" s="46">
        <f t="shared" ca="1" si="22"/>
        <v>7.647058825921263E-4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input_491100!A$2</f>
        <v>491100</v>
      </c>
      <c r="B341" s="1">
        <v>1286</v>
      </c>
      <c r="C341" s="7" t="str">
        <f t="shared" si="20"/>
        <v>PremiumSSS5R3lesscolor</v>
      </c>
      <c r="D341" s="7" t="str">
        <f t="shared" si="23"/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 t="str">
        <f t="shared" si="21"/>
        <v>color</v>
      </c>
      <c r="H341" s="7" t="str">
        <f>VLOOKUP(B341,[1]characters!$A:$C,3,FALSE)</f>
        <v>ニコラ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hp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IFERROR(VLOOKUP(B341,input_491100!L:R,7,FALSE),VLOOKUP(tables_491100!C341,input_491100!A:H,8,FALSE))</f>
        <v>391920</v>
      </c>
      <c r="P341" s="46">
        <f t="shared" ca="1" si="22"/>
        <v>3.0000000000551159E-2</v>
      </c>
      <c r="Q341" s="88"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Q3" sqref="Q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287</v>
      </c>
      <c r="B2" s="79" t="s">
        <v>289</v>
      </c>
      <c r="C2" s="80" t="s">
        <v>268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286</v>
      </c>
      <c r="P2" s="80" t="s">
        <v>269</v>
      </c>
      <c r="Q2" s="81" t="s">
        <v>270</v>
      </c>
    </row>
    <row r="3" spans="1:17" ht="21" customHeight="1" x14ac:dyDescent="0.15">
      <c r="A3" s="79" t="s">
        <v>288</v>
      </c>
      <c r="B3" s="79" t="s">
        <v>290</v>
      </c>
      <c r="C3" s="1" t="s">
        <v>248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221</v>
      </c>
      <c r="O3" s="80" t="s">
        <v>285</v>
      </c>
      <c r="P3" s="80" t="s">
        <v>269</v>
      </c>
      <c r="Q3" s="81" t="s">
        <v>271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確率の考え方</vt:lpstr>
      <vt:lpstr>Sheet1</vt:lpstr>
      <vt:lpstr>output</vt:lpstr>
      <vt:lpstr>input_491101</vt:lpstr>
      <vt:lpstr>tables_491101</vt:lpstr>
      <vt:lpstr>input_491103</vt:lpstr>
      <vt:lpstr>tables_491103</vt:lpstr>
      <vt:lpstr>tables_settle_491103</vt:lpstr>
      <vt:lpstr>input_491104</vt:lpstr>
      <vt:lpstr>tables_491104</vt:lpstr>
      <vt:lpstr>input_491105</vt:lpstr>
      <vt:lpstr>tables_491105</vt:lpstr>
      <vt:lpstr>input_491106</vt:lpstr>
      <vt:lpstr>tables_491106</vt:lpstr>
      <vt:lpstr>input_491107</vt:lpstr>
      <vt:lpstr>tables_491107</vt:lpstr>
      <vt:lpstr>input_491100</vt:lpstr>
      <vt:lpstr>tables_491100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2016-12-16T06:42:34Z</dcterms:modified>
</cp:coreProperties>
</file>